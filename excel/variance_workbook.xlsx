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Weekly_Compare" sheetId="2" r:id="rId2"/>
    <sheet name="Pivot_Ready" sheetId="3" r:id="rId3"/>
    <sheet name="Top_Discrepancies" sheetId="4" r:id="rId4"/>
    <sheet name="SKU_Master" sheetId="5" r:id="rId5"/>
    <sheet name="Account_Master" sheetId="6" r:id="rId6"/>
    <sheet name="README" sheetId="7" r:id="rId7"/>
  </sheets>
  <definedNames>
    <definedName name="_xlnm._FilterDatabase" localSheetId="5" hidden="1">Account_Master!$A$1:$E$2274</definedName>
    <definedName name="_xlnm._FilterDatabase" localSheetId="4" hidden="1">SKU_Master!$A$1:$G$6562</definedName>
    <definedName name="_xlnm._FilterDatabase" localSheetId="3" hidden="1">Top_Discrepancies!$A$1:$I$26</definedName>
    <definedName name="_xlnm._FilterDatabase" localSheetId="1" hidden="1">Weekly_Compare!$A$1:$M$5001</definedName>
    <definedName name="DistributorList">Summary!$AA$1:$AA$8</definedName>
    <definedName name="VarianceThreshold">Summary!$C$5</definedName>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<sst xmlns="http://schemas.openxmlformats.org/spreadsheetml/2006/main" count="71031" uniqueCount="17897">
  <si>
    <t>D01</t>
  </si>
  <si>
    <t>D02</t>
  </si>
  <si>
    <t>D03</t>
  </si>
  <si>
    <t>D04</t>
  </si>
  <si>
    <t>D05</t>
  </si>
  <si>
    <t>D06</t>
  </si>
  <si>
    <t>D07</t>
  </si>
  <si>
    <t>D08</t>
  </si>
  <si>
    <t>Distributor variance</t>
  </si>
  <si>
    <t>Distributor</t>
  </si>
  <si>
    <t>Change the yellow cell to switch distributor. Totals below use SUMIFS.</t>
  </si>
  <si>
    <t>Flag threshold</t>
  </si>
  <si>
    <t>Internal liters</t>
  </si>
  <si>
    <t>Feed liters</t>
  </si>
  <si>
    <t>Variance liters</t>
  </si>
  <si>
    <t>Variance percent</t>
  </si>
  <si>
    <t>All distributors</t>
  </si>
  <si>
    <t>distributor_id</t>
  </si>
  <si>
    <t>week</t>
  </si>
  <si>
    <t>account_id</t>
  </si>
  <si>
    <t>sku_id</t>
  </si>
  <si>
    <t>sku_name</t>
  </si>
  <si>
    <t>account_name</t>
  </si>
  <si>
    <t>city</t>
  </si>
  <si>
    <t>internal_liters</t>
  </si>
  <si>
    <t>feed_liters</t>
  </si>
  <si>
    <t>variance_liters</t>
  </si>
  <si>
    <t>variance_pct</t>
  </si>
  <si>
    <t>compare_flag</t>
  </si>
  <si>
    <t>root_cause</t>
  </si>
  <si>
    <t>2023-01-02</t>
  </si>
  <si>
    <t>2633</t>
  </si>
  <si>
    <t>15888</t>
  </si>
  <si>
    <t/>
  </si>
  <si>
    <t>2620</t>
  </si>
  <si>
    <t>17566</t>
  </si>
  <si>
    <t>38169</t>
  </si>
  <si>
    <t>4877</t>
  </si>
  <si>
    <t>6076</t>
  </si>
  <si>
    <t>64736</t>
  </si>
  <si>
    <t>68036</t>
  </si>
  <si>
    <t>5443</t>
  </si>
  <si>
    <t>86669</t>
  </si>
  <si>
    <t>2548</t>
  </si>
  <si>
    <t>87385</t>
  </si>
  <si>
    <t>2666</t>
  </si>
  <si>
    <t>89781</t>
  </si>
  <si>
    <t>2023-01-09</t>
  </si>
  <si>
    <t>5651</t>
  </si>
  <si>
    <t>12407</t>
  </si>
  <si>
    <t>2626</t>
  </si>
  <si>
    <t>26824</t>
  </si>
  <si>
    <t>5145</t>
  </si>
  <si>
    <t>27781</t>
  </si>
  <si>
    <t>2532</t>
  </si>
  <si>
    <t>30058</t>
  </si>
  <si>
    <t>2587</t>
  </si>
  <si>
    <t>31475</t>
  </si>
  <si>
    <t>34702</t>
  </si>
  <si>
    <t>2528</t>
  </si>
  <si>
    <t>46939</t>
  </si>
  <si>
    <t>5885</t>
  </si>
  <si>
    <t>2023-01-16</t>
  </si>
  <si>
    <t>27066</t>
  </si>
  <si>
    <t>5600</t>
  </si>
  <si>
    <t>50676</t>
  </si>
  <si>
    <t>73053</t>
  </si>
  <si>
    <t>5425</t>
  </si>
  <si>
    <t>75230</t>
  </si>
  <si>
    <t>4382</t>
  </si>
  <si>
    <t>84142</t>
  </si>
  <si>
    <t>2023-01-23</t>
  </si>
  <si>
    <t>6260</t>
  </si>
  <si>
    <t>10826</t>
  </si>
  <si>
    <t>35964</t>
  </si>
  <si>
    <t>38008</t>
  </si>
  <si>
    <t>39300</t>
  </si>
  <si>
    <t>2619</t>
  </si>
  <si>
    <t>43735</t>
  </si>
  <si>
    <t>6140</t>
  </si>
  <si>
    <t>4718</t>
  </si>
  <si>
    <t>65200</t>
  </si>
  <si>
    <t>2527</t>
  </si>
  <si>
    <t>87112</t>
  </si>
  <si>
    <t>2190</t>
  </si>
  <si>
    <t>904522</t>
  </si>
  <si>
    <t>2023-01-30</t>
  </si>
  <si>
    <t>6199</t>
  </si>
  <si>
    <t>18672</t>
  </si>
  <si>
    <t>21464</t>
  </si>
  <si>
    <t>36971</t>
  </si>
  <si>
    <t>6129</t>
  </si>
  <si>
    <t>37880</t>
  </si>
  <si>
    <t>2663</t>
  </si>
  <si>
    <t>43120</t>
  </si>
  <si>
    <t>6119</t>
  </si>
  <si>
    <t>44516</t>
  </si>
  <si>
    <t>2023-02-06</t>
  </si>
  <si>
    <t>2696</t>
  </si>
  <si>
    <t>36989</t>
  </si>
  <si>
    <t>65416</t>
  </si>
  <si>
    <t>5873</t>
  </si>
  <si>
    <t>89623</t>
  </si>
  <si>
    <t>2023-02-13</t>
  </si>
  <si>
    <t>2683</t>
  </si>
  <si>
    <t>10644</t>
  </si>
  <si>
    <t>6215</t>
  </si>
  <si>
    <t>38575</t>
  </si>
  <si>
    <t>3899</t>
  </si>
  <si>
    <t>38841</t>
  </si>
  <si>
    <t>4829</t>
  </si>
  <si>
    <t>39203</t>
  </si>
  <si>
    <t>39699</t>
  </si>
  <si>
    <t>4849</t>
  </si>
  <si>
    <t>48164</t>
  </si>
  <si>
    <t>4209</t>
  </si>
  <si>
    <t>68126</t>
  </si>
  <si>
    <t>6118</t>
  </si>
  <si>
    <t>75218</t>
  </si>
  <si>
    <t>82626</t>
  </si>
  <si>
    <t>88427</t>
  </si>
  <si>
    <t>2023-02-20</t>
  </si>
  <si>
    <t>35313</t>
  </si>
  <si>
    <t>2854</t>
  </si>
  <si>
    <t>37302</t>
  </si>
  <si>
    <t>43038</t>
  </si>
  <si>
    <t>2502</t>
  </si>
  <si>
    <t>64866</t>
  </si>
  <si>
    <t>2248</t>
  </si>
  <si>
    <t>66810</t>
  </si>
  <si>
    <t>84217</t>
  </si>
  <si>
    <t>87152</t>
  </si>
  <si>
    <t>87409</t>
  </si>
  <si>
    <t>88104</t>
  </si>
  <si>
    <t>2023-02-27</t>
  </si>
  <si>
    <t>3420</t>
  </si>
  <si>
    <t>11298</t>
  </si>
  <si>
    <t>21597</t>
  </si>
  <si>
    <t>6151</t>
  </si>
  <si>
    <t>26871</t>
  </si>
  <si>
    <t>5255</t>
  </si>
  <si>
    <t>65969</t>
  </si>
  <si>
    <t>75197</t>
  </si>
  <si>
    <t>2023-03-06</t>
  </si>
  <si>
    <t>12476</t>
  </si>
  <si>
    <t>2536</t>
  </si>
  <si>
    <t>27048</t>
  </si>
  <si>
    <t>28088</t>
  </si>
  <si>
    <t>4273</t>
  </si>
  <si>
    <t>39917</t>
  </si>
  <si>
    <t>44428</t>
  </si>
  <si>
    <t>77698</t>
  </si>
  <si>
    <t>3625</t>
  </si>
  <si>
    <t>86884</t>
  </si>
  <si>
    <t>2023-03-13</t>
  </si>
  <si>
    <t>31656</t>
  </si>
  <si>
    <t>35318</t>
  </si>
  <si>
    <t>36754</t>
  </si>
  <si>
    <t>5918</t>
  </si>
  <si>
    <t>82147</t>
  </si>
  <si>
    <t>2023-03-20</t>
  </si>
  <si>
    <t>15206</t>
  </si>
  <si>
    <t>2561</t>
  </si>
  <si>
    <t>18604</t>
  </si>
  <si>
    <t>37465</t>
  </si>
  <si>
    <t>52199</t>
  </si>
  <si>
    <t>58801</t>
  </si>
  <si>
    <t>69947</t>
  </si>
  <si>
    <t>84242</t>
  </si>
  <si>
    <t>903089</t>
  </si>
  <si>
    <t>2023-03-27</t>
  </si>
  <si>
    <t>15667</t>
  </si>
  <si>
    <t>19476</t>
  </si>
  <si>
    <t>28627</t>
  </si>
  <si>
    <t>31985</t>
  </si>
  <si>
    <t>5245</t>
  </si>
  <si>
    <t>37993</t>
  </si>
  <si>
    <t>4901</t>
  </si>
  <si>
    <t>43028</t>
  </si>
  <si>
    <t>74807</t>
  </si>
  <si>
    <t>2023-04-03</t>
  </si>
  <si>
    <t>4140</t>
  </si>
  <si>
    <t>19021</t>
  </si>
  <si>
    <t>010099</t>
  </si>
  <si>
    <t>20375</t>
  </si>
  <si>
    <t>43127</t>
  </si>
  <si>
    <t>2673</t>
  </si>
  <si>
    <t>45276</t>
  </si>
  <si>
    <t>76500</t>
  </si>
  <si>
    <t>5057</t>
  </si>
  <si>
    <t>84172</t>
  </si>
  <si>
    <t>3698</t>
  </si>
  <si>
    <t>995550</t>
  </si>
  <si>
    <t>2023-04-10</t>
  </si>
  <si>
    <t>18376</t>
  </si>
  <si>
    <t>3678</t>
  </si>
  <si>
    <t>19063</t>
  </si>
  <si>
    <t>4135</t>
  </si>
  <si>
    <t>21184</t>
  </si>
  <si>
    <t>37356</t>
  </si>
  <si>
    <t>38179</t>
  </si>
  <si>
    <t>5104</t>
  </si>
  <si>
    <t>77847</t>
  </si>
  <si>
    <t>86839</t>
  </si>
  <si>
    <t>980463</t>
  </si>
  <si>
    <t>2023-04-17</t>
  </si>
  <si>
    <t>11776</t>
  </si>
  <si>
    <t>19070</t>
  </si>
  <si>
    <t>21227</t>
  </si>
  <si>
    <t>2521</t>
  </si>
  <si>
    <t>43285</t>
  </si>
  <si>
    <t>64149</t>
  </si>
  <si>
    <t>5623</t>
  </si>
  <si>
    <t>64711</t>
  </si>
  <si>
    <t>5803</t>
  </si>
  <si>
    <t>89249</t>
  </si>
  <si>
    <t>2023-04-24</t>
  </si>
  <si>
    <t>28819</t>
  </si>
  <si>
    <t>43641</t>
  </si>
  <si>
    <t>84159</t>
  </si>
  <si>
    <t>2648</t>
  </si>
  <si>
    <t>86559</t>
  </si>
  <si>
    <t>89175</t>
  </si>
  <si>
    <t>89644</t>
  </si>
  <si>
    <t>5533</t>
  </si>
  <si>
    <t>928406</t>
  </si>
  <si>
    <t>2023-05-01</t>
  </si>
  <si>
    <t>5917</t>
  </si>
  <si>
    <t>10935</t>
  </si>
  <si>
    <t>4725</t>
  </si>
  <si>
    <t>75208</t>
  </si>
  <si>
    <t>2023-05-08</t>
  </si>
  <si>
    <t>34819</t>
  </si>
  <si>
    <t>40193</t>
  </si>
  <si>
    <t>010082</t>
  </si>
  <si>
    <t>54436</t>
  </si>
  <si>
    <t>59161</t>
  </si>
  <si>
    <t>64136</t>
  </si>
  <si>
    <t>2023-05-15</t>
  </si>
  <si>
    <t>19498</t>
  </si>
  <si>
    <t>35918</t>
  </si>
  <si>
    <t>4997</t>
  </si>
  <si>
    <t>36903</t>
  </si>
  <si>
    <t>39622</t>
  </si>
  <si>
    <t>58909</t>
  </si>
  <si>
    <t>010021</t>
  </si>
  <si>
    <t>58925</t>
  </si>
  <si>
    <t>4136</t>
  </si>
  <si>
    <t>71886</t>
  </si>
  <si>
    <t>5392</t>
  </si>
  <si>
    <t>76414</t>
  </si>
  <si>
    <t>2023-05-22</t>
  </si>
  <si>
    <t>77674</t>
  </si>
  <si>
    <t>87636</t>
  </si>
  <si>
    <t>2023-05-29</t>
  </si>
  <si>
    <t>34422</t>
  </si>
  <si>
    <t>4084</t>
  </si>
  <si>
    <t>4301</t>
  </si>
  <si>
    <t>53214</t>
  </si>
  <si>
    <t>69711</t>
  </si>
  <si>
    <t>87101</t>
  </si>
  <si>
    <t>8828</t>
  </si>
  <si>
    <t>4169</t>
  </si>
  <si>
    <t>88372</t>
  </si>
  <si>
    <t>2023-06-05</t>
  </si>
  <si>
    <t>19006</t>
  </si>
  <si>
    <t>27544</t>
  </si>
  <si>
    <t>010134</t>
  </si>
  <si>
    <t>42716</t>
  </si>
  <si>
    <t>57371</t>
  </si>
  <si>
    <t>66023</t>
  </si>
  <si>
    <t>89445</t>
  </si>
  <si>
    <t>942395</t>
  </si>
  <si>
    <t>2023-06-12</t>
  </si>
  <si>
    <t>3645</t>
  </si>
  <si>
    <t>28032</t>
  </si>
  <si>
    <t>34030</t>
  </si>
  <si>
    <t>010024</t>
  </si>
  <si>
    <t>36306</t>
  </si>
  <si>
    <t>56942</t>
  </si>
  <si>
    <t>75181</t>
  </si>
  <si>
    <t>76704</t>
  </si>
  <si>
    <t>85764</t>
  </si>
  <si>
    <t>86543</t>
  </si>
  <si>
    <t>2023-06-19</t>
  </si>
  <si>
    <t>23826</t>
  </si>
  <si>
    <t>4513</t>
  </si>
  <si>
    <t>76410</t>
  </si>
  <si>
    <t>79336</t>
  </si>
  <si>
    <t>2023-06-26</t>
  </si>
  <si>
    <t>101710</t>
  </si>
  <si>
    <t>28206</t>
  </si>
  <si>
    <t>28539</t>
  </si>
  <si>
    <t>36880</t>
  </si>
  <si>
    <t>40053</t>
  </si>
  <si>
    <t>66518</t>
  </si>
  <si>
    <t>77637</t>
  </si>
  <si>
    <t>4343</t>
  </si>
  <si>
    <t>89199</t>
  </si>
  <si>
    <t>2023-07-03</t>
  </si>
  <si>
    <t>33937</t>
  </si>
  <si>
    <t>34454</t>
  </si>
  <si>
    <t>83370</t>
  </si>
  <si>
    <t>84226</t>
  </si>
  <si>
    <t>5889</t>
  </si>
  <si>
    <t>89193</t>
  </si>
  <si>
    <t>2023-07-10</t>
  </si>
  <si>
    <t>15770</t>
  </si>
  <si>
    <t>22156</t>
  </si>
  <si>
    <t>43519</t>
  </si>
  <si>
    <t>72722</t>
  </si>
  <si>
    <t>78292</t>
  </si>
  <si>
    <t>86987</t>
  </si>
  <si>
    <t>2023-07-17</t>
  </si>
  <si>
    <t>26613</t>
  </si>
  <si>
    <t>34007</t>
  </si>
  <si>
    <t>38075</t>
  </si>
  <si>
    <t>5098</t>
  </si>
  <si>
    <t>64388</t>
  </si>
  <si>
    <t>64620</t>
  </si>
  <si>
    <t>5144</t>
  </si>
  <si>
    <t>67267</t>
  </si>
  <si>
    <t>88367</t>
  </si>
  <si>
    <t>88982</t>
  </si>
  <si>
    <t>2023-07-24</t>
  </si>
  <si>
    <t>14192</t>
  </si>
  <si>
    <t>21806</t>
  </si>
  <si>
    <t>40599</t>
  </si>
  <si>
    <t>5127</t>
  </si>
  <si>
    <t>49508</t>
  </si>
  <si>
    <t>66636</t>
  </si>
  <si>
    <t>2023-07-31</t>
  </si>
  <si>
    <t>64914</t>
  </si>
  <si>
    <t>78456</t>
  </si>
  <si>
    <t>88142</t>
  </si>
  <si>
    <t>2023-08-07</t>
  </si>
  <si>
    <t>15626</t>
  </si>
  <si>
    <t>010227</t>
  </si>
  <si>
    <t>19368</t>
  </si>
  <si>
    <t>25231</t>
  </si>
  <si>
    <t>34458</t>
  </si>
  <si>
    <t>45247</t>
  </si>
  <si>
    <t>52594</t>
  </si>
  <si>
    <t>65125</t>
  </si>
  <si>
    <t>946689</t>
  </si>
  <si>
    <t>2023-08-14</t>
  </si>
  <si>
    <t>2636</t>
  </si>
  <si>
    <t>16222</t>
  </si>
  <si>
    <t>22121</t>
  </si>
  <si>
    <t>010029</t>
  </si>
  <si>
    <t>4616</t>
  </si>
  <si>
    <t>5349</t>
  </si>
  <si>
    <t>57179</t>
  </si>
  <si>
    <t>62970</t>
  </si>
  <si>
    <t>77955</t>
  </si>
  <si>
    <t>010039</t>
  </si>
  <si>
    <t>926804</t>
  </si>
  <si>
    <t>2023-08-21</t>
  </si>
  <si>
    <t>15517</t>
  </si>
  <si>
    <t>40189</t>
  </si>
  <si>
    <t>42079</t>
  </si>
  <si>
    <t>77167</t>
  </si>
  <si>
    <t>87513</t>
  </si>
  <si>
    <t>986845</t>
  </si>
  <si>
    <t>2023-08-28</t>
  </si>
  <si>
    <t>16096</t>
  </si>
  <si>
    <t>16814</t>
  </si>
  <si>
    <t>17178</t>
  </si>
  <si>
    <t>40327</t>
  </si>
  <si>
    <t>48108</t>
  </si>
  <si>
    <t>4868</t>
  </si>
  <si>
    <t>2023-09-04</t>
  </si>
  <si>
    <t>5395</t>
  </si>
  <si>
    <t>26821</t>
  </si>
  <si>
    <t>69666</t>
  </si>
  <si>
    <t>4617</t>
  </si>
  <si>
    <t>73517</t>
  </si>
  <si>
    <t>4057</t>
  </si>
  <si>
    <t>85971</t>
  </si>
  <si>
    <t>2023-09-11</t>
  </si>
  <si>
    <t>13036</t>
  </si>
  <si>
    <t>28886</t>
  </si>
  <si>
    <t>33431</t>
  </si>
  <si>
    <t>34579</t>
  </si>
  <si>
    <t>4519</t>
  </si>
  <si>
    <t>41691</t>
  </si>
  <si>
    <t>49083</t>
  </si>
  <si>
    <t>65194</t>
  </si>
  <si>
    <t>78115</t>
  </si>
  <si>
    <t>010074</t>
  </si>
  <si>
    <t>962094</t>
  </si>
  <si>
    <t>990071</t>
  </si>
  <si>
    <t>2023-09-18</t>
  </si>
  <si>
    <t>14465</t>
  </si>
  <si>
    <t>24458</t>
  </si>
  <si>
    <t>40071</t>
  </si>
  <si>
    <t>43138</t>
  </si>
  <si>
    <t>68022</t>
  </si>
  <si>
    <t>5264</t>
  </si>
  <si>
    <t>84145</t>
  </si>
  <si>
    <t>86454</t>
  </si>
  <si>
    <t>88186</t>
  </si>
  <si>
    <t>2023-09-25</t>
  </si>
  <si>
    <t>27474</t>
  </si>
  <si>
    <t>34995</t>
  </si>
  <si>
    <t>35946</t>
  </si>
  <si>
    <t>57125</t>
  </si>
  <si>
    <t>77487</t>
  </si>
  <si>
    <t>86916</t>
  </si>
  <si>
    <t>88296</t>
  </si>
  <si>
    <t>2023-10-02</t>
  </si>
  <si>
    <t>101491</t>
  </si>
  <si>
    <t>010275</t>
  </si>
  <si>
    <t>32235</t>
  </si>
  <si>
    <t>68622</t>
  </si>
  <si>
    <t>84373</t>
  </si>
  <si>
    <t>2023-10-09</t>
  </si>
  <si>
    <t>22480</t>
  </si>
  <si>
    <t>25936</t>
  </si>
  <si>
    <t>26176</t>
  </si>
  <si>
    <t>32238</t>
  </si>
  <si>
    <t>5338</t>
  </si>
  <si>
    <t>63125</t>
  </si>
  <si>
    <t>64489</t>
  </si>
  <si>
    <t>68868</t>
  </si>
  <si>
    <t>87280</t>
  </si>
  <si>
    <t>87647</t>
  </si>
  <si>
    <t>986145</t>
  </si>
  <si>
    <t>2023-10-16</t>
  </si>
  <si>
    <t>102182</t>
  </si>
  <si>
    <t>21493</t>
  </si>
  <si>
    <t>41019</t>
  </si>
  <si>
    <t>44266</t>
  </si>
  <si>
    <t>82606</t>
  </si>
  <si>
    <t>85606</t>
  </si>
  <si>
    <t>88205</t>
  </si>
  <si>
    <t>2023-10-23</t>
  </si>
  <si>
    <t>10626</t>
  </si>
  <si>
    <t>010214</t>
  </si>
  <si>
    <t>22788</t>
  </si>
  <si>
    <t>6209</t>
  </si>
  <si>
    <t>5133</t>
  </si>
  <si>
    <t>6213</t>
  </si>
  <si>
    <t>67006</t>
  </si>
  <si>
    <t>6126</t>
  </si>
  <si>
    <t>76478</t>
  </si>
  <si>
    <t>80457</t>
  </si>
  <si>
    <t>2023-10-30</t>
  </si>
  <si>
    <t>26966</t>
  </si>
  <si>
    <t>5635</t>
  </si>
  <si>
    <t>966136</t>
  </si>
  <si>
    <t>2023-11-13</t>
  </si>
  <si>
    <t>100861</t>
  </si>
  <si>
    <t>101989</t>
  </si>
  <si>
    <t>17207</t>
  </si>
  <si>
    <t>30317</t>
  </si>
  <si>
    <t>43025</t>
  </si>
  <si>
    <t>52590</t>
  </si>
  <si>
    <t>64572</t>
  </si>
  <si>
    <t>67610</t>
  </si>
  <si>
    <t>72395</t>
  </si>
  <si>
    <t>87025</t>
  </si>
  <si>
    <t>89577</t>
  </si>
  <si>
    <t>902256</t>
  </si>
  <si>
    <t>2023-11-20</t>
  </si>
  <si>
    <t>5565</t>
  </si>
  <si>
    <t>100642</t>
  </si>
  <si>
    <t>15606</t>
  </si>
  <si>
    <t>22172</t>
  </si>
  <si>
    <t>43334</t>
  </si>
  <si>
    <t>5753</t>
  </si>
  <si>
    <t>Unknown</t>
  </si>
  <si>
    <t>58874</t>
  </si>
  <si>
    <t>65257</t>
  </si>
  <si>
    <t>73588</t>
  </si>
  <si>
    <t>75264</t>
  </si>
  <si>
    <t>4971</t>
  </si>
  <si>
    <t>80362</t>
  </si>
  <si>
    <t>2023-11-27</t>
  </si>
  <si>
    <t>6214</t>
  </si>
  <si>
    <t>101815</t>
  </si>
  <si>
    <t>10836</t>
  </si>
  <si>
    <t>22784</t>
  </si>
  <si>
    <t>27604</t>
  </si>
  <si>
    <t>28081</t>
  </si>
  <si>
    <t>32462</t>
  </si>
  <si>
    <t>6245</t>
  </si>
  <si>
    <t>33663</t>
  </si>
  <si>
    <t>37987</t>
  </si>
  <si>
    <t>52597</t>
  </si>
  <si>
    <t>62811</t>
  </si>
  <si>
    <t>964620</t>
  </si>
  <si>
    <t>2023-12-04</t>
  </si>
  <si>
    <t>17915</t>
  </si>
  <si>
    <t>25068</t>
  </si>
  <si>
    <t>010270</t>
  </si>
  <si>
    <t>28905</t>
  </si>
  <si>
    <t>35913</t>
  </si>
  <si>
    <t>89585</t>
  </si>
  <si>
    <t>903385</t>
  </si>
  <si>
    <t>904815</t>
  </si>
  <si>
    <t>2023-12-11</t>
  </si>
  <si>
    <t>2535</t>
  </si>
  <si>
    <t>12860</t>
  </si>
  <si>
    <t>34746</t>
  </si>
  <si>
    <t>4511</t>
  </si>
  <si>
    <t>40359</t>
  </si>
  <si>
    <t>42566</t>
  </si>
  <si>
    <t>49186</t>
  </si>
  <si>
    <t>65627</t>
  </si>
  <si>
    <t>87782</t>
  </si>
  <si>
    <t>2023-12-18</t>
  </si>
  <si>
    <t>101180</t>
  </si>
  <si>
    <t>15856</t>
  </si>
  <si>
    <t>37952</t>
  </si>
  <si>
    <t>40594</t>
  </si>
  <si>
    <t>6264</t>
  </si>
  <si>
    <t>52580</t>
  </si>
  <si>
    <t>5327</t>
  </si>
  <si>
    <t>57146</t>
  </si>
  <si>
    <t>62041</t>
  </si>
  <si>
    <t>69656</t>
  </si>
  <si>
    <t>74801</t>
  </si>
  <si>
    <t>2023-12-25</t>
  </si>
  <si>
    <t>17086</t>
  </si>
  <si>
    <t>58860</t>
  </si>
  <si>
    <t>73748</t>
  </si>
  <si>
    <t>88530</t>
  </si>
  <si>
    <t>2024-01-01</t>
  </si>
  <si>
    <t>10778</t>
  </si>
  <si>
    <t>10807</t>
  </si>
  <si>
    <t>27026</t>
  </si>
  <si>
    <t>33256</t>
  </si>
  <si>
    <t>39753</t>
  </si>
  <si>
    <t>63043</t>
  </si>
  <si>
    <t>68222</t>
  </si>
  <si>
    <t>4379</t>
  </si>
  <si>
    <t>78133</t>
  </si>
  <si>
    <t>2024-01-08</t>
  </si>
  <si>
    <t>14846</t>
  </si>
  <si>
    <t>15982</t>
  </si>
  <si>
    <t>26827</t>
  </si>
  <si>
    <t>5802</t>
  </si>
  <si>
    <t>36482</t>
  </si>
  <si>
    <t>37523</t>
  </si>
  <si>
    <t>43208</t>
  </si>
  <si>
    <t>62405</t>
  </si>
  <si>
    <t>76359</t>
  </si>
  <si>
    <t>80394</t>
  </si>
  <si>
    <t>86139</t>
  </si>
  <si>
    <t>89278</t>
  </si>
  <si>
    <t>901350</t>
  </si>
  <si>
    <t>2024-01-15</t>
  </si>
  <si>
    <t>11346</t>
  </si>
  <si>
    <t>20116</t>
  </si>
  <si>
    <t>76040</t>
  </si>
  <si>
    <t>81206</t>
  </si>
  <si>
    <t>987296</t>
  </si>
  <si>
    <t>2024-01-22</t>
  </si>
  <si>
    <t>26789</t>
  </si>
  <si>
    <t>39555</t>
  </si>
  <si>
    <t>52318</t>
  </si>
  <si>
    <t>69636</t>
  </si>
  <si>
    <t>2024-01-29</t>
  </si>
  <si>
    <t>34117</t>
  </si>
  <si>
    <t>2707</t>
  </si>
  <si>
    <t>36968</t>
  </si>
  <si>
    <t>51156</t>
  </si>
  <si>
    <t>66993</t>
  </si>
  <si>
    <t>78214</t>
  </si>
  <si>
    <t>87872</t>
  </si>
  <si>
    <t>2024-02-05</t>
  </si>
  <si>
    <t>36874</t>
  </si>
  <si>
    <t>73256</t>
  </si>
  <si>
    <t>2024-02-12</t>
  </si>
  <si>
    <t>27016</t>
  </si>
  <si>
    <t>27197</t>
  </si>
  <si>
    <t>27629</t>
  </si>
  <si>
    <t>36976</t>
  </si>
  <si>
    <t>39250</t>
  </si>
  <si>
    <t>4184</t>
  </si>
  <si>
    <t>46504</t>
  </si>
  <si>
    <t>5037</t>
  </si>
  <si>
    <t>72928</t>
  </si>
  <si>
    <t>86078</t>
  </si>
  <si>
    <t>2024-02-19</t>
  </si>
  <si>
    <t>010272</t>
  </si>
  <si>
    <t>11294</t>
  </si>
  <si>
    <t>14501</t>
  </si>
  <si>
    <t>27453</t>
  </si>
  <si>
    <t>52806</t>
  </si>
  <si>
    <t>64868</t>
  </si>
  <si>
    <t>65527</t>
  </si>
  <si>
    <t>86672</t>
  </si>
  <si>
    <t>2024-02-26</t>
  </si>
  <si>
    <t>100026</t>
  </si>
  <si>
    <t>3806</t>
  </si>
  <si>
    <t>34188</t>
  </si>
  <si>
    <t>37888</t>
  </si>
  <si>
    <t>39422</t>
  </si>
  <si>
    <t>44217</t>
  </si>
  <si>
    <t>5307</t>
  </si>
  <si>
    <t>5157</t>
  </si>
  <si>
    <t>64863</t>
  </si>
  <si>
    <t>84207</t>
  </si>
  <si>
    <t>84222</t>
  </si>
  <si>
    <t>87283</t>
  </si>
  <si>
    <t>2024-03-04</t>
  </si>
  <si>
    <t>17020</t>
  </si>
  <si>
    <t>17951</t>
  </si>
  <si>
    <t>34366</t>
  </si>
  <si>
    <t>36889</t>
  </si>
  <si>
    <t>44476</t>
  </si>
  <si>
    <t>64512</t>
  </si>
  <si>
    <t>916809</t>
  </si>
  <si>
    <t>2024-03-11</t>
  </si>
  <si>
    <t>010115</t>
  </si>
  <si>
    <t>10548</t>
  </si>
  <si>
    <t>16502</t>
  </si>
  <si>
    <t>27171</t>
  </si>
  <si>
    <t>29287</t>
  </si>
  <si>
    <t>35315</t>
  </si>
  <si>
    <t>84496</t>
  </si>
  <si>
    <t>85482</t>
  </si>
  <si>
    <t>2024-03-18</t>
  </si>
  <si>
    <t>25607</t>
  </si>
  <si>
    <t>26291</t>
  </si>
  <si>
    <t>37257</t>
  </si>
  <si>
    <t>5289</t>
  </si>
  <si>
    <t>63851</t>
  </si>
  <si>
    <t>77988</t>
  </si>
  <si>
    <t>80024</t>
  </si>
  <si>
    <t>87402</t>
  </si>
  <si>
    <t>88546</t>
  </si>
  <si>
    <t>88570</t>
  </si>
  <si>
    <t>2024-03-25</t>
  </si>
  <si>
    <t>21986</t>
  </si>
  <si>
    <t>5466</t>
  </si>
  <si>
    <t>5345</t>
  </si>
  <si>
    <t>55066</t>
  </si>
  <si>
    <t>77740</t>
  </si>
  <si>
    <t>84166</t>
  </si>
  <si>
    <t>86692</t>
  </si>
  <si>
    <t>6288</t>
  </si>
  <si>
    <t>86698</t>
  </si>
  <si>
    <t>2024-04-01</t>
  </si>
  <si>
    <t>29712</t>
  </si>
  <si>
    <t>6342</t>
  </si>
  <si>
    <t>41360</t>
  </si>
  <si>
    <t>67527</t>
  </si>
  <si>
    <t>2024-04-08</t>
  </si>
  <si>
    <t>19066</t>
  </si>
  <si>
    <t>43124</t>
  </si>
  <si>
    <t>5247</t>
  </si>
  <si>
    <t>53206</t>
  </si>
  <si>
    <t>59219</t>
  </si>
  <si>
    <t>88549</t>
  </si>
  <si>
    <t>89519</t>
  </si>
  <si>
    <t>2024-04-15</t>
  </si>
  <si>
    <t>5375</t>
  </si>
  <si>
    <t>11771</t>
  </si>
  <si>
    <t>11786</t>
  </si>
  <si>
    <t>22215</t>
  </si>
  <si>
    <t>26364</t>
  </si>
  <si>
    <t>28704</t>
  </si>
  <si>
    <t>37338</t>
  </si>
  <si>
    <t>38176</t>
  </si>
  <si>
    <t>45278</t>
  </si>
  <si>
    <t>5446</t>
  </si>
  <si>
    <t>65451</t>
  </si>
  <si>
    <t>67900</t>
  </si>
  <si>
    <t>82847</t>
  </si>
  <si>
    <t>86250</t>
  </si>
  <si>
    <t>2024-04-22</t>
  </si>
  <si>
    <t>26585</t>
  </si>
  <si>
    <t>38056</t>
  </si>
  <si>
    <t>38221</t>
  </si>
  <si>
    <t>39825</t>
  </si>
  <si>
    <t>59192</t>
  </si>
  <si>
    <t>77805</t>
  </si>
  <si>
    <t>86503</t>
  </si>
  <si>
    <t>2024-04-29</t>
  </si>
  <si>
    <t>5816</t>
  </si>
  <si>
    <t>100413</t>
  </si>
  <si>
    <t>15933</t>
  </si>
  <si>
    <t>48105</t>
  </si>
  <si>
    <t>66226</t>
  </si>
  <si>
    <t>010334</t>
  </si>
  <si>
    <t>87712</t>
  </si>
  <si>
    <t>2024-05-06</t>
  </si>
  <si>
    <t>21209</t>
  </si>
  <si>
    <t>24761</t>
  </si>
  <si>
    <t>25990</t>
  </si>
  <si>
    <t>27380</t>
  </si>
  <si>
    <t>5698</t>
  </si>
  <si>
    <t>37996</t>
  </si>
  <si>
    <t>39449</t>
  </si>
  <si>
    <t>41299</t>
  </si>
  <si>
    <t>73762</t>
  </si>
  <si>
    <t>87043</t>
  </si>
  <si>
    <t>942636</t>
  </si>
  <si>
    <t>2024-05-13</t>
  </si>
  <si>
    <t>15248</t>
  </si>
  <si>
    <t>19478</t>
  </si>
  <si>
    <t>36908</t>
  </si>
  <si>
    <t>64955</t>
  </si>
  <si>
    <t>3644</t>
  </si>
  <si>
    <t>73986</t>
  </si>
  <si>
    <t>2024-05-20</t>
  </si>
  <si>
    <t>28866</t>
  </si>
  <si>
    <t>30238</t>
  </si>
  <si>
    <t>31470</t>
  </si>
  <si>
    <t>36965</t>
  </si>
  <si>
    <t>6267</t>
  </si>
  <si>
    <t>64892</t>
  </si>
  <si>
    <t>010416</t>
  </si>
  <si>
    <t>68038</t>
  </si>
  <si>
    <t>75889</t>
  </si>
  <si>
    <t>82787</t>
  </si>
  <si>
    <t>2024-05-27</t>
  </si>
  <si>
    <t>15818</t>
  </si>
  <si>
    <t>28275</t>
  </si>
  <si>
    <t>34877</t>
  </si>
  <si>
    <t>36302</t>
  </si>
  <si>
    <t>010060</t>
  </si>
  <si>
    <t>41703</t>
  </si>
  <si>
    <t>4846</t>
  </si>
  <si>
    <t>2024-06-03</t>
  </si>
  <si>
    <t>11366</t>
  </si>
  <si>
    <t>22199</t>
  </si>
  <si>
    <t>27410</t>
  </si>
  <si>
    <t>42718</t>
  </si>
  <si>
    <t>80518</t>
  </si>
  <si>
    <t>88018</t>
  </si>
  <si>
    <t>2024-06-10</t>
  </si>
  <si>
    <t>16562</t>
  </si>
  <si>
    <t>34425</t>
  </si>
  <si>
    <t>36308</t>
  </si>
  <si>
    <t>36618</t>
  </si>
  <si>
    <t>010411</t>
  </si>
  <si>
    <t>43902</t>
  </si>
  <si>
    <t>47865</t>
  </si>
  <si>
    <t>5006</t>
  </si>
  <si>
    <t>64762</t>
  </si>
  <si>
    <t>65013</t>
  </si>
  <si>
    <t>65214</t>
  </si>
  <si>
    <t>2024-06-17</t>
  </si>
  <si>
    <t>19112</t>
  </si>
  <si>
    <t>25616</t>
  </si>
  <si>
    <t>35435</t>
  </si>
  <si>
    <t>6256</t>
  </si>
  <si>
    <t>67158</t>
  </si>
  <si>
    <t>82637</t>
  </si>
  <si>
    <t>89178</t>
  </si>
  <si>
    <t>988063</t>
  </si>
  <si>
    <t>2024-06-24</t>
  </si>
  <si>
    <t>18095</t>
  </si>
  <si>
    <t>41625</t>
  </si>
  <si>
    <t>57051</t>
  </si>
  <si>
    <t>57157</t>
  </si>
  <si>
    <t>63233</t>
  </si>
  <si>
    <t>63345</t>
  </si>
  <si>
    <t>78073</t>
  </si>
  <si>
    <t>87482</t>
  </si>
  <si>
    <t>87509</t>
  </si>
  <si>
    <t>2024-07-01</t>
  </si>
  <si>
    <t>31658</t>
  </si>
  <si>
    <t>38516</t>
  </si>
  <si>
    <t>2627</t>
  </si>
  <si>
    <t>53218</t>
  </si>
  <si>
    <t>59536</t>
  </si>
  <si>
    <t>69939</t>
  </si>
  <si>
    <t>86749</t>
  </si>
  <si>
    <t>89196</t>
  </si>
  <si>
    <t>988979</t>
  </si>
  <si>
    <t>2024-07-08</t>
  </si>
  <si>
    <t>26678</t>
  </si>
  <si>
    <t>34076</t>
  </si>
  <si>
    <t>39922</t>
  </si>
  <si>
    <t>2024-07-15</t>
  </si>
  <si>
    <t>102407</t>
  </si>
  <si>
    <t>64816</t>
  </si>
  <si>
    <t>76631</t>
  </si>
  <si>
    <t>2703</t>
  </si>
  <si>
    <t>86017</t>
  </si>
  <si>
    <t>88833</t>
  </si>
  <si>
    <t>89626</t>
  </si>
  <si>
    <t>976641</t>
  </si>
  <si>
    <t>2024-07-22</t>
  </si>
  <si>
    <t>18350</t>
  </si>
  <si>
    <t>34003</t>
  </si>
  <si>
    <t>38810</t>
  </si>
  <si>
    <t>39322</t>
  </si>
  <si>
    <t>56793</t>
  </si>
  <si>
    <t>77709</t>
  </si>
  <si>
    <t>80365</t>
  </si>
  <si>
    <t>85302</t>
  </si>
  <si>
    <t>920376</t>
  </si>
  <si>
    <t>941060</t>
  </si>
  <si>
    <t>2024-07-29</t>
  </si>
  <si>
    <t>10803</t>
  </si>
  <si>
    <t>43134</t>
  </si>
  <si>
    <t>56195</t>
  </si>
  <si>
    <t>64278</t>
  </si>
  <si>
    <t>81406</t>
  </si>
  <si>
    <t>2024-08-05</t>
  </si>
  <si>
    <t>15628</t>
  </si>
  <si>
    <t>17958</t>
  </si>
  <si>
    <t>32232</t>
  </si>
  <si>
    <t>37231</t>
  </si>
  <si>
    <t>37663</t>
  </si>
  <si>
    <t>43848</t>
  </si>
  <si>
    <t>57210</t>
  </si>
  <si>
    <t>89846</t>
  </si>
  <si>
    <t>2024-08-12</t>
  </si>
  <si>
    <t>100104</t>
  </si>
  <si>
    <t>11912</t>
  </si>
  <si>
    <t>28302</t>
  </si>
  <si>
    <t>35628</t>
  </si>
  <si>
    <t>36124</t>
  </si>
  <si>
    <t>36871</t>
  </si>
  <si>
    <t>43034</t>
  </si>
  <si>
    <t>87306</t>
  </si>
  <si>
    <t>87586</t>
  </si>
  <si>
    <t>88354</t>
  </si>
  <si>
    <t>89206</t>
  </si>
  <si>
    <t>910882</t>
  </si>
  <si>
    <t>929256</t>
  </si>
  <si>
    <t>965235</t>
  </si>
  <si>
    <t>2024-08-19</t>
  </si>
  <si>
    <t>28236</t>
  </si>
  <si>
    <t>37712</t>
  </si>
  <si>
    <t>43078</t>
  </si>
  <si>
    <t>77284</t>
  </si>
  <si>
    <t>86785</t>
  </si>
  <si>
    <t>89787</t>
  </si>
  <si>
    <t>2024-08-26</t>
  </si>
  <si>
    <t>102286</t>
  </si>
  <si>
    <t>17089</t>
  </si>
  <si>
    <t>21065</t>
  </si>
  <si>
    <t>27125</t>
  </si>
  <si>
    <t>55088</t>
  </si>
  <si>
    <t>58868</t>
  </si>
  <si>
    <t>64336</t>
  </si>
  <si>
    <t>88290</t>
  </si>
  <si>
    <t>88741</t>
  </si>
  <si>
    <t>2024-09-02</t>
  </si>
  <si>
    <t>34014</t>
  </si>
  <si>
    <t>39382</t>
  </si>
  <si>
    <t>010466</t>
  </si>
  <si>
    <t>81124</t>
  </si>
  <si>
    <t>2024-09-09</t>
  </si>
  <si>
    <t>37061</t>
  </si>
  <si>
    <t>38088</t>
  </si>
  <si>
    <t>42240</t>
  </si>
  <si>
    <t>43316</t>
  </si>
  <si>
    <t>82836</t>
  </si>
  <si>
    <t>84400</t>
  </si>
  <si>
    <t>2024-09-16</t>
  </si>
  <si>
    <t>16676</t>
  </si>
  <si>
    <t>43797</t>
  </si>
  <si>
    <t>52314</t>
  </si>
  <si>
    <t>56732</t>
  </si>
  <si>
    <t>59052</t>
  </si>
  <si>
    <t>67522</t>
  </si>
  <si>
    <t>010478</t>
  </si>
  <si>
    <t>76183</t>
  </si>
  <si>
    <t>87485</t>
  </si>
  <si>
    <t>2024-09-23</t>
  </si>
  <si>
    <t>10792</t>
  </si>
  <si>
    <t>22384</t>
  </si>
  <si>
    <t>41693</t>
  </si>
  <si>
    <t>43426</t>
  </si>
  <si>
    <t>53645</t>
  </si>
  <si>
    <t>86423</t>
  </si>
  <si>
    <t>8825</t>
  </si>
  <si>
    <t>2024-09-30</t>
  </si>
  <si>
    <t>23828</t>
  </si>
  <si>
    <t>27682</t>
  </si>
  <si>
    <t>65253</t>
  </si>
  <si>
    <t>2024-10-07</t>
  </si>
  <si>
    <t>20247</t>
  </si>
  <si>
    <t>42699</t>
  </si>
  <si>
    <t>42984</t>
  </si>
  <si>
    <t>43328</t>
  </si>
  <si>
    <t>4730</t>
  </si>
  <si>
    <t>447</t>
  </si>
  <si>
    <t>65793</t>
  </si>
  <si>
    <t>76502</t>
  </si>
  <si>
    <t>86602</t>
  </si>
  <si>
    <t>918026</t>
  </si>
  <si>
    <t>2024-10-14</t>
  </si>
  <si>
    <t>16307</t>
  </si>
  <si>
    <t>28465</t>
  </si>
  <si>
    <t>5131</t>
  </si>
  <si>
    <t>40590</t>
  </si>
  <si>
    <t>45884</t>
  </si>
  <si>
    <t>46140</t>
  </si>
  <si>
    <t>49086</t>
  </si>
  <si>
    <t>75026</t>
  </si>
  <si>
    <t>80577</t>
  </si>
  <si>
    <t>86843</t>
  </si>
  <si>
    <t>89233</t>
  </si>
  <si>
    <t>2024-10-21</t>
  </si>
  <si>
    <t>33467</t>
  </si>
  <si>
    <t>35356</t>
  </si>
  <si>
    <t>010485</t>
  </si>
  <si>
    <t>5596</t>
  </si>
  <si>
    <t>67043</t>
  </si>
  <si>
    <t>80239</t>
  </si>
  <si>
    <t>80419</t>
  </si>
  <si>
    <t>5664</t>
  </si>
  <si>
    <t>84102</t>
  </si>
  <si>
    <t>89121</t>
  </si>
  <si>
    <t>89329</t>
  </si>
  <si>
    <t>2024-10-28</t>
  </si>
  <si>
    <t>25603</t>
  </si>
  <si>
    <t>34244</t>
  </si>
  <si>
    <t>34753</t>
  </si>
  <si>
    <t>48099</t>
  </si>
  <si>
    <t>63319</t>
  </si>
  <si>
    <t>86464</t>
  </si>
  <si>
    <t>2024-11-04</t>
  </si>
  <si>
    <t>010443</t>
  </si>
  <si>
    <t>21672</t>
  </si>
  <si>
    <t>010482</t>
  </si>
  <si>
    <t>29996</t>
  </si>
  <si>
    <t>34821</t>
  </si>
  <si>
    <t>37935</t>
  </si>
  <si>
    <t>5507</t>
  </si>
  <si>
    <t>39865</t>
  </si>
  <si>
    <t>43050</t>
  </si>
  <si>
    <t>76843</t>
  </si>
  <si>
    <t>88768</t>
  </si>
  <si>
    <t>2024-11-11</t>
  </si>
  <si>
    <t>10789</t>
  </si>
  <si>
    <t>18203</t>
  </si>
  <si>
    <t>5625</t>
  </si>
  <si>
    <t>23626</t>
  </si>
  <si>
    <t>27100</t>
  </si>
  <si>
    <t>27783</t>
  </si>
  <si>
    <t>45888</t>
  </si>
  <si>
    <t>63134</t>
  </si>
  <si>
    <t>89215</t>
  </si>
  <si>
    <t>2024-11-18</t>
  </si>
  <si>
    <t>20318</t>
  </si>
  <si>
    <t>46320</t>
  </si>
  <si>
    <t>65127</t>
  </si>
  <si>
    <t>76830</t>
  </si>
  <si>
    <t>3691</t>
  </si>
  <si>
    <t>87194</t>
  </si>
  <si>
    <t>87937</t>
  </si>
  <si>
    <t>2024-11-25</t>
  </si>
  <si>
    <t>21254</t>
  </si>
  <si>
    <t>26096</t>
  </si>
  <si>
    <t>26710</t>
  </si>
  <si>
    <t>47859</t>
  </si>
  <si>
    <t>80129</t>
  </si>
  <si>
    <t>924578</t>
  </si>
  <si>
    <t>936928</t>
  </si>
  <si>
    <t>965269</t>
  </si>
  <si>
    <t>2024-12-02</t>
  </si>
  <si>
    <t>34036</t>
  </si>
  <si>
    <t>43337</t>
  </si>
  <si>
    <t>69617</t>
  </si>
  <si>
    <t>76487</t>
  </si>
  <si>
    <t>2024-12-09</t>
  </si>
  <si>
    <t>22241</t>
  </si>
  <si>
    <t>26160</t>
  </si>
  <si>
    <t>010078</t>
  </si>
  <si>
    <t>30527</t>
  </si>
  <si>
    <t>36578</t>
  </si>
  <si>
    <t>58066</t>
  </si>
  <si>
    <t>67556</t>
  </si>
  <si>
    <t>77774</t>
  </si>
  <si>
    <t>77852</t>
  </si>
  <si>
    <t>80000</t>
  </si>
  <si>
    <t>80485</t>
  </si>
  <si>
    <t>86390</t>
  </si>
  <si>
    <t>89837</t>
  </si>
  <si>
    <t>2024-12-16</t>
  </si>
  <si>
    <t>26474</t>
  </si>
  <si>
    <t>29490</t>
  </si>
  <si>
    <t>41940</t>
  </si>
  <si>
    <t>43387</t>
  </si>
  <si>
    <t>44551</t>
  </si>
  <si>
    <t>58877</t>
  </si>
  <si>
    <t>66875</t>
  </si>
  <si>
    <t>82866</t>
  </si>
  <si>
    <t>5782</t>
  </si>
  <si>
    <t>86886</t>
  </si>
  <si>
    <t>88633</t>
  </si>
  <si>
    <t>2024-12-23</t>
  </si>
  <si>
    <t>102042</t>
  </si>
  <si>
    <t>19028</t>
  </si>
  <si>
    <t>19227</t>
  </si>
  <si>
    <t>42666</t>
  </si>
  <si>
    <t>47785</t>
  </si>
  <si>
    <t>73055</t>
  </si>
  <si>
    <t>84192</t>
  </si>
  <si>
    <t>89154</t>
  </si>
  <si>
    <t>89386</t>
  </si>
  <si>
    <t>2024-12-30</t>
  </si>
  <si>
    <t>37416</t>
  </si>
  <si>
    <t>58836</t>
  </si>
  <si>
    <t>6338</t>
  </si>
  <si>
    <t>73136</t>
  </si>
  <si>
    <t>89468</t>
  </si>
  <si>
    <t>6275</t>
  </si>
  <si>
    <t>16832</t>
  </si>
  <si>
    <t>3773</t>
  </si>
  <si>
    <t>35626</t>
  </si>
  <si>
    <t>6332</t>
  </si>
  <si>
    <t>2565</t>
  </si>
  <si>
    <t>82611</t>
  </si>
  <si>
    <t>965218</t>
  </si>
  <si>
    <t>4401</t>
  </si>
  <si>
    <t>17085</t>
  </si>
  <si>
    <t>2590</t>
  </si>
  <si>
    <t>6236</t>
  </si>
  <si>
    <t>34598</t>
  </si>
  <si>
    <t>34871</t>
  </si>
  <si>
    <t>5207</t>
  </si>
  <si>
    <t>010004</t>
  </si>
  <si>
    <t>2552</t>
  </si>
  <si>
    <t>68306</t>
  </si>
  <si>
    <t>88533</t>
  </si>
  <si>
    <t>3932</t>
  </si>
  <si>
    <t>13638</t>
  </si>
  <si>
    <t>4559</t>
  </si>
  <si>
    <t>3626</t>
  </si>
  <si>
    <t>44081</t>
  </si>
  <si>
    <t>5102</t>
  </si>
  <si>
    <t>81207</t>
  </si>
  <si>
    <t>2588</t>
  </si>
  <si>
    <t>3542</t>
  </si>
  <si>
    <t>2508</t>
  </si>
  <si>
    <t>916379</t>
  </si>
  <si>
    <t>10550</t>
  </si>
  <si>
    <t>5418</t>
  </si>
  <si>
    <t>43336</t>
  </si>
  <si>
    <t>2647</t>
  </si>
  <si>
    <t>4626</t>
  </si>
  <si>
    <t>2661</t>
  </si>
  <si>
    <t>2509</t>
  </si>
  <si>
    <t>65258</t>
  </si>
  <si>
    <t>5176</t>
  </si>
  <si>
    <t>75221</t>
  </si>
  <si>
    <t>4492</t>
  </si>
  <si>
    <t>76067</t>
  </si>
  <si>
    <t>926778</t>
  </si>
  <si>
    <t>25451</t>
  </si>
  <si>
    <t>75087</t>
  </si>
  <si>
    <t>2560</t>
  </si>
  <si>
    <t>6280</t>
  </si>
  <si>
    <t>64497</t>
  </si>
  <si>
    <t>65792</t>
  </si>
  <si>
    <t>77730</t>
  </si>
  <si>
    <t>80487</t>
  </si>
  <si>
    <t>2529</t>
  </si>
  <si>
    <t>8827</t>
  </si>
  <si>
    <t>6073</t>
  </si>
  <si>
    <t>78217</t>
  </si>
  <si>
    <t>5254</t>
  </si>
  <si>
    <t>87054</t>
  </si>
  <si>
    <t>6173</t>
  </si>
  <si>
    <t>940067</t>
  </si>
  <si>
    <t>11348</t>
  </si>
  <si>
    <t>3666</t>
  </si>
  <si>
    <t>28246</t>
  </si>
  <si>
    <t>2847</t>
  </si>
  <si>
    <t>58875</t>
  </si>
  <si>
    <t>5423</t>
  </si>
  <si>
    <t>15247</t>
  </si>
  <si>
    <t>36887</t>
  </si>
  <si>
    <t>37986</t>
  </si>
  <si>
    <t>6201</t>
  </si>
  <si>
    <t>69946</t>
  </si>
  <si>
    <t>3723</t>
  </si>
  <si>
    <t>72380</t>
  </si>
  <si>
    <t>5842</t>
  </si>
  <si>
    <t>63347</t>
  </si>
  <si>
    <t>2551</t>
  </si>
  <si>
    <t>88375</t>
  </si>
  <si>
    <t>20366</t>
  </si>
  <si>
    <t>4507</t>
  </si>
  <si>
    <t>43137</t>
  </si>
  <si>
    <t>4269</t>
  </si>
  <si>
    <t>59231</t>
  </si>
  <si>
    <t>87018</t>
  </si>
  <si>
    <t>942393</t>
  </si>
  <si>
    <t>15296</t>
  </si>
  <si>
    <t>34051</t>
  </si>
  <si>
    <t>3784</t>
  </si>
  <si>
    <t>44456</t>
  </si>
  <si>
    <t>5036</t>
  </si>
  <si>
    <t>5325</t>
  </si>
  <si>
    <t>75242</t>
  </si>
  <si>
    <t>920374</t>
  </si>
  <si>
    <t>100686</t>
  </si>
  <si>
    <t>Missing Week</t>
  </si>
  <si>
    <t>14519</t>
  </si>
  <si>
    <t>010168</t>
  </si>
  <si>
    <t>16519</t>
  </si>
  <si>
    <t>19477</t>
  </si>
  <si>
    <t>27920</t>
  </si>
  <si>
    <t>37500</t>
  </si>
  <si>
    <t>43121</t>
  </si>
  <si>
    <t>58913</t>
  </si>
  <si>
    <t>010077</t>
  </si>
  <si>
    <t>64904</t>
  </si>
  <si>
    <t>5618</t>
  </si>
  <si>
    <t>2605</t>
  </si>
  <si>
    <t>67180</t>
  </si>
  <si>
    <t>10808</t>
  </si>
  <si>
    <t>010061</t>
  </si>
  <si>
    <t>16254</t>
  </si>
  <si>
    <t>5701</t>
  </si>
  <si>
    <t>41696</t>
  </si>
  <si>
    <t>43128</t>
  </si>
  <si>
    <t>44259</t>
  </si>
  <si>
    <t>5080</t>
  </si>
  <si>
    <t>5222</t>
  </si>
  <si>
    <t>47790</t>
  </si>
  <si>
    <t>69637</t>
  </si>
  <si>
    <t>5574</t>
  </si>
  <si>
    <t>76373</t>
  </si>
  <si>
    <t>89006</t>
  </si>
  <si>
    <t>6290</t>
  </si>
  <si>
    <t>986730</t>
  </si>
  <si>
    <t>44499</t>
  </si>
  <si>
    <t>64334</t>
  </si>
  <si>
    <t>69709</t>
  </si>
  <si>
    <t>75198</t>
  </si>
  <si>
    <t>11777</t>
  </si>
  <si>
    <t>3829</t>
  </si>
  <si>
    <t>39763</t>
  </si>
  <si>
    <t>65973</t>
  </si>
  <si>
    <t>3628</t>
  </si>
  <si>
    <t>69715</t>
  </si>
  <si>
    <t>73456</t>
  </si>
  <si>
    <t>26172</t>
  </si>
  <si>
    <t>39381</t>
  </si>
  <si>
    <t>6103</t>
  </si>
  <si>
    <t>5636</t>
  </si>
  <si>
    <t>101674</t>
  </si>
  <si>
    <t>15830</t>
  </si>
  <si>
    <t>29115</t>
  </si>
  <si>
    <t>35416</t>
  </si>
  <si>
    <t>902420</t>
  </si>
  <si>
    <t>975028</t>
  </si>
  <si>
    <t>010213</t>
  </si>
  <si>
    <t>29998</t>
  </si>
  <si>
    <t>6277</t>
  </si>
  <si>
    <t>5106</t>
  </si>
  <si>
    <t>80458</t>
  </si>
  <si>
    <t>17520</t>
  </si>
  <si>
    <t>29288</t>
  </si>
  <si>
    <t>6168</t>
  </si>
  <si>
    <t>38795</t>
  </si>
  <si>
    <t>43027</t>
  </si>
  <si>
    <t>4162</t>
  </si>
  <si>
    <t>57148</t>
  </si>
  <si>
    <t>81196</t>
  </si>
  <si>
    <t>5481</t>
  </si>
  <si>
    <t>88163</t>
  </si>
  <si>
    <t>21206</t>
  </si>
  <si>
    <t>27464</t>
  </si>
  <si>
    <t>5097</t>
  </si>
  <si>
    <t>57158</t>
  </si>
  <si>
    <t>86018</t>
  </si>
  <si>
    <t>010188</t>
  </si>
  <si>
    <t>27433</t>
  </si>
  <si>
    <t>6098</t>
  </si>
  <si>
    <t>68011</t>
  </si>
  <si>
    <t>87938</t>
  </si>
  <si>
    <t>11588</t>
  </si>
  <si>
    <t>4896</t>
  </si>
  <si>
    <t>38815</t>
  </si>
  <si>
    <t>65232</t>
  </si>
  <si>
    <t>76497</t>
  </si>
  <si>
    <t>15658</t>
  </si>
  <si>
    <t>18351</t>
  </si>
  <si>
    <t>3618</t>
  </si>
  <si>
    <t>37886</t>
  </si>
  <si>
    <t>3385</t>
  </si>
  <si>
    <t>6269</t>
  </si>
  <si>
    <t>86883</t>
  </si>
  <si>
    <t>33656</t>
  </si>
  <si>
    <t>37418</t>
  </si>
  <si>
    <t>45248</t>
  </si>
  <si>
    <t>5061</t>
  </si>
  <si>
    <t>74142</t>
  </si>
  <si>
    <t>010033</t>
  </si>
  <si>
    <t>75373</t>
  </si>
  <si>
    <t>994697</t>
  </si>
  <si>
    <t>17127</t>
  </si>
  <si>
    <t>21538</t>
  </si>
  <si>
    <t>37347</t>
  </si>
  <si>
    <t>38102</t>
  </si>
  <si>
    <t>43205</t>
  </si>
  <si>
    <t>84170</t>
  </si>
  <si>
    <t>951601</t>
  </si>
  <si>
    <t>33717</t>
  </si>
  <si>
    <t>4489</t>
  </si>
  <si>
    <t>42714</t>
  </si>
  <si>
    <t>55061</t>
  </si>
  <si>
    <t>65487</t>
  </si>
  <si>
    <t>84100</t>
  </si>
  <si>
    <t>87511</t>
  </si>
  <si>
    <t>31473</t>
  </si>
  <si>
    <t>77779</t>
  </si>
  <si>
    <t>82146</t>
  </si>
  <si>
    <t>84141</t>
  </si>
  <si>
    <t>87484</t>
  </si>
  <si>
    <t>903203</t>
  </si>
  <si>
    <t>56782</t>
  </si>
  <si>
    <t>63530</t>
  </si>
  <si>
    <t>6998</t>
  </si>
  <si>
    <t>3868</t>
  </si>
  <si>
    <t>14199</t>
  </si>
  <si>
    <t>2668</t>
  </si>
  <si>
    <t>42599</t>
  </si>
  <si>
    <t>928648</t>
  </si>
  <si>
    <t>984161</t>
  </si>
  <si>
    <t>4950</t>
  </si>
  <si>
    <t>87596</t>
  </si>
  <si>
    <t>26233</t>
  </si>
  <si>
    <t>4487</t>
  </si>
  <si>
    <t>36901</t>
  </si>
  <si>
    <t>010104</t>
  </si>
  <si>
    <t>43831</t>
  </si>
  <si>
    <t>76842</t>
  </si>
  <si>
    <t>4745</t>
  </si>
  <si>
    <t>27056</t>
  </si>
  <si>
    <t>43318</t>
  </si>
  <si>
    <t>4936</t>
  </si>
  <si>
    <t>5347</t>
  </si>
  <si>
    <t>73729</t>
  </si>
  <si>
    <t>6097</t>
  </si>
  <si>
    <t>80686</t>
  </si>
  <si>
    <t>3707</t>
  </si>
  <si>
    <t>85980</t>
  </si>
  <si>
    <t>5253</t>
  </si>
  <si>
    <t>102027</t>
  </si>
  <si>
    <t>4148</t>
  </si>
  <si>
    <t>21068</t>
  </si>
  <si>
    <t>39680</t>
  </si>
  <si>
    <t>41681</t>
  </si>
  <si>
    <t>68031</t>
  </si>
  <si>
    <t>86888</t>
  </si>
  <si>
    <t>100954</t>
  </si>
  <si>
    <t>5329</t>
  </si>
  <si>
    <t>22492</t>
  </si>
  <si>
    <t>80520</t>
  </si>
  <si>
    <t>85330</t>
  </si>
  <si>
    <t>87860</t>
  </si>
  <si>
    <t>28233</t>
  </si>
  <si>
    <t>66522</t>
  </si>
  <si>
    <t>5071</t>
  </si>
  <si>
    <t>89504</t>
  </si>
  <si>
    <t>5462</t>
  </si>
  <si>
    <t>89642</t>
  </si>
  <si>
    <t>3890</t>
  </si>
  <si>
    <t>84617</t>
  </si>
  <si>
    <t>4562</t>
  </si>
  <si>
    <t>86828</t>
  </si>
  <si>
    <t>2229</t>
  </si>
  <si>
    <t>010232</t>
  </si>
  <si>
    <t>25608</t>
  </si>
  <si>
    <t>5570</t>
  </si>
  <si>
    <t>68037</t>
  </si>
  <si>
    <t>010053</t>
  </si>
  <si>
    <t>42687</t>
  </si>
  <si>
    <t>67676</t>
  </si>
  <si>
    <t>37095</t>
  </si>
  <si>
    <t>5120</t>
  </si>
  <si>
    <t>43507</t>
  </si>
  <si>
    <t>2023-11-06</t>
  </si>
  <si>
    <t>19471</t>
  </si>
  <si>
    <t>27369</t>
  </si>
  <si>
    <t>35699</t>
  </si>
  <si>
    <t>42717</t>
  </si>
  <si>
    <t>66725</t>
  </si>
  <si>
    <t>010118</t>
  </si>
  <si>
    <t>11296</t>
  </si>
  <si>
    <t>22175</t>
  </si>
  <si>
    <t>87380</t>
  </si>
  <si>
    <t>5646</t>
  </si>
  <si>
    <t>903881</t>
  </si>
  <si>
    <t>19880</t>
  </si>
  <si>
    <t>3857</t>
  </si>
  <si>
    <t>24457</t>
  </si>
  <si>
    <t>4180</t>
  </si>
  <si>
    <t>43331</t>
  </si>
  <si>
    <t>85688</t>
  </si>
  <si>
    <t>5230</t>
  </si>
  <si>
    <t>89584</t>
  </si>
  <si>
    <t>10776</t>
  </si>
  <si>
    <t>010300</t>
  </si>
  <si>
    <t>57181</t>
  </si>
  <si>
    <t>58835</t>
  </si>
  <si>
    <t>63231</t>
  </si>
  <si>
    <t>83363</t>
  </si>
  <si>
    <t>2568</t>
  </si>
  <si>
    <t>27175</t>
  </si>
  <si>
    <t>942851</t>
  </si>
  <si>
    <t>3912</t>
  </si>
  <si>
    <t>102096</t>
  </si>
  <si>
    <t>4490</t>
  </si>
  <si>
    <t>65254</t>
  </si>
  <si>
    <t>68846</t>
  </si>
  <si>
    <t>965344</t>
  </si>
  <si>
    <t>6295</t>
  </si>
  <si>
    <t>43051</t>
  </si>
  <si>
    <t>6108</t>
  </si>
  <si>
    <t>76436</t>
  </si>
  <si>
    <t>56193</t>
  </si>
  <si>
    <t>84228</t>
  </si>
  <si>
    <t>86544</t>
  </si>
  <si>
    <t>010235</t>
  </si>
  <si>
    <t>36970</t>
  </si>
  <si>
    <t>64147</t>
  </si>
  <si>
    <t>18860</t>
  </si>
  <si>
    <t>35914</t>
  </si>
  <si>
    <t>76754</t>
  </si>
  <si>
    <t>18034</t>
  </si>
  <si>
    <t>4439</t>
  </si>
  <si>
    <t>4938</t>
  </si>
  <si>
    <t>36305</t>
  </si>
  <si>
    <t>5064</t>
  </si>
  <si>
    <t>73559</t>
  </si>
  <si>
    <t>75209</t>
  </si>
  <si>
    <t>78079</t>
  </si>
  <si>
    <t>19017</t>
  </si>
  <si>
    <t>37782</t>
  </si>
  <si>
    <t>65066</t>
  </si>
  <si>
    <t>84223</t>
  </si>
  <si>
    <t>988470</t>
  </si>
  <si>
    <t>10804</t>
  </si>
  <si>
    <t>26586</t>
  </si>
  <si>
    <t>88369</t>
  </si>
  <si>
    <t>34456</t>
  </si>
  <si>
    <t>35317</t>
  </si>
  <si>
    <t>41692</t>
  </si>
  <si>
    <t>5949</t>
  </si>
  <si>
    <t>64933</t>
  </si>
  <si>
    <t>2843</t>
  </si>
  <si>
    <t>86693</t>
  </si>
  <si>
    <t>88548</t>
  </si>
  <si>
    <t>2618</t>
  </si>
  <si>
    <t>17206</t>
  </si>
  <si>
    <t>28600</t>
  </si>
  <si>
    <t>010347</t>
  </si>
  <si>
    <t>28795</t>
  </si>
  <si>
    <t>26781</t>
  </si>
  <si>
    <t>31538</t>
  </si>
  <si>
    <t>2841</t>
  </si>
  <si>
    <t>34820</t>
  </si>
  <si>
    <t>5153</t>
  </si>
  <si>
    <t>65426</t>
  </si>
  <si>
    <t>87288</t>
  </si>
  <si>
    <t>88294</t>
  </si>
  <si>
    <t>35314</t>
  </si>
  <si>
    <t>67528</t>
  </si>
  <si>
    <t>82827</t>
  </si>
  <si>
    <t>010215</t>
  </si>
  <si>
    <t>6248</t>
  </si>
  <si>
    <t>101355</t>
  </si>
  <si>
    <t>5094</t>
  </si>
  <si>
    <t>10790</t>
  </si>
  <si>
    <t>12404</t>
  </si>
  <si>
    <t>34164</t>
  </si>
  <si>
    <t>38178</t>
  </si>
  <si>
    <t>69631</t>
  </si>
  <si>
    <t>14474</t>
  </si>
  <si>
    <t>80023</t>
  </si>
  <si>
    <t>84208</t>
  </si>
  <si>
    <t>84404</t>
  </si>
  <si>
    <t>86623</t>
  </si>
  <si>
    <t>5073</t>
  </si>
  <si>
    <t>42796</t>
  </si>
  <si>
    <t>44539</t>
  </si>
  <si>
    <t>77842</t>
  </si>
  <si>
    <t>84197</t>
  </si>
  <si>
    <t>87508</t>
  </si>
  <si>
    <t>12888</t>
  </si>
  <si>
    <t>15582</t>
  </si>
  <si>
    <t>28278</t>
  </si>
  <si>
    <t>34516</t>
  </si>
  <si>
    <t>40329</t>
  </si>
  <si>
    <t>54447</t>
  </si>
  <si>
    <t>78866</t>
  </si>
  <si>
    <t>22219</t>
  </si>
  <si>
    <t>39827</t>
  </si>
  <si>
    <t>47863</t>
  </si>
  <si>
    <t>62354</t>
  </si>
  <si>
    <t>4491</t>
  </si>
  <si>
    <t>43037</t>
  </si>
  <si>
    <t>43125</t>
  </si>
  <si>
    <t>10839</t>
  </si>
  <si>
    <t>010208</t>
  </si>
  <si>
    <t>11773</t>
  </si>
  <si>
    <t>4234</t>
  </si>
  <si>
    <t>11788</t>
  </si>
  <si>
    <t>010268</t>
  </si>
  <si>
    <t>19062</t>
  </si>
  <si>
    <t>34759</t>
  </si>
  <si>
    <t>33180</t>
  </si>
  <si>
    <t>36606</t>
  </si>
  <si>
    <t>38058</t>
  </si>
  <si>
    <t>41705</t>
  </si>
  <si>
    <t>49084</t>
  </si>
  <si>
    <t>86673</t>
  </si>
  <si>
    <t>987082</t>
  </si>
  <si>
    <t>38562</t>
  </si>
  <si>
    <t>38847</t>
  </si>
  <si>
    <t>43024</t>
  </si>
  <si>
    <t>54646</t>
  </si>
  <si>
    <t>21222</t>
  </si>
  <si>
    <t>64356</t>
  </si>
  <si>
    <t>102251</t>
  </si>
  <si>
    <t>17830</t>
  </si>
  <si>
    <t>5393</t>
  </si>
  <si>
    <t>25604</t>
  </si>
  <si>
    <t>35944</t>
  </si>
  <si>
    <t>56206</t>
  </si>
  <si>
    <t>922209</t>
  </si>
  <si>
    <t>27014</t>
  </si>
  <si>
    <t>34006</t>
  </si>
  <si>
    <t>34078</t>
  </si>
  <si>
    <t>43747</t>
  </si>
  <si>
    <t>80384</t>
  </si>
  <si>
    <t>88731</t>
  </si>
  <si>
    <t>57328</t>
  </si>
  <si>
    <t>79966</t>
  </si>
  <si>
    <t>84307</t>
  </si>
  <si>
    <t>4956</t>
  </si>
  <si>
    <t>68080</t>
  </si>
  <si>
    <t>77054</t>
  </si>
  <si>
    <t>26906</t>
  </si>
  <si>
    <t>30316</t>
  </si>
  <si>
    <t>56856</t>
  </si>
  <si>
    <t>4155</t>
  </si>
  <si>
    <t>64000</t>
  </si>
  <si>
    <t>65543</t>
  </si>
  <si>
    <t>5430</t>
  </si>
  <si>
    <t>86456</t>
  </si>
  <si>
    <t>87708</t>
  </si>
  <si>
    <t>10793</t>
  </si>
  <si>
    <t>58840</t>
  </si>
  <si>
    <t>80096</t>
  </si>
  <si>
    <t>64601</t>
  </si>
  <si>
    <t>89836</t>
  </si>
  <si>
    <t>010418</t>
  </si>
  <si>
    <t>38006</t>
  </si>
  <si>
    <t>44350</t>
  </si>
  <si>
    <t>76412</t>
  </si>
  <si>
    <t>5945</t>
  </si>
  <si>
    <t>86739</t>
  </si>
  <si>
    <t>16396</t>
  </si>
  <si>
    <t>37991</t>
  </si>
  <si>
    <t>38194</t>
  </si>
  <si>
    <t>77632</t>
  </si>
  <si>
    <t>77741</t>
  </si>
  <si>
    <t>85526</t>
  </si>
  <si>
    <t>11287</t>
  </si>
  <si>
    <t>14854</t>
  </si>
  <si>
    <t>19068</t>
  </si>
  <si>
    <t>24706</t>
  </si>
  <si>
    <t>36904</t>
  </si>
  <si>
    <t>3836</t>
  </si>
  <si>
    <t>5435</t>
  </si>
  <si>
    <t>73052</t>
  </si>
  <si>
    <t>76227</t>
  </si>
  <si>
    <t>77367</t>
  </si>
  <si>
    <t>17957</t>
  </si>
  <si>
    <t>19481</t>
  </si>
  <si>
    <t>4636</t>
  </si>
  <si>
    <t>84144</t>
  </si>
  <si>
    <t>40152</t>
  </si>
  <si>
    <t>5362</t>
  </si>
  <si>
    <t>55506</t>
  </si>
  <si>
    <t>66836</t>
  </si>
  <si>
    <t>78293</t>
  </si>
  <si>
    <t>86885</t>
  </si>
  <si>
    <t>28043</t>
  </si>
  <si>
    <t>89177</t>
  </si>
  <si>
    <t>89286</t>
  </si>
  <si>
    <t>26656</t>
  </si>
  <si>
    <t>86506</t>
  </si>
  <si>
    <t>4248</t>
  </si>
  <si>
    <t>26362</t>
  </si>
  <si>
    <t>10784</t>
  </si>
  <si>
    <t>22207</t>
  </si>
  <si>
    <t>23708</t>
  </si>
  <si>
    <t>27543</t>
  </si>
  <si>
    <t>27697</t>
  </si>
  <si>
    <t>42009</t>
  </si>
  <si>
    <t>52599</t>
  </si>
  <si>
    <t>58886</t>
  </si>
  <si>
    <t>010434</t>
  </si>
  <si>
    <t>67524</t>
  </si>
  <si>
    <t>67557</t>
  </si>
  <si>
    <t>35948</t>
  </si>
  <si>
    <t>89191</t>
  </si>
  <si>
    <t>52316</t>
  </si>
  <si>
    <t>66994</t>
  </si>
  <si>
    <t>25751</t>
  </si>
  <si>
    <t>28350</t>
  </si>
  <si>
    <t>41320</t>
  </si>
  <si>
    <t>4498</t>
  </si>
  <si>
    <t>43031</t>
  </si>
  <si>
    <t>6244</t>
  </si>
  <si>
    <t>6279</t>
  </si>
  <si>
    <t>87035</t>
  </si>
  <si>
    <t>29568</t>
  </si>
  <si>
    <t>5239</t>
  </si>
  <si>
    <t>77903</t>
  </si>
  <si>
    <t>102389</t>
  </si>
  <si>
    <t>12408</t>
  </si>
  <si>
    <t>15739</t>
  </si>
  <si>
    <t>15895</t>
  </si>
  <si>
    <t>26130</t>
  </si>
  <si>
    <t>34029</t>
  </si>
  <si>
    <t>52582</t>
  </si>
  <si>
    <t>63124</t>
  </si>
  <si>
    <t>86970</t>
  </si>
  <si>
    <t>87643</t>
  </si>
  <si>
    <t>89198</t>
  </si>
  <si>
    <t>17916</t>
  </si>
  <si>
    <t>21689</t>
  </si>
  <si>
    <t>37936</t>
  </si>
  <si>
    <t>52319</t>
  </si>
  <si>
    <t>86781</t>
  </si>
  <si>
    <t>88285</t>
  </si>
  <si>
    <t>010381</t>
  </si>
  <si>
    <t>89139</t>
  </si>
  <si>
    <t>89164</t>
  </si>
  <si>
    <t>010408</t>
  </si>
  <si>
    <t>15622</t>
  </si>
  <si>
    <t>62972</t>
  </si>
  <si>
    <t>69611</t>
  </si>
  <si>
    <t>86420</t>
  </si>
  <si>
    <t>15862</t>
  </si>
  <si>
    <t>27408</t>
  </si>
  <si>
    <t>36967</t>
  </si>
  <si>
    <t>43388</t>
  </si>
  <si>
    <t>55084</t>
  </si>
  <si>
    <t>57373</t>
  </si>
  <si>
    <t>80418</t>
  </si>
  <si>
    <t>82846</t>
  </si>
  <si>
    <t>904916</t>
  </si>
  <si>
    <t>18276</t>
  </si>
  <si>
    <t>37889</t>
  </si>
  <si>
    <t>52579</t>
  </si>
  <si>
    <t>60180</t>
  </si>
  <si>
    <t>76634</t>
  </si>
  <si>
    <t>89230</t>
  </si>
  <si>
    <t>39866</t>
  </si>
  <si>
    <t>49185</t>
  </si>
  <si>
    <t>010505</t>
  </si>
  <si>
    <t>17087</t>
  </si>
  <si>
    <t>18388</t>
  </si>
  <si>
    <t>36648</t>
  </si>
  <si>
    <t>5417</t>
  </si>
  <si>
    <t>43338</t>
  </si>
  <si>
    <t>46550</t>
  </si>
  <si>
    <t>59053</t>
  </si>
  <si>
    <t>64529</t>
  </si>
  <si>
    <t>80574</t>
  </si>
  <si>
    <t>86251</t>
  </si>
  <si>
    <t>86439</t>
  </si>
  <si>
    <t>88566</t>
  </si>
  <si>
    <t>2635</t>
  </si>
  <si>
    <t>101787</t>
  </si>
  <si>
    <t>2614</t>
  </si>
  <si>
    <t>3705</t>
  </si>
  <si>
    <t>6287</t>
  </si>
  <si>
    <t>26519</t>
  </si>
  <si>
    <t>2549</t>
  </si>
  <si>
    <t>6180</t>
  </si>
  <si>
    <t>64511</t>
  </si>
  <si>
    <t>4279</t>
  </si>
  <si>
    <t>82612</t>
  </si>
  <si>
    <t>82849</t>
  </si>
  <si>
    <t>2625</t>
  </si>
  <si>
    <t>88355</t>
  </si>
  <si>
    <t>010089</t>
  </si>
  <si>
    <t>39770</t>
  </si>
  <si>
    <t>5206</t>
  </si>
  <si>
    <t>89533</t>
  </si>
  <si>
    <t>5029</t>
  </si>
  <si>
    <t>40598</t>
  </si>
  <si>
    <t>4962</t>
  </si>
  <si>
    <t>4318</t>
  </si>
  <si>
    <t>80397</t>
  </si>
  <si>
    <t>4070</t>
  </si>
  <si>
    <t>85739</t>
  </si>
  <si>
    <t>3732</t>
  </si>
  <si>
    <t>86547</t>
  </si>
  <si>
    <t>5666</t>
  </si>
  <si>
    <t>2518</t>
  </si>
  <si>
    <t>5678</t>
  </si>
  <si>
    <t>36966</t>
  </si>
  <si>
    <t>2539</t>
  </si>
  <si>
    <t>6152</t>
  </si>
  <si>
    <t>4716</t>
  </si>
  <si>
    <t>3776</t>
  </si>
  <si>
    <t>943533</t>
  </si>
  <si>
    <t>5335</t>
  </si>
  <si>
    <t>Unit/Format Issue</t>
  </si>
  <si>
    <t>2603</t>
  </si>
  <si>
    <t>58911</t>
  </si>
  <si>
    <t>27677</t>
  </si>
  <si>
    <t>010065</t>
  </si>
  <si>
    <t>37642</t>
  </si>
  <si>
    <t>4638</t>
  </si>
  <si>
    <t>010138</t>
  </si>
  <si>
    <t>62814</t>
  </si>
  <si>
    <t>87725</t>
  </si>
  <si>
    <t>010117</t>
  </si>
  <si>
    <t>3651</t>
  </si>
  <si>
    <t>43136</t>
  </si>
  <si>
    <t>010070</t>
  </si>
  <si>
    <t>65251</t>
  </si>
  <si>
    <t>4255</t>
  </si>
  <si>
    <t>77786</t>
  </si>
  <si>
    <t>5458</t>
  </si>
  <si>
    <t>10628</t>
  </si>
  <si>
    <t>22244</t>
  </si>
  <si>
    <t>3045</t>
  </si>
  <si>
    <t>5003</t>
  </si>
  <si>
    <t>48123</t>
  </si>
  <si>
    <t>2585</t>
  </si>
  <si>
    <t>72732</t>
  </si>
  <si>
    <t>76501</t>
  </si>
  <si>
    <t>82820</t>
  </si>
  <si>
    <t>010144</t>
  </si>
  <si>
    <t>3731</t>
  </si>
  <si>
    <t>18412</t>
  </si>
  <si>
    <t>3842</t>
  </si>
  <si>
    <t>3354</t>
  </si>
  <si>
    <t>48107</t>
  </si>
  <si>
    <t>6226</t>
  </si>
  <si>
    <t>77843</t>
  </si>
  <si>
    <t>4694</t>
  </si>
  <si>
    <t>5263</t>
  </si>
  <si>
    <t>80130</t>
  </si>
  <si>
    <t>15478</t>
  </si>
  <si>
    <t>5725</t>
  </si>
  <si>
    <t>34566</t>
  </si>
  <si>
    <t>34972</t>
  </si>
  <si>
    <t>36875</t>
  </si>
  <si>
    <t>64854</t>
  </si>
  <si>
    <t>2567</t>
  </si>
  <si>
    <t>67037</t>
  </si>
  <si>
    <t>80240</t>
  </si>
  <si>
    <t>2601</t>
  </si>
  <si>
    <t>34690</t>
  </si>
  <si>
    <t>57168</t>
  </si>
  <si>
    <t>3592</t>
  </si>
  <si>
    <t>11518</t>
  </si>
  <si>
    <t>22157</t>
  </si>
  <si>
    <t>010167</t>
  </si>
  <si>
    <t>36978</t>
  </si>
  <si>
    <t>37997</t>
  </si>
  <si>
    <t>5050</t>
  </si>
  <si>
    <t>38790</t>
  </si>
  <si>
    <t>73780</t>
  </si>
  <si>
    <t>4346</t>
  </si>
  <si>
    <t>11347</t>
  </si>
  <si>
    <t>55246</t>
  </si>
  <si>
    <t>19009</t>
  </si>
  <si>
    <t>3917</t>
  </si>
  <si>
    <t>26765</t>
  </si>
  <si>
    <t>27832</t>
  </si>
  <si>
    <t>42370</t>
  </si>
  <si>
    <t>2672</t>
  </si>
  <si>
    <t>6263</t>
  </si>
  <si>
    <t>4138</t>
  </si>
  <si>
    <t>37336</t>
  </si>
  <si>
    <t>2714</t>
  </si>
  <si>
    <t>89242</t>
  </si>
  <si>
    <t>21186</t>
  </si>
  <si>
    <t>5316</t>
  </si>
  <si>
    <t>82780</t>
  </si>
  <si>
    <t>5315</t>
  </si>
  <si>
    <t>84457</t>
  </si>
  <si>
    <t>2660</t>
  </si>
  <si>
    <t>14523</t>
  </si>
  <si>
    <t>35527</t>
  </si>
  <si>
    <t>54448</t>
  </si>
  <si>
    <t>66240</t>
  </si>
  <si>
    <t>4256</t>
  </si>
  <si>
    <t>76507</t>
  </si>
  <si>
    <t>5555</t>
  </si>
  <si>
    <t>86980</t>
  </si>
  <si>
    <t>24451</t>
  </si>
  <si>
    <t>69658</t>
  </si>
  <si>
    <t>2676</t>
  </si>
  <si>
    <t>73051</t>
  </si>
  <si>
    <t>11940</t>
  </si>
  <si>
    <t>5482</t>
  </si>
  <si>
    <t>40192</t>
  </si>
  <si>
    <t>3805</t>
  </si>
  <si>
    <t>52593</t>
  </si>
  <si>
    <t>52596</t>
  </si>
  <si>
    <t>55087</t>
  </si>
  <si>
    <t>4096</t>
  </si>
  <si>
    <t>010212</t>
  </si>
  <si>
    <t>59037</t>
  </si>
  <si>
    <t>34856</t>
  </si>
  <si>
    <t>10008</t>
  </si>
  <si>
    <t>4912</t>
  </si>
  <si>
    <t>101539</t>
  </si>
  <si>
    <t>010096</t>
  </si>
  <si>
    <t>4006</t>
  </si>
  <si>
    <t>41413</t>
  </si>
  <si>
    <t>59185</t>
  </si>
  <si>
    <t>75372</t>
  </si>
  <si>
    <t>010165</t>
  </si>
  <si>
    <t>84155</t>
  </si>
  <si>
    <t>4196</t>
  </si>
  <si>
    <t>5681</t>
  </si>
  <si>
    <t>87063</t>
  </si>
  <si>
    <t>010164</t>
  </si>
  <si>
    <t>5480</t>
  </si>
  <si>
    <t>64870</t>
  </si>
  <si>
    <t>65561</t>
  </si>
  <si>
    <t>84211</t>
  </si>
  <si>
    <t>20248</t>
  </si>
  <si>
    <t>23823</t>
  </si>
  <si>
    <t>3715</t>
  </si>
  <si>
    <t>40500</t>
  </si>
  <si>
    <t>4463</t>
  </si>
  <si>
    <t>64864</t>
  </si>
  <si>
    <t>39839</t>
  </si>
  <si>
    <t>6309</t>
  </si>
  <si>
    <t>21837</t>
  </si>
  <si>
    <t>010058</t>
  </si>
  <si>
    <t>89841</t>
  </si>
  <si>
    <t>10528</t>
  </si>
  <si>
    <t>4172</t>
  </si>
  <si>
    <t>17190</t>
  </si>
  <si>
    <t>28132</t>
  </si>
  <si>
    <t>5100</t>
  </si>
  <si>
    <t>2554</t>
  </si>
  <si>
    <t>57129</t>
  </si>
  <si>
    <t>48102</t>
  </si>
  <si>
    <t>010122</t>
  </si>
  <si>
    <t>85982</t>
  </si>
  <si>
    <t>904800</t>
  </si>
  <si>
    <t>34122</t>
  </si>
  <si>
    <t>43352</t>
  </si>
  <si>
    <t>4253</t>
  </si>
  <si>
    <t>10809</t>
  </si>
  <si>
    <t>4482</t>
  </si>
  <si>
    <t>37426</t>
  </si>
  <si>
    <t>5506</t>
  </si>
  <si>
    <t>18858</t>
  </si>
  <si>
    <t>44658</t>
  </si>
  <si>
    <t>3540</t>
  </si>
  <si>
    <t>53216</t>
  </si>
  <si>
    <t>27454</t>
  </si>
  <si>
    <t>56006</t>
  </si>
  <si>
    <t>76831</t>
  </si>
  <si>
    <t>010045</t>
  </si>
  <si>
    <t>100639</t>
  </si>
  <si>
    <t>15627</t>
  </si>
  <si>
    <t>77714</t>
  </si>
  <si>
    <t>78129</t>
  </si>
  <si>
    <t>5621</t>
  </si>
  <si>
    <t>102044</t>
  </si>
  <si>
    <t>31493</t>
  </si>
  <si>
    <t>5662</t>
  </si>
  <si>
    <t>428</t>
  </si>
  <si>
    <t>76220</t>
  </si>
  <si>
    <t>6329</t>
  </si>
  <si>
    <t>83906</t>
  </si>
  <si>
    <t>5371</t>
  </si>
  <si>
    <t>2838</t>
  </si>
  <si>
    <t>2637</t>
  </si>
  <si>
    <t>57120</t>
  </si>
  <si>
    <t>27037</t>
  </si>
  <si>
    <t>63834</t>
  </si>
  <si>
    <t>6221</t>
  </si>
  <si>
    <t>82840</t>
  </si>
  <si>
    <t>995530</t>
  </si>
  <si>
    <t>988849</t>
  </si>
  <si>
    <t>21602</t>
  </si>
  <si>
    <t>22534</t>
  </si>
  <si>
    <t>39916</t>
  </si>
  <si>
    <t>86019</t>
  </si>
  <si>
    <t>5436</t>
  </si>
  <si>
    <t>30036</t>
  </si>
  <si>
    <t>19228</t>
  </si>
  <si>
    <t>36034</t>
  </si>
  <si>
    <t>010304</t>
  </si>
  <si>
    <t>4000</t>
  </si>
  <si>
    <t>89194</t>
  </si>
  <si>
    <t>18352</t>
  </si>
  <si>
    <t>27079</t>
  </si>
  <si>
    <t>64250</t>
  </si>
  <si>
    <t>76851</t>
  </si>
  <si>
    <t>19486</t>
  </si>
  <si>
    <t>20920</t>
  </si>
  <si>
    <t>39423</t>
  </si>
  <si>
    <t>46144</t>
  </si>
  <si>
    <t>89200</t>
  </si>
  <si>
    <t>5535</t>
  </si>
  <si>
    <t>22392</t>
  </si>
  <si>
    <t>980374</t>
  </si>
  <si>
    <t>10777</t>
  </si>
  <si>
    <t>010327</t>
  </si>
  <si>
    <t>15644</t>
  </si>
  <si>
    <t>16416</t>
  </si>
  <si>
    <t>19026</t>
  </si>
  <si>
    <t>38073</t>
  </si>
  <si>
    <t>67586</t>
  </si>
  <si>
    <t>84143</t>
  </si>
  <si>
    <t>5726</t>
  </si>
  <si>
    <t>86604</t>
  </si>
  <si>
    <t>28858</t>
  </si>
  <si>
    <t>5198</t>
  </si>
  <si>
    <t>69706</t>
  </si>
  <si>
    <t>5910</t>
  </si>
  <si>
    <t>73583</t>
  </si>
  <si>
    <t>88371</t>
  </si>
  <si>
    <t>69609</t>
  </si>
  <si>
    <t>84393</t>
  </si>
  <si>
    <t>010333</t>
  </si>
  <si>
    <t>10791</t>
  </si>
  <si>
    <t>5878</t>
  </si>
  <si>
    <t>34052</t>
  </si>
  <si>
    <t>2685</t>
  </si>
  <si>
    <t>010348</t>
  </si>
  <si>
    <t>6041</t>
  </si>
  <si>
    <t>37938</t>
  </si>
  <si>
    <t>69618</t>
  </si>
  <si>
    <t>3763</t>
  </si>
  <si>
    <t>77858</t>
  </si>
  <si>
    <t>6034</t>
  </si>
  <si>
    <t>916882</t>
  </si>
  <si>
    <t>9278</t>
  </si>
  <si>
    <t>74740</t>
  </si>
  <si>
    <t>4192</t>
  </si>
  <si>
    <t>76486</t>
  </si>
  <si>
    <t>26164</t>
  </si>
  <si>
    <t>4228</t>
  </si>
  <si>
    <t>28086</t>
  </si>
  <si>
    <t>28279</t>
  </si>
  <si>
    <t>4640</t>
  </si>
  <si>
    <t>54647</t>
  </si>
  <si>
    <t>924890</t>
  </si>
  <si>
    <t>68584</t>
  </si>
  <si>
    <t>77683</t>
  </si>
  <si>
    <t>4780</t>
  </si>
  <si>
    <t>4684</t>
  </si>
  <si>
    <t>010241</t>
  </si>
  <si>
    <t>78199</t>
  </si>
  <si>
    <t>4573</t>
  </si>
  <si>
    <t>84224</t>
  </si>
  <si>
    <t>89580</t>
  </si>
  <si>
    <t>102187</t>
  </si>
  <si>
    <t>10788</t>
  </si>
  <si>
    <t>28039</t>
  </si>
  <si>
    <t>4021</t>
  </si>
  <si>
    <t>29710</t>
  </si>
  <si>
    <t>010297</t>
  </si>
  <si>
    <t>64996</t>
  </si>
  <si>
    <t>77956</t>
  </si>
  <si>
    <t>6294</t>
  </si>
  <si>
    <t>88547</t>
  </si>
  <si>
    <t>89155</t>
  </si>
  <si>
    <t>26231</t>
  </si>
  <si>
    <t>43410</t>
  </si>
  <si>
    <t>6139</t>
  </si>
  <si>
    <t>18103</t>
  </si>
  <si>
    <t>27116</t>
  </si>
  <si>
    <t>36650</t>
  </si>
  <si>
    <t>74805</t>
  </si>
  <si>
    <t>67902</t>
  </si>
  <si>
    <t>010040</t>
  </si>
  <si>
    <t>010103</t>
  </si>
  <si>
    <t>85111</t>
  </si>
  <si>
    <t>39492</t>
  </si>
  <si>
    <t>28867</t>
  </si>
  <si>
    <t>30318</t>
  </si>
  <si>
    <t>6296</t>
  </si>
  <si>
    <t>88239</t>
  </si>
  <si>
    <t>34748</t>
  </si>
  <si>
    <t>010367</t>
  </si>
  <si>
    <t>5326</t>
  </si>
  <si>
    <t>64352</t>
  </si>
  <si>
    <t>89786</t>
  </si>
  <si>
    <t>5692</t>
  </si>
  <si>
    <t>73427</t>
  </si>
  <si>
    <t>89610</t>
  </si>
  <si>
    <t>18348</t>
  </si>
  <si>
    <t>26665</t>
  </si>
  <si>
    <t>5156</t>
  </si>
  <si>
    <t>37868</t>
  </si>
  <si>
    <t>82867</t>
  </si>
  <si>
    <t>10805</t>
  </si>
  <si>
    <t>21595</t>
  </si>
  <si>
    <t>010302</t>
  </si>
  <si>
    <t>25090</t>
  </si>
  <si>
    <t>30236</t>
  </si>
  <si>
    <t>010356</t>
  </si>
  <si>
    <t>6217</t>
  </si>
  <si>
    <t>45418</t>
  </si>
  <si>
    <t>76669</t>
  </si>
  <si>
    <t>84229</t>
  </si>
  <si>
    <t>73094</t>
  </si>
  <si>
    <t>80488</t>
  </si>
  <si>
    <t>43244</t>
  </si>
  <si>
    <t>64573</t>
  </si>
  <si>
    <t>59154</t>
  </si>
  <si>
    <t>101988</t>
  </si>
  <si>
    <t>34238</t>
  </si>
  <si>
    <t>37403</t>
  </si>
  <si>
    <t>37665</t>
  </si>
  <si>
    <t>4356</t>
  </si>
  <si>
    <t>4025</t>
  </si>
  <si>
    <t>17338</t>
  </si>
  <si>
    <t>17913</t>
  </si>
  <si>
    <t>4024</t>
  </si>
  <si>
    <t>52563</t>
  </si>
  <si>
    <t>66538</t>
  </si>
  <si>
    <t>68624</t>
  </si>
  <si>
    <t>75165</t>
  </si>
  <si>
    <t>84104</t>
  </si>
  <si>
    <t>69638</t>
  </si>
  <si>
    <t>15621</t>
  </si>
  <si>
    <t>6239</t>
  </si>
  <si>
    <t>4551</t>
  </si>
  <si>
    <t>87936</t>
  </si>
  <si>
    <t>88181</t>
  </si>
  <si>
    <t>15187</t>
  </si>
  <si>
    <t>81208</t>
  </si>
  <si>
    <t>4396</t>
  </si>
  <si>
    <t>87483</t>
  </si>
  <si>
    <t>33466</t>
  </si>
  <si>
    <t>57343</t>
  </si>
  <si>
    <t>4250</t>
  </si>
  <si>
    <t>25606</t>
  </si>
  <si>
    <t>31472</t>
  </si>
  <si>
    <t>41694</t>
  </si>
  <si>
    <t>4643</t>
  </si>
  <si>
    <t>84171</t>
  </si>
  <si>
    <t>17088</t>
  </si>
  <si>
    <t>4497</t>
  </si>
  <si>
    <t>36301</t>
  </si>
  <si>
    <t>4866</t>
  </si>
  <si>
    <t>10624</t>
  </si>
  <si>
    <t>4748</t>
  </si>
  <si>
    <t>5658</t>
  </si>
  <si>
    <t>53211</t>
  </si>
  <si>
    <t>4698</t>
  </si>
  <si>
    <t>12478</t>
  </si>
  <si>
    <t>010206</t>
  </si>
  <si>
    <t>65929</t>
  </si>
  <si>
    <t>38174</t>
  </si>
  <si>
    <t>40592</t>
  </si>
  <si>
    <t>29994</t>
  </si>
  <si>
    <t>26823</t>
  </si>
  <si>
    <t>4337</t>
  </si>
  <si>
    <t>34787</t>
  </si>
  <si>
    <t>4464</t>
  </si>
  <si>
    <t>76491</t>
  </si>
  <si>
    <t>010405</t>
  </si>
  <si>
    <t>87510</t>
  </si>
  <si>
    <t>102330</t>
  </si>
  <si>
    <t>24454</t>
  </si>
  <si>
    <t>4336</t>
  </si>
  <si>
    <t>78616</t>
  </si>
  <si>
    <t>34001</t>
  </si>
  <si>
    <t>4967</t>
  </si>
  <si>
    <t>39230</t>
  </si>
  <si>
    <t>42676</t>
  </si>
  <si>
    <t>4876</t>
  </si>
  <si>
    <t>86841</t>
  </si>
  <si>
    <t>89182</t>
  </si>
  <si>
    <t>77443</t>
  </si>
  <si>
    <t>86112</t>
  </si>
  <si>
    <t>4786</t>
  </si>
  <si>
    <t>86881</t>
  </si>
  <si>
    <t>2678</t>
  </si>
  <si>
    <t>27516</t>
  </si>
  <si>
    <t>28890</t>
  </si>
  <si>
    <t>17919</t>
  </si>
  <si>
    <t>25940</t>
  </si>
  <si>
    <t>41846</t>
  </si>
  <si>
    <t>6206</t>
  </si>
  <si>
    <t>9041</t>
  </si>
  <si>
    <t>80445</t>
  </si>
  <si>
    <t>84219</t>
  </si>
  <si>
    <t>89197</t>
  </si>
  <si>
    <t>964098</t>
  </si>
  <si>
    <t>27370</t>
  </si>
  <si>
    <t>24728</t>
  </si>
  <si>
    <t>28477</t>
  </si>
  <si>
    <t>37900</t>
  </si>
  <si>
    <t>010323</t>
  </si>
  <si>
    <t>50686</t>
  </si>
  <si>
    <t>63054</t>
  </si>
  <si>
    <t>63213</t>
  </si>
  <si>
    <t>36617</t>
  </si>
  <si>
    <t>4749</t>
  </si>
  <si>
    <t>88556</t>
  </si>
  <si>
    <t>88849</t>
  </si>
  <si>
    <t>2653</t>
  </si>
  <si>
    <t>2675</t>
  </si>
  <si>
    <t>34154</t>
  </si>
  <si>
    <t>6143</t>
  </si>
  <si>
    <t>40331</t>
  </si>
  <si>
    <t>41279</t>
  </si>
  <si>
    <t>4697</t>
  </si>
  <si>
    <t>2513</t>
  </si>
  <si>
    <t>5735</t>
  </si>
  <si>
    <t>26350</t>
  </si>
  <si>
    <t>2512</t>
  </si>
  <si>
    <t>3980</t>
  </si>
  <si>
    <t>55086</t>
  </si>
  <si>
    <t>84367</t>
  </si>
  <si>
    <t>4677</t>
  </si>
  <si>
    <t>2285</t>
  </si>
  <si>
    <t>994950</t>
  </si>
  <si>
    <t>5068</t>
  </si>
  <si>
    <t>2545</t>
  </si>
  <si>
    <t>17956</t>
  </si>
  <si>
    <t>36531</t>
  </si>
  <si>
    <t>2670</t>
  </si>
  <si>
    <t>65750</t>
  </si>
  <si>
    <t>2522</t>
  </si>
  <si>
    <t>72503</t>
  </si>
  <si>
    <t>4973</t>
  </si>
  <si>
    <t>6091</t>
  </si>
  <si>
    <t>5060</t>
  </si>
  <si>
    <t>941294</t>
  </si>
  <si>
    <t>3990</t>
  </si>
  <si>
    <t>22151</t>
  </si>
  <si>
    <t>23827</t>
  </si>
  <si>
    <t>28868</t>
  </si>
  <si>
    <t>52581</t>
  </si>
  <si>
    <t>2662</t>
  </si>
  <si>
    <t>78219</t>
  </si>
  <si>
    <t>88123</t>
  </si>
  <si>
    <t>15180</t>
  </si>
  <si>
    <t>88767</t>
  </si>
  <si>
    <t>4456</t>
  </si>
  <si>
    <t>2573</t>
  </si>
  <si>
    <t>26432</t>
  </si>
  <si>
    <t>010018</t>
  </si>
  <si>
    <t>4319</t>
  </si>
  <si>
    <t>62420</t>
  </si>
  <si>
    <t>010037</t>
  </si>
  <si>
    <t>3525</t>
  </si>
  <si>
    <t>66015</t>
  </si>
  <si>
    <t>3907</t>
  </si>
  <si>
    <t>903771</t>
  </si>
  <si>
    <t>21215</t>
  </si>
  <si>
    <t>5871</t>
  </si>
  <si>
    <t>28276</t>
  </si>
  <si>
    <t>4315</t>
  </si>
  <si>
    <t>3417</t>
  </si>
  <si>
    <t>5926</t>
  </si>
  <si>
    <t>27162</t>
  </si>
  <si>
    <t>86582</t>
  </si>
  <si>
    <t>5870</t>
  </si>
  <si>
    <t>6246</t>
  </si>
  <si>
    <t>25601</t>
  </si>
  <si>
    <t>3928</t>
  </si>
  <si>
    <t>56196</t>
  </si>
  <si>
    <t>2606</t>
  </si>
  <si>
    <t>010003</t>
  </si>
  <si>
    <t>25079</t>
  </si>
  <si>
    <t>65209</t>
  </si>
  <si>
    <t>4156</t>
  </si>
  <si>
    <t>5986</t>
  </si>
  <si>
    <t>2600</t>
  </si>
  <si>
    <t>5293</t>
  </si>
  <si>
    <t>010005</t>
  </si>
  <si>
    <t>43026</t>
  </si>
  <si>
    <t>010183</t>
  </si>
  <si>
    <t>63235</t>
  </si>
  <si>
    <t>65896</t>
  </si>
  <si>
    <t>3390</t>
  </si>
  <si>
    <t>87050</t>
  </si>
  <si>
    <t>3930</t>
  </si>
  <si>
    <t>37571</t>
  </si>
  <si>
    <t>41326</t>
  </si>
  <si>
    <t>73200</t>
  </si>
  <si>
    <t>16189</t>
  </si>
  <si>
    <t>80363</t>
  </si>
  <si>
    <t>6035</t>
  </si>
  <si>
    <t>902813</t>
  </si>
  <si>
    <t>5697</t>
  </si>
  <si>
    <t>101047</t>
  </si>
  <si>
    <t>5933</t>
  </si>
  <si>
    <t>26855</t>
  </si>
  <si>
    <t>5445</t>
  </si>
  <si>
    <t>34004</t>
  </si>
  <si>
    <t>6274</t>
  </si>
  <si>
    <t>77055</t>
  </si>
  <si>
    <t>5708</t>
  </si>
  <si>
    <t>44348</t>
  </si>
  <si>
    <t>45245</t>
  </si>
  <si>
    <t>5654</t>
  </si>
  <si>
    <t>6315</t>
  </si>
  <si>
    <t>986751</t>
  </si>
  <si>
    <t>34368</t>
  </si>
  <si>
    <t>6181</t>
  </si>
  <si>
    <t>86099</t>
  </si>
  <si>
    <t>87110</t>
  </si>
  <si>
    <t>2622</t>
  </si>
  <si>
    <t>88095</t>
  </si>
  <si>
    <t>28865</t>
  </si>
  <si>
    <t>4527</t>
  </si>
  <si>
    <t>010158</t>
  </si>
  <si>
    <t>100700</t>
  </si>
  <si>
    <t>28893</t>
  </si>
  <si>
    <t>3679</t>
  </si>
  <si>
    <t>62097</t>
  </si>
  <si>
    <t>65047</t>
  </si>
  <si>
    <t>5186</t>
  </si>
  <si>
    <t>2233</t>
  </si>
  <si>
    <t>20536</t>
  </si>
  <si>
    <t>9001</t>
  </si>
  <si>
    <t>5514</t>
  </si>
  <si>
    <t>34737</t>
  </si>
  <si>
    <t>4300</t>
  </si>
  <si>
    <t>5002</t>
  </si>
  <si>
    <t>65199</t>
  </si>
  <si>
    <t>5696</t>
  </si>
  <si>
    <t>16906</t>
  </si>
  <si>
    <t>22178</t>
  </si>
  <si>
    <t>78107</t>
  </si>
  <si>
    <t>3942</t>
  </si>
  <si>
    <t>5998</t>
  </si>
  <si>
    <t>38561</t>
  </si>
  <si>
    <t>010042</t>
  </si>
  <si>
    <t>64636</t>
  </si>
  <si>
    <t>67081</t>
  </si>
  <si>
    <t>5593</t>
  </si>
  <si>
    <t>101953</t>
  </si>
  <si>
    <t>37067</t>
  </si>
  <si>
    <t>010187</t>
  </si>
  <si>
    <t>010048</t>
  </si>
  <si>
    <t>87403</t>
  </si>
  <si>
    <t>28238</t>
  </si>
  <si>
    <t>6313</t>
  </si>
  <si>
    <t>6054</t>
  </si>
  <si>
    <t>87027</t>
  </si>
  <si>
    <t>010240</t>
  </si>
  <si>
    <t>18400</t>
  </si>
  <si>
    <t>33658</t>
  </si>
  <si>
    <t>5786</t>
  </si>
  <si>
    <t>48101</t>
  </si>
  <si>
    <t>77848</t>
  </si>
  <si>
    <t>80826</t>
  </si>
  <si>
    <t>010064</t>
  </si>
  <si>
    <t>010062</t>
  </si>
  <si>
    <t>3782</t>
  </si>
  <si>
    <t>31657</t>
  </si>
  <si>
    <t>41670</t>
  </si>
  <si>
    <t>4500</t>
  </si>
  <si>
    <t>3670</t>
  </si>
  <si>
    <t>3873</t>
  </si>
  <si>
    <t>77776</t>
  </si>
  <si>
    <t>949187</t>
  </si>
  <si>
    <t>38797</t>
  </si>
  <si>
    <t>59163</t>
  </si>
  <si>
    <t>3622</t>
  </si>
  <si>
    <t>5734</t>
  </si>
  <si>
    <t>36964</t>
  </si>
  <si>
    <t>16620</t>
  </si>
  <si>
    <t>41848</t>
  </si>
  <si>
    <t>6135</t>
  </si>
  <si>
    <t>82126</t>
  </si>
  <si>
    <t>4126</t>
  </si>
  <si>
    <t>4806</t>
  </si>
  <si>
    <t>010076</t>
  </si>
  <si>
    <t>43077</t>
  </si>
  <si>
    <t>65467</t>
  </si>
  <si>
    <t>13037</t>
  </si>
  <si>
    <t>27025</t>
  </si>
  <si>
    <t>4582</t>
  </si>
  <si>
    <t>5567</t>
  </si>
  <si>
    <t>5894</t>
  </si>
  <si>
    <t>18656</t>
  </si>
  <si>
    <t>22228</t>
  </si>
  <si>
    <t>6067</t>
  </si>
  <si>
    <t>010072</t>
  </si>
  <si>
    <t>10834</t>
  </si>
  <si>
    <t>5318</t>
  </si>
  <si>
    <t>80371</t>
  </si>
  <si>
    <t>4067</t>
  </si>
  <si>
    <t>80576</t>
  </si>
  <si>
    <t>4629</t>
  </si>
  <si>
    <t>100423</t>
  </si>
  <si>
    <t>6268</t>
  </si>
  <si>
    <t>101473</t>
  </si>
  <si>
    <t>38177</t>
  </si>
  <si>
    <t>010019</t>
  </si>
  <si>
    <t>10890</t>
  </si>
  <si>
    <t>43036</t>
  </si>
  <si>
    <t>45892</t>
  </si>
  <si>
    <t>57279</t>
  </si>
  <si>
    <t>64716</t>
  </si>
  <si>
    <t>52595</t>
  </si>
  <si>
    <t>68013</t>
  </si>
  <si>
    <t>5406</t>
  </si>
  <si>
    <t>76069</t>
  </si>
  <si>
    <t>5952</t>
  </si>
  <si>
    <t>88189</t>
  </si>
  <si>
    <t>902007</t>
  </si>
  <si>
    <t>917677</t>
  </si>
  <si>
    <t>965268</t>
  </si>
  <si>
    <t>4161</t>
  </si>
  <si>
    <t>16050</t>
  </si>
  <si>
    <t>26150</t>
  </si>
  <si>
    <t>26606</t>
  </si>
  <si>
    <t>64418</t>
  </si>
  <si>
    <t>989210</t>
  </si>
  <si>
    <t>3910</t>
  </si>
  <si>
    <t>52317</t>
  </si>
  <si>
    <t>86401</t>
  </si>
  <si>
    <t>26680</t>
  </si>
  <si>
    <t>32233</t>
  </si>
  <si>
    <t>66936</t>
  </si>
  <si>
    <t>82605</t>
  </si>
  <si>
    <t>5237</t>
  </si>
  <si>
    <t>39283</t>
  </si>
  <si>
    <t>44557</t>
  </si>
  <si>
    <t>63042</t>
  </si>
  <si>
    <t>87997</t>
  </si>
  <si>
    <t>32236</t>
  </si>
  <si>
    <t>58838</t>
  </si>
  <si>
    <t>2697</t>
  </si>
  <si>
    <t>217215</t>
  </si>
  <si>
    <t>48106</t>
  </si>
  <si>
    <t>86670</t>
  </si>
  <si>
    <t>29900</t>
  </si>
  <si>
    <t>6190</t>
  </si>
  <si>
    <t>52591</t>
  </si>
  <si>
    <t>5811</t>
  </si>
  <si>
    <t>26737</t>
  </si>
  <si>
    <t>010245</t>
  </si>
  <si>
    <t>5346</t>
  </si>
  <si>
    <t>52598</t>
  </si>
  <si>
    <t>64774</t>
  </si>
  <si>
    <t>34433</t>
  </si>
  <si>
    <t>43022</t>
  </si>
  <si>
    <t>984191</t>
  </si>
  <si>
    <t>67578</t>
  </si>
  <si>
    <t>68034</t>
  </si>
  <si>
    <t>26820</t>
  </si>
  <si>
    <t>23056</t>
  </si>
  <si>
    <t>28625</t>
  </si>
  <si>
    <t>30322</t>
  </si>
  <si>
    <t>010350</t>
  </si>
  <si>
    <t>6047</t>
  </si>
  <si>
    <t>37881</t>
  </si>
  <si>
    <t>915853</t>
  </si>
  <si>
    <t>5397</t>
  </si>
  <si>
    <t>21236</t>
  </si>
  <si>
    <t>21462</t>
  </si>
  <si>
    <t>4239</t>
  </si>
  <si>
    <t>29515</t>
  </si>
  <si>
    <t>34026</t>
  </si>
  <si>
    <t>942458</t>
  </si>
  <si>
    <t>010320</t>
  </si>
  <si>
    <t>87281</t>
  </si>
  <si>
    <t>010105</t>
  </si>
  <si>
    <t>34457</t>
  </si>
  <si>
    <t>4705</t>
  </si>
  <si>
    <t>5984</t>
  </si>
  <si>
    <t>37994</t>
  </si>
  <si>
    <t>43145</t>
  </si>
  <si>
    <t>62813</t>
  </si>
  <si>
    <t>73749</t>
  </si>
  <si>
    <t>4773</t>
  </si>
  <si>
    <t>63127</t>
  </si>
  <si>
    <t>10802</t>
  </si>
  <si>
    <t>12863</t>
  </si>
  <si>
    <t>27040</t>
  </si>
  <si>
    <t>87646</t>
  </si>
  <si>
    <t>964607</t>
  </si>
  <si>
    <t>10627</t>
  </si>
  <si>
    <t>14487</t>
  </si>
  <si>
    <t>51109</t>
  </si>
  <si>
    <t>88267</t>
  </si>
  <si>
    <t>927372</t>
  </si>
  <si>
    <t>932343</t>
  </si>
  <si>
    <t>010375</t>
  </si>
  <si>
    <t>36900</t>
  </si>
  <si>
    <t>5671</t>
  </si>
  <si>
    <t>5242</t>
  </si>
  <si>
    <t>76829</t>
  </si>
  <si>
    <t>3789</t>
  </si>
  <si>
    <t>80456</t>
  </si>
  <si>
    <t>89030</t>
  </si>
  <si>
    <t>22214</t>
  </si>
  <si>
    <t>25783</t>
  </si>
  <si>
    <t>6107</t>
  </si>
  <si>
    <t>75255</t>
  </si>
  <si>
    <t>4837</t>
  </si>
  <si>
    <t>16517</t>
  </si>
  <si>
    <t>82610</t>
  </si>
  <si>
    <t>18347</t>
  </si>
  <si>
    <t>44442</t>
  </si>
  <si>
    <t>5766</t>
  </si>
  <si>
    <t>6157</t>
  </si>
  <si>
    <t>5583</t>
  </si>
  <si>
    <t>36985</t>
  </si>
  <si>
    <t>57144</t>
  </si>
  <si>
    <t>58873</t>
  </si>
  <si>
    <t>86637</t>
  </si>
  <si>
    <t>34578</t>
  </si>
  <si>
    <t>65144</t>
  </si>
  <si>
    <t>52835</t>
  </si>
  <si>
    <t>65533</t>
  </si>
  <si>
    <t>5902</t>
  </si>
  <si>
    <t>010127</t>
  </si>
  <si>
    <t>11297</t>
  </si>
  <si>
    <t>22531</t>
  </si>
  <si>
    <t>45277</t>
  </si>
  <si>
    <t>5924</t>
  </si>
  <si>
    <t>15779</t>
  </si>
  <si>
    <t>6040</t>
  </si>
  <si>
    <t>102031</t>
  </si>
  <si>
    <t>010446</t>
  </si>
  <si>
    <t>27523</t>
  </si>
  <si>
    <t>010220</t>
  </si>
  <si>
    <t>36886</t>
  </si>
  <si>
    <t>59193</t>
  </si>
  <si>
    <t>76319</t>
  </si>
  <si>
    <t>89496</t>
  </si>
  <si>
    <t>86771</t>
  </si>
  <si>
    <t>15940</t>
  </si>
  <si>
    <t>36870</t>
  </si>
  <si>
    <t>3563</t>
  </si>
  <si>
    <t>86821</t>
  </si>
  <si>
    <t>29119</t>
  </si>
  <si>
    <t>5373</t>
  </si>
  <si>
    <t>37784</t>
  </si>
  <si>
    <t>57122</t>
  </si>
  <si>
    <t>966122</t>
  </si>
  <si>
    <t>977443</t>
  </si>
  <si>
    <t>16685</t>
  </si>
  <si>
    <t>46142</t>
  </si>
  <si>
    <t>85219</t>
  </si>
  <si>
    <t>19064</t>
  </si>
  <si>
    <t>6008</t>
  </si>
  <si>
    <t>3403</t>
  </si>
  <si>
    <t>54706</t>
  </si>
  <si>
    <t>102172</t>
  </si>
  <si>
    <t>21182</t>
  </si>
  <si>
    <t>100148</t>
  </si>
  <si>
    <t>25999</t>
  </si>
  <si>
    <t>28087</t>
  </si>
  <si>
    <t>5405</t>
  </si>
  <si>
    <t>3664</t>
  </si>
  <si>
    <t>80145</t>
  </si>
  <si>
    <t>35917</t>
  </si>
  <si>
    <t>6238</t>
  </si>
  <si>
    <t>40597</t>
  </si>
  <si>
    <t>89235</t>
  </si>
  <si>
    <t>102295</t>
  </si>
  <si>
    <t>39752</t>
  </si>
  <si>
    <t>12467</t>
  </si>
  <si>
    <t>64193</t>
  </si>
  <si>
    <t>5937</t>
  </si>
  <si>
    <t>75890</t>
  </si>
  <si>
    <t>26572</t>
  </si>
  <si>
    <t>86691</t>
  </si>
  <si>
    <t>10278</t>
  </si>
  <si>
    <t>15632</t>
  </si>
  <si>
    <t>19061</t>
  </si>
  <si>
    <t>3565</t>
  </si>
  <si>
    <t>38134</t>
  </si>
  <si>
    <t>58854</t>
  </si>
  <si>
    <t>5070</t>
  </si>
  <si>
    <t>987183</t>
  </si>
  <si>
    <t>26974</t>
  </si>
  <si>
    <t>27723</t>
  </si>
  <si>
    <t>37988</t>
  </si>
  <si>
    <t>38086</t>
  </si>
  <si>
    <t>57372</t>
  </si>
  <si>
    <t>68628</t>
  </si>
  <si>
    <t>88602</t>
  </si>
  <si>
    <t>27102</t>
  </si>
  <si>
    <t>32333</t>
  </si>
  <si>
    <t>39225</t>
  </si>
  <si>
    <t>921539</t>
  </si>
  <si>
    <t>19096</t>
  </si>
  <si>
    <t>27237</t>
  </si>
  <si>
    <t>2669</t>
  </si>
  <si>
    <t>37259</t>
  </si>
  <si>
    <t>57174</t>
  </si>
  <si>
    <t>83390</t>
  </si>
  <si>
    <t>17090</t>
  </si>
  <si>
    <t>21949</t>
  </si>
  <si>
    <t>36969</t>
  </si>
  <si>
    <t>010186</t>
  </si>
  <si>
    <t>63321</t>
  </si>
  <si>
    <t>68563</t>
  </si>
  <si>
    <t>76637</t>
  </si>
  <si>
    <t>4988</t>
  </si>
  <si>
    <t>3663</t>
  </si>
  <si>
    <t>2643</t>
  </si>
  <si>
    <t>5290</t>
  </si>
  <si>
    <t>2515</t>
  </si>
  <si>
    <t>81966</t>
  </si>
  <si>
    <t>2572</t>
  </si>
  <si>
    <t>82636</t>
  </si>
  <si>
    <t>2130</t>
  </si>
  <si>
    <t>6265</t>
  </si>
  <si>
    <t>34197</t>
  </si>
  <si>
    <t>5526</t>
  </si>
  <si>
    <t>4090</t>
  </si>
  <si>
    <t>6220</t>
  </si>
  <si>
    <t>88291</t>
  </si>
  <si>
    <t>5941</t>
  </si>
  <si>
    <t>6202</t>
  </si>
  <si>
    <t>36304</t>
  </si>
  <si>
    <t>2505</t>
  </si>
  <si>
    <t>2684</t>
  </si>
  <si>
    <t>2575</t>
  </si>
  <si>
    <t>4019</t>
  </si>
  <si>
    <t>2538</t>
  </si>
  <si>
    <t>5859</t>
  </si>
  <si>
    <t>5463</t>
  </si>
  <si>
    <t>2571</t>
  </si>
  <si>
    <t>6144</t>
  </si>
  <si>
    <t>36188</t>
  </si>
  <si>
    <t>44340</t>
  </si>
  <si>
    <t>3756</t>
  </si>
  <si>
    <t>55068</t>
  </si>
  <si>
    <t>4091</t>
  </si>
  <si>
    <t>57118</t>
  </si>
  <si>
    <t>4969</t>
  </si>
  <si>
    <t>63344</t>
  </si>
  <si>
    <t>5151</t>
  </si>
  <si>
    <t>5619</t>
  </si>
  <si>
    <t>3494</t>
  </si>
  <si>
    <t>6116</t>
  </si>
  <si>
    <t>5471</t>
  </si>
  <si>
    <t>6176</t>
  </si>
  <si>
    <t>10846</t>
  </si>
  <si>
    <t>4073</t>
  </si>
  <si>
    <t>2201</t>
  </si>
  <si>
    <t>87103</t>
  </si>
  <si>
    <t>3650</t>
  </si>
  <si>
    <t>89641</t>
  </si>
  <si>
    <t>2106</t>
  </si>
  <si>
    <t>89887</t>
  </si>
  <si>
    <t>74836</t>
  </si>
  <si>
    <t>22158</t>
  </si>
  <si>
    <t>22217</t>
  </si>
  <si>
    <t>6316</t>
  </si>
  <si>
    <t>34747</t>
  </si>
  <si>
    <t>51328</t>
  </si>
  <si>
    <t>68049</t>
  </si>
  <si>
    <t>69940</t>
  </si>
  <si>
    <t>5599</t>
  </si>
  <si>
    <t>4907</t>
  </si>
  <si>
    <t>44660</t>
  </si>
  <si>
    <t>6121</t>
  </si>
  <si>
    <t>66763</t>
  </si>
  <si>
    <t>5054</t>
  </si>
  <si>
    <t>4001</t>
  </si>
  <si>
    <t>3488</t>
  </si>
  <si>
    <t>47786</t>
  </si>
  <si>
    <t>5113</t>
  </si>
  <si>
    <t>2602</t>
  </si>
  <si>
    <t>59162</t>
  </si>
  <si>
    <t>3993</t>
  </si>
  <si>
    <t>2712</t>
  </si>
  <si>
    <t>5703</t>
  </si>
  <si>
    <t>4351</t>
  </si>
  <si>
    <t>937091</t>
  </si>
  <si>
    <t>5484</t>
  </si>
  <si>
    <t>18116</t>
  </si>
  <si>
    <t>2652</t>
  </si>
  <si>
    <t>4350</t>
  </si>
  <si>
    <t>3721</t>
  </si>
  <si>
    <t>42204</t>
  </si>
  <si>
    <t>2593</t>
  </si>
  <si>
    <t>4910</t>
  </si>
  <si>
    <t>86455</t>
  </si>
  <si>
    <t>010063</t>
  </si>
  <si>
    <t>5731</t>
  </si>
  <si>
    <t>4818</t>
  </si>
  <si>
    <t>37645</t>
  </si>
  <si>
    <t>5914</t>
  </si>
  <si>
    <t>3713</t>
  </si>
  <si>
    <t>010172</t>
  </si>
  <si>
    <t>51578</t>
  </si>
  <si>
    <t>4023</t>
  </si>
  <si>
    <t>30056</t>
  </si>
  <si>
    <t>2556</t>
  </si>
  <si>
    <t>82786</t>
  </si>
  <si>
    <t>86668</t>
  </si>
  <si>
    <t>49189</t>
  </si>
  <si>
    <t>88766</t>
  </si>
  <si>
    <t>010116</t>
  </si>
  <si>
    <t>21598</t>
  </si>
  <si>
    <t>6326</t>
  </si>
  <si>
    <t>3456</t>
  </si>
  <si>
    <t>4590</t>
  </si>
  <si>
    <t>010080</t>
  </si>
  <si>
    <t>4189</t>
  </si>
  <si>
    <t>2582</t>
  </si>
  <si>
    <t>22154</t>
  </si>
  <si>
    <t>987779</t>
  </si>
  <si>
    <t>4980</t>
  </si>
  <si>
    <t>4395</t>
  </si>
  <si>
    <t>27780</t>
  </si>
  <si>
    <t>5730</t>
  </si>
  <si>
    <t>75268</t>
  </si>
  <si>
    <t>84187</t>
  </si>
  <si>
    <t>101521</t>
  </si>
  <si>
    <t>26828</t>
  </si>
  <si>
    <t>37460</t>
  </si>
  <si>
    <t>77050</t>
  </si>
  <si>
    <t>36667</t>
  </si>
  <si>
    <t>5771</t>
  </si>
  <si>
    <t>44419</t>
  </si>
  <si>
    <t>6223</t>
  </si>
  <si>
    <t>102034</t>
  </si>
  <si>
    <t>010178</t>
  </si>
  <si>
    <t>68128</t>
  </si>
  <si>
    <t>967605</t>
  </si>
  <si>
    <t>11290</t>
  </si>
  <si>
    <t>5069</t>
  </si>
  <si>
    <t>10828</t>
  </si>
  <si>
    <t>1799</t>
  </si>
  <si>
    <t>3690</t>
  </si>
  <si>
    <t>38494</t>
  </si>
  <si>
    <t>77900</t>
  </si>
  <si>
    <t>3769</t>
  </si>
  <si>
    <t>88540</t>
  </si>
  <si>
    <t>11299</t>
  </si>
  <si>
    <t>53853</t>
  </si>
  <si>
    <t>6224</t>
  </si>
  <si>
    <t>4265</t>
  </si>
  <si>
    <t>71529</t>
  </si>
  <si>
    <t>26814</t>
  </si>
  <si>
    <t>43636</t>
  </si>
  <si>
    <t>010248</t>
  </si>
  <si>
    <t>77318</t>
  </si>
  <si>
    <t>010256</t>
  </si>
  <si>
    <t>101763</t>
  </si>
  <si>
    <t>39466</t>
  </si>
  <si>
    <t>4978</t>
  </si>
  <si>
    <t>68620</t>
  </si>
  <si>
    <t>88116</t>
  </si>
  <si>
    <t>5339</t>
  </si>
  <si>
    <t>5893</t>
  </si>
  <si>
    <t>6257</t>
  </si>
  <si>
    <t>80486</t>
  </si>
  <si>
    <t>905606</t>
  </si>
  <si>
    <t>4272</t>
  </si>
  <si>
    <t>4717</t>
  </si>
  <si>
    <t>86507</t>
  </si>
  <si>
    <t>010200</t>
  </si>
  <si>
    <t>5931</t>
  </si>
  <si>
    <t>31208</t>
  </si>
  <si>
    <t>14536</t>
  </si>
  <si>
    <t>4158</t>
  </si>
  <si>
    <t>64722</t>
  </si>
  <si>
    <t>010266</t>
  </si>
  <si>
    <t>5369</t>
  </si>
  <si>
    <t>4796</t>
  </si>
  <si>
    <t>6012</t>
  </si>
  <si>
    <t>65922</t>
  </si>
  <si>
    <t>010280</t>
  </si>
  <si>
    <t>38811</t>
  </si>
  <si>
    <t>4631</t>
  </si>
  <si>
    <t>76755</t>
  </si>
  <si>
    <t>32237</t>
  </si>
  <si>
    <t>76488</t>
  </si>
  <si>
    <t>010291</t>
  </si>
  <si>
    <t>33303</t>
  </si>
  <si>
    <t>6074</t>
  </si>
  <si>
    <t>68024</t>
  </si>
  <si>
    <t>39577</t>
  </si>
  <si>
    <t>4959</t>
  </si>
  <si>
    <t>25878</t>
  </si>
  <si>
    <t>77980</t>
  </si>
  <si>
    <t>010292</t>
  </si>
  <si>
    <t>924860</t>
  </si>
  <si>
    <t>24999</t>
  </si>
  <si>
    <t>29422</t>
  </si>
  <si>
    <t>64776</t>
  </si>
  <si>
    <t>6178</t>
  </si>
  <si>
    <t>39918</t>
  </si>
  <si>
    <t>5685</t>
  </si>
  <si>
    <t>22071</t>
  </si>
  <si>
    <t>4930</t>
  </si>
  <si>
    <t>40289</t>
  </si>
  <si>
    <t>904328</t>
  </si>
  <si>
    <t>27615</t>
  </si>
  <si>
    <t>45887</t>
  </si>
  <si>
    <t>4825</t>
  </si>
  <si>
    <t>64865</t>
  </si>
  <si>
    <t>40070</t>
  </si>
  <si>
    <t>56792</t>
  </si>
  <si>
    <t>74802</t>
  </si>
  <si>
    <t>010303</t>
  </si>
  <si>
    <t>17107</t>
  </si>
  <si>
    <t>010154</t>
  </si>
  <si>
    <t>41989</t>
  </si>
  <si>
    <t>4381</t>
  </si>
  <si>
    <t>43237</t>
  </si>
  <si>
    <t>47861</t>
  </si>
  <si>
    <t>010364</t>
  </si>
  <si>
    <t>4755</t>
  </si>
  <si>
    <t>87619</t>
  </si>
  <si>
    <t>010332</t>
  </si>
  <si>
    <t>5110</t>
  </si>
  <si>
    <t>86198</t>
  </si>
  <si>
    <t>89665</t>
  </si>
  <si>
    <t>26712</t>
  </si>
  <si>
    <t>27554</t>
  </si>
  <si>
    <t>10785</t>
  </si>
  <si>
    <t>34786</t>
  </si>
  <si>
    <t>37258</t>
  </si>
  <si>
    <t>6141</t>
  </si>
  <si>
    <t>43299</t>
  </si>
  <si>
    <t>4867</t>
  </si>
  <si>
    <t>4902</t>
  </si>
  <si>
    <t>4147</t>
  </si>
  <si>
    <t>5504</t>
  </si>
  <si>
    <t>88802</t>
  </si>
  <si>
    <t>86079</t>
  </si>
  <si>
    <t>87579</t>
  </si>
  <si>
    <t>101968</t>
  </si>
  <si>
    <t>5856</t>
  </si>
  <si>
    <t>4885</t>
  </si>
  <si>
    <t>43333</t>
  </si>
  <si>
    <t>4051</t>
  </si>
  <si>
    <t>010073</t>
  </si>
  <si>
    <t>6262</t>
  </si>
  <si>
    <t>26196</t>
  </si>
  <si>
    <t>44173</t>
  </si>
  <si>
    <t>4235</t>
  </si>
  <si>
    <t>34596</t>
  </si>
  <si>
    <t>9052</t>
  </si>
  <si>
    <t>37867</t>
  </si>
  <si>
    <t>23824</t>
  </si>
  <si>
    <t>34116</t>
  </si>
  <si>
    <t>4838</t>
  </si>
  <si>
    <t>86438</t>
  </si>
  <si>
    <t>22460</t>
  </si>
  <si>
    <t>010362</t>
  </si>
  <si>
    <t>6283</t>
  </si>
  <si>
    <t>84279</t>
  </si>
  <si>
    <t>010290</t>
  </si>
  <si>
    <t>36576</t>
  </si>
  <si>
    <t>010395</t>
  </si>
  <si>
    <t>010396</t>
  </si>
  <si>
    <t>100306</t>
  </si>
  <si>
    <t>16516</t>
  </si>
  <si>
    <t>64876</t>
  </si>
  <si>
    <t>66358</t>
  </si>
  <si>
    <t>78231</t>
  </si>
  <si>
    <t>6123</t>
  </si>
  <si>
    <t>73747</t>
  </si>
  <si>
    <t>80361</t>
  </si>
  <si>
    <t>86694</t>
  </si>
  <si>
    <t>4540</t>
  </si>
  <si>
    <t>27439</t>
  </si>
  <si>
    <t>4150</t>
  </si>
  <si>
    <t>37348</t>
  </si>
  <si>
    <t>88413</t>
  </si>
  <si>
    <t>4998</t>
  </si>
  <si>
    <t>37937</t>
  </si>
  <si>
    <t>46351</t>
  </si>
  <si>
    <t>2657</t>
  </si>
  <si>
    <t>15451</t>
  </si>
  <si>
    <t>32234</t>
  </si>
  <si>
    <t>86487</t>
  </si>
  <si>
    <t>4153</t>
  </si>
  <si>
    <t>16329</t>
  </si>
  <si>
    <t>5684</t>
  </si>
  <si>
    <t>64510</t>
  </si>
  <si>
    <t>87832</t>
  </si>
  <si>
    <t>5343</t>
  </si>
  <si>
    <t>45246</t>
  </si>
  <si>
    <t>16017</t>
  </si>
  <si>
    <t>010276</t>
  </si>
  <si>
    <t>2837</t>
  </si>
  <si>
    <t>010464</t>
  </si>
  <si>
    <t>85162</t>
  </si>
  <si>
    <t>010419</t>
  </si>
  <si>
    <t>45275</t>
  </si>
  <si>
    <t>62353</t>
  </si>
  <si>
    <t>85640</t>
  </si>
  <si>
    <t>5205</t>
  </si>
  <si>
    <t>28497</t>
  </si>
  <si>
    <t>951036</t>
  </si>
  <si>
    <t>17672</t>
  </si>
  <si>
    <t>4651</t>
  </si>
  <si>
    <t>73558</t>
  </si>
  <si>
    <t>40047</t>
  </si>
  <si>
    <t>66997</t>
  </si>
  <si>
    <t>010397</t>
  </si>
  <si>
    <t>88241</t>
  </si>
  <si>
    <t>903124</t>
  </si>
  <si>
    <t>16580</t>
  </si>
  <si>
    <t>76100</t>
  </si>
  <si>
    <t>6101</t>
  </si>
  <si>
    <t>16098</t>
  </si>
  <si>
    <t>49087</t>
  </si>
  <si>
    <t>6454</t>
  </si>
  <si>
    <t>21589</t>
  </si>
  <si>
    <t>87408</t>
  </si>
  <si>
    <t>4104</t>
  </si>
  <si>
    <t>100535</t>
  </si>
  <si>
    <t>81126</t>
  </si>
  <si>
    <t>100847</t>
  </si>
  <si>
    <t>16850</t>
  </si>
  <si>
    <t>26010</t>
  </si>
  <si>
    <t>31599</t>
  </si>
  <si>
    <t>36808</t>
  </si>
  <si>
    <t>010388</t>
  </si>
  <si>
    <t>4664</t>
  </si>
  <si>
    <t>986252</t>
  </si>
  <si>
    <t>13038</t>
  </si>
  <si>
    <t>36331</t>
  </si>
  <si>
    <t>58139</t>
  </si>
  <si>
    <t>15865</t>
  </si>
  <si>
    <t>6336</t>
  </si>
  <si>
    <t>3831</t>
  </si>
  <si>
    <t>76036</t>
  </si>
  <si>
    <t>80578</t>
  </si>
  <si>
    <t>59100</t>
  </si>
  <si>
    <t>010502</t>
  </si>
  <si>
    <t>58855</t>
  </si>
  <si>
    <t>902219</t>
  </si>
  <si>
    <t>941941</t>
  </si>
  <si>
    <t>88841</t>
  </si>
  <si>
    <t>2559</t>
  </si>
  <si>
    <t>3054</t>
  </si>
  <si>
    <t>5286</t>
  </si>
  <si>
    <t>4190</t>
  </si>
  <si>
    <t>2506</t>
  </si>
  <si>
    <t>5077</t>
  </si>
  <si>
    <t>6205</t>
  </si>
  <si>
    <t>4258</t>
  </si>
  <si>
    <t>010091</t>
  </si>
  <si>
    <t>37233</t>
  </si>
  <si>
    <t>4312</t>
  </si>
  <si>
    <t>2200</t>
  </si>
  <si>
    <t>6997</t>
  </si>
  <si>
    <t>3712</t>
  </si>
  <si>
    <t>2613</t>
  </si>
  <si>
    <t>5434</t>
  </si>
  <si>
    <t>88922</t>
  </si>
  <si>
    <t>3443</t>
  </si>
  <si>
    <t>4069</t>
  </si>
  <si>
    <t>5728</t>
  </si>
  <si>
    <t>2611</t>
  </si>
  <si>
    <t>2629</t>
  </si>
  <si>
    <t>5350</t>
  </si>
  <si>
    <t>5916</t>
  </si>
  <si>
    <t>27027</t>
  </si>
  <si>
    <t>010109</t>
  </si>
  <si>
    <t>4203</t>
  </si>
  <si>
    <t>010120</t>
  </si>
  <si>
    <t>27409</t>
  </si>
  <si>
    <t>2651</t>
  </si>
  <si>
    <t>88147</t>
  </si>
  <si>
    <t>5852</t>
  </si>
  <si>
    <t>2616</t>
  </si>
  <si>
    <t>4146</t>
  </si>
  <si>
    <t>901993</t>
  </si>
  <si>
    <t>5727</t>
  </si>
  <si>
    <t>20368</t>
  </si>
  <si>
    <t>5352</t>
  </si>
  <si>
    <t>010097</t>
  </si>
  <si>
    <t>010153</t>
  </si>
  <si>
    <t>2595</t>
  </si>
  <si>
    <t>67155</t>
  </si>
  <si>
    <t>2596</t>
  </si>
  <si>
    <t>15884</t>
  </si>
  <si>
    <t>010157</t>
  </si>
  <si>
    <t>3521</t>
  </si>
  <si>
    <t>22787</t>
  </si>
  <si>
    <t>2550</t>
  </si>
  <si>
    <t>26370</t>
  </si>
  <si>
    <t>34008</t>
  </si>
  <si>
    <t>5257</t>
  </si>
  <si>
    <t>2671</t>
  </si>
  <si>
    <t>77768</t>
  </si>
  <si>
    <t>010035</t>
  </si>
  <si>
    <t>010171</t>
  </si>
  <si>
    <t>6195</t>
  </si>
  <si>
    <t>2543</t>
  </si>
  <si>
    <t>3562</t>
  </si>
  <si>
    <t>21798</t>
  </si>
  <si>
    <t>36122</t>
  </si>
  <si>
    <t>43035</t>
  </si>
  <si>
    <t>43073</t>
  </si>
  <si>
    <t>46350</t>
  </si>
  <si>
    <t>49069</t>
  </si>
  <si>
    <t>5374</t>
  </si>
  <si>
    <t>39281</t>
  </si>
  <si>
    <t>5322</t>
  </si>
  <si>
    <t>21211</t>
  </si>
  <si>
    <t>010085</t>
  </si>
  <si>
    <t>3997</t>
  </si>
  <si>
    <t>45886</t>
  </si>
  <si>
    <t>4159</t>
  </si>
  <si>
    <t>4794</t>
  </si>
  <si>
    <t>65204</t>
  </si>
  <si>
    <t>82187</t>
  </si>
  <si>
    <t>6311</t>
  </si>
  <si>
    <t>64913</t>
  </si>
  <si>
    <t>25535</t>
  </si>
  <si>
    <t>3726</t>
  </si>
  <si>
    <t>3888</t>
  </si>
  <si>
    <t>2445</t>
  </si>
  <si>
    <t>3916</t>
  </si>
  <si>
    <t>87282</t>
  </si>
  <si>
    <t>4260</t>
  </si>
  <si>
    <t>44657</t>
  </si>
  <si>
    <t>903119</t>
  </si>
  <si>
    <t>30057</t>
  </si>
  <si>
    <t>010068</t>
  </si>
  <si>
    <t>5314</t>
  </si>
  <si>
    <t>2507</t>
  </si>
  <si>
    <t>3629</t>
  </si>
  <si>
    <t>64867</t>
  </si>
  <si>
    <t>84214</t>
  </si>
  <si>
    <t>4011</t>
  </si>
  <si>
    <t>3889</t>
  </si>
  <si>
    <t>37701</t>
  </si>
  <si>
    <t>5459</t>
  </si>
  <si>
    <t>41707</t>
  </si>
  <si>
    <t>64858</t>
  </si>
  <si>
    <t>82607</t>
  </si>
  <si>
    <t>2650</t>
  </si>
  <si>
    <t>6100</t>
  </si>
  <si>
    <t>87355</t>
  </si>
  <si>
    <t>5645</t>
  </si>
  <si>
    <t>2578</t>
  </si>
  <si>
    <t>59201</t>
  </si>
  <si>
    <t>84152</t>
  </si>
  <si>
    <t>5642</t>
  </si>
  <si>
    <t>65259</t>
  </si>
  <si>
    <t>5779</t>
  </si>
  <si>
    <t>6125</t>
  </si>
  <si>
    <t>15677</t>
  </si>
  <si>
    <t>4185</t>
  </si>
  <si>
    <t>4611</t>
  </si>
  <si>
    <t>5150</t>
  </si>
  <si>
    <t>76413</t>
  </si>
  <si>
    <t>4229</t>
  </si>
  <si>
    <t>65195</t>
  </si>
  <si>
    <t>5988</t>
  </si>
  <si>
    <t>5014</t>
  </si>
  <si>
    <t>88036</t>
  </si>
  <si>
    <t>58899</t>
  </si>
  <si>
    <t>4808</t>
  </si>
  <si>
    <t>010094</t>
  </si>
  <si>
    <t>4516</t>
  </si>
  <si>
    <t>25877</t>
  </si>
  <si>
    <t>5366</t>
  </si>
  <si>
    <t>76477</t>
  </si>
  <si>
    <t>3477</t>
  </si>
  <si>
    <t>101515</t>
  </si>
  <si>
    <t>78128</t>
  </si>
  <si>
    <t>917946</t>
  </si>
  <si>
    <t>32231</t>
  </si>
  <si>
    <t>010261</t>
  </si>
  <si>
    <t>41688</t>
  </si>
  <si>
    <t>2656</t>
  </si>
  <si>
    <t>5628</t>
  </si>
  <si>
    <t>4014</t>
  </si>
  <si>
    <t>26858</t>
  </si>
  <si>
    <t>65737</t>
  </si>
  <si>
    <t>2579</t>
  </si>
  <si>
    <t>5825</t>
  </si>
  <si>
    <t>010170</t>
  </si>
  <si>
    <t>100490</t>
  </si>
  <si>
    <t>5422</t>
  </si>
  <si>
    <t>6237</t>
  </si>
  <si>
    <t>43109</t>
  </si>
  <si>
    <t>78071</t>
  </si>
  <si>
    <t>5736</t>
  </si>
  <si>
    <t>14210</t>
  </si>
  <si>
    <t>5184</t>
  </si>
  <si>
    <t>5010</t>
  </si>
  <si>
    <t>2806</t>
  </si>
  <si>
    <t>74831</t>
  </si>
  <si>
    <t>76712</t>
  </si>
  <si>
    <t>84160</t>
  </si>
  <si>
    <t>37020</t>
  </si>
  <si>
    <t>57070</t>
  </si>
  <si>
    <t>5663</t>
  </si>
  <si>
    <t>22102</t>
  </si>
  <si>
    <t>65427</t>
  </si>
  <si>
    <t>25016</t>
  </si>
  <si>
    <t>41943</t>
  </si>
  <si>
    <t>87250</t>
  </si>
  <si>
    <t>5007</t>
  </si>
  <si>
    <t>5517</t>
  </si>
  <si>
    <t>59645</t>
  </si>
  <si>
    <t>18859</t>
  </si>
  <si>
    <t>37495</t>
  </si>
  <si>
    <t>38782</t>
  </si>
  <si>
    <t>010146</t>
  </si>
  <si>
    <t>58872</t>
  </si>
  <si>
    <t>17050</t>
  </si>
  <si>
    <t>3920</t>
  </si>
  <si>
    <t>010095</t>
  </si>
  <si>
    <t>5915</t>
  </si>
  <si>
    <t>41604</t>
  </si>
  <si>
    <t>62971</t>
  </si>
  <si>
    <t>6291</t>
  </si>
  <si>
    <t>76407</t>
  </si>
  <si>
    <t>5298</t>
  </si>
  <si>
    <t>4149</t>
  </si>
  <si>
    <t>15246</t>
  </si>
  <si>
    <t>927798</t>
  </si>
  <si>
    <t>17210</t>
  </si>
  <si>
    <t>43126</t>
  </si>
  <si>
    <t>68340</t>
  </si>
  <si>
    <t>58842</t>
  </si>
  <si>
    <t>65256</t>
  </si>
  <si>
    <t>89388</t>
  </si>
  <si>
    <t>16332</t>
  </si>
  <si>
    <t>28131</t>
  </si>
  <si>
    <t>83907</t>
  </si>
  <si>
    <t>5342</t>
  </si>
  <si>
    <t>15639</t>
  </si>
  <si>
    <t>5149</t>
  </si>
  <si>
    <t>37934</t>
  </si>
  <si>
    <t>3647</t>
  </si>
  <si>
    <t>010368</t>
  </si>
  <si>
    <t>27130</t>
  </si>
  <si>
    <t>5513</t>
  </si>
  <si>
    <t>66345</t>
  </si>
  <si>
    <t>76262</t>
  </si>
  <si>
    <t>85796</t>
  </si>
  <si>
    <t>88188</t>
  </si>
  <si>
    <t>37871</t>
  </si>
  <si>
    <t>5537</t>
  </si>
  <si>
    <t>73702</t>
  </si>
  <si>
    <t>3065</t>
  </si>
  <si>
    <t>14490</t>
  </si>
  <si>
    <t>34359</t>
  </si>
  <si>
    <t>76626</t>
  </si>
  <si>
    <t>89274</t>
  </si>
  <si>
    <t>21067</t>
  </si>
  <si>
    <t>87481</t>
  </si>
  <si>
    <t>69713</t>
  </si>
  <si>
    <t>100220</t>
  </si>
  <si>
    <t>010180</t>
  </si>
  <si>
    <t>89136</t>
  </si>
  <si>
    <t>24499</t>
  </si>
  <si>
    <t>9047</t>
  </si>
  <si>
    <t>56805</t>
  </si>
  <si>
    <t>010425</t>
  </si>
  <si>
    <t>16719</t>
  </si>
  <si>
    <t>4321</t>
  </si>
  <si>
    <t>63505</t>
  </si>
  <si>
    <t>5361</t>
  </si>
  <si>
    <t>010139</t>
  </si>
  <si>
    <t>010445</t>
  </si>
  <si>
    <t>85425</t>
  </si>
  <si>
    <t>010123</t>
  </si>
  <si>
    <t>89339</t>
  </si>
  <si>
    <t>5710</t>
  </si>
  <si>
    <t>36872</t>
  </si>
  <si>
    <t>76495</t>
  </si>
  <si>
    <t>010319</t>
  </si>
  <si>
    <t>22288</t>
  </si>
  <si>
    <t>973627</t>
  </si>
  <si>
    <t>4204</t>
  </si>
  <si>
    <t>21460</t>
  </si>
  <si>
    <t>5858</t>
  </si>
  <si>
    <t>2711</t>
  </si>
  <si>
    <t>62400</t>
  </si>
  <si>
    <t>5204</t>
  </si>
  <si>
    <t>15258</t>
  </si>
  <si>
    <t>87003</t>
  </si>
  <si>
    <t>18408</t>
  </si>
  <si>
    <t>35354</t>
  </si>
  <si>
    <t>3880</t>
  </si>
  <si>
    <t>76127</t>
  </si>
  <si>
    <t>010349</t>
  </si>
  <si>
    <t>80571</t>
  </si>
  <si>
    <t>010254</t>
  </si>
  <si>
    <t>4752</t>
  </si>
  <si>
    <t>84201</t>
  </si>
  <si>
    <t>964435</t>
  </si>
  <si>
    <t>24453</t>
  </si>
  <si>
    <t>14845</t>
  </si>
  <si>
    <t>5515</t>
  </si>
  <si>
    <t>72505</t>
  </si>
  <si>
    <t>21480</t>
  </si>
  <si>
    <t>5682</t>
  </si>
  <si>
    <t>78186</t>
  </si>
  <si>
    <t>86887</t>
  </si>
  <si>
    <t>89158</t>
  </si>
  <si>
    <t>010506</t>
  </si>
  <si>
    <t>6136</t>
  </si>
  <si>
    <t>89624</t>
  </si>
  <si>
    <t>26595</t>
  </si>
  <si>
    <t>27666</t>
  </si>
  <si>
    <t>72110</t>
  </si>
  <si>
    <t>35316</t>
  </si>
  <si>
    <t>010140</t>
  </si>
  <si>
    <t>5797</t>
  </si>
  <si>
    <t>5488</t>
  </si>
  <si>
    <t>2621</t>
  </si>
  <si>
    <t>3833</t>
  </si>
  <si>
    <t>2642</t>
  </si>
  <si>
    <t>5236</t>
  </si>
  <si>
    <t>4103</t>
  </si>
  <si>
    <t>72356</t>
  </si>
  <si>
    <t>3909</t>
  </si>
  <si>
    <t>77648</t>
  </si>
  <si>
    <t>2623</t>
  </si>
  <si>
    <t>4143</t>
  </si>
  <si>
    <t>2500</t>
  </si>
  <si>
    <t>2544</t>
  </si>
  <si>
    <t>917176</t>
  </si>
  <si>
    <t>6148</t>
  </si>
  <si>
    <t>4197</t>
  </si>
  <si>
    <t>4201</t>
  </si>
  <si>
    <t>20306</t>
  </si>
  <si>
    <t>Unmapped Code</t>
  </si>
  <si>
    <t>2501</t>
  </si>
  <si>
    <t>4884</t>
  </si>
  <si>
    <t>5444</t>
  </si>
  <si>
    <t>17092</t>
  </si>
  <si>
    <t>2700</t>
  </si>
  <si>
    <t>37580</t>
  </si>
  <si>
    <t>4588</t>
  </si>
  <si>
    <t>6229</t>
  </si>
  <si>
    <t>67118</t>
  </si>
  <si>
    <t>5868</t>
  </si>
  <si>
    <t>6029</t>
  </si>
  <si>
    <t>ZZ0011976</t>
  </si>
  <si>
    <t>15776</t>
  </si>
  <si>
    <t>21466</t>
  </si>
  <si>
    <t>67266</t>
  </si>
  <si>
    <t>2594</t>
  </si>
  <si>
    <t>ZZ0008832</t>
  </si>
  <si>
    <t>3757</t>
  </si>
  <si>
    <t>62061</t>
  </si>
  <si>
    <t>4015</t>
  </si>
  <si>
    <t>2591</t>
  </si>
  <si>
    <t>21596</t>
  </si>
  <si>
    <t>4531</t>
  </si>
  <si>
    <t>3820</t>
  </si>
  <si>
    <t>40126</t>
  </si>
  <si>
    <t>6308</t>
  </si>
  <si>
    <t>17659</t>
  </si>
  <si>
    <t>2566</t>
  </si>
  <si>
    <t>38581</t>
  </si>
  <si>
    <t>42703</t>
  </si>
  <si>
    <t>6150</t>
  </si>
  <si>
    <t>5228</t>
  </si>
  <si>
    <t>5244</t>
  </si>
  <si>
    <t>64755</t>
  </si>
  <si>
    <t>2576</t>
  </si>
  <si>
    <t>4367</t>
  </si>
  <si>
    <t>ZZ0008308</t>
  </si>
  <si>
    <t>4828</t>
  </si>
  <si>
    <t>3611</t>
  </si>
  <si>
    <t>3704</t>
  </si>
  <si>
    <t>3447</t>
  </si>
  <si>
    <t>89566</t>
  </si>
  <si>
    <t>ZZ0000710</t>
  </si>
  <si>
    <t>ZZ0016168</t>
  </si>
  <si>
    <t>4417</t>
  </si>
  <si>
    <t>010100</t>
  </si>
  <si>
    <t>35926</t>
  </si>
  <si>
    <t>4823</t>
  </si>
  <si>
    <t>ZZ0002544</t>
  </si>
  <si>
    <t>4152</t>
  </si>
  <si>
    <t>4129</t>
  </si>
  <si>
    <t>010160</t>
  </si>
  <si>
    <t>ZZ0007522</t>
  </si>
  <si>
    <t>010046</t>
  </si>
  <si>
    <t>5896</t>
  </si>
  <si>
    <t>3524</t>
  </si>
  <si>
    <t>86121</t>
  </si>
  <si>
    <t>ZZ0008046</t>
  </si>
  <si>
    <t>4252</t>
  </si>
  <si>
    <t>010209</t>
  </si>
  <si>
    <t>4291</t>
  </si>
  <si>
    <t>925026</t>
  </si>
  <si>
    <t>ZZ0015120</t>
  </si>
  <si>
    <t>4105</t>
  </si>
  <si>
    <t>4205</t>
  </si>
  <si>
    <t>3949</t>
  </si>
  <si>
    <t>73063</t>
  </si>
  <si>
    <t>5351</t>
  </si>
  <si>
    <t>907705</t>
  </si>
  <si>
    <t>4568</t>
  </si>
  <si>
    <t>6345</t>
  </si>
  <si>
    <t>ZZ0000972</t>
  </si>
  <si>
    <t>ZZ0011714</t>
  </si>
  <si>
    <t>89646</t>
  </si>
  <si>
    <t>5353</t>
  </si>
  <si>
    <t>6083</t>
  </si>
  <si>
    <t>ZZ0002020</t>
  </si>
  <si>
    <t>ZZ0016430</t>
  </si>
  <si>
    <t>4558</t>
  </si>
  <si>
    <t>010141</t>
  </si>
  <si>
    <t>5627</t>
  </si>
  <si>
    <t>39252</t>
  </si>
  <si>
    <t>6204</t>
  </si>
  <si>
    <t>3722</t>
  </si>
  <si>
    <t>965264</t>
  </si>
  <si>
    <t>ZZ0014858</t>
  </si>
  <si>
    <t>ZZ0003854</t>
  </si>
  <si>
    <t>ZZ0006998</t>
  </si>
  <si>
    <t>4452</t>
  </si>
  <si>
    <t>4254</t>
  </si>
  <si>
    <t>25614</t>
  </si>
  <si>
    <t>76077</t>
  </si>
  <si>
    <t>ZZ0003068</t>
  </si>
  <si>
    <t>ZZ0007260</t>
  </si>
  <si>
    <t>ZZ0012762</t>
  </si>
  <si>
    <t>43986</t>
  </si>
  <si>
    <t>4285</t>
  </si>
  <si>
    <t>82826</t>
  </si>
  <si>
    <t>ZZ0015382</t>
  </si>
  <si>
    <t>100662</t>
  </si>
  <si>
    <t>34395</t>
  </si>
  <si>
    <t>4509</t>
  </si>
  <si>
    <t>ZZ0000448</t>
  </si>
  <si>
    <t>010190</t>
  </si>
  <si>
    <t>4004</t>
  </si>
  <si>
    <t>ZZ0004640</t>
  </si>
  <si>
    <t>3881</t>
  </si>
  <si>
    <t>ZZ0007784</t>
  </si>
  <si>
    <t>ZZ0009094</t>
  </si>
  <si>
    <t>ZZ0010666</t>
  </si>
  <si>
    <t>5135</t>
  </si>
  <si>
    <t>27060</t>
  </si>
  <si>
    <t>4102</t>
  </si>
  <si>
    <t>6210</t>
  </si>
  <si>
    <t>ZZ0014072</t>
  </si>
  <si>
    <t>4275</t>
  </si>
  <si>
    <t>101873</t>
  </si>
  <si>
    <t>75183</t>
  </si>
  <si>
    <t>89221</t>
  </si>
  <si>
    <t>ZZ0001496</t>
  </si>
  <si>
    <t>ZZ0002806</t>
  </si>
  <si>
    <t>68339</t>
  </si>
  <si>
    <t>3749</t>
  </si>
  <si>
    <t>ZZ0018526</t>
  </si>
  <si>
    <t>4355</t>
  </si>
  <si>
    <t>38814</t>
  </si>
  <si>
    <t>3943</t>
  </si>
  <si>
    <t>5882</t>
  </si>
  <si>
    <t>86973</t>
  </si>
  <si>
    <t>6194</t>
  </si>
  <si>
    <t>26576</t>
  </si>
  <si>
    <t>3886</t>
  </si>
  <si>
    <t>75210</t>
  </si>
  <si>
    <t>5279</t>
  </si>
  <si>
    <t>942265</t>
  </si>
  <si>
    <t>3719</t>
  </si>
  <si>
    <t>15890</t>
  </si>
  <si>
    <t>27462</t>
  </si>
  <si>
    <t>ZZ0015906</t>
  </si>
  <si>
    <t>100865</t>
  </si>
  <si>
    <t>010251</t>
  </si>
  <si>
    <t>ZZ0002282</t>
  </si>
  <si>
    <t>ZZ0011452</t>
  </si>
  <si>
    <t>33420</t>
  </si>
  <si>
    <t>5630</t>
  </si>
  <si>
    <t>68623</t>
  </si>
  <si>
    <t>976750</t>
  </si>
  <si>
    <t>ZZ0013548</t>
  </si>
  <si>
    <t>6249</t>
  </si>
  <si>
    <t>ZZ0017216</t>
  </si>
  <si>
    <t>4769</t>
  </si>
  <si>
    <t>5187</t>
  </si>
  <si>
    <t>36974</t>
  </si>
  <si>
    <t>43860</t>
  </si>
  <si>
    <t>ZZ0014334</t>
  </si>
  <si>
    <t>4960</t>
  </si>
  <si>
    <t>82857</t>
  </si>
  <si>
    <t>5946</t>
  </si>
  <si>
    <t>2853</t>
  </si>
  <si>
    <t>ZZ0006736</t>
  </si>
  <si>
    <t>5552</t>
  </si>
  <si>
    <t>4202</t>
  </si>
  <si>
    <t>22489</t>
  </si>
  <si>
    <t>36873</t>
  </si>
  <si>
    <t>77231</t>
  </si>
  <si>
    <t>ZZ0001758</t>
  </si>
  <si>
    <t>3879</t>
  </si>
  <si>
    <t>18650</t>
  </si>
  <si>
    <t>5114</t>
  </si>
  <si>
    <t>2667</t>
  </si>
  <si>
    <t>2716</t>
  </si>
  <si>
    <t>89838</t>
  </si>
  <si>
    <t>ZZ0006212</t>
  </si>
  <si>
    <t>4899</t>
  </si>
  <si>
    <t>56798</t>
  </si>
  <si>
    <t>42242</t>
  </si>
  <si>
    <t>87156</t>
  </si>
  <si>
    <t>ZZ0011190</t>
  </si>
  <si>
    <t>ZZ0017740</t>
  </si>
  <si>
    <t>19323</t>
  </si>
  <si>
    <t>35947</t>
  </si>
  <si>
    <t>989315</t>
  </si>
  <si>
    <t>ZZ0004116</t>
  </si>
  <si>
    <t>ZZ0005688</t>
  </si>
  <si>
    <t>5643</t>
  </si>
  <si>
    <t>010306</t>
  </si>
  <si>
    <t>010032</t>
  </si>
  <si>
    <t>010193</t>
  </si>
  <si>
    <t>936859</t>
  </si>
  <si>
    <t>ZZ0004902</t>
  </si>
  <si>
    <t>ZZ0015644</t>
  </si>
  <si>
    <t>26707</t>
  </si>
  <si>
    <t>31474</t>
  </si>
  <si>
    <t>943803</t>
  </si>
  <si>
    <t>ZZ0013810</t>
  </si>
  <si>
    <t>010293</t>
  </si>
  <si>
    <t>ZZ0013024</t>
  </si>
  <si>
    <t>4547</t>
  </si>
  <si>
    <t>78187</t>
  </si>
  <si>
    <t>ZZ0004378</t>
  </si>
  <si>
    <t>55106</t>
  </si>
  <si>
    <t>57578</t>
  </si>
  <si>
    <t>ZZ0003592</t>
  </si>
  <si>
    <t>28601</t>
  </si>
  <si>
    <t>85437</t>
  </si>
  <si>
    <t>18006</t>
  </si>
  <si>
    <t>010315</t>
  </si>
  <si>
    <t>2705</t>
  </si>
  <si>
    <t>5000</t>
  </si>
  <si>
    <t>44258</t>
  </si>
  <si>
    <t>56731</t>
  </si>
  <si>
    <t>58866</t>
  </si>
  <si>
    <t>84135</t>
  </si>
  <si>
    <t>010282</t>
  </si>
  <si>
    <t>84230</t>
  </si>
  <si>
    <t>ZZ0012500</t>
  </si>
  <si>
    <t>010307</t>
  </si>
  <si>
    <t>3660</t>
  </si>
  <si>
    <t>19226</t>
  </si>
  <si>
    <t>ZZ0016954</t>
  </si>
  <si>
    <t>4575</t>
  </si>
  <si>
    <t>26396</t>
  </si>
  <si>
    <t>35916</t>
  </si>
  <si>
    <t>66097</t>
  </si>
  <si>
    <t>77545</t>
  </si>
  <si>
    <t>ZZ0005164</t>
  </si>
  <si>
    <t>010283</t>
  </si>
  <si>
    <t>5740</t>
  </si>
  <si>
    <t>5990</t>
  </si>
  <si>
    <t>37040</t>
  </si>
  <si>
    <t>010335</t>
  </si>
  <si>
    <t>38185</t>
  </si>
  <si>
    <t>6344</t>
  </si>
  <si>
    <t>30528</t>
  </si>
  <si>
    <t>5089</t>
  </si>
  <si>
    <t>4317</t>
  </si>
  <si>
    <t>5534</t>
  </si>
  <si>
    <t>ZZ0010142</t>
  </si>
  <si>
    <t>010404</t>
  </si>
  <si>
    <t>36668</t>
  </si>
  <si>
    <t>ZZ0000186</t>
  </si>
  <si>
    <t>ZZ0017478</t>
  </si>
  <si>
    <t>ZZ0014596</t>
  </si>
  <si>
    <t>102149</t>
  </si>
  <si>
    <t>58746</t>
  </si>
  <si>
    <t>65753</t>
  </si>
  <si>
    <t>88693</t>
  </si>
  <si>
    <t>ZZ0018002</t>
  </si>
  <si>
    <t>ZZ0001234</t>
  </si>
  <si>
    <t>ZZ0006474</t>
  </si>
  <si>
    <t>ZZ0009618</t>
  </si>
  <si>
    <t>63131</t>
  </si>
  <si>
    <t>67319</t>
  </si>
  <si>
    <t>5620</t>
  </si>
  <si>
    <t>69634</t>
  </si>
  <si>
    <t>80382</t>
  </si>
  <si>
    <t>ZZ0009880</t>
  </si>
  <si>
    <t>ZZ0018264</t>
  </si>
  <si>
    <t>010429</t>
  </si>
  <si>
    <t>88528</t>
  </si>
  <si>
    <t>ZZ0005426</t>
  </si>
  <si>
    <t>76409</t>
  </si>
  <si>
    <t>16260</t>
  </si>
  <si>
    <t>964039</t>
  </si>
  <si>
    <t>44520</t>
  </si>
  <si>
    <t>6104</t>
  </si>
  <si>
    <t>77688</t>
  </si>
  <si>
    <t>529</t>
  </si>
  <si>
    <t>5860</t>
  </si>
  <si>
    <t>6120</t>
  </si>
  <si>
    <t>39619</t>
  </si>
  <si>
    <t>2553</t>
  </si>
  <si>
    <t>19067</t>
  </si>
  <si>
    <t>010345</t>
  </si>
  <si>
    <t>80358</t>
  </si>
  <si>
    <t>59220</t>
  </si>
  <si>
    <t>80015</t>
  </si>
  <si>
    <t>35776</t>
  </si>
  <si>
    <t>3973</t>
  </si>
  <si>
    <t>82627</t>
  </si>
  <si>
    <t>ZZ0010404</t>
  </si>
  <si>
    <t>25059</t>
  </si>
  <si>
    <t>69657</t>
  </si>
  <si>
    <t>010426</t>
  </si>
  <si>
    <t>4233</t>
  </si>
  <si>
    <t>52312</t>
  </si>
  <si>
    <t>83357</t>
  </si>
  <si>
    <t>902447</t>
  </si>
  <si>
    <t>904581</t>
  </si>
  <si>
    <t>ZZ0009356</t>
  </si>
  <si>
    <t>6318</t>
  </si>
  <si>
    <t>ZZ0010928</t>
  </si>
  <si>
    <t>74804</t>
  </si>
  <si>
    <t>77330</t>
  </si>
  <si>
    <t>ZZ0003330</t>
  </si>
  <si>
    <t>ZZ0008570</t>
  </si>
  <si>
    <t>ZZ0012238</t>
  </si>
  <si>
    <t>ZZ0013286</t>
  </si>
  <si>
    <t>39725</t>
  </si>
  <si>
    <t>43501</t>
  </si>
  <si>
    <t>90062</t>
  </si>
  <si>
    <t>ZZ0005950</t>
  </si>
  <si>
    <t>ZZ0016692</t>
  </si>
  <si>
    <t>20246</t>
  </si>
  <si>
    <t>010017</t>
  </si>
  <si>
    <t>6304</t>
  </si>
  <si>
    <t>5465</t>
  </si>
  <si>
    <t>5188</t>
  </si>
  <si>
    <t>103123</t>
  </si>
  <si>
    <t>010514</t>
  </si>
  <si>
    <t>5027</t>
  </si>
  <si>
    <t>987389</t>
  </si>
  <si>
    <t>65061</t>
  </si>
  <si>
    <t>5718</t>
  </si>
  <si>
    <t>80398</t>
  </si>
  <si>
    <t>4334</t>
  </si>
  <si>
    <t>2558</t>
  </si>
  <si>
    <t>2191</t>
  </si>
  <si>
    <t>2524</t>
  </si>
  <si>
    <t>2517</t>
  </si>
  <si>
    <t>2612</t>
  </si>
  <si>
    <t>77647</t>
  </si>
  <si>
    <t>2655</t>
  </si>
  <si>
    <t>5857</t>
  </si>
  <si>
    <t>5441</t>
  </si>
  <si>
    <t>6137</t>
  </si>
  <si>
    <t>ZZ0007481</t>
  </si>
  <si>
    <t>ZZ0009315</t>
  </si>
  <si>
    <t>2713</t>
  </si>
  <si>
    <t>6242</t>
  </si>
  <si>
    <t>2665</t>
  </si>
  <si>
    <t>6130</t>
  </si>
  <si>
    <t>73054</t>
  </si>
  <si>
    <t>75224</t>
  </si>
  <si>
    <t>2584</t>
  </si>
  <si>
    <t>ZZ0010625</t>
  </si>
  <si>
    <t>ZZ0011149</t>
  </si>
  <si>
    <t>4515</t>
  </si>
  <si>
    <t>2465</t>
  </si>
  <si>
    <t>5886</t>
  </si>
  <si>
    <t>995513</t>
  </si>
  <si>
    <t>ZZ0005385</t>
  </si>
  <si>
    <t>5210</t>
  </si>
  <si>
    <t>3774</t>
  </si>
  <si>
    <t>3944</t>
  </si>
  <si>
    <t>ZZ0011673</t>
  </si>
  <si>
    <t>ZZ0012721</t>
  </si>
  <si>
    <t>3814</t>
  </si>
  <si>
    <t>3549</t>
  </si>
  <si>
    <t>3959</t>
  </si>
  <si>
    <t>89916</t>
  </si>
  <si>
    <t>ZZ0010363</t>
  </si>
  <si>
    <t>010071</t>
  </si>
  <si>
    <t>010083</t>
  </si>
  <si>
    <t>2644</t>
  </si>
  <si>
    <t>5909</t>
  </si>
  <si>
    <t>010016</t>
  </si>
  <si>
    <t>ZZ0008005</t>
  </si>
  <si>
    <t>4993</t>
  </si>
  <si>
    <t>6252</t>
  </si>
  <si>
    <t>6050</t>
  </si>
  <si>
    <t>2649</t>
  </si>
  <si>
    <t>63129</t>
  </si>
  <si>
    <t>010136</t>
  </si>
  <si>
    <t>27794</t>
  </si>
  <si>
    <t>4137</t>
  </si>
  <si>
    <t>5116</t>
  </si>
  <si>
    <t>3845</t>
  </si>
  <si>
    <t>ZZ0006171</t>
  </si>
  <si>
    <t>2562</t>
  </si>
  <si>
    <t>40465</t>
  </si>
  <si>
    <t>6285</t>
  </si>
  <si>
    <t>3742</t>
  </si>
  <si>
    <t>5955</t>
  </si>
  <si>
    <t>5597</t>
  </si>
  <si>
    <t>2555</t>
  </si>
  <si>
    <t>ZZ0003027</t>
  </si>
  <si>
    <t>ZZ0004599</t>
  </si>
  <si>
    <t>ZZ0016651</t>
  </si>
  <si>
    <t>26087</t>
  </si>
  <si>
    <t>4514</t>
  </si>
  <si>
    <t>2607</t>
  </si>
  <si>
    <t>4311</t>
  </si>
  <si>
    <t>38812</t>
  </si>
  <si>
    <t>ZZ0000669</t>
  </si>
  <si>
    <t>010036</t>
  </si>
  <si>
    <t>6069</t>
  </si>
  <si>
    <t>ZZ0002241</t>
  </si>
  <si>
    <t>4231</t>
  </si>
  <si>
    <t>4232</t>
  </si>
  <si>
    <t>010102</t>
  </si>
  <si>
    <t>73715</t>
  </si>
  <si>
    <t>4604</t>
  </si>
  <si>
    <t>4472</t>
  </si>
  <si>
    <t>5912</t>
  </si>
  <si>
    <t>5275</t>
  </si>
  <si>
    <t>4194</t>
  </si>
  <si>
    <t>21796</t>
  </si>
  <si>
    <t>74688</t>
  </si>
  <si>
    <t>ZZ0005123</t>
  </si>
  <si>
    <t>3695</t>
  </si>
  <si>
    <t>5431</t>
  </si>
  <si>
    <t>86558</t>
  </si>
  <si>
    <t>2597</t>
  </si>
  <si>
    <t>ZZ0001979</t>
  </si>
  <si>
    <t>ZZ0003551</t>
  </si>
  <si>
    <t>ZZ0006957</t>
  </si>
  <si>
    <t>6132</t>
  </si>
  <si>
    <t>16213</t>
  </si>
  <si>
    <t>2604</t>
  </si>
  <si>
    <t>2624</t>
  </si>
  <si>
    <t>3514</t>
  </si>
  <si>
    <t>5763</t>
  </si>
  <si>
    <t>25150</t>
  </si>
  <si>
    <t>43869</t>
  </si>
  <si>
    <t>65126</t>
  </si>
  <si>
    <t>65191</t>
  </si>
  <si>
    <t>010162</t>
  </si>
  <si>
    <t>76238</t>
  </si>
  <si>
    <t>930746</t>
  </si>
  <si>
    <t>941467</t>
  </si>
  <si>
    <t>ZZ0016127</t>
  </si>
  <si>
    <t>5660</t>
  </si>
  <si>
    <t>5138</t>
  </si>
  <si>
    <t>5519</t>
  </si>
  <si>
    <t>ZZ0004861</t>
  </si>
  <si>
    <t>2721</t>
  </si>
  <si>
    <t>24466</t>
  </si>
  <si>
    <t>4712</t>
  </si>
  <si>
    <t>64348</t>
  </si>
  <si>
    <t>66056</t>
  </si>
  <si>
    <t>3790</t>
  </si>
  <si>
    <t>010201</t>
  </si>
  <si>
    <t>ZZ0003289</t>
  </si>
  <si>
    <t>6240</t>
  </si>
  <si>
    <t>87369</t>
  </si>
  <si>
    <t>88298</t>
  </si>
  <si>
    <t>6276</t>
  </si>
  <si>
    <t>2523</t>
  </si>
  <si>
    <t>4110</t>
  </si>
  <si>
    <t>76032</t>
  </si>
  <si>
    <t>3654</t>
  </si>
  <si>
    <t>6197</t>
  </si>
  <si>
    <t>5398</t>
  </si>
  <si>
    <t>ZZ0001717</t>
  </si>
  <si>
    <t>2709</t>
  </si>
  <si>
    <t>64645</t>
  </si>
  <si>
    <t>ZZ0013507</t>
  </si>
  <si>
    <t>26806</t>
  </si>
  <si>
    <t>6293</t>
  </si>
  <si>
    <t>ZZ0010887</t>
  </si>
  <si>
    <t>4271</t>
  </si>
  <si>
    <t>26373</t>
  </si>
  <si>
    <t>80447</t>
  </si>
  <si>
    <t>4320</t>
  </si>
  <si>
    <t>5840</t>
  </si>
  <si>
    <t>8826</t>
  </si>
  <si>
    <t>010257</t>
  </si>
  <si>
    <t>43232</t>
  </si>
  <si>
    <t>5814</t>
  </si>
  <si>
    <t>919121</t>
  </si>
  <si>
    <t>19475</t>
  </si>
  <si>
    <t>26162</t>
  </si>
  <si>
    <t>46506</t>
  </si>
  <si>
    <t>75263</t>
  </si>
  <si>
    <t>010198</t>
  </si>
  <si>
    <t>922180</t>
  </si>
  <si>
    <t>ZZ0006433</t>
  </si>
  <si>
    <t>17826</t>
  </si>
  <si>
    <t>2719</t>
  </si>
  <si>
    <t>40656</t>
  </si>
  <si>
    <t>5448</t>
  </si>
  <si>
    <t>87225</t>
  </si>
  <si>
    <t>87849</t>
  </si>
  <si>
    <t>3632</t>
  </si>
  <si>
    <t>43801</t>
  </si>
  <si>
    <t>4247</t>
  </si>
  <si>
    <t>2658</t>
  </si>
  <si>
    <t>100443</t>
  </si>
  <si>
    <t>102057</t>
  </si>
  <si>
    <t>22786</t>
  </si>
  <si>
    <t>73755</t>
  </si>
  <si>
    <t>4535</t>
  </si>
  <si>
    <t>4689</t>
  </si>
  <si>
    <t>4673</t>
  </si>
  <si>
    <t>3461</t>
  </si>
  <si>
    <t>4236</t>
  </si>
  <si>
    <t>ZZ0010101</t>
  </si>
  <si>
    <t>ZZ0015865</t>
  </si>
  <si>
    <t>6156</t>
  </si>
  <si>
    <t>010216</t>
  </si>
  <si>
    <t>76438</t>
  </si>
  <si>
    <t>010038</t>
  </si>
  <si>
    <t>5956</t>
  </si>
  <si>
    <t>58910</t>
  </si>
  <si>
    <t>ZZ0011411</t>
  </si>
  <si>
    <t>987159</t>
  </si>
  <si>
    <t>ZZ0007219</t>
  </si>
  <si>
    <t>5439</t>
  </si>
  <si>
    <t>6292</t>
  </si>
  <si>
    <t>57324</t>
  </si>
  <si>
    <t>5844</t>
  </si>
  <si>
    <t>ZZ0000407</t>
  </si>
  <si>
    <t>32281</t>
  </si>
  <si>
    <t>10625</t>
  </si>
  <si>
    <t>22069</t>
  </si>
  <si>
    <t>4027</t>
  </si>
  <si>
    <t>ZZ0008267</t>
  </si>
  <si>
    <t>36307</t>
  </si>
  <si>
    <t>ZZ0015603</t>
  </si>
  <si>
    <t>87029</t>
  </si>
  <si>
    <t>ZZ0015079</t>
  </si>
  <si>
    <t>4296</t>
  </si>
  <si>
    <t>37781</t>
  </si>
  <si>
    <t>ZZ0005647</t>
  </si>
  <si>
    <t>5235</t>
  </si>
  <si>
    <t>ZZ0016389</t>
  </si>
  <si>
    <t>27601</t>
  </si>
  <si>
    <t>ZZ0003813</t>
  </si>
  <si>
    <t>16026</t>
  </si>
  <si>
    <t>43686</t>
  </si>
  <si>
    <t>73254</t>
  </si>
  <si>
    <t>010191</t>
  </si>
  <si>
    <t>ZZ0004075</t>
  </si>
  <si>
    <t>ZZ0014817</t>
  </si>
  <si>
    <t>010107</t>
  </si>
  <si>
    <t>13928</t>
  </si>
  <si>
    <t>26970</t>
  </si>
  <si>
    <t>5815</t>
  </si>
  <si>
    <t>5411</t>
  </si>
  <si>
    <t>51326</t>
  </si>
  <si>
    <t>4584</t>
  </si>
  <si>
    <t>010161</t>
  </si>
  <si>
    <t>010233</t>
  </si>
  <si>
    <t>ZZ0009053</t>
  </si>
  <si>
    <t>27479</t>
  </si>
  <si>
    <t>983349</t>
  </si>
  <si>
    <t>ZZ0002765</t>
  </si>
  <si>
    <t>5640</t>
  </si>
  <si>
    <t>4182</t>
  </si>
  <si>
    <t>5072</t>
  </si>
  <si>
    <t>63019</t>
  </si>
  <si>
    <t>902291</t>
  </si>
  <si>
    <t>903690</t>
  </si>
  <si>
    <t>ZZ0005909</t>
  </si>
  <si>
    <t>34449</t>
  </si>
  <si>
    <t>6026</t>
  </si>
  <si>
    <t>19235</t>
  </si>
  <si>
    <t>010389</t>
  </si>
  <si>
    <t>5159</t>
  </si>
  <si>
    <t>4793</t>
  </si>
  <si>
    <t>4246</t>
  </si>
  <si>
    <t>989215</t>
  </si>
  <si>
    <t>102188</t>
  </si>
  <si>
    <t>28778</t>
  </si>
  <si>
    <t>972889</t>
  </si>
  <si>
    <t>ZZ0000145</t>
  </si>
  <si>
    <t>ZZ0012197</t>
  </si>
  <si>
    <t>17917</t>
  </si>
  <si>
    <t>59182</t>
  </si>
  <si>
    <t>ZZ0009577</t>
  </si>
  <si>
    <t>14208</t>
  </si>
  <si>
    <t>4171</t>
  </si>
  <si>
    <t>010313</t>
  </si>
  <si>
    <t>88118</t>
  </si>
  <si>
    <t>42715</t>
  </si>
  <si>
    <t>4277</t>
  </si>
  <si>
    <t>34423</t>
  </si>
  <si>
    <t>5957</t>
  </si>
  <si>
    <t>86125</t>
  </si>
  <si>
    <t>ZZ0011935</t>
  </si>
  <si>
    <t>ZZ0002503</t>
  </si>
  <si>
    <t>ZZ0013769</t>
  </si>
  <si>
    <t>010352</t>
  </si>
  <si>
    <t>010020</t>
  </si>
  <si>
    <t>85047</t>
  </si>
  <si>
    <t>89627</t>
  </si>
  <si>
    <t>6095</t>
  </si>
  <si>
    <t>39168</t>
  </si>
  <si>
    <t>ZZ0000931</t>
  </si>
  <si>
    <t>ZZ0015341</t>
  </si>
  <si>
    <t>010316</t>
  </si>
  <si>
    <t>3465</t>
  </si>
  <si>
    <t>85995</t>
  </si>
  <si>
    <t>ZZ0008791</t>
  </si>
  <si>
    <t>6033</t>
  </si>
  <si>
    <t>4522</t>
  </si>
  <si>
    <t>ZZ0007743</t>
  </si>
  <si>
    <t>5641</t>
  </si>
  <si>
    <t>3624</t>
  </si>
  <si>
    <t>ZZ0014555</t>
  </si>
  <si>
    <t>ZZ0016913</t>
  </si>
  <si>
    <t>4266</t>
  </si>
  <si>
    <t>6261</t>
  </si>
  <si>
    <t>2688</t>
  </si>
  <si>
    <t>ZZ0006695</t>
  </si>
  <si>
    <t>010386</t>
  </si>
  <si>
    <t>905613</t>
  </si>
  <si>
    <t>916001</t>
  </si>
  <si>
    <t>ZZ0004337</t>
  </si>
  <si>
    <t>010457</t>
  </si>
  <si>
    <t>ZZ0013245</t>
  </si>
  <si>
    <t>44486</t>
  </si>
  <si>
    <t>102346</t>
  </si>
  <si>
    <t>3901</t>
  </si>
  <si>
    <t>525</t>
  </si>
  <si>
    <t>3811</t>
  </si>
  <si>
    <t>79516</t>
  </si>
  <si>
    <t>ZZ0001193</t>
  </si>
  <si>
    <t>ZZ0001455</t>
  </si>
  <si>
    <t>ZZ0014293</t>
  </si>
  <si>
    <t>43040</t>
  </si>
  <si>
    <t>ZZ0012983</t>
  </si>
  <si>
    <t>6117</t>
  </si>
  <si>
    <t>67044</t>
  </si>
  <si>
    <t>67866</t>
  </si>
  <si>
    <t>5191</t>
  </si>
  <si>
    <t>ZZ0009839</t>
  </si>
  <si>
    <t>ZZ0008529</t>
  </si>
  <si>
    <t>24456</t>
  </si>
  <si>
    <t>84191</t>
  </si>
  <si>
    <t>16673</t>
  </si>
  <si>
    <t>ZZ0014031</t>
  </si>
  <si>
    <t>21542</t>
  </si>
  <si>
    <t>internal_volume</t>
  </si>
  <si>
    <t>feed_volume</t>
  </si>
  <si>
    <t>variance</t>
  </si>
  <si>
    <t>flagged</t>
  </si>
  <si>
    <t>936600</t>
  </si>
  <si>
    <t>ZZ0009678</t>
  </si>
  <si>
    <t>102285</t>
  </si>
  <si>
    <t>ZZ0010379</t>
  </si>
  <si>
    <t>ZZ0018352</t>
  </si>
  <si>
    <t>description</t>
  </si>
  <si>
    <t>category</t>
  </si>
  <si>
    <t>category_name</t>
  </si>
  <si>
    <t>pack</t>
  </si>
  <si>
    <t>bottle_ml</t>
  </si>
  <si>
    <t>vendor</t>
  </si>
  <si>
    <t>ABSOLUT W/FEVER TREE GINGER BEER</t>
  </si>
  <si>
    <t>1701100</t>
  </si>
  <si>
    <t>TEMPORARY &amp; SPECIALTY PACKAGES</t>
  </si>
  <si>
    <t>PERNOD RICARD USA</t>
  </si>
  <si>
    <t>10006</t>
  </si>
  <si>
    <t>SCORESBY RARE SCOTCH</t>
  </si>
  <si>
    <t>1012200</t>
  </si>
  <si>
    <t>SCOTCH WHISKIES</t>
  </si>
  <si>
    <t>SAZERAC COMPANY  INC</t>
  </si>
  <si>
    <t>100077</t>
  </si>
  <si>
    <t>KRAKEN RUM W/TIKI GLASS</t>
  </si>
  <si>
    <t>PROXIMO</t>
  </si>
  <si>
    <t>10009</t>
  </si>
  <si>
    <t>HERRADURA ULTRA ANEJO</t>
  </si>
  <si>
    <t>1022200</t>
  </si>
  <si>
    <t>100% AGAVE TEQUILA</t>
  </si>
  <si>
    <t>BROWN FORMAN CORP.</t>
  </si>
  <si>
    <t>JACK DANIELS SINGLE BARREL W/SNIFTER GLASS</t>
  </si>
  <si>
    <t>100215</t>
  </si>
  <si>
    <t>TEQUILA ROSE LIQUEUR W/2 SHOT GLASSES</t>
  </si>
  <si>
    <t>MCCORMICK DISTILLING CO.</t>
  </si>
  <si>
    <t>TWISTED SHOTZ TRADITIONAL PARTY PACK 3.0</t>
  </si>
  <si>
    <t>1071000</t>
  </si>
  <si>
    <t>COCKTAILS/RTD</t>
  </si>
  <si>
    <t>MHW LTD</t>
  </si>
  <si>
    <t>100245</t>
  </si>
  <si>
    <t>BOMBAY SAPPHIRE GIFT TIN</t>
  </si>
  <si>
    <t>BACARDI USA INC</t>
  </si>
  <si>
    <t>PATRON EXTRA ANEJO</t>
  </si>
  <si>
    <t>FIREBALL CINNAMON WHISKEY PARTY BUCKET</t>
  </si>
  <si>
    <t>1081600</t>
  </si>
  <si>
    <t>WHISKEY LIQUEUR</t>
  </si>
  <si>
    <t>FIREBALL CINNAMON WHISKEY 100ML CARRIER</t>
  </si>
  <si>
    <t>100429</t>
  </si>
  <si>
    <t>WRITERS TEARS COPPER POT VAP W/ FLASK</t>
  </si>
  <si>
    <t>HOTALING &amp; CO</t>
  </si>
  <si>
    <t>100433</t>
  </si>
  <si>
    <t>SUNTORY TOKI W/HIGHBALL GLASS</t>
  </si>
  <si>
    <t>JIM BEAM BRANDS</t>
  </si>
  <si>
    <t>REDBREAST TRI PACK MINI</t>
  </si>
  <si>
    <t>1012400</t>
  </si>
  <si>
    <t>IRISH WHISKIES</t>
  </si>
  <si>
    <t>ABSOLUT MINI BAR</t>
  </si>
  <si>
    <t>1032100</t>
  </si>
  <si>
    <t>IMPORTED VODKAS</t>
  </si>
  <si>
    <t>100506</t>
  </si>
  <si>
    <t>BP LAST DROP 1971 BLENDED WHISKY W/50ML</t>
  </si>
  <si>
    <t>100533</t>
  </si>
  <si>
    <t>BACARDI OCHO GIFT TUBE</t>
  </si>
  <si>
    <t>FIREBALL GIFT BOX</t>
  </si>
  <si>
    <t>100572</t>
  </si>
  <si>
    <t>JOHNNIE WALKER 200ML COLLECTION PACK</t>
  </si>
  <si>
    <t>DIAGEO AMERICAS</t>
  </si>
  <si>
    <t>100605</t>
  </si>
  <si>
    <t>JAMESON W/GINGER ALE</t>
  </si>
  <si>
    <t>100618</t>
  </si>
  <si>
    <t>CRYSTAL HEAD VODKA W/4 SKULL GLASSES</t>
  </si>
  <si>
    <t>INFINIUM SPIRITS</t>
  </si>
  <si>
    <t>CROWN ROYAL W/NFL JERSEY BAG</t>
  </si>
  <si>
    <t>FIREBALL SPECIAL EDITION</t>
  </si>
  <si>
    <t>VAN GOGH FRUIT SAMPLER NP MINI</t>
  </si>
  <si>
    <t>JOSE CUERVO AUTHENTIC PINK LEMONADE MARGARITA</t>
  </si>
  <si>
    <t>CROWN ROYAL W/50ML VANILLA &amp; 50ML APPLE</t>
  </si>
  <si>
    <t>100737</t>
  </si>
  <si>
    <t>JAMESON BLACK BARREL W/2 GLASSES</t>
  </si>
  <si>
    <t>100795</t>
  </si>
  <si>
    <t>JOHNNIE WALKER BLACK W/2-50MLS</t>
  </si>
  <si>
    <t>100803</t>
  </si>
  <si>
    <t>TWISTED SHOTZ CHOC BOX</t>
  </si>
  <si>
    <t>100815</t>
  </si>
  <si>
    <t>BAILEYS MINI MULTI PACK</t>
  </si>
  <si>
    <t>100844</t>
  </si>
  <si>
    <t>PENDLETON CANADIAN WHISKEY W/BELT BUCKLE</t>
  </si>
  <si>
    <t>FIREBALL CINNAMON WHISKEY CANDY CANES</t>
  </si>
  <si>
    <t>100854</t>
  </si>
  <si>
    <t>ARDBEG 19YR GIFT BOX 2023 EDITION</t>
  </si>
  <si>
    <t>MOET HENNESSY USA</t>
  </si>
  <si>
    <t>99 PARTY BUCKET MINIS</t>
  </si>
  <si>
    <t>1081300</t>
  </si>
  <si>
    <t>AMERICAN CORDIALS &amp; LIQUEURS</t>
  </si>
  <si>
    <t>100862</t>
  </si>
  <si>
    <t>99 BRAND CANDY CANES MINI</t>
  </si>
  <si>
    <t>CROWN ROYAL REGAL APPLE W/2 GLASSES</t>
  </si>
  <si>
    <t>100891</t>
  </si>
  <si>
    <t>DIPLOMATICO RESERVA EXCLUSIVA W/ 2 ROCKS GLASSES</t>
  </si>
  <si>
    <t>E &amp; J GALLO WINERY</t>
  </si>
  <si>
    <t>100938</t>
  </si>
  <si>
    <t>FIREBALL VALENTINE PACK</t>
  </si>
  <si>
    <t>100939</t>
  </si>
  <si>
    <t>ON THE ROCKS COMBO PACK 200ML</t>
  </si>
  <si>
    <t>100944</t>
  </si>
  <si>
    <t>CROWN ROYAL W/2 SHOT GLASSES</t>
  </si>
  <si>
    <t>100948</t>
  </si>
  <si>
    <t>CODIGO 1530 COMBO MINI</t>
  </si>
  <si>
    <t>JIM BEAM WHITE W/HIGHBALL GLASS</t>
  </si>
  <si>
    <t>101046</t>
  </si>
  <si>
    <t>FIREBALL CINNAMON WHISKEY PARTY COOLER</t>
  </si>
  <si>
    <t>101151</t>
  </si>
  <si>
    <t>FIREBALL CINNAMON WHISKEY ADULT TRICK OR TREAT BAG MINI</t>
  </si>
  <si>
    <t>101163</t>
  </si>
  <si>
    <t>RUMCHATA W/2-100ML PEPPERMINT BARK</t>
  </si>
  <si>
    <t>101172</t>
  </si>
  <si>
    <t>BIRD DOG KENTUCKY STRAIGHT VAP W/ 2 MINIS</t>
  </si>
  <si>
    <t>WESTERN SPIRITS BEVERAGE</t>
  </si>
  <si>
    <t>99 FRUITS MINI</t>
  </si>
  <si>
    <t>1081400</t>
  </si>
  <si>
    <t>AMERICAN SCHNAPPS</t>
  </si>
  <si>
    <t>101183</t>
  </si>
  <si>
    <t>DISARONNO VELVET CREAM LIQUEUR W/GLASS</t>
  </si>
  <si>
    <t>DISARONNO INTERNATIONAL</t>
  </si>
  <si>
    <t>101209</t>
  </si>
  <si>
    <t>VAN GOGH DESSERT SAMPLER MINI</t>
  </si>
  <si>
    <t>101233</t>
  </si>
  <si>
    <t>PATRON SILVER TEQUILA LIMITED EDITION</t>
  </si>
  <si>
    <t>101247</t>
  </si>
  <si>
    <t>SELECT APERITIVO MONTENEGRO W/ TIN</t>
  </si>
  <si>
    <t>101276</t>
  </si>
  <si>
    <t>SOBIESKI 1750 W/SPEAKER</t>
  </si>
  <si>
    <t>101284</t>
  </si>
  <si>
    <t>GLEN MORAY TASTING COLLECTION MINIS</t>
  </si>
  <si>
    <t>101292</t>
  </si>
  <si>
    <t>LAPHROAIG 10 YEAR W/ 2 GLASSES</t>
  </si>
  <si>
    <t>101344</t>
  </si>
  <si>
    <t>DRAKES ORGANIC SPIKED ICE VARIETY BOX</t>
  </si>
  <si>
    <t>PARK STREET IMPORTS</t>
  </si>
  <si>
    <t>101346</t>
  </si>
  <si>
    <t>GREY GOOSE GLASS PACK</t>
  </si>
  <si>
    <t>101352</t>
  </si>
  <si>
    <t>1800 SILVER W/TACO HOLDER</t>
  </si>
  <si>
    <t>SKREWBALL PEANUT BUTTER WHISKEY MINI KREW PACKAGE</t>
  </si>
  <si>
    <t>1011100</t>
  </si>
  <si>
    <t>BLENDED WHISKIES</t>
  </si>
  <si>
    <t>101368</t>
  </si>
  <si>
    <t>MALIBU W/DOLE PINEAPPLE JUICE</t>
  </si>
  <si>
    <t>101385</t>
  </si>
  <si>
    <t>TEMPLETON RYE 4YR W/2 ROCKS GLASSES</t>
  </si>
  <si>
    <t>101423</t>
  </si>
  <si>
    <t>KETEL ONE W/ 2 MARTINI GLASSES VAP</t>
  </si>
  <si>
    <t>101452</t>
  </si>
  <si>
    <t>DEWARS DISCOVERY PACK W/2 MINIS</t>
  </si>
  <si>
    <t>101464</t>
  </si>
  <si>
    <t>MONKEY 47 W/ 2 GLASSES</t>
  </si>
  <si>
    <t>101472</t>
  </si>
  <si>
    <t>99 BRAND ADULT VARIETY TRICK &amp; TREAT BAG MINI</t>
  </si>
  <si>
    <t>99 BRAND VARIETY PARTY YARD PACK MINI</t>
  </si>
  <si>
    <t>101485</t>
  </si>
  <si>
    <t>CASAMIGOS BLANCO W/ 4 COASTERS</t>
  </si>
  <si>
    <t>101486</t>
  </si>
  <si>
    <t>CASAMIGOS ANEJO W/4 COASTERS</t>
  </si>
  <si>
    <t>101487</t>
  </si>
  <si>
    <t>CASAMIGOS MEZCAL W/4 COASTERS</t>
  </si>
  <si>
    <t>101488</t>
  </si>
  <si>
    <t>CASAMIGOS REPOSADO W/ 4 COASTERS</t>
  </si>
  <si>
    <t>MIDNIGHT MOON PARTY PACK MINIS</t>
  </si>
  <si>
    <t>PIEDMONT DISTILLERS INC</t>
  </si>
  <si>
    <t>101499</t>
  </si>
  <si>
    <t>MIDNIGHT MOON APPLE PIE W/ WATERMELON MINI</t>
  </si>
  <si>
    <t>101505</t>
  </si>
  <si>
    <t>DEWARS 19YR US OPEN LABEL</t>
  </si>
  <si>
    <t>101512</t>
  </si>
  <si>
    <t>FIREBALL CINNAMON WHISKEY PARTY YARD MINI</t>
  </si>
  <si>
    <t>FIREBALL CINNAMON WHISKEY KEG</t>
  </si>
  <si>
    <t>LOT NO.40 CHERRIES</t>
  </si>
  <si>
    <t>101527</t>
  </si>
  <si>
    <t>WRITERS TEARS COPPER POT IRISH WHISKEY W/FLASK</t>
  </si>
  <si>
    <t>101530</t>
  </si>
  <si>
    <t>REDNECK RIVIERA VAP PACK W/ TWO MASON JARS</t>
  </si>
  <si>
    <t>BONAVITA BEVERAGE GROUP, LLC</t>
  </si>
  <si>
    <t>SOUTHERN COMFORT PARTY BUCKET MINI</t>
  </si>
  <si>
    <t>101548</t>
  </si>
  <si>
    <t>TRES GENERACIONES ANEJO W/GLASSES</t>
  </si>
  <si>
    <t>101549</t>
  </si>
  <si>
    <t>SUGARLANDS CANDY CANE VARIETY PACK</t>
  </si>
  <si>
    <t>SUGARLANDS DISTILLING COMPANY LLC</t>
  </si>
  <si>
    <t>101554</t>
  </si>
  <si>
    <t>WHISTLEPIG RYE PIGLETS 6/10/12 MINI</t>
  </si>
  <si>
    <t>GOAMERICAGO BEVERAGES LLC / WHISTLEPIG</t>
  </si>
  <si>
    <t>101568</t>
  </si>
  <si>
    <t>DEVILS RIVER BOURBON W/2-50MLS</t>
  </si>
  <si>
    <t>101614</t>
  </si>
  <si>
    <t>MAKERS MARK 46 W/ COASTERS</t>
  </si>
  <si>
    <t>101615</t>
  </si>
  <si>
    <t>MAKERS MARK W/ MUGS</t>
  </si>
  <si>
    <t>101617</t>
  </si>
  <si>
    <t>HAKU VODKA W/ MARTINI GLASS</t>
  </si>
  <si>
    <t>101622</t>
  </si>
  <si>
    <t>TWISTED SHOTZ TAILGATE PARTY PACK 2.0</t>
  </si>
  <si>
    <t>101631</t>
  </si>
  <si>
    <t>CIROC VAP WITH 2 MINIS</t>
  </si>
  <si>
    <t>101633</t>
  </si>
  <si>
    <t>CASAMIGOS BLANCO W/ MARGARITA GLASS</t>
  </si>
  <si>
    <t>101641</t>
  </si>
  <si>
    <t>CODY ROAD SIX SHOOTER VARIETY PACK MINIS</t>
  </si>
  <si>
    <t>MISSISSIPPI RIVER DISTILLING COMPANY LLC</t>
  </si>
  <si>
    <t>101648</t>
  </si>
  <si>
    <t>REDBREAST 12YR W/BIRDFEEDER</t>
  </si>
  <si>
    <t>101650</t>
  </si>
  <si>
    <t>ON THE ROCKS COMBO PACK 200ML 6 PACK</t>
  </si>
  <si>
    <t>101653</t>
  </si>
  <si>
    <t>KOVAL GIN TRIO GIFT PACK</t>
  </si>
  <si>
    <t>KOVAL DISTILLERY</t>
  </si>
  <si>
    <t>101654</t>
  </si>
  <si>
    <t>KOVAL WHISKEY GIFT PACK</t>
  </si>
  <si>
    <t>101658</t>
  </si>
  <si>
    <t>BOMBAY SAPPHIRE FEVER TREE VARIETY PACK</t>
  </si>
  <si>
    <t>101661</t>
  </si>
  <si>
    <t>MIDNIGHT MOON PICNIC PACK MINIS</t>
  </si>
  <si>
    <t>101664</t>
  </si>
  <si>
    <t>BUSHMILLS W/GOLF FLASK</t>
  </si>
  <si>
    <t>APEROL WITH APEROL SPRITZ GLASS</t>
  </si>
  <si>
    <t>CAMPARI AMERICA</t>
  </si>
  <si>
    <t>101675</t>
  </si>
  <si>
    <t>KNOB CREEK RYE 7YR W/2 GLASSES</t>
  </si>
  <si>
    <t>101677</t>
  </si>
  <si>
    <t>SMOOTH AMBLER CONTRADICTION W/2 GLASSES</t>
  </si>
  <si>
    <t>101703</t>
  </si>
  <si>
    <t>KETEL ONE W/ BOTANICALS</t>
  </si>
  <si>
    <t>101706</t>
  </si>
  <si>
    <t>ST GERMAIN W/ CARAFE PACK</t>
  </si>
  <si>
    <t>101707</t>
  </si>
  <si>
    <t>BAILEYS ORIGINAL IRISH CREAM W/GLASS MUG</t>
  </si>
  <si>
    <t>FIREBALL WINDOW BOX MINIS</t>
  </si>
  <si>
    <t>101712</t>
  </si>
  <si>
    <t>99 RAINBOW PACK MINI</t>
  </si>
  <si>
    <t>CAZADORES REPOSADO WITH JARRITOS PACK</t>
  </si>
  <si>
    <t>101764</t>
  </si>
  <si>
    <t>JAMESON ORANGE W/ 2 SODA CANS</t>
  </si>
  <si>
    <t>101765</t>
  </si>
  <si>
    <t>CAMPARI NEGRONI VAP</t>
  </si>
  <si>
    <t>101766</t>
  </si>
  <si>
    <t>GRAND MARNIER W/ROCKS GLASS GIFT SET</t>
  </si>
  <si>
    <t>101767</t>
  </si>
  <si>
    <t>FRANGELICO W/COUPE GLASS GIFT SET</t>
  </si>
  <si>
    <t>101768</t>
  </si>
  <si>
    <t>LONGBRANCH W/2 ROCK GLASSES</t>
  </si>
  <si>
    <t>101774</t>
  </si>
  <si>
    <t>CHIVAS 12 YR W/ HIGHBALL GLASS</t>
  </si>
  <si>
    <t>CAPTAIN MORGAN OSR 1.75L PET W/ HELMET POURER</t>
  </si>
  <si>
    <t>101791</t>
  </si>
  <si>
    <t>BULLEIT BOURBON WHISKEY W/MUG</t>
  </si>
  <si>
    <t>101794</t>
  </si>
  <si>
    <t>TORRES 10 BRANDY W/2 GLASSES</t>
  </si>
  <si>
    <t>101796</t>
  </si>
  <si>
    <t>BIRD DOG PEANUT BUTTER FLAVORED WHISKEY VAP W/ 2 MINIS</t>
  </si>
  <si>
    <t>101800</t>
  </si>
  <si>
    <t>BIRD DOG SALTED CARAMEL FLAVORED WHISKEY VAP W/ 2 MINIS</t>
  </si>
  <si>
    <t>101802</t>
  </si>
  <si>
    <t>BIRD DOG BLACKBERRY FLAVORED WHISKEY VAP W/ 2 MINIS</t>
  </si>
  <si>
    <t>101813</t>
  </si>
  <si>
    <t>JIM BEAM GLASS TRAYPACK</t>
  </si>
  <si>
    <t>1011200</t>
  </si>
  <si>
    <t>STRAIGHT BOURBON WHISKIES</t>
  </si>
  <si>
    <t>ELIJAH CRAIG SMALL BATCH W/OLD FASHION &amp; JIGGER</t>
  </si>
  <si>
    <t>HEAVEN HILL BRANDS</t>
  </si>
  <si>
    <t>101819</t>
  </si>
  <si>
    <t>RABBIT HOLE 2PK W/CAVEHILL &amp; HEIGOLD</t>
  </si>
  <si>
    <t>101834</t>
  </si>
  <si>
    <t>MIDNIGHT MOON PEPPERMINT W/2 SHOT GLASSES</t>
  </si>
  <si>
    <t>101839</t>
  </si>
  <si>
    <t>CODIGO 1530 TEQUILA ROSA VAP</t>
  </si>
  <si>
    <t>101841</t>
  </si>
  <si>
    <t>LARCENY HOLIDAY VAP W/ STAINLESS STEEL TUMBLER</t>
  </si>
  <si>
    <t>101844</t>
  </si>
  <si>
    <t>DEWARS CASK SERIES TRILOGY PACK</t>
  </si>
  <si>
    <t>101850</t>
  </si>
  <si>
    <t>ABSOLUT W/RISE COLD BREW</t>
  </si>
  <si>
    <t>101864</t>
  </si>
  <si>
    <t>REDNECK RIVIERA WHISKEY SIDEKICK VAP</t>
  </si>
  <si>
    <t>FRIS VARIETY MINI</t>
  </si>
  <si>
    <t>1031100</t>
  </si>
  <si>
    <t>AMERICAN VODKAS</t>
  </si>
  <si>
    <t>101909</t>
  </si>
  <si>
    <t>HIGH WEST WHISKEY HUCKBERRY GIFT PACK W/WHISKEY PEAK GLASSES</t>
  </si>
  <si>
    <t>CONSTELLATION BRANDS INC</t>
  </si>
  <si>
    <t>101916</t>
  </si>
  <si>
    <t>CORRALEJO REPOSADO W/2 ROCKS GLASSES</t>
  </si>
  <si>
    <t>101928</t>
  </si>
  <si>
    <t>GLENMORANGIE TALE OF FOREST GIFT BOX</t>
  </si>
  <si>
    <t>101940</t>
  </si>
  <si>
    <t>YELLOW ROSE PREMIUM AMERICAN VAP W/ 2 TUMBLER GLASSES</t>
  </si>
  <si>
    <t>101942</t>
  </si>
  <si>
    <t>MAKERS MARK WITH SUMMER WHEAT CUPS</t>
  </si>
  <si>
    <t>101943</t>
  </si>
  <si>
    <t>MAKERS MARK W/2 SNOWFLAKE GLASSES</t>
  </si>
  <si>
    <t>101944</t>
  </si>
  <si>
    <t>MAKERS MARK 46 WITH COCKTAIL KIT</t>
  </si>
  <si>
    <t>101949</t>
  </si>
  <si>
    <t>BUMBU XO VAP WITH ROCKS GLASSES</t>
  </si>
  <si>
    <t>SOVEREIGN BRANDS, LLC</t>
  </si>
  <si>
    <t>101950</t>
  </si>
  <si>
    <t>BUMBU RUM VAP W/ ROCKS GLASSES</t>
  </si>
  <si>
    <t>BACARDI FLAVORED RUM PARTY BUCKET</t>
  </si>
  <si>
    <t>101955</t>
  </si>
  <si>
    <t>RABBIT HOLE CAVEHILL W/ BAR SPOON</t>
  </si>
  <si>
    <t>101962</t>
  </si>
  <si>
    <t>1800 REPOSADO W/CLAY CUP</t>
  </si>
  <si>
    <t>101967</t>
  </si>
  <si>
    <t>MALFY GIN ROSA W/2 COPA GLASSES</t>
  </si>
  <si>
    <t>RUMCHATA COCONUT MINI</t>
  </si>
  <si>
    <t>1081200</t>
  </si>
  <si>
    <t>CREAM LIQUEURS</t>
  </si>
  <si>
    <t>101971</t>
  </si>
  <si>
    <t>BOMBAY SAPPHIRE WITH FEVER TREE TONIC &amp; TEA BAGS</t>
  </si>
  <si>
    <t>FIREBALL SUMMER BAG</t>
  </si>
  <si>
    <t>101990</t>
  </si>
  <si>
    <t>102005</t>
  </si>
  <si>
    <t>TRES GENERACIONES PLATA W/2 GLASSES</t>
  </si>
  <si>
    <t>102011</t>
  </si>
  <si>
    <t>NUMBER JUAN 375 2PK BLANCO/REPOSADO VAP</t>
  </si>
  <si>
    <t>WORLD TRADE LIQUOR IMPORTS LLC</t>
  </si>
  <si>
    <t>102012</t>
  </si>
  <si>
    <t>DISARONNO VELVET W/2 GLASSES</t>
  </si>
  <si>
    <t>102013</t>
  </si>
  <si>
    <t>JAGERMEISTER MINIMEISTER ICE BUCKET VAP</t>
  </si>
  <si>
    <t>MAST-JAGERMEISTER US, INC</t>
  </si>
  <si>
    <t>102014</t>
  </si>
  <si>
    <t>ELIJAH CRAIG RYE HOLIDAY VAP</t>
  </si>
  <si>
    <t>102015</t>
  </si>
  <si>
    <t>JAGERMEISTER W/ALUMINUM SHOT CUP</t>
  </si>
  <si>
    <t>102024</t>
  </si>
  <si>
    <t>CLYDE MAYS DEGA VAP</t>
  </si>
  <si>
    <t>102025</t>
  </si>
  <si>
    <t>JP WISERS DELUXE W/10YR 50ML</t>
  </si>
  <si>
    <t>99 PUNCHES VARIETY MINI</t>
  </si>
  <si>
    <t>FIREBALL BIRDIE SHOT MINI</t>
  </si>
  <si>
    <t>DON JULIO BLANCO W/2 FILTHY MARGARITA POUCHES</t>
  </si>
  <si>
    <t>102035</t>
  </si>
  <si>
    <t>DOS HOMBRES MEZCAL + FEVER TREE PINK GRAPEFRUIT SODA VAP</t>
  </si>
  <si>
    <t>102036</t>
  </si>
  <si>
    <t>MAKERS MARK WITH STRAINER</t>
  </si>
  <si>
    <t>102037</t>
  </si>
  <si>
    <t>ABSOLUT BLUE W/CRANBERRY JUICE</t>
  </si>
  <si>
    <t>102040</t>
  </si>
  <si>
    <t>CROWN ROYAL DELUXE 1.75L W HOLIDAY BAG AND BOX</t>
  </si>
  <si>
    <t>1012100</t>
  </si>
  <si>
    <t>CANADIAN WHISKIES</t>
  </si>
  <si>
    <t>RUMCHATA PUMPKIN SPICE MINI</t>
  </si>
  <si>
    <t>MAKERS MARK PRIVATE SELECT TRI-PACK</t>
  </si>
  <si>
    <t>FIREBALL FALL TAILGATE BAG</t>
  </si>
  <si>
    <t>102061</t>
  </si>
  <si>
    <t>PIGGYBACK RYE W/POUR SNOUT</t>
  </si>
  <si>
    <t>102069</t>
  </si>
  <si>
    <t>ARDBEG HEAVY VAPOURS GB - GENERAL RELEASE</t>
  </si>
  <si>
    <t>102071</t>
  </si>
  <si>
    <t>HENNESSY V.S.O.P ROUND GIFTBOX</t>
  </si>
  <si>
    <t>1052100</t>
  </si>
  <si>
    <t>IMPORTED BRANDIES</t>
  </si>
  <si>
    <t>102077</t>
  </si>
  <si>
    <t>WILD ROOTS HUCKLEBERRY VODKA W/4-50MLS</t>
  </si>
  <si>
    <t>NORTHWEST NATURAL SPIRITS, LLC / CASCADE SPIRITS</t>
  </si>
  <si>
    <t>102086</t>
  </si>
  <si>
    <t>MIDNIGHT MOON APPLE PIE W/POUR LID</t>
  </si>
  <si>
    <t>102088</t>
  </si>
  <si>
    <t>BARENJAGER HONEY LIQ W/2 BOOT SHAPED SHOT GLASSES</t>
  </si>
  <si>
    <t>MARUSSIA BEVERAGES USA, INC / NICHE IMPORT</t>
  </si>
  <si>
    <t>102092</t>
  </si>
  <si>
    <t>CAPTAIN MORGAN OSR W/NFL TIN CUP</t>
  </si>
  <si>
    <t>102095</t>
  </si>
  <si>
    <t>BAILEYS MULTI PACK MINI</t>
  </si>
  <si>
    <t>FIREBALL WINTER BAG</t>
  </si>
  <si>
    <t>102097</t>
  </si>
  <si>
    <t>MIDNIGHT MOON HOLIDAY CANDY CANE</t>
  </si>
  <si>
    <t>102100</t>
  </si>
  <si>
    <t>ST. GERMAIN W/ACRYLIC CARAFE</t>
  </si>
  <si>
    <t>102110</t>
  </si>
  <si>
    <t>DEL MAGUEY VIDA DE MUERTOS W/2 GLASSES</t>
  </si>
  <si>
    <t>FROST TRAIL VODKA MINI</t>
  </si>
  <si>
    <t>102152</t>
  </si>
  <si>
    <t>SHANKYS WHIP BLACK SPIRITS W/COFFEE MUG</t>
  </si>
  <si>
    <t>102171</t>
  </si>
  <si>
    <t>MAKERS MARK W/FLASK</t>
  </si>
  <si>
    <t>HORNITOS PLATA W/ROCKS GLASS</t>
  </si>
  <si>
    <t>102177</t>
  </si>
  <si>
    <t>PARROT BAY VARIETY PACK MINI</t>
  </si>
  <si>
    <t>1062500</t>
  </si>
  <si>
    <t>FLAVORED RUM</t>
  </si>
  <si>
    <t>DON JULIO REPOSADO W/2 GLASSES</t>
  </si>
  <si>
    <t>CROWN ROYAL DELUXE W/ JUICER</t>
  </si>
  <si>
    <t>CROWN ROYAL DELUXE W/SPIRIT OF AMERICA BAG</t>
  </si>
  <si>
    <t>102189</t>
  </si>
  <si>
    <t>BUCHANANS DELUXE W/ 2 SALSA BOWLS</t>
  </si>
  <si>
    <t>102190</t>
  </si>
  <si>
    <t>RUMCHATA PEPPERMINT BARK MINI</t>
  </si>
  <si>
    <t>102192</t>
  </si>
  <si>
    <t>BLUE CHAIR BAY COCONUT RUM 2023 COMMEMORATIVE WRAP</t>
  </si>
  <si>
    <t>102193</t>
  </si>
  <si>
    <t>BIRD DOG CANDY CANE MINI</t>
  </si>
  <si>
    <t>102200</t>
  </si>
  <si>
    <t>102202</t>
  </si>
  <si>
    <t>H DERINGER PISTOL GIFT SET</t>
  </si>
  <si>
    <t>AIKO IMPORTERS INC</t>
  </si>
  <si>
    <t>102205</t>
  </si>
  <si>
    <t>CINNABOMB CINNAMON WHISKEY MINI</t>
  </si>
  <si>
    <t>1091100</t>
  </si>
  <si>
    <t>AMERICAN DISTILLED SPIRITS SPECIALTY</t>
  </si>
  <si>
    <t>MPL BRANDS NV INC/ PATCO BRANDS</t>
  </si>
  <si>
    <t>102212</t>
  </si>
  <si>
    <t>PROPER NO. TWELVE W/50ML APPLE</t>
  </si>
  <si>
    <t>102214</t>
  </si>
  <si>
    <t>FIREBALL CINNAMON WHISKEY KEG 1PK</t>
  </si>
  <si>
    <t>102216</t>
  </si>
  <si>
    <t>WHISTLEPIG SAMPLE PACK</t>
  </si>
  <si>
    <t>102225</t>
  </si>
  <si>
    <t>DON JULIO BLANCO W/ SALT RIMMER</t>
  </si>
  <si>
    <t>102228</t>
  </si>
  <si>
    <t>ARDBEG ANTHOLOGY</t>
  </si>
  <si>
    <t>1012300</t>
  </si>
  <si>
    <t>SINGLE MALT SCOTCH</t>
  </si>
  <si>
    <t>102242</t>
  </si>
  <si>
    <t>BUSHMILLS WITH ROCKS GLASS VAP</t>
  </si>
  <si>
    <t>102243</t>
  </si>
  <si>
    <t>1800 REPOSADO WITH TACO TRAY VAP</t>
  </si>
  <si>
    <t>102245</t>
  </si>
  <si>
    <t>1800 TEQUILA BLANCO W/ DIPPING BOWL</t>
  </si>
  <si>
    <t>KILLR VARIETY PACK MINI</t>
  </si>
  <si>
    <t>1031200</t>
  </si>
  <si>
    <t>AMERICAN FLAVORED VODKA</t>
  </si>
  <si>
    <t>ATOMIC BRANDS INC</t>
  </si>
  <si>
    <t>102259</t>
  </si>
  <si>
    <t>HORNITOS REPOSADO W 2 ROCKS GLASSES</t>
  </si>
  <si>
    <t>102275</t>
  </si>
  <si>
    <t>SHANKYS WHIP BLACK SPIRITS VAP W/4 LITTLE GLASSES</t>
  </si>
  <si>
    <t>102282</t>
  </si>
  <si>
    <t>CORRALEJO SILVER VAP RANCH WATER</t>
  </si>
  <si>
    <t>102283</t>
  </si>
  <si>
    <t>PATRON SILVER W/ 2 HIGHBALL GLASSES</t>
  </si>
  <si>
    <t>102284</t>
  </si>
  <si>
    <t>PATRON REPOSADO W/2 ROCK GLASSES</t>
  </si>
  <si>
    <t>CAPTAIN MORGAN OSR 1.75L W/ 2X50ML CM 100 PROOF</t>
  </si>
  <si>
    <t>CROWN ROYAL APPLE AND PEACH MINI</t>
  </si>
  <si>
    <t>102288</t>
  </si>
  <si>
    <t>CAROLANS HOLIDAY VAP</t>
  </si>
  <si>
    <t>KETEL ONE W/ COCKTAIL SHAKER</t>
  </si>
  <si>
    <t>102310</t>
  </si>
  <si>
    <t>WHISTLEPIG PIGGYBACK RYE &amp; BOURBON SPLIT PACK</t>
  </si>
  <si>
    <t>102327</t>
  </si>
  <si>
    <t>ABSOLUT W/KAHLUA 50ML AND ESPRESSO MARTINI MIX</t>
  </si>
  <si>
    <t>102329</t>
  </si>
  <si>
    <t>CRYSTAL HEAD ONYX VODKA W/ 4 SHOT GLASSES</t>
  </si>
  <si>
    <t>SHAW-ROSS INTERNATIONAL</t>
  </si>
  <si>
    <t>TEMPLETON STRAIGHT RYE WHISKEY W/2 JARS OF STARLINO CHERRIES</t>
  </si>
  <si>
    <t>102334</t>
  </si>
  <si>
    <t>GLENMORANGIE 12YO ORIGINAL</t>
  </si>
  <si>
    <t>102335</t>
  </si>
  <si>
    <t>SKREWBALL PB WHISKEY W/ 2-50ML AND CAN ORNAMENT DRINK VESSEL</t>
  </si>
  <si>
    <t>102336</t>
  </si>
  <si>
    <t>APEROL SUMMER GIFT PACK WITH SPRITZ GLASS</t>
  </si>
  <si>
    <t>102339</t>
  </si>
  <si>
    <t>CROWN ROYAL REGAL APPLE W/ 8OZ  FLASK</t>
  </si>
  <si>
    <t>102340</t>
  </si>
  <si>
    <t>CROWN ROYAL DELUXE W/ 8OZ FLASK</t>
  </si>
  <si>
    <t>102343</t>
  </si>
  <si>
    <t>CODIGO REPOSADO W/50ML BLANCO &amp; 50ML ROSA</t>
  </si>
  <si>
    <t>102345</t>
  </si>
  <si>
    <t>CASAMIGOS ANEJO W/ MASON JAR JUICER</t>
  </si>
  <si>
    <t>CASAMIGOS BLANCO W/ MASON JAR JUICER</t>
  </si>
  <si>
    <t>102348</t>
  </si>
  <si>
    <t>CASAMIGOS MEZCAL W/ MASON JAR JUICER</t>
  </si>
  <si>
    <t>102349</t>
  </si>
  <si>
    <t>CASAMIGOS REPOSADO W/ MASON JAR JUICER</t>
  </si>
  <si>
    <t>102355</t>
  </si>
  <si>
    <t>TWISTED SHOTZ CLUB PARTY PACK</t>
  </si>
  <si>
    <t>102358</t>
  </si>
  <si>
    <t>PARTY HORSES VARIETY PACK MINI</t>
  </si>
  <si>
    <t>102375</t>
  </si>
  <si>
    <t>99 BRAND FLAVORED LEMONADES MINI</t>
  </si>
  <si>
    <t>102379</t>
  </si>
  <si>
    <t>CHIVAS 12YR W/COCKTAIL CADDY AND SHAKER</t>
  </si>
  <si>
    <t>102383</t>
  </si>
  <si>
    <t>CAMPARI GIFT SET WITH MIXING SPOON</t>
  </si>
  <si>
    <t>102384</t>
  </si>
  <si>
    <t>102385</t>
  </si>
  <si>
    <t>GLENMORANGIE TRIPLE CASK RESERVE</t>
  </si>
  <si>
    <t>HEAVEN HILL 7 YR BIB HOLIDAY VAP</t>
  </si>
  <si>
    <t>102390</t>
  </si>
  <si>
    <t>LARCENY HOLIDAY GIFT SET W/ LEATHER WRAPPED BRANDED ROCKS GL</t>
  </si>
  <si>
    <t>102391</t>
  </si>
  <si>
    <t>GRAND MARNIER W/2 ROCKS GLASSES GIFT SET</t>
  </si>
  <si>
    <t>102392</t>
  </si>
  <si>
    <t>MIDNIGHT MOON HOLIDAY MOONSHAKE VARIETY CANDY CANE MINI</t>
  </si>
  <si>
    <t>102400</t>
  </si>
  <si>
    <t>TWISTED SHOTZ RED PARTY PACK</t>
  </si>
  <si>
    <t>ARDBEG SPECTACULAR - ARDBEG DAY</t>
  </si>
  <si>
    <t>102410</t>
  </si>
  <si>
    <t>YELLOWSTONE 3 BOTTLE GIFT PACK</t>
  </si>
  <si>
    <t>LUXCO INC</t>
  </si>
  <si>
    <t>102420</t>
  </si>
  <si>
    <t>HIGH WEST VARIETY PACK</t>
  </si>
  <si>
    <t>102421</t>
  </si>
  <si>
    <t>ARDBEG ANTHOLOGY 14YO GB 2024 EDITION</t>
  </si>
  <si>
    <t>102438</t>
  </si>
  <si>
    <t>LICOR 43 ORIGINAL VAP W/4 MINIBEER</t>
  </si>
  <si>
    <t>1082100</t>
  </si>
  <si>
    <t>IMPORTED CORDIALS &amp; LIQUEURS</t>
  </si>
  <si>
    <t>102445</t>
  </si>
  <si>
    <t>FIREBALL HOLIDAY STOCKING</t>
  </si>
  <si>
    <t>102447</t>
  </si>
  <si>
    <t>MAKERS MARK WITH 2 ROCKS GLASSES 2024</t>
  </si>
  <si>
    <t>102452</t>
  </si>
  <si>
    <t>NEW AMSTERDAM PINK WHITNEY BUCKET MINI</t>
  </si>
  <si>
    <t>102487</t>
  </si>
  <si>
    <t>CASA DRAGONES 375ML FAMILY GIFT PACK</t>
  </si>
  <si>
    <t>102488</t>
  </si>
  <si>
    <t>DRUMSHANBO GIN TRIO PACK MINI</t>
  </si>
  <si>
    <t>PALM BAY INTERNATIONAL</t>
  </si>
  <si>
    <t>102494</t>
  </si>
  <si>
    <t>99 TOASTED FLAVORITES MINI</t>
  </si>
  <si>
    <t>USHERS GREEN STRIPE</t>
  </si>
  <si>
    <t>103104</t>
  </si>
  <si>
    <t>SPEYBURN 10YO SINGLE MALT SCOTCH VAP W/ SOURCE WATER</t>
  </si>
  <si>
    <t>103106</t>
  </si>
  <si>
    <t>KRAKEN SPICED RUM W/FLASK</t>
  </si>
  <si>
    <t>1062300</t>
  </si>
  <si>
    <t>AGED DARK RUM</t>
  </si>
  <si>
    <t>MOZART CHOCOLATE LIQUEUR W/BRANDED TUMBLER GLASS</t>
  </si>
  <si>
    <t>103126</t>
  </si>
  <si>
    <t>SVEDKA XTRA ICY GIFT PACK W/ 2 DIAMOND SHAPE GLASSES</t>
  </si>
  <si>
    <t>103134</t>
  </si>
  <si>
    <t>DON JULIO 3X375ML</t>
  </si>
  <si>
    <t>BEARFACE 7YR TRIPLE OAK</t>
  </si>
  <si>
    <t>BLACK VELVET TOASTED CARAMEL</t>
  </si>
  <si>
    <t>CANADIAN CLUB WHISKY</t>
  </si>
  <si>
    <t>CANADIAN CLUB WHISKY PET</t>
  </si>
  <si>
    <t>CANADIAN CLUB 44YR CHRONICLES</t>
  </si>
  <si>
    <t>10775</t>
  </si>
  <si>
    <t>CROWN ROYAL PEACH MINI</t>
  </si>
  <si>
    <t>CROWN ROYAL PEACH</t>
  </si>
  <si>
    <t>CROWN ROYAL SALTED CARAMEL</t>
  </si>
  <si>
    <t>CROWN ROYAL BLACKBERRY</t>
  </si>
  <si>
    <t>10787</t>
  </si>
  <si>
    <t>CROWN ROYAL SINGLE MALT</t>
  </si>
  <si>
    <t>CROWN ROYAL VANILLA MINI</t>
  </si>
  <si>
    <t>CROWN ROYAL VANILLA</t>
  </si>
  <si>
    <t>CROWN ROYAL REGAL APPLE MINI</t>
  </si>
  <si>
    <t>CROWN ROYAL REGAL APPLE</t>
  </si>
  <si>
    <t>CROWN ROYAL XO</t>
  </si>
  <si>
    <t>CROWN ROYAL NORTHERN HARVEST RYE</t>
  </si>
  <si>
    <t>CROWN ROYAL BLACK</t>
  </si>
  <si>
    <t>10838</t>
  </si>
  <si>
    <t>BP CROWN ROYAL HAND SELECT BARREL</t>
  </si>
  <si>
    <t>CANADIAN CLUB SMALL BATCH CLASSIC</t>
  </si>
  <si>
    <t>10856</t>
  </si>
  <si>
    <t>CROWN ROYAL NOBLE COLLECTION- BARLEY EDITION</t>
  </si>
  <si>
    <t>10858</t>
  </si>
  <si>
    <t>CROWN ROYAL GOLDEN APPLE</t>
  </si>
  <si>
    <t>10888</t>
  </si>
  <si>
    <t>E.T. 51 PREMIUM WHISKY</t>
  </si>
  <si>
    <t>AMERICAN SPIRITS EXCHANGE</t>
  </si>
  <si>
    <t>FORTY CREEK</t>
  </si>
  <si>
    <t>HAWKEYE CANADIAN WHISKY</t>
  </si>
  <si>
    <t>CROWN ROYAL 18YR EXTRA RARE</t>
  </si>
  <si>
    <t>CROWN ROYAL MINI</t>
  </si>
  <si>
    <t>CROWN ROYAL</t>
  </si>
  <si>
    <t>11328</t>
  </si>
  <si>
    <t>SEAGRAMS VO GOLD</t>
  </si>
  <si>
    <t>11341</t>
  </si>
  <si>
    <t>SEAGRAMS VO CANADIAN WHISKEY MINI</t>
  </si>
  <si>
    <t>11344</t>
  </si>
  <si>
    <t>SEAGRAMS VO CANADIAN WHISKEY PET</t>
  </si>
  <si>
    <t>SEAGRAMS VO CANADIAN WHISKEY</t>
  </si>
  <si>
    <t>11363</t>
  </si>
  <si>
    <t>CROWN ROYAL RESERVE 12 YEAR</t>
  </si>
  <si>
    <t>CROWN ROYAL SPECIAL RESERVE</t>
  </si>
  <si>
    <t>11480</t>
  </si>
  <si>
    <t>JP WISERS 10YR</t>
  </si>
  <si>
    <t>ALBERTA PREMIUM RYE WHISKY</t>
  </si>
  <si>
    <t>1011600</t>
  </si>
  <si>
    <t>STRAIGHT RYE WHISKIES</t>
  </si>
  <si>
    <t>11586</t>
  </si>
  <si>
    <t>BLACK VELVET RESERVE</t>
  </si>
  <si>
    <t>1176</t>
  </si>
  <si>
    <t>JOHNNIE WALKER COLLECTION PACK</t>
  </si>
  <si>
    <t>BLACK VELVET MINI</t>
  </si>
  <si>
    <t>BLACK VELVET</t>
  </si>
  <si>
    <t>11774</t>
  </si>
  <si>
    <t>BLACK VELVET PET</t>
  </si>
  <si>
    <t>11910</t>
  </si>
  <si>
    <t>CALIBER CANADIAN WHISKEY</t>
  </si>
  <si>
    <t>11936</t>
  </si>
  <si>
    <t>CANADIAN LTD WHISKY PET</t>
  </si>
  <si>
    <t>CANADIAN HUNTER RYE</t>
  </si>
  <si>
    <t>CANADIAN LTD WHISKY</t>
  </si>
  <si>
    <t>12406</t>
  </si>
  <si>
    <t>12466</t>
  </si>
  <si>
    <t>CANADIAN MIST WHISKY</t>
  </si>
  <si>
    <t>CANADIAN MIST WHISKY PET</t>
  </si>
  <si>
    <t>1258</t>
  </si>
  <si>
    <t>GLENMORANGIE TASTER PACK</t>
  </si>
  <si>
    <t>12858</t>
  </si>
  <si>
    <t>RICH &amp; RARE RESERVE</t>
  </si>
  <si>
    <t>12862</t>
  </si>
  <si>
    <t>RICH &amp; RARE CARAMEL</t>
  </si>
  <si>
    <t>RICH &amp; RARE APPLE</t>
  </si>
  <si>
    <t>12872</t>
  </si>
  <si>
    <t>RICH &amp; RARE PEACH</t>
  </si>
  <si>
    <t>12886</t>
  </si>
  <si>
    <t>RICH &amp; RARE</t>
  </si>
  <si>
    <t>12900</t>
  </si>
  <si>
    <t>CARIBOU CROSSING</t>
  </si>
  <si>
    <t>CANADIAN RESERVE WHISKY</t>
  </si>
  <si>
    <t>13388</t>
  </si>
  <si>
    <t>NORTHERN LIGHT</t>
  </si>
  <si>
    <t>13542</t>
  </si>
  <si>
    <t>LEGACY CANADIAN WHISKY</t>
  </si>
  <si>
    <t>LORD CALVERT</t>
  </si>
  <si>
    <t>13730</t>
  </si>
  <si>
    <t>MASTERSONS 10YR STRAIGHT RYE</t>
  </si>
  <si>
    <t>W J DEUTSCH &amp; SONS LTD</t>
  </si>
  <si>
    <t>MCMASTERS CANADIAN WHISKEY</t>
  </si>
  <si>
    <t>1400</t>
  </si>
  <si>
    <t>CROWN ROYAL W/2 GLASSES</t>
  </si>
  <si>
    <t>14120</t>
  </si>
  <si>
    <t>CM OBTAINIUM CANADIAN WHISKY</t>
  </si>
  <si>
    <t>CATS EYE DISTILLERY</t>
  </si>
  <si>
    <t>14191</t>
  </si>
  <si>
    <t>PENDLETON ORIGINAL MINI</t>
  </si>
  <si>
    <t>PENDLETON CANADIAN WHISKEY</t>
  </si>
  <si>
    <t>14205</t>
  </si>
  <si>
    <t>PENDLETON VIKINGS</t>
  </si>
  <si>
    <t>PENDLETON 1910</t>
  </si>
  <si>
    <t>PENDLETON MIDNIGHT</t>
  </si>
  <si>
    <t>REVEL STOKE BUTTERSQUATCH BUTTERSCOTCH</t>
  </si>
  <si>
    <t>PHILLIPS BEVERAGE</t>
  </si>
  <si>
    <t>14467</t>
  </si>
  <si>
    <t>REVEL STOKE BUTTERSQUATCH BUTTERSCOTCH MINI</t>
  </si>
  <si>
    <t>REVEL STOKE SHELLSHOCKED ROASTED PECAN</t>
  </si>
  <si>
    <t>14484</t>
  </si>
  <si>
    <t>REVEL STOKE HARDCORE ROASTED APPLE</t>
  </si>
  <si>
    <t>REVEL STOKE LEI''D PINEAPPLE</t>
  </si>
  <si>
    <t>REVEL STOKE ROOT OF EVIL ROOT BEER</t>
  </si>
  <si>
    <t>REVEL STOKE SMOKESCREEN SMOKED VANILLA</t>
  </si>
  <si>
    <t>14516</t>
  </si>
  <si>
    <t>REVEL STOKE CRACKBERRY BLACKBERRY</t>
  </si>
  <si>
    <t>REVEL STOKE NUTCRUSHER PEANUT BUTTER WHISKY</t>
  </si>
  <si>
    <t>REVEL STOKE SON OF A PEACH</t>
  </si>
  <si>
    <t>14534</t>
  </si>
  <si>
    <t>REVEL STOKE SMORGASM TOASTED SMORES WHISKEY MINI</t>
  </si>
  <si>
    <t>REVEL STOKE SMOREGASM TOASTED SMORES WHISKY</t>
  </si>
  <si>
    <t>14540</t>
  </si>
  <si>
    <t>ROYAL WINSTON</t>
  </si>
  <si>
    <t>SWEAR JAR MAPLE DONUT</t>
  </si>
  <si>
    <t>IROKOS GROUP LLC</t>
  </si>
  <si>
    <t>SWEAR JAR CANDIED GREEN APPLE</t>
  </si>
  <si>
    <t>SWEAR JAR 6YR</t>
  </si>
  <si>
    <t>15172</t>
  </si>
  <si>
    <t>WHISTLEPIG 18YR DOUBLE MALT RYE EDITION #4</t>
  </si>
  <si>
    <t>WHISTLEPIG 10YR</t>
  </si>
  <si>
    <t>WHISTLEPIG 6YR PIGGYBACK RYE</t>
  </si>
  <si>
    <t>15199</t>
  </si>
  <si>
    <t>BP WHISTLEPIG 18 YEAR OLD RYE SINGLE BARREL</t>
  </si>
  <si>
    <t>FARMSTOCK IOWA BATCH</t>
  </si>
  <si>
    <t>15244</t>
  </si>
  <si>
    <t>WINDSOR CANADIAN</t>
  </si>
  <si>
    <t>INTERCONTINENTAL PACKAGING COMPANY/PRESTIGE BEVERAGE GROUP</t>
  </si>
  <si>
    <t>WINDSOR CANADIAN PET</t>
  </si>
  <si>
    <t>WINDSOR CANADIAN BLACK CHERRY</t>
  </si>
  <si>
    <t>15301</t>
  </si>
  <si>
    <t>WINDSOR RESERVE</t>
  </si>
  <si>
    <t>15320</t>
  </si>
  <si>
    <t>WHISTLEPIG 15YR</t>
  </si>
  <si>
    <t>15367</t>
  </si>
  <si>
    <t>REDBREAST 18 YO</t>
  </si>
  <si>
    <t>15378</t>
  </si>
  <si>
    <t>TEELING SMALL BATCH NOTRE DAME EDITION</t>
  </si>
  <si>
    <t>15448</t>
  </si>
  <si>
    <t>LAIRDS IRISH APPLE BARREL FINISHED WHISKEY</t>
  </si>
  <si>
    <t>LAIRD &amp; COMPANY</t>
  </si>
  <si>
    <t>15449</t>
  </si>
  <si>
    <t>GLENDALOUGH POT STILL</t>
  </si>
  <si>
    <t>GLENDALOUGH 7YR MIZUNARA FINISH SINGLE MALT</t>
  </si>
  <si>
    <t>15465</t>
  </si>
  <si>
    <t>POWERS RYE IRISH WHISKEY</t>
  </si>
  <si>
    <t>THE WHISTLER PX HOGSHEAD</t>
  </si>
  <si>
    <t>15492</t>
  </si>
  <si>
    <t>THE BUSKER WHISKEY BLEND</t>
  </si>
  <si>
    <t>GREY COAST IRISH WHISKEY</t>
  </si>
  <si>
    <t>15526</t>
  </si>
  <si>
    <t>BUSHMILLS BLACK BUSH IRISH WHISKEY</t>
  </si>
  <si>
    <t>15535</t>
  </si>
  <si>
    <t>EIREGOLD IRISH WHISKEY</t>
  </si>
  <si>
    <t>STOLLER IMPORTS INC / MARSALLE COMPANY</t>
  </si>
  <si>
    <t>15539</t>
  </si>
  <si>
    <t>BUSHMILLS 12YR SINGLE MALT IRISH WHISKEY</t>
  </si>
  <si>
    <t>15548</t>
  </si>
  <si>
    <t>DRUMSHANBO SINGLE MALT IRISH WHISKEY</t>
  </si>
  <si>
    <t>FINAGRENS IRISH WHISKEY</t>
  </si>
  <si>
    <t>15604</t>
  </si>
  <si>
    <t>HELL CAT MAGGIE</t>
  </si>
  <si>
    <t>GREEN SPOT</t>
  </si>
  <si>
    <t>JAMESON MINI</t>
  </si>
  <si>
    <t>JAMESON</t>
  </si>
  <si>
    <t>GLENDALOUGH DOUBLE BARREL</t>
  </si>
  <si>
    <t>15636</t>
  </si>
  <si>
    <t>HYDE #6 PRESIDENTS RESERVE BLEND SHERRY CASK FINISH</t>
  </si>
  <si>
    <t>JAMESON 18YR</t>
  </si>
  <si>
    <t>15648</t>
  </si>
  <si>
    <t>JAMESON CASKMATES IPA</t>
  </si>
  <si>
    <t>JAMESON CASKMATES STOUT</t>
  </si>
  <si>
    <t>JAMESON BLACK BARREL</t>
  </si>
  <si>
    <t>15676</t>
  </si>
  <si>
    <t>POWERS GOLD IRISH WHISKEY</t>
  </si>
  <si>
    <t>15723</t>
  </si>
  <si>
    <t>MIDLETON VR VINTAGE RELEASE</t>
  </si>
  <si>
    <t>2 GINGERS</t>
  </si>
  <si>
    <t>THE IRISHMAN HARVEST IRISH WHISKEY</t>
  </si>
  <si>
    <t>BUSHMILLS IRISH WHISKEY</t>
  </si>
  <si>
    <t>15777</t>
  </si>
  <si>
    <t>15789</t>
  </si>
  <si>
    <t>LIMAVADY SINGLE BARREL IRISH WHISKEY</t>
  </si>
  <si>
    <t>PADDY OLD IRISH WHISKEY</t>
  </si>
  <si>
    <t>PROPER NO. TWELVE</t>
  </si>
  <si>
    <t>15832</t>
  </si>
  <si>
    <t>15839</t>
  </si>
  <si>
    <t>HIGH N WICKED AENEAS COFFEY</t>
  </si>
  <si>
    <t>ALTAMAR BRANDS LLC</t>
  </si>
  <si>
    <t>15852</t>
  </si>
  <si>
    <t>ROE &amp; CO</t>
  </si>
  <si>
    <t>REDBREAST 12YR</t>
  </si>
  <si>
    <t>15859</t>
  </si>
  <si>
    <t>REDBREAST PX EDITION</t>
  </si>
  <si>
    <t>15860</t>
  </si>
  <si>
    <t>REDBREAST 15YR</t>
  </si>
  <si>
    <t>REDBREAST 12YR CASK STRENGTH</t>
  </si>
  <si>
    <t>15864</t>
  </si>
  <si>
    <t>REDBREAST 27YR</t>
  </si>
  <si>
    <t>SEXTON IRISH WHISKEY</t>
  </si>
  <si>
    <t>15867</t>
  </si>
  <si>
    <t>SONS OF ERIN IRISH WHISKEY</t>
  </si>
  <si>
    <t>RESTLESS SPIRITS DISTILLING COMPANY, LLC</t>
  </si>
  <si>
    <t>15870</t>
  </si>
  <si>
    <t>SLANE</t>
  </si>
  <si>
    <t>15880</t>
  </si>
  <si>
    <t>TEELING SINGLE MALT</t>
  </si>
  <si>
    <t>15882</t>
  </si>
  <si>
    <t>TEELING SINGLE GRAIN</t>
  </si>
  <si>
    <t>TEELING SMALL BATCH IRISH WHISKEY</t>
  </si>
  <si>
    <t>THE QUIET MAN 8YR</t>
  </si>
  <si>
    <t>THE QUIET MAN</t>
  </si>
  <si>
    <t>WHISTLER DOUBLE OAKED IRISH WHISKEY</t>
  </si>
  <si>
    <t>15913</t>
  </si>
  <si>
    <t>TULLAMORE DEW XO RUM CASK</t>
  </si>
  <si>
    <t>WILLIAM GRANT &amp; SONS INC</t>
  </si>
  <si>
    <t>15919</t>
  </si>
  <si>
    <t>TULLAMORE DEW</t>
  </si>
  <si>
    <t>WRITERS TEARS COPPER POT</t>
  </si>
  <si>
    <t>15934</t>
  </si>
  <si>
    <t>YELLOW SPOT</t>
  </si>
  <si>
    <t>15945</t>
  </si>
  <si>
    <t>15961</t>
  </si>
  <si>
    <t>NIKKA COFFEY MALT WHISKY</t>
  </si>
  <si>
    <t>15980</t>
  </si>
  <si>
    <t>HIBIKI JAPANESE HARMONY</t>
  </si>
  <si>
    <t>TOKI SUNTORY JAPANESE WHISKY</t>
  </si>
  <si>
    <t>HEAVEN HILL BOTTLED-IN-BOND 7YR</t>
  </si>
  <si>
    <t>HATOZAKI FINEST JAPANESE WHISKY</t>
  </si>
  <si>
    <t>16039</t>
  </si>
  <si>
    <t>PAUL JOHN NIRVANA</t>
  </si>
  <si>
    <t>CEDAR RIDGE BOTTLED IN BOND BOURBON</t>
  </si>
  <si>
    <t>1011500</t>
  </si>
  <si>
    <t>BOTTLED IN BOND BOURBON</t>
  </si>
  <si>
    <t>CEDAR RIDGE VINEYARDS LL</t>
  </si>
  <si>
    <t>16086</t>
  </si>
  <si>
    <t>EARLY TIMES BOTTLED IN BOND</t>
  </si>
  <si>
    <t>EVAN WILLIAMS BOTTLED IN BOND</t>
  </si>
  <si>
    <t>EVAN WILLIAMS WHITE</t>
  </si>
  <si>
    <t>16120</t>
  </si>
  <si>
    <t>SHINOBU BLENDED WHISKY</t>
  </si>
  <si>
    <t>CNS IMPORTS; FOUR SEASONS TRADING; CNS WINE &amp; SPIRITS</t>
  </si>
  <si>
    <t>JEFFERSONS OCEAN AGED RYE</t>
  </si>
  <si>
    <t>16207</t>
  </si>
  <si>
    <t>NIKKA DAYS JAPANESE WHISKY</t>
  </si>
  <si>
    <t>ABASOLO ANCESTRAL CORN WHISKY</t>
  </si>
  <si>
    <t>16214</t>
  </si>
  <si>
    <t>ADICTIVO WHISKEY SMALL BATCH</t>
  </si>
  <si>
    <t>1011300</t>
  </si>
  <si>
    <t>SINGLE BARREL BOURBON WHISKIES</t>
  </si>
  <si>
    <t>JACK DANIELS BONDED 100PRF DOM</t>
  </si>
  <si>
    <t>1011400</t>
  </si>
  <si>
    <t>TENNESSEE WHISKIES</t>
  </si>
  <si>
    <t>16237</t>
  </si>
  <si>
    <t>PAUL JOHN OLOROSA</t>
  </si>
  <si>
    <t>16239</t>
  </si>
  <si>
    <t>PAUL JOHN PX</t>
  </si>
  <si>
    <t>16242</t>
  </si>
  <si>
    <t>REDWOOD EMPIRE BOTTLED IN BOND GRIZZLY BEAST BOURBON</t>
  </si>
  <si>
    <t>GRATON SPIRITS COMPANY, LLC / PURPLE BRANDS</t>
  </si>
  <si>
    <t>BEN HOLLADAY 6YR MO BOURBON</t>
  </si>
  <si>
    <t>16255</t>
  </si>
  <si>
    <t>KUJIRA RYUKYU WHISKY INARI</t>
  </si>
  <si>
    <t>YU</t>
  </si>
  <si>
    <t>16275</t>
  </si>
  <si>
    <t>AO SUNTORY WORLD WHISKY</t>
  </si>
  <si>
    <t>16281</t>
  </si>
  <si>
    <t>IMMORTAL CLAN</t>
  </si>
  <si>
    <t>16300</t>
  </si>
  <si>
    <t>CM OBTAINIUM LIGHT WHISKEY BOTTLED IN BOND</t>
  </si>
  <si>
    <t>1011700</t>
  </si>
  <si>
    <t>CORN WHISKIES</t>
  </si>
  <si>
    <t>16305</t>
  </si>
  <si>
    <t>TOKI 100TH ANNIVERSARY</t>
  </si>
  <si>
    <t>HOLLADAY SOFT RED WHEAT BOURBON WHISKEY 6YR BIB</t>
  </si>
  <si>
    <t>DAIMYO NO SHINOBU BLENDED WHISKY</t>
  </si>
  <si>
    <t>HAYASHI KOYO RYUKYU WHISKY</t>
  </si>
  <si>
    <t>16340</t>
  </si>
  <si>
    <t>PAUL JOHN CHRISTMAS 2023</t>
  </si>
  <si>
    <t>16342</t>
  </si>
  <si>
    <t>LUCKY CAT MANEKI-NEKO</t>
  </si>
  <si>
    <t>16343</t>
  </si>
  <si>
    <t>RARE SELECTION DEER JAPANESE WHISKY</t>
  </si>
  <si>
    <t>16344</t>
  </si>
  <si>
    <t>OCTOPUS JAPANESE WHISKY</t>
  </si>
  <si>
    <t>16380</t>
  </si>
  <si>
    <t>OLD FITZGERALD BIB 10 YR DECANTER</t>
  </si>
  <si>
    <t>16381</t>
  </si>
  <si>
    <t>OLD FITZGERALD 8 YR BIB DECANTER</t>
  </si>
  <si>
    <t>16382</t>
  </si>
  <si>
    <t>OLD FITZGERALD  10 YR  DECANTER</t>
  </si>
  <si>
    <t>OLD FORESTER SIGNATURE 100PRF BOURBON</t>
  </si>
  <si>
    <t>OLD GRAND-DAD 100PRF BOND BOURBON 4YR</t>
  </si>
  <si>
    <t>16433</t>
  </si>
  <si>
    <t>HIGH WEST BOTTLED IN BOND</t>
  </si>
  <si>
    <t>16434</t>
  </si>
  <si>
    <t>NEW RIFF BOTTLED IN BOND RYE</t>
  </si>
  <si>
    <t>NEW RIFF DISTILLING</t>
  </si>
  <si>
    <t>16435</t>
  </si>
  <si>
    <t>NEW RIFF BOTTLED IN BOND BOURBON</t>
  </si>
  <si>
    <t>16464</t>
  </si>
  <si>
    <t>BP 1792 BIB BOURBON KSBW</t>
  </si>
  <si>
    <t>16466</t>
  </si>
  <si>
    <t>1792 BOTTLED IN BOND BOURBON</t>
  </si>
  <si>
    <t>AMERICAN BORN BOURBON WHISKEY</t>
  </si>
  <si>
    <t>DV SPIRITS LLC</t>
  </si>
  <si>
    <t>ANCIENT AGE BOURBON</t>
  </si>
  <si>
    <t>16518</t>
  </si>
  <si>
    <t>ANCIENT AGE KSBW</t>
  </si>
  <si>
    <t>16530</t>
  </si>
  <si>
    <t>ANCIENT AGE BOURBON 80PRF</t>
  </si>
  <si>
    <t>16538</t>
  </si>
  <si>
    <t>ANCIENT AGE 10 STAR BOURBON</t>
  </si>
  <si>
    <t>16561</t>
  </si>
  <si>
    <t>ANGELS ENVY BOURBON</t>
  </si>
  <si>
    <t>ANGELS ENVY BOURBON PORT FINISHED</t>
  </si>
  <si>
    <t>16577</t>
  </si>
  <si>
    <t>BAKERS HIGH RYE BOURBON</t>
  </si>
  <si>
    <t>BAKERS 7YR</t>
  </si>
  <si>
    <t>16619</t>
  </si>
  <si>
    <t>BANKERS CLUB BOURBON RESERVE 5YR</t>
  </si>
  <si>
    <t>JACK DANIELS 1938 TRIPLE MASH 100PRF</t>
  </si>
  <si>
    <t>16659</t>
  </si>
  <si>
    <t>BASIL HAYDEN SUBTLE SMOKE</t>
  </si>
  <si>
    <t>BASIL HAYDEN BOURBON</t>
  </si>
  <si>
    <t>BASIL HAYDEN 8YR</t>
  </si>
  <si>
    <t>16679</t>
  </si>
  <si>
    <t>BASIL HAYDEN 10YR</t>
  </si>
  <si>
    <t>16682</t>
  </si>
  <si>
    <t>BASIL HAYDEN</t>
  </si>
  <si>
    <t>BASIL HAYDEN TOAST</t>
  </si>
  <si>
    <t>BARRELL BOURBON CASK FINISH SERIES: MIZUNARA</t>
  </si>
  <si>
    <t>16720</t>
  </si>
  <si>
    <t>BARRELL BOURBON BATCH 036</t>
  </si>
  <si>
    <t>16809</t>
  </si>
  <si>
    <t>BLANTONS STRAIGHT FROM THE BARREL BOURBON</t>
  </si>
  <si>
    <t>BIB &amp; TUCKER SMALL BATCH BOURBON AGED 6YR</t>
  </si>
  <si>
    <t>BLADE &amp; BOW</t>
  </si>
  <si>
    <t>16841</t>
  </si>
  <si>
    <t>BLANTONS GOLD BOURBON</t>
  </si>
  <si>
    <t>16843</t>
  </si>
  <si>
    <t>BIRD DOG KENTUCKY STRAIGHT BOURBON</t>
  </si>
  <si>
    <t>16846</t>
  </si>
  <si>
    <t>BIRD DOG 7YR</t>
  </si>
  <si>
    <t>BLANTONS BOURBON</t>
  </si>
  <si>
    <t>16890</t>
  </si>
  <si>
    <t>BOND &amp; LILLARD</t>
  </si>
  <si>
    <t>BOOKERS BOURBON</t>
  </si>
  <si>
    <t>BOWMAN BROTHERS BOURBON</t>
  </si>
  <si>
    <t>BROTHERS BOND STRAIGHT BOURBON WHISKEY</t>
  </si>
  <si>
    <t>17051</t>
  </si>
  <si>
    <t>BROTHERS BOND CASK STRENGTH WHISKEY</t>
  </si>
  <si>
    <t>17062</t>
  </si>
  <si>
    <t>BRADSHAW BOURBON</t>
  </si>
  <si>
    <t>BULLEIT BOURBON</t>
  </si>
  <si>
    <t>BULLEIT BOURBON MINI</t>
  </si>
  <si>
    <t>BULLEIT BOURBON 10YR</t>
  </si>
  <si>
    <t>BULLEIT BOURBON BARREL STRENGTH</t>
  </si>
  <si>
    <t>17093</t>
  </si>
  <si>
    <t>BP BULLEIT SINGLE BARREL</t>
  </si>
  <si>
    <t>17106</t>
  </si>
  <si>
    <t>BUZZARDS ROOST BARREL STRENGTH STRAIGHT BOURBON</t>
  </si>
  <si>
    <t>BUZZARDS ROOST SPIRITS LLC</t>
  </si>
  <si>
    <t>BUZZARDS ROOST CHAR #1 STRAIGHT BOURBON WHISKEY</t>
  </si>
  <si>
    <t>17108</t>
  </si>
  <si>
    <t>BUZZARDS ROOST TOASTED AMERICAN OAK STRAIGHT BOURBON</t>
  </si>
  <si>
    <t>CABIN STILL STR BOURBON</t>
  </si>
  <si>
    <t>CALUMET FARM 10YR BOURBON</t>
  </si>
  <si>
    <t>CALUMET FARM 8YR</t>
  </si>
  <si>
    <t>17194</t>
  </si>
  <si>
    <t>CALUMET FARM 16 YR</t>
  </si>
  <si>
    <t>17196</t>
  </si>
  <si>
    <t>CCD STRAIGHT BOURBON</t>
  </si>
  <si>
    <t>COWBOY COUNTRY DISTILLING, INC.</t>
  </si>
  <si>
    <t>CEDAR RIDGE BOURBON</t>
  </si>
  <si>
    <t>CEDAR RIDGE BARREL PROOF</t>
  </si>
  <si>
    <t>CENTURY FARMS SINGLE BARREL STRAIGHT BOURBON WHISKEY</t>
  </si>
  <si>
    <t>AMERICAN HERITAGE DISTILLERS, LLC / CENTURY FARMS DISTILLERY</t>
  </si>
  <si>
    <t>17260</t>
  </si>
  <si>
    <t>RANCH ROAD STRAIGHT BOURBON WHISKEY</t>
  </si>
  <si>
    <t>BEDFORD &amp; GROVE LLC/ CHANKASKA CREEK AND RANCH WINERY</t>
  </si>
  <si>
    <t>17334</t>
  </si>
  <si>
    <t>CHICKEN COCK KENTUCKY STRAIGHT BOURBON</t>
  </si>
  <si>
    <t>CHICKEN COCK SMALL BATCH KENTUCKY STRAIGHT BOURBON</t>
  </si>
  <si>
    <t>CLYDE MAYS STRAIGHT BOURBON</t>
  </si>
  <si>
    <t>17533</t>
  </si>
  <si>
    <t>COPPER &amp; KINGS</t>
  </si>
  <si>
    <t>1051100</t>
  </si>
  <si>
    <t>AMERICAN BRANDIES</t>
  </si>
  <si>
    <t>17543</t>
  </si>
  <si>
    <t>CLYDE MAYS SPECIAL RESERVE STRAIGHT BOURBON WHISKEY 6YR</t>
  </si>
  <si>
    <t>17553</t>
  </si>
  <si>
    <t>COPPER &amp; KING</t>
  </si>
  <si>
    <t>17562</t>
  </si>
  <si>
    <t>DAVID NICHOLSON RESERVE</t>
  </si>
  <si>
    <t>DAVID NICHOLSON 1843 BOURBON</t>
  </si>
  <si>
    <t>DOUBLE BARREL BOURBON</t>
  </si>
  <si>
    <t>ROCKY TOP INVESTMENTS / ROCK RIVER DISTILLATION</t>
  </si>
  <si>
    <t>17664</t>
  </si>
  <si>
    <t>DOC HOLLIDAY BOURBON 7 YEARS</t>
  </si>
  <si>
    <t>DUKE KENTUCKY STRAIGHT BOURBON WHISKEY</t>
  </si>
  <si>
    <t>17681</t>
  </si>
  <si>
    <t>BP EAGLE RARE SP BOURBON</t>
  </si>
  <si>
    <t>17766</t>
  </si>
  <si>
    <t>EAGLE RARE</t>
  </si>
  <si>
    <t>EARLY TIMES 36 MO KY STR BOURBON</t>
  </si>
  <si>
    <t>EARLY TIMES 36 MO KY STR BOURBON PET</t>
  </si>
  <si>
    <t>17899</t>
  </si>
  <si>
    <t>E G BOOZ KENTUCKY STRAIGHT BOURBON WHISKEY</t>
  </si>
  <si>
    <t>17911</t>
  </si>
  <si>
    <t>ELIJAH CRAIG SMALL BATCH</t>
  </si>
  <si>
    <t>ELIJAH  CRAIG TOASTED BARREL</t>
  </si>
  <si>
    <t>ELIJAH CRAIG</t>
  </si>
  <si>
    <t>ELIJAH CRAIG BARREL PROOF</t>
  </si>
  <si>
    <t>17920</t>
  </si>
  <si>
    <t>ELIJAH CRAIG 18YR SINGLE BARREL</t>
  </si>
  <si>
    <t>17921</t>
  </si>
  <si>
    <t>ELIJAH CRAIG TOASTED BARREL RYDER CUP</t>
  </si>
  <si>
    <t>17926</t>
  </si>
  <si>
    <t>ELIJAH CRAIG SMALL BATCH 2024 PGA  CHAMPIONSHIP ED.</t>
  </si>
  <si>
    <t>17929</t>
  </si>
  <si>
    <t>BP ELIJAH CRAIG PRIVATE BARREL - BARREL PROOF</t>
  </si>
  <si>
    <t>17946</t>
  </si>
  <si>
    <t>ELMER T LEE BOURBON</t>
  </si>
  <si>
    <t>EVAN WILLIAMS BLACK MINI</t>
  </si>
  <si>
    <t>EVAN WILLIAMS BLACK</t>
  </si>
  <si>
    <t>EVAN WILLIAMS  BLACK</t>
  </si>
  <si>
    <t>CAPTAIN MORGAN ORIGINAL SPICED BARREL</t>
  </si>
  <si>
    <t>1062400</t>
  </si>
  <si>
    <t>SPICED RUM</t>
  </si>
  <si>
    <t>BUFFALO TRACE BOURBON</t>
  </si>
  <si>
    <t>BARRELL FOUNDATION BOURBON</t>
  </si>
  <si>
    <t>EVAN WILLIAMS 1783 SMALL BATCH</t>
  </si>
  <si>
    <t>EVAN WILLIAMS BLACK PET</t>
  </si>
  <si>
    <t>18201</t>
  </si>
  <si>
    <t>EZRA BROOKS 99PR BOURBON</t>
  </si>
  <si>
    <t>18202</t>
  </si>
  <si>
    <t>BP EZRA BROOKS CASK STRENGTH</t>
  </si>
  <si>
    <t>FIGHTING COCK BOURBON</t>
  </si>
  <si>
    <t>18290</t>
  </si>
  <si>
    <t>FISTFUL OF BOURBON</t>
  </si>
  <si>
    <t>18345</t>
  </si>
  <si>
    <t>FOUR ROSES LIMITED EDITION SMALL BATCH 2024</t>
  </si>
  <si>
    <t>KIRIN BEER &amp; SPIRITS OF AMERICA INC / FOUR ROSES DISTILLERY</t>
  </si>
  <si>
    <t>FOUR ROSES SMALL BATCH MINI</t>
  </si>
  <si>
    <t>FOUR ROSES SMALL BATCH</t>
  </si>
  <si>
    <t>FOUR ROSES SINGLE BARREL</t>
  </si>
  <si>
    <t>FOUR ROSES BOURBON</t>
  </si>
  <si>
    <t>18358</t>
  </si>
  <si>
    <t>FOUR ROSES SINGLE BARREL - PRIVATE SELECTION-BARREL STRENGTH</t>
  </si>
  <si>
    <t>18375</t>
  </si>
  <si>
    <t>FOUR ROSES SMALL BATCH SELECT MINI</t>
  </si>
  <si>
    <t>FOUR ROSES SMALL BATCH SELECT</t>
  </si>
  <si>
    <t>KNOB CREEK RYE 10 YEAR</t>
  </si>
  <si>
    <t>18389</t>
  </si>
  <si>
    <t>BULLEIT RYE 10 YEAR</t>
  </si>
  <si>
    <t>18390</t>
  </si>
  <si>
    <t>GARRISON BROTHERS SMALL BATCH STRAIGHT BOURBON</t>
  </si>
  <si>
    <t>LONE STAR DISTILLERY, LLC/GARRISON BROTHERS DISTILLERY</t>
  </si>
  <si>
    <t>18392</t>
  </si>
  <si>
    <t>GARRISON BROTHERS SNGL BRL SAMPLER TEXAS STRAIGHT BOURBON</t>
  </si>
  <si>
    <t>GARRISON BROTHERS BALMORHEA STRAIGHT BOURBON</t>
  </si>
  <si>
    <t>G &amp; W BOURBON</t>
  </si>
  <si>
    <t>18410</t>
  </si>
  <si>
    <t>BP REMUS SINGLE BARREL</t>
  </si>
  <si>
    <t>GEORGE REMUS STRAIGHT BOURBON</t>
  </si>
  <si>
    <t>18424</t>
  </si>
  <si>
    <t>REMUS HIGHEST RYE</t>
  </si>
  <si>
    <t>18512</t>
  </si>
  <si>
    <t>HARD TRUTH SWEET MASH BOURBON</t>
  </si>
  <si>
    <t>HARD TRUTH DISTILLING COMPANY LLC</t>
  </si>
  <si>
    <t>18566</t>
  </si>
  <si>
    <t>HENRY MCKENNA BOURBON</t>
  </si>
  <si>
    <t>HIGH WEST BOURBON WHISKEY</t>
  </si>
  <si>
    <t>18605</t>
  </si>
  <si>
    <t>18613</t>
  </si>
  <si>
    <t>HIRSCH THE HORIZON BOURBON</t>
  </si>
  <si>
    <t>18627</t>
  </si>
  <si>
    <t>HIGH WEST CASK STRENGTH WHISKEY</t>
  </si>
  <si>
    <t>18628</t>
  </si>
  <si>
    <t>HIGH WEST CASK COLLECTION WHISKEY</t>
  </si>
  <si>
    <t>18630</t>
  </si>
  <si>
    <t>HIGH WEST CASK COLLECTION</t>
  </si>
  <si>
    <t>18636</t>
  </si>
  <si>
    <t>HOLLADAY SOFT RED WHEAT RICKHOUSE PROOF</t>
  </si>
  <si>
    <t>18637</t>
  </si>
  <si>
    <t>BEN HOLLADAY RICKHOUSE PROOF BOURBON WHISKEY</t>
  </si>
  <si>
    <t>18638</t>
  </si>
  <si>
    <t>BP BEN HOLLADAY ONE BARREL</t>
  </si>
  <si>
    <t>HORSE SOLDIER STRAIGHT BOURBON WHISKEY</t>
  </si>
  <si>
    <t>HENRY MCKENNA SINGLE BARREL 10YR</t>
  </si>
  <si>
    <t>HUDSON BRIGHT LIGHT &amp; BIG BOURBON</t>
  </si>
  <si>
    <t>LARCENY</t>
  </si>
  <si>
    <t>LARCENY SMALL BATCH</t>
  </si>
  <si>
    <t>LARCENY BARREL PROOF</t>
  </si>
  <si>
    <t>18861</t>
  </si>
  <si>
    <t>18982</t>
  </si>
  <si>
    <t>JEFFERSONS BOURBON</t>
  </si>
  <si>
    <t>18983</t>
  </si>
  <si>
    <t>JEFFERSONS TROPICS</t>
  </si>
  <si>
    <t>18989</t>
  </si>
  <si>
    <t>JEFFERSONS RESERVE TWIN OAK</t>
  </si>
  <si>
    <t>18990</t>
  </si>
  <si>
    <t>JAMES E PEPPER 1776 STRAIGHT BOURBON WHISKEY 100PRF</t>
  </si>
  <si>
    <t>JAMES PEPPER DISTILLING CO LLC</t>
  </si>
  <si>
    <t>19000</t>
  </si>
  <si>
    <t>BP JEFFERSONS RESERVE BOURBON BARREL</t>
  </si>
  <si>
    <t>JEFFERSONS RESERVE</t>
  </si>
  <si>
    <t>JEFFERSONS VERY SMALL BATCH</t>
  </si>
  <si>
    <t>JEFFERSONS OCEAN AGED AT SEA</t>
  </si>
  <si>
    <t>JIM BEAM BLACK MINI</t>
  </si>
  <si>
    <t>JIM BEAM BLACK</t>
  </si>
  <si>
    <t>19045</t>
  </si>
  <si>
    <t>JEFFERSONS RESERVE OLD RUM CASK</t>
  </si>
  <si>
    <t>19048</t>
  </si>
  <si>
    <t>JIM BEAM DOUBLE OAK</t>
  </si>
  <si>
    <t>JIM BEAM MINI</t>
  </si>
  <si>
    <t>JIM BEAM</t>
  </si>
  <si>
    <t>19065</t>
  </si>
  <si>
    <t>BP JEFFERSONS OCEAN WHEATED BOURBON BARREL</t>
  </si>
  <si>
    <t>JIM BEAM PET</t>
  </si>
  <si>
    <t>19097</t>
  </si>
  <si>
    <t>JIM BEAM SUNSHINE BLEND</t>
  </si>
  <si>
    <t>JIM BEAM DEVILS CUT</t>
  </si>
  <si>
    <t>19116</t>
  </si>
  <si>
    <t>JIM BEAM SINGLE BARREL</t>
  </si>
  <si>
    <t>19125</t>
  </si>
  <si>
    <t>JETHRO T BOOTS</t>
  </si>
  <si>
    <t>19139</t>
  </si>
  <si>
    <t>CM JUDGE RICHARD SMALL BATCH STRAIGHT BOURBON WHISKY</t>
  </si>
  <si>
    <t>JUDGE RICHARD DISTILLERY</t>
  </si>
  <si>
    <t>19224</t>
  </si>
  <si>
    <t>KNOB CREEK</t>
  </si>
  <si>
    <t>KNOB CREEK SINGLE BARREL RESERVE</t>
  </si>
  <si>
    <t>19236</t>
  </si>
  <si>
    <t>BP KNOB CREEK SINGLE BARREL</t>
  </si>
  <si>
    <t>19239</t>
  </si>
  <si>
    <t>KNOB CREEK 12YR</t>
  </si>
  <si>
    <t>19250</t>
  </si>
  <si>
    <t>THE WISEMAN BOURBON</t>
  </si>
  <si>
    <t>STOLI GROUP</t>
  </si>
  <si>
    <t>19320</t>
  </si>
  <si>
    <t>KENTUCKY OWL CONFISCATED</t>
  </si>
  <si>
    <t>KENTUCKY OWL TAKUMI EDITION</t>
  </si>
  <si>
    <t>19325</t>
  </si>
  <si>
    <t>KENTUCKY OWL MAIGHSTIR</t>
  </si>
  <si>
    <t>KENTUCKY 10 BOURBON</t>
  </si>
  <si>
    <t>CITADEL BEVERAGES</t>
  </si>
  <si>
    <t>19457</t>
  </si>
  <si>
    <t>LUCA MARIANO OLD AMERICANA SMALL BATCH BOURBON</t>
  </si>
  <si>
    <t>LUCA MARIANO DISTILLERY, LLC</t>
  </si>
  <si>
    <t>19458</t>
  </si>
  <si>
    <t>LUCA MARIANO SINGLE BARREL BOURBON</t>
  </si>
  <si>
    <t>19461</t>
  </si>
  <si>
    <t>LUX ROW FOUR GRAIN DOUBLE BARREL</t>
  </si>
  <si>
    <t>19468</t>
  </si>
  <si>
    <t>MARKSMAN</t>
  </si>
  <si>
    <t>MAKERS MARK MINI</t>
  </si>
  <si>
    <t>MAKERS MARK REPLICA</t>
  </si>
  <si>
    <t>MAKERS MARK</t>
  </si>
  <si>
    <t>MAKERS MARK CASK STRENGTH</t>
  </si>
  <si>
    <t>MAKERS 46</t>
  </si>
  <si>
    <t>19494</t>
  </si>
  <si>
    <t>MAKERS MARK 46 CASK STRENGTH</t>
  </si>
  <si>
    <t>MAKERS MARK 101</t>
  </si>
  <si>
    <t>19501</t>
  </si>
  <si>
    <t>MAKERS MARK WOOD FINISHING SERIES BEP</t>
  </si>
  <si>
    <t>19502</t>
  </si>
  <si>
    <t>MAKERS MARK WOOD FINISHING SERIES</t>
  </si>
  <si>
    <t>19564</t>
  </si>
  <si>
    <t>BP MAKERS MARK PRIVATE SELECT BARREL BUY</t>
  </si>
  <si>
    <t>19567</t>
  </si>
  <si>
    <t>MAKERS MARK HOLIDAY LABEL</t>
  </si>
  <si>
    <t>19629</t>
  </si>
  <si>
    <t>MARY DOWLING WINTER WHEAT</t>
  </si>
  <si>
    <t>CASTLE BRANDS</t>
  </si>
  <si>
    <t>MICHTERS US*1 SMALL BATCH</t>
  </si>
  <si>
    <t>CHATHAM IMPORTS INC</t>
  </si>
  <si>
    <t>19905</t>
  </si>
  <si>
    <t>NEFARIOUS BOURBON WHISKEY</t>
  </si>
  <si>
    <t>BLUE OX SPIRITS, INC.</t>
  </si>
  <si>
    <t>19908</t>
  </si>
  <si>
    <t>NELSON BROS CLASSIC WHISKEY</t>
  </si>
  <si>
    <t>19909</t>
  </si>
  <si>
    <t>NELSON BROS WHISKEY RESERVE BOURBON</t>
  </si>
  <si>
    <t>19917</t>
  </si>
  <si>
    <t>NELSON BROS. WHISKEY COGNAC CASK</t>
  </si>
  <si>
    <t>19953</t>
  </si>
  <si>
    <t>CHARTER FRENCH OAK</t>
  </si>
  <si>
    <t>OLD GRAND DAD 114PRF</t>
  </si>
  <si>
    <t>20158</t>
  </si>
  <si>
    <t>OLD CAMP WOLF MOON WHISKEY</t>
  </si>
  <si>
    <t>WINESOURCE INTERNATIONAL INC.</t>
  </si>
  <si>
    <t>20165</t>
  </si>
  <si>
    <t>OLD CHARTER 8 BOURBON PET</t>
  </si>
  <si>
    <t>20166</t>
  </si>
  <si>
    <t>OLD CHARTER 8 BOURBON</t>
  </si>
  <si>
    <t>20168</t>
  </si>
  <si>
    <t>OLD CROW</t>
  </si>
  <si>
    <t>20286</t>
  </si>
  <si>
    <t>OLD CROW PET</t>
  </si>
  <si>
    <t>20300</t>
  </si>
  <si>
    <t>OLD ELK WHEAT BOURBON</t>
  </si>
  <si>
    <t>OLD ELK DISTILLERIES LLC</t>
  </si>
  <si>
    <t>20304</t>
  </si>
  <si>
    <t>OLD ELK 8 YEAR WHEATED BOURBON</t>
  </si>
  <si>
    <t>20305</t>
  </si>
  <si>
    <t>OLD ELK SOUR MASH BOURBON</t>
  </si>
  <si>
    <t>OLD ELK FOUR GRAIN STRAIGHT BOURBON WHISKEY</t>
  </si>
  <si>
    <t>OLD EZRA 7YR</t>
  </si>
  <si>
    <t>OLD FORESTER BOURBON 86PRF</t>
  </si>
  <si>
    <t>20369</t>
  </si>
  <si>
    <t>OLD FORESTER 1870 WHISKY ROW SERIES</t>
  </si>
  <si>
    <t>20372</t>
  </si>
  <si>
    <t>OLD FORESTER 1897 WHISKY ROW SERIES</t>
  </si>
  <si>
    <t>20374</t>
  </si>
  <si>
    <t>OLD FORESTER 1910</t>
  </si>
  <si>
    <t>OLD FORESTER STATESMAN</t>
  </si>
  <si>
    <t>20376</t>
  </si>
  <si>
    <t>OLD FORESTER 1920</t>
  </si>
  <si>
    <t>20384</t>
  </si>
  <si>
    <t>OLD FORESTER 1924 WHISKEY ROW SERIES</t>
  </si>
  <si>
    <t>20491</t>
  </si>
  <si>
    <t>OLD SOUL TIN TYPE #1</t>
  </si>
  <si>
    <t>BOTTLE TREE BEVERAGE COMPANY LLC / CATHEAD DISTILLERY</t>
  </si>
  <si>
    <t>20492</t>
  </si>
  <si>
    <t>BP OLD SOUL SINGLE BARREL BOURBON HIGH RYE</t>
  </si>
  <si>
    <t>20494</t>
  </si>
  <si>
    <t>OLD LOUISVILLE WHISKEY CO. STRAIGHT BOURBON</t>
  </si>
  <si>
    <t>OLD LOUISVILLE WHISKEY CO. LLC</t>
  </si>
  <si>
    <t>KENTUCKY TAVERN BOURBON</t>
  </si>
  <si>
    <t>20537</t>
  </si>
  <si>
    <t>KENTUCKY TAVERN SPECIAL RESERVE</t>
  </si>
  <si>
    <t>OLD TUB</t>
  </si>
  <si>
    <t>21024</t>
  </si>
  <si>
    <t>PEERLESS SMALL BATCH KENTUCKY STRAIGHT BOURBON WHISKEY</t>
  </si>
  <si>
    <t>KENTUCKY PEERLESS DISTILLING COMPANY, LLC</t>
  </si>
  <si>
    <t>21056</t>
  </si>
  <si>
    <t>PENELOPE ESTATE COLLECTION PRIVATE SELECT 9YR</t>
  </si>
  <si>
    <t>21064</t>
  </si>
  <si>
    <t>PENELOPE PRIVATE SELECT 9YR</t>
  </si>
  <si>
    <t>PENELOPE BOURBON TOASTED BARREL FINISH</t>
  </si>
  <si>
    <t>PENELOPE BARREL STRENGTH</t>
  </si>
  <si>
    <t>PENELOPE FOUR GRAIN STRAIGHT BOURBON</t>
  </si>
  <si>
    <t>21070</t>
  </si>
  <si>
    <t>CM 7-8YR OBTAINIUM LIGHT WHISKEY</t>
  </si>
  <si>
    <t>21100</t>
  </si>
  <si>
    <t>PUNCHERS CHANCE</t>
  </si>
  <si>
    <t>21162</t>
  </si>
  <si>
    <t>BP RABBIT HOLE CAVEHILL BARREL</t>
  </si>
  <si>
    <t>21168</t>
  </si>
  <si>
    <t>RD ONE KY STRAIGHT BOURBON WHISKEY</t>
  </si>
  <si>
    <t>21169</t>
  </si>
  <si>
    <t>BP RABBIT HOLE HEIGOLD BOURBON WHISKEY BARREL</t>
  </si>
  <si>
    <t>21181</t>
  </si>
  <si>
    <t>RABBIT HOLE CAVEHILL</t>
  </si>
  <si>
    <t>RABBIT HOLE DARERINGER SHERY BOURBON CASK</t>
  </si>
  <si>
    <t>21185</t>
  </si>
  <si>
    <t>RABBIT HOLE DARERINGER</t>
  </si>
  <si>
    <t>RABBIT HOLE HEIGOLD RYE BOURBON</t>
  </si>
  <si>
    <t>21187</t>
  </si>
  <si>
    <t>RABBIT HOLE HEIGOLD</t>
  </si>
  <si>
    <t>21198</t>
  </si>
  <si>
    <t>BP REBEL CASK STRENGTH</t>
  </si>
  <si>
    <t>REBEL KSBW</t>
  </si>
  <si>
    <t>21208</t>
  </si>
  <si>
    <t>REBEL KSBW 100PRF 6YR</t>
  </si>
  <si>
    <t>REBEL KSBW 100PRF</t>
  </si>
  <si>
    <t>21212</t>
  </si>
  <si>
    <t>REBEL 10YR SINGLE BARREL</t>
  </si>
  <si>
    <t>REDEMPTION BOURBON WHISKEY</t>
  </si>
  <si>
    <t>21224</t>
  </si>
  <si>
    <t>REDEMPTION BOURBON BARREL PROOF 9YR</t>
  </si>
  <si>
    <t>21226</t>
  </si>
  <si>
    <t>REDEMPTION HIGH RYE BOURBON</t>
  </si>
  <si>
    <t>REDEMPTION WHEATED BOURBON</t>
  </si>
  <si>
    <t>21228</t>
  </si>
  <si>
    <t>1792 FULL PROOF</t>
  </si>
  <si>
    <t>21235</t>
  </si>
  <si>
    <t>1792 SMALL BATCH BOURBON</t>
  </si>
  <si>
    <t>1792 SMALL BATCH</t>
  </si>
  <si>
    <t>21239</t>
  </si>
  <si>
    <t>21242</t>
  </si>
  <si>
    <t>1792 SWEET WHEAT BOURBON</t>
  </si>
  <si>
    <t>21244</t>
  </si>
  <si>
    <t>1792 SINGLE BARREL BOURBON</t>
  </si>
  <si>
    <t>BENCHMARK SINGLE BARREL</t>
  </si>
  <si>
    <t>21256</t>
  </si>
  <si>
    <t>REDWOOD EMPIRE LOST MONARCH BLENDED AMERICAN WHISKEY</t>
  </si>
  <si>
    <t>21257</t>
  </si>
  <si>
    <t>REMUS REPEAL RESERVE BOURBON VIII</t>
  </si>
  <si>
    <t>21262</t>
  </si>
  <si>
    <t>REMUS REPEAL RESERVE VII</t>
  </si>
  <si>
    <t>21270</t>
  </si>
  <si>
    <t>REVELTON SINGLE BARREL BOURBON WHISKEY</t>
  </si>
  <si>
    <t>REVELTON DISTILLING COMPANY</t>
  </si>
  <si>
    <t>21296</t>
  </si>
  <si>
    <t>RUDDELLS MILL KENTUCKY STRAIGHT BOURBON WHISKEY</t>
  </si>
  <si>
    <t>WORLDWIDE LIBATIONS, LLC</t>
  </si>
  <si>
    <t>21300</t>
  </si>
  <si>
    <t>RUSTIC RIVER KENTUCKY STRAIGHT BOURBON WHISKEY</t>
  </si>
  <si>
    <t>GREEN RIVER DISTILLING COMPANY</t>
  </si>
  <si>
    <t>21443</t>
  </si>
  <si>
    <t>1792 12YR OLD BOURBON</t>
  </si>
  <si>
    <t>BENCHMARK BONDED</t>
  </si>
  <si>
    <t>BENCHMARK FULL PROOF</t>
  </si>
  <si>
    <t>BENCHMARK SMALL BATCH</t>
  </si>
  <si>
    <t>BENCHMARK TOP FLOOR</t>
  </si>
  <si>
    <t>BENCHMARK OLD NO 8</t>
  </si>
  <si>
    <t>SILK &amp; GOLD BOURBON</t>
  </si>
  <si>
    <t>STAGG BOURBON</t>
  </si>
  <si>
    <t>21541</t>
  </si>
  <si>
    <t>STARLIGHT DISTILLERY CARL T BOURBON</t>
  </si>
  <si>
    <t>HUBER ORCHARDS, INC.</t>
  </si>
  <si>
    <t>STEEPLE RIDGE CASK STRENGTH SINGLE BARREL BOURBON</t>
  </si>
  <si>
    <t>LONELY OAK DISTILLERY</t>
  </si>
  <si>
    <t>EH TAYLOR JR SINGLE BARREL</t>
  </si>
  <si>
    <t>TEN HIGH PET</t>
  </si>
  <si>
    <t>TEN HIGH</t>
  </si>
  <si>
    <t>21600</t>
  </si>
  <si>
    <t>EH TAYLOR JR BARREL PROOF</t>
  </si>
  <si>
    <t>EH TAYLOR JR SMALL BATCH</t>
  </si>
  <si>
    <t>21612</t>
  </si>
  <si>
    <t>TEMPLETON BOURBON</t>
  </si>
  <si>
    <t>21671</t>
  </si>
  <si>
    <t>BP TOWN BRANCH SINGLE BARREL RESERVE BOURBON</t>
  </si>
  <si>
    <t>ALLTECH BEVERAGE DIVISION LLC</t>
  </si>
  <si>
    <t>TOWN BRANCH BOURBON</t>
  </si>
  <si>
    <t>21673</t>
  </si>
  <si>
    <t>TOWN BRANCH TRUE CASK BOURBON</t>
  </si>
  <si>
    <t>21677</t>
  </si>
  <si>
    <t>2XO SNEAKER HEAD</t>
  </si>
  <si>
    <t>21679</t>
  </si>
  <si>
    <t>2XO KIAWAH BLEND</t>
  </si>
  <si>
    <t>21681</t>
  </si>
  <si>
    <t>2XO FRENCH OAK</t>
  </si>
  <si>
    <t>21686</t>
  </si>
  <si>
    <t>2XO TRIBUTE</t>
  </si>
  <si>
    <t>21687</t>
  </si>
  <si>
    <t>2XO OAK SERIES</t>
  </si>
  <si>
    <t>2XO GEM OF KENTUCKY 2024 RELEASE</t>
  </si>
  <si>
    <t>HATOZAKI SMALL BATCH JAPANESE WHISKY</t>
  </si>
  <si>
    <t>VERY OLD BARTON BOURBON CRAFTED 80PRF</t>
  </si>
  <si>
    <t>VERY OLD BARTON BOURBON HANDCRAFTED 80PRF</t>
  </si>
  <si>
    <t>VERY OLD BARTON 6YR 100PRF</t>
  </si>
  <si>
    <t>21823</t>
  </si>
  <si>
    <t>VERY OLD BARTON KSBW</t>
  </si>
  <si>
    <t>21827</t>
  </si>
  <si>
    <t>VERY OLD BARTON BOURBON 86PF</t>
  </si>
  <si>
    <t>21836</t>
  </si>
  <si>
    <t>VERY OLD BARTON BOURBON 90PF</t>
  </si>
  <si>
    <t>VERY OLD BARTON BOURBON 90PRF</t>
  </si>
  <si>
    <t>21876</t>
  </si>
  <si>
    <t>VERY OLD BARTON BOURBON CRAFTED 86PRF</t>
  </si>
  <si>
    <t>21878</t>
  </si>
  <si>
    <t>21946</t>
  </si>
  <si>
    <t>WILD TURKEY KENTUCKY SPIRIT SINGLE BARREL</t>
  </si>
  <si>
    <t>JIMMY RUSSELL 70TH ANNIVERSARY WILD TURKEY 101 8YR</t>
  </si>
  <si>
    <t>WELLER RESERVE 7YR BOURBON</t>
  </si>
  <si>
    <t>22026</t>
  </si>
  <si>
    <t>WELLER 12YR</t>
  </si>
  <si>
    <t>22027</t>
  </si>
  <si>
    <t>22056</t>
  </si>
  <si>
    <t>WHEEL HORSE BOURBON</t>
  </si>
  <si>
    <t>LATITUDE BEVERAGE COMPANY</t>
  </si>
  <si>
    <t>WHISTLEPIG PIGGYBACK BOURBON LEGENDS SERIES: BARSTOOL SPORTS</t>
  </si>
  <si>
    <t>WHISTLEPIG PIGGYBACK BOURBON</t>
  </si>
  <si>
    <t>22079</t>
  </si>
  <si>
    <t>BP WILDERNESS TRAIL WHEATED BOURBON FAMILY RESERVE</t>
  </si>
  <si>
    <t>22081</t>
  </si>
  <si>
    <t>BP WILDERNESS TRAIL HIGH RYE BOURBON FAMILY RESERVE</t>
  </si>
  <si>
    <t>WILD TURKEY LONGBRANCH</t>
  </si>
  <si>
    <t>WILD TURKEY 81</t>
  </si>
  <si>
    <t>WILD TURKEY 101 MINI</t>
  </si>
  <si>
    <t>WILD TURKEY 101</t>
  </si>
  <si>
    <t>WILD TURKEY RARE BREED RYE BARREL PROOF</t>
  </si>
  <si>
    <t>RUSSELLS RESERVE 10YR</t>
  </si>
  <si>
    <t>22177</t>
  </si>
  <si>
    <t>RUSSELLS RESERVE 15YR</t>
  </si>
  <si>
    <t>RUSSELLS RESERVE SINGLE BARREL BOURBON</t>
  </si>
  <si>
    <t>22186</t>
  </si>
  <si>
    <t>W B SAFFELL</t>
  </si>
  <si>
    <t>22194</t>
  </si>
  <si>
    <t>WIDOW JANE SINGLE BATCH 10 YR SELECT</t>
  </si>
  <si>
    <t>22195</t>
  </si>
  <si>
    <t>WIDOW JANE BABY JANE BOURBON</t>
  </si>
  <si>
    <t>WILD TURKEY RARE BREED</t>
  </si>
  <si>
    <t>WOODFORD RESERVE STRAIGHT BOURBON</t>
  </si>
  <si>
    <t>WOODFORD RESERVE</t>
  </si>
  <si>
    <t>WOODFORD RESERVE KENTUCKY DERBY 2024</t>
  </si>
  <si>
    <t>WOODFORD RESERVE DOUBLE OAKED</t>
  </si>
  <si>
    <t>WOODFORD RESERVE STRAIGHT MALT</t>
  </si>
  <si>
    <t>YELLOWSTONE SELECT</t>
  </si>
  <si>
    <t>22249</t>
  </si>
  <si>
    <t>WOODFORD RESERVE HOLIDAY 2023</t>
  </si>
  <si>
    <t>22262</t>
  </si>
  <si>
    <t>BP YELLOWSTONE HAND PICKED 109PRF</t>
  </si>
  <si>
    <t>22263</t>
  </si>
  <si>
    <t>BP YELLOWSTONE HAND PICKED 115PRF</t>
  </si>
  <si>
    <t>22279</t>
  </si>
  <si>
    <t>WOODFORD RESERVE BATCH PROOF</t>
  </si>
  <si>
    <t>22289</t>
  </si>
  <si>
    <t>YELLOWSTONE LIMITED EDITION 2023</t>
  </si>
  <si>
    <t>CHRISTIAN BROS HOLIDAY NOG</t>
  </si>
  <si>
    <t>22290</t>
  </si>
  <si>
    <t>BP YELLOWSTONE HAND PICKED 119PRF</t>
  </si>
  <si>
    <t>22311</t>
  </si>
  <si>
    <t>DUCKS UNLIMITED CERAMIC EDITION</t>
  </si>
  <si>
    <t>22375</t>
  </si>
  <si>
    <t>TATTERSALL STRAIGHT RYE WHISKEY</t>
  </si>
  <si>
    <t>TATTERSALL COMPANIES, LLC</t>
  </si>
  <si>
    <t>22376</t>
  </si>
  <si>
    <t>BIRD DOG GINGERBREAD</t>
  </si>
  <si>
    <t>22382</t>
  </si>
  <si>
    <t>WIDOW JANE PARADIGM</t>
  </si>
  <si>
    <t>PRAIRIE FIRE HOT CINNAMON FLAVORED WHISKEY</t>
  </si>
  <si>
    <t>DUNKEL CORPORATION / IOWA DISTILLING</t>
  </si>
  <si>
    <t>22385</t>
  </si>
  <si>
    <t>GEORGE DICKEL LEOPOLD BROS COLLABORATION RYE</t>
  </si>
  <si>
    <t>22389</t>
  </si>
  <si>
    <t>BP TOWN BRANCH RYE SINGLE BARREL RESERVE</t>
  </si>
  <si>
    <t>CHICKEN COCK DOUBLE OAK KENTUCKY WHISKEY</t>
  </si>
  <si>
    <t>22400</t>
  </si>
  <si>
    <t>SAZERAC RYE</t>
  </si>
  <si>
    <t>22405</t>
  </si>
  <si>
    <t>CANDY CORN WHISKEY</t>
  </si>
  <si>
    <t>DEHNER DISTILLERY</t>
  </si>
  <si>
    <t>22406</t>
  </si>
  <si>
    <t>WIDOW JANE APPLE WOOD RYE</t>
  </si>
  <si>
    <t>22419</t>
  </si>
  <si>
    <t>STEEPLE RIDGE CASK STRENGTH STRAIGHT RYE WHISKEY</t>
  </si>
  <si>
    <t>22420</t>
  </si>
  <si>
    <t>STEEPLE RIDGE SWEET MASH STRAIGHT RYE WHISKEY</t>
  </si>
  <si>
    <t>22447</t>
  </si>
  <si>
    <t>WHISTLEPIG SUMMERSTOCK WHISKEY</t>
  </si>
  <si>
    <t>22458</t>
  </si>
  <si>
    <t>BIRD DOG MESQUITE BROWN SUGAR</t>
  </si>
  <si>
    <t>BIRD DOG SMORES</t>
  </si>
  <si>
    <t>22467</t>
  </si>
  <si>
    <t>BIRD DOG MESQUITE BROWN SUGAR MINI</t>
  </si>
  <si>
    <t>22476</t>
  </si>
  <si>
    <t>BIRD DOG BLACK ESPRESSO</t>
  </si>
  <si>
    <t>22478</t>
  </si>
  <si>
    <t>BIRD DOG BLACK ESPRESSO MINI</t>
  </si>
  <si>
    <t>BIRD DOG PUMPKIN SPICE</t>
  </si>
  <si>
    <t>22487</t>
  </si>
  <si>
    <t>THE QUINTESSENTIAL SPECIAL RELEASE</t>
  </si>
  <si>
    <t>22488</t>
  </si>
  <si>
    <t>KEEPERS HEART IRISH + AMERICAN 110 PROOF</t>
  </si>
  <si>
    <t>JOJO CHOCOLATE CHIP COOKIE DOUGH FLAVORED WHISKEY</t>
  </si>
  <si>
    <t>JAMES JOSEPH SANCTIFIED SPIRITS, LLC / OAK&amp;EDEN</t>
  </si>
  <si>
    <t>22491</t>
  </si>
  <si>
    <t>OLD ELK 10 YEAR WHEAT WHISKEY</t>
  </si>
  <si>
    <t>BIB &amp; TUCKER DOUBLE CHAR BOURBON</t>
  </si>
  <si>
    <t>22493</t>
  </si>
  <si>
    <t>KEEPERS HEART IRISH AND BOURBON CASK STRENGTH</t>
  </si>
  <si>
    <t>22494</t>
  </si>
  <si>
    <t>FRASER &amp; THOMPSON WHISKEY</t>
  </si>
  <si>
    <t>22496</t>
  </si>
  <si>
    <t>JACOBS PARDON SMALL BATCH WHISKEY #3</t>
  </si>
  <si>
    <t>22508</t>
  </si>
  <si>
    <t>OLD ELK COGNAC FINISHED WHEAT WHISKEY</t>
  </si>
  <si>
    <t>22513</t>
  </si>
  <si>
    <t>BIRD DOG CANDY CANE</t>
  </si>
  <si>
    <t>22525</t>
  </si>
  <si>
    <t>SAVAGE &amp; COOKE AMERICAN WHISKEY CASK STRENGTH</t>
  </si>
  <si>
    <t>SAVAGE &amp; COOKE / SANTA CROCE LLC</t>
  </si>
  <si>
    <t>BULLEIT SINGLE MALT WHISKEY</t>
  </si>
  <si>
    <t>CODY ROAD AMERICAN MALT WHISKEY</t>
  </si>
  <si>
    <t>22545</t>
  </si>
  <si>
    <t>THE REVEREND DAN CALL SOUR MASH WHISKEY</t>
  </si>
  <si>
    <t>22549</t>
  </si>
  <si>
    <t>COLD ZERO RESERVE</t>
  </si>
  <si>
    <t>22564</t>
  </si>
  <si>
    <t>PIGGYBACK RYE LEGENDS SERIES FORMULA 1</t>
  </si>
  <si>
    <t>22567</t>
  </si>
  <si>
    <t>HARD TRUTH HIGH ROAD RYE</t>
  </si>
  <si>
    <t>22783</t>
  </si>
  <si>
    <t>BEAMS 8 STAR BL WHISKEY</t>
  </si>
  <si>
    <t>BRECKENRIDGE BOURBON</t>
  </si>
  <si>
    <t>BRECKENRIDGE DISTILLERY / DOUBLE DIAMOND DISTILLERY LLC</t>
  </si>
  <si>
    <t>23063</t>
  </si>
  <si>
    <t>BP BRECKENRIDGE BOURBON WHISKEY RESERVE BLEND ALPHA</t>
  </si>
  <si>
    <t>23329</t>
  </si>
  <si>
    <t>BP KOVAL SINGLE BARREL WHISKEY RYE BOTTLED IN BOND</t>
  </si>
  <si>
    <t>23536</t>
  </si>
  <si>
    <t>OLD ELK BLENDED STRAIGHT BOURBON</t>
  </si>
  <si>
    <t>23539</t>
  </si>
  <si>
    <t>OLD ELK WHEAT N RYE</t>
  </si>
  <si>
    <t>FIVE STAR PET</t>
  </si>
  <si>
    <t>23707</t>
  </si>
  <si>
    <t>FLEISCHMANNS PREFERRED BLENDED WHISKEY</t>
  </si>
  <si>
    <t>FLEISCHMANNS WHISKEY</t>
  </si>
  <si>
    <t>FIVE STAR</t>
  </si>
  <si>
    <t>23981</t>
  </si>
  <si>
    <t>GOTCHA BLENDED WHISKEY</t>
  </si>
  <si>
    <t>24420</t>
  </si>
  <si>
    <t>THE WISEMAN RYE</t>
  </si>
  <si>
    <t>KESSLER BLEND WHISKEY MINI</t>
  </si>
  <si>
    <t>KESSLER BLEND WHISKEY</t>
  </si>
  <si>
    <t>2446</t>
  </si>
  <si>
    <t>TOOTERS RAINBOW PACK</t>
  </si>
  <si>
    <t>MANGO BOTTLING</t>
  </si>
  <si>
    <t>KESSLER BLEND WHISKEY PET</t>
  </si>
  <si>
    <t>KANSAS CITY WHISKEY</t>
  </si>
  <si>
    <t>WEST BOTTOMS WHISKEY LLC</t>
  </si>
  <si>
    <t>MCCORMICK BLEND WHISKEY</t>
  </si>
  <si>
    <t>MCCORMICK BLEND WHISKEY PET</t>
  </si>
  <si>
    <t>24735</t>
  </si>
  <si>
    <t>GANNETT PEAK WHISKEY</t>
  </si>
  <si>
    <t>JDSO INC / RED BOOT DISTILLERY</t>
  </si>
  <si>
    <t>CENTURY FARMS SINGLE BARREL STRAIGHT CORN WHISKEY</t>
  </si>
  <si>
    <t>24859</t>
  </si>
  <si>
    <t>BUZZARDS ROOST BARREL STRENGTH RYE WHISKEY</t>
  </si>
  <si>
    <t>24860</t>
  </si>
  <si>
    <t>99 WHISKEY MINI</t>
  </si>
  <si>
    <t>24861</t>
  </si>
  <si>
    <t>BUZZARDS ROOST CHAR #1 RYE WHISKEY</t>
  </si>
  <si>
    <t>24862</t>
  </si>
  <si>
    <t>BUZZARDS ROOST CIGAR RYE STRAIGHT RYE WHISKEY</t>
  </si>
  <si>
    <t>24864</t>
  </si>
  <si>
    <t>BUZZARDS ROOST TOASTED BARREL SINGLE STRAIGHT RYE WHISKEY</t>
  </si>
  <si>
    <t>24866</t>
  </si>
  <si>
    <t>ROSSVILLE UNION BARREL PROOF 7YR</t>
  </si>
  <si>
    <t>24909</t>
  </si>
  <si>
    <t>CEDAR RIDGE DOUBLE BARREL STRAIGHT RYE WHISKEY</t>
  </si>
  <si>
    <t>24912</t>
  </si>
  <si>
    <t>PENELOPE TOASTED RYE BARREL FINISH</t>
  </si>
  <si>
    <t>24919</t>
  </si>
  <si>
    <t>UNFILTERED WHEAT BIB</t>
  </si>
  <si>
    <t>FOUNDRY DISTILLING COMPANY, LLC</t>
  </si>
  <si>
    <t>24994</t>
  </si>
  <si>
    <t>CODY ROAD DISTILLERS BLEND</t>
  </si>
  <si>
    <t>TRAVELLER BLENDED NO 40</t>
  </si>
  <si>
    <t>OLE SMOKY BLENDED WHISKEY</t>
  </si>
  <si>
    <t>OLE SMOKY DISTILLERY LLC</t>
  </si>
  <si>
    <t>25028</t>
  </si>
  <si>
    <t>25029</t>
  </si>
  <si>
    <t>NELSON BROS. WHISKEY RYE</t>
  </si>
  <si>
    <t>25031</t>
  </si>
  <si>
    <t>TEMPLETON TEQUILA CASK FINISH</t>
  </si>
  <si>
    <t>25032</t>
  </si>
  <si>
    <t>MR BOSTON BLENDED WHISKEY</t>
  </si>
  <si>
    <t>25039</t>
  </si>
  <si>
    <t>JD TWICE BARRELED HERITAGE RYE</t>
  </si>
  <si>
    <t>25044</t>
  </si>
  <si>
    <t>LUCA MARIANO OLD AMERICANA SMALL BATCH RYE</t>
  </si>
  <si>
    <t>25045</t>
  </si>
  <si>
    <t>LUCA MARIANO SINGLE BARREL RYE</t>
  </si>
  <si>
    <t>25052</t>
  </si>
  <si>
    <t>BROTHERS BOND AMERICAN BLENDED RYE WHISKEY</t>
  </si>
  <si>
    <t>JACK DANIELS BONDED RYE 100PF</t>
  </si>
  <si>
    <t>EZRA BROOKS RYE 99</t>
  </si>
  <si>
    <t>CEDAR RIDGE PORT CASK FINISHED STRAIGHT RYE WHISKEY</t>
  </si>
  <si>
    <t>25080</t>
  </si>
  <si>
    <t>CM BEVERLY HIGH RYE WHISKEY</t>
  </si>
  <si>
    <t>25086</t>
  </si>
  <si>
    <t>MURRAY HILL CLUB A BOURBON BLEND</t>
  </si>
  <si>
    <t>BASIL HAYDEN MALTED RYE</t>
  </si>
  <si>
    <t>25113</t>
  </si>
  <si>
    <t>LEADSLINGERS BOURBON WHISKEY 10YR</t>
  </si>
  <si>
    <t>25120</t>
  </si>
  <si>
    <t>STONE IMPERIAL WHISKEY</t>
  </si>
  <si>
    <t>25121</t>
  </si>
  <si>
    <t>METHANOL MOONSHINE PEACH WHISKEY</t>
  </si>
  <si>
    <t>25125</t>
  </si>
  <si>
    <t>A. OVERHOLT RYE WHISKEY</t>
  </si>
  <si>
    <t>25141</t>
  </si>
  <si>
    <t>MR. PEABODY SMALL BATCH BOURBON WHISKEY</t>
  </si>
  <si>
    <t>DUMBASS WHISKEY, LLC</t>
  </si>
  <si>
    <t>25144</t>
  </si>
  <si>
    <t>REDNECK RIVIERA WHISKEY LIMITED EDITION</t>
  </si>
  <si>
    <t>25145</t>
  </si>
  <si>
    <t>REDNECK SMALL BATCH RYE WHISKEY</t>
  </si>
  <si>
    <t>25148</t>
  </si>
  <si>
    <t>TOMS GOOD LOVIN SMALL BATCH RYE WHISKEY</t>
  </si>
  <si>
    <t>25149</t>
  </si>
  <si>
    <t>SIXTH GLASS</t>
  </si>
  <si>
    <t>AXE MAN WHISKEY</t>
  </si>
  <si>
    <t>25160</t>
  </si>
  <si>
    <t>COLLECTORS EDITION ANTIQUE CAR BOURBON</t>
  </si>
  <si>
    <t>25165</t>
  </si>
  <si>
    <t>SLIPKNOT NO 9 RED CASK</t>
  </si>
  <si>
    <t>25166</t>
  </si>
  <si>
    <t>THE PEACEKEEPER BOURBON</t>
  </si>
  <si>
    <t>25177</t>
  </si>
  <si>
    <t>CEDAR RIDGE BOTTLED IN BOND RYE WHISKEY</t>
  </si>
  <si>
    <t>25189</t>
  </si>
  <si>
    <t>CM 5YR OBTAINIUM RYE WHISKEY</t>
  </si>
  <si>
    <t>25215</t>
  </si>
  <si>
    <t>ELIJAH CRAIG RYE</t>
  </si>
  <si>
    <t>ELVIS STRAIGHT RYE WHISKEY</t>
  </si>
  <si>
    <t>25241</t>
  </si>
  <si>
    <t>LOCK STOCK &amp; BARREL VATTED RYE WHISKEY</t>
  </si>
  <si>
    <t>COOPER SPIRITS INTERNATIONAL</t>
  </si>
  <si>
    <t>25242</t>
  </si>
  <si>
    <t>RUDDELLS MILL KENTUCKY STRAIGHT RYE WHISKEY</t>
  </si>
  <si>
    <t>25251</t>
  </si>
  <si>
    <t>WHISKEYSMITH BLOOD ORANGE FLAVORED WHISKEY</t>
  </si>
  <si>
    <t>25293</t>
  </si>
  <si>
    <t>OREGON SPIRIT DISTILLERS STRAIGHT AMERICAN RYE WHISKEY</t>
  </si>
  <si>
    <t>MAVERICK SPIRIT LLC / OREGON SPIRIT DISTILLERS</t>
  </si>
  <si>
    <t>25346</t>
  </si>
  <si>
    <t>WESTWARD CASK STRENGTH 125 WHISKEY</t>
  </si>
  <si>
    <t>25388</t>
  </si>
  <si>
    <t>UNCLE NEAREST STRAIGHT RYE WHISKEY</t>
  </si>
  <si>
    <t>25393</t>
  </si>
  <si>
    <t>RABBIT HOLE BOXERGRAIL</t>
  </si>
  <si>
    <t>YELLOW ROSE PREMIUM AMERICAN WHISKEY</t>
  </si>
  <si>
    <t>25473</t>
  </si>
  <si>
    <t>TRAVERSE CITY WHISKEY CO. BARREL PROOF WHEAT WHISKEY</t>
  </si>
  <si>
    <t>TRAVERSE CITY WHISKEY CO / TCWC, LLC</t>
  </si>
  <si>
    <t>25517</t>
  </si>
  <si>
    <t>FEW SPIRITS STRAIGHT AMERICAN WHISKEY</t>
  </si>
  <si>
    <t>25519</t>
  </si>
  <si>
    <t>REDNECK SMALL BATCH BOURBON WHISKEY</t>
  </si>
  <si>
    <t>TEMPLETON RYE STOUT CASK FINISH</t>
  </si>
  <si>
    <t>SEAGRAMS 7 CROWN MINI</t>
  </si>
  <si>
    <t>SEAGRAMS 7 CROWN</t>
  </si>
  <si>
    <t>FIELD OF DREAMS WHISKEY</t>
  </si>
  <si>
    <t>FIELD OF DREAMS BEVERAGE COMPANY LLC</t>
  </si>
  <si>
    <t>SEAGRAMS 7 CROWN PET FLASK</t>
  </si>
  <si>
    <t>25651</t>
  </si>
  <si>
    <t>SIR WINSTON WHEATED BOURBON</t>
  </si>
  <si>
    <t>S&amp;B FARMS DISTILLERY</t>
  </si>
  <si>
    <t>25652</t>
  </si>
  <si>
    <t>GREEN FROG DISTILLERY PEAR FLAVORED WHISKEY</t>
  </si>
  <si>
    <t>GREEN FROG DISTILLERY, LLC</t>
  </si>
  <si>
    <t>25664</t>
  </si>
  <si>
    <t>NUMBSKULL MINT CHOCOLATE WHISKEY</t>
  </si>
  <si>
    <t>25670</t>
  </si>
  <si>
    <t>STARLIGHT DISTILLERY BLACKBERRY WHISKEY</t>
  </si>
  <si>
    <t>25687</t>
  </si>
  <si>
    <t>METHANOL MOONSHINE PEACH - BOONE 2024</t>
  </si>
  <si>
    <t>25688</t>
  </si>
  <si>
    <t>METHANOL MOONSHINE PEACH - KNOXVILLE 2024</t>
  </si>
  <si>
    <t>25692</t>
  </si>
  <si>
    <t>TOWN BRANCH OVERPROOF</t>
  </si>
  <si>
    <t>25702</t>
  </si>
  <si>
    <t>THE QUINTESSENTIAL SPECIAL RELEASE - UNTITLED CIGAR MALT PRO</t>
  </si>
  <si>
    <t>25704</t>
  </si>
  <si>
    <t>FIELD OF DREAMS SMALL BATCH BOURBON</t>
  </si>
  <si>
    <t>25734</t>
  </si>
  <si>
    <t>BP HORSE SOLDIER PRIVATE BARREL BOURBON</t>
  </si>
  <si>
    <t>25742</t>
  </si>
  <si>
    <t>THE QUINTESSENTIAL SINGLE CASK SERIES - EX-BOURBON CASK</t>
  </si>
  <si>
    <t>25743</t>
  </si>
  <si>
    <t>THE QUINTESSENTIAL SINGLE CASK SERIES - NEW AMERICAN OAK</t>
  </si>
  <si>
    <t>25744</t>
  </si>
  <si>
    <t>JACK DANIELS SB BARREL PROOF COY HILL HOUSE 8</t>
  </si>
  <si>
    <t>25746</t>
  </si>
  <si>
    <t>NEAREST GREEN TENNESSEE WHISKEY</t>
  </si>
  <si>
    <t>HIGH WEST CASK COLLECTION PETITE SIRAH FINISH</t>
  </si>
  <si>
    <t>25753</t>
  </si>
  <si>
    <t>HIGH WEST CASK COLLECTION SAUVIGNON FINISH</t>
  </si>
  <si>
    <t>25755</t>
  </si>
  <si>
    <t>ELIJAH CRAIG RYE TOASTED BARREL</t>
  </si>
  <si>
    <t>25759</t>
  </si>
  <si>
    <t>CENTURY FARMS UNAGED HIGH PROOF CORN WHISKEY</t>
  </si>
  <si>
    <t>25766</t>
  </si>
  <si>
    <t>REVELTON HONEY WHISKEY MINI</t>
  </si>
  <si>
    <t>25774</t>
  </si>
  <si>
    <t>HARMONY SPIRITS BOURBON WHISKEY</t>
  </si>
  <si>
    <t>HARMONY SPIRITS LLC</t>
  </si>
  <si>
    <t>25776</t>
  </si>
  <si>
    <t>HARMONY SPIRITS BARREL STRENGTH BOURBON WHISKEY</t>
  </si>
  <si>
    <t>WHISTLEPIG CAMPSTOCK WHEAT WHISKEY</t>
  </si>
  <si>
    <t>25795</t>
  </si>
  <si>
    <t>10TH MOUNTAIN AMERICAN SINGLE MALT</t>
  </si>
  <si>
    <t>10TH MOUNTAIN WHISKEY AND SPIRIT COMPANY</t>
  </si>
  <si>
    <t>258</t>
  </si>
  <si>
    <t>RUMCHATA GOCHATAS</t>
  </si>
  <si>
    <t>25817</t>
  </si>
  <si>
    <t>E G BOOZ KENTUCKY STRAIGHT RYE WHISKEY</t>
  </si>
  <si>
    <t>25850</t>
  </si>
  <si>
    <t>PIGGYBACK RYE STAKE F1 TEAM EDITION</t>
  </si>
  <si>
    <t>SUNNY BROOK BLEND WHISKEY</t>
  </si>
  <si>
    <t>25893</t>
  </si>
  <si>
    <t>JACK DANIELS MCLAREN EDITION 2</t>
  </si>
  <si>
    <t>REVELTON RYE</t>
  </si>
  <si>
    <t>REBEL STRAIGHT RYE 100</t>
  </si>
  <si>
    <t>25941</t>
  </si>
  <si>
    <t>25949</t>
  </si>
  <si>
    <t>CM THE MAGI BLENDED RYE WHISKEY</t>
  </si>
  <si>
    <t>25980</t>
  </si>
  <si>
    <t>ELVIS STRAIGHT TENNESSEE WHISKEY</t>
  </si>
  <si>
    <t>25981</t>
  </si>
  <si>
    <t>UNCLE NEAREST SINGLE BARREL PREMIUM WHISKEY</t>
  </si>
  <si>
    <t>25984</t>
  </si>
  <si>
    <t>JACK DANIELS 12YR</t>
  </si>
  <si>
    <t>TX BLENDED WHISKEY</t>
  </si>
  <si>
    <t>25995</t>
  </si>
  <si>
    <t>OID EZRA 7YR RYE</t>
  </si>
  <si>
    <t>BP KEEPERS HEART IRISH + AMERICAN FINISHED IN A STOUT BARREL</t>
  </si>
  <si>
    <t>KEEPERS HEART IRISH AND BOURBON WHISKEY</t>
  </si>
  <si>
    <t>26027</t>
  </si>
  <si>
    <t>CLEAR WATER DISTILLING 5 YR BARREL STRENGTH RYE WHISKEY</t>
  </si>
  <si>
    <t>CLEAR WATER DISTILLING CO</t>
  </si>
  <si>
    <t>26028</t>
  </si>
  <si>
    <t>SCANDALUST CINNAMON WHISKEY</t>
  </si>
  <si>
    <t>26053</t>
  </si>
  <si>
    <t>CLERMONT STEEP AMERICAN SINGLE MALT</t>
  </si>
  <si>
    <t>26062</t>
  </si>
  <si>
    <t>DEVILS SISTER APPLE</t>
  </si>
  <si>
    <t>DELUXE WINE &amp; SPIRITS CO / MOLDOVA DELUXE</t>
  </si>
  <si>
    <t>26063</t>
  </si>
  <si>
    <t>DEVILS SISTER PEACH</t>
  </si>
  <si>
    <t>26067</t>
  </si>
  <si>
    <t>CM COLD ZERO WHISKEY</t>
  </si>
  <si>
    <t>26073</t>
  </si>
  <si>
    <t>OLD ELK DOUBLE WHEAT STRAIGHT WHISKEY</t>
  </si>
  <si>
    <t>26083</t>
  </si>
  <si>
    <t>COPPER STILL PEANUT BUTTER FLAVORED WHISKY</t>
  </si>
  <si>
    <t>COPPER STILL DISTILLERY</t>
  </si>
  <si>
    <t>26085</t>
  </si>
  <si>
    <t>BIRD DOG HONEY FLAVORED WHISKEY</t>
  </si>
  <si>
    <t>BIRD DOG HONEY FLAVORED WHISKEY MINI</t>
  </si>
  <si>
    <t>26094</t>
  </si>
  <si>
    <t>COPPER STILL CHERRY FLAVORED WHISKY</t>
  </si>
  <si>
    <t>CEDAR RIDGE DOUBLE BARREL BOURBON WHISKEY</t>
  </si>
  <si>
    <t>26101</t>
  </si>
  <si>
    <t>KEEPERS HEARTS IRISH WHISKEY</t>
  </si>
  <si>
    <t>26102</t>
  </si>
  <si>
    <t>JACK DANIELS 10YR</t>
  </si>
  <si>
    <t>26104</t>
  </si>
  <si>
    <t>HIGH WEST LIMITED SUPPLY HIGH COUNTRY AMERICAN SINGLE MALT</t>
  </si>
  <si>
    <t>26105</t>
  </si>
  <si>
    <t>BRADSHAW RYE</t>
  </si>
  <si>
    <t>26125</t>
  </si>
  <si>
    <t>THE QUINTESSENTIAL SINGLE CASK SERIES</t>
  </si>
  <si>
    <t>MONTANA WHISKEY CO BOURBON</t>
  </si>
  <si>
    <t>26143</t>
  </si>
  <si>
    <t>HIGH WEST DOUBLE RYE WHISKEY</t>
  </si>
  <si>
    <t>26148</t>
  </si>
  <si>
    <t>SOLDIER VALLEY LEE GREENWOOD BOURBON</t>
  </si>
  <si>
    <t>PATRIARCH DISTILLERS LLC / SOLDIER VALLEY SPIRITS</t>
  </si>
  <si>
    <t>26149</t>
  </si>
  <si>
    <t>SOLDIER VALLEY LEE GREENWOOD WHISKEY</t>
  </si>
  <si>
    <t>GEORGE DICKEL BOURBON</t>
  </si>
  <si>
    <t>BIRD DOG APPLE MINI</t>
  </si>
  <si>
    <t>BIRD DOG BLACKBERRY MINI</t>
  </si>
  <si>
    <t>BIRD DOG BLACK CHERRY MINI</t>
  </si>
  <si>
    <t>BIRD DOG PEACH MINI</t>
  </si>
  <si>
    <t>26174</t>
  </si>
  <si>
    <t>BIRD DOG PEANUT BUTTER FLAVORED WHISKEY MINI</t>
  </si>
  <si>
    <t>BIRD DOG STRAWBERRY MINI</t>
  </si>
  <si>
    <t>26185</t>
  </si>
  <si>
    <t>HOOTEN YOUNG AMERICAN WHISKEY 12 YR</t>
  </si>
  <si>
    <t>26189</t>
  </si>
  <si>
    <t>HOOTEN YOUNG BARREL PROOF AMERICAN WHISKEY 15 YR</t>
  </si>
  <si>
    <t>TEMPLETON 10YR SINGLE BARREL RYE</t>
  </si>
  <si>
    <t>26205</t>
  </si>
  <si>
    <t>WHICKED PICKLE FLAVORED WHISKEY</t>
  </si>
  <si>
    <t>26215</t>
  </si>
  <si>
    <t>BALCONES LINEAGE SINGLE MALT</t>
  </si>
  <si>
    <t>26217</t>
  </si>
  <si>
    <t>GREEN FROG DISTILLERY CRANBERRY FLAVORED CORN WHISKEY</t>
  </si>
  <si>
    <t>SIR WINSTON WHEAT</t>
  </si>
  <si>
    <t>CM NASSIF FAMILY RESERVE</t>
  </si>
  <si>
    <t>26249</t>
  </si>
  <si>
    <t>NELSONS GREEN BRIER TENNESSEE WHISKEY</t>
  </si>
  <si>
    <t>26269</t>
  </si>
  <si>
    <t>CENTURY FARMS PRAIRIE STATES BOURBON</t>
  </si>
  <si>
    <t>REVELTON HONEY WHISKEY</t>
  </si>
  <si>
    <t>26292</t>
  </si>
  <si>
    <t>26293</t>
  </si>
  <si>
    <t>REVELTON SHINE WHITE WHISKEY</t>
  </si>
  <si>
    <t>26336</t>
  </si>
  <si>
    <t>KYODIE PEACH WHISKEY</t>
  </si>
  <si>
    <t>26349</t>
  </si>
  <si>
    <t>RANCH ROAD WHISKEY</t>
  </si>
  <si>
    <t>CEDAR RIDGE BOURBON: SINGLE BARREL COLLECTION (S.B.C.)</t>
  </si>
  <si>
    <t>26354</t>
  </si>
  <si>
    <t>H DERINGER  GIFT PACK</t>
  </si>
  <si>
    <t>26357</t>
  </si>
  <si>
    <t>BARRELL SEAGRASS</t>
  </si>
  <si>
    <t>26360</t>
  </si>
  <si>
    <t>BIRD DOG SALTED CARAMEL FLAVORED WHISKEY MINI</t>
  </si>
  <si>
    <t>BIRD DOG SALTED CARAMEL</t>
  </si>
  <si>
    <t>CODY ROAD PEACH</t>
  </si>
  <si>
    <t>JIM BEAM ORANGE</t>
  </si>
  <si>
    <t>JIM BEAM ORANGE MINI</t>
  </si>
  <si>
    <t>26389</t>
  </si>
  <si>
    <t>BP JOURNEYMAN LAST FEATHER RYE CASK</t>
  </si>
  <si>
    <t>CLOWN SHINE WHISKEY</t>
  </si>
  <si>
    <t>26405</t>
  </si>
  <si>
    <t>REVENANT RYE</t>
  </si>
  <si>
    <t>26414</t>
  </si>
  <si>
    <t>ARROGANT BASTARD WHISKEY</t>
  </si>
  <si>
    <t>26425</t>
  </si>
  <si>
    <t>BP GEORGE DICKEL SINGLE BARREL 9YR</t>
  </si>
  <si>
    <t>BIRD DOG PEANUT BUTTER</t>
  </si>
  <si>
    <t>26471</t>
  </si>
  <si>
    <t>CLAYTON JAMES TENNESSEE WHISKEY</t>
  </si>
  <si>
    <t>TENN SOUTH DISTILLERY / BIG MACHINE DISTILLERY</t>
  </si>
  <si>
    <t>CEDAR RIDGE QUINTESSENTIAL AMERICAN SINGLE MALT</t>
  </si>
  <si>
    <t>26496</t>
  </si>
  <si>
    <t>BURN THE BOATS RYE WHISKEY</t>
  </si>
  <si>
    <t>26503</t>
  </si>
  <si>
    <t>WHEEL HORSE RYE</t>
  </si>
  <si>
    <t>BP TEMPLETON 6YR SINGLE BARREL SELECTION</t>
  </si>
  <si>
    <t>26555</t>
  </si>
  <si>
    <t>26556</t>
  </si>
  <si>
    <t>CHICKEN COCK KENTUCKY STRAIGHT RYE</t>
  </si>
  <si>
    <t>HORSE SOLDIER BARREL STRENGTH BOURBON WHISKEY</t>
  </si>
  <si>
    <t>26573</t>
  </si>
  <si>
    <t>BALCONES TEXAS POT STILL BOURBON</t>
  </si>
  <si>
    <t>HORSE SOLDIER SMALL BATCH BOURBON WHISKEY</t>
  </si>
  <si>
    <t>GENTLEMAN JACK</t>
  </si>
  <si>
    <t>26589</t>
  </si>
  <si>
    <t>GEORGE DICKEL 15 YR SINGLE BARREL</t>
  </si>
  <si>
    <t>GEORGE DICKEL #8</t>
  </si>
  <si>
    <t>26612</t>
  </si>
  <si>
    <t>BP WILDERNESS TRAIL RYE WHISKEY FAMILY RESERVE</t>
  </si>
  <si>
    <t>FOUNDRY CORN WHISKEY</t>
  </si>
  <si>
    <t>26614</t>
  </si>
  <si>
    <t>ST GEORGE BALLER SINGLE MALT WHISKEY</t>
  </si>
  <si>
    <t>ST GEORGE SPIRITS INC</t>
  </si>
  <si>
    <t>26625</t>
  </si>
  <si>
    <t>REDNECK RIVIERA GRANNY RICH RESERVE</t>
  </si>
  <si>
    <t>GEORGE DICKEL #12</t>
  </si>
  <si>
    <t>TIN CUP RYE</t>
  </si>
  <si>
    <t>26667</t>
  </si>
  <si>
    <t>RABBIT HOLE BOXERGRAIL STRAIGHT RYE WHISKEY</t>
  </si>
  <si>
    <t>REDWOOD EMPIRE PIPE DREAM BOURBON</t>
  </si>
  <si>
    <t>REDWOOD EMPIRE EMERALD GIANT RYE WHISKEY</t>
  </si>
  <si>
    <t>26697</t>
  </si>
  <si>
    <t>WHISTLEPIG FARMSTOCK</t>
  </si>
  <si>
    <t>UNCLE NEAREST 1884 SMALL BATCH WHISKEY</t>
  </si>
  <si>
    <t>SLIPKNOT IOWA WHISKEY NO. 9</t>
  </si>
  <si>
    <t>SLIPKNOT IOWA WHISKEY NO. 9 RESERVE</t>
  </si>
  <si>
    <t>26714</t>
  </si>
  <si>
    <t>CM OBTAINIUM LIGHT WHISKEY</t>
  </si>
  <si>
    <t>SIR WINSTON BOURBON</t>
  </si>
  <si>
    <t>26752</t>
  </si>
  <si>
    <t>3-OAKS DISTILLERY STRAIGHT BOURBON WHISKEY</t>
  </si>
  <si>
    <t>3-OAKS DISTILLERY, LLC</t>
  </si>
  <si>
    <t>26757</t>
  </si>
  <si>
    <t>BLUE OX AMERICAN SPIRIT WHISKEY</t>
  </si>
  <si>
    <t>26758</t>
  </si>
  <si>
    <t>BIRD DOG BLACK CHERRY</t>
  </si>
  <si>
    <t>26769</t>
  </si>
  <si>
    <t>BULLEIT RYE 12 YR</t>
  </si>
  <si>
    <t>26771</t>
  </si>
  <si>
    <t>OLD SOUL BOURBON</t>
  </si>
  <si>
    <t>26780</t>
  </si>
  <si>
    <t>WOODY CREEK DISTILLERS COLORADO STRAIGHT RYE</t>
  </si>
  <si>
    <t>WOODY CREEK DISTILLERS LLC</t>
  </si>
  <si>
    <t>TEMPLETON RYE RARE CASK STRENGTH</t>
  </si>
  <si>
    <t>26782</t>
  </si>
  <si>
    <t>WOODY CREEK DISTILLERS COLORADO STRAIGHT BOURBON WHISKEY</t>
  </si>
  <si>
    <t>26787</t>
  </si>
  <si>
    <t>GREEN FROG DISTILLERY STRAIGHT CORN WHISKEY 100PRF</t>
  </si>
  <si>
    <t>STEEPLE RIDGE BOURBON SINGLE BARREL</t>
  </si>
  <si>
    <t>GREEN FROG DISTILLERY BARRELED AGED CORN WHISKEY</t>
  </si>
  <si>
    <t>STEEPLE RIDGE BOURBON</t>
  </si>
  <si>
    <t>26815</t>
  </si>
  <si>
    <t>GREEN FROG DISTILLERY CARAMEL FLAVORED CORN WHISKEY</t>
  </si>
  <si>
    <t>JACK DANIELS OLD #7 BLACK LABEL FLAT</t>
  </si>
  <si>
    <t>JACK DANIELS OLD #7 BLACK LABEL MINI</t>
  </si>
  <si>
    <t>26822</t>
  </si>
  <si>
    <t>JACK DANIELS OLD #7 BLACK LABEL</t>
  </si>
  <si>
    <t>JACK DANIELS OLD #7 BLACK LABEL SQUARE</t>
  </si>
  <si>
    <t>26826</t>
  </si>
  <si>
    <t>26844</t>
  </si>
  <si>
    <t>BIRD DOG PEACH PET</t>
  </si>
  <si>
    <t>26851</t>
  </si>
  <si>
    <t>TOMS TOWN DOUBLE OAKED BOURBON</t>
  </si>
  <si>
    <t>TOM'S TOWN DISTILLING CO</t>
  </si>
  <si>
    <t>TEMPLETON RYE 4YR</t>
  </si>
  <si>
    <t>RIEGERS KANSAS CITY WHISKEY</t>
  </si>
  <si>
    <t>JACOB RIEGER &amp; COMPANY LLC</t>
  </si>
  <si>
    <t>26885</t>
  </si>
  <si>
    <t>BP JACK DANIELS SINGLE BARREL PERSONAL COLLECTION</t>
  </si>
  <si>
    <t>JACK DANIELS SINGLE BARREL</t>
  </si>
  <si>
    <t>26942</t>
  </si>
  <si>
    <t>ROSSVILLE UNION MASTER CRAFTED RYE WHISKEY</t>
  </si>
  <si>
    <t>26949</t>
  </si>
  <si>
    <t>REDNECK RIVIERA WHISKEY</t>
  </si>
  <si>
    <t>26960</t>
  </si>
  <si>
    <t>BP KNOB CREEK RYE SINGLE BARREL</t>
  </si>
  <si>
    <t>UNCLE NEAREST 1856 AGED WHISKEY</t>
  </si>
  <si>
    <t>WOODINVILLE STRAIGHT BOURBON</t>
  </si>
  <si>
    <t>WOODINVILLE PORT FINISHED BOURBON</t>
  </si>
  <si>
    <t>26975</t>
  </si>
  <si>
    <t>WOODINVILLE STRAIGHT RYE WHISKEY</t>
  </si>
  <si>
    <t>27012</t>
  </si>
  <si>
    <t>FEW SPIRITS RYE WHISKEY</t>
  </si>
  <si>
    <t>CEDAR RIDGE MALTED RYE</t>
  </si>
  <si>
    <t>RITTENHOUSE RYE WHISKEY</t>
  </si>
  <si>
    <t>27022</t>
  </si>
  <si>
    <t>BULLEIT 95 RYE</t>
  </si>
  <si>
    <t>CODY ROAD RYE</t>
  </si>
  <si>
    <t>GEORGE DICKEL RYE</t>
  </si>
  <si>
    <t>HIGH WEST DOUBLE RYE</t>
  </si>
  <si>
    <t>27041</t>
  </si>
  <si>
    <t>HIGH WEST A MIDWINTER NIGHTS DRAM</t>
  </si>
  <si>
    <t>KNOB CREEK RYE</t>
  </si>
  <si>
    <t>27051</t>
  </si>
  <si>
    <t>JAMES E PEPPER 1776 STRAIGHT RYE WHISKEY 100PRF</t>
  </si>
  <si>
    <t>JIM BEAM RYE</t>
  </si>
  <si>
    <t>MICHTERS US*1 KENTUCKY STRAIGHT SINGLE BARREL RYE</t>
  </si>
  <si>
    <t>OLD OVERHOLT RYE</t>
  </si>
  <si>
    <t>REDEMPTION RYE WHISKEY</t>
  </si>
  <si>
    <t>27094</t>
  </si>
  <si>
    <t>HIGH WEST LIMITED SUPPLY RENDEZVOUS RYE</t>
  </si>
  <si>
    <t>27101</t>
  </si>
  <si>
    <t>EH TAYLOR STRAIGHT RYE WHISKEY</t>
  </si>
  <si>
    <t>WILD TURKEY 101 RYE</t>
  </si>
  <si>
    <t>TEMPLETON RYE 6YR</t>
  </si>
  <si>
    <t>WOODFORD RESERVE RYE</t>
  </si>
  <si>
    <t>27138</t>
  </si>
  <si>
    <t>CODY ROAD SINGLE BARREL RYE</t>
  </si>
  <si>
    <t>27145</t>
  </si>
  <si>
    <t>WHISTLEPIG OLD WORLD 12YR</t>
  </si>
  <si>
    <t>SAGAMORE SPIRIT SIGNATURE RYE WHISKEY</t>
  </si>
  <si>
    <t>SAGAMORE WHISKEY, LLC</t>
  </si>
  <si>
    <t>MINOR CASE STRAIGHT RYE</t>
  </si>
  <si>
    <t>27181</t>
  </si>
  <si>
    <t>JACK DANIELS TENNESSEE RYE</t>
  </si>
  <si>
    <t>27188</t>
  </si>
  <si>
    <t>SAGAMORE SPIRIT CASK STRENGTH</t>
  </si>
  <si>
    <t>27189</t>
  </si>
  <si>
    <t>BASIL HAYDEN DARK RYE</t>
  </si>
  <si>
    <t>SAGAMORE SPIRIT DOUBLE OAK</t>
  </si>
  <si>
    <t>27203</t>
  </si>
  <si>
    <t>LIMOUSIN RYE WHISKEY</t>
  </si>
  <si>
    <t>DRIFTLESS GLEN BOURBON</t>
  </si>
  <si>
    <t>DRIFTLESS GLEN DISTILLERY</t>
  </si>
  <si>
    <t>27245</t>
  </si>
  <si>
    <t>LEADSLINGERS BOURBON</t>
  </si>
  <si>
    <t>27367</t>
  </si>
  <si>
    <t>CEDAR RIDGE PRIVATE BARREL BOURBON</t>
  </si>
  <si>
    <t>CEDAR RIDGE PORT CASK FINISHED BOURBON</t>
  </si>
  <si>
    <t>AMERICAN BORN MOONSHINE APPLE PIE</t>
  </si>
  <si>
    <t>ANGELS ENVY RYE</t>
  </si>
  <si>
    <t>JIM BEAM HONEY MINI</t>
  </si>
  <si>
    <t>JIM BEAM HONEY</t>
  </si>
  <si>
    <t>27417</t>
  </si>
  <si>
    <t>BIRD DOG MAPLE</t>
  </si>
  <si>
    <t>BIRD DOG PEACH</t>
  </si>
  <si>
    <t>TIM SMITHS CLIMAX MOONSHINE</t>
  </si>
  <si>
    <t>PROST BEVERAGE COMPANY</t>
  </si>
  <si>
    <t>CINERATOR MINI</t>
  </si>
  <si>
    <t>CINERATOR</t>
  </si>
  <si>
    <t>27461</t>
  </si>
  <si>
    <t>BIG HOUSE BOURBON</t>
  </si>
  <si>
    <t>CEDAR RIDGE WHEAT WHISKEY</t>
  </si>
  <si>
    <t>BIRD DOG BLACKBERRY</t>
  </si>
  <si>
    <t>CODY ROAD BOURBON</t>
  </si>
  <si>
    <t>MICHTERS US*1 AMERICAN WHISKEY</t>
  </si>
  <si>
    <t>HIGH WEST CAMPFIRE</t>
  </si>
  <si>
    <t>RED STAG BLACK CHERRY MINI</t>
  </si>
  <si>
    <t>RED STAG BLACK CHERRY</t>
  </si>
  <si>
    <t>SEAGRAMS 7 CROWN DARK HONEY</t>
  </si>
  <si>
    <t>27560</t>
  </si>
  <si>
    <t>STRANAHANS COLORADO WHISKEY</t>
  </si>
  <si>
    <t>27590</t>
  </si>
  <si>
    <t>SMOOTH AMBLER OLD SCOUT STRAIGHT BOURBON</t>
  </si>
  <si>
    <t>MICHTERS US*1 SOUR MASH WHISKEY</t>
  </si>
  <si>
    <t>KNOB CREEK SMOKED MAPLE</t>
  </si>
  <si>
    <t>27605</t>
  </si>
  <si>
    <t>TIN CUP</t>
  </si>
  <si>
    <t>WHITE DOG MASH #1</t>
  </si>
  <si>
    <t>PRAIRIE FIRE</t>
  </si>
  <si>
    <t>BERNHEIM ORIGINAL WHEAT WHISKEY</t>
  </si>
  <si>
    <t>CODY ROAD SINGLE BARREL</t>
  </si>
  <si>
    <t>27680</t>
  </si>
  <si>
    <t>JIM BEAM KENTUCKY FIRE MINI</t>
  </si>
  <si>
    <t>JIM BEAM KENTUCKY FIRE</t>
  </si>
  <si>
    <t>BIRD DOG APPLE</t>
  </si>
  <si>
    <t>27715</t>
  </si>
  <si>
    <t>BP KOVAL SINGLE BARREL BOURBON WHISKEY</t>
  </si>
  <si>
    <t>27746</t>
  </si>
  <si>
    <t>27751</t>
  </si>
  <si>
    <t>SEAGRAMS 7 CROWN ORCHARD APPLE</t>
  </si>
  <si>
    <t>27757</t>
  </si>
  <si>
    <t>FEW SPIRITS BOURBON WHISKEY</t>
  </si>
  <si>
    <t>27773</t>
  </si>
  <si>
    <t>DR. BLACKBERRY WHISKEY MINI</t>
  </si>
  <si>
    <t>27774</t>
  </si>
  <si>
    <t>DR. BLACKBERRY WHISKEY</t>
  </si>
  <si>
    <t>27777</t>
  </si>
  <si>
    <t>DR. HONEY WHISKEY MINI</t>
  </si>
  <si>
    <t>27778</t>
  </si>
  <si>
    <t>DR. HONEY WHISKEY</t>
  </si>
  <si>
    <t>JIM BEAM APPLE MINI</t>
  </si>
  <si>
    <t>JIM BEAM APPLE</t>
  </si>
  <si>
    <t>27782</t>
  </si>
  <si>
    <t>27793</t>
  </si>
  <si>
    <t>DR. APPLE WHISKEY MINI</t>
  </si>
  <si>
    <t>DR. APPLE WHISKEY</t>
  </si>
  <si>
    <t>27801</t>
  </si>
  <si>
    <t>DR. PEACH WHISKEY MINI</t>
  </si>
  <si>
    <t>27802</t>
  </si>
  <si>
    <t>DR. PEACH WHISKEY</t>
  </si>
  <si>
    <t>IOWA DISTILLING COMPANY STRAIGHT BOURBON WHISKEY</t>
  </si>
  <si>
    <t>27861</t>
  </si>
  <si>
    <t>BALCONES 1 TEXAS SINGLE MALT</t>
  </si>
  <si>
    <t>27882</t>
  </si>
  <si>
    <t>WESTWARD AMERICAN SINGLE MALT WHISKEY</t>
  </si>
  <si>
    <t>BIRD DOG STRAWBERRY</t>
  </si>
  <si>
    <t>27928</t>
  </si>
  <si>
    <t>JOSEPH MAGNUS STRAIGHT BOURBON</t>
  </si>
  <si>
    <t>27999</t>
  </si>
  <si>
    <t>TX BOURBON W/BOTTLE CAP STAVE</t>
  </si>
  <si>
    <t>28004</t>
  </si>
  <si>
    <t>SMOKY HERB WHISKEY</t>
  </si>
  <si>
    <t>BLACKBIRD SPIRITS, LLC / DR. STONERS HERB INFUSED SPIRITS</t>
  </si>
  <si>
    <t>28012</t>
  </si>
  <si>
    <t>10TH MOUNTAIN BOURBON</t>
  </si>
  <si>
    <t>28013</t>
  </si>
  <si>
    <t>10TH MOUNTAIN RYE</t>
  </si>
  <si>
    <t>28026</t>
  </si>
  <si>
    <t>SMOOTH AMBLER CONTRADICTION BOURBON</t>
  </si>
  <si>
    <t>BROWN SUGAR BOURBON</t>
  </si>
  <si>
    <t>28033</t>
  </si>
  <si>
    <t>BROWN SUGAR BOURBON 103</t>
  </si>
  <si>
    <t>JIM BEAM VANILLA MINI</t>
  </si>
  <si>
    <t>JIM BEAM VANILLA</t>
  </si>
  <si>
    <t>PRAIRIE FIRE MINI</t>
  </si>
  <si>
    <t>BEEFEATER GIN</t>
  </si>
  <si>
    <t>1042100</t>
  </si>
  <si>
    <t>IMPORTED DRY GINS</t>
  </si>
  <si>
    <t>CODY ROAD HONEY</t>
  </si>
  <si>
    <t>CODY ROAD MAPLE</t>
  </si>
  <si>
    <t>28134</t>
  </si>
  <si>
    <t>ND ESSENCE OF IOWA WHISKEY</t>
  </si>
  <si>
    <t>28137</t>
  </si>
  <si>
    <t>WIDOW JANE 10YR BOURBON WHISKEY</t>
  </si>
  <si>
    <t>BOMBAY DRY GIN</t>
  </si>
  <si>
    <t>28210</t>
  </si>
  <si>
    <t>BOMBAY SAPPHIRE EAST</t>
  </si>
  <si>
    <t>BOMBAY SAPPHIRE GIN</t>
  </si>
  <si>
    <t>BOODLES BRITISH GIN LONDON DRY</t>
  </si>
  <si>
    <t>JIM BEAM PEACH MINI</t>
  </si>
  <si>
    <t>JIM BEAM PEACH</t>
  </si>
  <si>
    <t>CODY ROAD BOURBON CF STAFF BARREL</t>
  </si>
  <si>
    <t>28321</t>
  </si>
  <si>
    <t>YELLOWSTONE AMERICAN SINGLE MALT</t>
  </si>
  <si>
    <t>28333</t>
  </si>
  <si>
    <t>BOMBAY SAPPHIRE PREMIER CRU</t>
  </si>
  <si>
    <t>2834</t>
  </si>
  <si>
    <t>KAHLUA W/COFFEE MUG</t>
  </si>
  <si>
    <t>BROKERS GIN</t>
  </si>
  <si>
    <t>28359</t>
  </si>
  <si>
    <t>THE QUINTESSENTIAL SPECIAL RELEASE - WINE CLUB FIRST MEETING</t>
  </si>
  <si>
    <t>DRUMSHANBO GUNPOWDER GIN</t>
  </si>
  <si>
    <t>EMPRESS 1908 GIN</t>
  </si>
  <si>
    <t>1041200</t>
  </si>
  <si>
    <t>FLAVORED GIN</t>
  </si>
  <si>
    <t>28481</t>
  </si>
  <si>
    <t>ENGINE ORGANIC GIN</t>
  </si>
  <si>
    <t>28485</t>
  </si>
  <si>
    <t>FORDS GIN</t>
  </si>
  <si>
    <t>28515</t>
  </si>
  <si>
    <t>DRUMSHANBO GUNPOWDER IRISH GIN DRAGON CERAMIC</t>
  </si>
  <si>
    <t>28526</t>
  </si>
  <si>
    <t>GIN MARE</t>
  </si>
  <si>
    <t>GRACIAS A DIOS OAXACA GIN</t>
  </si>
  <si>
    <t>GLENDALOUGH ROSE GIN</t>
  </si>
  <si>
    <t>GLENDALOUGH WILD BOTANICAL GIN</t>
  </si>
  <si>
    <t>28607</t>
  </si>
  <si>
    <t>MCQUEEN AND THE VIOLET FOG ULTRAVIOLET</t>
  </si>
  <si>
    <t>1041100</t>
  </si>
  <si>
    <t>AMERICAN DRY GINS</t>
  </si>
  <si>
    <t>28614</t>
  </si>
  <si>
    <t>MONKEY 47 GIN</t>
  </si>
  <si>
    <t>HENDRICKS GIN</t>
  </si>
  <si>
    <t>28628</t>
  </si>
  <si>
    <t>28650</t>
  </si>
  <si>
    <t>MALFY GIN CON LIMONE</t>
  </si>
  <si>
    <t>28653</t>
  </si>
  <si>
    <t>MALFY GIN ORIGINALE</t>
  </si>
  <si>
    <t>28675</t>
  </si>
  <si>
    <t>MCQUEEN AND THE VIOLET FOG</t>
  </si>
  <si>
    <t>28691</t>
  </si>
  <si>
    <t>MASAHIRO OKINAWA GIN RECIPE 1</t>
  </si>
  <si>
    <t>NOLETS SILVER GIN</t>
  </si>
  <si>
    <t>28718</t>
  </si>
  <si>
    <t>PINNACLE GIN</t>
  </si>
  <si>
    <t>28754</t>
  </si>
  <si>
    <t>135 EAST HYOGO JAPANESE DRY GIN</t>
  </si>
  <si>
    <t>ROKU GIN</t>
  </si>
  <si>
    <t>28780</t>
  </si>
  <si>
    <t>RIGHT GIN</t>
  </si>
  <si>
    <t>PLYMOUTH GIN</t>
  </si>
  <si>
    <t>SILKS IRISH DRY GIN</t>
  </si>
  <si>
    <t>TANQUERAY SEVILLA ORANGE</t>
  </si>
  <si>
    <t>TANQUERAY GIN</t>
  </si>
  <si>
    <t>TANQUERAY NO TEN</t>
  </si>
  <si>
    <t>TANQUERAY RANGPUR GIN</t>
  </si>
  <si>
    <t>BOMBAY BRAMBLE</t>
  </si>
  <si>
    <t>THE BOTANIST ISLAY DRY GIN</t>
  </si>
  <si>
    <t>REMY COINTREAU USA INC</t>
  </si>
  <si>
    <t>2891</t>
  </si>
  <si>
    <t>AMARULA CREAM LIQUEUR W/2 GLASSES</t>
  </si>
  <si>
    <t>PATERNO IMPORTS LTD / TERLATO WINES INTERNATIONAL</t>
  </si>
  <si>
    <t>AVIATION AMERICAN GIN</t>
  </si>
  <si>
    <t>29118</t>
  </si>
  <si>
    <t>BARTON GIN</t>
  </si>
  <si>
    <t>29398</t>
  </si>
  <si>
    <t>BUILDERS BOTANICAL GIN</t>
  </si>
  <si>
    <t>29410</t>
  </si>
  <si>
    <t>BLUECOAT AMERICAN DRY GIN</t>
  </si>
  <si>
    <t>29421</t>
  </si>
  <si>
    <t>BLUE OX GIN</t>
  </si>
  <si>
    <t>29423</t>
  </si>
  <si>
    <t>BOOTHS FINEST OLD GIN</t>
  </si>
  <si>
    <t>BOWLING &amp; BURCH GIN</t>
  </si>
  <si>
    <t>BURNETTS GIN LONDON DRY</t>
  </si>
  <si>
    <t>CALIBER GIN</t>
  </si>
  <si>
    <t>29728</t>
  </si>
  <si>
    <t>CALVERT GIN</t>
  </si>
  <si>
    <t>29782</t>
  </si>
  <si>
    <t>RANCH ROAD GIN</t>
  </si>
  <si>
    <t>29812</t>
  </si>
  <si>
    <t>CLEARHEART GIN</t>
  </si>
  <si>
    <t>DEATHS DOOR GIN</t>
  </si>
  <si>
    <t>29993</t>
  </si>
  <si>
    <t>FIVE O'CLOCK GIN</t>
  </si>
  <si>
    <t>29997</t>
  </si>
  <si>
    <t>FIVE O'CLOCK GIN PET</t>
  </si>
  <si>
    <t>FLEISCHMANNS GIN</t>
  </si>
  <si>
    <t>GILBEYS GIN</t>
  </si>
  <si>
    <t>30305</t>
  </si>
  <si>
    <t>GOTCHA GIN</t>
  </si>
  <si>
    <t>GORDONS GIN LONDON DRY</t>
  </si>
  <si>
    <t>GORDONS GIN LONDON DRY PET</t>
  </si>
  <si>
    <t>GRAY WHALE GIN</t>
  </si>
  <si>
    <t>HAWKEYE GIN</t>
  </si>
  <si>
    <t>30668</t>
  </si>
  <si>
    <t>RIEGERS MIDWESTERN DRY GIN</t>
  </si>
  <si>
    <t>31034</t>
  </si>
  <si>
    <t>OREGON SPIRIT DRY GIN</t>
  </si>
  <si>
    <t>MCCORMICK GIN PET</t>
  </si>
  <si>
    <t>31296</t>
  </si>
  <si>
    <t>MILES LONDON DRY GIN</t>
  </si>
  <si>
    <t>NEW AMSTERDAM GIN</t>
  </si>
  <si>
    <t>NEW AMSTERDAM STRATUSPHERE LONDON DRY GIN</t>
  </si>
  <si>
    <t>31507</t>
  </si>
  <si>
    <t>MR BOSTON ENGLISH MARKET GIN</t>
  </si>
  <si>
    <t>MR PICKLES GIN</t>
  </si>
  <si>
    <t>173 CRAFT DISTILLERY PREMIUM GIN</t>
  </si>
  <si>
    <t>173 CRAFT DISTILLERY</t>
  </si>
  <si>
    <t>PARAMOUNT GIN</t>
  </si>
  <si>
    <t>31718</t>
  </si>
  <si>
    <t>PHILLIPS GIN</t>
  </si>
  <si>
    <t>31719</t>
  </si>
  <si>
    <t>31862</t>
  </si>
  <si>
    <t>PRAIRIE ORGANIC GIN</t>
  </si>
  <si>
    <t>31970</t>
  </si>
  <si>
    <t>RABBIT HOLE BESPOKE GIN</t>
  </si>
  <si>
    <t>31979</t>
  </si>
  <si>
    <t>REVELTON BARREL RESTED GIN</t>
  </si>
  <si>
    <t>31984</t>
  </si>
  <si>
    <t>REVELTON AMERICAN GIN MINI</t>
  </si>
  <si>
    <t>REVELTON AMERICAN GIN</t>
  </si>
  <si>
    <t>31990</t>
  </si>
  <si>
    <t>RIVER ROSE GIN</t>
  </si>
  <si>
    <t>32004</t>
  </si>
  <si>
    <t>NEW RIFF BOURBON BARRELED GIN</t>
  </si>
  <si>
    <t>SEAGRAMS EXTRA DRY GIN MINI</t>
  </si>
  <si>
    <t>SEAGRAMS EXTRA DRY GIN</t>
  </si>
  <si>
    <t>SEAGRAMS EXTRA DRY GIN PET</t>
  </si>
  <si>
    <t>SHADEHOUSE GIN</t>
  </si>
  <si>
    <t>32314</t>
  </si>
  <si>
    <t>STILL G.I.N.</t>
  </si>
  <si>
    <t>3233</t>
  </si>
  <si>
    <t>AMARO MONTENEGRO W/GLASS</t>
  </si>
  <si>
    <t>SOSUS GIN</t>
  </si>
  <si>
    <t>32369</t>
  </si>
  <si>
    <t>SVEDKA MODERN STYLE GIN</t>
  </si>
  <si>
    <t>32426</t>
  </si>
  <si>
    <t>TATTERSALL GIN</t>
  </si>
  <si>
    <t>32460</t>
  </si>
  <si>
    <t>TINKERMANS BRIGHT COMPLEX</t>
  </si>
  <si>
    <t>TINKERMANS CITRUS SUSPREME GIN</t>
  </si>
  <si>
    <t>32464</t>
  </si>
  <si>
    <t>TINKERMANS SWEET SPICE GIN</t>
  </si>
  <si>
    <t>32470</t>
  </si>
  <si>
    <t>TOMS TOWN BOTANICAL GIN</t>
  </si>
  <si>
    <t>32650</t>
  </si>
  <si>
    <t>UNCLE VALS BOTANICAL GIN</t>
  </si>
  <si>
    <t>3 BADGE CORPORATION</t>
  </si>
  <si>
    <t>33110</t>
  </si>
  <si>
    <t>INDOGGO STRAWBERRY GIN</t>
  </si>
  <si>
    <t>REVELTON MULBERRY GIN</t>
  </si>
  <si>
    <t>33181</t>
  </si>
  <si>
    <t>REVELTON MULBERRY GIN MINI</t>
  </si>
  <si>
    <t>33182</t>
  </si>
  <si>
    <t>SEAGRAMS LIME TWISTED GIN</t>
  </si>
  <si>
    <t>WILD ROOTS CUCUMBER &amp; GRAPEFRUIT GIN</t>
  </si>
  <si>
    <t>33312</t>
  </si>
  <si>
    <t>SVEDKA MODERN STYLE STRAWBERRY PINEAPPLE FLAVORED GIN</t>
  </si>
  <si>
    <t>33419</t>
  </si>
  <si>
    <t>BELVEDERE PURE</t>
  </si>
  <si>
    <t>33423</t>
  </si>
  <si>
    <t>33427</t>
  </si>
  <si>
    <t>SOBIESKI GRAPEFRUIT VODKA</t>
  </si>
  <si>
    <t>1032200</t>
  </si>
  <si>
    <t>IMPORTED FLAVORED VODKA</t>
  </si>
  <si>
    <t>33430</t>
  </si>
  <si>
    <t>ABSOLUT WILD BERRI MINI</t>
  </si>
  <si>
    <t>ABSOLUT WILD BERRY</t>
  </si>
  <si>
    <t>ABSOLUT LIME MINI</t>
  </si>
  <si>
    <t>ABSOLUT LIME</t>
  </si>
  <si>
    <t>33561</t>
  </si>
  <si>
    <t>ABSOLUT COLORS</t>
  </si>
  <si>
    <t>33567</t>
  </si>
  <si>
    <t>SVEDKA PEACH</t>
  </si>
  <si>
    <t>33569</t>
  </si>
  <si>
    <t>SVEDKA MANGO PINEAPPLE MINI</t>
  </si>
  <si>
    <t>SVEDKA MANGO PINEAPPLE</t>
  </si>
  <si>
    <t>33660</t>
  </si>
  <si>
    <t>33661</t>
  </si>
  <si>
    <t>SVEDKA STRAWBERRY LEMONADE MINI</t>
  </si>
  <si>
    <t>SVEDKA STRAWBERRY LEMONADE</t>
  </si>
  <si>
    <t>33665</t>
  </si>
  <si>
    <t>33696</t>
  </si>
  <si>
    <t>MR BOSTON SLOE AND GIN</t>
  </si>
  <si>
    <t>1041300</t>
  </si>
  <si>
    <t>AMERICAN SLOE GINS</t>
  </si>
  <si>
    <t>PARAMOUNT SLOE GIN</t>
  </si>
  <si>
    <t>33757</t>
  </si>
  <si>
    <t>ABSOLUT ELYX</t>
  </si>
  <si>
    <t>33814</t>
  </si>
  <si>
    <t>WHITE CLAW BLACK CHERRY VODKA - USE CODE 38814</t>
  </si>
  <si>
    <t>PEARL CUCUMBER</t>
  </si>
  <si>
    <t>ABSOLUT SWEDISH VODKA 80PRF MINI</t>
  </si>
  <si>
    <t>ABSOLUT SWEDISH VODKA 80PRF</t>
  </si>
  <si>
    <t>ABSOLUT APEACH</t>
  </si>
  <si>
    <t>34015</t>
  </si>
  <si>
    <t>ABSOLUT PEPPAR</t>
  </si>
  <si>
    <t>ABSOLUT CITRON</t>
  </si>
  <si>
    <t>34032</t>
  </si>
  <si>
    <t>ABSOLUT PEARS</t>
  </si>
  <si>
    <t>ABSOLUT RASPBERRI</t>
  </si>
  <si>
    <t>ABSOLUT VANILIA</t>
  </si>
  <si>
    <t>ABSOLUT MANDRIN</t>
  </si>
  <si>
    <t>CRYSTAL HEAD VODKA</t>
  </si>
  <si>
    <t>34155</t>
  </si>
  <si>
    <t>34162</t>
  </si>
  <si>
    <t>CIROC 80PRF</t>
  </si>
  <si>
    <t>EFFEN 80PRF</t>
  </si>
  <si>
    <t>34189</t>
  </si>
  <si>
    <t>EFFEN BLACK CHERRY</t>
  </si>
  <si>
    <t>CHOPIN VODKA</t>
  </si>
  <si>
    <t>34255</t>
  </si>
  <si>
    <t>EFFEN RASPBERRY</t>
  </si>
  <si>
    <t>34267</t>
  </si>
  <si>
    <t>GREY GOOSE LE CITRON</t>
  </si>
  <si>
    <t>GREY GOOSE</t>
  </si>
  <si>
    <t>34364</t>
  </si>
  <si>
    <t>FRIS DANISH VODKA</t>
  </si>
  <si>
    <t>EFFEN CUCUMBER</t>
  </si>
  <si>
    <t>34436</t>
  </si>
  <si>
    <t>GREY GOOSE L'ORANGE</t>
  </si>
  <si>
    <t>KETEL ONE CITROEN</t>
  </si>
  <si>
    <t>KETEL ONE</t>
  </si>
  <si>
    <t>SOBIESKI VODKA PET</t>
  </si>
  <si>
    <t>PEARL PET</t>
  </si>
  <si>
    <t>PINNACLE</t>
  </si>
  <si>
    <t>LUKSUSOWA VODKA</t>
  </si>
  <si>
    <t>34605</t>
  </si>
  <si>
    <t>GREY GOOSE LA POIRE</t>
  </si>
  <si>
    <t>SOBIESKI</t>
  </si>
  <si>
    <t>PEARL POMEGRANATE</t>
  </si>
  <si>
    <t>34729</t>
  </si>
  <si>
    <t>STOLICHNAYA ELIT</t>
  </si>
  <si>
    <t>STOLICHNAYA OHRANJ</t>
  </si>
  <si>
    <t>STOLICHNAYA 80PRF</t>
  </si>
  <si>
    <t>REYKA VODKA</t>
  </si>
  <si>
    <t>STOLICHNAYA BLUEBERI</t>
  </si>
  <si>
    <t>SVEDKA 80PRF</t>
  </si>
  <si>
    <t>34839</t>
  </si>
  <si>
    <t>SVEDKA CITRON</t>
  </si>
  <si>
    <t>TANQUERAY STERLING VODKA</t>
  </si>
  <si>
    <t>34870</t>
  </si>
  <si>
    <t>STOLICHNAYA RAZBERI</t>
  </si>
  <si>
    <t>STOLI STRASBERI</t>
  </si>
  <si>
    <t>34881</t>
  </si>
  <si>
    <t>STOLICHNAYA VANIL</t>
  </si>
  <si>
    <t>34919</t>
  </si>
  <si>
    <t>THREE OLIVES 80PRF</t>
  </si>
  <si>
    <t>34958</t>
  </si>
  <si>
    <t>THREE OLIVES VANILLA VODKA</t>
  </si>
  <si>
    <t>THREE OLIVES CHERRY</t>
  </si>
  <si>
    <t>THREE OLIVES GRAPE</t>
  </si>
  <si>
    <t>35022</t>
  </si>
  <si>
    <t>VAN GOGH DOUBLE ESPRESSO VODKA</t>
  </si>
  <si>
    <t>35179</t>
  </si>
  <si>
    <t>PEARL BLUEBERRY</t>
  </si>
  <si>
    <t>35213</t>
  </si>
  <si>
    <t>35244</t>
  </si>
  <si>
    <t>SVEDKA CLEMENTINE</t>
  </si>
  <si>
    <t>BARTON VODKA</t>
  </si>
  <si>
    <t>BARTON VODKA PET</t>
  </si>
  <si>
    <t>ABSOLUT MANGO</t>
  </si>
  <si>
    <t>BLUE ICE AMERICAN POTATO VODKA</t>
  </si>
  <si>
    <t>21ST CENTURY SPIRITS LLC</t>
  </si>
  <si>
    <t>35358</t>
  </si>
  <si>
    <t>35410</t>
  </si>
  <si>
    <t>BURNETTS VODKA TRAVELER</t>
  </si>
  <si>
    <t>BURNETTS VODKA 80PRF</t>
  </si>
  <si>
    <t>35418</t>
  </si>
  <si>
    <t>SVEDKA 80PRF PET</t>
  </si>
  <si>
    <t>35464</t>
  </si>
  <si>
    <t>SOBIESKI VANILLA VODKA</t>
  </si>
  <si>
    <t>BAKON</t>
  </si>
  <si>
    <t>BLACK ROCK SPIRITS</t>
  </si>
  <si>
    <t>PINNACLE WHIPPED</t>
  </si>
  <si>
    <t>35662</t>
  </si>
  <si>
    <t>ZUBROWKA BISON GRASS VODKA</t>
  </si>
  <si>
    <t>35676</t>
  </si>
  <si>
    <t>SOBIESKI RASPBERRY VODKA</t>
  </si>
  <si>
    <t>BARTON VODKA MINI</t>
  </si>
  <si>
    <t>FIVE O'CLOCK VODKA</t>
  </si>
  <si>
    <t>FIVE O'CLOCK VODKA PET</t>
  </si>
  <si>
    <t>FLEISCHMANNS 80PRF VODKA</t>
  </si>
  <si>
    <t>THREE OLIVES LOOPY</t>
  </si>
  <si>
    <t>PEARL PEACH</t>
  </si>
  <si>
    <t>DEEP EDDY 80PRF</t>
  </si>
  <si>
    <t>36186</t>
  </si>
  <si>
    <t>GORDONS 80PRF VODKA</t>
  </si>
  <si>
    <t>GORDONS 80PRF VODKA PET</t>
  </si>
  <si>
    <t>36207</t>
  </si>
  <si>
    <t>44 NORTH POTATO VODKA</t>
  </si>
  <si>
    <t>HOOD RIVER DISTILLERS</t>
  </si>
  <si>
    <t>HAWKEYE VODKA MINI</t>
  </si>
  <si>
    <t>HAWKEYE VODKA</t>
  </si>
  <si>
    <t>HAWKEYE VODKA PET</t>
  </si>
  <si>
    <t>THREE OLIVES BLUEBERRY VODKA</t>
  </si>
  <si>
    <t>36390</t>
  </si>
  <si>
    <t>CRYSTAL HEAD AURORA VODKA</t>
  </si>
  <si>
    <t>36435</t>
  </si>
  <si>
    <t>SVEDKA CUCUMBER LIME</t>
  </si>
  <si>
    <t>36447</t>
  </si>
  <si>
    <t>INGENIOZ</t>
  </si>
  <si>
    <t>OZ SPIRITS LLC</t>
  </si>
  <si>
    <t>36468</t>
  </si>
  <si>
    <t>EFFEN BLOOD ORANGE</t>
  </si>
  <si>
    <t>FIGENZA MEDITERRANEAN FIG VODKA</t>
  </si>
  <si>
    <t>CARRIAGE HOUSE IMPORTS</t>
  </si>
  <si>
    <t>36558</t>
  </si>
  <si>
    <t>KARKOV VODKA</t>
  </si>
  <si>
    <t>36574</t>
  </si>
  <si>
    <t>SVEDKA BLUE RASPBERRY VODKA MINI</t>
  </si>
  <si>
    <t>SVEDKA BLUE RASPBERRY</t>
  </si>
  <si>
    <t>DEEP EDDY ORANGE</t>
  </si>
  <si>
    <t>NEW AMSTERDAM RASPBERRY</t>
  </si>
  <si>
    <t>CALIBER VODKA</t>
  </si>
  <si>
    <t>KORSKI VODKA</t>
  </si>
  <si>
    <t>36694</t>
  </si>
  <si>
    <t>BELVEDERE BARTEZEK</t>
  </si>
  <si>
    <t>36697</t>
  </si>
  <si>
    <t>BELVEDERE SMOGORY</t>
  </si>
  <si>
    <t>KOSKENKORVA VODKA</t>
  </si>
  <si>
    <t>36769</t>
  </si>
  <si>
    <t>ABSOLUT GRAPEFRUIT</t>
  </si>
  <si>
    <t>STOLICHNAYA CUCUMBER</t>
  </si>
  <si>
    <t>BLUE OX VODKA MINI</t>
  </si>
  <si>
    <t>BLUE OX VODKA</t>
  </si>
  <si>
    <t>36878</t>
  </si>
  <si>
    <t>FOUNDRY VODKA</t>
  </si>
  <si>
    <t>RIEGERS PREMIUM WHEAT VODKA</t>
  </si>
  <si>
    <t>MCCORMICK 80PRF VODKA</t>
  </si>
  <si>
    <t>BARTON NATURALS VODKA</t>
  </si>
  <si>
    <t>MCCORMICK 80PRF VODKA MINI</t>
  </si>
  <si>
    <t>MCCORMICK 80PRF VODKA PET</t>
  </si>
  <si>
    <t>36924</t>
  </si>
  <si>
    <t>HAKU VODKA</t>
  </si>
  <si>
    <t>36928</t>
  </si>
  <si>
    <t>CONCIERE VODKA</t>
  </si>
  <si>
    <t>GREY GOOSE MINI</t>
  </si>
  <si>
    <t>NEW AMSTERDAM 80PRF MINI</t>
  </si>
  <si>
    <t>NEW AMSTERDAM 80PRF</t>
  </si>
  <si>
    <t>NIKOLAI VODKA</t>
  </si>
  <si>
    <t>36986</t>
  </si>
  <si>
    <t>E.T. 51 PREMIUM VODKA</t>
  </si>
  <si>
    <t>BLUE OX VODKA PET</t>
  </si>
  <si>
    <t>NORTH FORTY VODKA</t>
  </si>
  <si>
    <t>OCEAN ORGANIC VODKA</t>
  </si>
  <si>
    <t>HAWAII SEA SPIRITS LLC</t>
  </si>
  <si>
    <t>37044</t>
  </si>
  <si>
    <t>STOLI LIME</t>
  </si>
  <si>
    <t>BROKEN SHED VODKA</t>
  </si>
  <si>
    <t>MR BOSTON VODKA</t>
  </si>
  <si>
    <t>37080</t>
  </si>
  <si>
    <t>DIXIE VODKA</t>
  </si>
  <si>
    <t>BUTCHERS BLOCK VODKA</t>
  </si>
  <si>
    <t>37103</t>
  </si>
  <si>
    <t>OKOBOJI VODKA</t>
  </si>
  <si>
    <t>37125</t>
  </si>
  <si>
    <t>BAGGER VODKA</t>
  </si>
  <si>
    <t>37131</t>
  </si>
  <si>
    <t>CENTURY FARMS OPEN GATE VODKA</t>
  </si>
  <si>
    <t>37144</t>
  </si>
  <si>
    <t>CRYSTAL HEAD VODKA BONE BOTTLE</t>
  </si>
  <si>
    <t>37167</t>
  </si>
  <si>
    <t>BEDLAM VODKA</t>
  </si>
  <si>
    <t>GRAYBEARD DISTILLERY INC</t>
  </si>
  <si>
    <t>37189</t>
  </si>
  <si>
    <t>OKOBOJI VODKA MINI</t>
  </si>
  <si>
    <t>37217</t>
  </si>
  <si>
    <t>PARAMOUNT VODKA</t>
  </si>
  <si>
    <t>CRYSTAL HEAD ONYX VODKA</t>
  </si>
  <si>
    <t>NEW AMSTERDAM PET</t>
  </si>
  <si>
    <t>37240</t>
  </si>
  <si>
    <t>CRYSTAL HEAD VODKA PRIDE BOTTLE</t>
  </si>
  <si>
    <t>37248</t>
  </si>
  <si>
    <t>GOTCHA VODKA</t>
  </si>
  <si>
    <t>37275</t>
  </si>
  <si>
    <t>SVEDKA CHERRY LIMEADE VODKA</t>
  </si>
  <si>
    <t>37304</t>
  </si>
  <si>
    <t>UV VODKA</t>
  </si>
  <si>
    <t>UV VODKA PET</t>
  </si>
  <si>
    <t>PHILLIPS VODKA</t>
  </si>
  <si>
    <t>37369</t>
  </si>
  <si>
    <t>BIG MACHINE VODKA</t>
  </si>
  <si>
    <t>ABSOLUT WATERMELON</t>
  </si>
  <si>
    <t>37414</t>
  </si>
  <si>
    <t>POPOV 80PRF</t>
  </si>
  <si>
    <t>37417</t>
  </si>
  <si>
    <t>POPOV 80PRF PET</t>
  </si>
  <si>
    <t>MULLETS</t>
  </si>
  <si>
    <t>37483</t>
  </si>
  <si>
    <t>NEW AMSTERDAM MINI SHRINK WRAP</t>
  </si>
  <si>
    <t>37496</t>
  </si>
  <si>
    <t>37497</t>
  </si>
  <si>
    <t>BARTON NATURALS VODKA MINI</t>
  </si>
  <si>
    <t>FRIS DANISH VODKA MINI</t>
  </si>
  <si>
    <t>37502</t>
  </si>
  <si>
    <t>AMERICAN HARVEST ORGANIC RED VODKA</t>
  </si>
  <si>
    <t>37512</t>
  </si>
  <si>
    <t>COLD ZERO VODKA</t>
  </si>
  <si>
    <t>37513</t>
  </si>
  <si>
    <t>GOTCHA VODKA MINI</t>
  </si>
  <si>
    <t>37518</t>
  </si>
  <si>
    <t>DRUMSHANBO SAUSAGE TREE PURE IRISH VODKA</t>
  </si>
  <si>
    <t>37522</t>
  </si>
  <si>
    <t>LAWSON VODKA</t>
  </si>
  <si>
    <t>PRAIRIE ORGANIC VODKA</t>
  </si>
  <si>
    <t>37540</t>
  </si>
  <si>
    <t>LORD PREMIUM VODKA</t>
  </si>
  <si>
    <t>CEO DISTILLING LLC</t>
  </si>
  <si>
    <t>SARGES SPIRITS VODKA</t>
  </si>
  <si>
    <t>SARGE'S SPIRITS LLC</t>
  </si>
  <si>
    <t>37577</t>
  </si>
  <si>
    <t>CENTURY FARMS CAPTAINS VODKA</t>
  </si>
  <si>
    <t>37578</t>
  </si>
  <si>
    <t>HAVE SEXTRO VODKA</t>
  </si>
  <si>
    <t>BAD BEAR ENTERPRISES LLC / LEGENDARY RYE</t>
  </si>
  <si>
    <t>BLUE OX VODKA ANNIVERSARY EDITION</t>
  </si>
  <si>
    <t>37630</t>
  </si>
  <si>
    <t>REVELTON VODKA</t>
  </si>
  <si>
    <t>RIVER PILOT VODKA</t>
  </si>
  <si>
    <t>ROCK''N VODKA</t>
  </si>
  <si>
    <t>RUSH CREEK DISTILLING, LLC</t>
  </si>
  <si>
    <t>ROW VODKA</t>
  </si>
  <si>
    <t>37664</t>
  </si>
  <si>
    <t>ROW VODKA MINI</t>
  </si>
  <si>
    <t>37690</t>
  </si>
  <si>
    <t>CM KNEE HIGH DISTILLING VODKA</t>
  </si>
  <si>
    <t>KNEE-HIGH DISTILLING CO. LLC</t>
  </si>
  <si>
    <t>37692</t>
  </si>
  <si>
    <t>CM B100 PROOF VODKA</t>
  </si>
  <si>
    <t>37693</t>
  </si>
  <si>
    <t>KHOR VODKA</t>
  </si>
  <si>
    <t>GLOBAL SPIRITS USA, LLC</t>
  </si>
  <si>
    <t>37698</t>
  </si>
  <si>
    <t>ASPEN VODKA</t>
  </si>
  <si>
    <t>MEILI VODKA</t>
  </si>
  <si>
    <t>37715</t>
  </si>
  <si>
    <t>37734</t>
  </si>
  <si>
    <t>LUX VODKA</t>
  </si>
  <si>
    <t>37735</t>
  </si>
  <si>
    <t>37737</t>
  </si>
  <si>
    <t>JR (JUDGE RICHARD) SMALL BATCH AMERICAN VODKA</t>
  </si>
  <si>
    <t>37780</t>
  </si>
  <si>
    <t>DRAGON FANDANGO VODKA  PINEAPPLE AND PAPAYA</t>
  </si>
  <si>
    <t>DRAGON FANDANGO VODKA  BERRY</t>
  </si>
  <si>
    <t>DRAGON FANDANGO VODKA  MANGO AND PASSION FRUIT</t>
  </si>
  <si>
    <t>CM KNEE-HIGH DISTILLING CO MARSHMALLOW VODKA</t>
  </si>
  <si>
    <t>37785</t>
  </si>
  <si>
    <t>CM KNEE-HIGH DISTILLING CO LEVY APPLE PIE VODKA</t>
  </si>
  <si>
    <t>37787</t>
  </si>
  <si>
    <t>CM KNEE-HIGH DISTILLING CO PEACH FLAVORED VODKA</t>
  </si>
  <si>
    <t>37791</t>
  </si>
  <si>
    <t>REVELTON HONEY VODKA MINI</t>
  </si>
  <si>
    <t>37815</t>
  </si>
  <si>
    <t>NEW AMSTERDAM HEAT CHECK</t>
  </si>
  <si>
    <t>37856</t>
  </si>
  <si>
    <t>UV MANGO GLOW MINI</t>
  </si>
  <si>
    <t>37857</t>
  </si>
  <si>
    <t>UV MANGO GLOW</t>
  </si>
  <si>
    <t>37865</t>
  </si>
  <si>
    <t>REVELTON VODKA MINI</t>
  </si>
  <si>
    <t>173 CRAFT DISTILLERY PREMIUM VODKA</t>
  </si>
  <si>
    <t>FROST TRAIL VODKA</t>
  </si>
  <si>
    <t>CENTURY FARMS VODKA</t>
  </si>
  <si>
    <t>SEAGRAMS EXTRA SMOOTH VODKA</t>
  </si>
  <si>
    <t>SEAGRAMS EXTRA SMOOTH VODKA MINI</t>
  </si>
  <si>
    <t>AMERICAN PREMIUM VODKA</t>
  </si>
  <si>
    <t>AMERICAN PREMIUM VODKA, LLC</t>
  </si>
  <si>
    <t>37905</t>
  </si>
  <si>
    <t>HOUSE VODKA</t>
  </si>
  <si>
    <t>SKOL VODKA</t>
  </si>
  <si>
    <t>SKOL VODKA PET</t>
  </si>
  <si>
    <t>37941</t>
  </si>
  <si>
    <t>GREY GOOSE ORIGINAL MINI</t>
  </si>
  <si>
    <t>IOWA STATE 1858 VODKA</t>
  </si>
  <si>
    <t>37953</t>
  </si>
  <si>
    <t>HDW CENTURY VODKA</t>
  </si>
  <si>
    <t>37959</t>
  </si>
  <si>
    <t>SWARM VODKA</t>
  </si>
  <si>
    <t>37968</t>
  </si>
  <si>
    <t>SOLDIER VALLEY LEE GREENWOOD VODKA</t>
  </si>
  <si>
    <t>37982</t>
  </si>
  <si>
    <t>SKYY VODKA MINI</t>
  </si>
  <si>
    <t>SKYY VODKA</t>
  </si>
  <si>
    <t>SMIRNOFF 80PRF MINI</t>
  </si>
  <si>
    <t>SMIRNOFF 80PRF</t>
  </si>
  <si>
    <t>37998</t>
  </si>
  <si>
    <t>SMIRNOFF 80PRF PET</t>
  </si>
  <si>
    <t>38046</t>
  </si>
  <si>
    <t>SWELL ZONE VODKA</t>
  </si>
  <si>
    <t>SWELL VODKA</t>
  </si>
  <si>
    <t>SWELL LIQUOR LLC</t>
  </si>
  <si>
    <t>38071</t>
  </si>
  <si>
    <t>STATE VODKA MINI</t>
  </si>
  <si>
    <t>MIDWEST LIQUOR COMPANY</t>
  </si>
  <si>
    <t>STATE VODKA</t>
  </si>
  <si>
    <t>38074</t>
  </si>
  <si>
    <t>PLATINUM 7X VODKA PET</t>
  </si>
  <si>
    <t>PLATINUM 7X VODKA</t>
  </si>
  <si>
    <t>38089</t>
  </si>
  <si>
    <t>38091</t>
  </si>
  <si>
    <t>PLATINUM 10X VODKA</t>
  </si>
  <si>
    <t>PLATINUM 7X VODKA MINI</t>
  </si>
  <si>
    <t>38106</t>
  </si>
  <si>
    <t>10TH MOUNTAIN VODKA</t>
  </si>
  <si>
    <t>TATTERSALL TIGHTLINE ORGANIC VODKA</t>
  </si>
  <si>
    <t>38135</t>
  </si>
  <si>
    <t>360 VODKA</t>
  </si>
  <si>
    <t>TITOS HANDMADE VODKA</t>
  </si>
  <si>
    <t>FIFTH GENERATION INC</t>
  </si>
  <si>
    <t>TITOS HANDMADE VODKA MINI 4 PACK</t>
  </si>
  <si>
    <t>TITOS HANDMADE VODKA MINI</t>
  </si>
  <si>
    <t>38209</t>
  </si>
  <si>
    <t>TOMS TOWN DOUBLE GRAIN VODKA</t>
  </si>
  <si>
    <t>TRUST ME VODKA GLUTEN FREE</t>
  </si>
  <si>
    <t>TRUST ME VODKA, INC.</t>
  </si>
  <si>
    <t>38225</t>
  </si>
  <si>
    <t>TRUST ME VODKA ORGANIC</t>
  </si>
  <si>
    <t>38252</t>
  </si>
  <si>
    <t>KICKASS ORIGINAL VODKA</t>
  </si>
  <si>
    <t>45TH PARALLEL SPIRITS</t>
  </si>
  <si>
    <t>38331</t>
  </si>
  <si>
    <t>TWISTED SHOTZ SEXY PARTY PACK 2.0</t>
  </si>
  <si>
    <t>WAVING PLAINS VODKA</t>
  </si>
  <si>
    <t>38507</t>
  </si>
  <si>
    <t>WESTERN SON ORIGINAL</t>
  </si>
  <si>
    <t>JEM BEVERAGE COMPANY / WESTERN SON</t>
  </si>
  <si>
    <t>38508</t>
  </si>
  <si>
    <t>WHEATLEY VODKA</t>
  </si>
  <si>
    <t>38519</t>
  </si>
  <si>
    <t>38520</t>
  </si>
  <si>
    <t>38530</t>
  </si>
  <si>
    <t>WHEATLEY VODKA MINI</t>
  </si>
  <si>
    <t>WHITE CLAW PREMIUM VODKA</t>
  </si>
  <si>
    <t>WHITE CLAW PREMIUM VODKA MINI</t>
  </si>
  <si>
    <t>38563</t>
  </si>
  <si>
    <t>TRULY STRAWBERRY LEMONADE MINI</t>
  </si>
  <si>
    <t>38576</t>
  </si>
  <si>
    <t>TRULY STRAWBERRY LEMONADE</t>
  </si>
  <si>
    <t>38577</t>
  </si>
  <si>
    <t>WISCONSIN CLUB VODKA</t>
  </si>
  <si>
    <t>MINHAS MICRO DISTILLERY</t>
  </si>
  <si>
    <t>38638</t>
  </si>
  <si>
    <t>WOODY CREEK DISTILLERS POTATO VODKA</t>
  </si>
  <si>
    <t>38770</t>
  </si>
  <si>
    <t>WYCH DOCTOR SALTED CARAMEL VODKA</t>
  </si>
  <si>
    <t>WYCH DR. DISTILLING, LLC</t>
  </si>
  <si>
    <t>38771</t>
  </si>
  <si>
    <t>WYCH DOCTOR CARAMEL APPLE VODKA</t>
  </si>
  <si>
    <t>38772</t>
  </si>
  <si>
    <t>WYCH DOCTOR JALAPENO VODKA</t>
  </si>
  <si>
    <t>38781</t>
  </si>
  <si>
    <t>KNEE-HIGH DISTILLING CO. RASPBERRY VODKA</t>
  </si>
  <si>
    <t>CM KNEE-HIGH DISTILLING CO SWEET-TEA VODKA</t>
  </si>
  <si>
    <t>38785</t>
  </si>
  <si>
    <t>WYCH DOCTOR PEACH VODKA</t>
  </si>
  <si>
    <t>TRULY VODKA WHITE PEACH MINI</t>
  </si>
  <si>
    <t>38792</t>
  </si>
  <si>
    <t>TRULY VODKA WHITE PEACH</t>
  </si>
  <si>
    <t>TRULY VODKA BLOOD ORANGE MINI</t>
  </si>
  <si>
    <t>TRULY VODKA BLOOD ORANGE</t>
  </si>
  <si>
    <t>38800</t>
  </si>
  <si>
    <t>SKYY INFUSIONS AGAVE LIME</t>
  </si>
  <si>
    <t>38802</t>
  </si>
  <si>
    <t>SKYY INFUSIONS ESPRESSO</t>
  </si>
  <si>
    <t>WHITE CLAW PINEAPPLE VODKA</t>
  </si>
  <si>
    <t>WHITE CLAW PINEAPPLE VODKA MINI</t>
  </si>
  <si>
    <t>WHITE CLAW MANGO VODKA</t>
  </si>
  <si>
    <t>38813</t>
  </si>
  <si>
    <t>WHITE CLAW MANGO VODKA MINI</t>
  </si>
  <si>
    <t>WHITE CLAW BLACK CHERRY VODKA</t>
  </si>
  <si>
    <t>WHITE CLAW BLACK CHERRY VODKA MINI</t>
  </si>
  <si>
    <t>38828</t>
  </si>
  <si>
    <t>38829</t>
  </si>
  <si>
    <t>38830</t>
  </si>
  <si>
    <t>38839</t>
  </si>
  <si>
    <t>TRULY WILD BERRY MINI</t>
  </si>
  <si>
    <t>38840</t>
  </si>
  <si>
    <t>TRULY WILD BERRY</t>
  </si>
  <si>
    <t>38844</t>
  </si>
  <si>
    <t>TRULY PINEAPPLE MANGO MINI</t>
  </si>
  <si>
    <t>38845</t>
  </si>
  <si>
    <t>TRULY PINEAPPLE MANGO</t>
  </si>
  <si>
    <t>39026</t>
  </si>
  <si>
    <t>COPPER STILL JALAPENO FLAVORED VODKA</t>
  </si>
  <si>
    <t>39029</t>
  </si>
  <si>
    <t>HIGH ROCK VODKA</t>
  </si>
  <si>
    <t>39123</t>
  </si>
  <si>
    <t>MUTINY ISLAND VODKA SMOKED HOT PEPPER INFUSED</t>
  </si>
  <si>
    <t>SION FARM DISTILLERY / TWIN CITY ISLAND SPIRITS, INC</t>
  </si>
  <si>
    <t>CENTURY FARMS OPEN GATE SWEET TEA VODKA</t>
  </si>
  <si>
    <t>39174</t>
  </si>
  <si>
    <t>39185</t>
  </si>
  <si>
    <t>BLUE ICE HUCKLEBERRY LEMONADE VODKA COCKTAIL</t>
  </si>
  <si>
    <t>39186</t>
  </si>
  <si>
    <t>WESTERN SON STRAWBERRY VODKA</t>
  </si>
  <si>
    <t>39207</t>
  </si>
  <si>
    <t>SEAGRAMS STRAWBERRY LEMONADE VODKA</t>
  </si>
  <si>
    <t>39208</t>
  </si>
  <si>
    <t>SEAGRAMS STRAWBERRY LEMONADE VODKA MINI</t>
  </si>
  <si>
    <t>39224</t>
  </si>
  <si>
    <t>LAWSON CHERRY BLUE RASPBERRY VODKA</t>
  </si>
  <si>
    <t>NEW AMSTERDAM TANGERINE MINI</t>
  </si>
  <si>
    <t>39226</t>
  </si>
  <si>
    <t>NEW AMSTERDAM TANGERINE</t>
  </si>
  <si>
    <t>39227</t>
  </si>
  <si>
    <t>39228</t>
  </si>
  <si>
    <t>39229</t>
  </si>
  <si>
    <t>RIVER PILOT STRAWBERRY VODKA</t>
  </si>
  <si>
    <t>39232</t>
  </si>
  <si>
    <t>NEW AMSTERDAM PINK WHITNEY MINI CLEAR-SHRINK</t>
  </si>
  <si>
    <t>39241</t>
  </si>
  <si>
    <t>SEAGRAMS MANGO PINEAPPLE VODKA</t>
  </si>
  <si>
    <t>39245</t>
  </si>
  <si>
    <t>SEAGRAMS MANGO PINEAPPLE VODKA MINI</t>
  </si>
  <si>
    <t>NATURAL LIGHT STRAWBERRY LEMONADE VODKA MINI</t>
  </si>
  <si>
    <t>39251</t>
  </si>
  <si>
    <t>NATURAL LIGHT STRAWBERRY LEMONADE VODKA</t>
  </si>
  <si>
    <t>NATURAL LIGHT LEMONADE VODKA MINI</t>
  </si>
  <si>
    <t>39253</t>
  </si>
  <si>
    <t>NATURAL LIGHT LEMONADE VODKA</t>
  </si>
  <si>
    <t>39280</t>
  </si>
  <si>
    <t>NEW AMSTERDAM PASSION FRUIT FLAVORED VODKA MINI</t>
  </si>
  <si>
    <t>NEW AMSTERDAM PASSION FRUIT FLAVORED VODKA</t>
  </si>
  <si>
    <t>39282</t>
  </si>
  <si>
    <t>39284</t>
  </si>
  <si>
    <t>39299</t>
  </si>
  <si>
    <t>AMERICAN LIQUOR CO VODKA</t>
  </si>
  <si>
    <t>REVELTON HONEY VODKA</t>
  </si>
  <si>
    <t>39301</t>
  </si>
  <si>
    <t>39320</t>
  </si>
  <si>
    <t>DEEP EDDY LIME MINI</t>
  </si>
  <si>
    <t>DEEP EDDY LIME FLAVORED VODKA</t>
  </si>
  <si>
    <t>39324</t>
  </si>
  <si>
    <t>DEEP EDDY LIME</t>
  </si>
  <si>
    <t>39325</t>
  </si>
  <si>
    <t>DOOR COUNTY CHERRY VODKA</t>
  </si>
  <si>
    <t>CENTRAL STANDARD, LLC</t>
  </si>
  <si>
    <t>39352</t>
  </si>
  <si>
    <t>WESTERN SON LEMON</t>
  </si>
  <si>
    <t>39371</t>
  </si>
  <si>
    <t>BLUE ICE AMERICAN HUCKLEBERRY VODKA</t>
  </si>
  <si>
    <t>39374</t>
  </si>
  <si>
    <t>NEW AMSTERDAM PINK WHITNEY</t>
  </si>
  <si>
    <t>39419</t>
  </si>
  <si>
    <t>NEW AMSTERDAM WATERMELON</t>
  </si>
  <si>
    <t>39420</t>
  </si>
  <si>
    <t>NEW AMSTERDAM PINK WHITNEY MINI</t>
  </si>
  <si>
    <t>39424</t>
  </si>
  <si>
    <t>WESTERN SON RASPBERRY</t>
  </si>
  <si>
    <t>NEW AMSTERDAM 100PRF</t>
  </si>
  <si>
    <t>39500</t>
  </si>
  <si>
    <t>WESTERN SON RASPBERRY MINI</t>
  </si>
  <si>
    <t>39532</t>
  </si>
  <si>
    <t>DIXIE BLACK PEPPER VODKA</t>
  </si>
  <si>
    <t>39543</t>
  </si>
  <si>
    <t>DIXIE WILDFLOWER VODKA</t>
  </si>
  <si>
    <t>DEEP EDDY LEMON MINI</t>
  </si>
  <si>
    <t>NORTH FORTY RASPBERRY VODKA</t>
  </si>
  <si>
    <t>39601</t>
  </si>
  <si>
    <t>WILD ROOTS PEACH VODKA</t>
  </si>
  <si>
    <t>39611</t>
  </si>
  <si>
    <t>NORTH FORTY VANILLA VODKA</t>
  </si>
  <si>
    <t>WESTERN SON WATERMELON</t>
  </si>
  <si>
    <t>WILD ROOTS HUCKLEBERRY VODKA</t>
  </si>
  <si>
    <t>39624</t>
  </si>
  <si>
    <t>WILD ROOTS PEAR VODKA</t>
  </si>
  <si>
    <t>39648</t>
  </si>
  <si>
    <t>WESTERN SON LIME</t>
  </si>
  <si>
    <t>DEEP EDDY RUBY RED GRAPEFRUIT MINI</t>
  </si>
  <si>
    <t>39694</t>
  </si>
  <si>
    <t>PRAIRIE ORGANIC CUCUMBER VODKA</t>
  </si>
  <si>
    <t>NORTH FORTY PEACH VODKA</t>
  </si>
  <si>
    <t>39704</t>
  </si>
  <si>
    <t>WESTERN SON PRICKLY PEAR MINI</t>
  </si>
  <si>
    <t>39705</t>
  </si>
  <si>
    <t>WESTERN SON BLUEBERRY MINI</t>
  </si>
  <si>
    <t>39706</t>
  </si>
  <si>
    <t>WESTERN SON WATERMELON MINI</t>
  </si>
  <si>
    <t>NEW AMSTERDAM LEMON</t>
  </si>
  <si>
    <t>CALIBER CITRUS VODKA</t>
  </si>
  <si>
    <t>FRESH HERB VODKA</t>
  </si>
  <si>
    <t>UV CAKE MINI</t>
  </si>
  <si>
    <t>39811</t>
  </si>
  <si>
    <t>SEAGRAMS 100PRF PLATINUM VODKA MINI</t>
  </si>
  <si>
    <t>39812</t>
  </si>
  <si>
    <t>SEAGRAMS 100PRF PLATINUM VODKA</t>
  </si>
  <si>
    <t>39815</t>
  </si>
  <si>
    <t>39816</t>
  </si>
  <si>
    <t>39818</t>
  </si>
  <si>
    <t>WESTERN SON BLUEBERRY</t>
  </si>
  <si>
    <t>WESTERN SON CUCUMBER</t>
  </si>
  <si>
    <t>WESTERN SON PRICKLY PEAR</t>
  </si>
  <si>
    <t>UV BLUE RASPBERRY</t>
  </si>
  <si>
    <t>SMIRNOFF 100PRF</t>
  </si>
  <si>
    <t>39868</t>
  </si>
  <si>
    <t>NEW AMSTERDAM APPLE</t>
  </si>
  <si>
    <t>DEEP EDDY PEACH</t>
  </si>
  <si>
    <t>ABERFELDY 12YR</t>
  </si>
  <si>
    <t>JOSE CUERVO ESPECIAL REPOSADO W/1L CLASSIC MARGARITA MIX</t>
  </si>
  <si>
    <t>NEW AMSTERDAM GRAPEFRUIT MINI</t>
  </si>
  <si>
    <t>40048</t>
  </si>
  <si>
    <t>NEW AMSTERDAM GRAPEFRUIT</t>
  </si>
  <si>
    <t>DEEP EDDY LEMON</t>
  </si>
  <si>
    <t>40055</t>
  </si>
  <si>
    <t>NEW AMSTERDAM MANGO</t>
  </si>
  <si>
    <t>BURNETTS MANGO PINEAPPLE</t>
  </si>
  <si>
    <t>DEEP EDDY CRANBERRY</t>
  </si>
  <si>
    <t>NEW AMSTERDAM PINEAPPLE MINI</t>
  </si>
  <si>
    <t>40191</t>
  </si>
  <si>
    <t>NEW AMSTERDAM PINEAPPLE</t>
  </si>
  <si>
    <t>NEW AMSTERDAM COCONUT</t>
  </si>
  <si>
    <t>4031</t>
  </si>
  <si>
    <t>SOBIESKI  W/2 SHOTGLASSES</t>
  </si>
  <si>
    <t>40313</t>
  </si>
  <si>
    <t>NEW AMSTERDAM PEACH</t>
  </si>
  <si>
    <t>DEEP EDDY RUBY RED GRAPEFRUIT</t>
  </si>
  <si>
    <t>DEEP EDDY SWEET TEA</t>
  </si>
  <si>
    <t>BURNETTS STRAWBERRY BANANA</t>
  </si>
  <si>
    <t>4043</t>
  </si>
  <si>
    <t>HORNITOS PLATA W/SHOT GLASSES</t>
  </si>
  <si>
    <t>4044</t>
  </si>
  <si>
    <t>HORNITOS REPOSADO W/GLASSES</t>
  </si>
  <si>
    <t>SKYY INFUSIONS WILD STRAWBERRY</t>
  </si>
  <si>
    <t>MCCORMICK APPLE VODKA</t>
  </si>
  <si>
    <t>40528</t>
  </si>
  <si>
    <t>MCCORMICK PEACH VODKA</t>
  </si>
  <si>
    <t>NEW AMSTERDAM PEACH MINI</t>
  </si>
  <si>
    <t>40593</t>
  </si>
  <si>
    <t>NEW AMSTERDAM RED BERRY</t>
  </si>
  <si>
    <t>360 HUCKLEBERRY</t>
  </si>
  <si>
    <t>40804</t>
  </si>
  <si>
    <t>SKYY INFUSIONS CITRUS</t>
  </si>
  <si>
    <t>40813</t>
  </si>
  <si>
    <t>SKYY INFUSIONS RASPBERRY</t>
  </si>
  <si>
    <t>40821</t>
  </si>
  <si>
    <t>SKYY INFUSIONS PINEAPPLE</t>
  </si>
  <si>
    <t>ABERLOUR 12YR</t>
  </si>
  <si>
    <t>ARDBEG CORRYVRECKAN</t>
  </si>
  <si>
    <t>40926</t>
  </si>
  <si>
    <t>SMIRNOFF SILVER 90PRF</t>
  </si>
  <si>
    <t>ARDBEG 10YR ISLAY</t>
  </si>
  <si>
    <t>360 DOUBLE CHOCOLATE</t>
  </si>
  <si>
    <t>4111</t>
  </si>
  <si>
    <t>ARDBEG UIGEADAIL</t>
  </si>
  <si>
    <t>4113</t>
  </si>
  <si>
    <t>HENNESSY PARADIS</t>
  </si>
  <si>
    <t>41209</t>
  </si>
  <si>
    <t>FIREFLY SWEET TEA</t>
  </si>
  <si>
    <t>BURNETTS GRAPE</t>
  </si>
  <si>
    <t>BURNETTS CHERRY</t>
  </si>
  <si>
    <t>41316</t>
  </si>
  <si>
    <t>BURNETTS RASPBERRY</t>
  </si>
  <si>
    <t>BURNETTS WATERMELON</t>
  </si>
  <si>
    <t>BURNETTS CITRUS</t>
  </si>
  <si>
    <t>UV PINK LEMONADE</t>
  </si>
  <si>
    <t>BURNETTS PINEAPPLE</t>
  </si>
  <si>
    <t>41430</t>
  </si>
  <si>
    <t>44 NORTH RAINIER CHERRY FLAVORED VODKA</t>
  </si>
  <si>
    <t>UV GRAPE</t>
  </si>
  <si>
    <t>BURNETTS BLUE RASPBERRY</t>
  </si>
  <si>
    <t>UV RED CHERRY</t>
  </si>
  <si>
    <t>UV BLUE RASPBERRY PET</t>
  </si>
  <si>
    <t>UV BLUE RASPBERRY MINI</t>
  </si>
  <si>
    <t>UV GREEN APPLE</t>
  </si>
  <si>
    <t>UV RED CHERRY MINI</t>
  </si>
  <si>
    <t>41704</t>
  </si>
  <si>
    <t>PHILLIPS LIME VODKA</t>
  </si>
  <si>
    <t>ARDBEG AN OA</t>
  </si>
  <si>
    <t>EVERCLEAR 151</t>
  </si>
  <si>
    <t>1091200</t>
  </si>
  <si>
    <t>NEUTRAL GRAIN SPIRITS</t>
  </si>
  <si>
    <t>360 MADAGASCAR VANILLA</t>
  </si>
  <si>
    <t>360 GEORGIA PEACH</t>
  </si>
  <si>
    <t>UV CAKE</t>
  </si>
  <si>
    <t>42149</t>
  </si>
  <si>
    <t>DEHNER DISTILLERY 151</t>
  </si>
  <si>
    <t>42166</t>
  </si>
  <si>
    <t>MYERS ORIGINAL DARK RUM</t>
  </si>
  <si>
    <t>42167</t>
  </si>
  <si>
    <t>MYERS'S ORIGINAL DARK RUM</t>
  </si>
  <si>
    <t>42186</t>
  </si>
  <si>
    <t>MYERS'S PLATINUM WHITE</t>
  </si>
  <si>
    <t>1062200</t>
  </si>
  <si>
    <t>WHITE RUM</t>
  </si>
  <si>
    <t>42201</t>
  </si>
  <si>
    <t>RUM FIRE</t>
  </si>
  <si>
    <t>VALHALLA IMPORTS, LLC</t>
  </si>
  <si>
    <t>BLUE CHAIR BAY BANANA RUM</t>
  </si>
  <si>
    <t>BLUE CHAIR BAY WHITE RUM</t>
  </si>
  <si>
    <t>BLUE CHAIR BAY COCONUT RUM</t>
  </si>
  <si>
    <t>4226</t>
  </si>
  <si>
    <t>BALLANTINES FINEST BLENDED SCOTCH WHISKY</t>
  </si>
  <si>
    <t>42301</t>
  </si>
  <si>
    <t>WRAY &amp; NEPHEW OVERPROOF RUM MINI</t>
  </si>
  <si>
    <t>BACARDI 8</t>
  </si>
  <si>
    <t>ARDBEG WEE BEASTIE</t>
  </si>
  <si>
    <t>GOSLINGS BLACK SEAL</t>
  </si>
  <si>
    <t>42570</t>
  </si>
  <si>
    <t>GOSLINGS BLACK SEAL RUM 151 PROOF</t>
  </si>
  <si>
    <t>LEBLON CACHACA</t>
  </si>
  <si>
    <t>1092100</t>
  </si>
  <si>
    <t>IMPORTED DISTILLED SPIRITS SPECIALTY</t>
  </si>
  <si>
    <t>42636</t>
  </si>
  <si>
    <t>FLOR DE CANA EXTRA DRY LIGHT</t>
  </si>
  <si>
    <t>LUXURY SPIRITS INTERNATIONAL LLC</t>
  </si>
  <si>
    <t>42656</t>
  </si>
  <si>
    <t>FLOR DE CANA 7YR GRAN RESERVA</t>
  </si>
  <si>
    <t>JOHNNIE WALKER BLACK-SQUID GAMES</t>
  </si>
  <si>
    <t>MT GAY ECLIPSE RUM</t>
  </si>
  <si>
    <t>1062100</t>
  </si>
  <si>
    <t>GOLD RUM</t>
  </si>
  <si>
    <t>MALIBU PASSION FRUIT</t>
  </si>
  <si>
    <t>MALIBU BLACK</t>
  </si>
  <si>
    <t>MALIBU MANGO</t>
  </si>
  <si>
    <t>MALIBU PINEAPPLE</t>
  </si>
  <si>
    <t>MALIBU COCONUT</t>
  </si>
  <si>
    <t>MALIBU COCONUT PET</t>
  </si>
  <si>
    <t>42720</t>
  </si>
  <si>
    <t>42777</t>
  </si>
  <si>
    <t>RON ZACAPA 23YR</t>
  </si>
  <si>
    <t>BARBANCOURT 5* RHUM 8YR</t>
  </si>
  <si>
    <t>JIM BEAM BLACK W/2 GLASSES</t>
  </si>
  <si>
    <t>42983</t>
  </si>
  <si>
    <t>ZAYA GRAN RESERVA RUM</t>
  </si>
  <si>
    <t>TRADER VICS PRIVATE SELECTION SPICED RUM</t>
  </si>
  <si>
    <t>ADMIRAL NELSON SPICED MINI</t>
  </si>
  <si>
    <t>ADMIRAL NELSON SPICED</t>
  </si>
  <si>
    <t>ADMIRAL NELSON SPICED PET</t>
  </si>
  <si>
    <t>BACARDI GOLD MINI</t>
  </si>
  <si>
    <t>BACARDI GOLD</t>
  </si>
  <si>
    <t>BACARDI GOLD PET</t>
  </si>
  <si>
    <t>43049</t>
  </si>
  <si>
    <t>BACARDI DRAGON BERRY</t>
  </si>
  <si>
    <t>ADMIRAL NELSON SPICED 101</t>
  </si>
  <si>
    <t>43076</t>
  </si>
  <si>
    <t>ADMIRAL NELSON COCONUT</t>
  </si>
  <si>
    <t>43081</t>
  </si>
  <si>
    <t>BACARDI COCO MINI</t>
  </si>
  <si>
    <t>43086</t>
  </si>
  <si>
    <t>BACARDI COCONUT RUM</t>
  </si>
  <si>
    <t>43095</t>
  </si>
  <si>
    <t>BACARDI MANGO FUSION</t>
  </si>
  <si>
    <t>BACARDI BLACK</t>
  </si>
  <si>
    <t>43112</t>
  </si>
  <si>
    <t>BACARDI SUPERIOR PET</t>
  </si>
  <si>
    <t>BACARDI SUPERIOR MINI</t>
  </si>
  <si>
    <t>BACARDI SUPERIOR</t>
  </si>
  <si>
    <t>BACARDI LIMON</t>
  </si>
  <si>
    <t>BACARDI PINEAPPLE FUSION</t>
  </si>
  <si>
    <t>BACARDI SPICED RUM</t>
  </si>
  <si>
    <t>PARROT BAY KEY LIME</t>
  </si>
  <si>
    <t>PARROT BAY STRAWBERRY</t>
  </si>
  <si>
    <t>CAPTAIN MORGAN 100PRF SPICED RUM</t>
  </si>
  <si>
    <t>43282</t>
  </si>
  <si>
    <t>PARROT BAY PINEAPPLE</t>
  </si>
  <si>
    <t>CAPTAIN MORGAN ORIGINAL SPICED PET</t>
  </si>
  <si>
    <t>43287</t>
  </si>
  <si>
    <t>PARROT BAY MANGO</t>
  </si>
  <si>
    <t>CAPTAIN MORGAN COCONUT</t>
  </si>
  <si>
    <t>43302</t>
  </si>
  <si>
    <t>CAPTAIN MORGAN BLACK SPICED</t>
  </si>
  <si>
    <t>CAPTAIN MORGAN PRIVATE STOCK</t>
  </si>
  <si>
    <t>43323</t>
  </si>
  <si>
    <t>CAPTAIN MORGAN WHITE PET</t>
  </si>
  <si>
    <t>CAPTAIN MORGAN WHITE</t>
  </si>
  <si>
    <t>CAPTAIN MORGAN ORIGINAL SPICED MINI</t>
  </si>
  <si>
    <t>CAPTAIN MORGAN ORIGINAL SPICED</t>
  </si>
  <si>
    <t>CAPTAIN MORGAN PINEAPPLE</t>
  </si>
  <si>
    <t>CASTILLO SILVER RUM</t>
  </si>
  <si>
    <t>PARROT BAY COCONUT</t>
  </si>
  <si>
    <t>DON Q CRISTAL</t>
  </si>
  <si>
    <t>SERRALLES USA</t>
  </si>
  <si>
    <t>BALVENIE 12YR AMERICAN OAK</t>
  </si>
  <si>
    <t>BACARDI RASPBERRY</t>
  </si>
  <si>
    <t>HAVANA CLUB ANEJO BLANCO</t>
  </si>
  <si>
    <t>HAVANA CLUB ANEJO CLASICO</t>
  </si>
  <si>
    <t>BALVENIE 12YR DOUBLEWOOD</t>
  </si>
  <si>
    <t>43621</t>
  </si>
  <si>
    <t>MYERS'S ORIGINAL DARK RUM PET</t>
  </si>
  <si>
    <t>43624</t>
  </si>
  <si>
    <t>SANTA TERESA 1796 SOLERA</t>
  </si>
  <si>
    <t>DIPLOMATICO MANTUANO</t>
  </si>
  <si>
    <t>43638</t>
  </si>
  <si>
    <t>DIPLOMATICO PLANAS</t>
  </si>
  <si>
    <t>DIPLOMATICO RESERVA EXCLUSIVA</t>
  </si>
  <si>
    <t>BALVENIE 14YR CARIBBEAN CASK</t>
  </si>
  <si>
    <t>43676</t>
  </si>
  <si>
    <t>SELVAREY WHITE RUM</t>
  </si>
  <si>
    <t>CROSS KEYS RUM</t>
  </si>
  <si>
    <t>43722</t>
  </si>
  <si>
    <t>REAL MCCOY 12YR</t>
  </si>
  <si>
    <t>43728</t>
  </si>
  <si>
    <t>PROBITAS</t>
  </si>
  <si>
    <t>BUMBU XO</t>
  </si>
  <si>
    <t>BACARDI LIME</t>
  </si>
  <si>
    <t>43750</t>
  </si>
  <si>
    <t>RON DEL BARRILITO TWO STAR CALIDAD EXTRA</t>
  </si>
  <si>
    <t>43752</t>
  </si>
  <si>
    <t>RON DEL BARRILITO THREE STAR SUPERIOR ESPECIAL</t>
  </si>
  <si>
    <t>43775</t>
  </si>
  <si>
    <t>MT GAY BLACK BARREL</t>
  </si>
  <si>
    <t>APPLETON ESTATE SIGNATURE BLEND</t>
  </si>
  <si>
    <t>43799</t>
  </si>
  <si>
    <t>APPLETON 8YR RESERVE</t>
  </si>
  <si>
    <t>BALVENIE 21YR PORTWOOD</t>
  </si>
  <si>
    <t>43845</t>
  </si>
  <si>
    <t>RONDIAZ COCONUT RUM</t>
  </si>
  <si>
    <t>RONRICO SILVER LABEL RUM</t>
  </si>
  <si>
    <t>MALIBU WATERMELON</t>
  </si>
  <si>
    <t>KASAMA SMALL BATCH RUM 7YR</t>
  </si>
  <si>
    <t>43895</t>
  </si>
  <si>
    <t>R.L. SEALES 12 YEARS AGED RUM</t>
  </si>
  <si>
    <t>MALIBU STRAWBERRY</t>
  </si>
  <si>
    <t>43977</t>
  </si>
  <si>
    <t>43984</t>
  </si>
  <si>
    <t>ADMIRAL NELSON CHERRY SPICED</t>
  </si>
  <si>
    <t>ADMIRAL NELSON SILVER</t>
  </si>
  <si>
    <t>44159</t>
  </si>
  <si>
    <t>ZAYA RUM COCOBANA</t>
  </si>
  <si>
    <t>44160</t>
  </si>
  <si>
    <t>ZAYA RUM ALTA FUERZA</t>
  </si>
  <si>
    <t>MYERS ORIGIN GUYANA</t>
  </si>
  <si>
    <t>44175</t>
  </si>
  <si>
    <t>BP MYERS ORIGINAL DARK RUM</t>
  </si>
  <si>
    <t>44184</t>
  </si>
  <si>
    <t>BARCELO ORGANIC RUM</t>
  </si>
  <si>
    <t>44185</t>
  </si>
  <si>
    <t>BACARDI OCHO 8YR RYE</t>
  </si>
  <si>
    <t>44195</t>
  </si>
  <si>
    <t>FOURSQUARE 2010</t>
  </si>
  <si>
    <t>44200</t>
  </si>
  <si>
    <t>BACARDI RESERVA OCHO SEVILLIAN ORANGE CASK</t>
  </si>
  <si>
    <t>BARTON LIGHT RUM</t>
  </si>
  <si>
    <t>44218</t>
  </si>
  <si>
    <t>44241</t>
  </si>
  <si>
    <t>BACARDI MANGO CHILE</t>
  </si>
  <si>
    <t>44242</t>
  </si>
  <si>
    <t>BLACKHEART PREMIUM SPICED RUM</t>
  </si>
  <si>
    <t>BRITISH NAVY PUSSERS RUM</t>
  </si>
  <si>
    <t>44308</t>
  </si>
  <si>
    <t>CALICO JACK</t>
  </si>
  <si>
    <t>CALYPSO SPICED RUM</t>
  </si>
  <si>
    <t>44341</t>
  </si>
  <si>
    <t>44343</t>
  </si>
  <si>
    <t>CALYPSO SPICED RUM MINI</t>
  </si>
  <si>
    <t>CALYPSO SILVER RUM</t>
  </si>
  <si>
    <t>CALICO JACK CHERRY</t>
  </si>
  <si>
    <t>4436</t>
  </si>
  <si>
    <t>BENROMACH 10YR</t>
  </si>
  <si>
    <t>4441</t>
  </si>
  <si>
    <t>BENROMACH 15YR</t>
  </si>
  <si>
    <t>CRUZAN BLACK CHERRY</t>
  </si>
  <si>
    <t>CRUZAN BLUEBERRY LEMONADE</t>
  </si>
  <si>
    <t>CRUZAN BLACKSTRAP</t>
  </si>
  <si>
    <t>CRUZAN RASPBERRY</t>
  </si>
  <si>
    <t>CRUZAN COCONUT</t>
  </si>
  <si>
    <t>CRUZAN DARK</t>
  </si>
  <si>
    <t>44487</t>
  </si>
  <si>
    <t>CRUZAN MANGO</t>
  </si>
  <si>
    <t>CRUZAN LIGHT</t>
  </si>
  <si>
    <t>CRUZAN VANILLA</t>
  </si>
  <si>
    <t>CRUZAN TROPICAL FRUIT</t>
  </si>
  <si>
    <t>CRUZAN HURRICANE PROOF</t>
  </si>
  <si>
    <t>CRUZAN STRAWBERRY</t>
  </si>
  <si>
    <t>4457</t>
  </si>
  <si>
    <t>GLENMORANGIE 15YR CADBOLL ESTATE 2023 EDITION</t>
  </si>
  <si>
    <t>44577</t>
  </si>
  <si>
    <t>FLEISCHMANNS WHITE RUM</t>
  </si>
  <si>
    <t>44607</t>
  </si>
  <si>
    <t>E.T. 51 PREMIUM RUM</t>
  </si>
  <si>
    <t>LADY BLIGH SPICED RUM</t>
  </si>
  <si>
    <t>KNOB CREEK W/GLASSES</t>
  </si>
  <si>
    <t>4471</t>
  </si>
  <si>
    <t>BENROMACH 21 YEAR OLD</t>
  </si>
  <si>
    <t>4476</t>
  </si>
  <si>
    <t>ARDBEG BIZARREBQ</t>
  </si>
  <si>
    <t>45217</t>
  </si>
  <si>
    <t>MR BOSTON LIGHT RUM</t>
  </si>
  <si>
    <t>PARAMOUNT GOLD RUM PET</t>
  </si>
  <si>
    <t>PARAMOUNT GOLD RUM</t>
  </si>
  <si>
    <t>PARAMOUNT WHITE RUM PET</t>
  </si>
  <si>
    <t>PARAMOUNT WHITE RUM</t>
  </si>
  <si>
    <t>4532</t>
  </si>
  <si>
    <t>DEWARS DOUBLE DOUBLE 21</t>
  </si>
  <si>
    <t>PHILLIPS WHITE RUM</t>
  </si>
  <si>
    <t>45419</t>
  </si>
  <si>
    <t>SAILOR JERRY SPICED NAVY RUM PET</t>
  </si>
  <si>
    <t>SAILOR JERRY SPICED NAVY RUM</t>
  </si>
  <si>
    <t>45925</t>
  </si>
  <si>
    <t>SELVAREY OWNERS RESERVE GIFT BOX</t>
  </si>
  <si>
    <t>4603</t>
  </si>
  <si>
    <t>CHIVAS XV</t>
  </si>
  <si>
    <t>4610</t>
  </si>
  <si>
    <t>BUCHANAN RED SEAL</t>
  </si>
  <si>
    <t>DALMORE PORT WOOD RESERVE</t>
  </si>
  <si>
    <t>46112</t>
  </si>
  <si>
    <t>CEDAR RIDGE DARK RUM</t>
  </si>
  <si>
    <t>46127</t>
  </si>
  <si>
    <t>CEDAR RIDGE LOST PIRATE PORT FINISH RUM</t>
  </si>
  <si>
    <t>CALIBER SILVER RUM</t>
  </si>
  <si>
    <t>CALIBER SPICED RUM</t>
  </si>
  <si>
    <t>46146</t>
  </si>
  <si>
    <t>BUCHANAN SPECIAL RESERVE 18YR</t>
  </si>
  <si>
    <t>46163</t>
  </si>
  <si>
    <t>SOLDIER VALLEY LEE GREENWOOD NAVY RUM</t>
  </si>
  <si>
    <t>46257</t>
  </si>
  <si>
    <t>ISLAND BUSH HERB RUM</t>
  </si>
  <si>
    <t>BUCHANAN DELUXE 12YR</t>
  </si>
  <si>
    <t>GOTCHA SILVER RUM</t>
  </si>
  <si>
    <t>HAWKEYE LIGHT RUM</t>
  </si>
  <si>
    <t>BOWMORE SCOTCH 12YR</t>
  </si>
  <si>
    <t>46367</t>
  </si>
  <si>
    <t>SEVEN PENNY DEUCE RUM</t>
  </si>
  <si>
    <t>46497</t>
  </si>
  <si>
    <t>KRAKEN BLACK SPICED 70PRF</t>
  </si>
  <si>
    <t>KRAKEN BLACK SPICED RUM</t>
  </si>
  <si>
    <t>MALIBU COCONUT MINI</t>
  </si>
  <si>
    <t>4656</t>
  </si>
  <si>
    <t>BUNNAHABHAIN 12YR</t>
  </si>
  <si>
    <t>46599</t>
  </si>
  <si>
    <t>MODERN MATRIARCH SILVER RUM ROUND</t>
  </si>
  <si>
    <t>MODERN MATRIARCH</t>
  </si>
  <si>
    <t>46606</t>
  </si>
  <si>
    <t>MODERN MATRIARCH AMBER RUM</t>
  </si>
  <si>
    <t>46608</t>
  </si>
  <si>
    <t>MODERN MATRIARCH SALTED CARAMEL FLAVORED RUM</t>
  </si>
  <si>
    <t>46609</t>
  </si>
  <si>
    <t>NASSIF FAMILY RESERVE RUM</t>
  </si>
  <si>
    <t>46617</t>
  </si>
  <si>
    <t>BLUE CHAIR BAY LIME RUM</t>
  </si>
  <si>
    <t>46620</t>
  </si>
  <si>
    <t>PARROT BAY GOLD RUM</t>
  </si>
  <si>
    <t>46622</t>
  </si>
  <si>
    <t>46623</t>
  </si>
  <si>
    <t>PARROT BAY WHITE RUM</t>
  </si>
  <si>
    <t>46625</t>
  </si>
  <si>
    <t>46688</t>
  </si>
  <si>
    <t>PAPAS PILAR BLONDE RUM</t>
  </si>
  <si>
    <t>46689</t>
  </si>
  <si>
    <t>PAPAS PILAR DARK RUM</t>
  </si>
  <si>
    <t>STEEL DRUM</t>
  </si>
  <si>
    <t>BRUICHLADDICH SCOTTISH BARLEY</t>
  </si>
  <si>
    <t>47002</t>
  </si>
  <si>
    <t>WISCONSIN CLUB SPICED RUM</t>
  </si>
  <si>
    <t>CHIVAS REGAL 12YR</t>
  </si>
  <si>
    <t>4763</t>
  </si>
  <si>
    <t>DON JULIO REPOSADO</t>
  </si>
  <si>
    <t>47645</t>
  </si>
  <si>
    <t>BRANSON XO</t>
  </si>
  <si>
    <t>47646</t>
  </si>
  <si>
    <t>BRANSON VS PHANTOM</t>
  </si>
  <si>
    <t>47647</t>
  </si>
  <si>
    <t>BRANSON VSOP ROYAL</t>
  </si>
  <si>
    <t>47649</t>
  </si>
  <si>
    <t>BRANSON VSOP GRANDE CHAMPAGNE</t>
  </si>
  <si>
    <t>COPPER DOG</t>
  </si>
  <si>
    <t>47775</t>
  </si>
  <si>
    <t>COURVOISIER VSOP COGNAC</t>
  </si>
  <si>
    <t>47776</t>
  </si>
  <si>
    <t>COURVOISIER VS COGNAC</t>
  </si>
  <si>
    <t>47788</t>
  </si>
  <si>
    <t>D'USSE VSOP FLASK</t>
  </si>
  <si>
    <t>D'USSE VSOP</t>
  </si>
  <si>
    <t>47869</t>
  </si>
  <si>
    <t>D'USSE XO</t>
  </si>
  <si>
    <t>CUTTY SARK SCOTCH</t>
  </si>
  <si>
    <t>4797</t>
  </si>
  <si>
    <t>4798</t>
  </si>
  <si>
    <t>4800</t>
  </si>
  <si>
    <t>CUTTY SARK PROHIBITION 100PF</t>
  </si>
  <si>
    <t>HENNESSY VS</t>
  </si>
  <si>
    <t>4810</t>
  </si>
  <si>
    <t>CRAIGELLACHIE 13YR SINGLE MALT</t>
  </si>
  <si>
    <t>HENNESSY VS MINI</t>
  </si>
  <si>
    <t>HENNESSY VS 100ML</t>
  </si>
  <si>
    <t>48115</t>
  </si>
  <si>
    <t>HENNESSY VSOP ROUND GIFTBOX</t>
  </si>
  <si>
    <t>48122</t>
  </si>
  <si>
    <t>HENNESSY XO</t>
  </si>
  <si>
    <t>HENNESSY VSOP PRIVILEGE</t>
  </si>
  <si>
    <t>48245</t>
  </si>
  <si>
    <t>48247</t>
  </si>
  <si>
    <t>DALMORE 12YR</t>
  </si>
  <si>
    <t>48254</t>
  </si>
  <si>
    <t>HENNESSY VS FLASK</t>
  </si>
  <si>
    <t>DALMORE 15YR</t>
  </si>
  <si>
    <t>DALWHINNIE 15YR SINGLE MALT SCOTCH</t>
  </si>
  <si>
    <t>DEWARS WHITE LABEL SCOTCH</t>
  </si>
  <si>
    <t>48696</t>
  </si>
  <si>
    <t>MARTELL VSSD</t>
  </si>
  <si>
    <t>48725</t>
  </si>
  <si>
    <t>REMY MARTIN LOUIS XIII</t>
  </si>
  <si>
    <t>DEWARS 12YR</t>
  </si>
  <si>
    <t>DEWARS 12YR SCOTCH</t>
  </si>
  <si>
    <t>49066</t>
  </si>
  <si>
    <t>REMY MARTIN TERCET</t>
  </si>
  <si>
    <t>REMY MARTIN 1738 ACCORD ROYAL</t>
  </si>
  <si>
    <t>49156</t>
  </si>
  <si>
    <t>REMY MARTIN XO EXCELLENCE</t>
  </si>
  <si>
    <t>REMY MARTIN VSOP FLASK</t>
  </si>
  <si>
    <t>REMY MARTIN VSOP</t>
  </si>
  <si>
    <t>49187</t>
  </si>
  <si>
    <t>49188</t>
  </si>
  <si>
    <t>FAMOUS GROUSE SCOTCH</t>
  </si>
  <si>
    <t>EDRINGTON GROUP USA LLC</t>
  </si>
  <si>
    <t>49465</t>
  </si>
  <si>
    <t>WWS DIAMOND XO COGNAC</t>
  </si>
  <si>
    <t>BADEL STARA SLJIVOVICA PREMIUM SELECTION</t>
  </si>
  <si>
    <t>GRAND PRIX BEVERAGE LLC</t>
  </si>
  <si>
    <t>49510</t>
  </si>
  <si>
    <t>BADEL WILLIAMS PEAR BRANDY</t>
  </si>
  <si>
    <t>GLEN MORAY</t>
  </si>
  <si>
    <t>4987</t>
  </si>
  <si>
    <t>GLENGOYNE SINGLE MALT SCOTCH 12 YR</t>
  </si>
  <si>
    <t>GLENFARCLAS 12YR</t>
  </si>
  <si>
    <t>GLENFIDDICH 21YR</t>
  </si>
  <si>
    <t>GLENFIDDICH 12YR SPECIAL RESERVE</t>
  </si>
  <si>
    <t>GLENFIDDICH 15YR SOLERA RESERVA</t>
  </si>
  <si>
    <t>GLENLIVET 12YR</t>
  </si>
  <si>
    <t>5038</t>
  </si>
  <si>
    <t>5040</t>
  </si>
  <si>
    <t>GLENLIVET 18YR</t>
  </si>
  <si>
    <t>5053</t>
  </si>
  <si>
    <t>GLENLIVET 25YR</t>
  </si>
  <si>
    <t>GLENLIVET 15YR FRENCH OAK</t>
  </si>
  <si>
    <t>5067</t>
  </si>
  <si>
    <t>GLENMORANGIE SIGNET</t>
  </si>
  <si>
    <t>ST REMY XO</t>
  </si>
  <si>
    <t>ST REMY VSOP NAPOLEON BRANDY</t>
  </si>
  <si>
    <t>5075</t>
  </si>
  <si>
    <t>GLENLIVET 21YR</t>
  </si>
  <si>
    <t>51000</t>
  </si>
  <si>
    <t>ALVISA HONEY</t>
  </si>
  <si>
    <t>GREEN MARK USA &amp; ZUBROWKA USA / RUSSIAN STANDARD</t>
  </si>
  <si>
    <t>51004</t>
  </si>
  <si>
    <t>ALVISA 10YR BRANDY</t>
  </si>
  <si>
    <t>51006</t>
  </si>
  <si>
    <t>ALVISA XO BRANDY</t>
  </si>
  <si>
    <t>5103</t>
  </si>
  <si>
    <t>GLENMORANGIE LASANTA</t>
  </si>
  <si>
    <t>GLENMORANGIE NECTAR D'OR</t>
  </si>
  <si>
    <t>5105</t>
  </si>
  <si>
    <t>GLENMORANGIE QUINTA RUBAN</t>
  </si>
  <si>
    <t>GRANTS BLENDED SCOTCH</t>
  </si>
  <si>
    <t>CIROC VS</t>
  </si>
  <si>
    <t>51121</t>
  </si>
  <si>
    <t>CONTROL C PISCO RESERVADO</t>
  </si>
  <si>
    <t>GAZDINA RAKIJA PEAR BRANDY</t>
  </si>
  <si>
    <t>PREMIER DISTRIBUTORS LLC</t>
  </si>
  <si>
    <t>51158</t>
  </si>
  <si>
    <t>GAZDINA RAKIJA PLUM BRANDY</t>
  </si>
  <si>
    <t>51316</t>
  </si>
  <si>
    <t>MACCHU PISCO</t>
  </si>
  <si>
    <t>MACCHU PISCO LLC</t>
  </si>
  <si>
    <t>MARASKA SLIVOVITZ</t>
  </si>
  <si>
    <t>MARASKA SLIVOVITZ 10YR</t>
  </si>
  <si>
    <t>GLENMORANGIE 10YR</t>
  </si>
  <si>
    <t>5136</t>
  </si>
  <si>
    <t>GLENMORANGIE 18YR</t>
  </si>
  <si>
    <t>51506</t>
  </si>
  <si>
    <t>PRESIDENTE GRAPE BRANDY (PEDRO DOMECQ)</t>
  </si>
  <si>
    <t>VIN DIVINO LTD / GONZALEZ BYASS USA</t>
  </si>
  <si>
    <t>GLENLIVET FOUNDERS RESERVE</t>
  </si>
  <si>
    <t>GLENFIDDICH 18YR</t>
  </si>
  <si>
    <t>PODRUM PEVAC ZUTA DUNJA QUINCE BRANDY</t>
  </si>
  <si>
    <t>GLENFIDDICH 14YR</t>
  </si>
  <si>
    <t>51634</t>
  </si>
  <si>
    <t>SIMEX MANASTIRSKA SLJIVA PLUM BRANDY</t>
  </si>
  <si>
    <t>51713</t>
  </si>
  <si>
    <t>TAKOVO BRKA PRIRODNA PREPECENICA PLUM BRANDY</t>
  </si>
  <si>
    <t>51739</t>
  </si>
  <si>
    <t>TORRES 10 BRANDY</t>
  </si>
  <si>
    <t>52146</t>
  </si>
  <si>
    <t>CHRISTIAN BROS BRANDY PET</t>
  </si>
  <si>
    <t>PAUL MASSON GRANDE AMBER BRANDY VS</t>
  </si>
  <si>
    <t>CHRISTIAN BROS BRANDY</t>
  </si>
  <si>
    <t>CHRISTIAN BROS BRANDY SQUARE</t>
  </si>
  <si>
    <t>CHRISTIAN BROS BRANDY ROUND</t>
  </si>
  <si>
    <t>JOHNNIE WALKER 18YR</t>
  </si>
  <si>
    <t>HIGHLAND PARK 12YR VIKING HONOUR</t>
  </si>
  <si>
    <t>MAKERS MARK W/2 GLASSES</t>
  </si>
  <si>
    <t>52559</t>
  </si>
  <si>
    <t>E &amp; J XO</t>
  </si>
  <si>
    <t>E &amp; J VSOP MINI</t>
  </si>
  <si>
    <t>E &amp; J VSOP</t>
  </si>
  <si>
    <t>E &amp; J VS</t>
  </si>
  <si>
    <t>E &amp; J VS MINI</t>
  </si>
  <si>
    <t>E &amp; J VS PET</t>
  </si>
  <si>
    <t>E &amp; J VS SQUARE</t>
  </si>
  <si>
    <t>E &amp; J VS ROUND</t>
  </si>
  <si>
    <t>KORBEL BRANDY</t>
  </si>
  <si>
    <t>KORBEL BRANDY PET</t>
  </si>
  <si>
    <t>ISLE OF JURA 10YR</t>
  </si>
  <si>
    <t>5288</t>
  </si>
  <si>
    <t>J &amp; B RARE SCOTCH</t>
  </si>
  <si>
    <t>ROYAL BRACKLA 12 YR</t>
  </si>
  <si>
    <t>JOHNNIE WALKER DOUBLE BLACK</t>
  </si>
  <si>
    <t>PAUL MASSON GRANDE AMBER BRANDY VSOP</t>
  </si>
  <si>
    <t>PAUL MASSON GRANDE AMBER BRANDY VS MINI</t>
  </si>
  <si>
    <t>53213</t>
  </si>
  <si>
    <t>JOHNNIE WALKER BLACK</t>
  </si>
  <si>
    <t>JOHNNIE WALKER BLUE</t>
  </si>
  <si>
    <t>53438</t>
  </si>
  <si>
    <t>10TH MOUNTAIN BRANDY</t>
  </si>
  <si>
    <t>JOHNNIE WALKER RED</t>
  </si>
  <si>
    <t>JOHNNIE WALKER GREEN</t>
  </si>
  <si>
    <t>5360</t>
  </si>
  <si>
    <t>JOHN BARR RESERVE</t>
  </si>
  <si>
    <t>CEDAR RIDGE FRUIT BRANDY</t>
  </si>
  <si>
    <t>PAUL MASSON FRUIT PUNCH GRANDE AMBER BRANDY</t>
  </si>
  <si>
    <t>53858</t>
  </si>
  <si>
    <t>PAUL MASSON COCONUT GRANDE AMBER BRANDY</t>
  </si>
  <si>
    <t>5404</t>
  </si>
  <si>
    <t>LAPHROAIG SELECT</t>
  </si>
  <si>
    <t>54056</t>
  </si>
  <si>
    <t>ARROW APRICOT BRANDY</t>
  </si>
  <si>
    <t>54057</t>
  </si>
  <si>
    <t>LAGAVULIN 16YR</t>
  </si>
  <si>
    <t>54434</t>
  </si>
  <si>
    <t>MR BOSTON APRICOT BRANDY</t>
  </si>
  <si>
    <t>54438</t>
  </si>
  <si>
    <t>54446</t>
  </si>
  <si>
    <t>PARAMOUNT APRICOT BRANDY</t>
  </si>
  <si>
    <t>LAPHROAIG 10YR</t>
  </si>
  <si>
    <t>ARROW BLACKBERRY BRANDY</t>
  </si>
  <si>
    <t>DEKUYPER BLACKBERRY BRANDY</t>
  </si>
  <si>
    <t>5486</t>
  </si>
  <si>
    <t>MACALLAN 12YR</t>
  </si>
  <si>
    <t>54916</t>
  </si>
  <si>
    <t>LEROUX POLISH BLACKBERRY BRANDY</t>
  </si>
  <si>
    <t>MR BOSTON BLACKBERRY BRANDY MINI</t>
  </si>
  <si>
    <t>55062</t>
  </si>
  <si>
    <t>MR BOSTON BLACKBERRY BRANDY</t>
  </si>
  <si>
    <t>55064</t>
  </si>
  <si>
    <t>55067</t>
  </si>
  <si>
    <t>PARAMOUNT BLACKBERRY BRANDY</t>
  </si>
  <si>
    <t>PHILLIPS BLACKBERRY BRANDY</t>
  </si>
  <si>
    <t>ARROW WILD CHERRY BRANDY</t>
  </si>
  <si>
    <t>55486</t>
  </si>
  <si>
    <t>MR BOSTON CHERRY BRANDY</t>
  </si>
  <si>
    <t>PARAMOUNT CHERRY BRANDY</t>
  </si>
  <si>
    <t>MACALLAN DOUBLE CASK 12YR</t>
  </si>
  <si>
    <t>55826</t>
  </si>
  <si>
    <t>MR BOSTON GINGER BRANDY</t>
  </si>
  <si>
    <t>MCCLELLAND HIGHLAND</t>
  </si>
  <si>
    <t>CHRISTIAN BROS PEACH</t>
  </si>
  <si>
    <t>PAUL MASSON PEACH GRANDE AMBER BRANDY</t>
  </si>
  <si>
    <t>PARAMOUNT PEACH BRANDY</t>
  </si>
  <si>
    <t>5633</t>
  </si>
  <si>
    <t>LAGAVULIN 8YR</t>
  </si>
  <si>
    <t>MONKEY SHOULDER</t>
  </si>
  <si>
    <t>JURA 18YR</t>
  </si>
  <si>
    <t>56664</t>
  </si>
  <si>
    <t>PAUL MASSON WATERMELON GRANDE AMBER BRANDY</t>
  </si>
  <si>
    <t>56670</t>
  </si>
  <si>
    <t>PAUL MASSON GRAPE GRANDE AMBER BRANDY</t>
  </si>
  <si>
    <t>5669</t>
  </si>
  <si>
    <t>GLEN MORAY SHERRY CASK</t>
  </si>
  <si>
    <t>56722</t>
  </si>
  <si>
    <t>CROWN ROYAL WHISKY SOUR BLACK CHERRY COCKTAIL</t>
  </si>
  <si>
    <t>ABSOLUT RASPBERRY LEMONADE READY TO SERVE</t>
  </si>
  <si>
    <t>ABSOLUT MOJITO READY TO SERVE</t>
  </si>
  <si>
    <t>56781</t>
  </si>
  <si>
    <t>BARTENDERS TRADING COMPANY PINA COLADA</t>
  </si>
  <si>
    <t>CHARLES JACQUIN ET CIE</t>
  </si>
  <si>
    <t>CAPTAIN MORGAN TROPICAL PUNCH RTD</t>
  </si>
  <si>
    <t>56783</t>
  </si>
  <si>
    <t>CAPTAIN MORGAN MAI TAI RTD</t>
  </si>
  <si>
    <t>56784</t>
  </si>
  <si>
    <t>GLENFIDDICH MANHATTAN</t>
  </si>
  <si>
    <t>56786</t>
  </si>
  <si>
    <t>REYKA RHUBARB COSMOPOLITAN</t>
  </si>
  <si>
    <t>56789</t>
  </si>
  <si>
    <t>MONKEY SHOULDER OLD FASHIONED</t>
  </si>
  <si>
    <t>PAUL MASSON APPLE GRANDE AMBER BRANDY</t>
  </si>
  <si>
    <t>PAUL MASSON PINEAPPLE GRANDE AMBER BRANDY</t>
  </si>
  <si>
    <t>PAUL MASSON RED BERRY GRANDE AMBER</t>
  </si>
  <si>
    <t>5683</t>
  </si>
  <si>
    <t>MOSSBURN ISLAND BLENDED MALT SCOTCH WHISKY</t>
  </si>
  <si>
    <t>BACARDI BAHAMA MAMA RTS</t>
  </si>
  <si>
    <t>56874</t>
  </si>
  <si>
    <t>BACARDI HURRICANE RTS</t>
  </si>
  <si>
    <t>5688</t>
  </si>
  <si>
    <t>MOSSBURN SPEYSIDE BLENDED MALT SCOTCH WHISKY</t>
  </si>
  <si>
    <t>BACARDI MOJITO RTS</t>
  </si>
  <si>
    <t>56948</t>
  </si>
  <si>
    <t>BARTENDERS TRADING COMPANY AWESOME ORANGE</t>
  </si>
  <si>
    <t>56958</t>
  </si>
  <si>
    <t>BARTENDERS HOT SEX</t>
  </si>
  <si>
    <t>OBAN SINGLE MALT SCOTCH 14YR</t>
  </si>
  <si>
    <t>5702</t>
  </si>
  <si>
    <t>OBAN 18YR</t>
  </si>
  <si>
    <t>BARTON LONG ISLAND ICED TEA</t>
  </si>
  <si>
    <t>BENCHMARK EGG NOG</t>
  </si>
  <si>
    <t>CHI-CHI'S COSMOPOLITAN</t>
  </si>
  <si>
    <t>CHI-CHI'S LONG ISLAND ICED TEA</t>
  </si>
  <si>
    <t>57121</t>
  </si>
  <si>
    <t>CHI-CHI'S MAI TAI</t>
  </si>
  <si>
    <t>CHI-CHI'S MANGO MARGARITA</t>
  </si>
  <si>
    <t>CHI-CHI'S GOLD MARGARITA</t>
  </si>
  <si>
    <t>CHI-CHI'S MEXICAN MUDSLIDE</t>
  </si>
  <si>
    <t>CHI-CHI'S WHITE RUSSIAN</t>
  </si>
  <si>
    <t>CHI-CHI'S STRAWBERRY DAQUIRI</t>
  </si>
  <si>
    <t>CHI-CHI'S MARGARITA</t>
  </si>
  <si>
    <t>57150</t>
  </si>
  <si>
    <t>CH-CHI'S PEACH MARGARITA</t>
  </si>
  <si>
    <t>CHI-CHI'S PINA COLADA</t>
  </si>
  <si>
    <t>CHI-CHI'S STRAWBERRY MARGARITA</t>
  </si>
  <si>
    <t>57161</t>
  </si>
  <si>
    <t>CHI-CHI'S CHURRO</t>
  </si>
  <si>
    <t>CHI-CHI'S CHOCOLATE MALT</t>
  </si>
  <si>
    <t>CHI-CHI'S SKINNY MARGARITA</t>
  </si>
  <si>
    <t>CHI-CHI'S RUBY RED MARGARITA</t>
  </si>
  <si>
    <t>CHI-CHI'S PINEAPPLE MARGARITA</t>
  </si>
  <si>
    <t>57182</t>
  </si>
  <si>
    <t>BACARDI RUM PUNCH RTS</t>
  </si>
  <si>
    <t>57184</t>
  </si>
  <si>
    <t>BACARDI ZOMBIE RTS</t>
  </si>
  <si>
    <t>BUZZBALLZ BIGGIES TEQUILA RITA</t>
  </si>
  <si>
    <t>BUZZBALLZ LLC / SOUTHERN CHAMPION</t>
  </si>
  <si>
    <t>CHI-CHI'S PINK LEMONADE MARGARITA</t>
  </si>
  <si>
    <t>57301</t>
  </si>
  <si>
    <t>HENDRICKS MARTINI</t>
  </si>
  <si>
    <t>57303</t>
  </si>
  <si>
    <t>BACARDI ISLAND PUNCH</t>
  </si>
  <si>
    <t>57306</t>
  </si>
  <si>
    <t>BACARDI PINEAPPLE MAI TAI</t>
  </si>
  <si>
    <t>BETINI LEMON DROP</t>
  </si>
  <si>
    <t>BENCHMARK BEVERAGE COMPANY LLC</t>
  </si>
  <si>
    <t>57325</t>
  </si>
  <si>
    <t>BETINI MARGARITA</t>
  </si>
  <si>
    <t>57327</t>
  </si>
  <si>
    <t>BETINI PINK CRANBERRY</t>
  </si>
  <si>
    <t>BETINI TROPICAL SUNSET</t>
  </si>
  <si>
    <t>BUZZBALLZ BIGGIES CHILI MANGO</t>
  </si>
  <si>
    <t>57370</t>
  </si>
  <si>
    <t>BULLEIT MANHATTAN COCKTAIL</t>
  </si>
  <si>
    <t>BULLEIT OLD FASHIONED COCKTAIL</t>
  </si>
  <si>
    <t>JOHNNIE WALKER BLUE MINI</t>
  </si>
  <si>
    <t>57575</t>
  </si>
  <si>
    <t>BUZZBALLZ BIGGIES CHOCOLATE TEASE</t>
  </si>
  <si>
    <t>BUZZBALLZ BIGGIES STRAWBERRY RITA</t>
  </si>
  <si>
    <t>57630</t>
  </si>
  <si>
    <t>BOLS COCKTAILS MARGARITA AZUL</t>
  </si>
  <si>
    <t>57631</t>
  </si>
  <si>
    <t>BOLS COCKTAILS AZUL MARGARITA</t>
  </si>
  <si>
    <t>57632</t>
  </si>
  <si>
    <t>BOLS COCKTAILS ESPRESSO MARTINI</t>
  </si>
  <si>
    <t>57633</t>
  </si>
  <si>
    <t>57634</t>
  </si>
  <si>
    <t>BOLS COCKTAILS THE VERY OLD FASHIONED</t>
  </si>
  <si>
    <t>57635</t>
  </si>
  <si>
    <t>BOLS COCKTAILS VERY OLD FASHIONED</t>
  </si>
  <si>
    <t>57636</t>
  </si>
  <si>
    <t>BOLS COCKTAILS RED LIGHT NEGRONI</t>
  </si>
  <si>
    <t>57637</t>
  </si>
  <si>
    <t>57639</t>
  </si>
  <si>
    <t>BIG MACHINE DOUBLE SPIKED CITRUS PEACH</t>
  </si>
  <si>
    <t>57641</t>
  </si>
  <si>
    <t>BIG MACHINE DOUBLE SPIKED COCONUT BREEZE</t>
  </si>
  <si>
    <t>57643</t>
  </si>
  <si>
    <t>BIG MACHINE DOUBLE SPIKED LAVENDER LEMONADE</t>
  </si>
  <si>
    <t>58003</t>
  </si>
  <si>
    <t>CAZADORES MARGARITA RTS</t>
  </si>
  <si>
    <t>58004</t>
  </si>
  <si>
    <t>CAZADORES PALOMA RTS</t>
  </si>
  <si>
    <t>ASTRAL MARGARITA COCKTAIL</t>
  </si>
  <si>
    <t>58071</t>
  </si>
  <si>
    <t>CRYSTAL HEAD COSMOPOLITAN</t>
  </si>
  <si>
    <t>58073</t>
  </si>
  <si>
    <t>CRYSTAL HEAD ESPRESSO MARTINI</t>
  </si>
  <si>
    <t>KETEL ONE COSMO COCKTAIL</t>
  </si>
  <si>
    <t>GLENLIVET 14YR</t>
  </si>
  <si>
    <t>CODY ROAD BARREL OLD FASHIONED</t>
  </si>
  <si>
    <t>58747</t>
  </si>
  <si>
    <t>CODY ROAD MANHATTAN</t>
  </si>
  <si>
    <t>CAPTAIN MORGAN LONG ISLAND ICED TEA</t>
  </si>
  <si>
    <t>JOSE CUERVO AUTHENTIC LIME MARGARITA</t>
  </si>
  <si>
    <t>JOSE CUERVO AUTHENTIC GRAPEFRUIT TANGERINE MARGARITA</t>
  </si>
  <si>
    <t>JOSE CUERVO AUTHENTIC COCONUT PINEAPPLE MARGARITA</t>
  </si>
  <si>
    <t>GLEN MORAY CABERNET</t>
  </si>
  <si>
    <t>JOSE CUERVO AUTHENTIC DOUBLE STRENGTH MARGARITA</t>
  </si>
  <si>
    <t>JOSE CUERVO AUTHENTIC TROPICAL PARADISE</t>
  </si>
  <si>
    <t>JOSE CUERVO AUTHENTIC MANGO MARGARITA</t>
  </si>
  <si>
    <t>58865</t>
  </si>
  <si>
    <t>JOSE CUERVO AUTHENTIC RASPBERRY MARGARITA</t>
  </si>
  <si>
    <t>JOSE CUERVO AUTHENTIC STRAWBERRY LIME MARGARITA</t>
  </si>
  <si>
    <t>JOSE CUERVO AUTHENTIC LIGHT LIME MARGARITA</t>
  </si>
  <si>
    <t>JOSE CUERVO AUTHENTIC WATERMELON MARGARITA</t>
  </si>
  <si>
    <t>JOSE CUERVO GOLDEN MARGARITA</t>
  </si>
  <si>
    <t>58876</t>
  </si>
  <si>
    <t>JOSE CUERVO GOLDEN STRAWBERRY MARGARITA</t>
  </si>
  <si>
    <t>JOSE CUERVO AUTHENTIC LIGHT WHITE PEACH MARGARITA</t>
  </si>
  <si>
    <t>58895</t>
  </si>
  <si>
    <t>JOSE CUERVO AUTHENTIC RED SANGRIA MARGARITA</t>
  </si>
  <si>
    <t>JOSE CUERVO AUTHENTIC ORANGE PINEAPPLE MARGARITA</t>
  </si>
  <si>
    <t>58902</t>
  </si>
  <si>
    <t>58908</t>
  </si>
  <si>
    <t>JOSE CUERVO AUTHENTIC WHITE PEACH LIGHT MARGARITA</t>
  </si>
  <si>
    <t>JOSE CUERVO GRAPEFRUIT TANGERINE</t>
  </si>
  <si>
    <t>JOSE CUERVO AUTHENTIC LIME LIGHT</t>
  </si>
  <si>
    <t>JOSE CUERVO AUTHENTIC PEACH LEMONADE</t>
  </si>
  <si>
    <t>JOSE CUERVO AUTHENTIC LIGHT STRAWBERRY</t>
  </si>
  <si>
    <t>58972</t>
  </si>
  <si>
    <t>TANQUERAY NEGRONI COCKTAIL</t>
  </si>
  <si>
    <t>DESERT ISLAND LONG ISLAND ICED TEA COCKTAIL</t>
  </si>
  <si>
    <t>59049</t>
  </si>
  <si>
    <t>JOSE CUERVO AUTHENTIC MARGARITA RASPBERRY COLADA</t>
  </si>
  <si>
    <t>JOSE CUERVO AUTHENTIC MARGARITA MISTLETOE</t>
  </si>
  <si>
    <t>JOSE CUERVO AUTHENTIC DRAGON FRUIT LEMONADE</t>
  </si>
  <si>
    <t>59086</t>
  </si>
  <si>
    <t>DRAKES ORGANIC BOXTAILS MINTED MOJITO</t>
  </si>
  <si>
    <t>EVAN WILLIAMS EGG NOG</t>
  </si>
  <si>
    <t>59101</t>
  </si>
  <si>
    <t>59102</t>
  </si>
  <si>
    <t>EVAN WILLIAMS PEPPERMINT CHOCOLATE EGG NOG</t>
  </si>
  <si>
    <t>1800 ULTIMATE MARGARITA PET</t>
  </si>
  <si>
    <t>59159</t>
  </si>
  <si>
    <t>1800 ULTIMATE RASPBERRY MARGARITA PET</t>
  </si>
  <si>
    <t>1800 ULTIMATE PEACH MARGARITA PET</t>
  </si>
  <si>
    <t>1800 ULTIMATE PINEAPPLE MARGARITA PET</t>
  </si>
  <si>
    <t>1800 ULTIMATE WATERMELON MARGARITA PET</t>
  </si>
  <si>
    <t>59175</t>
  </si>
  <si>
    <t>DULCE VIDA PALOMA RTD</t>
  </si>
  <si>
    <t>JURA 12YR</t>
  </si>
  <si>
    <t>1800 ULTIMATE MANGO MARGARITA PET</t>
  </si>
  <si>
    <t>1800 ULTIMATE BLOOD ORANGE MARGARITA PET</t>
  </si>
  <si>
    <t>1800 ULTIMATE BLACK CHERRY MARGARITA PET</t>
  </si>
  <si>
    <t>JOSE CUERVO AUTHENTIC CHERRY LIMEADE</t>
  </si>
  <si>
    <t>1800 ULTIMATE STRAWBERRY MARGARITA PET</t>
  </si>
  <si>
    <t>59205</t>
  </si>
  <si>
    <t>1800 PASSION FRUIT ULTIMATE MARGARITA</t>
  </si>
  <si>
    <t>1800 ULTIMATE WILD BERRY MARGARITA</t>
  </si>
  <si>
    <t>DULCE VIDA WATERMELON MARGARITA RTD</t>
  </si>
  <si>
    <t>59221</t>
  </si>
  <si>
    <t>59222</t>
  </si>
  <si>
    <t>DULCE VIDA MARGARITA RTD</t>
  </si>
  <si>
    <t>ICE BOX MUDSLIDE</t>
  </si>
  <si>
    <t>GLENLIVET CARIBBEAN RESERVE</t>
  </si>
  <si>
    <t>59280</t>
  </si>
  <si>
    <t>BRODYS CRAFT COCKTAILS AIRMAIL RUM</t>
  </si>
  <si>
    <t>59281</t>
  </si>
  <si>
    <t>BRODYS CLASSIC MAI TAI RUM COCKTAIL</t>
  </si>
  <si>
    <t>59282</t>
  </si>
  <si>
    <t>BRODYS CRAFT COCKTAILS BLACK ORCHID VODKA</t>
  </si>
  <si>
    <t>59283</t>
  </si>
  <si>
    <t>BRODYS LEADING ROLE BOURBON COCKTAIL</t>
  </si>
  <si>
    <t>59284</t>
  </si>
  <si>
    <t>BRODYS CRAFT COCKTAILS FRENCH 75 GIN</t>
  </si>
  <si>
    <t>59285</t>
  </si>
  <si>
    <t>BRODYS PEACH COSMO VODKA COCKTAIL</t>
  </si>
  <si>
    <t>59286</t>
  </si>
  <si>
    <t>BRODYS CRAFT COCKTAILS TOUCH OF GREY GIN</t>
  </si>
  <si>
    <t>59288</t>
  </si>
  <si>
    <t>BRODYS CRAFT COCKTAILS MINTED MULE VODKA</t>
  </si>
  <si>
    <t>5932</t>
  </si>
  <si>
    <t>MACALLAN DOUBLE CASK 15YR</t>
  </si>
  <si>
    <t>59534</t>
  </si>
  <si>
    <t>DELOLA SPRITZ BELLA BERRY</t>
  </si>
  <si>
    <t>59535</t>
  </si>
  <si>
    <t>DELOLA SPRITZ PALOMA ROSA</t>
  </si>
  <si>
    <t>59537</t>
  </si>
  <si>
    <t>59550</t>
  </si>
  <si>
    <t>DELOLA SPRITZ L''ORANGE</t>
  </si>
  <si>
    <t>59551</t>
  </si>
  <si>
    <t>GREY GOOSE CLASSIC MARTINI COCKTAIL</t>
  </si>
  <si>
    <t>59646</t>
  </si>
  <si>
    <t>5973</t>
  </si>
  <si>
    <t>DALMORE 12YR SHERRY CASK</t>
  </si>
  <si>
    <t>6011</t>
  </si>
  <si>
    <t>GLENMORANGIE X</t>
  </si>
  <si>
    <t>HANDY SCHILLER OLD FASHIONED</t>
  </si>
  <si>
    <t>60182</t>
  </si>
  <si>
    <t>HANDY SCHILLER MANHATTAN</t>
  </si>
  <si>
    <t>JOHNNIE WALKER HIGH RYE</t>
  </si>
  <si>
    <t>6052</t>
  </si>
  <si>
    <t>SHACKLETON</t>
  </si>
  <si>
    <t>6075</t>
  </si>
  <si>
    <t>DALMORE 14YR</t>
  </si>
  <si>
    <t>THE SINGLETON 12YR</t>
  </si>
  <si>
    <t>SPEYBURN BRADAN ORACH</t>
  </si>
  <si>
    <t>6105</t>
  </si>
  <si>
    <t>SPEYBURN 10YR</t>
  </si>
  <si>
    <t>DEWARS FRENCH SMOOTH</t>
  </si>
  <si>
    <t>61213</t>
  </si>
  <si>
    <t>HIGH WEST OLD FASHIONED BARREL FINISHED COCKTAIL WHISKEY</t>
  </si>
  <si>
    <t>61215</t>
  </si>
  <si>
    <t>HIGH WEST MANHATTAN BARREL FINISHED COCKTAIL WHISKEY</t>
  </si>
  <si>
    <t>614</t>
  </si>
  <si>
    <t>RUMCHATA W/MUG</t>
  </si>
  <si>
    <t>61616</t>
  </si>
  <si>
    <t>PENNSYLVANIA DUTCH EGG NOG</t>
  </si>
  <si>
    <t>61618</t>
  </si>
  <si>
    <t>6164</t>
  </si>
  <si>
    <t>THE DEACON</t>
  </si>
  <si>
    <t>61706</t>
  </si>
  <si>
    <t>JEFFERSONS THE MANHATTAN BARREL FINISH</t>
  </si>
  <si>
    <t>KETEL ONE ESPRESSO MARTINI COCKTAIL</t>
  </si>
  <si>
    <t>TALISKER 10YR</t>
  </si>
  <si>
    <t>KAHLUA FROZEN MUDSLIDE</t>
  </si>
  <si>
    <t>PARAMOUNT LONG ISLAND ICED TEA</t>
  </si>
  <si>
    <t>62120</t>
  </si>
  <si>
    <t>KINKY MARGARITA</t>
  </si>
  <si>
    <t>62121</t>
  </si>
  <si>
    <t>KINKY ALOHA BREEZE</t>
  </si>
  <si>
    <t>62122</t>
  </si>
  <si>
    <t>KINKY BLUE PATIO PUNCH</t>
  </si>
  <si>
    <t>TAMNAVULIN SCOTCH WHISKY</t>
  </si>
  <si>
    <t>TAMNAVULIN SHERRY CASK WHISKY</t>
  </si>
  <si>
    <t>62155</t>
  </si>
  <si>
    <t>LAIRDS APPLE BRANDY OLD FASHIONED COCKTAIL</t>
  </si>
  <si>
    <t>62352</t>
  </si>
  <si>
    <t>MALIBU STRAWBERRY DAIQUIRI READY TO SERVE COCKTAIL</t>
  </si>
  <si>
    <t>MALIBU PINEAPPLE BAY BREEZE READY TO SERVE COCKTAIL</t>
  </si>
  <si>
    <t>MALIBU RUM PUNCH READY TO SERVE COCKTAIL</t>
  </si>
  <si>
    <t>MARGARITAVILLE CLASSIC LIME MARGARITA</t>
  </si>
  <si>
    <t>MARGARITAVILLE LAST MANGO MARGARITA</t>
  </si>
  <si>
    <t>MARGARITAVILLE SKINNY MARGARITA</t>
  </si>
  <si>
    <t>62422</t>
  </si>
  <si>
    <t>MARGARITAVILLE SKINNY ISLAND PUNCH MARGARITA</t>
  </si>
  <si>
    <t>62426</t>
  </si>
  <si>
    <t>MARTINI MATES RTD ESPRESSO MARTINI</t>
  </si>
  <si>
    <t>WILLIAM WRIGHT / BAY AND ROUSE LLC</t>
  </si>
  <si>
    <t>62514</t>
  </si>
  <si>
    <t>MI CAMPO COCKTAILS MANGO MULE</t>
  </si>
  <si>
    <t>62515</t>
  </si>
  <si>
    <t>MI CAMPO COCKTAILS SPICY JALAPENO MARGARITA</t>
  </si>
  <si>
    <t>62610</t>
  </si>
  <si>
    <t>ZIYAD BERRY BUSSIN TEA</t>
  </si>
  <si>
    <t>62613</t>
  </si>
  <si>
    <t>ZIYAD LEMON RUSH</t>
  </si>
  <si>
    <t>62616</t>
  </si>
  <si>
    <t>ZIYAD WATERMELON DRIP</t>
  </si>
  <si>
    <t>62787</t>
  </si>
  <si>
    <t>ON THE ROCKS WHITE NEGRONI</t>
  </si>
  <si>
    <t>62788</t>
  </si>
  <si>
    <t>ON THE ROCKS MIDORI SOUR</t>
  </si>
  <si>
    <t>62809</t>
  </si>
  <si>
    <t>OLD FORESTER MINT JULEP</t>
  </si>
  <si>
    <t>6281</t>
  </si>
  <si>
    <t>ON THE ROCKS KNOB CREEK OLD FASHIONED</t>
  </si>
  <si>
    <t>ON THE ROCKS EFFEN COSMOPOLITAN</t>
  </si>
  <si>
    <t>ON THE ROCKS HORNITOS MARGARITA</t>
  </si>
  <si>
    <t>62816</t>
  </si>
  <si>
    <t>ON THE ROCKS COCKTAILS ESPRESSO MARTINI PET</t>
  </si>
  <si>
    <t>62906</t>
  </si>
  <si>
    <t>MR BOSTON HOLIDAY NOG</t>
  </si>
  <si>
    <t>62969</t>
  </si>
  <si>
    <t>ON THE ROCKS SPICED PEAR WHISKEY SOUR</t>
  </si>
  <si>
    <t>ON THE ROCKS TRES GENERACIONES JALAPENO PINEAPPLE MARGARITA</t>
  </si>
  <si>
    <t>ON THE ROCKS STRAWBERRY DAIQUIRI</t>
  </si>
  <si>
    <t>62973</t>
  </si>
  <si>
    <t>62974</t>
  </si>
  <si>
    <t>ON THE ROCKS BLUE HAWAIIAN</t>
  </si>
  <si>
    <t>63018</t>
  </si>
  <si>
    <t>TOAST AND TAVERN WHISKEY GINGER RTD</t>
  </si>
  <si>
    <t>TOAST AND TAVERN DAIQUIRI RTD</t>
  </si>
  <si>
    <t>63029</t>
  </si>
  <si>
    <t>ON THE ROCKS ESPRESSO MARTINI</t>
  </si>
  <si>
    <t>6303</t>
  </si>
  <si>
    <t>ARDBEG HEAVY VAPOURS - COMMITTEE RELEASE</t>
  </si>
  <si>
    <t>TOAST AND TAVERN COSMO RTD</t>
  </si>
  <si>
    <t>TOAST AND TAVERN SPICY MARGARITA RTD</t>
  </si>
  <si>
    <t>63044</t>
  </si>
  <si>
    <t>TOAST AND TAVERN MARGARITA RTD</t>
  </si>
  <si>
    <t>63053</t>
  </si>
  <si>
    <t>TOAST AND TAVERN OLD FASHIONED RTD</t>
  </si>
  <si>
    <t>ROASTERS DAUGHTER ESPRESSO MARTINI</t>
  </si>
  <si>
    <t>63089</t>
  </si>
  <si>
    <t>OLMECA ALTOS STRAWBERRY MARGARITA RTS</t>
  </si>
  <si>
    <t>ON THE ROCKS COCKTAILS ESPRESSO MARTINI</t>
  </si>
  <si>
    <t>ON THE ROCKS COCKTAILS EFFEN COSMOPOLITAN PET</t>
  </si>
  <si>
    <t>63126</t>
  </si>
  <si>
    <t>ON THE ROCKS TRES GEN JALAPENO PINEAPPLE MARGARITA PET</t>
  </si>
  <si>
    <t>ON THE ROCKS COCKTAILS HORNITOS MARGARITA PET</t>
  </si>
  <si>
    <t>ON THE ROCKS COCKTAILS KNOB CREEK OLD FASHIONED PET</t>
  </si>
  <si>
    <t>63130</t>
  </si>
  <si>
    <t>ON THE ROCKS COCKTAILS CRUZAN MAI TAI PET</t>
  </si>
  <si>
    <t>ON THE ROCKS COCKTAILS CRUZAN DAIQUIRI</t>
  </si>
  <si>
    <t>OLMECA ALTOS MARGARITA RTD</t>
  </si>
  <si>
    <t>TOMATIN SINGLE MALT</t>
  </si>
  <si>
    <t>63205</t>
  </si>
  <si>
    <t>HEUBLEIN CORAZON MARGARITA</t>
  </si>
  <si>
    <t>HEUBLEIN WHEATLEY COSMOPOLITAN</t>
  </si>
  <si>
    <t>HEUBLEIN OLD FASHIONED</t>
  </si>
  <si>
    <t>HEUBLEIN MYERS MAI TAI</t>
  </si>
  <si>
    <t>HEUBLEIN MANHATTAN</t>
  </si>
  <si>
    <t>63237</t>
  </si>
  <si>
    <t>HEUBLEIN DIRTY MARTINI</t>
  </si>
  <si>
    <t>63261</t>
  </si>
  <si>
    <t>ON THE ROCKS COCKTAILS KNOB CREEK BOURBON OLD FASHIONED</t>
  </si>
  <si>
    <t>63311</t>
  </si>
  <si>
    <t>ON THE ROCKS COCKTAILS CRUZAN MAI TAI</t>
  </si>
  <si>
    <t>ON THE ROCKS COCKTAILS EFFEN COSMOPOLITAN</t>
  </si>
  <si>
    <t>ON THE ROCKS COCKTAILS HORNITOS MARGARITA</t>
  </si>
  <si>
    <t>ON THE ROCKS COCKTAILS LARIOS AVIATION</t>
  </si>
  <si>
    <t>ON THE ROCKS COCKTAILS TRES GEN JALAPENO PINEAPPLE MARGARITA</t>
  </si>
  <si>
    <t>63355</t>
  </si>
  <si>
    <t>SKINNYGIRL MARGARITA</t>
  </si>
  <si>
    <t>GLENLIVET FUSION CASK</t>
  </si>
  <si>
    <t>TULLIBARDINE ARTISAN</t>
  </si>
  <si>
    <t>6339</t>
  </si>
  <si>
    <t>TULLIBARDINE 12 YEAR OLD SINGLE MALT SCOTCH</t>
  </si>
  <si>
    <t>ON THE ROCKS COCKTAILS BASIL HAYDEN DARK RYE MANHATTAN</t>
  </si>
  <si>
    <t>SALVADORS ORIGINAL MARGARITA PET</t>
  </si>
  <si>
    <t>63563</t>
  </si>
  <si>
    <t>SUNSHINE PUNCH ORANGE CREME</t>
  </si>
  <si>
    <t>ZING ZANG BLAZING BLOODY MARY RTS</t>
  </si>
  <si>
    <t>ZING ZANG, LLC</t>
  </si>
  <si>
    <t>ZING ZANG BLOODY MARY RTS</t>
  </si>
  <si>
    <t>63959</t>
  </si>
  <si>
    <t>UV BLUE RASPBERRY LEMONADE PET</t>
  </si>
  <si>
    <t>63998</t>
  </si>
  <si>
    <t>JP WISERS OLD FASHIONED WHISKY COCKTAIL</t>
  </si>
  <si>
    <t>ABSENTE</t>
  </si>
  <si>
    <t>64009</t>
  </si>
  <si>
    <t>ABSOLUT JUICE EDITION APPLE</t>
  </si>
  <si>
    <t>6405</t>
  </si>
  <si>
    <t>DEWARS 19YR US OPEN 2024 EDITION</t>
  </si>
  <si>
    <t>64105</t>
  </si>
  <si>
    <t>APEROL</t>
  </si>
  <si>
    <t>64121</t>
  </si>
  <si>
    <t>ANCHO REYES</t>
  </si>
  <si>
    <t>DISARONNO AMARETTO</t>
  </si>
  <si>
    <t>64138</t>
  </si>
  <si>
    <t>6418</t>
  </si>
  <si>
    <t>64185</t>
  </si>
  <si>
    <t>DOLADIRA</t>
  </si>
  <si>
    <t>CHAMBORD LIQUEUR ROYALE DE FRANCE</t>
  </si>
  <si>
    <t>64217</t>
  </si>
  <si>
    <t>SUPERBIRD FUEGO SPICY BLANCO TEQUILA</t>
  </si>
  <si>
    <t>64218</t>
  </si>
  <si>
    <t>PODRUM PEVAC MEDENA HONEY SPIRIT</t>
  </si>
  <si>
    <t>64235</t>
  </si>
  <si>
    <t>LAZZARONI AMARETTO</t>
  </si>
  <si>
    <t>64249</t>
  </si>
  <si>
    <t>THE BUTTERFLY CANNON BLUE FLAVORED TEQUILA</t>
  </si>
  <si>
    <t>AVERNA AMARO</t>
  </si>
  <si>
    <t>SOONHARI APPLE MANGO SOJU</t>
  </si>
  <si>
    <t>6428</t>
  </si>
  <si>
    <t>ORPHAN BARREL WOVEN HONOR 18 YO</t>
  </si>
  <si>
    <t>643</t>
  </si>
  <si>
    <t>JOSE CUERVO ESPECIAL SILVER W/1L CLASSIC MARGARITA MIX</t>
  </si>
  <si>
    <t>64304</t>
  </si>
  <si>
    <t>CHINOLA PASSION FRUIT LIQUEUR</t>
  </si>
  <si>
    <t>64306</t>
  </si>
  <si>
    <t>CIROC SUMMER CITRUS</t>
  </si>
  <si>
    <t>64317</t>
  </si>
  <si>
    <t>64319</t>
  </si>
  <si>
    <t>THE BUTTERFLY CANNON ROSA FLAVORED TEQUILA</t>
  </si>
  <si>
    <t>CIROC HONEY MELON</t>
  </si>
  <si>
    <t>B&amp;B DOM</t>
  </si>
  <si>
    <t>CIROC PASSION</t>
  </si>
  <si>
    <t>CITRONGE ORANGE</t>
  </si>
  <si>
    <t>BARENJAGER HONEY LIQUEUR</t>
  </si>
  <si>
    <t>BUMBU RUM</t>
  </si>
  <si>
    <t>64389</t>
  </si>
  <si>
    <t>64396</t>
  </si>
  <si>
    <t>BAUCHANT ORANGE LIQUEUR</t>
  </si>
  <si>
    <t>1081500</t>
  </si>
  <si>
    <t>TRIPLE SEC</t>
  </si>
  <si>
    <t>64409</t>
  </si>
  <si>
    <t>BELVEDERE HERITAGE 176</t>
  </si>
  <si>
    <t>CIROC SUMMER WATERMELON</t>
  </si>
  <si>
    <t>CAROLANS SALTED CARAMEL</t>
  </si>
  <si>
    <t>CANADIAN CLUB APPLE</t>
  </si>
  <si>
    <t>CIROC APPLE</t>
  </si>
  <si>
    <t>6452</t>
  </si>
  <si>
    <t>LAGAVULIN OFFERMAN CARIBBEAN RUM CASK FINISH</t>
  </si>
  <si>
    <t>GLENFIDDICH 12YR SHERRY</t>
  </si>
  <si>
    <t>64571</t>
  </si>
  <si>
    <t>CIROC PINEAPPLE</t>
  </si>
  <si>
    <t>64599</t>
  </si>
  <si>
    <t>CARAVELLA LIMONCELLO MINI</t>
  </si>
  <si>
    <t>CARAVELLA LIMONCELLO</t>
  </si>
  <si>
    <t>CAPEL PREMIUM PISCO</t>
  </si>
  <si>
    <t>CAMPARI ITALIAN APERITIVO</t>
  </si>
  <si>
    <t>DOMAINE DE CANTON</t>
  </si>
  <si>
    <t>64667</t>
  </si>
  <si>
    <t>CELTIC HONEY LIQUEUR</t>
  </si>
  <si>
    <t>64676</t>
  </si>
  <si>
    <t>CIROC PEACH</t>
  </si>
  <si>
    <t>64715</t>
  </si>
  <si>
    <t>PATRON CITRONGE LIQUEUR</t>
  </si>
  <si>
    <t>64752</t>
  </si>
  <si>
    <t>CIROC RED BERRY</t>
  </si>
  <si>
    <t>64753</t>
  </si>
  <si>
    <t>CHUM CHURUM ORIGINAL SOJU</t>
  </si>
  <si>
    <t>64759</t>
  </si>
  <si>
    <t>COINTREAU LIQUEUR</t>
  </si>
  <si>
    <t>64811</t>
  </si>
  <si>
    <t>ROMANA BLACK MINI</t>
  </si>
  <si>
    <t>ROMANA BLACK SAMBUCA</t>
  </si>
  <si>
    <t>DORDA DOUBLE CHOCOLATE LIQUEUR</t>
  </si>
  <si>
    <t>FIREBALL CINNAMON WHISKEY MINI DISPENSER</t>
  </si>
  <si>
    <t>FIREBALL CINNAMON WHISKEY</t>
  </si>
  <si>
    <t>FIREBALL CINNAMON WHISKEY PET</t>
  </si>
  <si>
    <t>DRAMBUIE LIQUEUR</t>
  </si>
  <si>
    <t>DUBLINER HONEYCOMB LIQUEUR</t>
  </si>
  <si>
    <t>64912</t>
  </si>
  <si>
    <t>CIROC MANGO</t>
  </si>
  <si>
    <t>64920</t>
  </si>
  <si>
    <t>DULCE VIDA GRAPEFRUIT</t>
  </si>
  <si>
    <t>64922</t>
  </si>
  <si>
    <t>DULCE VIDA LIME</t>
  </si>
  <si>
    <t>1800 COCONUT</t>
  </si>
  <si>
    <t>DULCE VIDA PINEAPPLE JALAPENO</t>
  </si>
  <si>
    <t>64973</t>
  </si>
  <si>
    <t>SOONHARI APPLE SOJU</t>
  </si>
  <si>
    <t>64975</t>
  </si>
  <si>
    <t>SOONHARI PEACH SOJU</t>
  </si>
  <si>
    <t>FRANGELICO LIQUEUR</t>
  </si>
  <si>
    <t>FIREBALL CINNAMON WHISKEY MINI SLEEVE</t>
  </si>
  <si>
    <t>DORDA SEA SALT CARAMEL LIQUEUR</t>
  </si>
  <si>
    <t>GOLDSCHLAGER CINNAMON SCHNAPPS MINI</t>
  </si>
  <si>
    <t>1082200</t>
  </si>
  <si>
    <t>IMPORTED SCHNAPPS</t>
  </si>
  <si>
    <t>GOLDSCHLAGER CINNAMON SCHNAPPS</t>
  </si>
  <si>
    <t>65111</t>
  </si>
  <si>
    <t>GALLIANO L'AUTENTICO</t>
  </si>
  <si>
    <t>65121</t>
  </si>
  <si>
    <t>GRAND MARNIER MINI</t>
  </si>
  <si>
    <t>GRAND MARNIER CORDON ROUGE</t>
  </si>
  <si>
    <t>IL TRAMONTO LIMONCELLO</t>
  </si>
  <si>
    <t>65151</t>
  </si>
  <si>
    <t>IL TRAMONTO AMARETTO</t>
  </si>
  <si>
    <t>65170</t>
  </si>
  <si>
    <t>HARLEQUIN</t>
  </si>
  <si>
    <t>HPNOTIQ MINI</t>
  </si>
  <si>
    <t>HPNOTIQ</t>
  </si>
  <si>
    <t>65198</t>
  </si>
  <si>
    <t>TEQUILA ROSE STRAWBERRY</t>
  </si>
  <si>
    <t>TEQUILA ROSE LIQUEUR</t>
  </si>
  <si>
    <t>TEQUILA ROSE LIQUEUR MINI</t>
  </si>
  <si>
    <t>SOONHARI STRAWBERRY SOJU</t>
  </si>
  <si>
    <t>HENDRICKS ORBIUM</t>
  </si>
  <si>
    <t>JAGERMEISTER LIQUEUR MINI</t>
  </si>
  <si>
    <t>JAGERMEISTER LIQUEUR</t>
  </si>
  <si>
    <t>JAGERMEISTER LIQUEUR MINI MEISTERS</t>
  </si>
  <si>
    <t>65267</t>
  </si>
  <si>
    <t>JINRO GRAPEFRUIT SOJU</t>
  </si>
  <si>
    <t>JINRO AMERICA INC</t>
  </si>
  <si>
    <t>65268</t>
  </si>
  <si>
    <t>JINRO GREEN GRAPE SOJU</t>
  </si>
  <si>
    <t>65283</t>
  </si>
  <si>
    <t>JINRO PLUM SOJU</t>
  </si>
  <si>
    <t>65307</t>
  </si>
  <si>
    <t>HENDRICKS MIDSUMMER SOLSTICE</t>
  </si>
  <si>
    <t>65344</t>
  </si>
  <si>
    <t>JINRO STRAWBERRY SOJU</t>
  </si>
  <si>
    <t>65362</t>
  </si>
  <si>
    <t>DORDA COCONUT LIQUEUR</t>
  </si>
  <si>
    <t>65368</t>
  </si>
  <si>
    <t>JAGERMEISTER COLD BREW COFFEE LIQUEUR</t>
  </si>
  <si>
    <t>65415</t>
  </si>
  <si>
    <t>JAMESON COLD BREW MINI</t>
  </si>
  <si>
    <t>JAMESON COLD BREW</t>
  </si>
  <si>
    <t>LICOR 43</t>
  </si>
  <si>
    <t>LICOR 43 ORIGINAL LIQUEUR</t>
  </si>
  <si>
    <t>65429</t>
  </si>
  <si>
    <t>LUCKY CAT BAIJU</t>
  </si>
  <si>
    <t>65443</t>
  </si>
  <si>
    <t>CARPANO BOTANIC BITTER</t>
  </si>
  <si>
    <t>GREY GOOSE STRAWBERRY &amp; LEMONGRASS</t>
  </si>
  <si>
    <t>65454</t>
  </si>
  <si>
    <t>GREY GOOSE ESSENCES WATERMELON &amp; BASIL</t>
  </si>
  <si>
    <t>65457</t>
  </si>
  <si>
    <t>GREY GOOSE ESSENCES WHITE PEACH &amp; ROSEMARY</t>
  </si>
  <si>
    <t>65466</t>
  </si>
  <si>
    <t>FERNET BRANCA BITTERS</t>
  </si>
  <si>
    <t>FERNET BRANCA</t>
  </si>
  <si>
    <t>JAMESON ORANGE</t>
  </si>
  <si>
    <t>65495</t>
  </si>
  <si>
    <t>JAMESON ORANGE MINI</t>
  </si>
  <si>
    <t>65507</t>
  </si>
  <si>
    <t>DRUMSHANBO SARDINIAN CITRUS IRISH GIN</t>
  </si>
  <si>
    <t>65518</t>
  </si>
  <si>
    <t>65519</t>
  </si>
  <si>
    <t>THE GLENLIVET TWIST &amp; MIX NEW MANHATTAN</t>
  </si>
  <si>
    <t>BUCHANANS PINEAPPLE</t>
  </si>
  <si>
    <t>LICOR 43 CHOCOLATE</t>
  </si>
  <si>
    <t>65556</t>
  </si>
  <si>
    <t>LUXARDO AMARETTO</t>
  </si>
  <si>
    <t>DRUMSHANBO CALIFORNIA CITRUS IRISH GIN</t>
  </si>
  <si>
    <t>65619</t>
  </si>
  <si>
    <t>IL TRAMONTO LIMONCELLO MINI</t>
  </si>
  <si>
    <t>65625</t>
  </si>
  <si>
    <t>KUBLER ABSINTHE SWISS SUPERIEURE</t>
  </si>
  <si>
    <t>CHOYA UJI GREEN TEA UMESHU</t>
  </si>
  <si>
    <t>CHOYA UMESHU USA INC.</t>
  </si>
  <si>
    <t>65628</t>
  </si>
  <si>
    <t>CHOYA YUZU LIQUEUR</t>
  </si>
  <si>
    <t>65639</t>
  </si>
  <si>
    <t>CHOYA GOLDEN UME FRUITS</t>
  </si>
  <si>
    <t>65649</t>
  </si>
  <si>
    <t>BITTER BIANCA</t>
  </si>
  <si>
    <t>65659</t>
  </si>
  <si>
    <t>CHINOLA MANGO LIQUEUR MASTER</t>
  </si>
  <si>
    <t>65666</t>
  </si>
  <si>
    <t>JOSE CUERVO DEVILS RESERVE</t>
  </si>
  <si>
    <t>1022100</t>
  </si>
  <si>
    <t>MIXTO TEQUILA</t>
  </si>
  <si>
    <t>65678</t>
  </si>
  <si>
    <t>THUNDER BITCH</t>
  </si>
  <si>
    <t>65683</t>
  </si>
  <si>
    <t>HORNITOS CUCUMBER HABANERO</t>
  </si>
  <si>
    <t>65684</t>
  </si>
  <si>
    <t>HORNITOS VANILLA HONEY</t>
  </si>
  <si>
    <t>65697</t>
  </si>
  <si>
    <t>DRUMSHANBO BRAZILIAN PINEAPPLE IRISH GIN</t>
  </si>
  <si>
    <t>65715</t>
  </si>
  <si>
    <t>173 CRAFT DISTILLERY SPICED RUM</t>
  </si>
  <si>
    <t>65729</t>
  </si>
  <si>
    <t>FIERO HABANERO TEQUILA</t>
  </si>
  <si>
    <t>HENDRICKS FLORA ADORA</t>
  </si>
  <si>
    <t>65738</t>
  </si>
  <si>
    <t>SOONHARI GRAPE SOJU</t>
  </si>
  <si>
    <t>65748</t>
  </si>
  <si>
    <t>DON AGAVE BARREL RESTED</t>
  </si>
  <si>
    <t>JOHN ERNEST DISTILLERY, INC.</t>
  </si>
  <si>
    <t>6575</t>
  </si>
  <si>
    <t>ARDBEG ANAMORPHIC</t>
  </si>
  <si>
    <t>DON AGAVE GOLD</t>
  </si>
  <si>
    <t>65752</t>
  </si>
  <si>
    <t>DON AGAVE SILVER</t>
  </si>
  <si>
    <t>HENDRICKS GRAND CABARET GIN</t>
  </si>
  <si>
    <t>65787</t>
  </si>
  <si>
    <t>MARASKA NOCELINO</t>
  </si>
  <si>
    <t>MARTELL BLUE SWIFT</t>
  </si>
  <si>
    <t>METAXA OUZO</t>
  </si>
  <si>
    <t>65897</t>
  </si>
  <si>
    <t>NEW AMSTERDAM PINK WHITNEY PET</t>
  </si>
  <si>
    <t>65926</t>
  </si>
  <si>
    <t>MALIBU PEACH</t>
  </si>
  <si>
    <t>MALIBU PEACH MINI</t>
  </si>
  <si>
    <t>65963</t>
  </si>
  <si>
    <t>MOZART CHOCOLATE CREAM PUMPKIN SPICE LIQUEUR</t>
  </si>
  <si>
    <t>AMARO MONTENEGRO</t>
  </si>
  <si>
    <t>MOZART DARK CHOCOLATE LIQUEUR</t>
  </si>
  <si>
    <t>66003</t>
  </si>
  <si>
    <t>MOZART WHITE CHOCOLATE CREAM LIQUEUR</t>
  </si>
  <si>
    <t>MOZART CHOCOLATE CREAM LIQUEUR</t>
  </si>
  <si>
    <t>66019</t>
  </si>
  <si>
    <t>MOZART CHOCOLATE COFFEE CREAM LIQUEUR</t>
  </si>
  <si>
    <t>1081100</t>
  </si>
  <si>
    <t>COFFEE LIQUEURS</t>
  </si>
  <si>
    <t>NARANJA ORANGE LIQUEUR</t>
  </si>
  <si>
    <t>66052</t>
  </si>
  <si>
    <t>NUVO SPARKLING LIQUEUR</t>
  </si>
  <si>
    <t>NONINO AMARO QUINTESSENTIA</t>
  </si>
  <si>
    <t>66068</t>
  </si>
  <si>
    <t>NONINO L'APERITIVO</t>
  </si>
  <si>
    <t>PROPER NO. TWELVE  APPLE</t>
  </si>
  <si>
    <t>66122</t>
  </si>
  <si>
    <t>FERRAND DRY CURACAO</t>
  </si>
  <si>
    <t>MAISON FERRAND USA / COGNAC FERRAND USA INC</t>
  </si>
  <si>
    <t>66127</t>
  </si>
  <si>
    <t>LAZZARONI LIMONCELLO</t>
  </si>
  <si>
    <t>PIMMS CUP NO 1</t>
  </si>
  <si>
    <t>ROTHMAN &amp; WINTER CREME DE VIOLETTE</t>
  </si>
  <si>
    <t>66256</t>
  </si>
  <si>
    <t>PARROT BAY SPICED RUM</t>
  </si>
  <si>
    <t>66259</t>
  </si>
  <si>
    <t>RAMAZZOTTI APERITIVO ROSATO</t>
  </si>
  <si>
    <t>66262</t>
  </si>
  <si>
    <t>66306</t>
  </si>
  <si>
    <t>RAMAZZOTTI AMARO</t>
  </si>
  <si>
    <t>66315</t>
  </si>
  <si>
    <t>RAMAZZOTTI SAMBUCA</t>
  </si>
  <si>
    <t>66322</t>
  </si>
  <si>
    <t>GHOST SPICY REPOSADO TEQUILA</t>
  </si>
  <si>
    <t>66344</t>
  </si>
  <si>
    <t>MIDNIGHT MOON PEANUT BUTTER MOONSHINE MINI</t>
  </si>
  <si>
    <t>1091300</t>
  </si>
  <si>
    <t>NEUTRAL GRAIN SPIRITS FLAVORED</t>
  </si>
  <si>
    <t>MIDNIGHT MOON PEANUT BUTTER MOONSHINE</t>
  </si>
  <si>
    <t>CASAMIGAS JALAPENO TEQUILA</t>
  </si>
  <si>
    <t>66368</t>
  </si>
  <si>
    <t>ROMANA AMARO</t>
  </si>
  <si>
    <t>66383</t>
  </si>
  <si>
    <t>ROMANA AMARETTO</t>
  </si>
  <si>
    <t>66414</t>
  </si>
  <si>
    <t>ROCK N ROLL TEQUILA GUITAR MANGO</t>
  </si>
  <si>
    <t>66416</t>
  </si>
  <si>
    <t>ROCK N ROLL TEQUILA GUITAR STRAWBERRY</t>
  </si>
  <si>
    <t>66463</t>
  </si>
  <si>
    <t>SOONHARI CITRON SOJU</t>
  </si>
  <si>
    <t>RUMHAVEN</t>
  </si>
  <si>
    <t>RUMCHATA COCONUT</t>
  </si>
  <si>
    <t>66524</t>
  </si>
  <si>
    <t>RUMCHATA PUMPKIN SPICE</t>
  </si>
  <si>
    <t>66537</t>
  </si>
  <si>
    <t>RUMCHATA PINEAPPLE MINI</t>
  </si>
  <si>
    <t>RUMCHATA PINEAPPLE</t>
  </si>
  <si>
    <t>66568</t>
  </si>
  <si>
    <t>SALT TEQUILA BERRY</t>
  </si>
  <si>
    <t>66570</t>
  </si>
  <si>
    <t>SALT TEQUILA CITRUS</t>
  </si>
  <si>
    <t>66572</t>
  </si>
  <si>
    <t>SALT TEQUILA SALTED CHOCOLATE</t>
  </si>
  <si>
    <t>66631</t>
  </si>
  <si>
    <t>ROMANA SAMBUCA MINI</t>
  </si>
  <si>
    <t>ROMANA SAMBUCA ITALIAN LIQUORE</t>
  </si>
  <si>
    <t>66665</t>
  </si>
  <si>
    <t>SANTO PURO MEZQUILA</t>
  </si>
  <si>
    <t>SHANKYS WHIP BLACK SPIRITS</t>
  </si>
  <si>
    <t>66726</t>
  </si>
  <si>
    <t>SHANKYS WHIP BLACK SPIRITS MINI</t>
  </si>
  <si>
    <t>66729</t>
  </si>
  <si>
    <t>66761</t>
  </si>
  <si>
    <t>SELVAREY COCONUT RUM INFUSED WITH NATURAL COCONUT FLAVOR</t>
  </si>
  <si>
    <t>SELVAREY CHOCOLATE RUM INFUSED WITH NATURAL CHOCOLATE FLAVOR</t>
  </si>
  <si>
    <t>SOLERNO BLOOD ORANGE LIQUEUR</t>
  </si>
  <si>
    <t>66811</t>
  </si>
  <si>
    <t>SIPSMITH STRAWBERRY SMASH</t>
  </si>
  <si>
    <t>66819</t>
  </si>
  <si>
    <t>SOONHARI YOGURT SOJU</t>
  </si>
  <si>
    <t>66833</t>
  </si>
  <si>
    <t>ST GERMAIN</t>
  </si>
  <si>
    <t>7 DROPS LYCHEE</t>
  </si>
  <si>
    <t>66876</t>
  </si>
  <si>
    <t>7 DROPS ORIGINAL</t>
  </si>
  <si>
    <t>66877</t>
  </si>
  <si>
    <t>7 DROPS WATERMELON</t>
  </si>
  <si>
    <t>66878</t>
  </si>
  <si>
    <t>7 DROPS PASSION FRUIT</t>
  </si>
  <si>
    <t>66879</t>
  </si>
  <si>
    <t>7 DROPS YOGURT</t>
  </si>
  <si>
    <t>66880</t>
  </si>
  <si>
    <t>7 DROPS APPLE</t>
  </si>
  <si>
    <t>66932</t>
  </si>
  <si>
    <t>SMIRNOFF RED WHITE AND MERRY</t>
  </si>
  <si>
    <t>66933</t>
  </si>
  <si>
    <t>TULLAMORE DEW HONEY</t>
  </si>
  <si>
    <t>GRANGALA TRIPLE ORANGE LIQUEUR</t>
  </si>
  <si>
    <t>66959</t>
  </si>
  <si>
    <t>VILLA MASSA AMARETTO</t>
  </si>
  <si>
    <t>21SEEDS CUCUMBER JALAPENO TEQUILA</t>
  </si>
  <si>
    <t>21SEEDS GRAPEFRUIT HIBISCUS</t>
  </si>
  <si>
    <t>66995</t>
  </si>
  <si>
    <t>SUZE GENTIAN APERITIF</t>
  </si>
  <si>
    <t>21SEEDS VALENCIA ORANGE TEQUILA</t>
  </si>
  <si>
    <t>MIDORI MELON LIQUEUR</t>
  </si>
  <si>
    <t>67032</t>
  </si>
  <si>
    <t>TANTEO JALAPENO TEQUILA</t>
  </si>
  <si>
    <t>67036</t>
  </si>
  <si>
    <t>TWISTED SHOTZ B52</t>
  </si>
  <si>
    <t>TWISTED SHOTZ BUTTERY NIPPLE</t>
  </si>
  <si>
    <t>67042</t>
  </si>
  <si>
    <t>TWISTED SHOTZ MIAMI VICE</t>
  </si>
  <si>
    <t>TWISTED SHOTZ PORN STAR</t>
  </si>
  <si>
    <t>TWISTED SHOTZ RATTLESNAKE</t>
  </si>
  <si>
    <t>67075</t>
  </si>
  <si>
    <t>TWISTED SHOTZ SEX ON THE BEACH</t>
  </si>
  <si>
    <t>TWISTED SHOTZ STRAWBERRY SUNDAE</t>
  </si>
  <si>
    <t>67085</t>
  </si>
  <si>
    <t>TIRAMISU DARK LIQUEUR</t>
  </si>
  <si>
    <t>TWISTED SHOTZ CHOCOLATE BUTTERY NIPPLE</t>
  </si>
  <si>
    <t>TWISTED SHOTZ PUSSY CAT</t>
  </si>
  <si>
    <t>TWISTED SHOTZ PINEAPPLE UPSIDE DOWN CAKE</t>
  </si>
  <si>
    <t>67174</t>
  </si>
  <si>
    <t>TANTEO HABANERO TEQUILA</t>
  </si>
  <si>
    <t>TWISTED SHOTZ ISLAND THUNDER</t>
  </si>
  <si>
    <t>67220</t>
  </si>
  <si>
    <t>VILLA MASSA LIMONCELLO</t>
  </si>
  <si>
    <t>67245</t>
  </si>
  <si>
    <t>TWISTED SHOTZ JOLLI JOLLI</t>
  </si>
  <si>
    <t>67248</t>
  </si>
  <si>
    <t>TWISTED SHOTZ CHOCOLATE MOUSSE</t>
  </si>
  <si>
    <t>67264</t>
  </si>
  <si>
    <t>YUKON JACK</t>
  </si>
  <si>
    <t>67296</t>
  </si>
  <si>
    <t>YUKON JACK PERMA FROST</t>
  </si>
  <si>
    <t>67309</t>
  </si>
  <si>
    <t>WHISTLER HONEY IRISH WHISKEY</t>
  </si>
  <si>
    <t>VILLON</t>
  </si>
  <si>
    <t>67357</t>
  </si>
  <si>
    <t>SVEDKA PURE INFUSIONS STRAWBERRY GUAVA VODKA</t>
  </si>
  <si>
    <t>67388</t>
  </si>
  <si>
    <t>BORGHETTI ESPRESSO LIQUEUR</t>
  </si>
  <si>
    <t>67420</t>
  </si>
  <si>
    <t>CANTERA NEGRA CAFE</t>
  </si>
  <si>
    <t>KAHLUA COFFEE MINI</t>
  </si>
  <si>
    <t>67523</t>
  </si>
  <si>
    <t>KAHLUA COFFEE</t>
  </si>
  <si>
    <t>67526</t>
  </si>
  <si>
    <t>67534</t>
  </si>
  <si>
    <t>KAHLUA VANILLA</t>
  </si>
  <si>
    <t>67550</t>
  </si>
  <si>
    <t>KAMORA COFFEE LIQUEUR</t>
  </si>
  <si>
    <t>67551</t>
  </si>
  <si>
    <t>KAMORA COFFEE LIQUEUR MINI</t>
  </si>
  <si>
    <t>KAHLUA SALTED CARAMEL</t>
  </si>
  <si>
    <t>KAPALI COFFEE LIQUEUR</t>
  </si>
  <si>
    <t>67595</t>
  </si>
  <si>
    <t>PATRON XO CAFE</t>
  </si>
  <si>
    <t>67607</t>
  </si>
  <si>
    <t>CAZADORES CAFE</t>
  </si>
  <si>
    <t>LUXARDO MARASCHINO CHERRY</t>
  </si>
  <si>
    <t>67612</t>
  </si>
  <si>
    <t>DORDA COFFEE LIQUEUR</t>
  </si>
  <si>
    <t>67613</t>
  </si>
  <si>
    <t>LUXARDO ESPRESSO ITALIAN COFFEE LIQUEUR</t>
  </si>
  <si>
    <t>MR. BLACK COLD BREW COFFEE LIQUEUR</t>
  </si>
  <si>
    <t>AMARULA CREAM LIQUEUR</t>
  </si>
  <si>
    <t>67868</t>
  </si>
  <si>
    <t>AMARULA VANILLA SPICE</t>
  </si>
  <si>
    <t>67898</t>
  </si>
  <si>
    <t>BAILEYS CINNAMON CHURROS LIQUEUR</t>
  </si>
  <si>
    <t>BAILEYS CHOCOLATE</t>
  </si>
  <si>
    <t>67901</t>
  </si>
  <si>
    <t>BAILEYS SMORES</t>
  </si>
  <si>
    <t>BAILEYS DELICIOUSLY LIGHT</t>
  </si>
  <si>
    <t>67904</t>
  </si>
  <si>
    <t>BAILEYS COLADA MINI</t>
  </si>
  <si>
    <t>67905</t>
  </si>
  <si>
    <t>BAILEYS COLADA</t>
  </si>
  <si>
    <t>BAILEYS STRAWBERRIES &amp; CREAM</t>
  </si>
  <si>
    <t>BAILEYS EXPRESSO</t>
  </si>
  <si>
    <t>BAILEYS SALTED CARAMEL</t>
  </si>
  <si>
    <t>BAILEYS VANILLA MINT SHAKE</t>
  </si>
  <si>
    <t>BAILEYS ORIGINAL IRISH CREAM MINI</t>
  </si>
  <si>
    <t>BAILEYS ORIGINAL IRISH CREAM</t>
  </si>
  <si>
    <t>68039</t>
  </si>
  <si>
    <t>BAILEYS ORIGINAL IRISH CREAM 100ML</t>
  </si>
  <si>
    <t>BAILEYS VANILLA CINNAMON</t>
  </si>
  <si>
    <t>BUMBU CREME</t>
  </si>
  <si>
    <t>68100</t>
  </si>
  <si>
    <t>1792 CHOCOLATE BOURBON BALL CREAM</t>
  </si>
  <si>
    <t>CAROLANS IRISH CREAM</t>
  </si>
  <si>
    <t>68127</t>
  </si>
  <si>
    <t>68149</t>
  </si>
  <si>
    <t>CAROLANS PEANUT BUTTER</t>
  </si>
  <si>
    <t>68207</t>
  </si>
  <si>
    <t>FOURSQUARE CRISMA</t>
  </si>
  <si>
    <t>DISARONNO VELVET CREAM LIQUEUR</t>
  </si>
  <si>
    <t>EMMETS IRISH CREAM LIQUEUR</t>
  </si>
  <si>
    <t>FIVE FARMS IRISH CREAM LIQUEUR</t>
  </si>
  <si>
    <t>KINKY ORANGE CREAM MINI</t>
  </si>
  <si>
    <t>LICOR 43 HORCHATA LIQUEUR</t>
  </si>
  <si>
    <t>68611</t>
  </si>
  <si>
    <t>MCCORMICK IRISH CREAM</t>
  </si>
  <si>
    <t>MIDNIGHT MOON APPLE PIE MOONSHAKE MINI</t>
  </si>
  <si>
    <t>68621</t>
  </si>
  <si>
    <t>MIDNIGHT MOON APPLE PIE MOONSHAKE</t>
  </si>
  <si>
    <t>MIDNIGHT MOON CHOCOLATE BROWNIE MOONSHAKE MINI</t>
  </si>
  <si>
    <t>MIDNIGHT MOON CHOCOLATE BROWNIE MOONSHAKE</t>
  </si>
  <si>
    <t>MIDNIGHT MOON COOKIES &amp; CREAM MOONSHAKE MINI</t>
  </si>
  <si>
    <t>68625</t>
  </si>
  <si>
    <t>MIDNIGHT MOON COOKIES &amp; CREAM MOONSHAKE</t>
  </si>
  <si>
    <t>68626</t>
  </si>
  <si>
    <t>MIDNIGHT MOON HOLIDAY NOG MOONSHAKE MINI</t>
  </si>
  <si>
    <t>68627</t>
  </si>
  <si>
    <t>MIDNIGHT MOON HOLIDAY NOG MOONSHAKE</t>
  </si>
  <si>
    <t>MIDNIGHT MOON PEANUT BUTTER CUP MOONSHAKE</t>
  </si>
  <si>
    <t>68629</t>
  </si>
  <si>
    <t>MIDNIGHT MOON PEANUT BUTTER CUP MOONSHAKE MINI</t>
  </si>
  <si>
    <t>68785</t>
  </si>
  <si>
    <t>O SULLIVANS IRISH CREAM</t>
  </si>
  <si>
    <t>ST BRENDANS IRISH CREAM</t>
  </si>
  <si>
    <t>ST BRENDANS SALTED CARAMEL</t>
  </si>
  <si>
    <t>68869</t>
  </si>
  <si>
    <t>ST BRENDANS ESPRESSO IRISH CREAM</t>
  </si>
  <si>
    <t>69002</t>
  </si>
  <si>
    <t>WHISTLER IRISH CREAM</t>
  </si>
  <si>
    <t>69604</t>
  </si>
  <si>
    <t>DR MCGILLICUDDYS MENTHOLMINT MINI</t>
  </si>
  <si>
    <t>69608</t>
  </si>
  <si>
    <t>DR MCGILLICUDDYS MENTHOLMINT</t>
  </si>
  <si>
    <t>DR MCGILLICUDDYS APPLE PIE MINI</t>
  </si>
  <si>
    <t>DR MCGILLICUDDYS APPLE PIE</t>
  </si>
  <si>
    <t>DR MCGILLICUDDYS BUTTERSCOTCH MINI</t>
  </si>
  <si>
    <t>DR MCGILLICUDDYS BUTTERSCOTCH</t>
  </si>
  <si>
    <t>DR MCGILLICUDDYS CHERRY MINI</t>
  </si>
  <si>
    <t>DR MCGILLICUDDYS CHERRY</t>
  </si>
  <si>
    <t>69654</t>
  </si>
  <si>
    <t>DR MCGILLICUDDYS MENTHOLDMINT</t>
  </si>
  <si>
    <t>DR MCGILLICUDDYS RAW VANILLA</t>
  </si>
  <si>
    <t>69667</t>
  </si>
  <si>
    <t>DR MCGILLICUDDYS VANILLA</t>
  </si>
  <si>
    <t>DR MCGILLICUDDYS ROOT BEER</t>
  </si>
  <si>
    <t>DR MCGILLICUDDYS WILD GRAPE MINI</t>
  </si>
  <si>
    <t>DR MCGILLICUDDYS WILD GRAPE</t>
  </si>
  <si>
    <t>DR MCGILLICUDDYS PEACH MINI</t>
  </si>
  <si>
    <t>DR MCGILLICUDDYS PEACH</t>
  </si>
  <si>
    <t>69718</t>
  </si>
  <si>
    <t>DR MCGILLICUDDYS PEPPERMINT</t>
  </si>
  <si>
    <t>69722</t>
  </si>
  <si>
    <t>RUMPLE MINZE</t>
  </si>
  <si>
    <t>RUMPLE MINZE PEPPERMINT SCHNAPPS LIQUEUR MINI</t>
  </si>
  <si>
    <t>69945</t>
  </si>
  <si>
    <t>RUMPLE MINZE PEPPERMINT SCHNAPPS LIQUEUR</t>
  </si>
  <si>
    <t>CLAN MACGREGOR SCOTCH</t>
  </si>
  <si>
    <t>71390</t>
  </si>
  <si>
    <t>ABSINTHIA ABSINTHE BLANCHE</t>
  </si>
  <si>
    <t>ABSINTHIA'S BOTTLED SPIRITS, LLC</t>
  </si>
  <si>
    <t>71392</t>
  </si>
  <si>
    <t>ABSINTHIA ABSINTHE VERTE</t>
  </si>
  <si>
    <t>71393</t>
  </si>
  <si>
    <t>ABSINTHIA ABSINTHE BARREL AGED</t>
  </si>
  <si>
    <t>TOOTERS ALA BAMA SLAMA</t>
  </si>
  <si>
    <t>71615</t>
  </si>
  <si>
    <t>10TH MOUNTAIN CORDIAL</t>
  </si>
  <si>
    <t>AMARETTO E DOLCE</t>
  </si>
  <si>
    <t>72127</t>
  </si>
  <si>
    <t>KICKASS HORSERADISH VODKA</t>
  </si>
  <si>
    <t>72287</t>
  </si>
  <si>
    <t>ARROW WATERMELON SMACKERS</t>
  </si>
  <si>
    <t>72330</t>
  </si>
  <si>
    <t>OLE SMOKY HOT &amp; SPICY MOONSHINE PICKLES</t>
  </si>
  <si>
    <t>72345</t>
  </si>
  <si>
    <t>BLACK MAGIC SPICED RUM MINI</t>
  </si>
  <si>
    <t>72347</t>
  </si>
  <si>
    <t>HONEY MOON</t>
  </si>
  <si>
    <t>WILDCAT PRODUCTS LLC</t>
  </si>
  <si>
    <t>BAILEYS ALMANDE</t>
  </si>
  <si>
    <t>72364</t>
  </si>
  <si>
    <t>TOOTERS BAHAMA MAMA</t>
  </si>
  <si>
    <t>BALLOTIN CHOCOLATE CHERRY CREAM WHISKEY</t>
  </si>
  <si>
    <t>SALOON SPIRITS LLC</t>
  </si>
  <si>
    <t>72382</t>
  </si>
  <si>
    <t>BALLOTIN CHOCOLATE MOCHA CREAM WHISKEY</t>
  </si>
  <si>
    <t>BALLOTIN CHOCOLATE PEANUT BUTTER CREAM</t>
  </si>
  <si>
    <t>72434</t>
  </si>
  <si>
    <t>BIG PEACH LIQUEUR</t>
  </si>
  <si>
    <t>72448</t>
  </si>
  <si>
    <t>TOOTERS BLU-DACIOUS KAMIKAZI MINI</t>
  </si>
  <si>
    <t>BLUE OX SILVER RUM</t>
  </si>
  <si>
    <t>72504</t>
  </si>
  <si>
    <t>72526</t>
  </si>
  <si>
    <t>BLACK MAGIC SPICED RUM</t>
  </si>
  <si>
    <t>72532</t>
  </si>
  <si>
    <t>BLUE CHAIR BAY MANGO RUM CREAM</t>
  </si>
  <si>
    <t>72629</t>
  </si>
  <si>
    <t>BELLISSIMO LIMONCELLO</t>
  </si>
  <si>
    <t>MORE THAN GRAPES, LLC</t>
  </si>
  <si>
    <t>72706</t>
  </si>
  <si>
    <t>BUBBAS BURNT SUGAR WHISKEY USE CODE 73120</t>
  </si>
  <si>
    <t>CHRISTIAN BROS HONEY</t>
  </si>
  <si>
    <t>CHRISTIAN BROS APPLE</t>
  </si>
  <si>
    <t>72816</t>
  </si>
  <si>
    <t>CAFFE LOLITA COFFEE LIQUEUR</t>
  </si>
  <si>
    <t>72911</t>
  </si>
  <si>
    <t>CAPTAIN MORGAN ORANGE VANILLA TWIST</t>
  </si>
  <si>
    <t>72927</t>
  </si>
  <si>
    <t>CAPTAIN MORGAN SLICED APPLE MINI</t>
  </si>
  <si>
    <t>CAPTAIN MORGAN SLICED APPLE</t>
  </si>
  <si>
    <t>72933</t>
  </si>
  <si>
    <t>CCD COFFEE LIQUEUR</t>
  </si>
  <si>
    <t>72945</t>
  </si>
  <si>
    <t>ND KRUPNIK</t>
  </si>
  <si>
    <t>72952</t>
  </si>
  <si>
    <t>CCD RASPBERRY CORDIAL</t>
  </si>
  <si>
    <t>72955</t>
  </si>
  <si>
    <t>CCRETS ISLAND MIX</t>
  </si>
  <si>
    <t>72971</t>
  </si>
  <si>
    <t>NORTH FOREST KREME PEPPERMINT</t>
  </si>
  <si>
    <t>72975</t>
  </si>
  <si>
    <t>NORTH FOREST KREME PEPPERMINT MINI</t>
  </si>
  <si>
    <t>72977</t>
  </si>
  <si>
    <t>NORTH FOREST KREME HUCKLEBERRY VANILLA MINI</t>
  </si>
  <si>
    <t>72978</t>
  </si>
  <si>
    <t>NORTH FOREST KREME HUCKLEBERRY VANILLA</t>
  </si>
  <si>
    <t>72981</t>
  </si>
  <si>
    <t>NORTH FOREST KREME MAPLE BOURBON PECAN</t>
  </si>
  <si>
    <t>72985</t>
  </si>
  <si>
    <t>NORTH FOREST KREME WALNUT MINI</t>
  </si>
  <si>
    <t>73000</t>
  </si>
  <si>
    <t>NORTH FOREST KREME ESPRESSO LIQUEUR</t>
  </si>
  <si>
    <t>73001</t>
  </si>
  <si>
    <t>NORTH FOREST KREME ESPRESSO LIQUEUR MINI</t>
  </si>
  <si>
    <t>RUMCHATA MINI</t>
  </si>
  <si>
    <t>RUMCHATA</t>
  </si>
  <si>
    <t>73059</t>
  </si>
  <si>
    <t>RUMCHATA LIMON</t>
  </si>
  <si>
    <t>73065</t>
  </si>
  <si>
    <t>RUMCHATA PEPPERMINT BARK</t>
  </si>
  <si>
    <t>73069</t>
  </si>
  <si>
    <t>JOSEPHINE EAU DE VIE</t>
  </si>
  <si>
    <t>73071</t>
  </si>
  <si>
    <t>LUSTER CLASSIC LIMONCELLO</t>
  </si>
  <si>
    <t>73072</t>
  </si>
  <si>
    <t>LUSTER LAVENDER LIMONCELLO</t>
  </si>
  <si>
    <t>73073</t>
  </si>
  <si>
    <t>LUSTER STRAWBERRY LIMONCELLO</t>
  </si>
  <si>
    <t>73074</t>
  </si>
  <si>
    <t>RENE RYEMAGNAC</t>
  </si>
  <si>
    <t>CIROC LIMONATA</t>
  </si>
  <si>
    <t>73120</t>
  </si>
  <si>
    <t>BUBBAS BURNT SUGAR WHISKEY</t>
  </si>
  <si>
    <t>73122</t>
  </si>
  <si>
    <t>BUBBAS MARSHMALLOW CHOCOLATE WHISKEY</t>
  </si>
  <si>
    <t>CHILA COFFEE LIQUEUR</t>
  </si>
  <si>
    <t>73149</t>
  </si>
  <si>
    <t>COPPER STILL HAVASHINE</t>
  </si>
  <si>
    <t>73199</t>
  </si>
  <si>
    <t>CORAL ISLE SPICED RUM</t>
  </si>
  <si>
    <t>CAPTAIN MORGAN CHERRY VANILLA</t>
  </si>
  <si>
    <t>73253</t>
  </si>
  <si>
    <t>DAMSO BLUEBERRY SOJU</t>
  </si>
  <si>
    <t>DAMSO WATERMELON SOJU</t>
  </si>
  <si>
    <t>73255</t>
  </si>
  <si>
    <t>DAMSO LYCHEE SOJU</t>
  </si>
  <si>
    <t>DAMSO PEACH SOJU</t>
  </si>
  <si>
    <t>73257</t>
  </si>
  <si>
    <t>DAMSO STRAWBERRY SOJU</t>
  </si>
  <si>
    <t>73423</t>
  </si>
  <si>
    <t>DAMSO ORIGINAL SOJU</t>
  </si>
  <si>
    <t>73424</t>
  </si>
  <si>
    <t>DAMSO GINGER SOJU</t>
  </si>
  <si>
    <t>73425</t>
  </si>
  <si>
    <t>DAMOS APPLE SOJU</t>
  </si>
  <si>
    <t>73426</t>
  </si>
  <si>
    <t>DAMSO MANDARIN SOJU</t>
  </si>
  <si>
    <t>DAMSO GRAPE SOJU</t>
  </si>
  <si>
    <t>DEKUYPER LUSCIOUS RAZZMATAZZ</t>
  </si>
  <si>
    <t>DEKUYPER CACTUS JUICE</t>
  </si>
  <si>
    <t>73526</t>
  </si>
  <si>
    <t>DEKUYPER MELON LIQUEUR</t>
  </si>
  <si>
    <t>73538</t>
  </si>
  <si>
    <t>YELLOWSTONE SPECIAL FINISHES COLLECTION - RUM CASK</t>
  </si>
  <si>
    <t>73545</t>
  </si>
  <si>
    <t>EZRA BROOKS PORT CASK FINISH</t>
  </si>
  <si>
    <t>DIRTY MONKEY</t>
  </si>
  <si>
    <t>DIRTY MONKEY MINI</t>
  </si>
  <si>
    <t>DOUGH BALL BIRTHDAY CAKE WHISKEY</t>
  </si>
  <si>
    <t>73584</t>
  </si>
  <si>
    <t>CINNABOMB CINNAMON WHISKEY</t>
  </si>
  <si>
    <t>YELLOWSTONE SPECIAL FINISHES COLLECTION - TOASTED STAVES</t>
  </si>
  <si>
    <t>73662</t>
  </si>
  <si>
    <t>TEQUILA HIERBA LOCA</t>
  </si>
  <si>
    <t>EVAN WILLIAMS HONEY</t>
  </si>
  <si>
    <t>73704</t>
  </si>
  <si>
    <t>EVAN WILLIAMS HONEY RESERVE MINI</t>
  </si>
  <si>
    <t>EVAN WILLIAMS CHERRY RESERVE</t>
  </si>
  <si>
    <t>EVAN WILLIAMS SPICED CIDER</t>
  </si>
  <si>
    <t>EVAN WILLIAMS PEACH MINI</t>
  </si>
  <si>
    <t>EVAN WILLIAMS PEACH</t>
  </si>
  <si>
    <t>EVAN WILLIAMS APPLE</t>
  </si>
  <si>
    <t>73754</t>
  </si>
  <si>
    <t>E &amp; J APPLE</t>
  </si>
  <si>
    <t>E &amp; J PEACH</t>
  </si>
  <si>
    <t>E &amp; J VANILLA</t>
  </si>
  <si>
    <t>73809</t>
  </si>
  <si>
    <t>RUMCHATA MOCHA COLD BREW DISCO</t>
  </si>
  <si>
    <t>73862</t>
  </si>
  <si>
    <t>TEQUILA HIERBA MADURA</t>
  </si>
  <si>
    <t>73877</t>
  </si>
  <si>
    <t>73891</t>
  </si>
  <si>
    <t>EMPRESS 1908 ELDERFLOWER ROSE GIN</t>
  </si>
  <si>
    <t>73895</t>
  </si>
  <si>
    <t>73896</t>
  </si>
  <si>
    <t>DRUMSHANBO SARDINIAN CITRUS IRISH GIN CERAMIC</t>
  </si>
  <si>
    <t>73932</t>
  </si>
  <si>
    <t>FONTBONNE HERBAL LIQUEUR</t>
  </si>
  <si>
    <t>73937</t>
  </si>
  <si>
    <t>EMPRESS 1908 CUCUMBER LEMON GIN</t>
  </si>
  <si>
    <t>DI AMORE AMARETTO</t>
  </si>
  <si>
    <t>74099</t>
  </si>
  <si>
    <t>ICE 101 GOLD</t>
  </si>
  <si>
    <t>GRIND ESPRESSO RUM</t>
  </si>
  <si>
    <t>74304</t>
  </si>
  <si>
    <t>CM TOPPLING GOLIATH BOURBON WHISKEY</t>
  </si>
  <si>
    <t>74486</t>
  </si>
  <si>
    <t>PRALINE LIQUEUR</t>
  </si>
  <si>
    <t>HARVEST MOON</t>
  </si>
  <si>
    <t>SLOW AND LOW</t>
  </si>
  <si>
    <t>74777</t>
  </si>
  <si>
    <t>KNUCKLENOGGIN SALTED CARAMEL WHISKEY</t>
  </si>
  <si>
    <t>CALIFORNIA TEQUILA INC</t>
  </si>
  <si>
    <t>74782</t>
  </si>
  <si>
    <t>JACK DANIELS WINTER JACK</t>
  </si>
  <si>
    <t>JACK DANIELS TENNESSEE APPLE</t>
  </si>
  <si>
    <t>JACK DANIELS TENNESSEE APPLE MINI</t>
  </si>
  <si>
    <t>74829</t>
  </si>
  <si>
    <t>IOWA LEGENDARY RYE BLACK LABEL</t>
  </si>
  <si>
    <t>IOWA LEGENDARY RYE RED LABEL</t>
  </si>
  <si>
    <t>74832</t>
  </si>
  <si>
    <t>J. RIEGER &amp; CO. CAFFE AMARO</t>
  </si>
  <si>
    <t>IOWA LEGENDARY RYE WHITE LABEL</t>
  </si>
  <si>
    <t>74841</t>
  </si>
  <si>
    <t>IOWA COFFEE COMPANY LIQUEUR</t>
  </si>
  <si>
    <t>JEPPSONS MALORT</t>
  </si>
  <si>
    <t>CH DISTILLERY / 773 LLC</t>
  </si>
  <si>
    <t>JUAREZ GOLD DSS</t>
  </si>
  <si>
    <t>75141</t>
  </si>
  <si>
    <t>KILLR SOUR APPLE TART MINI</t>
  </si>
  <si>
    <t>75142</t>
  </si>
  <si>
    <t>KILLR BIRTHDAY CAKE MINI</t>
  </si>
  <si>
    <t>75143</t>
  </si>
  <si>
    <t>KILLR SOUR WATERMELON MINI</t>
  </si>
  <si>
    <t>75144</t>
  </si>
  <si>
    <t>KILLR SQUEEZED LIME MINI</t>
  </si>
  <si>
    <t>75145</t>
  </si>
  <si>
    <t>TOOTERS ON THE TEA</t>
  </si>
  <si>
    <t>75146</t>
  </si>
  <si>
    <t>TOOTERS SARSAPARILLA HARD ROOT BEER</t>
  </si>
  <si>
    <t>KETEL ONE BOTANICAL CUCUMBER &amp; MINT</t>
  </si>
  <si>
    <t>KETEL ONE BOTANICAL GRAPEFRUIT &amp; ROSE</t>
  </si>
  <si>
    <t>KETEL ONE BOTANICAL PEACH &amp; ORANGE BLOSSOM</t>
  </si>
  <si>
    <t>75193</t>
  </si>
  <si>
    <t>ESPOLON FLOR DE ORO</t>
  </si>
  <si>
    <t>75195</t>
  </si>
  <si>
    <t>KINKY ALOHA MINI</t>
  </si>
  <si>
    <t>KINKY ALOHA</t>
  </si>
  <si>
    <t>KINKY BLUE</t>
  </si>
  <si>
    <t>75205</t>
  </si>
  <si>
    <t>KINKY BLUE MINI</t>
  </si>
  <si>
    <t>75206</t>
  </si>
  <si>
    <t>KINKY PINK MINI</t>
  </si>
  <si>
    <t>KINKY PINK</t>
  </si>
  <si>
    <t>75212</t>
  </si>
  <si>
    <t>KINKY GREEN MINI</t>
  </si>
  <si>
    <t>KINKY GREEN</t>
  </si>
  <si>
    <t>KINKY RED MINI</t>
  </si>
  <si>
    <t>75227</t>
  </si>
  <si>
    <t>KINKY RED</t>
  </si>
  <si>
    <t>75231</t>
  </si>
  <si>
    <t>KINKY RUBY MINI</t>
  </si>
  <si>
    <t>75243</t>
  </si>
  <si>
    <t>KINKY RUBY</t>
  </si>
  <si>
    <t>KINKY FRUIT PUNCH MINI</t>
  </si>
  <si>
    <t>KINKY FRUIT PUNCH</t>
  </si>
  <si>
    <t>75267</t>
  </si>
  <si>
    <t>KURVBALL WHISKEY MINI</t>
  </si>
  <si>
    <t>KURVBALL WHISKEY</t>
  </si>
  <si>
    <t>LEMONCELLO 50010</t>
  </si>
  <si>
    <t>IA-NATIVE SPIRITS</t>
  </si>
  <si>
    <t>LEMONCELLO 50010 MINI</t>
  </si>
  <si>
    <t>75561</t>
  </si>
  <si>
    <t>LEROUX WATERMELON</t>
  </si>
  <si>
    <t>75604</t>
  </si>
  <si>
    <t>LEROUX BITTER ORANGE</t>
  </si>
  <si>
    <t>MANGO SHOTTA MINI</t>
  </si>
  <si>
    <t>MANGO SHOTTA</t>
  </si>
  <si>
    <t>75897</t>
  </si>
  <si>
    <t>MASH &amp; MALLOW SMORES WHISKEY</t>
  </si>
  <si>
    <t>76023</t>
  </si>
  <si>
    <t>MIDNIGHT MOON PEACH MINI</t>
  </si>
  <si>
    <t>MIDNIGHT MOON ORIGINAL</t>
  </si>
  <si>
    <t>76033</t>
  </si>
  <si>
    <t>MIDNIGHT MOON PEACH</t>
  </si>
  <si>
    <t>MIDNIGHT MOON APPLE PIE</t>
  </si>
  <si>
    <t>76038</t>
  </si>
  <si>
    <t>MIDNIGHT MOON CHERRY</t>
  </si>
  <si>
    <t>MIDNIGHT MOON STRAWBERRY</t>
  </si>
  <si>
    <t>76042</t>
  </si>
  <si>
    <t>MIDNIGHT MOON BLACKBERRY</t>
  </si>
  <si>
    <t>76044</t>
  </si>
  <si>
    <t>MIDNIGHT MOON BLUEBERRY</t>
  </si>
  <si>
    <t>76059</t>
  </si>
  <si>
    <t>MIDNIGHT MOON LIGHTNING LEMONADE</t>
  </si>
  <si>
    <t>MIDNIGHT MOON WATERMELON MINI</t>
  </si>
  <si>
    <t>MIDNIGHT MOON APPLE PIE MINI</t>
  </si>
  <si>
    <t>76070</t>
  </si>
  <si>
    <t>MIDNIGHT MOON PEPPERMINT MINIS</t>
  </si>
  <si>
    <t>76072</t>
  </si>
  <si>
    <t>MIDNIGHT MOON WATERMELON</t>
  </si>
  <si>
    <t>MIDNIGHT MOON LIGHTNING LEMONADE MINI</t>
  </si>
  <si>
    <t>76079</t>
  </si>
  <si>
    <t>76081</t>
  </si>
  <si>
    <t>MODERN MATRIARCH STRAWBERRY LEMONADE RUM</t>
  </si>
  <si>
    <t>76084</t>
  </si>
  <si>
    <t>MISUNDERSTOOD OATNOG WHISKY</t>
  </si>
  <si>
    <t>MAKERS MARK 46</t>
  </si>
  <si>
    <t>76101</t>
  </si>
  <si>
    <t>GREEN FROG DISTILLERY COFFEE FLAVORED CORN WHISKEY</t>
  </si>
  <si>
    <t>76105</t>
  </si>
  <si>
    <t>BALLOTIN PEANUT BUTTER CHOCOLATE WHISKEY MINI</t>
  </si>
  <si>
    <t>76106</t>
  </si>
  <si>
    <t>BALLOTIN CHOCOLATE WHISKEY CARAMEL TURTLE MINI</t>
  </si>
  <si>
    <t>76107</t>
  </si>
  <si>
    <t>BALLOTIN CHOCOLATE WHISKEY MINI</t>
  </si>
  <si>
    <t>76125</t>
  </si>
  <si>
    <t>CEDAR RIDGE AMONTILLADO SHERRY FINISHED BOURBON</t>
  </si>
  <si>
    <t>CODY ROAD BLACKBERRY</t>
  </si>
  <si>
    <t>76128</t>
  </si>
  <si>
    <t>BROWN SUGAR BLEND 70PRF</t>
  </si>
  <si>
    <t>76177</t>
  </si>
  <si>
    <t>PARTY HORSES BASEL BANANA MINI</t>
  </si>
  <si>
    <t>76178</t>
  </si>
  <si>
    <t>PARTY HORSES PONY PUNCH MINI</t>
  </si>
  <si>
    <t>76179</t>
  </si>
  <si>
    <t>PARTY HORSES SINISTER CINNAMON MINI</t>
  </si>
  <si>
    <t>76180</t>
  </si>
  <si>
    <t>PARTY HORSES SILLY FUN FILLY MINI</t>
  </si>
  <si>
    <t>76181</t>
  </si>
  <si>
    <t>YELLOWSTONE LIMITED EDITION 2024</t>
  </si>
  <si>
    <t>76182</t>
  </si>
  <si>
    <t>AMERICAN BORN APPLE PIE WHISKEY</t>
  </si>
  <si>
    <t>AMERICAN BORN APPLE PIE WHISKEY MINI</t>
  </si>
  <si>
    <t>76205</t>
  </si>
  <si>
    <t>OAK &amp; EDEN RESERVE SERIES - BOURBON &amp; AMBURANA</t>
  </si>
  <si>
    <t>76207</t>
  </si>
  <si>
    <t>BROWN SUGAR BLEND</t>
  </si>
  <si>
    <t>76219</t>
  </si>
  <si>
    <t>OLE SMOKY MINT CHOCOLATE CHIP CREAM WHISKEY MINI</t>
  </si>
  <si>
    <t>MOSHINE PASSION FRUIT</t>
  </si>
  <si>
    <t>76221</t>
  </si>
  <si>
    <t>MOSHINE PASSION FRUIT MINI</t>
  </si>
  <si>
    <t>MONTEZUMA BLUE</t>
  </si>
  <si>
    <t>MOSHINE PEACH</t>
  </si>
  <si>
    <t>76239</t>
  </si>
  <si>
    <t>MOSHINE PEACH MINI</t>
  </si>
  <si>
    <t>76261</t>
  </si>
  <si>
    <t>KINKY PEACH MANGO</t>
  </si>
  <si>
    <t>KINKY PEACH MANGO MINI</t>
  </si>
  <si>
    <t>OLE SMOKY BLACKBERRY WHISKEY</t>
  </si>
  <si>
    <t>99 SALTED CARAMEL MINI</t>
  </si>
  <si>
    <t>99 PICKLE MINI</t>
  </si>
  <si>
    <t>76389</t>
  </si>
  <si>
    <t>NIXTA CORN LIQUEUR</t>
  </si>
  <si>
    <t>OLE SMOKY SOUR APPLE MOONSHINE</t>
  </si>
  <si>
    <t>OLE SMOKY SOUR WATERMELON MOONSHINE</t>
  </si>
  <si>
    <t>OLE SMOKY SOUR RAZZIN BERRY MOONSHINE</t>
  </si>
  <si>
    <t>OLE SMOKY BUTTER PECAN MOONSHINE MINI</t>
  </si>
  <si>
    <t>OLE SMOKY BUTTER PECAN MOONSHINE</t>
  </si>
  <si>
    <t>OLE SMOKY PICKLES MOONSHINE</t>
  </si>
  <si>
    <t>76424</t>
  </si>
  <si>
    <t>OLD ELK CIGAR CUT</t>
  </si>
  <si>
    <t>76425</t>
  </si>
  <si>
    <t>OLD ELK CIGAR CUT ISLAND BLEND</t>
  </si>
  <si>
    <t>76433</t>
  </si>
  <si>
    <t>OAK &amp; EDEN BOURBON &amp; SPIRE</t>
  </si>
  <si>
    <t>76435</t>
  </si>
  <si>
    <t>OAK &amp; EDEN WHEAT &amp; SPIRE</t>
  </si>
  <si>
    <t>OLD ST NICKS EGG NOG</t>
  </si>
  <si>
    <t>76439</t>
  </si>
  <si>
    <t>OAK &amp; EDEN BOURBON &amp; BREW</t>
  </si>
  <si>
    <t>76441</t>
  </si>
  <si>
    <t>OAK &amp; EDEN 4-GRAIN &amp; SPIRE</t>
  </si>
  <si>
    <t>76443</t>
  </si>
  <si>
    <t>OAK &amp; EDEN ANTHRO SERIES - FORRIE SMITH</t>
  </si>
  <si>
    <t>76444</t>
  </si>
  <si>
    <t>OAK &amp; EDEN BOURBON &amp; VINE</t>
  </si>
  <si>
    <t>76445</t>
  </si>
  <si>
    <t>OAK &amp; EDEN RYE &amp; RUMBA</t>
  </si>
  <si>
    <t>76466</t>
  </si>
  <si>
    <t>MR BOSTON AMARETTO</t>
  </si>
  <si>
    <t>76467</t>
  </si>
  <si>
    <t>MR BOSTON MELON</t>
  </si>
  <si>
    <t>PAMA POMEGRANATE LIQUEUR</t>
  </si>
  <si>
    <t>PARAMOUNT AMARETTO</t>
  </si>
  <si>
    <t>THE ORIGINAL PICKLE SHOT DILL PICKLE VODKA</t>
  </si>
  <si>
    <t>76492</t>
  </si>
  <si>
    <t>THE ORIGINAL PICKLE SHOT SPICY PICKLE VODKA</t>
  </si>
  <si>
    <t>76493</t>
  </si>
  <si>
    <t>173 CRAFT DISTILLERY BARREL &amp; KANE</t>
  </si>
  <si>
    <t>OLE SMOKY BANANA WHISKEY</t>
  </si>
  <si>
    <t>KRAKEN GOLD SPICED RUM</t>
  </si>
  <si>
    <t>THE ORIGINAL PICKLE SHOT DILL PICKLE VODKA MINI</t>
  </si>
  <si>
    <t>OLE SMOKY COOKIE DOUGH WHISKEY</t>
  </si>
  <si>
    <t>76505</t>
  </si>
  <si>
    <t>OLE SMOKY MOONSHINE PINEAPPLES</t>
  </si>
  <si>
    <t>OLE SMOKY SALTY CARAMEL WHISKEY</t>
  </si>
  <si>
    <t>76549</t>
  </si>
  <si>
    <t>76561</t>
  </si>
  <si>
    <t>CODY ROAD EXPERIMENTAL 5CITIES BREWING BARREL FINISH BOURBON</t>
  </si>
  <si>
    <t>76563</t>
  </si>
  <si>
    <t>CODY ROAD EXPERIMENTAL CRAWFORD BARREL</t>
  </si>
  <si>
    <t>76568</t>
  </si>
  <si>
    <t>SHOTTYS GREEN TEA SHOT W/WHISKEY 8-8PK MINIS</t>
  </si>
  <si>
    <t>76588</t>
  </si>
  <si>
    <t>KAHLUA CHOCOLATE SIPS</t>
  </si>
  <si>
    <t>76589</t>
  </si>
  <si>
    <t>KAHLUA WHITE CHOCOLATE SIPS</t>
  </si>
  <si>
    <t>76615</t>
  </si>
  <si>
    <t>BP EZRA BROOKS STAVE FINISH COLLECTION</t>
  </si>
  <si>
    <t>76619</t>
  </si>
  <si>
    <t>BP REBEL STAVE FINISH COLLECTION</t>
  </si>
  <si>
    <t>TEMPLETON MIDNIGHT RYE</t>
  </si>
  <si>
    <t>KINKY GRAPE MINI</t>
  </si>
  <si>
    <t>76635</t>
  </si>
  <si>
    <t>76636</t>
  </si>
  <si>
    <t>76642</t>
  </si>
  <si>
    <t>BLOOD OATH PACT 10</t>
  </si>
  <si>
    <t>PEARL VANILLA BEAN</t>
  </si>
  <si>
    <t>76679</t>
  </si>
  <si>
    <t>CM KNEE-HIGH DISTILLING CO CARAMEL VODKA</t>
  </si>
  <si>
    <t>76684</t>
  </si>
  <si>
    <t>FIREBALL DRAGNUM</t>
  </si>
  <si>
    <t>76685</t>
  </si>
  <si>
    <t>FIREBALL SMALL BATCH</t>
  </si>
  <si>
    <t>76686</t>
  </si>
  <si>
    <t>PEYCHAUDS APERITIVO</t>
  </si>
  <si>
    <t>76696</t>
  </si>
  <si>
    <t>KNEE-HIGH DISTILILNG CO. WATERMELON VODKA</t>
  </si>
  <si>
    <t>SUGARLANDS SOUR BLUE RASPBERRY MOONSHINE FOLDS OF HONOR</t>
  </si>
  <si>
    <t>76711</t>
  </si>
  <si>
    <t>PENELOPE RIO</t>
  </si>
  <si>
    <t>BLACKENED X RABBIT HOLE</t>
  </si>
  <si>
    <t>76720</t>
  </si>
  <si>
    <t>SAVAGE &amp; COOKE RYE WHISKEY</t>
  </si>
  <si>
    <t>76721</t>
  </si>
  <si>
    <t>SAVAGE &amp; COOKE BOURBON WHISKEY</t>
  </si>
  <si>
    <t>76723</t>
  </si>
  <si>
    <t>SUGARLANDS SHINE PEPPERMINT STICK MOONSHINE</t>
  </si>
  <si>
    <t>76753</t>
  </si>
  <si>
    <t>RD ONE FINISHED WITH FRENCH OAK</t>
  </si>
  <si>
    <t>RD ONE FINISHED WITH BRAZILIAN AMBURANA WOOD</t>
  </si>
  <si>
    <t>RD ONE DOUBLE FINISHED WITH OAK AND MAPLE BARRELS</t>
  </si>
  <si>
    <t>76824</t>
  </si>
  <si>
    <t>BLOOD OATH PACT NO.9</t>
  </si>
  <si>
    <t>76825</t>
  </si>
  <si>
    <t>CELTIC HONEY BEEKEEPERS BLEND</t>
  </si>
  <si>
    <t>SMIRNOFF BLUE RASPBERRY LEMONADE</t>
  </si>
  <si>
    <t>SMIRNOFF BLUE RASPBERRY MINI</t>
  </si>
  <si>
    <t>76833</t>
  </si>
  <si>
    <t>SEAGRAMS 83 AMERICAN BLEND MINI</t>
  </si>
  <si>
    <t>76838</t>
  </si>
  <si>
    <t>SEAGRAMS 83 AMERICAN BLENDED WHISKEY</t>
  </si>
  <si>
    <t>76840</t>
  </si>
  <si>
    <t>SEAGRAMS 83 AMERICAN BLEND</t>
  </si>
  <si>
    <t>76841</t>
  </si>
  <si>
    <t>SEAGRAMS VO APPLE</t>
  </si>
  <si>
    <t>THE ORIGINAL PICKLE SHOT SPICY PICKLE VODKA MINI</t>
  </si>
  <si>
    <t>76850</t>
  </si>
  <si>
    <t>INFUSED TEQUILA PINK LEMONADE</t>
  </si>
  <si>
    <t>INFUSED TEQUILA JALAPENO LIME</t>
  </si>
  <si>
    <t>76900</t>
  </si>
  <si>
    <t>P31</t>
  </si>
  <si>
    <t>KINDRED VINES IMPORT CO/ J&amp;J IMPORTERS</t>
  </si>
  <si>
    <t>76901</t>
  </si>
  <si>
    <t>77049</t>
  </si>
  <si>
    <t>SIR WINSTON APPLE</t>
  </si>
  <si>
    <t>FIELD FIRE</t>
  </si>
  <si>
    <t>77052</t>
  </si>
  <si>
    <t>HOG WILD CINNAMON</t>
  </si>
  <si>
    <t>PRIVATE FIRST CLASS</t>
  </si>
  <si>
    <t>SIR WINSTON PEACH</t>
  </si>
  <si>
    <t>WILD ROOTS ORANGE &amp; BERGAMOT GIN</t>
  </si>
  <si>
    <t>77189</t>
  </si>
  <si>
    <t>SODA JERK ROOT BEER SHOT</t>
  </si>
  <si>
    <t>SODA JERK LLC</t>
  </si>
  <si>
    <t>77199</t>
  </si>
  <si>
    <t>ST GEORGE ABSINTHE VERTE</t>
  </si>
  <si>
    <t>77201</t>
  </si>
  <si>
    <t>SODA JERK ROOT BEER SHOT MINI</t>
  </si>
  <si>
    <t>77203</t>
  </si>
  <si>
    <t>SODA JERK ORANGE CREAM SHOT</t>
  </si>
  <si>
    <t>77209</t>
  </si>
  <si>
    <t>SODA JERK ORANGE CREAM SHOT MINI</t>
  </si>
  <si>
    <t>SUGARLANDS MAPLE BACON MOONSHINE</t>
  </si>
  <si>
    <t>77232</t>
  </si>
  <si>
    <t>SUGARLANDS MARK &amp; DIGGERS HAZELNUT RUM</t>
  </si>
  <si>
    <t>77264</t>
  </si>
  <si>
    <t>TOOTERS RED-DICULOUS ON THE BEACH</t>
  </si>
  <si>
    <t>77268</t>
  </si>
  <si>
    <t>ICE 101 RED</t>
  </si>
  <si>
    <t>ROCKET FUEL</t>
  </si>
  <si>
    <t>RONDIAZ RUM SPICED</t>
  </si>
  <si>
    <t>77324</t>
  </si>
  <si>
    <t>RONDIAZ RUM SPICED BLACK CHERRY</t>
  </si>
  <si>
    <t>SUGARLANDS APPALACHIAN APPLE PIE MOONSHINE</t>
  </si>
  <si>
    <t>77332</t>
  </si>
  <si>
    <t>SUGARLANDS SHINE BUTTERSCOTCH GOLD MOONSHINE</t>
  </si>
  <si>
    <t>SUGARLANDS MARK ROGERS AMERICAN PEACH MOONSHINE</t>
  </si>
  <si>
    <t>ST GEORGE SPICED PEAR LIQUEUR</t>
  </si>
  <si>
    <t>TORTILLA GOLD DSS</t>
  </si>
  <si>
    <t>77529</t>
  </si>
  <si>
    <t>TRADER VICS KONA COFFEE</t>
  </si>
  <si>
    <t>77532</t>
  </si>
  <si>
    <t>TRADER VICS CHOCOLATE LIQUEUR</t>
  </si>
  <si>
    <t>77534</t>
  </si>
  <si>
    <t>TRADER VICS WHITE CHOCOLATE LIQUEUR</t>
  </si>
  <si>
    <t>77535</t>
  </si>
  <si>
    <t>TRADER VICS MACADAMIA NUT</t>
  </si>
  <si>
    <t>TOOTERS APPLE-TINI MINI</t>
  </si>
  <si>
    <t>SMIRNOFF BLUEBERRY</t>
  </si>
  <si>
    <t>SMIRNOFF CHERRY</t>
  </si>
  <si>
    <t>SMIRNOFF CITRUS</t>
  </si>
  <si>
    <t>SMIRNOFF GREEN APPLE</t>
  </si>
  <si>
    <t>SMIRNOFF KISSED CARAMEL</t>
  </si>
  <si>
    <t>SMIRNOFF LIME</t>
  </si>
  <si>
    <t>SMIRNOFF ORANGE</t>
  </si>
  <si>
    <t>77699</t>
  </si>
  <si>
    <t>SMIRNOFF PEACH</t>
  </si>
  <si>
    <t>SMIRNOFF PINEAPPLE</t>
  </si>
  <si>
    <t>TRAVIS HASSE COW PIE</t>
  </si>
  <si>
    <t>SMIRNOFF RASPBERRY</t>
  </si>
  <si>
    <t>WILD TURKEY AMERICAN HONEY STING</t>
  </si>
  <si>
    <t>WILD TURKEY AMERICAN HONEY</t>
  </si>
  <si>
    <t>TUACA PERFECT CHILL</t>
  </si>
  <si>
    <t>SAINTS N SINNERS APPLE PIE</t>
  </si>
  <si>
    <t>77824</t>
  </si>
  <si>
    <t>TOOTERS MELLON BALL</t>
  </si>
  <si>
    <t>SMIRNOFF STRAWBERRY</t>
  </si>
  <si>
    <t>SMIRNOFF VANILLA</t>
  </si>
  <si>
    <t>SMIRNOFF WATERMELON</t>
  </si>
  <si>
    <t>SMIRNOFF WHIPPED CREAM</t>
  </si>
  <si>
    <t>77889</t>
  </si>
  <si>
    <t>SMIRNOFF RUBY RED GRAPEFRUIT</t>
  </si>
  <si>
    <t>SMIRNOFF SOURS BERRY LEMON</t>
  </si>
  <si>
    <t>77902</t>
  </si>
  <si>
    <t>SMIRNOFF PEPPERMINT TWIST MINI</t>
  </si>
  <si>
    <t>SMIRNOFF PEPPERMINT TWIST</t>
  </si>
  <si>
    <t>SMIRNOFF RED, WHITE &amp; BERRY MINI</t>
  </si>
  <si>
    <t>SMIRNOFF RED, WHITE &amp; BERRY</t>
  </si>
  <si>
    <t>TATTERSALL ORANGE LIQUEUR</t>
  </si>
  <si>
    <t>77987</t>
  </si>
  <si>
    <t>SMIRNOFF SPICY TAMARIND MINI</t>
  </si>
  <si>
    <t>SMIRNOFF SPICY TAMARIND</t>
  </si>
  <si>
    <t>77994</t>
  </si>
  <si>
    <t>SMIRNOFF ZERO SUGAR INFUSION CUCUMBER &amp; LIME</t>
  </si>
  <si>
    <t>SMIRNOFF ZERO SUGAR INFUSION STRAWBERRY &amp; ROSE</t>
  </si>
  <si>
    <t>SMIRNOFF ZERO SUGAR INFUSION WATERMELON &amp; MINT</t>
  </si>
  <si>
    <t>SUGARLANDS APPALACHIAN BANANA PUDDING SIPPIN CREAM</t>
  </si>
  <si>
    <t>78113</t>
  </si>
  <si>
    <t>THE REAL STUFF</t>
  </si>
  <si>
    <t>SAINTS N SINNERS MINI</t>
  </si>
  <si>
    <t>SMIRNOFF PINK LEMONADE MINI</t>
  </si>
  <si>
    <t>SMIRNOFF PINK LEMONADE</t>
  </si>
  <si>
    <t>TWISTED TEA WHISKEY</t>
  </si>
  <si>
    <t>TWISTED TEA WHISKEY MINI</t>
  </si>
  <si>
    <t>78191</t>
  </si>
  <si>
    <t>ANGELS ENVY BARREL</t>
  </si>
  <si>
    <t>TOWN BRANCH MAPLE BARREL STOUT FINISHED BOURBON</t>
  </si>
  <si>
    <t>78212</t>
  </si>
  <si>
    <t>WINDSOR APPLE MINI</t>
  </si>
  <si>
    <t>BASIL HAYDEN RED WINE CASK FINISH</t>
  </si>
  <si>
    <t>WINDSOR APPLE</t>
  </si>
  <si>
    <t>BALLOTIN CHOCOLATE TOFFEE WHISKEY</t>
  </si>
  <si>
    <t>78245</t>
  </si>
  <si>
    <t>SWEET REVENGE</t>
  </si>
  <si>
    <t>78247</t>
  </si>
  <si>
    <t>TOMS GOOD LOVIN BOURBON WHISKEY BLENDED WITH PORT WINE</t>
  </si>
  <si>
    <t>78257</t>
  </si>
  <si>
    <t>OLE SMOKY PUMPKIN SPICE CREAM MOONSHINE</t>
  </si>
  <si>
    <t>78259</t>
  </si>
  <si>
    <t>SUGARLANDS FRUIT PUNCH MOONSHINE</t>
  </si>
  <si>
    <t>78265</t>
  </si>
  <si>
    <t>OLE SMOKY SHINE NOG MINI</t>
  </si>
  <si>
    <t>78286</t>
  </si>
  <si>
    <t>HARD TRUTH CINNAMON VODKA</t>
  </si>
  <si>
    <t>78287</t>
  </si>
  <si>
    <t>HARD TRUTH TOASTED COCONUT RUM</t>
  </si>
  <si>
    <t>78291</t>
  </si>
  <si>
    <t>SMIRNOFF PEACH LEMONADE</t>
  </si>
  <si>
    <t>SMIRNOFF PEACH LEMONADE MINI</t>
  </si>
  <si>
    <t>78297</t>
  </si>
  <si>
    <t>SKREWBALL PEANUT BUTTER WHISKEY CAN</t>
  </si>
  <si>
    <t>78314</t>
  </si>
  <si>
    <t>GREEN FROG DISTILLERY CORN &amp; RYE</t>
  </si>
  <si>
    <t>78325</t>
  </si>
  <si>
    <t>SHAKU SAKE BERRY LIQUEUR</t>
  </si>
  <si>
    <t>KEYNES INTERNATIONAL TRADE CORPORATION</t>
  </si>
  <si>
    <t>78326</t>
  </si>
  <si>
    <t>78352</t>
  </si>
  <si>
    <t>TWISTED SHOTZ RAZZLE DAZZLE</t>
  </si>
  <si>
    <t>78353</t>
  </si>
  <si>
    <t>TWISTED SHOTZ SUCK IT UP, BUTTERCUP</t>
  </si>
  <si>
    <t>78392</t>
  </si>
  <si>
    <t>AUTENTICA DE MI PUEBLO REPOSADO AGAVE SPIRIT</t>
  </si>
  <si>
    <t>RAICILLA SAN GREGORIO INC</t>
  </si>
  <si>
    <t>78393</t>
  </si>
  <si>
    <t>AUTENTICA DE MI PUEBLO PLATA AGAVE SPIRIT</t>
  </si>
  <si>
    <t>78394</t>
  </si>
  <si>
    <t>AUTENTICA DE MI PUEBLO ANEJO AGAVE SPIRIT</t>
  </si>
  <si>
    <t>78437</t>
  </si>
  <si>
    <t>MR BOSTON CREME DE CACAO DARK</t>
  </si>
  <si>
    <t>PARAMOUNT CREME DE CACAO DARK</t>
  </si>
  <si>
    <t>ARROW CREME DE CACAO WHITE</t>
  </si>
  <si>
    <t>78847</t>
  </si>
  <si>
    <t>MR BOSTON CREME DE CACAO WHITE</t>
  </si>
  <si>
    <t>PARAMOUNT CREME DE CACAO WHITE</t>
  </si>
  <si>
    <t>79026</t>
  </si>
  <si>
    <t>ARROW CREME DE MENTHE GREEN</t>
  </si>
  <si>
    <t>79317</t>
  </si>
  <si>
    <t>MR BOSTON CREME DE MENTHE GREEN</t>
  </si>
  <si>
    <t>PARAMOUNT CREME DE MENTHE GREEN</t>
  </si>
  <si>
    <t>ARROW CREME DE MENTHE WHITE</t>
  </si>
  <si>
    <t>79797</t>
  </si>
  <si>
    <t>MR BOSTON CREME DE MENTHE WHITE</t>
  </si>
  <si>
    <t>ARROW CREME DE ALMOND</t>
  </si>
  <si>
    <t>BUFFALO TRACE BOURBON CREAM MINI</t>
  </si>
  <si>
    <t>80001</t>
  </si>
  <si>
    <t>BACARDI COQUITO</t>
  </si>
  <si>
    <t>80004</t>
  </si>
  <si>
    <t>BLUE CHAIR BAY PINEAPPLE RUM CREAM</t>
  </si>
  <si>
    <t>BLUE CHAIR BAY KEY LIME RUM CREAM</t>
  </si>
  <si>
    <t>BUFFALO TRACE BOURBON CREAM</t>
  </si>
  <si>
    <t>BLUE CHAIR BAY BANANA RUM CREAM</t>
  </si>
  <si>
    <t>80058</t>
  </si>
  <si>
    <t>CHI-CHI'S ORANGE CREAM</t>
  </si>
  <si>
    <t>80069</t>
  </si>
  <si>
    <t>CASHEL IRISH CREAM</t>
  </si>
  <si>
    <t>DEKUYPER CREME DE BANANA</t>
  </si>
  <si>
    <t>EZRA BROOKS BOURBON CREAM</t>
  </si>
  <si>
    <t>FULTONS HARVEST PUMPKIN LIQUEUR</t>
  </si>
  <si>
    <t>80236</t>
  </si>
  <si>
    <t>IOWISH CREAM LIQUEUR</t>
  </si>
  <si>
    <t>80238</t>
  </si>
  <si>
    <t>IOWISH CREAM EGG NOG</t>
  </si>
  <si>
    <t>IOWISH CREAM SALTED CARAMEL</t>
  </si>
  <si>
    <t>IOWISH CREAM AMARETTO</t>
  </si>
  <si>
    <t>80250</t>
  </si>
  <si>
    <t>JIM BEAM BOURBON CREAM</t>
  </si>
  <si>
    <t>80308</t>
  </si>
  <si>
    <t>KAMORA DULCE DE LECHE MINI</t>
  </si>
  <si>
    <t>80309</t>
  </si>
  <si>
    <t>KAMORA DULCE DE LECHE</t>
  </si>
  <si>
    <t>80311</t>
  </si>
  <si>
    <t>LICOR 43 CREME BRULEE</t>
  </si>
  <si>
    <t>80339</t>
  </si>
  <si>
    <t>OLE SMOKY CHOCOLATE PEANUT BUTTER CREAM MOONSHINE</t>
  </si>
  <si>
    <t>80356</t>
  </si>
  <si>
    <t>OLE SMOKY SNICKERDOODLE CREAM MOONSHINE</t>
  </si>
  <si>
    <t>OLE SMOKY ORANGE SHINESICLE MOONSHINE MINI</t>
  </si>
  <si>
    <t>80360</t>
  </si>
  <si>
    <t>STEDMANS BOURBON CREAM</t>
  </si>
  <si>
    <t>OLE SMOKY KEY LIME CREAM MOONSHINE</t>
  </si>
  <si>
    <t>OLE SMOKY ORANGE SHINESICLE MOONSHINE</t>
  </si>
  <si>
    <t>OLE SMOKY BANANA PUDDING CREAM MOONSHINE</t>
  </si>
  <si>
    <t>80364</t>
  </si>
  <si>
    <t>OLE SMOKY SOME BEACH CREAM MOONSHINE</t>
  </si>
  <si>
    <t>OLE SMOKY WHITE CHOCOLATE STRAWBERRY CREAM</t>
  </si>
  <si>
    <t>80367</t>
  </si>
  <si>
    <t>MR BOSTON CREME DE BANANA</t>
  </si>
  <si>
    <t>OLE SMOKY MOUNTAIN JAVA MOONSHINE MINI</t>
  </si>
  <si>
    <t>80374</t>
  </si>
  <si>
    <t>OLE SMOKY MOUNTAIN JAVA CREAM MOONSHINE</t>
  </si>
  <si>
    <t>OLE SMOKY COOKIES AND CREAM</t>
  </si>
  <si>
    <t>OLE SMOKY TENNESSEE MUD WHISKEY</t>
  </si>
  <si>
    <t>PRALINES &amp; CREAM</t>
  </si>
  <si>
    <t>OLE SMOKY BANANA PUDDING CREAM MOONSHINE MINI</t>
  </si>
  <si>
    <t>OLE SMOKY WHITE CHOCOLATE STRAWBERRY MOONSHINE MINI</t>
  </si>
  <si>
    <t>804</t>
  </si>
  <si>
    <t>JACK DANIELS SINATRA</t>
  </si>
  <si>
    <t>80407</t>
  </si>
  <si>
    <t>OLE SMOKY COOKIES AND CREAM MINI</t>
  </si>
  <si>
    <t>80409</t>
  </si>
  <si>
    <t>PENNSYLVANIA DUTCH BOURBON CREAM</t>
  </si>
  <si>
    <t>RUMCOQUI PISTACHIO RUM CREAM</t>
  </si>
  <si>
    <t>RUMCOQUI AND CO</t>
  </si>
  <si>
    <t>PENNSYLVANIA DUTCH SALTED CARAMEL</t>
  </si>
  <si>
    <t>80421</t>
  </si>
  <si>
    <t>PENNSYLVANIA DUTCH PUMPKIN CREAM</t>
  </si>
  <si>
    <t>80422</t>
  </si>
  <si>
    <t>80423</t>
  </si>
  <si>
    <t>PENNSYLVANIA DUTCH PEPPERMINT BARK</t>
  </si>
  <si>
    <t>80424</t>
  </si>
  <si>
    <t>PENNSYLVANIA DUTCH STRAWBERRIES &amp; CREAM</t>
  </si>
  <si>
    <t>SOMRUS COFFEE CREAM LIQUEUR</t>
  </si>
  <si>
    <t>RUMCOQUI</t>
  </si>
  <si>
    <t>80451</t>
  </si>
  <si>
    <t>RYANS CREAM LIQUEUR MINI</t>
  </si>
  <si>
    <t>80455</t>
  </si>
  <si>
    <t>SOMRUS MANGO</t>
  </si>
  <si>
    <t>RYANS CREAM LIQUEUR</t>
  </si>
  <si>
    <t>80463</t>
  </si>
  <si>
    <t>SOMRUS CHAI</t>
  </si>
  <si>
    <t>TIPPY COW CHOCOLATE</t>
  </si>
  <si>
    <t>TIPPY COW ORANGE CREAM</t>
  </si>
  <si>
    <t>TIPPY COW VANILLA SOFT SERVE</t>
  </si>
  <si>
    <t>TIPPY COW SHAMROCK MINT</t>
  </si>
  <si>
    <t>SUGARLANDS APPALACHIAN BUTTER PECAN SIPPIN CREAM</t>
  </si>
  <si>
    <t>SUGARLANDS APPALACHAIN DARK CHOCOLATE COFFEE SIPPIN CREAM</t>
  </si>
  <si>
    <t>80526</t>
  </si>
  <si>
    <t>SUGARLANDS PUMPKIN SPICE LATTE SIPPIN CREAM</t>
  </si>
  <si>
    <t>80545</t>
  </si>
  <si>
    <t>KELLOGGS EGGO NOG SIPPIN CREAM</t>
  </si>
  <si>
    <t>80546</t>
  </si>
  <si>
    <t>SUGARLANDS APPALACHAIN PEANUT BUTTER SIPPIN CREAM</t>
  </si>
  <si>
    <t>80551</t>
  </si>
  <si>
    <t>REVELTON WHISKEY AND CREAM LIQUEUR MINI</t>
  </si>
  <si>
    <t>ARROW PEPPERMINT SCHNAPPS MINI</t>
  </si>
  <si>
    <t>80573</t>
  </si>
  <si>
    <t>ARROW PEPPERMINT SCHNAPPS</t>
  </si>
  <si>
    <t>80580</t>
  </si>
  <si>
    <t>ARROW SUPER PEPPERMINT SCHNAPPS</t>
  </si>
  <si>
    <t>80600</t>
  </si>
  <si>
    <t>ARROW PEPPERMINT SCHNAPPS TRAVELER PET</t>
  </si>
  <si>
    <t>DEKUYPER BLUSTERY PEPPERMINT BURST</t>
  </si>
  <si>
    <t>80687</t>
  </si>
  <si>
    <t>ICE 101 PEPPERMINT SCHNAPPS</t>
  </si>
  <si>
    <t>99 PEPPERMINT MINI</t>
  </si>
  <si>
    <t>99 PEPPERMINT</t>
  </si>
  <si>
    <t>81161</t>
  </si>
  <si>
    <t>MR BOSTON PEPPERMINT SCHNAPPS MINI</t>
  </si>
  <si>
    <t>81177</t>
  </si>
  <si>
    <t>MR BOSTON PEPPERMINT SCHNAPPS</t>
  </si>
  <si>
    <t>PARAMOUNT PEPPERMINT SCHNAPPS PET</t>
  </si>
  <si>
    <t>81204</t>
  </si>
  <si>
    <t>PARAMOUNT PEPPERMINT SCHNAPPS</t>
  </si>
  <si>
    <t>THUNDER 101 PEPPERMINT SCHNAPPS</t>
  </si>
  <si>
    <t>ARROW MCDALES BUTTERSCOTCH SCHNAPPS</t>
  </si>
  <si>
    <t>8208</t>
  </si>
  <si>
    <t>HOUSE OF STUART</t>
  </si>
  <si>
    <t>ARROW PEACH SCHNAPPS</t>
  </si>
  <si>
    <t>82127</t>
  </si>
  <si>
    <t>ARROW RASPBERRY SCHNAPPS</t>
  </si>
  <si>
    <t>ARROW SPEARMINT SCHNAPPS</t>
  </si>
  <si>
    <t>82600</t>
  </si>
  <si>
    <t>DEKUYPER SOUR APPLE PUCKER PET</t>
  </si>
  <si>
    <t>DEKUYPER SOUR APPLE PUCKER</t>
  </si>
  <si>
    <t>DEKUYPER HOT DAMN!</t>
  </si>
  <si>
    <t>DEKUYPER HOT DAMN! PET</t>
  </si>
  <si>
    <t>DEKUYPER CHERRY PUCKER</t>
  </si>
  <si>
    <t>DEKUYPER GRAPE PUCKER</t>
  </si>
  <si>
    <t>DEKUYPER BUTTERSHOTS PET</t>
  </si>
  <si>
    <t>DEKUYPER BUTTERSHOTS</t>
  </si>
  <si>
    <t>DEKUYPER STRAWBERRY PUCKER</t>
  </si>
  <si>
    <t>DEKUYPER RAGIN' ROOT BEER</t>
  </si>
  <si>
    <t>DEKUYPER RASPBERRY PUCKER</t>
  </si>
  <si>
    <t>DEKUYPER LUSCIOUS PEACHTREE PET</t>
  </si>
  <si>
    <t>DEKUYPER LUSCIOUS PEACHTREE</t>
  </si>
  <si>
    <t>DEKUYPER ISLAND PUNCH PUCKER</t>
  </si>
  <si>
    <t>DEKUYPER WATERMELON PUCKER</t>
  </si>
  <si>
    <t>82881</t>
  </si>
  <si>
    <t>DEKUYPER HOT DAMN! 100PRF</t>
  </si>
  <si>
    <t>ICE HOLE PLUM SCHNAPPS</t>
  </si>
  <si>
    <t>ICE HOLE BUTTERSCOTCH SCHNAPPS</t>
  </si>
  <si>
    <t>ICE HOLE MINT SCHNAPPS</t>
  </si>
  <si>
    <t>ICE HOLE SALTY CARAMEL SCHNAPPS</t>
  </si>
  <si>
    <t>MAUI BLUE HAWAIIAN SCHNAPPS</t>
  </si>
  <si>
    <t>99 SOUR BERRY MINI</t>
  </si>
  <si>
    <t>99 SOUR CHERRY MINI</t>
  </si>
  <si>
    <t>99 SOUR APPLE MINI</t>
  </si>
  <si>
    <t>99 PEACHES</t>
  </si>
  <si>
    <t>99 PEACHES PET MINI</t>
  </si>
  <si>
    <t>99 CINNAMON MINI</t>
  </si>
  <si>
    <t>99 GRAPES</t>
  </si>
  <si>
    <t>99 GRAPES PET MINI</t>
  </si>
  <si>
    <t>99 ORANGES MINI</t>
  </si>
  <si>
    <t>99 CHERRIES MINI</t>
  </si>
  <si>
    <t>99 APPLES</t>
  </si>
  <si>
    <t>99 APPLES MINI DISPLAY</t>
  </si>
  <si>
    <t>84161</t>
  </si>
  <si>
    <t>99 BLACKBERRIES MINI</t>
  </si>
  <si>
    <t>99 BLACKBERRIES</t>
  </si>
  <si>
    <t>99 BANANAS</t>
  </si>
  <si>
    <t>99 BANANAS MINI</t>
  </si>
  <si>
    <t>99 CINNAMON</t>
  </si>
  <si>
    <t>99 BUTTERSCOTCH MINI</t>
  </si>
  <si>
    <t>99 BUTTERSCOTCH</t>
  </si>
  <si>
    <t>99 PINEAPPLE MINI</t>
  </si>
  <si>
    <t>99 PINEAPPLE</t>
  </si>
  <si>
    <t>99 ROOT BEER MINI</t>
  </si>
  <si>
    <t>99 ROOT BEER</t>
  </si>
  <si>
    <t>99 CHERRIES</t>
  </si>
  <si>
    <t>99 BLUE RASPBERRIES MINI</t>
  </si>
  <si>
    <t>99 BRAND FRUIT PUNCH PET MINI</t>
  </si>
  <si>
    <t>99 LEMON LIME MINI</t>
  </si>
  <si>
    <t>99 STRAWBERRIES MINI</t>
  </si>
  <si>
    <t>99 BRAND CHERRY LIMEADE PET MINI</t>
  </si>
  <si>
    <t>99 LEMON LIME</t>
  </si>
  <si>
    <t>99 BRAND MYSTERY FLAVOR PET MINI</t>
  </si>
  <si>
    <t>99 PINK LEMONADE MINI</t>
  </si>
  <si>
    <t>84257</t>
  </si>
  <si>
    <t>MR BOSTON BUTTERSCOTCH SCHNAPPS</t>
  </si>
  <si>
    <t>84277</t>
  </si>
  <si>
    <t>MR BOSTON CINNAMON SCHNAPPS</t>
  </si>
  <si>
    <t>KINKY RAINBOW PACK MINI</t>
  </si>
  <si>
    <t>MR BOSTON PEACH</t>
  </si>
  <si>
    <t>MR BOSTON SOUR APPLE SCHNAPPS</t>
  </si>
  <si>
    <t>84371</t>
  </si>
  <si>
    <t>MR BOSTON SOUR CHERRY</t>
  </si>
  <si>
    <t>MR BOSTON SOUR GRAPE</t>
  </si>
  <si>
    <t>84376</t>
  </si>
  <si>
    <t>MR BOSTON SOUR STRAWBERRY</t>
  </si>
  <si>
    <t>84388</t>
  </si>
  <si>
    <t>MR BOSTON WATERMELON SCHNAPPS</t>
  </si>
  <si>
    <t>99 WATERMELON PET MINI</t>
  </si>
  <si>
    <t>99 MANGOES MINI</t>
  </si>
  <si>
    <t>99 MANGOES</t>
  </si>
  <si>
    <t>84456</t>
  </si>
  <si>
    <t>PARAMOUNT PEACH SCHNAPPS</t>
  </si>
  <si>
    <t>PARAMOUNT STRAWBERRY SCHNAPPS</t>
  </si>
  <si>
    <t>PHILLIPS ROOT BEER SCHNAPPS</t>
  </si>
  <si>
    <t>84805</t>
  </si>
  <si>
    <t>MR BOSTON GOLD TEQUILA</t>
  </si>
  <si>
    <t>85046</t>
  </si>
  <si>
    <t>DON JULIO 1942</t>
  </si>
  <si>
    <t>DON JULIO 1942 MINI</t>
  </si>
  <si>
    <t>85059</t>
  </si>
  <si>
    <t>VOLCAN REPOSADO UPGRADE</t>
  </si>
  <si>
    <t>85078</t>
  </si>
  <si>
    <t>HOLY HELL SILVER</t>
  </si>
  <si>
    <t>85083</t>
  </si>
  <si>
    <t>HOLY HELL REPOSADO</t>
  </si>
  <si>
    <t>85088</t>
  </si>
  <si>
    <t>PATRON CRISTALINO</t>
  </si>
  <si>
    <t>SUPERBIRD TEQUILA REPOSADO</t>
  </si>
  <si>
    <t>85113</t>
  </si>
  <si>
    <t>SUPERBIRD TEQUILA BLANCO</t>
  </si>
  <si>
    <t>85160</t>
  </si>
  <si>
    <t>TEREMANA BLANCO TEQUILA MINI</t>
  </si>
  <si>
    <t>85161</t>
  </si>
  <si>
    <t>TEREMANA ANEJO TEQUILA MINI</t>
  </si>
  <si>
    <t>TEREMANA REPOSADO TEQUILA MINI</t>
  </si>
  <si>
    <t>PANTALONES TEQUILA REPOSADO</t>
  </si>
  <si>
    <t>85220</t>
  </si>
  <si>
    <t>PANTALONES TEQUILA BLANCO</t>
  </si>
  <si>
    <t>85221</t>
  </si>
  <si>
    <t>PANTALONES TEQUILA ANEJO</t>
  </si>
  <si>
    <t>85229</t>
  </si>
  <si>
    <t>MILAGRO CRISTALINO</t>
  </si>
  <si>
    <t>85298</t>
  </si>
  <si>
    <t>GUERRERO DEL SOL</t>
  </si>
  <si>
    <t>DON JULIO ALMA MIEL</t>
  </si>
  <si>
    <t>85319</t>
  </si>
  <si>
    <t>LALO TEQUILA BLANCO</t>
  </si>
  <si>
    <t>LALO SPIRITS LLC</t>
  </si>
  <si>
    <t>85324</t>
  </si>
  <si>
    <t>818 TEQUILA BLANCO</t>
  </si>
  <si>
    <t>85325</t>
  </si>
  <si>
    <t>818 TEQUILA REPOSADO</t>
  </si>
  <si>
    <t>85326</t>
  </si>
  <si>
    <t>EIGHT RESERVE BY 818</t>
  </si>
  <si>
    <t>85329</t>
  </si>
  <si>
    <t>BALUARTE ANEJO TEQUILA</t>
  </si>
  <si>
    <t>BALUARTE SPIRITS LLC</t>
  </si>
  <si>
    <t>CASA AMOR REPOSADO</t>
  </si>
  <si>
    <t>UNIFIED SPIRITS, LLC</t>
  </si>
  <si>
    <t>85331</t>
  </si>
  <si>
    <t>CASA AMOR BLANCO</t>
  </si>
  <si>
    <t>85332</t>
  </si>
  <si>
    <t>CASA AMOR ANEJO</t>
  </si>
  <si>
    <t>85333</t>
  </si>
  <si>
    <t>CASA AMOR EXTRA ANEJO</t>
  </si>
  <si>
    <t>85346</t>
  </si>
  <si>
    <t>EL TRAGO BLANCO</t>
  </si>
  <si>
    <t>ONE LIFE SPIRITS LLC</t>
  </si>
  <si>
    <t>85387</t>
  </si>
  <si>
    <t>DINASTIA REAL ANEJO CRANEO</t>
  </si>
  <si>
    <t>85388</t>
  </si>
  <si>
    <t>DINASTIA REAL EXTRA AGED MUERTOS</t>
  </si>
  <si>
    <t>85390</t>
  </si>
  <si>
    <t>DINASTIA REAL EXTRA ANEJO YR</t>
  </si>
  <si>
    <t>85420</t>
  </si>
  <si>
    <t>CAPE HORN REPOSADO</t>
  </si>
  <si>
    <t>85421</t>
  </si>
  <si>
    <t>CAPE HORN BLANCO</t>
  </si>
  <si>
    <t>CASAMIGOS CRISTALINO</t>
  </si>
  <si>
    <t>MR BOSTON BLUE CURACAO</t>
  </si>
  <si>
    <t>85451</t>
  </si>
  <si>
    <t>CIERTO ANEJO TEQUILA PRIVATE COLLECTION</t>
  </si>
  <si>
    <t>85452</t>
  </si>
  <si>
    <t>CIERTO BLANCO TEQUILA PRIVATE COLLECTION</t>
  </si>
  <si>
    <t>85453</t>
  </si>
  <si>
    <t>CIERTO REPOSADO TEQUILA PRIVATE COLLECTION</t>
  </si>
  <si>
    <t>85481</t>
  </si>
  <si>
    <t>UNA VIDA BLANCO TEQUILA</t>
  </si>
  <si>
    <t>UNA VIDA REPOSADO TEQUILA</t>
  </si>
  <si>
    <t>85483</t>
  </si>
  <si>
    <t>UNA VIDA ANEJO TEQUILA</t>
  </si>
  <si>
    <t>85490</t>
  </si>
  <si>
    <t>SAN MATIAS ANEJO 135YR</t>
  </si>
  <si>
    <t>DEKUYPER BLUE CURACAO</t>
  </si>
  <si>
    <t>85536</t>
  </si>
  <si>
    <t>DEKUYPER ORANGE CURACAO</t>
  </si>
  <si>
    <t>85545</t>
  </si>
  <si>
    <t>PATRON EL ALTO</t>
  </si>
  <si>
    <t>85550</t>
  </si>
  <si>
    <t>HIRAM WALKER ORANGE CURACAO</t>
  </si>
  <si>
    <t>85588</t>
  </si>
  <si>
    <t>KOMOS ANEJO RESERVA</t>
  </si>
  <si>
    <t>85595</t>
  </si>
  <si>
    <t>MI CAMPO REPOSADO</t>
  </si>
  <si>
    <t>85596</t>
  </si>
  <si>
    <t>EIGHT RESERVE BY 818 TEQUILA</t>
  </si>
  <si>
    <t>PARAMOUNT BLUE CURACAO</t>
  </si>
  <si>
    <t>85611</t>
  </si>
  <si>
    <t>1800 CUCUMBER &amp; JALAPENO</t>
  </si>
  <si>
    <t>PENELOPE VALENCIA CASK FINISH</t>
  </si>
  <si>
    <t>85643</t>
  </si>
  <si>
    <t>BLACKENED CASK STRENGTH BLENDED WHISKEY VOL. 4</t>
  </si>
  <si>
    <t>85665</t>
  </si>
  <si>
    <t>ELVIS MIDNIGHT SNACK FLAVORED WHISKEY</t>
  </si>
  <si>
    <t>85683</t>
  </si>
  <si>
    <t>BP OAK &amp; EDEN SPIRE SELECT WHEAT AMERICAN OAK</t>
  </si>
  <si>
    <t>OAK &amp; EDEN WHEAT &amp; HONEY</t>
  </si>
  <si>
    <t>85694</t>
  </si>
  <si>
    <t>CM RESCUE BEER BARREL BOURBON</t>
  </si>
  <si>
    <t>85710</t>
  </si>
  <si>
    <t>NUEVEUNO BLANCO ORGANIC</t>
  </si>
  <si>
    <t>85711</t>
  </si>
  <si>
    <t>NUEVEUNO ANEJO ORGANIC</t>
  </si>
  <si>
    <t>85712</t>
  </si>
  <si>
    <t>NUEVEUNO REPOSADO ORGANIC</t>
  </si>
  <si>
    <t>85733</t>
  </si>
  <si>
    <t>PATRON EL CIELO</t>
  </si>
  <si>
    <t>BP CODIGO 1530 TEQUILA ANEJO COGNAC</t>
  </si>
  <si>
    <t>85742</t>
  </si>
  <si>
    <t>DOS PRIMOS ANEJO TEQUILA</t>
  </si>
  <si>
    <t>85748</t>
  </si>
  <si>
    <t>CODIGO 1530 TEQUILA ANEJO PLAYBOY SPIRITS RARE W/2 GLASSES</t>
  </si>
  <si>
    <t>DON JULIO ROSADO</t>
  </si>
  <si>
    <t>85768</t>
  </si>
  <si>
    <t>OLLITAS BLANCO TEQUILA</t>
  </si>
  <si>
    <t>85769</t>
  </si>
  <si>
    <t>OLLITAS CRISTALINO TEQUILA</t>
  </si>
  <si>
    <t>85772</t>
  </si>
  <si>
    <t>OLLITAS REPOSADO TEQUILA</t>
  </si>
  <si>
    <t>85788</t>
  </si>
  <si>
    <t>MR BOSTON ROCK &amp; RYE</t>
  </si>
  <si>
    <t>85826</t>
  </si>
  <si>
    <t>PADRECITO</t>
  </si>
  <si>
    <t>85828</t>
  </si>
  <si>
    <t>TEQUILA PADRE AZUL REPOSADO MINI</t>
  </si>
  <si>
    <t>85831</t>
  </si>
  <si>
    <t>TEQUILA PADRE AZUL SILVER MINI</t>
  </si>
  <si>
    <t>85835</t>
  </si>
  <si>
    <t>TEQUILA PADRE AZUL ANEJO MINI</t>
  </si>
  <si>
    <t>85840</t>
  </si>
  <si>
    <t>CODIGO 1530 TEQUILA BLANCO STILL STRENGTH</t>
  </si>
  <si>
    <t>85842</t>
  </si>
  <si>
    <t>MR BOSTON SILVER TEQUILA</t>
  </si>
  <si>
    <t>85849</t>
  </si>
  <si>
    <t>UNA FAMILIA TEQUILA BLANCO</t>
  </si>
  <si>
    <t>UNA FAMILIA SPIRITS LLC</t>
  </si>
  <si>
    <t>85850</t>
  </si>
  <si>
    <t>UNA FAMILIA TEQUILA REPOSADO</t>
  </si>
  <si>
    <t>85851</t>
  </si>
  <si>
    <t>UNA FAMILIA TEQUILA ANEJO</t>
  </si>
  <si>
    <t>85852</t>
  </si>
  <si>
    <t>UNA FAMILIA TEQUILA EXTRA ANEJO</t>
  </si>
  <si>
    <t>85871</t>
  </si>
  <si>
    <t>LA GRITONA REPOSADO TEQUILA</t>
  </si>
  <si>
    <t>T. EDWARD WINES, LTD.</t>
  </si>
  <si>
    <t>85901</t>
  </si>
  <si>
    <t>DEL MAGUEY PUEBLA</t>
  </si>
  <si>
    <t>1022300</t>
  </si>
  <si>
    <t>MEZCAL</t>
  </si>
  <si>
    <t>85941</t>
  </si>
  <si>
    <t>RANCHO LA GLORIA ANEJO</t>
  </si>
  <si>
    <t>85943</t>
  </si>
  <si>
    <t>RANCHO LA GLORIA REPOSADO</t>
  </si>
  <si>
    <t>85945</t>
  </si>
  <si>
    <t>RANCHO LA GLORIA BLANCO</t>
  </si>
  <si>
    <t>85965</t>
  </si>
  <si>
    <t>DOUGH BALL COOKIE DOUGH WHISKEY</t>
  </si>
  <si>
    <t>AMAN TEQUILA REPOSADO</t>
  </si>
  <si>
    <t>LONZ WINERY, LLC / ERIE BEVERAGE SOLUTIONS</t>
  </si>
  <si>
    <t>85981</t>
  </si>
  <si>
    <t>WATKINS SPICED ORANGE</t>
  </si>
  <si>
    <t>WATKINS CINNAMON APPLE</t>
  </si>
  <si>
    <t>85994</t>
  </si>
  <si>
    <t>PENELOPE ROSE CASK FINISH</t>
  </si>
  <si>
    <t>PENELOPE ARCHITECT BOURBON  FRENCH OAK STAVE FINISH</t>
  </si>
  <si>
    <t>86002</t>
  </si>
  <si>
    <t>THOMAS S. MOORE COGNAC CASK FINISH</t>
  </si>
  <si>
    <t>86004</t>
  </si>
  <si>
    <t>THOMAS S. MOORE MERLOT CASK FINISH</t>
  </si>
  <si>
    <t>86006</t>
  </si>
  <si>
    <t>THOMAS S. MOORE MADEIRA CASK FINISH</t>
  </si>
  <si>
    <t>86007</t>
  </si>
  <si>
    <t>SKREWBALL EGGNOG</t>
  </si>
  <si>
    <t>86008</t>
  </si>
  <si>
    <t>THOMAS S. MOORE SHERRY CASK FINISH</t>
  </si>
  <si>
    <t>BLACK VELVET PEACH CANADIAN WHISKEY MINI</t>
  </si>
  <si>
    <t>BLACK VELVET PEACH CANADIAN WHISKEY</t>
  </si>
  <si>
    <t>86020</t>
  </si>
  <si>
    <t>CODY ROAD EXPERIMENTAL  PINOT NOIR BARREL FINISH</t>
  </si>
  <si>
    <t>86022</t>
  </si>
  <si>
    <t>CODY ROAD EXPERIMENTAL - VERMOUTH BARREL FINISH RYE</t>
  </si>
  <si>
    <t>86025</t>
  </si>
  <si>
    <t>CENTURY FARMS AMERICAN CLASSIC</t>
  </si>
  <si>
    <t>JOSE CUERVO ESPECIAL SILVER MINI</t>
  </si>
  <si>
    <t>JOSE CUERVO ESPECIAL GOLD MINI</t>
  </si>
  <si>
    <t>REDNECK RIVIERA HONEY APPLE SELECT</t>
  </si>
  <si>
    <t>DEKUYPER TRIPLE SEC</t>
  </si>
  <si>
    <t>86118</t>
  </si>
  <si>
    <t>NUMBER JUAN TEQUILA EXTRA ANEJO</t>
  </si>
  <si>
    <t>NUMBER JUAN TEQUILA REPOSADO</t>
  </si>
  <si>
    <t>NUMBER JUAN TEQUILA BLANCO</t>
  </si>
  <si>
    <t>TEREMANA ANEJO TEQUILA</t>
  </si>
  <si>
    <t>86145</t>
  </si>
  <si>
    <t>CODIGO 1530 TEQUILA GEORGE STRAIT DOUBLE BARREL ROSA &amp; REPOS</t>
  </si>
  <si>
    <t>86175</t>
  </si>
  <si>
    <t>TRAVERSE CITY WHISKEY CO. BARREL PROOF CHERRY BOURBON</t>
  </si>
  <si>
    <t>86185</t>
  </si>
  <si>
    <t>DEHNER DISTILLERY TRIPLE SEC</t>
  </si>
  <si>
    <t>THE GLENLIVET TWIST &amp; MIX OLD FASHIONED</t>
  </si>
  <si>
    <t>86210</t>
  </si>
  <si>
    <t>REDEMPTION STRAIGHT BOURBON COGNAC CASK FINISH</t>
  </si>
  <si>
    <t>86239</t>
  </si>
  <si>
    <t>JUAREZ TRIPLE SEC</t>
  </si>
  <si>
    <t>86252</t>
  </si>
  <si>
    <t>DEVILS RIVER COFFEE BOURBON</t>
  </si>
  <si>
    <t>86255</t>
  </si>
  <si>
    <t>WIDOW JANE DECADENCE BOURBON</t>
  </si>
  <si>
    <t>86277</t>
  </si>
  <si>
    <t>CUTWATER TEQUILA ANEJO</t>
  </si>
  <si>
    <t>MONTEZUMA TRIPLE SEC</t>
  </si>
  <si>
    <t>86394</t>
  </si>
  <si>
    <t>KENTUCKY COFFEE WHISKEY MINI</t>
  </si>
  <si>
    <t>KENTUCKY COFFEE WHISKEY</t>
  </si>
  <si>
    <t>86404</t>
  </si>
  <si>
    <t>RED CABIN BOURBON</t>
  </si>
  <si>
    <t>REVELTON WHISKEY AND CREAM LIQUEUR</t>
  </si>
  <si>
    <t>86421</t>
  </si>
  <si>
    <t>OLE SMOKY MINT CHOCOLATE CHIP CREAM WHISKEY</t>
  </si>
  <si>
    <t>86437</t>
  </si>
  <si>
    <t>SKREWBALL PEANUT BUTTER WHISKEY</t>
  </si>
  <si>
    <t>86444</t>
  </si>
  <si>
    <t>86448</t>
  </si>
  <si>
    <t>WESTWARD PINOT NOIR CASK</t>
  </si>
  <si>
    <t>86450</t>
  </si>
  <si>
    <t>WESTWARD STOUT CASK WHISKEY</t>
  </si>
  <si>
    <t>BLACK VELVET APPLE MINI</t>
  </si>
  <si>
    <t>BLACK VELVET APPLE</t>
  </si>
  <si>
    <t>86468</t>
  </si>
  <si>
    <t>REDEMPTION STRAIGHT RYE RUM CASK FINISH</t>
  </si>
  <si>
    <t>86470</t>
  </si>
  <si>
    <t>AMADOR KENTUCKY RYE PORT FINISH</t>
  </si>
  <si>
    <t>SUTTER HOME WINERY INC / TRINCHERO FAMILY ESTATES</t>
  </si>
  <si>
    <t>86471</t>
  </si>
  <si>
    <t>AMADOR DOUBLE BARREL WHEAT BOURBON &amp; CHARDONNAY</t>
  </si>
  <si>
    <t>86472</t>
  </si>
  <si>
    <t>AMADOR DOUBLE BARREL LOW RYE CABERNET FINISH</t>
  </si>
  <si>
    <t>MR BOSTON TRIPLE SEC</t>
  </si>
  <si>
    <t>86490</t>
  </si>
  <si>
    <t>THOMAS S. MOORE CABERNET SAUVIGNON CASK EXTENDED CASK FINISH</t>
  </si>
  <si>
    <t>86492</t>
  </si>
  <si>
    <t>THOMAS S. MOORE CHARDONNAY CASK EXTENDED CASK FINISH</t>
  </si>
  <si>
    <t>86493</t>
  </si>
  <si>
    <t>BALLOTIN PEANUT BUTTER CHOCOLATE WHISKEY</t>
  </si>
  <si>
    <t>86494</t>
  </si>
  <si>
    <t>THOMAS S. MOORE PORT CASKS EXTENDED CASK FINISH</t>
  </si>
  <si>
    <t>86496</t>
  </si>
  <si>
    <t>HUDSON SHORT STACK</t>
  </si>
  <si>
    <t>86502</t>
  </si>
  <si>
    <t>HOWLER HEAD KSB BANANA MINI</t>
  </si>
  <si>
    <t>HOWLER HEAD KSB BANANA</t>
  </si>
  <si>
    <t>PARAMOUNT TRIPLE SEC</t>
  </si>
  <si>
    <t>86538</t>
  </si>
  <si>
    <t>GARRISON BROTHERS HONEY DEW STRAIGHT BOURBON WHISKEY</t>
  </si>
  <si>
    <t>86542</t>
  </si>
  <si>
    <t>OLE SMOKY MANGO HABANERO WHISKEY MINI</t>
  </si>
  <si>
    <t>OLE SMOKY PEACH WHISKEY MINI</t>
  </si>
  <si>
    <t>OLE SMOKY SALTY CARAMEL WHISKEY MINI</t>
  </si>
  <si>
    <t>OLE SMOKY TENNESSEE SALTY WATERMELON WHISKEY MINI</t>
  </si>
  <si>
    <t>SHEEP DOG PEANUT BUTTER MINI</t>
  </si>
  <si>
    <t>SHEEP DOG PEANUT BUTTER</t>
  </si>
  <si>
    <t>86570</t>
  </si>
  <si>
    <t>JOSEPH MAGNUS CIGAR BLEND BOURBON</t>
  </si>
  <si>
    <t>86576</t>
  </si>
  <si>
    <t>BARRELL BOURBON DOVETAIL WHISKEY</t>
  </si>
  <si>
    <t>LEGENT</t>
  </si>
  <si>
    <t>866</t>
  </si>
  <si>
    <t>JOHNNIE WALKER BLUE W/2 CRYSTAL GLASSES</t>
  </si>
  <si>
    <t>86600</t>
  </si>
  <si>
    <t>BALLOTIN CHOCOLATE WHISKEY BOURBON BALL</t>
  </si>
  <si>
    <t>BALLOTIN CHOCOLATE WHISKEY CARAMEL TURTLE</t>
  </si>
  <si>
    <t>BALLOTIN CHOCOLATE WHISKEY CHOCOLATE MINT</t>
  </si>
  <si>
    <t>86606</t>
  </si>
  <si>
    <t>BALLOTIN CHOCOLATE WHISKEY ORIGINAL CHOCOLATE</t>
  </si>
  <si>
    <t>86610</t>
  </si>
  <si>
    <t>BEACH BONFIRE CINNAMON WHISKEY</t>
  </si>
  <si>
    <t>86612</t>
  </si>
  <si>
    <t>BEACH ISLAND COCONUT WHISKEY</t>
  </si>
  <si>
    <t>ISAAC BOWMAN PORT FINISH BOURBON</t>
  </si>
  <si>
    <t>TORTILLA TRIPLE SEC</t>
  </si>
  <si>
    <t>JACK DANIELS TENNESSEE HONEY MINI</t>
  </si>
  <si>
    <t>JACK DANIELS TENNESSEE HONEY</t>
  </si>
  <si>
    <t>JACK DANIELS TENNESSEE FIRE MINI</t>
  </si>
  <si>
    <t>JACK DANIELS TENNESSEE FIRE</t>
  </si>
  <si>
    <t>86715</t>
  </si>
  <si>
    <t>OLE SMOKY SHINE NOG MOONSHINE</t>
  </si>
  <si>
    <t>OLE SMOKY APPLE PIE MOONSHINE 70PRF MINI</t>
  </si>
  <si>
    <t>86748</t>
  </si>
  <si>
    <t>OLE SMOKY BLACKBERRY MOONSHINE</t>
  </si>
  <si>
    <t>OLE SMOKY CHERRY MOONSHINE</t>
  </si>
  <si>
    <t>86751</t>
  </si>
  <si>
    <t>OLE SMOKY HUNCH PUNCH MOONSHINE</t>
  </si>
  <si>
    <t>OLE SMOKY WHITE LIGHTNIN</t>
  </si>
  <si>
    <t>OLE SMOKY PEACHES MOONSHINE</t>
  </si>
  <si>
    <t>OLE SMOKY APPLE PIE MOONSHINE 70PRF</t>
  </si>
  <si>
    <t>86796</t>
  </si>
  <si>
    <t>SOUTHERN HOST WHISKEY LIQUEUR</t>
  </si>
  <si>
    <t>OLD CAMP PEACH PECAN WHISKEY</t>
  </si>
  <si>
    <t>OLE SMOKY HUNCH PUNCH MOONSHINE MINI</t>
  </si>
  <si>
    <t>86830</t>
  </si>
  <si>
    <t>OLE SMOKY MARGARITA MOONSHINE</t>
  </si>
  <si>
    <t>OLE SMOKY MANGO HABANERO WHISKEY</t>
  </si>
  <si>
    <t>OLE SMOKY ROOT BEER WHISKEY</t>
  </si>
  <si>
    <t>86845</t>
  </si>
  <si>
    <t>OLE SMOKY BLACKBERRY MOONSHINE MINI</t>
  </si>
  <si>
    <t>86873</t>
  </si>
  <si>
    <t>SOUTHERN COMFORT 80PRF</t>
  </si>
  <si>
    <t>SOUTHERN COMFORT MINI</t>
  </si>
  <si>
    <t>SOUTHERN COMFORT</t>
  </si>
  <si>
    <t>SOUTHERN COMFORT PET</t>
  </si>
  <si>
    <t>86911</t>
  </si>
  <si>
    <t>SOUTHERN COMFORT 100PRF MINI</t>
  </si>
  <si>
    <t>86912</t>
  </si>
  <si>
    <t>NOBLE OAK DOUBLE OAK BOURBON</t>
  </si>
  <si>
    <t>SOUTHERN COMFORT 100PRF</t>
  </si>
  <si>
    <t>86955</t>
  </si>
  <si>
    <t>OLE SMOKY STRAWBERRY MANGO MARGARITA MOONSHINE</t>
  </si>
  <si>
    <t>OLE SMOKY BLUE FLAME MOONSHINE MINI</t>
  </si>
  <si>
    <t>86971</t>
  </si>
  <si>
    <t>OLE SMOKY PEPPERMINT MOONSHINE</t>
  </si>
  <si>
    <t>OLE SMOKY PEPPERMINT MOONSHINE MINI</t>
  </si>
  <si>
    <t>OLE SMOKY PECAN WHISKEY</t>
  </si>
  <si>
    <t>OLE SMOKY SALTY WATERMELON WHISKEY</t>
  </si>
  <si>
    <t>86990</t>
  </si>
  <si>
    <t>CEDAR RIDGE SIR MAPLE BOURBON WHISKEY</t>
  </si>
  <si>
    <t>87001</t>
  </si>
  <si>
    <t>OLE SMOKY CINNAMON WHISKEY</t>
  </si>
  <si>
    <t>87013</t>
  </si>
  <si>
    <t>BLACKENED WHISKEY</t>
  </si>
  <si>
    <t>OLE SMOKY PEACH WHISKEY</t>
  </si>
  <si>
    <t>ADICTIVO PLATA</t>
  </si>
  <si>
    <t>ADICTIVO REPOSADO</t>
  </si>
  <si>
    <t>ADICTIVO EXTRA ANEJO</t>
  </si>
  <si>
    <t>87033</t>
  </si>
  <si>
    <t>ADICTIVO ANEJO TEQUILA</t>
  </si>
  <si>
    <t>SKREWBALL PEANUT BUTTER WHISKEY MINI</t>
  </si>
  <si>
    <t>87039</t>
  </si>
  <si>
    <t>OLE SMOKY BOURBON BALL CREAM WHISKEY</t>
  </si>
  <si>
    <t>OLE SMOKY PEANUT BUTTER WHISKEY</t>
  </si>
  <si>
    <t>99 PEANUT BUTTER WHISKEY MINI</t>
  </si>
  <si>
    <t>87058</t>
  </si>
  <si>
    <t>CODY ROAD EXPERIMENTAL TEQUILA BARREL FINISH</t>
  </si>
  <si>
    <t>OLE SMOKY PEANUT BUTTER WHISKEY MINI</t>
  </si>
  <si>
    <t>87096</t>
  </si>
  <si>
    <t>ARANDAS WHITE TEQUILA</t>
  </si>
  <si>
    <t>99 BRAND PEANUT BUTTER WHISKEY</t>
  </si>
  <si>
    <t>87102</t>
  </si>
  <si>
    <t>AMOR SILVER</t>
  </si>
  <si>
    <t>MARA IMPORTS</t>
  </si>
  <si>
    <t>ASTRAL TEQUILA</t>
  </si>
  <si>
    <t>87105</t>
  </si>
  <si>
    <t>HOCHSTADTERS SLOW &amp; LOW COFFEE OLD FASHIONED</t>
  </si>
  <si>
    <t>AZTECA AZUL PLATA TEQUILA</t>
  </si>
  <si>
    <t>GLOBAL BEVERAGE TEAM, LLC</t>
  </si>
  <si>
    <t>87111</t>
  </si>
  <si>
    <t>AZTECA AZUL PLATA</t>
  </si>
  <si>
    <t>AZTECA AZUL REPOSADO TEQUILA</t>
  </si>
  <si>
    <t>87113</t>
  </si>
  <si>
    <t>AZTECA AZUL REPOSADO</t>
  </si>
  <si>
    <t>87121</t>
  </si>
  <si>
    <t>CAMPOVASO BLANCO TEQUILA</t>
  </si>
  <si>
    <t>87132</t>
  </si>
  <si>
    <t>TEQUILA KOMOS EXTRA ANEJO</t>
  </si>
  <si>
    <t>87136</t>
  </si>
  <si>
    <t>ASOMBROSO SILVER TEQUILA</t>
  </si>
  <si>
    <t>87142</t>
  </si>
  <si>
    <t>ASTRAL ANEJO TEQUILA</t>
  </si>
  <si>
    <t>87143</t>
  </si>
  <si>
    <t>ASTRAL REPOSADO</t>
  </si>
  <si>
    <t>87150</t>
  </si>
  <si>
    <t>AVION SILVER</t>
  </si>
  <si>
    <t>AVION CRISTALINO</t>
  </si>
  <si>
    <t>87172</t>
  </si>
  <si>
    <t>CALIROSA ROSA BLANCO</t>
  </si>
  <si>
    <t>87178</t>
  </si>
  <si>
    <t>CALIROSA ANEJO</t>
  </si>
  <si>
    <t>87181</t>
  </si>
  <si>
    <t>818 REPOSADO TEQUILA</t>
  </si>
  <si>
    <t>87182</t>
  </si>
  <si>
    <t>818 ANEJO TEQUILA</t>
  </si>
  <si>
    <t>818 BLANCO TEQUILA</t>
  </si>
  <si>
    <t>87206</t>
  </si>
  <si>
    <t>BALUARTE BLANCO TEQUILA</t>
  </si>
  <si>
    <t>THE BUTTERFLY CANNON CRISTALLINO SILVER TEQUILA</t>
  </si>
  <si>
    <t>CABO WABO BLANCO</t>
  </si>
  <si>
    <t>87266</t>
  </si>
  <si>
    <t>CASA NOBLE CRYSTAL</t>
  </si>
  <si>
    <t>87270</t>
  </si>
  <si>
    <t>CASA NOBLE REPOSADO</t>
  </si>
  <si>
    <t>87277</t>
  </si>
  <si>
    <t>CANTERA NEGRA SILVER TEQUILA</t>
  </si>
  <si>
    <t>87279</t>
  </si>
  <si>
    <t>CASA DRAGONES BLANCO</t>
  </si>
  <si>
    <t>CASAMIGOS BLANCO</t>
  </si>
  <si>
    <t>CASAMIGOS BLANCO MINI</t>
  </si>
  <si>
    <t>CASAMIGOS MEZCAL JOVEN</t>
  </si>
  <si>
    <t>87289</t>
  </si>
  <si>
    <t>CASAMIGOS MEZCAL</t>
  </si>
  <si>
    <t>87290</t>
  </si>
  <si>
    <t>87305</t>
  </si>
  <si>
    <t>DOS PRIMOS REPOSADO</t>
  </si>
  <si>
    <t>CAZADORES BLANCO</t>
  </si>
  <si>
    <t>87328</t>
  </si>
  <si>
    <t>CHAMUCOS TEQUILA BLANCO</t>
  </si>
  <si>
    <t>CUTWATER TEQUILA BLANCO</t>
  </si>
  <si>
    <t>CODIGO 1530 TEQUILA BLANCO</t>
  </si>
  <si>
    <t>87370</t>
  </si>
  <si>
    <t>CODIGO 1530 TEQUILA ROSA BLANCO</t>
  </si>
  <si>
    <t>87375</t>
  </si>
  <si>
    <t>COMISARIO BLANCO TEQUILA</t>
  </si>
  <si>
    <t>CORAZON DE AGAVE BLANCO</t>
  </si>
  <si>
    <t>CORRALEJO SILVER</t>
  </si>
  <si>
    <t>87389</t>
  </si>
  <si>
    <t>CONCIERE SILVER TEQUILA</t>
  </si>
  <si>
    <t>87401</t>
  </si>
  <si>
    <t>JOSE CUERVO ESPECIAL SILVER</t>
  </si>
  <si>
    <t>87406</t>
  </si>
  <si>
    <t>JOSE CUERVO RESERVA DE LA FAMILIA PLATINO</t>
  </si>
  <si>
    <t>87410</t>
  </si>
  <si>
    <t>DOS HOMBRES MEZCAL</t>
  </si>
  <si>
    <t>DON JULIO BLANCO MINI</t>
  </si>
  <si>
    <t>DON JULIO BLANCO</t>
  </si>
  <si>
    <t>87499</t>
  </si>
  <si>
    <t>DULCE VIDA BLANCO</t>
  </si>
  <si>
    <t>87507</t>
  </si>
  <si>
    <t>1800 TEQUILA BLANCO</t>
  </si>
  <si>
    <t>1800 SILVER MINI</t>
  </si>
  <si>
    <t>1800 SILVER</t>
  </si>
  <si>
    <t>87563</t>
  </si>
  <si>
    <t>DELEON PLATINUM</t>
  </si>
  <si>
    <t>DOS PRIMOS BLANCO</t>
  </si>
  <si>
    <t>EL JIMADOR SILVER</t>
  </si>
  <si>
    <t>EL MAYOR BLANCO</t>
  </si>
  <si>
    <t>87615</t>
  </si>
  <si>
    <t>ESPOLON BLANCO</t>
  </si>
  <si>
    <t>ELVELO BLANCO TEQUILA</t>
  </si>
  <si>
    <t>FAMILIA CAMARENA SILVER</t>
  </si>
  <si>
    <t>87644</t>
  </si>
  <si>
    <t>EXOTICO BLANCO</t>
  </si>
  <si>
    <t>87665</t>
  </si>
  <si>
    <t>DON FULANO BLANCO</t>
  </si>
  <si>
    <t>87684</t>
  </si>
  <si>
    <t>CODIGO 1530 MEZCAL ARTESANAL JOVEN</t>
  </si>
  <si>
    <t>87685</t>
  </si>
  <si>
    <t>CODIGO 1530 MEZCAL ANCESTRAL JOVEN</t>
  </si>
  <si>
    <t>87697</t>
  </si>
  <si>
    <t>SOLANA REPOSADO</t>
  </si>
  <si>
    <t>87700</t>
  </si>
  <si>
    <t>CASA DEL SOL BLANCO</t>
  </si>
  <si>
    <t>87701</t>
  </si>
  <si>
    <t>CASA DEL SOL REPOSADO</t>
  </si>
  <si>
    <t>87702</t>
  </si>
  <si>
    <t>CASA DEL SOL ANEJO</t>
  </si>
  <si>
    <t>87706</t>
  </si>
  <si>
    <t>400 CONEJOS MEZCAL</t>
  </si>
  <si>
    <t>BOSSCAL JOVEN MEZCAL</t>
  </si>
  <si>
    <t>TEQUILA KOMOS REPOSADO ROSA</t>
  </si>
  <si>
    <t>87720</t>
  </si>
  <si>
    <t>LOBOS 1707 JOVEN NECKTIE</t>
  </si>
  <si>
    <t>87722</t>
  </si>
  <si>
    <t>LOBOS 1707 REPOSADO NECKTIE</t>
  </si>
  <si>
    <t>87723</t>
  </si>
  <si>
    <t>LOBOS 1707 MEZCAL NECKTIE</t>
  </si>
  <si>
    <t>87724</t>
  </si>
  <si>
    <t>GRAN CORAMINO ANEJO</t>
  </si>
  <si>
    <t>GRAN CORAMINO REPOSADO CRISTALINO</t>
  </si>
  <si>
    <t>87745</t>
  </si>
  <si>
    <t>TEREMANA REPOSADO TEQUILA</t>
  </si>
  <si>
    <t>87747</t>
  </si>
  <si>
    <t>TEREMANA BLANCO TEQUILA</t>
  </si>
  <si>
    <t>87769</t>
  </si>
  <si>
    <t>CAMPO BRAVO PLATA TEQUILA MINI</t>
  </si>
  <si>
    <t>87773</t>
  </si>
  <si>
    <t>CAMPO BRAVO REPOSADO TEQUILA MINI</t>
  </si>
  <si>
    <t>GHOST TEQUILA BLANCO</t>
  </si>
  <si>
    <t>87796</t>
  </si>
  <si>
    <t>SANTO FINO ANEJO</t>
  </si>
  <si>
    <t>87798</t>
  </si>
  <si>
    <t>TRES GENERACIONES LA COLONIAL REPOSADO</t>
  </si>
  <si>
    <t>JOSE CUERVO TRADICIONAL CRISTALINO</t>
  </si>
  <si>
    <t>HERRADURA SLIVER</t>
  </si>
  <si>
    <t>ILEGAL MEZCAL JOVEN</t>
  </si>
  <si>
    <t>JAJA BLANCO</t>
  </si>
  <si>
    <t>87879</t>
  </si>
  <si>
    <t>CORRALEJO EXTRA ANEJO</t>
  </si>
  <si>
    <t>87898</t>
  </si>
  <si>
    <t>SEVERO ANEJO TEQUILA</t>
  </si>
  <si>
    <t>87901</t>
  </si>
  <si>
    <t>AMOR EXTRA ANEJO</t>
  </si>
  <si>
    <t>87906</t>
  </si>
  <si>
    <t>AMOR REPOSADO</t>
  </si>
  <si>
    <t>87930</t>
  </si>
  <si>
    <t>CASA NOBLE MARQUES DE TEQUILA</t>
  </si>
  <si>
    <t>JUAREZ SILVER</t>
  </si>
  <si>
    <t>87944</t>
  </si>
  <si>
    <t>SIEMPRE REPOSADO</t>
  </si>
  <si>
    <t>87969</t>
  </si>
  <si>
    <t>TEQUILA KOMOS ANEJO CRISTALINO</t>
  </si>
  <si>
    <t>87987</t>
  </si>
  <si>
    <t>XICALA JOVEN MEZCAL</t>
  </si>
  <si>
    <t>87990</t>
  </si>
  <si>
    <t>LOS SIETE MISTERIOS DOBA YEJ</t>
  </si>
  <si>
    <t>87991</t>
  </si>
  <si>
    <t>DON JULIO 1942 ULTIMA</t>
  </si>
  <si>
    <t>LA PRIMA WHITE</t>
  </si>
  <si>
    <t>88015</t>
  </si>
  <si>
    <t>LUNAZUL BLANCO</t>
  </si>
  <si>
    <t>88024</t>
  </si>
  <si>
    <t>LUNAZUL TEQUILA BLANCO</t>
  </si>
  <si>
    <t>88031</t>
  </si>
  <si>
    <t>MARGARITAVILLE SILVER TEQUILA MINI</t>
  </si>
  <si>
    <t>MARGARITAVILLE SILVER TEQUILA</t>
  </si>
  <si>
    <t>88038</t>
  </si>
  <si>
    <t>88046</t>
  </si>
  <si>
    <t>MAESTRO DOBEL SILVER</t>
  </si>
  <si>
    <t>MI CAMPO BLANCO</t>
  </si>
  <si>
    <t>88102</t>
  </si>
  <si>
    <t>MONTE ALBAN SILVER</t>
  </si>
  <si>
    <t>MONTELOBOS ESPADA�N MEZCAL</t>
  </si>
  <si>
    <t>88114</t>
  </si>
  <si>
    <t>MILAGRO SILVER</t>
  </si>
  <si>
    <t>88120</t>
  </si>
  <si>
    <t>MILAGRO SELECT BARREL SILVER TEQUILA</t>
  </si>
  <si>
    <t>CAMPO BRAVO REPOSADO TEQUILA</t>
  </si>
  <si>
    <t>88139</t>
  </si>
  <si>
    <t>MARACAME REPOSADO</t>
  </si>
  <si>
    <t>MARACAME PLATA TEQUILA</t>
  </si>
  <si>
    <t>MONTEZUMA WHITE</t>
  </si>
  <si>
    <t>DON JULIO REPOSADO PRIMAVERA</t>
  </si>
  <si>
    <t>88167</t>
  </si>
  <si>
    <t>CUTWATER TEQUILA REPOSADO</t>
  </si>
  <si>
    <t>88172</t>
  </si>
  <si>
    <t>SANTO TEQUILA REPOSADO</t>
  </si>
  <si>
    <t>SIEMPRE PLATA</t>
  </si>
  <si>
    <t>OLMECA ALTOS PLATA</t>
  </si>
  <si>
    <t>88191</t>
  </si>
  <si>
    <t>SIEMPRE ANEJO</t>
  </si>
  <si>
    <t>HORNITOS CRISTALINO</t>
  </si>
  <si>
    <t>88206</t>
  </si>
  <si>
    <t>DON FULANO ANEJO</t>
  </si>
  <si>
    <t>88207</t>
  </si>
  <si>
    <t>DON FULANO REPOSADO</t>
  </si>
  <si>
    <t>88213</t>
  </si>
  <si>
    <t>CODIGO 1530 TEQUILA BARREL STRENGTH ANEJO</t>
  </si>
  <si>
    <t>PATRON ANEJO 100ML</t>
  </si>
  <si>
    <t>PATRON REPOSADO 100ML</t>
  </si>
  <si>
    <t>LAUDERS PET</t>
  </si>
  <si>
    <t>88255</t>
  </si>
  <si>
    <t>OLMECA ALTOS REPOSADO</t>
  </si>
  <si>
    <t>LAUDERS</t>
  </si>
  <si>
    <t>88263</t>
  </si>
  <si>
    <t>GRAND CAVA DE ORO EXTRA ANEJO</t>
  </si>
  <si>
    <t>MILAGRO ANEJO</t>
  </si>
  <si>
    <t>PATRON SILVER 100ML</t>
  </si>
  <si>
    <t>PATRON SILVER</t>
  </si>
  <si>
    <t>PATRON SILVER MINI</t>
  </si>
  <si>
    <t>88303</t>
  </si>
  <si>
    <t>PARTIDA BLANCO TEQUILA</t>
  </si>
  <si>
    <t>USDP / UNITED STATES DISTILLED PRODUCTS CO</t>
  </si>
  <si>
    <t>88352</t>
  </si>
  <si>
    <t>MEZCAL UNION UNO EL JOVEN</t>
  </si>
  <si>
    <t>88356</t>
  </si>
  <si>
    <t>PROSPERO BLANCO TEQUILA</t>
  </si>
  <si>
    <t>88361</t>
  </si>
  <si>
    <t>CINCORO ANEJO TEQUILA</t>
  </si>
  <si>
    <t>88363</t>
  </si>
  <si>
    <t>CINCORO REPOSADO TEQUILA</t>
  </si>
  <si>
    <t>CINCORO BLANCO TEQUILA</t>
  </si>
  <si>
    <t>88374</t>
  </si>
  <si>
    <t>TEQUILA PADRE AZUL SILVER</t>
  </si>
  <si>
    <t>88401</t>
  </si>
  <si>
    <t>HERRADURA LEGEND ANEJO</t>
  </si>
  <si>
    <t>CAMPO BRAVO PLATA TEQUILA</t>
  </si>
  <si>
    <t>DELEON REPOSADO</t>
  </si>
  <si>
    <t>88440</t>
  </si>
  <si>
    <t>RIAZUL PLATA TEQUILA</t>
  </si>
  <si>
    <t>88449</t>
  </si>
  <si>
    <t>HUSSONGS SILVER TEQUILA</t>
  </si>
  <si>
    <t>88458</t>
  </si>
  <si>
    <t>SANTO FINO BLANCO TEQUILA</t>
  </si>
  <si>
    <t>88459</t>
  </si>
  <si>
    <t>ESPOLON REPOSADO</t>
  </si>
  <si>
    <t>88464</t>
  </si>
  <si>
    <t>VILLA ONE SILVER TEQUILA</t>
  </si>
  <si>
    <t>88470</t>
  </si>
  <si>
    <t>EL MAYOR CRISTALINO</t>
  </si>
  <si>
    <t>88484</t>
  </si>
  <si>
    <t>CODIGO 1530 TEQUILA ANEJO</t>
  </si>
  <si>
    <t>88511</t>
  </si>
  <si>
    <t>BANHEZ MEZCAL</t>
  </si>
  <si>
    <t>88514</t>
  </si>
  <si>
    <t>XICARU REPOSADO MEZCAL</t>
  </si>
  <si>
    <t>88524</t>
  </si>
  <si>
    <t>CANTERA NEGRA ANEJO</t>
  </si>
  <si>
    <t>CANTERA NEGRA REPOSADO</t>
  </si>
  <si>
    <t>CASAMIGOS REPOSADO</t>
  </si>
  <si>
    <t>HORNITOS LIME SHOT</t>
  </si>
  <si>
    <t>88543</t>
  </si>
  <si>
    <t>SAUZA CIEN ANOS PLATA</t>
  </si>
  <si>
    <t>HORNITOS PLATA</t>
  </si>
  <si>
    <t>SAUZA BLANCO SILVER</t>
  </si>
  <si>
    <t>TRES GENERACIONES PLATA</t>
  </si>
  <si>
    <t>TRES GENERACIONES REPOSADO</t>
  </si>
  <si>
    <t>88579</t>
  </si>
  <si>
    <t>SE BUSCA JOVEN</t>
  </si>
  <si>
    <t>88598</t>
  </si>
  <si>
    <t>VOLCAN BLANCO UPGRADE</t>
  </si>
  <si>
    <t>SOLANA AGAVE BLANCO</t>
  </si>
  <si>
    <t>88603</t>
  </si>
  <si>
    <t>BP DON JULIO REPOSADO PRIVATE CASK</t>
  </si>
  <si>
    <t>TEQUILA OCHO PLATA</t>
  </si>
  <si>
    <t>88641</t>
  </si>
  <si>
    <t>BP MAESTRO DOBEL DIAMOND TEQUILA</t>
  </si>
  <si>
    <t>88652</t>
  </si>
  <si>
    <t>CODIGO 1530 TEQUILA REPOSADO</t>
  </si>
  <si>
    <t>88687</t>
  </si>
  <si>
    <t>BP PATRON REPOSADO BARREL SELECT</t>
  </si>
  <si>
    <t>88728</t>
  </si>
  <si>
    <t>88730</t>
  </si>
  <si>
    <t>XICARU SILVER MEZCAL</t>
  </si>
  <si>
    <t>LUNAZUL REPOSADO TEQUILA</t>
  </si>
  <si>
    <t>CLASE AZUL REPOSADO</t>
  </si>
  <si>
    <t>TEQUILAS PREMIUM, INC</t>
  </si>
  <si>
    <t>TORTILLA WHITE</t>
  </si>
  <si>
    <t>88780</t>
  </si>
  <si>
    <t>TRES AGAVES BLANCO</t>
  </si>
  <si>
    <t>CASAMIGOS ANEJO</t>
  </si>
  <si>
    <t>88803</t>
  </si>
  <si>
    <t>88818</t>
  </si>
  <si>
    <t>MAESTRO DOBEL ANEJO</t>
  </si>
  <si>
    <t>88819</t>
  </si>
  <si>
    <t>OLMECA ALTOS ANEJO</t>
  </si>
  <si>
    <t>88827</t>
  </si>
  <si>
    <t>AVION RESERVA 44</t>
  </si>
  <si>
    <t>88829</t>
  </si>
  <si>
    <t>CASAMIGOS REPOSADO MINI</t>
  </si>
  <si>
    <t>88831</t>
  </si>
  <si>
    <t>CASAMIGOS ANEJO MINI</t>
  </si>
  <si>
    <t>HORNITOS BLACK BARREL</t>
  </si>
  <si>
    <t>JOSE CUERVO ESPECIAL GOLD FLASK</t>
  </si>
  <si>
    <t>88915</t>
  </si>
  <si>
    <t>88917</t>
  </si>
  <si>
    <t>CODIGO 1530 TEQUILA ORIGEN (EXTRA ANEJO)</t>
  </si>
  <si>
    <t>1800 CRISTALINO</t>
  </si>
  <si>
    <t>88931</t>
  </si>
  <si>
    <t>FAMILIA CAMARENA ANEJO</t>
  </si>
  <si>
    <t>88936</t>
  </si>
  <si>
    <t>BP MAESTRO DOBEL ANEJO TEQUILA F1</t>
  </si>
  <si>
    <t>88947</t>
  </si>
  <si>
    <t>COMISARIO ANEJO TEQUILA</t>
  </si>
  <si>
    <t>88949</t>
  </si>
  <si>
    <t>COMISARIO REPOSADO TEQUILA</t>
  </si>
  <si>
    <t>TEQUILA PADRE AZUL ANEJO</t>
  </si>
  <si>
    <t>88984</t>
  </si>
  <si>
    <t>TEQUILA PADRE AZUL REPOSADO</t>
  </si>
  <si>
    <t>88996</t>
  </si>
  <si>
    <t>EL SILENCIO MEZCAL ESPADIN</t>
  </si>
  <si>
    <t>89000</t>
  </si>
  <si>
    <t>ASOMBROSO GRAN RESERVA EXTRA ANEJO</t>
  </si>
  <si>
    <t>ASOMBROSO LA ROSA REPOSADO</t>
  </si>
  <si>
    <t>89016</t>
  </si>
  <si>
    <t>CASA NOBLE ANEJO</t>
  </si>
  <si>
    <t>AVION REPOSADO</t>
  </si>
  <si>
    <t>89062</t>
  </si>
  <si>
    <t>BALUARTE REPOSADO TEQUILA</t>
  </si>
  <si>
    <t>89099</t>
  </si>
  <si>
    <t>CAZADORES ANEJO</t>
  </si>
  <si>
    <t>CAZADORES REPOSADO</t>
  </si>
  <si>
    <t>89123</t>
  </si>
  <si>
    <t>CABO WABO ANEJO</t>
  </si>
  <si>
    <t>CABO WABO REPOSADO</t>
  </si>
  <si>
    <t>89153</t>
  </si>
  <si>
    <t>DON JULIO REPOSADO MINI</t>
  </si>
  <si>
    <t>89172</t>
  </si>
  <si>
    <t>DON JULIO ANEJO MINI</t>
  </si>
  <si>
    <t>89174</t>
  </si>
  <si>
    <t>DON JULIO ANEJO</t>
  </si>
  <si>
    <t>EL MAYOR ANEJO</t>
  </si>
  <si>
    <t>EL MAYOR REPOSADO</t>
  </si>
  <si>
    <t>89187</t>
  </si>
  <si>
    <t>CHAMUCOS TEQUILA REPOSADO</t>
  </si>
  <si>
    <t>JOSE CUERVO ESPECIAL REPOSADO MINI</t>
  </si>
  <si>
    <t>JOSE CUERVO ESPECIAL REPOSADO</t>
  </si>
  <si>
    <t>JOSE CUERVO ESPECIAL REPOSADO FLASK</t>
  </si>
  <si>
    <t>JOSE CUERVO ESPECIAL REPOSADO SQUARE</t>
  </si>
  <si>
    <t>DON JULIO 70TH ANNIVERSARY</t>
  </si>
  <si>
    <t>1800 REPOSADO</t>
  </si>
  <si>
    <t>89207</t>
  </si>
  <si>
    <t>89208</t>
  </si>
  <si>
    <t>JOSE CUERVO TRADICIONAL REPOSADO</t>
  </si>
  <si>
    <t>DEL MAGUEY MEZCAL VIDA</t>
  </si>
  <si>
    <t>1800 ANEJO</t>
  </si>
  <si>
    <t>CORRALEJO ANEJO</t>
  </si>
  <si>
    <t>89234</t>
  </si>
  <si>
    <t>CORAZON ANEJO</t>
  </si>
  <si>
    <t>CORAZON DE AGAVE REPOSADO</t>
  </si>
  <si>
    <t>CORRALEJO REPOSADO</t>
  </si>
  <si>
    <t>89256</t>
  </si>
  <si>
    <t>GRAN CENTENARIO REPOSADO</t>
  </si>
  <si>
    <t>89268</t>
  </si>
  <si>
    <t>EL JIMADOR REPOSADO</t>
  </si>
  <si>
    <t>EL JIMADOR ANEJO</t>
  </si>
  <si>
    <t>89292</t>
  </si>
  <si>
    <t>GRAN CENTENARIO ANEJO</t>
  </si>
  <si>
    <t>89301</t>
  </si>
  <si>
    <t>DORADO GOLD TEQUILA</t>
  </si>
  <si>
    <t>HERRADURA ANJEO</t>
  </si>
  <si>
    <t>HERRADURA REPOSADO</t>
  </si>
  <si>
    <t>89343</t>
  </si>
  <si>
    <t>HUSSONGS REPOSADO</t>
  </si>
  <si>
    <t>89346</t>
  </si>
  <si>
    <t>CORRALEJO 99,000 HORAS ANEJO</t>
  </si>
  <si>
    <t>JUAREZ GOLD</t>
  </si>
  <si>
    <t>89387</t>
  </si>
  <si>
    <t>89443</t>
  </si>
  <si>
    <t>EXOTICO REPOSADO</t>
  </si>
  <si>
    <t>89447</t>
  </si>
  <si>
    <t>LA PRIMA GOLD</t>
  </si>
  <si>
    <t>LUNAZUL REPOSADO</t>
  </si>
  <si>
    <t>89470</t>
  </si>
  <si>
    <t>89488</t>
  </si>
  <si>
    <t>MAESTRO DOBEL DIAMANTE TEQUILA</t>
  </si>
  <si>
    <t>MARGARITAVILLE GOLD TEQUILA</t>
  </si>
  <si>
    <t>89502</t>
  </si>
  <si>
    <t>MARGARITAVILLE GOLD TEQUILA MINI</t>
  </si>
  <si>
    <t>ILEGAL MEZCAL REPOSADO</t>
  </si>
  <si>
    <t>ESPOLON ANEJO</t>
  </si>
  <si>
    <t>FAMILIA CAMARENA REPOSADO</t>
  </si>
  <si>
    <t>89535</t>
  </si>
  <si>
    <t>MONTE ALBAN MEZCAL</t>
  </si>
  <si>
    <t>89569</t>
  </si>
  <si>
    <t>MONTE ALBAN REPOSADO</t>
  </si>
  <si>
    <t>MONTEZUMA GOLD</t>
  </si>
  <si>
    <t>89583</t>
  </si>
  <si>
    <t>MILAGRO REPOSADO</t>
  </si>
  <si>
    <t>89617</t>
  </si>
  <si>
    <t>SAUZA CIEN ANOS REPOSADO</t>
  </si>
  <si>
    <t>89621</t>
  </si>
  <si>
    <t>PATRON REPOSADO MINI</t>
  </si>
  <si>
    <t>PATRON REPOSADO</t>
  </si>
  <si>
    <t>PATRON REPOSADO 200ML</t>
  </si>
  <si>
    <t>PATRON ANEJO MINI</t>
  </si>
  <si>
    <t>PATRON ANEJO 200ML</t>
  </si>
  <si>
    <t>PATRON ANEJO</t>
  </si>
  <si>
    <t>HUSSONGS PLATINUM ANEJO</t>
  </si>
  <si>
    <t>89679</t>
  </si>
  <si>
    <t>MAESTRO DOBEL REPOSADO</t>
  </si>
  <si>
    <t>89692</t>
  </si>
  <si>
    <t>PARTIDA REPOSADA TEQUILA</t>
  </si>
  <si>
    <t>SAUZA GOLD MINI</t>
  </si>
  <si>
    <t>SAUZA GOLD</t>
  </si>
  <si>
    <t>89796</t>
  </si>
  <si>
    <t>SAUZA CONMEMORATIVO</t>
  </si>
  <si>
    <t>89824</t>
  </si>
  <si>
    <t>SOMBRA MEZCAL</t>
  </si>
  <si>
    <t>HORNITOS REPOSADO</t>
  </si>
  <si>
    <t>HORNITOS GOLD</t>
  </si>
  <si>
    <t>HORNITOS ANEJO</t>
  </si>
  <si>
    <t>TRES GENERACIONES ANEJO</t>
  </si>
  <si>
    <t>TORADA GOLD</t>
  </si>
  <si>
    <t>TORTILLA GOLD</t>
  </si>
  <si>
    <t>89961</t>
  </si>
  <si>
    <t>TEQUILA OCHO REPOSADO</t>
  </si>
  <si>
    <t>90009</t>
  </si>
  <si>
    <t>OJO DE TIGRE ARTESANAL MEZCAL</t>
  </si>
  <si>
    <t>90015</t>
  </si>
  <si>
    <t>FLECHA AZUL ANEJO</t>
  </si>
  <si>
    <t>90016</t>
  </si>
  <si>
    <t>FLECHA AZUL BLANCO</t>
  </si>
  <si>
    <t>90019</t>
  </si>
  <si>
    <t>FLECHA AZUL REPOSADO</t>
  </si>
  <si>
    <t>900367</t>
  </si>
  <si>
    <t>SOOH JACK DANIELS SINGLE BARREL BARREL PROOF</t>
  </si>
  <si>
    <t>90038</t>
  </si>
  <si>
    <t>XICALA REPOSADO MEXCAL</t>
  </si>
  <si>
    <t>90039</t>
  </si>
  <si>
    <t>XICALA ANEJO MEZCAL</t>
  </si>
  <si>
    <t>900407</t>
  </si>
  <si>
    <t>JACK DANIELS SINGLE BARREL PERSONAL COLLECTION BUY THE BARRE</t>
  </si>
  <si>
    <t>900419</t>
  </si>
  <si>
    <t>ROTHMAN &amp; WINTER ORCHARD PEACH</t>
  </si>
  <si>
    <t>900420</t>
  </si>
  <si>
    <t>ROTHMAN &amp; WINTER ORCHARD CHERRY</t>
  </si>
  <si>
    <t>900421</t>
  </si>
  <si>
    <t>ROTHMAN &amp; WINTER ORCHARD PEAR</t>
  </si>
  <si>
    <t>90043</t>
  </si>
  <si>
    <t>ESPOLON CRISTALINO</t>
  </si>
  <si>
    <t>900531</t>
  </si>
  <si>
    <t>HA ROYAL BRACKLA 21 YR SINGLE MALT</t>
  </si>
  <si>
    <t>900598</t>
  </si>
  <si>
    <t>KNAPPOGUE CASTLE 16YR TWIN WOOD</t>
  </si>
  <si>
    <t>900606</t>
  </si>
  <si>
    <t>HA OLD FORESTER BIRTHDAY BOURBON 2024</t>
  </si>
  <si>
    <t>SIETE LEGUAS BLANCO TEQUILA</t>
  </si>
  <si>
    <t>900674</t>
  </si>
  <si>
    <t>ASBACH 15YR BRANDY</t>
  </si>
  <si>
    <t>DUGGANS DISTILLERS</t>
  </si>
  <si>
    <t>90071</t>
  </si>
  <si>
    <t>SIETE LEGUAS REPOSADO TEQUILA</t>
  </si>
  <si>
    <t>901230</t>
  </si>
  <si>
    <t>TRES AGAVES REPOSADO</t>
  </si>
  <si>
    <t>901271</t>
  </si>
  <si>
    <t>BRECKENRIDGE VODKA</t>
  </si>
  <si>
    <t>1901000</t>
  </si>
  <si>
    <t>SPECIAL ORDER ITEMS</t>
  </si>
  <si>
    <t>901275</t>
  </si>
  <si>
    <t>SOOH CAOL ILA 12YR</t>
  </si>
  <si>
    <t>SOOH SMITH AND CROSS JAMAICA RUM</t>
  </si>
  <si>
    <t>901365</t>
  </si>
  <si>
    <t>BARSOL PRIMERO QUEBRANTA PISCO</t>
  </si>
  <si>
    <t>901377</t>
  </si>
  <si>
    <t>BARSOL SUPREMO MOSTE VERDE ITALIA PISCO</t>
  </si>
  <si>
    <t>901536</t>
  </si>
  <si>
    <t>GLENGOYNE SINGLE MALT SCOTCH 12YR</t>
  </si>
  <si>
    <t>901581</t>
  </si>
  <si>
    <t>MEMBERS MARK ADVENT CALENDAR</t>
  </si>
  <si>
    <t>901610</t>
  </si>
  <si>
    <t>901636</t>
  </si>
  <si>
    <t>KAUAI COCONUT HAWAIIAN RUM - USE CODE 946406</t>
  </si>
  <si>
    <t>KOLOA RUM COMPANY</t>
  </si>
  <si>
    <t>901638</t>
  </si>
  <si>
    <t>KAUAI DARK HAWAIIAN RUM - USE CODE 946405</t>
  </si>
  <si>
    <t>901822</t>
  </si>
  <si>
    <t>NO. 3 LONDON DRY GIN</t>
  </si>
  <si>
    <t>901882</t>
  </si>
  <si>
    <t>BUCHANAN MASTER</t>
  </si>
  <si>
    <t>901885</t>
  </si>
  <si>
    <t>TEQUILA TAPATIO BLANCO</t>
  </si>
  <si>
    <t>CHARBAY DISTILLERS LLC</t>
  </si>
  <si>
    <t>901891</t>
  </si>
  <si>
    <t>JUAN IN A MILLION 116 MONTH EXTRA ANEJO</t>
  </si>
  <si>
    <t>901954</t>
  </si>
  <si>
    <t>TOMINTOUL 12YR PORT CASK FINISH</t>
  </si>
  <si>
    <t>ROYAL WINE CORPORATION</t>
  </si>
  <si>
    <t>HA LAST DROP STRAIGHT WHISKEY 700ML &amp; 50ML</t>
  </si>
  <si>
    <t>SOOH ST ELIZABETH ALLSPICE DRAM</t>
  </si>
  <si>
    <t>902010</t>
  </si>
  <si>
    <t>FLOR DE CANA GRAN RESERVA 7YR</t>
  </si>
  <si>
    <t>902029</t>
  </si>
  <si>
    <t>SOOH ROTHMAN &amp; WINTER ORCHARD APRICOT</t>
  </si>
  <si>
    <t>902046</t>
  </si>
  <si>
    <t>MR BOSTON SLOE GIN</t>
  </si>
  <si>
    <t>902047</t>
  </si>
  <si>
    <t>MARTIN MILLERS GIN</t>
  </si>
  <si>
    <t>902075</t>
  </si>
  <si>
    <t>FLOR DE CANA ANEJO ORO 4YR</t>
  </si>
  <si>
    <t>902082</t>
  </si>
  <si>
    <t>KETEL ONE BOTANICAL 3PK</t>
  </si>
  <si>
    <t>902086</t>
  </si>
  <si>
    <t>HILLROCK ESTATE SOLERA STR. BOURBON WHY.</t>
  </si>
  <si>
    <t>HILLROCK ESTATE DISTILLERY</t>
  </si>
  <si>
    <t>902115</t>
  </si>
  <si>
    <t>SOOH FAMOUS GROUSE SCOTCH</t>
  </si>
  <si>
    <t>902133</t>
  </si>
  <si>
    <t>AUCHENTOSHAN THREE WOOD</t>
  </si>
  <si>
    <t>902150</t>
  </si>
  <si>
    <t>HIRAM WALKER BLUE CURACAO</t>
  </si>
  <si>
    <t>902180</t>
  </si>
  <si>
    <t>HA GLENLIVET 25YR</t>
  </si>
  <si>
    <t>902192</t>
  </si>
  <si>
    <t>BUSHMILLS 10YR IRISH WHISKEY</t>
  </si>
  <si>
    <t>902203</t>
  </si>
  <si>
    <t>HA OLD RIP VAN WINKLE 12YR (PAPPY)</t>
  </si>
  <si>
    <t>902207</t>
  </si>
  <si>
    <t>HA OLD RIP VAN WINKLE 10YR (PAPPY)</t>
  </si>
  <si>
    <t>902213</t>
  </si>
  <si>
    <t>SCORPION MEZCAL ANEJO 1YR</t>
  </si>
  <si>
    <t>902214</t>
  </si>
  <si>
    <t>SOOH CONNEMARA SINGLE MALT</t>
  </si>
  <si>
    <t>902243</t>
  </si>
  <si>
    <t>SOOH BENEDICTINE LIQUEUR DOM</t>
  </si>
  <si>
    <t>902247</t>
  </si>
  <si>
    <t>SOOH LEROUX JEZNOWKA POLISH BLACKBERRY BRANDY</t>
  </si>
  <si>
    <t>902254</t>
  </si>
  <si>
    <t>MOLETTO GRAPPA DI BARBERA</t>
  </si>
  <si>
    <t>SOOH MELLOW CORN WHISKEY</t>
  </si>
  <si>
    <t>902284</t>
  </si>
  <si>
    <t>LEROUX JEZNOWKA POLISH BLACKERRY BRANDY</t>
  </si>
  <si>
    <t>SOOH BARTENDERS BANANAS OVER YOU</t>
  </si>
  <si>
    <t>902307</t>
  </si>
  <si>
    <t>HA PROHIBITION COLLECTION FULL SET</t>
  </si>
  <si>
    <t>902312</t>
  </si>
  <si>
    <t>KILBEGGAN IRISH WHISKY</t>
  </si>
  <si>
    <t>902370</t>
  </si>
  <si>
    <t>HA YAMAZAKI WHISKY 12 YEAR</t>
  </si>
  <si>
    <t>902419</t>
  </si>
  <si>
    <t>EL TESORO PLATINUM</t>
  </si>
  <si>
    <t>MT GAY EXTRA OLD RUM</t>
  </si>
  <si>
    <t>902421</t>
  </si>
  <si>
    <t>SOOH EL TESORO ANEJO</t>
  </si>
  <si>
    <t>902424</t>
  </si>
  <si>
    <t>WISERS DELUXE</t>
  </si>
  <si>
    <t>902446</t>
  </si>
  <si>
    <t>FIREBALL WREATH TRAY 7-14PKS</t>
  </si>
  <si>
    <t>902478</t>
  </si>
  <si>
    <t>HA REMUS REPEAL RESERVE TRILOGY 2024</t>
  </si>
  <si>
    <t>902479</t>
  </si>
  <si>
    <t>HA BLOOD OATH TRILOGY III</t>
  </si>
  <si>
    <t>902497</t>
  </si>
  <si>
    <t>REMY MARTIN VSOP MINI</t>
  </si>
  <si>
    <t>902499</t>
  </si>
  <si>
    <t>HIRAM WALKER PEACH SCHNAPPS</t>
  </si>
  <si>
    <t>902518</t>
  </si>
  <si>
    <t>CHAMBORD LIQUEUR MINIS</t>
  </si>
  <si>
    <t>902536</t>
  </si>
  <si>
    <t>HA CHARTREUSE YELLOW</t>
  </si>
  <si>
    <t>FREDRICK WILDMAN &amp; SON</t>
  </si>
  <si>
    <t>902551</t>
  </si>
  <si>
    <t>KAMMER WILLIAMS PEAR BRANDY W/PEAR</t>
  </si>
  <si>
    <t>902552</t>
  </si>
  <si>
    <t>DEKUYPER ANISETTE</t>
  </si>
  <si>
    <t>902570</t>
  </si>
  <si>
    <t>SIETE LEGUAS REPOSADO</t>
  </si>
  <si>
    <t>902576</t>
  </si>
  <si>
    <t>PUEBLO VIEJO ANEJO TEQUILA</t>
  </si>
  <si>
    <t>902588</t>
  </si>
  <si>
    <t>BALLANTINES FINEST</t>
  </si>
  <si>
    <t>902594</t>
  </si>
  <si>
    <t>SOOH BARBANCOURT 5* RHUM 8YR</t>
  </si>
  <si>
    <t>902597</t>
  </si>
  <si>
    <t>SOOH DEKUYPER LUSCIOUS BLUEBERRY BLAST</t>
  </si>
  <si>
    <t>902602</t>
  </si>
  <si>
    <t>SOOH LAIRDS APPLEJACK</t>
  </si>
  <si>
    <t>902613</t>
  </si>
  <si>
    <t>BARBANCOURT 3* RHUM 4YR</t>
  </si>
  <si>
    <t>902623</t>
  </si>
  <si>
    <t>HA APPLETON ESTATE 21YR</t>
  </si>
  <si>
    <t>902650</t>
  </si>
  <si>
    <t>GLENFARCLAS 105 6PK</t>
  </si>
  <si>
    <t>902667</t>
  </si>
  <si>
    <t>CORZO REPOSADO TEQUILA</t>
  </si>
  <si>
    <t>902684</t>
  </si>
  <si>
    <t>HA GEORGE T STAGG</t>
  </si>
  <si>
    <t>902715</t>
  </si>
  <si>
    <t>DEKUYPER CREME DE CACAO DARK</t>
  </si>
  <si>
    <t>902727</t>
  </si>
  <si>
    <t>HIRAM WALKER TRIPLE SEC</t>
  </si>
  <si>
    <t>902728</t>
  </si>
  <si>
    <t>CLONTARF CLASSIC BLEND IRISH</t>
  </si>
  <si>
    <t>902729</t>
  </si>
  <si>
    <t>WHITE HORSE SCOTCH</t>
  </si>
  <si>
    <t>902752</t>
  </si>
  <si>
    <t>DEKUYPER CREME DE MENTHE GREEN</t>
  </si>
  <si>
    <t>902766</t>
  </si>
  <si>
    <t>JEAN MARC XO VODKA</t>
  </si>
  <si>
    <t>902784</t>
  </si>
  <si>
    <t>DEKUYPER CREME DE CASSIS</t>
  </si>
  <si>
    <t>902793</t>
  </si>
  <si>
    <t>COMPASS BOX PEAT MONSTER WHISKY</t>
  </si>
  <si>
    <t>COMPASS BOX HEDONISM WHISKY</t>
  </si>
  <si>
    <t>902833</t>
  </si>
  <si>
    <t>HINE RARE VSOP COGNAC</t>
  </si>
  <si>
    <t>902840</t>
  </si>
  <si>
    <t>HIRAM WALKER PEPPERMINT SCHNAPPS 60PRF</t>
  </si>
  <si>
    <t>902846</t>
  </si>
  <si>
    <t>JOHNNIE WALKER BLACK MINI</t>
  </si>
  <si>
    <t>902853</t>
  </si>
  <si>
    <t>DALMORE CIGAR MALT SCOTCH</t>
  </si>
  <si>
    <t>902862</t>
  </si>
  <si>
    <t>SOOH TYRCONNELL IRISH SING MALT</t>
  </si>
  <si>
    <t>902877</t>
  </si>
  <si>
    <t>CORZO SILVER TEQUILA</t>
  </si>
  <si>
    <t>902880</t>
  </si>
  <si>
    <t>GLENFARCLAS 25YR</t>
  </si>
  <si>
    <t>902896</t>
  </si>
  <si>
    <t>SCHLADERER KIRSCHWASSER</t>
  </si>
  <si>
    <t>902912</t>
  </si>
  <si>
    <t>BUSHMILLS 16YR IRISH WHISKEY</t>
  </si>
  <si>
    <t>902917</t>
  </si>
  <si>
    <t>DON Q LIMON</t>
  </si>
  <si>
    <t>902933</t>
  </si>
  <si>
    <t>EL TESORO REPOSADO</t>
  </si>
  <si>
    <t>902975</t>
  </si>
  <si>
    <t>CORZO ANEJO TEQUILA</t>
  </si>
  <si>
    <t>902981</t>
  </si>
  <si>
    <t>BURNETTS BLUEBERRY</t>
  </si>
  <si>
    <t>902985</t>
  </si>
  <si>
    <t>MEUKOW VS</t>
  </si>
  <si>
    <t>902989</t>
  </si>
  <si>
    <t>RIAZUL ANEJO TEQUILA</t>
  </si>
  <si>
    <t>902991</t>
  </si>
  <si>
    <t>RIAZUL REPOSADO TEQUILA</t>
  </si>
  <si>
    <t>903025</t>
  </si>
  <si>
    <t>903037</t>
  </si>
  <si>
    <t>SOOH AGAVERO LIQUEUR</t>
  </si>
  <si>
    <t>903043</t>
  </si>
  <si>
    <t>HA BOWMORE SCOTCH DARKEST 15YR</t>
  </si>
  <si>
    <t>SOOH GRAN CENTENARIO ANEJO</t>
  </si>
  <si>
    <t>SOOH KNAPPOGUE CASTLE 12YR</t>
  </si>
  <si>
    <t>903122</t>
  </si>
  <si>
    <t>WISERS 18YR</t>
  </si>
  <si>
    <t>SOOH BECHEROVKA LIQUEUR</t>
  </si>
  <si>
    <t>903141</t>
  </si>
  <si>
    <t>903151</t>
  </si>
  <si>
    <t>KETEL ONE MINI</t>
  </si>
  <si>
    <t>903176</t>
  </si>
  <si>
    <t>CORRALEJO TRIPLE DISTILLED REPOSADO</t>
  </si>
  <si>
    <t>903179</t>
  </si>
  <si>
    <t>HA GLENLIVET ARCHIVE 21YR</t>
  </si>
  <si>
    <t>903184</t>
  </si>
  <si>
    <t>INVER HOUSE SCOTCH</t>
  </si>
  <si>
    <t>903185</t>
  </si>
  <si>
    <t>DEKUYPER AMARETTO</t>
  </si>
  <si>
    <t>SOOH HENRY MCKENNA KY STR BOURBON SOUR MASH</t>
  </si>
  <si>
    <t>903209</t>
  </si>
  <si>
    <t>PUEBLO VIEJO REPOSADO</t>
  </si>
  <si>
    <t>903215</t>
  </si>
  <si>
    <t>SOOH RON MATUSALEM GRAN RESERVA</t>
  </si>
  <si>
    <t>903241</t>
  </si>
  <si>
    <t>ARROW BLACK RASPBERRY LIQUEUR</t>
  </si>
  <si>
    <t>903261</t>
  </si>
  <si>
    <t>SOOH MOUNT ROYAL LIGHT CANADIAN WHISKY</t>
  </si>
  <si>
    <t>903293</t>
  </si>
  <si>
    <t>SOOH SOHO LYCHEE</t>
  </si>
  <si>
    <t>903309</t>
  </si>
  <si>
    <t>903323</t>
  </si>
  <si>
    <t>CRUZAN BANANA</t>
  </si>
  <si>
    <t>903355</t>
  </si>
  <si>
    <t>CHIVAS REGAL 18YR</t>
  </si>
  <si>
    <t>903376</t>
  </si>
  <si>
    <t>SMIRNOFF BLUEBERRY MINI</t>
  </si>
  <si>
    <t>SOOH GRAN CENTENARIO REPOSADO</t>
  </si>
  <si>
    <t>903455</t>
  </si>
  <si>
    <t>HANGAR ONE KAFFIR LIME VODKA</t>
  </si>
  <si>
    <t>903475</t>
  </si>
  <si>
    <t>903486</t>
  </si>
  <si>
    <t>SOOH MR BOSTON FIVE STAR BRANDY</t>
  </si>
  <si>
    <t>903490</t>
  </si>
  <si>
    <t>HA OLD RIP VAN WINKLE 15YR (PAPPY)</t>
  </si>
  <si>
    <t>903517</t>
  </si>
  <si>
    <t>903529</t>
  </si>
  <si>
    <t>NUVO LIQUEUR</t>
  </si>
  <si>
    <t>903533</t>
  </si>
  <si>
    <t>HIRAM WALKER BLACK RASPBERRY</t>
  </si>
  <si>
    <t>903550</t>
  </si>
  <si>
    <t>ABERLOUR 16YR</t>
  </si>
  <si>
    <t>903560</t>
  </si>
  <si>
    <t>GLENGOYNE 10YR SCOTCH</t>
  </si>
  <si>
    <t>903563</t>
  </si>
  <si>
    <t>RAIN VODKA</t>
  </si>
  <si>
    <t>903639</t>
  </si>
  <si>
    <t>HA OLD RIP VAN WINKLE 20YR (PAPPY)</t>
  </si>
  <si>
    <t>903663</t>
  </si>
  <si>
    <t>HA WILLIAM L WELLER 2023</t>
  </si>
  <si>
    <t>SOOH SOUTHERN COMFORT 100PRF MINI</t>
  </si>
  <si>
    <t>903701</t>
  </si>
  <si>
    <t>SCORPION MEZCAL SILVER</t>
  </si>
  <si>
    <t>903707</t>
  </si>
  <si>
    <t>SOOH WISERS DELUXE</t>
  </si>
  <si>
    <t>903755</t>
  </si>
  <si>
    <t>PLATTE VALLEY CORN JUGS</t>
  </si>
  <si>
    <t>903761</t>
  </si>
  <si>
    <t>HA SAZERAC RYE 18YR 2023</t>
  </si>
  <si>
    <t>903764</t>
  </si>
  <si>
    <t>HA EAGLE RARE 17YR 2023</t>
  </si>
  <si>
    <t>903770</t>
  </si>
  <si>
    <t>GLENFARCLAS 10YR</t>
  </si>
  <si>
    <t>SOOH FIGHTING COCK BOURBON</t>
  </si>
  <si>
    <t>903774</t>
  </si>
  <si>
    <t>SIETE LEGUAS ANEJO DISCO - NOW 700ML</t>
  </si>
  <si>
    <t>903776</t>
  </si>
  <si>
    <t>903786</t>
  </si>
  <si>
    <t>DISTILLERS GIN NO. 6</t>
  </si>
  <si>
    <t>NORTH SHORE DISTILLERY</t>
  </si>
  <si>
    <t>903800</t>
  </si>
  <si>
    <t>SOOH RICARD ANISE LIQUEUR</t>
  </si>
  <si>
    <t>903801</t>
  </si>
  <si>
    <t>MCCORMICK RUM SILVER</t>
  </si>
  <si>
    <t>903803</t>
  </si>
  <si>
    <t>HA THOMAS HANDY RYE 2023</t>
  </si>
  <si>
    <t>903837</t>
  </si>
  <si>
    <t>SOOH WRAY &amp; NEPHEW WHITE OVERPROOF RUM</t>
  </si>
  <si>
    <t>903867</t>
  </si>
  <si>
    <t>GLENFARCLAS 17YR</t>
  </si>
  <si>
    <t>SOOH PHILLIPS ROOT BEER SCHNAPPS</t>
  </si>
  <si>
    <t>903885</t>
  </si>
  <si>
    <t>903892</t>
  </si>
  <si>
    <t>SOOH LINIE AQUAVIT</t>
  </si>
  <si>
    <t>903923</t>
  </si>
  <si>
    <t>1081000</t>
  </si>
  <si>
    <t>903927</t>
  </si>
  <si>
    <t>JUNIPERO GIN</t>
  </si>
  <si>
    <t>903942</t>
  </si>
  <si>
    <t>HA CHARTREUSE GREEN FRENCH LIQUEUR</t>
  </si>
  <si>
    <t>903957</t>
  </si>
  <si>
    <t>SHEEP DIP ORIG OLDBURY MALT SCOTCH</t>
  </si>
  <si>
    <t>903995</t>
  </si>
  <si>
    <t>J W DANT BOND 100PRF BOURBON</t>
  </si>
  <si>
    <t>903998</t>
  </si>
  <si>
    <t>AUCHENTOSHAN 12YR</t>
  </si>
  <si>
    <t>904046</t>
  </si>
  <si>
    <t>904161</t>
  </si>
  <si>
    <t>ANCNOC 12YR</t>
  </si>
  <si>
    <t>904167</t>
  </si>
  <si>
    <t>ANCNOC 18YR SINGLE MALT SCOTCH</t>
  </si>
  <si>
    <t>904215</t>
  </si>
  <si>
    <t>BAJA LUNA</t>
  </si>
  <si>
    <t>904224</t>
  </si>
  <si>
    <t>COMPASS BOX SPICE TREE WHISKY</t>
  </si>
  <si>
    <t>904240</t>
  </si>
  <si>
    <t>BALBLAIR 12YO SINGLE MALT SCOTCH</t>
  </si>
  <si>
    <t>904244</t>
  </si>
  <si>
    <t>BALBLAIR 18YO SINGLE MALT SCOTCH</t>
  </si>
  <si>
    <t>904253</t>
  </si>
  <si>
    <t>ARRAN BARREL RESERVE WHISKY</t>
  </si>
  <si>
    <t>904262</t>
  </si>
  <si>
    <t>FINLAGGAN SINGLE CASK SMS PORT FINISH</t>
  </si>
  <si>
    <t>904269</t>
  </si>
  <si>
    <t>BUNNAHABHAIN 14 YEAR OLD RUBY PORT</t>
  </si>
  <si>
    <t>904285</t>
  </si>
  <si>
    <t>FINLANDIA VODKA 80 PROOF</t>
  </si>
  <si>
    <t>HA ROCK HILL FARMS BOURBON</t>
  </si>
  <si>
    <t>904329</t>
  </si>
  <si>
    <t>ADMIRAL NELSON VANILLA</t>
  </si>
  <si>
    <t>904335</t>
  </si>
  <si>
    <t>HA BRUICHLADDICH BLACK ART 11</t>
  </si>
  <si>
    <t>904339</t>
  </si>
  <si>
    <t>HA LONGMORN 22 YR SCOTCH</t>
  </si>
  <si>
    <t>904362</t>
  </si>
  <si>
    <t>HA BALVENIE 25YR</t>
  </si>
  <si>
    <t>904446</t>
  </si>
  <si>
    <t>HIRAM WALKER BLACKBERRY BRANDY</t>
  </si>
  <si>
    <t>904469</t>
  </si>
  <si>
    <t>HA ARDBEG HYPERNOVA</t>
  </si>
  <si>
    <t>904472</t>
  </si>
  <si>
    <t>BLADNOCH VINAYA NAS SINGLE MALT SCOTCH WHISKY</t>
  </si>
  <si>
    <t>904486</t>
  </si>
  <si>
    <t>DALMORE 1263 KING ALEXANDER</t>
  </si>
  <si>
    <t>904552</t>
  </si>
  <si>
    <t>LEDAIG 10YR</t>
  </si>
  <si>
    <t>904556</t>
  </si>
  <si>
    <t>OUZO #12</t>
  </si>
  <si>
    <t>904563</t>
  </si>
  <si>
    <t>SOOH BLACK HAUS BLACKBERRY SCHNAPPS</t>
  </si>
  <si>
    <t>904564</t>
  </si>
  <si>
    <t>SOOH PERNOD ANISE LIQUEUR</t>
  </si>
  <si>
    <t>SOOH TIA MARIA COFFEE LIQUEUR</t>
  </si>
  <si>
    <t>904586</t>
  </si>
  <si>
    <t>BUNNAHABHAIN STIUIREADAIR</t>
  </si>
  <si>
    <t>904600</t>
  </si>
  <si>
    <t>SOOH DON JULIO ANEJO</t>
  </si>
  <si>
    <t>904611</t>
  </si>
  <si>
    <t>1921 TEQUILA CREAM</t>
  </si>
  <si>
    <t>CASA 1921 LLC</t>
  </si>
  <si>
    <t>904631</t>
  </si>
  <si>
    <t>TANQUERAY GIN MINI</t>
  </si>
  <si>
    <t>904682</t>
  </si>
  <si>
    <t>PLYMOUTH SLOE GIN</t>
  </si>
  <si>
    <t>904696</t>
  </si>
  <si>
    <t>PEARL PLUM</t>
  </si>
  <si>
    <t>904750</t>
  </si>
  <si>
    <t>HA CHIVAS REGAL 25YR</t>
  </si>
  <si>
    <t>904759</t>
  </si>
  <si>
    <t>SOOH BURNETTS STRAWBERRY</t>
  </si>
  <si>
    <t>904761</t>
  </si>
  <si>
    <t>SOOH BURNETTS MANGO</t>
  </si>
  <si>
    <t>904769</t>
  </si>
  <si>
    <t>BURNETTS SWEET TEA</t>
  </si>
  <si>
    <t>904777</t>
  </si>
  <si>
    <t>CRUZAN GUAVA</t>
  </si>
  <si>
    <t>904795</t>
  </si>
  <si>
    <t>DIMPLE PINCH(HAIG &amp; HAIG)</t>
  </si>
  <si>
    <t>SOOH PYRAT XO RESERVE</t>
  </si>
  <si>
    <t>904803</t>
  </si>
  <si>
    <t>VEEV ACAI</t>
  </si>
  <si>
    <t>SOOH CARAVELLA ORANGECELLO</t>
  </si>
  <si>
    <t>904827</t>
  </si>
  <si>
    <t>EVERCLEAR 190PRF</t>
  </si>
  <si>
    <t>904844</t>
  </si>
  <si>
    <t>SOOH CYNAR 33PRF</t>
  </si>
  <si>
    <t>904854</t>
  </si>
  <si>
    <t>DEANSTON VIRGIN OAK SINGLE MALT SCOTCH</t>
  </si>
  <si>
    <t>904888</t>
  </si>
  <si>
    <t>CHRISTIAN BROS FROST WHITE BRANDY</t>
  </si>
  <si>
    <t>904901</t>
  </si>
  <si>
    <t>YPIOCA CACHACA OURO</t>
  </si>
  <si>
    <t>SCORPION MEZCAL REPOSADO</t>
  </si>
  <si>
    <t>904937</t>
  </si>
  <si>
    <t>CRUZAN PINEAPPLE</t>
  </si>
  <si>
    <t>904940</t>
  </si>
  <si>
    <t>ABERLOUR 18YR</t>
  </si>
  <si>
    <t>904955</t>
  </si>
  <si>
    <t>1921 TEQUILA REPOSADO</t>
  </si>
  <si>
    <t>904965</t>
  </si>
  <si>
    <t>ENGLISH HARBOUR RUM 5YR</t>
  </si>
  <si>
    <t>905028</t>
  </si>
  <si>
    <t>GLENGOYNE SINGLE MALT SCOTCH 21YR</t>
  </si>
  <si>
    <t>905118</t>
  </si>
  <si>
    <t>GLENGOYNE 15YR SINGLE MALT</t>
  </si>
  <si>
    <t>905163</t>
  </si>
  <si>
    <t>GLENGOYNE 25YR</t>
  </si>
  <si>
    <t>905168</t>
  </si>
  <si>
    <t>THE GLENROTHES BOURBON CASK RESERVE</t>
  </si>
  <si>
    <t>905195</t>
  </si>
  <si>
    <t>FAMOUS GROUSE SMOKY BLACK</t>
  </si>
  <si>
    <t>905198</t>
  </si>
  <si>
    <t>GREAT KING ST. GLASGOW</t>
  </si>
  <si>
    <t>905274</t>
  </si>
  <si>
    <t>KILCHOMAN SANAIG</t>
  </si>
  <si>
    <t>IMPEX BEVERAGE INC</t>
  </si>
  <si>
    <t>905316</t>
  </si>
  <si>
    <t>JOHNNIE WALKER GOLD LABEL RESERVE</t>
  </si>
  <si>
    <t>905339</t>
  </si>
  <si>
    <t>905377</t>
  </si>
  <si>
    <t>KILCHOMAN MACHIR BAY</t>
  </si>
  <si>
    <t>905426</t>
  </si>
  <si>
    <t>HA LAGAVULIN DISTILLERS EDITION</t>
  </si>
  <si>
    <t>905433</t>
  </si>
  <si>
    <t>HA LAPHROAIG QUARTER CASK</t>
  </si>
  <si>
    <t>905450</t>
  </si>
  <si>
    <t>LISMORE SPEYSIDE</t>
  </si>
  <si>
    <t>SANS WINE &amp; SPIRITS CO</t>
  </si>
  <si>
    <t>905558</t>
  </si>
  <si>
    <t>GLEN SCOTIA 15YR SINGLE MALT SCOTCH WHISKY</t>
  </si>
  <si>
    <t>905559</t>
  </si>
  <si>
    <t>GLEN SCOTIA VICTORIANA SINGLE MALT SCOTCH WHISKY</t>
  </si>
  <si>
    <t>SOOH ARROW GINGER BRANDY</t>
  </si>
  <si>
    <t>HIGHLAND PARK 18YR</t>
  </si>
  <si>
    <t>905622</t>
  </si>
  <si>
    <t>GLENGOYNE CASK STRENGTH SINGLE MALT SCOTCH</t>
  </si>
  <si>
    <t>905662</t>
  </si>
  <si>
    <t>NAKED GROUSE BLENDED MALT SCOTCH WHISKY</t>
  </si>
  <si>
    <t>905669</t>
  </si>
  <si>
    <t>GLEN MORAY SHERRY CASK FINISH</t>
  </si>
  <si>
    <t>905682</t>
  </si>
  <si>
    <t>MOSSBURN INCHGOWER SINGLE MALT SCOTCH WHISKEY</t>
  </si>
  <si>
    <t>905684</t>
  </si>
  <si>
    <t>MOSSBURN LINKWOOD SINGLE MALT SCOTCH WHISKEY</t>
  </si>
  <si>
    <t>905690</t>
  </si>
  <si>
    <t>HA OBAN DISTILLERS EDITION</t>
  </si>
  <si>
    <t>905734</t>
  </si>
  <si>
    <t>GLENROTHES 12YR</t>
  </si>
  <si>
    <t>905736</t>
  </si>
  <si>
    <t>THE GLENROTHES WHISKY MAKERS CUT</t>
  </si>
  <si>
    <t>905755</t>
  </si>
  <si>
    <t>OLD PULTENEY 12YR SINGLE MALT SCOTCH</t>
  </si>
  <si>
    <t>905778</t>
  </si>
  <si>
    <t>MOSSBURN MACDUFF SINGLE MALT SCOTCH WHISKY</t>
  </si>
  <si>
    <t>905779</t>
  </si>
  <si>
    <t>MOSSBURN CRAIGELLACHIE SINGLE MALT SCOTCH WHISKY</t>
  </si>
  <si>
    <t>905780</t>
  </si>
  <si>
    <t>MOSSBURN ROYAL BRACKLA SINGLE MALT SCOTCH WHISKY</t>
  </si>
  <si>
    <t>905806</t>
  </si>
  <si>
    <t>SHEEP DIP BLENDED MALT WHISKY</t>
  </si>
  <si>
    <t>905809</t>
  </si>
  <si>
    <t>PIGS NOSE SCOTCH</t>
  </si>
  <si>
    <t>905818</t>
  </si>
  <si>
    <t>DIMPLE PINCH</t>
  </si>
  <si>
    <t>905819</t>
  </si>
  <si>
    <t>MOSSBURN GLEN SPEY SPEYSIDE SINGLE MALT SCOTCH WHISKY</t>
  </si>
  <si>
    <t>905829</t>
  </si>
  <si>
    <t>HA GLENDRONACH PORTWOOD NAS</t>
  </si>
  <si>
    <t>905837</t>
  </si>
  <si>
    <t>OLD PULTENEY SINGLE MALT SCOTCH 15YR</t>
  </si>
  <si>
    <t>905838</t>
  </si>
  <si>
    <t>OLD PULTENEY SINGLE MALT SCOTCH 18YR</t>
  </si>
  <si>
    <t>905853</t>
  </si>
  <si>
    <t>BLACK DOG TRIPLE GOLD RESERVE SCOTCH WHISKY</t>
  </si>
  <si>
    <t>EASTERN LIQUORS USA</t>
  </si>
  <si>
    <t>905874</t>
  </si>
  <si>
    <t>ROBERT BURNS SINGLE MALT SCOTCH</t>
  </si>
  <si>
    <t>905885</t>
  </si>
  <si>
    <t>GLEN MORAY CABERNET CASK FINISH</t>
  </si>
  <si>
    <t>905896</t>
  </si>
  <si>
    <t>HA GLENFIDDICH 23YR GRAND CRU</t>
  </si>
  <si>
    <t>905934</t>
  </si>
  <si>
    <t>MACALLAN DOUBLE CASK 18YR</t>
  </si>
  <si>
    <t>905951</t>
  </si>
  <si>
    <t>HA GLENFIDDICH 26YR GRANDE COURONNE</t>
  </si>
  <si>
    <t>905972</t>
  </si>
  <si>
    <t>GLENALLACHIE 12YR SPEYSIDE SINGLE MALT SCOTCH WHISKY</t>
  </si>
  <si>
    <t>905974</t>
  </si>
  <si>
    <t>GLENALLACHIE 15YR SPEYSIDE SINGLE MALT SCOTCH WHISKY</t>
  </si>
  <si>
    <t>906039</t>
  </si>
  <si>
    <t>HA JOHN WALKER &amp; SONS KING GEORGE V LUNAR NEW YEAR</t>
  </si>
  <si>
    <t>906059</t>
  </si>
  <si>
    <t>TORABHAIG ALLT GLEANN SINGLE MALT SCOTCH WHISKY</t>
  </si>
  <si>
    <t>906064</t>
  </si>
  <si>
    <t>TOMINTOUL CIGAR MALT SCOTCH WHISKY</t>
  </si>
  <si>
    <t>906087</t>
  </si>
  <si>
    <t>HA GLENFIDDICH 30YR</t>
  </si>
  <si>
    <t>906100</t>
  </si>
  <si>
    <t>SPEYBURN BRADAN ORACH SCOTCH</t>
  </si>
  <si>
    <t>906129</t>
  </si>
  <si>
    <t>HA JOHNNIE WALKER BLUE YEAR OF THE RABBIT</t>
  </si>
  <si>
    <t>906138</t>
  </si>
  <si>
    <t>KIRKLAND SIGNATURE ISLAY SINGLE MALT SCOTCH</t>
  </si>
  <si>
    <t>MISA IMPORTS INC</t>
  </si>
  <si>
    <t>906139</t>
  </si>
  <si>
    <t>KIRKLAND SIGNATURE 19YO SPEYSIDE SINGLE MALT SCOTCH WHISKY</t>
  </si>
  <si>
    <t>906142</t>
  </si>
  <si>
    <t>KIRKLAND 18YR SPEYSIDE SINGLE MALT SCOTCH WHISKY</t>
  </si>
  <si>
    <t>906190</t>
  </si>
  <si>
    <t>EDRADOUR 10YR</t>
  </si>
  <si>
    <t>VINO.COM DBA TOTAL BEVERAGE SOLUTION</t>
  </si>
  <si>
    <t>906197</t>
  </si>
  <si>
    <t>HA TALISKER DISTILLERS EDITION</t>
  </si>
  <si>
    <t>906219</t>
  </si>
  <si>
    <t>GLENALLACHIE 8YR SPEYSIDE SINGLE MALT SCOTCH WHISKY</t>
  </si>
  <si>
    <t>906225</t>
  </si>
  <si>
    <t>HA GLENMORANGIE GRAND VINTAGE 1998</t>
  </si>
  <si>
    <t>906243</t>
  </si>
  <si>
    <t>HA JOHNNIE WALKER BLUE YEAR OF THE DRAGON</t>
  </si>
  <si>
    <t>906248</t>
  </si>
  <si>
    <t>HA ROYAL SALUT 21 YO</t>
  </si>
  <si>
    <t>906254</t>
  </si>
  <si>
    <t>KIRKLAND SIGNATURE 15YR HIGHLAND SNGL MALT SCTCH WSKY</t>
  </si>
  <si>
    <t>906258</t>
  </si>
  <si>
    <t>GLEN SCOTIA 10 YEAR OLD UNPEATED SINGLE MALT SCOTCH WHISKY</t>
  </si>
  <si>
    <t>906260</t>
  </si>
  <si>
    <t>TAMDHU BATCH STRENGTH SINGLE MALT WHISKEY</t>
  </si>
  <si>
    <t>906264</t>
  </si>
  <si>
    <t>TAMDHU 15 YO SINGLE MALT SCOTCH</t>
  </si>
  <si>
    <t>906307</t>
  </si>
  <si>
    <t>HA TOBERMORY 12YR</t>
  </si>
  <si>
    <t>906315</t>
  </si>
  <si>
    <t>TOMATIN SCOTCH WHISKY 14 YR</t>
  </si>
  <si>
    <t>906317</t>
  </si>
  <si>
    <t>TOMATIN SINGLE MALT SCOTCH 18YR</t>
  </si>
  <si>
    <t>906332</t>
  </si>
  <si>
    <t>TOMINTOUL 16 YR SINGLE MALT SCOTCH</t>
  </si>
  <si>
    <t>906367</t>
  </si>
  <si>
    <t>NCNEAN ORGANIC SINGLE MALT SCOTCH WHISKY</t>
  </si>
  <si>
    <t>906374</t>
  </si>
  <si>
    <t>BLADNOCH 11 YO SINGLE MALT SCOTCH WHISKY</t>
  </si>
  <si>
    <t>906430</t>
  </si>
  <si>
    <t>HA THE DALMORE LUMINARY 2</t>
  </si>
  <si>
    <t>906449</t>
  </si>
  <si>
    <t>HA DEANSTON VIRGIN OAK CASK STRENGTH SINGLE MALT SCOTCH</t>
  </si>
  <si>
    <t>906450</t>
  </si>
  <si>
    <t>HA DEANSTON TEQUILA CASK FINISH 15YO HIGHLAND SINGLE MALT</t>
  </si>
  <si>
    <t>906460</t>
  </si>
  <si>
    <t>KIRKLAND SIGNATURE 17YR SPEYSIDE SCOTCH WHISKEY</t>
  </si>
  <si>
    <t>906461</t>
  </si>
  <si>
    <t>HA BALVENIE 14YR OLD STORIES</t>
  </si>
  <si>
    <t>906464</t>
  </si>
  <si>
    <t>HA GLENFIDDICH 31YR GRAND CHATEAU</t>
  </si>
  <si>
    <t>906469</t>
  </si>
  <si>
    <t>KIRKLAND SIGNATURE LOWLAND SINGLE MALT SCOTCH WHISKY</t>
  </si>
  <si>
    <t>906532</t>
  </si>
  <si>
    <t>GLENGOYNE 30 YO</t>
  </si>
  <si>
    <t>906560</t>
  </si>
  <si>
    <t>HA THE GLENDRONACH 18YO</t>
  </si>
  <si>
    <t>906564</t>
  </si>
  <si>
    <t>HA LEDAIG SINGLE MALT SCOTCH RIOJA CASK FINISH</t>
  </si>
  <si>
    <t>906565</t>
  </si>
  <si>
    <t>HA LEDAIG BORDEAUX RED WINE CASK MATURED</t>
  </si>
  <si>
    <t>906570</t>
  </si>
  <si>
    <t>HA GLENGLASSAUGH SANDEND NAS</t>
  </si>
  <si>
    <t>906576</t>
  </si>
  <si>
    <t>ARDNAMURCHAN HIGHLAND SINGLE MALT WHISKY</t>
  </si>
  <si>
    <t>906577</t>
  </si>
  <si>
    <t>ISLE OF RAASAY HEBRIDEAN SINGLE MALT SCOTCH WHISKY</t>
  </si>
  <si>
    <t>906580</t>
  </si>
  <si>
    <t>HA JOHNNIE WALKER BLUE YEAR OF THE SNAKE</t>
  </si>
  <si>
    <t>906582</t>
  </si>
  <si>
    <t>GLENMORANGIE 12YO ORIGINAL 4 1.75L TRAY PACK</t>
  </si>
  <si>
    <t>906622</t>
  </si>
  <si>
    <t>HA SCAPA 16 YO</t>
  </si>
  <si>
    <t>906623</t>
  </si>
  <si>
    <t>HA SCAPA 21 YO</t>
  </si>
  <si>
    <t>906640</t>
  </si>
  <si>
    <t>CM WW 19 YEAR BLENDED SCOTCH WHISKEY</t>
  </si>
  <si>
    <t>906642</t>
  </si>
  <si>
    <t>KIRKLAND 8YR LUNAR NEW YEAR BLENDED SCOTCH WHISKEY</t>
  </si>
  <si>
    <t>906662</t>
  </si>
  <si>
    <t>ST GEORGE GIN COMBO 3PK</t>
  </si>
  <si>
    <t>906754</t>
  </si>
  <si>
    <t>HA TULLIBARDINE 2008 CHATEAUNEUF DU PAPE CASK FINISH 15 YEAR</t>
  </si>
  <si>
    <t>906755</t>
  </si>
  <si>
    <t>KILCHOMAN BATCH STRENGTH</t>
  </si>
  <si>
    <t>906784</t>
  </si>
  <si>
    <t>ISLE OF HARRIS THE HEARACH WHISKY</t>
  </si>
  <si>
    <t>907695</t>
  </si>
  <si>
    <t>MIDDLE WEST SPIRITS MICHELONE RESERVE BOURBON</t>
  </si>
  <si>
    <t>MIDDLE WEST SPIRITS</t>
  </si>
  <si>
    <t>907704</t>
  </si>
  <si>
    <t>MIDDLE WEST SPIRITS DARK PUMPERNICKEL RYE</t>
  </si>
  <si>
    <t>MIDDLE WEST SPIRITS SHERRY FINISHED BOURBON</t>
  </si>
  <si>
    <t>907984</t>
  </si>
  <si>
    <t>1921 TEQUILA BLANCO</t>
  </si>
  <si>
    <t>908360</t>
  </si>
  <si>
    <t>HA JOHNNIE WALKER BLUE ICE CHALET</t>
  </si>
  <si>
    <t>908804</t>
  </si>
  <si>
    <t>KIRKLAND SIGNATURE 16YR HIGHLAND SINGLE MALT SCOTCH WHISKEY</t>
  </si>
  <si>
    <t>908806</t>
  </si>
  <si>
    <t>KIRKLAND SIGNATURE CANADIAN WHISKEY</t>
  </si>
  <si>
    <t>908870</t>
  </si>
  <si>
    <t>LOCHLEA OUR BARLEY</t>
  </si>
  <si>
    <t>909265</t>
  </si>
  <si>
    <t>CM OBTAINIUM SINGLE GRAIN SCOTCH WHISKEY BUY THE BARREL</t>
  </si>
  <si>
    <t>910015</t>
  </si>
  <si>
    <t>MARASKA KRUSKOVAC</t>
  </si>
  <si>
    <t>1082000</t>
  </si>
  <si>
    <t>910225</t>
  </si>
  <si>
    <t>FIREBALL SQUARE PARTY BUCKET MINI</t>
  </si>
  <si>
    <t>910470</t>
  </si>
  <si>
    <t>CM CATS EYE SINGLE MALT SCOTCH WHISKEY BUY THE BARREL</t>
  </si>
  <si>
    <t>910528</t>
  </si>
  <si>
    <t>BEARFACE 7YR TRIPLE OAK CANADIAN WHISKY</t>
  </si>
  <si>
    <t>910547</t>
  </si>
  <si>
    <t>THE WHISTLER OLOROSO SHERRY CASK FINISH</t>
  </si>
  <si>
    <t>910621</t>
  </si>
  <si>
    <t>CANADIAN CLUB WHISKY MINI</t>
  </si>
  <si>
    <t>910776</t>
  </si>
  <si>
    <t>910839</t>
  </si>
  <si>
    <t>CROWN ROYAL HAND SELECT BARREL BUY THE BARREL</t>
  </si>
  <si>
    <t>910855</t>
  </si>
  <si>
    <t>CANADIAN CLUB RYE</t>
  </si>
  <si>
    <t>910874</t>
  </si>
  <si>
    <t>FORTY CREEK CONFEDERATION OAK RESERVE</t>
  </si>
  <si>
    <t>SOOH GIBSONS FINEST AGED 12 YR</t>
  </si>
  <si>
    <t>911020</t>
  </si>
  <si>
    <t>LOT 40</t>
  </si>
  <si>
    <t>911070</t>
  </si>
  <si>
    <t>MEMBERS MARK CANADIAN WHISKY</t>
  </si>
  <si>
    <t>911074</t>
  </si>
  <si>
    <t>HA MISTER SAM TRIBUTE WHISKEY</t>
  </si>
  <si>
    <t>911216</t>
  </si>
  <si>
    <t>PIKE CREEK WHISKY</t>
  </si>
  <si>
    <t>911328</t>
  </si>
  <si>
    <t>911446</t>
  </si>
  <si>
    <t>JP WISERS RYE</t>
  </si>
  <si>
    <t>911468</t>
  </si>
  <si>
    <t>JP WISER 15YR</t>
  </si>
  <si>
    <t>911475</t>
  </si>
  <si>
    <t>HA JP WISERS 27YR</t>
  </si>
  <si>
    <t>912464</t>
  </si>
  <si>
    <t>CANADIAN MIST</t>
  </si>
  <si>
    <t>912862</t>
  </si>
  <si>
    <t>912886</t>
  </si>
  <si>
    <t>913010</t>
  </si>
  <si>
    <t>CHICKEN COCK COTTON CLUB RYE 20YR</t>
  </si>
  <si>
    <t>913388</t>
  </si>
  <si>
    <t>913730</t>
  </si>
  <si>
    <t>914197</t>
  </si>
  <si>
    <t>914206</t>
  </si>
  <si>
    <t>PENDLETON DIRECTORS RESERVE</t>
  </si>
  <si>
    <t>914478</t>
  </si>
  <si>
    <t>REVEL STOKE HOT BOX CINNAMON</t>
  </si>
  <si>
    <t>914487</t>
  </si>
  <si>
    <t>REVEL STOKE LEI D PINEAPPLE</t>
  </si>
  <si>
    <t>914538</t>
  </si>
  <si>
    <t>REVEL STOKE BIG RICHARD DILL PICKLE</t>
  </si>
  <si>
    <t>914621</t>
  </si>
  <si>
    <t>KIRKLAND SIGNATURE PORT CASK FINISHED RUM 12 YR</t>
  </si>
  <si>
    <t>MACH FLYNT INC.</t>
  </si>
  <si>
    <t>914970</t>
  </si>
  <si>
    <t>CM THE MAGI CANADIAN WHISKEY KBBS BUY THE BARREL</t>
  </si>
  <si>
    <t>915171</t>
  </si>
  <si>
    <t>HA WHISTLEPIG THE BADONKADONK SINGLE MALT 25</t>
  </si>
  <si>
    <t>915172</t>
  </si>
  <si>
    <t>HA WHISTLEPIG 18YR DOUBLE MALT, EDITION #5</t>
  </si>
  <si>
    <t>915175</t>
  </si>
  <si>
    <t>HA WHISTLEPIG 10YR RYE - PIGGYBANK DECANTER</t>
  </si>
  <si>
    <t>915183</t>
  </si>
  <si>
    <t>HA WHISTLEPIG THE BOSS HOG X: THE COMMANDMENTS</t>
  </si>
  <si>
    <t>915188</t>
  </si>
  <si>
    <t>WHISTLEPIG SINGLE BARREL BUY THE BARREL</t>
  </si>
  <si>
    <t>915194</t>
  </si>
  <si>
    <t>WHISTLEPIG 12YR SINGLE FINISH BUY THE BARREL</t>
  </si>
  <si>
    <t>915203</t>
  </si>
  <si>
    <t>HA WHISTLEPIG BEHOLDEN 21YR SINGLE MALT</t>
  </si>
  <si>
    <t>915257</t>
  </si>
  <si>
    <t>SOOH WINDSOR BLACK CHERRY</t>
  </si>
  <si>
    <t>915355</t>
  </si>
  <si>
    <t>BOANN MASALA SINGLE POT STILL</t>
  </si>
  <si>
    <t>915356</t>
  </si>
  <si>
    <t>BOANN MADERIA CASK SINGLE</t>
  </si>
  <si>
    <t>915357</t>
  </si>
  <si>
    <t>BOANN PX CASK SINGLE POT STILL</t>
  </si>
  <si>
    <t>915362</t>
  </si>
  <si>
    <t>THE WHISTLER IMPERIAL STOUT FINISH</t>
  </si>
  <si>
    <t>915363</t>
  </si>
  <si>
    <t>THE WHISTLER GOOD BAD AND SMOKEY</t>
  </si>
  <si>
    <t>915364</t>
  </si>
  <si>
    <t>THE WHISTLER DARK SYMPHONY</t>
  </si>
  <si>
    <t>915368</t>
  </si>
  <si>
    <t>MEMBERS MARK IRISH WHISKEY</t>
  </si>
  <si>
    <t>MACK &amp; SCHUHLE, INC.</t>
  </si>
  <si>
    <t>915390</t>
  </si>
  <si>
    <t>HA REDBREAST MISSOURI OAK</t>
  </si>
  <si>
    <t>915393</t>
  </si>
  <si>
    <t>TWO STACKS SINGLE GRAIN DOUBLE BARREL</t>
  </si>
  <si>
    <t>USA WINE WEST, LLC</t>
  </si>
  <si>
    <t>915394</t>
  </si>
  <si>
    <t>TWO STACKS SINGLE MALT DOUBLE BARREL</t>
  </si>
  <si>
    <t>915416</t>
  </si>
  <si>
    <t>HA MIDLETON BARRY CROCKETT LEGACY</t>
  </si>
  <si>
    <t>915420</t>
  </si>
  <si>
    <t>TWO STACKS APRICOT BRANDY CASK FINISH</t>
  </si>
  <si>
    <t>915421</t>
  </si>
  <si>
    <t>TWO STACKS IRISH WHISKEY CASK STRENGTH</t>
  </si>
  <si>
    <t>915432</t>
  </si>
  <si>
    <t>LORE SERIES SINGLE MALT</t>
  </si>
  <si>
    <t>915433</t>
  </si>
  <si>
    <t>ELEMENT FUSION SERIES</t>
  </si>
  <si>
    <t>915438</t>
  </si>
  <si>
    <t>DINGLE SINGLE MALT IRISH WHISKEY</t>
  </si>
  <si>
    <t>915443</t>
  </si>
  <si>
    <t>SHORTCROSS RYE AND MALT IRISH WHISKEY</t>
  </si>
  <si>
    <t>HPSEPICUREAN LLC / PREISS IMPORTS</t>
  </si>
  <si>
    <t>915447</t>
  </si>
  <si>
    <t>REDBREAST TAWNY PORT EDITION</t>
  </si>
  <si>
    <t>915449</t>
  </si>
  <si>
    <t>GLENDALOUGH POT STILL IRISH WHISKEY</t>
  </si>
  <si>
    <t>915451</t>
  </si>
  <si>
    <t>GLENDALOUGH 7YR MIZUNARA FINISH SINGLE MALT IRISH WHISKEY</t>
  </si>
  <si>
    <t>915465</t>
  </si>
  <si>
    <t>915477</t>
  </si>
  <si>
    <t>BALLYHOO IRISH WHISKEY</t>
  </si>
  <si>
    <t>915478</t>
  </si>
  <si>
    <t>THE WHISTLER PX HOGSHEAD BUY THE BARREL</t>
  </si>
  <si>
    <t>915489</t>
  </si>
  <si>
    <t>HA KEEPERS HEART 10YO SINGLE MALT</t>
  </si>
  <si>
    <t>915492</t>
  </si>
  <si>
    <t>915495</t>
  </si>
  <si>
    <t>THE BUSKER SINGLE GRAIN WHISKEY</t>
  </si>
  <si>
    <t>915500</t>
  </si>
  <si>
    <t>THE BUSKER SINGLE MALT WHISKEY</t>
  </si>
  <si>
    <t>915505</t>
  </si>
  <si>
    <t>THE BUSKER SINGLE POT STILL WHISKEY</t>
  </si>
  <si>
    <t>915515</t>
  </si>
  <si>
    <t>HA MIDLETON FORET DE TRONCAIS</t>
  </si>
  <si>
    <t>915519</t>
  </si>
  <si>
    <t>J.J. CORRY THE GAEL IRISH WHISKEY</t>
  </si>
  <si>
    <t>915530</t>
  </si>
  <si>
    <t>BUSHMILLS PEAKY BLINDERS</t>
  </si>
  <si>
    <t>915542</t>
  </si>
  <si>
    <t>BUSHMILLS RED BUSH IRISH WHISKEY</t>
  </si>
  <si>
    <t>915550</t>
  </si>
  <si>
    <t>HA DRUMSHANBO SINGLE POT STILL IRISH WHISKY</t>
  </si>
  <si>
    <t>915559</t>
  </si>
  <si>
    <t>BUSHMILLS 21YR IRISH WHISKEY</t>
  </si>
  <si>
    <t>915574</t>
  </si>
  <si>
    <t>CONNEMARA 12YR</t>
  </si>
  <si>
    <t>915592</t>
  </si>
  <si>
    <t>DUBLINER IRISH WHISKEY</t>
  </si>
  <si>
    <t>915604</t>
  </si>
  <si>
    <t>HELLCAT MAGGIE IRISH WHISKEY</t>
  </si>
  <si>
    <t>915607</t>
  </si>
  <si>
    <t>HA GREEN SPOT CHATEAU LEOVILLE BARTON</t>
  </si>
  <si>
    <t>915616</t>
  </si>
  <si>
    <t>IRISHMAN SINGLE MALT</t>
  </si>
  <si>
    <t>915620</t>
  </si>
  <si>
    <t>IRISHMAN 12YR SINGLE MALT WHISKEY</t>
  </si>
  <si>
    <t>915632</t>
  </si>
  <si>
    <t>GLENDALOUGH DOUBLE BARREL IRISH WHISKEY</t>
  </si>
  <si>
    <t>915635</t>
  </si>
  <si>
    <t>HA GREEN SPOT CHATEAU MONTELENA</t>
  </si>
  <si>
    <t>915639</t>
  </si>
  <si>
    <t>915654</t>
  </si>
  <si>
    <t>POWERS THREE SWALLOW</t>
  </si>
  <si>
    <t>915673</t>
  </si>
  <si>
    <t>SOOH POWERS JOHN LANE</t>
  </si>
  <si>
    <t>915711</t>
  </si>
  <si>
    <t>MICHAEL COLLINS IRISH WHISKEY</t>
  </si>
  <si>
    <t>915723</t>
  </si>
  <si>
    <t>915745</t>
  </si>
  <si>
    <t>MCCONNELLS OLD IRISH WHISKY</t>
  </si>
  <si>
    <t>915755</t>
  </si>
  <si>
    <t>THE WHISTLER PX, I LOVE YOU</t>
  </si>
  <si>
    <t>915767</t>
  </si>
  <si>
    <t>HA MIDLETON SILENT DISTILLERY CHAPTER 4</t>
  </si>
  <si>
    <t>915783</t>
  </si>
  <si>
    <t>CLONAKILTY IRISH WHISKEY SINGLE BATCH / DOUBLE OAK</t>
  </si>
  <si>
    <t>915802</t>
  </si>
  <si>
    <t>HIGH N WICKED THE WILD ROVER</t>
  </si>
  <si>
    <t>915804</t>
  </si>
  <si>
    <t>METHOD AND MADNESS SINGLE POT STILL</t>
  </si>
  <si>
    <t>915805</t>
  </si>
  <si>
    <t>METHOD AND MADNESS SINGLE MALT</t>
  </si>
  <si>
    <t>915807</t>
  </si>
  <si>
    <t>METHOD AND MADNESS SINGLE GRAIN</t>
  </si>
  <si>
    <t>915837</t>
  </si>
  <si>
    <t>WRITERS TEARS RED HEAD IRISH WHISKEY</t>
  </si>
  <si>
    <t>915848</t>
  </si>
  <si>
    <t>HA RED SPOT</t>
  </si>
  <si>
    <t>915852</t>
  </si>
  <si>
    <t>ROE &amp; CO BLENDED WHISKEY</t>
  </si>
  <si>
    <t>TWO STACKS DRAM IN A CAN DOUBLE BARREL IRISH WHISKEY</t>
  </si>
  <si>
    <t>915855</t>
  </si>
  <si>
    <t>REDBREAST LUSTAU EDITION</t>
  </si>
  <si>
    <t>915859</t>
  </si>
  <si>
    <t>HA REDBREAST PX EDITION</t>
  </si>
  <si>
    <t>915860</t>
  </si>
  <si>
    <t>915862</t>
  </si>
  <si>
    <t>915863</t>
  </si>
  <si>
    <t>HA REDBREAST 21YR</t>
  </si>
  <si>
    <t>915864</t>
  </si>
  <si>
    <t>HA REDBREAST 27 YO</t>
  </si>
  <si>
    <t>915867</t>
  </si>
  <si>
    <t>915870</t>
  </si>
  <si>
    <t>915880</t>
  </si>
  <si>
    <t>915881</t>
  </si>
  <si>
    <t>TEELING SINGLE POT STILL</t>
  </si>
  <si>
    <t>915882</t>
  </si>
  <si>
    <t>915887</t>
  </si>
  <si>
    <t>HA TEELING BLACKPITTS PEATED SINGLE MALT</t>
  </si>
  <si>
    <t>915896</t>
  </si>
  <si>
    <t>THE DEAD RABBIT IRISH WHISKEY</t>
  </si>
  <si>
    <t>915907</t>
  </si>
  <si>
    <t>WRITERS TEARS DOUBLE OAK IRISH WHISKEY</t>
  </si>
  <si>
    <t>915917</t>
  </si>
  <si>
    <t>TULLAMORE DEW 14YR</t>
  </si>
  <si>
    <t>915920</t>
  </si>
  <si>
    <t>TULLAMORE DEW 18YR</t>
  </si>
  <si>
    <t>915924</t>
  </si>
  <si>
    <t>TYRCONNELL 10YR MADEIRA</t>
  </si>
  <si>
    <t>915929</t>
  </si>
  <si>
    <t>WEST CORK BLACK RESERVE IRISH WHISKEY</t>
  </si>
  <si>
    <t>915934</t>
  </si>
  <si>
    <t>HA YELLOW SPOT</t>
  </si>
  <si>
    <t>915952</t>
  </si>
  <si>
    <t>BASTILLE HAND CRAFTED WHISKY</t>
  </si>
  <si>
    <t>HEAVENLY SPIRITS LLC</t>
  </si>
  <si>
    <t>915962</t>
  </si>
  <si>
    <t>SOOH NIKKA COFFEY GRAIN WHISKEY</t>
  </si>
  <si>
    <t>915977</t>
  </si>
  <si>
    <t>KAVALAN EX-BOURBON OAK SINGLE MALT</t>
  </si>
  <si>
    <t>915992</t>
  </si>
  <si>
    <t>PENDERYN LEGEND</t>
  </si>
  <si>
    <t>915995</t>
  </si>
  <si>
    <t>PENDERYN MYTH</t>
  </si>
  <si>
    <t>915996</t>
  </si>
  <si>
    <t>PENDERYN CELT</t>
  </si>
  <si>
    <t>915997</t>
  </si>
  <si>
    <t>PENDERYN SINGLE MALT WELSH WHY.</t>
  </si>
  <si>
    <t>PENDERYN SHERRYWOOD SINGLE MALT WELSH WHISKY</t>
  </si>
  <si>
    <t>916007</t>
  </si>
  <si>
    <t>AKASHI WHISKY</t>
  </si>
  <si>
    <t>916011</t>
  </si>
  <si>
    <t>EIGASHIMA WHISKY AKASHI UME JAPANESE PLUM WHISKY</t>
  </si>
  <si>
    <t>916022</t>
  </si>
  <si>
    <t>MARS SHINSHU  IWAI</t>
  </si>
  <si>
    <t>916028</t>
  </si>
  <si>
    <t>KAIYO THE SINGLE 7YR</t>
  </si>
  <si>
    <t>916029</t>
  </si>
  <si>
    <t>KAVALAN DISTILLERY SELECT</t>
  </si>
  <si>
    <t>916030</t>
  </si>
  <si>
    <t>KAIYO WHISKY THE SIGNATURE</t>
  </si>
  <si>
    <t>916032</t>
  </si>
  <si>
    <t>KAIYO WHISKY CASK STRENGTH</t>
  </si>
  <si>
    <t>916033</t>
  </si>
  <si>
    <t>YAMATO</t>
  </si>
  <si>
    <t>1092000</t>
  </si>
  <si>
    <t>916037</t>
  </si>
  <si>
    <t>KAIYO WHISKY PEATED 2ND EDITION</t>
  </si>
  <si>
    <t>916043</t>
  </si>
  <si>
    <t>ROYAL CHALLENGE WHISKY</t>
  </si>
  <si>
    <t>916047</t>
  </si>
  <si>
    <t>STARWARD NOVA WHISKY</t>
  </si>
  <si>
    <t>916051</t>
  </si>
  <si>
    <t>COTSWOLD SINGLE MALT WHISKY</t>
  </si>
  <si>
    <t>916064</t>
  </si>
  <si>
    <t>EIFEL GERMAN PEATED SINGLE MALT WHISKY 2019</t>
  </si>
  <si>
    <t>916068</t>
  </si>
  <si>
    <t>EIFEL GERMAN SINGLE MALT WHISKY 2019</t>
  </si>
  <si>
    <t>916071</t>
  </si>
  <si>
    <t>STARWARD SOLERA WHISKY</t>
  </si>
  <si>
    <t>916092</t>
  </si>
  <si>
    <t>MARS IWAI 45</t>
  </si>
  <si>
    <t>916101</t>
  </si>
  <si>
    <t>TENJAKU PURE MALT JAPANESE WHISKEY</t>
  </si>
  <si>
    <t>916135</t>
  </si>
  <si>
    <t>AMRUT CASK STRENGTH INDIAN SINGLE MALT</t>
  </si>
  <si>
    <t>GLASS REVOLUTION IMPORTS</t>
  </si>
  <si>
    <t>916150</t>
  </si>
  <si>
    <t>AMRUT PEATED INDIAN SINGLE MALT WHISKY</t>
  </si>
  <si>
    <t>916158</t>
  </si>
  <si>
    <t>OREGON SPIRIT BOTTLED IN BOND BOURBON</t>
  </si>
  <si>
    <t>916179</t>
  </si>
  <si>
    <t>STARWARD TWO FOLD</t>
  </si>
  <si>
    <t>916186</t>
  </si>
  <si>
    <t>J. W. DANT 100 PRF BOND BOURBON</t>
  </si>
  <si>
    <t>916199</t>
  </si>
  <si>
    <t>FLOKI ICELANDIC SINGLE MALT WHISKY</t>
  </si>
  <si>
    <t>916214</t>
  </si>
  <si>
    <t>SOOH ADICTIVO WHISKEY SMALL BATCH</t>
  </si>
  <si>
    <t>916218</t>
  </si>
  <si>
    <t>KAMET SINGLE MALT WHISKEY</t>
  </si>
  <si>
    <t>916221</t>
  </si>
  <si>
    <t>HA FILIBUSTER BOTTLED IN BOND</t>
  </si>
  <si>
    <t>FILIBUSTER BARRELS LLC</t>
  </si>
  <si>
    <t>916238</t>
  </si>
  <si>
    <t>AMRUT PEATED CASK STRENGTH INDIAN SINGLE MALT WHISKY</t>
  </si>
  <si>
    <t>916242</t>
  </si>
  <si>
    <t>HA REDWOOD GRIZZLY BEAST BOTTLE IN BOUND BOURBON BATCH 3</t>
  </si>
  <si>
    <t>916243</t>
  </si>
  <si>
    <t>HA REDWOOD EMPIRE BOTTLED IN BOND ROCKET TOP RYE</t>
  </si>
  <si>
    <t>916266</t>
  </si>
  <si>
    <t>FOUR GRAIN STRAIGHT BOURBON BOTTLED IN BOND</t>
  </si>
  <si>
    <t>GARGOYLE ENTERPRISES / LAWS WHISKEY HOUSE</t>
  </si>
  <si>
    <t>916269</t>
  </si>
  <si>
    <t>MACKMYRA BJORKSAV SWEDISH SINGLE MALT WHISKY</t>
  </si>
  <si>
    <t>AMROTH</t>
  </si>
  <si>
    <t>916271</t>
  </si>
  <si>
    <t>MACKMYRA INTELLIGENS AI:02 SWEDISH SINGLE MALT WHISKY</t>
  </si>
  <si>
    <t>916273</t>
  </si>
  <si>
    <t>MACKMYRA SVENSK EK SWEDISH SINGLE MALT WHISKY</t>
  </si>
  <si>
    <t>916300</t>
  </si>
  <si>
    <t>916308</t>
  </si>
  <si>
    <t>RIEGERS BOTTLED IN BOND STRAIGHT BOURBON</t>
  </si>
  <si>
    <t>916317</t>
  </si>
  <si>
    <t>EIFEL GERMAN PEATED RYE WHISKY</t>
  </si>
  <si>
    <t>916334</t>
  </si>
  <si>
    <t>PUNI ITALIAN WHISKY - GOLD EX BOURBON CASK 5 YR</t>
  </si>
  <si>
    <t>916335</t>
  </si>
  <si>
    <t>PUNI ITALIAN WHISKY - VINA MARSALA VERGINE CASK 5 YR</t>
  </si>
  <si>
    <t>916336</t>
  </si>
  <si>
    <t>PUNI ITALIAN WHISKY - SOLE BOURBON &amp; SHERRY CASK 4 YR</t>
  </si>
  <si>
    <t>916337</t>
  </si>
  <si>
    <t>BIMBER LONDON SINGLE MALT WHISKY  - EX-BOURBON CASK BATCH #4</t>
  </si>
  <si>
    <t>916338</t>
  </si>
  <si>
    <t>BIMBER APOGEE 12YR BLENDED MALT WHISKY</t>
  </si>
  <si>
    <t>916341</t>
  </si>
  <si>
    <t>INDRI TRINI SINGLE MALT INDIAN WHISKY</t>
  </si>
  <si>
    <t>916346</t>
  </si>
  <si>
    <t>BELLEVOYE WHITE LABEL FRENCH WHISKY</t>
  </si>
  <si>
    <t>916347</t>
  </si>
  <si>
    <t>BELLEVOYE BLACK LABEL FRENCH WHISKY</t>
  </si>
  <si>
    <t>916348</t>
  </si>
  <si>
    <t>BELLEVOYE RED LABEL FRENCH WHISKY</t>
  </si>
  <si>
    <t>916356</t>
  </si>
  <si>
    <t>KYRO WOODSMOKE RYE WHISKY</t>
  </si>
  <si>
    <t>916359</t>
  </si>
  <si>
    <t>KYRO RYE MALT WHISKY</t>
  </si>
  <si>
    <t>HA OLD FITZGERALD 19YR DECANTER</t>
  </si>
  <si>
    <t>916389</t>
  </si>
  <si>
    <t>INDRI DRU SINGLE MALT INDIAN WHISKY</t>
  </si>
  <si>
    <t>916398</t>
  </si>
  <si>
    <t>OLD FORESTER 100PRF</t>
  </si>
  <si>
    <t>916425</t>
  </si>
  <si>
    <t>CM UNRESTRICTED WHEATED STRAIGHT BOURBON WHISKEY BOTTLED IN</t>
  </si>
  <si>
    <t>916444</t>
  </si>
  <si>
    <t>EH TAYLOR JR SAZERAC BARREL SELECT BUY THE BARREL</t>
  </si>
  <si>
    <t>916445</t>
  </si>
  <si>
    <t>KIRKLAND SIGNATURE BOTTLED-IN-BOND</t>
  </si>
  <si>
    <t>916463</t>
  </si>
  <si>
    <t>STEEPLE RIDGE BOTTLED IN BOND 4 GRAIN BOURBON</t>
  </si>
  <si>
    <t>916468</t>
  </si>
  <si>
    <t>1792 BOTTLED IN BOND BOURBON BARREL</t>
  </si>
  <si>
    <t>916480</t>
  </si>
  <si>
    <t>HILLROCK DOUBLE CASK BOURBON - BOTTLED IN BOND</t>
  </si>
  <si>
    <t>916507</t>
  </si>
  <si>
    <t>CM ADVENTUROUS BOURBON</t>
  </si>
  <si>
    <t>916567</t>
  </si>
  <si>
    <t>HA ANGELS ENVY CASK STRENGTH</t>
  </si>
  <si>
    <t>916619</t>
  </si>
  <si>
    <t>916623</t>
  </si>
  <si>
    <t>DEADWOOD BOURBON</t>
  </si>
  <si>
    <t>916629</t>
  </si>
  <si>
    <t>TUMBLIN DICE BOURBON</t>
  </si>
  <si>
    <t>916630</t>
  </si>
  <si>
    <t>TUMBLIN DICE BOURBON SINGLE BARREL BARREL PROOF</t>
  </si>
  <si>
    <t>916631</t>
  </si>
  <si>
    <t>TUMBLIN DICE BOURBON SINGLE BARREL BARREL PROOF 6YR</t>
  </si>
  <si>
    <t>916664</t>
  </si>
  <si>
    <t>BARREL SINGLE BARREL BOURBON</t>
  </si>
  <si>
    <t>916670</t>
  </si>
  <si>
    <t>BARRELL WHISKEY INFINITE BARREL PROJECT</t>
  </si>
  <si>
    <t>916687</t>
  </si>
  <si>
    <t>BARRELL BOURBON PRIVATE RELEASE</t>
  </si>
  <si>
    <t>916698</t>
  </si>
  <si>
    <t>BARRELL BOURBON BATCH 030</t>
  </si>
  <si>
    <t>916712</t>
  </si>
  <si>
    <t>BARREL BOURBON BATCH 034</t>
  </si>
  <si>
    <t>916713</t>
  </si>
  <si>
    <t>BARRELL BOURBON BATCH 035</t>
  </si>
  <si>
    <t>916715</t>
  </si>
  <si>
    <t>BARREL BOURBON VANTAGE</t>
  </si>
  <si>
    <t>HA BLANTONS STRAIGHT FROM THE BARREL BOURBON</t>
  </si>
  <si>
    <t>916839</t>
  </si>
  <si>
    <t>BLACK SADDLE BOURBON</t>
  </si>
  <si>
    <t>FRANK LIN DISTILLERS PRO</t>
  </si>
  <si>
    <t>916841</t>
  </si>
  <si>
    <t>BLANTON GOLD BOURBON - BUY THE BARREL</t>
  </si>
  <si>
    <t>916850</t>
  </si>
  <si>
    <t>BLANTONS BUY THE BARREL</t>
  </si>
  <si>
    <t>HA BOMBERGERS DECLARATION BOURBON</t>
  </si>
  <si>
    <t>917080</t>
  </si>
  <si>
    <t>917096</t>
  </si>
  <si>
    <t>BUCK BOURBON 8YR</t>
  </si>
  <si>
    <t>917104</t>
  </si>
  <si>
    <t>SOOH BLUE RUN REFLECTION 95 PROOF BOURBON</t>
  </si>
  <si>
    <t>917105</t>
  </si>
  <si>
    <t>BUZZARDS ROOST TOASTED FRENCH OAK BOURBON</t>
  </si>
  <si>
    <t>SOOH CALUMET FARMS SMALL BATCH BOURBON</t>
  </si>
  <si>
    <t>917192</t>
  </si>
  <si>
    <t>SOOH CALUMET FARM 15 YEAR OLD BOURBON</t>
  </si>
  <si>
    <t>917210</t>
  </si>
  <si>
    <t>CENTURY FARMS STRAIGHT BOURBON WHISKEY</t>
  </si>
  <si>
    <t>917333</t>
  </si>
  <si>
    <t>HA CHICKEN COCK MIZUNARA JAPANESE OAK FINISH</t>
  </si>
  <si>
    <t>917337</t>
  </si>
  <si>
    <t>CHICKEN COCK RESERVE CASK GN</t>
  </si>
  <si>
    <t>917339</t>
  </si>
  <si>
    <t>CHICKEN COCK PRIVATE CASK BUY THE BARREL</t>
  </si>
  <si>
    <t>917510</t>
  </si>
  <si>
    <t>SOOH CLYDE MAYS ALABAMA STYLE WHISKEY</t>
  </si>
  <si>
    <t>917527</t>
  </si>
  <si>
    <t>SOOH COOPERS CRAFT RESERVE KENTUCKY STRAIGHT BOURBON WHISKEY</t>
  </si>
  <si>
    <t>917545</t>
  </si>
  <si>
    <t>CLYDE MAYS SINGLE BARREL 5YR STRAIGHT BOURBON BUY THE BARREL</t>
  </si>
  <si>
    <t>917566</t>
  </si>
  <si>
    <t>917625</t>
  </si>
  <si>
    <t>DANCING GOAT DISTILLERY HIGH RYE BOURBON</t>
  </si>
  <si>
    <t>917628</t>
  </si>
  <si>
    <t>DARK ARTS (CORE) BOURBON (BLACK) SBW BARELY LE</t>
  </si>
  <si>
    <t>DARK ARTS WHISKEY HOUSE LLC</t>
  </si>
  <si>
    <t>917630</t>
  </si>
  <si>
    <t>DAVIESS COUNTY STRAIGHT BOURBON WHISKEY</t>
  </si>
  <si>
    <t>917632</t>
  </si>
  <si>
    <t>DAVIESS COUNTY KSBW FRENCH OAK FINISHED</t>
  </si>
  <si>
    <t>917633</t>
  </si>
  <si>
    <t>HA DAVIESS COUNTY MEDIUM TOAST</t>
  </si>
  <si>
    <t>917644</t>
  </si>
  <si>
    <t>DEVILS RIVER BOURBON</t>
  </si>
  <si>
    <t>917658</t>
  </si>
  <si>
    <t>917659</t>
  </si>
  <si>
    <t>917673</t>
  </si>
  <si>
    <t>HA DOUBLE EAGLE VERY RARE</t>
  </si>
  <si>
    <t>EAGLE RARE SINGLE BARREL BUY THE BARREL</t>
  </si>
  <si>
    <t>917681</t>
  </si>
  <si>
    <t>EAGLE RARE SAZERAC BARREL SELECT BUY THE BARREL</t>
  </si>
  <si>
    <t>917756</t>
  </si>
  <si>
    <t>HA EAGLE RARE 17 2024 BOURBON</t>
  </si>
  <si>
    <t>917927</t>
  </si>
  <si>
    <t>ELIJAH CRAIG 94 PROOF PRIVATE BARREL BUY THE BARREL</t>
  </si>
  <si>
    <t>917928</t>
  </si>
  <si>
    <t>ELIJAH CRAIG TOASTED BARREL PROOF PRIVATE BARREL BUY THE BAR</t>
  </si>
  <si>
    <t>917929</t>
  </si>
  <si>
    <t>ELIJAH CRAIG BARREL PROOF PRIVATE BARREL BUY THE BARREL</t>
  </si>
  <si>
    <t>HA ELMER T LEE SINGLE BARREL</t>
  </si>
  <si>
    <t>918010</t>
  </si>
  <si>
    <t>BUFFALO TRACE BOURBON BUY THE BARREL</t>
  </si>
  <si>
    <t>918011</t>
  </si>
  <si>
    <t>BUFFALO TRACE SAZERAC BARREL SELECT BUY THE BARREL</t>
  </si>
  <si>
    <t>918202</t>
  </si>
  <si>
    <t>EZRA BROOKS CASK STRENGTH BUY THE BARREL</t>
  </si>
  <si>
    <t>918205</t>
  </si>
  <si>
    <t>EZRA BROOKS FULL PROOF BUY THE BARREL</t>
  </si>
  <si>
    <t>918217</t>
  </si>
  <si>
    <t>EZRA BROOKS DISTILLERS COLLECTION BUY THE BARREL</t>
  </si>
  <si>
    <t>918265</t>
  </si>
  <si>
    <t>15 STARS PRIVATE STOCK 8 AND 15YR</t>
  </si>
  <si>
    <t>15 STARS, LLC</t>
  </si>
  <si>
    <t>918286</t>
  </si>
  <si>
    <t>FILIBUSTER STRAIGHT BOURBON</t>
  </si>
  <si>
    <t>918288</t>
  </si>
  <si>
    <t>FILIBUSTER SINGLE ESTATE</t>
  </si>
  <si>
    <t>918381</t>
  </si>
  <si>
    <t>HA FOUR ROSES 135TH ANNIVERSARY LIMITED ED. SMALL BATCH 2023</t>
  </si>
  <si>
    <t>918384</t>
  </si>
  <si>
    <t>FREY RANCH STRAIGHT BOURBON WHISKEY</t>
  </si>
  <si>
    <t>CHURCHILL VINEYARDS</t>
  </si>
  <si>
    <t>918394</t>
  </si>
  <si>
    <t>HA GARRISON BROTHERS COWBOY STRAIGHT BOURBON - 2023 RELEASE</t>
  </si>
  <si>
    <t>918407</t>
  </si>
  <si>
    <t>G &amp; W PRIVATE STOCK BOURBON</t>
  </si>
  <si>
    <t>918410</t>
  </si>
  <si>
    <t>REMUS SINGLE BARREL  BUY THE BARREL</t>
  </si>
  <si>
    <t>918416</t>
  </si>
  <si>
    <t>HA GEORGE T STAGG 2024</t>
  </si>
  <si>
    <t>918460</t>
  </si>
  <si>
    <t>HAIR OF THE DOG</t>
  </si>
  <si>
    <t>918529</t>
  </si>
  <si>
    <t>HA HEAVEN HILL GRAIN TO GLASS STRAIGHT BOURBON</t>
  </si>
  <si>
    <t>918531</t>
  </si>
  <si>
    <t>HA HEAVEN HILL HERITAGE COLLECTION THIRD EDITION</t>
  </si>
  <si>
    <t>918532</t>
  </si>
  <si>
    <t>HA HEAVEN HILL GRAIN TO GLASS WHEATED BOURBON</t>
  </si>
  <si>
    <t>918568</t>
  </si>
  <si>
    <t>HENRY MCKENNA BBN 80 PROOF SOUR MASH</t>
  </si>
  <si>
    <t>918617</t>
  </si>
  <si>
    <t>HIRSCH THE BIVOUAC BOURBON</t>
  </si>
  <si>
    <t>918636</t>
  </si>
  <si>
    <t>HA HOLLADAY SOFT RED WHEAT RICKHOUSE PROOF</t>
  </si>
  <si>
    <t>918638</t>
  </si>
  <si>
    <t>BEN HOLLADAY ONE BARREL BUY THE BARREL</t>
  </si>
  <si>
    <t>918672</t>
  </si>
  <si>
    <t>HUDSON BRIGHT LIGHTS, BIG BOURBON</t>
  </si>
  <si>
    <t>918680</t>
  </si>
  <si>
    <t>HOLLADAY SOFT RED WHEAT ONE BARREL MID-STATES BUY THE BARREL</t>
  </si>
  <si>
    <t>918681</t>
  </si>
  <si>
    <t>HOLLADAY SOFT RED WHEAT BUY THE BARREL</t>
  </si>
  <si>
    <t>918782</t>
  </si>
  <si>
    <t>I BOURBON</t>
  </si>
  <si>
    <t>918788</t>
  </si>
  <si>
    <t>IW HARPER</t>
  </si>
  <si>
    <t>918852</t>
  </si>
  <si>
    <t>LARCENY MINI</t>
  </si>
  <si>
    <t>918863</t>
  </si>
  <si>
    <t>LARCENY BARREL PROOF PRIVATE BARREL BUY THE BARREL</t>
  </si>
  <si>
    <t>919000</t>
  </si>
  <si>
    <t>JEFFERSONS RESERVE BOURBON BARREL</t>
  </si>
  <si>
    <t>919045</t>
  </si>
  <si>
    <t>HA JEFFERSONS RESERVE OLD RUM CASK</t>
  </si>
  <si>
    <t>919046</t>
  </si>
  <si>
    <t>JEFFERSONS OCEAN AGED CASK VOYAGE 27 BUY THE BARREL</t>
  </si>
  <si>
    <t>JEFFERSONS RESERVE PRITCHARD HILL BARREL</t>
  </si>
  <si>
    <t>919141</t>
  </si>
  <si>
    <t>KAPAHI BOURBON WHISKY</t>
  </si>
  <si>
    <t>LBD COFFEE, LLC</t>
  </si>
  <si>
    <t>919217</t>
  </si>
  <si>
    <t>KIRKLAND SIGNATURE SMALL BATCH</t>
  </si>
  <si>
    <t>919218</t>
  </si>
  <si>
    <t>KIRKLAND SIGNATURE SINGLE BARREL</t>
  </si>
  <si>
    <t>919220</t>
  </si>
  <si>
    <t>KNOB CREEK LONGHORN LABEL</t>
  </si>
  <si>
    <t>919236</t>
  </si>
  <si>
    <t>KNOB CREEK SINGLE BARREL RESERVE BUY THE BARREL</t>
  </si>
  <si>
    <t>919239</t>
  </si>
  <si>
    <t>919411</t>
  </si>
  <si>
    <t>FOUR GRAIN STRAIGHT BOURBON</t>
  </si>
  <si>
    <t>919413</t>
  </si>
  <si>
    <t>LAWS FOUR GRAIN BOURBON BARREL SELECT BARREL BUY</t>
  </si>
  <si>
    <t>919441</t>
  </si>
  <si>
    <t>HA LITTLE BOOK THE INFINITE</t>
  </si>
  <si>
    <t>919487</t>
  </si>
  <si>
    <t>HA MAKERS MARK CELLAR AGED</t>
  </si>
  <si>
    <t>919503</t>
  </si>
  <si>
    <t>MAKERS MARK PRIVATE SELECT THE LOST RECIPE SERIES TRAY PACK</t>
  </si>
  <si>
    <t>919564</t>
  </si>
  <si>
    <t>MAKERS MARK PRIVATE SELECT BARREL BUY</t>
  </si>
  <si>
    <t>919872</t>
  </si>
  <si>
    <t>HA MICHTERS US*1 TOASTED BARREL FINISHED BOURBON</t>
  </si>
  <si>
    <t>919878</t>
  </si>
  <si>
    <t>HA MICHTERS 20YR BOURBON</t>
  </si>
  <si>
    <t>919879</t>
  </si>
  <si>
    <t>HA MICHTERS 25 YR BOURBON</t>
  </si>
  <si>
    <t>919913</t>
  </si>
  <si>
    <t>HA NELSON BROS. WHISKEY MOURVEDRE CASK</t>
  </si>
  <si>
    <t>919943</t>
  </si>
  <si>
    <t>LOST LANTERN 2023 SINGLE CASK #13 NEW RIFF KENTUCKY STRAIGHT</t>
  </si>
  <si>
    <t>920118</t>
  </si>
  <si>
    <t>O.H. INGRAM RIVER AGED STRAIGHT BOURBON WHISKEY</t>
  </si>
  <si>
    <t>RS LIPMAN COMPANY LLC</t>
  </si>
  <si>
    <t>920168</t>
  </si>
  <si>
    <t>OLD CHARTER 8YR BOURBON</t>
  </si>
  <si>
    <t>920308</t>
  </si>
  <si>
    <t>OLD ELK WHEATED BOURBON SINGLE BARREL BUY THE BARREL</t>
  </si>
  <si>
    <t>920372</t>
  </si>
  <si>
    <t>SOOH OLD FORESTER 1897 WHISKY ROW SERIES</t>
  </si>
  <si>
    <t>SOOH OLD FORESTER 1910</t>
  </si>
  <si>
    <t>SOOH OLD FORESTER 1920</t>
  </si>
  <si>
    <t>920380</t>
  </si>
  <si>
    <t>OLD FORESTER SINGLE BARREL BARREL PROOF (BARREL BUY)</t>
  </si>
  <si>
    <t>920385</t>
  </si>
  <si>
    <t>OLD 48 BOURBON</t>
  </si>
  <si>
    <t>920487</t>
  </si>
  <si>
    <t>OLD SOUL CASK STRENGTH SINGLE BARREL BUY THE BARREL</t>
  </si>
  <si>
    <t>921022</t>
  </si>
  <si>
    <t>PEERLESS SINGLE BARREL SELECTION KENTUCKY STRAIGHT BOURBON W</t>
  </si>
  <si>
    <t>921024</t>
  </si>
  <si>
    <t>921025</t>
  </si>
  <si>
    <t>PEERLESS HIGH RYE KENTUCKY STRAIGHT BOURBON WHISKEY</t>
  </si>
  <si>
    <t>921040</t>
  </si>
  <si>
    <t>PINE BLUFFS DISTILLING STRAIGHT BOURBON WHISKEY WHEAT</t>
  </si>
  <si>
    <t>WMC-PBD LLC/ PINE BLUFFS DISTILLING</t>
  </si>
  <si>
    <t>921042</t>
  </si>
  <si>
    <t>PINE BLUFFS DISTILLING STRAIGHT BOURBON RYE</t>
  </si>
  <si>
    <t>921057</t>
  </si>
  <si>
    <t>HA PENELOPE ESTATE COLLECTION</t>
  </si>
  <si>
    <t>921061</t>
  </si>
  <si>
    <t>PENELOPE BOURBON TOASTED FINISH - PRIVATE BARREL BUY THE BAR</t>
  </si>
  <si>
    <t>921065</t>
  </si>
  <si>
    <t>SOOH PENELOPE BOURBON TOASTED BARREL FINISH</t>
  </si>
  <si>
    <t>921071</t>
  </si>
  <si>
    <t>STARLIGHT DISTILLERY INDIANA STRAIGHT LIGHT WHISKEY</t>
  </si>
  <si>
    <t>921166</t>
  </si>
  <si>
    <t>RD ONE PRIVATE SELECT KY STRAIGHT BOURBON WHISKEY 6 YEAR BUY</t>
  </si>
  <si>
    <t>921169</t>
  </si>
  <si>
    <t>RABBIT HOLE WHISKEY HEIGOLD BUY THE BARREL</t>
  </si>
  <si>
    <t>921188</t>
  </si>
  <si>
    <t>HA RABBIT HOLE MIZUNARA</t>
  </si>
  <si>
    <t>921198</t>
  </si>
  <si>
    <t>REBEL CASK STRENGTH BUY THE BARREL</t>
  </si>
  <si>
    <t>921205</t>
  </si>
  <si>
    <t>REBEL FULL PROOF BUY THE BARREL</t>
  </si>
  <si>
    <t>921210</t>
  </si>
  <si>
    <t>REBEL KSBW SMALL BATCH RESERVE</t>
  </si>
  <si>
    <t>921213</t>
  </si>
  <si>
    <t>REBEL KSBW 100 MINI</t>
  </si>
  <si>
    <t>921219</t>
  </si>
  <si>
    <t>REBEL DISTILLERS COLLECTION BUY THE BARREL</t>
  </si>
  <si>
    <t>921224</t>
  </si>
  <si>
    <t>921244</t>
  </si>
  <si>
    <t>1792 SINGLE BARREL BUY THE BARREL</t>
  </si>
  <si>
    <t>921251</t>
  </si>
  <si>
    <t>1792 FULL PROOF KENTUCKY SAZERAC BARREL SELECT STRAIGHT BOUR</t>
  </si>
  <si>
    <t>921253</t>
  </si>
  <si>
    <t>1792 SINGLE BARREL KENTUCKY STRAIGHT BOURBON SAZERAC BARREL</t>
  </si>
  <si>
    <t>921259</t>
  </si>
  <si>
    <t>HA REMUS GATSBY 2023</t>
  </si>
  <si>
    <t>921263</t>
  </si>
  <si>
    <t>HA REMUS BABE RUTH RESERVE</t>
  </si>
  <si>
    <t>921268</t>
  </si>
  <si>
    <t>HA REMUS GATSBY RESERVE 2024</t>
  </si>
  <si>
    <t>921269</t>
  </si>
  <si>
    <t>RIEGER STRAIGHT BOURBON WHISKEY</t>
  </si>
  <si>
    <t>921270</t>
  </si>
  <si>
    <t>921443</t>
  </si>
  <si>
    <t>HA 1792 12YR OLD BOURBON</t>
  </si>
  <si>
    <t>921452</t>
  </si>
  <si>
    <t>STELLUM SINGLE BARRELL BOURBON PERSEUS L3</t>
  </si>
  <si>
    <t>921485</t>
  </si>
  <si>
    <t>SIR WINSTON STRAIGHT</t>
  </si>
  <si>
    <t>921492</t>
  </si>
  <si>
    <t>HA SHENKS HOMESTEAD</t>
  </si>
  <si>
    <t>921503</t>
  </si>
  <si>
    <t>SMOKE WAGON DESERT COLT STRAIGHT BOURBON WHISKEY</t>
  </si>
  <si>
    <t>NEVADA DISTILLING COMPANY LLC</t>
  </si>
  <si>
    <t>921505</t>
  </si>
  <si>
    <t>SMOKE WAGON STRAIGHT BOURBON WHISKEY</t>
  </si>
  <si>
    <t>921509</t>
  </si>
  <si>
    <t>SMOKE WAGON SMALL BATCH BOURBON WHISKEY</t>
  </si>
  <si>
    <t>921511</t>
  </si>
  <si>
    <t>SMOKE WAGON UNCUT UNFILTERED STRAIGHT BOURBON WHISKEY</t>
  </si>
  <si>
    <t>921538</t>
  </si>
  <si>
    <t>STAGG BOURBON BUY THE BARREL</t>
  </si>
  <si>
    <t>STAGG SAZERAC BARREL SELECT BUY THE BARREL</t>
  </si>
  <si>
    <t>921542</t>
  </si>
  <si>
    <t>STEEPLE RIDGE BOURBON SINGLE BARREL CASK STRENGTH</t>
  </si>
  <si>
    <t>921544</t>
  </si>
  <si>
    <t>HALLOWEEN SMOKE WAGON STRAIGHT BOURBON WHISKEY</t>
  </si>
  <si>
    <t>921545</t>
  </si>
  <si>
    <t>STARLIGHT DISTILLERY INDIANA STRAIGHT BOURBON WHISKEY BUY TH</t>
  </si>
  <si>
    <t>921551</t>
  </si>
  <si>
    <t>STELLUM CASK STRENGTH BOURBON</t>
  </si>
  <si>
    <t>921552</t>
  </si>
  <si>
    <t>STELLUM SINGLE BARREL BOURBON</t>
  </si>
  <si>
    <t>921553</t>
  </si>
  <si>
    <t>STELLUM BLACK BOURBON</t>
  </si>
  <si>
    <t>921600</t>
  </si>
  <si>
    <t>HA EH TAYLOR JR BARREL PROOF</t>
  </si>
  <si>
    <t>921616</t>
  </si>
  <si>
    <t>THE REPRESENTATIVE BARREL PROOF BOURBON</t>
  </si>
  <si>
    <t>921617</t>
  </si>
  <si>
    <t>THE REPRESENTATIVE SINGLE BARREL (BARREL PROOF)</t>
  </si>
  <si>
    <t>921640</t>
  </si>
  <si>
    <t>SOOH CM ARNDT HOURS</t>
  </si>
  <si>
    <t>TYCOGA VINEYARD &amp; WINERY, LLC</t>
  </si>
  <si>
    <t>921682</t>
  </si>
  <si>
    <t>TOMMYROTTER STRAIGHT BOURBON WHISKEY</t>
  </si>
  <si>
    <t>921686</t>
  </si>
  <si>
    <t>HA 2XO TRIBUTE BLEND</t>
  </si>
  <si>
    <t>921689</t>
  </si>
  <si>
    <t>HA 2XO GEM OF KENTUCKY</t>
  </si>
  <si>
    <t>921865</t>
  </si>
  <si>
    <t>HA 2XO INNKEEPERS BLEND</t>
  </si>
  <si>
    <t>921916</t>
  </si>
  <si>
    <t>VIRGIN BOURBON 101</t>
  </si>
  <si>
    <t>921970</t>
  </si>
  <si>
    <t>WATHENS SINGLE BARREL BOURBON</t>
  </si>
  <si>
    <t>922040</t>
  </si>
  <si>
    <t>WELLER ANTIQUE BUY THE BARREL</t>
  </si>
  <si>
    <t>922041</t>
  </si>
  <si>
    <t>WELLER ANTIQUE 107 SAZERAC BARREL SELECT BUY THE BARREL</t>
  </si>
  <si>
    <t>922042</t>
  </si>
  <si>
    <t>HA WELLER CYPB</t>
  </si>
  <si>
    <t>922044</t>
  </si>
  <si>
    <t>HA WELLER FULL PROOF</t>
  </si>
  <si>
    <t>922046</t>
  </si>
  <si>
    <t>HA WELLER SINGLE BARREL BOURBON</t>
  </si>
  <si>
    <t>922047</t>
  </si>
  <si>
    <t>WELLER FULL PROOF SAZERAC BARREL SELECT BUY THE BARREL</t>
  </si>
  <si>
    <t>922049</t>
  </si>
  <si>
    <t>WELLER RESERVE BOURBON SAZERAC BARREL SELECT BUY THE BARREL</t>
  </si>
  <si>
    <t>922065</t>
  </si>
  <si>
    <t>PENNSYLVANIA WAPSIE VALLEY BOURBON</t>
  </si>
  <si>
    <t>PITTSBURGH SPIRITS, LLC</t>
  </si>
  <si>
    <t>922075</t>
  </si>
  <si>
    <t>SOOH WILDERNESS TRAIL BIB SMALL BATCH-HIGH RYE BOURBON</t>
  </si>
  <si>
    <t>922077</t>
  </si>
  <si>
    <t>SOOH WILDERNESS TRAIL BIB SMALL BATCH - WHEATED BOURBON</t>
  </si>
  <si>
    <t>922079</t>
  </si>
  <si>
    <t>WILDERNESS TRAIL WHEATED BOURBON FAMILY RESERVE PVT BARREL</t>
  </si>
  <si>
    <t>922081</t>
  </si>
  <si>
    <t>WILDERNESS TRAIL HIGH RYE BOURBON FAMILY RESERVE PVT BARREL</t>
  </si>
  <si>
    <t>922086</t>
  </si>
  <si>
    <t>HA W L WELLER 2024 BOURBON</t>
  </si>
  <si>
    <t>922171</t>
  </si>
  <si>
    <t>WILD TURKEY RYE PRIVATE BARREL BUY THE BARREL</t>
  </si>
  <si>
    <t>RUSSELLS RESERVE SINGLE BARREL PRIVATE BARREL BUY THE BARREL</t>
  </si>
  <si>
    <t>922184</t>
  </si>
  <si>
    <t>HA RUSSELLS RESERVE 13YR BARREL PROOF</t>
  </si>
  <si>
    <t>922188</t>
  </si>
  <si>
    <t>HA WIDOW JANE LUCKY THIRTEEN</t>
  </si>
  <si>
    <t>922208</t>
  </si>
  <si>
    <t>WOODFORD RESERVE PERSONAL SELECTION BUY THE BARREL</t>
  </si>
  <si>
    <t>SOOH WOODFORD RESERVE MINI</t>
  </si>
  <si>
    <t>922229</t>
  </si>
  <si>
    <t>WOODFORD RESERVE DOUBLE OAKED BUY THE BARREL</t>
  </si>
  <si>
    <t>922239</t>
  </si>
  <si>
    <t>922261</t>
  </si>
  <si>
    <t>YELLOWSTONE HAND PICKED 102PR BUY THE BARREL</t>
  </si>
  <si>
    <t>922262</t>
  </si>
  <si>
    <t>YELLOWSTONE HAND PICKED 109PR BUY THE BARREL</t>
  </si>
  <si>
    <t>922263</t>
  </si>
  <si>
    <t>YELLOWSTONE HAND PICKED 115PR BUY THE BARREL</t>
  </si>
  <si>
    <t>922285</t>
  </si>
  <si>
    <t>HA WOODFORD RESERVE MASTER COLLECTION HIST BARREL ENTRY</t>
  </si>
  <si>
    <t>922290</t>
  </si>
  <si>
    <t>YELLOWSTONE HAND PICKED BARREL PROGRAM - BUY THE BARREL</t>
  </si>
  <si>
    <t>922296</t>
  </si>
  <si>
    <t>HA WHISTLEPIG FARMSTOCK RYE BEYOND BONDED BOURBON</t>
  </si>
  <si>
    <t>922298</t>
  </si>
  <si>
    <t>WOODINVILLE STRAIGHT BOURBON SINGLE BARREL BUY THE BARREL</t>
  </si>
  <si>
    <t>922370</t>
  </si>
  <si>
    <t>PINE BLUFFS DISTILLING STRAIGHT WHISKEY OAT</t>
  </si>
  <si>
    <t>922371</t>
  </si>
  <si>
    <t>PINE BLUFFS DISTILLING STRAIGHT MALTED WHEAT WHISKEY</t>
  </si>
  <si>
    <t>922374</t>
  </si>
  <si>
    <t>WHISTLEPIG PIGGYBACK RYE SINGLE BARREL BUY THE BARREL</t>
  </si>
  <si>
    <t>922378</t>
  </si>
  <si>
    <t>BARREL CRAFT SPIRITS GRAY LABEL DOVETAIL</t>
  </si>
  <si>
    <t>922380</t>
  </si>
  <si>
    <t>LAWS WHISKEY HOUSE CENTENNIAL STRAIGHT WHEAT WHISKEY BIB</t>
  </si>
  <si>
    <t>922387</t>
  </si>
  <si>
    <t>ROKNAR RYE WHISKEY</t>
  </si>
  <si>
    <t>FAR NORTH SPIRITS, INC.</t>
  </si>
  <si>
    <t>922390</t>
  </si>
  <si>
    <t>HA PARKERS HERITAGE COLLECTION 16TH EDITION DBL BARREL BLEND</t>
  </si>
  <si>
    <t>922393</t>
  </si>
  <si>
    <t>TOWN BRANCH SINGLE BARREL RESERVE MALT WHISKEY BARREL BUY</t>
  </si>
  <si>
    <t>922399</t>
  </si>
  <si>
    <t>BODALEN BOURBON</t>
  </si>
  <si>
    <t>922402</t>
  </si>
  <si>
    <t>TEMPLETON DISTILLERY MASTER DISTILLERS RELEASE</t>
  </si>
  <si>
    <t>TEMPLETON DISTILLING LLC</t>
  </si>
  <si>
    <t>922404</t>
  </si>
  <si>
    <t>HA BERNHEIM ORIGINAL WHEAT BARREL PROOF</t>
  </si>
  <si>
    <t>922406</t>
  </si>
  <si>
    <t>922419</t>
  </si>
  <si>
    <t>922420</t>
  </si>
  <si>
    <t>922426</t>
  </si>
  <si>
    <t>MIJENTA TEQUILA BLANCO</t>
  </si>
  <si>
    <t>ALTOS PLANOS INC.</t>
  </si>
  <si>
    <t>922430</t>
  </si>
  <si>
    <t>WESTWARD WHISKEY BUSINESS STOUT SINGLE BARREL #243</t>
  </si>
  <si>
    <t>922441</t>
  </si>
  <si>
    <t>PLANTERS PRIDE</t>
  </si>
  <si>
    <t>922442</t>
  </si>
  <si>
    <t>PLOW POINT SMALL BATCH WHISKEY</t>
  </si>
  <si>
    <t>922443</t>
  </si>
  <si>
    <t>TILLMANS SMALL BATCH WHISKEY</t>
  </si>
  <si>
    <t>922450</t>
  </si>
  <si>
    <t>BIRD DOG BLACKBERRY RESERVE</t>
  </si>
  <si>
    <t>922458</t>
  </si>
  <si>
    <t>922470</t>
  </si>
  <si>
    <t>HA REDWOOD EMPIRE PIPE DREAM BOURBON</t>
  </si>
  <si>
    <t>922471</t>
  </si>
  <si>
    <t>KEEPERS HEART FINISHED IN MADEIRA CASKS BUY THE BARREL</t>
  </si>
  <si>
    <t>922473</t>
  </si>
  <si>
    <t>KEEPERS HEART FINISHED IN SAUTERNES CASKS BUY THE BARREL</t>
  </si>
  <si>
    <t>922492</t>
  </si>
  <si>
    <t>922493</t>
  </si>
  <si>
    <t>KEEPERS HEART IRISH + BOURBON CASK STRENGTH</t>
  </si>
  <si>
    <t>922500</t>
  </si>
  <si>
    <t>WESTWARD WHISKEY AMERICAN SINGLE MALT STOUT CASK FINISH SB</t>
  </si>
  <si>
    <t>922534</t>
  </si>
  <si>
    <t>922540</t>
  </si>
  <si>
    <t>173 CRAFT DISTILLERY SINGLE BARREL BOURBON</t>
  </si>
  <si>
    <t>922544</t>
  </si>
  <si>
    <t>END OF DAYS SURVIVORS CUT BOURBON</t>
  </si>
  <si>
    <t>EOD DISTILLERY, LLC</t>
  </si>
  <si>
    <t>922553</t>
  </si>
  <si>
    <t>STEEPLE RIDGE 5YR WHEAT WHISKEY</t>
  </si>
  <si>
    <t>922557</t>
  </si>
  <si>
    <t>HA BIB &amp; TUCKER 10 YEAR BOURBON</t>
  </si>
  <si>
    <t>922688</t>
  </si>
  <si>
    <t>FAR NORTH SPIRITS HAZLET SINGLE VARIETAL BONDED RYE</t>
  </si>
  <si>
    <t>922689</t>
  </si>
  <si>
    <t>FAR NORTH ROKNAR BONDED RYE WHISKEY</t>
  </si>
  <si>
    <t>922897</t>
  </si>
  <si>
    <t>BIRD DOG BLENDED WHISKEY</t>
  </si>
  <si>
    <t>923060</t>
  </si>
  <si>
    <t>BRECKENRIDGE RESERVE BLEND BETA</t>
  </si>
  <si>
    <t>923063</t>
  </si>
  <si>
    <t>BRECKENRIDGE BOURBON WHISKEY RESERVE BLEND ALPHA BARREL BUY</t>
  </si>
  <si>
    <t>923250</t>
  </si>
  <si>
    <t>SOLVEIG GIN</t>
  </si>
  <si>
    <t>923327</t>
  </si>
  <si>
    <t>KOVAL SINGLE BARREL WHISKEY RYE MAPLE SYRUP CASK FINISH</t>
  </si>
  <si>
    <t>923328</t>
  </si>
  <si>
    <t>KOVAL SINGLE BARREL WHISKEY RYE AMBURANA BARREL FINISHED</t>
  </si>
  <si>
    <t>923329</t>
  </si>
  <si>
    <t>KOVAL SINGLE BARREL WHISKEY RYE BOTTLED IN BOND</t>
  </si>
  <si>
    <t>923366</t>
  </si>
  <si>
    <t>CONCIERE BLENDED WHISKEY</t>
  </si>
  <si>
    <t>923614</t>
  </si>
  <si>
    <t>FILIBUSTER BOONDOGGLER</t>
  </si>
  <si>
    <t>924475</t>
  </si>
  <si>
    <t>KINGS COUNTY BLENDED BOURBON</t>
  </si>
  <si>
    <t>KINGS COUNTY DISTILLERY</t>
  </si>
  <si>
    <t>924502</t>
  </si>
  <si>
    <t>HA WELLER MILLENNIUM</t>
  </si>
  <si>
    <t>HA LITTLE BOOK CHAPTER 8</t>
  </si>
  <si>
    <t>924754</t>
  </si>
  <si>
    <t>MEMBERS MARK BOURBON WHISKEY</t>
  </si>
  <si>
    <t>924759</t>
  </si>
  <si>
    <t>HA HEAVEN HILL HERITAGE COLLECTION 20YR CORN WHISKEY 2ND ED.</t>
  </si>
  <si>
    <t>924762</t>
  </si>
  <si>
    <t>WOODSHED RED</t>
  </si>
  <si>
    <t>924855</t>
  </si>
  <si>
    <t>REVELTON SINGLE BARREL BOURBON BARREL PICK - HIGH PROOF</t>
  </si>
  <si>
    <t>924873</t>
  </si>
  <si>
    <t>REVELTON SIMPLE MAJORITY RYE</t>
  </si>
  <si>
    <t>924875</t>
  </si>
  <si>
    <t>STARLIGHT DISTILLERY CIGAR BATCH RYE WHISKEY FINISHED IN BRA</t>
  </si>
  <si>
    <t>924876</t>
  </si>
  <si>
    <t>STARLIGHT DISTILLERY OLD RICKHOUSE AMERICAN DOUBLE OAKED RYE</t>
  </si>
  <si>
    <t>924880</t>
  </si>
  <si>
    <t>STARLIGHT DISTILLERY RYE WHISKEY FINISHED IN HONEY BARRELS B</t>
  </si>
  <si>
    <t>924882</t>
  </si>
  <si>
    <t>HA REDWOOD EMPIRE VANDUZZEN</t>
  </si>
  <si>
    <t>CM OBTAINIUM BLENDED WHISKEY</t>
  </si>
  <si>
    <t>924902</t>
  </si>
  <si>
    <t>OLD EZRA RYE SINGLE BARREL BTB</t>
  </si>
  <si>
    <t>924908</t>
  </si>
  <si>
    <t>KINGS COUNTY DISTILLERY EMPIRE RYE</t>
  </si>
  <si>
    <t>924921</t>
  </si>
  <si>
    <t>FIELD &amp; SOUND BOTTLED IN BOND BOURBON</t>
  </si>
  <si>
    <t>LONG ISLAND SPIRITS INC.</t>
  </si>
  <si>
    <t>924923</t>
  </si>
  <si>
    <t>TEMPLETON RYE TEQUILA CASK FINISHED</t>
  </si>
  <si>
    <t>925013</t>
  </si>
  <si>
    <t>HA PARKERS HERITAGE COLLECTION 17TH EDITION RYE</t>
  </si>
  <si>
    <t>925014</t>
  </si>
  <si>
    <t>SMOKE WAGON BLENDERS SELECT RYE STRAIGHT WHISKEY</t>
  </si>
  <si>
    <t>925015</t>
  </si>
  <si>
    <t>TRAVERSE CITY WHISKEY CO. FINISHING SERIES RYE X CAB FRANC</t>
  </si>
  <si>
    <t>925018</t>
  </si>
  <si>
    <t>HA REDWOOD EMPIRE LOST MONARCH CASK STRENGTH BLEND</t>
  </si>
  <si>
    <t>925019</t>
  </si>
  <si>
    <t>BLACKENED WHISKEY 72 SEASONS</t>
  </si>
  <si>
    <t>925024</t>
  </si>
  <si>
    <t>HA ROSSVILLE BOTTLED IN BOND 6 YEAR</t>
  </si>
  <si>
    <t>O.H. INGRAM RIVER AGED STRAIGHT RYE WHISKEY</t>
  </si>
  <si>
    <t>925033</t>
  </si>
  <si>
    <t>TEMPLETON RYE WHISKEY ORANGE LIQUEUR CASK FINISH</t>
  </si>
  <si>
    <t>TEMPLETON RYE SPIRITS, LLC</t>
  </si>
  <si>
    <t>925051</t>
  </si>
  <si>
    <t>HA REDWOOD EMPIRE EMERALD GIANT CASK STRENGTH RYE</t>
  </si>
  <si>
    <t>925053</t>
  </si>
  <si>
    <t>SMOKE WAGON MALTED STRAIGHT RYE WHISKEY</t>
  </si>
  <si>
    <t>925054</t>
  </si>
  <si>
    <t>SMOKE WAGON BOTTLED IN BOND STRAIGHT RYE WHISKEY</t>
  </si>
  <si>
    <t>925083</t>
  </si>
  <si>
    <t>HA WHISTLEPIG THE BOSS HOG IX: SIRENS SONG</t>
  </si>
  <si>
    <t>925085</t>
  </si>
  <si>
    <t>LIMOUSIN RYE SINGLE BARREL BUY THE BARREL</t>
  </si>
  <si>
    <t>925091</t>
  </si>
  <si>
    <t>HA EH TAYLOR STRAIGHT RYE BARREL</t>
  </si>
  <si>
    <t>925112</t>
  </si>
  <si>
    <t>THE SENATOR SINGLE BARREL</t>
  </si>
  <si>
    <t>925114</t>
  </si>
  <si>
    <t>PEERLESS SINGLE BARREL SELECTION KY STRAIGHT RYE WHISKEY</t>
  </si>
  <si>
    <t>925121</t>
  </si>
  <si>
    <t>METHANOL MOONSHINE PEACH CORN WHISKEY</t>
  </si>
  <si>
    <t>925169</t>
  </si>
  <si>
    <t>WILDERNESS TRAIL BIB SMALL BATCH-RYE WHISKEY</t>
  </si>
  <si>
    <t>925182</t>
  </si>
  <si>
    <t>RITTENHOUSE RYE WHISKEY PRIVATE BARREL</t>
  </si>
  <si>
    <t>925195</t>
  </si>
  <si>
    <t>WOODINVILLE STRAIGHT RYE SINGLE BARREL BUY THE BARREL</t>
  </si>
  <si>
    <t>925213</t>
  </si>
  <si>
    <t>THE CLOVER BARREL STRENGTH STRAIGHT BOURBON BUY THE BARREL</t>
  </si>
  <si>
    <t>925214</t>
  </si>
  <si>
    <t>THE CLOVER STRAIGHT RYE WHISKEY BUY THE BARREL</t>
  </si>
  <si>
    <t>925215</t>
  </si>
  <si>
    <t>ELIJAH CRAIG RYE WHISKEY</t>
  </si>
  <si>
    <t>925241</t>
  </si>
  <si>
    <t>HA LOCK STOCK &amp; BARREL VATTED STRAIGHT RYE WHISKEY 100PRF</t>
  </si>
  <si>
    <t>925265</t>
  </si>
  <si>
    <t>PINE BLUFFS DISTILLING STRAIGHT RYE WHISKEY</t>
  </si>
  <si>
    <t>925293</t>
  </si>
  <si>
    <t>925303</t>
  </si>
  <si>
    <t>HA JDSB RYE BARREL PROOF</t>
  </si>
  <si>
    <t>925346</t>
  </si>
  <si>
    <t>925387</t>
  </si>
  <si>
    <t>BULLHORN WHISKEY</t>
  </si>
  <si>
    <t>925391</t>
  </si>
  <si>
    <t>173 CRAFT DISTILLERY BOURBON WHISKEY</t>
  </si>
  <si>
    <t>925399</t>
  </si>
  <si>
    <t>THE SENATOR BARREL PROOF RYE</t>
  </si>
  <si>
    <t>925408</t>
  </si>
  <si>
    <t>HA WHISTLEPIG FARMSTOCK BEYOND BONDED RYE</t>
  </si>
  <si>
    <t>925451</t>
  </si>
  <si>
    <t>925463</t>
  </si>
  <si>
    <t>CHICKEN COCK ISLAND ROOSTER RUM BARREL RYE</t>
  </si>
  <si>
    <t>925467</t>
  </si>
  <si>
    <t>SAGAMORE RYE SHERRY FINISH</t>
  </si>
  <si>
    <t>925470</t>
  </si>
  <si>
    <t>JACK DANIELS SINGLE BARREL RYE BARREL PROOF PC BUY THE BARRE</t>
  </si>
  <si>
    <t>925473</t>
  </si>
  <si>
    <t>925475</t>
  </si>
  <si>
    <t>SOOH METHANOL MOONSHINE</t>
  </si>
  <si>
    <t>925476</t>
  </si>
  <si>
    <t>METHANOL MOONSHINE: DRIVERS EDITION</t>
  </si>
  <si>
    <t>925483</t>
  </si>
  <si>
    <t>HA LOCK STOCK &amp; BARREL 21YR STRAIGHT RYE WHISKEY</t>
  </si>
  <si>
    <t>925485</t>
  </si>
  <si>
    <t>HA WIDOW JANE THE VAULTS</t>
  </si>
  <si>
    <t>925567</t>
  </si>
  <si>
    <t>OREGON SPIRIT DISTILLERS STRAIGHT AMERICAN BOURBON</t>
  </si>
  <si>
    <t>925611</t>
  </si>
  <si>
    <t>CM ADVENTUROUS RYE</t>
  </si>
  <si>
    <t>925628</t>
  </si>
  <si>
    <t>HA REDWOOD EMPIRE FOGGY BURL SINGLE MALT AMERICAN WHISKEY</t>
  </si>
  <si>
    <t>925630</t>
  </si>
  <si>
    <t>BLOODY BUTCHER BOURBON</t>
  </si>
  <si>
    <t>925642</t>
  </si>
  <si>
    <t>HA REDWOOD EMPIRE SCREAMING TITAN</t>
  </si>
  <si>
    <t>925656</t>
  </si>
  <si>
    <t>HA REDWOOD EMPIRE LOST MONARCH CASK STRENGTH</t>
  </si>
  <si>
    <t>925661</t>
  </si>
  <si>
    <t>CHICKEN COCK RESERVE CASK GG BUY THE BARREL</t>
  </si>
  <si>
    <t>925675</t>
  </si>
  <si>
    <t>IRISH RED</t>
  </si>
  <si>
    <t>925694</t>
  </si>
  <si>
    <t>CM OBTAINIUM 9YR BOURBON WHISKEY BUY THE BARREL</t>
  </si>
  <si>
    <t>925703</t>
  </si>
  <si>
    <t>DUNAMIS INTERSTELLAR BOURBON</t>
  </si>
  <si>
    <t>DUNAMIS PREMIUM SPIRITS LLC</t>
  </si>
  <si>
    <t>925724</t>
  </si>
  <si>
    <t>HA PARKERS HERITAGE COLLECTION 18TH EDITION</t>
  </si>
  <si>
    <t>925768</t>
  </si>
  <si>
    <t>YELLOWSTONE HAND PICKED AMERICAN SINGLE MALT 110P BUY THE BA</t>
  </si>
  <si>
    <t>925774</t>
  </si>
  <si>
    <t>925775</t>
  </si>
  <si>
    <t>HARMONY SPIRITS WHISKEY</t>
  </si>
  <si>
    <t>925776</t>
  </si>
  <si>
    <t>925777</t>
  </si>
  <si>
    <t>MOUNTAIN LEGACY CORN WHISKEY</t>
  </si>
  <si>
    <t>925792</t>
  </si>
  <si>
    <t>TIP THE COW</t>
  </si>
  <si>
    <t>925793</t>
  </si>
  <si>
    <t>HOME BAKED WHISKEY BUY THE BARREL</t>
  </si>
  <si>
    <t>925815</t>
  </si>
  <si>
    <t>DEFIANCE BUY THE BARREL</t>
  </si>
  <si>
    <t>925832</t>
  </si>
  <si>
    <t>RIEGERS BOTTLED IN BOND RYE</t>
  </si>
  <si>
    <t>925833</t>
  </si>
  <si>
    <t>HA HEAVEN HILL GRAIN TO GLASS RYE WHISKEY</t>
  </si>
  <si>
    <t>925844</t>
  </si>
  <si>
    <t>STARLIGHT DISTILLERY INDIANA STRAIGHT WHEAT WHISKEY BUY THE</t>
  </si>
  <si>
    <t>925845</t>
  </si>
  <si>
    <t>STARLIGHT DISTILLERY FRENCH OAK DOUBLE OAKED BOURBON WHISKEY</t>
  </si>
  <si>
    <t>925848</t>
  </si>
  <si>
    <t>DRIFTLESS GLEN AMERICAN SINGLE MALT</t>
  </si>
  <si>
    <t>925849</t>
  </si>
  <si>
    <t>FOUNDRY WHISKEY CABERNET CASK FINISHED</t>
  </si>
  <si>
    <t>925901</t>
  </si>
  <si>
    <t>GEORGE DICKEL 18YR</t>
  </si>
  <si>
    <t>925913</t>
  </si>
  <si>
    <t>SAZERAC RYE SAZERAC BARREL SELECT BUY THE BARREL</t>
  </si>
  <si>
    <t>925919</t>
  </si>
  <si>
    <t>MINOR CASE 6YR BUY THE BARREL 105PRF</t>
  </si>
  <si>
    <t>925920</t>
  </si>
  <si>
    <t>MINOR CASE 6YR BUY THE BARREL 115PRF</t>
  </si>
  <si>
    <t>925925</t>
  </si>
  <si>
    <t>HA PENELOPE TOKAJI CASK FINISH RYE 8YR</t>
  </si>
  <si>
    <t>925931</t>
  </si>
  <si>
    <t>END OF DAYS SURVIVORS CUT RYE</t>
  </si>
  <si>
    <t>925933</t>
  </si>
  <si>
    <t>WHISTLEPIG FARMSTOCK RYE</t>
  </si>
  <si>
    <t>925934</t>
  </si>
  <si>
    <t>REVELTON DISTILLERS EDITION RYE BARREL PICK BUY THE BARREL</t>
  </si>
  <si>
    <t>925937</t>
  </si>
  <si>
    <t>REVELTON DISTILLERS EDITION RYE WHISKEY</t>
  </si>
  <si>
    <t>925942</t>
  </si>
  <si>
    <t>HEMINGWAY RYE SIGNATURE EDITION</t>
  </si>
  <si>
    <t>925981</t>
  </si>
  <si>
    <t>UNCLE NEAREST SINGLE BARREL BUY THE BARREL</t>
  </si>
  <si>
    <t>925984</t>
  </si>
  <si>
    <t>HA JACK DANIELS 12YR</t>
  </si>
  <si>
    <t>926013</t>
  </si>
  <si>
    <t>TINCUP FOURTEENER</t>
  </si>
  <si>
    <t>926018</t>
  </si>
  <si>
    <t>CM OBTAINIUM BOURBON WHISKEY BUY THE BARREL</t>
  </si>
  <si>
    <t>926020</t>
  </si>
  <si>
    <t>LOST REPUBLIC STRAIGHT RYE WHISKEY</t>
  </si>
  <si>
    <t>DC BEVERAGE LLC</t>
  </si>
  <si>
    <t>926045</t>
  </si>
  <si>
    <t>COMING HOME</t>
  </si>
  <si>
    <t>926052</t>
  </si>
  <si>
    <t>WESTWARD PINOT NOIR SB BUY THE BARREL</t>
  </si>
  <si>
    <t>926055</t>
  </si>
  <si>
    <t>DIGITS BOURBON WHISKEY</t>
  </si>
  <si>
    <t>926092</t>
  </si>
  <si>
    <t>MAGEES MALT WHISKEY</t>
  </si>
  <si>
    <t>926093</t>
  </si>
  <si>
    <t>TYCOGA WHISKEY</t>
  </si>
  <si>
    <t>926100</t>
  </si>
  <si>
    <t>HA GEORGE DICKEL RESERVE 17YR</t>
  </si>
  <si>
    <t>926102</t>
  </si>
  <si>
    <t>HA JACK DANIELS 10YR</t>
  </si>
  <si>
    <t>926125</t>
  </si>
  <si>
    <t>CEDAR RIDGE SINGLE BARREL THE QUINTESSENTIAL SINGLE MALT</t>
  </si>
  <si>
    <t>926150</t>
  </si>
  <si>
    <t>926215</t>
  </si>
  <si>
    <t>SOOH BALCONES SINGLE MALT LINEAGE</t>
  </si>
  <si>
    <t>926217</t>
  </si>
  <si>
    <t>GREEN FROG DISTILLERY CRANBERRY FLAVORED WHISKEY</t>
  </si>
  <si>
    <t>926219</t>
  </si>
  <si>
    <t>BARRELL PRIVATE RELEASE WHISKEY</t>
  </si>
  <si>
    <t>926229</t>
  </si>
  <si>
    <t>KIRKLAND SIGNATURE TENNESSEE SOUR MASH WHISKEY</t>
  </si>
  <si>
    <t>926231</t>
  </si>
  <si>
    <t>SIR WINSTON WHEAT WHISKEY</t>
  </si>
  <si>
    <t>926233</t>
  </si>
  <si>
    <t>CM NASSIF FAMILY RESERVE BUY THE BARREL</t>
  </si>
  <si>
    <t>926248</t>
  </si>
  <si>
    <t>CENTURY FARMS BOURBON</t>
  </si>
  <si>
    <t>926261</t>
  </si>
  <si>
    <t>FOUNDRY BOURBON</t>
  </si>
  <si>
    <t>926263</t>
  </si>
  <si>
    <t>FOUNDRY SINGLE MALT WHISKEY</t>
  </si>
  <si>
    <t>926265</t>
  </si>
  <si>
    <t>FOUNDRY FIVE GRAIN WHISKEY</t>
  </si>
  <si>
    <t>926266</t>
  </si>
  <si>
    <t>CENTURY FARMS BOURBON - PERSONALIZED</t>
  </si>
  <si>
    <t>926292</t>
  </si>
  <si>
    <t>926293</t>
  </si>
  <si>
    <t>926294</t>
  </si>
  <si>
    <t>REVELTON SHINE WHITE WHISKEY MINI</t>
  </si>
  <si>
    <t>926299</t>
  </si>
  <si>
    <t>EXILE SINGLE MALT AMERICAN WHISKEY</t>
  </si>
  <si>
    <t>926311</t>
  </si>
  <si>
    <t>THE CLOVER TENNESSEE STRAIGHT BOURBON</t>
  </si>
  <si>
    <t>926337</t>
  </si>
  <si>
    <t>JOURNEYMAN DISTILLERY FEATHEBONE BBN CSK SP BUY THE BARREL</t>
  </si>
  <si>
    <t>926350</t>
  </si>
  <si>
    <t>926354</t>
  </si>
  <si>
    <t>H.DERINGER GIFT BOX</t>
  </si>
  <si>
    <t>926357</t>
  </si>
  <si>
    <t>SOOH BARRELL SEAGRASS RYE WHISKEY</t>
  </si>
  <si>
    <t>926378</t>
  </si>
  <si>
    <t>JOURNEYMAN DISTILLERY FEATHERBONE BOURBON</t>
  </si>
  <si>
    <t>926379</t>
  </si>
  <si>
    <t>JOURNEYMAN CORSETS WHIPS AND WHISKEY</t>
  </si>
  <si>
    <t>926389</t>
  </si>
  <si>
    <t>JOURNEYMAN LAST FEATHER RYE SBS CASK STRENGTH BUY THE BARREL</t>
  </si>
  <si>
    <t>JOURNEYMAN DISTILLERY LLC</t>
  </si>
  <si>
    <t>926409</t>
  </si>
  <si>
    <t>DES MOINES WHISKEY</t>
  </si>
  <si>
    <t>926411</t>
  </si>
  <si>
    <t>SINISTER MALT WHISKEY</t>
  </si>
  <si>
    <t>926416</t>
  </si>
  <si>
    <t>FURIOUS WHISKEY</t>
  </si>
  <si>
    <t>926424</t>
  </si>
  <si>
    <t>HA RABBIT HOLE BOXERGRAIL 8YR</t>
  </si>
  <si>
    <t>926442</t>
  </si>
  <si>
    <t>TEMPLETON RYE STRAIGHT CORN WHISKEY</t>
  </si>
  <si>
    <t>926447</t>
  </si>
  <si>
    <t>HUDSON DO THE RYE THING</t>
  </si>
  <si>
    <t>926464</t>
  </si>
  <si>
    <t>SOOH STRANAHANS BLUE PEAK</t>
  </si>
  <si>
    <t>926471</t>
  </si>
  <si>
    <t>926478</t>
  </si>
  <si>
    <t>LAWS SAN LUIS VALLEY RYE BOTTLED IN BOND</t>
  </si>
  <si>
    <t>926508</t>
  </si>
  <si>
    <t>STRAIGHT CORN WHISKEY</t>
  </si>
  <si>
    <t>926519</t>
  </si>
  <si>
    <t>TEMPLETON RYE SINGLE BARREL SELECTION</t>
  </si>
  <si>
    <t>926556</t>
  </si>
  <si>
    <t>926568</t>
  </si>
  <si>
    <t>RESILIENT BOURBON WHISKEY (BARREL STRENGTH)</t>
  </si>
  <si>
    <t>926574</t>
  </si>
  <si>
    <t>HA HORSE SOLDIER COMMANDERS SELECT VI BOURBON</t>
  </si>
  <si>
    <t>926581</t>
  </si>
  <si>
    <t>GENTLEMAN JACK MINI</t>
  </si>
  <si>
    <t>926595</t>
  </si>
  <si>
    <t>GEORGE DICKEL 15 YO SINGLE BARREL BUY THE BARREL</t>
  </si>
  <si>
    <t>926596</t>
  </si>
  <si>
    <t>GEORGE DICKEL BARREL SELECT</t>
  </si>
  <si>
    <t>926614</t>
  </si>
  <si>
    <t>926620</t>
  </si>
  <si>
    <t>CENTURY FARMS PRAIRIE STATES CORN WHISKEY</t>
  </si>
  <si>
    <t>926624</t>
  </si>
  <si>
    <t>CENTURY FARMS PRAIRIE STATES UNAGED HIGH PROOF CORN WHISKEY</t>
  </si>
  <si>
    <t>926632</t>
  </si>
  <si>
    <t>DRIFTLESS GLEN HANDPICKED SINGLE BARREL CASK STRENGTH</t>
  </si>
  <si>
    <t>926658</t>
  </si>
  <si>
    <t>GEORGE DICKEL SIGNATURE</t>
  </si>
  <si>
    <t>926669</t>
  </si>
  <si>
    <t>SOOH BALCONES TRUE BLUE 100</t>
  </si>
  <si>
    <t>926684</t>
  </si>
  <si>
    <t>FOUNDRY WHISKEY CUSTOM</t>
  </si>
  <si>
    <t>926699</t>
  </si>
  <si>
    <t>DUKE DOUBLE BARREL RYE FOUNDER’S RESERVE</t>
  </si>
  <si>
    <t>926713</t>
  </si>
  <si>
    <t>VIRGINIA DISTILLERY COURAGE AND CONVICTION</t>
  </si>
  <si>
    <t>926727</t>
  </si>
  <si>
    <t>DRIFTLESS GLEN CASK STRENGTH SINGLE BARREL RYE BUY THE BARRE</t>
  </si>
  <si>
    <t>926729</t>
  </si>
  <si>
    <t>SOOH JACK DANIEL''S SINGLE BARREL BARREL PROOF</t>
  </si>
  <si>
    <t>926730</t>
  </si>
  <si>
    <t>JACK DANIELS 4YR RYE SINGLE BARREL</t>
  </si>
  <si>
    <t>926732</t>
  </si>
  <si>
    <t>SIR WINSTON BARREL PROOF BOURBON</t>
  </si>
  <si>
    <t>926737</t>
  </si>
  <si>
    <t>SIR WINSTON BOURBON CUSTOM LABEL</t>
  </si>
  <si>
    <t>926740</t>
  </si>
  <si>
    <t>SAGAMORE SPIRIT BARREL SELECT STRAIGHT RYE110 BUY THE BARREL</t>
  </si>
  <si>
    <t>926751</t>
  </si>
  <si>
    <t>JACK DANIELS SINGLE BARREL RYE BUY THE BARREL</t>
  </si>
  <si>
    <t>926775</t>
  </si>
  <si>
    <t>SOOH BALCONES TEXAS RYE 100</t>
  </si>
  <si>
    <t>CONCIERE BOURBON WHISKEY</t>
  </si>
  <si>
    <t>926780</t>
  </si>
  <si>
    <t>WOODY CREEK DISTILLERS STRAIGHT RYE WHISKEY</t>
  </si>
  <si>
    <t>926782</t>
  </si>
  <si>
    <t>926786</t>
  </si>
  <si>
    <t>CEDAR RIDGE PRIVATE BARREL STRAIGHT RYE WHISKEY</t>
  </si>
  <si>
    <t>926787</t>
  </si>
  <si>
    <t>GREEN FROG DISTILLERY STRAIGHT CORN WHISKEY</t>
  </si>
  <si>
    <t>926796</t>
  </si>
  <si>
    <t>BIRD DOG PRALINE</t>
  </si>
  <si>
    <t>REDEMPTION HIGH RYE 10YR BARREL PROOF</t>
  </si>
  <si>
    <t>926812</t>
  </si>
  <si>
    <t>BREAKING &amp; ENTERING AMERICAN WHISKEY</t>
  </si>
  <si>
    <t>926875</t>
  </si>
  <si>
    <t>TEMPLETON RYE 6YR SPECIAL RESERVE</t>
  </si>
  <si>
    <t>926885</t>
  </si>
  <si>
    <t>JACK DANIELS SINGLE BARREL PERSONAL COLLECTION</t>
  </si>
  <si>
    <t>926902</t>
  </si>
  <si>
    <t>JACK DANIELS SINGLE BARREL MINI</t>
  </si>
  <si>
    <t>926913</t>
  </si>
  <si>
    <t>OLD FORESTER RYE 100PRF</t>
  </si>
  <si>
    <t>926924</t>
  </si>
  <si>
    <t>DOUGLAS &amp; TODD BOURBON WHISKEY</t>
  </si>
  <si>
    <t>926930</t>
  </si>
  <si>
    <t>THE CLOVER STRAIGHT BOURBON</t>
  </si>
  <si>
    <t>926931</t>
  </si>
  <si>
    <t>THE CLOVER STRAIGHT RYE</t>
  </si>
  <si>
    <t>926960</t>
  </si>
  <si>
    <t>KNOB CREEK RYE SINGLE BARREL SELECT</t>
  </si>
  <si>
    <t>926964</t>
  </si>
  <si>
    <t>SOOH KENTUCKY PEERLESS STRAIGHT RYE WHISKEY - SMALL BATCH</t>
  </si>
  <si>
    <t>926997</t>
  </si>
  <si>
    <t>DRIFTLESS GLEN SINGLE BARREL STRAIGHT RYE WHISKEY</t>
  </si>
  <si>
    <t>927036</t>
  </si>
  <si>
    <t>HA THOMAS HANDY 2024 RYE</t>
  </si>
  <si>
    <t>927041</t>
  </si>
  <si>
    <t>HA HIGH WEST A MIDWINTER NIGHTS DRAM</t>
  </si>
  <si>
    <t>927062</t>
  </si>
  <si>
    <t>HA MICHTERS 10YR RYE</t>
  </si>
  <si>
    <t>927096</t>
  </si>
  <si>
    <t>HA SAZERAC RYE 18YR 2024</t>
  </si>
  <si>
    <t>927101</t>
  </si>
  <si>
    <t>HA EH TAYLOR JR STRAIGHT RYE</t>
  </si>
  <si>
    <t>927114</t>
  </si>
  <si>
    <t>HA PIKESVILLE RYE 110PRF</t>
  </si>
  <si>
    <t>927124</t>
  </si>
  <si>
    <t>RUSSELLS RESERVE SINGLE BARREL RYE</t>
  </si>
  <si>
    <t>927126</t>
  </si>
  <si>
    <t>RUSSELLS RESERVE RYE 6YR</t>
  </si>
  <si>
    <t>927138</t>
  </si>
  <si>
    <t>927147</t>
  </si>
  <si>
    <t>HA MICHTERS US*1 BARREL STRENGTH RYE</t>
  </si>
  <si>
    <t>927162</t>
  </si>
  <si>
    <t>SAGAMORE STRAIGHT RYE WHISKEY SIGNATURE 83 PROOF</t>
  </si>
  <si>
    <t>927167</t>
  </si>
  <si>
    <t>EZRA BROOKS RYE</t>
  </si>
  <si>
    <t>927218</t>
  </si>
  <si>
    <t>HIGH WEST DOUBLE RYE BARREL SELECT WHISKEY</t>
  </si>
  <si>
    <t>927219</t>
  </si>
  <si>
    <t>HA MICHTERS TOASTED BARREL STRENGTH RYE</t>
  </si>
  <si>
    <t>927239</t>
  </si>
  <si>
    <t>DRIFTLESS GLEN SINGLE BARREL STRAIGHT BOURBON BUY THE BARREL</t>
  </si>
  <si>
    <t>927252</t>
  </si>
  <si>
    <t>SOOH BALCONES BRIMSTONE</t>
  </si>
  <si>
    <t>927255</t>
  </si>
  <si>
    <t>COUNTRY GAL</t>
  </si>
  <si>
    <t>927265</t>
  </si>
  <si>
    <t>TEQUILA CIMARRON REPOSADO</t>
  </si>
  <si>
    <t>TERRANOVA SPIRITS LLC</t>
  </si>
  <si>
    <t>927289</t>
  </si>
  <si>
    <t>IOWISH WHISKEY</t>
  </si>
  <si>
    <t>927324</t>
  </si>
  <si>
    <t>OLE SMOKY ORIGINAL CORN MOONSHINE</t>
  </si>
  <si>
    <t>927357</t>
  </si>
  <si>
    <t>CEDAR RIDGE SINGLE MALT SINGLE BARREL SELECT</t>
  </si>
  <si>
    <t>927363</t>
  </si>
  <si>
    <t>DRY FLY BOURBON 101</t>
  </si>
  <si>
    <t>DRY FLY DISTILLING</t>
  </si>
  <si>
    <t>927366</t>
  </si>
  <si>
    <t>DRY FLY STRAIGHT WHEAT WHISKEY</t>
  </si>
  <si>
    <t>927367</t>
  </si>
  <si>
    <t>CASK STRENGTH PRIVATE BARREL BOURBON</t>
  </si>
  <si>
    <t>SOOH AMERICAN BORN ORIGINAL MOONSHINE</t>
  </si>
  <si>
    <t>927425</t>
  </si>
  <si>
    <t>BIRD DOG HOT CINNAMON</t>
  </si>
  <si>
    <t>927516</t>
  </si>
  <si>
    <t>HA MICHTERS US*1 UNBLENDED AMERICAN WHISKEY</t>
  </si>
  <si>
    <t>927545</t>
  </si>
  <si>
    <t>JIM BEAM RED STAG BLACK CHERRY</t>
  </si>
  <si>
    <t>927601</t>
  </si>
  <si>
    <t>HA MICHTERS US*1 SOUR MASH WHISKEY</t>
  </si>
  <si>
    <t>927650</t>
  </si>
  <si>
    <t>SOOH WYOMING WHISKEY SMALL BATCH BOURBON</t>
  </si>
  <si>
    <t>927662</t>
  </si>
  <si>
    <t>927666</t>
  </si>
  <si>
    <t>927676</t>
  </si>
  <si>
    <t>BLACK MAPLE HILL OREGON STRAIGHT BOURBON</t>
  </si>
  <si>
    <t>CVI BRANDS / CALIFORNIA VINEYARDS INC</t>
  </si>
  <si>
    <t>927707</t>
  </si>
  <si>
    <t>SOOH BIRD DOG CHOCOLATE</t>
  </si>
  <si>
    <t>927735</t>
  </si>
  <si>
    <t>BIRD DOG SPICED</t>
  </si>
  <si>
    <t>927741</t>
  </si>
  <si>
    <t>BLACK TIE BOURBON</t>
  </si>
  <si>
    <t>OLD SMUGGLER SCOTCH PET</t>
  </si>
  <si>
    <t>927814</t>
  </si>
  <si>
    <t>BIRD DOG JALAPENO HONEY</t>
  </si>
  <si>
    <t>927898</t>
  </si>
  <si>
    <t>BIRD DOG RUBY RED GRAPEFRUIT</t>
  </si>
  <si>
    <t>927934</t>
  </si>
  <si>
    <t>BROTHERHOOD BOURBON</t>
  </si>
  <si>
    <t>927940</t>
  </si>
  <si>
    <t>WESTLAND AMERICAN SINGLE MALT</t>
  </si>
  <si>
    <t>927946</t>
  </si>
  <si>
    <t>WYOMING WHISKEY DOUBLE CASK BOURBON</t>
  </si>
  <si>
    <t>927948</t>
  </si>
  <si>
    <t>WYOMING WHISKEY OUTRYDER STRAIGHT AMERICAN WHISKEY</t>
  </si>
  <si>
    <t>927999</t>
  </si>
  <si>
    <t>TX BOURBON</t>
  </si>
  <si>
    <t>928002</t>
  </si>
  <si>
    <t>BRECKENRIDGE WHISKEY PORT CASK FINISH</t>
  </si>
  <si>
    <t>928026</t>
  </si>
  <si>
    <t>SOOH SMOOTH AMBLER CONTRADICTION</t>
  </si>
  <si>
    <t>928093</t>
  </si>
  <si>
    <t>STRANAHANS SHERRY CASK</t>
  </si>
  <si>
    <t>928125</t>
  </si>
  <si>
    <t>BRECKENRIDGE PX CASK FINISH</t>
  </si>
  <si>
    <t>928126</t>
  </si>
  <si>
    <t>BLOOM GIN</t>
  </si>
  <si>
    <t>928166</t>
  </si>
  <si>
    <t>BOBBYS SCHEIDAM GIN</t>
  </si>
  <si>
    <t>928193</t>
  </si>
  <si>
    <t>SOOH THE BURNING CHAIR BOURBON</t>
  </si>
  <si>
    <t>928245</t>
  </si>
  <si>
    <t>C CRETS WHISKEY</t>
  </si>
  <si>
    <t>928270</t>
  </si>
  <si>
    <t>CEDAR RIDGE PRIVATE CASK IOWA BOURBON SELECTION BARREL BUY</t>
  </si>
  <si>
    <t>928271</t>
  </si>
  <si>
    <t>CEDAR RIDGE PRIVATE CASK IOWA BOURBON SELECTION 105PRF</t>
  </si>
  <si>
    <t>928312</t>
  </si>
  <si>
    <t>BERTHAS IRISH REVENGE GIN</t>
  </si>
  <si>
    <t>928336</t>
  </si>
  <si>
    <t>BROCKMANS GIN</t>
  </si>
  <si>
    <t>928345</t>
  </si>
  <si>
    <t>BALLYKEEFE IRISH GIN</t>
  </si>
  <si>
    <t>928353</t>
  </si>
  <si>
    <t>928370</t>
  </si>
  <si>
    <t>BULLDOG GIN</t>
  </si>
  <si>
    <t>928396</t>
  </si>
  <si>
    <t>CAORUNN GIN</t>
  </si>
  <si>
    <t>SOOH CITADELLE GIN</t>
  </si>
  <si>
    <t>928421</t>
  </si>
  <si>
    <t>CONDESA PRICKLY PEAR AND ORANGE BLOSSOM</t>
  </si>
  <si>
    <t>928422</t>
  </si>
  <si>
    <t>CONDESA GIN CLASICA</t>
  </si>
  <si>
    <t>928441</t>
  </si>
  <si>
    <t>COTSWOLDS DRY GIN</t>
  </si>
  <si>
    <t>928458</t>
  </si>
  <si>
    <t>DINGLE GIN</t>
  </si>
  <si>
    <t>928466</t>
  </si>
  <si>
    <t>EDINBURGH GIN</t>
  </si>
  <si>
    <t>928467</t>
  </si>
  <si>
    <t>EDINBURGH GIN RHUBARB &amp; GINGER LIQUEUR</t>
  </si>
  <si>
    <t>928468</t>
  </si>
  <si>
    <t>EDINBURGH GIN CANNONBALL</t>
  </si>
  <si>
    <t>928473</t>
  </si>
  <si>
    <t>DRUMSHANBO GUNPOWDER IRISH GIN</t>
  </si>
  <si>
    <t>928485</t>
  </si>
  <si>
    <t>928498</t>
  </si>
  <si>
    <t>928503</t>
  </si>
  <si>
    <t>CREEK WATER SMOKED PEACH FLAVORED WHISKEY</t>
  </si>
  <si>
    <t>928532</t>
  </si>
  <si>
    <t>EDEN MILL LOVE GIN</t>
  </si>
  <si>
    <t>928533</t>
  </si>
  <si>
    <t>EDEN MILL GOLF GIN</t>
  </si>
  <si>
    <t>928538</t>
  </si>
  <si>
    <t>GRACIAS A DIOS GIN 32 BOTANICALS</t>
  </si>
  <si>
    <t>928539</t>
  </si>
  <si>
    <t>GRACIAS A DIOS GIN OAXACA RECIPE</t>
  </si>
  <si>
    <t>928561</t>
  </si>
  <si>
    <t>JAMES AMERICAN RAMSTUD GIN</t>
  </si>
  <si>
    <t>928599</t>
  </si>
  <si>
    <t>KYRO GIN</t>
  </si>
  <si>
    <t>928603</t>
  </si>
  <si>
    <t>ISLE OF HARRIS SCOTTISH GIN</t>
  </si>
  <si>
    <t>928616</t>
  </si>
  <si>
    <t>HIGHCLERE CASTLE GIN</t>
  </si>
  <si>
    <t>HIGHCLERE CASTLE SPIRITS</t>
  </si>
  <si>
    <t>928617</t>
  </si>
  <si>
    <t>HENDRICKS NEPTUNIA</t>
  </si>
  <si>
    <t>928620</t>
  </si>
  <si>
    <t>CLONAKILTY MINKE GIN</t>
  </si>
  <si>
    <t>928621</t>
  </si>
  <si>
    <t>HENDRICKS GIN MINI</t>
  </si>
  <si>
    <t>SOOH MALFY CON ARANCIA BLOOD ORANGE GIN</t>
  </si>
  <si>
    <t>928650</t>
  </si>
  <si>
    <t>MALFY CON LIMONE GIN</t>
  </si>
  <si>
    <t>928653</t>
  </si>
  <si>
    <t>928655</t>
  </si>
  <si>
    <t>MALFY ROSA GRAPEFRUIT FLAVORED GIN</t>
  </si>
  <si>
    <t>928666</t>
  </si>
  <si>
    <t>MAGELLAN GIN</t>
  </si>
  <si>
    <t>928691</t>
  </si>
  <si>
    <t>928693</t>
  </si>
  <si>
    <t>SOOH MONKEY 47</t>
  </si>
  <si>
    <t>928694</t>
  </si>
  <si>
    <t>MARTIN MILLERS WESTBOURNE STRENGTH GIN</t>
  </si>
  <si>
    <t>928699</t>
  </si>
  <si>
    <t>928726</t>
  </si>
  <si>
    <t>NOLETS RESERVE GIN</t>
  </si>
  <si>
    <t>928730</t>
  </si>
  <si>
    <t>NIKKA COFFEY GIN</t>
  </si>
  <si>
    <t>928739</t>
  </si>
  <si>
    <t>OLD RAJ GIN 92PRF</t>
  </si>
  <si>
    <t>PACIFIC EDGE WINE &amp; SPIRITS</t>
  </si>
  <si>
    <t>928754</t>
  </si>
  <si>
    <t>135 EAST HYOGO JAPANESE GIN</t>
  </si>
  <si>
    <t>928770</t>
  </si>
  <si>
    <t>OPIHR GIN</t>
  </si>
  <si>
    <t>928793</t>
  </si>
  <si>
    <t>PLYMOUTH NAVY STRENGTH GIN</t>
  </si>
  <si>
    <t>928812</t>
  </si>
  <si>
    <t>SOOH SIPSMITH LONDON DRY GIN</t>
  </si>
  <si>
    <t>928814</t>
  </si>
  <si>
    <t>SIPSMITH VJOP</t>
  </si>
  <si>
    <t>928817</t>
  </si>
  <si>
    <t>SILENT POOL GIN</t>
  </si>
  <si>
    <t>928819</t>
  </si>
  <si>
    <t>SILKS GIN</t>
  </si>
  <si>
    <t>928821</t>
  </si>
  <si>
    <t>SCAPEGRACE GOLD GIN</t>
  </si>
  <si>
    <t>928822</t>
  </si>
  <si>
    <t>SCAPEGRACE CLASSIC GIN</t>
  </si>
  <si>
    <t>928903</t>
  </si>
  <si>
    <t>THE BOTANIST MINI</t>
  </si>
  <si>
    <t>928946</t>
  </si>
  <si>
    <t>WHITLEY NEILL GIN</t>
  </si>
  <si>
    <t>929123</t>
  </si>
  <si>
    <t>AVIATION AMERICAN OLD TOM GIN</t>
  </si>
  <si>
    <t>BARR HILL GIN</t>
  </si>
  <si>
    <t>CALEDONIA SPIRITS</t>
  </si>
  <si>
    <t>929259</t>
  </si>
  <si>
    <t>BARR HILL RESERVE TOM CAT GIN</t>
  </si>
  <si>
    <t>929410</t>
  </si>
  <si>
    <t>929412</t>
  </si>
  <si>
    <t>BLUECOAT BARREL FINISH GIN</t>
  </si>
  <si>
    <t>929812</t>
  </si>
  <si>
    <t>929820</t>
  </si>
  <si>
    <t>CONCIERE GIN</t>
  </si>
  <si>
    <t>929826</t>
  </si>
  <si>
    <t>CONNIPTION AMERICAN DRY GIN</t>
  </si>
  <si>
    <t>DURHAM DISTILLERY</t>
  </si>
  <si>
    <t>929828</t>
  </si>
  <si>
    <t>CONNIPTION NAVY STRENGTH GIN</t>
  </si>
  <si>
    <t>929973</t>
  </si>
  <si>
    <t>DRY FLY GIN</t>
  </si>
  <si>
    <t>930016</t>
  </si>
  <si>
    <t>FOUNDRY GIN</t>
  </si>
  <si>
    <t>930017</t>
  </si>
  <si>
    <t>FOUNDRY BARREL AGED GIN</t>
  </si>
  <si>
    <t>930337</t>
  </si>
  <si>
    <t>GREAT GREY GIN</t>
  </si>
  <si>
    <t>JACKSON HOLE STILL WORKS</t>
  </si>
  <si>
    <t>930493</t>
  </si>
  <si>
    <t>HARMONY SPIRITS GIN</t>
  </si>
  <si>
    <t>930544</t>
  </si>
  <si>
    <t>HAYMANS LONDON DRY GIN</t>
  </si>
  <si>
    <t>930548</t>
  </si>
  <si>
    <t>HAYMANS ROYAL DOCK NAVY STRENGTH GIN</t>
  </si>
  <si>
    <t>930710</t>
  </si>
  <si>
    <t>JOURNEYMAN BILBERRY BLACK HEARTS GIN</t>
  </si>
  <si>
    <t>KIRKLAND SIGNATURE LONDON DRY GIN</t>
  </si>
  <si>
    <t>930854</t>
  </si>
  <si>
    <t>LETHERBEE GIN</t>
  </si>
  <si>
    <t>930945</t>
  </si>
  <si>
    <t>BOREAL CEDAR GIN</t>
  </si>
  <si>
    <t>VIKRE DISTILLERY</t>
  </si>
  <si>
    <t>931167</t>
  </si>
  <si>
    <t>MCCORMICK GIN</t>
  </si>
  <si>
    <t>931246</t>
  </si>
  <si>
    <t>MEMBERS MARK GIN</t>
  </si>
  <si>
    <t>931296</t>
  </si>
  <si>
    <t>SOOH MILES GIN</t>
  </si>
  <si>
    <t>931798</t>
  </si>
  <si>
    <t>END OF DAYS PORT OF ENTRY GIN</t>
  </si>
  <si>
    <t>931970</t>
  </si>
  <si>
    <t>931983</t>
  </si>
  <si>
    <t>932342</t>
  </si>
  <si>
    <t>SOOH ST GEORGE TERROIR GIN</t>
  </si>
  <si>
    <t>932344</t>
  </si>
  <si>
    <t>ST GEORGE DRY RYE REPOSADO GIN</t>
  </si>
  <si>
    <t>932371</t>
  </si>
  <si>
    <t>ST GEORGE VALLEY GIN</t>
  </si>
  <si>
    <t>932474</t>
  </si>
  <si>
    <t>TOMMY BAHAMA ISLAND GIN</t>
  </si>
  <si>
    <t>932530</t>
  </si>
  <si>
    <t>TYCOGA GIN</t>
  </si>
  <si>
    <t>932650</t>
  </si>
  <si>
    <t>SOOH UNCLE VALS BOTANICAL GIN</t>
  </si>
  <si>
    <t>932651</t>
  </si>
  <si>
    <t>UNCLE VALS ZESTED GIN</t>
  </si>
  <si>
    <t>932652</t>
  </si>
  <si>
    <t>UNCLE VAL''S RESTORATIVE GIN</t>
  </si>
  <si>
    <t>932662</t>
  </si>
  <si>
    <t>VIGILANT NAVY STRENGTH GIN</t>
  </si>
  <si>
    <t>932698</t>
  </si>
  <si>
    <t>173 CRAFT DISTILLERY VOLUMETRIC GIN</t>
  </si>
  <si>
    <t>932819</t>
  </si>
  <si>
    <t>WILD POET GIN ORIGINAL</t>
  </si>
  <si>
    <t>932836</t>
  </si>
  <si>
    <t>WOODY CREEK DISTILLERS COLORADO GIN</t>
  </si>
  <si>
    <t>933181</t>
  </si>
  <si>
    <t>933455</t>
  </si>
  <si>
    <t>CHOPIN VODKA FAMILY RESERVE</t>
  </si>
  <si>
    <t>933530</t>
  </si>
  <si>
    <t>DINGLE VODKA</t>
  </si>
  <si>
    <t>933649</t>
  </si>
  <si>
    <t>KRU PISTACHIO</t>
  </si>
  <si>
    <t>933715</t>
  </si>
  <si>
    <t>BELUGA GOLD LINE VODKA</t>
  </si>
  <si>
    <t>933748</t>
  </si>
  <si>
    <t>BELUGA NOBLE VODKA</t>
  </si>
  <si>
    <t>933757</t>
  </si>
  <si>
    <t>933900</t>
  </si>
  <si>
    <t>PEARL GRAPE</t>
  </si>
  <si>
    <t>934065</t>
  </si>
  <si>
    <t>DOUBLE CROSS VODKA</t>
  </si>
  <si>
    <t>934111</t>
  </si>
  <si>
    <t>ABSOLUT MANDRIN MINI</t>
  </si>
  <si>
    <t>934436</t>
  </si>
  <si>
    <t>GREY GOOSE L''ORANGE</t>
  </si>
  <si>
    <t>934498</t>
  </si>
  <si>
    <t>AMRUT FUSION INDIAN SINGLE MALT WHISKY</t>
  </si>
  <si>
    <t>934546</t>
  </si>
  <si>
    <t>PEARL VODKA BLACK</t>
  </si>
  <si>
    <t>934555</t>
  </si>
  <si>
    <t>VAN GOGH VODKA COOL PEACH</t>
  </si>
  <si>
    <t>934598</t>
  </si>
  <si>
    <t>934886</t>
  </si>
  <si>
    <t>THREE OLIVES BERRY</t>
  </si>
  <si>
    <t>934962</t>
  </si>
  <si>
    <t>THREE OLIVES ORANGE</t>
  </si>
  <si>
    <t>935022</t>
  </si>
  <si>
    <t>VAN GOGH DOUBLE ESPRESSO</t>
  </si>
  <si>
    <t>935099</t>
  </si>
  <si>
    <t>NEMIROFF HONEY PEPPER FLAVOURED VODKA</t>
  </si>
  <si>
    <t>935543</t>
  </si>
  <si>
    <t>KETEL ONE ORANJE</t>
  </si>
  <si>
    <t>935662</t>
  </si>
  <si>
    <t>SOOH ZU BISON GRASS VODKA</t>
  </si>
  <si>
    <t>935677</t>
  </si>
  <si>
    <t>935740</t>
  </si>
  <si>
    <t>CRATER LAKE RESERVE VODKA</t>
  </si>
  <si>
    <t>BENDISTILLERY</t>
  </si>
  <si>
    <t>935863</t>
  </si>
  <si>
    <t>CLIX VODKA</t>
  </si>
  <si>
    <t>935961</t>
  </si>
  <si>
    <t>SOOH PEARL RASPBERRY</t>
  </si>
  <si>
    <t>936206</t>
  </si>
  <si>
    <t>GRAND TETON VODKA</t>
  </si>
  <si>
    <t>GRAND TETON DISTILLERY</t>
  </si>
  <si>
    <t>936207</t>
  </si>
  <si>
    <t>936261</t>
  </si>
  <si>
    <t>HANGAR ONE STRAIGHT VODKA</t>
  </si>
  <si>
    <t>936331</t>
  </si>
  <si>
    <t>THREE OLIVES BLUEBERRY</t>
  </si>
  <si>
    <t>KIRKLAND SIGNATURE AMERICAN VODKA</t>
  </si>
  <si>
    <t>LEVECKE CORPORATION</t>
  </si>
  <si>
    <t>936620</t>
  </si>
  <si>
    <t>936652</t>
  </si>
  <si>
    <t>KOENIG POTATO VODKA</t>
  </si>
  <si>
    <t>KOENIG DISTILLERY INC</t>
  </si>
  <si>
    <t>936677</t>
  </si>
  <si>
    <t>HANSON OF SONOMA ORIGINAL VODKA</t>
  </si>
  <si>
    <t>936754</t>
  </si>
  <si>
    <t>KOSKENKORVA ORIGINAL VODKA</t>
  </si>
  <si>
    <t>936762</t>
  </si>
  <si>
    <t>NIKKA COFFEY VODKA</t>
  </si>
  <si>
    <t>MEMBERS MARK VODKA</t>
  </si>
  <si>
    <t>SOOH CONCIERE VODKA</t>
  </si>
  <si>
    <t>936975</t>
  </si>
  <si>
    <t>CORAZON AND KEY ORGANIC VODKA</t>
  </si>
  <si>
    <t>MEISENBURG BREWING &amp; DISTILLING</t>
  </si>
  <si>
    <t>937023</t>
  </si>
  <si>
    <t>NEFT VODKA BLACK</t>
  </si>
  <si>
    <t>937025</t>
  </si>
  <si>
    <t>NEFT VODKA WHITE</t>
  </si>
  <si>
    <t>937053</t>
  </si>
  <si>
    <t>FOUNDRY VODKA CUSTOM</t>
  </si>
  <si>
    <t>MUTINY ISLAND VODKA</t>
  </si>
  <si>
    <t>937099</t>
  </si>
  <si>
    <t>WHY NOT VODKA</t>
  </si>
  <si>
    <t>937147</t>
  </si>
  <si>
    <t>OPULENT VODKA</t>
  </si>
  <si>
    <t>937227</t>
  </si>
  <si>
    <t>PAU MAUI VODKA</t>
  </si>
  <si>
    <t>937252</t>
  </si>
  <si>
    <t>BELUGA GOLD LINE VODKA IN LEATHER</t>
  </si>
  <si>
    <t>937266</t>
  </si>
  <si>
    <t>SOOH JETHROS VODKA</t>
  </si>
  <si>
    <t>937276</t>
  </si>
  <si>
    <t>MEMBERS MARK FRENCH VODKA</t>
  </si>
  <si>
    <t>937381</t>
  </si>
  <si>
    <t>NOVATERRA ORGANIC VODKA</t>
  </si>
  <si>
    <t>937394</t>
  </si>
  <si>
    <t>JUST ANOTHER VODKA BLACK LABEL</t>
  </si>
  <si>
    <t>937482</t>
  </si>
  <si>
    <t>SILVER DOLLAR AMERICAN VODKA</t>
  </si>
  <si>
    <t>937502</t>
  </si>
  <si>
    <t>937518</t>
  </si>
  <si>
    <t>1032000</t>
  </si>
  <si>
    <t>937577</t>
  </si>
  <si>
    <t>937578</t>
  </si>
  <si>
    <t>937599</t>
  </si>
  <si>
    <t>SOOH RELSKA 80 PROOF VODKA</t>
  </si>
  <si>
    <t>937631</t>
  </si>
  <si>
    <t>937640</t>
  </si>
  <si>
    <t>RIVER BARON ARTISAN SPIRIT</t>
  </si>
  <si>
    <t>937645</t>
  </si>
  <si>
    <t>ROCKN VODKA</t>
  </si>
  <si>
    <t>937664</t>
  </si>
  <si>
    <t>937747</t>
  </si>
  <si>
    <t>E.T.51 ESPRESSO FLAVORED VODKA</t>
  </si>
  <si>
    <t>937792</t>
  </si>
  <si>
    <t>TATTERSALL LUSH VODKA</t>
  </si>
  <si>
    <t>937793</t>
  </si>
  <si>
    <t>MEMBERS MARK BLOOD ORANGE</t>
  </si>
  <si>
    <t>937864</t>
  </si>
  <si>
    <t>HARMONY SPIRITS VODKA</t>
  </si>
  <si>
    <t>937905</t>
  </si>
  <si>
    <t>938030</t>
  </si>
  <si>
    <t>ST GEORGE ALL PURPOSE VODKA</t>
  </si>
  <si>
    <t>938201</t>
  </si>
  <si>
    <t>TYCOGA VODKA</t>
  </si>
  <si>
    <t>938302</t>
  </si>
  <si>
    <t>SINTAX</t>
  </si>
  <si>
    <t>GOOD SPIRITS DISTILLING LLC</t>
  </si>
  <si>
    <t>938480</t>
  </si>
  <si>
    <t>173 CRAFT DISTILLERY VOLUMETRIC VODKA</t>
  </si>
  <si>
    <t>938507</t>
  </si>
  <si>
    <t>WESTERN SON 80 ORIGINAL VODKA</t>
  </si>
  <si>
    <t>938638</t>
  </si>
  <si>
    <t>938645</t>
  </si>
  <si>
    <t>WYCH DR DISTILLING VODKA</t>
  </si>
  <si>
    <t>938770</t>
  </si>
  <si>
    <t>WYCH DR DISTILLING SALTED CARAMEL</t>
  </si>
  <si>
    <t>938771</t>
  </si>
  <si>
    <t>WYCH DR DISTILLING CARAMEL APPLE</t>
  </si>
  <si>
    <t>938772</t>
  </si>
  <si>
    <t>938785</t>
  </si>
  <si>
    <t>WYCH DR. DISTILLING PEACH</t>
  </si>
  <si>
    <t>938802</t>
  </si>
  <si>
    <t>938970</t>
  </si>
  <si>
    <t>HA TULLIBARDINE 18YR SINGLE MALT</t>
  </si>
  <si>
    <t>939029</t>
  </si>
  <si>
    <t>939123</t>
  </si>
  <si>
    <t>939176</t>
  </si>
  <si>
    <t>BURNETTS VODKA 100PRF</t>
  </si>
  <si>
    <t>939301</t>
  </si>
  <si>
    <t>939421</t>
  </si>
  <si>
    <t>939429</t>
  </si>
  <si>
    <t>HANSON MEYER LEMON VODKA</t>
  </si>
  <si>
    <t>939442</t>
  </si>
  <si>
    <t>360 KC BARBEQUE VODKA</t>
  </si>
  <si>
    <t>939540</t>
  </si>
  <si>
    <t>DIXIE CITRUS VODKA</t>
  </si>
  <si>
    <t>939666</t>
  </si>
  <si>
    <t>POPOV 100PRF</t>
  </si>
  <si>
    <t>939671</t>
  </si>
  <si>
    <t>360 LIME</t>
  </si>
  <si>
    <t>939709</t>
  </si>
  <si>
    <t>360 MANGO</t>
  </si>
  <si>
    <t>939721</t>
  </si>
  <si>
    <t>HANSON OF SONOMA HABANERO VODKA</t>
  </si>
  <si>
    <t>939820</t>
  </si>
  <si>
    <t>99 RASPBERRY MINI</t>
  </si>
  <si>
    <t>939900</t>
  </si>
  <si>
    <t>360 RED DELICIOUS APPLE</t>
  </si>
  <si>
    <t>SOOH NEW AMSTERDAM MANGO MINI</t>
  </si>
  <si>
    <t>940069</t>
  </si>
  <si>
    <t>940082</t>
  </si>
  <si>
    <t>SOOH ST GEORGE GREEN CHILE VODKA</t>
  </si>
  <si>
    <t>940083</t>
  </si>
  <si>
    <t>ST GEORGE CALIFORNIA CITRUS VODKA</t>
  </si>
  <si>
    <t>940180</t>
  </si>
  <si>
    <t>44 NORTH SUNNYSLOPE NECTARINE VODKA</t>
  </si>
  <si>
    <t>940315</t>
  </si>
  <si>
    <t>940465</t>
  </si>
  <si>
    <t>SKYY INFUSIONS WILD STRAWBERRY VODKA</t>
  </si>
  <si>
    <t>940658</t>
  </si>
  <si>
    <t>360 RED RASPBERRY</t>
  </si>
  <si>
    <t>940800</t>
  </si>
  <si>
    <t>SKYY INFUSIONS CHERRY</t>
  </si>
  <si>
    <t>940831</t>
  </si>
  <si>
    <t>SOOH SKYY INFUSIONS BLOOD ORANGE</t>
  </si>
  <si>
    <t>SOOH BURNETTS PINK LEMONADE</t>
  </si>
  <si>
    <t>941071</t>
  </si>
  <si>
    <t>CROP CUCUMBER VODKA</t>
  </si>
  <si>
    <t>941146</t>
  </si>
  <si>
    <t>SWEET CAROLINA SWEET TEA VODKA</t>
  </si>
  <si>
    <t>941179</t>
  </si>
  <si>
    <t>SOOH BURNETTS PEACH</t>
  </si>
  <si>
    <t>941310</t>
  </si>
  <si>
    <t>BURNETTS COCONUT</t>
  </si>
  <si>
    <t>SOOH 360 SORRENTO LEMON</t>
  </si>
  <si>
    <t>941474</t>
  </si>
  <si>
    <t>44 NORTH HUCKLEBERRY</t>
  </si>
  <si>
    <t>941510</t>
  </si>
  <si>
    <t>HANGAR ONE MANDARIN FLAVORED VODKA</t>
  </si>
  <si>
    <t>941702</t>
  </si>
  <si>
    <t>SOOH UV ORANGE</t>
  </si>
  <si>
    <t>941834</t>
  </si>
  <si>
    <t>941836</t>
  </si>
  <si>
    <t>941843</t>
  </si>
  <si>
    <t>EVERCLEAR ALCOHOL 151</t>
  </si>
  <si>
    <t>941848</t>
  </si>
  <si>
    <t>941936</t>
  </si>
  <si>
    <t>360 CONCORD GRAPE</t>
  </si>
  <si>
    <t>941938</t>
  </si>
  <si>
    <t>360 MANDARIN ORANGE</t>
  </si>
  <si>
    <t>941940</t>
  </si>
  <si>
    <t>SOOH 360 MADAGASCAR VANILLA</t>
  </si>
  <si>
    <t>SOOH 360 BING CHERRY</t>
  </si>
  <si>
    <t>941991</t>
  </si>
  <si>
    <t>FIREFLY SKINNY TEA</t>
  </si>
  <si>
    <t>942031</t>
  </si>
  <si>
    <t>BURNETTS WHIPPED CREAM</t>
  </si>
  <si>
    <t>942082</t>
  </si>
  <si>
    <t>ANGOSTURA 5YR GOLD RUM</t>
  </si>
  <si>
    <t>942085</t>
  </si>
  <si>
    <t>ANGOSTURA 7YR DARK CARIBBEAN RUM</t>
  </si>
  <si>
    <t>942088</t>
  </si>
  <si>
    <t>ANGOSTURA RUM 1919</t>
  </si>
  <si>
    <t>942119</t>
  </si>
  <si>
    <t>BLACKWELL RUM</t>
  </si>
  <si>
    <t>942161</t>
  </si>
  <si>
    <t>MYERS ORIGINAL DARK MINI</t>
  </si>
  <si>
    <t>942162</t>
  </si>
  <si>
    <t>BLUE CHAIR BAY VANILLA RUM</t>
  </si>
  <si>
    <t>942171</t>
  </si>
  <si>
    <t>CLEMENT CANNE BLEUE</t>
  </si>
  <si>
    <t>942186</t>
  </si>
  <si>
    <t>MYERS PLATINUM WHITE</t>
  </si>
  <si>
    <t>942191</t>
  </si>
  <si>
    <t>NOVO FOGO CHAMELEON CACHACA</t>
  </si>
  <si>
    <t>942193</t>
  </si>
  <si>
    <t>NOVO FOGO TANAGER CACHACA</t>
  </si>
  <si>
    <t>942243</t>
  </si>
  <si>
    <t>THE SCARLET IBIS TRINIDAD RUM</t>
  </si>
  <si>
    <t>942305</t>
  </si>
  <si>
    <t>FLOR DE CANA 25YR CENTENARIO</t>
  </si>
  <si>
    <t>942331</t>
  </si>
  <si>
    <t>SEVEN FATHOMS RUM</t>
  </si>
  <si>
    <t>942350</t>
  </si>
  <si>
    <t>BRINLEY SHIPWRECK COCONUT RUM</t>
  </si>
  <si>
    <t>OPICI IMPORT COMPANY</t>
  </si>
  <si>
    <t>942351</t>
  </si>
  <si>
    <t>BRUGAL XV RUM</t>
  </si>
  <si>
    <t>942359</t>
  </si>
  <si>
    <t>BRINLEY GOLD SHIPWRECK VANILLA RUM</t>
  </si>
  <si>
    <t>942362</t>
  </si>
  <si>
    <t>BRINLEY GOLD SHIPWRECK SPICED RUM</t>
  </si>
  <si>
    <t>942392</t>
  </si>
  <si>
    <t>RON BARCELO GRAN ANEJO</t>
  </si>
  <si>
    <t>SOOH RON BARCELO IMPERIAL</t>
  </si>
  <si>
    <t>SOOH PLANTATION RUM ORIGINAL DARK</t>
  </si>
  <si>
    <t>942396</t>
  </si>
  <si>
    <t>SOOH PLANTATION RUM 3 STARS</t>
  </si>
  <si>
    <t>942400</t>
  </si>
  <si>
    <t>EL DORADO 3YR</t>
  </si>
  <si>
    <t>DEMERARA DISTILLERS (USA) INC.</t>
  </si>
  <si>
    <t>942401</t>
  </si>
  <si>
    <t>EL DORADO CASK 5YR</t>
  </si>
  <si>
    <t>942403</t>
  </si>
  <si>
    <t>EL DORADO SPECIAL RESERVE 12YR</t>
  </si>
  <si>
    <t>942404</t>
  </si>
  <si>
    <t>EL DORADO 21YR SPECIAL RESERVE RUM</t>
  </si>
  <si>
    <t>942411</t>
  </si>
  <si>
    <t>BANKS 5 ISLAND BLEND</t>
  </si>
  <si>
    <t>942426</t>
  </si>
  <si>
    <t>RON BARCELO ANEJO</t>
  </si>
  <si>
    <t>942453</t>
  </si>
  <si>
    <t>BRUGAL ESPECIAL EXTRA DRY</t>
  </si>
  <si>
    <t>SOOH BRUGAL ANEJO SUPERIOR RUM</t>
  </si>
  <si>
    <t>942462</t>
  </si>
  <si>
    <t>BRUGAL 1888 GRAN RESERVA</t>
  </si>
  <si>
    <t>942481</t>
  </si>
  <si>
    <t>DICTADOR RUM 12YR</t>
  </si>
  <si>
    <t>942482</t>
  </si>
  <si>
    <t>DICTADOR RUM 20YR</t>
  </si>
  <si>
    <t>942532</t>
  </si>
  <si>
    <t>SOOH DOS MADERAS PX 5+5</t>
  </si>
  <si>
    <t>942540</t>
  </si>
  <si>
    <t>ARRAN SHERRY CASK THE BODEGA</t>
  </si>
  <si>
    <t>942576</t>
  </si>
  <si>
    <t>EL DORADO 15YR SPECIAL RESERVE RUM</t>
  </si>
  <si>
    <t>942606</t>
  </si>
  <si>
    <t>LEMON HART 151</t>
  </si>
  <si>
    <t>942631</t>
  </si>
  <si>
    <t>SOOH FLOR DE CANA 12YR CENTENARIO</t>
  </si>
  <si>
    <t>SOOH FLOR DE CANA WHITE</t>
  </si>
  <si>
    <t>942649</t>
  </si>
  <si>
    <t>FLOR DE CANA 18YR</t>
  </si>
  <si>
    <t>942668</t>
  </si>
  <si>
    <t>942731</t>
  </si>
  <si>
    <t>NOVO FOGO BARREL AGED CACHACA</t>
  </si>
  <si>
    <t>942732</t>
  </si>
  <si>
    <t>NOVO FOGO SILVER CACHAÇA</t>
  </si>
  <si>
    <t>942776</t>
  </si>
  <si>
    <t>BARBANCOURT ESTATE RESERVE RHUM 15YR</t>
  </si>
  <si>
    <t>942779</t>
  </si>
  <si>
    <t>RON ZACAPA XO</t>
  </si>
  <si>
    <t>942780</t>
  </si>
  <si>
    <t>RHUM BARBANCOURT WHITE</t>
  </si>
  <si>
    <t>942799</t>
  </si>
  <si>
    <t>CLEMENT VSOP AGED RUM</t>
  </si>
  <si>
    <t>942800</t>
  </si>
  <si>
    <t>CLEMENT XO AGED RUM</t>
  </si>
  <si>
    <t>942812</t>
  </si>
  <si>
    <t>CLEMENT CUVEE HOMERE AGED RUM</t>
  </si>
  <si>
    <t>942849</t>
  </si>
  <si>
    <t>SOOH PLANTATION RUM GRAND RESERVE 5YR</t>
  </si>
  <si>
    <t>SOOH PLANTATION RUM BARBADOS EXTRA OLD 20YR</t>
  </si>
  <si>
    <t>942950</t>
  </si>
  <si>
    <t>PAMPERO ANIVERSARIO</t>
  </si>
  <si>
    <t>9432</t>
  </si>
  <si>
    <t>PASSPORT SCOTCH</t>
  </si>
  <si>
    <t>943298</t>
  </si>
  <si>
    <t>CAPTAIN MORGAN SILVER SPICED</t>
  </si>
  <si>
    <t>943382</t>
  </si>
  <si>
    <t>CHAIRMANS RESERVE SPICED RUM</t>
  </si>
  <si>
    <t>943385</t>
  </si>
  <si>
    <t>RON ZACAPA EDICION NEGRA</t>
  </si>
  <si>
    <t>943432</t>
  </si>
  <si>
    <t>DON Q 151</t>
  </si>
  <si>
    <t>943433</t>
  </si>
  <si>
    <t>DON Q OAK BARREL SPICED RUM</t>
  </si>
  <si>
    <t>943435</t>
  </si>
  <si>
    <t>DON Q PASSION</t>
  </si>
  <si>
    <t>943451</t>
  </si>
  <si>
    <t>DON Q COCONUT</t>
  </si>
  <si>
    <t>SOOH PLANTATION RUM OLD FASHIONED TRADITIONAL DARK OVERPROOF</t>
  </si>
  <si>
    <t>943546</t>
  </si>
  <si>
    <t>PALO VIEJO WHITE</t>
  </si>
  <si>
    <t>943591</t>
  </si>
  <si>
    <t>JM VSOP</t>
  </si>
  <si>
    <t>943601</t>
  </si>
  <si>
    <t>DON Q PINA</t>
  </si>
  <si>
    <t>943618</t>
  </si>
  <si>
    <t>BACARDI ANEJO CUATRO</t>
  </si>
  <si>
    <t>943624</t>
  </si>
  <si>
    <t>SANTA TERESA 1796 SOLERA RUM</t>
  </si>
  <si>
    <t>943634</t>
  </si>
  <si>
    <t>DIPLOMATICO AMBASSADOR</t>
  </si>
  <si>
    <t>943638</t>
  </si>
  <si>
    <t>943665</t>
  </si>
  <si>
    <t>DICTADOR INSOLENT</t>
  </si>
  <si>
    <t>943667</t>
  </si>
  <si>
    <t>DICTADOR PERPETUAL</t>
  </si>
  <si>
    <t>943676</t>
  </si>
  <si>
    <t>943681</t>
  </si>
  <si>
    <t>RON CENTENARIO 7 YEAR ANEJO</t>
  </si>
  <si>
    <t>943683</t>
  </si>
  <si>
    <t>RON CENTENARIO 12 YEAR GRAN LEGADO</t>
  </si>
  <si>
    <t>943702</t>
  </si>
  <si>
    <t>PARCE RUM 8YR</t>
  </si>
  <si>
    <t>INTERNATIONAL TRADE ONE CORP</t>
  </si>
  <si>
    <t>943705</t>
  </si>
  <si>
    <t>PARCE RUM 12YR</t>
  </si>
  <si>
    <t>943728</t>
  </si>
  <si>
    <t>943750</t>
  </si>
  <si>
    <t>RON DEL BARRILITO 2 STAR</t>
  </si>
  <si>
    <t>943752</t>
  </si>
  <si>
    <t>RON DEL BARRILITO 3 STAR</t>
  </si>
  <si>
    <t>943771</t>
  </si>
  <si>
    <t>DON PAPA 7 YEAR RUM</t>
  </si>
  <si>
    <t>943775</t>
  </si>
  <si>
    <t>943780</t>
  </si>
  <si>
    <t>DON Q DOUBLE AGED RUM SHERRY CASK FINISH</t>
  </si>
  <si>
    <t>943791</t>
  </si>
  <si>
    <t>FLOR DE CANA V GENERACIONES 30YR</t>
  </si>
  <si>
    <t>943800</t>
  </si>
  <si>
    <t>APPLETON ESTATE 15YR BLACK RIVER CASKS</t>
  </si>
  <si>
    <t>APPLETON 12YR ESTATE RARE CASKS</t>
  </si>
  <si>
    <t>943827</t>
  </si>
  <si>
    <t>RON CENTENARIO 30 YR EDICION LIMITADA</t>
  </si>
  <si>
    <t>943835</t>
  </si>
  <si>
    <t>DON Q GRAN RESERVA XO</t>
  </si>
  <si>
    <t>943836</t>
  </si>
  <si>
    <t>DON Q RESERVA 7</t>
  </si>
  <si>
    <t>943849</t>
  </si>
  <si>
    <t>SOOH PLANTATION RUM ISLE OF FIJI</t>
  </si>
  <si>
    <t>943874</t>
  </si>
  <si>
    <t>KIRK &amp; SWEENEY RESERVA DOMINICAN RUM</t>
  </si>
  <si>
    <t>943876</t>
  </si>
  <si>
    <t>KIRK &amp; SWEENEY GRAN RESERVA DOMINICAN RUM</t>
  </si>
  <si>
    <t>943878</t>
  </si>
  <si>
    <t>KIRK &amp; SWEENEY GRAN RESERVA SUPERIOR DOMINICAN RUM</t>
  </si>
  <si>
    <t>943897</t>
  </si>
  <si>
    <t>HAMPDEN ESTATE 8 YEAR</t>
  </si>
  <si>
    <t>943938</t>
  </si>
  <si>
    <t>CHAIRMANS RESERVE FORGOTTEN CASKS</t>
  </si>
  <si>
    <t>943945</t>
  </si>
  <si>
    <t>WORTHY PARK 109 DARK RUM</t>
  </si>
  <si>
    <t>943991</t>
  </si>
  <si>
    <t>ADMIRAL NELSON BLACK PATCH RUM</t>
  </si>
  <si>
    <t>943996</t>
  </si>
  <si>
    <t>WORTHY PARK SINGLE ESTATE RESERVE JAMAICA RUM</t>
  </si>
  <si>
    <t>944023</t>
  </si>
  <si>
    <t>LEMBA RUM SUPERIOR AGED</t>
  </si>
  <si>
    <t>XAMAY GLOBAL SPIRITS LLC</t>
  </si>
  <si>
    <t>944024</t>
  </si>
  <si>
    <t>LEMBA RUM ARTISANAL AGRICOLE</t>
  </si>
  <si>
    <t>944072</t>
  </si>
  <si>
    <t>ADMIRAL NELSON GOLD  RUM</t>
  </si>
  <si>
    <t>944083</t>
  </si>
  <si>
    <t>ADMIRAL NELSON PINEAPPLE</t>
  </si>
  <si>
    <t>944087</t>
  </si>
  <si>
    <t>ADMIRAL NELSON WATERMELON RUM</t>
  </si>
  <si>
    <t>944106</t>
  </si>
  <si>
    <t>BLACK TOT RUM</t>
  </si>
  <si>
    <t>944162</t>
  </si>
  <si>
    <t>DIAMOND RESERVE 151 OVERPROOF WHITE RUM</t>
  </si>
  <si>
    <t>944163</t>
  </si>
  <si>
    <t>CLEMENT RHUM BLANC</t>
  </si>
  <si>
    <t>944175</t>
  </si>
  <si>
    <t>MYERS ORIGINAL DARK RUM SINGLE BARREL BUY THE BARREL</t>
  </si>
  <si>
    <t>944176</t>
  </si>
  <si>
    <t>JUNG &amp; WULFF TRINADAD</t>
  </si>
  <si>
    <t>944177</t>
  </si>
  <si>
    <t>JUNG &amp; WULFF BARBADOS</t>
  </si>
  <si>
    <t>944179</t>
  </si>
  <si>
    <t>JUNG &amp; WULFF GUYANA</t>
  </si>
  <si>
    <t>944202</t>
  </si>
  <si>
    <t>CLEMENT GRANDE RESERVE 15 YR AGED RHUM</t>
  </si>
  <si>
    <t>944229</t>
  </si>
  <si>
    <t>EL DORADO 12YR AGED RUM</t>
  </si>
  <si>
    <t>944230</t>
  </si>
  <si>
    <t>CAPOVILLA RHUM RHUM LIBERATION</t>
  </si>
  <si>
    <t>LYRA,LLC</t>
  </si>
  <si>
    <t>944232</t>
  </si>
  <si>
    <t>944240</t>
  </si>
  <si>
    <t>PUSSERS NAVY RUM 15YR</t>
  </si>
  <si>
    <t>944268</t>
  </si>
  <si>
    <t>PUSSERS GUNPOWDER PROOF RUM</t>
  </si>
  <si>
    <t>944306</t>
  </si>
  <si>
    <t>CALICO JACK SPICED RUM</t>
  </si>
  <si>
    <t>944334</t>
  </si>
  <si>
    <t>944352</t>
  </si>
  <si>
    <t>CALICO JACK CHERRY RUM</t>
  </si>
  <si>
    <t>944410</t>
  </si>
  <si>
    <t>CALICO JACK COCONUT RUM</t>
  </si>
  <si>
    <t>944595</t>
  </si>
  <si>
    <t>EQUIANO RUM</t>
  </si>
  <si>
    <t>944599</t>
  </si>
  <si>
    <t>EQUIANO LIGHT</t>
  </si>
  <si>
    <t>944619</t>
  </si>
  <si>
    <t>KIRKLAND SIGNATURE AGED RUM 12 Y/O</t>
  </si>
  <si>
    <t>944632</t>
  </si>
  <si>
    <t>GRANDER RUM TOASTED OAK SINGLE BARREL BUY THE BARREL</t>
  </si>
  <si>
    <t>944634</t>
  </si>
  <si>
    <t>KIRKLAND SIGNATURE XO BARREL AGED RUM</t>
  </si>
  <si>
    <t>944635</t>
  </si>
  <si>
    <t>KIRKLAND SIGNATURE 15YR BARREL AGED RUM</t>
  </si>
  <si>
    <t>944644</t>
  </si>
  <si>
    <t>KIRKLAND SIGNATURE AGED RUM GRAN RESERVA</t>
  </si>
  <si>
    <t>944650</t>
  </si>
  <si>
    <t>KIRKLAND SIGNATURE ORIGINAL SPICED RUM</t>
  </si>
  <si>
    <t>944713</t>
  </si>
  <si>
    <t>GRANDER RUM TROPHY RELEASE</t>
  </si>
  <si>
    <t>944719</t>
  </si>
  <si>
    <t>HAMILTON BEACHBUM BERRYS ZOMBIE BLEND</t>
  </si>
  <si>
    <t>CARIBBEAN SPIRITS INC</t>
  </si>
  <si>
    <t>944728</t>
  </si>
  <si>
    <t>CLEMENT VSOP</t>
  </si>
  <si>
    <t>945320</t>
  </si>
  <si>
    <t>CLEMENT SELECT BARREL RUM</t>
  </si>
  <si>
    <t>945323</t>
  </si>
  <si>
    <t>COCKSPUR 130 OVERPROOF RUM</t>
  </si>
  <si>
    <t>945325</t>
  </si>
  <si>
    <t>RHUM JM BLANC</t>
  </si>
  <si>
    <t>945328</t>
  </si>
  <si>
    <t>RHUM JM VSOP</t>
  </si>
  <si>
    <t>945329</t>
  </si>
  <si>
    <t>RHUM JM XO</t>
  </si>
  <si>
    <t>945331</t>
  </si>
  <si>
    <t>RHUM JM TERROIR VOLCANIQUE</t>
  </si>
  <si>
    <t>945333</t>
  </si>
  <si>
    <t>HA SANTA TERESA ARABICA COFFEE CASK FINISH</t>
  </si>
  <si>
    <t>945421</t>
  </si>
  <si>
    <t>CALICO JACK PINEAPPLE COCONUT RUM</t>
  </si>
  <si>
    <t>945903</t>
  </si>
  <si>
    <t>SOGGY DOLLAR PLATINUM RUM</t>
  </si>
  <si>
    <t>945974</t>
  </si>
  <si>
    <t>TEN TO ONE FIVE ORIGIN SELECT CARIBBEAN RUM</t>
  </si>
  <si>
    <t>945995</t>
  </si>
  <si>
    <t>CALICO JACK WHIPPED</t>
  </si>
  <si>
    <t>946001</t>
  </si>
  <si>
    <t>BLUE CHAIR BAY SPICED RUM</t>
  </si>
  <si>
    <t>946072</t>
  </si>
  <si>
    <t>BARREL CRAFT SPIRITS BOURBON</t>
  </si>
  <si>
    <t>946127</t>
  </si>
  <si>
    <t>946166</t>
  </si>
  <si>
    <t>CONCIERE RUM SILVER</t>
  </si>
  <si>
    <t>946168</t>
  </si>
  <si>
    <t>CONCIERE SPICED RUM</t>
  </si>
  <si>
    <t>946303</t>
  </si>
  <si>
    <t>173 CRAFT DISTILLERY BROKEN BEAKER SILVER RUM</t>
  </si>
  <si>
    <t>946405</t>
  </si>
  <si>
    <t>KOLOA KAUAI DARK RUM</t>
  </si>
  <si>
    <t>946406</t>
  </si>
  <si>
    <t>KOLOA KAUAI COCONUT RUM</t>
  </si>
  <si>
    <t>946408</t>
  </si>
  <si>
    <t>KOLOA KAUAI WHITE RUM</t>
  </si>
  <si>
    <t>946415</t>
  </si>
  <si>
    <t>KOLOA KAUAI RESERVE AGED RUM</t>
  </si>
  <si>
    <t>946454</t>
  </si>
  <si>
    <t>HARMONY SPIRITS RUM</t>
  </si>
  <si>
    <t>946455</t>
  </si>
  <si>
    <t>HOME RUM</t>
  </si>
  <si>
    <t>O SO GOOD WINERY &amp; DISTILLERY</t>
  </si>
  <si>
    <t>946479</t>
  </si>
  <si>
    <t>HARMONY SPIRITS RUM - BOURBON BARREL FINISHED</t>
  </si>
  <si>
    <t>946574</t>
  </si>
  <si>
    <t>MEMBERS MARK SPICED RUM</t>
  </si>
  <si>
    <t>946599</t>
  </si>
  <si>
    <t>MODERN MATRIARCH SILVER RUM - ROUND BOTTLE</t>
  </si>
  <si>
    <t>946609</t>
  </si>
  <si>
    <t>946682</t>
  </si>
  <si>
    <t>PAPAS PILAR SHERRY FINISH</t>
  </si>
  <si>
    <t>946688</t>
  </si>
  <si>
    <t>946892</t>
  </si>
  <si>
    <t>SIESTA KEY DISTILLERS RESERVE SPICED</t>
  </si>
  <si>
    <t>DRUM CIRCLE DISTILLING, LLC</t>
  </si>
  <si>
    <t>946898</t>
  </si>
  <si>
    <t>TEN TO ONE CARIBBEAN WHITE RUM</t>
  </si>
  <si>
    <t>946899</t>
  </si>
  <si>
    <t>TEN TO ONE CARIBBEAN DARK RUM</t>
  </si>
  <si>
    <t>946939</t>
  </si>
  <si>
    <t>STEEL DRUM RUM</t>
  </si>
  <si>
    <t>947325</t>
  </si>
  <si>
    <t>PERE MAGLOIRE VSOP</t>
  </si>
  <si>
    <t>947546</t>
  </si>
  <si>
    <t>ANSAC VS  COGNAC</t>
  </si>
  <si>
    <t>947645</t>
  </si>
  <si>
    <t>947788</t>
  </si>
  <si>
    <t>COURVOISIER VS</t>
  </si>
  <si>
    <t>947806</t>
  </si>
  <si>
    <t>COURVOISIER XO</t>
  </si>
  <si>
    <t>947946</t>
  </si>
  <si>
    <t>COGNAC PARK XO CIGAR BLEND</t>
  </si>
  <si>
    <t>948167</t>
  </si>
  <si>
    <t>SOOH HENNESSY VSOP</t>
  </si>
  <si>
    <t>948206</t>
  </si>
  <si>
    <t>H BY HINE VSOP COGNAC</t>
  </si>
  <si>
    <t>948245</t>
  </si>
  <si>
    <t>SOOH HENNESSY VSOP PRIVILEGE</t>
  </si>
  <si>
    <t>948361</t>
  </si>
  <si>
    <t>KELT VSOP</t>
  </si>
  <si>
    <t>948377</t>
  </si>
  <si>
    <t>KIRKLAND SIGNATURE COGNAC VS</t>
  </si>
  <si>
    <t>948644</t>
  </si>
  <si>
    <t>MARTINGALE MAISON THOMAS COGNAC</t>
  </si>
  <si>
    <t>948741</t>
  </si>
  <si>
    <t>MEUKOW 90</t>
  </si>
  <si>
    <t>SOOH REMY MARTIN VSOP</t>
  </si>
  <si>
    <t>949387</t>
  </si>
  <si>
    <t>SAZERAC DE FORGE COGNAC</t>
  </si>
  <si>
    <t>949712</t>
  </si>
  <si>
    <t>SOOH CALVADOS MORIN SELECTION</t>
  </si>
  <si>
    <t>BEST CASE WINES LLC</t>
  </si>
  <si>
    <t>949780</t>
  </si>
  <si>
    <t>C DROUIN CALVADOS SELECTION</t>
  </si>
  <si>
    <t>949984</t>
  </si>
  <si>
    <t>ELLA WILLIAMS PEAR</t>
  </si>
  <si>
    <t>DES MOINES IMPORTS / DSM IMPORTS LLC</t>
  </si>
  <si>
    <t>950227</t>
  </si>
  <si>
    <t>JANNEAU GRAND SINGLE 12YR</t>
  </si>
  <si>
    <t>950228</t>
  </si>
  <si>
    <t>JANNEAU GRAND SINGLE 5YR</t>
  </si>
  <si>
    <t>950230</t>
  </si>
  <si>
    <t>JANNEAU GRAND SINGLE 8YR</t>
  </si>
  <si>
    <t>950231</t>
  </si>
  <si>
    <t>JANNEAU GRAND SINGLE 25YR</t>
  </si>
  <si>
    <t>950414</t>
  </si>
  <si>
    <t>DELORD BAS ARMAGNAC 25YR</t>
  </si>
  <si>
    <t>SOOH ASBACH URALT BRANDY 3YR</t>
  </si>
  <si>
    <t>951063</t>
  </si>
  <si>
    <t>BISTRA QUNICE BRANDY</t>
  </si>
  <si>
    <t>951065</t>
  </si>
  <si>
    <t>BARSOL ACHOLADO PISCO</t>
  </si>
  <si>
    <t>951070</t>
  </si>
  <si>
    <t>BARSOL SELECTO ITALIA PISCO</t>
  </si>
  <si>
    <t>951072</t>
  </si>
  <si>
    <t>BISTRA APRICOT BRANDY</t>
  </si>
  <si>
    <t>951076</t>
  </si>
  <si>
    <t>BISTRA SLIVOVITZ PLUM BRANDY</t>
  </si>
  <si>
    <t>951100</t>
  </si>
  <si>
    <t>CARDENAL MENDOZA BRANDY</t>
  </si>
  <si>
    <t>951121</t>
  </si>
  <si>
    <t>CONTROL C PISCO</t>
  </si>
  <si>
    <t>CADRE NOIR LLC / CNI BRANDS</t>
  </si>
  <si>
    <t>951135</t>
  </si>
  <si>
    <t>ETTER KIRSCH AOP ZUG EAU-DE-VIE EDELWEISS</t>
  </si>
  <si>
    <t>951138</t>
  </si>
  <si>
    <t>BUSA CANDOLINI GRAPPA BIANCA</t>
  </si>
  <si>
    <t>951152</t>
  </si>
  <si>
    <t>GAZDINA RAKIJA APPLE BRANDY</t>
  </si>
  <si>
    <t>951154</t>
  </si>
  <si>
    <t>GAZDINA RAKIJA APRICOT BRANDY</t>
  </si>
  <si>
    <t>951157</t>
  </si>
  <si>
    <t>GAZDINA RAKIJA QUINCE BRANDY</t>
  </si>
  <si>
    <t>951188</t>
  </si>
  <si>
    <t>GRAN DUQUE XO BRANDY</t>
  </si>
  <si>
    <t>951297</t>
  </si>
  <si>
    <t>CARAVEDO PURO QUEBRANTA</t>
  </si>
  <si>
    <t>951298</t>
  </si>
  <si>
    <t>LA DIABLADA PISCO</t>
  </si>
  <si>
    <t>951302</t>
  </si>
  <si>
    <t>CARAVEDO PURO TORONTEL</t>
  </si>
  <si>
    <t>951303</t>
  </si>
  <si>
    <t>951316</t>
  </si>
  <si>
    <t>951421</t>
  </si>
  <si>
    <t>MASSENEZ POIRE WILLIAM POIRE PRISONNIERE</t>
  </si>
  <si>
    <t>DREYFUS ASHBY</t>
  </si>
  <si>
    <t>951437</t>
  </si>
  <si>
    <t>NONINO GRAPPA MOSCATO</t>
  </si>
  <si>
    <t>951549</t>
  </si>
  <si>
    <t>CARAVEDO MOSTO VERDE PISCO</t>
  </si>
  <si>
    <t>951552</t>
  </si>
  <si>
    <t>CARAVEDO ACHOLADO</t>
  </si>
  <si>
    <t>951553</t>
  </si>
  <si>
    <t>951580</t>
  </si>
  <si>
    <t>951584</t>
  </si>
  <si>
    <t>R. JELINEK 5YR SLIVOVITZ</t>
  </si>
  <si>
    <t>951589</t>
  </si>
  <si>
    <t>R. JELINEK BOHEMIA HONEY</t>
  </si>
  <si>
    <t>951591</t>
  </si>
  <si>
    <t>R. JELINEK BOHEMIAN APRICOT</t>
  </si>
  <si>
    <t>951593</t>
  </si>
  <si>
    <t>R. JELINEK WILLIAMS PEAR</t>
  </si>
  <si>
    <t>951594</t>
  </si>
  <si>
    <t>R. JELINEK SILVER SLIVOVITZ</t>
  </si>
  <si>
    <t>R. JELINEK 10YR GOLD SLIVOVITZ</t>
  </si>
  <si>
    <t>951660</t>
  </si>
  <si>
    <t>STARA SOKOLOVA DUNJA</t>
  </si>
  <si>
    <t>951662</t>
  </si>
  <si>
    <t>STARA SOKOLOVA KAJSIJA</t>
  </si>
  <si>
    <t>951664</t>
  </si>
  <si>
    <t>STARA SOKOLOVA KOSHER</t>
  </si>
  <si>
    <t>951672</t>
  </si>
  <si>
    <t>STARA SOKOLOVA SILVER</t>
  </si>
  <si>
    <t>951674</t>
  </si>
  <si>
    <t>STARA SOKOLOVA VILJAMOVKA</t>
  </si>
  <si>
    <t>951696</t>
  </si>
  <si>
    <t>STOCK 84 RISERVA</t>
  </si>
  <si>
    <t>951700</t>
  </si>
  <si>
    <t>STRAVECCHIO BRANCA BRANDY</t>
  </si>
  <si>
    <t>951742</t>
  </si>
  <si>
    <t>HA TORRES JAIME 1</t>
  </si>
  <si>
    <t>951744</t>
  </si>
  <si>
    <t>HA TORRES 20 BRANDY</t>
  </si>
  <si>
    <t>951745</t>
  </si>
  <si>
    <t>HA TORRES 15 IMPERIAL BRANDY</t>
  </si>
  <si>
    <t>951832</t>
  </si>
  <si>
    <t>HAMILTON OVERPROOF RUM</t>
  </si>
  <si>
    <t>952186</t>
  </si>
  <si>
    <t>CHRISTIAN BROS GRAND RESERVE VSOP</t>
  </si>
  <si>
    <t>952323</t>
  </si>
  <si>
    <t>GRAPPA MUSCAT</t>
  </si>
  <si>
    <t>952324</t>
  </si>
  <si>
    <t>952362</t>
  </si>
  <si>
    <t>CONCIERE BRANDY</t>
  </si>
  <si>
    <t>952559</t>
  </si>
  <si>
    <t>953233</t>
  </si>
  <si>
    <t>SOOH ST GEORGE BOTANIVORE GIN</t>
  </si>
  <si>
    <t>953234</t>
  </si>
  <si>
    <t>ST GEORGE DRY RYE GIN</t>
  </si>
  <si>
    <t>953609</t>
  </si>
  <si>
    <t>AQUA PERFECTA BASIL EAU DE VIE</t>
  </si>
  <si>
    <t>953665</t>
  </si>
  <si>
    <t>CLEAR CREEK PEAR BRANDY PEAR IN BOTTLE</t>
  </si>
  <si>
    <t>953671</t>
  </si>
  <si>
    <t>COPPER &amp; KINGS AMERICAN APPLE BRANDY</t>
  </si>
  <si>
    <t>953686</t>
  </si>
  <si>
    <t>LAIRD APPLE BRANDY 100</t>
  </si>
  <si>
    <t>953694</t>
  </si>
  <si>
    <t>LAIRDS 10TH GENERATION APPLE BRANDY</t>
  </si>
  <si>
    <t>953853</t>
  </si>
  <si>
    <t>PAUL MASSON GRANDE AMBER FRUIT PUNCH BRANDY</t>
  </si>
  <si>
    <t>953854</t>
  </si>
  <si>
    <t>LEMON HART ORIGINAL 1804 RUM</t>
  </si>
  <si>
    <t>953858</t>
  </si>
  <si>
    <t>PAUL MASSON GRANDE AMBER COCONUT BRANDY</t>
  </si>
  <si>
    <t>954376</t>
  </si>
  <si>
    <t>DELORD XO</t>
  </si>
  <si>
    <t>954907</t>
  </si>
  <si>
    <t>LEROUX BLACKBERRY BRANDY</t>
  </si>
  <si>
    <t>955118</t>
  </si>
  <si>
    <t>PHILLIPS BLACKBERRY FL BRANDY</t>
  </si>
  <si>
    <t>956664</t>
  </si>
  <si>
    <t>PAUL MASSON GRANDE AMBER WATERMELON BRANDY</t>
  </si>
  <si>
    <t>956711</t>
  </si>
  <si>
    <t>CLEAR CREEK CHERRY BRANDY MINI</t>
  </si>
  <si>
    <t>956721</t>
  </si>
  <si>
    <t>CROWN ROYAL WHISKY SOUR COCKTAIL BLACK CHERRY</t>
  </si>
  <si>
    <t>956805</t>
  </si>
  <si>
    <t>PAUL MASSON GRANDE AMBER RED BERRY BRANDY</t>
  </si>
  <si>
    <t>957653</t>
  </si>
  <si>
    <t>BIRDIE JUICE OLD FASHIONED BUY THE BARREL</t>
  </si>
  <si>
    <t>958199</t>
  </si>
  <si>
    <t>CRAFTHOUSE COCKTAILS MOSCOW MULE</t>
  </si>
  <si>
    <t>958744</t>
  </si>
  <si>
    <t>CODY ROAD MINT JULEP</t>
  </si>
  <si>
    <t>958875</t>
  </si>
  <si>
    <t>BUNNAHABHAIN TOITEACH A DHA</t>
  </si>
  <si>
    <t>959558</t>
  </si>
  <si>
    <t>FOUNDRY BARREL AGED MANHATTAN</t>
  </si>
  <si>
    <t>960180</t>
  </si>
  <si>
    <t>SOOH HANDY &amp; SCHILLER OLD FASHIONED</t>
  </si>
  <si>
    <t>960182</t>
  </si>
  <si>
    <t>HANDY &amp; SCHILLER MANHATTAN</t>
  </si>
  <si>
    <t>961425</t>
  </si>
  <si>
    <t>IOWA LEGENDARY RYE GRANDMAS APPLE PIE</t>
  </si>
  <si>
    <t>961427</t>
  </si>
  <si>
    <t>IOWA LEGENDARY RYE PROHIBITION PEACH</t>
  </si>
  <si>
    <t>961429</t>
  </si>
  <si>
    <t>IOWA LEGENDARY RYE SHORTYS PINK LEMONADE</t>
  </si>
  <si>
    <t>961476</t>
  </si>
  <si>
    <t>AMARO BRAULIO</t>
  </si>
  <si>
    <t>962040</t>
  </si>
  <si>
    <t>SOOH KETEL ONE ESPRESSO MARTINI</t>
  </si>
  <si>
    <t>KIRKLAND PREMIUM GOLDEN MARGARITA</t>
  </si>
  <si>
    <t>962095</t>
  </si>
  <si>
    <t>KIRKLAND SIGNATURE SPICED RUM EGG NOG</t>
  </si>
  <si>
    <t>962135</t>
  </si>
  <si>
    <t>KOLOA HAWAIIAN PINEAPPLE PASSION RUM COCKTAIL</t>
  </si>
  <si>
    <t>962138</t>
  </si>
  <si>
    <t>KOLOA HAWAIIAN RUM PUNCH COCKTAIL</t>
  </si>
  <si>
    <t>962475</t>
  </si>
  <si>
    <t>MEMBERS MARK SPICY MARGARITA</t>
  </si>
  <si>
    <t>962476</t>
  </si>
  <si>
    <t>MEMBERS MARK GOLD MARGARITA</t>
  </si>
  <si>
    <t>962477</t>
  </si>
  <si>
    <t>MEMBERS MARK EGG NOG</t>
  </si>
  <si>
    <t>963567</t>
  </si>
  <si>
    <t>TULLIBARDINE BURGUNDY CASK</t>
  </si>
  <si>
    <t>SOOH AALBORG TAFFEL AQUAVIT</t>
  </si>
  <si>
    <t>964049</t>
  </si>
  <si>
    <t>AALBORG JUBILAEUMS AQUAVIT</t>
  </si>
  <si>
    <t>964076</t>
  </si>
  <si>
    <t>ALTO DEL CARMEN PISCO RESERVADO</t>
  </si>
  <si>
    <t>SOOH AGAVERO ORANGE TEQUILA LIQUEUR</t>
  </si>
  <si>
    <t>964105</t>
  </si>
  <si>
    <t>964118</t>
  </si>
  <si>
    <t>AMARO ALTA VERDE</t>
  </si>
  <si>
    <t>964122</t>
  </si>
  <si>
    <t>ANGOSTURA DI AMARO LIQUEUR</t>
  </si>
  <si>
    <t>964123</t>
  </si>
  <si>
    <t>SOOH ANCHO REYES VERDE</t>
  </si>
  <si>
    <t>964131</t>
  </si>
  <si>
    <t>DISARONNO AMARETTO MINI</t>
  </si>
  <si>
    <t>964139</t>
  </si>
  <si>
    <t>DISARONNO RISERVA</t>
  </si>
  <si>
    <t>964235</t>
  </si>
  <si>
    <t>964269</t>
  </si>
  <si>
    <t>BELLE DE BRILLET</t>
  </si>
  <si>
    <t>964279</t>
  </si>
  <si>
    <t>BACARDI TROPICAL</t>
  </si>
  <si>
    <t>964304</t>
  </si>
  <si>
    <t>964305</t>
  </si>
  <si>
    <t>BATAVIA ARRACK VAN OOSTEN</t>
  </si>
  <si>
    <t>964308</t>
  </si>
  <si>
    <t>AVEZE GENTIANE LIQUEUR</t>
  </si>
  <si>
    <t>964363</t>
  </si>
  <si>
    <t>BARENJAGER HONEY &amp; BOURBON LIQUEUR</t>
  </si>
  <si>
    <t>964383</t>
  </si>
  <si>
    <t>COCONUT CARTEL ANEJO</t>
  </si>
  <si>
    <t>964390</t>
  </si>
  <si>
    <t>BOUKMAN BOTANICAL RHUM</t>
  </si>
  <si>
    <t>964396</t>
  </si>
  <si>
    <t>964423</t>
  </si>
  <si>
    <t>BIGALLET THYM</t>
  </si>
  <si>
    <t>964424</t>
  </si>
  <si>
    <t>BLOOM JASMINE &amp; ROSE GIN</t>
  </si>
  <si>
    <t>SOOH BERENTZEN APPLE</t>
  </si>
  <si>
    <t>964448</t>
  </si>
  <si>
    <t>SOOH BERENTZEN PEAR</t>
  </si>
  <si>
    <t>964464</t>
  </si>
  <si>
    <t>BIGALLET CHINA CHINA</t>
  </si>
  <si>
    <t>964477</t>
  </si>
  <si>
    <t>BOLS GENEVER BARREL AGED</t>
  </si>
  <si>
    <t>964478</t>
  </si>
  <si>
    <t>BOLS ORIGINAL GENEVER</t>
  </si>
  <si>
    <t>964487</t>
  </si>
  <si>
    <t>COMBIER CREME DE PECHE DE VIGNE</t>
  </si>
  <si>
    <t>964525</t>
  </si>
  <si>
    <t>SOOH BRANCA MENTA</t>
  </si>
  <si>
    <t>964530</t>
  </si>
  <si>
    <t>BRENNIVIN AQUAVIT</t>
  </si>
  <si>
    <t>964531</t>
  </si>
  <si>
    <t>COMBIER CASSIS LIQUEUR</t>
  </si>
  <si>
    <t>964535</t>
  </si>
  <si>
    <t>COMBIER LIQUEUR ROSE</t>
  </si>
  <si>
    <t>964543</t>
  </si>
  <si>
    <t>THE BITTER TRUTH GOLDEN FALERNUM LIQUEUR</t>
  </si>
  <si>
    <t>964558</t>
  </si>
  <si>
    <t>THE BITTER TRUTH VIOLET LIQUEUR</t>
  </si>
  <si>
    <t>964559</t>
  </si>
  <si>
    <t>THE BITTER TRUTH ELDERFLOWER</t>
  </si>
  <si>
    <t>SOOH CACHACA 51</t>
  </si>
  <si>
    <t>CAPEL PISCO RESERVADO</t>
  </si>
  <si>
    <t>964634</t>
  </si>
  <si>
    <t>964750</t>
  </si>
  <si>
    <t>CIROC COCONUT</t>
  </si>
  <si>
    <t>964771</t>
  </si>
  <si>
    <t>COINTREAU LIQUEUR MINI</t>
  </si>
  <si>
    <t>964906</t>
  </si>
  <si>
    <t>SOOH DOLIN GENEPY DES APLEZ LE CHAMOIS</t>
  </si>
  <si>
    <t>964957</t>
  </si>
  <si>
    <t>ESPRIT EDOUARD ABSINTHE</t>
  </si>
  <si>
    <t>965011</t>
  </si>
  <si>
    <t>SOOH GIFFARD BANANE DU BRESIL</t>
  </si>
  <si>
    <t>965064</t>
  </si>
  <si>
    <t>GIFFARD FRUIT DE LA PASSION</t>
  </si>
  <si>
    <t>965069</t>
  </si>
  <si>
    <t>GIFFARD ABRICOT DU ROUSSILLON</t>
  </si>
  <si>
    <t>965070</t>
  </si>
  <si>
    <t>SOOH GIFFARD CASSIS NOIR DE BOURGOGNE</t>
  </si>
  <si>
    <t>965071</t>
  </si>
  <si>
    <t>GIFFARD CREME DE FRAISE DES BOIS</t>
  </si>
  <si>
    <t>965072</t>
  </si>
  <si>
    <t>GIFFARD CREME DE FRAMBOISE</t>
  </si>
  <si>
    <t>965073</t>
  </si>
  <si>
    <t>SOOH GIFFARD CREME DE MURE</t>
  </si>
  <si>
    <t>965074</t>
  </si>
  <si>
    <t>GIFFARD CREME DE PAMPLEMOUSSE ROSE PINK GRAPEFRUIT LIQUEUR</t>
  </si>
  <si>
    <t>965075</t>
  </si>
  <si>
    <t>GIFFARD CREME DE VIOLETTE LIQUEUR</t>
  </si>
  <si>
    <t>965076</t>
  </si>
  <si>
    <t>GIFFARD GINGER OF THE INDIES</t>
  </si>
  <si>
    <t>965077</t>
  </si>
  <si>
    <t>SOOH GIFFARD LICHI LI</t>
  </si>
  <si>
    <t>965078</t>
  </si>
  <si>
    <t>GIFFARD MENTHE PASTILLE</t>
  </si>
  <si>
    <t>965083</t>
  </si>
  <si>
    <t>SOOH GIFFARD CREME DE PECHE DE VIGNE</t>
  </si>
  <si>
    <t>965087</t>
  </si>
  <si>
    <t>GIFFARD VANILLE DE MADAGASCAR</t>
  </si>
  <si>
    <t>965088</t>
  </si>
  <si>
    <t>GIFFARD WILD ELDERFLOWER</t>
  </si>
  <si>
    <t>965090</t>
  </si>
  <si>
    <t>HA GRAND MARNIER CUVEE DU CENTENNAIRE</t>
  </si>
  <si>
    <t>965094</t>
  </si>
  <si>
    <t>HA GRAND MARNIER QUINTESSENCE GRAND CUVEE</t>
  </si>
  <si>
    <t>965112</t>
  </si>
  <si>
    <t>965115</t>
  </si>
  <si>
    <t>FLOR DEL DESIERTO DEISIERTO</t>
  </si>
  <si>
    <t>965121</t>
  </si>
  <si>
    <t>GRAND MARNIER CORDON ROUGE MINI</t>
  </si>
  <si>
    <t>965178</t>
  </si>
  <si>
    <t>IICHIKO SILHOUETTE SHOCHU</t>
  </si>
  <si>
    <t>965185</t>
  </si>
  <si>
    <t>SOOH IRISH MIST HONEY LIQUEUR</t>
  </si>
  <si>
    <t>965201</t>
  </si>
  <si>
    <t>FLOR DEL DESIERTO SIERRA</t>
  </si>
  <si>
    <t>SOOH JOHN D TAYLOR VELVET FALERNUM</t>
  </si>
  <si>
    <t>965219</t>
  </si>
  <si>
    <t>COMBIER LIQUEUR DE BANANE</t>
  </si>
  <si>
    <t>965221</t>
  </si>
  <si>
    <t>SOOH JINRO CHAMISUL SOJU</t>
  </si>
  <si>
    <t>SOOH ITALICUS ROSOLINO</t>
  </si>
  <si>
    <t>SOOH JINRO SOJU</t>
  </si>
  <si>
    <t>965266</t>
  </si>
  <si>
    <t>SOOH JINRO CLASSIC SOJU</t>
  </si>
  <si>
    <t>SOOH JINRO GREEN GRAPE SOJU</t>
  </si>
  <si>
    <t>SOOH JINRO CHAMISUL CLASSIC SOJU</t>
  </si>
  <si>
    <t>965282</t>
  </si>
  <si>
    <t>KALANI</t>
  </si>
  <si>
    <t>965283</t>
  </si>
  <si>
    <t>SOOH JINRO PLUM SOJU</t>
  </si>
  <si>
    <t>965287</t>
  </si>
  <si>
    <t>KAI LEMONGRASS GINGER SHOCHU SOJU</t>
  </si>
  <si>
    <t>965288</t>
  </si>
  <si>
    <t>KAI YOUNG COCONUT SHOCHU SOJU</t>
  </si>
  <si>
    <t>965330</t>
  </si>
  <si>
    <t>KRONAN SWEDISH PUNSCH</t>
  </si>
  <si>
    <t>965332</t>
  </si>
  <si>
    <t>CIROC WHITE GRAPE</t>
  </si>
  <si>
    <t>SOOH JINRO STRAWBERRY SOJU</t>
  </si>
  <si>
    <t>965367</t>
  </si>
  <si>
    <t>JAGERMEISTER COLD BREW COFFEE LIQUEUR MINI</t>
  </si>
  <si>
    <t>965421</t>
  </si>
  <si>
    <t>LICOR 43 ORIGINAL LIQUEUR MINI</t>
  </si>
  <si>
    <t>965423</t>
  </si>
  <si>
    <t>GOLDSCHLAGER</t>
  </si>
  <si>
    <t>965424</t>
  </si>
  <si>
    <t>965428</t>
  </si>
  <si>
    <t>965442</t>
  </si>
  <si>
    <t>IICHIKO SAITEN SHOCHU</t>
  </si>
  <si>
    <t>965443</t>
  </si>
  <si>
    <t>965460</t>
  </si>
  <si>
    <t>JINRO ILPOOM 1924 SOJU</t>
  </si>
  <si>
    <t>965483</t>
  </si>
  <si>
    <t>KINMEN KAO LIANG</t>
  </si>
  <si>
    <t>965488</t>
  </si>
  <si>
    <t>SCAPEGRACE BLACK GIN</t>
  </si>
  <si>
    <t>965514</t>
  </si>
  <si>
    <t>HA GRAND MARNIER CUVEE REVELATION</t>
  </si>
  <si>
    <t>965516</t>
  </si>
  <si>
    <t>THE KINGS GINGER</t>
  </si>
  <si>
    <t>965529</t>
  </si>
  <si>
    <t>FIORENTE ELDERFLOWER</t>
  </si>
  <si>
    <t>965536</t>
  </si>
  <si>
    <t>LUCID ABSINTHE</t>
  </si>
  <si>
    <t>965538</t>
  </si>
  <si>
    <t>FERNET VALLET LIQUEUR</t>
  </si>
  <si>
    <t>965544</t>
  </si>
  <si>
    <t>LUXARDO BITTER BIANCO</t>
  </si>
  <si>
    <t>965556</t>
  </si>
  <si>
    <t>965559</t>
  </si>
  <si>
    <t>LUXARDO AMARO ABANO</t>
  </si>
  <si>
    <t>965561</t>
  </si>
  <si>
    <t>965605</t>
  </si>
  <si>
    <t>MARIE BRIZARD ANISETTE LIQUEUR</t>
  </si>
  <si>
    <t>965609</t>
  </si>
  <si>
    <t>GIFFARD ABRICOT DU ROUSSILLON - USE CODE 965069</t>
  </si>
  <si>
    <t>965624</t>
  </si>
  <si>
    <t>GLENDALOUGH MOUNTAIN STRENGTH POITIN</t>
  </si>
  <si>
    <t>965677</t>
  </si>
  <si>
    <t>MARIE BRIZARD PEACH</t>
  </si>
  <si>
    <t>965708</t>
  </si>
  <si>
    <t>KIRKLAND SIGNATURE ORANGE LIQUEUR</t>
  </si>
  <si>
    <t>965715</t>
  </si>
  <si>
    <t>965745</t>
  </si>
  <si>
    <t>DON AGAVE ALEBRIJE</t>
  </si>
  <si>
    <t>965748</t>
  </si>
  <si>
    <t>965785</t>
  </si>
  <si>
    <t>JOSE CUERVO DEVILS RESERVE MINI</t>
  </si>
  <si>
    <t>965803</t>
  </si>
  <si>
    <t>MATHILDE LIQUER CASSIS BLACK CURRANT</t>
  </si>
  <si>
    <t>MAISON FERRAND USA</t>
  </si>
  <si>
    <t>965810</t>
  </si>
  <si>
    <t>MATHILDE LIQUEUR FRAMBOISE</t>
  </si>
  <si>
    <t>965812</t>
  </si>
  <si>
    <t>MATHILDE LIQUEUR ORANGE XO</t>
  </si>
  <si>
    <t>965815</t>
  </si>
  <si>
    <t>SOOH MATHILDE LIQUER PECHE</t>
  </si>
  <si>
    <t>965817</t>
  </si>
  <si>
    <t>MATHILDE LIQUEUR POIRE</t>
  </si>
  <si>
    <t>965823</t>
  </si>
  <si>
    <t>MASSENEZ GOLDEN EIGHT PEAR LIQUEUR</t>
  </si>
  <si>
    <t>965906</t>
  </si>
  <si>
    <t>METAXA 5 STAR</t>
  </si>
  <si>
    <t>965915</t>
  </si>
  <si>
    <t>JINRO PEACH SOJU</t>
  </si>
  <si>
    <t>965937</t>
  </si>
  <si>
    <t>MELETTI AMARO</t>
  </si>
  <si>
    <t>965957</t>
  </si>
  <si>
    <t>MONTELOBOS PECHUGA MEZCAL</t>
  </si>
  <si>
    <t>965964</t>
  </si>
  <si>
    <t>MIZU LEMONGRASS SHOCHU</t>
  </si>
  <si>
    <t>965967</t>
  </si>
  <si>
    <t>MIZU SAGA BARLEY SCHOCHU</t>
  </si>
  <si>
    <t>965970</t>
  </si>
  <si>
    <t>MIZU GREEN TEA SHOCHU</t>
  </si>
  <si>
    <t>965986</t>
  </si>
  <si>
    <t>NUX ALPINA</t>
  </si>
  <si>
    <t>966019</t>
  </si>
  <si>
    <t>966067</t>
  </si>
  <si>
    <t>SOOH TOSCHI NOCELLO</t>
  </si>
  <si>
    <t>966068</t>
  </si>
  <si>
    <t>NONINO L APERITIVO</t>
  </si>
  <si>
    <t>966069</t>
  </si>
  <si>
    <t>NOUVELLE ORLEANS ABSINTHE</t>
  </si>
  <si>
    <t>SOOH PIERRE FERRAND DRY CURACAO</t>
  </si>
  <si>
    <t>966123</t>
  </si>
  <si>
    <t>LAZZARONI AMARO</t>
  </si>
  <si>
    <t>SOOH PASSOA LIQUEUR</t>
  </si>
  <si>
    <t>966187</t>
  </si>
  <si>
    <t>PERNOD D'ABSINTHE</t>
  </si>
  <si>
    <t>966246</t>
  </si>
  <si>
    <t>ZUCCA RABARBARO</t>
  </si>
  <si>
    <t>966253</t>
  </si>
  <si>
    <t>ROTHMAN &amp; WINTER ORCHARD ELDERBERRY LIQUEUR</t>
  </si>
  <si>
    <t>966257</t>
  </si>
  <si>
    <t>QUECHOL WHEELERI SOTOL</t>
  </si>
  <si>
    <t>966259</t>
  </si>
  <si>
    <t>966290</t>
  </si>
  <si>
    <t>PINAQ COLADA</t>
  </si>
  <si>
    <t>966291</t>
  </si>
  <si>
    <t>PINAQ ORIGINAL (PASSION FRUIT)</t>
  </si>
  <si>
    <t>966292</t>
  </si>
  <si>
    <t>PINAQ ROSE</t>
  </si>
  <si>
    <t>966299</t>
  </si>
  <si>
    <t>PINAQ BLUE</t>
  </si>
  <si>
    <t>966306</t>
  </si>
  <si>
    <t>966319</t>
  </si>
  <si>
    <t>R. JELINEK FERNET</t>
  </si>
  <si>
    <t>966334</t>
  </si>
  <si>
    <t>ANCHO REYES BARRICA</t>
  </si>
  <si>
    <t>966348</t>
  </si>
  <si>
    <t>CLEMENT CREOLE SHRUBB</t>
  </si>
  <si>
    <t>966388</t>
  </si>
  <si>
    <t>R. JELINEK AMARO</t>
  </si>
  <si>
    <t>966390</t>
  </si>
  <si>
    <t>VARNELLI AMARO SIBILLA</t>
  </si>
  <si>
    <t>966393</t>
  </si>
  <si>
    <t>ARAK KSARAK</t>
  </si>
  <si>
    <t>INTERNATIONAL CELLARS, LLC</t>
  </si>
  <si>
    <t>966413</t>
  </si>
  <si>
    <t>ROCK N ROLL TEQUILA MANGO</t>
  </si>
  <si>
    <t>966455</t>
  </si>
  <si>
    <t>LEMBA RUM SPICE BLEND</t>
  </si>
  <si>
    <t>966474</t>
  </si>
  <si>
    <t>ENRICO TORO TORELLA 72</t>
  </si>
  <si>
    <t>966484</t>
  </si>
  <si>
    <t>MEMBERS MARK BIRTHDAY CAKE VODKA</t>
  </si>
  <si>
    <t>966485</t>
  </si>
  <si>
    <t>MEMBERS MARK STRAWBERRY LEMONADE VODKA</t>
  </si>
  <si>
    <t>966567</t>
  </si>
  <si>
    <t>SALERS GENTIANE LIQUEUR</t>
  </si>
  <si>
    <t>966580</t>
  </si>
  <si>
    <t>SALVADORS PREMIUM MARGARITA</t>
  </si>
  <si>
    <t>966665</t>
  </si>
  <si>
    <t>966726</t>
  </si>
  <si>
    <t>966752</t>
  </si>
  <si>
    <t>SELECT APERITIF PILLA</t>
  </si>
  <si>
    <t>966761</t>
  </si>
  <si>
    <t>966763</t>
  </si>
  <si>
    <t>966770</t>
  </si>
  <si>
    <t>SFUMATO AMARO RABARBARO</t>
  </si>
  <si>
    <t>966773</t>
  </si>
  <si>
    <t>SOOH MING RIVER SICHUAN BAIJIU</t>
  </si>
  <si>
    <t>966835</t>
  </si>
  <si>
    <t>ST GERMAIN LIQUEUR MINI</t>
  </si>
  <si>
    <t>966859</t>
  </si>
  <si>
    <t>WOODY CREEK DISTILLERS MARYS SELECT BUTTERFLY GIN</t>
  </si>
  <si>
    <t>966861</t>
  </si>
  <si>
    <t>STIRRINGS GINGER LIQUEUR</t>
  </si>
  <si>
    <t>966870</t>
  </si>
  <si>
    <t>STARA SOKOLOVA MEDOVINA</t>
  </si>
  <si>
    <t>966872</t>
  </si>
  <si>
    <t>STARA SOKOLOVA TRAVKA</t>
  </si>
  <si>
    <t>966995</t>
  </si>
  <si>
    <t>SUZE</t>
  </si>
  <si>
    <t>967085</t>
  </si>
  <si>
    <t>TIRAMISU ITALIAN LIQUEUR</t>
  </si>
  <si>
    <t>967174</t>
  </si>
  <si>
    <t>967192</t>
  </si>
  <si>
    <t>X RATED FUSION LIQUEUR</t>
  </si>
  <si>
    <t>967207</t>
  </si>
  <si>
    <t>VERPOORTEN ADVOCAAT</t>
  </si>
  <si>
    <t>967265</t>
  </si>
  <si>
    <t>YUKON JACK APPLE</t>
  </si>
  <si>
    <t>967269</t>
  </si>
  <si>
    <t>YUKON JACK FIRE MINI</t>
  </si>
  <si>
    <t>967270</t>
  </si>
  <si>
    <t>YUKON JACK FIRE</t>
  </si>
  <si>
    <t>967278</t>
  </si>
  <si>
    <t>YENI RAKI</t>
  </si>
  <si>
    <t>967279</t>
  </si>
  <si>
    <t>YUKON JACK SNAKEBITE MINI</t>
  </si>
  <si>
    <t>967317</t>
  </si>
  <si>
    <t>ZIRBENZ STONE PINE LIQUEUR OF THE ALPS</t>
  </si>
  <si>
    <t>967345</t>
  </si>
  <si>
    <t>WHITLEY NEILL RHUBARB AND GINGER GIN</t>
  </si>
  <si>
    <t>967347</t>
  </si>
  <si>
    <t>WHITLEY NEILL BLOOD ORANGE GIN</t>
  </si>
  <si>
    <t>967388</t>
  </si>
  <si>
    <t>SOOH BORGHETTI ESPRESSO LIQUEUR</t>
  </si>
  <si>
    <t>967420</t>
  </si>
  <si>
    <t>JUMPING GOAT COLD BREWED COFFEE LIQUEUR WITH NZ VODKA</t>
  </si>
  <si>
    <t>967606</t>
  </si>
  <si>
    <t>JUMPING GOAT COLD BREWED COFFEE LIQUEUR BLACK BATCH</t>
  </si>
  <si>
    <t>967608</t>
  </si>
  <si>
    <t>LUXARDO MORLACCO CHERRY LIQUEUR</t>
  </si>
  <si>
    <t>967615</t>
  </si>
  <si>
    <t>MARIE BRIZARD APRY</t>
  </si>
  <si>
    <t>967617</t>
  </si>
  <si>
    <t>MARIE BRIZARD BLCKBERRY LIQUEUR</t>
  </si>
  <si>
    <t>967676</t>
  </si>
  <si>
    <t>MR BLACK COLD BREW COFFEE LIQUEUR</t>
  </si>
  <si>
    <t>967706</t>
  </si>
  <si>
    <t>SABROSO</t>
  </si>
  <si>
    <t>968088</t>
  </si>
  <si>
    <t>BOTTEGA PISTASCHIO LIQUEUR</t>
  </si>
  <si>
    <t>968173</t>
  </si>
  <si>
    <t>COOLE SWAN IRISH SUPERIOR CREAM LIQUEUR</t>
  </si>
  <si>
    <t>968296</t>
  </si>
  <si>
    <t>EL DORADO RUM CREAM LIQUEUR</t>
  </si>
  <si>
    <t>968337</t>
  </si>
  <si>
    <t>FIVE FARMS IRISH CREAM LIQUEUR MINI</t>
  </si>
  <si>
    <t>968426</t>
  </si>
  <si>
    <t>GIFFARD CREME DE CACAO</t>
  </si>
  <si>
    <t>968587</t>
  </si>
  <si>
    <t>MEMBERS MARK CINNAMON CHURRO CREAM LIQUEUR</t>
  </si>
  <si>
    <t>968696</t>
  </si>
  <si>
    <t>MARIE BRIZARD WHITE COCOA</t>
  </si>
  <si>
    <t>968725</t>
  </si>
  <si>
    <t>MASSENEZ CREME A LA FRAIS DE BOIS</t>
  </si>
  <si>
    <t>968750</t>
  </si>
  <si>
    <t>MEMBERS MARK IRISH CREAM LIQUEUR</t>
  </si>
  <si>
    <t>968848</t>
  </si>
  <si>
    <t>968882</t>
  </si>
  <si>
    <t>TEMPUS FUGIT CR�ME BANANE</t>
  </si>
  <si>
    <t>968888</t>
  </si>
  <si>
    <t>TEMPUS FUGIT SPIRITS CREME DE NOYAUX</t>
  </si>
  <si>
    <t>969596</t>
  </si>
  <si>
    <t>BOTTEGA LIMONCINO</t>
  </si>
  <si>
    <t>969608</t>
  </si>
  <si>
    <t>SOOH DR MCGILLICUDDYS MENTHOLMINT</t>
  </si>
  <si>
    <t>969651</t>
  </si>
  <si>
    <t>969712</t>
  </si>
  <si>
    <t>971946</t>
  </si>
  <si>
    <t>972063</t>
  </si>
  <si>
    <t>KOVAL ROSE HIP LIQUEUR</t>
  </si>
  <si>
    <t>972093</t>
  </si>
  <si>
    <t>KYRO PINK GIN</t>
  </si>
  <si>
    <t>972095</t>
  </si>
  <si>
    <t>ZAMBU WILD BERRY</t>
  </si>
  <si>
    <t>972096</t>
  </si>
  <si>
    <t>ZAMBU TROPICAL GRAPEFRUIT</t>
  </si>
  <si>
    <t>972101</t>
  </si>
  <si>
    <t>LAGOON BAY ICELANDIC ORANGE APERITIF</t>
  </si>
  <si>
    <t>972112</t>
  </si>
  <si>
    <t>COCONUT CARTEL BLANCO RUM</t>
  </si>
  <si>
    <t>972130</t>
  </si>
  <si>
    <t>APOLOGUE ARONIA LIQUEUR</t>
  </si>
  <si>
    <t>APOLOGUE LLC</t>
  </si>
  <si>
    <t>972131</t>
  </si>
  <si>
    <t>APOLOGUE CELERY ROOT</t>
  </si>
  <si>
    <t>972132</t>
  </si>
  <si>
    <t>APOLOGUE PERSIMMON LIQUEUR</t>
  </si>
  <si>
    <t>972133</t>
  </si>
  <si>
    <t>APOLOGUE SAFFRON LIQUEUR</t>
  </si>
  <si>
    <t>972320</t>
  </si>
  <si>
    <t>AVERELL DAMSON GIN LIQUEUR</t>
  </si>
  <si>
    <t>972347</t>
  </si>
  <si>
    <t>972415</t>
  </si>
  <si>
    <t>BARROWS INTENSE GINGER LIQUEUR</t>
  </si>
  <si>
    <t>972532</t>
  </si>
  <si>
    <t>972543</t>
  </si>
  <si>
    <t>BLUE CHAIR BAY MOCHA CREAM</t>
  </si>
  <si>
    <t>972614</t>
  </si>
  <si>
    <t>POLUGAR WHEAT</t>
  </si>
  <si>
    <t>972676</t>
  </si>
  <si>
    <t>BRECKENRIDGE CHILI CHILE VODKA</t>
  </si>
  <si>
    <t>972686</t>
  </si>
  <si>
    <t>ST GEORGE BRUTO AMERICANO</t>
  </si>
  <si>
    <t>972706</t>
  </si>
  <si>
    <t>BUBBAS SECRET STILLS BURNT SUGAR WHISKEY</t>
  </si>
  <si>
    <t>972729</t>
  </si>
  <si>
    <t>OREGON SPIRIT ABSINTHE MINI</t>
  </si>
  <si>
    <t>972752</t>
  </si>
  <si>
    <t>OREGON SPIRIT ABSINTHE ORIGINAL</t>
  </si>
  <si>
    <t>SOOH LIQUORE STREGA</t>
  </si>
  <si>
    <t>972939</t>
  </si>
  <si>
    <t>YOBO SOJU LUXE</t>
  </si>
  <si>
    <t>972945</t>
  </si>
  <si>
    <t>972955</t>
  </si>
  <si>
    <t>972958</t>
  </si>
  <si>
    <t>SOOH CHACHO - JALAPENO AGUARDIENTE</t>
  </si>
  <si>
    <t>CHACHO SPIRITS / ZJ LIQUORS, LLC</t>
  </si>
  <si>
    <t>972989</t>
  </si>
  <si>
    <t>CHOCOMOO SHINE</t>
  </si>
  <si>
    <t>TENNESSEE SHINE CO/XXX DISTILLERY LLC</t>
  </si>
  <si>
    <t>973005</t>
  </si>
  <si>
    <t>NANNER PUDDIN</t>
  </si>
  <si>
    <t>973007</t>
  </si>
  <si>
    <t>ALANDER NORDIC SPICED RUM</t>
  </si>
  <si>
    <t>973067</t>
  </si>
  <si>
    <t>SOOH CHAREAU ALOE LIQUEUR</t>
  </si>
  <si>
    <t>973079</t>
  </si>
  <si>
    <t>VODKA WITH LAVENDER</t>
  </si>
  <si>
    <t>COPPERMUSE INC/COPPERMUSE DISTILLERY</t>
  </si>
  <si>
    <t>973095</t>
  </si>
  <si>
    <t>973122</t>
  </si>
  <si>
    <t>BUBBAS SECRET STILLS MARSHMALLOW CHOCOLATE WHISKEY</t>
  </si>
  <si>
    <t>973337</t>
  </si>
  <si>
    <t>JIM TOMS SIGNATURE MOONSHINE</t>
  </si>
  <si>
    <t>973339</t>
  </si>
  <si>
    <t>CONCIERE COFFEE LIQUER</t>
  </si>
  <si>
    <t>973343</t>
  </si>
  <si>
    <t>CONCIERE AMARETTO LIQUER</t>
  </si>
  <si>
    <t>973388</t>
  </si>
  <si>
    <t>KIRKLAND SIGNATURE SPICED RUM</t>
  </si>
  <si>
    <t>973416</t>
  </si>
  <si>
    <t>973420</t>
  </si>
  <si>
    <t>973452</t>
  </si>
  <si>
    <t>DEKUYPER LUSCIOUS POMEGRANATE</t>
  </si>
  <si>
    <t>973539</t>
  </si>
  <si>
    <t>SAVAGE &amp; COOKE CUSTOM SINGLE BARREL BOURBON BUY THE BARREL</t>
  </si>
  <si>
    <t>973580</t>
  </si>
  <si>
    <t>DEGROFF BITTER APERITIVO</t>
  </si>
  <si>
    <t>973582</t>
  </si>
  <si>
    <t>DEGROFF NEW WORLD AMARO</t>
  </si>
  <si>
    <t>SOOH DI AMORE QUATTRO ORANGE</t>
  </si>
  <si>
    <t>973652</t>
  </si>
  <si>
    <t>JEPPSONS MALORT 6-PACK OF MINIS</t>
  </si>
  <si>
    <t>973721</t>
  </si>
  <si>
    <t>EVAN WILLIAMS FIRE</t>
  </si>
  <si>
    <t>973878</t>
  </si>
  <si>
    <t>LUNA BLOOM GIN</t>
  </si>
  <si>
    <t>973892</t>
  </si>
  <si>
    <t>973894</t>
  </si>
  <si>
    <t>TINGALA ORIGINAL</t>
  </si>
  <si>
    <t>LOCAL DISTILLING, INC.</t>
  </si>
  <si>
    <t>973911</t>
  </si>
  <si>
    <t>ARAK BRUN 5 YEAR SPECIAL RESERVE</t>
  </si>
  <si>
    <t>973917</t>
  </si>
  <si>
    <t>TINGALA GOLD</t>
  </si>
  <si>
    <t>973924</t>
  </si>
  <si>
    <t>FACCIA BRUTTO CENTERBE</t>
  </si>
  <si>
    <t>973947</t>
  </si>
  <si>
    <t>FACCIA BRUTTO AMARO ALPINO</t>
  </si>
  <si>
    <t>973948</t>
  </si>
  <si>
    <t>FACCIA BRUTTO AMARO GORINI</t>
  </si>
  <si>
    <t>973949</t>
  </si>
  <si>
    <t>FRANCOLI BITTER NOVEIS</t>
  </si>
  <si>
    <t>973952</t>
  </si>
  <si>
    <t>FRANCOLI AMARO NOVEIS</t>
  </si>
  <si>
    <t>973953</t>
  </si>
  <si>
    <t>FRANCOLI FERNET NOVEIS</t>
  </si>
  <si>
    <t>974099</t>
  </si>
  <si>
    <t>974304</t>
  </si>
  <si>
    <t>CM TOPPLING GOLIATH STRAIGHT BOURBON WHISKEY BUY THE BARREL</t>
  </si>
  <si>
    <t>974486</t>
  </si>
  <si>
    <t>PRALINE PECAN LIQUEUR</t>
  </si>
  <si>
    <t>974688</t>
  </si>
  <si>
    <t>974776</t>
  </si>
  <si>
    <t>974829</t>
  </si>
  <si>
    <t>SPECIAL ORDER IOWA LEGENDARY RYE BLACK LABEL</t>
  </si>
  <si>
    <t>974831</t>
  </si>
  <si>
    <t>SPECIAL ORDER IOWA LEGENDARY RYE RED LABEL</t>
  </si>
  <si>
    <t>974832</t>
  </si>
  <si>
    <t>974834</t>
  </si>
  <si>
    <t>IOWA LEGENDARY RYE PURPLE LABEL</t>
  </si>
  <si>
    <t>974836</t>
  </si>
  <si>
    <t>SPECIAL ORDER IOWA LEGENDARY RYE WHITE LABEL</t>
  </si>
  <si>
    <t>974840</t>
  </si>
  <si>
    <t>KNUCKLENOGGIN PEANUT BUTTER WHISKEY</t>
  </si>
  <si>
    <t>974843</t>
  </si>
  <si>
    <t>IOWA LEGENDARY RYE COPPER LABEL</t>
  </si>
  <si>
    <t>974844</t>
  </si>
  <si>
    <t>IOWA LEGENDARY RYE GOLD LABEL</t>
  </si>
  <si>
    <t>JEPPSONS BARREL AGED MALORT</t>
  </si>
  <si>
    <t>975150</t>
  </si>
  <si>
    <t>TATTERSALL TOASTED COCONUT AQUAVIT</t>
  </si>
  <si>
    <t>975151</t>
  </si>
  <si>
    <t>TATTERSALL CRANBERRY LIQUEUR</t>
  </si>
  <si>
    <t>975158</t>
  </si>
  <si>
    <t>TATTERSALL BLUEBERRY LIQUEUR</t>
  </si>
  <si>
    <t>975189</t>
  </si>
  <si>
    <t>YENI RAKI UZUN DEMLEME</t>
  </si>
  <si>
    <t>975213</t>
  </si>
  <si>
    <t>KINKY BLUE LIQUEUR</t>
  </si>
  <si>
    <t>975245</t>
  </si>
  <si>
    <t>KULA DARK RUM</t>
  </si>
  <si>
    <t>975252</t>
  </si>
  <si>
    <t>KULA TOASTED COCONUT</t>
  </si>
  <si>
    <t>975258</t>
  </si>
  <si>
    <t>SOOH KOVAL CRANBERRY GIN LIQUEUR</t>
  </si>
  <si>
    <t>975260</t>
  </si>
  <si>
    <t>KOLOA KAUAI SPICE RUM</t>
  </si>
  <si>
    <t>975261</t>
  </si>
  <si>
    <t>KOLOA KAUAI COFFEE RUM</t>
  </si>
  <si>
    <t>975295</t>
  </si>
  <si>
    <t>LOS OSUNA BLANCO</t>
  </si>
  <si>
    <t>WRS CO. LLC / WRS IMPORTS</t>
  </si>
  <si>
    <t>975366</t>
  </si>
  <si>
    <t>HERBSAINT ORIGINAL</t>
  </si>
  <si>
    <t>975390</t>
  </si>
  <si>
    <t>LOS OSUNA ANEJO</t>
  </si>
  <si>
    <t>975391</t>
  </si>
  <si>
    <t>LOS OSUNA REPOSADO</t>
  </si>
  <si>
    <t>975393</t>
  </si>
  <si>
    <t>LOS OSUNA CINNAMON AGAVE LIQUEUR</t>
  </si>
  <si>
    <t>975394</t>
  </si>
  <si>
    <t>LOS OSUNA REPOSADO VANILLA AGAVE LIQUEUR</t>
  </si>
  <si>
    <t>975876</t>
  </si>
  <si>
    <t>MARGARITAVILLE ISLAND LIME TEQUILA</t>
  </si>
  <si>
    <t>976044</t>
  </si>
  <si>
    <t>976075</t>
  </si>
  <si>
    <t>MIDNIGHT MOON DILL PICKLES</t>
  </si>
  <si>
    <t>976079</t>
  </si>
  <si>
    <t>976092</t>
  </si>
  <si>
    <t>KOVAL COFFEE LIQUEUR</t>
  </si>
  <si>
    <t>976127</t>
  </si>
  <si>
    <t>CODY ROAD BLACKBERRY BUY THE BARREL</t>
  </si>
  <si>
    <t>976135</t>
  </si>
  <si>
    <t>PENELOPE ARCHITECT BOURBON - PRIVATE BARREL INTENSE STAVE BU</t>
  </si>
  <si>
    <t>976151</t>
  </si>
  <si>
    <t>STARLIGHT DISTILLERY BOURBON WHISKEY FINISHED IN PEACH BRAND</t>
  </si>
  <si>
    <t>976152</t>
  </si>
  <si>
    <t>STARLIGHT DISTILLERY BOURBON WHISKEY FINISHED IN VDN BARRELS</t>
  </si>
  <si>
    <t>976153</t>
  </si>
  <si>
    <t>STARLIGHT DISTILLERY BOURBON WHISKEY FINISHED IN CALVADOS BA</t>
  </si>
  <si>
    <t>976154</t>
  </si>
  <si>
    <t>STARLIGHT DISTILLERY CIGAR BATCH BOURBON WHISKEY FINISHED IN</t>
  </si>
  <si>
    <t>976155</t>
  </si>
  <si>
    <t>STARLIGHT DISTILLERY BOURBON WHISKEY FINISHED IN BLUEBERRY P</t>
  </si>
  <si>
    <t>976156</t>
  </si>
  <si>
    <t>976158</t>
  </si>
  <si>
    <t>STARLIGHT DISTILLERY BOURBON WHISKEY FINISHED IN RUM BARRELS</t>
  </si>
  <si>
    <t>976159</t>
  </si>
  <si>
    <t>STARLIGHT DISTILLERY BOURBON WHISKEY FINISHED IN HONEY BARRE</t>
  </si>
  <si>
    <t>976160</t>
  </si>
  <si>
    <t>STARLIGHT DISTILLERY BOURBON WHISKEY FINISHED IN MAPLE SYRUP</t>
  </si>
  <si>
    <t>976161</t>
  </si>
  <si>
    <t>STARLIGHT DISTILLERY BOURBON WHISKEY FINISHED IN TOKAJI BARR</t>
  </si>
  <si>
    <t>976176</t>
  </si>
  <si>
    <t>DRIFTLESS GLEN BOURBON DE NARANJA</t>
  </si>
  <si>
    <t>976187</t>
  </si>
  <si>
    <t>HA WOODFORD RESERVE MASTER COLLECTION MADEIRA FINISH</t>
  </si>
  <si>
    <t>976200</t>
  </si>
  <si>
    <t>OAK &amp; EDEN SPIRE SELECT 4 GRAIN AMERICAN OAK OLC -BARREL BUY</t>
  </si>
  <si>
    <t>976222</t>
  </si>
  <si>
    <t>DARK ARTS WHISKEY HOUSE OLOROSO SHERRY BOURBON</t>
  </si>
  <si>
    <t>976224</t>
  </si>
  <si>
    <t>DARK ARTS WHISKEY HOUSE TOASTED JAPANESE MIZUNARA OAK STAVES</t>
  </si>
  <si>
    <t>976229</t>
  </si>
  <si>
    <t>KLEOS MASTIHA SPIRIT LIQUEUR</t>
  </si>
  <si>
    <t>976260</t>
  </si>
  <si>
    <t>MUTINY ISLAND VODKA ROOTS INFUSED</t>
  </si>
  <si>
    <t>976274</t>
  </si>
  <si>
    <t>STEEPLE RIDGE TAWNY PORT BARREL FINISH STRAIGHT BOURBON WHIS</t>
  </si>
  <si>
    <t>976279</t>
  </si>
  <si>
    <t>RD ONE PRIVATE SELECT SBW FINISHED WITH BRAZILIAN AMBURANA W</t>
  </si>
  <si>
    <t>976280</t>
  </si>
  <si>
    <t>DARK ARTS WHISKEY HOUSE - BOURBON WITH FRENCH OAK CREME BRUL</t>
  </si>
  <si>
    <t>976361</t>
  </si>
  <si>
    <t>99 PEACH BRANDY MINI</t>
  </si>
  <si>
    <t>976365</t>
  </si>
  <si>
    <t>99 XXPRESSO MINI</t>
  </si>
  <si>
    <t>976367</t>
  </si>
  <si>
    <t>99 LONG ISLAND ICED TEA MINI</t>
  </si>
  <si>
    <t>976375</t>
  </si>
  <si>
    <t>PAUL MASSON ICE BRANDY</t>
  </si>
  <si>
    <t>976377</t>
  </si>
  <si>
    <t>NORSEMAN DISTILLERY YELLOWSTONE LIQUEUR</t>
  </si>
  <si>
    <t>NORSEMAN DISTILLERY LLC</t>
  </si>
  <si>
    <t>976386</t>
  </si>
  <si>
    <t>NORSEMAN DISTILLERY OLYMPIA LIQUEUR</t>
  </si>
  <si>
    <t>976389</t>
  </si>
  <si>
    <t>976457</t>
  </si>
  <si>
    <t>MR BOSTON BLACK RASPBERRY</t>
  </si>
  <si>
    <t>976511</t>
  </si>
  <si>
    <t>SIP SHINE WATERMELON CHILLADE</t>
  </si>
  <si>
    <t>976519</t>
  </si>
  <si>
    <t>SIP SHINE SHINE BERRY SWEET TEA</t>
  </si>
  <si>
    <t>976521</t>
  </si>
  <si>
    <t>SIP SHINE RAZZ-BERRY SHINEADE</t>
  </si>
  <si>
    <t>976534</t>
  </si>
  <si>
    <t>TARQUINS BLOOD ORANGE GIN</t>
  </si>
  <si>
    <t>976536</t>
  </si>
  <si>
    <t>POLUGAR NO.4 HONEY &amp; ALLSPICE</t>
  </si>
  <si>
    <t>976548</t>
  </si>
  <si>
    <t>VIKRE HERBAL LIQUEUR</t>
  </si>
  <si>
    <t>976559</t>
  </si>
  <si>
    <t>KNUCKLENOGGIN KETTLE CORN WHISKEY</t>
  </si>
  <si>
    <t>976586</t>
  </si>
  <si>
    <t>DARK ARTS (CORE) RYE (GREEN) SRW FINISHED WITH</t>
  </si>
  <si>
    <t>976587</t>
  </si>
  <si>
    <t>DARK ARTS(CORE) BOURBON (RED) SBW FINISHED WI</t>
  </si>
  <si>
    <t>976602</t>
  </si>
  <si>
    <t>WHISKEY IN THE WILD TWIST OF ORANGE</t>
  </si>
  <si>
    <t>GPS CONSULTING LLC/WILDERNESS SPIRITS DISTRIBUTORS</t>
  </si>
  <si>
    <t>976613</t>
  </si>
  <si>
    <t>EZRA BROOKS STAVE FINISH BAKING SPICE CLOVER BUY THE BARREL</t>
  </si>
  <si>
    <t>976614</t>
  </si>
  <si>
    <t>EZRA BROOKS STAVE FINISH COLLECTION SWEET SUGAR CINNAMON BUY</t>
  </si>
  <si>
    <t>976615</t>
  </si>
  <si>
    <t>EZRA BROOKS STAVE FINISH COLLECTION - FRENCH OAK DARK CHOCOL</t>
  </si>
  <si>
    <t>976617</t>
  </si>
  <si>
    <t>REBEL STAVE FINISH COLLECTION RICH MOCHA BUY THE BARREL</t>
  </si>
  <si>
    <t>976619</t>
  </si>
  <si>
    <t>REBEL STAVE FINISH COLLECTION - CARAMEL HONEY BTB</t>
  </si>
  <si>
    <t>SOOH HAYMANS OLD TOM GIN</t>
  </si>
  <si>
    <t>976642</t>
  </si>
  <si>
    <t>HAYMANS SLOE GIN</t>
  </si>
  <si>
    <t>976665</t>
  </si>
  <si>
    <t>PEARL STRAWBERRY BASIL</t>
  </si>
  <si>
    <t>976686</t>
  </si>
  <si>
    <t>976689</t>
  </si>
  <si>
    <t>SOOH PHANTOM V OLD FASHIONED OATMEAL COOKIE</t>
  </si>
  <si>
    <t>PHANTOM V DISTILLING CO</t>
  </si>
  <si>
    <t>976697</t>
  </si>
  <si>
    <t>WYCH DR DISTILLING BIRTHDAY CAKE</t>
  </si>
  <si>
    <t>976698</t>
  </si>
  <si>
    <t>WYCH DR DISTILLING RASPBERRY</t>
  </si>
  <si>
    <t>976702</t>
  </si>
  <si>
    <t>GOLDEN GRAIN ALCOHOL</t>
  </si>
  <si>
    <t>976717</t>
  </si>
  <si>
    <t>OAK PARK RESERVE</t>
  </si>
  <si>
    <t>976741</t>
  </si>
  <si>
    <t>PHANTOM V DISTILLING BUTTERSCOTCH</t>
  </si>
  <si>
    <t>976742</t>
  </si>
  <si>
    <t>PHANTOM V DISTILLING CHERRY</t>
  </si>
  <si>
    <t>976743</t>
  </si>
  <si>
    <t>PHANTOM V DISTILLING LEMON</t>
  </si>
  <si>
    <t>976744</t>
  </si>
  <si>
    <t>PHANTOM V DISTILLING CRAN-RAZ</t>
  </si>
  <si>
    <t>976746</t>
  </si>
  <si>
    <t>PHANTOM V DISTILLING SPIRITED APPLE ORCHARD</t>
  </si>
  <si>
    <t>976748</t>
  </si>
  <si>
    <t>PHANTOM V DISTILLING PEACH ORCHARD RECIPE #5</t>
  </si>
  <si>
    <t>TRAVERSE CITY WHISKEY CO. FINISHING SERIES PORT BARREL</t>
  </si>
  <si>
    <t>976751</t>
  </si>
  <si>
    <t>TRAVERSE CITY WHISKEY CO. FINISHING SERIES HIGH RYEPX SHERRY</t>
  </si>
  <si>
    <t>976796</t>
  </si>
  <si>
    <t>SOOH STEEPLE RIDGE PX FINISHED STRAIGHT RYE WHISKEY</t>
  </si>
  <si>
    <t>976829</t>
  </si>
  <si>
    <t>976830</t>
  </si>
  <si>
    <t>976831</t>
  </si>
  <si>
    <t>SMIRNOFF BLUE RASPBERRY LEMONADE MINI</t>
  </si>
  <si>
    <t>976841</t>
  </si>
  <si>
    <t>976850</t>
  </si>
  <si>
    <t>PINK LEMONADE INFUSED TEQUILA</t>
  </si>
  <si>
    <t>976870</t>
  </si>
  <si>
    <t>HA WOODFORD RESERVE MASTER COLLECTION SONOMA TRIPLE FINISH</t>
  </si>
  <si>
    <t>976892</t>
  </si>
  <si>
    <t>SOOH PLANTATION RUM STIGGINS PINEAPPLE</t>
  </si>
  <si>
    <t>977046</t>
  </si>
  <si>
    <t>LOGANBERRY LIQUEUR</t>
  </si>
  <si>
    <t>WHIDBEY ISLAND DISTILLERIES LLC</t>
  </si>
  <si>
    <t>977050</t>
  </si>
  <si>
    <t>977054</t>
  </si>
  <si>
    <t>977055</t>
  </si>
  <si>
    <t>SIR WINSTON PEACH CUSTOM LABEL</t>
  </si>
  <si>
    <t>977136</t>
  </si>
  <si>
    <t>DI AMORE RASPBERRY</t>
  </si>
  <si>
    <t>977197</t>
  </si>
  <si>
    <t>977199</t>
  </si>
  <si>
    <t>977211</t>
  </si>
  <si>
    <t>360 WATERMELON VODKA</t>
  </si>
  <si>
    <t>977219</t>
  </si>
  <si>
    <t>CHIPPER JONES SWEET TEA MOONSHINE</t>
  </si>
  <si>
    <t>977230</t>
  </si>
  <si>
    <t>SUGARLANDS SHINE BLUEBERRY MUFFIN MOONSHINE</t>
  </si>
  <si>
    <t>977231</t>
  </si>
  <si>
    <t>977232</t>
  </si>
  <si>
    <t>977235</t>
  </si>
  <si>
    <t>PINA COLADA MOONSHINE</t>
  </si>
  <si>
    <t>977236</t>
  </si>
  <si>
    <t>SUGARLANDS ROOT BEER MOONSHINE</t>
  </si>
  <si>
    <t>977237</t>
  </si>
  <si>
    <t>MARK AND DIGGERS HAZELNUT RUM MINI</t>
  </si>
  <si>
    <t>977241</t>
  </si>
  <si>
    <t>APPALACHIAN APPLE PIE MOONSHINE MINI</t>
  </si>
  <si>
    <t>977250</t>
  </si>
  <si>
    <t>MARK ROGERS PEACH MOONSHINE MINI</t>
  </si>
  <si>
    <t>977268</t>
  </si>
  <si>
    <t>ICE 101 RED COOL CINNAMON</t>
  </si>
  <si>
    <t>977305</t>
  </si>
  <si>
    <t>SOOH SUGARLANDS MARK &amp; DIGGERS RYE APPLE MOONSHINE</t>
  </si>
  <si>
    <t>977309</t>
  </si>
  <si>
    <t>SUGARLANDS SHINE PEANUT BUTTER &amp; JELLY MOONSHINE</t>
  </si>
  <si>
    <t>977315</t>
  </si>
  <si>
    <t>RONDIAZ SPICED RUM PET</t>
  </si>
  <si>
    <t>977332</t>
  </si>
  <si>
    <t>SUGARLANDS SHINE BUTTERSCOTCH GOLD</t>
  </si>
  <si>
    <t>977336</t>
  </si>
  <si>
    <t>SUGARLANDS SILVER CLOUD TENNESSEE SOUR MASH</t>
  </si>
  <si>
    <t>977358</t>
  </si>
  <si>
    <t>SUGARLANDS SHINE TICKELS DYNAMITE CINNAMON</t>
  </si>
  <si>
    <t>977433</t>
  </si>
  <si>
    <t>SOOH ST GEORGE NOLA COFFEE LIQUEUR</t>
  </si>
  <si>
    <t>SOOH ST GEORGE SPICED PEAR LIQUEUR</t>
  </si>
  <si>
    <t>977532</t>
  </si>
  <si>
    <t>977577</t>
  </si>
  <si>
    <t>TWENTY GRAND</t>
  </si>
  <si>
    <t>977598</t>
  </si>
  <si>
    <t>TEMPUS FUGIT LIQUEUR DE VIOLETTES</t>
  </si>
  <si>
    <t>977611</t>
  </si>
  <si>
    <t>TWENTY GRAND BLACK</t>
  </si>
  <si>
    <t>977746</t>
  </si>
  <si>
    <t>TRAVIS HASSE APPLE PIE</t>
  </si>
  <si>
    <t>977778</t>
  </si>
  <si>
    <t>TRAVIS HASSE CHERRY</t>
  </si>
  <si>
    <t>977845</t>
  </si>
  <si>
    <t>SMIRNOFF VANILLA MINI</t>
  </si>
  <si>
    <t>977897</t>
  </si>
  <si>
    <t>TWENTY GRAND PEACH</t>
  </si>
  <si>
    <t>977976</t>
  </si>
  <si>
    <t>TATTERSALL AQUAVIT</t>
  </si>
  <si>
    <t>977989</t>
  </si>
  <si>
    <t>TATTERSALL SOUR CHERRY LIQUEUR</t>
  </si>
  <si>
    <t>978036</t>
  </si>
  <si>
    <t>ARROW CREME DE CACAO BROWN</t>
  </si>
  <si>
    <t>978081</t>
  </si>
  <si>
    <t>ST GEORGE CALIFORNIA SHOCHU</t>
  </si>
  <si>
    <t>978102</t>
  </si>
  <si>
    <t>SIESTA KEY TOASTED COCONUT RUM</t>
  </si>
  <si>
    <t>978104</t>
  </si>
  <si>
    <t>SIESTA KEY SPICED RUM</t>
  </si>
  <si>
    <t>978112</t>
  </si>
  <si>
    <t>SMIRNOFF ZERO SUGAR INFUSION LEMON &amp; ELDERFLOWER</t>
  </si>
  <si>
    <t>978181</t>
  </si>
  <si>
    <t>PGA CHAMPIONSHIP LEMONADE MOONSHINE</t>
  </si>
  <si>
    <t>978190</t>
  </si>
  <si>
    <t>TRAVERSE CITY WHISKEY CO LAKESIDE PEACH</t>
  </si>
  <si>
    <t>978191</t>
  </si>
  <si>
    <t>ANGELS ENVY BUY THE BARREL</t>
  </si>
  <si>
    <t>978195</t>
  </si>
  <si>
    <t>GOLD BAR BLACK BOURBON DOUBLE CASKED</t>
  </si>
  <si>
    <t>978198</t>
  </si>
  <si>
    <t>SOREL HIBISCUS LIQUEUR</t>
  </si>
  <si>
    <t>978217</t>
  </si>
  <si>
    <t>978232</t>
  </si>
  <si>
    <t>VER LIQUEUR</t>
  </si>
  <si>
    <t>ELIXIR, INC.</t>
  </si>
  <si>
    <t>978240</t>
  </si>
  <si>
    <t>ATOMIC DROP AU79</t>
  </si>
  <si>
    <t>RIVER VALLEY ORCHARDS &amp; WINERY</t>
  </si>
  <si>
    <t>978241</t>
  </si>
  <si>
    <t>ATOMIC DROP CU29</t>
  </si>
  <si>
    <t>978242</t>
  </si>
  <si>
    <t>ATOMIC DROP CO27</t>
  </si>
  <si>
    <t>978243</t>
  </si>
  <si>
    <t>ATOMIC DROP HG80</t>
  </si>
  <si>
    <t>978244</t>
  </si>
  <si>
    <t>ATOMIC DROP AG47</t>
  </si>
  <si>
    <t>978316</t>
  </si>
  <si>
    <t>SUGARLANDS ORANGE SQUEEZE MOONSHINE</t>
  </si>
  <si>
    <t>978318</t>
  </si>
  <si>
    <t>SUGARLANDS SOUR WATERMELON MOONSHINE</t>
  </si>
  <si>
    <t>978334</t>
  </si>
  <si>
    <t>SOOH CAPEL PISCO RESERVADO</t>
  </si>
  <si>
    <t>978375</t>
  </si>
  <si>
    <t>FACCIA BRUTTO FERNET PIANTA</t>
  </si>
  <si>
    <t>978376</t>
  </si>
  <si>
    <t>FACCIA BRUTTO APERITIVO</t>
  </si>
  <si>
    <t>978388</t>
  </si>
  <si>
    <t>BANDOENG 22 PANDAN</t>
  </si>
  <si>
    <t>978397</t>
  </si>
  <si>
    <t>IOWA LEGENDARY RYE RED LABEL MINI</t>
  </si>
  <si>
    <t>978402</t>
  </si>
  <si>
    <t>BLUE DREAM</t>
  </si>
  <si>
    <t>978403</t>
  </si>
  <si>
    <t>979966</t>
  </si>
  <si>
    <t>SOOH ARROW CREME DE ALMOND</t>
  </si>
  <si>
    <t>979986</t>
  </si>
  <si>
    <t>ARROW CREME DE CASSIS</t>
  </si>
  <si>
    <t>980032</t>
  </si>
  <si>
    <t>BRINLEY SHIPWRECK COCONUT RUM CREAM</t>
  </si>
  <si>
    <t>980034</t>
  </si>
  <si>
    <t>BROWN JUG BOURBON CREAM</t>
  </si>
  <si>
    <t>980086</t>
  </si>
  <si>
    <t>BLUE CHAIR BAY KEY LIME CREAM</t>
  </si>
  <si>
    <t>980267</t>
  </si>
  <si>
    <t>JACKSON MORGAN SOUTHERN CREAM BANANA PUDDING MINI</t>
  </si>
  <si>
    <t>SPIRITS OF TENNESSEE LLC</t>
  </si>
  <si>
    <t>980268</t>
  </si>
  <si>
    <t>JACKSON MORGAN SOUTHERN CREAM BANANA PUDDING</t>
  </si>
  <si>
    <t>980271</t>
  </si>
  <si>
    <t>JACKSON MORGAN SOUTHERN CREAM WHIPPED ORANGE MINI</t>
  </si>
  <si>
    <t>980272</t>
  </si>
  <si>
    <t>JACKSON MORGAN SOUTHERN CREAM WHIPPED ORANGE</t>
  </si>
  <si>
    <t>980276</t>
  </si>
  <si>
    <t>JACKSON MORGAN SOUTHERN CREAM PEPPERMINT MOCHA</t>
  </si>
  <si>
    <t>980278</t>
  </si>
  <si>
    <t>JACKSON MORGAN SOUTHERN CREAM BROWN SUGAR &amp; CINNAMON</t>
  </si>
  <si>
    <t>980279</t>
  </si>
  <si>
    <t>JACKSON MORGAN SOUTHERN CREAM SALTED CARAMEL MINI</t>
  </si>
  <si>
    <t>980280</t>
  </si>
  <si>
    <t>JACKSON MORGAN SOUTHERN CREAM SALTED CARAMEL</t>
  </si>
  <si>
    <t>980367</t>
  </si>
  <si>
    <t>SOOH OLE SMOKY MOUNTAIN JAVA CREAM MOONSHINE</t>
  </si>
  <si>
    <t>980445</t>
  </si>
  <si>
    <t>SOMRUS COFFEE CREAM LIQUOR</t>
  </si>
  <si>
    <t>980455</t>
  </si>
  <si>
    <t>SOMRUS MANGO CREAM</t>
  </si>
  <si>
    <t>SOMRUS CHAI CREAM</t>
  </si>
  <si>
    <t>980492</t>
  </si>
  <si>
    <t>TATTERSALL CREME DE FLEUR</t>
  </si>
  <si>
    <t>980520</t>
  </si>
  <si>
    <t>SUGARLANDS APPALACHIAN DARK CHOCOLATE COFFEE SIPPIN CREAM</t>
  </si>
  <si>
    <t>980522</t>
  </si>
  <si>
    <t>SUGARLANDS APPALACHIAN ELECTRIC ORANGE SIPPIN CREAM</t>
  </si>
  <si>
    <t>980523</t>
  </si>
  <si>
    <t>APPALACHIAN ELECTRIC ORANGE SIPPIN'' CREAM MINI</t>
  </si>
  <si>
    <t>980524</t>
  </si>
  <si>
    <t>SUGARLANDS APPALACHIAN STRAWBERRY DREAM SIPPIN CREAM</t>
  </si>
  <si>
    <t>980525</t>
  </si>
  <si>
    <t>APPALACHIAN STRAWBERRY DREAM SIPPIN CREAM MINI</t>
  </si>
  <si>
    <t>980546</t>
  </si>
  <si>
    <t>APPALACHIAN PEANUT BUTTER SIPPIN CREAM</t>
  </si>
  <si>
    <t>980547</t>
  </si>
  <si>
    <t>APPALACHIAN PEANUT BUTTER SIPPIN CREAM MINI</t>
  </si>
  <si>
    <t>980548</t>
  </si>
  <si>
    <t>EGGO BRUNCH IN A JAR SIPPIN CREAM</t>
  </si>
  <si>
    <t>980552</t>
  </si>
  <si>
    <t>BIRTHDAY CAKE SIPPIN CREAM</t>
  </si>
  <si>
    <t>980555</t>
  </si>
  <si>
    <t>SUGARLANDS MINT CHOCOLATE CHIP SIPPIN CREAM</t>
  </si>
  <si>
    <t>980579</t>
  </si>
  <si>
    <t>DARK CHOCOLATE COFFEE SIPPIN CREAM MINI</t>
  </si>
  <si>
    <t>981227</t>
  </si>
  <si>
    <t>PHILLIPS PEPPERMINT SCHNAPPS</t>
  </si>
  <si>
    <t>981228</t>
  </si>
  <si>
    <t>981406</t>
  </si>
  <si>
    <t>982656</t>
  </si>
  <si>
    <t>DEKUYPER PEACH PUCKER</t>
  </si>
  <si>
    <t>982781</t>
  </si>
  <si>
    <t>DEKUYPER BUTTERSHOTS MINI</t>
  </si>
  <si>
    <t>SOOH ICE HOLE CHERRY SCHNAPPS</t>
  </si>
  <si>
    <t>983927</t>
  </si>
  <si>
    <t>MAUI TROPICAL SCHNAPPS</t>
  </si>
  <si>
    <t>984128</t>
  </si>
  <si>
    <t>984132</t>
  </si>
  <si>
    <t>99 WATERMELON</t>
  </si>
  <si>
    <t>984135</t>
  </si>
  <si>
    <t>984140</t>
  </si>
  <si>
    <t>984151</t>
  </si>
  <si>
    <t>99 ORANGES</t>
  </si>
  <si>
    <t>984153</t>
  </si>
  <si>
    <t>SOOH 99 BLACKBERRIES MINI</t>
  </si>
  <si>
    <t>984162</t>
  </si>
  <si>
    <t>984168</t>
  </si>
  <si>
    <t>99 COCONUT MINI</t>
  </si>
  <si>
    <t>984173</t>
  </si>
  <si>
    <t>SOOH 99 BUTTERSCOTCH MINI</t>
  </si>
  <si>
    <t>984194</t>
  </si>
  <si>
    <t>984195</t>
  </si>
  <si>
    <t>984200</t>
  </si>
  <si>
    <t>984210</t>
  </si>
  <si>
    <t>984214</t>
  </si>
  <si>
    <t>984216</t>
  </si>
  <si>
    <t>99 WHIPPED</t>
  </si>
  <si>
    <t>984225</t>
  </si>
  <si>
    <t>99 BRAND GUAVA MINI</t>
  </si>
  <si>
    <t>984239</t>
  </si>
  <si>
    <t>99 CHOCOLATE MINI</t>
  </si>
  <si>
    <t>984240</t>
  </si>
  <si>
    <t>99 PASSION FRUIT MINI</t>
  </si>
  <si>
    <t>984243</t>
  </si>
  <si>
    <t>99 PINK LEMONADE</t>
  </si>
  <si>
    <t>984244</t>
  </si>
  <si>
    <t>99 RED MINI</t>
  </si>
  <si>
    <t>984279</t>
  </si>
  <si>
    <t>BISON RIDGE 3 YEAR</t>
  </si>
  <si>
    <t>984370</t>
  </si>
  <si>
    <t>MR BOSTON SOUR CHERRY SCHNAPPS</t>
  </si>
  <si>
    <t>984373</t>
  </si>
  <si>
    <t>984390</t>
  </si>
  <si>
    <t>984394</t>
  </si>
  <si>
    <t>99 WATERMELON SCHNAPPS</t>
  </si>
  <si>
    <t>984396</t>
  </si>
  <si>
    <t>984398</t>
  </si>
  <si>
    <t>99 WHIPPED MINI</t>
  </si>
  <si>
    <t>984399</t>
  </si>
  <si>
    <t>984403</t>
  </si>
  <si>
    <t>984848</t>
  </si>
  <si>
    <t>VALOR TEQUILA BLANCO</t>
  </si>
  <si>
    <t>VALOR BEBIDAS, INC.</t>
  </si>
  <si>
    <t>984849</t>
  </si>
  <si>
    <t>VALOR TEQUILA REPOSADO</t>
  </si>
  <si>
    <t>984953</t>
  </si>
  <si>
    <t>MEMBERS MARK TEQUILA REPOSADO</t>
  </si>
  <si>
    <t>984956</t>
  </si>
  <si>
    <t>MANDALA BLANCO CERAMIC</t>
  </si>
  <si>
    <t>984964</t>
  </si>
  <si>
    <t>DONA VEGA ESPADIN</t>
  </si>
  <si>
    <t>985006</t>
  </si>
  <si>
    <t>MANDALA ANEJO DIA DE MUERTOS 2022 LIMITED EDITION</t>
  </si>
  <si>
    <t>985007</t>
  </si>
  <si>
    <t>MANDALA ANEJO CERAMIC</t>
  </si>
  <si>
    <t>985015</t>
  </si>
  <si>
    <t>MIJENTA CRISTALINO</t>
  </si>
  <si>
    <t>985029</t>
  </si>
  <si>
    <t>BOZAL CEMPASUCHIL MEZCAL</t>
  </si>
  <si>
    <t>985037</t>
  </si>
  <si>
    <t>CAVA DE ORO ROSE GOLD TEQUILA</t>
  </si>
  <si>
    <t>985048</t>
  </si>
  <si>
    <t>EL MAYOR CRISTALINO MASTERS COLLECTION BUY THE BARREL</t>
  </si>
  <si>
    <t>985066</t>
  </si>
  <si>
    <t>ARROW ANISETTE</t>
  </si>
  <si>
    <t>985098</t>
  </si>
  <si>
    <t>KIRKLAND SIGNATURE CRISTALINO</t>
  </si>
  <si>
    <t>985168</t>
  </si>
  <si>
    <t>HA DULCE VIDA OCHO ANOS EXTRA ANEJO TEQUILA</t>
  </si>
  <si>
    <t>985222</t>
  </si>
  <si>
    <t>ADICTIVO ANEJO BLUE LABEL CERAMIC</t>
  </si>
  <si>
    <t>985240</t>
  </si>
  <si>
    <t>MEZCAL VAGO ESPADIN BY JOEL BARRIGA</t>
  </si>
  <si>
    <t>985256</t>
  </si>
  <si>
    <t>LEROUX ANISETTE</t>
  </si>
  <si>
    <t>985290</t>
  </si>
  <si>
    <t>ALIPUS SAN MIGUEL FELIX MEZCAL</t>
  </si>
  <si>
    <t>ALAMBIC INC.</t>
  </si>
  <si>
    <t>985347</t>
  </si>
  <si>
    <t>HA EL MAYOR EXTRA ANEJO 25TH ANNIVERSARY BOURBON BARREL AGED</t>
  </si>
  <si>
    <t>985348</t>
  </si>
  <si>
    <t>CHULA PARRANDA REPOSADO</t>
  </si>
  <si>
    <t>985349</t>
  </si>
  <si>
    <t>CHULA PARRANDA BLANCO</t>
  </si>
  <si>
    <t>985350</t>
  </si>
  <si>
    <t>CHULA PARRANDA ANEJO</t>
  </si>
  <si>
    <t>985363</t>
  </si>
  <si>
    <t>MANDALA REPOSADO CERAMIC</t>
  </si>
  <si>
    <t>985368</t>
  </si>
  <si>
    <t>GRACIAS A DIOS MEZCAL MEXICANO</t>
  </si>
  <si>
    <t>985369</t>
  </si>
  <si>
    <t>GRACIAS A DIOS MEZCAL TOBALA CULTIVADO</t>
  </si>
  <si>
    <t>985370</t>
  </si>
  <si>
    <t>GRACIAS A DIOS MEZCAL CUPREATA</t>
  </si>
  <si>
    <t>985371</t>
  </si>
  <si>
    <t>GRACIAS A DIOS MEZCAL ARROQUENO</t>
  </si>
  <si>
    <t>985419</t>
  </si>
  <si>
    <t>CODIGO 1530 TEQUILA ANEJO BUY THE BARREL</t>
  </si>
  <si>
    <t>985422</t>
  </si>
  <si>
    <t>LOS SIETE MISTERIOS ENSAMBLE ESPADIN-TEPEZTATE</t>
  </si>
  <si>
    <t>985423</t>
  </si>
  <si>
    <t>LOS SIETE MISTERIOS ENSAMBLE ESPADIN-MEXICANITO</t>
  </si>
  <si>
    <t>985438</t>
  </si>
  <si>
    <t>CAZCANES BLANCO TEQUILA NO. 7</t>
  </si>
  <si>
    <t>985439</t>
  </si>
  <si>
    <t>CAZCANES BLANCO TEQUILA NO.10 STILL STRENGTH</t>
  </si>
  <si>
    <t>985449</t>
  </si>
  <si>
    <t>ADICTIVO EXTRA ANEJO 14YR EXTRA RARE</t>
  </si>
  <si>
    <t>985450</t>
  </si>
  <si>
    <t>ADICTIVO EXTRA ANEJO 14YR DOUBLE BLACK</t>
  </si>
  <si>
    <t>985487</t>
  </si>
  <si>
    <t>ARETTE SUAVE FUERTE BLANCO TEQUILA</t>
  </si>
  <si>
    <t>985494</t>
  </si>
  <si>
    <t>LANA REPOSADO</t>
  </si>
  <si>
    <t>985499</t>
  </si>
  <si>
    <t>HA THE BUTTERFLY CANNON REPOSADO TEQUILA</t>
  </si>
  <si>
    <t>985514</t>
  </si>
  <si>
    <t>CAZCANES ANEJO TEQUILA NO 7</t>
  </si>
  <si>
    <t>985517</t>
  </si>
  <si>
    <t>BOLS BLUE CURACAO</t>
  </si>
  <si>
    <t>985532</t>
  </si>
  <si>
    <t>KIRKLAND SIGNATURE BLANCO TEQUILA</t>
  </si>
  <si>
    <t>985534</t>
  </si>
  <si>
    <t>KIRKLAND SIGNATURE REPOSADO TEQUILA</t>
  </si>
  <si>
    <t>985535</t>
  </si>
  <si>
    <t>MACALLAN RARE CASK</t>
  </si>
  <si>
    <t>985550</t>
  </si>
  <si>
    <t>SOOH HIRAM WALKER ORANGE CURACAO</t>
  </si>
  <si>
    <t>985552</t>
  </si>
  <si>
    <t>KOVAL BOURBON</t>
  </si>
  <si>
    <t>985553</t>
  </si>
  <si>
    <t>KOVAL FOUR GRAIN</t>
  </si>
  <si>
    <t>985554</t>
  </si>
  <si>
    <t>KOVAL MILLET</t>
  </si>
  <si>
    <t>985555</t>
  </si>
  <si>
    <t>KOVAL OAT</t>
  </si>
  <si>
    <t>985556</t>
  </si>
  <si>
    <t>KOVAL RYE</t>
  </si>
  <si>
    <t>985557</t>
  </si>
  <si>
    <t>KOVAL WHITE RYE</t>
  </si>
  <si>
    <t>985558</t>
  </si>
  <si>
    <t>KOVAL DRY GIN</t>
  </si>
  <si>
    <t>985559</t>
  </si>
  <si>
    <t>KOVAL BARRELED GIN</t>
  </si>
  <si>
    <t>985596</t>
  </si>
  <si>
    <t>985623</t>
  </si>
  <si>
    <t>DRIFTLESS GLEN PORT FINISHED BOURBON BUY THE BARREL</t>
  </si>
  <si>
    <t>985631</t>
  </si>
  <si>
    <t>CHICKEN COCK CHANTICLEER COGNAC FINISH BOURBON</t>
  </si>
  <si>
    <t>985642</t>
  </si>
  <si>
    <t>STEEPLE RIDGE PX FINISHED STRAIGHT BOURBON WHISKEY</t>
  </si>
  <si>
    <t>985675</t>
  </si>
  <si>
    <t>PUNCHERS CHANCE LEFT CROSS</t>
  </si>
  <si>
    <t>985682</t>
  </si>
  <si>
    <t>OAK &amp; EDEN SPIRE SELECT WHEAT AMERICAN OAK PORT</t>
  </si>
  <si>
    <t>985684</t>
  </si>
  <si>
    <t>OAK &amp; EDEN SPIRE SELECT WHEAT AMBURANA BUY THE BARREL</t>
  </si>
  <si>
    <t>985687</t>
  </si>
  <si>
    <t>OAK &amp; EDEN SPIRE SELECT BOURBON AMBURANA BUY THE BARREL</t>
  </si>
  <si>
    <t>985693</t>
  </si>
  <si>
    <t>OAK &amp; EDEN SPIRE SELECT RYE FRENCH OAK BUY THE BARREL</t>
  </si>
  <si>
    <t>985694</t>
  </si>
  <si>
    <t>985698</t>
  </si>
  <si>
    <t>VIKRE HONOR BRAND HAY &amp; SUNSHINE</t>
  </si>
  <si>
    <t>985724</t>
  </si>
  <si>
    <t>LAGRIMAS DE DOLORES CENIZO  ARTESANAL</t>
  </si>
  <si>
    <t>985725</t>
  </si>
  <si>
    <t>LAGRIMAS DE DOLORES ANEJO MEZCAL</t>
  </si>
  <si>
    <t>985726</t>
  </si>
  <si>
    <t>LAGRIMAS DE DOLORES TEMOAYA CENIZO COLONIAL</t>
  </si>
  <si>
    <t>985729</t>
  </si>
  <si>
    <t>LAGRIMAS DE DOLORES HACIENDA DOLORES CENIZO COLONIAL</t>
  </si>
  <si>
    <t>985745</t>
  </si>
  <si>
    <t>ASOMBROSO EROS REPOSADO TEQUILA</t>
  </si>
  <si>
    <t>985748</t>
  </si>
  <si>
    <t>HA CODIGO 1530 PLAYBOY 2ND EDITION ANEJO</t>
  </si>
  <si>
    <t>985756</t>
  </si>
  <si>
    <t>LEROUX ROCK AND RYE</t>
  </si>
  <si>
    <t>985764</t>
  </si>
  <si>
    <t>985783</t>
  </si>
  <si>
    <t>ALQUIMIA EXTRA ANEJO VI TEQUILA</t>
  </si>
  <si>
    <t>TIERRA MADRE LLC / ADOLFO MURILLO</t>
  </si>
  <si>
    <t>985784</t>
  </si>
  <si>
    <t>ALQUIMIA EXTRA ANEJO XIV CASK STRENGTH TEQUILA</t>
  </si>
  <si>
    <t>985795</t>
  </si>
  <si>
    <t>ADICTIVO ANEJO BLACK TEQUILA</t>
  </si>
  <si>
    <t>985824</t>
  </si>
  <si>
    <t>DUKE REPOSADO</t>
  </si>
  <si>
    <t>985825</t>
  </si>
  <si>
    <t>DUKE EXTRA ANEJO</t>
  </si>
  <si>
    <t>985829</t>
  </si>
  <si>
    <t>985832</t>
  </si>
  <si>
    <t>985833</t>
  </si>
  <si>
    <t>TEQUILA PADRE AZUL EXTRA ANEJO</t>
  </si>
  <si>
    <t>985836</t>
  </si>
  <si>
    <t>985839</t>
  </si>
  <si>
    <t>MANDALA EXTRA ANEJO</t>
  </si>
  <si>
    <t>985840</t>
  </si>
  <si>
    <t>HA CODIGO 1530 TEQUILA BLANCO STILL STRENGTH</t>
  </si>
  <si>
    <t>985843</t>
  </si>
  <si>
    <t>SIETE LEGUAS DECADAS</t>
  </si>
  <si>
    <t>985853</t>
  </si>
  <si>
    <t>CHINACO ANEJO TEQUILA</t>
  </si>
  <si>
    <t>985859</t>
  </si>
  <si>
    <t>SOTOL REPOSADO HACIENDA DE CHIHUAHUA</t>
  </si>
  <si>
    <t>985874</t>
  </si>
  <si>
    <t>COMPOVEDA TEQUILA EXTRA ANEJO</t>
  </si>
  <si>
    <t>BOVEDA RESERVE DISTRIBUTION LLC</t>
  </si>
  <si>
    <t>985906</t>
  </si>
  <si>
    <t>ROCK N ROLL TEQUILA PLATINUM</t>
  </si>
  <si>
    <t>985907</t>
  </si>
  <si>
    <t>ROCK N ROLL TEQUILA GUITAR CRISTALINO ANEJO</t>
  </si>
  <si>
    <t>985908</t>
  </si>
  <si>
    <t>ROCK N ROLL TEQUILA GUITAR CRISTALINO REPOSADO</t>
  </si>
  <si>
    <t>985928</t>
  </si>
  <si>
    <t>400 CONEJOS CUISHE</t>
  </si>
  <si>
    <t>985959</t>
  </si>
  <si>
    <t>CHULA PARRANDA EXTRA ANEJO</t>
  </si>
  <si>
    <t>985986</t>
  </si>
  <si>
    <t>BOLS TRIPLE SEC 30PRF</t>
  </si>
  <si>
    <t>985987</t>
  </si>
  <si>
    <t>985992</t>
  </si>
  <si>
    <t>TRAILS END 8Y APPLE BRANDY SINGLE BARREL BUY THE BARREL</t>
  </si>
  <si>
    <t>985995</t>
  </si>
  <si>
    <t>PENELOPE ARCHITECT BOURBON FRENCH OAK STAVES</t>
  </si>
  <si>
    <t>985996</t>
  </si>
  <si>
    <t>DEVILS RIVER AGAVE BOURBON</t>
  </si>
  <si>
    <t>986035</t>
  </si>
  <si>
    <t>ALIPUS SANTA ANA DEL RIO MEZCAL</t>
  </si>
  <si>
    <t>986043</t>
  </si>
  <si>
    <t>ALIPUS SAN JUAN MEZCAL</t>
  </si>
  <si>
    <t>986050</t>
  </si>
  <si>
    <t>ALIPUS SAN ANDREAS ENSAMBLE MEZCAL</t>
  </si>
  <si>
    <t>986054</t>
  </si>
  <si>
    <t>FUENTESECA COSECHA BLANCO TEQUILA</t>
  </si>
  <si>
    <t>986061</t>
  </si>
  <si>
    <t>ARETTE SUAVE BLANCO TEQUILA</t>
  </si>
  <si>
    <t>986092</t>
  </si>
  <si>
    <t>CONCIERE TRIPLE SEC</t>
  </si>
  <si>
    <t>986099</t>
  </si>
  <si>
    <t>REDNECK RIVIERA HONEY APPLE SELECT WHISKEY</t>
  </si>
  <si>
    <t>986140</t>
  </si>
  <si>
    <t>TEQUILA TAPATIO ANEJO</t>
  </si>
  <si>
    <t>986141</t>
  </si>
  <si>
    <t>986142</t>
  </si>
  <si>
    <t>TEQUILA TAPATIO BLANCO 110PRF</t>
  </si>
  <si>
    <t>986143</t>
  </si>
  <si>
    <t>TEQUILA TAPATIO REPOSADO</t>
  </si>
  <si>
    <t>HA CODIGO 1530 GEORGE STRAIT ROSA REPOSADO</t>
  </si>
  <si>
    <t>986149</t>
  </si>
  <si>
    <t>ARETTE GRAN CLASE EXTRA ANEJO</t>
  </si>
  <si>
    <t>986161</t>
  </si>
  <si>
    <t>ARTENOM 1414 REPOSADO TEQUILA</t>
  </si>
  <si>
    <t>986172</t>
  </si>
  <si>
    <t>SIETE LEGUAS D ANTANO ANEJO</t>
  </si>
  <si>
    <t>986175</t>
  </si>
  <si>
    <t>986210</t>
  </si>
  <si>
    <t>986221</t>
  </si>
  <si>
    <t>ARTENOM 1146 ANEJO TEQUILA</t>
  </si>
  <si>
    <t>986228</t>
  </si>
  <si>
    <t>ARETTE ARTESANAL SUAVE REPOSADO</t>
  </si>
  <si>
    <t>986254</t>
  </si>
  <si>
    <t>ARETTE ARTESANAL SUAVE ANEJO TEQUILA</t>
  </si>
  <si>
    <t>986255</t>
  </si>
  <si>
    <t>HA WIDOW JANE DECADENCE</t>
  </si>
  <si>
    <t>986259</t>
  </si>
  <si>
    <t>HA WOODFORD RESERVE BACCARAT EDITION G3</t>
  </si>
  <si>
    <t>986334</t>
  </si>
  <si>
    <t>SOOH OLE SMOKY AMARETTO WHISKEY</t>
  </si>
  <si>
    <t>986345</t>
  </si>
  <si>
    <t>YUKON JACK BARREL PROOF</t>
  </si>
  <si>
    <t>986421</t>
  </si>
  <si>
    <t>REVELTON WHISKEY &amp; CREAM LIQUEUR MINI</t>
  </si>
  <si>
    <t>986434</t>
  </si>
  <si>
    <t>TRAVERSE CITY WHISKEY CO. MICHIGAN APPLE BOURBON</t>
  </si>
  <si>
    <t>986450</t>
  </si>
  <si>
    <t>986453</t>
  </si>
  <si>
    <t>BARRELL ARMIDA BOURBON</t>
  </si>
  <si>
    <t>986471</t>
  </si>
  <si>
    <t>AMADOR WHISKEY CO. DBL BRL WHEAT BOURBON &amp; CHARD</t>
  </si>
  <si>
    <t>986505</t>
  </si>
  <si>
    <t>CREEK WATER CINNAMON WHISKEY</t>
  </si>
  <si>
    <t>986532</t>
  </si>
  <si>
    <t>SOOH CREEK WATER WHISKEY</t>
  </si>
  <si>
    <t>986536</t>
  </si>
  <si>
    <t>DAVIESS COUNTY KSBW CAB FINISH</t>
  </si>
  <si>
    <t>986560</t>
  </si>
  <si>
    <t>CENTURY FARMS PRAIRIE STATES CORN WHISKEY AGED ON OAK CHIPS</t>
  </si>
  <si>
    <t>986567</t>
  </si>
  <si>
    <t>CENTURY FARMS AMERICAN CLASSIC -  PERSONALIZED</t>
  </si>
  <si>
    <t>986576</t>
  </si>
  <si>
    <t>SOOH BARRELL BOURBON DOVETAIL WHISKEY</t>
  </si>
  <si>
    <t>986593</t>
  </si>
  <si>
    <t>GOLD BAR WHISKEY</t>
  </si>
  <si>
    <t>986610</t>
  </si>
  <si>
    <t>986612</t>
  </si>
  <si>
    <t>986623</t>
  </si>
  <si>
    <t>HA ISSAC BOWMAN PORT FINISHED BOURBON</t>
  </si>
  <si>
    <t>986681</t>
  </si>
  <si>
    <t>FIREFLY PEACH MOONSHINE</t>
  </si>
  <si>
    <t>986725</t>
  </si>
  <si>
    <t>HA MICHTERS 10YR OLD SINGLE BARREL</t>
  </si>
  <si>
    <t>SOOH OLE SMOKY BLACKBERRY MOONSHINE</t>
  </si>
  <si>
    <t>SOOH OLE SMOKY HUNCH PUNCH MOONSHINE</t>
  </si>
  <si>
    <t>986782</t>
  </si>
  <si>
    <t>SOOH OLE SMOKY STRAWBERRY MOONSHINE</t>
  </si>
  <si>
    <t>SOOH OLE SMOKY BLACKBERRY MOONSHINE MINI</t>
  </si>
  <si>
    <t>986851</t>
  </si>
  <si>
    <t>SOOH OLE SMOKY BLUE FLAME MOONSHINE</t>
  </si>
  <si>
    <t>986912</t>
  </si>
  <si>
    <t>SOOH NOBLE OAK DOUBLE OAK BOURBON</t>
  </si>
  <si>
    <t>986971</t>
  </si>
  <si>
    <t>986979</t>
  </si>
  <si>
    <t>NOBLE OAK RYE</t>
  </si>
  <si>
    <t>986990</t>
  </si>
  <si>
    <t>987003</t>
  </si>
  <si>
    <t>SOOH OLE SMOKY CINNAMON WHISKEY</t>
  </si>
  <si>
    <t>987029</t>
  </si>
  <si>
    <t>987031</t>
  </si>
  <si>
    <t>ADICTIVO EXTRA ANEJO CRISTALINO</t>
  </si>
  <si>
    <t>987032</t>
  </si>
  <si>
    <t>KAMIKI INTENSE WHISKY</t>
  </si>
  <si>
    <t>987033</t>
  </si>
  <si>
    <t>SOOH ADICTIVO ANEJO</t>
  </si>
  <si>
    <t>987039</t>
  </si>
  <si>
    <t>OLE SMOKY BOURBON BALL</t>
  </si>
  <si>
    <t>987059</t>
  </si>
  <si>
    <t>TOMMYROTTER TENNESSEE WHISKEY CIDER CASK FINISH</t>
  </si>
  <si>
    <t>SOOH CHERRY HEERING</t>
  </si>
  <si>
    <t>987109</t>
  </si>
  <si>
    <t>ARTENOM 1123 BLANCO HISTORICO TEQUILA</t>
  </si>
  <si>
    <t>987121</t>
  </si>
  <si>
    <t>987133</t>
  </si>
  <si>
    <t>ARTENOM SELECCION DE 1579 BLANCO</t>
  </si>
  <si>
    <t>987136</t>
  </si>
  <si>
    <t>987155</t>
  </si>
  <si>
    <t>987156</t>
  </si>
  <si>
    <t>NORTH SHORE TWISTED CITRUS VODKA</t>
  </si>
  <si>
    <t>SOOH MILLET ARMAGNAC VS</t>
  </si>
  <si>
    <t>987160</t>
  </si>
  <si>
    <t>SOOH MILLET ARMAGNAC VSOP</t>
  </si>
  <si>
    <t>987161</t>
  </si>
  <si>
    <t>SOOH MILLET ARMAGNAC XO</t>
  </si>
  <si>
    <t>987162</t>
  </si>
  <si>
    <t>CHARLES BAUR FINE D'ALSACE</t>
  </si>
  <si>
    <t>987163</t>
  </si>
  <si>
    <t>SOOH CHARLES BAUR POIRE WILLIAM</t>
  </si>
  <si>
    <t>987176</t>
  </si>
  <si>
    <t>AZUNIA BLANCO</t>
  </si>
  <si>
    <t>987182</t>
  </si>
  <si>
    <t>BOZAL IBERICO MEZCAL</t>
  </si>
  <si>
    <t>987184</t>
  </si>
  <si>
    <t>BOZAL BARRIL MEZCAL RESERVA</t>
  </si>
  <si>
    <t>987185</t>
  </si>
  <si>
    <t>BOZAL CENIZO MEZCAL</t>
  </si>
  <si>
    <t>987189</t>
  </si>
  <si>
    <t>BOZAL SACATORO SINGLE MAGUEY</t>
  </si>
  <si>
    <t>987191</t>
  </si>
  <si>
    <t>BOZAL TEPEZATE SINGLE MAUGAY</t>
  </si>
  <si>
    <t>987192</t>
  </si>
  <si>
    <t>BOZAL TOBALA RESERVA MEZCAL</t>
  </si>
  <si>
    <t>987195</t>
  </si>
  <si>
    <t>BOZAL MADRECUISHE</t>
  </si>
  <si>
    <t>987210</t>
  </si>
  <si>
    <t>BANHEZ MEZCAL JOVEN</t>
  </si>
  <si>
    <t>987211</t>
  </si>
  <si>
    <t>BOZAL BORREGO MEZCAL</t>
  </si>
  <si>
    <t>987217</t>
  </si>
  <si>
    <t>BOZAL CUISHE MEZCAL</t>
  </si>
  <si>
    <t>987218</t>
  </si>
  <si>
    <t>BOZAL PECHUGA MEZCAL</t>
  </si>
  <si>
    <t>987219</t>
  </si>
  <si>
    <t>BOZAL ENSAMBLE MEZCAL</t>
  </si>
  <si>
    <t>987223</t>
  </si>
  <si>
    <t>BOZAL TOBASICHE MEZCAL</t>
  </si>
  <si>
    <t>987276</t>
  </si>
  <si>
    <t>HA CASA DRAGONES JOVEN SIPPING TEQUILA</t>
  </si>
  <si>
    <t>987277</t>
  </si>
  <si>
    <t>CANTERA NEGRA TEQUILA SILVER</t>
  </si>
  <si>
    <t>987279</t>
  </si>
  <si>
    <t>987281</t>
  </si>
  <si>
    <t>987292</t>
  </si>
  <si>
    <t>GRAN CAVA DE ORO PLATA</t>
  </si>
  <si>
    <t>GRAN CAVA DE ORO EXTRA AGED ANEJO BLACK</t>
  </si>
  <si>
    <t>987312</t>
  </si>
  <si>
    <t>CAZCANES BLANCO TEQUILA NO 9</t>
  </si>
  <si>
    <t>987326</t>
  </si>
  <si>
    <t>CHAMUCOS DIABLO BLANCO</t>
  </si>
  <si>
    <t>987328</t>
  </si>
  <si>
    <t>CHAMUCOS BLANCO</t>
  </si>
  <si>
    <t>987340</t>
  </si>
  <si>
    <t>CONVITE ESENCIAL ESPADIN MEZCAL</t>
  </si>
  <si>
    <t>987349</t>
  </si>
  <si>
    <t>DEL MAGUEY VIDA DE MUERTOS</t>
  </si>
  <si>
    <t>987360</t>
  </si>
  <si>
    <t>HA CLASE AZUL PLATA</t>
  </si>
  <si>
    <t>SOOH CONCIERE TEQUILA SILVER</t>
  </si>
  <si>
    <t>987392</t>
  </si>
  <si>
    <t>CREYENTE MEZCAL</t>
  </si>
  <si>
    <t>987406</t>
  </si>
  <si>
    <t>987407</t>
  </si>
  <si>
    <t>JOSE CUERVO ESPECIAL SILVER FLASK</t>
  </si>
  <si>
    <t>987416</t>
  </si>
  <si>
    <t>JOSE CUERVO TRADICIONAL SILVER</t>
  </si>
  <si>
    <t>987442</t>
  </si>
  <si>
    <t>DEL MAGUEY WILD PAPALOME</t>
  </si>
  <si>
    <t>987445</t>
  </si>
  <si>
    <t>DEL MAGUEY JABALI</t>
  </si>
  <si>
    <t>987461</t>
  </si>
  <si>
    <t>DEL MAGUEY LAS MILPAS</t>
  </si>
  <si>
    <t>987482</t>
  </si>
  <si>
    <t>987483</t>
  </si>
  <si>
    <t>DON JULIO BLANCO USE CODE 87483</t>
  </si>
  <si>
    <t>987506</t>
  </si>
  <si>
    <t>GRAN CENTENARIO PLATA TEQUILA</t>
  </si>
  <si>
    <t>987507</t>
  </si>
  <si>
    <t>SOOH 1800 SILVER</t>
  </si>
  <si>
    <t>987514</t>
  </si>
  <si>
    <t>KIRKLAND SIGNATURE FRENCH VODKA</t>
  </si>
  <si>
    <t>987545</t>
  </si>
  <si>
    <t>EL JOLGORIO CUIXE</t>
  </si>
  <si>
    <t>987665</t>
  </si>
  <si>
    <t>DON FULANO BLANCO TEQUILA</t>
  </si>
  <si>
    <t>987679</t>
  </si>
  <si>
    <t>FORTALEZA TEQUILA BLANCO</t>
  </si>
  <si>
    <t>987680</t>
  </si>
  <si>
    <t>MIJENTA TEQUILA REPOSADO</t>
  </si>
  <si>
    <t>987683</t>
  </si>
  <si>
    <t>MIJENTA TEQUILA ANEJO GRAN RESERVA</t>
  </si>
  <si>
    <t>987685</t>
  </si>
  <si>
    <t>HA CODIGO 1530 MEZCAL ANCESTRAL JOVEN</t>
  </si>
  <si>
    <t>987706</t>
  </si>
  <si>
    <t>SOOH 400 CONEJOS MEZCAL</t>
  </si>
  <si>
    <t>987723</t>
  </si>
  <si>
    <t>987730</t>
  </si>
  <si>
    <t>TEQUILA FUENTESECA COSECHA BLANCO 2018</t>
  </si>
  <si>
    <t>987778</t>
  </si>
  <si>
    <t>GEM &amp; BOLT MEZCAL</t>
  </si>
  <si>
    <t>HA CLASE AZUL GOLD TEQUILA</t>
  </si>
  <si>
    <t>987793</t>
  </si>
  <si>
    <t>GRACIAS A DIOS MEZCAL ESPADIN</t>
  </si>
  <si>
    <t>987797</t>
  </si>
  <si>
    <t>GRACIAS A DIOS MEZCAL MANGO</t>
  </si>
  <si>
    <t>987799</t>
  </si>
  <si>
    <t>GRACIAS A DIOS MEZCAL PECHUGA</t>
  </si>
  <si>
    <t>987802</t>
  </si>
  <si>
    <t>GRACIAS A DIOS MEZCAL PINA</t>
  </si>
  <si>
    <t>987803</t>
  </si>
  <si>
    <t>GRACIAS A DIOS MEZCAL TEPEXTATE</t>
  </si>
  <si>
    <t>987805</t>
  </si>
  <si>
    <t>GRACIAS A DIOS MEZCAL TOBALA</t>
  </si>
  <si>
    <t>987833</t>
  </si>
  <si>
    <t>LOS VECINOS ESPADIN MEZCAL</t>
  </si>
  <si>
    <t>987841</t>
  </si>
  <si>
    <t>HERRADURA SILVER MINI</t>
  </si>
  <si>
    <t>987904</t>
  </si>
  <si>
    <t>987922</t>
  </si>
  <si>
    <t>TROMBA BLANCO TEQUILA</t>
  </si>
  <si>
    <t>987930</t>
  </si>
  <si>
    <t>HA CASA NOBLE MARQUES DE CASA NOBLE ANEJO TEQUILA</t>
  </si>
  <si>
    <t>987951</t>
  </si>
  <si>
    <t>KAVALAN CLASSIC SINGLE MALT WHISKEY</t>
  </si>
  <si>
    <t>987952</t>
  </si>
  <si>
    <t>KAVALAN CONCERTMASTER</t>
  </si>
  <si>
    <t>987953</t>
  </si>
  <si>
    <t>KAVALAN EX-BOURBON</t>
  </si>
  <si>
    <t>987955</t>
  </si>
  <si>
    <t>KAVALAN KING CAR CONDUCTOR</t>
  </si>
  <si>
    <t>987956</t>
  </si>
  <si>
    <t>OLE SMOKY BUTTERSCOTCH MOONSHINE</t>
  </si>
  <si>
    <t>988007</t>
  </si>
  <si>
    <t>LOS AMANTES JOVEN</t>
  </si>
  <si>
    <t>988015</t>
  </si>
  <si>
    <t>988017</t>
  </si>
  <si>
    <t>LUNAZUL BLANCO MINI</t>
  </si>
  <si>
    <t>MEMBERS MARK SILVER TEQUILA</t>
  </si>
  <si>
    <t>988076</t>
  </si>
  <si>
    <t>MAHON GIN</t>
  </si>
  <si>
    <t>988077</t>
  </si>
  <si>
    <t>KILCHOMAN 100% ISLAY</t>
  </si>
  <si>
    <t>988091</t>
  </si>
  <si>
    <t>MEZCAL VAGO ELOTE</t>
  </si>
  <si>
    <t>988102</t>
  </si>
  <si>
    <t>MONTE ALBAN SILVER TEQUILA</t>
  </si>
  <si>
    <t>988120</t>
  </si>
  <si>
    <t>988123</t>
  </si>
  <si>
    <t>988166</t>
  </si>
  <si>
    <t>NUESTRA SOLEDAD SANTIAGO MATATLAN</t>
  </si>
  <si>
    <t>988206</t>
  </si>
  <si>
    <t>DON FULANO ANEJO TEQUILA</t>
  </si>
  <si>
    <t>988207</t>
  </si>
  <si>
    <t>DON FULANO REPOSADO TEQUILA</t>
  </si>
  <si>
    <t>988209</t>
  </si>
  <si>
    <t>CASA DRAGONES ANEJO</t>
  </si>
  <si>
    <t>988257</t>
  </si>
  <si>
    <t>GRACIAS A DIOS MEZCAL ESPADIN REPOSADO</t>
  </si>
  <si>
    <t>988261</t>
  </si>
  <si>
    <t>GRAN CAVA DE ORO  ANEJO</t>
  </si>
  <si>
    <t>988263</t>
  </si>
  <si>
    <t>SOOH GRAN CAVA DE ORO EXTRA ANEJO</t>
  </si>
  <si>
    <t>988271</t>
  </si>
  <si>
    <t>GRAN CAVA DE ORO REPOSADO</t>
  </si>
  <si>
    <t>988280</t>
  </si>
  <si>
    <t>PASOTE BLANCO TEQUILA</t>
  </si>
  <si>
    <t>988303</t>
  </si>
  <si>
    <t>988401</t>
  </si>
  <si>
    <t>HERRADURA LEGEND</t>
  </si>
  <si>
    <t>988410</t>
  </si>
  <si>
    <t>988426</t>
  </si>
  <si>
    <t>CANCION BLANCO TEQUILA</t>
  </si>
  <si>
    <t>988453</t>
  </si>
  <si>
    <t>CAZCANES REPOSADO TEQUILA NO 7</t>
  </si>
  <si>
    <t>SOOH EL MAYOR CRISTALINO</t>
  </si>
  <si>
    <t>988482</t>
  </si>
  <si>
    <t>SCORPION MEZCAL ANEJO 2YR</t>
  </si>
  <si>
    <t>988522</t>
  </si>
  <si>
    <t>LIBELULA TEQUILA</t>
  </si>
  <si>
    <t>988528</t>
  </si>
  <si>
    <t>CANTERA NEGRA TEQUILA REPOSADO</t>
  </si>
  <si>
    <t>988551</t>
  </si>
  <si>
    <t>BANHEZ MEZCAL ENSAMBLE</t>
  </si>
  <si>
    <t>988578</t>
  </si>
  <si>
    <t>SCORPION MEZCAL JOVEN</t>
  </si>
  <si>
    <t>988584</t>
  </si>
  <si>
    <t>CONCIERE TEQUILA GOLD</t>
  </si>
  <si>
    <t>988603</t>
  </si>
  <si>
    <t>DON JULIO REPOSADO PRIVATE CASK BUY THE BARREL</t>
  </si>
  <si>
    <t>988668</t>
  </si>
  <si>
    <t>SIETE LEQUAS BLANCO TEQUILA</t>
  </si>
  <si>
    <t>988687</t>
  </si>
  <si>
    <t>PATRON REPOSADO BARREL SELECT LONGHORN</t>
  </si>
  <si>
    <t>988703</t>
  </si>
  <si>
    <t>99 GOLD TEQUILA MINI</t>
  </si>
  <si>
    <t>988709</t>
  </si>
  <si>
    <t>HA TEARS OF LLORONA</t>
  </si>
  <si>
    <t>988728</t>
  </si>
  <si>
    <t>988737</t>
  </si>
  <si>
    <t>SOOH TORADA WHITE TEQUILA</t>
  </si>
  <si>
    <t>988780</t>
  </si>
  <si>
    <t>TRES AGAVE TEQUILA BLANCO</t>
  </si>
  <si>
    <t>988818</t>
  </si>
  <si>
    <t>MAESTRO DOBEL ANEJO AF4 BUY THE BARREL</t>
  </si>
  <si>
    <t>988829</t>
  </si>
  <si>
    <t>988830</t>
  </si>
  <si>
    <t>SOOH CASAMIGOS REPOSADO</t>
  </si>
  <si>
    <t>988831</t>
  </si>
  <si>
    <t>988839</t>
  </si>
  <si>
    <t>DEL MAGUEY SAN JOSE RIO MINAS</t>
  </si>
  <si>
    <t>SOOH JOSE CUERVO ESPECIAL GOLD FLASK</t>
  </si>
  <si>
    <t>988898</t>
  </si>
  <si>
    <t>AZUNIA ANEJO TEQUILA</t>
  </si>
  <si>
    <t>988899</t>
  </si>
  <si>
    <t>AZUNIA REPOSADO TEQUILA</t>
  </si>
  <si>
    <t>988917</t>
  </si>
  <si>
    <t>HA CODIGO 1530 TEQUILA ORIGEN (EXTRA ANEJO)</t>
  </si>
  <si>
    <t>988924</t>
  </si>
  <si>
    <t>HA CORRALEJO 1821 ANEJO TEQUILA</t>
  </si>
  <si>
    <t>988939</t>
  </si>
  <si>
    <t>EL NIVEL ANEJO</t>
  </si>
  <si>
    <t>988947</t>
  </si>
  <si>
    <t>988949</t>
  </si>
  <si>
    <t>SOOH MAESTRO DOBEL 50 CRISTALINO</t>
  </si>
  <si>
    <t>988982</t>
  </si>
  <si>
    <t>988984</t>
  </si>
  <si>
    <t>988990</t>
  </si>
  <si>
    <t>PASOTE ANEJO TEQUILA</t>
  </si>
  <si>
    <t>988992</t>
  </si>
  <si>
    <t>PASOTE REPOSADO TEQUILA</t>
  </si>
  <si>
    <t>989000</t>
  </si>
  <si>
    <t>989006</t>
  </si>
  <si>
    <t>989115</t>
  </si>
  <si>
    <t>CHAMUCOS TEQUILA ANEJO</t>
  </si>
  <si>
    <t>989173</t>
  </si>
  <si>
    <t>989184</t>
  </si>
  <si>
    <t>EL MAYOR EXTRA ANEJO</t>
  </si>
  <si>
    <t>989187</t>
  </si>
  <si>
    <t>989202</t>
  </si>
  <si>
    <t>DEL MAGUEY SAN LUIS DEL RIO</t>
  </si>
  <si>
    <t>SOOH JOSE CUERVO RESERVA DE LA FAMILIA</t>
  </si>
  <si>
    <t>SOOH JINRO CHAMISUL GRAPEFRUIT SOJU</t>
  </si>
  <si>
    <t>989234</t>
  </si>
  <si>
    <t>CORAZON ANEJO TEQUILA BUY THE BARREL</t>
  </si>
  <si>
    <t>989235</t>
  </si>
  <si>
    <t>CORAZON REPOSADO BUY THE BARREL</t>
  </si>
  <si>
    <t>989287</t>
  </si>
  <si>
    <t>KIRKLAND SIGNATURE COGNAC XO</t>
  </si>
  <si>
    <t>989288</t>
  </si>
  <si>
    <t>KIRKLAND SIGNATURE BLENDED SCOTCH 12YR</t>
  </si>
  <si>
    <t>989289</t>
  </si>
  <si>
    <t>KIRKLAND SIGNATURE TEQUILA SILVER</t>
  </si>
  <si>
    <t>989290</t>
  </si>
  <si>
    <t>KIRKLAND SIGNATURE TEQUILA ANEJO</t>
  </si>
  <si>
    <t>989291</t>
  </si>
  <si>
    <t>KIRKLAND SIGNATURE IRISH CREAM</t>
  </si>
  <si>
    <t>989292</t>
  </si>
  <si>
    <t>KIRKLAND SIGNATURE BLENDED SCOTCH 3YR</t>
  </si>
  <si>
    <t>GRAN CENTENARIO LEYENDA ANEJO</t>
  </si>
  <si>
    <t>989321</t>
  </si>
  <si>
    <t>HERRADURA ANEJO MINI</t>
  </si>
  <si>
    <t>989328</t>
  </si>
  <si>
    <t>DEL MAGUEY TOBALA</t>
  </si>
  <si>
    <t>989330</t>
  </si>
  <si>
    <t>HERRADURA SELECTION SUPREMA</t>
  </si>
  <si>
    <t>989342</t>
  </si>
  <si>
    <t>HERRADURA REPOSADO MINI</t>
  </si>
  <si>
    <t>989343</t>
  </si>
  <si>
    <t>HUSSONGS ANEJO</t>
  </si>
  <si>
    <t>989346</t>
  </si>
  <si>
    <t>989411</t>
  </si>
  <si>
    <t>DEL MAGUEY CHICHICAPA</t>
  </si>
  <si>
    <t>989454</t>
  </si>
  <si>
    <t>HAMILTON 86 PROOF RUM</t>
  </si>
  <si>
    <t>989488</t>
  </si>
  <si>
    <t>SOOH MAESTRO DOBEL TEQUILA</t>
  </si>
  <si>
    <t>989503</t>
  </si>
  <si>
    <t>ILEGAL MEZCAL ANEJO</t>
  </si>
  <si>
    <t>989529</t>
  </si>
  <si>
    <t>FORTALEZA TEQUILA REPOSADO</t>
  </si>
  <si>
    <t>989590</t>
  </si>
  <si>
    <t>MILAGRO SELECT BARREL REPOSADO</t>
  </si>
  <si>
    <t>989593</t>
  </si>
  <si>
    <t>MILAGRO SELECT BARREL ANEJO</t>
  </si>
  <si>
    <t>989622</t>
  </si>
  <si>
    <t>1921 TEQUILA ANEJO</t>
  </si>
  <si>
    <t>989640</t>
  </si>
  <si>
    <t>HA GRAN PATRON PIEDRA</t>
  </si>
  <si>
    <t>989650</t>
  </si>
  <si>
    <t>HA GRAN PATRON BURDEOS</t>
  </si>
  <si>
    <t>989690</t>
  </si>
  <si>
    <t>PARTIDA ANEJO TEQUILA</t>
  </si>
  <si>
    <t>989692</t>
  </si>
  <si>
    <t>PARTIDA REPOSADO TEQUILA</t>
  </si>
  <si>
    <t>989749</t>
  </si>
  <si>
    <t>SAN MATIAS REY SOL ANEJO</t>
  </si>
  <si>
    <t>989765</t>
  </si>
  <si>
    <t>CANCION ANEJO TEQUILA</t>
  </si>
  <si>
    <t>989772</t>
  </si>
  <si>
    <t>STRANAHANS DIAMOND PEAK</t>
  </si>
  <si>
    <t>989775</t>
  </si>
  <si>
    <t>CANCION REPOSADO TEQUILA</t>
  </si>
  <si>
    <t>989861</t>
  </si>
  <si>
    <t>SAN MATIAS GRAN RESERVA ANEJO</t>
  </si>
  <si>
    <t>989885</t>
  </si>
  <si>
    <t>TRES AGAVE TEQUILA ANEJO ORGANIC</t>
  </si>
  <si>
    <t>989960</t>
  </si>
  <si>
    <t>TEQUILA OCHO ANEJO</t>
  </si>
  <si>
    <t>989961</t>
  </si>
  <si>
    <t>990002</t>
  </si>
  <si>
    <t>HA PATRON AHUMADO SILVER</t>
  </si>
  <si>
    <t>990003</t>
  </si>
  <si>
    <t>HA PATRON AHUMADO REPOSADO</t>
  </si>
  <si>
    <t>990009</t>
  </si>
  <si>
    <t>OJO DE TIGRE ARTISANAL MEZCAL</t>
  </si>
  <si>
    <t>990015</t>
  </si>
  <si>
    <t>990018</t>
  </si>
  <si>
    <t>FLECHA AZUL EXTRA ANEJO</t>
  </si>
  <si>
    <t>990019</t>
  </si>
  <si>
    <t>990027</t>
  </si>
  <si>
    <t>ADICTIVO REPOSADO CRISTALINO</t>
  </si>
  <si>
    <t>990042</t>
  </si>
  <si>
    <t>SOOH GRAN CENTENARIO CRISTALINO</t>
  </si>
  <si>
    <t>990043</t>
  </si>
  <si>
    <t>990045</t>
  </si>
  <si>
    <t>GRAND MAYAN TEQUILA EXTRA AGED</t>
  </si>
  <si>
    <t>MS WALKER INC</t>
  </si>
  <si>
    <t>990049</t>
  </si>
  <si>
    <t>SIETE LEGUAS ANEJO TEQUILA</t>
  </si>
  <si>
    <t>990062</t>
  </si>
  <si>
    <t>SOOH SIETE LEGUAS BLANCO TEQUILA</t>
  </si>
  <si>
    <t>SOOH SIETE LEGUAS REPOSADO TEQUILA</t>
  </si>
  <si>
    <t>990225</t>
  </si>
  <si>
    <t>UNCLE VALS RESTORATIVE GIN</t>
  </si>
  <si>
    <t>990305</t>
  </si>
  <si>
    <t>EL DORADO 8YR</t>
  </si>
  <si>
    <t>990410</t>
  </si>
  <si>
    <t>PAOLUCCI AMARO CIOCIARO</t>
  </si>
  <si>
    <t>SPIRIT IMPORTS INC</t>
  </si>
  <si>
    <t>990517</t>
  </si>
  <si>
    <t>SUGARLANDS APPALACHIAN BUTTER PECAN SIPPIN CREAM MINI</t>
  </si>
  <si>
    <t>990559</t>
  </si>
  <si>
    <t>HAMILTON POT STILL GOLD RUM</t>
  </si>
  <si>
    <t>990742</t>
  </si>
  <si>
    <t>MAR AZUL ALMOND</t>
  </si>
  <si>
    <t>PYATT ENTERPRISES LLC</t>
  </si>
  <si>
    <t>990860</t>
  </si>
  <si>
    <t>THE ARRAN THE BOTHY QUARTER CASK</t>
  </si>
  <si>
    <t>991048</t>
  </si>
  <si>
    <t>HA ROYAL BRACKLA 18 YR SINGLE MALT</t>
  </si>
  <si>
    <t>991175</t>
  </si>
  <si>
    <t>LOST REPUBLIC STRAIGHT BOURBON WHISKEY</t>
  </si>
  <si>
    <t>991228</t>
  </si>
  <si>
    <t>1792 FULL PROOF BUY THE BARREL</t>
  </si>
  <si>
    <t>992000</t>
  </si>
  <si>
    <t>BULLEIT SINGLE BARREL BUY THE BARREL</t>
  </si>
  <si>
    <t>992018</t>
  </si>
  <si>
    <t>MEMBERS MARK VARIETY MINI</t>
  </si>
  <si>
    <t>992131</t>
  </si>
  <si>
    <t>HA LAST DROP 50YR BSW 700ML &amp; 50ML</t>
  </si>
  <si>
    <t>992136</t>
  </si>
  <si>
    <t>HA LAST DROP STRAIGHT WHISKEY  20YR 700ML &amp; 50ML</t>
  </si>
  <si>
    <t>992148</t>
  </si>
  <si>
    <t>KIRKLAND SIGNATURE TOUR OF SCOTLAND  6-4 PACK</t>
  </si>
  <si>
    <t>992167</t>
  </si>
  <si>
    <t>HA LAST DROP 50YR BGSW 700ML &amp; 50ML</t>
  </si>
  <si>
    <t>992851</t>
  </si>
  <si>
    <t>SOOH PLANTATION BARBADOS RUM XO 20TH ANNIVERSARY</t>
  </si>
  <si>
    <t>992900</t>
  </si>
  <si>
    <t>CARIBOU CROSSING BUY THE BARREL</t>
  </si>
  <si>
    <t>993675</t>
  </si>
  <si>
    <t>RON BARCELO IMPERIAL ONYX</t>
  </si>
  <si>
    <t>994046</t>
  </si>
  <si>
    <t>ABERLOUR A''BUNADH</t>
  </si>
  <si>
    <t>994187</t>
  </si>
  <si>
    <t>AUCHENTOSHAN AMERICAN OAK</t>
  </si>
  <si>
    <t>994188</t>
  </si>
  <si>
    <t>994190</t>
  </si>
  <si>
    <t>KOLOA RUM PUNCH COCKTAIL</t>
  </si>
  <si>
    <t>994236</t>
  </si>
  <si>
    <t>ABERLOUR ABUNADH ALBA</t>
  </si>
  <si>
    <t>994256</t>
  </si>
  <si>
    <t>ARRAN 10YR SINGLE MALT SCOTCH</t>
  </si>
  <si>
    <t>994266</t>
  </si>
  <si>
    <t>994285</t>
  </si>
  <si>
    <t>HA BALLANTINES 17 YO</t>
  </si>
  <si>
    <t>994336</t>
  </si>
  <si>
    <t>HA BRUICHLADDICH OCTOMORE 14.1</t>
  </si>
  <si>
    <t>994337</t>
  </si>
  <si>
    <t>HA BRUICHLADDICH OCTOMORE 14.2</t>
  </si>
  <si>
    <t>994338</t>
  </si>
  <si>
    <t>HA BRUICHLADDICH OCTOMORE 14.3</t>
  </si>
  <si>
    <t>994342</t>
  </si>
  <si>
    <t>HA BENRIACH 21 YEAR</t>
  </si>
  <si>
    <t>994343</t>
  </si>
  <si>
    <t>HA BENRIACH 25 YEAR</t>
  </si>
  <si>
    <t>994395</t>
  </si>
  <si>
    <t>HA BALVENIE 30YR</t>
  </si>
  <si>
    <t>994403</t>
  </si>
  <si>
    <t>NUMBER JUAN EXTRA ANEJO</t>
  </si>
  <si>
    <t>994410</t>
  </si>
  <si>
    <t>BENRIACH 12YR</t>
  </si>
  <si>
    <t>994449</t>
  </si>
  <si>
    <t>BENRIACH 10YR SMOKY</t>
  </si>
  <si>
    <t>994450</t>
  </si>
  <si>
    <t>BENRIACH 12 YEAR SMOKY</t>
  </si>
  <si>
    <t>994459</t>
  </si>
  <si>
    <t>HA BALVENIE 16YR FRENCH OAK</t>
  </si>
  <si>
    <t>994487</t>
  </si>
  <si>
    <t>COMPASS BOX THE STORY OF THE SPANIARD</t>
  </si>
  <si>
    <t>994496</t>
  </si>
  <si>
    <t>COMPASS BOX PEAT MONSTER SCOTCH WHISKEY</t>
  </si>
  <si>
    <t>994502</t>
  </si>
  <si>
    <t>HA ORPHAN BARREL CASTLES CURSE</t>
  </si>
  <si>
    <t>994503</t>
  </si>
  <si>
    <t>HA BENRIACH 16 YEAR</t>
  </si>
  <si>
    <t>994522</t>
  </si>
  <si>
    <t>BLADNOCH 14 YO SINGLE MALT SCOTCH WHISKY</t>
  </si>
  <si>
    <t>994524</t>
  </si>
  <si>
    <t>DALMORE 18YR</t>
  </si>
  <si>
    <t>994624</t>
  </si>
  <si>
    <t>994652</t>
  </si>
  <si>
    <t>HA BUNNAHABHAIN 18YR SINGLE MALT SCOTCH</t>
  </si>
  <si>
    <t>994682</t>
  </si>
  <si>
    <t>BRUICHLADDICH PC ISLAY BARLEY 2012</t>
  </si>
  <si>
    <t>994695</t>
  </si>
  <si>
    <t>BRUICHLADDICH ISLAY BARLEY</t>
  </si>
  <si>
    <t>SOOH BRUICHLADDICH PC 10YR</t>
  </si>
  <si>
    <t>994722</t>
  </si>
  <si>
    <t>IOWA LEGENDARY RYE PROHIBITION MARY</t>
  </si>
  <si>
    <t>994739</t>
  </si>
  <si>
    <t>ROYAL SALUTE 21 YO</t>
  </si>
  <si>
    <t>994766</t>
  </si>
  <si>
    <t>OLD MONK XXX RUM</t>
  </si>
  <si>
    <t>994785</t>
  </si>
  <si>
    <t>HA CRAGGANMORE DISTILLERS EDITION</t>
  </si>
  <si>
    <t>994797</t>
  </si>
  <si>
    <t>994806</t>
  </si>
  <si>
    <t>DALMORE 25YR</t>
  </si>
  <si>
    <t>994830</t>
  </si>
  <si>
    <t>DALMORE 21YR</t>
  </si>
  <si>
    <t>994850</t>
  </si>
  <si>
    <t>TRAVERSE CITY WHISKEY CO. AMERICAN CHERRY EDITION</t>
  </si>
  <si>
    <t>994851</t>
  </si>
  <si>
    <t>TRAVERSE CITY WHISKEY CO. NORTH COAST RYE</t>
  </si>
  <si>
    <t>994853</t>
  </si>
  <si>
    <t>TRAVERSE CITY WHISKEY CO. BARREL PROOF BOURBON</t>
  </si>
  <si>
    <t>994875</t>
  </si>
  <si>
    <t>SOOH MORIN CALVADOS VSOP</t>
  </si>
  <si>
    <t>994876</t>
  </si>
  <si>
    <t>SOOH MORIN CALVADOS HORS D'AGE</t>
  </si>
  <si>
    <t>994916</t>
  </si>
  <si>
    <t>FINLAGGAN OLD RESERVE</t>
  </si>
  <si>
    <t>KIRKLAND SIGNATURE IRISH WHISKEY</t>
  </si>
  <si>
    <t>994965</t>
  </si>
  <si>
    <t>HA GLENDRONACH PARLIAMENT 21YR</t>
  </si>
  <si>
    <t>994972</t>
  </si>
  <si>
    <t>GLENDRONACH 12YR ORIGINAL</t>
  </si>
  <si>
    <t>994982</t>
  </si>
  <si>
    <t>GLENKINCHIE SINGLE MALT</t>
  </si>
  <si>
    <t>994983</t>
  </si>
  <si>
    <t>HA GLENKINCHIE DISTILLERS EDITION</t>
  </si>
  <si>
    <t>995094</t>
  </si>
  <si>
    <t>OLE SMOKY STRAWBERRY MOONSHINE</t>
  </si>
  <si>
    <t>995096</t>
  </si>
  <si>
    <t>OLD PARR</t>
  </si>
  <si>
    <t>995165</t>
  </si>
  <si>
    <t>GLEN SCOTIA DOUBLE CASK SINGLE MALT SCOTCH WHISKY</t>
  </si>
  <si>
    <t>995185</t>
  </si>
  <si>
    <t>GLENGLASSAUGH REVIVAL</t>
  </si>
  <si>
    <t>995198</t>
  </si>
  <si>
    <t>WHISTLEPIG 12YR BESPOKE BLEND BUY THE BARREL</t>
  </si>
  <si>
    <t>995204</t>
  </si>
  <si>
    <t>ARTISTS BLEND - BLEND SCOTCH</t>
  </si>
  <si>
    <t>995243</t>
  </si>
  <si>
    <t>HILLROCK DOUBLE CASK RYE</t>
  </si>
  <si>
    <t>995274</t>
  </si>
  <si>
    <t>995275</t>
  </si>
  <si>
    <t>PORT ASKAIG 110PRF</t>
  </si>
  <si>
    <t>995276</t>
  </si>
  <si>
    <t>PORT ASKAIG 8YR</t>
  </si>
  <si>
    <t>995512</t>
  </si>
  <si>
    <t>VIKRE �VREVANN AQUAVIT</t>
  </si>
  <si>
    <t>VIKRE VOYAGER AQUAVIT</t>
  </si>
  <si>
    <t>995515</t>
  </si>
  <si>
    <t>DADS HAT PENNSYLVANIA RYE WHISKEY</t>
  </si>
  <si>
    <t>MOUNTAIN LAUREL SPIRITS LLC</t>
  </si>
  <si>
    <t>SOOH ICE HOLE SALTY CARAMEL SCHNAPPS</t>
  </si>
  <si>
    <t>SOOH JTS BROWN  BONDED BOURBON</t>
  </si>
  <si>
    <t>995560</t>
  </si>
  <si>
    <t>LOCH LOMOND ORIGINAL SINGLE MALT SCOTCH</t>
  </si>
  <si>
    <t>995567</t>
  </si>
  <si>
    <t>LOCH LOMOND 12 YEAR OLD SINGLE MALT SCOTCH WHISKY</t>
  </si>
  <si>
    <t>995568</t>
  </si>
  <si>
    <t>LOCH LOMOND 18 YEAR OLD SINGLE MALT SCOTCH WHISKY</t>
  </si>
  <si>
    <t>995601</t>
  </si>
  <si>
    <t>CIMARRON TEQUILA BLANCO</t>
  </si>
  <si>
    <t>995678</t>
  </si>
  <si>
    <t>DOC BROWN REALLY BAD RUM DARK</t>
  </si>
  <si>
    <t>DOC BROWN ENTERPRISES</t>
  </si>
  <si>
    <t>995735</t>
  </si>
  <si>
    <t>GLENROTHES 18YR</t>
  </si>
  <si>
    <t>995744</t>
  </si>
  <si>
    <t>HA THE MACALLAN 18YR SHERRY OAK</t>
  </si>
  <si>
    <t>995752</t>
  </si>
  <si>
    <t>LOCH LOMOND THE OPEN SPECIAL ED. SINGLE MALT SCOTCH 2022</t>
  </si>
  <si>
    <t>995773</t>
  </si>
  <si>
    <t>MORTLACH 12 YR</t>
  </si>
  <si>
    <t>995774</t>
  </si>
  <si>
    <t>MORTLACH 16YR</t>
  </si>
  <si>
    <t>995783</t>
  </si>
  <si>
    <t>HA GLENDRONACH 15YR REVIVAL</t>
  </si>
  <si>
    <t>995869</t>
  </si>
  <si>
    <t>GLENGOYNE SINGLE MALT SCOTCH LEGACY SERIES - CHAPTER THREE</t>
  </si>
  <si>
    <t>995915</t>
  </si>
  <si>
    <t>TULLAMORE DEW 12YR</t>
  </si>
  <si>
    <t>995932</t>
  </si>
  <si>
    <t>SOOH MACALLAN DOUBLE CASK 15YR</t>
  </si>
  <si>
    <t>995939</t>
  </si>
  <si>
    <t>GLEN SCOTIA 18 YEAR OLD SINGLE MALT SCOTCH WHISKY</t>
  </si>
  <si>
    <t>996241</t>
  </si>
  <si>
    <t>MACNAIRS LUM REEK 12 YR PEATED BLENDED MALT</t>
  </si>
  <si>
    <t>996260</t>
  </si>
  <si>
    <t>TAMDHU BATCH STRENGTH # 7 MALT SCOTCH</t>
  </si>
  <si>
    <t>996262</t>
  </si>
  <si>
    <t>TAMDHU 12YR SINGLE MALT SCOTCH</t>
  </si>
  <si>
    <t>996267</t>
  </si>
  <si>
    <t>TAMDHU CIGAR MALT</t>
  </si>
  <si>
    <t>996269</t>
  </si>
  <si>
    <t>TAMDHU 18YO SINGLE MALT SCOTCH</t>
  </si>
  <si>
    <t>996274</t>
  </si>
  <si>
    <t>COMPASS BOX ORCHARD HOUSE</t>
  </si>
  <si>
    <t>996339</t>
  </si>
  <si>
    <t>TULLIBARDINE 12 YEAR SINGLE MALT SCOTCH</t>
  </si>
  <si>
    <t>996516</t>
  </si>
  <si>
    <t>GRAND MARNIER CUVEE LOUIS-ALEXANDRE</t>
  </si>
  <si>
    <t>997094</t>
  </si>
  <si>
    <t>PARANUBES</t>
  </si>
  <si>
    <t>SURO INTERNATIONAL IMPORTERS, INC</t>
  </si>
  <si>
    <t>997100</t>
  </si>
  <si>
    <t>KINGS COUNTY DISTILLERY STRAIGHT BOURBON WHISKEY</t>
  </si>
  <si>
    <t>997101</t>
  </si>
  <si>
    <t>KINGS COUNTY DISTILLERY PEATED BOURBON</t>
  </si>
  <si>
    <t>997367</t>
  </si>
  <si>
    <t>DRY FLY STRAIGHT TRITICALE WHISKEY</t>
  </si>
  <si>
    <t>997874</t>
  </si>
  <si>
    <t>TRES GENERACIONES ANEJO CRISTALINO</t>
  </si>
  <si>
    <t>997880</t>
  </si>
  <si>
    <t>AMERICAN BARRELS KENTUCKY BOURBON WHISKEY</t>
  </si>
  <si>
    <t>BGPL-USA INC/ SURVILLE ENTERPRISES CORP</t>
  </si>
  <si>
    <t>997974</t>
  </si>
  <si>
    <t>WHISTLER BODEGA CASK IRISH WHISKEY</t>
  </si>
  <si>
    <t>997975</t>
  </si>
  <si>
    <t>WHISTLER CALVADOS CASK FINISH IRISH WHISKEY</t>
  </si>
  <si>
    <t>998071</t>
  </si>
  <si>
    <t>MAYALEN MACHETAZO ESPADIN</t>
  </si>
  <si>
    <t>998074</t>
  </si>
  <si>
    <t>MAYALEN MACHETAZO SALMIANA</t>
  </si>
  <si>
    <t>998889</t>
  </si>
  <si>
    <t>THE GLENALLACHIE 10 YR</t>
  </si>
  <si>
    <t>999440</t>
  </si>
  <si>
    <t>TEMPUS FUGIT CR�ME CACAO VAN</t>
  </si>
  <si>
    <t>999910</t>
  </si>
  <si>
    <t>ICE HOLE ROOT BEER SCHNAPPS</t>
  </si>
  <si>
    <t>999912</t>
  </si>
  <si>
    <t>HILLROCK - SINGLE MALT WHISKEY - OPX FINISH</t>
  </si>
  <si>
    <t>999919</t>
  </si>
  <si>
    <t>PARCE RUM BROTHERS BLEND</t>
  </si>
  <si>
    <t>999920</t>
  </si>
  <si>
    <t>HA CALVADOS MORIN SAUTERNES CASK FINISHED</t>
  </si>
  <si>
    <t>999921</t>
  </si>
  <si>
    <t>BOOT HILL DISTILLERY BOURBON WHISKEY</t>
  </si>
  <si>
    <t>BOOT HILL DISTILLERY LLC</t>
  </si>
  <si>
    <t>999922</t>
  </si>
  <si>
    <t>PANAMA PACIFIC RUM 23 YEARS</t>
  </si>
  <si>
    <t>999923</t>
  </si>
  <si>
    <t>DON AMADO MEZCAL ANEJO</t>
  </si>
  <si>
    <t>999927</t>
  </si>
  <si>
    <t>BRECKENRIDGE DISTILLERY RESERVE BLEND GAMMA</t>
  </si>
  <si>
    <t>999928</t>
  </si>
  <si>
    <t>MARS IWAI TRADITION</t>
  </si>
  <si>
    <t>999939</t>
  </si>
  <si>
    <t>METHANOL MOONSHINE 62ND KNOXVILLE 2023</t>
  </si>
  <si>
    <t>999940</t>
  </si>
  <si>
    <t>METHANOL MOONSHINE 2023 IMCA SUPER NATIONALS</t>
  </si>
  <si>
    <t>999995</t>
  </si>
  <si>
    <t>VIKRE AMARO SUPERIORE</t>
  </si>
  <si>
    <t>999996</t>
  </si>
  <si>
    <t>VIKRE BOREAL SPRUCE GIN</t>
  </si>
  <si>
    <t>name</t>
  </si>
  <si>
    <t>county</t>
  </si>
  <si>
    <t>territory_id</t>
  </si>
  <si>
    <t>TOP SHELF LIQUOR / IOWA CITY</t>
  </si>
  <si>
    <t>IOWA CITY</t>
  </si>
  <si>
    <t>JOHNSON</t>
  </si>
  <si>
    <t>T052</t>
  </si>
  <si>
    <t>JACK &amp; JILL STORE / WEST BRANCH</t>
  </si>
  <si>
    <t>WEST BRANCH</t>
  </si>
  <si>
    <t>CEDAR</t>
  </si>
  <si>
    <t>T016</t>
  </si>
  <si>
    <t>THE CROWN LIQUOR / IOWA CITY</t>
  </si>
  <si>
    <t>KWIK STAR #1180 / PERRY</t>
  </si>
  <si>
    <t>PERRY</t>
  </si>
  <si>
    <t>DALLAS</t>
  </si>
  <si>
    <t>T025</t>
  </si>
  <si>
    <t>KWIK STAR #1119 / EMMETSBURG</t>
  </si>
  <si>
    <t>EMMETSBURG</t>
  </si>
  <si>
    <t>PALO ALTO</t>
  </si>
  <si>
    <t>T074</t>
  </si>
  <si>
    <t>KWIK STAR #710 / TOLEDO</t>
  </si>
  <si>
    <t>TOLEDO</t>
  </si>
  <si>
    <t>TAMA</t>
  </si>
  <si>
    <t>T086</t>
  </si>
  <si>
    <t>OELWEIN MART / OELWEIN</t>
  </si>
  <si>
    <t>OELWEIN</t>
  </si>
  <si>
    <t>FAYETTE</t>
  </si>
  <si>
    <t>T033</t>
  </si>
  <si>
    <t>LOCAL LIQUOR / PANORA</t>
  </si>
  <si>
    <t>PANORA</t>
  </si>
  <si>
    <t>GUTHRIE</t>
  </si>
  <si>
    <t>T039</t>
  </si>
  <si>
    <t>WORLD CLASS LIQUOR AND TOBACCO / BONDURANT</t>
  </si>
  <si>
    <t>BONDURANT</t>
  </si>
  <si>
    <t>POLK</t>
  </si>
  <si>
    <t>T077</t>
  </si>
  <si>
    <t>010023</t>
  </si>
  <si>
    <t>HY-VEE FAST AND FRESH #3 (7592) / WEST DES MOINES</t>
  </si>
  <si>
    <t>WEST DES MOINES</t>
  </si>
  <si>
    <t>HY-VEE FAST AND FRESH #2 (7591) / WEST DES MOINES</t>
  </si>
  <si>
    <t>010025</t>
  </si>
  <si>
    <t>HY-VEE FAST AND FRESH #4 (7583) / URBANDALE</t>
  </si>
  <si>
    <t>URBANDALE</t>
  </si>
  <si>
    <t>010028</t>
  </si>
  <si>
    <t>DUAL STOP CARTER LAKE / CARTER LAKE</t>
  </si>
  <si>
    <t>CARTER LAKE</t>
  </si>
  <si>
    <t>POTTAWATTAMIE</t>
  </si>
  <si>
    <t>T078</t>
  </si>
  <si>
    <t>ROYAL MART / DES MOINES</t>
  </si>
  <si>
    <t>DES MOINES</t>
  </si>
  <si>
    <t>010030</t>
  </si>
  <si>
    <t>LEGENDARY RYE / BAD BEAR ENTERPRISES (ET)</t>
  </si>
  <si>
    <t>CARROLL</t>
  </si>
  <si>
    <t>T014</t>
  </si>
  <si>
    <t>KWIK STAR #1158 / AMES</t>
  </si>
  <si>
    <t>AMES</t>
  </si>
  <si>
    <t>STORY</t>
  </si>
  <si>
    <t>T085</t>
  </si>
  <si>
    <t>EMPIRE LIQUOR AND TOBACCO / HIAWATHA</t>
  </si>
  <si>
    <t>HIAWATHA</t>
  </si>
  <si>
    <t>LINN</t>
  </si>
  <si>
    <t>T057</t>
  </si>
  <si>
    <t>010034</t>
  </si>
  <si>
    <t>HY-VEE FAST AND FRESH #5 (7584) / URBANDALE</t>
  </si>
  <si>
    <t>LIQUOR TOBACCO &amp; VAPE / CLINTON</t>
  </si>
  <si>
    <t>CLINTON</t>
  </si>
  <si>
    <t>T023</t>
  </si>
  <si>
    <t>TOBACCO OUTLET PLUS #504 / DUBUQUE</t>
  </si>
  <si>
    <t>DUBUQUE</t>
  </si>
  <si>
    <t>T031</t>
  </si>
  <si>
    <t>WHISKEY WOLF LIQUOR / GLENWOOD</t>
  </si>
  <si>
    <t>GLENWOOD</t>
  </si>
  <si>
    <t>MILLS</t>
  </si>
  <si>
    <t>T065</t>
  </si>
  <si>
    <t>KUM &amp; GO #1074 / WDM</t>
  </si>
  <si>
    <t>LIQUOR LOVERS / ANKENY</t>
  </si>
  <si>
    <t>ANKENY</t>
  </si>
  <si>
    <t>HOSPERS MINI MART / HOSPERS</t>
  </si>
  <si>
    <t>HOSPERS</t>
  </si>
  <si>
    <t>SIOUX</t>
  </si>
  <si>
    <t>T084</t>
  </si>
  <si>
    <t>010041</t>
  </si>
  <si>
    <t>HY-VEE (1516) / PELLA</t>
  </si>
  <si>
    <t>PELLA</t>
  </si>
  <si>
    <t>MARION</t>
  </si>
  <si>
    <t>T063</t>
  </si>
  <si>
    <t>ELKADER PRONTO MARKET / ELKADER</t>
  </si>
  <si>
    <t>ELKADER</t>
  </si>
  <si>
    <t>CLAYTON</t>
  </si>
  <si>
    <t>T022</t>
  </si>
  <si>
    <t>010043</t>
  </si>
  <si>
    <t>GARNAVILLO SPEEDE SHOPPE / GARNAVILLO</t>
  </si>
  <si>
    <t>GARNAVILLO</t>
  </si>
  <si>
    <t>010044</t>
  </si>
  <si>
    <t>ELKADER FAST TRAK / ELKADER</t>
  </si>
  <si>
    <t>COUNTRY FOODS / BELLE PLAINE</t>
  </si>
  <si>
    <t>BELLE PLAINE</t>
  </si>
  <si>
    <t>BENTON</t>
  </si>
  <si>
    <t>T006</t>
  </si>
  <si>
    <t>TRANSIT GENERAL STORE / SIOUX CITY</t>
  </si>
  <si>
    <t>SIOUX CITY</t>
  </si>
  <si>
    <t>WOODBURY</t>
  </si>
  <si>
    <t>T097</t>
  </si>
  <si>
    <t>KWIK STAR #1156 / OELWEIN</t>
  </si>
  <si>
    <t>010049</t>
  </si>
  <si>
    <t>JEFFS FOODS REMSEN / REMSEN</t>
  </si>
  <si>
    <t>REMSEN</t>
  </si>
  <si>
    <t>PLYMOUTH</t>
  </si>
  <si>
    <t>T075</t>
  </si>
  <si>
    <t>010050</t>
  </si>
  <si>
    <t>BRAVIM MART INCORPORATED / ANKENY</t>
  </si>
  <si>
    <t>010051</t>
  </si>
  <si>
    <t>KWIK STAR #1172 / MARION</t>
  </si>
  <si>
    <t>010052</t>
  </si>
  <si>
    <t>KWIK STAR #1097 / URBANDALE</t>
  </si>
  <si>
    <t>JJ GAS AND FOOD / SPRINGVILLE</t>
  </si>
  <si>
    <t>SPRINGVILLE</t>
  </si>
  <si>
    <t>010057</t>
  </si>
  <si>
    <t>KWIK STAR #1186 / ALTOONA</t>
  </si>
  <si>
    <t>ALTOONA</t>
  </si>
  <si>
    <t>WEST SIDE GROCERY</t>
  </si>
  <si>
    <t>DAVENPORT</t>
  </si>
  <si>
    <t>SCOTT</t>
  </si>
  <si>
    <t>T082</t>
  </si>
  <si>
    <t>010059</t>
  </si>
  <si>
    <t>VALENTINA MEXICAN GROCERY STORE / EAGLE GROVE</t>
  </si>
  <si>
    <t>EAGLE GROVE</t>
  </si>
  <si>
    <t>WRIGHT</t>
  </si>
  <si>
    <t>T099</t>
  </si>
  <si>
    <t>SUPER STOP / ALTOONA</t>
  </si>
  <si>
    <t>BIG 10 MART #19 / HIAWATHA</t>
  </si>
  <si>
    <t>KWIK STAR #711 / MONONA</t>
  </si>
  <si>
    <t>MONONA</t>
  </si>
  <si>
    <t>IB PONY / WATERLOO</t>
  </si>
  <si>
    <t>WATERLOO</t>
  </si>
  <si>
    <t>BLACK HAWK</t>
  </si>
  <si>
    <t>T007</t>
  </si>
  <si>
    <t>BEER CITY</t>
  </si>
  <si>
    <t>PACIFIC JUNCTION</t>
  </si>
  <si>
    <t>MADELLA WINE AND SPIRITS / BETTENDORF</t>
  </si>
  <si>
    <t>BETTENDORF</t>
  </si>
  <si>
    <t>010066</t>
  </si>
  <si>
    <t>CVS / PHARMACY #8539 / IOWA CITY</t>
  </si>
  <si>
    <t>010067</t>
  </si>
  <si>
    <t>BP TO GO #2 / CEDAR RAPIDS</t>
  </si>
  <si>
    <t>CEDAR RAPIDS</t>
  </si>
  <si>
    <t>ESSENTIALS PLUS / CLINTON</t>
  </si>
  <si>
    <t>LE CLAIRE GROCERY STORE / LE CLAIRE</t>
  </si>
  <si>
    <t>LE CLAIRE</t>
  </si>
  <si>
    <t>HIWAY 20 LIQUOR AND TOBACCO / FORT DODGE</t>
  </si>
  <si>
    <t>FORT DODGE</t>
  </si>
  <si>
    <t>WEBSTER</t>
  </si>
  <si>
    <t>T094</t>
  </si>
  <si>
    <t>EXPRESS MART / MUSCATINE</t>
  </si>
  <si>
    <t>MUSCATINE</t>
  </si>
  <si>
    <t>T070</t>
  </si>
  <si>
    <t>FAREWAY STORES INC #229 / ODGEN</t>
  </si>
  <si>
    <t>OGDEN</t>
  </si>
  <si>
    <t>BOONE</t>
  </si>
  <si>
    <t>T008</t>
  </si>
  <si>
    <t>COSTCO WHOLESALE #1630 / ANKENY</t>
  </si>
  <si>
    <t>010075</t>
  </si>
  <si>
    <t>KINGS MART #51 / CEDAR RAPIDS</t>
  </si>
  <si>
    <t>HOMETOWN SPIRITS / TIFFIN</t>
  </si>
  <si>
    <t>TIFFIN</t>
  </si>
  <si>
    <t>HAWKS SMOKE SHOP / MARION</t>
  </si>
  <si>
    <t>KWIK STAR #1155 / PLEASANT HILL</t>
  </si>
  <si>
    <t>PLEASANT HILL</t>
  </si>
  <si>
    <t>NEW STAR RAYMOND / RAYMOND</t>
  </si>
  <si>
    <t>RAYMOND</t>
  </si>
  <si>
    <t>010081</t>
  </si>
  <si>
    <t>COLFAX TRAVEL CENTER / COLFAX</t>
  </si>
  <si>
    <t>COLFAX</t>
  </si>
  <si>
    <t>JASPER</t>
  </si>
  <si>
    <t>T050</t>
  </si>
  <si>
    <t>STOP AND SHOP LIQUOR LLC / ANKENY</t>
  </si>
  <si>
    <t>KWIK STAR #1189 / DE SOTO</t>
  </si>
  <si>
    <t>DE SOTO</t>
  </si>
  <si>
    <t>010084</t>
  </si>
  <si>
    <t>KINGS MART #50 / IOWA CITY</t>
  </si>
  <si>
    <t>DIAMOND SPIRIT TOBACCO AND VAPE / CHARLES CITY</t>
  </si>
  <si>
    <t>CHARLES CITY</t>
  </si>
  <si>
    <t>FLOYD</t>
  </si>
  <si>
    <t>T034</t>
  </si>
  <si>
    <t>CASEY'S #4306 / FAIRFIELD</t>
  </si>
  <si>
    <t>FAIRFIELD</t>
  </si>
  <si>
    <t>JEFFERSON</t>
  </si>
  <si>
    <t>T051</t>
  </si>
  <si>
    <t>010090</t>
  </si>
  <si>
    <t>WEST SECOND BP / OTTUMWA</t>
  </si>
  <si>
    <t>OTTUMWA</t>
  </si>
  <si>
    <t>WAPELLO</t>
  </si>
  <si>
    <t>T090</t>
  </si>
  <si>
    <t>CASEY'S #6116 / COUNCIL BLUFFS</t>
  </si>
  <si>
    <t>COUNCIL BLUFFS</t>
  </si>
  <si>
    <t>010093</t>
  </si>
  <si>
    <t>CASEY'S #6117 / COUNCIL BLUFFS</t>
  </si>
  <si>
    <t>CASEY'S #6134 / COUNCIL BLUFFS</t>
  </si>
  <si>
    <t>CASEY'S #6122 / COUNCIL BLUFFS</t>
  </si>
  <si>
    <t>DIVISION MART / DAVENPORT</t>
  </si>
  <si>
    <t>CASEY'S #6127 / COUNCIL BLUFFS</t>
  </si>
  <si>
    <t>010098</t>
  </si>
  <si>
    <t>THE PUMPER / FAYETTE</t>
  </si>
  <si>
    <t>MILLS GROCERY AND LIQUOR / WEST DES MOINES</t>
  </si>
  <si>
    <t>EASTSIDE LIQUOR AND GROCERY / MARSHALLTOWN</t>
  </si>
  <si>
    <t>MARSHALLTOWN</t>
  </si>
  <si>
    <t>MARSHALL</t>
  </si>
  <si>
    <t>T064</t>
  </si>
  <si>
    <t>010101</t>
  </si>
  <si>
    <t>CUBBY'S ODEBOLT / ODEBOLT</t>
  </si>
  <si>
    <t>ODEBOLT</t>
  </si>
  <si>
    <t>SAC</t>
  </si>
  <si>
    <t>T081</t>
  </si>
  <si>
    <t>WORLD LIQUOR AND TOBACCO PLUS VAPORS /  CHEROKEE</t>
  </si>
  <si>
    <t>CHEROKEE</t>
  </si>
  <si>
    <t>T018</t>
  </si>
  <si>
    <t>WMART / DAVENPORT</t>
  </si>
  <si>
    <t>MEGA RETAIL / MARION</t>
  </si>
  <si>
    <t>OELWEIN LIQUORS LLC / OELWEIN</t>
  </si>
  <si>
    <t>010106</t>
  </si>
  <si>
    <t>MILL STREET WINE AND SPIRITS / LAKE MILLS</t>
  </si>
  <si>
    <t>LAKE MILLS</t>
  </si>
  <si>
    <t>WINNEBAGO</t>
  </si>
  <si>
    <t>T095</t>
  </si>
  <si>
    <t>SWEET WATER SPIRITS LLC / CLARION</t>
  </si>
  <si>
    <t>CLARION</t>
  </si>
  <si>
    <t>ROSS TOBACCO SHOP / OTTUMWA</t>
  </si>
  <si>
    <t>010111</t>
  </si>
  <si>
    <t>CASEY'S #4315 - AMES</t>
  </si>
  <si>
    <t>010112</t>
  </si>
  <si>
    <t>CASEY'S #4314 - AMES</t>
  </si>
  <si>
    <t>010113</t>
  </si>
  <si>
    <t>BREW #68 / ELDRIDGE</t>
  </si>
  <si>
    <t>ELDRIDGE</t>
  </si>
  <si>
    <t>010114</t>
  </si>
  <si>
    <t>BREW #58 / HIAWATHA</t>
  </si>
  <si>
    <t>FAREWAY STORES, INC. #236 / BONDURANT</t>
  </si>
  <si>
    <t>DAVIDS FOODS / LAKE MILLS</t>
  </si>
  <si>
    <t>OASIS WINE AND SPIRITS - WINTERSET</t>
  </si>
  <si>
    <t>WINTERSET</t>
  </si>
  <si>
    <t>MADISON</t>
  </si>
  <si>
    <t>T061</t>
  </si>
  <si>
    <t>TIGER MART / TIPTON</t>
  </si>
  <si>
    <t>TIPTON</t>
  </si>
  <si>
    <t>BP / WELTON</t>
  </si>
  <si>
    <t>WELTON</t>
  </si>
  <si>
    <t>010121</t>
  </si>
  <si>
    <t>BIG 10 MART #18 / DAVENPORT</t>
  </si>
  <si>
    <t>CASEY'S #4317 / VINTON</t>
  </si>
  <si>
    <t>VINTON</t>
  </si>
  <si>
    <t>OLY'S C STORE / JEFFERSON</t>
  </si>
  <si>
    <t>GREENE</t>
  </si>
  <si>
    <t>T037</t>
  </si>
  <si>
    <t>010124</t>
  </si>
  <si>
    <t>BREW #55 / CEDAR RAPIDS</t>
  </si>
  <si>
    <t>010125</t>
  </si>
  <si>
    <t>BREW #54 / CEDAR RAPIDS</t>
  </si>
  <si>
    <t>010126</t>
  </si>
  <si>
    <t>BREW #57 / CEDAR RAPIDS</t>
  </si>
  <si>
    <t>GM FOOD MART / MUSCATINE</t>
  </si>
  <si>
    <t>010129</t>
  </si>
  <si>
    <t>TROY MILLS / TROY MILLS</t>
  </si>
  <si>
    <t>TROY MILLS</t>
  </si>
  <si>
    <t>010130</t>
  </si>
  <si>
    <t>WILDCAT DISTILLING / WEBSTER CITY (ET)</t>
  </si>
  <si>
    <t>WEBSTER CITY</t>
  </si>
  <si>
    <t>HAMILTON</t>
  </si>
  <si>
    <t>T040</t>
  </si>
  <si>
    <t>010132</t>
  </si>
  <si>
    <t>BREW #56 / CEDAR RAPIDS</t>
  </si>
  <si>
    <t>010133</t>
  </si>
  <si>
    <t>LATIMER GROCERY / LATIMER</t>
  </si>
  <si>
    <t>LATIMER</t>
  </si>
  <si>
    <t>FRANKLIN</t>
  </si>
  <si>
    <t>T035</t>
  </si>
  <si>
    <t>FAREWAY STORES, INC. #232 / WEST DES MOINES</t>
  </si>
  <si>
    <t>010135</t>
  </si>
  <si>
    <t>BUDDAS ONE STOP, LLC</t>
  </si>
  <si>
    <t>STANWOOD</t>
  </si>
  <si>
    <t>STAR LIQUOR TOBACCO AND VAPE / WAUKEE</t>
  </si>
  <si>
    <t>WAUKEE</t>
  </si>
  <si>
    <t>010137</t>
  </si>
  <si>
    <t>FAS MART #551 / GLENWOOD</t>
  </si>
  <si>
    <t>BRADY MART / DAVENPORT</t>
  </si>
  <si>
    <t>FAS MART #553 / COUNCIL BLUFFS</t>
  </si>
  <si>
    <t>FAS MART #552 / COUNCIL BLUFFS</t>
  </si>
  <si>
    <t>CROSSROADS / HAMPTON</t>
  </si>
  <si>
    <t>HAMPTON</t>
  </si>
  <si>
    <t>010142</t>
  </si>
  <si>
    <t>BREW #62 / DAVENPORT</t>
  </si>
  <si>
    <t>010143</t>
  </si>
  <si>
    <t>BREW #63 / DAVENPORT</t>
  </si>
  <si>
    <t>BREW #67 / DAVENPORT</t>
  </si>
  <si>
    <t>010145</t>
  </si>
  <si>
    <t>NUEVO VALLARTA GROCERY &amp; JEWELRY, LLC / SIOUX CITY /</t>
  </si>
  <si>
    <t>SIOUX CENTER</t>
  </si>
  <si>
    <t>BROOKLYN GROCERY / BROOKLYN</t>
  </si>
  <si>
    <t>BROOKLYN</t>
  </si>
  <si>
    <t>POWESHIEK</t>
  </si>
  <si>
    <t>T079</t>
  </si>
  <si>
    <t>010147</t>
  </si>
  <si>
    <t>PONY EXPRESS / SLOAN</t>
  </si>
  <si>
    <t>SLOAN</t>
  </si>
  <si>
    <t>010148</t>
  </si>
  <si>
    <t>PETRO AND MORE / LETTS</t>
  </si>
  <si>
    <t>LETTS</t>
  </si>
  <si>
    <t>LOUISA</t>
  </si>
  <si>
    <t>T058</t>
  </si>
  <si>
    <t>010149</t>
  </si>
  <si>
    <t>BREW OIL #13 / ORANGE CITY</t>
  </si>
  <si>
    <t>ORANGE CITY</t>
  </si>
  <si>
    <t>010150</t>
  </si>
  <si>
    <t>WYCH DR DISTILLING CO / (ET)</t>
  </si>
  <si>
    <t>010152</t>
  </si>
  <si>
    <t>SPEEDEE MART 1512 / COUNCIL BLUFFS</t>
  </si>
  <si>
    <t>IOWA SPIRITS / BURLINGTON</t>
  </si>
  <si>
    <t>BURLINGTON</t>
  </si>
  <si>
    <t>T029</t>
  </si>
  <si>
    <t>HIWAY 20 LIQUOR AND TOBACCO / WEBSTER CITY</t>
  </si>
  <si>
    <t>010155</t>
  </si>
  <si>
    <t>CASEY'S #4324 / PALO</t>
  </si>
  <si>
    <t>PALO</t>
  </si>
  <si>
    <t>SA TOBACCO LIQUOR MART / CLINTON</t>
  </si>
  <si>
    <t>BP EXPRESS / WEST UNION</t>
  </si>
  <si>
    <t>WEST UNION</t>
  </si>
  <si>
    <t>010159</t>
  </si>
  <si>
    <t>SUNSHINE FOODS / MILFORD</t>
  </si>
  <si>
    <t>MILFORD</t>
  </si>
  <si>
    <t>DICKINSON</t>
  </si>
  <si>
    <t>T030</t>
  </si>
  <si>
    <t>ONE STOP FOOD AND FUEL / SIOUX CITY</t>
  </si>
  <si>
    <t>KIMMES BAXTER COUNTRY STORE #13 / BAXTER</t>
  </si>
  <si>
    <t>BAXTER</t>
  </si>
  <si>
    <t>NEWTON MARKET / NEWTON</t>
  </si>
  <si>
    <t>NEWTON</t>
  </si>
  <si>
    <t>LA HISPANA GROCERY / HAWARDEN</t>
  </si>
  <si>
    <t>HAWARDEN</t>
  </si>
  <si>
    <t>SUPER MARKET / DAVENPORT</t>
  </si>
  <si>
    <t>HY-VEE / ELDRIDGE</t>
  </si>
  <si>
    <t>MT VERNON DISCOUNT MARKET LLC / CEDAR RAPIDS</t>
  </si>
  <si>
    <t>SHERPA LIQUOR &amp; TOBACCO OUTLET 1 / BURLINGTON</t>
  </si>
  <si>
    <t>SHERPA LIQUOR &amp; TOBACCO OUTLET / BURLINGTON</t>
  </si>
  <si>
    <t>HUBER'S STORE / FORT ATKINSON</t>
  </si>
  <si>
    <t>FORT ATKINSON</t>
  </si>
  <si>
    <t>WINNESHIEK</t>
  </si>
  <si>
    <t>T096</t>
  </si>
  <si>
    <t>010174</t>
  </si>
  <si>
    <t>FAS MART #5149 / CEDAR RAPIDS</t>
  </si>
  <si>
    <t>010176</t>
  </si>
  <si>
    <t>FIRE AND SALT CO - CORNING LLC</t>
  </si>
  <si>
    <t>CORNING</t>
  </si>
  <si>
    <t>ADAMS</t>
  </si>
  <si>
    <t>T002</t>
  </si>
  <si>
    <t>010177</t>
  </si>
  <si>
    <t>FAREWAY STORES, INC. #233 / CLIVE</t>
  </si>
  <si>
    <t>CLIVE</t>
  </si>
  <si>
    <t>BANI'S / CEDAR FALLS</t>
  </si>
  <si>
    <t>CEDAR FALLS</t>
  </si>
  <si>
    <t>010179</t>
  </si>
  <si>
    <t>KLINE'S QUICK TIME / KNOXVILLE</t>
  </si>
  <si>
    <t>KNOXVILLE</t>
  </si>
  <si>
    <t>SWEETIES LIQUOR STORE AND COFFEE SHOP LLC / ODEBOLT</t>
  </si>
  <si>
    <t>010181</t>
  </si>
  <si>
    <t>BLAIRSTOWN QUICK STOP / BLAIRSTOWN</t>
  </si>
  <si>
    <t>BLAIRSTOWN</t>
  </si>
  <si>
    <t>010182</t>
  </si>
  <si>
    <t>CARSON COUNTRY STORE LLC / CARSON</t>
  </si>
  <si>
    <t>CARSON</t>
  </si>
  <si>
    <t>CROWN LIQUOR &amp; SMOKE / IOWA CITY</t>
  </si>
  <si>
    <t>010185</t>
  </si>
  <si>
    <t>CASEY'S #4367 / IOWA CITY</t>
  </si>
  <si>
    <t>CASEY'S #4369 / IOWA CITY</t>
  </si>
  <si>
    <t>CASEY'S #4368 / CORALVILLE</t>
  </si>
  <si>
    <t>CORALVILLE</t>
  </si>
  <si>
    <t>NICKS FAMILY GROCERY / WINTHROP</t>
  </si>
  <si>
    <t>WINTHROP</t>
  </si>
  <si>
    <t>BUCHANAN</t>
  </si>
  <si>
    <t>T010</t>
  </si>
  <si>
    <t>010189</t>
  </si>
  <si>
    <t>HY-VEE / KNOXVILLE</t>
  </si>
  <si>
    <t>CASEY'S GENERAL STORE #2608 / SIOUX CITY</t>
  </si>
  <si>
    <t>WEVER JUNCTION INC / WEVER</t>
  </si>
  <si>
    <t>WEVER</t>
  </si>
  <si>
    <t>LEE</t>
  </si>
  <si>
    <t>T056</t>
  </si>
  <si>
    <t>010192</t>
  </si>
  <si>
    <t>ENGEN EXPRESS / RIDGEWAY</t>
  </si>
  <si>
    <t>RIDGEWAY</t>
  </si>
  <si>
    <t>BEER ON FLOYD / SIOUX CITY</t>
  </si>
  <si>
    <t>010194</t>
  </si>
  <si>
    <t>GOODSTOP BY CASEY'S #4313 / ELDORA</t>
  </si>
  <si>
    <t>ELDORA</t>
  </si>
  <si>
    <t>HARDIN</t>
  </si>
  <si>
    <t>T042</t>
  </si>
  <si>
    <t>010195</t>
  </si>
  <si>
    <t>STAR / DENISON</t>
  </si>
  <si>
    <t>DENISON</t>
  </si>
  <si>
    <t>CRAWFORD</t>
  </si>
  <si>
    <t>T024</t>
  </si>
  <si>
    <t>010196</t>
  </si>
  <si>
    <t>ONE STOP / HAMPTON</t>
  </si>
  <si>
    <t>010197</t>
  </si>
  <si>
    <t>SUNSHINE FOODS / HAWARDEN</t>
  </si>
  <si>
    <t>WORLD LIQUOR &amp; TOBACCO PLUS VAPORS</t>
  </si>
  <si>
    <t>010199</t>
  </si>
  <si>
    <t>ELKADER PIT STOP / ELKADER</t>
  </si>
  <si>
    <t>MUGHAL, INC. / WATERLOO</t>
  </si>
  <si>
    <t>WORLD LIQUOR &amp; TOBACCO PLUS VAPORS / ADEL</t>
  </si>
  <si>
    <t>ADEL</t>
  </si>
  <si>
    <t>010202</t>
  </si>
  <si>
    <t>BOOTLEGGERS</t>
  </si>
  <si>
    <t>ROCK VALLEY</t>
  </si>
  <si>
    <t>HAWKEYE SMOKE SHOP / FAIRFIELD</t>
  </si>
  <si>
    <t>010207</t>
  </si>
  <si>
    <t>DOC'S LIQUOR / ROCK VALLEY</t>
  </si>
  <si>
    <t>HAWKEYE CONVENIENCE STORE / CEDAR RAPIDS</t>
  </si>
  <si>
    <t>CRESTON LIQUORS / CRESTON</t>
  </si>
  <si>
    <t>CRESTON</t>
  </si>
  <si>
    <t>UNION</t>
  </si>
  <si>
    <t>T088</t>
  </si>
  <si>
    <t>010211</t>
  </si>
  <si>
    <t>DOUDS KWIK STOP / DOUDS</t>
  </si>
  <si>
    <t>DOUDS</t>
  </si>
  <si>
    <t>VAN BUREN</t>
  </si>
  <si>
    <t>T089</t>
  </si>
  <si>
    <t>SUNSHINE FOODS ROCK VALLEY / ROCK VALLEY</t>
  </si>
  <si>
    <t>NEW STAR / CHARITON</t>
  </si>
  <si>
    <t>CHARITON</t>
  </si>
  <si>
    <t>LUCAS</t>
  </si>
  <si>
    <t>T059</t>
  </si>
  <si>
    <t>EASYGO LIQUOR / WEST DES MOINES</t>
  </si>
  <si>
    <t>OCEAN LIQUOR AND SMOKE ETC / CEDAR RAPIDS</t>
  </si>
  <si>
    <t>KRAMER'S INC.</t>
  </si>
  <si>
    <t>SALEM</t>
  </si>
  <si>
    <t>HENRY</t>
  </si>
  <si>
    <t>T044</t>
  </si>
  <si>
    <t>010217</t>
  </si>
  <si>
    <t>HIGHWAY LIQUORS AND TOBACCO / OSKALOOSA</t>
  </si>
  <si>
    <t>OSKALOOSA</t>
  </si>
  <si>
    <t>MAHASKA</t>
  </si>
  <si>
    <t>T062</t>
  </si>
  <si>
    <t>010218</t>
  </si>
  <si>
    <t>ABARROTES GASCA LLC / ROCK VALLEY</t>
  </si>
  <si>
    <t>010219</t>
  </si>
  <si>
    <t>7 DAYS MART / COUNCIL BLUFFS</t>
  </si>
  <si>
    <t>VAPE AND SMOKE / TAMA</t>
  </si>
  <si>
    <t>010221</t>
  </si>
  <si>
    <t>SUPER STOP 3 / DUBUQUE</t>
  </si>
  <si>
    <t>010223</t>
  </si>
  <si>
    <t>4 WAY STOP SHOP / MOVILLE</t>
  </si>
  <si>
    <t>MOVILLE</t>
  </si>
  <si>
    <t>010224</t>
  </si>
  <si>
    <t>KIMMES DENISON COUNTRY STORE 11 / DENISON</t>
  </si>
  <si>
    <t>010225</t>
  </si>
  <si>
    <t>B&amp;L DRIVE THRU / FORT DODGE</t>
  </si>
  <si>
    <t>GRIMES LIQUOR SHOP / GRIMES</t>
  </si>
  <si>
    <t>GRIMES</t>
  </si>
  <si>
    <t>010229</t>
  </si>
  <si>
    <t>SHELDON TRUCK PLAZA INC. / SHELDON</t>
  </si>
  <si>
    <t>SHELDON</t>
  </si>
  <si>
    <t>O'BRIEN</t>
  </si>
  <si>
    <t>T071</t>
  </si>
  <si>
    <t>010231</t>
  </si>
  <si>
    <t>ANTOJITOS PENA / HAWARDEN</t>
  </si>
  <si>
    <t>HOMETOWN MARKET / CENTRAL CITY</t>
  </si>
  <si>
    <t>CENTRAL CITY</t>
  </si>
  <si>
    <t>COALVILLE STOP N SHOP / FORT DODGE</t>
  </si>
  <si>
    <t>010234</t>
  </si>
  <si>
    <t>LA TROPICANA / URBANDALE</t>
  </si>
  <si>
    <t>MAPLETON FOOD LAND / MAPLETON</t>
  </si>
  <si>
    <t>MAPLETON</t>
  </si>
  <si>
    <t>T067</t>
  </si>
  <si>
    <t>010239</t>
  </si>
  <si>
    <t>KUM &amp; GO #98 / WEST DES MOINES</t>
  </si>
  <si>
    <t>FORBES MEAT / SPIRIT LAKE</t>
  </si>
  <si>
    <t>SPIRIT LAKE</t>
  </si>
  <si>
    <t>FAREWAY STORES, INC. #237 / LE CLAIRE</t>
  </si>
  <si>
    <t>010243</t>
  </si>
  <si>
    <t>WEST 5TH MART / WATERLOO</t>
  </si>
  <si>
    <t>010244</t>
  </si>
  <si>
    <t>OTHO CONVENIENCE AND FOOD / OTHO</t>
  </si>
  <si>
    <t>OTHO</t>
  </si>
  <si>
    <t>TWO RIVERS / COLUMBUS JUNCTION</t>
  </si>
  <si>
    <t>COLUMBUS JUNCTION</t>
  </si>
  <si>
    <t>BYRON MART / WATERLOO</t>
  </si>
  <si>
    <t>010249</t>
  </si>
  <si>
    <t>DUTCHMART FOODS / ORANGE CITY</t>
  </si>
  <si>
    <t>THOMSEN'S FILLING STATION / OXFORD JUNCTION</t>
  </si>
  <si>
    <t>OXFORD JUNCTION</t>
  </si>
  <si>
    <t>JONES</t>
  </si>
  <si>
    <t>T053</t>
  </si>
  <si>
    <t>FASTLAND LLC / BURLINGTON</t>
  </si>
  <si>
    <t>LIQUOR AND TOBACCO OUTLET / WATERLOO</t>
  </si>
  <si>
    <t>MAYNARDS OF AKRON / AKRON</t>
  </si>
  <si>
    <t>AKRON</t>
  </si>
  <si>
    <t>010258</t>
  </si>
  <si>
    <t>KWIK STAR #1190 / DECORAH</t>
  </si>
  <si>
    <t>DECORAH</t>
  </si>
  <si>
    <t>010259</t>
  </si>
  <si>
    <t>LALO'S LIQUOR STORE / AMES</t>
  </si>
  <si>
    <t>010260</t>
  </si>
  <si>
    <t>BAILEY'S CONVENIENCE / STUART</t>
  </si>
  <si>
    <t>STUART</t>
  </si>
  <si>
    <t>AVENUE G STORE / COUNCIL BLUFFS</t>
  </si>
  <si>
    <t>010262</t>
  </si>
  <si>
    <t>JAY BROS / WILLIAMS</t>
  </si>
  <si>
    <t>WILLIAMS</t>
  </si>
  <si>
    <t>010264</t>
  </si>
  <si>
    <t>THE JO STOP / NORTHWOOD</t>
  </si>
  <si>
    <t>NORTHWOOD</t>
  </si>
  <si>
    <t>WORTH</t>
  </si>
  <si>
    <t>T098</t>
  </si>
  <si>
    <t>FOUR CORNERS MARKET / MASON CITY</t>
  </si>
  <si>
    <t>MASON CITY</t>
  </si>
  <si>
    <t>CERRO GORDO</t>
  </si>
  <si>
    <t>T017</t>
  </si>
  <si>
    <t>NEIGHBORHOOD FOOD LIQUOR AND TOBACCO / CEDAR RAPIDS</t>
  </si>
  <si>
    <t>010269</t>
  </si>
  <si>
    <t>ALL IN GROCERS / WATERLOO</t>
  </si>
  <si>
    <t>LIQUOR LOVERS  / ANKENY</t>
  </si>
  <si>
    <t>010271</t>
  </si>
  <si>
    <t>SMOKE VIBEZ / DAVENPORT</t>
  </si>
  <si>
    <t>UNIVERSITY LIQUORS / WEST DES MOINES</t>
  </si>
  <si>
    <t>UNIVERSITY MARKET / DES MOINES</t>
  </si>
  <si>
    <t>KWIK STAR #715 / WATERLOO</t>
  </si>
  <si>
    <t>010278</t>
  </si>
  <si>
    <t>SHELLSBURG QUICK STOP / SHELLSBURG</t>
  </si>
  <si>
    <t>SHELLSBURG</t>
  </si>
  <si>
    <t>010279</t>
  </si>
  <si>
    <t>WASHINGTON SPIRITS &amp; TOBACCO / WASHINGTON</t>
  </si>
  <si>
    <t>WASHINGTON</t>
  </si>
  <si>
    <t>T092</t>
  </si>
  <si>
    <t>QUICK SHOP LIQUOR AND VAPE / CLEAR LAKE</t>
  </si>
  <si>
    <t>CLEARLAKE</t>
  </si>
  <si>
    <t>010281</t>
  </si>
  <si>
    <t>CORYDON CORNER / CORYDON</t>
  </si>
  <si>
    <t>CORYDON</t>
  </si>
  <si>
    <t>WAYNE</t>
  </si>
  <si>
    <t>T093</t>
  </si>
  <si>
    <t>ANDY'S MINI MART / RICEVILLE</t>
  </si>
  <si>
    <t>RICEVILLE</t>
  </si>
  <si>
    <t>HOWARD</t>
  </si>
  <si>
    <t>T045</t>
  </si>
  <si>
    <t>CASEY'S GENERAL STORE # 2889 / SIOUX CITY</t>
  </si>
  <si>
    <t>010284</t>
  </si>
  <si>
    <t>RAY'S SUPER MARKET / EVANSDALE</t>
  </si>
  <si>
    <t>EVANSDALE</t>
  </si>
  <si>
    <t>010285</t>
  </si>
  <si>
    <t>HY-VEE FAST &amp; FRESH 2 / DAVENPORT</t>
  </si>
  <si>
    <t>010287</t>
  </si>
  <si>
    <t>BREW OIL #80 / WEST DES MOINES</t>
  </si>
  <si>
    <t>010289</t>
  </si>
  <si>
    <t>BLUE LIQUOR AND TOBACCO STORE / STATE CENTER</t>
  </si>
  <si>
    <t>STATE CENTER</t>
  </si>
  <si>
    <t>WEST SIDE LIQUOR / WATERLOO</t>
  </si>
  <si>
    <t>EXPRESS MART / WATERLOO</t>
  </si>
  <si>
    <t>PRIME MART / CEDAR FALLS</t>
  </si>
  <si>
    <t>STORY CITY LIQUOR AND SMOKE SHOP / STORY CITY</t>
  </si>
  <si>
    <t>STORY CITY</t>
  </si>
  <si>
    <t>010294</t>
  </si>
  <si>
    <t>SANCHEZ GROCERY LLC / CORWITH</t>
  </si>
  <si>
    <t>CORWITH</t>
  </si>
  <si>
    <t>HANCOCK</t>
  </si>
  <si>
    <t>T041</t>
  </si>
  <si>
    <t>010296</t>
  </si>
  <si>
    <t>US SMOKE SHOP #1 / OTTUMWA</t>
  </si>
  <si>
    <t>WESTSIDE GROCERY / DAVENPORT</t>
  </si>
  <si>
    <t>010298</t>
  </si>
  <si>
    <t>CASEY'S #4308 / CHARITON</t>
  </si>
  <si>
    <t>010299</t>
  </si>
  <si>
    <t>COLFAX TRUCK STOP LLC / COLFAX</t>
  </si>
  <si>
    <t>ESSENTIALS / CEDAR RAPIDS</t>
  </si>
  <si>
    <t>010301</t>
  </si>
  <si>
    <t>FLOYD FOOD AND FUEL / SIOUX CITY</t>
  </si>
  <si>
    <t>SIOUX-PER CENTER / SIOUX CENTER</t>
  </si>
  <si>
    <t>DECORAH MART / DECORAH</t>
  </si>
  <si>
    <t>VINTON LIQUOR TOBACCO AND VAPE / VINTON</t>
  </si>
  <si>
    <t>ATLANTIC LIQUOR / ATLANTIC</t>
  </si>
  <si>
    <t>ATLANTIC</t>
  </si>
  <si>
    <t>CASS</t>
  </si>
  <si>
    <t>T015</t>
  </si>
  <si>
    <t>SUPER QUICK LIQUOR / KNOXVILLE</t>
  </si>
  <si>
    <t>010310</t>
  </si>
  <si>
    <t>CASEY'S #4504 / DOWS</t>
  </si>
  <si>
    <t>DOWS</t>
  </si>
  <si>
    <t>010312</t>
  </si>
  <si>
    <t>THE LIQUOR STOP / SUMNER</t>
  </si>
  <si>
    <t>SUMNER</t>
  </si>
  <si>
    <t>BREMER</t>
  </si>
  <si>
    <t>T009</t>
  </si>
  <si>
    <t>KONVENIENCE KORNER CENTERVILLE / CENTERVILLE</t>
  </si>
  <si>
    <t>CENTERVILLE</t>
  </si>
  <si>
    <t>APPANOOSE</t>
  </si>
  <si>
    <t>T004</t>
  </si>
  <si>
    <t>010314</t>
  </si>
  <si>
    <t>KUM &amp; GO #2212 / ANKENY</t>
  </si>
  <si>
    <t>A &amp; Z LIQUOR / HAMPTON</t>
  </si>
  <si>
    <t>LUXEMBURG CORNER MART AND GAS / LUXEMBURG</t>
  </si>
  <si>
    <t>LUXEMBURG</t>
  </si>
  <si>
    <t>CALAMUS COUNTRY STORE / CALAMUS</t>
  </si>
  <si>
    <t>CALAMUS</t>
  </si>
  <si>
    <t>SUPER MART / OELWEIN</t>
  </si>
  <si>
    <t>TOBACCO 4 LESS / DAVENPORT</t>
  </si>
  <si>
    <t>010324</t>
  </si>
  <si>
    <t>YESWAY #1008 / MANILLA</t>
  </si>
  <si>
    <t>MANILLA</t>
  </si>
  <si>
    <t>KWIK STAR 1208 / SIOUX CENTER</t>
  </si>
  <si>
    <t>010328</t>
  </si>
  <si>
    <t>BUDGET INN / OSKALOOSA</t>
  </si>
  <si>
    <t>010330</t>
  </si>
  <si>
    <t>TEMPLETON RYE SPIRITS, LLC (ET)</t>
  </si>
  <si>
    <t>TEMPLETON</t>
  </si>
  <si>
    <t>METRO MART #3 / CEDAR FALLS</t>
  </si>
  <si>
    <t>FAREWAY STORES, INC. #077B / NORWALK</t>
  </si>
  <si>
    <t>NORWALK</t>
  </si>
  <si>
    <t>WARREN</t>
  </si>
  <si>
    <t>T091</t>
  </si>
  <si>
    <t>SPIRIT LIQUOR - 1 / GRIMES</t>
  </si>
  <si>
    <t>DISCOUNT LIQUOR TOBACCO &amp; VAPE / CRESTON</t>
  </si>
  <si>
    <t>010336</t>
  </si>
  <si>
    <t>A-T-V SHACK / NEW HAMPTON</t>
  </si>
  <si>
    <t>NEW HAMPTON</t>
  </si>
  <si>
    <t>CHICKASAW</t>
  </si>
  <si>
    <t>T019</t>
  </si>
  <si>
    <t>010337</t>
  </si>
  <si>
    <t>WEST K MART / KEOKUK</t>
  </si>
  <si>
    <t>KEOKUK</t>
  </si>
  <si>
    <t>010338</t>
  </si>
  <si>
    <t>HY-VEE FAST AND FRESH / CUMMING</t>
  </si>
  <si>
    <t>CUMMING</t>
  </si>
  <si>
    <t>010339</t>
  </si>
  <si>
    <t>CASEY'S #4294 / CORYDON</t>
  </si>
  <si>
    <t>010340</t>
  </si>
  <si>
    <t>URBAN FUEL / NORTH LIBERTY</t>
  </si>
  <si>
    <t>NORTH LIBERTY</t>
  </si>
  <si>
    <t>010342</t>
  </si>
  <si>
    <t>YESWAY #1006 / IRWIN</t>
  </si>
  <si>
    <t>IRWIN</t>
  </si>
  <si>
    <t>SHELBY</t>
  </si>
  <si>
    <t>T083</t>
  </si>
  <si>
    <t>010344</t>
  </si>
  <si>
    <t>EAGLE FOOD MART LLC / MISSOURI VALLEY</t>
  </si>
  <si>
    <t>MISSOURI VALLEY</t>
  </si>
  <si>
    <t>HARRISON</t>
  </si>
  <si>
    <t>T043</t>
  </si>
  <si>
    <t>HOPSTOP LIQUOR AND GROCERIES / NEVADA</t>
  </si>
  <si>
    <t>NEVADA</t>
  </si>
  <si>
    <t>010346</t>
  </si>
  <si>
    <t>SUNDOWN LIQUOR AND GROCERIES / NEVADA</t>
  </si>
  <si>
    <t>THE SPOT SMOKE SHOP / INDEPENDENCE</t>
  </si>
  <si>
    <t>INDEPENDENCE</t>
  </si>
  <si>
    <t>SPIRITS WORLD / INDIANOLA</t>
  </si>
  <si>
    <t>INDIANOLA</t>
  </si>
  <si>
    <t>MEGA SAVER / COUNCIL BLUFFS</t>
  </si>
  <si>
    <t>SUPER SAVER LIQUOR / MUSCATINE</t>
  </si>
  <si>
    <t>CASEY'S #4319 / PERRY</t>
  </si>
  <si>
    <t>010353</t>
  </si>
  <si>
    <t>ANDREW COUNTRY MART / ANDREW</t>
  </si>
  <si>
    <t>ANDREW</t>
  </si>
  <si>
    <t>JACKSON</t>
  </si>
  <si>
    <t>T049</t>
  </si>
  <si>
    <t>010354</t>
  </si>
  <si>
    <t>010357</t>
  </si>
  <si>
    <t>FAIRBANK FOOD CENTER / FAIRBANK</t>
  </si>
  <si>
    <t>FAIRBANK</t>
  </si>
  <si>
    <t>010360</t>
  </si>
  <si>
    <t>CASEY'S #4539 / ROCK RAPIDS</t>
  </si>
  <si>
    <t>ROCK RAPIDS</t>
  </si>
  <si>
    <t>LYON</t>
  </si>
  <si>
    <t>T060</t>
  </si>
  <si>
    <t>010361</t>
  </si>
  <si>
    <t>EVANSDALE MARKET PLACE / EVANSDALE</t>
  </si>
  <si>
    <t>MASON MART / MASON CITY</t>
  </si>
  <si>
    <t>CALMAR TOBACCO OUTLET / CALMAR</t>
  </si>
  <si>
    <t>CALMAR</t>
  </si>
  <si>
    <t>010365</t>
  </si>
  <si>
    <t>K &amp; N MINI MART</t>
  </si>
  <si>
    <t>STACYVILLE</t>
  </si>
  <si>
    <t>MITCHELL</t>
  </si>
  <si>
    <t>T066</t>
  </si>
  <si>
    <t>010366</t>
  </si>
  <si>
    <t>CASEY'S #4279 / CEDAR FALLS</t>
  </si>
  <si>
    <t>CASEY'S #4333 / CUMMING</t>
  </si>
  <si>
    <t>ROYAL LIQUOR AND SMOKE / GRINNELL</t>
  </si>
  <si>
    <t>GRINNELL</t>
  </si>
  <si>
    <t>010370</t>
  </si>
  <si>
    <t>CITY SMOKE SHOP / JOHNSTON</t>
  </si>
  <si>
    <t>JOHNSTON</t>
  </si>
  <si>
    <t>010374</t>
  </si>
  <si>
    <t>MCDERMOTT OIL COMPANY / EARLVILLE</t>
  </si>
  <si>
    <t>EARLVILLE</t>
  </si>
  <si>
    <t>DELAWARE</t>
  </si>
  <si>
    <t>T028</t>
  </si>
  <si>
    <t>AL &amp; JA'S GAS &amp; LIQUORS, LLC</t>
  </si>
  <si>
    <t>NEW SHARON</t>
  </si>
  <si>
    <t>010378</t>
  </si>
  <si>
    <t>010380</t>
  </si>
  <si>
    <t>HIGHWAY LIQUOR &amp; SMOKE SHOP / SHELDON</t>
  </si>
  <si>
    <t>HURRIBAK IV DISTRIBUTION / CHARITON</t>
  </si>
  <si>
    <t>010383</t>
  </si>
  <si>
    <t>O SO GOOD WINERY &amp; DISTILLERY / (ET)</t>
  </si>
  <si>
    <t>DYERSVILLE</t>
  </si>
  <si>
    <t>010385</t>
  </si>
  <si>
    <t>GARNAVILLO SPEED SHOPPE / GARNAVILLO</t>
  </si>
  <si>
    <t>DOWNTOWN GAS AND GROCERY / DUBUQUE</t>
  </si>
  <si>
    <t>010387</t>
  </si>
  <si>
    <t>SIPN'SMOKE / AMES</t>
  </si>
  <si>
    <t>CASEY'S  #4553 / CEDAR FALLS</t>
  </si>
  <si>
    <t>HOME TOWN WINE AND SPIRIT / KEOKUK</t>
  </si>
  <si>
    <t>010390</t>
  </si>
  <si>
    <t>CASEY'S #4269 / WAUKEE</t>
  </si>
  <si>
    <t>010394</t>
  </si>
  <si>
    <t>RANDALLS STOP N SHOP / HUDSON</t>
  </si>
  <si>
    <t>HUDSON</t>
  </si>
  <si>
    <t>MALIK'S #3 / MASON CITY</t>
  </si>
  <si>
    <t>MALIK'S #1 / MASON CITY</t>
  </si>
  <si>
    <t>THE SPOT #3 / WATERLOO</t>
  </si>
  <si>
    <t>010398</t>
  </si>
  <si>
    <t>SINCLAIR DOWNTOWN / FORT DODGE</t>
  </si>
  <si>
    <t>010399</t>
  </si>
  <si>
    <t>THE DEPOT WALFORD LLC / WALFORD</t>
  </si>
  <si>
    <t>WALFORD</t>
  </si>
  <si>
    <t>010400</t>
  </si>
  <si>
    <t>BUDZZ / ALBURNETT</t>
  </si>
  <si>
    <t>ALBURNETT</t>
  </si>
  <si>
    <t>010402</t>
  </si>
  <si>
    <t>PUFF POUR PLAY INC / POSTVILLE</t>
  </si>
  <si>
    <t>POSTVILLE</t>
  </si>
  <si>
    <t>ALLAMAKEE</t>
  </si>
  <si>
    <t>T003</t>
  </si>
  <si>
    <t>010403</t>
  </si>
  <si>
    <t>WILLIAMS TRAVEL CENTER / WILLIAMS</t>
  </si>
  <si>
    <t>HIWAY 25 LIQUOR / GREENFIELD</t>
  </si>
  <si>
    <t>GREENFIELD</t>
  </si>
  <si>
    <t>ADAIR</t>
  </si>
  <si>
    <t>T001</t>
  </si>
  <si>
    <t>YANA MART / DAVENPORT</t>
  </si>
  <si>
    <t>010406</t>
  </si>
  <si>
    <t>PARADISE LIQUOR AND TOBACCO / CEDAR RAPIDS</t>
  </si>
  <si>
    <t>010409</t>
  </si>
  <si>
    <t>W&amp;H COOPERATIVE OIL CO. / EAGLE GROVE</t>
  </si>
  <si>
    <t>010410</t>
  </si>
  <si>
    <t>HOMETOWN FOODS OF CONRAD / CONRAD</t>
  </si>
  <si>
    <t>CONRAD</t>
  </si>
  <si>
    <t>GRUNDY</t>
  </si>
  <si>
    <t>T038</t>
  </si>
  <si>
    <t>THE SPOT TRUCK STOP / GRIMES</t>
  </si>
  <si>
    <t>010412</t>
  </si>
  <si>
    <t>W&amp;H COOPERATIVE OIL CO. / BADGER</t>
  </si>
  <si>
    <t>BADGER</t>
  </si>
  <si>
    <t>010413</t>
  </si>
  <si>
    <t>W&amp;H COOPERATIVE OIL CO. / RENWICK</t>
  </si>
  <si>
    <t>RENWICK</t>
  </si>
  <si>
    <t>HUMBOLDT</t>
  </si>
  <si>
    <t>T046</t>
  </si>
  <si>
    <t>LIQUOR LAND / DES MOINES</t>
  </si>
  <si>
    <t>010417</t>
  </si>
  <si>
    <t>SPEEDY GAS N SHOP / COUNCIL BLUFFS</t>
  </si>
  <si>
    <t>CASEY'S #4577 / LANSING</t>
  </si>
  <si>
    <t>LANSING</t>
  </si>
  <si>
    <t>MALIK'S #2 / MASON CITY</t>
  </si>
  <si>
    <t>010420</t>
  </si>
  <si>
    <t>FAREWAY STORES, INC. #247 / HULL</t>
  </si>
  <si>
    <t>HULL</t>
  </si>
  <si>
    <t>010421</t>
  </si>
  <si>
    <t>KIMMES LE MARS COUNTRY STORE #08 / LE MARS</t>
  </si>
  <si>
    <t>LE MARS</t>
  </si>
  <si>
    <t>010422</t>
  </si>
  <si>
    <t>FORT DODGE AMPRIDE / FORT DODGE</t>
  </si>
  <si>
    <t>010423</t>
  </si>
  <si>
    <t>KWIK STAR #1153 / MILFORD</t>
  </si>
  <si>
    <t>010424</t>
  </si>
  <si>
    <t>HY-VEE FAST AND FRESH #2 / AMES</t>
  </si>
  <si>
    <t>QUIK STOP / BURLINGTON</t>
  </si>
  <si>
    <t>NEW HAMPTON MART / NEW HAMPTON</t>
  </si>
  <si>
    <t>010428</t>
  </si>
  <si>
    <t>SHORT STOP / BOONE</t>
  </si>
  <si>
    <t>BP / AMES</t>
  </si>
  <si>
    <t>010431</t>
  </si>
  <si>
    <t>FEISTA FOODS / HARTLEY</t>
  </si>
  <si>
    <t>HARTLEY</t>
  </si>
  <si>
    <t>010432</t>
  </si>
  <si>
    <t>SMOKIN HOT / CENTERVILLE</t>
  </si>
  <si>
    <t>010433</t>
  </si>
  <si>
    <t>NAAZ GROUP LLC / DAVENPORT</t>
  </si>
  <si>
    <t>JIM'S FOODS SOUTHEAST / CEDAR RAPIDS</t>
  </si>
  <si>
    <t>010435</t>
  </si>
  <si>
    <t>MCDERMOTT OIL COMPANY / EPWORTH</t>
  </si>
  <si>
    <t>EPWORTH</t>
  </si>
  <si>
    <t>010436</t>
  </si>
  <si>
    <t>KWIK STAR #1701 / NORWALK</t>
  </si>
  <si>
    <t>010437</t>
  </si>
  <si>
    <t>WHITING MARKET LLC - WHITING</t>
  </si>
  <si>
    <t>WHITING</t>
  </si>
  <si>
    <t>010438</t>
  </si>
  <si>
    <t>KWIK STAR #1213 / NORTH LIBERTY</t>
  </si>
  <si>
    <t>010440</t>
  </si>
  <si>
    <t>JJ'S VALLEY MART / ROCK VALLEY</t>
  </si>
  <si>
    <t>010441</t>
  </si>
  <si>
    <t>VIRULAS GENERAL STORE / SIOUX CITY</t>
  </si>
  <si>
    <t>SIP &amp; BURN / ANKENY</t>
  </si>
  <si>
    <t>010444</t>
  </si>
  <si>
    <t>SHIVAM FOOD MART LLC / SERGEANT BLUFF</t>
  </si>
  <si>
    <t>SERGEANT BLUFF</t>
  </si>
  <si>
    <t>OSCEOLA LIQUOR LLC / OSCEOLA</t>
  </si>
  <si>
    <t>OSCEOLA</t>
  </si>
  <si>
    <t>CLARKE</t>
  </si>
  <si>
    <t>T020</t>
  </si>
  <si>
    <t>LIQUOR+ MADISON / WASHINGTON</t>
  </si>
  <si>
    <t>010447</t>
  </si>
  <si>
    <t>SWARM SPORTS BAR AND GRILLE / SUMNER</t>
  </si>
  <si>
    <t>010448</t>
  </si>
  <si>
    <t>CASEY'S #4334 / EPWORTH</t>
  </si>
  <si>
    <t>010449</t>
  </si>
  <si>
    <t>CHAMLING SMOKE &amp; LIQUOR / ANKENY</t>
  </si>
  <si>
    <t>010450</t>
  </si>
  <si>
    <t>WILKES / ELKADER</t>
  </si>
  <si>
    <t>010451</t>
  </si>
  <si>
    <t>BIG 10 MART #25 / ELDRIDGE</t>
  </si>
  <si>
    <t>010452</t>
  </si>
  <si>
    <t>BIG 10 MART #27 / ELDRIDGE</t>
  </si>
  <si>
    <t>010453</t>
  </si>
  <si>
    <t>TJ'S GAS &amp; GRUB / BENNETT</t>
  </si>
  <si>
    <t>BENNETT</t>
  </si>
  <si>
    <t>010454</t>
  </si>
  <si>
    <t>TIGER MART / GRISWOLD</t>
  </si>
  <si>
    <t>GRISWOLD</t>
  </si>
  <si>
    <t>010455</t>
  </si>
  <si>
    <t>SNAK ATAK #53 / KEYSTONE</t>
  </si>
  <si>
    <t>KEYSTONE</t>
  </si>
  <si>
    <t>010456</t>
  </si>
  <si>
    <t>CIRCLE K 4706603 / BURLINGTON</t>
  </si>
  <si>
    <t>TARGET STORE T-2909 / WAUKEE</t>
  </si>
  <si>
    <t>010458</t>
  </si>
  <si>
    <t>UP IN SMOKE / IOWA CITY</t>
  </si>
  <si>
    <t>010459</t>
  </si>
  <si>
    <t>SAINT AVE. BP / OLDS</t>
  </si>
  <si>
    <t>OLDS</t>
  </si>
  <si>
    <t>010460</t>
  </si>
  <si>
    <t>CASEY'S #4391 / WEST BURLINGTON</t>
  </si>
  <si>
    <t>WEST BURLINGTON</t>
  </si>
  <si>
    <t>010463</t>
  </si>
  <si>
    <t>OLD 34 GAS &amp; GRILL / DANVILLE</t>
  </si>
  <si>
    <t>DANVILLE</t>
  </si>
  <si>
    <t>LIQUOR &amp; TOBACCO OUTLET / MANCHESTER</t>
  </si>
  <si>
    <t>MANCHESTER</t>
  </si>
  <si>
    <t>KWIK STAR #1703 / JOHNSTON</t>
  </si>
  <si>
    <t>010467</t>
  </si>
  <si>
    <t>KWIK STAR #1289 / STUART</t>
  </si>
  <si>
    <t>010468</t>
  </si>
  <si>
    <t>KWIK STAR #1702 / CLIVE</t>
  </si>
  <si>
    <t>010471</t>
  </si>
  <si>
    <t>CONCORDIA LLC / BURLINGTON</t>
  </si>
  <si>
    <t>010473</t>
  </si>
  <si>
    <t>DESIGNER INN &amp; SUITES / TOLEDO</t>
  </si>
  <si>
    <t>010474</t>
  </si>
  <si>
    <t>MARTELLE STORE / MARTELLE</t>
  </si>
  <si>
    <t>MARTELLE</t>
  </si>
  <si>
    <t>010475</t>
  </si>
  <si>
    <t>KWIK STAR #1184 / DUBUQUE</t>
  </si>
  <si>
    <t>010476</t>
  </si>
  <si>
    <t>WAYLAND BP / WAYLAND</t>
  </si>
  <si>
    <t>WAYLAND</t>
  </si>
  <si>
    <t>010477</t>
  </si>
  <si>
    <t>RIENBECK GP LLC / REINBECK</t>
  </si>
  <si>
    <t>REINBECK</t>
  </si>
  <si>
    <t>ABC SMOKE / URBANDALE</t>
  </si>
  <si>
    <t>010479</t>
  </si>
  <si>
    <t>NEIGHBORHOOD LIQUOR MART / AMES</t>
  </si>
  <si>
    <t>010481</t>
  </si>
  <si>
    <t>KWIK STAR #1700 / WEBSTER CITY</t>
  </si>
  <si>
    <t>ALTOONA LIQUOR AND TOBACCO / ALTOONA</t>
  </si>
  <si>
    <t>010483</t>
  </si>
  <si>
    <t>QUIK AND HANDI / DYERSVILLE</t>
  </si>
  <si>
    <t>010484</t>
  </si>
  <si>
    <t>SPRINGVILLE FOOD GAS &amp; LIQUOR INC / SPRINGVILLE</t>
  </si>
  <si>
    <t>LIQUOR GARDEN / URBANDALE</t>
  </si>
  <si>
    <t>010486</t>
  </si>
  <si>
    <t>FAREWAY STORES, INC. #249 / STORY CITY</t>
  </si>
  <si>
    <t>010494</t>
  </si>
  <si>
    <t>TAYLOR'S 07 / OAKLAND</t>
  </si>
  <si>
    <t>OAKLAND</t>
  </si>
  <si>
    <t>010495</t>
  </si>
  <si>
    <t>KWIK STAR #1705 / BETTENDORF</t>
  </si>
  <si>
    <t>010497</t>
  </si>
  <si>
    <t>HY-VEE FAST &amp; FRESH / ALTOONA</t>
  </si>
  <si>
    <t>010499</t>
  </si>
  <si>
    <t>SARA MINI MART / MARION</t>
  </si>
  <si>
    <t>010500</t>
  </si>
  <si>
    <t>LALO'S LIQUOR / AMES</t>
  </si>
  <si>
    <t>MANSON HOMETOWN GROCERY / MANSON</t>
  </si>
  <si>
    <t>MANSON</t>
  </si>
  <si>
    <t>CALHOUN</t>
  </si>
  <si>
    <t>T013</t>
  </si>
  <si>
    <t>010503</t>
  </si>
  <si>
    <t>FAREWAY STORES, INC. #850 / SPIRIT LAKE</t>
  </si>
  <si>
    <t>010504</t>
  </si>
  <si>
    <t>KWIK STAR #1725 / MITCHELLVILLE</t>
  </si>
  <si>
    <t>MITCHELLVILLE</t>
  </si>
  <si>
    <t>KWIK STAR #1259 / SPENCER</t>
  </si>
  <si>
    <t>SPENCER</t>
  </si>
  <si>
    <t>CLAY</t>
  </si>
  <si>
    <t>T021</t>
  </si>
  <si>
    <t>SAM FOOD MART / COUNCIL BLUFFS</t>
  </si>
  <si>
    <t>010507</t>
  </si>
  <si>
    <t>BLUE MOUNTAIN LIQUOR / ANKENY</t>
  </si>
  <si>
    <t>010508</t>
  </si>
  <si>
    <t>SOUTHGATE AMES IOWA / AMES</t>
  </si>
  <si>
    <t>010511</t>
  </si>
  <si>
    <t>HICKMAN LIQUOR / URBANDALE</t>
  </si>
  <si>
    <t>010512</t>
  </si>
  <si>
    <t>WHISKEY WOLF LIQUOR &amp; SMOKES / GLENWOOD</t>
  </si>
  <si>
    <t>KWIK STAR #1295 / STORM LAKE</t>
  </si>
  <si>
    <t>STORM LAKE</t>
  </si>
  <si>
    <t>BUENA VISTA</t>
  </si>
  <si>
    <t>T011</t>
  </si>
  <si>
    <t>010516</t>
  </si>
  <si>
    <t>SS KHANNA GROUP INC / CRESTON</t>
  </si>
  <si>
    <t>010519</t>
  </si>
  <si>
    <t>CASEY'S #4396 / BONDURANT</t>
  </si>
  <si>
    <t>010521</t>
  </si>
  <si>
    <t>SUBEDI LLC / ANKENY</t>
  </si>
  <si>
    <t>010522</t>
  </si>
  <si>
    <t>KWIK STAR #1293 / SIOUX CITY</t>
  </si>
  <si>
    <t>010523</t>
  </si>
  <si>
    <t>UPTOWN LIQUOR &amp; TOBACCO / CEDAR RAPIDS</t>
  </si>
  <si>
    <t>010524</t>
  </si>
  <si>
    <t>KYAW FAMILY, INC / STORM LAKE</t>
  </si>
  <si>
    <t>010525</t>
  </si>
  <si>
    <t>BIG 10 MART #22 / DAVENPORT</t>
  </si>
  <si>
    <t>010527</t>
  </si>
  <si>
    <t>BELLEVUE EXPRESS / BELLEVUE</t>
  </si>
  <si>
    <t>BELLEVUE</t>
  </si>
  <si>
    <t>010529</t>
  </si>
  <si>
    <t>HILLSTREET NEWS AND TOBACCO</t>
  </si>
  <si>
    <t>SYCAMORE CONVENIENCE</t>
  </si>
  <si>
    <t>CENTRAL CITY LIQUOR, INC.</t>
  </si>
  <si>
    <t>KEOKUK SPIRITS</t>
  </si>
  <si>
    <t>SAC LIQUOR STORE</t>
  </si>
  <si>
    <t>SAC CITY</t>
  </si>
  <si>
    <t>HAPPY'S WINE &amp; SPIRITS WHOLESALE</t>
  </si>
  <si>
    <t>2228</t>
  </si>
  <si>
    <t>RODGERS SPIRITS AND MORE</t>
  </si>
  <si>
    <t>FORBES LIQUOR LOCKER / REMI</t>
  </si>
  <si>
    <t>INGERSOLL LIQUOR AND BEVERAGE</t>
  </si>
  <si>
    <t>JOHN'S GROCERY</t>
  </si>
  <si>
    <t>RUBACK'S FOOD CENTER</t>
  </si>
  <si>
    <t>2459</t>
  </si>
  <si>
    <t>JUBILEE FOODS</t>
  </si>
  <si>
    <t>GUTHRIE CENTER</t>
  </si>
  <si>
    <t>SID'S BEVERAGE SHOP</t>
  </si>
  <si>
    <t>2478</t>
  </si>
  <si>
    <t>PRAIRIE MEADOWS</t>
  </si>
  <si>
    <t>HY-VEE FOOD STORE #1 (1013) / AMES</t>
  </si>
  <si>
    <t>HY-VEE  #2 (1018) / AMES</t>
  </si>
  <si>
    <t>HY-VEE WINE AND SPIRITS (1022) / ANKENY</t>
  </si>
  <si>
    <t>HY-VEE WINE AND SPIRITS (1038) / BOONE</t>
  </si>
  <si>
    <t>HY-VEE #2 (1044) / BURLINGTON</t>
  </si>
  <si>
    <t>HY-VEE FOOD STORE #1 (1042) / BURLINGTON</t>
  </si>
  <si>
    <t>HY-VEE FOOD STORE #1 (1054) / CEDAR RAPIDS</t>
  </si>
  <si>
    <t>HY-VEE / DRUGTOWN #1 (7020) / CEDAR RAPIDS</t>
  </si>
  <si>
    <t>HY-VEE WINE AND SPIRITS #1 (1281) / IOWA CITY</t>
  </si>
  <si>
    <t>HY-VEE FOOD STORE #2 (1285) / IOWA CITY</t>
  </si>
  <si>
    <t>HY-VEE FOOD STORE #1 (1410) / MASON CITY</t>
  </si>
  <si>
    <t>HY-VEE FOOD STORE #1 (1449) / NEWTON</t>
  </si>
  <si>
    <t>HY-VEE WINE AND SPIRITS (1544) / RED OAK</t>
  </si>
  <si>
    <t>RED OAK</t>
  </si>
  <si>
    <t>MONTGOMERY</t>
  </si>
  <si>
    <t>T069</t>
  </si>
  <si>
    <t>HY-VEE FOOD AND DRUG (1888) / GRAND / WDM</t>
  </si>
  <si>
    <t>HY-VEE WINE AND SPIRITS (1628) / SPIRIT LAKE</t>
  </si>
  <si>
    <t>HY-VEE FOOD STORE (1058) / CENTERVILLE</t>
  </si>
  <si>
    <t>HY-VEE FOOD STORE #1 (1159) / DUBUQUE</t>
  </si>
  <si>
    <t>HY-VEE FOOD STORE #5 (1151) / DES MOINES</t>
  </si>
  <si>
    <t>HY-VEE FOOD STORE #3 (1142) / DES MOINES</t>
  </si>
  <si>
    <t>HY-VEE DRUGSTORE #4 (7025) / CEDAR RAPIDS</t>
  </si>
  <si>
    <t>HY-VEE FOOD STORE #2 (1138) / DES MOINES</t>
  </si>
  <si>
    <t>HY-VEE FOOD STORE #1 (1887) / WDM</t>
  </si>
  <si>
    <t>HY-VEE (1530) / PLEASANT HILL</t>
  </si>
  <si>
    <t>HY-VEE FOOD STORE #3 (1866) / WATERLOO</t>
  </si>
  <si>
    <t>HY-VEE FOOD STORE (1295) / IOWA FALLS</t>
  </si>
  <si>
    <t>IOWA FALLS</t>
  </si>
  <si>
    <t>HY-VEE FOOD STORE #1 (1504) / OTTUMWA</t>
  </si>
  <si>
    <t>HY-VEE FOOD STORE (1403) / MARSHALLTOWN</t>
  </si>
  <si>
    <t>HY-VEE DRUGSTORE (7042) / IOWA CITY</t>
  </si>
  <si>
    <t>HY-VEE FOOD STORE (1011) / ALTOONA</t>
  </si>
  <si>
    <t>HY-VEE FOOD STORE (1271) / INDIANOLA</t>
  </si>
  <si>
    <t>HY-VEE FOOD STORE (1473) / OSCEOLA</t>
  </si>
  <si>
    <t>HY-VEE FOOD STORE (1065) / CHARITON</t>
  </si>
  <si>
    <t>HY-VEE FOOD STORE #3 (1056) / CEDAR RAPIDS</t>
  </si>
  <si>
    <t>HY-VEE FOOD STORE (1095) / CRESTON</t>
  </si>
  <si>
    <t>HY-VEE FOOD STORE #1 (1105) / DAVENPORT</t>
  </si>
  <si>
    <t>HY-VEE FOOD STORE (1324) / KEOKUK</t>
  </si>
  <si>
    <t>HY-VEE WINE AND SPIRITS (1170) / ESTHERVILLE</t>
  </si>
  <si>
    <t>ESTHERVILLE</t>
  </si>
  <si>
    <t>EMMET</t>
  </si>
  <si>
    <t>T032</t>
  </si>
  <si>
    <t>HY-VEE FOOD STORE (1433) / MOUNT PLEASANT</t>
  </si>
  <si>
    <t>MOUNT PLEASANT</t>
  </si>
  <si>
    <t>HY-VEE FOOD STORE (1009) / ALBIA</t>
  </si>
  <si>
    <t>ALBIA</t>
  </si>
  <si>
    <t>MONROE</t>
  </si>
  <si>
    <t>T068</t>
  </si>
  <si>
    <t>HY-VEE FOOD STORE (1396) / MARION</t>
  </si>
  <si>
    <t>HY-VEE FOOD STORE (1148) / FLEUR / DSM</t>
  </si>
  <si>
    <t>HY-VEE FOOD STORE (1192) / FORT DODGE</t>
  </si>
  <si>
    <t>HY-VEE FOOD STORE (1636) / SPENCER</t>
  </si>
  <si>
    <t>HY-VEE FOOD STORE (1353) / KNOXVILLE</t>
  </si>
  <si>
    <t>HY-VEE DRUGSTORE / DAVENPORT</t>
  </si>
  <si>
    <t>HY-VEE FOOD STORE #4 / CEDAR RAPIDS</t>
  </si>
  <si>
    <t>HY-VEE FOOD STORE #2 / WATERLOO</t>
  </si>
  <si>
    <t>HY-VEE FOOD STORE / CEDAR FALLS</t>
  </si>
  <si>
    <t>HY-VEE FOOD STORE / MUSCATINE</t>
  </si>
  <si>
    <t>HY-VEE FOOD STORE #1 / WATERLOO</t>
  </si>
  <si>
    <t>HY-VEE WINE AND SPIRITS / STORM LAKE</t>
  </si>
  <si>
    <t>HY-VEE / CHARLES CITY</t>
  </si>
  <si>
    <t>HY-VEE FOOD STORE / GRINNELL</t>
  </si>
  <si>
    <t>HY-VEE #2 FOOD STORE / MASON CITY</t>
  </si>
  <si>
    <t>HY-VEE FOOD STORE / FORT MADISON</t>
  </si>
  <si>
    <t>FORT MADISON</t>
  </si>
  <si>
    <t>HY-VEE WINE AND SPIRITS (1010) / ALGONA</t>
  </si>
  <si>
    <t>ALGONA</t>
  </si>
  <si>
    <t>KOSSUTH</t>
  </si>
  <si>
    <t>T055</t>
  </si>
  <si>
    <t>HY-VEE FOOD STORE / JOHNSTON</t>
  </si>
  <si>
    <t>HY-VEE FOOD AND DRUG #6 / CEDAR RAPIDS</t>
  </si>
  <si>
    <t>HY-VEE FOOD STORE #5 / CEDAR RAPIDS</t>
  </si>
  <si>
    <t>HY-VEE WINE AND SPIRITS / ATLANTIC</t>
  </si>
  <si>
    <t>HY-VEE FOOD STORE / CARROLL</t>
  </si>
  <si>
    <t>HY-VEE FOOD STORE / SIOUX CITY</t>
  </si>
  <si>
    <t>HY-VEE WINE AND SPIRITS / DENISON</t>
  </si>
  <si>
    <t>HY-VEE OTTUMWA#2</t>
  </si>
  <si>
    <t>HY-VEE FOOD STORE / CHEROKEE</t>
  </si>
  <si>
    <t>HY-VEE FOOD STORE / OSKALOOSA</t>
  </si>
  <si>
    <t>HY-VEE FOOD STORE / FAIRFIELD</t>
  </si>
  <si>
    <t>HY-VEE FOOD STORE / WEBSTER CITY</t>
  </si>
  <si>
    <t>HY-VEE WINE AND SPIRITS / BETTENDORF</t>
  </si>
  <si>
    <t>HY-VEE WINE AND SPIRITS / LE MARS</t>
  </si>
  <si>
    <t>HY-VEE DRUGSTORE #5 / CEDAR RAPIDS</t>
  </si>
  <si>
    <t>HY-VEE WINE AND SPIRITS / HUMBOLDT</t>
  </si>
  <si>
    <t>HY-VEE WINE AND SPIRITS / SHENANDOAH</t>
  </si>
  <si>
    <t>SHENANDOAH</t>
  </si>
  <si>
    <t>PAGE</t>
  </si>
  <si>
    <t>T073</t>
  </si>
  <si>
    <t>HY-VEE DRUGSTORE / OTTUMWA</t>
  </si>
  <si>
    <t>HY-VEE STORE / PERRY</t>
  </si>
  <si>
    <t>HY-VEE FOOD STORE #1 / COUNCIL BLUFFS</t>
  </si>
  <si>
    <t>HY-VEE #3 FOOD &amp; DRUGSTORE / DAVENPORT</t>
  </si>
  <si>
    <t>HY-VEE FOOD AND DRUG / CLINTON</t>
  </si>
  <si>
    <t>HY-VEE DRUGSTORE #6 / CEDAR RAPIDS</t>
  </si>
  <si>
    <t>HY-VEE WINE AND SPIRITS / WDM</t>
  </si>
  <si>
    <t>HY-VEE / WINDSOR HEIGHTS</t>
  </si>
  <si>
    <t>WINDSOR HEIGHTS</t>
  </si>
  <si>
    <t>HY-VEE FOOD STORE #3 / SIOUX CITY</t>
  </si>
  <si>
    <t>HY-VEE FOOD STORE / IOWA CITY</t>
  </si>
  <si>
    <t>HY-VEE FOOD STORE #4 / SIOUX CITY</t>
  </si>
  <si>
    <t>HY-VEE #2 / DUBUQUE</t>
  </si>
  <si>
    <t>HY-VEE WINE &amp; SPIRITS #2 / DAVENPORT</t>
  </si>
  <si>
    <t>HY-VEE DRUGSTORE / UNIVERSITY / DSM</t>
  </si>
  <si>
    <t>HY-VEE WINE &amp; SPIRITS #1 / MLK</t>
  </si>
  <si>
    <t>2628</t>
  </si>
  <si>
    <t>HY-VEE FOOD STORE / ELDORA</t>
  </si>
  <si>
    <t>HY-VEE FOOD STORE #2 / COUNCIL BLUFFS</t>
  </si>
  <si>
    <t>2630</t>
  </si>
  <si>
    <t>HY-VEE DRUGSTORE #2 / WDM</t>
  </si>
  <si>
    <t>HY-VEE #3 / BDI / DES MOINES</t>
  </si>
  <si>
    <t>HY-VEE #4 / DAVENPORT</t>
  </si>
  <si>
    <t>HY-VEE WINE AND SPIRITS / HUBBELL</t>
  </si>
  <si>
    <t>HY-VEE #5 / DAVENPORT</t>
  </si>
  <si>
    <t>HY-VEE WINE AND SPIRITS / PELLA</t>
  </si>
  <si>
    <t>HY-VEE WINE AND SPIRITS / WATERLOO</t>
  </si>
  <si>
    <t>HY-VEE FORT DODGE WINE AND SPIRITS</t>
  </si>
  <si>
    <t>HY-VEE #7 / CEDAR RAPIDS</t>
  </si>
  <si>
    <t>HY-VEE #4 / WDM</t>
  </si>
  <si>
    <t>HY-VEE #3 / DUBUQUE</t>
  </si>
  <si>
    <t>HY-VEE WINE AND SPIRITS / HARLAN</t>
  </si>
  <si>
    <t>HARLAN</t>
  </si>
  <si>
    <t>HY-VEE / WAVERLY</t>
  </si>
  <si>
    <t>WAVERLY</t>
  </si>
  <si>
    <t>HY-VEE DRUGSTORE / MASON CITY</t>
  </si>
  <si>
    <t>HY-VEE WINE AND SPIRITS / WASHINGTON</t>
  </si>
  <si>
    <t>HY-VEE FOOD STORE / CLARINDA</t>
  </si>
  <si>
    <t>CLARINDA</t>
  </si>
  <si>
    <t>HY-VEE FOOD STORE / CORNING</t>
  </si>
  <si>
    <t>HY-VEE FOOD STORE / BEDFORD</t>
  </si>
  <si>
    <t>BEDFORD</t>
  </si>
  <si>
    <t>TAYLOR</t>
  </si>
  <si>
    <t>T087</t>
  </si>
  <si>
    <t>HY-VEE FOOD STORE / MOUNT AYR</t>
  </si>
  <si>
    <t>MOUNT AYR</t>
  </si>
  <si>
    <t>RINGGOLD</t>
  </si>
  <si>
    <t>T080</t>
  </si>
  <si>
    <t>HY-VEE FOOD STORE / SIOUX CENTER</t>
  </si>
  <si>
    <t>HY-VEE FOOD STORE / SHELDON</t>
  </si>
  <si>
    <t>HY-VEE WINE &amp; SPIRITS / MUSCATINE</t>
  </si>
  <si>
    <t>HY-VEE FOOD STORE / URBANDALE</t>
  </si>
  <si>
    <t>HY-VEE / WAUKEE</t>
  </si>
  <si>
    <t>HY-VEE FOOD STORE #2 / STATE ANKENY</t>
  </si>
  <si>
    <t>HY-VEE MAINSTREET / SIOUX CITY</t>
  </si>
  <si>
    <t>HY-VEE FOOD STORE / LEON</t>
  </si>
  <si>
    <t>LEON</t>
  </si>
  <si>
    <t>DECATUR</t>
  </si>
  <si>
    <t>T027</t>
  </si>
  <si>
    <t>HY-VEE / CORYDON</t>
  </si>
  <si>
    <t>HY-VEE FOOD STORE / CORALVILLE</t>
  </si>
  <si>
    <t>HY-VEE  /  JEFFERSON</t>
  </si>
  <si>
    <t>HY-VEE / WINTERSET</t>
  </si>
  <si>
    <t>HY-VEE # 6/ DES MOINES</t>
  </si>
  <si>
    <t>2674</t>
  </si>
  <si>
    <t>HY-VEE FOOD STORE / LAMONI</t>
  </si>
  <si>
    <t>LAMONI</t>
  </si>
  <si>
    <t>HY-VEE #2 / CORALVILLE</t>
  </si>
  <si>
    <t>HY-VEE GAS / INDIANOLA</t>
  </si>
  <si>
    <t>2677</t>
  </si>
  <si>
    <t>HY-VEE FAST &amp; FRESH EXPRESS / CENTERVILLE</t>
  </si>
  <si>
    <t>HY-VEE FAST &amp; FRESH / DAVENPORT</t>
  </si>
  <si>
    <t>2679</t>
  </si>
  <si>
    <t>HY-VEE FAST &amp; FRESH/ALTOONA</t>
  </si>
  <si>
    <t>2681</t>
  </si>
  <si>
    <t>HY-VEE C-STORE / FAIRFIELD</t>
  </si>
  <si>
    <t>HY-VEE FAST &amp; FRESH / WDM</t>
  </si>
  <si>
    <t>HY-VEE - FOREST CITY</t>
  </si>
  <si>
    <t>FOREST CITY</t>
  </si>
  <si>
    <t>HY-VEE -GARNER</t>
  </si>
  <si>
    <t>GARNER</t>
  </si>
  <si>
    <t>2686</t>
  </si>
  <si>
    <t>HY-VEE GAS - PLEASANT HILL</t>
  </si>
  <si>
    <t>2687</t>
  </si>
  <si>
    <t>HY-VEE FAST &amp; FRESH EXPRESS- BETTENDORF</t>
  </si>
  <si>
    <t>HY-VEE C-STORE - EAST HICKMAN</t>
  </si>
  <si>
    <t>2689</t>
  </si>
  <si>
    <t>HY-VEE C-STORE - DOUGLAS</t>
  </si>
  <si>
    <t>2690</t>
  </si>
  <si>
    <t>HY-VEE FAST &amp; FRESH - KNOXVILLE</t>
  </si>
  <si>
    <t>2691</t>
  </si>
  <si>
    <t>HY-VEE FAST &amp; FRESH - DES MOINES</t>
  </si>
  <si>
    <t>2692</t>
  </si>
  <si>
    <t>HY-VEE FAST &amp; FRESH EXPRESS -OSCELOA</t>
  </si>
  <si>
    <t>2693</t>
  </si>
  <si>
    <t>HY-VEE FAST &amp; FRESH EXPRESS / CRESTON</t>
  </si>
  <si>
    <t>2695</t>
  </si>
  <si>
    <t>HY-VEE GAS #4 / DES MOINES</t>
  </si>
  <si>
    <t>HY-VEE C-STORE / SE ARMY POST</t>
  </si>
  <si>
    <t>HY-VEE DOLLAR FRESH - TOLEDO</t>
  </si>
  <si>
    <t>2698</t>
  </si>
  <si>
    <t>HY-VEE GAS #4 - WDM</t>
  </si>
  <si>
    <t>2699</t>
  </si>
  <si>
    <t>HY-VEE C-STORE #2 - ANKENY</t>
  </si>
  <si>
    <t>HY-VEE DOLLAR FRESH - EMMETSBURG</t>
  </si>
  <si>
    <t>2702</t>
  </si>
  <si>
    <t>HY-VEE GAS #1 / ANKENY</t>
  </si>
  <si>
    <t>HY-VEE FAST AND FRESH / CLIVE</t>
  </si>
  <si>
    <t>2704</t>
  </si>
  <si>
    <t>HY-VEE OELWEIN DOLLAR FRESH</t>
  </si>
  <si>
    <t>HY-VEE CRESCO DOLLAR FRESH</t>
  </si>
  <si>
    <t>CRESCO</t>
  </si>
  <si>
    <t>2706</t>
  </si>
  <si>
    <t>HY-VEE FAST AND FRESH / JOHNSTON</t>
  </si>
  <si>
    <t>HY-VEE FAST AND FRESH - URBANDALE</t>
  </si>
  <si>
    <t>2708</t>
  </si>
  <si>
    <t>HY-VEE FAST AND FRESH - WINDSOR HEIGHTS</t>
  </si>
  <si>
    <t>HY-VEE FAST AND FRESH - DUBUQUE</t>
  </si>
  <si>
    <t>2710</t>
  </si>
  <si>
    <t>HY-VEE GAS #1 / OTTUMWA</t>
  </si>
  <si>
    <t>HY-VEE GAS #2 / OTTUMWA</t>
  </si>
  <si>
    <t>HY-VEE / DECORAH</t>
  </si>
  <si>
    <t>HY-VEE DYERSVILLE DOLLAR FRESH</t>
  </si>
  <si>
    <t>HY-VEE / VINTON</t>
  </si>
  <si>
    <t>2715</t>
  </si>
  <si>
    <t>HY-VEE FOOD STORE / DENISON</t>
  </si>
  <si>
    <t>HY-VEE HAMPTON DOLLAR FRESH</t>
  </si>
  <si>
    <t>2717</t>
  </si>
  <si>
    <t>HY-VEE GAS #5018 / AMES</t>
  </si>
  <si>
    <t>2718</t>
  </si>
  <si>
    <t>HY-VEE WAUKON DOLLAR FRESH</t>
  </si>
  <si>
    <t>WAUKON</t>
  </si>
  <si>
    <t>HY-VEE FAST AND FRESH / WAUKEE</t>
  </si>
  <si>
    <t>2720</t>
  </si>
  <si>
    <t>HY-VEE GAS #3 / WDM</t>
  </si>
  <si>
    <t>HY-VEE C-STORE #3 / DUBUQUE</t>
  </si>
  <si>
    <t>2722</t>
  </si>
  <si>
    <t>HY-VEE GAS #5 / DAVENPORT</t>
  </si>
  <si>
    <t>2723</t>
  </si>
  <si>
    <t>HY-VEE GAS / JOHNSTON</t>
  </si>
  <si>
    <t>OSCO #1118 / CLINTON</t>
  </si>
  <si>
    <t>2835</t>
  </si>
  <si>
    <t>CVS PHARMACY #8538 / CEDAR FALLS</t>
  </si>
  <si>
    <t>2836</t>
  </si>
  <si>
    <t>CVS PHARMACY #8546 / WATERLOO</t>
  </si>
  <si>
    <t>CVS PHARMACY #8544 / WATERLOO</t>
  </si>
  <si>
    <t>CVS PHARMACY #8658 / DAVENPORT</t>
  </si>
  <si>
    <t>2839</t>
  </si>
  <si>
    <t>CVS PHARMACY #8659 / DAVENPORT</t>
  </si>
  <si>
    <t>2840</t>
  </si>
  <si>
    <t>CVS PHARMACY #8633 / BETTENDORF</t>
  </si>
  <si>
    <t>CVS PHARMACY #8532 / CEDAR RAPIDS</t>
  </si>
  <si>
    <t>CVS PHARMACY #8526 / CEDAR RAPIDS</t>
  </si>
  <si>
    <t>2844</t>
  </si>
  <si>
    <t>CVS PHARMACY #8547 / IOWA CITY</t>
  </si>
  <si>
    <t>2845</t>
  </si>
  <si>
    <t>CVS PHARMACY #4816 / COUNCIL BLUFFS</t>
  </si>
  <si>
    <t>2846</t>
  </si>
  <si>
    <t>CVS PHARMACY #8443 / CEDAR RAPIDS</t>
  </si>
  <si>
    <t>CVS PHARMACY #10032 / MARION</t>
  </si>
  <si>
    <t>2848</t>
  </si>
  <si>
    <t>CVS PHARMACY #10114 / ANKENY</t>
  </si>
  <si>
    <t>2849</t>
  </si>
  <si>
    <t>CVS PHARMACY #10162 / DES MOINES</t>
  </si>
  <si>
    <t>2851</t>
  </si>
  <si>
    <t>CVS / PHARMACY #10282 / FORT DODGE</t>
  </si>
  <si>
    <t>2852</t>
  </si>
  <si>
    <t>CVS PHARMACY #10329 / MERLE HAY</t>
  </si>
  <si>
    <t>CVS PHARMACY #10452  /  AMES</t>
  </si>
  <si>
    <t>CVS / PHARMACY #10480 / URBANDALE</t>
  </si>
  <si>
    <t>BRITT FOOD CENTER</t>
  </si>
  <si>
    <t>BRITT</t>
  </si>
  <si>
    <t>MCNALLY'S SUPER VALU</t>
  </si>
  <si>
    <t>MONTEZUMA SUPER VALU</t>
  </si>
  <si>
    <t>MONTEZUMA</t>
  </si>
  <si>
    <t>SAM'S CLUB 8238 / DAVENPORT</t>
  </si>
  <si>
    <t>SAM'S CLUB 8162 / CEDAR RAPIDS</t>
  </si>
  <si>
    <t>OKOBOJI AVENUE LIQUOR</t>
  </si>
  <si>
    <t>ECON-O-MART / COLUMBUS JUNCTION</t>
  </si>
  <si>
    <t>BIG G FOOD STORE</t>
  </si>
  <si>
    <t>MARENGO</t>
  </si>
  <si>
    <t>IOWA</t>
  </si>
  <si>
    <t>T048</t>
  </si>
  <si>
    <t>SAM'S CLUB 6344 / WINDSOR HEIGHTS</t>
  </si>
  <si>
    <t>SUPER SAVER IV</t>
  </si>
  <si>
    <t>SAM'S CLUB 6432 / SIOUX CITY</t>
  </si>
  <si>
    <t>QUICK SHOP / CLEAR LAKE</t>
  </si>
  <si>
    <t>HOMETOWN FOODS / STUART</t>
  </si>
  <si>
    <t>HOMETOWN FOODS / PANORA</t>
  </si>
  <si>
    <t>SAM'S CLUB 6472 / COUNCIL BLUFFS</t>
  </si>
  <si>
    <t>3484</t>
  </si>
  <si>
    <t>JEFF'S FOODS</t>
  </si>
  <si>
    <t>MARCUS</t>
  </si>
  <si>
    <t>BENDER'S FOODS</t>
  </si>
  <si>
    <t>SAM'S CLUB 6514 / WATERLOO</t>
  </si>
  <si>
    <t>KAREN'S SPIRITS AND WINE</t>
  </si>
  <si>
    <t>AMERISTAR CASINO / COUNCIL BLUFFS</t>
  </si>
  <si>
    <t>SAM'S CLUB 6568 / AMES</t>
  </si>
  <si>
    <t>WINES AND SPIRITS / WASHINGTON</t>
  </si>
  <si>
    <t>3528</t>
  </si>
  <si>
    <t>SUPER TARGET T-0804 MASON CITY</t>
  </si>
  <si>
    <t>SUPER TARGET T-0533 / DAVENPORT</t>
  </si>
  <si>
    <t>CHUCK'S SPORTSMANS BEVERAGE</t>
  </si>
  <si>
    <t>ST ANSGAR</t>
  </si>
  <si>
    <t>QUICKER LIQUOR STORE</t>
  </si>
  <si>
    <t>WAL-MART 0797 / W BURLINGTON</t>
  </si>
  <si>
    <t>WAL-MART 0559 / MUSCATINE</t>
  </si>
  <si>
    <t>HARTIG DRUG STORE #10 / IOWA CITY</t>
  </si>
  <si>
    <t>WAL-MART 0886 / FORT DODGE</t>
  </si>
  <si>
    <t>LOGAN SUPER FOODS</t>
  </si>
  <si>
    <t>LOGAN</t>
  </si>
  <si>
    <t>WAL-MART 2716 / CEDAR RAPIDS</t>
  </si>
  <si>
    <t>WAL-MART 1415 / SPIRIT LAKE</t>
  </si>
  <si>
    <t>WAL-MART 0748 / NEWTON</t>
  </si>
  <si>
    <t>WAL-MART 0892 / ANKENY</t>
  </si>
  <si>
    <t>WAL-MART 2714 / SPENCER</t>
  </si>
  <si>
    <t>WAL-MART 1528 / CEDAR RAPIDS</t>
  </si>
  <si>
    <t>WAL-MART 1965 / COUNCIL BLUFFS</t>
  </si>
  <si>
    <t>WAL-MART 2004 / DUBUQUE</t>
  </si>
  <si>
    <t>WAL-MART 2764 / ALTOONA</t>
  </si>
  <si>
    <t>WAL-MART 1764 / WINDSOR HEIGHTS</t>
  </si>
  <si>
    <t>WAL-MART 2889 / CLINTON</t>
  </si>
  <si>
    <t>SPIRITS, STOGIES AND STUFF</t>
  </si>
  <si>
    <t>HOLSTEIN</t>
  </si>
  <si>
    <t>IDA</t>
  </si>
  <si>
    <t>T047</t>
  </si>
  <si>
    <t>WAL-MART 1491 / INDIANOLA</t>
  </si>
  <si>
    <t>3652</t>
  </si>
  <si>
    <t>DISCOUNT LIQUORS OF IDA GROVE</t>
  </si>
  <si>
    <t>IDA GROVE</t>
  </si>
  <si>
    <t>THE BEVERAGE SHOP / BELMOND</t>
  </si>
  <si>
    <t>BELMOND</t>
  </si>
  <si>
    <t>3656</t>
  </si>
  <si>
    <t>TARGET STORE T-1767 / ANKENY</t>
  </si>
  <si>
    <t>WAL-MART 2935 / KNOXVILLE</t>
  </si>
  <si>
    <t>WAL-MART 1496 / WATERLOO</t>
  </si>
  <si>
    <t>SHADE TREE LIQUORS</t>
  </si>
  <si>
    <t>TARGET STORE T-1771 / CEDAR RAPIDS</t>
  </si>
  <si>
    <t>WAL-MART 2827 / CORALVILLE</t>
  </si>
  <si>
    <t>SMOKE SHOP, THE</t>
  </si>
  <si>
    <t>FRANKLIN STREET FLORAL &amp; GIFT</t>
  </si>
  <si>
    <t>3682</t>
  </si>
  <si>
    <t>JUMBO'S</t>
  </si>
  <si>
    <t>WESLEY</t>
  </si>
  <si>
    <t>TARGET STORE T-1792 / WATERLOO</t>
  </si>
  <si>
    <t>TARGET STORE T-1791 / URBANDALE</t>
  </si>
  <si>
    <t>MRS. B'S LIQUOR</t>
  </si>
  <si>
    <t>3696</t>
  </si>
  <si>
    <t>WAL-MART 1723 / DES MOINES</t>
  </si>
  <si>
    <t>INGERSOLL WINE MERCHANTS</t>
  </si>
  <si>
    <t>CELTICS BEVERAGE COMPANY</t>
  </si>
  <si>
    <t>LIQUOR LOCKER</t>
  </si>
  <si>
    <t>TARGET STORE T-1768 / CEDAR RAPIDS</t>
  </si>
  <si>
    <t>3710</t>
  </si>
  <si>
    <t>NEW YORK DOLLAR STORE</t>
  </si>
  <si>
    <t>MONTE SPIRITS</t>
  </si>
  <si>
    <t>WAL-MART 0810 / MASON CITY</t>
  </si>
  <si>
    <t>KIMBERLY MART / DAVENPORT</t>
  </si>
  <si>
    <t>3717</t>
  </si>
  <si>
    <t>WAL-MART 0581 / MARSHALLTOWN</t>
  </si>
  <si>
    <t>WAL-MART 0913 / DECORAH</t>
  </si>
  <si>
    <t>WAL-MART 1361 / SIOUX CITY</t>
  </si>
  <si>
    <t>J D SPIRITS LIQUOR</t>
  </si>
  <si>
    <t>ONAWA</t>
  </si>
  <si>
    <t>WAL-MART 1285 / OTTUMWA</t>
  </si>
  <si>
    <t>3728</t>
  </si>
  <si>
    <t>BREWSKI'S BEVERAGE</t>
  </si>
  <si>
    <t>WAL-MART 1241 / DAVENPORT</t>
  </si>
  <si>
    <t>NORTH SCOTT FOODS</t>
  </si>
  <si>
    <t>3738</t>
  </si>
  <si>
    <t>HARTIG DRUG COMPANY #4 / DUBUQUE</t>
  </si>
  <si>
    <t>WAL-MART 1625 / LEMARS</t>
  </si>
  <si>
    <t>3744</t>
  </si>
  <si>
    <t>RANDY'S NEIGHBORHOOD MARKET / DYERSVILLE</t>
  </si>
  <si>
    <t>WAL-MART 1526 / STORM LAKE</t>
  </si>
  <si>
    <t>MAIN STREET LIQUORS / MANNING</t>
  </si>
  <si>
    <t>MANNING</t>
  </si>
  <si>
    <t>WAL-MART 3590 / SIOUX CITY</t>
  </si>
  <si>
    <t>MAIN STREET LIQUORS / HAWARDEN</t>
  </si>
  <si>
    <t>WAL-MART 0753 / CEDAR FALLS</t>
  </si>
  <si>
    <t>BENZ DISTRIBUTING</t>
  </si>
  <si>
    <t>EAGLE COUNTRY MARKET / DUBUQUE</t>
  </si>
  <si>
    <t>WAL-MART 5115 / DAVENPORT</t>
  </si>
  <si>
    <t>BENDER FOODS / GUTTENBERG</t>
  </si>
  <si>
    <t>GUTTENBERG</t>
  </si>
  <si>
    <t>HARTIG DRUG #14 / INDEPENDENCE</t>
  </si>
  <si>
    <t>WAL-MART 1393 / OSKALOOSA</t>
  </si>
  <si>
    <t>WAL-MART 0784 / MT PLEASAN</t>
  </si>
  <si>
    <t>MT PLEASANT</t>
  </si>
  <si>
    <t>WASHINGTON STREET MINI MART</t>
  </si>
  <si>
    <t>TARGET STORE T-1901 / WDM</t>
  </si>
  <si>
    <t>WAL-MART 1431 / KEOKUK</t>
  </si>
  <si>
    <t>COSTCO WHOLESALE #788 / WDM</t>
  </si>
  <si>
    <t>CHARLIE'S WINE AND SPIRITS,</t>
  </si>
  <si>
    <t>3822</t>
  </si>
  <si>
    <t>THE SECRET CELLAR</t>
  </si>
  <si>
    <t>SHUEYVILLE</t>
  </si>
  <si>
    <t>3825</t>
  </si>
  <si>
    <t>SHOP N SAVE #2 / E 14TH</t>
  </si>
  <si>
    <t>3826</t>
  </si>
  <si>
    <t>LAKESIDE HOTEL &amp; CASINO</t>
  </si>
  <si>
    <t>GARY'S FOODS / MT VERNON</t>
  </si>
  <si>
    <t>MOUNT VERNON</t>
  </si>
  <si>
    <t>3830</t>
  </si>
  <si>
    <t>WAL-MART 1435 / CRESTON</t>
  </si>
  <si>
    <t>THE MARKET OF MADRID</t>
  </si>
  <si>
    <t>MADRID</t>
  </si>
  <si>
    <t>WAL-MART 3394 / ATLANTIC</t>
  </si>
  <si>
    <t>3841</t>
  </si>
  <si>
    <t>HARTIG DRUG COMPANY #2 / LOCUST</t>
  </si>
  <si>
    <t>BANCROFT LIQUOR STORE</t>
  </si>
  <si>
    <t>BANCROFT</t>
  </si>
  <si>
    <t>OTHO CONVENIENCE AND FOOD</t>
  </si>
  <si>
    <t>3849</t>
  </si>
  <si>
    <t>HARTIG DRUG CO #6 / DYERSVILLE</t>
  </si>
  <si>
    <t>QUILLINS FOOD RANCH / WAUKON</t>
  </si>
  <si>
    <t>3859</t>
  </si>
  <si>
    <t>WAL-MART 0750 / INDEPENDENCE</t>
  </si>
  <si>
    <t>3866</t>
  </si>
  <si>
    <t>TARGET STORE T-1170 / AMES</t>
  </si>
  <si>
    <t>WAL-MART 3630 / MARION</t>
  </si>
  <si>
    <t>3870</t>
  </si>
  <si>
    <t>TARGET STORE T-1939 / ALTOONA</t>
  </si>
  <si>
    <t>3871</t>
  </si>
  <si>
    <t>TARGET STORE T-0069 / WDM</t>
  </si>
  <si>
    <t>3872</t>
  </si>
  <si>
    <t>TARGET STORE T-0086 / DUBUQUE</t>
  </si>
  <si>
    <t>TARGET STORE T-1113 / CORALVILLE</t>
  </si>
  <si>
    <t>3877</t>
  </si>
  <si>
    <t>TARGET STORE T-2041 / DES MOINES</t>
  </si>
  <si>
    <t>TARGET STORE T-1800 / SIOUX CITY</t>
  </si>
  <si>
    <t>TARGET STORE T-2454 / COUNCIL BLUFFS</t>
  </si>
  <si>
    <t>7 RAYOS LIQUOR STORE</t>
  </si>
  <si>
    <t>WAL-MART 0646 / ANAMOSA</t>
  </si>
  <si>
    <t>ANAMOSA</t>
  </si>
  <si>
    <t>WAL-MART 0647 / GRINNELL</t>
  </si>
  <si>
    <t>WAL-MART 1005 / WAVERLY</t>
  </si>
  <si>
    <t>SMOKIN' JOE'S #7 TOBACCO AND LIQUOR OUTLET</t>
  </si>
  <si>
    <t>WAL-MART 3762 / WDM</t>
  </si>
  <si>
    <t>TARGET STORE T-0878 / FORT DODGE</t>
  </si>
  <si>
    <t>SMOKIN' JOE'S #16 TOBACCO AND LIQUOR OUTLET</t>
  </si>
  <si>
    <t>D AND S GROCERY</t>
  </si>
  <si>
    <t>MELCHER-DALLAS</t>
  </si>
  <si>
    <t>RIVERSIDE CASINO AND RESORT</t>
  </si>
  <si>
    <t>RIVERSIDE</t>
  </si>
  <si>
    <t>SMOKIN' JOE'S #14 TOBACCO AND LIQUOR OUTLET</t>
  </si>
  <si>
    <t>SMOKIN' JOE'S #5 TOBACCO AND LIQUOR OUTLET</t>
  </si>
  <si>
    <t>SMOKIN' JOE'S #2 TOBACCO AND LIQUOR OUTLET</t>
  </si>
  <si>
    <t>3918</t>
  </si>
  <si>
    <t>SMOKIN' JOE'S #1 TOBACCO AND LIQUOR OUTLET</t>
  </si>
  <si>
    <t>SMOKIN' JOE'S #11 TOBACCO AND LIQUOR OUTLET</t>
  </si>
  <si>
    <t>SMOKIN' JOE'S #12 TOBACCO AND LIQUOR OUTLET</t>
  </si>
  <si>
    <t>KUENNEN'S LIQUOR STORE</t>
  </si>
  <si>
    <t>ST LUCAS</t>
  </si>
  <si>
    <t>MAIN STREET SPIRITS / MAPLETON</t>
  </si>
  <si>
    <t>3934</t>
  </si>
  <si>
    <t>WAL-MART 1509 / MAQUOKETA</t>
  </si>
  <si>
    <t>MAQUOKETA</t>
  </si>
  <si>
    <t>TWIN TOWN LIQUOR</t>
  </si>
  <si>
    <t>GOOD AND QUICK CO</t>
  </si>
  <si>
    <t>SAM'S CLUB 4973 / DUBUQUE</t>
  </si>
  <si>
    <t>WAL-MART 0751 / PELLA</t>
  </si>
  <si>
    <t>HARTIG DRUG COMPANY #8/UNIVERSITY</t>
  </si>
  <si>
    <t>3964</t>
  </si>
  <si>
    <t>SIOUX FOOD CENTER OF SIOUX RAPIDS</t>
  </si>
  <si>
    <t>SIOUX RAPIDS</t>
  </si>
  <si>
    <t>MMDG SPIRITS / AMES</t>
  </si>
  <si>
    <t>WAL-MART 1721 / IOWA CITY</t>
  </si>
  <si>
    <t>3981</t>
  </si>
  <si>
    <t>WAL-MART 1152 / SIOUX CENTER</t>
  </si>
  <si>
    <t>CORK AND BOTTLE / OSKALOOSA</t>
  </si>
  <si>
    <t>NEW STAR LIQUOR / W 4TH S / WATERLOO</t>
  </si>
  <si>
    <t>WAL-MART 4606 / OSCEOLA</t>
  </si>
  <si>
    <t>FOODLAND SUPER MARKETS / WOODBINE</t>
  </si>
  <si>
    <t>WOODBINE</t>
  </si>
  <si>
    <t>WAL-MART 1787 / CARROLL</t>
  </si>
  <si>
    <t>WAL-MART 4256 / AMES</t>
  </si>
  <si>
    <t>LARCHWOOD OFFSALE</t>
  </si>
  <si>
    <t>LARCHWOOD</t>
  </si>
  <si>
    <t>JIM AND CHARLIES AFFILIATED</t>
  </si>
  <si>
    <t>4013</t>
  </si>
  <si>
    <t>WAL-MART 0841 / TIPTON</t>
  </si>
  <si>
    <t>WAL-MART 1732 / DENISON</t>
  </si>
  <si>
    <t>WAL-MART 0749 / AMES</t>
  </si>
  <si>
    <t>WAL-MART 1506 / MANCHESTER</t>
  </si>
  <si>
    <t>WAL-MART 0985 / FAIRFIELD</t>
  </si>
  <si>
    <t>WAL-MART 1389 / BOONE</t>
  </si>
  <si>
    <t>WAL-MART 1546 / IOWA FALLS</t>
  </si>
  <si>
    <t>KARAM KAUR KHASRIYA LLC</t>
  </si>
  <si>
    <t>WAL-MART 1621 / CENTERVILLE</t>
  </si>
  <si>
    <t>4042</t>
  </si>
  <si>
    <t>LAKE OHANA MARKET / MINEOLA</t>
  </si>
  <si>
    <t>FAREWAY STORES #639 / MAQUOKETA</t>
  </si>
  <si>
    <t>4056</t>
  </si>
  <si>
    <t>TARGET STORE T-0860 / WEST BURLINGTON</t>
  </si>
  <si>
    <t>TEQUILA'S LIQUOR STORE</t>
  </si>
  <si>
    <t>FREEMAN FOODS</t>
  </si>
  <si>
    <t>WELLMAN</t>
  </si>
  <si>
    <t>4068</t>
  </si>
  <si>
    <t>SA PETRO MART</t>
  </si>
  <si>
    <t>FAREWAY STORES #648 / OTTUMWA</t>
  </si>
  <si>
    <t>GRIEDER BEVERAGE DEPOT</t>
  </si>
  <si>
    <t>UPTOWN LIQUOR, LLC</t>
  </si>
  <si>
    <t>4083</t>
  </si>
  <si>
    <t>FAREWAY STORES #909 / ANKENY</t>
  </si>
  <si>
    <t>FAREWAY STORES #061 / ANKENY</t>
  </si>
  <si>
    <t>FAREWAY STORES #705 / CLEAR LAKE</t>
  </si>
  <si>
    <t>CLEAR LAKE</t>
  </si>
  <si>
    <t>4092</t>
  </si>
  <si>
    <t>FAREWAY STORES #077 / NORWALK</t>
  </si>
  <si>
    <t>4098</t>
  </si>
  <si>
    <t>WAL-MART 1475 / WASHINGTON</t>
  </si>
  <si>
    <t>FAREWAY STORES #386 / AMES</t>
  </si>
  <si>
    <t>FAREWAY STORES #093 / AMES</t>
  </si>
  <si>
    <t>FAREWAY STORES #491 / MASON CITY</t>
  </si>
  <si>
    <t>FAREWAY STORES #426 / NEVADA</t>
  </si>
  <si>
    <t>4106</t>
  </si>
  <si>
    <t>HARTIG DRUG COMPANY #3/JFK</t>
  </si>
  <si>
    <t>4107</t>
  </si>
  <si>
    <t>FAREWAY STORES #384 / BOONE</t>
  </si>
  <si>
    <t>BROTHERS MARKET, INC.</t>
  </si>
  <si>
    <t>PARKERSBURG</t>
  </si>
  <si>
    <t>BUTLER</t>
  </si>
  <si>
    <t>T012</t>
  </si>
  <si>
    <t>4116</t>
  </si>
  <si>
    <t>LAKE VIEW FOODS</t>
  </si>
  <si>
    <t>LAKE VIEW</t>
  </si>
  <si>
    <t>4119</t>
  </si>
  <si>
    <t>TARGET STORE T-2526 / CEDAR FALLS</t>
  </si>
  <si>
    <t>SAM'S MAINSTREET MARKET / SOLON</t>
  </si>
  <si>
    <t>SOLON</t>
  </si>
  <si>
    <t>CYCLONE LIQUORS</t>
  </si>
  <si>
    <t>4130</t>
  </si>
  <si>
    <t>BOYD GROCERY, INC.</t>
  </si>
  <si>
    <t>KEOSAUQUA</t>
  </si>
  <si>
    <t>4131</t>
  </si>
  <si>
    <t>FAREWAY STORES #933 / URBANDALE</t>
  </si>
  <si>
    <t>4132</t>
  </si>
  <si>
    <t>CAMANCHE FOOD PRIDE</t>
  </si>
  <si>
    <t>CAMANCHE</t>
  </si>
  <si>
    <t>FAREWAY STORES #925 / ALTOONA</t>
  </si>
  <si>
    <t>FAREWAY STORES #983 / GRIMES</t>
  </si>
  <si>
    <t>FAREWAY STORES #989 / WAUKEE</t>
  </si>
  <si>
    <t>FAREWAY STORES #657 / INDIANOLA</t>
  </si>
  <si>
    <t>FAREWAY STORES #900 / EUCLID</t>
  </si>
  <si>
    <t>BUCKY'S / LAWLER</t>
  </si>
  <si>
    <t>LAWLER</t>
  </si>
  <si>
    <t>FAREWAY STORES #561 / WAVERLY</t>
  </si>
  <si>
    <t>FAREWAY STORES #974 / CEDAR FALLS</t>
  </si>
  <si>
    <t>FAREWAY STORES #479 / INDEPENDENCE</t>
  </si>
  <si>
    <t>FAREWAY STORES #015 / DENISON</t>
  </si>
  <si>
    <t>FAREWAY STORES #951 / WATERLOO</t>
  </si>
  <si>
    <t>FOOD LAND SUPER MARKETS</t>
  </si>
  <si>
    <t>FAREWAY STORES #067 / EVANSDALE</t>
  </si>
  <si>
    <t>4154</t>
  </si>
  <si>
    <t>FAREWAY STORES #055 / HIAWATHA</t>
  </si>
  <si>
    <t>FAREWAY STORES #949 / MARION</t>
  </si>
  <si>
    <t>FAREWAY STORES #412 / OELWEIN</t>
  </si>
  <si>
    <t>4157</t>
  </si>
  <si>
    <t>FAREWAY STORES #993 / NORTH LIBERTY</t>
  </si>
  <si>
    <t>FAREWAY STORES #409 / CARROLL</t>
  </si>
  <si>
    <t>FAREWAY STORES #073 / COUNCIL BLUFFS</t>
  </si>
  <si>
    <t>4160</t>
  </si>
  <si>
    <t>FAREWAY STORES #034 / IOWA CITY</t>
  </si>
  <si>
    <t>FAREWAY STORES #950 / IOWA CITY</t>
  </si>
  <si>
    <t>FAREWAY STORES #963 / CEDAR RAPIDS</t>
  </si>
  <si>
    <t>4163</t>
  </si>
  <si>
    <t>FAREWAY STORES #461 / STORM LAKE</t>
  </si>
  <si>
    <t>SUPER QUICK 2 / HUBBELL</t>
  </si>
  <si>
    <t>BROTHERS MARKET, INC. / CASCADE</t>
  </si>
  <si>
    <t>CASCADE</t>
  </si>
  <si>
    <t>SHAMROCK SPIRITS</t>
  </si>
  <si>
    <t>ALDEN</t>
  </si>
  <si>
    <t>SMOKIN' JOE'S #10 TOBACCO AND LIQUOR OUTLET</t>
  </si>
  <si>
    <t>FAREWAY STORES #008 / DYERSVILLE</t>
  </si>
  <si>
    <t>4183</t>
  </si>
  <si>
    <t>FAREWAY STORES #589 / DECORAH</t>
  </si>
  <si>
    <t>FAREWAY STORES #998 / MUSCATINE</t>
  </si>
  <si>
    <t>FAREWAY STORES #737 / GRINNELL</t>
  </si>
  <si>
    <t>4186</t>
  </si>
  <si>
    <t>H AND A MINI MART /BP</t>
  </si>
  <si>
    <t>FAREWAY STORES #594 / MANCHESTER</t>
  </si>
  <si>
    <t>FAREWAY STORES #888 / JEFFERSON</t>
  </si>
  <si>
    <t>4191</t>
  </si>
  <si>
    <t>FAREWAY STORES #995 / PELLA</t>
  </si>
  <si>
    <t>FAREWAY STORES #044 / BETTENDORF</t>
  </si>
  <si>
    <t>FAREWAY STORES #848 / NEWTON</t>
  </si>
  <si>
    <t>4195</t>
  </si>
  <si>
    <t>FAREWAY STORES #792 / TOLEDO</t>
  </si>
  <si>
    <t>FAREWAY STORES #987 / DAVENPORT</t>
  </si>
  <si>
    <t>FAREWAY STORES #014 / SERGEANT BLUFF</t>
  </si>
  <si>
    <t>4200</t>
  </si>
  <si>
    <t>FAREWAY STORES #019 / SIOUX CITY</t>
  </si>
  <si>
    <t>FAREWAY STORES #022 / SIOUX CITY</t>
  </si>
  <si>
    <t>FAREWAY STORES #829 / SIOUX CITY</t>
  </si>
  <si>
    <t>LIQUOR AND TOBACCO OUTLET /</t>
  </si>
  <si>
    <t>FAREWAY STORES #025 / CLINTON</t>
  </si>
  <si>
    <t>FAREWAY STORES #467 / MARSHALLTOWN</t>
  </si>
  <si>
    <t>WAL-MART 5748 / GRIMES</t>
  </si>
  <si>
    <t>4210</t>
  </si>
  <si>
    <t>SICHANH LIQUOR STORE</t>
  </si>
  <si>
    <t>FAREWAY STORES #462 / VINTON</t>
  </si>
  <si>
    <t>FAREWAY STORES #790 / HARLAN</t>
  </si>
  <si>
    <t>4230</t>
  </si>
  <si>
    <t>FAREWAY STORES #106 / CLIVE</t>
  </si>
  <si>
    <t>FAREWAY STORES #719 / LE MARS</t>
  </si>
  <si>
    <t>ELLIOTT'S GENERAL STORE,</t>
  </si>
  <si>
    <t>MORAVIA</t>
  </si>
  <si>
    <t>FAREWAY STORES #815 / CRESCO</t>
  </si>
  <si>
    <t>FAREWAY STORES #788 / SPENCER</t>
  </si>
  <si>
    <t>FAREWAY STORES #395 / WEBSTER CITY</t>
  </si>
  <si>
    <t>FAREWAY STORES #551 / EAGLE GROVE</t>
  </si>
  <si>
    <t>FAREWAY STORES #850 / SPIRIT LAKE</t>
  </si>
  <si>
    <t>FAREWAY STORES #938 / SHENANDOAH</t>
  </si>
  <si>
    <t>FAREWAY STORES #879 / BELMOND</t>
  </si>
  <si>
    <t>FAREWAY STORES #021 / SHELDON</t>
  </si>
  <si>
    <t>4249</t>
  </si>
  <si>
    <t>FAREWAY STORES #048 / CLARINDA</t>
  </si>
  <si>
    <t>FAREWAY STORES #882 / ELDORA</t>
  </si>
  <si>
    <t>FAREWAY STORES #840 / MONTICELLO</t>
  </si>
  <si>
    <t>MONTICELLO</t>
  </si>
  <si>
    <t>FAREWAY STORES #683 / WINTERSET</t>
  </si>
  <si>
    <t>FAREWAY STORES #849 / EMMETSBURG</t>
  </si>
  <si>
    <t>FAREWAY STORES #058 / ORANGE CITY</t>
  </si>
  <si>
    <t>FAREWAY STORES #912 / SIOUX CENTER</t>
  </si>
  <si>
    <t>FAREWAY STORES #009 / BURLINGTON</t>
  </si>
  <si>
    <t>FAREWAY STORES #699 / OSCEOLA</t>
  </si>
  <si>
    <t>KWIK STOP 3 / WATERLOO</t>
  </si>
  <si>
    <t>WAL-MART 1683 / SHENANDOAH</t>
  </si>
  <si>
    <t>4267</t>
  </si>
  <si>
    <t>MAIN STREET MARKET OF ANITA</t>
  </si>
  <si>
    <t>ANITA</t>
  </si>
  <si>
    <t>4268</t>
  </si>
  <si>
    <t>FAREWAY STORES #531 / ALGONA</t>
  </si>
  <si>
    <t>TIPTON FAMILY FOODS</t>
  </si>
  <si>
    <t>FAREWAY STORES #827 / CENTERVILLE</t>
  </si>
  <si>
    <t>FAREWAY STORES #407 / ESTERVILLE</t>
  </si>
  <si>
    <t>SMOKIN' JOE'S #4 TOBACCO AND LIQUOR OUTLET</t>
  </si>
  <si>
    <t>FAREWAY STORES #980 / KNOXVILLE</t>
  </si>
  <si>
    <t>CORK IT!</t>
  </si>
  <si>
    <t>KEOTA EAGLE FOODS</t>
  </si>
  <si>
    <t>KEOTA</t>
  </si>
  <si>
    <t>T054</t>
  </si>
  <si>
    <t>4284</t>
  </si>
  <si>
    <t>FAREWAY STORES #559 / IOWA FALLS</t>
  </si>
  <si>
    <t>FAREWAY STORES #922 / NEW HAMPTON</t>
  </si>
  <si>
    <t>4289</t>
  </si>
  <si>
    <t>FAREWAY STORES #062 / WAUKON</t>
  </si>
  <si>
    <t>FAREWAY STORES #597 / CRESTON</t>
  </si>
  <si>
    <t>CIRCLE B MARKET</t>
  </si>
  <si>
    <t>4299</t>
  </si>
  <si>
    <t>FAREWAY STORES #625 / OSKALOOSA</t>
  </si>
  <si>
    <t>SAHOTA FOOD MART</t>
  </si>
  <si>
    <t>4306</t>
  </si>
  <si>
    <t>NORTHSIDE ONE STOP / HAMPTON</t>
  </si>
  <si>
    <t>4310</t>
  </si>
  <si>
    <t>FAREWAY STORES #502 / CHEROKEE</t>
  </si>
  <si>
    <t>FAREWAY STORES #508 / FORT DODGE</t>
  </si>
  <si>
    <t>I-80 LIQUOR / COUNCIL BLUFFS</t>
  </si>
  <si>
    <t>4313</t>
  </si>
  <si>
    <t>FAREWAY STORES #940 / ATLANTIC</t>
  </si>
  <si>
    <t>FAREWAY STORES #554 / WASHINGTON</t>
  </si>
  <si>
    <t>FAREWAY STORES #941 / GREENFIELD</t>
  </si>
  <si>
    <t>FAREWAY STORES #841 / RED OAK</t>
  </si>
  <si>
    <t>FAREWAY STORES #703 / HUMBOLT</t>
  </si>
  <si>
    <t>FAREWAY STORES #470 / PERRY</t>
  </si>
  <si>
    <t>FAREWAY STORES #501 / CHARLES CITY</t>
  </si>
  <si>
    <t>4324</t>
  </si>
  <si>
    <t>DAYTON COMMUNITY GROCERY</t>
  </si>
  <si>
    <t>DAYTON</t>
  </si>
  <si>
    <t>4326</t>
  </si>
  <si>
    <t>STRATFORD FOOD CENTER</t>
  </si>
  <si>
    <t>STRATFORD</t>
  </si>
  <si>
    <t>FAREWAY STORES #114 / DUBUQUE</t>
  </si>
  <si>
    <t>LAST CALL 2</t>
  </si>
  <si>
    <t>GEORGE</t>
  </si>
  <si>
    <t>GRAND FALLS CASINO RESORT</t>
  </si>
  <si>
    <t>BEST FOOD MART / DES MOINES</t>
  </si>
  <si>
    <t>ROY'S FOODLAND</t>
  </si>
  <si>
    <t>KUM &amp; GO #301 / CLEAR LAKE</t>
  </si>
  <si>
    <t>4353</t>
  </si>
  <si>
    <t>KUM &amp; GO #302 / CLEAR LAKE</t>
  </si>
  <si>
    <t>KUM &amp; GO #124 / STORY CITY</t>
  </si>
  <si>
    <t>4359</t>
  </si>
  <si>
    <t>KUM &amp; GO #75 / WAUKEE</t>
  </si>
  <si>
    <t>4361</t>
  </si>
  <si>
    <t>QUIK TRIP #538 / NW 2ND / DSM</t>
  </si>
  <si>
    <t>4362</t>
  </si>
  <si>
    <t>KUM &amp; GO #135 / POLK CITY</t>
  </si>
  <si>
    <t>POLK CITY</t>
  </si>
  <si>
    <t>4364</t>
  </si>
  <si>
    <t>KUM &amp; GO #22 / GRINNELL</t>
  </si>
  <si>
    <t>4365</t>
  </si>
  <si>
    <t>KUM &amp; GO #222 / WEST ST GRINNELL</t>
  </si>
  <si>
    <t>4366</t>
  </si>
  <si>
    <t>KUM &amp; GO #137 / TIFFIN</t>
  </si>
  <si>
    <t>4368</t>
  </si>
  <si>
    <t>KUM &amp; GO #570 / JOHNSTON</t>
  </si>
  <si>
    <t>4369</t>
  </si>
  <si>
    <t>KUM &amp; GO #28 / NORWALK</t>
  </si>
  <si>
    <t>4370</t>
  </si>
  <si>
    <t>KUM &amp; GO #240 / NORTH AVE NORWALK</t>
  </si>
  <si>
    <t>4371</t>
  </si>
  <si>
    <t>KUM &amp; GO #50 / WEST DES MOINES</t>
  </si>
  <si>
    <t>4374</t>
  </si>
  <si>
    <t>KUM &amp; GO #141 / GRIMES</t>
  </si>
  <si>
    <t>4375</t>
  </si>
  <si>
    <t>KUM &amp; GO #237 / GRIMES</t>
  </si>
  <si>
    <t>4377</t>
  </si>
  <si>
    <t>QUIK TRIP #562 / NE 14TH / DSM</t>
  </si>
  <si>
    <t>4378</t>
  </si>
  <si>
    <t>KUM &amp; GO #1202 / WAUKEE</t>
  </si>
  <si>
    <t>KUM &amp; GO #2091 / ASHWORTH / WDM</t>
  </si>
  <si>
    <t>4380</t>
  </si>
  <si>
    <t>KUM &amp; GO #254 / WEST BRANCH</t>
  </si>
  <si>
    <t>KUM &amp; GO #8 / 8TH ST / WDM</t>
  </si>
  <si>
    <t>4384</t>
  </si>
  <si>
    <t>KUM &amp; GO #2093 / ADEL</t>
  </si>
  <si>
    <t>4385</t>
  </si>
  <si>
    <t>KUM &amp; GO #43 / NEW VIRGINIA</t>
  </si>
  <si>
    <t>NEW VIRGINIA</t>
  </si>
  <si>
    <t>4387</t>
  </si>
  <si>
    <t>KUM &amp; GO #117 / SPIRIT LAKE</t>
  </si>
  <si>
    <t>4393</t>
  </si>
  <si>
    <t>KUM &amp; GO #206 / CLIVE</t>
  </si>
  <si>
    <t>KUM &amp; GO #133 / ELLSWORTH</t>
  </si>
  <si>
    <t>ELLSWORTH</t>
  </si>
  <si>
    <t>TRUNCK'S COUNTRY FOODS, INC.</t>
  </si>
  <si>
    <t>4397</t>
  </si>
  <si>
    <t>QUIK TRIP #514 / ANKENY</t>
  </si>
  <si>
    <t>KUM &amp; GO #503 / MARION</t>
  </si>
  <si>
    <t>4402</t>
  </si>
  <si>
    <t>KUM &amp; GO #80 / RIVERSIDE</t>
  </si>
  <si>
    <t>4404</t>
  </si>
  <si>
    <t>KUM &amp; GO #292 / ANKENY</t>
  </si>
  <si>
    <t>4405</t>
  </si>
  <si>
    <t>KUM &amp; GO #92 / ANKENY</t>
  </si>
  <si>
    <t>4406</t>
  </si>
  <si>
    <t>KUM &amp; GO #4020 / ANKENY</t>
  </si>
  <si>
    <t>4411</t>
  </si>
  <si>
    <t>KUM &amp; GO #95 / DE SOTO</t>
  </si>
  <si>
    <t>4412</t>
  </si>
  <si>
    <t>KUM &amp; GO #267 / TIPTON</t>
  </si>
  <si>
    <t>4414</t>
  </si>
  <si>
    <t>KUM &amp; GO #23 / NEOLA</t>
  </si>
  <si>
    <t>NEOLA</t>
  </si>
  <si>
    <t>KUM &amp; GO #76 / ADAIR</t>
  </si>
  <si>
    <t>4418</t>
  </si>
  <si>
    <t>KUM &amp; GO #1046 / WALNUT</t>
  </si>
  <si>
    <t>WALNUT</t>
  </si>
  <si>
    <t>4419</t>
  </si>
  <si>
    <t>KUM &amp; GO #4 / LAMONI</t>
  </si>
  <si>
    <t>4424</t>
  </si>
  <si>
    <t>CIRCLE K #4706601 / BURLINGTON</t>
  </si>
  <si>
    <t>4427</t>
  </si>
  <si>
    <t>KUM &amp; GO #507 / NORTH LIBERTY</t>
  </si>
  <si>
    <t>4428</t>
  </si>
  <si>
    <t>KUM &amp; GO #200 / AMES</t>
  </si>
  <si>
    <t>4429</t>
  </si>
  <si>
    <t>KUM &amp; GO #32 / COLFAX</t>
  </si>
  <si>
    <t>4433</t>
  </si>
  <si>
    <t>KUM &amp; GO #1024  PLEASANT HILL</t>
  </si>
  <si>
    <t>KUM &amp; GO #216  AMES</t>
  </si>
  <si>
    <t>CENTER POINT FOODS</t>
  </si>
  <si>
    <t>CENTER POINT</t>
  </si>
  <si>
    <t>4443</t>
  </si>
  <si>
    <t>PALO MINI MART</t>
  </si>
  <si>
    <t>4444</t>
  </si>
  <si>
    <t>KUM &amp; GO #4127 / SLOAN</t>
  </si>
  <si>
    <t>4446</t>
  </si>
  <si>
    <t>QUIK TRIP #513 / URBANDALE</t>
  </si>
  <si>
    <t>4448</t>
  </si>
  <si>
    <t>KUM &amp; GO #572 / URBANDALE</t>
  </si>
  <si>
    <t>4449</t>
  </si>
  <si>
    <t>KUM &amp; GO #121 / URBANDALE</t>
  </si>
  <si>
    <t>4450</t>
  </si>
  <si>
    <t>KUM &amp; GO #157 / URBANDALE</t>
  </si>
  <si>
    <t>SELECT MART    GORDON DR</t>
  </si>
  <si>
    <t>4453</t>
  </si>
  <si>
    <t>SID'S GAS AND GROCERIES</t>
  </si>
  <si>
    <t>KUM &amp; GO #53 / IOWA CITY</t>
  </si>
  <si>
    <t>KUM &amp; GO #422 / IOWA CITY</t>
  </si>
  <si>
    <t>4459</t>
  </si>
  <si>
    <t>KUM &amp; GO #544 / EAGLE GROVE</t>
  </si>
  <si>
    <t>CASEY'S GENERAL STORE #3031 / GARNER</t>
  </si>
  <si>
    <t>PERFECT VALUE LIQUOR MART</t>
  </si>
  <si>
    <t>4467</t>
  </si>
  <si>
    <t>KUM &amp; GO #438 / MUSCATINE</t>
  </si>
  <si>
    <t>4468</t>
  </si>
  <si>
    <t>CIRCLE K #4706600 / MUSCATINE</t>
  </si>
  <si>
    <t>QUICK SHOP FOODS / CENTERVILLE</t>
  </si>
  <si>
    <t>4473</t>
  </si>
  <si>
    <t>CASEY'S GENERAL STORE #92 / PANORA</t>
  </si>
  <si>
    <t>4480</t>
  </si>
  <si>
    <t>CIRCLE K #4706602 / CLINTON</t>
  </si>
  <si>
    <t>INDY 66 WEST #929 / INDIANOLA</t>
  </si>
  <si>
    <t>CASEY'S GENERAL STORE #2787 / CEDAR RAPIDS</t>
  </si>
  <si>
    <t>CASEY'S GENERAL STORE #2763 / CEDAR RAPIDS</t>
  </si>
  <si>
    <t>CASEY'S GENERAL STORE #2766 / CEDAR RAPIDS</t>
  </si>
  <si>
    <t>CASEY'S GENERAL STORE #2772 / CEDAR RAPIDS</t>
  </si>
  <si>
    <t>CASEY'S GENERAL STORE #2773 / CEDAR RAPIDS</t>
  </si>
  <si>
    <t>4493</t>
  </si>
  <si>
    <t>CASEY'S GENERAL STORE #2850 / CEDAR RAPIDS</t>
  </si>
  <si>
    <t>4495</t>
  </si>
  <si>
    <t>CASEY'S GENERAL STORE #3055 / GRUNDY CENTER</t>
  </si>
  <si>
    <t>GRUNDY CENTER</t>
  </si>
  <si>
    <t>4496</t>
  </si>
  <si>
    <t>B P ON 1ST</t>
  </si>
  <si>
    <t>CASEY'S GENERAL STORE #20 / ALDEN</t>
  </si>
  <si>
    <t>SPEEDE SHOP / WINTHROP</t>
  </si>
  <si>
    <t>4499</t>
  </si>
  <si>
    <t>CASEY'S GENERAL STORE #1316 / MILFORD</t>
  </si>
  <si>
    <t>CASEY'S GENERAL STORE #2788 / NORTH LIBERTY</t>
  </si>
  <si>
    <t>4503</t>
  </si>
  <si>
    <t>CASEY'S GENERAL STORE #38 / TREYNOR</t>
  </si>
  <si>
    <t>TREYNOR</t>
  </si>
  <si>
    <t>4504</t>
  </si>
  <si>
    <t>JIFFY EXPRESS #921 / INDIANOLA</t>
  </si>
  <si>
    <t>4505</t>
  </si>
  <si>
    <t>CASEY'S GENERAL STORE #2816 / JOHNSTON</t>
  </si>
  <si>
    <t>4506</t>
  </si>
  <si>
    <t>CASEY'S GENERAL STORE #2667 / TIFFIN</t>
  </si>
  <si>
    <t>CASEY'S GENERAL STORE #2902 / SPENCER</t>
  </si>
  <si>
    <t>4508</t>
  </si>
  <si>
    <t>CASEY'S GENERAL STORE #2877 / SPENCER</t>
  </si>
  <si>
    <t>AJ'S LIQUOR II</t>
  </si>
  <si>
    <t>4510</t>
  </si>
  <si>
    <t>CASEY'S GENERAL STORE #1007 / MALVERN</t>
  </si>
  <si>
    <t>MALVERN</t>
  </si>
  <si>
    <t>SUPER QUICK / SE 30 DM</t>
  </si>
  <si>
    <t>4512</t>
  </si>
  <si>
    <t>METRO MART #4 / WATERLOO</t>
  </si>
  <si>
    <t>CASEY'S GENERAL STORE #1144 / POLK CITY</t>
  </si>
  <si>
    <t>CASEY'S GENERAL STORE #2813 / FORT DODGE</t>
  </si>
  <si>
    <t>CASEY'S GENERAL STORE #1588 / DOWS</t>
  </si>
  <si>
    <t>CASEY'S GENERAL STORE #1569 / OAKLAND</t>
  </si>
  <si>
    <t>4517</t>
  </si>
  <si>
    <t>CASEY'S GENERAL STORE #2767 / CEDAR RAPIDS</t>
  </si>
  <si>
    <t>4518</t>
  </si>
  <si>
    <t>CASEY'S GENERAL STORE #2824 / WDM</t>
  </si>
  <si>
    <t>CASEY'S GENERAL STORE #2923 / WDM</t>
  </si>
  <si>
    <t>4520</t>
  </si>
  <si>
    <t>CASEY'S GENERAL STORE #2842 / HUXLEY</t>
  </si>
  <si>
    <t>HUXLEY</t>
  </si>
  <si>
    <t>4521</t>
  </si>
  <si>
    <t>CASEY'S GENERAL STORE #1002 / GRAND JUNCTION</t>
  </si>
  <si>
    <t>GRAND JUNCTION</t>
  </si>
  <si>
    <t>CASEY'S GENERAL STORE #2523 / MONROE</t>
  </si>
  <si>
    <t>4523</t>
  </si>
  <si>
    <t>CASEY'S GENERAL STORE #2563 / EXIRA</t>
  </si>
  <si>
    <t>EXIRA</t>
  </si>
  <si>
    <t>AUDUBON</t>
  </si>
  <si>
    <t>T005</t>
  </si>
  <si>
    <t>4524</t>
  </si>
  <si>
    <t>CASEY'S GENERAL STORE #1139 / NORA SPRINGS</t>
  </si>
  <si>
    <t>NORA SPRINGS</t>
  </si>
  <si>
    <t>CASEY'S GENERAL STORE #30 / GILMORE CITY</t>
  </si>
  <si>
    <t>GILMORE CITY</t>
  </si>
  <si>
    <t>4529</t>
  </si>
  <si>
    <t>CASEY'S GENERAL STORE #3262 / BUFFALO</t>
  </si>
  <si>
    <t>BUFFALO CENTER</t>
  </si>
  <si>
    <t>4530</t>
  </si>
  <si>
    <t>CASEY'S GENERAL STORE #2566 / ELY</t>
  </si>
  <si>
    <t>ELY</t>
  </si>
  <si>
    <t>CASEY'S GENERAL STORE #2626 / AFTON</t>
  </si>
  <si>
    <t>AFTON</t>
  </si>
  <si>
    <t>CASEY'S GENERAL STORE #2274 / SIOUX RAPIDS</t>
  </si>
  <si>
    <t>4533</t>
  </si>
  <si>
    <t>CASEY'S GENERAL STORE #1985 / ST. ANSGAR</t>
  </si>
  <si>
    <t>CASEY'S GENERAL STORE #2421 / DUBUQUE</t>
  </si>
  <si>
    <t>4536</t>
  </si>
  <si>
    <t>CASEY'S GENERAL STORE #2420 / DUBUQUE</t>
  </si>
  <si>
    <t>4537</t>
  </si>
  <si>
    <t>CASEY'S GENERAL STORE #1834 / LEON</t>
  </si>
  <si>
    <t>4539</t>
  </si>
  <si>
    <t>CASEY'S GENERAL STORE #40 / SCRANTON</t>
  </si>
  <si>
    <t>SCRANTON</t>
  </si>
  <si>
    <t>CASEY'S GENERAL STORE #2915 / BELLEVUE</t>
  </si>
  <si>
    <t>4541</t>
  </si>
  <si>
    <t>CASEY'S GENERAL STORE #1045 / DELMAR</t>
  </si>
  <si>
    <t>DELMAR</t>
  </si>
  <si>
    <t>4542</t>
  </si>
  <si>
    <t>CASEY'S GENERAL STORE #2994 / LAUREN</t>
  </si>
  <si>
    <t>LAURENS</t>
  </si>
  <si>
    <t>POCAHONTAS</t>
  </si>
  <si>
    <t>T076</t>
  </si>
  <si>
    <t>4543</t>
  </si>
  <si>
    <t>CASEY'S GENERAL STORE #2924 / MARION</t>
  </si>
  <si>
    <t>4544</t>
  </si>
  <si>
    <t>CASEY'S GENERAL STORE #1898 / OSCEOLA</t>
  </si>
  <si>
    <t>4546</t>
  </si>
  <si>
    <t>CASEY'S GENERAL STORE #2303 / GLIDDEN</t>
  </si>
  <si>
    <t>GLIDDEN</t>
  </si>
  <si>
    <t>FAREWAY STORES #902 / HAMPTON</t>
  </si>
  <si>
    <t>4548</t>
  </si>
  <si>
    <t>CASEY'S GENERAL STORE #2594 / WALKER</t>
  </si>
  <si>
    <t>WALKER</t>
  </si>
  <si>
    <t>4549</t>
  </si>
  <si>
    <t>CASEY'S GENERAL STORE #2913 / COLO</t>
  </si>
  <si>
    <t>COLO</t>
  </si>
  <si>
    <t>CASEY'S GENERAL STORE #2845 / URBANA</t>
  </si>
  <si>
    <t>URBANA</t>
  </si>
  <si>
    <t>4552</t>
  </si>
  <si>
    <t>CASEY'S GENERAL STORE #2493 / BUFFALO</t>
  </si>
  <si>
    <t>BUFFALO</t>
  </si>
  <si>
    <t>4553</t>
  </si>
  <si>
    <t>CASEY'S GENERAL STORE #1892 / SHEFFIELD</t>
  </si>
  <si>
    <t>SHEFFIELD</t>
  </si>
  <si>
    <t>4554</t>
  </si>
  <si>
    <t>KUM &amp; GO #229 / SIOUX CITY</t>
  </si>
  <si>
    <t>4555</t>
  </si>
  <si>
    <t>CASEY'S GENERAL STORE #2614 / DONNELLSON</t>
  </si>
  <si>
    <t>DONNELLSON</t>
  </si>
  <si>
    <t>4556</t>
  </si>
  <si>
    <t>CASEY'S GENERAL STORE #2552 / GOLDFIELD</t>
  </si>
  <si>
    <t>GOLDFIELD</t>
  </si>
  <si>
    <t>KUM &amp; GO #226 / SIOUX CITY</t>
  </si>
  <si>
    <t>RANDY'S NEIGHBORHOOD MARKET / OSAGE</t>
  </si>
  <si>
    <t>OSAGE</t>
  </si>
  <si>
    <t>4560</t>
  </si>
  <si>
    <t>CASEY'S GENERAL STORE #2914 / HARLAN</t>
  </si>
  <si>
    <t>CASEY'S GENERAL STORE #2989 / MECHANICSVILLE</t>
  </si>
  <si>
    <t>MECHANICSVILLE</t>
  </si>
  <si>
    <t>4565</t>
  </si>
  <si>
    <t>KUM &amp; GO #228 / SIOUX CITY</t>
  </si>
  <si>
    <t>4566</t>
  </si>
  <si>
    <t>KUM &amp; GO #508 / CEDAR RAPIDS</t>
  </si>
  <si>
    <t>SELECT MART / SIOUX CITY</t>
  </si>
  <si>
    <t>4569</t>
  </si>
  <si>
    <t>CAR-GO-EXPRESS / SUTHERLAND</t>
  </si>
  <si>
    <t>SUTHERLAND</t>
  </si>
  <si>
    <t>4571</t>
  </si>
  <si>
    <t>CASEY'S GENERAL STORE #2357 / ALLISON</t>
  </si>
  <si>
    <t>ALLISON</t>
  </si>
  <si>
    <t>CASEY'S GENERAL STORE #1330 / HAMBURG</t>
  </si>
  <si>
    <t>HAMBURG</t>
  </si>
  <si>
    <t>FREMONT</t>
  </si>
  <si>
    <t>T036</t>
  </si>
  <si>
    <t>CASEY'S GENERAL STORE #2304 / SLATER</t>
  </si>
  <si>
    <t>SLATER</t>
  </si>
  <si>
    <t>4577</t>
  </si>
  <si>
    <t>CASEY'S GENERAL STORE #2551 / WOODWARD</t>
  </si>
  <si>
    <t>WOODWARD</t>
  </si>
  <si>
    <t>4578</t>
  </si>
  <si>
    <t>CASEY'S GENERAL STORE #2592 / FARMINGTON</t>
  </si>
  <si>
    <t>FARMINGTON</t>
  </si>
  <si>
    <t>JIFFY #926 / SPIRIT LAKE</t>
  </si>
  <si>
    <t>J &amp; C GROCERY / DUMONT</t>
  </si>
  <si>
    <t>DUMONT</t>
  </si>
  <si>
    <t>4585</t>
  </si>
  <si>
    <t>CASEY'S GENERAL STORE #2561 / FARLEY</t>
  </si>
  <si>
    <t>FARLEY</t>
  </si>
  <si>
    <t>SAM'S MINI MART / SIOUX CITY</t>
  </si>
  <si>
    <t>CASEY'S GENERAL STORE #3045 / CEDAR FALLS</t>
  </si>
  <si>
    <t>4591</t>
  </si>
  <si>
    <t>CASEY'S GENERAL STORE #3052 / CLARION</t>
  </si>
  <si>
    <t>4594</t>
  </si>
  <si>
    <t>QUIK TRIP #554 / SW 63RD DM</t>
  </si>
  <si>
    <t>4596</t>
  </si>
  <si>
    <t>QUIK TRIP #534 / E UNIVERSITY DM</t>
  </si>
  <si>
    <t>4599</t>
  </si>
  <si>
    <t>QUIK TRIP #500 / HUBBELL DM</t>
  </si>
  <si>
    <t>4601</t>
  </si>
  <si>
    <t>KUM &amp; GO #4110 / GUTHRIE DM</t>
  </si>
  <si>
    <t>PIT STOP LIQUORS / NEWTON</t>
  </si>
  <si>
    <t>4605</t>
  </si>
  <si>
    <t>KUM &amp; GO #509 / MARION</t>
  </si>
  <si>
    <t>4607</t>
  </si>
  <si>
    <t>CASEY'S GENERAL STORE #1024 / GUTTEN</t>
  </si>
  <si>
    <t>4608</t>
  </si>
  <si>
    <t>CASEY'S GENERAL STORE #3050 / COUNCIL BLUFFS</t>
  </si>
  <si>
    <t>4609</t>
  </si>
  <si>
    <t>KUM &amp; GO #579 / ANKENY</t>
  </si>
  <si>
    <t>CASEY'S GENERAL STORE #2992 / FONDA</t>
  </si>
  <si>
    <t>FONDA</t>
  </si>
  <si>
    <t>4613</t>
  </si>
  <si>
    <t>SPARKY'S ONE STOP / CARROLL</t>
  </si>
  <si>
    <t>LICKETY LIQUOR</t>
  </si>
  <si>
    <t>4622</t>
  </si>
  <si>
    <t>QUIK TRIP #544 / SE 14TH DM</t>
  </si>
  <si>
    <t>4623</t>
  </si>
  <si>
    <t>CASEY'S GENERAL STORE #1493 / VAN METER</t>
  </si>
  <si>
    <t>VAN METER</t>
  </si>
  <si>
    <t>KWIK SHOP #527 / COUNCIL BLUFFS</t>
  </si>
  <si>
    <t>4627</t>
  </si>
  <si>
    <t>CASEY'S GENERAL STORE #1388 / SULLY</t>
  </si>
  <si>
    <t>SULLY</t>
  </si>
  <si>
    <t>KWIK SHOP #541 / GLENWOOD</t>
  </si>
  <si>
    <t>4630</t>
  </si>
  <si>
    <t>EZ STOP / DAVENPORT</t>
  </si>
  <si>
    <t>THUNDER RIDGE AMPRIDE</t>
  </si>
  <si>
    <t>4633</t>
  </si>
  <si>
    <t>KWIK SHOP #520 / CARTER LAKE</t>
  </si>
  <si>
    <t>GD XPRESS / DAVENPORT</t>
  </si>
  <si>
    <t>MART STOP #1 / DAVENPORT</t>
  </si>
  <si>
    <t>4641</t>
  </si>
  <si>
    <t>KUM &amp; GO #573 / SE 14TH DM</t>
  </si>
  <si>
    <t>4642</t>
  </si>
  <si>
    <t>LIQUOR AND TOBACCO OUTLET / UNIV AVE WATERLOO</t>
  </si>
  <si>
    <t>CUBBY'S RED OAK</t>
  </si>
  <si>
    <t>CASEY'S GENERAL STORE #2300 / JEWELL</t>
  </si>
  <si>
    <t>JEWELL</t>
  </si>
  <si>
    <t>4652</t>
  </si>
  <si>
    <t>BRADY MART FOOD &amp; LIQUOR</t>
  </si>
  <si>
    <t>4653</t>
  </si>
  <si>
    <t>CASEY'S GENERAL STORE #1617 / JEFFERSON</t>
  </si>
  <si>
    <t>4654</t>
  </si>
  <si>
    <t>KUM &amp; GO #510 / STUART</t>
  </si>
  <si>
    <t>4655</t>
  </si>
  <si>
    <t>CASEY'S GENERAL STORE #2237 / PRAIRIE CITY</t>
  </si>
  <si>
    <t>PRAIRIE CITY</t>
  </si>
  <si>
    <t>CASEY'S GENERAL STORE #2301 / AMES</t>
  </si>
  <si>
    <t>4657</t>
  </si>
  <si>
    <t>CASEY'S GENERAL STORE #2526 / WELLSBURG</t>
  </si>
  <si>
    <t>WELLSBURG</t>
  </si>
  <si>
    <t>4658</t>
  </si>
  <si>
    <t>CASEY'S GENERAL STORE #3027 / IOWA FALLS</t>
  </si>
  <si>
    <t>4659</t>
  </si>
  <si>
    <t>CASEY'S GENERAL STORE #2802 / CONRAD</t>
  </si>
  <si>
    <t>4660</t>
  </si>
  <si>
    <t>HILL BROTHERS JIFFY MART / CEDAR RAPIDS</t>
  </si>
  <si>
    <t>4661</t>
  </si>
  <si>
    <t>QUIK TRIP #531 / GRIMES</t>
  </si>
  <si>
    <t>4663</t>
  </si>
  <si>
    <t>CASEY'S GENERAL STORE #3077 / PEOSTA</t>
  </si>
  <si>
    <t>PEOSTA</t>
  </si>
  <si>
    <t>CASEY'S GENERAL STORE #24 / BOONE</t>
  </si>
  <si>
    <t>4665</t>
  </si>
  <si>
    <t>CASEY'S GENERAL STORE #2896 / ANKENY</t>
  </si>
  <si>
    <t>4668</t>
  </si>
  <si>
    <t>CLEAR LAKE PAYLESS FOODS</t>
  </si>
  <si>
    <t>SONNY'S SUPER MARKET / WEST POINT</t>
  </si>
  <si>
    <t>WEST POINT</t>
  </si>
  <si>
    <t>4674</t>
  </si>
  <si>
    <t>KUM &amp; GO #227 / AMES</t>
  </si>
  <si>
    <t>4675</t>
  </si>
  <si>
    <t>KUM &amp; GO #1113 / AMES</t>
  </si>
  <si>
    <t>COSTCO WHOLESALE #1111 / CORALVILLE</t>
  </si>
  <si>
    <t>4678</t>
  </si>
  <si>
    <t>FAREWAY STORES #124 / ADEL</t>
  </si>
  <si>
    <t>4679</t>
  </si>
  <si>
    <t>WALGREENS #12393 / CEDAR RAPIDS</t>
  </si>
  <si>
    <t>INDY 66 #928 / INDIANOLA</t>
  </si>
  <si>
    <t>4685</t>
  </si>
  <si>
    <t>KWIK STOP FOOD MART</t>
  </si>
  <si>
    <t>4687</t>
  </si>
  <si>
    <t>KUM &amp; GO #517 / CEDAR RAPIDS</t>
  </si>
  <si>
    <t>4688</t>
  </si>
  <si>
    <t>WALGREENS #10770 / CARROLL</t>
  </si>
  <si>
    <t>WALGREENS #11759 / FORT MADISON</t>
  </si>
  <si>
    <t>4692</t>
  </si>
  <si>
    <t>WALGREENS #05886 / KEOKUK</t>
  </si>
  <si>
    <t>RINA MART LLC / DAVENPORT</t>
  </si>
  <si>
    <t>4695</t>
  </si>
  <si>
    <t>WALGREENS #09791 / ALTOONA</t>
  </si>
  <si>
    <t>4696</t>
  </si>
  <si>
    <t>QUIK TRIP #517 / WEST DES MOINES</t>
  </si>
  <si>
    <t>SOUTHSIDE LIQUOR &amp; TOBACCO / IOWA CITY</t>
  </si>
  <si>
    <t>QUALITY QUICK STOP / FAIRFIELD</t>
  </si>
  <si>
    <t>4699</t>
  </si>
  <si>
    <t>WALGREENS #06553 / BETTENDORF</t>
  </si>
  <si>
    <t>4700</t>
  </si>
  <si>
    <t>J &amp; C GROCERY / ALLISON</t>
  </si>
  <si>
    <t>4701</t>
  </si>
  <si>
    <t>WALGREENS #11193 / BOONE</t>
  </si>
  <si>
    <t>4702</t>
  </si>
  <si>
    <t>WALGREENS #05361 / FORT DODGE</t>
  </si>
  <si>
    <t>4703</t>
  </si>
  <si>
    <t>WALGREENS #00910 / SIOUX CITY</t>
  </si>
  <si>
    <t>WALGREENS #05977 / CORALVILLE</t>
  </si>
  <si>
    <t>4706</t>
  </si>
  <si>
    <t>WALGREENS #05144 / CLINTON</t>
  </si>
  <si>
    <t>4707</t>
  </si>
  <si>
    <t>WALGREENS #05119 / CLINTON</t>
  </si>
  <si>
    <t>4708</t>
  </si>
  <si>
    <t>NO FRILLS SUPERMARKETS #803 / GLENWOOD</t>
  </si>
  <si>
    <t>4709</t>
  </si>
  <si>
    <t>WALGREENS #12108 / AMES</t>
  </si>
  <si>
    <t>4710</t>
  </si>
  <si>
    <t>WALGREENS #09708 / DUBUQUE</t>
  </si>
  <si>
    <t>4711</t>
  </si>
  <si>
    <t>WALGREENS #06154 / DUBUQUE</t>
  </si>
  <si>
    <t>WALGREENS #11942 / DUBUQUE</t>
  </si>
  <si>
    <t>4713</t>
  </si>
  <si>
    <t>WALGREENS #10985 / CORALVILLE</t>
  </si>
  <si>
    <t>4714</t>
  </si>
  <si>
    <t>WALGREENS #05943 / INDIANOLA</t>
  </si>
  <si>
    <t>4715</t>
  </si>
  <si>
    <t>WALGREENS #06678 / WEST DES MOINES</t>
  </si>
  <si>
    <t>WALGREENS #11153 / SPENCER</t>
  </si>
  <si>
    <t>WALGREENS #05512 / BETTENDORF</t>
  </si>
  <si>
    <t>WALGREENS #06623 / WEST DES MOINES</t>
  </si>
  <si>
    <t>4719</t>
  </si>
  <si>
    <t>WALGREENS #06677 / WEST DES MOINES</t>
  </si>
  <si>
    <t>4720</t>
  </si>
  <si>
    <t>CHARITON BP</t>
  </si>
  <si>
    <t>4721</t>
  </si>
  <si>
    <t>WALGREENS #05044 / BURLINGTON</t>
  </si>
  <si>
    <t>4722</t>
  </si>
  <si>
    <t>WALGREENS #09476 / BURLINGTON</t>
  </si>
  <si>
    <t>4723</t>
  </si>
  <si>
    <t>WALGREENS #10557 / CEDAR FALLS</t>
  </si>
  <si>
    <t>4724</t>
  </si>
  <si>
    <t>WALGREENS #05942 / NEWTON</t>
  </si>
  <si>
    <t>CASEY'S GENERAL STORE #1548 / ANKENY</t>
  </si>
  <si>
    <t>4726</t>
  </si>
  <si>
    <t>WALGREENS #07454 / ANKENY</t>
  </si>
  <si>
    <t>4727</t>
  </si>
  <si>
    <t>WALGREENS #07996 / ANKENY</t>
  </si>
  <si>
    <t>4728</t>
  </si>
  <si>
    <t>WALGREENS #05077 / IOWA CITY</t>
  </si>
  <si>
    <t>WALGREENS #05944 / JOHNSTON</t>
  </si>
  <si>
    <t>4731</t>
  </si>
  <si>
    <t>WALGREENS #05060 / CLIVE</t>
  </si>
  <si>
    <t>4732</t>
  </si>
  <si>
    <t>WALGREENS #07967 / CLIVE</t>
  </si>
  <si>
    <t>4733</t>
  </si>
  <si>
    <t>WALGREENS #03773 / URBANDALE</t>
  </si>
  <si>
    <t>4734</t>
  </si>
  <si>
    <t>WALGREENS #04973 / URBANDALE</t>
  </si>
  <si>
    <t>4735</t>
  </si>
  <si>
    <t>WALGREENS #01301 / OTTUMWA</t>
  </si>
  <si>
    <t>4736</t>
  </si>
  <si>
    <t>WALGREENS #03876 / MARION</t>
  </si>
  <si>
    <t>4737</t>
  </si>
  <si>
    <t>WALGREENS #11330 / STORM LAKE</t>
  </si>
  <si>
    <t>4738</t>
  </si>
  <si>
    <t>CASEY'S GENERAL STORE #2284 / COUNCIL BLUFFS</t>
  </si>
  <si>
    <t>4739</t>
  </si>
  <si>
    <t>WALGREENS #05306 / COUNCIL BLUFFS</t>
  </si>
  <si>
    <t>4740</t>
  </si>
  <si>
    <t>WALGREENS #04405 / COUNCIL BLUFFS</t>
  </si>
  <si>
    <t>4741</t>
  </si>
  <si>
    <t>WALGREENS #03700 / COUNCIL BLUFFS</t>
  </si>
  <si>
    <t>4743</t>
  </si>
  <si>
    <t>FAMILY FARE #791</t>
  </si>
  <si>
    <t>4744</t>
  </si>
  <si>
    <t>WALGREENS #03875 / CEDAR RAPIDS</t>
  </si>
  <si>
    <t>WALGREENS #05042 / CEDAR RAPIDS</t>
  </si>
  <si>
    <t>4746</t>
  </si>
  <si>
    <t>WALGREENS #05885 / MUSCATINE</t>
  </si>
  <si>
    <t>4747</t>
  </si>
  <si>
    <t>WALGREENS #11709 / DAVENPORT</t>
  </si>
  <si>
    <t>WALGREENS #06186 / DAVENPORT</t>
  </si>
  <si>
    <t>WALGREENS #05239 / DAVENPORT</t>
  </si>
  <si>
    <t>4750</t>
  </si>
  <si>
    <t>WALGREENS #04041 / DAVENPORT</t>
  </si>
  <si>
    <t>4751</t>
  </si>
  <si>
    <t>WALGREENS #03595 / DAVENPORT</t>
  </si>
  <si>
    <t>GASLAND / BURLINGTON</t>
  </si>
  <si>
    <t>4753</t>
  </si>
  <si>
    <t>CASEY'S GENERAL STORE #2521 / ADAIR</t>
  </si>
  <si>
    <t>4754</t>
  </si>
  <si>
    <t>WALGREENS #12148 / WAVERLY</t>
  </si>
  <si>
    <t>WALGREENS #05941 / MASON CITY</t>
  </si>
  <si>
    <t>4756</t>
  </si>
  <si>
    <t>WALGREENS #03196 / MARSHALLTOWN</t>
  </si>
  <si>
    <t>4757</t>
  </si>
  <si>
    <t>EZ MART / BONDURANT</t>
  </si>
  <si>
    <t>4759</t>
  </si>
  <si>
    <t>WALGREENS #10855 / WATERLOO</t>
  </si>
  <si>
    <t>4760</t>
  </si>
  <si>
    <t>WALGREENS #07455 / WATERLOO</t>
  </si>
  <si>
    <t>4761</t>
  </si>
  <si>
    <t>WALGREENS #03590 / WATERLOO</t>
  </si>
  <si>
    <t>4765</t>
  </si>
  <si>
    <t>KWIK STOP C-STORES / DUBUQUE</t>
  </si>
  <si>
    <t>4766</t>
  </si>
  <si>
    <t>KEYWEST CONOCO / DUBUQUE</t>
  </si>
  <si>
    <t>4767</t>
  </si>
  <si>
    <t>CASEY'S GENERAL STORE #3075 / ANKENY</t>
  </si>
  <si>
    <t>ELMA LOCKER AND GROCERY</t>
  </si>
  <si>
    <t>ELMA</t>
  </si>
  <si>
    <t>4770</t>
  </si>
  <si>
    <t>CASEY'S GENERAL STORE #3080 / HUDSON</t>
  </si>
  <si>
    <t>4774</t>
  </si>
  <si>
    <t>CASEY'S GENERAL STORE #3034 / ESTHERVILLE</t>
  </si>
  <si>
    <t>4775</t>
  </si>
  <si>
    <t>CASEY'S GENERAL STORE #37 / DAKOTA CITY</t>
  </si>
  <si>
    <t>DAKOTA CITY</t>
  </si>
  <si>
    <t>4777</t>
  </si>
  <si>
    <t>CASEY'S GENERAL STORE #3730 / PAULLINA</t>
  </si>
  <si>
    <t>PAULLINA</t>
  </si>
  <si>
    <t>4779</t>
  </si>
  <si>
    <t>CASEY'S GENERAL STORE #3782 / MOUNT AYR</t>
  </si>
  <si>
    <t>CASEY'S GENERAL STORE #3043 / BRITT</t>
  </si>
  <si>
    <t>4781</t>
  </si>
  <si>
    <t>CASEY'S GENERAL STORE #3079 / EARLY</t>
  </si>
  <si>
    <t>EARLY</t>
  </si>
  <si>
    <t>4782</t>
  </si>
  <si>
    <t>CASEY'S GENERAL STORE #2529 / LAMONI</t>
  </si>
  <si>
    <t>4783</t>
  </si>
  <si>
    <t>CASEY'S GENERAL STORE #1684 / EMMETSBURG</t>
  </si>
  <si>
    <t>4785</t>
  </si>
  <si>
    <t>CASEY'S GENERAL STORE #2835 / AVOCA</t>
  </si>
  <si>
    <t>AVOCA</t>
  </si>
  <si>
    <t>CASEY'S GENERAL STORE #1706 / WINTERSET</t>
  </si>
  <si>
    <t>4787</t>
  </si>
  <si>
    <t>380BP / SWISHER</t>
  </si>
  <si>
    <t>SWISHER</t>
  </si>
  <si>
    <t>4788</t>
  </si>
  <si>
    <t>WALGREENS #12580 / CEDAR RAPIDS</t>
  </si>
  <si>
    <t>4790</t>
  </si>
  <si>
    <t>MEDIAPOLIS FAST BREAK</t>
  </si>
  <si>
    <t>MEDIAPOLIS</t>
  </si>
  <si>
    <t>4791</t>
  </si>
  <si>
    <t>WALGREENS #05470 / SIOUX CITY</t>
  </si>
  <si>
    <t>4792</t>
  </si>
  <si>
    <t>CASEY'S GENERAL STORE #2899 / DE SOTO</t>
  </si>
  <si>
    <t>FORT MADISON FAST BREAK</t>
  </si>
  <si>
    <t>SMOKIN' JOE'S #17 TOBACCO AND LIQUOR OUTLET</t>
  </si>
  <si>
    <t>4795</t>
  </si>
  <si>
    <t>WALGREENS #00359 / DES MOINES</t>
  </si>
  <si>
    <t>WALGREENS #04714 / DES MOINES</t>
  </si>
  <si>
    <t>WALGREENS #05362 / DES MOINES</t>
  </si>
  <si>
    <t>WALGREENS #05721 / DES MOINES</t>
  </si>
  <si>
    <t>4799</t>
  </si>
  <si>
    <t>WALGREENS #05777 / DES MOINES</t>
  </si>
  <si>
    <t>WALGREENS #07968 / DES MOINES</t>
  </si>
  <si>
    <t>4801</t>
  </si>
  <si>
    <t>WALGREENS #05852 / DES MOINES</t>
  </si>
  <si>
    <t>4802</t>
  </si>
  <si>
    <t>WALGREENS #07452 / DES MOINES</t>
  </si>
  <si>
    <t>4803</t>
  </si>
  <si>
    <t>WALGREENS #07453 / DES MOINES</t>
  </si>
  <si>
    <t>4804</t>
  </si>
  <si>
    <t>WALGREENS #07833 / DES MOINES</t>
  </si>
  <si>
    <t>GIRI'S LIQUOR STORE / WEST LIBERTY</t>
  </si>
  <si>
    <t>WEST LIBERTY</t>
  </si>
  <si>
    <t>CB QUICK STOP / COUNCIL BLUFFS</t>
  </si>
  <si>
    <t>KUM &amp; GO #518 / ANKENY</t>
  </si>
  <si>
    <t>4811</t>
  </si>
  <si>
    <t>CASEY'S GENERAL STORE #1327 / LOVILIA</t>
  </si>
  <si>
    <t>LOVILIA</t>
  </si>
  <si>
    <t>4817</t>
  </si>
  <si>
    <t>CASEY'S GENERAL STORE #3217 / KNOXVILLE</t>
  </si>
  <si>
    <t>DECORAH MART</t>
  </si>
  <si>
    <t>4821</t>
  </si>
  <si>
    <t>CASEY'S GENERAL STORE #3215 / OSKALOOSA</t>
  </si>
  <si>
    <t>CASEY'S GENERAL STORE #3223 / CRESTON</t>
  </si>
  <si>
    <t>4824</t>
  </si>
  <si>
    <t>CASEY'S GENERAL STORE #3852 / CRESTON</t>
  </si>
  <si>
    <t>CASEY'S GENERAL STORE #3212 / OSCEOLA</t>
  </si>
  <si>
    <t>CASEY'S GENERAL STORE #3228 / MARSHALLTOWN</t>
  </si>
  <si>
    <t>CENTRAL CITY 2</t>
  </si>
  <si>
    <t>4831</t>
  </si>
  <si>
    <t>L &amp; M GAS &amp; GROCERY / BOONE</t>
  </si>
  <si>
    <t>4836</t>
  </si>
  <si>
    <t>KUM &amp; GO #52 / IOWA CITY</t>
  </si>
  <si>
    <t>KUM &amp; GO #51 / IOWA CITY</t>
  </si>
  <si>
    <t>CASEY'S GENERAL STORE #2448 / OGDEN</t>
  </si>
  <si>
    <t>4843</t>
  </si>
  <si>
    <t>STEWART ROAD FAST BREAK</t>
  </si>
  <si>
    <t>4844</t>
  </si>
  <si>
    <t>IOWA CITY FAST BREAK</t>
  </si>
  <si>
    <t>4848</t>
  </si>
  <si>
    <t>KUM &amp; GO #246 / WINTERSET</t>
  </si>
  <si>
    <t>C FRESH MARKET</t>
  </si>
  <si>
    <t>4852</t>
  </si>
  <si>
    <t>KUM &amp; GO #520 / CEDAR RAPIDS</t>
  </si>
  <si>
    <t>4853</t>
  </si>
  <si>
    <t>KUM &amp; GO #62 / JOHNSTON</t>
  </si>
  <si>
    <t>4854</t>
  </si>
  <si>
    <t>CASEY'S GENERAL STORE #3029 / ARMSTRONG</t>
  </si>
  <si>
    <t>ARMSTRONG</t>
  </si>
  <si>
    <t>4855</t>
  </si>
  <si>
    <t>CASEY'S GENERAL STORE #3200 / STRAWBERRY POINT</t>
  </si>
  <si>
    <t>STRAWBERRY POINT</t>
  </si>
  <si>
    <t>4856</t>
  </si>
  <si>
    <t>BROTHERS MARKET / LISBON</t>
  </si>
  <si>
    <t>LISBON</t>
  </si>
  <si>
    <t>4857</t>
  </si>
  <si>
    <t>WESTLAND FAST BREAK</t>
  </si>
  <si>
    <t>4858</t>
  </si>
  <si>
    <t>HWY 34 TRUCKSTOP</t>
  </si>
  <si>
    <t>4859</t>
  </si>
  <si>
    <t>CIRCLE K #4706604 / BURLINGTON</t>
  </si>
  <si>
    <t>4861</t>
  </si>
  <si>
    <t>THE STATION / CEDAR RAPIDS</t>
  </si>
  <si>
    <t>TOBACCO HUT #18 / COUNCIL BLUFFS</t>
  </si>
  <si>
    <t>SPEEDY GAS N SHOP</t>
  </si>
  <si>
    <t>KUM &amp; GO #59 / WAUKEE</t>
  </si>
  <si>
    <t>4872</t>
  </si>
  <si>
    <t>CASEY'S GENERAL STORE #2644 / EARLHAM</t>
  </si>
  <si>
    <t>EARLHAM</t>
  </si>
  <si>
    <t>4873</t>
  </si>
  <si>
    <t>CASEY'S GENERAL STORE #2559 / GRANGER</t>
  </si>
  <si>
    <t>GRANGER</t>
  </si>
  <si>
    <t>QUICK MART / HIAWATHA</t>
  </si>
  <si>
    <t>WORLD LIQUOR &amp; TOBACCO</t>
  </si>
  <si>
    <t>4880</t>
  </si>
  <si>
    <t>CASEY'S GENERAL STORE #1567 / ANITA</t>
  </si>
  <si>
    <t>4882</t>
  </si>
  <si>
    <t>CASEY'S GENERAL STORE #3026 / ST CHARLES</t>
  </si>
  <si>
    <t>ST CHARLES</t>
  </si>
  <si>
    <t>TOBACCO HUT #11 / SIOUX CITY</t>
  </si>
  <si>
    <t>OTTER CREEK STOP / ZWINGLE</t>
  </si>
  <si>
    <t>ZWINGLE</t>
  </si>
  <si>
    <t>4887</t>
  </si>
  <si>
    <t>KUM &amp; GO #66 / WEST DES MOINES</t>
  </si>
  <si>
    <t>4888</t>
  </si>
  <si>
    <t>CIRCLE S BLUFF STOP</t>
  </si>
  <si>
    <t>4890</t>
  </si>
  <si>
    <t>CASEY'S GENERAL STORE #3210 / URBANDALE</t>
  </si>
  <si>
    <t>4891</t>
  </si>
  <si>
    <t>SCHOTTSY'S LIQUOR</t>
  </si>
  <si>
    <t>SIBLEY</t>
  </si>
  <si>
    <t>T072</t>
  </si>
  <si>
    <t>4893</t>
  </si>
  <si>
    <t>CASEY'S GENERAL STORE #3098 / WDM</t>
  </si>
  <si>
    <t>BARRYS MINI MART</t>
  </si>
  <si>
    <t>HARPERS FERRY</t>
  </si>
  <si>
    <t>4897</t>
  </si>
  <si>
    <t>GASLAND #102 / BURLINGTON</t>
  </si>
  <si>
    <t>4898</t>
  </si>
  <si>
    <t>BURLINGTON SHELL</t>
  </si>
  <si>
    <t>GRAETTINGER MARKET</t>
  </si>
  <si>
    <t>GRAETTINGER</t>
  </si>
  <si>
    <t>FAREWAY STORES #137 / POLK CITY</t>
  </si>
  <si>
    <t>BROADWAY LIQUOR</t>
  </si>
  <si>
    <t>PRIME MART #3 / WATERLOO</t>
  </si>
  <si>
    <t>4911</t>
  </si>
  <si>
    <t>CASEY'S GENERAL STORE #1061 / PRINCETON</t>
  </si>
  <si>
    <t>PRINCETON</t>
  </si>
  <si>
    <t>CASEY'S GENERAL STORE #2531 / ELDRIDGE</t>
  </si>
  <si>
    <t>4915</t>
  </si>
  <si>
    <t>CASEY'S GENERAL STORE #2429 / BETTENDORF</t>
  </si>
  <si>
    <t>4921</t>
  </si>
  <si>
    <t>MARKET EXPRESS</t>
  </si>
  <si>
    <t>4923</t>
  </si>
  <si>
    <t>CASEY'S GENERAL STORE #2270 / AURELIA</t>
  </si>
  <si>
    <t>AURELIA</t>
  </si>
  <si>
    <t>4929</t>
  </si>
  <si>
    <t>CASEY'S GENERAL STORE #1680 / ADEL</t>
  </si>
  <si>
    <t>CASEY'S GENERAL STORE #3251 / BOONE</t>
  </si>
  <si>
    <t>4932</t>
  </si>
  <si>
    <t>B AND B WEST</t>
  </si>
  <si>
    <t>4933</t>
  </si>
  <si>
    <t>RIVER MART</t>
  </si>
  <si>
    <t>4934</t>
  </si>
  <si>
    <t>CASEY'S GENERAL STORE #2811 / SPRINGVILLE</t>
  </si>
  <si>
    <t>4937</t>
  </si>
  <si>
    <t>ROCSTOP</t>
  </si>
  <si>
    <t>PRONTO MARKET</t>
  </si>
  <si>
    <t>HAZLETON</t>
  </si>
  <si>
    <t>4941</t>
  </si>
  <si>
    <t>KUM &amp; GO #170 / URBANDALE</t>
  </si>
  <si>
    <t>4942</t>
  </si>
  <si>
    <t>EAST VILLAGE PANTRY</t>
  </si>
  <si>
    <t>4944</t>
  </si>
  <si>
    <t>JIFFY EXPRESS / MARTENSDALE</t>
  </si>
  <si>
    <t>MARTENSDALE</t>
  </si>
  <si>
    <t>4949</t>
  </si>
  <si>
    <t>RIVER DRIVE SMOKE SHOP</t>
  </si>
  <si>
    <t>KUM &amp; GO #514 / CEDAR RAPIDS</t>
  </si>
  <si>
    <t>4953</t>
  </si>
  <si>
    <t>TRI STOP</t>
  </si>
  <si>
    <t>LOST NATION</t>
  </si>
  <si>
    <t>THE COOLER</t>
  </si>
  <si>
    <t>AJ'S LIQUOR III</t>
  </si>
  <si>
    <t>HILLTOP GROCERY</t>
  </si>
  <si>
    <t>JEFF'S MARKET / BLUE GRASS</t>
  </si>
  <si>
    <t>BLUE GRASS</t>
  </si>
  <si>
    <t>4968</t>
  </si>
  <si>
    <t>CASEY'S GENERAL STORE #3042 / BROOKLYN</t>
  </si>
  <si>
    <t>LAKE LIQUORS WINE AND SPIRITS</t>
  </si>
  <si>
    <t>4970</t>
  </si>
  <si>
    <t>JEFF'S MARKET / WEST LIBERTY</t>
  </si>
  <si>
    <t>FAREWAY STORES #138 / PLEASANT HILL</t>
  </si>
  <si>
    <t>4972</t>
  </si>
  <si>
    <t>QUILLINS QUALITY FOODS MONONA</t>
  </si>
  <si>
    <t>QUILLINS QUALITY FOODS WEST UNION</t>
  </si>
  <si>
    <t>4975</t>
  </si>
  <si>
    <t>WALGREENS #15647 / SIOUX CITY</t>
  </si>
  <si>
    <t>PRIME MART / WATERLOO</t>
  </si>
  <si>
    <t>PRONTO BP</t>
  </si>
  <si>
    <t>WASHBURN</t>
  </si>
  <si>
    <t>4981</t>
  </si>
  <si>
    <t>SINCLAIR FOOD MART</t>
  </si>
  <si>
    <t>TRAER</t>
  </si>
  <si>
    <t>4982</t>
  </si>
  <si>
    <t>KIMMES COUNTRY STORE ALTA 05</t>
  </si>
  <si>
    <t>ALTA</t>
  </si>
  <si>
    <t>4983</t>
  </si>
  <si>
    <t>4985</t>
  </si>
  <si>
    <t>CASEY'S GENERAL STORE #2519 / MERRILL</t>
  </si>
  <si>
    <t>MERRILL</t>
  </si>
  <si>
    <t>HAPPY'S WINE &amp; SPIRITS</t>
  </si>
  <si>
    <t>4989</t>
  </si>
  <si>
    <t>CASEY'S GENERAL STORE #3322 / IOWA CITY</t>
  </si>
  <si>
    <t>SITE FOOD MART</t>
  </si>
  <si>
    <t>DOWNTOWN PANTRY</t>
  </si>
  <si>
    <t>LAKE CITY FOOD CENTER</t>
  </si>
  <si>
    <t>LAKE CITY</t>
  </si>
  <si>
    <t>4999</t>
  </si>
  <si>
    <t>CASEY'S GENERAL STORE #2680 / CLARKS</t>
  </si>
  <si>
    <t>CLARKSVILLE</t>
  </si>
  <si>
    <t>CASEY'S GENERAL STORE #3319 / NEVADA</t>
  </si>
  <si>
    <t>FAMOUS LIQUORS</t>
  </si>
  <si>
    <t>5004</t>
  </si>
  <si>
    <t>IDA GROVE FOOD PRIDE</t>
  </si>
  <si>
    <t>5005</t>
  </si>
  <si>
    <t>LAURENS FOOD PRIDE</t>
  </si>
  <si>
    <t>KWIK STOP 16TH STREET #325</t>
  </si>
  <si>
    <t>BROTHER'S MARKET / DENVER</t>
  </si>
  <si>
    <t>DENVER</t>
  </si>
  <si>
    <t>SAC CITY FOOD PRIDE</t>
  </si>
  <si>
    <t>5017</t>
  </si>
  <si>
    <t>LANSING IGA</t>
  </si>
  <si>
    <t>5021</t>
  </si>
  <si>
    <t>KUM &amp; GO #608 / OKOBOJI</t>
  </si>
  <si>
    <t>OKOBOJI</t>
  </si>
  <si>
    <t>HARD ROCK HOTEL &amp; CASINO SIOUX CITY</t>
  </si>
  <si>
    <t>5028</t>
  </si>
  <si>
    <t>MIDTOWN LIQUOR</t>
  </si>
  <si>
    <t>THE LIQUOR STOP LLC</t>
  </si>
  <si>
    <t>5035</t>
  </si>
  <si>
    <t>CASEY'S GENERAL STORE #3205 / COUNCI</t>
  </si>
  <si>
    <t>5039</t>
  </si>
  <si>
    <t>CASEY'S GENERAL STORE #3384 / SOLON</t>
  </si>
  <si>
    <t>5041</t>
  </si>
  <si>
    <t>CASEY'S GENERAL STORE #3309 / MONTEZ</t>
  </si>
  <si>
    <t>5044</t>
  </si>
  <si>
    <t>CASEY'S GENERAL STORE #3202 / CRESCE</t>
  </si>
  <si>
    <t>CRESCENT</t>
  </si>
  <si>
    <t>FAREWAY STORES #147 / CARLISLE</t>
  </si>
  <si>
    <t>CARLISLE</t>
  </si>
  <si>
    <t>5051</t>
  </si>
  <si>
    <t>OASIS</t>
  </si>
  <si>
    <t>5052</t>
  </si>
  <si>
    <t>CASEY'S GENERAL STORE #3220 / GREENF</t>
  </si>
  <si>
    <t>CORK 'N BOTTLE / MANCHESTER</t>
  </si>
  <si>
    <t>5055</t>
  </si>
  <si>
    <t>LATIMER COMMUNITY GROCERY</t>
  </si>
  <si>
    <t>5056</t>
  </si>
  <si>
    <t>COUNCIL BLUFFS SINCLAIR</t>
  </si>
  <si>
    <t>KUM &amp; GO #535 / DES MOINES</t>
  </si>
  <si>
    <t>5058</t>
  </si>
  <si>
    <t>KUM &amp; GO #542 / URBANDALE</t>
  </si>
  <si>
    <t>5059</t>
  </si>
  <si>
    <t>CASEY'S GENERAL STORE #1125 / HUMEST</t>
  </si>
  <si>
    <t>HUMESTON</t>
  </si>
  <si>
    <t>L&amp;M MIGHTY SHOP</t>
  </si>
  <si>
    <t>CASEY'S GENERAL STORE #3382 / CEDAR</t>
  </si>
  <si>
    <t>5062</t>
  </si>
  <si>
    <t>CASEY'S GENERAL STORE #2318 / MONTRO</t>
  </si>
  <si>
    <t>MONTROSE</t>
  </si>
  <si>
    <t>CASEY'S GENERAL STORE #2777 / FAIRFA</t>
  </si>
  <si>
    <t>FAIRFAX</t>
  </si>
  <si>
    <t>5065</t>
  </si>
  <si>
    <t>CIRCLE S GORDON DRIVE</t>
  </si>
  <si>
    <t>TOBACCO SHOP / ARNOLDS PARK</t>
  </si>
  <si>
    <t>ARNOLDS PARK</t>
  </si>
  <si>
    <t>CASEY'S GENERAL STORE #1705 / LAKE M</t>
  </si>
  <si>
    <t>JEFF'S MARKET / WILTON</t>
  </si>
  <si>
    <t>WILTON</t>
  </si>
  <si>
    <t>JEFF'S MARKET / DURANT</t>
  </si>
  <si>
    <t>DURANT</t>
  </si>
  <si>
    <t>PEP STOP</t>
  </si>
  <si>
    <t>WILLIAMS BOULEVARD SERVICE, INC.</t>
  </si>
  <si>
    <t>WAL-MART 3150 / COUNCIL BLUFFS</t>
  </si>
  <si>
    <t>5079</t>
  </si>
  <si>
    <t>CASEY'S GENERAL STORE #2489 / DENISO</t>
  </si>
  <si>
    <t>C'S LIQUOR STORE</t>
  </si>
  <si>
    <t>5081</t>
  </si>
  <si>
    <t>CASEY'S GENERAL STORE #3035 / ATLANT</t>
  </si>
  <si>
    <t>5082</t>
  </si>
  <si>
    <t>CASEY'S GENERAL STORE #2365 / ATLANT</t>
  </si>
  <si>
    <t>5086</t>
  </si>
  <si>
    <t>CENTRAL MART I, LLC.</t>
  </si>
  <si>
    <t>MOS MINI MART</t>
  </si>
  <si>
    <t>5091</t>
  </si>
  <si>
    <t>KUM &amp; GO #1436 / MUSCATINE</t>
  </si>
  <si>
    <t>5092</t>
  </si>
  <si>
    <t>KUM &amp; GO #3035 / WEST DES MOINES</t>
  </si>
  <si>
    <t>CASEY'S GENERAL STORE #2778 / CEDAR</t>
  </si>
  <si>
    <t>5096</t>
  </si>
  <si>
    <t>WALGREENS #11710 / NORTH LIBERTY</t>
  </si>
  <si>
    <t>FAREWAY STORES #151 / CEDAR RAPIDS</t>
  </si>
  <si>
    <t>BEST FOOD MART 3  LLC</t>
  </si>
  <si>
    <t>5099</t>
  </si>
  <si>
    <t>CASEY'S GENERAL STORE #2164 / ANKENY</t>
  </si>
  <si>
    <t>SAM'S FOOD</t>
  </si>
  <si>
    <t>WILKIE LIQUORS</t>
  </si>
  <si>
    <t>RANDY'S NEIGHBORHOOD MARKET</t>
  </si>
  <si>
    <t>DEWITT</t>
  </si>
  <si>
    <t>5107</t>
  </si>
  <si>
    <t>KUM &amp; GO #4098 / WINDSOR HEIGHTS</t>
  </si>
  <si>
    <t>5108</t>
  </si>
  <si>
    <t>TOBACCO 4 LESS / STATE ST</t>
  </si>
  <si>
    <t>5109</t>
  </si>
  <si>
    <t>CASEY'S GENERAL STORE #3404 / CARLIS</t>
  </si>
  <si>
    <t>RAMSEY'S MARKET LIQUOR</t>
  </si>
  <si>
    <t>LENOX</t>
  </si>
  <si>
    <t>RAY'S SUPERMARKET, INC.</t>
  </si>
  <si>
    <t>CASEY'S GENERAL STORE #2612 / MISSOU</t>
  </si>
  <si>
    <t>NEW STAR MART  /  NEWTON</t>
  </si>
  <si>
    <t>5117</t>
  </si>
  <si>
    <t>FOOD &amp; GAS MART  /  MARSHALLTOWN</t>
  </si>
  <si>
    <t>5118</t>
  </si>
  <si>
    <t>KWIK STOP #82  /  PEOSTA</t>
  </si>
  <si>
    <t>CASEY'S GENERAL STORE #3442 / MAPLET</t>
  </si>
  <si>
    <t>PRICE CHOPPER  /  INGERSOLL</t>
  </si>
  <si>
    <t>5128</t>
  </si>
  <si>
    <t>PRICE CHOPPER  /  BEAVER #1310</t>
  </si>
  <si>
    <t>DON'S FOOD CENTER</t>
  </si>
  <si>
    <t>FAREWAY STORES #155 / HUXLEY</t>
  </si>
  <si>
    <t>KELLOGG COUNTRY STORE</t>
  </si>
  <si>
    <t>KELLOGG</t>
  </si>
  <si>
    <t>5141</t>
  </si>
  <si>
    <t>CASEY'S GENERAL STORE #3418 / GOWRIE</t>
  </si>
  <si>
    <t>GOWRIE</t>
  </si>
  <si>
    <t>5142</t>
  </si>
  <si>
    <t>SMOKIN' JOE'S #13 TOBACCO AND LIQUOR OUTLET</t>
  </si>
  <si>
    <t>SAM'S CLUB 6979 / ANKENY</t>
  </si>
  <si>
    <t>SOUTH SIDE FOOD MART</t>
  </si>
  <si>
    <t>5146</t>
  </si>
  <si>
    <t>FAREWAY STORES #153  /  W DES MOINES</t>
  </si>
  <si>
    <t>5147</t>
  </si>
  <si>
    <t>VICTOR'S MARKET</t>
  </si>
  <si>
    <t>VICTOR</t>
  </si>
  <si>
    <t>B S MINI MART INC</t>
  </si>
  <si>
    <t>CASEY'S GENERAL STORE #2815  /  VICT</t>
  </si>
  <si>
    <t>BREW IDA GROVE</t>
  </si>
  <si>
    <t>OAK STREET STATION LLC</t>
  </si>
  <si>
    <t>INWOOD</t>
  </si>
  <si>
    <t>CASEY'S GENERAL STORE #1020  / LE CL</t>
  </si>
  <si>
    <t>KIMMES MANSON COUNTRY STORE #10</t>
  </si>
  <si>
    <t>KIMMES ROCKWELL CITY COUNTRY STORE #</t>
  </si>
  <si>
    <t>ROCKWELL CITY</t>
  </si>
  <si>
    <t>5170</t>
  </si>
  <si>
    <t>CASEY'S GENERAL STORE #1414  / STATE</t>
  </si>
  <si>
    <t>5171</t>
  </si>
  <si>
    <t>GARY'S LIQUOR &amp; WINE LTD</t>
  </si>
  <si>
    <t>5173</t>
  </si>
  <si>
    <t>AUDUBON FOOD LAND</t>
  </si>
  <si>
    <t>5175</t>
  </si>
  <si>
    <t>KWIK STOP DELHI</t>
  </si>
  <si>
    <t>DELHI</t>
  </si>
  <si>
    <t>SMOKIN' JOE'S #15 TOBACCO AND LIQUOR OUTLET</t>
  </si>
  <si>
    <t>5177</t>
  </si>
  <si>
    <t>CASEY'S GENERAL STORE #3204 / MINDEN</t>
  </si>
  <si>
    <t>MINDEN</t>
  </si>
  <si>
    <t>5179</t>
  </si>
  <si>
    <t>BAXTER FAMILY MARKET</t>
  </si>
  <si>
    <t>5181</t>
  </si>
  <si>
    <t>CASEY'S GENERAL STORE #3434  /  DENV</t>
  </si>
  <si>
    <t>5182</t>
  </si>
  <si>
    <t>KWIK SHOP #595  /  W BROADWAY</t>
  </si>
  <si>
    <t>5183</t>
  </si>
  <si>
    <t>CASEY'S GENERAL STORE #77 / CASCADE</t>
  </si>
  <si>
    <t>CASEY'S GENERAL STORE #3440 / CAMANC</t>
  </si>
  <si>
    <t>5185</t>
  </si>
  <si>
    <t>KUM &amp; GO #521  /  CORALVILLE</t>
  </si>
  <si>
    <t>CASEY'S GENERAL STORE #3452 / WEST U</t>
  </si>
  <si>
    <t>KWIK STOP LIQUOR &amp; GROCERIES AMES</t>
  </si>
  <si>
    <t>KUM &amp; GO #251 / SIOUX CITY</t>
  </si>
  <si>
    <t>5190</t>
  </si>
  <si>
    <t>GUPPY'S ON THE GO / WALFORD</t>
  </si>
  <si>
    <t>CASEY'S GENERAL STORE #1534 / GUTHRI</t>
  </si>
  <si>
    <t>5193</t>
  </si>
  <si>
    <t>CASEY'S GENERAL STORE #2518 / LOHRVI</t>
  </si>
  <si>
    <t>LOHRVILLE</t>
  </si>
  <si>
    <t>5195</t>
  </si>
  <si>
    <t>CASEY'S GENERAL STORE #3203 / COUNCI</t>
  </si>
  <si>
    <t>5196</t>
  </si>
  <si>
    <t>THE DEPOT CORALVILLE</t>
  </si>
  <si>
    <t>5197</t>
  </si>
  <si>
    <t>KUM &amp; GO #201 / CORALVILLE</t>
  </si>
  <si>
    <t>RIVERSIDE LIQUOR</t>
  </si>
  <si>
    <t>5200</t>
  </si>
  <si>
    <t>OTTER CREEK COUNTRY STORE</t>
  </si>
  <si>
    <t>ROBINS</t>
  </si>
  <si>
    <t>5202</t>
  </si>
  <si>
    <t>CASEY'S GENERAL STORE #2900 / GILBER</t>
  </si>
  <si>
    <t>GILBERTVILLE</t>
  </si>
  <si>
    <t>5203</t>
  </si>
  <si>
    <t>KIMMES COON RAPIDS COUNTRY STORE #12</t>
  </si>
  <si>
    <t>COON RAPIDS</t>
  </si>
  <si>
    <t>QUIK STOP  /  BURLINGTON</t>
  </si>
  <si>
    <t>GLIDDEN GROCERY</t>
  </si>
  <si>
    <t>BROTHERS MARKET  /  GRUNDY CENTER</t>
  </si>
  <si>
    <t>JIM'S FOODS  /  CEDAR RAPIDS</t>
  </si>
  <si>
    <t>5208</t>
  </si>
  <si>
    <t>OLSEN'S BP</t>
  </si>
  <si>
    <t>5209</t>
  </si>
  <si>
    <t>KWIK STOP #848 / DUBUQUE</t>
  </si>
  <si>
    <t>DING'S HONK'N HOLLER</t>
  </si>
  <si>
    <t>5211</t>
  </si>
  <si>
    <t>KUM &amp; GO #129  /  JOHNSTON</t>
  </si>
  <si>
    <t>5213</t>
  </si>
  <si>
    <t>GARNER ONE STOP</t>
  </si>
  <si>
    <t>5214</t>
  </si>
  <si>
    <t>FAS MART #5148 / CEDAR RAPIDS</t>
  </si>
  <si>
    <t>5216</t>
  </si>
  <si>
    <t>CASEY'S GENERAL STORE #2683  /  RUNN</t>
  </si>
  <si>
    <t>RUNNELLS</t>
  </si>
  <si>
    <t>5217</t>
  </si>
  <si>
    <t>CASEY'S GENERAL STORE #1511 / SEYMOU</t>
  </si>
  <si>
    <t>SEYMOUR</t>
  </si>
  <si>
    <t>LEO1  /  CEDAR RAPIDS</t>
  </si>
  <si>
    <t>5223</t>
  </si>
  <si>
    <t>CASEY'S GENERAL STORE #1503 / TABOR</t>
  </si>
  <si>
    <t>TABOR</t>
  </si>
  <si>
    <t>5225</t>
  </si>
  <si>
    <t>THE STATION II / NORTH LIBERTY</t>
  </si>
  <si>
    <t>5226</t>
  </si>
  <si>
    <t>KC BROTHERS</t>
  </si>
  <si>
    <t>ANTHON MINI MART</t>
  </si>
  <si>
    <t>ANTHON</t>
  </si>
  <si>
    <t>5229</t>
  </si>
  <si>
    <t>CASEY'S GENERAL STORE #3422 / NORWAL</t>
  </si>
  <si>
    <t>POINT LIQUOR &amp; TOBACCO</t>
  </si>
  <si>
    <t>5232</t>
  </si>
  <si>
    <t>CASEY'S GENERAL STORE #27  /  AUDUBO</t>
  </si>
  <si>
    <t>5233</t>
  </si>
  <si>
    <t>CASEY'S GENERAL STORE #2640 / PLEASA</t>
  </si>
  <si>
    <t>PLEASANTVILLE</t>
  </si>
  <si>
    <t>5234</t>
  </si>
  <si>
    <t>CASEY'S GENERAL STORE #3473 / DUBUQU</t>
  </si>
  <si>
    <t>KUM &amp; GO #540 / WAUKEE</t>
  </si>
  <si>
    <t>GIGGLE JUICE LIQUOR STATION, LLC</t>
  </si>
  <si>
    <t>WORLD LIQUOR &amp; TOBACCO + VAPE</t>
  </si>
  <si>
    <t>LEFTY'S CONVENIENCE STORE INC.</t>
  </si>
  <si>
    <t>5240</t>
  </si>
  <si>
    <t>CASEY'S GENERAL STORE #3463 / WEST B</t>
  </si>
  <si>
    <t>KUM &amp; GO #3502 / IOWA CITY</t>
  </si>
  <si>
    <t>THE OX &amp; WREN SPIRITS AND GIFTS</t>
  </si>
  <si>
    <t>BEST TRIP</t>
  </si>
  <si>
    <t>5246</t>
  </si>
  <si>
    <t>CASEY'S GENERAL STORE #3476 / FOREST</t>
  </si>
  <si>
    <t>5252</t>
  </si>
  <si>
    <t>FREEMAN FOODS OF NORTH ENGLISH</t>
  </si>
  <si>
    <t>NORTH ENGLISH</t>
  </si>
  <si>
    <t>THE CORNER STORE</t>
  </si>
  <si>
    <t>DISCOUNT LIQUOR</t>
  </si>
  <si>
    <t>WHOLE FOODS MARKET</t>
  </si>
  <si>
    <t>5256</t>
  </si>
  <si>
    <t>CASEY'S GENERAL STORE # 1331/ SAC CITY</t>
  </si>
  <si>
    <t>MAD AVE QUIK SHOP</t>
  </si>
  <si>
    <t>BERNIE'S BOOZE LLC</t>
  </si>
  <si>
    <t>CASEY'S GENERAL STORE # 2177/MITCHEL</t>
  </si>
  <si>
    <t>5267</t>
  </si>
  <si>
    <t>THE STATION</t>
  </si>
  <si>
    <t>5268</t>
  </si>
  <si>
    <t>THE DEPOT ATKINS</t>
  </si>
  <si>
    <t>ATKINS</t>
  </si>
  <si>
    <t>5269</t>
  </si>
  <si>
    <t>LEFTY'S CONVENIENCE STORE INC</t>
  </si>
  <si>
    <t>5270</t>
  </si>
  <si>
    <t>CASEY'S GENERAL STORE # 2783/ URBAND</t>
  </si>
  <si>
    <t>5273</t>
  </si>
  <si>
    <t>CASEY'S GENERAL STORE # 2598/ PELLA</t>
  </si>
  <si>
    <t>CASEY'S GENERAL STORE # 2417/ NEWTON</t>
  </si>
  <si>
    <t>5276</t>
  </si>
  <si>
    <t>CASEY'S GENERAL STORE # 3502/ STANTO</t>
  </si>
  <si>
    <t>STANTON</t>
  </si>
  <si>
    <t>5277</t>
  </si>
  <si>
    <t>CUBBY'S ONAWA</t>
  </si>
  <si>
    <t>CASEY'S GENERAL STORE # 2560/ AMES</t>
  </si>
  <si>
    <t>5280</t>
  </si>
  <si>
    <t>YESWAY STORE # 10011/ MASON CITY</t>
  </si>
  <si>
    <t>5282</t>
  </si>
  <si>
    <t>YESWAY STORE # 10019/ MASON CITY</t>
  </si>
  <si>
    <t>5283</t>
  </si>
  <si>
    <t>YESWAY STORE # 10026/ MASON CITY</t>
  </si>
  <si>
    <t>5287</t>
  </si>
  <si>
    <t>YESWAY STORE # 1029/ CLARION</t>
  </si>
  <si>
    <t>YESWAY STORE # 10020/ STORY CITY</t>
  </si>
  <si>
    <t>THE BOONEDOCKS</t>
  </si>
  <si>
    <t>5294</t>
  </si>
  <si>
    <t>YESWAY STORE # 10022/ WATERLOO</t>
  </si>
  <si>
    <t>5295</t>
  </si>
  <si>
    <t>YESWAY STORE # 10023/ WATERLOO</t>
  </si>
  <si>
    <t>5296</t>
  </si>
  <si>
    <t>YESWAY STORE # 10021/ WEBSTER CITY</t>
  </si>
  <si>
    <t>5297</t>
  </si>
  <si>
    <t>YESWAY STORE # 10018/ WEBSTER CITY</t>
  </si>
  <si>
    <t>DEWITT TRAVEL MART</t>
  </si>
  <si>
    <t>5300</t>
  </si>
  <si>
    <t>YESWAY STORE # 10013/ OTTUMWA</t>
  </si>
  <si>
    <t>5301</t>
  </si>
  <si>
    <t>YESWAY STORE # 10012/ OTTUMWA</t>
  </si>
  <si>
    <t>5302</t>
  </si>
  <si>
    <t>YESWAY STORE # 10034/ BELMOND</t>
  </si>
  <si>
    <t>5303</t>
  </si>
  <si>
    <t>CASEY'S GENERAL STORE # 3508/ MARSHA</t>
  </si>
  <si>
    <t>5306</t>
  </si>
  <si>
    <t>FAS MART # 5159/ DUBUQUE</t>
  </si>
  <si>
    <t>FAREWAY STORES #167/JOHNSTON</t>
  </si>
  <si>
    <t>TOBACCO HUT &amp; LIQUOR</t>
  </si>
  <si>
    <t>BROTHER'S MARKET WINE AND SPIRITS</t>
  </si>
  <si>
    <t>SIGOURNEY</t>
  </si>
  <si>
    <t>BROTHER'S MARKET/ SIGOURNEY</t>
  </si>
  <si>
    <t>5317</t>
  </si>
  <si>
    <t>CASEY'S GENERAL STORE # 2653 / TOLEDO</t>
  </si>
  <si>
    <t>5321</t>
  </si>
  <si>
    <t>CASEY'S GENERAL STORE # 3513/ BELLE PLAINE</t>
  </si>
  <si>
    <t>AVOCA FOOD LAND</t>
  </si>
  <si>
    <t>ALS LIQUOR</t>
  </si>
  <si>
    <t>5328</t>
  </si>
  <si>
    <t>CORNERSTONE APOTHECARY / VAN HORNE</t>
  </si>
  <si>
    <t>VAN HORNE</t>
  </si>
  <si>
    <t>DIVA &amp; TEJ GAS &amp; FOOD</t>
  </si>
  <si>
    <t>GRAND MOUNDS</t>
  </si>
  <si>
    <t>5331</t>
  </si>
  <si>
    <t>CASEY'S GENERAL STORE # 1536/ GEORGE</t>
  </si>
  <si>
    <t>5332</t>
  </si>
  <si>
    <t>CASEY'S GENERAL STORE # 3507/ GRIMES</t>
  </si>
  <si>
    <t>5333</t>
  </si>
  <si>
    <t>FAREWAY STORES #166/ ANAMOSA</t>
  </si>
  <si>
    <t>EXPO LIQUOR</t>
  </si>
  <si>
    <t>KUM &amp; GO #539/ NW 2ND AVE</t>
  </si>
  <si>
    <t>5340</t>
  </si>
  <si>
    <t>KUM &amp; GO #532/ WEST DSM</t>
  </si>
  <si>
    <t>CASEY'S GENERAL STORE # 3509/ CARTER LAKE</t>
  </si>
  <si>
    <t>FROHLICH'S SUPER VALU</t>
  </si>
  <si>
    <t>5344</t>
  </si>
  <si>
    <t>CASEY'S GENERAL STORE # 2607/ SIOUX CITY</t>
  </si>
  <si>
    <t>KUM &amp; GO #1097 / 50TH WDM</t>
  </si>
  <si>
    <t>CASEY'S GENERAL STORE # 3564/ ROBINS</t>
  </si>
  <si>
    <t>CASEY'S GENERAL STORE # 3562/ MARION</t>
  </si>
  <si>
    <t>DOWNTOWN LIQUOR</t>
  </si>
  <si>
    <t>CASEY'S GENERAL STORE # 3565/ TRIPOLI</t>
  </si>
  <si>
    <t>TRIPOLI</t>
  </si>
  <si>
    <t>NEW STAR / PELLA</t>
  </si>
  <si>
    <t>5354</t>
  </si>
  <si>
    <t>KIMMES WALL LAKE</t>
  </si>
  <si>
    <t>WALL LAKE</t>
  </si>
  <si>
    <t>5355</t>
  </si>
  <si>
    <t>CASEY'S GENERAL STORE # 3523/ ELDRIDGE</t>
  </si>
  <si>
    <t>5356</t>
  </si>
  <si>
    <t>CASEY'S GENERAL STORE # 3561/ CEDAR RAPIDS</t>
  </si>
  <si>
    <t>5358</t>
  </si>
  <si>
    <t>KUM &amp; GO #1056/ BEVINGTON</t>
  </si>
  <si>
    <t>BEVINGTON</t>
  </si>
  <si>
    <t>5359</t>
  </si>
  <si>
    <t>FAREWAY STORES #168/ PEOSTA</t>
  </si>
  <si>
    <t>LIQUORLAND / BURLINGTON</t>
  </si>
  <si>
    <t>CROSSROADS WINE &amp; SPIRITS LLC</t>
  </si>
  <si>
    <t>DUNLAP</t>
  </si>
  <si>
    <t>5363</t>
  </si>
  <si>
    <t>CASEY'S GENERAL STORE # 2253/ CLIVE</t>
  </si>
  <si>
    <t>LIQUOR BEER &amp; TOBACCO OUTLET</t>
  </si>
  <si>
    <t>5367</t>
  </si>
  <si>
    <t>CASEY'S GENERAL STORE # 2618/ FREDRICKSBURG</t>
  </si>
  <si>
    <t>FREDERICKSBURG</t>
  </si>
  <si>
    <t>5368</t>
  </si>
  <si>
    <t>CASEY'S GENERAL STORE # 2169/ INDEPENDENCE</t>
  </si>
  <si>
    <t>BORMANNS NEIGHBORHOOD PITSTOP, LLC</t>
  </si>
  <si>
    <t>STATE FOOD MART</t>
  </si>
  <si>
    <t>SODES GREEN ACRE</t>
  </si>
  <si>
    <t>IOWA LIQUOR &amp; TOBACCO</t>
  </si>
  <si>
    <t>CASEY'S GENERAL STORE # 3518/ DES MOINES</t>
  </si>
  <si>
    <t>5376</t>
  </si>
  <si>
    <t>CASEY'S GENERAL STORE # 2687/ HAWARDEN</t>
  </si>
  <si>
    <t>5377</t>
  </si>
  <si>
    <t>CASEY'S GENERAL STORE # 2517/ ROCKWELL CITY</t>
  </si>
  <si>
    <t>5378</t>
  </si>
  <si>
    <t>CASEY'S GENERAL STORE # 2543/ ALBION</t>
  </si>
  <si>
    <t>ALBION</t>
  </si>
  <si>
    <t>5379</t>
  </si>
  <si>
    <t>YESWAY STORE # 1036/ KANAWHA</t>
  </si>
  <si>
    <t>KANAWHA</t>
  </si>
  <si>
    <t>5381</t>
  </si>
  <si>
    <t>CASEY'S GENERAL STORE # 3546/ MONONA</t>
  </si>
  <si>
    <t>5382</t>
  </si>
  <si>
    <t>CASEY'S GENERAL STORE # 2870/ ALTOONA</t>
  </si>
  <si>
    <t>5383</t>
  </si>
  <si>
    <t>CASEY'S GENERAL STORE # 1753/ NORTHWOOD</t>
  </si>
  <si>
    <t>5384</t>
  </si>
  <si>
    <t>CASEY'S GENERAL STORE # 2698/ PERRY</t>
  </si>
  <si>
    <t>5386</t>
  </si>
  <si>
    <t>CASEY'S GENERAL STORE # 2494/ EAGLE GROVE</t>
  </si>
  <si>
    <t>5387</t>
  </si>
  <si>
    <t>CASEY'S GENERAL STORE # 3054/ WEBSTER CITY</t>
  </si>
  <si>
    <t>5388</t>
  </si>
  <si>
    <t>KUM &amp; GO #119/ NORTHWOOD</t>
  </si>
  <si>
    <t>5389</t>
  </si>
  <si>
    <t>CASEY'S GENERAL STORE # 2511/ CRESCO</t>
  </si>
  <si>
    <t>5390</t>
  </si>
  <si>
    <t>PG MINI MART</t>
  </si>
  <si>
    <t>5391</t>
  </si>
  <si>
    <t>CASEY'S GENERAL STORE # 1896/ CLEAR LAKE</t>
  </si>
  <si>
    <t>CASEY'S GENERAL STORE # 1861/ BONDURANT</t>
  </si>
  <si>
    <t>CASEY'S GENERAL STORE # 1799/ OSAGE</t>
  </si>
  <si>
    <t>5394</t>
  </si>
  <si>
    <t>CASEY'S GENERAL STORE #2183/DECORAH</t>
  </si>
  <si>
    <t>YESWAY STORE #1037/ GRIMES</t>
  </si>
  <si>
    <t>5396</t>
  </si>
  <si>
    <t>CASEY'S GENERAL STORE # 3512/ INDIANOLA</t>
  </si>
  <si>
    <t>CASEY'S GENERAL STORE # 2774/AMANA</t>
  </si>
  <si>
    <t>AMANA</t>
  </si>
  <si>
    <t>CASEY'S GENERAL STORE # 2272/COLFAX</t>
  </si>
  <si>
    <t>5399</t>
  </si>
  <si>
    <t>CASEY'S GENERAL STORE # 1876/MANLY</t>
  </si>
  <si>
    <t>MANLY</t>
  </si>
  <si>
    <t>5400</t>
  </si>
  <si>
    <t>WASPY'S TRUCK STOP</t>
  </si>
  <si>
    <t>5403</t>
  </si>
  <si>
    <t>GOLDEN MART</t>
  </si>
  <si>
    <t>THE DEPOT OXFORD LLC</t>
  </si>
  <si>
    <t>OXFORD</t>
  </si>
  <si>
    <t>KUM &amp; GO #524/ CORALVILLE</t>
  </si>
  <si>
    <t>CASEY'S GENERAL STORE # 2918/ CORALVILLE</t>
  </si>
  <si>
    <t>5407</t>
  </si>
  <si>
    <t>CASEY'S GENERAL STORE # 2528/ WILLIAMSBURG</t>
  </si>
  <si>
    <t>WILLIAMSBURG</t>
  </si>
  <si>
    <t>5408</t>
  </si>
  <si>
    <t>CASEY'S GENERAL STORE # 1441/ MARSHALLTOWN</t>
  </si>
  <si>
    <t>5409</t>
  </si>
  <si>
    <t>CASEY'S GENERAL STORE # 2179/ WAUKEE</t>
  </si>
  <si>
    <t>5410</t>
  </si>
  <si>
    <t>UMIYA FOODMART INC</t>
  </si>
  <si>
    <t>TRURO</t>
  </si>
  <si>
    <t>BLUEJAY MARKET</t>
  </si>
  <si>
    <t>5412</t>
  </si>
  <si>
    <t>CASEY'S GENERAL STORE # 1029/ TAMA</t>
  </si>
  <si>
    <t>5413</t>
  </si>
  <si>
    <t>LIL' CHUBS CORNER STOP</t>
  </si>
  <si>
    <t>5415</t>
  </si>
  <si>
    <t>PRIME MART 7 / WATERLOO</t>
  </si>
  <si>
    <t>CASEY'S GENERAL STORE # 2792/CEDAR RAPIDS</t>
  </si>
  <si>
    <t>CASEY'S GENERAL STORE # 2780/CEDAR RAPIDS</t>
  </si>
  <si>
    <t>5419</t>
  </si>
  <si>
    <t>CASEY'S GENERAL STORE # 3604/HINTON</t>
  </si>
  <si>
    <t>HINTON</t>
  </si>
  <si>
    <t>5420</t>
  </si>
  <si>
    <t>CASEY'S GENERAL STORE # 2212/ CEDAR RAPIDS</t>
  </si>
  <si>
    <t>5421</t>
  </si>
  <si>
    <t>YESWAY # 1009/ HARLAN</t>
  </si>
  <si>
    <t>THE DEPOT MONTEZUMA LLC</t>
  </si>
  <si>
    <t>STAMMER LIQUOR CORP</t>
  </si>
  <si>
    <t>SPIRITS LIQUOR / GRIMES</t>
  </si>
  <si>
    <t>5428</t>
  </si>
  <si>
    <t>CASEY'S GENERAL STORE # 2789/ CEDAR RAPIDS</t>
  </si>
  <si>
    <t>BREW COFFEE WINE SPIRIT AND CIGARS</t>
  </si>
  <si>
    <t>MK MINIMART, INC</t>
  </si>
  <si>
    <t>JUNCTION LIQUOR</t>
  </si>
  <si>
    <t>SMOKIN' JOE'S #8 TOBACCO AND LIQUOR OUTLET</t>
  </si>
  <si>
    <t>5437</t>
  </si>
  <si>
    <t>GREAT PASTIMES / MONTICELLO</t>
  </si>
  <si>
    <t>MT. PLEASANT FAST BREAK</t>
  </si>
  <si>
    <t>LIQUOR ON THE CORNER</t>
  </si>
  <si>
    <t>1ST STOP BEVERAGE SHOP</t>
  </si>
  <si>
    <t>MARSHALL BEER WINE SPIRITS</t>
  </si>
  <si>
    <t>CASEY'S GENERAL STORE # 2781/ IOWA CITY</t>
  </si>
  <si>
    <t>FAREWAY STORES #177/ FORT MADISON</t>
  </si>
  <si>
    <t>5450</t>
  </si>
  <si>
    <t>CASEY'S GENERAL STORE # 2211/ FORT DODGE</t>
  </si>
  <si>
    <t>5452</t>
  </si>
  <si>
    <t>CASEY'S GENERAL STORE # 1591/ DECORAH</t>
  </si>
  <si>
    <t>5453</t>
  </si>
  <si>
    <t>CASEY'S GENERAL STORE # 2817/ GRISWOLD</t>
  </si>
  <si>
    <t>R&amp;L FOODS</t>
  </si>
  <si>
    <t>DOON</t>
  </si>
  <si>
    <t>CASEY'S GENERAL STORE #1653 / CORNING</t>
  </si>
  <si>
    <t>5460</t>
  </si>
  <si>
    <t>SMOKIN JOE'S # 6 TOBACCO AND LIQUOR OUTLET</t>
  </si>
  <si>
    <t>7STAR LIQUOR &amp; TOBACCO OUTLET</t>
  </si>
  <si>
    <t>BACKWATER SPIRITS AND MORE</t>
  </si>
  <si>
    <t>KUM &amp; GO #1215 / AMES</t>
  </si>
  <si>
    <t>SOUTHSIDE TOBACCO &amp; LIQUOR</t>
  </si>
  <si>
    <t>5467</t>
  </si>
  <si>
    <t>CASEY'S GENERAL STORE #95 / DEXTER</t>
  </si>
  <si>
    <t>DEXTER</t>
  </si>
  <si>
    <t>5469</t>
  </si>
  <si>
    <t>CHROME TRUCK STOP</t>
  </si>
  <si>
    <t>WORLD LIQUOR &amp; TOBACCO + VAPORS</t>
  </si>
  <si>
    <t>5477</t>
  </si>
  <si>
    <t>CASEY'S GENERAL STORE #3293 / MARQUETTE</t>
  </si>
  <si>
    <t>MARQUETTE</t>
  </si>
  <si>
    <t>5478</t>
  </si>
  <si>
    <t>CASEY'S GENERAL STORE #3587 / BURLINGTON</t>
  </si>
  <si>
    <t>5479</t>
  </si>
  <si>
    <t>CASEY'S GENERAL STORE #3534 / CLERMONT</t>
  </si>
  <si>
    <t>CLERMONT</t>
  </si>
  <si>
    <t>CASEY'S GENERAL STORE #3385 / ORANGE CITY</t>
  </si>
  <si>
    <t>TOBACCO OUTLET &amp; LIQUOR</t>
  </si>
  <si>
    <t>IOWA MINI MART</t>
  </si>
  <si>
    <t>5483</t>
  </si>
  <si>
    <t>TIGER MART</t>
  </si>
  <si>
    <t>CASEY'S GENERAL STORE #3610 / CEDAR FALLS</t>
  </si>
  <si>
    <t>YESWAY #1103 / ROCKFORD</t>
  </si>
  <si>
    <t>ROCKFORD</t>
  </si>
  <si>
    <t>5489</t>
  </si>
  <si>
    <t>CASEY'S GENERAL STORE #1550 / WINFIELD</t>
  </si>
  <si>
    <t>WINFIELD</t>
  </si>
  <si>
    <t>5496</t>
  </si>
  <si>
    <t>DHAKALS LLC</t>
  </si>
  <si>
    <t>5497</t>
  </si>
  <si>
    <t>CASEY'S GENERAL STORE #3617 / GRINNELL</t>
  </si>
  <si>
    <t>5498</t>
  </si>
  <si>
    <t>6 CORNERS GAS &amp; GRUB</t>
  </si>
  <si>
    <t>ARLINGTON</t>
  </si>
  <si>
    <t>5499</t>
  </si>
  <si>
    <t>KUM &amp; GO #184 / ALTOONA</t>
  </si>
  <si>
    <t>5501</t>
  </si>
  <si>
    <t>QUIK TRIP #530 / EUCLID</t>
  </si>
  <si>
    <t>5502</t>
  </si>
  <si>
    <t>CASEY'S GENERAL STORE #3566 / PELLA</t>
  </si>
  <si>
    <t>NEIGHBORHOOD MART</t>
  </si>
  <si>
    <t>CASEY'S GENERAL STORE #2168 / DAVENPORT</t>
  </si>
  <si>
    <t>QUIK TRIP #559 / FLEUR</t>
  </si>
  <si>
    <t>5510</t>
  </si>
  <si>
    <t>KUM &amp; GO #1443 / WILLIAMSBURG</t>
  </si>
  <si>
    <t>5511</t>
  </si>
  <si>
    <t>THE DEPOT NORTH LIBERTY</t>
  </si>
  <si>
    <t>5512</t>
  </si>
  <si>
    <t>CASEY'S GENERAL STORE #3639 / POSTVILLE</t>
  </si>
  <si>
    <t>RICHMOND &amp; FERRY BP</t>
  </si>
  <si>
    <t>JOHNCY'S LIQUOR STORE</t>
  </si>
  <si>
    <t>FINE LIQUOR &amp; TOBACCO</t>
  </si>
  <si>
    <t>5516</t>
  </si>
  <si>
    <t>QUIK N HANDI III</t>
  </si>
  <si>
    <t>LAMONT</t>
  </si>
  <si>
    <t>MEPO FOODS / MEDIAPOLIS</t>
  </si>
  <si>
    <t>CASEY'S GENERAL STORE #3648 / AKRON</t>
  </si>
  <si>
    <t>5521</t>
  </si>
  <si>
    <t>CASEY'S GENERAL STORE #3640 / WAUKEE</t>
  </si>
  <si>
    <t>5522</t>
  </si>
  <si>
    <t>CASEY'S GENERAL STORE #3653 / GREENE</t>
  </si>
  <si>
    <t>RANDALL'S STOP N SHOP</t>
  </si>
  <si>
    <t>5529</t>
  </si>
  <si>
    <t>BIG 10 MART</t>
  </si>
  <si>
    <t>5530</t>
  </si>
  <si>
    <t>YESWAY #1148 / MARSHALLTOWN</t>
  </si>
  <si>
    <t>5531</t>
  </si>
  <si>
    <t>MCDERMOTT OIL CO</t>
  </si>
  <si>
    <t>5532</t>
  </si>
  <si>
    <t>THE FOOD CENTER</t>
  </si>
  <si>
    <t>SAINT ANSGAR</t>
  </si>
  <si>
    <t>FAREWAY STORES #183 / FLEUR</t>
  </si>
  <si>
    <t>CASEY'S GENERAL STORE #3674 / SIOUX CITY</t>
  </si>
  <si>
    <t>CASEY'S GENERAL STORE #2097 / INDIANOLA</t>
  </si>
  <si>
    <t>5536</t>
  </si>
  <si>
    <t>THE FILLING STATION / AMES</t>
  </si>
  <si>
    <t>PRONTO MARKET / SUMNER</t>
  </si>
  <si>
    <t>5538</t>
  </si>
  <si>
    <t>CASEY'S GENERAL STORE #2490 / STORY CITY</t>
  </si>
  <si>
    <t>5539</t>
  </si>
  <si>
    <t>CASEY'S GENERAL STORE #1901 / DES MOINES</t>
  </si>
  <si>
    <t>5540</t>
  </si>
  <si>
    <t>CASEY'S GENERAL STORE #2447 / SERGEANT BLUFF</t>
  </si>
  <si>
    <t>5541</t>
  </si>
  <si>
    <t>CASEY'S GENERAL STORE #2550 / OSCEOLA</t>
  </si>
  <si>
    <t>5542</t>
  </si>
  <si>
    <t>CASEY'S GENERAL STORE #2578 / MAQUOKETA</t>
  </si>
  <si>
    <t>5543</t>
  </si>
  <si>
    <t>CASEY'S GENERAL STORE #2541 / BEDFORD</t>
  </si>
  <si>
    <t>5544</t>
  </si>
  <si>
    <t>CASEY'S GENERAL STORE #2834 / LENOX</t>
  </si>
  <si>
    <t>5545</t>
  </si>
  <si>
    <t>CASEY'S GENERAL STORE #91 / DALLAS CENTER</t>
  </si>
  <si>
    <t>DALLAS CENTER</t>
  </si>
  <si>
    <t>5546</t>
  </si>
  <si>
    <t>CASEY'S GENERAL STORE #2341 / NEWTON</t>
  </si>
  <si>
    <t>5547</t>
  </si>
  <si>
    <t>CASEY'S GENERAL STORE #3024 / MEDIAPOLIS</t>
  </si>
  <si>
    <t>5548</t>
  </si>
  <si>
    <t>CASEY'S GENERAL STORE #2628 / LAKE CITY</t>
  </si>
  <si>
    <t>5549</t>
  </si>
  <si>
    <t>CASEY'S GENERAL STORE #2515 / DAYTON</t>
  </si>
  <si>
    <t>5550</t>
  </si>
  <si>
    <t>CASEY'S GENERAL STORE #2764 / HIAWATHA</t>
  </si>
  <si>
    <t>5551</t>
  </si>
  <si>
    <t>CASEY'S GENERAL STORE #2769 / WILLIAMSBURG</t>
  </si>
  <si>
    <t>CASEY'S GENERAL STORE #2905 / AMES</t>
  </si>
  <si>
    <t>5553</t>
  </si>
  <si>
    <t>CASEY'S GENERAL STORE #2222 / CLINTON</t>
  </si>
  <si>
    <t>5554</t>
  </si>
  <si>
    <t>BLAIRSTOWN QUICK STOP</t>
  </si>
  <si>
    <t>SUB EXPRESS &amp; GAS</t>
  </si>
  <si>
    <t>5556</t>
  </si>
  <si>
    <t>CASEY'S GENERAL STORE #2891 / FORT DODGE</t>
  </si>
  <si>
    <t>5557</t>
  </si>
  <si>
    <t>CASEY'S GENERAL STORE #2014 / FORT DODGE</t>
  </si>
  <si>
    <t>5558</t>
  </si>
  <si>
    <t>CASEY'S GENERAL STORE #1280 / FORT DODGE</t>
  </si>
  <si>
    <t>5561</t>
  </si>
  <si>
    <t>CASEY'S GENERAL STORE #32 / MADRID</t>
  </si>
  <si>
    <t>5562</t>
  </si>
  <si>
    <t>CASEY'S GENERAL STORE #2553 / REDFIELD</t>
  </si>
  <si>
    <t>REDFIELD</t>
  </si>
  <si>
    <t>5563</t>
  </si>
  <si>
    <t>CASEY'S GENERAL STORE #3082 / CARROLL</t>
  </si>
  <si>
    <t>5564</t>
  </si>
  <si>
    <t>CASEY'S GENERAL STORE #2785 / ANKENY</t>
  </si>
  <si>
    <t>CASEY'S GENERAL STORE #2689 / ANKENY</t>
  </si>
  <si>
    <t>KUM &amp; GO #3504 / IOWA CITY</t>
  </si>
  <si>
    <t>5568</t>
  </si>
  <si>
    <t>CASEY'S GENERAL STORE #2478 / NEW SHARON</t>
  </si>
  <si>
    <t>5569</t>
  </si>
  <si>
    <t>CASEY'S GENERAL STORE #2765 / CEDAR RAPIDS</t>
  </si>
  <si>
    <t>CASEY'S GENERAL STORE #2776 / CEDAR RAPIDS</t>
  </si>
  <si>
    <t>5571</t>
  </si>
  <si>
    <t>CASEY'S GENERAL STORE #2782 / CEDAR RAPIDS</t>
  </si>
  <si>
    <t>5572</t>
  </si>
  <si>
    <t>CASEY'S GENERAL STORE #2790 / CEDAR RAPIDS</t>
  </si>
  <si>
    <t>5573</t>
  </si>
  <si>
    <t>CASEY'S GENERAL STORE #2768 / CEDAR RAPIDS</t>
  </si>
  <si>
    <t>CASEY'S GENERAL STORE #2760 / MARION</t>
  </si>
  <si>
    <t>5575</t>
  </si>
  <si>
    <t>CASEY'S GENERAL STORE #2919 / MARION</t>
  </si>
  <si>
    <t>5576</t>
  </si>
  <si>
    <t>CASEY'S GENERAL STORE #3449 / WAPELLO</t>
  </si>
  <si>
    <t>5580</t>
  </si>
  <si>
    <t>CASEY'S GENERAL STORE #2 / BOONE</t>
  </si>
  <si>
    <t>5581</t>
  </si>
  <si>
    <t>CASEY'S GENERAL STORE #2488 / N ENGLISH</t>
  </si>
  <si>
    <t>5582</t>
  </si>
  <si>
    <t>CASEY'S GENERAL STORE #1398 / ROLAND</t>
  </si>
  <si>
    <t>ROLAND</t>
  </si>
  <si>
    <t>CASEY'S GENERAL STORE #2498 / WAPELLO</t>
  </si>
  <si>
    <t>5585</t>
  </si>
  <si>
    <t>CASEY'S GENERAL STORE #2544 / NEW LONDON</t>
  </si>
  <si>
    <t>NEW LONDON</t>
  </si>
  <si>
    <t>5588</t>
  </si>
  <si>
    <t>CASEY'S GENERAL STORE #2533 / MARENGO</t>
  </si>
  <si>
    <t>5590</t>
  </si>
  <si>
    <t>CASEY'S GENERAL STORE #1941 / ANKENY</t>
  </si>
  <si>
    <t>5591</t>
  </si>
  <si>
    <t>CASEY'S GENERAL STORE #1682 / OSKALOOSA</t>
  </si>
  <si>
    <t>5592</t>
  </si>
  <si>
    <t>HUBERS STORE</t>
  </si>
  <si>
    <t>GRANDVIEW MART</t>
  </si>
  <si>
    <t>5594</t>
  </si>
  <si>
    <t>DEPOT NORWAY</t>
  </si>
  <si>
    <t>NORWAY</t>
  </si>
  <si>
    <t>5595</t>
  </si>
  <si>
    <t>GIT-N-GO #47 / ALTOONA</t>
  </si>
  <si>
    <t>LIQUOR TOBACCO &amp; GAS</t>
  </si>
  <si>
    <t>KWIK STOP 4</t>
  </si>
  <si>
    <t>H &amp; A MINI MART</t>
  </si>
  <si>
    <t>5601</t>
  </si>
  <si>
    <t>CASEY'S GENERAL STORE #1889 / MONTICELLO</t>
  </si>
  <si>
    <t>5602</t>
  </si>
  <si>
    <t>CASEY'S GENERAL STORE #2585 / DYERSVILLE</t>
  </si>
  <si>
    <t>5603</t>
  </si>
  <si>
    <t>CASEY'S GENERAL STORE #2480 / CHARLES CITY</t>
  </si>
  <si>
    <t>5604</t>
  </si>
  <si>
    <t>CASEY'S GENERAL STORE #1599 / MT VERNON</t>
  </si>
  <si>
    <t>5605</t>
  </si>
  <si>
    <t>CASEY'S GENERAL STORE #1416 / NEW HAMPTON</t>
  </si>
  <si>
    <t>5606</t>
  </si>
  <si>
    <t>SA TOBACCO LIQUOR MART</t>
  </si>
  <si>
    <t>5607</t>
  </si>
  <si>
    <t>CASEY'S GENERAL STORE #3294 / URBANA</t>
  </si>
  <si>
    <t>5608</t>
  </si>
  <si>
    <t>CASEY'S GENERAL STORE #2634 / EDGEWOOD</t>
  </si>
  <si>
    <t>EDGEWOOD</t>
  </si>
  <si>
    <t>5609</t>
  </si>
  <si>
    <t>CASEY'S GENERAL STORE #2682 / OELWEIN</t>
  </si>
  <si>
    <t>5610</t>
  </si>
  <si>
    <t>CASEY'S GENERAL STORE #2690 / ANAMOSA</t>
  </si>
  <si>
    <t>5611</t>
  </si>
  <si>
    <t>CASEY'S GENERAL STORE #2908 / ANAMOSA</t>
  </si>
  <si>
    <t>5612</t>
  </si>
  <si>
    <t>CASEY'S GENERAL STORE #66 / LAPORTE CITY</t>
  </si>
  <si>
    <t>LA PORTE CITY</t>
  </si>
  <si>
    <t>5613</t>
  </si>
  <si>
    <t>CASEY'S GENERAL STORE #2624 / MANCHESTER</t>
  </si>
  <si>
    <t>5615</t>
  </si>
  <si>
    <t>CASEY'S GENERAL STORE #2520 / GRIMES</t>
  </si>
  <si>
    <t>5616</t>
  </si>
  <si>
    <t>CASEY'S GENERAL STORE #2623 / FAIRBANK</t>
  </si>
  <si>
    <t>5617</t>
  </si>
  <si>
    <t>CASEY'S GENERAL STORE #2513 / NASHUA</t>
  </si>
  <si>
    <t>NASHUA</t>
  </si>
  <si>
    <t>CASEY'S GENERAL STORE #1446 / LISBON</t>
  </si>
  <si>
    <t>CASEY'S GENERAL STORE #3041 / ELK RUN HEIGHTS</t>
  </si>
  <si>
    <t>ELK RUN HEIGHTS</t>
  </si>
  <si>
    <t>CASEY'S GENERAL STORE #2874 / RICEVILLE</t>
  </si>
  <si>
    <t>SUN MART</t>
  </si>
  <si>
    <t>5622</t>
  </si>
  <si>
    <t>CASEY'S GENERAL STORE #3044 / SHELDON</t>
  </si>
  <si>
    <t>EASYGO</t>
  </si>
  <si>
    <t>5624</t>
  </si>
  <si>
    <t>CASEY'S GENERAL STORE #1065 / ASBURY</t>
  </si>
  <si>
    <t>OASIS / DES MOINES</t>
  </si>
  <si>
    <t>5626</t>
  </si>
  <si>
    <t>CORWITH FARM SERVICE</t>
  </si>
  <si>
    <t>CASEY'S GENERAL STORE #2275 / SIOUX CITY</t>
  </si>
  <si>
    <t>SUPER CONVENIENCE STORE</t>
  </si>
  <si>
    <t>CASEY'S GENERAL STORE #3009 / SIOUX CITY</t>
  </si>
  <si>
    <t>5631</t>
  </si>
  <si>
    <t>MARION MARKET &amp; CAFE'</t>
  </si>
  <si>
    <t>5632</t>
  </si>
  <si>
    <t>ONE STOP SHOP</t>
  </si>
  <si>
    <t>BREW, GAS, COFFEE, SPIRIT, CIGARATTE</t>
  </si>
  <si>
    <t>CORRECTIONVILLE</t>
  </si>
  <si>
    <t>BIG DISCOUNT LIQUOR / CEDAR RAPIDS</t>
  </si>
  <si>
    <t>5637</t>
  </si>
  <si>
    <t>CATFISH CHARLIE'S</t>
  </si>
  <si>
    <t>5638</t>
  </si>
  <si>
    <t>CASEY'S GENERAL STORE #3757 / IDA GROVE</t>
  </si>
  <si>
    <t>5639</t>
  </si>
  <si>
    <t>CASEY'S GENERAL STORE #68 / ALTON</t>
  </si>
  <si>
    <t>ALTON</t>
  </si>
  <si>
    <t>CASEY'S GENERAL STORE #3371 / NEW HARTFORD</t>
  </si>
  <si>
    <t>NEW HARTFORD</t>
  </si>
  <si>
    <t>CASEY'S GENERAL STORE #1729 / ARLINGTON</t>
  </si>
  <si>
    <t>APLINGTON</t>
  </si>
  <si>
    <t>CONOCO / LE GRAND</t>
  </si>
  <si>
    <t>LE GRAND</t>
  </si>
  <si>
    <t>PHILLIPS 66 / GRINNELL</t>
  </si>
  <si>
    <t>IOWA SMOKE AND LIQUOR</t>
  </si>
  <si>
    <t>5647</t>
  </si>
  <si>
    <t>YESWAY #1169 / STORM LAKE</t>
  </si>
  <si>
    <t>5648</t>
  </si>
  <si>
    <t>FAREWAY STORES #189 / AMES</t>
  </si>
  <si>
    <t>5649</t>
  </si>
  <si>
    <t>THE DEPOT TIFFIN</t>
  </si>
  <si>
    <t>5650</t>
  </si>
  <si>
    <t>THE DEPOT WILLIAMSBURG</t>
  </si>
  <si>
    <t>SUPER QUICK MART / WINDSOR HEIGHTS</t>
  </si>
  <si>
    <t>5652</t>
  </si>
  <si>
    <t>TEQUILA WINE &amp; SPIRITS / KALONA</t>
  </si>
  <si>
    <t>KALONA</t>
  </si>
  <si>
    <t>5655</t>
  </si>
  <si>
    <t>ONE STOP SHOP #3 / ALGONA</t>
  </si>
  <si>
    <t>5656</t>
  </si>
  <si>
    <t>CODY MART GAS &amp; LIQUOR</t>
  </si>
  <si>
    <t>CASEY'S GENERAL STORE #3717 / VINTON</t>
  </si>
  <si>
    <t>5659</t>
  </si>
  <si>
    <t>CASEY'S GENERAL STORE #3679 / STORM LAKE</t>
  </si>
  <si>
    <t>NORTH SIDE LIQUOR &amp; TOBACCO / DUBUQUE</t>
  </si>
  <si>
    <t>RIVERSIDE LIQUOR 2 / DAVENPORT</t>
  </si>
  <si>
    <t>LAKE VIEW REDEMPTION &amp; LIQUOR STORE</t>
  </si>
  <si>
    <t>CASEY'S GENERAL STORE #45 / DES MOINES</t>
  </si>
  <si>
    <t>5665</t>
  </si>
  <si>
    <t>NEW STAR / FORT DODGE</t>
  </si>
  <si>
    <t>COSTCO WHOLESALE #1325 / DAVENPORT</t>
  </si>
  <si>
    <t>5667</t>
  </si>
  <si>
    <t>STANWOOD FOOD MART LLC</t>
  </si>
  <si>
    <t>GUDDI MART / WATERLOO</t>
  </si>
  <si>
    <t>5670</t>
  </si>
  <si>
    <t>JONESY'S STOP N SHOP</t>
  </si>
  <si>
    <t>ROCKWELL</t>
  </si>
  <si>
    <t>RUSS'S MARKET #30</t>
  </si>
  <si>
    <t>5673</t>
  </si>
  <si>
    <t>CASEY'S GENERAL STORE #2821 / GLADBROOK</t>
  </si>
  <si>
    <t>GLADBROOK</t>
  </si>
  <si>
    <t>5675</t>
  </si>
  <si>
    <t>10TH HOLE INN &amp; SUITE / GIFT SHOP</t>
  </si>
  <si>
    <t>5676</t>
  </si>
  <si>
    <t>FAMILY PANTRY</t>
  </si>
  <si>
    <t>5677</t>
  </si>
  <si>
    <t>YESWAY STORE #1198 / SWEA CITY</t>
  </si>
  <si>
    <t>SWEA CITY</t>
  </si>
  <si>
    <t>SAVE MORE / DAVENPORT</t>
  </si>
  <si>
    <t>5680</t>
  </si>
  <si>
    <t>GASLAND N 8TH ST / BURLINGTON</t>
  </si>
  <si>
    <t>QUICK CORNER / HAWARDEN</t>
  </si>
  <si>
    <t>AMBYSURE INC / CLINTON</t>
  </si>
  <si>
    <t>CASEY'S GENERAL STORE #2697 / ONAWA</t>
  </si>
  <si>
    <t>FIVE CORNERS LIQUOR &amp; WINE</t>
  </si>
  <si>
    <t>FAREWAY STORES #190 / CEDAR FALLS</t>
  </si>
  <si>
    <t>5687</t>
  </si>
  <si>
    <t>CASEY'S GENERAL STORE #3756 / CEDAR RAPIDS</t>
  </si>
  <si>
    <t>5691</t>
  </si>
  <si>
    <t>LOGAN AVE CONVENIENCE STORE / WATERLOO</t>
  </si>
  <si>
    <t>LOCUST MART / DAVENPORT</t>
  </si>
  <si>
    <t>CASEY'S #1025 /KALONA</t>
  </si>
  <si>
    <t>CASEY'S #3770 - GLENWOOD</t>
  </si>
  <si>
    <t>CASEY'S #3746 / GRIMES</t>
  </si>
  <si>
    <t>THE HUT 23</t>
  </si>
  <si>
    <t>WESTSIDE PETRO</t>
  </si>
  <si>
    <t>WEST SIDE LIQUOR</t>
  </si>
  <si>
    <t>BROTHERS MARKET / WILLIAMSBURG</t>
  </si>
  <si>
    <t>CASEY'S #3763 -WAVERLY</t>
  </si>
  <si>
    <t>5711</t>
  </si>
  <si>
    <t>CASEY'S GENERAL STORE #2864/EVANSDALE</t>
  </si>
  <si>
    <t>5712</t>
  </si>
  <si>
    <t>CASEY'S #2866-WATERLOO</t>
  </si>
  <si>
    <t>5714</t>
  </si>
  <si>
    <t>YESWAY #1031</t>
  </si>
  <si>
    <t>5715</t>
  </si>
  <si>
    <t>RAYSMARKET</t>
  </si>
  <si>
    <t>5716</t>
  </si>
  <si>
    <t>BIG 10 MART #69</t>
  </si>
  <si>
    <t>5717</t>
  </si>
  <si>
    <t>CASEY'S GENERAL STORE #3789</t>
  </si>
  <si>
    <t>CASEY'S GENERAL STORE #1303</t>
  </si>
  <si>
    <t>5720</t>
  </si>
  <si>
    <t>CASEY'S GENERAL STORE #1921- ACKLEY</t>
  </si>
  <si>
    <t>ACKLEY</t>
  </si>
  <si>
    <t>5721</t>
  </si>
  <si>
    <t>WEST MAIN LIQUOR</t>
  </si>
  <si>
    <t>5723</t>
  </si>
  <si>
    <t>CASEY'S GENERAL STORE #2538-WAUKEE</t>
  </si>
  <si>
    <t>5724</t>
  </si>
  <si>
    <t>CASEY'S GENERAL STORE #3772</t>
  </si>
  <si>
    <t>EXPRESS LANE GAS &amp; FOOD MART #79</t>
  </si>
  <si>
    <t>PLEASANT VALLEY</t>
  </si>
  <si>
    <t>EHLINGER'S VINTON EXPRESS</t>
  </si>
  <si>
    <t>ONE STOP SHOP #4 - DENISON</t>
  </si>
  <si>
    <t>BEER THIRTY DENISON</t>
  </si>
  <si>
    <t>JIM'S FOOD</t>
  </si>
  <si>
    <t>HOMETOWN FOODS</t>
  </si>
  <si>
    <t>FAREWAY STORES #193 / TIFFIN</t>
  </si>
  <si>
    <t>SUPER SAVER LIQUOR -MUSCATINE</t>
  </si>
  <si>
    <t>218 FUEL EXPRESS</t>
  </si>
  <si>
    <t>5737</t>
  </si>
  <si>
    <t>SUPER STOP &amp; SHOP / BALDWIN</t>
  </si>
  <si>
    <t>BALDWIN</t>
  </si>
  <si>
    <t>5738</t>
  </si>
  <si>
    <t>CASEY'S GENERAL STORE #3291</t>
  </si>
  <si>
    <t>COGGON</t>
  </si>
  <si>
    <t>5739</t>
  </si>
  <si>
    <t>CASEY'S GENERAL STORE #1455</t>
  </si>
  <si>
    <t>HUBBARD</t>
  </si>
  <si>
    <t>NEW STAR / KNOXVILLE</t>
  </si>
  <si>
    <t>5743</t>
  </si>
  <si>
    <t>CASEY'S GENERAL STORE #3327 / FAIRFIELD</t>
  </si>
  <si>
    <t>5744</t>
  </si>
  <si>
    <t>CASEY'S GENERAL STORE #1624 / WASHINGTON</t>
  </si>
  <si>
    <t>5745</t>
  </si>
  <si>
    <t>CASEY'S GENERAL STORE #3292</t>
  </si>
  <si>
    <t>5746</t>
  </si>
  <si>
    <t>CASEY'S GENERAL STORE #3037 / CHEROKEE</t>
  </si>
  <si>
    <t>5747</t>
  </si>
  <si>
    <t>CASEY'S GENERAL STORE #3201 / COUNCIL BLUFFS</t>
  </si>
  <si>
    <t>5748</t>
  </si>
  <si>
    <t>CASEY'S GENERAL STORE #1887 / CEDAR FALLS</t>
  </si>
  <si>
    <t>5749</t>
  </si>
  <si>
    <t>CASEY'S GENERAL STORE #3025 / CARROLL</t>
  </si>
  <si>
    <t>5750</t>
  </si>
  <si>
    <t>CASEY'S GENERAL STORE #2920 / ANKENY</t>
  </si>
  <si>
    <t>5751</t>
  </si>
  <si>
    <t>CASEY'S GENERAL STORE #2346 / BURLINGTON</t>
  </si>
  <si>
    <t>5752</t>
  </si>
  <si>
    <t>CASEY'S GENERAL STORE #2481 / BLOOMFIELD</t>
  </si>
  <si>
    <t>BLOOMFIELD</t>
  </si>
  <si>
    <t>DAVIS</t>
  </si>
  <si>
    <t>T026</t>
  </si>
  <si>
    <t>CASEY'S GENERAL STORE #2639 / MAYNARD</t>
  </si>
  <si>
    <t>MAYNARD</t>
  </si>
  <si>
    <t>5754</t>
  </si>
  <si>
    <t>CASEY'S GENERAL STORE #2342 / BURLINGTON</t>
  </si>
  <si>
    <t>5755</t>
  </si>
  <si>
    <t>CASEY'S GENERAL STORE #0007 / OTTUMWA</t>
  </si>
  <si>
    <t>5756</t>
  </si>
  <si>
    <t>CASEY'S GENERAL STORE #1577 / ALBIA</t>
  </si>
  <si>
    <t>5757</t>
  </si>
  <si>
    <t>CASEY'S GENERAL STORE #1651 / ALBIA</t>
  </si>
  <si>
    <t>5758</t>
  </si>
  <si>
    <t>CASEY'S GENERAL STORE #51 / HUMBOLDT</t>
  </si>
  <si>
    <t>5759</t>
  </si>
  <si>
    <t>CASEY'S GENERAL STORE #42 / WELLMAN</t>
  </si>
  <si>
    <t>5760</t>
  </si>
  <si>
    <t>CASEY'S GENERAL STORE #72 / TIPTON</t>
  </si>
  <si>
    <t>5761</t>
  </si>
  <si>
    <t>CASEY'S GENERAL STORE #1315 / ARNOLDS PARK</t>
  </si>
  <si>
    <t>5762</t>
  </si>
  <si>
    <t>CASEY'S GENERAL STORE #1329 / ESTHERVILLE</t>
  </si>
  <si>
    <t>CASEY'S GENERAL STORE #1374 / COLFAX</t>
  </si>
  <si>
    <t>5764</t>
  </si>
  <si>
    <t>CASEY'S GENERAL STORE #1484 / MUSCATINE</t>
  </si>
  <si>
    <t>5765</t>
  </si>
  <si>
    <t>CASEY'S GENERAL STORE #2906 / MUSCATINE</t>
  </si>
  <si>
    <t>CASEY'S GENERAL STORE #2944 / MUSCATINE</t>
  </si>
  <si>
    <t>5767</t>
  </si>
  <si>
    <t>CASEY'S GENERAL STORE #1678 / OTTUMWA</t>
  </si>
  <si>
    <t>5768</t>
  </si>
  <si>
    <t>CASEY'S GENERAL STORE #1886 / OTTUMWA</t>
  </si>
  <si>
    <t>5769</t>
  </si>
  <si>
    <t>CASEY'S GENERAL STORE #2208 / OTTUMWA</t>
  </si>
  <si>
    <t>5770</t>
  </si>
  <si>
    <t>CASEY'S GENERAL STORE #2427 / WATERLOO</t>
  </si>
  <si>
    <t>CASEY'S GENERAL STORE #2867 / WATERLOO</t>
  </si>
  <si>
    <t>5772</t>
  </si>
  <si>
    <t>CASEY'S GENERAL STORE #1062 / WINTERSET</t>
  </si>
  <si>
    <t>5773</t>
  </si>
  <si>
    <t>CASEY'S GENERAL STORE #2239 / INDEPENDENCE</t>
  </si>
  <si>
    <t>5774</t>
  </si>
  <si>
    <t>CASEY'S GENERAL STORE #3854  / MANCHESTER</t>
  </si>
  <si>
    <t>5775</t>
  </si>
  <si>
    <t>CASEY'S GENERAL STORE #1378 / JESUP</t>
  </si>
  <si>
    <t>JESUP</t>
  </si>
  <si>
    <t>5776</t>
  </si>
  <si>
    <t>CASEY'S GENERAL STORE #2890 / WEST LIBERTY</t>
  </si>
  <si>
    <t>5777</t>
  </si>
  <si>
    <t>CASEY'S GENERAL STORE #2610 / ATLANTIC</t>
  </si>
  <si>
    <t>5778</t>
  </si>
  <si>
    <t>CASEY'S GENERAL STORE #2474 / HUXLEY</t>
  </si>
  <si>
    <t>CASEY'S GENERAL STORE #1609 / ELDON</t>
  </si>
  <si>
    <t>ELDON</t>
  </si>
  <si>
    <t>5780</t>
  </si>
  <si>
    <t>CASEY'S GENERAL STORE #2630 / CEDAR FALLS</t>
  </si>
  <si>
    <t>5781</t>
  </si>
  <si>
    <t>CASEY'S GENERAL STORE #2898 / CLARENCE</t>
  </si>
  <si>
    <t>CLARENCE</t>
  </si>
  <si>
    <t>CASEY'S GENERAL STORE #3606</t>
  </si>
  <si>
    <t>5783</t>
  </si>
  <si>
    <t>CASEY'S GENERAL STORE #2319 / FT MADISON</t>
  </si>
  <si>
    <t>5784</t>
  </si>
  <si>
    <t>CASEY'S GENERAL STORE #2023 / FT MADISON</t>
  </si>
  <si>
    <t>5785</t>
  </si>
  <si>
    <t>CASEY'S GENERAL STORE #2491 / CLARINDA</t>
  </si>
  <si>
    <t>CASEY'S GENERAL STORE #2779 / CORALVILLE</t>
  </si>
  <si>
    <t>5787</t>
  </si>
  <si>
    <t>CASEY'S GENERAL STORE #2699 / ESSEX</t>
  </si>
  <si>
    <t>ESSEX</t>
  </si>
  <si>
    <t>5789</t>
  </si>
  <si>
    <t>CASEY'S GENERAL STORE #2512 / HILLS</t>
  </si>
  <si>
    <t>HILLS</t>
  </si>
  <si>
    <t>5790</t>
  </si>
  <si>
    <t>CASEY'S GENERAL STORE #1166 / HULL</t>
  </si>
  <si>
    <t>5791</t>
  </si>
  <si>
    <t>CASEY'S GENERAL STORE #2060 / POCAHONTAS</t>
  </si>
  <si>
    <t>5792</t>
  </si>
  <si>
    <t>CASEY'S GENERAL STORE #2672 / SANBORN</t>
  </si>
  <si>
    <t>SANBORN</t>
  </si>
  <si>
    <t>5793</t>
  </si>
  <si>
    <t>CASEY'S GENERAL STORE #1265 / SIBLEY</t>
  </si>
  <si>
    <t>5794</t>
  </si>
  <si>
    <t>CASEY'S GENERAL STORE #1922 / WALCOTT</t>
  </si>
  <si>
    <t>WALCOTT</t>
  </si>
  <si>
    <t>5795</t>
  </si>
  <si>
    <t>CASEY'S GENERAL STORE #61 / WILTON</t>
  </si>
  <si>
    <t>5796</t>
  </si>
  <si>
    <t>CASEY'S GENERAL STORE #1541 / WEST BEND</t>
  </si>
  <si>
    <t>WEST BEND</t>
  </si>
  <si>
    <t>CASEY'S GENERAL STORE #1649 / WAVERLY</t>
  </si>
  <si>
    <t>5798</t>
  </si>
  <si>
    <t>CASEY'S GENERAL STORE #3528 / WASHINGTON</t>
  </si>
  <si>
    <t>5799</t>
  </si>
  <si>
    <t>CASEY'S GENERAL STORE #2472 / NICHOLS</t>
  </si>
  <si>
    <t>NICHOLS</t>
  </si>
  <si>
    <t>5800</t>
  </si>
  <si>
    <t>BREW GAS COFFEE WINE SPIRITS</t>
  </si>
  <si>
    <t>5801</t>
  </si>
  <si>
    <t>CASEY'S GENERAL STORE #2647 / CENTER POINT</t>
  </si>
  <si>
    <t>CASEY'S GENERAL STORE #3718 / PLEASANT HILL</t>
  </si>
  <si>
    <t>CASEY'S GENERAL STORE #3333 / PLEASANT HILL</t>
  </si>
  <si>
    <t>5804</t>
  </si>
  <si>
    <t>CASEY'S GENERAL STORE #2030 / CLINTON</t>
  </si>
  <si>
    <t>5805</t>
  </si>
  <si>
    <t>CASEY'S GENERAL STORE #2229 / OSAGE</t>
  </si>
  <si>
    <t>5806</t>
  </si>
  <si>
    <t>CASEY'S GENERAL STORE #1159 / CORRECTIONVILLE</t>
  </si>
  <si>
    <t>5807</t>
  </si>
  <si>
    <t>CASEY'S GENERAL STORE #1028 / MIDDLETOWN</t>
  </si>
  <si>
    <t>MIDDLETOWN</t>
  </si>
  <si>
    <t>5808</t>
  </si>
  <si>
    <t>CASEY'S GENERAL STORE #1373 / BONDURANT</t>
  </si>
  <si>
    <t>5809</t>
  </si>
  <si>
    <t>CASEY'S GENERAL STORE #26 / PERRY</t>
  </si>
  <si>
    <t>5810</t>
  </si>
  <si>
    <t>CASEY'S GENERAL STORE #2576 / WHAT CHEER</t>
  </si>
  <si>
    <t>WHAT CHEER</t>
  </si>
  <si>
    <t>CASEY'S GENERAL STORE #2629 / RIVERSIDE</t>
  </si>
  <si>
    <t>5812</t>
  </si>
  <si>
    <t>CASEY'S GENERAL STORE #2487 / SPIRIT LAKE</t>
  </si>
  <si>
    <t>5813</t>
  </si>
  <si>
    <t>CASEY'S GENERAL STORE #2791 / CEDAR RAPIDS</t>
  </si>
  <si>
    <t>EICHMAN ENTERPRISES INC / SAGEVILLE</t>
  </si>
  <si>
    <t>SAGEVILLE</t>
  </si>
  <si>
    <t>SUPER STOP IV - DUBUQUE</t>
  </si>
  <si>
    <t>CASEY'S GENERAL STORE #2916 / ALTOONA</t>
  </si>
  <si>
    <t>5817</t>
  </si>
  <si>
    <t>CASEY'S GENERAL STORE #1950 / GRINNELL</t>
  </si>
  <si>
    <t>5818</t>
  </si>
  <si>
    <t>CASEY'S GENERAL STORE #2894 / INDIANOLA</t>
  </si>
  <si>
    <t>5819</t>
  </si>
  <si>
    <t>CASEY'S GENERAL STORE #2530 / ALTA</t>
  </si>
  <si>
    <t>5820</t>
  </si>
  <si>
    <t>CASEY'S GENERAL STORE #57 / EDDYVILLE</t>
  </si>
  <si>
    <t>EDDYVILLE</t>
  </si>
  <si>
    <t>5821</t>
  </si>
  <si>
    <t>CASEY'S GENERAL STORE #3645 / LONE TREE</t>
  </si>
  <si>
    <t>LONE TREE</t>
  </si>
  <si>
    <t>5822</t>
  </si>
  <si>
    <t>CASEY'S GENERAL STORE #2836 / MONROE</t>
  </si>
  <si>
    <t>5823</t>
  </si>
  <si>
    <t>CASEY'S GENERAL STORE #2431 / SIOUX CENTER</t>
  </si>
  <si>
    <t>5824</t>
  </si>
  <si>
    <t>CASEY'S GENERAL STORE #1695 / SOLON</t>
  </si>
  <si>
    <t>CASEY'S GENERAL STORE #2019 / WEST BURLINGTON</t>
  </si>
  <si>
    <t>5826</t>
  </si>
  <si>
    <t>CASEY'S GENERAL STORE #2595 / KEOKUK</t>
  </si>
  <si>
    <t>5827</t>
  </si>
  <si>
    <t>CASEY'S GENERAL STORE #2636 / KEOKUK</t>
  </si>
  <si>
    <t>5829</t>
  </si>
  <si>
    <t>CASEY'S GENERAL STORE #3858 - IOWA CITY</t>
  </si>
  <si>
    <t>5830</t>
  </si>
  <si>
    <t>CASEY'S GENERAL STORE #1911 / NEWTON</t>
  </si>
  <si>
    <t>5831</t>
  </si>
  <si>
    <t>CASEY'S GENERAL STORE #1828 / WEBSTER CITY</t>
  </si>
  <si>
    <t>5832</t>
  </si>
  <si>
    <t>CASEY'S GENERAL STORE #1605 / HAMPTON</t>
  </si>
  <si>
    <t>5833</t>
  </si>
  <si>
    <t>CASEY'S GENERAL STORE #1546 / FREMONT</t>
  </si>
  <si>
    <t>5834</t>
  </si>
  <si>
    <t>CASEY'S GENERAL STORE #1417 / IOWA FALLS</t>
  </si>
  <si>
    <t>5835</t>
  </si>
  <si>
    <t>CASEY'S GENERAL STORE #3961 / MARCUS</t>
  </si>
  <si>
    <t>5836</t>
  </si>
  <si>
    <t>CASEY'S GENERAL STORE #1612 / MOUNT PLEASANT</t>
  </si>
  <si>
    <t>5837</t>
  </si>
  <si>
    <t>CASEY'S GENERAL STORE #2681 / OKOBOJI</t>
  </si>
  <si>
    <t>5838</t>
  </si>
  <si>
    <t>CASEY'S GENERAL STORE #2306 / NEVADA</t>
  </si>
  <si>
    <t>BROTHER'S MARKET / CLARION</t>
  </si>
  <si>
    <t>5841</t>
  </si>
  <si>
    <t>SWEETWATER SPIRITS - LIVERMORE</t>
  </si>
  <si>
    <t>LIVERMORE</t>
  </si>
  <si>
    <t>CASEY'S GENERAL STORE #3826 - ADEL</t>
  </si>
  <si>
    <t>5845</t>
  </si>
  <si>
    <t>CASEY'S GENERAL STORE #3827- ANKENY</t>
  </si>
  <si>
    <t>5846</t>
  </si>
  <si>
    <t>ROCKINGHAM LIQUOR - DAVENPORT</t>
  </si>
  <si>
    <t>5847</t>
  </si>
  <si>
    <t>MOTI'S FOOD</t>
  </si>
  <si>
    <t>5848</t>
  </si>
  <si>
    <t>WEST FORTY MARKET - GREENE</t>
  </si>
  <si>
    <t>5849</t>
  </si>
  <si>
    <t>SUPER QUICK STOP - COUNCIL BLUFFS</t>
  </si>
  <si>
    <t>5850</t>
  </si>
  <si>
    <t>CASEY'S GENERAL STORE #2684 - DURANT</t>
  </si>
  <si>
    <t>5851</t>
  </si>
  <si>
    <t>CASEY'S GENERAL STORE #74 - MORNING SUN</t>
  </si>
  <si>
    <t>MORNING SUN</t>
  </si>
  <si>
    <t>CASEY'S GENERAL STORE #2256 - DEWITT</t>
  </si>
  <si>
    <t>5854</t>
  </si>
  <si>
    <t>CASEY'S GENERAL STORE #1068 - DAVENPORT</t>
  </si>
  <si>
    <t>5855</t>
  </si>
  <si>
    <t>TAYLOR QUIK PIK - HARLAN</t>
  </si>
  <si>
    <t>STATION MART #1 - EVANSDALE</t>
  </si>
  <si>
    <t>EZ STOP II - DUBUQUE</t>
  </si>
  <si>
    <t>TAYLOR QUIK PIK - SHELBY</t>
  </si>
  <si>
    <t>LIQUOR TOBACCO &amp; GROCERY - MASON CITY</t>
  </si>
  <si>
    <t>KUM &amp; GO #0217 -AMES</t>
  </si>
  <si>
    <t>5861</t>
  </si>
  <si>
    <t>TAYLOR QUIK PIK - COUNCIL BLUFFS</t>
  </si>
  <si>
    <t>5863</t>
  </si>
  <si>
    <t>K-ZAR INC - WATERLOO</t>
  </si>
  <si>
    <t>5864</t>
  </si>
  <si>
    <t>CASEY'S GENERAL STORE #2803 / VILLISCA</t>
  </si>
  <si>
    <t>VILLISCA</t>
  </si>
  <si>
    <t>5866</t>
  </si>
  <si>
    <t>HOMETOWN FAMILY MARKET</t>
  </si>
  <si>
    <t>BROTHERS MARKET / BLOOMFIELD</t>
  </si>
  <si>
    <t>5869</t>
  </si>
  <si>
    <t>TOBACCO OUTLET PLUS #507 - URBANDALE</t>
  </si>
  <si>
    <t>KEYSTONE LIQUOR</t>
  </si>
  <si>
    <t>GM MART / IOWA CITY</t>
  </si>
  <si>
    <t>5872</t>
  </si>
  <si>
    <t>THE SNACK SHACK / WATERLOO</t>
  </si>
  <si>
    <t>WEST D LIQUORS</t>
  </si>
  <si>
    <t>5874</t>
  </si>
  <si>
    <t>KWIK STOP FOOD MART / DUBUQUE</t>
  </si>
  <si>
    <t>5875</t>
  </si>
  <si>
    <t>5876</t>
  </si>
  <si>
    <t>'DA BOOZE BARN / WEST BEND</t>
  </si>
  <si>
    <t>5877</t>
  </si>
  <si>
    <t>CASEY'S GENERAL STORE #1659 / ANKENY</t>
  </si>
  <si>
    <t>HOMETOWN FOODS - HUBBARD</t>
  </si>
  <si>
    <t>5879</t>
  </si>
  <si>
    <t>HOMETOWN FOODS - CONRAD</t>
  </si>
  <si>
    <t>HOMETOWN FOODS / STATE CENTER</t>
  </si>
  <si>
    <t>5883</t>
  </si>
  <si>
    <t>KIMMES HUMBOLDT COUNTRY STORE #14</t>
  </si>
  <si>
    <t>5884</t>
  </si>
  <si>
    <t>CASEY'S GENERAL STORE #3439 / LIME SPRINGS</t>
  </si>
  <si>
    <t>LIME SPRINGS</t>
  </si>
  <si>
    <t>CASEY'S GENERAL STORE #67 / SUMNER</t>
  </si>
  <si>
    <t>BEECHER LIQUOR / DUBUQUE</t>
  </si>
  <si>
    <t>5887</t>
  </si>
  <si>
    <t>CASEY'S GENERAL STORE #2392 / JOHNSTON</t>
  </si>
  <si>
    <t>5888</t>
  </si>
  <si>
    <t>BIG 10 MART #62 / BETTENDORF</t>
  </si>
  <si>
    <t>SUPER QUICK LIQUOR / WDM</t>
  </si>
  <si>
    <t>5890</t>
  </si>
  <si>
    <t>WESTSIDE HOUSER MART / MUSCATINE</t>
  </si>
  <si>
    <t>5891</t>
  </si>
  <si>
    <t>CASEY'S GENERAL STORE #2786 / DES MOINES</t>
  </si>
  <si>
    <t>5892</t>
  </si>
  <si>
    <t>GARNER FOODS / FT MADISON</t>
  </si>
  <si>
    <t>CASEY'S GENERAL STORE #3880 / WATERLOO</t>
  </si>
  <si>
    <t>WHISKEY BUSINESS / ALLERTON</t>
  </si>
  <si>
    <t>ALLERTON</t>
  </si>
  <si>
    <t>5895</t>
  </si>
  <si>
    <t>ROLFE HEARTLAND</t>
  </si>
  <si>
    <t>ROLFE</t>
  </si>
  <si>
    <t>CASEY'S GENERAL STORE #1126 / WYOMING</t>
  </si>
  <si>
    <t>WYOMING</t>
  </si>
  <si>
    <t>5898</t>
  </si>
  <si>
    <t>URBAN FUEL LLC / NORTH LIBERTY</t>
  </si>
  <si>
    <t>5900</t>
  </si>
  <si>
    <t>NEW STAR FLETCHER / WATERLOO</t>
  </si>
  <si>
    <t>GM MINIMART / MUSCATINE</t>
  </si>
  <si>
    <t>EZ STOP 1 / DUBUQUE</t>
  </si>
  <si>
    <t>ELDRIDGE MART</t>
  </si>
  <si>
    <t>5911</t>
  </si>
  <si>
    <t>OLD FIRE LIQUOR / BUFFALO CENTER</t>
  </si>
  <si>
    <t>JMC SUPERMARKET / PERRY</t>
  </si>
  <si>
    <t>5913</t>
  </si>
  <si>
    <t>CASEY'S GENERAL STORE #1427 / CLEAR LAKE</t>
  </si>
  <si>
    <t>UNI MART / WATERLOO</t>
  </si>
  <si>
    <t>THE HUT / COUNCIL BLUFFS</t>
  </si>
  <si>
    <t>ANOTHER ROUND / DEWITT</t>
  </si>
  <si>
    <t>URBANDALE LIQUOR</t>
  </si>
  <si>
    <t>5919</t>
  </si>
  <si>
    <t>CASEY'S GENERAL STORE #2584  / OSSIAN</t>
  </si>
  <si>
    <t>OSSIAN</t>
  </si>
  <si>
    <t>5920</t>
  </si>
  <si>
    <t>KUM &amp; GO #0131 / HUXLEY</t>
  </si>
  <si>
    <t>5921</t>
  </si>
  <si>
    <t>CASEY'S GENERAL STORE #2099 / CLIVE</t>
  </si>
  <si>
    <t>5922</t>
  </si>
  <si>
    <t>CASEY'S GENERAL STORE #3896 / CENTER POINT</t>
  </si>
  <si>
    <t>5923</t>
  </si>
  <si>
    <t>CASEY'S GENERAL STORE #2694 / PELLA</t>
  </si>
  <si>
    <t>5925</t>
  </si>
  <si>
    <t>FREDRICKSBURG FOOD CENTER</t>
  </si>
  <si>
    <t>GOPUFF / IOWA CITY</t>
  </si>
  <si>
    <t>5928</t>
  </si>
  <si>
    <t>CASEY'S GENERAL STORE #1762 / ALGONA</t>
  </si>
  <si>
    <t>THRIFTWAY / LA PORTE CITY</t>
  </si>
  <si>
    <t>ALI'S CORNER / WATERLOO</t>
  </si>
  <si>
    <t>5934</t>
  </si>
  <si>
    <t>CITY LIQUOR / IOWA CITY</t>
  </si>
  <si>
    <t>5935</t>
  </si>
  <si>
    <t>CASEY'S GENERAL STORE #3932 / URBANDALE</t>
  </si>
  <si>
    <t>CARSTENSEN'S MEAT AND GROCERY / LAKE PARK</t>
  </si>
  <si>
    <t>LAKE PARK</t>
  </si>
  <si>
    <t>5940</t>
  </si>
  <si>
    <t>LAKELAND EZ STOP / RUTHVEN</t>
  </si>
  <si>
    <t>RUTHVEN</t>
  </si>
  <si>
    <t>PRIME MART - CEDAR FALLS</t>
  </si>
  <si>
    <t>CASEY'S GENERAL STORE #3899 / CEDAR RAPIDS</t>
  </si>
  <si>
    <t>TOBACCO OUTLET PLUS #530 / AMES</t>
  </si>
  <si>
    <t>5950</t>
  </si>
  <si>
    <t>CASEY'S GENERAL STORE #3898 / ANAMOSA</t>
  </si>
  <si>
    <t>5951</t>
  </si>
  <si>
    <t>CASEY'S GENERAL STORE #3900 / RIVERSIDE</t>
  </si>
  <si>
    <t>KWIK SPIRITS #537 / IOWA CITY</t>
  </si>
  <si>
    <t>5954</t>
  </si>
  <si>
    <t>GOWRIE GROCERY</t>
  </si>
  <si>
    <t>BP FUEL / DUBUQUE</t>
  </si>
  <si>
    <t>LIQUOR, TOBACCO &amp; GROCERY / DUBUQUE</t>
  </si>
  <si>
    <t>5959</t>
  </si>
  <si>
    <t>YOUR PRIVATE BAR / URBANDALE</t>
  </si>
  <si>
    <t>5960</t>
  </si>
  <si>
    <t>CASEY'S GENERAL STORE #1938 / ALTOONA</t>
  </si>
  <si>
    <t>5961</t>
  </si>
  <si>
    <t>CASEY'S GENERAL STORE #63 / ROCK RAPIDS</t>
  </si>
  <si>
    <t>5962</t>
  </si>
  <si>
    <t>CASEY'S GENERAL STORE #62 / POMEROY</t>
  </si>
  <si>
    <t>POMEROY</t>
  </si>
  <si>
    <t>5963</t>
  </si>
  <si>
    <t>CASEY'S GENERAL STORE #1798 / FOREST CITY</t>
  </si>
  <si>
    <t>5964</t>
  </si>
  <si>
    <t>CASEY'S GENERAL STORE #3032 / CHARITON</t>
  </si>
  <si>
    <t>5965</t>
  </si>
  <si>
    <t>CASEY'S GENERAL STORE #1499 / CHARITON</t>
  </si>
  <si>
    <t>5966</t>
  </si>
  <si>
    <t>CASEY'S GENERAL STORE #22 / CHARITON</t>
  </si>
  <si>
    <t>5967</t>
  </si>
  <si>
    <t>CASEY'S GENERAL STORE #1728 / RED OAK</t>
  </si>
  <si>
    <t>5968</t>
  </si>
  <si>
    <t>CASEY'S GENERAL STORE #1496 / RED OAK</t>
  </si>
  <si>
    <t>5969</t>
  </si>
  <si>
    <t>CASEY'S GENERAL STORE #3288 / BLUE GRASS</t>
  </si>
  <si>
    <t>5970</t>
  </si>
  <si>
    <t>KUM &amp; GO #7701 / DES MOINES</t>
  </si>
  <si>
    <t>5972</t>
  </si>
  <si>
    <t>CASEY'S GENERAL STORE #1623 / INDIANOLA</t>
  </si>
  <si>
    <t>CASEY'S GENERAL STORE #1908 / INDIANOLA</t>
  </si>
  <si>
    <t>5974</t>
  </si>
  <si>
    <t>CASEY'S GENERAL STORE #14 / CARLISLE</t>
  </si>
  <si>
    <t>5975</t>
  </si>
  <si>
    <t>CASEY'S GENERAL STORE #1676 / CARLISLE</t>
  </si>
  <si>
    <t>5976</t>
  </si>
  <si>
    <t>CASEY'S GENERAL STORE #2422 / CRESTON</t>
  </si>
  <si>
    <t>5977</t>
  </si>
  <si>
    <t>CASEY'S GENERAL STORE #2305 / BELMOND</t>
  </si>
  <si>
    <t>5978</t>
  </si>
  <si>
    <t>CASEY'S GENERAL STORE #2460 / ALGONA</t>
  </si>
  <si>
    <t>5979</t>
  </si>
  <si>
    <t>CASEY'S GENERAL STORE #2665 / WOODBINE</t>
  </si>
  <si>
    <t>5980</t>
  </si>
  <si>
    <t>CASEY'S GENERAL STORE #2527 / SHELDON</t>
  </si>
  <si>
    <t>5981</t>
  </si>
  <si>
    <t>CASEY'S GENERAL STORE #3244 / URBANDALE</t>
  </si>
  <si>
    <t>5982</t>
  </si>
  <si>
    <t>CASEY'S GENERAL STORE #6 / ALTOONA</t>
  </si>
  <si>
    <t>5983</t>
  </si>
  <si>
    <t>CASEY'S GENERAL STORE #1997 / WAUKON</t>
  </si>
  <si>
    <t>CASEY'S GENERAL STORE #3214 / OSKALOOSA</t>
  </si>
  <si>
    <t>5985</t>
  </si>
  <si>
    <t>CASEY'S GENERAL STORE #2350 / OSKALOOSA</t>
  </si>
  <si>
    <t>CASEY'S GENERAL STORE #2366 / OSKALOOSA</t>
  </si>
  <si>
    <t>5987</t>
  </si>
  <si>
    <t>CASEY'S GENERAL STORE #3955 / NORTH LIBERTY</t>
  </si>
  <si>
    <t>CASEY'S GENERAL STORE #1527 / GRINNELL</t>
  </si>
  <si>
    <t>5989</t>
  </si>
  <si>
    <t>CASEY'S GENERAL STORE #1134 / GRINNELL</t>
  </si>
  <si>
    <t>CASEY'S GENERAL STORE #1610 / KNOXVILLE</t>
  </si>
  <si>
    <t>5991</t>
  </si>
  <si>
    <t>CASEY'S GENERAL STORE #1827 / KNOXVILLE</t>
  </si>
  <si>
    <t>5992</t>
  </si>
  <si>
    <t>CASEY'S GENERAL STORE #1894 / SPENCER</t>
  </si>
  <si>
    <t>5993</t>
  </si>
  <si>
    <t>CASEY'S GENERAL STORE #3396 / SIGOURNEY</t>
  </si>
  <si>
    <t>5994</t>
  </si>
  <si>
    <t>HAWKEYE SMOKE AND LIQUOR / IOWA CITY</t>
  </si>
  <si>
    <t>5996</t>
  </si>
  <si>
    <t>CASEY'S GENERAL STORE #1328 / ESTHERVILLE</t>
  </si>
  <si>
    <t>WILTON EXPRESS</t>
  </si>
  <si>
    <t>5999</t>
  </si>
  <si>
    <t>CASEY'S GENERAL STORE #2771 / CEDAR RAPIDS</t>
  </si>
  <si>
    <t>6000</t>
  </si>
  <si>
    <t>PORTERS CONVENIENCE 66 / CLINTON</t>
  </si>
  <si>
    <t>6001</t>
  </si>
  <si>
    <t>CASEY'S GENERAL STORE #1131 / DYSART</t>
  </si>
  <si>
    <t>DYSART</t>
  </si>
  <si>
    <t>6002</t>
  </si>
  <si>
    <t>CASEY'S GENERAL STORE #2597 / SLOAN</t>
  </si>
  <si>
    <t>6003</t>
  </si>
  <si>
    <t>CASEY'S GENERAL STORE #2298 / AMES</t>
  </si>
  <si>
    <t>6004</t>
  </si>
  <si>
    <t>CASEY'S GENERAL STORE #2659 / COLUMBUS JUNCTION</t>
  </si>
  <si>
    <t>6005</t>
  </si>
  <si>
    <t>CASEY'S GENERAL STORE #2865 / CEDAR FALLS</t>
  </si>
  <si>
    <t>6006</t>
  </si>
  <si>
    <t>CASEY'S GENERAL STORE #2635 / JOHNSTON</t>
  </si>
  <si>
    <t>6007</t>
  </si>
  <si>
    <t>CASEY'S GENERAL STORE #1910 / JOHNSTON</t>
  </si>
  <si>
    <t>TARGET STORE T-3374 / IOWA CITY</t>
  </si>
  <si>
    <t>6009</t>
  </si>
  <si>
    <t>CASEY'S GENERAL STORE #1081 / FONTANELLE</t>
  </si>
  <si>
    <t>FONTANELLE</t>
  </si>
  <si>
    <t>6010</t>
  </si>
  <si>
    <t>CASEY'S GENERAL STORE #1084 / EVANSDALE</t>
  </si>
  <si>
    <t>CASEY'S GENERAL STORE #2437 / MASON CITY</t>
  </si>
  <si>
    <t>CASEY'S GENERAL STORE #1893 / MASON CITY</t>
  </si>
  <si>
    <t>6014</t>
  </si>
  <si>
    <t>CASEY'S GENERAL STORE #1621 / MASON CITY</t>
  </si>
  <si>
    <t>6015</t>
  </si>
  <si>
    <t>CASEY'S GENERAL STORE #19 / MASON CITY</t>
  </si>
  <si>
    <t>6016</t>
  </si>
  <si>
    <t>CASEY'S GENERAL STORE #2467 / CLARINDA</t>
  </si>
  <si>
    <t>6017</t>
  </si>
  <si>
    <t>CASEY'S GENERAL STORE #2458 / MASON CITY</t>
  </si>
  <si>
    <t>6018</t>
  </si>
  <si>
    <t>CASEY'S GENERAL STORE #2532 / ELDORA</t>
  </si>
  <si>
    <t>6019</t>
  </si>
  <si>
    <t>CASEY'S GENERAL STORE #3888 / ANKENY</t>
  </si>
  <si>
    <t>6020</t>
  </si>
  <si>
    <t>I TOWNER STOP / INDIANOLA</t>
  </si>
  <si>
    <t>6021</t>
  </si>
  <si>
    <t>CASEY'S GENERAL STORE #2315 / CORYDON</t>
  </si>
  <si>
    <t>6022</t>
  </si>
  <si>
    <t>TERRY'S FOOD CENTER / DYSART</t>
  </si>
  <si>
    <t>6023</t>
  </si>
  <si>
    <t>VALLEY WEST CORNER STORE / WDM</t>
  </si>
  <si>
    <t>6024</t>
  </si>
  <si>
    <t>CASEY'S GENERAL STORE #1589 / GRUNDY CENTER</t>
  </si>
  <si>
    <t>6025</t>
  </si>
  <si>
    <t>CASEY'S GENERAL STORE #3030 / STORM LAKE</t>
  </si>
  <si>
    <t>MOD / KEOKUK</t>
  </si>
  <si>
    <t>6027</t>
  </si>
  <si>
    <t>EDDYVILLE TRAVEL PLAZA BP</t>
  </si>
  <si>
    <t>6028</t>
  </si>
  <si>
    <t>CASEY'S GENERAL STORE #2686 / FORT DODGE</t>
  </si>
  <si>
    <t>CASEY'S GENERAL STORE #50 / MOVILLE</t>
  </si>
  <si>
    <t>6030</t>
  </si>
  <si>
    <t>CASEY'S GENERAL STORE #1564 / MARSHALLTOWN</t>
  </si>
  <si>
    <t>6031</t>
  </si>
  <si>
    <t>CASEY'S GENERAL STORE #2846 / MAQUOKETA</t>
  </si>
  <si>
    <t>6032</t>
  </si>
  <si>
    <t>CASEY'S GENERAL STORE #1167 / HOLSTEIN</t>
  </si>
  <si>
    <t>CASEY'S GENERAL STORE #2477 / LE MARS</t>
  </si>
  <si>
    <t>THREE DOORS DOWN LIQUOR</t>
  </si>
  <si>
    <t>WHITTEMORE</t>
  </si>
  <si>
    <t>BOOTLEGGING BARZINIS</t>
  </si>
  <si>
    <t>6037</t>
  </si>
  <si>
    <t>CASEY'S GENERAL STORE #3332 / MURRAY</t>
  </si>
  <si>
    <t>MURRAY</t>
  </si>
  <si>
    <t>6038</t>
  </si>
  <si>
    <t>CASEY'S GENERAL STORE #2880 / WATERLOO</t>
  </si>
  <si>
    <t>6039</t>
  </si>
  <si>
    <t>CASEY'S GENERAL STORE #2879 / WATERLOO</t>
  </si>
  <si>
    <t>HOMETOWN FOODS / TRAER</t>
  </si>
  <si>
    <t>LIQUOR DOWNTOWN / IOWA CITY</t>
  </si>
  <si>
    <t>6042</t>
  </si>
  <si>
    <t>COUNTRYSIDE MARKET / MINDEN</t>
  </si>
  <si>
    <t>6043</t>
  </si>
  <si>
    <t>CASEY'S GENERAL STORE #3904 / MANNING</t>
  </si>
  <si>
    <t>6044</t>
  </si>
  <si>
    <t>CASEY'S GENERAL STORE #2297 / WDM</t>
  </si>
  <si>
    <t>6045</t>
  </si>
  <si>
    <t>KUM &amp; GO #3156 / CLIVE</t>
  </si>
  <si>
    <t>6046</t>
  </si>
  <si>
    <t>CASEY'S GENERAL STORE #2150 / WDM</t>
  </si>
  <si>
    <t>CORNER STOP / WASHINGTON</t>
  </si>
  <si>
    <t>6048</t>
  </si>
  <si>
    <t>MOD / FORT MADISON</t>
  </si>
  <si>
    <t>6049</t>
  </si>
  <si>
    <t>CASEY'S GENERAL STORE #1130 / REINBECK</t>
  </si>
  <si>
    <t>CASEY'S GENERAL STORE #2539 / SHENANDOAH</t>
  </si>
  <si>
    <t>6051</t>
  </si>
  <si>
    <t>CASEY'S GENERAL STORE #1712 / SHENANDOAH</t>
  </si>
  <si>
    <t>CASEY'S GENERAL STORE #2568 / NORWALK</t>
  </si>
  <si>
    <t>6053</t>
  </si>
  <si>
    <t>CASEY'S GENERAL STORE #2307 / MELCHER-DALLAS</t>
  </si>
  <si>
    <t>LIBERTY VIEW WINE &amp; SPIRITS / NORTH LIBERTY</t>
  </si>
  <si>
    <t>6055</t>
  </si>
  <si>
    <t>CASEY'S GENERAL STORE #1428 / MILO</t>
  </si>
  <si>
    <t>MILO</t>
  </si>
  <si>
    <t>6056</t>
  </si>
  <si>
    <t>CASEY'S GENERAL STORE #2770 / MARION</t>
  </si>
  <si>
    <t>6057</t>
  </si>
  <si>
    <t>KUM &amp; GO #0731 / DES MOINES</t>
  </si>
  <si>
    <t>6058</t>
  </si>
  <si>
    <t>PANTHER TRAVEL CENTER / CEDAR FALLS</t>
  </si>
  <si>
    <t>6059</t>
  </si>
  <si>
    <t>CASEY'S GENERAL STORE #1793 / IOWA FALLS</t>
  </si>
  <si>
    <t>6061</t>
  </si>
  <si>
    <t>BROOKLYN GROCERY</t>
  </si>
  <si>
    <t>6062</t>
  </si>
  <si>
    <t>KARLS GROCERY / EDGEWOOD</t>
  </si>
  <si>
    <t>6063</t>
  </si>
  <si>
    <t>CASEY'S GENERAL STORE #2406 / PLEASANT HILL</t>
  </si>
  <si>
    <t>6064</t>
  </si>
  <si>
    <t>CASEY'S GENERAL STORE #2676 / DES MOINES</t>
  </si>
  <si>
    <t>FAST AVE ONE STOP / MUSCATINE</t>
  </si>
  <si>
    <t>6068</t>
  </si>
  <si>
    <t>STAR CONVENIENCE / FORT DODGE</t>
  </si>
  <si>
    <t>BIG 10 MART #12 / DUBUQUE</t>
  </si>
  <si>
    <t>6070</t>
  </si>
  <si>
    <t>BIG 10 MART #11 / DUBUQUE</t>
  </si>
  <si>
    <t>6071</t>
  </si>
  <si>
    <t>A&amp;Z LIQUORS / HAMPTON</t>
  </si>
  <si>
    <t>6072</t>
  </si>
  <si>
    <t>PEARL CITY TOBACCO &amp; LIQUOR OUTLET / MUSCATINE</t>
  </si>
  <si>
    <t>KWIK SPIRITS #560 / CEDAR RAPIDS</t>
  </si>
  <si>
    <t>HILL COUNTRY CONVENIENCE STORE / COLESBURG</t>
  </si>
  <si>
    <t>COLESBURG</t>
  </si>
  <si>
    <t>SHOP N SAVE NEWTON</t>
  </si>
  <si>
    <t>6078</t>
  </si>
  <si>
    <t>KUM &amp; GO #0185 / BONDURANT</t>
  </si>
  <si>
    <t>6081</t>
  </si>
  <si>
    <t>CIRCLE K / WDM</t>
  </si>
  <si>
    <t>6082</t>
  </si>
  <si>
    <t>CASEY'S #2654 / STUART</t>
  </si>
  <si>
    <t>NEIGHBORHOOD LIQUOR AND SMOKES / AMES</t>
  </si>
  <si>
    <t>6084</t>
  </si>
  <si>
    <t>CIRCLE K #22654123 / BOONE</t>
  </si>
  <si>
    <t>6085</t>
  </si>
  <si>
    <t>CIRCLE K #22654122 / BOONE</t>
  </si>
  <si>
    <t>6089</t>
  </si>
  <si>
    <t>CIRCLE K #22654124 / PERRY</t>
  </si>
  <si>
    <t>6090</t>
  </si>
  <si>
    <t>CIRCLE K #22654125 / PERRY</t>
  </si>
  <si>
    <t>HAWKEYE LIQUOR &amp; TOBACCO / IOWA CITY</t>
  </si>
  <si>
    <t>6092</t>
  </si>
  <si>
    <t>A&amp;S FOOD AND GAS / DAVENPORT</t>
  </si>
  <si>
    <t>6093</t>
  </si>
  <si>
    <t>CASEY'S #2741 / SIDNEY</t>
  </si>
  <si>
    <t>SIDNEY</t>
  </si>
  <si>
    <t>LIQUOR TOBACCO OUTLET / FORT DODGE</t>
  </si>
  <si>
    <t>6096</t>
  </si>
  <si>
    <t>BREW OIL #41 / ALBERT CITY</t>
  </si>
  <si>
    <t>ALBERT CITY</t>
  </si>
  <si>
    <t>BREW OIL #51 / SANBORN</t>
  </si>
  <si>
    <t>BREW OIL #40 / SPENCER</t>
  </si>
  <si>
    <t>6099</t>
  </si>
  <si>
    <t>BREW OIL #29 / EMMETSBURG</t>
  </si>
  <si>
    <t>MOES MART #3 / COUNCIL BLUFFS</t>
  </si>
  <si>
    <t>BREW OIL #26 / POCAHONTAS</t>
  </si>
  <si>
    <t>6102</t>
  </si>
  <si>
    <t>BREW OIL #53 / SIBLEY</t>
  </si>
  <si>
    <t>BREW OIL #50 / HARTLEY</t>
  </si>
  <si>
    <t>BREW OIL #33 / STORM LAKE</t>
  </si>
  <si>
    <t>BREW OIL #42</t>
  </si>
  <si>
    <t>6106</t>
  </si>
  <si>
    <t>MOES MART #4 / COUNCIL BLUFFS</t>
  </si>
  <si>
    <t>DOUBLE D LIQUOR STORE / WAUKON</t>
  </si>
  <si>
    <t>6111</t>
  </si>
  <si>
    <t>MOES MART #13 / CASEY</t>
  </si>
  <si>
    <t>CASEY</t>
  </si>
  <si>
    <t>6114</t>
  </si>
  <si>
    <t>STAN'S CORNER / LAKE PARK</t>
  </si>
  <si>
    <t>6115</t>
  </si>
  <si>
    <t>CASEY'S #3920 / MOUNT PLEASANT</t>
  </si>
  <si>
    <t>KWIK SPIRITS #561 / CEDAR FALLS</t>
  </si>
  <si>
    <t>FAREWAY STORES #212 / COLFAX</t>
  </si>
  <si>
    <t>CASH SAVER #33 / DES MOINES</t>
  </si>
  <si>
    <t>ALLCOOL LIQUORS / WDM</t>
  </si>
  <si>
    <t>CRESCO MART</t>
  </si>
  <si>
    <t>LIQUOR TOBACCO &amp; VAPE / MANCHESTER</t>
  </si>
  <si>
    <t>PRESTON COUNTRY STORE</t>
  </si>
  <si>
    <t>PRESTON</t>
  </si>
  <si>
    <t>GATEWAY MART / CLINTON</t>
  </si>
  <si>
    <t>CASH SAVER #34 / DES MOINES</t>
  </si>
  <si>
    <t>6127</t>
  </si>
  <si>
    <t>CORNER MART / MARION</t>
  </si>
  <si>
    <t>EAST END LIQUOR / DES MOINES</t>
  </si>
  <si>
    <t>6131</t>
  </si>
  <si>
    <t>LEEDS FOOD N FUEL / SIOUX CITY</t>
  </si>
  <si>
    <t>DUBUQUE WINE &amp; SPIRITS</t>
  </si>
  <si>
    <t>6133</t>
  </si>
  <si>
    <t>LINCOLN FARM AND HOME 3 / PACIFIC JUNCTION</t>
  </si>
  <si>
    <t>6134</t>
  </si>
  <si>
    <t>AKRON STOP / ALGONA</t>
  </si>
  <si>
    <t>KIRKWOOD LIQUOR AND TOBACCO / IOWA CITY</t>
  </si>
  <si>
    <t>RUSH STOP / CHARLES CITY</t>
  </si>
  <si>
    <t>6138</t>
  </si>
  <si>
    <t>URBAN FUEL EXPRESS / IOWA CITY</t>
  </si>
  <si>
    <t>SUPER SAVER TOBACCO &amp; LIQUOR / DAVENPORT</t>
  </si>
  <si>
    <t>ROYAL FOOD &amp; LIQUOR / DES MOINES</t>
  </si>
  <si>
    <t>KJ'S CONVENIENCE &amp; DELI / MAQUOKETA</t>
  </si>
  <si>
    <t>HOMETOWN WINE &amp; SPIRITS / OSKALOOSA</t>
  </si>
  <si>
    <t>NORTHSIDE LIQUOR AND GROCERY / MASON CITY</t>
  </si>
  <si>
    <t>6145</t>
  </si>
  <si>
    <t>THE DEPOT VAN HORNE</t>
  </si>
  <si>
    <t>6146</t>
  </si>
  <si>
    <t>HIWAY 20 LIQUOR &amp; TOBACCO / WEBSTER CITY</t>
  </si>
  <si>
    <t>6147</t>
  </si>
  <si>
    <t>THE DEPOT GILMAN</t>
  </si>
  <si>
    <t>GILMAN</t>
  </si>
  <si>
    <t>UNIVERSITY LIQUORS / WDM</t>
  </si>
  <si>
    <t>LUXEMBURG LIQUOR TOBACCO &amp; GAS</t>
  </si>
  <si>
    <t>OKOBOJI GAS COMPANY / MILFORD</t>
  </si>
  <si>
    <t>6165</t>
  </si>
  <si>
    <t>STRAWBERRY FOOD</t>
  </si>
  <si>
    <t>6167</t>
  </si>
  <si>
    <t>SPEEDEE MART 1515 / COUNCIL BLUFFS</t>
  </si>
  <si>
    <t>BREW OIL #32 / SPENCER</t>
  </si>
  <si>
    <t>6170</t>
  </si>
  <si>
    <t>CASEY'S GENERAL STORE #4 / DES MOINES</t>
  </si>
  <si>
    <t>MINI-MART / INDEPENDENCE</t>
  </si>
  <si>
    <t>6175</t>
  </si>
  <si>
    <t>MALCOM GAS &amp; FOOD / MALCOM</t>
  </si>
  <si>
    <t>MALCOM</t>
  </si>
  <si>
    <t>MINI-MART / CEDAR FALLS</t>
  </si>
  <si>
    <t>HY-VEE DOLLAR FRESH / MAQUOKETA</t>
  </si>
  <si>
    <t>BREW OIL #11 / BOYDEN</t>
  </si>
  <si>
    <t>BOYDEN</t>
  </si>
  <si>
    <t>HY-VEE GAS #2 / CORALVILLE</t>
  </si>
  <si>
    <t>6186</t>
  </si>
  <si>
    <t>SAVE MORE SUPER MARKET / DAVENPORT</t>
  </si>
  <si>
    <t>6187</t>
  </si>
  <si>
    <t>MILL CREEK LIQUORS / PAULLINA</t>
  </si>
  <si>
    <t>6188</t>
  </si>
  <si>
    <t>SPARKY'S ONE STOP / LAKE VIEW</t>
  </si>
  <si>
    <t>6189</t>
  </si>
  <si>
    <t>HY-VEE DOLLAR FRESH / MANCHESTER</t>
  </si>
  <si>
    <t>HAWKS LIQUOR &amp; TOBACCO / CORALVILLE</t>
  </si>
  <si>
    <t>6191</t>
  </si>
  <si>
    <t>HY-VEE FAST AND FRESH #2 / WAUKEE</t>
  </si>
  <si>
    <t>6193</t>
  </si>
  <si>
    <t>HY-VEE C STORE #5 / CEDAR RAPIDS</t>
  </si>
  <si>
    <t>HY-VEE DOLLAR FRESH / NEVADA</t>
  </si>
  <si>
    <t>DT LIQUOR LLC / DEWITT</t>
  </si>
  <si>
    <t>MOUNT PLEASANT FOOD &amp; LIQUOR / MT PLEASANT</t>
  </si>
  <si>
    <t>BLIND PIG COCKTAIL BODEGA WEST DES MOINES</t>
  </si>
  <si>
    <t>6200</t>
  </si>
  <si>
    <t>HY-VEE C STORE / MT. PLEASANT</t>
  </si>
  <si>
    <t>NEIGHBORHOOD TOBACCO OUTLET / MARION</t>
  </si>
  <si>
    <t>XO FOOD &amp; LIQUOR / WATERLOO</t>
  </si>
  <si>
    <t>6203</t>
  </si>
  <si>
    <t>WORLD LIQUOR &amp; TOBACCO + VAPORS / WAUKEE</t>
  </si>
  <si>
    <t>DEPOT LIQUOR &amp; GROCERY / MARSHALLTOWN</t>
  </si>
  <si>
    <t>6208</t>
  </si>
  <si>
    <t>HY-VEE FAST AND FRESH / GRIMES</t>
  </si>
  <si>
    <t>HY-VEE / GRIMES</t>
  </si>
  <si>
    <t>BAILEY'S CONVENIENCE / SIOUX CITY</t>
  </si>
  <si>
    <t>6212</t>
  </si>
  <si>
    <t>HAMPTON CROSSROADS / HAMPTON</t>
  </si>
  <si>
    <t>CASEY'S #3934 / ANKENY</t>
  </si>
  <si>
    <t>MARLE HAY LIQUOR &amp; SMOKE / DES MOINES</t>
  </si>
  <si>
    <t>6216</t>
  </si>
  <si>
    <t>HY-VEE C-STORE #3 / CEDAR RAPIDS</t>
  </si>
  <si>
    <t>TODD'S SHELL / ROCK RAPIDS</t>
  </si>
  <si>
    <t>6218</t>
  </si>
  <si>
    <t>BOJI JUNCTION / MILFORD</t>
  </si>
  <si>
    <t>6219</t>
  </si>
  <si>
    <t>CASEY'S #4025 / MUSCATINE</t>
  </si>
  <si>
    <t>PRIME WINE AND SPIRITS / MASON CITY</t>
  </si>
  <si>
    <t>HY-VEE DOLLAR FRESH / ORANGE CITY</t>
  </si>
  <si>
    <t>MID TOWN LIQUOR &amp; VAPE / MASON CITY</t>
  </si>
  <si>
    <t>6225</t>
  </si>
  <si>
    <t>DAY BREAK / WHEATLAND</t>
  </si>
  <si>
    <t>WHEATLAND</t>
  </si>
  <si>
    <t>ROCK C LIQUOR &amp; WINE &amp; TOBACCO / IOWA FALLS</t>
  </si>
  <si>
    <t>BEER THIRTY STORM LAKE / STORM LAKE</t>
  </si>
  <si>
    <t>6230</t>
  </si>
  <si>
    <t>BREW #1 WEST LAKE GENERAL STORE / STORM LAKE</t>
  </si>
  <si>
    <t>6231</t>
  </si>
  <si>
    <t>TRAER SHORT STOP / TRAER</t>
  </si>
  <si>
    <t>6232</t>
  </si>
  <si>
    <t>KWIK STAR #1154 / SHELDON</t>
  </si>
  <si>
    <t>6233</t>
  </si>
  <si>
    <t>QUICK STOP / CEDAR RAPIDS</t>
  </si>
  <si>
    <t>6234</t>
  </si>
  <si>
    <t>EL VALLE TIENDA Y CARNICERIA / EAGLE GROVE</t>
  </si>
  <si>
    <t>6235</t>
  </si>
  <si>
    <t>WORLD LIQUOR &amp; TOBACCO + VAPORS / ADEL</t>
  </si>
  <si>
    <t>WESTSIDE SPIRITS / CEDAR RAPIDS</t>
  </si>
  <si>
    <t>SMOKIN' JOE'S TOBACCO &amp; LIQUOR OUTLET #03 / CLINTON</t>
  </si>
  <si>
    <t>WASHINGTON LIQUOR AND TOBACCO OUTLET / WASHINGTON</t>
  </si>
  <si>
    <t>LARCHWOOD QUICK STOP / LARCHWOOD</t>
  </si>
  <si>
    <t>RACEWAY 80 / NEWTON</t>
  </si>
  <si>
    <t>6241</t>
  </si>
  <si>
    <t>RAYMOND'S STATION / GARWIN</t>
  </si>
  <si>
    <t>GARWIN</t>
  </si>
  <si>
    <t>WALL TO WALL WINE AND SPIRITS / WEST DES MOINES</t>
  </si>
  <si>
    <t>6243</t>
  </si>
  <si>
    <t>HY-VEE DOLLAR FRESH / INDEPENDENCE</t>
  </si>
  <si>
    <t>KWIK STAR #1146 / CEDAR RAPIDS</t>
  </si>
  <si>
    <t>NEIGHBORHOOD LIQUOR HOUSE / ANKENY</t>
  </si>
  <si>
    <t>KWIK STAR #1142  / IOWA CITY</t>
  </si>
  <si>
    <t>6247</t>
  </si>
  <si>
    <t>MINI MART #3 / CHARLES CITY</t>
  </si>
  <si>
    <t>HY-VEE DOLLAR FRESH / MONTICELLO</t>
  </si>
  <si>
    <t>KWIK SPIRITS #1191 / FORT DODGE</t>
  </si>
  <si>
    <t>6253</t>
  </si>
  <si>
    <t>PORTSIDE ONE STOP / HARPERS FERRY</t>
  </si>
  <si>
    <t>6254</t>
  </si>
  <si>
    <t>HY-VEE FAST AND FRESH / MARION</t>
  </si>
  <si>
    <t>6255</t>
  </si>
  <si>
    <t>KWIK STAR #1165 / SIBLEY</t>
  </si>
  <si>
    <t>821 SQ LIQUOR / DES MOINES</t>
  </si>
  <si>
    <t>STATION MART 2 / EVANSDALE</t>
  </si>
  <si>
    <t>6258</t>
  </si>
  <si>
    <t>FORT MADISON TOBACCO AND LIQUOR OUTLET PLUS / FORT MADISON</t>
  </si>
  <si>
    <t>6259</t>
  </si>
  <si>
    <t>HY-VEE #3 GAS / IOWA CITY</t>
  </si>
  <si>
    <t>SUPERQUICK LIQUOR VINE / WEST DES MOINES</t>
  </si>
  <si>
    <t>WAUKEE LIQUOR &amp; FOOD MART / WAUKEE</t>
  </si>
  <si>
    <t>FAREWAY STORES, INC. #222 / ROCKWELL CITY</t>
  </si>
  <si>
    <t>PUMP N PACK / ROCK VALLEY</t>
  </si>
  <si>
    <t>MLK LIQUOR LLC / DES MOINES</t>
  </si>
  <si>
    <t>KC STORE / STRATFORD</t>
  </si>
  <si>
    <t>6266</t>
  </si>
  <si>
    <t>KWIK STAR #607 / MARSHALLTOWN</t>
  </si>
  <si>
    <t>POLK CITY LIQUOR / POLK CITY</t>
  </si>
  <si>
    <t>NEIGHBORHOOD FOOD, LIQUOR &amp; TOBACCO / CEDAR RAPIDS</t>
  </si>
  <si>
    <t>6270</t>
  </si>
  <si>
    <t>SUNDSTOP / OLIN</t>
  </si>
  <si>
    <t>OLIN</t>
  </si>
  <si>
    <t>6271</t>
  </si>
  <si>
    <t>KIMMES KINGSLEY COUNTRY STORE #16 / KINGSLEY</t>
  </si>
  <si>
    <t>KINGSLEY</t>
  </si>
  <si>
    <t>6272</t>
  </si>
  <si>
    <t>THURSTY THURSTON'S LIQUOR / CLARENCE</t>
  </si>
  <si>
    <t>6273</t>
  </si>
  <si>
    <t>HY-VEE GAS #2 / BURLINGTON</t>
  </si>
  <si>
    <t>OSKALOOSA WATERING HOLE</t>
  </si>
  <si>
    <t>LOCAL CRAFT CELLAR / CEDAR RAPIDS</t>
  </si>
  <si>
    <t>KWIK STAR #1160 / LE MARS</t>
  </si>
  <si>
    <t>BP TO GO #5 / HIAWATHA</t>
  </si>
  <si>
    <t>6278</t>
  </si>
  <si>
    <t>ADVENTURELAND / ALTOONA</t>
  </si>
  <si>
    <t>BP TO GO  #3 / CEDAR RAPIDS</t>
  </si>
  <si>
    <t>BP TO GO #1 / CEDAR RAPIDS</t>
  </si>
  <si>
    <t>6282</t>
  </si>
  <si>
    <t>JET STOP NEW LONDON / NEW LONDON</t>
  </si>
  <si>
    <t>KIMMES CARROLL COUNTRY STORE 1 / CARROLL</t>
  </si>
  <si>
    <t>6284</t>
  </si>
  <si>
    <t>CASEY'S #3962 / SIOUX CITY</t>
  </si>
  <si>
    <t>CASEY'S #3954 / NEWTON</t>
  </si>
  <si>
    <t>6286</t>
  </si>
  <si>
    <t>RIVERSIDE #4 / BETTENDORF</t>
  </si>
  <si>
    <t>MIDWEST FOOD &amp; LIQUOR / PLEASANT HILL</t>
  </si>
  <si>
    <t>6289</t>
  </si>
  <si>
    <t>DASHMART / URBANDALE</t>
  </si>
  <si>
    <t>S &amp; S MEATS AND SPIRITS / OSAGE</t>
  </si>
  <si>
    <t>JET STOP BURLINGTON SOUTH / BURLINGTON</t>
  </si>
  <si>
    <t>JET STOP DENMARK / DENMARK</t>
  </si>
  <si>
    <t>DENMARK</t>
  </si>
  <si>
    <t>JET STOP WEST POINT / WEST POINT</t>
  </si>
  <si>
    <t>BATAVIA BP / BATAVIA</t>
  </si>
  <si>
    <t>BATAVIA</t>
  </si>
  <si>
    <t>BOB &amp; SCOTT'S / PRIMGHAR</t>
  </si>
  <si>
    <t>PRIMGHAR</t>
  </si>
  <si>
    <t>JET STOP / FAIRFIELD</t>
  </si>
  <si>
    <t>6297</t>
  </si>
  <si>
    <t>JET STOP BURLINGTON NORTH / BURLINGTON</t>
  </si>
  <si>
    <t>6298</t>
  </si>
  <si>
    <t>BP TO GO #6 / MARION</t>
  </si>
  <si>
    <t>6299</t>
  </si>
  <si>
    <t>CASEY'S #3953 / DES MOINES</t>
  </si>
  <si>
    <t>6300</t>
  </si>
  <si>
    <t>SOUTHGATE WINE &amp; SPIRITS / AMES</t>
  </si>
  <si>
    <t>6301</t>
  </si>
  <si>
    <t>JET STOP BONAPARTE / BONAPARTE</t>
  </si>
  <si>
    <t>BONAPARTE</t>
  </si>
  <si>
    <t>6302</t>
  </si>
  <si>
    <t>JET STOP SALEM STUB / SALEM</t>
  </si>
  <si>
    <t>WORLD LIQUOR &amp; TOBACCO + VAPORS / DES MOINES</t>
  </si>
  <si>
    <t>WORLD LIQUOR &amp; TOBACCO + VAPORS / AMES</t>
  </si>
  <si>
    <t>6305</t>
  </si>
  <si>
    <t>JET STOP HOUGHTON / HOUGHTON</t>
  </si>
  <si>
    <t>HOUGHTON</t>
  </si>
  <si>
    <t>6306</t>
  </si>
  <si>
    <t>WINE &amp; SPIRITS SHOPPE OF ALGONA / ALGONA</t>
  </si>
  <si>
    <t>LIQUOR LAND / AMES</t>
  </si>
  <si>
    <t>KEYSTONE MINI MART / KEYSTONE</t>
  </si>
  <si>
    <t>6310</t>
  </si>
  <si>
    <t>JET STOP BIRMINGHAM / BIRMINGHAM</t>
  </si>
  <si>
    <t>BIRMINGHAM</t>
  </si>
  <si>
    <t>LIGHTNING LIQUOR AND SMOKE SHOP - BURLINGTON</t>
  </si>
  <si>
    <t>6312</t>
  </si>
  <si>
    <t>BP TO GO #4 / CEDAR RAPIDS</t>
  </si>
  <si>
    <t>DANNYS TOBACCO &amp; LIQUOR / GUTTENBERG</t>
  </si>
  <si>
    <t>6314</t>
  </si>
  <si>
    <t>JET STOP MILTON / MILTON</t>
  </si>
  <si>
    <t>MILTON</t>
  </si>
  <si>
    <t>CORNERSTONE APOTHECARY / MARENGO</t>
  </si>
  <si>
    <t>BEER THIRTY CARROLL / CARROLL</t>
  </si>
  <si>
    <t>6317</t>
  </si>
  <si>
    <t>HY-VEE FAST AND FRESH #2 / GRIMES</t>
  </si>
  <si>
    <t>PRIME STOP.INC / MELBOURNE</t>
  </si>
  <si>
    <t>MELBOURNE</t>
  </si>
  <si>
    <t>6319</t>
  </si>
  <si>
    <t>SERGEANT BLUFF PUMP 'N PAK / SERGEANT BLUFF</t>
  </si>
  <si>
    <t>6321</t>
  </si>
  <si>
    <t>COLONY POINT FUEL &amp; GAS - WILLIAMSBURG</t>
  </si>
  <si>
    <t>6323</t>
  </si>
  <si>
    <t>FAREWAY STORES, INC. #225 / DES MOINES</t>
  </si>
  <si>
    <t>6325</t>
  </si>
  <si>
    <t>HY-VEE GAS / NEWTON</t>
  </si>
  <si>
    <t>BEST DEALS / WATERLOO</t>
  </si>
  <si>
    <t>6327</t>
  </si>
  <si>
    <t>PRIMESTAR / MARENGO</t>
  </si>
  <si>
    <t>8 SECONDS / SIDNEY</t>
  </si>
  <si>
    <t>6330</t>
  </si>
  <si>
    <t>JK AFRICAN STORE LLC / DES MOINES</t>
  </si>
  <si>
    <t>6331</t>
  </si>
  <si>
    <t>MAIN STREET TOBACCO SHOP / MAQUOKETA</t>
  </si>
  <si>
    <t>KWIK STAR #1107 / CEDAR RAPIDS</t>
  </si>
  <si>
    <t>TOBACCO HUT PLUS US GAS / DES MOINES</t>
  </si>
  <si>
    <t>AINSWORTH FOUR CORNERS / AINSWORTH</t>
  </si>
  <si>
    <t>AINSWORTH</t>
  </si>
  <si>
    <t>6341</t>
  </si>
  <si>
    <t>HY-VEE FAST AND FRESH #3 / URBANDALE</t>
  </si>
  <si>
    <t>TOBACCO MART / URBANDALE</t>
  </si>
  <si>
    <t>HELLO MART LLC / SIOUX CITY</t>
  </si>
  <si>
    <t>ROUND WINDOW LIQUOR / KNOXVILLE</t>
  </si>
  <si>
    <t>6347</t>
  </si>
  <si>
    <t>HY-VEE GAS / FORT MADISON</t>
  </si>
  <si>
    <t>CEDAR RIDGE VINEYARDS (ET)</t>
  </si>
  <si>
    <t>9002</t>
  </si>
  <si>
    <t>MISSISSIPPI RIVER DISTILLERY - LECLAIRE (ET)</t>
  </si>
  <si>
    <t>LECLAIRE</t>
  </si>
  <si>
    <t>9013</t>
  </si>
  <si>
    <t>IOWA DISTILLING COMPANY (ET)</t>
  </si>
  <si>
    <t>9031</t>
  </si>
  <si>
    <t>LONELY OAK DISTILLERY (ET)</t>
  </si>
  <si>
    <t>EARLING</t>
  </si>
  <si>
    <t>9037</t>
  </si>
  <si>
    <t>GREEN FROG DISTILLERY, LLC (ET)</t>
  </si>
  <si>
    <t>9038</t>
  </si>
  <si>
    <t>TEMPLETON DISTILLING LLC (ET)</t>
  </si>
  <si>
    <t>9039</t>
  </si>
  <si>
    <t>FOUNDRY DISTILLING COMPANY (ET)</t>
  </si>
  <si>
    <t>S&amp;B FARMS DISTILLERY (ET)</t>
  </si>
  <si>
    <t>9042</t>
  </si>
  <si>
    <t>AMERICAN HERITAGE DISTILLERS, LLC (ET)</t>
  </si>
  <si>
    <t>9046</t>
  </si>
  <si>
    <t>ROCK RIVER DISTILLATION COMPANY (ET)</t>
  </si>
  <si>
    <t>REVELTON DISTILLING COMPANY (ET)</t>
  </si>
  <si>
    <t>9049</t>
  </si>
  <si>
    <t>TYCOGA VINEYARD &amp; WINERY (ET)</t>
  </si>
  <si>
    <t>9051</t>
  </si>
  <si>
    <t>WILDCAT DISTILLING / DUNCOMBE</t>
  </si>
  <si>
    <t>DUNCOMBE</t>
  </si>
  <si>
    <t>173 CRAFT DISTILLERY (ET)</t>
  </si>
  <si>
    <t>9911</t>
  </si>
  <si>
    <t>SOUTHERN GLAZERS WINE &amp; SPIRITS OF IOWA</t>
  </si>
  <si>
    <t>How to compare the two datasets</t>
  </si>
  <si>
    <t>This workbook compares two views of the same sales. Internal liters come from the Iowa liquor sales book, rolled up by week. Feed liters come from the distributor files after duplicate rows are removed, item codes are mapped, and negative volumes are dropped.</t>
  </si>
  <si>
    <t>1. Start on Summary. The yellow cell is a distributor dropdown. Pick D01 through D08.</t>
  </si>
  <si>
    <t>2. Internal liters, feed liters, and variance percent update with SUMIFS formulas. You do not need to copy values.</t>
  </si>
  <si>
    <t>3. A variance percent beyond the flag threshold (5%) is large enough to review. The All distributors block shows every distributor with the same formulas.</t>
  </si>
  <si>
    <t>4. Open Top_Discrepancies for the 25 largest liter gaps. Red means the absolute variance is over 10%. Amber means it is from 5% to 10%.</t>
  </si>
  <si>
    <t>5. Weekly_Compare is a 5,000 row sample, not the full book. sku_name, account_name, and city are XLOOKUP formulas against SKU_Master and Account_Master. Not on master means the code is missing from the internal list. compare_flag says Review when the sample line crosses the threshold.</t>
  </si>
  <si>
    <t>6. The account on Weekly_Compare is the store with the most internal liters for that distributor, week, and SKU. Feed liters on that row are the distributor total for the SKU and week, not that store alone.</t>
  </si>
  <si>
    <t>7. Pivot_Ready is an Excel table with one row per distributor and week. Use Insert, PivotTable if you want a different cut. Summary reads this table.</t>
  </si>
  <si>
    <t>8. Do not type over formula cells. Filter and sort are safe.</t>
  </si>
</sst>
</file>

<file path=xl/styles.xml><?xml version="1.0" encoding="utf-8"?>
<styleSheet xmlns="http://schemas.openxmlformats.org/spreadsheetml/2006/main">
  <numFmts count="2">
    <numFmt numFmtId="164" formatCode="0.00%"/>
    <numFmt numFmtId="165" formatCode="#,##0.00"/>
  </numFmts>
  <fonts count="4">
    <font>
      <sz val="11"/>
      <color theme="1"/>
      <name val="Calibri"/>
      <family val="2"/>
      <scheme val="minor"/>
    </font>
    <font>
      <b/>
      <sz val="16"/>
      <color rgb="FF1F4E79"/>
      <name val="Calibri"/>
      <family val="2"/>
      <scheme val="minor"/>
    </font>
    <font>
      <b/>
      <sz val="11"/>
      <color theme="1"/>
      <name val="Calibri"/>
      <family val="2"/>
      <scheme val="minor"/>
    </font>
    <font>
      <b/>
      <sz val="11"/>
      <color rgb="FFFFFFFF"/>
      <name val="Calibri"/>
      <family val="2"/>
      <scheme val="minor"/>
    </font>
  </fonts>
  <fills count="4">
    <fill>
      <patternFill patternType="none"/>
    </fill>
    <fill>
      <patternFill patternType="gray125"/>
    </fill>
    <fill>
      <patternFill patternType="solid">
        <fgColor rgb="FFFFF2CC"/>
        <bgColor indexed="64"/>
      </patternFill>
    </fill>
    <fill>
      <patternFill patternType="solid">
        <fgColor rgb="FF1F4E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0" fillId="0" borderId="0" xfId="0" applyAlignment="1">
      <alignment vertical="top" wrapText="1"/>
    </xf>
    <xf numFmtId="164" fontId="0" fillId="0" borderId="0" xfId="0" applyNumberFormat="1"/>
    <xf numFmtId="165" fontId="0" fillId="0" borderId="0" xfId="0" applyNumberFormat="1"/>
    <xf numFmtId="0" fontId="3" fillId="3" borderId="1" xfId="0" applyFont="1" applyFill="1" applyBorder="1"/>
  </cellXfs>
  <cellStyles count="1">
    <cellStyle name="Normal" xfId="0" builtinId="0"/>
  </cellStyles>
  <dxfs count="2">
    <dxf>
      <numFmt numFmtId="164" formatCode="0.00%"/>
      <fill>
        <patternFill>
          <bgColor rgb="FFF4CCCC"/>
        </patternFill>
      </fill>
    </dxf>
    <dxf>
      <numFmt numFmtId="164" formatCode="0.00%"/>
      <fill>
        <patternFill>
          <bgColor rgb="FFFCE4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 Id="rId11" Type="http://schemas.openxmlformats.org/officeDocument/2006/relationships/sheetMetadata" Target="metadata.xml"/></Relationships>
</file>

<file path=xl/tables/table1.xml><?xml version="1.0" encoding="utf-8"?>
<table xmlns="http://schemas.openxmlformats.org/spreadsheetml/2006/main" id="1" name="WeeklyByDistributor" displayName="WeeklyByDistributor" ref="A1:F841" totalsRowShown="0">
  <autoFilter ref="A1:F841"/>
  <tableColumns count="6">
    <tableColumn id="1" name="distributor_id"/>
    <tableColumn id="2" name="week"/>
    <tableColumn id="3" name="internal_liters"/>
    <tableColumn id="4" name="feed_liters"/>
    <tableColumn id="5" name="variance_liters"/>
    <tableColumn id="6" name="variance_p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A21"/>
  <sheetViews>
    <sheetView tabSelected="1" workbookViewId="0">
      <pane ySplit="1" topLeftCell="A2" activePane="bottomLeft" state="frozen"/>
      <selection pane="bottomLeft"/>
    </sheetView>
  </sheetViews>
  <sheetFormatPr defaultRowHeight="15"/>
  <cols>
    <col min="1" max="1" width="28.7109375" customWidth="1"/>
    <col min="2" max="2" width="22.7109375" customWidth="1"/>
    <col min="3" max="5" width="20.7109375" customWidth="1"/>
    <col min="27" max="27" width="0" hidden="1" customWidth="1"/>
  </cols>
  <sheetData>
    <row r="1" spans="1:27">
      <c r="A1" s="1" t="s">
        <v>8</v>
      </c>
      <c r="AA1" t="s">
        <v>0</v>
      </c>
    </row>
    <row r="2" spans="1:27">
      <c r="AA2" t="s">
        <v>1</v>
      </c>
    </row>
    <row r="3" spans="1:27">
      <c r="A3" s="2" t="s">
        <v>9</v>
      </c>
      <c r="C3" s="3" t="s">
        <v>0</v>
      </c>
      <c r="AA3" t="s">
        <v>2</v>
      </c>
    </row>
    <row r="4" spans="1:27" ht="32" customHeight="1">
      <c r="A4" s="4" t="s">
        <v>10</v>
      </c>
      <c r="AA4" t="s">
        <v>3</v>
      </c>
    </row>
    <row r="5" spans="1:27">
      <c r="A5" s="2" t="s">
        <v>11</v>
      </c>
      <c r="C5" s="5">
        <v>0.05</v>
      </c>
      <c r="AA5" t="s">
        <v>4</v>
      </c>
    </row>
    <row r="6" spans="1:27">
      <c r="AA6" t="s">
        <v>5</v>
      </c>
    </row>
    <row r="7" spans="1:27">
      <c r="B7" s="2" t="s">
        <v>12</v>
      </c>
      <c r="C7" s="6">
        <f>SUMIFS(WeeklyByDistributor[internal_liters],WeeklyByDistributor[distributor_id],$C$3)</f>
        <v>0</v>
      </c>
      <c r="AA7" t="s">
        <v>6</v>
      </c>
    </row>
    <row r="8" spans="1:27">
      <c r="B8" s="2" t="s">
        <v>13</v>
      </c>
      <c r="C8" s="6">
        <f>SUMIFS(WeeklyByDistributor[feed_liters],WeeklyByDistributor[distributor_id],$C$3)</f>
        <v>0</v>
      </c>
      <c r="AA8" t="s">
        <v>7</v>
      </c>
    </row>
    <row r="9" spans="1:27">
      <c r="B9" s="2" t="s">
        <v>14</v>
      </c>
      <c r="C9" s="6">
        <f>C8-C7</f>
        <v>0</v>
      </c>
    </row>
    <row r="10" spans="1:27">
      <c r="B10" s="2" t="s">
        <v>15</v>
      </c>
      <c r="C10" s="5">
        <f>IF(C7=0,"",C9/C7)</f>
        <v>0</v>
      </c>
    </row>
    <row r="12" spans="1:27">
      <c r="A12" s="1" t="s">
        <v>16</v>
      </c>
    </row>
    <row r="13" spans="1:27">
      <c r="A13" s="7" t="s">
        <v>9</v>
      </c>
      <c r="B13" s="7" t="s">
        <v>12</v>
      </c>
      <c r="C13" s="7" t="s">
        <v>13</v>
      </c>
      <c r="D13" s="7" t="s">
        <v>14</v>
      </c>
      <c r="E13" s="7" t="s">
        <v>15</v>
      </c>
    </row>
    <row r="14" spans="1:27">
      <c r="A14" t="s">
        <v>0</v>
      </c>
      <c r="B14" s="6">
        <f>SUMIFS(WeeklyByDistributor[internal_liters],WeeklyByDistributor[distributor_id],A14)</f>
        <v>0</v>
      </c>
      <c r="C14" s="6">
        <f>SUMIFS(WeeklyByDistributor[feed_liters],WeeklyByDistributor[distributor_id],A14)</f>
        <v>0</v>
      </c>
      <c r="D14" s="6">
        <f>C14-B14</f>
        <v>0</v>
      </c>
      <c r="E14" s="5">
        <f>IF(B14=0,"",D14/B14)</f>
        <v>0</v>
      </c>
    </row>
    <row r="15" spans="1:27">
      <c r="A15" t="s">
        <v>1</v>
      </c>
      <c r="B15" s="6">
        <f>SUMIFS(WeeklyByDistributor[internal_liters],WeeklyByDistributor[distributor_id],A15)</f>
        <v>0</v>
      </c>
      <c r="C15" s="6">
        <f>SUMIFS(WeeklyByDistributor[feed_liters],WeeklyByDistributor[distributor_id],A15)</f>
        <v>0</v>
      </c>
      <c r="D15" s="6">
        <f>C15-B15</f>
        <v>0</v>
      </c>
      <c r="E15" s="5">
        <f>IF(B15=0,"",D15/B15)</f>
        <v>0</v>
      </c>
    </row>
    <row r="16" spans="1:27">
      <c r="A16" t="s">
        <v>2</v>
      </c>
      <c r="B16" s="6">
        <f>SUMIFS(WeeklyByDistributor[internal_liters],WeeklyByDistributor[distributor_id],A16)</f>
        <v>0</v>
      </c>
      <c r="C16" s="6">
        <f>SUMIFS(WeeklyByDistributor[feed_liters],WeeklyByDistributor[distributor_id],A16)</f>
        <v>0</v>
      </c>
      <c r="D16" s="6">
        <f>C16-B16</f>
        <v>0</v>
      </c>
      <c r="E16" s="5">
        <f>IF(B16=0,"",D16/B16)</f>
        <v>0</v>
      </c>
    </row>
    <row r="17" spans="1:5">
      <c r="A17" t="s">
        <v>3</v>
      </c>
      <c r="B17" s="6">
        <f>SUMIFS(WeeklyByDistributor[internal_liters],WeeklyByDistributor[distributor_id],A17)</f>
        <v>0</v>
      </c>
      <c r="C17" s="6">
        <f>SUMIFS(WeeklyByDistributor[feed_liters],WeeklyByDistributor[distributor_id],A17)</f>
        <v>0</v>
      </c>
      <c r="D17" s="6">
        <f>C17-B17</f>
        <v>0</v>
      </c>
      <c r="E17" s="5">
        <f>IF(B17=0,"",D17/B17)</f>
        <v>0</v>
      </c>
    </row>
    <row r="18" spans="1:5">
      <c r="A18" t="s">
        <v>4</v>
      </c>
      <c r="B18" s="6">
        <f>SUMIFS(WeeklyByDistributor[internal_liters],WeeklyByDistributor[distributor_id],A18)</f>
        <v>0</v>
      </c>
      <c r="C18" s="6">
        <f>SUMIFS(WeeklyByDistributor[feed_liters],WeeklyByDistributor[distributor_id],A18)</f>
        <v>0</v>
      </c>
      <c r="D18" s="6">
        <f>C18-B18</f>
        <v>0</v>
      </c>
      <c r="E18" s="5">
        <f>IF(B18=0,"",D18/B18)</f>
        <v>0</v>
      </c>
    </row>
    <row r="19" spans="1:5">
      <c r="A19" t="s">
        <v>5</v>
      </c>
      <c r="B19" s="6">
        <f>SUMIFS(WeeklyByDistributor[internal_liters],WeeklyByDistributor[distributor_id],A19)</f>
        <v>0</v>
      </c>
      <c r="C19" s="6">
        <f>SUMIFS(WeeklyByDistributor[feed_liters],WeeklyByDistributor[distributor_id],A19)</f>
        <v>0</v>
      </c>
      <c r="D19" s="6">
        <f>C19-B19</f>
        <v>0</v>
      </c>
      <c r="E19" s="5">
        <f>IF(B19=0,"",D19/B19)</f>
        <v>0</v>
      </c>
    </row>
    <row r="20" spans="1:5">
      <c r="A20" t="s">
        <v>6</v>
      </c>
      <c r="B20" s="6">
        <f>SUMIFS(WeeklyByDistributor[internal_liters],WeeklyByDistributor[distributor_id],A20)</f>
        <v>0</v>
      </c>
      <c r="C20" s="6">
        <f>SUMIFS(WeeklyByDistributor[feed_liters],WeeklyByDistributor[distributor_id],A20)</f>
        <v>0</v>
      </c>
      <c r="D20" s="6">
        <f>C20-B20</f>
        <v>0</v>
      </c>
      <c r="E20" s="5">
        <f>IF(B20=0,"",D20/B20)</f>
        <v>0</v>
      </c>
    </row>
    <row r="21" spans="1:5">
      <c r="A21" t="s">
        <v>7</v>
      </c>
      <c r="B21" s="6">
        <f>SUMIFS(WeeklyByDistributor[internal_liters],WeeklyByDistributor[distributor_id],A21)</f>
        <v>0</v>
      </c>
      <c r="C21" s="6">
        <f>SUMIFS(WeeklyByDistributor[feed_liters],WeeklyByDistributor[distributor_id],A21)</f>
        <v>0</v>
      </c>
      <c r="D21" s="6">
        <f>C21-B21</f>
        <v>0</v>
      </c>
      <c r="E21" s="5">
        <f>IF(B21=0,"",D21/B21)</f>
        <v>0</v>
      </c>
    </row>
  </sheetData>
  <dataValidations count="1">
    <dataValidation type="list" allowBlank="1" showInputMessage="1" showErrorMessage="1" sqref="C3">
      <formula1>DistributorList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5001"/>
  <sheetViews>
    <sheetView workbookViewId="0">
      <pane ySplit="1" topLeftCell="A2" activePane="bottomLeft" state="frozen"/>
      <selection pane="bottomLeft"/>
    </sheetView>
  </sheetViews>
  <sheetFormatPr defaultRowHeight="15"/>
  <cols>
    <col min="1" max="4" width="16.7109375" customWidth="1"/>
    <col min="5" max="7" width="32.7109375" customWidth="1"/>
    <col min="8" max="12" width="16.7109375" customWidth="1"/>
    <col min="13" max="13" width="20.7109375" customWidth="1"/>
  </cols>
  <sheetData>
    <row r="1" spans="1:13">
      <c r="A1" s="7" t="s">
        <v>17</v>
      </c>
      <c r="B1" s="7" t="s">
        <v>18</v>
      </c>
      <c r="C1" s="7" t="s">
        <v>19</v>
      </c>
      <c r="D1" s="7" t="s">
        <v>20</v>
      </c>
      <c r="E1" s="7" t="s">
        <v>21</v>
      </c>
      <c r="F1" s="7" t="s">
        <v>22</v>
      </c>
      <c r="G1" s="7" t="s">
        <v>23</v>
      </c>
      <c r="H1" s="7" t="s">
        <v>24</v>
      </c>
      <c r="I1" s="7" t="s">
        <v>25</v>
      </c>
      <c r="J1" s="7" t="s">
        <v>26</v>
      </c>
      <c r="K1" s="7" t="s">
        <v>27</v>
      </c>
      <c r="L1" s="7" t="s">
        <v>28</v>
      </c>
      <c r="M1" s="7" t="s">
        <v>29</v>
      </c>
    </row>
    <row r="2" spans="1:13">
      <c r="A2" t="s">
        <v>0</v>
      </c>
      <c r="B2" t="s">
        <v>30</v>
      </c>
      <c r="C2" t="s">
        <v>31</v>
      </c>
      <c r="D2" t="s">
        <v>32</v>
      </c>
      <c r="E2" cm="1">
        <f t="array" ref="E2">_xlfn.XLOOKUP(D2,SKU_Master!A:A,SKU_Master!B:B,"Not on master")</f>
        <v>0</v>
      </c>
      <c r="F2" cm="1">
        <f t="array" ref="F2">_xlfn.XLOOKUP(C2,Account_Master!A:A,Account_Master!B:B,"Not on master")</f>
        <v>0</v>
      </c>
      <c r="G2" cm="1">
        <f t="array" ref="G2">_xlfn.XLOOKUP(C2,Account_Master!A:A,Account_Master!C:C,"Not on master")</f>
        <v>0</v>
      </c>
      <c r="H2" s="6">
        <v>18</v>
      </c>
      <c r="I2" s="6">
        <v>18</v>
      </c>
      <c r="J2" s="6">
        <f>I2-H2</f>
        <v>0</v>
      </c>
      <c r="K2" s="5">
        <f>IF(H2=0,"",J2/H2)</f>
        <v>0</v>
      </c>
      <c r="L2">
        <f>IF(OR(AND(H2=0,ABS(J2)&gt;=0.01),AND(H2&lt;&gt;0,ABS(K2)&gt;VarianceThreshold)),"Review","OK")</f>
        <v>0</v>
      </c>
      <c r="M2" t="s">
        <v>33</v>
      </c>
    </row>
    <row r="3" spans="1:13">
      <c r="A3" t="s">
        <v>0</v>
      </c>
      <c r="B3" t="s">
        <v>30</v>
      </c>
      <c r="C3" t="s">
        <v>34</v>
      </c>
      <c r="D3" t="s">
        <v>35</v>
      </c>
      <c r="E3" cm="1">
        <f t="array" ref="E3">_xlfn.XLOOKUP(D3,SKU_Master!A:A,SKU_Master!B:B,"Not on master")</f>
        <v>0</v>
      </c>
      <c r="F3" cm="1">
        <f t="array" ref="F3">_xlfn.XLOOKUP(C3,Account_Master!A:A,Account_Master!B:B,"Not on master")</f>
        <v>0</v>
      </c>
      <c r="G3" cm="1">
        <f t="array" ref="G3">_xlfn.XLOOKUP(C3,Account_Master!A:A,Account_Master!C:C,"Not on master")</f>
        <v>0</v>
      </c>
      <c r="H3" s="6">
        <v>0.75</v>
      </c>
      <c r="I3" s="6">
        <v>0.75</v>
      </c>
      <c r="J3" s="6">
        <f>I3-H3</f>
        <v>0</v>
      </c>
      <c r="K3" s="5">
        <f>IF(H3=0,"",J3/H3)</f>
        <v>0</v>
      </c>
      <c r="L3">
        <f>IF(OR(AND(H3=0,ABS(J3)&gt;=0.01),AND(H3&lt;&gt;0,ABS(K3)&gt;VarianceThreshold)),"Review","OK")</f>
        <v>0</v>
      </c>
      <c r="M3" t="s">
        <v>33</v>
      </c>
    </row>
    <row r="4" spans="1:13">
      <c r="A4" t="s">
        <v>0</v>
      </c>
      <c r="B4" t="s">
        <v>30</v>
      </c>
      <c r="C4" t="s">
        <v>31</v>
      </c>
      <c r="D4" t="s">
        <v>36</v>
      </c>
      <c r="E4" cm="1">
        <f t="array" ref="E4">_xlfn.XLOOKUP(D4,SKU_Master!A:A,SKU_Master!B:B,"Not on master")</f>
        <v>0</v>
      </c>
      <c r="F4" cm="1">
        <f t="array" ref="F4">_xlfn.XLOOKUP(C4,Account_Master!A:A,Account_Master!B:B,"Not on master")</f>
        <v>0</v>
      </c>
      <c r="G4" cm="1">
        <f t="array" ref="G4">_xlfn.XLOOKUP(C4,Account_Master!A:A,Account_Master!C:C,"Not on master")</f>
        <v>0</v>
      </c>
      <c r="H4" s="6">
        <v>28.5</v>
      </c>
      <c r="I4" s="6">
        <v>28.5</v>
      </c>
      <c r="J4" s="6">
        <f>I4-H4</f>
        <v>0</v>
      </c>
      <c r="K4" s="5">
        <f>IF(H4=0,"",J4/H4)</f>
        <v>0</v>
      </c>
      <c r="L4">
        <f>IF(OR(AND(H4=0,ABS(J4)&gt;=0.01),AND(H4&lt;&gt;0,ABS(K4)&gt;VarianceThreshold)),"Review","OK")</f>
        <v>0</v>
      </c>
      <c r="M4" t="s">
        <v>33</v>
      </c>
    </row>
    <row r="5" spans="1:13">
      <c r="A5" t="s">
        <v>0</v>
      </c>
      <c r="B5" t="s">
        <v>30</v>
      </c>
      <c r="C5" t="s">
        <v>37</v>
      </c>
      <c r="D5" t="s">
        <v>38</v>
      </c>
      <c r="E5" cm="1">
        <f t="array" ref="E5">_xlfn.XLOOKUP(D5,SKU_Master!A:A,SKU_Master!B:B,"Not on master")</f>
        <v>0</v>
      </c>
      <c r="F5" cm="1">
        <f t="array" ref="F5">_xlfn.XLOOKUP(C5,Account_Master!A:A,Account_Master!B:B,"Not on master")</f>
        <v>0</v>
      </c>
      <c r="G5" cm="1">
        <f t="array" ref="G5">_xlfn.XLOOKUP(C5,Account_Master!A:A,Account_Master!C:C,"Not on master")</f>
        <v>0</v>
      </c>
      <c r="H5" s="6">
        <v>1.5</v>
      </c>
      <c r="I5" s="6">
        <v>1.5</v>
      </c>
      <c r="J5" s="6">
        <f>I5-H5</f>
        <v>0</v>
      </c>
      <c r="K5" s="5">
        <f>IF(H5=0,"",J5/H5)</f>
        <v>0</v>
      </c>
      <c r="L5">
        <f>IF(OR(AND(H5=0,ABS(J5)&gt;=0.01),AND(H5&lt;&gt;0,ABS(K5)&gt;VarianceThreshold)),"Review","OK")</f>
        <v>0</v>
      </c>
      <c r="M5" t="s">
        <v>33</v>
      </c>
    </row>
    <row r="6" spans="1:13">
      <c r="A6" t="s">
        <v>0</v>
      </c>
      <c r="B6" t="s">
        <v>30</v>
      </c>
      <c r="C6" t="s">
        <v>31</v>
      </c>
      <c r="D6" t="s">
        <v>39</v>
      </c>
      <c r="E6" cm="1">
        <f t="array" ref="E6">_xlfn.XLOOKUP(D6,SKU_Master!A:A,SKU_Master!B:B,"Not on master")</f>
        <v>0</v>
      </c>
      <c r="F6" cm="1">
        <f t="array" ref="F6">_xlfn.XLOOKUP(C6,Account_Master!A:A,Account_Master!B:B,"Not on master")</f>
        <v>0</v>
      </c>
      <c r="G6" cm="1">
        <f t="array" ref="G6">_xlfn.XLOOKUP(C6,Account_Master!A:A,Account_Master!C:C,"Not on master")</f>
        <v>0</v>
      </c>
      <c r="H6" s="6">
        <v>30</v>
      </c>
      <c r="I6" s="6">
        <v>30</v>
      </c>
      <c r="J6" s="6">
        <f>I6-H6</f>
        <v>0</v>
      </c>
      <c r="K6" s="5">
        <f>IF(H6=0,"",J6/H6)</f>
        <v>0</v>
      </c>
      <c r="L6">
        <f>IF(OR(AND(H6=0,ABS(J6)&gt;=0.01),AND(H6&lt;&gt;0,ABS(K6)&gt;VarianceThreshold)),"Review","OK")</f>
        <v>0</v>
      </c>
      <c r="M6" t="s">
        <v>33</v>
      </c>
    </row>
    <row r="7" spans="1:13">
      <c r="A7" t="s">
        <v>0</v>
      </c>
      <c r="B7" t="s">
        <v>30</v>
      </c>
      <c r="C7" t="s">
        <v>31</v>
      </c>
      <c r="D7" t="s">
        <v>40</v>
      </c>
      <c r="E7" cm="1">
        <f t="array" ref="E7">_xlfn.XLOOKUP(D7,SKU_Master!A:A,SKU_Master!B:B,"Not on master")</f>
        <v>0</v>
      </c>
      <c r="F7" cm="1">
        <f t="array" ref="F7">_xlfn.XLOOKUP(C7,Account_Master!A:A,Account_Master!B:B,"Not on master")</f>
        <v>0</v>
      </c>
      <c r="G7" cm="1">
        <f t="array" ref="G7">_xlfn.XLOOKUP(C7,Account_Master!A:A,Account_Master!C:C,"Not on master")</f>
        <v>0</v>
      </c>
      <c r="H7" s="6">
        <v>210</v>
      </c>
      <c r="I7" s="6">
        <v>219</v>
      </c>
      <c r="J7" s="6">
        <f>I7-H7</f>
        <v>0</v>
      </c>
      <c r="K7" s="5">
        <f>IF(H7=0,"",J7/H7)</f>
        <v>0</v>
      </c>
      <c r="L7">
        <f>IF(OR(AND(H7=0,ABS(J7)&gt;=0.01),AND(H7&lt;&gt;0,ABS(K7)&gt;VarianceThreshold)),"Review","OK")</f>
        <v>0</v>
      </c>
      <c r="M7" t="s">
        <v>33</v>
      </c>
    </row>
    <row r="8" spans="1:13">
      <c r="A8" t="s">
        <v>0</v>
      </c>
      <c r="B8" t="s">
        <v>30</v>
      </c>
      <c r="C8" t="s">
        <v>41</v>
      </c>
      <c r="D8" t="s">
        <v>42</v>
      </c>
      <c r="E8" cm="1">
        <f t="array" ref="E8">_xlfn.XLOOKUP(D8,SKU_Master!A:A,SKU_Master!B:B,"Not on master")</f>
        <v>0</v>
      </c>
      <c r="F8" cm="1">
        <f t="array" ref="F8">_xlfn.XLOOKUP(C8,Account_Master!A:A,Account_Master!B:B,"Not on master")</f>
        <v>0</v>
      </c>
      <c r="G8" cm="1">
        <f t="array" ref="G8">_xlfn.XLOOKUP(C8,Account_Master!A:A,Account_Master!C:C,"Not on master")</f>
        <v>0</v>
      </c>
      <c r="H8" s="6">
        <v>15.36</v>
      </c>
      <c r="I8" s="6">
        <v>15.36</v>
      </c>
      <c r="J8" s="6">
        <f>I8-H8</f>
        <v>0</v>
      </c>
      <c r="K8" s="5">
        <f>IF(H8=0,"",J8/H8)</f>
        <v>0</v>
      </c>
      <c r="L8">
        <f>IF(OR(AND(H8=0,ABS(J8)&gt;=0.01),AND(H8&lt;&gt;0,ABS(K8)&gt;VarianceThreshold)),"Review","OK")</f>
        <v>0</v>
      </c>
      <c r="M8" t="s">
        <v>33</v>
      </c>
    </row>
    <row r="9" spans="1:13">
      <c r="A9" t="s">
        <v>0</v>
      </c>
      <c r="B9" t="s">
        <v>30</v>
      </c>
      <c r="C9" t="s">
        <v>43</v>
      </c>
      <c r="D9" t="s">
        <v>44</v>
      </c>
      <c r="E9" cm="1">
        <f t="array" ref="E9">_xlfn.XLOOKUP(D9,SKU_Master!A:A,SKU_Master!B:B,"Not on master")</f>
        <v>0</v>
      </c>
      <c r="F9" cm="1">
        <f t="array" ref="F9">_xlfn.XLOOKUP(C9,Account_Master!A:A,Account_Master!B:B,"Not on master")</f>
        <v>0</v>
      </c>
      <c r="G9" cm="1">
        <f t="array" ref="G9">_xlfn.XLOOKUP(C9,Account_Master!A:A,Account_Master!C:C,"Not on master")</f>
        <v>0</v>
      </c>
      <c r="H9" s="6">
        <v>6</v>
      </c>
      <c r="I9" s="6">
        <v>6</v>
      </c>
      <c r="J9" s="6">
        <f>I9-H9</f>
        <v>0</v>
      </c>
      <c r="K9" s="5">
        <f>IF(H9=0,"",J9/H9)</f>
        <v>0</v>
      </c>
      <c r="L9">
        <f>IF(OR(AND(H9=0,ABS(J9)&gt;=0.01),AND(H9&lt;&gt;0,ABS(K9)&gt;VarianceThreshold)),"Review","OK")</f>
        <v>0</v>
      </c>
      <c r="M9" t="s">
        <v>33</v>
      </c>
    </row>
    <row r="10" spans="1:13">
      <c r="A10" t="s">
        <v>0</v>
      </c>
      <c r="B10" t="s">
        <v>30</v>
      </c>
      <c r="C10" t="s">
        <v>45</v>
      </c>
      <c r="D10" t="s">
        <v>46</v>
      </c>
      <c r="E10" cm="1">
        <f t="array" ref="E10">_xlfn.XLOOKUP(D10,SKU_Master!A:A,SKU_Master!B:B,"Not on master")</f>
        <v>0</v>
      </c>
      <c r="F10" cm="1">
        <f t="array" ref="F10">_xlfn.XLOOKUP(C10,Account_Master!A:A,Account_Master!B:B,"Not on master")</f>
        <v>0</v>
      </c>
      <c r="G10" cm="1">
        <f t="array" ref="G10">_xlfn.XLOOKUP(C10,Account_Master!A:A,Account_Master!C:C,"Not on master")</f>
        <v>0</v>
      </c>
      <c r="H10" s="6">
        <v>0.15</v>
      </c>
      <c r="I10" s="6">
        <v>0.15</v>
      </c>
      <c r="J10" s="6">
        <f>I10-H10</f>
        <v>0</v>
      </c>
      <c r="K10" s="5">
        <f>IF(H10=0,"",J10/H10)</f>
        <v>0</v>
      </c>
      <c r="L10">
        <f>IF(OR(AND(H10=0,ABS(J10)&gt;=0.01),AND(H10&lt;&gt;0,ABS(K10)&gt;VarianceThreshold)),"Review","OK")</f>
        <v>0</v>
      </c>
      <c r="M10" t="s">
        <v>33</v>
      </c>
    </row>
    <row r="11" spans="1:13">
      <c r="A11" t="s">
        <v>0</v>
      </c>
      <c r="B11" t="s">
        <v>47</v>
      </c>
      <c r="C11" t="s">
        <v>48</v>
      </c>
      <c r="D11" t="s">
        <v>49</v>
      </c>
      <c r="E11" cm="1">
        <f t="array" ref="E11">_xlfn.XLOOKUP(D11,SKU_Master!A:A,SKU_Master!B:B,"Not on master")</f>
        <v>0</v>
      </c>
      <c r="F11" cm="1">
        <f t="array" ref="F11">_xlfn.XLOOKUP(C11,Account_Master!A:A,Account_Master!B:B,"Not on master")</f>
        <v>0</v>
      </c>
      <c r="G11" cm="1">
        <f t="array" ref="G11">_xlfn.XLOOKUP(C11,Account_Master!A:A,Account_Master!C:C,"Not on master")</f>
        <v>0</v>
      </c>
      <c r="H11" s="6">
        <v>3</v>
      </c>
      <c r="I11" s="6">
        <v>3</v>
      </c>
      <c r="J11" s="6">
        <f>I11-H11</f>
        <v>0</v>
      </c>
      <c r="K11" s="5">
        <f>IF(H11=0,"",J11/H11)</f>
        <v>0</v>
      </c>
      <c r="L11">
        <f>IF(OR(AND(H11=0,ABS(J11)&gt;=0.01),AND(H11&lt;&gt;0,ABS(K11)&gt;VarianceThreshold)),"Review","OK")</f>
        <v>0</v>
      </c>
      <c r="M11" t="s">
        <v>33</v>
      </c>
    </row>
    <row r="12" spans="1:13">
      <c r="A12" t="s">
        <v>0</v>
      </c>
      <c r="B12" t="s">
        <v>47</v>
      </c>
      <c r="C12" t="s">
        <v>50</v>
      </c>
      <c r="D12" t="s">
        <v>51</v>
      </c>
      <c r="E12" cm="1">
        <f t="array" ref="E12">_xlfn.XLOOKUP(D12,SKU_Master!A:A,SKU_Master!B:B,"Not on master")</f>
        <v>0</v>
      </c>
      <c r="F12" cm="1">
        <f t="array" ref="F12">_xlfn.XLOOKUP(C12,Account_Master!A:A,Account_Master!B:B,"Not on master")</f>
        <v>0</v>
      </c>
      <c r="G12" cm="1">
        <f t="array" ref="G12">_xlfn.XLOOKUP(C12,Account_Master!A:A,Account_Master!C:C,"Not on master")</f>
        <v>0</v>
      </c>
      <c r="H12" s="6">
        <v>38.23</v>
      </c>
      <c r="I12" s="6">
        <v>38.23</v>
      </c>
      <c r="J12" s="6">
        <f>I12-H12</f>
        <v>0</v>
      </c>
      <c r="K12" s="5">
        <f>IF(H12=0,"",J12/H12)</f>
        <v>0</v>
      </c>
      <c r="L12">
        <f>IF(OR(AND(H12=0,ABS(J12)&gt;=0.01),AND(H12&lt;&gt;0,ABS(K12)&gt;VarianceThreshold)),"Review","OK")</f>
        <v>0</v>
      </c>
      <c r="M12" t="s">
        <v>33</v>
      </c>
    </row>
    <row r="13" spans="1:13">
      <c r="A13" t="s">
        <v>0</v>
      </c>
      <c r="B13" t="s">
        <v>47</v>
      </c>
      <c r="C13" t="s">
        <v>52</v>
      </c>
      <c r="D13" t="s">
        <v>53</v>
      </c>
      <c r="E13" cm="1">
        <f t="array" ref="E13">_xlfn.XLOOKUP(D13,SKU_Master!A:A,SKU_Master!B:B,"Not on master")</f>
        <v>0</v>
      </c>
      <c r="F13" cm="1">
        <f t="array" ref="F13">_xlfn.XLOOKUP(C13,Account_Master!A:A,Account_Master!B:B,"Not on master")</f>
        <v>0</v>
      </c>
      <c r="G13" cm="1">
        <f t="array" ref="G13">_xlfn.XLOOKUP(C13,Account_Master!A:A,Account_Master!C:C,"Not on master")</f>
        <v>0</v>
      </c>
      <c r="H13" s="6">
        <v>4.8</v>
      </c>
      <c r="I13" s="6">
        <v>4.8</v>
      </c>
      <c r="J13" s="6">
        <f>I13-H13</f>
        <v>0</v>
      </c>
      <c r="K13" s="5">
        <f>IF(H13=0,"",J13/H13)</f>
        <v>0</v>
      </c>
      <c r="L13">
        <f>IF(OR(AND(H13=0,ABS(J13)&gt;=0.01),AND(H13&lt;&gt;0,ABS(K13)&gt;VarianceThreshold)),"Review","OK")</f>
        <v>0</v>
      </c>
      <c r="M13" t="s">
        <v>33</v>
      </c>
    </row>
    <row r="14" spans="1:13">
      <c r="A14" t="s">
        <v>0</v>
      </c>
      <c r="B14" t="s">
        <v>47</v>
      </c>
      <c r="C14" t="s">
        <v>54</v>
      </c>
      <c r="D14" t="s">
        <v>55</v>
      </c>
      <c r="E14" cm="1">
        <f t="array" ref="E14">_xlfn.XLOOKUP(D14,SKU_Master!A:A,SKU_Master!B:B,"Not on master")</f>
        <v>0</v>
      </c>
      <c r="F14" cm="1">
        <f t="array" ref="F14">_xlfn.XLOOKUP(C14,Account_Master!A:A,Account_Master!B:B,"Not on master")</f>
        <v>0</v>
      </c>
      <c r="G14" cm="1">
        <f t="array" ref="G14">_xlfn.XLOOKUP(C14,Account_Master!A:A,Account_Master!C:C,"Not on master")</f>
        <v>0</v>
      </c>
      <c r="H14" s="6">
        <v>45.5</v>
      </c>
      <c r="I14" s="6">
        <v>45.5</v>
      </c>
      <c r="J14" s="6">
        <f>I14-H14</f>
        <v>0</v>
      </c>
      <c r="K14" s="5">
        <f>IF(H14=0,"",J14/H14)</f>
        <v>0</v>
      </c>
      <c r="L14">
        <f>IF(OR(AND(H14=0,ABS(J14)&gt;=0.01),AND(H14&lt;&gt;0,ABS(K14)&gt;VarianceThreshold)),"Review","OK")</f>
        <v>0</v>
      </c>
      <c r="M14" t="s">
        <v>33</v>
      </c>
    </row>
    <row r="15" spans="1:13">
      <c r="A15" t="s">
        <v>0</v>
      </c>
      <c r="B15" t="s">
        <v>47</v>
      </c>
      <c r="C15" t="s">
        <v>56</v>
      </c>
      <c r="D15" t="s">
        <v>57</v>
      </c>
      <c r="E15" cm="1">
        <f t="array" ref="E15">_xlfn.XLOOKUP(D15,SKU_Master!A:A,SKU_Master!B:B,"Not on master")</f>
        <v>0</v>
      </c>
      <c r="F15" cm="1">
        <f t="array" ref="F15">_xlfn.XLOOKUP(C15,Account_Master!A:A,Account_Master!B:B,"Not on master")</f>
        <v>0</v>
      </c>
      <c r="G15" cm="1">
        <f t="array" ref="G15">_xlfn.XLOOKUP(C15,Account_Master!A:A,Account_Master!C:C,"Not on master")</f>
        <v>0</v>
      </c>
      <c r="H15" s="6">
        <v>38.25</v>
      </c>
      <c r="I15" s="6">
        <v>38.25</v>
      </c>
      <c r="J15" s="6">
        <f>I15-H15</f>
        <v>0</v>
      </c>
      <c r="K15" s="5">
        <f>IF(H15=0,"",J15/H15)</f>
        <v>0</v>
      </c>
      <c r="L15">
        <f>IF(OR(AND(H15=0,ABS(J15)&gt;=0.01),AND(H15&lt;&gt;0,ABS(K15)&gt;VarianceThreshold)),"Review","OK")</f>
        <v>0</v>
      </c>
      <c r="M15" t="s">
        <v>33</v>
      </c>
    </row>
    <row r="16" spans="1:13">
      <c r="A16" t="s">
        <v>0</v>
      </c>
      <c r="B16" t="s">
        <v>47</v>
      </c>
      <c r="C16" t="s">
        <v>43</v>
      </c>
      <c r="D16" t="s">
        <v>58</v>
      </c>
      <c r="E16" cm="1">
        <f t="array" ref="E16">_xlfn.XLOOKUP(D16,SKU_Master!A:A,SKU_Master!B:B,"Not on master")</f>
        <v>0</v>
      </c>
      <c r="F16" cm="1">
        <f t="array" ref="F16">_xlfn.XLOOKUP(C16,Account_Master!A:A,Account_Master!B:B,"Not on master")</f>
        <v>0</v>
      </c>
      <c r="G16" cm="1">
        <f t="array" ref="G16">_xlfn.XLOOKUP(C16,Account_Master!A:A,Account_Master!C:C,"Not on master")</f>
        <v>0</v>
      </c>
      <c r="H16" s="6">
        <v>18</v>
      </c>
      <c r="I16" s="6">
        <v>18</v>
      </c>
      <c r="J16" s="6">
        <f>I16-H16</f>
        <v>0</v>
      </c>
      <c r="K16" s="5">
        <f>IF(H16=0,"",J16/H16)</f>
        <v>0</v>
      </c>
      <c r="L16">
        <f>IF(OR(AND(H16=0,ABS(J16)&gt;=0.01),AND(H16&lt;&gt;0,ABS(K16)&gt;VarianceThreshold)),"Review","OK")</f>
        <v>0</v>
      </c>
      <c r="M16" t="s">
        <v>33</v>
      </c>
    </row>
    <row r="17" spans="1:13">
      <c r="A17" t="s">
        <v>0</v>
      </c>
      <c r="B17" t="s">
        <v>47</v>
      </c>
      <c r="C17" t="s">
        <v>59</v>
      </c>
      <c r="D17" t="s">
        <v>60</v>
      </c>
      <c r="E17" cm="1">
        <f t="array" ref="E17">_xlfn.XLOOKUP(D17,SKU_Master!A:A,SKU_Master!B:B,"Not on master")</f>
        <v>0</v>
      </c>
      <c r="F17" cm="1">
        <f t="array" ref="F17">_xlfn.XLOOKUP(C17,Account_Master!A:A,Account_Master!B:B,"Not on master")</f>
        <v>0</v>
      </c>
      <c r="G17" cm="1">
        <f t="array" ref="G17">_xlfn.XLOOKUP(C17,Account_Master!A:A,Account_Master!C:C,"Not on master")</f>
        <v>0</v>
      </c>
      <c r="H17" s="6">
        <v>18</v>
      </c>
      <c r="I17" s="6">
        <v>18</v>
      </c>
      <c r="J17" s="6">
        <f>I17-H17</f>
        <v>0</v>
      </c>
      <c r="K17" s="5">
        <f>IF(H17=0,"",J17/H17)</f>
        <v>0</v>
      </c>
      <c r="L17">
        <f>IF(OR(AND(H17=0,ABS(J17)&gt;=0.01),AND(H17&lt;&gt;0,ABS(K17)&gt;VarianceThreshold)),"Review","OK")</f>
        <v>0</v>
      </c>
      <c r="M17" t="s">
        <v>33</v>
      </c>
    </row>
    <row r="18" spans="1:13">
      <c r="A18" t="s">
        <v>0</v>
      </c>
      <c r="B18" t="s">
        <v>47</v>
      </c>
      <c r="C18" t="s">
        <v>59</v>
      </c>
      <c r="D18" t="s">
        <v>61</v>
      </c>
      <c r="E18" cm="1">
        <f t="array" ref="E18">_xlfn.XLOOKUP(D18,SKU_Master!A:A,SKU_Master!B:B,"Not on master")</f>
        <v>0</v>
      </c>
      <c r="F18" cm="1">
        <f t="array" ref="F18">_xlfn.XLOOKUP(C18,Account_Master!A:A,Account_Master!B:B,"Not on master")</f>
        <v>0</v>
      </c>
      <c r="G18" cm="1">
        <f t="array" ref="G18">_xlfn.XLOOKUP(C18,Account_Master!A:A,Account_Master!C:C,"Not on master")</f>
        <v>0</v>
      </c>
      <c r="H18" s="6">
        <v>4.5</v>
      </c>
      <c r="I18" s="6">
        <v>4.5</v>
      </c>
      <c r="J18" s="6">
        <f>I18-H18</f>
        <v>0</v>
      </c>
      <c r="K18" s="5">
        <f>IF(H18=0,"",J18/H18)</f>
        <v>0</v>
      </c>
      <c r="L18">
        <f>IF(OR(AND(H18=0,ABS(J18)&gt;=0.01),AND(H18&lt;&gt;0,ABS(K18)&gt;VarianceThreshold)),"Review","OK")</f>
        <v>0</v>
      </c>
      <c r="M18" t="s">
        <v>33</v>
      </c>
    </row>
    <row r="19" spans="1:13">
      <c r="A19" t="s">
        <v>0</v>
      </c>
      <c r="B19" t="s">
        <v>62</v>
      </c>
      <c r="C19" t="s">
        <v>31</v>
      </c>
      <c r="D19" t="s">
        <v>63</v>
      </c>
      <c r="E19" cm="1">
        <f t="array" ref="E19">_xlfn.XLOOKUP(D19,SKU_Master!A:A,SKU_Master!B:B,"Not on master")</f>
        <v>0</v>
      </c>
      <c r="F19" cm="1">
        <f t="array" ref="F19">_xlfn.XLOOKUP(C19,Account_Master!A:A,Account_Master!B:B,"Not on master")</f>
        <v>0</v>
      </c>
      <c r="G19" cm="1">
        <f t="array" ref="G19">_xlfn.XLOOKUP(C19,Account_Master!A:A,Account_Master!C:C,"Not on master")</f>
        <v>0</v>
      </c>
      <c r="H19" s="6">
        <v>20.25</v>
      </c>
      <c r="I19" s="6">
        <v>20.25</v>
      </c>
      <c r="J19" s="6">
        <f>I19-H19</f>
        <v>0</v>
      </c>
      <c r="K19" s="5">
        <f>IF(H19=0,"",J19/H19)</f>
        <v>0</v>
      </c>
      <c r="L19">
        <f>IF(OR(AND(H19=0,ABS(J19)&gt;=0.01),AND(H19&lt;&gt;0,ABS(K19)&gt;VarianceThreshold)),"Review","OK")</f>
        <v>0</v>
      </c>
      <c r="M19" t="s">
        <v>33</v>
      </c>
    </row>
    <row r="20" spans="1:13">
      <c r="A20" t="s">
        <v>0</v>
      </c>
      <c r="B20" t="s">
        <v>62</v>
      </c>
      <c r="C20" t="s">
        <v>64</v>
      </c>
      <c r="D20" t="s">
        <v>65</v>
      </c>
      <c r="E20" cm="1">
        <f t="array" ref="E20">_xlfn.XLOOKUP(D20,SKU_Master!A:A,SKU_Master!B:B,"Not on master")</f>
        <v>0</v>
      </c>
      <c r="F20" cm="1">
        <f t="array" ref="F20">_xlfn.XLOOKUP(C20,Account_Master!A:A,Account_Master!B:B,"Not on master")</f>
        <v>0</v>
      </c>
      <c r="G20" cm="1">
        <f t="array" ref="G20">_xlfn.XLOOKUP(C20,Account_Master!A:A,Account_Master!C:C,"Not on master")</f>
        <v>0</v>
      </c>
      <c r="H20" s="6">
        <v>1.5</v>
      </c>
      <c r="I20" s="6">
        <v>1.5</v>
      </c>
      <c r="J20" s="6">
        <f>I20-H20</f>
        <v>0</v>
      </c>
      <c r="K20" s="5">
        <f>IF(H20=0,"",J20/H20)</f>
        <v>0</v>
      </c>
      <c r="L20">
        <f>IF(OR(AND(H20=0,ABS(J20)&gt;=0.01),AND(H20&lt;&gt;0,ABS(K20)&gt;VarianceThreshold)),"Review","OK")</f>
        <v>0</v>
      </c>
      <c r="M20" t="s">
        <v>33</v>
      </c>
    </row>
    <row r="21" spans="1:13">
      <c r="A21" t="s">
        <v>0</v>
      </c>
      <c r="B21" t="s">
        <v>62</v>
      </c>
      <c r="C21" t="s">
        <v>31</v>
      </c>
      <c r="D21" t="s">
        <v>66</v>
      </c>
      <c r="E21" cm="1">
        <f t="array" ref="E21">_xlfn.XLOOKUP(D21,SKU_Master!A:A,SKU_Master!B:B,"Not on master")</f>
        <v>0</v>
      </c>
      <c r="F21" cm="1">
        <f t="array" ref="F21">_xlfn.XLOOKUP(C21,Account_Master!A:A,Account_Master!B:B,"Not on master")</f>
        <v>0</v>
      </c>
      <c r="G21" cm="1">
        <f t="array" ref="G21">_xlfn.XLOOKUP(C21,Account_Master!A:A,Account_Master!C:C,"Not on master")</f>
        <v>0</v>
      </c>
      <c r="H21" s="6">
        <v>33</v>
      </c>
      <c r="I21" s="6">
        <v>33</v>
      </c>
      <c r="J21" s="6">
        <f>I21-H21</f>
        <v>0</v>
      </c>
      <c r="K21" s="5">
        <f>IF(H21=0,"",J21/H21)</f>
        <v>0</v>
      </c>
      <c r="L21">
        <f>IF(OR(AND(H21=0,ABS(J21)&gt;=0.01),AND(H21&lt;&gt;0,ABS(K21)&gt;VarianceThreshold)),"Review","OK")</f>
        <v>0</v>
      </c>
      <c r="M21" t="s">
        <v>33</v>
      </c>
    </row>
    <row r="22" spans="1:13">
      <c r="A22" t="s">
        <v>0</v>
      </c>
      <c r="B22" t="s">
        <v>62</v>
      </c>
      <c r="C22" t="s">
        <v>67</v>
      </c>
      <c r="D22" t="s">
        <v>68</v>
      </c>
      <c r="E22" cm="1">
        <f t="array" ref="E22">_xlfn.XLOOKUP(D22,SKU_Master!A:A,SKU_Master!B:B,"Not on master")</f>
        <v>0</v>
      </c>
      <c r="F22" cm="1">
        <f t="array" ref="F22">_xlfn.XLOOKUP(C22,Account_Master!A:A,Account_Master!B:B,"Not on master")</f>
        <v>0</v>
      </c>
      <c r="G22" cm="1">
        <f t="array" ref="G22">_xlfn.XLOOKUP(C22,Account_Master!A:A,Account_Master!C:C,"Not on master")</f>
        <v>0</v>
      </c>
      <c r="H22" s="6">
        <v>1.5</v>
      </c>
      <c r="I22" s="6">
        <v>1.5</v>
      </c>
      <c r="J22" s="6">
        <f>I22-H22</f>
        <v>0</v>
      </c>
      <c r="K22" s="5">
        <f>IF(H22=0,"",J22/H22)</f>
        <v>0</v>
      </c>
      <c r="L22">
        <f>IF(OR(AND(H22=0,ABS(J22)&gt;=0.01),AND(H22&lt;&gt;0,ABS(K22)&gt;VarianceThreshold)),"Review","OK")</f>
        <v>0</v>
      </c>
      <c r="M22" t="s">
        <v>33</v>
      </c>
    </row>
    <row r="23" spans="1:13">
      <c r="A23" t="s">
        <v>0</v>
      </c>
      <c r="B23" t="s">
        <v>62</v>
      </c>
      <c r="C23" t="s">
        <v>69</v>
      </c>
      <c r="D23" t="s">
        <v>70</v>
      </c>
      <c r="E23" cm="1">
        <f t="array" ref="E23">_xlfn.XLOOKUP(D23,SKU_Master!A:A,SKU_Master!B:B,"Not on master")</f>
        <v>0</v>
      </c>
      <c r="F23" cm="1">
        <f t="array" ref="F23">_xlfn.XLOOKUP(C23,Account_Master!A:A,Account_Master!B:B,"Not on master")</f>
        <v>0</v>
      </c>
      <c r="G23" cm="1">
        <f t="array" ref="G23">_xlfn.XLOOKUP(C23,Account_Master!A:A,Account_Master!C:C,"Not on master")</f>
        <v>0</v>
      </c>
      <c r="H23" s="6">
        <v>0.6</v>
      </c>
      <c r="I23" s="6">
        <v>0.6</v>
      </c>
      <c r="J23" s="6">
        <f>I23-H23</f>
        <v>0</v>
      </c>
      <c r="K23" s="5">
        <f>IF(H23=0,"",J23/H23)</f>
        <v>0</v>
      </c>
      <c r="L23">
        <f>IF(OR(AND(H23=0,ABS(J23)&gt;=0.01),AND(H23&lt;&gt;0,ABS(K23)&gt;VarianceThreshold)),"Review","OK")</f>
        <v>0</v>
      </c>
      <c r="M23" t="s">
        <v>33</v>
      </c>
    </row>
    <row r="24" spans="1:13">
      <c r="A24" t="s">
        <v>0</v>
      </c>
      <c r="B24" t="s">
        <v>71</v>
      </c>
      <c r="C24" t="s">
        <v>72</v>
      </c>
      <c r="D24" t="s">
        <v>73</v>
      </c>
      <c r="E24" cm="1">
        <f t="array" ref="E24">_xlfn.XLOOKUP(D24,SKU_Master!A:A,SKU_Master!B:B,"Not on master")</f>
        <v>0</v>
      </c>
      <c r="F24" cm="1">
        <f t="array" ref="F24">_xlfn.XLOOKUP(C24,Account_Master!A:A,Account_Master!B:B,"Not on master")</f>
        <v>0</v>
      </c>
      <c r="G24" cm="1">
        <f t="array" ref="G24">_xlfn.XLOOKUP(C24,Account_Master!A:A,Account_Master!C:C,"Not on master")</f>
        <v>0</v>
      </c>
      <c r="H24" s="6">
        <v>3.75</v>
      </c>
      <c r="I24" s="6">
        <v>3.75</v>
      </c>
      <c r="J24" s="6">
        <f>I24-H24</f>
        <v>0</v>
      </c>
      <c r="K24" s="5">
        <f>IF(H24=0,"",J24/H24)</f>
        <v>0</v>
      </c>
      <c r="L24">
        <f>IF(OR(AND(H24=0,ABS(J24)&gt;=0.01),AND(H24&lt;&gt;0,ABS(K24)&gt;VarianceThreshold)),"Review","OK")</f>
        <v>0</v>
      </c>
      <c r="M24" t="s">
        <v>33</v>
      </c>
    </row>
    <row r="25" spans="1:13">
      <c r="A25" t="s">
        <v>0</v>
      </c>
      <c r="B25" t="s">
        <v>71</v>
      </c>
      <c r="C25" t="s">
        <v>31</v>
      </c>
      <c r="D25" t="s">
        <v>74</v>
      </c>
      <c r="E25" cm="1">
        <f t="array" ref="E25">_xlfn.XLOOKUP(D25,SKU_Master!A:A,SKU_Master!B:B,"Not on master")</f>
        <v>0</v>
      </c>
      <c r="F25" cm="1">
        <f t="array" ref="F25">_xlfn.XLOOKUP(C25,Account_Master!A:A,Account_Master!B:B,"Not on master")</f>
        <v>0</v>
      </c>
      <c r="G25" cm="1">
        <f t="array" ref="G25">_xlfn.XLOOKUP(C25,Account_Master!A:A,Account_Master!C:C,"Not on master")</f>
        <v>0</v>
      </c>
      <c r="H25" s="6">
        <v>9</v>
      </c>
      <c r="I25" s="6">
        <v>9</v>
      </c>
      <c r="J25" s="6">
        <f>I25-H25</f>
        <v>0</v>
      </c>
      <c r="K25" s="5">
        <f>IF(H25=0,"",J25/H25)</f>
        <v>0</v>
      </c>
      <c r="L25">
        <f>IF(OR(AND(H25=0,ABS(J25)&gt;=0.01),AND(H25&lt;&gt;0,ABS(K25)&gt;VarianceThreshold)),"Review","OK")</f>
        <v>0</v>
      </c>
      <c r="M25" t="s">
        <v>33</v>
      </c>
    </row>
    <row r="26" spans="1:13">
      <c r="A26" t="s">
        <v>0</v>
      </c>
      <c r="B26" t="s">
        <v>71</v>
      </c>
      <c r="C26" t="s">
        <v>59</v>
      </c>
      <c r="D26" t="s">
        <v>75</v>
      </c>
      <c r="E26" cm="1">
        <f t="array" ref="E26">_xlfn.XLOOKUP(D26,SKU_Master!A:A,SKU_Master!B:B,"Not on master")</f>
        <v>0</v>
      </c>
      <c r="F26" cm="1">
        <f t="array" ref="F26">_xlfn.XLOOKUP(C26,Account_Master!A:A,Account_Master!B:B,"Not on master")</f>
        <v>0</v>
      </c>
      <c r="G26" cm="1">
        <f t="array" ref="G26">_xlfn.XLOOKUP(C26,Account_Master!A:A,Account_Master!C:C,"Not on master")</f>
        <v>0</v>
      </c>
      <c r="H26" s="6">
        <v>271.25</v>
      </c>
      <c r="I26" s="6">
        <v>271.25</v>
      </c>
      <c r="J26" s="6">
        <f>I26-H26</f>
        <v>0</v>
      </c>
      <c r="K26" s="5">
        <f>IF(H26=0,"",J26/H26)</f>
        <v>0</v>
      </c>
      <c r="L26">
        <f>IF(OR(AND(H26=0,ABS(J26)&gt;=0.01),AND(H26&lt;&gt;0,ABS(K26)&gt;VarianceThreshold)),"Review","OK")</f>
        <v>0</v>
      </c>
      <c r="M26" t="s">
        <v>33</v>
      </c>
    </row>
    <row r="27" spans="1:13">
      <c r="A27" t="s">
        <v>0</v>
      </c>
      <c r="B27" t="s">
        <v>71</v>
      </c>
      <c r="C27" t="s">
        <v>72</v>
      </c>
      <c r="D27" t="s">
        <v>76</v>
      </c>
      <c r="E27" cm="1">
        <f t="array" ref="E27">_xlfn.XLOOKUP(D27,SKU_Master!A:A,SKU_Master!B:B,"Not on master")</f>
        <v>0</v>
      </c>
      <c r="F27" cm="1">
        <f t="array" ref="F27">_xlfn.XLOOKUP(C27,Account_Master!A:A,Account_Master!B:B,"Not on master")</f>
        <v>0</v>
      </c>
      <c r="G27" cm="1">
        <f t="array" ref="G27">_xlfn.XLOOKUP(C27,Account_Master!A:A,Account_Master!C:C,"Not on master")</f>
        <v>0</v>
      </c>
      <c r="H27" s="6">
        <v>2.25</v>
      </c>
      <c r="I27" s="6">
        <v>2.25</v>
      </c>
      <c r="J27" s="6">
        <f>I27-H27</f>
        <v>0</v>
      </c>
      <c r="K27" s="5">
        <f>IF(H27=0,"",J27/H27)</f>
        <v>0</v>
      </c>
      <c r="L27">
        <f>IF(OR(AND(H27=0,ABS(J27)&gt;=0.01),AND(H27&lt;&gt;0,ABS(K27)&gt;VarianceThreshold)),"Review","OK")</f>
        <v>0</v>
      </c>
      <c r="M27" t="s">
        <v>33</v>
      </c>
    </row>
    <row r="28" spans="1:13">
      <c r="A28" t="s">
        <v>0</v>
      </c>
      <c r="B28" t="s">
        <v>71</v>
      </c>
      <c r="C28" t="s">
        <v>77</v>
      </c>
      <c r="D28" t="s">
        <v>78</v>
      </c>
      <c r="E28" cm="1">
        <f t="array" ref="E28">_xlfn.XLOOKUP(D28,SKU_Master!A:A,SKU_Master!B:B,"Not on master")</f>
        <v>0</v>
      </c>
      <c r="F28" cm="1">
        <f t="array" ref="F28">_xlfn.XLOOKUP(C28,Account_Master!A:A,Account_Master!B:B,"Not on master")</f>
        <v>0</v>
      </c>
      <c r="G28" cm="1">
        <f t="array" ref="G28">_xlfn.XLOOKUP(C28,Account_Master!A:A,Account_Master!C:C,"Not on master")</f>
        <v>0</v>
      </c>
      <c r="H28" s="6">
        <v>12</v>
      </c>
      <c r="I28" s="6">
        <v>12</v>
      </c>
      <c r="J28" s="6">
        <f>I28-H28</f>
        <v>0</v>
      </c>
      <c r="K28" s="5">
        <f>IF(H28=0,"",J28/H28)</f>
        <v>0</v>
      </c>
      <c r="L28">
        <f>IF(OR(AND(H28=0,ABS(J28)&gt;=0.01),AND(H28&lt;&gt;0,ABS(K28)&gt;VarianceThreshold)),"Review","OK")</f>
        <v>0</v>
      </c>
      <c r="M28" t="s">
        <v>33</v>
      </c>
    </row>
    <row r="29" spans="1:13">
      <c r="A29" t="s">
        <v>0</v>
      </c>
      <c r="B29" t="s">
        <v>71</v>
      </c>
      <c r="C29" t="s">
        <v>79</v>
      </c>
      <c r="D29" t="s">
        <v>80</v>
      </c>
      <c r="E29" cm="1">
        <f t="array" ref="E29">_xlfn.XLOOKUP(D29,SKU_Master!A:A,SKU_Master!B:B,"Not on master")</f>
        <v>0</v>
      </c>
      <c r="F29" cm="1">
        <f t="array" ref="F29">_xlfn.XLOOKUP(C29,Account_Master!A:A,Account_Master!B:B,"Not on master")</f>
        <v>0</v>
      </c>
      <c r="G29" cm="1">
        <f t="array" ref="G29">_xlfn.XLOOKUP(C29,Account_Master!A:A,Account_Master!C:C,"Not on master")</f>
        <v>0</v>
      </c>
      <c r="H29" s="6">
        <v>3.5</v>
      </c>
      <c r="I29" s="6">
        <v>3.5</v>
      </c>
      <c r="J29" s="6">
        <f>I29-H29</f>
        <v>0</v>
      </c>
      <c r="K29" s="5">
        <f>IF(H29=0,"",J29/H29)</f>
        <v>0</v>
      </c>
      <c r="L29">
        <f>IF(OR(AND(H29=0,ABS(J29)&gt;=0.01),AND(H29&lt;&gt;0,ABS(K29)&gt;VarianceThreshold)),"Review","OK")</f>
        <v>0</v>
      </c>
      <c r="M29" t="s">
        <v>33</v>
      </c>
    </row>
    <row r="30" spans="1:13">
      <c r="A30" t="s">
        <v>0</v>
      </c>
      <c r="B30" t="s">
        <v>71</v>
      </c>
      <c r="C30" t="s">
        <v>59</v>
      </c>
      <c r="D30" t="s">
        <v>81</v>
      </c>
      <c r="E30" cm="1">
        <f t="array" ref="E30">_xlfn.XLOOKUP(D30,SKU_Master!A:A,SKU_Master!B:B,"Not on master")</f>
        <v>0</v>
      </c>
      <c r="F30" cm="1">
        <f t="array" ref="F30">_xlfn.XLOOKUP(C30,Account_Master!A:A,Account_Master!B:B,"Not on master")</f>
        <v>0</v>
      </c>
      <c r="G30" cm="1">
        <f t="array" ref="G30">_xlfn.XLOOKUP(C30,Account_Master!A:A,Account_Master!C:C,"Not on master")</f>
        <v>0</v>
      </c>
      <c r="H30" s="6">
        <v>27.75</v>
      </c>
      <c r="I30" s="6">
        <v>27.75</v>
      </c>
      <c r="J30" s="6">
        <f>I30-H30</f>
        <v>0</v>
      </c>
      <c r="K30" s="5">
        <f>IF(H30=0,"",J30/H30)</f>
        <v>0</v>
      </c>
      <c r="L30">
        <f>IF(OR(AND(H30=0,ABS(J30)&gt;=0.01),AND(H30&lt;&gt;0,ABS(K30)&gt;VarianceThreshold)),"Review","OK")</f>
        <v>0</v>
      </c>
      <c r="M30" t="s">
        <v>33</v>
      </c>
    </row>
    <row r="31" spans="1:13">
      <c r="A31" t="s">
        <v>0</v>
      </c>
      <c r="B31" t="s">
        <v>71</v>
      </c>
      <c r="C31" t="s">
        <v>82</v>
      </c>
      <c r="D31" t="s">
        <v>83</v>
      </c>
      <c r="E31" cm="1">
        <f t="array" ref="E31">_xlfn.XLOOKUP(D31,SKU_Master!A:A,SKU_Master!B:B,"Not on master")</f>
        <v>0</v>
      </c>
      <c r="F31" cm="1">
        <f t="array" ref="F31">_xlfn.XLOOKUP(C31,Account_Master!A:A,Account_Master!B:B,"Not on master")</f>
        <v>0</v>
      </c>
      <c r="G31" cm="1">
        <f t="array" ref="G31">_xlfn.XLOOKUP(C31,Account_Master!A:A,Account_Master!C:C,"Not on master")</f>
        <v>0</v>
      </c>
      <c r="H31" s="6">
        <v>22.5</v>
      </c>
      <c r="I31" s="6">
        <v>22.5</v>
      </c>
      <c r="J31" s="6">
        <f>I31-H31</f>
        <v>0</v>
      </c>
      <c r="K31" s="5">
        <f>IF(H31=0,"",J31/H31)</f>
        <v>0</v>
      </c>
      <c r="L31">
        <f>IF(OR(AND(H31=0,ABS(J31)&gt;=0.01),AND(H31&lt;&gt;0,ABS(K31)&gt;VarianceThreshold)),"Review","OK")</f>
        <v>0</v>
      </c>
      <c r="M31" t="s">
        <v>33</v>
      </c>
    </row>
    <row r="32" spans="1:13">
      <c r="A32" t="s">
        <v>0</v>
      </c>
      <c r="B32" t="s">
        <v>71</v>
      </c>
      <c r="C32" t="s">
        <v>84</v>
      </c>
      <c r="D32" t="s">
        <v>85</v>
      </c>
      <c r="E32" cm="1">
        <f t="array" ref="E32">_xlfn.XLOOKUP(D32,SKU_Master!A:A,SKU_Master!B:B,"Not on master")</f>
        <v>0</v>
      </c>
      <c r="F32" cm="1">
        <f t="array" ref="F32">_xlfn.XLOOKUP(C32,Account_Master!A:A,Account_Master!B:B,"Not on master")</f>
        <v>0</v>
      </c>
      <c r="G32" cm="1">
        <f t="array" ref="G32">_xlfn.XLOOKUP(C32,Account_Master!A:A,Account_Master!C:C,"Not on master")</f>
        <v>0</v>
      </c>
      <c r="H32" s="6">
        <v>4.5</v>
      </c>
      <c r="I32" s="6">
        <v>4.5</v>
      </c>
      <c r="J32" s="6">
        <f>I32-H32</f>
        <v>0</v>
      </c>
      <c r="K32" s="5">
        <f>IF(H32=0,"",J32/H32)</f>
        <v>0</v>
      </c>
      <c r="L32">
        <f>IF(OR(AND(H32=0,ABS(J32)&gt;=0.01),AND(H32&lt;&gt;0,ABS(K32)&gt;VarianceThreshold)),"Review","OK")</f>
        <v>0</v>
      </c>
      <c r="M32" t="s">
        <v>33</v>
      </c>
    </row>
    <row r="33" spans="1:13">
      <c r="A33" t="s">
        <v>0</v>
      </c>
      <c r="B33" t="s">
        <v>86</v>
      </c>
      <c r="C33" t="s">
        <v>87</v>
      </c>
      <c r="D33" t="s">
        <v>88</v>
      </c>
      <c r="E33" cm="1">
        <f t="array" ref="E33">_xlfn.XLOOKUP(D33,SKU_Master!A:A,SKU_Master!B:B,"Not on master")</f>
        <v>0</v>
      </c>
      <c r="F33" cm="1">
        <f t="array" ref="F33">_xlfn.XLOOKUP(C33,Account_Master!A:A,Account_Master!B:B,"Not on master")</f>
        <v>0</v>
      </c>
      <c r="G33" cm="1">
        <f t="array" ref="G33">_xlfn.XLOOKUP(C33,Account_Master!A:A,Account_Master!C:C,"Not on master")</f>
        <v>0</v>
      </c>
      <c r="H33" s="6">
        <v>1.5</v>
      </c>
      <c r="I33" s="6">
        <v>1.5</v>
      </c>
      <c r="J33" s="6">
        <f>I33-H33</f>
        <v>0</v>
      </c>
      <c r="K33" s="5">
        <f>IF(H33=0,"",J33/H33)</f>
        <v>0</v>
      </c>
      <c r="L33">
        <f>IF(OR(AND(H33=0,ABS(J33)&gt;=0.01),AND(H33&lt;&gt;0,ABS(K33)&gt;VarianceThreshold)),"Review","OK")</f>
        <v>0</v>
      </c>
      <c r="M33" t="s">
        <v>33</v>
      </c>
    </row>
    <row r="34" spans="1:13">
      <c r="A34" t="s">
        <v>0</v>
      </c>
      <c r="B34" t="s">
        <v>86</v>
      </c>
      <c r="C34" t="s">
        <v>72</v>
      </c>
      <c r="D34" t="s">
        <v>89</v>
      </c>
      <c r="E34" cm="1">
        <f t="array" ref="E34">_xlfn.XLOOKUP(D34,SKU_Master!A:A,SKU_Master!B:B,"Not on master")</f>
        <v>0</v>
      </c>
      <c r="F34" cm="1">
        <f t="array" ref="F34">_xlfn.XLOOKUP(C34,Account_Master!A:A,Account_Master!B:B,"Not on master")</f>
        <v>0</v>
      </c>
      <c r="G34" cm="1">
        <f t="array" ref="G34">_xlfn.XLOOKUP(C34,Account_Master!A:A,Account_Master!C:C,"Not on master")</f>
        <v>0</v>
      </c>
      <c r="H34" s="6">
        <v>3</v>
      </c>
      <c r="I34" s="6">
        <v>3</v>
      </c>
      <c r="J34" s="6">
        <f>I34-H34</f>
        <v>0</v>
      </c>
      <c r="K34" s="5">
        <f>IF(H34=0,"",J34/H34)</f>
        <v>0</v>
      </c>
      <c r="L34">
        <f>IF(OR(AND(H34=0,ABS(J34)&gt;=0.01),AND(H34&lt;&gt;0,ABS(K34)&gt;VarianceThreshold)),"Review","OK")</f>
        <v>0</v>
      </c>
      <c r="M34" t="s">
        <v>33</v>
      </c>
    </row>
    <row r="35" spans="1:13">
      <c r="A35" t="s">
        <v>0</v>
      </c>
      <c r="B35" t="s">
        <v>86</v>
      </c>
      <c r="C35" t="s">
        <v>84</v>
      </c>
      <c r="D35" t="s">
        <v>90</v>
      </c>
      <c r="E35" cm="1">
        <f t="array" ref="E35">_xlfn.XLOOKUP(D35,SKU_Master!A:A,SKU_Master!B:B,"Not on master")</f>
        <v>0</v>
      </c>
      <c r="F35" cm="1">
        <f t="array" ref="F35">_xlfn.XLOOKUP(C35,Account_Master!A:A,Account_Master!B:B,"Not on master")</f>
        <v>0</v>
      </c>
      <c r="G35" cm="1">
        <f t="array" ref="G35">_xlfn.XLOOKUP(C35,Account_Master!A:A,Account_Master!C:C,"Not on master")</f>
        <v>0</v>
      </c>
      <c r="H35" s="6">
        <v>82.25</v>
      </c>
      <c r="I35" s="6">
        <v>82.25</v>
      </c>
      <c r="J35" s="6">
        <f>I35-H35</f>
        <v>0</v>
      </c>
      <c r="K35" s="5">
        <f>IF(H35=0,"",J35/H35)</f>
        <v>0</v>
      </c>
      <c r="L35">
        <f>IF(OR(AND(H35=0,ABS(J35)&gt;=0.01),AND(H35&lt;&gt;0,ABS(K35)&gt;VarianceThreshold)),"Review","OK")</f>
        <v>0</v>
      </c>
      <c r="M35" t="s">
        <v>33</v>
      </c>
    </row>
    <row r="36" spans="1:13">
      <c r="A36" t="s">
        <v>0</v>
      </c>
      <c r="B36" t="s">
        <v>86</v>
      </c>
      <c r="C36" t="s">
        <v>91</v>
      </c>
      <c r="D36" t="s">
        <v>92</v>
      </c>
      <c r="E36" cm="1">
        <f t="array" ref="E36">_xlfn.XLOOKUP(D36,SKU_Master!A:A,SKU_Master!B:B,"Not on master")</f>
        <v>0</v>
      </c>
      <c r="F36" cm="1">
        <f t="array" ref="F36">_xlfn.XLOOKUP(C36,Account_Master!A:A,Account_Master!B:B,"Not on master")</f>
        <v>0</v>
      </c>
      <c r="G36" cm="1">
        <f t="array" ref="G36">_xlfn.XLOOKUP(C36,Account_Master!A:A,Account_Master!C:C,"Not on master")</f>
        <v>0</v>
      </c>
      <c r="H36" s="6">
        <v>1.2</v>
      </c>
      <c r="I36" s="6">
        <v>1.2</v>
      </c>
      <c r="J36" s="6">
        <f>I36-H36</f>
        <v>0</v>
      </c>
      <c r="K36" s="5">
        <f>IF(H36=0,"",J36/H36)</f>
        <v>0</v>
      </c>
      <c r="L36">
        <f>IF(OR(AND(H36=0,ABS(J36)&gt;=0.01),AND(H36&lt;&gt;0,ABS(K36)&gt;VarianceThreshold)),"Review","OK")</f>
        <v>0</v>
      </c>
      <c r="M36" t="s">
        <v>33</v>
      </c>
    </row>
    <row r="37" spans="1:13">
      <c r="A37" t="s">
        <v>0</v>
      </c>
      <c r="B37" t="s">
        <v>86</v>
      </c>
      <c r="C37" t="s">
        <v>93</v>
      </c>
      <c r="D37" t="s">
        <v>94</v>
      </c>
      <c r="E37" cm="1">
        <f t="array" ref="E37">_xlfn.XLOOKUP(D37,SKU_Master!A:A,SKU_Master!B:B,"Not on master")</f>
        <v>0</v>
      </c>
      <c r="F37" cm="1">
        <f t="array" ref="F37">_xlfn.XLOOKUP(C37,Account_Master!A:A,Account_Master!B:B,"Not on master")</f>
        <v>0</v>
      </c>
      <c r="G37" cm="1">
        <f t="array" ref="G37">_xlfn.XLOOKUP(C37,Account_Master!A:A,Account_Master!C:C,"Not on master")</f>
        <v>0</v>
      </c>
      <c r="H37" s="6">
        <v>105</v>
      </c>
      <c r="I37" s="6">
        <v>105</v>
      </c>
      <c r="J37" s="6">
        <f>I37-H37</f>
        <v>0</v>
      </c>
      <c r="K37" s="5">
        <f>IF(H37=0,"",J37/H37)</f>
        <v>0</v>
      </c>
      <c r="L37">
        <f>IF(OR(AND(H37=0,ABS(J37)&gt;=0.01),AND(H37&lt;&gt;0,ABS(K37)&gt;VarianceThreshold)),"Review","OK")</f>
        <v>0</v>
      </c>
      <c r="M37" t="s">
        <v>33</v>
      </c>
    </row>
    <row r="38" spans="1:13">
      <c r="A38" t="s">
        <v>0</v>
      </c>
      <c r="B38" t="s">
        <v>86</v>
      </c>
      <c r="C38" t="s">
        <v>95</v>
      </c>
      <c r="D38" t="s">
        <v>96</v>
      </c>
      <c r="E38" cm="1">
        <f t="array" ref="E38">_xlfn.XLOOKUP(D38,SKU_Master!A:A,SKU_Master!B:B,"Not on master")</f>
        <v>0</v>
      </c>
      <c r="F38" cm="1">
        <f t="array" ref="F38">_xlfn.XLOOKUP(C38,Account_Master!A:A,Account_Master!B:B,"Not on master")</f>
        <v>0</v>
      </c>
      <c r="G38" cm="1">
        <f t="array" ref="G38">_xlfn.XLOOKUP(C38,Account_Master!A:A,Account_Master!C:C,"Not on master")</f>
        <v>0</v>
      </c>
      <c r="H38" s="6">
        <v>1.5</v>
      </c>
      <c r="I38" s="6">
        <v>1.5</v>
      </c>
      <c r="J38" s="6">
        <f>I38-H38</f>
        <v>0</v>
      </c>
      <c r="K38" s="5">
        <f>IF(H38=0,"",J38/H38)</f>
        <v>0</v>
      </c>
      <c r="L38">
        <f>IF(OR(AND(H38=0,ABS(J38)&gt;=0.01),AND(H38&lt;&gt;0,ABS(K38)&gt;VarianceThreshold)),"Review","OK")</f>
        <v>0</v>
      </c>
      <c r="M38" t="s">
        <v>33</v>
      </c>
    </row>
    <row r="39" spans="1:13">
      <c r="A39" t="s">
        <v>0</v>
      </c>
      <c r="B39" t="s">
        <v>97</v>
      </c>
      <c r="C39" t="s">
        <v>98</v>
      </c>
      <c r="D39" t="s">
        <v>99</v>
      </c>
      <c r="E39" cm="1">
        <f t="array" ref="E39">_xlfn.XLOOKUP(D39,SKU_Master!A:A,SKU_Master!B:B,"Not on master")</f>
        <v>0</v>
      </c>
      <c r="F39" cm="1">
        <f t="array" ref="F39">_xlfn.XLOOKUP(C39,Account_Master!A:A,Account_Master!B:B,"Not on master")</f>
        <v>0</v>
      </c>
      <c r="G39" cm="1">
        <f t="array" ref="G39">_xlfn.XLOOKUP(C39,Account_Master!A:A,Account_Master!C:C,"Not on master")</f>
        <v>0</v>
      </c>
      <c r="H39" s="6">
        <v>203.25</v>
      </c>
      <c r="I39" s="6">
        <v>203.25</v>
      </c>
      <c r="J39" s="6">
        <f>I39-H39</f>
        <v>0</v>
      </c>
      <c r="K39" s="5">
        <f>IF(H39=0,"",J39/H39)</f>
        <v>0</v>
      </c>
      <c r="L39">
        <f>IF(OR(AND(H39=0,ABS(J39)&gt;=0.01),AND(H39&lt;&gt;0,ABS(K39)&gt;VarianceThreshold)),"Review","OK")</f>
        <v>0</v>
      </c>
      <c r="M39" t="s">
        <v>33</v>
      </c>
    </row>
    <row r="40" spans="1:13">
      <c r="A40" t="s">
        <v>0</v>
      </c>
      <c r="B40" t="s">
        <v>97</v>
      </c>
      <c r="C40" t="s">
        <v>77</v>
      </c>
      <c r="D40" t="s">
        <v>100</v>
      </c>
      <c r="E40" cm="1">
        <f t="array" ref="E40">_xlfn.XLOOKUP(D40,SKU_Master!A:A,SKU_Master!B:B,"Not on master")</f>
        <v>0</v>
      </c>
      <c r="F40" cm="1">
        <f t="array" ref="F40">_xlfn.XLOOKUP(C40,Account_Master!A:A,Account_Master!B:B,"Not on master")</f>
        <v>0</v>
      </c>
      <c r="G40" cm="1">
        <f t="array" ref="G40">_xlfn.XLOOKUP(C40,Account_Master!A:A,Account_Master!C:C,"Not on master")</f>
        <v>0</v>
      </c>
      <c r="H40" s="6">
        <v>9</v>
      </c>
      <c r="I40" s="6">
        <v>9</v>
      </c>
      <c r="J40" s="6">
        <f>I40-H40</f>
        <v>0</v>
      </c>
      <c r="K40" s="5">
        <f>IF(H40=0,"",J40/H40)</f>
        <v>0</v>
      </c>
      <c r="L40">
        <f>IF(OR(AND(H40=0,ABS(J40)&gt;=0.01),AND(H40&lt;&gt;0,ABS(K40)&gt;VarianceThreshold)),"Review","OK")</f>
        <v>0</v>
      </c>
      <c r="M40" t="s">
        <v>33</v>
      </c>
    </row>
    <row r="41" spans="1:13">
      <c r="A41" t="s">
        <v>0</v>
      </c>
      <c r="B41" t="s">
        <v>97</v>
      </c>
      <c r="C41" t="s">
        <v>101</v>
      </c>
      <c r="D41" t="s">
        <v>102</v>
      </c>
      <c r="E41" cm="1">
        <f t="array" ref="E41">_xlfn.XLOOKUP(D41,SKU_Master!A:A,SKU_Master!B:B,"Not on master")</f>
        <v>0</v>
      </c>
      <c r="F41" cm="1">
        <f t="array" ref="F41">_xlfn.XLOOKUP(C41,Account_Master!A:A,Account_Master!B:B,"Not on master")</f>
        <v>0</v>
      </c>
      <c r="G41" cm="1">
        <f t="array" ref="G41">_xlfn.XLOOKUP(C41,Account_Master!A:A,Account_Master!C:C,"Not on master")</f>
        <v>0</v>
      </c>
      <c r="H41" s="6">
        <v>0.1</v>
      </c>
      <c r="I41" s="6">
        <v>0.1</v>
      </c>
      <c r="J41" s="6">
        <f>I41-H41</f>
        <v>0</v>
      </c>
      <c r="K41" s="5">
        <f>IF(H41=0,"",J41/H41)</f>
        <v>0</v>
      </c>
      <c r="L41">
        <f>IF(OR(AND(H41=0,ABS(J41)&gt;=0.01),AND(H41&lt;&gt;0,ABS(K41)&gt;VarianceThreshold)),"Review","OK")</f>
        <v>0</v>
      </c>
      <c r="M41" t="s">
        <v>33</v>
      </c>
    </row>
    <row r="42" spans="1:13">
      <c r="A42" t="s">
        <v>0</v>
      </c>
      <c r="B42" t="s">
        <v>103</v>
      </c>
      <c r="C42" t="s">
        <v>104</v>
      </c>
      <c r="D42" t="s">
        <v>105</v>
      </c>
      <c r="E42" cm="1">
        <f t="array" ref="E42">_xlfn.XLOOKUP(D42,SKU_Master!A:A,SKU_Master!B:B,"Not on master")</f>
        <v>0</v>
      </c>
      <c r="F42" cm="1">
        <f t="array" ref="F42">_xlfn.XLOOKUP(C42,Account_Master!A:A,Account_Master!B:B,"Not on master")</f>
        <v>0</v>
      </c>
      <c r="G42" cm="1">
        <f t="array" ref="G42">_xlfn.XLOOKUP(C42,Account_Master!A:A,Account_Master!C:C,"Not on master")</f>
        <v>0</v>
      </c>
      <c r="H42" s="6">
        <v>0.75</v>
      </c>
      <c r="I42" s="6">
        <v>0.75</v>
      </c>
      <c r="J42" s="6">
        <f>I42-H42</f>
        <v>0</v>
      </c>
      <c r="K42" s="5">
        <f>IF(H42=0,"",J42/H42)</f>
        <v>0</v>
      </c>
      <c r="L42">
        <f>IF(OR(AND(H42=0,ABS(J42)&gt;=0.01),AND(H42&lt;&gt;0,ABS(K42)&gt;VarianceThreshold)),"Review","OK")</f>
        <v>0</v>
      </c>
      <c r="M42" t="s">
        <v>33</v>
      </c>
    </row>
    <row r="43" spans="1:13">
      <c r="A43" t="s">
        <v>0</v>
      </c>
      <c r="B43" t="s">
        <v>103</v>
      </c>
      <c r="C43" t="s">
        <v>106</v>
      </c>
      <c r="D43" t="s">
        <v>107</v>
      </c>
      <c r="E43" cm="1">
        <f t="array" ref="E43">_xlfn.XLOOKUP(D43,SKU_Master!A:A,SKU_Master!B:B,"Not on master")</f>
        <v>0</v>
      </c>
      <c r="F43" cm="1">
        <f t="array" ref="F43">_xlfn.XLOOKUP(C43,Account_Master!A:A,Account_Master!B:B,"Not on master")</f>
        <v>0</v>
      </c>
      <c r="G43" cm="1">
        <f t="array" ref="G43">_xlfn.XLOOKUP(C43,Account_Master!A:A,Account_Master!C:C,"Not on master")</f>
        <v>0</v>
      </c>
      <c r="H43" s="6">
        <v>0.7</v>
      </c>
      <c r="I43" s="6">
        <v>0.7</v>
      </c>
      <c r="J43" s="6">
        <f>I43-H43</f>
        <v>0</v>
      </c>
      <c r="K43" s="5">
        <f>IF(H43=0,"",J43/H43)</f>
        <v>0</v>
      </c>
      <c r="L43">
        <f>IF(OR(AND(H43=0,ABS(J43)&gt;=0.01),AND(H43&lt;&gt;0,ABS(K43)&gt;VarianceThreshold)),"Review","OK")</f>
        <v>0</v>
      </c>
      <c r="M43" t="s">
        <v>33</v>
      </c>
    </row>
    <row r="44" spans="1:13">
      <c r="A44" t="s">
        <v>0</v>
      </c>
      <c r="B44" t="s">
        <v>103</v>
      </c>
      <c r="C44" t="s">
        <v>108</v>
      </c>
      <c r="D44" t="s">
        <v>109</v>
      </c>
      <c r="E44" cm="1">
        <f t="array" ref="E44">_xlfn.XLOOKUP(D44,SKU_Master!A:A,SKU_Master!B:B,"Not on master")</f>
        <v>0</v>
      </c>
      <c r="F44" cm="1">
        <f t="array" ref="F44">_xlfn.XLOOKUP(C44,Account_Master!A:A,Account_Master!B:B,"Not on master")</f>
        <v>0</v>
      </c>
      <c r="G44" cm="1">
        <f t="array" ref="G44">_xlfn.XLOOKUP(C44,Account_Master!A:A,Account_Master!C:C,"Not on master")</f>
        <v>0</v>
      </c>
      <c r="H44" s="6">
        <v>14.25</v>
      </c>
      <c r="I44" s="6">
        <v>14.25</v>
      </c>
      <c r="J44" s="6">
        <f>I44-H44</f>
        <v>0</v>
      </c>
      <c r="K44" s="5">
        <f>IF(H44=0,"",J44/H44)</f>
        <v>0</v>
      </c>
      <c r="L44">
        <f>IF(OR(AND(H44=0,ABS(J44)&gt;=0.01),AND(H44&lt;&gt;0,ABS(K44)&gt;VarianceThreshold)),"Review","OK")</f>
        <v>0</v>
      </c>
      <c r="M44" t="s">
        <v>33</v>
      </c>
    </row>
    <row r="45" spans="1:13">
      <c r="A45" t="s">
        <v>0</v>
      </c>
      <c r="B45" t="s">
        <v>103</v>
      </c>
      <c r="C45" t="s">
        <v>110</v>
      </c>
      <c r="D45" t="s">
        <v>111</v>
      </c>
      <c r="E45" cm="1">
        <f t="array" ref="E45">_xlfn.XLOOKUP(D45,SKU_Master!A:A,SKU_Master!B:B,"Not on master")</f>
        <v>0</v>
      </c>
      <c r="F45" cm="1">
        <f t="array" ref="F45">_xlfn.XLOOKUP(C45,Account_Master!A:A,Account_Master!B:B,"Not on master")</f>
        <v>0</v>
      </c>
      <c r="G45" cm="1">
        <f t="array" ref="G45">_xlfn.XLOOKUP(C45,Account_Master!A:A,Account_Master!C:C,"Not on master")</f>
        <v>0</v>
      </c>
      <c r="H45" s="6">
        <v>9</v>
      </c>
      <c r="I45" s="6">
        <v>9</v>
      </c>
      <c r="J45" s="6">
        <f>I45-H45</f>
        <v>0</v>
      </c>
      <c r="K45" s="5">
        <f>IF(H45=0,"",J45/H45)</f>
        <v>0</v>
      </c>
      <c r="L45">
        <f>IF(OR(AND(H45=0,ABS(J45)&gt;=0.01),AND(H45&lt;&gt;0,ABS(K45)&gt;VarianceThreshold)),"Review","OK")</f>
        <v>0</v>
      </c>
      <c r="M45" t="s">
        <v>33</v>
      </c>
    </row>
    <row r="46" spans="1:13">
      <c r="A46" t="s">
        <v>0</v>
      </c>
      <c r="B46" t="s">
        <v>103</v>
      </c>
      <c r="C46" t="s">
        <v>31</v>
      </c>
      <c r="D46" t="s">
        <v>112</v>
      </c>
      <c r="E46" cm="1">
        <f t="array" ref="E46">_xlfn.XLOOKUP(D46,SKU_Master!A:A,SKU_Master!B:B,"Not on master")</f>
        <v>0</v>
      </c>
      <c r="F46" cm="1">
        <f t="array" ref="F46">_xlfn.XLOOKUP(C46,Account_Master!A:A,Account_Master!B:B,"Not on master")</f>
        <v>0</v>
      </c>
      <c r="G46" cm="1">
        <f t="array" ref="G46">_xlfn.XLOOKUP(C46,Account_Master!A:A,Account_Master!C:C,"Not on master")</f>
        <v>0</v>
      </c>
      <c r="H46" s="6">
        <v>4.5</v>
      </c>
      <c r="I46" s="6">
        <v>4.5</v>
      </c>
      <c r="J46" s="6">
        <f>I46-H46</f>
        <v>0</v>
      </c>
      <c r="K46" s="5">
        <f>IF(H46=0,"",J46/H46)</f>
        <v>0</v>
      </c>
      <c r="L46">
        <f>IF(OR(AND(H46=0,ABS(J46)&gt;=0.01),AND(H46&lt;&gt;0,ABS(K46)&gt;VarianceThreshold)),"Review","OK")</f>
        <v>0</v>
      </c>
      <c r="M46" t="s">
        <v>33</v>
      </c>
    </row>
    <row r="47" spans="1:13">
      <c r="A47" t="s">
        <v>0</v>
      </c>
      <c r="B47" t="s">
        <v>103</v>
      </c>
      <c r="C47" t="s">
        <v>113</v>
      </c>
      <c r="D47" t="s">
        <v>114</v>
      </c>
      <c r="E47" cm="1">
        <f t="array" ref="E47">_xlfn.XLOOKUP(D47,SKU_Master!A:A,SKU_Master!B:B,"Not on master")</f>
        <v>0</v>
      </c>
      <c r="F47" cm="1">
        <f t="array" ref="F47">_xlfn.XLOOKUP(C47,Account_Master!A:A,Account_Master!B:B,"Not on master")</f>
        <v>0</v>
      </c>
      <c r="G47" cm="1">
        <f t="array" ref="G47">_xlfn.XLOOKUP(C47,Account_Master!A:A,Account_Master!C:C,"Not on master")</f>
        <v>0</v>
      </c>
      <c r="H47" s="6">
        <v>36</v>
      </c>
      <c r="I47" s="6">
        <v>36</v>
      </c>
      <c r="J47" s="6">
        <f>I47-H47</f>
        <v>0</v>
      </c>
      <c r="K47" s="5">
        <f>IF(H47=0,"",J47/H47)</f>
        <v>0</v>
      </c>
      <c r="L47">
        <f>IF(OR(AND(H47=0,ABS(J47)&gt;=0.01),AND(H47&lt;&gt;0,ABS(K47)&gt;VarianceThreshold)),"Review","OK")</f>
        <v>0</v>
      </c>
      <c r="M47" t="s">
        <v>33</v>
      </c>
    </row>
    <row r="48" spans="1:13">
      <c r="A48" t="s">
        <v>0</v>
      </c>
      <c r="B48" t="s">
        <v>103</v>
      </c>
      <c r="C48" t="s">
        <v>115</v>
      </c>
      <c r="D48" t="s">
        <v>116</v>
      </c>
      <c r="E48" cm="1">
        <f t="array" ref="E48">_xlfn.XLOOKUP(D48,SKU_Master!A:A,SKU_Master!B:B,"Not on master")</f>
        <v>0</v>
      </c>
      <c r="F48" cm="1">
        <f t="array" ref="F48">_xlfn.XLOOKUP(C48,Account_Master!A:A,Account_Master!B:B,"Not on master")</f>
        <v>0</v>
      </c>
      <c r="G48" cm="1">
        <f t="array" ref="G48">_xlfn.XLOOKUP(C48,Account_Master!A:A,Account_Master!C:C,"Not on master")</f>
        <v>0</v>
      </c>
      <c r="H48" s="6">
        <v>9</v>
      </c>
      <c r="I48" s="6">
        <v>9</v>
      </c>
      <c r="J48" s="6">
        <f>I48-H48</f>
        <v>0</v>
      </c>
      <c r="K48" s="5">
        <f>IF(H48=0,"",J48/H48)</f>
        <v>0</v>
      </c>
      <c r="L48">
        <f>IF(OR(AND(H48=0,ABS(J48)&gt;=0.01),AND(H48&lt;&gt;0,ABS(K48)&gt;VarianceThreshold)),"Review","OK")</f>
        <v>0</v>
      </c>
      <c r="M48" t="s">
        <v>33</v>
      </c>
    </row>
    <row r="49" spans="1:13">
      <c r="A49" t="s">
        <v>0</v>
      </c>
      <c r="B49" t="s">
        <v>103</v>
      </c>
      <c r="C49" t="s">
        <v>117</v>
      </c>
      <c r="D49" t="s">
        <v>118</v>
      </c>
      <c r="E49" cm="1">
        <f t="array" ref="E49">_xlfn.XLOOKUP(D49,SKU_Master!A:A,SKU_Master!B:B,"Not on master")</f>
        <v>0</v>
      </c>
      <c r="F49" cm="1">
        <f t="array" ref="F49">_xlfn.XLOOKUP(C49,Account_Master!A:A,Account_Master!B:B,"Not on master")</f>
        <v>0</v>
      </c>
      <c r="G49" cm="1">
        <f t="array" ref="G49">_xlfn.XLOOKUP(C49,Account_Master!A:A,Account_Master!C:C,"Not on master")</f>
        <v>0</v>
      </c>
      <c r="H49" s="6">
        <v>0.55</v>
      </c>
      <c r="I49" s="6">
        <v>0.55</v>
      </c>
      <c r="J49" s="6">
        <f>I49-H49</f>
        <v>0</v>
      </c>
      <c r="K49" s="5">
        <f>IF(H49=0,"",J49/H49)</f>
        <v>0</v>
      </c>
      <c r="L49">
        <f>IF(OR(AND(H49=0,ABS(J49)&gt;=0.01),AND(H49&lt;&gt;0,ABS(K49)&gt;VarianceThreshold)),"Review","OK")</f>
        <v>0</v>
      </c>
      <c r="M49" t="s">
        <v>33</v>
      </c>
    </row>
    <row r="50" spans="1:13">
      <c r="A50" t="s">
        <v>0</v>
      </c>
      <c r="B50" t="s">
        <v>103</v>
      </c>
      <c r="C50" t="s">
        <v>110</v>
      </c>
      <c r="D50" t="s">
        <v>119</v>
      </c>
      <c r="E50" cm="1">
        <f t="array" ref="E50">_xlfn.XLOOKUP(D50,SKU_Master!A:A,SKU_Master!B:B,"Not on master")</f>
        <v>0</v>
      </c>
      <c r="F50" cm="1">
        <f t="array" ref="F50">_xlfn.XLOOKUP(C50,Account_Master!A:A,Account_Master!B:B,"Not on master")</f>
        <v>0</v>
      </c>
      <c r="G50" cm="1">
        <f t="array" ref="G50">_xlfn.XLOOKUP(C50,Account_Master!A:A,Account_Master!C:C,"Not on master")</f>
        <v>0</v>
      </c>
      <c r="H50" s="6">
        <v>96.75</v>
      </c>
      <c r="I50" s="6">
        <v>96.75</v>
      </c>
      <c r="J50" s="6">
        <f>I50-H50</f>
        <v>0</v>
      </c>
      <c r="K50" s="5">
        <f>IF(H50=0,"",J50/H50)</f>
        <v>0</v>
      </c>
      <c r="L50">
        <f>IF(OR(AND(H50=0,ABS(J50)&gt;=0.01),AND(H50&lt;&gt;0,ABS(K50)&gt;VarianceThreshold)),"Review","OK")</f>
        <v>0</v>
      </c>
      <c r="M50" t="s">
        <v>33</v>
      </c>
    </row>
    <row r="51" spans="1:13">
      <c r="A51" t="s">
        <v>0</v>
      </c>
      <c r="B51" t="s">
        <v>103</v>
      </c>
      <c r="C51" t="s">
        <v>37</v>
      </c>
      <c r="D51" t="s">
        <v>120</v>
      </c>
      <c r="E51" cm="1">
        <f t="array" ref="E51">_xlfn.XLOOKUP(D51,SKU_Master!A:A,SKU_Master!B:B,"Not on master")</f>
        <v>0</v>
      </c>
      <c r="F51" cm="1">
        <f t="array" ref="F51">_xlfn.XLOOKUP(C51,Account_Master!A:A,Account_Master!B:B,"Not on master")</f>
        <v>0</v>
      </c>
      <c r="G51" cm="1">
        <f t="array" ref="G51">_xlfn.XLOOKUP(C51,Account_Master!A:A,Account_Master!C:C,"Not on master")</f>
        <v>0</v>
      </c>
      <c r="H51" s="6">
        <v>11.25</v>
      </c>
      <c r="I51" s="6">
        <v>11.25</v>
      </c>
      <c r="J51" s="6">
        <f>I51-H51</f>
        <v>0</v>
      </c>
      <c r="K51" s="5">
        <f>IF(H51=0,"",J51/H51)</f>
        <v>0</v>
      </c>
      <c r="L51">
        <f>IF(OR(AND(H51=0,ABS(J51)&gt;=0.01),AND(H51&lt;&gt;0,ABS(K51)&gt;VarianceThreshold)),"Review","OK")</f>
        <v>0</v>
      </c>
      <c r="M51" t="s">
        <v>33</v>
      </c>
    </row>
    <row r="52" spans="1:13">
      <c r="A52" t="s">
        <v>0</v>
      </c>
      <c r="B52" t="s">
        <v>121</v>
      </c>
      <c r="C52" t="s">
        <v>59</v>
      </c>
      <c r="D52" t="s">
        <v>122</v>
      </c>
      <c r="E52" cm="1">
        <f t="array" ref="E52">_xlfn.XLOOKUP(D52,SKU_Master!A:A,SKU_Master!B:B,"Not on master")</f>
        <v>0</v>
      </c>
      <c r="F52" cm="1">
        <f t="array" ref="F52">_xlfn.XLOOKUP(C52,Account_Master!A:A,Account_Master!B:B,"Not on master")</f>
        <v>0</v>
      </c>
      <c r="G52" cm="1">
        <f t="array" ref="G52">_xlfn.XLOOKUP(C52,Account_Master!A:A,Account_Master!C:C,"Not on master")</f>
        <v>0</v>
      </c>
      <c r="H52" s="6">
        <v>15.6</v>
      </c>
      <c r="I52" s="6">
        <v>15.6</v>
      </c>
      <c r="J52" s="6">
        <f>I52-H52</f>
        <v>0</v>
      </c>
      <c r="K52" s="5">
        <f>IF(H52=0,"",J52/H52)</f>
        <v>0</v>
      </c>
      <c r="L52">
        <f>IF(OR(AND(H52=0,ABS(J52)&gt;=0.01),AND(H52&lt;&gt;0,ABS(K52)&gt;VarianceThreshold)),"Review","OK")</f>
        <v>0</v>
      </c>
      <c r="M52" t="s">
        <v>33</v>
      </c>
    </row>
    <row r="53" spans="1:13">
      <c r="A53" t="s">
        <v>0</v>
      </c>
      <c r="B53" t="s">
        <v>121</v>
      </c>
      <c r="C53" t="s">
        <v>123</v>
      </c>
      <c r="D53" t="s">
        <v>124</v>
      </c>
      <c r="E53" cm="1">
        <f t="array" ref="E53">_xlfn.XLOOKUP(D53,SKU_Master!A:A,SKU_Master!B:B,"Not on master")</f>
        <v>0</v>
      </c>
      <c r="F53" cm="1">
        <f t="array" ref="F53">_xlfn.XLOOKUP(C53,Account_Master!A:A,Account_Master!B:B,"Not on master")</f>
        <v>0</v>
      </c>
      <c r="G53" cm="1">
        <f t="array" ref="G53">_xlfn.XLOOKUP(C53,Account_Master!A:A,Account_Master!C:C,"Not on master")</f>
        <v>0</v>
      </c>
      <c r="H53" s="6">
        <v>24.75</v>
      </c>
      <c r="I53" s="6">
        <v>24.75</v>
      </c>
      <c r="J53" s="6">
        <f>I53-H53</f>
        <v>0</v>
      </c>
      <c r="K53" s="5">
        <f>IF(H53=0,"",J53/H53)</f>
        <v>0</v>
      </c>
      <c r="L53">
        <f>IF(OR(AND(H53=0,ABS(J53)&gt;=0.01),AND(H53&lt;&gt;0,ABS(K53)&gt;VarianceThreshold)),"Review","OK")</f>
        <v>0</v>
      </c>
      <c r="M53" t="s">
        <v>33</v>
      </c>
    </row>
    <row r="54" spans="1:13">
      <c r="A54" t="s">
        <v>0</v>
      </c>
      <c r="B54" t="s">
        <v>121</v>
      </c>
      <c r="C54" t="s">
        <v>43</v>
      </c>
      <c r="D54" t="s">
        <v>125</v>
      </c>
      <c r="E54" cm="1">
        <f t="array" ref="E54">_xlfn.XLOOKUP(D54,SKU_Master!A:A,SKU_Master!B:B,"Not on master")</f>
        <v>0</v>
      </c>
      <c r="F54" cm="1">
        <f t="array" ref="F54">_xlfn.XLOOKUP(C54,Account_Master!A:A,Account_Master!B:B,"Not on master")</f>
        <v>0</v>
      </c>
      <c r="G54" cm="1">
        <f t="array" ref="G54">_xlfn.XLOOKUP(C54,Account_Master!A:A,Account_Master!C:C,"Not on master")</f>
        <v>0</v>
      </c>
      <c r="H54" s="6">
        <v>96.25</v>
      </c>
      <c r="I54" s="6">
        <v>96.25</v>
      </c>
      <c r="J54" s="6">
        <f>I54-H54</f>
        <v>0</v>
      </c>
      <c r="K54" s="5">
        <f>IF(H54=0,"",J54/H54)</f>
        <v>0</v>
      </c>
      <c r="L54">
        <f>IF(OR(AND(H54=0,ABS(J54)&gt;=0.01),AND(H54&lt;&gt;0,ABS(K54)&gt;VarianceThreshold)),"Review","OK")</f>
        <v>0</v>
      </c>
      <c r="M54" t="s">
        <v>33</v>
      </c>
    </row>
    <row r="55" spans="1:13">
      <c r="A55" t="s">
        <v>0</v>
      </c>
      <c r="B55" t="s">
        <v>121</v>
      </c>
      <c r="C55" t="s">
        <v>126</v>
      </c>
      <c r="D55" t="s">
        <v>127</v>
      </c>
      <c r="E55" cm="1">
        <f t="array" ref="E55">_xlfn.XLOOKUP(D55,SKU_Master!A:A,SKU_Master!B:B,"Not on master")</f>
        <v>0</v>
      </c>
      <c r="F55" cm="1">
        <f t="array" ref="F55">_xlfn.XLOOKUP(C55,Account_Master!A:A,Account_Master!B:B,"Not on master")</f>
        <v>0</v>
      </c>
      <c r="G55" cm="1">
        <f t="array" ref="G55">_xlfn.XLOOKUP(C55,Account_Master!A:A,Account_Master!C:C,"Not on master")</f>
        <v>0</v>
      </c>
      <c r="H55" s="6">
        <v>329.25</v>
      </c>
      <c r="I55" s="6">
        <v>329.25</v>
      </c>
      <c r="J55" s="6">
        <f>I55-H55</f>
        <v>0</v>
      </c>
      <c r="K55" s="5">
        <f>IF(H55=0,"",J55/H55)</f>
        <v>0</v>
      </c>
      <c r="L55">
        <f>IF(OR(AND(H55=0,ABS(J55)&gt;=0.01),AND(H55&lt;&gt;0,ABS(K55)&gt;VarianceThreshold)),"Review","OK")</f>
        <v>0</v>
      </c>
      <c r="M55" t="s">
        <v>33</v>
      </c>
    </row>
    <row r="56" spans="1:13">
      <c r="A56" t="s">
        <v>0</v>
      </c>
      <c r="B56" t="s">
        <v>121</v>
      </c>
      <c r="C56" t="s">
        <v>128</v>
      </c>
      <c r="D56" t="s">
        <v>129</v>
      </c>
      <c r="E56" cm="1">
        <f t="array" ref="E56">_xlfn.XLOOKUP(D56,SKU_Master!A:A,SKU_Master!B:B,"Not on master")</f>
        <v>0</v>
      </c>
      <c r="F56" cm="1">
        <f t="array" ref="F56">_xlfn.XLOOKUP(C56,Account_Master!A:A,Account_Master!B:B,"Not on master")</f>
        <v>0</v>
      </c>
      <c r="G56" cm="1">
        <f t="array" ref="G56">_xlfn.XLOOKUP(C56,Account_Master!A:A,Account_Master!C:C,"Not on master")</f>
        <v>0</v>
      </c>
      <c r="H56" s="6">
        <v>5.25</v>
      </c>
      <c r="I56" s="6">
        <v>5.25</v>
      </c>
      <c r="J56" s="6">
        <f>I56-H56</f>
        <v>0</v>
      </c>
      <c r="K56" s="5">
        <f>IF(H56=0,"",J56/H56)</f>
        <v>0</v>
      </c>
      <c r="L56">
        <f>IF(OR(AND(H56=0,ABS(J56)&gt;=0.01),AND(H56&lt;&gt;0,ABS(K56)&gt;VarianceThreshold)),"Review","OK")</f>
        <v>0</v>
      </c>
      <c r="M56" t="s">
        <v>33</v>
      </c>
    </row>
    <row r="57" spans="1:13">
      <c r="A57" t="s">
        <v>0</v>
      </c>
      <c r="B57" t="s">
        <v>121</v>
      </c>
      <c r="C57" t="s">
        <v>52</v>
      </c>
      <c r="D57" t="s">
        <v>130</v>
      </c>
      <c r="E57" cm="1">
        <f t="array" ref="E57">_xlfn.XLOOKUP(D57,SKU_Master!A:A,SKU_Master!B:B,"Not on master")</f>
        <v>0</v>
      </c>
      <c r="F57" cm="1">
        <f t="array" ref="F57">_xlfn.XLOOKUP(C57,Account_Master!A:A,Account_Master!B:B,"Not on master")</f>
        <v>0</v>
      </c>
      <c r="G57" cm="1">
        <f t="array" ref="G57">_xlfn.XLOOKUP(C57,Account_Master!A:A,Account_Master!C:C,"Not on master")</f>
        <v>0</v>
      </c>
      <c r="H57" s="6">
        <v>9.6</v>
      </c>
      <c r="I57" s="6">
        <v>9.6</v>
      </c>
      <c r="J57" s="6">
        <f>I57-H57</f>
        <v>0</v>
      </c>
      <c r="K57" s="5">
        <f>IF(H57=0,"",J57/H57)</f>
        <v>0</v>
      </c>
      <c r="L57">
        <f>IF(OR(AND(H57=0,ABS(J57)&gt;=0.01),AND(H57&lt;&gt;0,ABS(K57)&gt;VarianceThreshold)),"Review","OK")</f>
        <v>0</v>
      </c>
      <c r="M57" t="s">
        <v>33</v>
      </c>
    </row>
    <row r="58" spans="1:13">
      <c r="A58" t="s">
        <v>0</v>
      </c>
      <c r="B58" t="s">
        <v>121</v>
      </c>
      <c r="C58" t="s">
        <v>106</v>
      </c>
      <c r="D58" t="s">
        <v>131</v>
      </c>
      <c r="E58" cm="1">
        <f t="array" ref="E58">_xlfn.XLOOKUP(D58,SKU_Master!A:A,SKU_Master!B:B,"Not on master")</f>
        <v>0</v>
      </c>
      <c r="F58" cm="1">
        <f t="array" ref="F58">_xlfn.XLOOKUP(C58,Account_Master!A:A,Account_Master!B:B,"Not on master")</f>
        <v>0</v>
      </c>
      <c r="G58" cm="1">
        <f t="array" ref="G58">_xlfn.XLOOKUP(C58,Account_Master!A:A,Account_Master!C:C,"Not on master")</f>
        <v>0</v>
      </c>
      <c r="H58" s="6">
        <v>7.5</v>
      </c>
      <c r="I58" s="6">
        <v>7.5</v>
      </c>
      <c r="J58" s="6">
        <f>I58-H58</f>
        <v>0</v>
      </c>
      <c r="K58" s="5">
        <f>IF(H58=0,"",J58/H58)</f>
        <v>0</v>
      </c>
      <c r="L58">
        <f>IF(OR(AND(H58=0,ABS(J58)&gt;=0.01),AND(H58&lt;&gt;0,ABS(K58)&gt;VarianceThreshold)),"Review","OK")</f>
        <v>0</v>
      </c>
      <c r="M58" t="s">
        <v>33</v>
      </c>
    </row>
    <row r="59" spans="1:13">
      <c r="A59" t="s">
        <v>0</v>
      </c>
      <c r="B59" t="s">
        <v>121</v>
      </c>
      <c r="C59" t="s">
        <v>110</v>
      </c>
      <c r="D59" t="s">
        <v>132</v>
      </c>
      <c r="E59" cm="1">
        <f t="array" ref="E59">_xlfn.XLOOKUP(D59,SKU_Master!A:A,SKU_Master!B:B,"Not on master")</f>
        <v>0</v>
      </c>
      <c r="F59" cm="1">
        <f t="array" ref="F59">_xlfn.XLOOKUP(C59,Account_Master!A:A,Account_Master!B:B,"Not on master")</f>
        <v>0</v>
      </c>
      <c r="G59" cm="1">
        <f t="array" ref="G59">_xlfn.XLOOKUP(C59,Account_Master!A:A,Account_Master!C:C,"Not on master")</f>
        <v>0</v>
      </c>
      <c r="H59" s="6">
        <v>62</v>
      </c>
      <c r="I59" s="6">
        <v>62</v>
      </c>
      <c r="J59" s="6">
        <f>I59-H59</f>
        <v>0</v>
      </c>
      <c r="K59" s="5">
        <f>IF(H59=0,"",J59/H59)</f>
        <v>0</v>
      </c>
      <c r="L59">
        <f>IF(OR(AND(H59=0,ABS(J59)&gt;=0.01),AND(H59&lt;&gt;0,ABS(K59)&gt;VarianceThreshold)),"Review","OK")</f>
        <v>0</v>
      </c>
      <c r="M59" t="s">
        <v>33</v>
      </c>
    </row>
    <row r="60" spans="1:13">
      <c r="A60" t="s">
        <v>0</v>
      </c>
      <c r="B60" t="s">
        <v>121</v>
      </c>
      <c r="C60" t="s">
        <v>31</v>
      </c>
      <c r="D60" t="s">
        <v>133</v>
      </c>
      <c r="E60" cm="1">
        <f t="array" ref="E60">_xlfn.XLOOKUP(D60,SKU_Master!A:A,SKU_Master!B:B,"Not on master")</f>
        <v>0</v>
      </c>
      <c r="F60" cm="1">
        <f t="array" ref="F60">_xlfn.XLOOKUP(C60,Account_Master!A:A,Account_Master!B:B,"Not on master")</f>
        <v>0</v>
      </c>
      <c r="G60" cm="1">
        <f t="array" ref="G60">_xlfn.XLOOKUP(C60,Account_Master!A:A,Account_Master!C:C,"Not on master")</f>
        <v>0</v>
      </c>
      <c r="H60" s="6">
        <v>9</v>
      </c>
      <c r="I60" s="6">
        <v>9</v>
      </c>
      <c r="J60" s="6">
        <f>I60-H60</f>
        <v>0</v>
      </c>
      <c r="K60" s="5">
        <f>IF(H60=0,"",J60/H60)</f>
        <v>0</v>
      </c>
      <c r="L60">
        <f>IF(OR(AND(H60=0,ABS(J60)&gt;=0.01),AND(H60&lt;&gt;0,ABS(K60)&gt;VarianceThreshold)),"Review","OK")</f>
        <v>0</v>
      </c>
      <c r="M60" t="s">
        <v>33</v>
      </c>
    </row>
    <row r="61" spans="1:13">
      <c r="A61" t="s">
        <v>0</v>
      </c>
      <c r="B61" t="s">
        <v>134</v>
      </c>
      <c r="C61" t="s">
        <v>135</v>
      </c>
      <c r="D61" t="s">
        <v>136</v>
      </c>
      <c r="E61" cm="1">
        <f t="array" ref="E61">_xlfn.XLOOKUP(D61,SKU_Master!A:A,SKU_Master!B:B,"Not on master")</f>
        <v>0</v>
      </c>
      <c r="F61" cm="1">
        <f t="array" ref="F61">_xlfn.XLOOKUP(C61,Account_Master!A:A,Account_Master!B:B,"Not on master")</f>
        <v>0</v>
      </c>
      <c r="G61" cm="1">
        <f t="array" ref="G61">_xlfn.XLOOKUP(C61,Account_Master!A:A,Account_Master!C:C,"Not on master")</f>
        <v>0</v>
      </c>
      <c r="H61" s="6">
        <v>269.5</v>
      </c>
      <c r="I61" s="6">
        <v>269.5</v>
      </c>
      <c r="J61" s="6">
        <f>I61-H61</f>
        <v>0</v>
      </c>
      <c r="K61" s="5">
        <f>IF(H61=0,"",J61/H61)</f>
        <v>0</v>
      </c>
      <c r="L61">
        <f>IF(OR(AND(H61=0,ABS(J61)&gt;=0.01),AND(H61&lt;&gt;0,ABS(K61)&gt;VarianceThreshold)),"Review","OK")</f>
        <v>0</v>
      </c>
      <c r="M61" t="s">
        <v>33</v>
      </c>
    </row>
    <row r="62" spans="1:13">
      <c r="A62" t="s">
        <v>0</v>
      </c>
      <c r="B62" t="s">
        <v>134</v>
      </c>
      <c r="C62" t="s">
        <v>31</v>
      </c>
      <c r="D62" t="s">
        <v>137</v>
      </c>
      <c r="E62" cm="1">
        <f t="array" ref="E62">_xlfn.XLOOKUP(D62,SKU_Master!A:A,SKU_Master!B:B,"Not on master")</f>
        <v>0</v>
      </c>
      <c r="F62" cm="1">
        <f t="array" ref="F62">_xlfn.XLOOKUP(C62,Account_Master!A:A,Account_Master!B:B,"Not on master")</f>
        <v>0</v>
      </c>
      <c r="G62" cm="1">
        <f t="array" ref="G62">_xlfn.XLOOKUP(C62,Account_Master!A:A,Account_Master!C:C,"Not on master")</f>
        <v>0</v>
      </c>
      <c r="H62" s="6">
        <v>168</v>
      </c>
      <c r="I62" s="6">
        <v>168</v>
      </c>
      <c r="J62" s="6">
        <f>I62-H62</f>
        <v>0</v>
      </c>
      <c r="K62" s="5">
        <f>IF(H62=0,"",J62/H62)</f>
        <v>0</v>
      </c>
      <c r="L62">
        <f>IF(OR(AND(H62=0,ABS(J62)&gt;=0.01),AND(H62&lt;&gt;0,ABS(K62)&gt;VarianceThreshold)),"Review","OK")</f>
        <v>0</v>
      </c>
      <c r="M62" t="s">
        <v>33</v>
      </c>
    </row>
    <row r="63" spans="1:13">
      <c r="A63" t="s">
        <v>0</v>
      </c>
      <c r="B63" t="s">
        <v>134</v>
      </c>
      <c r="C63" t="s">
        <v>138</v>
      </c>
      <c r="D63" t="s">
        <v>139</v>
      </c>
      <c r="E63" cm="1">
        <f t="array" ref="E63">_xlfn.XLOOKUP(D63,SKU_Master!A:A,SKU_Master!B:B,"Not on master")</f>
        <v>0</v>
      </c>
      <c r="F63" cm="1">
        <f t="array" ref="F63">_xlfn.XLOOKUP(C63,Account_Master!A:A,Account_Master!B:B,"Not on master")</f>
        <v>0</v>
      </c>
      <c r="G63" cm="1">
        <f t="array" ref="G63">_xlfn.XLOOKUP(C63,Account_Master!A:A,Account_Master!C:C,"Not on master")</f>
        <v>0</v>
      </c>
      <c r="H63" s="6">
        <v>3</v>
      </c>
      <c r="I63" s="6">
        <v>3</v>
      </c>
      <c r="J63" s="6">
        <f>I63-H63</f>
        <v>0</v>
      </c>
      <c r="K63" s="5">
        <f>IF(H63=0,"",J63/H63)</f>
        <v>0</v>
      </c>
      <c r="L63">
        <f>IF(OR(AND(H63=0,ABS(J63)&gt;=0.01),AND(H63&lt;&gt;0,ABS(K63)&gt;VarianceThreshold)),"Review","OK")</f>
        <v>0</v>
      </c>
      <c r="M63" t="s">
        <v>33</v>
      </c>
    </row>
    <row r="64" spans="1:13">
      <c r="A64" t="s">
        <v>0</v>
      </c>
      <c r="B64" t="s">
        <v>134</v>
      </c>
      <c r="C64" t="s">
        <v>140</v>
      </c>
      <c r="D64" t="s">
        <v>141</v>
      </c>
      <c r="E64" cm="1">
        <f t="array" ref="E64">_xlfn.XLOOKUP(D64,SKU_Master!A:A,SKU_Master!B:B,"Not on master")</f>
        <v>0</v>
      </c>
      <c r="F64" cm="1">
        <f t="array" ref="F64">_xlfn.XLOOKUP(C64,Account_Master!A:A,Account_Master!B:B,"Not on master")</f>
        <v>0</v>
      </c>
      <c r="G64" cm="1">
        <f t="array" ref="G64">_xlfn.XLOOKUP(C64,Account_Master!A:A,Account_Master!C:C,"Not on master")</f>
        <v>0</v>
      </c>
      <c r="H64" s="6">
        <v>13.5</v>
      </c>
      <c r="I64" s="6">
        <v>13.5</v>
      </c>
      <c r="J64" s="6">
        <f>I64-H64</f>
        <v>0</v>
      </c>
      <c r="K64" s="5">
        <f>IF(H64=0,"",J64/H64)</f>
        <v>0</v>
      </c>
      <c r="L64">
        <f>IF(OR(AND(H64=0,ABS(J64)&gt;=0.01),AND(H64&lt;&gt;0,ABS(K64)&gt;VarianceThreshold)),"Review","OK")</f>
        <v>0</v>
      </c>
      <c r="M64" t="s">
        <v>33</v>
      </c>
    </row>
    <row r="65" spans="1:13">
      <c r="A65" t="s">
        <v>0</v>
      </c>
      <c r="B65" t="s">
        <v>134</v>
      </c>
      <c r="C65" t="s">
        <v>110</v>
      </c>
      <c r="D65" t="s">
        <v>142</v>
      </c>
      <c r="E65" cm="1">
        <f t="array" ref="E65">_xlfn.XLOOKUP(D65,SKU_Master!A:A,SKU_Master!B:B,"Not on master")</f>
        <v>0</v>
      </c>
      <c r="F65" cm="1">
        <f t="array" ref="F65">_xlfn.XLOOKUP(C65,Account_Master!A:A,Account_Master!B:B,"Not on master")</f>
        <v>0</v>
      </c>
      <c r="G65" cm="1">
        <f t="array" ref="G65">_xlfn.XLOOKUP(C65,Account_Master!A:A,Account_Master!C:C,"Not on master")</f>
        <v>0</v>
      </c>
      <c r="H65" s="6">
        <v>10.5</v>
      </c>
      <c r="I65" s="6">
        <v>10.5</v>
      </c>
      <c r="J65" s="6">
        <f>I65-H65</f>
        <v>0</v>
      </c>
      <c r="K65" s="5">
        <f>IF(H65=0,"",J65/H65)</f>
        <v>0</v>
      </c>
      <c r="L65">
        <f>IF(OR(AND(H65=0,ABS(J65)&gt;=0.01),AND(H65&lt;&gt;0,ABS(K65)&gt;VarianceThreshold)),"Review","OK")</f>
        <v>0</v>
      </c>
      <c r="M65" t="s">
        <v>33</v>
      </c>
    </row>
    <row r="66" spans="1:13">
      <c r="A66" t="s">
        <v>0</v>
      </c>
      <c r="B66" t="s">
        <v>143</v>
      </c>
      <c r="C66" t="s">
        <v>41</v>
      </c>
      <c r="D66" t="s">
        <v>144</v>
      </c>
      <c r="E66" cm="1">
        <f t="array" ref="E66">_xlfn.XLOOKUP(D66,SKU_Master!A:A,SKU_Master!B:B,"Not on master")</f>
        <v>0</v>
      </c>
      <c r="F66" cm="1">
        <f t="array" ref="F66">_xlfn.XLOOKUP(C66,Account_Master!A:A,Account_Master!B:B,"Not on master")</f>
        <v>0</v>
      </c>
      <c r="G66" cm="1">
        <f t="array" ref="G66">_xlfn.XLOOKUP(C66,Account_Master!A:A,Account_Master!C:C,"Not on master")</f>
        <v>0</v>
      </c>
      <c r="H66" s="6">
        <v>9</v>
      </c>
      <c r="I66" s="6">
        <v>9</v>
      </c>
      <c r="J66" s="6">
        <f>I66-H66</f>
        <v>0</v>
      </c>
      <c r="K66" s="5">
        <f>IF(H66=0,"",J66/H66)</f>
        <v>0</v>
      </c>
      <c r="L66">
        <f>IF(OR(AND(H66=0,ABS(J66)&gt;=0.01),AND(H66&lt;&gt;0,ABS(K66)&gt;VarianceThreshold)),"Review","OK")</f>
        <v>0</v>
      </c>
      <c r="M66" t="s">
        <v>33</v>
      </c>
    </row>
    <row r="67" spans="1:13">
      <c r="A67" t="s">
        <v>0</v>
      </c>
      <c r="B67" t="s">
        <v>143</v>
      </c>
      <c r="C67" t="s">
        <v>145</v>
      </c>
      <c r="D67" t="s">
        <v>146</v>
      </c>
      <c r="E67" cm="1">
        <f t="array" ref="E67">_xlfn.XLOOKUP(D67,SKU_Master!A:A,SKU_Master!B:B,"Not on master")</f>
        <v>0</v>
      </c>
      <c r="F67" cm="1">
        <f t="array" ref="F67">_xlfn.XLOOKUP(C67,Account_Master!A:A,Account_Master!B:B,"Not on master")</f>
        <v>0</v>
      </c>
      <c r="G67" cm="1">
        <f t="array" ref="G67">_xlfn.XLOOKUP(C67,Account_Master!A:A,Account_Master!C:C,"Not on master")</f>
        <v>0</v>
      </c>
      <c r="H67" s="6">
        <v>9</v>
      </c>
      <c r="I67" s="6">
        <v>9</v>
      </c>
      <c r="J67" s="6">
        <f>I67-H67</f>
        <v>0</v>
      </c>
      <c r="K67" s="5">
        <f>IF(H67=0,"",J67/H67)</f>
        <v>0</v>
      </c>
      <c r="L67">
        <f>IF(OR(AND(H67=0,ABS(J67)&gt;=0.01),AND(H67&lt;&gt;0,ABS(K67)&gt;VarianceThreshold)),"Review","OK")</f>
        <v>0</v>
      </c>
      <c r="M67" t="s">
        <v>33</v>
      </c>
    </row>
    <row r="68" spans="1:13">
      <c r="A68" t="s">
        <v>0</v>
      </c>
      <c r="B68" t="s">
        <v>143</v>
      </c>
      <c r="C68" t="s">
        <v>77</v>
      </c>
      <c r="D68" t="s">
        <v>147</v>
      </c>
      <c r="E68" cm="1">
        <f t="array" ref="E68">_xlfn.XLOOKUP(D68,SKU_Master!A:A,SKU_Master!B:B,"Not on master")</f>
        <v>0</v>
      </c>
      <c r="F68" cm="1">
        <f t="array" ref="F68">_xlfn.XLOOKUP(C68,Account_Master!A:A,Account_Master!B:B,"Not on master")</f>
        <v>0</v>
      </c>
      <c r="G68" cm="1">
        <f t="array" ref="G68">_xlfn.XLOOKUP(C68,Account_Master!A:A,Account_Master!C:C,"Not on master")</f>
        <v>0</v>
      </c>
      <c r="H68" s="6">
        <v>24.5</v>
      </c>
      <c r="I68" s="6">
        <v>24.5</v>
      </c>
      <c r="J68" s="6">
        <f>I68-H68</f>
        <v>0</v>
      </c>
      <c r="K68" s="5">
        <f>IF(H68=0,"",J68/H68)</f>
        <v>0</v>
      </c>
      <c r="L68">
        <f>IF(OR(AND(H68=0,ABS(J68)&gt;=0.01),AND(H68&lt;&gt;0,ABS(K68)&gt;VarianceThreshold)),"Review","OK")</f>
        <v>0</v>
      </c>
      <c r="M68" t="s">
        <v>33</v>
      </c>
    </row>
    <row r="69" spans="1:13">
      <c r="A69" t="s">
        <v>0</v>
      </c>
      <c r="B69" t="s">
        <v>143</v>
      </c>
      <c r="C69" t="s">
        <v>148</v>
      </c>
      <c r="D69" t="s">
        <v>149</v>
      </c>
      <c r="E69" cm="1">
        <f t="array" ref="E69">_xlfn.XLOOKUP(D69,SKU_Master!A:A,SKU_Master!B:B,"Not on master")</f>
        <v>0</v>
      </c>
      <c r="F69" cm="1">
        <f t="array" ref="F69">_xlfn.XLOOKUP(C69,Account_Master!A:A,Account_Master!B:B,"Not on master")</f>
        <v>0</v>
      </c>
      <c r="G69" cm="1">
        <f t="array" ref="G69">_xlfn.XLOOKUP(C69,Account_Master!A:A,Account_Master!C:C,"Not on master")</f>
        <v>0</v>
      </c>
      <c r="H69" s="6">
        <v>0.37</v>
      </c>
      <c r="I69" s="6">
        <v>0.37</v>
      </c>
      <c r="J69" s="6">
        <f>I69-H69</f>
        <v>0</v>
      </c>
      <c r="K69" s="5">
        <f>IF(H69=0,"",J69/H69)</f>
        <v>0</v>
      </c>
      <c r="L69">
        <f>IF(OR(AND(H69=0,ABS(J69)&gt;=0.01),AND(H69&lt;&gt;0,ABS(K69)&gt;VarianceThreshold)),"Review","OK")</f>
        <v>0</v>
      </c>
      <c r="M69" t="s">
        <v>33</v>
      </c>
    </row>
    <row r="70" spans="1:13">
      <c r="A70" t="s">
        <v>0</v>
      </c>
      <c r="B70" t="s">
        <v>143</v>
      </c>
      <c r="C70" t="s">
        <v>82</v>
      </c>
      <c r="D70" t="s">
        <v>150</v>
      </c>
      <c r="E70" cm="1">
        <f t="array" ref="E70">_xlfn.XLOOKUP(D70,SKU_Master!A:A,SKU_Master!B:B,"Not on master")</f>
        <v>0</v>
      </c>
      <c r="F70" cm="1">
        <f t="array" ref="F70">_xlfn.XLOOKUP(C70,Account_Master!A:A,Account_Master!B:B,"Not on master")</f>
        <v>0</v>
      </c>
      <c r="G70" cm="1">
        <f t="array" ref="G70">_xlfn.XLOOKUP(C70,Account_Master!A:A,Account_Master!C:C,"Not on master")</f>
        <v>0</v>
      </c>
      <c r="H70" s="6">
        <v>9</v>
      </c>
      <c r="I70" s="6">
        <v>9</v>
      </c>
      <c r="J70" s="6">
        <f>I70-H70</f>
        <v>0</v>
      </c>
      <c r="K70" s="5">
        <f>IF(H70=0,"",J70/H70)</f>
        <v>0</v>
      </c>
      <c r="L70">
        <f>IF(OR(AND(H70=0,ABS(J70)&gt;=0.01),AND(H70&lt;&gt;0,ABS(K70)&gt;VarianceThreshold)),"Review","OK")</f>
        <v>0</v>
      </c>
      <c r="M70" t="s">
        <v>33</v>
      </c>
    </row>
    <row r="71" spans="1:13">
      <c r="A71" t="s">
        <v>0</v>
      </c>
      <c r="B71" t="s">
        <v>143</v>
      </c>
      <c r="C71" t="s">
        <v>145</v>
      </c>
      <c r="D71" t="s">
        <v>151</v>
      </c>
      <c r="E71" cm="1">
        <f t="array" ref="E71">_xlfn.XLOOKUP(D71,SKU_Master!A:A,SKU_Master!B:B,"Not on master")</f>
        <v>0</v>
      </c>
      <c r="F71" cm="1">
        <f t="array" ref="F71">_xlfn.XLOOKUP(C71,Account_Master!A:A,Account_Master!B:B,"Not on master")</f>
        <v>0</v>
      </c>
      <c r="G71" cm="1">
        <f t="array" ref="G71">_xlfn.XLOOKUP(C71,Account_Master!A:A,Account_Master!C:C,"Not on master")</f>
        <v>0</v>
      </c>
      <c r="H71" s="6">
        <v>33</v>
      </c>
      <c r="I71" s="6">
        <v>33</v>
      </c>
      <c r="J71" s="6">
        <f>I71-H71</f>
        <v>0</v>
      </c>
      <c r="K71" s="5">
        <f>IF(H71=0,"",J71/H71)</f>
        <v>0</v>
      </c>
      <c r="L71">
        <f>IF(OR(AND(H71=0,ABS(J71)&gt;=0.01),AND(H71&lt;&gt;0,ABS(K71)&gt;VarianceThreshold)),"Review","OK")</f>
        <v>0</v>
      </c>
      <c r="M71" t="s">
        <v>33</v>
      </c>
    </row>
    <row r="72" spans="1:13">
      <c r="A72" t="s">
        <v>0</v>
      </c>
      <c r="B72" t="s">
        <v>143</v>
      </c>
      <c r="C72" t="s">
        <v>152</v>
      </c>
      <c r="D72" t="s">
        <v>153</v>
      </c>
      <c r="E72" cm="1">
        <f t="array" ref="E72">_xlfn.XLOOKUP(D72,SKU_Master!A:A,SKU_Master!B:B,"Not on master")</f>
        <v>0</v>
      </c>
      <c r="F72" cm="1">
        <f t="array" ref="F72">_xlfn.XLOOKUP(C72,Account_Master!A:A,Account_Master!B:B,"Not on master")</f>
        <v>0</v>
      </c>
      <c r="G72" cm="1">
        <f t="array" ref="G72">_xlfn.XLOOKUP(C72,Account_Master!A:A,Account_Master!C:C,"Not on master")</f>
        <v>0</v>
      </c>
      <c r="H72" s="6">
        <v>70.86</v>
      </c>
      <c r="I72" s="6">
        <v>70.86</v>
      </c>
      <c r="J72" s="6">
        <f>I72-H72</f>
        <v>0</v>
      </c>
      <c r="K72" s="5">
        <f>IF(H72=0,"",J72/H72)</f>
        <v>0</v>
      </c>
      <c r="L72">
        <f>IF(OR(AND(H72=0,ABS(J72)&gt;=0.01),AND(H72&lt;&gt;0,ABS(K72)&gt;VarianceThreshold)),"Review","OK")</f>
        <v>0</v>
      </c>
      <c r="M72" t="s">
        <v>33</v>
      </c>
    </row>
    <row r="73" spans="1:13">
      <c r="A73" t="s">
        <v>0</v>
      </c>
      <c r="B73" t="s">
        <v>154</v>
      </c>
      <c r="C73" t="s">
        <v>84</v>
      </c>
      <c r="D73" t="s">
        <v>155</v>
      </c>
      <c r="E73" cm="1">
        <f t="array" ref="E73">_xlfn.XLOOKUP(D73,SKU_Master!A:A,SKU_Master!B:B,"Not on master")</f>
        <v>0</v>
      </c>
      <c r="F73" cm="1">
        <f t="array" ref="F73">_xlfn.XLOOKUP(C73,Account_Master!A:A,Account_Master!B:B,"Not on master")</f>
        <v>0</v>
      </c>
      <c r="G73" cm="1">
        <f t="array" ref="G73">_xlfn.XLOOKUP(C73,Account_Master!A:A,Account_Master!C:C,"Not on master")</f>
        <v>0</v>
      </c>
      <c r="H73" s="6">
        <v>21</v>
      </c>
      <c r="I73" s="6">
        <v>21</v>
      </c>
      <c r="J73" s="6">
        <f>I73-H73</f>
        <v>0</v>
      </c>
      <c r="K73" s="5">
        <f>IF(H73=0,"",J73/H73)</f>
        <v>0</v>
      </c>
      <c r="L73">
        <f>IF(OR(AND(H73=0,ABS(J73)&gt;=0.01),AND(H73&lt;&gt;0,ABS(K73)&gt;VarianceThreshold)),"Review","OK")</f>
        <v>0</v>
      </c>
      <c r="M73" t="s">
        <v>33</v>
      </c>
    </row>
    <row r="74" spans="1:13">
      <c r="A74" t="s">
        <v>0</v>
      </c>
      <c r="B74" t="s">
        <v>154</v>
      </c>
      <c r="C74" t="s">
        <v>84</v>
      </c>
      <c r="D74" t="s">
        <v>156</v>
      </c>
      <c r="E74" cm="1">
        <f t="array" ref="E74">_xlfn.XLOOKUP(D74,SKU_Master!A:A,SKU_Master!B:B,"Not on master")</f>
        <v>0</v>
      </c>
      <c r="F74" cm="1">
        <f t="array" ref="F74">_xlfn.XLOOKUP(C74,Account_Master!A:A,Account_Master!B:B,"Not on master")</f>
        <v>0</v>
      </c>
      <c r="G74" cm="1">
        <f t="array" ref="G74">_xlfn.XLOOKUP(C74,Account_Master!A:A,Account_Master!C:C,"Not on master")</f>
        <v>0</v>
      </c>
      <c r="H74" s="6">
        <v>241.5</v>
      </c>
      <c r="I74" s="6">
        <v>241.5</v>
      </c>
      <c r="J74" s="6">
        <f>I74-H74</f>
        <v>0</v>
      </c>
      <c r="K74" s="5">
        <f>IF(H74=0,"",J74/H74)</f>
        <v>0</v>
      </c>
      <c r="L74">
        <f>IF(OR(AND(H74=0,ABS(J74)&gt;=0.01),AND(H74&lt;&gt;0,ABS(K74)&gt;VarianceThreshold)),"Review","OK")</f>
        <v>0</v>
      </c>
      <c r="M74" t="s">
        <v>33</v>
      </c>
    </row>
    <row r="75" spans="1:13">
      <c r="A75" t="s">
        <v>0</v>
      </c>
      <c r="B75" t="s">
        <v>154</v>
      </c>
      <c r="C75" t="s">
        <v>95</v>
      </c>
      <c r="D75" t="s">
        <v>157</v>
      </c>
      <c r="E75" cm="1">
        <f t="array" ref="E75">_xlfn.XLOOKUP(D75,SKU_Master!A:A,SKU_Master!B:B,"Not on master")</f>
        <v>0</v>
      </c>
      <c r="F75" cm="1">
        <f t="array" ref="F75">_xlfn.XLOOKUP(C75,Account_Master!A:A,Account_Master!B:B,"Not on master")</f>
        <v>0</v>
      </c>
      <c r="G75" cm="1">
        <f t="array" ref="G75">_xlfn.XLOOKUP(C75,Account_Master!A:A,Account_Master!C:C,"Not on master")</f>
        <v>0</v>
      </c>
      <c r="H75" s="6">
        <v>1.5</v>
      </c>
      <c r="I75" s="6">
        <v>1.5</v>
      </c>
      <c r="J75" s="6">
        <f>I75-H75</f>
        <v>0</v>
      </c>
      <c r="K75" s="5">
        <f>IF(H75=0,"",J75/H75)</f>
        <v>0</v>
      </c>
      <c r="L75">
        <f>IF(OR(AND(H75=0,ABS(J75)&gt;=0.01),AND(H75&lt;&gt;0,ABS(K75)&gt;VarianceThreshold)),"Review","OK")</f>
        <v>0</v>
      </c>
      <c r="M75" t="s">
        <v>33</v>
      </c>
    </row>
    <row r="76" spans="1:13">
      <c r="A76" t="s">
        <v>0</v>
      </c>
      <c r="B76" t="s">
        <v>154</v>
      </c>
      <c r="C76" t="s">
        <v>50</v>
      </c>
      <c r="D76" t="s">
        <v>158</v>
      </c>
      <c r="E76" cm="1">
        <f t="array" ref="E76">_xlfn.XLOOKUP(D76,SKU_Master!A:A,SKU_Master!B:B,"Not on master")</f>
        <v>0</v>
      </c>
      <c r="F76" cm="1">
        <f t="array" ref="F76">_xlfn.XLOOKUP(C76,Account_Master!A:A,Account_Master!B:B,"Not on master")</f>
        <v>0</v>
      </c>
      <c r="G76" cm="1">
        <f t="array" ref="G76">_xlfn.XLOOKUP(C76,Account_Master!A:A,Account_Master!C:C,"Not on master")</f>
        <v>0</v>
      </c>
      <c r="H76" s="6">
        <v>4.5</v>
      </c>
      <c r="I76" s="6">
        <v>4.5</v>
      </c>
      <c r="J76" s="6">
        <f>I76-H76</f>
        <v>0</v>
      </c>
      <c r="K76" s="5">
        <f>IF(H76=0,"",J76/H76)</f>
        <v>0</v>
      </c>
      <c r="L76">
        <f>IF(OR(AND(H76=0,ABS(J76)&gt;=0.01),AND(H76&lt;&gt;0,ABS(K76)&gt;VarianceThreshold)),"Review","OK")</f>
        <v>0</v>
      </c>
      <c r="M76" t="s">
        <v>33</v>
      </c>
    </row>
    <row r="77" spans="1:13">
      <c r="A77" t="s">
        <v>0</v>
      </c>
      <c r="B77" t="s">
        <v>154</v>
      </c>
      <c r="C77" t="s">
        <v>31</v>
      </c>
      <c r="D77" t="s">
        <v>159</v>
      </c>
      <c r="E77" cm="1">
        <f t="array" ref="E77">_xlfn.XLOOKUP(D77,SKU_Master!A:A,SKU_Master!B:B,"Not on master")</f>
        <v>0</v>
      </c>
      <c r="F77" cm="1">
        <f t="array" ref="F77">_xlfn.XLOOKUP(C77,Account_Master!A:A,Account_Master!B:B,"Not on master")</f>
        <v>0</v>
      </c>
      <c r="G77" cm="1">
        <f t="array" ref="G77">_xlfn.XLOOKUP(C77,Account_Master!A:A,Account_Master!C:C,"Not on master")</f>
        <v>0</v>
      </c>
      <c r="H77" s="6">
        <v>36</v>
      </c>
      <c r="I77" s="6">
        <v>36</v>
      </c>
      <c r="J77" s="6">
        <f>I77-H77</f>
        <v>0</v>
      </c>
      <c r="K77" s="5">
        <f>IF(H77=0,"",J77/H77)</f>
        <v>0</v>
      </c>
      <c r="L77">
        <f>IF(OR(AND(H77=0,ABS(J77)&gt;=0.01),AND(H77&lt;&gt;0,ABS(K77)&gt;VarianceThreshold)),"Review","OK")</f>
        <v>0</v>
      </c>
      <c r="M77" t="s">
        <v>33</v>
      </c>
    </row>
    <row r="78" spans="1:13">
      <c r="A78" t="s">
        <v>0</v>
      </c>
      <c r="B78" t="s">
        <v>160</v>
      </c>
      <c r="C78" t="s">
        <v>82</v>
      </c>
      <c r="D78" t="s">
        <v>161</v>
      </c>
      <c r="E78" cm="1">
        <f t="array" ref="E78">_xlfn.XLOOKUP(D78,SKU_Master!A:A,SKU_Master!B:B,"Not on master")</f>
        <v>0</v>
      </c>
      <c r="F78" cm="1">
        <f t="array" ref="F78">_xlfn.XLOOKUP(C78,Account_Master!A:A,Account_Master!B:B,"Not on master")</f>
        <v>0</v>
      </c>
      <c r="G78" cm="1">
        <f t="array" ref="G78">_xlfn.XLOOKUP(C78,Account_Master!A:A,Account_Master!C:C,"Not on master")</f>
        <v>0</v>
      </c>
      <c r="H78" s="6">
        <v>1.5</v>
      </c>
      <c r="I78" s="6">
        <v>1.5</v>
      </c>
      <c r="J78" s="6">
        <f>I78-H78</f>
        <v>0</v>
      </c>
      <c r="K78" s="5">
        <f>IF(H78=0,"",J78/H78)</f>
        <v>0</v>
      </c>
      <c r="L78">
        <f>IF(OR(AND(H78=0,ABS(J78)&gt;=0.01),AND(H78&lt;&gt;0,ABS(K78)&gt;VarianceThreshold)),"Review","OK")</f>
        <v>0</v>
      </c>
      <c r="M78" t="s">
        <v>33</v>
      </c>
    </row>
    <row r="79" spans="1:13">
      <c r="A79" t="s">
        <v>0</v>
      </c>
      <c r="B79" t="s">
        <v>160</v>
      </c>
      <c r="C79" t="s">
        <v>162</v>
      </c>
      <c r="D79" t="s">
        <v>163</v>
      </c>
      <c r="E79" cm="1">
        <f t="array" ref="E79">_xlfn.XLOOKUP(D79,SKU_Master!A:A,SKU_Master!B:B,"Not on master")</f>
        <v>0</v>
      </c>
      <c r="F79" cm="1">
        <f t="array" ref="F79">_xlfn.XLOOKUP(C79,Account_Master!A:A,Account_Master!B:B,"Not on master")</f>
        <v>0</v>
      </c>
      <c r="G79" cm="1">
        <f t="array" ref="G79">_xlfn.XLOOKUP(C79,Account_Master!A:A,Account_Master!C:C,"Not on master")</f>
        <v>0</v>
      </c>
      <c r="H79" s="6">
        <v>6</v>
      </c>
      <c r="I79" s="6">
        <v>6</v>
      </c>
      <c r="J79" s="6">
        <f>I79-H79</f>
        <v>0</v>
      </c>
      <c r="K79" s="5">
        <f>IF(H79=0,"",J79/H79)</f>
        <v>0</v>
      </c>
      <c r="L79">
        <f>IF(OR(AND(H79=0,ABS(J79)&gt;=0.01),AND(H79&lt;&gt;0,ABS(K79)&gt;VarianceThreshold)),"Review","OK")</f>
        <v>0</v>
      </c>
      <c r="M79" t="s">
        <v>33</v>
      </c>
    </row>
    <row r="80" spans="1:13">
      <c r="A80" t="s">
        <v>0</v>
      </c>
      <c r="B80" t="s">
        <v>160</v>
      </c>
      <c r="C80" t="s">
        <v>31</v>
      </c>
      <c r="D80" t="s">
        <v>164</v>
      </c>
      <c r="E80" cm="1">
        <f t="array" ref="E80">_xlfn.XLOOKUP(D80,SKU_Master!A:A,SKU_Master!B:B,"Not on master")</f>
        <v>0</v>
      </c>
      <c r="F80" cm="1">
        <f t="array" ref="F80">_xlfn.XLOOKUP(C80,Account_Master!A:A,Account_Master!B:B,"Not on master")</f>
        <v>0</v>
      </c>
      <c r="G80" cm="1">
        <f t="array" ref="G80">_xlfn.XLOOKUP(C80,Account_Master!A:A,Account_Master!C:C,"Not on master")</f>
        <v>0</v>
      </c>
      <c r="H80" s="6">
        <v>60</v>
      </c>
      <c r="I80" s="6">
        <v>60</v>
      </c>
      <c r="J80" s="6">
        <f>I80-H80</f>
        <v>0</v>
      </c>
      <c r="K80" s="5">
        <f>IF(H80=0,"",J80/H80)</f>
        <v>0</v>
      </c>
      <c r="L80">
        <f>IF(OR(AND(H80=0,ABS(J80)&gt;=0.01),AND(H80&lt;&gt;0,ABS(K80)&gt;VarianceThreshold)),"Review","OK")</f>
        <v>0</v>
      </c>
      <c r="M80" t="s">
        <v>33</v>
      </c>
    </row>
    <row r="81" spans="1:13">
      <c r="A81" t="s">
        <v>0</v>
      </c>
      <c r="B81" t="s">
        <v>160</v>
      </c>
      <c r="C81" t="s">
        <v>84</v>
      </c>
      <c r="D81" t="s">
        <v>165</v>
      </c>
      <c r="E81" cm="1">
        <f t="array" ref="E81">_xlfn.XLOOKUP(D81,SKU_Master!A:A,SKU_Master!B:B,"Not on master")</f>
        <v>0</v>
      </c>
      <c r="F81" cm="1">
        <f t="array" ref="F81">_xlfn.XLOOKUP(C81,Account_Master!A:A,Account_Master!B:B,"Not on master")</f>
        <v>0</v>
      </c>
      <c r="G81" cm="1">
        <f t="array" ref="G81">_xlfn.XLOOKUP(C81,Account_Master!A:A,Account_Master!C:C,"Not on master")</f>
        <v>0</v>
      </c>
      <c r="H81" s="6">
        <v>43.2</v>
      </c>
      <c r="I81" s="6">
        <v>43.2</v>
      </c>
      <c r="J81" s="6">
        <f>I81-H81</f>
        <v>0</v>
      </c>
      <c r="K81" s="5">
        <f>IF(H81=0,"",J81/H81)</f>
        <v>0</v>
      </c>
      <c r="L81">
        <f>IF(OR(AND(H81=0,ABS(J81)&gt;=0.01),AND(H81&lt;&gt;0,ABS(K81)&gt;VarianceThreshold)),"Review","OK")</f>
        <v>0</v>
      </c>
      <c r="M81" t="s">
        <v>33</v>
      </c>
    </row>
    <row r="82" spans="1:13">
      <c r="A82" t="s">
        <v>0</v>
      </c>
      <c r="B82" t="s">
        <v>160</v>
      </c>
      <c r="C82" t="s">
        <v>126</v>
      </c>
      <c r="D82" t="s">
        <v>166</v>
      </c>
      <c r="E82" cm="1">
        <f t="array" ref="E82">_xlfn.XLOOKUP(D82,SKU_Master!A:A,SKU_Master!B:B,"Not on master")</f>
        <v>0</v>
      </c>
      <c r="F82" cm="1">
        <f t="array" ref="F82">_xlfn.XLOOKUP(C82,Account_Master!A:A,Account_Master!B:B,"Not on master")</f>
        <v>0</v>
      </c>
      <c r="G82" cm="1">
        <f t="array" ref="G82">_xlfn.XLOOKUP(C82,Account_Master!A:A,Account_Master!C:C,"Not on master")</f>
        <v>0</v>
      </c>
      <c r="H82" s="6">
        <v>14</v>
      </c>
      <c r="I82" s="6">
        <v>14</v>
      </c>
      <c r="J82" s="6">
        <f>I82-H82</f>
        <v>0</v>
      </c>
      <c r="K82" s="5">
        <f>IF(H82=0,"",J82/H82)</f>
        <v>0</v>
      </c>
      <c r="L82">
        <f>IF(OR(AND(H82=0,ABS(J82)&gt;=0.01),AND(H82&lt;&gt;0,ABS(K82)&gt;VarianceThreshold)),"Review","OK")</f>
        <v>0</v>
      </c>
      <c r="M82" t="s">
        <v>33</v>
      </c>
    </row>
    <row r="83" spans="1:13">
      <c r="A83" t="s">
        <v>0</v>
      </c>
      <c r="B83" t="s">
        <v>160</v>
      </c>
      <c r="C83" t="s">
        <v>110</v>
      </c>
      <c r="D83" t="s">
        <v>167</v>
      </c>
      <c r="E83" cm="1">
        <f t="array" ref="E83">_xlfn.XLOOKUP(D83,SKU_Master!A:A,SKU_Master!B:B,"Not on master")</f>
        <v>0</v>
      </c>
      <c r="F83" cm="1">
        <f t="array" ref="F83">_xlfn.XLOOKUP(C83,Account_Master!A:A,Account_Master!B:B,"Not on master")</f>
        <v>0</v>
      </c>
      <c r="G83" cm="1">
        <f t="array" ref="G83">_xlfn.XLOOKUP(C83,Account_Master!A:A,Account_Master!C:C,"Not on master")</f>
        <v>0</v>
      </c>
      <c r="H83" s="6">
        <v>375</v>
      </c>
      <c r="I83" s="6">
        <v>375</v>
      </c>
      <c r="J83" s="6">
        <f>I83-H83</f>
        <v>0</v>
      </c>
      <c r="K83" s="5">
        <f>IF(H83=0,"",J83/H83)</f>
        <v>0</v>
      </c>
      <c r="L83">
        <f>IF(OR(AND(H83=0,ABS(J83)&gt;=0.01),AND(H83&lt;&gt;0,ABS(K83)&gt;VarianceThreshold)),"Review","OK")</f>
        <v>0</v>
      </c>
      <c r="M83" t="s">
        <v>33</v>
      </c>
    </row>
    <row r="84" spans="1:13">
      <c r="A84" t="s">
        <v>0</v>
      </c>
      <c r="B84" t="s">
        <v>160</v>
      </c>
      <c r="C84" t="s">
        <v>145</v>
      </c>
      <c r="D84" t="s">
        <v>168</v>
      </c>
      <c r="E84" cm="1">
        <f t="array" ref="E84">_xlfn.XLOOKUP(D84,SKU_Master!A:A,SKU_Master!B:B,"Not on master")</f>
        <v>0</v>
      </c>
      <c r="F84" cm="1">
        <f t="array" ref="F84">_xlfn.XLOOKUP(C84,Account_Master!A:A,Account_Master!B:B,"Not on master")</f>
        <v>0</v>
      </c>
      <c r="G84" cm="1">
        <f t="array" ref="G84">_xlfn.XLOOKUP(C84,Account_Master!A:A,Account_Master!C:C,"Not on master")</f>
        <v>0</v>
      </c>
      <c r="H84" s="6">
        <v>1.2</v>
      </c>
      <c r="I84" s="6">
        <v>1.2</v>
      </c>
      <c r="J84" s="6">
        <f>I84-H84</f>
        <v>0</v>
      </c>
      <c r="K84" s="5">
        <f>IF(H84=0,"",J84/H84)</f>
        <v>0</v>
      </c>
      <c r="L84">
        <f>IF(OR(AND(H84=0,ABS(J84)&gt;=0.01),AND(H84&lt;&gt;0,ABS(K84)&gt;VarianceThreshold)),"Review","OK")</f>
        <v>0</v>
      </c>
      <c r="M84" t="s">
        <v>33</v>
      </c>
    </row>
    <row r="85" spans="1:13">
      <c r="A85" t="s">
        <v>0</v>
      </c>
      <c r="B85" t="s">
        <v>160</v>
      </c>
      <c r="C85" t="s">
        <v>31</v>
      </c>
      <c r="D85" t="s">
        <v>169</v>
      </c>
      <c r="E85" cm="1">
        <f t="array" ref="E85">_xlfn.XLOOKUP(D85,SKU_Master!A:A,SKU_Master!B:B,"Not on master")</f>
        <v>0</v>
      </c>
      <c r="F85" cm="1">
        <f t="array" ref="F85">_xlfn.XLOOKUP(C85,Account_Master!A:A,Account_Master!B:B,"Not on master")</f>
        <v>0</v>
      </c>
      <c r="G85" cm="1">
        <f t="array" ref="G85">_xlfn.XLOOKUP(C85,Account_Master!A:A,Account_Master!C:C,"Not on master")</f>
        <v>0</v>
      </c>
      <c r="H85" s="6">
        <v>10.5</v>
      </c>
      <c r="I85" s="6">
        <v>10.5</v>
      </c>
      <c r="J85" s="6">
        <f>I85-H85</f>
        <v>0</v>
      </c>
      <c r="K85" s="5">
        <f>IF(H85=0,"",J85/H85)</f>
        <v>0</v>
      </c>
      <c r="L85">
        <f>IF(OR(AND(H85=0,ABS(J85)&gt;=0.01),AND(H85&lt;&gt;0,ABS(K85)&gt;VarianceThreshold)),"Review","OK")</f>
        <v>0</v>
      </c>
      <c r="M85" t="s">
        <v>33</v>
      </c>
    </row>
    <row r="86" spans="1:13">
      <c r="A86" t="s">
        <v>0</v>
      </c>
      <c r="B86" t="s">
        <v>170</v>
      </c>
      <c r="C86" t="s">
        <v>52</v>
      </c>
      <c r="D86" t="s">
        <v>171</v>
      </c>
      <c r="E86" cm="1">
        <f t="array" ref="E86">_xlfn.XLOOKUP(D86,SKU_Master!A:A,SKU_Master!B:B,"Not on master")</f>
        <v>0</v>
      </c>
      <c r="F86" cm="1">
        <f t="array" ref="F86">_xlfn.XLOOKUP(C86,Account_Master!A:A,Account_Master!B:B,"Not on master")</f>
        <v>0</v>
      </c>
      <c r="G86" cm="1">
        <f t="array" ref="G86">_xlfn.XLOOKUP(C86,Account_Master!A:A,Account_Master!C:C,"Not on master")</f>
        <v>0</v>
      </c>
      <c r="H86" s="6">
        <v>11.25</v>
      </c>
      <c r="I86" s="6">
        <v>11.25</v>
      </c>
      <c r="J86" s="6">
        <f>I86-H86</f>
        <v>0</v>
      </c>
      <c r="K86" s="5">
        <f>IF(H86=0,"",J86/H86)</f>
        <v>0</v>
      </c>
      <c r="L86">
        <f>IF(OR(AND(H86=0,ABS(J86)&gt;=0.01),AND(H86&lt;&gt;0,ABS(K86)&gt;VarianceThreshold)),"Review","OK")</f>
        <v>0</v>
      </c>
      <c r="M86" t="s">
        <v>33</v>
      </c>
    </row>
    <row r="87" spans="1:13">
      <c r="A87" t="s">
        <v>0</v>
      </c>
      <c r="B87" t="s">
        <v>170</v>
      </c>
      <c r="C87" t="s">
        <v>126</v>
      </c>
      <c r="D87" t="s">
        <v>172</v>
      </c>
      <c r="E87" cm="1">
        <f t="array" ref="E87">_xlfn.XLOOKUP(D87,SKU_Master!A:A,SKU_Master!B:B,"Not on master")</f>
        <v>0</v>
      </c>
      <c r="F87" cm="1">
        <f t="array" ref="F87">_xlfn.XLOOKUP(C87,Account_Master!A:A,Account_Master!B:B,"Not on master")</f>
        <v>0</v>
      </c>
      <c r="G87" cm="1">
        <f t="array" ref="G87">_xlfn.XLOOKUP(C87,Account_Master!A:A,Account_Master!C:C,"Not on master")</f>
        <v>0</v>
      </c>
      <c r="H87" s="6">
        <v>158.25</v>
      </c>
      <c r="I87" s="6">
        <v>158.25</v>
      </c>
      <c r="J87" s="6">
        <f>I87-H87</f>
        <v>0</v>
      </c>
      <c r="K87" s="5">
        <f>IF(H87=0,"",J87/H87)</f>
        <v>0</v>
      </c>
      <c r="L87">
        <f>IF(OR(AND(H87=0,ABS(J87)&gt;=0.01),AND(H87&lt;&gt;0,ABS(K87)&gt;VarianceThreshold)),"Review","OK")</f>
        <v>0</v>
      </c>
      <c r="M87" t="s">
        <v>33</v>
      </c>
    </row>
    <row r="88" spans="1:13">
      <c r="A88" t="s">
        <v>0</v>
      </c>
      <c r="B88" t="s">
        <v>170</v>
      </c>
      <c r="C88" t="s">
        <v>31</v>
      </c>
      <c r="D88" t="s">
        <v>173</v>
      </c>
      <c r="E88" cm="1">
        <f t="array" ref="E88">_xlfn.XLOOKUP(D88,SKU_Master!A:A,SKU_Master!B:B,"Not on master")</f>
        <v>0</v>
      </c>
      <c r="F88" cm="1">
        <f t="array" ref="F88">_xlfn.XLOOKUP(C88,Account_Master!A:A,Account_Master!B:B,"Not on master")</f>
        <v>0</v>
      </c>
      <c r="G88" cm="1">
        <f t="array" ref="G88">_xlfn.XLOOKUP(C88,Account_Master!A:A,Account_Master!C:C,"Not on master")</f>
        <v>0</v>
      </c>
      <c r="H88" s="6">
        <v>78</v>
      </c>
      <c r="I88" s="6">
        <v>78</v>
      </c>
      <c r="J88" s="6">
        <f>I88-H88</f>
        <v>0</v>
      </c>
      <c r="K88" s="5">
        <f>IF(H88=0,"",J88/H88)</f>
        <v>0</v>
      </c>
      <c r="L88">
        <f>IF(OR(AND(H88=0,ABS(J88)&gt;=0.01),AND(H88&lt;&gt;0,ABS(K88)&gt;VarianceThreshold)),"Review","OK")</f>
        <v>0</v>
      </c>
      <c r="M88" t="s">
        <v>33</v>
      </c>
    </row>
    <row r="89" spans="1:13">
      <c r="A89" t="s">
        <v>0</v>
      </c>
      <c r="B89" t="s">
        <v>170</v>
      </c>
      <c r="C89" t="s">
        <v>77</v>
      </c>
      <c r="D89" t="s">
        <v>174</v>
      </c>
      <c r="E89" cm="1">
        <f t="array" ref="E89">_xlfn.XLOOKUP(D89,SKU_Master!A:A,SKU_Master!B:B,"Not on master")</f>
        <v>0</v>
      </c>
      <c r="F89" cm="1">
        <f t="array" ref="F89">_xlfn.XLOOKUP(C89,Account_Master!A:A,Account_Master!B:B,"Not on master")</f>
        <v>0</v>
      </c>
      <c r="G89" cm="1">
        <f t="array" ref="G89">_xlfn.XLOOKUP(C89,Account_Master!A:A,Account_Master!C:C,"Not on master")</f>
        <v>0</v>
      </c>
      <c r="H89" s="6">
        <v>9</v>
      </c>
      <c r="I89" s="6">
        <v>9</v>
      </c>
      <c r="J89" s="6">
        <f>I89-H89</f>
        <v>0</v>
      </c>
      <c r="K89" s="5">
        <f>IF(H89=0,"",J89/H89)</f>
        <v>0</v>
      </c>
      <c r="L89">
        <f>IF(OR(AND(H89=0,ABS(J89)&gt;=0.01),AND(H89&lt;&gt;0,ABS(K89)&gt;VarianceThreshold)),"Review","OK")</f>
        <v>0</v>
      </c>
      <c r="M89" t="s">
        <v>33</v>
      </c>
    </row>
    <row r="90" spans="1:13">
      <c r="A90" t="s">
        <v>0</v>
      </c>
      <c r="B90" t="s">
        <v>170</v>
      </c>
      <c r="C90" t="s">
        <v>175</v>
      </c>
      <c r="D90" t="s">
        <v>176</v>
      </c>
      <c r="E90" cm="1">
        <f t="array" ref="E90">_xlfn.XLOOKUP(D90,SKU_Master!A:A,SKU_Master!B:B,"Not on master")</f>
        <v>0</v>
      </c>
      <c r="F90" cm="1">
        <f t="array" ref="F90">_xlfn.XLOOKUP(C90,Account_Master!A:A,Account_Master!B:B,"Not on master")</f>
        <v>0</v>
      </c>
      <c r="G90" cm="1">
        <f t="array" ref="G90">_xlfn.XLOOKUP(C90,Account_Master!A:A,Account_Master!C:C,"Not on master")</f>
        <v>0</v>
      </c>
      <c r="H90" s="6">
        <v>17.4</v>
      </c>
      <c r="I90" s="6">
        <v>17.4</v>
      </c>
      <c r="J90" s="6">
        <f>I90-H90</f>
        <v>0</v>
      </c>
      <c r="K90" s="5">
        <f>IF(H90=0,"",J90/H90)</f>
        <v>0</v>
      </c>
      <c r="L90">
        <f>IF(OR(AND(H90=0,ABS(J90)&gt;=0.01),AND(H90&lt;&gt;0,ABS(K90)&gt;VarianceThreshold)),"Review","OK")</f>
        <v>0</v>
      </c>
      <c r="M90" t="s">
        <v>33</v>
      </c>
    </row>
    <row r="91" spans="1:13">
      <c r="A91" t="s">
        <v>0</v>
      </c>
      <c r="B91" t="s">
        <v>170</v>
      </c>
      <c r="C91" t="s">
        <v>177</v>
      </c>
      <c r="D91" t="s">
        <v>178</v>
      </c>
      <c r="E91" cm="1">
        <f t="array" ref="E91">_xlfn.XLOOKUP(D91,SKU_Master!A:A,SKU_Master!B:B,"Not on master")</f>
        <v>0</v>
      </c>
      <c r="F91" cm="1">
        <f t="array" ref="F91">_xlfn.XLOOKUP(C91,Account_Master!A:A,Account_Master!B:B,"Not on master")</f>
        <v>0</v>
      </c>
      <c r="G91" cm="1">
        <f t="array" ref="G91">_xlfn.XLOOKUP(C91,Account_Master!A:A,Account_Master!C:C,"Not on master")</f>
        <v>0</v>
      </c>
      <c r="H91" s="6">
        <v>381.5</v>
      </c>
      <c r="I91" s="6">
        <v>381.5</v>
      </c>
      <c r="J91" s="6">
        <f>I91-H91</f>
        <v>0</v>
      </c>
      <c r="K91" s="5">
        <f>IF(H91=0,"",J91/H91)</f>
        <v>0</v>
      </c>
      <c r="L91">
        <f>IF(OR(AND(H91=0,ABS(J91)&gt;=0.01),AND(H91&lt;&gt;0,ABS(K91)&gt;VarianceThreshold)),"Review","OK")</f>
        <v>0</v>
      </c>
      <c r="M91" t="s">
        <v>33</v>
      </c>
    </row>
    <row r="92" spans="1:13">
      <c r="A92" t="s">
        <v>0</v>
      </c>
      <c r="B92" t="s">
        <v>170</v>
      </c>
      <c r="C92" t="s">
        <v>115</v>
      </c>
      <c r="D92" t="s">
        <v>179</v>
      </c>
      <c r="E92" cm="1">
        <f t="array" ref="E92">_xlfn.XLOOKUP(D92,SKU_Master!A:A,SKU_Master!B:B,"Not on master")</f>
        <v>0</v>
      </c>
      <c r="F92" cm="1">
        <f t="array" ref="F92">_xlfn.XLOOKUP(C92,Account_Master!A:A,Account_Master!B:B,"Not on master")</f>
        <v>0</v>
      </c>
      <c r="G92" cm="1">
        <f t="array" ref="G92">_xlfn.XLOOKUP(C92,Account_Master!A:A,Account_Master!C:C,"Not on master")</f>
        <v>0</v>
      </c>
      <c r="H92" s="6">
        <v>10.5</v>
      </c>
      <c r="I92" s="6">
        <v>10.5</v>
      </c>
      <c r="J92" s="6">
        <f>I92-H92</f>
        <v>0</v>
      </c>
      <c r="K92" s="5">
        <f>IF(H92=0,"",J92/H92)</f>
        <v>0</v>
      </c>
      <c r="L92">
        <f>IF(OR(AND(H92=0,ABS(J92)&gt;=0.01),AND(H92&lt;&gt;0,ABS(K92)&gt;VarianceThreshold)),"Review","OK")</f>
        <v>0</v>
      </c>
      <c r="M92" t="s">
        <v>33</v>
      </c>
    </row>
    <row r="93" spans="1:13">
      <c r="A93" t="s">
        <v>0</v>
      </c>
      <c r="B93" t="s">
        <v>180</v>
      </c>
      <c r="C93" t="s">
        <v>181</v>
      </c>
      <c r="D93" t="s">
        <v>182</v>
      </c>
      <c r="E93" cm="1">
        <f t="array" ref="E93">_xlfn.XLOOKUP(D93,SKU_Master!A:A,SKU_Master!B:B,"Not on master")</f>
        <v>0</v>
      </c>
      <c r="F93" cm="1">
        <f t="array" ref="F93">_xlfn.XLOOKUP(C93,Account_Master!A:A,Account_Master!B:B,"Not on master")</f>
        <v>0</v>
      </c>
      <c r="G93" cm="1">
        <f t="array" ref="G93">_xlfn.XLOOKUP(C93,Account_Master!A:A,Account_Master!C:C,"Not on master")</f>
        <v>0</v>
      </c>
      <c r="H93" s="6">
        <v>0.6</v>
      </c>
      <c r="I93" s="6">
        <v>0.6</v>
      </c>
      <c r="J93" s="6">
        <f>I93-H93</f>
        <v>0</v>
      </c>
      <c r="K93" s="5">
        <f>IF(H93=0,"",J93/H93)</f>
        <v>0</v>
      </c>
      <c r="L93">
        <f>IF(OR(AND(H93=0,ABS(J93)&gt;=0.01),AND(H93&lt;&gt;0,ABS(K93)&gt;VarianceThreshold)),"Review","OK")</f>
        <v>0</v>
      </c>
      <c r="M93" t="s">
        <v>33</v>
      </c>
    </row>
    <row r="94" spans="1:13">
      <c r="A94" t="s">
        <v>0</v>
      </c>
      <c r="B94" t="s">
        <v>180</v>
      </c>
      <c r="C94" t="s">
        <v>183</v>
      </c>
      <c r="D94" t="s">
        <v>184</v>
      </c>
      <c r="E94" cm="1">
        <f t="array" ref="E94">_xlfn.XLOOKUP(D94,SKU_Master!A:A,SKU_Master!B:B,"Not on master")</f>
        <v>0</v>
      </c>
      <c r="F94" cm="1">
        <f t="array" ref="F94">_xlfn.XLOOKUP(C94,Account_Master!A:A,Account_Master!B:B,"Not on master")</f>
        <v>0</v>
      </c>
      <c r="G94" cm="1">
        <f t="array" ref="G94">_xlfn.XLOOKUP(C94,Account_Master!A:A,Account_Master!C:C,"Not on master")</f>
        <v>0</v>
      </c>
      <c r="H94" s="6">
        <v>6</v>
      </c>
      <c r="I94" s="6">
        <v>6</v>
      </c>
      <c r="J94" s="6">
        <f>I94-H94</f>
        <v>0</v>
      </c>
      <c r="K94" s="5">
        <f>IF(H94=0,"",J94/H94)</f>
        <v>0</v>
      </c>
      <c r="L94">
        <f>IF(OR(AND(H94=0,ABS(J94)&gt;=0.01),AND(H94&lt;&gt;0,ABS(K94)&gt;VarianceThreshold)),"Review","OK")</f>
        <v>0</v>
      </c>
      <c r="M94" t="s">
        <v>33</v>
      </c>
    </row>
    <row r="95" spans="1:13">
      <c r="A95" t="s">
        <v>0</v>
      </c>
      <c r="B95" t="s">
        <v>180</v>
      </c>
      <c r="C95" t="s">
        <v>31</v>
      </c>
      <c r="D95" t="s">
        <v>185</v>
      </c>
      <c r="E95" cm="1">
        <f t="array" ref="E95">_xlfn.XLOOKUP(D95,SKU_Master!A:A,SKU_Master!B:B,"Not on master")</f>
        <v>0</v>
      </c>
      <c r="F95" cm="1">
        <f t="array" ref="F95">_xlfn.XLOOKUP(C95,Account_Master!A:A,Account_Master!B:B,"Not on master")</f>
        <v>0</v>
      </c>
      <c r="G95" cm="1">
        <f t="array" ref="G95">_xlfn.XLOOKUP(C95,Account_Master!A:A,Account_Master!C:C,"Not on master")</f>
        <v>0</v>
      </c>
      <c r="H95" s="6">
        <v>264</v>
      </c>
      <c r="I95" s="6">
        <v>264</v>
      </c>
      <c r="J95" s="6">
        <f>I95-H95</f>
        <v>0</v>
      </c>
      <c r="K95" s="5">
        <f>IF(H95=0,"",J95/H95)</f>
        <v>0</v>
      </c>
      <c r="L95">
        <f>IF(OR(AND(H95=0,ABS(J95)&gt;=0.01),AND(H95&lt;&gt;0,ABS(K95)&gt;VarianceThreshold)),"Review","OK")</f>
        <v>0</v>
      </c>
      <c r="M95" t="s">
        <v>33</v>
      </c>
    </row>
    <row r="96" spans="1:13">
      <c r="A96" t="s">
        <v>0</v>
      </c>
      <c r="B96" t="s">
        <v>180</v>
      </c>
      <c r="C96" t="s">
        <v>186</v>
      </c>
      <c r="D96" t="s">
        <v>187</v>
      </c>
      <c r="E96" cm="1">
        <f t="array" ref="E96">_xlfn.XLOOKUP(D96,SKU_Master!A:A,SKU_Master!B:B,"Not on master")</f>
        <v>0</v>
      </c>
      <c r="F96" cm="1">
        <f t="array" ref="F96">_xlfn.XLOOKUP(C96,Account_Master!A:A,Account_Master!B:B,"Not on master")</f>
        <v>0</v>
      </c>
      <c r="G96" cm="1">
        <f t="array" ref="G96">_xlfn.XLOOKUP(C96,Account_Master!A:A,Account_Master!C:C,"Not on master")</f>
        <v>0</v>
      </c>
      <c r="H96" s="6">
        <v>36</v>
      </c>
      <c r="I96" s="6">
        <v>36</v>
      </c>
      <c r="J96" s="6">
        <f>I96-H96</f>
        <v>0</v>
      </c>
      <c r="K96" s="5">
        <f>IF(H96=0,"",J96/H96)</f>
        <v>0</v>
      </c>
      <c r="L96">
        <f>IF(OR(AND(H96=0,ABS(J96)&gt;=0.01),AND(H96&lt;&gt;0,ABS(K96)&gt;VarianceThreshold)),"Review","OK")</f>
        <v>0</v>
      </c>
      <c r="M96" t="s">
        <v>33</v>
      </c>
    </row>
    <row r="97" spans="1:13">
      <c r="A97" t="s">
        <v>0</v>
      </c>
      <c r="B97" t="s">
        <v>180</v>
      </c>
      <c r="C97" t="s">
        <v>54</v>
      </c>
      <c r="D97" t="s">
        <v>188</v>
      </c>
      <c r="E97" cm="1">
        <f t="array" ref="E97">_xlfn.XLOOKUP(D97,SKU_Master!A:A,SKU_Master!B:B,"Not on master")</f>
        <v>0</v>
      </c>
      <c r="F97" cm="1">
        <f t="array" ref="F97">_xlfn.XLOOKUP(C97,Account_Master!A:A,Account_Master!B:B,"Not on master")</f>
        <v>0</v>
      </c>
      <c r="G97" cm="1">
        <f t="array" ref="G97">_xlfn.XLOOKUP(C97,Account_Master!A:A,Account_Master!C:C,"Not on master")</f>
        <v>0</v>
      </c>
      <c r="H97" s="6">
        <v>0.35</v>
      </c>
      <c r="I97" s="6">
        <v>0.35</v>
      </c>
      <c r="J97" s="6">
        <f>I97-H97</f>
        <v>0</v>
      </c>
      <c r="K97" s="5">
        <f>IF(H97=0,"",J97/H97)</f>
        <v>0</v>
      </c>
      <c r="L97">
        <f>IF(OR(AND(H97=0,ABS(J97)&gt;=0.01),AND(H97&lt;&gt;0,ABS(K97)&gt;VarianceThreshold)),"Review","OK")</f>
        <v>0</v>
      </c>
      <c r="M97" t="s">
        <v>33</v>
      </c>
    </row>
    <row r="98" spans="1:13">
      <c r="A98" t="s">
        <v>0</v>
      </c>
      <c r="B98" t="s">
        <v>180</v>
      </c>
      <c r="C98" t="s">
        <v>189</v>
      </c>
      <c r="D98" t="s">
        <v>190</v>
      </c>
      <c r="E98" cm="1">
        <f t="array" ref="E98">_xlfn.XLOOKUP(D98,SKU_Master!A:A,SKU_Master!B:B,"Not on master")</f>
        <v>0</v>
      </c>
      <c r="F98" cm="1">
        <f t="array" ref="F98">_xlfn.XLOOKUP(C98,Account_Master!A:A,Account_Master!B:B,"Not on master")</f>
        <v>0</v>
      </c>
      <c r="G98" cm="1">
        <f t="array" ref="G98">_xlfn.XLOOKUP(C98,Account_Master!A:A,Account_Master!C:C,"Not on master")</f>
        <v>0</v>
      </c>
      <c r="H98" s="6">
        <v>14.3</v>
      </c>
      <c r="I98" s="6">
        <v>14.3</v>
      </c>
      <c r="J98" s="6">
        <f>I98-H98</f>
        <v>0</v>
      </c>
      <c r="K98" s="5">
        <f>IF(H98=0,"",J98/H98)</f>
        <v>0</v>
      </c>
      <c r="L98">
        <f>IF(OR(AND(H98=0,ABS(J98)&gt;=0.01),AND(H98&lt;&gt;0,ABS(K98)&gt;VarianceThreshold)),"Review","OK")</f>
        <v>0</v>
      </c>
      <c r="M98" t="s">
        <v>33</v>
      </c>
    </row>
    <row r="99" spans="1:13">
      <c r="A99" t="s">
        <v>0</v>
      </c>
      <c r="B99" t="s">
        <v>180</v>
      </c>
      <c r="C99" t="s">
        <v>191</v>
      </c>
      <c r="D99" t="s">
        <v>192</v>
      </c>
      <c r="E99" cm="1">
        <f t="array" ref="E99">_xlfn.XLOOKUP(D99,SKU_Master!A:A,SKU_Master!B:B,"Not on master")</f>
        <v>0</v>
      </c>
      <c r="F99" cm="1">
        <f t="array" ref="F99">_xlfn.XLOOKUP(C99,Account_Master!A:A,Account_Master!B:B,"Not on master")</f>
        <v>0</v>
      </c>
      <c r="G99" cm="1">
        <f t="array" ref="G99">_xlfn.XLOOKUP(C99,Account_Master!A:A,Account_Master!C:C,"Not on master")</f>
        <v>0</v>
      </c>
      <c r="H99" s="6">
        <v>3</v>
      </c>
      <c r="I99" s="6">
        <v>3</v>
      </c>
      <c r="J99" s="6">
        <f>I99-H99</f>
        <v>0</v>
      </c>
      <c r="K99" s="5">
        <f>IF(H99=0,"",J99/H99)</f>
        <v>0</v>
      </c>
      <c r="L99">
        <f>IF(OR(AND(H99=0,ABS(J99)&gt;=0.01),AND(H99&lt;&gt;0,ABS(K99)&gt;VarianceThreshold)),"Review","OK")</f>
        <v>0</v>
      </c>
      <c r="M99" t="s">
        <v>33</v>
      </c>
    </row>
    <row r="100" spans="1:13">
      <c r="A100" t="s">
        <v>0</v>
      </c>
      <c r="B100" t="s">
        <v>193</v>
      </c>
      <c r="C100" t="s">
        <v>128</v>
      </c>
      <c r="D100" t="s">
        <v>194</v>
      </c>
      <c r="E100" cm="1">
        <f t="array" ref="E100">_xlfn.XLOOKUP(D100,SKU_Master!A:A,SKU_Master!B:B,"Not on master")</f>
        <v>0</v>
      </c>
      <c r="F100" cm="1">
        <f t="array" ref="F100">_xlfn.XLOOKUP(C100,Account_Master!A:A,Account_Master!B:B,"Not on master")</f>
        <v>0</v>
      </c>
      <c r="G100" cm="1">
        <f t="array" ref="G100">_xlfn.XLOOKUP(C100,Account_Master!A:A,Account_Master!C:C,"Not on master")</f>
        <v>0</v>
      </c>
      <c r="H100" s="6">
        <v>9.75</v>
      </c>
      <c r="I100" s="6">
        <v>9.75</v>
      </c>
      <c r="J100" s="6">
        <f>I100-H100</f>
        <v>0</v>
      </c>
      <c r="K100" s="5">
        <f>IF(H100=0,"",J100/H100)</f>
        <v>0</v>
      </c>
      <c r="L100">
        <f>IF(OR(AND(H100=0,ABS(J100)&gt;=0.01),AND(H100&lt;&gt;0,ABS(K100)&gt;VarianceThreshold)),"Review","OK")</f>
        <v>0</v>
      </c>
      <c r="M100" t="s">
        <v>33</v>
      </c>
    </row>
    <row r="101" spans="1:13">
      <c r="A101" t="s">
        <v>0</v>
      </c>
      <c r="B101" t="s">
        <v>193</v>
      </c>
      <c r="C101" t="s">
        <v>195</v>
      </c>
      <c r="D101" t="s">
        <v>196</v>
      </c>
      <c r="E101" cm="1">
        <f t="array" ref="E101">_xlfn.XLOOKUP(D101,SKU_Master!A:A,SKU_Master!B:B,"Not on master")</f>
        <v>0</v>
      </c>
      <c r="F101" cm="1">
        <f t="array" ref="F101">_xlfn.XLOOKUP(C101,Account_Master!A:A,Account_Master!B:B,"Not on master")</f>
        <v>0</v>
      </c>
      <c r="G101" cm="1">
        <f t="array" ref="G101">_xlfn.XLOOKUP(C101,Account_Master!A:A,Account_Master!C:C,"Not on master")</f>
        <v>0</v>
      </c>
      <c r="H101" s="6">
        <v>16.4</v>
      </c>
      <c r="I101" s="6">
        <v>16.4</v>
      </c>
      <c r="J101" s="6">
        <f>I101-H101</f>
        <v>0</v>
      </c>
      <c r="K101" s="5">
        <f>IF(H101=0,"",J101/H101)</f>
        <v>0</v>
      </c>
      <c r="L101">
        <f>IF(OR(AND(H101=0,ABS(J101)&gt;=0.01),AND(H101&lt;&gt;0,ABS(K101)&gt;VarianceThreshold)),"Review","OK")</f>
        <v>0</v>
      </c>
      <c r="M101" t="s">
        <v>33</v>
      </c>
    </row>
    <row r="102" spans="1:13">
      <c r="A102" t="s">
        <v>0</v>
      </c>
      <c r="B102" t="s">
        <v>193</v>
      </c>
      <c r="C102" t="s">
        <v>197</v>
      </c>
      <c r="D102" t="s">
        <v>198</v>
      </c>
      <c r="E102" cm="1">
        <f t="array" ref="E102">_xlfn.XLOOKUP(D102,SKU_Master!A:A,SKU_Master!B:B,"Not on master")</f>
        <v>0</v>
      </c>
      <c r="F102" cm="1">
        <f t="array" ref="F102">_xlfn.XLOOKUP(C102,Account_Master!A:A,Account_Master!B:B,"Not on master")</f>
        <v>0</v>
      </c>
      <c r="G102" cm="1">
        <f t="array" ref="G102">_xlfn.XLOOKUP(C102,Account_Master!A:A,Account_Master!C:C,"Not on master")</f>
        <v>0</v>
      </c>
      <c r="H102" s="6">
        <v>15</v>
      </c>
      <c r="I102" s="6">
        <v>15</v>
      </c>
      <c r="J102" s="6">
        <f>I102-H102</f>
        <v>0</v>
      </c>
      <c r="K102" s="5">
        <f>IF(H102=0,"",J102/H102)</f>
        <v>0</v>
      </c>
      <c r="L102">
        <f>IF(OR(AND(H102=0,ABS(J102)&gt;=0.01),AND(H102&lt;&gt;0,ABS(K102)&gt;VarianceThreshold)),"Review","OK")</f>
        <v>0</v>
      </c>
      <c r="M102" t="s">
        <v>33</v>
      </c>
    </row>
    <row r="103" spans="1:13">
      <c r="A103" t="s">
        <v>0</v>
      </c>
      <c r="B103" t="s">
        <v>193</v>
      </c>
      <c r="C103" t="s">
        <v>126</v>
      </c>
      <c r="D103" t="s">
        <v>199</v>
      </c>
      <c r="E103" cm="1">
        <f t="array" ref="E103">_xlfn.XLOOKUP(D103,SKU_Master!A:A,SKU_Master!B:B,"Not on master")</f>
        <v>0</v>
      </c>
      <c r="F103" cm="1">
        <f t="array" ref="F103">_xlfn.XLOOKUP(C103,Account_Master!A:A,Account_Master!B:B,"Not on master")</f>
        <v>0</v>
      </c>
      <c r="G103" cm="1">
        <f t="array" ref="G103">_xlfn.XLOOKUP(C103,Account_Master!A:A,Account_Master!C:C,"Not on master")</f>
        <v>0</v>
      </c>
      <c r="H103" s="6">
        <v>48</v>
      </c>
      <c r="I103" s="6">
        <v>48</v>
      </c>
      <c r="J103" s="6">
        <f>I103-H103</f>
        <v>0</v>
      </c>
      <c r="K103" s="5">
        <f>IF(H103=0,"",J103/H103)</f>
        <v>0</v>
      </c>
      <c r="L103">
        <f>IF(OR(AND(H103=0,ABS(J103)&gt;=0.01),AND(H103&lt;&gt;0,ABS(K103)&gt;VarianceThreshold)),"Review","OK")</f>
        <v>0</v>
      </c>
      <c r="M103" t="s">
        <v>33</v>
      </c>
    </row>
    <row r="104" spans="1:13">
      <c r="A104" t="s">
        <v>0</v>
      </c>
      <c r="B104" t="s">
        <v>193</v>
      </c>
      <c r="C104" t="s">
        <v>84</v>
      </c>
      <c r="D104" t="s">
        <v>200</v>
      </c>
      <c r="E104" cm="1">
        <f t="array" ref="E104">_xlfn.XLOOKUP(D104,SKU_Master!A:A,SKU_Master!B:B,"Not on master")</f>
        <v>0</v>
      </c>
      <c r="F104" cm="1">
        <f t="array" ref="F104">_xlfn.XLOOKUP(C104,Account_Master!A:A,Account_Master!B:B,"Not on master")</f>
        <v>0</v>
      </c>
      <c r="G104" cm="1">
        <f t="array" ref="G104">_xlfn.XLOOKUP(C104,Account_Master!A:A,Account_Master!C:C,"Not on master")</f>
        <v>0</v>
      </c>
      <c r="H104" s="6">
        <v>70.59999999999999</v>
      </c>
      <c r="I104" s="6">
        <v>70.59999999999999</v>
      </c>
      <c r="J104" s="6">
        <f>I104-H104</f>
        <v>0</v>
      </c>
      <c r="K104" s="5">
        <f>IF(H104=0,"",J104/H104)</f>
        <v>0</v>
      </c>
      <c r="L104">
        <f>IF(OR(AND(H104=0,ABS(J104)&gt;=0.01),AND(H104&lt;&gt;0,ABS(K104)&gt;VarianceThreshold)),"Review","OK")</f>
        <v>0</v>
      </c>
      <c r="M104" t="s">
        <v>33</v>
      </c>
    </row>
    <row r="105" spans="1:13">
      <c r="A105" t="s">
        <v>0</v>
      </c>
      <c r="B105" t="s">
        <v>193</v>
      </c>
      <c r="C105" t="s">
        <v>45</v>
      </c>
      <c r="D105" t="s">
        <v>201</v>
      </c>
      <c r="E105" cm="1">
        <f t="array" ref="E105">_xlfn.XLOOKUP(D105,SKU_Master!A:A,SKU_Master!B:B,"Not on master")</f>
        <v>0</v>
      </c>
      <c r="F105" cm="1">
        <f t="array" ref="F105">_xlfn.XLOOKUP(C105,Account_Master!A:A,Account_Master!B:B,"Not on master")</f>
        <v>0</v>
      </c>
      <c r="G105" cm="1">
        <f t="array" ref="G105">_xlfn.XLOOKUP(C105,Account_Master!A:A,Account_Master!C:C,"Not on master")</f>
        <v>0</v>
      </c>
      <c r="H105" s="6">
        <v>4.5</v>
      </c>
      <c r="I105" s="6">
        <v>4.5</v>
      </c>
      <c r="J105" s="6">
        <f>I105-H105</f>
        <v>0</v>
      </c>
      <c r="K105" s="5">
        <f>IF(H105=0,"",J105/H105)</f>
        <v>0</v>
      </c>
      <c r="L105">
        <f>IF(OR(AND(H105=0,ABS(J105)&gt;=0.01),AND(H105&lt;&gt;0,ABS(K105)&gt;VarianceThreshold)),"Review","OK")</f>
        <v>0</v>
      </c>
      <c r="M105" t="s">
        <v>33</v>
      </c>
    </row>
    <row r="106" spans="1:13">
      <c r="A106" t="s">
        <v>0</v>
      </c>
      <c r="B106" t="s">
        <v>193</v>
      </c>
      <c r="C106" t="s">
        <v>77</v>
      </c>
      <c r="D106" t="s">
        <v>202</v>
      </c>
      <c r="E106" cm="1">
        <f t="array" ref="E106">_xlfn.XLOOKUP(D106,SKU_Master!A:A,SKU_Master!B:B,"Not on master")</f>
        <v>0</v>
      </c>
      <c r="F106" cm="1">
        <f t="array" ref="F106">_xlfn.XLOOKUP(C106,Account_Master!A:A,Account_Master!B:B,"Not on master")</f>
        <v>0</v>
      </c>
      <c r="G106" cm="1">
        <f t="array" ref="G106">_xlfn.XLOOKUP(C106,Account_Master!A:A,Account_Master!C:C,"Not on master")</f>
        <v>0</v>
      </c>
      <c r="H106" s="6">
        <v>20.25</v>
      </c>
      <c r="I106" s="6">
        <v>20.25</v>
      </c>
      <c r="J106" s="6">
        <f>I106-H106</f>
        <v>0</v>
      </c>
      <c r="K106" s="5">
        <f>IF(H106=0,"",J106/H106)</f>
        <v>0</v>
      </c>
      <c r="L106">
        <f>IF(OR(AND(H106=0,ABS(J106)&gt;=0.01),AND(H106&lt;&gt;0,ABS(K106)&gt;VarianceThreshold)),"Review","OK")</f>
        <v>0</v>
      </c>
      <c r="M106" t="s">
        <v>33</v>
      </c>
    </row>
    <row r="107" spans="1:13">
      <c r="A107" t="s">
        <v>0</v>
      </c>
      <c r="B107" t="s">
        <v>193</v>
      </c>
      <c r="C107" t="s">
        <v>110</v>
      </c>
      <c r="D107" t="s">
        <v>203</v>
      </c>
      <c r="E107" cm="1">
        <f t="array" ref="E107">_xlfn.XLOOKUP(D107,SKU_Master!A:A,SKU_Master!B:B,"Not on master")</f>
        <v>0</v>
      </c>
      <c r="F107" cm="1">
        <f t="array" ref="F107">_xlfn.XLOOKUP(C107,Account_Master!A:A,Account_Master!B:B,"Not on master")</f>
        <v>0</v>
      </c>
      <c r="G107" cm="1">
        <f t="array" ref="G107">_xlfn.XLOOKUP(C107,Account_Master!A:A,Account_Master!C:C,"Not on master")</f>
        <v>0</v>
      </c>
      <c r="H107" s="6">
        <v>31.5</v>
      </c>
      <c r="I107" s="6">
        <v>31.5</v>
      </c>
      <c r="J107" s="6">
        <f>I107-H107</f>
        <v>0</v>
      </c>
      <c r="K107" s="5">
        <f>IF(H107=0,"",J107/H107)</f>
        <v>0</v>
      </c>
      <c r="L107">
        <f>IF(OR(AND(H107=0,ABS(J107)&gt;=0.01),AND(H107&lt;&gt;0,ABS(K107)&gt;VarianceThreshold)),"Review","OK")</f>
        <v>0</v>
      </c>
      <c r="M107" t="s">
        <v>33</v>
      </c>
    </row>
    <row r="108" spans="1:13">
      <c r="A108" t="s">
        <v>0</v>
      </c>
      <c r="B108" t="s">
        <v>193</v>
      </c>
      <c r="C108" t="s">
        <v>84</v>
      </c>
      <c r="D108" t="s">
        <v>204</v>
      </c>
      <c r="E108" cm="1">
        <f t="array" ref="E108">_xlfn.XLOOKUP(D108,SKU_Master!A:A,SKU_Master!B:B,"Not on master")</f>
        <v>0</v>
      </c>
      <c r="F108" cm="1">
        <f t="array" ref="F108">_xlfn.XLOOKUP(C108,Account_Master!A:A,Account_Master!B:B,"Not on master")</f>
        <v>0</v>
      </c>
      <c r="G108" cm="1">
        <f t="array" ref="G108">_xlfn.XLOOKUP(C108,Account_Master!A:A,Account_Master!C:C,"Not on master")</f>
        <v>0</v>
      </c>
      <c r="H108" s="6">
        <v>4.5</v>
      </c>
      <c r="I108" s="6">
        <v>4.5</v>
      </c>
      <c r="J108" s="6">
        <f>I108-H108</f>
        <v>0</v>
      </c>
      <c r="K108" s="5">
        <f>IF(H108=0,"",J108/H108)</f>
        <v>0</v>
      </c>
      <c r="L108">
        <f>IF(OR(AND(H108=0,ABS(J108)&gt;=0.01),AND(H108&lt;&gt;0,ABS(K108)&gt;VarianceThreshold)),"Review","OK")</f>
        <v>0</v>
      </c>
      <c r="M108" t="s">
        <v>33</v>
      </c>
    </row>
    <row r="109" spans="1:13">
      <c r="A109" t="s">
        <v>0</v>
      </c>
      <c r="B109" t="s">
        <v>205</v>
      </c>
      <c r="C109" t="s">
        <v>59</v>
      </c>
      <c r="D109" t="s">
        <v>206</v>
      </c>
      <c r="E109" cm="1">
        <f t="array" ref="E109">_xlfn.XLOOKUP(D109,SKU_Master!A:A,SKU_Master!B:B,"Not on master")</f>
        <v>0</v>
      </c>
      <c r="F109" cm="1">
        <f t="array" ref="F109">_xlfn.XLOOKUP(C109,Account_Master!A:A,Account_Master!B:B,"Not on master")</f>
        <v>0</v>
      </c>
      <c r="G109" cm="1">
        <f t="array" ref="G109">_xlfn.XLOOKUP(C109,Account_Master!A:A,Account_Master!C:C,"Not on master")</f>
        <v>0</v>
      </c>
      <c r="H109" s="6">
        <v>338.25</v>
      </c>
      <c r="I109" s="6">
        <v>338.25</v>
      </c>
      <c r="J109" s="6">
        <f>I109-H109</f>
        <v>0</v>
      </c>
      <c r="K109" s="5">
        <f>IF(H109=0,"",J109/H109)</f>
        <v>0</v>
      </c>
      <c r="L109">
        <f>IF(OR(AND(H109=0,ABS(J109)&gt;=0.01),AND(H109&lt;&gt;0,ABS(K109)&gt;VarianceThreshold)),"Review","OK")</f>
        <v>0</v>
      </c>
      <c r="M109" t="s">
        <v>33</v>
      </c>
    </row>
    <row r="110" spans="1:13">
      <c r="A110" t="s">
        <v>0</v>
      </c>
      <c r="B110" t="s">
        <v>205</v>
      </c>
      <c r="C110" t="s">
        <v>128</v>
      </c>
      <c r="D110" t="s">
        <v>207</v>
      </c>
      <c r="E110" cm="1">
        <f t="array" ref="E110">_xlfn.XLOOKUP(D110,SKU_Master!A:A,SKU_Master!B:B,"Not on master")</f>
        <v>0</v>
      </c>
      <c r="F110" cm="1">
        <f t="array" ref="F110">_xlfn.XLOOKUP(C110,Account_Master!A:A,Account_Master!B:B,"Not on master")</f>
        <v>0</v>
      </c>
      <c r="G110" cm="1">
        <f t="array" ref="G110">_xlfn.XLOOKUP(C110,Account_Master!A:A,Account_Master!C:C,"Not on master")</f>
        <v>0</v>
      </c>
      <c r="H110" s="6">
        <v>42</v>
      </c>
      <c r="I110" s="6">
        <v>42</v>
      </c>
      <c r="J110" s="6">
        <f>I110-H110</f>
        <v>0</v>
      </c>
      <c r="K110" s="5">
        <f>IF(H110=0,"",J110/H110)</f>
        <v>0</v>
      </c>
      <c r="L110">
        <f>IF(OR(AND(H110=0,ABS(J110)&gt;=0.01),AND(H110&lt;&gt;0,ABS(K110)&gt;VarianceThreshold)),"Review","OK")</f>
        <v>0</v>
      </c>
      <c r="M110" t="s">
        <v>33</v>
      </c>
    </row>
    <row r="111" spans="1:13">
      <c r="A111" t="s">
        <v>0</v>
      </c>
      <c r="B111" t="s">
        <v>205</v>
      </c>
      <c r="C111" t="s">
        <v>87</v>
      </c>
      <c r="D111" t="s">
        <v>208</v>
      </c>
      <c r="E111" cm="1">
        <f t="array" ref="E111">_xlfn.XLOOKUP(D111,SKU_Master!A:A,SKU_Master!B:B,"Not on master")</f>
        <v>0</v>
      </c>
      <c r="F111" cm="1">
        <f t="array" ref="F111">_xlfn.XLOOKUP(C111,Account_Master!A:A,Account_Master!B:B,"Not on master")</f>
        <v>0</v>
      </c>
      <c r="G111" cm="1">
        <f t="array" ref="G111">_xlfn.XLOOKUP(C111,Account_Master!A:A,Account_Master!C:C,"Not on master")</f>
        <v>0</v>
      </c>
      <c r="H111" s="6">
        <v>1.5</v>
      </c>
      <c r="I111" s="6">
        <v>1.5</v>
      </c>
      <c r="J111" s="6">
        <f>I111-H111</f>
        <v>0</v>
      </c>
      <c r="K111" s="5">
        <f>IF(H111=0,"",J111/H111)</f>
        <v>0</v>
      </c>
      <c r="L111">
        <f>IF(OR(AND(H111=0,ABS(J111)&gt;=0.01),AND(H111&lt;&gt;0,ABS(K111)&gt;VarianceThreshold)),"Review","OK")</f>
        <v>0</v>
      </c>
      <c r="M111" t="s">
        <v>33</v>
      </c>
    </row>
    <row r="112" spans="1:13">
      <c r="A112" t="s">
        <v>0</v>
      </c>
      <c r="B112" t="s">
        <v>205</v>
      </c>
      <c r="C112" t="s">
        <v>209</v>
      </c>
      <c r="D112" t="s">
        <v>210</v>
      </c>
      <c r="E112" cm="1">
        <f t="array" ref="E112">_xlfn.XLOOKUP(D112,SKU_Master!A:A,SKU_Master!B:B,"Not on master")</f>
        <v>0</v>
      </c>
      <c r="F112" cm="1">
        <f t="array" ref="F112">_xlfn.XLOOKUP(C112,Account_Master!A:A,Account_Master!B:B,"Not on master")</f>
        <v>0</v>
      </c>
      <c r="G112" cm="1">
        <f t="array" ref="G112">_xlfn.XLOOKUP(C112,Account_Master!A:A,Account_Master!C:C,"Not on master")</f>
        <v>0</v>
      </c>
      <c r="H112" s="6">
        <v>39</v>
      </c>
      <c r="I112" s="6">
        <v>39</v>
      </c>
      <c r="J112" s="6">
        <f>I112-H112</f>
        <v>0</v>
      </c>
      <c r="K112" s="5">
        <f>IF(H112=0,"",J112/H112)</f>
        <v>0</v>
      </c>
      <c r="L112">
        <f>IF(OR(AND(H112=0,ABS(J112)&gt;=0.01),AND(H112&lt;&gt;0,ABS(K112)&gt;VarianceThreshold)),"Review","OK")</f>
        <v>0</v>
      </c>
      <c r="M112" t="s">
        <v>33</v>
      </c>
    </row>
    <row r="113" spans="1:13">
      <c r="A113" t="s">
        <v>0</v>
      </c>
      <c r="B113" t="s">
        <v>205</v>
      </c>
      <c r="C113" t="s">
        <v>128</v>
      </c>
      <c r="D113" t="s">
        <v>211</v>
      </c>
      <c r="E113" cm="1">
        <f t="array" ref="E113">_xlfn.XLOOKUP(D113,SKU_Master!A:A,SKU_Master!B:B,"Not on master")</f>
        <v>0</v>
      </c>
      <c r="F113" cm="1">
        <f t="array" ref="F113">_xlfn.XLOOKUP(C113,Account_Master!A:A,Account_Master!B:B,"Not on master")</f>
        <v>0</v>
      </c>
      <c r="G113" cm="1">
        <f t="array" ref="G113">_xlfn.XLOOKUP(C113,Account_Master!A:A,Account_Master!C:C,"Not on master")</f>
        <v>0</v>
      </c>
      <c r="H113" s="6">
        <v>6</v>
      </c>
      <c r="I113" s="6">
        <v>6</v>
      </c>
      <c r="J113" s="6">
        <f>I113-H113</f>
        <v>0</v>
      </c>
      <c r="K113" s="5">
        <f>IF(H113=0,"",J113/H113)</f>
        <v>0</v>
      </c>
      <c r="L113">
        <f>IF(OR(AND(H113=0,ABS(J113)&gt;=0.01),AND(H113&lt;&gt;0,ABS(K113)&gt;VarianceThreshold)),"Review","OK")</f>
        <v>0</v>
      </c>
      <c r="M113" t="s">
        <v>33</v>
      </c>
    </row>
    <row r="114" spans="1:13">
      <c r="A114" t="s">
        <v>0</v>
      </c>
      <c r="B114" t="s">
        <v>205</v>
      </c>
      <c r="C114" t="s">
        <v>212</v>
      </c>
      <c r="D114" t="s">
        <v>213</v>
      </c>
      <c r="E114" cm="1">
        <f t="array" ref="E114">_xlfn.XLOOKUP(D114,SKU_Master!A:A,SKU_Master!B:B,"Not on master")</f>
        <v>0</v>
      </c>
      <c r="F114" cm="1">
        <f t="array" ref="F114">_xlfn.XLOOKUP(C114,Account_Master!A:A,Account_Master!B:B,"Not on master")</f>
        <v>0</v>
      </c>
      <c r="G114" cm="1">
        <f t="array" ref="G114">_xlfn.XLOOKUP(C114,Account_Master!A:A,Account_Master!C:C,"Not on master")</f>
        <v>0</v>
      </c>
      <c r="H114" s="6">
        <v>7.12</v>
      </c>
      <c r="I114" s="6">
        <v>7.12</v>
      </c>
      <c r="J114" s="6">
        <f>I114-H114</f>
        <v>0</v>
      </c>
      <c r="K114" s="5">
        <f>IF(H114=0,"",J114/H114)</f>
        <v>0</v>
      </c>
      <c r="L114">
        <f>IF(OR(AND(H114=0,ABS(J114)&gt;=0.01),AND(H114&lt;&gt;0,ABS(K114)&gt;VarianceThreshold)),"Review","OK")</f>
        <v>0</v>
      </c>
      <c r="M114" t="s">
        <v>33</v>
      </c>
    </row>
    <row r="115" spans="1:13">
      <c r="A115" t="s">
        <v>0</v>
      </c>
      <c r="B115" t="s">
        <v>205</v>
      </c>
      <c r="C115" t="s">
        <v>214</v>
      </c>
      <c r="D115" t="s">
        <v>215</v>
      </c>
      <c r="E115" cm="1">
        <f t="array" ref="E115">_xlfn.XLOOKUP(D115,SKU_Master!A:A,SKU_Master!B:B,"Not on master")</f>
        <v>0</v>
      </c>
      <c r="F115" cm="1">
        <f t="array" ref="F115">_xlfn.XLOOKUP(C115,Account_Master!A:A,Account_Master!B:B,"Not on master")</f>
        <v>0</v>
      </c>
      <c r="G115" cm="1">
        <f t="array" ref="G115">_xlfn.XLOOKUP(C115,Account_Master!A:A,Account_Master!C:C,"Not on master")</f>
        <v>0</v>
      </c>
      <c r="H115" s="6">
        <v>1.75</v>
      </c>
      <c r="I115" s="6">
        <v>1.75</v>
      </c>
      <c r="J115" s="6">
        <f>I115-H115</f>
        <v>0</v>
      </c>
      <c r="K115" s="5">
        <f>IF(H115=0,"",J115/H115)</f>
        <v>0</v>
      </c>
      <c r="L115">
        <f>IF(OR(AND(H115=0,ABS(J115)&gt;=0.01),AND(H115&lt;&gt;0,ABS(K115)&gt;VarianceThreshold)),"Review","OK")</f>
        <v>0</v>
      </c>
      <c r="M115" t="s">
        <v>33</v>
      </c>
    </row>
    <row r="116" spans="1:13">
      <c r="A116" t="s">
        <v>0</v>
      </c>
      <c r="B116" t="s">
        <v>216</v>
      </c>
      <c r="C116" t="s">
        <v>95</v>
      </c>
      <c r="D116" t="s">
        <v>217</v>
      </c>
      <c r="E116" cm="1">
        <f t="array" ref="E116">_xlfn.XLOOKUP(D116,SKU_Master!A:A,SKU_Master!B:B,"Not on master")</f>
        <v>0</v>
      </c>
      <c r="F116" cm="1">
        <f t="array" ref="F116">_xlfn.XLOOKUP(C116,Account_Master!A:A,Account_Master!B:B,"Not on master")</f>
        <v>0</v>
      </c>
      <c r="G116" cm="1">
        <f t="array" ref="G116">_xlfn.XLOOKUP(C116,Account_Master!A:A,Account_Master!C:C,"Not on master")</f>
        <v>0</v>
      </c>
      <c r="H116" s="6">
        <v>0.75</v>
      </c>
      <c r="I116" s="6">
        <v>0.75</v>
      </c>
      <c r="J116" s="6">
        <f>I116-H116</f>
        <v>0</v>
      </c>
      <c r="K116" s="5">
        <f>IF(H116=0,"",J116/H116)</f>
        <v>0</v>
      </c>
      <c r="L116">
        <f>IF(OR(AND(H116=0,ABS(J116)&gt;=0.01),AND(H116&lt;&gt;0,ABS(K116)&gt;VarianceThreshold)),"Review","OK")</f>
        <v>0</v>
      </c>
      <c r="M116" t="s">
        <v>33</v>
      </c>
    </row>
    <row r="117" spans="1:13">
      <c r="A117" t="s">
        <v>0</v>
      </c>
      <c r="B117" t="s">
        <v>216</v>
      </c>
      <c r="C117" t="s">
        <v>45</v>
      </c>
      <c r="D117" t="s">
        <v>218</v>
      </c>
      <c r="E117" cm="1">
        <f t="array" ref="E117">_xlfn.XLOOKUP(D117,SKU_Master!A:A,SKU_Master!B:B,"Not on master")</f>
        <v>0</v>
      </c>
      <c r="F117" cm="1">
        <f t="array" ref="F117">_xlfn.XLOOKUP(C117,Account_Master!A:A,Account_Master!B:B,"Not on master")</f>
        <v>0</v>
      </c>
      <c r="G117" cm="1">
        <f t="array" ref="G117">_xlfn.XLOOKUP(C117,Account_Master!A:A,Account_Master!C:C,"Not on master")</f>
        <v>0</v>
      </c>
      <c r="H117" s="6">
        <v>4.5</v>
      </c>
      <c r="I117" s="6">
        <v>4.5</v>
      </c>
      <c r="J117" s="6">
        <f>I117-H117</f>
        <v>0</v>
      </c>
      <c r="K117" s="5">
        <f>IF(H117=0,"",J117/H117)</f>
        <v>0</v>
      </c>
      <c r="L117">
        <f>IF(OR(AND(H117=0,ABS(J117)&gt;=0.01),AND(H117&lt;&gt;0,ABS(K117)&gt;VarianceThreshold)),"Review","OK")</f>
        <v>0</v>
      </c>
      <c r="M117" t="s">
        <v>33</v>
      </c>
    </row>
    <row r="118" spans="1:13">
      <c r="A118" t="s">
        <v>0</v>
      </c>
      <c r="B118" t="s">
        <v>216</v>
      </c>
      <c r="C118" t="s">
        <v>82</v>
      </c>
      <c r="D118" t="s">
        <v>219</v>
      </c>
      <c r="E118" cm="1">
        <f t="array" ref="E118">_xlfn.XLOOKUP(D118,SKU_Master!A:A,SKU_Master!B:B,"Not on master")</f>
        <v>0</v>
      </c>
      <c r="F118" cm="1">
        <f t="array" ref="F118">_xlfn.XLOOKUP(C118,Account_Master!A:A,Account_Master!B:B,"Not on master")</f>
        <v>0</v>
      </c>
      <c r="G118" cm="1">
        <f t="array" ref="G118">_xlfn.XLOOKUP(C118,Account_Master!A:A,Account_Master!C:C,"Not on master")</f>
        <v>0</v>
      </c>
      <c r="H118" s="6">
        <v>12</v>
      </c>
      <c r="I118" s="6">
        <v>12</v>
      </c>
      <c r="J118" s="6">
        <f>I118-H118</f>
        <v>0</v>
      </c>
      <c r="K118" s="5">
        <f>IF(H118=0,"",J118/H118)</f>
        <v>0</v>
      </c>
      <c r="L118">
        <f>IF(OR(AND(H118=0,ABS(J118)&gt;=0.01),AND(H118&lt;&gt;0,ABS(K118)&gt;VarianceThreshold)),"Review","OK")</f>
        <v>0</v>
      </c>
      <c r="M118" t="s">
        <v>33</v>
      </c>
    </row>
    <row r="119" spans="1:13">
      <c r="A119" t="s">
        <v>0</v>
      </c>
      <c r="B119" t="s">
        <v>216</v>
      </c>
      <c r="C119" t="s">
        <v>220</v>
      </c>
      <c r="D119" t="s">
        <v>221</v>
      </c>
      <c r="E119" cm="1">
        <f t="array" ref="E119">_xlfn.XLOOKUP(D119,SKU_Master!A:A,SKU_Master!B:B,"Not on master")</f>
        <v>0</v>
      </c>
      <c r="F119" cm="1">
        <f t="array" ref="F119">_xlfn.XLOOKUP(C119,Account_Master!A:A,Account_Master!B:B,"Not on master")</f>
        <v>0</v>
      </c>
      <c r="G119" cm="1">
        <f t="array" ref="G119">_xlfn.XLOOKUP(C119,Account_Master!A:A,Account_Master!C:C,"Not on master")</f>
        <v>0</v>
      </c>
      <c r="H119" s="6">
        <v>3.75</v>
      </c>
      <c r="I119" s="6">
        <v>3.75</v>
      </c>
      <c r="J119" s="6">
        <f>I119-H119</f>
        <v>0</v>
      </c>
      <c r="K119" s="5">
        <f>IF(H119=0,"",J119/H119)</f>
        <v>0</v>
      </c>
      <c r="L119">
        <f>IF(OR(AND(H119=0,ABS(J119)&gt;=0.01),AND(H119&lt;&gt;0,ABS(K119)&gt;VarianceThreshold)),"Review","OK")</f>
        <v>0</v>
      </c>
      <c r="M119" t="s">
        <v>33</v>
      </c>
    </row>
    <row r="120" spans="1:13">
      <c r="A120" t="s">
        <v>0</v>
      </c>
      <c r="B120" t="s">
        <v>216</v>
      </c>
      <c r="C120" t="s">
        <v>110</v>
      </c>
      <c r="D120" t="s">
        <v>222</v>
      </c>
      <c r="E120" cm="1">
        <f t="array" ref="E120">_xlfn.XLOOKUP(D120,SKU_Master!A:A,SKU_Master!B:B,"Not on master")</f>
        <v>0</v>
      </c>
      <c r="F120" cm="1">
        <f t="array" ref="F120">_xlfn.XLOOKUP(C120,Account_Master!A:A,Account_Master!B:B,"Not on master")</f>
        <v>0</v>
      </c>
      <c r="G120" cm="1">
        <f t="array" ref="G120">_xlfn.XLOOKUP(C120,Account_Master!A:A,Account_Master!C:C,"Not on master")</f>
        <v>0</v>
      </c>
      <c r="H120" s="6">
        <v>45</v>
      </c>
      <c r="I120" s="6">
        <v>45</v>
      </c>
      <c r="J120" s="6">
        <f>I120-H120</f>
        <v>0</v>
      </c>
      <c r="K120" s="5">
        <f>IF(H120=0,"",J120/H120)</f>
        <v>0</v>
      </c>
      <c r="L120">
        <f>IF(OR(AND(H120=0,ABS(J120)&gt;=0.01),AND(H120&lt;&gt;0,ABS(K120)&gt;VarianceThreshold)),"Review","OK")</f>
        <v>0</v>
      </c>
      <c r="M120" t="s">
        <v>33</v>
      </c>
    </row>
    <row r="121" spans="1:13">
      <c r="A121" t="s">
        <v>0</v>
      </c>
      <c r="B121" t="s">
        <v>216</v>
      </c>
      <c r="C121" t="s">
        <v>52</v>
      </c>
      <c r="D121" t="s">
        <v>223</v>
      </c>
      <c r="E121" cm="1">
        <f t="array" ref="E121">_xlfn.XLOOKUP(D121,SKU_Master!A:A,SKU_Master!B:B,"Not on master")</f>
        <v>0</v>
      </c>
      <c r="F121" cm="1">
        <f t="array" ref="F121">_xlfn.XLOOKUP(C121,Account_Master!A:A,Account_Master!B:B,"Not on master")</f>
        <v>0</v>
      </c>
      <c r="G121" cm="1">
        <f t="array" ref="G121">_xlfn.XLOOKUP(C121,Account_Master!A:A,Account_Master!C:C,"Not on master")</f>
        <v>0</v>
      </c>
      <c r="H121" s="6">
        <v>11.99</v>
      </c>
      <c r="I121" s="6">
        <v>11.99</v>
      </c>
      <c r="J121" s="6">
        <f>I121-H121</f>
        <v>0</v>
      </c>
      <c r="K121" s="5">
        <f>IF(H121=0,"",J121/H121)</f>
        <v>0</v>
      </c>
      <c r="L121">
        <f>IF(OR(AND(H121=0,ABS(J121)&gt;=0.01),AND(H121&lt;&gt;0,ABS(K121)&gt;VarianceThreshold)),"Review","OK")</f>
        <v>0</v>
      </c>
      <c r="M121" t="s">
        <v>33</v>
      </c>
    </row>
    <row r="122" spans="1:13">
      <c r="A122" t="s">
        <v>0</v>
      </c>
      <c r="B122" t="s">
        <v>216</v>
      </c>
      <c r="C122" t="s">
        <v>224</v>
      </c>
      <c r="D122" t="s">
        <v>225</v>
      </c>
      <c r="E122" cm="1">
        <f t="array" ref="E122">_xlfn.XLOOKUP(D122,SKU_Master!A:A,SKU_Master!B:B,"Not on master")</f>
        <v>0</v>
      </c>
      <c r="F122" cm="1">
        <f t="array" ref="F122">_xlfn.XLOOKUP(C122,Account_Master!A:A,Account_Master!B:B,"Not on master")</f>
        <v>0</v>
      </c>
      <c r="G122" cm="1">
        <f t="array" ref="G122">_xlfn.XLOOKUP(C122,Account_Master!A:A,Account_Master!C:C,"Not on master")</f>
        <v>0</v>
      </c>
      <c r="H122" s="6">
        <v>5.25</v>
      </c>
      <c r="I122" s="6">
        <v>5.25</v>
      </c>
      <c r="J122" s="6">
        <f>I122-H122</f>
        <v>0</v>
      </c>
      <c r="K122" s="5">
        <f>IF(H122=0,"",J122/H122)</f>
        <v>0</v>
      </c>
      <c r="L122">
        <f>IF(OR(AND(H122=0,ABS(J122)&gt;=0.01),AND(H122&lt;&gt;0,ABS(K122)&gt;VarianceThreshold)),"Review","OK")</f>
        <v>0</v>
      </c>
      <c r="M122" t="s">
        <v>33</v>
      </c>
    </row>
    <row r="123" spans="1:13">
      <c r="A123" t="s">
        <v>0</v>
      </c>
      <c r="B123" t="s">
        <v>226</v>
      </c>
      <c r="C123" t="s">
        <v>227</v>
      </c>
      <c r="D123" t="s">
        <v>228</v>
      </c>
      <c r="E123" cm="1">
        <f t="array" ref="E123">_xlfn.XLOOKUP(D123,SKU_Master!A:A,SKU_Master!B:B,"Not on master")</f>
        <v>0</v>
      </c>
      <c r="F123" cm="1">
        <f t="array" ref="F123">_xlfn.XLOOKUP(C123,Account_Master!A:A,Account_Master!B:B,"Not on master")</f>
        <v>0</v>
      </c>
      <c r="G123" cm="1">
        <f t="array" ref="G123">_xlfn.XLOOKUP(C123,Account_Master!A:A,Account_Master!C:C,"Not on master")</f>
        <v>0</v>
      </c>
      <c r="H123" s="6">
        <v>10.5</v>
      </c>
      <c r="I123" s="6">
        <v>10.5</v>
      </c>
      <c r="J123" s="6">
        <f>I123-H123</f>
        <v>0</v>
      </c>
      <c r="K123" s="5">
        <f>IF(H123=0,"",J123/H123)</f>
        <v>0</v>
      </c>
      <c r="L123">
        <f>IF(OR(AND(H123=0,ABS(J123)&gt;=0.01),AND(H123&lt;&gt;0,ABS(K123)&gt;VarianceThreshold)),"Review","OK")</f>
        <v>0</v>
      </c>
      <c r="M123" t="s">
        <v>33</v>
      </c>
    </row>
    <row r="124" spans="1:13">
      <c r="A124" t="s">
        <v>0</v>
      </c>
      <c r="B124" t="s">
        <v>226</v>
      </c>
      <c r="C124" t="s">
        <v>229</v>
      </c>
      <c r="D124" t="s">
        <v>230</v>
      </c>
      <c r="E124" cm="1">
        <f t="array" ref="E124">_xlfn.XLOOKUP(D124,SKU_Master!A:A,SKU_Master!B:B,"Not on master")</f>
        <v>0</v>
      </c>
      <c r="F124" cm="1">
        <f t="array" ref="F124">_xlfn.XLOOKUP(C124,Account_Master!A:A,Account_Master!B:B,"Not on master")</f>
        <v>0</v>
      </c>
      <c r="G124" cm="1">
        <f t="array" ref="G124">_xlfn.XLOOKUP(C124,Account_Master!A:A,Account_Master!C:C,"Not on master")</f>
        <v>0</v>
      </c>
      <c r="H124" s="6">
        <v>3.55</v>
      </c>
      <c r="I124" s="6">
        <v>3.55</v>
      </c>
      <c r="J124" s="6">
        <f>I124-H124</f>
        <v>0</v>
      </c>
      <c r="K124" s="5">
        <f>IF(H124=0,"",J124/H124)</f>
        <v>0</v>
      </c>
      <c r="L124">
        <f>IF(OR(AND(H124=0,ABS(J124)&gt;=0.01),AND(H124&lt;&gt;0,ABS(K124)&gt;VarianceThreshold)),"Review","OK")</f>
        <v>0</v>
      </c>
      <c r="M124" t="s">
        <v>33</v>
      </c>
    </row>
    <row r="125" spans="1:13">
      <c r="A125" t="s">
        <v>0</v>
      </c>
      <c r="B125" t="s">
        <v>231</v>
      </c>
      <c r="C125" t="s">
        <v>84</v>
      </c>
      <c r="D125" t="s">
        <v>232</v>
      </c>
      <c r="E125" cm="1">
        <f t="array" ref="E125">_xlfn.XLOOKUP(D125,SKU_Master!A:A,SKU_Master!B:B,"Not on master")</f>
        <v>0</v>
      </c>
      <c r="F125" cm="1">
        <f t="array" ref="F125">_xlfn.XLOOKUP(C125,Account_Master!A:A,Account_Master!B:B,"Not on master")</f>
        <v>0</v>
      </c>
      <c r="G125" cm="1">
        <f t="array" ref="G125">_xlfn.XLOOKUP(C125,Account_Master!A:A,Account_Master!C:C,"Not on master")</f>
        <v>0</v>
      </c>
      <c r="H125" s="6">
        <v>2</v>
      </c>
      <c r="I125" s="6">
        <v>2</v>
      </c>
      <c r="J125" s="6">
        <f>I125-H125</f>
        <v>0</v>
      </c>
      <c r="K125" s="5">
        <f>IF(H125=0,"",J125/H125)</f>
        <v>0</v>
      </c>
      <c r="L125">
        <f>IF(OR(AND(H125=0,ABS(J125)&gt;=0.01),AND(H125&lt;&gt;0,ABS(K125)&gt;VarianceThreshold)),"Review","OK")</f>
        <v>0</v>
      </c>
      <c r="M125" t="s">
        <v>33</v>
      </c>
    </row>
    <row r="126" spans="1:13">
      <c r="A126" t="s">
        <v>0</v>
      </c>
      <c r="B126" t="s">
        <v>231</v>
      </c>
      <c r="C126" t="s">
        <v>108</v>
      </c>
      <c r="D126" t="s">
        <v>233</v>
      </c>
      <c r="E126" cm="1">
        <f t="array" ref="E126">_xlfn.XLOOKUP(D126,SKU_Master!A:A,SKU_Master!B:B,"Not on master")</f>
        <v>0</v>
      </c>
      <c r="F126" cm="1">
        <f t="array" ref="F126">_xlfn.XLOOKUP(C126,Account_Master!A:A,Account_Master!B:B,"Not on master")</f>
        <v>0</v>
      </c>
      <c r="G126" cm="1">
        <f t="array" ref="G126">_xlfn.XLOOKUP(C126,Account_Master!A:A,Account_Master!C:C,"Not on master")</f>
        <v>0</v>
      </c>
      <c r="H126" s="6">
        <v>30</v>
      </c>
      <c r="I126" s="6">
        <v>30</v>
      </c>
      <c r="J126" s="6">
        <f>I126-H126</f>
        <v>0</v>
      </c>
      <c r="K126" s="5">
        <f>IF(H126=0,"",J126/H126)</f>
        <v>0</v>
      </c>
      <c r="L126">
        <f>IF(OR(AND(H126=0,ABS(J126)&gt;=0.01),AND(H126&lt;&gt;0,ABS(K126)&gt;VarianceThreshold)),"Review","OK")</f>
        <v>0</v>
      </c>
      <c r="M126" t="s">
        <v>33</v>
      </c>
    </row>
    <row r="127" spans="1:13">
      <c r="A127" t="s">
        <v>0</v>
      </c>
      <c r="B127" t="s">
        <v>231</v>
      </c>
      <c r="C127" t="s">
        <v>234</v>
      </c>
      <c r="D127" t="s">
        <v>235</v>
      </c>
      <c r="E127" cm="1">
        <f t="array" ref="E127">_xlfn.XLOOKUP(D127,SKU_Master!A:A,SKU_Master!B:B,"Not on master")</f>
        <v>0</v>
      </c>
      <c r="F127" cm="1">
        <f t="array" ref="F127">_xlfn.XLOOKUP(C127,Account_Master!A:A,Account_Master!B:B,"Not on master")</f>
        <v>0</v>
      </c>
      <c r="G127" cm="1">
        <f t="array" ref="G127">_xlfn.XLOOKUP(C127,Account_Master!A:A,Account_Master!C:C,"Not on master")</f>
        <v>0</v>
      </c>
      <c r="H127" s="6">
        <v>6.75</v>
      </c>
      <c r="I127" s="6">
        <v>6.75</v>
      </c>
      <c r="J127" s="6">
        <f>I127-H127</f>
        <v>0</v>
      </c>
      <c r="K127" s="5">
        <f>IF(H127=0,"",J127/H127)</f>
        <v>0</v>
      </c>
      <c r="L127">
        <f>IF(OR(AND(H127=0,ABS(J127)&gt;=0.01),AND(H127&lt;&gt;0,ABS(K127)&gt;VarianceThreshold)),"Review","OK")</f>
        <v>0</v>
      </c>
      <c r="M127" t="s">
        <v>33</v>
      </c>
    </row>
    <row r="128" spans="1:13">
      <c r="A128" t="s">
        <v>0</v>
      </c>
      <c r="B128" t="s">
        <v>231</v>
      </c>
      <c r="C128" t="s">
        <v>43</v>
      </c>
      <c r="D128" t="s">
        <v>236</v>
      </c>
      <c r="E128" cm="1">
        <f t="array" ref="E128">_xlfn.XLOOKUP(D128,SKU_Master!A:A,SKU_Master!B:B,"Not on master")</f>
        <v>0</v>
      </c>
      <c r="F128" cm="1">
        <f t="array" ref="F128">_xlfn.XLOOKUP(C128,Account_Master!A:A,Account_Master!B:B,"Not on master")</f>
        <v>0</v>
      </c>
      <c r="G128" cm="1">
        <f t="array" ref="G128">_xlfn.XLOOKUP(C128,Account_Master!A:A,Account_Master!C:C,"Not on master")</f>
        <v>0</v>
      </c>
      <c r="H128" s="6">
        <v>15.75</v>
      </c>
      <c r="I128" s="6">
        <v>15.75</v>
      </c>
      <c r="J128" s="6">
        <f>I128-H128</f>
        <v>0</v>
      </c>
      <c r="K128" s="5">
        <f>IF(H128=0,"",J128/H128)</f>
        <v>0</v>
      </c>
      <c r="L128">
        <f>IF(OR(AND(H128=0,ABS(J128)&gt;=0.01),AND(H128&lt;&gt;0,ABS(K128)&gt;VarianceThreshold)),"Review","OK")</f>
        <v>0</v>
      </c>
      <c r="M128" t="s">
        <v>33</v>
      </c>
    </row>
    <row r="129" spans="1:13">
      <c r="A129" t="s">
        <v>0</v>
      </c>
      <c r="B129" t="s">
        <v>231</v>
      </c>
      <c r="C129" t="s">
        <v>31</v>
      </c>
      <c r="D129" t="s">
        <v>237</v>
      </c>
      <c r="E129" cm="1">
        <f t="array" ref="E129">_xlfn.XLOOKUP(D129,SKU_Master!A:A,SKU_Master!B:B,"Not on master")</f>
        <v>0</v>
      </c>
      <c r="F129" cm="1">
        <f t="array" ref="F129">_xlfn.XLOOKUP(C129,Account_Master!A:A,Account_Master!B:B,"Not on master")</f>
        <v>0</v>
      </c>
      <c r="G129" cm="1">
        <f t="array" ref="G129">_xlfn.XLOOKUP(C129,Account_Master!A:A,Account_Master!C:C,"Not on master")</f>
        <v>0</v>
      </c>
      <c r="H129" s="6">
        <v>64.5</v>
      </c>
      <c r="I129" s="6">
        <v>64.5</v>
      </c>
      <c r="J129" s="6">
        <f>I129-H129</f>
        <v>0</v>
      </c>
      <c r="K129" s="5">
        <f>IF(H129=0,"",J129/H129)</f>
        <v>0</v>
      </c>
      <c r="L129">
        <f>IF(OR(AND(H129=0,ABS(J129)&gt;=0.01),AND(H129&lt;&gt;0,ABS(K129)&gt;VarianceThreshold)),"Review","OK")</f>
        <v>0</v>
      </c>
      <c r="M129" t="s">
        <v>33</v>
      </c>
    </row>
    <row r="130" spans="1:13">
      <c r="A130" t="s">
        <v>0</v>
      </c>
      <c r="B130" t="s">
        <v>238</v>
      </c>
      <c r="C130" t="s">
        <v>82</v>
      </c>
      <c r="D130" t="s">
        <v>239</v>
      </c>
      <c r="E130" cm="1">
        <f t="array" ref="E130">_xlfn.XLOOKUP(D130,SKU_Master!A:A,SKU_Master!B:B,"Not on master")</f>
        <v>0</v>
      </c>
      <c r="F130" cm="1">
        <f t="array" ref="F130">_xlfn.XLOOKUP(C130,Account_Master!A:A,Account_Master!B:B,"Not on master")</f>
        <v>0</v>
      </c>
      <c r="G130" cm="1">
        <f t="array" ref="G130">_xlfn.XLOOKUP(C130,Account_Master!A:A,Account_Master!C:C,"Not on master")</f>
        <v>0</v>
      </c>
      <c r="H130" s="6">
        <v>15</v>
      </c>
      <c r="I130" s="6">
        <v>15</v>
      </c>
      <c r="J130" s="6">
        <f>I130-H130</f>
        <v>0</v>
      </c>
      <c r="K130" s="5">
        <f>IF(H130=0,"",J130/H130)</f>
        <v>0</v>
      </c>
      <c r="L130">
        <f>IF(OR(AND(H130=0,ABS(J130)&gt;=0.01),AND(H130&lt;&gt;0,ABS(K130)&gt;VarianceThreshold)),"Review","OK")</f>
        <v>0</v>
      </c>
      <c r="M130" t="s">
        <v>33</v>
      </c>
    </row>
    <row r="131" spans="1:13">
      <c r="A131" t="s">
        <v>0</v>
      </c>
      <c r="B131" t="s">
        <v>238</v>
      </c>
      <c r="C131" t="s">
        <v>162</v>
      </c>
      <c r="D131" t="s">
        <v>240</v>
      </c>
      <c r="E131" cm="1">
        <f t="array" ref="E131">_xlfn.XLOOKUP(D131,SKU_Master!A:A,SKU_Master!B:B,"Not on master")</f>
        <v>0</v>
      </c>
      <c r="F131" cm="1">
        <f t="array" ref="F131">_xlfn.XLOOKUP(C131,Account_Master!A:A,Account_Master!B:B,"Not on master")</f>
        <v>0</v>
      </c>
      <c r="G131" cm="1">
        <f t="array" ref="G131">_xlfn.XLOOKUP(C131,Account_Master!A:A,Account_Master!C:C,"Not on master")</f>
        <v>0</v>
      </c>
      <c r="H131" s="6">
        <v>136.5</v>
      </c>
      <c r="I131" s="6">
        <v>136.5</v>
      </c>
      <c r="J131" s="6">
        <f>I131-H131</f>
        <v>0</v>
      </c>
      <c r="K131" s="5">
        <f>IF(H131=0,"",J131/H131)</f>
        <v>0</v>
      </c>
      <c r="L131">
        <f>IF(OR(AND(H131=0,ABS(J131)&gt;=0.01),AND(H131&lt;&gt;0,ABS(K131)&gt;VarianceThreshold)),"Review","OK")</f>
        <v>0</v>
      </c>
      <c r="M131" t="s">
        <v>33</v>
      </c>
    </row>
    <row r="132" spans="1:13">
      <c r="A132" t="s">
        <v>0</v>
      </c>
      <c r="B132" t="s">
        <v>238</v>
      </c>
      <c r="C132" t="s">
        <v>241</v>
      </c>
      <c r="D132" t="s">
        <v>242</v>
      </c>
      <c r="E132" cm="1">
        <f t="array" ref="E132">_xlfn.XLOOKUP(D132,SKU_Master!A:A,SKU_Master!B:B,"Not on master")</f>
        <v>0</v>
      </c>
      <c r="F132" cm="1">
        <f t="array" ref="F132">_xlfn.XLOOKUP(C132,Account_Master!A:A,Account_Master!B:B,"Not on master")</f>
        <v>0</v>
      </c>
      <c r="G132" cm="1">
        <f t="array" ref="G132">_xlfn.XLOOKUP(C132,Account_Master!A:A,Account_Master!C:C,"Not on master")</f>
        <v>0</v>
      </c>
      <c r="H132" s="6">
        <v>234.2</v>
      </c>
      <c r="I132" s="6">
        <v>234.2</v>
      </c>
      <c r="J132" s="6">
        <f>I132-H132</f>
        <v>0</v>
      </c>
      <c r="K132" s="5">
        <f>IF(H132=0,"",J132/H132)</f>
        <v>0</v>
      </c>
      <c r="L132">
        <f>IF(OR(AND(H132=0,ABS(J132)&gt;=0.01),AND(H132&lt;&gt;0,ABS(K132)&gt;VarianceThreshold)),"Review","OK")</f>
        <v>0</v>
      </c>
      <c r="M132" t="s">
        <v>33</v>
      </c>
    </row>
    <row r="133" spans="1:13">
      <c r="A133" t="s">
        <v>0</v>
      </c>
      <c r="B133" t="s">
        <v>238</v>
      </c>
      <c r="C133" t="s">
        <v>110</v>
      </c>
      <c r="D133" t="s">
        <v>243</v>
      </c>
      <c r="E133" cm="1">
        <f t="array" ref="E133">_xlfn.XLOOKUP(D133,SKU_Master!A:A,SKU_Master!B:B,"Not on master")</f>
        <v>0</v>
      </c>
      <c r="F133" cm="1">
        <f t="array" ref="F133">_xlfn.XLOOKUP(C133,Account_Master!A:A,Account_Master!B:B,"Not on master")</f>
        <v>0</v>
      </c>
      <c r="G133" cm="1">
        <f t="array" ref="G133">_xlfn.XLOOKUP(C133,Account_Master!A:A,Account_Master!C:C,"Not on master")</f>
        <v>0</v>
      </c>
      <c r="H133" s="6">
        <v>9</v>
      </c>
      <c r="I133" s="6">
        <v>9</v>
      </c>
      <c r="J133" s="6">
        <f>I133-H133</f>
        <v>0</v>
      </c>
      <c r="K133" s="5">
        <f>IF(H133=0,"",J133/H133)</f>
        <v>0</v>
      </c>
      <c r="L133">
        <f>IF(OR(AND(H133=0,ABS(J133)&gt;=0.01),AND(H133&lt;&gt;0,ABS(K133)&gt;VarianceThreshold)),"Review","OK")</f>
        <v>0</v>
      </c>
      <c r="M133" t="s">
        <v>33</v>
      </c>
    </row>
    <row r="134" spans="1:13">
      <c r="A134" t="s">
        <v>0</v>
      </c>
      <c r="B134" t="s">
        <v>238</v>
      </c>
      <c r="C134" t="s">
        <v>220</v>
      </c>
      <c r="D134" t="s">
        <v>244</v>
      </c>
      <c r="E134" cm="1">
        <f t="array" ref="E134">_xlfn.XLOOKUP(D134,SKU_Master!A:A,SKU_Master!B:B,"Not on master")</f>
        <v>0</v>
      </c>
      <c r="F134" cm="1">
        <f t="array" ref="F134">_xlfn.XLOOKUP(C134,Account_Master!A:A,Account_Master!B:B,"Not on master")</f>
        <v>0</v>
      </c>
      <c r="G134" cm="1">
        <f t="array" ref="G134">_xlfn.XLOOKUP(C134,Account_Master!A:A,Account_Master!C:C,"Not on master")</f>
        <v>0</v>
      </c>
      <c r="H134" s="6">
        <v>1.2</v>
      </c>
      <c r="I134" s="6">
        <v>1.2</v>
      </c>
      <c r="J134" s="6">
        <f>I134-H134</f>
        <v>0</v>
      </c>
      <c r="K134" s="5">
        <f>IF(H134=0,"",J134/H134)</f>
        <v>0</v>
      </c>
      <c r="L134">
        <f>IF(OR(AND(H134=0,ABS(J134)&gt;=0.01),AND(H134&lt;&gt;0,ABS(K134)&gt;VarianceThreshold)),"Review","OK")</f>
        <v>0</v>
      </c>
      <c r="M134" t="s">
        <v>33</v>
      </c>
    </row>
    <row r="135" spans="1:13">
      <c r="A135" t="s">
        <v>0</v>
      </c>
      <c r="B135" t="s">
        <v>238</v>
      </c>
      <c r="C135" t="s">
        <v>245</v>
      </c>
      <c r="D135" t="s">
        <v>246</v>
      </c>
      <c r="E135" cm="1">
        <f t="array" ref="E135">_xlfn.XLOOKUP(D135,SKU_Master!A:A,SKU_Master!B:B,"Not on master")</f>
        <v>0</v>
      </c>
      <c r="F135" cm="1">
        <f t="array" ref="F135">_xlfn.XLOOKUP(C135,Account_Master!A:A,Account_Master!B:B,"Not on master")</f>
        <v>0</v>
      </c>
      <c r="G135" cm="1">
        <f t="array" ref="G135">_xlfn.XLOOKUP(C135,Account_Master!A:A,Account_Master!C:C,"Not on master")</f>
        <v>0</v>
      </c>
      <c r="H135" s="6">
        <v>21</v>
      </c>
      <c r="I135" s="6">
        <v>21</v>
      </c>
      <c r="J135" s="6">
        <f>I135-H135</f>
        <v>0</v>
      </c>
      <c r="K135" s="5">
        <f>IF(H135=0,"",J135/H135)</f>
        <v>0</v>
      </c>
      <c r="L135">
        <f>IF(OR(AND(H135=0,ABS(J135)&gt;=0.01),AND(H135&lt;&gt;0,ABS(K135)&gt;VarianceThreshold)),"Review","OK")</f>
        <v>0</v>
      </c>
      <c r="M135" t="s">
        <v>33</v>
      </c>
    </row>
    <row r="136" spans="1:13">
      <c r="A136" t="s">
        <v>0</v>
      </c>
      <c r="B136" t="s">
        <v>238</v>
      </c>
      <c r="C136" t="s">
        <v>247</v>
      </c>
      <c r="D136" t="s">
        <v>248</v>
      </c>
      <c r="E136" cm="1">
        <f t="array" ref="E136">_xlfn.XLOOKUP(D136,SKU_Master!A:A,SKU_Master!B:B,"Not on master")</f>
        <v>0</v>
      </c>
      <c r="F136" cm="1">
        <f t="array" ref="F136">_xlfn.XLOOKUP(C136,Account_Master!A:A,Account_Master!B:B,"Not on master")</f>
        <v>0</v>
      </c>
      <c r="G136" cm="1">
        <f t="array" ref="G136">_xlfn.XLOOKUP(C136,Account_Master!A:A,Account_Master!C:C,"Not on master")</f>
        <v>0</v>
      </c>
      <c r="H136" s="6">
        <v>2.25</v>
      </c>
      <c r="I136" s="6">
        <v>2.25</v>
      </c>
      <c r="J136" s="6">
        <f>I136-H136</f>
        <v>0</v>
      </c>
      <c r="K136" s="5">
        <f>IF(H136=0,"",J136/H136)</f>
        <v>0</v>
      </c>
      <c r="L136">
        <f>IF(OR(AND(H136=0,ABS(J136)&gt;=0.01),AND(H136&lt;&gt;0,ABS(K136)&gt;VarianceThreshold)),"Review","OK")</f>
        <v>0</v>
      </c>
      <c r="M136" t="s">
        <v>33</v>
      </c>
    </row>
    <row r="137" spans="1:13">
      <c r="A137" t="s">
        <v>0</v>
      </c>
      <c r="B137" t="s">
        <v>238</v>
      </c>
      <c r="C137" t="s">
        <v>249</v>
      </c>
      <c r="D137" t="s">
        <v>250</v>
      </c>
      <c r="E137" cm="1">
        <f t="array" ref="E137">_xlfn.XLOOKUP(D137,SKU_Master!A:A,SKU_Master!B:B,"Not on master")</f>
        <v>0</v>
      </c>
      <c r="F137" cm="1">
        <f t="array" ref="F137">_xlfn.XLOOKUP(C137,Account_Master!A:A,Account_Master!B:B,"Not on master")</f>
        <v>0</v>
      </c>
      <c r="G137" cm="1">
        <f t="array" ref="G137">_xlfn.XLOOKUP(C137,Account_Master!A:A,Account_Master!C:C,"Not on master")</f>
        <v>0</v>
      </c>
      <c r="H137" s="6">
        <v>3</v>
      </c>
      <c r="I137" s="6">
        <v>3</v>
      </c>
      <c r="J137" s="6">
        <f>I137-H137</f>
        <v>0</v>
      </c>
      <c r="K137" s="5">
        <f>IF(H137=0,"",J137/H137)</f>
        <v>0</v>
      </c>
      <c r="L137">
        <f>IF(OR(AND(H137=0,ABS(J137)&gt;=0.01),AND(H137&lt;&gt;0,ABS(K137)&gt;VarianceThreshold)),"Review","OK")</f>
        <v>0</v>
      </c>
      <c r="M137" t="s">
        <v>33</v>
      </c>
    </row>
    <row r="138" spans="1:13">
      <c r="A138" t="s">
        <v>0</v>
      </c>
      <c r="B138" t="s">
        <v>251</v>
      </c>
      <c r="C138" t="s">
        <v>54</v>
      </c>
      <c r="D138" t="s">
        <v>252</v>
      </c>
      <c r="E138" cm="1">
        <f t="array" ref="E138">_xlfn.XLOOKUP(D138,SKU_Master!A:A,SKU_Master!B:B,"Not on master")</f>
        <v>0</v>
      </c>
      <c r="F138" cm="1">
        <f t="array" ref="F138">_xlfn.XLOOKUP(C138,Account_Master!A:A,Account_Master!B:B,"Not on master")</f>
        <v>0</v>
      </c>
      <c r="G138" cm="1">
        <f t="array" ref="G138">_xlfn.XLOOKUP(C138,Account_Master!A:A,Account_Master!C:C,"Not on master")</f>
        <v>0</v>
      </c>
      <c r="H138" s="6">
        <v>20.25</v>
      </c>
      <c r="I138" s="6">
        <v>20.25</v>
      </c>
      <c r="J138" s="6">
        <f>I138-H138</f>
        <v>0</v>
      </c>
      <c r="K138" s="5">
        <f>IF(H138=0,"",J138/H138)</f>
        <v>0</v>
      </c>
      <c r="L138">
        <f>IF(OR(AND(H138=0,ABS(J138)&gt;=0.01),AND(H138&lt;&gt;0,ABS(K138)&gt;VarianceThreshold)),"Review","OK")</f>
        <v>0</v>
      </c>
      <c r="M138" t="s">
        <v>33</v>
      </c>
    </row>
    <row r="139" spans="1:13">
      <c r="A139" t="s">
        <v>0</v>
      </c>
      <c r="B139" t="s">
        <v>251</v>
      </c>
      <c r="C139" t="s">
        <v>110</v>
      </c>
      <c r="D139" t="s">
        <v>253</v>
      </c>
      <c r="E139" cm="1">
        <f t="array" ref="E139">_xlfn.XLOOKUP(D139,SKU_Master!A:A,SKU_Master!B:B,"Not on master")</f>
        <v>0</v>
      </c>
      <c r="F139" cm="1">
        <f t="array" ref="F139">_xlfn.XLOOKUP(C139,Account_Master!A:A,Account_Master!B:B,"Not on master")</f>
        <v>0</v>
      </c>
      <c r="G139" cm="1">
        <f t="array" ref="G139">_xlfn.XLOOKUP(C139,Account_Master!A:A,Account_Master!C:C,"Not on master")</f>
        <v>0</v>
      </c>
      <c r="H139" s="6">
        <v>6</v>
      </c>
      <c r="I139" s="6">
        <v>6</v>
      </c>
      <c r="J139" s="6">
        <f>I139-H139</f>
        <v>0</v>
      </c>
      <c r="K139" s="5">
        <f>IF(H139=0,"",J139/H139)</f>
        <v>0</v>
      </c>
      <c r="L139">
        <f>IF(OR(AND(H139=0,ABS(J139)&gt;=0.01),AND(H139&lt;&gt;0,ABS(K139)&gt;VarianceThreshold)),"Review","OK")</f>
        <v>0</v>
      </c>
      <c r="M139" t="s">
        <v>33</v>
      </c>
    </row>
    <row r="140" spans="1:13">
      <c r="A140" t="s">
        <v>0</v>
      </c>
      <c r="B140" t="s">
        <v>254</v>
      </c>
      <c r="C140" t="s">
        <v>31</v>
      </c>
      <c r="D140" t="s">
        <v>255</v>
      </c>
      <c r="E140" cm="1">
        <f t="array" ref="E140">_xlfn.XLOOKUP(D140,SKU_Master!A:A,SKU_Master!B:B,"Not on master")</f>
        <v>0</v>
      </c>
      <c r="F140" cm="1">
        <f t="array" ref="F140">_xlfn.XLOOKUP(C140,Account_Master!A:A,Account_Master!B:B,"Not on master")</f>
        <v>0</v>
      </c>
      <c r="G140" cm="1">
        <f t="array" ref="G140">_xlfn.XLOOKUP(C140,Account_Master!A:A,Account_Master!C:C,"Not on master")</f>
        <v>0</v>
      </c>
      <c r="H140" s="6">
        <v>188</v>
      </c>
      <c r="I140" s="6">
        <v>188</v>
      </c>
      <c r="J140" s="6">
        <f>I140-H140</f>
        <v>0</v>
      </c>
      <c r="K140" s="5">
        <f>IF(H140=0,"",J140/H140)</f>
        <v>0</v>
      </c>
      <c r="L140">
        <f>IF(OR(AND(H140=0,ABS(J140)&gt;=0.01),AND(H140&lt;&gt;0,ABS(K140)&gt;VarianceThreshold)),"Review","OK")</f>
        <v>0</v>
      </c>
      <c r="M140" t="s">
        <v>33</v>
      </c>
    </row>
    <row r="141" spans="1:13">
      <c r="A141" t="s">
        <v>0</v>
      </c>
      <c r="B141" t="s">
        <v>254</v>
      </c>
      <c r="C141" t="s">
        <v>84</v>
      </c>
      <c r="D141" t="s">
        <v>256</v>
      </c>
      <c r="E141" cm="1">
        <f t="array" ref="E141">_xlfn.XLOOKUP(D141,SKU_Master!A:A,SKU_Master!B:B,"Not on master")</f>
        <v>0</v>
      </c>
      <c r="F141" cm="1">
        <f t="array" ref="F141">_xlfn.XLOOKUP(C141,Account_Master!A:A,Account_Master!B:B,"Not on master")</f>
        <v>0</v>
      </c>
      <c r="G141" cm="1">
        <f t="array" ref="G141">_xlfn.XLOOKUP(C141,Account_Master!A:A,Account_Master!C:C,"Not on master")</f>
        <v>0</v>
      </c>
      <c r="H141" s="6">
        <v>15</v>
      </c>
      <c r="I141" s="6">
        <v>15</v>
      </c>
      <c r="J141" s="6">
        <f>I141-H141</f>
        <v>0</v>
      </c>
      <c r="K141" s="5">
        <f>IF(H141=0,"",J141/H141)</f>
        <v>0</v>
      </c>
      <c r="L141">
        <f>IF(OR(AND(H141=0,ABS(J141)&gt;=0.01),AND(H141&lt;&gt;0,ABS(K141)&gt;VarianceThreshold)),"Review","OK")</f>
        <v>0</v>
      </c>
      <c r="M141" t="s">
        <v>33</v>
      </c>
    </row>
    <row r="142" spans="1:13">
      <c r="A142" t="s">
        <v>0</v>
      </c>
      <c r="B142" t="s">
        <v>254</v>
      </c>
      <c r="C142" t="s">
        <v>257</v>
      </c>
      <c r="D142" t="s">
        <v>258</v>
      </c>
      <c r="E142" cm="1">
        <f t="array" ref="E142">_xlfn.XLOOKUP(D142,SKU_Master!A:A,SKU_Master!B:B,"Not on master")</f>
        <v>0</v>
      </c>
      <c r="F142" cm="1">
        <f t="array" ref="F142">_xlfn.XLOOKUP(C142,Account_Master!A:A,Account_Master!B:B,"Not on master")</f>
        <v>0</v>
      </c>
      <c r="G142" cm="1">
        <f t="array" ref="G142">_xlfn.XLOOKUP(C142,Account_Master!A:A,Account_Master!C:C,"Not on master")</f>
        <v>0</v>
      </c>
      <c r="H142" s="6">
        <v>177.73</v>
      </c>
      <c r="I142" s="6">
        <v>177.73</v>
      </c>
      <c r="J142" s="6">
        <f>I142-H142</f>
        <v>0</v>
      </c>
      <c r="K142" s="5">
        <f>IF(H142=0,"",J142/H142)</f>
        <v>0</v>
      </c>
      <c r="L142">
        <f>IF(OR(AND(H142=0,ABS(J142)&gt;=0.01),AND(H142&lt;&gt;0,ABS(K142)&gt;VarianceThreshold)),"Review","OK")</f>
        <v>0</v>
      </c>
      <c r="M142" t="s">
        <v>33</v>
      </c>
    </row>
    <row r="143" spans="1:13">
      <c r="A143" t="s">
        <v>0</v>
      </c>
      <c r="B143" t="s">
        <v>254</v>
      </c>
      <c r="C143" t="s">
        <v>110</v>
      </c>
      <c r="D143" t="s">
        <v>259</v>
      </c>
      <c r="E143" cm="1">
        <f t="array" ref="E143">_xlfn.XLOOKUP(D143,SKU_Master!A:A,SKU_Master!B:B,"Not on master")</f>
        <v>0</v>
      </c>
      <c r="F143" cm="1">
        <f t="array" ref="F143">_xlfn.XLOOKUP(C143,Account_Master!A:A,Account_Master!B:B,"Not on master")</f>
        <v>0</v>
      </c>
      <c r="G143" cm="1">
        <f t="array" ref="G143">_xlfn.XLOOKUP(C143,Account_Master!A:A,Account_Master!C:C,"Not on master")</f>
        <v>0</v>
      </c>
      <c r="H143" s="6">
        <v>2.25</v>
      </c>
      <c r="I143" s="6">
        <v>2.25</v>
      </c>
      <c r="J143" s="6">
        <f>I143-H143</f>
        <v>0</v>
      </c>
      <c r="K143" s="5">
        <f>IF(H143=0,"",J143/H143)</f>
        <v>0</v>
      </c>
      <c r="L143">
        <f>IF(OR(AND(H143=0,ABS(J143)&gt;=0.01),AND(H143&lt;&gt;0,ABS(K143)&gt;VarianceThreshold)),"Review","OK")</f>
        <v>0</v>
      </c>
      <c r="M143" t="s">
        <v>33</v>
      </c>
    </row>
    <row r="144" spans="1:13">
      <c r="A144" t="s">
        <v>0</v>
      </c>
      <c r="B144" t="s">
        <v>254</v>
      </c>
      <c r="C144" t="s">
        <v>41</v>
      </c>
      <c r="D144" t="s">
        <v>260</v>
      </c>
      <c r="E144" cm="1">
        <f t="array" ref="E144">_xlfn.XLOOKUP(D144,SKU_Master!A:A,SKU_Master!B:B,"Not on master")</f>
        <v>0</v>
      </c>
      <c r="F144" cm="1">
        <f t="array" ref="F144">_xlfn.XLOOKUP(C144,Account_Master!A:A,Account_Master!B:B,"Not on master")</f>
        <v>0</v>
      </c>
      <c r="G144" cm="1">
        <f t="array" ref="G144">_xlfn.XLOOKUP(C144,Account_Master!A:A,Account_Master!C:C,"Not on master")</f>
        <v>0</v>
      </c>
      <c r="H144" s="6">
        <v>4.8</v>
      </c>
      <c r="I144" s="6">
        <v>4.8</v>
      </c>
      <c r="J144" s="6">
        <f>I144-H144</f>
        <v>0</v>
      </c>
      <c r="K144" s="5">
        <f>IF(H144=0,"",J144/H144)</f>
        <v>0</v>
      </c>
      <c r="L144">
        <f>IF(OR(AND(H144=0,ABS(J144)&gt;=0.01),AND(H144&lt;&gt;0,ABS(K144)&gt;VarianceThreshold)),"Review","OK")</f>
        <v>0</v>
      </c>
      <c r="M144" t="s">
        <v>33</v>
      </c>
    </row>
    <row r="145" spans="1:13">
      <c r="A145" t="s">
        <v>0</v>
      </c>
      <c r="B145" t="s">
        <v>254</v>
      </c>
      <c r="C145" t="s">
        <v>45</v>
      </c>
      <c r="D145" t="s">
        <v>261</v>
      </c>
      <c r="E145" cm="1">
        <f t="array" ref="E145">_xlfn.XLOOKUP(D145,SKU_Master!A:A,SKU_Master!B:B,"Not on master")</f>
        <v>0</v>
      </c>
      <c r="F145" cm="1">
        <f t="array" ref="F145">_xlfn.XLOOKUP(C145,Account_Master!A:A,Account_Master!B:B,"Not on master")</f>
        <v>0</v>
      </c>
      <c r="G145" cm="1">
        <f t="array" ref="G145">_xlfn.XLOOKUP(C145,Account_Master!A:A,Account_Master!C:C,"Not on master")</f>
        <v>0</v>
      </c>
      <c r="H145" s="6">
        <v>105</v>
      </c>
      <c r="I145" s="6">
        <v>105</v>
      </c>
      <c r="J145" s="6">
        <f>I145-H145</f>
        <v>0</v>
      </c>
      <c r="K145" s="5">
        <f>IF(H145=0,"",J145/H145)</f>
        <v>0</v>
      </c>
      <c r="L145">
        <f>IF(OR(AND(H145=0,ABS(J145)&gt;=0.01),AND(H145&lt;&gt;0,ABS(K145)&gt;VarianceThreshold)),"Review","OK")</f>
        <v>0</v>
      </c>
      <c r="M145" t="s">
        <v>33</v>
      </c>
    </row>
    <row r="146" spans="1:13">
      <c r="A146" t="s">
        <v>0</v>
      </c>
      <c r="B146" t="s">
        <v>254</v>
      </c>
      <c r="C146" t="s">
        <v>262</v>
      </c>
      <c r="D146" t="s">
        <v>263</v>
      </c>
      <c r="E146" cm="1">
        <f t="array" ref="E146">_xlfn.XLOOKUP(D146,SKU_Master!A:A,SKU_Master!B:B,"Not on master")</f>
        <v>0</v>
      </c>
      <c r="F146" cm="1">
        <f t="array" ref="F146">_xlfn.XLOOKUP(C146,Account_Master!A:A,Account_Master!B:B,"Not on master")</f>
        <v>0</v>
      </c>
      <c r="G146" cm="1">
        <f t="array" ref="G146">_xlfn.XLOOKUP(C146,Account_Master!A:A,Account_Master!C:C,"Not on master")</f>
        <v>0</v>
      </c>
      <c r="H146" s="6">
        <v>4.5</v>
      </c>
      <c r="I146" s="6">
        <v>4.5</v>
      </c>
      <c r="J146" s="6">
        <f>I146-H146</f>
        <v>0</v>
      </c>
      <c r="K146" s="5">
        <f>IF(H146=0,"",J146/H146)</f>
        <v>0</v>
      </c>
      <c r="L146">
        <f>IF(OR(AND(H146=0,ABS(J146)&gt;=0.01),AND(H146&lt;&gt;0,ABS(K146)&gt;VarianceThreshold)),"Review","OK")</f>
        <v>0</v>
      </c>
      <c r="M146" t="s">
        <v>33</v>
      </c>
    </row>
    <row r="147" spans="1:13">
      <c r="A147" t="s">
        <v>0</v>
      </c>
      <c r="B147" t="s">
        <v>264</v>
      </c>
      <c r="C147" t="s">
        <v>128</v>
      </c>
      <c r="D147" t="s">
        <v>265</v>
      </c>
      <c r="E147" cm="1">
        <f t="array" ref="E147">_xlfn.XLOOKUP(D147,SKU_Master!A:A,SKU_Master!B:B,"Not on master")</f>
        <v>0</v>
      </c>
      <c r="F147" cm="1">
        <f t="array" ref="F147">_xlfn.XLOOKUP(C147,Account_Master!A:A,Account_Master!B:B,"Not on master")</f>
        <v>0</v>
      </c>
      <c r="G147" cm="1">
        <f t="array" ref="G147">_xlfn.XLOOKUP(C147,Account_Master!A:A,Account_Master!C:C,"Not on master")</f>
        <v>0</v>
      </c>
      <c r="H147" s="6">
        <v>7.5</v>
      </c>
      <c r="I147" s="6">
        <v>7.5</v>
      </c>
      <c r="J147" s="6">
        <f>I147-H147</f>
        <v>0</v>
      </c>
      <c r="K147" s="5">
        <f>IF(H147=0,"",J147/H147)</f>
        <v>0</v>
      </c>
      <c r="L147">
        <f>IF(OR(AND(H147=0,ABS(J147)&gt;=0.01),AND(H147&lt;&gt;0,ABS(K147)&gt;VarianceThreshold)),"Review","OK")</f>
        <v>0</v>
      </c>
      <c r="M147" t="s">
        <v>33</v>
      </c>
    </row>
    <row r="148" spans="1:13">
      <c r="A148" t="s">
        <v>0</v>
      </c>
      <c r="B148" t="s">
        <v>264</v>
      </c>
      <c r="C148" t="s">
        <v>162</v>
      </c>
      <c r="D148" t="s">
        <v>266</v>
      </c>
      <c r="E148" cm="1">
        <f t="array" ref="E148">_xlfn.XLOOKUP(D148,SKU_Master!A:A,SKU_Master!B:B,"Not on master")</f>
        <v>0</v>
      </c>
      <c r="F148" cm="1">
        <f t="array" ref="F148">_xlfn.XLOOKUP(C148,Account_Master!A:A,Account_Master!B:B,"Not on master")</f>
        <v>0</v>
      </c>
      <c r="G148" cm="1">
        <f t="array" ref="G148">_xlfn.XLOOKUP(C148,Account_Master!A:A,Account_Master!C:C,"Not on master")</f>
        <v>0</v>
      </c>
      <c r="H148" s="6">
        <v>48</v>
      </c>
      <c r="I148" s="6">
        <v>48</v>
      </c>
      <c r="J148" s="6">
        <f>I148-H148</f>
        <v>0</v>
      </c>
      <c r="K148" s="5">
        <f>IF(H148=0,"",J148/H148)</f>
        <v>0</v>
      </c>
      <c r="L148">
        <f>IF(OR(AND(H148=0,ABS(J148)&gt;=0.01),AND(H148&lt;&gt;0,ABS(K148)&gt;VarianceThreshold)),"Review","OK")</f>
        <v>0</v>
      </c>
      <c r="M148" t="s">
        <v>33</v>
      </c>
    </row>
    <row r="149" spans="1:13">
      <c r="A149" t="s">
        <v>0</v>
      </c>
      <c r="B149" t="s">
        <v>264</v>
      </c>
      <c r="C149" t="s">
        <v>267</v>
      </c>
      <c r="D149" t="s">
        <v>268</v>
      </c>
      <c r="E149" cm="1">
        <f t="array" ref="E149">_xlfn.XLOOKUP(D149,SKU_Master!A:A,SKU_Master!B:B,"Not on master")</f>
        <v>0</v>
      </c>
      <c r="F149" cm="1">
        <f t="array" ref="F149">_xlfn.XLOOKUP(C149,Account_Master!A:A,Account_Master!B:B,"Not on master")</f>
        <v>0</v>
      </c>
      <c r="G149" cm="1">
        <f t="array" ref="G149">_xlfn.XLOOKUP(C149,Account_Master!A:A,Account_Master!C:C,"Not on master")</f>
        <v>0</v>
      </c>
      <c r="H149" s="6">
        <v>170.25</v>
      </c>
      <c r="I149" s="6">
        <v>170.25</v>
      </c>
      <c r="J149" s="6">
        <f>I149-H149</f>
        <v>0</v>
      </c>
      <c r="K149" s="5">
        <f>IF(H149=0,"",J149/H149)</f>
        <v>0</v>
      </c>
      <c r="L149">
        <f>IF(OR(AND(H149=0,ABS(J149)&gt;=0.01),AND(H149&lt;&gt;0,ABS(K149)&gt;VarianceThreshold)),"Review","OK")</f>
        <v>0</v>
      </c>
      <c r="M149" t="s">
        <v>33</v>
      </c>
    </row>
    <row r="150" spans="1:13">
      <c r="A150" t="s">
        <v>0</v>
      </c>
      <c r="B150" t="s">
        <v>264</v>
      </c>
      <c r="C150" t="s">
        <v>77</v>
      </c>
      <c r="D150" t="s">
        <v>269</v>
      </c>
      <c r="E150" cm="1">
        <f t="array" ref="E150">_xlfn.XLOOKUP(D150,SKU_Master!A:A,SKU_Master!B:B,"Not on master")</f>
        <v>0</v>
      </c>
      <c r="F150" cm="1">
        <f t="array" ref="F150">_xlfn.XLOOKUP(C150,Account_Master!A:A,Account_Master!B:B,"Not on master")</f>
        <v>0</v>
      </c>
      <c r="G150" cm="1">
        <f t="array" ref="G150">_xlfn.XLOOKUP(C150,Account_Master!A:A,Account_Master!C:C,"Not on master")</f>
        <v>0</v>
      </c>
      <c r="H150" s="6">
        <v>17.25</v>
      </c>
      <c r="I150" s="6">
        <v>17.25</v>
      </c>
      <c r="J150" s="6">
        <f>I150-H150</f>
        <v>0</v>
      </c>
      <c r="K150" s="5">
        <f>IF(H150=0,"",J150/H150)</f>
        <v>0</v>
      </c>
      <c r="L150">
        <f>IF(OR(AND(H150=0,ABS(J150)&gt;=0.01),AND(H150&lt;&gt;0,ABS(K150)&gt;VarianceThreshold)),"Review","OK")</f>
        <v>0</v>
      </c>
      <c r="M150" t="s">
        <v>33</v>
      </c>
    </row>
    <row r="151" spans="1:13">
      <c r="A151" t="s">
        <v>0</v>
      </c>
      <c r="B151" t="s">
        <v>264</v>
      </c>
      <c r="C151" t="s">
        <v>31</v>
      </c>
      <c r="D151" t="s">
        <v>270</v>
      </c>
      <c r="E151" cm="1">
        <f t="array" ref="E151">_xlfn.XLOOKUP(D151,SKU_Master!A:A,SKU_Master!B:B,"Not on master")</f>
        <v>0</v>
      </c>
      <c r="F151" cm="1">
        <f t="array" ref="F151">_xlfn.XLOOKUP(C151,Account_Master!A:A,Account_Master!B:B,"Not on master")</f>
        <v>0</v>
      </c>
      <c r="G151" cm="1">
        <f t="array" ref="G151">_xlfn.XLOOKUP(C151,Account_Master!A:A,Account_Master!C:C,"Not on master")</f>
        <v>0</v>
      </c>
      <c r="H151" s="6">
        <v>22.5</v>
      </c>
      <c r="I151" s="6">
        <v>22.5</v>
      </c>
      <c r="J151" s="6">
        <f>I151-H151</f>
        <v>0</v>
      </c>
      <c r="K151" s="5">
        <f>IF(H151=0,"",J151/H151)</f>
        <v>0</v>
      </c>
      <c r="L151">
        <f>IF(OR(AND(H151=0,ABS(J151)&gt;=0.01),AND(H151&lt;&gt;0,ABS(K151)&gt;VarianceThreshold)),"Review","OK")</f>
        <v>0</v>
      </c>
      <c r="M151" t="s">
        <v>33</v>
      </c>
    </row>
    <row r="152" spans="1:13">
      <c r="A152" t="s">
        <v>0</v>
      </c>
      <c r="B152" t="s">
        <v>264</v>
      </c>
      <c r="C152" t="s">
        <v>110</v>
      </c>
      <c r="D152" t="s">
        <v>271</v>
      </c>
      <c r="E152" cm="1">
        <f t="array" ref="E152">_xlfn.XLOOKUP(D152,SKU_Master!A:A,SKU_Master!B:B,"Not on master")</f>
        <v>0</v>
      </c>
      <c r="F152" cm="1">
        <f t="array" ref="F152">_xlfn.XLOOKUP(C152,Account_Master!A:A,Account_Master!B:B,"Not on master")</f>
        <v>0</v>
      </c>
      <c r="G152" cm="1">
        <f t="array" ref="G152">_xlfn.XLOOKUP(C152,Account_Master!A:A,Account_Master!C:C,"Not on master")</f>
        <v>0</v>
      </c>
      <c r="H152" s="6">
        <v>84</v>
      </c>
      <c r="I152" s="6">
        <v>84</v>
      </c>
      <c r="J152" s="6">
        <f>I152-H152</f>
        <v>0</v>
      </c>
      <c r="K152" s="5">
        <f>IF(H152=0,"",J152/H152)</f>
        <v>0</v>
      </c>
      <c r="L152">
        <f>IF(OR(AND(H152=0,ABS(J152)&gt;=0.01),AND(H152&lt;&gt;0,ABS(K152)&gt;VarianceThreshold)),"Review","OK")</f>
        <v>0</v>
      </c>
      <c r="M152" t="s">
        <v>33</v>
      </c>
    </row>
    <row r="153" spans="1:13">
      <c r="A153" t="s">
        <v>0</v>
      </c>
      <c r="B153" t="s">
        <v>264</v>
      </c>
      <c r="C153" t="s">
        <v>45</v>
      </c>
      <c r="D153" t="s">
        <v>272</v>
      </c>
      <c r="E153" cm="1">
        <f t="array" ref="E153">_xlfn.XLOOKUP(D153,SKU_Master!A:A,SKU_Master!B:B,"Not on master")</f>
        <v>0</v>
      </c>
      <c r="F153" cm="1">
        <f t="array" ref="F153">_xlfn.XLOOKUP(C153,Account_Master!A:A,Account_Master!B:B,"Not on master")</f>
        <v>0</v>
      </c>
      <c r="G153" cm="1">
        <f t="array" ref="G153">_xlfn.XLOOKUP(C153,Account_Master!A:A,Account_Master!C:C,"Not on master")</f>
        <v>0</v>
      </c>
      <c r="H153" s="6">
        <v>4.5</v>
      </c>
      <c r="I153" s="6">
        <v>4.5</v>
      </c>
      <c r="J153" s="6">
        <f>I153-H153</f>
        <v>0</v>
      </c>
      <c r="K153" s="5">
        <f>IF(H153=0,"",J153/H153)</f>
        <v>0</v>
      </c>
      <c r="L153">
        <f>IF(OR(AND(H153=0,ABS(J153)&gt;=0.01),AND(H153&lt;&gt;0,ABS(K153)&gt;VarianceThreshold)),"Review","OK")</f>
        <v>0</v>
      </c>
      <c r="M153" t="s">
        <v>33</v>
      </c>
    </row>
    <row r="154" spans="1:13">
      <c r="A154" t="s">
        <v>0</v>
      </c>
      <c r="B154" t="s">
        <v>273</v>
      </c>
      <c r="C154" t="s">
        <v>274</v>
      </c>
      <c r="D154" t="s">
        <v>275</v>
      </c>
      <c r="E154" cm="1">
        <f t="array" ref="E154">_xlfn.XLOOKUP(D154,SKU_Master!A:A,SKU_Master!B:B,"Not on master")</f>
        <v>0</v>
      </c>
      <c r="F154" cm="1">
        <f t="array" ref="F154">_xlfn.XLOOKUP(C154,Account_Master!A:A,Account_Master!B:B,"Not on master")</f>
        <v>0</v>
      </c>
      <c r="G154" cm="1">
        <f t="array" ref="G154">_xlfn.XLOOKUP(C154,Account_Master!A:A,Account_Master!C:C,"Not on master")</f>
        <v>0</v>
      </c>
      <c r="H154" s="6">
        <v>4.5</v>
      </c>
      <c r="I154" s="6">
        <v>4.5</v>
      </c>
      <c r="J154" s="6">
        <f>I154-H154</f>
        <v>0</v>
      </c>
      <c r="K154" s="5">
        <f>IF(H154=0,"",J154/H154)</f>
        <v>0</v>
      </c>
      <c r="L154">
        <f>IF(OR(AND(H154=0,ABS(J154)&gt;=0.01),AND(H154&lt;&gt;0,ABS(K154)&gt;VarianceThreshold)),"Review","OK")</f>
        <v>0</v>
      </c>
      <c r="M154" t="s">
        <v>33</v>
      </c>
    </row>
    <row r="155" spans="1:13">
      <c r="A155" t="s">
        <v>0</v>
      </c>
      <c r="B155" t="s">
        <v>273</v>
      </c>
      <c r="C155" t="s">
        <v>256</v>
      </c>
      <c r="D155" t="s">
        <v>276</v>
      </c>
      <c r="E155" cm="1">
        <f t="array" ref="E155">_xlfn.XLOOKUP(D155,SKU_Master!A:A,SKU_Master!B:B,"Not on master")</f>
        <v>0</v>
      </c>
      <c r="F155" cm="1">
        <f t="array" ref="F155">_xlfn.XLOOKUP(C155,Account_Master!A:A,Account_Master!B:B,"Not on master")</f>
        <v>0</v>
      </c>
      <c r="G155" cm="1">
        <f t="array" ref="G155">_xlfn.XLOOKUP(C155,Account_Master!A:A,Account_Master!C:C,"Not on master")</f>
        <v>0</v>
      </c>
      <c r="H155" s="6">
        <v>35.25</v>
      </c>
      <c r="I155" s="6">
        <v>35.25</v>
      </c>
      <c r="J155" s="6">
        <f>I155-H155</f>
        <v>0</v>
      </c>
      <c r="K155" s="5">
        <f>IF(H155=0,"",J155/H155)</f>
        <v>0</v>
      </c>
      <c r="L155">
        <f>IF(OR(AND(H155=0,ABS(J155)&gt;=0.01),AND(H155&lt;&gt;0,ABS(K155)&gt;VarianceThreshold)),"Review","OK")</f>
        <v>0</v>
      </c>
      <c r="M155" t="s">
        <v>33</v>
      </c>
    </row>
    <row r="156" spans="1:13">
      <c r="A156" t="s">
        <v>0</v>
      </c>
      <c r="B156" t="s">
        <v>273</v>
      </c>
      <c r="C156" t="s">
        <v>277</v>
      </c>
      <c r="D156" t="s">
        <v>278</v>
      </c>
      <c r="E156" cm="1">
        <f t="array" ref="E156">_xlfn.XLOOKUP(D156,SKU_Master!A:A,SKU_Master!B:B,"Not on master")</f>
        <v>0</v>
      </c>
      <c r="F156" cm="1">
        <f t="array" ref="F156">_xlfn.XLOOKUP(C156,Account_Master!A:A,Account_Master!B:B,"Not on master")</f>
        <v>0</v>
      </c>
      <c r="G156" cm="1">
        <f t="array" ref="G156">_xlfn.XLOOKUP(C156,Account_Master!A:A,Account_Master!C:C,"Not on master")</f>
        <v>0</v>
      </c>
      <c r="H156" s="6">
        <v>438</v>
      </c>
      <c r="I156" s="6">
        <v>438</v>
      </c>
      <c r="J156" s="6">
        <f>I156-H156</f>
        <v>0</v>
      </c>
      <c r="K156" s="5">
        <f>IF(H156=0,"",J156/H156)</f>
        <v>0</v>
      </c>
      <c r="L156">
        <f>IF(OR(AND(H156=0,ABS(J156)&gt;=0.01),AND(H156&lt;&gt;0,ABS(K156)&gt;VarianceThreshold)),"Review","OK")</f>
        <v>0</v>
      </c>
      <c r="M156" t="s">
        <v>33</v>
      </c>
    </row>
    <row r="157" spans="1:13">
      <c r="A157" t="s">
        <v>0</v>
      </c>
      <c r="B157" t="s">
        <v>273</v>
      </c>
      <c r="C157" t="s">
        <v>77</v>
      </c>
      <c r="D157" t="s">
        <v>279</v>
      </c>
      <c r="E157" cm="1">
        <f t="array" ref="E157">_xlfn.XLOOKUP(D157,SKU_Master!A:A,SKU_Master!B:B,"Not on master")</f>
        <v>0</v>
      </c>
      <c r="F157" cm="1">
        <f t="array" ref="F157">_xlfn.XLOOKUP(C157,Account_Master!A:A,Account_Master!B:B,"Not on master")</f>
        <v>0</v>
      </c>
      <c r="G157" cm="1">
        <f t="array" ref="G157">_xlfn.XLOOKUP(C157,Account_Master!A:A,Account_Master!C:C,"Not on master")</f>
        <v>0</v>
      </c>
      <c r="H157" s="6">
        <v>21</v>
      </c>
      <c r="I157" s="6">
        <v>21</v>
      </c>
      <c r="J157" s="6">
        <f>I157-H157</f>
        <v>0</v>
      </c>
      <c r="K157" s="5">
        <f>IF(H157=0,"",J157/H157)</f>
        <v>0</v>
      </c>
      <c r="L157">
        <f>IF(OR(AND(H157=0,ABS(J157)&gt;=0.01),AND(H157&lt;&gt;0,ABS(K157)&gt;VarianceThreshold)),"Review","OK")</f>
        <v>0</v>
      </c>
      <c r="M157" t="s">
        <v>33</v>
      </c>
    </row>
    <row r="158" spans="1:13">
      <c r="A158" t="s">
        <v>0</v>
      </c>
      <c r="B158" t="s">
        <v>273</v>
      </c>
      <c r="C158" t="s">
        <v>220</v>
      </c>
      <c r="D158" t="s">
        <v>280</v>
      </c>
      <c r="E158" cm="1">
        <f t="array" ref="E158">_xlfn.XLOOKUP(D158,SKU_Master!A:A,SKU_Master!B:B,"Not on master")</f>
        <v>0</v>
      </c>
      <c r="F158" cm="1">
        <f t="array" ref="F158">_xlfn.XLOOKUP(C158,Account_Master!A:A,Account_Master!B:B,"Not on master")</f>
        <v>0</v>
      </c>
      <c r="G158" cm="1">
        <f t="array" ref="G158">_xlfn.XLOOKUP(C158,Account_Master!A:A,Account_Master!C:C,"Not on master")</f>
        <v>0</v>
      </c>
      <c r="H158" s="6">
        <v>27</v>
      </c>
      <c r="I158" s="6">
        <v>27</v>
      </c>
      <c r="J158" s="6">
        <f>I158-H158</f>
        <v>0</v>
      </c>
      <c r="K158" s="5">
        <f>IF(H158=0,"",J158/H158)</f>
        <v>0</v>
      </c>
      <c r="L158">
        <f>IF(OR(AND(H158=0,ABS(J158)&gt;=0.01),AND(H158&lt;&gt;0,ABS(K158)&gt;VarianceThreshold)),"Review","OK")</f>
        <v>0</v>
      </c>
      <c r="M158" t="s">
        <v>33</v>
      </c>
    </row>
    <row r="159" spans="1:13">
      <c r="A159" t="s">
        <v>0</v>
      </c>
      <c r="B159" t="s">
        <v>273</v>
      </c>
      <c r="C159" t="s">
        <v>59</v>
      </c>
      <c r="D159" t="s">
        <v>281</v>
      </c>
      <c r="E159" cm="1">
        <f t="array" ref="E159">_xlfn.XLOOKUP(D159,SKU_Master!A:A,SKU_Master!B:B,"Not on master")</f>
        <v>0</v>
      </c>
      <c r="F159" cm="1">
        <f t="array" ref="F159">_xlfn.XLOOKUP(C159,Account_Master!A:A,Account_Master!B:B,"Not on master")</f>
        <v>0</v>
      </c>
      <c r="G159" cm="1">
        <f t="array" ref="G159">_xlfn.XLOOKUP(C159,Account_Master!A:A,Account_Master!C:C,"Not on master")</f>
        <v>0</v>
      </c>
      <c r="H159" s="6">
        <v>20.25</v>
      </c>
      <c r="I159" s="6">
        <v>20.25</v>
      </c>
      <c r="J159" s="6">
        <f>I159-H159</f>
        <v>0</v>
      </c>
      <c r="K159" s="5">
        <f>IF(H159=0,"",J159/H159)</f>
        <v>0</v>
      </c>
      <c r="L159">
        <f>IF(OR(AND(H159=0,ABS(J159)&gt;=0.01),AND(H159&lt;&gt;0,ABS(K159)&gt;VarianceThreshold)),"Review","OK")</f>
        <v>0</v>
      </c>
      <c r="M159" t="s">
        <v>33</v>
      </c>
    </row>
    <row r="160" spans="1:13">
      <c r="A160" t="s">
        <v>0</v>
      </c>
      <c r="B160" t="s">
        <v>273</v>
      </c>
      <c r="C160" t="s">
        <v>84</v>
      </c>
      <c r="D160" t="s">
        <v>282</v>
      </c>
      <c r="E160" cm="1">
        <f t="array" ref="E160">_xlfn.XLOOKUP(D160,SKU_Master!A:A,SKU_Master!B:B,"Not on master")</f>
        <v>0</v>
      </c>
      <c r="F160" cm="1">
        <f t="array" ref="F160">_xlfn.XLOOKUP(C160,Account_Master!A:A,Account_Master!B:B,"Not on master")</f>
        <v>0</v>
      </c>
      <c r="G160" cm="1">
        <f t="array" ref="G160">_xlfn.XLOOKUP(C160,Account_Master!A:A,Account_Master!C:C,"Not on master")</f>
        <v>0</v>
      </c>
      <c r="H160" s="6">
        <v>3.75</v>
      </c>
      <c r="I160" s="6">
        <v>3.75</v>
      </c>
      <c r="J160" s="6">
        <f>I160-H160</f>
        <v>0</v>
      </c>
      <c r="K160" s="5">
        <f>IF(H160=0,"",J160/H160)</f>
        <v>0</v>
      </c>
      <c r="L160">
        <f>IF(OR(AND(H160=0,ABS(J160)&gt;=0.01),AND(H160&lt;&gt;0,ABS(K160)&gt;VarianceThreshold)),"Review","OK")</f>
        <v>0</v>
      </c>
      <c r="M160" t="s">
        <v>33</v>
      </c>
    </row>
    <row r="161" spans="1:13">
      <c r="A161" t="s">
        <v>0</v>
      </c>
      <c r="B161" t="s">
        <v>273</v>
      </c>
      <c r="C161" t="s">
        <v>77</v>
      </c>
      <c r="D161" t="s">
        <v>283</v>
      </c>
      <c r="E161" cm="1">
        <f t="array" ref="E161">_xlfn.XLOOKUP(D161,SKU_Master!A:A,SKU_Master!B:B,"Not on master")</f>
        <v>0</v>
      </c>
      <c r="F161" cm="1">
        <f t="array" ref="F161">_xlfn.XLOOKUP(C161,Account_Master!A:A,Account_Master!B:B,"Not on master")</f>
        <v>0</v>
      </c>
      <c r="G161" cm="1">
        <f t="array" ref="G161">_xlfn.XLOOKUP(C161,Account_Master!A:A,Account_Master!C:C,"Not on master")</f>
        <v>0</v>
      </c>
      <c r="H161" s="6">
        <v>0.2</v>
      </c>
      <c r="I161" s="6">
        <v>0.2</v>
      </c>
      <c r="J161" s="6">
        <f>I161-H161</f>
        <v>0</v>
      </c>
      <c r="K161" s="5">
        <f>IF(H161=0,"",J161/H161)</f>
        <v>0</v>
      </c>
      <c r="L161">
        <f>IF(OR(AND(H161=0,ABS(J161)&gt;=0.01),AND(H161&lt;&gt;0,ABS(K161)&gt;VarianceThreshold)),"Review","OK")</f>
        <v>0</v>
      </c>
      <c r="M161" t="s">
        <v>33</v>
      </c>
    </row>
    <row r="162" spans="1:13">
      <c r="A162" t="s">
        <v>0</v>
      </c>
      <c r="B162" t="s">
        <v>284</v>
      </c>
      <c r="C162" t="s">
        <v>82</v>
      </c>
      <c r="D162" t="s">
        <v>285</v>
      </c>
      <c r="E162" cm="1">
        <f t="array" ref="E162">_xlfn.XLOOKUP(D162,SKU_Master!A:A,SKU_Master!B:B,"Not on master")</f>
        <v>0</v>
      </c>
      <c r="F162" cm="1">
        <f t="array" ref="F162">_xlfn.XLOOKUP(C162,Account_Master!A:A,Account_Master!B:B,"Not on master")</f>
        <v>0</v>
      </c>
      <c r="G162" cm="1">
        <f t="array" ref="G162">_xlfn.XLOOKUP(C162,Account_Master!A:A,Account_Master!C:C,"Not on master")</f>
        <v>0</v>
      </c>
      <c r="H162" s="6">
        <v>27</v>
      </c>
      <c r="I162" s="6">
        <v>27</v>
      </c>
      <c r="J162" s="6">
        <f>I162-H162</f>
        <v>0</v>
      </c>
      <c r="K162" s="5">
        <f>IF(H162=0,"",J162/H162)</f>
        <v>0</v>
      </c>
      <c r="L162">
        <f>IF(OR(AND(H162=0,ABS(J162)&gt;=0.01),AND(H162&lt;&gt;0,ABS(K162)&gt;VarianceThreshold)),"Review","OK")</f>
        <v>0</v>
      </c>
      <c r="M162" t="s">
        <v>33</v>
      </c>
    </row>
    <row r="163" spans="1:13">
      <c r="A163" t="s">
        <v>0</v>
      </c>
      <c r="B163" t="s">
        <v>284</v>
      </c>
      <c r="C163" t="s">
        <v>286</v>
      </c>
      <c r="D163" t="s">
        <v>287</v>
      </c>
      <c r="E163" cm="1">
        <f t="array" ref="E163">_xlfn.XLOOKUP(D163,SKU_Master!A:A,SKU_Master!B:B,"Not on master")</f>
        <v>0</v>
      </c>
      <c r="F163" cm="1">
        <f t="array" ref="F163">_xlfn.XLOOKUP(C163,Account_Master!A:A,Account_Master!B:B,"Not on master")</f>
        <v>0</v>
      </c>
      <c r="G163" cm="1">
        <f t="array" ref="G163">_xlfn.XLOOKUP(C163,Account_Master!A:A,Account_Master!C:C,"Not on master")</f>
        <v>0</v>
      </c>
      <c r="H163" s="6">
        <v>0.75</v>
      </c>
      <c r="I163" s="6">
        <v>0.75</v>
      </c>
      <c r="J163" s="6">
        <f>I163-H163</f>
        <v>0</v>
      </c>
      <c r="K163" s="5">
        <f>IF(H163=0,"",J163/H163)</f>
        <v>0</v>
      </c>
      <c r="L163">
        <f>IF(OR(AND(H163=0,ABS(J163)&gt;=0.01),AND(H163&lt;&gt;0,ABS(K163)&gt;VarianceThreshold)),"Review","OK")</f>
        <v>0</v>
      </c>
      <c r="M163" t="s">
        <v>33</v>
      </c>
    </row>
    <row r="164" spans="1:13">
      <c r="A164" t="s">
        <v>0</v>
      </c>
      <c r="B164" t="s">
        <v>284</v>
      </c>
      <c r="C164" t="s">
        <v>267</v>
      </c>
      <c r="D164" t="s">
        <v>288</v>
      </c>
      <c r="E164" cm="1">
        <f t="array" ref="E164">_xlfn.XLOOKUP(D164,SKU_Master!A:A,SKU_Master!B:B,"Not on master")</f>
        <v>0</v>
      </c>
      <c r="F164" cm="1">
        <f t="array" ref="F164">_xlfn.XLOOKUP(C164,Account_Master!A:A,Account_Master!B:B,"Not on master")</f>
        <v>0</v>
      </c>
      <c r="G164" cm="1">
        <f t="array" ref="G164">_xlfn.XLOOKUP(C164,Account_Master!A:A,Account_Master!C:C,"Not on master")</f>
        <v>0</v>
      </c>
      <c r="H164" s="6">
        <v>2.25</v>
      </c>
      <c r="I164" s="6">
        <v>2.25</v>
      </c>
      <c r="J164" s="6">
        <f>I164-H164</f>
        <v>0</v>
      </c>
      <c r="K164" s="5">
        <f>IF(H164=0,"",J164/H164)</f>
        <v>0</v>
      </c>
      <c r="L164">
        <f>IF(OR(AND(H164=0,ABS(J164)&gt;=0.01),AND(H164&lt;&gt;0,ABS(K164)&gt;VarianceThreshold)),"Review","OK")</f>
        <v>0</v>
      </c>
      <c r="M164" t="s">
        <v>33</v>
      </c>
    </row>
    <row r="165" spans="1:13">
      <c r="A165" t="s">
        <v>0</v>
      </c>
      <c r="B165" t="s">
        <v>289</v>
      </c>
      <c r="C165" t="s">
        <v>126</v>
      </c>
      <c r="D165" t="s">
        <v>290</v>
      </c>
      <c r="E165" cm="1">
        <f t="array" ref="E165">_xlfn.XLOOKUP(D165,SKU_Master!A:A,SKU_Master!B:B,"Not on master")</f>
        <v>0</v>
      </c>
      <c r="F165" cm="1">
        <f t="array" ref="F165">_xlfn.XLOOKUP(C165,Account_Master!A:A,Account_Master!B:B,"Not on master")</f>
        <v>0</v>
      </c>
      <c r="G165" cm="1">
        <f t="array" ref="G165">_xlfn.XLOOKUP(C165,Account_Master!A:A,Account_Master!C:C,"Not on master")</f>
        <v>0</v>
      </c>
      <c r="H165" s="6">
        <v>0.05</v>
      </c>
      <c r="I165" s="6">
        <v>0.05</v>
      </c>
      <c r="J165" s="6">
        <f>I165-H165</f>
        <v>0</v>
      </c>
      <c r="K165" s="5">
        <f>IF(H165=0,"",J165/H165)</f>
        <v>0</v>
      </c>
      <c r="L165">
        <f>IF(OR(AND(H165=0,ABS(J165)&gt;=0.01),AND(H165&lt;&gt;0,ABS(K165)&gt;VarianceThreshold)),"Review","OK")</f>
        <v>0</v>
      </c>
      <c r="M165" t="s">
        <v>33</v>
      </c>
    </row>
    <row r="166" spans="1:13">
      <c r="A166" t="s">
        <v>0</v>
      </c>
      <c r="B166" t="s">
        <v>289</v>
      </c>
      <c r="C166" t="s">
        <v>56</v>
      </c>
      <c r="D166" t="s">
        <v>291</v>
      </c>
      <c r="E166" cm="1">
        <f t="array" ref="E166">_xlfn.XLOOKUP(D166,SKU_Master!A:A,SKU_Master!B:B,"Not on master")</f>
        <v>0</v>
      </c>
      <c r="F166" cm="1">
        <f t="array" ref="F166">_xlfn.XLOOKUP(C166,Account_Master!A:A,Account_Master!B:B,"Not on master")</f>
        <v>0</v>
      </c>
      <c r="G166" cm="1">
        <f t="array" ref="G166">_xlfn.XLOOKUP(C166,Account_Master!A:A,Account_Master!C:C,"Not on master")</f>
        <v>0</v>
      </c>
      <c r="H166" s="6">
        <v>11.25</v>
      </c>
      <c r="I166" s="6">
        <v>11.25</v>
      </c>
      <c r="J166" s="6">
        <f>I166-H166</f>
        <v>0</v>
      </c>
      <c r="K166" s="5">
        <f>IF(H166=0,"",J166/H166)</f>
        <v>0</v>
      </c>
      <c r="L166">
        <f>IF(OR(AND(H166=0,ABS(J166)&gt;=0.01),AND(H166&lt;&gt;0,ABS(K166)&gt;VarianceThreshold)),"Review","OK")</f>
        <v>0</v>
      </c>
      <c r="M166" t="s">
        <v>33</v>
      </c>
    </row>
    <row r="167" spans="1:13">
      <c r="A167" t="s">
        <v>0</v>
      </c>
      <c r="B167" t="s">
        <v>289</v>
      </c>
      <c r="C167" t="s">
        <v>45</v>
      </c>
      <c r="D167" t="s">
        <v>292</v>
      </c>
      <c r="E167" cm="1">
        <f t="array" ref="E167">_xlfn.XLOOKUP(D167,SKU_Master!A:A,SKU_Master!B:B,"Not on master")</f>
        <v>0</v>
      </c>
      <c r="F167" cm="1">
        <f t="array" ref="F167">_xlfn.XLOOKUP(C167,Account_Master!A:A,Account_Master!B:B,"Not on master")</f>
        <v>0</v>
      </c>
      <c r="G167" cm="1">
        <f t="array" ref="G167">_xlfn.XLOOKUP(C167,Account_Master!A:A,Account_Master!C:C,"Not on master")</f>
        <v>0</v>
      </c>
      <c r="H167" s="6">
        <v>0.75</v>
      </c>
      <c r="I167" s="6">
        <v>0.75</v>
      </c>
      <c r="J167" s="6">
        <f>I167-H167</f>
        <v>0</v>
      </c>
      <c r="K167" s="5">
        <f>IF(H167=0,"",J167/H167)</f>
        <v>0</v>
      </c>
      <c r="L167">
        <f>IF(OR(AND(H167=0,ABS(J167)&gt;=0.01),AND(H167&lt;&gt;0,ABS(K167)&gt;VarianceThreshold)),"Review","OK")</f>
        <v>0</v>
      </c>
      <c r="M167" t="s">
        <v>33</v>
      </c>
    </row>
    <row r="168" spans="1:13">
      <c r="A168" t="s">
        <v>0</v>
      </c>
      <c r="B168" t="s">
        <v>289</v>
      </c>
      <c r="C168" t="s">
        <v>56</v>
      </c>
      <c r="D168" t="s">
        <v>293</v>
      </c>
      <c r="E168" cm="1">
        <f t="array" ref="E168">_xlfn.XLOOKUP(D168,SKU_Master!A:A,SKU_Master!B:B,"Not on master")</f>
        <v>0</v>
      </c>
      <c r="F168" cm="1">
        <f t="array" ref="F168">_xlfn.XLOOKUP(C168,Account_Master!A:A,Account_Master!B:B,"Not on master")</f>
        <v>0</v>
      </c>
      <c r="G168" cm="1">
        <f t="array" ref="G168">_xlfn.XLOOKUP(C168,Account_Master!A:A,Account_Master!C:C,"Not on master")</f>
        <v>0</v>
      </c>
      <c r="H168" s="6">
        <v>4.5</v>
      </c>
      <c r="I168" s="6">
        <v>4.5</v>
      </c>
      <c r="J168" s="6">
        <f>I168-H168</f>
        <v>0</v>
      </c>
      <c r="K168" s="5">
        <f>IF(H168=0,"",J168/H168)</f>
        <v>0</v>
      </c>
      <c r="L168">
        <f>IF(OR(AND(H168=0,ABS(J168)&gt;=0.01),AND(H168&lt;&gt;0,ABS(K168)&gt;VarianceThreshold)),"Review","OK")</f>
        <v>0</v>
      </c>
      <c r="M168" t="s">
        <v>33</v>
      </c>
    </row>
    <row r="169" spans="1:13">
      <c r="A169" t="s">
        <v>0</v>
      </c>
      <c r="B169" t="s">
        <v>289</v>
      </c>
      <c r="C169" t="s">
        <v>126</v>
      </c>
      <c r="D169" t="s">
        <v>294</v>
      </c>
      <c r="E169" cm="1">
        <f t="array" ref="E169">_xlfn.XLOOKUP(D169,SKU_Master!A:A,SKU_Master!B:B,"Not on master")</f>
        <v>0</v>
      </c>
      <c r="F169" cm="1">
        <f t="array" ref="F169">_xlfn.XLOOKUP(C169,Account_Master!A:A,Account_Master!B:B,"Not on master")</f>
        <v>0</v>
      </c>
      <c r="G169" cm="1">
        <f t="array" ref="G169">_xlfn.XLOOKUP(C169,Account_Master!A:A,Account_Master!C:C,"Not on master")</f>
        <v>0</v>
      </c>
      <c r="H169" s="6">
        <v>177</v>
      </c>
      <c r="I169" s="6">
        <v>177</v>
      </c>
      <c r="J169" s="6">
        <f>I169-H169</f>
        <v>0</v>
      </c>
      <c r="K169" s="5">
        <f>IF(H169=0,"",J169/H169)</f>
        <v>0</v>
      </c>
      <c r="L169">
        <f>IF(OR(AND(H169=0,ABS(J169)&gt;=0.01),AND(H169&lt;&gt;0,ABS(K169)&gt;VarianceThreshold)),"Review","OK")</f>
        <v>0</v>
      </c>
      <c r="M169" t="s">
        <v>33</v>
      </c>
    </row>
    <row r="170" spans="1:13">
      <c r="A170" t="s">
        <v>0</v>
      </c>
      <c r="B170" t="s">
        <v>289</v>
      </c>
      <c r="C170" t="s">
        <v>110</v>
      </c>
      <c r="D170" t="s">
        <v>295</v>
      </c>
      <c r="E170" cm="1">
        <f t="array" ref="E170">_xlfn.XLOOKUP(D170,SKU_Master!A:A,SKU_Master!B:B,"Not on master")</f>
        <v>0</v>
      </c>
      <c r="F170" cm="1">
        <f t="array" ref="F170">_xlfn.XLOOKUP(C170,Account_Master!A:A,Account_Master!B:B,"Not on master")</f>
        <v>0</v>
      </c>
      <c r="G170" cm="1">
        <f t="array" ref="G170">_xlfn.XLOOKUP(C170,Account_Master!A:A,Account_Master!C:C,"Not on master")</f>
        <v>0</v>
      </c>
      <c r="H170" s="6">
        <v>45</v>
      </c>
      <c r="I170" s="6">
        <v>45</v>
      </c>
      <c r="J170" s="6">
        <f>I170-H170</f>
        <v>0</v>
      </c>
      <c r="K170" s="5">
        <f>IF(H170=0,"",J170/H170)</f>
        <v>0</v>
      </c>
      <c r="L170">
        <f>IF(OR(AND(H170=0,ABS(J170)&gt;=0.01),AND(H170&lt;&gt;0,ABS(K170)&gt;VarianceThreshold)),"Review","OK")</f>
        <v>0</v>
      </c>
      <c r="M170" t="s">
        <v>33</v>
      </c>
    </row>
    <row r="171" spans="1:13">
      <c r="A171" t="s">
        <v>0</v>
      </c>
      <c r="B171" t="s">
        <v>289</v>
      </c>
      <c r="C171" t="s">
        <v>110</v>
      </c>
      <c r="D171" t="s">
        <v>296</v>
      </c>
      <c r="E171" cm="1">
        <f t="array" ref="E171">_xlfn.XLOOKUP(D171,SKU_Master!A:A,SKU_Master!B:B,"Not on master")</f>
        <v>0</v>
      </c>
      <c r="F171" cm="1">
        <f t="array" ref="F171">_xlfn.XLOOKUP(C171,Account_Master!A:A,Account_Master!B:B,"Not on master")</f>
        <v>0</v>
      </c>
      <c r="G171" cm="1">
        <f t="array" ref="G171">_xlfn.XLOOKUP(C171,Account_Master!A:A,Account_Master!C:C,"Not on master")</f>
        <v>0</v>
      </c>
      <c r="H171" s="6">
        <v>22.5</v>
      </c>
      <c r="I171" s="6">
        <v>22.5</v>
      </c>
      <c r="J171" s="6">
        <f>I171-H171</f>
        <v>0</v>
      </c>
      <c r="K171" s="5">
        <f>IF(H171=0,"",J171/H171)</f>
        <v>0</v>
      </c>
      <c r="L171">
        <f>IF(OR(AND(H171=0,ABS(J171)&gt;=0.01),AND(H171&lt;&gt;0,ABS(K171)&gt;VarianceThreshold)),"Review","OK")</f>
        <v>0</v>
      </c>
      <c r="M171" t="s">
        <v>33</v>
      </c>
    </row>
    <row r="172" spans="1:13">
      <c r="A172" t="s">
        <v>0</v>
      </c>
      <c r="B172" t="s">
        <v>289</v>
      </c>
      <c r="C172" t="s">
        <v>297</v>
      </c>
      <c r="D172" t="s">
        <v>298</v>
      </c>
      <c r="E172" cm="1">
        <f t="array" ref="E172">_xlfn.XLOOKUP(D172,SKU_Master!A:A,SKU_Master!B:B,"Not on master")</f>
        <v>0</v>
      </c>
      <c r="F172" cm="1">
        <f t="array" ref="F172">_xlfn.XLOOKUP(C172,Account_Master!A:A,Account_Master!B:B,"Not on master")</f>
        <v>0</v>
      </c>
      <c r="G172" cm="1">
        <f t="array" ref="G172">_xlfn.XLOOKUP(C172,Account_Master!A:A,Account_Master!C:C,"Not on master")</f>
        <v>0</v>
      </c>
      <c r="H172" s="6">
        <v>75.37</v>
      </c>
      <c r="I172" s="6">
        <v>75.37</v>
      </c>
      <c r="J172" s="6">
        <f>I172-H172</f>
        <v>0</v>
      </c>
      <c r="K172" s="5">
        <f>IF(H172=0,"",J172/H172)</f>
        <v>0</v>
      </c>
      <c r="L172">
        <f>IF(OR(AND(H172=0,ABS(J172)&gt;=0.01),AND(H172&lt;&gt;0,ABS(K172)&gt;VarianceThreshold)),"Review","OK")</f>
        <v>0</v>
      </c>
      <c r="M172" t="s">
        <v>33</v>
      </c>
    </row>
    <row r="173" spans="1:13">
      <c r="A173" t="s">
        <v>0</v>
      </c>
      <c r="B173" t="s">
        <v>299</v>
      </c>
      <c r="C173" t="s">
        <v>110</v>
      </c>
      <c r="D173" t="s">
        <v>300</v>
      </c>
      <c r="E173" cm="1">
        <f t="array" ref="E173">_xlfn.XLOOKUP(D173,SKU_Master!A:A,SKU_Master!B:B,"Not on master")</f>
        <v>0</v>
      </c>
      <c r="F173" cm="1">
        <f t="array" ref="F173">_xlfn.XLOOKUP(C173,Account_Master!A:A,Account_Master!B:B,"Not on master")</f>
        <v>0</v>
      </c>
      <c r="G173" cm="1">
        <f t="array" ref="G173">_xlfn.XLOOKUP(C173,Account_Master!A:A,Account_Master!C:C,"Not on master")</f>
        <v>0</v>
      </c>
      <c r="H173" s="6">
        <v>72</v>
      </c>
      <c r="I173" s="6">
        <v>72</v>
      </c>
      <c r="J173" s="6">
        <f>I173-H173</f>
        <v>0</v>
      </c>
      <c r="K173" s="5">
        <f>IF(H173=0,"",J173/H173)</f>
        <v>0</v>
      </c>
      <c r="L173">
        <f>IF(OR(AND(H173=0,ABS(J173)&gt;=0.01),AND(H173&lt;&gt;0,ABS(K173)&gt;VarianceThreshold)),"Review","OK")</f>
        <v>0</v>
      </c>
      <c r="M173" t="s">
        <v>33</v>
      </c>
    </row>
    <row r="174" spans="1:13">
      <c r="A174" t="s">
        <v>0</v>
      </c>
      <c r="B174" t="s">
        <v>299</v>
      </c>
      <c r="C174" t="s">
        <v>48</v>
      </c>
      <c r="D174" t="s">
        <v>301</v>
      </c>
      <c r="E174" cm="1">
        <f t="array" ref="E174">_xlfn.XLOOKUP(D174,SKU_Master!A:A,SKU_Master!B:B,"Not on master")</f>
        <v>0</v>
      </c>
      <c r="F174" cm="1">
        <f t="array" ref="F174">_xlfn.XLOOKUP(C174,Account_Master!A:A,Account_Master!B:B,"Not on master")</f>
        <v>0</v>
      </c>
      <c r="G174" cm="1">
        <f t="array" ref="G174">_xlfn.XLOOKUP(C174,Account_Master!A:A,Account_Master!C:C,"Not on master")</f>
        <v>0</v>
      </c>
      <c r="H174" s="6">
        <v>1.5</v>
      </c>
      <c r="I174" s="6">
        <v>1.5</v>
      </c>
      <c r="J174" s="6">
        <f>I174-H174</f>
        <v>0</v>
      </c>
      <c r="K174" s="5">
        <f>IF(H174=0,"",J174/H174)</f>
        <v>0</v>
      </c>
      <c r="L174">
        <f>IF(OR(AND(H174=0,ABS(J174)&gt;=0.01),AND(H174&lt;&gt;0,ABS(K174)&gt;VarianceThreshold)),"Review","OK")</f>
        <v>0</v>
      </c>
      <c r="M174" t="s">
        <v>33</v>
      </c>
    </row>
    <row r="175" spans="1:13">
      <c r="A175" t="s">
        <v>0</v>
      </c>
      <c r="B175" t="s">
        <v>299</v>
      </c>
      <c r="C175" t="s">
        <v>43</v>
      </c>
      <c r="D175" t="s">
        <v>302</v>
      </c>
      <c r="E175" cm="1">
        <f t="array" ref="E175">_xlfn.XLOOKUP(D175,SKU_Master!A:A,SKU_Master!B:B,"Not on master")</f>
        <v>0</v>
      </c>
      <c r="F175" cm="1">
        <f t="array" ref="F175">_xlfn.XLOOKUP(C175,Account_Master!A:A,Account_Master!B:B,"Not on master")</f>
        <v>0</v>
      </c>
      <c r="G175" cm="1">
        <f t="array" ref="G175">_xlfn.XLOOKUP(C175,Account_Master!A:A,Account_Master!C:C,"Not on master")</f>
        <v>0</v>
      </c>
      <c r="H175" s="6">
        <v>9</v>
      </c>
      <c r="I175" s="6">
        <v>9</v>
      </c>
      <c r="J175" s="6">
        <f>I175-H175</f>
        <v>0</v>
      </c>
      <c r="K175" s="5">
        <f>IF(H175=0,"",J175/H175)</f>
        <v>0</v>
      </c>
      <c r="L175">
        <f>IF(OR(AND(H175=0,ABS(J175)&gt;=0.01),AND(H175&lt;&gt;0,ABS(K175)&gt;VarianceThreshold)),"Review","OK")</f>
        <v>0</v>
      </c>
      <c r="M175" t="s">
        <v>33</v>
      </c>
    </row>
    <row r="176" spans="1:13">
      <c r="A176" t="s">
        <v>0</v>
      </c>
      <c r="B176" t="s">
        <v>299</v>
      </c>
      <c r="C176" t="s">
        <v>209</v>
      </c>
      <c r="D176" t="s">
        <v>303</v>
      </c>
      <c r="E176" cm="1">
        <f t="array" ref="E176">_xlfn.XLOOKUP(D176,SKU_Master!A:A,SKU_Master!B:B,"Not on master")</f>
        <v>0</v>
      </c>
      <c r="F176" cm="1">
        <f t="array" ref="F176">_xlfn.XLOOKUP(C176,Account_Master!A:A,Account_Master!B:B,"Not on master")</f>
        <v>0</v>
      </c>
      <c r="G176" cm="1">
        <f t="array" ref="G176">_xlfn.XLOOKUP(C176,Account_Master!A:A,Account_Master!C:C,"Not on master")</f>
        <v>0</v>
      </c>
      <c r="H176" s="6">
        <v>0.7</v>
      </c>
      <c r="I176" s="6">
        <v>0.7</v>
      </c>
      <c r="J176" s="6">
        <f>I176-H176</f>
        <v>0</v>
      </c>
      <c r="K176" s="5">
        <f>IF(H176=0,"",J176/H176)</f>
        <v>0</v>
      </c>
      <c r="L176">
        <f>IF(OR(AND(H176=0,ABS(J176)&gt;=0.01),AND(H176&lt;&gt;0,ABS(K176)&gt;VarianceThreshold)),"Review","OK")</f>
        <v>0</v>
      </c>
      <c r="M176" t="s">
        <v>33</v>
      </c>
    </row>
    <row r="177" spans="1:13">
      <c r="A177" t="s">
        <v>0</v>
      </c>
      <c r="B177" t="s">
        <v>299</v>
      </c>
      <c r="C177" t="s">
        <v>304</v>
      </c>
      <c r="D177" t="s">
        <v>305</v>
      </c>
      <c r="E177" cm="1">
        <f t="array" ref="E177">_xlfn.XLOOKUP(D177,SKU_Master!A:A,SKU_Master!B:B,"Not on master")</f>
        <v>0</v>
      </c>
      <c r="F177" cm="1">
        <f t="array" ref="F177">_xlfn.XLOOKUP(C177,Account_Master!A:A,Account_Master!B:B,"Not on master")</f>
        <v>0</v>
      </c>
      <c r="G177" cm="1">
        <f t="array" ref="G177">_xlfn.XLOOKUP(C177,Account_Master!A:A,Account_Master!C:C,"Not on master")</f>
        <v>0</v>
      </c>
      <c r="H177" s="6">
        <v>34</v>
      </c>
      <c r="I177" s="6">
        <v>34</v>
      </c>
      <c r="J177" s="6">
        <f>I177-H177</f>
        <v>0</v>
      </c>
      <c r="K177" s="5">
        <f>IF(H177=0,"",J177/H177)</f>
        <v>0</v>
      </c>
      <c r="L177">
        <f>IF(OR(AND(H177=0,ABS(J177)&gt;=0.01),AND(H177&lt;&gt;0,ABS(K177)&gt;VarianceThreshold)),"Review","OK")</f>
        <v>0</v>
      </c>
      <c r="M177" t="s">
        <v>33</v>
      </c>
    </row>
    <row r="178" spans="1:13">
      <c r="A178" t="s">
        <v>0</v>
      </c>
      <c r="B178" t="s">
        <v>306</v>
      </c>
      <c r="C178" t="s">
        <v>186</v>
      </c>
      <c r="D178" t="s">
        <v>307</v>
      </c>
      <c r="E178" cm="1">
        <f t="array" ref="E178">_xlfn.XLOOKUP(D178,SKU_Master!A:A,SKU_Master!B:B,"Not on master")</f>
        <v>0</v>
      </c>
      <c r="F178" cm="1">
        <f t="array" ref="F178">_xlfn.XLOOKUP(C178,Account_Master!A:A,Account_Master!B:B,"Not on master")</f>
        <v>0</v>
      </c>
      <c r="G178" cm="1">
        <f t="array" ref="G178">_xlfn.XLOOKUP(C178,Account_Master!A:A,Account_Master!C:C,"Not on master")</f>
        <v>0</v>
      </c>
      <c r="H178" s="6">
        <v>4.5</v>
      </c>
      <c r="I178" s="6">
        <v>4.5</v>
      </c>
      <c r="J178" s="6">
        <f>I178-H178</f>
        <v>0</v>
      </c>
      <c r="K178" s="5">
        <f>IF(H178=0,"",J178/H178)</f>
        <v>0</v>
      </c>
      <c r="L178">
        <f>IF(OR(AND(H178=0,ABS(J178)&gt;=0.01),AND(H178&lt;&gt;0,ABS(K178)&gt;VarianceThreshold)),"Review","OK")</f>
        <v>0</v>
      </c>
      <c r="M178" t="s">
        <v>33</v>
      </c>
    </row>
    <row r="179" spans="1:13">
      <c r="A179" t="s">
        <v>0</v>
      </c>
      <c r="B179" t="s">
        <v>306</v>
      </c>
      <c r="C179" t="s">
        <v>84</v>
      </c>
      <c r="D179" t="s">
        <v>308</v>
      </c>
      <c r="E179" cm="1">
        <f t="array" ref="E179">_xlfn.XLOOKUP(D179,SKU_Master!A:A,SKU_Master!B:B,"Not on master")</f>
        <v>0</v>
      </c>
      <c r="F179" cm="1">
        <f t="array" ref="F179">_xlfn.XLOOKUP(C179,Account_Master!A:A,Account_Master!B:B,"Not on master")</f>
        <v>0</v>
      </c>
      <c r="G179" cm="1">
        <f t="array" ref="G179">_xlfn.XLOOKUP(C179,Account_Master!A:A,Account_Master!C:C,"Not on master")</f>
        <v>0</v>
      </c>
      <c r="H179" s="6">
        <v>20.25</v>
      </c>
      <c r="I179" s="6">
        <v>20.25</v>
      </c>
      <c r="J179" s="6">
        <f>I179-H179</f>
        <v>0</v>
      </c>
      <c r="K179" s="5">
        <f>IF(H179=0,"",J179/H179)</f>
        <v>0</v>
      </c>
      <c r="L179">
        <f>IF(OR(AND(H179=0,ABS(J179)&gt;=0.01),AND(H179&lt;&gt;0,ABS(K179)&gt;VarianceThreshold)),"Review","OK")</f>
        <v>0</v>
      </c>
      <c r="M179" t="s">
        <v>33</v>
      </c>
    </row>
    <row r="180" spans="1:13">
      <c r="A180" t="s">
        <v>0</v>
      </c>
      <c r="B180" t="s">
        <v>306</v>
      </c>
      <c r="C180" t="s">
        <v>31</v>
      </c>
      <c r="D180" t="s">
        <v>309</v>
      </c>
      <c r="E180" cm="1">
        <f t="array" ref="E180">_xlfn.XLOOKUP(D180,SKU_Master!A:A,SKU_Master!B:B,"Not on master")</f>
        <v>0</v>
      </c>
      <c r="F180" cm="1">
        <f t="array" ref="F180">_xlfn.XLOOKUP(C180,Account_Master!A:A,Account_Master!B:B,"Not on master")</f>
        <v>0</v>
      </c>
      <c r="G180" cm="1">
        <f t="array" ref="G180">_xlfn.XLOOKUP(C180,Account_Master!A:A,Account_Master!C:C,"Not on master")</f>
        <v>0</v>
      </c>
      <c r="H180" s="6">
        <v>18</v>
      </c>
      <c r="I180" s="6">
        <v>18</v>
      </c>
      <c r="J180" s="6">
        <f>I180-H180</f>
        <v>0</v>
      </c>
      <c r="K180" s="5">
        <f>IF(H180=0,"",J180/H180)</f>
        <v>0</v>
      </c>
      <c r="L180">
        <f>IF(OR(AND(H180=0,ABS(J180)&gt;=0.01),AND(H180&lt;&gt;0,ABS(K180)&gt;VarianceThreshold)),"Review","OK")</f>
        <v>0</v>
      </c>
      <c r="M180" t="s">
        <v>33</v>
      </c>
    </row>
    <row r="181" spans="1:13">
      <c r="A181" t="s">
        <v>0</v>
      </c>
      <c r="B181" t="s">
        <v>306</v>
      </c>
      <c r="C181" t="s">
        <v>108</v>
      </c>
      <c r="D181" t="s">
        <v>310</v>
      </c>
      <c r="E181" cm="1">
        <f t="array" ref="E181">_xlfn.XLOOKUP(D181,SKU_Master!A:A,SKU_Master!B:B,"Not on master")</f>
        <v>0</v>
      </c>
      <c r="F181" cm="1">
        <f t="array" ref="F181">_xlfn.XLOOKUP(C181,Account_Master!A:A,Account_Master!B:B,"Not on master")</f>
        <v>0</v>
      </c>
      <c r="G181" cm="1">
        <f t="array" ref="G181">_xlfn.XLOOKUP(C181,Account_Master!A:A,Account_Master!C:C,"Not on master")</f>
        <v>0</v>
      </c>
      <c r="H181" s="6">
        <v>9</v>
      </c>
      <c r="I181" s="6">
        <v>9</v>
      </c>
      <c r="J181" s="6">
        <f>I181-H181</f>
        <v>0</v>
      </c>
      <c r="K181" s="5">
        <f>IF(H181=0,"",J181/H181)</f>
        <v>0</v>
      </c>
      <c r="L181">
        <f>IF(OR(AND(H181=0,ABS(J181)&gt;=0.01),AND(H181&lt;&gt;0,ABS(K181)&gt;VarianceThreshold)),"Review","OK")</f>
        <v>0</v>
      </c>
      <c r="M181" t="s">
        <v>33</v>
      </c>
    </row>
    <row r="182" spans="1:13">
      <c r="A182" t="s">
        <v>0</v>
      </c>
      <c r="B182" t="s">
        <v>306</v>
      </c>
      <c r="C182" t="s">
        <v>59</v>
      </c>
      <c r="D182" t="s">
        <v>311</v>
      </c>
      <c r="E182" cm="1">
        <f t="array" ref="E182">_xlfn.XLOOKUP(D182,SKU_Master!A:A,SKU_Master!B:B,"Not on master")</f>
        <v>0</v>
      </c>
      <c r="F182" cm="1">
        <f t="array" ref="F182">_xlfn.XLOOKUP(C182,Account_Master!A:A,Account_Master!B:B,"Not on master")</f>
        <v>0</v>
      </c>
      <c r="G182" cm="1">
        <f t="array" ref="G182">_xlfn.XLOOKUP(C182,Account_Master!A:A,Account_Master!C:C,"Not on master")</f>
        <v>0</v>
      </c>
      <c r="H182" s="6">
        <v>1.4</v>
      </c>
      <c r="I182" s="6">
        <v>1.4</v>
      </c>
      <c r="J182" s="6">
        <f>I182-H182</f>
        <v>0</v>
      </c>
      <c r="K182" s="5">
        <f>IF(H182=0,"",J182/H182)</f>
        <v>0</v>
      </c>
      <c r="L182">
        <f>IF(OR(AND(H182=0,ABS(J182)&gt;=0.01),AND(H182&lt;&gt;0,ABS(K182)&gt;VarianceThreshold)),"Review","OK")</f>
        <v>0</v>
      </c>
      <c r="M182" t="s">
        <v>33</v>
      </c>
    </row>
    <row r="183" spans="1:13">
      <c r="A183" t="s">
        <v>0</v>
      </c>
      <c r="B183" t="s">
        <v>306</v>
      </c>
      <c r="C183" t="s">
        <v>59</v>
      </c>
      <c r="D183" t="s">
        <v>312</v>
      </c>
      <c r="E183" cm="1">
        <f t="array" ref="E183">_xlfn.XLOOKUP(D183,SKU_Master!A:A,SKU_Master!B:B,"Not on master")</f>
        <v>0</v>
      </c>
      <c r="F183" cm="1">
        <f t="array" ref="F183">_xlfn.XLOOKUP(C183,Account_Master!A:A,Account_Master!B:B,"Not on master")</f>
        <v>0</v>
      </c>
      <c r="G183" cm="1">
        <f t="array" ref="G183">_xlfn.XLOOKUP(C183,Account_Master!A:A,Account_Master!C:C,"Not on master")</f>
        <v>0</v>
      </c>
      <c r="H183" s="6">
        <v>33</v>
      </c>
      <c r="I183" s="6">
        <v>33</v>
      </c>
      <c r="J183" s="6">
        <f>I183-H183</f>
        <v>0</v>
      </c>
      <c r="K183" s="5">
        <f>IF(H183=0,"",J183/H183)</f>
        <v>0</v>
      </c>
      <c r="L183">
        <f>IF(OR(AND(H183=0,ABS(J183)&gt;=0.01),AND(H183&lt;&gt;0,ABS(K183)&gt;VarianceThreshold)),"Review","OK")</f>
        <v>0</v>
      </c>
      <c r="M183" t="s">
        <v>33</v>
      </c>
    </row>
    <row r="184" spans="1:13">
      <c r="A184" t="s">
        <v>0</v>
      </c>
      <c r="B184" t="s">
        <v>313</v>
      </c>
      <c r="C184" t="s">
        <v>31</v>
      </c>
      <c r="D184" t="s">
        <v>314</v>
      </c>
      <c r="E184" cm="1">
        <f t="array" ref="E184">_xlfn.XLOOKUP(D184,SKU_Master!A:A,SKU_Master!B:B,"Not on master")</f>
        <v>0</v>
      </c>
      <c r="F184" cm="1">
        <f t="array" ref="F184">_xlfn.XLOOKUP(C184,Account_Master!A:A,Account_Master!B:B,"Not on master")</f>
        <v>0</v>
      </c>
      <c r="G184" cm="1">
        <f t="array" ref="G184">_xlfn.XLOOKUP(C184,Account_Master!A:A,Account_Master!C:C,"Not on master")</f>
        <v>0</v>
      </c>
      <c r="H184" s="6">
        <v>18</v>
      </c>
      <c r="I184" s="6">
        <v>18</v>
      </c>
      <c r="J184" s="6">
        <f>I184-H184</f>
        <v>0</v>
      </c>
      <c r="K184" s="5">
        <f>IF(H184=0,"",J184/H184)</f>
        <v>0</v>
      </c>
      <c r="L184">
        <f>IF(OR(AND(H184=0,ABS(J184)&gt;=0.01),AND(H184&lt;&gt;0,ABS(K184)&gt;VarianceThreshold)),"Review","OK")</f>
        <v>0</v>
      </c>
      <c r="M184" t="s">
        <v>33</v>
      </c>
    </row>
    <row r="185" spans="1:13">
      <c r="A185" t="s">
        <v>0</v>
      </c>
      <c r="B185" t="s">
        <v>313</v>
      </c>
      <c r="C185" t="s">
        <v>31</v>
      </c>
      <c r="D185" t="s">
        <v>315</v>
      </c>
      <c r="E185" cm="1">
        <f t="array" ref="E185">_xlfn.XLOOKUP(D185,SKU_Master!A:A,SKU_Master!B:B,"Not on master")</f>
        <v>0</v>
      </c>
      <c r="F185" cm="1">
        <f t="array" ref="F185">_xlfn.XLOOKUP(C185,Account_Master!A:A,Account_Master!B:B,"Not on master")</f>
        <v>0</v>
      </c>
      <c r="G185" cm="1">
        <f t="array" ref="G185">_xlfn.XLOOKUP(C185,Account_Master!A:A,Account_Master!C:C,"Not on master")</f>
        <v>0</v>
      </c>
      <c r="H185" s="6">
        <v>216</v>
      </c>
      <c r="I185" s="6">
        <v>216</v>
      </c>
      <c r="J185" s="6">
        <f>I185-H185</f>
        <v>0</v>
      </c>
      <c r="K185" s="5">
        <f>IF(H185=0,"",J185/H185)</f>
        <v>0</v>
      </c>
      <c r="L185">
        <f>IF(OR(AND(H185=0,ABS(J185)&gt;=0.01),AND(H185&lt;&gt;0,ABS(K185)&gt;VarianceThreshold)),"Review","OK")</f>
        <v>0</v>
      </c>
      <c r="M185" t="s">
        <v>33</v>
      </c>
    </row>
    <row r="186" spans="1:13">
      <c r="A186" t="s">
        <v>0</v>
      </c>
      <c r="B186" t="s">
        <v>313</v>
      </c>
      <c r="C186" t="s">
        <v>126</v>
      </c>
      <c r="D186" t="s">
        <v>316</v>
      </c>
      <c r="E186" cm="1">
        <f t="array" ref="E186">_xlfn.XLOOKUP(D186,SKU_Master!A:A,SKU_Master!B:B,"Not on master")</f>
        <v>0</v>
      </c>
      <c r="F186" cm="1">
        <f t="array" ref="F186">_xlfn.XLOOKUP(C186,Account_Master!A:A,Account_Master!B:B,"Not on master")</f>
        <v>0</v>
      </c>
      <c r="G186" cm="1">
        <f t="array" ref="G186">_xlfn.XLOOKUP(C186,Account_Master!A:A,Account_Master!C:C,"Not on master")</f>
        <v>0</v>
      </c>
      <c r="H186" s="6">
        <v>21</v>
      </c>
      <c r="I186" s="6">
        <v>21</v>
      </c>
      <c r="J186" s="6">
        <f>I186-H186</f>
        <v>0</v>
      </c>
      <c r="K186" s="5">
        <f>IF(H186=0,"",J186/H186)</f>
        <v>0</v>
      </c>
      <c r="L186">
        <f>IF(OR(AND(H186=0,ABS(J186)&gt;=0.01),AND(H186&lt;&gt;0,ABS(K186)&gt;VarianceThreshold)),"Review","OK")</f>
        <v>0</v>
      </c>
      <c r="M186" t="s">
        <v>33</v>
      </c>
    </row>
    <row r="187" spans="1:13">
      <c r="A187" t="s">
        <v>0</v>
      </c>
      <c r="B187" t="s">
        <v>313</v>
      </c>
      <c r="C187" t="s">
        <v>317</v>
      </c>
      <c r="D187" t="s">
        <v>318</v>
      </c>
      <c r="E187" cm="1">
        <f t="array" ref="E187">_xlfn.XLOOKUP(D187,SKU_Master!A:A,SKU_Master!B:B,"Not on master")</f>
        <v>0</v>
      </c>
      <c r="F187" cm="1">
        <f t="array" ref="F187">_xlfn.XLOOKUP(C187,Account_Master!A:A,Account_Master!B:B,"Not on master")</f>
        <v>0</v>
      </c>
      <c r="G187" cm="1">
        <f t="array" ref="G187">_xlfn.XLOOKUP(C187,Account_Master!A:A,Account_Master!C:C,"Not on master")</f>
        <v>0</v>
      </c>
      <c r="H187" s="6">
        <v>9</v>
      </c>
      <c r="I187" s="6">
        <v>9</v>
      </c>
      <c r="J187" s="6">
        <f>I187-H187</f>
        <v>0</v>
      </c>
      <c r="K187" s="5">
        <f>IF(H187=0,"",J187/H187)</f>
        <v>0</v>
      </c>
      <c r="L187">
        <f>IF(OR(AND(H187=0,ABS(J187)&gt;=0.01),AND(H187&lt;&gt;0,ABS(K187)&gt;VarianceThreshold)),"Review","OK")</f>
        <v>0</v>
      </c>
      <c r="M187" t="s">
        <v>33</v>
      </c>
    </row>
    <row r="188" spans="1:13">
      <c r="A188" t="s">
        <v>0</v>
      </c>
      <c r="B188" t="s">
        <v>313</v>
      </c>
      <c r="C188" t="s">
        <v>110</v>
      </c>
      <c r="D188" t="s">
        <v>319</v>
      </c>
      <c r="E188" cm="1">
        <f t="array" ref="E188">_xlfn.XLOOKUP(D188,SKU_Master!A:A,SKU_Master!B:B,"Not on master")</f>
        <v>0</v>
      </c>
      <c r="F188" cm="1">
        <f t="array" ref="F188">_xlfn.XLOOKUP(C188,Account_Master!A:A,Account_Master!B:B,"Not on master")</f>
        <v>0</v>
      </c>
      <c r="G188" cm="1">
        <f t="array" ref="G188">_xlfn.XLOOKUP(C188,Account_Master!A:A,Account_Master!C:C,"Not on master")</f>
        <v>0</v>
      </c>
      <c r="H188" s="6">
        <v>18</v>
      </c>
      <c r="I188" s="6">
        <v>18</v>
      </c>
      <c r="J188" s="6">
        <f>I188-H188</f>
        <v>0</v>
      </c>
      <c r="K188" s="5">
        <f>IF(H188=0,"",J188/H188)</f>
        <v>0</v>
      </c>
      <c r="L188">
        <f>IF(OR(AND(H188=0,ABS(J188)&gt;=0.01),AND(H188&lt;&gt;0,ABS(K188)&gt;VarianceThreshold)),"Review","OK")</f>
        <v>0</v>
      </c>
      <c r="M188" t="s">
        <v>33</v>
      </c>
    </row>
    <row r="189" spans="1:13">
      <c r="A189" t="s">
        <v>0</v>
      </c>
      <c r="B189" t="s">
        <v>313</v>
      </c>
      <c r="C189" t="s">
        <v>320</v>
      </c>
      <c r="D189" t="s">
        <v>321</v>
      </c>
      <c r="E189" cm="1">
        <f t="array" ref="E189">_xlfn.XLOOKUP(D189,SKU_Master!A:A,SKU_Master!B:B,"Not on master")</f>
        <v>0</v>
      </c>
      <c r="F189" cm="1">
        <f t="array" ref="F189">_xlfn.XLOOKUP(C189,Account_Master!A:A,Account_Master!B:B,"Not on master")</f>
        <v>0</v>
      </c>
      <c r="G189" cm="1">
        <f t="array" ref="G189">_xlfn.XLOOKUP(C189,Account_Master!A:A,Account_Master!C:C,"Not on master")</f>
        <v>0</v>
      </c>
      <c r="H189" s="6">
        <v>63</v>
      </c>
      <c r="I189" s="6">
        <v>63</v>
      </c>
      <c r="J189" s="6">
        <f>I189-H189</f>
        <v>0</v>
      </c>
      <c r="K189" s="5">
        <f>IF(H189=0,"",J189/H189)</f>
        <v>0</v>
      </c>
      <c r="L189">
        <f>IF(OR(AND(H189=0,ABS(J189)&gt;=0.01),AND(H189&lt;&gt;0,ABS(K189)&gt;VarianceThreshold)),"Review","OK")</f>
        <v>0</v>
      </c>
      <c r="M189" t="s">
        <v>33</v>
      </c>
    </row>
    <row r="190" spans="1:13">
      <c r="A190" t="s">
        <v>0</v>
      </c>
      <c r="B190" t="s">
        <v>313</v>
      </c>
      <c r="C190" t="s">
        <v>220</v>
      </c>
      <c r="D190" t="s">
        <v>322</v>
      </c>
      <c r="E190" cm="1">
        <f t="array" ref="E190">_xlfn.XLOOKUP(D190,SKU_Master!A:A,SKU_Master!B:B,"Not on master")</f>
        <v>0</v>
      </c>
      <c r="F190" cm="1">
        <f t="array" ref="F190">_xlfn.XLOOKUP(C190,Account_Master!A:A,Account_Master!B:B,"Not on master")</f>
        <v>0</v>
      </c>
      <c r="G190" cm="1">
        <f t="array" ref="G190">_xlfn.XLOOKUP(C190,Account_Master!A:A,Account_Master!C:C,"Not on master")</f>
        <v>0</v>
      </c>
      <c r="H190" s="6">
        <v>2.25</v>
      </c>
      <c r="I190" s="6">
        <v>2.25</v>
      </c>
      <c r="J190" s="6">
        <f>I190-H190</f>
        <v>0</v>
      </c>
      <c r="K190" s="5">
        <f>IF(H190=0,"",J190/H190)</f>
        <v>0</v>
      </c>
      <c r="L190">
        <f>IF(OR(AND(H190=0,ABS(J190)&gt;=0.01),AND(H190&lt;&gt;0,ABS(K190)&gt;VarianceThreshold)),"Review","OK")</f>
        <v>0</v>
      </c>
      <c r="M190" t="s">
        <v>33</v>
      </c>
    </row>
    <row r="191" spans="1:13">
      <c r="A191" t="s">
        <v>0</v>
      </c>
      <c r="B191" t="s">
        <v>313</v>
      </c>
      <c r="C191" t="s">
        <v>110</v>
      </c>
      <c r="D191" t="s">
        <v>323</v>
      </c>
      <c r="E191" cm="1">
        <f t="array" ref="E191">_xlfn.XLOOKUP(D191,SKU_Master!A:A,SKU_Master!B:B,"Not on master")</f>
        <v>0</v>
      </c>
      <c r="F191" cm="1">
        <f t="array" ref="F191">_xlfn.XLOOKUP(C191,Account_Master!A:A,Account_Master!B:B,"Not on master")</f>
        <v>0</v>
      </c>
      <c r="G191" cm="1">
        <f t="array" ref="G191">_xlfn.XLOOKUP(C191,Account_Master!A:A,Account_Master!C:C,"Not on master")</f>
        <v>0</v>
      </c>
      <c r="H191" s="6">
        <v>0.75</v>
      </c>
      <c r="I191" s="6">
        <v>0.75</v>
      </c>
      <c r="J191" s="6">
        <f>I191-H191</f>
        <v>0</v>
      </c>
      <c r="K191" s="5">
        <f>IF(H191=0,"",J191/H191)</f>
        <v>0</v>
      </c>
      <c r="L191">
        <f>IF(OR(AND(H191=0,ABS(J191)&gt;=0.01),AND(H191&lt;&gt;0,ABS(K191)&gt;VarianceThreshold)),"Review","OK")</f>
        <v>0</v>
      </c>
      <c r="M191" t="s">
        <v>33</v>
      </c>
    </row>
    <row r="192" spans="1:13">
      <c r="A192" t="s">
        <v>0</v>
      </c>
      <c r="B192" t="s">
        <v>324</v>
      </c>
      <c r="C192" t="s">
        <v>135</v>
      </c>
      <c r="D192" t="s">
        <v>325</v>
      </c>
      <c r="E192" cm="1">
        <f t="array" ref="E192">_xlfn.XLOOKUP(D192,SKU_Master!A:A,SKU_Master!B:B,"Not on master")</f>
        <v>0</v>
      </c>
      <c r="F192" cm="1">
        <f t="array" ref="F192">_xlfn.XLOOKUP(C192,Account_Master!A:A,Account_Master!B:B,"Not on master")</f>
        <v>0</v>
      </c>
      <c r="G192" cm="1">
        <f t="array" ref="G192">_xlfn.XLOOKUP(C192,Account_Master!A:A,Account_Master!C:C,"Not on master")</f>
        <v>0</v>
      </c>
      <c r="H192" s="6">
        <v>27</v>
      </c>
      <c r="I192" s="6">
        <v>27</v>
      </c>
      <c r="J192" s="6">
        <f>I192-H192</f>
        <v>0</v>
      </c>
      <c r="K192" s="5">
        <f>IF(H192=0,"",J192/H192)</f>
        <v>0</v>
      </c>
      <c r="L192">
        <f>IF(OR(AND(H192=0,ABS(J192)&gt;=0.01),AND(H192&lt;&gt;0,ABS(K192)&gt;VarianceThreshold)),"Review","OK")</f>
        <v>0</v>
      </c>
      <c r="M192" t="s">
        <v>33</v>
      </c>
    </row>
    <row r="193" spans="1:13">
      <c r="A193" t="s">
        <v>0</v>
      </c>
      <c r="B193" t="s">
        <v>324</v>
      </c>
      <c r="C193" t="s">
        <v>162</v>
      </c>
      <c r="D193" t="s">
        <v>326</v>
      </c>
      <c r="E193" cm="1">
        <f t="array" ref="E193">_xlfn.XLOOKUP(D193,SKU_Master!A:A,SKU_Master!B:B,"Not on master")</f>
        <v>0</v>
      </c>
      <c r="F193" cm="1">
        <f t="array" ref="F193">_xlfn.XLOOKUP(C193,Account_Master!A:A,Account_Master!B:B,"Not on master")</f>
        <v>0</v>
      </c>
      <c r="G193" cm="1">
        <f t="array" ref="G193">_xlfn.XLOOKUP(C193,Account_Master!A:A,Account_Master!C:C,"Not on master")</f>
        <v>0</v>
      </c>
      <c r="H193" s="6">
        <v>18</v>
      </c>
      <c r="I193" s="6">
        <v>18</v>
      </c>
      <c r="J193" s="6">
        <f>I193-H193</f>
        <v>0</v>
      </c>
      <c r="K193" s="5">
        <f>IF(H193=0,"",J193/H193)</f>
        <v>0</v>
      </c>
      <c r="L193">
        <f>IF(OR(AND(H193=0,ABS(J193)&gt;=0.01),AND(H193&lt;&gt;0,ABS(K193)&gt;VarianceThreshold)),"Review","OK")</f>
        <v>0</v>
      </c>
      <c r="M193" t="s">
        <v>33</v>
      </c>
    </row>
    <row r="194" spans="1:13">
      <c r="A194" t="s">
        <v>0</v>
      </c>
      <c r="B194" t="s">
        <v>324</v>
      </c>
      <c r="C194" t="s">
        <v>54</v>
      </c>
      <c r="D194" t="s">
        <v>327</v>
      </c>
      <c r="E194" cm="1">
        <f t="array" ref="E194">_xlfn.XLOOKUP(D194,SKU_Master!A:A,SKU_Master!B:B,"Not on master")</f>
        <v>0</v>
      </c>
      <c r="F194" cm="1">
        <f t="array" ref="F194">_xlfn.XLOOKUP(C194,Account_Master!A:A,Account_Master!B:B,"Not on master")</f>
        <v>0</v>
      </c>
      <c r="G194" cm="1">
        <f t="array" ref="G194">_xlfn.XLOOKUP(C194,Account_Master!A:A,Account_Master!C:C,"Not on master")</f>
        <v>0</v>
      </c>
      <c r="H194" s="6">
        <v>68.25</v>
      </c>
      <c r="I194" s="6">
        <v>68.25</v>
      </c>
      <c r="J194" s="6">
        <f>I194-H194</f>
        <v>0</v>
      </c>
      <c r="K194" s="5">
        <f>IF(H194=0,"",J194/H194)</f>
        <v>0</v>
      </c>
      <c r="L194">
        <f>IF(OR(AND(H194=0,ABS(J194)&gt;=0.01),AND(H194&lt;&gt;0,ABS(K194)&gt;VarianceThreshold)),"Review","OK")</f>
        <v>0</v>
      </c>
      <c r="M194" t="s">
        <v>33</v>
      </c>
    </row>
    <row r="195" spans="1:13">
      <c r="A195" t="s">
        <v>0</v>
      </c>
      <c r="B195" t="s">
        <v>324</v>
      </c>
      <c r="C195" t="s">
        <v>328</v>
      </c>
      <c r="D195" t="s">
        <v>329</v>
      </c>
      <c r="E195" cm="1">
        <f t="array" ref="E195">_xlfn.XLOOKUP(D195,SKU_Master!A:A,SKU_Master!B:B,"Not on master")</f>
        <v>0</v>
      </c>
      <c r="F195" cm="1">
        <f t="array" ref="F195">_xlfn.XLOOKUP(C195,Account_Master!A:A,Account_Master!B:B,"Not on master")</f>
        <v>0</v>
      </c>
      <c r="G195" cm="1">
        <f t="array" ref="G195">_xlfn.XLOOKUP(C195,Account_Master!A:A,Account_Master!C:C,"Not on master")</f>
        <v>0</v>
      </c>
      <c r="H195" s="6">
        <v>8.4</v>
      </c>
      <c r="I195" s="6">
        <v>8.4</v>
      </c>
      <c r="J195" s="6">
        <f>I195-H195</f>
        <v>0</v>
      </c>
      <c r="K195" s="5">
        <f>IF(H195=0,"",J195/H195)</f>
        <v>0</v>
      </c>
      <c r="L195">
        <f>IF(OR(AND(H195=0,ABS(J195)&gt;=0.01),AND(H195&lt;&gt;0,ABS(K195)&gt;VarianceThreshold)),"Review","OK")</f>
        <v>0</v>
      </c>
      <c r="M195" t="s">
        <v>33</v>
      </c>
    </row>
    <row r="196" spans="1:13">
      <c r="A196" t="s">
        <v>0</v>
      </c>
      <c r="B196" t="s">
        <v>324</v>
      </c>
      <c r="C196" t="s">
        <v>110</v>
      </c>
      <c r="D196" t="s">
        <v>330</v>
      </c>
      <c r="E196" cm="1">
        <f t="array" ref="E196">_xlfn.XLOOKUP(D196,SKU_Master!A:A,SKU_Master!B:B,"Not on master")</f>
        <v>0</v>
      </c>
      <c r="F196" cm="1">
        <f t="array" ref="F196">_xlfn.XLOOKUP(C196,Account_Master!A:A,Account_Master!B:B,"Not on master")</f>
        <v>0</v>
      </c>
      <c r="G196" cm="1">
        <f t="array" ref="G196">_xlfn.XLOOKUP(C196,Account_Master!A:A,Account_Master!C:C,"Not on master")</f>
        <v>0</v>
      </c>
      <c r="H196" s="6">
        <v>18</v>
      </c>
      <c r="I196" s="6">
        <v>18</v>
      </c>
      <c r="J196" s="6">
        <f>I196-H196</f>
        <v>0</v>
      </c>
      <c r="K196" s="5">
        <f>IF(H196=0,"",J196/H196)</f>
        <v>0</v>
      </c>
      <c r="L196">
        <f>IF(OR(AND(H196=0,ABS(J196)&gt;=0.01),AND(H196&lt;&gt;0,ABS(K196)&gt;VarianceThreshold)),"Review","OK")</f>
        <v>0</v>
      </c>
      <c r="M196" t="s">
        <v>33</v>
      </c>
    </row>
    <row r="197" spans="1:13">
      <c r="A197" t="s">
        <v>0</v>
      </c>
      <c r="B197" t="s">
        <v>331</v>
      </c>
      <c r="C197" t="s">
        <v>31</v>
      </c>
      <c r="D197" t="s">
        <v>332</v>
      </c>
      <c r="E197" cm="1">
        <f t="array" ref="E197">_xlfn.XLOOKUP(D197,SKU_Master!A:A,SKU_Master!B:B,"Not on master")</f>
        <v>0</v>
      </c>
      <c r="F197" cm="1">
        <f t="array" ref="F197">_xlfn.XLOOKUP(C197,Account_Master!A:A,Account_Master!B:B,"Not on master")</f>
        <v>0</v>
      </c>
      <c r="G197" cm="1">
        <f t="array" ref="G197">_xlfn.XLOOKUP(C197,Account_Master!A:A,Account_Master!C:C,"Not on master")</f>
        <v>0</v>
      </c>
      <c r="H197" s="6">
        <v>18</v>
      </c>
      <c r="I197" s="6">
        <v>18</v>
      </c>
      <c r="J197" s="6">
        <f>I197-H197</f>
        <v>0</v>
      </c>
      <c r="K197" s="5">
        <f>IF(H197=0,"",J197/H197)</f>
        <v>0</v>
      </c>
      <c r="L197">
        <f>IF(OR(AND(H197=0,ABS(J197)&gt;=0.01),AND(H197&lt;&gt;0,ABS(K197)&gt;VarianceThreshold)),"Review","OK")</f>
        <v>0</v>
      </c>
      <c r="M197" t="s">
        <v>33</v>
      </c>
    </row>
    <row r="198" spans="1:13">
      <c r="A198" t="s">
        <v>0</v>
      </c>
      <c r="B198" t="s">
        <v>331</v>
      </c>
      <c r="C198" t="s">
        <v>31</v>
      </c>
      <c r="D198" t="s">
        <v>333</v>
      </c>
      <c r="E198" cm="1">
        <f t="array" ref="E198">_xlfn.XLOOKUP(D198,SKU_Master!A:A,SKU_Master!B:B,"Not on master")</f>
        <v>0</v>
      </c>
      <c r="F198" cm="1">
        <f t="array" ref="F198">_xlfn.XLOOKUP(C198,Account_Master!A:A,Account_Master!B:B,"Not on master")</f>
        <v>0</v>
      </c>
      <c r="G198" cm="1">
        <f t="array" ref="G198">_xlfn.XLOOKUP(C198,Account_Master!A:A,Account_Master!C:C,"Not on master")</f>
        <v>0</v>
      </c>
      <c r="H198" s="6">
        <v>18</v>
      </c>
      <c r="I198" s="6">
        <v>18</v>
      </c>
      <c r="J198" s="6">
        <f>I198-H198</f>
        <v>0</v>
      </c>
      <c r="K198" s="5">
        <f>IF(H198=0,"",J198/H198)</f>
        <v>0</v>
      </c>
      <c r="L198">
        <f>IF(OR(AND(H198=0,ABS(J198)&gt;=0.01),AND(H198&lt;&gt;0,ABS(K198)&gt;VarianceThreshold)),"Review","OK")</f>
        <v>0</v>
      </c>
      <c r="M198" t="s">
        <v>33</v>
      </c>
    </row>
    <row r="199" spans="1:13">
      <c r="A199" t="s">
        <v>0</v>
      </c>
      <c r="B199" t="s">
        <v>331</v>
      </c>
      <c r="C199" t="s">
        <v>84</v>
      </c>
      <c r="D199" t="s">
        <v>334</v>
      </c>
      <c r="E199" cm="1">
        <f t="array" ref="E199">_xlfn.XLOOKUP(D199,SKU_Master!A:A,SKU_Master!B:B,"Not on master")</f>
        <v>0</v>
      </c>
      <c r="F199" cm="1">
        <f t="array" ref="F199">_xlfn.XLOOKUP(C199,Account_Master!A:A,Account_Master!B:B,"Not on master")</f>
        <v>0</v>
      </c>
      <c r="G199" cm="1">
        <f t="array" ref="G199">_xlfn.XLOOKUP(C199,Account_Master!A:A,Account_Master!C:C,"Not on master")</f>
        <v>0</v>
      </c>
      <c r="H199" s="6">
        <v>2.25</v>
      </c>
      <c r="I199" s="6">
        <v>2.25</v>
      </c>
      <c r="J199" s="6">
        <f>I199-H199</f>
        <v>0</v>
      </c>
      <c r="K199" s="5">
        <f>IF(H199=0,"",J199/H199)</f>
        <v>0</v>
      </c>
      <c r="L199">
        <f>IF(OR(AND(H199=0,ABS(J199)&gt;=0.01),AND(H199&lt;&gt;0,ABS(K199)&gt;VarianceThreshold)),"Review","OK")</f>
        <v>0</v>
      </c>
      <c r="M199" t="s">
        <v>33</v>
      </c>
    </row>
    <row r="200" spans="1:13">
      <c r="A200" t="s">
        <v>0</v>
      </c>
      <c r="B200" t="s">
        <v>335</v>
      </c>
      <c r="C200" t="s">
        <v>277</v>
      </c>
      <c r="D200" t="s">
        <v>336</v>
      </c>
      <c r="E200" cm="1">
        <f t="array" ref="E200">_xlfn.XLOOKUP(D200,SKU_Master!A:A,SKU_Master!B:B,"Not on master")</f>
        <v>0</v>
      </c>
      <c r="F200" cm="1">
        <f t="array" ref="F200">_xlfn.XLOOKUP(C200,Account_Master!A:A,Account_Master!B:B,"Not on master")</f>
        <v>0</v>
      </c>
      <c r="G200" cm="1">
        <f t="array" ref="G200">_xlfn.XLOOKUP(C200,Account_Master!A:A,Account_Master!C:C,"Not on master")</f>
        <v>0</v>
      </c>
      <c r="H200" s="6">
        <v>180</v>
      </c>
      <c r="I200" s="6">
        <v>180</v>
      </c>
      <c r="J200" s="6">
        <f>I200-H200</f>
        <v>0</v>
      </c>
      <c r="K200" s="5">
        <f>IF(H200=0,"",J200/H200)</f>
        <v>0</v>
      </c>
      <c r="L200">
        <f>IF(OR(AND(H200=0,ABS(J200)&gt;=0.01),AND(H200&lt;&gt;0,ABS(K200)&gt;VarianceThreshold)),"Review","OK")</f>
        <v>0</v>
      </c>
      <c r="M200" t="s">
        <v>33</v>
      </c>
    </row>
    <row r="201" spans="1:13">
      <c r="A201" t="s">
        <v>0</v>
      </c>
      <c r="B201" t="s">
        <v>335</v>
      </c>
      <c r="C201" t="s">
        <v>337</v>
      </c>
      <c r="D201" t="s">
        <v>338</v>
      </c>
      <c r="E201" cm="1">
        <f t="array" ref="E201">_xlfn.XLOOKUP(D201,SKU_Master!A:A,SKU_Master!B:B,"Not on master")</f>
        <v>0</v>
      </c>
      <c r="F201" cm="1">
        <f t="array" ref="F201">_xlfn.XLOOKUP(C201,Account_Master!A:A,Account_Master!B:B,"Not on master")</f>
        <v>0</v>
      </c>
      <c r="G201" cm="1">
        <f t="array" ref="G201">_xlfn.XLOOKUP(C201,Account_Master!A:A,Account_Master!C:C,"Not on master")</f>
        <v>0</v>
      </c>
      <c r="H201" s="6">
        <v>4.5</v>
      </c>
      <c r="I201" s="6">
        <v>4.5</v>
      </c>
      <c r="J201" s="6">
        <f>I201-H201</f>
        <v>0</v>
      </c>
      <c r="K201" s="5">
        <f>IF(H201=0,"",J201/H201)</f>
        <v>0</v>
      </c>
      <c r="L201">
        <f>IF(OR(AND(H201=0,ABS(J201)&gt;=0.01),AND(H201&lt;&gt;0,ABS(K201)&gt;VarianceThreshold)),"Review","OK")</f>
        <v>0</v>
      </c>
      <c r="M201" t="s">
        <v>33</v>
      </c>
    </row>
    <row r="202" spans="1:13">
      <c r="A202" t="s">
        <v>0</v>
      </c>
      <c r="B202" t="s">
        <v>335</v>
      </c>
      <c r="C202" t="s">
        <v>82</v>
      </c>
      <c r="D202" t="s">
        <v>339</v>
      </c>
      <c r="E202" cm="1">
        <f t="array" ref="E202">_xlfn.XLOOKUP(D202,SKU_Master!A:A,SKU_Master!B:B,"Not on master")</f>
        <v>0</v>
      </c>
      <c r="F202" cm="1">
        <f t="array" ref="F202">_xlfn.XLOOKUP(C202,Account_Master!A:A,Account_Master!B:B,"Not on master")</f>
        <v>0</v>
      </c>
      <c r="G202" cm="1">
        <f t="array" ref="G202">_xlfn.XLOOKUP(C202,Account_Master!A:A,Account_Master!C:C,"Not on master")</f>
        <v>0</v>
      </c>
      <c r="H202" s="6">
        <v>9</v>
      </c>
      <c r="I202" s="6">
        <v>9</v>
      </c>
      <c r="J202" s="6">
        <f>I202-H202</f>
        <v>0</v>
      </c>
      <c r="K202" s="5">
        <f>IF(H202=0,"",J202/H202)</f>
        <v>0</v>
      </c>
      <c r="L202">
        <f>IF(OR(AND(H202=0,ABS(J202)&gt;=0.01),AND(H202&lt;&gt;0,ABS(K202)&gt;VarianceThreshold)),"Review","OK")</f>
        <v>0</v>
      </c>
      <c r="M202" t="s">
        <v>33</v>
      </c>
    </row>
    <row r="203" spans="1:13">
      <c r="A203" t="s">
        <v>0</v>
      </c>
      <c r="B203" t="s">
        <v>335</v>
      </c>
      <c r="C203" t="s">
        <v>128</v>
      </c>
      <c r="D203" t="s">
        <v>340</v>
      </c>
      <c r="E203" cm="1">
        <f t="array" ref="E203">_xlfn.XLOOKUP(D203,SKU_Master!A:A,SKU_Master!B:B,"Not on master")</f>
        <v>0</v>
      </c>
      <c r="F203" cm="1">
        <f t="array" ref="F203">_xlfn.XLOOKUP(C203,Account_Master!A:A,Account_Master!B:B,"Not on master")</f>
        <v>0</v>
      </c>
      <c r="G203" cm="1">
        <f t="array" ref="G203">_xlfn.XLOOKUP(C203,Account_Master!A:A,Account_Master!C:C,"Not on master")</f>
        <v>0</v>
      </c>
      <c r="H203" s="6">
        <v>42</v>
      </c>
      <c r="I203" s="6">
        <v>42</v>
      </c>
      <c r="J203" s="6">
        <f>I203-H203</f>
        <v>0</v>
      </c>
      <c r="K203" s="5">
        <f>IF(H203=0,"",J203/H203)</f>
        <v>0</v>
      </c>
      <c r="L203">
        <f>IF(OR(AND(H203=0,ABS(J203)&gt;=0.01),AND(H203&lt;&gt;0,ABS(K203)&gt;VarianceThreshold)),"Review","OK")</f>
        <v>0</v>
      </c>
      <c r="M203" t="s">
        <v>33</v>
      </c>
    </row>
    <row r="204" spans="1:13">
      <c r="A204" t="s">
        <v>0</v>
      </c>
      <c r="B204" t="s">
        <v>335</v>
      </c>
      <c r="C204" t="s">
        <v>337</v>
      </c>
      <c r="D204" t="s">
        <v>341</v>
      </c>
      <c r="E204" cm="1">
        <f t="array" ref="E204">_xlfn.XLOOKUP(D204,SKU_Master!A:A,SKU_Master!B:B,"Not on master")</f>
        <v>0</v>
      </c>
      <c r="F204" cm="1">
        <f t="array" ref="F204">_xlfn.XLOOKUP(C204,Account_Master!A:A,Account_Master!B:B,"Not on master")</f>
        <v>0</v>
      </c>
      <c r="G204" cm="1">
        <f t="array" ref="G204">_xlfn.XLOOKUP(C204,Account_Master!A:A,Account_Master!C:C,"Not on master")</f>
        <v>0</v>
      </c>
      <c r="H204" s="6">
        <v>24</v>
      </c>
      <c r="I204" s="6">
        <v>24</v>
      </c>
      <c r="J204" s="6">
        <f>I204-H204</f>
        <v>0</v>
      </c>
      <c r="K204" s="5">
        <f>IF(H204=0,"",J204/H204)</f>
        <v>0</v>
      </c>
      <c r="L204">
        <f>IF(OR(AND(H204=0,ABS(J204)&gt;=0.01),AND(H204&lt;&gt;0,ABS(K204)&gt;VarianceThreshold)),"Review","OK")</f>
        <v>0</v>
      </c>
      <c r="M204" t="s">
        <v>33</v>
      </c>
    </row>
    <row r="205" spans="1:13">
      <c r="A205" t="s">
        <v>0</v>
      </c>
      <c r="B205" t="s">
        <v>335</v>
      </c>
      <c r="C205" t="s">
        <v>317</v>
      </c>
      <c r="D205" t="s">
        <v>342</v>
      </c>
      <c r="E205" cm="1">
        <f t="array" ref="E205">_xlfn.XLOOKUP(D205,SKU_Master!A:A,SKU_Master!B:B,"Not on master")</f>
        <v>0</v>
      </c>
      <c r="F205" cm="1">
        <f t="array" ref="F205">_xlfn.XLOOKUP(C205,Account_Master!A:A,Account_Master!B:B,"Not on master")</f>
        <v>0</v>
      </c>
      <c r="G205" cm="1">
        <f t="array" ref="G205">_xlfn.XLOOKUP(C205,Account_Master!A:A,Account_Master!C:C,"Not on master")</f>
        <v>0</v>
      </c>
      <c r="H205" s="6">
        <v>30</v>
      </c>
      <c r="I205" s="6">
        <v>30</v>
      </c>
      <c r="J205" s="6">
        <f>I205-H205</f>
        <v>0</v>
      </c>
      <c r="K205" s="5">
        <f>IF(H205=0,"",J205/H205)</f>
        <v>0</v>
      </c>
      <c r="L205">
        <f>IF(OR(AND(H205=0,ABS(J205)&gt;=0.01),AND(H205&lt;&gt;0,ABS(K205)&gt;VarianceThreshold)),"Review","OK")</f>
        <v>0</v>
      </c>
      <c r="M205" t="s">
        <v>33</v>
      </c>
    </row>
    <row r="206" spans="1:13">
      <c r="A206" t="s">
        <v>0</v>
      </c>
      <c r="B206" t="s">
        <v>335</v>
      </c>
      <c r="C206" t="s">
        <v>77</v>
      </c>
      <c r="D206" t="s">
        <v>343</v>
      </c>
      <c r="E206" cm="1">
        <f t="array" ref="E206">_xlfn.XLOOKUP(D206,SKU_Master!A:A,SKU_Master!B:B,"Not on master")</f>
        <v>0</v>
      </c>
      <c r="F206" cm="1">
        <f t="array" ref="F206">_xlfn.XLOOKUP(C206,Account_Master!A:A,Account_Master!B:B,"Not on master")</f>
        <v>0</v>
      </c>
      <c r="G206" cm="1">
        <f t="array" ref="G206">_xlfn.XLOOKUP(C206,Account_Master!A:A,Account_Master!C:C,"Not on master")</f>
        <v>0</v>
      </c>
      <c r="H206" s="6">
        <v>4.5</v>
      </c>
      <c r="I206" s="6">
        <v>4.5</v>
      </c>
      <c r="J206" s="6">
        <f>I206-H206</f>
        <v>0</v>
      </c>
      <c r="K206" s="5">
        <f>IF(H206=0,"",J206/H206)</f>
        <v>0</v>
      </c>
      <c r="L206">
        <f>IF(OR(AND(H206=0,ABS(J206)&gt;=0.01),AND(H206&lt;&gt;0,ABS(K206)&gt;VarianceThreshold)),"Review","OK")</f>
        <v>0</v>
      </c>
      <c r="M206" t="s">
        <v>33</v>
      </c>
    </row>
    <row r="207" spans="1:13">
      <c r="A207" t="s">
        <v>0</v>
      </c>
      <c r="B207" t="s">
        <v>335</v>
      </c>
      <c r="C207" t="s">
        <v>304</v>
      </c>
      <c r="D207" t="s">
        <v>344</v>
      </c>
      <c r="E207" cm="1">
        <f t="array" ref="E207">_xlfn.XLOOKUP(D207,SKU_Master!A:A,SKU_Master!B:B,"Not on master")</f>
        <v>0</v>
      </c>
      <c r="F207" cm="1">
        <f t="array" ref="F207">_xlfn.XLOOKUP(C207,Account_Master!A:A,Account_Master!B:B,"Not on master")</f>
        <v>0</v>
      </c>
      <c r="G207" cm="1">
        <f t="array" ref="G207">_xlfn.XLOOKUP(C207,Account_Master!A:A,Account_Master!C:C,"Not on master")</f>
        <v>0</v>
      </c>
      <c r="H207" s="6">
        <v>4.5</v>
      </c>
      <c r="I207" s="6">
        <v>4.5</v>
      </c>
      <c r="J207" s="6">
        <f>I207-H207</f>
        <v>0</v>
      </c>
      <c r="K207" s="5">
        <f>IF(H207=0,"",J207/H207)</f>
        <v>0</v>
      </c>
      <c r="L207">
        <f>IF(OR(AND(H207=0,ABS(J207)&gt;=0.01),AND(H207&lt;&gt;0,ABS(K207)&gt;VarianceThreshold)),"Review","OK")</f>
        <v>0</v>
      </c>
      <c r="M207" t="s">
        <v>33</v>
      </c>
    </row>
    <row r="208" spans="1:13">
      <c r="A208" t="s">
        <v>0</v>
      </c>
      <c r="B208" t="s">
        <v>345</v>
      </c>
      <c r="C208" t="s">
        <v>346</v>
      </c>
      <c r="D208" t="s">
        <v>347</v>
      </c>
      <c r="E208" cm="1">
        <f t="array" ref="E208">_xlfn.XLOOKUP(D208,SKU_Master!A:A,SKU_Master!B:B,"Not on master")</f>
        <v>0</v>
      </c>
      <c r="F208" cm="1">
        <f t="array" ref="F208">_xlfn.XLOOKUP(C208,Account_Master!A:A,Account_Master!B:B,"Not on master")</f>
        <v>0</v>
      </c>
      <c r="G208" cm="1">
        <f t="array" ref="G208">_xlfn.XLOOKUP(C208,Account_Master!A:A,Account_Master!C:C,"Not on master")</f>
        <v>0</v>
      </c>
      <c r="H208" s="6">
        <v>8.4</v>
      </c>
      <c r="I208" s="6">
        <v>8.4</v>
      </c>
      <c r="J208" s="6">
        <f>I208-H208</f>
        <v>0</v>
      </c>
      <c r="K208" s="5">
        <f>IF(H208=0,"",J208/H208)</f>
        <v>0</v>
      </c>
      <c r="L208">
        <f>IF(OR(AND(H208=0,ABS(J208)&gt;=0.01),AND(H208&lt;&gt;0,ABS(K208)&gt;VarianceThreshold)),"Review","OK")</f>
        <v>0</v>
      </c>
      <c r="M208" t="s">
        <v>33</v>
      </c>
    </row>
    <row r="209" spans="1:13">
      <c r="A209" t="s">
        <v>0</v>
      </c>
      <c r="B209" t="s">
        <v>345</v>
      </c>
      <c r="C209" t="s">
        <v>72</v>
      </c>
      <c r="D209" t="s">
        <v>348</v>
      </c>
      <c r="E209" cm="1">
        <f t="array" ref="E209">_xlfn.XLOOKUP(D209,SKU_Master!A:A,SKU_Master!B:B,"Not on master")</f>
        <v>0</v>
      </c>
      <c r="F209" cm="1">
        <f t="array" ref="F209">_xlfn.XLOOKUP(C209,Account_Master!A:A,Account_Master!B:B,"Not on master")</f>
        <v>0</v>
      </c>
      <c r="G209" cm="1">
        <f t="array" ref="G209">_xlfn.XLOOKUP(C209,Account_Master!A:A,Account_Master!C:C,"Not on master")</f>
        <v>0</v>
      </c>
      <c r="H209" s="6">
        <v>2.25</v>
      </c>
      <c r="I209" s="6">
        <v>2.25</v>
      </c>
      <c r="J209" s="6">
        <f>I209-H209</f>
        <v>0</v>
      </c>
      <c r="K209" s="5">
        <f>IF(H209=0,"",J209/H209)</f>
        <v>0</v>
      </c>
      <c r="L209">
        <f>IF(OR(AND(H209=0,ABS(J209)&gt;=0.01),AND(H209&lt;&gt;0,ABS(K209)&gt;VarianceThreshold)),"Review","OK")</f>
        <v>0</v>
      </c>
      <c r="M209" t="s">
        <v>33</v>
      </c>
    </row>
    <row r="210" spans="1:13">
      <c r="A210" t="s">
        <v>0</v>
      </c>
      <c r="B210" t="s">
        <v>345</v>
      </c>
      <c r="C210" t="s">
        <v>349</v>
      </c>
      <c r="D210" t="s">
        <v>350</v>
      </c>
      <c r="E210" cm="1">
        <f t="array" ref="E210">_xlfn.XLOOKUP(D210,SKU_Master!A:A,SKU_Master!B:B,"Not on master")</f>
        <v>0</v>
      </c>
      <c r="F210" cm="1">
        <f t="array" ref="F210">_xlfn.XLOOKUP(C210,Account_Master!A:A,Account_Master!B:B,"Not on master")</f>
        <v>0</v>
      </c>
      <c r="G210" cm="1">
        <f t="array" ref="G210">_xlfn.XLOOKUP(C210,Account_Master!A:A,Account_Master!C:C,"Not on master")</f>
        <v>0</v>
      </c>
      <c r="H210" s="6">
        <v>13.5</v>
      </c>
      <c r="I210" s="6">
        <v>13.5</v>
      </c>
      <c r="J210" s="6">
        <f>I210-H210</f>
        <v>0</v>
      </c>
      <c r="K210" s="5">
        <f>IF(H210=0,"",J210/H210)</f>
        <v>0</v>
      </c>
      <c r="L210">
        <f>IF(OR(AND(H210=0,ABS(J210)&gt;=0.01),AND(H210&lt;&gt;0,ABS(K210)&gt;VarianceThreshold)),"Review","OK")</f>
        <v>0</v>
      </c>
      <c r="M210" t="s">
        <v>33</v>
      </c>
    </row>
    <row r="211" spans="1:13">
      <c r="A211" t="s">
        <v>0</v>
      </c>
      <c r="B211" t="s">
        <v>345</v>
      </c>
      <c r="C211" t="s">
        <v>84</v>
      </c>
      <c r="D211" t="s">
        <v>351</v>
      </c>
      <c r="E211" cm="1">
        <f t="array" ref="E211">_xlfn.XLOOKUP(D211,SKU_Master!A:A,SKU_Master!B:B,"Not on master")</f>
        <v>0</v>
      </c>
      <c r="F211" cm="1">
        <f t="array" ref="F211">_xlfn.XLOOKUP(C211,Account_Master!A:A,Account_Master!B:B,"Not on master")</f>
        <v>0</v>
      </c>
      <c r="G211" cm="1">
        <f t="array" ref="G211">_xlfn.XLOOKUP(C211,Account_Master!A:A,Account_Master!C:C,"Not on master")</f>
        <v>0</v>
      </c>
      <c r="H211" s="6">
        <v>10.5</v>
      </c>
      <c r="I211" s="6">
        <v>10.5</v>
      </c>
      <c r="J211" s="6">
        <f>I211-H211</f>
        <v>0</v>
      </c>
      <c r="K211" s="5">
        <f>IF(H211=0,"",J211/H211)</f>
        <v>0</v>
      </c>
      <c r="L211">
        <f>IF(OR(AND(H211=0,ABS(J211)&gt;=0.01),AND(H211&lt;&gt;0,ABS(K211)&gt;VarianceThreshold)),"Review","OK")</f>
        <v>0</v>
      </c>
      <c r="M211" t="s">
        <v>33</v>
      </c>
    </row>
    <row r="212" spans="1:13">
      <c r="A212" t="s">
        <v>0</v>
      </c>
      <c r="B212" t="s">
        <v>345</v>
      </c>
      <c r="C212" t="s">
        <v>337</v>
      </c>
      <c r="D212" t="s">
        <v>352</v>
      </c>
      <c r="E212" cm="1">
        <f t="array" ref="E212">_xlfn.XLOOKUP(D212,SKU_Master!A:A,SKU_Master!B:B,"Not on master")</f>
        <v>0</v>
      </c>
      <c r="F212" cm="1">
        <f t="array" ref="F212">_xlfn.XLOOKUP(C212,Account_Master!A:A,Account_Master!B:B,"Not on master")</f>
        <v>0</v>
      </c>
      <c r="G212" cm="1">
        <f t="array" ref="G212">_xlfn.XLOOKUP(C212,Account_Master!A:A,Account_Master!C:C,"Not on master")</f>
        <v>0</v>
      </c>
      <c r="H212" s="6">
        <v>10.5</v>
      </c>
      <c r="I212" s="6">
        <v>10.5</v>
      </c>
      <c r="J212" s="6">
        <f>I212-H212</f>
        <v>0</v>
      </c>
      <c r="K212" s="5">
        <f>IF(H212=0,"",J212/H212)</f>
        <v>0</v>
      </c>
      <c r="L212">
        <f>IF(OR(AND(H212=0,ABS(J212)&gt;=0.01),AND(H212&lt;&gt;0,ABS(K212)&gt;VarianceThreshold)),"Review","OK")</f>
        <v>0</v>
      </c>
      <c r="M212" t="s">
        <v>33</v>
      </c>
    </row>
    <row r="213" spans="1:13">
      <c r="A213" t="s">
        <v>0</v>
      </c>
      <c r="B213" t="s">
        <v>345</v>
      </c>
      <c r="C213" t="s">
        <v>77</v>
      </c>
      <c r="D213" t="s">
        <v>353</v>
      </c>
      <c r="E213" cm="1">
        <f t="array" ref="E213">_xlfn.XLOOKUP(D213,SKU_Master!A:A,SKU_Master!B:B,"Not on master")</f>
        <v>0</v>
      </c>
      <c r="F213" cm="1">
        <f t="array" ref="F213">_xlfn.XLOOKUP(C213,Account_Master!A:A,Account_Master!B:B,"Not on master")</f>
        <v>0</v>
      </c>
      <c r="G213" cm="1">
        <f t="array" ref="G213">_xlfn.XLOOKUP(C213,Account_Master!A:A,Account_Master!C:C,"Not on master")</f>
        <v>0</v>
      </c>
      <c r="H213" s="6">
        <v>9.75</v>
      </c>
      <c r="I213" s="6">
        <v>9.75</v>
      </c>
      <c r="J213" s="6">
        <f>I213-H213</f>
        <v>0</v>
      </c>
      <c r="K213" s="5">
        <f>IF(H213=0,"",J213/H213)</f>
        <v>0</v>
      </c>
      <c r="L213">
        <f>IF(OR(AND(H213=0,ABS(J213)&gt;=0.01),AND(H213&lt;&gt;0,ABS(K213)&gt;VarianceThreshold)),"Review","OK")</f>
        <v>0</v>
      </c>
      <c r="M213" t="s">
        <v>33</v>
      </c>
    </row>
    <row r="214" spans="1:13">
      <c r="A214" t="s">
        <v>0</v>
      </c>
      <c r="B214" t="s">
        <v>345</v>
      </c>
      <c r="C214" t="s">
        <v>148</v>
      </c>
      <c r="D214" t="s">
        <v>354</v>
      </c>
      <c r="E214" cm="1">
        <f t="array" ref="E214">_xlfn.XLOOKUP(D214,SKU_Master!A:A,SKU_Master!B:B,"Not on master")</f>
        <v>0</v>
      </c>
      <c r="F214" cm="1">
        <f t="array" ref="F214">_xlfn.XLOOKUP(C214,Account_Master!A:A,Account_Master!B:B,"Not on master")</f>
        <v>0</v>
      </c>
      <c r="G214" cm="1">
        <f t="array" ref="G214">_xlfn.XLOOKUP(C214,Account_Master!A:A,Account_Master!C:C,"Not on master")</f>
        <v>0</v>
      </c>
      <c r="H214" s="6">
        <v>1.7</v>
      </c>
      <c r="I214" s="6">
        <v>1.7</v>
      </c>
      <c r="J214" s="6">
        <f>I214-H214</f>
        <v>0</v>
      </c>
      <c r="K214" s="5">
        <f>IF(H214=0,"",J214/H214)</f>
        <v>0</v>
      </c>
      <c r="L214">
        <f>IF(OR(AND(H214=0,ABS(J214)&gt;=0.01),AND(H214&lt;&gt;0,ABS(K214)&gt;VarianceThreshold)),"Review","OK")</f>
        <v>0</v>
      </c>
      <c r="M214" t="s">
        <v>33</v>
      </c>
    </row>
    <row r="215" spans="1:13">
      <c r="A215" t="s">
        <v>0</v>
      </c>
      <c r="B215" t="s">
        <v>345</v>
      </c>
      <c r="C215" t="s">
        <v>355</v>
      </c>
      <c r="D215" t="s">
        <v>356</v>
      </c>
      <c r="E215" cm="1">
        <f t="array" ref="E215">_xlfn.XLOOKUP(D215,SKU_Master!A:A,SKU_Master!B:B,"Not on master")</f>
        <v>0</v>
      </c>
      <c r="F215" cm="1">
        <f t="array" ref="F215">_xlfn.XLOOKUP(C215,Account_Master!A:A,Account_Master!B:B,"Not on master")</f>
        <v>0</v>
      </c>
      <c r="G215" cm="1">
        <f t="array" ref="G215">_xlfn.XLOOKUP(C215,Account_Master!A:A,Account_Master!C:C,"Not on master")</f>
        <v>0</v>
      </c>
      <c r="H215" s="6">
        <v>4.5</v>
      </c>
      <c r="I215" s="6">
        <v>4.5</v>
      </c>
      <c r="J215" s="6">
        <f>I215-H215</f>
        <v>0</v>
      </c>
      <c r="K215" s="5">
        <f>IF(H215=0,"",J215/H215)</f>
        <v>0</v>
      </c>
      <c r="L215">
        <f>IF(OR(AND(H215=0,ABS(J215)&gt;=0.01),AND(H215&lt;&gt;0,ABS(K215)&gt;VarianceThreshold)),"Review","OK")</f>
        <v>0</v>
      </c>
      <c r="M215" t="s">
        <v>33</v>
      </c>
    </row>
    <row r="216" spans="1:13">
      <c r="A216" t="s">
        <v>0</v>
      </c>
      <c r="B216" t="s">
        <v>357</v>
      </c>
      <c r="C216" t="s">
        <v>45</v>
      </c>
      <c r="D216" t="s">
        <v>358</v>
      </c>
      <c r="E216" cm="1">
        <f t="array" ref="E216">_xlfn.XLOOKUP(D216,SKU_Master!A:A,SKU_Master!B:B,"Not on master")</f>
        <v>0</v>
      </c>
      <c r="F216" cm="1">
        <f t="array" ref="F216">_xlfn.XLOOKUP(C216,Account_Master!A:A,Account_Master!B:B,"Not on master")</f>
        <v>0</v>
      </c>
      <c r="G216" cm="1">
        <f t="array" ref="G216">_xlfn.XLOOKUP(C216,Account_Master!A:A,Account_Master!C:C,"Not on master")</f>
        <v>0</v>
      </c>
      <c r="H216" s="6">
        <v>8.4</v>
      </c>
      <c r="I216" s="6">
        <v>8.4</v>
      </c>
      <c r="J216" s="6">
        <f>I216-H216</f>
        <v>0</v>
      </c>
      <c r="K216" s="5">
        <f>IF(H216=0,"",J216/H216)</f>
        <v>0</v>
      </c>
      <c r="L216">
        <f>IF(OR(AND(H216=0,ABS(J216)&gt;=0.01),AND(H216&lt;&gt;0,ABS(K216)&gt;VarianceThreshold)),"Review","OK")</f>
        <v>0</v>
      </c>
      <c r="M216" t="s">
        <v>33</v>
      </c>
    </row>
    <row r="217" spans="1:13">
      <c r="A217" t="s">
        <v>0</v>
      </c>
      <c r="B217" t="s">
        <v>357</v>
      </c>
      <c r="C217" t="s">
        <v>59</v>
      </c>
      <c r="D217" t="s">
        <v>359</v>
      </c>
      <c r="E217" cm="1">
        <f t="array" ref="E217">_xlfn.XLOOKUP(D217,SKU_Master!A:A,SKU_Master!B:B,"Not on master")</f>
        <v>0</v>
      </c>
      <c r="F217" cm="1">
        <f t="array" ref="F217">_xlfn.XLOOKUP(C217,Account_Master!A:A,Account_Master!B:B,"Not on master")</f>
        <v>0</v>
      </c>
      <c r="G217" cm="1">
        <f t="array" ref="G217">_xlfn.XLOOKUP(C217,Account_Master!A:A,Account_Master!C:C,"Not on master")</f>
        <v>0</v>
      </c>
      <c r="H217" s="6">
        <v>1.1</v>
      </c>
      <c r="I217" s="6">
        <v>1.1</v>
      </c>
      <c r="J217" s="6">
        <f>I217-H217</f>
        <v>0</v>
      </c>
      <c r="K217" s="5">
        <f>IF(H217=0,"",J217/H217)</f>
        <v>0</v>
      </c>
      <c r="L217">
        <f>IF(OR(AND(H217=0,ABS(J217)&gt;=0.01),AND(H217&lt;&gt;0,ABS(K217)&gt;VarianceThreshold)),"Review","OK")</f>
        <v>0</v>
      </c>
      <c r="M217" t="s">
        <v>33</v>
      </c>
    </row>
    <row r="218" spans="1:13">
      <c r="A218" t="s">
        <v>0</v>
      </c>
      <c r="B218" t="s">
        <v>357</v>
      </c>
      <c r="C218" t="s">
        <v>37</v>
      </c>
      <c r="D218" t="s">
        <v>360</v>
      </c>
      <c r="E218" cm="1">
        <f t="array" ref="E218">_xlfn.XLOOKUP(D218,SKU_Master!A:A,SKU_Master!B:B,"Not on master")</f>
        <v>0</v>
      </c>
      <c r="F218" cm="1">
        <f t="array" ref="F218">_xlfn.XLOOKUP(C218,Account_Master!A:A,Account_Master!B:B,"Not on master")</f>
        <v>0</v>
      </c>
      <c r="G218" cm="1">
        <f t="array" ref="G218">_xlfn.XLOOKUP(C218,Account_Master!A:A,Account_Master!C:C,"Not on master")</f>
        <v>0</v>
      </c>
      <c r="H218" s="6">
        <v>12</v>
      </c>
      <c r="I218" s="6">
        <v>12</v>
      </c>
      <c r="J218" s="6">
        <f>I218-H218</f>
        <v>0</v>
      </c>
      <c r="K218" s="5">
        <f>IF(H218=0,"",J218/H218)</f>
        <v>0</v>
      </c>
      <c r="L218">
        <f>IF(OR(AND(H218=0,ABS(J218)&gt;=0.01),AND(H218&lt;&gt;0,ABS(K218)&gt;VarianceThreshold)),"Review","OK")</f>
        <v>0</v>
      </c>
      <c r="M218" t="s">
        <v>33</v>
      </c>
    </row>
    <row r="219" spans="1:13">
      <c r="A219" t="s">
        <v>0</v>
      </c>
      <c r="B219" t="s">
        <v>357</v>
      </c>
      <c r="C219" t="s">
        <v>56</v>
      </c>
      <c r="D219" t="s">
        <v>361</v>
      </c>
      <c r="E219" cm="1">
        <f t="array" ref="E219">_xlfn.XLOOKUP(D219,SKU_Master!A:A,SKU_Master!B:B,"Not on master")</f>
        <v>0</v>
      </c>
      <c r="F219" cm="1">
        <f t="array" ref="F219">_xlfn.XLOOKUP(C219,Account_Master!A:A,Account_Master!B:B,"Not on master")</f>
        <v>0</v>
      </c>
      <c r="G219" cm="1">
        <f t="array" ref="G219">_xlfn.XLOOKUP(C219,Account_Master!A:A,Account_Master!C:C,"Not on master")</f>
        <v>0</v>
      </c>
      <c r="H219" s="6">
        <v>4.5</v>
      </c>
      <c r="I219" s="6">
        <v>4.5</v>
      </c>
      <c r="J219" s="6">
        <f>I219-H219</f>
        <v>0</v>
      </c>
      <c r="K219" s="5">
        <f>IF(H219=0,"",J219/H219)</f>
        <v>0</v>
      </c>
      <c r="L219">
        <f>IF(OR(AND(H219=0,ABS(J219)&gt;=0.01),AND(H219&lt;&gt;0,ABS(K219)&gt;VarianceThreshold)),"Review","OK")</f>
        <v>0</v>
      </c>
      <c r="M219" t="s">
        <v>33</v>
      </c>
    </row>
    <row r="220" spans="1:13">
      <c r="A220" t="s">
        <v>0</v>
      </c>
      <c r="B220" t="s">
        <v>357</v>
      </c>
      <c r="C220" t="s">
        <v>45</v>
      </c>
      <c r="D220" t="s">
        <v>362</v>
      </c>
      <c r="E220" cm="1">
        <f t="array" ref="E220">_xlfn.XLOOKUP(D220,SKU_Master!A:A,SKU_Master!B:B,"Not on master")</f>
        <v>0</v>
      </c>
      <c r="F220" cm="1">
        <f t="array" ref="F220">_xlfn.XLOOKUP(C220,Account_Master!A:A,Account_Master!B:B,"Not on master")</f>
        <v>0</v>
      </c>
      <c r="G220" cm="1">
        <f t="array" ref="G220">_xlfn.XLOOKUP(C220,Account_Master!A:A,Account_Master!C:C,"Not on master")</f>
        <v>0</v>
      </c>
      <c r="H220" s="6">
        <v>22.75</v>
      </c>
      <c r="I220" s="6">
        <v>22.75</v>
      </c>
      <c r="J220" s="6">
        <f>I220-H220</f>
        <v>0</v>
      </c>
      <c r="K220" s="5">
        <f>IF(H220=0,"",J220/H220)</f>
        <v>0</v>
      </c>
      <c r="L220">
        <f>IF(OR(AND(H220=0,ABS(J220)&gt;=0.01),AND(H220&lt;&gt;0,ABS(K220)&gt;VarianceThreshold)),"Review","OK")</f>
        <v>0</v>
      </c>
      <c r="M220" t="s">
        <v>33</v>
      </c>
    </row>
    <row r="221" spans="1:13">
      <c r="A221" t="s">
        <v>0</v>
      </c>
      <c r="B221" t="s">
        <v>357</v>
      </c>
      <c r="C221" t="s">
        <v>43</v>
      </c>
      <c r="D221" t="s">
        <v>363</v>
      </c>
      <c r="E221" cm="1">
        <f t="array" ref="E221">_xlfn.XLOOKUP(D221,SKU_Master!A:A,SKU_Master!B:B,"Not on master")</f>
        <v>0</v>
      </c>
      <c r="F221" cm="1">
        <f t="array" ref="F221">_xlfn.XLOOKUP(C221,Account_Master!A:A,Account_Master!B:B,"Not on master")</f>
        <v>0</v>
      </c>
      <c r="G221" cm="1">
        <f t="array" ref="G221">_xlfn.XLOOKUP(C221,Account_Master!A:A,Account_Master!C:C,"Not on master")</f>
        <v>0</v>
      </c>
      <c r="H221" s="6">
        <v>1.7</v>
      </c>
      <c r="I221" s="6">
        <v>1.7</v>
      </c>
      <c r="J221" s="6">
        <f>I221-H221</f>
        <v>0</v>
      </c>
      <c r="K221" s="5">
        <f>IF(H221=0,"",J221/H221)</f>
        <v>0</v>
      </c>
      <c r="L221">
        <f>IF(OR(AND(H221=0,ABS(J221)&gt;=0.01),AND(H221&lt;&gt;0,ABS(K221)&gt;VarianceThreshold)),"Review","OK")</f>
        <v>0</v>
      </c>
      <c r="M221" t="s">
        <v>33</v>
      </c>
    </row>
    <row r="222" spans="1:13">
      <c r="A222" t="s">
        <v>0</v>
      </c>
      <c r="B222" t="s">
        <v>364</v>
      </c>
      <c r="C222" t="s">
        <v>45</v>
      </c>
      <c r="D222" t="s">
        <v>365</v>
      </c>
      <c r="E222" cm="1">
        <f t="array" ref="E222">_xlfn.XLOOKUP(D222,SKU_Master!A:A,SKU_Master!B:B,"Not on master")</f>
        <v>0</v>
      </c>
      <c r="F222" cm="1">
        <f t="array" ref="F222">_xlfn.XLOOKUP(C222,Account_Master!A:A,Account_Master!B:B,"Not on master")</f>
        <v>0</v>
      </c>
      <c r="G222" cm="1">
        <f t="array" ref="G222">_xlfn.XLOOKUP(C222,Account_Master!A:A,Account_Master!C:C,"Not on master")</f>
        <v>0</v>
      </c>
      <c r="H222" s="6">
        <v>71.25</v>
      </c>
      <c r="I222" s="6">
        <v>71.25</v>
      </c>
      <c r="J222" s="6">
        <f>I222-H222</f>
        <v>0</v>
      </c>
      <c r="K222" s="5">
        <f>IF(H222=0,"",J222/H222)</f>
        <v>0</v>
      </c>
      <c r="L222">
        <f>IF(OR(AND(H222=0,ABS(J222)&gt;=0.01),AND(H222&lt;&gt;0,ABS(K222)&gt;VarianceThreshold)),"Review","OK")</f>
        <v>0</v>
      </c>
      <c r="M222" t="s">
        <v>33</v>
      </c>
    </row>
    <row r="223" spans="1:13">
      <c r="A223" t="s">
        <v>0</v>
      </c>
      <c r="B223" t="s">
        <v>364</v>
      </c>
      <c r="C223" t="s">
        <v>87</v>
      </c>
      <c r="D223" t="s">
        <v>366</v>
      </c>
      <c r="E223" cm="1">
        <f t="array" ref="E223">_xlfn.XLOOKUP(D223,SKU_Master!A:A,SKU_Master!B:B,"Not on master")</f>
        <v>0</v>
      </c>
      <c r="F223" cm="1">
        <f t="array" ref="F223">_xlfn.XLOOKUP(C223,Account_Master!A:A,Account_Master!B:B,"Not on master")</f>
        <v>0</v>
      </c>
      <c r="G223" cm="1">
        <f t="array" ref="G223">_xlfn.XLOOKUP(C223,Account_Master!A:A,Account_Master!C:C,"Not on master")</f>
        <v>0</v>
      </c>
      <c r="H223" s="6">
        <v>2.25</v>
      </c>
      <c r="I223" s="6">
        <v>2.25</v>
      </c>
      <c r="J223" s="6">
        <f>I223-H223</f>
        <v>0</v>
      </c>
      <c r="K223" s="5">
        <f>IF(H223=0,"",J223/H223)</f>
        <v>0</v>
      </c>
      <c r="L223">
        <f>IF(OR(AND(H223=0,ABS(J223)&gt;=0.01),AND(H223&lt;&gt;0,ABS(K223)&gt;VarianceThreshold)),"Review","OK")</f>
        <v>0</v>
      </c>
      <c r="M223" t="s">
        <v>33</v>
      </c>
    </row>
    <row r="224" spans="1:13">
      <c r="A224" t="s">
        <v>0</v>
      </c>
      <c r="B224" t="s">
        <v>364</v>
      </c>
      <c r="C224" t="s">
        <v>212</v>
      </c>
      <c r="D224" t="s">
        <v>367</v>
      </c>
      <c r="E224" cm="1">
        <f t="array" ref="E224">_xlfn.XLOOKUP(D224,SKU_Master!A:A,SKU_Master!B:B,"Not on master")</f>
        <v>0</v>
      </c>
      <c r="F224" cm="1">
        <f t="array" ref="F224">_xlfn.XLOOKUP(C224,Account_Master!A:A,Account_Master!B:B,"Not on master")</f>
        <v>0</v>
      </c>
      <c r="G224" cm="1">
        <f t="array" ref="G224">_xlfn.XLOOKUP(C224,Account_Master!A:A,Account_Master!C:C,"Not on master")</f>
        <v>0</v>
      </c>
      <c r="H224" s="6">
        <v>3</v>
      </c>
      <c r="I224" s="6">
        <v>3</v>
      </c>
      <c r="J224" s="6">
        <f>I224-H224</f>
        <v>0</v>
      </c>
      <c r="K224" s="5">
        <f>IF(H224=0,"",J224/H224)</f>
        <v>0</v>
      </c>
      <c r="L224">
        <f>IF(OR(AND(H224=0,ABS(J224)&gt;=0.01),AND(H224&lt;&gt;0,ABS(K224)&gt;VarianceThreshold)),"Review","OK")</f>
        <v>0</v>
      </c>
      <c r="M224" t="s">
        <v>33</v>
      </c>
    </row>
    <row r="225" spans="1:13">
      <c r="A225" t="s">
        <v>0</v>
      </c>
      <c r="B225" t="s">
        <v>364</v>
      </c>
      <c r="C225" t="s">
        <v>110</v>
      </c>
      <c r="D225" t="s">
        <v>368</v>
      </c>
      <c r="E225" cm="1">
        <f t="array" ref="E225">_xlfn.XLOOKUP(D225,SKU_Master!A:A,SKU_Master!B:B,"Not on master")</f>
        <v>0</v>
      </c>
      <c r="F225" cm="1">
        <f t="array" ref="F225">_xlfn.XLOOKUP(C225,Account_Master!A:A,Account_Master!B:B,"Not on master")</f>
        <v>0</v>
      </c>
      <c r="G225" cm="1">
        <f t="array" ref="G225">_xlfn.XLOOKUP(C225,Account_Master!A:A,Account_Master!C:C,"Not on master")</f>
        <v>0</v>
      </c>
      <c r="H225" s="6">
        <v>55.5</v>
      </c>
      <c r="I225" s="6">
        <v>55.5</v>
      </c>
      <c r="J225" s="6">
        <f>I225-H225</f>
        <v>0</v>
      </c>
      <c r="K225" s="5">
        <f>IF(H225=0,"",J225/H225)</f>
        <v>0</v>
      </c>
      <c r="L225">
        <f>IF(OR(AND(H225=0,ABS(J225)&gt;=0.01),AND(H225&lt;&gt;0,ABS(K225)&gt;VarianceThreshold)),"Review","OK")</f>
        <v>0</v>
      </c>
      <c r="M225" t="s">
        <v>33</v>
      </c>
    </row>
    <row r="226" spans="1:13">
      <c r="A226" t="s">
        <v>0</v>
      </c>
      <c r="B226" t="s">
        <v>364</v>
      </c>
      <c r="C226" t="s">
        <v>84</v>
      </c>
      <c r="D226" t="s">
        <v>369</v>
      </c>
      <c r="E226" cm="1">
        <f t="array" ref="E226">_xlfn.XLOOKUP(D226,SKU_Master!A:A,SKU_Master!B:B,"Not on master")</f>
        <v>0</v>
      </c>
      <c r="F226" cm="1">
        <f t="array" ref="F226">_xlfn.XLOOKUP(C226,Account_Master!A:A,Account_Master!B:B,"Not on master")</f>
        <v>0</v>
      </c>
      <c r="G226" cm="1">
        <f t="array" ref="G226">_xlfn.XLOOKUP(C226,Account_Master!A:A,Account_Master!C:C,"Not on master")</f>
        <v>0</v>
      </c>
      <c r="H226" s="6">
        <v>38.5</v>
      </c>
      <c r="I226" s="6">
        <v>38.5</v>
      </c>
      <c r="J226" s="6">
        <f>I226-H226</f>
        <v>0</v>
      </c>
      <c r="K226" s="5">
        <f>IF(H226=0,"",J226/H226)</f>
        <v>0</v>
      </c>
      <c r="L226">
        <f>IF(OR(AND(H226=0,ABS(J226)&gt;=0.01),AND(H226&lt;&gt;0,ABS(K226)&gt;VarianceThreshold)),"Review","OK")</f>
        <v>0</v>
      </c>
      <c r="M226" t="s">
        <v>33</v>
      </c>
    </row>
    <row r="227" spans="1:13">
      <c r="A227" t="s">
        <v>0</v>
      </c>
      <c r="B227" t="s">
        <v>364</v>
      </c>
      <c r="C227" t="s">
        <v>84</v>
      </c>
      <c r="D227" t="s">
        <v>370</v>
      </c>
      <c r="E227" cm="1">
        <f t="array" ref="E227">_xlfn.XLOOKUP(D227,SKU_Master!A:A,SKU_Master!B:B,"Not on master")</f>
        <v>0</v>
      </c>
      <c r="F227" cm="1">
        <f t="array" ref="F227">_xlfn.XLOOKUP(C227,Account_Master!A:A,Account_Master!B:B,"Not on master")</f>
        <v>0</v>
      </c>
      <c r="G227" cm="1">
        <f t="array" ref="G227">_xlfn.XLOOKUP(C227,Account_Master!A:A,Account_Master!C:C,"Not on master")</f>
        <v>0</v>
      </c>
      <c r="H227" s="6">
        <v>31.5</v>
      </c>
      <c r="I227" s="6">
        <v>31.5</v>
      </c>
      <c r="J227" s="6">
        <f>I227-H227</f>
        <v>0</v>
      </c>
      <c r="K227" s="5">
        <f>IF(H227=0,"",J227/H227)</f>
        <v>0</v>
      </c>
      <c r="L227">
        <f>IF(OR(AND(H227=0,ABS(J227)&gt;=0.01),AND(H227&lt;&gt;0,ABS(K227)&gt;VarianceThreshold)),"Review","OK")</f>
        <v>0</v>
      </c>
      <c r="M227" t="s">
        <v>33</v>
      </c>
    </row>
    <row r="228" spans="1:13">
      <c r="A228" t="s">
        <v>0</v>
      </c>
      <c r="B228" t="s">
        <v>371</v>
      </c>
      <c r="C228" t="s">
        <v>372</v>
      </c>
      <c r="D228" t="s">
        <v>373</v>
      </c>
      <c r="E228" cm="1">
        <f t="array" ref="E228">_xlfn.XLOOKUP(D228,SKU_Master!A:A,SKU_Master!B:B,"Not on master")</f>
        <v>0</v>
      </c>
      <c r="F228" cm="1">
        <f t="array" ref="F228">_xlfn.XLOOKUP(C228,Account_Master!A:A,Account_Master!B:B,"Not on master")</f>
        <v>0</v>
      </c>
      <c r="G228" cm="1">
        <f t="array" ref="G228">_xlfn.XLOOKUP(C228,Account_Master!A:A,Account_Master!C:C,"Not on master")</f>
        <v>0</v>
      </c>
      <c r="H228" s="6">
        <v>9.25</v>
      </c>
      <c r="I228" s="6">
        <v>9.25</v>
      </c>
      <c r="J228" s="6">
        <f>I228-H228</f>
        <v>0</v>
      </c>
      <c r="K228" s="5">
        <f>IF(H228=0,"",J228/H228)</f>
        <v>0</v>
      </c>
      <c r="L228">
        <f>IF(OR(AND(H228=0,ABS(J228)&gt;=0.01),AND(H228&lt;&gt;0,ABS(K228)&gt;VarianceThreshold)),"Review","OK")</f>
        <v>0</v>
      </c>
      <c r="M228" t="s">
        <v>33</v>
      </c>
    </row>
    <row r="229" spans="1:13">
      <c r="A229" t="s">
        <v>0</v>
      </c>
      <c r="B229" t="s">
        <v>371</v>
      </c>
      <c r="C229" t="s">
        <v>110</v>
      </c>
      <c r="D229" t="s">
        <v>374</v>
      </c>
      <c r="E229" cm="1">
        <f t="array" ref="E229">_xlfn.XLOOKUP(D229,SKU_Master!A:A,SKU_Master!B:B,"Not on master")</f>
        <v>0</v>
      </c>
      <c r="F229" cm="1">
        <f t="array" ref="F229">_xlfn.XLOOKUP(C229,Account_Master!A:A,Account_Master!B:B,"Not on master")</f>
        <v>0</v>
      </c>
      <c r="G229" cm="1">
        <f t="array" ref="G229">_xlfn.XLOOKUP(C229,Account_Master!A:A,Account_Master!C:C,"Not on master")</f>
        <v>0</v>
      </c>
      <c r="H229" s="6">
        <v>9</v>
      </c>
      <c r="I229" s="6">
        <v>9</v>
      </c>
      <c r="J229" s="6">
        <f>I229-H229</f>
        <v>0</v>
      </c>
      <c r="K229" s="5">
        <f>IF(H229=0,"",J229/H229)</f>
        <v>0</v>
      </c>
      <c r="L229">
        <f>IF(OR(AND(H229=0,ABS(J229)&gt;=0.01),AND(H229&lt;&gt;0,ABS(K229)&gt;VarianceThreshold)),"Review","OK")</f>
        <v>0</v>
      </c>
      <c r="M229" t="s">
        <v>33</v>
      </c>
    </row>
    <row r="230" spans="1:13">
      <c r="A230" t="s">
        <v>0</v>
      </c>
      <c r="B230" t="s">
        <v>371</v>
      </c>
      <c r="C230" t="s">
        <v>375</v>
      </c>
      <c r="D230" t="s">
        <v>376</v>
      </c>
      <c r="E230" cm="1">
        <f t="array" ref="E230">_xlfn.XLOOKUP(D230,SKU_Master!A:A,SKU_Master!B:B,"Not on master")</f>
        <v>0</v>
      </c>
      <c r="F230" cm="1">
        <f t="array" ref="F230">_xlfn.XLOOKUP(C230,Account_Master!A:A,Account_Master!B:B,"Not on master")</f>
        <v>0</v>
      </c>
      <c r="G230" cm="1">
        <f t="array" ref="G230">_xlfn.XLOOKUP(C230,Account_Master!A:A,Account_Master!C:C,"Not on master")</f>
        <v>0</v>
      </c>
      <c r="H230" s="6">
        <v>3</v>
      </c>
      <c r="I230" s="6">
        <v>3</v>
      </c>
      <c r="J230" s="6">
        <f>I230-H230</f>
        <v>0</v>
      </c>
      <c r="K230" s="5">
        <f>IF(H230=0,"",J230/H230)</f>
        <v>0</v>
      </c>
      <c r="L230">
        <f>IF(OR(AND(H230=0,ABS(J230)&gt;=0.01),AND(H230&lt;&gt;0,ABS(K230)&gt;VarianceThreshold)),"Review","OK")</f>
        <v>0</v>
      </c>
      <c r="M230" t="s">
        <v>33</v>
      </c>
    </row>
    <row r="231" spans="1:13">
      <c r="A231" t="s">
        <v>0</v>
      </c>
      <c r="B231" t="s">
        <v>371</v>
      </c>
      <c r="C231" t="s">
        <v>377</v>
      </c>
      <c r="D231" t="s">
        <v>378</v>
      </c>
      <c r="E231" cm="1">
        <f t="array" ref="E231">_xlfn.XLOOKUP(D231,SKU_Master!A:A,SKU_Master!B:B,"Not on master")</f>
        <v>0</v>
      </c>
      <c r="F231" cm="1">
        <f t="array" ref="F231">_xlfn.XLOOKUP(C231,Account_Master!A:A,Account_Master!B:B,"Not on master")</f>
        <v>0</v>
      </c>
      <c r="G231" cm="1">
        <f t="array" ref="G231">_xlfn.XLOOKUP(C231,Account_Master!A:A,Account_Master!C:C,"Not on master")</f>
        <v>0</v>
      </c>
      <c r="H231" s="6">
        <v>0.75</v>
      </c>
      <c r="I231" s="6">
        <v>0.75</v>
      </c>
      <c r="J231" s="6">
        <f>I231-H231</f>
        <v>0</v>
      </c>
      <c r="K231" s="5">
        <f>IF(H231=0,"",J231/H231)</f>
        <v>0</v>
      </c>
      <c r="L231">
        <f>IF(OR(AND(H231=0,ABS(J231)&gt;=0.01),AND(H231&lt;&gt;0,ABS(K231)&gt;VarianceThreshold)),"Review","OK")</f>
        <v>0</v>
      </c>
      <c r="M231" t="s">
        <v>33</v>
      </c>
    </row>
    <row r="232" spans="1:13">
      <c r="A232" t="s">
        <v>0</v>
      </c>
      <c r="B232" t="s">
        <v>379</v>
      </c>
      <c r="C232" t="s">
        <v>262</v>
      </c>
      <c r="D232" t="s">
        <v>380</v>
      </c>
      <c r="E232" cm="1">
        <f t="array" ref="E232">_xlfn.XLOOKUP(D232,SKU_Master!A:A,SKU_Master!B:B,"Not on master")</f>
        <v>0</v>
      </c>
      <c r="F232" cm="1">
        <f t="array" ref="F232">_xlfn.XLOOKUP(C232,Account_Master!A:A,Account_Master!B:B,"Not on master")</f>
        <v>0</v>
      </c>
      <c r="G232" cm="1">
        <f t="array" ref="G232">_xlfn.XLOOKUP(C232,Account_Master!A:A,Account_Master!C:C,"Not on master")</f>
        <v>0</v>
      </c>
      <c r="H232" s="6">
        <v>3</v>
      </c>
      <c r="I232" s="6">
        <v>3</v>
      </c>
      <c r="J232" s="6">
        <f>I232-H232</f>
        <v>0</v>
      </c>
      <c r="K232" s="5">
        <f>IF(H232=0,"",J232/H232)</f>
        <v>0</v>
      </c>
      <c r="L232">
        <f>IF(OR(AND(H232=0,ABS(J232)&gt;=0.01),AND(H232&lt;&gt;0,ABS(K232)&gt;VarianceThreshold)),"Review","OK")</f>
        <v>0</v>
      </c>
      <c r="M232" t="s">
        <v>33</v>
      </c>
    </row>
    <row r="233" spans="1:13">
      <c r="A233" t="s">
        <v>0</v>
      </c>
      <c r="B233" t="s">
        <v>379</v>
      </c>
      <c r="C233" t="s">
        <v>31</v>
      </c>
      <c r="D233" t="s">
        <v>381</v>
      </c>
      <c r="E233" cm="1">
        <f t="array" ref="E233">_xlfn.XLOOKUP(D233,SKU_Master!A:A,SKU_Master!B:B,"Not on master")</f>
        <v>0</v>
      </c>
      <c r="F233" cm="1">
        <f t="array" ref="F233">_xlfn.XLOOKUP(C233,Account_Master!A:A,Account_Master!B:B,"Not on master")</f>
        <v>0</v>
      </c>
      <c r="G233" cm="1">
        <f t="array" ref="G233">_xlfn.XLOOKUP(C233,Account_Master!A:A,Account_Master!C:C,"Not on master")</f>
        <v>0</v>
      </c>
      <c r="H233" s="6">
        <v>21</v>
      </c>
      <c r="I233" s="6">
        <v>21</v>
      </c>
      <c r="J233" s="6">
        <f>I233-H233</f>
        <v>0</v>
      </c>
      <c r="K233" s="5">
        <f>IF(H233=0,"",J233/H233)</f>
        <v>0</v>
      </c>
      <c r="L233">
        <f>IF(OR(AND(H233=0,ABS(J233)&gt;=0.01),AND(H233&lt;&gt;0,ABS(K233)&gt;VarianceThreshold)),"Review","OK")</f>
        <v>0</v>
      </c>
      <c r="M233" t="s">
        <v>33</v>
      </c>
    </row>
    <row r="234" spans="1:13">
      <c r="A234" t="s">
        <v>0</v>
      </c>
      <c r="B234" t="s">
        <v>379</v>
      </c>
      <c r="C234" t="s">
        <v>56</v>
      </c>
      <c r="D234" t="s">
        <v>382</v>
      </c>
      <c r="E234" cm="1">
        <f t="array" ref="E234">_xlfn.XLOOKUP(D234,SKU_Master!A:A,SKU_Master!B:B,"Not on master")</f>
        <v>0</v>
      </c>
      <c r="F234" cm="1">
        <f t="array" ref="F234">_xlfn.XLOOKUP(C234,Account_Master!A:A,Account_Master!B:B,"Not on master")</f>
        <v>0</v>
      </c>
      <c r="G234" cm="1">
        <f t="array" ref="G234">_xlfn.XLOOKUP(C234,Account_Master!A:A,Account_Master!C:C,"Not on master")</f>
        <v>0</v>
      </c>
      <c r="H234" s="6">
        <v>15.75</v>
      </c>
      <c r="I234" s="6">
        <v>15.75</v>
      </c>
      <c r="J234" s="6">
        <f>I234-H234</f>
        <v>0</v>
      </c>
      <c r="K234" s="5">
        <f>IF(H234=0,"",J234/H234)</f>
        <v>0</v>
      </c>
      <c r="L234">
        <f>IF(OR(AND(H234=0,ABS(J234)&gt;=0.01),AND(H234&lt;&gt;0,ABS(K234)&gt;VarianceThreshold)),"Review","OK")</f>
        <v>0</v>
      </c>
      <c r="M234" t="s">
        <v>33</v>
      </c>
    </row>
    <row r="235" spans="1:13">
      <c r="A235" t="s">
        <v>0</v>
      </c>
      <c r="B235" t="s">
        <v>379</v>
      </c>
      <c r="C235" t="s">
        <v>108</v>
      </c>
      <c r="D235" t="s">
        <v>383</v>
      </c>
      <c r="E235" cm="1">
        <f t="array" ref="E235">_xlfn.XLOOKUP(D235,SKU_Master!A:A,SKU_Master!B:B,"Not on master")</f>
        <v>0</v>
      </c>
      <c r="F235" cm="1">
        <f t="array" ref="F235">_xlfn.XLOOKUP(C235,Account_Master!A:A,Account_Master!B:B,"Not on master")</f>
        <v>0</v>
      </c>
      <c r="G235" cm="1">
        <f t="array" ref="G235">_xlfn.XLOOKUP(C235,Account_Master!A:A,Account_Master!C:C,"Not on master")</f>
        <v>0</v>
      </c>
      <c r="H235" s="6">
        <v>9</v>
      </c>
      <c r="I235" s="6">
        <v>9</v>
      </c>
      <c r="J235" s="6">
        <f>I235-H235</f>
        <v>0</v>
      </c>
      <c r="K235" s="5">
        <f>IF(H235=0,"",J235/H235)</f>
        <v>0</v>
      </c>
      <c r="L235">
        <f>IF(OR(AND(H235=0,ABS(J235)&gt;=0.01),AND(H235&lt;&gt;0,ABS(K235)&gt;VarianceThreshold)),"Review","OK")</f>
        <v>0</v>
      </c>
      <c r="M235" t="s">
        <v>33</v>
      </c>
    </row>
    <row r="236" spans="1:13">
      <c r="A236" t="s">
        <v>0</v>
      </c>
      <c r="B236" t="s">
        <v>379</v>
      </c>
      <c r="C236" t="s">
        <v>384</v>
      </c>
      <c r="D236" t="s">
        <v>385</v>
      </c>
      <c r="E236" cm="1">
        <f t="array" ref="E236">_xlfn.XLOOKUP(D236,SKU_Master!A:A,SKU_Master!B:B,"Not on master")</f>
        <v>0</v>
      </c>
      <c r="F236" cm="1">
        <f t="array" ref="F236">_xlfn.XLOOKUP(C236,Account_Master!A:A,Account_Master!B:B,"Not on master")</f>
        <v>0</v>
      </c>
      <c r="G236" cm="1">
        <f t="array" ref="G236">_xlfn.XLOOKUP(C236,Account_Master!A:A,Account_Master!C:C,"Not on master")</f>
        <v>0</v>
      </c>
      <c r="H236" s="6">
        <v>1.2</v>
      </c>
      <c r="I236" s="6">
        <v>1.2</v>
      </c>
      <c r="J236" s="6">
        <f>I236-H236</f>
        <v>0</v>
      </c>
      <c r="K236" s="5">
        <f>IF(H236=0,"",J236/H236)</f>
        <v>0</v>
      </c>
      <c r="L236">
        <f>IF(OR(AND(H236=0,ABS(J236)&gt;=0.01),AND(H236&lt;&gt;0,ABS(K236)&gt;VarianceThreshold)),"Review","OK")</f>
        <v>0</v>
      </c>
      <c r="M236" t="s">
        <v>33</v>
      </c>
    </row>
    <row r="237" spans="1:13">
      <c r="A237" t="s">
        <v>0</v>
      </c>
      <c r="B237" t="s">
        <v>379</v>
      </c>
      <c r="C237" t="s">
        <v>64</v>
      </c>
      <c r="D237" t="s">
        <v>386</v>
      </c>
      <c r="E237" cm="1">
        <f t="array" ref="E237">_xlfn.XLOOKUP(D237,SKU_Master!A:A,SKU_Master!B:B,"Not on master")</f>
        <v>0</v>
      </c>
      <c r="F237" cm="1">
        <f t="array" ref="F237">_xlfn.XLOOKUP(C237,Account_Master!A:A,Account_Master!B:B,"Not on master")</f>
        <v>0</v>
      </c>
      <c r="G237" cm="1">
        <f t="array" ref="G237">_xlfn.XLOOKUP(C237,Account_Master!A:A,Account_Master!C:C,"Not on master")</f>
        <v>0</v>
      </c>
      <c r="H237" s="6">
        <v>26.4</v>
      </c>
      <c r="I237" s="6">
        <v>26.4</v>
      </c>
      <c r="J237" s="6">
        <f>I237-H237</f>
        <v>0</v>
      </c>
      <c r="K237" s="5">
        <f>IF(H237=0,"",J237/H237)</f>
        <v>0</v>
      </c>
      <c r="L237">
        <f>IF(OR(AND(H237=0,ABS(J237)&gt;=0.01),AND(H237&lt;&gt;0,ABS(K237)&gt;VarianceThreshold)),"Review","OK")</f>
        <v>0</v>
      </c>
      <c r="M237" t="s">
        <v>33</v>
      </c>
    </row>
    <row r="238" spans="1:13">
      <c r="A238" t="s">
        <v>0</v>
      </c>
      <c r="B238" t="s">
        <v>379</v>
      </c>
      <c r="C238" t="s">
        <v>152</v>
      </c>
      <c r="D238" t="s">
        <v>387</v>
      </c>
      <c r="E238" cm="1">
        <f t="array" ref="E238">_xlfn.XLOOKUP(D238,SKU_Master!A:A,SKU_Master!B:B,"Not on master")</f>
        <v>0</v>
      </c>
      <c r="F238" cm="1">
        <f t="array" ref="F238">_xlfn.XLOOKUP(C238,Account_Master!A:A,Account_Master!B:B,"Not on master")</f>
        <v>0</v>
      </c>
      <c r="G238" cm="1">
        <f t="array" ref="G238">_xlfn.XLOOKUP(C238,Account_Master!A:A,Account_Master!C:C,"Not on master")</f>
        <v>0</v>
      </c>
      <c r="H238" s="6">
        <v>6.37</v>
      </c>
      <c r="I238" s="6">
        <v>6.37</v>
      </c>
      <c r="J238" s="6">
        <f>I238-H238</f>
        <v>0</v>
      </c>
      <c r="K238" s="5">
        <f>IF(H238=0,"",J238/H238)</f>
        <v>0</v>
      </c>
      <c r="L238">
        <f>IF(OR(AND(H238=0,ABS(J238)&gt;=0.01),AND(H238&lt;&gt;0,ABS(K238)&gt;VarianceThreshold)),"Review","OK")</f>
        <v>0</v>
      </c>
      <c r="M238" t="s">
        <v>33</v>
      </c>
    </row>
    <row r="239" spans="1:13">
      <c r="A239" t="s">
        <v>0</v>
      </c>
      <c r="B239" t="s">
        <v>379</v>
      </c>
      <c r="C239" t="s">
        <v>45</v>
      </c>
      <c r="D239" t="s">
        <v>388</v>
      </c>
      <c r="E239" cm="1">
        <f t="array" ref="E239">_xlfn.XLOOKUP(D239,SKU_Master!A:A,SKU_Master!B:B,"Not on master")</f>
        <v>0</v>
      </c>
      <c r="F239" cm="1">
        <f t="array" ref="F239">_xlfn.XLOOKUP(C239,Account_Master!A:A,Account_Master!B:B,"Not on master")</f>
        <v>0</v>
      </c>
      <c r="G239" cm="1">
        <f t="array" ref="G239">_xlfn.XLOOKUP(C239,Account_Master!A:A,Account_Master!C:C,"Not on master")</f>
        <v>0</v>
      </c>
      <c r="H239" s="6">
        <v>0.4</v>
      </c>
      <c r="I239" s="6">
        <v>0.4</v>
      </c>
      <c r="J239" s="6">
        <f>I239-H239</f>
        <v>0</v>
      </c>
      <c r="K239" s="5">
        <f>IF(H239=0,"",J239/H239)</f>
        <v>0</v>
      </c>
      <c r="L239">
        <f>IF(OR(AND(H239=0,ABS(J239)&gt;=0.01),AND(H239&lt;&gt;0,ABS(K239)&gt;VarianceThreshold)),"Review","OK")</f>
        <v>0</v>
      </c>
      <c r="M239" t="s">
        <v>33</v>
      </c>
    </row>
    <row r="240" spans="1:13">
      <c r="A240" t="s">
        <v>0</v>
      </c>
      <c r="B240" t="s">
        <v>379</v>
      </c>
      <c r="C240" t="s">
        <v>389</v>
      </c>
      <c r="D240" t="s">
        <v>390</v>
      </c>
      <c r="E240" cm="1">
        <f t="array" ref="E240">_xlfn.XLOOKUP(D240,SKU_Master!A:A,SKU_Master!B:B,"Not on master")</f>
        <v>0</v>
      </c>
      <c r="F240" cm="1">
        <f t="array" ref="F240">_xlfn.XLOOKUP(C240,Account_Master!A:A,Account_Master!B:B,"Not on master")</f>
        <v>0</v>
      </c>
      <c r="G240" cm="1">
        <f t="array" ref="G240">_xlfn.XLOOKUP(C240,Account_Master!A:A,Account_Master!C:C,"Not on master")</f>
        <v>0</v>
      </c>
      <c r="H240" s="6">
        <v>2520</v>
      </c>
      <c r="I240" s="6">
        <v>2520</v>
      </c>
      <c r="J240" s="6">
        <f>I240-H240</f>
        <v>0</v>
      </c>
      <c r="K240" s="5">
        <f>IF(H240=0,"",J240/H240)</f>
        <v>0</v>
      </c>
      <c r="L240">
        <f>IF(OR(AND(H240=0,ABS(J240)&gt;=0.01),AND(H240&lt;&gt;0,ABS(K240)&gt;VarianceThreshold)),"Review","OK")</f>
        <v>0</v>
      </c>
      <c r="M240" t="s">
        <v>33</v>
      </c>
    </row>
    <row r="241" spans="1:13">
      <c r="A241" t="s">
        <v>0</v>
      </c>
      <c r="B241" t="s">
        <v>379</v>
      </c>
      <c r="C241" t="s">
        <v>95</v>
      </c>
      <c r="D241" t="s">
        <v>391</v>
      </c>
      <c r="E241" cm="1">
        <f t="array" ref="E241">_xlfn.XLOOKUP(D241,SKU_Master!A:A,SKU_Master!B:B,"Not on master")</f>
        <v>0</v>
      </c>
      <c r="F241" cm="1">
        <f t="array" ref="F241">_xlfn.XLOOKUP(C241,Account_Master!A:A,Account_Master!B:B,"Not on master")</f>
        <v>0</v>
      </c>
      <c r="G241" cm="1">
        <f t="array" ref="G241">_xlfn.XLOOKUP(C241,Account_Master!A:A,Account_Master!C:C,"Not on master")</f>
        <v>0</v>
      </c>
      <c r="H241" s="6">
        <v>0.7</v>
      </c>
      <c r="I241" s="6">
        <v>0.7</v>
      </c>
      <c r="J241" s="6">
        <f>I241-H241</f>
        <v>0</v>
      </c>
      <c r="K241" s="5">
        <f>IF(H241=0,"",J241/H241)</f>
        <v>0</v>
      </c>
      <c r="L241">
        <f>IF(OR(AND(H241=0,ABS(J241)&gt;=0.01),AND(H241&lt;&gt;0,ABS(K241)&gt;VarianceThreshold)),"Review","OK")</f>
        <v>0</v>
      </c>
      <c r="M241" t="s">
        <v>33</v>
      </c>
    </row>
    <row r="242" spans="1:13">
      <c r="A242" t="s">
        <v>0</v>
      </c>
      <c r="B242" t="s">
        <v>392</v>
      </c>
      <c r="C242" t="s">
        <v>220</v>
      </c>
      <c r="D242" t="s">
        <v>393</v>
      </c>
      <c r="E242" cm="1">
        <f t="array" ref="E242">_xlfn.XLOOKUP(D242,SKU_Master!A:A,SKU_Master!B:B,"Not on master")</f>
        <v>0</v>
      </c>
      <c r="F242" cm="1">
        <f t="array" ref="F242">_xlfn.XLOOKUP(C242,Account_Master!A:A,Account_Master!B:B,"Not on master")</f>
        <v>0</v>
      </c>
      <c r="G242" cm="1">
        <f t="array" ref="G242">_xlfn.XLOOKUP(C242,Account_Master!A:A,Account_Master!C:C,"Not on master")</f>
        <v>0</v>
      </c>
      <c r="H242" s="6">
        <v>2.25</v>
      </c>
      <c r="I242" s="6">
        <v>2.25</v>
      </c>
      <c r="J242" s="6">
        <f>I242-H242</f>
        <v>0</v>
      </c>
      <c r="K242" s="5">
        <f>IF(H242=0,"",J242/H242)</f>
        <v>0</v>
      </c>
      <c r="L242">
        <f>IF(OR(AND(H242=0,ABS(J242)&gt;=0.01),AND(H242&lt;&gt;0,ABS(K242)&gt;VarianceThreshold)),"Review","OK")</f>
        <v>0</v>
      </c>
      <c r="M242" t="s">
        <v>33</v>
      </c>
    </row>
    <row r="243" spans="1:13">
      <c r="A243" t="s">
        <v>0</v>
      </c>
      <c r="B243" t="s">
        <v>392</v>
      </c>
      <c r="C243" t="s">
        <v>82</v>
      </c>
      <c r="D243" t="s">
        <v>394</v>
      </c>
      <c r="E243" cm="1">
        <f t="array" ref="E243">_xlfn.XLOOKUP(D243,SKU_Master!A:A,SKU_Master!B:B,"Not on master")</f>
        <v>0</v>
      </c>
      <c r="F243" cm="1">
        <f t="array" ref="F243">_xlfn.XLOOKUP(C243,Account_Master!A:A,Account_Master!B:B,"Not on master")</f>
        <v>0</v>
      </c>
      <c r="G243" cm="1">
        <f t="array" ref="G243">_xlfn.XLOOKUP(C243,Account_Master!A:A,Account_Master!C:C,"Not on master")</f>
        <v>0</v>
      </c>
      <c r="H243" s="6">
        <v>21</v>
      </c>
      <c r="I243" s="6">
        <v>21</v>
      </c>
      <c r="J243" s="6">
        <f>I243-H243</f>
        <v>0</v>
      </c>
      <c r="K243" s="5">
        <f>IF(H243=0,"",J243/H243)</f>
        <v>0</v>
      </c>
      <c r="L243">
        <f>IF(OR(AND(H243=0,ABS(J243)&gt;=0.01),AND(H243&lt;&gt;0,ABS(K243)&gt;VarianceThreshold)),"Review","OK")</f>
        <v>0</v>
      </c>
      <c r="M243" t="s">
        <v>33</v>
      </c>
    </row>
    <row r="244" spans="1:13">
      <c r="A244" t="s">
        <v>0</v>
      </c>
      <c r="B244" t="s">
        <v>392</v>
      </c>
      <c r="C244" t="s">
        <v>31</v>
      </c>
      <c r="D244" t="s">
        <v>395</v>
      </c>
      <c r="E244" cm="1">
        <f t="array" ref="E244">_xlfn.XLOOKUP(D244,SKU_Master!A:A,SKU_Master!B:B,"Not on master")</f>
        <v>0</v>
      </c>
      <c r="F244" cm="1">
        <f t="array" ref="F244">_xlfn.XLOOKUP(C244,Account_Master!A:A,Account_Master!B:B,"Not on master")</f>
        <v>0</v>
      </c>
      <c r="G244" cm="1">
        <f t="array" ref="G244">_xlfn.XLOOKUP(C244,Account_Master!A:A,Account_Master!C:C,"Not on master")</f>
        <v>0</v>
      </c>
      <c r="H244" s="6">
        <v>18</v>
      </c>
      <c r="I244" s="6">
        <v>18</v>
      </c>
      <c r="J244" s="6">
        <f>I244-H244</f>
        <v>0</v>
      </c>
      <c r="K244" s="5">
        <f>IF(H244=0,"",J244/H244)</f>
        <v>0</v>
      </c>
      <c r="L244">
        <f>IF(OR(AND(H244=0,ABS(J244)&gt;=0.01),AND(H244&lt;&gt;0,ABS(K244)&gt;VarianceThreshold)),"Review","OK")</f>
        <v>0</v>
      </c>
      <c r="M244" t="s">
        <v>33</v>
      </c>
    </row>
    <row r="245" spans="1:13">
      <c r="A245" t="s">
        <v>0</v>
      </c>
      <c r="B245" t="s">
        <v>392</v>
      </c>
      <c r="C245" t="s">
        <v>126</v>
      </c>
      <c r="D245" t="s">
        <v>396</v>
      </c>
      <c r="E245" cm="1">
        <f t="array" ref="E245">_xlfn.XLOOKUP(D245,SKU_Master!A:A,SKU_Master!B:B,"Not on master")</f>
        <v>0</v>
      </c>
      <c r="F245" cm="1">
        <f t="array" ref="F245">_xlfn.XLOOKUP(C245,Account_Master!A:A,Account_Master!B:B,"Not on master")</f>
        <v>0</v>
      </c>
      <c r="G245" cm="1">
        <f t="array" ref="G245">_xlfn.XLOOKUP(C245,Account_Master!A:A,Account_Master!C:C,"Not on master")</f>
        <v>0</v>
      </c>
      <c r="H245" s="6">
        <v>35</v>
      </c>
      <c r="I245" s="6">
        <v>35</v>
      </c>
      <c r="J245" s="6">
        <f>I245-H245</f>
        <v>0</v>
      </c>
      <c r="K245" s="5">
        <f>IF(H245=0,"",J245/H245)</f>
        <v>0</v>
      </c>
      <c r="L245">
        <f>IF(OR(AND(H245=0,ABS(J245)&gt;=0.01),AND(H245&lt;&gt;0,ABS(K245)&gt;VarianceThreshold)),"Review","OK")</f>
        <v>0</v>
      </c>
      <c r="M245" t="s">
        <v>33</v>
      </c>
    </row>
    <row r="246" spans="1:13">
      <c r="A246" t="s">
        <v>0</v>
      </c>
      <c r="B246" t="s">
        <v>392</v>
      </c>
      <c r="C246" t="s">
        <v>126</v>
      </c>
      <c r="D246" t="s">
        <v>397</v>
      </c>
      <c r="E246" cm="1">
        <f t="array" ref="E246">_xlfn.XLOOKUP(D246,SKU_Master!A:A,SKU_Master!B:B,"Not on master")</f>
        <v>0</v>
      </c>
      <c r="F246" cm="1">
        <f t="array" ref="F246">_xlfn.XLOOKUP(C246,Account_Master!A:A,Account_Master!B:B,"Not on master")</f>
        <v>0</v>
      </c>
      <c r="G246" cm="1">
        <f t="array" ref="G246">_xlfn.XLOOKUP(C246,Account_Master!A:A,Account_Master!C:C,"Not on master")</f>
        <v>0</v>
      </c>
      <c r="H246" s="6">
        <v>18</v>
      </c>
      <c r="I246" s="6">
        <v>18</v>
      </c>
      <c r="J246" s="6">
        <f>I246-H246</f>
        <v>0</v>
      </c>
      <c r="K246" s="5">
        <f>IF(H246=0,"",J246/H246)</f>
        <v>0</v>
      </c>
      <c r="L246">
        <f>IF(OR(AND(H246=0,ABS(J246)&gt;=0.01),AND(H246&lt;&gt;0,ABS(K246)&gt;VarianceThreshold)),"Review","OK")</f>
        <v>0</v>
      </c>
      <c r="M246" t="s">
        <v>33</v>
      </c>
    </row>
    <row r="247" spans="1:13">
      <c r="A247" t="s">
        <v>0</v>
      </c>
      <c r="B247" t="s">
        <v>392</v>
      </c>
      <c r="C247" t="s">
        <v>398</v>
      </c>
      <c r="D247" t="s">
        <v>399</v>
      </c>
      <c r="E247" cm="1">
        <f t="array" ref="E247">_xlfn.XLOOKUP(D247,SKU_Master!A:A,SKU_Master!B:B,"Not on master")</f>
        <v>0</v>
      </c>
      <c r="F247" cm="1">
        <f t="array" ref="F247">_xlfn.XLOOKUP(C247,Account_Master!A:A,Account_Master!B:B,"Not on master")</f>
        <v>0</v>
      </c>
      <c r="G247" cm="1">
        <f t="array" ref="G247">_xlfn.XLOOKUP(C247,Account_Master!A:A,Account_Master!C:C,"Not on master")</f>
        <v>0</v>
      </c>
      <c r="H247" s="6">
        <v>0.2</v>
      </c>
      <c r="I247" s="6">
        <v>0.2</v>
      </c>
      <c r="J247" s="6">
        <f>I247-H247</f>
        <v>0</v>
      </c>
      <c r="K247" s="5">
        <f>IF(H247=0,"",J247/H247)</f>
        <v>0</v>
      </c>
      <c r="L247">
        <f>IF(OR(AND(H247=0,ABS(J247)&gt;=0.01),AND(H247&lt;&gt;0,ABS(K247)&gt;VarianceThreshold)),"Review","OK")</f>
        <v>0</v>
      </c>
      <c r="M247" t="s">
        <v>33</v>
      </c>
    </row>
    <row r="248" spans="1:13">
      <c r="A248" t="s">
        <v>0</v>
      </c>
      <c r="B248" t="s">
        <v>392</v>
      </c>
      <c r="C248" t="s">
        <v>50</v>
      </c>
      <c r="D248" t="s">
        <v>400</v>
      </c>
      <c r="E248" cm="1">
        <f t="array" ref="E248">_xlfn.XLOOKUP(D248,SKU_Master!A:A,SKU_Master!B:B,"Not on master")</f>
        <v>0</v>
      </c>
      <c r="F248" cm="1">
        <f t="array" ref="F248">_xlfn.XLOOKUP(C248,Account_Master!A:A,Account_Master!B:B,"Not on master")</f>
        <v>0</v>
      </c>
      <c r="G248" cm="1">
        <f t="array" ref="G248">_xlfn.XLOOKUP(C248,Account_Master!A:A,Account_Master!C:C,"Not on master")</f>
        <v>0</v>
      </c>
      <c r="H248" s="6">
        <v>0.8</v>
      </c>
      <c r="I248" s="6">
        <v>0.8</v>
      </c>
      <c r="J248" s="6">
        <f>I248-H248</f>
        <v>0</v>
      </c>
      <c r="K248" s="5">
        <f>IF(H248=0,"",J248/H248)</f>
        <v>0</v>
      </c>
      <c r="L248">
        <f>IF(OR(AND(H248=0,ABS(J248)&gt;=0.01),AND(H248&lt;&gt;0,ABS(K248)&gt;VarianceThreshold)),"Review","OK")</f>
        <v>0</v>
      </c>
      <c r="M248" t="s">
        <v>33</v>
      </c>
    </row>
    <row r="249" spans="1:13">
      <c r="A249" t="s">
        <v>0</v>
      </c>
      <c r="B249" t="s">
        <v>392</v>
      </c>
      <c r="C249" t="s">
        <v>31</v>
      </c>
      <c r="D249" t="s">
        <v>401</v>
      </c>
      <c r="E249" cm="1">
        <f t="array" ref="E249">_xlfn.XLOOKUP(D249,SKU_Master!A:A,SKU_Master!B:B,"Not on master")</f>
        <v>0</v>
      </c>
      <c r="F249" cm="1">
        <f t="array" ref="F249">_xlfn.XLOOKUP(C249,Account_Master!A:A,Account_Master!B:B,"Not on master")</f>
        <v>0</v>
      </c>
      <c r="G249" cm="1">
        <f t="array" ref="G249">_xlfn.XLOOKUP(C249,Account_Master!A:A,Account_Master!C:C,"Not on master")</f>
        <v>0</v>
      </c>
      <c r="H249" s="6">
        <v>120</v>
      </c>
      <c r="I249" s="6">
        <v>120</v>
      </c>
      <c r="J249" s="6">
        <f>I249-H249</f>
        <v>0</v>
      </c>
      <c r="K249" s="5">
        <f>IF(H249=0,"",J249/H249)</f>
        <v>0</v>
      </c>
      <c r="L249">
        <f>IF(OR(AND(H249=0,ABS(J249)&gt;=0.01),AND(H249&lt;&gt;0,ABS(K249)&gt;VarianceThreshold)),"Review","OK")</f>
        <v>0</v>
      </c>
      <c r="M249" t="s">
        <v>33</v>
      </c>
    </row>
    <row r="250" spans="1:13">
      <c r="A250" t="s">
        <v>0</v>
      </c>
      <c r="B250" t="s">
        <v>402</v>
      </c>
      <c r="C250" t="s">
        <v>267</v>
      </c>
      <c r="D250" t="s">
        <v>403</v>
      </c>
      <c r="E250" cm="1">
        <f t="array" ref="E250">_xlfn.XLOOKUP(D250,SKU_Master!A:A,SKU_Master!B:B,"Not on master")</f>
        <v>0</v>
      </c>
      <c r="F250" cm="1">
        <f t="array" ref="F250">_xlfn.XLOOKUP(C250,Account_Master!A:A,Account_Master!B:B,"Not on master")</f>
        <v>0</v>
      </c>
      <c r="G250" cm="1">
        <f t="array" ref="G250">_xlfn.XLOOKUP(C250,Account_Master!A:A,Account_Master!C:C,"Not on master")</f>
        <v>0</v>
      </c>
      <c r="H250" s="6">
        <v>9</v>
      </c>
      <c r="I250" s="6">
        <v>9</v>
      </c>
      <c r="J250" s="6">
        <f>I250-H250</f>
        <v>0</v>
      </c>
      <c r="K250" s="5">
        <f>IF(H250=0,"",J250/H250)</f>
        <v>0</v>
      </c>
      <c r="L250">
        <f>IF(OR(AND(H250=0,ABS(J250)&gt;=0.01),AND(H250&lt;&gt;0,ABS(K250)&gt;VarianceThreshold)),"Review","OK")</f>
        <v>0</v>
      </c>
      <c r="M250" t="s">
        <v>33</v>
      </c>
    </row>
    <row r="251" spans="1:13">
      <c r="A251" t="s">
        <v>0</v>
      </c>
      <c r="B251" t="s">
        <v>402</v>
      </c>
      <c r="C251" t="s">
        <v>110</v>
      </c>
      <c r="D251" t="s">
        <v>404</v>
      </c>
      <c r="E251" cm="1">
        <f t="array" ref="E251">_xlfn.XLOOKUP(D251,SKU_Master!A:A,SKU_Master!B:B,"Not on master")</f>
        <v>0</v>
      </c>
      <c r="F251" cm="1">
        <f t="array" ref="F251">_xlfn.XLOOKUP(C251,Account_Master!A:A,Account_Master!B:B,"Not on master")</f>
        <v>0</v>
      </c>
      <c r="G251" cm="1">
        <f t="array" ref="G251">_xlfn.XLOOKUP(C251,Account_Master!A:A,Account_Master!C:C,"Not on master")</f>
        <v>0</v>
      </c>
      <c r="H251" s="6">
        <v>48</v>
      </c>
      <c r="I251" s="6">
        <v>48</v>
      </c>
      <c r="J251" s="6">
        <f>I251-H251</f>
        <v>0</v>
      </c>
      <c r="K251" s="5">
        <f>IF(H251=0,"",J251/H251)</f>
        <v>0</v>
      </c>
      <c r="L251">
        <f>IF(OR(AND(H251=0,ABS(J251)&gt;=0.01),AND(H251&lt;&gt;0,ABS(K251)&gt;VarianceThreshold)),"Review","OK")</f>
        <v>0</v>
      </c>
      <c r="M251" t="s">
        <v>33</v>
      </c>
    </row>
    <row r="252" spans="1:13">
      <c r="A252" t="s">
        <v>0</v>
      </c>
      <c r="B252" t="s">
        <v>402</v>
      </c>
      <c r="C252" t="s">
        <v>328</v>
      </c>
      <c r="D252" t="s">
        <v>405</v>
      </c>
      <c r="E252" cm="1">
        <f t="array" ref="E252">_xlfn.XLOOKUP(D252,SKU_Master!A:A,SKU_Master!B:B,"Not on master")</f>
        <v>0</v>
      </c>
      <c r="F252" cm="1">
        <f t="array" ref="F252">_xlfn.XLOOKUP(C252,Account_Master!A:A,Account_Master!B:B,"Not on master")</f>
        <v>0</v>
      </c>
      <c r="G252" cm="1">
        <f t="array" ref="G252">_xlfn.XLOOKUP(C252,Account_Master!A:A,Account_Master!C:C,"Not on master")</f>
        <v>0</v>
      </c>
      <c r="H252" s="6">
        <v>9</v>
      </c>
      <c r="I252" s="6">
        <v>9</v>
      </c>
      <c r="J252" s="6">
        <f>I252-H252</f>
        <v>0</v>
      </c>
      <c r="K252" s="5">
        <f>IF(H252=0,"",J252/H252)</f>
        <v>0</v>
      </c>
      <c r="L252">
        <f>IF(OR(AND(H252=0,ABS(J252)&gt;=0.01),AND(H252&lt;&gt;0,ABS(K252)&gt;VarianceThreshold)),"Review","OK")</f>
        <v>0</v>
      </c>
      <c r="M252" t="s">
        <v>33</v>
      </c>
    </row>
    <row r="253" spans="1:13">
      <c r="A253" t="s">
        <v>0</v>
      </c>
      <c r="B253" t="s">
        <v>402</v>
      </c>
      <c r="C253" t="s">
        <v>209</v>
      </c>
      <c r="D253" t="s">
        <v>406</v>
      </c>
      <c r="E253" cm="1">
        <f t="array" ref="E253">_xlfn.XLOOKUP(D253,SKU_Master!A:A,SKU_Master!B:B,"Not on master")</f>
        <v>0</v>
      </c>
      <c r="F253" cm="1">
        <f t="array" ref="F253">_xlfn.XLOOKUP(C253,Account_Master!A:A,Account_Master!B:B,"Not on master")</f>
        <v>0</v>
      </c>
      <c r="G253" cm="1">
        <f t="array" ref="G253">_xlfn.XLOOKUP(C253,Account_Master!A:A,Account_Master!C:C,"Not on master")</f>
        <v>0</v>
      </c>
      <c r="H253" s="6">
        <v>52.5</v>
      </c>
      <c r="I253" s="6">
        <v>52.5</v>
      </c>
      <c r="J253" s="6">
        <f>I253-H253</f>
        <v>0</v>
      </c>
      <c r="K253" s="5">
        <f>IF(H253=0,"",J253/H253)</f>
        <v>0</v>
      </c>
      <c r="L253">
        <f>IF(OR(AND(H253=0,ABS(J253)&gt;=0.01),AND(H253&lt;&gt;0,ABS(K253)&gt;VarianceThreshold)),"Review","OK")</f>
        <v>0</v>
      </c>
      <c r="M253" t="s">
        <v>33</v>
      </c>
    </row>
    <row r="254" spans="1:13">
      <c r="A254" t="s">
        <v>0</v>
      </c>
      <c r="B254" t="s">
        <v>402</v>
      </c>
      <c r="C254" t="s">
        <v>110</v>
      </c>
      <c r="D254" t="s">
        <v>407</v>
      </c>
      <c r="E254" cm="1">
        <f t="array" ref="E254">_xlfn.XLOOKUP(D254,SKU_Master!A:A,SKU_Master!B:B,"Not on master")</f>
        <v>0</v>
      </c>
      <c r="F254" cm="1">
        <f t="array" ref="F254">_xlfn.XLOOKUP(C254,Account_Master!A:A,Account_Master!B:B,"Not on master")</f>
        <v>0</v>
      </c>
      <c r="G254" cm="1">
        <f t="array" ref="G254">_xlfn.XLOOKUP(C254,Account_Master!A:A,Account_Master!C:C,"Not on master")</f>
        <v>0</v>
      </c>
      <c r="H254" s="6">
        <v>72</v>
      </c>
      <c r="I254" s="6">
        <v>72</v>
      </c>
      <c r="J254" s="6">
        <f>I254-H254</f>
        <v>0</v>
      </c>
      <c r="K254" s="5">
        <f>IF(H254=0,"",J254/H254)</f>
        <v>0</v>
      </c>
      <c r="L254">
        <f>IF(OR(AND(H254=0,ABS(J254)&gt;=0.01),AND(H254&lt;&gt;0,ABS(K254)&gt;VarianceThreshold)),"Review","OK")</f>
        <v>0</v>
      </c>
      <c r="M254" t="s">
        <v>33</v>
      </c>
    </row>
    <row r="255" spans="1:13">
      <c r="A255" t="s">
        <v>0</v>
      </c>
      <c r="B255" t="s">
        <v>402</v>
      </c>
      <c r="C255" t="s">
        <v>375</v>
      </c>
      <c r="D255" t="s">
        <v>408</v>
      </c>
      <c r="E255" cm="1">
        <f t="array" ref="E255">_xlfn.XLOOKUP(D255,SKU_Master!A:A,SKU_Master!B:B,"Not on master")</f>
        <v>0</v>
      </c>
      <c r="F255" cm="1">
        <f t="array" ref="F255">_xlfn.XLOOKUP(C255,Account_Master!A:A,Account_Master!B:B,"Not on master")</f>
        <v>0</v>
      </c>
      <c r="G255" cm="1">
        <f t="array" ref="G255">_xlfn.XLOOKUP(C255,Account_Master!A:A,Account_Master!C:C,"Not on master")</f>
        <v>0</v>
      </c>
      <c r="H255" s="6">
        <v>2.25</v>
      </c>
      <c r="I255" s="6">
        <v>2.25</v>
      </c>
      <c r="J255" s="6">
        <f>I255-H255</f>
        <v>0</v>
      </c>
      <c r="K255" s="5">
        <f>IF(H255=0,"",J255/H255)</f>
        <v>0</v>
      </c>
      <c r="L255">
        <f>IF(OR(AND(H255=0,ABS(J255)&gt;=0.01),AND(H255&lt;&gt;0,ABS(K255)&gt;VarianceThreshold)),"Review","OK")</f>
        <v>0</v>
      </c>
      <c r="M255" t="s">
        <v>33</v>
      </c>
    </row>
    <row r="256" spans="1:13">
      <c r="A256" t="s">
        <v>0</v>
      </c>
      <c r="B256" t="s">
        <v>402</v>
      </c>
      <c r="C256" t="s">
        <v>110</v>
      </c>
      <c r="D256" t="s">
        <v>409</v>
      </c>
      <c r="E256" cm="1">
        <f t="array" ref="E256">_xlfn.XLOOKUP(D256,SKU_Master!A:A,SKU_Master!B:B,"Not on master")</f>
        <v>0</v>
      </c>
      <c r="F256" cm="1">
        <f t="array" ref="F256">_xlfn.XLOOKUP(C256,Account_Master!A:A,Account_Master!B:B,"Not on master")</f>
        <v>0</v>
      </c>
      <c r="G256" cm="1">
        <f t="array" ref="G256">_xlfn.XLOOKUP(C256,Account_Master!A:A,Account_Master!C:C,"Not on master")</f>
        <v>0</v>
      </c>
      <c r="H256" s="6">
        <v>279</v>
      </c>
      <c r="I256" s="6">
        <v>279</v>
      </c>
      <c r="J256" s="6">
        <f>I256-H256</f>
        <v>0</v>
      </c>
      <c r="K256" s="5">
        <f>IF(H256=0,"",J256/H256)</f>
        <v>0</v>
      </c>
      <c r="L256">
        <f>IF(OR(AND(H256=0,ABS(J256)&gt;=0.01),AND(H256&lt;&gt;0,ABS(K256)&gt;VarianceThreshold)),"Review","OK")</f>
        <v>0</v>
      </c>
      <c r="M256" t="s">
        <v>33</v>
      </c>
    </row>
    <row r="257" spans="1:13">
      <c r="A257" t="s">
        <v>0</v>
      </c>
      <c r="B257" t="s">
        <v>410</v>
      </c>
      <c r="C257" t="s">
        <v>126</v>
      </c>
      <c r="D257" t="s">
        <v>411</v>
      </c>
      <c r="E257" cm="1">
        <f t="array" ref="E257">_xlfn.XLOOKUP(D257,SKU_Master!A:A,SKU_Master!B:B,"Not on master")</f>
        <v>0</v>
      </c>
      <c r="F257" cm="1">
        <f t="array" ref="F257">_xlfn.XLOOKUP(C257,Account_Master!A:A,Account_Master!B:B,"Not on master")</f>
        <v>0</v>
      </c>
      <c r="G257" cm="1">
        <f t="array" ref="G257">_xlfn.XLOOKUP(C257,Account_Master!A:A,Account_Master!C:C,"Not on master")</f>
        <v>0</v>
      </c>
      <c r="H257" s="6">
        <v>4.8</v>
      </c>
      <c r="I257" s="6">
        <v>4.8</v>
      </c>
      <c r="J257" s="6">
        <f>I257-H257</f>
        <v>0</v>
      </c>
      <c r="K257" s="5">
        <f>IF(H257=0,"",J257/H257)</f>
        <v>0</v>
      </c>
      <c r="L257">
        <f>IF(OR(AND(H257=0,ABS(J257)&gt;=0.01),AND(H257&lt;&gt;0,ABS(K257)&gt;VarianceThreshold)),"Review","OK")</f>
        <v>0</v>
      </c>
      <c r="M257" t="s">
        <v>33</v>
      </c>
    </row>
    <row r="258" spans="1:13">
      <c r="A258" t="s">
        <v>0</v>
      </c>
      <c r="B258" t="s">
        <v>410</v>
      </c>
      <c r="C258" t="s">
        <v>412</v>
      </c>
      <c r="D258" t="s">
        <v>413</v>
      </c>
      <c r="E258" cm="1">
        <f t="array" ref="E258">_xlfn.XLOOKUP(D258,SKU_Master!A:A,SKU_Master!B:B,"Not on master")</f>
        <v>0</v>
      </c>
      <c r="F258" cm="1">
        <f t="array" ref="F258">_xlfn.XLOOKUP(C258,Account_Master!A:A,Account_Master!B:B,"Not on master")</f>
        <v>0</v>
      </c>
      <c r="G258" cm="1">
        <f t="array" ref="G258">_xlfn.XLOOKUP(C258,Account_Master!A:A,Account_Master!C:C,"Not on master")</f>
        <v>0</v>
      </c>
      <c r="H258" s="6">
        <v>21.75</v>
      </c>
      <c r="I258" s="6">
        <v>21.75</v>
      </c>
      <c r="J258" s="6">
        <f>I258-H258</f>
        <v>0</v>
      </c>
      <c r="K258" s="5">
        <f>IF(H258=0,"",J258/H258)</f>
        <v>0</v>
      </c>
      <c r="L258">
        <f>IF(OR(AND(H258=0,ABS(J258)&gt;=0.01),AND(H258&lt;&gt;0,ABS(K258)&gt;VarianceThreshold)),"Review","OK")</f>
        <v>0</v>
      </c>
      <c r="M258" t="s">
        <v>33</v>
      </c>
    </row>
    <row r="259" spans="1:13">
      <c r="A259" t="s">
        <v>0</v>
      </c>
      <c r="B259" t="s">
        <v>410</v>
      </c>
      <c r="C259" t="s">
        <v>126</v>
      </c>
      <c r="D259" t="s">
        <v>414</v>
      </c>
      <c r="E259" cm="1">
        <f t="array" ref="E259">_xlfn.XLOOKUP(D259,SKU_Master!A:A,SKU_Master!B:B,"Not on master")</f>
        <v>0</v>
      </c>
      <c r="F259" cm="1">
        <f t="array" ref="F259">_xlfn.XLOOKUP(C259,Account_Master!A:A,Account_Master!B:B,"Not on master")</f>
        <v>0</v>
      </c>
      <c r="G259" cm="1">
        <f t="array" ref="G259">_xlfn.XLOOKUP(C259,Account_Master!A:A,Account_Master!C:C,"Not on master")</f>
        <v>0</v>
      </c>
      <c r="H259" s="6">
        <v>0.6</v>
      </c>
      <c r="I259" s="6">
        <v>0.6</v>
      </c>
      <c r="J259" s="6">
        <f>I259-H259</f>
        <v>0</v>
      </c>
      <c r="K259" s="5">
        <f>IF(H259=0,"",J259/H259)</f>
        <v>0</v>
      </c>
      <c r="L259">
        <f>IF(OR(AND(H259=0,ABS(J259)&gt;=0.01),AND(H259&lt;&gt;0,ABS(K259)&gt;VarianceThreshold)),"Review","OK")</f>
        <v>0</v>
      </c>
      <c r="M259" t="s">
        <v>33</v>
      </c>
    </row>
    <row r="260" spans="1:13">
      <c r="A260" t="s">
        <v>0</v>
      </c>
      <c r="B260" t="s">
        <v>410</v>
      </c>
      <c r="C260" t="s">
        <v>31</v>
      </c>
      <c r="D260" t="s">
        <v>415</v>
      </c>
      <c r="E260" cm="1">
        <f t="array" ref="E260">_xlfn.XLOOKUP(D260,SKU_Master!A:A,SKU_Master!B:B,"Not on master")</f>
        <v>0</v>
      </c>
      <c r="F260" cm="1">
        <f t="array" ref="F260">_xlfn.XLOOKUP(C260,Account_Master!A:A,Account_Master!B:B,"Not on master")</f>
        <v>0</v>
      </c>
      <c r="G260" cm="1">
        <f t="array" ref="G260">_xlfn.XLOOKUP(C260,Account_Master!A:A,Account_Master!C:C,"Not on master")</f>
        <v>0</v>
      </c>
      <c r="H260" s="6">
        <v>12</v>
      </c>
      <c r="I260" s="6">
        <v>12</v>
      </c>
      <c r="J260" s="6">
        <f>I260-H260</f>
        <v>0</v>
      </c>
      <c r="K260" s="5">
        <f>IF(H260=0,"",J260/H260)</f>
        <v>0</v>
      </c>
      <c r="L260">
        <f>IF(OR(AND(H260=0,ABS(J260)&gt;=0.01),AND(H260&lt;&gt;0,ABS(K260)&gt;VarianceThreshold)),"Review","OK")</f>
        <v>0</v>
      </c>
      <c r="M260" t="s">
        <v>33</v>
      </c>
    </row>
    <row r="261" spans="1:13">
      <c r="A261" t="s">
        <v>0</v>
      </c>
      <c r="B261" t="s">
        <v>416</v>
      </c>
      <c r="C261" t="s">
        <v>84</v>
      </c>
      <c r="D261" t="s">
        <v>417</v>
      </c>
      <c r="E261" cm="1">
        <f t="array" ref="E261">_xlfn.XLOOKUP(D261,SKU_Master!A:A,SKU_Master!B:B,"Not on master")</f>
        <v>0</v>
      </c>
      <c r="F261" cm="1">
        <f t="array" ref="F261">_xlfn.XLOOKUP(C261,Account_Master!A:A,Account_Master!B:B,"Not on master")</f>
        <v>0</v>
      </c>
      <c r="G261" cm="1">
        <f t="array" ref="G261">_xlfn.XLOOKUP(C261,Account_Master!A:A,Account_Master!C:C,"Not on master")</f>
        <v>0</v>
      </c>
      <c r="H261" s="6">
        <v>13.5</v>
      </c>
      <c r="I261" s="6">
        <v>13.5</v>
      </c>
      <c r="J261" s="6">
        <f>I261-H261</f>
        <v>0</v>
      </c>
      <c r="K261" s="5">
        <f>IF(H261=0,"",J261/H261)</f>
        <v>0</v>
      </c>
      <c r="L261">
        <f>IF(OR(AND(H261=0,ABS(J261)&gt;=0.01),AND(H261&lt;&gt;0,ABS(K261)&gt;VarianceThreshold)),"Review","OK")</f>
        <v>0</v>
      </c>
      <c r="M261" t="s">
        <v>33</v>
      </c>
    </row>
    <row r="262" spans="1:13">
      <c r="A262" t="s">
        <v>0</v>
      </c>
      <c r="B262" t="s">
        <v>416</v>
      </c>
      <c r="C262" t="s">
        <v>43</v>
      </c>
      <c r="D262" t="s">
        <v>418</v>
      </c>
      <c r="E262" cm="1">
        <f t="array" ref="E262">_xlfn.XLOOKUP(D262,SKU_Master!A:A,SKU_Master!B:B,"Not on master")</f>
        <v>0</v>
      </c>
      <c r="F262" cm="1">
        <f t="array" ref="F262">_xlfn.XLOOKUP(C262,Account_Master!A:A,Account_Master!B:B,"Not on master")</f>
        <v>0</v>
      </c>
      <c r="G262" cm="1">
        <f t="array" ref="G262">_xlfn.XLOOKUP(C262,Account_Master!A:A,Account_Master!C:C,"Not on master")</f>
        <v>0</v>
      </c>
      <c r="H262" s="6">
        <v>13.5</v>
      </c>
      <c r="I262" s="6">
        <v>13.5</v>
      </c>
      <c r="J262" s="6">
        <f>I262-H262</f>
        <v>0</v>
      </c>
      <c r="K262" s="5">
        <f>IF(H262=0,"",J262/H262)</f>
        <v>0</v>
      </c>
      <c r="L262">
        <f>IF(OR(AND(H262=0,ABS(J262)&gt;=0.01),AND(H262&lt;&gt;0,ABS(K262)&gt;VarianceThreshold)),"Review","OK")</f>
        <v>0</v>
      </c>
      <c r="M262" t="s">
        <v>33</v>
      </c>
    </row>
    <row r="263" spans="1:13">
      <c r="A263" t="s">
        <v>0</v>
      </c>
      <c r="B263" t="s">
        <v>416</v>
      </c>
      <c r="C263" t="s">
        <v>209</v>
      </c>
      <c r="D263" t="s">
        <v>419</v>
      </c>
      <c r="E263" cm="1">
        <f t="array" ref="E263">_xlfn.XLOOKUP(D263,SKU_Master!A:A,SKU_Master!B:B,"Not on master")</f>
        <v>0</v>
      </c>
      <c r="F263" cm="1">
        <f t="array" ref="F263">_xlfn.XLOOKUP(C263,Account_Master!A:A,Account_Master!B:B,"Not on master")</f>
        <v>0</v>
      </c>
      <c r="G263" cm="1">
        <f t="array" ref="G263">_xlfn.XLOOKUP(C263,Account_Master!A:A,Account_Master!C:C,"Not on master")</f>
        <v>0</v>
      </c>
      <c r="H263" s="6">
        <v>0.1</v>
      </c>
      <c r="I263" s="6">
        <v>0.1</v>
      </c>
      <c r="J263" s="6">
        <f>I263-H263</f>
        <v>0</v>
      </c>
      <c r="K263" s="5">
        <f>IF(H263=0,"",J263/H263)</f>
        <v>0</v>
      </c>
      <c r="L263">
        <f>IF(OR(AND(H263=0,ABS(J263)&gt;=0.01),AND(H263&lt;&gt;0,ABS(K263)&gt;VarianceThreshold)),"Review","OK")</f>
        <v>0</v>
      </c>
      <c r="M263" t="s">
        <v>33</v>
      </c>
    </row>
    <row r="264" spans="1:13">
      <c r="A264" t="s">
        <v>0</v>
      </c>
      <c r="B264" t="s">
        <v>416</v>
      </c>
      <c r="C264" t="s">
        <v>50</v>
      </c>
      <c r="D264" t="s">
        <v>420</v>
      </c>
      <c r="E264" cm="1">
        <f t="array" ref="E264">_xlfn.XLOOKUP(D264,SKU_Master!A:A,SKU_Master!B:B,"Not on master")</f>
        <v>0</v>
      </c>
      <c r="F264" cm="1">
        <f t="array" ref="F264">_xlfn.XLOOKUP(C264,Account_Master!A:A,Account_Master!B:B,"Not on master")</f>
        <v>0</v>
      </c>
      <c r="G264" cm="1">
        <f t="array" ref="G264">_xlfn.XLOOKUP(C264,Account_Master!A:A,Account_Master!C:C,"Not on master")</f>
        <v>0</v>
      </c>
      <c r="H264" s="6">
        <v>63</v>
      </c>
      <c r="I264" s="6">
        <v>63</v>
      </c>
      <c r="J264" s="6">
        <f>I264-H264</f>
        <v>0</v>
      </c>
      <c r="K264" s="5">
        <f>IF(H264=0,"",J264/H264)</f>
        <v>0</v>
      </c>
      <c r="L264">
        <f>IF(OR(AND(H264=0,ABS(J264)&gt;=0.01),AND(H264&lt;&gt;0,ABS(K264)&gt;VarianceThreshold)),"Review","OK")</f>
        <v>0</v>
      </c>
      <c r="M264" t="s">
        <v>33</v>
      </c>
    </row>
    <row r="265" spans="1:13">
      <c r="A265" t="s">
        <v>0</v>
      </c>
      <c r="B265" t="s">
        <v>416</v>
      </c>
      <c r="C265" t="s">
        <v>421</v>
      </c>
      <c r="D265" t="s">
        <v>422</v>
      </c>
      <c r="E265" cm="1">
        <f t="array" ref="E265">_xlfn.XLOOKUP(D265,SKU_Master!A:A,SKU_Master!B:B,"Not on master")</f>
        <v>0</v>
      </c>
      <c r="F265" cm="1">
        <f t="array" ref="F265">_xlfn.XLOOKUP(C265,Account_Master!A:A,Account_Master!B:B,"Not on master")</f>
        <v>0</v>
      </c>
      <c r="G265" cm="1">
        <f t="array" ref="G265">_xlfn.XLOOKUP(C265,Account_Master!A:A,Account_Master!C:C,"Not on master")</f>
        <v>0</v>
      </c>
      <c r="H265" s="6">
        <v>17</v>
      </c>
      <c r="I265" s="6">
        <v>17</v>
      </c>
      <c r="J265" s="6">
        <f>I265-H265</f>
        <v>0</v>
      </c>
      <c r="K265" s="5">
        <f>IF(H265=0,"",J265/H265)</f>
        <v>0</v>
      </c>
      <c r="L265">
        <f>IF(OR(AND(H265=0,ABS(J265)&gt;=0.01),AND(H265&lt;&gt;0,ABS(K265)&gt;VarianceThreshold)),"Review","OK")</f>
        <v>0</v>
      </c>
      <c r="M265" t="s">
        <v>33</v>
      </c>
    </row>
    <row r="266" spans="1:13">
      <c r="A266" t="s">
        <v>0</v>
      </c>
      <c r="B266" t="s">
        <v>416</v>
      </c>
      <c r="C266" t="s">
        <v>126</v>
      </c>
      <c r="D266" t="s">
        <v>423</v>
      </c>
      <c r="E266" cm="1">
        <f t="array" ref="E266">_xlfn.XLOOKUP(D266,SKU_Master!A:A,SKU_Master!B:B,"Not on master")</f>
        <v>0</v>
      </c>
      <c r="F266" cm="1">
        <f t="array" ref="F266">_xlfn.XLOOKUP(C266,Account_Master!A:A,Account_Master!B:B,"Not on master")</f>
        <v>0</v>
      </c>
      <c r="G266" cm="1">
        <f t="array" ref="G266">_xlfn.XLOOKUP(C266,Account_Master!A:A,Account_Master!C:C,"Not on master")</f>
        <v>0</v>
      </c>
      <c r="H266" s="6">
        <v>18</v>
      </c>
      <c r="I266" s="6">
        <v>18</v>
      </c>
      <c r="J266" s="6">
        <f>I266-H266</f>
        <v>0</v>
      </c>
      <c r="K266" s="5">
        <f>IF(H266=0,"",J266/H266)</f>
        <v>0</v>
      </c>
      <c r="L266">
        <f>IF(OR(AND(H266=0,ABS(J266)&gt;=0.01),AND(H266&lt;&gt;0,ABS(K266)&gt;VarianceThreshold)),"Review","OK")</f>
        <v>0</v>
      </c>
      <c r="M266" t="s">
        <v>33</v>
      </c>
    </row>
    <row r="267" spans="1:13">
      <c r="A267" t="s">
        <v>0</v>
      </c>
      <c r="B267" t="s">
        <v>416</v>
      </c>
      <c r="C267" t="s">
        <v>82</v>
      </c>
      <c r="D267" t="s">
        <v>424</v>
      </c>
      <c r="E267" cm="1">
        <f t="array" ref="E267">_xlfn.XLOOKUP(D267,SKU_Master!A:A,SKU_Master!B:B,"Not on master")</f>
        <v>0</v>
      </c>
      <c r="F267" cm="1">
        <f t="array" ref="F267">_xlfn.XLOOKUP(C267,Account_Master!A:A,Account_Master!B:B,"Not on master")</f>
        <v>0</v>
      </c>
      <c r="G267" cm="1">
        <f t="array" ref="G267">_xlfn.XLOOKUP(C267,Account_Master!A:A,Account_Master!C:C,"Not on master")</f>
        <v>0</v>
      </c>
      <c r="H267" s="6">
        <v>9</v>
      </c>
      <c r="I267" s="6">
        <v>9</v>
      </c>
      <c r="J267" s="6">
        <f>I267-H267</f>
        <v>0</v>
      </c>
      <c r="K267" s="5">
        <f>IF(H267=0,"",J267/H267)</f>
        <v>0</v>
      </c>
      <c r="L267">
        <f>IF(OR(AND(H267=0,ABS(J267)&gt;=0.01),AND(H267&lt;&gt;0,ABS(K267)&gt;VarianceThreshold)),"Review","OK")</f>
        <v>0</v>
      </c>
      <c r="M267" t="s">
        <v>33</v>
      </c>
    </row>
    <row r="268" spans="1:13">
      <c r="A268" t="s">
        <v>0</v>
      </c>
      <c r="B268" t="s">
        <v>416</v>
      </c>
      <c r="C268" t="s">
        <v>110</v>
      </c>
      <c r="D268" t="s">
        <v>425</v>
      </c>
      <c r="E268" cm="1">
        <f t="array" ref="E268">_xlfn.XLOOKUP(D268,SKU_Master!A:A,SKU_Master!B:B,"Not on master")</f>
        <v>0</v>
      </c>
      <c r="F268" cm="1">
        <f t="array" ref="F268">_xlfn.XLOOKUP(C268,Account_Master!A:A,Account_Master!B:B,"Not on master")</f>
        <v>0</v>
      </c>
      <c r="G268" cm="1">
        <f t="array" ref="G268">_xlfn.XLOOKUP(C268,Account_Master!A:A,Account_Master!C:C,"Not on master")</f>
        <v>0</v>
      </c>
      <c r="H268" s="6">
        <v>102</v>
      </c>
      <c r="I268" s="6">
        <v>102</v>
      </c>
      <c r="J268" s="6">
        <f>I268-H268</f>
        <v>0</v>
      </c>
      <c r="K268" s="5">
        <f>IF(H268=0,"",J268/H268)</f>
        <v>0</v>
      </c>
      <c r="L268">
        <f>IF(OR(AND(H268=0,ABS(J268)&gt;=0.01),AND(H268&lt;&gt;0,ABS(K268)&gt;VarianceThreshold)),"Review","OK")</f>
        <v>0</v>
      </c>
      <c r="M268" t="s">
        <v>33</v>
      </c>
    </row>
    <row r="269" spans="1:13">
      <c r="A269" t="s">
        <v>0</v>
      </c>
      <c r="B269" t="s">
        <v>416</v>
      </c>
      <c r="C269" t="s">
        <v>110</v>
      </c>
      <c r="D269" t="s">
        <v>426</v>
      </c>
      <c r="E269" cm="1">
        <f t="array" ref="E269">_xlfn.XLOOKUP(D269,SKU_Master!A:A,SKU_Master!B:B,"Not on master")</f>
        <v>0</v>
      </c>
      <c r="F269" cm="1">
        <f t="array" ref="F269">_xlfn.XLOOKUP(C269,Account_Master!A:A,Account_Master!B:B,"Not on master")</f>
        <v>0</v>
      </c>
      <c r="G269" cm="1">
        <f t="array" ref="G269">_xlfn.XLOOKUP(C269,Account_Master!A:A,Account_Master!C:C,"Not on master")</f>
        <v>0</v>
      </c>
      <c r="H269" s="6">
        <v>156</v>
      </c>
      <c r="I269" s="6">
        <v>156</v>
      </c>
      <c r="J269" s="6">
        <f>I269-H269</f>
        <v>0</v>
      </c>
      <c r="K269" s="5">
        <f>IF(H269=0,"",J269/H269)</f>
        <v>0</v>
      </c>
      <c r="L269">
        <f>IF(OR(AND(H269=0,ABS(J269)&gt;=0.01),AND(H269&lt;&gt;0,ABS(K269)&gt;VarianceThreshold)),"Review","OK")</f>
        <v>0</v>
      </c>
      <c r="M269" t="s">
        <v>33</v>
      </c>
    </row>
    <row r="270" spans="1:13">
      <c r="A270" t="s">
        <v>0</v>
      </c>
      <c r="B270" t="s">
        <v>416</v>
      </c>
      <c r="C270" t="s">
        <v>183</v>
      </c>
      <c r="D270" t="s">
        <v>427</v>
      </c>
      <c r="E270" cm="1">
        <f t="array" ref="E270">_xlfn.XLOOKUP(D270,SKU_Master!A:A,SKU_Master!B:B,"Not on master")</f>
        <v>0</v>
      </c>
      <c r="F270" cm="1">
        <f t="array" ref="F270">_xlfn.XLOOKUP(C270,Account_Master!A:A,Account_Master!B:B,"Not on master")</f>
        <v>0</v>
      </c>
      <c r="G270" cm="1">
        <f t="array" ref="G270">_xlfn.XLOOKUP(C270,Account_Master!A:A,Account_Master!C:C,"Not on master")</f>
        <v>0</v>
      </c>
      <c r="H270" s="6">
        <v>9.75</v>
      </c>
      <c r="I270" s="6">
        <v>9.75</v>
      </c>
      <c r="J270" s="6">
        <f>I270-H270</f>
        <v>0</v>
      </c>
      <c r="K270" s="5">
        <f>IF(H270=0,"",J270/H270)</f>
        <v>0</v>
      </c>
      <c r="L270">
        <f>IF(OR(AND(H270=0,ABS(J270)&gt;=0.01),AND(H270&lt;&gt;0,ABS(K270)&gt;VarianceThreshold)),"Review","OK")</f>
        <v>0</v>
      </c>
      <c r="M270" t="s">
        <v>33</v>
      </c>
    </row>
    <row r="271" spans="1:13">
      <c r="A271" t="s">
        <v>0</v>
      </c>
      <c r="B271" t="s">
        <v>428</v>
      </c>
      <c r="C271" t="s">
        <v>377</v>
      </c>
      <c r="D271" t="s">
        <v>429</v>
      </c>
      <c r="E271" cm="1">
        <f t="array" ref="E271">_xlfn.XLOOKUP(D271,SKU_Master!A:A,SKU_Master!B:B,"Not on master")</f>
        <v>0</v>
      </c>
      <c r="F271" cm="1">
        <f t="array" ref="F271">_xlfn.XLOOKUP(C271,Account_Master!A:A,Account_Master!B:B,"Not on master")</f>
        <v>0</v>
      </c>
      <c r="G271" cm="1">
        <f t="array" ref="G271">_xlfn.XLOOKUP(C271,Account_Master!A:A,Account_Master!C:C,"Not on master")</f>
        <v>0</v>
      </c>
      <c r="H271" s="6">
        <v>44.25</v>
      </c>
      <c r="I271" s="6">
        <v>44.25</v>
      </c>
      <c r="J271" s="6">
        <f>I271-H271</f>
        <v>0</v>
      </c>
      <c r="K271" s="5">
        <f>IF(H271=0,"",J271/H271)</f>
        <v>0</v>
      </c>
      <c r="L271">
        <f>IF(OR(AND(H271=0,ABS(J271)&gt;=0.01),AND(H271&lt;&gt;0,ABS(K271)&gt;VarianceThreshold)),"Review","OK")</f>
        <v>0</v>
      </c>
      <c r="M271" t="s">
        <v>33</v>
      </c>
    </row>
    <row r="272" spans="1:13">
      <c r="A272" t="s">
        <v>0</v>
      </c>
      <c r="B272" t="s">
        <v>428</v>
      </c>
      <c r="C272" t="s">
        <v>337</v>
      </c>
      <c r="D272" t="s">
        <v>430</v>
      </c>
      <c r="E272" cm="1">
        <f t="array" ref="E272">_xlfn.XLOOKUP(D272,SKU_Master!A:A,SKU_Master!B:B,"Not on master")</f>
        <v>0</v>
      </c>
      <c r="F272" cm="1">
        <f t="array" ref="F272">_xlfn.XLOOKUP(C272,Account_Master!A:A,Account_Master!B:B,"Not on master")</f>
        <v>0</v>
      </c>
      <c r="G272" cm="1">
        <f t="array" ref="G272">_xlfn.XLOOKUP(C272,Account_Master!A:A,Account_Master!C:C,"Not on master")</f>
        <v>0</v>
      </c>
      <c r="H272" s="6">
        <v>9</v>
      </c>
      <c r="I272" s="6">
        <v>9</v>
      </c>
      <c r="J272" s="6">
        <f>I272-H272</f>
        <v>0</v>
      </c>
      <c r="K272" s="5">
        <f>IF(H272=0,"",J272/H272)</f>
        <v>0</v>
      </c>
      <c r="L272">
        <f>IF(OR(AND(H272=0,ABS(J272)&gt;=0.01),AND(H272&lt;&gt;0,ABS(K272)&gt;VarianceThreshold)),"Review","OK")</f>
        <v>0</v>
      </c>
      <c r="M272" t="s">
        <v>33</v>
      </c>
    </row>
    <row r="273" spans="1:13">
      <c r="A273" t="s">
        <v>0</v>
      </c>
      <c r="B273" t="s">
        <v>428</v>
      </c>
      <c r="C273" t="s">
        <v>209</v>
      </c>
      <c r="D273" t="s">
        <v>431</v>
      </c>
      <c r="E273" cm="1">
        <f t="array" ref="E273">_xlfn.XLOOKUP(D273,SKU_Master!A:A,SKU_Master!B:B,"Not on master")</f>
        <v>0</v>
      </c>
      <c r="F273" cm="1">
        <f t="array" ref="F273">_xlfn.XLOOKUP(C273,Account_Master!A:A,Account_Master!B:B,"Not on master")</f>
        <v>0</v>
      </c>
      <c r="G273" cm="1">
        <f t="array" ref="G273">_xlfn.XLOOKUP(C273,Account_Master!A:A,Account_Master!C:C,"Not on master")</f>
        <v>0</v>
      </c>
      <c r="H273" s="6">
        <v>6</v>
      </c>
      <c r="I273" s="6">
        <v>6</v>
      </c>
      <c r="J273" s="6">
        <f>I273-H273</f>
        <v>0</v>
      </c>
      <c r="K273" s="5">
        <f>IF(H273=0,"",J273/H273)</f>
        <v>0</v>
      </c>
      <c r="L273">
        <f>IF(OR(AND(H273=0,ABS(J273)&gt;=0.01),AND(H273&lt;&gt;0,ABS(K273)&gt;VarianceThreshold)),"Review","OK")</f>
        <v>0</v>
      </c>
      <c r="M273" t="s">
        <v>33</v>
      </c>
    </row>
    <row r="274" spans="1:13">
      <c r="A274" t="s">
        <v>0</v>
      </c>
      <c r="B274" t="s">
        <v>428</v>
      </c>
      <c r="C274" t="s">
        <v>110</v>
      </c>
      <c r="D274" t="s">
        <v>432</v>
      </c>
      <c r="E274" cm="1">
        <f t="array" ref="E274">_xlfn.XLOOKUP(D274,SKU_Master!A:A,SKU_Master!B:B,"Not on master")</f>
        <v>0</v>
      </c>
      <c r="F274" cm="1">
        <f t="array" ref="F274">_xlfn.XLOOKUP(C274,Account_Master!A:A,Account_Master!B:B,"Not on master")</f>
        <v>0</v>
      </c>
      <c r="G274" cm="1">
        <f t="array" ref="G274">_xlfn.XLOOKUP(C274,Account_Master!A:A,Account_Master!C:C,"Not on master")</f>
        <v>0</v>
      </c>
      <c r="H274" s="6">
        <v>14.25</v>
      </c>
      <c r="I274" s="6">
        <v>14.25</v>
      </c>
      <c r="J274" s="6">
        <f>I274-H274</f>
        <v>0</v>
      </c>
      <c r="K274" s="5">
        <f>IF(H274=0,"",J274/H274)</f>
        <v>0</v>
      </c>
      <c r="L274">
        <f>IF(OR(AND(H274=0,ABS(J274)&gt;=0.01),AND(H274&lt;&gt;0,ABS(K274)&gt;VarianceThreshold)),"Review","OK")</f>
        <v>0</v>
      </c>
      <c r="M274" t="s">
        <v>33</v>
      </c>
    </row>
    <row r="275" spans="1:13">
      <c r="A275" t="s">
        <v>0</v>
      </c>
      <c r="B275" t="s">
        <v>428</v>
      </c>
      <c r="C275" t="s">
        <v>82</v>
      </c>
      <c r="D275" t="s">
        <v>433</v>
      </c>
      <c r="E275" cm="1">
        <f t="array" ref="E275">_xlfn.XLOOKUP(D275,SKU_Master!A:A,SKU_Master!B:B,"Not on master")</f>
        <v>0</v>
      </c>
      <c r="F275" cm="1">
        <f t="array" ref="F275">_xlfn.XLOOKUP(C275,Account_Master!A:A,Account_Master!B:B,"Not on master")</f>
        <v>0</v>
      </c>
      <c r="G275" cm="1">
        <f t="array" ref="G275">_xlfn.XLOOKUP(C275,Account_Master!A:A,Account_Master!C:C,"Not on master")</f>
        <v>0</v>
      </c>
      <c r="H275" s="6">
        <v>18</v>
      </c>
      <c r="I275" s="6">
        <v>18</v>
      </c>
      <c r="J275" s="6">
        <f>I275-H275</f>
        <v>0</v>
      </c>
      <c r="K275" s="5">
        <f>IF(H275=0,"",J275/H275)</f>
        <v>0</v>
      </c>
      <c r="L275">
        <f>IF(OR(AND(H275=0,ABS(J275)&gt;=0.01),AND(H275&lt;&gt;0,ABS(K275)&gt;VarianceThreshold)),"Review","OK")</f>
        <v>0</v>
      </c>
      <c r="M275" t="s">
        <v>33</v>
      </c>
    </row>
    <row r="276" spans="1:13">
      <c r="A276" t="s">
        <v>0</v>
      </c>
      <c r="B276" t="s">
        <v>428</v>
      </c>
      <c r="C276" t="s">
        <v>31</v>
      </c>
      <c r="D276" t="s">
        <v>434</v>
      </c>
      <c r="E276" cm="1">
        <f t="array" ref="E276">_xlfn.XLOOKUP(D276,SKU_Master!A:A,SKU_Master!B:B,"Not on master")</f>
        <v>0</v>
      </c>
      <c r="F276" cm="1">
        <f t="array" ref="F276">_xlfn.XLOOKUP(C276,Account_Master!A:A,Account_Master!B:B,"Not on master")</f>
        <v>0</v>
      </c>
      <c r="G276" cm="1">
        <f t="array" ref="G276">_xlfn.XLOOKUP(C276,Account_Master!A:A,Account_Master!C:C,"Not on master")</f>
        <v>0</v>
      </c>
      <c r="H276" s="6">
        <v>9</v>
      </c>
      <c r="I276" s="6">
        <v>9</v>
      </c>
      <c r="J276" s="6">
        <f>I276-H276</f>
        <v>0</v>
      </c>
      <c r="K276" s="5">
        <f>IF(H276=0,"",J276/H276)</f>
        <v>0</v>
      </c>
      <c r="L276">
        <f>IF(OR(AND(H276=0,ABS(J276)&gt;=0.01),AND(H276&lt;&gt;0,ABS(K276)&gt;VarianceThreshold)),"Review","OK")</f>
        <v>0</v>
      </c>
      <c r="M276" t="s">
        <v>33</v>
      </c>
    </row>
    <row r="277" spans="1:13">
      <c r="A277" t="s">
        <v>0</v>
      </c>
      <c r="B277" t="s">
        <v>428</v>
      </c>
      <c r="C277" t="s">
        <v>82</v>
      </c>
      <c r="D277" t="s">
        <v>435</v>
      </c>
      <c r="E277" cm="1">
        <f t="array" ref="E277">_xlfn.XLOOKUP(D277,SKU_Master!A:A,SKU_Master!B:B,"Not on master")</f>
        <v>0</v>
      </c>
      <c r="F277" cm="1">
        <f t="array" ref="F277">_xlfn.XLOOKUP(C277,Account_Master!A:A,Account_Master!B:B,"Not on master")</f>
        <v>0</v>
      </c>
      <c r="G277" cm="1">
        <f t="array" ref="G277">_xlfn.XLOOKUP(C277,Account_Master!A:A,Account_Master!C:C,"Not on master")</f>
        <v>0</v>
      </c>
      <c r="H277" s="6">
        <v>19.5</v>
      </c>
      <c r="I277" s="6">
        <v>19.5</v>
      </c>
      <c r="J277" s="6">
        <f>I277-H277</f>
        <v>0</v>
      </c>
      <c r="K277" s="5">
        <f>IF(H277=0,"",J277/H277)</f>
        <v>0</v>
      </c>
      <c r="L277">
        <f>IF(OR(AND(H277=0,ABS(J277)&gt;=0.01),AND(H277&lt;&gt;0,ABS(K277)&gt;VarianceThreshold)),"Review","OK")</f>
        <v>0</v>
      </c>
      <c r="M277" t="s">
        <v>33</v>
      </c>
    </row>
    <row r="278" spans="1:13">
      <c r="A278" t="s">
        <v>0</v>
      </c>
      <c r="B278" t="s">
        <v>436</v>
      </c>
      <c r="C278" t="s">
        <v>108</v>
      </c>
      <c r="D278" t="s">
        <v>437</v>
      </c>
      <c r="E278" cm="1">
        <f t="array" ref="E278">_xlfn.XLOOKUP(D278,SKU_Master!A:A,SKU_Master!B:B,"Not on master")</f>
        <v>0</v>
      </c>
      <c r="F278" cm="1">
        <f t="array" ref="F278">_xlfn.XLOOKUP(C278,Account_Master!A:A,Account_Master!B:B,"Not on master")</f>
        <v>0</v>
      </c>
      <c r="G278" cm="1">
        <f t="array" ref="G278">_xlfn.XLOOKUP(C278,Account_Master!A:A,Account_Master!C:C,"Not on master")</f>
        <v>0</v>
      </c>
      <c r="H278" s="6">
        <v>21</v>
      </c>
      <c r="I278" s="6">
        <v>21</v>
      </c>
      <c r="J278" s="6">
        <f>I278-H278</f>
        <v>0</v>
      </c>
      <c r="K278" s="5">
        <f>IF(H278=0,"",J278/H278)</f>
        <v>0</v>
      </c>
      <c r="L278">
        <f>IF(OR(AND(H278=0,ABS(J278)&gt;=0.01),AND(H278&lt;&gt;0,ABS(K278)&gt;VarianceThreshold)),"Review","OK")</f>
        <v>0</v>
      </c>
      <c r="M278" t="s">
        <v>33</v>
      </c>
    </row>
    <row r="279" spans="1:13">
      <c r="A279" t="s">
        <v>0</v>
      </c>
      <c r="B279" t="s">
        <v>436</v>
      </c>
      <c r="C279" t="s">
        <v>438</v>
      </c>
      <c r="D279" t="s">
        <v>439</v>
      </c>
      <c r="E279" cm="1">
        <f t="array" ref="E279">_xlfn.XLOOKUP(D279,SKU_Master!A:A,SKU_Master!B:B,"Not on master")</f>
        <v>0</v>
      </c>
      <c r="F279" cm="1">
        <f t="array" ref="F279">_xlfn.XLOOKUP(C279,Account_Master!A:A,Account_Master!B:B,"Not on master")</f>
        <v>0</v>
      </c>
      <c r="G279" cm="1">
        <f t="array" ref="G279">_xlfn.XLOOKUP(C279,Account_Master!A:A,Account_Master!C:C,"Not on master")</f>
        <v>0</v>
      </c>
      <c r="H279" s="6">
        <v>54.25</v>
      </c>
      <c r="I279" s="6">
        <v>54.25</v>
      </c>
      <c r="J279" s="6">
        <f>I279-H279</f>
        <v>0</v>
      </c>
      <c r="K279" s="5">
        <f>IF(H279=0,"",J279/H279)</f>
        <v>0</v>
      </c>
      <c r="L279">
        <f>IF(OR(AND(H279=0,ABS(J279)&gt;=0.01),AND(H279&lt;&gt;0,ABS(K279)&gt;VarianceThreshold)),"Review","OK")</f>
        <v>0</v>
      </c>
      <c r="M279" t="s">
        <v>33</v>
      </c>
    </row>
    <row r="280" spans="1:13">
      <c r="A280" t="s">
        <v>0</v>
      </c>
      <c r="B280" t="s">
        <v>436</v>
      </c>
      <c r="C280" t="s">
        <v>440</v>
      </c>
      <c r="D280" t="s">
        <v>441</v>
      </c>
      <c r="E280" cm="1">
        <f t="array" ref="E280">_xlfn.XLOOKUP(D280,SKU_Master!A:A,SKU_Master!B:B,"Not on master")</f>
        <v>0</v>
      </c>
      <c r="F280" cm="1">
        <f t="array" ref="F280">_xlfn.XLOOKUP(C280,Account_Master!A:A,Account_Master!B:B,"Not on master")</f>
        <v>0</v>
      </c>
      <c r="G280" cm="1">
        <f t="array" ref="G280">_xlfn.XLOOKUP(C280,Account_Master!A:A,Account_Master!C:C,"Not on master")</f>
        <v>0</v>
      </c>
      <c r="H280" s="6">
        <v>1.5</v>
      </c>
      <c r="I280" s="6">
        <v>1.5</v>
      </c>
      <c r="J280" s="6">
        <f>I280-H280</f>
        <v>0</v>
      </c>
      <c r="K280" s="5">
        <f>IF(H280=0,"",J280/H280)</f>
        <v>0</v>
      </c>
      <c r="L280">
        <f>IF(OR(AND(H280=0,ABS(J280)&gt;=0.01),AND(H280&lt;&gt;0,ABS(K280)&gt;VarianceThreshold)),"Review","OK")</f>
        <v>0</v>
      </c>
      <c r="M280" t="s">
        <v>33</v>
      </c>
    </row>
    <row r="281" spans="1:13">
      <c r="A281" t="s">
        <v>0</v>
      </c>
      <c r="B281" t="s">
        <v>436</v>
      </c>
      <c r="C281" t="s">
        <v>56</v>
      </c>
      <c r="D281" t="s">
        <v>442</v>
      </c>
      <c r="E281" cm="1">
        <f t="array" ref="E281">_xlfn.XLOOKUP(D281,SKU_Master!A:A,SKU_Master!B:B,"Not on master")</f>
        <v>0</v>
      </c>
      <c r="F281" cm="1">
        <f t="array" ref="F281">_xlfn.XLOOKUP(C281,Account_Master!A:A,Account_Master!B:B,"Not on master")</f>
        <v>0</v>
      </c>
      <c r="G281" cm="1">
        <f t="array" ref="G281">_xlfn.XLOOKUP(C281,Account_Master!A:A,Account_Master!C:C,"Not on master")</f>
        <v>0</v>
      </c>
      <c r="H281" s="6">
        <v>4.5</v>
      </c>
      <c r="I281" s="6">
        <v>4.5</v>
      </c>
      <c r="J281" s="6">
        <f>I281-H281</f>
        <v>0</v>
      </c>
      <c r="K281" s="5">
        <f>IF(H281=0,"",J281/H281)</f>
        <v>0</v>
      </c>
      <c r="L281">
        <f>IF(OR(AND(H281=0,ABS(J281)&gt;=0.01),AND(H281&lt;&gt;0,ABS(K281)&gt;VarianceThreshold)),"Review","OK")</f>
        <v>0</v>
      </c>
      <c r="M281" t="s">
        <v>33</v>
      </c>
    </row>
    <row r="282" spans="1:13">
      <c r="A282" t="s">
        <v>0</v>
      </c>
      <c r="B282" t="s">
        <v>436</v>
      </c>
      <c r="C282" t="s">
        <v>110</v>
      </c>
      <c r="D282" t="s">
        <v>443</v>
      </c>
      <c r="E282" cm="1">
        <f t="array" ref="E282">_xlfn.XLOOKUP(D282,SKU_Master!A:A,SKU_Master!B:B,"Not on master")</f>
        <v>0</v>
      </c>
      <c r="F282" cm="1">
        <f t="array" ref="F282">_xlfn.XLOOKUP(C282,Account_Master!A:A,Account_Master!B:B,"Not on master")</f>
        <v>0</v>
      </c>
      <c r="G282" cm="1">
        <f t="array" ref="G282">_xlfn.XLOOKUP(C282,Account_Master!A:A,Account_Master!C:C,"Not on master")</f>
        <v>0</v>
      </c>
      <c r="H282" s="6">
        <v>53.25</v>
      </c>
      <c r="I282" s="6">
        <v>53.25</v>
      </c>
      <c r="J282" s="6">
        <f>I282-H282</f>
        <v>0</v>
      </c>
      <c r="K282" s="5">
        <f>IF(H282=0,"",J282/H282)</f>
        <v>0</v>
      </c>
      <c r="L282">
        <f>IF(OR(AND(H282=0,ABS(J282)&gt;=0.01),AND(H282&lt;&gt;0,ABS(K282)&gt;VarianceThreshold)),"Review","OK")</f>
        <v>0</v>
      </c>
      <c r="M282" t="s">
        <v>33</v>
      </c>
    </row>
    <row r="283" spans="1:13">
      <c r="A283" t="s">
        <v>0</v>
      </c>
      <c r="B283" t="s">
        <v>436</v>
      </c>
      <c r="C283" t="s">
        <v>444</v>
      </c>
      <c r="D283" t="s">
        <v>445</v>
      </c>
      <c r="E283" cm="1">
        <f t="array" ref="E283">_xlfn.XLOOKUP(D283,SKU_Master!A:A,SKU_Master!B:B,"Not on master")</f>
        <v>0</v>
      </c>
      <c r="F283" cm="1">
        <f t="array" ref="F283">_xlfn.XLOOKUP(C283,Account_Master!A:A,Account_Master!B:B,"Not on master")</f>
        <v>0</v>
      </c>
      <c r="G283" cm="1">
        <f t="array" ref="G283">_xlfn.XLOOKUP(C283,Account_Master!A:A,Account_Master!C:C,"Not on master")</f>
        <v>0</v>
      </c>
      <c r="H283" s="6">
        <v>6.75</v>
      </c>
      <c r="I283" s="6">
        <v>6.75</v>
      </c>
      <c r="J283" s="6">
        <f>I283-H283</f>
        <v>0</v>
      </c>
      <c r="K283" s="5">
        <f>IF(H283=0,"",J283/H283)</f>
        <v>0</v>
      </c>
      <c r="L283">
        <f>IF(OR(AND(H283=0,ABS(J283)&gt;=0.01),AND(H283&lt;&gt;0,ABS(K283)&gt;VarianceThreshold)),"Review","OK")</f>
        <v>0</v>
      </c>
      <c r="M283" t="s">
        <v>33</v>
      </c>
    </row>
    <row r="284" spans="1:13">
      <c r="A284" t="s">
        <v>0</v>
      </c>
      <c r="B284" t="s">
        <v>436</v>
      </c>
      <c r="C284" t="s">
        <v>31</v>
      </c>
      <c r="D284" t="s">
        <v>446</v>
      </c>
      <c r="E284" cm="1">
        <f t="array" ref="E284">_xlfn.XLOOKUP(D284,SKU_Master!A:A,SKU_Master!B:B,"Not on master")</f>
        <v>0</v>
      </c>
      <c r="F284" cm="1">
        <f t="array" ref="F284">_xlfn.XLOOKUP(C284,Account_Master!A:A,Account_Master!B:B,"Not on master")</f>
        <v>0</v>
      </c>
      <c r="G284" cm="1">
        <f t="array" ref="G284">_xlfn.XLOOKUP(C284,Account_Master!A:A,Account_Master!C:C,"Not on master")</f>
        <v>0</v>
      </c>
      <c r="H284" s="6">
        <v>13</v>
      </c>
      <c r="I284" s="6">
        <v>13</v>
      </c>
      <c r="J284" s="6">
        <f>I284-H284</f>
        <v>0</v>
      </c>
      <c r="K284" s="5">
        <f>IF(H284=0,"",J284/H284)</f>
        <v>0</v>
      </c>
      <c r="L284">
        <f>IF(OR(AND(H284=0,ABS(J284)&gt;=0.01),AND(H284&lt;&gt;0,ABS(K284)&gt;VarianceThreshold)),"Review","OK")</f>
        <v>0</v>
      </c>
      <c r="M284" t="s">
        <v>33</v>
      </c>
    </row>
    <row r="285" spans="1:13">
      <c r="A285" t="s">
        <v>0</v>
      </c>
      <c r="B285" t="s">
        <v>447</v>
      </c>
      <c r="C285" t="s">
        <v>31</v>
      </c>
      <c r="D285" t="s">
        <v>448</v>
      </c>
      <c r="E285" cm="1">
        <f t="array" ref="E285">_xlfn.XLOOKUP(D285,SKU_Master!A:A,SKU_Master!B:B,"Not on master")</f>
        <v>0</v>
      </c>
      <c r="F285" cm="1">
        <f t="array" ref="F285">_xlfn.XLOOKUP(C285,Account_Master!A:A,Account_Master!B:B,"Not on master")</f>
        <v>0</v>
      </c>
      <c r="G285" cm="1">
        <f t="array" ref="G285">_xlfn.XLOOKUP(C285,Account_Master!A:A,Account_Master!C:C,"Not on master")</f>
        <v>0</v>
      </c>
      <c r="H285" s="6">
        <v>18.75</v>
      </c>
      <c r="I285" s="6">
        <v>18.75</v>
      </c>
      <c r="J285" s="6">
        <f>I285-H285</f>
        <v>0</v>
      </c>
      <c r="K285" s="5">
        <f>IF(H285=0,"",J285/H285)</f>
        <v>0</v>
      </c>
      <c r="L285">
        <f>IF(OR(AND(H285=0,ABS(J285)&gt;=0.01),AND(H285&lt;&gt;0,ABS(K285)&gt;VarianceThreshold)),"Review","OK")</f>
        <v>0</v>
      </c>
      <c r="M285" t="s">
        <v>33</v>
      </c>
    </row>
    <row r="286" spans="1:13">
      <c r="A286" t="s">
        <v>0</v>
      </c>
      <c r="B286" t="s">
        <v>447</v>
      </c>
      <c r="C286" t="s">
        <v>31</v>
      </c>
      <c r="D286" t="s">
        <v>449</v>
      </c>
      <c r="E286" cm="1">
        <f t="array" ref="E286">_xlfn.XLOOKUP(D286,SKU_Master!A:A,SKU_Master!B:B,"Not on master")</f>
        <v>0</v>
      </c>
      <c r="F286" cm="1">
        <f t="array" ref="F286">_xlfn.XLOOKUP(C286,Account_Master!A:A,Account_Master!B:B,"Not on master")</f>
        <v>0</v>
      </c>
      <c r="G286" cm="1">
        <f t="array" ref="G286">_xlfn.XLOOKUP(C286,Account_Master!A:A,Account_Master!C:C,"Not on master")</f>
        <v>0</v>
      </c>
      <c r="H286" s="6">
        <v>22.5</v>
      </c>
      <c r="I286" s="6">
        <v>22.5</v>
      </c>
      <c r="J286" s="6">
        <f>I286-H286</f>
        <v>0</v>
      </c>
      <c r="K286" s="5">
        <f>IF(H286=0,"",J286/H286)</f>
        <v>0</v>
      </c>
      <c r="L286">
        <f>IF(OR(AND(H286=0,ABS(J286)&gt;=0.01),AND(H286&lt;&gt;0,ABS(K286)&gt;VarianceThreshold)),"Review","OK")</f>
        <v>0</v>
      </c>
      <c r="M286" t="s">
        <v>33</v>
      </c>
    </row>
    <row r="287" spans="1:13">
      <c r="A287" t="s">
        <v>0</v>
      </c>
      <c r="B287" t="s">
        <v>447</v>
      </c>
      <c r="C287" t="s">
        <v>101</v>
      </c>
      <c r="D287" t="s">
        <v>450</v>
      </c>
      <c r="E287" cm="1">
        <f t="array" ref="E287">_xlfn.XLOOKUP(D287,SKU_Master!A:A,SKU_Master!B:B,"Not on master")</f>
        <v>0</v>
      </c>
      <c r="F287" cm="1">
        <f t="array" ref="F287">_xlfn.XLOOKUP(C287,Account_Master!A:A,Account_Master!B:B,"Not on master")</f>
        <v>0</v>
      </c>
      <c r="G287" cm="1">
        <f t="array" ref="G287">_xlfn.XLOOKUP(C287,Account_Master!A:A,Account_Master!C:C,"Not on master")</f>
        <v>0</v>
      </c>
      <c r="H287" s="6">
        <v>0.75</v>
      </c>
      <c r="I287" s="6">
        <v>0.75</v>
      </c>
      <c r="J287" s="6">
        <f>I287-H287</f>
        <v>0</v>
      </c>
      <c r="K287" s="5">
        <f>IF(H287=0,"",J287/H287)</f>
        <v>0</v>
      </c>
      <c r="L287">
        <f>IF(OR(AND(H287=0,ABS(J287)&gt;=0.01),AND(H287&lt;&gt;0,ABS(K287)&gt;VarianceThreshold)),"Review","OK")</f>
        <v>0</v>
      </c>
      <c r="M287" t="s">
        <v>33</v>
      </c>
    </row>
    <row r="288" spans="1:13">
      <c r="A288" t="s">
        <v>0</v>
      </c>
      <c r="B288" t="s">
        <v>451</v>
      </c>
      <c r="C288" t="s">
        <v>82</v>
      </c>
      <c r="D288" t="s">
        <v>452</v>
      </c>
      <c r="E288" cm="1">
        <f t="array" ref="E288">_xlfn.XLOOKUP(D288,SKU_Master!A:A,SKU_Master!B:B,"Not on master")</f>
        <v>0</v>
      </c>
      <c r="F288" cm="1">
        <f t="array" ref="F288">_xlfn.XLOOKUP(C288,Account_Master!A:A,Account_Master!B:B,"Not on master")</f>
        <v>0</v>
      </c>
      <c r="G288" cm="1">
        <f t="array" ref="G288">_xlfn.XLOOKUP(C288,Account_Master!A:A,Account_Master!C:C,"Not on master")</f>
        <v>0</v>
      </c>
      <c r="H288" s="6">
        <v>0.4</v>
      </c>
      <c r="I288" s="6">
        <v>0.4</v>
      </c>
      <c r="J288" s="6">
        <f>I288-H288</f>
        <v>0</v>
      </c>
      <c r="K288" s="5">
        <f>IF(H288=0,"",J288/H288)</f>
        <v>0</v>
      </c>
      <c r="L288">
        <f>IF(OR(AND(H288=0,ABS(J288)&gt;=0.01),AND(H288&lt;&gt;0,ABS(K288)&gt;VarianceThreshold)),"Review","OK")</f>
        <v>0</v>
      </c>
      <c r="M288" t="s">
        <v>33</v>
      </c>
    </row>
    <row r="289" spans="1:13">
      <c r="A289" t="s">
        <v>0</v>
      </c>
      <c r="B289" t="s">
        <v>451</v>
      </c>
      <c r="C289" t="s">
        <v>191</v>
      </c>
      <c r="D289" t="s">
        <v>453</v>
      </c>
      <c r="E289" cm="1">
        <f t="array" ref="E289">_xlfn.XLOOKUP(D289,SKU_Master!A:A,SKU_Master!B:B,"Not on master")</f>
        <v>0</v>
      </c>
      <c r="F289" cm="1">
        <f t="array" ref="F289">_xlfn.XLOOKUP(C289,Account_Master!A:A,Account_Master!B:B,"Not on master")</f>
        <v>0</v>
      </c>
      <c r="G289" cm="1">
        <f t="array" ref="G289">_xlfn.XLOOKUP(C289,Account_Master!A:A,Account_Master!C:C,"Not on master")</f>
        <v>0</v>
      </c>
      <c r="H289" s="6">
        <v>15</v>
      </c>
      <c r="I289" s="6">
        <v>15</v>
      </c>
      <c r="J289" s="6">
        <f>I289-H289</f>
        <v>0</v>
      </c>
      <c r="K289" s="5">
        <f>IF(H289=0,"",J289/H289)</f>
        <v>0</v>
      </c>
      <c r="L289">
        <f>IF(OR(AND(H289=0,ABS(J289)&gt;=0.01),AND(H289&lt;&gt;0,ABS(K289)&gt;VarianceThreshold)),"Review","OK")</f>
        <v>0</v>
      </c>
      <c r="M289" t="s">
        <v>33</v>
      </c>
    </row>
    <row r="290" spans="1:13">
      <c r="A290" t="s">
        <v>0</v>
      </c>
      <c r="B290" t="s">
        <v>451</v>
      </c>
      <c r="C290" t="s">
        <v>440</v>
      </c>
      <c r="D290" t="s">
        <v>454</v>
      </c>
      <c r="E290" cm="1">
        <f t="array" ref="E290">_xlfn.XLOOKUP(D290,SKU_Master!A:A,SKU_Master!B:B,"Not on master")</f>
        <v>0</v>
      </c>
      <c r="F290" cm="1">
        <f t="array" ref="F290">_xlfn.XLOOKUP(C290,Account_Master!A:A,Account_Master!B:B,"Not on master")</f>
        <v>0</v>
      </c>
      <c r="G290" cm="1">
        <f t="array" ref="G290">_xlfn.XLOOKUP(C290,Account_Master!A:A,Account_Master!C:C,"Not on master")</f>
        <v>0</v>
      </c>
      <c r="H290" s="6">
        <v>6.75</v>
      </c>
      <c r="I290" s="6">
        <v>6.75</v>
      </c>
      <c r="J290" s="6">
        <f>I290-H290</f>
        <v>0</v>
      </c>
      <c r="K290" s="5">
        <f>IF(H290=0,"",J290/H290)</f>
        <v>0</v>
      </c>
      <c r="L290">
        <f>IF(OR(AND(H290=0,ABS(J290)&gt;=0.01),AND(H290&lt;&gt;0,ABS(K290)&gt;VarianceThreshold)),"Review","OK")</f>
        <v>0</v>
      </c>
      <c r="M290" t="s">
        <v>33</v>
      </c>
    </row>
    <row r="291" spans="1:13">
      <c r="A291" t="s">
        <v>0</v>
      </c>
      <c r="B291" t="s">
        <v>451</v>
      </c>
      <c r="C291" t="s">
        <v>110</v>
      </c>
      <c r="D291" t="s">
        <v>455</v>
      </c>
      <c r="E291" cm="1">
        <f t="array" ref="E291">_xlfn.XLOOKUP(D291,SKU_Master!A:A,SKU_Master!B:B,"Not on master")</f>
        <v>0</v>
      </c>
      <c r="F291" cm="1">
        <f t="array" ref="F291">_xlfn.XLOOKUP(C291,Account_Master!A:A,Account_Master!B:B,"Not on master")</f>
        <v>0</v>
      </c>
      <c r="G291" cm="1">
        <f t="array" ref="G291">_xlfn.XLOOKUP(C291,Account_Master!A:A,Account_Master!C:C,"Not on master")</f>
        <v>0</v>
      </c>
      <c r="H291" s="6">
        <v>24</v>
      </c>
      <c r="I291" s="6">
        <v>24</v>
      </c>
      <c r="J291" s="6">
        <f>I291-H291</f>
        <v>0</v>
      </c>
      <c r="K291" s="5">
        <f>IF(H291=0,"",J291/H291)</f>
        <v>0</v>
      </c>
      <c r="L291">
        <f>IF(OR(AND(H291=0,ABS(J291)&gt;=0.01),AND(H291&lt;&gt;0,ABS(K291)&gt;VarianceThreshold)),"Review","OK")</f>
        <v>0</v>
      </c>
      <c r="M291" t="s">
        <v>33</v>
      </c>
    </row>
    <row r="292" spans="1:13">
      <c r="A292" t="s">
        <v>0</v>
      </c>
      <c r="B292" t="s">
        <v>451</v>
      </c>
      <c r="C292" t="s">
        <v>209</v>
      </c>
      <c r="D292" t="s">
        <v>456</v>
      </c>
      <c r="E292" cm="1">
        <f t="array" ref="E292">_xlfn.XLOOKUP(D292,SKU_Master!A:A,SKU_Master!B:B,"Not on master")</f>
        <v>0</v>
      </c>
      <c r="F292" cm="1">
        <f t="array" ref="F292">_xlfn.XLOOKUP(C292,Account_Master!A:A,Account_Master!B:B,"Not on master")</f>
        <v>0</v>
      </c>
      <c r="G292" cm="1">
        <f t="array" ref="G292">_xlfn.XLOOKUP(C292,Account_Master!A:A,Account_Master!C:C,"Not on master")</f>
        <v>0</v>
      </c>
      <c r="H292" s="6">
        <v>27</v>
      </c>
      <c r="I292" s="6">
        <v>27</v>
      </c>
      <c r="J292" s="6">
        <f>I292-H292</f>
        <v>0</v>
      </c>
      <c r="K292" s="5">
        <f>IF(H292=0,"",J292/H292)</f>
        <v>0</v>
      </c>
      <c r="L292">
        <f>IF(OR(AND(H292=0,ABS(J292)&gt;=0.01),AND(H292&lt;&gt;0,ABS(K292)&gt;VarianceThreshold)),"Review","OK")</f>
        <v>0</v>
      </c>
      <c r="M292" t="s">
        <v>33</v>
      </c>
    </row>
    <row r="293" spans="1:13">
      <c r="A293" t="s">
        <v>0</v>
      </c>
      <c r="B293" t="s">
        <v>451</v>
      </c>
      <c r="C293" t="s">
        <v>317</v>
      </c>
      <c r="D293" t="s">
        <v>457</v>
      </c>
      <c r="E293" cm="1">
        <f t="array" ref="E293">_xlfn.XLOOKUP(D293,SKU_Master!A:A,SKU_Master!B:B,"Not on master")</f>
        <v>0</v>
      </c>
      <c r="F293" cm="1">
        <f t="array" ref="F293">_xlfn.XLOOKUP(C293,Account_Master!A:A,Account_Master!B:B,"Not on master")</f>
        <v>0</v>
      </c>
      <c r="G293" cm="1">
        <f t="array" ref="G293">_xlfn.XLOOKUP(C293,Account_Master!A:A,Account_Master!C:C,"Not on master")</f>
        <v>0</v>
      </c>
      <c r="H293" s="6">
        <v>9.6</v>
      </c>
      <c r="I293" s="6">
        <v>9.6</v>
      </c>
      <c r="J293" s="6">
        <f>I293-H293</f>
        <v>0</v>
      </c>
      <c r="K293" s="5">
        <f>IF(H293=0,"",J293/H293)</f>
        <v>0</v>
      </c>
      <c r="L293">
        <f>IF(OR(AND(H293=0,ABS(J293)&gt;=0.01),AND(H293&lt;&gt;0,ABS(K293)&gt;VarianceThreshold)),"Review","OK")</f>
        <v>0</v>
      </c>
      <c r="M293" t="s">
        <v>33</v>
      </c>
    </row>
    <row r="294" spans="1:13">
      <c r="A294" t="s">
        <v>0</v>
      </c>
      <c r="B294" t="s">
        <v>451</v>
      </c>
      <c r="C294" t="s">
        <v>438</v>
      </c>
      <c r="D294" t="s">
        <v>458</v>
      </c>
      <c r="E294" cm="1">
        <f t="array" ref="E294">_xlfn.XLOOKUP(D294,SKU_Master!A:A,SKU_Master!B:B,"Not on master")</f>
        <v>0</v>
      </c>
      <c r="F294" cm="1">
        <f t="array" ref="F294">_xlfn.XLOOKUP(C294,Account_Master!A:A,Account_Master!B:B,"Not on master")</f>
        <v>0</v>
      </c>
      <c r="G294" cm="1">
        <f t="array" ref="G294">_xlfn.XLOOKUP(C294,Account_Master!A:A,Account_Master!C:C,"Not on master")</f>
        <v>0</v>
      </c>
      <c r="H294" s="6">
        <v>1.5</v>
      </c>
      <c r="I294" s="6">
        <v>1.5</v>
      </c>
      <c r="J294" s="6">
        <f>I294-H294</f>
        <v>0</v>
      </c>
      <c r="K294" s="5">
        <f>IF(H294=0,"",J294/H294)</f>
        <v>0</v>
      </c>
      <c r="L294">
        <f>IF(OR(AND(H294=0,ABS(J294)&gt;=0.01),AND(H294&lt;&gt;0,ABS(K294)&gt;VarianceThreshold)),"Review","OK")</f>
        <v>0</v>
      </c>
      <c r="M294" t="s">
        <v>33</v>
      </c>
    </row>
    <row r="295" spans="1:13">
      <c r="A295" t="s">
        <v>0</v>
      </c>
      <c r="B295" t="s">
        <v>451</v>
      </c>
      <c r="C295" t="s">
        <v>31</v>
      </c>
      <c r="D295" t="s">
        <v>459</v>
      </c>
      <c r="E295" cm="1">
        <f t="array" ref="E295">_xlfn.XLOOKUP(D295,SKU_Master!A:A,SKU_Master!B:B,"Not on master")</f>
        <v>0</v>
      </c>
      <c r="F295" cm="1">
        <f t="array" ref="F295">_xlfn.XLOOKUP(C295,Account_Master!A:A,Account_Master!B:B,"Not on master")</f>
        <v>0</v>
      </c>
      <c r="G295" cm="1">
        <f t="array" ref="G295">_xlfn.XLOOKUP(C295,Account_Master!A:A,Account_Master!C:C,"Not on master")</f>
        <v>0</v>
      </c>
      <c r="H295" s="6">
        <v>23.25</v>
      </c>
      <c r="I295" s="6">
        <v>23.25</v>
      </c>
      <c r="J295" s="6">
        <f>I295-H295</f>
        <v>0</v>
      </c>
      <c r="K295" s="5">
        <f>IF(H295=0,"",J295/H295)</f>
        <v>0</v>
      </c>
      <c r="L295">
        <f>IF(OR(AND(H295=0,ABS(J295)&gt;=0.01),AND(H295&lt;&gt;0,ABS(K295)&gt;VarianceThreshold)),"Review","OK")</f>
        <v>0</v>
      </c>
      <c r="M295" t="s">
        <v>33</v>
      </c>
    </row>
    <row r="296" spans="1:13">
      <c r="A296" t="s">
        <v>0</v>
      </c>
      <c r="B296" t="s">
        <v>451</v>
      </c>
      <c r="C296" t="s">
        <v>45</v>
      </c>
      <c r="D296" t="s">
        <v>460</v>
      </c>
      <c r="E296" cm="1">
        <f t="array" ref="E296">_xlfn.XLOOKUP(D296,SKU_Master!A:A,SKU_Master!B:B,"Not on master")</f>
        <v>0</v>
      </c>
      <c r="F296" cm="1">
        <f t="array" ref="F296">_xlfn.XLOOKUP(C296,Account_Master!A:A,Account_Master!B:B,"Not on master")</f>
        <v>0</v>
      </c>
      <c r="G296" cm="1">
        <f t="array" ref="G296">_xlfn.XLOOKUP(C296,Account_Master!A:A,Account_Master!C:C,"Not on master")</f>
        <v>0</v>
      </c>
      <c r="H296" s="6">
        <v>4.5</v>
      </c>
      <c r="I296" s="6">
        <v>4.5</v>
      </c>
      <c r="J296" s="6">
        <f>I296-H296</f>
        <v>0</v>
      </c>
      <c r="K296" s="5">
        <f>IF(H296=0,"",J296/H296)</f>
        <v>0</v>
      </c>
      <c r="L296">
        <f>IF(OR(AND(H296=0,ABS(J296)&gt;=0.01),AND(H296&lt;&gt;0,ABS(K296)&gt;VarianceThreshold)),"Review","OK")</f>
        <v>0</v>
      </c>
      <c r="M296" t="s">
        <v>33</v>
      </c>
    </row>
    <row r="297" spans="1:13">
      <c r="A297" t="s">
        <v>0</v>
      </c>
      <c r="B297" t="s">
        <v>451</v>
      </c>
      <c r="C297" t="s">
        <v>84</v>
      </c>
      <c r="D297" t="s">
        <v>461</v>
      </c>
      <c r="E297" cm="1">
        <f t="array" ref="E297">_xlfn.XLOOKUP(D297,SKU_Master!A:A,SKU_Master!B:B,"Not on master")</f>
        <v>0</v>
      </c>
      <c r="F297" cm="1">
        <f t="array" ref="F297">_xlfn.XLOOKUP(C297,Account_Master!A:A,Account_Master!B:B,"Not on master")</f>
        <v>0</v>
      </c>
      <c r="G297" cm="1">
        <f t="array" ref="G297">_xlfn.XLOOKUP(C297,Account_Master!A:A,Account_Master!C:C,"Not on master")</f>
        <v>0</v>
      </c>
      <c r="H297" s="6">
        <v>1.5</v>
      </c>
      <c r="I297" s="6">
        <v>1.5</v>
      </c>
      <c r="J297" s="6">
        <f>I297-H297</f>
        <v>0</v>
      </c>
      <c r="K297" s="5">
        <f>IF(H297=0,"",J297/H297)</f>
        <v>0</v>
      </c>
      <c r="L297">
        <f>IF(OR(AND(H297=0,ABS(J297)&gt;=0.01),AND(H297&lt;&gt;0,ABS(K297)&gt;VarianceThreshold)),"Review","OK")</f>
        <v>0</v>
      </c>
      <c r="M297" t="s">
        <v>33</v>
      </c>
    </row>
    <row r="298" spans="1:13">
      <c r="A298" t="s">
        <v>0</v>
      </c>
      <c r="B298" t="s">
        <v>451</v>
      </c>
      <c r="C298" t="s">
        <v>110</v>
      </c>
      <c r="D298" t="s">
        <v>462</v>
      </c>
      <c r="E298" cm="1">
        <f t="array" ref="E298">_xlfn.XLOOKUP(D298,SKU_Master!A:A,SKU_Master!B:B,"Not on master")</f>
        <v>0</v>
      </c>
      <c r="F298" cm="1">
        <f t="array" ref="F298">_xlfn.XLOOKUP(C298,Account_Master!A:A,Account_Master!B:B,"Not on master")</f>
        <v>0</v>
      </c>
      <c r="G298" cm="1">
        <f t="array" ref="G298">_xlfn.XLOOKUP(C298,Account_Master!A:A,Account_Master!C:C,"Not on master")</f>
        <v>0</v>
      </c>
      <c r="H298" s="6">
        <v>900</v>
      </c>
      <c r="I298" s="6">
        <v>900</v>
      </c>
      <c r="J298" s="6">
        <f>I298-H298</f>
        <v>0</v>
      </c>
      <c r="K298" s="5">
        <f>IF(H298=0,"",J298/H298)</f>
        <v>0</v>
      </c>
      <c r="L298">
        <f>IF(OR(AND(H298=0,ABS(J298)&gt;=0.01),AND(H298&lt;&gt;0,ABS(K298)&gt;VarianceThreshold)),"Review","OK")</f>
        <v>0</v>
      </c>
      <c r="M298" t="s">
        <v>33</v>
      </c>
    </row>
    <row r="299" spans="1:13">
      <c r="A299" t="s">
        <v>0</v>
      </c>
      <c r="B299" t="s">
        <v>451</v>
      </c>
      <c r="C299" t="s">
        <v>87</v>
      </c>
      <c r="D299" t="s">
        <v>463</v>
      </c>
      <c r="E299" cm="1">
        <f t="array" ref="E299">_xlfn.XLOOKUP(D299,SKU_Master!A:A,SKU_Master!B:B,"Not on master")</f>
        <v>0</v>
      </c>
      <c r="F299" cm="1">
        <f t="array" ref="F299">_xlfn.XLOOKUP(C299,Account_Master!A:A,Account_Master!B:B,"Not on master")</f>
        <v>0</v>
      </c>
      <c r="G299" cm="1">
        <f t="array" ref="G299">_xlfn.XLOOKUP(C299,Account_Master!A:A,Account_Master!C:C,"Not on master")</f>
        <v>0</v>
      </c>
      <c r="H299" s="6">
        <v>0.75</v>
      </c>
      <c r="I299" s="6">
        <v>0.75</v>
      </c>
      <c r="J299" s="6">
        <f>I299-H299</f>
        <v>0</v>
      </c>
      <c r="K299" s="5">
        <f>IF(H299=0,"",J299/H299)</f>
        <v>0</v>
      </c>
      <c r="L299">
        <f>IF(OR(AND(H299=0,ABS(J299)&gt;=0.01),AND(H299&lt;&gt;0,ABS(K299)&gt;VarianceThreshold)),"Review","OK")</f>
        <v>0</v>
      </c>
      <c r="M299" t="s">
        <v>33</v>
      </c>
    </row>
    <row r="300" spans="1:13">
      <c r="A300" t="s">
        <v>0</v>
      </c>
      <c r="B300" t="s">
        <v>464</v>
      </c>
      <c r="C300" t="s">
        <v>465</v>
      </c>
      <c r="D300" t="s">
        <v>466</v>
      </c>
      <c r="E300" cm="1">
        <f t="array" ref="E300">_xlfn.XLOOKUP(D300,SKU_Master!A:A,SKU_Master!B:B,"Not on master")</f>
        <v>0</v>
      </c>
      <c r="F300" cm="1">
        <f t="array" ref="F300">_xlfn.XLOOKUP(C300,Account_Master!A:A,Account_Master!B:B,"Not on master")</f>
        <v>0</v>
      </c>
      <c r="G300" cm="1">
        <f t="array" ref="G300">_xlfn.XLOOKUP(C300,Account_Master!A:A,Account_Master!C:C,"Not on master")</f>
        <v>0</v>
      </c>
      <c r="H300" s="6">
        <v>119.25</v>
      </c>
      <c r="I300" s="6">
        <v>119.25</v>
      </c>
      <c r="J300" s="6">
        <f>I300-H300</f>
        <v>0</v>
      </c>
      <c r="K300" s="5">
        <f>IF(H300=0,"",J300/H300)</f>
        <v>0</v>
      </c>
      <c r="L300">
        <f>IF(OR(AND(H300=0,ABS(J300)&gt;=0.01),AND(H300&lt;&gt;0,ABS(K300)&gt;VarianceThreshold)),"Review","OK")</f>
        <v>0</v>
      </c>
      <c r="M300" t="s">
        <v>33</v>
      </c>
    </row>
    <row r="301" spans="1:13">
      <c r="A301" t="s">
        <v>0</v>
      </c>
      <c r="B301" t="s">
        <v>464</v>
      </c>
      <c r="C301" t="s">
        <v>183</v>
      </c>
      <c r="D301" t="s">
        <v>467</v>
      </c>
      <c r="E301" cm="1">
        <f t="array" ref="E301">_xlfn.XLOOKUP(D301,SKU_Master!A:A,SKU_Master!B:B,"Not on master")</f>
        <v>0</v>
      </c>
      <c r="F301" cm="1">
        <f t="array" ref="F301">_xlfn.XLOOKUP(C301,Account_Master!A:A,Account_Master!B:B,"Not on master")</f>
        <v>0</v>
      </c>
      <c r="G301" cm="1">
        <f t="array" ref="G301">_xlfn.XLOOKUP(C301,Account_Master!A:A,Account_Master!C:C,"Not on master")</f>
        <v>0</v>
      </c>
      <c r="H301" s="6">
        <v>46.5</v>
      </c>
      <c r="I301" s="6">
        <v>46.5</v>
      </c>
      <c r="J301" s="6">
        <f>I301-H301</f>
        <v>0</v>
      </c>
      <c r="K301" s="5">
        <f>IF(H301=0,"",J301/H301)</f>
        <v>0</v>
      </c>
      <c r="L301">
        <f>IF(OR(AND(H301=0,ABS(J301)&gt;=0.01),AND(H301&lt;&gt;0,ABS(K301)&gt;VarianceThreshold)),"Review","OK")</f>
        <v>0</v>
      </c>
      <c r="M301" t="s">
        <v>33</v>
      </c>
    </row>
    <row r="302" spans="1:13">
      <c r="A302" t="s">
        <v>0</v>
      </c>
      <c r="B302" t="s">
        <v>464</v>
      </c>
      <c r="C302" t="s">
        <v>101</v>
      </c>
      <c r="D302" t="s">
        <v>468</v>
      </c>
      <c r="E302" cm="1">
        <f t="array" ref="E302">_xlfn.XLOOKUP(D302,SKU_Master!A:A,SKU_Master!B:B,"Not on master")</f>
        <v>0</v>
      </c>
      <c r="F302" cm="1">
        <f t="array" ref="F302">_xlfn.XLOOKUP(C302,Account_Master!A:A,Account_Master!B:B,"Not on master")</f>
        <v>0</v>
      </c>
      <c r="G302" cm="1">
        <f t="array" ref="G302">_xlfn.XLOOKUP(C302,Account_Master!A:A,Account_Master!C:C,"Not on master")</f>
        <v>0</v>
      </c>
      <c r="H302" s="6">
        <v>4.5</v>
      </c>
      <c r="I302" s="6">
        <v>4.5</v>
      </c>
      <c r="J302" s="6">
        <f>I302-H302</f>
        <v>0</v>
      </c>
      <c r="K302" s="5">
        <f>IF(H302=0,"",J302/H302)</f>
        <v>0</v>
      </c>
      <c r="L302">
        <f>IF(OR(AND(H302=0,ABS(J302)&gt;=0.01),AND(H302&lt;&gt;0,ABS(K302)&gt;VarianceThreshold)),"Review","OK")</f>
        <v>0</v>
      </c>
      <c r="M302" t="s">
        <v>33</v>
      </c>
    </row>
    <row r="303" spans="1:13">
      <c r="A303" t="s">
        <v>0</v>
      </c>
      <c r="B303" t="s">
        <v>464</v>
      </c>
      <c r="C303" t="s">
        <v>337</v>
      </c>
      <c r="D303" t="s">
        <v>469</v>
      </c>
      <c r="E303" cm="1">
        <f t="array" ref="E303">_xlfn.XLOOKUP(D303,SKU_Master!A:A,SKU_Master!B:B,"Not on master")</f>
        <v>0</v>
      </c>
      <c r="F303" cm="1">
        <f t="array" ref="F303">_xlfn.XLOOKUP(C303,Account_Master!A:A,Account_Master!B:B,"Not on master")</f>
        <v>0</v>
      </c>
      <c r="G303" cm="1">
        <f t="array" ref="G303">_xlfn.XLOOKUP(C303,Account_Master!A:A,Account_Master!C:C,"Not on master")</f>
        <v>0</v>
      </c>
      <c r="H303" s="6">
        <v>141.73</v>
      </c>
      <c r="I303" s="6">
        <v>141.73</v>
      </c>
      <c r="J303" s="6">
        <f>I303-H303</f>
        <v>0</v>
      </c>
      <c r="K303" s="5">
        <f>IF(H303=0,"",J303/H303)</f>
        <v>0</v>
      </c>
      <c r="L303">
        <f>IF(OR(AND(H303=0,ABS(J303)&gt;=0.01),AND(H303&lt;&gt;0,ABS(K303)&gt;VarianceThreshold)),"Review","OK")</f>
        <v>0</v>
      </c>
      <c r="M303" t="s">
        <v>33</v>
      </c>
    </row>
    <row r="304" spans="1:13">
      <c r="A304" t="s">
        <v>0</v>
      </c>
      <c r="B304" t="s">
        <v>464</v>
      </c>
      <c r="C304" t="s">
        <v>440</v>
      </c>
      <c r="D304" t="s">
        <v>470</v>
      </c>
      <c r="E304" cm="1">
        <f t="array" ref="E304">_xlfn.XLOOKUP(D304,SKU_Master!A:A,SKU_Master!B:B,"Not on master")</f>
        <v>0</v>
      </c>
      <c r="F304" cm="1">
        <f t="array" ref="F304">_xlfn.XLOOKUP(C304,Account_Master!A:A,Account_Master!B:B,"Not on master")</f>
        <v>0</v>
      </c>
      <c r="G304" cm="1">
        <f t="array" ref="G304">_xlfn.XLOOKUP(C304,Account_Master!A:A,Account_Master!C:C,"Not on master")</f>
        <v>0</v>
      </c>
      <c r="H304" s="6">
        <v>0</v>
      </c>
      <c r="I304" s="6">
        <v>0.05</v>
      </c>
      <c r="J304" s="6">
        <f>I304-H304</f>
        <v>0</v>
      </c>
      <c r="K304" s="5">
        <f>IF(H304=0,"",J304/H304)</f>
        <v>0</v>
      </c>
      <c r="L304">
        <f>IF(OR(AND(H304=0,ABS(J304)&gt;=0.01),AND(H304&lt;&gt;0,ABS(K304)&gt;VarianceThreshold)),"Review","OK")</f>
        <v>0</v>
      </c>
      <c r="M304" t="s">
        <v>471</v>
      </c>
    </row>
    <row r="305" spans="1:13">
      <c r="A305" t="s">
        <v>0</v>
      </c>
      <c r="B305" t="s">
        <v>464</v>
      </c>
      <c r="C305" t="s">
        <v>256</v>
      </c>
      <c r="D305" t="s">
        <v>472</v>
      </c>
      <c r="E305" cm="1">
        <f t="array" ref="E305">_xlfn.XLOOKUP(D305,SKU_Master!A:A,SKU_Master!B:B,"Not on master")</f>
        <v>0</v>
      </c>
      <c r="F305" cm="1">
        <f t="array" ref="F305">_xlfn.XLOOKUP(C305,Account_Master!A:A,Account_Master!B:B,"Not on master")</f>
        <v>0</v>
      </c>
      <c r="G305" cm="1">
        <f t="array" ref="G305">_xlfn.XLOOKUP(C305,Account_Master!A:A,Account_Master!C:C,"Not on master")</f>
        <v>0</v>
      </c>
      <c r="H305" s="6">
        <v>10.5</v>
      </c>
      <c r="I305" s="6">
        <v>10.5</v>
      </c>
      <c r="J305" s="6">
        <f>I305-H305</f>
        <v>0</v>
      </c>
      <c r="K305" s="5">
        <f>IF(H305=0,"",J305/H305)</f>
        <v>0</v>
      </c>
      <c r="L305">
        <f>IF(OR(AND(H305=0,ABS(J305)&gt;=0.01),AND(H305&lt;&gt;0,ABS(K305)&gt;VarianceThreshold)),"Review","OK")</f>
        <v>0</v>
      </c>
      <c r="M305" t="s">
        <v>33</v>
      </c>
    </row>
    <row r="306" spans="1:13">
      <c r="A306" t="s">
        <v>0</v>
      </c>
      <c r="B306" t="s">
        <v>464</v>
      </c>
      <c r="C306" t="s">
        <v>31</v>
      </c>
      <c r="D306" t="s">
        <v>473</v>
      </c>
      <c r="E306" cm="1">
        <f t="array" ref="E306">_xlfn.XLOOKUP(D306,SKU_Master!A:A,SKU_Master!B:B,"Not on master")</f>
        <v>0</v>
      </c>
      <c r="F306" cm="1">
        <f t="array" ref="F306">_xlfn.XLOOKUP(C306,Account_Master!A:A,Account_Master!B:B,"Not on master")</f>
        <v>0</v>
      </c>
      <c r="G306" cm="1">
        <f t="array" ref="G306">_xlfn.XLOOKUP(C306,Account_Master!A:A,Account_Master!C:C,"Not on master")</f>
        <v>0</v>
      </c>
      <c r="H306" s="6">
        <v>256</v>
      </c>
      <c r="I306" s="6">
        <v>256</v>
      </c>
      <c r="J306" s="6">
        <f>I306-H306</f>
        <v>0</v>
      </c>
      <c r="K306" s="5">
        <f>IF(H306=0,"",J306/H306)</f>
        <v>0</v>
      </c>
      <c r="L306">
        <f>IF(OR(AND(H306=0,ABS(J306)&gt;=0.01),AND(H306&lt;&gt;0,ABS(K306)&gt;VarianceThreshold)),"Review","OK")</f>
        <v>0</v>
      </c>
      <c r="M306" t="s">
        <v>33</v>
      </c>
    </row>
    <row r="307" spans="1:13">
      <c r="A307" t="s">
        <v>0</v>
      </c>
      <c r="B307" t="s">
        <v>464</v>
      </c>
      <c r="C307" t="s">
        <v>162</v>
      </c>
      <c r="D307" t="s">
        <v>474</v>
      </c>
      <c r="E307" cm="1">
        <f t="array" ref="E307">_xlfn.XLOOKUP(D307,SKU_Master!A:A,SKU_Master!B:B,"Not on master")</f>
        <v>0</v>
      </c>
      <c r="F307" cm="1">
        <f t="array" ref="F307">_xlfn.XLOOKUP(C307,Account_Master!A:A,Account_Master!B:B,"Not on master")</f>
        <v>0</v>
      </c>
      <c r="G307" cm="1">
        <f t="array" ref="G307">_xlfn.XLOOKUP(C307,Account_Master!A:A,Account_Master!C:C,"Not on master")</f>
        <v>0</v>
      </c>
      <c r="H307" s="6">
        <v>16.5</v>
      </c>
      <c r="I307" s="6">
        <v>16.5</v>
      </c>
      <c r="J307" s="6">
        <f>I307-H307</f>
        <v>0</v>
      </c>
      <c r="K307" s="5">
        <f>IF(H307=0,"",J307/H307)</f>
        <v>0</v>
      </c>
      <c r="L307">
        <f>IF(OR(AND(H307=0,ABS(J307)&gt;=0.01),AND(H307&lt;&gt;0,ABS(K307)&gt;VarianceThreshold)),"Review","OK")</f>
        <v>0</v>
      </c>
      <c r="M307" t="s">
        <v>33</v>
      </c>
    </row>
    <row r="308" spans="1:13">
      <c r="A308" t="s">
        <v>0</v>
      </c>
      <c r="B308" t="s">
        <v>464</v>
      </c>
      <c r="C308" t="s">
        <v>31</v>
      </c>
      <c r="D308" t="s">
        <v>475</v>
      </c>
      <c r="E308" cm="1">
        <f t="array" ref="E308">_xlfn.XLOOKUP(D308,SKU_Master!A:A,SKU_Master!B:B,"Not on master")</f>
        <v>0</v>
      </c>
      <c r="F308" cm="1">
        <f t="array" ref="F308">_xlfn.XLOOKUP(C308,Account_Master!A:A,Account_Master!B:B,"Not on master")</f>
        <v>0</v>
      </c>
      <c r="G308" cm="1">
        <f t="array" ref="G308">_xlfn.XLOOKUP(C308,Account_Master!A:A,Account_Master!C:C,"Not on master")</f>
        <v>0</v>
      </c>
      <c r="H308" s="6">
        <v>9</v>
      </c>
      <c r="I308" s="6">
        <v>9</v>
      </c>
      <c r="J308" s="6">
        <f>I308-H308</f>
        <v>0</v>
      </c>
      <c r="K308" s="5">
        <f>IF(H308=0,"",J308/H308)</f>
        <v>0</v>
      </c>
      <c r="L308">
        <f>IF(OR(AND(H308=0,ABS(J308)&gt;=0.01),AND(H308&lt;&gt;0,ABS(K308)&gt;VarianceThreshold)),"Review","OK")</f>
        <v>0</v>
      </c>
      <c r="M308" t="s">
        <v>33</v>
      </c>
    </row>
    <row r="309" spans="1:13">
      <c r="A309" t="s">
        <v>0</v>
      </c>
      <c r="B309" t="s">
        <v>464</v>
      </c>
      <c r="C309" t="s">
        <v>476</v>
      </c>
      <c r="D309" t="s">
        <v>477</v>
      </c>
      <c r="E309" cm="1">
        <f t="array" ref="E309">_xlfn.XLOOKUP(D309,SKU_Master!A:A,SKU_Master!B:B,"Not on master")</f>
        <v>0</v>
      </c>
      <c r="F309" cm="1">
        <f t="array" ref="F309">_xlfn.XLOOKUP(C309,Account_Master!A:A,Account_Master!B:B,"Not on master")</f>
        <v>0</v>
      </c>
      <c r="G309" cm="1">
        <f t="array" ref="G309">_xlfn.XLOOKUP(C309,Account_Master!A:A,Account_Master!C:C,"Not on master")</f>
        <v>0</v>
      </c>
      <c r="H309" s="6">
        <v>4.5</v>
      </c>
      <c r="I309" s="6">
        <v>4.5</v>
      </c>
      <c r="J309" s="6">
        <f>I309-H309</f>
        <v>0</v>
      </c>
      <c r="K309" s="5">
        <f>IF(H309=0,"",J309/H309)</f>
        <v>0</v>
      </c>
      <c r="L309">
        <f>IF(OR(AND(H309=0,ABS(J309)&gt;=0.01),AND(H309&lt;&gt;0,ABS(K309)&gt;VarianceThreshold)),"Review","OK")</f>
        <v>0</v>
      </c>
      <c r="M309" t="s">
        <v>33</v>
      </c>
    </row>
    <row r="310" spans="1:13">
      <c r="A310" t="s">
        <v>0</v>
      </c>
      <c r="B310" t="s">
        <v>478</v>
      </c>
      <c r="C310" t="s">
        <v>479</v>
      </c>
      <c r="D310" t="s">
        <v>480</v>
      </c>
      <c r="E310" cm="1">
        <f t="array" ref="E310">_xlfn.XLOOKUP(D310,SKU_Master!A:A,SKU_Master!B:B,"Not on master")</f>
        <v>0</v>
      </c>
      <c r="F310" cm="1">
        <f t="array" ref="F310">_xlfn.XLOOKUP(C310,Account_Master!A:A,Account_Master!B:B,"Not on master")</f>
        <v>0</v>
      </c>
      <c r="G310" cm="1">
        <f t="array" ref="G310">_xlfn.XLOOKUP(C310,Account_Master!A:A,Account_Master!C:C,"Not on master")</f>
        <v>0</v>
      </c>
      <c r="H310" s="6">
        <v>4.5</v>
      </c>
      <c r="I310" s="6">
        <v>4.5</v>
      </c>
      <c r="J310" s="6">
        <f>I310-H310</f>
        <v>0</v>
      </c>
      <c r="K310" s="5">
        <f>IF(H310=0,"",J310/H310)</f>
        <v>0</v>
      </c>
      <c r="L310">
        <f>IF(OR(AND(H310=0,ABS(J310)&gt;=0.01),AND(H310&lt;&gt;0,ABS(K310)&gt;VarianceThreshold)),"Review","OK")</f>
        <v>0</v>
      </c>
      <c r="M310" t="s">
        <v>33</v>
      </c>
    </row>
    <row r="311" spans="1:13">
      <c r="A311" t="s">
        <v>0</v>
      </c>
      <c r="B311" t="s">
        <v>478</v>
      </c>
      <c r="C311" t="s">
        <v>43</v>
      </c>
      <c r="D311" t="s">
        <v>481</v>
      </c>
      <c r="E311" cm="1">
        <f t="array" ref="E311">_xlfn.XLOOKUP(D311,SKU_Master!A:A,SKU_Master!B:B,"Not on master")</f>
        <v>0</v>
      </c>
      <c r="F311" cm="1">
        <f t="array" ref="F311">_xlfn.XLOOKUP(C311,Account_Master!A:A,Account_Master!B:B,"Not on master")</f>
        <v>0</v>
      </c>
      <c r="G311" cm="1">
        <f t="array" ref="G311">_xlfn.XLOOKUP(C311,Account_Master!A:A,Account_Master!C:C,"Not on master")</f>
        <v>0</v>
      </c>
      <c r="H311" s="6">
        <v>31.5</v>
      </c>
      <c r="I311" s="6">
        <v>31.5</v>
      </c>
      <c r="J311" s="6">
        <f>I311-H311</f>
        <v>0</v>
      </c>
      <c r="K311" s="5">
        <f>IF(H311=0,"",J311/H311)</f>
        <v>0</v>
      </c>
      <c r="L311">
        <f>IF(OR(AND(H311=0,ABS(J311)&gt;=0.01),AND(H311&lt;&gt;0,ABS(K311)&gt;VarianceThreshold)),"Review","OK")</f>
        <v>0</v>
      </c>
      <c r="M311" t="s">
        <v>33</v>
      </c>
    </row>
    <row r="312" spans="1:13">
      <c r="A312" t="s">
        <v>0</v>
      </c>
      <c r="B312" t="s">
        <v>478</v>
      </c>
      <c r="C312" t="s">
        <v>148</v>
      </c>
      <c r="D312" t="s">
        <v>482</v>
      </c>
      <c r="E312" cm="1">
        <f t="array" ref="E312">_xlfn.XLOOKUP(D312,SKU_Master!A:A,SKU_Master!B:B,"Not on master")</f>
        <v>0</v>
      </c>
      <c r="F312" cm="1">
        <f t="array" ref="F312">_xlfn.XLOOKUP(C312,Account_Master!A:A,Account_Master!B:B,"Not on master")</f>
        <v>0</v>
      </c>
      <c r="G312" cm="1">
        <f t="array" ref="G312">_xlfn.XLOOKUP(C312,Account_Master!A:A,Account_Master!C:C,"Not on master")</f>
        <v>0</v>
      </c>
      <c r="H312" s="6">
        <v>29.25</v>
      </c>
      <c r="I312" s="6">
        <v>29.25</v>
      </c>
      <c r="J312" s="6">
        <f>I312-H312</f>
        <v>0</v>
      </c>
      <c r="K312" s="5">
        <f>IF(H312=0,"",J312/H312)</f>
        <v>0</v>
      </c>
      <c r="L312">
        <f>IF(OR(AND(H312=0,ABS(J312)&gt;=0.01),AND(H312&lt;&gt;0,ABS(K312)&gt;VarianceThreshold)),"Review","OK")</f>
        <v>0</v>
      </c>
      <c r="M312" t="s">
        <v>33</v>
      </c>
    </row>
    <row r="313" spans="1:13">
      <c r="A313" t="s">
        <v>0</v>
      </c>
      <c r="B313" t="s">
        <v>478</v>
      </c>
      <c r="C313" t="s">
        <v>43</v>
      </c>
      <c r="D313" t="s">
        <v>483</v>
      </c>
      <c r="E313" cm="1">
        <f t="array" ref="E313">_xlfn.XLOOKUP(D313,SKU_Master!A:A,SKU_Master!B:B,"Not on master")</f>
        <v>0</v>
      </c>
      <c r="F313" cm="1">
        <f t="array" ref="F313">_xlfn.XLOOKUP(C313,Account_Master!A:A,Account_Master!B:B,"Not on master")</f>
        <v>0</v>
      </c>
      <c r="G313" cm="1">
        <f t="array" ref="G313">_xlfn.XLOOKUP(C313,Account_Master!A:A,Account_Master!C:C,"Not on master")</f>
        <v>0</v>
      </c>
      <c r="H313" s="6">
        <v>4.5</v>
      </c>
      <c r="I313" s="6">
        <v>4.5</v>
      </c>
      <c r="J313" s="6">
        <f>I313-H313</f>
        <v>0</v>
      </c>
      <c r="K313" s="5">
        <f>IF(H313=0,"",J313/H313)</f>
        <v>0</v>
      </c>
      <c r="L313">
        <f>IF(OR(AND(H313=0,ABS(J313)&gt;=0.01),AND(H313&lt;&gt;0,ABS(K313)&gt;VarianceThreshold)),"Review","OK")</f>
        <v>0</v>
      </c>
      <c r="M313" t="s">
        <v>33</v>
      </c>
    </row>
    <row r="314" spans="1:13">
      <c r="A314" t="s">
        <v>0</v>
      </c>
      <c r="B314" t="s">
        <v>478</v>
      </c>
      <c r="C314" t="s">
        <v>220</v>
      </c>
      <c r="D314" t="s">
        <v>484</v>
      </c>
      <c r="E314" cm="1">
        <f t="array" ref="E314">_xlfn.XLOOKUP(D314,SKU_Master!A:A,SKU_Master!B:B,"Not on master")</f>
        <v>0</v>
      </c>
      <c r="F314" cm="1">
        <f t="array" ref="F314">_xlfn.XLOOKUP(C314,Account_Master!A:A,Account_Master!B:B,"Not on master")</f>
        <v>0</v>
      </c>
      <c r="G314" cm="1">
        <f t="array" ref="G314">_xlfn.XLOOKUP(C314,Account_Master!A:A,Account_Master!C:C,"Not on master")</f>
        <v>0</v>
      </c>
      <c r="H314" s="6">
        <v>0.7</v>
      </c>
      <c r="I314" s="6">
        <v>0.7</v>
      </c>
      <c r="J314" s="6">
        <f>I314-H314</f>
        <v>0</v>
      </c>
      <c r="K314" s="5">
        <f>IF(H314=0,"",J314/H314)</f>
        <v>0</v>
      </c>
      <c r="L314">
        <f>IF(OR(AND(H314=0,ABS(J314)&gt;=0.01),AND(H314&lt;&gt;0,ABS(K314)&gt;VarianceThreshold)),"Review","OK")</f>
        <v>0</v>
      </c>
      <c r="M314" t="s">
        <v>33</v>
      </c>
    </row>
    <row r="315" spans="1:13">
      <c r="A315" t="s">
        <v>0</v>
      </c>
      <c r="B315" t="s">
        <v>478</v>
      </c>
      <c r="C315" t="s">
        <v>87</v>
      </c>
      <c r="D315" t="s">
        <v>485</v>
      </c>
      <c r="E315" cm="1">
        <f t="array" ref="E315">_xlfn.XLOOKUP(D315,SKU_Master!A:A,SKU_Master!B:B,"Not on master")</f>
        <v>0</v>
      </c>
      <c r="F315" cm="1">
        <f t="array" ref="F315">_xlfn.XLOOKUP(C315,Account_Master!A:A,Account_Master!B:B,"Not on master")</f>
        <v>0</v>
      </c>
      <c r="G315" cm="1">
        <f t="array" ref="G315">_xlfn.XLOOKUP(C315,Account_Master!A:A,Account_Master!C:C,"Not on master")</f>
        <v>0</v>
      </c>
      <c r="H315" s="6">
        <v>0.75</v>
      </c>
      <c r="I315" s="6">
        <v>0.75</v>
      </c>
      <c r="J315" s="6">
        <f>I315-H315</f>
        <v>0</v>
      </c>
      <c r="K315" s="5">
        <f>IF(H315=0,"",J315/H315)</f>
        <v>0</v>
      </c>
      <c r="L315">
        <f>IF(OR(AND(H315=0,ABS(J315)&gt;=0.01),AND(H315&lt;&gt;0,ABS(K315)&gt;VarianceThreshold)),"Review","OK")</f>
        <v>0</v>
      </c>
      <c r="M315" t="s">
        <v>33</v>
      </c>
    </row>
    <row r="316" spans="1:13">
      <c r="A316" t="s">
        <v>0</v>
      </c>
      <c r="B316" t="s">
        <v>478</v>
      </c>
      <c r="C316" t="s">
        <v>486</v>
      </c>
      <c r="D316" t="s">
        <v>487</v>
      </c>
      <c r="E316" cm="1">
        <f t="array" ref="E316">_xlfn.XLOOKUP(D316,SKU_Master!A:A,SKU_Master!B:B,"Not on master")</f>
        <v>0</v>
      </c>
      <c r="F316" cm="1">
        <f t="array" ref="F316">_xlfn.XLOOKUP(C316,Account_Master!A:A,Account_Master!B:B,"Not on master")</f>
        <v>0</v>
      </c>
      <c r="G316" cm="1">
        <f t="array" ref="G316">_xlfn.XLOOKUP(C316,Account_Master!A:A,Account_Master!C:C,"Not on master")</f>
        <v>0</v>
      </c>
      <c r="H316" s="6">
        <v>12.75</v>
      </c>
      <c r="I316" s="6">
        <v>12.75</v>
      </c>
      <c r="J316" s="6">
        <f>I316-H316</f>
        <v>0</v>
      </c>
      <c r="K316" s="5">
        <f>IF(H316=0,"",J316/H316)</f>
        <v>0</v>
      </c>
      <c r="L316">
        <f>IF(OR(AND(H316=0,ABS(J316)&gt;=0.01),AND(H316&lt;&gt;0,ABS(K316)&gt;VarianceThreshold)),"Review","OK")</f>
        <v>0</v>
      </c>
      <c r="M316" t="s">
        <v>33</v>
      </c>
    </row>
    <row r="317" spans="1:13">
      <c r="A317" t="s">
        <v>0</v>
      </c>
      <c r="B317" t="s">
        <v>478</v>
      </c>
      <c r="C317" t="s">
        <v>31</v>
      </c>
      <c r="D317" t="s">
        <v>488</v>
      </c>
      <c r="E317" cm="1">
        <f t="array" ref="E317">_xlfn.XLOOKUP(D317,SKU_Master!A:A,SKU_Master!B:B,"Not on master")</f>
        <v>0</v>
      </c>
      <c r="F317" cm="1">
        <f t="array" ref="F317">_xlfn.XLOOKUP(C317,Account_Master!A:A,Account_Master!B:B,"Not on master")</f>
        <v>0</v>
      </c>
      <c r="G317" cm="1">
        <f t="array" ref="G317">_xlfn.XLOOKUP(C317,Account_Master!A:A,Account_Master!C:C,"Not on master")</f>
        <v>0</v>
      </c>
      <c r="H317" s="6">
        <v>48</v>
      </c>
      <c r="I317" s="6">
        <v>48</v>
      </c>
      <c r="J317" s="6">
        <f>I317-H317</f>
        <v>0</v>
      </c>
      <c r="K317" s="5">
        <f>IF(H317=0,"",J317/H317)</f>
        <v>0</v>
      </c>
      <c r="L317">
        <f>IF(OR(AND(H317=0,ABS(J317)&gt;=0.01),AND(H317&lt;&gt;0,ABS(K317)&gt;VarianceThreshold)),"Review","OK")</f>
        <v>0</v>
      </c>
      <c r="M317" t="s">
        <v>33</v>
      </c>
    </row>
    <row r="318" spans="1:13">
      <c r="A318" t="s">
        <v>0</v>
      </c>
      <c r="B318" t="s">
        <v>478</v>
      </c>
      <c r="C318" t="s">
        <v>375</v>
      </c>
      <c r="D318" t="s">
        <v>489</v>
      </c>
      <c r="E318" cm="1">
        <f t="array" ref="E318">_xlfn.XLOOKUP(D318,SKU_Master!A:A,SKU_Master!B:B,"Not on master")</f>
        <v>0</v>
      </c>
      <c r="F318" cm="1">
        <f t="array" ref="F318">_xlfn.XLOOKUP(C318,Account_Master!A:A,Account_Master!B:B,"Not on master")</f>
        <v>0</v>
      </c>
      <c r="G318" cm="1">
        <f t="array" ref="G318">_xlfn.XLOOKUP(C318,Account_Master!A:A,Account_Master!C:C,"Not on master")</f>
        <v>0</v>
      </c>
      <c r="H318" s="6">
        <v>5</v>
      </c>
      <c r="I318" s="6">
        <v>5</v>
      </c>
      <c r="J318" s="6">
        <f>I318-H318</f>
        <v>0</v>
      </c>
      <c r="K318" s="5">
        <f>IF(H318=0,"",J318/H318)</f>
        <v>0</v>
      </c>
      <c r="L318">
        <f>IF(OR(AND(H318=0,ABS(J318)&gt;=0.01),AND(H318&lt;&gt;0,ABS(K318)&gt;VarianceThreshold)),"Review","OK")</f>
        <v>0</v>
      </c>
      <c r="M318" t="s">
        <v>33</v>
      </c>
    </row>
    <row r="319" spans="1:13">
      <c r="A319" t="s">
        <v>0</v>
      </c>
      <c r="B319" t="s">
        <v>478</v>
      </c>
      <c r="C319" t="s">
        <v>220</v>
      </c>
      <c r="D319" t="s">
        <v>490</v>
      </c>
      <c r="E319" cm="1">
        <f t="array" ref="E319">_xlfn.XLOOKUP(D319,SKU_Master!A:A,SKU_Master!B:B,"Not on master")</f>
        <v>0</v>
      </c>
      <c r="F319" cm="1">
        <f t="array" ref="F319">_xlfn.XLOOKUP(C319,Account_Master!A:A,Account_Master!B:B,"Not on master")</f>
        <v>0</v>
      </c>
      <c r="G319" cm="1">
        <f t="array" ref="G319">_xlfn.XLOOKUP(C319,Account_Master!A:A,Account_Master!C:C,"Not on master")</f>
        <v>0</v>
      </c>
      <c r="H319" s="6">
        <v>27</v>
      </c>
      <c r="I319" s="6">
        <v>27</v>
      </c>
      <c r="J319" s="6">
        <f>I319-H319</f>
        <v>0</v>
      </c>
      <c r="K319" s="5">
        <f>IF(H319=0,"",J319/H319)</f>
        <v>0</v>
      </c>
      <c r="L319">
        <f>IF(OR(AND(H319=0,ABS(J319)&gt;=0.01),AND(H319&lt;&gt;0,ABS(K319)&gt;VarianceThreshold)),"Review","OK")</f>
        <v>0</v>
      </c>
      <c r="M319" t="s">
        <v>33</v>
      </c>
    </row>
    <row r="320" spans="1:13">
      <c r="A320" t="s">
        <v>0</v>
      </c>
      <c r="B320" t="s">
        <v>478</v>
      </c>
      <c r="C320" t="s">
        <v>31</v>
      </c>
      <c r="D320" t="s">
        <v>491</v>
      </c>
      <c r="E320" cm="1">
        <f t="array" ref="E320">_xlfn.XLOOKUP(D320,SKU_Master!A:A,SKU_Master!B:B,"Not on master")</f>
        <v>0</v>
      </c>
      <c r="F320" cm="1">
        <f t="array" ref="F320">_xlfn.XLOOKUP(C320,Account_Master!A:A,Account_Master!B:B,"Not on master")</f>
        <v>0</v>
      </c>
      <c r="G320" cm="1">
        <f t="array" ref="G320">_xlfn.XLOOKUP(C320,Account_Master!A:A,Account_Master!C:C,"Not on master")</f>
        <v>0</v>
      </c>
      <c r="H320" s="6">
        <v>81</v>
      </c>
      <c r="I320" s="6">
        <v>81</v>
      </c>
      <c r="J320" s="6">
        <f>I320-H320</f>
        <v>0</v>
      </c>
      <c r="K320" s="5">
        <f>IF(H320=0,"",J320/H320)</f>
        <v>0</v>
      </c>
      <c r="L320">
        <f>IF(OR(AND(H320=0,ABS(J320)&gt;=0.01),AND(H320&lt;&gt;0,ABS(K320)&gt;VarianceThreshold)),"Review","OK")</f>
        <v>0</v>
      </c>
      <c r="M320" t="s">
        <v>33</v>
      </c>
    </row>
    <row r="321" spans="1:13">
      <c r="A321" t="s">
        <v>0</v>
      </c>
      <c r="B321" t="s">
        <v>492</v>
      </c>
      <c r="C321" t="s">
        <v>126</v>
      </c>
      <c r="D321" t="s">
        <v>493</v>
      </c>
      <c r="E321" cm="1">
        <f t="array" ref="E321">_xlfn.XLOOKUP(D321,SKU_Master!A:A,SKU_Master!B:B,"Not on master")</f>
        <v>0</v>
      </c>
      <c r="F321" cm="1">
        <f t="array" ref="F321">_xlfn.XLOOKUP(C321,Account_Master!A:A,Account_Master!B:B,"Not on master")</f>
        <v>0</v>
      </c>
      <c r="G321" cm="1">
        <f t="array" ref="G321">_xlfn.XLOOKUP(C321,Account_Master!A:A,Account_Master!C:C,"Not on master")</f>
        <v>0</v>
      </c>
      <c r="H321" s="6">
        <v>1.5</v>
      </c>
      <c r="I321" s="6">
        <v>1.5</v>
      </c>
      <c r="J321" s="6">
        <f>I321-H321</f>
        <v>0</v>
      </c>
      <c r="K321" s="5">
        <f>IF(H321=0,"",J321/H321)</f>
        <v>0</v>
      </c>
      <c r="L321">
        <f>IF(OR(AND(H321=0,ABS(J321)&gt;=0.01),AND(H321&lt;&gt;0,ABS(K321)&gt;VarianceThreshold)),"Review","OK")</f>
        <v>0</v>
      </c>
      <c r="M321" t="s">
        <v>33</v>
      </c>
    </row>
    <row r="322" spans="1:13">
      <c r="A322" t="s">
        <v>0</v>
      </c>
      <c r="B322" t="s">
        <v>492</v>
      </c>
      <c r="C322" t="s">
        <v>186</v>
      </c>
      <c r="D322" t="s">
        <v>494</v>
      </c>
      <c r="E322" cm="1">
        <f t="array" ref="E322">_xlfn.XLOOKUP(D322,SKU_Master!A:A,SKU_Master!B:B,"Not on master")</f>
        <v>0</v>
      </c>
      <c r="F322" cm="1">
        <f t="array" ref="F322">_xlfn.XLOOKUP(C322,Account_Master!A:A,Account_Master!B:B,"Not on master")</f>
        <v>0</v>
      </c>
      <c r="G322" cm="1">
        <f t="array" ref="G322">_xlfn.XLOOKUP(C322,Account_Master!A:A,Account_Master!C:C,"Not on master")</f>
        <v>0</v>
      </c>
      <c r="H322" s="6">
        <v>9</v>
      </c>
      <c r="I322" s="6">
        <v>9</v>
      </c>
      <c r="J322" s="6">
        <f>I322-H322</f>
        <v>0</v>
      </c>
      <c r="K322" s="5">
        <f>IF(H322=0,"",J322/H322)</f>
        <v>0</v>
      </c>
      <c r="L322">
        <f>IF(OR(AND(H322=0,ABS(J322)&gt;=0.01),AND(H322&lt;&gt;0,ABS(K322)&gt;VarianceThreshold)),"Review","OK")</f>
        <v>0</v>
      </c>
      <c r="M322" t="s">
        <v>33</v>
      </c>
    </row>
    <row r="323" spans="1:13">
      <c r="A323" t="s">
        <v>0</v>
      </c>
      <c r="B323" t="s">
        <v>492</v>
      </c>
      <c r="C323" t="s">
        <v>495</v>
      </c>
      <c r="D323" t="s">
        <v>496</v>
      </c>
      <c r="E323" cm="1">
        <f t="array" ref="E323">_xlfn.XLOOKUP(D323,SKU_Master!A:A,SKU_Master!B:B,"Not on master")</f>
        <v>0</v>
      </c>
      <c r="F323" cm="1">
        <f t="array" ref="F323">_xlfn.XLOOKUP(C323,Account_Master!A:A,Account_Master!B:B,"Not on master")</f>
        <v>0</v>
      </c>
      <c r="G323" cm="1">
        <f t="array" ref="G323">_xlfn.XLOOKUP(C323,Account_Master!A:A,Account_Master!C:C,"Not on master")</f>
        <v>0</v>
      </c>
      <c r="H323" s="6">
        <v>27</v>
      </c>
      <c r="I323" s="6">
        <v>27</v>
      </c>
      <c r="J323" s="6">
        <f>I323-H323</f>
        <v>0</v>
      </c>
      <c r="K323" s="5">
        <f>IF(H323=0,"",J323/H323)</f>
        <v>0</v>
      </c>
      <c r="L323">
        <f>IF(OR(AND(H323=0,ABS(J323)&gt;=0.01),AND(H323&lt;&gt;0,ABS(K323)&gt;VarianceThreshold)),"Review","OK")</f>
        <v>0</v>
      </c>
      <c r="M323" t="s">
        <v>33</v>
      </c>
    </row>
    <row r="324" spans="1:13">
      <c r="A324" t="s">
        <v>0</v>
      </c>
      <c r="B324" t="s">
        <v>492</v>
      </c>
      <c r="C324" t="s">
        <v>72</v>
      </c>
      <c r="D324" t="s">
        <v>497</v>
      </c>
      <c r="E324" cm="1">
        <f t="array" ref="E324">_xlfn.XLOOKUP(D324,SKU_Master!A:A,SKU_Master!B:B,"Not on master")</f>
        <v>0</v>
      </c>
      <c r="F324" cm="1">
        <f t="array" ref="F324">_xlfn.XLOOKUP(C324,Account_Master!A:A,Account_Master!B:B,"Not on master")</f>
        <v>0</v>
      </c>
      <c r="G324" cm="1">
        <f t="array" ref="G324">_xlfn.XLOOKUP(C324,Account_Master!A:A,Account_Master!C:C,"Not on master")</f>
        <v>0</v>
      </c>
      <c r="H324" s="6">
        <v>9.6</v>
      </c>
      <c r="I324" s="6">
        <v>9.6</v>
      </c>
      <c r="J324" s="6">
        <f>I324-H324</f>
        <v>0</v>
      </c>
      <c r="K324" s="5">
        <f>IF(H324=0,"",J324/H324)</f>
        <v>0</v>
      </c>
      <c r="L324">
        <f>IF(OR(AND(H324=0,ABS(J324)&gt;=0.01),AND(H324&lt;&gt;0,ABS(K324)&gt;VarianceThreshold)),"Review","OK")</f>
        <v>0</v>
      </c>
      <c r="M324" t="s">
        <v>33</v>
      </c>
    </row>
    <row r="325" spans="1:13">
      <c r="A325" t="s">
        <v>0</v>
      </c>
      <c r="B325" t="s">
        <v>492</v>
      </c>
      <c r="C325" t="s">
        <v>234</v>
      </c>
      <c r="D325" t="s">
        <v>498</v>
      </c>
      <c r="E325" cm="1">
        <f t="array" ref="E325">_xlfn.XLOOKUP(D325,SKU_Master!A:A,SKU_Master!B:B,"Not on master")</f>
        <v>0</v>
      </c>
      <c r="F325" cm="1">
        <f t="array" ref="F325">_xlfn.XLOOKUP(C325,Account_Master!A:A,Account_Master!B:B,"Not on master")</f>
        <v>0</v>
      </c>
      <c r="G325" cm="1">
        <f t="array" ref="G325">_xlfn.XLOOKUP(C325,Account_Master!A:A,Account_Master!C:C,"Not on master")</f>
        <v>0</v>
      </c>
      <c r="H325" s="6">
        <v>1.75</v>
      </c>
      <c r="I325" s="6">
        <v>1.75</v>
      </c>
      <c r="J325" s="6">
        <f>I325-H325</f>
        <v>0</v>
      </c>
      <c r="K325" s="5">
        <f>IF(H325=0,"",J325/H325)</f>
        <v>0</v>
      </c>
      <c r="L325">
        <f>IF(OR(AND(H325=0,ABS(J325)&gt;=0.01),AND(H325&lt;&gt;0,ABS(K325)&gt;VarianceThreshold)),"Review","OK")</f>
        <v>0</v>
      </c>
      <c r="M325" t="s">
        <v>33</v>
      </c>
    </row>
    <row r="326" spans="1:13">
      <c r="A326" t="s">
        <v>0</v>
      </c>
      <c r="B326" t="s">
        <v>492</v>
      </c>
      <c r="C326" t="s">
        <v>377</v>
      </c>
      <c r="D326" t="s">
        <v>499</v>
      </c>
      <c r="E326" cm="1">
        <f t="array" ref="E326">_xlfn.XLOOKUP(D326,SKU_Master!A:A,SKU_Master!B:B,"Not on master")</f>
        <v>0</v>
      </c>
      <c r="F326" cm="1">
        <f t="array" ref="F326">_xlfn.XLOOKUP(C326,Account_Master!A:A,Account_Master!B:B,"Not on master")</f>
        <v>0</v>
      </c>
      <c r="G326" cm="1">
        <f t="array" ref="G326">_xlfn.XLOOKUP(C326,Account_Master!A:A,Account_Master!C:C,"Not on master")</f>
        <v>0</v>
      </c>
      <c r="H326" s="6">
        <v>48.75</v>
      </c>
      <c r="I326" s="6">
        <v>48.75</v>
      </c>
      <c r="J326" s="6">
        <f>I326-H326</f>
        <v>0</v>
      </c>
      <c r="K326" s="5">
        <f>IF(H326=0,"",J326/H326)</f>
        <v>0</v>
      </c>
      <c r="L326">
        <f>IF(OR(AND(H326=0,ABS(J326)&gt;=0.01),AND(H326&lt;&gt;0,ABS(K326)&gt;VarianceThreshold)),"Review","OK")</f>
        <v>0</v>
      </c>
      <c r="M326" t="s">
        <v>33</v>
      </c>
    </row>
    <row r="327" spans="1:13">
      <c r="A327" t="s">
        <v>0</v>
      </c>
      <c r="B327" t="s">
        <v>492</v>
      </c>
      <c r="C327" t="s">
        <v>31</v>
      </c>
      <c r="D327" t="s">
        <v>500</v>
      </c>
      <c r="E327" cm="1">
        <f t="array" ref="E327">_xlfn.XLOOKUP(D327,SKU_Master!A:A,SKU_Master!B:B,"Not on master")</f>
        <v>0</v>
      </c>
      <c r="F327" cm="1">
        <f t="array" ref="F327">_xlfn.XLOOKUP(C327,Account_Master!A:A,Account_Master!B:B,"Not on master")</f>
        <v>0</v>
      </c>
      <c r="G327" cm="1">
        <f t="array" ref="G327">_xlfn.XLOOKUP(C327,Account_Master!A:A,Account_Master!C:C,"Not on master")</f>
        <v>0</v>
      </c>
      <c r="H327" s="6">
        <v>13.5</v>
      </c>
      <c r="I327" s="6">
        <v>13.5</v>
      </c>
      <c r="J327" s="6">
        <f>I327-H327</f>
        <v>0</v>
      </c>
      <c r="K327" s="5">
        <f>IF(H327=0,"",J327/H327)</f>
        <v>0</v>
      </c>
      <c r="L327">
        <f>IF(OR(AND(H327=0,ABS(J327)&gt;=0.01),AND(H327&lt;&gt;0,ABS(K327)&gt;VarianceThreshold)),"Review","OK")</f>
        <v>0</v>
      </c>
      <c r="M327" t="s">
        <v>33</v>
      </c>
    </row>
    <row r="328" spans="1:13">
      <c r="A328" t="s">
        <v>0</v>
      </c>
      <c r="B328" t="s">
        <v>501</v>
      </c>
      <c r="C328" t="s">
        <v>502</v>
      </c>
      <c r="D328" t="s">
        <v>503</v>
      </c>
      <c r="E328" cm="1">
        <f t="array" ref="E328">_xlfn.XLOOKUP(D328,SKU_Master!A:A,SKU_Master!B:B,"Not on master")</f>
        <v>0</v>
      </c>
      <c r="F328" cm="1">
        <f t="array" ref="F328">_xlfn.XLOOKUP(C328,Account_Master!A:A,Account_Master!B:B,"Not on master")</f>
        <v>0</v>
      </c>
      <c r="G328" cm="1">
        <f t="array" ref="G328">_xlfn.XLOOKUP(C328,Account_Master!A:A,Account_Master!C:C,"Not on master")</f>
        <v>0</v>
      </c>
      <c r="H328" s="6">
        <v>27</v>
      </c>
      <c r="I328" s="6">
        <v>27</v>
      </c>
      <c r="J328" s="6">
        <f>I328-H328</f>
        <v>0</v>
      </c>
      <c r="K328" s="5">
        <f>IF(H328=0,"",J328/H328)</f>
        <v>0</v>
      </c>
      <c r="L328">
        <f>IF(OR(AND(H328=0,ABS(J328)&gt;=0.01),AND(H328&lt;&gt;0,ABS(K328)&gt;VarianceThreshold)),"Review","OK")</f>
        <v>0</v>
      </c>
      <c r="M328" t="s">
        <v>33</v>
      </c>
    </row>
    <row r="329" spans="1:13">
      <c r="A329" t="s">
        <v>0</v>
      </c>
      <c r="B329" t="s">
        <v>501</v>
      </c>
      <c r="C329" t="s">
        <v>45</v>
      </c>
      <c r="D329" t="s">
        <v>504</v>
      </c>
      <c r="E329" cm="1">
        <f t="array" ref="E329">_xlfn.XLOOKUP(D329,SKU_Master!A:A,SKU_Master!B:B,"Not on master")</f>
        <v>0</v>
      </c>
      <c r="F329" cm="1">
        <f t="array" ref="F329">_xlfn.XLOOKUP(C329,Account_Master!A:A,Account_Master!B:B,"Not on master")</f>
        <v>0</v>
      </c>
      <c r="G329" cm="1">
        <f t="array" ref="G329">_xlfn.XLOOKUP(C329,Account_Master!A:A,Account_Master!C:C,"Not on master")</f>
        <v>0</v>
      </c>
      <c r="H329" s="6">
        <v>30.75</v>
      </c>
      <c r="I329" s="6">
        <v>30.75</v>
      </c>
      <c r="J329" s="6">
        <f>I329-H329</f>
        <v>0</v>
      </c>
      <c r="K329" s="5">
        <f>IF(H329=0,"",J329/H329)</f>
        <v>0</v>
      </c>
      <c r="L329">
        <f>IF(OR(AND(H329=0,ABS(J329)&gt;=0.01),AND(H329&lt;&gt;0,ABS(K329)&gt;VarianceThreshold)),"Review","OK")</f>
        <v>0</v>
      </c>
      <c r="M329" t="s">
        <v>33</v>
      </c>
    </row>
    <row r="330" spans="1:13">
      <c r="A330" t="s">
        <v>0</v>
      </c>
      <c r="B330" t="s">
        <v>501</v>
      </c>
      <c r="C330" t="s">
        <v>505</v>
      </c>
      <c r="D330" t="s">
        <v>506</v>
      </c>
      <c r="E330" cm="1">
        <f t="array" ref="E330">_xlfn.XLOOKUP(D330,SKU_Master!A:A,SKU_Master!B:B,"Not on master")</f>
        <v>0</v>
      </c>
      <c r="F330" cm="1">
        <f t="array" ref="F330">_xlfn.XLOOKUP(C330,Account_Master!A:A,Account_Master!B:B,"Not on master")</f>
        <v>0</v>
      </c>
      <c r="G330" cm="1">
        <f t="array" ref="G330">_xlfn.XLOOKUP(C330,Account_Master!A:A,Account_Master!C:C,"Not on master")</f>
        <v>0</v>
      </c>
      <c r="H330" s="6">
        <v>14.25</v>
      </c>
      <c r="I330" s="6">
        <v>14.25</v>
      </c>
      <c r="J330" s="6">
        <f>I330-H330</f>
        <v>0</v>
      </c>
      <c r="K330" s="5">
        <f>IF(H330=0,"",J330/H330)</f>
        <v>0</v>
      </c>
      <c r="L330">
        <f>IF(OR(AND(H330=0,ABS(J330)&gt;=0.01),AND(H330&lt;&gt;0,ABS(K330)&gt;VarianceThreshold)),"Review","OK")</f>
        <v>0</v>
      </c>
      <c r="M330" t="s">
        <v>33</v>
      </c>
    </row>
    <row r="331" spans="1:13">
      <c r="A331" t="s">
        <v>0</v>
      </c>
      <c r="B331" t="s">
        <v>501</v>
      </c>
      <c r="C331" t="s">
        <v>110</v>
      </c>
      <c r="D331" t="s">
        <v>507</v>
      </c>
      <c r="E331" cm="1">
        <f t="array" ref="E331">_xlfn.XLOOKUP(D331,SKU_Master!A:A,SKU_Master!B:B,"Not on master")</f>
        <v>0</v>
      </c>
      <c r="F331" cm="1">
        <f t="array" ref="F331">_xlfn.XLOOKUP(C331,Account_Master!A:A,Account_Master!B:B,"Not on master")</f>
        <v>0</v>
      </c>
      <c r="G331" cm="1">
        <f t="array" ref="G331">_xlfn.XLOOKUP(C331,Account_Master!A:A,Account_Master!C:C,"Not on master")</f>
        <v>0</v>
      </c>
      <c r="H331" s="6">
        <v>12</v>
      </c>
      <c r="I331" s="6">
        <v>12</v>
      </c>
      <c r="J331" s="6">
        <f>I331-H331</f>
        <v>0</v>
      </c>
      <c r="K331" s="5">
        <f>IF(H331=0,"",J331/H331)</f>
        <v>0</v>
      </c>
      <c r="L331">
        <f>IF(OR(AND(H331=0,ABS(J331)&gt;=0.01),AND(H331&lt;&gt;0,ABS(K331)&gt;VarianceThreshold)),"Review","OK")</f>
        <v>0</v>
      </c>
      <c r="M331" t="s">
        <v>33</v>
      </c>
    </row>
    <row r="332" spans="1:13">
      <c r="A332" t="s">
        <v>0</v>
      </c>
      <c r="B332" t="s">
        <v>501</v>
      </c>
      <c r="C332" t="s">
        <v>377</v>
      </c>
      <c r="D332" t="s">
        <v>508</v>
      </c>
      <c r="E332" cm="1">
        <f t="array" ref="E332">_xlfn.XLOOKUP(D332,SKU_Master!A:A,SKU_Master!B:B,"Not on master")</f>
        <v>0</v>
      </c>
      <c r="F332" cm="1">
        <f t="array" ref="F332">_xlfn.XLOOKUP(C332,Account_Master!A:A,Account_Master!B:B,"Not on master")</f>
        <v>0</v>
      </c>
      <c r="G332" cm="1">
        <f t="array" ref="G332">_xlfn.XLOOKUP(C332,Account_Master!A:A,Account_Master!C:C,"Not on master")</f>
        <v>0</v>
      </c>
      <c r="H332" s="6">
        <v>22.5</v>
      </c>
      <c r="I332" s="6">
        <v>22.5</v>
      </c>
      <c r="J332" s="6">
        <f>I332-H332</f>
        <v>0</v>
      </c>
      <c r="K332" s="5">
        <f>IF(H332=0,"",J332/H332)</f>
        <v>0</v>
      </c>
      <c r="L332">
        <f>IF(OR(AND(H332=0,ABS(J332)&gt;=0.01),AND(H332&lt;&gt;0,ABS(K332)&gt;VarianceThreshold)),"Review","OK")</f>
        <v>0</v>
      </c>
      <c r="M332" t="s">
        <v>33</v>
      </c>
    </row>
    <row r="333" spans="1:13">
      <c r="A333" t="s">
        <v>0</v>
      </c>
      <c r="B333" t="s">
        <v>501</v>
      </c>
      <c r="C333" t="s">
        <v>87</v>
      </c>
      <c r="D333" t="s">
        <v>509</v>
      </c>
      <c r="E333" cm="1">
        <f t="array" ref="E333">_xlfn.XLOOKUP(D333,SKU_Master!A:A,SKU_Master!B:B,"Not on master")</f>
        <v>0</v>
      </c>
      <c r="F333" cm="1">
        <f t="array" ref="F333">_xlfn.XLOOKUP(C333,Account_Master!A:A,Account_Master!B:B,"Not on master")</f>
        <v>0</v>
      </c>
      <c r="G333" cm="1">
        <f t="array" ref="G333">_xlfn.XLOOKUP(C333,Account_Master!A:A,Account_Master!C:C,"Not on master")</f>
        <v>0</v>
      </c>
      <c r="H333" s="6">
        <v>2.25</v>
      </c>
      <c r="I333" s="6">
        <v>2.25</v>
      </c>
      <c r="J333" s="6">
        <f>I333-H333</f>
        <v>0</v>
      </c>
      <c r="K333" s="5">
        <f>IF(H333=0,"",J333/H333)</f>
        <v>0</v>
      </c>
      <c r="L333">
        <f>IF(OR(AND(H333=0,ABS(J333)&gt;=0.01),AND(H333&lt;&gt;0,ABS(K333)&gt;VarianceThreshold)),"Review","OK")</f>
        <v>0</v>
      </c>
      <c r="M333" t="s">
        <v>33</v>
      </c>
    </row>
    <row r="334" spans="1:13">
      <c r="A334" t="s">
        <v>0</v>
      </c>
      <c r="B334" t="s">
        <v>501</v>
      </c>
      <c r="C334" t="s">
        <v>495</v>
      </c>
      <c r="D334" t="s">
        <v>510</v>
      </c>
      <c r="E334" cm="1">
        <f t="array" ref="E334">_xlfn.XLOOKUP(D334,SKU_Master!A:A,SKU_Master!B:B,"Not on master")</f>
        <v>0</v>
      </c>
      <c r="F334" cm="1">
        <f t="array" ref="F334">_xlfn.XLOOKUP(C334,Account_Master!A:A,Account_Master!B:B,"Not on master")</f>
        <v>0</v>
      </c>
      <c r="G334" cm="1">
        <f t="array" ref="G334">_xlfn.XLOOKUP(C334,Account_Master!A:A,Account_Master!C:C,"Not on master")</f>
        <v>0</v>
      </c>
      <c r="H334" s="6">
        <v>4.5</v>
      </c>
      <c r="I334" s="6">
        <v>4.5</v>
      </c>
      <c r="J334" s="6">
        <f>I334-H334</f>
        <v>0</v>
      </c>
      <c r="K334" s="5">
        <f>IF(H334=0,"",J334/H334)</f>
        <v>0</v>
      </c>
      <c r="L334">
        <f>IF(OR(AND(H334=0,ABS(J334)&gt;=0.01),AND(H334&lt;&gt;0,ABS(K334)&gt;VarianceThreshold)),"Review","OK")</f>
        <v>0</v>
      </c>
      <c r="M334" t="s">
        <v>33</v>
      </c>
    </row>
    <row r="335" spans="1:13">
      <c r="A335" t="s">
        <v>0</v>
      </c>
      <c r="B335" t="s">
        <v>511</v>
      </c>
      <c r="C335" t="s">
        <v>398</v>
      </c>
      <c r="D335" t="s">
        <v>512</v>
      </c>
      <c r="E335" cm="1">
        <f t="array" ref="E335">_xlfn.XLOOKUP(D335,SKU_Master!A:A,SKU_Master!B:B,"Not on master")</f>
        <v>0</v>
      </c>
      <c r="F335" cm="1">
        <f t="array" ref="F335">_xlfn.XLOOKUP(C335,Account_Master!A:A,Account_Master!B:B,"Not on master")</f>
        <v>0</v>
      </c>
      <c r="G335" cm="1">
        <f t="array" ref="G335">_xlfn.XLOOKUP(C335,Account_Master!A:A,Account_Master!C:C,"Not on master")</f>
        <v>0</v>
      </c>
      <c r="H335" s="6">
        <v>1.45</v>
      </c>
      <c r="I335" s="6">
        <v>1.45</v>
      </c>
      <c r="J335" s="6">
        <f>I335-H335</f>
        <v>0</v>
      </c>
      <c r="K335" s="5">
        <f>IF(H335=0,"",J335/H335)</f>
        <v>0</v>
      </c>
      <c r="L335">
        <f>IF(OR(AND(H335=0,ABS(J335)&gt;=0.01),AND(H335&lt;&gt;0,ABS(K335)&gt;VarianceThreshold)),"Review","OK")</f>
        <v>0</v>
      </c>
      <c r="M335" t="s">
        <v>33</v>
      </c>
    </row>
    <row r="336" spans="1:13">
      <c r="A336" t="s">
        <v>0</v>
      </c>
      <c r="B336" t="s">
        <v>511</v>
      </c>
      <c r="C336" t="s">
        <v>220</v>
      </c>
      <c r="D336" t="s">
        <v>513</v>
      </c>
      <c r="E336" cm="1">
        <f t="array" ref="E336">_xlfn.XLOOKUP(D336,SKU_Master!A:A,SKU_Master!B:B,"Not on master")</f>
        <v>0</v>
      </c>
      <c r="F336" cm="1">
        <f t="array" ref="F336">_xlfn.XLOOKUP(C336,Account_Master!A:A,Account_Master!B:B,"Not on master")</f>
        <v>0</v>
      </c>
      <c r="G336" cm="1">
        <f t="array" ref="G336">_xlfn.XLOOKUP(C336,Account_Master!A:A,Account_Master!C:C,"Not on master")</f>
        <v>0</v>
      </c>
      <c r="H336" s="6">
        <v>22.5</v>
      </c>
      <c r="I336" s="6">
        <v>22.5</v>
      </c>
      <c r="J336" s="6">
        <f>I336-H336</f>
        <v>0</v>
      </c>
      <c r="K336" s="5">
        <f>IF(H336=0,"",J336/H336)</f>
        <v>0</v>
      </c>
      <c r="L336">
        <f>IF(OR(AND(H336=0,ABS(J336)&gt;=0.01),AND(H336&lt;&gt;0,ABS(K336)&gt;VarianceThreshold)),"Review","OK")</f>
        <v>0</v>
      </c>
      <c r="M336" t="s">
        <v>33</v>
      </c>
    </row>
    <row r="337" spans="1:13">
      <c r="A337" t="s">
        <v>0</v>
      </c>
      <c r="B337" t="s">
        <v>511</v>
      </c>
      <c r="C337" t="s">
        <v>67</v>
      </c>
      <c r="D337" t="s">
        <v>514</v>
      </c>
      <c r="E337" cm="1">
        <f t="array" ref="E337">_xlfn.XLOOKUP(D337,SKU_Master!A:A,SKU_Master!B:B,"Not on master")</f>
        <v>0</v>
      </c>
      <c r="F337" cm="1">
        <f t="array" ref="F337">_xlfn.XLOOKUP(C337,Account_Master!A:A,Account_Master!B:B,"Not on master")</f>
        <v>0</v>
      </c>
      <c r="G337" cm="1">
        <f t="array" ref="G337">_xlfn.XLOOKUP(C337,Account_Master!A:A,Account_Master!C:C,"Not on master")</f>
        <v>0</v>
      </c>
      <c r="H337" s="6">
        <v>2.25</v>
      </c>
      <c r="I337" s="6">
        <v>2.25</v>
      </c>
      <c r="J337" s="6">
        <f>I337-H337</f>
        <v>0</v>
      </c>
      <c r="K337" s="5">
        <f>IF(H337=0,"",J337/H337)</f>
        <v>0</v>
      </c>
      <c r="L337">
        <f>IF(OR(AND(H337=0,ABS(J337)&gt;=0.01),AND(H337&lt;&gt;0,ABS(K337)&gt;VarianceThreshold)),"Review","OK")</f>
        <v>0</v>
      </c>
      <c r="M337" t="s">
        <v>33</v>
      </c>
    </row>
    <row r="338" spans="1:13">
      <c r="A338" t="s">
        <v>0</v>
      </c>
      <c r="B338" t="s">
        <v>511</v>
      </c>
      <c r="C338" t="s">
        <v>31</v>
      </c>
      <c r="D338" t="s">
        <v>515</v>
      </c>
      <c r="E338" cm="1">
        <f t="array" ref="E338">_xlfn.XLOOKUP(D338,SKU_Master!A:A,SKU_Master!B:B,"Not on master")</f>
        <v>0</v>
      </c>
      <c r="F338" cm="1">
        <f t="array" ref="F338">_xlfn.XLOOKUP(C338,Account_Master!A:A,Account_Master!B:B,"Not on master")</f>
        <v>0</v>
      </c>
      <c r="G338" cm="1">
        <f t="array" ref="G338">_xlfn.XLOOKUP(C338,Account_Master!A:A,Account_Master!C:C,"Not on master")</f>
        <v>0</v>
      </c>
      <c r="H338" s="6">
        <v>74.25</v>
      </c>
      <c r="I338" s="6">
        <v>74.25</v>
      </c>
      <c r="J338" s="6">
        <f>I338-H338</f>
        <v>0</v>
      </c>
      <c r="K338" s="5">
        <f>IF(H338=0,"",J338/H338)</f>
        <v>0</v>
      </c>
      <c r="L338">
        <f>IF(OR(AND(H338=0,ABS(J338)&gt;=0.01),AND(H338&lt;&gt;0,ABS(K338)&gt;VarianceThreshold)),"Review","OK")</f>
        <v>0</v>
      </c>
      <c r="M338" t="s">
        <v>33</v>
      </c>
    </row>
    <row r="339" spans="1:13">
      <c r="A339" t="s">
        <v>0</v>
      </c>
      <c r="B339" t="s">
        <v>511</v>
      </c>
      <c r="C339" t="s">
        <v>516</v>
      </c>
      <c r="D339" t="s">
        <v>517</v>
      </c>
      <c r="E339" cm="1">
        <f t="array" ref="E339">_xlfn.XLOOKUP(D339,SKU_Master!A:A,SKU_Master!B:B,"Not on master")</f>
        <v>0</v>
      </c>
      <c r="F339" cm="1">
        <f t="array" ref="F339">_xlfn.XLOOKUP(C339,Account_Master!A:A,Account_Master!B:B,"Not on master")</f>
        <v>0</v>
      </c>
      <c r="G339" cm="1">
        <f t="array" ref="G339">_xlfn.XLOOKUP(C339,Account_Master!A:A,Account_Master!C:C,"Not on master")</f>
        <v>0</v>
      </c>
      <c r="H339" s="6">
        <v>14.4</v>
      </c>
      <c r="I339" s="6">
        <v>14.4</v>
      </c>
      <c r="J339" s="6">
        <f>I339-H339</f>
        <v>0</v>
      </c>
      <c r="K339" s="5">
        <f>IF(H339=0,"",J339/H339)</f>
        <v>0</v>
      </c>
      <c r="L339">
        <f>IF(OR(AND(H339=0,ABS(J339)&gt;=0.01),AND(H339&lt;&gt;0,ABS(K339)&gt;VarianceThreshold)),"Review","OK")</f>
        <v>0</v>
      </c>
      <c r="M339" t="s">
        <v>33</v>
      </c>
    </row>
    <row r="340" spans="1:13">
      <c r="A340" t="s">
        <v>0</v>
      </c>
      <c r="B340" t="s">
        <v>511</v>
      </c>
      <c r="C340" t="s">
        <v>110</v>
      </c>
      <c r="D340" t="s">
        <v>518</v>
      </c>
      <c r="E340" cm="1">
        <f t="array" ref="E340">_xlfn.XLOOKUP(D340,SKU_Master!A:A,SKU_Master!B:B,"Not on master")</f>
        <v>0</v>
      </c>
      <c r="F340" cm="1">
        <f t="array" ref="F340">_xlfn.XLOOKUP(C340,Account_Master!A:A,Account_Master!B:B,"Not on master")</f>
        <v>0</v>
      </c>
      <c r="G340" cm="1">
        <f t="array" ref="G340">_xlfn.XLOOKUP(C340,Account_Master!A:A,Account_Master!C:C,"Not on master")</f>
        <v>0</v>
      </c>
      <c r="H340" s="6">
        <v>16</v>
      </c>
      <c r="I340" s="6">
        <v>16</v>
      </c>
      <c r="J340" s="6">
        <f>I340-H340</f>
        <v>0</v>
      </c>
      <c r="K340" s="5">
        <f>IF(H340=0,"",J340/H340)</f>
        <v>0</v>
      </c>
      <c r="L340">
        <f>IF(OR(AND(H340=0,ABS(J340)&gt;=0.01),AND(H340&lt;&gt;0,ABS(K340)&gt;VarianceThreshold)),"Review","OK")</f>
        <v>0</v>
      </c>
      <c r="M340" t="s">
        <v>33</v>
      </c>
    </row>
    <row r="341" spans="1:13">
      <c r="A341" t="s">
        <v>0</v>
      </c>
      <c r="B341" t="s">
        <v>511</v>
      </c>
      <c r="C341" t="s">
        <v>126</v>
      </c>
      <c r="D341" t="s">
        <v>519</v>
      </c>
      <c r="E341" cm="1">
        <f t="array" ref="E341">_xlfn.XLOOKUP(D341,SKU_Master!A:A,SKU_Master!B:B,"Not on master")</f>
        <v>0</v>
      </c>
      <c r="F341" cm="1">
        <f t="array" ref="F341">_xlfn.XLOOKUP(C341,Account_Master!A:A,Account_Master!B:B,"Not on master")</f>
        <v>0</v>
      </c>
      <c r="G341" cm="1">
        <f t="array" ref="G341">_xlfn.XLOOKUP(C341,Account_Master!A:A,Account_Master!C:C,"Not on master")</f>
        <v>0</v>
      </c>
      <c r="H341" s="6">
        <v>10.5</v>
      </c>
      <c r="I341" s="6">
        <v>10.5</v>
      </c>
      <c r="J341" s="6">
        <f>I341-H341</f>
        <v>0</v>
      </c>
      <c r="K341" s="5">
        <f>IF(H341=0,"",J341/H341)</f>
        <v>0</v>
      </c>
      <c r="L341">
        <f>IF(OR(AND(H341=0,ABS(J341)&gt;=0.01),AND(H341&lt;&gt;0,ABS(K341)&gt;VarianceThreshold)),"Review","OK")</f>
        <v>0</v>
      </c>
      <c r="M341" t="s">
        <v>33</v>
      </c>
    </row>
    <row r="342" spans="1:13">
      <c r="A342" t="s">
        <v>0</v>
      </c>
      <c r="B342" t="s">
        <v>511</v>
      </c>
      <c r="C342" t="s">
        <v>220</v>
      </c>
      <c r="D342" t="s">
        <v>520</v>
      </c>
      <c r="E342" cm="1">
        <f t="array" ref="E342">_xlfn.XLOOKUP(D342,SKU_Master!A:A,SKU_Master!B:B,"Not on master")</f>
        <v>0</v>
      </c>
      <c r="F342" cm="1">
        <f t="array" ref="F342">_xlfn.XLOOKUP(C342,Account_Master!A:A,Account_Master!B:B,"Not on master")</f>
        <v>0</v>
      </c>
      <c r="G342" cm="1">
        <f t="array" ref="G342">_xlfn.XLOOKUP(C342,Account_Master!A:A,Account_Master!C:C,"Not on master")</f>
        <v>0</v>
      </c>
      <c r="H342" s="6">
        <v>4.5</v>
      </c>
      <c r="I342" s="6">
        <v>4.5</v>
      </c>
      <c r="J342" s="6">
        <f>I342-H342</f>
        <v>0</v>
      </c>
      <c r="K342" s="5">
        <f>IF(H342=0,"",J342/H342)</f>
        <v>0</v>
      </c>
      <c r="L342">
        <f>IF(OR(AND(H342=0,ABS(J342)&gt;=0.01),AND(H342&lt;&gt;0,ABS(K342)&gt;VarianceThreshold)),"Review","OK")</f>
        <v>0</v>
      </c>
      <c r="M342" t="s">
        <v>33</v>
      </c>
    </row>
    <row r="343" spans="1:13">
      <c r="A343" t="s">
        <v>0</v>
      </c>
      <c r="B343" t="s">
        <v>511</v>
      </c>
      <c r="C343" t="s">
        <v>495</v>
      </c>
      <c r="D343" t="s">
        <v>521</v>
      </c>
      <c r="E343" cm="1">
        <f t="array" ref="E343">_xlfn.XLOOKUP(D343,SKU_Master!A:A,SKU_Master!B:B,"Not on master")</f>
        <v>0</v>
      </c>
      <c r="F343" cm="1">
        <f t="array" ref="F343">_xlfn.XLOOKUP(C343,Account_Master!A:A,Account_Master!B:B,"Not on master")</f>
        <v>0</v>
      </c>
      <c r="G343" cm="1">
        <f t="array" ref="G343">_xlfn.XLOOKUP(C343,Account_Master!A:A,Account_Master!C:C,"Not on master")</f>
        <v>0</v>
      </c>
      <c r="H343" s="6">
        <v>37.5</v>
      </c>
      <c r="I343" s="6">
        <v>37.5</v>
      </c>
      <c r="J343" s="6">
        <f>I343-H343</f>
        <v>0</v>
      </c>
      <c r="K343" s="5">
        <f>IF(H343=0,"",J343/H343)</f>
        <v>0</v>
      </c>
      <c r="L343">
        <f>IF(OR(AND(H343=0,ABS(J343)&gt;=0.01),AND(H343&lt;&gt;0,ABS(K343)&gt;VarianceThreshold)),"Review","OK")</f>
        <v>0</v>
      </c>
      <c r="M343" t="s">
        <v>33</v>
      </c>
    </row>
    <row r="344" spans="1:13">
      <c r="A344" t="s">
        <v>0</v>
      </c>
      <c r="B344" t="s">
        <v>511</v>
      </c>
      <c r="C344" t="s">
        <v>54</v>
      </c>
      <c r="D344" t="s">
        <v>522</v>
      </c>
      <c r="E344" cm="1">
        <f t="array" ref="E344">_xlfn.XLOOKUP(D344,SKU_Master!A:A,SKU_Master!B:B,"Not on master")</f>
        <v>0</v>
      </c>
      <c r="F344" cm="1">
        <f t="array" ref="F344">_xlfn.XLOOKUP(C344,Account_Master!A:A,Account_Master!B:B,"Not on master")</f>
        <v>0</v>
      </c>
      <c r="G344" cm="1">
        <f t="array" ref="G344">_xlfn.XLOOKUP(C344,Account_Master!A:A,Account_Master!C:C,"Not on master")</f>
        <v>0</v>
      </c>
      <c r="H344" s="6">
        <v>21</v>
      </c>
      <c r="I344" s="6">
        <v>21</v>
      </c>
      <c r="J344" s="6">
        <f>I344-H344</f>
        <v>0</v>
      </c>
      <c r="K344" s="5">
        <f>IF(H344=0,"",J344/H344)</f>
        <v>0</v>
      </c>
      <c r="L344">
        <f>IF(OR(AND(H344=0,ABS(J344)&gt;=0.01),AND(H344&lt;&gt;0,ABS(K344)&gt;VarianceThreshold)),"Review","OK")</f>
        <v>0</v>
      </c>
      <c r="M344" t="s">
        <v>33</v>
      </c>
    </row>
    <row r="345" spans="1:13">
      <c r="A345" t="s">
        <v>0</v>
      </c>
      <c r="B345" t="s">
        <v>523</v>
      </c>
      <c r="C345" t="s">
        <v>34</v>
      </c>
      <c r="D345" t="s">
        <v>524</v>
      </c>
      <c r="E345" cm="1">
        <f t="array" ref="E345">_xlfn.XLOOKUP(D345,SKU_Master!A:A,SKU_Master!B:B,"Not on master")</f>
        <v>0</v>
      </c>
      <c r="F345" cm="1">
        <f t="array" ref="F345">_xlfn.XLOOKUP(C345,Account_Master!A:A,Account_Master!B:B,"Not on master")</f>
        <v>0</v>
      </c>
      <c r="G345" cm="1">
        <f t="array" ref="G345">_xlfn.XLOOKUP(C345,Account_Master!A:A,Account_Master!C:C,"Not on master")</f>
        <v>0</v>
      </c>
      <c r="H345" s="6">
        <v>151.5</v>
      </c>
      <c r="I345" s="6">
        <v>151.5</v>
      </c>
      <c r="J345" s="6">
        <f>I345-H345</f>
        <v>0</v>
      </c>
      <c r="K345" s="5">
        <f>IF(H345=0,"",J345/H345)</f>
        <v>0</v>
      </c>
      <c r="L345">
        <f>IF(OR(AND(H345=0,ABS(J345)&gt;=0.01),AND(H345&lt;&gt;0,ABS(K345)&gt;VarianceThreshold)),"Review","OK")</f>
        <v>0</v>
      </c>
      <c r="M345" t="s">
        <v>33</v>
      </c>
    </row>
    <row r="346" spans="1:13">
      <c r="A346" t="s">
        <v>0</v>
      </c>
      <c r="B346" t="s">
        <v>523</v>
      </c>
      <c r="C346" t="s">
        <v>82</v>
      </c>
      <c r="D346" t="s">
        <v>525</v>
      </c>
      <c r="E346" cm="1">
        <f t="array" ref="E346">_xlfn.XLOOKUP(D346,SKU_Master!A:A,SKU_Master!B:B,"Not on master")</f>
        <v>0</v>
      </c>
      <c r="F346" cm="1">
        <f t="array" ref="F346">_xlfn.XLOOKUP(C346,Account_Master!A:A,Account_Master!B:B,"Not on master")</f>
        <v>0</v>
      </c>
      <c r="G346" cm="1">
        <f t="array" ref="G346">_xlfn.XLOOKUP(C346,Account_Master!A:A,Account_Master!C:C,"Not on master")</f>
        <v>0</v>
      </c>
      <c r="H346" s="6">
        <v>19.25</v>
      </c>
      <c r="I346" s="6">
        <v>19.25</v>
      </c>
      <c r="J346" s="6">
        <f>I346-H346</f>
        <v>0</v>
      </c>
      <c r="K346" s="5">
        <f>IF(H346=0,"",J346/H346)</f>
        <v>0</v>
      </c>
      <c r="L346">
        <f>IF(OR(AND(H346=0,ABS(J346)&gt;=0.01),AND(H346&lt;&gt;0,ABS(K346)&gt;VarianceThreshold)),"Review","OK")</f>
        <v>0</v>
      </c>
      <c r="M346" t="s">
        <v>33</v>
      </c>
    </row>
    <row r="347" spans="1:13">
      <c r="A347" t="s">
        <v>0</v>
      </c>
      <c r="B347" t="s">
        <v>523</v>
      </c>
      <c r="C347" t="s">
        <v>43</v>
      </c>
      <c r="D347" t="s">
        <v>526</v>
      </c>
      <c r="E347" cm="1">
        <f t="array" ref="E347">_xlfn.XLOOKUP(D347,SKU_Master!A:A,SKU_Master!B:B,"Not on master")</f>
        <v>0</v>
      </c>
      <c r="F347" cm="1">
        <f t="array" ref="F347">_xlfn.XLOOKUP(C347,Account_Master!A:A,Account_Master!B:B,"Not on master")</f>
        <v>0</v>
      </c>
      <c r="G347" cm="1">
        <f t="array" ref="G347">_xlfn.XLOOKUP(C347,Account_Master!A:A,Account_Master!C:C,"Not on master")</f>
        <v>0</v>
      </c>
      <c r="H347" s="6">
        <v>9</v>
      </c>
      <c r="I347" s="6">
        <v>9</v>
      </c>
      <c r="J347" s="6">
        <f>I347-H347</f>
        <v>0</v>
      </c>
      <c r="K347" s="5">
        <f>IF(H347=0,"",J347/H347)</f>
        <v>0</v>
      </c>
      <c r="L347">
        <f>IF(OR(AND(H347=0,ABS(J347)&gt;=0.01),AND(H347&lt;&gt;0,ABS(K347)&gt;VarianceThreshold)),"Review","OK")</f>
        <v>0</v>
      </c>
      <c r="M347" t="s">
        <v>33</v>
      </c>
    </row>
    <row r="348" spans="1:13">
      <c r="A348" t="s">
        <v>0</v>
      </c>
      <c r="B348" t="s">
        <v>523</v>
      </c>
      <c r="C348" t="s">
        <v>304</v>
      </c>
      <c r="D348" t="s">
        <v>527</v>
      </c>
      <c r="E348" cm="1">
        <f t="array" ref="E348">_xlfn.XLOOKUP(D348,SKU_Master!A:A,SKU_Master!B:B,"Not on master")</f>
        <v>0</v>
      </c>
      <c r="F348" cm="1">
        <f t="array" ref="F348">_xlfn.XLOOKUP(C348,Account_Master!A:A,Account_Master!B:B,"Not on master")</f>
        <v>0</v>
      </c>
      <c r="G348" cm="1">
        <f t="array" ref="G348">_xlfn.XLOOKUP(C348,Account_Master!A:A,Account_Master!C:C,"Not on master")</f>
        <v>0</v>
      </c>
      <c r="H348" s="6">
        <v>7</v>
      </c>
      <c r="I348" s="6">
        <v>7</v>
      </c>
      <c r="J348" s="6">
        <f>I348-H348</f>
        <v>0</v>
      </c>
      <c r="K348" s="5">
        <f>IF(H348=0,"",J348/H348)</f>
        <v>0</v>
      </c>
      <c r="L348">
        <f>IF(OR(AND(H348=0,ABS(J348)&gt;=0.01),AND(H348&lt;&gt;0,ABS(K348)&gt;VarianceThreshold)),"Review","OK")</f>
        <v>0</v>
      </c>
      <c r="M348" t="s">
        <v>33</v>
      </c>
    </row>
    <row r="349" spans="1:13">
      <c r="A349" t="s">
        <v>0</v>
      </c>
      <c r="B349" t="s">
        <v>528</v>
      </c>
      <c r="C349" t="s">
        <v>48</v>
      </c>
      <c r="D349" t="s">
        <v>529</v>
      </c>
      <c r="E349" cm="1">
        <f t="array" ref="E349">_xlfn.XLOOKUP(D349,SKU_Master!A:A,SKU_Master!B:B,"Not on master")</f>
        <v>0</v>
      </c>
      <c r="F349" cm="1">
        <f t="array" ref="F349">_xlfn.XLOOKUP(C349,Account_Master!A:A,Account_Master!B:B,"Not on master")</f>
        <v>0</v>
      </c>
      <c r="G349" cm="1">
        <f t="array" ref="G349">_xlfn.XLOOKUP(C349,Account_Master!A:A,Account_Master!C:C,"Not on master")</f>
        <v>0</v>
      </c>
      <c r="H349" s="6">
        <v>3.5</v>
      </c>
      <c r="I349" s="6">
        <v>3.5</v>
      </c>
      <c r="J349" s="6">
        <f>I349-H349</f>
        <v>0</v>
      </c>
      <c r="K349" s="5">
        <f>IF(H349=0,"",J349/H349)</f>
        <v>0</v>
      </c>
      <c r="L349">
        <f>IF(OR(AND(H349=0,ABS(J349)&gt;=0.01),AND(H349&lt;&gt;0,ABS(K349)&gt;VarianceThreshold)),"Review","OK")</f>
        <v>0</v>
      </c>
      <c r="M349" t="s">
        <v>33</v>
      </c>
    </row>
    <row r="350" spans="1:13">
      <c r="A350" t="s">
        <v>0</v>
      </c>
      <c r="B350" t="s">
        <v>528</v>
      </c>
      <c r="C350" t="s">
        <v>110</v>
      </c>
      <c r="D350" t="s">
        <v>530</v>
      </c>
      <c r="E350" cm="1">
        <f t="array" ref="E350">_xlfn.XLOOKUP(D350,SKU_Master!A:A,SKU_Master!B:B,"Not on master")</f>
        <v>0</v>
      </c>
      <c r="F350" cm="1">
        <f t="array" ref="F350">_xlfn.XLOOKUP(C350,Account_Master!A:A,Account_Master!B:B,"Not on master")</f>
        <v>0</v>
      </c>
      <c r="G350" cm="1">
        <f t="array" ref="G350">_xlfn.XLOOKUP(C350,Account_Master!A:A,Account_Master!C:C,"Not on master")</f>
        <v>0</v>
      </c>
      <c r="H350" s="6">
        <v>369</v>
      </c>
      <c r="I350" s="6">
        <v>369</v>
      </c>
      <c r="J350" s="6">
        <f>I350-H350</f>
        <v>0</v>
      </c>
      <c r="K350" s="5">
        <f>IF(H350=0,"",J350/H350)</f>
        <v>0</v>
      </c>
      <c r="L350">
        <f>IF(OR(AND(H350=0,ABS(J350)&gt;=0.01),AND(H350&lt;&gt;0,ABS(K350)&gt;VarianceThreshold)),"Review","OK")</f>
        <v>0</v>
      </c>
      <c r="M350" t="s">
        <v>33</v>
      </c>
    </row>
    <row r="351" spans="1:13">
      <c r="A351" t="s">
        <v>0</v>
      </c>
      <c r="B351" t="s">
        <v>528</v>
      </c>
      <c r="C351" t="s">
        <v>31</v>
      </c>
      <c r="D351" t="s">
        <v>531</v>
      </c>
      <c r="E351" cm="1">
        <f t="array" ref="E351">_xlfn.XLOOKUP(D351,SKU_Master!A:A,SKU_Master!B:B,"Not on master")</f>
        <v>0</v>
      </c>
      <c r="F351" cm="1">
        <f t="array" ref="F351">_xlfn.XLOOKUP(C351,Account_Master!A:A,Account_Master!B:B,"Not on master")</f>
        <v>0</v>
      </c>
      <c r="G351" cm="1">
        <f t="array" ref="G351">_xlfn.XLOOKUP(C351,Account_Master!A:A,Account_Master!C:C,"Not on master")</f>
        <v>0</v>
      </c>
      <c r="H351" s="6">
        <v>12</v>
      </c>
      <c r="I351" s="6">
        <v>12</v>
      </c>
      <c r="J351" s="6">
        <f>I351-H351</f>
        <v>0</v>
      </c>
      <c r="K351" s="5">
        <f>IF(H351=0,"",J351/H351)</f>
        <v>0</v>
      </c>
      <c r="L351">
        <f>IF(OR(AND(H351=0,ABS(J351)&gt;=0.01),AND(H351&lt;&gt;0,ABS(K351)&gt;VarianceThreshold)),"Review","OK")</f>
        <v>0</v>
      </c>
      <c r="M351" t="s">
        <v>33</v>
      </c>
    </row>
    <row r="352" spans="1:13">
      <c r="A352" t="s">
        <v>0</v>
      </c>
      <c r="B352" t="s">
        <v>528</v>
      </c>
      <c r="C352" t="s">
        <v>209</v>
      </c>
      <c r="D352" t="s">
        <v>532</v>
      </c>
      <c r="E352" cm="1">
        <f t="array" ref="E352">_xlfn.XLOOKUP(D352,SKU_Master!A:A,SKU_Master!B:B,"Not on master")</f>
        <v>0</v>
      </c>
      <c r="F352" cm="1">
        <f t="array" ref="F352">_xlfn.XLOOKUP(C352,Account_Master!A:A,Account_Master!B:B,"Not on master")</f>
        <v>0</v>
      </c>
      <c r="G352" cm="1">
        <f t="array" ref="G352">_xlfn.XLOOKUP(C352,Account_Master!A:A,Account_Master!C:C,"Not on master")</f>
        <v>0</v>
      </c>
      <c r="H352" s="6">
        <v>10.5</v>
      </c>
      <c r="I352" s="6">
        <v>10.5</v>
      </c>
      <c r="J352" s="6">
        <f>I352-H352</f>
        <v>0</v>
      </c>
      <c r="K352" s="5">
        <f>IF(H352=0,"",J352/H352)</f>
        <v>0</v>
      </c>
      <c r="L352">
        <f>IF(OR(AND(H352=0,ABS(J352)&gt;=0.01),AND(H352&lt;&gt;0,ABS(K352)&gt;VarianceThreshold)),"Review","OK")</f>
        <v>0</v>
      </c>
      <c r="M352" t="s">
        <v>33</v>
      </c>
    </row>
    <row r="353" spans="1:13">
      <c r="A353" t="s">
        <v>0</v>
      </c>
      <c r="B353" t="s">
        <v>528</v>
      </c>
      <c r="C353" t="s">
        <v>108</v>
      </c>
      <c r="D353" t="s">
        <v>533</v>
      </c>
      <c r="E353" cm="1">
        <f t="array" ref="E353">_xlfn.XLOOKUP(D353,SKU_Master!A:A,SKU_Master!B:B,"Not on master")</f>
        <v>0</v>
      </c>
      <c r="F353" cm="1">
        <f t="array" ref="F353">_xlfn.XLOOKUP(C353,Account_Master!A:A,Account_Master!B:B,"Not on master")</f>
        <v>0</v>
      </c>
      <c r="G353" cm="1">
        <f t="array" ref="G353">_xlfn.XLOOKUP(C353,Account_Master!A:A,Account_Master!C:C,"Not on master")</f>
        <v>0</v>
      </c>
      <c r="H353" s="6">
        <v>10.5</v>
      </c>
      <c r="I353" s="6">
        <v>10.5</v>
      </c>
      <c r="J353" s="6">
        <f>I353-H353</f>
        <v>0</v>
      </c>
      <c r="K353" s="5">
        <f>IF(H353=0,"",J353/H353)</f>
        <v>0</v>
      </c>
      <c r="L353">
        <f>IF(OR(AND(H353=0,ABS(J353)&gt;=0.01),AND(H353&lt;&gt;0,ABS(K353)&gt;VarianceThreshold)),"Review","OK")</f>
        <v>0</v>
      </c>
      <c r="M353" t="s">
        <v>33</v>
      </c>
    </row>
    <row r="354" spans="1:13">
      <c r="A354" t="s">
        <v>0</v>
      </c>
      <c r="B354" t="s">
        <v>528</v>
      </c>
      <c r="C354" t="s">
        <v>56</v>
      </c>
      <c r="D354" t="s">
        <v>534</v>
      </c>
      <c r="E354" cm="1">
        <f t="array" ref="E354">_xlfn.XLOOKUP(D354,SKU_Master!A:A,SKU_Master!B:B,"Not on master")</f>
        <v>0</v>
      </c>
      <c r="F354" cm="1">
        <f t="array" ref="F354">_xlfn.XLOOKUP(C354,Account_Master!A:A,Account_Master!B:B,"Not on master")</f>
        <v>0</v>
      </c>
      <c r="G354" cm="1">
        <f t="array" ref="G354">_xlfn.XLOOKUP(C354,Account_Master!A:A,Account_Master!C:C,"Not on master")</f>
        <v>0</v>
      </c>
      <c r="H354" s="6">
        <v>13.5</v>
      </c>
      <c r="I354" s="6">
        <v>13.5</v>
      </c>
      <c r="J354" s="6">
        <f>I354-H354</f>
        <v>0</v>
      </c>
      <c r="K354" s="5">
        <f>IF(H354=0,"",J354/H354)</f>
        <v>0</v>
      </c>
      <c r="L354">
        <f>IF(OR(AND(H354=0,ABS(J354)&gt;=0.01),AND(H354&lt;&gt;0,ABS(K354)&gt;VarianceThreshold)),"Review","OK")</f>
        <v>0</v>
      </c>
      <c r="M354" t="s">
        <v>33</v>
      </c>
    </row>
    <row r="355" spans="1:13">
      <c r="A355" t="s">
        <v>0</v>
      </c>
      <c r="B355" t="s">
        <v>528</v>
      </c>
      <c r="C355" t="s">
        <v>220</v>
      </c>
      <c r="D355" t="s">
        <v>535</v>
      </c>
      <c r="E355" cm="1">
        <f t="array" ref="E355">_xlfn.XLOOKUP(D355,SKU_Master!A:A,SKU_Master!B:B,"Not on master")</f>
        <v>0</v>
      </c>
      <c r="F355" cm="1">
        <f t="array" ref="F355">_xlfn.XLOOKUP(C355,Account_Master!A:A,Account_Master!B:B,"Not on master")</f>
        <v>0</v>
      </c>
      <c r="G355" cm="1">
        <f t="array" ref="G355">_xlfn.XLOOKUP(C355,Account_Master!A:A,Account_Master!C:C,"Not on master")</f>
        <v>0</v>
      </c>
      <c r="H355" s="6">
        <v>0.75</v>
      </c>
      <c r="I355" s="6">
        <v>0.75</v>
      </c>
      <c r="J355" s="6">
        <f>I355-H355</f>
        <v>0</v>
      </c>
      <c r="K355" s="5">
        <f>IF(H355=0,"",J355/H355)</f>
        <v>0</v>
      </c>
      <c r="L355">
        <f>IF(OR(AND(H355=0,ABS(J355)&gt;=0.01),AND(H355&lt;&gt;0,ABS(K355)&gt;VarianceThreshold)),"Review","OK")</f>
        <v>0</v>
      </c>
      <c r="M355" t="s">
        <v>33</v>
      </c>
    </row>
    <row r="356" spans="1:13">
      <c r="A356" t="s">
        <v>0</v>
      </c>
      <c r="B356" t="s">
        <v>528</v>
      </c>
      <c r="C356" t="s">
        <v>536</v>
      </c>
      <c r="D356" t="s">
        <v>537</v>
      </c>
      <c r="E356" cm="1">
        <f t="array" ref="E356">_xlfn.XLOOKUP(D356,SKU_Master!A:A,SKU_Master!B:B,"Not on master")</f>
        <v>0</v>
      </c>
      <c r="F356" cm="1">
        <f t="array" ref="F356">_xlfn.XLOOKUP(C356,Account_Master!A:A,Account_Master!B:B,"Not on master")</f>
        <v>0</v>
      </c>
      <c r="G356" cm="1">
        <f t="array" ref="G356">_xlfn.XLOOKUP(C356,Account_Master!A:A,Account_Master!C:C,"Not on master")</f>
        <v>0</v>
      </c>
      <c r="H356" s="6">
        <v>1.5</v>
      </c>
      <c r="I356" s="6">
        <v>1.5</v>
      </c>
      <c r="J356" s="6">
        <f>I356-H356</f>
        <v>0</v>
      </c>
      <c r="K356" s="5">
        <f>IF(H356=0,"",J356/H356)</f>
        <v>0</v>
      </c>
      <c r="L356">
        <f>IF(OR(AND(H356=0,ABS(J356)&gt;=0.01),AND(H356&lt;&gt;0,ABS(K356)&gt;VarianceThreshold)),"Review","OK")</f>
        <v>0</v>
      </c>
      <c r="M356" t="s">
        <v>33</v>
      </c>
    </row>
    <row r="357" spans="1:13">
      <c r="A357" t="s">
        <v>0</v>
      </c>
      <c r="B357" t="s">
        <v>538</v>
      </c>
      <c r="C357" t="s">
        <v>45</v>
      </c>
      <c r="D357" t="s">
        <v>539</v>
      </c>
      <c r="E357" cm="1">
        <f t="array" ref="E357">_xlfn.XLOOKUP(D357,SKU_Master!A:A,SKU_Master!B:B,"Not on master")</f>
        <v>0</v>
      </c>
      <c r="F357" cm="1">
        <f t="array" ref="F357">_xlfn.XLOOKUP(C357,Account_Master!A:A,Account_Master!B:B,"Not on master")</f>
        <v>0</v>
      </c>
      <c r="G357" cm="1">
        <f t="array" ref="G357">_xlfn.XLOOKUP(C357,Account_Master!A:A,Account_Master!C:C,"Not on master")</f>
        <v>0</v>
      </c>
      <c r="H357" s="6">
        <v>10.5</v>
      </c>
      <c r="I357" s="6">
        <v>10.5</v>
      </c>
      <c r="J357" s="6">
        <f>I357-H357</f>
        <v>0</v>
      </c>
      <c r="K357" s="5">
        <f>IF(H357=0,"",J357/H357)</f>
        <v>0</v>
      </c>
      <c r="L357">
        <f>IF(OR(AND(H357=0,ABS(J357)&gt;=0.01),AND(H357&lt;&gt;0,ABS(K357)&gt;VarianceThreshold)),"Review","OK")</f>
        <v>0</v>
      </c>
      <c r="M357" t="s">
        <v>33</v>
      </c>
    </row>
    <row r="358" spans="1:13">
      <c r="A358" t="s">
        <v>0</v>
      </c>
      <c r="B358" t="s">
        <v>538</v>
      </c>
      <c r="C358" t="s">
        <v>110</v>
      </c>
      <c r="D358" t="s">
        <v>540</v>
      </c>
      <c r="E358" cm="1">
        <f t="array" ref="E358">_xlfn.XLOOKUP(D358,SKU_Master!A:A,SKU_Master!B:B,"Not on master")</f>
        <v>0</v>
      </c>
      <c r="F358" cm="1">
        <f t="array" ref="F358">_xlfn.XLOOKUP(C358,Account_Master!A:A,Account_Master!B:B,"Not on master")</f>
        <v>0</v>
      </c>
      <c r="G358" cm="1">
        <f t="array" ref="G358">_xlfn.XLOOKUP(C358,Account_Master!A:A,Account_Master!C:C,"Not on master")</f>
        <v>0</v>
      </c>
      <c r="H358" s="6">
        <v>40.5</v>
      </c>
      <c r="I358" s="6">
        <v>40.5</v>
      </c>
      <c r="J358" s="6">
        <f>I358-H358</f>
        <v>0</v>
      </c>
      <c r="K358" s="5">
        <f>IF(H358=0,"",J358/H358)</f>
        <v>0</v>
      </c>
      <c r="L358">
        <f>IF(OR(AND(H358=0,ABS(J358)&gt;=0.01),AND(H358&lt;&gt;0,ABS(K358)&gt;VarianceThreshold)),"Review","OK")</f>
        <v>0</v>
      </c>
      <c r="M358" t="s">
        <v>33</v>
      </c>
    </row>
    <row r="359" spans="1:13">
      <c r="A359" t="s">
        <v>0</v>
      </c>
      <c r="B359" t="s">
        <v>538</v>
      </c>
      <c r="C359" t="s">
        <v>110</v>
      </c>
      <c r="D359" t="s">
        <v>541</v>
      </c>
      <c r="E359" cm="1">
        <f t="array" ref="E359">_xlfn.XLOOKUP(D359,SKU_Master!A:A,SKU_Master!B:B,"Not on master")</f>
        <v>0</v>
      </c>
      <c r="F359" cm="1">
        <f t="array" ref="F359">_xlfn.XLOOKUP(C359,Account_Master!A:A,Account_Master!B:B,"Not on master")</f>
        <v>0</v>
      </c>
      <c r="G359" cm="1">
        <f t="array" ref="G359">_xlfn.XLOOKUP(C359,Account_Master!A:A,Account_Master!C:C,"Not on master")</f>
        <v>0</v>
      </c>
      <c r="H359" s="6">
        <v>281</v>
      </c>
      <c r="I359" s="6">
        <v>281</v>
      </c>
      <c r="J359" s="6">
        <f>I359-H359</f>
        <v>0</v>
      </c>
      <c r="K359" s="5">
        <f>IF(H359=0,"",J359/H359)</f>
        <v>0</v>
      </c>
      <c r="L359">
        <f>IF(OR(AND(H359=0,ABS(J359)&gt;=0.01),AND(H359&lt;&gt;0,ABS(K359)&gt;VarianceThreshold)),"Review","OK")</f>
        <v>0</v>
      </c>
      <c r="M359" t="s">
        <v>33</v>
      </c>
    </row>
    <row r="360" spans="1:13">
      <c r="A360" t="s">
        <v>0</v>
      </c>
      <c r="B360" t="s">
        <v>538</v>
      </c>
      <c r="C360" t="s">
        <v>542</v>
      </c>
      <c r="D360" t="s">
        <v>543</v>
      </c>
      <c r="E360" cm="1">
        <f t="array" ref="E360">_xlfn.XLOOKUP(D360,SKU_Master!A:A,SKU_Master!B:B,"Not on master")</f>
        <v>0</v>
      </c>
      <c r="F360" cm="1">
        <f t="array" ref="F360">_xlfn.XLOOKUP(C360,Account_Master!A:A,Account_Master!B:B,"Not on master")</f>
        <v>0</v>
      </c>
      <c r="G360" cm="1">
        <f t="array" ref="G360">_xlfn.XLOOKUP(C360,Account_Master!A:A,Account_Master!C:C,"Not on master")</f>
        <v>0</v>
      </c>
      <c r="H360" s="6">
        <v>3</v>
      </c>
      <c r="I360" s="6">
        <v>3</v>
      </c>
      <c r="J360" s="6">
        <f>I360-H360</f>
        <v>0</v>
      </c>
      <c r="K360" s="5">
        <f>IF(H360=0,"",J360/H360)</f>
        <v>0</v>
      </c>
      <c r="L360">
        <f>IF(OR(AND(H360=0,ABS(J360)&gt;=0.01),AND(H360&lt;&gt;0,ABS(K360)&gt;VarianceThreshold)),"Review","OK")</f>
        <v>0</v>
      </c>
      <c r="M360" t="s">
        <v>33</v>
      </c>
    </row>
    <row r="361" spans="1:13">
      <c r="A361" t="s">
        <v>0</v>
      </c>
      <c r="B361" t="s">
        <v>538</v>
      </c>
      <c r="C361" t="s">
        <v>34</v>
      </c>
      <c r="D361" t="s">
        <v>544</v>
      </c>
      <c r="E361" cm="1">
        <f t="array" ref="E361">_xlfn.XLOOKUP(D361,SKU_Master!A:A,SKU_Master!B:B,"Not on master")</f>
        <v>0</v>
      </c>
      <c r="F361" cm="1">
        <f t="array" ref="F361">_xlfn.XLOOKUP(C361,Account_Master!A:A,Account_Master!B:B,"Not on master")</f>
        <v>0</v>
      </c>
      <c r="G361" cm="1">
        <f t="array" ref="G361">_xlfn.XLOOKUP(C361,Account_Master!A:A,Account_Master!C:C,"Not on master")</f>
        <v>0</v>
      </c>
      <c r="H361" s="6">
        <v>1.5</v>
      </c>
      <c r="I361" s="6">
        <v>1.5</v>
      </c>
      <c r="J361" s="6">
        <f>I361-H361</f>
        <v>0</v>
      </c>
      <c r="K361" s="5">
        <f>IF(H361=0,"",J361/H361)</f>
        <v>0</v>
      </c>
      <c r="L361">
        <f>IF(OR(AND(H361=0,ABS(J361)&gt;=0.01),AND(H361&lt;&gt;0,ABS(K361)&gt;VarianceThreshold)),"Review","OK")</f>
        <v>0</v>
      </c>
      <c r="M361" t="s">
        <v>33</v>
      </c>
    </row>
    <row r="362" spans="1:13">
      <c r="A362" t="s">
        <v>0</v>
      </c>
      <c r="B362" t="s">
        <v>538</v>
      </c>
      <c r="C362" t="s">
        <v>34</v>
      </c>
      <c r="D362" t="s">
        <v>545</v>
      </c>
      <c r="E362" cm="1">
        <f t="array" ref="E362">_xlfn.XLOOKUP(D362,SKU_Master!A:A,SKU_Master!B:B,"Not on master")</f>
        <v>0</v>
      </c>
      <c r="F362" cm="1">
        <f t="array" ref="F362">_xlfn.XLOOKUP(C362,Account_Master!A:A,Account_Master!B:B,"Not on master")</f>
        <v>0</v>
      </c>
      <c r="G362" cm="1">
        <f t="array" ref="G362">_xlfn.XLOOKUP(C362,Account_Master!A:A,Account_Master!C:C,"Not on master")</f>
        <v>0</v>
      </c>
      <c r="H362" s="6">
        <v>10.5</v>
      </c>
      <c r="I362" s="6">
        <v>10.5</v>
      </c>
      <c r="J362" s="6">
        <f>I362-H362</f>
        <v>0</v>
      </c>
      <c r="K362" s="5">
        <f>IF(H362=0,"",J362/H362)</f>
        <v>0</v>
      </c>
      <c r="L362">
        <f>IF(OR(AND(H362=0,ABS(J362)&gt;=0.01),AND(H362&lt;&gt;0,ABS(K362)&gt;VarianceThreshold)),"Review","OK")</f>
        <v>0</v>
      </c>
      <c r="M362" t="s">
        <v>33</v>
      </c>
    </row>
    <row r="363" spans="1:13">
      <c r="A363" t="s">
        <v>0</v>
      </c>
      <c r="B363" t="s">
        <v>538</v>
      </c>
      <c r="C363" t="s">
        <v>145</v>
      </c>
      <c r="D363" t="s">
        <v>546</v>
      </c>
      <c r="E363" cm="1">
        <f t="array" ref="E363">_xlfn.XLOOKUP(D363,SKU_Master!A:A,SKU_Master!B:B,"Not on master")</f>
        <v>0</v>
      </c>
      <c r="F363" cm="1">
        <f t="array" ref="F363">_xlfn.XLOOKUP(C363,Account_Master!A:A,Account_Master!B:B,"Not on master")</f>
        <v>0</v>
      </c>
      <c r="G363" cm="1">
        <f t="array" ref="G363">_xlfn.XLOOKUP(C363,Account_Master!A:A,Account_Master!C:C,"Not on master")</f>
        <v>0</v>
      </c>
      <c r="H363" s="6">
        <v>21</v>
      </c>
      <c r="I363" s="6">
        <v>21</v>
      </c>
      <c r="J363" s="6">
        <f>I363-H363</f>
        <v>0</v>
      </c>
      <c r="K363" s="5">
        <f>IF(H363=0,"",J363/H363)</f>
        <v>0</v>
      </c>
      <c r="L363">
        <f>IF(OR(AND(H363=0,ABS(J363)&gt;=0.01),AND(H363&lt;&gt;0,ABS(K363)&gt;VarianceThreshold)),"Review","OK")</f>
        <v>0</v>
      </c>
      <c r="M363" t="s">
        <v>33</v>
      </c>
    </row>
    <row r="364" spans="1:13">
      <c r="A364" t="s">
        <v>0</v>
      </c>
      <c r="B364" t="s">
        <v>538</v>
      </c>
      <c r="C364" t="s">
        <v>440</v>
      </c>
      <c r="D364" t="s">
        <v>547</v>
      </c>
      <c r="E364" cm="1">
        <f t="array" ref="E364">_xlfn.XLOOKUP(D364,SKU_Master!A:A,SKU_Master!B:B,"Not on master")</f>
        <v>0</v>
      </c>
      <c r="F364" cm="1">
        <f t="array" ref="F364">_xlfn.XLOOKUP(C364,Account_Master!A:A,Account_Master!B:B,"Not on master")</f>
        <v>0</v>
      </c>
      <c r="G364" cm="1">
        <f t="array" ref="G364">_xlfn.XLOOKUP(C364,Account_Master!A:A,Account_Master!C:C,"Not on master")</f>
        <v>0</v>
      </c>
      <c r="H364" s="6">
        <v>0.05</v>
      </c>
      <c r="I364" s="6">
        <v>0.05</v>
      </c>
      <c r="J364" s="6">
        <f>I364-H364</f>
        <v>0</v>
      </c>
      <c r="K364" s="5">
        <f>IF(H364=0,"",J364/H364)</f>
        <v>0</v>
      </c>
      <c r="L364">
        <f>IF(OR(AND(H364=0,ABS(J364)&gt;=0.01),AND(H364&lt;&gt;0,ABS(K364)&gt;VarianceThreshold)),"Review","OK")</f>
        <v>0</v>
      </c>
      <c r="M364" t="s">
        <v>33</v>
      </c>
    </row>
    <row r="365" spans="1:13">
      <c r="A365" t="s">
        <v>0</v>
      </c>
      <c r="B365" t="s">
        <v>538</v>
      </c>
      <c r="C365" t="s">
        <v>82</v>
      </c>
      <c r="D365" t="s">
        <v>548</v>
      </c>
      <c r="E365" cm="1">
        <f t="array" ref="E365">_xlfn.XLOOKUP(D365,SKU_Master!A:A,SKU_Master!B:B,"Not on master")</f>
        <v>0</v>
      </c>
      <c r="F365" cm="1">
        <f t="array" ref="F365">_xlfn.XLOOKUP(C365,Account_Master!A:A,Account_Master!B:B,"Not on master")</f>
        <v>0</v>
      </c>
      <c r="G365" cm="1">
        <f t="array" ref="G365">_xlfn.XLOOKUP(C365,Account_Master!A:A,Account_Master!C:C,"Not on master")</f>
        <v>0</v>
      </c>
      <c r="H365" s="6">
        <v>9</v>
      </c>
      <c r="I365" s="6">
        <v>9</v>
      </c>
      <c r="J365" s="6">
        <f>I365-H365</f>
        <v>0</v>
      </c>
      <c r="K365" s="5">
        <f>IF(H365=0,"",J365/H365)</f>
        <v>0</v>
      </c>
      <c r="L365">
        <f>IF(OR(AND(H365=0,ABS(J365)&gt;=0.01),AND(H365&lt;&gt;0,ABS(K365)&gt;VarianceThreshold)),"Review","OK")</f>
        <v>0</v>
      </c>
      <c r="M365" t="s">
        <v>33</v>
      </c>
    </row>
    <row r="366" spans="1:13">
      <c r="A366" t="s">
        <v>0</v>
      </c>
      <c r="B366" t="s">
        <v>538</v>
      </c>
      <c r="C366" t="s">
        <v>126</v>
      </c>
      <c r="D366" t="s">
        <v>549</v>
      </c>
      <c r="E366" cm="1">
        <f t="array" ref="E366">_xlfn.XLOOKUP(D366,SKU_Master!A:A,SKU_Master!B:B,"Not on master")</f>
        <v>0</v>
      </c>
      <c r="F366" cm="1">
        <f t="array" ref="F366">_xlfn.XLOOKUP(C366,Account_Master!A:A,Account_Master!B:B,"Not on master")</f>
        <v>0</v>
      </c>
      <c r="G366" cm="1">
        <f t="array" ref="G366">_xlfn.XLOOKUP(C366,Account_Master!A:A,Account_Master!C:C,"Not on master")</f>
        <v>0</v>
      </c>
      <c r="H366" s="6">
        <v>15</v>
      </c>
      <c r="I366" s="6">
        <v>15</v>
      </c>
      <c r="J366" s="6">
        <f>I366-H366</f>
        <v>0</v>
      </c>
      <c r="K366" s="5">
        <f>IF(H366=0,"",J366/H366)</f>
        <v>0</v>
      </c>
      <c r="L366">
        <f>IF(OR(AND(H366=0,ABS(J366)&gt;=0.01),AND(H366&lt;&gt;0,ABS(K366)&gt;VarianceThreshold)),"Review","OK")</f>
        <v>0</v>
      </c>
      <c r="M366" t="s">
        <v>33</v>
      </c>
    </row>
    <row r="367" spans="1:13">
      <c r="A367" t="s">
        <v>0</v>
      </c>
      <c r="B367" t="s">
        <v>538</v>
      </c>
      <c r="C367" t="s">
        <v>59</v>
      </c>
      <c r="D367" t="s">
        <v>550</v>
      </c>
      <c r="E367" cm="1">
        <f t="array" ref="E367">_xlfn.XLOOKUP(D367,SKU_Master!A:A,SKU_Master!B:B,"Not on master")</f>
        <v>0</v>
      </c>
      <c r="F367" cm="1">
        <f t="array" ref="F367">_xlfn.XLOOKUP(C367,Account_Master!A:A,Account_Master!B:B,"Not on master")</f>
        <v>0</v>
      </c>
      <c r="G367" cm="1">
        <f t="array" ref="G367">_xlfn.XLOOKUP(C367,Account_Master!A:A,Account_Master!C:C,"Not on master")</f>
        <v>0</v>
      </c>
      <c r="H367" s="6">
        <v>22.5</v>
      </c>
      <c r="I367" s="6">
        <v>22.5</v>
      </c>
      <c r="J367" s="6">
        <f>I367-H367</f>
        <v>0</v>
      </c>
      <c r="K367" s="5">
        <f>IF(H367=0,"",J367/H367)</f>
        <v>0</v>
      </c>
      <c r="L367">
        <f>IF(OR(AND(H367=0,ABS(J367)&gt;=0.01),AND(H367&lt;&gt;0,ABS(K367)&gt;VarianceThreshold)),"Review","OK")</f>
        <v>0</v>
      </c>
      <c r="M367" t="s">
        <v>33</v>
      </c>
    </row>
    <row r="368" spans="1:13">
      <c r="A368" t="s">
        <v>0</v>
      </c>
      <c r="B368" t="s">
        <v>538</v>
      </c>
      <c r="C368" t="s">
        <v>84</v>
      </c>
      <c r="D368" t="s">
        <v>551</v>
      </c>
      <c r="E368" cm="1">
        <f t="array" ref="E368">_xlfn.XLOOKUP(D368,SKU_Master!A:A,SKU_Master!B:B,"Not on master")</f>
        <v>0</v>
      </c>
      <c r="F368" cm="1">
        <f t="array" ref="F368">_xlfn.XLOOKUP(C368,Account_Master!A:A,Account_Master!B:B,"Not on master")</f>
        <v>0</v>
      </c>
      <c r="G368" cm="1">
        <f t="array" ref="G368">_xlfn.XLOOKUP(C368,Account_Master!A:A,Account_Master!C:C,"Not on master")</f>
        <v>0</v>
      </c>
      <c r="H368" s="6">
        <v>9</v>
      </c>
      <c r="I368" s="6">
        <v>9</v>
      </c>
      <c r="J368" s="6">
        <f>I368-H368</f>
        <v>0</v>
      </c>
      <c r="K368" s="5">
        <f>IF(H368=0,"",J368/H368)</f>
        <v>0</v>
      </c>
      <c r="L368">
        <f>IF(OR(AND(H368=0,ABS(J368)&gt;=0.01),AND(H368&lt;&gt;0,ABS(K368)&gt;VarianceThreshold)),"Review","OK")</f>
        <v>0</v>
      </c>
      <c r="M368" t="s">
        <v>33</v>
      </c>
    </row>
    <row r="369" spans="1:13">
      <c r="A369" t="s">
        <v>0</v>
      </c>
      <c r="B369" t="s">
        <v>552</v>
      </c>
      <c r="C369" t="s">
        <v>209</v>
      </c>
      <c r="D369" t="s">
        <v>553</v>
      </c>
      <c r="E369" cm="1">
        <f t="array" ref="E369">_xlfn.XLOOKUP(D369,SKU_Master!A:A,SKU_Master!B:B,"Not on master")</f>
        <v>0</v>
      </c>
      <c r="F369" cm="1">
        <f t="array" ref="F369">_xlfn.XLOOKUP(C369,Account_Master!A:A,Account_Master!B:B,"Not on master")</f>
        <v>0</v>
      </c>
      <c r="G369" cm="1">
        <f t="array" ref="G369">_xlfn.XLOOKUP(C369,Account_Master!A:A,Account_Master!C:C,"Not on master")</f>
        <v>0</v>
      </c>
      <c r="H369" s="6">
        <v>191.25</v>
      </c>
      <c r="I369" s="6">
        <v>191.25</v>
      </c>
      <c r="J369" s="6">
        <f>I369-H369</f>
        <v>0</v>
      </c>
      <c r="K369" s="5">
        <f>IF(H369=0,"",J369/H369)</f>
        <v>0</v>
      </c>
      <c r="L369">
        <f>IF(OR(AND(H369=0,ABS(J369)&gt;=0.01),AND(H369&lt;&gt;0,ABS(K369)&gt;VarianceThreshold)),"Review","OK")</f>
        <v>0</v>
      </c>
      <c r="M369" t="s">
        <v>33</v>
      </c>
    </row>
    <row r="370" spans="1:13">
      <c r="A370" t="s">
        <v>0</v>
      </c>
      <c r="B370" t="s">
        <v>552</v>
      </c>
      <c r="C370" t="s">
        <v>45</v>
      </c>
      <c r="D370" t="s">
        <v>554</v>
      </c>
      <c r="E370" cm="1">
        <f t="array" ref="E370">_xlfn.XLOOKUP(D370,SKU_Master!A:A,SKU_Master!B:B,"Not on master")</f>
        <v>0</v>
      </c>
      <c r="F370" cm="1">
        <f t="array" ref="F370">_xlfn.XLOOKUP(C370,Account_Master!A:A,Account_Master!B:B,"Not on master")</f>
        <v>0</v>
      </c>
      <c r="G370" cm="1">
        <f t="array" ref="G370">_xlfn.XLOOKUP(C370,Account_Master!A:A,Account_Master!C:C,"Not on master")</f>
        <v>0</v>
      </c>
      <c r="H370" s="6">
        <v>15.75</v>
      </c>
      <c r="I370" s="6">
        <v>15.75</v>
      </c>
      <c r="J370" s="6">
        <f>I370-H370</f>
        <v>0</v>
      </c>
      <c r="K370" s="5">
        <f>IF(H370=0,"",J370/H370)</f>
        <v>0</v>
      </c>
      <c r="L370">
        <f>IF(OR(AND(H370=0,ABS(J370)&gt;=0.01),AND(H370&lt;&gt;0,ABS(K370)&gt;VarianceThreshold)),"Review","OK")</f>
        <v>0</v>
      </c>
      <c r="M370" t="s">
        <v>33</v>
      </c>
    </row>
    <row r="371" spans="1:13">
      <c r="A371" t="s">
        <v>0</v>
      </c>
      <c r="B371" t="s">
        <v>552</v>
      </c>
      <c r="C371" t="s">
        <v>82</v>
      </c>
      <c r="D371" t="s">
        <v>555</v>
      </c>
      <c r="E371" cm="1">
        <f t="array" ref="E371">_xlfn.XLOOKUP(D371,SKU_Master!A:A,SKU_Master!B:B,"Not on master")</f>
        <v>0</v>
      </c>
      <c r="F371" cm="1">
        <f t="array" ref="F371">_xlfn.XLOOKUP(C371,Account_Master!A:A,Account_Master!B:B,"Not on master")</f>
        <v>0</v>
      </c>
      <c r="G371" cm="1">
        <f t="array" ref="G371">_xlfn.XLOOKUP(C371,Account_Master!A:A,Account_Master!C:C,"Not on master")</f>
        <v>0</v>
      </c>
      <c r="H371" s="6">
        <v>4.5</v>
      </c>
      <c r="I371" s="6">
        <v>4.5</v>
      </c>
      <c r="J371" s="6">
        <f>I371-H371</f>
        <v>0</v>
      </c>
      <c r="K371" s="5">
        <f>IF(H371=0,"",J371/H371)</f>
        <v>0</v>
      </c>
      <c r="L371">
        <f>IF(OR(AND(H371=0,ABS(J371)&gt;=0.01),AND(H371&lt;&gt;0,ABS(K371)&gt;VarianceThreshold)),"Review","OK")</f>
        <v>0</v>
      </c>
      <c r="M371" t="s">
        <v>33</v>
      </c>
    </row>
    <row r="372" spans="1:13">
      <c r="A372" t="s">
        <v>0</v>
      </c>
      <c r="B372" t="s">
        <v>552</v>
      </c>
      <c r="C372" t="s">
        <v>126</v>
      </c>
      <c r="D372" t="s">
        <v>556</v>
      </c>
      <c r="E372" cm="1">
        <f t="array" ref="E372">_xlfn.XLOOKUP(D372,SKU_Master!A:A,SKU_Master!B:B,"Not on master")</f>
        <v>0</v>
      </c>
      <c r="F372" cm="1">
        <f t="array" ref="F372">_xlfn.XLOOKUP(C372,Account_Master!A:A,Account_Master!B:B,"Not on master")</f>
        <v>0</v>
      </c>
      <c r="G372" cm="1">
        <f t="array" ref="G372">_xlfn.XLOOKUP(C372,Account_Master!A:A,Account_Master!C:C,"Not on master")</f>
        <v>0</v>
      </c>
      <c r="H372" s="6">
        <v>42.75</v>
      </c>
      <c r="I372" s="6">
        <v>42.75</v>
      </c>
      <c r="J372" s="6">
        <f>I372-H372</f>
        <v>0</v>
      </c>
      <c r="K372" s="5">
        <f>IF(H372=0,"",J372/H372)</f>
        <v>0</v>
      </c>
      <c r="L372">
        <f>IF(OR(AND(H372=0,ABS(J372)&gt;=0.01),AND(H372&lt;&gt;0,ABS(K372)&gt;VarianceThreshold)),"Review","OK")</f>
        <v>0</v>
      </c>
      <c r="M372" t="s">
        <v>33</v>
      </c>
    </row>
    <row r="373" spans="1:13">
      <c r="A373" t="s">
        <v>0</v>
      </c>
      <c r="B373" t="s">
        <v>552</v>
      </c>
      <c r="C373" t="s">
        <v>438</v>
      </c>
      <c r="D373" t="s">
        <v>557</v>
      </c>
      <c r="E373" cm="1">
        <f t="array" ref="E373">_xlfn.XLOOKUP(D373,SKU_Master!A:A,SKU_Master!B:B,"Not on master")</f>
        <v>0</v>
      </c>
      <c r="F373" cm="1">
        <f t="array" ref="F373">_xlfn.XLOOKUP(C373,Account_Master!A:A,Account_Master!B:B,"Not on master")</f>
        <v>0</v>
      </c>
      <c r="G373" cm="1">
        <f t="array" ref="G373">_xlfn.XLOOKUP(C373,Account_Master!A:A,Account_Master!C:C,"Not on master")</f>
        <v>0</v>
      </c>
      <c r="H373" s="6">
        <v>4.5</v>
      </c>
      <c r="I373" s="6">
        <v>4.5</v>
      </c>
      <c r="J373" s="6">
        <f>I373-H373</f>
        <v>0</v>
      </c>
      <c r="K373" s="5">
        <f>IF(H373=0,"",J373/H373)</f>
        <v>0</v>
      </c>
      <c r="L373">
        <f>IF(OR(AND(H373=0,ABS(J373)&gt;=0.01),AND(H373&lt;&gt;0,ABS(K373)&gt;VarianceThreshold)),"Review","OK")</f>
        <v>0</v>
      </c>
      <c r="M373" t="s">
        <v>33</v>
      </c>
    </row>
    <row r="374" spans="1:13">
      <c r="A374" t="s">
        <v>0</v>
      </c>
      <c r="B374" t="s">
        <v>558</v>
      </c>
      <c r="C374" t="s">
        <v>93</v>
      </c>
      <c r="D374" t="s">
        <v>559</v>
      </c>
      <c r="E374" cm="1">
        <f t="array" ref="E374">_xlfn.XLOOKUP(D374,SKU_Master!A:A,SKU_Master!B:B,"Not on master")</f>
        <v>0</v>
      </c>
      <c r="F374" cm="1">
        <f t="array" ref="F374">_xlfn.XLOOKUP(C374,Account_Master!A:A,Account_Master!B:B,"Not on master")</f>
        <v>0</v>
      </c>
      <c r="G374" cm="1">
        <f t="array" ref="G374">_xlfn.XLOOKUP(C374,Account_Master!A:A,Account_Master!C:C,"Not on master")</f>
        <v>0</v>
      </c>
      <c r="H374" s="6">
        <v>5.25</v>
      </c>
      <c r="I374" s="6">
        <v>5.25</v>
      </c>
      <c r="J374" s="6">
        <f>I374-H374</f>
        <v>0</v>
      </c>
      <c r="K374" s="5">
        <f>IF(H374=0,"",J374/H374)</f>
        <v>0</v>
      </c>
      <c r="L374">
        <f>IF(OR(AND(H374=0,ABS(J374)&gt;=0.01),AND(H374&lt;&gt;0,ABS(K374)&gt;VarianceThreshold)),"Review","OK")</f>
        <v>0</v>
      </c>
      <c r="M374" t="s">
        <v>33</v>
      </c>
    </row>
    <row r="375" spans="1:13">
      <c r="A375" t="s">
        <v>0</v>
      </c>
      <c r="B375" t="s">
        <v>558</v>
      </c>
      <c r="C375" t="s">
        <v>502</v>
      </c>
      <c r="D375" t="s">
        <v>560</v>
      </c>
      <c r="E375" cm="1">
        <f t="array" ref="E375">_xlfn.XLOOKUP(D375,SKU_Master!A:A,SKU_Master!B:B,"Not on master")</f>
        <v>0</v>
      </c>
      <c r="F375" cm="1">
        <f t="array" ref="F375">_xlfn.XLOOKUP(C375,Account_Master!A:A,Account_Master!B:B,"Not on master")</f>
        <v>0</v>
      </c>
      <c r="G375" cm="1">
        <f t="array" ref="G375">_xlfn.XLOOKUP(C375,Account_Master!A:A,Account_Master!C:C,"Not on master")</f>
        <v>0</v>
      </c>
      <c r="H375" s="6">
        <v>1.1</v>
      </c>
      <c r="I375" s="6">
        <v>1.1</v>
      </c>
      <c r="J375" s="6">
        <f>I375-H375</f>
        <v>0</v>
      </c>
      <c r="K375" s="5">
        <f>IF(H375=0,"",J375/H375)</f>
        <v>0</v>
      </c>
      <c r="L375">
        <f>IF(OR(AND(H375=0,ABS(J375)&gt;=0.01),AND(H375&lt;&gt;0,ABS(K375)&gt;VarianceThreshold)),"Review","OK")</f>
        <v>0</v>
      </c>
      <c r="M375" t="s">
        <v>33</v>
      </c>
    </row>
    <row r="376" spans="1:13">
      <c r="A376" t="s">
        <v>0</v>
      </c>
      <c r="B376" t="s">
        <v>558</v>
      </c>
      <c r="C376" t="s">
        <v>43</v>
      </c>
      <c r="D376" t="s">
        <v>561</v>
      </c>
      <c r="E376" cm="1">
        <f t="array" ref="E376">_xlfn.XLOOKUP(D376,SKU_Master!A:A,SKU_Master!B:B,"Not on master")</f>
        <v>0</v>
      </c>
      <c r="F376" cm="1">
        <f t="array" ref="F376">_xlfn.XLOOKUP(C376,Account_Master!A:A,Account_Master!B:B,"Not on master")</f>
        <v>0</v>
      </c>
      <c r="G376" cm="1">
        <f t="array" ref="G376">_xlfn.XLOOKUP(C376,Account_Master!A:A,Account_Master!C:C,"Not on master")</f>
        <v>0</v>
      </c>
      <c r="H376" s="6">
        <v>84</v>
      </c>
      <c r="I376" s="6">
        <v>84</v>
      </c>
      <c r="J376" s="6">
        <f>I376-H376</f>
        <v>0</v>
      </c>
      <c r="K376" s="5">
        <f>IF(H376=0,"",J376/H376)</f>
        <v>0</v>
      </c>
      <c r="L376">
        <f>IF(OR(AND(H376=0,ABS(J376)&gt;=0.01),AND(H376&lt;&gt;0,ABS(K376)&gt;VarianceThreshold)),"Review","OK")</f>
        <v>0</v>
      </c>
      <c r="M376" t="s">
        <v>33</v>
      </c>
    </row>
    <row r="377" spans="1:13">
      <c r="A377" t="s">
        <v>0</v>
      </c>
      <c r="B377" t="s">
        <v>558</v>
      </c>
      <c r="C377" t="s">
        <v>495</v>
      </c>
      <c r="D377" t="s">
        <v>562</v>
      </c>
      <c r="E377" cm="1">
        <f t="array" ref="E377">_xlfn.XLOOKUP(D377,SKU_Master!A:A,SKU_Master!B:B,"Not on master")</f>
        <v>0</v>
      </c>
      <c r="F377" cm="1">
        <f t="array" ref="F377">_xlfn.XLOOKUP(C377,Account_Master!A:A,Account_Master!B:B,"Not on master")</f>
        <v>0</v>
      </c>
      <c r="G377" cm="1">
        <f t="array" ref="G377">_xlfn.XLOOKUP(C377,Account_Master!A:A,Account_Master!C:C,"Not on master")</f>
        <v>0</v>
      </c>
      <c r="H377" s="6">
        <v>54</v>
      </c>
      <c r="I377" s="6">
        <v>54</v>
      </c>
      <c r="J377" s="6">
        <f>I377-H377</f>
        <v>0</v>
      </c>
      <c r="K377" s="5">
        <f>IF(H377=0,"",J377/H377)</f>
        <v>0</v>
      </c>
      <c r="L377">
        <f>IF(OR(AND(H377=0,ABS(J377)&gt;=0.01),AND(H377&lt;&gt;0,ABS(K377)&gt;VarianceThreshold)),"Review","OK")</f>
        <v>0</v>
      </c>
      <c r="M377" t="s">
        <v>33</v>
      </c>
    </row>
    <row r="378" spans="1:13">
      <c r="A378" t="s">
        <v>0</v>
      </c>
      <c r="B378" t="s">
        <v>563</v>
      </c>
      <c r="C378" t="s">
        <v>110</v>
      </c>
      <c r="D378" t="s">
        <v>564</v>
      </c>
      <c r="E378" cm="1">
        <f t="array" ref="E378">_xlfn.XLOOKUP(D378,SKU_Master!A:A,SKU_Master!B:B,"Not on master")</f>
        <v>0</v>
      </c>
      <c r="F378" cm="1">
        <f t="array" ref="F378">_xlfn.XLOOKUP(C378,Account_Master!A:A,Account_Master!B:B,"Not on master")</f>
        <v>0</v>
      </c>
      <c r="G378" cm="1">
        <f t="array" ref="G378">_xlfn.XLOOKUP(C378,Account_Master!A:A,Account_Master!C:C,"Not on master")</f>
        <v>0</v>
      </c>
      <c r="H378" s="6">
        <v>96</v>
      </c>
      <c r="I378" s="6">
        <v>96</v>
      </c>
      <c r="J378" s="6">
        <f>I378-H378</f>
        <v>0</v>
      </c>
      <c r="K378" s="5">
        <f>IF(H378=0,"",J378/H378)</f>
        <v>0</v>
      </c>
      <c r="L378">
        <f>IF(OR(AND(H378=0,ABS(J378)&gt;=0.01),AND(H378&lt;&gt;0,ABS(K378)&gt;VarianceThreshold)),"Review","OK")</f>
        <v>0</v>
      </c>
      <c r="M378" t="s">
        <v>33</v>
      </c>
    </row>
    <row r="379" spans="1:13">
      <c r="A379" t="s">
        <v>0</v>
      </c>
      <c r="B379" t="s">
        <v>563</v>
      </c>
      <c r="C379" t="s">
        <v>565</v>
      </c>
      <c r="D379" t="s">
        <v>566</v>
      </c>
      <c r="E379" cm="1">
        <f t="array" ref="E379">_xlfn.XLOOKUP(D379,SKU_Master!A:A,SKU_Master!B:B,"Not on master")</f>
        <v>0</v>
      </c>
      <c r="F379" cm="1">
        <f t="array" ref="F379">_xlfn.XLOOKUP(C379,Account_Master!A:A,Account_Master!B:B,"Not on master")</f>
        <v>0</v>
      </c>
      <c r="G379" cm="1">
        <f t="array" ref="G379">_xlfn.XLOOKUP(C379,Account_Master!A:A,Account_Master!C:C,"Not on master")</f>
        <v>0</v>
      </c>
      <c r="H379" s="6">
        <v>115.07</v>
      </c>
      <c r="I379" s="6">
        <v>115.07</v>
      </c>
      <c r="J379" s="6">
        <f>I379-H379</f>
        <v>0</v>
      </c>
      <c r="K379" s="5">
        <f>IF(H379=0,"",J379/H379)</f>
        <v>0</v>
      </c>
      <c r="L379">
        <f>IF(OR(AND(H379=0,ABS(J379)&gt;=0.01),AND(H379&lt;&gt;0,ABS(K379)&gt;VarianceThreshold)),"Review","OK")</f>
        <v>0</v>
      </c>
      <c r="M379" t="s">
        <v>33</v>
      </c>
    </row>
    <row r="380" spans="1:13">
      <c r="A380" t="s">
        <v>0</v>
      </c>
      <c r="B380" t="s">
        <v>563</v>
      </c>
      <c r="C380" t="s">
        <v>128</v>
      </c>
      <c r="D380" t="s">
        <v>567</v>
      </c>
      <c r="E380" cm="1">
        <f t="array" ref="E380">_xlfn.XLOOKUP(D380,SKU_Master!A:A,SKU_Master!B:B,"Not on master")</f>
        <v>0</v>
      </c>
      <c r="F380" cm="1">
        <f t="array" ref="F380">_xlfn.XLOOKUP(C380,Account_Master!A:A,Account_Master!B:B,"Not on master")</f>
        <v>0</v>
      </c>
      <c r="G380" cm="1">
        <f t="array" ref="G380">_xlfn.XLOOKUP(C380,Account_Master!A:A,Account_Master!C:C,"Not on master")</f>
        <v>0</v>
      </c>
      <c r="H380" s="6">
        <v>9</v>
      </c>
      <c r="I380" s="6">
        <v>9</v>
      </c>
      <c r="J380" s="6">
        <f>I380-H380</f>
        <v>0</v>
      </c>
      <c r="K380" s="5">
        <f>IF(H380=0,"",J380/H380)</f>
        <v>0</v>
      </c>
      <c r="L380">
        <f>IF(OR(AND(H380=0,ABS(J380)&gt;=0.01),AND(H380&lt;&gt;0,ABS(K380)&gt;VarianceThreshold)),"Review","OK")</f>
        <v>0</v>
      </c>
      <c r="M380" t="s">
        <v>33</v>
      </c>
    </row>
    <row r="381" spans="1:13">
      <c r="A381" t="s">
        <v>0</v>
      </c>
      <c r="B381" t="s">
        <v>563</v>
      </c>
      <c r="C381" t="s">
        <v>93</v>
      </c>
      <c r="D381" t="s">
        <v>568</v>
      </c>
      <c r="E381" cm="1">
        <f t="array" ref="E381">_xlfn.XLOOKUP(D381,SKU_Master!A:A,SKU_Master!B:B,"Not on master")</f>
        <v>0</v>
      </c>
      <c r="F381" cm="1">
        <f t="array" ref="F381">_xlfn.XLOOKUP(C381,Account_Master!A:A,Account_Master!B:B,"Not on master")</f>
        <v>0</v>
      </c>
      <c r="G381" cm="1">
        <f t="array" ref="G381">_xlfn.XLOOKUP(C381,Account_Master!A:A,Account_Master!C:C,"Not on master")</f>
        <v>0</v>
      </c>
      <c r="H381" s="6">
        <v>10.5</v>
      </c>
      <c r="I381" s="6">
        <v>10.5</v>
      </c>
      <c r="J381" s="6">
        <f>I381-H381</f>
        <v>0</v>
      </c>
      <c r="K381" s="5">
        <f>IF(H381=0,"",J381/H381)</f>
        <v>0</v>
      </c>
      <c r="L381">
        <f>IF(OR(AND(H381=0,ABS(J381)&gt;=0.01),AND(H381&lt;&gt;0,ABS(K381)&gt;VarianceThreshold)),"Review","OK")</f>
        <v>0</v>
      </c>
      <c r="M381" t="s">
        <v>33</v>
      </c>
    </row>
    <row r="382" spans="1:13">
      <c r="A382" t="s">
        <v>0</v>
      </c>
      <c r="B382" t="s">
        <v>563</v>
      </c>
      <c r="C382" t="s">
        <v>77</v>
      </c>
      <c r="D382" t="s">
        <v>569</v>
      </c>
      <c r="E382" cm="1">
        <f t="array" ref="E382">_xlfn.XLOOKUP(D382,SKU_Master!A:A,SKU_Master!B:B,"Not on master")</f>
        <v>0</v>
      </c>
      <c r="F382" cm="1">
        <f t="array" ref="F382">_xlfn.XLOOKUP(C382,Account_Master!A:A,Account_Master!B:B,"Not on master")</f>
        <v>0</v>
      </c>
      <c r="G382" cm="1">
        <f t="array" ref="G382">_xlfn.XLOOKUP(C382,Account_Master!A:A,Account_Master!C:C,"Not on master")</f>
        <v>0</v>
      </c>
      <c r="H382" s="6">
        <v>5.25</v>
      </c>
      <c r="I382" s="6">
        <v>5.25</v>
      </c>
      <c r="J382" s="6">
        <f>I382-H382</f>
        <v>0</v>
      </c>
      <c r="K382" s="5">
        <f>IF(H382=0,"",J382/H382)</f>
        <v>0</v>
      </c>
      <c r="L382">
        <f>IF(OR(AND(H382=0,ABS(J382)&gt;=0.01),AND(H382&lt;&gt;0,ABS(K382)&gt;VarianceThreshold)),"Review","OK")</f>
        <v>0</v>
      </c>
      <c r="M382" t="s">
        <v>33</v>
      </c>
    </row>
    <row r="383" spans="1:13">
      <c r="A383" t="s">
        <v>0</v>
      </c>
      <c r="B383" t="s">
        <v>563</v>
      </c>
      <c r="C383" t="s">
        <v>108</v>
      </c>
      <c r="D383" t="s">
        <v>570</v>
      </c>
      <c r="E383" cm="1">
        <f t="array" ref="E383">_xlfn.XLOOKUP(D383,SKU_Master!A:A,SKU_Master!B:B,"Not on master")</f>
        <v>0</v>
      </c>
      <c r="F383" cm="1">
        <f t="array" ref="F383">_xlfn.XLOOKUP(C383,Account_Master!A:A,Account_Master!B:B,"Not on master")</f>
        <v>0</v>
      </c>
      <c r="G383" cm="1">
        <f t="array" ref="G383">_xlfn.XLOOKUP(C383,Account_Master!A:A,Account_Master!C:C,"Not on master")</f>
        <v>0</v>
      </c>
      <c r="H383" s="6">
        <v>4.5</v>
      </c>
      <c r="I383" s="6">
        <v>4.5</v>
      </c>
      <c r="J383" s="6">
        <f>I383-H383</f>
        <v>0</v>
      </c>
      <c r="K383" s="5">
        <f>IF(H383=0,"",J383/H383)</f>
        <v>0</v>
      </c>
      <c r="L383">
        <f>IF(OR(AND(H383=0,ABS(J383)&gt;=0.01),AND(H383&lt;&gt;0,ABS(K383)&gt;VarianceThreshold)),"Review","OK")</f>
        <v>0</v>
      </c>
      <c r="M383" t="s">
        <v>33</v>
      </c>
    </row>
    <row r="384" spans="1:13">
      <c r="A384" t="s">
        <v>0</v>
      </c>
      <c r="B384" t="s">
        <v>571</v>
      </c>
      <c r="C384" t="s">
        <v>110</v>
      </c>
      <c r="D384" t="s">
        <v>572</v>
      </c>
      <c r="E384" cm="1">
        <f t="array" ref="E384">_xlfn.XLOOKUP(D384,SKU_Master!A:A,SKU_Master!B:B,"Not on master")</f>
        <v>0</v>
      </c>
      <c r="F384" cm="1">
        <f t="array" ref="F384">_xlfn.XLOOKUP(C384,Account_Master!A:A,Account_Master!B:B,"Not on master")</f>
        <v>0</v>
      </c>
      <c r="G384" cm="1">
        <f t="array" ref="G384">_xlfn.XLOOKUP(C384,Account_Master!A:A,Account_Master!C:C,"Not on master")</f>
        <v>0</v>
      </c>
      <c r="H384" s="6">
        <v>384</v>
      </c>
      <c r="I384" s="6">
        <v>384</v>
      </c>
      <c r="J384" s="6">
        <f>I384-H384</f>
        <v>0</v>
      </c>
      <c r="K384" s="5">
        <f>IF(H384=0,"",J384/H384)</f>
        <v>0</v>
      </c>
      <c r="L384">
        <f>IF(OR(AND(H384=0,ABS(J384)&gt;=0.01),AND(H384&lt;&gt;0,ABS(K384)&gt;VarianceThreshold)),"Review","OK")</f>
        <v>0</v>
      </c>
      <c r="M384" t="s">
        <v>33</v>
      </c>
    </row>
    <row r="385" spans="1:13">
      <c r="A385" t="s">
        <v>0</v>
      </c>
      <c r="B385" t="s">
        <v>571</v>
      </c>
      <c r="C385" t="s">
        <v>110</v>
      </c>
      <c r="D385" t="s">
        <v>573</v>
      </c>
      <c r="E385" cm="1">
        <f t="array" ref="E385">_xlfn.XLOOKUP(D385,SKU_Master!A:A,SKU_Master!B:B,"Not on master")</f>
        <v>0</v>
      </c>
      <c r="F385" cm="1">
        <f t="array" ref="F385">_xlfn.XLOOKUP(C385,Account_Master!A:A,Account_Master!B:B,"Not on master")</f>
        <v>0</v>
      </c>
      <c r="G385" cm="1">
        <f t="array" ref="G385">_xlfn.XLOOKUP(C385,Account_Master!A:A,Account_Master!C:C,"Not on master")</f>
        <v>0</v>
      </c>
      <c r="H385" s="6">
        <v>24.75</v>
      </c>
      <c r="I385" s="6">
        <v>24.75</v>
      </c>
      <c r="J385" s="6">
        <f>I385-H385</f>
        <v>0</v>
      </c>
      <c r="K385" s="5">
        <f>IF(H385=0,"",J385/H385)</f>
        <v>0</v>
      </c>
      <c r="L385">
        <f>IF(OR(AND(H385=0,ABS(J385)&gt;=0.01),AND(H385&lt;&gt;0,ABS(K385)&gt;VarianceThreshold)),"Review","OK")</f>
        <v>0</v>
      </c>
      <c r="M385" t="s">
        <v>33</v>
      </c>
    </row>
    <row r="386" spans="1:13">
      <c r="A386" t="s">
        <v>0</v>
      </c>
      <c r="B386" t="s">
        <v>574</v>
      </c>
      <c r="C386" t="s">
        <v>110</v>
      </c>
      <c r="D386" t="s">
        <v>575</v>
      </c>
      <c r="E386" cm="1">
        <f t="array" ref="E386">_xlfn.XLOOKUP(D386,SKU_Master!A:A,SKU_Master!B:B,"Not on master")</f>
        <v>0</v>
      </c>
      <c r="F386" cm="1">
        <f t="array" ref="F386">_xlfn.XLOOKUP(C386,Account_Master!A:A,Account_Master!B:B,"Not on master")</f>
        <v>0</v>
      </c>
      <c r="G386" cm="1">
        <f t="array" ref="G386">_xlfn.XLOOKUP(C386,Account_Master!A:A,Account_Master!C:C,"Not on master")</f>
        <v>0</v>
      </c>
      <c r="H386" s="6">
        <v>54</v>
      </c>
      <c r="I386" s="6">
        <v>54</v>
      </c>
      <c r="J386" s="6">
        <f>I386-H386</f>
        <v>0</v>
      </c>
      <c r="K386" s="5">
        <f>IF(H386=0,"",J386/H386)</f>
        <v>0</v>
      </c>
      <c r="L386">
        <f>IF(OR(AND(H386=0,ABS(J386)&gt;=0.01),AND(H386&lt;&gt;0,ABS(K386)&gt;VarianceThreshold)),"Review","OK")</f>
        <v>0</v>
      </c>
      <c r="M386" t="s">
        <v>33</v>
      </c>
    </row>
    <row r="387" spans="1:13">
      <c r="A387" t="s">
        <v>0</v>
      </c>
      <c r="B387" t="s">
        <v>574</v>
      </c>
      <c r="C387" t="s">
        <v>45</v>
      </c>
      <c r="D387" t="s">
        <v>576</v>
      </c>
      <c r="E387" cm="1">
        <f t="array" ref="E387">_xlfn.XLOOKUP(D387,SKU_Master!A:A,SKU_Master!B:B,"Not on master")</f>
        <v>0</v>
      </c>
      <c r="F387" cm="1">
        <f t="array" ref="F387">_xlfn.XLOOKUP(C387,Account_Master!A:A,Account_Master!B:B,"Not on master")</f>
        <v>0</v>
      </c>
      <c r="G387" cm="1">
        <f t="array" ref="G387">_xlfn.XLOOKUP(C387,Account_Master!A:A,Account_Master!C:C,"Not on master")</f>
        <v>0</v>
      </c>
      <c r="H387" s="6">
        <v>4.5</v>
      </c>
      <c r="I387" s="6">
        <v>4.5</v>
      </c>
      <c r="J387" s="6">
        <f>I387-H387</f>
        <v>0</v>
      </c>
      <c r="K387" s="5">
        <f>IF(H387=0,"",J387/H387)</f>
        <v>0</v>
      </c>
      <c r="L387">
        <f>IF(OR(AND(H387=0,ABS(J387)&gt;=0.01),AND(H387&lt;&gt;0,ABS(K387)&gt;VarianceThreshold)),"Review","OK")</f>
        <v>0</v>
      </c>
      <c r="M387" t="s">
        <v>33</v>
      </c>
    </row>
    <row r="388" spans="1:13">
      <c r="A388" t="s">
        <v>0</v>
      </c>
      <c r="B388" t="s">
        <v>574</v>
      </c>
      <c r="C388" t="s">
        <v>220</v>
      </c>
      <c r="D388" t="s">
        <v>577</v>
      </c>
      <c r="E388" cm="1">
        <f t="array" ref="E388">_xlfn.XLOOKUP(D388,SKU_Master!A:A,SKU_Master!B:B,"Not on master")</f>
        <v>0</v>
      </c>
      <c r="F388" cm="1">
        <f t="array" ref="F388">_xlfn.XLOOKUP(C388,Account_Master!A:A,Account_Master!B:B,"Not on master")</f>
        <v>0</v>
      </c>
      <c r="G388" cm="1">
        <f t="array" ref="G388">_xlfn.XLOOKUP(C388,Account_Master!A:A,Account_Master!C:C,"Not on master")</f>
        <v>0</v>
      </c>
      <c r="H388" s="6">
        <v>39.75</v>
      </c>
      <c r="I388" s="6">
        <v>39.75</v>
      </c>
      <c r="J388" s="6">
        <f>I388-H388</f>
        <v>0</v>
      </c>
      <c r="K388" s="5">
        <f>IF(H388=0,"",J388/H388)</f>
        <v>0</v>
      </c>
      <c r="L388">
        <f>IF(OR(AND(H388=0,ABS(J388)&gt;=0.01),AND(H388&lt;&gt;0,ABS(K388)&gt;VarianceThreshold)),"Review","OK")</f>
        <v>0</v>
      </c>
      <c r="M388" t="s">
        <v>33</v>
      </c>
    </row>
    <row r="389" spans="1:13">
      <c r="A389" t="s">
        <v>0</v>
      </c>
      <c r="B389" t="s">
        <v>574</v>
      </c>
      <c r="C389" t="s">
        <v>59</v>
      </c>
      <c r="D389" t="s">
        <v>578</v>
      </c>
      <c r="E389" cm="1">
        <f t="array" ref="E389">_xlfn.XLOOKUP(D389,SKU_Master!A:A,SKU_Master!B:B,"Not on master")</f>
        <v>0</v>
      </c>
      <c r="F389" cm="1">
        <f t="array" ref="F389">_xlfn.XLOOKUP(C389,Account_Master!A:A,Account_Master!B:B,"Not on master")</f>
        <v>0</v>
      </c>
      <c r="G389" cm="1">
        <f t="array" ref="G389">_xlfn.XLOOKUP(C389,Account_Master!A:A,Account_Master!C:C,"Not on master")</f>
        <v>0</v>
      </c>
      <c r="H389" s="6">
        <v>54</v>
      </c>
      <c r="I389" s="6">
        <v>54</v>
      </c>
      <c r="J389" s="6">
        <f>I389-H389</f>
        <v>0</v>
      </c>
      <c r="K389" s="5">
        <f>IF(H389=0,"",J389/H389)</f>
        <v>0</v>
      </c>
      <c r="L389">
        <f>IF(OR(AND(H389=0,ABS(J389)&gt;=0.01),AND(H389&lt;&gt;0,ABS(K389)&gt;VarianceThreshold)),"Review","OK")</f>
        <v>0</v>
      </c>
      <c r="M389" t="s">
        <v>33</v>
      </c>
    </row>
    <row r="390" spans="1:13">
      <c r="A390" t="s">
        <v>0</v>
      </c>
      <c r="B390" t="s">
        <v>574</v>
      </c>
      <c r="C390" t="s">
        <v>304</v>
      </c>
      <c r="D390" t="s">
        <v>579</v>
      </c>
      <c r="E390" cm="1">
        <f t="array" ref="E390">_xlfn.XLOOKUP(D390,SKU_Master!A:A,SKU_Master!B:B,"Not on master")</f>
        <v>0</v>
      </c>
      <c r="F390" cm="1">
        <f t="array" ref="F390">_xlfn.XLOOKUP(C390,Account_Master!A:A,Account_Master!B:B,"Not on master")</f>
        <v>0</v>
      </c>
      <c r="G390" cm="1">
        <f t="array" ref="G390">_xlfn.XLOOKUP(C390,Account_Master!A:A,Account_Master!C:C,"Not on master")</f>
        <v>0</v>
      </c>
      <c r="H390" s="6">
        <v>0.15</v>
      </c>
      <c r="I390" s="6">
        <v>0.15</v>
      </c>
      <c r="J390" s="6">
        <f>I390-H390</f>
        <v>0</v>
      </c>
      <c r="K390" s="5">
        <f>IF(H390=0,"",J390/H390)</f>
        <v>0</v>
      </c>
      <c r="L390">
        <f>IF(OR(AND(H390=0,ABS(J390)&gt;=0.01),AND(H390&lt;&gt;0,ABS(K390)&gt;VarianceThreshold)),"Review","OK")</f>
        <v>0</v>
      </c>
      <c r="M390" t="s">
        <v>33</v>
      </c>
    </row>
    <row r="391" spans="1:13">
      <c r="A391" t="s">
        <v>0</v>
      </c>
      <c r="B391" t="s">
        <v>574</v>
      </c>
      <c r="C391" t="s">
        <v>126</v>
      </c>
      <c r="D391" t="s">
        <v>580</v>
      </c>
      <c r="E391" cm="1">
        <f t="array" ref="E391">_xlfn.XLOOKUP(D391,SKU_Master!A:A,SKU_Master!B:B,"Not on master")</f>
        <v>0</v>
      </c>
      <c r="F391" cm="1">
        <f t="array" ref="F391">_xlfn.XLOOKUP(C391,Account_Master!A:A,Account_Master!B:B,"Not on master")</f>
        <v>0</v>
      </c>
      <c r="G391" cm="1">
        <f t="array" ref="G391">_xlfn.XLOOKUP(C391,Account_Master!A:A,Account_Master!C:C,"Not on master")</f>
        <v>0</v>
      </c>
      <c r="H391" s="6">
        <v>2.25</v>
      </c>
      <c r="I391" s="6">
        <v>2.25</v>
      </c>
      <c r="J391" s="6">
        <f>I391-H391</f>
        <v>0</v>
      </c>
      <c r="K391" s="5">
        <f>IF(H391=0,"",J391/H391)</f>
        <v>0</v>
      </c>
      <c r="L391">
        <f>IF(OR(AND(H391=0,ABS(J391)&gt;=0.01),AND(H391&lt;&gt;0,ABS(K391)&gt;VarianceThreshold)),"Review","OK")</f>
        <v>0</v>
      </c>
      <c r="M391" t="s">
        <v>33</v>
      </c>
    </row>
    <row r="392" spans="1:13">
      <c r="A392" t="s">
        <v>0</v>
      </c>
      <c r="B392" t="s">
        <v>574</v>
      </c>
      <c r="C392" t="s">
        <v>56</v>
      </c>
      <c r="D392" t="s">
        <v>581</v>
      </c>
      <c r="E392" cm="1">
        <f t="array" ref="E392">_xlfn.XLOOKUP(D392,SKU_Master!A:A,SKU_Master!B:B,"Not on master")</f>
        <v>0</v>
      </c>
      <c r="F392" cm="1">
        <f t="array" ref="F392">_xlfn.XLOOKUP(C392,Account_Master!A:A,Account_Master!B:B,"Not on master")</f>
        <v>0</v>
      </c>
      <c r="G392" cm="1">
        <f t="array" ref="G392">_xlfn.XLOOKUP(C392,Account_Master!A:A,Account_Master!C:C,"Not on master")</f>
        <v>0</v>
      </c>
      <c r="H392" s="6">
        <v>33.75</v>
      </c>
      <c r="I392" s="6">
        <v>33.75</v>
      </c>
      <c r="J392" s="6">
        <f>I392-H392</f>
        <v>0</v>
      </c>
      <c r="K392" s="5">
        <f>IF(H392=0,"",J392/H392)</f>
        <v>0</v>
      </c>
      <c r="L392">
        <f>IF(OR(AND(H392=0,ABS(J392)&gt;=0.01),AND(H392&lt;&gt;0,ABS(K392)&gt;VarianceThreshold)),"Review","OK")</f>
        <v>0</v>
      </c>
      <c r="M392" t="s">
        <v>33</v>
      </c>
    </row>
    <row r="393" spans="1:13">
      <c r="A393" t="s">
        <v>0</v>
      </c>
      <c r="B393" t="s">
        <v>574</v>
      </c>
      <c r="C393" t="s">
        <v>135</v>
      </c>
      <c r="D393" t="s">
        <v>582</v>
      </c>
      <c r="E393" cm="1">
        <f t="array" ref="E393">_xlfn.XLOOKUP(D393,SKU_Master!A:A,SKU_Master!B:B,"Not on master")</f>
        <v>0</v>
      </c>
      <c r="F393" cm="1">
        <f t="array" ref="F393">_xlfn.XLOOKUP(C393,Account_Master!A:A,Account_Master!B:B,"Not on master")</f>
        <v>0</v>
      </c>
      <c r="G393" cm="1">
        <f t="array" ref="G393">_xlfn.XLOOKUP(C393,Account_Master!A:A,Account_Master!C:C,"Not on master")</f>
        <v>0</v>
      </c>
      <c r="H393" s="6">
        <v>24</v>
      </c>
      <c r="I393" s="6">
        <v>24</v>
      </c>
      <c r="J393" s="6">
        <f>I393-H393</f>
        <v>0</v>
      </c>
      <c r="K393" s="5">
        <f>IF(H393=0,"",J393/H393)</f>
        <v>0</v>
      </c>
      <c r="L393">
        <f>IF(OR(AND(H393=0,ABS(J393)&gt;=0.01),AND(H393&lt;&gt;0,ABS(K393)&gt;VarianceThreshold)),"Review","OK")</f>
        <v>0</v>
      </c>
      <c r="M393" t="s">
        <v>33</v>
      </c>
    </row>
    <row r="394" spans="1:13">
      <c r="A394" t="s">
        <v>0</v>
      </c>
      <c r="B394" t="s">
        <v>574</v>
      </c>
      <c r="C394" t="s">
        <v>54</v>
      </c>
      <c r="D394" t="s">
        <v>583</v>
      </c>
      <c r="E394" cm="1">
        <f t="array" ref="E394">_xlfn.XLOOKUP(D394,SKU_Master!A:A,SKU_Master!B:B,"Not on master")</f>
        <v>0</v>
      </c>
      <c r="F394" cm="1">
        <f t="array" ref="F394">_xlfn.XLOOKUP(C394,Account_Master!A:A,Account_Master!B:B,"Not on master")</f>
        <v>0</v>
      </c>
      <c r="G394" cm="1">
        <f t="array" ref="G394">_xlfn.XLOOKUP(C394,Account_Master!A:A,Account_Master!C:C,"Not on master")</f>
        <v>0</v>
      </c>
      <c r="H394" s="6">
        <v>27</v>
      </c>
      <c r="I394" s="6">
        <v>27</v>
      </c>
      <c r="J394" s="6">
        <f>I394-H394</f>
        <v>0</v>
      </c>
      <c r="K394" s="5">
        <f>IF(H394=0,"",J394/H394)</f>
        <v>0</v>
      </c>
      <c r="L394">
        <f>IF(OR(AND(H394=0,ABS(J394)&gt;=0.01),AND(H394&lt;&gt;0,ABS(K394)&gt;VarianceThreshold)),"Review","OK")</f>
        <v>0</v>
      </c>
      <c r="M394" t="s">
        <v>33</v>
      </c>
    </row>
    <row r="395" spans="1:13">
      <c r="A395" t="s">
        <v>0</v>
      </c>
      <c r="B395" t="s">
        <v>574</v>
      </c>
      <c r="C395" t="s">
        <v>52</v>
      </c>
      <c r="D395" t="s">
        <v>584</v>
      </c>
      <c r="E395" cm="1">
        <f t="array" ref="E395">_xlfn.XLOOKUP(D395,SKU_Master!A:A,SKU_Master!B:B,"Not on master")</f>
        <v>0</v>
      </c>
      <c r="F395" cm="1">
        <f t="array" ref="F395">_xlfn.XLOOKUP(C395,Account_Master!A:A,Account_Master!B:B,"Not on master")</f>
        <v>0</v>
      </c>
      <c r="G395" cm="1">
        <f t="array" ref="G395">_xlfn.XLOOKUP(C395,Account_Master!A:A,Account_Master!C:C,"Not on master")</f>
        <v>0</v>
      </c>
      <c r="H395" s="6">
        <v>1</v>
      </c>
      <c r="I395" s="6">
        <v>1</v>
      </c>
      <c r="J395" s="6">
        <f>I395-H395</f>
        <v>0</v>
      </c>
      <c r="K395" s="5">
        <f>IF(H395=0,"",J395/H395)</f>
        <v>0</v>
      </c>
      <c r="L395">
        <f>IF(OR(AND(H395=0,ABS(J395)&gt;=0.01),AND(H395&lt;&gt;0,ABS(K395)&gt;VarianceThreshold)),"Review","OK")</f>
        <v>0</v>
      </c>
      <c r="M395" t="s">
        <v>33</v>
      </c>
    </row>
    <row r="396" spans="1:13">
      <c r="A396" t="s">
        <v>0</v>
      </c>
      <c r="B396" t="s">
        <v>585</v>
      </c>
      <c r="C396" t="s">
        <v>586</v>
      </c>
      <c r="D396" t="s">
        <v>587</v>
      </c>
      <c r="E396" cm="1">
        <f t="array" ref="E396">_xlfn.XLOOKUP(D396,SKU_Master!A:A,SKU_Master!B:B,"Not on master")</f>
        <v>0</v>
      </c>
      <c r="F396" cm="1">
        <f t="array" ref="F396">_xlfn.XLOOKUP(C396,Account_Master!A:A,Account_Master!B:B,"Not on master")</f>
        <v>0</v>
      </c>
      <c r="G396" cm="1">
        <f t="array" ref="G396">_xlfn.XLOOKUP(C396,Account_Master!A:A,Account_Master!C:C,"Not on master")</f>
        <v>0</v>
      </c>
      <c r="H396" s="6">
        <v>148.82</v>
      </c>
      <c r="I396" s="6">
        <v>148.82</v>
      </c>
      <c r="J396" s="6">
        <f>I396-H396</f>
        <v>0</v>
      </c>
      <c r="K396" s="5">
        <f>IF(H396=0,"",J396/H396)</f>
        <v>0</v>
      </c>
      <c r="L396">
        <f>IF(OR(AND(H396=0,ABS(J396)&gt;=0.01),AND(H396&lt;&gt;0,ABS(K396)&gt;VarianceThreshold)),"Review","OK")</f>
        <v>0</v>
      </c>
      <c r="M396" t="s">
        <v>33</v>
      </c>
    </row>
    <row r="397" spans="1:13">
      <c r="A397" t="s">
        <v>0</v>
      </c>
      <c r="B397" t="s">
        <v>585</v>
      </c>
      <c r="C397" t="s">
        <v>101</v>
      </c>
      <c r="D397" t="s">
        <v>588</v>
      </c>
      <c r="E397" cm="1">
        <f t="array" ref="E397">_xlfn.XLOOKUP(D397,SKU_Master!A:A,SKU_Master!B:B,"Not on master")</f>
        <v>0</v>
      </c>
      <c r="F397" cm="1">
        <f t="array" ref="F397">_xlfn.XLOOKUP(C397,Account_Master!A:A,Account_Master!B:B,"Not on master")</f>
        <v>0</v>
      </c>
      <c r="G397" cm="1">
        <f t="array" ref="G397">_xlfn.XLOOKUP(C397,Account_Master!A:A,Account_Master!C:C,"Not on master")</f>
        <v>0</v>
      </c>
      <c r="H397" s="6">
        <v>0.75</v>
      </c>
      <c r="I397" s="6">
        <v>0.75</v>
      </c>
      <c r="J397" s="6">
        <f>I397-H397</f>
        <v>0</v>
      </c>
      <c r="K397" s="5">
        <f>IF(H397=0,"",J397/H397)</f>
        <v>0</v>
      </c>
      <c r="L397">
        <f>IF(OR(AND(H397=0,ABS(J397)&gt;=0.01),AND(H397&lt;&gt;0,ABS(K397)&gt;VarianceThreshold)),"Review","OK")</f>
        <v>0</v>
      </c>
      <c r="M397" t="s">
        <v>33</v>
      </c>
    </row>
    <row r="398" spans="1:13">
      <c r="A398" t="s">
        <v>0</v>
      </c>
      <c r="B398" t="s">
        <v>585</v>
      </c>
      <c r="C398" t="s">
        <v>346</v>
      </c>
      <c r="D398" t="s">
        <v>589</v>
      </c>
      <c r="E398" cm="1">
        <f t="array" ref="E398">_xlfn.XLOOKUP(D398,SKU_Master!A:A,SKU_Master!B:B,"Not on master")</f>
        <v>0</v>
      </c>
      <c r="F398" cm="1">
        <f t="array" ref="F398">_xlfn.XLOOKUP(C398,Account_Master!A:A,Account_Master!B:B,"Not on master")</f>
        <v>0</v>
      </c>
      <c r="G398" cm="1">
        <f t="array" ref="G398">_xlfn.XLOOKUP(C398,Account_Master!A:A,Account_Master!C:C,"Not on master")</f>
        <v>0</v>
      </c>
      <c r="H398" s="6">
        <v>1.3</v>
      </c>
      <c r="I398" s="6">
        <v>1.3</v>
      </c>
      <c r="J398" s="6">
        <f>I398-H398</f>
        <v>0</v>
      </c>
      <c r="K398" s="5">
        <f>IF(H398=0,"",J398/H398)</f>
        <v>0</v>
      </c>
      <c r="L398">
        <f>IF(OR(AND(H398=0,ABS(J398)&gt;=0.01),AND(H398&lt;&gt;0,ABS(K398)&gt;VarianceThreshold)),"Review","OK")</f>
        <v>0</v>
      </c>
      <c r="M398" t="s">
        <v>33</v>
      </c>
    </row>
    <row r="399" spans="1:13">
      <c r="A399" t="s">
        <v>0</v>
      </c>
      <c r="B399" t="s">
        <v>585</v>
      </c>
      <c r="C399" t="s">
        <v>328</v>
      </c>
      <c r="D399" t="s">
        <v>590</v>
      </c>
      <c r="E399" cm="1">
        <f t="array" ref="E399">_xlfn.XLOOKUP(D399,SKU_Master!A:A,SKU_Master!B:B,"Not on master")</f>
        <v>0</v>
      </c>
      <c r="F399" cm="1">
        <f t="array" ref="F399">_xlfn.XLOOKUP(C399,Account_Master!A:A,Account_Master!B:B,"Not on master")</f>
        <v>0</v>
      </c>
      <c r="G399" cm="1">
        <f t="array" ref="G399">_xlfn.XLOOKUP(C399,Account_Master!A:A,Account_Master!C:C,"Not on master")</f>
        <v>0</v>
      </c>
      <c r="H399" s="6">
        <v>9</v>
      </c>
      <c r="I399" s="6">
        <v>9</v>
      </c>
      <c r="J399" s="6">
        <f>I399-H399</f>
        <v>0</v>
      </c>
      <c r="K399" s="5">
        <f>IF(H399=0,"",J399/H399)</f>
        <v>0</v>
      </c>
      <c r="L399">
        <f>IF(OR(AND(H399=0,ABS(J399)&gt;=0.01),AND(H399&lt;&gt;0,ABS(K399)&gt;VarianceThreshold)),"Review","OK")</f>
        <v>0</v>
      </c>
      <c r="M399" t="s">
        <v>33</v>
      </c>
    </row>
    <row r="400" spans="1:13">
      <c r="A400" t="s">
        <v>0</v>
      </c>
      <c r="B400" t="s">
        <v>585</v>
      </c>
      <c r="C400" t="s">
        <v>110</v>
      </c>
      <c r="D400" t="s">
        <v>591</v>
      </c>
      <c r="E400" cm="1">
        <f t="array" ref="E400">_xlfn.XLOOKUP(D400,SKU_Master!A:A,SKU_Master!B:B,"Not on master")</f>
        <v>0</v>
      </c>
      <c r="F400" cm="1">
        <f t="array" ref="F400">_xlfn.XLOOKUP(C400,Account_Master!A:A,Account_Master!B:B,"Not on master")</f>
        <v>0</v>
      </c>
      <c r="G400" cm="1">
        <f t="array" ref="G400">_xlfn.XLOOKUP(C400,Account_Master!A:A,Account_Master!C:C,"Not on master")</f>
        <v>0</v>
      </c>
      <c r="H400" s="6">
        <v>526.75</v>
      </c>
      <c r="I400" s="6">
        <v>526.75</v>
      </c>
      <c r="J400" s="6">
        <f>I400-H400</f>
        <v>0</v>
      </c>
      <c r="K400" s="5">
        <f>IF(H400=0,"",J400/H400)</f>
        <v>0</v>
      </c>
      <c r="L400">
        <f>IF(OR(AND(H400=0,ABS(J400)&gt;=0.01),AND(H400&lt;&gt;0,ABS(K400)&gt;VarianceThreshold)),"Review","OK")</f>
        <v>0</v>
      </c>
      <c r="M400" t="s">
        <v>33</v>
      </c>
    </row>
    <row r="401" spans="1:13">
      <c r="A401" t="s">
        <v>0</v>
      </c>
      <c r="B401" t="s">
        <v>585</v>
      </c>
      <c r="C401" t="s">
        <v>77</v>
      </c>
      <c r="D401" t="s">
        <v>592</v>
      </c>
      <c r="E401" cm="1">
        <f t="array" ref="E401">_xlfn.XLOOKUP(D401,SKU_Master!A:A,SKU_Master!B:B,"Not on master")</f>
        <v>0</v>
      </c>
      <c r="F401" cm="1">
        <f t="array" ref="F401">_xlfn.XLOOKUP(C401,Account_Master!A:A,Account_Master!B:B,"Not on master")</f>
        <v>0</v>
      </c>
      <c r="G401" cm="1">
        <f t="array" ref="G401">_xlfn.XLOOKUP(C401,Account_Master!A:A,Account_Master!C:C,"Not on master")</f>
        <v>0</v>
      </c>
      <c r="H401" s="6">
        <v>1.12</v>
      </c>
      <c r="I401" s="6">
        <v>1.12</v>
      </c>
      <c r="J401" s="6">
        <f>I401-H401</f>
        <v>0</v>
      </c>
      <c r="K401" s="5">
        <f>IF(H401=0,"",J401/H401)</f>
        <v>0</v>
      </c>
      <c r="L401">
        <f>IF(OR(AND(H401=0,ABS(J401)&gt;=0.01),AND(H401&lt;&gt;0,ABS(K401)&gt;VarianceThreshold)),"Review","OK")</f>
        <v>0</v>
      </c>
      <c r="M401" t="s">
        <v>33</v>
      </c>
    </row>
    <row r="402" spans="1:13">
      <c r="A402" t="s">
        <v>0</v>
      </c>
      <c r="B402" t="s">
        <v>585</v>
      </c>
      <c r="C402" t="s">
        <v>31</v>
      </c>
      <c r="D402" t="s">
        <v>593</v>
      </c>
      <c r="E402" cm="1">
        <f t="array" ref="E402">_xlfn.XLOOKUP(D402,SKU_Master!A:A,SKU_Master!B:B,"Not on master")</f>
        <v>0</v>
      </c>
      <c r="F402" cm="1">
        <f t="array" ref="F402">_xlfn.XLOOKUP(C402,Account_Master!A:A,Account_Master!B:B,"Not on master")</f>
        <v>0</v>
      </c>
      <c r="G402" cm="1">
        <f t="array" ref="G402">_xlfn.XLOOKUP(C402,Account_Master!A:A,Account_Master!C:C,"Not on master")</f>
        <v>0</v>
      </c>
      <c r="H402" s="6">
        <v>24</v>
      </c>
      <c r="I402" s="6">
        <v>24</v>
      </c>
      <c r="J402" s="6">
        <f>I402-H402</f>
        <v>0</v>
      </c>
      <c r="K402" s="5">
        <f>IF(H402=0,"",J402/H402)</f>
        <v>0</v>
      </c>
      <c r="L402">
        <f>IF(OR(AND(H402=0,ABS(J402)&gt;=0.01),AND(H402&lt;&gt;0,ABS(K402)&gt;VarianceThreshold)),"Review","OK")</f>
        <v>0</v>
      </c>
      <c r="M402" t="s">
        <v>33</v>
      </c>
    </row>
    <row r="403" spans="1:13">
      <c r="A403" t="s">
        <v>0</v>
      </c>
      <c r="B403" t="s">
        <v>594</v>
      </c>
      <c r="C403" t="s">
        <v>191</v>
      </c>
      <c r="D403" t="s">
        <v>595</v>
      </c>
      <c r="E403" cm="1">
        <f t="array" ref="E403">_xlfn.XLOOKUP(D403,SKU_Master!A:A,SKU_Master!B:B,"Not on master")</f>
        <v>0</v>
      </c>
      <c r="F403" cm="1">
        <f t="array" ref="F403">_xlfn.XLOOKUP(C403,Account_Master!A:A,Account_Master!B:B,"Not on master")</f>
        <v>0</v>
      </c>
      <c r="G403" cm="1">
        <f t="array" ref="G403">_xlfn.XLOOKUP(C403,Account_Master!A:A,Account_Master!C:C,"Not on master")</f>
        <v>0</v>
      </c>
      <c r="H403" s="6">
        <v>13.5</v>
      </c>
      <c r="I403" s="6">
        <v>13.5</v>
      </c>
      <c r="J403" s="6">
        <f>I403-H403</f>
        <v>0</v>
      </c>
      <c r="K403" s="5">
        <f>IF(H403=0,"",J403/H403)</f>
        <v>0</v>
      </c>
      <c r="L403">
        <f>IF(OR(AND(H403=0,ABS(J403)&gt;=0.01),AND(H403&lt;&gt;0,ABS(K403)&gt;VarianceThreshold)),"Review","OK")</f>
        <v>0</v>
      </c>
      <c r="M403" t="s">
        <v>33</v>
      </c>
    </row>
    <row r="404" spans="1:13">
      <c r="A404" t="s">
        <v>0</v>
      </c>
      <c r="B404" t="s">
        <v>594</v>
      </c>
      <c r="C404" t="s">
        <v>596</v>
      </c>
      <c r="D404" t="s">
        <v>597</v>
      </c>
      <c r="E404" cm="1">
        <f t="array" ref="E404">_xlfn.XLOOKUP(D404,SKU_Master!A:A,SKU_Master!B:B,"Not on master")</f>
        <v>0</v>
      </c>
      <c r="F404" cm="1">
        <f t="array" ref="F404">_xlfn.XLOOKUP(C404,Account_Master!A:A,Account_Master!B:B,"Not on master")</f>
        <v>0</v>
      </c>
      <c r="G404" cm="1">
        <f t="array" ref="G404">_xlfn.XLOOKUP(C404,Account_Master!A:A,Account_Master!C:C,"Not on master")</f>
        <v>0</v>
      </c>
      <c r="H404" s="6">
        <v>9</v>
      </c>
      <c r="I404" s="6">
        <v>9</v>
      </c>
      <c r="J404" s="6">
        <f>I404-H404</f>
        <v>0</v>
      </c>
      <c r="K404" s="5">
        <f>IF(H404=0,"",J404/H404)</f>
        <v>0</v>
      </c>
      <c r="L404">
        <f>IF(OR(AND(H404=0,ABS(J404)&gt;=0.01),AND(H404&lt;&gt;0,ABS(K404)&gt;VarianceThreshold)),"Review","OK")</f>
        <v>0</v>
      </c>
      <c r="M404" t="s">
        <v>33</v>
      </c>
    </row>
    <row r="405" spans="1:13">
      <c r="A405" t="s">
        <v>0</v>
      </c>
      <c r="B405" t="s">
        <v>594</v>
      </c>
      <c r="C405" t="s">
        <v>438</v>
      </c>
      <c r="D405" t="s">
        <v>598</v>
      </c>
      <c r="E405" cm="1">
        <f t="array" ref="E405">_xlfn.XLOOKUP(D405,SKU_Master!A:A,SKU_Master!B:B,"Not on master")</f>
        <v>0</v>
      </c>
      <c r="F405" cm="1">
        <f t="array" ref="F405">_xlfn.XLOOKUP(C405,Account_Master!A:A,Account_Master!B:B,"Not on master")</f>
        <v>0</v>
      </c>
      <c r="G405" cm="1">
        <f t="array" ref="G405">_xlfn.XLOOKUP(C405,Account_Master!A:A,Account_Master!C:C,"Not on master")</f>
        <v>0</v>
      </c>
      <c r="H405" s="6">
        <v>105</v>
      </c>
      <c r="I405" s="6">
        <v>105</v>
      </c>
      <c r="J405" s="6">
        <f>I405-H405</f>
        <v>0</v>
      </c>
      <c r="K405" s="5">
        <f>IF(H405=0,"",J405/H405)</f>
        <v>0</v>
      </c>
      <c r="L405">
        <f>IF(OR(AND(H405=0,ABS(J405)&gt;=0.01),AND(H405&lt;&gt;0,ABS(K405)&gt;VarianceThreshold)),"Review","OK")</f>
        <v>0</v>
      </c>
      <c r="M405" t="s">
        <v>33</v>
      </c>
    </row>
    <row r="406" spans="1:13">
      <c r="A406" t="s">
        <v>0</v>
      </c>
      <c r="B406" t="s">
        <v>594</v>
      </c>
      <c r="C406" t="s">
        <v>209</v>
      </c>
      <c r="D406" t="s">
        <v>599</v>
      </c>
      <c r="E406" cm="1">
        <f t="array" ref="E406">_xlfn.XLOOKUP(D406,SKU_Master!A:A,SKU_Master!B:B,"Not on master")</f>
        <v>0</v>
      </c>
      <c r="F406" cm="1">
        <f t="array" ref="F406">_xlfn.XLOOKUP(C406,Account_Master!A:A,Account_Master!B:B,"Not on master")</f>
        <v>0</v>
      </c>
      <c r="G406" cm="1">
        <f t="array" ref="G406">_xlfn.XLOOKUP(C406,Account_Master!A:A,Account_Master!C:C,"Not on master")</f>
        <v>0</v>
      </c>
      <c r="H406" s="6">
        <v>8.15</v>
      </c>
      <c r="I406" s="6">
        <v>8.15</v>
      </c>
      <c r="J406" s="6">
        <f>I406-H406</f>
        <v>0</v>
      </c>
      <c r="K406" s="5">
        <f>IF(H406=0,"",J406/H406)</f>
        <v>0</v>
      </c>
      <c r="L406">
        <f>IF(OR(AND(H406=0,ABS(J406)&gt;=0.01),AND(H406&lt;&gt;0,ABS(K406)&gt;VarianceThreshold)),"Review","OK")</f>
        <v>0</v>
      </c>
      <c r="M406" t="s">
        <v>33</v>
      </c>
    </row>
    <row r="407" spans="1:13">
      <c r="A407" t="s">
        <v>0</v>
      </c>
      <c r="B407" t="s">
        <v>594</v>
      </c>
      <c r="C407" t="s">
        <v>31</v>
      </c>
      <c r="D407" t="s">
        <v>600</v>
      </c>
      <c r="E407" cm="1">
        <f t="array" ref="E407">_xlfn.XLOOKUP(D407,SKU_Master!A:A,SKU_Master!B:B,"Not on master")</f>
        <v>0</v>
      </c>
      <c r="F407" cm="1">
        <f t="array" ref="F407">_xlfn.XLOOKUP(C407,Account_Master!A:A,Account_Master!B:B,"Not on master")</f>
        <v>0</v>
      </c>
      <c r="G407" cm="1">
        <f t="array" ref="G407">_xlfn.XLOOKUP(C407,Account_Master!A:A,Account_Master!C:C,"Not on master")</f>
        <v>0</v>
      </c>
      <c r="H407" s="6">
        <v>60</v>
      </c>
      <c r="I407" s="6">
        <v>60</v>
      </c>
      <c r="J407" s="6">
        <f>I407-H407</f>
        <v>0</v>
      </c>
      <c r="K407" s="5">
        <f>IF(H407=0,"",J407/H407)</f>
        <v>0</v>
      </c>
      <c r="L407">
        <f>IF(OR(AND(H407=0,ABS(J407)&gt;=0.01),AND(H407&lt;&gt;0,ABS(K407)&gt;VarianceThreshold)),"Review","OK")</f>
        <v>0</v>
      </c>
      <c r="M407" t="s">
        <v>33</v>
      </c>
    </row>
    <row r="408" spans="1:13">
      <c r="A408" t="s">
        <v>0</v>
      </c>
      <c r="B408" t="s">
        <v>594</v>
      </c>
      <c r="C408" t="s">
        <v>601</v>
      </c>
      <c r="D408" t="s">
        <v>602</v>
      </c>
      <c r="E408" cm="1">
        <f t="array" ref="E408">_xlfn.XLOOKUP(D408,SKU_Master!A:A,SKU_Master!B:B,"Not on master")</f>
        <v>0</v>
      </c>
      <c r="F408" cm="1">
        <f t="array" ref="F408">_xlfn.XLOOKUP(C408,Account_Master!A:A,Account_Master!B:B,"Not on master")</f>
        <v>0</v>
      </c>
      <c r="G408" cm="1">
        <f t="array" ref="G408">_xlfn.XLOOKUP(C408,Account_Master!A:A,Account_Master!C:C,"Not on master")</f>
        <v>0</v>
      </c>
      <c r="H408" s="6">
        <v>0.75</v>
      </c>
      <c r="I408" s="6">
        <v>0.75</v>
      </c>
      <c r="J408" s="6">
        <f>I408-H408</f>
        <v>0</v>
      </c>
      <c r="K408" s="5">
        <f>IF(H408=0,"",J408/H408)</f>
        <v>0</v>
      </c>
      <c r="L408">
        <f>IF(OR(AND(H408=0,ABS(J408)&gt;=0.01),AND(H408&lt;&gt;0,ABS(K408)&gt;VarianceThreshold)),"Review","OK")</f>
        <v>0</v>
      </c>
      <c r="M408" t="s">
        <v>33</v>
      </c>
    </row>
    <row r="409" spans="1:13">
      <c r="A409" t="s">
        <v>0</v>
      </c>
      <c r="B409" t="s">
        <v>594</v>
      </c>
      <c r="C409" t="s">
        <v>277</v>
      </c>
      <c r="D409" t="s">
        <v>603</v>
      </c>
      <c r="E409" cm="1">
        <f t="array" ref="E409">_xlfn.XLOOKUP(D409,SKU_Master!A:A,SKU_Master!B:B,"Not on master")</f>
        <v>0</v>
      </c>
      <c r="F409" cm="1">
        <f t="array" ref="F409">_xlfn.XLOOKUP(C409,Account_Master!A:A,Account_Master!B:B,"Not on master")</f>
        <v>0</v>
      </c>
      <c r="G409" cm="1">
        <f t="array" ref="G409">_xlfn.XLOOKUP(C409,Account_Master!A:A,Account_Master!C:C,"Not on master")</f>
        <v>0</v>
      </c>
      <c r="H409" s="6">
        <v>207</v>
      </c>
      <c r="I409" s="6">
        <v>207</v>
      </c>
      <c r="J409" s="6">
        <f>I409-H409</f>
        <v>0</v>
      </c>
      <c r="K409" s="5">
        <f>IF(H409=0,"",J409/H409)</f>
        <v>0</v>
      </c>
      <c r="L409">
        <f>IF(OR(AND(H409=0,ABS(J409)&gt;=0.01),AND(H409&lt;&gt;0,ABS(K409)&gt;VarianceThreshold)),"Review","OK")</f>
        <v>0</v>
      </c>
      <c r="M409" t="s">
        <v>33</v>
      </c>
    </row>
    <row r="410" spans="1:13">
      <c r="A410" t="s">
        <v>0</v>
      </c>
      <c r="B410" t="s">
        <v>594</v>
      </c>
      <c r="C410" t="s">
        <v>148</v>
      </c>
      <c r="D410" t="s">
        <v>604</v>
      </c>
      <c r="E410" cm="1">
        <f t="array" ref="E410">_xlfn.XLOOKUP(D410,SKU_Master!A:A,SKU_Master!B:B,"Not on master")</f>
        <v>0</v>
      </c>
      <c r="F410" cm="1">
        <f t="array" ref="F410">_xlfn.XLOOKUP(C410,Account_Master!A:A,Account_Master!B:B,"Not on master")</f>
        <v>0</v>
      </c>
      <c r="G410" cm="1">
        <f t="array" ref="G410">_xlfn.XLOOKUP(C410,Account_Master!A:A,Account_Master!C:C,"Not on master")</f>
        <v>0</v>
      </c>
      <c r="H410" s="6">
        <v>0.1</v>
      </c>
      <c r="I410" s="6">
        <v>0.1</v>
      </c>
      <c r="J410" s="6">
        <f>I410-H410</f>
        <v>0</v>
      </c>
      <c r="K410" s="5">
        <f>IF(H410=0,"",J410/H410)</f>
        <v>0</v>
      </c>
      <c r="L410">
        <f>IF(OR(AND(H410=0,ABS(J410)&gt;=0.01),AND(H410&lt;&gt;0,ABS(K410)&gt;VarianceThreshold)),"Review","OK")</f>
        <v>0</v>
      </c>
      <c r="M410" t="s">
        <v>33</v>
      </c>
    </row>
    <row r="411" spans="1:13">
      <c r="A411" t="s">
        <v>0</v>
      </c>
      <c r="B411" t="s">
        <v>594</v>
      </c>
      <c r="C411" t="s">
        <v>82</v>
      </c>
      <c r="D411" t="s">
        <v>605</v>
      </c>
      <c r="E411" cm="1">
        <f t="array" ref="E411">_xlfn.XLOOKUP(D411,SKU_Master!A:A,SKU_Master!B:B,"Not on master")</f>
        <v>0</v>
      </c>
      <c r="F411" cm="1">
        <f t="array" ref="F411">_xlfn.XLOOKUP(C411,Account_Master!A:A,Account_Master!B:B,"Not on master")</f>
        <v>0</v>
      </c>
      <c r="G411" cm="1">
        <f t="array" ref="G411">_xlfn.XLOOKUP(C411,Account_Master!A:A,Account_Master!C:C,"Not on master")</f>
        <v>0</v>
      </c>
      <c r="H411" s="6">
        <v>0.25</v>
      </c>
      <c r="I411" s="6">
        <v>0.25</v>
      </c>
      <c r="J411" s="6">
        <f>I411-H411</f>
        <v>0</v>
      </c>
      <c r="K411" s="5">
        <f>IF(H411=0,"",J411/H411)</f>
        <v>0</v>
      </c>
      <c r="L411">
        <f>IF(OR(AND(H411=0,ABS(J411)&gt;=0.01),AND(H411&lt;&gt;0,ABS(K411)&gt;VarianceThreshold)),"Review","OK")</f>
        <v>0</v>
      </c>
      <c r="M411" t="s">
        <v>33</v>
      </c>
    </row>
    <row r="412" spans="1:13">
      <c r="A412" t="s">
        <v>0</v>
      </c>
      <c r="B412" t="s">
        <v>594</v>
      </c>
      <c r="C412" t="s">
        <v>48</v>
      </c>
      <c r="D412" t="s">
        <v>606</v>
      </c>
      <c r="E412" cm="1">
        <f t="array" ref="E412">_xlfn.XLOOKUP(D412,SKU_Master!A:A,SKU_Master!B:B,"Not on master")</f>
        <v>0</v>
      </c>
      <c r="F412" cm="1">
        <f t="array" ref="F412">_xlfn.XLOOKUP(C412,Account_Master!A:A,Account_Master!B:B,"Not on master")</f>
        <v>0</v>
      </c>
      <c r="G412" cm="1">
        <f t="array" ref="G412">_xlfn.XLOOKUP(C412,Account_Master!A:A,Account_Master!C:C,"Not on master")</f>
        <v>0</v>
      </c>
      <c r="H412" s="6">
        <v>3</v>
      </c>
      <c r="I412" s="6">
        <v>3</v>
      </c>
      <c r="J412" s="6">
        <f>I412-H412</f>
        <v>0</v>
      </c>
      <c r="K412" s="5">
        <f>IF(H412=0,"",J412/H412)</f>
        <v>0</v>
      </c>
      <c r="L412">
        <f>IF(OR(AND(H412=0,ABS(J412)&gt;=0.01),AND(H412&lt;&gt;0,ABS(K412)&gt;VarianceThreshold)),"Review","OK")</f>
        <v>0</v>
      </c>
      <c r="M412" t="s">
        <v>33</v>
      </c>
    </row>
    <row r="413" spans="1:13">
      <c r="A413" t="s">
        <v>0</v>
      </c>
      <c r="B413" t="s">
        <v>607</v>
      </c>
      <c r="C413" t="s">
        <v>220</v>
      </c>
      <c r="D413" t="s">
        <v>608</v>
      </c>
      <c r="E413" cm="1">
        <f t="array" ref="E413">_xlfn.XLOOKUP(D413,SKU_Master!A:A,SKU_Master!B:B,"Not on master")</f>
        <v>0</v>
      </c>
      <c r="F413" cm="1">
        <f t="array" ref="F413">_xlfn.XLOOKUP(C413,Account_Master!A:A,Account_Master!B:B,"Not on master")</f>
        <v>0</v>
      </c>
      <c r="G413" cm="1">
        <f t="array" ref="G413">_xlfn.XLOOKUP(C413,Account_Master!A:A,Account_Master!C:C,"Not on master")</f>
        <v>0</v>
      </c>
      <c r="H413" s="6">
        <v>9</v>
      </c>
      <c r="I413" s="6">
        <v>9</v>
      </c>
      <c r="J413" s="6">
        <f>I413-H413</f>
        <v>0</v>
      </c>
      <c r="K413" s="5">
        <f>IF(H413=0,"",J413/H413)</f>
        <v>0</v>
      </c>
      <c r="L413">
        <f>IF(OR(AND(H413=0,ABS(J413)&gt;=0.01),AND(H413&lt;&gt;0,ABS(K413)&gt;VarianceThreshold)),"Review","OK")</f>
        <v>0</v>
      </c>
      <c r="M413" t="s">
        <v>33</v>
      </c>
    </row>
    <row r="414" spans="1:13">
      <c r="A414" t="s">
        <v>0</v>
      </c>
      <c r="B414" t="s">
        <v>607</v>
      </c>
      <c r="C414" t="s">
        <v>72</v>
      </c>
      <c r="D414" t="s">
        <v>609</v>
      </c>
      <c r="E414" cm="1">
        <f t="array" ref="E414">_xlfn.XLOOKUP(D414,SKU_Master!A:A,SKU_Master!B:B,"Not on master")</f>
        <v>0</v>
      </c>
      <c r="F414" cm="1">
        <f t="array" ref="F414">_xlfn.XLOOKUP(C414,Account_Master!A:A,Account_Master!B:B,"Not on master")</f>
        <v>0</v>
      </c>
      <c r="G414" cm="1">
        <f t="array" ref="G414">_xlfn.XLOOKUP(C414,Account_Master!A:A,Account_Master!C:C,"Not on master")</f>
        <v>0</v>
      </c>
      <c r="H414" s="6">
        <v>0.05</v>
      </c>
      <c r="I414" s="6">
        <v>0.05</v>
      </c>
      <c r="J414" s="6">
        <f>I414-H414</f>
        <v>0</v>
      </c>
      <c r="K414" s="5">
        <f>IF(H414=0,"",J414/H414)</f>
        <v>0</v>
      </c>
      <c r="L414">
        <f>IF(OR(AND(H414=0,ABS(J414)&gt;=0.01),AND(H414&lt;&gt;0,ABS(K414)&gt;VarianceThreshold)),"Review","OK")</f>
        <v>0</v>
      </c>
      <c r="M414" t="s">
        <v>33</v>
      </c>
    </row>
    <row r="415" spans="1:13">
      <c r="A415" t="s">
        <v>0</v>
      </c>
      <c r="B415" t="s">
        <v>607</v>
      </c>
      <c r="C415" t="s">
        <v>31</v>
      </c>
      <c r="D415" t="s">
        <v>610</v>
      </c>
      <c r="E415" cm="1">
        <f t="array" ref="E415">_xlfn.XLOOKUP(D415,SKU_Master!A:A,SKU_Master!B:B,"Not on master")</f>
        <v>0</v>
      </c>
      <c r="F415" cm="1">
        <f t="array" ref="F415">_xlfn.XLOOKUP(C415,Account_Master!A:A,Account_Master!B:B,"Not on master")</f>
        <v>0</v>
      </c>
      <c r="G415" cm="1">
        <f t="array" ref="G415">_xlfn.XLOOKUP(C415,Account_Master!A:A,Account_Master!C:C,"Not on master")</f>
        <v>0</v>
      </c>
      <c r="H415" s="6">
        <v>36</v>
      </c>
      <c r="I415" s="6">
        <v>36</v>
      </c>
      <c r="J415" s="6">
        <f>I415-H415</f>
        <v>0</v>
      </c>
      <c r="K415" s="5">
        <f>IF(H415=0,"",J415/H415)</f>
        <v>0</v>
      </c>
      <c r="L415">
        <f>IF(OR(AND(H415=0,ABS(J415)&gt;=0.01),AND(H415&lt;&gt;0,ABS(K415)&gt;VarianceThreshold)),"Review","OK")</f>
        <v>0</v>
      </c>
      <c r="M415" t="s">
        <v>33</v>
      </c>
    </row>
    <row r="416" spans="1:13">
      <c r="A416" t="s">
        <v>0</v>
      </c>
      <c r="B416" t="s">
        <v>607</v>
      </c>
      <c r="C416" t="s">
        <v>110</v>
      </c>
      <c r="D416" t="s">
        <v>611</v>
      </c>
      <c r="E416" cm="1">
        <f t="array" ref="E416">_xlfn.XLOOKUP(D416,SKU_Master!A:A,SKU_Master!B:B,"Not on master")</f>
        <v>0</v>
      </c>
      <c r="F416" cm="1">
        <f t="array" ref="F416">_xlfn.XLOOKUP(C416,Account_Master!A:A,Account_Master!B:B,"Not on master")</f>
        <v>0</v>
      </c>
      <c r="G416" cm="1">
        <f t="array" ref="G416">_xlfn.XLOOKUP(C416,Account_Master!A:A,Account_Master!C:C,"Not on master")</f>
        <v>0</v>
      </c>
      <c r="H416" s="6">
        <v>24</v>
      </c>
      <c r="I416" s="6">
        <v>24</v>
      </c>
      <c r="J416" s="6">
        <f>I416-H416</f>
        <v>0</v>
      </c>
      <c r="K416" s="5">
        <f>IF(H416=0,"",J416/H416)</f>
        <v>0</v>
      </c>
      <c r="L416">
        <f>IF(OR(AND(H416=0,ABS(J416)&gt;=0.01),AND(H416&lt;&gt;0,ABS(K416)&gt;VarianceThreshold)),"Review","OK")</f>
        <v>0</v>
      </c>
      <c r="M416" t="s">
        <v>33</v>
      </c>
    </row>
    <row r="417" spans="1:13">
      <c r="A417" t="s">
        <v>0</v>
      </c>
      <c r="B417" t="s">
        <v>607</v>
      </c>
      <c r="C417" t="s">
        <v>59</v>
      </c>
      <c r="D417" t="s">
        <v>612</v>
      </c>
      <c r="E417" cm="1">
        <f t="array" ref="E417">_xlfn.XLOOKUP(D417,SKU_Master!A:A,SKU_Master!B:B,"Not on master")</f>
        <v>0</v>
      </c>
      <c r="F417" cm="1">
        <f t="array" ref="F417">_xlfn.XLOOKUP(C417,Account_Master!A:A,Account_Master!B:B,"Not on master")</f>
        <v>0</v>
      </c>
      <c r="G417" cm="1">
        <f t="array" ref="G417">_xlfn.XLOOKUP(C417,Account_Master!A:A,Account_Master!C:C,"Not on master")</f>
        <v>0</v>
      </c>
      <c r="H417" s="6">
        <v>36</v>
      </c>
      <c r="I417" s="6">
        <v>36</v>
      </c>
      <c r="J417" s="6">
        <f>I417-H417</f>
        <v>0</v>
      </c>
      <c r="K417" s="5">
        <f>IF(H417=0,"",J417/H417)</f>
        <v>0</v>
      </c>
      <c r="L417">
        <f>IF(OR(AND(H417=0,ABS(J417)&gt;=0.01),AND(H417&lt;&gt;0,ABS(K417)&gt;VarianceThreshold)),"Review","OK")</f>
        <v>0</v>
      </c>
      <c r="M417" t="s">
        <v>33</v>
      </c>
    </row>
    <row r="418" spans="1:13">
      <c r="A418" t="s">
        <v>0</v>
      </c>
      <c r="B418" t="s">
        <v>607</v>
      </c>
      <c r="C418" t="s">
        <v>110</v>
      </c>
      <c r="D418" t="s">
        <v>613</v>
      </c>
      <c r="E418" cm="1">
        <f t="array" ref="E418">_xlfn.XLOOKUP(D418,SKU_Master!A:A,SKU_Master!B:B,"Not on master")</f>
        <v>0</v>
      </c>
      <c r="F418" cm="1">
        <f t="array" ref="F418">_xlfn.XLOOKUP(C418,Account_Master!A:A,Account_Master!B:B,"Not on master")</f>
        <v>0</v>
      </c>
      <c r="G418" cm="1">
        <f t="array" ref="G418">_xlfn.XLOOKUP(C418,Account_Master!A:A,Account_Master!C:C,"Not on master")</f>
        <v>0</v>
      </c>
      <c r="H418" s="6">
        <v>15.75</v>
      </c>
      <c r="I418" s="6">
        <v>15.75</v>
      </c>
      <c r="J418" s="6">
        <f>I418-H418</f>
        <v>0</v>
      </c>
      <c r="K418" s="5">
        <f>IF(H418=0,"",J418/H418)</f>
        <v>0</v>
      </c>
      <c r="L418">
        <f>IF(OR(AND(H418=0,ABS(J418)&gt;=0.01),AND(H418&lt;&gt;0,ABS(K418)&gt;VarianceThreshold)),"Review","OK")</f>
        <v>0</v>
      </c>
      <c r="M418" t="s">
        <v>33</v>
      </c>
    </row>
    <row r="419" spans="1:13">
      <c r="A419" t="s">
        <v>0</v>
      </c>
      <c r="B419" t="s">
        <v>607</v>
      </c>
      <c r="C419" t="s">
        <v>389</v>
      </c>
      <c r="D419" t="s">
        <v>614</v>
      </c>
      <c r="E419" cm="1">
        <f t="array" ref="E419">_xlfn.XLOOKUP(D419,SKU_Master!A:A,SKU_Master!B:B,"Not on master")</f>
        <v>0</v>
      </c>
      <c r="F419" cm="1">
        <f t="array" ref="F419">_xlfn.XLOOKUP(C419,Account_Master!A:A,Account_Master!B:B,"Not on master")</f>
        <v>0</v>
      </c>
      <c r="G419" cm="1">
        <f t="array" ref="G419">_xlfn.XLOOKUP(C419,Account_Master!A:A,Account_Master!C:C,"Not on master")</f>
        <v>0</v>
      </c>
      <c r="H419" s="6">
        <v>15</v>
      </c>
      <c r="I419" s="6">
        <v>15</v>
      </c>
      <c r="J419" s="6">
        <f>I419-H419</f>
        <v>0</v>
      </c>
      <c r="K419" s="5">
        <f>IF(H419=0,"",J419/H419)</f>
        <v>0</v>
      </c>
      <c r="L419">
        <f>IF(OR(AND(H419=0,ABS(J419)&gt;=0.01),AND(H419&lt;&gt;0,ABS(K419)&gt;VarianceThreshold)),"Review","OK")</f>
        <v>0</v>
      </c>
      <c r="M419" t="s">
        <v>33</v>
      </c>
    </row>
    <row r="420" spans="1:13">
      <c r="A420" t="s">
        <v>0</v>
      </c>
      <c r="B420" t="s">
        <v>615</v>
      </c>
      <c r="C420" t="s">
        <v>616</v>
      </c>
      <c r="D420" t="s">
        <v>617</v>
      </c>
      <c r="E420" cm="1">
        <f t="array" ref="E420">_xlfn.XLOOKUP(D420,SKU_Master!A:A,SKU_Master!B:B,"Not on master")</f>
        <v>0</v>
      </c>
      <c r="F420" cm="1">
        <f t="array" ref="F420">_xlfn.XLOOKUP(C420,Account_Master!A:A,Account_Master!B:B,"Not on master")</f>
        <v>0</v>
      </c>
      <c r="G420" cm="1">
        <f t="array" ref="G420">_xlfn.XLOOKUP(C420,Account_Master!A:A,Account_Master!C:C,"Not on master")</f>
        <v>0</v>
      </c>
      <c r="H420" s="6">
        <v>84</v>
      </c>
      <c r="I420" s="6">
        <v>84</v>
      </c>
      <c r="J420" s="6">
        <f>I420-H420</f>
        <v>0</v>
      </c>
      <c r="K420" s="5">
        <f>IF(H420=0,"",J420/H420)</f>
        <v>0</v>
      </c>
      <c r="L420">
        <f>IF(OR(AND(H420=0,ABS(J420)&gt;=0.01),AND(H420&lt;&gt;0,ABS(K420)&gt;VarianceThreshold)),"Review","OK")</f>
        <v>0</v>
      </c>
      <c r="M420" t="s">
        <v>33</v>
      </c>
    </row>
    <row r="421" spans="1:13">
      <c r="A421" t="s">
        <v>0</v>
      </c>
      <c r="B421" t="s">
        <v>615</v>
      </c>
      <c r="C421" t="s">
        <v>486</v>
      </c>
      <c r="D421" t="s">
        <v>618</v>
      </c>
      <c r="E421" cm="1">
        <f t="array" ref="E421">_xlfn.XLOOKUP(D421,SKU_Master!A:A,SKU_Master!B:B,"Not on master")</f>
        <v>0</v>
      </c>
      <c r="F421" cm="1">
        <f t="array" ref="F421">_xlfn.XLOOKUP(C421,Account_Master!A:A,Account_Master!B:B,"Not on master")</f>
        <v>0</v>
      </c>
      <c r="G421" cm="1">
        <f t="array" ref="G421">_xlfn.XLOOKUP(C421,Account_Master!A:A,Account_Master!C:C,"Not on master")</f>
        <v>0</v>
      </c>
      <c r="H421" s="6">
        <v>1.5</v>
      </c>
      <c r="I421" s="6">
        <v>1.5</v>
      </c>
      <c r="J421" s="6">
        <f>I421-H421</f>
        <v>0</v>
      </c>
      <c r="K421" s="5">
        <f>IF(H421=0,"",J421/H421)</f>
        <v>0</v>
      </c>
      <c r="L421">
        <f>IF(OR(AND(H421=0,ABS(J421)&gt;=0.01),AND(H421&lt;&gt;0,ABS(K421)&gt;VarianceThreshold)),"Review","OK")</f>
        <v>0</v>
      </c>
      <c r="M421" t="s">
        <v>33</v>
      </c>
    </row>
    <row r="422" spans="1:13">
      <c r="A422" t="s">
        <v>0</v>
      </c>
      <c r="B422" t="s">
        <v>615</v>
      </c>
      <c r="C422" t="s">
        <v>84</v>
      </c>
      <c r="D422" t="s">
        <v>619</v>
      </c>
      <c r="E422" cm="1">
        <f t="array" ref="E422">_xlfn.XLOOKUP(D422,SKU_Master!A:A,SKU_Master!B:B,"Not on master")</f>
        <v>0</v>
      </c>
      <c r="F422" cm="1">
        <f t="array" ref="F422">_xlfn.XLOOKUP(C422,Account_Master!A:A,Account_Master!B:B,"Not on master")</f>
        <v>0</v>
      </c>
      <c r="G422" cm="1">
        <f t="array" ref="G422">_xlfn.XLOOKUP(C422,Account_Master!A:A,Account_Master!C:C,"Not on master")</f>
        <v>0</v>
      </c>
      <c r="H422" s="6">
        <v>7.5</v>
      </c>
      <c r="I422" s="6">
        <v>7.5</v>
      </c>
      <c r="J422" s="6">
        <f>I422-H422</f>
        <v>0</v>
      </c>
      <c r="K422" s="5">
        <f>IF(H422=0,"",J422/H422)</f>
        <v>0</v>
      </c>
      <c r="L422">
        <f>IF(OR(AND(H422=0,ABS(J422)&gt;=0.01),AND(H422&lt;&gt;0,ABS(K422)&gt;VarianceThreshold)),"Review","OK")</f>
        <v>0</v>
      </c>
      <c r="M422" t="s">
        <v>33</v>
      </c>
    </row>
    <row r="423" spans="1:13">
      <c r="A423" t="s">
        <v>0</v>
      </c>
      <c r="B423" t="s">
        <v>615</v>
      </c>
      <c r="C423" t="s">
        <v>110</v>
      </c>
      <c r="D423" t="s">
        <v>620</v>
      </c>
      <c r="E423" cm="1">
        <f t="array" ref="E423">_xlfn.XLOOKUP(D423,SKU_Master!A:A,SKU_Master!B:B,"Not on master")</f>
        <v>0</v>
      </c>
      <c r="F423" cm="1">
        <f t="array" ref="F423">_xlfn.XLOOKUP(C423,Account_Master!A:A,Account_Master!B:B,"Not on master")</f>
        <v>0</v>
      </c>
      <c r="G423" cm="1">
        <f t="array" ref="G423">_xlfn.XLOOKUP(C423,Account_Master!A:A,Account_Master!C:C,"Not on master")</f>
        <v>0</v>
      </c>
      <c r="H423" s="6">
        <v>36</v>
      </c>
      <c r="I423" s="6">
        <v>36</v>
      </c>
      <c r="J423" s="6">
        <f>I423-H423</f>
        <v>0</v>
      </c>
      <c r="K423" s="5">
        <f>IF(H423=0,"",J423/H423)</f>
        <v>0</v>
      </c>
      <c r="L423">
        <f>IF(OR(AND(H423=0,ABS(J423)&gt;=0.01),AND(H423&lt;&gt;0,ABS(K423)&gt;VarianceThreshold)),"Review","OK")</f>
        <v>0</v>
      </c>
      <c r="M423" t="s">
        <v>33</v>
      </c>
    </row>
    <row r="424" spans="1:13">
      <c r="A424" t="s">
        <v>0</v>
      </c>
      <c r="B424" t="s">
        <v>615</v>
      </c>
      <c r="C424" t="s">
        <v>209</v>
      </c>
      <c r="D424" t="s">
        <v>621</v>
      </c>
      <c r="E424" cm="1">
        <f t="array" ref="E424">_xlfn.XLOOKUP(D424,SKU_Master!A:A,SKU_Master!B:B,"Not on master")</f>
        <v>0</v>
      </c>
      <c r="F424" cm="1">
        <f t="array" ref="F424">_xlfn.XLOOKUP(C424,Account_Master!A:A,Account_Master!B:B,"Not on master")</f>
        <v>0</v>
      </c>
      <c r="G424" cm="1">
        <f t="array" ref="G424">_xlfn.XLOOKUP(C424,Account_Master!A:A,Account_Master!C:C,"Not on master")</f>
        <v>0</v>
      </c>
      <c r="H424" s="6">
        <v>18</v>
      </c>
      <c r="I424" s="6">
        <v>18</v>
      </c>
      <c r="J424" s="6">
        <f>I424-H424</f>
        <v>0</v>
      </c>
      <c r="K424" s="5">
        <f>IF(H424=0,"",J424/H424)</f>
        <v>0</v>
      </c>
      <c r="L424">
        <f>IF(OR(AND(H424=0,ABS(J424)&gt;=0.01),AND(H424&lt;&gt;0,ABS(K424)&gt;VarianceThreshold)),"Review","OK")</f>
        <v>0</v>
      </c>
      <c r="M424" t="s">
        <v>33</v>
      </c>
    </row>
    <row r="425" spans="1:13">
      <c r="A425" t="s">
        <v>0</v>
      </c>
      <c r="B425" t="s">
        <v>615</v>
      </c>
      <c r="C425" t="s">
        <v>31</v>
      </c>
      <c r="D425" t="s">
        <v>622</v>
      </c>
      <c r="E425" cm="1">
        <f t="array" ref="E425">_xlfn.XLOOKUP(D425,SKU_Master!A:A,SKU_Master!B:B,"Not on master")</f>
        <v>0</v>
      </c>
      <c r="F425" cm="1">
        <f t="array" ref="F425">_xlfn.XLOOKUP(C425,Account_Master!A:A,Account_Master!B:B,"Not on master")</f>
        <v>0</v>
      </c>
      <c r="G425" cm="1">
        <f t="array" ref="G425">_xlfn.XLOOKUP(C425,Account_Master!A:A,Account_Master!C:C,"Not on master")</f>
        <v>0</v>
      </c>
      <c r="H425" s="6">
        <v>9</v>
      </c>
      <c r="I425" s="6">
        <v>9</v>
      </c>
      <c r="J425" s="6">
        <f>I425-H425</f>
        <v>0</v>
      </c>
      <c r="K425" s="5">
        <f>IF(H425=0,"",J425/H425)</f>
        <v>0</v>
      </c>
      <c r="L425">
        <f>IF(OR(AND(H425=0,ABS(J425)&gt;=0.01),AND(H425&lt;&gt;0,ABS(K425)&gt;VarianceThreshold)),"Review","OK")</f>
        <v>0</v>
      </c>
      <c r="M425" t="s">
        <v>33</v>
      </c>
    </row>
    <row r="426" spans="1:13">
      <c r="A426" t="s">
        <v>0</v>
      </c>
      <c r="B426" t="s">
        <v>615</v>
      </c>
      <c r="C426" t="s">
        <v>31</v>
      </c>
      <c r="D426" t="s">
        <v>623</v>
      </c>
      <c r="E426" cm="1">
        <f t="array" ref="E426">_xlfn.XLOOKUP(D426,SKU_Master!A:A,SKU_Master!B:B,"Not on master")</f>
        <v>0</v>
      </c>
      <c r="F426" cm="1">
        <f t="array" ref="F426">_xlfn.XLOOKUP(C426,Account_Master!A:A,Account_Master!B:B,"Not on master")</f>
        <v>0</v>
      </c>
      <c r="G426" cm="1">
        <f t="array" ref="G426">_xlfn.XLOOKUP(C426,Account_Master!A:A,Account_Master!C:C,"Not on master")</f>
        <v>0</v>
      </c>
      <c r="H426" s="6">
        <v>6</v>
      </c>
      <c r="I426" s="6">
        <v>6</v>
      </c>
      <c r="J426" s="6">
        <f>I426-H426</f>
        <v>0</v>
      </c>
      <c r="K426" s="5">
        <f>IF(H426=0,"",J426/H426)</f>
        <v>0</v>
      </c>
      <c r="L426">
        <f>IF(OR(AND(H426=0,ABS(J426)&gt;=0.01),AND(H426&lt;&gt;0,ABS(K426)&gt;VarianceThreshold)),"Review","OK")</f>
        <v>0</v>
      </c>
      <c r="M426" t="s">
        <v>33</v>
      </c>
    </row>
    <row r="427" spans="1:13">
      <c r="A427" t="s">
        <v>0</v>
      </c>
      <c r="B427" t="s">
        <v>624</v>
      </c>
      <c r="C427" t="s">
        <v>31</v>
      </c>
      <c r="D427" t="s">
        <v>625</v>
      </c>
      <c r="E427" cm="1">
        <f t="array" ref="E427">_xlfn.XLOOKUP(D427,SKU_Master!A:A,SKU_Master!B:B,"Not on master")</f>
        <v>0</v>
      </c>
      <c r="F427" cm="1">
        <f t="array" ref="F427">_xlfn.XLOOKUP(C427,Account_Master!A:A,Account_Master!B:B,"Not on master")</f>
        <v>0</v>
      </c>
      <c r="G427" cm="1">
        <f t="array" ref="G427">_xlfn.XLOOKUP(C427,Account_Master!A:A,Account_Master!C:C,"Not on master")</f>
        <v>0</v>
      </c>
      <c r="H427" s="6">
        <v>75</v>
      </c>
      <c r="I427" s="6">
        <v>75</v>
      </c>
      <c r="J427" s="6">
        <f>I427-H427</f>
        <v>0</v>
      </c>
      <c r="K427" s="5">
        <f>IF(H427=0,"",J427/H427)</f>
        <v>0</v>
      </c>
      <c r="L427">
        <f>IF(OR(AND(H427=0,ABS(J427)&gt;=0.01),AND(H427&lt;&gt;0,ABS(K427)&gt;VarianceThreshold)),"Review","OK")</f>
        <v>0</v>
      </c>
      <c r="M427" t="s">
        <v>33</v>
      </c>
    </row>
    <row r="428" spans="1:13">
      <c r="A428" t="s">
        <v>0</v>
      </c>
      <c r="B428" t="s">
        <v>624</v>
      </c>
      <c r="C428" t="s">
        <v>56</v>
      </c>
      <c r="D428" t="s">
        <v>626</v>
      </c>
      <c r="E428" cm="1">
        <f t="array" ref="E428">_xlfn.XLOOKUP(D428,SKU_Master!A:A,SKU_Master!B:B,"Not on master")</f>
        <v>0</v>
      </c>
      <c r="F428" cm="1">
        <f t="array" ref="F428">_xlfn.XLOOKUP(C428,Account_Master!A:A,Account_Master!B:B,"Not on master")</f>
        <v>0</v>
      </c>
      <c r="G428" cm="1">
        <f t="array" ref="G428">_xlfn.XLOOKUP(C428,Account_Master!A:A,Account_Master!C:C,"Not on master")</f>
        <v>0</v>
      </c>
      <c r="H428" s="6">
        <v>9</v>
      </c>
      <c r="I428" s="6">
        <v>9</v>
      </c>
      <c r="J428" s="6">
        <f>I428-H428</f>
        <v>0</v>
      </c>
      <c r="K428" s="5">
        <f>IF(H428=0,"",J428/H428)</f>
        <v>0</v>
      </c>
      <c r="L428">
        <f>IF(OR(AND(H428=0,ABS(J428)&gt;=0.01),AND(H428&lt;&gt;0,ABS(K428)&gt;VarianceThreshold)),"Review","OK")</f>
        <v>0</v>
      </c>
      <c r="M428" t="s">
        <v>33</v>
      </c>
    </row>
    <row r="429" spans="1:13">
      <c r="A429" t="s">
        <v>0</v>
      </c>
      <c r="B429" t="s">
        <v>624</v>
      </c>
      <c r="C429" t="s">
        <v>59</v>
      </c>
      <c r="D429" t="s">
        <v>627</v>
      </c>
      <c r="E429" cm="1">
        <f t="array" ref="E429">_xlfn.XLOOKUP(D429,SKU_Master!A:A,SKU_Master!B:B,"Not on master")</f>
        <v>0</v>
      </c>
      <c r="F429" cm="1">
        <f t="array" ref="F429">_xlfn.XLOOKUP(C429,Account_Master!A:A,Account_Master!B:B,"Not on master")</f>
        <v>0</v>
      </c>
      <c r="G429" cm="1">
        <f t="array" ref="G429">_xlfn.XLOOKUP(C429,Account_Master!A:A,Account_Master!C:C,"Not on master")</f>
        <v>0</v>
      </c>
      <c r="H429" s="6">
        <v>36</v>
      </c>
      <c r="I429" s="6">
        <v>36</v>
      </c>
      <c r="J429" s="6">
        <f>I429-H429</f>
        <v>0</v>
      </c>
      <c r="K429" s="5">
        <f>IF(H429=0,"",J429/H429)</f>
        <v>0</v>
      </c>
      <c r="L429">
        <f>IF(OR(AND(H429=0,ABS(J429)&gt;=0.01),AND(H429&lt;&gt;0,ABS(K429)&gt;VarianceThreshold)),"Review","OK")</f>
        <v>0</v>
      </c>
      <c r="M429" t="s">
        <v>33</v>
      </c>
    </row>
    <row r="430" spans="1:13">
      <c r="A430" t="s">
        <v>0</v>
      </c>
      <c r="B430" t="s">
        <v>624</v>
      </c>
      <c r="C430" t="s">
        <v>31</v>
      </c>
      <c r="D430" t="s">
        <v>628</v>
      </c>
      <c r="E430" cm="1">
        <f t="array" ref="E430">_xlfn.XLOOKUP(D430,SKU_Master!A:A,SKU_Master!B:B,"Not on master")</f>
        <v>0</v>
      </c>
      <c r="F430" cm="1">
        <f t="array" ref="F430">_xlfn.XLOOKUP(C430,Account_Master!A:A,Account_Master!B:B,"Not on master")</f>
        <v>0</v>
      </c>
      <c r="G430" cm="1">
        <f t="array" ref="G430">_xlfn.XLOOKUP(C430,Account_Master!A:A,Account_Master!C:C,"Not on master")</f>
        <v>0</v>
      </c>
      <c r="H430" s="6">
        <v>12</v>
      </c>
      <c r="I430" s="6">
        <v>12</v>
      </c>
      <c r="J430" s="6">
        <f>I430-H430</f>
        <v>0</v>
      </c>
      <c r="K430" s="5">
        <f>IF(H430=0,"",J430/H430)</f>
        <v>0</v>
      </c>
      <c r="L430">
        <f>IF(OR(AND(H430=0,ABS(J430)&gt;=0.01),AND(H430&lt;&gt;0,ABS(K430)&gt;VarianceThreshold)),"Review","OK")</f>
        <v>0</v>
      </c>
      <c r="M430" t="s">
        <v>33</v>
      </c>
    </row>
    <row r="431" spans="1:13">
      <c r="A431" t="s">
        <v>0</v>
      </c>
      <c r="B431" t="s">
        <v>624</v>
      </c>
      <c r="C431" t="s">
        <v>256</v>
      </c>
      <c r="D431" t="s">
        <v>629</v>
      </c>
      <c r="E431" cm="1">
        <f t="array" ref="E431">_xlfn.XLOOKUP(D431,SKU_Master!A:A,SKU_Master!B:B,"Not on master")</f>
        <v>0</v>
      </c>
      <c r="F431" cm="1">
        <f t="array" ref="F431">_xlfn.XLOOKUP(C431,Account_Master!A:A,Account_Master!B:B,"Not on master")</f>
        <v>0</v>
      </c>
      <c r="G431" cm="1">
        <f t="array" ref="G431">_xlfn.XLOOKUP(C431,Account_Master!A:A,Account_Master!C:C,"Not on master")</f>
        <v>0</v>
      </c>
      <c r="H431" s="6">
        <v>10.5</v>
      </c>
      <c r="I431" s="6">
        <v>10.5</v>
      </c>
      <c r="J431" s="6">
        <f>I431-H431</f>
        <v>0</v>
      </c>
      <c r="K431" s="5">
        <f>IF(H431=0,"",J431/H431)</f>
        <v>0</v>
      </c>
      <c r="L431">
        <f>IF(OR(AND(H431=0,ABS(J431)&gt;=0.01),AND(H431&lt;&gt;0,ABS(K431)&gt;VarianceThreshold)),"Review","OK")</f>
        <v>0</v>
      </c>
      <c r="M431" t="s">
        <v>33</v>
      </c>
    </row>
    <row r="432" spans="1:13">
      <c r="A432" t="s">
        <v>0</v>
      </c>
      <c r="B432" t="s">
        <v>624</v>
      </c>
      <c r="C432" t="s">
        <v>110</v>
      </c>
      <c r="D432" t="s">
        <v>630</v>
      </c>
      <c r="E432" cm="1">
        <f t="array" ref="E432">_xlfn.XLOOKUP(D432,SKU_Master!A:A,SKU_Master!B:B,"Not on master")</f>
        <v>0</v>
      </c>
      <c r="F432" cm="1">
        <f t="array" ref="F432">_xlfn.XLOOKUP(C432,Account_Master!A:A,Account_Master!B:B,"Not on master")</f>
        <v>0</v>
      </c>
      <c r="G432" cm="1">
        <f t="array" ref="G432">_xlfn.XLOOKUP(C432,Account_Master!A:A,Account_Master!C:C,"Not on master")</f>
        <v>0</v>
      </c>
      <c r="H432" s="6">
        <v>15.75</v>
      </c>
      <c r="I432" s="6">
        <v>15.75</v>
      </c>
      <c r="J432" s="6">
        <f>I432-H432</f>
        <v>0</v>
      </c>
      <c r="K432" s="5">
        <f>IF(H432=0,"",J432/H432)</f>
        <v>0</v>
      </c>
      <c r="L432">
        <f>IF(OR(AND(H432=0,ABS(J432)&gt;=0.01),AND(H432&lt;&gt;0,ABS(K432)&gt;VarianceThreshold)),"Review","OK")</f>
        <v>0</v>
      </c>
      <c r="M432" t="s">
        <v>33</v>
      </c>
    </row>
    <row r="433" spans="1:13">
      <c r="A433" t="s">
        <v>0</v>
      </c>
      <c r="B433" t="s">
        <v>624</v>
      </c>
      <c r="C433" t="s">
        <v>84</v>
      </c>
      <c r="D433" t="s">
        <v>631</v>
      </c>
      <c r="E433" cm="1">
        <f t="array" ref="E433">_xlfn.XLOOKUP(D433,SKU_Master!A:A,SKU_Master!B:B,"Not on master")</f>
        <v>0</v>
      </c>
      <c r="F433" cm="1">
        <f t="array" ref="F433">_xlfn.XLOOKUP(C433,Account_Master!A:A,Account_Master!B:B,"Not on master")</f>
        <v>0</v>
      </c>
      <c r="G433" cm="1">
        <f t="array" ref="G433">_xlfn.XLOOKUP(C433,Account_Master!A:A,Account_Master!C:C,"Not on master")</f>
        <v>0</v>
      </c>
      <c r="H433" s="6">
        <v>3</v>
      </c>
      <c r="I433" s="6">
        <v>3</v>
      </c>
      <c r="J433" s="6">
        <f>I433-H433</f>
        <v>0</v>
      </c>
      <c r="K433" s="5">
        <f>IF(H433=0,"",J433/H433)</f>
        <v>0</v>
      </c>
      <c r="L433">
        <f>IF(OR(AND(H433=0,ABS(J433)&gt;=0.01),AND(H433&lt;&gt;0,ABS(K433)&gt;VarianceThreshold)),"Review","OK")</f>
        <v>0</v>
      </c>
      <c r="M433" t="s">
        <v>33</v>
      </c>
    </row>
    <row r="434" spans="1:13">
      <c r="A434" t="s">
        <v>0</v>
      </c>
      <c r="B434" t="s">
        <v>624</v>
      </c>
      <c r="C434" t="s">
        <v>48</v>
      </c>
      <c r="D434" t="s">
        <v>632</v>
      </c>
      <c r="E434" cm="1">
        <f t="array" ref="E434">_xlfn.XLOOKUP(D434,SKU_Master!A:A,SKU_Master!B:B,"Not on master")</f>
        <v>0</v>
      </c>
      <c r="F434" cm="1">
        <f t="array" ref="F434">_xlfn.XLOOKUP(C434,Account_Master!A:A,Account_Master!B:B,"Not on master")</f>
        <v>0</v>
      </c>
      <c r="G434" cm="1">
        <f t="array" ref="G434">_xlfn.XLOOKUP(C434,Account_Master!A:A,Account_Master!C:C,"Not on master")</f>
        <v>0</v>
      </c>
      <c r="H434" s="6">
        <v>31.8</v>
      </c>
      <c r="I434" s="6">
        <v>31.8</v>
      </c>
      <c r="J434" s="6">
        <f>I434-H434</f>
        <v>0</v>
      </c>
      <c r="K434" s="5">
        <f>IF(H434=0,"",J434/H434)</f>
        <v>0</v>
      </c>
      <c r="L434">
        <f>IF(OR(AND(H434=0,ABS(J434)&gt;=0.01),AND(H434&lt;&gt;0,ABS(K434)&gt;VarianceThreshold)),"Review","OK")</f>
        <v>0</v>
      </c>
      <c r="M434" t="s">
        <v>33</v>
      </c>
    </row>
    <row r="435" spans="1:13">
      <c r="A435" t="s">
        <v>0</v>
      </c>
      <c r="B435" t="s">
        <v>624</v>
      </c>
      <c r="C435" t="s">
        <v>274</v>
      </c>
      <c r="D435" t="s">
        <v>633</v>
      </c>
      <c r="E435" cm="1">
        <f t="array" ref="E435">_xlfn.XLOOKUP(D435,SKU_Master!A:A,SKU_Master!B:B,"Not on master")</f>
        <v>0</v>
      </c>
      <c r="F435" cm="1">
        <f t="array" ref="F435">_xlfn.XLOOKUP(C435,Account_Master!A:A,Account_Master!B:B,"Not on master")</f>
        <v>0</v>
      </c>
      <c r="G435" cm="1">
        <f t="array" ref="G435">_xlfn.XLOOKUP(C435,Account_Master!A:A,Account_Master!C:C,"Not on master")</f>
        <v>0</v>
      </c>
      <c r="H435" s="6">
        <v>21</v>
      </c>
      <c r="I435" s="6">
        <v>21</v>
      </c>
      <c r="J435" s="6">
        <f>I435-H435</f>
        <v>0</v>
      </c>
      <c r="K435" s="5">
        <f>IF(H435=0,"",J435/H435)</f>
        <v>0</v>
      </c>
      <c r="L435">
        <f>IF(OR(AND(H435=0,ABS(J435)&gt;=0.01),AND(H435&lt;&gt;0,ABS(K435)&gt;VarianceThreshold)),"Review","OK")</f>
        <v>0</v>
      </c>
      <c r="M435" t="s">
        <v>33</v>
      </c>
    </row>
    <row r="436" spans="1:13">
      <c r="A436" t="s">
        <v>0</v>
      </c>
      <c r="B436" t="s">
        <v>624</v>
      </c>
      <c r="C436" t="s">
        <v>31</v>
      </c>
      <c r="D436" t="s">
        <v>634</v>
      </c>
      <c r="E436" cm="1">
        <f t="array" ref="E436">_xlfn.XLOOKUP(D436,SKU_Master!A:A,SKU_Master!B:B,"Not on master")</f>
        <v>0</v>
      </c>
      <c r="F436" cm="1">
        <f t="array" ref="F436">_xlfn.XLOOKUP(C436,Account_Master!A:A,Account_Master!B:B,"Not on master")</f>
        <v>0</v>
      </c>
      <c r="G436" cm="1">
        <f t="array" ref="G436">_xlfn.XLOOKUP(C436,Account_Master!A:A,Account_Master!C:C,"Not on master")</f>
        <v>0</v>
      </c>
      <c r="H436" s="6">
        <v>9</v>
      </c>
      <c r="I436" s="6">
        <v>9</v>
      </c>
      <c r="J436" s="6">
        <f>I436-H436</f>
        <v>0</v>
      </c>
      <c r="K436" s="5">
        <f>IF(H436=0,"",J436/H436)</f>
        <v>0</v>
      </c>
      <c r="L436">
        <f>IF(OR(AND(H436=0,ABS(J436)&gt;=0.01),AND(H436&lt;&gt;0,ABS(K436)&gt;VarianceThreshold)),"Review","OK")</f>
        <v>0</v>
      </c>
      <c r="M436" t="s">
        <v>33</v>
      </c>
    </row>
    <row r="437" spans="1:13">
      <c r="A437" t="s">
        <v>0</v>
      </c>
      <c r="B437" t="s">
        <v>635</v>
      </c>
      <c r="C437" t="s">
        <v>41</v>
      </c>
      <c r="D437" t="s">
        <v>636</v>
      </c>
      <c r="E437" cm="1">
        <f t="array" ref="E437">_xlfn.XLOOKUP(D437,SKU_Master!A:A,SKU_Master!B:B,"Not on master")</f>
        <v>0</v>
      </c>
      <c r="F437" cm="1">
        <f t="array" ref="F437">_xlfn.XLOOKUP(C437,Account_Master!A:A,Account_Master!B:B,"Not on master")</f>
        <v>0</v>
      </c>
      <c r="G437" cm="1">
        <f t="array" ref="G437">_xlfn.XLOOKUP(C437,Account_Master!A:A,Account_Master!C:C,"Not on master")</f>
        <v>0</v>
      </c>
      <c r="H437" s="6">
        <v>0.75</v>
      </c>
      <c r="I437" s="6">
        <v>0.75</v>
      </c>
      <c r="J437" s="6">
        <f>I437-H437</f>
        <v>0</v>
      </c>
      <c r="K437" s="5">
        <f>IF(H437=0,"",J437/H437)</f>
        <v>0</v>
      </c>
      <c r="L437">
        <f>IF(OR(AND(H437=0,ABS(J437)&gt;=0.01),AND(H437&lt;&gt;0,ABS(K437)&gt;VarianceThreshold)),"Review","OK")</f>
        <v>0</v>
      </c>
      <c r="M437" t="s">
        <v>33</v>
      </c>
    </row>
    <row r="438" spans="1:13">
      <c r="A438" t="s">
        <v>0</v>
      </c>
      <c r="B438" t="s">
        <v>635</v>
      </c>
      <c r="C438" t="s">
        <v>637</v>
      </c>
      <c r="D438" t="s">
        <v>638</v>
      </c>
      <c r="E438" cm="1">
        <f t="array" ref="E438">_xlfn.XLOOKUP(D438,SKU_Master!A:A,SKU_Master!B:B,"Not on master")</f>
        <v>0</v>
      </c>
      <c r="F438" cm="1">
        <f t="array" ref="F438">_xlfn.XLOOKUP(C438,Account_Master!A:A,Account_Master!B:B,"Not on master")</f>
        <v>0</v>
      </c>
      <c r="G438" cm="1">
        <f t="array" ref="G438">_xlfn.XLOOKUP(C438,Account_Master!A:A,Account_Master!C:C,"Not on master")</f>
        <v>0</v>
      </c>
      <c r="H438" s="6">
        <v>3.75</v>
      </c>
      <c r="I438" s="6">
        <v>3.75</v>
      </c>
      <c r="J438" s="6">
        <f>I438-H438</f>
        <v>0</v>
      </c>
      <c r="K438" s="5">
        <f>IF(H438=0,"",J438/H438)</f>
        <v>0</v>
      </c>
      <c r="L438">
        <f>IF(OR(AND(H438=0,ABS(J438)&gt;=0.01),AND(H438&lt;&gt;0,ABS(K438)&gt;VarianceThreshold)),"Review","OK")</f>
        <v>0</v>
      </c>
      <c r="M438" t="s">
        <v>33</v>
      </c>
    </row>
    <row r="439" spans="1:13">
      <c r="A439" t="s">
        <v>0</v>
      </c>
      <c r="B439" t="s">
        <v>635</v>
      </c>
      <c r="C439" t="s">
        <v>34</v>
      </c>
      <c r="D439" t="s">
        <v>639</v>
      </c>
      <c r="E439" cm="1">
        <f t="array" ref="E439">_xlfn.XLOOKUP(D439,SKU_Master!A:A,SKU_Master!B:B,"Not on master")</f>
        <v>0</v>
      </c>
      <c r="F439" cm="1">
        <f t="array" ref="F439">_xlfn.XLOOKUP(C439,Account_Master!A:A,Account_Master!B:B,"Not on master")</f>
        <v>0</v>
      </c>
      <c r="G439" cm="1">
        <f t="array" ref="G439">_xlfn.XLOOKUP(C439,Account_Master!A:A,Account_Master!C:C,"Not on master")</f>
        <v>0</v>
      </c>
      <c r="H439" s="6">
        <v>9</v>
      </c>
      <c r="I439" s="6">
        <v>9</v>
      </c>
      <c r="J439" s="6">
        <f>I439-H439</f>
        <v>0</v>
      </c>
      <c r="K439" s="5">
        <f>IF(H439=0,"",J439/H439)</f>
        <v>0</v>
      </c>
      <c r="L439">
        <f>IF(OR(AND(H439=0,ABS(J439)&gt;=0.01),AND(H439&lt;&gt;0,ABS(K439)&gt;VarianceThreshold)),"Review","OK")</f>
        <v>0</v>
      </c>
      <c r="M439" t="s">
        <v>33</v>
      </c>
    </row>
    <row r="440" spans="1:13">
      <c r="A440" t="s">
        <v>0</v>
      </c>
      <c r="B440" t="s">
        <v>635</v>
      </c>
      <c r="C440" t="s">
        <v>43</v>
      </c>
      <c r="D440" t="s">
        <v>640</v>
      </c>
      <c r="E440" cm="1">
        <f t="array" ref="E440">_xlfn.XLOOKUP(D440,SKU_Master!A:A,SKU_Master!B:B,"Not on master")</f>
        <v>0</v>
      </c>
      <c r="F440" cm="1">
        <f t="array" ref="F440">_xlfn.XLOOKUP(C440,Account_Master!A:A,Account_Master!B:B,"Not on master")</f>
        <v>0</v>
      </c>
      <c r="G440" cm="1">
        <f t="array" ref="G440">_xlfn.XLOOKUP(C440,Account_Master!A:A,Account_Master!C:C,"Not on master")</f>
        <v>0</v>
      </c>
      <c r="H440" s="6">
        <v>21</v>
      </c>
      <c r="I440" s="6">
        <v>21</v>
      </c>
      <c r="J440" s="6">
        <f>I440-H440</f>
        <v>0</v>
      </c>
      <c r="K440" s="5">
        <f>IF(H440=0,"",J440/H440)</f>
        <v>0</v>
      </c>
      <c r="L440">
        <f>IF(OR(AND(H440=0,ABS(J440)&gt;=0.01),AND(H440&lt;&gt;0,ABS(K440)&gt;VarianceThreshold)),"Review","OK")</f>
        <v>0</v>
      </c>
      <c r="M440" t="s">
        <v>33</v>
      </c>
    </row>
    <row r="441" spans="1:13">
      <c r="A441" t="s">
        <v>0</v>
      </c>
      <c r="B441" t="s">
        <v>635</v>
      </c>
      <c r="C441" t="s">
        <v>262</v>
      </c>
      <c r="D441" t="s">
        <v>641</v>
      </c>
      <c r="E441" cm="1">
        <f t="array" ref="E441">_xlfn.XLOOKUP(D441,SKU_Master!A:A,SKU_Master!B:B,"Not on master")</f>
        <v>0</v>
      </c>
      <c r="F441" cm="1">
        <f t="array" ref="F441">_xlfn.XLOOKUP(C441,Account_Master!A:A,Account_Master!B:B,"Not on master")</f>
        <v>0</v>
      </c>
      <c r="G441" cm="1">
        <f t="array" ref="G441">_xlfn.XLOOKUP(C441,Account_Master!A:A,Account_Master!C:C,"Not on master")</f>
        <v>0</v>
      </c>
      <c r="H441" s="6">
        <v>2.25</v>
      </c>
      <c r="I441" s="6">
        <v>2.25</v>
      </c>
      <c r="J441" s="6">
        <f>I441-H441</f>
        <v>0</v>
      </c>
      <c r="K441" s="5">
        <f>IF(H441=0,"",J441/H441)</f>
        <v>0</v>
      </c>
      <c r="L441">
        <f>IF(OR(AND(H441=0,ABS(J441)&gt;=0.01),AND(H441&lt;&gt;0,ABS(K441)&gt;VarianceThreshold)),"Review","OK")</f>
        <v>0</v>
      </c>
      <c r="M441" t="s">
        <v>33</v>
      </c>
    </row>
    <row r="442" spans="1:13">
      <c r="A442" t="s">
        <v>0</v>
      </c>
      <c r="B442" t="s">
        <v>635</v>
      </c>
      <c r="C442" t="s">
        <v>209</v>
      </c>
      <c r="D442" t="s">
        <v>642</v>
      </c>
      <c r="E442" cm="1">
        <f t="array" ref="E442">_xlfn.XLOOKUP(D442,SKU_Master!A:A,SKU_Master!B:B,"Not on master")</f>
        <v>0</v>
      </c>
      <c r="F442" cm="1">
        <f t="array" ref="F442">_xlfn.XLOOKUP(C442,Account_Master!A:A,Account_Master!B:B,"Not on master")</f>
        <v>0</v>
      </c>
      <c r="G442" cm="1">
        <f t="array" ref="G442">_xlfn.XLOOKUP(C442,Account_Master!A:A,Account_Master!C:C,"Not on master")</f>
        <v>0</v>
      </c>
      <c r="H442" s="6">
        <v>52.5</v>
      </c>
      <c r="I442" s="6">
        <v>52.5</v>
      </c>
      <c r="J442" s="6">
        <f>I442-H442</f>
        <v>0</v>
      </c>
      <c r="K442" s="5">
        <f>IF(H442=0,"",J442/H442)</f>
        <v>0</v>
      </c>
      <c r="L442">
        <f>IF(OR(AND(H442=0,ABS(J442)&gt;=0.01),AND(H442&lt;&gt;0,ABS(K442)&gt;VarianceThreshold)),"Review","OK")</f>
        <v>0</v>
      </c>
      <c r="M442" t="s">
        <v>33</v>
      </c>
    </row>
    <row r="443" spans="1:13">
      <c r="A443" t="s">
        <v>0</v>
      </c>
      <c r="B443" t="s">
        <v>635</v>
      </c>
      <c r="C443" t="s">
        <v>643</v>
      </c>
      <c r="D443" t="s">
        <v>644</v>
      </c>
      <c r="E443" cm="1">
        <f t="array" ref="E443">_xlfn.XLOOKUP(D443,SKU_Master!A:A,SKU_Master!B:B,"Not on master")</f>
        <v>0</v>
      </c>
      <c r="F443" cm="1">
        <f t="array" ref="F443">_xlfn.XLOOKUP(C443,Account_Master!A:A,Account_Master!B:B,"Not on master")</f>
        <v>0</v>
      </c>
      <c r="G443" cm="1">
        <f t="array" ref="G443">_xlfn.XLOOKUP(C443,Account_Master!A:A,Account_Master!C:C,"Not on master")</f>
        <v>0</v>
      </c>
      <c r="H443" s="6">
        <v>10.12</v>
      </c>
      <c r="I443" s="6">
        <v>10.12</v>
      </c>
      <c r="J443" s="6">
        <f>I443-H443</f>
        <v>0</v>
      </c>
      <c r="K443" s="5">
        <f>IF(H443=0,"",J443/H443)</f>
        <v>0</v>
      </c>
      <c r="L443">
        <f>IF(OR(AND(H443=0,ABS(J443)&gt;=0.01),AND(H443&lt;&gt;0,ABS(K443)&gt;VarianceThreshold)),"Review","OK")</f>
        <v>0</v>
      </c>
      <c r="M443" t="s">
        <v>33</v>
      </c>
    </row>
    <row r="444" spans="1:13">
      <c r="A444" t="s">
        <v>0</v>
      </c>
      <c r="B444" t="s">
        <v>645</v>
      </c>
      <c r="C444" t="s">
        <v>152</v>
      </c>
      <c r="D444" t="s">
        <v>646</v>
      </c>
      <c r="E444" cm="1">
        <f t="array" ref="E444">_xlfn.XLOOKUP(D444,SKU_Master!A:A,SKU_Master!B:B,"Not on master")</f>
        <v>0</v>
      </c>
      <c r="F444" cm="1">
        <f t="array" ref="F444">_xlfn.XLOOKUP(C444,Account_Master!A:A,Account_Master!B:B,"Not on master")</f>
        <v>0</v>
      </c>
      <c r="G444" cm="1">
        <f t="array" ref="G444">_xlfn.XLOOKUP(C444,Account_Master!A:A,Account_Master!C:C,"Not on master")</f>
        <v>0</v>
      </c>
      <c r="H444" s="6">
        <v>31.5</v>
      </c>
      <c r="I444" s="6">
        <v>31.5</v>
      </c>
      <c r="J444" s="6">
        <f>I444-H444</f>
        <v>0</v>
      </c>
      <c r="K444" s="5">
        <f>IF(H444=0,"",J444/H444)</f>
        <v>0</v>
      </c>
      <c r="L444">
        <f>IF(OR(AND(H444=0,ABS(J444)&gt;=0.01),AND(H444&lt;&gt;0,ABS(K444)&gt;VarianceThreshold)),"Review","OK")</f>
        <v>0</v>
      </c>
      <c r="M444" t="s">
        <v>33</v>
      </c>
    </row>
    <row r="445" spans="1:13">
      <c r="A445" t="s">
        <v>0</v>
      </c>
      <c r="B445" t="s">
        <v>645</v>
      </c>
      <c r="C445" t="s">
        <v>647</v>
      </c>
      <c r="D445" t="s">
        <v>648</v>
      </c>
      <c r="E445" cm="1">
        <f t="array" ref="E445">_xlfn.XLOOKUP(D445,SKU_Master!A:A,SKU_Master!B:B,"Not on master")</f>
        <v>0</v>
      </c>
      <c r="F445" cm="1">
        <f t="array" ref="F445">_xlfn.XLOOKUP(C445,Account_Master!A:A,Account_Master!B:B,"Not on master")</f>
        <v>0</v>
      </c>
      <c r="G445" cm="1">
        <f t="array" ref="G445">_xlfn.XLOOKUP(C445,Account_Master!A:A,Account_Master!C:C,"Not on master")</f>
        <v>0</v>
      </c>
      <c r="H445" s="6">
        <v>19.5</v>
      </c>
      <c r="I445" s="6">
        <v>19.5</v>
      </c>
      <c r="J445" s="6">
        <f>I445-H445</f>
        <v>0</v>
      </c>
      <c r="K445" s="5">
        <f>IF(H445=0,"",J445/H445)</f>
        <v>0</v>
      </c>
      <c r="L445">
        <f>IF(OR(AND(H445=0,ABS(J445)&gt;=0.01),AND(H445&lt;&gt;0,ABS(K445)&gt;VarianceThreshold)),"Review","OK")</f>
        <v>0</v>
      </c>
      <c r="M445" t="s">
        <v>33</v>
      </c>
    </row>
    <row r="446" spans="1:13">
      <c r="A446" t="s">
        <v>0</v>
      </c>
      <c r="B446" t="s">
        <v>645</v>
      </c>
      <c r="C446" t="s">
        <v>110</v>
      </c>
      <c r="D446" t="s">
        <v>649</v>
      </c>
      <c r="E446" cm="1">
        <f t="array" ref="E446">_xlfn.XLOOKUP(D446,SKU_Master!A:A,SKU_Master!B:B,"Not on master")</f>
        <v>0</v>
      </c>
      <c r="F446" cm="1">
        <f t="array" ref="F446">_xlfn.XLOOKUP(C446,Account_Master!A:A,Account_Master!B:B,"Not on master")</f>
        <v>0</v>
      </c>
      <c r="G446" cm="1">
        <f t="array" ref="G446">_xlfn.XLOOKUP(C446,Account_Master!A:A,Account_Master!C:C,"Not on master")</f>
        <v>0</v>
      </c>
      <c r="H446" s="6">
        <v>168</v>
      </c>
      <c r="I446" s="6">
        <v>168</v>
      </c>
      <c r="J446" s="6">
        <f>I446-H446</f>
        <v>0</v>
      </c>
      <c r="K446" s="5">
        <f>IF(H446=0,"",J446/H446)</f>
        <v>0</v>
      </c>
      <c r="L446">
        <f>IF(OR(AND(H446=0,ABS(J446)&gt;=0.01),AND(H446&lt;&gt;0,ABS(K446)&gt;VarianceThreshold)),"Review","OK")</f>
        <v>0</v>
      </c>
      <c r="M446" t="s">
        <v>33</v>
      </c>
    </row>
    <row r="447" spans="1:13">
      <c r="A447" t="s">
        <v>0</v>
      </c>
      <c r="B447" t="s">
        <v>650</v>
      </c>
      <c r="C447" t="s">
        <v>145</v>
      </c>
      <c r="D447" t="s">
        <v>651</v>
      </c>
      <c r="E447" cm="1">
        <f t="array" ref="E447">_xlfn.XLOOKUP(D447,SKU_Master!A:A,SKU_Master!B:B,"Not on master")</f>
        <v>0</v>
      </c>
      <c r="F447" cm="1">
        <f t="array" ref="F447">_xlfn.XLOOKUP(C447,Account_Master!A:A,Account_Master!B:B,"Not on master")</f>
        <v>0</v>
      </c>
      <c r="G447" cm="1">
        <f t="array" ref="G447">_xlfn.XLOOKUP(C447,Account_Master!A:A,Account_Master!C:C,"Not on master")</f>
        <v>0</v>
      </c>
      <c r="H447" s="6">
        <v>215.25</v>
      </c>
      <c r="I447" s="6">
        <v>215.25</v>
      </c>
      <c r="J447" s="6">
        <f>I447-H447</f>
        <v>0</v>
      </c>
      <c r="K447" s="5">
        <f>IF(H447=0,"",J447/H447)</f>
        <v>0</v>
      </c>
      <c r="L447">
        <f>IF(OR(AND(H447=0,ABS(J447)&gt;=0.01),AND(H447&lt;&gt;0,ABS(K447)&gt;VarianceThreshold)),"Review","OK")</f>
        <v>0</v>
      </c>
      <c r="M447" t="s">
        <v>33</v>
      </c>
    </row>
    <row r="448" spans="1:13">
      <c r="A448" t="s">
        <v>0</v>
      </c>
      <c r="B448" t="s">
        <v>650</v>
      </c>
      <c r="C448" t="s">
        <v>152</v>
      </c>
      <c r="D448" t="s">
        <v>652</v>
      </c>
      <c r="E448" cm="1">
        <f t="array" ref="E448">_xlfn.XLOOKUP(D448,SKU_Master!A:A,SKU_Master!B:B,"Not on master")</f>
        <v>0</v>
      </c>
      <c r="F448" cm="1">
        <f t="array" ref="F448">_xlfn.XLOOKUP(C448,Account_Master!A:A,Account_Master!B:B,"Not on master")</f>
        <v>0</v>
      </c>
      <c r="G448" cm="1">
        <f t="array" ref="G448">_xlfn.XLOOKUP(C448,Account_Master!A:A,Account_Master!C:C,"Not on master")</f>
        <v>0</v>
      </c>
      <c r="H448" s="6">
        <v>61.09</v>
      </c>
      <c r="I448" s="6">
        <v>61.09</v>
      </c>
      <c r="J448" s="6">
        <f>I448-H448</f>
        <v>0</v>
      </c>
      <c r="K448" s="5">
        <f>IF(H448=0,"",J448/H448)</f>
        <v>0</v>
      </c>
      <c r="L448">
        <f>IF(OR(AND(H448=0,ABS(J448)&gt;=0.01),AND(H448&lt;&gt;0,ABS(K448)&gt;VarianceThreshold)),"Review","OK")</f>
        <v>0</v>
      </c>
      <c r="M448" t="s">
        <v>33</v>
      </c>
    </row>
    <row r="449" spans="1:13">
      <c r="A449" t="s">
        <v>0</v>
      </c>
      <c r="B449" t="s">
        <v>650</v>
      </c>
      <c r="C449" t="s">
        <v>84</v>
      </c>
      <c r="D449" t="s">
        <v>653</v>
      </c>
      <c r="E449" cm="1">
        <f t="array" ref="E449">_xlfn.XLOOKUP(D449,SKU_Master!A:A,SKU_Master!B:B,"Not on master")</f>
        <v>0</v>
      </c>
      <c r="F449" cm="1">
        <f t="array" ref="F449">_xlfn.XLOOKUP(C449,Account_Master!A:A,Account_Master!B:B,"Not on master")</f>
        <v>0</v>
      </c>
      <c r="G449" cm="1">
        <f t="array" ref="G449">_xlfn.XLOOKUP(C449,Account_Master!A:A,Account_Master!C:C,"Not on master")</f>
        <v>0</v>
      </c>
      <c r="H449" s="6">
        <v>4.5</v>
      </c>
      <c r="I449" s="6">
        <v>4.5</v>
      </c>
      <c r="J449" s="6">
        <f>I449-H449</f>
        <v>0</v>
      </c>
      <c r="K449" s="5">
        <f>IF(H449=0,"",J449/H449)</f>
        <v>0</v>
      </c>
      <c r="L449">
        <f>IF(OR(AND(H449=0,ABS(J449)&gt;=0.01),AND(H449&lt;&gt;0,ABS(K449)&gt;VarianceThreshold)),"Review","OK")</f>
        <v>0</v>
      </c>
      <c r="M449" t="s">
        <v>33</v>
      </c>
    </row>
    <row r="450" spans="1:13">
      <c r="A450" t="s">
        <v>0</v>
      </c>
      <c r="B450" t="s">
        <v>650</v>
      </c>
      <c r="C450" t="s">
        <v>297</v>
      </c>
      <c r="D450" t="s">
        <v>654</v>
      </c>
      <c r="E450" cm="1">
        <f t="array" ref="E450">_xlfn.XLOOKUP(D450,SKU_Master!A:A,SKU_Master!B:B,"Not on master")</f>
        <v>0</v>
      </c>
      <c r="F450" cm="1">
        <f t="array" ref="F450">_xlfn.XLOOKUP(C450,Account_Master!A:A,Account_Master!B:B,"Not on master")</f>
        <v>0</v>
      </c>
      <c r="G450" cm="1">
        <f t="array" ref="G450">_xlfn.XLOOKUP(C450,Account_Master!A:A,Account_Master!C:C,"Not on master")</f>
        <v>0</v>
      </c>
      <c r="H450" s="6">
        <v>11.25</v>
      </c>
      <c r="I450" s="6">
        <v>11.25</v>
      </c>
      <c r="J450" s="6">
        <f>I450-H450</f>
        <v>0</v>
      </c>
      <c r="K450" s="5">
        <f>IF(H450=0,"",J450/H450)</f>
        <v>0</v>
      </c>
      <c r="L450">
        <f>IF(OR(AND(H450=0,ABS(J450)&gt;=0.01),AND(H450&lt;&gt;0,ABS(K450)&gt;VarianceThreshold)),"Review","OK")</f>
        <v>0</v>
      </c>
      <c r="M450" t="s">
        <v>33</v>
      </c>
    </row>
    <row r="451" spans="1:13">
      <c r="A451" t="s">
        <v>0</v>
      </c>
      <c r="B451" t="s">
        <v>650</v>
      </c>
      <c r="C451" t="s">
        <v>135</v>
      </c>
      <c r="D451" t="s">
        <v>655</v>
      </c>
      <c r="E451" cm="1">
        <f t="array" ref="E451">_xlfn.XLOOKUP(D451,SKU_Master!A:A,SKU_Master!B:B,"Not on master")</f>
        <v>0</v>
      </c>
      <c r="F451" cm="1">
        <f t="array" ref="F451">_xlfn.XLOOKUP(C451,Account_Master!A:A,Account_Master!B:B,"Not on master")</f>
        <v>0</v>
      </c>
      <c r="G451" cm="1">
        <f t="array" ref="G451">_xlfn.XLOOKUP(C451,Account_Master!A:A,Account_Master!C:C,"Not on master")</f>
        <v>0</v>
      </c>
      <c r="H451" s="6">
        <v>472.5</v>
      </c>
      <c r="I451" s="6">
        <v>472.5</v>
      </c>
      <c r="J451" s="6">
        <f>I451-H451</f>
        <v>0</v>
      </c>
      <c r="K451" s="5">
        <f>IF(H451=0,"",J451/H451)</f>
        <v>0</v>
      </c>
      <c r="L451">
        <f>IF(OR(AND(H451=0,ABS(J451)&gt;=0.01),AND(H451&lt;&gt;0,ABS(K451)&gt;VarianceThreshold)),"Review","OK")</f>
        <v>0</v>
      </c>
      <c r="M451" t="s">
        <v>33</v>
      </c>
    </row>
    <row r="452" spans="1:13">
      <c r="A452" t="s">
        <v>0</v>
      </c>
      <c r="B452" t="s">
        <v>650</v>
      </c>
      <c r="C452" t="s">
        <v>349</v>
      </c>
      <c r="D452" t="s">
        <v>656</v>
      </c>
      <c r="E452" cm="1">
        <f t="array" ref="E452">_xlfn.XLOOKUP(D452,SKU_Master!A:A,SKU_Master!B:B,"Not on master")</f>
        <v>0</v>
      </c>
      <c r="F452" cm="1">
        <f t="array" ref="F452">_xlfn.XLOOKUP(C452,Account_Master!A:A,Account_Master!B:B,"Not on master")</f>
        <v>0</v>
      </c>
      <c r="G452" cm="1">
        <f t="array" ref="G452">_xlfn.XLOOKUP(C452,Account_Master!A:A,Account_Master!C:C,"Not on master")</f>
        <v>0</v>
      </c>
      <c r="H452" s="6">
        <v>12</v>
      </c>
      <c r="I452" s="6">
        <v>12</v>
      </c>
      <c r="J452" s="6">
        <f>I452-H452</f>
        <v>0</v>
      </c>
      <c r="K452" s="5">
        <f>IF(H452=0,"",J452/H452)</f>
        <v>0</v>
      </c>
      <c r="L452">
        <f>IF(OR(AND(H452=0,ABS(J452)&gt;=0.01),AND(H452&lt;&gt;0,ABS(K452)&gt;VarianceThreshold)),"Review","OK")</f>
        <v>0</v>
      </c>
      <c r="M452" t="s">
        <v>33</v>
      </c>
    </row>
    <row r="453" spans="1:13">
      <c r="A453" t="s">
        <v>0</v>
      </c>
      <c r="B453" t="s">
        <v>650</v>
      </c>
      <c r="C453" t="s">
        <v>516</v>
      </c>
      <c r="D453" t="s">
        <v>657</v>
      </c>
      <c r="E453" cm="1">
        <f t="array" ref="E453">_xlfn.XLOOKUP(D453,SKU_Master!A:A,SKU_Master!B:B,"Not on master")</f>
        <v>0</v>
      </c>
      <c r="F453" cm="1">
        <f t="array" ref="F453">_xlfn.XLOOKUP(C453,Account_Master!A:A,Account_Master!B:B,"Not on master")</f>
        <v>0</v>
      </c>
      <c r="G453" cm="1">
        <f t="array" ref="G453">_xlfn.XLOOKUP(C453,Account_Master!A:A,Account_Master!C:C,"Not on master")</f>
        <v>0</v>
      </c>
      <c r="H453" s="6">
        <v>6</v>
      </c>
      <c r="I453" s="6">
        <v>6</v>
      </c>
      <c r="J453" s="6">
        <f>I453-H453</f>
        <v>0</v>
      </c>
      <c r="K453" s="5">
        <f>IF(H453=0,"",J453/H453)</f>
        <v>0</v>
      </c>
      <c r="L453">
        <f>IF(OR(AND(H453=0,ABS(J453)&gt;=0.01),AND(H453&lt;&gt;0,ABS(K453)&gt;VarianceThreshold)),"Review","OK")</f>
        <v>0</v>
      </c>
      <c r="M453" t="s">
        <v>33</v>
      </c>
    </row>
    <row r="454" spans="1:13">
      <c r="A454" t="s">
        <v>0</v>
      </c>
      <c r="B454" t="s">
        <v>658</v>
      </c>
      <c r="C454" t="s">
        <v>659</v>
      </c>
      <c r="D454" t="s">
        <v>660</v>
      </c>
      <c r="E454" cm="1">
        <f t="array" ref="E454">_xlfn.XLOOKUP(D454,SKU_Master!A:A,SKU_Master!B:B,"Not on master")</f>
        <v>0</v>
      </c>
      <c r="F454" cm="1">
        <f t="array" ref="F454">_xlfn.XLOOKUP(C454,Account_Master!A:A,Account_Master!B:B,"Not on master")</f>
        <v>0</v>
      </c>
      <c r="G454" cm="1">
        <f t="array" ref="G454">_xlfn.XLOOKUP(C454,Account_Master!A:A,Account_Master!C:C,"Not on master")</f>
        <v>0</v>
      </c>
      <c r="H454" s="6">
        <v>6.95</v>
      </c>
      <c r="I454" s="6">
        <v>6.95</v>
      </c>
      <c r="J454" s="6">
        <f>I454-H454</f>
        <v>0</v>
      </c>
      <c r="K454" s="5">
        <f>IF(H454=0,"",J454/H454)</f>
        <v>0</v>
      </c>
      <c r="L454">
        <f>IF(OR(AND(H454=0,ABS(J454)&gt;=0.01),AND(H454&lt;&gt;0,ABS(K454)&gt;VarianceThreshold)),"Review","OK")</f>
        <v>0</v>
      </c>
      <c r="M454" t="s">
        <v>33</v>
      </c>
    </row>
    <row r="455" spans="1:13">
      <c r="A455" t="s">
        <v>0</v>
      </c>
      <c r="B455" t="s">
        <v>658</v>
      </c>
      <c r="C455" t="s">
        <v>50</v>
      </c>
      <c r="D455" t="s">
        <v>661</v>
      </c>
      <c r="E455" cm="1">
        <f t="array" ref="E455">_xlfn.XLOOKUP(D455,SKU_Master!A:A,SKU_Master!B:B,"Not on master")</f>
        <v>0</v>
      </c>
      <c r="F455" cm="1">
        <f t="array" ref="F455">_xlfn.XLOOKUP(C455,Account_Master!A:A,Account_Master!B:B,"Not on master")</f>
        <v>0</v>
      </c>
      <c r="G455" cm="1">
        <f t="array" ref="G455">_xlfn.XLOOKUP(C455,Account_Master!A:A,Account_Master!C:C,"Not on master")</f>
        <v>0</v>
      </c>
      <c r="H455" s="6">
        <v>145.5</v>
      </c>
      <c r="I455" s="6">
        <v>145.5</v>
      </c>
      <c r="J455" s="6">
        <f>I455-H455</f>
        <v>0</v>
      </c>
      <c r="K455" s="5">
        <f>IF(H455=0,"",J455/H455)</f>
        <v>0</v>
      </c>
      <c r="L455">
        <f>IF(OR(AND(H455=0,ABS(J455)&gt;=0.01),AND(H455&lt;&gt;0,ABS(K455)&gt;VarianceThreshold)),"Review","OK")</f>
        <v>0</v>
      </c>
      <c r="M455" t="s">
        <v>33</v>
      </c>
    </row>
    <row r="456" spans="1:13">
      <c r="A456" t="s">
        <v>0</v>
      </c>
      <c r="B456" t="s">
        <v>658</v>
      </c>
      <c r="C456" t="s">
        <v>135</v>
      </c>
      <c r="D456" t="s">
        <v>662</v>
      </c>
      <c r="E456" cm="1">
        <f t="array" ref="E456">_xlfn.XLOOKUP(D456,SKU_Master!A:A,SKU_Master!B:B,"Not on master")</f>
        <v>0</v>
      </c>
      <c r="F456" cm="1">
        <f t="array" ref="F456">_xlfn.XLOOKUP(C456,Account_Master!A:A,Account_Master!B:B,"Not on master")</f>
        <v>0</v>
      </c>
      <c r="G456" cm="1">
        <f t="array" ref="G456">_xlfn.XLOOKUP(C456,Account_Master!A:A,Account_Master!C:C,"Not on master")</f>
        <v>0</v>
      </c>
      <c r="H456" s="6">
        <v>184.5</v>
      </c>
      <c r="I456" s="6">
        <v>184.5</v>
      </c>
      <c r="J456" s="6">
        <f>I456-H456</f>
        <v>0</v>
      </c>
      <c r="K456" s="5">
        <f>IF(H456=0,"",J456/H456)</f>
        <v>0</v>
      </c>
      <c r="L456">
        <f>IF(OR(AND(H456=0,ABS(J456)&gt;=0.01),AND(H456&lt;&gt;0,ABS(K456)&gt;VarianceThreshold)),"Review","OK")</f>
        <v>0</v>
      </c>
      <c r="M456" t="s">
        <v>33</v>
      </c>
    </row>
    <row r="457" spans="1:13">
      <c r="A457" t="s">
        <v>0</v>
      </c>
      <c r="B457" t="s">
        <v>658</v>
      </c>
      <c r="C457" t="s">
        <v>495</v>
      </c>
      <c r="D457" t="s">
        <v>663</v>
      </c>
      <c r="E457" cm="1">
        <f t="array" ref="E457">_xlfn.XLOOKUP(D457,SKU_Master!A:A,SKU_Master!B:B,"Not on master")</f>
        <v>0</v>
      </c>
      <c r="F457" cm="1">
        <f t="array" ref="F457">_xlfn.XLOOKUP(C457,Account_Master!A:A,Account_Master!B:B,"Not on master")</f>
        <v>0</v>
      </c>
      <c r="G457" cm="1">
        <f t="array" ref="G457">_xlfn.XLOOKUP(C457,Account_Master!A:A,Account_Master!C:C,"Not on master")</f>
        <v>0</v>
      </c>
      <c r="H457" s="6">
        <v>4.5</v>
      </c>
      <c r="I457" s="6">
        <v>4.5</v>
      </c>
      <c r="J457" s="6">
        <f>I457-H457</f>
        <v>0</v>
      </c>
      <c r="K457" s="5">
        <f>IF(H457=0,"",J457/H457)</f>
        <v>0</v>
      </c>
      <c r="L457">
        <f>IF(OR(AND(H457=0,ABS(J457)&gt;=0.01),AND(H457&lt;&gt;0,ABS(K457)&gt;VarianceThreshold)),"Review","OK")</f>
        <v>0</v>
      </c>
      <c r="M457" t="s">
        <v>33</v>
      </c>
    </row>
    <row r="458" spans="1:13">
      <c r="A458" t="s">
        <v>0</v>
      </c>
      <c r="B458" t="s">
        <v>658</v>
      </c>
      <c r="C458" t="s">
        <v>110</v>
      </c>
      <c r="D458" t="s">
        <v>664</v>
      </c>
      <c r="E458" cm="1">
        <f t="array" ref="E458">_xlfn.XLOOKUP(D458,SKU_Master!A:A,SKU_Master!B:B,"Not on master")</f>
        <v>0</v>
      </c>
      <c r="F458" cm="1">
        <f t="array" ref="F458">_xlfn.XLOOKUP(C458,Account_Master!A:A,Account_Master!B:B,"Not on master")</f>
        <v>0</v>
      </c>
      <c r="G458" cm="1">
        <f t="array" ref="G458">_xlfn.XLOOKUP(C458,Account_Master!A:A,Account_Master!C:C,"Not on master")</f>
        <v>0</v>
      </c>
      <c r="H458" s="6">
        <v>6</v>
      </c>
      <c r="I458" s="6">
        <v>6</v>
      </c>
      <c r="J458" s="6">
        <f>I458-H458</f>
        <v>0</v>
      </c>
      <c r="K458" s="5">
        <f>IF(H458=0,"",J458/H458)</f>
        <v>0</v>
      </c>
      <c r="L458">
        <f>IF(OR(AND(H458=0,ABS(J458)&gt;=0.01),AND(H458&lt;&gt;0,ABS(K458)&gt;VarianceThreshold)),"Review","OK")</f>
        <v>0</v>
      </c>
      <c r="M458" t="s">
        <v>33</v>
      </c>
    </row>
    <row r="459" spans="1:13">
      <c r="A459" t="s">
        <v>0</v>
      </c>
      <c r="B459" t="s">
        <v>658</v>
      </c>
      <c r="C459" t="s">
        <v>181</v>
      </c>
      <c r="D459" t="s">
        <v>665</v>
      </c>
      <c r="E459" cm="1">
        <f t="array" ref="E459">_xlfn.XLOOKUP(D459,SKU_Master!A:A,SKU_Master!B:B,"Not on master")</f>
        <v>0</v>
      </c>
      <c r="F459" cm="1">
        <f t="array" ref="F459">_xlfn.XLOOKUP(C459,Account_Master!A:A,Account_Master!B:B,"Not on master")</f>
        <v>0</v>
      </c>
      <c r="G459" cm="1">
        <f t="array" ref="G459">_xlfn.XLOOKUP(C459,Account_Master!A:A,Account_Master!C:C,"Not on master")</f>
        <v>0</v>
      </c>
      <c r="H459" s="6">
        <v>157.5</v>
      </c>
      <c r="I459" s="6">
        <v>157.5</v>
      </c>
      <c r="J459" s="6">
        <f>I459-H459</f>
        <v>0</v>
      </c>
      <c r="K459" s="5">
        <f>IF(H459=0,"",J459/H459)</f>
        <v>0</v>
      </c>
      <c r="L459">
        <f>IF(OR(AND(H459=0,ABS(J459)&gt;=0.01),AND(H459&lt;&gt;0,ABS(K459)&gt;VarianceThreshold)),"Review","OK")</f>
        <v>0</v>
      </c>
      <c r="M459" t="s">
        <v>33</v>
      </c>
    </row>
    <row r="460" spans="1:13">
      <c r="A460" t="s">
        <v>0</v>
      </c>
      <c r="B460" t="s">
        <v>658</v>
      </c>
      <c r="C460" t="s">
        <v>186</v>
      </c>
      <c r="D460" t="s">
        <v>666</v>
      </c>
      <c r="E460" cm="1">
        <f t="array" ref="E460">_xlfn.XLOOKUP(D460,SKU_Master!A:A,SKU_Master!B:B,"Not on master")</f>
        <v>0</v>
      </c>
      <c r="F460" cm="1">
        <f t="array" ref="F460">_xlfn.XLOOKUP(C460,Account_Master!A:A,Account_Master!B:B,"Not on master")</f>
        <v>0</v>
      </c>
      <c r="G460" cm="1">
        <f t="array" ref="G460">_xlfn.XLOOKUP(C460,Account_Master!A:A,Account_Master!C:C,"Not on master")</f>
        <v>0</v>
      </c>
      <c r="H460" s="6">
        <v>1507.5</v>
      </c>
      <c r="I460" s="6">
        <v>1507.5</v>
      </c>
      <c r="J460" s="6">
        <f>I460-H460</f>
        <v>0</v>
      </c>
      <c r="K460" s="5">
        <f>IF(H460=0,"",J460/H460)</f>
        <v>0</v>
      </c>
      <c r="L460">
        <f>IF(OR(AND(H460=0,ABS(J460)&gt;=0.01),AND(H460&lt;&gt;0,ABS(K460)&gt;VarianceThreshold)),"Review","OK")</f>
        <v>0</v>
      </c>
      <c r="M460" t="s">
        <v>33</v>
      </c>
    </row>
    <row r="461" spans="1:13">
      <c r="A461" t="s">
        <v>0</v>
      </c>
      <c r="B461" t="s">
        <v>658</v>
      </c>
      <c r="C461" t="s">
        <v>616</v>
      </c>
      <c r="D461" t="s">
        <v>667</v>
      </c>
      <c r="E461" cm="1">
        <f t="array" ref="E461">_xlfn.XLOOKUP(D461,SKU_Master!A:A,SKU_Master!B:B,"Not on master")</f>
        <v>0</v>
      </c>
      <c r="F461" cm="1">
        <f t="array" ref="F461">_xlfn.XLOOKUP(C461,Account_Master!A:A,Account_Master!B:B,"Not on master")</f>
        <v>0</v>
      </c>
      <c r="G461" cm="1">
        <f t="array" ref="G461">_xlfn.XLOOKUP(C461,Account_Master!A:A,Account_Master!C:C,"Not on master")</f>
        <v>0</v>
      </c>
      <c r="H461" s="6">
        <v>189</v>
      </c>
      <c r="I461" s="6">
        <v>189</v>
      </c>
      <c r="J461" s="6">
        <f>I461-H461</f>
        <v>0</v>
      </c>
      <c r="K461" s="5">
        <f>IF(H461=0,"",J461/H461)</f>
        <v>0</v>
      </c>
      <c r="L461">
        <f>IF(OR(AND(H461=0,ABS(J461)&gt;=0.01),AND(H461&lt;&gt;0,ABS(K461)&gt;VarianceThreshold)),"Review","OK")</f>
        <v>0</v>
      </c>
      <c r="M461" t="s">
        <v>33</v>
      </c>
    </row>
    <row r="462" spans="1:13">
      <c r="A462" t="s">
        <v>0</v>
      </c>
      <c r="B462" t="s">
        <v>658</v>
      </c>
      <c r="C462" t="s">
        <v>586</v>
      </c>
      <c r="D462" t="s">
        <v>668</v>
      </c>
      <c r="E462" cm="1">
        <f t="array" ref="E462">_xlfn.XLOOKUP(D462,SKU_Master!A:A,SKU_Master!B:B,"Not on master")</f>
        <v>0</v>
      </c>
      <c r="F462" cm="1">
        <f t="array" ref="F462">_xlfn.XLOOKUP(C462,Account_Master!A:A,Account_Master!B:B,"Not on master")</f>
        <v>0</v>
      </c>
      <c r="G462" cm="1">
        <f t="array" ref="G462">_xlfn.XLOOKUP(C462,Account_Master!A:A,Account_Master!C:C,"Not on master")</f>
        <v>0</v>
      </c>
      <c r="H462" s="6">
        <v>5.25</v>
      </c>
      <c r="I462" s="6">
        <v>5.25</v>
      </c>
      <c r="J462" s="6">
        <f>I462-H462</f>
        <v>0</v>
      </c>
      <c r="K462" s="5">
        <f>IF(H462=0,"",J462/H462)</f>
        <v>0</v>
      </c>
      <c r="L462">
        <f>IF(OR(AND(H462=0,ABS(J462)&gt;=0.01),AND(H462&lt;&gt;0,ABS(K462)&gt;VarianceThreshold)),"Review","OK")</f>
        <v>0</v>
      </c>
      <c r="M462" t="s">
        <v>33</v>
      </c>
    </row>
    <row r="463" spans="1:13">
      <c r="A463" t="s">
        <v>0</v>
      </c>
      <c r="B463" t="s">
        <v>658</v>
      </c>
      <c r="C463" t="s">
        <v>48</v>
      </c>
      <c r="D463" t="s">
        <v>669</v>
      </c>
      <c r="E463" cm="1">
        <f t="array" ref="E463">_xlfn.XLOOKUP(D463,SKU_Master!A:A,SKU_Master!B:B,"Not on master")</f>
        <v>0</v>
      </c>
      <c r="F463" cm="1">
        <f t="array" ref="F463">_xlfn.XLOOKUP(C463,Account_Master!A:A,Account_Master!B:B,"Not on master")</f>
        <v>0</v>
      </c>
      <c r="G463" cm="1">
        <f t="array" ref="G463">_xlfn.XLOOKUP(C463,Account_Master!A:A,Account_Master!C:C,"Not on master")</f>
        <v>0</v>
      </c>
      <c r="H463" s="6">
        <v>2.25</v>
      </c>
      <c r="I463" s="6">
        <v>2.25</v>
      </c>
      <c r="J463" s="6">
        <f>I463-H463</f>
        <v>0</v>
      </c>
      <c r="K463" s="5">
        <f>IF(H463=0,"",J463/H463)</f>
        <v>0</v>
      </c>
      <c r="L463">
        <f>IF(OR(AND(H463=0,ABS(J463)&gt;=0.01),AND(H463&lt;&gt;0,ABS(K463)&gt;VarianceThreshold)),"Review","OK")</f>
        <v>0</v>
      </c>
      <c r="M463" t="s">
        <v>33</v>
      </c>
    </row>
    <row r="464" spans="1:13">
      <c r="A464" t="s">
        <v>0</v>
      </c>
      <c r="B464" t="s">
        <v>658</v>
      </c>
      <c r="C464" t="s">
        <v>31</v>
      </c>
      <c r="D464" t="s">
        <v>670</v>
      </c>
      <c r="E464" cm="1">
        <f t="array" ref="E464">_xlfn.XLOOKUP(D464,SKU_Master!A:A,SKU_Master!B:B,"Not on master")</f>
        <v>0</v>
      </c>
      <c r="F464" cm="1">
        <f t="array" ref="F464">_xlfn.XLOOKUP(C464,Account_Master!A:A,Account_Master!B:B,"Not on master")</f>
        <v>0</v>
      </c>
      <c r="G464" cm="1">
        <f t="array" ref="G464">_xlfn.XLOOKUP(C464,Account_Master!A:A,Account_Master!C:C,"Not on master")</f>
        <v>0</v>
      </c>
      <c r="H464" s="6">
        <v>20.25</v>
      </c>
      <c r="I464" s="6">
        <v>20.25</v>
      </c>
      <c r="J464" s="6">
        <f>I464-H464</f>
        <v>0</v>
      </c>
      <c r="K464" s="5">
        <f>IF(H464=0,"",J464/H464)</f>
        <v>0</v>
      </c>
      <c r="L464">
        <f>IF(OR(AND(H464=0,ABS(J464)&gt;=0.01),AND(H464&lt;&gt;0,ABS(K464)&gt;VarianceThreshold)),"Review","OK")</f>
        <v>0</v>
      </c>
      <c r="M464" t="s">
        <v>33</v>
      </c>
    </row>
    <row r="465" spans="1:13">
      <c r="A465" t="s">
        <v>0</v>
      </c>
      <c r="B465" t="s">
        <v>658</v>
      </c>
      <c r="C465" t="s">
        <v>31</v>
      </c>
      <c r="D465" t="s">
        <v>671</v>
      </c>
      <c r="E465" cm="1">
        <f t="array" ref="E465">_xlfn.XLOOKUP(D465,SKU_Master!A:A,SKU_Master!B:B,"Not on master")</f>
        <v>0</v>
      </c>
      <c r="F465" cm="1">
        <f t="array" ref="F465">_xlfn.XLOOKUP(C465,Account_Master!A:A,Account_Master!B:B,"Not on master")</f>
        <v>0</v>
      </c>
      <c r="G465" cm="1">
        <f t="array" ref="G465">_xlfn.XLOOKUP(C465,Account_Master!A:A,Account_Master!C:C,"Not on master")</f>
        <v>0</v>
      </c>
      <c r="H465" s="6">
        <v>300</v>
      </c>
      <c r="I465" s="6">
        <v>300</v>
      </c>
      <c r="J465" s="6">
        <f>I465-H465</f>
        <v>0</v>
      </c>
      <c r="K465" s="5">
        <f>IF(H465=0,"",J465/H465)</f>
        <v>0</v>
      </c>
      <c r="L465">
        <f>IF(OR(AND(H465=0,ABS(J465)&gt;=0.01),AND(H465&lt;&gt;0,ABS(K465)&gt;VarianceThreshold)),"Review","OK")</f>
        <v>0</v>
      </c>
      <c r="M465" t="s">
        <v>33</v>
      </c>
    </row>
    <row r="466" spans="1:13">
      <c r="A466" t="s">
        <v>0</v>
      </c>
      <c r="B466" t="s">
        <v>658</v>
      </c>
      <c r="C466" t="s">
        <v>126</v>
      </c>
      <c r="D466" t="s">
        <v>672</v>
      </c>
      <c r="E466" cm="1">
        <f t="array" ref="E466">_xlfn.XLOOKUP(D466,SKU_Master!A:A,SKU_Master!B:B,"Not on master")</f>
        <v>0</v>
      </c>
      <c r="F466" cm="1">
        <f t="array" ref="F466">_xlfn.XLOOKUP(C466,Account_Master!A:A,Account_Master!B:B,"Not on master")</f>
        <v>0</v>
      </c>
      <c r="G466" cm="1">
        <f t="array" ref="G466">_xlfn.XLOOKUP(C466,Account_Master!A:A,Account_Master!C:C,"Not on master")</f>
        <v>0</v>
      </c>
      <c r="H466" s="6">
        <v>36</v>
      </c>
      <c r="I466" s="6">
        <v>36</v>
      </c>
      <c r="J466" s="6">
        <f>I466-H466</f>
        <v>0</v>
      </c>
      <c r="K466" s="5">
        <f>IF(H466=0,"",J466/H466)</f>
        <v>0</v>
      </c>
      <c r="L466">
        <f>IF(OR(AND(H466=0,ABS(J466)&gt;=0.01),AND(H466&lt;&gt;0,ABS(K466)&gt;VarianceThreshold)),"Review","OK")</f>
        <v>0</v>
      </c>
      <c r="M466" t="s">
        <v>33</v>
      </c>
    </row>
    <row r="467" spans="1:13">
      <c r="A467" t="s">
        <v>0</v>
      </c>
      <c r="B467" t="s">
        <v>673</v>
      </c>
      <c r="C467" t="s">
        <v>209</v>
      </c>
      <c r="D467" t="s">
        <v>674</v>
      </c>
      <c r="E467" cm="1">
        <f t="array" ref="E467">_xlfn.XLOOKUP(D467,SKU_Master!A:A,SKU_Master!B:B,"Not on master")</f>
        <v>0</v>
      </c>
      <c r="F467" cm="1">
        <f t="array" ref="F467">_xlfn.XLOOKUP(C467,Account_Master!A:A,Account_Master!B:B,"Not on master")</f>
        <v>0</v>
      </c>
      <c r="G467" cm="1">
        <f t="array" ref="G467">_xlfn.XLOOKUP(C467,Account_Master!A:A,Account_Master!C:C,"Not on master")</f>
        <v>0</v>
      </c>
      <c r="H467" s="6">
        <v>5.62</v>
      </c>
      <c r="I467" s="6">
        <v>5.62</v>
      </c>
      <c r="J467" s="6">
        <f>I467-H467</f>
        <v>0</v>
      </c>
      <c r="K467" s="5">
        <f>IF(H467=0,"",J467/H467)</f>
        <v>0</v>
      </c>
      <c r="L467">
        <f>IF(OR(AND(H467=0,ABS(J467)&gt;=0.01),AND(H467&lt;&gt;0,ABS(K467)&gt;VarianceThreshold)),"Review","OK")</f>
        <v>0</v>
      </c>
      <c r="M467" t="s">
        <v>33</v>
      </c>
    </row>
    <row r="468" spans="1:13">
      <c r="A468" t="s">
        <v>0</v>
      </c>
      <c r="B468" t="s">
        <v>673</v>
      </c>
      <c r="C468" t="s">
        <v>502</v>
      </c>
      <c r="D468" t="s">
        <v>675</v>
      </c>
      <c r="E468" cm="1">
        <f t="array" ref="E468">_xlfn.XLOOKUP(D468,SKU_Master!A:A,SKU_Master!B:B,"Not on master")</f>
        <v>0</v>
      </c>
      <c r="F468" cm="1">
        <f t="array" ref="F468">_xlfn.XLOOKUP(C468,Account_Master!A:A,Account_Master!B:B,"Not on master")</f>
        <v>0</v>
      </c>
      <c r="G468" cm="1">
        <f t="array" ref="G468">_xlfn.XLOOKUP(C468,Account_Master!A:A,Account_Master!C:C,"Not on master")</f>
        <v>0</v>
      </c>
      <c r="H468" s="6">
        <v>48</v>
      </c>
      <c r="I468" s="6">
        <v>48</v>
      </c>
      <c r="J468" s="6">
        <f>I468-H468</f>
        <v>0</v>
      </c>
      <c r="K468" s="5">
        <f>IF(H468=0,"",J468/H468)</f>
        <v>0</v>
      </c>
      <c r="L468">
        <f>IF(OR(AND(H468=0,ABS(J468)&gt;=0.01),AND(H468&lt;&gt;0,ABS(K468)&gt;VarianceThreshold)),"Review","OK")</f>
        <v>0</v>
      </c>
      <c r="M468" t="s">
        <v>33</v>
      </c>
    </row>
    <row r="469" spans="1:13">
      <c r="A469" t="s">
        <v>0</v>
      </c>
      <c r="B469" t="s">
        <v>673</v>
      </c>
      <c r="C469" t="s">
        <v>440</v>
      </c>
      <c r="D469" t="s">
        <v>676</v>
      </c>
      <c r="E469" cm="1">
        <f t="array" ref="E469">_xlfn.XLOOKUP(D469,SKU_Master!A:A,SKU_Master!B:B,"Not on master")</f>
        <v>0</v>
      </c>
      <c r="F469" cm="1">
        <f t="array" ref="F469">_xlfn.XLOOKUP(C469,Account_Master!A:A,Account_Master!B:B,"Not on master")</f>
        <v>0</v>
      </c>
      <c r="G469" cm="1">
        <f t="array" ref="G469">_xlfn.XLOOKUP(C469,Account_Master!A:A,Account_Master!C:C,"Not on master")</f>
        <v>0</v>
      </c>
      <c r="H469" s="6">
        <v>4.5</v>
      </c>
      <c r="I469" s="6">
        <v>4.5</v>
      </c>
      <c r="J469" s="6">
        <f>I469-H469</f>
        <v>0</v>
      </c>
      <c r="K469" s="5">
        <f>IF(H469=0,"",J469/H469)</f>
        <v>0</v>
      </c>
      <c r="L469">
        <f>IF(OR(AND(H469=0,ABS(J469)&gt;=0.01),AND(H469&lt;&gt;0,ABS(K469)&gt;VarianceThreshold)),"Review","OK")</f>
        <v>0</v>
      </c>
      <c r="M469" t="s">
        <v>33</v>
      </c>
    </row>
    <row r="470" spans="1:13">
      <c r="A470" t="s">
        <v>0</v>
      </c>
      <c r="B470" t="s">
        <v>673</v>
      </c>
      <c r="C470" t="s">
        <v>77</v>
      </c>
      <c r="D470" t="s">
        <v>677</v>
      </c>
      <c r="E470" cm="1">
        <f t="array" ref="E470">_xlfn.XLOOKUP(D470,SKU_Master!A:A,SKU_Master!B:B,"Not on master")</f>
        <v>0</v>
      </c>
      <c r="F470" cm="1">
        <f t="array" ref="F470">_xlfn.XLOOKUP(C470,Account_Master!A:A,Account_Master!B:B,"Not on master")</f>
        <v>0</v>
      </c>
      <c r="G470" cm="1">
        <f t="array" ref="G470">_xlfn.XLOOKUP(C470,Account_Master!A:A,Account_Master!C:C,"Not on master")</f>
        <v>0</v>
      </c>
      <c r="H470" s="6">
        <v>9</v>
      </c>
      <c r="I470" s="6">
        <v>9</v>
      </c>
      <c r="J470" s="6">
        <f>I470-H470</f>
        <v>0</v>
      </c>
      <c r="K470" s="5">
        <f>IF(H470=0,"",J470/H470)</f>
        <v>0</v>
      </c>
      <c r="L470">
        <f>IF(OR(AND(H470=0,ABS(J470)&gt;=0.01),AND(H470&lt;&gt;0,ABS(K470)&gt;VarianceThreshold)),"Review","OK")</f>
        <v>0</v>
      </c>
      <c r="M470" t="s">
        <v>33</v>
      </c>
    </row>
    <row r="471" spans="1:13">
      <c r="A471" t="s">
        <v>0</v>
      </c>
      <c r="B471" t="s">
        <v>673</v>
      </c>
      <c r="C471" t="s">
        <v>126</v>
      </c>
      <c r="D471" t="s">
        <v>678</v>
      </c>
      <c r="E471" cm="1">
        <f t="array" ref="E471">_xlfn.XLOOKUP(D471,SKU_Master!A:A,SKU_Master!B:B,"Not on master")</f>
        <v>0</v>
      </c>
      <c r="F471" cm="1">
        <f t="array" ref="F471">_xlfn.XLOOKUP(C471,Account_Master!A:A,Account_Master!B:B,"Not on master")</f>
        <v>0</v>
      </c>
      <c r="G471" cm="1">
        <f t="array" ref="G471">_xlfn.XLOOKUP(C471,Account_Master!A:A,Account_Master!C:C,"Not on master")</f>
        <v>0</v>
      </c>
      <c r="H471" s="6">
        <v>10.5</v>
      </c>
      <c r="I471" s="6">
        <v>10.5</v>
      </c>
      <c r="J471" s="6">
        <f>I471-H471</f>
        <v>0</v>
      </c>
      <c r="K471" s="5">
        <f>IF(H471=0,"",J471/H471)</f>
        <v>0</v>
      </c>
      <c r="L471">
        <f>IF(OR(AND(H471=0,ABS(J471)&gt;=0.01),AND(H471&lt;&gt;0,ABS(K471)&gt;VarianceThreshold)),"Review","OK")</f>
        <v>0</v>
      </c>
      <c r="M471" t="s">
        <v>33</v>
      </c>
    </row>
    <row r="472" spans="1:13">
      <c r="A472" t="s">
        <v>0</v>
      </c>
      <c r="B472" t="s">
        <v>673</v>
      </c>
      <c r="C472" t="s">
        <v>31</v>
      </c>
      <c r="D472" t="s">
        <v>679</v>
      </c>
      <c r="E472" cm="1">
        <f t="array" ref="E472">_xlfn.XLOOKUP(D472,SKU_Master!A:A,SKU_Master!B:B,"Not on master")</f>
        <v>0</v>
      </c>
      <c r="F472" cm="1">
        <f t="array" ref="F472">_xlfn.XLOOKUP(C472,Account_Master!A:A,Account_Master!B:B,"Not on master")</f>
        <v>0</v>
      </c>
      <c r="G472" cm="1">
        <f t="array" ref="G472">_xlfn.XLOOKUP(C472,Account_Master!A:A,Account_Master!C:C,"Not on master")</f>
        <v>0</v>
      </c>
      <c r="H472" s="6">
        <v>45</v>
      </c>
      <c r="I472" s="6">
        <v>45</v>
      </c>
      <c r="J472" s="6">
        <f>I472-H472</f>
        <v>0</v>
      </c>
      <c r="K472" s="5">
        <f>IF(H472=0,"",J472/H472)</f>
        <v>0</v>
      </c>
      <c r="L472">
        <f>IF(OR(AND(H472=0,ABS(J472)&gt;=0.01),AND(H472&lt;&gt;0,ABS(K472)&gt;VarianceThreshold)),"Review","OK")</f>
        <v>0</v>
      </c>
      <c r="M472" t="s">
        <v>33</v>
      </c>
    </row>
    <row r="473" spans="1:13">
      <c r="A473" t="s">
        <v>0</v>
      </c>
      <c r="B473" t="s">
        <v>673</v>
      </c>
      <c r="C473" t="s">
        <v>227</v>
      </c>
      <c r="D473" t="s">
        <v>680</v>
      </c>
      <c r="E473" cm="1">
        <f t="array" ref="E473">_xlfn.XLOOKUP(D473,SKU_Master!A:A,SKU_Master!B:B,"Not on master")</f>
        <v>0</v>
      </c>
      <c r="F473" cm="1">
        <f t="array" ref="F473">_xlfn.XLOOKUP(C473,Account_Master!A:A,Account_Master!B:B,"Not on master")</f>
        <v>0</v>
      </c>
      <c r="G473" cm="1">
        <f t="array" ref="G473">_xlfn.XLOOKUP(C473,Account_Master!A:A,Account_Master!C:C,"Not on master")</f>
        <v>0</v>
      </c>
      <c r="H473" s="6">
        <v>3.75</v>
      </c>
      <c r="I473" s="6">
        <v>3.75</v>
      </c>
      <c r="J473" s="6">
        <f>I473-H473</f>
        <v>0</v>
      </c>
      <c r="K473" s="5">
        <f>IF(H473=0,"",J473/H473)</f>
        <v>0</v>
      </c>
      <c r="L473">
        <f>IF(OR(AND(H473=0,ABS(J473)&gt;=0.01),AND(H473&lt;&gt;0,ABS(K473)&gt;VarianceThreshold)),"Review","OK")</f>
        <v>0</v>
      </c>
      <c r="M473" t="s">
        <v>33</v>
      </c>
    </row>
    <row r="474" spans="1:13">
      <c r="A474" t="s">
        <v>0</v>
      </c>
      <c r="B474" t="s">
        <v>681</v>
      </c>
      <c r="C474" t="s">
        <v>682</v>
      </c>
      <c r="D474" t="s">
        <v>683</v>
      </c>
      <c r="E474" cm="1">
        <f t="array" ref="E474">_xlfn.XLOOKUP(D474,SKU_Master!A:A,SKU_Master!B:B,"Not on master")</f>
        <v>0</v>
      </c>
      <c r="F474" cm="1">
        <f t="array" ref="F474">_xlfn.XLOOKUP(C474,Account_Master!A:A,Account_Master!B:B,"Not on master")</f>
        <v>0</v>
      </c>
      <c r="G474" cm="1">
        <f t="array" ref="G474">_xlfn.XLOOKUP(C474,Account_Master!A:A,Account_Master!C:C,"Not on master")</f>
        <v>0</v>
      </c>
      <c r="H474" s="6">
        <v>2.1</v>
      </c>
      <c r="I474" s="6">
        <v>2.1</v>
      </c>
      <c r="J474" s="6">
        <f>I474-H474</f>
        <v>0</v>
      </c>
      <c r="K474" s="5">
        <f>IF(H474=0,"",J474/H474)</f>
        <v>0</v>
      </c>
      <c r="L474">
        <f>IF(OR(AND(H474=0,ABS(J474)&gt;=0.01),AND(H474&lt;&gt;0,ABS(K474)&gt;VarianceThreshold)),"Review","OK")</f>
        <v>0</v>
      </c>
      <c r="M474" t="s">
        <v>33</v>
      </c>
    </row>
    <row r="475" spans="1:13">
      <c r="A475" t="s">
        <v>0</v>
      </c>
      <c r="B475" t="s">
        <v>681</v>
      </c>
      <c r="C475" t="s">
        <v>126</v>
      </c>
      <c r="D475" t="s">
        <v>684</v>
      </c>
      <c r="E475" cm="1">
        <f t="array" ref="E475">_xlfn.XLOOKUP(D475,SKU_Master!A:A,SKU_Master!B:B,"Not on master")</f>
        <v>0</v>
      </c>
      <c r="F475" cm="1">
        <f t="array" ref="F475">_xlfn.XLOOKUP(C475,Account_Master!A:A,Account_Master!B:B,"Not on master")</f>
        <v>0</v>
      </c>
      <c r="G475" cm="1">
        <f t="array" ref="G475">_xlfn.XLOOKUP(C475,Account_Master!A:A,Account_Master!C:C,"Not on master")</f>
        <v>0</v>
      </c>
      <c r="H475" s="6">
        <v>10.5</v>
      </c>
      <c r="I475" s="6">
        <v>10.5</v>
      </c>
      <c r="J475" s="6">
        <f>I475-H475</f>
        <v>0</v>
      </c>
      <c r="K475" s="5">
        <f>IF(H475=0,"",J475/H475)</f>
        <v>0</v>
      </c>
      <c r="L475">
        <f>IF(OR(AND(H475=0,ABS(J475)&gt;=0.01),AND(H475&lt;&gt;0,ABS(K475)&gt;VarianceThreshold)),"Review","OK")</f>
        <v>0</v>
      </c>
      <c r="M475" t="s">
        <v>33</v>
      </c>
    </row>
    <row r="476" spans="1:13">
      <c r="A476" t="s">
        <v>0</v>
      </c>
      <c r="B476" t="s">
        <v>681</v>
      </c>
      <c r="C476" t="s">
        <v>84</v>
      </c>
      <c r="D476" t="s">
        <v>685</v>
      </c>
      <c r="E476" cm="1">
        <f t="array" ref="E476">_xlfn.XLOOKUP(D476,SKU_Master!A:A,SKU_Master!B:B,"Not on master")</f>
        <v>0</v>
      </c>
      <c r="F476" cm="1">
        <f t="array" ref="F476">_xlfn.XLOOKUP(C476,Account_Master!A:A,Account_Master!B:B,"Not on master")</f>
        <v>0</v>
      </c>
      <c r="G476" cm="1">
        <f t="array" ref="G476">_xlfn.XLOOKUP(C476,Account_Master!A:A,Account_Master!C:C,"Not on master")</f>
        <v>0</v>
      </c>
      <c r="H476" s="6">
        <v>245.96</v>
      </c>
      <c r="I476" s="6">
        <v>245.96</v>
      </c>
      <c r="J476" s="6">
        <f>I476-H476</f>
        <v>0</v>
      </c>
      <c r="K476" s="5">
        <f>IF(H476=0,"",J476/H476)</f>
        <v>0</v>
      </c>
      <c r="L476">
        <f>IF(OR(AND(H476=0,ABS(J476)&gt;=0.01),AND(H476&lt;&gt;0,ABS(K476)&gt;VarianceThreshold)),"Review","OK")</f>
        <v>0</v>
      </c>
      <c r="M476" t="s">
        <v>33</v>
      </c>
    </row>
    <row r="477" spans="1:13">
      <c r="A477" t="s">
        <v>0</v>
      </c>
      <c r="B477" t="s">
        <v>681</v>
      </c>
      <c r="C477" t="s">
        <v>87</v>
      </c>
      <c r="D477" t="s">
        <v>686</v>
      </c>
      <c r="E477" cm="1">
        <f t="array" ref="E477">_xlfn.XLOOKUP(D477,SKU_Master!A:A,SKU_Master!B:B,"Not on master")</f>
        <v>0</v>
      </c>
      <c r="F477" cm="1">
        <f t="array" ref="F477">_xlfn.XLOOKUP(C477,Account_Master!A:A,Account_Master!B:B,"Not on master")</f>
        <v>0</v>
      </c>
      <c r="G477" cm="1">
        <f t="array" ref="G477">_xlfn.XLOOKUP(C477,Account_Master!A:A,Account_Master!C:C,"Not on master")</f>
        <v>0</v>
      </c>
      <c r="H477" s="6">
        <v>0.75</v>
      </c>
      <c r="I477" s="6">
        <v>0.75</v>
      </c>
      <c r="J477" s="6">
        <f>I477-H477</f>
        <v>0</v>
      </c>
      <c r="K477" s="5">
        <f>IF(H477=0,"",J477/H477)</f>
        <v>0</v>
      </c>
      <c r="L477">
        <f>IF(OR(AND(H477=0,ABS(J477)&gt;=0.01),AND(H477&lt;&gt;0,ABS(K477)&gt;VarianceThreshold)),"Review","OK")</f>
        <v>0</v>
      </c>
      <c r="M477" t="s">
        <v>33</v>
      </c>
    </row>
    <row r="478" spans="1:13">
      <c r="A478" t="s">
        <v>0</v>
      </c>
      <c r="B478" t="s">
        <v>681</v>
      </c>
      <c r="C478" t="s">
        <v>687</v>
      </c>
      <c r="D478" t="s">
        <v>688</v>
      </c>
      <c r="E478" cm="1">
        <f t="array" ref="E478">_xlfn.XLOOKUP(D478,SKU_Master!A:A,SKU_Master!B:B,"Not on master")</f>
        <v>0</v>
      </c>
      <c r="F478" cm="1">
        <f t="array" ref="F478">_xlfn.XLOOKUP(C478,Account_Master!A:A,Account_Master!B:B,"Not on master")</f>
        <v>0</v>
      </c>
      <c r="G478" cm="1">
        <f t="array" ref="G478">_xlfn.XLOOKUP(C478,Account_Master!A:A,Account_Master!C:C,"Not on master")</f>
        <v>0</v>
      </c>
      <c r="H478" s="6">
        <v>2.25</v>
      </c>
      <c r="I478" s="6">
        <v>2.25</v>
      </c>
      <c r="J478" s="6">
        <f>I478-H478</f>
        <v>0</v>
      </c>
      <c r="K478" s="5">
        <f>IF(H478=0,"",J478/H478)</f>
        <v>0</v>
      </c>
      <c r="L478">
        <f>IF(OR(AND(H478=0,ABS(J478)&gt;=0.01),AND(H478&lt;&gt;0,ABS(K478)&gt;VarianceThreshold)),"Review","OK")</f>
        <v>0</v>
      </c>
      <c r="M478" t="s">
        <v>33</v>
      </c>
    </row>
    <row r="479" spans="1:13">
      <c r="A479" t="s">
        <v>0</v>
      </c>
      <c r="B479" t="s">
        <v>689</v>
      </c>
      <c r="C479" t="s">
        <v>93</v>
      </c>
      <c r="D479" t="s">
        <v>690</v>
      </c>
      <c r="E479" cm="1">
        <f t="array" ref="E479">_xlfn.XLOOKUP(D479,SKU_Master!A:A,SKU_Master!B:B,"Not on master")</f>
        <v>0</v>
      </c>
      <c r="F479" cm="1">
        <f t="array" ref="F479">_xlfn.XLOOKUP(C479,Account_Master!A:A,Account_Master!B:B,"Not on master")</f>
        <v>0</v>
      </c>
      <c r="G479" cm="1">
        <f t="array" ref="G479">_xlfn.XLOOKUP(C479,Account_Master!A:A,Account_Master!C:C,"Not on master")</f>
        <v>0</v>
      </c>
      <c r="H479" s="6">
        <v>9</v>
      </c>
      <c r="I479" s="6">
        <v>9</v>
      </c>
      <c r="J479" s="6">
        <f>I479-H479</f>
        <v>0</v>
      </c>
      <c r="K479" s="5">
        <f>IF(H479=0,"",J479/H479)</f>
        <v>0</v>
      </c>
      <c r="L479">
        <f>IF(OR(AND(H479=0,ABS(J479)&gt;=0.01),AND(H479&lt;&gt;0,ABS(K479)&gt;VarianceThreshold)),"Review","OK")</f>
        <v>0</v>
      </c>
      <c r="M479" t="s">
        <v>33</v>
      </c>
    </row>
    <row r="480" spans="1:13">
      <c r="A480" t="s">
        <v>0</v>
      </c>
      <c r="B480" t="s">
        <v>689</v>
      </c>
      <c r="C480" t="s">
        <v>43</v>
      </c>
      <c r="D480" t="s">
        <v>691</v>
      </c>
      <c r="E480" cm="1">
        <f t="array" ref="E480">_xlfn.XLOOKUP(D480,SKU_Master!A:A,SKU_Master!B:B,"Not on master")</f>
        <v>0</v>
      </c>
      <c r="F480" cm="1">
        <f t="array" ref="F480">_xlfn.XLOOKUP(C480,Account_Master!A:A,Account_Master!B:B,"Not on master")</f>
        <v>0</v>
      </c>
      <c r="G480" cm="1">
        <f t="array" ref="G480">_xlfn.XLOOKUP(C480,Account_Master!A:A,Account_Master!C:C,"Not on master")</f>
        <v>0</v>
      </c>
      <c r="H480" s="6">
        <v>0.75</v>
      </c>
      <c r="I480" s="6">
        <v>0.75</v>
      </c>
      <c r="J480" s="6">
        <f>I480-H480</f>
        <v>0</v>
      </c>
      <c r="K480" s="5">
        <f>IF(H480=0,"",J480/H480)</f>
        <v>0</v>
      </c>
      <c r="L480">
        <f>IF(OR(AND(H480=0,ABS(J480)&gt;=0.01),AND(H480&lt;&gt;0,ABS(K480)&gt;VarianceThreshold)),"Review","OK")</f>
        <v>0</v>
      </c>
      <c r="M480" t="s">
        <v>33</v>
      </c>
    </row>
    <row r="481" spans="1:13">
      <c r="A481" t="s">
        <v>0</v>
      </c>
      <c r="B481" t="s">
        <v>689</v>
      </c>
      <c r="C481" t="s">
        <v>45</v>
      </c>
      <c r="D481" t="s">
        <v>692</v>
      </c>
      <c r="E481" cm="1">
        <f t="array" ref="E481">_xlfn.XLOOKUP(D481,SKU_Master!A:A,SKU_Master!B:B,"Not on master")</f>
        <v>0</v>
      </c>
      <c r="F481" cm="1">
        <f t="array" ref="F481">_xlfn.XLOOKUP(C481,Account_Master!A:A,Account_Master!B:B,"Not on master")</f>
        <v>0</v>
      </c>
      <c r="G481" cm="1">
        <f t="array" ref="G481">_xlfn.XLOOKUP(C481,Account_Master!A:A,Account_Master!C:C,"Not on master")</f>
        <v>0</v>
      </c>
      <c r="H481" s="6">
        <v>15</v>
      </c>
      <c r="I481" s="6">
        <v>15</v>
      </c>
      <c r="J481" s="6">
        <f>I481-H481</f>
        <v>0</v>
      </c>
      <c r="K481" s="5">
        <f>IF(H481=0,"",J481/H481)</f>
        <v>0</v>
      </c>
      <c r="L481">
        <f>IF(OR(AND(H481=0,ABS(J481)&gt;=0.01),AND(H481&lt;&gt;0,ABS(K481)&gt;VarianceThreshold)),"Review","OK")</f>
        <v>0</v>
      </c>
      <c r="M481" t="s">
        <v>33</v>
      </c>
    </row>
    <row r="482" spans="1:13">
      <c r="A482" t="s">
        <v>0</v>
      </c>
      <c r="B482" t="s">
        <v>689</v>
      </c>
      <c r="C482" t="s">
        <v>31</v>
      </c>
      <c r="D482" t="s">
        <v>693</v>
      </c>
      <c r="E482" cm="1">
        <f t="array" ref="E482">_xlfn.XLOOKUP(D482,SKU_Master!A:A,SKU_Master!B:B,"Not on master")</f>
        <v>0</v>
      </c>
      <c r="F482" cm="1">
        <f t="array" ref="F482">_xlfn.XLOOKUP(C482,Account_Master!A:A,Account_Master!B:B,"Not on master")</f>
        <v>0</v>
      </c>
      <c r="G482" cm="1">
        <f t="array" ref="G482">_xlfn.XLOOKUP(C482,Account_Master!A:A,Account_Master!C:C,"Not on master")</f>
        <v>0</v>
      </c>
      <c r="H482" s="6">
        <v>9</v>
      </c>
      <c r="I482" s="6">
        <v>9</v>
      </c>
      <c r="J482" s="6">
        <f>I482-H482</f>
        <v>0</v>
      </c>
      <c r="K482" s="5">
        <f>IF(H482=0,"",J482/H482)</f>
        <v>0</v>
      </c>
      <c r="L482">
        <f>IF(OR(AND(H482=0,ABS(J482)&gt;=0.01),AND(H482&lt;&gt;0,ABS(K482)&gt;VarianceThreshold)),"Review","OK")</f>
        <v>0</v>
      </c>
      <c r="M482" t="s">
        <v>33</v>
      </c>
    </row>
    <row r="483" spans="1:13">
      <c r="A483" t="s">
        <v>0</v>
      </c>
      <c r="B483" t="s">
        <v>689</v>
      </c>
      <c r="C483" t="s">
        <v>694</v>
      </c>
      <c r="D483" t="s">
        <v>695</v>
      </c>
      <c r="E483" cm="1">
        <f t="array" ref="E483">_xlfn.XLOOKUP(D483,SKU_Master!A:A,SKU_Master!B:B,"Not on master")</f>
        <v>0</v>
      </c>
      <c r="F483" cm="1">
        <f t="array" ref="F483">_xlfn.XLOOKUP(C483,Account_Master!A:A,Account_Master!B:B,"Not on master")</f>
        <v>0</v>
      </c>
      <c r="G483" cm="1">
        <f t="array" ref="G483">_xlfn.XLOOKUP(C483,Account_Master!A:A,Account_Master!C:C,"Not on master")</f>
        <v>0</v>
      </c>
      <c r="H483" s="6">
        <v>204</v>
      </c>
      <c r="I483" s="6">
        <v>204</v>
      </c>
      <c r="J483" s="6">
        <f>I483-H483</f>
        <v>0</v>
      </c>
      <c r="K483" s="5">
        <f>IF(H483=0,"",J483/H483)</f>
        <v>0</v>
      </c>
      <c r="L483">
        <f>IF(OR(AND(H483=0,ABS(J483)&gt;=0.01),AND(H483&lt;&gt;0,ABS(K483)&gt;VarianceThreshold)),"Review","OK")</f>
        <v>0</v>
      </c>
      <c r="M483" t="s">
        <v>33</v>
      </c>
    </row>
    <row r="484" spans="1:13">
      <c r="A484" t="s">
        <v>0</v>
      </c>
      <c r="B484" t="s">
        <v>689</v>
      </c>
      <c r="C484" t="s">
        <v>145</v>
      </c>
      <c r="D484" t="s">
        <v>696</v>
      </c>
      <c r="E484" cm="1">
        <f t="array" ref="E484">_xlfn.XLOOKUP(D484,SKU_Master!A:A,SKU_Master!B:B,"Not on master")</f>
        <v>0</v>
      </c>
      <c r="F484" cm="1">
        <f t="array" ref="F484">_xlfn.XLOOKUP(C484,Account_Master!A:A,Account_Master!B:B,"Not on master")</f>
        <v>0</v>
      </c>
      <c r="G484" cm="1">
        <f t="array" ref="G484">_xlfn.XLOOKUP(C484,Account_Master!A:A,Account_Master!C:C,"Not on master")</f>
        <v>0</v>
      </c>
      <c r="H484" s="6">
        <v>9.75</v>
      </c>
      <c r="I484" s="6">
        <v>9.75</v>
      </c>
      <c r="J484" s="6">
        <f>I484-H484</f>
        <v>0</v>
      </c>
      <c r="K484" s="5">
        <f>IF(H484=0,"",J484/H484)</f>
        <v>0</v>
      </c>
      <c r="L484">
        <f>IF(OR(AND(H484=0,ABS(J484)&gt;=0.01),AND(H484&lt;&gt;0,ABS(K484)&gt;VarianceThreshold)),"Review","OK")</f>
        <v>0</v>
      </c>
      <c r="M484" t="s">
        <v>33</v>
      </c>
    </row>
    <row r="485" spans="1:13">
      <c r="A485" t="s">
        <v>0</v>
      </c>
      <c r="B485" t="s">
        <v>689</v>
      </c>
      <c r="C485" t="s">
        <v>145</v>
      </c>
      <c r="D485" t="s">
        <v>697</v>
      </c>
      <c r="E485" cm="1">
        <f t="array" ref="E485">_xlfn.XLOOKUP(D485,SKU_Master!A:A,SKU_Master!B:B,"Not on master")</f>
        <v>0</v>
      </c>
      <c r="F485" cm="1">
        <f t="array" ref="F485">_xlfn.XLOOKUP(C485,Account_Master!A:A,Account_Master!B:B,"Not on master")</f>
        <v>0</v>
      </c>
      <c r="G485" cm="1">
        <f t="array" ref="G485">_xlfn.XLOOKUP(C485,Account_Master!A:A,Account_Master!C:C,"Not on master")</f>
        <v>0</v>
      </c>
      <c r="H485" s="6">
        <v>11.25</v>
      </c>
      <c r="I485" s="6">
        <v>11.25</v>
      </c>
      <c r="J485" s="6">
        <f>I485-H485</f>
        <v>0</v>
      </c>
      <c r="K485" s="5">
        <f>IF(H485=0,"",J485/H485)</f>
        <v>0</v>
      </c>
      <c r="L485">
        <f>IF(OR(AND(H485=0,ABS(J485)&gt;=0.01),AND(H485&lt;&gt;0,ABS(K485)&gt;VarianceThreshold)),"Review","OK")</f>
        <v>0</v>
      </c>
      <c r="M485" t="s">
        <v>33</v>
      </c>
    </row>
    <row r="486" spans="1:13">
      <c r="A486" t="s">
        <v>0</v>
      </c>
      <c r="B486" t="s">
        <v>689</v>
      </c>
      <c r="C486" t="s">
        <v>145</v>
      </c>
      <c r="D486" t="s">
        <v>698</v>
      </c>
      <c r="E486" cm="1">
        <f t="array" ref="E486">_xlfn.XLOOKUP(D486,SKU_Master!A:A,SKU_Master!B:B,"Not on master")</f>
        <v>0</v>
      </c>
      <c r="F486" cm="1">
        <f t="array" ref="F486">_xlfn.XLOOKUP(C486,Account_Master!A:A,Account_Master!B:B,"Not on master")</f>
        <v>0</v>
      </c>
      <c r="G486" cm="1">
        <f t="array" ref="G486">_xlfn.XLOOKUP(C486,Account_Master!A:A,Account_Master!C:C,"Not on master")</f>
        <v>0</v>
      </c>
      <c r="H486" s="6">
        <v>15</v>
      </c>
      <c r="I486" s="6">
        <v>15</v>
      </c>
      <c r="J486" s="6">
        <f>I486-H486</f>
        <v>0</v>
      </c>
      <c r="K486" s="5">
        <f>IF(H486=0,"",J486/H486)</f>
        <v>0</v>
      </c>
      <c r="L486">
        <f>IF(OR(AND(H486=0,ABS(J486)&gt;=0.01),AND(H486&lt;&gt;0,ABS(K486)&gt;VarianceThreshold)),"Review","OK")</f>
        <v>0</v>
      </c>
      <c r="M486" t="s">
        <v>33</v>
      </c>
    </row>
    <row r="487" spans="1:13">
      <c r="A487" t="s">
        <v>0</v>
      </c>
      <c r="B487" t="s">
        <v>689</v>
      </c>
      <c r="C487" t="s">
        <v>110</v>
      </c>
      <c r="D487" t="s">
        <v>699</v>
      </c>
      <c r="E487" cm="1">
        <f t="array" ref="E487">_xlfn.XLOOKUP(D487,SKU_Master!A:A,SKU_Master!B:B,"Not on master")</f>
        <v>0</v>
      </c>
      <c r="F487" cm="1">
        <f t="array" ref="F487">_xlfn.XLOOKUP(C487,Account_Master!A:A,Account_Master!B:B,"Not on master")</f>
        <v>0</v>
      </c>
      <c r="G487" cm="1">
        <f t="array" ref="G487">_xlfn.XLOOKUP(C487,Account_Master!A:A,Account_Master!C:C,"Not on master")</f>
        <v>0</v>
      </c>
      <c r="H487" s="6">
        <v>13.5</v>
      </c>
      <c r="I487" s="6">
        <v>13.5</v>
      </c>
      <c r="J487" s="6">
        <f>I487-H487</f>
        <v>0</v>
      </c>
      <c r="K487" s="5">
        <f>IF(H487=0,"",J487/H487)</f>
        <v>0</v>
      </c>
      <c r="L487">
        <f>IF(OR(AND(H487=0,ABS(J487)&gt;=0.01),AND(H487&lt;&gt;0,ABS(K487)&gt;VarianceThreshold)),"Review","OK")</f>
        <v>0</v>
      </c>
      <c r="M487" t="s">
        <v>33</v>
      </c>
    </row>
    <row r="488" spans="1:13">
      <c r="A488" t="s">
        <v>0</v>
      </c>
      <c r="B488" t="s">
        <v>689</v>
      </c>
      <c r="C488" t="s">
        <v>110</v>
      </c>
      <c r="D488" t="s">
        <v>700</v>
      </c>
      <c r="E488" cm="1">
        <f t="array" ref="E488">_xlfn.XLOOKUP(D488,SKU_Master!A:A,SKU_Master!B:B,"Not on master")</f>
        <v>0</v>
      </c>
      <c r="F488" cm="1">
        <f t="array" ref="F488">_xlfn.XLOOKUP(C488,Account_Master!A:A,Account_Master!B:B,"Not on master")</f>
        <v>0</v>
      </c>
      <c r="G488" cm="1">
        <f t="array" ref="G488">_xlfn.XLOOKUP(C488,Account_Master!A:A,Account_Master!C:C,"Not on master")</f>
        <v>0</v>
      </c>
      <c r="H488" s="6">
        <v>24</v>
      </c>
      <c r="I488" s="6">
        <v>24</v>
      </c>
      <c r="J488" s="6">
        <f>I488-H488</f>
        <v>0</v>
      </c>
      <c r="K488" s="5">
        <f>IF(H488=0,"",J488/H488)</f>
        <v>0</v>
      </c>
      <c r="L488">
        <f>IF(OR(AND(H488=0,ABS(J488)&gt;=0.01),AND(H488&lt;&gt;0,ABS(K488)&gt;VarianceThreshold)),"Review","OK")</f>
        <v>0</v>
      </c>
      <c r="M488" t="s">
        <v>33</v>
      </c>
    </row>
    <row r="489" spans="1:13">
      <c r="A489" t="s">
        <v>0</v>
      </c>
      <c r="B489" t="s">
        <v>701</v>
      </c>
      <c r="C489" t="s">
        <v>209</v>
      </c>
      <c r="D489" t="s">
        <v>702</v>
      </c>
      <c r="E489" cm="1">
        <f t="array" ref="E489">_xlfn.XLOOKUP(D489,SKU_Master!A:A,SKU_Master!B:B,"Not on master")</f>
        <v>0</v>
      </c>
      <c r="F489" cm="1">
        <f t="array" ref="F489">_xlfn.XLOOKUP(C489,Account_Master!A:A,Account_Master!B:B,"Not on master")</f>
        <v>0</v>
      </c>
      <c r="G489" cm="1">
        <f t="array" ref="G489">_xlfn.XLOOKUP(C489,Account_Master!A:A,Account_Master!C:C,"Not on master")</f>
        <v>0</v>
      </c>
      <c r="H489" s="6">
        <v>64.75</v>
      </c>
      <c r="I489" s="6">
        <v>64.75</v>
      </c>
      <c r="J489" s="6">
        <f>I489-H489</f>
        <v>0</v>
      </c>
      <c r="K489" s="5">
        <f>IF(H489=0,"",J489/H489)</f>
        <v>0</v>
      </c>
      <c r="L489">
        <f>IF(OR(AND(H489=0,ABS(J489)&gt;=0.01),AND(H489&lt;&gt;0,ABS(K489)&gt;VarianceThreshold)),"Review","OK")</f>
        <v>0</v>
      </c>
      <c r="M489" t="s">
        <v>33</v>
      </c>
    </row>
    <row r="490" spans="1:13">
      <c r="A490" t="s">
        <v>0</v>
      </c>
      <c r="B490" t="s">
        <v>701</v>
      </c>
      <c r="C490" t="s">
        <v>389</v>
      </c>
      <c r="D490" t="s">
        <v>703</v>
      </c>
      <c r="E490" cm="1">
        <f t="array" ref="E490">_xlfn.XLOOKUP(D490,SKU_Master!A:A,SKU_Master!B:B,"Not on master")</f>
        <v>0</v>
      </c>
      <c r="F490" cm="1">
        <f t="array" ref="F490">_xlfn.XLOOKUP(C490,Account_Master!A:A,Account_Master!B:B,"Not on master")</f>
        <v>0</v>
      </c>
      <c r="G490" cm="1">
        <f t="array" ref="G490">_xlfn.XLOOKUP(C490,Account_Master!A:A,Account_Master!C:C,"Not on master")</f>
        <v>0</v>
      </c>
      <c r="H490" s="6">
        <v>476</v>
      </c>
      <c r="I490" s="6">
        <v>476</v>
      </c>
      <c r="J490" s="6">
        <f>I490-H490</f>
        <v>0</v>
      </c>
      <c r="K490" s="5">
        <f>IF(H490=0,"",J490/H490)</f>
        <v>0</v>
      </c>
      <c r="L490">
        <f>IF(OR(AND(H490=0,ABS(J490)&gt;=0.01),AND(H490&lt;&gt;0,ABS(K490)&gt;VarianceThreshold)),"Review","OK")</f>
        <v>0</v>
      </c>
      <c r="M490" t="s">
        <v>33</v>
      </c>
    </row>
    <row r="491" spans="1:13">
      <c r="A491" t="s">
        <v>0</v>
      </c>
      <c r="B491" t="s">
        <v>701</v>
      </c>
      <c r="C491" t="s">
        <v>257</v>
      </c>
      <c r="D491" t="s">
        <v>704</v>
      </c>
      <c r="E491" cm="1">
        <f t="array" ref="E491">_xlfn.XLOOKUP(D491,SKU_Master!A:A,SKU_Master!B:B,"Not on master")</f>
        <v>0</v>
      </c>
      <c r="F491" cm="1">
        <f t="array" ref="F491">_xlfn.XLOOKUP(C491,Account_Master!A:A,Account_Master!B:B,"Not on master")</f>
        <v>0</v>
      </c>
      <c r="G491" cm="1">
        <f t="array" ref="G491">_xlfn.XLOOKUP(C491,Account_Master!A:A,Account_Master!C:C,"Not on master")</f>
        <v>0</v>
      </c>
      <c r="H491" s="6">
        <v>203</v>
      </c>
      <c r="I491" s="6">
        <v>203</v>
      </c>
      <c r="J491" s="6">
        <f>I491-H491</f>
        <v>0</v>
      </c>
      <c r="K491" s="5">
        <f>IF(H491=0,"",J491/H491)</f>
        <v>0</v>
      </c>
      <c r="L491">
        <f>IF(OR(AND(H491=0,ABS(J491)&gt;=0.01),AND(H491&lt;&gt;0,ABS(K491)&gt;VarianceThreshold)),"Review","OK")</f>
        <v>0</v>
      </c>
      <c r="M491" t="s">
        <v>33</v>
      </c>
    </row>
    <row r="492" spans="1:13">
      <c r="A492" t="s">
        <v>0</v>
      </c>
      <c r="B492" t="s">
        <v>701</v>
      </c>
      <c r="C492" t="s">
        <v>77</v>
      </c>
      <c r="D492" t="s">
        <v>705</v>
      </c>
      <c r="E492" cm="1">
        <f t="array" ref="E492">_xlfn.XLOOKUP(D492,SKU_Master!A:A,SKU_Master!B:B,"Not on master")</f>
        <v>0</v>
      </c>
      <c r="F492" cm="1">
        <f t="array" ref="F492">_xlfn.XLOOKUP(C492,Account_Master!A:A,Account_Master!B:B,"Not on master")</f>
        <v>0</v>
      </c>
      <c r="G492" cm="1">
        <f t="array" ref="G492">_xlfn.XLOOKUP(C492,Account_Master!A:A,Account_Master!C:C,"Not on master")</f>
        <v>0</v>
      </c>
      <c r="H492" s="6">
        <v>9</v>
      </c>
      <c r="I492" s="6">
        <v>9</v>
      </c>
      <c r="J492" s="6">
        <f>I492-H492</f>
        <v>0</v>
      </c>
      <c r="K492" s="5">
        <f>IF(H492=0,"",J492/H492)</f>
        <v>0</v>
      </c>
      <c r="L492">
        <f>IF(OR(AND(H492=0,ABS(J492)&gt;=0.01),AND(H492&lt;&gt;0,ABS(K492)&gt;VarianceThreshold)),"Review","OK")</f>
        <v>0</v>
      </c>
      <c r="M492" t="s">
        <v>33</v>
      </c>
    </row>
    <row r="493" spans="1:13">
      <c r="A493" t="s">
        <v>0</v>
      </c>
      <c r="B493" t="s">
        <v>701</v>
      </c>
      <c r="C493" t="s">
        <v>706</v>
      </c>
      <c r="D493" t="s">
        <v>707</v>
      </c>
      <c r="E493" cm="1">
        <f t="array" ref="E493">_xlfn.XLOOKUP(D493,SKU_Master!A:A,SKU_Master!B:B,"Not on master")</f>
        <v>0</v>
      </c>
      <c r="F493" cm="1">
        <f t="array" ref="F493">_xlfn.XLOOKUP(C493,Account_Master!A:A,Account_Master!B:B,"Not on master")</f>
        <v>0</v>
      </c>
      <c r="G493" cm="1">
        <f t="array" ref="G493">_xlfn.XLOOKUP(C493,Account_Master!A:A,Account_Master!C:C,"Not on master")</f>
        <v>0</v>
      </c>
      <c r="H493" s="6">
        <v>19.5</v>
      </c>
      <c r="I493" s="6">
        <v>19.5</v>
      </c>
      <c r="J493" s="6">
        <f>I493-H493</f>
        <v>0</v>
      </c>
      <c r="K493" s="5">
        <f>IF(H493=0,"",J493/H493)</f>
        <v>0</v>
      </c>
      <c r="L493">
        <f>IF(OR(AND(H493=0,ABS(J493)&gt;=0.01),AND(H493&lt;&gt;0,ABS(K493)&gt;VarianceThreshold)),"Review","OK")</f>
        <v>0</v>
      </c>
      <c r="M493" t="s">
        <v>33</v>
      </c>
    </row>
    <row r="494" spans="1:13">
      <c r="A494" t="s">
        <v>0</v>
      </c>
      <c r="B494" t="s">
        <v>708</v>
      </c>
      <c r="C494" t="s">
        <v>267</v>
      </c>
      <c r="D494" t="s">
        <v>709</v>
      </c>
      <c r="E494" cm="1">
        <f t="array" ref="E494">_xlfn.XLOOKUP(D494,SKU_Master!A:A,SKU_Master!B:B,"Not on master")</f>
        <v>0</v>
      </c>
      <c r="F494" cm="1">
        <f t="array" ref="F494">_xlfn.XLOOKUP(C494,Account_Master!A:A,Account_Master!B:B,"Not on master")</f>
        <v>0</v>
      </c>
      <c r="G494" cm="1">
        <f t="array" ref="G494">_xlfn.XLOOKUP(C494,Account_Master!A:A,Account_Master!C:C,"Not on master")</f>
        <v>0</v>
      </c>
      <c r="H494" s="6">
        <v>97.5</v>
      </c>
      <c r="I494" s="6">
        <v>97.5</v>
      </c>
      <c r="J494" s="6">
        <f>I494-H494</f>
        <v>0</v>
      </c>
      <c r="K494" s="5">
        <f>IF(H494=0,"",J494/H494)</f>
        <v>0</v>
      </c>
      <c r="L494">
        <f>IF(OR(AND(H494=0,ABS(J494)&gt;=0.01),AND(H494&lt;&gt;0,ABS(K494)&gt;VarianceThreshold)),"Review","OK")</f>
        <v>0</v>
      </c>
      <c r="M494" t="s">
        <v>33</v>
      </c>
    </row>
    <row r="495" spans="1:13">
      <c r="A495" t="s">
        <v>0</v>
      </c>
      <c r="B495" t="s">
        <v>708</v>
      </c>
      <c r="C495" t="s">
        <v>502</v>
      </c>
      <c r="D495" t="s">
        <v>710</v>
      </c>
      <c r="E495" cm="1">
        <f t="array" ref="E495">_xlfn.XLOOKUP(D495,SKU_Master!A:A,SKU_Master!B:B,"Not on master")</f>
        <v>0</v>
      </c>
      <c r="F495" cm="1">
        <f t="array" ref="F495">_xlfn.XLOOKUP(C495,Account_Master!A:A,Account_Master!B:B,"Not on master")</f>
        <v>0</v>
      </c>
      <c r="G495" cm="1">
        <f t="array" ref="G495">_xlfn.XLOOKUP(C495,Account_Master!A:A,Account_Master!C:C,"Not on master")</f>
        <v>0</v>
      </c>
      <c r="H495" s="6">
        <v>94.5</v>
      </c>
      <c r="I495" s="6">
        <v>94.5</v>
      </c>
      <c r="J495" s="6">
        <f>I495-H495</f>
        <v>0</v>
      </c>
      <c r="K495" s="5">
        <f>IF(H495=0,"",J495/H495)</f>
        <v>0</v>
      </c>
      <c r="L495">
        <f>IF(OR(AND(H495=0,ABS(J495)&gt;=0.01),AND(H495&lt;&gt;0,ABS(K495)&gt;VarianceThreshold)),"Review","OK")</f>
        <v>0</v>
      </c>
      <c r="M495" t="s">
        <v>33</v>
      </c>
    </row>
    <row r="496" spans="1:13">
      <c r="A496" t="s">
        <v>0</v>
      </c>
      <c r="B496" t="s">
        <v>708</v>
      </c>
      <c r="C496" t="s">
        <v>31</v>
      </c>
      <c r="D496" t="s">
        <v>711</v>
      </c>
      <c r="E496" cm="1">
        <f t="array" ref="E496">_xlfn.XLOOKUP(D496,SKU_Master!A:A,SKU_Master!B:B,"Not on master")</f>
        <v>0</v>
      </c>
      <c r="F496" cm="1">
        <f t="array" ref="F496">_xlfn.XLOOKUP(C496,Account_Master!A:A,Account_Master!B:B,"Not on master")</f>
        <v>0</v>
      </c>
      <c r="G496" cm="1">
        <f t="array" ref="G496">_xlfn.XLOOKUP(C496,Account_Master!A:A,Account_Master!C:C,"Not on master")</f>
        <v>0</v>
      </c>
      <c r="H496" s="6">
        <v>24</v>
      </c>
      <c r="I496" s="6">
        <v>24</v>
      </c>
      <c r="J496" s="6">
        <f>I496-H496</f>
        <v>0</v>
      </c>
      <c r="K496" s="5">
        <f>IF(H496=0,"",J496/H496)</f>
        <v>0</v>
      </c>
      <c r="L496">
        <f>IF(OR(AND(H496=0,ABS(J496)&gt;=0.01),AND(H496&lt;&gt;0,ABS(K496)&gt;VarianceThreshold)),"Review","OK")</f>
        <v>0</v>
      </c>
      <c r="M496" t="s">
        <v>33</v>
      </c>
    </row>
    <row r="497" spans="1:13">
      <c r="A497" t="s">
        <v>0</v>
      </c>
      <c r="B497" t="s">
        <v>708</v>
      </c>
      <c r="C497" t="s">
        <v>77</v>
      </c>
      <c r="D497" t="s">
        <v>712</v>
      </c>
      <c r="E497" cm="1">
        <f t="array" ref="E497">_xlfn.XLOOKUP(D497,SKU_Master!A:A,SKU_Master!B:B,"Not on master")</f>
        <v>0</v>
      </c>
      <c r="F497" cm="1">
        <f t="array" ref="F497">_xlfn.XLOOKUP(C497,Account_Master!A:A,Account_Master!B:B,"Not on master")</f>
        <v>0</v>
      </c>
      <c r="G497" cm="1">
        <f t="array" ref="G497">_xlfn.XLOOKUP(C497,Account_Master!A:A,Account_Master!C:C,"Not on master")</f>
        <v>0</v>
      </c>
      <c r="H497" s="6">
        <v>10</v>
      </c>
      <c r="I497" s="6">
        <v>10</v>
      </c>
      <c r="J497" s="6">
        <f>I497-H497</f>
        <v>0</v>
      </c>
      <c r="K497" s="5">
        <f>IF(H497=0,"",J497/H497)</f>
        <v>0</v>
      </c>
      <c r="L497">
        <f>IF(OR(AND(H497=0,ABS(J497)&gt;=0.01),AND(H497&lt;&gt;0,ABS(K497)&gt;VarianceThreshold)),"Review","OK")</f>
        <v>0</v>
      </c>
      <c r="M497" t="s">
        <v>33</v>
      </c>
    </row>
    <row r="498" spans="1:13">
      <c r="A498" t="s">
        <v>0</v>
      </c>
      <c r="B498" t="s">
        <v>708</v>
      </c>
      <c r="C498" t="s">
        <v>713</v>
      </c>
      <c r="D498" t="s">
        <v>714</v>
      </c>
      <c r="E498" cm="1">
        <f t="array" ref="E498">_xlfn.XLOOKUP(D498,SKU_Master!A:A,SKU_Master!B:B,"Not on master")</f>
        <v>0</v>
      </c>
      <c r="F498" cm="1">
        <f t="array" ref="F498">_xlfn.XLOOKUP(C498,Account_Master!A:A,Account_Master!B:B,"Not on master")</f>
        <v>0</v>
      </c>
      <c r="G498" cm="1">
        <f t="array" ref="G498">_xlfn.XLOOKUP(C498,Account_Master!A:A,Account_Master!C:C,"Not on master")</f>
        <v>0</v>
      </c>
      <c r="H498" s="6">
        <v>1.5</v>
      </c>
      <c r="I498" s="6">
        <v>1.5</v>
      </c>
      <c r="J498" s="6">
        <f>I498-H498</f>
        <v>0</v>
      </c>
      <c r="K498" s="5">
        <f>IF(H498=0,"",J498/H498)</f>
        <v>0</v>
      </c>
      <c r="L498">
        <f>IF(OR(AND(H498=0,ABS(J498)&gt;=0.01),AND(H498&lt;&gt;0,ABS(K498)&gt;VarianceThreshold)),"Review","OK")</f>
        <v>0</v>
      </c>
      <c r="M498" t="s">
        <v>33</v>
      </c>
    </row>
    <row r="499" spans="1:13">
      <c r="A499" t="s">
        <v>0</v>
      </c>
      <c r="B499" t="s">
        <v>708</v>
      </c>
      <c r="C499" t="s">
        <v>715</v>
      </c>
      <c r="D499" t="s">
        <v>716</v>
      </c>
      <c r="E499" cm="1">
        <f t="array" ref="E499">_xlfn.XLOOKUP(D499,SKU_Master!A:A,SKU_Master!B:B,"Not on master")</f>
        <v>0</v>
      </c>
      <c r="F499" cm="1">
        <f t="array" ref="F499">_xlfn.XLOOKUP(C499,Account_Master!A:A,Account_Master!B:B,"Not on master")</f>
        <v>0</v>
      </c>
      <c r="G499" cm="1">
        <f t="array" ref="G499">_xlfn.XLOOKUP(C499,Account_Master!A:A,Account_Master!C:C,"Not on master")</f>
        <v>0</v>
      </c>
      <c r="H499" s="6">
        <v>31.5</v>
      </c>
      <c r="I499" s="6">
        <v>31.5</v>
      </c>
      <c r="J499" s="6">
        <f>I499-H499</f>
        <v>0</v>
      </c>
      <c r="K499" s="5">
        <f>IF(H499=0,"",J499/H499)</f>
        <v>0</v>
      </c>
      <c r="L499">
        <f>IF(OR(AND(H499=0,ABS(J499)&gt;=0.01),AND(H499&lt;&gt;0,ABS(K499)&gt;VarianceThreshold)),"Review","OK")</f>
        <v>0</v>
      </c>
      <c r="M499" t="s">
        <v>33</v>
      </c>
    </row>
    <row r="500" spans="1:13">
      <c r="A500" t="s">
        <v>0</v>
      </c>
      <c r="B500" t="s">
        <v>708</v>
      </c>
      <c r="C500" t="s">
        <v>59</v>
      </c>
      <c r="D500" t="s">
        <v>717</v>
      </c>
      <c r="E500" cm="1">
        <f t="array" ref="E500">_xlfn.XLOOKUP(D500,SKU_Master!A:A,SKU_Master!B:B,"Not on master")</f>
        <v>0</v>
      </c>
      <c r="F500" cm="1">
        <f t="array" ref="F500">_xlfn.XLOOKUP(C500,Account_Master!A:A,Account_Master!B:B,"Not on master")</f>
        <v>0</v>
      </c>
      <c r="G500" cm="1">
        <f t="array" ref="G500">_xlfn.XLOOKUP(C500,Account_Master!A:A,Account_Master!C:C,"Not on master")</f>
        <v>0</v>
      </c>
      <c r="H500" s="6">
        <v>0.6</v>
      </c>
      <c r="I500" s="6">
        <v>0.6</v>
      </c>
      <c r="J500" s="6">
        <f>I500-H500</f>
        <v>0</v>
      </c>
      <c r="K500" s="5">
        <f>IF(H500=0,"",J500/H500)</f>
        <v>0</v>
      </c>
      <c r="L500">
        <f>IF(OR(AND(H500=0,ABS(J500)&gt;=0.01),AND(H500&lt;&gt;0,ABS(K500)&gt;VarianceThreshold)),"Review","OK")</f>
        <v>0</v>
      </c>
      <c r="M500" t="s">
        <v>33</v>
      </c>
    </row>
    <row r="501" spans="1:13">
      <c r="A501" t="s">
        <v>0</v>
      </c>
      <c r="B501" t="s">
        <v>708</v>
      </c>
      <c r="C501" t="s">
        <v>31</v>
      </c>
      <c r="D501" t="s">
        <v>718</v>
      </c>
      <c r="E501" cm="1">
        <f t="array" ref="E501">_xlfn.XLOOKUP(D501,SKU_Master!A:A,SKU_Master!B:B,"Not on master")</f>
        <v>0</v>
      </c>
      <c r="F501" cm="1">
        <f t="array" ref="F501">_xlfn.XLOOKUP(C501,Account_Master!A:A,Account_Master!B:B,"Not on master")</f>
        <v>0</v>
      </c>
      <c r="G501" cm="1">
        <f t="array" ref="G501">_xlfn.XLOOKUP(C501,Account_Master!A:A,Account_Master!C:C,"Not on master")</f>
        <v>0</v>
      </c>
      <c r="H501" s="6">
        <v>74</v>
      </c>
      <c r="I501" s="6">
        <v>74</v>
      </c>
      <c r="J501" s="6">
        <f>I501-H501</f>
        <v>0</v>
      </c>
      <c r="K501" s="5">
        <f>IF(H501=0,"",J501/H501)</f>
        <v>0</v>
      </c>
      <c r="L501">
        <f>IF(OR(AND(H501=0,ABS(J501)&gt;=0.01),AND(H501&lt;&gt;0,ABS(K501)&gt;VarianceThreshold)),"Review","OK")</f>
        <v>0</v>
      </c>
      <c r="M501" t="s">
        <v>33</v>
      </c>
    </row>
    <row r="502" spans="1:13">
      <c r="A502" t="s">
        <v>0</v>
      </c>
      <c r="B502" t="s">
        <v>719</v>
      </c>
      <c r="C502" t="s">
        <v>84</v>
      </c>
      <c r="D502" t="s">
        <v>720</v>
      </c>
      <c r="E502" cm="1">
        <f t="array" ref="E502">_xlfn.XLOOKUP(D502,SKU_Master!A:A,SKU_Master!B:B,"Not on master")</f>
        <v>0</v>
      </c>
      <c r="F502" cm="1">
        <f t="array" ref="F502">_xlfn.XLOOKUP(C502,Account_Master!A:A,Account_Master!B:B,"Not on master")</f>
        <v>0</v>
      </c>
      <c r="G502" cm="1">
        <f t="array" ref="G502">_xlfn.XLOOKUP(C502,Account_Master!A:A,Account_Master!C:C,"Not on master")</f>
        <v>0</v>
      </c>
      <c r="H502" s="6">
        <v>9</v>
      </c>
      <c r="I502" s="6">
        <v>9</v>
      </c>
      <c r="J502" s="6">
        <f>I502-H502</f>
        <v>0</v>
      </c>
      <c r="K502" s="5">
        <f>IF(H502=0,"",J502/H502)</f>
        <v>0</v>
      </c>
      <c r="L502">
        <f>IF(OR(AND(H502=0,ABS(J502)&gt;=0.01),AND(H502&lt;&gt;0,ABS(K502)&gt;VarianceThreshold)),"Review","OK")</f>
        <v>0</v>
      </c>
      <c r="M502" t="s">
        <v>33</v>
      </c>
    </row>
    <row r="503" spans="1:13">
      <c r="A503" t="s">
        <v>0</v>
      </c>
      <c r="B503" t="s">
        <v>719</v>
      </c>
      <c r="C503" t="s">
        <v>162</v>
      </c>
      <c r="D503" t="s">
        <v>721</v>
      </c>
      <c r="E503" cm="1">
        <f t="array" ref="E503">_xlfn.XLOOKUP(D503,SKU_Master!A:A,SKU_Master!B:B,"Not on master")</f>
        <v>0</v>
      </c>
      <c r="F503" cm="1">
        <f t="array" ref="F503">_xlfn.XLOOKUP(C503,Account_Master!A:A,Account_Master!B:B,"Not on master")</f>
        <v>0</v>
      </c>
      <c r="G503" cm="1">
        <f t="array" ref="G503">_xlfn.XLOOKUP(C503,Account_Master!A:A,Account_Master!C:C,"Not on master")</f>
        <v>0</v>
      </c>
      <c r="H503" s="6">
        <v>3.55</v>
      </c>
      <c r="I503" s="6">
        <v>3.55</v>
      </c>
      <c r="J503" s="6">
        <f>I503-H503</f>
        <v>0</v>
      </c>
      <c r="K503" s="5">
        <f>IF(H503=0,"",J503/H503)</f>
        <v>0</v>
      </c>
      <c r="L503">
        <f>IF(OR(AND(H503=0,ABS(J503)&gt;=0.01),AND(H503&lt;&gt;0,ABS(K503)&gt;VarianceThreshold)),"Review","OK")</f>
        <v>0</v>
      </c>
      <c r="M503" t="s">
        <v>33</v>
      </c>
    </row>
    <row r="504" spans="1:13">
      <c r="A504" t="s">
        <v>0</v>
      </c>
      <c r="B504" t="s">
        <v>719</v>
      </c>
      <c r="C504" t="s">
        <v>31</v>
      </c>
      <c r="D504" t="s">
        <v>722</v>
      </c>
      <c r="E504" cm="1">
        <f t="array" ref="E504">_xlfn.XLOOKUP(D504,SKU_Master!A:A,SKU_Master!B:B,"Not on master")</f>
        <v>0</v>
      </c>
      <c r="F504" cm="1">
        <f t="array" ref="F504">_xlfn.XLOOKUP(C504,Account_Master!A:A,Account_Master!B:B,"Not on master")</f>
        <v>0</v>
      </c>
      <c r="G504" cm="1">
        <f t="array" ref="G504">_xlfn.XLOOKUP(C504,Account_Master!A:A,Account_Master!C:C,"Not on master")</f>
        <v>0</v>
      </c>
      <c r="H504" s="6">
        <v>12</v>
      </c>
      <c r="I504" s="6">
        <v>12</v>
      </c>
      <c r="J504" s="6">
        <f>I504-H504</f>
        <v>0</v>
      </c>
      <c r="K504" s="5">
        <f>IF(H504=0,"",J504/H504)</f>
        <v>0</v>
      </c>
      <c r="L504">
        <f>IF(OR(AND(H504=0,ABS(J504)&gt;=0.01),AND(H504&lt;&gt;0,ABS(K504)&gt;VarianceThreshold)),"Review","OK")</f>
        <v>0</v>
      </c>
      <c r="M504" t="s">
        <v>33</v>
      </c>
    </row>
    <row r="505" spans="1:13">
      <c r="A505" t="s">
        <v>0</v>
      </c>
      <c r="B505" t="s">
        <v>719</v>
      </c>
      <c r="C505" t="s">
        <v>209</v>
      </c>
      <c r="D505" t="s">
        <v>723</v>
      </c>
      <c r="E505" cm="1">
        <f t="array" ref="E505">_xlfn.XLOOKUP(D505,SKU_Master!A:A,SKU_Master!B:B,"Not on master")</f>
        <v>0</v>
      </c>
      <c r="F505" cm="1">
        <f t="array" ref="F505">_xlfn.XLOOKUP(C505,Account_Master!A:A,Account_Master!B:B,"Not on master")</f>
        <v>0</v>
      </c>
      <c r="G505" cm="1">
        <f t="array" ref="G505">_xlfn.XLOOKUP(C505,Account_Master!A:A,Account_Master!C:C,"Not on master")</f>
        <v>0</v>
      </c>
      <c r="H505" s="6">
        <v>70.2</v>
      </c>
      <c r="I505" s="6">
        <v>70.2</v>
      </c>
      <c r="J505" s="6">
        <f>I505-H505</f>
        <v>0</v>
      </c>
      <c r="K505" s="5">
        <f>IF(H505=0,"",J505/H505)</f>
        <v>0</v>
      </c>
      <c r="L505">
        <f>IF(OR(AND(H505=0,ABS(J505)&gt;=0.01),AND(H505&lt;&gt;0,ABS(K505)&gt;VarianceThreshold)),"Review","OK")</f>
        <v>0</v>
      </c>
      <c r="M505" t="s">
        <v>33</v>
      </c>
    </row>
    <row r="506" spans="1:13">
      <c r="A506" t="s">
        <v>0</v>
      </c>
      <c r="B506" t="s">
        <v>719</v>
      </c>
      <c r="C506" t="s">
        <v>724</v>
      </c>
      <c r="D506" t="s">
        <v>725</v>
      </c>
      <c r="E506" cm="1">
        <f t="array" ref="E506">_xlfn.XLOOKUP(D506,SKU_Master!A:A,SKU_Master!B:B,"Not on master")</f>
        <v>0</v>
      </c>
      <c r="F506" cm="1">
        <f t="array" ref="F506">_xlfn.XLOOKUP(C506,Account_Master!A:A,Account_Master!B:B,"Not on master")</f>
        <v>0</v>
      </c>
      <c r="G506" cm="1">
        <f t="array" ref="G506">_xlfn.XLOOKUP(C506,Account_Master!A:A,Account_Master!C:C,"Not on master")</f>
        <v>0</v>
      </c>
      <c r="H506" s="6">
        <v>0.2</v>
      </c>
      <c r="I506" s="6">
        <v>0.2</v>
      </c>
      <c r="J506" s="6">
        <f>I506-H506</f>
        <v>0</v>
      </c>
      <c r="K506" s="5">
        <f>IF(H506=0,"",J506/H506)</f>
        <v>0</v>
      </c>
      <c r="L506">
        <f>IF(OR(AND(H506=0,ABS(J506)&gt;=0.01),AND(H506&lt;&gt;0,ABS(K506)&gt;VarianceThreshold)),"Review","OK")</f>
        <v>0</v>
      </c>
      <c r="M506" t="s">
        <v>33</v>
      </c>
    </row>
    <row r="507" spans="1:13">
      <c r="A507" t="s">
        <v>0</v>
      </c>
      <c r="B507" t="s">
        <v>719</v>
      </c>
      <c r="C507" t="s">
        <v>145</v>
      </c>
      <c r="D507" t="s">
        <v>726</v>
      </c>
      <c r="E507" cm="1">
        <f t="array" ref="E507">_xlfn.XLOOKUP(D507,SKU_Master!A:A,SKU_Master!B:B,"Not on master")</f>
        <v>0</v>
      </c>
      <c r="F507" cm="1">
        <f t="array" ref="F507">_xlfn.XLOOKUP(C507,Account_Master!A:A,Account_Master!B:B,"Not on master")</f>
        <v>0</v>
      </c>
      <c r="G507" cm="1">
        <f t="array" ref="G507">_xlfn.XLOOKUP(C507,Account_Master!A:A,Account_Master!C:C,"Not on master")</f>
        <v>0</v>
      </c>
      <c r="H507" s="6">
        <v>28.5</v>
      </c>
      <c r="I507" s="6">
        <v>28.5</v>
      </c>
      <c r="J507" s="6">
        <f>I507-H507</f>
        <v>0</v>
      </c>
      <c r="K507" s="5">
        <f>IF(H507=0,"",J507/H507)</f>
        <v>0</v>
      </c>
      <c r="L507">
        <f>IF(OR(AND(H507=0,ABS(J507)&gt;=0.01),AND(H507&lt;&gt;0,ABS(K507)&gt;VarianceThreshold)),"Review","OK")</f>
        <v>0</v>
      </c>
      <c r="M507" t="s">
        <v>33</v>
      </c>
    </row>
    <row r="508" spans="1:13">
      <c r="A508" t="s">
        <v>0</v>
      </c>
      <c r="B508" t="s">
        <v>727</v>
      </c>
      <c r="C508" t="s">
        <v>84</v>
      </c>
      <c r="D508" t="s">
        <v>728</v>
      </c>
      <c r="E508" cm="1">
        <f t="array" ref="E508">_xlfn.XLOOKUP(D508,SKU_Master!A:A,SKU_Master!B:B,"Not on master")</f>
        <v>0</v>
      </c>
      <c r="F508" cm="1">
        <f t="array" ref="F508">_xlfn.XLOOKUP(C508,Account_Master!A:A,Account_Master!B:B,"Not on master")</f>
        <v>0</v>
      </c>
      <c r="G508" cm="1">
        <f t="array" ref="G508">_xlfn.XLOOKUP(C508,Account_Master!A:A,Account_Master!C:C,"Not on master")</f>
        <v>0</v>
      </c>
      <c r="H508" s="6">
        <v>2.25</v>
      </c>
      <c r="I508" s="6">
        <v>2.25</v>
      </c>
      <c r="J508" s="6">
        <f>I508-H508</f>
        <v>0</v>
      </c>
      <c r="K508" s="5">
        <f>IF(H508=0,"",J508/H508)</f>
        <v>0</v>
      </c>
      <c r="L508">
        <f>IF(OR(AND(H508=0,ABS(J508)&gt;=0.01),AND(H508&lt;&gt;0,ABS(K508)&gt;VarianceThreshold)),"Review","OK")</f>
        <v>0</v>
      </c>
      <c r="M508" t="s">
        <v>33</v>
      </c>
    </row>
    <row r="509" spans="1:13">
      <c r="A509" t="s">
        <v>0</v>
      </c>
      <c r="B509" t="s">
        <v>727</v>
      </c>
      <c r="C509" t="s">
        <v>82</v>
      </c>
      <c r="D509" t="s">
        <v>729</v>
      </c>
      <c r="E509" cm="1">
        <f t="array" ref="E509">_xlfn.XLOOKUP(D509,SKU_Master!A:A,SKU_Master!B:B,"Not on master")</f>
        <v>0</v>
      </c>
      <c r="F509" cm="1">
        <f t="array" ref="F509">_xlfn.XLOOKUP(C509,Account_Master!A:A,Account_Master!B:B,"Not on master")</f>
        <v>0</v>
      </c>
      <c r="G509" cm="1">
        <f t="array" ref="G509">_xlfn.XLOOKUP(C509,Account_Master!A:A,Account_Master!C:C,"Not on master")</f>
        <v>0</v>
      </c>
      <c r="H509" s="6">
        <v>15.75</v>
      </c>
      <c r="I509" s="6">
        <v>15.75</v>
      </c>
      <c r="J509" s="6">
        <f>I509-H509</f>
        <v>0</v>
      </c>
      <c r="K509" s="5">
        <f>IF(H509=0,"",J509/H509)</f>
        <v>0</v>
      </c>
      <c r="L509">
        <f>IF(OR(AND(H509=0,ABS(J509)&gt;=0.01),AND(H509&lt;&gt;0,ABS(K509)&gt;VarianceThreshold)),"Review","OK")</f>
        <v>0</v>
      </c>
      <c r="M509" t="s">
        <v>33</v>
      </c>
    </row>
    <row r="510" spans="1:13">
      <c r="A510" t="s">
        <v>0</v>
      </c>
      <c r="B510" t="s">
        <v>727</v>
      </c>
      <c r="C510" t="s">
        <v>108</v>
      </c>
      <c r="D510" t="s">
        <v>730</v>
      </c>
      <c r="E510" cm="1">
        <f t="array" ref="E510">_xlfn.XLOOKUP(D510,SKU_Master!A:A,SKU_Master!B:B,"Not on master")</f>
        <v>0</v>
      </c>
      <c r="F510" cm="1">
        <f t="array" ref="F510">_xlfn.XLOOKUP(C510,Account_Master!A:A,Account_Master!B:B,"Not on master")</f>
        <v>0</v>
      </c>
      <c r="G510" cm="1">
        <f t="array" ref="G510">_xlfn.XLOOKUP(C510,Account_Master!A:A,Account_Master!C:C,"Not on master")</f>
        <v>0</v>
      </c>
      <c r="H510" s="6">
        <v>11.25</v>
      </c>
      <c r="I510" s="6">
        <v>11.25</v>
      </c>
      <c r="J510" s="6">
        <f>I510-H510</f>
        <v>0</v>
      </c>
      <c r="K510" s="5">
        <f>IF(H510=0,"",J510/H510)</f>
        <v>0</v>
      </c>
      <c r="L510">
        <f>IF(OR(AND(H510=0,ABS(J510)&gt;=0.01),AND(H510&lt;&gt;0,ABS(K510)&gt;VarianceThreshold)),"Review","OK")</f>
        <v>0</v>
      </c>
      <c r="M510" t="s">
        <v>33</v>
      </c>
    </row>
    <row r="511" spans="1:13">
      <c r="A511" t="s">
        <v>0</v>
      </c>
      <c r="B511" t="s">
        <v>727</v>
      </c>
      <c r="C511" t="s">
        <v>320</v>
      </c>
      <c r="D511" t="s">
        <v>731</v>
      </c>
      <c r="E511" cm="1">
        <f t="array" ref="E511">_xlfn.XLOOKUP(D511,SKU_Master!A:A,SKU_Master!B:B,"Not on master")</f>
        <v>0</v>
      </c>
      <c r="F511" cm="1">
        <f t="array" ref="F511">_xlfn.XLOOKUP(C511,Account_Master!A:A,Account_Master!B:B,"Not on master")</f>
        <v>0</v>
      </c>
      <c r="G511" cm="1">
        <f t="array" ref="G511">_xlfn.XLOOKUP(C511,Account_Master!A:A,Account_Master!C:C,"Not on master")</f>
        <v>0</v>
      </c>
      <c r="H511" s="6">
        <v>616</v>
      </c>
      <c r="I511" s="6">
        <v>616</v>
      </c>
      <c r="J511" s="6">
        <f>I511-H511</f>
        <v>0</v>
      </c>
      <c r="K511" s="5">
        <f>IF(H511=0,"",J511/H511)</f>
        <v>0</v>
      </c>
      <c r="L511">
        <f>IF(OR(AND(H511=0,ABS(J511)&gt;=0.01),AND(H511&lt;&gt;0,ABS(K511)&gt;VarianceThreshold)),"Review","OK")</f>
        <v>0</v>
      </c>
      <c r="M511" t="s">
        <v>33</v>
      </c>
    </row>
    <row r="512" spans="1:13">
      <c r="A512" t="s">
        <v>0</v>
      </c>
      <c r="B512" t="s">
        <v>727</v>
      </c>
      <c r="C512" t="s">
        <v>209</v>
      </c>
      <c r="D512" t="s">
        <v>732</v>
      </c>
      <c r="E512" cm="1">
        <f t="array" ref="E512">_xlfn.XLOOKUP(D512,SKU_Master!A:A,SKU_Master!B:B,"Not on master")</f>
        <v>0</v>
      </c>
      <c r="F512" cm="1">
        <f t="array" ref="F512">_xlfn.XLOOKUP(C512,Account_Master!A:A,Account_Master!B:B,"Not on master")</f>
        <v>0</v>
      </c>
      <c r="G512" cm="1">
        <f t="array" ref="G512">_xlfn.XLOOKUP(C512,Account_Master!A:A,Account_Master!C:C,"Not on master")</f>
        <v>0</v>
      </c>
      <c r="H512" s="6">
        <v>13.5</v>
      </c>
      <c r="I512" s="6">
        <v>13.5</v>
      </c>
      <c r="J512" s="6">
        <f>I512-H512</f>
        <v>0</v>
      </c>
      <c r="K512" s="5">
        <f>IF(H512=0,"",J512/H512)</f>
        <v>0</v>
      </c>
      <c r="L512">
        <f>IF(OR(AND(H512=0,ABS(J512)&gt;=0.01),AND(H512&lt;&gt;0,ABS(K512)&gt;VarianceThreshold)),"Review","OK")</f>
        <v>0</v>
      </c>
      <c r="M512" t="s">
        <v>33</v>
      </c>
    </row>
    <row r="513" spans="1:13">
      <c r="A513" t="s">
        <v>0</v>
      </c>
      <c r="B513" t="s">
        <v>727</v>
      </c>
      <c r="C513" t="s">
        <v>31</v>
      </c>
      <c r="D513" t="s">
        <v>733</v>
      </c>
      <c r="E513" cm="1">
        <f t="array" ref="E513">_xlfn.XLOOKUP(D513,SKU_Master!A:A,SKU_Master!B:B,"Not on master")</f>
        <v>0</v>
      </c>
      <c r="F513" cm="1">
        <f t="array" ref="F513">_xlfn.XLOOKUP(C513,Account_Master!A:A,Account_Master!B:B,"Not on master")</f>
        <v>0</v>
      </c>
      <c r="G513" cm="1">
        <f t="array" ref="G513">_xlfn.XLOOKUP(C513,Account_Master!A:A,Account_Master!C:C,"Not on master")</f>
        <v>0</v>
      </c>
      <c r="H513" s="6">
        <v>69</v>
      </c>
      <c r="I513" s="6">
        <v>69</v>
      </c>
      <c r="J513" s="6">
        <f>I513-H513</f>
        <v>0</v>
      </c>
      <c r="K513" s="5">
        <f>IF(H513=0,"",J513/H513)</f>
        <v>0</v>
      </c>
      <c r="L513">
        <f>IF(OR(AND(H513=0,ABS(J513)&gt;=0.01),AND(H513&lt;&gt;0,ABS(K513)&gt;VarianceThreshold)),"Review","OK")</f>
        <v>0</v>
      </c>
      <c r="M513" t="s">
        <v>33</v>
      </c>
    </row>
    <row r="514" spans="1:13">
      <c r="A514" t="s">
        <v>0</v>
      </c>
      <c r="B514" t="s">
        <v>734</v>
      </c>
      <c r="C514" t="s">
        <v>31</v>
      </c>
      <c r="D514" t="s">
        <v>735</v>
      </c>
      <c r="E514" cm="1">
        <f t="array" ref="E514">_xlfn.XLOOKUP(D514,SKU_Master!A:A,SKU_Master!B:B,"Not on master")</f>
        <v>0</v>
      </c>
      <c r="F514" cm="1">
        <f t="array" ref="F514">_xlfn.XLOOKUP(C514,Account_Master!A:A,Account_Master!B:B,"Not on master")</f>
        <v>0</v>
      </c>
      <c r="G514" cm="1">
        <f t="array" ref="G514">_xlfn.XLOOKUP(C514,Account_Master!A:A,Account_Master!C:C,"Not on master")</f>
        <v>0</v>
      </c>
      <c r="H514" s="6">
        <v>43.5</v>
      </c>
      <c r="I514" s="6">
        <v>43.5</v>
      </c>
      <c r="J514" s="6">
        <f>I514-H514</f>
        <v>0</v>
      </c>
      <c r="K514" s="5">
        <f>IF(H514=0,"",J514/H514)</f>
        <v>0</v>
      </c>
      <c r="L514">
        <f>IF(OR(AND(H514=0,ABS(J514)&gt;=0.01),AND(H514&lt;&gt;0,ABS(K514)&gt;VarianceThreshold)),"Review","OK")</f>
        <v>0</v>
      </c>
      <c r="M514" t="s">
        <v>33</v>
      </c>
    </row>
    <row r="515" spans="1:13">
      <c r="A515" t="s">
        <v>0</v>
      </c>
      <c r="B515" t="s">
        <v>734</v>
      </c>
      <c r="C515" t="s">
        <v>84</v>
      </c>
      <c r="D515" t="s">
        <v>736</v>
      </c>
      <c r="E515" cm="1">
        <f t="array" ref="E515">_xlfn.XLOOKUP(D515,SKU_Master!A:A,SKU_Master!B:B,"Not on master")</f>
        <v>0</v>
      </c>
      <c r="F515" cm="1">
        <f t="array" ref="F515">_xlfn.XLOOKUP(C515,Account_Master!A:A,Account_Master!B:B,"Not on master")</f>
        <v>0</v>
      </c>
      <c r="G515" cm="1">
        <f t="array" ref="G515">_xlfn.XLOOKUP(C515,Account_Master!A:A,Account_Master!C:C,"Not on master")</f>
        <v>0</v>
      </c>
      <c r="H515" s="6">
        <v>64.75</v>
      </c>
      <c r="I515" s="6">
        <v>64.75</v>
      </c>
      <c r="J515" s="6">
        <f>I515-H515</f>
        <v>0</v>
      </c>
      <c r="K515" s="5">
        <f>IF(H515=0,"",J515/H515)</f>
        <v>0</v>
      </c>
      <c r="L515">
        <f>IF(OR(AND(H515=0,ABS(J515)&gt;=0.01),AND(H515&lt;&gt;0,ABS(K515)&gt;VarianceThreshold)),"Review","OK")</f>
        <v>0</v>
      </c>
      <c r="M515" t="s">
        <v>33</v>
      </c>
    </row>
    <row r="516" spans="1:13">
      <c r="A516" t="s">
        <v>0</v>
      </c>
      <c r="B516" t="s">
        <v>734</v>
      </c>
      <c r="C516" t="s">
        <v>495</v>
      </c>
      <c r="D516" t="s">
        <v>737</v>
      </c>
      <c r="E516" cm="1">
        <f t="array" ref="E516">_xlfn.XLOOKUP(D516,SKU_Master!A:A,SKU_Master!B:B,"Not on master")</f>
        <v>0</v>
      </c>
      <c r="F516" cm="1">
        <f t="array" ref="F516">_xlfn.XLOOKUP(C516,Account_Master!A:A,Account_Master!B:B,"Not on master")</f>
        <v>0</v>
      </c>
      <c r="G516" cm="1">
        <f t="array" ref="G516">_xlfn.XLOOKUP(C516,Account_Master!A:A,Account_Master!C:C,"Not on master")</f>
        <v>0</v>
      </c>
      <c r="H516" s="6">
        <v>922.25</v>
      </c>
      <c r="I516" s="6">
        <v>922.25</v>
      </c>
      <c r="J516" s="6">
        <f>I516-H516</f>
        <v>0</v>
      </c>
      <c r="K516" s="5">
        <f>IF(H516=0,"",J516/H516)</f>
        <v>0</v>
      </c>
      <c r="L516">
        <f>IF(OR(AND(H516=0,ABS(J516)&gt;=0.01),AND(H516&lt;&gt;0,ABS(K516)&gt;VarianceThreshold)),"Review","OK")</f>
        <v>0</v>
      </c>
      <c r="M516" t="s">
        <v>33</v>
      </c>
    </row>
    <row r="517" spans="1:13">
      <c r="A517" t="s">
        <v>0</v>
      </c>
      <c r="B517" t="s">
        <v>734</v>
      </c>
      <c r="C517" t="s">
        <v>56</v>
      </c>
      <c r="D517" t="s">
        <v>738</v>
      </c>
      <c r="E517" cm="1">
        <f t="array" ref="E517">_xlfn.XLOOKUP(D517,SKU_Master!A:A,SKU_Master!B:B,"Not on master")</f>
        <v>0</v>
      </c>
      <c r="F517" cm="1">
        <f t="array" ref="F517">_xlfn.XLOOKUP(C517,Account_Master!A:A,Account_Master!B:B,"Not on master")</f>
        <v>0</v>
      </c>
      <c r="G517" cm="1">
        <f t="array" ref="G517">_xlfn.XLOOKUP(C517,Account_Master!A:A,Account_Master!C:C,"Not on master")</f>
        <v>0</v>
      </c>
      <c r="H517" s="6">
        <v>29.25</v>
      </c>
      <c r="I517" s="6">
        <v>29.25</v>
      </c>
      <c r="J517" s="6">
        <f>I517-H517</f>
        <v>0</v>
      </c>
      <c r="K517" s="5">
        <f>IF(H517=0,"",J517/H517)</f>
        <v>0</v>
      </c>
      <c r="L517">
        <f>IF(OR(AND(H517=0,ABS(J517)&gt;=0.01),AND(H517&lt;&gt;0,ABS(K517)&gt;VarianceThreshold)),"Review","OK")</f>
        <v>0</v>
      </c>
      <c r="M517" t="s">
        <v>33</v>
      </c>
    </row>
    <row r="518" spans="1:13">
      <c r="A518" t="s">
        <v>0</v>
      </c>
      <c r="B518" t="s">
        <v>734</v>
      </c>
      <c r="C518" t="s">
        <v>739</v>
      </c>
      <c r="D518" t="s">
        <v>740</v>
      </c>
      <c r="E518" cm="1">
        <f t="array" ref="E518">_xlfn.XLOOKUP(D518,SKU_Master!A:A,SKU_Master!B:B,"Not on master")</f>
        <v>0</v>
      </c>
      <c r="F518" cm="1">
        <f t="array" ref="F518">_xlfn.XLOOKUP(C518,Account_Master!A:A,Account_Master!B:B,"Not on master")</f>
        <v>0</v>
      </c>
      <c r="G518" cm="1">
        <f t="array" ref="G518">_xlfn.XLOOKUP(C518,Account_Master!A:A,Account_Master!C:C,"Not on master")</f>
        <v>0</v>
      </c>
      <c r="H518" s="6">
        <v>0.75</v>
      </c>
      <c r="I518" s="6">
        <v>0.75</v>
      </c>
      <c r="J518" s="6">
        <f>I518-H518</f>
        <v>0</v>
      </c>
      <c r="K518" s="5">
        <f>IF(H518=0,"",J518/H518)</f>
        <v>0</v>
      </c>
      <c r="L518">
        <f>IF(OR(AND(H518=0,ABS(J518)&gt;=0.01),AND(H518&lt;&gt;0,ABS(K518)&gt;VarianceThreshold)),"Review","OK")</f>
        <v>0</v>
      </c>
      <c r="M518" t="s">
        <v>33</v>
      </c>
    </row>
    <row r="519" spans="1:13">
      <c r="A519" t="s">
        <v>0</v>
      </c>
      <c r="B519" t="s">
        <v>734</v>
      </c>
      <c r="C519" t="s">
        <v>162</v>
      </c>
      <c r="D519" t="s">
        <v>741</v>
      </c>
      <c r="E519" cm="1">
        <f t="array" ref="E519">_xlfn.XLOOKUP(D519,SKU_Master!A:A,SKU_Master!B:B,"Not on master")</f>
        <v>0</v>
      </c>
      <c r="F519" cm="1">
        <f t="array" ref="F519">_xlfn.XLOOKUP(C519,Account_Master!A:A,Account_Master!B:B,"Not on master")</f>
        <v>0</v>
      </c>
      <c r="G519" cm="1">
        <f t="array" ref="G519">_xlfn.XLOOKUP(C519,Account_Master!A:A,Account_Master!C:C,"Not on master")</f>
        <v>0</v>
      </c>
      <c r="H519" s="6">
        <v>27</v>
      </c>
      <c r="I519" s="6">
        <v>27</v>
      </c>
      <c r="J519" s="6">
        <f>I519-H519</f>
        <v>0</v>
      </c>
      <c r="K519" s="5">
        <f>IF(H519=0,"",J519/H519)</f>
        <v>0</v>
      </c>
      <c r="L519">
        <f>IF(OR(AND(H519=0,ABS(J519)&gt;=0.01),AND(H519&lt;&gt;0,ABS(K519)&gt;VarianceThreshold)),"Review","OK")</f>
        <v>0</v>
      </c>
      <c r="M519" t="s">
        <v>33</v>
      </c>
    </row>
    <row r="520" spans="1:13">
      <c r="A520" t="s">
        <v>0</v>
      </c>
      <c r="B520" t="s">
        <v>734</v>
      </c>
      <c r="C520" t="s">
        <v>48</v>
      </c>
      <c r="D520" t="s">
        <v>742</v>
      </c>
      <c r="E520" cm="1">
        <f t="array" ref="E520">_xlfn.XLOOKUP(D520,SKU_Master!A:A,SKU_Master!B:B,"Not on master")</f>
        <v>0</v>
      </c>
      <c r="F520" cm="1">
        <f t="array" ref="F520">_xlfn.XLOOKUP(C520,Account_Master!A:A,Account_Master!B:B,"Not on master")</f>
        <v>0</v>
      </c>
      <c r="G520" cm="1">
        <f t="array" ref="G520">_xlfn.XLOOKUP(C520,Account_Master!A:A,Account_Master!C:C,"Not on master")</f>
        <v>0</v>
      </c>
      <c r="H520" s="6">
        <v>3</v>
      </c>
      <c r="I520" s="6">
        <v>3</v>
      </c>
      <c r="J520" s="6">
        <f>I520-H520</f>
        <v>0</v>
      </c>
      <c r="K520" s="5">
        <f>IF(H520=0,"",J520/H520)</f>
        <v>0</v>
      </c>
      <c r="L520">
        <f>IF(OR(AND(H520=0,ABS(J520)&gt;=0.01),AND(H520&lt;&gt;0,ABS(K520)&gt;VarianceThreshold)),"Review","OK")</f>
        <v>0</v>
      </c>
      <c r="M520" t="s">
        <v>33</v>
      </c>
    </row>
    <row r="521" spans="1:13">
      <c r="A521" t="s">
        <v>0</v>
      </c>
      <c r="B521" t="s">
        <v>734</v>
      </c>
      <c r="C521" t="s">
        <v>79</v>
      </c>
      <c r="D521" t="s">
        <v>743</v>
      </c>
      <c r="E521" cm="1">
        <f t="array" ref="E521">_xlfn.XLOOKUP(D521,SKU_Master!A:A,SKU_Master!B:B,"Not on master")</f>
        <v>0</v>
      </c>
      <c r="F521" cm="1">
        <f t="array" ref="F521">_xlfn.XLOOKUP(C521,Account_Master!A:A,Account_Master!B:B,"Not on master")</f>
        <v>0</v>
      </c>
      <c r="G521" cm="1">
        <f t="array" ref="G521">_xlfn.XLOOKUP(C521,Account_Master!A:A,Account_Master!C:C,"Not on master")</f>
        <v>0</v>
      </c>
      <c r="H521" s="6">
        <v>1.87</v>
      </c>
      <c r="I521" s="6">
        <v>1.87</v>
      </c>
      <c r="J521" s="6">
        <f>I521-H521</f>
        <v>0</v>
      </c>
      <c r="K521" s="5">
        <f>IF(H521=0,"",J521/H521)</f>
        <v>0</v>
      </c>
      <c r="L521">
        <f>IF(OR(AND(H521=0,ABS(J521)&gt;=0.01),AND(H521&lt;&gt;0,ABS(K521)&gt;VarianceThreshold)),"Review","OK")</f>
        <v>0</v>
      </c>
      <c r="M521" t="s">
        <v>33</v>
      </c>
    </row>
    <row r="522" spans="1:13">
      <c r="A522" t="s">
        <v>0</v>
      </c>
      <c r="B522" t="s">
        <v>734</v>
      </c>
      <c r="C522" t="s">
        <v>31</v>
      </c>
      <c r="D522" t="s">
        <v>744</v>
      </c>
      <c r="E522" cm="1">
        <f t="array" ref="E522">_xlfn.XLOOKUP(D522,SKU_Master!A:A,SKU_Master!B:B,"Not on master")</f>
        <v>0</v>
      </c>
      <c r="F522" cm="1">
        <f t="array" ref="F522">_xlfn.XLOOKUP(C522,Account_Master!A:A,Account_Master!B:B,"Not on master")</f>
        <v>0</v>
      </c>
      <c r="G522" cm="1">
        <f t="array" ref="G522">_xlfn.XLOOKUP(C522,Account_Master!A:A,Account_Master!C:C,"Not on master")</f>
        <v>0</v>
      </c>
      <c r="H522" s="6">
        <v>120.3</v>
      </c>
      <c r="I522" s="6">
        <v>120.3</v>
      </c>
      <c r="J522" s="6">
        <f>I522-H522</f>
        <v>0</v>
      </c>
      <c r="K522" s="5">
        <f>IF(H522=0,"",J522/H522)</f>
        <v>0</v>
      </c>
      <c r="L522">
        <f>IF(OR(AND(H522=0,ABS(J522)&gt;=0.01),AND(H522&lt;&gt;0,ABS(K522)&gt;VarianceThreshold)),"Review","OK")</f>
        <v>0</v>
      </c>
      <c r="M522" t="s">
        <v>33</v>
      </c>
    </row>
    <row r="523" spans="1:13">
      <c r="A523" t="s">
        <v>0</v>
      </c>
      <c r="B523" t="s">
        <v>734</v>
      </c>
      <c r="C523" t="s">
        <v>82</v>
      </c>
      <c r="D523" t="s">
        <v>745</v>
      </c>
      <c r="E523" cm="1">
        <f t="array" ref="E523">_xlfn.XLOOKUP(D523,SKU_Master!A:A,SKU_Master!B:B,"Not on master")</f>
        <v>0</v>
      </c>
      <c r="F523" cm="1">
        <f t="array" ref="F523">_xlfn.XLOOKUP(C523,Account_Master!A:A,Account_Master!B:B,"Not on master")</f>
        <v>0</v>
      </c>
      <c r="G523" cm="1">
        <f t="array" ref="G523">_xlfn.XLOOKUP(C523,Account_Master!A:A,Account_Master!C:C,"Not on master")</f>
        <v>0</v>
      </c>
      <c r="H523" s="6">
        <v>15</v>
      </c>
      <c r="I523" s="6">
        <v>15</v>
      </c>
      <c r="J523" s="6">
        <f>I523-H523</f>
        <v>0</v>
      </c>
      <c r="K523" s="5">
        <f>IF(H523=0,"",J523/H523)</f>
        <v>0</v>
      </c>
      <c r="L523">
        <f>IF(OR(AND(H523=0,ABS(J523)&gt;=0.01),AND(H523&lt;&gt;0,ABS(K523)&gt;VarianceThreshold)),"Review","OK")</f>
        <v>0</v>
      </c>
      <c r="M523" t="s">
        <v>33</v>
      </c>
    </row>
    <row r="524" spans="1:13">
      <c r="A524" t="s">
        <v>0</v>
      </c>
      <c r="B524" t="s">
        <v>746</v>
      </c>
      <c r="C524" t="s">
        <v>84</v>
      </c>
      <c r="D524" t="s">
        <v>747</v>
      </c>
      <c r="E524" cm="1">
        <f t="array" ref="E524">_xlfn.XLOOKUP(D524,SKU_Master!A:A,SKU_Master!B:B,"Not on master")</f>
        <v>0</v>
      </c>
      <c r="F524" cm="1">
        <f t="array" ref="F524">_xlfn.XLOOKUP(C524,Account_Master!A:A,Account_Master!B:B,"Not on master")</f>
        <v>0</v>
      </c>
      <c r="G524" cm="1">
        <f t="array" ref="G524">_xlfn.XLOOKUP(C524,Account_Master!A:A,Account_Master!C:C,"Not on master")</f>
        <v>0</v>
      </c>
      <c r="H524" s="6">
        <v>3</v>
      </c>
      <c r="I524" s="6">
        <v>3</v>
      </c>
      <c r="J524" s="6">
        <f>I524-H524</f>
        <v>0</v>
      </c>
      <c r="K524" s="5">
        <f>IF(H524=0,"",J524/H524)</f>
        <v>0</v>
      </c>
      <c r="L524">
        <f>IF(OR(AND(H524=0,ABS(J524)&gt;=0.01),AND(H524&lt;&gt;0,ABS(K524)&gt;VarianceThreshold)),"Review","OK")</f>
        <v>0</v>
      </c>
      <c r="M524" t="s">
        <v>33</v>
      </c>
    </row>
    <row r="525" spans="1:13">
      <c r="A525" t="s">
        <v>0</v>
      </c>
      <c r="B525" t="s">
        <v>746</v>
      </c>
      <c r="C525" t="s">
        <v>724</v>
      </c>
      <c r="D525" t="s">
        <v>748</v>
      </c>
      <c r="E525" cm="1">
        <f t="array" ref="E525">_xlfn.XLOOKUP(D525,SKU_Master!A:A,SKU_Master!B:B,"Not on master")</f>
        <v>0</v>
      </c>
      <c r="F525" cm="1">
        <f t="array" ref="F525">_xlfn.XLOOKUP(C525,Account_Master!A:A,Account_Master!B:B,"Not on master")</f>
        <v>0</v>
      </c>
      <c r="G525" cm="1">
        <f t="array" ref="G525">_xlfn.XLOOKUP(C525,Account_Master!A:A,Account_Master!C:C,"Not on master")</f>
        <v>0</v>
      </c>
      <c r="H525" s="6">
        <v>28.5</v>
      </c>
      <c r="I525" s="6">
        <v>28.5</v>
      </c>
      <c r="J525" s="6">
        <f>I525-H525</f>
        <v>0</v>
      </c>
      <c r="K525" s="5">
        <f>IF(H525=0,"",J525/H525)</f>
        <v>0</v>
      </c>
      <c r="L525">
        <f>IF(OR(AND(H525=0,ABS(J525)&gt;=0.01),AND(H525&lt;&gt;0,ABS(K525)&gt;VarianceThreshold)),"Review","OK")</f>
        <v>0</v>
      </c>
      <c r="M525" t="s">
        <v>33</v>
      </c>
    </row>
    <row r="526" spans="1:13">
      <c r="A526" t="s">
        <v>0</v>
      </c>
      <c r="B526" t="s">
        <v>746</v>
      </c>
      <c r="C526" t="s">
        <v>209</v>
      </c>
      <c r="D526" t="s">
        <v>749</v>
      </c>
      <c r="E526" cm="1">
        <f t="array" ref="E526">_xlfn.XLOOKUP(D526,SKU_Master!A:A,SKU_Master!B:B,"Not on master")</f>
        <v>0</v>
      </c>
      <c r="F526" cm="1">
        <f t="array" ref="F526">_xlfn.XLOOKUP(C526,Account_Master!A:A,Account_Master!B:B,"Not on master")</f>
        <v>0</v>
      </c>
      <c r="G526" cm="1">
        <f t="array" ref="G526">_xlfn.XLOOKUP(C526,Account_Master!A:A,Account_Master!C:C,"Not on master")</f>
        <v>0</v>
      </c>
      <c r="H526" s="6">
        <v>27</v>
      </c>
      <c r="I526" s="6">
        <v>27</v>
      </c>
      <c r="J526" s="6">
        <f>I526-H526</f>
        <v>0</v>
      </c>
      <c r="K526" s="5">
        <f>IF(H526=0,"",J526/H526)</f>
        <v>0</v>
      </c>
      <c r="L526">
        <f>IF(OR(AND(H526=0,ABS(J526)&gt;=0.01),AND(H526&lt;&gt;0,ABS(K526)&gt;VarianceThreshold)),"Review","OK")</f>
        <v>0</v>
      </c>
      <c r="M526" t="s">
        <v>33</v>
      </c>
    </row>
    <row r="527" spans="1:13">
      <c r="A527" t="s">
        <v>0</v>
      </c>
      <c r="B527" t="s">
        <v>746</v>
      </c>
      <c r="C527" t="s">
        <v>750</v>
      </c>
      <c r="D527" t="s">
        <v>751</v>
      </c>
      <c r="E527" cm="1">
        <f t="array" ref="E527">_xlfn.XLOOKUP(D527,SKU_Master!A:A,SKU_Master!B:B,"Not on master")</f>
        <v>0</v>
      </c>
      <c r="F527" cm="1">
        <f t="array" ref="F527">_xlfn.XLOOKUP(C527,Account_Master!A:A,Account_Master!B:B,"Not on master")</f>
        <v>0</v>
      </c>
      <c r="G527" cm="1">
        <f t="array" ref="G527">_xlfn.XLOOKUP(C527,Account_Master!A:A,Account_Master!C:C,"Not on master")</f>
        <v>0</v>
      </c>
      <c r="H527" s="6">
        <v>1.8</v>
      </c>
      <c r="I527" s="6">
        <v>1.8</v>
      </c>
      <c r="J527" s="6">
        <f>I527-H527</f>
        <v>0</v>
      </c>
      <c r="K527" s="5">
        <f>IF(H527=0,"",J527/H527)</f>
        <v>0</v>
      </c>
      <c r="L527">
        <f>IF(OR(AND(H527=0,ABS(J527)&gt;=0.01),AND(H527&lt;&gt;0,ABS(K527)&gt;VarianceThreshold)),"Review","OK")</f>
        <v>0</v>
      </c>
      <c r="M527" t="s">
        <v>33</v>
      </c>
    </row>
    <row r="528" spans="1:13">
      <c r="A528" t="s">
        <v>0</v>
      </c>
      <c r="B528" t="s">
        <v>746</v>
      </c>
      <c r="C528" t="s">
        <v>31</v>
      </c>
      <c r="D528" t="s">
        <v>752</v>
      </c>
      <c r="E528" cm="1">
        <f t="array" ref="E528">_xlfn.XLOOKUP(D528,SKU_Master!A:A,SKU_Master!B:B,"Not on master")</f>
        <v>0</v>
      </c>
      <c r="F528" cm="1">
        <f t="array" ref="F528">_xlfn.XLOOKUP(C528,Account_Master!A:A,Account_Master!B:B,"Not on master")</f>
        <v>0</v>
      </c>
      <c r="G528" cm="1">
        <f t="array" ref="G528">_xlfn.XLOOKUP(C528,Account_Master!A:A,Account_Master!C:C,"Not on master")</f>
        <v>0</v>
      </c>
      <c r="H528" s="6">
        <v>132</v>
      </c>
      <c r="I528" s="6">
        <v>132</v>
      </c>
      <c r="J528" s="6">
        <f>I528-H528</f>
        <v>0</v>
      </c>
      <c r="K528" s="5">
        <f>IF(H528=0,"",J528/H528)</f>
        <v>0</v>
      </c>
      <c r="L528">
        <f>IF(OR(AND(H528=0,ABS(J528)&gt;=0.01),AND(H528&lt;&gt;0,ABS(K528)&gt;VarianceThreshold)),"Review","OK")</f>
        <v>0</v>
      </c>
      <c r="M528" t="s">
        <v>33</v>
      </c>
    </row>
    <row r="529" spans="1:13">
      <c r="A529" t="s">
        <v>0</v>
      </c>
      <c r="B529" t="s">
        <v>746</v>
      </c>
      <c r="C529" t="s">
        <v>220</v>
      </c>
      <c r="D529" t="s">
        <v>753</v>
      </c>
      <c r="E529" cm="1">
        <f t="array" ref="E529">_xlfn.XLOOKUP(D529,SKU_Master!A:A,SKU_Master!B:B,"Not on master")</f>
        <v>0</v>
      </c>
      <c r="F529" cm="1">
        <f t="array" ref="F529">_xlfn.XLOOKUP(C529,Account_Master!A:A,Account_Master!B:B,"Not on master")</f>
        <v>0</v>
      </c>
      <c r="G529" cm="1">
        <f t="array" ref="G529">_xlfn.XLOOKUP(C529,Account_Master!A:A,Account_Master!C:C,"Not on master")</f>
        <v>0</v>
      </c>
      <c r="H529" s="6">
        <v>19.5</v>
      </c>
      <c r="I529" s="6">
        <v>19.5</v>
      </c>
      <c r="J529" s="6">
        <f>I529-H529</f>
        <v>0</v>
      </c>
      <c r="K529" s="5">
        <f>IF(H529=0,"",J529/H529)</f>
        <v>0</v>
      </c>
      <c r="L529">
        <f>IF(OR(AND(H529=0,ABS(J529)&gt;=0.01),AND(H529&lt;&gt;0,ABS(K529)&gt;VarianceThreshold)),"Review","OK")</f>
        <v>0</v>
      </c>
      <c r="M529" t="s">
        <v>33</v>
      </c>
    </row>
    <row r="530" spans="1:13">
      <c r="A530" t="s">
        <v>0</v>
      </c>
      <c r="B530" t="s">
        <v>746</v>
      </c>
      <c r="C530" t="s">
        <v>135</v>
      </c>
      <c r="D530" t="s">
        <v>754</v>
      </c>
      <c r="E530" cm="1">
        <f t="array" ref="E530">_xlfn.XLOOKUP(D530,SKU_Master!A:A,SKU_Master!B:B,"Not on master")</f>
        <v>0</v>
      </c>
      <c r="F530" cm="1">
        <f t="array" ref="F530">_xlfn.XLOOKUP(C530,Account_Master!A:A,Account_Master!B:B,"Not on master")</f>
        <v>0</v>
      </c>
      <c r="G530" cm="1">
        <f t="array" ref="G530">_xlfn.XLOOKUP(C530,Account_Master!A:A,Account_Master!C:C,"Not on master")</f>
        <v>0</v>
      </c>
      <c r="H530" s="6">
        <v>504</v>
      </c>
      <c r="I530" s="6">
        <v>504</v>
      </c>
      <c r="J530" s="6">
        <f>I530-H530</f>
        <v>0</v>
      </c>
      <c r="K530" s="5">
        <f>IF(H530=0,"",J530/H530)</f>
        <v>0</v>
      </c>
      <c r="L530">
        <f>IF(OR(AND(H530=0,ABS(J530)&gt;=0.01),AND(H530&lt;&gt;0,ABS(K530)&gt;VarianceThreshold)),"Review","OK")</f>
        <v>0</v>
      </c>
      <c r="M530" t="s">
        <v>33</v>
      </c>
    </row>
    <row r="531" spans="1:13">
      <c r="A531" t="s">
        <v>0</v>
      </c>
      <c r="B531" t="s">
        <v>755</v>
      </c>
      <c r="C531" t="s">
        <v>110</v>
      </c>
      <c r="D531" t="s">
        <v>756</v>
      </c>
      <c r="E531" cm="1">
        <f t="array" ref="E531">_xlfn.XLOOKUP(D531,SKU_Master!A:A,SKU_Master!B:B,"Not on master")</f>
        <v>0</v>
      </c>
      <c r="F531" cm="1">
        <f t="array" ref="F531">_xlfn.XLOOKUP(C531,Account_Master!A:A,Account_Master!B:B,"Not on master")</f>
        <v>0</v>
      </c>
      <c r="G531" cm="1">
        <f t="array" ref="G531">_xlfn.XLOOKUP(C531,Account_Master!A:A,Account_Master!C:C,"Not on master")</f>
        <v>0</v>
      </c>
      <c r="H531" s="6">
        <v>0.75</v>
      </c>
      <c r="I531" s="6">
        <v>0.75</v>
      </c>
      <c r="J531" s="6">
        <f>I531-H531</f>
        <v>0</v>
      </c>
      <c r="K531" s="5">
        <f>IF(H531=0,"",J531/H531)</f>
        <v>0</v>
      </c>
      <c r="L531">
        <f>IF(OR(AND(H531=0,ABS(J531)&gt;=0.01),AND(H531&lt;&gt;0,ABS(K531)&gt;VarianceThreshold)),"Review","OK")</f>
        <v>0</v>
      </c>
      <c r="M531" t="s">
        <v>33</v>
      </c>
    </row>
    <row r="532" spans="1:13">
      <c r="A532" t="s">
        <v>0</v>
      </c>
      <c r="B532" t="s">
        <v>755</v>
      </c>
      <c r="C532" t="s">
        <v>145</v>
      </c>
      <c r="D532" t="s">
        <v>757</v>
      </c>
      <c r="E532" cm="1">
        <f t="array" ref="E532">_xlfn.XLOOKUP(D532,SKU_Master!A:A,SKU_Master!B:B,"Not on master")</f>
        <v>0</v>
      </c>
      <c r="F532" cm="1">
        <f t="array" ref="F532">_xlfn.XLOOKUP(C532,Account_Master!A:A,Account_Master!B:B,"Not on master")</f>
        <v>0</v>
      </c>
      <c r="G532" cm="1">
        <f t="array" ref="G532">_xlfn.XLOOKUP(C532,Account_Master!A:A,Account_Master!C:C,"Not on master")</f>
        <v>0</v>
      </c>
      <c r="H532" s="6">
        <v>31.5</v>
      </c>
      <c r="I532" s="6">
        <v>31.5</v>
      </c>
      <c r="J532" s="6">
        <f>I532-H532</f>
        <v>0</v>
      </c>
      <c r="K532" s="5">
        <f>IF(H532=0,"",J532/H532)</f>
        <v>0</v>
      </c>
      <c r="L532">
        <f>IF(OR(AND(H532=0,ABS(J532)&gt;=0.01),AND(H532&lt;&gt;0,ABS(K532)&gt;VarianceThreshold)),"Review","OK")</f>
        <v>0</v>
      </c>
      <c r="M532" t="s">
        <v>33</v>
      </c>
    </row>
    <row r="533" spans="1:13">
      <c r="A533" t="s">
        <v>0</v>
      </c>
      <c r="B533" t="s">
        <v>755</v>
      </c>
      <c r="C533" t="s">
        <v>31</v>
      </c>
      <c r="D533" t="s">
        <v>758</v>
      </c>
      <c r="E533" cm="1">
        <f t="array" ref="E533">_xlfn.XLOOKUP(D533,SKU_Master!A:A,SKU_Master!B:B,"Not on master")</f>
        <v>0</v>
      </c>
      <c r="F533" cm="1">
        <f t="array" ref="F533">_xlfn.XLOOKUP(C533,Account_Master!A:A,Account_Master!B:B,"Not on master")</f>
        <v>0</v>
      </c>
      <c r="G533" cm="1">
        <f t="array" ref="G533">_xlfn.XLOOKUP(C533,Account_Master!A:A,Account_Master!C:C,"Not on master")</f>
        <v>0</v>
      </c>
      <c r="H533" s="6">
        <v>24</v>
      </c>
      <c r="I533" s="6">
        <v>24</v>
      </c>
      <c r="J533" s="6">
        <f>I533-H533</f>
        <v>0</v>
      </c>
      <c r="K533" s="5">
        <f>IF(H533=0,"",J533/H533)</f>
        <v>0</v>
      </c>
      <c r="L533">
        <f>IF(OR(AND(H533=0,ABS(J533)&gt;=0.01),AND(H533&lt;&gt;0,ABS(K533)&gt;VarianceThreshold)),"Review","OK")</f>
        <v>0</v>
      </c>
      <c r="M533" t="s">
        <v>33</v>
      </c>
    </row>
    <row r="534" spans="1:13">
      <c r="A534" t="s">
        <v>0</v>
      </c>
      <c r="B534" t="s">
        <v>755</v>
      </c>
      <c r="C534" t="s">
        <v>82</v>
      </c>
      <c r="D534" t="s">
        <v>759</v>
      </c>
      <c r="E534" cm="1">
        <f t="array" ref="E534">_xlfn.XLOOKUP(D534,SKU_Master!A:A,SKU_Master!B:B,"Not on master")</f>
        <v>0</v>
      </c>
      <c r="F534" cm="1">
        <f t="array" ref="F534">_xlfn.XLOOKUP(C534,Account_Master!A:A,Account_Master!B:B,"Not on master")</f>
        <v>0</v>
      </c>
      <c r="G534" cm="1">
        <f t="array" ref="G534">_xlfn.XLOOKUP(C534,Account_Master!A:A,Account_Master!C:C,"Not on master")</f>
        <v>0</v>
      </c>
      <c r="H534" s="6">
        <v>63</v>
      </c>
      <c r="I534" s="6">
        <v>63</v>
      </c>
      <c r="J534" s="6">
        <f>I534-H534</f>
        <v>0</v>
      </c>
      <c r="K534" s="5">
        <f>IF(H534=0,"",J534/H534)</f>
        <v>0</v>
      </c>
      <c r="L534">
        <f>IF(OR(AND(H534=0,ABS(J534)&gt;=0.01),AND(H534&lt;&gt;0,ABS(K534)&gt;VarianceThreshold)),"Review","OK")</f>
        <v>0</v>
      </c>
      <c r="M534" t="s">
        <v>33</v>
      </c>
    </row>
    <row r="535" spans="1:13">
      <c r="A535" t="s">
        <v>0</v>
      </c>
      <c r="B535" t="s">
        <v>755</v>
      </c>
      <c r="C535" t="s">
        <v>220</v>
      </c>
      <c r="D535" t="s">
        <v>760</v>
      </c>
      <c r="E535" cm="1">
        <f t="array" ref="E535">_xlfn.XLOOKUP(D535,SKU_Master!A:A,SKU_Master!B:B,"Not on master")</f>
        <v>0</v>
      </c>
      <c r="F535" cm="1">
        <f t="array" ref="F535">_xlfn.XLOOKUP(C535,Account_Master!A:A,Account_Master!B:B,"Not on master")</f>
        <v>0</v>
      </c>
      <c r="G535" cm="1">
        <f t="array" ref="G535">_xlfn.XLOOKUP(C535,Account_Master!A:A,Account_Master!C:C,"Not on master")</f>
        <v>0</v>
      </c>
      <c r="H535" s="6">
        <v>4.5</v>
      </c>
      <c r="I535" s="6">
        <v>4.5</v>
      </c>
      <c r="J535" s="6">
        <f>I535-H535</f>
        <v>0</v>
      </c>
      <c r="K535" s="5">
        <f>IF(H535=0,"",J535/H535)</f>
        <v>0</v>
      </c>
      <c r="L535">
        <f>IF(OR(AND(H535=0,ABS(J535)&gt;=0.01),AND(H535&lt;&gt;0,ABS(K535)&gt;VarianceThreshold)),"Review","OK")</f>
        <v>0</v>
      </c>
      <c r="M535" t="s">
        <v>33</v>
      </c>
    </row>
    <row r="536" spans="1:13">
      <c r="A536" t="s">
        <v>0</v>
      </c>
      <c r="B536" t="s">
        <v>755</v>
      </c>
      <c r="C536" t="s">
        <v>50</v>
      </c>
      <c r="D536" t="s">
        <v>761</v>
      </c>
      <c r="E536" cm="1">
        <f t="array" ref="E536">_xlfn.XLOOKUP(D536,SKU_Master!A:A,SKU_Master!B:B,"Not on master")</f>
        <v>0</v>
      </c>
      <c r="F536" cm="1">
        <f t="array" ref="F536">_xlfn.XLOOKUP(C536,Account_Master!A:A,Account_Master!B:B,"Not on master")</f>
        <v>0</v>
      </c>
      <c r="G536" cm="1">
        <f t="array" ref="G536">_xlfn.XLOOKUP(C536,Account_Master!A:A,Account_Master!C:C,"Not on master")</f>
        <v>0</v>
      </c>
      <c r="H536" s="6">
        <v>13.5</v>
      </c>
      <c r="I536" s="6">
        <v>13.5</v>
      </c>
      <c r="J536" s="6">
        <f>I536-H536</f>
        <v>0</v>
      </c>
      <c r="K536" s="5">
        <f>IF(H536=0,"",J536/H536)</f>
        <v>0</v>
      </c>
      <c r="L536">
        <f>IF(OR(AND(H536=0,ABS(J536)&gt;=0.01),AND(H536&lt;&gt;0,ABS(K536)&gt;VarianceThreshold)),"Review","OK")</f>
        <v>0</v>
      </c>
      <c r="M536" t="s">
        <v>33</v>
      </c>
    </row>
    <row r="537" spans="1:13">
      <c r="A537" t="s">
        <v>0</v>
      </c>
      <c r="B537" t="s">
        <v>755</v>
      </c>
      <c r="C537" t="s">
        <v>152</v>
      </c>
      <c r="D537" t="s">
        <v>762</v>
      </c>
      <c r="E537" cm="1">
        <f t="array" ref="E537">_xlfn.XLOOKUP(D537,SKU_Master!A:A,SKU_Master!B:B,"Not on master")</f>
        <v>0</v>
      </c>
      <c r="F537" cm="1">
        <f t="array" ref="F537">_xlfn.XLOOKUP(C537,Account_Master!A:A,Account_Master!B:B,"Not on master")</f>
        <v>0</v>
      </c>
      <c r="G537" cm="1">
        <f t="array" ref="G537">_xlfn.XLOOKUP(C537,Account_Master!A:A,Account_Master!C:C,"Not on master")</f>
        <v>0</v>
      </c>
      <c r="H537" s="6">
        <v>27</v>
      </c>
      <c r="I537" s="6">
        <v>27</v>
      </c>
      <c r="J537" s="6">
        <f>I537-H537</f>
        <v>0</v>
      </c>
      <c r="K537" s="5">
        <f>IF(H537=0,"",J537/H537)</f>
        <v>0</v>
      </c>
      <c r="L537">
        <f>IF(OR(AND(H537=0,ABS(J537)&gt;=0.01),AND(H537&lt;&gt;0,ABS(K537)&gt;VarianceThreshold)),"Review","OK")</f>
        <v>0</v>
      </c>
      <c r="M537" t="s">
        <v>33</v>
      </c>
    </row>
    <row r="538" spans="1:13">
      <c r="A538" t="s">
        <v>0</v>
      </c>
      <c r="B538" t="s">
        <v>755</v>
      </c>
      <c r="C538" t="s">
        <v>438</v>
      </c>
      <c r="D538" t="s">
        <v>763</v>
      </c>
      <c r="E538" cm="1">
        <f t="array" ref="E538">_xlfn.XLOOKUP(D538,SKU_Master!A:A,SKU_Master!B:B,"Not on master")</f>
        <v>0</v>
      </c>
      <c r="F538" cm="1">
        <f t="array" ref="F538">_xlfn.XLOOKUP(C538,Account_Master!A:A,Account_Master!B:B,"Not on master")</f>
        <v>0</v>
      </c>
      <c r="G538" cm="1">
        <f t="array" ref="G538">_xlfn.XLOOKUP(C538,Account_Master!A:A,Account_Master!C:C,"Not on master")</f>
        <v>0</v>
      </c>
      <c r="H538" s="6">
        <v>1.1</v>
      </c>
      <c r="I538" s="6">
        <v>1.1</v>
      </c>
      <c r="J538" s="6">
        <f>I538-H538</f>
        <v>0</v>
      </c>
      <c r="K538" s="5">
        <f>IF(H538=0,"",J538/H538)</f>
        <v>0</v>
      </c>
      <c r="L538">
        <f>IF(OR(AND(H538=0,ABS(J538)&gt;=0.01),AND(H538&lt;&gt;0,ABS(K538)&gt;VarianceThreshold)),"Review","OK")</f>
        <v>0</v>
      </c>
      <c r="M538" t="s">
        <v>33</v>
      </c>
    </row>
    <row r="539" spans="1:13">
      <c r="A539" t="s">
        <v>0</v>
      </c>
      <c r="B539" t="s">
        <v>755</v>
      </c>
      <c r="C539" t="s">
        <v>41</v>
      </c>
      <c r="D539" t="s">
        <v>764</v>
      </c>
      <c r="E539" cm="1">
        <f t="array" ref="E539">_xlfn.XLOOKUP(D539,SKU_Master!A:A,SKU_Master!B:B,"Not on master")</f>
        <v>0</v>
      </c>
      <c r="F539" cm="1">
        <f t="array" ref="F539">_xlfn.XLOOKUP(C539,Account_Master!A:A,Account_Master!B:B,"Not on master")</f>
        <v>0</v>
      </c>
      <c r="G539" cm="1">
        <f t="array" ref="G539">_xlfn.XLOOKUP(C539,Account_Master!A:A,Account_Master!C:C,"Not on master")</f>
        <v>0</v>
      </c>
      <c r="H539" s="6">
        <v>51.37</v>
      </c>
      <c r="I539" s="6">
        <v>51.37</v>
      </c>
      <c r="J539" s="6">
        <f>I539-H539</f>
        <v>0</v>
      </c>
      <c r="K539" s="5">
        <f>IF(H539=0,"",J539/H539)</f>
        <v>0</v>
      </c>
      <c r="L539">
        <f>IF(OR(AND(H539=0,ABS(J539)&gt;=0.01),AND(H539&lt;&gt;0,ABS(K539)&gt;VarianceThreshold)),"Review","OK")</f>
        <v>0</v>
      </c>
      <c r="M539" t="s">
        <v>33</v>
      </c>
    </row>
    <row r="540" spans="1:13">
      <c r="A540" t="s">
        <v>0</v>
      </c>
      <c r="B540" t="s">
        <v>765</v>
      </c>
      <c r="C540" t="s">
        <v>145</v>
      </c>
      <c r="D540" t="s">
        <v>766</v>
      </c>
      <c r="E540" cm="1">
        <f t="array" ref="E540">_xlfn.XLOOKUP(D540,SKU_Master!A:A,SKU_Master!B:B,"Not on master")</f>
        <v>0</v>
      </c>
      <c r="F540" cm="1">
        <f t="array" ref="F540">_xlfn.XLOOKUP(C540,Account_Master!A:A,Account_Master!B:B,"Not on master")</f>
        <v>0</v>
      </c>
      <c r="G540" cm="1">
        <f t="array" ref="G540">_xlfn.XLOOKUP(C540,Account_Master!A:A,Account_Master!C:C,"Not on master")</f>
        <v>0</v>
      </c>
      <c r="H540" s="6">
        <v>115.5</v>
      </c>
      <c r="I540" s="6">
        <v>115.5</v>
      </c>
      <c r="J540" s="6">
        <f>I540-H540</f>
        <v>0</v>
      </c>
      <c r="K540" s="5">
        <f>IF(H540=0,"",J540/H540)</f>
        <v>0</v>
      </c>
      <c r="L540">
        <f>IF(OR(AND(H540=0,ABS(J540)&gt;=0.01),AND(H540&lt;&gt;0,ABS(K540)&gt;VarianceThreshold)),"Review","OK")</f>
        <v>0</v>
      </c>
      <c r="M540" t="s">
        <v>33</v>
      </c>
    </row>
    <row r="541" spans="1:13">
      <c r="A541" t="s">
        <v>0</v>
      </c>
      <c r="B541" t="s">
        <v>765</v>
      </c>
      <c r="C541" t="s">
        <v>82</v>
      </c>
      <c r="D541" t="s">
        <v>767</v>
      </c>
      <c r="E541" cm="1">
        <f t="array" ref="E541">_xlfn.XLOOKUP(D541,SKU_Master!A:A,SKU_Master!B:B,"Not on master")</f>
        <v>0</v>
      </c>
      <c r="F541" cm="1">
        <f t="array" ref="F541">_xlfn.XLOOKUP(C541,Account_Master!A:A,Account_Master!B:B,"Not on master")</f>
        <v>0</v>
      </c>
      <c r="G541" cm="1">
        <f t="array" ref="G541">_xlfn.XLOOKUP(C541,Account_Master!A:A,Account_Master!C:C,"Not on master")</f>
        <v>0</v>
      </c>
      <c r="H541" s="6">
        <v>9</v>
      </c>
      <c r="I541" s="6">
        <v>9</v>
      </c>
      <c r="J541" s="6">
        <f>I541-H541</f>
        <v>0</v>
      </c>
      <c r="K541" s="5">
        <f>IF(H541=0,"",J541/H541)</f>
        <v>0</v>
      </c>
      <c r="L541">
        <f>IF(OR(AND(H541=0,ABS(J541)&gt;=0.01),AND(H541&lt;&gt;0,ABS(K541)&gt;VarianceThreshold)),"Review","OK")</f>
        <v>0</v>
      </c>
      <c r="M541" t="s">
        <v>33</v>
      </c>
    </row>
    <row r="542" spans="1:13">
      <c r="A542" t="s">
        <v>0</v>
      </c>
      <c r="B542" t="s">
        <v>765</v>
      </c>
      <c r="C542" t="s">
        <v>768</v>
      </c>
      <c r="D542" t="s">
        <v>769</v>
      </c>
      <c r="E542" cm="1">
        <f t="array" ref="E542">_xlfn.XLOOKUP(D542,SKU_Master!A:A,SKU_Master!B:B,"Not on master")</f>
        <v>0</v>
      </c>
      <c r="F542" cm="1">
        <f t="array" ref="F542">_xlfn.XLOOKUP(C542,Account_Master!A:A,Account_Master!B:B,"Not on master")</f>
        <v>0</v>
      </c>
      <c r="G542" cm="1">
        <f t="array" ref="G542">_xlfn.XLOOKUP(C542,Account_Master!A:A,Account_Master!C:C,"Not on master")</f>
        <v>0</v>
      </c>
      <c r="H542" s="6">
        <v>40.25</v>
      </c>
      <c r="I542" s="6">
        <v>40.25</v>
      </c>
      <c r="J542" s="6">
        <f>I542-H542</f>
        <v>0</v>
      </c>
      <c r="K542" s="5">
        <f>IF(H542=0,"",J542/H542)</f>
        <v>0</v>
      </c>
      <c r="L542">
        <f>IF(OR(AND(H542=0,ABS(J542)&gt;=0.01),AND(H542&lt;&gt;0,ABS(K542)&gt;VarianceThreshold)),"Review","OK")</f>
        <v>0</v>
      </c>
      <c r="M542" t="s">
        <v>33</v>
      </c>
    </row>
    <row r="543" spans="1:13">
      <c r="A543" t="s">
        <v>0</v>
      </c>
      <c r="B543" t="s">
        <v>765</v>
      </c>
      <c r="C543" t="s">
        <v>140</v>
      </c>
      <c r="D543" t="s">
        <v>770</v>
      </c>
      <c r="E543" cm="1">
        <f t="array" ref="E543">_xlfn.XLOOKUP(D543,SKU_Master!A:A,SKU_Master!B:B,"Not on master")</f>
        <v>0</v>
      </c>
      <c r="F543" cm="1">
        <f t="array" ref="F543">_xlfn.XLOOKUP(C543,Account_Master!A:A,Account_Master!B:B,"Not on master")</f>
        <v>0</v>
      </c>
      <c r="G543" cm="1">
        <f t="array" ref="G543">_xlfn.XLOOKUP(C543,Account_Master!A:A,Account_Master!C:C,"Not on master")</f>
        <v>0</v>
      </c>
      <c r="H543" s="6">
        <v>4.5</v>
      </c>
      <c r="I543" s="6">
        <v>4.5</v>
      </c>
      <c r="J543" s="6">
        <f>I543-H543</f>
        <v>0</v>
      </c>
      <c r="K543" s="5">
        <f>IF(H543=0,"",J543/H543)</f>
        <v>0</v>
      </c>
      <c r="L543">
        <f>IF(OR(AND(H543=0,ABS(J543)&gt;=0.01),AND(H543&lt;&gt;0,ABS(K543)&gt;VarianceThreshold)),"Review","OK")</f>
        <v>0</v>
      </c>
      <c r="M543" t="s">
        <v>33</v>
      </c>
    </row>
    <row r="544" spans="1:13">
      <c r="A544" t="s">
        <v>0</v>
      </c>
      <c r="B544" t="s">
        <v>765</v>
      </c>
      <c r="C544" t="s">
        <v>41</v>
      </c>
      <c r="D544" t="s">
        <v>771</v>
      </c>
      <c r="E544" cm="1">
        <f t="array" ref="E544">_xlfn.XLOOKUP(D544,SKU_Master!A:A,SKU_Master!B:B,"Not on master")</f>
        <v>0</v>
      </c>
      <c r="F544" cm="1">
        <f t="array" ref="F544">_xlfn.XLOOKUP(C544,Account_Master!A:A,Account_Master!B:B,"Not on master")</f>
        <v>0</v>
      </c>
      <c r="G544" cm="1">
        <f t="array" ref="G544">_xlfn.XLOOKUP(C544,Account_Master!A:A,Account_Master!C:C,"Not on master")</f>
        <v>0</v>
      </c>
      <c r="H544" s="6">
        <v>7.12</v>
      </c>
      <c r="I544" s="6">
        <v>7.12</v>
      </c>
      <c r="J544" s="6">
        <f>I544-H544</f>
        <v>0</v>
      </c>
      <c r="K544" s="5">
        <f>IF(H544=0,"",J544/H544)</f>
        <v>0</v>
      </c>
      <c r="L544">
        <f>IF(OR(AND(H544=0,ABS(J544)&gt;=0.01),AND(H544&lt;&gt;0,ABS(K544)&gt;VarianceThreshold)),"Review","OK")</f>
        <v>0</v>
      </c>
      <c r="M544" t="s">
        <v>33</v>
      </c>
    </row>
    <row r="545" spans="1:13">
      <c r="A545" t="s">
        <v>0</v>
      </c>
      <c r="B545" t="s">
        <v>765</v>
      </c>
      <c r="C545" t="s">
        <v>739</v>
      </c>
      <c r="D545" t="s">
        <v>772</v>
      </c>
      <c r="E545" cm="1">
        <f t="array" ref="E545">_xlfn.XLOOKUP(D545,SKU_Master!A:A,SKU_Master!B:B,"Not on master")</f>
        <v>0</v>
      </c>
      <c r="F545" cm="1">
        <f t="array" ref="F545">_xlfn.XLOOKUP(C545,Account_Master!A:A,Account_Master!B:B,"Not on master")</f>
        <v>0</v>
      </c>
      <c r="G545" cm="1">
        <f t="array" ref="G545">_xlfn.XLOOKUP(C545,Account_Master!A:A,Account_Master!C:C,"Not on master")</f>
        <v>0</v>
      </c>
      <c r="H545" s="6">
        <v>0.75</v>
      </c>
      <c r="I545" s="6">
        <v>0.75</v>
      </c>
      <c r="J545" s="6">
        <f>I545-H545</f>
        <v>0</v>
      </c>
      <c r="K545" s="5">
        <f>IF(H545=0,"",J545/H545)</f>
        <v>0</v>
      </c>
      <c r="L545">
        <f>IF(OR(AND(H545=0,ABS(J545)&gt;=0.01),AND(H545&lt;&gt;0,ABS(K545)&gt;VarianceThreshold)),"Review","OK")</f>
        <v>0</v>
      </c>
      <c r="M545" t="s">
        <v>33</v>
      </c>
    </row>
    <row r="546" spans="1:13">
      <c r="A546" t="s">
        <v>0</v>
      </c>
      <c r="B546" t="s">
        <v>765</v>
      </c>
      <c r="C546" t="s">
        <v>128</v>
      </c>
      <c r="D546" t="s">
        <v>773</v>
      </c>
      <c r="E546" cm="1">
        <f t="array" ref="E546">_xlfn.XLOOKUP(D546,SKU_Master!A:A,SKU_Master!B:B,"Not on master")</f>
        <v>0</v>
      </c>
      <c r="F546" cm="1">
        <f t="array" ref="F546">_xlfn.XLOOKUP(C546,Account_Master!A:A,Account_Master!B:B,"Not on master")</f>
        <v>0</v>
      </c>
      <c r="G546" cm="1">
        <f t="array" ref="G546">_xlfn.XLOOKUP(C546,Account_Master!A:A,Account_Master!C:C,"Not on master")</f>
        <v>0</v>
      </c>
      <c r="H546" s="6">
        <v>156</v>
      </c>
      <c r="I546" s="6">
        <v>156</v>
      </c>
      <c r="J546" s="6">
        <f>I546-H546</f>
        <v>0</v>
      </c>
      <c r="K546" s="5">
        <f>IF(H546=0,"",J546/H546)</f>
        <v>0</v>
      </c>
      <c r="L546">
        <f>IF(OR(AND(H546=0,ABS(J546)&gt;=0.01),AND(H546&lt;&gt;0,ABS(K546)&gt;VarianceThreshold)),"Review","OK")</f>
        <v>0</v>
      </c>
      <c r="M546" t="s">
        <v>33</v>
      </c>
    </row>
    <row r="547" spans="1:13">
      <c r="A547" t="s">
        <v>0</v>
      </c>
      <c r="B547" t="s">
        <v>765</v>
      </c>
      <c r="C547" t="s">
        <v>84</v>
      </c>
      <c r="D547" t="s">
        <v>774</v>
      </c>
      <c r="E547" cm="1">
        <f t="array" ref="E547">_xlfn.XLOOKUP(D547,SKU_Master!A:A,SKU_Master!B:B,"Not on master")</f>
        <v>0</v>
      </c>
      <c r="F547" cm="1">
        <f t="array" ref="F547">_xlfn.XLOOKUP(C547,Account_Master!A:A,Account_Master!B:B,"Not on master")</f>
        <v>0</v>
      </c>
      <c r="G547" cm="1">
        <f t="array" ref="G547">_xlfn.XLOOKUP(C547,Account_Master!A:A,Account_Master!C:C,"Not on master")</f>
        <v>0</v>
      </c>
      <c r="H547" s="6">
        <v>0.75</v>
      </c>
      <c r="I547" s="6">
        <v>0.75</v>
      </c>
      <c r="J547" s="6">
        <f>I547-H547</f>
        <v>0</v>
      </c>
      <c r="K547" s="5">
        <f>IF(H547=0,"",J547/H547)</f>
        <v>0</v>
      </c>
      <c r="L547">
        <f>IF(OR(AND(H547=0,ABS(J547)&gt;=0.01),AND(H547&lt;&gt;0,ABS(K547)&gt;VarianceThreshold)),"Review","OK")</f>
        <v>0</v>
      </c>
      <c r="M547" t="s">
        <v>33</v>
      </c>
    </row>
    <row r="548" spans="1:13">
      <c r="A548" t="s">
        <v>0</v>
      </c>
      <c r="B548" t="s">
        <v>775</v>
      </c>
      <c r="C548" t="s">
        <v>126</v>
      </c>
      <c r="D548" t="s">
        <v>776</v>
      </c>
      <c r="E548" cm="1">
        <f t="array" ref="E548">_xlfn.XLOOKUP(D548,SKU_Master!A:A,SKU_Master!B:B,"Not on master")</f>
        <v>0</v>
      </c>
      <c r="F548" cm="1">
        <f t="array" ref="F548">_xlfn.XLOOKUP(C548,Account_Master!A:A,Account_Master!B:B,"Not on master")</f>
        <v>0</v>
      </c>
      <c r="G548" cm="1">
        <f t="array" ref="G548">_xlfn.XLOOKUP(C548,Account_Master!A:A,Account_Master!C:C,"Not on master")</f>
        <v>0</v>
      </c>
      <c r="H548" s="6">
        <v>4.5</v>
      </c>
      <c r="I548" s="6">
        <v>4.5</v>
      </c>
      <c r="J548" s="6">
        <f>I548-H548</f>
        <v>0</v>
      </c>
      <c r="K548" s="5">
        <f>IF(H548=0,"",J548/H548)</f>
        <v>0</v>
      </c>
      <c r="L548">
        <f>IF(OR(AND(H548=0,ABS(J548)&gt;=0.01),AND(H548&lt;&gt;0,ABS(K548)&gt;VarianceThreshold)),"Review","OK")</f>
        <v>0</v>
      </c>
      <c r="M548" t="s">
        <v>33</v>
      </c>
    </row>
    <row r="549" spans="1:13">
      <c r="A549" t="s">
        <v>0</v>
      </c>
      <c r="B549" t="s">
        <v>775</v>
      </c>
      <c r="C549" t="s">
        <v>43</v>
      </c>
      <c r="D549" t="s">
        <v>777</v>
      </c>
      <c r="E549" cm="1">
        <f t="array" ref="E549">_xlfn.XLOOKUP(D549,SKU_Master!A:A,SKU_Master!B:B,"Not on master")</f>
        <v>0</v>
      </c>
      <c r="F549" cm="1">
        <f t="array" ref="F549">_xlfn.XLOOKUP(C549,Account_Master!A:A,Account_Master!B:B,"Not on master")</f>
        <v>0</v>
      </c>
      <c r="G549" cm="1">
        <f t="array" ref="G549">_xlfn.XLOOKUP(C549,Account_Master!A:A,Account_Master!C:C,"Not on master")</f>
        <v>0</v>
      </c>
      <c r="H549" s="6">
        <v>18</v>
      </c>
      <c r="I549" s="6">
        <v>18</v>
      </c>
      <c r="J549" s="6">
        <f>I549-H549</f>
        <v>0</v>
      </c>
      <c r="K549" s="5">
        <f>IF(H549=0,"",J549/H549)</f>
        <v>0</v>
      </c>
      <c r="L549">
        <f>IF(OR(AND(H549=0,ABS(J549)&gt;=0.01),AND(H549&lt;&gt;0,ABS(K549)&gt;VarianceThreshold)),"Review","OK")</f>
        <v>0</v>
      </c>
      <c r="M549" t="s">
        <v>33</v>
      </c>
    </row>
    <row r="550" spans="1:13">
      <c r="A550" t="s">
        <v>0</v>
      </c>
      <c r="B550" t="s">
        <v>775</v>
      </c>
      <c r="C550" t="s">
        <v>110</v>
      </c>
      <c r="D550" t="s">
        <v>778</v>
      </c>
      <c r="E550" cm="1">
        <f t="array" ref="E550">_xlfn.XLOOKUP(D550,SKU_Master!A:A,SKU_Master!B:B,"Not on master")</f>
        <v>0</v>
      </c>
      <c r="F550" cm="1">
        <f t="array" ref="F550">_xlfn.XLOOKUP(C550,Account_Master!A:A,Account_Master!B:B,"Not on master")</f>
        <v>0</v>
      </c>
      <c r="G550" cm="1">
        <f t="array" ref="G550">_xlfn.XLOOKUP(C550,Account_Master!A:A,Account_Master!C:C,"Not on master")</f>
        <v>0</v>
      </c>
      <c r="H550" s="6">
        <v>48</v>
      </c>
      <c r="I550" s="6">
        <v>48</v>
      </c>
      <c r="J550" s="6">
        <f>I550-H550</f>
        <v>0</v>
      </c>
      <c r="K550" s="5">
        <f>IF(H550=0,"",J550/H550)</f>
        <v>0</v>
      </c>
      <c r="L550">
        <f>IF(OR(AND(H550=0,ABS(J550)&gt;=0.01),AND(H550&lt;&gt;0,ABS(K550)&gt;VarianceThreshold)),"Review","OK")</f>
        <v>0</v>
      </c>
      <c r="M550" t="s">
        <v>33</v>
      </c>
    </row>
    <row r="551" spans="1:13">
      <c r="A551" t="s">
        <v>0</v>
      </c>
      <c r="B551" t="s">
        <v>779</v>
      </c>
      <c r="C551" t="s">
        <v>31</v>
      </c>
      <c r="D551" t="s">
        <v>780</v>
      </c>
      <c r="E551" cm="1">
        <f t="array" ref="E551">_xlfn.XLOOKUP(D551,SKU_Master!A:A,SKU_Master!B:B,"Not on master")</f>
        <v>0</v>
      </c>
      <c r="F551" cm="1">
        <f t="array" ref="F551">_xlfn.XLOOKUP(C551,Account_Master!A:A,Account_Master!B:B,"Not on master")</f>
        <v>0</v>
      </c>
      <c r="G551" cm="1">
        <f t="array" ref="G551">_xlfn.XLOOKUP(C551,Account_Master!A:A,Account_Master!C:C,"Not on master")</f>
        <v>0</v>
      </c>
      <c r="H551" s="6">
        <v>0.75</v>
      </c>
      <c r="I551" s="6">
        <v>0.75</v>
      </c>
      <c r="J551" s="6">
        <f>I551-H551</f>
        <v>0</v>
      </c>
      <c r="K551" s="5">
        <f>IF(H551=0,"",J551/H551)</f>
        <v>0</v>
      </c>
      <c r="L551">
        <f>IF(OR(AND(H551=0,ABS(J551)&gt;=0.01),AND(H551&lt;&gt;0,ABS(K551)&gt;VarianceThreshold)),"Review","OK")</f>
        <v>0</v>
      </c>
      <c r="M551" t="s">
        <v>33</v>
      </c>
    </row>
    <row r="552" spans="1:13">
      <c r="A552" t="s">
        <v>0</v>
      </c>
      <c r="B552" t="s">
        <v>779</v>
      </c>
      <c r="C552" t="s">
        <v>31</v>
      </c>
      <c r="D552" t="s">
        <v>781</v>
      </c>
      <c r="E552" cm="1">
        <f t="array" ref="E552">_xlfn.XLOOKUP(D552,SKU_Master!A:A,SKU_Master!B:B,"Not on master")</f>
        <v>0</v>
      </c>
      <c r="F552" cm="1">
        <f t="array" ref="F552">_xlfn.XLOOKUP(C552,Account_Master!A:A,Account_Master!B:B,"Not on master")</f>
        <v>0</v>
      </c>
      <c r="G552" cm="1">
        <f t="array" ref="G552">_xlfn.XLOOKUP(C552,Account_Master!A:A,Account_Master!C:C,"Not on master")</f>
        <v>0</v>
      </c>
      <c r="H552" s="6">
        <v>18</v>
      </c>
      <c r="I552" s="6">
        <v>18</v>
      </c>
      <c r="J552" s="6">
        <f>I552-H552</f>
        <v>0</v>
      </c>
      <c r="K552" s="5">
        <f>IF(H552=0,"",J552/H552)</f>
        <v>0</v>
      </c>
      <c r="L552">
        <f>IF(OR(AND(H552=0,ABS(J552)&gt;=0.01),AND(H552&lt;&gt;0,ABS(K552)&gt;VarianceThreshold)),"Review","OK")</f>
        <v>0</v>
      </c>
      <c r="M552" t="s">
        <v>33</v>
      </c>
    </row>
    <row r="553" spans="1:13">
      <c r="A553" t="s">
        <v>0</v>
      </c>
      <c r="B553" t="s">
        <v>779</v>
      </c>
      <c r="C553" t="s">
        <v>126</v>
      </c>
      <c r="D553" t="s">
        <v>782</v>
      </c>
      <c r="E553" cm="1">
        <f t="array" ref="E553">_xlfn.XLOOKUP(D553,SKU_Master!A:A,SKU_Master!B:B,"Not on master")</f>
        <v>0</v>
      </c>
      <c r="F553" cm="1">
        <f t="array" ref="F553">_xlfn.XLOOKUP(C553,Account_Master!A:A,Account_Master!B:B,"Not on master")</f>
        <v>0</v>
      </c>
      <c r="G553" cm="1">
        <f t="array" ref="G553">_xlfn.XLOOKUP(C553,Account_Master!A:A,Account_Master!C:C,"Not on master")</f>
        <v>0</v>
      </c>
      <c r="H553" s="6">
        <v>0.7</v>
      </c>
      <c r="I553" s="6">
        <v>0.7</v>
      </c>
      <c r="J553" s="6">
        <f>I553-H553</f>
        <v>0</v>
      </c>
      <c r="K553" s="5">
        <f>IF(H553=0,"",J553/H553)</f>
        <v>0</v>
      </c>
      <c r="L553">
        <f>IF(OR(AND(H553=0,ABS(J553)&gt;=0.01),AND(H553&lt;&gt;0,ABS(K553)&gt;VarianceThreshold)),"Review","OK")</f>
        <v>0</v>
      </c>
      <c r="M553" t="s">
        <v>33</v>
      </c>
    </row>
    <row r="554" spans="1:13">
      <c r="A554" t="s">
        <v>0</v>
      </c>
      <c r="B554" t="s">
        <v>779</v>
      </c>
      <c r="C554" t="s">
        <v>783</v>
      </c>
      <c r="D554" t="s">
        <v>784</v>
      </c>
      <c r="E554" cm="1">
        <f t="array" ref="E554">_xlfn.XLOOKUP(D554,SKU_Master!A:A,SKU_Master!B:B,"Not on master")</f>
        <v>0</v>
      </c>
      <c r="F554" cm="1">
        <f t="array" ref="F554">_xlfn.XLOOKUP(C554,Account_Master!A:A,Account_Master!B:B,"Not on master")</f>
        <v>0</v>
      </c>
      <c r="G554" cm="1">
        <f t="array" ref="G554">_xlfn.XLOOKUP(C554,Account_Master!A:A,Account_Master!C:C,"Not on master")</f>
        <v>0</v>
      </c>
      <c r="H554" s="6">
        <v>0.2</v>
      </c>
      <c r="I554" s="6">
        <v>0.2</v>
      </c>
      <c r="J554" s="6">
        <f>I554-H554</f>
        <v>0</v>
      </c>
      <c r="K554" s="5">
        <f>IF(H554=0,"",J554/H554)</f>
        <v>0</v>
      </c>
      <c r="L554">
        <f>IF(OR(AND(H554=0,ABS(J554)&gt;=0.01),AND(H554&lt;&gt;0,ABS(K554)&gt;VarianceThreshold)),"Review","OK")</f>
        <v>0</v>
      </c>
      <c r="M554" t="s">
        <v>33</v>
      </c>
    </row>
    <row r="555" spans="1:13">
      <c r="A555" t="s">
        <v>0</v>
      </c>
      <c r="B555" t="s">
        <v>779</v>
      </c>
      <c r="C555" t="s">
        <v>31</v>
      </c>
      <c r="D555" t="s">
        <v>785</v>
      </c>
      <c r="E555" cm="1">
        <f t="array" ref="E555">_xlfn.XLOOKUP(D555,SKU_Master!A:A,SKU_Master!B:B,"Not on master")</f>
        <v>0</v>
      </c>
      <c r="F555" cm="1">
        <f t="array" ref="F555">_xlfn.XLOOKUP(C555,Account_Master!A:A,Account_Master!B:B,"Not on master")</f>
        <v>0</v>
      </c>
      <c r="G555" cm="1">
        <f t="array" ref="G555">_xlfn.XLOOKUP(C555,Account_Master!A:A,Account_Master!C:C,"Not on master")</f>
        <v>0</v>
      </c>
      <c r="H555" s="6">
        <v>18.75</v>
      </c>
      <c r="I555" s="6">
        <v>18.75</v>
      </c>
      <c r="J555" s="6">
        <f>I555-H555</f>
        <v>0</v>
      </c>
      <c r="K555" s="5">
        <f>IF(H555=0,"",J555/H555)</f>
        <v>0</v>
      </c>
      <c r="L555">
        <f>IF(OR(AND(H555=0,ABS(J555)&gt;=0.01),AND(H555&lt;&gt;0,ABS(K555)&gt;VarianceThreshold)),"Review","OK")</f>
        <v>0</v>
      </c>
      <c r="M555" t="s">
        <v>33</v>
      </c>
    </row>
    <row r="556" spans="1:13">
      <c r="A556" t="s">
        <v>0</v>
      </c>
      <c r="B556" t="s">
        <v>779</v>
      </c>
      <c r="C556" t="s">
        <v>31</v>
      </c>
      <c r="D556" t="s">
        <v>786</v>
      </c>
      <c r="E556" cm="1">
        <f t="array" ref="E556">_xlfn.XLOOKUP(D556,SKU_Master!A:A,SKU_Master!B:B,"Not on master")</f>
        <v>0</v>
      </c>
      <c r="F556" cm="1">
        <f t="array" ref="F556">_xlfn.XLOOKUP(C556,Account_Master!A:A,Account_Master!B:B,"Not on master")</f>
        <v>0</v>
      </c>
      <c r="G556" cm="1">
        <f t="array" ref="G556">_xlfn.XLOOKUP(C556,Account_Master!A:A,Account_Master!C:C,"Not on master")</f>
        <v>0</v>
      </c>
      <c r="H556" s="6">
        <v>20.25</v>
      </c>
      <c r="I556" s="6">
        <v>20.25</v>
      </c>
      <c r="J556" s="6">
        <f>I556-H556</f>
        <v>0</v>
      </c>
      <c r="K556" s="5">
        <f>IF(H556=0,"",J556/H556)</f>
        <v>0</v>
      </c>
      <c r="L556">
        <f>IF(OR(AND(H556=0,ABS(J556)&gt;=0.01),AND(H556&lt;&gt;0,ABS(K556)&gt;VarianceThreshold)),"Review","OK")</f>
        <v>0</v>
      </c>
      <c r="M556" t="s">
        <v>33</v>
      </c>
    </row>
    <row r="557" spans="1:13">
      <c r="A557" t="s">
        <v>0</v>
      </c>
      <c r="B557" t="s">
        <v>779</v>
      </c>
      <c r="C557" t="s">
        <v>495</v>
      </c>
      <c r="D557" t="s">
        <v>787</v>
      </c>
      <c r="E557" cm="1">
        <f t="array" ref="E557">_xlfn.XLOOKUP(D557,SKU_Master!A:A,SKU_Master!B:B,"Not on master")</f>
        <v>0</v>
      </c>
      <c r="F557" cm="1">
        <f t="array" ref="F557">_xlfn.XLOOKUP(C557,Account_Master!A:A,Account_Master!B:B,"Not on master")</f>
        <v>0</v>
      </c>
      <c r="G557" cm="1">
        <f t="array" ref="G557">_xlfn.XLOOKUP(C557,Account_Master!A:A,Account_Master!C:C,"Not on master")</f>
        <v>0</v>
      </c>
      <c r="H557" s="6">
        <v>9</v>
      </c>
      <c r="I557" s="6">
        <v>9</v>
      </c>
      <c r="J557" s="6">
        <f>I557-H557</f>
        <v>0</v>
      </c>
      <c r="K557" s="5">
        <f>IF(H557=0,"",J557/H557)</f>
        <v>0</v>
      </c>
      <c r="L557">
        <f>IF(OR(AND(H557=0,ABS(J557)&gt;=0.01),AND(H557&lt;&gt;0,ABS(K557)&gt;VarianceThreshold)),"Review","OK")</f>
        <v>0</v>
      </c>
      <c r="M557" t="s">
        <v>33</v>
      </c>
    </row>
    <row r="558" spans="1:13">
      <c r="A558" t="s">
        <v>0</v>
      </c>
      <c r="B558" t="s">
        <v>788</v>
      </c>
      <c r="C558" t="s">
        <v>31</v>
      </c>
      <c r="D558" t="s">
        <v>789</v>
      </c>
      <c r="E558" cm="1">
        <f t="array" ref="E558">_xlfn.XLOOKUP(D558,SKU_Master!A:A,SKU_Master!B:B,"Not on master")</f>
        <v>0</v>
      </c>
      <c r="F558" cm="1">
        <f t="array" ref="F558">_xlfn.XLOOKUP(C558,Account_Master!A:A,Account_Master!B:B,"Not on master")</f>
        <v>0</v>
      </c>
      <c r="G558" cm="1">
        <f t="array" ref="G558">_xlfn.XLOOKUP(C558,Account_Master!A:A,Account_Master!C:C,"Not on master")</f>
        <v>0</v>
      </c>
      <c r="H558" s="6">
        <v>41.25</v>
      </c>
      <c r="I558" s="6">
        <v>41.25</v>
      </c>
      <c r="J558" s="6">
        <f>I558-H558</f>
        <v>0</v>
      </c>
      <c r="K558" s="5">
        <f>IF(H558=0,"",J558/H558)</f>
        <v>0</v>
      </c>
      <c r="L558">
        <f>IF(OR(AND(H558=0,ABS(J558)&gt;=0.01),AND(H558&lt;&gt;0,ABS(K558)&gt;VarianceThreshold)),"Review","OK")</f>
        <v>0</v>
      </c>
      <c r="M558" t="s">
        <v>33</v>
      </c>
    </row>
    <row r="559" spans="1:13">
      <c r="A559" t="s">
        <v>0</v>
      </c>
      <c r="B559" t="s">
        <v>788</v>
      </c>
      <c r="C559" t="s">
        <v>41</v>
      </c>
      <c r="D559" t="s">
        <v>790</v>
      </c>
      <c r="E559" cm="1">
        <f t="array" ref="E559">_xlfn.XLOOKUP(D559,SKU_Master!A:A,SKU_Master!B:B,"Not on master")</f>
        <v>0</v>
      </c>
      <c r="F559" cm="1">
        <f t="array" ref="F559">_xlfn.XLOOKUP(C559,Account_Master!A:A,Account_Master!B:B,"Not on master")</f>
        <v>0</v>
      </c>
      <c r="G559" cm="1">
        <f t="array" ref="G559">_xlfn.XLOOKUP(C559,Account_Master!A:A,Account_Master!C:C,"Not on master")</f>
        <v>0</v>
      </c>
      <c r="H559" s="6">
        <v>40</v>
      </c>
      <c r="I559" s="6">
        <v>40</v>
      </c>
      <c r="J559" s="6">
        <f>I559-H559</f>
        <v>0</v>
      </c>
      <c r="K559" s="5">
        <f>IF(H559=0,"",J559/H559)</f>
        <v>0</v>
      </c>
      <c r="L559">
        <f>IF(OR(AND(H559=0,ABS(J559)&gt;=0.01),AND(H559&lt;&gt;0,ABS(K559)&gt;VarianceThreshold)),"Review","OK")</f>
        <v>0</v>
      </c>
      <c r="M559" t="s">
        <v>33</v>
      </c>
    </row>
    <row r="560" spans="1:13">
      <c r="A560" t="s">
        <v>0</v>
      </c>
      <c r="B560" t="s">
        <v>788</v>
      </c>
      <c r="C560" t="s">
        <v>162</v>
      </c>
      <c r="D560" t="s">
        <v>791</v>
      </c>
      <c r="E560" cm="1">
        <f t="array" ref="E560">_xlfn.XLOOKUP(D560,SKU_Master!A:A,SKU_Master!B:B,"Not on master")</f>
        <v>0</v>
      </c>
      <c r="F560" cm="1">
        <f t="array" ref="F560">_xlfn.XLOOKUP(C560,Account_Master!A:A,Account_Master!B:B,"Not on master")</f>
        <v>0</v>
      </c>
      <c r="G560" cm="1">
        <f t="array" ref="G560">_xlfn.XLOOKUP(C560,Account_Master!A:A,Account_Master!C:C,"Not on master")</f>
        <v>0</v>
      </c>
      <c r="H560" s="6">
        <v>9</v>
      </c>
      <c r="I560" s="6">
        <v>9</v>
      </c>
      <c r="J560" s="6">
        <f>I560-H560</f>
        <v>0</v>
      </c>
      <c r="K560" s="5">
        <f>IF(H560=0,"",J560/H560)</f>
        <v>0</v>
      </c>
      <c r="L560">
        <f>IF(OR(AND(H560=0,ABS(J560)&gt;=0.01),AND(H560&lt;&gt;0,ABS(K560)&gt;VarianceThreshold)),"Review","OK")</f>
        <v>0</v>
      </c>
      <c r="M560" t="s">
        <v>33</v>
      </c>
    </row>
    <row r="561" spans="1:13">
      <c r="A561" t="s">
        <v>0</v>
      </c>
      <c r="B561" t="s">
        <v>788</v>
      </c>
      <c r="C561" t="s">
        <v>110</v>
      </c>
      <c r="D561" t="s">
        <v>792</v>
      </c>
      <c r="E561" cm="1">
        <f t="array" ref="E561">_xlfn.XLOOKUP(D561,SKU_Master!A:A,SKU_Master!B:B,"Not on master")</f>
        <v>0</v>
      </c>
      <c r="F561" cm="1">
        <f t="array" ref="F561">_xlfn.XLOOKUP(C561,Account_Master!A:A,Account_Master!B:B,"Not on master")</f>
        <v>0</v>
      </c>
      <c r="G561" cm="1">
        <f t="array" ref="G561">_xlfn.XLOOKUP(C561,Account_Master!A:A,Account_Master!C:C,"Not on master")</f>
        <v>0</v>
      </c>
      <c r="H561" s="6">
        <v>18.75</v>
      </c>
      <c r="I561" s="6">
        <v>18.75</v>
      </c>
      <c r="J561" s="6">
        <f>I561-H561</f>
        <v>0</v>
      </c>
      <c r="K561" s="5">
        <f>IF(H561=0,"",J561/H561)</f>
        <v>0</v>
      </c>
      <c r="L561">
        <f>IF(OR(AND(H561=0,ABS(J561)&gt;=0.01),AND(H561&lt;&gt;0,ABS(K561)&gt;VarianceThreshold)),"Review","OK")</f>
        <v>0</v>
      </c>
      <c r="M561" t="s">
        <v>33</v>
      </c>
    </row>
    <row r="562" spans="1:13">
      <c r="A562" t="s">
        <v>0</v>
      </c>
      <c r="B562" t="s">
        <v>788</v>
      </c>
      <c r="C562" t="s">
        <v>41</v>
      </c>
      <c r="D562" t="s">
        <v>793</v>
      </c>
      <c r="E562" cm="1">
        <f t="array" ref="E562">_xlfn.XLOOKUP(D562,SKU_Master!A:A,SKU_Master!B:B,"Not on master")</f>
        <v>0</v>
      </c>
      <c r="F562" cm="1">
        <f t="array" ref="F562">_xlfn.XLOOKUP(C562,Account_Master!A:A,Account_Master!B:B,"Not on master")</f>
        <v>0</v>
      </c>
      <c r="G562" cm="1">
        <f t="array" ref="G562">_xlfn.XLOOKUP(C562,Account_Master!A:A,Account_Master!C:C,"Not on master")</f>
        <v>0</v>
      </c>
      <c r="H562" s="6">
        <v>27</v>
      </c>
      <c r="I562" s="6">
        <v>27</v>
      </c>
      <c r="J562" s="6">
        <f>I562-H562</f>
        <v>0</v>
      </c>
      <c r="K562" s="5">
        <f>IF(H562=0,"",J562/H562)</f>
        <v>0</v>
      </c>
      <c r="L562">
        <f>IF(OR(AND(H562=0,ABS(J562)&gt;=0.01),AND(H562&lt;&gt;0,ABS(K562)&gt;VarianceThreshold)),"Review","OK")</f>
        <v>0</v>
      </c>
      <c r="M562" t="s">
        <v>33</v>
      </c>
    </row>
    <row r="563" spans="1:13">
      <c r="A563" t="s">
        <v>0</v>
      </c>
      <c r="B563" t="s">
        <v>788</v>
      </c>
      <c r="C563" t="s">
        <v>54</v>
      </c>
      <c r="D563" t="s">
        <v>794</v>
      </c>
      <c r="E563" cm="1">
        <f t="array" ref="E563">_xlfn.XLOOKUP(D563,SKU_Master!A:A,SKU_Master!B:B,"Not on master")</f>
        <v>0</v>
      </c>
      <c r="F563" cm="1">
        <f t="array" ref="F563">_xlfn.XLOOKUP(C563,Account_Master!A:A,Account_Master!B:B,"Not on master")</f>
        <v>0</v>
      </c>
      <c r="G563" cm="1">
        <f t="array" ref="G563">_xlfn.XLOOKUP(C563,Account_Master!A:A,Account_Master!C:C,"Not on master")</f>
        <v>0</v>
      </c>
      <c r="H563" s="6">
        <v>12</v>
      </c>
      <c r="I563" s="6">
        <v>12</v>
      </c>
      <c r="J563" s="6">
        <f>I563-H563</f>
        <v>0</v>
      </c>
      <c r="K563" s="5">
        <f>IF(H563=0,"",J563/H563)</f>
        <v>0</v>
      </c>
      <c r="L563">
        <f>IF(OR(AND(H563=0,ABS(J563)&gt;=0.01),AND(H563&lt;&gt;0,ABS(K563)&gt;VarianceThreshold)),"Review","OK")</f>
        <v>0</v>
      </c>
      <c r="M563" t="s">
        <v>33</v>
      </c>
    </row>
    <row r="564" spans="1:13">
      <c r="A564" t="s">
        <v>0</v>
      </c>
      <c r="B564" t="s">
        <v>788</v>
      </c>
      <c r="C564" t="s">
        <v>262</v>
      </c>
      <c r="D564" t="s">
        <v>795</v>
      </c>
      <c r="E564" cm="1">
        <f t="array" ref="E564">_xlfn.XLOOKUP(D564,SKU_Master!A:A,SKU_Master!B:B,"Not on master")</f>
        <v>0</v>
      </c>
      <c r="F564" cm="1">
        <f t="array" ref="F564">_xlfn.XLOOKUP(C564,Account_Master!A:A,Account_Master!B:B,"Not on master")</f>
        <v>0</v>
      </c>
      <c r="G564" cm="1">
        <f t="array" ref="G564">_xlfn.XLOOKUP(C564,Account_Master!A:A,Account_Master!C:C,"Not on master")</f>
        <v>0</v>
      </c>
      <c r="H564" s="6">
        <v>1.5</v>
      </c>
      <c r="I564" s="6">
        <v>1.5</v>
      </c>
      <c r="J564" s="6">
        <f>I564-H564</f>
        <v>0</v>
      </c>
      <c r="K564" s="5">
        <f>IF(H564=0,"",J564/H564)</f>
        <v>0</v>
      </c>
      <c r="L564">
        <f>IF(OR(AND(H564=0,ABS(J564)&gt;=0.01),AND(H564&lt;&gt;0,ABS(K564)&gt;VarianceThreshold)),"Review","OK")</f>
        <v>0</v>
      </c>
      <c r="M564" t="s">
        <v>33</v>
      </c>
    </row>
    <row r="565" spans="1:13">
      <c r="A565" t="s">
        <v>0</v>
      </c>
      <c r="B565" t="s">
        <v>788</v>
      </c>
      <c r="C565" t="s">
        <v>95</v>
      </c>
      <c r="D565" t="s">
        <v>796</v>
      </c>
      <c r="E565" cm="1">
        <f t="array" ref="E565">_xlfn.XLOOKUP(D565,SKU_Master!A:A,SKU_Master!B:B,"Not on master")</f>
        <v>0</v>
      </c>
      <c r="F565" cm="1">
        <f t="array" ref="F565">_xlfn.XLOOKUP(C565,Account_Master!A:A,Account_Master!B:B,"Not on master")</f>
        <v>0</v>
      </c>
      <c r="G565" cm="1">
        <f t="array" ref="G565">_xlfn.XLOOKUP(C565,Account_Master!A:A,Account_Master!C:C,"Not on master")</f>
        <v>0</v>
      </c>
      <c r="H565" s="6">
        <v>0.75</v>
      </c>
      <c r="I565" s="6">
        <v>0.75</v>
      </c>
      <c r="J565" s="6">
        <f>I565-H565</f>
        <v>0</v>
      </c>
      <c r="K565" s="5">
        <f>IF(H565=0,"",J565/H565)</f>
        <v>0</v>
      </c>
      <c r="L565">
        <f>IF(OR(AND(H565=0,ABS(J565)&gt;=0.01),AND(H565&lt;&gt;0,ABS(K565)&gt;VarianceThreshold)),"Review","OK")</f>
        <v>0</v>
      </c>
      <c r="M565" t="s">
        <v>33</v>
      </c>
    </row>
    <row r="566" spans="1:13">
      <c r="A566" t="s">
        <v>0</v>
      </c>
      <c r="B566" t="s">
        <v>788</v>
      </c>
      <c r="C566" t="s">
        <v>440</v>
      </c>
      <c r="D566" t="s">
        <v>797</v>
      </c>
      <c r="E566" cm="1">
        <f t="array" ref="E566">_xlfn.XLOOKUP(D566,SKU_Master!A:A,SKU_Master!B:B,"Not on master")</f>
        <v>0</v>
      </c>
      <c r="F566" cm="1">
        <f t="array" ref="F566">_xlfn.XLOOKUP(C566,Account_Master!A:A,Account_Master!B:B,"Not on master")</f>
        <v>0</v>
      </c>
      <c r="G566" cm="1">
        <f t="array" ref="G566">_xlfn.XLOOKUP(C566,Account_Master!A:A,Account_Master!C:C,"Not on master")</f>
        <v>0</v>
      </c>
      <c r="H566" s="6">
        <v>6</v>
      </c>
      <c r="I566" s="6">
        <v>6</v>
      </c>
      <c r="J566" s="6">
        <f>I566-H566</f>
        <v>0</v>
      </c>
      <c r="K566" s="5">
        <f>IF(H566=0,"",J566/H566)</f>
        <v>0</v>
      </c>
      <c r="L566">
        <f>IF(OR(AND(H566=0,ABS(J566)&gt;=0.01),AND(H566&lt;&gt;0,ABS(K566)&gt;VarianceThreshold)),"Review","OK")</f>
        <v>0</v>
      </c>
      <c r="M566" t="s">
        <v>33</v>
      </c>
    </row>
    <row r="567" spans="1:13">
      <c r="A567" t="s">
        <v>0</v>
      </c>
      <c r="B567" t="s">
        <v>788</v>
      </c>
      <c r="C567" t="s">
        <v>101</v>
      </c>
      <c r="D567" t="s">
        <v>798</v>
      </c>
      <c r="E567" cm="1">
        <f t="array" ref="E567">_xlfn.XLOOKUP(D567,SKU_Master!A:A,SKU_Master!B:B,"Not on master")</f>
        <v>0</v>
      </c>
      <c r="F567" cm="1">
        <f t="array" ref="F567">_xlfn.XLOOKUP(C567,Account_Master!A:A,Account_Master!B:B,"Not on master")</f>
        <v>0</v>
      </c>
      <c r="G567" cm="1">
        <f t="array" ref="G567">_xlfn.XLOOKUP(C567,Account_Master!A:A,Account_Master!C:C,"Not on master")</f>
        <v>0</v>
      </c>
      <c r="H567" s="6">
        <v>18</v>
      </c>
      <c r="I567" s="6">
        <v>18</v>
      </c>
      <c r="J567" s="6">
        <f>I567-H567</f>
        <v>0</v>
      </c>
      <c r="K567" s="5">
        <f>IF(H567=0,"",J567/H567)</f>
        <v>0</v>
      </c>
      <c r="L567">
        <f>IF(OR(AND(H567=0,ABS(J567)&gt;=0.01),AND(H567&lt;&gt;0,ABS(K567)&gt;VarianceThreshold)),"Review","OK")</f>
        <v>0</v>
      </c>
      <c r="M567" t="s">
        <v>33</v>
      </c>
    </row>
    <row r="568" spans="1:13">
      <c r="A568" t="s">
        <v>0</v>
      </c>
      <c r="B568" t="s">
        <v>799</v>
      </c>
      <c r="C568" t="s">
        <v>375</v>
      </c>
      <c r="D568" t="s">
        <v>800</v>
      </c>
      <c r="E568" cm="1">
        <f t="array" ref="E568">_xlfn.XLOOKUP(D568,SKU_Master!A:A,SKU_Master!B:B,"Not on master")</f>
        <v>0</v>
      </c>
      <c r="F568" cm="1">
        <f t="array" ref="F568">_xlfn.XLOOKUP(C568,Account_Master!A:A,Account_Master!B:B,"Not on master")</f>
        <v>0</v>
      </c>
      <c r="G568" cm="1">
        <f t="array" ref="G568">_xlfn.XLOOKUP(C568,Account_Master!A:A,Account_Master!C:C,"Not on master")</f>
        <v>0</v>
      </c>
      <c r="H568" s="6">
        <v>13.35</v>
      </c>
      <c r="I568" s="6">
        <v>13.35</v>
      </c>
      <c r="J568" s="6">
        <f>I568-H568</f>
        <v>0</v>
      </c>
      <c r="K568" s="5">
        <f>IF(H568=0,"",J568/H568)</f>
        <v>0</v>
      </c>
      <c r="L568">
        <f>IF(OR(AND(H568=0,ABS(J568)&gt;=0.01),AND(H568&lt;&gt;0,ABS(K568)&gt;VarianceThreshold)),"Review","OK")</f>
        <v>0</v>
      </c>
      <c r="M568" t="s">
        <v>33</v>
      </c>
    </row>
    <row r="569" spans="1:13">
      <c r="A569" t="s">
        <v>0</v>
      </c>
      <c r="B569" t="s">
        <v>799</v>
      </c>
      <c r="C569" t="s">
        <v>637</v>
      </c>
      <c r="D569" t="s">
        <v>801</v>
      </c>
      <c r="E569" cm="1">
        <f t="array" ref="E569">_xlfn.XLOOKUP(D569,SKU_Master!A:A,SKU_Master!B:B,"Not on master")</f>
        <v>0</v>
      </c>
      <c r="F569" cm="1">
        <f t="array" ref="F569">_xlfn.XLOOKUP(C569,Account_Master!A:A,Account_Master!B:B,"Not on master")</f>
        <v>0</v>
      </c>
      <c r="G569" cm="1">
        <f t="array" ref="G569">_xlfn.XLOOKUP(C569,Account_Master!A:A,Account_Master!C:C,"Not on master")</f>
        <v>0</v>
      </c>
      <c r="H569" s="6">
        <v>9.75</v>
      </c>
      <c r="I569" s="6">
        <v>9.75</v>
      </c>
      <c r="J569" s="6">
        <f>I569-H569</f>
        <v>0</v>
      </c>
      <c r="K569" s="5">
        <f>IF(H569=0,"",J569/H569)</f>
        <v>0</v>
      </c>
      <c r="L569">
        <f>IF(OR(AND(H569=0,ABS(J569)&gt;=0.01),AND(H569&lt;&gt;0,ABS(K569)&gt;VarianceThreshold)),"Review","OK")</f>
        <v>0</v>
      </c>
      <c r="M569" t="s">
        <v>33</v>
      </c>
    </row>
    <row r="570" spans="1:13">
      <c r="A570" t="s">
        <v>0</v>
      </c>
      <c r="B570" t="s">
        <v>799</v>
      </c>
      <c r="C570" t="s">
        <v>257</v>
      </c>
      <c r="D570" t="s">
        <v>802</v>
      </c>
      <c r="E570" cm="1">
        <f t="array" ref="E570">_xlfn.XLOOKUP(D570,SKU_Master!A:A,SKU_Master!B:B,"Not on master")</f>
        <v>0</v>
      </c>
      <c r="F570" cm="1">
        <f t="array" ref="F570">_xlfn.XLOOKUP(C570,Account_Master!A:A,Account_Master!B:B,"Not on master")</f>
        <v>0</v>
      </c>
      <c r="G570" cm="1">
        <f t="array" ref="G570">_xlfn.XLOOKUP(C570,Account_Master!A:A,Account_Master!C:C,"Not on master")</f>
        <v>0</v>
      </c>
      <c r="H570" s="6">
        <v>33.73</v>
      </c>
      <c r="I570" s="6">
        <v>33.73</v>
      </c>
      <c r="J570" s="6">
        <f>I570-H570</f>
        <v>0</v>
      </c>
      <c r="K570" s="5">
        <f>IF(H570=0,"",J570/H570)</f>
        <v>0</v>
      </c>
      <c r="L570">
        <f>IF(OR(AND(H570=0,ABS(J570)&gt;=0.01),AND(H570&lt;&gt;0,ABS(K570)&gt;VarianceThreshold)),"Review","OK")</f>
        <v>0</v>
      </c>
      <c r="M570" t="s">
        <v>33</v>
      </c>
    </row>
    <row r="571" spans="1:13">
      <c r="A571" t="s">
        <v>0</v>
      </c>
      <c r="B571" t="s">
        <v>799</v>
      </c>
      <c r="C571" t="s">
        <v>84</v>
      </c>
      <c r="D571" t="s">
        <v>803</v>
      </c>
      <c r="E571" cm="1">
        <f t="array" ref="E571">_xlfn.XLOOKUP(D571,SKU_Master!A:A,SKU_Master!B:B,"Not on master")</f>
        <v>0</v>
      </c>
      <c r="F571" cm="1">
        <f t="array" ref="F571">_xlfn.XLOOKUP(C571,Account_Master!A:A,Account_Master!B:B,"Not on master")</f>
        <v>0</v>
      </c>
      <c r="G571" cm="1">
        <f t="array" ref="G571">_xlfn.XLOOKUP(C571,Account_Master!A:A,Account_Master!C:C,"Not on master")</f>
        <v>0</v>
      </c>
      <c r="H571" s="6">
        <v>45</v>
      </c>
      <c r="I571" s="6">
        <v>45</v>
      </c>
      <c r="J571" s="6">
        <f>I571-H571</f>
        <v>0</v>
      </c>
      <c r="K571" s="5">
        <f>IF(H571=0,"",J571/H571)</f>
        <v>0</v>
      </c>
      <c r="L571">
        <f>IF(OR(AND(H571=0,ABS(J571)&gt;=0.01),AND(H571&lt;&gt;0,ABS(K571)&gt;VarianceThreshold)),"Review","OK")</f>
        <v>0</v>
      </c>
      <c r="M571" t="s">
        <v>33</v>
      </c>
    </row>
    <row r="572" spans="1:13">
      <c r="A572" t="s">
        <v>0</v>
      </c>
      <c r="B572" t="s">
        <v>799</v>
      </c>
      <c r="C572" t="s">
        <v>59</v>
      </c>
      <c r="D572" t="s">
        <v>804</v>
      </c>
      <c r="E572" cm="1">
        <f t="array" ref="E572">_xlfn.XLOOKUP(D572,SKU_Master!A:A,SKU_Master!B:B,"Not on master")</f>
        <v>0</v>
      </c>
      <c r="F572" cm="1">
        <f t="array" ref="F572">_xlfn.XLOOKUP(C572,Account_Master!A:A,Account_Master!B:B,"Not on master")</f>
        <v>0</v>
      </c>
      <c r="G572" cm="1">
        <f t="array" ref="G572">_xlfn.XLOOKUP(C572,Account_Master!A:A,Account_Master!C:C,"Not on master")</f>
        <v>0</v>
      </c>
      <c r="H572" s="6">
        <v>9</v>
      </c>
      <c r="I572" s="6">
        <v>9</v>
      </c>
      <c r="J572" s="6">
        <f>I572-H572</f>
        <v>0</v>
      </c>
      <c r="K572" s="5">
        <f>IF(H572=0,"",J572/H572)</f>
        <v>0</v>
      </c>
      <c r="L572">
        <f>IF(OR(AND(H572=0,ABS(J572)&gt;=0.01),AND(H572&lt;&gt;0,ABS(K572)&gt;VarianceThreshold)),"Review","OK")</f>
        <v>0</v>
      </c>
      <c r="M572" t="s">
        <v>33</v>
      </c>
    </row>
    <row r="573" spans="1:13">
      <c r="A573" t="s">
        <v>0</v>
      </c>
      <c r="B573" t="s">
        <v>805</v>
      </c>
      <c r="C573" t="s">
        <v>320</v>
      </c>
      <c r="D573" t="s">
        <v>806</v>
      </c>
      <c r="E573" cm="1">
        <f t="array" ref="E573">_xlfn.XLOOKUP(D573,SKU_Master!A:A,SKU_Master!B:B,"Not on master")</f>
        <v>0</v>
      </c>
      <c r="F573" cm="1">
        <f t="array" ref="F573">_xlfn.XLOOKUP(C573,Account_Master!A:A,Account_Master!B:B,"Not on master")</f>
        <v>0</v>
      </c>
      <c r="G573" cm="1">
        <f t="array" ref="G573">_xlfn.XLOOKUP(C573,Account_Master!A:A,Account_Master!C:C,"Not on master")</f>
        <v>0</v>
      </c>
      <c r="H573" s="6">
        <v>393.75</v>
      </c>
      <c r="I573" s="6">
        <v>393.75</v>
      </c>
      <c r="J573" s="6">
        <f>I573-H573</f>
        <v>0</v>
      </c>
      <c r="K573" s="5">
        <f>IF(H573=0,"",J573/H573)</f>
        <v>0</v>
      </c>
      <c r="L573">
        <f>IF(OR(AND(H573=0,ABS(J573)&gt;=0.01),AND(H573&lt;&gt;0,ABS(K573)&gt;VarianceThreshold)),"Review","OK")</f>
        <v>0</v>
      </c>
      <c r="M573" t="s">
        <v>33</v>
      </c>
    </row>
    <row r="574" spans="1:13">
      <c r="A574" t="s">
        <v>0</v>
      </c>
      <c r="B574" t="s">
        <v>805</v>
      </c>
      <c r="C574" t="s">
        <v>45</v>
      </c>
      <c r="D574" t="s">
        <v>807</v>
      </c>
      <c r="E574" cm="1">
        <f t="array" ref="E574">_xlfn.XLOOKUP(D574,SKU_Master!A:A,SKU_Master!B:B,"Not on master")</f>
        <v>0</v>
      </c>
      <c r="F574" cm="1">
        <f t="array" ref="F574">_xlfn.XLOOKUP(C574,Account_Master!A:A,Account_Master!B:B,"Not on master")</f>
        <v>0</v>
      </c>
      <c r="G574" cm="1">
        <f t="array" ref="G574">_xlfn.XLOOKUP(C574,Account_Master!A:A,Account_Master!C:C,"Not on master")</f>
        <v>0</v>
      </c>
      <c r="H574" s="6">
        <v>171.5</v>
      </c>
      <c r="I574" s="6">
        <v>171.5</v>
      </c>
      <c r="J574" s="6">
        <f>I574-H574</f>
        <v>0</v>
      </c>
      <c r="K574" s="5">
        <f>IF(H574=0,"",J574/H574)</f>
        <v>0</v>
      </c>
      <c r="L574">
        <f>IF(OR(AND(H574=0,ABS(J574)&gt;=0.01),AND(H574&lt;&gt;0,ABS(K574)&gt;VarianceThreshold)),"Review","OK")</f>
        <v>0</v>
      </c>
      <c r="M574" t="s">
        <v>33</v>
      </c>
    </row>
    <row r="575" spans="1:13">
      <c r="A575" t="s">
        <v>0</v>
      </c>
      <c r="B575" t="s">
        <v>805</v>
      </c>
      <c r="C575" t="s">
        <v>412</v>
      </c>
      <c r="D575" t="s">
        <v>808</v>
      </c>
      <c r="E575" cm="1">
        <f t="array" ref="E575">_xlfn.XLOOKUP(D575,SKU_Master!A:A,SKU_Master!B:B,"Not on master")</f>
        <v>0</v>
      </c>
      <c r="F575" cm="1">
        <f t="array" ref="F575">_xlfn.XLOOKUP(C575,Account_Master!A:A,Account_Master!B:B,"Not on master")</f>
        <v>0</v>
      </c>
      <c r="G575" cm="1">
        <f t="array" ref="G575">_xlfn.XLOOKUP(C575,Account_Master!A:A,Account_Master!C:C,"Not on master")</f>
        <v>0</v>
      </c>
      <c r="H575" s="6">
        <v>14.4</v>
      </c>
      <c r="I575" s="6">
        <v>14.4</v>
      </c>
      <c r="J575" s="6">
        <f>I575-H575</f>
        <v>0</v>
      </c>
      <c r="K575" s="5">
        <f>IF(H575=0,"",J575/H575)</f>
        <v>0</v>
      </c>
      <c r="L575">
        <f>IF(OR(AND(H575=0,ABS(J575)&gt;=0.01),AND(H575&lt;&gt;0,ABS(K575)&gt;VarianceThreshold)),"Review","OK")</f>
        <v>0</v>
      </c>
      <c r="M575" t="s">
        <v>33</v>
      </c>
    </row>
    <row r="576" spans="1:13">
      <c r="A576" t="s">
        <v>0</v>
      </c>
      <c r="B576" t="s">
        <v>805</v>
      </c>
      <c r="C576" t="s">
        <v>48</v>
      </c>
      <c r="D576" t="s">
        <v>809</v>
      </c>
      <c r="E576" cm="1">
        <f t="array" ref="E576">_xlfn.XLOOKUP(D576,SKU_Master!A:A,SKU_Master!B:B,"Not on master")</f>
        <v>0</v>
      </c>
      <c r="F576" cm="1">
        <f t="array" ref="F576">_xlfn.XLOOKUP(C576,Account_Master!A:A,Account_Master!B:B,"Not on master")</f>
        <v>0</v>
      </c>
      <c r="G576" cm="1">
        <f t="array" ref="G576">_xlfn.XLOOKUP(C576,Account_Master!A:A,Account_Master!C:C,"Not on master")</f>
        <v>0</v>
      </c>
      <c r="H576" s="6">
        <v>0.75</v>
      </c>
      <c r="I576" s="6">
        <v>0.75</v>
      </c>
      <c r="J576" s="6">
        <f>I576-H576</f>
        <v>0</v>
      </c>
      <c r="K576" s="5">
        <f>IF(H576=0,"",J576/H576)</f>
        <v>0</v>
      </c>
      <c r="L576">
        <f>IF(OR(AND(H576=0,ABS(J576)&gt;=0.01),AND(H576&lt;&gt;0,ABS(K576)&gt;VarianceThreshold)),"Review","OK")</f>
        <v>0</v>
      </c>
      <c r="M576" t="s">
        <v>33</v>
      </c>
    </row>
    <row r="577" spans="1:13">
      <c r="A577" t="s">
        <v>0</v>
      </c>
      <c r="B577" t="s">
        <v>805</v>
      </c>
      <c r="C577" t="s">
        <v>77</v>
      </c>
      <c r="D577" t="s">
        <v>810</v>
      </c>
      <c r="E577" cm="1">
        <f t="array" ref="E577">_xlfn.XLOOKUP(D577,SKU_Master!A:A,SKU_Master!B:B,"Not on master")</f>
        <v>0</v>
      </c>
      <c r="F577" cm="1">
        <f t="array" ref="F577">_xlfn.XLOOKUP(C577,Account_Master!A:A,Account_Master!B:B,"Not on master")</f>
        <v>0</v>
      </c>
      <c r="G577" cm="1">
        <f t="array" ref="G577">_xlfn.XLOOKUP(C577,Account_Master!A:A,Account_Master!C:C,"Not on master")</f>
        <v>0</v>
      </c>
      <c r="H577" s="6">
        <v>9</v>
      </c>
      <c r="I577" s="6">
        <v>9</v>
      </c>
      <c r="J577" s="6">
        <f>I577-H577</f>
        <v>0</v>
      </c>
      <c r="K577" s="5">
        <f>IF(H577=0,"",J577/H577)</f>
        <v>0</v>
      </c>
      <c r="L577">
        <f>IF(OR(AND(H577=0,ABS(J577)&gt;=0.01),AND(H577&lt;&gt;0,ABS(K577)&gt;VarianceThreshold)),"Review","OK")</f>
        <v>0</v>
      </c>
      <c r="M577" t="s">
        <v>33</v>
      </c>
    </row>
    <row r="578" spans="1:13">
      <c r="A578" t="s">
        <v>0</v>
      </c>
      <c r="B578" t="s">
        <v>805</v>
      </c>
      <c r="C578" t="s">
        <v>82</v>
      </c>
      <c r="D578" t="s">
        <v>811</v>
      </c>
      <c r="E578" cm="1">
        <f t="array" ref="E578">_xlfn.XLOOKUP(D578,SKU_Master!A:A,SKU_Master!B:B,"Not on master")</f>
        <v>0</v>
      </c>
      <c r="F578" cm="1">
        <f t="array" ref="F578">_xlfn.XLOOKUP(C578,Account_Master!A:A,Account_Master!B:B,"Not on master")</f>
        <v>0</v>
      </c>
      <c r="G578" cm="1">
        <f t="array" ref="G578">_xlfn.XLOOKUP(C578,Account_Master!A:A,Account_Master!C:C,"Not on master")</f>
        <v>0</v>
      </c>
      <c r="H578" s="6">
        <v>63</v>
      </c>
      <c r="I578" s="6">
        <v>63</v>
      </c>
      <c r="J578" s="6">
        <f>I578-H578</f>
        <v>0</v>
      </c>
      <c r="K578" s="5">
        <f>IF(H578=0,"",J578/H578)</f>
        <v>0</v>
      </c>
      <c r="L578">
        <f>IF(OR(AND(H578=0,ABS(J578)&gt;=0.01),AND(H578&lt;&gt;0,ABS(K578)&gt;VarianceThreshold)),"Review","OK")</f>
        <v>0</v>
      </c>
      <c r="M578" t="s">
        <v>33</v>
      </c>
    </row>
    <row r="579" spans="1:13">
      <c r="A579" t="s">
        <v>0</v>
      </c>
      <c r="B579" t="s">
        <v>805</v>
      </c>
      <c r="C579" t="s">
        <v>377</v>
      </c>
      <c r="D579" t="s">
        <v>812</v>
      </c>
      <c r="E579" cm="1">
        <f t="array" ref="E579">_xlfn.XLOOKUP(D579,SKU_Master!A:A,SKU_Master!B:B,"Not on master")</f>
        <v>0</v>
      </c>
      <c r="F579" cm="1">
        <f t="array" ref="F579">_xlfn.XLOOKUP(C579,Account_Master!A:A,Account_Master!B:B,"Not on master")</f>
        <v>0</v>
      </c>
      <c r="G579" cm="1">
        <f t="array" ref="G579">_xlfn.XLOOKUP(C579,Account_Master!A:A,Account_Master!C:C,"Not on master")</f>
        <v>0</v>
      </c>
      <c r="H579" s="6">
        <v>10.5</v>
      </c>
      <c r="I579" s="6">
        <v>10.5</v>
      </c>
      <c r="J579" s="6">
        <f>I579-H579</f>
        <v>0</v>
      </c>
      <c r="K579" s="5">
        <f>IF(H579=0,"",J579/H579)</f>
        <v>0</v>
      </c>
      <c r="L579">
        <f>IF(OR(AND(H579=0,ABS(J579)&gt;=0.01),AND(H579&lt;&gt;0,ABS(K579)&gt;VarianceThreshold)),"Review","OK")</f>
        <v>0</v>
      </c>
      <c r="M579" t="s">
        <v>33</v>
      </c>
    </row>
    <row r="580" spans="1:13">
      <c r="A580" t="s">
        <v>0</v>
      </c>
      <c r="B580" t="s">
        <v>805</v>
      </c>
      <c r="C580" t="s">
        <v>110</v>
      </c>
      <c r="D580" t="s">
        <v>813</v>
      </c>
      <c r="E580" cm="1">
        <f t="array" ref="E580">_xlfn.XLOOKUP(D580,SKU_Master!A:A,SKU_Master!B:B,"Not on master")</f>
        <v>0</v>
      </c>
      <c r="F580" cm="1">
        <f t="array" ref="F580">_xlfn.XLOOKUP(C580,Account_Master!A:A,Account_Master!B:B,"Not on master")</f>
        <v>0</v>
      </c>
      <c r="G580" cm="1">
        <f t="array" ref="G580">_xlfn.XLOOKUP(C580,Account_Master!A:A,Account_Master!C:C,"Not on master")</f>
        <v>0</v>
      </c>
      <c r="H580" s="6">
        <v>13.5</v>
      </c>
      <c r="I580" s="6">
        <v>13.5</v>
      </c>
      <c r="J580" s="6">
        <f>I580-H580</f>
        <v>0</v>
      </c>
      <c r="K580" s="5">
        <f>IF(H580=0,"",J580/H580)</f>
        <v>0</v>
      </c>
      <c r="L580">
        <f>IF(OR(AND(H580=0,ABS(J580)&gt;=0.01),AND(H580&lt;&gt;0,ABS(K580)&gt;VarianceThreshold)),"Review","OK")</f>
        <v>0</v>
      </c>
      <c r="M580" t="s">
        <v>33</v>
      </c>
    </row>
    <row r="581" spans="1:13">
      <c r="A581" t="s">
        <v>0</v>
      </c>
      <c r="B581" t="s">
        <v>814</v>
      </c>
      <c r="C581" t="s">
        <v>495</v>
      </c>
      <c r="D581" t="s">
        <v>815</v>
      </c>
      <c r="E581" cm="1">
        <f t="array" ref="E581">_xlfn.XLOOKUP(D581,SKU_Master!A:A,SKU_Master!B:B,"Not on master")</f>
        <v>0</v>
      </c>
      <c r="F581" cm="1">
        <f t="array" ref="F581">_xlfn.XLOOKUP(C581,Account_Master!A:A,Account_Master!B:B,"Not on master")</f>
        <v>0</v>
      </c>
      <c r="G581" cm="1">
        <f t="array" ref="G581">_xlfn.XLOOKUP(C581,Account_Master!A:A,Account_Master!C:C,"Not on master")</f>
        <v>0</v>
      </c>
      <c r="H581" s="6">
        <v>4.5</v>
      </c>
      <c r="I581" s="6">
        <v>4.5</v>
      </c>
      <c r="J581" s="6">
        <f>I581-H581</f>
        <v>0</v>
      </c>
      <c r="K581" s="5">
        <f>IF(H581=0,"",J581/H581)</f>
        <v>0</v>
      </c>
      <c r="L581">
        <f>IF(OR(AND(H581=0,ABS(J581)&gt;=0.01),AND(H581&lt;&gt;0,ABS(K581)&gt;VarianceThreshold)),"Review","OK")</f>
        <v>0</v>
      </c>
      <c r="M581" t="s">
        <v>33</v>
      </c>
    </row>
    <row r="582" spans="1:13">
      <c r="A582" t="s">
        <v>0</v>
      </c>
      <c r="B582" t="s">
        <v>814</v>
      </c>
      <c r="C582" t="s">
        <v>152</v>
      </c>
      <c r="D582" t="s">
        <v>816</v>
      </c>
      <c r="E582" cm="1">
        <f t="array" ref="E582">_xlfn.XLOOKUP(D582,SKU_Master!A:A,SKU_Master!B:B,"Not on master")</f>
        <v>0</v>
      </c>
      <c r="F582" cm="1">
        <f t="array" ref="F582">_xlfn.XLOOKUP(C582,Account_Master!A:A,Account_Master!B:B,"Not on master")</f>
        <v>0</v>
      </c>
      <c r="G582" cm="1">
        <f t="array" ref="G582">_xlfn.XLOOKUP(C582,Account_Master!A:A,Account_Master!C:C,"Not on master")</f>
        <v>0</v>
      </c>
      <c r="H582" s="6">
        <v>21</v>
      </c>
      <c r="I582" s="6">
        <v>21</v>
      </c>
      <c r="J582" s="6">
        <f>I582-H582</f>
        <v>0</v>
      </c>
      <c r="K582" s="5">
        <f>IF(H582=0,"",J582/H582)</f>
        <v>0</v>
      </c>
      <c r="L582">
        <f>IF(OR(AND(H582=0,ABS(J582)&gt;=0.01),AND(H582&lt;&gt;0,ABS(K582)&gt;VarianceThreshold)),"Review","OK")</f>
        <v>0</v>
      </c>
      <c r="M582" t="s">
        <v>33</v>
      </c>
    </row>
    <row r="583" spans="1:13">
      <c r="A583" t="s">
        <v>0</v>
      </c>
      <c r="B583" t="s">
        <v>814</v>
      </c>
      <c r="C583" t="s">
        <v>247</v>
      </c>
      <c r="D583" t="s">
        <v>817</v>
      </c>
      <c r="E583" cm="1">
        <f t="array" ref="E583">_xlfn.XLOOKUP(D583,SKU_Master!A:A,SKU_Master!B:B,"Not on master")</f>
        <v>0</v>
      </c>
      <c r="F583" cm="1">
        <f t="array" ref="F583">_xlfn.XLOOKUP(C583,Account_Master!A:A,Account_Master!B:B,"Not on master")</f>
        <v>0</v>
      </c>
      <c r="G583" cm="1">
        <f t="array" ref="G583">_xlfn.XLOOKUP(C583,Account_Master!A:A,Account_Master!C:C,"Not on master")</f>
        <v>0</v>
      </c>
      <c r="H583" s="6">
        <v>13.5</v>
      </c>
      <c r="I583" s="6">
        <v>13.5</v>
      </c>
      <c r="J583" s="6">
        <f>I583-H583</f>
        <v>0</v>
      </c>
      <c r="K583" s="5">
        <f>IF(H583=0,"",J583/H583)</f>
        <v>0</v>
      </c>
      <c r="L583">
        <f>IF(OR(AND(H583=0,ABS(J583)&gt;=0.01),AND(H583&lt;&gt;0,ABS(K583)&gt;VarianceThreshold)),"Review","OK")</f>
        <v>0</v>
      </c>
      <c r="M583" t="s">
        <v>33</v>
      </c>
    </row>
    <row r="584" spans="1:13">
      <c r="A584" t="s">
        <v>0</v>
      </c>
      <c r="B584" t="s">
        <v>814</v>
      </c>
      <c r="C584" t="s">
        <v>34</v>
      </c>
      <c r="D584" t="s">
        <v>818</v>
      </c>
      <c r="E584" cm="1">
        <f t="array" ref="E584">_xlfn.XLOOKUP(D584,SKU_Master!A:A,SKU_Master!B:B,"Not on master")</f>
        <v>0</v>
      </c>
      <c r="F584" cm="1">
        <f t="array" ref="F584">_xlfn.XLOOKUP(C584,Account_Master!A:A,Account_Master!B:B,"Not on master")</f>
        <v>0</v>
      </c>
      <c r="G584" cm="1">
        <f t="array" ref="G584">_xlfn.XLOOKUP(C584,Account_Master!A:A,Account_Master!C:C,"Not on master")</f>
        <v>0</v>
      </c>
      <c r="H584" s="6">
        <v>10.5</v>
      </c>
      <c r="I584" s="6">
        <v>10.5</v>
      </c>
      <c r="J584" s="6">
        <f>I584-H584</f>
        <v>0</v>
      </c>
      <c r="K584" s="5">
        <f>IF(H584=0,"",J584/H584)</f>
        <v>0</v>
      </c>
      <c r="L584">
        <f>IF(OR(AND(H584=0,ABS(J584)&gt;=0.01),AND(H584&lt;&gt;0,ABS(K584)&gt;VarianceThreshold)),"Review","OK")</f>
        <v>0</v>
      </c>
      <c r="M584" t="s">
        <v>33</v>
      </c>
    </row>
    <row r="585" spans="1:13">
      <c r="A585" t="s">
        <v>0</v>
      </c>
      <c r="B585" t="s">
        <v>814</v>
      </c>
      <c r="C585" t="s">
        <v>77</v>
      </c>
      <c r="D585" t="s">
        <v>819</v>
      </c>
      <c r="E585" cm="1">
        <f t="array" ref="E585">_xlfn.XLOOKUP(D585,SKU_Master!A:A,SKU_Master!B:B,"Not on master")</f>
        <v>0</v>
      </c>
      <c r="F585" cm="1">
        <f t="array" ref="F585">_xlfn.XLOOKUP(C585,Account_Master!A:A,Account_Master!B:B,"Not on master")</f>
        <v>0</v>
      </c>
      <c r="G585" cm="1">
        <f t="array" ref="G585">_xlfn.XLOOKUP(C585,Account_Master!A:A,Account_Master!C:C,"Not on master")</f>
        <v>0</v>
      </c>
      <c r="H585" s="6">
        <v>21</v>
      </c>
      <c r="I585" s="6">
        <v>21</v>
      </c>
      <c r="J585" s="6">
        <f>I585-H585</f>
        <v>0</v>
      </c>
      <c r="K585" s="5">
        <f>IF(H585=0,"",J585/H585)</f>
        <v>0</v>
      </c>
      <c r="L585">
        <f>IF(OR(AND(H585=0,ABS(J585)&gt;=0.01),AND(H585&lt;&gt;0,ABS(K585)&gt;VarianceThreshold)),"Review","OK")</f>
        <v>0</v>
      </c>
      <c r="M585" t="s">
        <v>33</v>
      </c>
    </row>
    <row r="586" spans="1:13">
      <c r="A586" t="s">
        <v>0</v>
      </c>
      <c r="B586" t="s">
        <v>814</v>
      </c>
      <c r="C586" t="s">
        <v>126</v>
      </c>
      <c r="D586" t="s">
        <v>820</v>
      </c>
      <c r="E586" cm="1">
        <f t="array" ref="E586">_xlfn.XLOOKUP(D586,SKU_Master!A:A,SKU_Master!B:B,"Not on master")</f>
        <v>0</v>
      </c>
      <c r="F586" cm="1">
        <f t="array" ref="F586">_xlfn.XLOOKUP(C586,Account_Master!A:A,Account_Master!B:B,"Not on master")</f>
        <v>0</v>
      </c>
      <c r="G586" cm="1">
        <f t="array" ref="G586">_xlfn.XLOOKUP(C586,Account_Master!A:A,Account_Master!C:C,"Not on master")</f>
        <v>0</v>
      </c>
      <c r="H586" s="6">
        <v>9</v>
      </c>
      <c r="I586" s="6">
        <v>9</v>
      </c>
      <c r="J586" s="6">
        <f>I586-H586</f>
        <v>0</v>
      </c>
      <c r="K586" s="5">
        <f>IF(H586=0,"",J586/H586)</f>
        <v>0</v>
      </c>
      <c r="L586">
        <f>IF(OR(AND(H586=0,ABS(J586)&gt;=0.01),AND(H586&lt;&gt;0,ABS(K586)&gt;VarianceThreshold)),"Review","OK")</f>
        <v>0</v>
      </c>
      <c r="M586" t="s">
        <v>33</v>
      </c>
    </row>
    <row r="587" spans="1:13">
      <c r="A587" t="s">
        <v>0</v>
      </c>
      <c r="B587" t="s">
        <v>814</v>
      </c>
      <c r="C587" t="s">
        <v>257</v>
      </c>
      <c r="D587" t="s">
        <v>821</v>
      </c>
      <c r="E587" cm="1">
        <f t="array" ref="E587">_xlfn.XLOOKUP(D587,SKU_Master!A:A,SKU_Master!B:B,"Not on master")</f>
        <v>0</v>
      </c>
      <c r="F587" cm="1">
        <f t="array" ref="F587">_xlfn.XLOOKUP(C587,Account_Master!A:A,Account_Master!B:B,"Not on master")</f>
        <v>0</v>
      </c>
      <c r="G587" cm="1">
        <f t="array" ref="G587">_xlfn.XLOOKUP(C587,Account_Master!A:A,Account_Master!C:C,"Not on master")</f>
        <v>0</v>
      </c>
      <c r="H587" s="6">
        <v>10.12</v>
      </c>
      <c r="I587" s="6">
        <v>10.12</v>
      </c>
      <c r="J587" s="6">
        <f>I587-H587</f>
        <v>0</v>
      </c>
      <c r="K587" s="5">
        <f>IF(H587=0,"",J587/H587)</f>
        <v>0</v>
      </c>
      <c r="L587">
        <f>IF(OR(AND(H587=0,ABS(J587)&gt;=0.01),AND(H587&lt;&gt;0,ABS(K587)&gt;VarianceThreshold)),"Review","OK")</f>
        <v>0</v>
      </c>
      <c r="M587" t="s">
        <v>33</v>
      </c>
    </row>
    <row r="588" spans="1:13">
      <c r="A588" t="s">
        <v>0</v>
      </c>
      <c r="B588" t="s">
        <v>814</v>
      </c>
      <c r="C588" t="s">
        <v>110</v>
      </c>
      <c r="D588" t="s">
        <v>822</v>
      </c>
      <c r="E588" cm="1">
        <f t="array" ref="E588">_xlfn.XLOOKUP(D588,SKU_Master!A:A,SKU_Master!B:B,"Not on master")</f>
        <v>0</v>
      </c>
      <c r="F588" cm="1">
        <f t="array" ref="F588">_xlfn.XLOOKUP(C588,Account_Master!A:A,Account_Master!B:B,"Not on master")</f>
        <v>0</v>
      </c>
      <c r="G588" cm="1">
        <f t="array" ref="G588">_xlfn.XLOOKUP(C588,Account_Master!A:A,Account_Master!C:C,"Not on master")</f>
        <v>0</v>
      </c>
      <c r="H588" s="6">
        <v>9</v>
      </c>
      <c r="I588" s="6">
        <v>9</v>
      </c>
      <c r="J588" s="6">
        <f>I588-H588</f>
        <v>0</v>
      </c>
      <c r="K588" s="5">
        <f>IF(H588=0,"",J588/H588)</f>
        <v>0</v>
      </c>
      <c r="L588">
        <f>IF(OR(AND(H588=0,ABS(J588)&gt;=0.01),AND(H588&lt;&gt;0,ABS(K588)&gt;VarianceThreshold)),"Review","OK")</f>
        <v>0</v>
      </c>
      <c r="M588" t="s">
        <v>33</v>
      </c>
    </row>
    <row r="589" spans="1:13">
      <c r="A589" t="s">
        <v>0</v>
      </c>
      <c r="B589" t="s">
        <v>814</v>
      </c>
      <c r="C589" t="s">
        <v>82</v>
      </c>
      <c r="D589" t="s">
        <v>823</v>
      </c>
      <c r="E589" cm="1">
        <f t="array" ref="E589">_xlfn.XLOOKUP(D589,SKU_Master!A:A,SKU_Master!B:B,"Not on master")</f>
        <v>0</v>
      </c>
      <c r="F589" cm="1">
        <f t="array" ref="F589">_xlfn.XLOOKUP(C589,Account_Master!A:A,Account_Master!B:B,"Not on master")</f>
        <v>0</v>
      </c>
      <c r="G589" cm="1">
        <f t="array" ref="G589">_xlfn.XLOOKUP(C589,Account_Master!A:A,Account_Master!C:C,"Not on master")</f>
        <v>0</v>
      </c>
      <c r="H589" s="6">
        <v>46.5</v>
      </c>
      <c r="I589" s="6">
        <v>46.5</v>
      </c>
      <c r="J589" s="6">
        <f>I589-H589</f>
        <v>0</v>
      </c>
      <c r="K589" s="5">
        <f>IF(H589=0,"",J589/H589)</f>
        <v>0</v>
      </c>
      <c r="L589">
        <f>IF(OR(AND(H589=0,ABS(J589)&gt;=0.01),AND(H589&lt;&gt;0,ABS(K589)&gt;VarianceThreshold)),"Review","OK")</f>
        <v>0</v>
      </c>
      <c r="M589" t="s">
        <v>33</v>
      </c>
    </row>
    <row r="590" spans="1:13">
      <c r="A590" t="s">
        <v>0</v>
      </c>
      <c r="B590" t="s">
        <v>814</v>
      </c>
      <c r="C590" t="s">
        <v>317</v>
      </c>
      <c r="D590" t="s">
        <v>824</v>
      </c>
      <c r="E590" cm="1">
        <f t="array" ref="E590">_xlfn.XLOOKUP(D590,SKU_Master!A:A,SKU_Master!B:B,"Not on master")</f>
        <v>0</v>
      </c>
      <c r="F590" cm="1">
        <f t="array" ref="F590">_xlfn.XLOOKUP(C590,Account_Master!A:A,Account_Master!B:B,"Not on master")</f>
        <v>0</v>
      </c>
      <c r="G590" cm="1">
        <f t="array" ref="G590">_xlfn.XLOOKUP(C590,Account_Master!A:A,Account_Master!C:C,"Not on master")</f>
        <v>0</v>
      </c>
      <c r="H590" s="6">
        <v>24.75</v>
      </c>
      <c r="I590" s="6">
        <v>24.75</v>
      </c>
      <c r="J590" s="6">
        <f>I590-H590</f>
        <v>0</v>
      </c>
      <c r="K590" s="5">
        <f>IF(H590=0,"",J590/H590)</f>
        <v>0</v>
      </c>
      <c r="L590">
        <f>IF(OR(AND(H590=0,ABS(J590)&gt;=0.01),AND(H590&lt;&gt;0,ABS(K590)&gt;VarianceThreshold)),"Review","OK")</f>
        <v>0</v>
      </c>
      <c r="M590" t="s">
        <v>33</v>
      </c>
    </row>
    <row r="591" spans="1:13">
      <c r="A591" t="s">
        <v>0</v>
      </c>
      <c r="B591" t="s">
        <v>814</v>
      </c>
      <c r="C591" t="s">
        <v>220</v>
      </c>
      <c r="D591" t="s">
        <v>825</v>
      </c>
      <c r="E591" cm="1">
        <f t="array" ref="E591">_xlfn.XLOOKUP(D591,SKU_Master!A:A,SKU_Master!B:B,"Not on master")</f>
        <v>0</v>
      </c>
      <c r="F591" cm="1">
        <f t="array" ref="F591">_xlfn.XLOOKUP(C591,Account_Master!A:A,Account_Master!B:B,"Not on master")</f>
        <v>0</v>
      </c>
      <c r="G591" cm="1">
        <f t="array" ref="G591">_xlfn.XLOOKUP(C591,Account_Master!A:A,Account_Master!C:C,"Not on master")</f>
        <v>0</v>
      </c>
      <c r="H591" s="6">
        <v>5.25</v>
      </c>
      <c r="I591" s="6">
        <v>5.25</v>
      </c>
      <c r="J591" s="6">
        <f>I591-H591</f>
        <v>0</v>
      </c>
      <c r="K591" s="5">
        <f>IF(H591=0,"",J591/H591)</f>
        <v>0</v>
      </c>
      <c r="L591">
        <f>IF(OR(AND(H591=0,ABS(J591)&gt;=0.01),AND(H591&lt;&gt;0,ABS(K591)&gt;VarianceThreshold)),"Review","OK")</f>
        <v>0</v>
      </c>
      <c r="M591" t="s">
        <v>33</v>
      </c>
    </row>
    <row r="592" spans="1:13">
      <c r="A592" t="s">
        <v>0</v>
      </c>
      <c r="B592" t="s">
        <v>814</v>
      </c>
      <c r="C592" t="s">
        <v>224</v>
      </c>
      <c r="D592" t="s">
        <v>826</v>
      </c>
      <c r="E592" cm="1">
        <f t="array" ref="E592">_xlfn.XLOOKUP(D592,SKU_Master!A:A,SKU_Master!B:B,"Not on master")</f>
        <v>0</v>
      </c>
      <c r="F592" cm="1">
        <f t="array" ref="F592">_xlfn.XLOOKUP(C592,Account_Master!A:A,Account_Master!B:B,"Not on master")</f>
        <v>0</v>
      </c>
      <c r="G592" cm="1">
        <f t="array" ref="G592">_xlfn.XLOOKUP(C592,Account_Master!A:A,Account_Master!C:C,"Not on master")</f>
        <v>0</v>
      </c>
      <c r="H592" s="6">
        <v>10.5</v>
      </c>
      <c r="I592" s="6">
        <v>10.5</v>
      </c>
      <c r="J592" s="6">
        <f>I592-H592</f>
        <v>0</v>
      </c>
      <c r="K592" s="5">
        <f>IF(H592=0,"",J592/H592)</f>
        <v>0</v>
      </c>
      <c r="L592">
        <f>IF(OR(AND(H592=0,ABS(J592)&gt;=0.01),AND(H592&lt;&gt;0,ABS(K592)&gt;VarianceThreshold)),"Review","OK")</f>
        <v>0</v>
      </c>
      <c r="M592" t="s">
        <v>33</v>
      </c>
    </row>
    <row r="593" spans="1:13">
      <c r="A593" t="s">
        <v>0</v>
      </c>
      <c r="B593" t="s">
        <v>814</v>
      </c>
      <c r="C593" t="s">
        <v>77</v>
      </c>
      <c r="D593" t="s">
        <v>827</v>
      </c>
      <c r="E593" cm="1">
        <f t="array" ref="E593">_xlfn.XLOOKUP(D593,SKU_Master!A:A,SKU_Master!B:B,"Not on master")</f>
        <v>0</v>
      </c>
      <c r="F593" cm="1">
        <f t="array" ref="F593">_xlfn.XLOOKUP(C593,Account_Master!A:A,Account_Master!B:B,"Not on master")</f>
        <v>0</v>
      </c>
      <c r="G593" cm="1">
        <f t="array" ref="G593">_xlfn.XLOOKUP(C593,Account_Master!A:A,Account_Master!C:C,"Not on master")</f>
        <v>0</v>
      </c>
      <c r="H593" s="6">
        <v>4.5</v>
      </c>
      <c r="I593" s="6">
        <v>4.5</v>
      </c>
      <c r="J593" s="6">
        <f>I593-H593</f>
        <v>0</v>
      </c>
      <c r="K593" s="5">
        <f>IF(H593=0,"",J593/H593)</f>
        <v>0</v>
      </c>
      <c r="L593">
        <f>IF(OR(AND(H593=0,ABS(J593)&gt;=0.01),AND(H593&lt;&gt;0,ABS(K593)&gt;VarianceThreshold)),"Review","OK")</f>
        <v>0</v>
      </c>
      <c r="M593" t="s">
        <v>33</v>
      </c>
    </row>
    <row r="594" spans="1:13">
      <c r="A594" t="s">
        <v>0</v>
      </c>
      <c r="B594" t="s">
        <v>814</v>
      </c>
      <c r="C594" t="s">
        <v>84</v>
      </c>
      <c r="D594" t="s">
        <v>828</v>
      </c>
      <c r="E594" cm="1">
        <f t="array" ref="E594">_xlfn.XLOOKUP(D594,SKU_Master!A:A,SKU_Master!B:B,"Not on master")</f>
        <v>0</v>
      </c>
      <c r="F594" cm="1">
        <f t="array" ref="F594">_xlfn.XLOOKUP(C594,Account_Master!A:A,Account_Master!B:B,"Not on master")</f>
        <v>0</v>
      </c>
      <c r="G594" cm="1">
        <f t="array" ref="G594">_xlfn.XLOOKUP(C594,Account_Master!A:A,Account_Master!C:C,"Not on master")</f>
        <v>0</v>
      </c>
      <c r="H594" s="6">
        <v>4.5</v>
      </c>
      <c r="I594" s="6">
        <v>4.5</v>
      </c>
      <c r="J594" s="6">
        <f>I594-H594</f>
        <v>0</v>
      </c>
      <c r="K594" s="5">
        <f>IF(H594=0,"",J594/H594)</f>
        <v>0</v>
      </c>
      <c r="L594">
        <f>IF(OR(AND(H594=0,ABS(J594)&gt;=0.01),AND(H594&lt;&gt;0,ABS(K594)&gt;VarianceThreshold)),"Review","OK")</f>
        <v>0</v>
      </c>
      <c r="M594" t="s">
        <v>33</v>
      </c>
    </row>
    <row r="595" spans="1:13">
      <c r="A595" t="s">
        <v>0</v>
      </c>
      <c r="B595" t="s">
        <v>829</v>
      </c>
      <c r="C595" t="s">
        <v>31</v>
      </c>
      <c r="D595" t="s">
        <v>830</v>
      </c>
      <c r="E595" cm="1">
        <f t="array" ref="E595">_xlfn.XLOOKUP(D595,SKU_Master!A:A,SKU_Master!B:B,"Not on master")</f>
        <v>0</v>
      </c>
      <c r="F595" cm="1">
        <f t="array" ref="F595">_xlfn.XLOOKUP(C595,Account_Master!A:A,Account_Master!B:B,"Not on master")</f>
        <v>0</v>
      </c>
      <c r="G595" cm="1">
        <f t="array" ref="G595">_xlfn.XLOOKUP(C595,Account_Master!A:A,Account_Master!C:C,"Not on master")</f>
        <v>0</v>
      </c>
      <c r="H595" s="6">
        <v>138</v>
      </c>
      <c r="I595" s="6">
        <v>138</v>
      </c>
      <c r="J595" s="6">
        <f>I595-H595</f>
        <v>0</v>
      </c>
      <c r="K595" s="5">
        <f>IF(H595=0,"",J595/H595)</f>
        <v>0</v>
      </c>
      <c r="L595">
        <f>IF(OR(AND(H595=0,ABS(J595)&gt;=0.01),AND(H595&lt;&gt;0,ABS(K595)&gt;VarianceThreshold)),"Review","OK")</f>
        <v>0</v>
      </c>
      <c r="M595" t="s">
        <v>33</v>
      </c>
    </row>
    <row r="596" spans="1:13">
      <c r="A596" t="s">
        <v>0</v>
      </c>
      <c r="B596" t="s">
        <v>829</v>
      </c>
      <c r="C596" t="s">
        <v>126</v>
      </c>
      <c r="D596" t="s">
        <v>831</v>
      </c>
      <c r="E596" cm="1">
        <f t="array" ref="E596">_xlfn.XLOOKUP(D596,SKU_Master!A:A,SKU_Master!B:B,"Not on master")</f>
        <v>0</v>
      </c>
      <c r="F596" cm="1">
        <f t="array" ref="F596">_xlfn.XLOOKUP(C596,Account_Master!A:A,Account_Master!B:B,"Not on master")</f>
        <v>0</v>
      </c>
      <c r="G596" cm="1">
        <f t="array" ref="G596">_xlfn.XLOOKUP(C596,Account_Master!A:A,Account_Master!C:C,"Not on master")</f>
        <v>0</v>
      </c>
      <c r="H596" s="6">
        <v>13.5</v>
      </c>
      <c r="I596" s="6">
        <v>13.5</v>
      </c>
      <c r="J596" s="6">
        <f>I596-H596</f>
        <v>0</v>
      </c>
      <c r="K596" s="5">
        <f>IF(H596=0,"",J596/H596)</f>
        <v>0</v>
      </c>
      <c r="L596">
        <f>IF(OR(AND(H596=0,ABS(J596)&gt;=0.01),AND(H596&lt;&gt;0,ABS(K596)&gt;VarianceThreshold)),"Review","OK")</f>
        <v>0</v>
      </c>
      <c r="M596" t="s">
        <v>33</v>
      </c>
    </row>
    <row r="597" spans="1:13">
      <c r="A597" t="s">
        <v>0</v>
      </c>
      <c r="B597" t="s">
        <v>829</v>
      </c>
      <c r="C597" t="s">
        <v>45</v>
      </c>
      <c r="D597" t="s">
        <v>832</v>
      </c>
      <c r="E597" cm="1">
        <f t="array" ref="E597">_xlfn.XLOOKUP(D597,SKU_Master!A:A,SKU_Master!B:B,"Not on master")</f>
        <v>0</v>
      </c>
      <c r="F597" cm="1">
        <f t="array" ref="F597">_xlfn.XLOOKUP(C597,Account_Master!A:A,Account_Master!B:B,"Not on master")</f>
        <v>0</v>
      </c>
      <c r="G597" cm="1">
        <f t="array" ref="G597">_xlfn.XLOOKUP(C597,Account_Master!A:A,Account_Master!C:C,"Not on master")</f>
        <v>0</v>
      </c>
      <c r="H597" s="6">
        <v>3.5</v>
      </c>
      <c r="I597" s="6">
        <v>3.5</v>
      </c>
      <c r="J597" s="6">
        <f>I597-H597</f>
        <v>0</v>
      </c>
      <c r="K597" s="5">
        <f>IF(H597=0,"",J597/H597)</f>
        <v>0</v>
      </c>
      <c r="L597">
        <f>IF(OR(AND(H597=0,ABS(J597)&gt;=0.01),AND(H597&lt;&gt;0,ABS(K597)&gt;VarianceThreshold)),"Review","OK")</f>
        <v>0</v>
      </c>
      <c r="M597" t="s">
        <v>33</v>
      </c>
    </row>
    <row r="598" spans="1:13">
      <c r="A598" t="s">
        <v>0</v>
      </c>
      <c r="B598" t="s">
        <v>829</v>
      </c>
      <c r="C598" t="s">
        <v>77</v>
      </c>
      <c r="D598" t="s">
        <v>833</v>
      </c>
      <c r="E598" cm="1">
        <f t="array" ref="E598">_xlfn.XLOOKUP(D598,SKU_Master!A:A,SKU_Master!B:B,"Not on master")</f>
        <v>0</v>
      </c>
      <c r="F598" cm="1">
        <f t="array" ref="F598">_xlfn.XLOOKUP(C598,Account_Master!A:A,Account_Master!B:B,"Not on master")</f>
        <v>0</v>
      </c>
      <c r="G598" cm="1">
        <f t="array" ref="G598">_xlfn.XLOOKUP(C598,Account_Master!A:A,Account_Master!C:C,"Not on master")</f>
        <v>0</v>
      </c>
      <c r="H598" s="6">
        <v>18</v>
      </c>
      <c r="I598" s="6">
        <v>18</v>
      </c>
      <c r="J598" s="6">
        <f>I598-H598</f>
        <v>0</v>
      </c>
      <c r="K598" s="5">
        <f>IF(H598=0,"",J598/H598)</f>
        <v>0</v>
      </c>
      <c r="L598">
        <f>IF(OR(AND(H598=0,ABS(J598)&gt;=0.01),AND(H598&lt;&gt;0,ABS(K598)&gt;VarianceThreshold)),"Review","OK")</f>
        <v>0</v>
      </c>
      <c r="M598" t="s">
        <v>33</v>
      </c>
    </row>
    <row r="599" spans="1:13">
      <c r="A599" t="s">
        <v>0</v>
      </c>
      <c r="B599" t="s">
        <v>829</v>
      </c>
      <c r="C599" t="s">
        <v>229</v>
      </c>
      <c r="D599" t="s">
        <v>834</v>
      </c>
      <c r="E599" cm="1">
        <f t="array" ref="E599">_xlfn.XLOOKUP(D599,SKU_Master!A:A,SKU_Master!B:B,"Not on master")</f>
        <v>0</v>
      </c>
      <c r="F599" cm="1">
        <f t="array" ref="F599">_xlfn.XLOOKUP(C599,Account_Master!A:A,Account_Master!B:B,"Not on master")</f>
        <v>0</v>
      </c>
      <c r="G599" cm="1">
        <f t="array" ref="G599">_xlfn.XLOOKUP(C599,Account_Master!A:A,Account_Master!C:C,"Not on master")</f>
        <v>0</v>
      </c>
      <c r="H599" s="6">
        <v>30</v>
      </c>
      <c r="I599" s="6">
        <v>30</v>
      </c>
      <c r="J599" s="6">
        <f>I599-H599</f>
        <v>0</v>
      </c>
      <c r="K599" s="5">
        <f>IF(H599=0,"",J599/H599)</f>
        <v>0</v>
      </c>
      <c r="L599">
        <f>IF(OR(AND(H599=0,ABS(J599)&gt;=0.01),AND(H599&lt;&gt;0,ABS(K599)&gt;VarianceThreshold)),"Review","OK")</f>
        <v>0</v>
      </c>
      <c r="M599" t="s">
        <v>33</v>
      </c>
    </row>
    <row r="600" spans="1:13">
      <c r="A600" t="s">
        <v>0</v>
      </c>
      <c r="B600" t="s">
        <v>829</v>
      </c>
      <c r="C600" t="s">
        <v>110</v>
      </c>
      <c r="D600" t="s">
        <v>835</v>
      </c>
      <c r="E600" cm="1">
        <f t="array" ref="E600">_xlfn.XLOOKUP(D600,SKU_Master!A:A,SKU_Master!B:B,"Not on master")</f>
        <v>0</v>
      </c>
      <c r="F600" cm="1">
        <f t="array" ref="F600">_xlfn.XLOOKUP(C600,Account_Master!A:A,Account_Master!B:B,"Not on master")</f>
        <v>0</v>
      </c>
      <c r="G600" cm="1">
        <f t="array" ref="G600">_xlfn.XLOOKUP(C600,Account_Master!A:A,Account_Master!C:C,"Not on master")</f>
        <v>0</v>
      </c>
      <c r="H600" s="6">
        <v>36</v>
      </c>
      <c r="I600" s="6">
        <v>36</v>
      </c>
      <c r="J600" s="6">
        <f>I600-H600</f>
        <v>0</v>
      </c>
      <c r="K600" s="5">
        <f>IF(H600=0,"",J600/H600)</f>
        <v>0</v>
      </c>
      <c r="L600">
        <f>IF(OR(AND(H600=0,ABS(J600)&gt;=0.01),AND(H600&lt;&gt;0,ABS(K600)&gt;VarianceThreshold)),"Review","OK")</f>
        <v>0</v>
      </c>
      <c r="M600" t="s">
        <v>33</v>
      </c>
    </row>
    <row r="601" spans="1:13">
      <c r="A601" t="s">
        <v>0</v>
      </c>
      <c r="B601" t="s">
        <v>836</v>
      </c>
      <c r="C601" t="s">
        <v>128</v>
      </c>
      <c r="D601" t="s">
        <v>837</v>
      </c>
      <c r="E601" cm="1">
        <f t="array" ref="E601">_xlfn.XLOOKUP(D601,SKU_Master!A:A,SKU_Master!B:B,"Not on master")</f>
        <v>0</v>
      </c>
      <c r="F601" cm="1">
        <f t="array" ref="F601">_xlfn.XLOOKUP(C601,Account_Master!A:A,Account_Master!B:B,"Not on master")</f>
        <v>0</v>
      </c>
      <c r="G601" cm="1">
        <f t="array" ref="G601">_xlfn.XLOOKUP(C601,Account_Master!A:A,Account_Master!C:C,"Not on master")</f>
        <v>0</v>
      </c>
      <c r="H601" s="6">
        <v>0.9</v>
      </c>
      <c r="I601" s="6">
        <v>0.9</v>
      </c>
      <c r="J601" s="6">
        <f>I601-H601</f>
        <v>0</v>
      </c>
      <c r="K601" s="5">
        <f>IF(H601=0,"",J601/H601)</f>
        <v>0</v>
      </c>
      <c r="L601">
        <f>IF(OR(AND(H601=0,ABS(J601)&gt;=0.01),AND(H601&lt;&gt;0,ABS(K601)&gt;VarianceThreshold)),"Review","OK")</f>
        <v>0</v>
      </c>
      <c r="M601" t="s">
        <v>33</v>
      </c>
    </row>
    <row r="602" spans="1:13">
      <c r="A602" t="s">
        <v>0</v>
      </c>
      <c r="B602" t="s">
        <v>836</v>
      </c>
      <c r="C602" t="s">
        <v>43</v>
      </c>
      <c r="D602" t="s">
        <v>838</v>
      </c>
      <c r="E602" cm="1">
        <f t="array" ref="E602">_xlfn.XLOOKUP(D602,SKU_Master!A:A,SKU_Master!B:B,"Not on master")</f>
        <v>0</v>
      </c>
      <c r="F602" cm="1">
        <f t="array" ref="F602">_xlfn.XLOOKUP(C602,Account_Master!A:A,Account_Master!B:B,"Not on master")</f>
        <v>0</v>
      </c>
      <c r="G602" cm="1">
        <f t="array" ref="G602">_xlfn.XLOOKUP(C602,Account_Master!A:A,Account_Master!C:C,"Not on master")</f>
        <v>0</v>
      </c>
      <c r="H602" s="6">
        <v>1.25</v>
      </c>
      <c r="I602" s="6">
        <v>1.25</v>
      </c>
      <c r="J602" s="6">
        <f>I602-H602</f>
        <v>0</v>
      </c>
      <c r="K602" s="5">
        <f>IF(H602=0,"",J602/H602)</f>
        <v>0</v>
      </c>
      <c r="L602">
        <f>IF(OR(AND(H602=0,ABS(J602)&gt;=0.01),AND(H602&lt;&gt;0,ABS(K602)&gt;VarianceThreshold)),"Review","OK")</f>
        <v>0</v>
      </c>
      <c r="M602" t="s">
        <v>33</v>
      </c>
    </row>
    <row r="603" spans="1:13">
      <c r="A603" t="s">
        <v>0</v>
      </c>
      <c r="B603" t="s">
        <v>836</v>
      </c>
      <c r="C603" t="s">
        <v>31</v>
      </c>
      <c r="D603" t="s">
        <v>839</v>
      </c>
      <c r="E603" cm="1">
        <f t="array" ref="E603">_xlfn.XLOOKUP(D603,SKU_Master!A:A,SKU_Master!B:B,"Not on master")</f>
        <v>0</v>
      </c>
      <c r="F603" cm="1">
        <f t="array" ref="F603">_xlfn.XLOOKUP(C603,Account_Master!A:A,Account_Master!B:B,"Not on master")</f>
        <v>0</v>
      </c>
      <c r="G603" cm="1">
        <f t="array" ref="G603">_xlfn.XLOOKUP(C603,Account_Master!A:A,Account_Master!C:C,"Not on master")</f>
        <v>0</v>
      </c>
      <c r="H603" s="6">
        <v>3</v>
      </c>
      <c r="I603" s="6">
        <v>3</v>
      </c>
      <c r="J603" s="6">
        <f>I603-H603</f>
        <v>0</v>
      </c>
      <c r="K603" s="5">
        <f>IF(H603=0,"",J603/H603)</f>
        <v>0</v>
      </c>
      <c r="L603">
        <f>IF(OR(AND(H603=0,ABS(J603)&gt;=0.01),AND(H603&lt;&gt;0,ABS(K603)&gt;VarianceThreshold)),"Review","OK")</f>
        <v>0</v>
      </c>
      <c r="M603" t="s">
        <v>33</v>
      </c>
    </row>
    <row r="604" spans="1:13">
      <c r="A604" t="s">
        <v>0</v>
      </c>
      <c r="B604" t="s">
        <v>836</v>
      </c>
      <c r="C604" t="s">
        <v>93</v>
      </c>
      <c r="D604" t="s">
        <v>840</v>
      </c>
      <c r="E604" cm="1">
        <f t="array" ref="E604">_xlfn.XLOOKUP(D604,SKU_Master!A:A,SKU_Master!B:B,"Not on master")</f>
        <v>0</v>
      </c>
      <c r="F604" cm="1">
        <f t="array" ref="F604">_xlfn.XLOOKUP(C604,Account_Master!A:A,Account_Master!B:B,"Not on master")</f>
        <v>0</v>
      </c>
      <c r="G604" cm="1">
        <f t="array" ref="G604">_xlfn.XLOOKUP(C604,Account_Master!A:A,Account_Master!C:C,"Not on master")</f>
        <v>0</v>
      </c>
      <c r="H604" s="6">
        <v>342</v>
      </c>
      <c r="I604" s="6">
        <v>342</v>
      </c>
      <c r="J604" s="6">
        <f>I604-H604</f>
        <v>0</v>
      </c>
      <c r="K604" s="5">
        <f>IF(H604=0,"",J604/H604)</f>
        <v>0</v>
      </c>
      <c r="L604">
        <f>IF(OR(AND(H604=0,ABS(J604)&gt;=0.01),AND(H604&lt;&gt;0,ABS(K604)&gt;VarianceThreshold)),"Review","OK")</f>
        <v>0</v>
      </c>
      <c r="M604" t="s">
        <v>33</v>
      </c>
    </row>
    <row r="605" spans="1:13">
      <c r="A605" t="s">
        <v>0</v>
      </c>
      <c r="B605" t="s">
        <v>836</v>
      </c>
      <c r="C605" t="s">
        <v>77</v>
      </c>
      <c r="D605" t="s">
        <v>841</v>
      </c>
      <c r="E605" cm="1">
        <f t="array" ref="E605">_xlfn.XLOOKUP(D605,SKU_Master!A:A,SKU_Master!B:B,"Not on master")</f>
        <v>0</v>
      </c>
      <c r="F605" cm="1">
        <f t="array" ref="F605">_xlfn.XLOOKUP(C605,Account_Master!A:A,Account_Master!B:B,"Not on master")</f>
        <v>0</v>
      </c>
      <c r="G605" cm="1">
        <f t="array" ref="G605">_xlfn.XLOOKUP(C605,Account_Master!A:A,Account_Master!C:C,"Not on master")</f>
        <v>0</v>
      </c>
      <c r="H605" s="6">
        <v>10.5</v>
      </c>
      <c r="I605" s="6">
        <v>10.5</v>
      </c>
      <c r="J605" s="6">
        <f>I605-H605</f>
        <v>0</v>
      </c>
      <c r="K605" s="5">
        <f>IF(H605=0,"",J605/H605)</f>
        <v>0</v>
      </c>
      <c r="L605">
        <f>IF(OR(AND(H605=0,ABS(J605)&gt;=0.01),AND(H605&lt;&gt;0,ABS(K605)&gt;VarianceThreshold)),"Review","OK")</f>
        <v>0</v>
      </c>
      <c r="M605" t="s">
        <v>33</v>
      </c>
    </row>
    <row r="606" spans="1:13">
      <c r="A606" t="s">
        <v>0</v>
      </c>
      <c r="B606" t="s">
        <v>836</v>
      </c>
      <c r="C606" t="s">
        <v>209</v>
      </c>
      <c r="D606" t="s">
        <v>842</v>
      </c>
      <c r="E606" cm="1">
        <f t="array" ref="E606">_xlfn.XLOOKUP(D606,SKU_Master!A:A,SKU_Master!B:B,"Not on master")</f>
        <v>0</v>
      </c>
      <c r="F606" cm="1">
        <f t="array" ref="F606">_xlfn.XLOOKUP(C606,Account_Master!A:A,Account_Master!B:B,"Not on master")</f>
        <v>0</v>
      </c>
      <c r="G606" cm="1">
        <f t="array" ref="G606">_xlfn.XLOOKUP(C606,Account_Master!A:A,Account_Master!C:C,"Not on master")</f>
        <v>0</v>
      </c>
      <c r="H606" s="6">
        <v>31.5</v>
      </c>
      <c r="I606" s="6">
        <v>31.5</v>
      </c>
      <c r="J606" s="6">
        <f>I606-H606</f>
        <v>0</v>
      </c>
      <c r="K606" s="5">
        <f>IF(H606=0,"",J606/H606)</f>
        <v>0</v>
      </c>
      <c r="L606">
        <f>IF(OR(AND(H606=0,ABS(J606)&gt;=0.01),AND(H606&lt;&gt;0,ABS(K606)&gt;VarianceThreshold)),"Review","OK")</f>
        <v>0</v>
      </c>
      <c r="M606" t="s">
        <v>33</v>
      </c>
    </row>
    <row r="607" spans="1:13">
      <c r="A607" t="s">
        <v>0</v>
      </c>
      <c r="B607" t="s">
        <v>836</v>
      </c>
      <c r="C607" t="s">
        <v>220</v>
      </c>
      <c r="D607" t="s">
        <v>843</v>
      </c>
      <c r="E607" cm="1">
        <f t="array" ref="E607">_xlfn.XLOOKUP(D607,SKU_Master!A:A,SKU_Master!B:B,"Not on master")</f>
        <v>0</v>
      </c>
      <c r="F607" cm="1">
        <f t="array" ref="F607">_xlfn.XLOOKUP(C607,Account_Master!A:A,Account_Master!B:B,"Not on master")</f>
        <v>0</v>
      </c>
      <c r="G607" cm="1">
        <f t="array" ref="G607">_xlfn.XLOOKUP(C607,Account_Master!A:A,Account_Master!C:C,"Not on master")</f>
        <v>0</v>
      </c>
      <c r="H607" s="6">
        <v>3.75</v>
      </c>
      <c r="I607" s="6">
        <v>3.75</v>
      </c>
      <c r="J607" s="6">
        <f>I607-H607</f>
        <v>0</v>
      </c>
      <c r="K607" s="5">
        <f>IF(H607=0,"",J607/H607)</f>
        <v>0</v>
      </c>
      <c r="L607">
        <f>IF(OR(AND(H607=0,ABS(J607)&gt;=0.01),AND(H607&lt;&gt;0,ABS(K607)&gt;VarianceThreshold)),"Review","OK")</f>
        <v>0</v>
      </c>
      <c r="M607" t="s">
        <v>33</v>
      </c>
    </row>
    <row r="608" spans="1:13">
      <c r="A608" t="s">
        <v>0</v>
      </c>
      <c r="B608" t="s">
        <v>836</v>
      </c>
      <c r="C608" t="s">
        <v>724</v>
      </c>
      <c r="D608" t="s">
        <v>844</v>
      </c>
      <c r="E608" cm="1">
        <f t="array" ref="E608">_xlfn.XLOOKUP(D608,SKU_Master!A:A,SKU_Master!B:B,"Not on master")</f>
        <v>0</v>
      </c>
      <c r="F608" cm="1">
        <f t="array" ref="F608">_xlfn.XLOOKUP(C608,Account_Master!A:A,Account_Master!B:B,"Not on master")</f>
        <v>0</v>
      </c>
      <c r="G608" cm="1">
        <f t="array" ref="G608">_xlfn.XLOOKUP(C608,Account_Master!A:A,Account_Master!C:C,"Not on master")</f>
        <v>0</v>
      </c>
      <c r="H608" s="6">
        <v>13.8</v>
      </c>
      <c r="I608" s="6">
        <v>13.8</v>
      </c>
      <c r="J608" s="6">
        <f>I608-H608</f>
        <v>0</v>
      </c>
      <c r="K608" s="5">
        <f>IF(H608=0,"",J608/H608)</f>
        <v>0</v>
      </c>
      <c r="L608">
        <f>IF(OR(AND(H608=0,ABS(J608)&gt;=0.01),AND(H608&lt;&gt;0,ABS(K608)&gt;VarianceThreshold)),"Review","OK")</f>
        <v>0</v>
      </c>
      <c r="M608" t="s">
        <v>33</v>
      </c>
    </row>
    <row r="609" spans="1:13">
      <c r="A609" t="s">
        <v>0</v>
      </c>
      <c r="B609" t="s">
        <v>836</v>
      </c>
      <c r="C609" t="s">
        <v>135</v>
      </c>
      <c r="D609" t="s">
        <v>845</v>
      </c>
      <c r="E609" cm="1">
        <f t="array" ref="E609">_xlfn.XLOOKUP(D609,SKU_Master!A:A,SKU_Master!B:B,"Not on master")</f>
        <v>0</v>
      </c>
      <c r="F609" cm="1">
        <f t="array" ref="F609">_xlfn.XLOOKUP(C609,Account_Master!A:A,Account_Master!B:B,"Not on master")</f>
        <v>0</v>
      </c>
      <c r="G609" cm="1">
        <f t="array" ref="G609">_xlfn.XLOOKUP(C609,Account_Master!A:A,Account_Master!C:C,"Not on master")</f>
        <v>0</v>
      </c>
      <c r="H609" s="6">
        <v>14.25</v>
      </c>
      <c r="I609" s="6">
        <v>14.25</v>
      </c>
      <c r="J609" s="6">
        <f>I609-H609</f>
        <v>0</v>
      </c>
      <c r="K609" s="5">
        <f>IF(H609=0,"",J609/H609)</f>
        <v>0</v>
      </c>
      <c r="L609">
        <f>IF(OR(AND(H609=0,ABS(J609)&gt;=0.01),AND(H609&lt;&gt;0,ABS(K609)&gt;VarianceThreshold)),"Review","OK")</f>
        <v>0</v>
      </c>
      <c r="M609" t="s">
        <v>33</v>
      </c>
    </row>
    <row r="610" spans="1:13">
      <c r="A610" t="s">
        <v>0</v>
      </c>
      <c r="B610" t="s">
        <v>846</v>
      </c>
      <c r="C610" t="s">
        <v>126</v>
      </c>
      <c r="D610" t="s">
        <v>847</v>
      </c>
      <c r="E610" cm="1">
        <f t="array" ref="E610">_xlfn.XLOOKUP(D610,SKU_Master!A:A,SKU_Master!B:B,"Not on master")</f>
        <v>0</v>
      </c>
      <c r="F610" cm="1">
        <f t="array" ref="F610">_xlfn.XLOOKUP(C610,Account_Master!A:A,Account_Master!B:B,"Not on master")</f>
        <v>0</v>
      </c>
      <c r="G610" cm="1">
        <f t="array" ref="G610">_xlfn.XLOOKUP(C610,Account_Master!A:A,Account_Master!C:C,"Not on master")</f>
        <v>0</v>
      </c>
      <c r="H610" s="6">
        <v>36</v>
      </c>
      <c r="I610" s="6">
        <v>36</v>
      </c>
      <c r="J610" s="6">
        <f>I610-H610</f>
        <v>0</v>
      </c>
      <c r="K610" s="5">
        <f>IF(H610=0,"",J610/H610)</f>
        <v>0</v>
      </c>
      <c r="L610">
        <f>IF(OR(AND(H610=0,ABS(J610)&gt;=0.01),AND(H610&lt;&gt;0,ABS(K610)&gt;VarianceThreshold)),"Review","OK")</f>
        <v>0</v>
      </c>
      <c r="M610" t="s">
        <v>33</v>
      </c>
    </row>
    <row r="611" spans="1:13">
      <c r="A611" t="s">
        <v>0</v>
      </c>
      <c r="B611" t="s">
        <v>846</v>
      </c>
      <c r="C611" t="s">
        <v>241</v>
      </c>
      <c r="D611" t="s">
        <v>848</v>
      </c>
      <c r="E611" cm="1">
        <f t="array" ref="E611">_xlfn.XLOOKUP(D611,SKU_Master!A:A,SKU_Master!B:B,"Not on master")</f>
        <v>0</v>
      </c>
      <c r="F611" cm="1">
        <f t="array" ref="F611">_xlfn.XLOOKUP(C611,Account_Master!A:A,Account_Master!B:B,"Not on master")</f>
        <v>0</v>
      </c>
      <c r="G611" cm="1">
        <f t="array" ref="G611">_xlfn.XLOOKUP(C611,Account_Master!A:A,Account_Master!C:C,"Not on master")</f>
        <v>0</v>
      </c>
      <c r="H611" s="6">
        <v>29.62</v>
      </c>
      <c r="I611" s="6">
        <v>29.62</v>
      </c>
      <c r="J611" s="6">
        <f>I611-H611</f>
        <v>0</v>
      </c>
      <c r="K611" s="5">
        <f>IF(H611=0,"",J611/H611)</f>
        <v>0</v>
      </c>
      <c r="L611">
        <f>IF(OR(AND(H611=0,ABS(J611)&gt;=0.01),AND(H611&lt;&gt;0,ABS(K611)&gt;VarianceThreshold)),"Review","OK")</f>
        <v>0</v>
      </c>
      <c r="M611" t="s">
        <v>33</v>
      </c>
    </row>
    <row r="612" spans="1:13">
      <c r="A612" t="s">
        <v>0</v>
      </c>
      <c r="B612" t="s">
        <v>846</v>
      </c>
      <c r="C612" t="s">
        <v>849</v>
      </c>
      <c r="D612" t="s">
        <v>850</v>
      </c>
      <c r="E612" cm="1">
        <f t="array" ref="E612">_xlfn.XLOOKUP(D612,SKU_Master!A:A,SKU_Master!B:B,"Not on master")</f>
        <v>0</v>
      </c>
      <c r="F612" cm="1">
        <f t="array" ref="F612">_xlfn.XLOOKUP(C612,Account_Master!A:A,Account_Master!B:B,"Not on master")</f>
        <v>0</v>
      </c>
      <c r="G612" cm="1">
        <f t="array" ref="G612">_xlfn.XLOOKUP(C612,Account_Master!A:A,Account_Master!C:C,"Not on master")</f>
        <v>0</v>
      </c>
      <c r="H612" s="6">
        <v>0.35</v>
      </c>
      <c r="I612" s="6">
        <v>0.35</v>
      </c>
      <c r="J612" s="6">
        <f>I612-H612</f>
        <v>0</v>
      </c>
      <c r="K612" s="5">
        <f>IF(H612=0,"",J612/H612)</f>
        <v>0</v>
      </c>
      <c r="L612">
        <f>IF(OR(AND(H612=0,ABS(J612)&gt;=0.01),AND(H612&lt;&gt;0,ABS(K612)&gt;VarianceThreshold)),"Review","OK")</f>
        <v>0</v>
      </c>
      <c r="M612" t="s">
        <v>33</v>
      </c>
    </row>
    <row r="613" spans="1:13">
      <c r="A613" t="s">
        <v>0</v>
      </c>
      <c r="B613" t="s">
        <v>851</v>
      </c>
      <c r="C613" t="s">
        <v>267</v>
      </c>
      <c r="D613" t="s">
        <v>852</v>
      </c>
      <c r="E613" cm="1">
        <f t="array" ref="E613">_xlfn.XLOOKUP(D613,SKU_Master!A:A,SKU_Master!B:B,"Not on master")</f>
        <v>0</v>
      </c>
      <c r="F613" cm="1">
        <f t="array" ref="F613">_xlfn.XLOOKUP(C613,Account_Master!A:A,Account_Master!B:B,"Not on master")</f>
        <v>0</v>
      </c>
      <c r="G613" cm="1">
        <f t="array" ref="G613">_xlfn.XLOOKUP(C613,Account_Master!A:A,Account_Master!C:C,"Not on master")</f>
        <v>0</v>
      </c>
      <c r="H613" s="6">
        <v>18</v>
      </c>
      <c r="I613" s="6">
        <v>18</v>
      </c>
      <c r="J613" s="6">
        <f>I613-H613</f>
        <v>0</v>
      </c>
      <c r="K613" s="5">
        <f>IF(H613=0,"",J613/H613)</f>
        <v>0</v>
      </c>
      <c r="L613">
        <f>IF(OR(AND(H613=0,ABS(J613)&gt;=0.01),AND(H613&lt;&gt;0,ABS(K613)&gt;VarianceThreshold)),"Review","OK")</f>
        <v>0</v>
      </c>
      <c r="M613" t="s">
        <v>33</v>
      </c>
    </row>
    <row r="614" spans="1:13">
      <c r="A614" t="s">
        <v>0</v>
      </c>
      <c r="B614" t="s">
        <v>851</v>
      </c>
      <c r="C614" t="s">
        <v>59</v>
      </c>
      <c r="D614" t="s">
        <v>853</v>
      </c>
      <c r="E614" cm="1">
        <f t="array" ref="E614">_xlfn.XLOOKUP(D614,SKU_Master!A:A,SKU_Master!B:B,"Not on master")</f>
        <v>0</v>
      </c>
      <c r="F614" cm="1">
        <f t="array" ref="F614">_xlfn.XLOOKUP(C614,Account_Master!A:A,Account_Master!B:B,"Not on master")</f>
        <v>0</v>
      </c>
      <c r="G614" cm="1">
        <f t="array" ref="G614">_xlfn.XLOOKUP(C614,Account_Master!A:A,Account_Master!C:C,"Not on master")</f>
        <v>0</v>
      </c>
      <c r="H614" s="6">
        <v>703.5</v>
      </c>
      <c r="I614" s="6">
        <v>714</v>
      </c>
      <c r="J614" s="6">
        <f>I614-H614</f>
        <v>0</v>
      </c>
      <c r="K614" s="5">
        <f>IF(H614=0,"",J614/H614)</f>
        <v>0</v>
      </c>
      <c r="L614">
        <f>IF(OR(AND(H614=0,ABS(J614)&gt;=0.01),AND(H614&lt;&gt;0,ABS(K614)&gt;VarianceThreshold)),"Review","OK")</f>
        <v>0</v>
      </c>
      <c r="M614" t="s">
        <v>33</v>
      </c>
    </row>
    <row r="615" spans="1:13">
      <c r="A615" t="s">
        <v>0</v>
      </c>
      <c r="B615" t="s">
        <v>851</v>
      </c>
      <c r="C615" t="s">
        <v>45</v>
      </c>
      <c r="D615" t="s">
        <v>854</v>
      </c>
      <c r="E615" cm="1">
        <f t="array" ref="E615">_xlfn.XLOOKUP(D615,SKU_Master!A:A,SKU_Master!B:B,"Not on master")</f>
        <v>0</v>
      </c>
      <c r="F615" cm="1">
        <f t="array" ref="F615">_xlfn.XLOOKUP(C615,Account_Master!A:A,Account_Master!B:B,"Not on master")</f>
        <v>0</v>
      </c>
      <c r="G615" cm="1">
        <f t="array" ref="G615">_xlfn.XLOOKUP(C615,Account_Master!A:A,Account_Master!C:C,"Not on master")</f>
        <v>0</v>
      </c>
      <c r="H615" s="6">
        <v>5.25</v>
      </c>
      <c r="I615" s="6">
        <v>5.25</v>
      </c>
      <c r="J615" s="6">
        <f>I615-H615</f>
        <v>0</v>
      </c>
      <c r="K615" s="5">
        <f>IF(H615=0,"",J615/H615)</f>
        <v>0</v>
      </c>
      <c r="L615">
        <f>IF(OR(AND(H615=0,ABS(J615)&gt;=0.01),AND(H615&lt;&gt;0,ABS(K615)&gt;VarianceThreshold)),"Review","OK")</f>
        <v>0</v>
      </c>
      <c r="M615" t="s">
        <v>33</v>
      </c>
    </row>
    <row r="616" spans="1:13">
      <c r="A616" t="s">
        <v>0</v>
      </c>
      <c r="B616" t="s">
        <v>851</v>
      </c>
      <c r="C616" t="s">
        <v>152</v>
      </c>
      <c r="D616" t="s">
        <v>855</v>
      </c>
      <c r="E616" cm="1">
        <f t="array" ref="E616">_xlfn.XLOOKUP(D616,SKU_Master!A:A,SKU_Master!B:B,"Not on master")</f>
        <v>0</v>
      </c>
      <c r="F616" cm="1">
        <f t="array" ref="F616">_xlfn.XLOOKUP(C616,Account_Master!A:A,Account_Master!B:B,"Not on master")</f>
        <v>0</v>
      </c>
      <c r="G616" cm="1">
        <f t="array" ref="G616">_xlfn.XLOOKUP(C616,Account_Master!A:A,Account_Master!C:C,"Not on master")</f>
        <v>0</v>
      </c>
      <c r="H616" s="6">
        <v>39.75</v>
      </c>
      <c r="I616" s="6">
        <v>39.75</v>
      </c>
      <c r="J616" s="6">
        <f>I616-H616</f>
        <v>0</v>
      </c>
      <c r="K616" s="5">
        <f>IF(H616=0,"",J616/H616)</f>
        <v>0</v>
      </c>
      <c r="L616">
        <f>IF(OR(AND(H616=0,ABS(J616)&gt;=0.01),AND(H616&lt;&gt;0,ABS(K616)&gt;VarianceThreshold)),"Review","OK")</f>
        <v>0</v>
      </c>
      <c r="M616" t="s">
        <v>33</v>
      </c>
    </row>
    <row r="617" spans="1:13">
      <c r="A617" t="s">
        <v>0</v>
      </c>
      <c r="B617" t="s">
        <v>851</v>
      </c>
      <c r="C617" t="s">
        <v>110</v>
      </c>
      <c r="D617" t="s">
        <v>856</v>
      </c>
      <c r="E617" cm="1">
        <f t="array" ref="E617">_xlfn.XLOOKUP(D617,SKU_Master!A:A,SKU_Master!B:B,"Not on master")</f>
        <v>0</v>
      </c>
      <c r="F617" cm="1">
        <f t="array" ref="F617">_xlfn.XLOOKUP(C617,Account_Master!A:A,Account_Master!B:B,"Not on master")</f>
        <v>0</v>
      </c>
      <c r="G617" cm="1">
        <f t="array" ref="G617">_xlfn.XLOOKUP(C617,Account_Master!A:A,Account_Master!C:C,"Not on master")</f>
        <v>0</v>
      </c>
      <c r="H617" s="6">
        <v>28.5</v>
      </c>
      <c r="I617" s="6">
        <v>28.5</v>
      </c>
      <c r="J617" s="6">
        <f>I617-H617</f>
        <v>0</v>
      </c>
      <c r="K617" s="5">
        <f>IF(H617=0,"",J617/H617)</f>
        <v>0</v>
      </c>
      <c r="L617">
        <f>IF(OR(AND(H617=0,ABS(J617)&gt;=0.01),AND(H617&lt;&gt;0,ABS(K617)&gt;VarianceThreshold)),"Review","OK")</f>
        <v>0</v>
      </c>
      <c r="M617" t="s">
        <v>33</v>
      </c>
    </row>
    <row r="618" spans="1:13">
      <c r="A618" t="s">
        <v>0</v>
      </c>
      <c r="B618" t="s">
        <v>851</v>
      </c>
      <c r="C618" t="s">
        <v>98</v>
      </c>
      <c r="D618" t="s">
        <v>857</v>
      </c>
      <c r="E618" cm="1">
        <f t="array" ref="E618">_xlfn.XLOOKUP(D618,SKU_Master!A:A,SKU_Master!B:B,"Not on master")</f>
        <v>0</v>
      </c>
      <c r="F618" cm="1">
        <f t="array" ref="F618">_xlfn.XLOOKUP(C618,Account_Master!A:A,Account_Master!B:B,"Not on master")</f>
        <v>0</v>
      </c>
      <c r="G618" cm="1">
        <f t="array" ref="G618">_xlfn.XLOOKUP(C618,Account_Master!A:A,Account_Master!C:C,"Not on master")</f>
        <v>0</v>
      </c>
      <c r="H618" s="6">
        <v>0.05</v>
      </c>
      <c r="I618" s="6">
        <v>0.05</v>
      </c>
      <c r="J618" s="6">
        <f>I618-H618</f>
        <v>0</v>
      </c>
      <c r="K618" s="5">
        <f>IF(H618=0,"",J618/H618)</f>
        <v>0</v>
      </c>
      <c r="L618">
        <f>IF(OR(AND(H618=0,ABS(J618)&gt;=0.01),AND(H618&lt;&gt;0,ABS(K618)&gt;VarianceThreshold)),"Review","OK")</f>
        <v>0</v>
      </c>
      <c r="M618" t="s">
        <v>33</v>
      </c>
    </row>
    <row r="619" spans="1:13">
      <c r="A619" t="s">
        <v>0</v>
      </c>
      <c r="B619" t="s">
        <v>858</v>
      </c>
      <c r="C619" t="s">
        <v>110</v>
      </c>
      <c r="D619" t="s">
        <v>859</v>
      </c>
      <c r="E619" cm="1">
        <f t="array" ref="E619">_xlfn.XLOOKUP(D619,SKU_Master!A:A,SKU_Master!B:B,"Not on master")</f>
        <v>0</v>
      </c>
      <c r="F619" cm="1">
        <f t="array" ref="F619">_xlfn.XLOOKUP(C619,Account_Master!A:A,Account_Master!B:B,"Not on master")</f>
        <v>0</v>
      </c>
      <c r="G619" cm="1">
        <f t="array" ref="G619">_xlfn.XLOOKUP(C619,Account_Master!A:A,Account_Master!C:C,"Not on master")</f>
        <v>0</v>
      </c>
      <c r="H619" s="6">
        <v>52.5</v>
      </c>
      <c r="I619" s="6">
        <v>52.5</v>
      </c>
      <c r="J619" s="6">
        <f>I619-H619</f>
        <v>0</v>
      </c>
      <c r="K619" s="5">
        <f>IF(H619=0,"",J619/H619)</f>
        <v>0</v>
      </c>
      <c r="L619">
        <f>IF(OR(AND(H619=0,ABS(J619)&gt;=0.01),AND(H619&lt;&gt;0,ABS(K619)&gt;VarianceThreshold)),"Review","OK")</f>
        <v>0</v>
      </c>
      <c r="M619" t="s">
        <v>33</v>
      </c>
    </row>
    <row r="620" spans="1:13">
      <c r="A620" t="s">
        <v>0</v>
      </c>
      <c r="B620" t="s">
        <v>858</v>
      </c>
      <c r="C620" t="s">
        <v>126</v>
      </c>
      <c r="D620" t="s">
        <v>860</v>
      </c>
      <c r="E620" cm="1">
        <f t="array" ref="E620">_xlfn.XLOOKUP(D620,SKU_Master!A:A,SKU_Master!B:B,"Not on master")</f>
        <v>0</v>
      </c>
      <c r="F620" cm="1">
        <f t="array" ref="F620">_xlfn.XLOOKUP(C620,Account_Master!A:A,Account_Master!B:B,"Not on master")</f>
        <v>0</v>
      </c>
      <c r="G620" cm="1">
        <f t="array" ref="G620">_xlfn.XLOOKUP(C620,Account_Master!A:A,Account_Master!C:C,"Not on master")</f>
        <v>0</v>
      </c>
      <c r="H620" s="6">
        <v>33</v>
      </c>
      <c r="I620" s="6">
        <v>33</v>
      </c>
      <c r="J620" s="6">
        <f>I620-H620</f>
        <v>0</v>
      </c>
      <c r="K620" s="5">
        <f>IF(H620=0,"",J620/H620)</f>
        <v>0</v>
      </c>
      <c r="L620">
        <f>IF(OR(AND(H620=0,ABS(J620)&gt;=0.01),AND(H620&lt;&gt;0,ABS(K620)&gt;VarianceThreshold)),"Review","OK")</f>
        <v>0</v>
      </c>
      <c r="M620" t="s">
        <v>33</v>
      </c>
    </row>
    <row r="621" spans="1:13">
      <c r="A621" t="s">
        <v>0</v>
      </c>
      <c r="B621" t="s">
        <v>858</v>
      </c>
      <c r="C621" t="s">
        <v>516</v>
      </c>
      <c r="D621" t="s">
        <v>861</v>
      </c>
      <c r="E621" cm="1">
        <f t="array" ref="E621">_xlfn.XLOOKUP(D621,SKU_Master!A:A,SKU_Master!B:B,"Not on master")</f>
        <v>0</v>
      </c>
      <c r="F621" cm="1">
        <f t="array" ref="F621">_xlfn.XLOOKUP(C621,Account_Master!A:A,Account_Master!B:B,"Not on master")</f>
        <v>0</v>
      </c>
      <c r="G621" cm="1">
        <f t="array" ref="G621">_xlfn.XLOOKUP(C621,Account_Master!A:A,Account_Master!C:C,"Not on master")</f>
        <v>0</v>
      </c>
      <c r="H621" s="6">
        <v>69.75</v>
      </c>
      <c r="I621" s="6">
        <v>69.75</v>
      </c>
      <c r="J621" s="6">
        <f>I621-H621</f>
        <v>0</v>
      </c>
      <c r="K621" s="5">
        <f>IF(H621=0,"",J621/H621)</f>
        <v>0</v>
      </c>
      <c r="L621">
        <f>IF(OR(AND(H621=0,ABS(J621)&gt;=0.01),AND(H621&lt;&gt;0,ABS(K621)&gt;VarianceThreshold)),"Review","OK")</f>
        <v>0</v>
      </c>
      <c r="M621" t="s">
        <v>33</v>
      </c>
    </row>
    <row r="622" spans="1:13">
      <c r="A622" t="s">
        <v>0</v>
      </c>
      <c r="B622" t="s">
        <v>858</v>
      </c>
      <c r="C622" t="s">
        <v>377</v>
      </c>
      <c r="D622" t="s">
        <v>862</v>
      </c>
      <c r="E622" cm="1">
        <f t="array" ref="E622">_xlfn.XLOOKUP(D622,SKU_Master!A:A,SKU_Master!B:B,"Not on master")</f>
        <v>0</v>
      </c>
      <c r="F622" cm="1">
        <f t="array" ref="F622">_xlfn.XLOOKUP(C622,Account_Master!A:A,Account_Master!B:B,"Not on master")</f>
        <v>0</v>
      </c>
      <c r="G622" cm="1">
        <f t="array" ref="G622">_xlfn.XLOOKUP(C622,Account_Master!A:A,Account_Master!C:C,"Not on master")</f>
        <v>0</v>
      </c>
      <c r="H622" s="6">
        <v>1.5</v>
      </c>
      <c r="I622" s="6">
        <v>1.5</v>
      </c>
      <c r="J622" s="6">
        <f>I622-H622</f>
        <v>0</v>
      </c>
      <c r="K622" s="5">
        <f>IF(H622=0,"",J622/H622)</f>
        <v>0</v>
      </c>
      <c r="L622">
        <f>IF(OR(AND(H622=0,ABS(J622)&gt;=0.01),AND(H622&lt;&gt;0,ABS(K622)&gt;VarianceThreshold)),"Review","OK")</f>
        <v>0</v>
      </c>
      <c r="M622" t="s">
        <v>33</v>
      </c>
    </row>
    <row r="623" spans="1:13">
      <c r="A623" t="s">
        <v>0</v>
      </c>
      <c r="B623" t="s">
        <v>858</v>
      </c>
      <c r="C623" t="s">
        <v>220</v>
      </c>
      <c r="D623" t="s">
        <v>863</v>
      </c>
      <c r="E623" cm="1">
        <f t="array" ref="E623">_xlfn.XLOOKUP(D623,SKU_Master!A:A,SKU_Master!B:B,"Not on master")</f>
        <v>0</v>
      </c>
      <c r="F623" cm="1">
        <f t="array" ref="F623">_xlfn.XLOOKUP(C623,Account_Master!A:A,Account_Master!B:B,"Not on master")</f>
        <v>0</v>
      </c>
      <c r="G623" cm="1">
        <f t="array" ref="G623">_xlfn.XLOOKUP(C623,Account_Master!A:A,Account_Master!C:C,"Not on master")</f>
        <v>0</v>
      </c>
      <c r="H623" s="6">
        <v>10.5</v>
      </c>
      <c r="I623" s="6">
        <v>10.5</v>
      </c>
      <c r="J623" s="6">
        <f>I623-H623</f>
        <v>0</v>
      </c>
      <c r="K623" s="5">
        <f>IF(H623=0,"",J623/H623)</f>
        <v>0</v>
      </c>
      <c r="L623">
        <f>IF(OR(AND(H623=0,ABS(J623)&gt;=0.01),AND(H623&lt;&gt;0,ABS(K623)&gt;VarianceThreshold)),"Review","OK")</f>
        <v>0</v>
      </c>
      <c r="M623" t="s">
        <v>33</v>
      </c>
    </row>
    <row r="624" spans="1:13">
      <c r="A624" t="s">
        <v>0</v>
      </c>
      <c r="B624" t="s">
        <v>858</v>
      </c>
      <c r="C624" t="s">
        <v>93</v>
      </c>
      <c r="D624" t="s">
        <v>864</v>
      </c>
      <c r="E624" cm="1">
        <f t="array" ref="E624">_xlfn.XLOOKUP(D624,SKU_Master!A:A,SKU_Master!B:B,"Not on master")</f>
        <v>0</v>
      </c>
      <c r="F624" cm="1">
        <f t="array" ref="F624">_xlfn.XLOOKUP(C624,Account_Master!A:A,Account_Master!B:B,"Not on master")</f>
        <v>0</v>
      </c>
      <c r="G624" cm="1">
        <f t="array" ref="G624">_xlfn.XLOOKUP(C624,Account_Master!A:A,Account_Master!C:C,"Not on master")</f>
        <v>0</v>
      </c>
      <c r="H624" s="6">
        <v>0.1</v>
      </c>
      <c r="I624" s="6">
        <v>0.1</v>
      </c>
      <c r="J624" s="6">
        <f>I624-H624</f>
        <v>0</v>
      </c>
      <c r="K624" s="5">
        <f>IF(H624=0,"",J624/H624)</f>
        <v>0</v>
      </c>
      <c r="L624">
        <f>IF(OR(AND(H624=0,ABS(J624)&gt;=0.01),AND(H624&lt;&gt;0,ABS(K624)&gt;VarianceThreshold)),"Review","OK")</f>
        <v>0</v>
      </c>
      <c r="M624" t="s">
        <v>33</v>
      </c>
    </row>
    <row r="625" spans="1:13">
      <c r="A625" t="s">
        <v>0</v>
      </c>
      <c r="B625" t="s">
        <v>858</v>
      </c>
      <c r="C625" t="s">
        <v>865</v>
      </c>
      <c r="D625" t="s">
        <v>866</v>
      </c>
      <c r="E625" cm="1">
        <f t="array" ref="E625">_xlfn.XLOOKUP(D625,SKU_Master!A:A,SKU_Master!B:B,"Not on master")</f>
        <v>0</v>
      </c>
      <c r="F625" cm="1">
        <f t="array" ref="F625">_xlfn.XLOOKUP(C625,Account_Master!A:A,Account_Master!B:B,"Not on master")</f>
        <v>0</v>
      </c>
      <c r="G625" cm="1">
        <f t="array" ref="G625">_xlfn.XLOOKUP(C625,Account_Master!A:A,Account_Master!C:C,"Not on master")</f>
        <v>0</v>
      </c>
      <c r="H625" s="6">
        <v>0.1</v>
      </c>
      <c r="I625" s="6">
        <v>0.1</v>
      </c>
      <c r="J625" s="6">
        <f>I625-H625</f>
        <v>0</v>
      </c>
      <c r="K625" s="5">
        <f>IF(H625=0,"",J625/H625)</f>
        <v>0</v>
      </c>
      <c r="L625">
        <f>IF(OR(AND(H625=0,ABS(J625)&gt;=0.01),AND(H625&lt;&gt;0,ABS(K625)&gt;VarianceThreshold)),"Review","OK")</f>
        <v>0</v>
      </c>
      <c r="M625" t="s">
        <v>33</v>
      </c>
    </row>
    <row r="626" spans="1:13">
      <c r="A626" t="s">
        <v>0</v>
      </c>
      <c r="B626" t="s">
        <v>858</v>
      </c>
      <c r="C626" t="s">
        <v>110</v>
      </c>
      <c r="D626" t="s">
        <v>867</v>
      </c>
      <c r="E626" cm="1">
        <f t="array" ref="E626">_xlfn.XLOOKUP(D626,SKU_Master!A:A,SKU_Master!B:B,"Not on master")</f>
        <v>0</v>
      </c>
      <c r="F626" cm="1">
        <f t="array" ref="F626">_xlfn.XLOOKUP(C626,Account_Master!A:A,Account_Master!B:B,"Not on master")</f>
        <v>0</v>
      </c>
      <c r="G626" cm="1">
        <f t="array" ref="G626">_xlfn.XLOOKUP(C626,Account_Master!A:A,Account_Master!C:C,"Not on master")</f>
        <v>0</v>
      </c>
      <c r="H626" s="6">
        <v>144</v>
      </c>
      <c r="I626" s="6">
        <v>144</v>
      </c>
      <c r="J626" s="6">
        <f>I626-H626</f>
        <v>0</v>
      </c>
      <c r="K626" s="5">
        <f>IF(H626=0,"",J626/H626)</f>
        <v>0</v>
      </c>
      <c r="L626">
        <f>IF(OR(AND(H626=0,ABS(J626)&gt;=0.01),AND(H626&lt;&gt;0,ABS(K626)&gt;VarianceThreshold)),"Review","OK")</f>
        <v>0</v>
      </c>
      <c r="M626" t="s">
        <v>33</v>
      </c>
    </row>
    <row r="627" spans="1:13">
      <c r="A627" t="s">
        <v>0</v>
      </c>
      <c r="B627" t="s">
        <v>868</v>
      </c>
      <c r="C627" t="s">
        <v>31</v>
      </c>
      <c r="D627" t="s">
        <v>869</v>
      </c>
      <c r="E627" cm="1">
        <f t="array" ref="E627">_xlfn.XLOOKUP(D627,SKU_Master!A:A,SKU_Master!B:B,"Not on master")</f>
        <v>0</v>
      </c>
      <c r="F627" cm="1">
        <f t="array" ref="F627">_xlfn.XLOOKUP(C627,Account_Master!A:A,Account_Master!B:B,"Not on master")</f>
        <v>0</v>
      </c>
      <c r="G627" cm="1">
        <f t="array" ref="G627">_xlfn.XLOOKUP(C627,Account_Master!A:A,Account_Master!C:C,"Not on master")</f>
        <v>0</v>
      </c>
      <c r="H627" s="6">
        <v>12</v>
      </c>
      <c r="I627" s="6">
        <v>12</v>
      </c>
      <c r="J627" s="6">
        <f>I627-H627</f>
        <v>0</v>
      </c>
      <c r="K627" s="5">
        <f>IF(H627=0,"",J627/H627)</f>
        <v>0</v>
      </c>
      <c r="L627">
        <f>IF(OR(AND(H627=0,ABS(J627)&gt;=0.01),AND(H627&lt;&gt;0,ABS(K627)&gt;VarianceThreshold)),"Review","OK")</f>
        <v>0</v>
      </c>
      <c r="M627" t="s">
        <v>33</v>
      </c>
    </row>
    <row r="628" spans="1:13">
      <c r="A628" t="s">
        <v>0</v>
      </c>
      <c r="B628" t="s">
        <v>868</v>
      </c>
      <c r="C628" t="s">
        <v>110</v>
      </c>
      <c r="D628" t="s">
        <v>870</v>
      </c>
      <c r="E628" cm="1">
        <f t="array" ref="E628">_xlfn.XLOOKUP(D628,SKU_Master!A:A,SKU_Master!B:B,"Not on master")</f>
        <v>0</v>
      </c>
      <c r="F628" cm="1">
        <f t="array" ref="F628">_xlfn.XLOOKUP(C628,Account_Master!A:A,Account_Master!B:B,"Not on master")</f>
        <v>0</v>
      </c>
      <c r="G628" cm="1">
        <f t="array" ref="G628">_xlfn.XLOOKUP(C628,Account_Master!A:A,Account_Master!C:C,"Not on master")</f>
        <v>0</v>
      </c>
      <c r="H628" s="6">
        <v>36</v>
      </c>
      <c r="I628" s="6">
        <v>36</v>
      </c>
      <c r="J628" s="6">
        <f>I628-H628</f>
        <v>0</v>
      </c>
      <c r="K628" s="5">
        <f>IF(H628=0,"",J628/H628)</f>
        <v>0</v>
      </c>
      <c r="L628">
        <f>IF(OR(AND(H628=0,ABS(J628)&gt;=0.01),AND(H628&lt;&gt;0,ABS(K628)&gt;VarianceThreshold)),"Review","OK")</f>
        <v>0</v>
      </c>
      <c r="M628" t="s">
        <v>33</v>
      </c>
    </row>
    <row r="629" spans="1:13">
      <c r="A629" t="s">
        <v>0</v>
      </c>
      <c r="B629" t="s">
        <v>868</v>
      </c>
      <c r="C629" t="s">
        <v>706</v>
      </c>
      <c r="D629" t="s">
        <v>871</v>
      </c>
      <c r="E629" cm="1">
        <f t="array" ref="E629">_xlfn.XLOOKUP(D629,SKU_Master!A:A,SKU_Master!B:B,"Not on master")</f>
        <v>0</v>
      </c>
      <c r="F629" cm="1">
        <f t="array" ref="F629">_xlfn.XLOOKUP(C629,Account_Master!A:A,Account_Master!B:B,"Not on master")</f>
        <v>0</v>
      </c>
      <c r="G629" cm="1">
        <f t="array" ref="G629">_xlfn.XLOOKUP(C629,Account_Master!A:A,Account_Master!C:C,"Not on master")</f>
        <v>0</v>
      </c>
      <c r="H629" s="6">
        <v>16.5</v>
      </c>
      <c r="I629" s="6">
        <v>16.5</v>
      </c>
      <c r="J629" s="6">
        <f>I629-H629</f>
        <v>0</v>
      </c>
      <c r="K629" s="5">
        <f>IF(H629=0,"",J629/H629)</f>
        <v>0</v>
      </c>
      <c r="L629">
        <f>IF(OR(AND(H629=0,ABS(J629)&gt;=0.01),AND(H629&lt;&gt;0,ABS(K629)&gt;VarianceThreshold)),"Review","OK")</f>
        <v>0</v>
      </c>
      <c r="M629" t="s">
        <v>33</v>
      </c>
    </row>
    <row r="630" spans="1:13">
      <c r="A630" t="s">
        <v>0</v>
      </c>
      <c r="B630" t="s">
        <v>868</v>
      </c>
      <c r="C630" t="s">
        <v>110</v>
      </c>
      <c r="D630" t="s">
        <v>872</v>
      </c>
      <c r="E630" cm="1">
        <f t="array" ref="E630">_xlfn.XLOOKUP(D630,SKU_Master!A:A,SKU_Master!B:B,"Not on master")</f>
        <v>0</v>
      </c>
      <c r="F630" cm="1">
        <f t="array" ref="F630">_xlfn.XLOOKUP(C630,Account_Master!A:A,Account_Master!B:B,"Not on master")</f>
        <v>0</v>
      </c>
      <c r="G630" cm="1">
        <f t="array" ref="G630">_xlfn.XLOOKUP(C630,Account_Master!A:A,Account_Master!C:C,"Not on master")</f>
        <v>0</v>
      </c>
      <c r="H630" s="6">
        <v>55.5</v>
      </c>
      <c r="I630" s="6">
        <v>55.5</v>
      </c>
      <c r="J630" s="6">
        <f>I630-H630</f>
        <v>0</v>
      </c>
      <c r="K630" s="5">
        <f>IF(H630=0,"",J630/H630)</f>
        <v>0</v>
      </c>
      <c r="L630">
        <f>IF(OR(AND(H630=0,ABS(J630)&gt;=0.01),AND(H630&lt;&gt;0,ABS(K630)&gt;VarianceThreshold)),"Review","OK")</f>
        <v>0</v>
      </c>
      <c r="M630" t="s">
        <v>33</v>
      </c>
    </row>
    <row r="631" spans="1:13">
      <c r="A631" t="s">
        <v>0</v>
      </c>
      <c r="B631" t="s">
        <v>868</v>
      </c>
      <c r="C631" t="s">
        <v>59</v>
      </c>
      <c r="D631" t="s">
        <v>873</v>
      </c>
      <c r="E631" cm="1">
        <f t="array" ref="E631">_xlfn.XLOOKUP(D631,SKU_Master!A:A,SKU_Master!B:B,"Not on master")</f>
        <v>0</v>
      </c>
      <c r="F631" cm="1">
        <f t="array" ref="F631">_xlfn.XLOOKUP(C631,Account_Master!A:A,Account_Master!B:B,"Not on master")</f>
        <v>0</v>
      </c>
      <c r="G631" cm="1">
        <f t="array" ref="G631">_xlfn.XLOOKUP(C631,Account_Master!A:A,Account_Master!C:C,"Not on master")</f>
        <v>0</v>
      </c>
      <c r="H631" s="6">
        <v>4.5</v>
      </c>
      <c r="I631" s="6">
        <v>4.5</v>
      </c>
      <c r="J631" s="6">
        <f>I631-H631</f>
        <v>0</v>
      </c>
      <c r="K631" s="5">
        <f>IF(H631=0,"",J631/H631)</f>
        <v>0</v>
      </c>
      <c r="L631">
        <f>IF(OR(AND(H631=0,ABS(J631)&gt;=0.01),AND(H631&lt;&gt;0,ABS(K631)&gt;VarianceThreshold)),"Review","OK")</f>
        <v>0</v>
      </c>
      <c r="M631" t="s">
        <v>33</v>
      </c>
    </row>
    <row r="632" spans="1:13">
      <c r="A632" t="s">
        <v>0</v>
      </c>
      <c r="B632" t="s">
        <v>868</v>
      </c>
      <c r="C632" t="s">
        <v>267</v>
      </c>
      <c r="D632" t="s">
        <v>874</v>
      </c>
      <c r="E632" cm="1">
        <f t="array" ref="E632">_xlfn.XLOOKUP(D632,SKU_Master!A:A,SKU_Master!B:B,"Not on master")</f>
        <v>0</v>
      </c>
      <c r="F632" cm="1">
        <f t="array" ref="F632">_xlfn.XLOOKUP(C632,Account_Master!A:A,Account_Master!B:B,"Not on master")</f>
        <v>0</v>
      </c>
      <c r="G632" cm="1">
        <f t="array" ref="G632">_xlfn.XLOOKUP(C632,Account_Master!A:A,Account_Master!C:C,"Not on master")</f>
        <v>0</v>
      </c>
      <c r="H632" s="6">
        <v>9</v>
      </c>
      <c r="I632" s="6">
        <v>9</v>
      </c>
      <c r="J632" s="6">
        <f>I632-H632</f>
        <v>0</v>
      </c>
      <c r="K632" s="5">
        <f>IF(H632=0,"",J632/H632)</f>
        <v>0</v>
      </c>
      <c r="L632">
        <f>IF(OR(AND(H632=0,ABS(J632)&gt;=0.01),AND(H632&lt;&gt;0,ABS(K632)&gt;VarianceThreshold)),"Review","OK")</f>
        <v>0</v>
      </c>
      <c r="M632" t="s">
        <v>33</v>
      </c>
    </row>
    <row r="633" spans="1:13">
      <c r="A633" t="s">
        <v>0</v>
      </c>
      <c r="B633" t="s">
        <v>868</v>
      </c>
      <c r="C633" t="s">
        <v>865</v>
      </c>
      <c r="D633" t="s">
        <v>875</v>
      </c>
      <c r="E633" cm="1">
        <f t="array" ref="E633">_xlfn.XLOOKUP(D633,SKU_Master!A:A,SKU_Master!B:B,"Not on master")</f>
        <v>0</v>
      </c>
      <c r="F633" cm="1">
        <f t="array" ref="F633">_xlfn.XLOOKUP(C633,Account_Master!A:A,Account_Master!B:B,"Not on master")</f>
        <v>0</v>
      </c>
      <c r="G633" cm="1">
        <f t="array" ref="G633">_xlfn.XLOOKUP(C633,Account_Master!A:A,Account_Master!C:C,"Not on master")</f>
        <v>0</v>
      </c>
      <c r="H633" s="6">
        <v>9</v>
      </c>
      <c r="I633" s="6">
        <v>9</v>
      </c>
      <c r="J633" s="6">
        <f>I633-H633</f>
        <v>0</v>
      </c>
      <c r="K633" s="5">
        <f>IF(H633=0,"",J633/H633)</f>
        <v>0</v>
      </c>
      <c r="L633">
        <f>IF(OR(AND(H633=0,ABS(J633)&gt;=0.01),AND(H633&lt;&gt;0,ABS(K633)&gt;VarianceThreshold)),"Review","OK")</f>
        <v>0</v>
      </c>
      <c r="M633" t="s">
        <v>33</v>
      </c>
    </row>
    <row r="634" spans="1:13">
      <c r="A634" t="s">
        <v>0</v>
      </c>
      <c r="B634" t="s">
        <v>876</v>
      </c>
      <c r="C634" t="s">
        <v>241</v>
      </c>
      <c r="D634" t="s">
        <v>877</v>
      </c>
      <c r="E634" cm="1">
        <f t="array" ref="E634">_xlfn.XLOOKUP(D634,SKU_Master!A:A,SKU_Master!B:B,"Not on master")</f>
        <v>0</v>
      </c>
      <c r="F634" cm="1">
        <f t="array" ref="F634">_xlfn.XLOOKUP(C634,Account_Master!A:A,Account_Master!B:B,"Not on master")</f>
        <v>0</v>
      </c>
      <c r="G634" cm="1">
        <f t="array" ref="G634">_xlfn.XLOOKUP(C634,Account_Master!A:A,Account_Master!C:C,"Not on master")</f>
        <v>0</v>
      </c>
      <c r="H634" s="6">
        <v>94.5</v>
      </c>
      <c r="I634" s="6">
        <v>94.5</v>
      </c>
      <c r="J634" s="6">
        <f>I634-H634</f>
        <v>0</v>
      </c>
      <c r="K634" s="5">
        <f>IF(H634=0,"",J634/H634)</f>
        <v>0</v>
      </c>
      <c r="L634">
        <f>IF(OR(AND(H634=0,ABS(J634)&gt;=0.01),AND(H634&lt;&gt;0,ABS(K634)&gt;VarianceThreshold)),"Review","OK")</f>
        <v>0</v>
      </c>
      <c r="M634" t="s">
        <v>33</v>
      </c>
    </row>
    <row r="635" spans="1:13">
      <c r="A635" t="s">
        <v>0</v>
      </c>
      <c r="B635" t="s">
        <v>876</v>
      </c>
      <c r="C635" t="s">
        <v>865</v>
      </c>
      <c r="D635" t="s">
        <v>878</v>
      </c>
      <c r="E635" cm="1">
        <f t="array" ref="E635">_xlfn.XLOOKUP(D635,SKU_Master!A:A,SKU_Master!B:B,"Not on master")</f>
        <v>0</v>
      </c>
      <c r="F635" cm="1">
        <f t="array" ref="F635">_xlfn.XLOOKUP(C635,Account_Master!A:A,Account_Master!B:B,"Not on master")</f>
        <v>0</v>
      </c>
      <c r="G635" cm="1">
        <f t="array" ref="G635">_xlfn.XLOOKUP(C635,Account_Master!A:A,Account_Master!C:C,"Not on master")</f>
        <v>0</v>
      </c>
      <c r="H635" s="6">
        <v>3</v>
      </c>
      <c r="I635" s="6">
        <v>3</v>
      </c>
      <c r="J635" s="6">
        <f>I635-H635</f>
        <v>0</v>
      </c>
      <c r="K635" s="5">
        <f>IF(H635=0,"",J635/H635)</f>
        <v>0</v>
      </c>
      <c r="L635">
        <f>IF(OR(AND(H635=0,ABS(J635)&gt;=0.01),AND(H635&lt;&gt;0,ABS(K635)&gt;VarianceThreshold)),"Review","OK")</f>
        <v>0</v>
      </c>
      <c r="M635" t="s">
        <v>33</v>
      </c>
    </row>
    <row r="636" spans="1:13">
      <c r="A636" t="s">
        <v>0</v>
      </c>
      <c r="B636" t="s">
        <v>876</v>
      </c>
      <c r="C636" t="s">
        <v>126</v>
      </c>
      <c r="D636" t="s">
        <v>879</v>
      </c>
      <c r="E636" cm="1">
        <f t="array" ref="E636">_xlfn.XLOOKUP(D636,SKU_Master!A:A,SKU_Master!B:B,"Not on master")</f>
        <v>0</v>
      </c>
      <c r="F636" cm="1">
        <f t="array" ref="F636">_xlfn.XLOOKUP(C636,Account_Master!A:A,Account_Master!B:B,"Not on master")</f>
        <v>0</v>
      </c>
      <c r="G636" cm="1">
        <f t="array" ref="G636">_xlfn.XLOOKUP(C636,Account_Master!A:A,Account_Master!C:C,"Not on master")</f>
        <v>0</v>
      </c>
      <c r="H636" s="6">
        <v>20.2</v>
      </c>
      <c r="I636" s="6">
        <v>20.2</v>
      </c>
      <c r="J636" s="6">
        <f>I636-H636</f>
        <v>0</v>
      </c>
      <c r="K636" s="5">
        <f>IF(H636=0,"",J636/H636)</f>
        <v>0</v>
      </c>
      <c r="L636">
        <f>IF(OR(AND(H636=0,ABS(J636)&gt;=0.01),AND(H636&lt;&gt;0,ABS(K636)&gt;VarianceThreshold)),"Review","OK")</f>
        <v>0</v>
      </c>
      <c r="M636" t="s">
        <v>33</v>
      </c>
    </row>
    <row r="637" spans="1:13">
      <c r="A637" t="s">
        <v>0</v>
      </c>
      <c r="B637" t="s">
        <v>880</v>
      </c>
      <c r="C637" t="s">
        <v>110</v>
      </c>
      <c r="D637" t="s">
        <v>881</v>
      </c>
      <c r="E637" cm="1">
        <f t="array" ref="E637">_xlfn.XLOOKUP(D637,SKU_Master!A:A,SKU_Master!B:B,"Not on master")</f>
        <v>0</v>
      </c>
      <c r="F637" cm="1">
        <f t="array" ref="F637">_xlfn.XLOOKUP(C637,Account_Master!A:A,Account_Master!B:B,"Not on master")</f>
        <v>0</v>
      </c>
      <c r="G637" cm="1">
        <f t="array" ref="G637">_xlfn.XLOOKUP(C637,Account_Master!A:A,Account_Master!C:C,"Not on master")</f>
        <v>0</v>
      </c>
      <c r="H637" s="6">
        <v>60</v>
      </c>
      <c r="I637" s="6">
        <v>60</v>
      </c>
      <c r="J637" s="6">
        <f>I637-H637</f>
        <v>0</v>
      </c>
      <c r="K637" s="5">
        <f>IF(H637=0,"",J637/H637)</f>
        <v>0</v>
      </c>
      <c r="L637">
        <f>IF(OR(AND(H637=0,ABS(J637)&gt;=0.01),AND(H637&lt;&gt;0,ABS(K637)&gt;VarianceThreshold)),"Review","OK")</f>
        <v>0</v>
      </c>
      <c r="M637" t="s">
        <v>33</v>
      </c>
    </row>
    <row r="638" spans="1:13">
      <c r="A638" t="s">
        <v>0</v>
      </c>
      <c r="B638" t="s">
        <v>880</v>
      </c>
      <c r="C638" t="s">
        <v>93</v>
      </c>
      <c r="D638" t="s">
        <v>882</v>
      </c>
      <c r="E638" cm="1">
        <f t="array" ref="E638">_xlfn.XLOOKUP(D638,SKU_Master!A:A,SKU_Master!B:B,"Not on master")</f>
        <v>0</v>
      </c>
      <c r="F638" cm="1">
        <f t="array" ref="F638">_xlfn.XLOOKUP(C638,Account_Master!A:A,Account_Master!B:B,"Not on master")</f>
        <v>0</v>
      </c>
      <c r="G638" cm="1">
        <f t="array" ref="G638">_xlfn.XLOOKUP(C638,Account_Master!A:A,Account_Master!C:C,"Not on master")</f>
        <v>0</v>
      </c>
      <c r="H638" s="6">
        <v>54</v>
      </c>
      <c r="I638" s="6">
        <v>54</v>
      </c>
      <c r="J638" s="6">
        <f>I638-H638</f>
        <v>0</v>
      </c>
      <c r="K638" s="5">
        <f>IF(H638=0,"",J638/H638)</f>
        <v>0</v>
      </c>
      <c r="L638">
        <f>IF(OR(AND(H638=0,ABS(J638)&gt;=0.01),AND(H638&lt;&gt;0,ABS(K638)&gt;VarianceThreshold)),"Review","OK")</f>
        <v>0</v>
      </c>
      <c r="M638" t="s">
        <v>33</v>
      </c>
    </row>
    <row r="639" spans="1:13">
      <c r="A639" t="s">
        <v>0</v>
      </c>
      <c r="B639" t="s">
        <v>880</v>
      </c>
      <c r="C639" t="s">
        <v>209</v>
      </c>
      <c r="D639" t="s">
        <v>883</v>
      </c>
      <c r="E639" cm="1">
        <f t="array" ref="E639">_xlfn.XLOOKUP(D639,SKU_Master!A:A,SKU_Master!B:B,"Not on master")</f>
        <v>0</v>
      </c>
      <c r="F639" cm="1">
        <f t="array" ref="F639">_xlfn.XLOOKUP(C639,Account_Master!A:A,Account_Master!B:B,"Not on master")</f>
        <v>0</v>
      </c>
      <c r="G639" cm="1">
        <f t="array" ref="G639">_xlfn.XLOOKUP(C639,Account_Master!A:A,Account_Master!C:C,"Not on master")</f>
        <v>0</v>
      </c>
      <c r="H639" s="6">
        <v>10.5</v>
      </c>
      <c r="I639" s="6">
        <v>10.5</v>
      </c>
      <c r="J639" s="6">
        <f>I639-H639</f>
        <v>0</v>
      </c>
      <c r="K639" s="5">
        <f>IF(H639=0,"",J639/H639)</f>
        <v>0</v>
      </c>
      <c r="L639">
        <f>IF(OR(AND(H639=0,ABS(J639)&gt;=0.01),AND(H639&lt;&gt;0,ABS(K639)&gt;VarianceThreshold)),"Review","OK")</f>
        <v>0</v>
      </c>
      <c r="M639" t="s">
        <v>33</v>
      </c>
    </row>
    <row r="640" spans="1:13">
      <c r="A640" t="s">
        <v>0</v>
      </c>
      <c r="B640" t="s">
        <v>880</v>
      </c>
      <c r="C640" t="s">
        <v>34</v>
      </c>
      <c r="D640" t="s">
        <v>884</v>
      </c>
      <c r="E640" cm="1">
        <f t="array" ref="E640">_xlfn.XLOOKUP(D640,SKU_Master!A:A,SKU_Master!B:B,"Not on master")</f>
        <v>0</v>
      </c>
      <c r="F640" cm="1">
        <f t="array" ref="F640">_xlfn.XLOOKUP(C640,Account_Master!A:A,Account_Master!B:B,"Not on master")</f>
        <v>0</v>
      </c>
      <c r="G640" cm="1">
        <f t="array" ref="G640">_xlfn.XLOOKUP(C640,Account_Master!A:A,Account_Master!C:C,"Not on master")</f>
        <v>0</v>
      </c>
      <c r="H640" s="6">
        <v>18</v>
      </c>
      <c r="I640" s="6">
        <v>18</v>
      </c>
      <c r="J640" s="6">
        <f>I640-H640</f>
        <v>0</v>
      </c>
      <c r="K640" s="5">
        <f>IF(H640=0,"",J640/H640)</f>
        <v>0</v>
      </c>
      <c r="L640">
        <f>IF(OR(AND(H640=0,ABS(J640)&gt;=0.01),AND(H640&lt;&gt;0,ABS(K640)&gt;VarianceThreshold)),"Review","OK")</f>
        <v>0</v>
      </c>
      <c r="M640" t="s">
        <v>33</v>
      </c>
    </row>
    <row r="641" spans="1:13">
      <c r="A641" t="s">
        <v>0</v>
      </c>
      <c r="B641" t="s">
        <v>880</v>
      </c>
      <c r="C641" t="s">
        <v>885</v>
      </c>
      <c r="D641" t="s">
        <v>886</v>
      </c>
      <c r="E641" cm="1">
        <f t="array" ref="E641">_xlfn.XLOOKUP(D641,SKU_Master!A:A,SKU_Master!B:B,"Not on master")</f>
        <v>0</v>
      </c>
      <c r="F641" cm="1">
        <f t="array" ref="F641">_xlfn.XLOOKUP(C641,Account_Master!A:A,Account_Master!B:B,"Not on master")</f>
        <v>0</v>
      </c>
      <c r="G641" cm="1">
        <f t="array" ref="G641">_xlfn.XLOOKUP(C641,Account_Master!A:A,Account_Master!C:C,"Not on master")</f>
        <v>0</v>
      </c>
      <c r="H641" s="6">
        <v>6</v>
      </c>
      <c r="I641" s="6">
        <v>6</v>
      </c>
      <c r="J641" s="6">
        <f>I641-H641</f>
        <v>0</v>
      </c>
      <c r="K641" s="5">
        <f>IF(H641=0,"",J641/H641)</f>
        <v>0</v>
      </c>
      <c r="L641">
        <f>IF(OR(AND(H641=0,ABS(J641)&gt;=0.01),AND(H641&lt;&gt;0,ABS(K641)&gt;VarianceThreshold)),"Review","OK")</f>
        <v>0</v>
      </c>
      <c r="M641" t="s">
        <v>33</v>
      </c>
    </row>
    <row r="642" spans="1:13">
      <c r="A642" t="s">
        <v>0</v>
      </c>
      <c r="B642" t="s">
        <v>880</v>
      </c>
      <c r="C642" t="s">
        <v>84</v>
      </c>
      <c r="D642" t="s">
        <v>887</v>
      </c>
      <c r="E642" cm="1">
        <f t="array" ref="E642">_xlfn.XLOOKUP(D642,SKU_Master!A:A,SKU_Master!B:B,"Not on master")</f>
        <v>0</v>
      </c>
      <c r="F642" cm="1">
        <f t="array" ref="F642">_xlfn.XLOOKUP(C642,Account_Master!A:A,Account_Master!B:B,"Not on master")</f>
        <v>0</v>
      </c>
      <c r="G642" cm="1">
        <f t="array" ref="G642">_xlfn.XLOOKUP(C642,Account_Master!A:A,Account_Master!C:C,"Not on master")</f>
        <v>0</v>
      </c>
      <c r="H642" s="6">
        <v>4.5</v>
      </c>
      <c r="I642" s="6">
        <v>4.5</v>
      </c>
      <c r="J642" s="6">
        <f>I642-H642</f>
        <v>0</v>
      </c>
      <c r="K642" s="5">
        <f>IF(H642=0,"",J642/H642)</f>
        <v>0</v>
      </c>
      <c r="L642">
        <f>IF(OR(AND(H642=0,ABS(J642)&gt;=0.01),AND(H642&lt;&gt;0,ABS(K642)&gt;VarianceThreshold)),"Review","OK")</f>
        <v>0</v>
      </c>
      <c r="M642" t="s">
        <v>33</v>
      </c>
    </row>
    <row r="643" spans="1:13">
      <c r="A643" t="s">
        <v>0</v>
      </c>
      <c r="B643" t="s">
        <v>880</v>
      </c>
      <c r="C643" t="s">
        <v>93</v>
      </c>
      <c r="D643" t="s">
        <v>888</v>
      </c>
      <c r="E643" cm="1">
        <f t="array" ref="E643">_xlfn.XLOOKUP(D643,SKU_Master!A:A,SKU_Master!B:B,"Not on master")</f>
        <v>0</v>
      </c>
      <c r="F643" cm="1">
        <f t="array" ref="F643">_xlfn.XLOOKUP(C643,Account_Master!A:A,Account_Master!B:B,"Not on master")</f>
        <v>0</v>
      </c>
      <c r="G643" cm="1">
        <f t="array" ref="G643">_xlfn.XLOOKUP(C643,Account_Master!A:A,Account_Master!C:C,"Not on master")</f>
        <v>0</v>
      </c>
      <c r="H643" s="6">
        <v>45.75</v>
      </c>
      <c r="I643" s="6">
        <v>45.75</v>
      </c>
      <c r="J643" s="6">
        <f>I643-H643</f>
        <v>0</v>
      </c>
      <c r="K643" s="5">
        <f>IF(H643=0,"",J643/H643)</f>
        <v>0</v>
      </c>
      <c r="L643">
        <f>IF(OR(AND(H643=0,ABS(J643)&gt;=0.01),AND(H643&lt;&gt;0,ABS(K643)&gt;VarianceThreshold)),"Review","OK")</f>
        <v>0</v>
      </c>
      <c r="M643" t="s">
        <v>33</v>
      </c>
    </row>
    <row r="644" spans="1:13">
      <c r="A644" t="s">
        <v>0</v>
      </c>
      <c r="B644" t="s">
        <v>880</v>
      </c>
      <c r="C644" t="s">
        <v>45</v>
      </c>
      <c r="D644" t="s">
        <v>889</v>
      </c>
      <c r="E644" cm="1">
        <f t="array" ref="E644">_xlfn.XLOOKUP(D644,SKU_Master!A:A,SKU_Master!B:B,"Not on master")</f>
        <v>0</v>
      </c>
      <c r="F644" cm="1">
        <f t="array" ref="F644">_xlfn.XLOOKUP(C644,Account_Master!A:A,Account_Master!B:B,"Not on master")</f>
        <v>0</v>
      </c>
      <c r="G644" cm="1">
        <f t="array" ref="G644">_xlfn.XLOOKUP(C644,Account_Master!A:A,Account_Master!C:C,"Not on master")</f>
        <v>0</v>
      </c>
      <c r="H644" s="6">
        <v>4.5</v>
      </c>
      <c r="I644" s="6">
        <v>4.5</v>
      </c>
      <c r="J644" s="6">
        <f>I644-H644</f>
        <v>0</v>
      </c>
      <c r="K644" s="5">
        <f>IF(H644=0,"",J644/H644)</f>
        <v>0</v>
      </c>
      <c r="L644">
        <f>IF(OR(AND(H644=0,ABS(J644)&gt;=0.01),AND(H644&lt;&gt;0,ABS(K644)&gt;VarianceThreshold)),"Review","OK")</f>
        <v>0</v>
      </c>
      <c r="M644" t="s">
        <v>33</v>
      </c>
    </row>
    <row r="645" spans="1:13">
      <c r="A645" t="s">
        <v>0</v>
      </c>
      <c r="B645" t="s">
        <v>880</v>
      </c>
      <c r="C645" t="s">
        <v>31</v>
      </c>
      <c r="D645" t="s">
        <v>890</v>
      </c>
      <c r="E645" cm="1">
        <f t="array" ref="E645">_xlfn.XLOOKUP(D645,SKU_Master!A:A,SKU_Master!B:B,"Not on master")</f>
        <v>0</v>
      </c>
      <c r="F645" cm="1">
        <f t="array" ref="F645">_xlfn.XLOOKUP(C645,Account_Master!A:A,Account_Master!B:B,"Not on master")</f>
        <v>0</v>
      </c>
      <c r="G645" cm="1">
        <f t="array" ref="G645">_xlfn.XLOOKUP(C645,Account_Master!A:A,Account_Master!C:C,"Not on master")</f>
        <v>0</v>
      </c>
      <c r="H645" s="6">
        <v>171</v>
      </c>
      <c r="I645" s="6">
        <v>171</v>
      </c>
      <c r="J645" s="6">
        <f>I645-H645</f>
        <v>0</v>
      </c>
      <c r="K645" s="5">
        <f>IF(H645=0,"",J645/H645)</f>
        <v>0</v>
      </c>
      <c r="L645">
        <f>IF(OR(AND(H645=0,ABS(J645)&gt;=0.01),AND(H645&lt;&gt;0,ABS(K645)&gt;VarianceThreshold)),"Review","OK")</f>
        <v>0</v>
      </c>
      <c r="M645" t="s">
        <v>33</v>
      </c>
    </row>
    <row r="646" spans="1:13">
      <c r="A646" t="s">
        <v>0</v>
      </c>
      <c r="B646" t="s">
        <v>891</v>
      </c>
      <c r="C646" t="s">
        <v>84</v>
      </c>
      <c r="D646" t="s">
        <v>892</v>
      </c>
      <c r="E646" cm="1">
        <f t="array" ref="E646">_xlfn.XLOOKUP(D646,SKU_Master!A:A,SKU_Master!B:B,"Not on master")</f>
        <v>0</v>
      </c>
      <c r="F646" cm="1">
        <f t="array" ref="F646">_xlfn.XLOOKUP(C646,Account_Master!A:A,Account_Master!B:B,"Not on master")</f>
        <v>0</v>
      </c>
      <c r="G646" cm="1">
        <f t="array" ref="G646">_xlfn.XLOOKUP(C646,Account_Master!A:A,Account_Master!C:C,"Not on master")</f>
        <v>0</v>
      </c>
      <c r="H646" s="6">
        <v>9</v>
      </c>
      <c r="I646" s="6">
        <v>9</v>
      </c>
      <c r="J646" s="6">
        <f>I646-H646</f>
        <v>0</v>
      </c>
      <c r="K646" s="5">
        <f>IF(H646=0,"",J646/H646)</f>
        <v>0</v>
      </c>
      <c r="L646">
        <f>IF(OR(AND(H646=0,ABS(J646)&gt;=0.01),AND(H646&lt;&gt;0,ABS(K646)&gt;VarianceThreshold)),"Review","OK")</f>
        <v>0</v>
      </c>
      <c r="M646" t="s">
        <v>33</v>
      </c>
    </row>
    <row r="647" spans="1:13">
      <c r="A647" t="s">
        <v>0</v>
      </c>
      <c r="B647" t="s">
        <v>891</v>
      </c>
      <c r="C647" t="s">
        <v>128</v>
      </c>
      <c r="D647" t="s">
        <v>893</v>
      </c>
      <c r="E647" cm="1">
        <f t="array" ref="E647">_xlfn.XLOOKUP(D647,SKU_Master!A:A,SKU_Master!B:B,"Not on master")</f>
        <v>0</v>
      </c>
      <c r="F647" cm="1">
        <f t="array" ref="F647">_xlfn.XLOOKUP(C647,Account_Master!A:A,Account_Master!B:B,"Not on master")</f>
        <v>0</v>
      </c>
      <c r="G647" cm="1">
        <f t="array" ref="G647">_xlfn.XLOOKUP(C647,Account_Master!A:A,Account_Master!C:C,"Not on master")</f>
        <v>0</v>
      </c>
      <c r="H647" s="6">
        <v>8.25</v>
      </c>
      <c r="I647" s="6">
        <v>8.25</v>
      </c>
      <c r="J647" s="6">
        <f>I647-H647</f>
        <v>0</v>
      </c>
      <c r="K647" s="5">
        <f>IF(H647=0,"",J647/H647)</f>
        <v>0</v>
      </c>
      <c r="L647">
        <f>IF(OR(AND(H647=0,ABS(J647)&gt;=0.01),AND(H647&lt;&gt;0,ABS(K647)&gt;VarianceThreshold)),"Review","OK")</f>
        <v>0</v>
      </c>
      <c r="M647" t="s">
        <v>33</v>
      </c>
    </row>
    <row r="648" spans="1:13">
      <c r="A648" t="s">
        <v>0</v>
      </c>
      <c r="B648" t="s">
        <v>891</v>
      </c>
      <c r="C648" t="s">
        <v>894</v>
      </c>
      <c r="D648" t="s">
        <v>895</v>
      </c>
      <c r="E648" cm="1">
        <f t="array" ref="E648">_xlfn.XLOOKUP(D648,SKU_Master!A:A,SKU_Master!B:B,"Not on master")</f>
        <v>0</v>
      </c>
      <c r="F648" cm="1">
        <f t="array" ref="F648">_xlfn.XLOOKUP(C648,Account_Master!A:A,Account_Master!B:B,"Not on master")</f>
        <v>0</v>
      </c>
      <c r="G648" cm="1">
        <f t="array" ref="G648">_xlfn.XLOOKUP(C648,Account_Master!A:A,Account_Master!C:C,"Not on master")</f>
        <v>0</v>
      </c>
      <c r="H648" s="6">
        <v>0.1</v>
      </c>
      <c r="I648" s="6">
        <v>0.1</v>
      </c>
      <c r="J648" s="6">
        <f>I648-H648</f>
        <v>0</v>
      </c>
      <c r="K648" s="5">
        <f>IF(H648=0,"",J648/H648)</f>
        <v>0</v>
      </c>
      <c r="L648">
        <f>IF(OR(AND(H648=0,ABS(J648)&gt;=0.01),AND(H648&lt;&gt;0,ABS(K648)&gt;VarianceThreshold)),"Review","OK")</f>
        <v>0</v>
      </c>
      <c r="M648" t="s">
        <v>33</v>
      </c>
    </row>
    <row r="649" spans="1:13">
      <c r="A649" t="s">
        <v>0</v>
      </c>
      <c r="B649" t="s">
        <v>891</v>
      </c>
      <c r="C649" t="s">
        <v>750</v>
      </c>
      <c r="D649" t="s">
        <v>896</v>
      </c>
      <c r="E649" cm="1">
        <f t="array" ref="E649">_xlfn.XLOOKUP(D649,SKU_Master!A:A,SKU_Master!B:B,"Not on master")</f>
        <v>0</v>
      </c>
      <c r="F649" cm="1">
        <f t="array" ref="F649">_xlfn.XLOOKUP(C649,Account_Master!A:A,Account_Master!B:B,"Not on master")</f>
        <v>0</v>
      </c>
      <c r="G649" cm="1">
        <f t="array" ref="G649">_xlfn.XLOOKUP(C649,Account_Master!A:A,Account_Master!C:C,"Not on master")</f>
        <v>0</v>
      </c>
      <c r="H649" s="6">
        <v>9.369999999999999</v>
      </c>
      <c r="I649" s="6">
        <v>9.369999999999999</v>
      </c>
      <c r="J649" s="6">
        <f>I649-H649</f>
        <v>0</v>
      </c>
      <c r="K649" s="5">
        <f>IF(H649=0,"",J649/H649)</f>
        <v>0</v>
      </c>
      <c r="L649">
        <f>IF(OR(AND(H649=0,ABS(J649)&gt;=0.01),AND(H649&lt;&gt;0,ABS(K649)&gt;VarianceThreshold)),"Review","OK")</f>
        <v>0</v>
      </c>
      <c r="M649" t="s">
        <v>33</v>
      </c>
    </row>
    <row r="650" spans="1:13">
      <c r="A650" t="s">
        <v>0</v>
      </c>
      <c r="B650" t="s">
        <v>891</v>
      </c>
      <c r="C650" t="s">
        <v>274</v>
      </c>
      <c r="D650" t="s">
        <v>897</v>
      </c>
      <c r="E650" cm="1">
        <f t="array" ref="E650">_xlfn.XLOOKUP(D650,SKU_Master!A:A,SKU_Master!B:B,"Not on master")</f>
        <v>0</v>
      </c>
      <c r="F650" cm="1">
        <f t="array" ref="F650">_xlfn.XLOOKUP(C650,Account_Master!A:A,Account_Master!B:B,"Not on master")</f>
        <v>0</v>
      </c>
      <c r="G650" cm="1">
        <f t="array" ref="G650">_xlfn.XLOOKUP(C650,Account_Master!A:A,Account_Master!C:C,"Not on master")</f>
        <v>0</v>
      </c>
      <c r="H650" s="6">
        <v>9.75</v>
      </c>
      <c r="I650" s="6">
        <v>9.75</v>
      </c>
      <c r="J650" s="6">
        <f>I650-H650</f>
        <v>0</v>
      </c>
      <c r="K650" s="5">
        <f>IF(H650=0,"",J650/H650)</f>
        <v>0</v>
      </c>
      <c r="L650">
        <f>IF(OR(AND(H650=0,ABS(J650)&gt;=0.01),AND(H650&lt;&gt;0,ABS(K650)&gt;VarianceThreshold)),"Review","OK")</f>
        <v>0</v>
      </c>
      <c r="M650" t="s">
        <v>33</v>
      </c>
    </row>
    <row r="651" spans="1:13">
      <c r="A651" t="s">
        <v>0</v>
      </c>
      <c r="B651" t="s">
        <v>891</v>
      </c>
      <c r="C651" t="s">
        <v>84</v>
      </c>
      <c r="D651" t="s">
        <v>898</v>
      </c>
      <c r="E651" cm="1">
        <f t="array" ref="E651">_xlfn.XLOOKUP(D651,SKU_Master!A:A,SKU_Master!B:B,"Not on master")</f>
        <v>0</v>
      </c>
      <c r="F651" cm="1">
        <f t="array" ref="F651">_xlfn.XLOOKUP(C651,Account_Master!A:A,Account_Master!B:B,"Not on master")</f>
        <v>0</v>
      </c>
      <c r="G651" cm="1">
        <f t="array" ref="G651">_xlfn.XLOOKUP(C651,Account_Master!A:A,Account_Master!C:C,"Not on master")</f>
        <v>0</v>
      </c>
      <c r="H651" s="6">
        <v>24</v>
      </c>
      <c r="I651" s="6">
        <v>24</v>
      </c>
      <c r="J651" s="6">
        <f>I651-H651</f>
        <v>0</v>
      </c>
      <c r="K651" s="5">
        <f>IF(H651=0,"",J651/H651)</f>
        <v>0</v>
      </c>
      <c r="L651">
        <f>IF(OR(AND(H651=0,ABS(J651)&gt;=0.01),AND(H651&lt;&gt;0,ABS(K651)&gt;VarianceThreshold)),"Review","OK")</f>
        <v>0</v>
      </c>
      <c r="M651" t="s">
        <v>33</v>
      </c>
    </row>
    <row r="652" spans="1:13">
      <c r="A652" t="s">
        <v>0</v>
      </c>
      <c r="B652" t="s">
        <v>891</v>
      </c>
      <c r="C652" t="s">
        <v>84</v>
      </c>
      <c r="D652" t="s">
        <v>899</v>
      </c>
      <c r="E652" cm="1">
        <f t="array" ref="E652">_xlfn.XLOOKUP(D652,SKU_Master!A:A,SKU_Master!B:B,"Not on master")</f>
        <v>0</v>
      </c>
      <c r="F652" cm="1">
        <f t="array" ref="F652">_xlfn.XLOOKUP(C652,Account_Master!A:A,Account_Master!B:B,"Not on master")</f>
        <v>0</v>
      </c>
      <c r="G652" cm="1">
        <f t="array" ref="G652">_xlfn.XLOOKUP(C652,Account_Master!A:A,Account_Master!C:C,"Not on master")</f>
        <v>0</v>
      </c>
      <c r="H652" s="6">
        <v>24.75</v>
      </c>
      <c r="I652" s="6">
        <v>24.75</v>
      </c>
      <c r="J652" s="6">
        <f>I652-H652</f>
        <v>0</v>
      </c>
      <c r="K652" s="5">
        <f>IF(H652=0,"",J652/H652)</f>
        <v>0</v>
      </c>
      <c r="L652">
        <f>IF(OR(AND(H652=0,ABS(J652)&gt;=0.01),AND(H652&lt;&gt;0,ABS(K652)&gt;VarianceThreshold)),"Review","OK")</f>
        <v>0</v>
      </c>
      <c r="M652" t="s">
        <v>33</v>
      </c>
    </row>
    <row r="653" spans="1:13">
      <c r="A653" t="s">
        <v>0</v>
      </c>
      <c r="B653" t="s">
        <v>891</v>
      </c>
      <c r="C653" t="s">
        <v>84</v>
      </c>
      <c r="D653" t="s">
        <v>900</v>
      </c>
      <c r="E653" cm="1">
        <f t="array" ref="E653">_xlfn.XLOOKUP(D653,SKU_Master!A:A,SKU_Master!B:B,"Not on master")</f>
        <v>0</v>
      </c>
      <c r="F653" cm="1">
        <f t="array" ref="F653">_xlfn.XLOOKUP(C653,Account_Master!A:A,Account_Master!B:B,"Not on master")</f>
        <v>0</v>
      </c>
      <c r="G653" cm="1">
        <f t="array" ref="G653">_xlfn.XLOOKUP(C653,Account_Master!A:A,Account_Master!C:C,"Not on master")</f>
        <v>0</v>
      </c>
      <c r="H653" s="6">
        <v>24</v>
      </c>
      <c r="I653" s="6">
        <v>24</v>
      </c>
      <c r="J653" s="6">
        <f>I653-H653</f>
        <v>0</v>
      </c>
      <c r="K653" s="5">
        <f>IF(H653=0,"",J653/H653)</f>
        <v>0</v>
      </c>
      <c r="L653">
        <f>IF(OR(AND(H653=0,ABS(J653)&gt;=0.01),AND(H653&lt;&gt;0,ABS(K653)&gt;VarianceThreshold)),"Review","OK")</f>
        <v>0</v>
      </c>
      <c r="M653" t="s">
        <v>33</v>
      </c>
    </row>
    <row r="654" spans="1:13">
      <c r="A654" t="s">
        <v>0</v>
      </c>
      <c r="B654" t="s">
        <v>891</v>
      </c>
      <c r="C654" t="s">
        <v>31</v>
      </c>
      <c r="D654" t="s">
        <v>901</v>
      </c>
      <c r="E654" cm="1">
        <f t="array" ref="E654">_xlfn.XLOOKUP(D654,SKU_Master!A:A,SKU_Master!B:B,"Not on master")</f>
        <v>0</v>
      </c>
      <c r="F654" cm="1">
        <f t="array" ref="F654">_xlfn.XLOOKUP(C654,Account_Master!A:A,Account_Master!B:B,"Not on master")</f>
        <v>0</v>
      </c>
      <c r="G654" cm="1">
        <f t="array" ref="G654">_xlfn.XLOOKUP(C654,Account_Master!A:A,Account_Master!C:C,"Not on master")</f>
        <v>0</v>
      </c>
      <c r="H654" s="6">
        <v>53.25</v>
      </c>
      <c r="I654" s="6">
        <v>53.25</v>
      </c>
      <c r="J654" s="6">
        <f>I654-H654</f>
        <v>0</v>
      </c>
      <c r="K654" s="5">
        <f>IF(H654=0,"",J654/H654)</f>
        <v>0</v>
      </c>
      <c r="L654">
        <f>IF(OR(AND(H654=0,ABS(J654)&gt;=0.01),AND(H654&lt;&gt;0,ABS(K654)&gt;VarianceThreshold)),"Review","OK")</f>
        <v>0</v>
      </c>
      <c r="M654" t="s">
        <v>33</v>
      </c>
    </row>
    <row r="655" spans="1:13">
      <c r="A655" t="s">
        <v>0</v>
      </c>
      <c r="B655" t="s">
        <v>891</v>
      </c>
      <c r="C655" t="s">
        <v>377</v>
      </c>
      <c r="D655" t="s">
        <v>902</v>
      </c>
      <c r="E655" cm="1">
        <f t="array" ref="E655">_xlfn.XLOOKUP(D655,SKU_Master!A:A,SKU_Master!B:B,"Not on master")</f>
        <v>0</v>
      </c>
      <c r="F655" cm="1">
        <f t="array" ref="F655">_xlfn.XLOOKUP(C655,Account_Master!A:A,Account_Master!B:B,"Not on master")</f>
        <v>0</v>
      </c>
      <c r="G655" cm="1">
        <f t="array" ref="G655">_xlfn.XLOOKUP(C655,Account_Master!A:A,Account_Master!C:C,"Not on master")</f>
        <v>0</v>
      </c>
      <c r="H655" s="6">
        <v>15</v>
      </c>
      <c r="I655" s="6">
        <v>15</v>
      </c>
      <c r="J655" s="6">
        <f>I655-H655</f>
        <v>0</v>
      </c>
      <c r="K655" s="5">
        <f>IF(H655=0,"",J655/H655)</f>
        <v>0</v>
      </c>
      <c r="L655">
        <f>IF(OR(AND(H655=0,ABS(J655)&gt;=0.01),AND(H655&lt;&gt;0,ABS(K655)&gt;VarianceThreshold)),"Review","OK")</f>
        <v>0</v>
      </c>
      <c r="M655" t="s">
        <v>33</v>
      </c>
    </row>
    <row r="656" spans="1:13">
      <c r="A656" t="s">
        <v>0</v>
      </c>
      <c r="B656" t="s">
        <v>903</v>
      </c>
      <c r="C656" t="s">
        <v>209</v>
      </c>
      <c r="D656" t="s">
        <v>904</v>
      </c>
      <c r="E656" cm="1">
        <f t="array" ref="E656">_xlfn.XLOOKUP(D656,SKU_Master!A:A,SKU_Master!B:B,"Not on master")</f>
        <v>0</v>
      </c>
      <c r="F656" cm="1">
        <f t="array" ref="F656">_xlfn.XLOOKUP(C656,Account_Master!A:A,Account_Master!B:B,"Not on master")</f>
        <v>0</v>
      </c>
      <c r="G656" cm="1">
        <f t="array" ref="G656">_xlfn.XLOOKUP(C656,Account_Master!A:A,Account_Master!C:C,"Not on master")</f>
        <v>0</v>
      </c>
      <c r="H656" s="6">
        <v>38.25</v>
      </c>
      <c r="I656" s="6">
        <v>38.25</v>
      </c>
      <c r="J656" s="6">
        <f>I656-H656</f>
        <v>0</v>
      </c>
      <c r="K656" s="5">
        <f>IF(H656=0,"",J656/H656)</f>
        <v>0</v>
      </c>
      <c r="L656">
        <f>IF(OR(AND(H656=0,ABS(J656)&gt;=0.01),AND(H656&lt;&gt;0,ABS(K656)&gt;VarianceThreshold)),"Review","OK")</f>
        <v>0</v>
      </c>
      <c r="M656" t="s">
        <v>33</v>
      </c>
    </row>
    <row r="657" spans="1:13">
      <c r="A657" t="s">
        <v>0</v>
      </c>
      <c r="B657" t="s">
        <v>903</v>
      </c>
      <c r="C657" t="s">
        <v>495</v>
      </c>
      <c r="D657" t="s">
        <v>905</v>
      </c>
      <c r="E657" cm="1">
        <f t="array" ref="E657">_xlfn.XLOOKUP(D657,SKU_Master!A:A,SKU_Master!B:B,"Not on master")</f>
        <v>0</v>
      </c>
      <c r="F657" cm="1">
        <f t="array" ref="F657">_xlfn.XLOOKUP(C657,Account_Master!A:A,Account_Master!B:B,"Not on master")</f>
        <v>0</v>
      </c>
      <c r="G657" cm="1">
        <f t="array" ref="G657">_xlfn.XLOOKUP(C657,Account_Master!A:A,Account_Master!C:C,"Not on master")</f>
        <v>0</v>
      </c>
      <c r="H657" s="6">
        <v>9</v>
      </c>
      <c r="I657" s="6">
        <v>9</v>
      </c>
      <c r="J657" s="6">
        <f>I657-H657</f>
        <v>0</v>
      </c>
      <c r="K657" s="5">
        <f>IF(H657=0,"",J657/H657)</f>
        <v>0</v>
      </c>
      <c r="L657">
        <f>IF(OR(AND(H657=0,ABS(J657)&gt;=0.01),AND(H657&lt;&gt;0,ABS(K657)&gt;VarianceThreshold)),"Review","OK")</f>
        <v>0</v>
      </c>
      <c r="M657" t="s">
        <v>33</v>
      </c>
    </row>
    <row r="658" spans="1:13">
      <c r="A658" t="s">
        <v>0</v>
      </c>
      <c r="B658" t="s">
        <v>903</v>
      </c>
      <c r="C658" t="s">
        <v>906</v>
      </c>
      <c r="D658" t="s">
        <v>907</v>
      </c>
      <c r="E658" cm="1">
        <f t="array" ref="E658">_xlfn.XLOOKUP(D658,SKU_Master!A:A,SKU_Master!B:B,"Not on master")</f>
        <v>0</v>
      </c>
      <c r="F658" cm="1">
        <f t="array" ref="F658">_xlfn.XLOOKUP(C658,Account_Master!A:A,Account_Master!B:B,"Not on master")</f>
        <v>0</v>
      </c>
      <c r="G658" cm="1">
        <f t="array" ref="G658">_xlfn.XLOOKUP(C658,Account_Master!A:A,Account_Master!C:C,"Not on master")</f>
        <v>0</v>
      </c>
      <c r="H658" s="6">
        <v>1.5</v>
      </c>
      <c r="I658" s="6">
        <v>1.5</v>
      </c>
      <c r="J658" s="6">
        <f>I658-H658</f>
        <v>0</v>
      </c>
      <c r="K658" s="5">
        <f>IF(H658=0,"",J658/H658)</f>
        <v>0</v>
      </c>
      <c r="L658">
        <f>IF(OR(AND(H658=0,ABS(J658)&gt;=0.01),AND(H658&lt;&gt;0,ABS(K658)&gt;VarianceThreshold)),"Review","OK")</f>
        <v>0</v>
      </c>
      <c r="M658" t="s">
        <v>33</v>
      </c>
    </row>
    <row r="659" spans="1:13">
      <c r="A659" t="s">
        <v>0</v>
      </c>
      <c r="B659" t="s">
        <v>903</v>
      </c>
      <c r="C659" t="s">
        <v>31</v>
      </c>
      <c r="D659" t="s">
        <v>908</v>
      </c>
      <c r="E659" cm="1">
        <f t="array" ref="E659">_xlfn.XLOOKUP(D659,SKU_Master!A:A,SKU_Master!B:B,"Not on master")</f>
        <v>0</v>
      </c>
      <c r="F659" cm="1">
        <f t="array" ref="F659">_xlfn.XLOOKUP(C659,Account_Master!A:A,Account_Master!B:B,"Not on master")</f>
        <v>0</v>
      </c>
      <c r="G659" cm="1">
        <f t="array" ref="G659">_xlfn.XLOOKUP(C659,Account_Master!A:A,Account_Master!C:C,"Not on master")</f>
        <v>0</v>
      </c>
      <c r="H659" s="6">
        <v>5.4</v>
      </c>
      <c r="I659" s="6">
        <v>5.4</v>
      </c>
      <c r="J659" s="6">
        <f>I659-H659</f>
        <v>0</v>
      </c>
      <c r="K659" s="5">
        <f>IF(H659=0,"",J659/H659)</f>
        <v>0</v>
      </c>
      <c r="L659">
        <f>IF(OR(AND(H659=0,ABS(J659)&gt;=0.01),AND(H659&lt;&gt;0,ABS(K659)&gt;VarianceThreshold)),"Review","OK")</f>
        <v>0</v>
      </c>
      <c r="M659" t="s">
        <v>33</v>
      </c>
    </row>
    <row r="660" spans="1:13">
      <c r="A660" t="s">
        <v>0</v>
      </c>
      <c r="B660" t="s">
        <v>903</v>
      </c>
      <c r="C660" t="s">
        <v>495</v>
      </c>
      <c r="D660" t="s">
        <v>909</v>
      </c>
      <c r="E660" cm="1">
        <f t="array" ref="E660">_xlfn.XLOOKUP(D660,SKU_Master!A:A,SKU_Master!B:B,"Not on master")</f>
        <v>0</v>
      </c>
      <c r="F660" cm="1">
        <f t="array" ref="F660">_xlfn.XLOOKUP(C660,Account_Master!A:A,Account_Master!B:B,"Not on master")</f>
        <v>0</v>
      </c>
      <c r="G660" cm="1">
        <f t="array" ref="G660">_xlfn.XLOOKUP(C660,Account_Master!A:A,Account_Master!C:C,"Not on master")</f>
        <v>0</v>
      </c>
      <c r="H660" s="6">
        <v>24</v>
      </c>
      <c r="I660" s="6">
        <v>24</v>
      </c>
      <c r="J660" s="6">
        <f>I660-H660</f>
        <v>0</v>
      </c>
      <c r="K660" s="5">
        <f>IF(H660=0,"",J660/H660)</f>
        <v>0</v>
      </c>
      <c r="L660">
        <f>IF(OR(AND(H660=0,ABS(J660)&gt;=0.01),AND(H660&lt;&gt;0,ABS(K660)&gt;VarianceThreshold)),"Review","OK")</f>
        <v>0</v>
      </c>
      <c r="M660" t="s">
        <v>33</v>
      </c>
    </row>
    <row r="661" spans="1:13">
      <c r="A661" t="s">
        <v>0</v>
      </c>
      <c r="B661" t="s">
        <v>903</v>
      </c>
      <c r="C661" t="s">
        <v>126</v>
      </c>
      <c r="D661" t="s">
        <v>910</v>
      </c>
      <c r="E661" cm="1">
        <f t="array" ref="E661">_xlfn.XLOOKUP(D661,SKU_Master!A:A,SKU_Master!B:B,"Not on master")</f>
        <v>0</v>
      </c>
      <c r="F661" cm="1">
        <f t="array" ref="F661">_xlfn.XLOOKUP(C661,Account_Master!A:A,Account_Master!B:B,"Not on master")</f>
        <v>0</v>
      </c>
      <c r="G661" cm="1">
        <f t="array" ref="G661">_xlfn.XLOOKUP(C661,Account_Master!A:A,Account_Master!C:C,"Not on master")</f>
        <v>0</v>
      </c>
      <c r="H661" s="6">
        <v>9</v>
      </c>
      <c r="I661" s="6">
        <v>9</v>
      </c>
      <c r="J661" s="6">
        <f>I661-H661</f>
        <v>0</v>
      </c>
      <c r="K661" s="5">
        <f>IF(H661=0,"",J661/H661)</f>
        <v>0</v>
      </c>
      <c r="L661">
        <f>IF(OR(AND(H661=0,ABS(J661)&gt;=0.01),AND(H661&lt;&gt;0,ABS(K661)&gt;VarianceThreshold)),"Review","OK")</f>
        <v>0</v>
      </c>
      <c r="M661" t="s">
        <v>33</v>
      </c>
    </row>
    <row r="662" spans="1:13">
      <c r="A662" t="s">
        <v>0</v>
      </c>
      <c r="B662" t="s">
        <v>903</v>
      </c>
      <c r="C662" t="s">
        <v>911</v>
      </c>
      <c r="D662" t="s">
        <v>912</v>
      </c>
      <c r="E662" cm="1">
        <f t="array" ref="E662">_xlfn.XLOOKUP(D662,SKU_Master!A:A,SKU_Master!B:B,"Not on master")</f>
        <v>0</v>
      </c>
      <c r="F662" cm="1">
        <f t="array" ref="F662">_xlfn.XLOOKUP(C662,Account_Master!A:A,Account_Master!B:B,"Not on master")</f>
        <v>0</v>
      </c>
      <c r="G662" cm="1">
        <f t="array" ref="G662">_xlfn.XLOOKUP(C662,Account_Master!A:A,Account_Master!C:C,"Not on master")</f>
        <v>0</v>
      </c>
      <c r="H662" s="6">
        <v>0.05</v>
      </c>
      <c r="I662" s="6">
        <v>0.05</v>
      </c>
      <c r="J662" s="6">
        <f>I662-H662</f>
        <v>0</v>
      </c>
      <c r="K662" s="5">
        <f>IF(H662=0,"",J662/H662)</f>
        <v>0</v>
      </c>
      <c r="L662">
        <f>IF(OR(AND(H662=0,ABS(J662)&gt;=0.01),AND(H662&lt;&gt;0,ABS(K662)&gt;VarianceThreshold)),"Review","OK")</f>
        <v>0</v>
      </c>
      <c r="M662" t="s">
        <v>33</v>
      </c>
    </row>
    <row r="663" spans="1:13">
      <c r="A663" t="s">
        <v>0</v>
      </c>
      <c r="B663" t="s">
        <v>903</v>
      </c>
      <c r="C663" t="s">
        <v>80</v>
      </c>
      <c r="D663" t="s">
        <v>913</v>
      </c>
      <c r="E663" cm="1">
        <f t="array" ref="E663">_xlfn.XLOOKUP(D663,SKU_Master!A:A,SKU_Master!B:B,"Not on master")</f>
        <v>0</v>
      </c>
      <c r="F663" cm="1">
        <f t="array" ref="F663">_xlfn.XLOOKUP(C663,Account_Master!A:A,Account_Master!B:B,"Not on master")</f>
        <v>0</v>
      </c>
      <c r="G663" cm="1">
        <f t="array" ref="G663">_xlfn.XLOOKUP(C663,Account_Master!A:A,Account_Master!C:C,"Not on master")</f>
        <v>0</v>
      </c>
      <c r="H663" s="6">
        <v>46.5</v>
      </c>
      <c r="I663" s="6">
        <v>46.5</v>
      </c>
      <c r="J663" s="6">
        <f>I663-H663</f>
        <v>0</v>
      </c>
      <c r="K663" s="5">
        <f>IF(H663=0,"",J663/H663)</f>
        <v>0</v>
      </c>
      <c r="L663">
        <f>IF(OR(AND(H663=0,ABS(J663)&gt;=0.01),AND(H663&lt;&gt;0,ABS(K663)&gt;VarianceThreshold)),"Review","OK")</f>
        <v>0</v>
      </c>
      <c r="M663" t="s">
        <v>33</v>
      </c>
    </row>
    <row r="664" spans="1:13">
      <c r="A664" t="s">
        <v>0</v>
      </c>
      <c r="B664" t="s">
        <v>903</v>
      </c>
      <c r="C664" t="s">
        <v>43</v>
      </c>
      <c r="D664" t="s">
        <v>914</v>
      </c>
      <c r="E664" cm="1">
        <f t="array" ref="E664">_xlfn.XLOOKUP(D664,SKU_Master!A:A,SKU_Master!B:B,"Not on master")</f>
        <v>0</v>
      </c>
      <c r="F664" cm="1">
        <f t="array" ref="F664">_xlfn.XLOOKUP(C664,Account_Master!A:A,Account_Master!B:B,"Not on master")</f>
        <v>0</v>
      </c>
      <c r="G664" cm="1">
        <f t="array" ref="G664">_xlfn.XLOOKUP(C664,Account_Master!A:A,Account_Master!C:C,"Not on master")</f>
        <v>0</v>
      </c>
      <c r="H664" s="6">
        <v>4.5</v>
      </c>
      <c r="I664" s="6">
        <v>4.5</v>
      </c>
      <c r="J664" s="6">
        <f>I664-H664</f>
        <v>0</v>
      </c>
      <c r="K664" s="5">
        <f>IF(H664=0,"",J664/H664)</f>
        <v>0</v>
      </c>
      <c r="L664">
        <f>IF(OR(AND(H664=0,ABS(J664)&gt;=0.01),AND(H664&lt;&gt;0,ABS(K664)&gt;VarianceThreshold)),"Review","OK")</f>
        <v>0</v>
      </c>
      <c r="M664" t="s">
        <v>33</v>
      </c>
    </row>
    <row r="665" spans="1:13">
      <c r="A665" t="s">
        <v>0</v>
      </c>
      <c r="B665" t="s">
        <v>915</v>
      </c>
      <c r="C665" t="s">
        <v>257</v>
      </c>
      <c r="D665" t="s">
        <v>916</v>
      </c>
      <c r="E665" cm="1">
        <f t="array" ref="E665">_xlfn.XLOOKUP(D665,SKU_Master!A:A,SKU_Master!B:B,"Not on master")</f>
        <v>0</v>
      </c>
      <c r="F665" cm="1">
        <f t="array" ref="F665">_xlfn.XLOOKUP(C665,Account_Master!A:A,Account_Master!B:B,"Not on master")</f>
        <v>0</v>
      </c>
      <c r="G665" cm="1">
        <f t="array" ref="G665">_xlfn.XLOOKUP(C665,Account_Master!A:A,Account_Master!C:C,"Not on master")</f>
        <v>0</v>
      </c>
      <c r="H665" s="6">
        <v>11.4</v>
      </c>
      <c r="I665" s="6">
        <v>11.4</v>
      </c>
      <c r="J665" s="6">
        <f>I665-H665</f>
        <v>0</v>
      </c>
      <c r="K665" s="5">
        <f>IF(H665=0,"",J665/H665)</f>
        <v>0</v>
      </c>
      <c r="L665">
        <f>IF(OR(AND(H665=0,ABS(J665)&gt;=0.01),AND(H665&lt;&gt;0,ABS(K665)&gt;VarianceThreshold)),"Review","OK")</f>
        <v>0</v>
      </c>
      <c r="M665" t="s">
        <v>33</v>
      </c>
    </row>
    <row r="666" spans="1:13">
      <c r="A666" t="s">
        <v>0</v>
      </c>
      <c r="B666" t="s">
        <v>915</v>
      </c>
      <c r="C666" t="s">
        <v>31</v>
      </c>
      <c r="D666" t="s">
        <v>917</v>
      </c>
      <c r="E666" cm="1">
        <f t="array" ref="E666">_xlfn.XLOOKUP(D666,SKU_Master!A:A,SKU_Master!B:B,"Not on master")</f>
        <v>0</v>
      </c>
      <c r="F666" cm="1">
        <f t="array" ref="F666">_xlfn.XLOOKUP(C666,Account_Master!A:A,Account_Master!B:B,"Not on master")</f>
        <v>0</v>
      </c>
      <c r="G666" cm="1">
        <f t="array" ref="G666">_xlfn.XLOOKUP(C666,Account_Master!A:A,Account_Master!C:C,"Not on master")</f>
        <v>0</v>
      </c>
      <c r="H666" s="6">
        <v>20.25</v>
      </c>
      <c r="I666" s="6">
        <v>20.25</v>
      </c>
      <c r="J666" s="6">
        <f>I666-H666</f>
        <v>0</v>
      </c>
      <c r="K666" s="5">
        <f>IF(H666=0,"",J666/H666)</f>
        <v>0</v>
      </c>
      <c r="L666">
        <f>IF(OR(AND(H666=0,ABS(J666)&gt;=0.01),AND(H666&lt;&gt;0,ABS(K666)&gt;VarianceThreshold)),"Review","OK")</f>
        <v>0</v>
      </c>
      <c r="M666" t="s">
        <v>33</v>
      </c>
    </row>
    <row r="667" spans="1:13">
      <c r="A667" t="s">
        <v>0</v>
      </c>
      <c r="B667" t="s">
        <v>915</v>
      </c>
      <c r="C667" t="s">
        <v>31</v>
      </c>
      <c r="D667" t="s">
        <v>918</v>
      </c>
      <c r="E667" cm="1">
        <f t="array" ref="E667">_xlfn.XLOOKUP(D667,SKU_Master!A:A,SKU_Master!B:B,"Not on master")</f>
        <v>0</v>
      </c>
      <c r="F667" cm="1">
        <f t="array" ref="F667">_xlfn.XLOOKUP(C667,Account_Master!A:A,Account_Master!B:B,"Not on master")</f>
        <v>0</v>
      </c>
      <c r="G667" cm="1">
        <f t="array" ref="G667">_xlfn.XLOOKUP(C667,Account_Master!A:A,Account_Master!C:C,"Not on master")</f>
        <v>0</v>
      </c>
      <c r="H667" s="6">
        <v>37.5</v>
      </c>
      <c r="I667" s="6">
        <v>37.5</v>
      </c>
      <c r="J667" s="6">
        <f>I667-H667</f>
        <v>0</v>
      </c>
      <c r="K667" s="5">
        <f>IF(H667=0,"",J667/H667)</f>
        <v>0</v>
      </c>
      <c r="L667">
        <f>IF(OR(AND(H667=0,ABS(J667)&gt;=0.01),AND(H667&lt;&gt;0,ABS(K667)&gt;VarianceThreshold)),"Review","OK")</f>
        <v>0</v>
      </c>
      <c r="M667" t="s">
        <v>33</v>
      </c>
    </row>
    <row r="668" spans="1:13">
      <c r="A668" t="s">
        <v>0</v>
      </c>
      <c r="B668" t="s">
        <v>915</v>
      </c>
      <c r="C668" t="s">
        <v>84</v>
      </c>
      <c r="D668" t="s">
        <v>919</v>
      </c>
      <c r="E668" cm="1">
        <f t="array" ref="E668">_xlfn.XLOOKUP(D668,SKU_Master!A:A,SKU_Master!B:B,"Not on master")</f>
        <v>0</v>
      </c>
      <c r="F668" cm="1">
        <f t="array" ref="F668">_xlfn.XLOOKUP(C668,Account_Master!A:A,Account_Master!B:B,"Not on master")</f>
        <v>0</v>
      </c>
      <c r="G668" cm="1">
        <f t="array" ref="G668">_xlfn.XLOOKUP(C668,Account_Master!A:A,Account_Master!C:C,"Not on master")</f>
        <v>0</v>
      </c>
      <c r="H668" s="6">
        <v>207.6</v>
      </c>
      <c r="I668" s="6">
        <v>207.6</v>
      </c>
      <c r="J668" s="6">
        <f>I668-H668</f>
        <v>0</v>
      </c>
      <c r="K668" s="5">
        <f>IF(H668=0,"",J668/H668)</f>
        <v>0</v>
      </c>
      <c r="L668">
        <f>IF(OR(AND(H668=0,ABS(J668)&gt;=0.01),AND(H668&lt;&gt;0,ABS(K668)&gt;VarianceThreshold)),"Review","OK")</f>
        <v>0</v>
      </c>
      <c r="M668" t="s">
        <v>33</v>
      </c>
    </row>
    <row r="669" spans="1:13">
      <c r="A669" t="s">
        <v>0</v>
      </c>
      <c r="B669" t="s">
        <v>915</v>
      </c>
      <c r="C669" t="s">
        <v>56</v>
      </c>
      <c r="D669" t="s">
        <v>920</v>
      </c>
      <c r="E669" cm="1">
        <f t="array" ref="E669">_xlfn.XLOOKUP(D669,SKU_Master!A:A,SKU_Master!B:B,"Not on master")</f>
        <v>0</v>
      </c>
      <c r="F669" cm="1">
        <f t="array" ref="F669">_xlfn.XLOOKUP(C669,Account_Master!A:A,Account_Master!B:B,"Not on master")</f>
        <v>0</v>
      </c>
      <c r="G669" cm="1">
        <f t="array" ref="G669">_xlfn.XLOOKUP(C669,Account_Master!A:A,Account_Master!C:C,"Not on master")</f>
        <v>0</v>
      </c>
      <c r="H669" s="6">
        <v>13.5</v>
      </c>
      <c r="I669" s="6">
        <v>13.5</v>
      </c>
      <c r="J669" s="6">
        <f>I669-H669</f>
        <v>0</v>
      </c>
      <c r="K669" s="5">
        <f>IF(H669=0,"",J669/H669)</f>
        <v>0</v>
      </c>
      <c r="L669">
        <f>IF(OR(AND(H669=0,ABS(J669)&gt;=0.01),AND(H669&lt;&gt;0,ABS(K669)&gt;VarianceThreshold)),"Review","OK")</f>
        <v>0</v>
      </c>
      <c r="M669" t="s">
        <v>33</v>
      </c>
    </row>
    <row r="670" spans="1:13">
      <c r="A670" t="s">
        <v>0</v>
      </c>
      <c r="B670" t="s">
        <v>915</v>
      </c>
      <c r="C670" t="s">
        <v>479</v>
      </c>
      <c r="D670" t="s">
        <v>921</v>
      </c>
      <c r="E670" cm="1">
        <f t="array" ref="E670">_xlfn.XLOOKUP(D670,SKU_Master!A:A,SKU_Master!B:B,"Not on master")</f>
        <v>0</v>
      </c>
      <c r="F670" cm="1">
        <f t="array" ref="F670">_xlfn.XLOOKUP(C670,Account_Master!A:A,Account_Master!B:B,"Not on master")</f>
        <v>0</v>
      </c>
      <c r="G670" cm="1">
        <f t="array" ref="G670">_xlfn.XLOOKUP(C670,Account_Master!A:A,Account_Master!C:C,"Not on master")</f>
        <v>0</v>
      </c>
      <c r="H670" s="6">
        <v>6.75</v>
      </c>
      <c r="I670" s="6">
        <v>6.75</v>
      </c>
      <c r="J670" s="6">
        <f>I670-H670</f>
        <v>0</v>
      </c>
      <c r="K670" s="5">
        <f>IF(H670=0,"",J670/H670)</f>
        <v>0</v>
      </c>
      <c r="L670">
        <f>IF(OR(AND(H670=0,ABS(J670)&gt;=0.01),AND(H670&lt;&gt;0,ABS(K670)&gt;VarianceThreshold)),"Review","OK")</f>
        <v>0</v>
      </c>
      <c r="M670" t="s">
        <v>33</v>
      </c>
    </row>
    <row r="671" spans="1:13">
      <c r="A671" t="s">
        <v>0</v>
      </c>
      <c r="B671" t="s">
        <v>922</v>
      </c>
      <c r="C671" t="s">
        <v>923</v>
      </c>
      <c r="D671" t="s">
        <v>924</v>
      </c>
      <c r="E671" cm="1">
        <f t="array" ref="E671">_xlfn.XLOOKUP(D671,SKU_Master!A:A,SKU_Master!B:B,"Not on master")</f>
        <v>0</v>
      </c>
      <c r="F671" cm="1">
        <f t="array" ref="F671">_xlfn.XLOOKUP(C671,Account_Master!A:A,Account_Master!B:B,"Not on master")</f>
        <v>0</v>
      </c>
      <c r="G671" cm="1">
        <f t="array" ref="G671">_xlfn.XLOOKUP(C671,Account_Master!A:A,Account_Master!C:C,"Not on master")</f>
        <v>0</v>
      </c>
      <c r="H671" s="6">
        <v>2.25</v>
      </c>
      <c r="I671" s="6">
        <v>2.25</v>
      </c>
      <c r="J671" s="6">
        <f>I671-H671</f>
        <v>0</v>
      </c>
      <c r="K671" s="5">
        <f>IF(H671=0,"",J671/H671)</f>
        <v>0</v>
      </c>
      <c r="L671">
        <f>IF(OR(AND(H671=0,ABS(J671)&gt;=0.01),AND(H671&lt;&gt;0,ABS(K671)&gt;VarianceThreshold)),"Review","OK")</f>
        <v>0</v>
      </c>
      <c r="M671" t="s">
        <v>33</v>
      </c>
    </row>
    <row r="672" spans="1:13">
      <c r="A672" t="s">
        <v>0</v>
      </c>
      <c r="B672" t="s">
        <v>922</v>
      </c>
      <c r="C672" t="s">
        <v>925</v>
      </c>
      <c r="D672" t="s">
        <v>926</v>
      </c>
      <c r="E672" cm="1">
        <f t="array" ref="E672">_xlfn.XLOOKUP(D672,SKU_Master!A:A,SKU_Master!B:B,"Not on master")</f>
        <v>0</v>
      </c>
      <c r="F672" cm="1">
        <f t="array" ref="F672">_xlfn.XLOOKUP(C672,Account_Master!A:A,Account_Master!B:B,"Not on master")</f>
        <v>0</v>
      </c>
      <c r="G672" cm="1">
        <f t="array" ref="G672">_xlfn.XLOOKUP(C672,Account_Master!A:A,Account_Master!C:C,"Not on master")</f>
        <v>0</v>
      </c>
      <c r="H672" s="6">
        <v>2.25</v>
      </c>
      <c r="I672" s="6">
        <v>2.25</v>
      </c>
      <c r="J672" s="6">
        <f>I672-H672</f>
        <v>0</v>
      </c>
      <c r="K672" s="5">
        <f>IF(H672=0,"",J672/H672)</f>
        <v>0</v>
      </c>
      <c r="L672">
        <f>IF(OR(AND(H672=0,ABS(J672)&gt;=0.01),AND(H672&lt;&gt;0,ABS(K672)&gt;VarianceThreshold)),"Review","OK")</f>
        <v>0</v>
      </c>
      <c r="M672" t="s">
        <v>33</v>
      </c>
    </row>
    <row r="673" spans="1:13">
      <c r="A673" t="s">
        <v>0</v>
      </c>
      <c r="B673" t="s">
        <v>922</v>
      </c>
      <c r="C673" t="s">
        <v>162</v>
      </c>
      <c r="D673" t="s">
        <v>927</v>
      </c>
      <c r="E673" cm="1">
        <f t="array" ref="E673">_xlfn.XLOOKUP(D673,SKU_Master!A:A,SKU_Master!B:B,"Not on master")</f>
        <v>0</v>
      </c>
      <c r="F673" cm="1">
        <f t="array" ref="F673">_xlfn.XLOOKUP(C673,Account_Master!A:A,Account_Master!B:B,"Not on master")</f>
        <v>0</v>
      </c>
      <c r="G673" cm="1">
        <f t="array" ref="G673">_xlfn.XLOOKUP(C673,Account_Master!A:A,Account_Master!C:C,"Not on master")</f>
        <v>0</v>
      </c>
      <c r="H673" s="6">
        <v>1134</v>
      </c>
      <c r="I673" s="6">
        <v>1134</v>
      </c>
      <c r="J673" s="6">
        <f>I673-H673</f>
        <v>0</v>
      </c>
      <c r="K673" s="5">
        <f>IF(H673=0,"",J673/H673)</f>
        <v>0</v>
      </c>
      <c r="L673">
        <f>IF(OR(AND(H673=0,ABS(J673)&gt;=0.01),AND(H673&lt;&gt;0,ABS(K673)&gt;VarianceThreshold)),"Review","OK")</f>
        <v>0</v>
      </c>
      <c r="M673" t="s">
        <v>33</v>
      </c>
    </row>
    <row r="674" spans="1:13">
      <c r="A674" t="s">
        <v>0</v>
      </c>
      <c r="B674" t="s">
        <v>922</v>
      </c>
      <c r="C674" t="s">
        <v>106</v>
      </c>
      <c r="D674" t="s">
        <v>928</v>
      </c>
      <c r="E674" cm="1">
        <f t="array" ref="E674">_xlfn.XLOOKUP(D674,SKU_Master!A:A,SKU_Master!B:B,"Not on master")</f>
        <v>0</v>
      </c>
      <c r="F674" cm="1">
        <f t="array" ref="F674">_xlfn.XLOOKUP(C674,Account_Master!A:A,Account_Master!B:B,"Not on master")</f>
        <v>0</v>
      </c>
      <c r="G674" cm="1">
        <f t="array" ref="G674">_xlfn.XLOOKUP(C674,Account_Master!A:A,Account_Master!C:C,"Not on master")</f>
        <v>0</v>
      </c>
      <c r="H674" s="6">
        <v>9</v>
      </c>
      <c r="I674" s="6">
        <v>9</v>
      </c>
      <c r="J674" s="6">
        <f>I674-H674</f>
        <v>0</v>
      </c>
      <c r="K674" s="5">
        <f>IF(H674=0,"",J674/H674)</f>
        <v>0</v>
      </c>
      <c r="L674">
        <f>IF(OR(AND(H674=0,ABS(J674)&gt;=0.01),AND(H674&lt;&gt;0,ABS(K674)&gt;VarianceThreshold)),"Review","OK")</f>
        <v>0</v>
      </c>
      <c r="M674" t="s">
        <v>33</v>
      </c>
    </row>
    <row r="675" spans="1:13">
      <c r="A675" t="s">
        <v>0</v>
      </c>
      <c r="B675" t="s">
        <v>922</v>
      </c>
      <c r="C675" t="s">
        <v>929</v>
      </c>
      <c r="D675" t="s">
        <v>930</v>
      </c>
      <c r="E675" cm="1">
        <f t="array" ref="E675">_xlfn.XLOOKUP(D675,SKU_Master!A:A,SKU_Master!B:B,"Not on master")</f>
        <v>0</v>
      </c>
      <c r="F675" cm="1">
        <f t="array" ref="F675">_xlfn.XLOOKUP(C675,Account_Master!A:A,Account_Master!B:B,"Not on master")</f>
        <v>0</v>
      </c>
      <c r="G675" cm="1">
        <f t="array" ref="G675">_xlfn.XLOOKUP(C675,Account_Master!A:A,Account_Master!C:C,"Not on master")</f>
        <v>0</v>
      </c>
      <c r="H675" s="6">
        <v>0.75</v>
      </c>
      <c r="I675" s="6">
        <v>0.75</v>
      </c>
      <c r="J675" s="6">
        <f>I675-H675</f>
        <v>0</v>
      </c>
      <c r="K675" s="5">
        <f>IF(H675=0,"",J675/H675)</f>
        <v>0</v>
      </c>
      <c r="L675">
        <f>IF(OR(AND(H675=0,ABS(J675)&gt;=0.01),AND(H675&lt;&gt;0,ABS(K675)&gt;VarianceThreshold)),"Review","OK")</f>
        <v>0</v>
      </c>
      <c r="M675" t="s">
        <v>33</v>
      </c>
    </row>
    <row r="676" spans="1:13">
      <c r="A676" t="s">
        <v>0</v>
      </c>
      <c r="B676" t="s">
        <v>922</v>
      </c>
      <c r="C676" t="s">
        <v>31</v>
      </c>
      <c r="D676" t="s">
        <v>931</v>
      </c>
      <c r="E676" cm="1">
        <f t="array" ref="E676">_xlfn.XLOOKUP(D676,SKU_Master!A:A,SKU_Master!B:B,"Not on master")</f>
        <v>0</v>
      </c>
      <c r="F676" cm="1">
        <f t="array" ref="F676">_xlfn.XLOOKUP(C676,Account_Master!A:A,Account_Master!B:B,"Not on master")</f>
        <v>0</v>
      </c>
      <c r="G676" cm="1">
        <f t="array" ref="G676">_xlfn.XLOOKUP(C676,Account_Master!A:A,Account_Master!C:C,"Not on master")</f>
        <v>0</v>
      </c>
      <c r="H676" s="6">
        <v>96</v>
      </c>
      <c r="I676" s="6">
        <v>96</v>
      </c>
      <c r="J676" s="6">
        <f>I676-H676</f>
        <v>0</v>
      </c>
      <c r="K676" s="5">
        <f>IF(H676=0,"",J676/H676)</f>
        <v>0</v>
      </c>
      <c r="L676">
        <f>IF(OR(AND(H676=0,ABS(J676)&gt;=0.01),AND(H676&lt;&gt;0,ABS(K676)&gt;VarianceThreshold)),"Review","OK")</f>
        <v>0</v>
      </c>
      <c r="M676" t="s">
        <v>33</v>
      </c>
    </row>
    <row r="677" spans="1:13">
      <c r="A677" t="s">
        <v>0</v>
      </c>
      <c r="B677" t="s">
        <v>922</v>
      </c>
      <c r="C677" t="s">
        <v>31</v>
      </c>
      <c r="D677" t="s">
        <v>932</v>
      </c>
      <c r="E677" cm="1">
        <f t="array" ref="E677">_xlfn.XLOOKUP(D677,SKU_Master!A:A,SKU_Master!B:B,"Not on master")</f>
        <v>0</v>
      </c>
      <c r="F677" cm="1">
        <f t="array" ref="F677">_xlfn.XLOOKUP(C677,Account_Master!A:A,Account_Master!B:B,"Not on master")</f>
        <v>0</v>
      </c>
      <c r="G677" cm="1">
        <f t="array" ref="G677">_xlfn.XLOOKUP(C677,Account_Master!A:A,Account_Master!C:C,"Not on master")</f>
        <v>0</v>
      </c>
      <c r="H677" s="6">
        <v>63</v>
      </c>
      <c r="I677" s="6">
        <v>63</v>
      </c>
      <c r="J677" s="6">
        <f>I677-H677</f>
        <v>0</v>
      </c>
      <c r="K677" s="5">
        <f>IF(H677=0,"",J677/H677)</f>
        <v>0</v>
      </c>
      <c r="L677">
        <f>IF(OR(AND(H677=0,ABS(J677)&gt;=0.01),AND(H677&lt;&gt;0,ABS(K677)&gt;VarianceThreshold)),"Review","OK")</f>
        <v>0</v>
      </c>
      <c r="M677" t="s">
        <v>33</v>
      </c>
    </row>
    <row r="678" spans="1:13">
      <c r="A678" t="s">
        <v>0</v>
      </c>
      <c r="B678" t="s">
        <v>922</v>
      </c>
      <c r="C678" t="s">
        <v>84</v>
      </c>
      <c r="D678" t="s">
        <v>933</v>
      </c>
      <c r="E678" cm="1">
        <f t="array" ref="E678">_xlfn.XLOOKUP(D678,SKU_Master!A:A,SKU_Master!B:B,"Not on master")</f>
        <v>0</v>
      </c>
      <c r="F678" cm="1">
        <f t="array" ref="F678">_xlfn.XLOOKUP(C678,Account_Master!A:A,Account_Master!B:B,"Not on master")</f>
        <v>0</v>
      </c>
      <c r="G678" cm="1">
        <f t="array" ref="G678">_xlfn.XLOOKUP(C678,Account_Master!A:A,Account_Master!C:C,"Not on master")</f>
        <v>0</v>
      </c>
      <c r="H678" s="6">
        <v>10.5</v>
      </c>
      <c r="I678" s="6">
        <v>10.5</v>
      </c>
      <c r="J678" s="6">
        <f>I678-H678</f>
        <v>0</v>
      </c>
      <c r="K678" s="5">
        <f>IF(H678=0,"",J678/H678)</f>
        <v>0</v>
      </c>
      <c r="L678">
        <f>IF(OR(AND(H678=0,ABS(J678)&gt;=0.01),AND(H678&lt;&gt;0,ABS(K678)&gt;VarianceThreshold)),"Review","OK")</f>
        <v>0</v>
      </c>
      <c r="M678" t="s">
        <v>33</v>
      </c>
    </row>
    <row r="679" spans="1:13">
      <c r="A679" t="s">
        <v>0</v>
      </c>
      <c r="B679" t="s">
        <v>934</v>
      </c>
      <c r="C679" t="s">
        <v>212</v>
      </c>
      <c r="D679" t="s">
        <v>935</v>
      </c>
      <c r="E679" cm="1">
        <f t="array" ref="E679">_xlfn.XLOOKUP(D679,SKU_Master!A:A,SKU_Master!B:B,"Not on master")</f>
        <v>0</v>
      </c>
      <c r="F679" cm="1">
        <f t="array" ref="F679">_xlfn.XLOOKUP(C679,Account_Master!A:A,Account_Master!B:B,"Not on master")</f>
        <v>0</v>
      </c>
      <c r="G679" cm="1">
        <f t="array" ref="G679">_xlfn.XLOOKUP(C679,Account_Master!A:A,Account_Master!C:C,"Not on master")</f>
        <v>0</v>
      </c>
      <c r="H679" s="6">
        <v>4.2</v>
      </c>
      <c r="I679" s="6">
        <v>4.2</v>
      </c>
      <c r="J679" s="6">
        <f>I679-H679</f>
        <v>0</v>
      </c>
      <c r="K679" s="5">
        <f>IF(H679=0,"",J679/H679)</f>
        <v>0</v>
      </c>
      <c r="L679">
        <f>IF(OR(AND(H679=0,ABS(J679)&gt;=0.01),AND(H679&lt;&gt;0,ABS(K679)&gt;VarianceThreshold)),"Review","OK")</f>
        <v>0</v>
      </c>
      <c r="M679" t="s">
        <v>33</v>
      </c>
    </row>
    <row r="680" spans="1:13">
      <c r="A680" t="s">
        <v>0</v>
      </c>
      <c r="B680" t="s">
        <v>934</v>
      </c>
      <c r="C680" t="s">
        <v>274</v>
      </c>
      <c r="D680" t="s">
        <v>936</v>
      </c>
      <c r="E680" cm="1">
        <f t="array" ref="E680">_xlfn.XLOOKUP(D680,SKU_Master!A:A,SKU_Master!B:B,"Not on master")</f>
        <v>0</v>
      </c>
      <c r="F680" cm="1">
        <f t="array" ref="F680">_xlfn.XLOOKUP(C680,Account_Master!A:A,Account_Master!B:B,"Not on master")</f>
        <v>0</v>
      </c>
      <c r="G680" cm="1">
        <f t="array" ref="G680">_xlfn.XLOOKUP(C680,Account_Master!A:A,Account_Master!C:C,"Not on master")</f>
        <v>0</v>
      </c>
      <c r="H680" s="6">
        <v>10.5</v>
      </c>
      <c r="I680" s="6">
        <v>10.5</v>
      </c>
      <c r="J680" s="6">
        <f>I680-H680</f>
        <v>0</v>
      </c>
      <c r="K680" s="5">
        <f>IF(H680=0,"",J680/H680)</f>
        <v>0</v>
      </c>
      <c r="L680">
        <f>IF(OR(AND(H680=0,ABS(J680)&gt;=0.01),AND(H680&lt;&gt;0,ABS(K680)&gt;VarianceThreshold)),"Review","OK")</f>
        <v>0</v>
      </c>
      <c r="M680" t="s">
        <v>33</v>
      </c>
    </row>
    <row r="681" spans="1:13">
      <c r="A681" t="s">
        <v>0</v>
      </c>
      <c r="B681" t="s">
        <v>934</v>
      </c>
      <c r="C681" t="s">
        <v>937</v>
      </c>
      <c r="D681" t="s">
        <v>938</v>
      </c>
      <c r="E681" cm="1">
        <f t="array" ref="E681">_xlfn.XLOOKUP(D681,SKU_Master!A:A,SKU_Master!B:B,"Not on master")</f>
        <v>0</v>
      </c>
      <c r="F681" cm="1">
        <f t="array" ref="F681">_xlfn.XLOOKUP(C681,Account_Master!A:A,Account_Master!B:B,"Not on master")</f>
        <v>0</v>
      </c>
      <c r="G681" cm="1">
        <f t="array" ref="G681">_xlfn.XLOOKUP(C681,Account_Master!A:A,Account_Master!C:C,"Not on master")</f>
        <v>0</v>
      </c>
      <c r="H681" s="6">
        <v>9</v>
      </c>
      <c r="I681" s="6">
        <v>9</v>
      </c>
      <c r="J681" s="6">
        <f>I681-H681</f>
        <v>0</v>
      </c>
      <c r="K681" s="5">
        <f>IF(H681=0,"",J681/H681)</f>
        <v>0</v>
      </c>
      <c r="L681">
        <f>IF(OR(AND(H681=0,ABS(J681)&gt;=0.01),AND(H681&lt;&gt;0,ABS(K681)&gt;VarianceThreshold)),"Review","OK")</f>
        <v>0</v>
      </c>
      <c r="M681" t="s">
        <v>33</v>
      </c>
    </row>
    <row r="682" spans="1:13">
      <c r="A682" t="s">
        <v>0</v>
      </c>
      <c r="B682" t="s">
        <v>934</v>
      </c>
      <c r="C682" t="s">
        <v>209</v>
      </c>
      <c r="D682" t="s">
        <v>939</v>
      </c>
      <c r="E682" cm="1">
        <f t="array" ref="E682">_xlfn.XLOOKUP(D682,SKU_Master!A:A,SKU_Master!B:B,"Not on master")</f>
        <v>0</v>
      </c>
      <c r="F682" cm="1">
        <f t="array" ref="F682">_xlfn.XLOOKUP(C682,Account_Master!A:A,Account_Master!B:B,"Not on master")</f>
        <v>0</v>
      </c>
      <c r="G682" cm="1">
        <f t="array" ref="G682">_xlfn.XLOOKUP(C682,Account_Master!A:A,Account_Master!C:C,"Not on master")</f>
        <v>0</v>
      </c>
      <c r="H682" s="6">
        <v>21.75</v>
      </c>
      <c r="I682" s="6">
        <v>21.75</v>
      </c>
      <c r="J682" s="6">
        <f>I682-H682</f>
        <v>0</v>
      </c>
      <c r="K682" s="5">
        <f>IF(H682=0,"",J682/H682)</f>
        <v>0</v>
      </c>
      <c r="L682">
        <f>IF(OR(AND(H682=0,ABS(J682)&gt;=0.01),AND(H682&lt;&gt;0,ABS(K682)&gt;VarianceThreshold)),"Review","OK")</f>
        <v>0</v>
      </c>
      <c r="M682" t="s">
        <v>33</v>
      </c>
    </row>
    <row r="683" spans="1:13">
      <c r="A683" t="s">
        <v>0</v>
      </c>
      <c r="B683" t="s">
        <v>934</v>
      </c>
      <c r="C683" t="s">
        <v>906</v>
      </c>
      <c r="D683" t="s">
        <v>940</v>
      </c>
      <c r="E683" cm="1">
        <f t="array" ref="E683">_xlfn.XLOOKUP(D683,SKU_Master!A:A,SKU_Master!B:B,"Not on master")</f>
        <v>0</v>
      </c>
      <c r="F683" cm="1">
        <f t="array" ref="F683">_xlfn.XLOOKUP(C683,Account_Master!A:A,Account_Master!B:B,"Not on master")</f>
        <v>0</v>
      </c>
      <c r="G683" cm="1">
        <f t="array" ref="G683">_xlfn.XLOOKUP(C683,Account_Master!A:A,Account_Master!C:C,"Not on master")</f>
        <v>0</v>
      </c>
      <c r="H683" s="6">
        <v>62.25</v>
      </c>
      <c r="I683" s="6">
        <v>62.25</v>
      </c>
      <c r="J683" s="6">
        <f>I683-H683</f>
        <v>0</v>
      </c>
      <c r="K683" s="5">
        <f>IF(H683=0,"",J683/H683)</f>
        <v>0</v>
      </c>
      <c r="L683">
        <f>IF(OR(AND(H683=0,ABS(J683)&gt;=0.01),AND(H683&lt;&gt;0,ABS(K683)&gt;VarianceThreshold)),"Review","OK")</f>
        <v>0</v>
      </c>
      <c r="M683" t="s">
        <v>33</v>
      </c>
    </row>
    <row r="684" spans="1:13">
      <c r="A684" t="s">
        <v>0</v>
      </c>
      <c r="B684" t="s">
        <v>934</v>
      </c>
      <c r="C684" t="s">
        <v>152</v>
      </c>
      <c r="D684" t="s">
        <v>941</v>
      </c>
      <c r="E684" cm="1">
        <f t="array" ref="E684">_xlfn.XLOOKUP(D684,SKU_Master!A:A,SKU_Master!B:B,"Not on master")</f>
        <v>0</v>
      </c>
      <c r="F684" cm="1">
        <f t="array" ref="F684">_xlfn.XLOOKUP(C684,Account_Master!A:A,Account_Master!B:B,"Not on master")</f>
        <v>0</v>
      </c>
      <c r="G684" cm="1">
        <f t="array" ref="G684">_xlfn.XLOOKUP(C684,Account_Master!A:A,Account_Master!C:C,"Not on master")</f>
        <v>0</v>
      </c>
      <c r="H684" s="6">
        <v>10.5</v>
      </c>
      <c r="I684" s="6">
        <v>10.5</v>
      </c>
      <c r="J684" s="6">
        <f>I684-H684</f>
        <v>0</v>
      </c>
      <c r="K684" s="5">
        <f>IF(H684=0,"",J684/H684)</f>
        <v>0</v>
      </c>
      <c r="L684">
        <f>IF(OR(AND(H684=0,ABS(J684)&gt;=0.01),AND(H684&lt;&gt;0,ABS(K684)&gt;VarianceThreshold)),"Review","OK")</f>
        <v>0</v>
      </c>
      <c r="M684" t="s">
        <v>33</v>
      </c>
    </row>
    <row r="685" spans="1:13">
      <c r="A685" t="s">
        <v>0</v>
      </c>
      <c r="B685" t="s">
        <v>934</v>
      </c>
      <c r="C685" t="s">
        <v>34</v>
      </c>
      <c r="D685" t="s">
        <v>942</v>
      </c>
      <c r="E685" cm="1">
        <f t="array" ref="E685">_xlfn.XLOOKUP(D685,SKU_Master!A:A,SKU_Master!B:B,"Not on master")</f>
        <v>0</v>
      </c>
      <c r="F685" cm="1">
        <f t="array" ref="F685">_xlfn.XLOOKUP(C685,Account_Master!A:A,Account_Master!B:B,"Not on master")</f>
        <v>0</v>
      </c>
      <c r="G685" cm="1">
        <f t="array" ref="G685">_xlfn.XLOOKUP(C685,Account_Master!A:A,Account_Master!C:C,"Not on master")</f>
        <v>0</v>
      </c>
      <c r="H685" s="6">
        <v>10.5</v>
      </c>
      <c r="I685" s="6">
        <v>10.5</v>
      </c>
      <c r="J685" s="6">
        <f>I685-H685</f>
        <v>0</v>
      </c>
      <c r="K685" s="5">
        <f>IF(H685=0,"",J685/H685)</f>
        <v>0</v>
      </c>
      <c r="L685">
        <f>IF(OR(AND(H685=0,ABS(J685)&gt;=0.01),AND(H685&lt;&gt;0,ABS(K685)&gt;VarianceThreshold)),"Review","OK")</f>
        <v>0</v>
      </c>
      <c r="M685" t="s">
        <v>33</v>
      </c>
    </row>
    <row r="686" spans="1:13">
      <c r="A686" t="s">
        <v>0</v>
      </c>
      <c r="B686" t="s">
        <v>934</v>
      </c>
      <c r="C686" t="s">
        <v>444</v>
      </c>
      <c r="D686" t="s">
        <v>943</v>
      </c>
      <c r="E686" cm="1">
        <f t="array" ref="E686">_xlfn.XLOOKUP(D686,SKU_Master!A:A,SKU_Master!B:B,"Not on master")</f>
        <v>0</v>
      </c>
      <c r="F686" cm="1">
        <f t="array" ref="F686">_xlfn.XLOOKUP(C686,Account_Master!A:A,Account_Master!B:B,"Not on master")</f>
        <v>0</v>
      </c>
      <c r="G686" cm="1">
        <f t="array" ref="G686">_xlfn.XLOOKUP(C686,Account_Master!A:A,Account_Master!C:C,"Not on master")</f>
        <v>0</v>
      </c>
      <c r="H686" s="6">
        <v>10.5</v>
      </c>
      <c r="I686" s="6">
        <v>10.5</v>
      </c>
      <c r="J686" s="6">
        <f>I686-H686</f>
        <v>0</v>
      </c>
      <c r="K686" s="5">
        <f>IF(H686=0,"",J686/H686)</f>
        <v>0</v>
      </c>
      <c r="L686">
        <f>IF(OR(AND(H686=0,ABS(J686)&gt;=0.01),AND(H686&lt;&gt;0,ABS(K686)&gt;VarianceThreshold)),"Review","OK")</f>
        <v>0</v>
      </c>
      <c r="M686" t="s">
        <v>33</v>
      </c>
    </row>
    <row r="687" spans="1:13">
      <c r="A687" t="s">
        <v>0</v>
      </c>
      <c r="B687" t="s">
        <v>944</v>
      </c>
      <c r="C687" t="s">
        <v>885</v>
      </c>
      <c r="D687" t="s">
        <v>945</v>
      </c>
      <c r="E687" cm="1">
        <f t="array" ref="E687">_xlfn.XLOOKUP(D687,SKU_Master!A:A,SKU_Master!B:B,"Not on master")</f>
        <v>0</v>
      </c>
      <c r="F687" cm="1">
        <f t="array" ref="F687">_xlfn.XLOOKUP(C687,Account_Master!A:A,Account_Master!B:B,"Not on master")</f>
        <v>0</v>
      </c>
      <c r="G687" cm="1">
        <f t="array" ref="G687">_xlfn.XLOOKUP(C687,Account_Master!A:A,Account_Master!C:C,"Not on master")</f>
        <v>0</v>
      </c>
      <c r="H687" s="6">
        <v>0.75</v>
      </c>
      <c r="I687" s="6">
        <v>0.75</v>
      </c>
      <c r="J687" s="6">
        <f>I687-H687</f>
        <v>0</v>
      </c>
      <c r="K687" s="5">
        <f>IF(H687=0,"",J687/H687)</f>
        <v>0</v>
      </c>
      <c r="L687">
        <f>IF(OR(AND(H687=0,ABS(J687)&gt;=0.01),AND(H687&lt;&gt;0,ABS(K687)&gt;VarianceThreshold)),"Review","OK")</f>
        <v>0</v>
      </c>
      <c r="M687" t="s">
        <v>33</v>
      </c>
    </row>
    <row r="688" spans="1:13">
      <c r="A688" t="s">
        <v>0</v>
      </c>
      <c r="B688" t="s">
        <v>944</v>
      </c>
      <c r="C688" t="s">
        <v>31</v>
      </c>
      <c r="D688" t="s">
        <v>946</v>
      </c>
      <c r="E688" cm="1">
        <f t="array" ref="E688">_xlfn.XLOOKUP(D688,SKU_Master!A:A,SKU_Master!B:B,"Not on master")</f>
        <v>0</v>
      </c>
      <c r="F688" cm="1">
        <f t="array" ref="F688">_xlfn.XLOOKUP(C688,Account_Master!A:A,Account_Master!B:B,"Not on master")</f>
        <v>0</v>
      </c>
      <c r="G688" cm="1">
        <f t="array" ref="G688">_xlfn.XLOOKUP(C688,Account_Master!A:A,Account_Master!C:C,"Not on master")</f>
        <v>0</v>
      </c>
      <c r="H688" s="6">
        <v>60</v>
      </c>
      <c r="I688" s="6">
        <v>60</v>
      </c>
      <c r="J688" s="6">
        <f>I688-H688</f>
        <v>0</v>
      </c>
      <c r="K688" s="5">
        <f>IF(H688=0,"",J688/H688)</f>
        <v>0</v>
      </c>
      <c r="L688">
        <f>IF(OR(AND(H688=0,ABS(J688)&gt;=0.01),AND(H688&lt;&gt;0,ABS(K688)&gt;VarianceThreshold)),"Review","OK")</f>
        <v>0</v>
      </c>
      <c r="M688" t="s">
        <v>33</v>
      </c>
    </row>
    <row r="689" spans="1:13">
      <c r="A689" t="s">
        <v>0</v>
      </c>
      <c r="B689" t="s">
        <v>944</v>
      </c>
      <c r="C689" t="s">
        <v>110</v>
      </c>
      <c r="D689" t="s">
        <v>947</v>
      </c>
      <c r="E689" cm="1">
        <f t="array" ref="E689">_xlfn.XLOOKUP(D689,SKU_Master!A:A,SKU_Master!B:B,"Not on master")</f>
        <v>0</v>
      </c>
      <c r="F689" cm="1">
        <f t="array" ref="F689">_xlfn.XLOOKUP(C689,Account_Master!A:A,Account_Master!B:B,"Not on master")</f>
        <v>0</v>
      </c>
      <c r="G689" cm="1">
        <f t="array" ref="G689">_xlfn.XLOOKUP(C689,Account_Master!A:A,Account_Master!C:C,"Not on master")</f>
        <v>0</v>
      </c>
      <c r="H689" s="6">
        <v>48</v>
      </c>
      <c r="I689" s="6">
        <v>48</v>
      </c>
      <c r="J689" s="6">
        <f>I689-H689</f>
        <v>0</v>
      </c>
      <c r="K689" s="5">
        <f>IF(H689=0,"",J689/H689)</f>
        <v>0</v>
      </c>
      <c r="L689">
        <f>IF(OR(AND(H689=0,ABS(J689)&gt;=0.01),AND(H689&lt;&gt;0,ABS(K689)&gt;VarianceThreshold)),"Review","OK")</f>
        <v>0</v>
      </c>
      <c r="M689" t="s">
        <v>33</v>
      </c>
    </row>
    <row r="690" spans="1:13">
      <c r="A690" t="s">
        <v>0</v>
      </c>
      <c r="B690" t="s">
        <v>944</v>
      </c>
      <c r="C690" t="s">
        <v>31</v>
      </c>
      <c r="D690" t="s">
        <v>948</v>
      </c>
      <c r="E690" cm="1">
        <f t="array" ref="E690">_xlfn.XLOOKUP(D690,SKU_Master!A:A,SKU_Master!B:B,"Not on master")</f>
        <v>0</v>
      </c>
      <c r="F690" cm="1">
        <f t="array" ref="F690">_xlfn.XLOOKUP(C690,Account_Master!A:A,Account_Master!B:B,"Not on master")</f>
        <v>0</v>
      </c>
      <c r="G690" cm="1">
        <f t="array" ref="G690">_xlfn.XLOOKUP(C690,Account_Master!A:A,Account_Master!C:C,"Not on master")</f>
        <v>0</v>
      </c>
      <c r="H690" s="6">
        <v>13.5</v>
      </c>
      <c r="I690" s="6">
        <v>13.5</v>
      </c>
      <c r="J690" s="6">
        <f>I690-H690</f>
        <v>0</v>
      </c>
      <c r="K690" s="5">
        <f>IF(H690=0,"",J690/H690)</f>
        <v>0</v>
      </c>
      <c r="L690">
        <f>IF(OR(AND(H690=0,ABS(J690)&gt;=0.01),AND(H690&lt;&gt;0,ABS(K690)&gt;VarianceThreshold)),"Review","OK")</f>
        <v>0</v>
      </c>
      <c r="M690" t="s">
        <v>33</v>
      </c>
    </row>
    <row r="691" spans="1:13">
      <c r="A691" t="s">
        <v>0</v>
      </c>
      <c r="B691" t="s">
        <v>944</v>
      </c>
      <c r="C691" t="s">
        <v>949</v>
      </c>
      <c r="D691" t="s">
        <v>950</v>
      </c>
      <c r="E691" cm="1">
        <f t="array" ref="E691">_xlfn.XLOOKUP(D691,SKU_Master!A:A,SKU_Master!B:B,"Not on master")</f>
        <v>0</v>
      </c>
      <c r="F691" cm="1">
        <f t="array" ref="F691">_xlfn.XLOOKUP(C691,Account_Master!A:A,Account_Master!B:B,"Not on master")</f>
        <v>0</v>
      </c>
      <c r="G691" cm="1">
        <f t="array" ref="G691">_xlfn.XLOOKUP(C691,Account_Master!A:A,Account_Master!C:C,"Not on master")</f>
        <v>0</v>
      </c>
      <c r="H691" s="6">
        <v>4.5</v>
      </c>
      <c r="I691" s="6">
        <v>4.5</v>
      </c>
      <c r="J691" s="6">
        <f>I691-H691</f>
        <v>0</v>
      </c>
      <c r="K691" s="5">
        <f>IF(H691=0,"",J691/H691)</f>
        <v>0</v>
      </c>
      <c r="L691">
        <f>IF(OR(AND(H691=0,ABS(J691)&gt;=0.01),AND(H691&lt;&gt;0,ABS(K691)&gt;VarianceThreshold)),"Review","OK")</f>
        <v>0</v>
      </c>
      <c r="M691" t="s">
        <v>33</v>
      </c>
    </row>
    <row r="692" spans="1:13">
      <c r="A692" t="s">
        <v>0</v>
      </c>
      <c r="B692" t="s">
        <v>944</v>
      </c>
      <c r="C692" t="s">
        <v>31</v>
      </c>
      <c r="D692" t="s">
        <v>951</v>
      </c>
      <c r="E692" cm="1">
        <f t="array" ref="E692">_xlfn.XLOOKUP(D692,SKU_Master!A:A,SKU_Master!B:B,"Not on master")</f>
        <v>0</v>
      </c>
      <c r="F692" cm="1">
        <f t="array" ref="F692">_xlfn.XLOOKUP(C692,Account_Master!A:A,Account_Master!B:B,"Not on master")</f>
        <v>0</v>
      </c>
      <c r="G692" cm="1">
        <f t="array" ref="G692">_xlfn.XLOOKUP(C692,Account_Master!A:A,Account_Master!C:C,"Not on master")</f>
        <v>0</v>
      </c>
      <c r="H692" s="6">
        <v>170</v>
      </c>
      <c r="I692" s="6">
        <v>170</v>
      </c>
      <c r="J692" s="6">
        <f>I692-H692</f>
        <v>0</v>
      </c>
      <c r="K692" s="5">
        <f>IF(H692=0,"",J692/H692)</f>
        <v>0</v>
      </c>
      <c r="L692">
        <f>IF(OR(AND(H692=0,ABS(J692)&gt;=0.01),AND(H692&lt;&gt;0,ABS(K692)&gt;VarianceThreshold)),"Review","OK")</f>
        <v>0</v>
      </c>
      <c r="M692" t="s">
        <v>33</v>
      </c>
    </row>
    <row r="693" spans="1:13">
      <c r="A693" t="s">
        <v>0</v>
      </c>
      <c r="B693" t="s">
        <v>952</v>
      </c>
      <c r="C693" t="s">
        <v>925</v>
      </c>
      <c r="D693" t="s">
        <v>953</v>
      </c>
      <c r="E693" cm="1">
        <f t="array" ref="E693">_xlfn.XLOOKUP(D693,SKU_Master!A:A,SKU_Master!B:B,"Not on master")</f>
        <v>0</v>
      </c>
      <c r="F693" cm="1">
        <f t="array" ref="F693">_xlfn.XLOOKUP(C693,Account_Master!A:A,Account_Master!B:B,"Not on master")</f>
        <v>0</v>
      </c>
      <c r="G693" cm="1">
        <f t="array" ref="G693">_xlfn.XLOOKUP(C693,Account_Master!A:A,Account_Master!C:C,"Not on master")</f>
        <v>0</v>
      </c>
      <c r="H693" s="6">
        <v>1.5</v>
      </c>
      <c r="I693" s="6">
        <v>1.5</v>
      </c>
      <c r="J693" s="6">
        <f>I693-H693</f>
        <v>0</v>
      </c>
      <c r="K693" s="5">
        <f>IF(H693=0,"",J693/H693)</f>
        <v>0</v>
      </c>
      <c r="L693">
        <f>IF(OR(AND(H693=0,ABS(J693)&gt;=0.01),AND(H693&lt;&gt;0,ABS(K693)&gt;VarianceThreshold)),"Review","OK")</f>
        <v>0</v>
      </c>
      <c r="M693" t="s">
        <v>33</v>
      </c>
    </row>
    <row r="694" spans="1:13">
      <c r="A694" t="s">
        <v>0</v>
      </c>
      <c r="B694" t="s">
        <v>952</v>
      </c>
      <c r="C694" t="s">
        <v>495</v>
      </c>
      <c r="D694" t="s">
        <v>954</v>
      </c>
      <c r="E694" cm="1">
        <f t="array" ref="E694">_xlfn.XLOOKUP(D694,SKU_Master!A:A,SKU_Master!B:B,"Not on master")</f>
        <v>0</v>
      </c>
      <c r="F694" cm="1">
        <f t="array" ref="F694">_xlfn.XLOOKUP(C694,Account_Master!A:A,Account_Master!B:B,"Not on master")</f>
        <v>0</v>
      </c>
      <c r="G694" cm="1">
        <f t="array" ref="G694">_xlfn.XLOOKUP(C694,Account_Master!A:A,Account_Master!C:C,"Not on master")</f>
        <v>0</v>
      </c>
      <c r="H694" s="6">
        <v>23.25</v>
      </c>
      <c r="I694" s="6">
        <v>23.25</v>
      </c>
      <c r="J694" s="6">
        <f>I694-H694</f>
        <v>0</v>
      </c>
      <c r="K694" s="5">
        <f>IF(H694=0,"",J694/H694)</f>
        <v>0</v>
      </c>
      <c r="L694">
        <f>IF(OR(AND(H694=0,ABS(J694)&gt;=0.01),AND(H694&lt;&gt;0,ABS(K694)&gt;VarianceThreshold)),"Review","OK")</f>
        <v>0</v>
      </c>
      <c r="M694" t="s">
        <v>33</v>
      </c>
    </row>
    <row r="695" spans="1:13">
      <c r="A695" t="s">
        <v>0</v>
      </c>
      <c r="B695" t="s">
        <v>952</v>
      </c>
      <c r="C695" t="s">
        <v>220</v>
      </c>
      <c r="D695" t="s">
        <v>955</v>
      </c>
      <c r="E695" cm="1">
        <f t="array" ref="E695">_xlfn.XLOOKUP(D695,SKU_Master!A:A,SKU_Master!B:B,"Not on master")</f>
        <v>0</v>
      </c>
      <c r="F695" cm="1">
        <f t="array" ref="F695">_xlfn.XLOOKUP(C695,Account_Master!A:A,Account_Master!B:B,"Not on master")</f>
        <v>0</v>
      </c>
      <c r="G695" cm="1">
        <f t="array" ref="G695">_xlfn.XLOOKUP(C695,Account_Master!A:A,Account_Master!C:C,"Not on master")</f>
        <v>0</v>
      </c>
      <c r="H695" s="6">
        <v>16.5</v>
      </c>
      <c r="I695" s="6">
        <v>16.5</v>
      </c>
      <c r="J695" s="6">
        <f>I695-H695</f>
        <v>0</v>
      </c>
      <c r="K695" s="5">
        <f>IF(H695=0,"",J695/H695)</f>
        <v>0</v>
      </c>
      <c r="L695">
        <f>IF(OR(AND(H695=0,ABS(J695)&gt;=0.01),AND(H695&lt;&gt;0,ABS(K695)&gt;VarianceThreshold)),"Review","OK")</f>
        <v>0</v>
      </c>
      <c r="M695" t="s">
        <v>33</v>
      </c>
    </row>
    <row r="696" spans="1:13">
      <c r="A696" t="s">
        <v>0</v>
      </c>
      <c r="B696" t="s">
        <v>952</v>
      </c>
      <c r="C696" t="s">
        <v>64</v>
      </c>
      <c r="D696" t="s">
        <v>956</v>
      </c>
      <c r="E696" cm="1">
        <f t="array" ref="E696">_xlfn.XLOOKUP(D696,SKU_Master!A:A,SKU_Master!B:B,"Not on master")</f>
        <v>0</v>
      </c>
      <c r="F696" cm="1">
        <f t="array" ref="F696">_xlfn.XLOOKUP(C696,Account_Master!A:A,Account_Master!B:B,"Not on master")</f>
        <v>0</v>
      </c>
      <c r="G696" cm="1">
        <f t="array" ref="G696">_xlfn.XLOOKUP(C696,Account_Master!A:A,Account_Master!C:C,"Not on master")</f>
        <v>0</v>
      </c>
      <c r="H696" s="6">
        <v>28.87</v>
      </c>
      <c r="I696" s="6">
        <v>28.87</v>
      </c>
      <c r="J696" s="6">
        <f>I696-H696</f>
        <v>0</v>
      </c>
      <c r="K696" s="5">
        <f>IF(H696=0,"",J696/H696)</f>
        <v>0</v>
      </c>
      <c r="L696">
        <f>IF(OR(AND(H696=0,ABS(J696)&gt;=0.01),AND(H696&lt;&gt;0,ABS(K696)&gt;VarianceThreshold)),"Review","OK")</f>
        <v>0</v>
      </c>
      <c r="M696" t="s">
        <v>33</v>
      </c>
    </row>
    <row r="697" spans="1:13">
      <c r="A697" t="s">
        <v>0</v>
      </c>
      <c r="B697" t="s">
        <v>952</v>
      </c>
      <c r="C697" t="s">
        <v>209</v>
      </c>
      <c r="D697" t="s">
        <v>957</v>
      </c>
      <c r="E697" cm="1">
        <f t="array" ref="E697">_xlfn.XLOOKUP(D697,SKU_Master!A:A,SKU_Master!B:B,"Not on master")</f>
        <v>0</v>
      </c>
      <c r="F697" cm="1">
        <f t="array" ref="F697">_xlfn.XLOOKUP(C697,Account_Master!A:A,Account_Master!B:B,"Not on master")</f>
        <v>0</v>
      </c>
      <c r="G697" cm="1">
        <f t="array" ref="G697">_xlfn.XLOOKUP(C697,Account_Master!A:A,Account_Master!C:C,"Not on master")</f>
        <v>0</v>
      </c>
      <c r="H697" s="6">
        <v>12</v>
      </c>
      <c r="I697" s="6">
        <v>12</v>
      </c>
      <c r="J697" s="6">
        <f>I697-H697</f>
        <v>0</v>
      </c>
      <c r="K697" s="5">
        <f>IF(H697=0,"",J697/H697)</f>
        <v>0</v>
      </c>
      <c r="L697">
        <f>IF(OR(AND(H697=0,ABS(J697)&gt;=0.01),AND(H697&lt;&gt;0,ABS(K697)&gt;VarianceThreshold)),"Review","OK")</f>
        <v>0</v>
      </c>
      <c r="M697" t="s">
        <v>33</v>
      </c>
    </row>
    <row r="698" spans="1:13">
      <c r="A698" t="s">
        <v>0</v>
      </c>
      <c r="B698" t="s">
        <v>952</v>
      </c>
      <c r="C698" t="s">
        <v>234</v>
      </c>
      <c r="D698" t="s">
        <v>958</v>
      </c>
      <c r="E698" cm="1">
        <f t="array" ref="E698">_xlfn.XLOOKUP(D698,SKU_Master!A:A,SKU_Master!B:B,"Not on master")</f>
        <v>0</v>
      </c>
      <c r="F698" cm="1">
        <f t="array" ref="F698">_xlfn.XLOOKUP(C698,Account_Master!A:A,Account_Master!B:B,"Not on master")</f>
        <v>0</v>
      </c>
      <c r="G698" cm="1">
        <f t="array" ref="G698">_xlfn.XLOOKUP(C698,Account_Master!A:A,Account_Master!C:C,"Not on master")</f>
        <v>0</v>
      </c>
      <c r="H698" s="6">
        <v>11.25</v>
      </c>
      <c r="I698" s="6">
        <v>11.25</v>
      </c>
      <c r="J698" s="6">
        <f>I698-H698</f>
        <v>0</v>
      </c>
      <c r="K698" s="5">
        <f>IF(H698=0,"",J698/H698)</f>
        <v>0</v>
      </c>
      <c r="L698">
        <f>IF(OR(AND(H698=0,ABS(J698)&gt;=0.01),AND(H698&lt;&gt;0,ABS(K698)&gt;VarianceThreshold)),"Review","OK")</f>
        <v>0</v>
      </c>
      <c r="M698" t="s">
        <v>33</v>
      </c>
    </row>
    <row r="699" spans="1:13">
      <c r="A699" t="s">
        <v>0</v>
      </c>
      <c r="B699" t="s">
        <v>952</v>
      </c>
      <c r="C699" t="s">
        <v>110</v>
      </c>
      <c r="D699" t="s">
        <v>959</v>
      </c>
      <c r="E699" cm="1">
        <f t="array" ref="E699">_xlfn.XLOOKUP(D699,SKU_Master!A:A,SKU_Master!B:B,"Not on master")</f>
        <v>0</v>
      </c>
      <c r="F699" cm="1">
        <f t="array" ref="F699">_xlfn.XLOOKUP(C699,Account_Master!A:A,Account_Master!B:B,"Not on master")</f>
        <v>0</v>
      </c>
      <c r="G699" cm="1">
        <f t="array" ref="G699">_xlfn.XLOOKUP(C699,Account_Master!A:A,Account_Master!C:C,"Not on master")</f>
        <v>0</v>
      </c>
      <c r="H699" s="6">
        <v>24</v>
      </c>
      <c r="I699" s="6">
        <v>24</v>
      </c>
      <c r="J699" s="6">
        <f>I699-H699</f>
        <v>0</v>
      </c>
      <c r="K699" s="5">
        <f>IF(H699=0,"",J699/H699)</f>
        <v>0</v>
      </c>
      <c r="L699">
        <f>IF(OR(AND(H699=0,ABS(J699)&gt;=0.01),AND(H699&lt;&gt;0,ABS(K699)&gt;VarianceThreshold)),"Review","OK")</f>
        <v>0</v>
      </c>
      <c r="M699" t="s">
        <v>33</v>
      </c>
    </row>
    <row r="700" spans="1:13">
      <c r="A700" t="s">
        <v>0</v>
      </c>
      <c r="B700" t="s">
        <v>952</v>
      </c>
      <c r="C700" t="s">
        <v>31</v>
      </c>
      <c r="D700" t="s">
        <v>960</v>
      </c>
      <c r="E700" cm="1">
        <f t="array" ref="E700">_xlfn.XLOOKUP(D700,SKU_Master!A:A,SKU_Master!B:B,"Not on master")</f>
        <v>0</v>
      </c>
      <c r="F700" cm="1">
        <f t="array" ref="F700">_xlfn.XLOOKUP(C700,Account_Master!A:A,Account_Master!B:B,"Not on master")</f>
        <v>0</v>
      </c>
      <c r="G700" cm="1">
        <f t="array" ref="G700">_xlfn.XLOOKUP(C700,Account_Master!A:A,Account_Master!C:C,"Not on master")</f>
        <v>0</v>
      </c>
      <c r="H700" s="6">
        <v>19.5</v>
      </c>
      <c r="I700" s="6">
        <v>19.5</v>
      </c>
      <c r="J700" s="6">
        <f>I700-H700</f>
        <v>0</v>
      </c>
      <c r="K700" s="5">
        <f>IF(H700=0,"",J700/H700)</f>
        <v>0</v>
      </c>
      <c r="L700">
        <f>IF(OR(AND(H700=0,ABS(J700)&gt;=0.01),AND(H700&lt;&gt;0,ABS(K700)&gt;VarianceThreshold)),"Review","OK")</f>
        <v>0</v>
      </c>
      <c r="M700" t="s">
        <v>33</v>
      </c>
    </row>
    <row r="701" spans="1:13">
      <c r="A701" t="s">
        <v>0</v>
      </c>
      <c r="B701" t="s">
        <v>961</v>
      </c>
      <c r="C701" t="s">
        <v>31</v>
      </c>
      <c r="D701" t="s">
        <v>962</v>
      </c>
      <c r="E701" cm="1">
        <f t="array" ref="E701">_xlfn.XLOOKUP(D701,SKU_Master!A:A,SKU_Master!B:B,"Not on master")</f>
        <v>0</v>
      </c>
      <c r="F701" cm="1">
        <f t="array" ref="F701">_xlfn.XLOOKUP(C701,Account_Master!A:A,Account_Master!B:B,"Not on master")</f>
        <v>0</v>
      </c>
      <c r="G701" cm="1">
        <f t="array" ref="G701">_xlfn.XLOOKUP(C701,Account_Master!A:A,Account_Master!C:C,"Not on master")</f>
        <v>0</v>
      </c>
      <c r="H701" s="6">
        <v>38.25</v>
      </c>
      <c r="I701" s="6">
        <v>38.25</v>
      </c>
      <c r="J701" s="6">
        <f>I701-H701</f>
        <v>0</v>
      </c>
      <c r="K701" s="5">
        <f>IF(H701=0,"",J701/H701)</f>
        <v>0</v>
      </c>
      <c r="L701">
        <f>IF(OR(AND(H701=0,ABS(J701)&gt;=0.01),AND(H701&lt;&gt;0,ABS(K701)&gt;VarianceThreshold)),"Review","OK")</f>
        <v>0</v>
      </c>
      <c r="M701" t="s">
        <v>33</v>
      </c>
    </row>
    <row r="702" spans="1:13">
      <c r="A702" t="s">
        <v>0</v>
      </c>
      <c r="B702" t="s">
        <v>961</v>
      </c>
      <c r="C702" t="s">
        <v>31</v>
      </c>
      <c r="D702" t="s">
        <v>963</v>
      </c>
      <c r="E702" cm="1">
        <f t="array" ref="E702">_xlfn.XLOOKUP(D702,SKU_Master!A:A,SKU_Master!B:B,"Not on master")</f>
        <v>0</v>
      </c>
      <c r="F702" cm="1">
        <f t="array" ref="F702">_xlfn.XLOOKUP(C702,Account_Master!A:A,Account_Master!B:B,"Not on master")</f>
        <v>0</v>
      </c>
      <c r="G702" cm="1">
        <f t="array" ref="G702">_xlfn.XLOOKUP(C702,Account_Master!A:A,Account_Master!C:C,"Not on master")</f>
        <v>0</v>
      </c>
      <c r="H702" s="6">
        <v>1493</v>
      </c>
      <c r="I702" s="6">
        <v>1493</v>
      </c>
      <c r="J702" s="6">
        <f>I702-H702</f>
        <v>0</v>
      </c>
      <c r="K702" s="5">
        <f>IF(H702=0,"",J702/H702)</f>
        <v>0</v>
      </c>
      <c r="L702">
        <f>IF(OR(AND(H702=0,ABS(J702)&gt;=0.01),AND(H702&lt;&gt;0,ABS(K702)&gt;VarianceThreshold)),"Review","OK")</f>
        <v>0</v>
      </c>
      <c r="M702" t="s">
        <v>33</v>
      </c>
    </row>
    <row r="703" spans="1:13">
      <c r="A703" t="s">
        <v>0</v>
      </c>
      <c r="B703" t="s">
        <v>961</v>
      </c>
      <c r="C703" t="s">
        <v>59</v>
      </c>
      <c r="D703" t="s">
        <v>964</v>
      </c>
      <c r="E703" cm="1">
        <f t="array" ref="E703">_xlfn.XLOOKUP(D703,SKU_Master!A:A,SKU_Master!B:B,"Not on master")</f>
        <v>0</v>
      </c>
      <c r="F703" cm="1">
        <f t="array" ref="F703">_xlfn.XLOOKUP(C703,Account_Master!A:A,Account_Master!B:B,"Not on master")</f>
        <v>0</v>
      </c>
      <c r="G703" cm="1">
        <f t="array" ref="G703">_xlfn.XLOOKUP(C703,Account_Master!A:A,Account_Master!C:C,"Not on master")</f>
        <v>0</v>
      </c>
      <c r="H703" s="6">
        <v>0.1</v>
      </c>
      <c r="I703" s="6">
        <v>0.1</v>
      </c>
      <c r="J703" s="6">
        <f>I703-H703</f>
        <v>0</v>
      </c>
      <c r="K703" s="5">
        <f>IF(H703=0,"",J703/H703)</f>
        <v>0</v>
      </c>
      <c r="L703">
        <f>IF(OR(AND(H703=0,ABS(J703)&gt;=0.01),AND(H703&lt;&gt;0,ABS(K703)&gt;VarianceThreshold)),"Review","OK")</f>
        <v>0</v>
      </c>
      <c r="M703" t="s">
        <v>33</v>
      </c>
    </row>
    <row r="704" spans="1:13">
      <c r="A704" t="s">
        <v>0</v>
      </c>
      <c r="B704" t="s">
        <v>961</v>
      </c>
      <c r="C704" t="s">
        <v>31</v>
      </c>
      <c r="D704" t="s">
        <v>965</v>
      </c>
      <c r="E704" cm="1">
        <f t="array" ref="E704">_xlfn.XLOOKUP(D704,SKU_Master!A:A,SKU_Master!B:B,"Not on master")</f>
        <v>0</v>
      </c>
      <c r="F704" cm="1">
        <f t="array" ref="F704">_xlfn.XLOOKUP(C704,Account_Master!A:A,Account_Master!B:B,"Not on master")</f>
        <v>0</v>
      </c>
      <c r="G704" cm="1">
        <f t="array" ref="G704">_xlfn.XLOOKUP(C704,Account_Master!A:A,Account_Master!C:C,"Not on master")</f>
        <v>0</v>
      </c>
      <c r="H704" s="6">
        <v>111</v>
      </c>
      <c r="I704" s="6">
        <v>111</v>
      </c>
      <c r="J704" s="6">
        <f>I704-H704</f>
        <v>0</v>
      </c>
      <c r="K704" s="5">
        <f>IF(H704=0,"",J704/H704)</f>
        <v>0</v>
      </c>
      <c r="L704">
        <f>IF(OR(AND(H704=0,ABS(J704)&gt;=0.01),AND(H704&lt;&gt;0,ABS(K704)&gt;VarianceThreshold)),"Review","OK")</f>
        <v>0</v>
      </c>
      <c r="M704" t="s">
        <v>33</v>
      </c>
    </row>
    <row r="705" spans="1:13">
      <c r="A705" t="s">
        <v>0</v>
      </c>
      <c r="B705" t="s">
        <v>966</v>
      </c>
      <c r="C705" t="s">
        <v>59</v>
      </c>
      <c r="D705" t="s">
        <v>967</v>
      </c>
      <c r="E705" cm="1">
        <f t="array" ref="E705">_xlfn.XLOOKUP(D705,SKU_Master!A:A,SKU_Master!B:B,"Not on master")</f>
        <v>0</v>
      </c>
      <c r="F705" cm="1">
        <f t="array" ref="F705">_xlfn.XLOOKUP(C705,Account_Master!A:A,Account_Master!B:B,"Not on master")</f>
        <v>0</v>
      </c>
      <c r="G705" cm="1">
        <f t="array" ref="G705">_xlfn.XLOOKUP(C705,Account_Master!A:A,Account_Master!C:C,"Not on master")</f>
        <v>0</v>
      </c>
      <c r="H705" s="6">
        <v>10.5</v>
      </c>
      <c r="I705" s="6">
        <v>10.5</v>
      </c>
      <c r="J705" s="6">
        <f>I705-H705</f>
        <v>0</v>
      </c>
      <c r="K705" s="5">
        <f>IF(H705=0,"",J705/H705)</f>
        <v>0</v>
      </c>
      <c r="L705">
        <f>IF(OR(AND(H705=0,ABS(J705)&gt;=0.01),AND(H705&lt;&gt;0,ABS(K705)&gt;VarianceThreshold)),"Review","OK")</f>
        <v>0</v>
      </c>
      <c r="M705" t="s">
        <v>33</v>
      </c>
    </row>
    <row r="706" spans="1:13">
      <c r="A706" t="s">
        <v>0</v>
      </c>
      <c r="B706" t="s">
        <v>966</v>
      </c>
      <c r="C706" t="s">
        <v>486</v>
      </c>
      <c r="D706" t="s">
        <v>968</v>
      </c>
      <c r="E706" cm="1">
        <f t="array" ref="E706">_xlfn.XLOOKUP(D706,SKU_Master!A:A,SKU_Master!B:B,"Not on master")</f>
        <v>0</v>
      </c>
      <c r="F706" cm="1">
        <f t="array" ref="F706">_xlfn.XLOOKUP(C706,Account_Master!A:A,Account_Master!B:B,"Not on master")</f>
        <v>0</v>
      </c>
      <c r="G706" cm="1">
        <f t="array" ref="G706">_xlfn.XLOOKUP(C706,Account_Master!A:A,Account_Master!C:C,"Not on master")</f>
        <v>0</v>
      </c>
      <c r="H706" s="6">
        <v>0.05</v>
      </c>
      <c r="I706" s="6">
        <v>0.05</v>
      </c>
      <c r="J706" s="6">
        <f>I706-H706</f>
        <v>0</v>
      </c>
      <c r="K706" s="5">
        <f>IF(H706=0,"",J706/H706)</f>
        <v>0</v>
      </c>
      <c r="L706">
        <f>IF(OR(AND(H706=0,ABS(J706)&gt;=0.01),AND(H706&lt;&gt;0,ABS(K706)&gt;VarianceThreshold)),"Review","OK")</f>
        <v>0</v>
      </c>
      <c r="M706" t="s">
        <v>33</v>
      </c>
    </row>
    <row r="707" spans="1:13">
      <c r="A707" t="s">
        <v>0</v>
      </c>
      <c r="B707" t="s">
        <v>966</v>
      </c>
      <c r="C707" t="s">
        <v>969</v>
      </c>
      <c r="D707" t="s">
        <v>970</v>
      </c>
      <c r="E707" cm="1">
        <f t="array" ref="E707">_xlfn.XLOOKUP(D707,SKU_Master!A:A,SKU_Master!B:B,"Not on master")</f>
        <v>0</v>
      </c>
      <c r="F707" cm="1">
        <f t="array" ref="F707">_xlfn.XLOOKUP(C707,Account_Master!A:A,Account_Master!B:B,"Not on master")</f>
        <v>0</v>
      </c>
      <c r="G707" cm="1">
        <f t="array" ref="G707">_xlfn.XLOOKUP(C707,Account_Master!A:A,Account_Master!C:C,"Not on master")</f>
        <v>0</v>
      </c>
      <c r="H707" s="6">
        <v>12</v>
      </c>
      <c r="I707" s="6">
        <v>12</v>
      </c>
      <c r="J707" s="6">
        <f>I707-H707</f>
        <v>0</v>
      </c>
      <c r="K707" s="5">
        <f>IF(H707=0,"",J707/H707)</f>
        <v>0</v>
      </c>
      <c r="L707">
        <f>IF(OR(AND(H707=0,ABS(J707)&gt;=0.01),AND(H707&lt;&gt;0,ABS(K707)&gt;VarianceThreshold)),"Review","OK")</f>
        <v>0</v>
      </c>
      <c r="M707" t="s">
        <v>33</v>
      </c>
    </row>
    <row r="708" spans="1:13">
      <c r="A708" t="s">
        <v>0</v>
      </c>
      <c r="B708" t="s">
        <v>966</v>
      </c>
      <c r="C708" t="s">
        <v>126</v>
      </c>
      <c r="D708" t="s">
        <v>971</v>
      </c>
      <c r="E708" cm="1">
        <f t="array" ref="E708">_xlfn.XLOOKUP(D708,SKU_Master!A:A,SKU_Master!B:B,"Not on master")</f>
        <v>0</v>
      </c>
      <c r="F708" cm="1">
        <f t="array" ref="F708">_xlfn.XLOOKUP(C708,Account_Master!A:A,Account_Master!B:B,"Not on master")</f>
        <v>0</v>
      </c>
      <c r="G708" cm="1">
        <f t="array" ref="G708">_xlfn.XLOOKUP(C708,Account_Master!A:A,Account_Master!C:C,"Not on master")</f>
        <v>0</v>
      </c>
      <c r="H708" s="6">
        <v>21</v>
      </c>
      <c r="I708" s="6">
        <v>21</v>
      </c>
      <c r="J708" s="6">
        <f>I708-H708</f>
        <v>0</v>
      </c>
      <c r="K708" s="5">
        <f>IF(H708=0,"",J708/H708)</f>
        <v>0</v>
      </c>
      <c r="L708">
        <f>IF(OR(AND(H708=0,ABS(J708)&gt;=0.01),AND(H708&lt;&gt;0,ABS(K708)&gt;VarianceThreshold)),"Review","OK")</f>
        <v>0</v>
      </c>
      <c r="M708" t="s">
        <v>33</v>
      </c>
    </row>
    <row r="709" spans="1:13">
      <c r="A709" t="s">
        <v>0</v>
      </c>
      <c r="B709" t="s">
        <v>966</v>
      </c>
      <c r="C709" t="s">
        <v>317</v>
      </c>
      <c r="D709" t="s">
        <v>972</v>
      </c>
      <c r="E709" cm="1">
        <f t="array" ref="E709">_xlfn.XLOOKUP(D709,SKU_Master!A:A,SKU_Master!B:B,"Not on master")</f>
        <v>0</v>
      </c>
      <c r="F709" cm="1">
        <f t="array" ref="F709">_xlfn.XLOOKUP(C709,Account_Master!A:A,Account_Master!B:B,"Not on master")</f>
        <v>0</v>
      </c>
      <c r="G709" cm="1">
        <f t="array" ref="G709">_xlfn.XLOOKUP(C709,Account_Master!A:A,Account_Master!C:C,"Not on master")</f>
        <v>0</v>
      </c>
      <c r="H709" s="6">
        <v>4.5</v>
      </c>
      <c r="I709" s="6">
        <v>4.5</v>
      </c>
      <c r="J709" s="6">
        <f>I709-H709</f>
        <v>0</v>
      </c>
      <c r="K709" s="5">
        <f>IF(H709=0,"",J709/H709)</f>
        <v>0</v>
      </c>
      <c r="L709">
        <f>IF(OR(AND(H709=0,ABS(J709)&gt;=0.01),AND(H709&lt;&gt;0,ABS(K709)&gt;VarianceThreshold)),"Review","OK")</f>
        <v>0</v>
      </c>
      <c r="M709" t="s">
        <v>33</v>
      </c>
    </row>
    <row r="710" spans="1:13">
      <c r="A710" t="s">
        <v>0</v>
      </c>
      <c r="B710" t="s">
        <v>966</v>
      </c>
      <c r="C710" t="s">
        <v>50</v>
      </c>
      <c r="D710" t="s">
        <v>973</v>
      </c>
      <c r="E710" cm="1">
        <f t="array" ref="E710">_xlfn.XLOOKUP(D710,SKU_Master!A:A,SKU_Master!B:B,"Not on master")</f>
        <v>0</v>
      </c>
      <c r="F710" cm="1">
        <f t="array" ref="F710">_xlfn.XLOOKUP(C710,Account_Master!A:A,Account_Master!B:B,"Not on master")</f>
        <v>0</v>
      </c>
      <c r="G710" cm="1">
        <f t="array" ref="G710">_xlfn.XLOOKUP(C710,Account_Master!A:A,Account_Master!C:C,"Not on master")</f>
        <v>0</v>
      </c>
      <c r="H710" s="6">
        <v>9</v>
      </c>
      <c r="I710" s="6">
        <v>9</v>
      </c>
      <c r="J710" s="6">
        <f>I710-H710</f>
        <v>0</v>
      </c>
      <c r="K710" s="5">
        <f>IF(H710=0,"",J710/H710)</f>
        <v>0</v>
      </c>
      <c r="L710">
        <f>IF(OR(AND(H710=0,ABS(J710)&gt;=0.01),AND(H710&lt;&gt;0,ABS(K710)&gt;VarianceThreshold)),"Review","OK")</f>
        <v>0</v>
      </c>
      <c r="M710" t="s">
        <v>33</v>
      </c>
    </row>
    <row r="711" spans="1:13">
      <c r="A711" t="s">
        <v>0</v>
      </c>
      <c r="B711" t="s">
        <v>966</v>
      </c>
      <c r="C711" t="s">
        <v>135</v>
      </c>
      <c r="D711" t="s">
        <v>974</v>
      </c>
      <c r="E711" cm="1">
        <f t="array" ref="E711">_xlfn.XLOOKUP(D711,SKU_Master!A:A,SKU_Master!B:B,"Not on master")</f>
        <v>0</v>
      </c>
      <c r="F711" cm="1">
        <f t="array" ref="F711">_xlfn.XLOOKUP(C711,Account_Master!A:A,Account_Master!B:B,"Not on master")</f>
        <v>0</v>
      </c>
      <c r="G711" cm="1">
        <f t="array" ref="G711">_xlfn.XLOOKUP(C711,Account_Master!A:A,Account_Master!C:C,"Not on master")</f>
        <v>0</v>
      </c>
      <c r="H711" s="6">
        <v>24</v>
      </c>
      <c r="I711" s="6">
        <v>24</v>
      </c>
      <c r="J711" s="6">
        <f>I711-H711</f>
        <v>0</v>
      </c>
      <c r="K711" s="5">
        <f>IF(H711=0,"",J711/H711)</f>
        <v>0</v>
      </c>
      <c r="L711">
        <f>IF(OR(AND(H711=0,ABS(J711)&gt;=0.01),AND(H711&lt;&gt;0,ABS(K711)&gt;VarianceThreshold)),"Review","OK")</f>
        <v>0</v>
      </c>
      <c r="M711" t="s">
        <v>33</v>
      </c>
    </row>
    <row r="712" spans="1:13">
      <c r="A712" t="s">
        <v>0</v>
      </c>
      <c r="B712" t="s">
        <v>966</v>
      </c>
      <c r="C712" t="s">
        <v>31</v>
      </c>
      <c r="D712" t="s">
        <v>975</v>
      </c>
      <c r="E712" cm="1">
        <f t="array" ref="E712">_xlfn.XLOOKUP(D712,SKU_Master!A:A,SKU_Master!B:B,"Not on master")</f>
        <v>0</v>
      </c>
      <c r="F712" cm="1">
        <f t="array" ref="F712">_xlfn.XLOOKUP(C712,Account_Master!A:A,Account_Master!B:B,"Not on master")</f>
        <v>0</v>
      </c>
      <c r="G712" cm="1">
        <f t="array" ref="G712">_xlfn.XLOOKUP(C712,Account_Master!A:A,Account_Master!C:C,"Not on master")</f>
        <v>0</v>
      </c>
      <c r="H712" s="6">
        <v>11.25</v>
      </c>
      <c r="I712" s="6">
        <v>11.25</v>
      </c>
      <c r="J712" s="6">
        <f>I712-H712</f>
        <v>0</v>
      </c>
      <c r="K712" s="5">
        <f>IF(H712=0,"",J712/H712)</f>
        <v>0</v>
      </c>
      <c r="L712">
        <f>IF(OR(AND(H712=0,ABS(J712)&gt;=0.01),AND(H712&lt;&gt;0,ABS(K712)&gt;VarianceThreshold)),"Review","OK")</f>
        <v>0</v>
      </c>
      <c r="M712" t="s">
        <v>33</v>
      </c>
    </row>
    <row r="713" spans="1:13">
      <c r="A713" t="s">
        <v>0</v>
      </c>
      <c r="B713" t="s">
        <v>966</v>
      </c>
      <c r="C713" t="s">
        <v>162</v>
      </c>
      <c r="D713" t="s">
        <v>976</v>
      </c>
      <c r="E713" cm="1">
        <f t="array" ref="E713">_xlfn.XLOOKUP(D713,SKU_Master!A:A,SKU_Master!B:B,"Not on master")</f>
        <v>0</v>
      </c>
      <c r="F713" cm="1">
        <f t="array" ref="F713">_xlfn.XLOOKUP(C713,Account_Master!A:A,Account_Master!B:B,"Not on master")</f>
        <v>0</v>
      </c>
      <c r="G713" cm="1">
        <f t="array" ref="G713">_xlfn.XLOOKUP(C713,Account_Master!A:A,Account_Master!C:C,"Not on master")</f>
        <v>0</v>
      </c>
      <c r="H713" s="6">
        <v>0.2</v>
      </c>
      <c r="I713" s="6">
        <v>0.2</v>
      </c>
      <c r="J713" s="6">
        <f>I713-H713</f>
        <v>0</v>
      </c>
      <c r="K713" s="5">
        <f>IF(H713=0,"",J713/H713)</f>
        <v>0</v>
      </c>
      <c r="L713">
        <f>IF(OR(AND(H713=0,ABS(J713)&gt;=0.01),AND(H713&lt;&gt;0,ABS(K713)&gt;VarianceThreshold)),"Review","OK")</f>
        <v>0</v>
      </c>
      <c r="M713" t="s">
        <v>33</v>
      </c>
    </row>
    <row r="714" spans="1:13">
      <c r="A714" t="s">
        <v>0</v>
      </c>
      <c r="B714" t="s">
        <v>966</v>
      </c>
      <c r="C714" t="s">
        <v>110</v>
      </c>
      <c r="D714" t="s">
        <v>977</v>
      </c>
      <c r="E714" cm="1">
        <f t="array" ref="E714">_xlfn.XLOOKUP(D714,SKU_Master!A:A,SKU_Master!B:B,"Not on master")</f>
        <v>0</v>
      </c>
      <c r="F714" cm="1">
        <f t="array" ref="F714">_xlfn.XLOOKUP(C714,Account_Master!A:A,Account_Master!B:B,"Not on master")</f>
        <v>0</v>
      </c>
      <c r="G714" cm="1">
        <f t="array" ref="G714">_xlfn.XLOOKUP(C714,Account_Master!A:A,Account_Master!C:C,"Not on master")</f>
        <v>0</v>
      </c>
      <c r="H714" s="6">
        <v>24.75</v>
      </c>
      <c r="I714" s="6">
        <v>24.75</v>
      </c>
      <c r="J714" s="6">
        <f>I714-H714</f>
        <v>0</v>
      </c>
      <c r="K714" s="5">
        <f>IF(H714=0,"",J714/H714)</f>
        <v>0</v>
      </c>
      <c r="L714">
        <f>IF(OR(AND(H714=0,ABS(J714)&gt;=0.01),AND(H714&lt;&gt;0,ABS(K714)&gt;VarianceThreshold)),"Review","OK")</f>
        <v>0</v>
      </c>
      <c r="M714" t="s">
        <v>33</v>
      </c>
    </row>
    <row r="715" spans="1:13">
      <c r="A715" t="s">
        <v>0</v>
      </c>
      <c r="B715" t="s">
        <v>966</v>
      </c>
      <c r="C715" t="s">
        <v>31</v>
      </c>
      <c r="D715" t="s">
        <v>978</v>
      </c>
      <c r="E715" cm="1">
        <f t="array" ref="E715">_xlfn.XLOOKUP(D715,SKU_Master!A:A,SKU_Master!B:B,"Not on master")</f>
        <v>0</v>
      </c>
      <c r="F715" cm="1">
        <f t="array" ref="F715">_xlfn.XLOOKUP(C715,Account_Master!A:A,Account_Master!B:B,"Not on master")</f>
        <v>0</v>
      </c>
      <c r="G715" cm="1">
        <f t="array" ref="G715">_xlfn.XLOOKUP(C715,Account_Master!A:A,Account_Master!C:C,"Not on master")</f>
        <v>0</v>
      </c>
      <c r="H715" s="6">
        <v>24</v>
      </c>
      <c r="I715" s="6">
        <v>24</v>
      </c>
      <c r="J715" s="6">
        <f>I715-H715</f>
        <v>0</v>
      </c>
      <c r="K715" s="5">
        <f>IF(H715=0,"",J715/H715)</f>
        <v>0</v>
      </c>
      <c r="L715">
        <f>IF(OR(AND(H715=0,ABS(J715)&gt;=0.01),AND(H715&lt;&gt;0,ABS(K715)&gt;VarianceThreshold)),"Review","OK")</f>
        <v>0</v>
      </c>
      <c r="M715" t="s">
        <v>33</v>
      </c>
    </row>
    <row r="716" spans="1:13">
      <c r="A716" t="s">
        <v>0</v>
      </c>
      <c r="B716" t="s">
        <v>966</v>
      </c>
      <c r="C716" t="s">
        <v>135</v>
      </c>
      <c r="D716" t="s">
        <v>979</v>
      </c>
      <c r="E716" cm="1">
        <f t="array" ref="E716">_xlfn.XLOOKUP(D716,SKU_Master!A:A,SKU_Master!B:B,"Not on master")</f>
        <v>0</v>
      </c>
      <c r="F716" cm="1">
        <f t="array" ref="F716">_xlfn.XLOOKUP(C716,Account_Master!A:A,Account_Master!B:B,"Not on master")</f>
        <v>0</v>
      </c>
      <c r="G716" cm="1">
        <f t="array" ref="G716">_xlfn.XLOOKUP(C716,Account_Master!A:A,Account_Master!C:C,"Not on master")</f>
        <v>0</v>
      </c>
      <c r="H716" s="6">
        <v>72</v>
      </c>
      <c r="I716" s="6">
        <v>72</v>
      </c>
      <c r="J716" s="6">
        <f>I716-H716</f>
        <v>0</v>
      </c>
      <c r="K716" s="5">
        <f>IF(H716=0,"",J716/H716)</f>
        <v>0</v>
      </c>
      <c r="L716">
        <f>IF(OR(AND(H716=0,ABS(J716)&gt;=0.01),AND(H716&lt;&gt;0,ABS(K716)&gt;VarianceThreshold)),"Review","OK")</f>
        <v>0</v>
      </c>
      <c r="M716" t="s">
        <v>33</v>
      </c>
    </row>
    <row r="717" spans="1:13">
      <c r="A717" t="s">
        <v>0</v>
      </c>
      <c r="B717" t="s">
        <v>980</v>
      </c>
      <c r="C717" t="s">
        <v>128</v>
      </c>
      <c r="D717" t="s">
        <v>981</v>
      </c>
      <c r="E717" cm="1">
        <f t="array" ref="E717">_xlfn.XLOOKUP(D717,SKU_Master!A:A,SKU_Master!B:B,"Not on master")</f>
        <v>0</v>
      </c>
      <c r="F717" cm="1">
        <f t="array" ref="F717">_xlfn.XLOOKUP(C717,Account_Master!A:A,Account_Master!B:B,"Not on master")</f>
        <v>0</v>
      </c>
      <c r="G717" cm="1">
        <f t="array" ref="G717">_xlfn.XLOOKUP(C717,Account_Master!A:A,Account_Master!C:C,"Not on master")</f>
        <v>0</v>
      </c>
      <c r="H717" s="6">
        <v>21.75</v>
      </c>
      <c r="I717" s="6">
        <v>21.75</v>
      </c>
      <c r="J717" s="6">
        <f>I717-H717</f>
        <v>0</v>
      </c>
      <c r="K717" s="5">
        <f>IF(H717=0,"",J717/H717)</f>
        <v>0</v>
      </c>
      <c r="L717">
        <f>IF(OR(AND(H717=0,ABS(J717)&gt;=0.01),AND(H717&lt;&gt;0,ABS(K717)&gt;VarianceThreshold)),"Review","OK")</f>
        <v>0</v>
      </c>
      <c r="M717" t="s">
        <v>33</v>
      </c>
    </row>
    <row r="718" spans="1:13">
      <c r="A718" t="s">
        <v>0</v>
      </c>
      <c r="B718" t="s">
        <v>980</v>
      </c>
      <c r="C718" t="s">
        <v>739</v>
      </c>
      <c r="D718" t="s">
        <v>982</v>
      </c>
      <c r="E718" cm="1">
        <f t="array" ref="E718">_xlfn.XLOOKUP(D718,SKU_Master!A:A,SKU_Master!B:B,"Not on master")</f>
        <v>0</v>
      </c>
      <c r="F718" cm="1">
        <f t="array" ref="F718">_xlfn.XLOOKUP(C718,Account_Master!A:A,Account_Master!B:B,"Not on master")</f>
        <v>0</v>
      </c>
      <c r="G718" cm="1">
        <f t="array" ref="G718">_xlfn.XLOOKUP(C718,Account_Master!A:A,Account_Master!C:C,"Not on master")</f>
        <v>0</v>
      </c>
      <c r="H718" s="6">
        <v>0.75</v>
      </c>
      <c r="I718" s="6">
        <v>0.75</v>
      </c>
      <c r="J718" s="6">
        <f>I718-H718</f>
        <v>0</v>
      </c>
      <c r="K718" s="5">
        <f>IF(H718=0,"",J718/H718)</f>
        <v>0</v>
      </c>
      <c r="L718">
        <f>IF(OR(AND(H718=0,ABS(J718)&gt;=0.01),AND(H718&lt;&gt;0,ABS(K718)&gt;VarianceThreshold)),"Review","OK")</f>
        <v>0</v>
      </c>
      <c r="M718" t="s">
        <v>33</v>
      </c>
    </row>
    <row r="719" spans="1:13">
      <c r="A719" t="s">
        <v>0</v>
      </c>
      <c r="B719" t="s">
        <v>980</v>
      </c>
      <c r="C719" t="s">
        <v>220</v>
      </c>
      <c r="D719" t="s">
        <v>983</v>
      </c>
      <c r="E719" cm="1">
        <f t="array" ref="E719">_xlfn.XLOOKUP(D719,SKU_Master!A:A,SKU_Master!B:B,"Not on master")</f>
        <v>0</v>
      </c>
      <c r="F719" cm="1">
        <f t="array" ref="F719">_xlfn.XLOOKUP(C719,Account_Master!A:A,Account_Master!B:B,"Not on master")</f>
        <v>0</v>
      </c>
      <c r="G719" cm="1">
        <f t="array" ref="G719">_xlfn.XLOOKUP(C719,Account_Master!A:A,Account_Master!C:C,"Not on master")</f>
        <v>0</v>
      </c>
      <c r="H719" s="6">
        <v>3</v>
      </c>
      <c r="I719" s="6">
        <v>3</v>
      </c>
      <c r="J719" s="6">
        <f>I719-H719</f>
        <v>0</v>
      </c>
      <c r="K719" s="5">
        <f>IF(H719=0,"",J719/H719)</f>
        <v>0</v>
      </c>
      <c r="L719">
        <f>IF(OR(AND(H719=0,ABS(J719)&gt;=0.01),AND(H719&lt;&gt;0,ABS(K719)&gt;VarianceThreshold)),"Review","OK")</f>
        <v>0</v>
      </c>
      <c r="M719" t="s">
        <v>33</v>
      </c>
    </row>
    <row r="720" spans="1:13">
      <c r="A720" t="s">
        <v>0</v>
      </c>
      <c r="B720" t="s">
        <v>980</v>
      </c>
      <c r="C720" t="s">
        <v>110</v>
      </c>
      <c r="D720" t="s">
        <v>984</v>
      </c>
      <c r="E720" cm="1">
        <f t="array" ref="E720">_xlfn.XLOOKUP(D720,SKU_Master!A:A,SKU_Master!B:B,"Not on master")</f>
        <v>0</v>
      </c>
      <c r="F720" cm="1">
        <f t="array" ref="F720">_xlfn.XLOOKUP(C720,Account_Master!A:A,Account_Master!B:B,"Not on master")</f>
        <v>0</v>
      </c>
      <c r="G720" cm="1">
        <f t="array" ref="G720">_xlfn.XLOOKUP(C720,Account_Master!A:A,Account_Master!C:C,"Not on master")</f>
        <v>0</v>
      </c>
      <c r="H720" s="6">
        <v>96</v>
      </c>
      <c r="I720" s="6">
        <v>96</v>
      </c>
      <c r="J720" s="6">
        <f>I720-H720</f>
        <v>0</v>
      </c>
      <c r="K720" s="5">
        <f>IF(H720=0,"",J720/H720)</f>
        <v>0</v>
      </c>
      <c r="L720">
        <f>IF(OR(AND(H720=0,ABS(J720)&gt;=0.01),AND(H720&lt;&gt;0,ABS(K720)&gt;VarianceThreshold)),"Review","OK")</f>
        <v>0</v>
      </c>
      <c r="M720" t="s">
        <v>33</v>
      </c>
    </row>
    <row r="721" spans="1:13">
      <c r="A721" t="s">
        <v>0</v>
      </c>
      <c r="B721" t="s">
        <v>980</v>
      </c>
      <c r="C721" t="s">
        <v>110</v>
      </c>
      <c r="D721" t="s">
        <v>985</v>
      </c>
      <c r="E721" cm="1">
        <f t="array" ref="E721">_xlfn.XLOOKUP(D721,SKU_Master!A:A,SKU_Master!B:B,"Not on master")</f>
        <v>0</v>
      </c>
      <c r="F721" cm="1">
        <f t="array" ref="F721">_xlfn.XLOOKUP(C721,Account_Master!A:A,Account_Master!B:B,"Not on master")</f>
        <v>0</v>
      </c>
      <c r="G721" cm="1">
        <f t="array" ref="G721">_xlfn.XLOOKUP(C721,Account_Master!A:A,Account_Master!C:C,"Not on master")</f>
        <v>0</v>
      </c>
      <c r="H721" s="6">
        <v>18</v>
      </c>
      <c r="I721" s="6">
        <v>18</v>
      </c>
      <c r="J721" s="6">
        <f>I721-H721</f>
        <v>0</v>
      </c>
      <c r="K721" s="5">
        <f>IF(H721=0,"",J721/H721)</f>
        <v>0</v>
      </c>
      <c r="L721">
        <f>IF(OR(AND(H721=0,ABS(J721)&gt;=0.01),AND(H721&lt;&gt;0,ABS(K721)&gt;VarianceThreshold)),"Review","OK")</f>
        <v>0</v>
      </c>
      <c r="M721" t="s">
        <v>33</v>
      </c>
    </row>
    <row r="722" spans="1:13">
      <c r="A722" t="s">
        <v>0</v>
      </c>
      <c r="B722" t="s">
        <v>980</v>
      </c>
      <c r="C722" t="s">
        <v>45</v>
      </c>
      <c r="D722" t="s">
        <v>986</v>
      </c>
      <c r="E722" cm="1">
        <f t="array" ref="E722">_xlfn.XLOOKUP(D722,SKU_Master!A:A,SKU_Master!B:B,"Not on master")</f>
        <v>0</v>
      </c>
      <c r="F722" cm="1">
        <f t="array" ref="F722">_xlfn.XLOOKUP(C722,Account_Master!A:A,Account_Master!B:B,"Not on master")</f>
        <v>0</v>
      </c>
      <c r="G722" cm="1">
        <f t="array" ref="G722">_xlfn.XLOOKUP(C722,Account_Master!A:A,Account_Master!C:C,"Not on master")</f>
        <v>0</v>
      </c>
      <c r="H722" s="6">
        <v>24.5</v>
      </c>
      <c r="I722" s="6">
        <v>24.5</v>
      </c>
      <c r="J722" s="6">
        <f>I722-H722</f>
        <v>0</v>
      </c>
      <c r="K722" s="5">
        <f>IF(H722=0,"",J722/H722)</f>
        <v>0</v>
      </c>
      <c r="L722">
        <f>IF(OR(AND(H722=0,ABS(J722)&gt;=0.01),AND(H722&lt;&gt;0,ABS(K722)&gt;VarianceThreshold)),"Review","OK")</f>
        <v>0</v>
      </c>
      <c r="M722" t="s">
        <v>33</v>
      </c>
    </row>
    <row r="723" spans="1:13">
      <c r="A723" t="s">
        <v>0</v>
      </c>
      <c r="B723" t="s">
        <v>980</v>
      </c>
      <c r="C723" t="s">
        <v>31</v>
      </c>
      <c r="D723" t="s">
        <v>987</v>
      </c>
      <c r="E723" cm="1">
        <f t="array" ref="E723">_xlfn.XLOOKUP(D723,SKU_Master!A:A,SKU_Master!B:B,"Not on master")</f>
        <v>0</v>
      </c>
      <c r="F723" cm="1">
        <f t="array" ref="F723">_xlfn.XLOOKUP(C723,Account_Master!A:A,Account_Master!B:B,"Not on master")</f>
        <v>0</v>
      </c>
      <c r="G723" cm="1">
        <f t="array" ref="G723">_xlfn.XLOOKUP(C723,Account_Master!A:A,Account_Master!C:C,"Not on master")</f>
        <v>0</v>
      </c>
      <c r="H723" s="6">
        <v>45</v>
      </c>
      <c r="I723" s="6">
        <v>45</v>
      </c>
      <c r="J723" s="6">
        <f>I723-H723</f>
        <v>0</v>
      </c>
      <c r="K723" s="5">
        <f>IF(H723=0,"",J723/H723)</f>
        <v>0</v>
      </c>
      <c r="L723">
        <f>IF(OR(AND(H723=0,ABS(J723)&gt;=0.01),AND(H723&lt;&gt;0,ABS(K723)&gt;VarianceThreshold)),"Review","OK")</f>
        <v>0</v>
      </c>
      <c r="M723" t="s">
        <v>33</v>
      </c>
    </row>
    <row r="724" spans="1:13">
      <c r="A724" t="s">
        <v>0</v>
      </c>
      <c r="B724" t="s">
        <v>980</v>
      </c>
      <c r="C724" t="s">
        <v>54</v>
      </c>
      <c r="D724" t="s">
        <v>988</v>
      </c>
      <c r="E724" cm="1">
        <f t="array" ref="E724">_xlfn.XLOOKUP(D724,SKU_Master!A:A,SKU_Master!B:B,"Not on master")</f>
        <v>0</v>
      </c>
      <c r="F724" cm="1">
        <f t="array" ref="F724">_xlfn.XLOOKUP(C724,Account_Master!A:A,Account_Master!B:B,"Not on master")</f>
        <v>0</v>
      </c>
      <c r="G724" cm="1">
        <f t="array" ref="G724">_xlfn.XLOOKUP(C724,Account_Master!A:A,Account_Master!C:C,"Not on master")</f>
        <v>0</v>
      </c>
      <c r="H724" s="6">
        <v>30</v>
      </c>
      <c r="I724" s="6">
        <v>30</v>
      </c>
      <c r="J724" s="6">
        <f>I724-H724</f>
        <v>0</v>
      </c>
      <c r="K724" s="5">
        <f>IF(H724=0,"",J724/H724)</f>
        <v>0</v>
      </c>
      <c r="L724">
        <f>IF(OR(AND(H724=0,ABS(J724)&gt;=0.01),AND(H724&lt;&gt;0,ABS(K724)&gt;VarianceThreshold)),"Review","OK")</f>
        <v>0</v>
      </c>
      <c r="M724" t="s">
        <v>33</v>
      </c>
    </row>
    <row r="725" spans="1:13">
      <c r="A725" t="s">
        <v>0</v>
      </c>
      <c r="B725" t="s">
        <v>980</v>
      </c>
      <c r="C725" t="s">
        <v>989</v>
      </c>
      <c r="D725" t="s">
        <v>990</v>
      </c>
      <c r="E725" cm="1">
        <f t="array" ref="E725">_xlfn.XLOOKUP(D725,SKU_Master!A:A,SKU_Master!B:B,"Not on master")</f>
        <v>0</v>
      </c>
      <c r="F725" cm="1">
        <f t="array" ref="F725">_xlfn.XLOOKUP(C725,Account_Master!A:A,Account_Master!B:B,"Not on master")</f>
        <v>0</v>
      </c>
      <c r="G725" cm="1">
        <f t="array" ref="G725">_xlfn.XLOOKUP(C725,Account_Master!A:A,Account_Master!C:C,"Not on master")</f>
        <v>0</v>
      </c>
      <c r="H725" s="6">
        <v>75</v>
      </c>
      <c r="I725" s="6">
        <v>75</v>
      </c>
      <c r="J725" s="6">
        <f>I725-H725</f>
        <v>0</v>
      </c>
      <c r="K725" s="5">
        <f>IF(H725=0,"",J725/H725)</f>
        <v>0</v>
      </c>
      <c r="L725">
        <f>IF(OR(AND(H725=0,ABS(J725)&gt;=0.01),AND(H725&lt;&gt;0,ABS(K725)&gt;VarianceThreshold)),"Review","OK")</f>
        <v>0</v>
      </c>
      <c r="M725" t="s">
        <v>33</v>
      </c>
    </row>
    <row r="726" spans="1:13">
      <c r="A726" t="s">
        <v>0</v>
      </c>
      <c r="B726" t="s">
        <v>980</v>
      </c>
      <c r="C726" t="s">
        <v>31</v>
      </c>
      <c r="D726" t="s">
        <v>991</v>
      </c>
      <c r="E726" cm="1">
        <f t="array" ref="E726">_xlfn.XLOOKUP(D726,SKU_Master!A:A,SKU_Master!B:B,"Not on master")</f>
        <v>0</v>
      </c>
      <c r="F726" cm="1">
        <f t="array" ref="F726">_xlfn.XLOOKUP(C726,Account_Master!A:A,Account_Master!B:B,"Not on master")</f>
        <v>0</v>
      </c>
      <c r="G726" cm="1">
        <f t="array" ref="G726">_xlfn.XLOOKUP(C726,Account_Master!A:A,Account_Master!C:C,"Not on master")</f>
        <v>0</v>
      </c>
      <c r="H726" s="6">
        <v>9.75</v>
      </c>
      <c r="I726" s="6">
        <v>9.75</v>
      </c>
      <c r="J726" s="6">
        <f>I726-H726</f>
        <v>0</v>
      </c>
      <c r="K726" s="5">
        <f>IF(H726=0,"",J726/H726)</f>
        <v>0</v>
      </c>
      <c r="L726">
        <f>IF(OR(AND(H726=0,ABS(J726)&gt;=0.01),AND(H726&lt;&gt;0,ABS(K726)&gt;VarianceThreshold)),"Review","OK")</f>
        <v>0</v>
      </c>
      <c r="M726" t="s">
        <v>33</v>
      </c>
    </row>
    <row r="727" spans="1:13">
      <c r="A727" t="s">
        <v>0</v>
      </c>
      <c r="B727" t="s">
        <v>992</v>
      </c>
      <c r="C727" t="s">
        <v>923</v>
      </c>
      <c r="D727" t="s">
        <v>993</v>
      </c>
      <c r="E727" cm="1">
        <f t="array" ref="E727">_xlfn.XLOOKUP(D727,SKU_Master!A:A,SKU_Master!B:B,"Not on master")</f>
        <v>0</v>
      </c>
      <c r="F727" cm="1">
        <f t="array" ref="F727">_xlfn.XLOOKUP(C727,Account_Master!A:A,Account_Master!B:B,"Not on master")</f>
        <v>0</v>
      </c>
      <c r="G727" cm="1">
        <f t="array" ref="G727">_xlfn.XLOOKUP(C727,Account_Master!A:A,Account_Master!C:C,"Not on master")</f>
        <v>0</v>
      </c>
      <c r="H727" s="6">
        <v>0.1</v>
      </c>
      <c r="I727" s="6">
        <v>0.1</v>
      </c>
      <c r="J727" s="6">
        <f>I727-H727</f>
        <v>0</v>
      </c>
      <c r="K727" s="5">
        <f>IF(H727=0,"",J727/H727)</f>
        <v>0</v>
      </c>
      <c r="L727">
        <f>IF(OR(AND(H727=0,ABS(J727)&gt;=0.01),AND(H727&lt;&gt;0,ABS(K727)&gt;VarianceThreshold)),"Review","OK")</f>
        <v>0</v>
      </c>
      <c r="M727" t="s">
        <v>33</v>
      </c>
    </row>
    <row r="728" spans="1:13">
      <c r="A728" t="s">
        <v>0</v>
      </c>
      <c r="B728" t="s">
        <v>992</v>
      </c>
      <c r="C728" t="s">
        <v>93</v>
      </c>
      <c r="D728" t="s">
        <v>994</v>
      </c>
      <c r="E728" cm="1">
        <f t="array" ref="E728">_xlfn.XLOOKUP(D728,SKU_Master!A:A,SKU_Master!B:B,"Not on master")</f>
        <v>0</v>
      </c>
      <c r="F728" cm="1">
        <f t="array" ref="F728">_xlfn.XLOOKUP(C728,Account_Master!A:A,Account_Master!B:B,"Not on master")</f>
        <v>0</v>
      </c>
      <c r="G728" cm="1">
        <f t="array" ref="G728">_xlfn.XLOOKUP(C728,Account_Master!A:A,Account_Master!C:C,"Not on master")</f>
        <v>0</v>
      </c>
      <c r="H728" s="6">
        <v>14</v>
      </c>
      <c r="I728" s="6">
        <v>14</v>
      </c>
      <c r="J728" s="6">
        <f>I728-H728</f>
        <v>0</v>
      </c>
      <c r="K728" s="5">
        <f>IF(H728=0,"",J728/H728)</f>
        <v>0</v>
      </c>
      <c r="L728">
        <f>IF(OR(AND(H728=0,ABS(J728)&gt;=0.01),AND(H728&lt;&gt;0,ABS(K728)&gt;VarianceThreshold)),"Review","OK")</f>
        <v>0</v>
      </c>
      <c r="M728" t="s">
        <v>33</v>
      </c>
    </row>
    <row r="729" spans="1:13">
      <c r="A729" t="s">
        <v>0</v>
      </c>
      <c r="B729" t="s">
        <v>992</v>
      </c>
      <c r="C729" t="s">
        <v>135</v>
      </c>
      <c r="D729" t="s">
        <v>995</v>
      </c>
      <c r="E729" cm="1">
        <f t="array" ref="E729">_xlfn.XLOOKUP(D729,SKU_Master!A:A,SKU_Master!B:B,"Not on master")</f>
        <v>0</v>
      </c>
      <c r="F729" cm="1">
        <f t="array" ref="F729">_xlfn.XLOOKUP(C729,Account_Master!A:A,Account_Master!B:B,"Not on master")</f>
        <v>0</v>
      </c>
      <c r="G729" cm="1">
        <f t="array" ref="G729">_xlfn.XLOOKUP(C729,Account_Master!A:A,Account_Master!C:C,"Not on master")</f>
        <v>0</v>
      </c>
      <c r="H729" s="6">
        <v>12</v>
      </c>
      <c r="I729" s="6">
        <v>12</v>
      </c>
      <c r="J729" s="6">
        <f>I729-H729</f>
        <v>0</v>
      </c>
      <c r="K729" s="5">
        <f>IF(H729=0,"",J729/H729)</f>
        <v>0</v>
      </c>
      <c r="L729">
        <f>IF(OR(AND(H729=0,ABS(J729)&gt;=0.01),AND(H729&lt;&gt;0,ABS(K729)&gt;VarianceThreshold)),"Review","OK")</f>
        <v>0</v>
      </c>
      <c r="M729" t="s">
        <v>33</v>
      </c>
    </row>
    <row r="730" spans="1:13">
      <c r="A730" t="s">
        <v>0</v>
      </c>
      <c r="B730" t="s">
        <v>992</v>
      </c>
      <c r="C730" t="s">
        <v>48</v>
      </c>
      <c r="D730" t="s">
        <v>996</v>
      </c>
      <c r="E730" cm="1">
        <f t="array" ref="E730">_xlfn.XLOOKUP(D730,SKU_Master!A:A,SKU_Master!B:B,"Not on master")</f>
        <v>0</v>
      </c>
      <c r="F730" cm="1">
        <f t="array" ref="F730">_xlfn.XLOOKUP(C730,Account_Master!A:A,Account_Master!B:B,"Not on master")</f>
        <v>0</v>
      </c>
      <c r="G730" cm="1">
        <f t="array" ref="G730">_xlfn.XLOOKUP(C730,Account_Master!A:A,Account_Master!C:C,"Not on master")</f>
        <v>0</v>
      </c>
      <c r="H730" s="6">
        <v>1.5</v>
      </c>
      <c r="I730" s="6">
        <v>1.5</v>
      </c>
      <c r="J730" s="6">
        <f>I730-H730</f>
        <v>0</v>
      </c>
      <c r="K730" s="5">
        <f>IF(H730=0,"",J730/H730)</f>
        <v>0</v>
      </c>
      <c r="L730">
        <f>IF(OR(AND(H730=0,ABS(J730)&gt;=0.01),AND(H730&lt;&gt;0,ABS(K730)&gt;VarianceThreshold)),"Review","OK")</f>
        <v>0</v>
      </c>
      <c r="M730" t="s">
        <v>33</v>
      </c>
    </row>
    <row r="731" spans="1:13">
      <c r="A731" t="s">
        <v>0</v>
      </c>
      <c r="B731" t="s">
        <v>992</v>
      </c>
      <c r="C731" t="s">
        <v>274</v>
      </c>
      <c r="D731" t="s">
        <v>997</v>
      </c>
      <c r="E731" cm="1">
        <f t="array" ref="E731">_xlfn.XLOOKUP(D731,SKU_Master!A:A,SKU_Master!B:B,"Not on master")</f>
        <v>0</v>
      </c>
      <c r="F731" cm="1">
        <f t="array" ref="F731">_xlfn.XLOOKUP(C731,Account_Master!A:A,Account_Master!B:B,"Not on master")</f>
        <v>0</v>
      </c>
      <c r="G731" cm="1">
        <f t="array" ref="G731">_xlfn.XLOOKUP(C731,Account_Master!A:A,Account_Master!C:C,"Not on master")</f>
        <v>0</v>
      </c>
      <c r="H731" s="6">
        <v>11.24</v>
      </c>
      <c r="I731" s="6">
        <v>11.24</v>
      </c>
      <c r="J731" s="6">
        <f>I731-H731</f>
        <v>0</v>
      </c>
      <c r="K731" s="5">
        <f>IF(H731=0,"",J731/H731)</f>
        <v>0</v>
      </c>
      <c r="L731">
        <f>IF(OR(AND(H731=0,ABS(J731)&gt;=0.01),AND(H731&lt;&gt;0,ABS(K731)&gt;VarianceThreshold)),"Review","OK")</f>
        <v>0</v>
      </c>
      <c r="M731" t="s">
        <v>33</v>
      </c>
    </row>
    <row r="732" spans="1:13">
      <c r="A732" t="s">
        <v>0</v>
      </c>
      <c r="B732" t="s">
        <v>992</v>
      </c>
      <c r="C732" t="s">
        <v>110</v>
      </c>
      <c r="D732" t="s">
        <v>998</v>
      </c>
      <c r="E732" cm="1">
        <f t="array" ref="E732">_xlfn.XLOOKUP(D732,SKU_Master!A:A,SKU_Master!B:B,"Not on master")</f>
        <v>0</v>
      </c>
      <c r="F732" cm="1">
        <f t="array" ref="F732">_xlfn.XLOOKUP(C732,Account_Master!A:A,Account_Master!B:B,"Not on master")</f>
        <v>0</v>
      </c>
      <c r="G732" cm="1">
        <f t="array" ref="G732">_xlfn.XLOOKUP(C732,Account_Master!A:A,Account_Master!C:C,"Not on master")</f>
        <v>0</v>
      </c>
      <c r="H732" s="6">
        <v>175.5</v>
      </c>
      <c r="I732" s="6">
        <v>175.5</v>
      </c>
      <c r="J732" s="6">
        <f>I732-H732</f>
        <v>0</v>
      </c>
      <c r="K732" s="5">
        <f>IF(H732=0,"",J732/H732)</f>
        <v>0</v>
      </c>
      <c r="L732">
        <f>IF(OR(AND(H732=0,ABS(J732)&gt;=0.01),AND(H732&lt;&gt;0,ABS(K732)&gt;VarianceThreshold)),"Review","OK")</f>
        <v>0</v>
      </c>
      <c r="M732" t="s">
        <v>33</v>
      </c>
    </row>
    <row r="733" spans="1:13">
      <c r="A733" t="s">
        <v>0</v>
      </c>
      <c r="B733" t="s">
        <v>992</v>
      </c>
      <c r="C733" t="s">
        <v>82</v>
      </c>
      <c r="D733" t="s">
        <v>999</v>
      </c>
      <c r="E733" cm="1">
        <f t="array" ref="E733">_xlfn.XLOOKUP(D733,SKU_Master!A:A,SKU_Master!B:B,"Not on master")</f>
        <v>0</v>
      </c>
      <c r="F733" cm="1">
        <f t="array" ref="F733">_xlfn.XLOOKUP(C733,Account_Master!A:A,Account_Master!B:B,"Not on master")</f>
        <v>0</v>
      </c>
      <c r="G733" cm="1">
        <f t="array" ref="G733">_xlfn.XLOOKUP(C733,Account_Master!A:A,Account_Master!C:C,"Not on master")</f>
        <v>0</v>
      </c>
      <c r="H733" s="6">
        <v>9.9</v>
      </c>
      <c r="I733" s="6">
        <v>9.9</v>
      </c>
      <c r="J733" s="6">
        <f>I733-H733</f>
        <v>0</v>
      </c>
      <c r="K733" s="5">
        <f>IF(H733=0,"",J733/H733)</f>
        <v>0</v>
      </c>
      <c r="L733">
        <f>IF(OR(AND(H733=0,ABS(J733)&gt;=0.01),AND(H733&lt;&gt;0,ABS(K733)&gt;VarianceThreshold)),"Review","OK")</f>
        <v>0</v>
      </c>
      <c r="M733" t="s">
        <v>33</v>
      </c>
    </row>
    <row r="734" spans="1:13">
      <c r="A734" t="s">
        <v>0</v>
      </c>
      <c r="B734" t="s">
        <v>992</v>
      </c>
      <c r="C734" t="s">
        <v>110</v>
      </c>
      <c r="D734" t="s">
        <v>1000</v>
      </c>
      <c r="E734" cm="1">
        <f t="array" ref="E734">_xlfn.XLOOKUP(D734,SKU_Master!A:A,SKU_Master!B:B,"Not on master")</f>
        <v>0</v>
      </c>
      <c r="F734" cm="1">
        <f t="array" ref="F734">_xlfn.XLOOKUP(C734,Account_Master!A:A,Account_Master!B:B,"Not on master")</f>
        <v>0</v>
      </c>
      <c r="G734" cm="1">
        <f t="array" ref="G734">_xlfn.XLOOKUP(C734,Account_Master!A:A,Account_Master!C:C,"Not on master")</f>
        <v>0</v>
      </c>
      <c r="H734" s="6">
        <v>177</v>
      </c>
      <c r="I734" s="6">
        <v>177</v>
      </c>
      <c r="J734" s="6">
        <f>I734-H734</f>
        <v>0</v>
      </c>
      <c r="K734" s="5">
        <f>IF(H734=0,"",J734/H734)</f>
        <v>0</v>
      </c>
      <c r="L734">
        <f>IF(OR(AND(H734=0,ABS(J734)&gt;=0.01),AND(H734&lt;&gt;0,ABS(K734)&gt;VarianceThreshold)),"Review","OK")</f>
        <v>0</v>
      </c>
      <c r="M734" t="s">
        <v>33</v>
      </c>
    </row>
    <row r="735" spans="1:13">
      <c r="A735" t="s">
        <v>0</v>
      </c>
      <c r="B735" t="s">
        <v>992</v>
      </c>
      <c r="C735" t="s">
        <v>162</v>
      </c>
      <c r="D735" t="s">
        <v>1001</v>
      </c>
      <c r="E735" cm="1">
        <f t="array" ref="E735">_xlfn.XLOOKUP(D735,SKU_Master!A:A,SKU_Master!B:B,"Not on master")</f>
        <v>0</v>
      </c>
      <c r="F735" cm="1">
        <f t="array" ref="F735">_xlfn.XLOOKUP(C735,Account_Master!A:A,Account_Master!B:B,"Not on master")</f>
        <v>0</v>
      </c>
      <c r="G735" cm="1">
        <f t="array" ref="G735">_xlfn.XLOOKUP(C735,Account_Master!A:A,Account_Master!C:C,"Not on master")</f>
        <v>0</v>
      </c>
      <c r="H735" s="6">
        <v>9</v>
      </c>
      <c r="I735" s="6">
        <v>9</v>
      </c>
      <c r="J735" s="6">
        <f>I735-H735</f>
        <v>0</v>
      </c>
      <c r="K735" s="5">
        <f>IF(H735=0,"",J735/H735)</f>
        <v>0</v>
      </c>
      <c r="L735">
        <f>IF(OR(AND(H735=0,ABS(J735)&gt;=0.01),AND(H735&lt;&gt;0,ABS(K735)&gt;VarianceThreshold)),"Review","OK")</f>
        <v>0</v>
      </c>
      <c r="M735" t="s">
        <v>33</v>
      </c>
    </row>
    <row r="736" spans="1:13">
      <c r="A736" t="s">
        <v>0</v>
      </c>
      <c r="B736" t="s">
        <v>1002</v>
      </c>
      <c r="C736" t="s">
        <v>82</v>
      </c>
      <c r="D736" t="s">
        <v>1003</v>
      </c>
      <c r="E736" cm="1">
        <f t="array" ref="E736">_xlfn.XLOOKUP(D736,SKU_Master!A:A,SKU_Master!B:B,"Not on master")</f>
        <v>0</v>
      </c>
      <c r="F736" cm="1">
        <f t="array" ref="F736">_xlfn.XLOOKUP(C736,Account_Master!A:A,Account_Master!B:B,"Not on master")</f>
        <v>0</v>
      </c>
      <c r="G736" cm="1">
        <f t="array" ref="G736">_xlfn.XLOOKUP(C736,Account_Master!A:A,Account_Master!C:C,"Not on master")</f>
        <v>0</v>
      </c>
      <c r="H736" s="6">
        <v>9</v>
      </c>
      <c r="I736" s="6">
        <v>9</v>
      </c>
      <c r="J736" s="6">
        <f>I736-H736</f>
        <v>0</v>
      </c>
      <c r="K736" s="5">
        <f>IF(H736=0,"",J736/H736)</f>
        <v>0</v>
      </c>
      <c r="L736">
        <f>IF(OR(AND(H736=0,ABS(J736)&gt;=0.01),AND(H736&lt;&gt;0,ABS(K736)&gt;VarianceThreshold)),"Review","OK")</f>
        <v>0</v>
      </c>
      <c r="M736" t="s">
        <v>33</v>
      </c>
    </row>
    <row r="737" spans="1:13">
      <c r="A737" t="s">
        <v>0</v>
      </c>
      <c r="B737" t="s">
        <v>1002</v>
      </c>
      <c r="C737" t="s">
        <v>41</v>
      </c>
      <c r="D737" t="s">
        <v>1004</v>
      </c>
      <c r="E737" cm="1">
        <f t="array" ref="E737">_xlfn.XLOOKUP(D737,SKU_Master!A:A,SKU_Master!B:B,"Not on master")</f>
        <v>0</v>
      </c>
      <c r="F737" cm="1">
        <f t="array" ref="F737">_xlfn.XLOOKUP(C737,Account_Master!A:A,Account_Master!B:B,"Not on master")</f>
        <v>0</v>
      </c>
      <c r="G737" cm="1">
        <f t="array" ref="G737">_xlfn.XLOOKUP(C737,Account_Master!A:A,Account_Master!C:C,"Not on master")</f>
        <v>0</v>
      </c>
      <c r="H737" s="6">
        <v>10.5</v>
      </c>
      <c r="I737" s="6">
        <v>10.5</v>
      </c>
      <c r="J737" s="6">
        <f>I737-H737</f>
        <v>0</v>
      </c>
      <c r="K737" s="5">
        <f>IF(H737=0,"",J737/H737)</f>
        <v>0</v>
      </c>
      <c r="L737">
        <f>IF(OR(AND(H737=0,ABS(J737)&gt;=0.01),AND(H737&lt;&gt;0,ABS(K737)&gt;VarianceThreshold)),"Review","OK")</f>
        <v>0</v>
      </c>
      <c r="M737" t="s">
        <v>33</v>
      </c>
    </row>
    <row r="738" spans="1:13">
      <c r="A738" t="s">
        <v>0</v>
      </c>
      <c r="B738" t="s">
        <v>1002</v>
      </c>
      <c r="C738" t="s">
        <v>389</v>
      </c>
      <c r="D738" t="s">
        <v>1005</v>
      </c>
      <c r="E738" cm="1">
        <f t="array" ref="E738">_xlfn.XLOOKUP(D738,SKU_Master!A:A,SKU_Master!B:B,"Not on master")</f>
        <v>0</v>
      </c>
      <c r="F738" cm="1">
        <f t="array" ref="F738">_xlfn.XLOOKUP(C738,Account_Master!A:A,Account_Master!B:B,"Not on master")</f>
        <v>0</v>
      </c>
      <c r="G738" cm="1">
        <f t="array" ref="G738">_xlfn.XLOOKUP(C738,Account_Master!A:A,Account_Master!C:C,"Not on master")</f>
        <v>0</v>
      </c>
      <c r="H738" s="6">
        <v>31.5</v>
      </c>
      <c r="I738" s="6">
        <v>31.5</v>
      </c>
      <c r="J738" s="6">
        <f>I738-H738</f>
        <v>0</v>
      </c>
      <c r="K738" s="5">
        <f>IF(H738=0,"",J738/H738)</f>
        <v>0</v>
      </c>
      <c r="L738">
        <f>IF(OR(AND(H738=0,ABS(J738)&gt;=0.01),AND(H738&lt;&gt;0,ABS(K738)&gt;VarianceThreshold)),"Review","OK")</f>
        <v>0</v>
      </c>
      <c r="M738" t="s">
        <v>33</v>
      </c>
    </row>
    <row r="739" spans="1:13">
      <c r="A739" t="s">
        <v>0</v>
      </c>
      <c r="B739" t="s">
        <v>1002</v>
      </c>
      <c r="C739" t="s">
        <v>31</v>
      </c>
      <c r="D739" t="s">
        <v>1006</v>
      </c>
      <c r="E739" cm="1">
        <f t="array" ref="E739">_xlfn.XLOOKUP(D739,SKU_Master!A:A,SKU_Master!B:B,"Not on master")</f>
        <v>0</v>
      </c>
      <c r="F739" cm="1">
        <f t="array" ref="F739">_xlfn.XLOOKUP(C739,Account_Master!A:A,Account_Master!B:B,"Not on master")</f>
        <v>0</v>
      </c>
      <c r="G739" cm="1">
        <f t="array" ref="G739">_xlfn.XLOOKUP(C739,Account_Master!A:A,Account_Master!C:C,"Not on master")</f>
        <v>0</v>
      </c>
      <c r="H739" s="6">
        <v>9</v>
      </c>
      <c r="I739" s="6">
        <v>9</v>
      </c>
      <c r="J739" s="6">
        <f>I739-H739</f>
        <v>0</v>
      </c>
      <c r="K739" s="5">
        <f>IF(H739=0,"",J739/H739)</f>
        <v>0</v>
      </c>
      <c r="L739">
        <f>IF(OR(AND(H739=0,ABS(J739)&gt;=0.01),AND(H739&lt;&gt;0,ABS(K739)&gt;VarianceThreshold)),"Review","OK")</f>
        <v>0</v>
      </c>
      <c r="M739" t="s">
        <v>33</v>
      </c>
    </row>
    <row r="740" spans="1:13">
      <c r="A740" t="s">
        <v>0</v>
      </c>
      <c r="B740" t="s">
        <v>1002</v>
      </c>
      <c r="C740" t="s">
        <v>110</v>
      </c>
      <c r="D740" t="s">
        <v>1007</v>
      </c>
      <c r="E740" cm="1">
        <f t="array" ref="E740">_xlfn.XLOOKUP(D740,SKU_Master!A:A,SKU_Master!B:B,"Not on master")</f>
        <v>0</v>
      </c>
      <c r="F740" cm="1">
        <f t="array" ref="F740">_xlfn.XLOOKUP(C740,Account_Master!A:A,Account_Master!B:B,"Not on master")</f>
        <v>0</v>
      </c>
      <c r="G740" cm="1">
        <f t="array" ref="G740">_xlfn.XLOOKUP(C740,Account_Master!A:A,Account_Master!C:C,"Not on master")</f>
        <v>0</v>
      </c>
      <c r="H740" s="6">
        <v>9.75</v>
      </c>
      <c r="I740" s="6">
        <v>9.75</v>
      </c>
      <c r="J740" s="6">
        <f>I740-H740</f>
        <v>0</v>
      </c>
      <c r="K740" s="5">
        <f>IF(H740=0,"",J740/H740)</f>
        <v>0</v>
      </c>
      <c r="L740">
        <f>IF(OR(AND(H740=0,ABS(J740)&gt;=0.01),AND(H740&lt;&gt;0,ABS(K740)&gt;VarianceThreshold)),"Review","OK")</f>
        <v>0</v>
      </c>
      <c r="M740" t="s">
        <v>33</v>
      </c>
    </row>
    <row r="741" spans="1:13">
      <c r="A741" t="s">
        <v>1</v>
      </c>
      <c r="B741" t="s">
        <v>30</v>
      </c>
      <c r="C741" t="s">
        <v>1008</v>
      </c>
      <c r="D741" t="s">
        <v>1009</v>
      </c>
      <c r="E741" cm="1">
        <f t="array" ref="E741">_xlfn.XLOOKUP(D741,SKU_Master!A:A,SKU_Master!B:B,"Not on master")</f>
        <v>0</v>
      </c>
      <c r="F741" cm="1">
        <f t="array" ref="F741">_xlfn.XLOOKUP(C741,Account_Master!A:A,Account_Master!B:B,"Not on master")</f>
        <v>0</v>
      </c>
      <c r="G741" cm="1">
        <f t="array" ref="G741">_xlfn.XLOOKUP(C741,Account_Master!A:A,Account_Master!C:C,"Not on master")</f>
        <v>0</v>
      </c>
      <c r="H741" s="6">
        <v>81</v>
      </c>
      <c r="I741" s="6">
        <v>81</v>
      </c>
      <c r="J741" s="6">
        <f>I741-H741</f>
        <v>0</v>
      </c>
      <c r="K741" s="5">
        <f>IF(H741=0,"",J741/H741)</f>
        <v>0</v>
      </c>
      <c r="L741">
        <f>IF(OR(AND(H741=0,ABS(J741)&gt;=0.01),AND(H741&lt;&gt;0,ABS(K741)&gt;VarianceThreshold)),"Review","OK")</f>
        <v>0</v>
      </c>
      <c r="M741" t="s">
        <v>33</v>
      </c>
    </row>
    <row r="742" spans="1:13">
      <c r="A742" t="s">
        <v>1</v>
      </c>
      <c r="B742" t="s">
        <v>30</v>
      </c>
      <c r="C742" t="s">
        <v>1010</v>
      </c>
      <c r="D742" t="s">
        <v>1011</v>
      </c>
      <c r="E742" cm="1">
        <f t="array" ref="E742">_xlfn.XLOOKUP(D742,SKU_Master!A:A,SKU_Master!B:B,"Not on master")</f>
        <v>0</v>
      </c>
      <c r="F742" cm="1">
        <f t="array" ref="F742">_xlfn.XLOOKUP(C742,Account_Master!A:A,Account_Master!B:B,"Not on master")</f>
        <v>0</v>
      </c>
      <c r="G742" cm="1">
        <f t="array" ref="G742">_xlfn.XLOOKUP(C742,Account_Master!A:A,Account_Master!C:C,"Not on master")</f>
        <v>0</v>
      </c>
      <c r="H742" s="6">
        <v>22.5</v>
      </c>
      <c r="I742" s="6">
        <v>22.5</v>
      </c>
      <c r="J742" s="6">
        <f>I742-H742</f>
        <v>0</v>
      </c>
      <c r="K742" s="5">
        <f>IF(H742=0,"",J742/H742)</f>
        <v>0</v>
      </c>
      <c r="L742">
        <f>IF(OR(AND(H742=0,ABS(J742)&gt;=0.01),AND(H742&lt;&gt;0,ABS(K742)&gt;VarianceThreshold)),"Review","OK")</f>
        <v>0</v>
      </c>
      <c r="M742" t="s">
        <v>33</v>
      </c>
    </row>
    <row r="743" spans="1:13">
      <c r="A743" t="s">
        <v>1</v>
      </c>
      <c r="B743" t="s">
        <v>30</v>
      </c>
      <c r="C743" t="s">
        <v>1012</v>
      </c>
      <c r="D743" t="s">
        <v>599</v>
      </c>
      <c r="E743" cm="1">
        <f t="array" ref="E743">_xlfn.XLOOKUP(D743,SKU_Master!A:A,SKU_Master!B:B,"Not on master")</f>
        <v>0</v>
      </c>
      <c r="F743" cm="1">
        <f t="array" ref="F743">_xlfn.XLOOKUP(C743,Account_Master!A:A,Account_Master!B:B,"Not on master")</f>
        <v>0</v>
      </c>
      <c r="G743" cm="1">
        <f t="array" ref="G743">_xlfn.XLOOKUP(C743,Account_Master!A:A,Account_Master!C:C,"Not on master")</f>
        <v>0</v>
      </c>
      <c r="H743" s="6">
        <v>1.95</v>
      </c>
      <c r="I743" s="6">
        <v>1.95</v>
      </c>
      <c r="J743" s="6">
        <f>I743-H743</f>
        <v>0</v>
      </c>
      <c r="K743" s="5">
        <f>IF(H743=0,"",J743/H743)</f>
        <v>0</v>
      </c>
      <c r="L743">
        <f>IF(OR(AND(H743=0,ABS(J743)&gt;=0.01),AND(H743&lt;&gt;0,ABS(K743)&gt;VarianceThreshold)),"Review","OK")</f>
        <v>0</v>
      </c>
      <c r="M743" t="s">
        <v>33</v>
      </c>
    </row>
    <row r="744" spans="1:13">
      <c r="A744" t="s">
        <v>1</v>
      </c>
      <c r="B744" t="s">
        <v>30</v>
      </c>
      <c r="C744" t="s">
        <v>1013</v>
      </c>
      <c r="D744" t="s">
        <v>1014</v>
      </c>
      <c r="E744" cm="1">
        <f t="array" ref="E744">_xlfn.XLOOKUP(D744,SKU_Master!A:A,SKU_Master!B:B,"Not on master")</f>
        <v>0</v>
      </c>
      <c r="F744" cm="1">
        <f t="array" ref="F744">_xlfn.XLOOKUP(C744,Account_Master!A:A,Account_Master!B:B,"Not on master")</f>
        <v>0</v>
      </c>
      <c r="G744" cm="1">
        <f t="array" ref="G744">_xlfn.XLOOKUP(C744,Account_Master!A:A,Account_Master!C:C,"Not on master")</f>
        <v>0</v>
      </c>
      <c r="H744" s="6">
        <v>3.75</v>
      </c>
      <c r="I744" s="6">
        <v>3.75</v>
      </c>
      <c r="J744" s="6">
        <f>I744-H744</f>
        <v>0</v>
      </c>
      <c r="K744" s="5">
        <f>IF(H744=0,"",J744/H744)</f>
        <v>0</v>
      </c>
      <c r="L744">
        <f>IF(OR(AND(H744=0,ABS(J744)&gt;=0.01),AND(H744&lt;&gt;0,ABS(K744)&gt;VarianceThreshold)),"Review","OK")</f>
        <v>0</v>
      </c>
      <c r="M744" t="s">
        <v>33</v>
      </c>
    </row>
    <row r="745" spans="1:13">
      <c r="A745" t="s">
        <v>1</v>
      </c>
      <c r="B745" t="s">
        <v>30</v>
      </c>
      <c r="C745" t="s">
        <v>1010</v>
      </c>
      <c r="D745" t="s">
        <v>1015</v>
      </c>
      <c r="E745" cm="1">
        <f t="array" ref="E745">_xlfn.XLOOKUP(D745,SKU_Master!A:A,SKU_Master!B:B,"Not on master")</f>
        <v>0</v>
      </c>
      <c r="F745" cm="1">
        <f t="array" ref="F745">_xlfn.XLOOKUP(C745,Account_Master!A:A,Account_Master!B:B,"Not on master")</f>
        <v>0</v>
      </c>
      <c r="G745" cm="1">
        <f t="array" ref="G745">_xlfn.XLOOKUP(C745,Account_Master!A:A,Account_Master!C:C,"Not on master")</f>
        <v>0</v>
      </c>
      <c r="H745" s="6">
        <v>3</v>
      </c>
      <c r="I745" s="6">
        <v>3</v>
      </c>
      <c r="J745" s="6">
        <f>I745-H745</f>
        <v>0</v>
      </c>
      <c r="K745" s="5">
        <f>IF(H745=0,"",J745/H745)</f>
        <v>0</v>
      </c>
      <c r="L745">
        <f>IF(OR(AND(H745=0,ABS(J745)&gt;=0.01),AND(H745&lt;&gt;0,ABS(K745)&gt;VarianceThreshold)),"Review","OK")</f>
        <v>0</v>
      </c>
      <c r="M745" t="s">
        <v>33</v>
      </c>
    </row>
    <row r="746" spans="1:13">
      <c r="A746" t="s">
        <v>1</v>
      </c>
      <c r="B746" t="s">
        <v>47</v>
      </c>
      <c r="C746" t="s">
        <v>1016</v>
      </c>
      <c r="D746" t="s">
        <v>1017</v>
      </c>
      <c r="E746" cm="1">
        <f t="array" ref="E746">_xlfn.XLOOKUP(D746,SKU_Master!A:A,SKU_Master!B:B,"Not on master")</f>
        <v>0</v>
      </c>
      <c r="F746" cm="1">
        <f t="array" ref="F746">_xlfn.XLOOKUP(C746,Account_Master!A:A,Account_Master!B:B,"Not on master")</f>
        <v>0</v>
      </c>
      <c r="G746" cm="1">
        <f t="array" ref="G746">_xlfn.XLOOKUP(C746,Account_Master!A:A,Account_Master!C:C,"Not on master")</f>
        <v>0</v>
      </c>
      <c r="H746" s="6">
        <v>1.5</v>
      </c>
      <c r="I746" s="6">
        <v>1.5</v>
      </c>
      <c r="J746" s="6">
        <f>I746-H746</f>
        <v>0</v>
      </c>
      <c r="K746" s="5">
        <f>IF(H746=0,"",J746/H746)</f>
        <v>0</v>
      </c>
      <c r="L746">
        <f>IF(OR(AND(H746=0,ABS(J746)&gt;=0.01),AND(H746&lt;&gt;0,ABS(K746)&gt;VarianceThreshold)),"Review","OK")</f>
        <v>0</v>
      </c>
      <c r="M746" t="s">
        <v>33</v>
      </c>
    </row>
    <row r="747" spans="1:13">
      <c r="A747" t="s">
        <v>1</v>
      </c>
      <c r="B747" t="s">
        <v>47</v>
      </c>
      <c r="C747" t="s">
        <v>1018</v>
      </c>
      <c r="D747" t="s">
        <v>917</v>
      </c>
      <c r="E747" cm="1">
        <f t="array" ref="E747">_xlfn.XLOOKUP(D747,SKU_Master!A:A,SKU_Master!B:B,"Not on master")</f>
        <v>0</v>
      </c>
      <c r="F747" cm="1">
        <f t="array" ref="F747">_xlfn.XLOOKUP(C747,Account_Master!A:A,Account_Master!B:B,"Not on master")</f>
        <v>0</v>
      </c>
      <c r="G747" cm="1">
        <f t="array" ref="G747">_xlfn.XLOOKUP(C747,Account_Master!A:A,Account_Master!C:C,"Not on master")</f>
        <v>0</v>
      </c>
      <c r="H747" s="6">
        <v>4.5</v>
      </c>
      <c r="I747" s="6">
        <v>4.5</v>
      </c>
      <c r="J747" s="6">
        <f>I747-H747</f>
        <v>0</v>
      </c>
      <c r="K747" s="5">
        <f>IF(H747=0,"",J747/H747)</f>
        <v>0</v>
      </c>
      <c r="L747">
        <f>IF(OR(AND(H747=0,ABS(J747)&gt;=0.01),AND(H747&lt;&gt;0,ABS(K747)&gt;VarianceThreshold)),"Review","OK")</f>
        <v>0</v>
      </c>
      <c r="M747" t="s">
        <v>33</v>
      </c>
    </row>
    <row r="748" spans="1:13">
      <c r="A748" t="s">
        <v>1</v>
      </c>
      <c r="B748" t="s">
        <v>47</v>
      </c>
      <c r="C748" t="s">
        <v>1019</v>
      </c>
      <c r="D748" t="s">
        <v>1020</v>
      </c>
      <c r="E748" cm="1">
        <f t="array" ref="E748">_xlfn.XLOOKUP(D748,SKU_Master!A:A,SKU_Master!B:B,"Not on master")</f>
        <v>0</v>
      </c>
      <c r="F748" cm="1">
        <f t="array" ref="F748">_xlfn.XLOOKUP(C748,Account_Master!A:A,Account_Master!B:B,"Not on master")</f>
        <v>0</v>
      </c>
      <c r="G748" cm="1">
        <f t="array" ref="G748">_xlfn.XLOOKUP(C748,Account_Master!A:A,Account_Master!C:C,"Not on master")</f>
        <v>0</v>
      </c>
      <c r="H748" s="6">
        <v>1.75</v>
      </c>
      <c r="I748" s="6">
        <v>1.75</v>
      </c>
      <c r="J748" s="6">
        <f>I748-H748</f>
        <v>0</v>
      </c>
      <c r="K748" s="5">
        <f>IF(H748=0,"",J748/H748)</f>
        <v>0</v>
      </c>
      <c r="L748">
        <f>IF(OR(AND(H748=0,ABS(J748)&gt;=0.01),AND(H748&lt;&gt;0,ABS(K748)&gt;VarianceThreshold)),"Review","OK")</f>
        <v>0</v>
      </c>
      <c r="M748" t="s">
        <v>33</v>
      </c>
    </row>
    <row r="749" spans="1:13">
      <c r="A749" t="s">
        <v>1</v>
      </c>
      <c r="B749" t="s">
        <v>47</v>
      </c>
      <c r="C749" t="s">
        <v>1010</v>
      </c>
      <c r="D749" t="s">
        <v>1021</v>
      </c>
      <c r="E749" cm="1">
        <f t="array" ref="E749">_xlfn.XLOOKUP(D749,SKU_Master!A:A,SKU_Master!B:B,"Not on master")</f>
        <v>0</v>
      </c>
      <c r="F749" cm="1">
        <f t="array" ref="F749">_xlfn.XLOOKUP(C749,Account_Master!A:A,Account_Master!B:B,"Not on master")</f>
        <v>0</v>
      </c>
      <c r="G749" cm="1">
        <f t="array" ref="G749">_xlfn.XLOOKUP(C749,Account_Master!A:A,Account_Master!C:C,"Not on master")</f>
        <v>0</v>
      </c>
      <c r="H749" s="6">
        <v>48</v>
      </c>
      <c r="I749" s="6">
        <v>48</v>
      </c>
      <c r="J749" s="6">
        <f>I749-H749</f>
        <v>0</v>
      </c>
      <c r="K749" s="5">
        <f>IF(H749=0,"",J749/H749)</f>
        <v>0</v>
      </c>
      <c r="L749">
        <f>IF(OR(AND(H749=0,ABS(J749)&gt;=0.01),AND(H749&lt;&gt;0,ABS(K749)&gt;VarianceThreshold)),"Review","OK")</f>
        <v>0</v>
      </c>
      <c r="M749" t="s">
        <v>33</v>
      </c>
    </row>
    <row r="750" spans="1:13">
      <c r="A750" t="s">
        <v>1</v>
      </c>
      <c r="B750" t="s">
        <v>47</v>
      </c>
      <c r="C750" t="s">
        <v>1022</v>
      </c>
      <c r="D750" t="s">
        <v>723</v>
      </c>
      <c r="E750" cm="1">
        <f t="array" ref="E750">_xlfn.XLOOKUP(D750,SKU_Master!A:A,SKU_Master!B:B,"Not on master")</f>
        <v>0</v>
      </c>
      <c r="F750" cm="1">
        <f t="array" ref="F750">_xlfn.XLOOKUP(C750,Account_Master!A:A,Account_Master!B:B,"Not on master")</f>
        <v>0</v>
      </c>
      <c r="G750" cm="1">
        <f t="array" ref="G750">_xlfn.XLOOKUP(C750,Account_Master!A:A,Account_Master!C:C,"Not on master")</f>
        <v>0</v>
      </c>
      <c r="H750" s="6">
        <v>31</v>
      </c>
      <c r="I750" s="6">
        <v>31</v>
      </c>
      <c r="J750" s="6">
        <f>I750-H750</f>
        <v>0</v>
      </c>
      <c r="K750" s="5">
        <f>IF(H750=0,"",J750/H750)</f>
        <v>0</v>
      </c>
      <c r="L750">
        <f>IF(OR(AND(H750=0,ABS(J750)&gt;=0.01),AND(H750&lt;&gt;0,ABS(K750)&gt;VarianceThreshold)),"Review","OK")</f>
        <v>0</v>
      </c>
      <c r="M750" t="s">
        <v>33</v>
      </c>
    </row>
    <row r="751" spans="1:13">
      <c r="A751" t="s">
        <v>1</v>
      </c>
      <c r="B751" t="s">
        <v>47</v>
      </c>
      <c r="C751" t="s">
        <v>1023</v>
      </c>
      <c r="D751" t="s">
        <v>489</v>
      </c>
      <c r="E751" cm="1">
        <f t="array" ref="E751">_xlfn.XLOOKUP(D751,SKU_Master!A:A,SKU_Master!B:B,"Not on master")</f>
        <v>0</v>
      </c>
      <c r="F751" cm="1">
        <f t="array" ref="F751">_xlfn.XLOOKUP(C751,Account_Master!A:A,Account_Master!B:B,"Not on master")</f>
        <v>0</v>
      </c>
      <c r="G751" cm="1">
        <f t="array" ref="G751">_xlfn.XLOOKUP(C751,Account_Master!A:A,Account_Master!C:C,"Not on master")</f>
        <v>0</v>
      </c>
      <c r="H751" s="6">
        <v>15</v>
      </c>
      <c r="I751" s="6">
        <v>15</v>
      </c>
      <c r="J751" s="6">
        <f>I751-H751</f>
        <v>0</v>
      </c>
      <c r="K751" s="5">
        <f>IF(H751=0,"",J751/H751)</f>
        <v>0</v>
      </c>
      <c r="L751">
        <f>IF(OR(AND(H751=0,ABS(J751)&gt;=0.01),AND(H751&lt;&gt;0,ABS(K751)&gt;VarianceThreshold)),"Review","OK")</f>
        <v>0</v>
      </c>
      <c r="M751" t="s">
        <v>33</v>
      </c>
    </row>
    <row r="752" spans="1:13">
      <c r="A752" t="s">
        <v>1</v>
      </c>
      <c r="B752" t="s">
        <v>47</v>
      </c>
      <c r="C752" t="s">
        <v>1010</v>
      </c>
      <c r="D752" t="s">
        <v>628</v>
      </c>
      <c r="E752" cm="1">
        <f t="array" ref="E752">_xlfn.XLOOKUP(D752,SKU_Master!A:A,SKU_Master!B:B,"Not on master")</f>
        <v>0</v>
      </c>
      <c r="F752" cm="1">
        <f t="array" ref="F752">_xlfn.XLOOKUP(C752,Account_Master!A:A,Account_Master!B:B,"Not on master")</f>
        <v>0</v>
      </c>
      <c r="G752" cm="1">
        <f t="array" ref="G752">_xlfn.XLOOKUP(C752,Account_Master!A:A,Account_Master!C:C,"Not on master")</f>
        <v>0</v>
      </c>
      <c r="H752" s="6">
        <v>14</v>
      </c>
      <c r="I752" s="6">
        <v>14</v>
      </c>
      <c r="J752" s="6">
        <f>I752-H752</f>
        <v>0</v>
      </c>
      <c r="K752" s="5">
        <f>IF(H752=0,"",J752/H752)</f>
        <v>0</v>
      </c>
      <c r="L752">
        <f>IF(OR(AND(H752=0,ABS(J752)&gt;=0.01),AND(H752&lt;&gt;0,ABS(K752)&gt;VarianceThreshold)),"Review","OK")</f>
        <v>0</v>
      </c>
      <c r="M752" t="s">
        <v>33</v>
      </c>
    </row>
    <row r="753" spans="1:13">
      <c r="A753" t="s">
        <v>1</v>
      </c>
      <c r="B753" t="s">
        <v>47</v>
      </c>
      <c r="C753" t="s">
        <v>1024</v>
      </c>
      <c r="D753" t="s">
        <v>1025</v>
      </c>
      <c r="E753" cm="1">
        <f t="array" ref="E753">_xlfn.XLOOKUP(D753,SKU_Master!A:A,SKU_Master!B:B,"Not on master")</f>
        <v>0</v>
      </c>
      <c r="F753" cm="1">
        <f t="array" ref="F753">_xlfn.XLOOKUP(C753,Account_Master!A:A,Account_Master!B:B,"Not on master")</f>
        <v>0</v>
      </c>
      <c r="G753" cm="1">
        <f t="array" ref="G753">_xlfn.XLOOKUP(C753,Account_Master!A:A,Account_Master!C:C,"Not on master")</f>
        <v>0</v>
      </c>
      <c r="H753" s="6">
        <v>3</v>
      </c>
      <c r="I753" s="6">
        <v>3</v>
      </c>
      <c r="J753" s="6">
        <f>I753-H753</f>
        <v>0</v>
      </c>
      <c r="K753" s="5">
        <f>IF(H753=0,"",J753/H753)</f>
        <v>0</v>
      </c>
      <c r="L753">
        <f>IF(OR(AND(H753=0,ABS(J753)&gt;=0.01),AND(H753&lt;&gt;0,ABS(K753)&gt;VarianceThreshold)),"Review","OK")</f>
        <v>0</v>
      </c>
      <c r="M753" t="s">
        <v>33</v>
      </c>
    </row>
    <row r="754" spans="1:13">
      <c r="A754" t="s">
        <v>1</v>
      </c>
      <c r="B754" t="s">
        <v>47</v>
      </c>
      <c r="C754" t="s">
        <v>1013</v>
      </c>
      <c r="D754" t="s">
        <v>1026</v>
      </c>
      <c r="E754" cm="1">
        <f t="array" ref="E754">_xlfn.XLOOKUP(D754,SKU_Master!A:A,SKU_Master!B:B,"Not on master")</f>
        <v>0</v>
      </c>
      <c r="F754" cm="1">
        <f t="array" ref="F754">_xlfn.XLOOKUP(C754,Account_Master!A:A,Account_Master!B:B,"Not on master")</f>
        <v>0</v>
      </c>
      <c r="G754" cm="1">
        <f t="array" ref="G754">_xlfn.XLOOKUP(C754,Account_Master!A:A,Account_Master!C:C,"Not on master")</f>
        <v>0</v>
      </c>
      <c r="H754" s="6">
        <v>4.5</v>
      </c>
      <c r="I754" s="6">
        <v>4.5</v>
      </c>
      <c r="J754" s="6">
        <f>I754-H754</f>
        <v>0</v>
      </c>
      <c r="K754" s="5">
        <f>IF(H754=0,"",J754/H754)</f>
        <v>0</v>
      </c>
      <c r="L754">
        <f>IF(OR(AND(H754=0,ABS(J754)&gt;=0.01),AND(H754&lt;&gt;0,ABS(K754)&gt;VarianceThreshold)),"Review","OK")</f>
        <v>0</v>
      </c>
      <c r="M754" t="s">
        <v>33</v>
      </c>
    </row>
    <row r="755" spans="1:13">
      <c r="A755" t="s">
        <v>1</v>
      </c>
      <c r="B755" t="s">
        <v>62</v>
      </c>
      <c r="C755" t="s">
        <v>1027</v>
      </c>
      <c r="D755" t="s">
        <v>1028</v>
      </c>
      <c r="E755" cm="1">
        <f t="array" ref="E755">_xlfn.XLOOKUP(D755,SKU_Master!A:A,SKU_Master!B:B,"Not on master")</f>
        <v>0</v>
      </c>
      <c r="F755" cm="1">
        <f t="array" ref="F755">_xlfn.XLOOKUP(C755,Account_Master!A:A,Account_Master!B:B,"Not on master")</f>
        <v>0</v>
      </c>
      <c r="G755" cm="1">
        <f t="array" ref="G755">_xlfn.XLOOKUP(C755,Account_Master!A:A,Account_Master!C:C,"Not on master")</f>
        <v>0</v>
      </c>
      <c r="H755" s="6">
        <v>24.5</v>
      </c>
      <c r="I755" s="6">
        <v>24.5</v>
      </c>
      <c r="J755" s="6">
        <f>I755-H755</f>
        <v>0</v>
      </c>
      <c r="K755" s="5">
        <f>IF(H755=0,"",J755/H755)</f>
        <v>0</v>
      </c>
      <c r="L755">
        <f>IF(OR(AND(H755=0,ABS(J755)&gt;=0.01),AND(H755&lt;&gt;0,ABS(K755)&gt;VarianceThreshold)),"Review","OK")</f>
        <v>0</v>
      </c>
      <c r="M755" t="s">
        <v>33</v>
      </c>
    </row>
    <row r="756" spans="1:13">
      <c r="A756" t="s">
        <v>1</v>
      </c>
      <c r="B756" t="s">
        <v>62</v>
      </c>
      <c r="C756" t="s">
        <v>1029</v>
      </c>
      <c r="D756" t="s">
        <v>240</v>
      </c>
      <c r="E756" cm="1">
        <f t="array" ref="E756">_xlfn.XLOOKUP(D756,SKU_Master!A:A,SKU_Master!B:B,"Not on master")</f>
        <v>0</v>
      </c>
      <c r="F756" cm="1">
        <f t="array" ref="F756">_xlfn.XLOOKUP(C756,Account_Master!A:A,Account_Master!B:B,"Not on master")</f>
        <v>0</v>
      </c>
      <c r="G756" cm="1">
        <f t="array" ref="G756">_xlfn.XLOOKUP(C756,Account_Master!A:A,Account_Master!C:C,"Not on master")</f>
        <v>0</v>
      </c>
      <c r="H756" s="6">
        <v>292.25</v>
      </c>
      <c r="I756" s="6">
        <v>292.25</v>
      </c>
      <c r="J756" s="6">
        <f>I756-H756</f>
        <v>0</v>
      </c>
      <c r="K756" s="5">
        <f>IF(H756=0,"",J756/H756)</f>
        <v>0</v>
      </c>
      <c r="L756">
        <f>IF(OR(AND(H756=0,ABS(J756)&gt;=0.01),AND(H756&lt;&gt;0,ABS(K756)&gt;VarianceThreshold)),"Review","OK")</f>
        <v>0</v>
      </c>
      <c r="M756" t="s">
        <v>33</v>
      </c>
    </row>
    <row r="757" spans="1:13">
      <c r="A757" t="s">
        <v>1</v>
      </c>
      <c r="B757" t="s">
        <v>62</v>
      </c>
      <c r="C757" t="s">
        <v>1030</v>
      </c>
      <c r="D757" t="s">
        <v>737</v>
      </c>
      <c r="E757" cm="1">
        <f t="array" ref="E757">_xlfn.XLOOKUP(D757,SKU_Master!A:A,SKU_Master!B:B,"Not on master")</f>
        <v>0</v>
      </c>
      <c r="F757" cm="1">
        <f t="array" ref="F757">_xlfn.XLOOKUP(C757,Account_Master!A:A,Account_Master!B:B,"Not on master")</f>
        <v>0</v>
      </c>
      <c r="G757" cm="1">
        <f t="array" ref="G757">_xlfn.XLOOKUP(C757,Account_Master!A:A,Account_Master!C:C,"Not on master")</f>
        <v>0</v>
      </c>
      <c r="H757" s="6">
        <v>850.5</v>
      </c>
      <c r="I757" s="6">
        <v>882</v>
      </c>
      <c r="J757" s="6">
        <f>I757-H757</f>
        <v>0</v>
      </c>
      <c r="K757" s="5">
        <f>IF(H757=0,"",J757/H757)</f>
        <v>0</v>
      </c>
      <c r="L757">
        <f>IF(OR(AND(H757=0,ABS(J757)&gt;=0.01),AND(H757&lt;&gt;0,ABS(K757)&gt;VarianceThreshold)),"Review","OK")</f>
        <v>0</v>
      </c>
      <c r="M757" t="s">
        <v>33</v>
      </c>
    </row>
    <row r="758" spans="1:13">
      <c r="A758" t="s">
        <v>1</v>
      </c>
      <c r="B758" t="s">
        <v>62</v>
      </c>
      <c r="C758" t="s">
        <v>1027</v>
      </c>
      <c r="D758" t="s">
        <v>579</v>
      </c>
      <c r="E758" cm="1">
        <f t="array" ref="E758">_xlfn.XLOOKUP(D758,SKU_Master!A:A,SKU_Master!B:B,"Not on master")</f>
        <v>0</v>
      </c>
      <c r="F758" cm="1">
        <f t="array" ref="F758">_xlfn.XLOOKUP(C758,Account_Master!A:A,Account_Master!B:B,"Not on master")</f>
        <v>0</v>
      </c>
      <c r="G758" cm="1">
        <f t="array" ref="G758">_xlfn.XLOOKUP(C758,Account_Master!A:A,Account_Master!C:C,"Not on master")</f>
        <v>0</v>
      </c>
      <c r="H758" s="6">
        <v>0.05</v>
      </c>
      <c r="I758" s="6">
        <v>0.05</v>
      </c>
      <c r="J758" s="6">
        <f>I758-H758</f>
        <v>0</v>
      </c>
      <c r="K758" s="5">
        <f>IF(H758=0,"",J758/H758)</f>
        <v>0</v>
      </c>
      <c r="L758">
        <f>IF(OR(AND(H758=0,ABS(J758)&gt;=0.01),AND(H758&lt;&gt;0,ABS(K758)&gt;VarianceThreshold)),"Review","OK")</f>
        <v>0</v>
      </c>
      <c r="M758" t="s">
        <v>33</v>
      </c>
    </row>
    <row r="759" spans="1:13">
      <c r="A759" t="s">
        <v>1</v>
      </c>
      <c r="B759" t="s">
        <v>62</v>
      </c>
      <c r="C759" t="s">
        <v>1024</v>
      </c>
      <c r="D759" t="s">
        <v>1031</v>
      </c>
      <c r="E759" cm="1">
        <f t="array" ref="E759">_xlfn.XLOOKUP(D759,SKU_Master!A:A,SKU_Master!B:B,"Not on master")</f>
        <v>0</v>
      </c>
      <c r="F759" cm="1">
        <f t="array" ref="F759">_xlfn.XLOOKUP(C759,Account_Master!A:A,Account_Master!B:B,"Not on master")</f>
        <v>0</v>
      </c>
      <c r="G759" cm="1">
        <f t="array" ref="G759">_xlfn.XLOOKUP(C759,Account_Master!A:A,Account_Master!C:C,"Not on master")</f>
        <v>0</v>
      </c>
      <c r="H759" s="6">
        <v>10.5</v>
      </c>
      <c r="I759" s="6">
        <v>10.5</v>
      </c>
      <c r="J759" s="6">
        <f>I759-H759</f>
        <v>0</v>
      </c>
      <c r="K759" s="5">
        <f>IF(H759=0,"",J759/H759)</f>
        <v>0</v>
      </c>
      <c r="L759">
        <f>IF(OR(AND(H759=0,ABS(J759)&gt;=0.01),AND(H759&lt;&gt;0,ABS(K759)&gt;VarianceThreshold)),"Review","OK")</f>
        <v>0</v>
      </c>
      <c r="M759" t="s">
        <v>33</v>
      </c>
    </row>
    <row r="760" spans="1:13">
      <c r="A760" t="s">
        <v>1</v>
      </c>
      <c r="B760" t="s">
        <v>62</v>
      </c>
      <c r="C760" t="s">
        <v>1032</v>
      </c>
      <c r="D760" t="s">
        <v>1033</v>
      </c>
      <c r="E760" cm="1">
        <f t="array" ref="E760">_xlfn.XLOOKUP(D760,SKU_Master!A:A,SKU_Master!B:B,"Not on master")</f>
        <v>0</v>
      </c>
      <c r="F760" cm="1">
        <f t="array" ref="F760">_xlfn.XLOOKUP(C760,Account_Master!A:A,Account_Master!B:B,"Not on master")</f>
        <v>0</v>
      </c>
      <c r="G760" cm="1">
        <f t="array" ref="G760">_xlfn.XLOOKUP(C760,Account_Master!A:A,Account_Master!C:C,"Not on master")</f>
        <v>0</v>
      </c>
      <c r="H760" s="6">
        <v>26</v>
      </c>
      <c r="I760" s="6">
        <v>26</v>
      </c>
      <c r="J760" s="6">
        <f>I760-H760</f>
        <v>0</v>
      </c>
      <c r="K760" s="5">
        <f>IF(H760=0,"",J760/H760)</f>
        <v>0</v>
      </c>
      <c r="L760">
        <f>IF(OR(AND(H760=0,ABS(J760)&gt;=0.01),AND(H760&lt;&gt;0,ABS(K760)&gt;VarianceThreshold)),"Review","OK")</f>
        <v>0</v>
      </c>
      <c r="M760" t="s">
        <v>33</v>
      </c>
    </row>
    <row r="761" spans="1:13">
      <c r="A761" t="s">
        <v>1</v>
      </c>
      <c r="B761" t="s">
        <v>62</v>
      </c>
      <c r="C761" t="s">
        <v>1034</v>
      </c>
      <c r="D761" t="s">
        <v>83</v>
      </c>
      <c r="E761" cm="1">
        <f t="array" ref="E761">_xlfn.XLOOKUP(D761,SKU_Master!A:A,SKU_Master!B:B,"Not on master")</f>
        <v>0</v>
      </c>
      <c r="F761" cm="1">
        <f t="array" ref="F761">_xlfn.XLOOKUP(C761,Account_Master!A:A,Account_Master!B:B,"Not on master")</f>
        <v>0</v>
      </c>
      <c r="G761" cm="1">
        <f t="array" ref="G761">_xlfn.XLOOKUP(C761,Account_Master!A:A,Account_Master!C:C,"Not on master")</f>
        <v>0</v>
      </c>
      <c r="H761" s="6">
        <v>0.75</v>
      </c>
      <c r="I761" s="6">
        <v>0.75</v>
      </c>
      <c r="J761" s="6">
        <f>I761-H761</f>
        <v>0</v>
      </c>
      <c r="K761" s="5">
        <f>IF(H761=0,"",J761/H761)</f>
        <v>0</v>
      </c>
      <c r="L761">
        <f>IF(OR(AND(H761=0,ABS(J761)&gt;=0.01),AND(H761&lt;&gt;0,ABS(K761)&gt;VarianceThreshold)),"Review","OK")</f>
        <v>0</v>
      </c>
      <c r="M761" t="s">
        <v>33</v>
      </c>
    </row>
    <row r="762" spans="1:13">
      <c r="A762" t="s">
        <v>1</v>
      </c>
      <c r="B762" t="s">
        <v>62</v>
      </c>
      <c r="C762" t="s">
        <v>1035</v>
      </c>
      <c r="D762" t="s">
        <v>462</v>
      </c>
      <c r="E762" cm="1">
        <f t="array" ref="E762">_xlfn.XLOOKUP(D762,SKU_Master!A:A,SKU_Master!B:B,"Not on master")</f>
        <v>0</v>
      </c>
      <c r="F762" cm="1">
        <f t="array" ref="F762">_xlfn.XLOOKUP(C762,Account_Master!A:A,Account_Master!B:B,"Not on master")</f>
        <v>0</v>
      </c>
      <c r="G762" cm="1">
        <f t="array" ref="G762">_xlfn.XLOOKUP(C762,Account_Master!A:A,Account_Master!C:C,"Not on master")</f>
        <v>0</v>
      </c>
      <c r="H762" s="6">
        <v>84</v>
      </c>
      <c r="I762" s="6">
        <v>84</v>
      </c>
      <c r="J762" s="6">
        <f>I762-H762</f>
        <v>0</v>
      </c>
      <c r="K762" s="5">
        <f>IF(H762=0,"",J762/H762)</f>
        <v>0</v>
      </c>
      <c r="L762">
        <f>IF(OR(AND(H762=0,ABS(J762)&gt;=0.01),AND(H762&lt;&gt;0,ABS(K762)&gt;VarianceThreshold)),"Review","OK")</f>
        <v>0</v>
      </c>
      <c r="M762" t="s">
        <v>33</v>
      </c>
    </row>
    <row r="763" spans="1:13">
      <c r="A763" t="s">
        <v>1</v>
      </c>
      <c r="B763" t="s">
        <v>62</v>
      </c>
      <c r="C763" t="s">
        <v>1036</v>
      </c>
      <c r="D763" t="s">
        <v>1037</v>
      </c>
      <c r="E763" cm="1">
        <f t="array" ref="E763">_xlfn.XLOOKUP(D763,SKU_Master!A:A,SKU_Master!B:B,"Not on master")</f>
        <v>0</v>
      </c>
      <c r="F763" cm="1">
        <f t="array" ref="F763">_xlfn.XLOOKUP(C763,Account_Master!A:A,Account_Master!B:B,"Not on master")</f>
        <v>0</v>
      </c>
      <c r="G763" cm="1">
        <f t="array" ref="G763">_xlfn.XLOOKUP(C763,Account_Master!A:A,Account_Master!C:C,"Not on master")</f>
        <v>0</v>
      </c>
      <c r="H763" s="6">
        <v>3</v>
      </c>
      <c r="I763" s="6">
        <v>3</v>
      </c>
      <c r="J763" s="6">
        <f>I763-H763</f>
        <v>0</v>
      </c>
      <c r="K763" s="5">
        <f>IF(H763=0,"",J763/H763)</f>
        <v>0</v>
      </c>
      <c r="L763">
        <f>IF(OR(AND(H763=0,ABS(J763)&gt;=0.01),AND(H763&lt;&gt;0,ABS(K763)&gt;VarianceThreshold)),"Review","OK")</f>
        <v>0</v>
      </c>
      <c r="M763" t="s">
        <v>33</v>
      </c>
    </row>
    <row r="764" spans="1:13">
      <c r="A764" t="s">
        <v>1</v>
      </c>
      <c r="B764" t="s">
        <v>71</v>
      </c>
      <c r="C764" t="s">
        <v>1032</v>
      </c>
      <c r="D764" t="s">
        <v>1038</v>
      </c>
      <c r="E764" cm="1">
        <f t="array" ref="E764">_xlfn.XLOOKUP(D764,SKU_Master!A:A,SKU_Master!B:B,"Not on master")</f>
        <v>0</v>
      </c>
      <c r="F764" cm="1">
        <f t="array" ref="F764">_xlfn.XLOOKUP(C764,Account_Master!A:A,Account_Master!B:B,"Not on master")</f>
        <v>0</v>
      </c>
      <c r="G764" cm="1">
        <f t="array" ref="G764">_xlfn.XLOOKUP(C764,Account_Master!A:A,Account_Master!C:C,"Not on master")</f>
        <v>0</v>
      </c>
      <c r="H764" s="6">
        <v>194.25</v>
      </c>
      <c r="I764" s="6">
        <v>194.25</v>
      </c>
      <c r="J764" s="6">
        <f>I764-H764</f>
        <v>0</v>
      </c>
      <c r="K764" s="5">
        <f>IF(H764=0,"",J764/H764)</f>
        <v>0</v>
      </c>
      <c r="L764">
        <f>IF(OR(AND(H764=0,ABS(J764)&gt;=0.01),AND(H764&lt;&gt;0,ABS(K764)&gt;VarianceThreshold)),"Review","OK")</f>
        <v>0</v>
      </c>
      <c r="M764" t="s">
        <v>33</v>
      </c>
    </row>
    <row r="765" spans="1:13">
      <c r="A765" t="s">
        <v>1</v>
      </c>
      <c r="B765" t="s">
        <v>71</v>
      </c>
      <c r="C765" t="s">
        <v>1039</v>
      </c>
      <c r="D765" t="s">
        <v>1040</v>
      </c>
      <c r="E765" cm="1">
        <f t="array" ref="E765">_xlfn.XLOOKUP(D765,SKU_Master!A:A,SKU_Master!B:B,"Not on master")</f>
        <v>0</v>
      </c>
      <c r="F765" cm="1">
        <f t="array" ref="F765">_xlfn.XLOOKUP(C765,Account_Master!A:A,Account_Master!B:B,"Not on master")</f>
        <v>0</v>
      </c>
      <c r="G765" cm="1">
        <f t="array" ref="G765">_xlfn.XLOOKUP(C765,Account_Master!A:A,Account_Master!C:C,"Not on master")</f>
        <v>0</v>
      </c>
      <c r="H765" s="6">
        <v>198.75</v>
      </c>
      <c r="I765" s="6">
        <v>198.75</v>
      </c>
      <c r="J765" s="6">
        <f>I765-H765</f>
        <v>0</v>
      </c>
      <c r="K765" s="5">
        <f>IF(H765=0,"",J765/H765)</f>
        <v>0</v>
      </c>
      <c r="L765">
        <f>IF(OR(AND(H765=0,ABS(J765)&gt;=0.01),AND(H765&lt;&gt;0,ABS(K765)&gt;VarianceThreshold)),"Review","OK")</f>
        <v>0</v>
      </c>
      <c r="M765" t="s">
        <v>33</v>
      </c>
    </row>
    <row r="766" spans="1:13">
      <c r="A766" t="s">
        <v>1</v>
      </c>
      <c r="B766" t="s">
        <v>71</v>
      </c>
      <c r="C766" t="s">
        <v>1032</v>
      </c>
      <c r="D766" t="s">
        <v>752</v>
      </c>
      <c r="E766" cm="1">
        <f t="array" ref="E766">_xlfn.XLOOKUP(D766,SKU_Master!A:A,SKU_Master!B:B,"Not on master")</f>
        <v>0</v>
      </c>
      <c r="F766" cm="1">
        <f t="array" ref="F766">_xlfn.XLOOKUP(C766,Account_Master!A:A,Account_Master!B:B,"Not on master")</f>
        <v>0</v>
      </c>
      <c r="G766" cm="1">
        <f t="array" ref="G766">_xlfn.XLOOKUP(C766,Account_Master!A:A,Account_Master!C:C,"Not on master")</f>
        <v>0</v>
      </c>
      <c r="H766" s="6">
        <v>52</v>
      </c>
      <c r="I766" s="6">
        <v>52</v>
      </c>
      <c r="J766" s="6">
        <f>I766-H766</f>
        <v>0</v>
      </c>
      <c r="K766" s="5">
        <f>IF(H766=0,"",J766/H766)</f>
        <v>0</v>
      </c>
      <c r="L766">
        <f>IF(OR(AND(H766=0,ABS(J766)&gt;=0.01),AND(H766&lt;&gt;0,ABS(K766)&gt;VarianceThreshold)),"Review","OK")</f>
        <v>0</v>
      </c>
      <c r="M766" t="s">
        <v>33</v>
      </c>
    </row>
    <row r="767" spans="1:13">
      <c r="A767" t="s">
        <v>1</v>
      </c>
      <c r="B767" t="s">
        <v>86</v>
      </c>
      <c r="C767" t="s">
        <v>1041</v>
      </c>
      <c r="D767" t="s">
        <v>881</v>
      </c>
      <c r="E767" cm="1">
        <f t="array" ref="E767">_xlfn.XLOOKUP(D767,SKU_Master!A:A,SKU_Master!B:B,"Not on master")</f>
        <v>0</v>
      </c>
      <c r="F767" cm="1">
        <f t="array" ref="F767">_xlfn.XLOOKUP(C767,Account_Master!A:A,Account_Master!B:B,"Not on master")</f>
        <v>0</v>
      </c>
      <c r="G767" cm="1">
        <f t="array" ref="G767">_xlfn.XLOOKUP(C767,Account_Master!A:A,Account_Master!C:C,"Not on master")</f>
        <v>0</v>
      </c>
      <c r="H767" s="6">
        <v>3</v>
      </c>
      <c r="I767" s="6">
        <v>3</v>
      </c>
      <c r="J767" s="6">
        <f>I767-H767</f>
        <v>0</v>
      </c>
      <c r="K767" s="5">
        <f>IF(H767=0,"",J767/H767)</f>
        <v>0</v>
      </c>
      <c r="L767">
        <f>IF(OR(AND(H767=0,ABS(J767)&gt;=0.01),AND(H767&lt;&gt;0,ABS(K767)&gt;VarianceThreshold)),"Review","OK")</f>
        <v>0</v>
      </c>
      <c r="M767" t="s">
        <v>33</v>
      </c>
    </row>
    <row r="768" spans="1:13">
      <c r="A768" t="s">
        <v>1</v>
      </c>
      <c r="B768" t="s">
        <v>86</v>
      </c>
      <c r="C768" t="s">
        <v>1036</v>
      </c>
      <c r="D768" t="s">
        <v>1042</v>
      </c>
      <c r="E768" cm="1">
        <f t="array" ref="E768">_xlfn.XLOOKUP(D768,SKU_Master!A:A,SKU_Master!B:B,"Not on master")</f>
        <v>0</v>
      </c>
      <c r="F768" cm="1">
        <f t="array" ref="F768">_xlfn.XLOOKUP(C768,Account_Master!A:A,Account_Master!B:B,"Not on master")</f>
        <v>0</v>
      </c>
      <c r="G768" cm="1">
        <f t="array" ref="G768">_xlfn.XLOOKUP(C768,Account_Master!A:A,Account_Master!C:C,"Not on master")</f>
        <v>0</v>
      </c>
      <c r="H768" s="6">
        <v>2.25</v>
      </c>
      <c r="I768" s="6">
        <v>2.25</v>
      </c>
      <c r="J768" s="6">
        <f>I768-H768</f>
        <v>0</v>
      </c>
      <c r="K768" s="5">
        <f>IF(H768=0,"",J768/H768)</f>
        <v>0</v>
      </c>
      <c r="L768">
        <f>IF(OR(AND(H768=0,ABS(J768)&gt;=0.01),AND(H768&lt;&gt;0,ABS(K768)&gt;VarianceThreshold)),"Review","OK")</f>
        <v>0</v>
      </c>
      <c r="M768" t="s">
        <v>33</v>
      </c>
    </row>
    <row r="769" spans="1:13">
      <c r="A769" t="s">
        <v>1</v>
      </c>
      <c r="B769" t="s">
        <v>86</v>
      </c>
      <c r="C769" t="s">
        <v>1043</v>
      </c>
      <c r="D769" t="s">
        <v>387</v>
      </c>
      <c r="E769" cm="1">
        <f t="array" ref="E769">_xlfn.XLOOKUP(D769,SKU_Master!A:A,SKU_Master!B:B,"Not on master")</f>
        <v>0</v>
      </c>
      <c r="F769" cm="1">
        <f t="array" ref="F769">_xlfn.XLOOKUP(C769,Account_Master!A:A,Account_Master!B:B,"Not on master")</f>
        <v>0</v>
      </c>
      <c r="G769" cm="1">
        <f t="array" ref="G769">_xlfn.XLOOKUP(C769,Account_Master!A:A,Account_Master!C:C,"Not on master")</f>
        <v>0</v>
      </c>
      <c r="H769" s="6">
        <v>1.12</v>
      </c>
      <c r="I769" s="6">
        <v>1.12</v>
      </c>
      <c r="J769" s="6">
        <f>I769-H769</f>
        <v>0</v>
      </c>
      <c r="K769" s="5">
        <f>IF(H769=0,"",J769/H769)</f>
        <v>0</v>
      </c>
      <c r="L769">
        <f>IF(OR(AND(H769=0,ABS(J769)&gt;=0.01),AND(H769&lt;&gt;0,ABS(K769)&gt;VarianceThreshold)),"Review","OK")</f>
        <v>0</v>
      </c>
      <c r="M769" t="s">
        <v>33</v>
      </c>
    </row>
    <row r="770" spans="1:13">
      <c r="A770" t="s">
        <v>1</v>
      </c>
      <c r="B770" t="s">
        <v>86</v>
      </c>
      <c r="C770" t="s">
        <v>1044</v>
      </c>
      <c r="D770" t="s">
        <v>1045</v>
      </c>
      <c r="E770" cm="1">
        <f t="array" ref="E770">_xlfn.XLOOKUP(D770,SKU_Master!A:A,SKU_Master!B:B,"Not on master")</f>
        <v>0</v>
      </c>
      <c r="F770" cm="1">
        <f t="array" ref="F770">_xlfn.XLOOKUP(C770,Account_Master!A:A,Account_Master!B:B,"Not on master")</f>
        <v>0</v>
      </c>
      <c r="G770" cm="1">
        <f t="array" ref="G770">_xlfn.XLOOKUP(C770,Account_Master!A:A,Account_Master!C:C,"Not on master")</f>
        <v>0</v>
      </c>
      <c r="H770" s="6">
        <v>38.5</v>
      </c>
      <c r="I770" s="6">
        <v>38.5</v>
      </c>
      <c r="J770" s="6">
        <f>I770-H770</f>
        <v>0</v>
      </c>
      <c r="K770" s="5">
        <f>IF(H770=0,"",J770/H770)</f>
        <v>0</v>
      </c>
      <c r="L770">
        <f>IF(OR(AND(H770=0,ABS(J770)&gt;=0.01),AND(H770&lt;&gt;0,ABS(K770)&gt;VarianceThreshold)),"Review","OK")</f>
        <v>0</v>
      </c>
      <c r="M770" t="s">
        <v>33</v>
      </c>
    </row>
    <row r="771" spans="1:13">
      <c r="A771" t="s">
        <v>1</v>
      </c>
      <c r="B771" t="s">
        <v>86</v>
      </c>
      <c r="C771" t="s">
        <v>1046</v>
      </c>
      <c r="D771" t="s">
        <v>1047</v>
      </c>
      <c r="E771" cm="1">
        <f t="array" ref="E771">_xlfn.XLOOKUP(D771,SKU_Master!A:A,SKU_Master!B:B,"Not on master")</f>
        <v>0</v>
      </c>
      <c r="F771" cm="1">
        <f t="array" ref="F771">_xlfn.XLOOKUP(C771,Account_Master!A:A,Account_Master!B:B,"Not on master")</f>
        <v>0</v>
      </c>
      <c r="G771" cm="1">
        <f t="array" ref="G771">_xlfn.XLOOKUP(C771,Account_Master!A:A,Account_Master!C:C,"Not on master")</f>
        <v>0</v>
      </c>
      <c r="H771" s="6">
        <v>0.75</v>
      </c>
      <c r="I771" s="6">
        <v>0.75</v>
      </c>
      <c r="J771" s="6">
        <f>I771-H771</f>
        <v>0</v>
      </c>
      <c r="K771" s="5">
        <f>IF(H771=0,"",J771/H771)</f>
        <v>0</v>
      </c>
      <c r="L771">
        <f>IF(OR(AND(H771=0,ABS(J771)&gt;=0.01),AND(H771&lt;&gt;0,ABS(K771)&gt;VarianceThreshold)),"Review","OK")</f>
        <v>0</v>
      </c>
      <c r="M771" t="s">
        <v>33</v>
      </c>
    </row>
    <row r="772" spans="1:13">
      <c r="A772" t="s">
        <v>1</v>
      </c>
      <c r="B772" t="s">
        <v>86</v>
      </c>
      <c r="C772" t="s">
        <v>1048</v>
      </c>
      <c r="D772" t="s">
        <v>1049</v>
      </c>
      <c r="E772" cm="1">
        <f t="array" ref="E772">_xlfn.XLOOKUP(D772,SKU_Master!A:A,SKU_Master!B:B,"Not on master")</f>
        <v>0</v>
      </c>
      <c r="F772" cm="1">
        <f t="array" ref="F772">_xlfn.XLOOKUP(C772,Account_Master!A:A,Account_Master!B:B,"Not on master")</f>
        <v>0</v>
      </c>
      <c r="G772" cm="1">
        <f t="array" ref="G772">_xlfn.XLOOKUP(C772,Account_Master!A:A,Account_Master!C:C,"Not on master")</f>
        <v>0</v>
      </c>
      <c r="H772" s="6">
        <v>0.2</v>
      </c>
      <c r="I772" s="6">
        <v>0.2</v>
      </c>
      <c r="J772" s="6">
        <f>I772-H772</f>
        <v>0</v>
      </c>
      <c r="K772" s="5">
        <f>IF(H772=0,"",J772/H772)</f>
        <v>0</v>
      </c>
      <c r="L772">
        <f>IF(OR(AND(H772=0,ABS(J772)&gt;=0.01),AND(H772&lt;&gt;0,ABS(K772)&gt;VarianceThreshold)),"Review","OK")</f>
        <v>0</v>
      </c>
      <c r="M772" t="s">
        <v>33</v>
      </c>
    </row>
    <row r="773" spans="1:13">
      <c r="A773" t="s">
        <v>1</v>
      </c>
      <c r="B773" t="s">
        <v>86</v>
      </c>
      <c r="C773" t="s">
        <v>1032</v>
      </c>
      <c r="D773" t="s">
        <v>1050</v>
      </c>
      <c r="E773" cm="1">
        <f t="array" ref="E773">_xlfn.XLOOKUP(D773,SKU_Master!A:A,SKU_Master!B:B,"Not on master")</f>
        <v>0</v>
      </c>
      <c r="F773" cm="1">
        <f t="array" ref="F773">_xlfn.XLOOKUP(C773,Account_Master!A:A,Account_Master!B:B,"Not on master")</f>
        <v>0</v>
      </c>
      <c r="G773" cm="1">
        <f t="array" ref="G773">_xlfn.XLOOKUP(C773,Account_Master!A:A,Account_Master!C:C,"Not on master")</f>
        <v>0</v>
      </c>
      <c r="H773" s="6">
        <v>12</v>
      </c>
      <c r="I773" s="6">
        <v>12</v>
      </c>
      <c r="J773" s="6">
        <f>I773-H773</f>
        <v>0</v>
      </c>
      <c r="K773" s="5">
        <f>IF(H773=0,"",J773/H773)</f>
        <v>0</v>
      </c>
      <c r="L773">
        <f>IF(OR(AND(H773=0,ABS(J773)&gt;=0.01),AND(H773&lt;&gt;0,ABS(K773)&gt;VarianceThreshold)),"Review","OK")</f>
        <v>0</v>
      </c>
      <c r="M773" t="s">
        <v>33</v>
      </c>
    </row>
    <row r="774" spans="1:13">
      <c r="A774" t="s">
        <v>1</v>
      </c>
      <c r="B774" t="s">
        <v>97</v>
      </c>
      <c r="C774" t="s">
        <v>1019</v>
      </c>
      <c r="D774" t="s">
        <v>1051</v>
      </c>
      <c r="E774" cm="1">
        <f t="array" ref="E774">_xlfn.XLOOKUP(D774,SKU_Master!A:A,SKU_Master!B:B,"Not on master")</f>
        <v>0</v>
      </c>
      <c r="F774" cm="1">
        <f t="array" ref="F774">_xlfn.XLOOKUP(C774,Account_Master!A:A,Account_Master!B:B,"Not on master")</f>
        <v>0</v>
      </c>
      <c r="G774" cm="1">
        <f t="array" ref="G774">_xlfn.XLOOKUP(C774,Account_Master!A:A,Account_Master!C:C,"Not on master")</f>
        <v>0</v>
      </c>
      <c r="H774" s="6">
        <v>0.75</v>
      </c>
      <c r="I774" s="6">
        <v>0.75</v>
      </c>
      <c r="J774" s="6">
        <f>I774-H774</f>
        <v>0</v>
      </c>
      <c r="K774" s="5">
        <f>IF(H774=0,"",J774/H774)</f>
        <v>0</v>
      </c>
      <c r="L774">
        <f>IF(OR(AND(H774=0,ABS(J774)&gt;=0.01),AND(H774&lt;&gt;0,ABS(K774)&gt;VarianceThreshold)),"Review","OK")</f>
        <v>0</v>
      </c>
      <c r="M774" t="s">
        <v>33</v>
      </c>
    </row>
    <row r="775" spans="1:13">
      <c r="A775" t="s">
        <v>1</v>
      </c>
      <c r="B775" t="s">
        <v>97</v>
      </c>
      <c r="C775" t="s">
        <v>1032</v>
      </c>
      <c r="D775" t="s">
        <v>1052</v>
      </c>
      <c r="E775" cm="1">
        <f t="array" ref="E775">_xlfn.XLOOKUP(D775,SKU_Master!A:A,SKU_Master!B:B,"Not on master")</f>
        <v>0</v>
      </c>
      <c r="F775" cm="1">
        <f t="array" ref="F775">_xlfn.XLOOKUP(C775,Account_Master!A:A,Account_Master!B:B,"Not on master")</f>
        <v>0</v>
      </c>
      <c r="G775" cm="1">
        <f t="array" ref="G775">_xlfn.XLOOKUP(C775,Account_Master!A:A,Account_Master!C:C,"Not on master")</f>
        <v>0</v>
      </c>
      <c r="H775" s="6">
        <v>1140</v>
      </c>
      <c r="I775" s="6">
        <v>1140</v>
      </c>
      <c r="J775" s="6">
        <f>I775-H775</f>
        <v>0</v>
      </c>
      <c r="K775" s="5">
        <f>IF(H775=0,"",J775/H775)</f>
        <v>0</v>
      </c>
      <c r="L775">
        <f>IF(OR(AND(H775=0,ABS(J775)&gt;=0.01),AND(H775&lt;&gt;0,ABS(K775)&gt;VarianceThreshold)),"Review","OK")</f>
        <v>0</v>
      </c>
      <c r="M775" t="s">
        <v>33</v>
      </c>
    </row>
    <row r="776" spans="1:13">
      <c r="A776" t="s">
        <v>1</v>
      </c>
      <c r="B776" t="s">
        <v>103</v>
      </c>
      <c r="C776" t="s">
        <v>1034</v>
      </c>
      <c r="D776" t="s">
        <v>840</v>
      </c>
      <c r="E776" cm="1">
        <f t="array" ref="E776">_xlfn.XLOOKUP(D776,SKU_Master!A:A,SKU_Master!B:B,"Not on master")</f>
        <v>0</v>
      </c>
      <c r="F776" cm="1">
        <f t="array" ref="F776">_xlfn.XLOOKUP(C776,Account_Master!A:A,Account_Master!B:B,"Not on master")</f>
        <v>0</v>
      </c>
      <c r="G776" cm="1">
        <f t="array" ref="G776">_xlfn.XLOOKUP(C776,Account_Master!A:A,Account_Master!C:C,"Not on master")</f>
        <v>0</v>
      </c>
      <c r="H776" s="6">
        <v>20.25</v>
      </c>
      <c r="I776" s="6">
        <v>20.25</v>
      </c>
      <c r="J776" s="6">
        <f>I776-H776</f>
        <v>0</v>
      </c>
      <c r="K776" s="5">
        <f>IF(H776=0,"",J776/H776)</f>
        <v>0</v>
      </c>
      <c r="L776">
        <f>IF(OR(AND(H776=0,ABS(J776)&gt;=0.01),AND(H776&lt;&gt;0,ABS(K776)&gt;VarianceThreshold)),"Review","OK")</f>
        <v>0</v>
      </c>
      <c r="M776" t="s">
        <v>33</v>
      </c>
    </row>
    <row r="777" spans="1:13">
      <c r="A777" t="s">
        <v>1</v>
      </c>
      <c r="B777" t="s">
        <v>103</v>
      </c>
      <c r="C777" t="s">
        <v>1053</v>
      </c>
      <c r="D777" t="s">
        <v>740</v>
      </c>
      <c r="E777" cm="1">
        <f t="array" ref="E777">_xlfn.XLOOKUP(D777,SKU_Master!A:A,SKU_Master!B:B,"Not on master")</f>
        <v>0</v>
      </c>
      <c r="F777" cm="1">
        <f t="array" ref="F777">_xlfn.XLOOKUP(C777,Account_Master!A:A,Account_Master!B:B,"Not on master")</f>
        <v>0</v>
      </c>
      <c r="G777" cm="1">
        <f t="array" ref="G777">_xlfn.XLOOKUP(C777,Account_Master!A:A,Account_Master!C:C,"Not on master")</f>
        <v>0</v>
      </c>
      <c r="H777" s="6">
        <v>18.75</v>
      </c>
      <c r="I777" s="6">
        <v>18.75</v>
      </c>
      <c r="J777" s="6">
        <f>I777-H777</f>
        <v>0</v>
      </c>
      <c r="K777" s="5">
        <f>IF(H777=0,"",J777/H777)</f>
        <v>0</v>
      </c>
      <c r="L777">
        <f>IF(OR(AND(H777=0,ABS(J777)&gt;=0.01),AND(H777&lt;&gt;0,ABS(K777)&gt;VarianceThreshold)),"Review","OK")</f>
        <v>0</v>
      </c>
      <c r="M777" t="s">
        <v>33</v>
      </c>
    </row>
    <row r="778" spans="1:13">
      <c r="A778" t="s">
        <v>1</v>
      </c>
      <c r="B778" t="s">
        <v>103</v>
      </c>
      <c r="C778" t="s">
        <v>1054</v>
      </c>
      <c r="D778" t="s">
        <v>1055</v>
      </c>
      <c r="E778" cm="1">
        <f t="array" ref="E778">_xlfn.XLOOKUP(D778,SKU_Master!A:A,SKU_Master!B:B,"Not on master")</f>
        <v>0</v>
      </c>
      <c r="F778" cm="1">
        <f t="array" ref="F778">_xlfn.XLOOKUP(C778,Account_Master!A:A,Account_Master!B:B,"Not on master")</f>
        <v>0</v>
      </c>
      <c r="G778" cm="1">
        <f t="array" ref="G778">_xlfn.XLOOKUP(C778,Account_Master!A:A,Account_Master!C:C,"Not on master")</f>
        <v>0</v>
      </c>
      <c r="H778" s="6">
        <v>9</v>
      </c>
      <c r="I778" s="6">
        <v>9</v>
      </c>
      <c r="J778" s="6">
        <f>I778-H778</f>
        <v>0</v>
      </c>
      <c r="K778" s="5">
        <f>IF(H778=0,"",J778/H778)</f>
        <v>0</v>
      </c>
      <c r="L778">
        <f>IF(OR(AND(H778=0,ABS(J778)&gt;=0.01),AND(H778&lt;&gt;0,ABS(K778)&gt;VarianceThreshold)),"Review","OK")</f>
        <v>0</v>
      </c>
      <c r="M778" t="s">
        <v>33</v>
      </c>
    </row>
    <row r="779" spans="1:13">
      <c r="A779" t="s">
        <v>1</v>
      </c>
      <c r="B779" t="s">
        <v>103</v>
      </c>
      <c r="C779" t="s">
        <v>1022</v>
      </c>
      <c r="D779" t="s">
        <v>1056</v>
      </c>
      <c r="E779" cm="1">
        <f t="array" ref="E779">_xlfn.XLOOKUP(D779,SKU_Master!A:A,SKU_Master!B:B,"Not on master")</f>
        <v>0</v>
      </c>
      <c r="F779" cm="1">
        <f t="array" ref="F779">_xlfn.XLOOKUP(C779,Account_Master!A:A,Account_Master!B:B,"Not on master")</f>
        <v>0</v>
      </c>
      <c r="G779" cm="1">
        <f t="array" ref="G779">_xlfn.XLOOKUP(C779,Account_Master!A:A,Account_Master!C:C,"Not on master")</f>
        <v>0</v>
      </c>
      <c r="H779" s="6">
        <v>4.5</v>
      </c>
      <c r="I779" s="6">
        <v>4.5</v>
      </c>
      <c r="J779" s="6">
        <f>I779-H779</f>
        <v>0</v>
      </c>
      <c r="K779" s="5">
        <f>IF(H779=0,"",J779/H779)</f>
        <v>0</v>
      </c>
      <c r="L779">
        <f>IF(OR(AND(H779=0,ABS(J779)&gt;=0.01),AND(H779&lt;&gt;0,ABS(K779)&gt;VarianceThreshold)),"Review","OK")</f>
        <v>0</v>
      </c>
      <c r="M779" t="s">
        <v>33</v>
      </c>
    </row>
    <row r="780" spans="1:13">
      <c r="A780" t="s">
        <v>1</v>
      </c>
      <c r="B780" t="s">
        <v>103</v>
      </c>
      <c r="C780" t="s">
        <v>1018</v>
      </c>
      <c r="D780" t="s">
        <v>1057</v>
      </c>
      <c r="E780" cm="1">
        <f t="array" ref="E780">_xlfn.XLOOKUP(D780,SKU_Master!A:A,SKU_Master!B:B,"Not on master")</f>
        <v>0</v>
      </c>
      <c r="F780" cm="1">
        <f t="array" ref="F780">_xlfn.XLOOKUP(C780,Account_Master!A:A,Account_Master!B:B,"Not on master")</f>
        <v>0</v>
      </c>
      <c r="G780" cm="1">
        <f t="array" ref="G780">_xlfn.XLOOKUP(C780,Account_Master!A:A,Account_Master!C:C,"Not on master")</f>
        <v>0</v>
      </c>
      <c r="H780" s="6">
        <v>4.5</v>
      </c>
      <c r="I780" s="6">
        <v>4.5</v>
      </c>
      <c r="J780" s="6">
        <f>I780-H780</f>
        <v>0</v>
      </c>
      <c r="K780" s="5">
        <f>IF(H780=0,"",J780/H780)</f>
        <v>0</v>
      </c>
      <c r="L780">
        <f>IF(OR(AND(H780=0,ABS(J780)&gt;=0.01),AND(H780&lt;&gt;0,ABS(K780)&gt;VarianceThreshold)),"Review","OK")</f>
        <v>0</v>
      </c>
      <c r="M780" t="s">
        <v>33</v>
      </c>
    </row>
    <row r="781" spans="1:13">
      <c r="A781" t="s">
        <v>1</v>
      </c>
      <c r="B781" t="s">
        <v>103</v>
      </c>
      <c r="C781" t="s">
        <v>1053</v>
      </c>
      <c r="D781" t="s">
        <v>1058</v>
      </c>
      <c r="E781" cm="1">
        <f t="array" ref="E781">_xlfn.XLOOKUP(D781,SKU_Master!A:A,SKU_Master!B:B,"Not on master")</f>
        <v>0</v>
      </c>
      <c r="F781" cm="1">
        <f t="array" ref="F781">_xlfn.XLOOKUP(C781,Account_Master!A:A,Account_Master!B:B,"Not on master")</f>
        <v>0</v>
      </c>
      <c r="G781" cm="1">
        <f t="array" ref="G781">_xlfn.XLOOKUP(C781,Account_Master!A:A,Account_Master!C:C,"Not on master")</f>
        <v>0</v>
      </c>
      <c r="H781" s="6">
        <v>4.5</v>
      </c>
      <c r="I781" s="6">
        <v>4.5</v>
      </c>
      <c r="J781" s="6">
        <f>I781-H781</f>
        <v>0</v>
      </c>
      <c r="K781" s="5">
        <f>IF(H781=0,"",J781/H781)</f>
        <v>0</v>
      </c>
      <c r="L781">
        <f>IF(OR(AND(H781=0,ABS(J781)&gt;=0.01),AND(H781&lt;&gt;0,ABS(K781)&gt;VarianceThreshold)),"Review","OK")</f>
        <v>0</v>
      </c>
      <c r="M781" t="s">
        <v>33</v>
      </c>
    </row>
    <row r="782" spans="1:13">
      <c r="A782" t="s">
        <v>1</v>
      </c>
      <c r="B782" t="s">
        <v>103</v>
      </c>
      <c r="C782" t="s">
        <v>1059</v>
      </c>
      <c r="D782" t="s">
        <v>1060</v>
      </c>
      <c r="E782" cm="1">
        <f t="array" ref="E782">_xlfn.XLOOKUP(D782,SKU_Master!A:A,SKU_Master!B:B,"Not on master")</f>
        <v>0</v>
      </c>
      <c r="F782" cm="1">
        <f t="array" ref="F782">_xlfn.XLOOKUP(C782,Account_Master!A:A,Account_Master!B:B,"Not on master")</f>
        <v>0</v>
      </c>
      <c r="G782" cm="1">
        <f t="array" ref="G782">_xlfn.XLOOKUP(C782,Account_Master!A:A,Account_Master!C:C,"Not on master")</f>
        <v>0</v>
      </c>
      <c r="H782" s="6">
        <v>1</v>
      </c>
      <c r="I782" s="6">
        <v>1</v>
      </c>
      <c r="J782" s="6">
        <f>I782-H782</f>
        <v>0</v>
      </c>
      <c r="K782" s="5">
        <f>IF(H782=0,"",J782/H782)</f>
        <v>0</v>
      </c>
      <c r="L782">
        <f>IF(OR(AND(H782=0,ABS(J782)&gt;=0.01),AND(H782&lt;&gt;0,ABS(K782)&gt;VarianceThreshold)),"Review","OK")</f>
        <v>0</v>
      </c>
      <c r="M782" t="s">
        <v>33</v>
      </c>
    </row>
    <row r="783" spans="1:13">
      <c r="A783" t="s">
        <v>1</v>
      </c>
      <c r="B783" t="s">
        <v>121</v>
      </c>
      <c r="C783" t="s">
        <v>1061</v>
      </c>
      <c r="D783" t="s">
        <v>678</v>
      </c>
      <c r="E783" cm="1">
        <f t="array" ref="E783">_xlfn.XLOOKUP(D783,SKU_Master!A:A,SKU_Master!B:B,"Not on master")</f>
        <v>0</v>
      </c>
      <c r="F783" cm="1">
        <f t="array" ref="F783">_xlfn.XLOOKUP(C783,Account_Master!A:A,Account_Master!B:B,"Not on master")</f>
        <v>0</v>
      </c>
      <c r="G783" cm="1">
        <f t="array" ref="G783">_xlfn.XLOOKUP(C783,Account_Master!A:A,Account_Master!C:C,"Not on master")</f>
        <v>0</v>
      </c>
      <c r="H783" s="6">
        <v>10.5</v>
      </c>
      <c r="I783" s="6">
        <v>10.5</v>
      </c>
      <c r="J783" s="6">
        <f>I783-H783</f>
        <v>0</v>
      </c>
      <c r="K783" s="5">
        <f>IF(H783=0,"",J783/H783)</f>
        <v>0</v>
      </c>
      <c r="L783">
        <f>IF(OR(AND(H783=0,ABS(J783)&gt;=0.01),AND(H783&lt;&gt;0,ABS(K783)&gt;VarianceThreshold)),"Review","OK")</f>
        <v>0</v>
      </c>
      <c r="M783" t="s">
        <v>33</v>
      </c>
    </row>
    <row r="784" spans="1:13">
      <c r="A784" t="s">
        <v>1</v>
      </c>
      <c r="B784" t="s">
        <v>121</v>
      </c>
      <c r="C784" t="s">
        <v>1061</v>
      </c>
      <c r="D784" t="s">
        <v>1062</v>
      </c>
      <c r="E784" cm="1">
        <f t="array" ref="E784">_xlfn.XLOOKUP(D784,SKU_Master!A:A,SKU_Master!B:B,"Not on master")</f>
        <v>0</v>
      </c>
      <c r="F784" cm="1">
        <f t="array" ref="F784">_xlfn.XLOOKUP(C784,Account_Master!A:A,Account_Master!B:B,"Not on master")</f>
        <v>0</v>
      </c>
      <c r="G784" cm="1">
        <f t="array" ref="G784">_xlfn.XLOOKUP(C784,Account_Master!A:A,Account_Master!C:C,"Not on master")</f>
        <v>0</v>
      </c>
      <c r="H784" s="6">
        <v>9</v>
      </c>
      <c r="I784" s="6">
        <v>9</v>
      </c>
      <c r="J784" s="6">
        <f>I784-H784</f>
        <v>0</v>
      </c>
      <c r="K784" s="5">
        <f>IF(H784=0,"",J784/H784)</f>
        <v>0</v>
      </c>
      <c r="L784">
        <f>IF(OR(AND(H784=0,ABS(J784)&gt;=0.01),AND(H784&lt;&gt;0,ABS(K784)&gt;VarianceThreshold)),"Review","OK")</f>
        <v>0</v>
      </c>
      <c r="M784" t="s">
        <v>33</v>
      </c>
    </row>
    <row r="785" spans="1:13">
      <c r="A785" t="s">
        <v>1</v>
      </c>
      <c r="B785" t="s">
        <v>121</v>
      </c>
      <c r="C785" t="s">
        <v>1063</v>
      </c>
      <c r="D785" t="s">
        <v>1064</v>
      </c>
      <c r="E785" cm="1">
        <f t="array" ref="E785">_xlfn.XLOOKUP(D785,SKU_Master!A:A,SKU_Master!B:B,"Not on master")</f>
        <v>0</v>
      </c>
      <c r="F785" cm="1">
        <f t="array" ref="F785">_xlfn.XLOOKUP(C785,Account_Master!A:A,Account_Master!B:B,"Not on master")</f>
        <v>0</v>
      </c>
      <c r="G785" cm="1">
        <f t="array" ref="G785">_xlfn.XLOOKUP(C785,Account_Master!A:A,Account_Master!C:C,"Not on master")</f>
        <v>0</v>
      </c>
      <c r="H785" s="6">
        <v>0.05</v>
      </c>
      <c r="I785" s="6">
        <v>0.05</v>
      </c>
      <c r="J785" s="6">
        <f>I785-H785</f>
        <v>0</v>
      </c>
      <c r="K785" s="5">
        <f>IF(H785=0,"",J785/H785)</f>
        <v>0</v>
      </c>
      <c r="L785">
        <f>IF(OR(AND(H785=0,ABS(J785)&gt;=0.01),AND(H785&lt;&gt;0,ABS(K785)&gt;VarianceThreshold)),"Review","OK")</f>
        <v>0</v>
      </c>
      <c r="M785" t="s">
        <v>33</v>
      </c>
    </row>
    <row r="786" spans="1:13">
      <c r="A786" t="s">
        <v>1</v>
      </c>
      <c r="B786" t="s">
        <v>121</v>
      </c>
      <c r="C786" t="s">
        <v>1065</v>
      </c>
      <c r="D786" t="s">
        <v>1066</v>
      </c>
      <c r="E786" cm="1">
        <f t="array" ref="E786">_xlfn.XLOOKUP(D786,SKU_Master!A:A,SKU_Master!B:B,"Not on master")</f>
        <v>0</v>
      </c>
      <c r="F786" cm="1">
        <f t="array" ref="F786">_xlfn.XLOOKUP(C786,Account_Master!A:A,Account_Master!B:B,"Not on master")</f>
        <v>0</v>
      </c>
      <c r="G786" cm="1">
        <f t="array" ref="G786">_xlfn.XLOOKUP(C786,Account_Master!A:A,Account_Master!C:C,"Not on master")</f>
        <v>0</v>
      </c>
      <c r="H786" s="6">
        <v>0.05</v>
      </c>
      <c r="I786" s="6">
        <v>0.05</v>
      </c>
      <c r="J786" s="6">
        <f>I786-H786</f>
        <v>0</v>
      </c>
      <c r="K786" s="5">
        <f>IF(H786=0,"",J786/H786)</f>
        <v>0</v>
      </c>
      <c r="L786">
        <f>IF(OR(AND(H786=0,ABS(J786)&gt;=0.01),AND(H786&lt;&gt;0,ABS(K786)&gt;VarianceThreshold)),"Review","OK")</f>
        <v>0</v>
      </c>
      <c r="M786" t="s">
        <v>33</v>
      </c>
    </row>
    <row r="787" spans="1:13">
      <c r="A787" t="s">
        <v>1</v>
      </c>
      <c r="B787" t="s">
        <v>134</v>
      </c>
      <c r="C787" t="s">
        <v>1059</v>
      </c>
      <c r="D787" t="s">
        <v>1067</v>
      </c>
      <c r="E787" cm="1">
        <f t="array" ref="E787">_xlfn.XLOOKUP(D787,SKU_Master!A:A,SKU_Master!B:B,"Not on master")</f>
        <v>0</v>
      </c>
      <c r="F787" cm="1">
        <f t="array" ref="F787">_xlfn.XLOOKUP(C787,Account_Master!A:A,Account_Master!B:B,"Not on master")</f>
        <v>0</v>
      </c>
      <c r="G787" cm="1">
        <f t="array" ref="G787">_xlfn.XLOOKUP(C787,Account_Master!A:A,Account_Master!C:C,"Not on master")</f>
        <v>0</v>
      </c>
      <c r="H787" s="6">
        <v>54.25</v>
      </c>
      <c r="I787" s="6">
        <v>54.25</v>
      </c>
      <c r="J787" s="6">
        <f>I787-H787</f>
        <v>0</v>
      </c>
      <c r="K787" s="5">
        <f>IF(H787=0,"",J787/H787)</f>
        <v>0</v>
      </c>
      <c r="L787">
        <f>IF(OR(AND(H787=0,ABS(J787)&gt;=0.01),AND(H787&lt;&gt;0,ABS(K787)&gt;VarianceThreshold)),"Review","OK")</f>
        <v>0</v>
      </c>
      <c r="M787" t="s">
        <v>33</v>
      </c>
    </row>
    <row r="788" spans="1:13">
      <c r="A788" t="s">
        <v>1</v>
      </c>
      <c r="B788" t="s">
        <v>134</v>
      </c>
      <c r="C788" t="s">
        <v>1068</v>
      </c>
      <c r="D788" t="s">
        <v>1069</v>
      </c>
      <c r="E788" cm="1">
        <f t="array" ref="E788">_xlfn.XLOOKUP(D788,SKU_Master!A:A,SKU_Master!B:B,"Not on master")</f>
        <v>0</v>
      </c>
      <c r="F788" cm="1">
        <f t="array" ref="F788">_xlfn.XLOOKUP(C788,Account_Master!A:A,Account_Master!B:B,"Not on master")</f>
        <v>0</v>
      </c>
      <c r="G788" cm="1">
        <f t="array" ref="G788">_xlfn.XLOOKUP(C788,Account_Master!A:A,Account_Master!C:C,"Not on master")</f>
        <v>0</v>
      </c>
      <c r="H788" s="6">
        <v>20.25</v>
      </c>
      <c r="I788" s="6">
        <v>20.25</v>
      </c>
      <c r="J788" s="6">
        <f>I788-H788</f>
        <v>0</v>
      </c>
      <c r="K788" s="5">
        <f>IF(H788=0,"",J788/H788)</f>
        <v>0</v>
      </c>
      <c r="L788">
        <f>IF(OR(AND(H788=0,ABS(J788)&gt;=0.01),AND(H788&lt;&gt;0,ABS(K788)&gt;VarianceThreshold)),"Review","OK")</f>
        <v>0</v>
      </c>
      <c r="M788" t="s">
        <v>33</v>
      </c>
    </row>
    <row r="789" spans="1:13">
      <c r="A789" t="s">
        <v>1</v>
      </c>
      <c r="B789" t="s">
        <v>134</v>
      </c>
      <c r="C789" t="s">
        <v>1010</v>
      </c>
      <c r="D789" t="s">
        <v>820</v>
      </c>
      <c r="E789" cm="1">
        <f t="array" ref="E789">_xlfn.XLOOKUP(D789,SKU_Master!A:A,SKU_Master!B:B,"Not on master")</f>
        <v>0</v>
      </c>
      <c r="F789" cm="1">
        <f t="array" ref="F789">_xlfn.XLOOKUP(C789,Account_Master!A:A,Account_Master!B:B,"Not on master")</f>
        <v>0</v>
      </c>
      <c r="G789" cm="1">
        <f t="array" ref="G789">_xlfn.XLOOKUP(C789,Account_Master!A:A,Account_Master!C:C,"Not on master")</f>
        <v>0</v>
      </c>
      <c r="H789" s="6">
        <v>11.25</v>
      </c>
      <c r="I789" s="6">
        <v>11.25</v>
      </c>
      <c r="J789" s="6">
        <f>I789-H789</f>
        <v>0</v>
      </c>
      <c r="K789" s="5">
        <f>IF(H789=0,"",J789/H789)</f>
        <v>0</v>
      </c>
      <c r="L789">
        <f>IF(OR(AND(H789=0,ABS(J789)&gt;=0.01),AND(H789&lt;&gt;0,ABS(K789)&gt;VarianceThreshold)),"Review","OK")</f>
        <v>0</v>
      </c>
      <c r="M789" t="s">
        <v>33</v>
      </c>
    </row>
    <row r="790" spans="1:13">
      <c r="A790" t="s">
        <v>1</v>
      </c>
      <c r="B790" t="s">
        <v>134</v>
      </c>
      <c r="C790" t="s">
        <v>1070</v>
      </c>
      <c r="D790" t="s">
        <v>1071</v>
      </c>
      <c r="E790" cm="1">
        <f t="array" ref="E790">_xlfn.XLOOKUP(D790,SKU_Master!A:A,SKU_Master!B:B,"Not on master")</f>
        <v>0</v>
      </c>
      <c r="F790" cm="1">
        <f t="array" ref="F790">_xlfn.XLOOKUP(C790,Account_Master!A:A,Account_Master!B:B,"Not on master")</f>
        <v>0</v>
      </c>
      <c r="G790" cm="1">
        <f t="array" ref="G790">_xlfn.XLOOKUP(C790,Account_Master!A:A,Account_Master!C:C,"Not on master")</f>
        <v>0</v>
      </c>
      <c r="H790" s="6">
        <v>42</v>
      </c>
      <c r="I790" s="6">
        <v>42</v>
      </c>
      <c r="J790" s="6">
        <f>I790-H790</f>
        <v>0</v>
      </c>
      <c r="K790" s="5">
        <f>IF(H790=0,"",J790/H790)</f>
        <v>0</v>
      </c>
      <c r="L790">
        <f>IF(OR(AND(H790=0,ABS(J790)&gt;=0.01),AND(H790&lt;&gt;0,ABS(K790)&gt;VarianceThreshold)),"Review","OK")</f>
        <v>0</v>
      </c>
      <c r="M790" t="s">
        <v>33</v>
      </c>
    </row>
    <row r="791" spans="1:13">
      <c r="A791" t="s">
        <v>1</v>
      </c>
      <c r="B791" t="s">
        <v>143</v>
      </c>
      <c r="C791" t="s">
        <v>1072</v>
      </c>
      <c r="D791" t="s">
        <v>1073</v>
      </c>
      <c r="E791" cm="1">
        <f t="array" ref="E791">_xlfn.XLOOKUP(D791,SKU_Master!A:A,SKU_Master!B:B,"Not on master")</f>
        <v>0</v>
      </c>
      <c r="F791" cm="1">
        <f t="array" ref="F791">_xlfn.XLOOKUP(C791,Account_Master!A:A,Account_Master!B:B,"Not on master")</f>
        <v>0</v>
      </c>
      <c r="G791" cm="1">
        <f t="array" ref="G791">_xlfn.XLOOKUP(C791,Account_Master!A:A,Account_Master!C:C,"Not on master")</f>
        <v>0</v>
      </c>
      <c r="H791" s="6">
        <v>31</v>
      </c>
      <c r="I791" s="6">
        <v>31</v>
      </c>
      <c r="J791" s="6">
        <f>I791-H791</f>
        <v>0</v>
      </c>
      <c r="K791" s="5">
        <f>IF(H791=0,"",J791/H791)</f>
        <v>0</v>
      </c>
      <c r="L791">
        <f>IF(OR(AND(H791=0,ABS(J791)&gt;=0.01),AND(H791&lt;&gt;0,ABS(K791)&gt;VarianceThreshold)),"Review","OK")</f>
        <v>0</v>
      </c>
      <c r="M791" t="s">
        <v>33</v>
      </c>
    </row>
    <row r="792" spans="1:13">
      <c r="A792" t="s">
        <v>1</v>
      </c>
      <c r="B792" t="s">
        <v>143</v>
      </c>
      <c r="C792" t="s">
        <v>1024</v>
      </c>
      <c r="D792" t="s">
        <v>1074</v>
      </c>
      <c r="E792" cm="1">
        <f t="array" ref="E792">_xlfn.XLOOKUP(D792,SKU_Master!A:A,SKU_Master!B:B,"Not on master")</f>
        <v>0</v>
      </c>
      <c r="F792" cm="1">
        <f t="array" ref="F792">_xlfn.XLOOKUP(C792,Account_Master!A:A,Account_Master!B:B,"Not on master")</f>
        <v>0</v>
      </c>
      <c r="G792" cm="1">
        <f t="array" ref="G792">_xlfn.XLOOKUP(C792,Account_Master!A:A,Account_Master!C:C,"Not on master")</f>
        <v>0</v>
      </c>
      <c r="H792" s="6">
        <v>50</v>
      </c>
      <c r="I792" s="6">
        <v>50</v>
      </c>
      <c r="J792" s="6">
        <f>I792-H792</f>
        <v>0</v>
      </c>
      <c r="K792" s="5">
        <f>IF(H792=0,"",J792/H792)</f>
        <v>0</v>
      </c>
      <c r="L792">
        <f>IF(OR(AND(H792=0,ABS(J792)&gt;=0.01),AND(H792&lt;&gt;0,ABS(K792)&gt;VarianceThreshold)),"Review","OK")</f>
        <v>0</v>
      </c>
      <c r="M792" t="s">
        <v>33</v>
      </c>
    </row>
    <row r="793" spans="1:13">
      <c r="A793" t="s">
        <v>1</v>
      </c>
      <c r="B793" t="s">
        <v>143</v>
      </c>
      <c r="C793" t="s">
        <v>1018</v>
      </c>
      <c r="D793" t="s">
        <v>1075</v>
      </c>
      <c r="E793" cm="1">
        <f t="array" ref="E793">_xlfn.XLOOKUP(D793,SKU_Master!A:A,SKU_Master!B:B,"Not on master")</f>
        <v>0</v>
      </c>
      <c r="F793" cm="1">
        <f t="array" ref="F793">_xlfn.XLOOKUP(C793,Account_Master!A:A,Account_Master!B:B,"Not on master")</f>
        <v>0</v>
      </c>
      <c r="G793" cm="1">
        <f t="array" ref="G793">_xlfn.XLOOKUP(C793,Account_Master!A:A,Account_Master!C:C,"Not on master")</f>
        <v>0</v>
      </c>
      <c r="H793" s="6">
        <v>29.25</v>
      </c>
      <c r="I793" s="6">
        <v>29.25</v>
      </c>
      <c r="J793" s="6">
        <f>I793-H793</f>
        <v>0</v>
      </c>
      <c r="K793" s="5">
        <f>IF(H793=0,"",J793/H793)</f>
        <v>0</v>
      </c>
      <c r="L793">
        <f>IF(OR(AND(H793=0,ABS(J793)&gt;=0.01),AND(H793&lt;&gt;0,ABS(K793)&gt;VarianceThreshold)),"Review","OK")</f>
        <v>0</v>
      </c>
      <c r="M793" t="s">
        <v>33</v>
      </c>
    </row>
    <row r="794" spans="1:13">
      <c r="A794" t="s">
        <v>1</v>
      </c>
      <c r="B794" t="s">
        <v>143</v>
      </c>
      <c r="C794" t="s">
        <v>1034</v>
      </c>
      <c r="D794" t="s">
        <v>853</v>
      </c>
      <c r="E794" cm="1">
        <f t="array" ref="E794">_xlfn.XLOOKUP(D794,SKU_Master!A:A,SKU_Master!B:B,"Not on master")</f>
        <v>0</v>
      </c>
      <c r="F794" cm="1">
        <f t="array" ref="F794">_xlfn.XLOOKUP(C794,Account_Master!A:A,Account_Master!B:B,"Not on master")</f>
        <v>0</v>
      </c>
      <c r="G794" cm="1">
        <f t="array" ref="G794">_xlfn.XLOOKUP(C794,Account_Master!A:A,Account_Master!C:C,"Not on master")</f>
        <v>0</v>
      </c>
      <c r="H794" s="6">
        <v>747.25</v>
      </c>
      <c r="I794" s="6">
        <v>747.25</v>
      </c>
      <c r="J794" s="6">
        <f>I794-H794</f>
        <v>0</v>
      </c>
      <c r="K794" s="5">
        <f>IF(H794=0,"",J794/H794)</f>
        <v>0</v>
      </c>
      <c r="L794">
        <f>IF(OR(AND(H794=0,ABS(J794)&gt;=0.01),AND(H794&lt;&gt;0,ABS(K794)&gt;VarianceThreshold)),"Review","OK")</f>
        <v>0</v>
      </c>
      <c r="M794" t="s">
        <v>33</v>
      </c>
    </row>
    <row r="795" spans="1:13">
      <c r="A795" t="s">
        <v>1</v>
      </c>
      <c r="B795" t="s">
        <v>143</v>
      </c>
      <c r="C795" t="s">
        <v>1076</v>
      </c>
      <c r="D795" t="s">
        <v>1077</v>
      </c>
      <c r="E795" cm="1">
        <f t="array" ref="E795">_xlfn.XLOOKUP(D795,SKU_Master!A:A,SKU_Master!B:B,"Not on master")</f>
        <v>0</v>
      </c>
      <c r="F795" cm="1">
        <f t="array" ref="F795">_xlfn.XLOOKUP(C795,Account_Master!A:A,Account_Master!B:B,"Not on master")</f>
        <v>0</v>
      </c>
      <c r="G795" cm="1">
        <f t="array" ref="G795">_xlfn.XLOOKUP(C795,Account_Master!A:A,Account_Master!C:C,"Not on master")</f>
        <v>0</v>
      </c>
      <c r="H795" s="6">
        <v>17.25</v>
      </c>
      <c r="I795" s="6">
        <v>17.25</v>
      </c>
      <c r="J795" s="6">
        <f>I795-H795</f>
        <v>0</v>
      </c>
      <c r="K795" s="5">
        <f>IF(H795=0,"",J795/H795)</f>
        <v>0</v>
      </c>
      <c r="L795">
        <f>IF(OR(AND(H795=0,ABS(J795)&gt;=0.01),AND(H795&lt;&gt;0,ABS(K795)&gt;VarianceThreshold)),"Review","OK")</f>
        <v>0</v>
      </c>
      <c r="M795" t="s">
        <v>33</v>
      </c>
    </row>
    <row r="796" spans="1:13">
      <c r="A796" t="s">
        <v>1</v>
      </c>
      <c r="B796" t="s">
        <v>143</v>
      </c>
      <c r="C796" t="s">
        <v>1078</v>
      </c>
      <c r="D796" t="s">
        <v>1079</v>
      </c>
      <c r="E796" cm="1">
        <f t="array" ref="E796">_xlfn.XLOOKUP(D796,SKU_Master!A:A,SKU_Master!B:B,"Not on master")</f>
        <v>0</v>
      </c>
      <c r="F796" cm="1">
        <f t="array" ref="F796">_xlfn.XLOOKUP(C796,Account_Master!A:A,Account_Master!B:B,"Not on master")</f>
        <v>0</v>
      </c>
      <c r="G796" cm="1">
        <f t="array" ref="G796">_xlfn.XLOOKUP(C796,Account_Master!A:A,Account_Master!C:C,"Not on master")</f>
        <v>0</v>
      </c>
      <c r="H796" s="6">
        <v>0.75</v>
      </c>
      <c r="I796" s="6">
        <v>0.75</v>
      </c>
      <c r="J796" s="6">
        <f>I796-H796</f>
        <v>0</v>
      </c>
      <c r="K796" s="5">
        <f>IF(H796=0,"",J796/H796)</f>
        <v>0</v>
      </c>
      <c r="L796">
        <f>IF(OR(AND(H796=0,ABS(J796)&gt;=0.01),AND(H796&lt;&gt;0,ABS(K796)&gt;VarianceThreshold)),"Review","OK")</f>
        <v>0</v>
      </c>
      <c r="M796" t="s">
        <v>33</v>
      </c>
    </row>
    <row r="797" spans="1:13">
      <c r="A797" t="s">
        <v>1</v>
      </c>
      <c r="B797" t="s">
        <v>143</v>
      </c>
      <c r="C797" t="s">
        <v>1010</v>
      </c>
      <c r="D797" t="s">
        <v>975</v>
      </c>
      <c r="E797" cm="1">
        <f t="array" ref="E797">_xlfn.XLOOKUP(D797,SKU_Master!A:A,SKU_Master!B:B,"Not on master")</f>
        <v>0</v>
      </c>
      <c r="F797" cm="1">
        <f t="array" ref="F797">_xlfn.XLOOKUP(C797,Account_Master!A:A,Account_Master!B:B,"Not on master")</f>
        <v>0</v>
      </c>
      <c r="G797" cm="1">
        <f t="array" ref="G797">_xlfn.XLOOKUP(C797,Account_Master!A:A,Account_Master!C:C,"Not on master")</f>
        <v>0</v>
      </c>
      <c r="H797" s="6">
        <v>12</v>
      </c>
      <c r="I797" s="6">
        <v>12</v>
      </c>
      <c r="J797" s="6">
        <f>I797-H797</f>
        <v>0</v>
      </c>
      <c r="K797" s="5">
        <f>IF(H797=0,"",J797/H797)</f>
        <v>0</v>
      </c>
      <c r="L797">
        <f>IF(OR(AND(H797=0,ABS(J797)&gt;=0.01),AND(H797&lt;&gt;0,ABS(K797)&gt;VarianceThreshold)),"Review","OK")</f>
        <v>0</v>
      </c>
      <c r="M797" t="s">
        <v>33</v>
      </c>
    </row>
    <row r="798" spans="1:13">
      <c r="A798" t="s">
        <v>1</v>
      </c>
      <c r="B798" t="s">
        <v>154</v>
      </c>
      <c r="C798" t="s">
        <v>1024</v>
      </c>
      <c r="D798" t="s">
        <v>540</v>
      </c>
      <c r="E798" cm="1">
        <f t="array" ref="E798">_xlfn.XLOOKUP(D798,SKU_Master!A:A,SKU_Master!B:B,"Not on master")</f>
        <v>0</v>
      </c>
      <c r="F798" cm="1">
        <f t="array" ref="F798">_xlfn.XLOOKUP(C798,Account_Master!A:A,Account_Master!B:B,"Not on master")</f>
        <v>0</v>
      </c>
      <c r="G798" cm="1">
        <f t="array" ref="G798">_xlfn.XLOOKUP(C798,Account_Master!A:A,Account_Master!C:C,"Not on master")</f>
        <v>0</v>
      </c>
      <c r="H798" s="6">
        <v>0.75</v>
      </c>
      <c r="I798" s="6">
        <v>0.75</v>
      </c>
      <c r="J798" s="6">
        <f>I798-H798</f>
        <v>0</v>
      </c>
      <c r="K798" s="5">
        <f>IF(H798=0,"",J798/H798)</f>
        <v>0</v>
      </c>
      <c r="L798">
        <f>IF(OR(AND(H798=0,ABS(J798)&gt;=0.01),AND(H798&lt;&gt;0,ABS(K798)&gt;VarianceThreshold)),"Review","OK")</f>
        <v>0</v>
      </c>
      <c r="M798" t="s">
        <v>33</v>
      </c>
    </row>
    <row r="799" spans="1:13">
      <c r="A799" t="s">
        <v>1</v>
      </c>
      <c r="B799" t="s">
        <v>154</v>
      </c>
      <c r="C799" t="s">
        <v>1024</v>
      </c>
      <c r="D799" t="s">
        <v>1080</v>
      </c>
      <c r="E799" cm="1">
        <f t="array" ref="E799">_xlfn.XLOOKUP(D799,SKU_Master!A:A,SKU_Master!B:B,"Not on master")</f>
        <v>0</v>
      </c>
      <c r="F799" cm="1">
        <f t="array" ref="F799">_xlfn.XLOOKUP(C799,Account_Master!A:A,Account_Master!B:B,"Not on master")</f>
        <v>0</v>
      </c>
      <c r="G799" cm="1">
        <f t="array" ref="G799">_xlfn.XLOOKUP(C799,Account_Master!A:A,Account_Master!C:C,"Not on master")</f>
        <v>0</v>
      </c>
      <c r="H799" s="6">
        <v>1.5</v>
      </c>
      <c r="I799" s="6">
        <v>1.5</v>
      </c>
      <c r="J799" s="6">
        <f>I799-H799</f>
        <v>0</v>
      </c>
      <c r="K799" s="5">
        <f>IF(H799=0,"",J799/H799)</f>
        <v>0</v>
      </c>
      <c r="L799">
        <f>IF(OR(AND(H799=0,ABS(J799)&gt;=0.01),AND(H799&lt;&gt;0,ABS(K799)&gt;VarianceThreshold)),"Review","OK")</f>
        <v>0</v>
      </c>
      <c r="M799" t="s">
        <v>33</v>
      </c>
    </row>
    <row r="800" spans="1:13">
      <c r="A800" t="s">
        <v>1</v>
      </c>
      <c r="B800" t="s">
        <v>154</v>
      </c>
      <c r="C800" t="s">
        <v>1018</v>
      </c>
      <c r="D800" t="s">
        <v>1081</v>
      </c>
      <c r="E800" cm="1">
        <f t="array" ref="E800">_xlfn.XLOOKUP(D800,SKU_Master!A:A,SKU_Master!B:B,"Not on master")</f>
        <v>0</v>
      </c>
      <c r="F800" cm="1">
        <f t="array" ref="F800">_xlfn.XLOOKUP(C800,Account_Master!A:A,Account_Master!B:B,"Not on master")</f>
        <v>0</v>
      </c>
      <c r="G800" cm="1">
        <f t="array" ref="G800">_xlfn.XLOOKUP(C800,Account_Master!A:A,Account_Master!C:C,"Not on master")</f>
        <v>0</v>
      </c>
      <c r="H800" s="6">
        <v>22.5</v>
      </c>
      <c r="I800" s="6">
        <v>22.5</v>
      </c>
      <c r="J800" s="6">
        <f>I800-H800</f>
        <v>0</v>
      </c>
      <c r="K800" s="5">
        <f>IF(H800=0,"",J800/H800)</f>
        <v>0</v>
      </c>
      <c r="L800">
        <f>IF(OR(AND(H800=0,ABS(J800)&gt;=0.01),AND(H800&lt;&gt;0,ABS(K800)&gt;VarianceThreshold)),"Review","OK")</f>
        <v>0</v>
      </c>
      <c r="M800" t="s">
        <v>33</v>
      </c>
    </row>
    <row r="801" spans="1:13">
      <c r="A801" t="s">
        <v>1</v>
      </c>
      <c r="B801" t="s">
        <v>154</v>
      </c>
      <c r="C801" t="s">
        <v>1082</v>
      </c>
      <c r="D801" t="s">
        <v>833</v>
      </c>
      <c r="E801" cm="1">
        <f t="array" ref="E801">_xlfn.XLOOKUP(D801,SKU_Master!A:A,SKU_Master!B:B,"Not on master")</f>
        <v>0</v>
      </c>
      <c r="F801" cm="1">
        <f t="array" ref="F801">_xlfn.XLOOKUP(C801,Account_Master!A:A,Account_Master!B:B,"Not on master")</f>
        <v>0</v>
      </c>
      <c r="G801" cm="1">
        <f t="array" ref="G801">_xlfn.XLOOKUP(C801,Account_Master!A:A,Account_Master!C:C,"Not on master")</f>
        <v>0</v>
      </c>
      <c r="H801" s="6">
        <v>2.25</v>
      </c>
      <c r="I801" s="6">
        <v>2.25</v>
      </c>
      <c r="J801" s="6">
        <f>I801-H801</f>
        <v>0</v>
      </c>
      <c r="K801" s="5">
        <f>IF(H801=0,"",J801/H801)</f>
        <v>0</v>
      </c>
      <c r="L801">
        <f>IF(OR(AND(H801=0,ABS(J801)&gt;=0.01),AND(H801&lt;&gt;0,ABS(K801)&gt;VarianceThreshold)),"Review","OK")</f>
        <v>0</v>
      </c>
      <c r="M801" t="s">
        <v>33</v>
      </c>
    </row>
    <row r="802" spans="1:13">
      <c r="A802" t="s">
        <v>1</v>
      </c>
      <c r="B802" t="s">
        <v>154</v>
      </c>
      <c r="C802" t="s">
        <v>1027</v>
      </c>
      <c r="D802" t="s">
        <v>1083</v>
      </c>
      <c r="E802" cm="1">
        <f t="array" ref="E802">_xlfn.XLOOKUP(D802,SKU_Master!A:A,SKU_Master!B:B,"Not on master")</f>
        <v>0</v>
      </c>
      <c r="F802" cm="1">
        <f t="array" ref="F802">_xlfn.XLOOKUP(C802,Account_Master!A:A,Account_Master!B:B,"Not on master")</f>
        <v>0</v>
      </c>
      <c r="G802" cm="1">
        <f t="array" ref="G802">_xlfn.XLOOKUP(C802,Account_Master!A:A,Account_Master!C:C,"Not on master")</f>
        <v>0</v>
      </c>
      <c r="H802" s="6">
        <v>2</v>
      </c>
      <c r="I802" s="6">
        <v>2</v>
      </c>
      <c r="J802" s="6">
        <f>I802-H802</f>
        <v>0</v>
      </c>
      <c r="K802" s="5">
        <f>IF(H802=0,"",J802/H802)</f>
        <v>0</v>
      </c>
      <c r="L802">
        <f>IF(OR(AND(H802=0,ABS(J802)&gt;=0.01),AND(H802&lt;&gt;0,ABS(K802)&gt;VarianceThreshold)),"Review","OK")</f>
        <v>0</v>
      </c>
      <c r="M802" t="s">
        <v>33</v>
      </c>
    </row>
    <row r="803" spans="1:13">
      <c r="A803" t="s">
        <v>1</v>
      </c>
      <c r="B803" t="s">
        <v>160</v>
      </c>
      <c r="C803" t="s">
        <v>1010</v>
      </c>
      <c r="D803" t="s">
        <v>1084</v>
      </c>
      <c r="E803" cm="1">
        <f t="array" ref="E803">_xlfn.XLOOKUP(D803,SKU_Master!A:A,SKU_Master!B:B,"Not on master")</f>
        <v>0</v>
      </c>
      <c r="F803" cm="1">
        <f t="array" ref="F803">_xlfn.XLOOKUP(C803,Account_Master!A:A,Account_Master!B:B,"Not on master")</f>
        <v>0</v>
      </c>
      <c r="G803" cm="1">
        <f t="array" ref="G803">_xlfn.XLOOKUP(C803,Account_Master!A:A,Account_Master!C:C,"Not on master")</f>
        <v>0</v>
      </c>
      <c r="H803" s="6">
        <v>39.75</v>
      </c>
      <c r="I803" s="6">
        <v>39.75</v>
      </c>
      <c r="J803" s="6">
        <f>I803-H803</f>
        <v>0</v>
      </c>
      <c r="K803" s="5">
        <f>IF(H803=0,"",J803/H803)</f>
        <v>0</v>
      </c>
      <c r="L803">
        <f>IF(OR(AND(H803=0,ABS(J803)&gt;=0.01),AND(H803&lt;&gt;0,ABS(K803)&gt;VarianceThreshold)),"Review","OK")</f>
        <v>0</v>
      </c>
      <c r="M803" t="s">
        <v>33</v>
      </c>
    </row>
    <row r="804" spans="1:13">
      <c r="A804" t="s">
        <v>1</v>
      </c>
      <c r="B804" t="s">
        <v>160</v>
      </c>
      <c r="C804" t="s">
        <v>1085</v>
      </c>
      <c r="D804" t="s">
        <v>99</v>
      </c>
      <c r="E804" cm="1">
        <f t="array" ref="E804">_xlfn.XLOOKUP(D804,SKU_Master!A:A,SKU_Master!B:B,"Not on master")</f>
        <v>0</v>
      </c>
      <c r="F804" cm="1">
        <f t="array" ref="F804">_xlfn.XLOOKUP(C804,Account_Master!A:A,Account_Master!B:B,"Not on master")</f>
        <v>0</v>
      </c>
      <c r="G804" cm="1">
        <f t="array" ref="G804">_xlfn.XLOOKUP(C804,Account_Master!A:A,Account_Master!C:C,"Not on master")</f>
        <v>0</v>
      </c>
      <c r="H804" s="6">
        <v>9</v>
      </c>
      <c r="I804" s="6">
        <v>9</v>
      </c>
      <c r="J804" s="6">
        <f>I804-H804</f>
        <v>0</v>
      </c>
      <c r="K804" s="5">
        <f>IF(H804=0,"",J804/H804)</f>
        <v>0</v>
      </c>
      <c r="L804">
        <f>IF(OR(AND(H804=0,ABS(J804)&gt;=0.01),AND(H804&lt;&gt;0,ABS(K804)&gt;VarianceThreshold)),"Review","OK")</f>
        <v>0</v>
      </c>
      <c r="M804" t="s">
        <v>33</v>
      </c>
    </row>
    <row r="805" spans="1:13">
      <c r="A805" t="s">
        <v>1</v>
      </c>
      <c r="B805" t="s">
        <v>160</v>
      </c>
      <c r="C805" t="s">
        <v>1041</v>
      </c>
      <c r="D805" t="s">
        <v>666</v>
      </c>
      <c r="E805" cm="1">
        <f t="array" ref="E805">_xlfn.XLOOKUP(D805,SKU_Master!A:A,SKU_Master!B:B,"Not on master")</f>
        <v>0</v>
      </c>
      <c r="F805" cm="1">
        <f t="array" ref="F805">_xlfn.XLOOKUP(C805,Account_Master!A:A,Account_Master!B:B,"Not on master")</f>
        <v>0</v>
      </c>
      <c r="G805" cm="1">
        <f t="array" ref="G805">_xlfn.XLOOKUP(C805,Account_Master!A:A,Account_Master!C:C,"Not on master")</f>
        <v>0</v>
      </c>
      <c r="H805" s="6">
        <v>641.25</v>
      </c>
      <c r="I805" s="6">
        <v>641.25</v>
      </c>
      <c r="J805" s="6">
        <f>I805-H805</f>
        <v>0</v>
      </c>
      <c r="K805" s="5">
        <f>IF(H805=0,"",J805/H805)</f>
        <v>0</v>
      </c>
      <c r="L805">
        <f>IF(OR(AND(H805=0,ABS(J805)&gt;=0.01),AND(H805&lt;&gt;0,ABS(K805)&gt;VarianceThreshold)),"Review","OK")</f>
        <v>0</v>
      </c>
      <c r="M805" t="s">
        <v>33</v>
      </c>
    </row>
    <row r="806" spans="1:13">
      <c r="A806" t="s">
        <v>1</v>
      </c>
      <c r="B806" t="s">
        <v>170</v>
      </c>
      <c r="C806" t="s">
        <v>1072</v>
      </c>
      <c r="D806" t="s">
        <v>503</v>
      </c>
      <c r="E806" cm="1">
        <f t="array" ref="E806">_xlfn.XLOOKUP(D806,SKU_Master!A:A,SKU_Master!B:B,"Not on master")</f>
        <v>0</v>
      </c>
      <c r="F806" cm="1">
        <f t="array" ref="F806">_xlfn.XLOOKUP(C806,Account_Master!A:A,Account_Master!B:B,"Not on master")</f>
        <v>0</v>
      </c>
      <c r="G806" cm="1">
        <f t="array" ref="G806">_xlfn.XLOOKUP(C806,Account_Master!A:A,Account_Master!C:C,"Not on master")</f>
        <v>0</v>
      </c>
      <c r="H806" s="6">
        <v>0.75</v>
      </c>
      <c r="I806" s="6">
        <v>0.75</v>
      </c>
      <c r="J806" s="6">
        <f>I806-H806</f>
        <v>0</v>
      </c>
      <c r="K806" s="5">
        <f>IF(H806=0,"",J806/H806)</f>
        <v>0</v>
      </c>
      <c r="L806">
        <f>IF(OR(AND(H806=0,ABS(J806)&gt;=0.01),AND(H806&lt;&gt;0,ABS(K806)&gt;VarianceThreshold)),"Review","OK")</f>
        <v>0</v>
      </c>
      <c r="M806" t="s">
        <v>33</v>
      </c>
    </row>
    <row r="807" spans="1:13">
      <c r="A807" t="s">
        <v>1</v>
      </c>
      <c r="B807" t="s">
        <v>170</v>
      </c>
      <c r="C807" t="s">
        <v>1032</v>
      </c>
      <c r="D807" t="s">
        <v>1086</v>
      </c>
      <c r="E807" cm="1">
        <f t="array" ref="E807">_xlfn.XLOOKUP(D807,SKU_Master!A:A,SKU_Master!B:B,"Not on master")</f>
        <v>0</v>
      </c>
      <c r="F807" cm="1">
        <f t="array" ref="F807">_xlfn.XLOOKUP(C807,Account_Master!A:A,Account_Master!B:B,"Not on master")</f>
        <v>0</v>
      </c>
      <c r="G807" cm="1">
        <f t="array" ref="G807">_xlfn.XLOOKUP(C807,Account_Master!A:A,Account_Master!C:C,"Not on master")</f>
        <v>0</v>
      </c>
      <c r="H807" s="6">
        <v>27</v>
      </c>
      <c r="I807" s="6">
        <v>27</v>
      </c>
      <c r="J807" s="6">
        <f>I807-H807</f>
        <v>0</v>
      </c>
      <c r="K807" s="5">
        <f>IF(H807=0,"",J807/H807)</f>
        <v>0</v>
      </c>
      <c r="L807">
        <f>IF(OR(AND(H807=0,ABS(J807)&gt;=0.01),AND(H807&lt;&gt;0,ABS(K807)&gt;VarianceThreshold)),"Review","OK")</f>
        <v>0</v>
      </c>
      <c r="M807" t="s">
        <v>33</v>
      </c>
    </row>
    <row r="808" spans="1:13">
      <c r="A808" t="s">
        <v>1</v>
      </c>
      <c r="B808" t="s">
        <v>170</v>
      </c>
      <c r="C808" t="s">
        <v>1087</v>
      </c>
      <c r="D808" t="s">
        <v>1088</v>
      </c>
      <c r="E808" cm="1">
        <f t="array" ref="E808">_xlfn.XLOOKUP(D808,SKU_Master!A:A,SKU_Master!B:B,"Not on master")</f>
        <v>0</v>
      </c>
      <c r="F808" cm="1">
        <f t="array" ref="F808">_xlfn.XLOOKUP(C808,Account_Master!A:A,Account_Master!B:B,"Not on master")</f>
        <v>0</v>
      </c>
      <c r="G808" cm="1">
        <f t="array" ref="G808">_xlfn.XLOOKUP(C808,Account_Master!A:A,Account_Master!C:C,"Not on master")</f>
        <v>0</v>
      </c>
      <c r="H808" s="6">
        <v>31.5</v>
      </c>
      <c r="I808" s="6">
        <v>31.5</v>
      </c>
      <c r="J808" s="6">
        <f>I808-H808</f>
        <v>0</v>
      </c>
      <c r="K808" s="5">
        <f>IF(H808=0,"",J808/H808)</f>
        <v>0</v>
      </c>
      <c r="L808">
        <f>IF(OR(AND(H808=0,ABS(J808)&gt;=0.01),AND(H808&lt;&gt;0,ABS(K808)&gt;VarianceThreshold)),"Review","OK")</f>
        <v>0</v>
      </c>
      <c r="M808" t="s">
        <v>33</v>
      </c>
    </row>
    <row r="809" spans="1:13">
      <c r="A809" t="s">
        <v>1</v>
      </c>
      <c r="B809" t="s">
        <v>170</v>
      </c>
      <c r="C809" t="s">
        <v>1013</v>
      </c>
      <c r="D809" t="s">
        <v>1089</v>
      </c>
      <c r="E809" cm="1">
        <f t="array" ref="E809">_xlfn.XLOOKUP(D809,SKU_Master!A:A,SKU_Master!B:B,"Not on master")</f>
        <v>0</v>
      </c>
      <c r="F809" cm="1">
        <f t="array" ref="F809">_xlfn.XLOOKUP(C809,Account_Master!A:A,Account_Master!B:B,"Not on master")</f>
        <v>0</v>
      </c>
      <c r="G809" cm="1">
        <f t="array" ref="G809">_xlfn.XLOOKUP(C809,Account_Master!A:A,Account_Master!C:C,"Not on master")</f>
        <v>0</v>
      </c>
      <c r="H809" s="6">
        <v>18</v>
      </c>
      <c r="I809" s="6">
        <v>18</v>
      </c>
      <c r="J809" s="6">
        <f>I809-H809</f>
        <v>0</v>
      </c>
      <c r="K809" s="5">
        <f>IF(H809=0,"",J809/H809)</f>
        <v>0</v>
      </c>
      <c r="L809">
        <f>IF(OR(AND(H809=0,ABS(J809)&gt;=0.01),AND(H809&lt;&gt;0,ABS(K809)&gt;VarianceThreshold)),"Review","OK")</f>
        <v>0</v>
      </c>
      <c r="M809" t="s">
        <v>33</v>
      </c>
    </row>
    <row r="810" spans="1:13">
      <c r="A810" t="s">
        <v>1</v>
      </c>
      <c r="B810" t="s">
        <v>170</v>
      </c>
      <c r="C810" t="s">
        <v>1063</v>
      </c>
      <c r="D810" t="s">
        <v>1090</v>
      </c>
      <c r="E810" cm="1">
        <f t="array" ref="E810">_xlfn.XLOOKUP(D810,SKU_Master!A:A,SKU_Master!B:B,"Not on master")</f>
        <v>0</v>
      </c>
      <c r="F810" cm="1">
        <f t="array" ref="F810">_xlfn.XLOOKUP(C810,Account_Master!A:A,Account_Master!B:B,"Not on master")</f>
        <v>0</v>
      </c>
      <c r="G810" cm="1">
        <f t="array" ref="G810">_xlfn.XLOOKUP(C810,Account_Master!A:A,Account_Master!C:C,"Not on master")</f>
        <v>0</v>
      </c>
      <c r="H810" s="6">
        <v>3</v>
      </c>
      <c r="I810" s="6">
        <v>3</v>
      </c>
      <c r="J810" s="6">
        <f>I810-H810</f>
        <v>0</v>
      </c>
      <c r="K810" s="5">
        <f>IF(H810=0,"",J810/H810)</f>
        <v>0</v>
      </c>
      <c r="L810">
        <f>IF(OR(AND(H810=0,ABS(J810)&gt;=0.01),AND(H810&lt;&gt;0,ABS(K810)&gt;VarianceThreshold)),"Review","OK")</f>
        <v>0</v>
      </c>
      <c r="M810" t="s">
        <v>33</v>
      </c>
    </row>
    <row r="811" spans="1:13">
      <c r="A811" t="s">
        <v>1</v>
      </c>
      <c r="B811" t="s">
        <v>180</v>
      </c>
      <c r="C811" t="s">
        <v>1043</v>
      </c>
      <c r="D811" t="s">
        <v>1091</v>
      </c>
      <c r="E811" cm="1">
        <f t="array" ref="E811">_xlfn.XLOOKUP(D811,SKU_Master!A:A,SKU_Master!B:B,"Not on master")</f>
        <v>0</v>
      </c>
      <c r="F811" cm="1">
        <f t="array" ref="F811">_xlfn.XLOOKUP(C811,Account_Master!A:A,Account_Master!B:B,"Not on master")</f>
        <v>0</v>
      </c>
      <c r="G811" cm="1">
        <f t="array" ref="G811">_xlfn.XLOOKUP(C811,Account_Master!A:A,Account_Master!C:C,"Not on master")</f>
        <v>0</v>
      </c>
      <c r="H811" s="6">
        <v>11.25</v>
      </c>
      <c r="I811" s="6">
        <v>11.25</v>
      </c>
      <c r="J811" s="6">
        <f>I811-H811</f>
        <v>0</v>
      </c>
      <c r="K811" s="5">
        <f>IF(H811=0,"",J811/H811)</f>
        <v>0</v>
      </c>
      <c r="L811">
        <f>IF(OR(AND(H811=0,ABS(J811)&gt;=0.01),AND(H811&lt;&gt;0,ABS(K811)&gt;VarianceThreshold)),"Review","OK")</f>
        <v>0</v>
      </c>
      <c r="M811" t="s">
        <v>33</v>
      </c>
    </row>
    <row r="812" spans="1:13">
      <c r="A812" t="s">
        <v>1</v>
      </c>
      <c r="B812" t="s">
        <v>180</v>
      </c>
      <c r="C812" t="s">
        <v>1082</v>
      </c>
      <c r="D812" t="s">
        <v>1092</v>
      </c>
      <c r="E812" cm="1">
        <f t="array" ref="E812">_xlfn.XLOOKUP(D812,SKU_Master!A:A,SKU_Master!B:B,"Not on master")</f>
        <v>0</v>
      </c>
      <c r="F812" cm="1">
        <f t="array" ref="F812">_xlfn.XLOOKUP(C812,Account_Master!A:A,Account_Master!B:B,"Not on master")</f>
        <v>0</v>
      </c>
      <c r="G812" cm="1">
        <f t="array" ref="G812">_xlfn.XLOOKUP(C812,Account_Master!A:A,Account_Master!C:C,"Not on master")</f>
        <v>0</v>
      </c>
      <c r="H812" s="6">
        <v>1</v>
      </c>
      <c r="I812" s="6">
        <v>1</v>
      </c>
      <c r="J812" s="6">
        <f>I812-H812</f>
        <v>0</v>
      </c>
      <c r="K812" s="5">
        <f>IF(H812=0,"",J812/H812)</f>
        <v>0</v>
      </c>
      <c r="L812">
        <f>IF(OR(AND(H812=0,ABS(J812)&gt;=0.01),AND(H812&lt;&gt;0,ABS(K812)&gt;VarianceThreshold)),"Review","OK")</f>
        <v>0</v>
      </c>
      <c r="M812" t="s">
        <v>33</v>
      </c>
    </row>
    <row r="813" spans="1:13">
      <c r="A813" t="s">
        <v>1</v>
      </c>
      <c r="B813" t="s">
        <v>180</v>
      </c>
      <c r="C813" t="s">
        <v>1093</v>
      </c>
      <c r="D813" t="s">
        <v>1094</v>
      </c>
      <c r="E813" cm="1">
        <f t="array" ref="E813">_xlfn.XLOOKUP(D813,SKU_Master!A:A,SKU_Master!B:B,"Not on master")</f>
        <v>0</v>
      </c>
      <c r="F813" cm="1">
        <f t="array" ref="F813">_xlfn.XLOOKUP(C813,Account_Master!A:A,Account_Master!B:B,"Not on master")</f>
        <v>0</v>
      </c>
      <c r="G813" cm="1">
        <f t="array" ref="G813">_xlfn.XLOOKUP(C813,Account_Master!A:A,Account_Master!C:C,"Not on master")</f>
        <v>0</v>
      </c>
      <c r="H813" s="6">
        <v>1.5</v>
      </c>
      <c r="I813" s="6">
        <v>1.5</v>
      </c>
      <c r="J813" s="6">
        <f>I813-H813</f>
        <v>0</v>
      </c>
      <c r="K813" s="5">
        <f>IF(H813=0,"",J813/H813)</f>
        <v>0</v>
      </c>
      <c r="L813">
        <f>IF(OR(AND(H813=0,ABS(J813)&gt;=0.01),AND(H813&lt;&gt;0,ABS(K813)&gt;VarianceThreshold)),"Review","OK")</f>
        <v>0</v>
      </c>
      <c r="M813" t="s">
        <v>33</v>
      </c>
    </row>
    <row r="814" spans="1:13">
      <c r="A814" t="s">
        <v>1</v>
      </c>
      <c r="B814" t="s">
        <v>180</v>
      </c>
      <c r="C814" t="s">
        <v>1018</v>
      </c>
      <c r="D814" t="s">
        <v>1095</v>
      </c>
      <c r="E814" cm="1">
        <f t="array" ref="E814">_xlfn.XLOOKUP(D814,SKU_Master!A:A,SKU_Master!B:B,"Not on master")</f>
        <v>0</v>
      </c>
      <c r="F814" cm="1">
        <f t="array" ref="F814">_xlfn.XLOOKUP(C814,Account_Master!A:A,Account_Master!B:B,"Not on master")</f>
        <v>0</v>
      </c>
      <c r="G814" cm="1">
        <f t="array" ref="G814">_xlfn.XLOOKUP(C814,Account_Master!A:A,Account_Master!C:C,"Not on master")</f>
        <v>0</v>
      </c>
      <c r="H814" s="6">
        <v>3</v>
      </c>
      <c r="I814" s="6">
        <v>3</v>
      </c>
      <c r="J814" s="6">
        <f>I814-H814</f>
        <v>0</v>
      </c>
      <c r="K814" s="5">
        <f>IF(H814=0,"",J814/H814)</f>
        <v>0</v>
      </c>
      <c r="L814">
        <f>IF(OR(AND(H814=0,ABS(J814)&gt;=0.01),AND(H814&lt;&gt;0,ABS(K814)&gt;VarianceThreshold)),"Review","OK")</f>
        <v>0</v>
      </c>
      <c r="M814" t="s">
        <v>33</v>
      </c>
    </row>
    <row r="815" spans="1:13">
      <c r="A815" t="s">
        <v>1</v>
      </c>
      <c r="B815" t="s">
        <v>180</v>
      </c>
      <c r="C815" t="s">
        <v>1034</v>
      </c>
      <c r="D815" t="s">
        <v>1096</v>
      </c>
      <c r="E815" cm="1">
        <f t="array" ref="E815">_xlfn.XLOOKUP(D815,SKU_Master!A:A,SKU_Master!B:B,"Not on master")</f>
        <v>0</v>
      </c>
      <c r="F815" cm="1">
        <f t="array" ref="F815">_xlfn.XLOOKUP(C815,Account_Master!A:A,Account_Master!B:B,"Not on master")</f>
        <v>0</v>
      </c>
      <c r="G815" cm="1">
        <f t="array" ref="G815">_xlfn.XLOOKUP(C815,Account_Master!A:A,Account_Master!C:C,"Not on master")</f>
        <v>0</v>
      </c>
      <c r="H815" s="6">
        <v>0.37</v>
      </c>
      <c r="I815" s="6">
        <v>0.37</v>
      </c>
      <c r="J815" s="6">
        <f>I815-H815</f>
        <v>0</v>
      </c>
      <c r="K815" s="5">
        <f>IF(H815=0,"",J815/H815)</f>
        <v>0</v>
      </c>
      <c r="L815">
        <f>IF(OR(AND(H815=0,ABS(J815)&gt;=0.01),AND(H815&lt;&gt;0,ABS(K815)&gt;VarianceThreshold)),"Review","OK")</f>
        <v>0</v>
      </c>
      <c r="M815" t="s">
        <v>33</v>
      </c>
    </row>
    <row r="816" spans="1:13">
      <c r="A816" t="s">
        <v>1</v>
      </c>
      <c r="B816" t="s">
        <v>180</v>
      </c>
      <c r="C816" t="s">
        <v>1065</v>
      </c>
      <c r="D816" t="s">
        <v>1097</v>
      </c>
      <c r="E816" cm="1">
        <f t="array" ref="E816">_xlfn.XLOOKUP(D816,SKU_Master!A:A,SKU_Master!B:B,"Not on master")</f>
        <v>0</v>
      </c>
      <c r="F816" cm="1">
        <f t="array" ref="F816">_xlfn.XLOOKUP(C816,Account_Master!A:A,Account_Master!B:B,"Not on master")</f>
        <v>0</v>
      </c>
      <c r="G816" cm="1">
        <f t="array" ref="G816">_xlfn.XLOOKUP(C816,Account_Master!A:A,Account_Master!C:C,"Not on master")</f>
        <v>0</v>
      </c>
      <c r="H816" s="6">
        <v>0.05</v>
      </c>
      <c r="I816" s="6">
        <v>0.05</v>
      </c>
      <c r="J816" s="6">
        <f>I816-H816</f>
        <v>0</v>
      </c>
      <c r="K816" s="5">
        <f>IF(H816=0,"",J816/H816)</f>
        <v>0</v>
      </c>
      <c r="L816">
        <f>IF(OR(AND(H816=0,ABS(J816)&gt;=0.01),AND(H816&lt;&gt;0,ABS(K816)&gt;VarianceThreshold)),"Review","OK")</f>
        <v>0</v>
      </c>
      <c r="M816" t="s">
        <v>33</v>
      </c>
    </row>
    <row r="817" spans="1:13">
      <c r="A817" t="s">
        <v>1</v>
      </c>
      <c r="B817" t="s">
        <v>180</v>
      </c>
      <c r="C817" t="s">
        <v>1019</v>
      </c>
      <c r="D817" t="s">
        <v>1098</v>
      </c>
      <c r="E817" cm="1">
        <f t="array" ref="E817">_xlfn.XLOOKUP(D817,SKU_Master!A:A,SKU_Master!B:B,"Not on master")</f>
        <v>0</v>
      </c>
      <c r="F817" cm="1">
        <f t="array" ref="F817">_xlfn.XLOOKUP(C817,Account_Master!A:A,Account_Master!B:B,"Not on master")</f>
        <v>0</v>
      </c>
      <c r="G817" cm="1">
        <f t="array" ref="G817">_xlfn.XLOOKUP(C817,Account_Master!A:A,Account_Master!C:C,"Not on master")</f>
        <v>0</v>
      </c>
      <c r="H817" s="6">
        <v>2.25</v>
      </c>
      <c r="I817" s="6">
        <v>2.25</v>
      </c>
      <c r="J817" s="6">
        <f>I817-H817</f>
        <v>0</v>
      </c>
      <c r="K817" s="5">
        <f>IF(H817=0,"",J817/H817)</f>
        <v>0</v>
      </c>
      <c r="L817">
        <f>IF(OR(AND(H817=0,ABS(J817)&gt;=0.01),AND(H817&lt;&gt;0,ABS(K817)&gt;VarianceThreshold)),"Review","OK")</f>
        <v>0</v>
      </c>
      <c r="M817" t="s">
        <v>33</v>
      </c>
    </row>
    <row r="818" spans="1:13">
      <c r="A818" t="s">
        <v>1</v>
      </c>
      <c r="B818" t="s">
        <v>193</v>
      </c>
      <c r="C818" t="s">
        <v>1022</v>
      </c>
      <c r="D818" t="s">
        <v>1099</v>
      </c>
      <c r="E818" cm="1">
        <f t="array" ref="E818">_xlfn.XLOOKUP(D818,SKU_Master!A:A,SKU_Master!B:B,"Not on master")</f>
        <v>0</v>
      </c>
      <c r="F818" cm="1">
        <f t="array" ref="F818">_xlfn.XLOOKUP(C818,Account_Master!A:A,Account_Master!B:B,"Not on master")</f>
        <v>0</v>
      </c>
      <c r="G818" cm="1">
        <f t="array" ref="G818">_xlfn.XLOOKUP(C818,Account_Master!A:A,Account_Master!C:C,"Not on master")</f>
        <v>0</v>
      </c>
      <c r="H818" s="6">
        <v>1.2</v>
      </c>
      <c r="I818" s="6">
        <v>0</v>
      </c>
      <c r="J818" s="6">
        <f>I818-H818</f>
        <v>0</v>
      </c>
      <c r="K818" s="5">
        <f>IF(H818=0,"",J818/H818)</f>
        <v>0</v>
      </c>
      <c r="L818">
        <f>IF(OR(AND(H818=0,ABS(J818)&gt;=0.01),AND(H818&lt;&gt;0,ABS(K818)&gt;VarianceThreshold)),"Review","OK")</f>
        <v>0</v>
      </c>
      <c r="M818" t="s">
        <v>1100</v>
      </c>
    </row>
    <row r="819" spans="1:13">
      <c r="A819" t="s">
        <v>1</v>
      </c>
      <c r="B819" t="s">
        <v>193</v>
      </c>
      <c r="C819" t="s">
        <v>1044</v>
      </c>
      <c r="D819" t="s">
        <v>1101</v>
      </c>
      <c r="E819" cm="1">
        <f t="array" ref="E819">_xlfn.XLOOKUP(D819,SKU_Master!A:A,SKU_Master!B:B,"Not on master")</f>
        <v>0</v>
      </c>
      <c r="F819" cm="1">
        <f t="array" ref="F819">_xlfn.XLOOKUP(C819,Account_Master!A:A,Account_Master!B:B,"Not on master")</f>
        <v>0</v>
      </c>
      <c r="G819" cm="1">
        <f t="array" ref="G819">_xlfn.XLOOKUP(C819,Account_Master!A:A,Account_Master!C:C,"Not on master")</f>
        <v>0</v>
      </c>
      <c r="H819" s="6">
        <v>9</v>
      </c>
      <c r="I819" s="6">
        <v>0</v>
      </c>
      <c r="J819" s="6">
        <f>I819-H819</f>
        <v>0</v>
      </c>
      <c r="K819" s="5">
        <f>IF(H819=0,"",J819/H819)</f>
        <v>0</v>
      </c>
      <c r="L819">
        <f>IF(OR(AND(H819=0,ABS(J819)&gt;=0.01),AND(H819&lt;&gt;0,ABS(K819)&gt;VarianceThreshold)),"Review","OK")</f>
        <v>0</v>
      </c>
      <c r="M819" t="s">
        <v>1100</v>
      </c>
    </row>
    <row r="820" spans="1:13">
      <c r="A820" t="s">
        <v>1</v>
      </c>
      <c r="B820" t="s">
        <v>193</v>
      </c>
      <c r="C820" t="s">
        <v>1102</v>
      </c>
      <c r="D820" t="s">
        <v>1103</v>
      </c>
      <c r="E820" cm="1">
        <f t="array" ref="E820">_xlfn.XLOOKUP(D820,SKU_Master!A:A,SKU_Master!B:B,"Not on master")</f>
        <v>0</v>
      </c>
      <c r="F820" cm="1">
        <f t="array" ref="F820">_xlfn.XLOOKUP(C820,Account_Master!A:A,Account_Master!B:B,"Not on master")</f>
        <v>0</v>
      </c>
      <c r="G820" cm="1">
        <f t="array" ref="G820">_xlfn.XLOOKUP(C820,Account_Master!A:A,Account_Master!C:C,"Not on master")</f>
        <v>0</v>
      </c>
      <c r="H820" s="6">
        <v>0.4</v>
      </c>
      <c r="I820" s="6">
        <v>0</v>
      </c>
      <c r="J820" s="6">
        <f>I820-H820</f>
        <v>0</v>
      </c>
      <c r="K820" s="5">
        <f>IF(H820=0,"",J820/H820)</f>
        <v>0</v>
      </c>
      <c r="L820">
        <f>IF(OR(AND(H820=0,ABS(J820)&gt;=0.01),AND(H820&lt;&gt;0,ABS(K820)&gt;VarianceThreshold)),"Review","OK")</f>
        <v>0</v>
      </c>
      <c r="M820" t="s">
        <v>1100</v>
      </c>
    </row>
    <row r="821" spans="1:13">
      <c r="A821" t="s">
        <v>1</v>
      </c>
      <c r="B821" t="s">
        <v>193</v>
      </c>
      <c r="C821" t="s">
        <v>1010</v>
      </c>
      <c r="D821" t="s">
        <v>1104</v>
      </c>
      <c r="E821" cm="1">
        <f t="array" ref="E821">_xlfn.XLOOKUP(D821,SKU_Master!A:A,SKU_Master!B:B,"Not on master")</f>
        <v>0</v>
      </c>
      <c r="F821" cm="1">
        <f t="array" ref="F821">_xlfn.XLOOKUP(C821,Account_Master!A:A,Account_Master!B:B,"Not on master")</f>
        <v>0</v>
      </c>
      <c r="G821" cm="1">
        <f t="array" ref="G821">_xlfn.XLOOKUP(C821,Account_Master!A:A,Account_Master!C:C,"Not on master")</f>
        <v>0</v>
      </c>
      <c r="H821" s="6">
        <v>26</v>
      </c>
      <c r="I821" s="6">
        <v>0</v>
      </c>
      <c r="J821" s="6">
        <f>I821-H821</f>
        <v>0</v>
      </c>
      <c r="K821" s="5">
        <f>IF(H821=0,"",J821/H821)</f>
        <v>0</v>
      </c>
      <c r="L821">
        <f>IF(OR(AND(H821=0,ABS(J821)&gt;=0.01),AND(H821&lt;&gt;0,ABS(K821)&gt;VarianceThreshold)),"Review","OK")</f>
        <v>0</v>
      </c>
      <c r="M821" t="s">
        <v>1100</v>
      </c>
    </row>
    <row r="822" spans="1:13">
      <c r="A822" t="s">
        <v>1</v>
      </c>
      <c r="B822" t="s">
        <v>193</v>
      </c>
      <c r="C822" t="s">
        <v>1010</v>
      </c>
      <c r="D822" t="s">
        <v>1105</v>
      </c>
      <c r="E822" cm="1">
        <f t="array" ref="E822">_xlfn.XLOOKUP(D822,SKU_Master!A:A,SKU_Master!B:B,"Not on master")</f>
        <v>0</v>
      </c>
      <c r="F822" cm="1">
        <f t="array" ref="F822">_xlfn.XLOOKUP(C822,Account_Master!A:A,Account_Master!B:B,"Not on master")</f>
        <v>0</v>
      </c>
      <c r="G822" cm="1">
        <f t="array" ref="G822">_xlfn.XLOOKUP(C822,Account_Master!A:A,Account_Master!C:C,"Not on master")</f>
        <v>0</v>
      </c>
      <c r="H822" s="6">
        <v>9</v>
      </c>
      <c r="I822" s="6">
        <v>0</v>
      </c>
      <c r="J822" s="6">
        <f>I822-H822</f>
        <v>0</v>
      </c>
      <c r="K822" s="5">
        <f>IF(H822=0,"",J822/H822)</f>
        <v>0</v>
      </c>
      <c r="L822">
        <f>IF(OR(AND(H822=0,ABS(J822)&gt;=0.01),AND(H822&lt;&gt;0,ABS(K822)&gt;VarianceThreshold)),"Review","OK")</f>
        <v>0</v>
      </c>
      <c r="M822" t="s">
        <v>1100</v>
      </c>
    </row>
    <row r="823" spans="1:13">
      <c r="A823" t="s">
        <v>1</v>
      </c>
      <c r="B823" t="s">
        <v>193</v>
      </c>
      <c r="C823" t="s">
        <v>1043</v>
      </c>
      <c r="D823" t="s">
        <v>1106</v>
      </c>
      <c r="E823" cm="1">
        <f t="array" ref="E823">_xlfn.XLOOKUP(D823,SKU_Master!A:A,SKU_Master!B:B,"Not on master")</f>
        <v>0</v>
      </c>
      <c r="F823" cm="1">
        <f t="array" ref="F823">_xlfn.XLOOKUP(C823,Account_Master!A:A,Account_Master!B:B,"Not on master")</f>
        <v>0</v>
      </c>
      <c r="G823" cm="1">
        <f t="array" ref="G823">_xlfn.XLOOKUP(C823,Account_Master!A:A,Account_Master!C:C,"Not on master")</f>
        <v>0</v>
      </c>
      <c r="H823" s="6">
        <v>0.4</v>
      </c>
      <c r="I823" s="6">
        <v>0</v>
      </c>
      <c r="J823" s="6">
        <f>I823-H823</f>
        <v>0</v>
      </c>
      <c r="K823" s="5">
        <f>IF(H823=0,"",J823/H823)</f>
        <v>0</v>
      </c>
      <c r="L823">
        <f>IF(OR(AND(H823=0,ABS(J823)&gt;=0.01),AND(H823&lt;&gt;0,ABS(K823)&gt;VarianceThreshold)),"Review","OK")</f>
        <v>0</v>
      </c>
      <c r="M823" t="s">
        <v>1100</v>
      </c>
    </row>
    <row r="824" spans="1:13">
      <c r="A824" t="s">
        <v>1</v>
      </c>
      <c r="B824" t="s">
        <v>193</v>
      </c>
      <c r="C824" t="s">
        <v>1048</v>
      </c>
      <c r="D824" t="s">
        <v>1107</v>
      </c>
      <c r="E824" cm="1">
        <f t="array" ref="E824">_xlfn.XLOOKUP(D824,SKU_Master!A:A,SKU_Master!B:B,"Not on master")</f>
        <v>0</v>
      </c>
      <c r="F824" cm="1">
        <f t="array" ref="F824">_xlfn.XLOOKUP(C824,Account_Master!A:A,Account_Master!B:B,"Not on master")</f>
        <v>0</v>
      </c>
      <c r="G824" cm="1">
        <f t="array" ref="G824">_xlfn.XLOOKUP(C824,Account_Master!A:A,Account_Master!C:C,"Not on master")</f>
        <v>0</v>
      </c>
      <c r="H824" s="6">
        <v>2</v>
      </c>
      <c r="I824" s="6">
        <v>0</v>
      </c>
      <c r="J824" s="6">
        <f>I824-H824</f>
        <v>0</v>
      </c>
      <c r="K824" s="5">
        <f>IF(H824=0,"",J824/H824)</f>
        <v>0</v>
      </c>
      <c r="L824">
        <f>IF(OR(AND(H824=0,ABS(J824)&gt;=0.01),AND(H824&lt;&gt;0,ABS(K824)&gt;VarianceThreshold)),"Review","OK")</f>
        <v>0</v>
      </c>
      <c r="M824" t="s">
        <v>1100</v>
      </c>
    </row>
    <row r="825" spans="1:13">
      <c r="A825" t="s">
        <v>1</v>
      </c>
      <c r="B825" t="s">
        <v>193</v>
      </c>
      <c r="C825" t="s">
        <v>1018</v>
      </c>
      <c r="D825" t="s">
        <v>1108</v>
      </c>
      <c r="E825" cm="1">
        <f t="array" ref="E825">_xlfn.XLOOKUP(D825,SKU_Master!A:A,SKU_Master!B:B,"Not on master")</f>
        <v>0</v>
      </c>
      <c r="F825" cm="1">
        <f t="array" ref="F825">_xlfn.XLOOKUP(C825,Account_Master!A:A,Account_Master!B:B,"Not on master")</f>
        <v>0</v>
      </c>
      <c r="G825" cm="1">
        <f t="array" ref="G825">_xlfn.XLOOKUP(C825,Account_Master!A:A,Account_Master!C:C,"Not on master")</f>
        <v>0</v>
      </c>
      <c r="H825" s="6">
        <v>84</v>
      </c>
      <c r="I825" s="6">
        <v>0</v>
      </c>
      <c r="J825" s="6">
        <f>I825-H825</f>
        <v>0</v>
      </c>
      <c r="K825" s="5">
        <f>IF(H825=0,"",J825/H825)</f>
        <v>0</v>
      </c>
      <c r="L825">
        <f>IF(OR(AND(H825=0,ABS(J825)&gt;=0.01),AND(H825&lt;&gt;0,ABS(K825)&gt;VarianceThreshold)),"Review","OK")</f>
        <v>0</v>
      </c>
      <c r="M825" t="s">
        <v>1100</v>
      </c>
    </row>
    <row r="826" spans="1:13">
      <c r="A826" t="s">
        <v>1</v>
      </c>
      <c r="B826" t="s">
        <v>193</v>
      </c>
      <c r="C826" t="s">
        <v>1109</v>
      </c>
      <c r="D826" t="s">
        <v>127</v>
      </c>
      <c r="E826" cm="1">
        <f t="array" ref="E826">_xlfn.XLOOKUP(D826,SKU_Master!A:A,SKU_Master!B:B,"Not on master")</f>
        <v>0</v>
      </c>
      <c r="F826" cm="1">
        <f t="array" ref="F826">_xlfn.XLOOKUP(C826,Account_Master!A:A,Account_Master!B:B,"Not on master")</f>
        <v>0</v>
      </c>
      <c r="G826" cm="1">
        <f t="array" ref="G826">_xlfn.XLOOKUP(C826,Account_Master!A:A,Account_Master!C:C,"Not on master")</f>
        <v>0</v>
      </c>
      <c r="H826" s="6">
        <v>143.25</v>
      </c>
      <c r="I826" s="6">
        <v>0</v>
      </c>
      <c r="J826" s="6">
        <f>I826-H826</f>
        <v>0</v>
      </c>
      <c r="K826" s="5">
        <f>IF(H826=0,"",J826/H826)</f>
        <v>0</v>
      </c>
      <c r="L826">
        <f>IF(OR(AND(H826=0,ABS(J826)&gt;=0.01),AND(H826&lt;&gt;0,ABS(K826)&gt;VarianceThreshold)),"Review","OK")</f>
        <v>0</v>
      </c>
      <c r="M826" t="s">
        <v>1100</v>
      </c>
    </row>
    <row r="827" spans="1:13">
      <c r="A827" t="s">
        <v>1</v>
      </c>
      <c r="B827" t="s">
        <v>193</v>
      </c>
      <c r="C827" t="s">
        <v>1065</v>
      </c>
      <c r="D827" t="s">
        <v>1110</v>
      </c>
      <c r="E827" cm="1">
        <f t="array" ref="E827">_xlfn.XLOOKUP(D827,SKU_Master!A:A,SKU_Master!B:B,"Not on master")</f>
        <v>0</v>
      </c>
      <c r="F827" cm="1">
        <f t="array" ref="F827">_xlfn.XLOOKUP(C827,Account_Master!A:A,Account_Master!B:B,"Not on master")</f>
        <v>0</v>
      </c>
      <c r="G827" cm="1">
        <f t="array" ref="G827">_xlfn.XLOOKUP(C827,Account_Master!A:A,Account_Master!C:C,"Not on master")</f>
        <v>0</v>
      </c>
      <c r="H827" s="6">
        <v>287</v>
      </c>
      <c r="I827" s="6">
        <v>0</v>
      </c>
      <c r="J827" s="6">
        <f>I827-H827</f>
        <v>0</v>
      </c>
      <c r="K827" s="5">
        <f>IF(H827=0,"",J827/H827)</f>
        <v>0</v>
      </c>
      <c r="L827">
        <f>IF(OR(AND(H827=0,ABS(J827)&gt;=0.01),AND(H827&lt;&gt;0,ABS(K827)&gt;VarianceThreshold)),"Review","OK")</f>
        <v>0</v>
      </c>
      <c r="M827" t="s">
        <v>1100</v>
      </c>
    </row>
    <row r="828" spans="1:13">
      <c r="A828" t="s">
        <v>1</v>
      </c>
      <c r="B828" t="s">
        <v>193</v>
      </c>
      <c r="C828" t="s">
        <v>1111</v>
      </c>
      <c r="D828" t="s">
        <v>744</v>
      </c>
      <c r="E828" cm="1">
        <f t="array" ref="E828">_xlfn.XLOOKUP(D828,SKU_Master!A:A,SKU_Master!B:B,"Not on master")</f>
        <v>0</v>
      </c>
      <c r="F828" cm="1">
        <f t="array" ref="F828">_xlfn.XLOOKUP(C828,Account_Master!A:A,Account_Master!B:B,"Not on master")</f>
        <v>0</v>
      </c>
      <c r="G828" cm="1">
        <f t="array" ref="G828">_xlfn.XLOOKUP(C828,Account_Master!A:A,Account_Master!C:C,"Not on master")</f>
        <v>0</v>
      </c>
      <c r="H828" s="6">
        <v>64.95</v>
      </c>
      <c r="I828" s="6">
        <v>0</v>
      </c>
      <c r="J828" s="6">
        <f>I828-H828</f>
        <v>0</v>
      </c>
      <c r="K828" s="5">
        <f>IF(H828=0,"",J828/H828)</f>
        <v>0</v>
      </c>
      <c r="L828">
        <f>IF(OR(AND(H828=0,ABS(J828)&gt;=0.01),AND(H828&lt;&gt;0,ABS(K828)&gt;VarianceThreshold)),"Review","OK")</f>
        <v>0</v>
      </c>
      <c r="M828" t="s">
        <v>1100</v>
      </c>
    </row>
    <row r="829" spans="1:13">
      <c r="A829" t="s">
        <v>1</v>
      </c>
      <c r="B829" t="s">
        <v>193</v>
      </c>
      <c r="C829" t="s">
        <v>1112</v>
      </c>
      <c r="D829" t="s">
        <v>1113</v>
      </c>
      <c r="E829" cm="1">
        <f t="array" ref="E829">_xlfn.XLOOKUP(D829,SKU_Master!A:A,SKU_Master!B:B,"Not on master")</f>
        <v>0</v>
      </c>
      <c r="F829" cm="1">
        <f t="array" ref="F829">_xlfn.XLOOKUP(C829,Account_Master!A:A,Account_Master!B:B,"Not on master")</f>
        <v>0</v>
      </c>
      <c r="G829" cm="1">
        <f t="array" ref="G829">_xlfn.XLOOKUP(C829,Account_Master!A:A,Account_Master!C:C,"Not on master")</f>
        <v>0</v>
      </c>
      <c r="H829" s="6">
        <v>3.6</v>
      </c>
      <c r="I829" s="6">
        <v>0</v>
      </c>
      <c r="J829" s="6">
        <f>I829-H829</f>
        <v>0</v>
      </c>
      <c r="K829" s="5">
        <f>IF(H829=0,"",J829/H829)</f>
        <v>0</v>
      </c>
      <c r="L829">
        <f>IF(OR(AND(H829=0,ABS(J829)&gt;=0.01),AND(H829&lt;&gt;0,ABS(K829)&gt;VarianceThreshold)),"Review","OK")</f>
        <v>0</v>
      </c>
      <c r="M829" t="s">
        <v>1100</v>
      </c>
    </row>
    <row r="830" spans="1:13">
      <c r="A830" t="s">
        <v>1</v>
      </c>
      <c r="B830" t="s">
        <v>193</v>
      </c>
      <c r="C830" t="s">
        <v>1041</v>
      </c>
      <c r="D830" t="s">
        <v>477</v>
      </c>
      <c r="E830" cm="1">
        <f t="array" ref="E830">_xlfn.XLOOKUP(D830,SKU_Master!A:A,SKU_Master!B:B,"Not on master")</f>
        <v>0</v>
      </c>
      <c r="F830" cm="1">
        <f t="array" ref="F830">_xlfn.XLOOKUP(C830,Account_Master!A:A,Account_Master!B:B,"Not on master")</f>
        <v>0</v>
      </c>
      <c r="G830" cm="1">
        <f t="array" ref="G830">_xlfn.XLOOKUP(C830,Account_Master!A:A,Account_Master!C:C,"Not on master")</f>
        <v>0</v>
      </c>
      <c r="H830" s="6">
        <v>15</v>
      </c>
      <c r="I830" s="6">
        <v>0</v>
      </c>
      <c r="J830" s="6">
        <f>I830-H830</f>
        <v>0</v>
      </c>
      <c r="K830" s="5">
        <f>IF(H830=0,"",J830/H830)</f>
        <v>0</v>
      </c>
      <c r="L830">
        <f>IF(OR(AND(H830=0,ABS(J830)&gt;=0.01),AND(H830&lt;&gt;0,ABS(K830)&gt;VarianceThreshold)),"Review","OK")</f>
        <v>0</v>
      </c>
      <c r="M830" t="s">
        <v>1100</v>
      </c>
    </row>
    <row r="831" spans="1:13">
      <c r="A831" t="s">
        <v>1</v>
      </c>
      <c r="B831" t="s">
        <v>205</v>
      </c>
      <c r="C831" t="s">
        <v>1010</v>
      </c>
      <c r="D831" t="s">
        <v>1114</v>
      </c>
      <c r="E831" cm="1">
        <f t="array" ref="E831">_xlfn.XLOOKUP(D831,SKU_Master!A:A,SKU_Master!B:B,"Not on master")</f>
        <v>0</v>
      </c>
      <c r="F831" cm="1">
        <f t="array" ref="F831">_xlfn.XLOOKUP(C831,Account_Master!A:A,Account_Master!B:B,"Not on master")</f>
        <v>0</v>
      </c>
      <c r="G831" cm="1">
        <f t="array" ref="G831">_xlfn.XLOOKUP(C831,Account_Master!A:A,Account_Master!C:C,"Not on master")</f>
        <v>0</v>
      </c>
      <c r="H831" s="6">
        <v>221</v>
      </c>
      <c r="I831" s="6">
        <v>0</v>
      </c>
      <c r="J831" s="6">
        <f>I831-H831</f>
        <v>0</v>
      </c>
      <c r="K831" s="5">
        <f>IF(H831=0,"",J831/H831)</f>
        <v>0</v>
      </c>
      <c r="L831">
        <f>IF(OR(AND(H831=0,ABS(J831)&gt;=0.01),AND(H831&lt;&gt;0,ABS(K831)&gt;VarianceThreshold)),"Review","OK")</f>
        <v>0</v>
      </c>
      <c r="M831" t="s">
        <v>1100</v>
      </c>
    </row>
    <row r="832" spans="1:13">
      <c r="A832" t="s">
        <v>1</v>
      </c>
      <c r="B832" t="s">
        <v>205</v>
      </c>
      <c r="C832" t="s">
        <v>1115</v>
      </c>
      <c r="D832" t="s">
        <v>1116</v>
      </c>
      <c r="E832" cm="1">
        <f t="array" ref="E832">_xlfn.XLOOKUP(D832,SKU_Master!A:A,SKU_Master!B:B,"Not on master")</f>
        <v>0</v>
      </c>
      <c r="F832" cm="1">
        <f t="array" ref="F832">_xlfn.XLOOKUP(C832,Account_Master!A:A,Account_Master!B:B,"Not on master")</f>
        <v>0</v>
      </c>
      <c r="G832" cm="1">
        <f t="array" ref="G832">_xlfn.XLOOKUP(C832,Account_Master!A:A,Account_Master!C:C,"Not on master")</f>
        <v>0</v>
      </c>
      <c r="H832" s="6">
        <v>20.25</v>
      </c>
      <c r="I832" s="6">
        <v>0</v>
      </c>
      <c r="J832" s="6">
        <f>I832-H832</f>
        <v>0</v>
      </c>
      <c r="K832" s="5">
        <f>IF(H832=0,"",J832/H832)</f>
        <v>0</v>
      </c>
      <c r="L832">
        <f>IF(OR(AND(H832=0,ABS(J832)&gt;=0.01),AND(H832&lt;&gt;0,ABS(K832)&gt;VarianceThreshold)),"Review","OK")</f>
        <v>0</v>
      </c>
      <c r="M832" t="s">
        <v>1100</v>
      </c>
    </row>
    <row r="833" spans="1:13">
      <c r="A833" t="s">
        <v>1</v>
      </c>
      <c r="B833" t="s">
        <v>205</v>
      </c>
      <c r="C833" t="s">
        <v>1041</v>
      </c>
      <c r="D833" t="s">
        <v>692</v>
      </c>
      <c r="E833" cm="1">
        <f t="array" ref="E833">_xlfn.XLOOKUP(D833,SKU_Master!A:A,SKU_Master!B:B,"Not on master")</f>
        <v>0</v>
      </c>
      <c r="F833" cm="1">
        <f t="array" ref="F833">_xlfn.XLOOKUP(C833,Account_Master!A:A,Account_Master!B:B,"Not on master")</f>
        <v>0</v>
      </c>
      <c r="G833" cm="1">
        <f t="array" ref="G833">_xlfn.XLOOKUP(C833,Account_Master!A:A,Account_Master!C:C,"Not on master")</f>
        <v>0</v>
      </c>
      <c r="H833" s="6">
        <v>2.25</v>
      </c>
      <c r="I833" s="6">
        <v>0</v>
      </c>
      <c r="J833" s="6">
        <f>I833-H833</f>
        <v>0</v>
      </c>
      <c r="K833" s="5">
        <f>IF(H833=0,"",J833/H833)</f>
        <v>0</v>
      </c>
      <c r="L833">
        <f>IF(OR(AND(H833=0,ABS(J833)&gt;=0.01),AND(H833&lt;&gt;0,ABS(K833)&gt;VarianceThreshold)),"Review","OK")</f>
        <v>0</v>
      </c>
      <c r="M833" t="s">
        <v>1100</v>
      </c>
    </row>
    <row r="834" spans="1:13">
      <c r="A834" t="s">
        <v>1</v>
      </c>
      <c r="B834" t="s">
        <v>205</v>
      </c>
      <c r="C834" t="s">
        <v>1023</v>
      </c>
      <c r="D834" t="s">
        <v>939</v>
      </c>
      <c r="E834" cm="1">
        <f t="array" ref="E834">_xlfn.XLOOKUP(D834,SKU_Master!A:A,SKU_Master!B:B,"Not on master")</f>
        <v>0</v>
      </c>
      <c r="F834" cm="1">
        <f t="array" ref="F834">_xlfn.XLOOKUP(C834,Account_Master!A:A,Account_Master!B:B,"Not on master")</f>
        <v>0</v>
      </c>
      <c r="G834" cm="1">
        <f t="array" ref="G834">_xlfn.XLOOKUP(C834,Account_Master!A:A,Account_Master!C:C,"Not on master")</f>
        <v>0</v>
      </c>
      <c r="H834" s="6">
        <v>11.25</v>
      </c>
      <c r="I834" s="6">
        <v>0</v>
      </c>
      <c r="J834" s="6">
        <f>I834-H834</f>
        <v>0</v>
      </c>
      <c r="K834" s="5">
        <f>IF(H834=0,"",J834/H834)</f>
        <v>0</v>
      </c>
      <c r="L834">
        <f>IF(OR(AND(H834=0,ABS(J834)&gt;=0.01),AND(H834&lt;&gt;0,ABS(K834)&gt;VarianceThreshold)),"Review","OK")</f>
        <v>0</v>
      </c>
      <c r="M834" t="s">
        <v>1100</v>
      </c>
    </row>
    <row r="835" spans="1:13">
      <c r="A835" t="s">
        <v>1</v>
      </c>
      <c r="B835" t="s">
        <v>205</v>
      </c>
      <c r="C835" t="s">
        <v>1117</v>
      </c>
      <c r="D835" t="s">
        <v>696</v>
      </c>
      <c r="E835" cm="1">
        <f t="array" ref="E835">_xlfn.XLOOKUP(D835,SKU_Master!A:A,SKU_Master!B:B,"Not on master")</f>
        <v>0</v>
      </c>
      <c r="F835" cm="1">
        <f t="array" ref="F835">_xlfn.XLOOKUP(C835,Account_Master!A:A,Account_Master!B:B,"Not on master")</f>
        <v>0</v>
      </c>
      <c r="G835" cm="1">
        <f t="array" ref="G835">_xlfn.XLOOKUP(C835,Account_Master!A:A,Account_Master!C:C,"Not on master")</f>
        <v>0</v>
      </c>
      <c r="H835" s="6">
        <v>0.75</v>
      </c>
      <c r="I835" s="6">
        <v>0</v>
      </c>
      <c r="J835" s="6">
        <f>I835-H835</f>
        <v>0</v>
      </c>
      <c r="K835" s="5">
        <f>IF(H835=0,"",J835/H835)</f>
        <v>0</v>
      </c>
      <c r="L835">
        <f>IF(OR(AND(H835=0,ABS(J835)&gt;=0.01),AND(H835&lt;&gt;0,ABS(K835)&gt;VarianceThreshold)),"Review","OK")</f>
        <v>0</v>
      </c>
      <c r="M835" t="s">
        <v>1100</v>
      </c>
    </row>
    <row r="836" spans="1:13">
      <c r="A836" t="s">
        <v>1</v>
      </c>
      <c r="B836" t="s">
        <v>205</v>
      </c>
      <c r="C836" t="s">
        <v>1013</v>
      </c>
      <c r="D836" t="s">
        <v>1118</v>
      </c>
      <c r="E836" cm="1">
        <f t="array" ref="E836">_xlfn.XLOOKUP(D836,SKU_Master!A:A,SKU_Master!B:B,"Not on master")</f>
        <v>0</v>
      </c>
      <c r="F836" cm="1">
        <f t="array" ref="F836">_xlfn.XLOOKUP(C836,Account_Master!A:A,Account_Master!B:B,"Not on master")</f>
        <v>0</v>
      </c>
      <c r="G836" cm="1">
        <f t="array" ref="G836">_xlfn.XLOOKUP(C836,Account_Master!A:A,Account_Master!C:C,"Not on master")</f>
        <v>0</v>
      </c>
      <c r="H836" s="6">
        <v>12</v>
      </c>
      <c r="I836" s="6">
        <v>0</v>
      </c>
      <c r="J836" s="6">
        <f>I836-H836</f>
        <v>0</v>
      </c>
      <c r="K836" s="5">
        <f>IF(H836=0,"",J836/H836)</f>
        <v>0</v>
      </c>
      <c r="L836">
        <f>IF(OR(AND(H836=0,ABS(J836)&gt;=0.01),AND(H836&lt;&gt;0,ABS(K836)&gt;VarianceThreshold)),"Review","OK")</f>
        <v>0</v>
      </c>
      <c r="M836" t="s">
        <v>1100</v>
      </c>
    </row>
    <row r="837" spans="1:13">
      <c r="A837" t="s">
        <v>1</v>
      </c>
      <c r="B837" t="s">
        <v>205</v>
      </c>
      <c r="C837" t="s">
        <v>1053</v>
      </c>
      <c r="D837" t="s">
        <v>1119</v>
      </c>
      <c r="E837" cm="1">
        <f t="array" ref="E837">_xlfn.XLOOKUP(D837,SKU_Master!A:A,SKU_Master!B:B,"Not on master")</f>
        <v>0</v>
      </c>
      <c r="F837" cm="1">
        <f t="array" ref="F837">_xlfn.XLOOKUP(C837,Account_Master!A:A,Account_Master!B:B,"Not on master")</f>
        <v>0</v>
      </c>
      <c r="G837" cm="1">
        <f t="array" ref="G837">_xlfn.XLOOKUP(C837,Account_Master!A:A,Account_Master!C:C,"Not on master")</f>
        <v>0</v>
      </c>
      <c r="H837" s="6">
        <v>84</v>
      </c>
      <c r="I837" s="6">
        <v>0</v>
      </c>
      <c r="J837" s="6">
        <f>I837-H837</f>
        <v>0</v>
      </c>
      <c r="K837" s="5">
        <f>IF(H837=0,"",J837/H837)</f>
        <v>0</v>
      </c>
      <c r="L837">
        <f>IF(OR(AND(H837=0,ABS(J837)&gt;=0.01),AND(H837&lt;&gt;0,ABS(K837)&gt;VarianceThreshold)),"Review","OK")</f>
        <v>0</v>
      </c>
      <c r="M837" t="s">
        <v>1100</v>
      </c>
    </row>
    <row r="838" spans="1:13">
      <c r="A838" t="s">
        <v>1</v>
      </c>
      <c r="B838" t="s">
        <v>205</v>
      </c>
      <c r="C838" t="s">
        <v>1041</v>
      </c>
      <c r="D838" t="s">
        <v>1120</v>
      </c>
      <c r="E838" cm="1">
        <f t="array" ref="E838">_xlfn.XLOOKUP(D838,SKU_Master!A:A,SKU_Master!B:B,"Not on master")</f>
        <v>0</v>
      </c>
      <c r="F838" cm="1">
        <f t="array" ref="F838">_xlfn.XLOOKUP(C838,Account_Master!A:A,Account_Master!B:B,"Not on master")</f>
        <v>0</v>
      </c>
      <c r="G838" cm="1">
        <f t="array" ref="G838">_xlfn.XLOOKUP(C838,Account_Master!A:A,Account_Master!C:C,"Not on master")</f>
        <v>0</v>
      </c>
      <c r="H838" s="6">
        <v>10.5</v>
      </c>
      <c r="I838" s="6">
        <v>0</v>
      </c>
      <c r="J838" s="6">
        <f>I838-H838</f>
        <v>0</v>
      </c>
      <c r="K838" s="5">
        <f>IF(H838=0,"",J838/H838)</f>
        <v>0</v>
      </c>
      <c r="L838">
        <f>IF(OR(AND(H838=0,ABS(J838)&gt;=0.01),AND(H838&lt;&gt;0,ABS(K838)&gt;VarianceThreshold)),"Review","OK")</f>
        <v>0</v>
      </c>
      <c r="M838" t="s">
        <v>1100</v>
      </c>
    </row>
    <row r="839" spans="1:13">
      <c r="A839" t="s">
        <v>1</v>
      </c>
      <c r="B839" t="s">
        <v>205</v>
      </c>
      <c r="C839" t="s">
        <v>1121</v>
      </c>
      <c r="D839" t="s">
        <v>896</v>
      </c>
      <c r="E839" cm="1">
        <f t="array" ref="E839">_xlfn.XLOOKUP(D839,SKU_Master!A:A,SKU_Master!B:B,"Not on master")</f>
        <v>0</v>
      </c>
      <c r="F839" cm="1">
        <f t="array" ref="F839">_xlfn.XLOOKUP(C839,Account_Master!A:A,Account_Master!B:B,"Not on master")</f>
        <v>0</v>
      </c>
      <c r="G839" cm="1">
        <f t="array" ref="G839">_xlfn.XLOOKUP(C839,Account_Master!A:A,Account_Master!C:C,"Not on master")</f>
        <v>0</v>
      </c>
      <c r="H839" s="6">
        <v>13.5</v>
      </c>
      <c r="I839" s="6">
        <v>0</v>
      </c>
      <c r="J839" s="6">
        <f>I839-H839</f>
        <v>0</v>
      </c>
      <c r="K839" s="5">
        <f>IF(H839=0,"",J839/H839)</f>
        <v>0</v>
      </c>
      <c r="L839">
        <f>IF(OR(AND(H839=0,ABS(J839)&gt;=0.01),AND(H839&lt;&gt;0,ABS(K839)&gt;VarianceThreshold)),"Review","OK")</f>
        <v>0</v>
      </c>
      <c r="M839" t="s">
        <v>1100</v>
      </c>
    </row>
    <row r="840" spans="1:13">
      <c r="A840" t="s">
        <v>1</v>
      </c>
      <c r="B840" t="s">
        <v>205</v>
      </c>
      <c r="C840" t="s">
        <v>1122</v>
      </c>
      <c r="D840" t="s">
        <v>1123</v>
      </c>
      <c r="E840" cm="1">
        <f t="array" ref="E840">_xlfn.XLOOKUP(D840,SKU_Master!A:A,SKU_Master!B:B,"Not on master")</f>
        <v>0</v>
      </c>
      <c r="F840" cm="1">
        <f t="array" ref="F840">_xlfn.XLOOKUP(C840,Account_Master!A:A,Account_Master!B:B,"Not on master")</f>
        <v>0</v>
      </c>
      <c r="G840" cm="1">
        <f t="array" ref="G840">_xlfn.XLOOKUP(C840,Account_Master!A:A,Account_Master!C:C,"Not on master")</f>
        <v>0</v>
      </c>
      <c r="H840" s="6">
        <v>4.8</v>
      </c>
      <c r="I840" s="6">
        <v>0</v>
      </c>
      <c r="J840" s="6">
        <f>I840-H840</f>
        <v>0</v>
      </c>
      <c r="K840" s="5">
        <f>IF(H840=0,"",J840/H840)</f>
        <v>0</v>
      </c>
      <c r="L840">
        <f>IF(OR(AND(H840=0,ABS(J840)&gt;=0.01),AND(H840&lt;&gt;0,ABS(K840)&gt;VarianceThreshold)),"Review","OK")</f>
        <v>0</v>
      </c>
      <c r="M840" t="s">
        <v>1100</v>
      </c>
    </row>
    <row r="841" spans="1:13">
      <c r="A841" t="s">
        <v>1</v>
      </c>
      <c r="B841" t="s">
        <v>205</v>
      </c>
      <c r="C841" t="s">
        <v>1032</v>
      </c>
      <c r="D841" t="s">
        <v>1124</v>
      </c>
      <c r="E841" cm="1">
        <f t="array" ref="E841">_xlfn.XLOOKUP(D841,SKU_Master!A:A,SKU_Master!B:B,"Not on master")</f>
        <v>0</v>
      </c>
      <c r="F841" cm="1">
        <f t="array" ref="F841">_xlfn.XLOOKUP(C841,Account_Master!A:A,Account_Master!B:B,"Not on master")</f>
        <v>0</v>
      </c>
      <c r="G841" cm="1">
        <f t="array" ref="G841">_xlfn.XLOOKUP(C841,Account_Master!A:A,Account_Master!C:C,"Not on master")</f>
        <v>0</v>
      </c>
      <c r="H841" s="6">
        <v>100</v>
      </c>
      <c r="I841" s="6">
        <v>0</v>
      </c>
      <c r="J841" s="6">
        <f>I841-H841</f>
        <v>0</v>
      </c>
      <c r="K841" s="5">
        <f>IF(H841=0,"",J841/H841)</f>
        <v>0</v>
      </c>
      <c r="L841">
        <f>IF(OR(AND(H841=0,ABS(J841)&gt;=0.01),AND(H841&lt;&gt;0,ABS(K841)&gt;VarianceThreshold)),"Review","OK")</f>
        <v>0</v>
      </c>
      <c r="M841" t="s">
        <v>1100</v>
      </c>
    </row>
    <row r="842" spans="1:13">
      <c r="A842" t="s">
        <v>1</v>
      </c>
      <c r="B842" t="s">
        <v>205</v>
      </c>
      <c r="C842" t="s">
        <v>1125</v>
      </c>
      <c r="D842" t="s">
        <v>1126</v>
      </c>
      <c r="E842" cm="1">
        <f t="array" ref="E842">_xlfn.XLOOKUP(D842,SKU_Master!A:A,SKU_Master!B:B,"Not on master")</f>
        <v>0</v>
      </c>
      <c r="F842" cm="1">
        <f t="array" ref="F842">_xlfn.XLOOKUP(C842,Account_Master!A:A,Account_Master!B:B,"Not on master")</f>
        <v>0</v>
      </c>
      <c r="G842" cm="1">
        <f t="array" ref="G842">_xlfn.XLOOKUP(C842,Account_Master!A:A,Account_Master!C:C,"Not on master")</f>
        <v>0</v>
      </c>
      <c r="H842" s="6">
        <v>0.05</v>
      </c>
      <c r="I842" s="6">
        <v>0</v>
      </c>
      <c r="J842" s="6">
        <f>I842-H842</f>
        <v>0</v>
      </c>
      <c r="K842" s="5">
        <f>IF(H842=0,"",J842/H842)</f>
        <v>0</v>
      </c>
      <c r="L842">
        <f>IF(OR(AND(H842=0,ABS(J842)&gt;=0.01),AND(H842&lt;&gt;0,ABS(K842)&gt;VarianceThreshold)),"Review","OK")</f>
        <v>0</v>
      </c>
      <c r="M842" t="s">
        <v>1100</v>
      </c>
    </row>
    <row r="843" spans="1:13">
      <c r="A843" t="s">
        <v>1</v>
      </c>
      <c r="B843" t="s">
        <v>205</v>
      </c>
      <c r="C843" t="s">
        <v>1018</v>
      </c>
      <c r="D843" t="s">
        <v>1127</v>
      </c>
      <c r="E843" cm="1">
        <f t="array" ref="E843">_xlfn.XLOOKUP(D843,SKU_Master!A:A,SKU_Master!B:B,"Not on master")</f>
        <v>0</v>
      </c>
      <c r="F843" cm="1">
        <f t="array" ref="F843">_xlfn.XLOOKUP(C843,Account_Master!A:A,Account_Master!B:B,"Not on master")</f>
        <v>0</v>
      </c>
      <c r="G843" cm="1">
        <f t="array" ref="G843">_xlfn.XLOOKUP(C843,Account_Master!A:A,Account_Master!C:C,"Not on master")</f>
        <v>0</v>
      </c>
      <c r="H843" s="6">
        <v>4.5</v>
      </c>
      <c r="I843" s="6">
        <v>0</v>
      </c>
      <c r="J843" s="6">
        <f>I843-H843</f>
        <v>0</v>
      </c>
      <c r="K843" s="5">
        <f>IF(H843=0,"",J843/H843)</f>
        <v>0</v>
      </c>
      <c r="L843">
        <f>IF(OR(AND(H843=0,ABS(J843)&gt;=0.01),AND(H843&lt;&gt;0,ABS(K843)&gt;VarianceThreshold)),"Review","OK")</f>
        <v>0</v>
      </c>
      <c r="M843" t="s">
        <v>1100</v>
      </c>
    </row>
    <row r="844" spans="1:13">
      <c r="A844" t="s">
        <v>1</v>
      </c>
      <c r="B844" t="s">
        <v>205</v>
      </c>
      <c r="C844" t="s">
        <v>1128</v>
      </c>
      <c r="D844" t="s">
        <v>1129</v>
      </c>
      <c r="E844" cm="1">
        <f t="array" ref="E844">_xlfn.XLOOKUP(D844,SKU_Master!A:A,SKU_Master!B:B,"Not on master")</f>
        <v>0</v>
      </c>
      <c r="F844" cm="1">
        <f t="array" ref="F844">_xlfn.XLOOKUP(C844,Account_Master!A:A,Account_Master!B:B,"Not on master")</f>
        <v>0</v>
      </c>
      <c r="G844" cm="1">
        <f t="array" ref="G844">_xlfn.XLOOKUP(C844,Account_Master!A:A,Account_Master!C:C,"Not on master")</f>
        <v>0</v>
      </c>
      <c r="H844" s="6">
        <v>4.5</v>
      </c>
      <c r="I844" s="6">
        <v>0</v>
      </c>
      <c r="J844" s="6">
        <f>I844-H844</f>
        <v>0</v>
      </c>
      <c r="K844" s="5">
        <f>IF(H844=0,"",J844/H844)</f>
        <v>0</v>
      </c>
      <c r="L844">
        <f>IF(OR(AND(H844=0,ABS(J844)&gt;=0.01),AND(H844&lt;&gt;0,ABS(K844)&gt;VarianceThreshold)),"Review","OK")</f>
        <v>0</v>
      </c>
      <c r="M844" t="s">
        <v>1100</v>
      </c>
    </row>
    <row r="845" spans="1:13">
      <c r="A845" t="s">
        <v>1</v>
      </c>
      <c r="B845" t="s">
        <v>216</v>
      </c>
      <c r="C845" t="s">
        <v>1010</v>
      </c>
      <c r="D845" t="s">
        <v>1130</v>
      </c>
      <c r="E845" cm="1">
        <f t="array" ref="E845">_xlfn.XLOOKUP(D845,SKU_Master!A:A,SKU_Master!B:B,"Not on master")</f>
        <v>0</v>
      </c>
      <c r="F845" cm="1">
        <f t="array" ref="F845">_xlfn.XLOOKUP(C845,Account_Master!A:A,Account_Master!B:B,"Not on master")</f>
        <v>0</v>
      </c>
      <c r="G845" cm="1">
        <f t="array" ref="G845">_xlfn.XLOOKUP(C845,Account_Master!A:A,Account_Master!C:C,"Not on master")</f>
        <v>0</v>
      </c>
      <c r="H845" s="6">
        <v>9.75</v>
      </c>
      <c r="I845" s="6">
        <v>0</v>
      </c>
      <c r="J845" s="6">
        <f>I845-H845</f>
        <v>0</v>
      </c>
      <c r="K845" s="5">
        <f>IF(H845=0,"",J845/H845)</f>
        <v>0</v>
      </c>
      <c r="L845">
        <f>IF(OR(AND(H845=0,ABS(J845)&gt;=0.01),AND(H845&lt;&gt;0,ABS(K845)&gt;VarianceThreshold)),"Review","OK")</f>
        <v>0</v>
      </c>
      <c r="M845" t="s">
        <v>1100</v>
      </c>
    </row>
    <row r="846" spans="1:13">
      <c r="A846" t="s">
        <v>1</v>
      </c>
      <c r="B846" t="s">
        <v>216</v>
      </c>
      <c r="C846" t="s">
        <v>1041</v>
      </c>
      <c r="D846" t="s">
        <v>1131</v>
      </c>
      <c r="E846" cm="1">
        <f t="array" ref="E846">_xlfn.XLOOKUP(D846,SKU_Master!A:A,SKU_Master!B:B,"Not on master")</f>
        <v>0</v>
      </c>
      <c r="F846" cm="1">
        <f t="array" ref="F846">_xlfn.XLOOKUP(C846,Account_Master!A:A,Account_Master!B:B,"Not on master")</f>
        <v>0</v>
      </c>
      <c r="G846" cm="1">
        <f t="array" ref="G846">_xlfn.XLOOKUP(C846,Account_Master!A:A,Account_Master!C:C,"Not on master")</f>
        <v>0</v>
      </c>
      <c r="H846" s="6">
        <v>3.75</v>
      </c>
      <c r="I846" s="6">
        <v>0</v>
      </c>
      <c r="J846" s="6">
        <f>I846-H846</f>
        <v>0</v>
      </c>
      <c r="K846" s="5">
        <f>IF(H846=0,"",J846/H846)</f>
        <v>0</v>
      </c>
      <c r="L846">
        <f>IF(OR(AND(H846=0,ABS(J846)&gt;=0.01),AND(H846&lt;&gt;0,ABS(K846)&gt;VarianceThreshold)),"Review","OK")</f>
        <v>0</v>
      </c>
      <c r="M846" t="s">
        <v>1100</v>
      </c>
    </row>
    <row r="847" spans="1:13">
      <c r="A847" t="s">
        <v>1</v>
      </c>
      <c r="B847" t="s">
        <v>216</v>
      </c>
      <c r="C847" t="s">
        <v>1054</v>
      </c>
      <c r="D847" t="s">
        <v>81</v>
      </c>
      <c r="E847" cm="1">
        <f t="array" ref="E847">_xlfn.XLOOKUP(D847,SKU_Master!A:A,SKU_Master!B:B,"Not on master")</f>
        <v>0</v>
      </c>
      <c r="F847" cm="1">
        <f t="array" ref="F847">_xlfn.XLOOKUP(C847,Account_Master!A:A,Account_Master!B:B,"Not on master")</f>
        <v>0</v>
      </c>
      <c r="G847" cm="1">
        <f t="array" ref="G847">_xlfn.XLOOKUP(C847,Account_Master!A:A,Account_Master!C:C,"Not on master")</f>
        <v>0</v>
      </c>
      <c r="H847" s="6">
        <v>13.5</v>
      </c>
      <c r="I847" s="6">
        <v>0</v>
      </c>
      <c r="J847" s="6">
        <f>I847-H847</f>
        <v>0</v>
      </c>
      <c r="K847" s="5">
        <f>IF(H847=0,"",J847/H847)</f>
        <v>0</v>
      </c>
      <c r="L847">
        <f>IF(OR(AND(H847=0,ABS(J847)&gt;=0.01),AND(H847&lt;&gt;0,ABS(K847)&gt;VarianceThreshold)),"Review","OK")</f>
        <v>0</v>
      </c>
      <c r="M847" t="s">
        <v>1100</v>
      </c>
    </row>
    <row r="848" spans="1:13">
      <c r="A848" t="s">
        <v>1</v>
      </c>
      <c r="B848" t="s">
        <v>216</v>
      </c>
      <c r="C848" t="s">
        <v>1034</v>
      </c>
      <c r="D848" t="s">
        <v>1132</v>
      </c>
      <c r="E848" cm="1">
        <f t="array" ref="E848">_xlfn.XLOOKUP(D848,SKU_Master!A:A,SKU_Master!B:B,"Not on master")</f>
        <v>0</v>
      </c>
      <c r="F848" cm="1">
        <f t="array" ref="F848">_xlfn.XLOOKUP(C848,Account_Master!A:A,Account_Master!B:B,"Not on master")</f>
        <v>0</v>
      </c>
      <c r="G848" cm="1">
        <f t="array" ref="G848">_xlfn.XLOOKUP(C848,Account_Master!A:A,Account_Master!C:C,"Not on master")</f>
        <v>0</v>
      </c>
      <c r="H848" s="6">
        <v>0.1</v>
      </c>
      <c r="I848" s="6">
        <v>0</v>
      </c>
      <c r="J848" s="6">
        <f>I848-H848</f>
        <v>0</v>
      </c>
      <c r="K848" s="5">
        <f>IF(H848=0,"",J848/H848)</f>
        <v>0</v>
      </c>
      <c r="L848">
        <f>IF(OR(AND(H848=0,ABS(J848)&gt;=0.01),AND(H848&lt;&gt;0,ABS(K848)&gt;VarianceThreshold)),"Review","OK")</f>
        <v>0</v>
      </c>
      <c r="M848" t="s">
        <v>1100</v>
      </c>
    </row>
    <row r="849" spans="1:13">
      <c r="A849" t="s">
        <v>1</v>
      </c>
      <c r="B849" t="s">
        <v>216</v>
      </c>
      <c r="C849" t="s">
        <v>1032</v>
      </c>
      <c r="D849" t="s">
        <v>1133</v>
      </c>
      <c r="E849" cm="1">
        <f t="array" ref="E849">_xlfn.XLOOKUP(D849,SKU_Master!A:A,SKU_Master!B:B,"Not on master")</f>
        <v>0</v>
      </c>
      <c r="F849" cm="1">
        <f t="array" ref="F849">_xlfn.XLOOKUP(C849,Account_Master!A:A,Account_Master!B:B,"Not on master")</f>
        <v>0</v>
      </c>
      <c r="G849" cm="1">
        <f t="array" ref="G849">_xlfn.XLOOKUP(C849,Account_Master!A:A,Account_Master!C:C,"Not on master")</f>
        <v>0</v>
      </c>
      <c r="H849" s="6">
        <v>10.5</v>
      </c>
      <c r="I849" s="6">
        <v>0</v>
      </c>
      <c r="J849" s="6">
        <f>I849-H849</f>
        <v>0</v>
      </c>
      <c r="K849" s="5">
        <f>IF(H849=0,"",J849/H849)</f>
        <v>0</v>
      </c>
      <c r="L849">
        <f>IF(OR(AND(H849=0,ABS(J849)&gt;=0.01),AND(H849&lt;&gt;0,ABS(K849)&gt;VarianceThreshold)),"Review","OK")</f>
        <v>0</v>
      </c>
      <c r="M849" t="s">
        <v>1100</v>
      </c>
    </row>
    <row r="850" spans="1:13">
      <c r="A850" t="s">
        <v>1</v>
      </c>
      <c r="B850" t="s">
        <v>226</v>
      </c>
      <c r="C850" t="s">
        <v>1032</v>
      </c>
      <c r="D850" t="s">
        <v>1134</v>
      </c>
      <c r="E850" cm="1">
        <f t="array" ref="E850">_xlfn.XLOOKUP(D850,SKU_Master!A:A,SKU_Master!B:B,"Not on master")</f>
        <v>0</v>
      </c>
      <c r="F850" cm="1">
        <f t="array" ref="F850">_xlfn.XLOOKUP(C850,Account_Master!A:A,Account_Master!B:B,"Not on master")</f>
        <v>0</v>
      </c>
      <c r="G850" cm="1">
        <f t="array" ref="G850">_xlfn.XLOOKUP(C850,Account_Master!A:A,Account_Master!C:C,"Not on master")</f>
        <v>0</v>
      </c>
      <c r="H850" s="6">
        <v>274</v>
      </c>
      <c r="I850" s="6">
        <v>0</v>
      </c>
      <c r="J850" s="6">
        <f>I850-H850</f>
        <v>0</v>
      </c>
      <c r="K850" s="5">
        <f>IF(H850=0,"",J850/H850)</f>
        <v>0</v>
      </c>
      <c r="L850">
        <f>IF(OR(AND(H850=0,ABS(J850)&gt;=0.01),AND(H850&lt;&gt;0,ABS(K850)&gt;VarianceThreshold)),"Review","OK")</f>
        <v>0</v>
      </c>
      <c r="M850" t="s">
        <v>1100</v>
      </c>
    </row>
    <row r="851" spans="1:13">
      <c r="A851" t="s">
        <v>1</v>
      </c>
      <c r="B851" t="s">
        <v>226</v>
      </c>
      <c r="C851" t="s">
        <v>1135</v>
      </c>
      <c r="D851" t="s">
        <v>1136</v>
      </c>
      <c r="E851" cm="1">
        <f t="array" ref="E851">_xlfn.XLOOKUP(D851,SKU_Master!A:A,SKU_Master!B:B,"Not on master")</f>
        <v>0</v>
      </c>
      <c r="F851" cm="1">
        <f t="array" ref="F851">_xlfn.XLOOKUP(C851,Account_Master!A:A,Account_Master!B:B,"Not on master")</f>
        <v>0</v>
      </c>
      <c r="G851" cm="1">
        <f t="array" ref="G851">_xlfn.XLOOKUP(C851,Account_Master!A:A,Account_Master!C:C,"Not on master")</f>
        <v>0</v>
      </c>
      <c r="H851" s="6">
        <v>2.25</v>
      </c>
      <c r="I851" s="6">
        <v>0</v>
      </c>
      <c r="J851" s="6">
        <f>I851-H851</f>
        <v>0</v>
      </c>
      <c r="K851" s="5">
        <f>IF(H851=0,"",J851/H851)</f>
        <v>0</v>
      </c>
      <c r="L851">
        <f>IF(OR(AND(H851=0,ABS(J851)&gt;=0.01),AND(H851&lt;&gt;0,ABS(K851)&gt;VarianceThreshold)),"Review","OK")</f>
        <v>0</v>
      </c>
      <c r="M851" t="s">
        <v>1100</v>
      </c>
    </row>
    <row r="852" spans="1:13">
      <c r="A852" t="s">
        <v>1</v>
      </c>
      <c r="B852" t="s">
        <v>226</v>
      </c>
      <c r="C852" t="s">
        <v>1010</v>
      </c>
      <c r="D852" t="s">
        <v>1137</v>
      </c>
      <c r="E852" cm="1">
        <f t="array" ref="E852">_xlfn.XLOOKUP(D852,SKU_Master!A:A,SKU_Master!B:B,"Not on master")</f>
        <v>0</v>
      </c>
      <c r="F852" cm="1">
        <f t="array" ref="F852">_xlfn.XLOOKUP(C852,Account_Master!A:A,Account_Master!B:B,"Not on master")</f>
        <v>0</v>
      </c>
      <c r="G852" cm="1">
        <f t="array" ref="G852">_xlfn.XLOOKUP(C852,Account_Master!A:A,Account_Master!C:C,"Not on master")</f>
        <v>0</v>
      </c>
      <c r="H852" s="6">
        <v>2.25</v>
      </c>
      <c r="I852" s="6">
        <v>0</v>
      </c>
      <c r="J852" s="6">
        <f>I852-H852</f>
        <v>0</v>
      </c>
      <c r="K852" s="5">
        <f>IF(H852=0,"",J852/H852)</f>
        <v>0</v>
      </c>
      <c r="L852">
        <f>IF(OR(AND(H852=0,ABS(J852)&gt;=0.01),AND(H852&lt;&gt;0,ABS(K852)&gt;VarianceThreshold)),"Review","OK")</f>
        <v>0</v>
      </c>
      <c r="M852" t="s">
        <v>1100</v>
      </c>
    </row>
    <row r="853" spans="1:13">
      <c r="A853" t="s">
        <v>1</v>
      </c>
      <c r="B853" t="s">
        <v>226</v>
      </c>
      <c r="C853" t="s">
        <v>1138</v>
      </c>
      <c r="D853" t="s">
        <v>1139</v>
      </c>
      <c r="E853" cm="1">
        <f t="array" ref="E853">_xlfn.XLOOKUP(D853,SKU_Master!A:A,SKU_Master!B:B,"Not on master")</f>
        <v>0</v>
      </c>
      <c r="F853" cm="1">
        <f t="array" ref="F853">_xlfn.XLOOKUP(C853,Account_Master!A:A,Account_Master!B:B,"Not on master")</f>
        <v>0</v>
      </c>
      <c r="G853" cm="1">
        <f t="array" ref="G853">_xlfn.XLOOKUP(C853,Account_Master!A:A,Account_Master!C:C,"Not on master")</f>
        <v>0</v>
      </c>
      <c r="H853" s="6">
        <v>18</v>
      </c>
      <c r="I853" s="6">
        <v>0</v>
      </c>
      <c r="J853" s="6">
        <f>I853-H853</f>
        <v>0</v>
      </c>
      <c r="K853" s="5">
        <f>IF(H853=0,"",J853/H853)</f>
        <v>0</v>
      </c>
      <c r="L853">
        <f>IF(OR(AND(H853=0,ABS(J853)&gt;=0.01),AND(H853&lt;&gt;0,ABS(K853)&gt;VarianceThreshold)),"Review","OK")</f>
        <v>0</v>
      </c>
      <c r="M853" t="s">
        <v>1100</v>
      </c>
    </row>
    <row r="854" spans="1:13">
      <c r="A854" t="s">
        <v>1</v>
      </c>
      <c r="B854" t="s">
        <v>226</v>
      </c>
      <c r="C854" t="s">
        <v>1034</v>
      </c>
      <c r="D854" t="s">
        <v>1140</v>
      </c>
      <c r="E854" cm="1">
        <f t="array" ref="E854">_xlfn.XLOOKUP(D854,SKU_Master!A:A,SKU_Master!B:B,"Not on master")</f>
        <v>0</v>
      </c>
      <c r="F854" cm="1">
        <f t="array" ref="F854">_xlfn.XLOOKUP(C854,Account_Master!A:A,Account_Master!B:B,"Not on master")</f>
        <v>0</v>
      </c>
      <c r="G854" cm="1">
        <f t="array" ref="G854">_xlfn.XLOOKUP(C854,Account_Master!A:A,Account_Master!C:C,"Not on master")</f>
        <v>0</v>
      </c>
      <c r="H854" s="6">
        <v>0.75</v>
      </c>
      <c r="I854" s="6">
        <v>0</v>
      </c>
      <c r="J854" s="6">
        <f>I854-H854</f>
        <v>0</v>
      </c>
      <c r="K854" s="5">
        <f>IF(H854=0,"",J854/H854)</f>
        <v>0</v>
      </c>
      <c r="L854">
        <f>IF(OR(AND(H854=0,ABS(J854)&gt;=0.01),AND(H854&lt;&gt;0,ABS(K854)&gt;VarianceThreshold)),"Review","OK")</f>
        <v>0</v>
      </c>
      <c r="M854" t="s">
        <v>1100</v>
      </c>
    </row>
    <row r="855" spans="1:13">
      <c r="A855" t="s">
        <v>1</v>
      </c>
      <c r="B855" t="s">
        <v>231</v>
      </c>
      <c r="C855" t="s">
        <v>1024</v>
      </c>
      <c r="D855" t="s">
        <v>1141</v>
      </c>
      <c r="E855" cm="1">
        <f t="array" ref="E855">_xlfn.XLOOKUP(D855,SKU_Master!A:A,SKU_Master!B:B,"Not on master")</f>
        <v>0</v>
      </c>
      <c r="F855" cm="1">
        <f t="array" ref="F855">_xlfn.XLOOKUP(C855,Account_Master!A:A,Account_Master!B:B,"Not on master")</f>
        <v>0</v>
      </c>
      <c r="G855" cm="1">
        <f t="array" ref="G855">_xlfn.XLOOKUP(C855,Account_Master!A:A,Account_Master!C:C,"Not on master")</f>
        <v>0</v>
      </c>
      <c r="H855" s="6">
        <v>0.3</v>
      </c>
      <c r="I855" s="6">
        <v>0</v>
      </c>
      <c r="J855" s="6">
        <f>I855-H855</f>
        <v>0</v>
      </c>
      <c r="K855" s="5">
        <f>IF(H855=0,"",J855/H855)</f>
        <v>0</v>
      </c>
      <c r="L855">
        <f>IF(OR(AND(H855=0,ABS(J855)&gt;=0.01),AND(H855&lt;&gt;0,ABS(K855)&gt;VarianceThreshold)),"Review","OK")</f>
        <v>0</v>
      </c>
      <c r="M855" t="s">
        <v>1100</v>
      </c>
    </row>
    <row r="856" spans="1:13">
      <c r="A856" t="s">
        <v>1</v>
      </c>
      <c r="B856" t="s">
        <v>231</v>
      </c>
      <c r="C856" t="s">
        <v>1013</v>
      </c>
      <c r="D856" t="s">
        <v>1142</v>
      </c>
      <c r="E856" cm="1">
        <f t="array" ref="E856">_xlfn.XLOOKUP(D856,SKU_Master!A:A,SKU_Master!B:B,"Not on master")</f>
        <v>0</v>
      </c>
      <c r="F856" cm="1">
        <f t="array" ref="F856">_xlfn.XLOOKUP(C856,Account_Master!A:A,Account_Master!B:B,"Not on master")</f>
        <v>0</v>
      </c>
      <c r="G856" cm="1">
        <f t="array" ref="G856">_xlfn.XLOOKUP(C856,Account_Master!A:A,Account_Master!C:C,"Not on master")</f>
        <v>0</v>
      </c>
      <c r="H856" s="6">
        <v>0.8</v>
      </c>
      <c r="I856" s="6">
        <v>0</v>
      </c>
      <c r="J856" s="6">
        <f>I856-H856</f>
        <v>0</v>
      </c>
      <c r="K856" s="5">
        <f>IF(H856=0,"",J856/H856)</f>
        <v>0</v>
      </c>
      <c r="L856">
        <f>IF(OR(AND(H856=0,ABS(J856)&gt;=0.01),AND(H856&lt;&gt;0,ABS(K856)&gt;VarianceThreshold)),"Review","OK")</f>
        <v>0</v>
      </c>
      <c r="M856" t="s">
        <v>1100</v>
      </c>
    </row>
    <row r="857" spans="1:13">
      <c r="A857" t="s">
        <v>1</v>
      </c>
      <c r="B857" t="s">
        <v>231</v>
      </c>
      <c r="C857" t="s">
        <v>1024</v>
      </c>
      <c r="D857" t="s">
        <v>654</v>
      </c>
      <c r="E857" cm="1">
        <f t="array" ref="E857">_xlfn.XLOOKUP(D857,SKU_Master!A:A,SKU_Master!B:B,"Not on master")</f>
        <v>0</v>
      </c>
      <c r="F857" cm="1">
        <f t="array" ref="F857">_xlfn.XLOOKUP(C857,Account_Master!A:A,Account_Master!B:B,"Not on master")</f>
        <v>0</v>
      </c>
      <c r="G857" cm="1">
        <f t="array" ref="G857">_xlfn.XLOOKUP(C857,Account_Master!A:A,Account_Master!C:C,"Not on master")</f>
        <v>0</v>
      </c>
      <c r="H857" s="6">
        <v>2.25</v>
      </c>
      <c r="I857" s="6">
        <v>0</v>
      </c>
      <c r="J857" s="6">
        <f>I857-H857</f>
        <v>0</v>
      </c>
      <c r="K857" s="5">
        <f>IF(H857=0,"",J857/H857)</f>
        <v>0</v>
      </c>
      <c r="L857">
        <f>IF(OR(AND(H857=0,ABS(J857)&gt;=0.01),AND(H857&lt;&gt;0,ABS(K857)&gt;VarianceThreshold)),"Review","OK")</f>
        <v>0</v>
      </c>
      <c r="M857" t="s">
        <v>1100</v>
      </c>
    </row>
    <row r="858" spans="1:13">
      <c r="A858" t="s">
        <v>1</v>
      </c>
      <c r="B858" t="s">
        <v>231</v>
      </c>
      <c r="C858" t="s">
        <v>1143</v>
      </c>
      <c r="D858" t="s">
        <v>908</v>
      </c>
      <c r="E858" cm="1">
        <f t="array" ref="E858">_xlfn.XLOOKUP(D858,SKU_Master!A:A,SKU_Master!B:B,"Not on master")</f>
        <v>0</v>
      </c>
      <c r="F858" cm="1">
        <f t="array" ref="F858">_xlfn.XLOOKUP(C858,Account_Master!A:A,Account_Master!B:B,"Not on master")</f>
        <v>0</v>
      </c>
      <c r="G858" cm="1">
        <f t="array" ref="G858">_xlfn.XLOOKUP(C858,Account_Master!A:A,Account_Master!C:C,"Not on master")</f>
        <v>0</v>
      </c>
      <c r="H858" s="6">
        <v>5.4</v>
      </c>
      <c r="I858" s="6">
        <v>0</v>
      </c>
      <c r="J858" s="6">
        <f>I858-H858</f>
        <v>0</v>
      </c>
      <c r="K858" s="5">
        <f>IF(H858=0,"",J858/H858)</f>
        <v>0</v>
      </c>
      <c r="L858">
        <f>IF(OR(AND(H858=0,ABS(J858)&gt;=0.01),AND(H858&lt;&gt;0,ABS(K858)&gt;VarianceThreshold)),"Review","OK")</f>
        <v>0</v>
      </c>
      <c r="M858" t="s">
        <v>1100</v>
      </c>
    </row>
    <row r="859" spans="1:13">
      <c r="A859" t="s">
        <v>1</v>
      </c>
      <c r="B859" t="s">
        <v>231</v>
      </c>
      <c r="C859" t="s">
        <v>1043</v>
      </c>
      <c r="D859" t="s">
        <v>374</v>
      </c>
      <c r="E859" cm="1">
        <f t="array" ref="E859">_xlfn.XLOOKUP(D859,SKU_Master!A:A,SKU_Master!B:B,"Not on master")</f>
        <v>0</v>
      </c>
      <c r="F859" cm="1">
        <f t="array" ref="F859">_xlfn.XLOOKUP(C859,Account_Master!A:A,Account_Master!B:B,"Not on master")</f>
        <v>0</v>
      </c>
      <c r="G859" cm="1">
        <f t="array" ref="G859">_xlfn.XLOOKUP(C859,Account_Master!A:A,Account_Master!C:C,"Not on master")</f>
        <v>0</v>
      </c>
      <c r="H859" s="6">
        <v>3</v>
      </c>
      <c r="I859" s="6">
        <v>0</v>
      </c>
      <c r="J859" s="6">
        <f>I859-H859</f>
        <v>0</v>
      </c>
      <c r="K859" s="5">
        <f>IF(H859=0,"",J859/H859)</f>
        <v>0</v>
      </c>
      <c r="L859">
        <f>IF(OR(AND(H859=0,ABS(J859)&gt;=0.01),AND(H859&lt;&gt;0,ABS(K859)&gt;VarianceThreshold)),"Review","OK")</f>
        <v>0</v>
      </c>
      <c r="M859" t="s">
        <v>1100</v>
      </c>
    </row>
    <row r="860" spans="1:13">
      <c r="A860" t="s">
        <v>1</v>
      </c>
      <c r="B860" t="s">
        <v>238</v>
      </c>
      <c r="C860" t="s">
        <v>1144</v>
      </c>
      <c r="D860" t="s">
        <v>1145</v>
      </c>
      <c r="E860" cm="1">
        <f t="array" ref="E860">_xlfn.XLOOKUP(D860,SKU_Master!A:A,SKU_Master!B:B,"Not on master")</f>
        <v>0</v>
      </c>
      <c r="F860" cm="1">
        <f t="array" ref="F860">_xlfn.XLOOKUP(C860,Account_Master!A:A,Account_Master!B:B,"Not on master")</f>
        <v>0</v>
      </c>
      <c r="G860" cm="1">
        <f t="array" ref="G860">_xlfn.XLOOKUP(C860,Account_Master!A:A,Account_Master!C:C,"Not on master")</f>
        <v>0</v>
      </c>
      <c r="H860" s="6">
        <v>4.5</v>
      </c>
      <c r="I860" s="6">
        <v>4.5</v>
      </c>
      <c r="J860" s="6">
        <f>I860-H860</f>
        <v>0</v>
      </c>
      <c r="K860" s="5">
        <f>IF(H860=0,"",J860/H860)</f>
        <v>0</v>
      </c>
      <c r="L860">
        <f>IF(OR(AND(H860=0,ABS(J860)&gt;=0.01),AND(H860&lt;&gt;0,ABS(K860)&gt;VarianceThreshold)),"Review","OK")</f>
        <v>0</v>
      </c>
      <c r="M860" t="s">
        <v>33</v>
      </c>
    </row>
    <row r="861" spans="1:13">
      <c r="A861" t="s">
        <v>1</v>
      </c>
      <c r="B861" t="s">
        <v>238</v>
      </c>
      <c r="C861" t="s">
        <v>1112</v>
      </c>
      <c r="D861" t="s">
        <v>1146</v>
      </c>
      <c r="E861" cm="1">
        <f t="array" ref="E861">_xlfn.XLOOKUP(D861,SKU_Master!A:A,SKU_Master!B:B,"Not on master")</f>
        <v>0</v>
      </c>
      <c r="F861" cm="1">
        <f t="array" ref="F861">_xlfn.XLOOKUP(C861,Account_Master!A:A,Account_Master!B:B,"Not on master")</f>
        <v>0</v>
      </c>
      <c r="G861" cm="1">
        <f t="array" ref="G861">_xlfn.XLOOKUP(C861,Account_Master!A:A,Account_Master!C:C,"Not on master")</f>
        <v>0</v>
      </c>
      <c r="H861" s="6">
        <v>12.75</v>
      </c>
      <c r="I861" s="6">
        <v>12.75</v>
      </c>
      <c r="J861" s="6">
        <f>I861-H861</f>
        <v>0</v>
      </c>
      <c r="K861" s="5">
        <f>IF(H861=0,"",J861/H861)</f>
        <v>0</v>
      </c>
      <c r="L861">
        <f>IF(OR(AND(H861=0,ABS(J861)&gt;=0.01),AND(H861&lt;&gt;0,ABS(K861)&gt;VarianceThreshold)),"Review","OK")</f>
        <v>0</v>
      </c>
      <c r="M861" t="s">
        <v>33</v>
      </c>
    </row>
    <row r="862" spans="1:13">
      <c r="A862" t="s">
        <v>1</v>
      </c>
      <c r="B862" t="s">
        <v>238</v>
      </c>
      <c r="C862" t="s">
        <v>1041</v>
      </c>
      <c r="D862" t="s">
        <v>89</v>
      </c>
      <c r="E862" cm="1">
        <f t="array" ref="E862">_xlfn.XLOOKUP(D862,SKU_Master!A:A,SKU_Master!B:B,"Not on master")</f>
        <v>0</v>
      </c>
      <c r="F862" cm="1">
        <f t="array" ref="F862">_xlfn.XLOOKUP(C862,Account_Master!A:A,Account_Master!B:B,"Not on master")</f>
        <v>0</v>
      </c>
      <c r="G862" cm="1">
        <f t="array" ref="G862">_xlfn.XLOOKUP(C862,Account_Master!A:A,Account_Master!C:C,"Not on master")</f>
        <v>0</v>
      </c>
      <c r="H862" s="6">
        <v>11.25</v>
      </c>
      <c r="I862" s="6">
        <v>11.25</v>
      </c>
      <c r="J862" s="6">
        <f>I862-H862</f>
        <v>0</v>
      </c>
      <c r="K862" s="5">
        <f>IF(H862=0,"",J862/H862)</f>
        <v>0</v>
      </c>
      <c r="L862">
        <f>IF(OR(AND(H862=0,ABS(J862)&gt;=0.01),AND(H862&lt;&gt;0,ABS(K862)&gt;VarianceThreshold)),"Review","OK")</f>
        <v>0</v>
      </c>
      <c r="M862" t="s">
        <v>33</v>
      </c>
    </row>
    <row r="863" spans="1:13">
      <c r="A863" t="s">
        <v>1</v>
      </c>
      <c r="B863" t="s">
        <v>238</v>
      </c>
      <c r="C863" t="s">
        <v>1053</v>
      </c>
      <c r="D863" t="s">
        <v>147</v>
      </c>
      <c r="E863" cm="1">
        <f t="array" ref="E863">_xlfn.XLOOKUP(D863,SKU_Master!A:A,SKU_Master!B:B,"Not on master")</f>
        <v>0</v>
      </c>
      <c r="F863" cm="1">
        <f t="array" ref="F863">_xlfn.XLOOKUP(C863,Account_Master!A:A,Account_Master!B:B,"Not on master")</f>
        <v>0</v>
      </c>
      <c r="G863" cm="1">
        <f t="array" ref="G863">_xlfn.XLOOKUP(C863,Account_Master!A:A,Account_Master!C:C,"Not on master")</f>
        <v>0</v>
      </c>
      <c r="H863" s="6">
        <v>22.75</v>
      </c>
      <c r="I863" s="6">
        <v>22.75</v>
      </c>
      <c r="J863" s="6">
        <f>I863-H863</f>
        <v>0</v>
      </c>
      <c r="K863" s="5">
        <f>IF(H863=0,"",J863/H863)</f>
        <v>0</v>
      </c>
      <c r="L863">
        <f>IF(OR(AND(H863=0,ABS(J863)&gt;=0.01),AND(H863&lt;&gt;0,ABS(K863)&gt;VarianceThreshold)),"Review","OK")</f>
        <v>0</v>
      </c>
      <c r="M863" t="s">
        <v>33</v>
      </c>
    </row>
    <row r="864" spans="1:13">
      <c r="A864" t="s">
        <v>1</v>
      </c>
      <c r="B864" t="s">
        <v>238</v>
      </c>
      <c r="C864" t="s">
        <v>1041</v>
      </c>
      <c r="D864" t="s">
        <v>1147</v>
      </c>
      <c r="E864" cm="1">
        <f t="array" ref="E864">_xlfn.XLOOKUP(D864,SKU_Master!A:A,SKU_Master!B:B,"Not on master")</f>
        <v>0</v>
      </c>
      <c r="F864" cm="1">
        <f t="array" ref="F864">_xlfn.XLOOKUP(C864,Account_Master!A:A,Account_Master!B:B,"Not on master")</f>
        <v>0</v>
      </c>
      <c r="G864" cm="1">
        <f t="array" ref="G864">_xlfn.XLOOKUP(C864,Account_Master!A:A,Account_Master!C:C,"Not on master")</f>
        <v>0</v>
      </c>
      <c r="H864" s="6">
        <v>5.25</v>
      </c>
      <c r="I864" s="6">
        <v>5.25</v>
      </c>
      <c r="J864" s="6">
        <f>I864-H864</f>
        <v>0</v>
      </c>
      <c r="K864" s="5">
        <f>IF(H864=0,"",J864/H864)</f>
        <v>0</v>
      </c>
      <c r="L864">
        <f>IF(OR(AND(H864=0,ABS(J864)&gt;=0.01),AND(H864&lt;&gt;0,ABS(K864)&gt;VarianceThreshold)),"Review","OK")</f>
        <v>0</v>
      </c>
      <c r="M864" t="s">
        <v>33</v>
      </c>
    </row>
    <row r="865" spans="1:13">
      <c r="A865" t="s">
        <v>1</v>
      </c>
      <c r="B865" t="s">
        <v>238</v>
      </c>
      <c r="C865" t="s">
        <v>1018</v>
      </c>
      <c r="D865" t="s">
        <v>1148</v>
      </c>
      <c r="E865" cm="1">
        <f t="array" ref="E865">_xlfn.XLOOKUP(D865,SKU_Master!A:A,SKU_Master!B:B,"Not on master")</f>
        <v>0</v>
      </c>
      <c r="F865" cm="1">
        <f t="array" ref="F865">_xlfn.XLOOKUP(C865,Account_Master!A:A,Account_Master!B:B,"Not on master")</f>
        <v>0</v>
      </c>
      <c r="G865" cm="1">
        <f t="array" ref="G865">_xlfn.XLOOKUP(C865,Account_Master!A:A,Account_Master!C:C,"Not on master")</f>
        <v>0</v>
      </c>
      <c r="H865" s="6">
        <v>9</v>
      </c>
      <c r="I865" s="6">
        <v>9</v>
      </c>
      <c r="J865" s="6">
        <f>I865-H865</f>
        <v>0</v>
      </c>
      <c r="K865" s="5">
        <f>IF(H865=0,"",J865/H865)</f>
        <v>0</v>
      </c>
      <c r="L865">
        <f>IF(OR(AND(H865=0,ABS(J865)&gt;=0.01),AND(H865&lt;&gt;0,ABS(K865)&gt;VarianceThreshold)),"Review","OK")</f>
        <v>0</v>
      </c>
      <c r="M865" t="s">
        <v>33</v>
      </c>
    </row>
    <row r="866" spans="1:13">
      <c r="A866" t="s">
        <v>1</v>
      </c>
      <c r="B866" t="s">
        <v>238</v>
      </c>
      <c r="C866" t="s">
        <v>1010</v>
      </c>
      <c r="D866" t="s">
        <v>1149</v>
      </c>
      <c r="E866" cm="1">
        <f t="array" ref="E866">_xlfn.XLOOKUP(D866,SKU_Master!A:A,SKU_Master!B:B,"Not on master")</f>
        <v>0</v>
      </c>
      <c r="F866" cm="1">
        <f t="array" ref="F866">_xlfn.XLOOKUP(C866,Account_Master!A:A,Account_Master!B:B,"Not on master")</f>
        <v>0</v>
      </c>
      <c r="G866" cm="1">
        <f t="array" ref="G866">_xlfn.XLOOKUP(C866,Account_Master!A:A,Account_Master!C:C,"Not on master")</f>
        <v>0</v>
      </c>
      <c r="H866" s="6">
        <v>4.5</v>
      </c>
      <c r="I866" s="6">
        <v>4.5</v>
      </c>
      <c r="J866" s="6">
        <f>I866-H866</f>
        <v>0</v>
      </c>
      <c r="K866" s="5">
        <f>IF(H866=0,"",J866/H866)</f>
        <v>0</v>
      </c>
      <c r="L866">
        <f>IF(OR(AND(H866=0,ABS(J866)&gt;=0.01),AND(H866&lt;&gt;0,ABS(K866)&gt;VarianceThreshold)),"Review","OK")</f>
        <v>0</v>
      </c>
      <c r="M866" t="s">
        <v>33</v>
      </c>
    </row>
    <row r="867" spans="1:13">
      <c r="A867" t="s">
        <v>1</v>
      </c>
      <c r="B867" t="s">
        <v>238</v>
      </c>
      <c r="C867" t="s">
        <v>1010</v>
      </c>
      <c r="D867" t="s">
        <v>1150</v>
      </c>
      <c r="E867" cm="1">
        <f t="array" ref="E867">_xlfn.XLOOKUP(D867,SKU_Master!A:A,SKU_Master!B:B,"Not on master")</f>
        <v>0</v>
      </c>
      <c r="F867" cm="1">
        <f t="array" ref="F867">_xlfn.XLOOKUP(C867,Account_Master!A:A,Account_Master!B:B,"Not on master")</f>
        <v>0</v>
      </c>
      <c r="G867" cm="1">
        <f t="array" ref="G867">_xlfn.XLOOKUP(C867,Account_Master!A:A,Account_Master!C:C,"Not on master")</f>
        <v>0</v>
      </c>
      <c r="H867" s="6">
        <v>9</v>
      </c>
      <c r="I867" s="6">
        <v>9</v>
      </c>
      <c r="J867" s="6">
        <f>I867-H867</f>
        <v>0</v>
      </c>
      <c r="K867" s="5">
        <f>IF(H867=0,"",J867/H867)</f>
        <v>0</v>
      </c>
      <c r="L867">
        <f>IF(OR(AND(H867=0,ABS(J867)&gt;=0.01),AND(H867&lt;&gt;0,ABS(K867)&gt;VarianceThreshold)),"Review","OK")</f>
        <v>0</v>
      </c>
      <c r="M867" t="s">
        <v>33</v>
      </c>
    </row>
    <row r="868" spans="1:13">
      <c r="A868" t="s">
        <v>1</v>
      </c>
      <c r="B868" t="s">
        <v>251</v>
      </c>
      <c r="C868" t="s">
        <v>1036</v>
      </c>
      <c r="D868" t="s">
        <v>747</v>
      </c>
      <c r="E868" cm="1">
        <f t="array" ref="E868">_xlfn.XLOOKUP(D868,SKU_Master!A:A,SKU_Master!B:B,"Not on master")</f>
        <v>0</v>
      </c>
      <c r="F868" cm="1">
        <f t="array" ref="F868">_xlfn.XLOOKUP(C868,Account_Master!A:A,Account_Master!B:B,"Not on master")</f>
        <v>0</v>
      </c>
      <c r="G868" cm="1">
        <f t="array" ref="G868">_xlfn.XLOOKUP(C868,Account_Master!A:A,Account_Master!C:C,"Not on master")</f>
        <v>0</v>
      </c>
      <c r="H868" s="6">
        <v>8.25</v>
      </c>
      <c r="I868" s="6">
        <v>8.25</v>
      </c>
      <c r="J868" s="6">
        <f>I868-H868</f>
        <v>0</v>
      </c>
      <c r="K868" s="5">
        <f>IF(H868=0,"",J868/H868)</f>
        <v>0</v>
      </c>
      <c r="L868">
        <f>IF(OR(AND(H868=0,ABS(J868)&gt;=0.01),AND(H868&lt;&gt;0,ABS(K868)&gt;VarianceThreshold)),"Review","OK")</f>
        <v>0</v>
      </c>
      <c r="M868" t="s">
        <v>33</v>
      </c>
    </row>
    <row r="869" spans="1:13">
      <c r="A869" t="s">
        <v>1</v>
      </c>
      <c r="B869" t="s">
        <v>251</v>
      </c>
      <c r="C869" t="s">
        <v>1151</v>
      </c>
      <c r="D869" t="s">
        <v>1152</v>
      </c>
      <c r="E869" cm="1">
        <f t="array" ref="E869">_xlfn.XLOOKUP(D869,SKU_Master!A:A,SKU_Master!B:B,"Not on master")</f>
        <v>0</v>
      </c>
      <c r="F869" cm="1">
        <f t="array" ref="F869">_xlfn.XLOOKUP(C869,Account_Master!A:A,Account_Master!B:B,"Not on master")</f>
        <v>0</v>
      </c>
      <c r="G869" cm="1">
        <f t="array" ref="G869">_xlfn.XLOOKUP(C869,Account_Master!A:A,Account_Master!C:C,"Not on master")</f>
        <v>0</v>
      </c>
      <c r="H869" s="6">
        <v>21</v>
      </c>
      <c r="I869" s="6">
        <v>21</v>
      </c>
      <c r="J869" s="6">
        <f>I869-H869</f>
        <v>0</v>
      </c>
      <c r="K869" s="5">
        <f>IF(H869=0,"",J869/H869)</f>
        <v>0</v>
      </c>
      <c r="L869">
        <f>IF(OR(AND(H869=0,ABS(J869)&gt;=0.01),AND(H869&lt;&gt;0,ABS(K869)&gt;VarianceThreshold)),"Review","OK")</f>
        <v>0</v>
      </c>
      <c r="M869" t="s">
        <v>33</v>
      </c>
    </row>
    <row r="870" spans="1:13">
      <c r="A870" t="s">
        <v>1</v>
      </c>
      <c r="B870" t="s">
        <v>251</v>
      </c>
      <c r="C870" t="s">
        <v>1151</v>
      </c>
      <c r="D870" t="s">
        <v>790</v>
      </c>
      <c r="E870" cm="1">
        <f t="array" ref="E870">_xlfn.XLOOKUP(D870,SKU_Master!A:A,SKU_Master!B:B,"Not on master")</f>
        <v>0</v>
      </c>
      <c r="F870" cm="1">
        <f t="array" ref="F870">_xlfn.XLOOKUP(C870,Account_Master!A:A,Account_Master!B:B,"Not on master")</f>
        <v>0</v>
      </c>
      <c r="G870" cm="1">
        <f t="array" ref="G870">_xlfn.XLOOKUP(C870,Account_Master!A:A,Account_Master!C:C,"Not on master")</f>
        <v>0</v>
      </c>
      <c r="H870" s="6">
        <v>5.2</v>
      </c>
      <c r="I870" s="6">
        <v>5.2</v>
      </c>
      <c r="J870" s="6">
        <f>I870-H870</f>
        <v>0</v>
      </c>
      <c r="K870" s="5">
        <f>IF(H870=0,"",J870/H870)</f>
        <v>0</v>
      </c>
      <c r="L870">
        <f>IF(OR(AND(H870=0,ABS(J870)&gt;=0.01),AND(H870&lt;&gt;0,ABS(K870)&gt;VarianceThreshold)),"Review","OK")</f>
        <v>0</v>
      </c>
      <c r="M870" t="s">
        <v>33</v>
      </c>
    </row>
    <row r="871" spans="1:13">
      <c r="A871" t="s">
        <v>1</v>
      </c>
      <c r="B871" t="s">
        <v>251</v>
      </c>
      <c r="C871" t="s">
        <v>1032</v>
      </c>
      <c r="D871" t="s">
        <v>778</v>
      </c>
      <c r="E871" cm="1">
        <f t="array" ref="E871">_xlfn.XLOOKUP(D871,SKU_Master!A:A,SKU_Master!B:B,"Not on master")</f>
        <v>0</v>
      </c>
      <c r="F871" cm="1">
        <f t="array" ref="F871">_xlfn.XLOOKUP(C871,Account_Master!A:A,Account_Master!B:B,"Not on master")</f>
        <v>0</v>
      </c>
      <c r="G871" cm="1">
        <f t="array" ref="G871">_xlfn.XLOOKUP(C871,Account_Master!A:A,Account_Master!C:C,"Not on master")</f>
        <v>0</v>
      </c>
      <c r="H871" s="6">
        <v>19.5</v>
      </c>
      <c r="I871" s="6">
        <v>19.5</v>
      </c>
      <c r="J871" s="6">
        <f>I871-H871</f>
        <v>0</v>
      </c>
      <c r="K871" s="5">
        <f>IF(H871=0,"",J871/H871)</f>
        <v>0</v>
      </c>
      <c r="L871">
        <f>IF(OR(AND(H871=0,ABS(J871)&gt;=0.01),AND(H871&lt;&gt;0,ABS(K871)&gt;VarianceThreshold)),"Review","OK")</f>
        <v>0</v>
      </c>
      <c r="M871" t="s">
        <v>33</v>
      </c>
    </row>
    <row r="872" spans="1:13">
      <c r="A872" t="s">
        <v>1</v>
      </c>
      <c r="B872" t="s">
        <v>251</v>
      </c>
      <c r="C872" t="s">
        <v>1153</v>
      </c>
      <c r="D872" t="s">
        <v>1154</v>
      </c>
      <c r="E872" cm="1">
        <f t="array" ref="E872">_xlfn.XLOOKUP(D872,SKU_Master!A:A,SKU_Master!B:B,"Not on master")</f>
        <v>0</v>
      </c>
      <c r="F872" cm="1">
        <f t="array" ref="F872">_xlfn.XLOOKUP(C872,Account_Master!A:A,Account_Master!B:B,"Not on master")</f>
        <v>0</v>
      </c>
      <c r="G872" cm="1">
        <f t="array" ref="G872">_xlfn.XLOOKUP(C872,Account_Master!A:A,Account_Master!C:C,"Not on master")</f>
        <v>0</v>
      </c>
      <c r="H872" s="6">
        <v>11.25</v>
      </c>
      <c r="I872" s="6">
        <v>11.25</v>
      </c>
      <c r="J872" s="6">
        <f>I872-H872</f>
        <v>0</v>
      </c>
      <c r="K872" s="5">
        <f>IF(H872=0,"",J872/H872)</f>
        <v>0</v>
      </c>
      <c r="L872">
        <f>IF(OR(AND(H872=0,ABS(J872)&gt;=0.01),AND(H872&lt;&gt;0,ABS(K872)&gt;VarianceThreshold)),"Review","OK")</f>
        <v>0</v>
      </c>
      <c r="M872" t="s">
        <v>33</v>
      </c>
    </row>
    <row r="873" spans="1:13">
      <c r="A873" t="s">
        <v>1</v>
      </c>
      <c r="B873" t="s">
        <v>251</v>
      </c>
      <c r="C873" t="s">
        <v>1059</v>
      </c>
      <c r="D873" t="s">
        <v>1155</v>
      </c>
      <c r="E873" cm="1">
        <f t="array" ref="E873">_xlfn.XLOOKUP(D873,SKU_Master!A:A,SKU_Master!B:B,"Not on master")</f>
        <v>0</v>
      </c>
      <c r="F873" cm="1">
        <f t="array" ref="F873">_xlfn.XLOOKUP(C873,Account_Master!A:A,Account_Master!B:B,"Not on master")</f>
        <v>0</v>
      </c>
      <c r="G873" cm="1">
        <f t="array" ref="G873">_xlfn.XLOOKUP(C873,Account_Master!A:A,Account_Master!C:C,"Not on master")</f>
        <v>0</v>
      </c>
      <c r="H873" s="6">
        <v>31.5</v>
      </c>
      <c r="I873" s="6">
        <v>31.5</v>
      </c>
      <c r="J873" s="6">
        <f>I873-H873</f>
        <v>0</v>
      </c>
      <c r="K873" s="5">
        <f>IF(H873=0,"",J873/H873)</f>
        <v>0</v>
      </c>
      <c r="L873">
        <f>IF(OR(AND(H873=0,ABS(J873)&gt;=0.01),AND(H873&lt;&gt;0,ABS(K873)&gt;VarianceThreshold)),"Review","OK")</f>
        <v>0</v>
      </c>
      <c r="M873" t="s">
        <v>33</v>
      </c>
    </row>
    <row r="874" spans="1:13">
      <c r="A874" t="s">
        <v>1</v>
      </c>
      <c r="B874" t="s">
        <v>254</v>
      </c>
      <c r="C874" t="s">
        <v>1024</v>
      </c>
      <c r="D874" t="s">
        <v>859</v>
      </c>
      <c r="E874" cm="1">
        <f t="array" ref="E874">_xlfn.XLOOKUP(D874,SKU_Master!A:A,SKU_Master!B:B,"Not on master")</f>
        <v>0</v>
      </c>
      <c r="F874" cm="1">
        <f t="array" ref="F874">_xlfn.XLOOKUP(C874,Account_Master!A:A,Account_Master!B:B,"Not on master")</f>
        <v>0</v>
      </c>
      <c r="G874" cm="1">
        <f t="array" ref="G874">_xlfn.XLOOKUP(C874,Account_Master!A:A,Account_Master!C:C,"Not on master")</f>
        <v>0</v>
      </c>
      <c r="H874" s="6">
        <v>12.75</v>
      </c>
      <c r="I874" s="6">
        <v>12.75</v>
      </c>
      <c r="J874" s="6">
        <f>I874-H874</f>
        <v>0</v>
      </c>
      <c r="K874" s="5">
        <f>IF(H874=0,"",J874/H874)</f>
        <v>0</v>
      </c>
      <c r="L874">
        <f>IF(OR(AND(H874=0,ABS(J874)&gt;=0.01),AND(H874&lt;&gt;0,ABS(K874)&gt;VarianceThreshold)),"Review","OK")</f>
        <v>0</v>
      </c>
      <c r="M874" t="s">
        <v>33</v>
      </c>
    </row>
    <row r="875" spans="1:13">
      <c r="A875" t="s">
        <v>1</v>
      </c>
      <c r="B875" t="s">
        <v>254</v>
      </c>
      <c r="C875" t="s">
        <v>1008</v>
      </c>
      <c r="D875" t="s">
        <v>1156</v>
      </c>
      <c r="E875" cm="1">
        <f t="array" ref="E875">_xlfn.XLOOKUP(D875,SKU_Master!A:A,SKU_Master!B:B,"Not on master")</f>
        <v>0</v>
      </c>
      <c r="F875" cm="1">
        <f t="array" ref="F875">_xlfn.XLOOKUP(C875,Account_Master!A:A,Account_Master!B:B,"Not on master")</f>
        <v>0</v>
      </c>
      <c r="G875" cm="1">
        <f t="array" ref="G875">_xlfn.XLOOKUP(C875,Account_Master!A:A,Account_Master!C:C,"Not on master")</f>
        <v>0</v>
      </c>
      <c r="H875" s="6">
        <v>0.75</v>
      </c>
      <c r="I875" s="6">
        <v>0.75</v>
      </c>
      <c r="J875" s="6">
        <f>I875-H875</f>
        <v>0</v>
      </c>
      <c r="K875" s="5">
        <f>IF(H875=0,"",J875/H875)</f>
        <v>0</v>
      </c>
      <c r="L875">
        <f>IF(OR(AND(H875=0,ABS(J875)&gt;=0.01),AND(H875&lt;&gt;0,ABS(K875)&gt;VarianceThreshold)),"Review","OK")</f>
        <v>0</v>
      </c>
      <c r="M875" t="s">
        <v>33</v>
      </c>
    </row>
    <row r="876" spans="1:13">
      <c r="A876" t="s">
        <v>1</v>
      </c>
      <c r="B876" t="s">
        <v>254</v>
      </c>
      <c r="C876" t="s">
        <v>1010</v>
      </c>
      <c r="D876" t="s">
        <v>1157</v>
      </c>
      <c r="E876" cm="1">
        <f t="array" ref="E876">_xlfn.XLOOKUP(D876,SKU_Master!A:A,SKU_Master!B:B,"Not on master")</f>
        <v>0</v>
      </c>
      <c r="F876" cm="1">
        <f t="array" ref="F876">_xlfn.XLOOKUP(C876,Account_Master!A:A,Account_Master!B:B,"Not on master")</f>
        <v>0</v>
      </c>
      <c r="G876" cm="1">
        <f t="array" ref="G876">_xlfn.XLOOKUP(C876,Account_Master!A:A,Account_Master!C:C,"Not on master")</f>
        <v>0</v>
      </c>
      <c r="H876" s="6">
        <v>10.5</v>
      </c>
      <c r="I876" s="6">
        <v>10.5</v>
      </c>
      <c r="J876" s="6">
        <f>I876-H876</f>
        <v>0</v>
      </c>
      <c r="K876" s="5">
        <f>IF(H876=0,"",J876/H876)</f>
        <v>0</v>
      </c>
      <c r="L876">
        <f>IF(OR(AND(H876=0,ABS(J876)&gt;=0.01),AND(H876&lt;&gt;0,ABS(K876)&gt;VarianceThreshold)),"Review","OK")</f>
        <v>0</v>
      </c>
      <c r="M876" t="s">
        <v>33</v>
      </c>
    </row>
    <row r="877" spans="1:13">
      <c r="A877" t="s">
        <v>1</v>
      </c>
      <c r="B877" t="s">
        <v>254</v>
      </c>
      <c r="C877" t="s">
        <v>1158</v>
      </c>
      <c r="D877" t="s">
        <v>1159</v>
      </c>
      <c r="E877" cm="1">
        <f t="array" ref="E877">_xlfn.XLOOKUP(D877,SKU_Master!A:A,SKU_Master!B:B,"Not on master")</f>
        <v>0</v>
      </c>
      <c r="F877" cm="1">
        <f t="array" ref="F877">_xlfn.XLOOKUP(C877,Account_Master!A:A,Account_Master!B:B,"Not on master")</f>
        <v>0</v>
      </c>
      <c r="G877" cm="1">
        <f t="array" ref="G877">_xlfn.XLOOKUP(C877,Account_Master!A:A,Account_Master!C:C,"Not on master")</f>
        <v>0</v>
      </c>
      <c r="H877" s="6">
        <v>0.05</v>
      </c>
      <c r="I877" s="6">
        <v>0.05</v>
      </c>
      <c r="J877" s="6">
        <f>I877-H877</f>
        <v>0</v>
      </c>
      <c r="K877" s="5">
        <f>IF(H877=0,"",J877/H877)</f>
        <v>0</v>
      </c>
      <c r="L877">
        <f>IF(OR(AND(H877=0,ABS(J877)&gt;=0.01),AND(H877&lt;&gt;0,ABS(K877)&gt;VarianceThreshold)),"Review","OK")</f>
        <v>0</v>
      </c>
      <c r="M877" t="s">
        <v>33</v>
      </c>
    </row>
    <row r="878" spans="1:13">
      <c r="A878" t="s">
        <v>1</v>
      </c>
      <c r="B878" t="s">
        <v>254</v>
      </c>
      <c r="C878" t="s">
        <v>1044</v>
      </c>
      <c r="D878" t="s">
        <v>1160</v>
      </c>
      <c r="E878" cm="1">
        <f t="array" ref="E878">_xlfn.XLOOKUP(D878,SKU_Master!A:A,SKU_Master!B:B,"Not on master")</f>
        <v>0</v>
      </c>
      <c r="F878" cm="1">
        <f t="array" ref="F878">_xlfn.XLOOKUP(C878,Account_Master!A:A,Account_Master!B:B,"Not on master")</f>
        <v>0</v>
      </c>
      <c r="G878" cm="1">
        <f t="array" ref="G878">_xlfn.XLOOKUP(C878,Account_Master!A:A,Account_Master!C:C,"Not on master")</f>
        <v>0</v>
      </c>
      <c r="H878" s="6">
        <v>24</v>
      </c>
      <c r="I878" s="6">
        <v>24</v>
      </c>
      <c r="J878" s="6">
        <f>I878-H878</f>
        <v>0</v>
      </c>
      <c r="K878" s="5">
        <f>IF(H878=0,"",J878/H878)</f>
        <v>0</v>
      </c>
      <c r="L878">
        <f>IF(OR(AND(H878=0,ABS(J878)&gt;=0.01),AND(H878&lt;&gt;0,ABS(K878)&gt;VarianceThreshold)),"Review","OK")</f>
        <v>0</v>
      </c>
      <c r="M878" t="s">
        <v>33</v>
      </c>
    </row>
    <row r="879" spans="1:13">
      <c r="A879" t="s">
        <v>1</v>
      </c>
      <c r="B879" t="s">
        <v>254</v>
      </c>
      <c r="C879" t="s">
        <v>1161</v>
      </c>
      <c r="D879" t="s">
        <v>1162</v>
      </c>
      <c r="E879" cm="1">
        <f t="array" ref="E879">_xlfn.XLOOKUP(D879,SKU_Master!A:A,SKU_Master!B:B,"Not on master")</f>
        <v>0</v>
      </c>
      <c r="F879" cm="1">
        <f t="array" ref="F879">_xlfn.XLOOKUP(C879,Account_Master!A:A,Account_Master!B:B,"Not on master")</f>
        <v>0</v>
      </c>
      <c r="G879" cm="1">
        <f t="array" ref="G879">_xlfn.XLOOKUP(C879,Account_Master!A:A,Account_Master!C:C,"Not on master")</f>
        <v>0</v>
      </c>
      <c r="H879" s="6">
        <v>201.25</v>
      </c>
      <c r="I879" s="6">
        <v>201.25</v>
      </c>
      <c r="J879" s="6">
        <f>I879-H879</f>
        <v>0</v>
      </c>
      <c r="K879" s="5">
        <f>IF(H879=0,"",J879/H879)</f>
        <v>0</v>
      </c>
      <c r="L879">
        <f>IF(OR(AND(H879=0,ABS(J879)&gt;=0.01),AND(H879&lt;&gt;0,ABS(K879)&gt;VarianceThreshold)),"Review","OK")</f>
        <v>0</v>
      </c>
      <c r="M879" t="s">
        <v>33</v>
      </c>
    </row>
    <row r="880" spans="1:13">
      <c r="A880" t="s">
        <v>1</v>
      </c>
      <c r="B880" t="s">
        <v>254</v>
      </c>
      <c r="C880" t="s">
        <v>1034</v>
      </c>
      <c r="D880" t="s">
        <v>1163</v>
      </c>
      <c r="E880" cm="1">
        <f t="array" ref="E880">_xlfn.XLOOKUP(D880,SKU_Master!A:A,SKU_Master!B:B,"Not on master")</f>
        <v>0</v>
      </c>
      <c r="F880" cm="1">
        <f t="array" ref="F880">_xlfn.XLOOKUP(C880,Account_Master!A:A,Account_Master!B:B,"Not on master")</f>
        <v>0</v>
      </c>
      <c r="G880" cm="1">
        <f t="array" ref="G880">_xlfn.XLOOKUP(C880,Account_Master!A:A,Account_Master!C:C,"Not on master")</f>
        <v>0</v>
      </c>
      <c r="H880" s="6">
        <v>9</v>
      </c>
      <c r="I880" s="6">
        <v>9</v>
      </c>
      <c r="J880" s="6">
        <f>I880-H880</f>
        <v>0</v>
      </c>
      <c r="K880" s="5">
        <f>IF(H880=0,"",J880/H880)</f>
        <v>0</v>
      </c>
      <c r="L880">
        <f>IF(OR(AND(H880=0,ABS(J880)&gt;=0.01),AND(H880&lt;&gt;0,ABS(K880)&gt;VarianceThreshold)),"Review","OK")</f>
        <v>0</v>
      </c>
      <c r="M880" t="s">
        <v>33</v>
      </c>
    </row>
    <row r="881" spans="1:13">
      <c r="A881" t="s">
        <v>1</v>
      </c>
      <c r="B881" t="s">
        <v>254</v>
      </c>
      <c r="C881" t="s">
        <v>1164</v>
      </c>
      <c r="D881" t="s">
        <v>1165</v>
      </c>
      <c r="E881" cm="1">
        <f t="array" ref="E881">_xlfn.XLOOKUP(D881,SKU_Master!A:A,SKU_Master!B:B,"Not on master")</f>
        <v>0</v>
      </c>
      <c r="F881" cm="1">
        <f t="array" ref="F881">_xlfn.XLOOKUP(C881,Account_Master!A:A,Account_Master!B:B,"Not on master")</f>
        <v>0</v>
      </c>
      <c r="G881" cm="1">
        <f t="array" ref="G881">_xlfn.XLOOKUP(C881,Account_Master!A:A,Account_Master!C:C,"Not on master")</f>
        <v>0</v>
      </c>
      <c r="H881" s="6">
        <v>4.5</v>
      </c>
      <c r="I881" s="6">
        <v>4.5</v>
      </c>
      <c r="J881" s="6">
        <f>I881-H881</f>
        <v>0</v>
      </c>
      <c r="K881" s="5">
        <f>IF(H881=0,"",J881/H881)</f>
        <v>0</v>
      </c>
      <c r="L881">
        <f>IF(OR(AND(H881=0,ABS(J881)&gt;=0.01),AND(H881&lt;&gt;0,ABS(K881)&gt;VarianceThreshold)),"Review","OK")</f>
        <v>0</v>
      </c>
      <c r="M881" t="s">
        <v>33</v>
      </c>
    </row>
    <row r="882" spans="1:13">
      <c r="A882" t="s">
        <v>1</v>
      </c>
      <c r="B882" t="s">
        <v>264</v>
      </c>
      <c r="C882" t="s">
        <v>1041</v>
      </c>
      <c r="D882" t="s">
        <v>1166</v>
      </c>
      <c r="E882" cm="1">
        <f t="array" ref="E882">_xlfn.XLOOKUP(D882,SKU_Master!A:A,SKU_Master!B:B,"Not on master")</f>
        <v>0</v>
      </c>
      <c r="F882" cm="1">
        <f t="array" ref="F882">_xlfn.XLOOKUP(C882,Account_Master!A:A,Account_Master!B:B,"Not on master")</f>
        <v>0</v>
      </c>
      <c r="G882" cm="1">
        <f t="array" ref="G882">_xlfn.XLOOKUP(C882,Account_Master!A:A,Account_Master!C:C,"Not on master")</f>
        <v>0</v>
      </c>
      <c r="H882" s="6">
        <v>2.25</v>
      </c>
      <c r="I882" s="6">
        <v>2.25</v>
      </c>
      <c r="J882" s="6">
        <f>I882-H882</f>
        <v>0</v>
      </c>
      <c r="K882" s="5">
        <f>IF(H882=0,"",J882/H882)</f>
        <v>0</v>
      </c>
      <c r="L882">
        <f>IF(OR(AND(H882=0,ABS(J882)&gt;=0.01),AND(H882&lt;&gt;0,ABS(K882)&gt;VarianceThreshold)),"Review","OK")</f>
        <v>0</v>
      </c>
      <c r="M882" t="s">
        <v>33</v>
      </c>
    </row>
    <row r="883" spans="1:13">
      <c r="A883" t="s">
        <v>1</v>
      </c>
      <c r="B883" t="s">
        <v>264</v>
      </c>
      <c r="C883" t="s">
        <v>1019</v>
      </c>
      <c r="D883" t="s">
        <v>953</v>
      </c>
      <c r="E883" cm="1">
        <f t="array" ref="E883">_xlfn.XLOOKUP(D883,SKU_Master!A:A,SKU_Master!B:B,"Not on master")</f>
        <v>0</v>
      </c>
      <c r="F883" cm="1">
        <f t="array" ref="F883">_xlfn.XLOOKUP(C883,Account_Master!A:A,Account_Master!B:B,"Not on master")</f>
        <v>0</v>
      </c>
      <c r="G883" cm="1">
        <f t="array" ref="G883">_xlfn.XLOOKUP(C883,Account_Master!A:A,Account_Master!C:C,"Not on master")</f>
        <v>0</v>
      </c>
      <c r="H883" s="6">
        <v>0.75</v>
      </c>
      <c r="I883" s="6">
        <v>0.75</v>
      </c>
      <c r="J883" s="6">
        <f>I883-H883</f>
        <v>0</v>
      </c>
      <c r="K883" s="5">
        <f>IF(H883=0,"",J883/H883)</f>
        <v>0</v>
      </c>
      <c r="L883">
        <f>IF(OR(AND(H883=0,ABS(J883)&gt;=0.01),AND(H883&lt;&gt;0,ABS(K883)&gt;VarianceThreshold)),"Review","OK")</f>
        <v>0</v>
      </c>
      <c r="M883" t="s">
        <v>33</v>
      </c>
    </row>
    <row r="884" spans="1:13">
      <c r="A884" t="s">
        <v>1</v>
      </c>
      <c r="B884" t="s">
        <v>264</v>
      </c>
      <c r="C884" t="s">
        <v>1034</v>
      </c>
      <c r="D884" t="s">
        <v>1167</v>
      </c>
      <c r="E884" cm="1">
        <f t="array" ref="E884">_xlfn.XLOOKUP(D884,SKU_Master!A:A,SKU_Master!B:B,"Not on master")</f>
        <v>0</v>
      </c>
      <c r="F884" cm="1">
        <f t="array" ref="F884">_xlfn.XLOOKUP(C884,Account_Master!A:A,Account_Master!B:B,"Not on master")</f>
        <v>0</v>
      </c>
      <c r="G884" cm="1">
        <f t="array" ref="G884">_xlfn.XLOOKUP(C884,Account_Master!A:A,Account_Master!C:C,"Not on master")</f>
        <v>0</v>
      </c>
      <c r="H884" s="6">
        <v>9</v>
      </c>
      <c r="I884" s="6">
        <v>9</v>
      </c>
      <c r="J884" s="6">
        <f>I884-H884</f>
        <v>0</v>
      </c>
      <c r="K884" s="5">
        <f>IF(H884=0,"",J884/H884)</f>
        <v>0</v>
      </c>
      <c r="L884">
        <f>IF(OR(AND(H884=0,ABS(J884)&gt;=0.01),AND(H884&lt;&gt;0,ABS(K884)&gt;VarianceThreshold)),"Review","OK")</f>
        <v>0</v>
      </c>
      <c r="M884" t="s">
        <v>33</v>
      </c>
    </row>
    <row r="885" spans="1:13">
      <c r="A885" t="s">
        <v>1</v>
      </c>
      <c r="B885" t="s">
        <v>264</v>
      </c>
      <c r="C885" t="s">
        <v>1168</v>
      </c>
      <c r="D885" t="s">
        <v>1169</v>
      </c>
      <c r="E885" cm="1">
        <f t="array" ref="E885">_xlfn.XLOOKUP(D885,SKU_Master!A:A,SKU_Master!B:B,"Not on master")</f>
        <v>0</v>
      </c>
      <c r="F885" cm="1">
        <f t="array" ref="F885">_xlfn.XLOOKUP(C885,Account_Master!A:A,Account_Master!B:B,"Not on master")</f>
        <v>0</v>
      </c>
      <c r="G885" cm="1">
        <f t="array" ref="G885">_xlfn.XLOOKUP(C885,Account_Master!A:A,Account_Master!C:C,"Not on master")</f>
        <v>0</v>
      </c>
      <c r="H885" s="6">
        <v>94.5</v>
      </c>
      <c r="I885" s="6">
        <v>94.5</v>
      </c>
      <c r="J885" s="6">
        <f>I885-H885</f>
        <v>0</v>
      </c>
      <c r="K885" s="5">
        <f>IF(H885=0,"",J885/H885)</f>
        <v>0</v>
      </c>
      <c r="L885">
        <f>IF(OR(AND(H885=0,ABS(J885)&gt;=0.01),AND(H885&lt;&gt;0,ABS(K885)&gt;VarianceThreshold)),"Review","OK")</f>
        <v>0</v>
      </c>
      <c r="M885" t="s">
        <v>33</v>
      </c>
    </row>
    <row r="886" spans="1:13">
      <c r="A886" t="s">
        <v>1</v>
      </c>
      <c r="B886" t="s">
        <v>264</v>
      </c>
      <c r="C886" t="s">
        <v>1032</v>
      </c>
      <c r="D886" t="s">
        <v>1170</v>
      </c>
      <c r="E886" cm="1">
        <f t="array" ref="E886">_xlfn.XLOOKUP(D886,SKU_Master!A:A,SKU_Master!B:B,"Not on master")</f>
        <v>0</v>
      </c>
      <c r="F886" cm="1">
        <f t="array" ref="F886">_xlfn.XLOOKUP(C886,Account_Master!A:A,Account_Master!B:B,"Not on master")</f>
        <v>0</v>
      </c>
      <c r="G886" cm="1">
        <f t="array" ref="G886">_xlfn.XLOOKUP(C886,Account_Master!A:A,Account_Master!C:C,"Not on master")</f>
        <v>0</v>
      </c>
      <c r="H886" s="6">
        <v>47.25</v>
      </c>
      <c r="I886" s="6">
        <v>47.25</v>
      </c>
      <c r="J886" s="6">
        <f>I886-H886</f>
        <v>0</v>
      </c>
      <c r="K886" s="5">
        <f>IF(H886=0,"",J886/H886)</f>
        <v>0</v>
      </c>
      <c r="L886">
        <f>IF(OR(AND(H886=0,ABS(J886)&gt;=0.01),AND(H886&lt;&gt;0,ABS(K886)&gt;VarianceThreshold)),"Review","OK")</f>
        <v>0</v>
      </c>
      <c r="M886" t="s">
        <v>33</v>
      </c>
    </row>
    <row r="887" spans="1:13">
      <c r="A887" t="s">
        <v>1</v>
      </c>
      <c r="B887" t="s">
        <v>273</v>
      </c>
      <c r="C887" t="s">
        <v>1171</v>
      </c>
      <c r="D887" t="s">
        <v>1172</v>
      </c>
      <c r="E887" cm="1">
        <f t="array" ref="E887">_xlfn.XLOOKUP(D887,SKU_Master!A:A,SKU_Master!B:B,"Not on master")</f>
        <v>0</v>
      </c>
      <c r="F887" cm="1">
        <f t="array" ref="F887">_xlfn.XLOOKUP(C887,Account_Master!A:A,Account_Master!B:B,"Not on master")</f>
        <v>0</v>
      </c>
      <c r="G887" cm="1">
        <f t="array" ref="G887">_xlfn.XLOOKUP(C887,Account_Master!A:A,Account_Master!C:C,"Not on master")</f>
        <v>0</v>
      </c>
      <c r="H887" s="6">
        <v>10.5</v>
      </c>
      <c r="I887" s="6">
        <v>10.5</v>
      </c>
      <c r="J887" s="6">
        <f>I887-H887</f>
        <v>0</v>
      </c>
      <c r="K887" s="5">
        <f>IF(H887=0,"",J887/H887)</f>
        <v>0</v>
      </c>
      <c r="L887">
        <f>IF(OR(AND(H887=0,ABS(J887)&gt;=0.01),AND(H887&lt;&gt;0,ABS(K887)&gt;VarianceThreshold)),"Review","OK")</f>
        <v>0</v>
      </c>
      <c r="M887" t="s">
        <v>33</v>
      </c>
    </row>
    <row r="888" spans="1:13">
      <c r="A888" t="s">
        <v>1</v>
      </c>
      <c r="B888" t="s">
        <v>273</v>
      </c>
      <c r="C888" t="s">
        <v>1173</v>
      </c>
      <c r="D888" t="s">
        <v>1174</v>
      </c>
      <c r="E888" cm="1">
        <f t="array" ref="E888">_xlfn.XLOOKUP(D888,SKU_Master!A:A,SKU_Master!B:B,"Not on master")</f>
        <v>0</v>
      </c>
      <c r="F888" cm="1">
        <f t="array" ref="F888">_xlfn.XLOOKUP(C888,Account_Master!A:A,Account_Master!B:B,"Not on master")</f>
        <v>0</v>
      </c>
      <c r="G888" cm="1">
        <f t="array" ref="G888">_xlfn.XLOOKUP(C888,Account_Master!A:A,Account_Master!C:C,"Not on master")</f>
        <v>0</v>
      </c>
      <c r="H888" s="6">
        <v>2.25</v>
      </c>
      <c r="I888" s="6">
        <v>2.25</v>
      </c>
      <c r="J888" s="6">
        <f>I888-H888</f>
        <v>0</v>
      </c>
      <c r="K888" s="5">
        <f>IF(H888=0,"",J888/H888)</f>
        <v>0</v>
      </c>
      <c r="L888">
        <f>IF(OR(AND(H888=0,ABS(J888)&gt;=0.01),AND(H888&lt;&gt;0,ABS(K888)&gt;VarianceThreshold)),"Review","OK")</f>
        <v>0</v>
      </c>
      <c r="M888" t="s">
        <v>33</v>
      </c>
    </row>
    <row r="889" spans="1:13">
      <c r="A889" t="s">
        <v>1</v>
      </c>
      <c r="B889" t="s">
        <v>273</v>
      </c>
      <c r="C889" t="s">
        <v>1018</v>
      </c>
      <c r="D889" t="s">
        <v>310</v>
      </c>
      <c r="E889" cm="1">
        <f t="array" ref="E889">_xlfn.XLOOKUP(D889,SKU_Master!A:A,SKU_Master!B:B,"Not on master")</f>
        <v>0</v>
      </c>
      <c r="F889" cm="1">
        <f t="array" ref="F889">_xlfn.XLOOKUP(C889,Account_Master!A:A,Account_Master!B:B,"Not on master")</f>
        <v>0</v>
      </c>
      <c r="G889" cm="1">
        <f t="array" ref="G889">_xlfn.XLOOKUP(C889,Account_Master!A:A,Account_Master!C:C,"Not on master")</f>
        <v>0</v>
      </c>
      <c r="H889" s="6">
        <v>1.5</v>
      </c>
      <c r="I889" s="6">
        <v>1.5</v>
      </c>
      <c r="J889" s="6">
        <f>I889-H889</f>
        <v>0</v>
      </c>
      <c r="K889" s="5">
        <f>IF(H889=0,"",J889/H889)</f>
        <v>0</v>
      </c>
      <c r="L889">
        <f>IF(OR(AND(H889=0,ABS(J889)&gt;=0.01),AND(H889&lt;&gt;0,ABS(K889)&gt;VarianceThreshold)),"Review","OK")</f>
        <v>0</v>
      </c>
      <c r="M889" t="s">
        <v>33</v>
      </c>
    </row>
    <row r="890" spans="1:13">
      <c r="A890" t="s">
        <v>1</v>
      </c>
      <c r="B890" t="s">
        <v>273</v>
      </c>
      <c r="C890" t="s">
        <v>1059</v>
      </c>
      <c r="D890" t="s">
        <v>433</v>
      </c>
      <c r="E890" cm="1">
        <f t="array" ref="E890">_xlfn.XLOOKUP(D890,SKU_Master!A:A,SKU_Master!B:B,"Not on master")</f>
        <v>0</v>
      </c>
      <c r="F890" cm="1">
        <f t="array" ref="F890">_xlfn.XLOOKUP(C890,Account_Master!A:A,Account_Master!B:B,"Not on master")</f>
        <v>0</v>
      </c>
      <c r="G890" cm="1">
        <f t="array" ref="G890">_xlfn.XLOOKUP(C890,Account_Master!A:A,Account_Master!C:C,"Not on master")</f>
        <v>0</v>
      </c>
      <c r="H890" s="6">
        <v>9.75</v>
      </c>
      <c r="I890" s="6">
        <v>9.75</v>
      </c>
      <c r="J890" s="6">
        <f>I890-H890</f>
        <v>0</v>
      </c>
      <c r="K890" s="5">
        <f>IF(H890=0,"",J890/H890)</f>
        <v>0</v>
      </c>
      <c r="L890">
        <f>IF(OR(AND(H890=0,ABS(J890)&gt;=0.01),AND(H890&lt;&gt;0,ABS(K890)&gt;VarianceThreshold)),"Review","OK")</f>
        <v>0</v>
      </c>
      <c r="M890" t="s">
        <v>33</v>
      </c>
    </row>
    <row r="891" spans="1:13">
      <c r="A891" t="s">
        <v>1</v>
      </c>
      <c r="B891" t="s">
        <v>273</v>
      </c>
      <c r="C891" t="s">
        <v>1053</v>
      </c>
      <c r="D891" t="s">
        <v>1175</v>
      </c>
      <c r="E891" cm="1">
        <f t="array" ref="E891">_xlfn.XLOOKUP(D891,SKU_Master!A:A,SKU_Master!B:B,"Not on master")</f>
        <v>0</v>
      </c>
      <c r="F891" cm="1">
        <f t="array" ref="F891">_xlfn.XLOOKUP(C891,Account_Master!A:A,Account_Master!B:B,"Not on master")</f>
        <v>0</v>
      </c>
      <c r="G891" cm="1">
        <f t="array" ref="G891">_xlfn.XLOOKUP(C891,Account_Master!A:A,Account_Master!C:C,"Not on master")</f>
        <v>0</v>
      </c>
      <c r="H891" s="6">
        <v>12.25</v>
      </c>
      <c r="I891" s="6">
        <v>12.25</v>
      </c>
      <c r="J891" s="6">
        <f>I891-H891</f>
        <v>0</v>
      </c>
      <c r="K891" s="5">
        <f>IF(H891=0,"",J891/H891)</f>
        <v>0</v>
      </c>
      <c r="L891">
        <f>IF(OR(AND(H891=0,ABS(J891)&gt;=0.01),AND(H891&lt;&gt;0,ABS(K891)&gt;VarianceThreshold)),"Review","OK")</f>
        <v>0</v>
      </c>
      <c r="M891" t="s">
        <v>33</v>
      </c>
    </row>
    <row r="892" spans="1:13">
      <c r="A892" t="s">
        <v>1</v>
      </c>
      <c r="B892" t="s">
        <v>284</v>
      </c>
      <c r="C892" t="s">
        <v>1053</v>
      </c>
      <c r="D892" t="s">
        <v>1176</v>
      </c>
      <c r="E892" cm="1">
        <f t="array" ref="E892">_xlfn.XLOOKUP(D892,SKU_Master!A:A,SKU_Master!B:B,"Not on master")</f>
        <v>0</v>
      </c>
      <c r="F892" cm="1">
        <f t="array" ref="F892">_xlfn.XLOOKUP(C892,Account_Master!A:A,Account_Master!B:B,"Not on master")</f>
        <v>0</v>
      </c>
      <c r="G892" cm="1">
        <f t="array" ref="G892">_xlfn.XLOOKUP(C892,Account_Master!A:A,Account_Master!C:C,"Not on master")</f>
        <v>0</v>
      </c>
      <c r="H892" s="6">
        <v>42</v>
      </c>
      <c r="I892" s="6">
        <v>42</v>
      </c>
      <c r="J892" s="6">
        <f>I892-H892</f>
        <v>0</v>
      </c>
      <c r="K892" s="5">
        <f>IF(H892=0,"",J892/H892)</f>
        <v>0</v>
      </c>
      <c r="L892">
        <f>IF(OR(AND(H892=0,ABS(J892)&gt;=0.01),AND(H892&lt;&gt;0,ABS(K892)&gt;VarianceThreshold)),"Review","OK")</f>
        <v>0</v>
      </c>
      <c r="M892" t="s">
        <v>33</v>
      </c>
    </row>
    <row r="893" spans="1:13">
      <c r="A893" t="s">
        <v>1</v>
      </c>
      <c r="B893" t="s">
        <v>284</v>
      </c>
      <c r="C893" t="s">
        <v>1177</v>
      </c>
      <c r="D893" t="s">
        <v>1178</v>
      </c>
      <c r="E893" cm="1">
        <f t="array" ref="E893">_xlfn.XLOOKUP(D893,SKU_Master!A:A,SKU_Master!B:B,"Not on master")</f>
        <v>0</v>
      </c>
      <c r="F893" cm="1">
        <f t="array" ref="F893">_xlfn.XLOOKUP(C893,Account_Master!A:A,Account_Master!B:B,"Not on master")</f>
        <v>0</v>
      </c>
      <c r="G893" cm="1">
        <f t="array" ref="G893">_xlfn.XLOOKUP(C893,Account_Master!A:A,Account_Master!C:C,"Not on master")</f>
        <v>0</v>
      </c>
      <c r="H893" s="6">
        <v>0.1</v>
      </c>
      <c r="I893" s="6">
        <v>0.1</v>
      </c>
      <c r="J893" s="6">
        <f>I893-H893</f>
        <v>0</v>
      </c>
      <c r="K893" s="5">
        <f>IF(H893=0,"",J893/H893)</f>
        <v>0</v>
      </c>
      <c r="L893">
        <f>IF(OR(AND(H893=0,ABS(J893)&gt;=0.01),AND(H893&lt;&gt;0,ABS(K893)&gt;VarianceThreshold)),"Review","OK")</f>
        <v>0</v>
      </c>
      <c r="M893" t="s">
        <v>33</v>
      </c>
    </row>
    <row r="894" spans="1:13">
      <c r="A894" t="s">
        <v>1</v>
      </c>
      <c r="B894" t="s">
        <v>284</v>
      </c>
      <c r="C894" t="s">
        <v>1109</v>
      </c>
      <c r="D894" t="s">
        <v>258</v>
      </c>
      <c r="E894" cm="1">
        <f t="array" ref="E894">_xlfn.XLOOKUP(D894,SKU_Master!A:A,SKU_Master!B:B,"Not on master")</f>
        <v>0</v>
      </c>
      <c r="F894" cm="1">
        <f t="array" ref="F894">_xlfn.XLOOKUP(C894,Account_Master!A:A,Account_Master!B:B,"Not on master")</f>
        <v>0</v>
      </c>
      <c r="G894" cm="1">
        <f t="array" ref="G894">_xlfn.XLOOKUP(C894,Account_Master!A:A,Account_Master!C:C,"Not on master")</f>
        <v>0</v>
      </c>
      <c r="H894" s="6">
        <v>46.12</v>
      </c>
      <c r="I894" s="6">
        <v>46.12</v>
      </c>
      <c r="J894" s="6">
        <f>I894-H894</f>
        <v>0</v>
      </c>
      <c r="K894" s="5">
        <f>IF(H894=0,"",J894/H894)</f>
        <v>0</v>
      </c>
      <c r="L894">
        <f>IF(OR(AND(H894=0,ABS(J894)&gt;=0.01),AND(H894&lt;&gt;0,ABS(K894)&gt;VarianceThreshold)),"Review","OK")</f>
        <v>0</v>
      </c>
      <c r="M894" t="s">
        <v>33</v>
      </c>
    </row>
    <row r="895" spans="1:13">
      <c r="A895" t="s">
        <v>1</v>
      </c>
      <c r="B895" t="s">
        <v>284</v>
      </c>
      <c r="C895" t="s">
        <v>1019</v>
      </c>
      <c r="D895" t="s">
        <v>1179</v>
      </c>
      <c r="E895" cm="1">
        <f t="array" ref="E895">_xlfn.XLOOKUP(D895,SKU_Master!A:A,SKU_Master!B:B,"Not on master")</f>
        <v>0</v>
      </c>
      <c r="F895" cm="1">
        <f t="array" ref="F895">_xlfn.XLOOKUP(C895,Account_Master!A:A,Account_Master!B:B,"Not on master")</f>
        <v>0</v>
      </c>
      <c r="G895" cm="1">
        <f t="array" ref="G895">_xlfn.XLOOKUP(C895,Account_Master!A:A,Account_Master!C:C,"Not on master")</f>
        <v>0</v>
      </c>
      <c r="H895" s="6">
        <v>0.75</v>
      </c>
      <c r="I895" s="6">
        <v>0.75</v>
      </c>
      <c r="J895" s="6">
        <f>I895-H895</f>
        <v>0</v>
      </c>
      <c r="K895" s="5">
        <f>IF(H895=0,"",J895/H895)</f>
        <v>0</v>
      </c>
      <c r="L895">
        <f>IF(OR(AND(H895=0,ABS(J895)&gt;=0.01),AND(H895&lt;&gt;0,ABS(K895)&gt;VarianceThreshold)),"Review","OK")</f>
        <v>0</v>
      </c>
      <c r="M895" t="s">
        <v>33</v>
      </c>
    </row>
    <row r="896" spans="1:13">
      <c r="A896" t="s">
        <v>1</v>
      </c>
      <c r="B896" t="s">
        <v>284</v>
      </c>
      <c r="C896" t="s">
        <v>1078</v>
      </c>
      <c r="D896" t="s">
        <v>1180</v>
      </c>
      <c r="E896" cm="1">
        <f t="array" ref="E896">_xlfn.XLOOKUP(D896,SKU_Master!A:A,SKU_Master!B:B,"Not on master")</f>
        <v>0</v>
      </c>
      <c r="F896" cm="1">
        <f t="array" ref="F896">_xlfn.XLOOKUP(C896,Account_Master!A:A,Account_Master!B:B,"Not on master")</f>
        <v>0</v>
      </c>
      <c r="G896" cm="1">
        <f t="array" ref="G896">_xlfn.XLOOKUP(C896,Account_Master!A:A,Account_Master!C:C,"Not on master")</f>
        <v>0</v>
      </c>
      <c r="H896" s="6">
        <v>1.5</v>
      </c>
      <c r="I896" s="6">
        <v>1.5</v>
      </c>
      <c r="J896" s="6">
        <f>I896-H896</f>
        <v>0</v>
      </c>
      <c r="K896" s="5">
        <f>IF(H896=0,"",J896/H896)</f>
        <v>0</v>
      </c>
      <c r="L896">
        <f>IF(OR(AND(H896=0,ABS(J896)&gt;=0.01),AND(H896&lt;&gt;0,ABS(K896)&gt;VarianceThreshold)),"Review","OK")</f>
        <v>0</v>
      </c>
      <c r="M896" t="s">
        <v>33</v>
      </c>
    </row>
    <row r="897" spans="1:13">
      <c r="A897" t="s">
        <v>1</v>
      </c>
      <c r="B897" t="s">
        <v>289</v>
      </c>
      <c r="C897" t="s">
        <v>1018</v>
      </c>
      <c r="D897" t="s">
        <v>1181</v>
      </c>
      <c r="E897" cm="1">
        <f t="array" ref="E897">_xlfn.XLOOKUP(D897,SKU_Master!A:A,SKU_Master!B:B,"Not on master")</f>
        <v>0</v>
      </c>
      <c r="F897" cm="1">
        <f t="array" ref="F897">_xlfn.XLOOKUP(C897,Account_Master!A:A,Account_Master!B:B,"Not on master")</f>
        <v>0</v>
      </c>
      <c r="G897" cm="1">
        <f t="array" ref="G897">_xlfn.XLOOKUP(C897,Account_Master!A:A,Account_Master!C:C,"Not on master")</f>
        <v>0</v>
      </c>
      <c r="H897" s="6">
        <v>10.5</v>
      </c>
      <c r="I897" s="6">
        <v>10.5</v>
      </c>
      <c r="J897" s="6">
        <f>I897-H897</f>
        <v>0</v>
      </c>
      <c r="K897" s="5">
        <f>IF(H897=0,"",J897/H897)</f>
        <v>0</v>
      </c>
      <c r="L897">
        <f>IF(OR(AND(H897=0,ABS(J897)&gt;=0.01),AND(H897&lt;&gt;0,ABS(K897)&gt;VarianceThreshold)),"Review","OK")</f>
        <v>0</v>
      </c>
      <c r="M897" t="s">
        <v>33</v>
      </c>
    </row>
    <row r="898" spans="1:13">
      <c r="A898" t="s">
        <v>1</v>
      </c>
      <c r="B898" t="s">
        <v>289</v>
      </c>
      <c r="C898" t="s">
        <v>1019</v>
      </c>
      <c r="D898" t="s">
        <v>1182</v>
      </c>
      <c r="E898" cm="1">
        <f t="array" ref="E898">_xlfn.XLOOKUP(D898,SKU_Master!A:A,SKU_Master!B:B,"Not on master")</f>
        <v>0</v>
      </c>
      <c r="F898" cm="1">
        <f t="array" ref="F898">_xlfn.XLOOKUP(C898,Account_Master!A:A,Account_Master!B:B,"Not on master")</f>
        <v>0</v>
      </c>
      <c r="G898" cm="1">
        <f t="array" ref="G898">_xlfn.XLOOKUP(C898,Account_Master!A:A,Account_Master!C:C,"Not on master")</f>
        <v>0</v>
      </c>
      <c r="H898" s="6">
        <v>12.25</v>
      </c>
      <c r="I898" s="6">
        <v>12.25</v>
      </c>
      <c r="J898" s="6">
        <f>I898-H898</f>
        <v>0</v>
      </c>
      <c r="K898" s="5">
        <f>IF(H898=0,"",J898/H898)</f>
        <v>0</v>
      </c>
      <c r="L898">
        <f>IF(OR(AND(H898=0,ABS(J898)&gt;=0.01),AND(H898&lt;&gt;0,ABS(K898)&gt;VarianceThreshold)),"Review","OK")</f>
        <v>0</v>
      </c>
      <c r="M898" t="s">
        <v>33</v>
      </c>
    </row>
    <row r="899" spans="1:13">
      <c r="A899" t="s">
        <v>1</v>
      </c>
      <c r="B899" t="s">
        <v>289</v>
      </c>
      <c r="C899" t="s">
        <v>1036</v>
      </c>
      <c r="D899" t="s">
        <v>847</v>
      </c>
      <c r="E899" cm="1">
        <f t="array" ref="E899">_xlfn.XLOOKUP(D899,SKU_Master!A:A,SKU_Master!B:B,"Not on master")</f>
        <v>0</v>
      </c>
      <c r="F899" cm="1">
        <f t="array" ref="F899">_xlfn.XLOOKUP(C899,Account_Master!A:A,Account_Master!B:B,"Not on master")</f>
        <v>0</v>
      </c>
      <c r="G899" cm="1">
        <f t="array" ref="G899">_xlfn.XLOOKUP(C899,Account_Master!A:A,Account_Master!C:C,"Not on master")</f>
        <v>0</v>
      </c>
      <c r="H899" s="6">
        <v>9</v>
      </c>
      <c r="I899" s="6">
        <v>9</v>
      </c>
      <c r="J899" s="6">
        <f>I899-H899</f>
        <v>0</v>
      </c>
      <c r="K899" s="5">
        <f>IF(H899=0,"",J899/H899)</f>
        <v>0</v>
      </c>
      <c r="L899">
        <f>IF(OR(AND(H899=0,ABS(J899)&gt;=0.01),AND(H899&lt;&gt;0,ABS(K899)&gt;VarianceThreshold)),"Review","OK")</f>
        <v>0</v>
      </c>
      <c r="M899" t="s">
        <v>33</v>
      </c>
    </row>
    <row r="900" spans="1:13">
      <c r="A900" t="s">
        <v>1</v>
      </c>
      <c r="B900" t="s">
        <v>289</v>
      </c>
      <c r="C900" t="s">
        <v>1183</v>
      </c>
      <c r="D900" t="s">
        <v>1184</v>
      </c>
      <c r="E900" cm="1">
        <f t="array" ref="E900">_xlfn.XLOOKUP(D900,SKU_Master!A:A,SKU_Master!B:B,"Not on master")</f>
        <v>0</v>
      </c>
      <c r="F900" cm="1">
        <f t="array" ref="F900">_xlfn.XLOOKUP(C900,Account_Master!A:A,Account_Master!B:B,"Not on master")</f>
        <v>0</v>
      </c>
      <c r="G900" cm="1">
        <f t="array" ref="G900">_xlfn.XLOOKUP(C900,Account_Master!A:A,Account_Master!C:C,"Not on master")</f>
        <v>0</v>
      </c>
      <c r="H900" s="6">
        <v>20.25</v>
      </c>
      <c r="I900" s="6">
        <v>20.25</v>
      </c>
      <c r="J900" s="6">
        <f>I900-H900</f>
        <v>0</v>
      </c>
      <c r="K900" s="5">
        <f>IF(H900=0,"",J900/H900)</f>
        <v>0</v>
      </c>
      <c r="L900">
        <f>IF(OR(AND(H900=0,ABS(J900)&gt;=0.01),AND(H900&lt;&gt;0,ABS(K900)&gt;VarianceThreshold)),"Review","OK")</f>
        <v>0</v>
      </c>
      <c r="M900" t="s">
        <v>33</v>
      </c>
    </row>
    <row r="901" spans="1:13">
      <c r="A901" t="s">
        <v>1</v>
      </c>
      <c r="B901" t="s">
        <v>289</v>
      </c>
      <c r="C901" t="s">
        <v>1112</v>
      </c>
      <c r="D901" t="s">
        <v>983</v>
      </c>
      <c r="E901" cm="1">
        <f t="array" ref="E901">_xlfn.XLOOKUP(D901,SKU_Master!A:A,SKU_Master!B:B,"Not on master")</f>
        <v>0</v>
      </c>
      <c r="F901" cm="1">
        <f t="array" ref="F901">_xlfn.XLOOKUP(C901,Account_Master!A:A,Account_Master!B:B,"Not on master")</f>
        <v>0</v>
      </c>
      <c r="G901" cm="1">
        <f t="array" ref="G901">_xlfn.XLOOKUP(C901,Account_Master!A:A,Account_Master!C:C,"Not on master")</f>
        <v>0</v>
      </c>
      <c r="H901" s="6">
        <v>9</v>
      </c>
      <c r="I901" s="6">
        <v>9</v>
      </c>
      <c r="J901" s="6">
        <f>I901-H901</f>
        <v>0</v>
      </c>
      <c r="K901" s="5">
        <f>IF(H901=0,"",J901/H901)</f>
        <v>0</v>
      </c>
      <c r="L901">
        <f>IF(OR(AND(H901=0,ABS(J901)&gt;=0.01),AND(H901&lt;&gt;0,ABS(K901)&gt;VarianceThreshold)),"Review","OK")</f>
        <v>0</v>
      </c>
      <c r="M901" t="s">
        <v>33</v>
      </c>
    </row>
    <row r="902" spans="1:13">
      <c r="A902" t="s">
        <v>1</v>
      </c>
      <c r="B902" t="s">
        <v>289</v>
      </c>
      <c r="C902" t="s">
        <v>1185</v>
      </c>
      <c r="D902" t="s">
        <v>947</v>
      </c>
      <c r="E902" cm="1">
        <f t="array" ref="E902">_xlfn.XLOOKUP(D902,SKU_Master!A:A,SKU_Master!B:B,"Not on master")</f>
        <v>0</v>
      </c>
      <c r="F902" cm="1">
        <f t="array" ref="F902">_xlfn.XLOOKUP(C902,Account_Master!A:A,Account_Master!B:B,"Not on master")</f>
        <v>0</v>
      </c>
      <c r="G902" cm="1">
        <f t="array" ref="G902">_xlfn.XLOOKUP(C902,Account_Master!A:A,Account_Master!C:C,"Not on master")</f>
        <v>0</v>
      </c>
      <c r="H902" s="6">
        <v>36</v>
      </c>
      <c r="I902" s="6">
        <v>36</v>
      </c>
      <c r="J902" s="6">
        <f>I902-H902</f>
        <v>0</v>
      </c>
      <c r="K902" s="5">
        <f>IF(H902=0,"",J902/H902)</f>
        <v>0</v>
      </c>
      <c r="L902">
        <f>IF(OR(AND(H902=0,ABS(J902)&gt;=0.01),AND(H902&lt;&gt;0,ABS(K902)&gt;VarianceThreshold)),"Review","OK")</f>
        <v>0</v>
      </c>
      <c r="M902" t="s">
        <v>33</v>
      </c>
    </row>
    <row r="903" spans="1:13">
      <c r="A903" t="s">
        <v>1</v>
      </c>
      <c r="B903" t="s">
        <v>289</v>
      </c>
      <c r="C903" t="s">
        <v>1186</v>
      </c>
      <c r="D903" t="s">
        <v>1187</v>
      </c>
      <c r="E903" cm="1">
        <f t="array" ref="E903">_xlfn.XLOOKUP(D903,SKU_Master!A:A,SKU_Master!B:B,"Not on master")</f>
        <v>0</v>
      </c>
      <c r="F903" cm="1">
        <f t="array" ref="F903">_xlfn.XLOOKUP(C903,Account_Master!A:A,Account_Master!B:B,"Not on master")</f>
        <v>0</v>
      </c>
      <c r="G903" cm="1">
        <f t="array" ref="G903">_xlfn.XLOOKUP(C903,Account_Master!A:A,Account_Master!C:C,"Not on master")</f>
        <v>0</v>
      </c>
      <c r="H903" s="6">
        <v>11</v>
      </c>
      <c r="I903" s="6">
        <v>11</v>
      </c>
      <c r="J903" s="6">
        <f>I903-H903</f>
        <v>0</v>
      </c>
      <c r="K903" s="5">
        <f>IF(H903=0,"",J903/H903)</f>
        <v>0</v>
      </c>
      <c r="L903">
        <f>IF(OR(AND(H903=0,ABS(J903)&gt;=0.01),AND(H903&lt;&gt;0,ABS(K903)&gt;VarianceThreshold)),"Review","OK")</f>
        <v>0</v>
      </c>
      <c r="M903" t="s">
        <v>33</v>
      </c>
    </row>
    <row r="904" spans="1:13">
      <c r="A904" t="s">
        <v>1</v>
      </c>
      <c r="B904" t="s">
        <v>299</v>
      </c>
      <c r="C904" t="s">
        <v>1173</v>
      </c>
      <c r="D904" t="s">
        <v>1188</v>
      </c>
      <c r="E904" cm="1">
        <f t="array" ref="E904">_xlfn.XLOOKUP(D904,SKU_Master!A:A,SKU_Master!B:B,"Not on master")</f>
        <v>0</v>
      </c>
      <c r="F904" cm="1">
        <f t="array" ref="F904">_xlfn.XLOOKUP(C904,Account_Master!A:A,Account_Master!B:B,"Not on master")</f>
        <v>0</v>
      </c>
      <c r="G904" cm="1">
        <f t="array" ref="G904">_xlfn.XLOOKUP(C904,Account_Master!A:A,Account_Master!C:C,"Not on master")</f>
        <v>0</v>
      </c>
      <c r="H904" s="6">
        <v>0.5</v>
      </c>
      <c r="I904" s="6">
        <v>0.5</v>
      </c>
      <c r="J904" s="6">
        <f>I904-H904</f>
        <v>0</v>
      </c>
      <c r="K904" s="5">
        <f>IF(H904=0,"",J904/H904)</f>
        <v>0</v>
      </c>
      <c r="L904">
        <f>IF(OR(AND(H904=0,ABS(J904)&gt;=0.01),AND(H904&lt;&gt;0,ABS(K904)&gt;VarianceThreshold)),"Review","OK")</f>
        <v>0</v>
      </c>
      <c r="M904" t="s">
        <v>33</v>
      </c>
    </row>
    <row r="905" spans="1:13">
      <c r="A905" t="s">
        <v>1</v>
      </c>
      <c r="B905" t="s">
        <v>299</v>
      </c>
      <c r="C905" t="s">
        <v>1019</v>
      </c>
      <c r="D905" t="s">
        <v>809</v>
      </c>
      <c r="E905" cm="1">
        <f t="array" ref="E905">_xlfn.XLOOKUP(D905,SKU_Master!A:A,SKU_Master!B:B,"Not on master")</f>
        <v>0</v>
      </c>
      <c r="F905" cm="1">
        <f t="array" ref="F905">_xlfn.XLOOKUP(C905,Account_Master!A:A,Account_Master!B:B,"Not on master")</f>
        <v>0</v>
      </c>
      <c r="G905" cm="1">
        <f t="array" ref="G905">_xlfn.XLOOKUP(C905,Account_Master!A:A,Account_Master!C:C,"Not on master")</f>
        <v>0</v>
      </c>
      <c r="H905" s="6">
        <v>0.75</v>
      </c>
      <c r="I905" s="6">
        <v>0.75</v>
      </c>
      <c r="J905" s="6">
        <f>I905-H905</f>
        <v>0</v>
      </c>
      <c r="K905" s="5">
        <f>IF(H905=0,"",J905/H905)</f>
        <v>0</v>
      </c>
      <c r="L905">
        <f>IF(OR(AND(H905=0,ABS(J905)&gt;=0.01),AND(H905&lt;&gt;0,ABS(K905)&gt;VarianceThreshold)),"Review","OK")</f>
        <v>0</v>
      </c>
      <c r="M905" t="s">
        <v>33</v>
      </c>
    </row>
    <row r="906" spans="1:13">
      <c r="A906" t="s">
        <v>1</v>
      </c>
      <c r="B906" t="s">
        <v>299</v>
      </c>
      <c r="C906" t="s">
        <v>1041</v>
      </c>
      <c r="D906" t="s">
        <v>1189</v>
      </c>
      <c r="E906" cm="1">
        <f t="array" ref="E906">_xlfn.XLOOKUP(D906,SKU_Master!A:A,SKU_Master!B:B,"Not on master")</f>
        <v>0</v>
      </c>
      <c r="F906" cm="1">
        <f t="array" ref="F906">_xlfn.XLOOKUP(C906,Account_Master!A:A,Account_Master!B:B,"Not on master")</f>
        <v>0</v>
      </c>
      <c r="G906" cm="1">
        <f t="array" ref="G906">_xlfn.XLOOKUP(C906,Account_Master!A:A,Account_Master!C:C,"Not on master")</f>
        <v>0</v>
      </c>
      <c r="H906" s="6">
        <v>42</v>
      </c>
      <c r="I906" s="6">
        <v>42</v>
      </c>
      <c r="J906" s="6">
        <f>I906-H906</f>
        <v>0</v>
      </c>
      <c r="K906" s="5">
        <f>IF(H906=0,"",J906/H906)</f>
        <v>0</v>
      </c>
      <c r="L906">
        <f>IF(OR(AND(H906=0,ABS(J906)&gt;=0.01),AND(H906&lt;&gt;0,ABS(K906)&gt;VarianceThreshold)),"Review","OK")</f>
        <v>0</v>
      </c>
      <c r="M906" t="s">
        <v>33</v>
      </c>
    </row>
    <row r="907" spans="1:13">
      <c r="A907" t="s">
        <v>1</v>
      </c>
      <c r="B907" t="s">
        <v>299</v>
      </c>
      <c r="C907" t="s">
        <v>1023</v>
      </c>
      <c r="D907" t="s">
        <v>1190</v>
      </c>
      <c r="E907" cm="1">
        <f t="array" ref="E907">_xlfn.XLOOKUP(D907,SKU_Master!A:A,SKU_Master!B:B,"Not on master")</f>
        <v>0</v>
      </c>
      <c r="F907" cm="1">
        <f t="array" ref="F907">_xlfn.XLOOKUP(C907,Account_Master!A:A,Account_Master!B:B,"Not on master")</f>
        <v>0</v>
      </c>
      <c r="G907" cm="1">
        <f t="array" ref="G907">_xlfn.XLOOKUP(C907,Account_Master!A:A,Account_Master!C:C,"Not on master")</f>
        <v>0</v>
      </c>
      <c r="H907" s="6">
        <v>63</v>
      </c>
      <c r="I907" s="6">
        <v>63</v>
      </c>
      <c r="J907" s="6">
        <f>I907-H907</f>
        <v>0</v>
      </c>
      <c r="K907" s="5">
        <f>IF(H907=0,"",J907/H907)</f>
        <v>0</v>
      </c>
      <c r="L907">
        <f>IF(OR(AND(H907=0,ABS(J907)&gt;=0.01),AND(H907&lt;&gt;0,ABS(K907)&gt;VarianceThreshold)),"Review","OK")</f>
        <v>0</v>
      </c>
      <c r="M907" t="s">
        <v>33</v>
      </c>
    </row>
    <row r="908" spans="1:13">
      <c r="A908" t="s">
        <v>1</v>
      </c>
      <c r="B908" t="s">
        <v>299</v>
      </c>
      <c r="C908" t="s">
        <v>1010</v>
      </c>
      <c r="D908" t="s">
        <v>1191</v>
      </c>
      <c r="E908" cm="1">
        <f t="array" ref="E908">_xlfn.XLOOKUP(D908,SKU_Master!A:A,SKU_Master!B:B,"Not on master")</f>
        <v>0</v>
      </c>
      <c r="F908" cm="1">
        <f t="array" ref="F908">_xlfn.XLOOKUP(C908,Account_Master!A:A,Account_Master!B:B,"Not on master")</f>
        <v>0</v>
      </c>
      <c r="G908" cm="1">
        <f t="array" ref="G908">_xlfn.XLOOKUP(C908,Account_Master!A:A,Account_Master!C:C,"Not on master")</f>
        <v>0</v>
      </c>
      <c r="H908" s="6">
        <v>2.25</v>
      </c>
      <c r="I908" s="6">
        <v>2.25</v>
      </c>
      <c r="J908" s="6">
        <f>I908-H908</f>
        <v>0</v>
      </c>
      <c r="K908" s="5">
        <f>IF(H908=0,"",J908/H908)</f>
        <v>0</v>
      </c>
      <c r="L908">
        <f>IF(OR(AND(H908=0,ABS(J908)&gt;=0.01),AND(H908&lt;&gt;0,ABS(K908)&gt;VarianceThreshold)),"Review","OK")</f>
        <v>0</v>
      </c>
      <c r="M908" t="s">
        <v>33</v>
      </c>
    </row>
    <row r="909" spans="1:13">
      <c r="A909" t="s">
        <v>1</v>
      </c>
      <c r="B909" t="s">
        <v>299</v>
      </c>
      <c r="C909" t="s">
        <v>1019</v>
      </c>
      <c r="D909" t="s">
        <v>1192</v>
      </c>
      <c r="E909" cm="1">
        <f t="array" ref="E909">_xlfn.XLOOKUP(D909,SKU_Master!A:A,SKU_Master!B:B,"Not on master")</f>
        <v>0</v>
      </c>
      <c r="F909" cm="1">
        <f t="array" ref="F909">_xlfn.XLOOKUP(C909,Account_Master!A:A,Account_Master!B:B,"Not on master")</f>
        <v>0</v>
      </c>
      <c r="G909" cm="1">
        <f t="array" ref="G909">_xlfn.XLOOKUP(C909,Account_Master!A:A,Account_Master!C:C,"Not on master")</f>
        <v>0</v>
      </c>
      <c r="H909" s="6">
        <v>0.75</v>
      </c>
      <c r="I909" s="6">
        <v>0.75</v>
      </c>
      <c r="J909" s="6">
        <f>I909-H909</f>
        <v>0</v>
      </c>
      <c r="K909" s="5">
        <f>IF(H909=0,"",J909/H909)</f>
        <v>0</v>
      </c>
      <c r="L909">
        <f>IF(OR(AND(H909=0,ABS(J909)&gt;=0.01),AND(H909&lt;&gt;0,ABS(K909)&gt;VarianceThreshold)),"Review","OK")</f>
        <v>0</v>
      </c>
      <c r="M909" t="s">
        <v>33</v>
      </c>
    </row>
    <row r="910" spans="1:13">
      <c r="A910" t="s">
        <v>1</v>
      </c>
      <c r="B910" t="s">
        <v>299</v>
      </c>
      <c r="C910" t="s">
        <v>1193</v>
      </c>
      <c r="D910" t="s">
        <v>1194</v>
      </c>
      <c r="E910" cm="1">
        <f t="array" ref="E910">_xlfn.XLOOKUP(D910,SKU_Master!A:A,SKU_Master!B:B,"Not on master")</f>
        <v>0</v>
      </c>
      <c r="F910" cm="1">
        <f t="array" ref="F910">_xlfn.XLOOKUP(C910,Account_Master!A:A,Account_Master!B:B,"Not on master")</f>
        <v>0</v>
      </c>
      <c r="G910" cm="1">
        <f t="array" ref="G910">_xlfn.XLOOKUP(C910,Account_Master!A:A,Account_Master!C:C,"Not on master")</f>
        <v>0</v>
      </c>
      <c r="H910" s="6">
        <v>0.1</v>
      </c>
      <c r="I910" s="6">
        <v>0.1</v>
      </c>
      <c r="J910" s="6">
        <f>I910-H910</f>
        <v>0</v>
      </c>
      <c r="K910" s="5">
        <f>IF(H910=0,"",J910/H910)</f>
        <v>0</v>
      </c>
      <c r="L910">
        <f>IF(OR(AND(H910=0,ABS(J910)&gt;=0.01),AND(H910&lt;&gt;0,ABS(K910)&gt;VarianceThreshold)),"Review","OK")</f>
        <v>0</v>
      </c>
      <c r="M910" t="s">
        <v>33</v>
      </c>
    </row>
    <row r="911" spans="1:13">
      <c r="A911" t="s">
        <v>1</v>
      </c>
      <c r="B911" t="s">
        <v>299</v>
      </c>
      <c r="C911" t="s">
        <v>1048</v>
      </c>
      <c r="D911" t="s">
        <v>584</v>
      </c>
      <c r="E911" cm="1">
        <f t="array" ref="E911">_xlfn.XLOOKUP(D911,SKU_Master!A:A,SKU_Master!B:B,"Not on master")</f>
        <v>0</v>
      </c>
      <c r="F911" cm="1">
        <f t="array" ref="F911">_xlfn.XLOOKUP(C911,Account_Master!A:A,Account_Master!B:B,"Not on master")</f>
        <v>0</v>
      </c>
      <c r="G911" cm="1">
        <f t="array" ref="G911">_xlfn.XLOOKUP(C911,Account_Master!A:A,Account_Master!C:C,"Not on master")</f>
        <v>0</v>
      </c>
      <c r="H911" s="6">
        <v>0.15</v>
      </c>
      <c r="I911" s="6">
        <v>0.15</v>
      </c>
      <c r="J911" s="6">
        <f>I911-H911</f>
        <v>0</v>
      </c>
      <c r="K911" s="5">
        <f>IF(H911=0,"",J911/H911)</f>
        <v>0</v>
      </c>
      <c r="L911">
        <f>IF(OR(AND(H911=0,ABS(J911)&gt;=0.01),AND(H911&lt;&gt;0,ABS(K911)&gt;VarianceThreshold)),"Review","OK")</f>
        <v>0</v>
      </c>
      <c r="M911" t="s">
        <v>33</v>
      </c>
    </row>
    <row r="912" spans="1:13">
      <c r="A912" t="s">
        <v>1</v>
      </c>
      <c r="B912" t="s">
        <v>299</v>
      </c>
      <c r="C912" t="s">
        <v>1013</v>
      </c>
      <c r="D912" t="s">
        <v>901</v>
      </c>
      <c r="E912" cm="1">
        <f t="array" ref="E912">_xlfn.XLOOKUP(D912,SKU_Master!A:A,SKU_Master!B:B,"Not on master")</f>
        <v>0</v>
      </c>
      <c r="F912" cm="1">
        <f t="array" ref="F912">_xlfn.XLOOKUP(C912,Account_Master!A:A,Account_Master!B:B,"Not on master")</f>
        <v>0</v>
      </c>
      <c r="G912" cm="1">
        <f t="array" ref="G912">_xlfn.XLOOKUP(C912,Account_Master!A:A,Account_Master!C:C,"Not on master")</f>
        <v>0</v>
      </c>
      <c r="H912" s="6">
        <v>34.5</v>
      </c>
      <c r="I912" s="6">
        <v>34.5</v>
      </c>
      <c r="J912" s="6">
        <f>I912-H912</f>
        <v>0</v>
      </c>
      <c r="K912" s="5">
        <f>IF(H912=0,"",J912/H912)</f>
        <v>0</v>
      </c>
      <c r="L912">
        <f>IF(OR(AND(H912=0,ABS(J912)&gt;=0.01),AND(H912&lt;&gt;0,ABS(K912)&gt;VarianceThreshold)),"Review","OK")</f>
        <v>0</v>
      </c>
      <c r="M912" t="s">
        <v>33</v>
      </c>
    </row>
    <row r="913" spans="1:13">
      <c r="A913" t="s">
        <v>1</v>
      </c>
      <c r="B913" t="s">
        <v>299</v>
      </c>
      <c r="C913" t="s">
        <v>1010</v>
      </c>
      <c r="D913" t="s">
        <v>1195</v>
      </c>
      <c r="E913" cm="1">
        <f t="array" ref="E913">_xlfn.XLOOKUP(D913,SKU_Master!A:A,SKU_Master!B:B,"Not on master")</f>
        <v>0</v>
      </c>
      <c r="F913" cm="1">
        <f t="array" ref="F913">_xlfn.XLOOKUP(C913,Account_Master!A:A,Account_Master!B:B,"Not on master")</f>
        <v>0</v>
      </c>
      <c r="G913" cm="1">
        <f t="array" ref="G913">_xlfn.XLOOKUP(C913,Account_Master!A:A,Account_Master!C:C,"Not on master")</f>
        <v>0</v>
      </c>
      <c r="H913" s="6">
        <v>2.25</v>
      </c>
      <c r="I913" s="6">
        <v>2.25</v>
      </c>
      <c r="J913" s="6">
        <f>I913-H913</f>
        <v>0</v>
      </c>
      <c r="K913" s="5">
        <f>IF(H913=0,"",J913/H913)</f>
        <v>0</v>
      </c>
      <c r="L913">
        <f>IF(OR(AND(H913=0,ABS(J913)&gt;=0.01),AND(H913&lt;&gt;0,ABS(K913)&gt;VarianceThreshold)),"Review","OK")</f>
        <v>0</v>
      </c>
      <c r="M913" t="s">
        <v>33</v>
      </c>
    </row>
    <row r="914" spans="1:13">
      <c r="A914" t="s">
        <v>1</v>
      </c>
      <c r="B914" t="s">
        <v>306</v>
      </c>
      <c r="C914" t="s">
        <v>1053</v>
      </c>
      <c r="D914" t="s">
        <v>1196</v>
      </c>
      <c r="E914" cm="1">
        <f t="array" ref="E914">_xlfn.XLOOKUP(D914,SKU_Master!A:A,SKU_Master!B:B,"Not on master")</f>
        <v>0</v>
      </c>
      <c r="F914" cm="1">
        <f t="array" ref="F914">_xlfn.XLOOKUP(C914,Account_Master!A:A,Account_Master!B:B,"Not on master")</f>
        <v>0</v>
      </c>
      <c r="G914" cm="1">
        <f t="array" ref="G914">_xlfn.XLOOKUP(C914,Account_Master!A:A,Account_Master!C:C,"Not on master")</f>
        <v>0</v>
      </c>
      <c r="H914" s="6">
        <v>7</v>
      </c>
      <c r="I914" s="6">
        <v>7</v>
      </c>
      <c r="J914" s="6">
        <f>I914-H914</f>
        <v>0</v>
      </c>
      <c r="K914" s="5">
        <f>IF(H914=0,"",J914/H914)</f>
        <v>0</v>
      </c>
      <c r="L914">
        <f>IF(OR(AND(H914=0,ABS(J914)&gt;=0.01),AND(H914&lt;&gt;0,ABS(K914)&gt;VarianceThreshold)),"Review","OK")</f>
        <v>0</v>
      </c>
      <c r="M914" t="s">
        <v>33</v>
      </c>
    </row>
    <row r="915" spans="1:13">
      <c r="A915" t="s">
        <v>1</v>
      </c>
      <c r="B915" t="s">
        <v>306</v>
      </c>
      <c r="C915" t="s">
        <v>1018</v>
      </c>
      <c r="D915" t="s">
        <v>1197</v>
      </c>
      <c r="E915" cm="1">
        <f t="array" ref="E915">_xlfn.XLOOKUP(D915,SKU_Master!A:A,SKU_Master!B:B,"Not on master")</f>
        <v>0</v>
      </c>
      <c r="F915" cm="1">
        <f t="array" ref="F915">_xlfn.XLOOKUP(C915,Account_Master!A:A,Account_Master!B:B,"Not on master")</f>
        <v>0</v>
      </c>
      <c r="G915" cm="1">
        <f t="array" ref="G915">_xlfn.XLOOKUP(C915,Account_Master!A:A,Account_Master!C:C,"Not on master")</f>
        <v>0</v>
      </c>
      <c r="H915" s="6">
        <v>10.5</v>
      </c>
      <c r="I915" s="6">
        <v>10.5</v>
      </c>
      <c r="J915" s="6">
        <f>I915-H915</f>
        <v>0</v>
      </c>
      <c r="K915" s="5">
        <f>IF(H915=0,"",J915/H915)</f>
        <v>0</v>
      </c>
      <c r="L915">
        <f>IF(OR(AND(H915=0,ABS(J915)&gt;=0.01),AND(H915&lt;&gt;0,ABS(K915)&gt;VarianceThreshold)),"Review","OK")</f>
        <v>0</v>
      </c>
      <c r="M915" t="s">
        <v>33</v>
      </c>
    </row>
    <row r="916" spans="1:13">
      <c r="A916" t="s">
        <v>1</v>
      </c>
      <c r="B916" t="s">
        <v>306</v>
      </c>
      <c r="C916" t="s">
        <v>1010</v>
      </c>
      <c r="D916" t="s">
        <v>1198</v>
      </c>
      <c r="E916" cm="1">
        <f t="array" ref="E916">_xlfn.XLOOKUP(D916,SKU_Master!A:A,SKU_Master!B:B,"Not on master")</f>
        <v>0</v>
      </c>
      <c r="F916" cm="1">
        <f t="array" ref="F916">_xlfn.XLOOKUP(C916,Account_Master!A:A,Account_Master!B:B,"Not on master")</f>
        <v>0</v>
      </c>
      <c r="G916" cm="1">
        <f t="array" ref="G916">_xlfn.XLOOKUP(C916,Account_Master!A:A,Account_Master!C:C,"Not on master")</f>
        <v>0</v>
      </c>
      <c r="H916" s="6">
        <v>72</v>
      </c>
      <c r="I916" s="6">
        <v>72</v>
      </c>
      <c r="J916" s="6">
        <f>I916-H916</f>
        <v>0</v>
      </c>
      <c r="K916" s="5">
        <f>IF(H916=0,"",J916/H916)</f>
        <v>0</v>
      </c>
      <c r="L916">
        <f>IF(OR(AND(H916=0,ABS(J916)&gt;=0.01),AND(H916&lt;&gt;0,ABS(K916)&gt;VarianceThreshold)),"Review","OK")</f>
        <v>0</v>
      </c>
      <c r="M916" t="s">
        <v>33</v>
      </c>
    </row>
    <row r="917" spans="1:13">
      <c r="A917" t="s">
        <v>1</v>
      </c>
      <c r="B917" t="s">
        <v>306</v>
      </c>
      <c r="C917" t="s">
        <v>1111</v>
      </c>
      <c r="D917" t="s">
        <v>1199</v>
      </c>
      <c r="E917" cm="1">
        <f t="array" ref="E917">_xlfn.XLOOKUP(D917,SKU_Master!A:A,SKU_Master!B:B,"Not on master")</f>
        <v>0</v>
      </c>
      <c r="F917" cm="1">
        <f t="array" ref="F917">_xlfn.XLOOKUP(C917,Account_Master!A:A,Account_Master!B:B,"Not on master")</f>
        <v>0</v>
      </c>
      <c r="G917" cm="1">
        <f t="array" ref="G917">_xlfn.XLOOKUP(C917,Account_Master!A:A,Account_Master!C:C,"Not on master")</f>
        <v>0</v>
      </c>
      <c r="H917" s="6">
        <v>0.75</v>
      </c>
      <c r="I917" s="6">
        <v>0.75</v>
      </c>
      <c r="J917" s="6">
        <f>I917-H917</f>
        <v>0</v>
      </c>
      <c r="K917" s="5">
        <f>IF(H917=0,"",J917/H917)</f>
        <v>0</v>
      </c>
      <c r="L917">
        <f>IF(OR(AND(H917=0,ABS(J917)&gt;=0.01),AND(H917&lt;&gt;0,ABS(K917)&gt;VarianceThreshold)),"Review","OK")</f>
        <v>0</v>
      </c>
      <c r="M917" t="s">
        <v>33</v>
      </c>
    </row>
    <row r="918" spans="1:13">
      <c r="A918" t="s">
        <v>1</v>
      </c>
      <c r="B918" t="s">
        <v>306</v>
      </c>
      <c r="C918" t="s">
        <v>1034</v>
      </c>
      <c r="D918" t="s">
        <v>1200</v>
      </c>
      <c r="E918" cm="1">
        <f t="array" ref="E918">_xlfn.XLOOKUP(D918,SKU_Master!A:A,SKU_Master!B:B,"Not on master")</f>
        <v>0</v>
      </c>
      <c r="F918" cm="1">
        <f t="array" ref="F918">_xlfn.XLOOKUP(C918,Account_Master!A:A,Account_Master!B:B,"Not on master")</f>
        <v>0</v>
      </c>
      <c r="G918" cm="1">
        <f t="array" ref="G918">_xlfn.XLOOKUP(C918,Account_Master!A:A,Account_Master!C:C,"Not on master")</f>
        <v>0</v>
      </c>
      <c r="H918" s="6">
        <v>1.5</v>
      </c>
      <c r="I918" s="6">
        <v>1.5</v>
      </c>
      <c r="J918" s="6">
        <f>I918-H918</f>
        <v>0</v>
      </c>
      <c r="K918" s="5">
        <f>IF(H918=0,"",J918/H918)</f>
        <v>0</v>
      </c>
      <c r="L918">
        <f>IF(OR(AND(H918=0,ABS(J918)&gt;=0.01),AND(H918&lt;&gt;0,ABS(K918)&gt;VarianceThreshold)),"Review","OK")</f>
        <v>0</v>
      </c>
      <c r="M918" t="s">
        <v>33</v>
      </c>
    </row>
    <row r="919" spans="1:13">
      <c r="A919" t="s">
        <v>1</v>
      </c>
      <c r="B919" t="s">
        <v>306</v>
      </c>
      <c r="C919" t="s">
        <v>1041</v>
      </c>
      <c r="D919" t="s">
        <v>1201</v>
      </c>
      <c r="E919" cm="1">
        <f t="array" ref="E919">_xlfn.XLOOKUP(D919,SKU_Master!A:A,SKU_Master!B:B,"Not on master")</f>
        <v>0</v>
      </c>
      <c r="F919" cm="1">
        <f t="array" ref="F919">_xlfn.XLOOKUP(C919,Account_Master!A:A,Account_Master!B:B,"Not on master")</f>
        <v>0</v>
      </c>
      <c r="G919" cm="1">
        <f t="array" ref="G919">_xlfn.XLOOKUP(C919,Account_Master!A:A,Account_Master!C:C,"Not on master")</f>
        <v>0</v>
      </c>
      <c r="H919" s="6">
        <v>3.75</v>
      </c>
      <c r="I919" s="6">
        <v>3.75</v>
      </c>
      <c r="J919" s="6">
        <f>I919-H919</f>
        <v>0</v>
      </c>
      <c r="K919" s="5">
        <f>IF(H919=0,"",J919/H919)</f>
        <v>0</v>
      </c>
      <c r="L919">
        <f>IF(OR(AND(H919=0,ABS(J919)&gt;=0.01),AND(H919&lt;&gt;0,ABS(K919)&gt;VarianceThreshold)),"Review","OK")</f>
        <v>0</v>
      </c>
      <c r="M919" t="s">
        <v>33</v>
      </c>
    </row>
    <row r="920" spans="1:13">
      <c r="A920" t="s">
        <v>1</v>
      </c>
      <c r="B920" t="s">
        <v>306</v>
      </c>
      <c r="C920" t="s">
        <v>1024</v>
      </c>
      <c r="D920" t="s">
        <v>933</v>
      </c>
      <c r="E920" cm="1">
        <f t="array" ref="E920">_xlfn.XLOOKUP(D920,SKU_Master!A:A,SKU_Master!B:B,"Not on master")</f>
        <v>0</v>
      </c>
      <c r="F920" cm="1">
        <f t="array" ref="F920">_xlfn.XLOOKUP(C920,Account_Master!A:A,Account_Master!B:B,"Not on master")</f>
        <v>0</v>
      </c>
      <c r="G920" cm="1">
        <f t="array" ref="G920">_xlfn.XLOOKUP(C920,Account_Master!A:A,Account_Master!C:C,"Not on master")</f>
        <v>0</v>
      </c>
      <c r="H920" s="6">
        <v>42</v>
      </c>
      <c r="I920" s="6">
        <v>42</v>
      </c>
      <c r="J920" s="6">
        <f>I920-H920</f>
        <v>0</v>
      </c>
      <c r="K920" s="5">
        <f>IF(H920=0,"",J920/H920)</f>
        <v>0</v>
      </c>
      <c r="L920">
        <f>IF(OR(AND(H920=0,ABS(J920)&gt;=0.01),AND(H920&lt;&gt;0,ABS(K920)&gt;VarianceThreshold)),"Review","OK")</f>
        <v>0</v>
      </c>
      <c r="M920" t="s">
        <v>33</v>
      </c>
    </row>
    <row r="921" spans="1:13">
      <c r="A921" t="s">
        <v>1</v>
      </c>
      <c r="B921" t="s">
        <v>306</v>
      </c>
      <c r="C921" t="s">
        <v>1010</v>
      </c>
      <c r="D921" t="s">
        <v>1202</v>
      </c>
      <c r="E921" cm="1">
        <f t="array" ref="E921">_xlfn.XLOOKUP(D921,SKU_Master!A:A,SKU_Master!B:B,"Not on master")</f>
        <v>0</v>
      </c>
      <c r="F921" cm="1">
        <f t="array" ref="F921">_xlfn.XLOOKUP(C921,Account_Master!A:A,Account_Master!B:B,"Not on master")</f>
        <v>0</v>
      </c>
      <c r="G921" cm="1">
        <f t="array" ref="G921">_xlfn.XLOOKUP(C921,Account_Master!A:A,Account_Master!C:C,"Not on master")</f>
        <v>0</v>
      </c>
      <c r="H921" s="6">
        <v>12.6</v>
      </c>
      <c r="I921" s="6">
        <v>12.6</v>
      </c>
      <c r="J921" s="6">
        <f>I921-H921</f>
        <v>0</v>
      </c>
      <c r="K921" s="5">
        <f>IF(H921=0,"",J921/H921)</f>
        <v>0</v>
      </c>
      <c r="L921">
        <f>IF(OR(AND(H921=0,ABS(J921)&gt;=0.01),AND(H921&lt;&gt;0,ABS(K921)&gt;VarianceThreshold)),"Review","OK")</f>
        <v>0</v>
      </c>
      <c r="M921" t="s">
        <v>33</v>
      </c>
    </row>
    <row r="922" spans="1:13">
      <c r="A922" t="s">
        <v>1</v>
      </c>
      <c r="B922" t="s">
        <v>313</v>
      </c>
      <c r="C922" t="s">
        <v>1035</v>
      </c>
      <c r="D922" t="s">
        <v>1203</v>
      </c>
      <c r="E922" cm="1">
        <f t="array" ref="E922">_xlfn.XLOOKUP(D922,SKU_Master!A:A,SKU_Master!B:B,"Not on master")</f>
        <v>0</v>
      </c>
      <c r="F922" cm="1">
        <f t="array" ref="F922">_xlfn.XLOOKUP(C922,Account_Master!A:A,Account_Master!B:B,"Not on master")</f>
        <v>0</v>
      </c>
      <c r="G922" cm="1">
        <f t="array" ref="G922">_xlfn.XLOOKUP(C922,Account_Master!A:A,Account_Master!C:C,"Not on master")</f>
        <v>0</v>
      </c>
      <c r="H922" s="6">
        <v>15</v>
      </c>
      <c r="I922" s="6">
        <v>15</v>
      </c>
      <c r="J922" s="6">
        <f>I922-H922</f>
        <v>0</v>
      </c>
      <c r="K922" s="5">
        <f>IF(H922=0,"",J922/H922)</f>
        <v>0</v>
      </c>
      <c r="L922">
        <f>IF(OR(AND(H922=0,ABS(J922)&gt;=0.01),AND(H922&lt;&gt;0,ABS(K922)&gt;VarianceThreshold)),"Review","OK")</f>
        <v>0</v>
      </c>
      <c r="M922" t="s">
        <v>33</v>
      </c>
    </row>
    <row r="923" spans="1:13">
      <c r="A923" t="s">
        <v>1</v>
      </c>
      <c r="B923" t="s">
        <v>313</v>
      </c>
      <c r="C923" t="s">
        <v>1204</v>
      </c>
      <c r="D923" t="s">
        <v>1205</v>
      </c>
      <c r="E923" cm="1">
        <f t="array" ref="E923">_xlfn.XLOOKUP(D923,SKU_Master!A:A,SKU_Master!B:B,"Not on master")</f>
        <v>0</v>
      </c>
      <c r="F923" cm="1">
        <f t="array" ref="F923">_xlfn.XLOOKUP(C923,Account_Master!A:A,Account_Master!B:B,"Not on master")</f>
        <v>0</v>
      </c>
      <c r="G923" cm="1">
        <f t="array" ref="G923">_xlfn.XLOOKUP(C923,Account_Master!A:A,Account_Master!C:C,"Not on master")</f>
        <v>0</v>
      </c>
      <c r="H923" s="6">
        <v>11.62</v>
      </c>
      <c r="I923" s="6">
        <v>11.62</v>
      </c>
      <c r="J923" s="6">
        <f>I923-H923</f>
        <v>0</v>
      </c>
      <c r="K923" s="5">
        <f>IF(H923=0,"",J923/H923)</f>
        <v>0</v>
      </c>
      <c r="L923">
        <f>IF(OR(AND(H923=0,ABS(J923)&gt;=0.01),AND(H923&lt;&gt;0,ABS(K923)&gt;VarianceThreshold)),"Review","OK")</f>
        <v>0</v>
      </c>
      <c r="M923" t="s">
        <v>33</v>
      </c>
    </row>
    <row r="924" spans="1:13">
      <c r="A924" t="s">
        <v>1</v>
      </c>
      <c r="B924" t="s">
        <v>313</v>
      </c>
      <c r="C924" t="s">
        <v>1153</v>
      </c>
      <c r="D924" t="s">
        <v>1206</v>
      </c>
      <c r="E924" cm="1">
        <f t="array" ref="E924">_xlfn.XLOOKUP(D924,SKU_Master!A:A,SKU_Master!B:B,"Not on master")</f>
        <v>0</v>
      </c>
      <c r="F924" cm="1">
        <f t="array" ref="F924">_xlfn.XLOOKUP(C924,Account_Master!A:A,Account_Master!B:B,"Not on master")</f>
        <v>0</v>
      </c>
      <c r="G924" cm="1">
        <f t="array" ref="G924">_xlfn.XLOOKUP(C924,Account_Master!A:A,Account_Master!C:C,"Not on master")</f>
        <v>0</v>
      </c>
      <c r="H924" s="6">
        <v>0.2</v>
      </c>
      <c r="I924" s="6">
        <v>0.2</v>
      </c>
      <c r="J924" s="6">
        <f>I924-H924</f>
        <v>0</v>
      </c>
      <c r="K924" s="5">
        <f>IF(H924=0,"",J924/H924)</f>
        <v>0</v>
      </c>
      <c r="L924">
        <f>IF(OR(AND(H924=0,ABS(J924)&gt;=0.01),AND(H924&lt;&gt;0,ABS(K924)&gt;VarianceThreshold)),"Review","OK")</f>
        <v>0</v>
      </c>
      <c r="M924" t="s">
        <v>33</v>
      </c>
    </row>
    <row r="925" spans="1:13">
      <c r="A925" t="s">
        <v>1</v>
      </c>
      <c r="B925" t="s">
        <v>313</v>
      </c>
      <c r="C925" t="s">
        <v>1053</v>
      </c>
      <c r="D925" t="s">
        <v>1207</v>
      </c>
      <c r="E925" cm="1">
        <f t="array" ref="E925">_xlfn.XLOOKUP(D925,SKU_Master!A:A,SKU_Master!B:B,"Not on master")</f>
        <v>0</v>
      </c>
      <c r="F925" cm="1">
        <f t="array" ref="F925">_xlfn.XLOOKUP(C925,Account_Master!A:A,Account_Master!B:B,"Not on master")</f>
        <v>0</v>
      </c>
      <c r="G925" cm="1">
        <f t="array" ref="G925">_xlfn.XLOOKUP(C925,Account_Master!A:A,Account_Master!C:C,"Not on master")</f>
        <v>0</v>
      </c>
      <c r="H925" s="6">
        <v>13.5</v>
      </c>
      <c r="I925" s="6">
        <v>13.5</v>
      </c>
      <c r="J925" s="6">
        <f>I925-H925</f>
        <v>0</v>
      </c>
      <c r="K925" s="5">
        <f>IF(H925=0,"",J925/H925)</f>
        <v>0</v>
      </c>
      <c r="L925">
        <f>IF(OR(AND(H925=0,ABS(J925)&gt;=0.01),AND(H925&lt;&gt;0,ABS(K925)&gt;VarianceThreshold)),"Review","OK")</f>
        <v>0</v>
      </c>
      <c r="M925" t="s">
        <v>33</v>
      </c>
    </row>
    <row r="926" spans="1:13">
      <c r="A926" t="s">
        <v>1</v>
      </c>
      <c r="B926" t="s">
        <v>313</v>
      </c>
      <c r="C926" t="s">
        <v>1024</v>
      </c>
      <c r="D926" t="s">
        <v>718</v>
      </c>
      <c r="E926" cm="1">
        <f t="array" ref="E926">_xlfn.XLOOKUP(D926,SKU_Master!A:A,SKU_Master!B:B,"Not on master")</f>
        <v>0</v>
      </c>
      <c r="F926" cm="1">
        <f t="array" ref="F926">_xlfn.XLOOKUP(C926,Account_Master!A:A,Account_Master!B:B,"Not on master")</f>
        <v>0</v>
      </c>
      <c r="G926" cm="1">
        <f t="array" ref="G926">_xlfn.XLOOKUP(C926,Account_Master!A:A,Account_Master!C:C,"Not on master")</f>
        <v>0</v>
      </c>
      <c r="H926" s="6">
        <v>36</v>
      </c>
      <c r="I926" s="6">
        <v>36</v>
      </c>
      <c r="J926" s="6">
        <f>I926-H926</f>
        <v>0</v>
      </c>
      <c r="K926" s="5">
        <f>IF(H926=0,"",J926/H926)</f>
        <v>0</v>
      </c>
      <c r="L926">
        <f>IF(OR(AND(H926=0,ABS(J926)&gt;=0.01),AND(H926&lt;&gt;0,ABS(K926)&gt;VarianceThreshold)),"Review","OK")</f>
        <v>0</v>
      </c>
      <c r="M926" t="s">
        <v>33</v>
      </c>
    </row>
    <row r="927" spans="1:13">
      <c r="A927" t="s">
        <v>1</v>
      </c>
      <c r="B927" t="s">
        <v>313</v>
      </c>
      <c r="C927" t="s">
        <v>1018</v>
      </c>
      <c r="D927" t="s">
        <v>1208</v>
      </c>
      <c r="E927" cm="1">
        <f t="array" ref="E927">_xlfn.XLOOKUP(D927,SKU_Master!A:A,SKU_Master!B:B,"Not on master")</f>
        <v>0</v>
      </c>
      <c r="F927" cm="1">
        <f t="array" ref="F927">_xlfn.XLOOKUP(C927,Account_Master!A:A,Account_Master!B:B,"Not on master")</f>
        <v>0</v>
      </c>
      <c r="G927" cm="1">
        <f t="array" ref="G927">_xlfn.XLOOKUP(C927,Account_Master!A:A,Account_Master!C:C,"Not on master")</f>
        <v>0</v>
      </c>
      <c r="H927" s="6">
        <v>0.05</v>
      </c>
      <c r="I927" s="6">
        <v>0.05</v>
      </c>
      <c r="J927" s="6">
        <f>I927-H927</f>
        <v>0</v>
      </c>
      <c r="K927" s="5">
        <f>IF(H927=0,"",J927/H927)</f>
        <v>0</v>
      </c>
      <c r="L927">
        <f>IF(OR(AND(H927=0,ABS(J927)&gt;=0.01),AND(H927&lt;&gt;0,ABS(K927)&gt;VarianceThreshold)),"Review","OK")</f>
        <v>0</v>
      </c>
      <c r="M927" t="s">
        <v>33</v>
      </c>
    </row>
    <row r="928" spans="1:13">
      <c r="A928" t="s">
        <v>1</v>
      </c>
      <c r="B928" t="s">
        <v>313</v>
      </c>
      <c r="C928" t="s">
        <v>1013</v>
      </c>
      <c r="D928" t="s">
        <v>1209</v>
      </c>
      <c r="E928" cm="1">
        <f t="array" ref="E928">_xlfn.XLOOKUP(D928,SKU_Master!A:A,SKU_Master!B:B,"Not on master")</f>
        <v>0</v>
      </c>
      <c r="F928" cm="1">
        <f t="array" ref="F928">_xlfn.XLOOKUP(C928,Account_Master!A:A,Account_Master!B:B,"Not on master")</f>
        <v>0</v>
      </c>
      <c r="G928" cm="1">
        <f t="array" ref="G928">_xlfn.XLOOKUP(C928,Account_Master!A:A,Account_Master!C:C,"Not on master")</f>
        <v>0</v>
      </c>
      <c r="H928" s="6">
        <v>12</v>
      </c>
      <c r="I928" s="6">
        <v>12</v>
      </c>
      <c r="J928" s="6">
        <f>I928-H928</f>
        <v>0</v>
      </c>
      <c r="K928" s="5">
        <f>IF(H928=0,"",J928/H928)</f>
        <v>0</v>
      </c>
      <c r="L928">
        <f>IF(OR(AND(H928=0,ABS(J928)&gt;=0.01),AND(H928&lt;&gt;0,ABS(K928)&gt;VarianceThreshold)),"Review","OK")</f>
        <v>0</v>
      </c>
      <c r="M928" t="s">
        <v>33</v>
      </c>
    </row>
    <row r="929" spans="1:13">
      <c r="A929" t="s">
        <v>1</v>
      </c>
      <c r="B929" t="s">
        <v>324</v>
      </c>
      <c r="C929" t="s">
        <v>1059</v>
      </c>
      <c r="D929" t="s">
        <v>1210</v>
      </c>
      <c r="E929" cm="1">
        <f t="array" ref="E929">_xlfn.XLOOKUP(D929,SKU_Master!A:A,SKU_Master!B:B,"Not on master")</f>
        <v>0</v>
      </c>
      <c r="F929" cm="1">
        <f t="array" ref="F929">_xlfn.XLOOKUP(C929,Account_Master!A:A,Account_Master!B:B,"Not on master")</f>
        <v>0</v>
      </c>
      <c r="G929" cm="1">
        <f t="array" ref="G929">_xlfn.XLOOKUP(C929,Account_Master!A:A,Account_Master!C:C,"Not on master")</f>
        <v>0</v>
      </c>
      <c r="H929" s="6">
        <v>31.5</v>
      </c>
      <c r="I929" s="6">
        <v>31.5</v>
      </c>
      <c r="J929" s="6">
        <f>I929-H929</f>
        <v>0</v>
      </c>
      <c r="K929" s="5">
        <f>IF(H929=0,"",J929/H929)</f>
        <v>0</v>
      </c>
      <c r="L929">
        <f>IF(OR(AND(H929=0,ABS(J929)&gt;=0.01),AND(H929&lt;&gt;0,ABS(K929)&gt;VarianceThreshold)),"Review","OK")</f>
        <v>0</v>
      </c>
      <c r="M929" t="s">
        <v>33</v>
      </c>
    </row>
    <row r="930" spans="1:13">
      <c r="A930" t="s">
        <v>1</v>
      </c>
      <c r="B930" t="s">
        <v>324</v>
      </c>
      <c r="C930" t="s">
        <v>1112</v>
      </c>
      <c r="D930" t="s">
        <v>1211</v>
      </c>
      <c r="E930" cm="1">
        <f t="array" ref="E930">_xlfn.XLOOKUP(D930,SKU_Master!A:A,SKU_Master!B:B,"Not on master")</f>
        <v>0</v>
      </c>
      <c r="F930" cm="1">
        <f t="array" ref="F930">_xlfn.XLOOKUP(C930,Account_Master!A:A,Account_Master!B:B,"Not on master")</f>
        <v>0</v>
      </c>
      <c r="G930" cm="1">
        <f t="array" ref="G930">_xlfn.XLOOKUP(C930,Account_Master!A:A,Account_Master!C:C,"Not on master")</f>
        <v>0</v>
      </c>
      <c r="H930" s="6">
        <v>10.5</v>
      </c>
      <c r="I930" s="6">
        <v>10.5</v>
      </c>
      <c r="J930" s="6">
        <f>I930-H930</f>
        <v>0</v>
      </c>
      <c r="K930" s="5">
        <f>IF(H930=0,"",J930/H930)</f>
        <v>0</v>
      </c>
      <c r="L930">
        <f>IF(OR(AND(H930=0,ABS(J930)&gt;=0.01),AND(H930&lt;&gt;0,ABS(K930)&gt;VarianceThreshold)),"Review","OK")</f>
        <v>0</v>
      </c>
      <c r="M930" t="s">
        <v>33</v>
      </c>
    </row>
    <row r="931" spans="1:13">
      <c r="A931" t="s">
        <v>1</v>
      </c>
      <c r="B931" t="s">
        <v>324</v>
      </c>
      <c r="C931" t="s">
        <v>1013</v>
      </c>
      <c r="D931" t="s">
        <v>1212</v>
      </c>
      <c r="E931" cm="1">
        <f t="array" ref="E931">_xlfn.XLOOKUP(D931,SKU_Master!A:A,SKU_Master!B:B,"Not on master")</f>
        <v>0</v>
      </c>
      <c r="F931" cm="1">
        <f t="array" ref="F931">_xlfn.XLOOKUP(C931,Account_Master!A:A,Account_Master!B:B,"Not on master")</f>
        <v>0</v>
      </c>
      <c r="G931" cm="1">
        <f t="array" ref="G931">_xlfn.XLOOKUP(C931,Account_Master!A:A,Account_Master!C:C,"Not on master")</f>
        <v>0</v>
      </c>
      <c r="H931" s="6">
        <v>5.25</v>
      </c>
      <c r="I931" s="6">
        <v>5.25</v>
      </c>
      <c r="J931" s="6">
        <f>I931-H931</f>
        <v>0</v>
      </c>
      <c r="K931" s="5">
        <f>IF(H931=0,"",J931/H931)</f>
        <v>0</v>
      </c>
      <c r="L931">
        <f>IF(OR(AND(H931=0,ABS(J931)&gt;=0.01),AND(H931&lt;&gt;0,ABS(K931)&gt;VarianceThreshold)),"Review","OK")</f>
        <v>0</v>
      </c>
      <c r="M931" t="s">
        <v>33</v>
      </c>
    </row>
    <row r="932" spans="1:13">
      <c r="A932" t="s">
        <v>1</v>
      </c>
      <c r="B932" t="s">
        <v>324</v>
      </c>
      <c r="C932" t="s">
        <v>1036</v>
      </c>
      <c r="D932" t="s">
        <v>1213</v>
      </c>
      <c r="E932" cm="1">
        <f t="array" ref="E932">_xlfn.XLOOKUP(D932,SKU_Master!A:A,SKU_Master!B:B,"Not on master")</f>
        <v>0</v>
      </c>
      <c r="F932" cm="1">
        <f t="array" ref="F932">_xlfn.XLOOKUP(C932,Account_Master!A:A,Account_Master!B:B,"Not on master")</f>
        <v>0</v>
      </c>
      <c r="G932" cm="1">
        <f t="array" ref="G932">_xlfn.XLOOKUP(C932,Account_Master!A:A,Account_Master!C:C,"Not on master")</f>
        <v>0</v>
      </c>
      <c r="H932" s="6">
        <v>3</v>
      </c>
      <c r="I932" s="6">
        <v>3</v>
      </c>
      <c r="J932" s="6">
        <f>I932-H932</f>
        <v>0</v>
      </c>
      <c r="K932" s="5">
        <f>IF(H932=0,"",J932/H932)</f>
        <v>0</v>
      </c>
      <c r="L932">
        <f>IF(OR(AND(H932=0,ABS(J932)&gt;=0.01),AND(H932&lt;&gt;0,ABS(K932)&gt;VarianceThreshold)),"Review","OK")</f>
        <v>0</v>
      </c>
      <c r="M932" t="s">
        <v>33</v>
      </c>
    </row>
    <row r="933" spans="1:13">
      <c r="A933" t="s">
        <v>1</v>
      </c>
      <c r="B933" t="s">
        <v>324</v>
      </c>
      <c r="C933" t="s">
        <v>1122</v>
      </c>
      <c r="D933" t="s">
        <v>1214</v>
      </c>
      <c r="E933" cm="1">
        <f t="array" ref="E933">_xlfn.XLOOKUP(D933,SKU_Master!A:A,SKU_Master!B:B,"Not on master")</f>
        <v>0</v>
      </c>
      <c r="F933" cm="1">
        <f t="array" ref="F933">_xlfn.XLOOKUP(C933,Account_Master!A:A,Account_Master!B:B,"Not on master")</f>
        <v>0</v>
      </c>
      <c r="G933" cm="1">
        <f t="array" ref="G933">_xlfn.XLOOKUP(C933,Account_Master!A:A,Account_Master!C:C,"Not on master")</f>
        <v>0</v>
      </c>
      <c r="H933" s="6">
        <v>15.37</v>
      </c>
      <c r="I933" s="6">
        <v>15.37</v>
      </c>
      <c r="J933" s="6">
        <f>I933-H933</f>
        <v>0</v>
      </c>
      <c r="K933" s="5">
        <f>IF(H933=0,"",J933/H933)</f>
        <v>0</v>
      </c>
      <c r="L933">
        <f>IF(OR(AND(H933=0,ABS(J933)&gt;=0.01),AND(H933&lt;&gt;0,ABS(K933)&gt;VarianceThreshold)),"Review","OK")</f>
        <v>0</v>
      </c>
      <c r="M933" t="s">
        <v>33</v>
      </c>
    </row>
    <row r="934" spans="1:13">
      <c r="A934" t="s">
        <v>1</v>
      </c>
      <c r="B934" t="s">
        <v>324</v>
      </c>
      <c r="C934" t="s">
        <v>1010</v>
      </c>
      <c r="D934" t="s">
        <v>1215</v>
      </c>
      <c r="E934" cm="1">
        <f t="array" ref="E934">_xlfn.XLOOKUP(D934,SKU_Master!A:A,SKU_Master!B:B,"Not on master")</f>
        <v>0</v>
      </c>
      <c r="F934" cm="1">
        <f t="array" ref="F934">_xlfn.XLOOKUP(C934,Account_Master!A:A,Account_Master!B:B,"Not on master")</f>
        <v>0</v>
      </c>
      <c r="G934" cm="1">
        <f t="array" ref="G934">_xlfn.XLOOKUP(C934,Account_Master!A:A,Account_Master!C:C,"Not on master")</f>
        <v>0</v>
      </c>
      <c r="H934" s="6">
        <v>2.25</v>
      </c>
      <c r="I934" s="6">
        <v>2.25</v>
      </c>
      <c r="J934" s="6">
        <f>I934-H934</f>
        <v>0</v>
      </c>
      <c r="K934" s="5">
        <f>IF(H934=0,"",J934/H934)</f>
        <v>0</v>
      </c>
      <c r="L934">
        <f>IF(OR(AND(H934=0,ABS(J934)&gt;=0.01),AND(H934&lt;&gt;0,ABS(K934)&gt;VarianceThreshold)),"Review","OK")</f>
        <v>0</v>
      </c>
      <c r="M934" t="s">
        <v>33</v>
      </c>
    </row>
    <row r="935" spans="1:13">
      <c r="A935" t="s">
        <v>1</v>
      </c>
      <c r="B935" t="s">
        <v>331</v>
      </c>
      <c r="C935" t="s">
        <v>1013</v>
      </c>
      <c r="D935" t="s">
        <v>941</v>
      </c>
      <c r="E935" cm="1">
        <f t="array" ref="E935">_xlfn.XLOOKUP(D935,SKU_Master!A:A,SKU_Master!B:B,"Not on master")</f>
        <v>0</v>
      </c>
      <c r="F935" cm="1">
        <f t="array" ref="F935">_xlfn.XLOOKUP(C935,Account_Master!A:A,Account_Master!B:B,"Not on master")</f>
        <v>0</v>
      </c>
      <c r="G935" cm="1">
        <f t="array" ref="G935">_xlfn.XLOOKUP(C935,Account_Master!A:A,Account_Master!C:C,"Not on master")</f>
        <v>0</v>
      </c>
      <c r="H935" s="6">
        <v>42</v>
      </c>
      <c r="I935" s="6">
        <v>42</v>
      </c>
      <c r="J935" s="6">
        <f>I935-H935</f>
        <v>0</v>
      </c>
      <c r="K935" s="5">
        <f>IF(H935=0,"",J935/H935)</f>
        <v>0</v>
      </c>
      <c r="L935">
        <f>IF(OR(AND(H935=0,ABS(J935)&gt;=0.01),AND(H935&lt;&gt;0,ABS(K935)&gt;VarianceThreshold)),"Review","OK")</f>
        <v>0</v>
      </c>
      <c r="M935" t="s">
        <v>33</v>
      </c>
    </row>
    <row r="936" spans="1:13">
      <c r="A936" t="s">
        <v>1</v>
      </c>
      <c r="B936" t="s">
        <v>331</v>
      </c>
      <c r="C936" t="s">
        <v>1072</v>
      </c>
      <c r="D936" t="s">
        <v>1216</v>
      </c>
      <c r="E936" cm="1">
        <f t="array" ref="E936">_xlfn.XLOOKUP(D936,SKU_Master!A:A,SKU_Master!B:B,"Not on master")</f>
        <v>0</v>
      </c>
      <c r="F936" cm="1">
        <f t="array" ref="F936">_xlfn.XLOOKUP(C936,Account_Master!A:A,Account_Master!B:B,"Not on master")</f>
        <v>0</v>
      </c>
      <c r="G936" cm="1">
        <f t="array" ref="G936">_xlfn.XLOOKUP(C936,Account_Master!A:A,Account_Master!C:C,"Not on master")</f>
        <v>0</v>
      </c>
      <c r="H936" s="6">
        <v>1.75</v>
      </c>
      <c r="I936" s="6">
        <v>1.75</v>
      </c>
      <c r="J936" s="6">
        <f>I936-H936</f>
        <v>0</v>
      </c>
      <c r="K936" s="5">
        <f>IF(H936=0,"",J936/H936)</f>
        <v>0</v>
      </c>
      <c r="L936">
        <f>IF(OR(AND(H936=0,ABS(J936)&gt;=0.01),AND(H936&lt;&gt;0,ABS(K936)&gt;VarianceThreshold)),"Review","OK")</f>
        <v>0</v>
      </c>
      <c r="M936" t="s">
        <v>33</v>
      </c>
    </row>
    <row r="937" spans="1:13">
      <c r="A937" t="s">
        <v>1</v>
      </c>
      <c r="B937" t="s">
        <v>331</v>
      </c>
      <c r="C937" t="s">
        <v>1076</v>
      </c>
      <c r="D937" t="s">
        <v>1217</v>
      </c>
      <c r="E937" cm="1">
        <f t="array" ref="E937">_xlfn.XLOOKUP(D937,SKU_Master!A:A,SKU_Master!B:B,"Not on master")</f>
        <v>0</v>
      </c>
      <c r="F937" cm="1">
        <f t="array" ref="F937">_xlfn.XLOOKUP(C937,Account_Master!A:A,Account_Master!B:B,"Not on master")</f>
        <v>0</v>
      </c>
      <c r="G937" cm="1">
        <f t="array" ref="G937">_xlfn.XLOOKUP(C937,Account_Master!A:A,Account_Master!C:C,"Not on master")</f>
        <v>0</v>
      </c>
      <c r="H937" s="6">
        <v>126</v>
      </c>
      <c r="I937" s="6">
        <v>126</v>
      </c>
      <c r="J937" s="6">
        <f>I937-H937</f>
        <v>0</v>
      </c>
      <c r="K937" s="5">
        <f>IF(H937=0,"",J937/H937)</f>
        <v>0</v>
      </c>
      <c r="L937">
        <f>IF(OR(AND(H937=0,ABS(J937)&gt;=0.01),AND(H937&lt;&gt;0,ABS(K937)&gt;VarianceThreshold)),"Review","OK")</f>
        <v>0</v>
      </c>
      <c r="M937" t="s">
        <v>33</v>
      </c>
    </row>
    <row r="938" spans="1:13">
      <c r="A938" t="s">
        <v>1</v>
      </c>
      <c r="B938" t="s">
        <v>331</v>
      </c>
      <c r="C938" t="s">
        <v>1043</v>
      </c>
      <c r="D938" t="s">
        <v>1218</v>
      </c>
      <c r="E938" cm="1">
        <f t="array" ref="E938">_xlfn.XLOOKUP(D938,SKU_Master!A:A,SKU_Master!B:B,"Not on master")</f>
        <v>0</v>
      </c>
      <c r="F938" cm="1">
        <f t="array" ref="F938">_xlfn.XLOOKUP(C938,Account_Master!A:A,Account_Master!B:B,"Not on master")</f>
        <v>0</v>
      </c>
      <c r="G938" cm="1">
        <f t="array" ref="G938">_xlfn.XLOOKUP(C938,Account_Master!A:A,Account_Master!C:C,"Not on master")</f>
        <v>0</v>
      </c>
      <c r="H938" s="6">
        <v>10.5</v>
      </c>
      <c r="I938" s="6">
        <v>10.5</v>
      </c>
      <c r="J938" s="6">
        <f>I938-H938</f>
        <v>0</v>
      </c>
      <c r="K938" s="5">
        <f>IF(H938=0,"",J938/H938)</f>
        <v>0</v>
      </c>
      <c r="L938">
        <f>IF(OR(AND(H938=0,ABS(J938)&gt;=0.01),AND(H938&lt;&gt;0,ABS(K938)&gt;VarianceThreshold)),"Review","OK")</f>
        <v>0</v>
      </c>
      <c r="M938" t="s">
        <v>33</v>
      </c>
    </row>
    <row r="939" spans="1:13">
      <c r="A939" t="s">
        <v>1</v>
      </c>
      <c r="B939" t="s">
        <v>335</v>
      </c>
      <c r="C939" t="s">
        <v>1185</v>
      </c>
      <c r="D939" t="s">
        <v>815</v>
      </c>
      <c r="E939" cm="1">
        <f t="array" ref="E939">_xlfn.XLOOKUP(D939,SKU_Master!A:A,SKU_Master!B:B,"Not on master")</f>
        <v>0</v>
      </c>
      <c r="F939" cm="1">
        <f t="array" ref="F939">_xlfn.XLOOKUP(C939,Account_Master!A:A,Account_Master!B:B,"Not on master")</f>
        <v>0</v>
      </c>
      <c r="G939" cm="1">
        <f t="array" ref="G939">_xlfn.XLOOKUP(C939,Account_Master!A:A,Account_Master!C:C,"Not on master")</f>
        <v>0</v>
      </c>
      <c r="H939" s="6">
        <v>4.5</v>
      </c>
      <c r="I939" s="6">
        <v>4.5</v>
      </c>
      <c r="J939" s="6">
        <f>I939-H939</f>
        <v>0</v>
      </c>
      <c r="K939" s="5">
        <f>IF(H939=0,"",J939/H939)</f>
        <v>0</v>
      </c>
      <c r="L939">
        <f>IF(OR(AND(H939=0,ABS(J939)&gt;=0.01),AND(H939&lt;&gt;0,ABS(K939)&gt;VarianceThreshold)),"Review","OK")</f>
        <v>0</v>
      </c>
      <c r="M939" t="s">
        <v>33</v>
      </c>
    </row>
    <row r="940" spans="1:13">
      <c r="A940" t="s">
        <v>1</v>
      </c>
      <c r="B940" t="s">
        <v>335</v>
      </c>
      <c r="C940" t="s">
        <v>1219</v>
      </c>
      <c r="D940" t="s">
        <v>1220</v>
      </c>
      <c r="E940" cm="1">
        <f t="array" ref="E940">_xlfn.XLOOKUP(D940,SKU_Master!A:A,SKU_Master!B:B,"Not on master")</f>
        <v>0</v>
      </c>
      <c r="F940" cm="1">
        <f t="array" ref="F940">_xlfn.XLOOKUP(C940,Account_Master!A:A,Account_Master!B:B,"Not on master")</f>
        <v>0</v>
      </c>
      <c r="G940" cm="1">
        <f t="array" ref="G940">_xlfn.XLOOKUP(C940,Account_Master!A:A,Account_Master!C:C,"Not on master")</f>
        <v>0</v>
      </c>
      <c r="H940" s="6">
        <v>10.5</v>
      </c>
      <c r="I940" s="6">
        <v>10.5</v>
      </c>
      <c r="J940" s="6">
        <f>I940-H940</f>
        <v>0</v>
      </c>
      <c r="K940" s="5">
        <f>IF(H940=0,"",J940/H940)</f>
        <v>0</v>
      </c>
      <c r="L940">
        <f>IF(OR(AND(H940=0,ABS(J940)&gt;=0.01),AND(H940&lt;&gt;0,ABS(K940)&gt;VarianceThreshold)),"Review","OK")</f>
        <v>0</v>
      </c>
      <c r="M940" t="s">
        <v>33</v>
      </c>
    </row>
    <row r="941" spans="1:13">
      <c r="A941" t="s">
        <v>1</v>
      </c>
      <c r="B941" t="s">
        <v>335</v>
      </c>
      <c r="C941" t="s">
        <v>1221</v>
      </c>
      <c r="D941" t="s">
        <v>651</v>
      </c>
      <c r="E941" cm="1">
        <f t="array" ref="E941">_xlfn.XLOOKUP(D941,SKU_Master!A:A,SKU_Master!B:B,"Not on master")</f>
        <v>0</v>
      </c>
      <c r="F941" cm="1">
        <f t="array" ref="F941">_xlfn.XLOOKUP(C941,Account_Master!A:A,Account_Master!B:B,"Not on master")</f>
        <v>0</v>
      </c>
      <c r="G941" cm="1">
        <f t="array" ref="G941">_xlfn.XLOOKUP(C941,Account_Master!A:A,Account_Master!C:C,"Not on master")</f>
        <v>0</v>
      </c>
      <c r="H941" s="6">
        <v>99.75</v>
      </c>
      <c r="I941" s="6">
        <v>99.75</v>
      </c>
      <c r="J941" s="6">
        <f>I941-H941</f>
        <v>0</v>
      </c>
      <c r="K941" s="5">
        <f>IF(H941=0,"",J941/H941)</f>
        <v>0</v>
      </c>
      <c r="L941">
        <f>IF(OR(AND(H941=0,ABS(J941)&gt;=0.01),AND(H941&lt;&gt;0,ABS(K941)&gt;VarianceThreshold)),"Review","OK")</f>
        <v>0</v>
      </c>
      <c r="M941" t="s">
        <v>33</v>
      </c>
    </row>
    <row r="942" spans="1:13">
      <c r="A942" t="s">
        <v>1</v>
      </c>
      <c r="B942" t="s">
        <v>335</v>
      </c>
      <c r="C942" t="s">
        <v>1010</v>
      </c>
      <c r="D942" t="s">
        <v>1222</v>
      </c>
      <c r="E942" cm="1">
        <f t="array" ref="E942">_xlfn.XLOOKUP(D942,SKU_Master!A:A,SKU_Master!B:B,"Not on master")</f>
        <v>0</v>
      </c>
      <c r="F942" cm="1">
        <f t="array" ref="F942">_xlfn.XLOOKUP(C942,Account_Master!A:A,Account_Master!B:B,"Not on master")</f>
        <v>0</v>
      </c>
      <c r="G942" cm="1">
        <f t="array" ref="G942">_xlfn.XLOOKUP(C942,Account_Master!A:A,Account_Master!C:C,"Not on master")</f>
        <v>0</v>
      </c>
      <c r="H942" s="6">
        <v>4.5</v>
      </c>
      <c r="I942" s="6">
        <v>4.5</v>
      </c>
      <c r="J942" s="6">
        <f>I942-H942</f>
        <v>0</v>
      </c>
      <c r="K942" s="5">
        <f>IF(H942=0,"",J942/H942)</f>
        <v>0</v>
      </c>
      <c r="L942">
        <f>IF(OR(AND(H942=0,ABS(J942)&gt;=0.01),AND(H942&lt;&gt;0,ABS(K942)&gt;VarianceThreshold)),"Review","OK")</f>
        <v>0</v>
      </c>
      <c r="M942" t="s">
        <v>33</v>
      </c>
    </row>
    <row r="943" spans="1:13">
      <c r="A943" t="s">
        <v>1</v>
      </c>
      <c r="B943" t="s">
        <v>335</v>
      </c>
      <c r="C943" t="s">
        <v>1013</v>
      </c>
      <c r="D943" t="s">
        <v>583</v>
      </c>
      <c r="E943" cm="1">
        <f t="array" ref="E943">_xlfn.XLOOKUP(D943,SKU_Master!A:A,SKU_Master!B:B,"Not on master")</f>
        <v>0</v>
      </c>
      <c r="F943" cm="1">
        <f t="array" ref="F943">_xlfn.XLOOKUP(C943,Account_Master!A:A,Account_Master!B:B,"Not on master")</f>
        <v>0</v>
      </c>
      <c r="G943" cm="1">
        <f t="array" ref="G943">_xlfn.XLOOKUP(C943,Account_Master!A:A,Account_Master!C:C,"Not on master")</f>
        <v>0</v>
      </c>
      <c r="H943" s="6">
        <v>9</v>
      </c>
      <c r="I943" s="6">
        <v>9</v>
      </c>
      <c r="J943" s="6">
        <f>I943-H943</f>
        <v>0</v>
      </c>
      <c r="K943" s="5">
        <f>IF(H943=0,"",J943/H943)</f>
        <v>0</v>
      </c>
      <c r="L943">
        <f>IF(OR(AND(H943=0,ABS(J943)&gt;=0.01),AND(H943&lt;&gt;0,ABS(K943)&gt;VarianceThreshold)),"Review","OK")</f>
        <v>0</v>
      </c>
      <c r="M943" t="s">
        <v>33</v>
      </c>
    </row>
    <row r="944" spans="1:13">
      <c r="A944" t="s">
        <v>1</v>
      </c>
      <c r="B944" t="s">
        <v>335</v>
      </c>
      <c r="C944" t="s">
        <v>1010</v>
      </c>
      <c r="D944" t="s">
        <v>1223</v>
      </c>
      <c r="E944" cm="1">
        <f t="array" ref="E944">_xlfn.XLOOKUP(D944,SKU_Master!A:A,SKU_Master!B:B,"Not on master")</f>
        <v>0</v>
      </c>
      <c r="F944" cm="1">
        <f t="array" ref="F944">_xlfn.XLOOKUP(C944,Account_Master!A:A,Account_Master!B:B,"Not on master")</f>
        <v>0</v>
      </c>
      <c r="G944" cm="1">
        <f t="array" ref="G944">_xlfn.XLOOKUP(C944,Account_Master!A:A,Account_Master!C:C,"Not on master")</f>
        <v>0</v>
      </c>
      <c r="H944" s="6">
        <v>4.5</v>
      </c>
      <c r="I944" s="6">
        <v>4.5</v>
      </c>
      <c r="J944" s="6">
        <f>I944-H944</f>
        <v>0</v>
      </c>
      <c r="K944" s="5">
        <f>IF(H944=0,"",J944/H944)</f>
        <v>0</v>
      </c>
      <c r="L944">
        <f>IF(OR(AND(H944=0,ABS(J944)&gt;=0.01),AND(H944&lt;&gt;0,ABS(K944)&gt;VarianceThreshold)),"Review","OK")</f>
        <v>0</v>
      </c>
      <c r="M944" t="s">
        <v>33</v>
      </c>
    </row>
    <row r="945" spans="1:13">
      <c r="A945" t="s">
        <v>1</v>
      </c>
      <c r="B945" t="s">
        <v>335</v>
      </c>
      <c r="C945" t="s">
        <v>1117</v>
      </c>
      <c r="D945" t="s">
        <v>1224</v>
      </c>
      <c r="E945" cm="1">
        <f t="array" ref="E945">_xlfn.XLOOKUP(D945,SKU_Master!A:A,SKU_Master!B:B,"Not on master")</f>
        <v>0</v>
      </c>
      <c r="F945" cm="1">
        <f t="array" ref="F945">_xlfn.XLOOKUP(C945,Account_Master!A:A,Account_Master!B:B,"Not on master")</f>
        <v>0</v>
      </c>
      <c r="G945" cm="1">
        <f t="array" ref="G945">_xlfn.XLOOKUP(C945,Account_Master!A:A,Account_Master!C:C,"Not on master")</f>
        <v>0</v>
      </c>
      <c r="H945" s="6">
        <v>0.05</v>
      </c>
      <c r="I945" s="6">
        <v>0.05</v>
      </c>
      <c r="J945" s="6">
        <f>I945-H945</f>
        <v>0</v>
      </c>
      <c r="K945" s="5">
        <f>IF(H945=0,"",J945/H945)</f>
        <v>0</v>
      </c>
      <c r="L945">
        <f>IF(OR(AND(H945=0,ABS(J945)&gt;=0.01),AND(H945&lt;&gt;0,ABS(K945)&gt;VarianceThreshold)),"Review","OK")</f>
        <v>0</v>
      </c>
      <c r="M945" t="s">
        <v>33</v>
      </c>
    </row>
    <row r="946" spans="1:13">
      <c r="A946" t="s">
        <v>1</v>
      </c>
      <c r="B946" t="s">
        <v>345</v>
      </c>
      <c r="C946" t="s">
        <v>1219</v>
      </c>
      <c r="D946" t="s">
        <v>365</v>
      </c>
      <c r="E946" cm="1">
        <f t="array" ref="E946">_xlfn.XLOOKUP(D946,SKU_Master!A:A,SKU_Master!B:B,"Not on master")</f>
        <v>0</v>
      </c>
      <c r="F946" cm="1">
        <f t="array" ref="F946">_xlfn.XLOOKUP(C946,Account_Master!A:A,Account_Master!B:B,"Not on master")</f>
        <v>0</v>
      </c>
      <c r="G946" cm="1">
        <f t="array" ref="G946">_xlfn.XLOOKUP(C946,Account_Master!A:A,Account_Master!C:C,"Not on master")</f>
        <v>0</v>
      </c>
      <c r="H946" s="6">
        <v>13.5</v>
      </c>
      <c r="I946" s="6">
        <v>13.5</v>
      </c>
      <c r="J946" s="6">
        <f>I946-H946</f>
        <v>0</v>
      </c>
      <c r="K946" s="5">
        <f>IF(H946=0,"",J946/H946)</f>
        <v>0</v>
      </c>
      <c r="L946">
        <f>IF(OR(AND(H946=0,ABS(J946)&gt;=0.01),AND(H946&lt;&gt;0,ABS(K946)&gt;VarianceThreshold)),"Review","OK")</f>
        <v>0</v>
      </c>
      <c r="M946" t="s">
        <v>33</v>
      </c>
    </row>
    <row r="947" spans="1:13">
      <c r="A947" t="s">
        <v>1</v>
      </c>
      <c r="B947" t="s">
        <v>345</v>
      </c>
      <c r="C947" t="s">
        <v>1225</v>
      </c>
      <c r="D947" t="s">
        <v>712</v>
      </c>
      <c r="E947" cm="1">
        <f t="array" ref="E947">_xlfn.XLOOKUP(D947,SKU_Master!A:A,SKU_Master!B:B,"Not on master")</f>
        <v>0</v>
      </c>
      <c r="F947" cm="1">
        <f t="array" ref="F947">_xlfn.XLOOKUP(C947,Account_Master!A:A,Account_Master!B:B,"Not on master")</f>
        <v>0</v>
      </c>
      <c r="G947" cm="1">
        <f t="array" ref="G947">_xlfn.XLOOKUP(C947,Account_Master!A:A,Account_Master!C:C,"Not on master")</f>
        <v>0</v>
      </c>
      <c r="H947" s="6">
        <v>1.35</v>
      </c>
      <c r="I947" s="6">
        <v>1.35</v>
      </c>
      <c r="J947" s="6">
        <f>I947-H947</f>
        <v>0</v>
      </c>
      <c r="K947" s="5">
        <f>IF(H947=0,"",J947/H947)</f>
        <v>0</v>
      </c>
      <c r="L947">
        <f>IF(OR(AND(H947=0,ABS(J947)&gt;=0.01),AND(H947&lt;&gt;0,ABS(K947)&gt;VarianceThreshold)),"Review","OK")</f>
        <v>0</v>
      </c>
      <c r="M947" t="s">
        <v>33</v>
      </c>
    </row>
    <row r="948" spans="1:13">
      <c r="A948" t="s">
        <v>1</v>
      </c>
      <c r="B948" t="s">
        <v>345</v>
      </c>
      <c r="C948" t="s">
        <v>1010</v>
      </c>
      <c r="D948" t="s">
        <v>1226</v>
      </c>
      <c r="E948" cm="1">
        <f t="array" ref="E948">_xlfn.XLOOKUP(D948,SKU_Master!A:A,SKU_Master!B:B,"Not on master")</f>
        <v>0</v>
      </c>
      <c r="F948" cm="1">
        <f t="array" ref="F948">_xlfn.XLOOKUP(C948,Account_Master!A:A,Account_Master!B:B,"Not on master")</f>
        <v>0</v>
      </c>
      <c r="G948" cm="1">
        <f t="array" ref="G948">_xlfn.XLOOKUP(C948,Account_Master!A:A,Account_Master!C:C,"Not on master")</f>
        <v>0</v>
      </c>
      <c r="H948" s="6">
        <v>18</v>
      </c>
      <c r="I948" s="6">
        <v>18</v>
      </c>
      <c r="J948" s="6">
        <f>I948-H948</f>
        <v>0</v>
      </c>
      <c r="K948" s="5">
        <f>IF(H948=0,"",J948/H948)</f>
        <v>0</v>
      </c>
      <c r="L948">
        <f>IF(OR(AND(H948=0,ABS(J948)&gt;=0.01),AND(H948&lt;&gt;0,ABS(K948)&gt;VarianceThreshold)),"Review","OK")</f>
        <v>0</v>
      </c>
      <c r="M948" t="s">
        <v>33</v>
      </c>
    </row>
    <row r="949" spans="1:13">
      <c r="A949" t="s">
        <v>1</v>
      </c>
      <c r="B949" t="s">
        <v>357</v>
      </c>
      <c r="C949" t="s">
        <v>1010</v>
      </c>
      <c r="D949" t="s">
        <v>1227</v>
      </c>
      <c r="E949" cm="1">
        <f t="array" ref="E949">_xlfn.XLOOKUP(D949,SKU_Master!A:A,SKU_Master!B:B,"Not on master")</f>
        <v>0</v>
      </c>
      <c r="F949" cm="1">
        <f t="array" ref="F949">_xlfn.XLOOKUP(C949,Account_Master!A:A,Account_Master!B:B,"Not on master")</f>
        <v>0</v>
      </c>
      <c r="G949" cm="1">
        <f t="array" ref="G949">_xlfn.XLOOKUP(C949,Account_Master!A:A,Account_Master!C:C,"Not on master")</f>
        <v>0</v>
      </c>
      <c r="H949" s="6">
        <v>1.5</v>
      </c>
      <c r="I949" s="6">
        <v>1.5</v>
      </c>
      <c r="J949" s="6">
        <f>I949-H949</f>
        <v>0</v>
      </c>
      <c r="K949" s="5">
        <f>IF(H949=0,"",J949/H949)</f>
        <v>0</v>
      </c>
      <c r="L949">
        <f>IF(OR(AND(H949=0,ABS(J949)&gt;=0.01),AND(H949&lt;&gt;0,ABS(K949)&gt;VarianceThreshold)),"Review","OK")</f>
        <v>0</v>
      </c>
      <c r="M949" t="s">
        <v>33</v>
      </c>
    </row>
    <row r="950" spans="1:13">
      <c r="A950" t="s">
        <v>1</v>
      </c>
      <c r="B950" t="s">
        <v>357</v>
      </c>
      <c r="C950" t="s">
        <v>1228</v>
      </c>
      <c r="D950" t="s">
        <v>1229</v>
      </c>
      <c r="E950" cm="1">
        <f t="array" ref="E950">_xlfn.XLOOKUP(D950,SKU_Master!A:A,SKU_Master!B:B,"Not on master")</f>
        <v>0</v>
      </c>
      <c r="F950" cm="1">
        <f t="array" ref="F950">_xlfn.XLOOKUP(C950,Account_Master!A:A,Account_Master!B:B,"Not on master")</f>
        <v>0</v>
      </c>
      <c r="G950" cm="1">
        <f t="array" ref="G950">_xlfn.XLOOKUP(C950,Account_Master!A:A,Account_Master!C:C,"Not on master")</f>
        <v>0</v>
      </c>
      <c r="H950" s="6">
        <v>1.8</v>
      </c>
      <c r="I950" s="6">
        <v>1.8</v>
      </c>
      <c r="J950" s="6">
        <f>I950-H950</f>
        <v>0</v>
      </c>
      <c r="K950" s="5">
        <f>IF(H950=0,"",J950/H950)</f>
        <v>0</v>
      </c>
      <c r="L950">
        <f>IF(OR(AND(H950=0,ABS(J950)&gt;=0.01),AND(H950&lt;&gt;0,ABS(K950)&gt;VarianceThreshold)),"Review","OK")</f>
        <v>0</v>
      </c>
      <c r="M950" t="s">
        <v>33</v>
      </c>
    </row>
    <row r="951" spans="1:13">
      <c r="A951" t="s">
        <v>1</v>
      </c>
      <c r="B951" t="s">
        <v>357</v>
      </c>
      <c r="C951" t="s">
        <v>1230</v>
      </c>
      <c r="D951" t="s">
        <v>1231</v>
      </c>
      <c r="E951" cm="1">
        <f t="array" ref="E951">_xlfn.XLOOKUP(D951,SKU_Master!A:A,SKU_Master!B:B,"Not on master")</f>
        <v>0</v>
      </c>
      <c r="F951" cm="1">
        <f t="array" ref="F951">_xlfn.XLOOKUP(C951,Account_Master!A:A,Account_Master!B:B,"Not on master")</f>
        <v>0</v>
      </c>
      <c r="G951" cm="1">
        <f t="array" ref="G951">_xlfn.XLOOKUP(C951,Account_Master!A:A,Account_Master!C:C,"Not on master")</f>
        <v>0</v>
      </c>
      <c r="H951" s="6">
        <v>0.6</v>
      </c>
      <c r="I951" s="6">
        <v>0.6</v>
      </c>
      <c r="J951" s="6">
        <f>I951-H951</f>
        <v>0</v>
      </c>
      <c r="K951" s="5">
        <f>IF(H951=0,"",J951/H951)</f>
        <v>0</v>
      </c>
      <c r="L951">
        <f>IF(OR(AND(H951=0,ABS(J951)&gt;=0.01),AND(H951&lt;&gt;0,ABS(K951)&gt;VarianceThreshold)),"Review","OK")</f>
        <v>0</v>
      </c>
      <c r="M951" t="s">
        <v>33</v>
      </c>
    </row>
    <row r="952" spans="1:13">
      <c r="A952" t="s">
        <v>1</v>
      </c>
      <c r="B952" t="s">
        <v>357</v>
      </c>
      <c r="C952" t="s">
        <v>1230</v>
      </c>
      <c r="D952" t="s">
        <v>165</v>
      </c>
      <c r="E952" cm="1">
        <f t="array" ref="E952">_xlfn.XLOOKUP(D952,SKU_Master!A:A,SKU_Master!B:B,"Not on master")</f>
        <v>0</v>
      </c>
      <c r="F952" cm="1">
        <f t="array" ref="F952">_xlfn.XLOOKUP(C952,Account_Master!A:A,Account_Master!B:B,"Not on master")</f>
        <v>0</v>
      </c>
      <c r="G952" cm="1">
        <f t="array" ref="G952">_xlfn.XLOOKUP(C952,Account_Master!A:A,Account_Master!C:C,"Not on master")</f>
        <v>0</v>
      </c>
      <c r="H952" s="6">
        <v>9.6</v>
      </c>
      <c r="I952" s="6">
        <v>9.6</v>
      </c>
      <c r="J952" s="6">
        <f>I952-H952</f>
        <v>0</v>
      </c>
      <c r="K952" s="5">
        <f>IF(H952=0,"",J952/H952)</f>
        <v>0</v>
      </c>
      <c r="L952">
        <f>IF(OR(AND(H952=0,ABS(J952)&gt;=0.01),AND(H952&lt;&gt;0,ABS(K952)&gt;VarianceThreshold)),"Review","OK")</f>
        <v>0</v>
      </c>
      <c r="M952" t="s">
        <v>33</v>
      </c>
    </row>
    <row r="953" spans="1:13">
      <c r="A953" t="s">
        <v>1</v>
      </c>
      <c r="B953" t="s">
        <v>357</v>
      </c>
      <c r="C953" t="s">
        <v>1230</v>
      </c>
      <c r="D953" t="s">
        <v>1232</v>
      </c>
      <c r="E953" cm="1">
        <f t="array" ref="E953">_xlfn.XLOOKUP(D953,SKU_Master!A:A,SKU_Master!B:B,"Not on master")</f>
        <v>0</v>
      </c>
      <c r="F953" cm="1">
        <f t="array" ref="F953">_xlfn.XLOOKUP(C953,Account_Master!A:A,Account_Master!B:B,"Not on master")</f>
        <v>0</v>
      </c>
      <c r="G953" cm="1">
        <f t="array" ref="G953">_xlfn.XLOOKUP(C953,Account_Master!A:A,Account_Master!C:C,"Not on master")</f>
        <v>0</v>
      </c>
      <c r="H953" s="6">
        <v>0.1</v>
      </c>
      <c r="I953" s="6">
        <v>0.1</v>
      </c>
      <c r="J953" s="6">
        <f>I953-H953</f>
        <v>0</v>
      </c>
      <c r="K953" s="5">
        <f>IF(H953=0,"",J953/H953)</f>
        <v>0</v>
      </c>
      <c r="L953">
        <f>IF(OR(AND(H953=0,ABS(J953)&gt;=0.01),AND(H953&lt;&gt;0,ABS(K953)&gt;VarianceThreshold)),"Review","OK")</f>
        <v>0</v>
      </c>
      <c r="M953" t="s">
        <v>33</v>
      </c>
    </row>
    <row r="954" spans="1:13">
      <c r="A954" t="s">
        <v>1</v>
      </c>
      <c r="B954" t="s">
        <v>364</v>
      </c>
      <c r="C954" t="s">
        <v>1233</v>
      </c>
      <c r="D954" t="s">
        <v>51</v>
      </c>
      <c r="E954" cm="1">
        <f t="array" ref="E954">_xlfn.XLOOKUP(D954,SKU_Master!A:A,SKU_Master!B:B,"Not on master")</f>
        <v>0</v>
      </c>
      <c r="F954" cm="1">
        <f t="array" ref="F954">_xlfn.XLOOKUP(C954,Account_Master!A:A,Account_Master!B:B,"Not on master")</f>
        <v>0</v>
      </c>
      <c r="G954" cm="1">
        <f t="array" ref="G954">_xlfn.XLOOKUP(C954,Account_Master!A:A,Account_Master!C:C,"Not on master")</f>
        <v>0</v>
      </c>
      <c r="H954" s="6">
        <v>28.87</v>
      </c>
      <c r="I954" s="6">
        <v>28.87</v>
      </c>
      <c r="J954" s="6">
        <f>I954-H954</f>
        <v>0</v>
      </c>
      <c r="K954" s="5">
        <f>IF(H954=0,"",J954/H954)</f>
        <v>0</v>
      </c>
      <c r="L954">
        <f>IF(OR(AND(H954=0,ABS(J954)&gt;=0.01),AND(H954&lt;&gt;0,ABS(K954)&gt;VarianceThreshold)),"Review","OK")</f>
        <v>0</v>
      </c>
      <c r="M954" t="s">
        <v>33</v>
      </c>
    </row>
    <row r="955" spans="1:13">
      <c r="A955" t="s">
        <v>1</v>
      </c>
      <c r="B955" t="s">
        <v>364</v>
      </c>
      <c r="C955" t="s">
        <v>1018</v>
      </c>
      <c r="D955" t="s">
        <v>1234</v>
      </c>
      <c r="E955" cm="1">
        <f t="array" ref="E955">_xlfn.XLOOKUP(D955,SKU_Master!A:A,SKU_Master!B:B,"Not on master")</f>
        <v>0</v>
      </c>
      <c r="F955" cm="1">
        <f t="array" ref="F955">_xlfn.XLOOKUP(C955,Account_Master!A:A,Account_Master!B:B,"Not on master")</f>
        <v>0</v>
      </c>
      <c r="G955" cm="1">
        <f t="array" ref="G955">_xlfn.XLOOKUP(C955,Account_Master!A:A,Account_Master!C:C,"Not on master")</f>
        <v>0</v>
      </c>
      <c r="H955" s="6">
        <v>1.5</v>
      </c>
      <c r="I955" s="6">
        <v>1.5</v>
      </c>
      <c r="J955" s="6">
        <f>I955-H955</f>
        <v>0</v>
      </c>
      <c r="K955" s="5">
        <f>IF(H955=0,"",J955/H955)</f>
        <v>0</v>
      </c>
      <c r="L955">
        <f>IF(OR(AND(H955=0,ABS(J955)&gt;=0.01),AND(H955&lt;&gt;0,ABS(K955)&gt;VarianceThreshold)),"Review","OK")</f>
        <v>0</v>
      </c>
      <c r="M955" t="s">
        <v>33</v>
      </c>
    </row>
    <row r="956" spans="1:13">
      <c r="A956" t="s">
        <v>1</v>
      </c>
      <c r="B956" t="s">
        <v>364</v>
      </c>
      <c r="C956" t="s">
        <v>1072</v>
      </c>
      <c r="D956" t="s">
        <v>483</v>
      </c>
      <c r="E956" cm="1">
        <f t="array" ref="E956">_xlfn.XLOOKUP(D956,SKU_Master!A:A,SKU_Master!B:B,"Not on master")</f>
        <v>0</v>
      </c>
      <c r="F956" cm="1">
        <f t="array" ref="F956">_xlfn.XLOOKUP(C956,Account_Master!A:A,Account_Master!B:B,"Not on master")</f>
        <v>0</v>
      </c>
      <c r="G956" cm="1">
        <f t="array" ref="G956">_xlfn.XLOOKUP(C956,Account_Master!A:A,Account_Master!C:C,"Not on master")</f>
        <v>0</v>
      </c>
      <c r="H956" s="6">
        <v>0.75</v>
      </c>
      <c r="I956" s="6">
        <v>0.75</v>
      </c>
      <c r="J956" s="6">
        <f>I956-H956</f>
        <v>0</v>
      </c>
      <c r="K956" s="5">
        <f>IF(H956=0,"",J956/H956)</f>
        <v>0</v>
      </c>
      <c r="L956">
        <f>IF(OR(AND(H956=0,ABS(J956)&gt;=0.01),AND(H956&lt;&gt;0,ABS(K956)&gt;VarianceThreshold)),"Review","OK")</f>
        <v>0</v>
      </c>
      <c r="M956" t="s">
        <v>33</v>
      </c>
    </row>
    <row r="957" spans="1:13">
      <c r="A957" t="s">
        <v>1</v>
      </c>
      <c r="B957" t="s">
        <v>364</v>
      </c>
      <c r="C957" t="s">
        <v>1041</v>
      </c>
      <c r="D957" t="s">
        <v>1235</v>
      </c>
      <c r="E957" cm="1">
        <f t="array" ref="E957">_xlfn.XLOOKUP(D957,SKU_Master!A:A,SKU_Master!B:B,"Not on master")</f>
        <v>0</v>
      </c>
      <c r="F957" cm="1">
        <f t="array" ref="F957">_xlfn.XLOOKUP(C957,Account_Master!A:A,Account_Master!B:B,"Not on master")</f>
        <v>0</v>
      </c>
      <c r="G957" cm="1">
        <f t="array" ref="G957">_xlfn.XLOOKUP(C957,Account_Master!A:A,Account_Master!C:C,"Not on master")</f>
        <v>0</v>
      </c>
      <c r="H957" s="6">
        <v>14</v>
      </c>
      <c r="I957" s="6">
        <v>14</v>
      </c>
      <c r="J957" s="6">
        <f>I957-H957</f>
        <v>0</v>
      </c>
      <c r="K957" s="5">
        <f>IF(H957=0,"",J957/H957)</f>
        <v>0</v>
      </c>
      <c r="L957">
        <f>IF(OR(AND(H957=0,ABS(J957)&gt;=0.01),AND(H957&lt;&gt;0,ABS(K957)&gt;VarianceThreshold)),"Review","OK")</f>
        <v>0</v>
      </c>
      <c r="M957" t="s">
        <v>33</v>
      </c>
    </row>
    <row r="958" spans="1:13">
      <c r="A958" t="s">
        <v>1</v>
      </c>
      <c r="B958" t="s">
        <v>364</v>
      </c>
      <c r="C958" t="s">
        <v>1082</v>
      </c>
      <c r="D958" t="s">
        <v>1236</v>
      </c>
      <c r="E958" cm="1">
        <f t="array" ref="E958">_xlfn.XLOOKUP(D958,SKU_Master!A:A,SKU_Master!B:B,"Not on master")</f>
        <v>0</v>
      </c>
      <c r="F958" cm="1">
        <f t="array" ref="F958">_xlfn.XLOOKUP(C958,Account_Master!A:A,Account_Master!B:B,"Not on master")</f>
        <v>0</v>
      </c>
      <c r="G958" cm="1">
        <f t="array" ref="G958">_xlfn.XLOOKUP(C958,Account_Master!A:A,Account_Master!C:C,"Not on master")</f>
        <v>0</v>
      </c>
      <c r="H958" s="6">
        <v>1.5</v>
      </c>
      <c r="I958" s="6">
        <v>1.5</v>
      </c>
      <c r="J958" s="6">
        <f>I958-H958</f>
        <v>0</v>
      </c>
      <c r="K958" s="5">
        <f>IF(H958=0,"",J958/H958)</f>
        <v>0</v>
      </c>
      <c r="L958">
        <f>IF(OR(AND(H958=0,ABS(J958)&gt;=0.01),AND(H958&lt;&gt;0,ABS(K958)&gt;VarianceThreshold)),"Review","OK")</f>
        <v>0</v>
      </c>
      <c r="M958" t="s">
        <v>33</v>
      </c>
    </row>
    <row r="959" spans="1:13">
      <c r="A959" t="s">
        <v>1</v>
      </c>
      <c r="B959" t="s">
        <v>364</v>
      </c>
      <c r="C959" t="s">
        <v>1032</v>
      </c>
      <c r="D959" t="s">
        <v>1237</v>
      </c>
      <c r="E959" cm="1">
        <f t="array" ref="E959">_xlfn.XLOOKUP(D959,SKU_Master!A:A,SKU_Master!B:B,"Not on master")</f>
        <v>0</v>
      </c>
      <c r="F959" cm="1">
        <f t="array" ref="F959">_xlfn.XLOOKUP(C959,Account_Master!A:A,Account_Master!B:B,"Not on master")</f>
        <v>0</v>
      </c>
      <c r="G959" cm="1">
        <f t="array" ref="G959">_xlfn.XLOOKUP(C959,Account_Master!A:A,Account_Master!C:C,"Not on master")</f>
        <v>0</v>
      </c>
      <c r="H959" s="6">
        <v>15</v>
      </c>
      <c r="I959" s="6">
        <v>15</v>
      </c>
      <c r="J959" s="6">
        <f>I959-H959</f>
        <v>0</v>
      </c>
      <c r="K959" s="5">
        <f>IF(H959=0,"",J959/H959)</f>
        <v>0</v>
      </c>
      <c r="L959">
        <f>IF(OR(AND(H959=0,ABS(J959)&gt;=0.01),AND(H959&lt;&gt;0,ABS(K959)&gt;VarianceThreshold)),"Review","OK")</f>
        <v>0</v>
      </c>
      <c r="M959" t="s">
        <v>33</v>
      </c>
    </row>
    <row r="960" spans="1:13">
      <c r="A960" t="s">
        <v>1</v>
      </c>
      <c r="B960" t="s">
        <v>364</v>
      </c>
      <c r="C960" t="s">
        <v>1082</v>
      </c>
      <c r="D960" t="s">
        <v>1238</v>
      </c>
      <c r="E960" cm="1">
        <f t="array" ref="E960">_xlfn.XLOOKUP(D960,SKU_Master!A:A,SKU_Master!B:B,"Not on master")</f>
        <v>0</v>
      </c>
      <c r="F960" cm="1">
        <f t="array" ref="F960">_xlfn.XLOOKUP(C960,Account_Master!A:A,Account_Master!B:B,"Not on master")</f>
        <v>0</v>
      </c>
      <c r="G960" cm="1">
        <f t="array" ref="G960">_xlfn.XLOOKUP(C960,Account_Master!A:A,Account_Master!C:C,"Not on master")</f>
        <v>0</v>
      </c>
      <c r="H960" s="6">
        <v>10.5</v>
      </c>
      <c r="I960" s="6">
        <v>10.5</v>
      </c>
      <c r="J960" s="6">
        <f>I960-H960</f>
        <v>0</v>
      </c>
      <c r="K960" s="5">
        <f>IF(H960=0,"",J960/H960)</f>
        <v>0</v>
      </c>
      <c r="L960">
        <f>IF(OR(AND(H960=0,ABS(J960)&gt;=0.01),AND(H960&lt;&gt;0,ABS(K960)&gt;VarianceThreshold)),"Review","OK")</f>
        <v>0</v>
      </c>
      <c r="M960" t="s">
        <v>33</v>
      </c>
    </row>
    <row r="961" spans="1:13">
      <c r="A961" t="s">
        <v>1</v>
      </c>
      <c r="B961" t="s">
        <v>364</v>
      </c>
      <c r="C961" t="s">
        <v>1239</v>
      </c>
      <c r="D961" t="s">
        <v>1240</v>
      </c>
      <c r="E961" cm="1">
        <f t="array" ref="E961">_xlfn.XLOOKUP(D961,SKU_Master!A:A,SKU_Master!B:B,"Not on master")</f>
        <v>0</v>
      </c>
      <c r="F961" cm="1">
        <f t="array" ref="F961">_xlfn.XLOOKUP(C961,Account_Master!A:A,Account_Master!B:B,"Not on master")</f>
        <v>0</v>
      </c>
      <c r="G961" cm="1">
        <f t="array" ref="G961">_xlfn.XLOOKUP(C961,Account_Master!A:A,Account_Master!C:C,"Not on master")</f>
        <v>0</v>
      </c>
      <c r="H961" s="6">
        <v>4.5</v>
      </c>
      <c r="I961" s="6">
        <v>4.5</v>
      </c>
      <c r="J961" s="6">
        <f>I961-H961</f>
        <v>0</v>
      </c>
      <c r="K961" s="5">
        <f>IF(H961=0,"",J961/H961)</f>
        <v>0</v>
      </c>
      <c r="L961">
        <f>IF(OR(AND(H961=0,ABS(J961)&gt;=0.01),AND(H961&lt;&gt;0,ABS(K961)&gt;VarianceThreshold)),"Review","OK")</f>
        <v>0</v>
      </c>
      <c r="M961" t="s">
        <v>33</v>
      </c>
    </row>
    <row r="962" spans="1:13">
      <c r="A962" t="s">
        <v>1</v>
      </c>
      <c r="B962" t="s">
        <v>364</v>
      </c>
      <c r="C962" t="s">
        <v>1241</v>
      </c>
      <c r="D962" t="s">
        <v>1242</v>
      </c>
      <c r="E962" cm="1">
        <f t="array" ref="E962">_xlfn.XLOOKUP(D962,SKU_Master!A:A,SKU_Master!B:B,"Not on master")</f>
        <v>0</v>
      </c>
      <c r="F962" cm="1">
        <f t="array" ref="F962">_xlfn.XLOOKUP(C962,Account_Master!A:A,Account_Master!B:B,"Not on master")</f>
        <v>0</v>
      </c>
      <c r="G962" cm="1">
        <f t="array" ref="G962">_xlfn.XLOOKUP(C962,Account_Master!A:A,Account_Master!C:C,"Not on master")</f>
        <v>0</v>
      </c>
      <c r="H962" s="6">
        <v>4.5</v>
      </c>
      <c r="I962" s="6">
        <v>4.5</v>
      </c>
      <c r="J962" s="6">
        <f>I962-H962</f>
        <v>0</v>
      </c>
      <c r="K962" s="5">
        <f>IF(H962=0,"",J962/H962)</f>
        <v>0</v>
      </c>
      <c r="L962">
        <f>IF(OR(AND(H962=0,ABS(J962)&gt;=0.01),AND(H962&lt;&gt;0,ABS(K962)&gt;VarianceThreshold)),"Review","OK")</f>
        <v>0</v>
      </c>
      <c r="M962" t="s">
        <v>33</v>
      </c>
    </row>
    <row r="963" spans="1:13">
      <c r="A963" t="s">
        <v>1</v>
      </c>
      <c r="B963" t="s">
        <v>364</v>
      </c>
      <c r="C963" t="s">
        <v>1122</v>
      </c>
      <c r="D963" t="s">
        <v>215</v>
      </c>
      <c r="E963" cm="1">
        <f t="array" ref="E963">_xlfn.XLOOKUP(D963,SKU_Master!A:A,SKU_Master!B:B,"Not on master")</f>
        <v>0</v>
      </c>
      <c r="F963" cm="1">
        <f t="array" ref="F963">_xlfn.XLOOKUP(C963,Account_Master!A:A,Account_Master!B:B,"Not on master")</f>
        <v>0</v>
      </c>
      <c r="G963" cm="1">
        <f t="array" ref="G963">_xlfn.XLOOKUP(C963,Account_Master!A:A,Account_Master!C:C,"Not on master")</f>
        <v>0</v>
      </c>
      <c r="H963" s="6">
        <v>3.5</v>
      </c>
      <c r="I963" s="6">
        <v>3.5</v>
      </c>
      <c r="J963" s="6">
        <f>I963-H963</f>
        <v>0</v>
      </c>
      <c r="K963" s="5">
        <f>IF(H963=0,"",J963/H963)</f>
        <v>0</v>
      </c>
      <c r="L963">
        <f>IF(OR(AND(H963=0,ABS(J963)&gt;=0.01),AND(H963&lt;&gt;0,ABS(K963)&gt;VarianceThreshold)),"Review","OK")</f>
        <v>0</v>
      </c>
      <c r="M963" t="s">
        <v>33</v>
      </c>
    </row>
    <row r="964" spans="1:13">
      <c r="A964" t="s">
        <v>1</v>
      </c>
      <c r="B964" t="s">
        <v>371</v>
      </c>
      <c r="C964" t="s">
        <v>1243</v>
      </c>
      <c r="D964" t="s">
        <v>1244</v>
      </c>
      <c r="E964" cm="1">
        <f t="array" ref="E964">_xlfn.XLOOKUP(D964,SKU_Master!A:A,SKU_Master!B:B,"Not on master")</f>
        <v>0</v>
      </c>
      <c r="F964" cm="1">
        <f t="array" ref="F964">_xlfn.XLOOKUP(C964,Account_Master!A:A,Account_Master!B:B,"Not on master")</f>
        <v>0</v>
      </c>
      <c r="G964" cm="1">
        <f t="array" ref="G964">_xlfn.XLOOKUP(C964,Account_Master!A:A,Account_Master!C:C,"Not on master")</f>
        <v>0</v>
      </c>
      <c r="H964" s="6">
        <v>0.05</v>
      </c>
      <c r="I964" s="6">
        <v>0.05</v>
      </c>
      <c r="J964" s="6">
        <f>I964-H964</f>
        <v>0</v>
      </c>
      <c r="K964" s="5">
        <f>IF(H964=0,"",J964/H964)</f>
        <v>0</v>
      </c>
      <c r="L964">
        <f>IF(OR(AND(H964=0,ABS(J964)&gt;=0.01),AND(H964&lt;&gt;0,ABS(K964)&gt;VarianceThreshold)),"Review","OK")</f>
        <v>0</v>
      </c>
      <c r="M964" t="s">
        <v>33</v>
      </c>
    </row>
    <row r="965" spans="1:13">
      <c r="A965" t="s">
        <v>1</v>
      </c>
      <c r="B965" t="s">
        <v>371</v>
      </c>
      <c r="C965" t="s">
        <v>1245</v>
      </c>
      <c r="D965" t="s">
        <v>1246</v>
      </c>
      <c r="E965" cm="1">
        <f t="array" ref="E965">_xlfn.XLOOKUP(D965,SKU_Master!A:A,SKU_Master!B:B,"Not on master")</f>
        <v>0</v>
      </c>
      <c r="F965" cm="1">
        <f t="array" ref="F965">_xlfn.XLOOKUP(C965,Account_Master!A:A,Account_Master!B:B,"Not on master")</f>
        <v>0</v>
      </c>
      <c r="G965" cm="1">
        <f t="array" ref="G965">_xlfn.XLOOKUP(C965,Account_Master!A:A,Account_Master!C:C,"Not on master")</f>
        <v>0</v>
      </c>
      <c r="H965" s="6">
        <v>9.75</v>
      </c>
      <c r="I965" s="6">
        <v>9.75</v>
      </c>
      <c r="J965" s="6">
        <f>I965-H965</f>
        <v>0</v>
      </c>
      <c r="K965" s="5">
        <f>IF(H965=0,"",J965/H965)</f>
        <v>0</v>
      </c>
      <c r="L965">
        <f>IF(OR(AND(H965=0,ABS(J965)&gt;=0.01),AND(H965&lt;&gt;0,ABS(K965)&gt;VarianceThreshold)),"Review","OK")</f>
        <v>0</v>
      </c>
      <c r="M965" t="s">
        <v>33</v>
      </c>
    </row>
    <row r="966" spans="1:13">
      <c r="A966" t="s">
        <v>1</v>
      </c>
      <c r="B966" t="s">
        <v>371</v>
      </c>
      <c r="C966" t="s">
        <v>1078</v>
      </c>
      <c r="D966" t="s">
        <v>1247</v>
      </c>
      <c r="E966" cm="1">
        <f t="array" ref="E966">_xlfn.XLOOKUP(D966,SKU_Master!A:A,SKU_Master!B:B,"Not on master")</f>
        <v>0</v>
      </c>
      <c r="F966" cm="1">
        <f t="array" ref="F966">_xlfn.XLOOKUP(C966,Account_Master!A:A,Account_Master!B:B,"Not on master")</f>
        <v>0</v>
      </c>
      <c r="G966" cm="1">
        <f t="array" ref="G966">_xlfn.XLOOKUP(C966,Account_Master!A:A,Account_Master!C:C,"Not on master")</f>
        <v>0</v>
      </c>
      <c r="H966" s="6">
        <v>0.05</v>
      </c>
      <c r="I966" s="6">
        <v>0.05</v>
      </c>
      <c r="J966" s="6">
        <f>I966-H966</f>
        <v>0</v>
      </c>
      <c r="K966" s="5">
        <f>IF(H966=0,"",J966/H966)</f>
        <v>0</v>
      </c>
      <c r="L966">
        <f>IF(OR(AND(H966=0,ABS(J966)&gt;=0.01),AND(H966&lt;&gt;0,ABS(K966)&gt;VarianceThreshold)),"Review","OK")</f>
        <v>0</v>
      </c>
      <c r="M966" t="s">
        <v>33</v>
      </c>
    </row>
    <row r="967" spans="1:13">
      <c r="A967" t="s">
        <v>1</v>
      </c>
      <c r="B967" t="s">
        <v>371</v>
      </c>
      <c r="C967" t="s">
        <v>1044</v>
      </c>
      <c r="D967" t="s">
        <v>1248</v>
      </c>
      <c r="E967" cm="1">
        <f t="array" ref="E967">_xlfn.XLOOKUP(D967,SKU_Master!A:A,SKU_Master!B:B,"Not on master")</f>
        <v>0</v>
      </c>
      <c r="F967" cm="1">
        <f t="array" ref="F967">_xlfn.XLOOKUP(C967,Account_Master!A:A,Account_Master!B:B,"Not on master")</f>
        <v>0</v>
      </c>
      <c r="G967" cm="1">
        <f t="array" ref="G967">_xlfn.XLOOKUP(C967,Account_Master!A:A,Account_Master!C:C,"Not on master")</f>
        <v>0</v>
      </c>
      <c r="H967" s="6">
        <v>10.5</v>
      </c>
      <c r="I967" s="6">
        <v>10.5</v>
      </c>
      <c r="J967" s="6">
        <f>I967-H967</f>
        <v>0</v>
      </c>
      <c r="K967" s="5">
        <f>IF(H967=0,"",J967/H967)</f>
        <v>0</v>
      </c>
      <c r="L967">
        <f>IF(OR(AND(H967=0,ABS(J967)&gt;=0.01),AND(H967&lt;&gt;0,ABS(K967)&gt;VarianceThreshold)),"Review","OK")</f>
        <v>0</v>
      </c>
      <c r="M967" t="s">
        <v>33</v>
      </c>
    </row>
    <row r="968" spans="1:13">
      <c r="A968" t="s">
        <v>1</v>
      </c>
      <c r="B968" t="s">
        <v>371</v>
      </c>
      <c r="C968" t="s">
        <v>1177</v>
      </c>
      <c r="D968" t="s">
        <v>1249</v>
      </c>
      <c r="E968" cm="1">
        <f t="array" ref="E968">_xlfn.XLOOKUP(D968,SKU_Master!A:A,SKU_Master!B:B,"Not on master")</f>
        <v>0</v>
      </c>
      <c r="F968" cm="1">
        <f t="array" ref="F968">_xlfn.XLOOKUP(C968,Account_Master!A:A,Account_Master!B:B,"Not on master")</f>
        <v>0</v>
      </c>
      <c r="G968" cm="1">
        <f t="array" ref="G968">_xlfn.XLOOKUP(C968,Account_Master!A:A,Account_Master!C:C,"Not on master")</f>
        <v>0</v>
      </c>
      <c r="H968" s="6">
        <v>1</v>
      </c>
      <c r="I968" s="6">
        <v>1</v>
      </c>
      <c r="J968" s="6">
        <f>I968-H968</f>
        <v>0</v>
      </c>
      <c r="K968" s="5">
        <f>IF(H968=0,"",J968/H968)</f>
        <v>0</v>
      </c>
      <c r="L968">
        <f>IF(OR(AND(H968=0,ABS(J968)&gt;=0.01),AND(H968&lt;&gt;0,ABS(K968)&gt;VarianceThreshold)),"Review","OK")</f>
        <v>0</v>
      </c>
      <c r="M968" t="s">
        <v>33</v>
      </c>
    </row>
    <row r="969" spans="1:13">
      <c r="A969" t="s">
        <v>1</v>
      </c>
      <c r="B969" t="s">
        <v>371</v>
      </c>
      <c r="C969" t="s">
        <v>1024</v>
      </c>
      <c r="D969" t="s">
        <v>1250</v>
      </c>
      <c r="E969" cm="1">
        <f t="array" ref="E969">_xlfn.XLOOKUP(D969,SKU_Master!A:A,SKU_Master!B:B,"Not on master")</f>
        <v>0</v>
      </c>
      <c r="F969" cm="1">
        <f t="array" ref="F969">_xlfn.XLOOKUP(C969,Account_Master!A:A,Account_Master!B:B,"Not on master")</f>
        <v>0</v>
      </c>
      <c r="G969" cm="1">
        <f t="array" ref="G969">_xlfn.XLOOKUP(C969,Account_Master!A:A,Account_Master!C:C,"Not on master")</f>
        <v>0</v>
      </c>
      <c r="H969" s="6">
        <v>26.25</v>
      </c>
      <c r="I969" s="6">
        <v>26.25</v>
      </c>
      <c r="J969" s="6">
        <f>I969-H969</f>
        <v>0</v>
      </c>
      <c r="K969" s="5">
        <f>IF(H969=0,"",J969/H969)</f>
        <v>0</v>
      </c>
      <c r="L969">
        <f>IF(OR(AND(H969=0,ABS(J969)&gt;=0.01),AND(H969&lt;&gt;0,ABS(K969)&gt;VarianceThreshold)),"Review","OK")</f>
        <v>0</v>
      </c>
      <c r="M969" t="s">
        <v>33</v>
      </c>
    </row>
    <row r="970" spans="1:13">
      <c r="A970" t="s">
        <v>1</v>
      </c>
      <c r="B970" t="s">
        <v>379</v>
      </c>
      <c r="C970" t="s">
        <v>1053</v>
      </c>
      <c r="D970" t="s">
        <v>560</v>
      </c>
      <c r="E970" cm="1">
        <f t="array" ref="E970">_xlfn.XLOOKUP(D970,SKU_Master!A:A,SKU_Master!B:B,"Not on master")</f>
        <v>0</v>
      </c>
      <c r="F970" cm="1">
        <f t="array" ref="F970">_xlfn.XLOOKUP(C970,Account_Master!A:A,Account_Master!B:B,"Not on master")</f>
        <v>0</v>
      </c>
      <c r="G970" cm="1">
        <f t="array" ref="G970">_xlfn.XLOOKUP(C970,Account_Master!A:A,Account_Master!C:C,"Not on master")</f>
        <v>0</v>
      </c>
      <c r="H970" s="6">
        <v>0.7</v>
      </c>
      <c r="I970" s="6">
        <v>0.7</v>
      </c>
      <c r="J970" s="6">
        <f>I970-H970</f>
        <v>0</v>
      </c>
      <c r="K970" s="5">
        <f>IF(H970=0,"",J970/H970)</f>
        <v>0</v>
      </c>
      <c r="L970">
        <f>IF(OR(AND(H970=0,ABS(J970)&gt;=0.01),AND(H970&lt;&gt;0,ABS(K970)&gt;VarianceThreshold)),"Review","OK")</f>
        <v>0</v>
      </c>
      <c r="M970" t="s">
        <v>33</v>
      </c>
    </row>
    <row r="971" spans="1:13">
      <c r="A971" t="s">
        <v>1</v>
      </c>
      <c r="B971" t="s">
        <v>379</v>
      </c>
      <c r="C971" t="s">
        <v>1013</v>
      </c>
      <c r="D971" t="s">
        <v>965</v>
      </c>
      <c r="E971" cm="1">
        <f t="array" ref="E971">_xlfn.XLOOKUP(D971,SKU_Master!A:A,SKU_Master!B:B,"Not on master")</f>
        <v>0</v>
      </c>
      <c r="F971" cm="1">
        <f t="array" ref="F971">_xlfn.XLOOKUP(C971,Account_Master!A:A,Account_Master!B:B,"Not on master")</f>
        <v>0</v>
      </c>
      <c r="G971" cm="1">
        <f t="array" ref="G971">_xlfn.XLOOKUP(C971,Account_Master!A:A,Account_Master!C:C,"Not on master")</f>
        <v>0</v>
      </c>
      <c r="H971" s="6">
        <v>8</v>
      </c>
      <c r="I971" s="6">
        <v>8</v>
      </c>
      <c r="J971" s="6">
        <f>I971-H971</f>
        <v>0</v>
      </c>
      <c r="K971" s="5">
        <f>IF(H971=0,"",J971/H971)</f>
        <v>0</v>
      </c>
      <c r="L971">
        <f>IF(OR(AND(H971=0,ABS(J971)&gt;=0.01),AND(H971&lt;&gt;0,ABS(K971)&gt;VarianceThreshold)),"Review","OK")</f>
        <v>0</v>
      </c>
      <c r="M971" t="s">
        <v>33</v>
      </c>
    </row>
    <row r="972" spans="1:13">
      <c r="A972" t="s">
        <v>1</v>
      </c>
      <c r="B972" t="s">
        <v>392</v>
      </c>
      <c r="C972" t="s">
        <v>1068</v>
      </c>
      <c r="D972" t="s">
        <v>1251</v>
      </c>
      <c r="E972" cm="1">
        <f t="array" ref="E972">_xlfn.XLOOKUP(D972,SKU_Master!A:A,SKU_Master!B:B,"Not on master")</f>
        <v>0</v>
      </c>
      <c r="F972" cm="1">
        <f t="array" ref="F972">_xlfn.XLOOKUP(C972,Account_Master!A:A,Account_Master!B:B,"Not on master")</f>
        <v>0</v>
      </c>
      <c r="G972" cm="1">
        <f t="array" ref="G972">_xlfn.XLOOKUP(C972,Account_Master!A:A,Account_Master!C:C,"Not on master")</f>
        <v>0</v>
      </c>
      <c r="H972" s="6">
        <v>13.5</v>
      </c>
      <c r="I972" s="6">
        <v>13.5</v>
      </c>
      <c r="J972" s="6">
        <f>I972-H972</f>
        <v>0</v>
      </c>
      <c r="K972" s="5">
        <f>IF(H972=0,"",J972/H972)</f>
        <v>0</v>
      </c>
      <c r="L972">
        <f>IF(OR(AND(H972=0,ABS(J972)&gt;=0.01),AND(H972&lt;&gt;0,ABS(K972)&gt;VarianceThreshold)),"Review","OK")</f>
        <v>0</v>
      </c>
      <c r="M972" t="s">
        <v>33</v>
      </c>
    </row>
    <row r="973" spans="1:13">
      <c r="A973" t="s">
        <v>1</v>
      </c>
      <c r="B973" t="s">
        <v>392</v>
      </c>
      <c r="C973" t="s">
        <v>1078</v>
      </c>
      <c r="D973" t="s">
        <v>970</v>
      </c>
      <c r="E973" cm="1">
        <f t="array" ref="E973">_xlfn.XLOOKUP(D973,SKU_Master!A:A,SKU_Master!B:B,"Not on master")</f>
        <v>0</v>
      </c>
      <c r="F973" cm="1">
        <f t="array" ref="F973">_xlfn.XLOOKUP(C973,Account_Master!A:A,Account_Master!B:B,"Not on master")</f>
        <v>0</v>
      </c>
      <c r="G973" cm="1">
        <f t="array" ref="G973">_xlfn.XLOOKUP(C973,Account_Master!A:A,Account_Master!C:C,"Not on master")</f>
        <v>0</v>
      </c>
      <c r="H973" s="6">
        <v>4</v>
      </c>
      <c r="I973" s="6">
        <v>4</v>
      </c>
      <c r="J973" s="6">
        <f>I973-H973</f>
        <v>0</v>
      </c>
      <c r="K973" s="5">
        <f>IF(H973=0,"",J973/H973)</f>
        <v>0</v>
      </c>
      <c r="L973">
        <f>IF(OR(AND(H973=0,ABS(J973)&gt;=0.01),AND(H973&lt;&gt;0,ABS(K973)&gt;VarianceThreshold)),"Review","OK")</f>
        <v>0</v>
      </c>
      <c r="M973" t="s">
        <v>33</v>
      </c>
    </row>
    <row r="974" spans="1:13">
      <c r="A974" t="s">
        <v>1</v>
      </c>
      <c r="B974" t="s">
        <v>392</v>
      </c>
      <c r="C974" t="s">
        <v>1053</v>
      </c>
      <c r="D974" t="s">
        <v>124</v>
      </c>
      <c r="E974" cm="1">
        <f t="array" ref="E974">_xlfn.XLOOKUP(D974,SKU_Master!A:A,SKU_Master!B:B,"Not on master")</f>
        <v>0</v>
      </c>
      <c r="F974" cm="1">
        <f t="array" ref="F974">_xlfn.XLOOKUP(C974,Account_Master!A:A,Account_Master!B:B,"Not on master")</f>
        <v>0</v>
      </c>
      <c r="G974" cm="1">
        <f t="array" ref="G974">_xlfn.XLOOKUP(C974,Account_Master!A:A,Account_Master!C:C,"Not on master")</f>
        <v>0</v>
      </c>
      <c r="H974" s="6">
        <v>6.75</v>
      </c>
      <c r="I974" s="6">
        <v>6.75</v>
      </c>
      <c r="J974" s="6">
        <f>I974-H974</f>
        <v>0</v>
      </c>
      <c r="K974" s="5">
        <f>IF(H974=0,"",J974/H974)</f>
        <v>0</v>
      </c>
      <c r="L974">
        <f>IF(OR(AND(H974=0,ABS(J974)&gt;=0.01),AND(H974&lt;&gt;0,ABS(K974)&gt;VarianceThreshold)),"Review","OK")</f>
        <v>0</v>
      </c>
      <c r="M974" t="s">
        <v>33</v>
      </c>
    </row>
    <row r="975" spans="1:13">
      <c r="A975" t="s">
        <v>1</v>
      </c>
      <c r="B975" t="s">
        <v>392</v>
      </c>
      <c r="C975" t="s">
        <v>1082</v>
      </c>
      <c r="D975" t="s">
        <v>1252</v>
      </c>
      <c r="E975" cm="1">
        <f t="array" ref="E975">_xlfn.XLOOKUP(D975,SKU_Master!A:A,SKU_Master!B:B,"Not on master")</f>
        <v>0</v>
      </c>
      <c r="F975" cm="1">
        <f t="array" ref="F975">_xlfn.XLOOKUP(C975,Account_Master!A:A,Account_Master!B:B,"Not on master")</f>
        <v>0</v>
      </c>
      <c r="G975" cm="1">
        <f t="array" ref="G975">_xlfn.XLOOKUP(C975,Account_Master!A:A,Account_Master!C:C,"Not on master")</f>
        <v>0</v>
      </c>
      <c r="H975" s="6">
        <v>0.75</v>
      </c>
      <c r="I975" s="6">
        <v>0.75</v>
      </c>
      <c r="J975" s="6">
        <f>I975-H975</f>
        <v>0</v>
      </c>
      <c r="K975" s="5">
        <f>IF(H975=0,"",J975/H975)</f>
        <v>0</v>
      </c>
      <c r="L975">
        <f>IF(OR(AND(H975=0,ABS(J975)&gt;=0.01),AND(H975&lt;&gt;0,ABS(K975)&gt;VarianceThreshold)),"Review","OK")</f>
        <v>0</v>
      </c>
      <c r="M975" t="s">
        <v>33</v>
      </c>
    </row>
    <row r="976" spans="1:13">
      <c r="A976" t="s">
        <v>1</v>
      </c>
      <c r="B976" t="s">
        <v>392</v>
      </c>
      <c r="C976" t="s">
        <v>1019</v>
      </c>
      <c r="D976" t="s">
        <v>252</v>
      </c>
      <c r="E976" cm="1">
        <f t="array" ref="E976">_xlfn.XLOOKUP(D976,SKU_Master!A:A,SKU_Master!B:B,"Not on master")</f>
        <v>0</v>
      </c>
      <c r="F976" cm="1">
        <f t="array" ref="F976">_xlfn.XLOOKUP(C976,Account_Master!A:A,Account_Master!B:B,"Not on master")</f>
        <v>0</v>
      </c>
      <c r="G976" cm="1">
        <f t="array" ref="G976">_xlfn.XLOOKUP(C976,Account_Master!A:A,Account_Master!C:C,"Not on master")</f>
        <v>0</v>
      </c>
      <c r="H976" s="6">
        <v>0.75</v>
      </c>
      <c r="I976" s="6">
        <v>0.75</v>
      </c>
      <c r="J976" s="6">
        <f>I976-H976</f>
        <v>0</v>
      </c>
      <c r="K976" s="5">
        <f>IF(H976=0,"",J976/H976)</f>
        <v>0</v>
      </c>
      <c r="L976">
        <f>IF(OR(AND(H976=0,ABS(J976)&gt;=0.01),AND(H976&lt;&gt;0,ABS(K976)&gt;VarianceThreshold)),"Review","OK")</f>
        <v>0</v>
      </c>
      <c r="M976" t="s">
        <v>33</v>
      </c>
    </row>
    <row r="977" spans="1:13">
      <c r="A977" t="s">
        <v>1</v>
      </c>
      <c r="B977" t="s">
        <v>402</v>
      </c>
      <c r="C977" t="s">
        <v>1072</v>
      </c>
      <c r="D977" t="s">
        <v>1253</v>
      </c>
      <c r="E977" cm="1">
        <f t="array" ref="E977">_xlfn.XLOOKUP(D977,SKU_Master!A:A,SKU_Master!B:B,"Not on master")</f>
        <v>0</v>
      </c>
      <c r="F977" cm="1">
        <f t="array" ref="F977">_xlfn.XLOOKUP(C977,Account_Master!A:A,Account_Master!B:B,"Not on master")</f>
        <v>0</v>
      </c>
      <c r="G977" cm="1">
        <f t="array" ref="G977">_xlfn.XLOOKUP(C977,Account_Master!A:A,Account_Master!C:C,"Not on master")</f>
        <v>0</v>
      </c>
      <c r="H977" s="6">
        <v>0.75</v>
      </c>
      <c r="I977" s="6">
        <v>0.75</v>
      </c>
      <c r="J977" s="6">
        <f>I977-H977</f>
        <v>0</v>
      </c>
      <c r="K977" s="5">
        <f>IF(H977=0,"",J977/H977)</f>
        <v>0</v>
      </c>
      <c r="L977">
        <f>IF(OR(AND(H977=0,ABS(J977)&gt;=0.01),AND(H977&lt;&gt;0,ABS(K977)&gt;VarianceThreshold)),"Review","OK")</f>
        <v>0</v>
      </c>
      <c r="M977" t="s">
        <v>33</v>
      </c>
    </row>
    <row r="978" spans="1:13">
      <c r="A978" t="s">
        <v>1</v>
      </c>
      <c r="B978" t="s">
        <v>402</v>
      </c>
      <c r="C978" t="s">
        <v>1043</v>
      </c>
      <c r="D978" t="s">
        <v>1254</v>
      </c>
      <c r="E978" cm="1">
        <f t="array" ref="E978">_xlfn.XLOOKUP(D978,SKU_Master!A:A,SKU_Master!B:B,"Not on master")</f>
        <v>0</v>
      </c>
      <c r="F978" cm="1">
        <f t="array" ref="F978">_xlfn.XLOOKUP(C978,Account_Master!A:A,Account_Master!B:B,"Not on master")</f>
        <v>0</v>
      </c>
      <c r="G978" cm="1">
        <f t="array" ref="G978">_xlfn.XLOOKUP(C978,Account_Master!A:A,Account_Master!C:C,"Not on master")</f>
        <v>0</v>
      </c>
      <c r="H978" s="6">
        <v>2.25</v>
      </c>
      <c r="I978" s="6">
        <v>2.25</v>
      </c>
      <c r="J978" s="6">
        <f>I978-H978</f>
        <v>0</v>
      </c>
      <c r="K978" s="5">
        <f>IF(H978=0,"",J978/H978)</f>
        <v>0</v>
      </c>
      <c r="L978">
        <f>IF(OR(AND(H978=0,ABS(J978)&gt;=0.01),AND(H978&lt;&gt;0,ABS(K978)&gt;VarianceThreshold)),"Review","OK")</f>
        <v>0</v>
      </c>
      <c r="M978" t="s">
        <v>33</v>
      </c>
    </row>
    <row r="979" spans="1:13">
      <c r="A979" t="s">
        <v>1</v>
      </c>
      <c r="B979" t="s">
        <v>402</v>
      </c>
      <c r="C979" t="s">
        <v>1010</v>
      </c>
      <c r="D979" t="s">
        <v>1255</v>
      </c>
      <c r="E979" cm="1">
        <f t="array" ref="E979">_xlfn.XLOOKUP(D979,SKU_Master!A:A,SKU_Master!B:B,"Not on master")</f>
        <v>0</v>
      </c>
      <c r="F979" cm="1">
        <f t="array" ref="F979">_xlfn.XLOOKUP(C979,Account_Master!A:A,Account_Master!B:B,"Not on master")</f>
        <v>0</v>
      </c>
      <c r="G979" cm="1">
        <f t="array" ref="G979">_xlfn.XLOOKUP(C979,Account_Master!A:A,Account_Master!C:C,"Not on master")</f>
        <v>0</v>
      </c>
      <c r="H979" s="6">
        <v>4.5</v>
      </c>
      <c r="I979" s="6">
        <v>4.5</v>
      </c>
      <c r="J979" s="6">
        <f>I979-H979</f>
        <v>0</v>
      </c>
      <c r="K979" s="5">
        <f>IF(H979=0,"",J979/H979)</f>
        <v>0</v>
      </c>
      <c r="L979">
        <f>IF(OR(AND(H979=0,ABS(J979)&gt;=0.01),AND(H979&lt;&gt;0,ABS(K979)&gt;VarianceThreshold)),"Review","OK")</f>
        <v>0</v>
      </c>
      <c r="M979" t="s">
        <v>33</v>
      </c>
    </row>
    <row r="980" spans="1:13">
      <c r="A980" t="s">
        <v>1</v>
      </c>
      <c r="B980" t="s">
        <v>402</v>
      </c>
      <c r="C980" t="s">
        <v>1043</v>
      </c>
      <c r="D980" t="s">
        <v>1256</v>
      </c>
      <c r="E980" cm="1">
        <f t="array" ref="E980">_xlfn.XLOOKUP(D980,SKU_Master!A:A,SKU_Master!B:B,"Not on master")</f>
        <v>0</v>
      </c>
      <c r="F980" cm="1">
        <f t="array" ref="F980">_xlfn.XLOOKUP(C980,Account_Master!A:A,Account_Master!B:B,"Not on master")</f>
        <v>0</v>
      </c>
      <c r="G980" cm="1">
        <f t="array" ref="G980">_xlfn.XLOOKUP(C980,Account_Master!A:A,Account_Master!C:C,"Not on master")</f>
        <v>0</v>
      </c>
      <c r="H980" s="6">
        <v>0.75</v>
      </c>
      <c r="I980" s="6">
        <v>0.75</v>
      </c>
      <c r="J980" s="6">
        <f>I980-H980</f>
        <v>0</v>
      </c>
      <c r="K980" s="5">
        <f>IF(H980=0,"",J980/H980)</f>
        <v>0</v>
      </c>
      <c r="L980">
        <f>IF(OR(AND(H980=0,ABS(J980)&gt;=0.01),AND(H980&lt;&gt;0,ABS(K980)&gt;VarianceThreshold)),"Review","OK")</f>
        <v>0</v>
      </c>
      <c r="M980" t="s">
        <v>33</v>
      </c>
    </row>
    <row r="981" spans="1:13">
      <c r="A981" t="s">
        <v>1</v>
      </c>
      <c r="B981" t="s">
        <v>410</v>
      </c>
      <c r="C981" t="s">
        <v>1185</v>
      </c>
      <c r="D981" t="s">
        <v>1257</v>
      </c>
      <c r="E981" cm="1">
        <f t="array" ref="E981">_xlfn.XLOOKUP(D981,SKU_Master!A:A,SKU_Master!B:B,"Not on master")</f>
        <v>0</v>
      </c>
      <c r="F981" cm="1">
        <f t="array" ref="F981">_xlfn.XLOOKUP(C981,Account_Master!A:A,Account_Master!B:B,"Not on master")</f>
        <v>0</v>
      </c>
      <c r="G981" cm="1">
        <f t="array" ref="G981">_xlfn.XLOOKUP(C981,Account_Master!A:A,Account_Master!C:C,"Not on master")</f>
        <v>0</v>
      </c>
      <c r="H981" s="6">
        <v>24</v>
      </c>
      <c r="I981" s="6">
        <v>24</v>
      </c>
      <c r="J981" s="6">
        <f>I981-H981</f>
        <v>0</v>
      </c>
      <c r="K981" s="5">
        <f>IF(H981=0,"",J981/H981)</f>
        <v>0</v>
      </c>
      <c r="L981">
        <f>IF(OR(AND(H981=0,ABS(J981)&gt;=0.01),AND(H981&lt;&gt;0,ABS(K981)&gt;VarianceThreshold)),"Review","OK")</f>
        <v>0</v>
      </c>
      <c r="M981" t="s">
        <v>33</v>
      </c>
    </row>
    <row r="982" spans="1:13">
      <c r="A982" t="s">
        <v>1</v>
      </c>
      <c r="B982" t="s">
        <v>410</v>
      </c>
      <c r="C982" t="s">
        <v>1018</v>
      </c>
      <c r="D982" t="s">
        <v>431</v>
      </c>
      <c r="E982" cm="1">
        <f t="array" ref="E982">_xlfn.XLOOKUP(D982,SKU_Master!A:A,SKU_Master!B:B,"Not on master")</f>
        <v>0</v>
      </c>
      <c r="F982" cm="1">
        <f t="array" ref="F982">_xlfn.XLOOKUP(C982,Account_Master!A:A,Account_Master!B:B,"Not on master")</f>
        <v>0</v>
      </c>
      <c r="G982" cm="1">
        <f t="array" ref="G982">_xlfn.XLOOKUP(C982,Account_Master!A:A,Account_Master!C:C,"Not on master")</f>
        <v>0</v>
      </c>
      <c r="H982" s="6">
        <v>2.25</v>
      </c>
      <c r="I982" s="6">
        <v>2.25</v>
      </c>
      <c r="J982" s="6">
        <f>I982-H982</f>
        <v>0</v>
      </c>
      <c r="K982" s="5">
        <f>IF(H982=0,"",J982/H982)</f>
        <v>0</v>
      </c>
      <c r="L982">
        <f>IF(OR(AND(H982=0,ABS(J982)&gt;=0.01),AND(H982&lt;&gt;0,ABS(K982)&gt;VarianceThreshold)),"Review","OK")</f>
        <v>0</v>
      </c>
      <c r="M982" t="s">
        <v>33</v>
      </c>
    </row>
    <row r="983" spans="1:13">
      <c r="A983" t="s">
        <v>1</v>
      </c>
      <c r="B983" t="s">
        <v>410</v>
      </c>
      <c r="C983" t="s">
        <v>1053</v>
      </c>
      <c r="D983" t="s">
        <v>342</v>
      </c>
      <c r="E983" cm="1">
        <f t="array" ref="E983">_xlfn.XLOOKUP(D983,SKU_Master!A:A,SKU_Master!B:B,"Not on master")</f>
        <v>0</v>
      </c>
      <c r="F983" cm="1">
        <f t="array" ref="F983">_xlfn.XLOOKUP(C983,Account_Master!A:A,Account_Master!B:B,"Not on master")</f>
        <v>0</v>
      </c>
      <c r="G983" cm="1">
        <f t="array" ref="G983">_xlfn.XLOOKUP(C983,Account_Master!A:A,Account_Master!C:C,"Not on master")</f>
        <v>0</v>
      </c>
      <c r="H983" s="6">
        <v>7.86</v>
      </c>
      <c r="I983" s="6">
        <v>7.86</v>
      </c>
      <c r="J983" s="6">
        <f>I983-H983</f>
        <v>0</v>
      </c>
      <c r="K983" s="5">
        <f>IF(H983=0,"",J983/H983)</f>
        <v>0</v>
      </c>
      <c r="L983">
        <f>IF(OR(AND(H983=0,ABS(J983)&gt;=0.01),AND(H983&lt;&gt;0,ABS(K983)&gt;VarianceThreshold)),"Review","OK")</f>
        <v>0</v>
      </c>
      <c r="M983" t="s">
        <v>33</v>
      </c>
    </row>
    <row r="984" spans="1:13">
      <c r="A984" t="s">
        <v>1</v>
      </c>
      <c r="B984" t="s">
        <v>410</v>
      </c>
      <c r="C984" t="s">
        <v>1112</v>
      </c>
      <c r="D984" t="s">
        <v>525</v>
      </c>
      <c r="E984" cm="1">
        <f t="array" ref="E984">_xlfn.XLOOKUP(D984,SKU_Master!A:A,SKU_Master!B:B,"Not on master")</f>
        <v>0</v>
      </c>
      <c r="F984" cm="1">
        <f t="array" ref="F984">_xlfn.XLOOKUP(C984,Account_Master!A:A,Account_Master!B:B,"Not on master")</f>
        <v>0</v>
      </c>
      <c r="G984" cm="1">
        <f t="array" ref="G984">_xlfn.XLOOKUP(C984,Account_Master!A:A,Account_Master!C:C,"Not on master")</f>
        <v>0</v>
      </c>
      <c r="H984" s="6">
        <v>21</v>
      </c>
      <c r="I984" s="6">
        <v>21</v>
      </c>
      <c r="J984" s="6">
        <f>I984-H984</f>
        <v>0</v>
      </c>
      <c r="K984" s="5">
        <f>IF(H984=0,"",J984/H984)</f>
        <v>0</v>
      </c>
      <c r="L984">
        <f>IF(OR(AND(H984=0,ABS(J984)&gt;=0.01),AND(H984&lt;&gt;0,ABS(K984)&gt;VarianceThreshold)),"Review","OK")</f>
        <v>0</v>
      </c>
      <c r="M984" t="s">
        <v>33</v>
      </c>
    </row>
    <row r="985" spans="1:13">
      <c r="A985" t="s">
        <v>1</v>
      </c>
      <c r="B985" t="s">
        <v>410</v>
      </c>
      <c r="C985" t="s">
        <v>1013</v>
      </c>
      <c r="D985" t="s">
        <v>1258</v>
      </c>
      <c r="E985" cm="1">
        <f t="array" ref="E985">_xlfn.XLOOKUP(D985,SKU_Master!A:A,SKU_Master!B:B,"Not on master")</f>
        <v>0</v>
      </c>
      <c r="F985" cm="1">
        <f t="array" ref="F985">_xlfn.XLOOKUP(C985,Account_Master!A:A,Account_Master!B:B,"Not on master")</f>
        <v>0</v>
      </c>
      <c r="G985" cm="1">
        <f t="array" ref="G985">_xlfn.XLOOKUP(C985,Account_Master!A:A,Account_Master!C:C,"Not on master")</f>
        <v>0</v>
      </c>
      <c r="H985" s="6">
        <v>13.5</v>
      </c>
      <c r="I985" s="6">
        <v>13.5</v>
      </c>
      <c r="J985" s="6">
        <f>I985-H985</f>
        <v>0</v>
      </c>
      <c r="K985" s="5">
        <f>IF(H985=0,"",J985/H985)</f>
        <v>0</v>
      </c>
      <c r="L985">
        <f>IF(OR(AND(H985=0,ABS(J985)&gt;=0.01),AND(H985&lt;&gt;0,ABS(K985)&gt;VarianceThreshold)),"Review","OK")</f>
        <v>0</v>
      </c>
      <c r="M985" t="s">
        <v>33</v>
      </c>
    </row>
    <row r="986" spans="1:13">
      <c r="A986" t="s">
        <v>1</v>
      </c>
      <c r="B986" t="s">
        <v>410</v>
      </c>
      <c r="C986" t="s">
        <v>1259</v>
      </c>
      <c r="D986" t="s">
        <v>219</v>
      </c>
      <c r="E986" cm="1">
        <f t="array" ref="E986">_xlfn.XLOOKUP(D986,SKU_Master!A:A,SKU_Master!B:B,"Not on master")</f>
        <v>0</v>
      </c>
      <c r="F986" cm="1">
        <f t="array" ref="F986">_xlfn.XLOOKUP(C986,Account_Master!A:A,Account_Master!B:B,"Not on master")</f>
        <v>0</v>
      </c>
      <c r="G986" cm="1">
        <f t="array" ref="G986">_xlfn.XLOOKUP(C986,Account_Master!A:A,Account_Master!C:C,"Not on master")</f>
        <v>0</v>
      </c>
      <c r="H986" s="6">
        <v>2.25</v>
      </c>
      <c r="I986" s="6">
        <v>2.25</v>
      </c>
      <c r="J986" s="6">
        <f>I986-H986</f>
        <v>0</v>
      </c>
      <c r="K986" s="5">
        <f>IF(H986=0,"",J986/H986)</f>
        <v>0</v>
      </c>
      <c r="L986">
        <f>IF(OR(AND(H986=0,ABS(J986)&gt;=0.01),AND(H986&lt;&gt;0,ABS(K986)&gt;VarianceThreshold)),"Review","OK")</f>
        <v>0</v>
      </c>
      <c r="M986" t="s">
        <v>33</v>
      </c>
    </row>
    <row r="987" spans="1:13">
      <c r="A987" t="s">
        <v>1</v>
      </c>
      <c r="B987" t="s">
        <v>410</v>
      </c>
      <c r="C987" t="s">
        <v>1112</v>
      </c>
      <c r="D987" t="s">
        <v>773</v>
      </c>
      <c r="E987" cm="1">
        <f t="array" ref="E987">_xlfn.XLOOKUP(D987,SKU_Master!A:A,SKU_Master!B:B,"Not on master")</f>
        <v>0</v>
      </c>
      <c r="F987" cm="1">
        <f t="array" ref="F987">_xlfn.XLOOKUP(C987,Account_Master!A:A,Account_Master!B:B,"Not on master")</f>
        <v>0</v>
      </c>
      <c r="G987" cm="1">
        <f t="array" ref="G987">_xlfn.XLOOKUP(C987,Account_Master!A:A,Account_Master!C:C,"Not on master")</f>
        <v>0</v>
      </c>
      <c r="H987" s="6">
        <v>74.25</v>
      </c>
      <c r="I987" s="6">
        <v>74.25</v>
      </c>
      <c r="J987" s="6">
        <f>I987-H987</f>
        <v>0</v>
      </c>
      <c r="K987" s="5">
        <f>IF(H987=0,"",J987/H987)</f>
        <v>0</v>
      </c>
      <c r="L987">
        <f>IF(OR(AND(H987=0,ABS(J987)&gt;=0.01),AND(H987&lt;&gt;0,ABS(K987)&gt;VarianceThreshold)),"Review","OK")</f>
        <v>0</v>
      </c>
      <c r="M987" t="s">
        <v>33</v>
      </c>
    </row>
    <row r="988" spans="1:13">
      <c r="A988" t="s">
        <v>1</v>
      </c>
      <c r="B988" t="s">
        <v>410</v>
      </c>
      <c r="C988" t="s">
        <v>1018</v>
      </c>
      <c r="D988" t="s">
        <v>1260</v>
      </c>
      <c r="E988" cm="1">
        <f t="array" ref="E988">_xlfn.XLOOKUP(D988,SKU_Master!A:A,SKU_Master!B:B,"Not on master")</f>
        <v>0</v>
      </c>
      <c r="F988" cm="1">
        <f t="array" ref="F988">_xlfn.XLOOKUP(C988,Account_Master!A:A,Account_Master!B:B,"Not on master")</f>
        <v>0</v>
      </c>
      <c r="G988" cm="1">
        <f t="array" ref="G988">_xlfn.XLOOKUP(C988,Account_Master!A:A,Account_Master!C:C,"Not on master")</f>
        <v>0</v>
      </c>
      <c r="H988" s="6">
        <v>9</v>
      </c>
      <c r="I988" s="6">
        <v>9</v>
      </c>
      <c r="J988" s="6">
        <f>I988-H988</f>
        <v>0</v>
      </c>
      <c r="K988" s="5">
        <f>IF(H988=0,"",J988/H988)</f>
        <v>0</v>
      </c>
      <c r="L988">
        <f>IF(OR(AND(H988=0,ABS(J988)&gt;=0.01),AND(H988&lt;&gt;0,ABS(K988)&gt;VarianceThreshold)),"Review","OK")</f>
        <v>0</v>
      </c>
      <c r="M988" t="s">
        <v>33</v>
      </c>
    </row>
    <row r="989" spans="1:13">
      <c r="A989" t="s">
        <v>1</v>
      </c>
      <c r="B989" t="s">
        <v>410</v>
      </c>
      <c r="C989" t="s">
        <v>1261</v>
      </c>
      <c r="D989" t="s">
        <v>1262</v>
      </c>
      <c r="E989" cm="1">
        <f t="array" ref="E989">_xlfn.XLOOKUP(D989,SKU_Master!A:A,SKU_Master!B:B,"Not on master")</f>
        <v>0</v>
      </c>
      <c r="F989" cm="1">
        <f t="array" ref="F989">_xlfn.XLOOKUP(C989,Account_Master!A:A,Account_Master!B:B,"Not on master")</f>
        <v>0</v>
      </c>
      <c r="G989" cm="1">
        <f t="array" ref="G989">_xlfn.XLOOKUP(C989,Account_Master!A:A,Account_Master!C:C,"Not on master")</f>
        <v>0</v>
      </c>
      <c r="H989" s="6">
        <v>2.4</v>
      </c>
      <c r="I989" s="6">
        <v>2.4</v>
      </c>
      <c r="J989" s="6">
        <f>I989-H989</f>
        <v>0</v>
      </c>
      <c r="K989" s="5">
        <f>IF(H989=0,"",J989/H989)</f>
        <v>0</v>
      </c>
      <c r="L989">
        <f>IF(OR(AND(H989=0,ABS(J989)&gt;=0.01),AND(H989&lt;&gt;0,ABS(K989)&gt;VarianceThreshold)),"Review","OK")</f>
        <v>0</v>
      </c>
      <c r="M989" t="s">
        <v>33</v>
      </c>
    </row>
    <row r="990" spans="1:13">
      <c r="A990" t="s">
        <v>1</v>
      </c>
      <c r="B990" t="s">
        <v>416</v>
      </c>
      <c r="C990" t="s">
        <v>1010</v>
      </c>
      <c r="D990" t="s">
        <v>255</v>
      </c>
      <c r="E990" cm="1">
        <f t="array" ref="E990">_xlfn.XLOOKUP(D990,SKU_Master!A:A,SKU_Master!B:B,"Not on master")</f>
        <v>0</v>
      </c>
      <c r="F990" cm="1">
        <f t="array" ref="F990">_xlfn.XLOOKUP(C990,Account_Master!A:A,Account_Master!B:B,"Not on master")</f>
        <v>0</v>
      </c>
      <c r="G990" cm="1">
        <f t="array" ref="G990">_xlfn.XLOOKUP(C990,Account_Master!A:A,Account_Master!C:C,"Not on master")</f>
        <v>0</v>
      </c>
      <c r="H990" s="6">
        <v>72</v>
      </c>
      <c r="I990" s="6">
        <v>72</v>
      </c>
      <c r="J990" s="6">
        <f>I990-H990</f>
        <v>0</v>
      </c>
      <c r="K990" s="5">
        <f>IF(H990=0,"",J990/H990)</f>
        <v>0</v>
      </c>
      <c r="L990">
        <f>IF(OR(AND(H990=0,ABS(J990)&gt;=0.01),AND(H990&lt;&gt;0,ABS(K990)&gt;VarianceThreshold)),"Review","OK")</f>
        <v>0</v>
      </c>
      <c r="M990" t="s">
        <v>33</v>
      </c>
    </row>
    <row r="991" spans="1:13">
      <c r="A991" t="s">
        <v>1</v>
      </c>
      <c r="B991" t="s">
        <v>416</v>
      </c>
      <c r="C991" t="s">
        <v>1263</v>
      </c>
      <c r="D991" t="s">
        <v>743</v>
      </c>
      <c r="E991" cm="1">
        <f t="array" ref="E991">_xlfn.XLOOKUP(D991,SKU_Master!A:A,SKU_Master!B:B,"Not on master")</f>
        <v>0</v>
      </c>
      <c r="F991" cm="1">
        <f t="array" ref="F991">_xlfn.XLOOKUP(C991,Account_Master!A:A,Account_Master!B:B,"Not on master")</f>
        <v>0</v>
      </c>
      <c r="G991" cm="1">
        <f t="array" ref="G991">_xlfn.XLOOKUP(C991,Account_Master!A:A,Account_Master!C:C,"Not on master")</f>
        <v>0</v>
      </c>
      <c r="H991" s="6">
        <v>6</v>
      </c>
      <c r="I991" s="6">
        <v>6</v>
      </c>
      <c r="J991" s="6">
        <f>I991-H991</f>
        <v>0</v>
      </c>
      <c r="K991" s="5">
        <f>IF(H991=0,"",J991/H991)</f>
        <v>0</v>
      </c>
      <c r="L991">
        <f>IF(OR(AND(H991=0,ABS(J991)&gt;=0.01),AND(H991&lt;&gt;0,ABS(K991)&gt;VarianceThreshold)),"Review","OK")</f>
        <v>0</v>
      </c>
      <c r="M991" t="s">
        <v>33</v>
      </c>
    </row>
    <row r="992" spans="1:13">
      <c r="A992" t="s">
        <v>1</v>
      </c>
      <c r="B992" t="s">
        <v>416</v>
      </c>
      <c r="C992" t="s">
        <v>1185</v>
      </c>
      <c r="D992" t="s">
        <v>1264</v>
      </c>
      <c r="E992" cm="1">
        <f t="array" ref="E992">_xlfn.XLOOKUP(D992,SKU_Master!A:A,SKU_Master!B:B,"Not on master")</f>
        <v>0</v>
      </c>
      <c r="F992" cm="1">
        <f t="array" ref="F992">_xlfn.XLOOKUP(C992,Account_Master!A:A,Account_Master!B:B,"Not on master")</f>
        <v>0</v>
      </c>
      <c r="G992" cm="1">
        <f t="array" ref="G992">_xlfn.XLOOKUP(C992,Account_Master!A:A,Account_Master!C:C,"Not on master")</f>
        <v>0</v>
      </c>
      <c r="H992" s="6">
        <v>105</v>
      </c>
      <c r="I992" s="6">
        <v>105</v>
      </c>
      <c r="J992" s="6">
        <f>I992-H992</f>
        <v>0</v>
      </c>
      <c r="K992" s="5">
        <f>IF(H992=0,"",J992/H992)</f>
        <v>0</v>
      </c>
      <c r="L992">
        <f>IF(OR(AND(H992=0,ABS(J992)&gt;=0.01),AND(H992&lt;&gt;0,ABS(K992)&gt;VarianceThreshold)),"Review","OK")</f>
        <v>0</v>
      </c>
      <c r="M992" t="s">
        <v>33</v>
      </c>
    </row>
    <row r="993" spans="1:13">
      <c r="A993" t="s">
        <v>1</v>
      </c>
      <c r="B993" t="s">
        <v>416</v>
      </c>
      <c r="C993" t="s">
        <v>1265</v>
      </c>
      <c r="D993" t="s">
        <v>1266</v>
      </c>
      <c r="E993" cm="1">
        <f t="array" ref="E993">_xlfn.XLOOKUP(D993,SKU_Master!A:A,SKU_Master!B:B,"Not on master")</f>
        <v>0</v>
      </c>
      <c r="F993" cm="1">
        <f t="array" ref="F993">_xlfn.XLOOKUP(C993,Account_Master!A:A,Account_Master!B:B,"Not on master")</f>
        <v>0</v>
      </c>
      <c r="G993" cm="1">
        <f t="array" ref="G993">_xlfn.XLOOKUP(C993,Account_Master!A:A,Account_Master!C:C,"Not on master")</f>
        <v>0</v>
      </c>
      <c r="H993" s="6">
        <v>0.8</v>
      </c>
      <c r="I993" s="6">
        <v>0.8</v>
      </c>
      <c r="J993" s="6">
        <f>I993-H993</f>
        <v>0</v>
      </c>
      <c r="K993" s="5">
        <f>IF(H993=0,"",J993/H993)</f>
        <v>0</v>
      </c>
      <c r="L993">
        <f>IF(OR(AND(H993=0,ABS(J993)&gt;=0.01),AND(H993&lt;&gt;0,ABS(K993)&gt;VarianceThreshold)),"Review","OK")</f>
        <v>0</v>
      </c>
      <c r="M993" t="s">
        <v>33</v>
      </c>
    </row>
    <row r="994" spans="1:13">
      <c r="A994" t="s">
        <v>1</v>
      </c>
      <c r="B994" t="s">
        <v>428</v>
      </c>
      <c r="C994" t="s">
        <v>1024</v>
      </c>
      <c r="D994" t="s">
        <v>1267</v>
      </c>
      <c r="E994" cm="1">
        <f t="array" ref="E994">_xlfn.XLOOKUP(D994,SKU_Master!A:A,SKU_Master!B:B,"Not on master")</f>
        <v>0</v>
      </c>
      <c r="F994" cm="1">
        <f t="array" ref="F994">_xlfn.XLOOKUP(C994,Account_Master!A:A,Account_Master!B:B,"Not on master")</f>
        <v>0</v>
      </c>
      <c r="G994" cm="1">
        <f t="array" ref="G994">_xlfn.XLOOKUP(C994,Account_Master!A:A,Account_Master!C:C,"Not on master")</f>
        <v>0</v>
      </c>
      <c r="H994" s="6">
        <v>63</v>
      </c>
      <c r="I994" s="6">
        <v>63</v>
      </c>
      <c r="J994" s="6">
        <f>I994-H994</f>
        <v>0</v>
      </c>
      <c r="K994" s="5">
        <f>IF(H994=0,"",J994/H994)</f>
        <v>0</v>
      </c>
      <c r="L994">
        <f>IF(OR(AND(H994=0,ABS(J994)&gt;=0.01),AND(H994&lt;&gt;0,ABS(K994)&gt;VarianceThreshold)),"Review","OK")</f>
        <v>0</v>
      </c>
      <c r="M994" t="s">
        <v>33</v>
      </c>
    </row>
    <row r="995" spans="1:13">
      <c r="A995" t="s">
        <v>1</v>
      </c>
      <c r="B995" t="s">
        <v>428</v>
      </c>
      <c r="C995" t="s">
        <v>1268</v>
      </c>
      <c r="D995" t="s">
        <v>1269</v>
      </c>
      <c r="E995" cm="1">
        <f t="array" ref="E995">_xlfn.XLOOKUP(D995,SKU_Master!A:A,SKU_Master!B:B,"Not on master")</f>
        <v>0</v>
      </c>
      <c r="F995" cm="1">
        <f t="array" ref="F995">_xlfn.XLOOKUP(C995,Account_Master!A:A,Account_Master!B:B,"Not on master")</f>
        <v>0</v>
      </c>
      <c r="G995" cm="1">
        <f t="array" ref="G995">_xlfn.XLOOKUP(C995,Account_Master!A:A,Account_Master!C:C,"Not on master")</f>
        <v>0</v>
      </c>
      <c r="H995" s="6">
        <v>178.5</v>
      </c>
      <c r="I995" s="6">
        <v>178.5</v>
      </c>
      <c r="J995" s="6">
        <f>I995-H995</f>
        <v>0</v>
      </c>
      <c r="K995" s="5">
        <f>IF(H995=0,"",J995/H995)</f>
        <v>0</v>
      </c>
      <c r="L995">
        <f>IF(OR(AND(H995=0,ABS(J995)&gt;=0.01),AND(H995&lt;&gt;0,ABS(K995)&gt;VarianceThreshold)),"Review","OK")</f>
        <v>0</v>
      </c>
      <c r="M995" t="s">
        <v>33</v>
      </c>
    </row>
    <row r="996" spans="1:13">
      <c r="A996" t="s">
        <v>1</v>
      </c>
      <c r="B996" t="s">
        <v>428</v>
      </c>
      <c r="C996" t="s">
        <v>1270</v>
      </c>
      <c r="D996" t="s">
        <v>695</v>
      </c>
      <c r="E996" cm="1">
        <f t="array" ref="E996">_xlfn.XLOOKUP(D996,SKU_Master!A:A,SKU_Master!B:B,"Not on master")</f>
        <v>0</v>
      </c>
      <c r="F996" cm="1">
        <f t="array" ref="F996">_xlfn.XLOOKUP(C996,Account_Master!A:A,Account_Master!B:B,"Not on master")</f>
        <v>0</v>
      </c>
      <c r="G996" cm="1">
        <f t="array" ref="G996">_xlfn.XLOOKUP(C996,Account_Master!A:A,Account_Master!C:C,"Not on master")</f>
        <v>0</v>
      </c>
      <c r="H996" s="6">
        <v>124.5</v>
      </c>
      <c r="I996" s="6">
        <v>124.5</v>
      </c>
      <c r="J996" s="6">
        <f>I996-H996</f>
        <v>0</v>
      </c>
      <c r="K996" s="5">
        <f>IF(H996=0,"",J996/H996)</f>
        <v>0</v>
      </c>
      <c r="L996">
        <f>IF(OR(AND(H996=0,ABS(J996)&gt;=0.01),AND(H996&lt;&gt;0,ABS(K996)&gt;VarianceThreshold)),"Review","OK")</f>
        <v>0</v>
      </c>
      <c r="M996" t="s">
        <v>33</v>
      </c>
    </row>
    <row r="997" spans="1:13">
      <c r="A997" t="s">
        <v>1</v>
      </c>
      <c r="B997" t="s">
        <v>428</v>
      </c>
      <c r="C997" t="s">
        <v>1010</v>
      </c>
      <c r="D997" t="s">
        <v>1271</v>
      </c>
      <c r="E997" cm="1">
        <f t="array" ref="E997">_xlfn.XLOOKUP(D997,SKU_Master!A:A,SKU_Master!B:B,"Not on master")</f>
        <v>0</v>
      </c>
      <c r="F997" cm="1">
        <f t="array" ref="F997">_xlfn.XLOOKUP(C997,Account_Master!A:A,Account_Master!B:B,"Not on master")</f>
        <v>0</v>
      </c>
      <c r="G997" cm="1">
        <f t="array" ref="G997">_xlfn.XLOOKUP(C997,Account_Master!A:A,Account_Master!C:C,"Not on master")</f>
        <v>0</v>
      </c>
      <c r="H997" s="6">
        <v>30</v>
      </c>
      <c r="I997" s="6">
        <v>30</v>
      </c>
      <c r="J997" s="6">
        <f>I997-H997</f>
        <v>0</v>
      </c>
      <c r="K997" s="5">
        <f>IF(H997=0,"",J997/H997)</f>
        <v>0</v>
      </c>
      <c r="L997">
        <f>IF(OR(AND(H997=0,ABS(J997)&gt;=0.01),AND(H997&lt;&gt;0,ABS(K997)&gt;VarianceThreshold)),"Review","OK")</f>
        <v>0</v>
      </c>
      <c r="M997" t="s">
        <v>33</v>
      </c>
    </row>
    <row r="998" spans="1:13">
      <c r="A998" t="s">
        <v>1</v>
      </c>
      <c r="B998" t="s">
        <v>428</v>
      </c>
      <c r="C998" t="s">
        <v>1272</v>
      </c>
      <c r="D998" t="s">
        <v>537</v>
      </c>
      <c r="E998" cm="1">
        <f t="array" ref="E998">_xlfn.XLOOKUP(D998,SKU_Master!A:A,SKU_Master!B:B,"Not on master")</f>
        <v>0</v>
      </c>
      <c r="F998" cm="1">
        <f t="array" ref="F998">_xlfn.XLOOKUP(C998,Account_Master!A:A,Account_Master!B:B,"Not on master")</f>
        <v>0</v>
      </c>
      <c r="G998" cm="1">
        <f t="array" ref="G998">_xlfn.XLOOKUP(C998,Account_Master!A:A,Account_Master!C:C,"Not on master")</f>
        <v>0</v>
      </c>
      <c r="H998" s="6">
        <v>3.75</v>
      </c>
      <c r="I998" s="6">
        <v>3.75</v>
      </c>
      <c r="J998" s="6">
        <f>I998-H998</f>
        <v>0</v>
      </c>
      <c r="K998" s="5">
        <f>IF(H998=0,"",J998/H998)</f>
        <v>0</v>
      </c>
      <c r="L998">
        <f>IF(OR(AND(H998=0,ABS(J998)&gt;=0.01),AND(H998&lt;&gt;0,ABS(K998)&gt;VarianceThreshold)),"Review","OK")</f>
        <v>0</v>
      </c>
      <c r="M998" t="s">
        <v>33</v>
      </c>
    </row>
    <row r="999" spans="1:13">
      <c r="A999" t="s">
        <v>1</v>
      </c>
      <c r="B999" t="s">
        <v>428</v>
      </c>
      <c r="C999" t="s">
        <v>1018</v>
      </c>
      <c r="D999" t="s">
        <v>46</v>
      </c>
      <c r="E999" cm="1">
        <f t="array" ref="E999">_xlfn.XLOOKUP(D999,SKU_Master!A:A,SKU_Master!B:B,"Not on master")</f>
        <v>0</v>
      </c>
      <c r="F999" cm="1">
        <f t="array" ref="F999">_xlfn.XLOOKUP(C999,Account_Master!A:A,Account_Master!B:B,"Not on master")</f>
        <v>0</v>
      </c>
      <c r="G999" cm="1">
        <f t="array" ref="G999">_xlfn.XLOOKUP(C999,Account_Master!A:A,Account_Master!C:C,"Not on master")</f>
        <v>0</v>
      </c>
      <c r="H999" s="6">
        <v>0.05</v>
      </c>
      <c r="I999" s="6">
        <v>0.05</v>
      </c>
      <c r="J999" s="6">
        <f>I999-H999</f>
        <v>0</v>
      </c>
      <c r="K999" s="5">
        <f>IF(H999=0,"",J999/H999)</f>
        <v>0</v>
      </c>
      <c r="L999">
        <f>IF(OR(AND(H999=0,ABS(J999)&gt;=0.01),AND(H999&lt;&gt;0,ABS(K999)&gt;VarianceThreshold)),"Review","OK")</f>
        <v>0</v>
      </c>
      <c r="M999" t="s">
        <v>33</v>
      </c>
    </row>
    <row r="1000" spans="1:13">
      <c r="A1000" t="s">
        <v>1</v>
      </c>
      <c r="B1000" t="s">
        <v>436</v>
      </c>
      <c r="C1000" t="s">
        <v>1018</v>
      </c>
      <c r="D1000" t="s">
        <v>1273</v>
      </c>
      <c r="E1000" cm="1">
        <f t="array" ref="E1000">_xlfn.XLOOKUP(D1000,SKU_Master!A:A,SKU_Master!B:B,"Not on master")</f>
        <v>0</v>
      </c>
      <c r="F1000" cm="1">
        <f t="array" ref="F1000">_xlfn.XLOOKUP(C1000,Account_Master!A:A,Account_Master!B:B,"Not on master")</f>
        <v>0</v>
      </c>
      <c r="G1000" cm="1">
        <f t="array" ref="G1000">_xlfn.XLOOKUP(C1000,Account_Master!A:A,Account_Master!C:C,"Not on master")</f>
        <v>0</v>
      </c>
      <c r="H1000" s="6">
        <v>6.75</v>
      </c>
      <c r="I1000" s="6">
        <v>6.1001</v>
      </c>
      <c r="J1000" s="6">
        <f>I1000-H1000</f>
        <v>0</v>
      </c>
      <c r="K1000" s="5">
        <f>IF(H1000=0,"",J1000/H1000)</f>
        <v>0</v>
      </c>
      <c r="L1000">
        <f>IF(OR(AND(H1000=0,ABS(J1000)&gt;=0.01),AND(H1000&lt;&gt;0,ABS(K1000)&gt;VarianceThreshold)),"Review","OK")</f>
        <v>0</v>
      </c>
      <c r="M1000" t="s">
        <v>471</v>
      </c>
    </row>
    <row r="1001" spans="1:13">
      <c r="A1001" t="s">
        <v>1</v>
      </c>
      <c r="B1001" t="s">
        <v>436</v>
      </c>
      <c r="C1001" t="s">
        <v>1019</v>
      </c>
      <c r="D1001" t="s">
        <v>1274</v>
      </c>
      <c r="E1001" cm="1">
        <f t="array" ref="E1001">_xlfn.XLOOKUP(D1001,SKU_Master!A:A,SKU_Master!B:B,"Not on master")</f>
        <v>0</v>
      </c>
      <c r="F1001" cm="1">
        <f t="array" ref="F1001">_xlfn.XLOOKUP(C1001,Account_Master!A:A,Account_Master!B:B,"Not on master")</f>
        <v>0</v>
      </c>
      <c r="G1001" cm="1">
        <f t="array" ref="G1001">_xlfn.XLOOKUP(C1001,Account_Master!A:A,Account_Master!C:C,"Not on master")</f>
        <v>0</v>
      </c>
      <c r="H1001" s="6">
        <v>1.5</v>
      </c>
      <c r="I1001" s="6">
        <v>1.3556</v>
      </c>
      <c r="J1001" s="6">
        <f>I1001-H1001</f>
        <v>0</v>
      </c>
      <c r="K1001" s="5">
        <f>IF(H1001=0,"",J1001/H1001)</f>
        <v>0</v>
      </c>
      <c r="L1001">
        <f>IF(OR(AND(H1001=0,ABS(J1001)&gt;=0.01),AND(H1001&lt;&gt;0,ABS(K1001)&gt;VarianceThreshold)),"Review","OK")</f>
        <v>0</v>
      </c>
      <c r="M1001" t="s">
        <v>471</v>
      </c>
    </row>
    <row r="1002" spans="1:13">
      <c r="A1002" t="s">
        <v>1</v>
      </c>
      <c r="B1002" t="s">
        <v>447</v>
      </c>
      <c r="C1002" t="s">
        <v>1082</v>
      </c>
      <c r="D1002" t="s">
        <v>1275</v>
      </c>
      <c r="E1002" cm="1">
        <f t="array" ref="E1002">_xlfn.XLOOKUP(D1002,SKU_Master!A:A,SKU_Master!B:B,"Not on master")</f>
        <v>0</v>
      </c>
      <c r="F1002" cm="1">
        <f t="array" ref="F1002">_xlfn.XLOOKUP(C1002,Account_Master!A:A,Account_Master!B:B,"Not on master")</f>
        <v>0</v>
      </c>
      <c r="G1002" cm="1">
        <f t="array" ref="G1002">_xlfn.XLOOKUP(C1002,Account_Master!A:A,Account_Master!C:C,"Not on master")</f>
        <v>0</v>
      </c>
      <c r="H1002" s="6">
        <v>18</v>
      </c>
      <c r="I1002" s="6">
        <v>18</v>
      </c>
      <c r="J1002" s="6">
        <f>I1002-H1002</f>
        <v>0</v>
      </c>
      <c r="K1002" s="5">
        <f>IF(H1002=0,"",J1002/H1002)</f>
        <v>0</v>
      </c>
      <c r="L1002">
        <f>IF(OR(AND(H1002=0,ABS(J1002)&gt;=0.01),AND(H1002&lt;&gt;0,ABS(K1002)&gt;VarianceThreshold)),"Review","OK")</f>
        <v>0</v>
      </c>
      <c r="M1002" t="s">
        <v>33</v>
      </c>
    </row>
    <row r="1003" spans="1:13">
      <c r="A1003" t="s">
        <v>1</v>
      </c>
      <c r="B1003" t="s">
        <v>447</v>
      </c>
      <c r="C1003" t="s">
        <v>1276</v>
      </c>
      <c r="D1003" t="s">
        <v>515</v>
      </c>
      <c r="E1003" cm="1">
        <f t="array" ref="E1003">_xlfn.XLOOKUP(D1003,SKU_Master!A:A,SKU_Master!B:B,"Not on master")</f>
        <v>0</v>
      </c>
      <c r="F1003" cm="1">
        <f t="array" ref="F1003">_xlfn.XLOOKUP(C1003,Account_Master!A:A,Account_Master!B:B,"Not on master")</f>
        <v>0</v>
      </c>
      <c r="G1003" cm="1">
        <f t="array" ref="G1003">_xlfn.XLOOKUP(C1003,Account_Master!A:A,Account_Master!C:C,"Not on master")</f>
        <v>0</v>
      </c>
      <c r="H1003" s="6">
        <v>17.25</v>
      </c>
      <c r="I1003" s="6">
        <v>17.25</v>
      </c>
      <c r="J1003" s="6">
        <f>I1003-H1003</f>
        <v>0</v>
      </c>
      <c r="K1003" s="5">
        <f>IF(H1003=0,"",J1003/H1003)</f>
        <v>0</v>
      </c>
      <c r="L1003">
        <f>IF(OR(AND(H1003=0,ABS(J1003)&gt;=0.01),AND(H1003&lt;&gt;0,ABS(K1003)&gt;VarianceThreshold)),"Review","OK")</f>
        <v>0</v>
      </c>
      <c r="M1003" t="s">
        <v>33</v>
      </c>
    </row>
    <row r="1004" spans="1:13">
      <c r="A1004" t="s">
        <v>1</v>
      </c>
      <c r="B1004" t="s">
        <v>447</v>
      </c>
      <c r="C1004" t="s">
        <v>1032</v>
      </c>
      <c r="D1004" t="s">
        <v>1277</v>
      </c>
      <c r="E1004" cm="1">
        <f t="array" ref="E1004">_xlfn.XLOOKUP(D1004,SKU_Master!A:A,SKU_Master!B:B,"Not on master")</f>
        <v>0</v>
      </c>
      <c r="F1004" cm="1">
        <f t="array" ref="F1004">_xlfn.XLOOKUP(C1004,Account_Master!A:A,Account_Master!B:B,"Not on master")</f>
        <v>0</v>
      </c>
      <c r="G1004" cm="1">
        <f t="array" ref="G1004">_xlfn.XLOOKUP(C1004,Account_Master!A:A,Account_Master!C:C,"Not on master")</f>
        <v>0</v>
      </c>
      <c r="H1004" s="6">
        <v>9</v>
      </c>
      <c r="I1004" s="6">
        <v>9</v>
      </c>
      <c r="J1004" s="6">
        <f>I1004-H1004</f>
        <v>0</v>
      </c>
      <c r="K1004" s="5">
        <f>IF(H1004=0,"",J1004/H1004)</f>
        <v>0</v>
      </c>
      <c r="L1004">
        <f>IF(OR(AND(H1004=0,ABS(J1004)&gt;=0.01),AND(H1004&lt;&gt;0,ABS(K1004)&gt;VarianceThreshold)),"Review","OK")</f>
        <v>0</v>
      </c>
      <c r="M1004" t="s">
        <v>33</v>
      </c>
    </row>
    <row r="1005" spans="1:13">
      <c r="A1005" t="s">
        <v>1</v>
      </c>
      <c r="B1005" t="s">
        <v>447</v>
      </c>
      <c r="C1005" t="s">
        <v>1034</v>
      </c>
      <c r="D1005" t="s">
        <v>151</v>
      </c>
      <c r="E1005" cm="1">
        <f t="array" ref="E1005">_xlfn.XLOOKUP(D1005,SKU_Master!A:A,SKU_Master!B:B,"Not on master")</f>
        <v>0</v>
      </c>
      <c r="F1005" cm="1">
        <f t="array" ref="F1005">_xlfn.XLOOKUP(C1005,Account_Master!A:A,Account_Master!B:B,"Not on master")</f>
        <v>0</v>
      </c>
      <c r="G1005" cm="1">
        <f t="array" ref="G1005">_xlfn.XLOOKUP(C1005,Account_Master!A:A,Account_Master!C:C,"Not on master")</f>
        <v>0</v>
      </c>
      <c r="H1005" s="6">
        <v>2.25</v>
      </c>
      <c r="I1005" s="6">
        <v>2.25</v>
      </c>
      <c r="J1005" s="6">
        <f>I1005-H1005</f>
        <v>0</v>
      </c>
      <c r="K1005" s="5">
        <f>IF(H1005=0,"",J1005/H1005)</f>
        <v>0</v>
      </c>
      <c r="L1005">
        <f>IF(OR(AND(H1005=0,ABS(J1005)&gt;=0.01),AND(H1005&lt;&gt;0,ABS(K1005)&gt;VarianceThreshold)),"Review","OK")</f>
        <v>0</v>
      </c>
      <c r="M1005" t="s">
        <v>33</v>
      </c>
    </row>
    <row r="1006" spans="1:13">
      <c r="A1006" t="s">
        <v>1</v>
      </c>
      <c r="B1006" t="s">
        <v>1278</v>
      </c>
      <c r="C1006" t="s">
        <v>1041</v>
      </c>
      <c r="D1006" t="s">
        <v>1279</v>
      </c>
      <c r="E1006" cm="1">
        <f t="array" ref="E1006">_xlfn.XLOOKUP(D1006,SKU_Master!A:A,SKU_Master!B:B,"Not on master")</f>
        <v>0</v>
      </c>
      <c r="F1006" cm="1">
        <f t="array" ref="F1006">_xlfn.XLOOKUP(C1006,Account_Master!A:A,Account_Master!B:B,"Not on master")</f>
        <v>0</v>
      </c>
      <c r="G1006" cm="1">
        <f t="array" ref="G1006">_xlfn.XLOOKUP(C1006,Account_Master!A:A,Account_Master!C:C,"Not on master")</f>
        <v>0</v>
      </c>
      <c r="H1006" s="6">
        <v>0.55</v>
      </c>
      <c r="I1006" s="6">
        <v>0.55</v>
      </c>
      <c r="J1006" s="6">
        <f>I1006-H1006</f>
        <v>0</v>
      </c>
      <c r="K1006" s="5">
        <f>IF(H1006=0,"",J1006/H1006)</f>
        <v>0</v>
      </c>
      <c r="L1006">
        <f>IF(OR(AND(H1006=0,ABS(J1006)&gt;=0.01),AND(H1006&lt;&gt;0,ABS(K1006)&gt;VarianceThreshold)),"Review","OK")</f>
        <v>0</v>
      </c>
      <c r="M1006" t="s">
        <v>33</v>
      </c>
    </row>
    <row r="1007" spans="1:13">
      <c r="A1007" t="s">
        <v>1</v>
      </c>
      <c r="B1007" t="s">
        <v>1278</v>
      </c>
      <c r="C1007" t="s">
        <v>1053</v>
      </c>
      <c r="D1007" t="s">
        <v>1280</v>
      </c>
      <c r="E1007" cm="1">
        <f t="array" ref="E1007">_xlfn.XLOOKUP(D1007,SKU_Master!A:A,SKU_Master!B:B,"Not on master")</f>
        <v>0</v>
      </c>
      <c r="F1007" cm="1">
        <f t="array" ref="F1007">_xlfn.XLOOKUP(C1007,Account_Master!A:A,Account_Master!B:B,"Not on master")</f>
        <v>0</v>
      </c>
      <c r="G1007" cm="1">
        <f t="array" ref="G1007">_xlfn.XLOOKUP(C1007,Account_Master!A:A,Account_Master!C:C,"Not on master")</f>
        <v>0</v>
      </c>
      <c r="H1007" s="6">
        <v>6.75</v>
      </c>
      <c r="I1007" s="6">
        <v>6.75</v>
      </c>
      <c r="J1007" s="6">
        <f>I1007-H1007</f>
        <v>0</v>
      </c>
      <c r="K1007" s="5">
        <f>IF(H1007=0,"",J1007/H1007)</f>
        <v>0</v>
      </c>
      <c r="L1007">
        <f>IF(OR(AND(H1007=0,ABS(J1007)&gt;=0.01),AND(H1007&lt;&gt;0,ABS(K1007)&gt;VarianceThreshold)),"Review","OK")</f>
        <v>0</v>
      </c>
      <c r="M1007" t="s">
        <v>33</v>
      </c>
    </row>
    <row r="1008" spans="1:13">
      <c r="A1008" t="s">
        <v>1</v>
      </c>
      <c r="B1008" t="s">
        <v>1278</v>
      </c>
      <c r="C1008" t="s">
        <v>1024</v>
      </c>
      <c r="D1008" t="s">
        <v>382</v>
      </c>
      <c r="E1008" cm="1">
        <f t="array" ref="E1008">_xlfn.XLOOKUP(D1008,SKU_Master!A:A,SKU_Master!B:B,"Not on master")</f>
        <v>0</v>
      </c>
      <c r="F1008" cm="1">
        <f t="array" ref="F1008">_xlfn.XLOOKUP(C1008,Account_Master!A:A,Account_Master!B:B,"Not on master")</f>
        <v>0</v>
      </c>
      <c r="G1008" cm="1">
        <f t="array" ref="G1008">_xlfn.XLOOKUP(C1008,Account_Master!A:A,Account_Master!C:C,"Not on master")</f>
        <v>0</v>
      </c>
      <c r="H1008" s="6">
        <v>13.5</v>
      </c>
      <c r="I1008" s="6">
        <v>13.5</v>
      </c>
      <c r="J1008" s="6">
        <f>I1008-H1008</f>
        <v>0</v>
      </c>
      <c r="K1008" s="5">
        <f>IF(H1008=0,"",J1008/H1008)</f>
        <v>0</v>
      </c>
      <c r="L1008">
        <f>IF(OR(AND(H1008=0,ABS(J1008)&gt;=0.01),AND(H1008&lt;&gt;0,ABS(K1008)&gt;VarianceThreshold)),"Review","OK")</f>
        <v>0</v>
      </c>
      <c r="M1008" t="s">
        <v>33</v>
      </c>
    </row>
    <row r="1009" spans="1:13">
      <c r="A1009" t="s">
        <v>1</v>
      </c>
      <c r="B1009" t="s">
        <v>1278</v>
      </c>
      <c r="C1009" t="s">
        <v>1024</v>
      </c>
      <c r="D1009" t="s">
        <v>1281</v>
      </c>
      <c r="E1009" cm="1">
        <f t="array" ref="E1009">_xlfn.XLOOKUP(D1009,SKU_Master!A:A,SKU_Master!B:B,"Not on master")</f>
        <v>0</v>
      </c>
      <c r="F1009" cm="1">
        <f t="array" ref="F1009">_xlfn.XLOOKUP(C1009,Account_Master!A:A,Account_Master!B:B,"Not on master")</f>
        <v>0</v>
      </c>
      <c r="G1009" cm="1">
        <f t="array" ref="G1009">_xlfn.XLOOKUP(C1009,Account_Master!A:A,Account_Master!C:C,"Not on master")</f>
        <v>0</v>
      </c>
      <c r="H1009" s="6">
        <v>9</v>
      </c>
      <c r="I1009" s="6">
        <v>9</v>
      </c>
      <c r="J1009" s="6">
        <f>I1009-H1009</f>
        <v>0</v>
      </c>
      <c r="K1009" s="5">
        <f>IF(H1009=0,"",J1009/H1009)</f>
        <v>0</v>
      </c>
      <c r="L1009">
        <f>IF(OR(AND(H1009=0,ABS(J1009)&gt;=0.01),AND(H1009&lt;&gt;0,ABS(K1009)&gt;VarianceThreshold)),"Review","OK")</f>
        <v>0</v>
      </c>
      <c r="M1009" t="s">
        <v>33</v>
      </c>
    </row>
    <row r="1010" spans="1:13">
      <c r="A1010" t="s">
        <v>1</v>
      </c>
      <c r="B1010" t="s">
        <v>1278</v>
      </c>
      <c r="C1010" t="s">
        <v>1185</v>
      </c>
      <c r="D1010" t="s">
        <v>1282</v>
      </c>
      <c r="E1010" cm="1">
        <f t="array" ref="E1010">_xlfn.XLOOKUP(D1010,SKU_Master!A:A,SKU_Master!B:B,"Not on master")</f>
        <v>0</v>
      </c>
      <c r="F1010" cm="1">
        <f t="array" ref="F1010">_xlfn.XLOOKUP(C1010,Account_Master!A:A,Account_Master!B:B,"Not on master")</f>
        <v>0</v>
      </c>
      <c r="G1010" cm="1">
        <f t="array" ref="G1010">_xlfn.XLOOKUP(C1010,Account_Master!A:A,Account_Master!C:C,"Not on master")</f>
        <v>0</v>
      </c>
      <c r="H1010" s="6">
        <v>464</v>
      </c>
      <c r="I1010" s="6">
        <v>464</v>
      </c>
      <c r="J1010" s="6">
        <f>I1010-H1010</f>
        <v>0</v>
      </c>
      <c r="K1010" s="5">
        <f>IF(H1010=0,"",J1010/H1010)</f>
        <v>0</v>
      </c>
      <c r="L1010">
        <f>IF(OR(AND(H1010=0,ABS(J1010)&gt;=0.01),AND(H1010&lt;&gt;0,ABS(K1010)&gt;VarianceThreshold)),"Review","OK")</f>
        <v>0</v>
      </c>
      <c r="M1010" t="s">
        <v>33</v>
      </c>
    </row>
    <row r="1011" spans="1:13">
      <c r="A1011" t="s">
        <v>1</v>
      </c>
      <c r="B1011" t="s">
        <v>1278</v>
      </c>
      <c r="C1011" t="s">
        <v>1010</v>
      </c>
      <c r="D1011" t="s">
        <v>1283</v>
      </c>
      <c r="E1011" cm="1">
        <f t="array" ref="E1011">_xlfn.XLOOKUP(D1011,SKU_Master!A:A,SKU_Master!B:B,"Not on master")</f>
        <v>0</v>
      </c>
      <c r="F1011" cm="1">
        <f t="array" ref="F1011">_xlfn.XLOOKUP(C1011,Account_Master!A:A,Account_Master!B:B,"Not on master")</f>
        <v>0</v>
      </c>
      <c r="G1011" cm="1">
        <f t="array" ref="G1011">_xlfn.XLOOKUP(C1011,Account_Master!A:A,Account_Master!C:C,"Not on master")</f>
        <v>0</v>
      </c>
      <c r="H1011" s="6">
        <v>2.25</v>
      </c>
      <c r="I1011" s="6">
        <v>2.25</v>
      </c>
      <c r="J1011" s="6">
        <f>I1011-H1011</f>
        <v>0</v>
      </c>
      <c r="K1011" s="5">
        <f>IF(H1011=0,"",J1011/H1011)</f>
        <v>0</v>
      </c>
      <c r="L1011">
        <f>IF(OR(AND(H1011=0,ABS(J1011)&gt;=0.01),AND(H1011&lt;&gt;0,ABS(K1011)&gt;VarianceThreshold)),"Review","OK")</f>
        <v>0</v>
      </c>
      <c r="M1011" t="s">
        <v>33</v>
      </c>
    </row>
    <row r="1012" spans="1:13">
      <c r="A1012" t="s">
        <v>1</v>
      </c>
      <c r="B1012" t="s">
        <v>451</v>
      </c>
      <c r="C1012" t="s">
        <v>1034</v>
      </c>
      <c r="D1012" t="s">
        <v>686</v>
      </c>
      <c r="E1012" cm="1">
        <f t="array" ref="E1012">_xlfn.XLOOKUP(D1012,SKU_Master!A:A,SKU_Master!B:B,"Not on master")</f>
        <v>0</v>
      </c>
      <c r="F1012" cm="1">
        <f t="array" ref="F1012">_xlfn.XLOOKUP(C1012,Account_Master!A:A,Account_Master!B:B,"Not on master")</f>
        <v>0</v>
      </c>
      <c r="G1012" cm="1">
        <f t="array" ref="G1012">_xlfn.XLOOKUP(C1012,Account_Master!A:A,Account_Master!C:C,"Not on master")</f>
        <v>0</v>
      </c>
      <c r="H1012" s="6">
        <v>2.25</v>
      </c>
      <c r="I1012" s="6">
        <v>2.25</v>
      </c>
      <c r="J1012" s="6">
        <f>I1012-H1012</f>
        <v>0</v>
      </c>
      <c r="K1012" s="5">
        <f>IF(H1012=0,"",J1012/H1012)</f>
        <v>0</v>
      </c>
      <c r="L1012">
        <f>IF(OR(AND(H1012=0,ABS(J1012)&gt;=0.01),AND(H1012&lt;&gt;0,ABS(K1012)&gt;VarianceThreshold)),"Review","OK")</f>
        <v>0</v>
      </c>
      <c r="M1012" t="s">
        <v>33</v>
      </c>
    </row>
    <row r="1013" spans="1:13">
      <c r="A1013" t="s">
        <v>1</v>
      </c>
      <c r="B1013" t="s">
        <v>464</v>
      </c>
      <c r="C1013" t="s">
        <v>1284</v>
      </c>
      <c r="D1013" t="s">
        <v>1285</v>
      </c>
      <c r="E1013" cm="1">
        <f t="array" ref="E1013">_xlfn.XLOOKUP(D1013,SKU_Master!A:A,SKU_Master!B:B,"Not on master")</f>
        <v>0</v>
      </c>
      <c r="F1013" cm="1">
        <f t="array" ref="F1013">_xlfn.XLOOKUP(C1013,Account_Master!A:A,Account_Master!B:B,"Not on master")</f>
        <v>0</v>
      </c>
      <c r="G1013" cm="1">
        <f t="array" ref="G1013">_xlfn.XLOOKUP(C1013,Account_Master!A:A,Account_Master!C:C,"Not on master")</f>
        <v>0</v>
      </c>
      <c r="H1013" s="6">
        <v>117</v>
      </c>
      <c r="I1013" s="6">
        <v>117</v>
      </c>
      <c r="J1013" s="6">
        <f>I1013-H1013</f>
        <v>0</v>
      </c>
      <c r="K1013" s="5">
        <f>IF(H1013=0,"",J1013/H1013)</f>
        <v>0</v>
      </c>
      <c r="L1013">
        <f>IF(OR(AND(H1013=0,ABS(J1013)&gt;=0.01),AND(H1013&lt;&gt;0,ABS(K1013)&gt;VarianceThreshold)),"Review","OK")</f>
        <v>0</v>
      </c>
      <c r="M1013" t="s">
        <v>33</v>
      </c>
    </row>
    <row r="1014" spans="1:13">
      <c r="A1014" t="s">
        <v>1</v>
      </c>
      <c r="B1014" t="s">
        <v>464</v>
      </c>
      <c r="C1014" t="s">
        <v>1010</v>
      </c>
      <c r="D1014" t="s">
        <v>806</v>
      </c>
      <c r="E1014" cm="1">
        <f t="array" ref="E1014">_xlfn.XLOOKUP(D1014,SKU_Master!A:A,SKU_Master!B:B,"Not on master")</f>
        <v>0</v>
      </c>
      <c r="F1014" cm="1">
        <f t="array" ref="F1014">_xlfn.XLOOKUP(C1014,Account_Master!A:A,Account_Master!B:B,"Not on master")</f>
        <v>0</v>
      </c>
      <c r="G1014" cm="1">
        <f t="array" ref="G1014">_xlfn.XLOOKUP(C1014,Account_Master!A:A,Account_Master!C:C,"Not on master")</f>
        <v>0</v>
      </c>
      <c r="H1014" s="6">
        <v>77</v>
      </c>
      <c r="I1014" s="6">
        <v>77</v>
      </c>
      <c r="J1014" s="6">
        <f>I1014-H1014</f>
        <v>0</v>
      </c>
      <c r="K1014" s="5">
        <f>IF(H1014=0,"",J1014/H1014)</f>
        <v>0</v>
      </c>
      <c r="L1014">
        <f>IF(OR(AND(H1014=0,ABS(J1014)&gt;=0.01),AND(H1014&lt;&gt;0,ABS(K1014)&gt;VarianceThreshold)),"Review","OK")</f>
        <v>0</v>
      </c>
      <c r="M1014" t="s">
        <v>33</v>
      </c>
    </row>
    <row r="1015" spans="1:13">
      <c r="A1015" t="s">
        <v>1</v>
      </c>
      <c r="B1015" t="s">
        <v>464</v>
      </c>
      <c r="C1015" t="s">
        <v>1010</v>
      </c>
      <c r="D1015" t="s">
        <v>1286</v>
      </c>
      <c r="E1015" cm="1">
        <f t="array" ref="E1015">_xlfn.XLOOKUP(D1015,SKU_Master!A:A,SKU_Master!B:B,"Not on master")</f>
        <v>0</v>
      </c>
      <c r="F1015" cm="1">
        <f t="array" ref="F1015">_xlfn.XLOOKUP(C1015,Account_Master!A:A,Account_Master!B:B,"Not on master")</f>
        <v>0</v>
      </c>
      <c r="G1015" cm="1">
        <f t="array" ref="G1015">_xlfn.XLOOKUP(C1015,Account_Master!A:A,Account_Master!C:C,"Not on master")</f>
        <v>0</v>
      </c>
      <c r="H1015" s="6">
        <v>2.25</v>
      </c>
      <c r="I1015" s="6">
        <v>2.25</v>
      </c>
      <c r="J1015" s="6">
        <f>I1015-H1015</f>
        <v>0</v>
      </c>
      <c r="K1015" s="5">
        <f>IF(H1015=0,"",J1015/H1015)</f>
        <v>0</v>
      </c>
      <c r="L1015">
        <f>IF(OR(AND(H1015=0,ABS(J1015)&gt;=0.01),AND(H1015&lt;&gt;0,ABS(K1015)&gt;VarianceThreshold)),"Review","OK")</f>
        <v>0</v>
      </c>
      <c r="M1015" t="s">
        <v>33</v>
      </c>
    </row>
    <row r="1016" spans="1:13">
      <c r="A1016" t="s">
        <v>1</v>
      </c>
      <c r="B1016" t="s">
        <v>464</v>
      </c>
      <c r="C1016" t="s">
        <v>1112</v>
      </c>
      <c r="D1016" t="s">
        <v>1287</v>
      </c>
      <c r="E1016" cm="1">
        <f t="array" ref="E1016">_xlfn.XLOOKUP(D1016,SKU_Master!A:A,SKU_Master!B:B,"Not on master")</f>
        <v>0</v>
      </c>
      <c r="F1016" cm="1">
        <f t="array" ref="F1016">_xlfn.XLOOKUP(C1016,Account_Master!A:A,Account_Master!B:B,"Not on master")</f>
        <v>0</v>
      </c>
      <c r="G1016" cm="1">
        <f t="array" ref="G1016">_xlfn.XLOOKUP(C1016,Account_Master!A:A,Account_Master!C:C,"Not on master")</f>
        <v>0</v>
      </c>
      <c r="H1016" s="6">
        <v>4.5</v>
      </c>
      <c r="I1016" s="6">
        <v>4.5</v>
      </c>
      <c r="J1016" s="6">
        <f>I1016-H1016</f>
        <v>0</v>
      </c>
      <c r="K1016" s="5">
        <f>IF(H1016=0,"",J1016/H1016)</f>
        <v>0</v>
      </c>
      <c r="L1016">
        <f>IF(OR(AND(H1016=0,ABS(J1016)&gt;=0.01),AND(H1016&lt;&gt;0,ABS(K1016)&gt;VarianceThreshold)),"Review","OK")</f>
        <v>0</v>
      </c>
      <c r="M1016" t="s">
        <v>33</v>
      </c>
    </row>
    <row r="1017" spans="1:13">
      <c r="A1017" t="s">
        <v>1</v>
      </c>
      <c r="B1017" t="s">
        <v>464</v>
      </c>
      <c r="C1017" t="s">
        <v>1288</v>
      </c>
      <c r="D1017" t="s">
        <v>824</v>
      </c>
      <c r="E1017" cm="1">
        <f t="array" ref="E1017">_xlfn.XLOOKUP(D1017,SKU_Master!A:A,SKU_Master!B:B,"Not on master")</f>
        <v>0</v>
      </c>
      <c r="F1017" cm="1">
        <f t="array" ref="F1017">_xlfn.XLOOKUP(C1017,Account_Master!A:A,Account_Master!B:B,"Not on master")</f>
        <v>0</v>
      </c>
      <c r="G1017" cm="1">
        <f t="array" ref="G1017">_xlfn.XLOOKUP(C1017,Account_Master!A:A,Account_Master!C:C,"Not on master")</f>
        <v>0</v>
      </c>
      <c r="H1017" s="6">
        <v>14.62</v>
      </c>
      <c r="I1017" s="6">
        <v>14.62</v>
      </c>
      <c r="J1017" s="6">
        <f>I1017-H1017</f>
        <v>0</v>
      </c>
      <c r="K1017" s="5">
        <f>IF(H1017=0,"",J1017/H1017)</f>
        <v>0</v>
      </c>
      <c r="L1017">
        <f>IF(OR(AND(H1017=0,ABS(J1017)&gt;=0.01),AND(H1017&lt;&gt;0,ABS(K1017)&gt;VarianceThreshold)),"Review","OK")</f>
        <v>0</v>
      </c>
      <c r="M1017" t="s">
        <v>33</v>
      </c>
    </row>
    <row r="1018" spans="1:13">
      <c r="A1018" t="s">
        <v>1</v>
      </c>
      <c r="B1018" t="s">
        <v>464</v>
      </c>
      <c r="C1018" t="s">
        <v>1010</v>
      </c>
      <c r="D1018" t="s">
        <v>1289</v>
      </c>
      <c r="E1018" cm="1">
        <f t="array" ref="E1018">_xlfn.XLOOKUP(D1018,SKU_Master!A:A,SKU_Master!B:B,"Not on master")</f>
        <v>0</v>
      </c>
      <c r="F1018" cm="1">
        <f t="array" ref="F1018">_xlfn.XLOOKUP(C1018,Account_Master!A:A,Account_Master!B:B,"Not on master")</f>
        <v>0</v>
      </c>
      <c r="G1018" cm="1">
        <f t="array" ref="G1018">_xlfn.XLOOKUP(C1018,Account_Master!A:A,Account_Master!C:C,"Not on master")</f>
        <v>0</v>
      </c>
      <c r="H1018" s="6">
        <v>10.5</v>
      </c>
      <c r="I1018" s="6">
        <v>10.5</v>
      </c>
      <c r="J1018" s="6">
        <f>I1018-H1018</f>
        <v>0</v>
      </c>
      <c r="K1018" s="5">
        <f>IF(H1018=0,"",J1018/H1018)</f>
        <v>0</v>
      </c>
      <c r="L1018">
        <f>IF(OR(AND(H1018=0,ABS(J1018)&gt;=0.01),AND(H1018&lt;&gt;0,ABS(K1018)&gt;VarianceThreshold)),"Review","OK")</f>
        <v>0</v>
      </c>
      <c r="M1018" t="s">
        <v>33</v>
      </c>
    </row>
    <row r="1019" spans="1:13">
      <c r="A1019" t="s">
        <v>1</v>
      </c>
      <c r="B1019" t="s">
        <v>478</v>
      </c>
      <c r="C1019" t="s">
        <v>1053</v>
      </c>
      <c r="D1019" t="s">
        <v>1290</v>
      </c>
      <c r="E1019" cm="1">
        <f t="array" ref="E1019">_xlfn.XLOOKUP(D1019,SKU_Master!A:A,SKU_Master!B:B,"Not on master")</f>
        <v>0</v>
      </c>
      <c r="F1019" cm="1">
        <f t="array" ref="F1019">_xlfn.XLOOKUP(C1019,Account_Master!A:A,Account_Master!B:B,"Not on master")</f>
        <v>0</v>
      </c>
      <c r="G1019" cm="1">
        <f t="array" ref="G1019">_xlfn.XLOOKUP(C1019,Account_Master!A:A,Account_Master!C:C,"Not on master")</f>
        <v>0</v>
      </c>
      <c r="H1019" s="6">
        <v>15</v>
      </c>
      <c r="I1019" s="6">
        <v>15</v>
      </c>
      <c r="J1019" s="6">
        <f>I1019-H1019</f>
        <v>0</v>
      </c>
      <c r="K1019" s="5">
        <f>IF(H1019=0,"",J1019/H1019)</f>
        <v>0</v>
      </c>
      <c r="L1019">
        <f>IF(OR(AND(H1019=0,ABS(J1019)&gt;=0.01),AND(H1019&lt;&gt;0,ABS(K1019)&gt;VarianceThreshold)),"Review","OK")</f>
        <v>0</v>
      </c>
      <c r="M1019" t="s">
        <v>33</v>
      </c>
    </row>
    <row r="1020" spans="1:13">
      <c r="A1020" t="s">
        <v>1</v>
      </c>
      <c r="B1020" t="s">
        <v>478</v>
      </c>
      <c r="C1020" t="s">
        <v>1291</v>
      </c>
      <c r="D1020" t="s">
        <v>1292</v>
      </c>
      <c r="E1020" cm="1">
        <f t="array" ref="E1020">_xlfn.XLOOKUP(D1020,SKU_Master!A:A,SKU_Master!B:B,"Not on master")</f>
        <v>0</v>
      </c>
      <c r="F1020" cm="1">
        <f t="array" ref="F1020">_xlfn.XLOOKUP(C1020,Account_Master!A:A,Account_Master!B:B,"Not on master")</f>
        <v>0</v>
      </c>
      <c r="G1020" cm="1">
        <f t="array" ref="G1020">_xlfn.XLOOKUP(C1020,Account_Master!A:A,Account_Master!C:C,"Not on master")</f>
        <v>0</v>
      </c>
      <c r="H1020" s="6">
        <v>13</v>
      </c>
      <c r="I1020" s="6">
        <v>13</v>
      </c>
      <c r="J1020" s="6">
        <f>I1020-H1020</f>
        <v>0</v>
      </c>
      <c r="K1020" s="5">
        <f>IF(H1020=0,"",J1020/H1020)</f>
        <v>0</v>
      </c>
      <c r="L1020">
        <f>IF(OR(AND(H1020=0,ABS(J1020)&gt;=0.01),AND(H1020&lt;&gt;0,ABS(K1020)&gt;VarianceThreshold)),"Review","OK")</f>
        <v>0</v>
      </c>
      <c r="M1020" t="s">
        <v>33</v>
      </c>
    </row>
    <row r="1021" spans="1:13">
      <c r="A1021" t="s">
        <v>1</v>
      </c>
      <c r="B1021" t="s">
        <v>478</v>
      </c>
      <c r="C1021" t="s">
        <v>1293</v>
      </c>
      <c r="D1021" t="s">
        <v>210</v>
      </c>
      <c r="E1021" cm="1">
        <f t="array" ref="E1021">_xlfn.XLOOKUP(D1021,SKU_Master!A:A,SKU_Master!B:B,"Not on master")</f>
        <v>0</v>
      </c>
      <c r="F1021" cm="1">
        <f t="array" ref="F1021">_xlfn.XLOOKUP(C1021,Account_Master!A:A,Account_Master!B:B,"Not on master")</f>
        <v>0</v>
      </c>
      <c r="G1021" cm="1">
        <f t="array" ref="G1021">_xlfn.XLOOKUP(C1021,Account_Master!A:A,Account_Master!C:C,"Not on master")</f>
        <v>0</v>
      </c>
      <c r="H1021" s="6">
        <v>90</v>
      </c>
      <c r="I1021" s="6">
        <v>90</v>
      </c>
      <c r="J1021" s="6">
        <f>I1021-H1021</f>
        <v>0</v>
      </c>
      <c r="K1021" s="5">
        <f>IF(H1021=0,"",J1021/H1021)</f>
        <v>0</v>
      </c>
      <c r="L1021">
        <f>IF(OR(AND(H1021=0,ABS(J1021)&gt;=0.01),AND(H1021&lt;&gt;0,ABS(K1021)&gt;VarianceThreshold)),"Review","OK")</f>
        <v>0</v>
      </c>
      <c r="M1021" t="s">
        <v>33</v>
      </c>
    </row>
    <row r="1022" spans="1:13">
      <c r="A1022" t="s">
        <v>1</v>
      </c>
      <c r="B1022" t="s">
        <v>478</v>
      </c>
      <c r="C1022" t="s">
        <v>1048</v>
      </c>
      <c r="D1022" t="s">
        <v>1294</v>
      </c>
      <c r="E1022" cm="1">
        <f t="array" ref="E1022">_xlfn.XLOOKUP(D1022,SKU_Master!A:A,SKU_Master!B:B,"Not on master")</f>
        <v>0</v>
      </c>
      <c r="F1022" cm="1">
        <f t="array" ref="F1022">_xlfn.XLOOKUP(C1022,Account_Master!A:A,Account_Master!B:B,"Not on master")</f>
        <v>0</v>
      </c>
      <c r="G1022" cm="1">
        <f t="array" ref="G1022">_xlfn.XLOOKUP(C1022,Account_Master!A:A,Account_Master!C:C,"Not on master")</f>
        <v>0</v>
      </c>
      <c r="H1022" s="6">
        <v>9.800000000000001</v>
      </c>
      <c r="I1022" s="6">
        <v>9.800000000000001</v>
      </c>
      <c r="J1022" s="6">
        <f>I1022-H1022</f>
        <v>0</v>
      </c>
      <c r="K1022" s="5">
        <f>IF(H1022=0,"",J1022/H1022)</f>
        <v>0</v>
      </c>
      <c r="L1022">
        <f>IF(OR(AND(H1022=0,ABS(J1022)&gt;=0.01),AND(H1022&lt;&gt;0,ABS(K1022)&gt;VarianceThreshold)),"Review","OK")</f>
        <v>0</v>
      </c>
      <c r="M1022" t="s">
        <v>33</v>
      </c>
    </row>
    <row r="1023" spans="1:13">
      <c r="A1023" t="s">
        <v>1</v>
      </c>
      <c r="B1023" t="s">
        <v>478</v>
      </c>
      <c r="C1023" t="s">
        <v>1078</v>
      </c>
      <c r="D1023" t="s">
        <v>1295</v>
      </c>
      <c r="E1023" cm="1">
        <f t="array" ref="E1023">_xlfn.XLOOKUP(D1023,SKU_Master!A:A,SKU_Master!B:B,"Not on master")</f>
        <v>0</v>
      </c>
      <c r="F1023" cm="1">
        <f t="array" ref="F1023">_xlfn.XLOOKUP(C1023,Account_Master!A:A,Account_Master!B:B,"Not on master")</f>
        <v>0</v>
      </c>
      <c r="G1023" cm="1">
        <f t="array" ref="G1023">_xlfn.XLOOKUP(C1023,Account_Master!A:A,Account_Master!C:C,"Not on master")</f>
        <v>0</v>
      </c>
      <c r="H1023" s="6">
        <v>0.75</v>
      </c>
      <c r="I1023" s="6">
        <v>0.75</v>
      </c>
      <c r="J1023" s="6">
        <f>I1023-H1023</f>
        <v>0</v>
      </c>
      <c r="K1023" s="5">
        <f>IF(H1023=0,"",J1023/H1023)</f>
        <v>0</v>
      </c>
      <c r="L1023">
        <f>IF(OR(AND(H1023=0,ABS(J1023)&gt;=0.01),AND(H1023&lt;&gt;0,ABS(K1023)&gt;VarianceThreshold)),"Review","OK")</f>
        <v>0</v>
      </c>
      <c r="M1023" t="s">
        <v>33</v>
      </c>
    </row>
    <row r="1024" spans="1:13">
      <c r="A1024" t="s">
        <v>1</v>
      </c>
      <c r="B1024" t="s">
        <v>478</v>
      </c>
      <c r="C1024" t="s">
        <v>1102</v>
      </c>
      <c r="D1024" t="s">
        <v>132</v>
      </c>
      <c r="E1024" cm="1">
        <f t="array" ref="E1024">_xlfn.XLOOKUP(D1024,SKU_Master!A:A,SKU_Master!B:B,"Not on master")</f>
        <v>0</v>
      </c>
      <c r="F1024" cm="1">
        <f t="array" ref="F1024">_xlfn.XLOOKUP(C1024,Account_Master!A:A,Account_Master!B:B,"Not on master")</f>
        <v>0</v>
      </c>
      <c r="G1024" cm="1">
        <f t="array" ref="G1024">_xlfn.XLOOKUP(C1024,Account_Master!A:A,Account_Master!C:C,"Not on master")</f>
        <v>0</v>
      </c>
      <c r="H1024" s="6">
        <v>3</v>
      </c>
      <c r="I1024" s="6">
        <v>3</v>
      </c>
      <c r="J1024" s="6">
        <f>I1024-H1024</f>
        <v>0</v>
      </c>
      <c r="K1024" s="5">
        <f>IF(H1024=0,"",J1024/H1024)</f>
        <v>0</v>
      </c>
      <c r="L1024">
        <f>IF(OR(AND(H1024=0,ABS(J1024)&gt;=0.01),AND(H1024&lt;&gt;0,ABS(K1024)&gt;VarianceThreshold)),"Review","OK")</f>
        <v>0</v>
      </c>
      <c r="M1024" t="s">
        <v>33</v>
      </c>
    </row>
    <row r="1025" spans="1:13">
      <c r="A1025" t="s">
        <v>1</v>
      </c>
      <c r="B1025" t="s">
        <v>478</v>
      </c>
      <c r="C1025" t="s">
        <v>1296</v>
      </c>
      <c r="D1025" t="s">
        <v>1297</v>
      </c>
      <c r="E1025" cm="1">
        <f t="array" ref="E1025">_xlfn.XLOOKUP(D1025,SKU_Master!A:A,SKU_Master!B:B,"Not on master")</f>
        <v>0</v>
      </c>
      <c r="F1025" cm="1">
        <f t="array" ref="F1025">_xlfn.XLOOKUP(C1025,Account_Master!A:A,Account_Master!B:B,"Not on master")</f>
        <v>0</v>
      </c>
      <c r="G1025" cm="1">
        <f t="array" ref="G1025">_xlfn.XLOOKUP(C1025,Account_Master!A:A,Account_Master!C:C,"Not on master")</f>
        <v>0</v>
      </c>
      <c r="H1025" s="6">
        <v>9</v>
      </c>
      <c r="I1025" s="6">
        <v>9</v>
      </c>
      <c r="J1025" s="6">
        <f>I1025-H1025</f>
        <v>0</v>
      </c>
      <c r="K1025" s="5">
        <f>IF(H1025=0,"",J1025/H1025)</f>
        <v>0</v>
      </c>
      <c r="L1025">
        <f>IF(OR(AND(H1025=0,ABS(J1025)&gt;=0.01),AND(H1025&lt;&gt;0,ABS(K1025)&gt;VarianceThreshold)),"Review","OK")</f>
        <v>0</v>
      </c>
      <c r="M1025" t="s">
        <v>33</v>
      </c>
    </row>
    <row r="1026" spans="1:13">
      <c r="A1026" t="s">
        <v>1</v>
      </c>
      <c r="B1026" t="s">
        <v>492</v>
      </c>
      <c r="C1026" t="s">
        <v>1041</v>
      </c>
      <c r="D1026" t="s">
        <v>480</v>
      </c>
      <c r="E1026" cm="1">
        <f t="array" ref="E1026">_xlfn.XLOOKUP(D1026,SKU_Master!A:A,SKU_Master!B:B,"Not on master")</f>
        <v>0</v>
      </c>
      <c r="F1026" cm="1">
        <f t="array" ref="F1026">_xlfn.XLOOKUP(C1026,Account_Master!A:A,Account_Master!B:B,"Not on master")</f>
        <v>0</v>
      </c>
      <c r="G1026" cm="1">
        <f t="array" ref="G1026">_xlfn.XLOOKUP(C1026,Account_Master!A:A,Account_Master!C:C,"Not on master")</f>
        <v>0</v>
      </c>
      <c r="H1026" s="6">
        <v>20.25</v>
      </c>
      <c r="I1026" s="6">
        <v>20.25</v>
      </c>
      <c r="J1026" s="6">
        <f>I1026-H1026</f>
        <v>0</v>
      </c>
      <c r="K1026" s="5">
        <f>IF(H1026=0,"",J1026/H1026)</f>
        <v>0</v>
      </c>
      <c r="L1026">
        <f>IF(OR(AND(H1026=0,ABS(J1026)&gt;=0.01),AND(H1026&lt;&gt;0,ABS(K1026)&gt;VarianceThreshold)),"Review","OK")</f>
        <v>0</v>
      </c>
      <c r="M1026" t="s">
        <v>33</v>
      </c>
    </row>
    <row r="1027" spans="1:13">
      <c r="A1027" t="s">
        <v>1</v>
      </c>
      <c r="B1027" t="s">
        <v>492</v>
      </c>
      <c r="C1027" t="s">
        <v>1117</v>
      </c>
      <c r="D1027" t="s">
        <v>1298</v>
      </c>
      <c r="E1027" cm="1">
        <f t="array" ref="E1027">_xlfn.XLOOKUP(D1027,SKU_Master!A:A,SKU_Master!B:B,"Not on master")</f>
        <v>0</v>
      </c>
      <c r="F1027" cm="1">
        <f t="array" ref="F1027">_xlfn.XLOOKUP(C1027,Account_Master!A:A,Account_Master!B:B,"Not on master")</f>
        <v>0</v>
      </c>
      <c r="G1027" cm="1">
        <f t="array" ref="G1027">_xlfn.XLOOKUP(C1027,Account_Master!A:A,Account_Master!C:C,"Not on master")</f>
        <v>0</v>
      </c>
      <c r="H1027" s="6">
        <v>6.37</v>
      </c>
      <c r="I1027" s="6">
        <v>6.37</v>
      </c>
      <c r="J1027" s="6">
        <f>I1027-H1027</f>
        <v>0</v>
      </c>
      <c r="K1027" s="5">
        <f>IF(H1027=0,"",J1027/H1027)</f>
        <v>0</v>
      </c>
      <c r="L1027">
        <f>IF(OR(AND(H1027=0,ABS(J1027)&gt;=0.01),AND(H1027&lt;&gt;0,ABS(K1027)&gt;VarianceThreshold)),"Review","OK")</f>
        <v>0</v>
      </c>
      <c r="M1027" t="s">
        <v>33</v>
      </c>
    </row>
    <row r="1028" spans="1:13">
      <c r="A1028" t="s">
        <v>1</v>
      </c>
      <c r="B1028" t="s">
        <v>492</v>
      </c>
      <c r="C1028" t="s">
        <v>1299</v>
      </c>
      <c r="D1028" t="s">
        <v>895</v>
      </c>
      <c r="E1028" cm="1">
        <f t="array" ref="E1028">_xlfn.XLOOKUP(D1028,SKU_Master!A:A,SKU_Master!B:B,"Not on master")</f>
        <v>0</v>
      </c>
      <c r="F1028" cm="1">
        <f t="array" ref="F1028">_xlfn.XLOOKUP(C1028,Account_Master!A:A,Account_Master!B:B,"Not on master")</f>
        <v>0</v>
      </c>
      <c r="G1028" cm="1">
        <f t="array" ref="G1028">_xlfn.XLOOKUP(C1028,Account_Master!A:A,Account_Master!C:C,"Not on master")</f>
        <v>0</v>
      </c>
      <c r="H1028" s="6">
        <v>0.15</v>
      </c>
      <c r="I1028" s="6">
        <v>0.15</v>
      </c>
      <c r="J1028" s="6">
        <f>I1028-H1028</f>
        <v>0</v>
      </c>
      <c r="K1028" s="5">
        <f>IF(H1028=0,"",J1028/H1028)</f>
        <v>0</v>
      </c>
      <c r="L1028">
        <f>IF(OR(AND(H1028=0,ABS(J1028)&gt;=0.01),AND(H1028&lt;&gt;0,ABS(K1028)&gt;VarianceThreshold)),"Review","OK")</f>
        <v>0</v>
      </c>
      <c r="M1028" t="s">
        <v>33</v>
      </c>
    </row>
    <row r="1029" spans="1:13">
      <c r="A1029" t="s">
        <v>1</v>
      </c>
      <c r="B1029" t="s">
        <v>492</v>
      </c>
      <c r="C1029" t="s">
        <v>1041</v>
      </c>
      <c r="D1029" t="s">
        <v>1300</v>
      </c>
      <c r="E1029" cm="1">
        <f t="array" ref="E1029">_xlfn.XLOOKUP(D1029,SKU_Master!A:A,SKU_Master!B:B,"Not on master")</f>
        <v>0</v>
      </c>
      <c r="F1029" cm="1">
        <f t="array" ref="F1029">_xlfn.XLOOKUP(C1029,Account_Master!A:A,Account_Master!B:B,"Not on master")</f>
        <v>0</v>
      </c>
      <c r="G1029" cm="1">
        <f t="array" ref="G1029">_xlfn.XLOOKUP(C1029,Account_Master!A:A,Account_Master!C:C,"Not on master")</f>
        <v>0</v>
      </c>
      <c r="H1029" s="6">
        <v>10.5</v>
      </c>
      <c r="I1029" s="6">
        <v>10.5</v>
      </c>
      <c r="J1029" s="6">
        <f>I1029-H1029</f>
        <v>0</v>
      </c>
      <c r="K1029" s="5">
        <f>IF(H1029=0,"",J1029/H1029)</f>
        <v>0</v>
      </c>
      <c r="L1029">
        <f>IF(OR(AND(H1029=0,ABS(J1029)&gt;=0.01),AND(H1029&lt;&gt;0,ABS(K1029)&gt;VarianceThreshold)),"Review","OK")</f>
        <v>0</v>
      </c>
      <c r="M1029" t="s">
        <v>33</v>
      </c>
    </row>
    <row r="1030" spans="1:13">
      <c r="A1030" t="s">
        <v>1</v>
      </c>
      <c r="B1030" t="s">
        <v>492</v>
      </c>
      <c r="C1030" t="s">
        <v>1078</v>
      </c>
      <c r="D1030" t="s">
        <v>1301</v>
      </c>
      <c r="E1030" cm="1">
        <f t="array" ref="E1030">_xlfn.XLOOKUP(D1030,SKU_Master!A:A,SKU_Master!B:B,"Not on master")</f>
        <v>0</v>
      </c>
      <c r="F1030" cm="1">
        <f t="array" ref="F1030">_xlfn.XLOOKUP(C1030,Account_Master!A:A,Account_Master!B:B,"Not on master")</f>
        <v>0</v>
      </c>
      <c r="G1030" cm="1">
        <f t="array" ref="G1030">_xlfn.XLOOKUP(C1030,Account_Master!A:A,Account_Master!C:C,"Not on master")</f>
        <v>0</v>
      </c>
      <c r="H1030" s="6">
        <v>1.6</v>
      </c>
      <c r="I1030" s="6">
        <v>1.6</v>
      </c>
      <c r="J1030" s="6">
        <f>I1030-H1030</f>
        <v>0</v>
      </c>
      <c r="K1030" s="5">
        <f>IF(H1030=0,"",J1030/H1030)</f>
        <v>0</v>
      </c>
      <c r="L1030">
        <f>IF(OR(AND(H1030=0,ABS(J1030)&gt;=0.01),AND(H1030&lt;&gt;0,ABS(K1030)&gt;VarianceThreshold)),"Review","OK")</f>
        <v>0</v>
      </c>
      <c r="M1030" t="s">
        <v>33</v>
      </c>
    </row>
    <row r="1031" spans="1:13">
      <c r="A1031" t="s">
        <v>1</v>
      </c>
      <c r="B1031" t="s">
        <v>492</v>
      </c>
      <c r="C1031" t="s">
        <v>1041</v>
      </c>
      <c r="D1031" t="s">
        <v>1302</v>
      </c>
      <c r="E1031" cm="1">
        <f t="array" ref="E1031">_xlfn.XLOOKUP(D1031,SKU_Master!A:A,SKU_Master!B:B,"Not on master")</f>
        <v>0</v>
      </c>
      <c r="F1031" cm="1">
        <f t="array" ref="F1031">_xlfn.XLOOKUP(C1031,Account_Master!A:A,Account_Master!B:B,"Not on master")</f>
        <v>0</v>
      </c>
      <c r="G1031" cm="1">
        <f t="array" ref="G1031">_xlfn.XLOOKUP(C1031,Account_Master!A:A,Account_Master!C:C,"Not on master")</f>
        <v>0</v>
      </c>
      <c r="H1031" s="6">
        <v>13.5</v>
      </c>
      <c r="I1031" s="6">
        <v>13.5</v>
      </c>
      <c r="J1031" s="6">
        <f>I1031-H1031</f>
        <v>0</v>
      </c>
      <c r="K1031" s="5">
        <f>IF(H1031=0,"",J1031/H1031)</f>
        <v>0</v>
      </c>
      <c r="L1031">
        <f>IF(OR(AND(H1031=0,ABS(J1031)&gt;=0.01),AND(H1031&lt;&gt;0,ABS(K1031)&gt;VarianceThreshold)),"Review","OK")</f>
        <v>0</v>
      </c>
      <c r="M1031" t="s">
        <v>33</v>
      </c>
    </row>
    <row r="1032" spans="1:13">
      <c r="A1032" t="s">
        <v>1</v>
      </c>
      <c r="B1032" t="s">
        <v>492</v>
      </c>
      <c r="C1032" t="s">
        <v>1268</v>
      </c>
      <c r="D1032" t="s">
        <v>1303</v>
      </c>
      <c r="E1032" cm="1">
        <f t="array" ref="E1032">_xlfn.XLOOKUP(D1032,SKU_Master!A:A,SKU_Master!B:B,"Not on master")</f>
        <v>0</v>
      </c>
      <c r="F1032" cm="1">
        <f t="array" ref="F1032">_xlfn.XLOOKUP(C1032,Account_Master!A:A,Account_Master!B:B,"Not on master")</f>
        <v>0</v>
      </c>
      <c r="G1032" cm="1">
        <f t="array" ref="G1032">_xlfn.XLOOKUP(C1032,Account_Master!A:A,Account_Master!C:C,"Not on master")</f>
        <v>0</v>
      </c>
      <c r="H1032" s="6">
        <v>30.75</v>
      </c>
      <c r="I1032" s="6">
        <v>30.75</v>
      </c>
      <c r="J1032" s="6">
        <f>I1032-H1032</f>
        <v>0</v>
      </c>
      <c r="K1032" s="5">
        <f>IF(H1032=0,"",J1032/H1032)</f>
        <v>0</v>
      </c>
      <c r="L1032">
        <f>IF(OR(AND(H1032=0,ABS(J1032)&gt;=0.01),AND(H1032&lt;&gt;0,ABS(K1032)&gt;VarianceThreshold)),"Review","OK")</f>
        <v>0</v>
      </c>
      <c r="M1032" t="s">
        <v>33</v>
      </c>
    </row>
    <row r="1033" spans="1:13">
      <c r="A1033" t="s">
        <v>1</v>
      </c>
      <c r="B1033" t="s">
        <v>501</v>
      </c>
      <c r="C1033" t="s">
        <v>1304</v>
      </c>
      <c r="D1033" t="s">
        <v>285</v>
      </c>
      <c r="E1033" cm="1">
        <f t="array" ref="E1033">_xlfn.XLOOKUP(D1033,SKU_Master!A:A,SKU_Master!B:B,"Not on master")</f>
        <v>0</v>
      </c>
      <c r="F1033" cm="1">
        <f t="array" ref="F1033">_xlfn.XLOOKUP(C1033,Account_Master!A:A,Account_Master!B:B,"Not on master")</f>
        <v>0</v>
      </c>
      <c r="G1033" cm="1">
        <f t="array" ref="G1033">_xlfn.XLOOKUP(C1033,Account_Master!A:A,Account_Master!C:C,"Not on master")</f>
        <v>0</v>
      </c>
      <c r="H1033" s="6">
        <v>18.75</v>
      </c>
      <c r="I1033" s="6">
        <v>18.75</v>
      </c>
      <c r="J1033" s="6">
        <f>I1033-H1033</f>
        <v>0</v>
      </c>
      <c r="K1033" s="5">
        <f>IF(H1033=0,"",J1033/H1033)</f>
        <v>0</v>
      </c>
      <c r="L1033">
        <f>IF(OR(AND(H1033=0,ABS(J1033)&gt;=0.01),AND(H1033&lt;&gt;0,ABS(K1033)&gt;VarianceThreshold)),"Review","OK")</f>
        <v>0</v>
      </c>
      <c r="M1033" t="s">
        <v>33</v>
      </c>
    </row>
    <row r="1034" spans="1:13">
      <c r="A1034" t="s">
        <v>1</v>
      </c>
      <c r="B1034" t="s">
        <v>501</v>
      </c>
      <c r="C1034" t="s">
        <v>1041</v>
      </c>
      <c r="D1034" t="s">
        <v>1305</v>
      </c>
      <c r="E1034" cm="1">
        <f t="array" ref="E1034">_xlfn.XLOOKUP(D1034,SKU_Master!A:A,SKU_Master!B:B,"Not on master")</f>
        <v>0</v>
      </c>
      <c r="F1034" cm="1">
        <f t="array" ref="F1034">_xlfn.XLOOKUP(C1034,Account_Master!A:A,Account_Master!B:B,"Not on master")</f>
        <v>0</v>
      </c>
      <c r="G1034" cm="1">
        <f t="array" ref="G1034">_xlfn.XLOOKUP(C1034,Account_Master!A:A,Account_Master!C:C,"Not on master")</f>
        <v>0</v>
      </c>
      <c r="H1034" s="6">
        <v>8</v>
      </c>
      <c r="I1034" s="6">
        <v>8</v>
      </c>
      <c r="J1034" s="6">
        <f>I1034-H1034</f>
        <v>0</v>
      </c>
      <c r="K1034" s="5">
        <f>IF(H1034=0,"",J1034/H1034)</f>
        <v>0</v>
      </c>
      <c r="L1034">
        <f>IF(OR(AND(H1034=0,ABS(J1034)&gt;=0.01),AND(H1034&lt;&gt;0,ABS(K1034)&gt;VarianceThreshold)),"Review","OK")</f>
        <v>0</v>
      </c>
      <c r="M1034" t="s">
        <v>33</v>
      </c>
    </row>
    <row r="1035" spans="1:13">
      <c r="A1035" t="s">
        <v>1</v>
      </c>
      <c r="B1035" t="s">
        <v>501</v>
      </c>
      <c r="C1035" t="s">
        <v>1121</v>
      </c>
      <c r="D1035" t="s">
        <v>781</v>
      </c>
      <c r="E1035" cm="1">
        <f t="array" ref="E1035">_xlfn.XLOOKUP(D1035,SKU_Master!A:A,SKU_Master!B:B,"Not on master")</f>
        <v>0</v>
      </c>
      <c r="F1035" cm="1">
        <f t="array" ref="F1035">_xlfn.XLOOKUP(C1035,Account_Master!A:A,Account_Master!B:B,"Not on master")</f>
        <v>0</v>
      </c>
      <c r="G1035" cm="1">
        <f t="array" ref="G1035">_xlfn.XLOOKUP(C1035,Account_Master!A:A,Account_Master!C:C,"Not on master")</f>
        <v>0</v>
      </c>
      <c r="H1035" s="6">
        <v>5.25</v>
      </c>
      <c r="I1035" s="6">
        <v>5.25</v>
      </c>
      <c r="J1035" s="6">
        <f>I1035-H1035</f>
        <v>0</v>
      </c>
      <c r="K1035" s="5">
        <f>IF(H1035=0,"",J1035/H1035)</f>
        <v>0</v>
      </c>
      <c r="L1035">
        <f>IF(OR(AND(H1035=0,ABS(J1035)&gt;=0.01),AND(H1035&lt;&gt;0,ABS(K1035)&gt;VarianceThreshold)),"Review","OK")</f>
        <v>0</v>
      </c>
      <c r="M1035" t="s">
        <v>33</v>
      </c>
    </row>
    <row r="1036" spans="1:13">
      <c r="A1036" t="s">
        <v>1</v>
      </c>
      <c r="B1036" t="s">
        <v>501</v>
      </c>
      <c r="C1036" t="s">
        <v>1082</v>
      </c>
      <c r="D1036" t="s">
        <v>1001</v>
      </c>
      <c r="E1036" cm="1">
        <f t="array" ref="E1036">_xlfn.XLOOKUP(D1036,SKU_Master!A:A,SKU_Master!B:B,"Not on master")</f>
        <v>0</v>
      </c>
      <c r="F1036" cm="1">
        <f t="array" ref="F1036">_xlfn.XLOOKUP(C1036,Account_Master!A:A,Account_Master!B:B,"Not on master")</f>
        <v>0</v>
      </c>
      <c r="G1036" cm="1">
        <f t="array" ref="G1036">_xlfn.XLOOKUP(C1036,Account_Master!A:A,Account_Master!C:C,"Not on master")</f>
        <v>0</v>
      </c>
      <c r="H1036" s="6">
        <v>13.5</v>
      </c>
      <c r="I1036" s="6">
        <v>13.5</v>
      </c>
      <c r="J1036" s="6">
        <f>I1036-H1036</f>
        <v>0</v>
      </c>
      <c r="K1036" s="5">
        <f>IF(H1036=0,"",J1036/H1036)</f>
        <v>0</v>
      </c>
      <c r="L1036">
        <f>IF(OR(AND(H1036=0,ABS(J1036)&gt;=0.01),AND(H1036&lt;&gt;0,ABS(K1036)&gt;VarianceThreshold)),"Review","OK")</f>
        <v>0</v>
      </c>
      <c r="M1036" t="s">
        <v>33</v>
      </c>
    </row>
    <row r="1037" spans="1:13">
      <c r="A1037" t="s">
        <v>1</v>
      </c>
      <c r="B1037" t="s">
        <v>501</v>
      </c>
      <c r="C1037" t="s">
        <v>1041</v>
      </c>
      <c r="D1037" t="s">
        <v>1306</v>
      </c>
      <c r="E1037" cm="1">
        <f t="array" ref="E1037">_xlfn.XLOOKUP(D1037,SKU_Master!A:A,SKU_Master!B:B,"Not on master")</f>
        <v>0</v>
      </c>
      <c r="F1037" cm="1">
        <f t="array" ref="F1037">_xlfn.XLOOKUP(C1037,Account_Master!A:A,Account_Master!B:B,"Not on master")</f>
        <v>0</v>
      </c>
      <c r="G1037" cm="1">
        <f t="array" ref="G1037">_xlfn.XLOOKUP(C1037,Account_Master!A:A,Account_Master!C:C,"Not on master")</f>
        <v>0</v>
      </c>
      <c r="H1037" s="6">
        <v>1.5</v>
      </c>
      <c r="I1037" s="6">
        <v>1.5</v>
      </c>
      <c r="J1037" s="6">
        <f>I1037-H1037</f>
        <v>0</v>
      </c>
      <c r="K1037" s="5">
        <f>IF(H1037=0,"",J1037/H1037)</f>
        <v>0</v>
      </c>
      <c r="L1037">
        <f>IF(OR(AND(H1037=0,ABS(J1037)&gt;=0.01),AND(H1037&lt;&gt;0,ABS(K1037)&gt;VarianceThreshold)),"Review","OK")</f>
        <v>0</v>
      </c>
      <c r="M1037" t="s">
        <v>33</v>
      </c>
    </row>
    <row r="1038" spans="1:13">
      <c r="A1038" t="s">
        <v>1</v>
      </c>
      <c r="B1038" t="s">
        <v>511</v>
      </c>
      <c r="C1038" t="s">
        <v>1307</v>
      </c>
      <c r="D1038" t="s">
        <v>1308</v>
      </c>
      <c r="E1038" cm="1">
        <f t="array" ref="E1038">_xlfn.XLOOKUP(D1038,SKU_Master!A:A,SKU_Master!B:B,"Not on master")</f>
        <v>0</v>
      </c>
      <c r="F1038" cm="1">
        <f t="array" ref="F1038">_xlfn.XLOOKUP(C1038,Account_Master!A:A,Account_Master!B:B,"Not on master")</f>
        <v>0</v>
      </c>
      <c r="G1038" cm="1">
        <f t="array" ref="G1038">_xlfn.XLOOKUP(C1038,Account_Master!A:A,Account_Master!C:C,"Not on master")</f>
        <v>0</v>
      </c>
      <c r="H1038" s="6">
        <v>1.6</v>
      </c>
      <c r="I1038" s="6">
        <v>1.6</v>
      </c>
      <c r="J1038" s="6">
        <f>I1038-H1038</f>
        <v>0</v>
      </c>
      <c r="K1038" s="5">
        <f>IF(H1038=0,"",J1038/H1038)</f>
        <v>0</v>
      </c>
      <c r="L1038">
        <f>IF(OR(AND(H1038=0,ABS(J1038)&gt;=0.01),AND(H1038&lt;&gt;0,ABS(K1038)&gt;VarianceThreshold)),"Review","OK")</f>
        <v>0</v>
      </c>
      <c r="M1038" t="s">
        <v>33</v>
      </c>
    </row>
    <row r="1039" spans="1:13">
      <c r="A1039" t="s">
        <v>1</v>
      </c>
      <c r="B1039" t="s">
        <v>511</v>
      </c>
      <c r="C1039" t="s">
        <v>1309</v>
      </c>
      <c r="D1039" t="s">
        <v>1310</v>
      </c>
      <c r="E1039" cm="1">
        <f t="array" ref="E1039">_xlfn.XLOOKUP(D1039,SKU_Master!A:A,SKU_Master!B:B,"Not on master")</f>
        <v>0</v>
      </c>
      <c r="F1039" cm="1">
        <f t="array" ref="F1039">_xlfn.XLOOKUP(C1039,Account_Master!A:A,Account_Master!B:B,"Not on master")</f>
        <v>0</v>
      </c>
      <c r="G1039" cm="1">
        <f t="array" ref="G1039">_xlfn.XLOOKUP(C1039,Account_Master!A:A,Account_Master!C:C,"Not on master")</f>
        <v>0</v>
      </c>
      <c r="H1039" s="6">
        <v>34.49</v>
      </c>
      <c r="I1039" s="6">
        <v>34.49</v>
      </c>
      <c r="J1039" s="6">
        <f>I1039-H1039</f>
        <v>0</v>
      </c>
      <c r="K1039" s="5">
        <f>IF(H1039=0,"",J1039/H1039)</f>
        <v>0</v>
      </c>
      <c r="L1039">
        <f>IF(OR(AND(H1039=0,ABS(J1039)&gt;=0.01),AND(H1039&lt;&gt;0,ABS(K1039)&gt;VarianceThreshold)),"Review","OK")</f>
        <v>0</v>
      </c>
      <c r="M1039" t="s">
        <v>33</v>
      </c>
    </row>
    <row r="1040" spans="1:13">
      <c r="A1040" t="s">
        <v>1</v>
      </c>
      <c r="B1040" t="s">
        <v>511</v>
      </c>
      <c r="C1040" t="s">
        <v>1034</v>
      </c>
      <c r="D1040" t="s">
        <v>1311</v>
      </c>
      <c r="E1040" cm="1">
        <f t="array" ref="E1040">_xlfn.XLOOKUP(D1040,SKU_Master!A:A,SKU_Master!B:B,"Not on master")</f>
        <v>0</v>
      </c>
      <c r="F1040" cm="1">
        <f t="array" ref="F1040">_xlfn.XLOOKUP(C1040,Account_Master!A:A,Account_Master!B:B,"Not on master")</f>
        <v>0</v>
      </c>
      <c r="G1040" cm="1">
        <f t="array" ref="G1040">_xlfn.XLOOKUP(C1040,Account_Master!A:A,Account_Master!C:C,"Not on master")</f>
        <v>0</v>
      </c>
      <c r="H1040" s="6">
        <v>1.5</v>
      </c>
      <c r="I1040" s="6">
        <v>1.5</v>
      </c>
      <c r="J1040" s="6">
        <f>I1040-H1040</f>
        <v>0</v>
      </c>
      <c r="K1040" s="5">
        <f>IF(H1040=0,"",J1040/H1040)</f>
        <v>0</v>
      </c>
      <c r="L1040">
        <f>IF(OR(AND(H1040=0,ABS(J1040)&gt;=0.01),AND(H1040&lt;&gt;0,ABS(K1040)&gt;VarianceThreshold)),"Review","OK")</f>
        <v>0</v>
      </c>
      <c r="M1040" t="s">
        <v>33</v>
      </c>
    </row>
    <row r="1041" spans="1:13">
      <c r="A1041" t="s">
        <v>1</v>
      </c>
      <c r="B1041" t="s">
        <v>511</v>
      </c>
      <c r="C1041" t="s">
        <v>1241</v>
      </c>
      <c r="D1041" t="s">
        <v>950</v>
      </c>
      <c r="E1041" cm="1">
        <f t="array" ref="E1041">_xlfn.XLOOKUP(D1041,SKU_Master!A:A,SKU_Master!B:B,"Not on master")</f>
        <v>0</v>
      </c>
      <c r="F1041" cm="1">
        <f t="array" ref="F1041">_xlfn.XLOOKUP(C1041,Account_Master!A:A,Account_Master!B:B,"Not on master")</f>
        <v>0</v>
      </c>
      <c r="G1041" cm="1">
        <f t="array" ref="G1041">_xlfn.XLOOKUP(C1041,Account_Master!A:A,Account_Master!C:C,"Not on master")</f>
        <v>0</v>
      </c>
      <c r="H1041" s="6">
        <v>5.25</v>
      </c>
      <c r="I1041" s="6">
        <v>5.25</v>
      </c>
      <c r="J1041" s="6">
        <f>I1041-H1041</f>
        <v>0</v>
      </c>
      <c r="K1041" s="5">
        <f>IF(H1041=0,"",J1041/H1041)</f>
        <v>0</v>
      </c>
      <c r="L1041">
        <f>IF(OR(AND(H1041=0,ABS(J1041)&gt;=0.01),AND(H1041&lt;&gt;0,ABS(K1041)&gt;VarianceThreshold)),"Review","OK")</f>
        <v>0</v>
      </c>
      <c r="M1041" t="s">
        <v>33</v>
      </c>
    </row>
    <row r="1042" spans="1:13">
      <c r="A1042" t="s">
        <v>1</v>
      </c>
      <c r="B1042" t="s">
        <v>511</v>
      </c>
      <c r="C1042" t="s">
        <v>1010</v>
      </c>
      <c r="D1042" t="s">
        <v>813</v>
      </c>
      <c r="E1042" cm="1">
        <f t="array" ref="E1042">_xlfn.XLOOKUP(D1042,SKU_Master!A:A,SKU_Master!B:B,"Not on master")</f>
        <v>0</v>
      </c>
      <c r="F1042" cm="1">
        <f t="array" ref="F1042">_xlfn.XLOOKUP(C1042,Account_Master!A:A,Account_Master!B:B,"Not on master")</f>
        <v>0</v>
      </c>
      <c r="G1042" cm="1">
        <f t="array" ref="G1042">_xlfn.XLOOKUP(C1042,Account_Master!A:A,Account_Master!C:C,"Not on master")</f>
        <v>0</v>
      </c>
      <c r="H1042" s="6">
        <v>2.25</v>
      </c>
      <c r="I1042" s="6">
        <v>2.25</v>
      </c>
      <c r="J1042" s="6">
        <f>I1042-H1042</f>
        <v>0</v>
      </c>
      <c r="K1042" s="5">
        <f>IF(H1042=0,"",J1042/H1042)</f>
        <v>0</v>
      </c>
      <c r="L1042">
        <f>IF(OR(AND(H1042=0,ABS(J1042)&gt;=0.01),AND(H1042&lt;&gt;0,ABS(K1042)&gt;VarianceThreshold)),"Review","OK")</f>
        <v>0</v>
      </c>
      <c r="M1042" t="s">
        <v>33</v>
      </c>
    </row>
    <row r="1043" spans="1:13">
      <c r="A1043" t="s">
        <v>1</v>
      </c>
      <c r="B1043" t="s">
        <v>511</v>
      </c>
      <c r="C1043" t="s">
        <v>1041</v>
      </c>
      <c r="D1043" t="s">
        <v>1312</v>
      </c>
      <c r="E1043" cm="1">
        <f t="array" ref="E1043">_xlfn.XLOOKUP(D1043,SKU_Master!A:A,SKU_Master!B:B,"Not on master")</f>
        <v>0</v>
      </c>
      <c r="F1043" cm="1">
        <f t="array" ref="F1043">_xlfn.XLOOKUP(C1043,Account_Master!A:A,Account_Master!B:B,"Not on master")</f>
        <v>0</v>
      </c>
      <c r="G1043" cm="1">
        <f t="array" ref="G1043">_xlfn.XLOOKUP(C1043,Account_Master!A:A,Account_Master!C:C,"Not on master")</f>
        <v>0</v>
      </c>
      <c r="H1043" s="6">
        <v>7.5</v>
      </c>
      <c r="I1043" s="6">
        <v>7.5</v>
      </c>
      <c r="J1043" s="6">
        <f>I1043-H1043</f>
        <v>0</v>
      </c>
      <c r="K1043" s="5">
        <f>IF(H1043=0,"",J1043/H1043)</f>
        <v>0</v>
      </c>
      <c r="L1043">
        <f>IF(OR(AND(H1043=0,ABS(J1043)&gt;=0.01),AND(H1043&lt;&gt;0,ABS(K1043)&gt;VarianceThreshold)),"Review","OK")</f>
        <v>0</v>
      </c>
      <c r="M1043" t="s">
        <v>33</v>
      </c>
    </row>
    <row r="1044" spans="1:13">
      <c r="A1044" t="s">
        <v>1</v>
      </c>
      <c r="B1044" t="s">
        <v>523</v>
      </c>
      <c r="C1044" t="s">
        <v>1313</v>
      </c>
      <c r="D1044" t="s">
        <v>1314</v>
      </c>
      <c r="E1044" cm="1">
        <f t="array" ref="E1044">_xlfn.XLOOKUP(D1044,SKU_Master!A:A,SKU_Master!B:B,"Not on master")</f>
        <v>0</v>
      </c>
      <c r="F1044" cm="1">
        <f t="array" ref="F1044">_xlfn.XLOOKUP(C1044,Account_Master!A:A,Account_Master!B:B,"Not on master")</f>
        <v>0</v>
      </c>
      <c r="G1044" cm="1">
        <f t="array" ref="G1044">_xlfn.XLOOKUP(C1044,Account_Master!A:A,Account_Master!C:C,"Not on master")</f>
        <v>0</v>
      </c>
      <c r="H1044" s="6">
        <v>3.75</v>
      </c>
      <c r="I1044" s="6">
        <v>3.75</v>
      </c>
      <c r="J1044" s="6">
        <f>I1044-H1044</f>
        <v>0</v>
      </c>
      <c r="K1044" s="5">
        <f>IF(H1044=0,"",J1044/H1044)</f>
        <v>0</v>
      </c>
      <c r="L1044">
        <f>IF(OR(AND(H1044=0,ABS(J1044)&gt;=0.01),AND(H1044&lt;&gt;0,ABS(K1044)&gt;VarianceThreshold)),"Review","OK")</f>
        <v>0</v>
      </c>
      <c r="M1044" t="s">
        <v>33</v>
      </c>
    </row>
    <row r="1045" spans="1:13">
      <c r="A1045" t="s">
        <v>1</v>
      </c>
      <c r="B1045" t="s">
        <v>523</v>
      </c>
      <c r="C1045" t="s">
        <v>1315</v>
      </c>
      <c r="D1045" t="s">
        <v>1316</v>
      </c>
      <c r="E1045" cm="1">
        <f t="array" ref="E1045">_xlfn.XLOOKUP(D1045,SKU_Master!A:A,SKU_Master!B:B,"Not on master")</f>
        <v>0</v>
      </c>
      <c r="F1045" cm="1">
        <f t="array" ref="F1045">_xlfn.XLOOKUP(C1045,Account_Master!A:A,Account_Master!B:B,"Not on master")</f>
        <v>0</v>
      </c>
      <c r="G1045" cm="1">
        <f t="array" ref="G1045">_xlfn.XLOOKUP(C1045,Account_Master!A:A,Account_Master!C:C,"Not on master")</f>
        <v>0</v>
      </c>
      <c r="H1045" s="6">
        <v>9</v>
      </c>
      <c r="I1045" s="6">
        <v>9</v>
      </c>
      <c r="J1045" s="6">
        <f>I1045-H1045</f>
        <v>0</v>
      </c>
      <c r="K1045" s="5">
        <f>IF(H1045=0,"",J1045/H1045)</f>
        <v>0</v>
      </c>
      <c r="L1045">
        <f>IF(OR(AND(H1045=0,ABS(J1045)&gt;=0.01),AND(H1045&lt;&gt;0,ABS(K1045)&gt;VarianceThreshold)),"Review","OK")</f>
        <v>0</v>
      </c>
      <c r="M1045" t="s">
        <v>33</v>
      </c>
    </row>
    <row r="1046" spans="1:13">
      <c r="A1046" t="s">
        <v>1</v>
      </c>
      <c r="B1046" t="s">
        <v>528</v>
      </c>
      <c r="C1046" t="s">
        <v>1299</v>
      </c>
      <c r="D1046" t="s">
        <v>1317</v>
      </c>
      <c r="E1046" cm="1">
        <f t="array" ref="E1046">_xlfn.XLOOKUP(D1046,SKU_Master!A:A,SKU_Master!B:B,"Not on master")</f>
        <v>0</v>
      </c>
      <c r="F1046" cm="1">
        <f t="array" ref="F1046">_xlfn.XLOOKUP(C1046,Account_Master!A:A,Account_Master!B:B,"Not on master")</f>
        <v>0</v>
      </c>
      <c r="G1046" cm="1">
        <f t="array" ref="G1046">_xlfn.XLOOKUP(C1046,Account_Master!A:A,Account_Master!C:C,"Not on master")</f>
        <v>0</v>
      </c>
      <c r="H1046" s="6">
        <v>4.8</v>
      </c>
      <c r="I1046" s="6">
        <v>4.8</v>
      </c>
      <c r="J1046" s="6">
        <f>I1046-H1046</f>
        <v>0</v>
      </c>
      <c r="K1046" s="5">
        <f>IF(H1046=0,"",J1046/H1046)</f>
        <v>0</v>
      </c>
      <c r="L1046">
        <f>IF(OR(AND(H1046=0,ABS(J1046)&gt;=0.01),AND(H1046&lt;&gt;0,ABS(K1046)&gt;VarianceThreshold)),"Review","OK")</f>
        <v>0</v>
      </c>
      <c r="M1046" t="s">
        <v>33</v>
      </c>
    </row>
    <row r="1047" spans="1:13">
      <c r="A1047" t="s">
        <v>1</v>
      </c>
      <c r="B1047" t="s">
        <v>528</v>
      </c>
      <c r="C1047" t="s">
        <v>1032</v>
      </c>
      <c r="D1047" t="s">
        <v>758</v>
      </c>
      <c r="E1047" cm="1">
        <f t="array" ref="E1047">_xlfn.XLOOKUP(D1047,SKU_Master!A:A,SKU_Master!B:B,"Not on master")</f>
        <v>0</v>
      </c>
      <c r="F1047" cm="1">
        <f t="array" ref="F1047">_xlfn.XLOOKUP(C1047,Account_Master!A:A,Account_Master!B:B,"Not on master")</f>
        <v>0</v>
      </c>
      <c r="G1047" cm="1">
        <f t="array" ref="G1047">_xlfn.XLOOKUP(C1047,Account_Master!A:A,Account_Master!C:C,"Not on master")</f>
        <v>0</v>
      </c>
      <c r="H1047" s="6">
        <v>36</v>
      </c>
      <c r="I1047" s="6">
        <v>36</v>
      </c>
      <c r="J1047" s="6">
        <f>I1047-H1047</f>
        <v>0</v>
      </c>
      <c r="K1047" s="5">
        <f>IF(H1047=0,"",J1047/H1047)</f>
        <v>0</v>
      </c>
      <c r="L1047">
        <f>IF(OR(AND(H1047=0,ABS(J1047)&gt;=0.01),AND(H1047&lt;&gt;0,ABS(K1047)&gt;VarianceThreshold)),"Review","OK")</f>
        <v>0</v>
      </c>
      <c r="M1047" t="s">
        <v>33</v>
      </c>
    </row>
    <row r="1048" spans="1:13">
      <c r="A1048" t="s">
        <v>1</v>
      </c>
      <c r="B1048" t="s">
        <v>528</v>
      </c>
      <c r="C1048" t="s">
        <v>1024</v>
      </c>
      <c r="D1048" t="s">
        <v>1318</v>
      </c>
      <c r="E1048" cm="1">
        <f t="array" ref="E1048">_xlfn.XLOOKUP(D1048,SKU_Master!A:A,SKU_Master!B:B,"Not on master")</f>
        <v>0</v>
      </c>
      <c r="F1048" cm="1">
        <f t="array" ref="F1048">_xlfn.XLOOKUP(C1048,Account_Master!A:A,Account_Master!B:B,"Not on master")</f>
        <v>0</v>
      </c>
      <c r="G1048" cm="1">
        <f t="array" ref="G1048">_xlfn.XLOOKUP(C1048,Account_Master!A:A,Account_Master!C:C,"Not on master")</f>
        <v>0</v>
      </c>
      <c r="H1048" s="6">
        <v>0.1</v>
      </c>
      <c r="I1048" s="6">
        <v>0.1</v>
      </c>
      <c r="J1048" s="6">
        <f>I1048-H1048</f>
        <v>0</v>
      </c>
      <c r="K1048" s="5">
        <f>IF(H1048=0,"",J1048/H1048)</f>
        <v>0</v>
      </c>
      <c r="L1048">
        <f>IF(OR(AND(H1048=0,ABS(J1048)&gt;=0.01),AND(H1048&lt;&gt;0,ABS(K1048)&gt;VarianceThreshold)),"Review","OK")</f>
        <v>0</v>
      </c>
      <c r="M1048" t="s">
        <v>33</v>
      </c>
    </row>
    <row r="1049" spans="1:13">
      <c r="A1049" t="s">
        <v>1</v>
      </c>
      <c r="B1049" t="s">
        <v>528</v>
      </c>
      <c r="C1049" t="s">
        <v>1024</v>
      </c>
      <c r="D1049" t="s">
        <v>1319</v>
      </c>
      <c r="E1049" cm="1">
        <f t="array" ref="E1049">_xlfn.XLOOKUP(D1049,SKU_Master!A:A,SKU_Master!B:B,"Not on master")</f>
        <v>0</v>
      </c>
      <c r="F1049" cm="1">
        <f t="array" ref="F1049">_xlfn.XLOOKUP(C1049,Account_Master!A:A,Account_Master!B:B,"Not on master")</f>
        <v>0</v>
      </c>
      <c r="G1049" cm="1">
        <f t="array" ref="G1049">_xlfn.XLOOKUP(C1049,Account_Master!A:A,Account_Master!C:C,"Not on master")</f>
        <v>0</v>
      </c>
      <c r="H1049" s="6">
        <v>0.2</v>
      </c>
      <c r="I1049" s="6">
        <v>0.2</v>
      </c>
      <c r="J1049" s="6">
        <f>I1049-H1049</f>
        <v>0</v>
      </c>
      <c r="K1049" s="5">
        <f>IF(H1049=0,"",J1049/H1049)</f>
        <v>0</v>
      </c>
      <c r="L1049">
        <f>IF(OR(AND(H1049=0,ABS(J1049)&gt;=0.01),AND(H1049&lt;&gt;0,ABS(K1049)&gt;VarianceThreshold)),"Review","OK")</f>
        <v>0</v>
      </c>
      <c r="M1049" t="s">
        <v>33</v>
      </c>
    </row>
    <row r="1050" spans="1:13">
      <c r="A1050" t="s">
        <v>1</v>
      </c>
      <c r="B1050" t="s">
        <v>538</v>
      </c>
      <c r="C1050" t="s">
        <v>1320</v>
      </c>
      <c r="D1050" t="s">
        <v>636</v>
      </c>
      <c r="E1050" cm="1">
        <f t="array" ref="E1050">_xlfn.XLOOKUP(D1050,SKU_Master!A:A,SKU_Master!B:B,"Not on master")</f>
        <v>0</v>
      </c>
      <c r="F1050" cm="1">
        <f t="array" ref="F1050">_xlfn.XLOOKUP(C1050,Account_Master!A:A,Account_Master!B:B,"Not on master")</f>
        <v>0</v>
      </c>
      <c r="G1050" cm="1">
        <f t="array" ref="G1050">_xlfn.XLOOKUP(C1050,Account_Master!A:A,Account_Master!C:C,"Not on master")</f>
        <v>0</v>
      </c>
      <c r="H1050" s="6">
        <v>6</v>
      </c>
      <c r="I1050" s="6">
        <v>6</v>
      </c>
      <c r="J1050" s="6">
        <f>I1050-H1050</f>
        <v>0</v>
      </c>
      <c r="K1050" s="5">
        <f>IF(H1050=0,"",J1050/H1050)</f>
        <v>0</v>
      </c>
      <c r="L1050">
        <f>IF(OR(AND(H1050=0,ABS(J1050)&gt;=0.01),AND(H1050&lt;&gt;0,ABS(K1050)&gt;VarianceThreshold)),"Review","OK")</f>
        <v>0</v>
      </c>
      <c r="M1050" t="s">
        <v>33</v>
      </c>
    </row>
    <row r="1051" spans="1:13">
      <c r="A1051" t="s">
        <v>1</v>
      </c>
      <c r="B1051" t="s">
        <v>538</v>
      </c>
      <c r="C1051" t="s">
        <v>1299</v>
      </c>
      <c r="D1051" t="s">
        <v>1321</v>
      </c>
      <c r="E1051" cm="1">
        <f t="array" ref="E1051">_xlfn.XLOOKUP(D1051,SKU_Master!A:A,SKU_Master!B:B,"Not on master")</f>
        <v>0</v>
      </c>
      <c r="F1051" cm="1">
        <f t="array" ref="F1051">_xlfn.XLOOKUP(C1051,Account_Master!A:A,Account_Master!B:B,"Not on master")</f>
        <v>0</v>
      </c>
      <c r="G1051" cm="1">
        <f t="array" ref="G1051">_xlfn.XLOOKUP(C1051,Account_Master!A:A,Account_Master!C:C,"Not on master")</f>
        <v>0</v>
      </c>
      <c r="H1051" s="6">
        <v>27</v>
      </c>
      <c r="I1051" s="6">
        <v>27</v>
      </c>
      <c r="J1051" s="6">
        <f>I1051-H1051</f>
        <v>0</v>
      </c>
      <c r="K1051" s="5">
        <f>IF(H1051=0,"",J1051/H1051)</f>
        <v>0</v>
      </c>
      <c r="L1051">
        <f>IF(OR(AND(H1051=0,ABS(J1051)&gt;=0.01),AND(H1051&lt;&gt;0,ABS(K1051)&gt;VarianceThreshold)),"Review","OK")</f>
        <v>0</v>
      </c>
      <c r="M1051" t="s">
        <v>33</v>
      </c>
    </row>
    <row r="1052" spans="1:13">
      <c r="A1052" t="s">
        <v>1</v>
      </c>
      <c r="B1052" t="s">
        <v>538</v>
      </c>
      <c r="C1052" t="s">
        <v>1041</v>
      </c>
      <c r="D1052" t="s">
        <v>490</v>
      </c>
      <c r="E1052" cm="1">
        <f t="array" ref="E1052">_xlfn.XLOOKUP(D1052,SKU_Master!A:A,SKU_Master!B:B,"Not on master")</f>
        <v>0</v>
      </c>
      <c r="F1052" cm="1">
        <f t="array" ref="F1052">_xlfn.XLOOKUP(C1052,Account_Master!A:A,Account_Master!B:B,"Not on master")</f>
        <v>0</v>
      </c>
      <c r="G1052" cm="1">
        <f t="array" ref="G1052">_xlfn.XLOOKUP(C1052,Account_Master!A:A,Account_Master!C:C,"Not on master")</f>
        <v>0</v>
      </c>
      <c r="H1052" s="6">
        <v>22.5</v>
      </c>
      <c r="I1052" s="6">
        <v>22.5</v>
      </c>
      <c r="J1052" s="6">
        <f>I1052-H1052</f>
        <v>0</v>
      </c>
      <c r="K1052" s="5">
        <f>IF(H1052=0,"",J1052/H1052)</f>
        <v>0</v>
      </c>
      <c r="L1052">
        <f>IF(OR(AND(H1052=0,ABS(J1052)&gt;=0.01),AND(H1052&lt;&gt;0,ABS(K1052)&gt;VarianceThreshold)),"Review","OK")</f>
        <v>0</v>
      </c>
      <c r="M1052" t="s">
        <v>33</v>
      </c>
    </row>
    <row r="1053" spans="1:13">
      <c r="A1053" t="s">
        <v>1</v>
      </c>
      <c r="B1053" t="s">
        <v>538</v>
      </c>
      <c r="C1053" t="s">
        <v>1010</v>
      </c>
      <c r="D1053" t="s">
        <v>1322</v>
      </c>
      <c r="E1053" cm="1">
        <f t="array" ref="E1053">_xlfn.XLOOKUP(D1053,SKU_Master!A:A,SKU_Master!B:B,"Not on master")</f>
        <v>0</v>
      </c>
      <c r="F1053" cm="1">
        <f t="array" ref="F1053">_xlfn.XLOOKUP(C1053,Account_Master!A:A,Account_Master!B:B,"Not on master")</f>
        <v>0</v>
      </c>
      <c r="G1053" cm="1">
        <f t="array" ref="G1053">_xlfn.XLOOKUP(C1053,Account_Master!A:A,Account_Master!C:C,"Not on master")</f>
        <v>0</v>
      </c>
      <c r="H1053" s="6">
        <v>4.5</v>
      </c>
      <c r="I1053" s="6">
        <v>4.5</v>
      </c>
      <c r="J1053" s="6">
        <f>I1053-H1053</f>
        <v>0</v>
      </c>
      <c r="K1053" s="5">
        <f>IF(H1053=0,"",J1053/H1053)</f>
        <v>0</v>
      </c>
      <c r="L1053">
        <f>IF(OR(AND(H1053=0,ABS(J1053)&gt;=0.01),AND(H1053&lt;&gt;0,ABS(K1053)&gt;VarianceThreshold)),"Review","OK")</f>
        <v>0</v>
      </c>
      <c r="M1053" t="s">
        <v>33</v>
      </c>
    </row>
    <row r="1054" spans="1:13">
      <c r="A1054" t="s">
        <v>1</v>
      </c>
      <c r="B1054" t="s">
        <v>552</v>
      </c>
      <c r="C1054" t="s">
        <v>1230</v>
      </c>
      <c r="D1054" t="s">
        <v>1323</v>
      </c>
      <c r="E1054" cm="1">
        <f t="array" ref="E1054">_xlfn.XLOOKUP(D1054,SKU_Master!A:A,SKU_Master!B:B,"Not on master")</f>
        <v>0</v>
      </c>
      <c r="F1054" cm="1">
        <f t="array" ref="F1054">_xlfn.XLOOKUP(C1054,Account_Master!A:A,Account_Master!B:B,"Not on master")</f>
        <v>0</v>
      </c>
      <c r="G1054" cm="1">
        <f t="array" ref="G1054">_xlfn.XLOOKUP(C1054,Account_Master!A:A,Account_Master!C:C,"Not on master")</f>
        <v>0</v>
      </c>
      <c r="H1054" s="6">
        <v>32.25</v>
      </c>
      <c r="I1054" s="6">
        <v>32.25</v>
      </c>
      <c r="J1054" s="6">
        <f>I1054-H1054</f>
        <v>0</v>
      </c>
      <c r="K1054" s="5">
        <f>IF(H1054=0,"",J1054/H1054)</f>
        <v>0</v>
      </c>
      <c r="L1054">
        <f>IF(OR(AND(H1054=0,ABS(J1054)&gt;=0.01),AND(H1054&lt;&gt;0,ABS(K1054)&gt;VarianceThreshold)),"Review","OK")</f>
        <v>0</v>
      </c>
      <c r="M1054" t="s">
        <v>33</v>
      </c>
    </row>
    <row r="1055" spans="1:13">
      <c r="A1055" t="s">
        <v>1</v>
      </c>
      <c r="B1055" t="s">
        <v>552</v>
      </c>
      <c r="C1055" t="s">
        <v>1115</v>
      </c>
      <c r="D1055" t="s">
        <v>373</v>
      </c>
      <c r="E1055" cm="1">
        <f t="array" ref="E1055">_xlfn.XLOOKUP(D1055,SKU_Master!A:A,SKU_Master!B:B,"Not on master")</f>
        <v>0</v>
      </c>
      <c r="F1055" cm="1">
        <f t="array" ref="F1055">_xlfn.XLOOKUP(C1055,Account_Master!A:A,Account_Master!B:B,"Not on master")</f>
        <v>0</v>
      </c>
      <c r="G1055" cm="1">
        <f t="array" ref="G1055">_xlfn.XLOOKUP(C1055,Account_Master!A:A,Account_Master!C:C,"Not on master")</f>
        <v>0</v>
      </c>
      <c r="H1055" s="6">
        <v>3.55</v>
      </c>
      <c r="I1055" s="6">
        <v>3.55</v>
      </c>
      <c r="J1055" s="6">
        <f>I1055-H1055</f>
        <v>0</v>
      </c>
      <c r="K1055" s="5">
        <f>IF(H1055=0,"",J1055/H1055)</f>
        <v>0</v>
      </c>
      <c r="L1055">
        <f>IF(OR(AND(H1055=0,ABS(J1055)&gt;=0.01),AND(H1055&lt;&gt;0,ABS(K1055)&gt;VarianceThreshold)),"Review","OK")</f>
        <v>0</v>
      </c>
      <c r="M1055" t="s">
        <v>33</v>
      </c>
    </row>
    <row r="1056" spans="1:13">
      <c r="A1056" t="s">
        <v>1</v>
      </c>
      <c r="B1056" t="s">
        <v>552</v>
      </c>
      <c r="C1056" t="s">
        <v>1018</v>
      </c>
      <c r="D1056" t="s">
        <v>173</v>
      </c>
      <c r="E1056" cm="1">
        <f t="array" ref="E1056">_xlfn.XLOOKUP(D1056,SKU_Master!A:A,SKU_Master!B:B,"Not on master")</f>
        <v>0</v>
      </c>
      <c r="F1056" cm="1">
        <f t="array" ref="F1056">_xlfn.XLOOKUP(C1056,Account_Master!A:A,Account_Master!B:B,"Not on master")</f>
        <v>0</v>
      </c>
      <c r="G1056" cm="1">
        <f t="array" ref="G1056">_xlfn.XLOOKUP(C1056,Account_Master!A:A,Account_Master!C:C,"Not on master")</f>
        <v>0</v>
      </c>
      <c r="H1056" s="6">
        <v>6</v>
      </c>
      <c r="I1056" s="6">
        <v>6</v>
      </c>
      <c r="J1056" s="6">
        <f>I1056-H1056</f>
        <v>0</v>
      </c>
      <c r="K1056" s="5">
        <f>IF(H1056=0,"",J1056/H1056)</f>
        <v>0</v>
      </c>
      <c r="L1056">
        <f>IF(OR(AND(H1056=0,ABS(J1056)&gt;=0.01),AND(H1056&lt;&gt;0,ABS(K1056)&gt;VarianceThreshold)),"Review","OK")</f>
        <v>0</v>
      </c>
      <c r="M1056" t="s">
        <v>33</v>
      </c>
    </row>
    <row r="1057" spans="1:13">
      <c r="A1057" t="s">
        <v>1</v>
      </c>
      <c r="B1057" t="s">
        <v>552</v>
      </c>
      <c r="C1057" t="s">
        <v>1013</v>
      </c>
      <c r="D1057" t="s">
        <v>1324</v>
      </c>
      <c r="E1057" cm="1">
        <f t="array" ref="E1057">_xlfn.XLOOKUP(D1057,SKU_Master!A:A,SKU_Master!B:B,"Not on master")</f>
        <v>0</v>
      </c>
      <c r="F1057" cm="1">
        <f t="array" ref="F1057">_xlfn.XLOOKUP(C1057,Account_Master!A:A,Account_Master!B:B,"Not on master")</f>
        <v>0</v>
      </c>
      <c r="G1057" cm="1">
        <f t="array" ref="G1057">_xlfn.XLOOKUP(C1057,Account_Master!A:A,Account_Master!C:C,"Not on master")</f>
        <v>0</v>
      </c>
      <c r="H1057" s="6">
        <v>14.62</v>
      </c>
      <c r="I1057" s="6">
        <v>14.62</v>
      </c>
      <c r="J1057" s="6">
        <f>I1057-H1057</f>
        <v>0</v>
      </c>
      <c r="K1057" s="5">
        <f>IF(H1057=0,"",J1057/H1057)</f>
        <v>0</v>
      </c>
      <c r="L1057">
        <f>IF(OR(AND(H1057=0,ABS(J1057)&gt;=0.01),AND(H1057&lt;&gt;0,ABS(K1057)&gt;VarianceThreshold)),"Review","OK")</f>
        <v>0</v>
      </c>
      <c r="M1057" t="s">
        <v>33</v>
      </c>
    </row>
    <row r="1058" spans="1:13">
      <c r="A1058" t="s">
        <v>1</v>
      </c>
      <c r="B1058" t="s">
        <v>552</v>
      </c>
      <c r="C1058" t="s">
        <v>1219</v>
      </c>
      <c r="D1058" t="s">
        <v>919</v>
      </c>
      <c r="E1058" cm="1">
        <f t="array" ref="E1058">_xlfn.XLOOKUP(D1058,SKU_Master!A:A,SKU_Master!B:B,"Not on master")</f>
        <v>0</v>
      </c>
      <c r="F1058" cm="1">
        <f t="array" ref="F1058">_xlfn.XLOOKUP(C1058,Account_Master!A:A,Account_Master!B:B,"Not on master")</f>
        <v>0</v>
      </c>
      <c r="G1058" cm="1">
        <f t="array" ref="G1058">_xlfn.XLOOKUP(C1058,Account_Master!A:A,Account_Master!C:C,"Not on master")</f>
        <v>0</v>
      </c>
      <c r="H1058" s="6">
        <v>15</v>
      </c>
      <c r="I1058" s="6">
        <v>15</v>
      </c>
      <c r="J1058" s="6">
        <f>I1058-H1058</f>
        <v>0</v>
      </c>
      <c r="K1058" s="5">
        <f>IF(H1058=0,"",J1058/H1058)</f>
        <v>0</v>
      </c>
      <c r="L1058">
        <f>IF(OR(AND(H1058=0,ABS(J1058)&gt;=0.01),AND(H1058&lt;&gt;0,ABS(K1058)&gt;VarianceThreshold)),"Review","OK")</f>
        <v>0</v>
      </c>
      <c r="M1058" t="s">
        <v>33</v>
      </c>
    </row>
    <row r="1059" spans="1:13">
      <c r="A1059" t="s">
        <v>1</v>
      </c>
      <c r="B1059" t="s">
        <v>552</v>
      </c>
      <c r="C1059" t="s">
        <v>1019</v>
      </c>
      <c r="D1059" t="s">
        <v>1325</v>
      </c>
      <c r="E1059" cm="1">
        <f t="array" ref="E1059">_xlfn.XLOOKUP(D1059,SKU_Master!A:A,SKU_Master!B:B,"Not on master")</f>
        <v>0</v>
      </c>
      <c r="F1059" cm="1">
        <f t="array" ref="F1059">_xlfn.XLOOKUP(C1059,Account_Master!A:A,Account_Master!B:B,"Not on master")</f>
        <v>0</v>
      </c>
      <c r="G1059" cm="1">
        <f t="array" ref="G1059">_xlfn.XLOOKUP(C1059,Account_Master!A:A,Account_Master!C:C,"Not on master")</f>
        <v>0</v>
      </c>
      <c r="H1059" s="6">
        <v>0.75</v>
      </c>
      <c r="I1059" s="6">
        <v>0.75</v>
      </c>
      <c r="J1059" s="6">
        <f>I1059-H1059</f>
        <v>0</v>
      </c>
      <c r="K1059" s="5">
        <f>IF(H1059=0,"",J1059/H1059)</f>
        <v>0</v>
      </c>
      <c r="L1059">
        <f>IF(OR(AND(H1059=0,ABS(J1059)&gt;=0.01),AND(H1059&lt;&gt;0,ABS(K1059)&gt;VarianceThreshold)),"Review","OK")</f>
        <v>0</v>
      </c>
      <c r="M1059" t="s">
        <v>33</v>
      </c>
    </row>
    <row r="1060" spans="1:13">
      <c r="A1060" t="s">
        <v>1</v>
      </c>
      <c r="B1060" t="s">
        <v>558</v>
      </c>
      <c r="C1060" t="s">
        <v>1082</v>
      </c>
      <c r="D1060" t="s">
        <v>1326</v>
      </c>
      <c r="E1060" cm="1">
        <f t="array" ref="E1060">_xlfn.XLOOKUP(D1060,SKU_Master!A:A,SKU_Master!B:B,"Not on master")</f>
        <v>0</v>
      </c>
      <c r="F1060" cm="1">
        <f t="array" ref="F1060">_xlfn.XLOOKUP(C1060,Account_Master!A:A,Account_Master!B:B,"Not on master")</f>
        <v>0</v>
      </c>
      <c r="G1060" cm="1">
        <f t="array" ref="G1060">_xlfn.XLOOKUP(C1060,Account_Master!A:A,Account_Master!C:C,"Not on master")</f>
        <v>0</v>
      </c>
      <c r="H1060" s="6">
        <v>1.5</v>
      </c>
      <c r="I1060" s="6">
        <v>1.5</v>
      </c>
      <c r="J1060" s="6">
        <f>I1060-H1060</f>
        <v>0</v>
      </c>
      <c r="K1060" s="5">
        <f>IF(H1060=0,"",J1060/H1060)</f>
        <v>0</v>
      </c>
      <c r="L1060">
        <f>IF(OR(AND(H1060=0,ABS(J1060)&gt;=0.01),AND(H1060&lt;&gt;0,ABS(K1060)&gt;VarianceThreshold)),"Review","OK")</f>
        <v>0</v>
      </c>
      <c r="M1060" t="s">
        <v>33</v>
      </c>
    </row>
    <row r="1061" spans="1:13">
      <c r="A1061" t="s">
        <v>1</v>
      </c>
      <c r="B1061" t="s">
        <v>558</v>
      </c>
      <c r="C1061" t="s">
        <v>1327</v>
      </c>
      <c r="D1061" t="s">
        <v>439</v>
      </c>
      <c r="E1061" cm="1">
        <f t="array" ref="E1061">_xlfn.XLOOKUP(D1061,SKU_Master!A:A,SKU_Master!B:B,"Not on master")</f>
        <v>0</v>
      </c>
      <c r="F1061" cm="1">
        <f t="array" ref="F1061">_xlfn.XLOOKUP(C1061,Account_Master!A:A,Account_Master!B:B,"Not on master")</f>
        <v>0</v>
      </c>
      <c r="G1061" cm="1">
        <f t="array" ref="G1061">_xlfn.XLOOKUP(C1061,Account_Master!A:A,Account_Master!C:C,"Not on master")</f>
        <v>0</v>
      </c>
      <c r="H1061" s="6">
        <v>5.25</v>
      </c>
      <c r="I1061" s="6">
        <v>5.25</v>
      </c>
      <c r="J1061" s="6">
        <f>I1061-H1061</f>
        <v>0</v>
      </c>
      <c r="K1061" s="5">
        <f>IF(H1061=0,"",J1061/H1061)</f>
        <v>0</v>
      </c>
      <c r="L1061">
        <f>IF(OR(AND(H1061=0,ABS(J1061)&gt;=0.01),AND(H1061&lt;&gt;0,ABS(K1061)&gt;VarianceThreshold)),"Review","OK")</f>
        <v>0</v>
      </c>
      <c r="M1061" t="s">
        <v>33</v>
      </c>
    </row>
    <row r="1062" spans="1:13">
      <c r="A1062" t="s">
        <v>1</v>
      </c>
      <c r="B1062" t="s">
        <v>558</v>
      </c>
      <c r="C1062" t="s">
        <v>1019</v>
      </c>
      <c r="D1062" t="s">
        <v>955</v>
      </c>
      <c r="E1062" cm="1">
        <f t="array" ref="E1062">_xlfn.XLOOKUP(D1062,SKU_Master!A:A,SKU_Master!B:B,"Not on master")</f>
        <v>0</v>
      </c>
      <c r="F1062" cm="1">
        <f t="array" ref="F1062">_xlfn.XLOOKUP(C1062,Account_Master!A:A,Account_Master!B:B,"Not on master")</f>
        <v>0</v>
      </c>
      <c r="G1062" cm="1">
        <f t="array" ref="G1062">_xlfn.XLOOKUP(C1062,Account_Master!A:A,Account_Master!C:C,"Not on master")</f>
        <v>0</v>
      </c>
      <c r="H1062" s="6">
        <v>0.75</v>
      </c>
      <c r="I1062" s="6">
        <v>0.75</v>
      </c>
      <c r="J1062" s="6">
        <f>I1062-H1062</f>
        <v>0</v>
      </c>
      <c r="K1062" s="5">
        <f>IF(H1062=0,"",J1062/H1062)</f>
        <v>0</v>
      </c>
      <c r="L1062">
        <f>IF(OR(AND(H1062=0,ABS(J1062)&gt;=0.01),AND(H1062&lt;&gt;0,ABS(K1062)&gt;VarianceThreshold)),"Review","OK")</f>
        <v>0</v>
      </c>
      <c r="M1062" t="s">
        <v>33</v>
      </c>
    </row>
    <row r="1063" spans="1:13">
      <c r="A1063" t="s">
        <v>1</v>
      </c>
      <c r="B1063" t="s">
        <v>558</v>
      </c>
      <c r="C1063" t="s">
        <v>1309</v>
      </c>
      <c r="D1063" t="s">
        <v>413</v>
      </c>
      <c r="E1063" cm="1">
        <f t="array" ref="E1063">_xlfn.XLOOKUP(D1063,SKU_Master!A:A,SKU_Master!B:B,"Not on master")</f>
        <v>0</v>
      </c>
      <c r="F1063" cm="1">
        <f t="array" ref="F1063">_xlfn.XLOOKUP(C1063,Account_Master!A:A,Account_Master!B:B,"Not on master")</f>
        <v>0</v>
      </c>
      <c r="G1063" cm="1">
        <f t="array" ref="G1063">_xlfn.XLOOKUP(C1063,Account_Master!A:A,Account_Master!C:C,"Not on master")</f>
        <v>0</v>
      </c>
      <c r="H1063" s="6">
        <v>9</v>
      </c>
      <c r="I1063" s="6">
        <v>9</v>
      </c>
      <c r="J1063" s="6">
        <f>I1063-H1063</f>
        <v>0</v>
      </c>
      <c r="K1063" s="5">
        <f>IF(H1063=0,"",J1063/H1063)</f>
        <v>0</v>
      </c>
      <c r="L1063">
        <f>IF(OR(AND(H1063=0,ABS(J1063)&gt;=0.01),AND(H1063&lt;&gt;0,ABS(K1063)&gt;VarianceThreshold)),"Review","OK")</f>
        <v>0</v>
      </c>
      <c r="M1063" t="s">
        <v>33</v>
      </c>
    </row>
    <row r="1064" spans="1:13">
      <c r="A1064" t="s">
        <v>1</v>
      </c>
      <c r="B1064" t="s">
        <v>558</v>
      </c>
      <c r="C1064" t="s">
        <v>1328</v>
      </c>
      <c r="D1064" t="s">
        <v>1329</v>
      </c>
      <c r="E1064" cm="1">
        <f t="array" ref="E1064">_xlfn.XLOOKUP(D1064,SKU_Master!A:A,SKU_Master!B:B,"Not on master")</f>
        <v>0</v>
      </c>
      <c r="F1064" cm="1">
        <f t="array" ref="F1064">_xlfn.XLOOKUP(C1064,Account_Master!A:A,Account_Master!B:B,"Not on master")</f>
        <v>0</v>
      </c>
      <c r="G1064" cm="1">
        <f t="array" ref="G1064">_xlfn.XLOOKUP(C1064,Account_Master!A:A,Account_Master!C:C,"Not on master")</f>
        <v>0</v>
      </c>
      <c r="H1064" s="6">
        <v>301.5</v>
      </c>
      <c r="I1064" s="6">
        <v>301.5</v>
      </c>
      <c r="J1064" s="6">
        <f>I1064-H1064</f>
        <v>0</v>
      </c>
      <c r="K1064" s="5">
        <f>IF(H1064=0,"",J1064/H1064)</f>
        <v>0</v>
      </c>
      <c r="L1064">
        <f>IF(OR(AND(H1064=0,ABS(J1064)&gt;=0.01),AND(H1064&lt;&gt;0,ABS(K1064)&gt;VarianceThreshold)),"Review","OK")</f>
        <v>0</v>
      </c>
      <c r="M1064" t="s">
        <v>33</v>
      </c>
    </row>
    <row r="1065" spans="1:13">
      <c r="A1065" t="s">
        <v>1</v>
      </c>
      <c r="B1065" t="s">
        <v>558</v>
      </c>
      <c r="C1065" t="s">
        <v>1330</v>
      </c>
      <c r="D1065" t="s">
        <v>414</v>
      </c>
      <c r="E1065" cm="1">
        <f t="array" ref="E1065">_xlfn.XLOOKUP(D1065,SKU_Master!A:A,SKU_Master!B:B,"Not on master")</f>
        <v>0</v>
      </c>
      <c r="F1065" cm="1">
        <f t="array" ref="F1065">_xlfn.XLOOKUP(C1065,Account_Master!A:A,Account_Master!B:B,"Not on master")</f>
        <v>0</v>
      </c>
      <c r="G1065" cm="1">
        <f t="array" ref="G1065">_xlfn.XLOOKUP(C1065,Account_Master!A:A,Account_Master!C:C,"Not on master")</f>
        <v>0</v>
      </c>
      <c r="H1065" s="6">
        <v>0.2</v>
      </c>
      <c r="I1065" s="6">
        <v>0.2</v>
      </c>
      <c r="J1065" s="6">
        <f>I1065-H1065</f>
        <v>0</v>
      </c>
      <c r="K1065" s="5">
        <f>IF(H1065=0,"",J1065/H1065)</f>
        <v>0</v>
      </c>
      <c r="L1065">
        <f>IF(OR(AND(H1065=0,ABS(J1065)&gt;=0.01),AND(H1065&lt;&gt;0,ABS(K1065)&gt;VarianceThreshold)),"Review","OK")</f>
        <v>0</v>
      </c>
      <c r="M1065" t="s">
        <v>33</v>
      </c>
    </row>
    <row r="1066" spans="1:13">
      <c r="A1066" t="s">
        <v>1</v>
      </c>
      <c r="B1066" t="s">
        <v>558</v>
      </c>
      <c r="C1066" t="s">
        <v>1151</v>
      </c>
      <c r="D1066" t="s">
        <v>1331</v>
      </c>
      <c r="E1066" cm="1">
        <f t="array" ref="E1066">_xlfn.XLOOKUP(D1066,SKU_Master!A:A,SKU_Master!B:B,"Not on master")</f>
        <v>0</v>
      </c>
      <c r="F1066" cm="1">
        <f t="array" ref="F1066">_xlfn.XLOOKUP(C1066,Account_Master!A:A,Account_Master!B:B,"Not on master")</f>
        <v>0</v>
      </c>
      <c r="G1066" cm="1">
        <f t="array" ref="G1066">_xlfn.XLOOKUP(C1066,Account_Master!A:A,Account_Master!C:C,"Not on master")</f>
        <v>0</v>
      </c>
      <c r="H1066" s="6">
        <v>0.25</v>
      </c>
      <c r="I1066" s="6">
        <v>0.25</v>
      </c>
      <c r="J1066" s="6">
        <f>I1066-H1066</f>
        <v>0</v>
      </c>
      <c r="K1066" s="5">
        <f>IF(H1066=0,"",J1066/H1066)</f>
        <v>0</v>
      </c>
      <c r="L1066">
        <f>IF(OR(AND(H1066=0,ABS(J1066)&gt;=0.01),AND(H1066&lt;&gt;0,ABS(K1066)&gt;VarianceThreshold)),"Review","OK")</f>
        <v>0</v>
      </c>
      <c r="M1066" t="s">
        <v>33</v>
      </c>
    </row>
    <row r="1067" spans="1:13">
      <c r="A1067" t="s">
        <v>1</v>
      </c>
      <c r="B1067" t="s">
        <v>558</v>
      </c>
      <c r="C1067" t="s">
        <v>1296</v>
      </c>
      <c r="D1067" t="s">
        <v>1332</v>
      </c>
      <c r="E1067" cm="1">
        <f t="array" ref="E1067">_xlfn.XLOOKUP(D1067,SKU_Master!A:A,SKU_Master!B:B,"Not on master")</f>
        <v>0</v>
      </c>
      <c r="F1067" cm="1">
        <f t="array" ref="F1067">_xlfn.XLOOKUP(C1067,Account_Master!A:A,Account_Master!B:B,"Not on master")</f>
        <v>0</v>
      </c>
      <c r="G1067" cm="1">
        <f t="array" ref="G1067">_xlfn.XLOOKUP(C1067,Account_Master!A:A,Account_Master!C:C,"Not on master")</f>
        <v>0</v>
      </c>
      <c r="H1067" s="6">
        <v>4.5</v>
      </c>
      <c r="I1067" s="6">
        <v>4.5</v>
      </c>
      <c r="J1067" s="6">
        <f>I1067-H1067</f>
        <v>0</v>
      </c>
      <c r="K1067" s="5">
        <f>IF(H1067=0,"",J1067/H1067)</f>
        <v>0</v>
      </c>
      <c r="L1067">
        <f>IF(OR(AND(H1067=0,ABS(J1067)&gt;=0.01),AND(H1067&lt;&gt;0,ABS(K1067)&gt;VarianceThreshold)),"Review","OK")</f>
        <v>0</v>
      </c>
      <c r="M1067" t="s">
        <v>33</v>
      </c>
    </row>
    <row r="1068" spans="1:13">
      <c r="A1068" t="s">
        <v>1</v>
      </c>
      <c r="B1068" t="s">
        <v>558</v>
      </c>
      <c r="C1068" t="s">
        <v>1082</v>
      </c>
      <c r="D1068" t="s">
        <v>1333</v>
      </c>
      <c r="E1068" cm="1">
        <f t="array" ref="E1068">_xlfn.XLOOKUP(D1068,SKU_Master!A:A,SKU_Master!B:B,"Not on master")</f>
        <v>0</v>
      </c>
      <c r="F1068" cm="1">
        <f t="array" ref="F1068">_xlfn.XLOOKUP(C1068,Account_Master!A:A,Account_Master!B:B,"Not on master")</f>
        <v>0</v>
      </c>
      <c r="G1068" cm="1">
        <f t="array" ref="G1068">_xlfn.XLOOKUP(C1068,Account_Master!A:A,Account_Master!C:C,"Not on master")</f>
        <v>0</v>
      </c>
      <c r="H1068" s="6">
        <v>2.25</v>
      </c>
      <c r="I1068" s="6">
        <v>2.25</v>
      </c>
      <c r="J1068" s="6">
        <f>I1068-H1068</f>
        <v>0</v>
      </c>
      <c r="K1068" s="5">
        <f>IF(H1068=0,"",J1068/H1068)</f>
        <v>0</v>
      </c>
      <c r="L1068">
        <f>IF(OR(AND(H1068=0,ABS(J1068)&gt;=0.01),AND(H1068&lt;&gt;0,ABS(K1068)&gt;VarianceThreshold)),"Review","OK")</f>
        <v>0</v>
      </c>
      <c r="M1068" t="s">
        <v>33</v>
      </c>
    </row>
    <row r="1069" spans="1:13">
      <c r="A1069" t="s">
        <v>1</v>
      </c>
      <c r="B1069" t="s">
        <v>563</v>
      </c>
      <c r="C1069" t="s">
        <v>1010</v>
      </c>
      <c r="D1069" t="s">
        <v>1334</v>
      </c>
      <c r="E1069" cm="1">
        <f t="array" ref="E1069">_xlfn.XLOOKUP(D1069,SKU_Master!A:A,SKU_Master!B:B,"Not on master")</f>
        <v>0</v>
      </c>
      <c r="F1069" cm="1">
        <f t="array" ref="F1069">_xlfn.XLOOKUP(C1069,Account_Master!A:A,Account_Master!B:B,"Not on master")</f>
        <v>0</v>
      </c>
      <c r="G1069" cm="1">
        <f t="array" ref="G1069">_xlfn.XLOOKUP(C1069,Account_Master!A:A,Account_Master!C:C,"Not on master")</f>
        <v>0</v>
      </c>
      <c r="H1069" s="6">
        <v>2.25</v>
      </c>
      <c r="I1069" s="6">
        <v>2.25</v>
      </c>
      <c r="J1069" s="6">
        <f>I1069-H1069</f>
        <v>0</v>
      </c>
      <c r="K1069" s="5">
        <f>IF(H1069=0,"",J1069/H1069)</f>
        <v>0</v>
      </c>
      <c r="L1069">
        <f>IF(OR(AND(H1069=0,ABS(J1069)&gt;=0.01),AND(H1069&lt;&gt;0,ABS(K1069)&gt;VarianceThreshold)),"Review","OK")</f>
        <v>0</v>
      </c>
      <c r="M1069" t="s">
        <v>33</v>
      </c>
    </row>
    <row r="1070" spans="1:13">
      <c r="A1070" t="s">
        <v>1</v>
      </c>
      <c r="B1070" t="s">
        <v>563</v>
      </c>
      <c r="C1070" t="s">
        <v>1046</v>
      </c>
      <c r="D1070" t="s">
        <v>578</v>
      </c>
      <c r="E1070" cm="1">
        <f t="array" ref="E1070">_xlfn.XLOOKUP(D1070,SKU_Master!A:A,SKU_Master!B:B,"Not on master")</f>
        <v>0</v>
      </c>
      <c r="F1070" cm="1">
        <f t="array" ref="F1070">_xlfn.XLOOKUP(C1070,Account_Master!A:A,Account_Master!B:B,"Not on master")</f>
        <v>0</v>
      </c>
      <c r="G1070" cm="1">
        <f t="array" ref="G1070">_xlfn.XLOOKUP(C1070,Account_Master!A:A,Account_Master!C:C,"Not on master")</f>
        <v>0</v>
      </c>
      <c r="H1070" s="6">
        <v>57</v>
      </c>
      <c r="I1070" s="6">
        <v>57</v>
      </c>
      <c r="J1070" s="6">
        <f>I1070-H1070</f>
        <v>0</v>
      </c>
      <c r="K1070" s="5">
        <f>IF(H1070=0,"",J1070/H1070)</f>
        <v>0</v>
      </c>
      <c r="L1070">
        <f>IF(OR(AND(H1070=0,ABS(J1070)&gt;=0.01),AND(H1070&lt;&gt;0,ABS(K1070)&gt;VarianceThreshold)),"Review","OK")</f>
        <v>0</v>
      </c>
      <c r="M1070" t="s">
        <v>33</v>
      </c>
    </row>
    <row r="1071" spans="1:13">
      <c r="A1071" t="s">
        <v>1</v>
      </c>
      <c r="B1071" t="s">
        <v>563</v>
      </c>
      <c r="C1071" t="s">
        <v>1315</v>
      </c>
      <c r="D1071" t="s">
        <v>1335</v>
      </c>
      <c r="E1071" cm="1">
        <f t="array" ref="E1071">_xlfn.XLOOKUP(D1071,SKU_Master!A:A,SKU_Master!B:B,"Not on master")</f>
        <v>0</v>
      </c>
      <c r="F1071" cm="1">
        <f t="array" ref="F1071">_xlfn.XLOOKUP(C1071,Account_Master!A:A,Account_Master!B:B,"Not on master")</f>
        <v>0</v>
      </c>
      <c r="G1071" cm="1">
        <f t="array" ref="G1071">_xlfn.XLOOKUP(C1071,Account_Master!A:A,Account_Master!C:C,"Not on master")</f>
        <v>0</v>
      </c>
      <c r="H1071" s="6">
        <v>1.5</v>
      </c>
      <c r="I1071" s="6">
        <v>1.5</v>
      </c>
      <c r="J1071" s="6">
        <f>I1071-H1071</f>
        <v>0</v>
      </c>
      <c r="K1071" s="5">
        <f>IF(H1071=0,"",J1071/H1071)</f>
        <v>0</v>
      </c>
      <c r="L1071">
        <f>IF(OR(AND(H1071=0,ABS(J1071)&gt;=0.01),AND(H1071&lt;&gt;0,ABS(K1071)&gt;VarianceThreshold)),"Review","OK")</f>
        <v>0</v>
      </c>
      <c r="M1071" t="s">
        <v>33</v>
      </c>
    </row>
    <row r="1072" spans="1:13">
      <c r="A1072" t="s">
        <v>1</v>
      </c>
      <c r="B1072" t="s">
        <v>563</v>
      </c>
      <c r="C1072" t="s">
        <v>1093</v>
      </c>
      <c r="D1072" t="s">
        <v>1336</v>
      </c>
      <c r="E1072" cm="1">
        <f t="array" ref="E1072">_xlfn.XLOOKUP(D1072,SKU_Master!A:A,SKU_Master!B:B,"Not on master")</f>
        <v>0</v>
      </c>
      <c r="F1072" cm="1">
        <f t="array" ref="F1072">_xlfn.XLOOKUP(C1072,Account_Master!A:A,Account_Master!B:B,"Not on master")</f>
        <v>0</v>
      </c>
      <c r="G1072" cm="1">
        <f t="array" ref="G1072">_xlfn.XLOOKUP(C1072,Account_Master!A:A,Account_Master!C:C,"Not on master")</f>
        <v>0</v>
      </c>
      <c r="H1072" s="6">
        <v>6</v>
      </c>
      <c r="I1072" s="6">
        <v>6</v>
      </c>
      <c r="J1072" s="6">
        <f>I1072-H1072</f>
        <v>0</v>
      </c>
      <c r="K1072" s="5">
        <f>IF(H1072=0,"",J1072/H1072)</f>
        <v>0</v>
      </c>
      <c r="L1072">
        <f>IF(OR(AND(H1072=0,ABS(J1072)&gt;=0.01),AND(H1072&lt;&gt;0,ABS(K1072)&gt;VarianceThreshold)),"Review","OK")</f>
        <v>0</v>
      </c>
      <c r="M1072" t="s">
        <v>33</v>
      </c>
    </row>
    <row r="1073" spans="1:13">
      <c r="A1073" t="s">
        <v>1</v>
      </c>
      <c r="B1073" t="s">
        <v>563</v>
      </c>
      <c r="C1073" t="s">
        <v>1299</v>
      </c>
      <c r="D1073" t="s">
        <v>1337</v>
      </c>
      <c r="E1073" cm="1">
        <f t="array" ref="E1073">_xlfn.XLOOKUP(D1073,SKU_Master!A:A,SKU_Master!B:B,"Not on master")</f>
        <v>0</v>
      </c>
      <c r="F1073" cm="1">
        <f t="array" ref="F1073">_xlfn.XLOOKUP(C1073,Account_Master!A:A,Account_Master!B:B,"Not on master")</f>
        <v>0</v>
      </c>
      <c r="G1073" cm="1">
        <f t="array" ref="G1073">_xlfn.XLOOKUP(C1073,Account_Master!A:A,Account_Master!C:C,"Not on master")</f>
        <v>0</v>
      </c>
      <c r="H1073" s="6">
        <v>0.15</v>
      </c>
      <c r="I1073" s="6">
        <v>0.15</v>
      </c>
      <c r="J1073" s="6">
        <f>I1073-H1073</f>
        <v>0</v>
      </c>
      <c r="K1073" s="5">
        <f>IF(H1073=0,"",J1073/H1073)</f>
        <v>0</v>
      </c>
      <c r="L1073">
        <f>IF(OR(AND(H1073=0,ABS(J1073)&gt;=0.01),AND(H1073&lt;&gt;0,ABS(K1073)&gt;VarianceThreshold)),"Review","OK")</f>
        <v>0</v>
      </c>
      <c r="M1073" t="s">
        <v>33</v>
      </c>
    </row>
    <row r="1074" spans="1:13">
      <c r="A1074" t="s">
        <v>1</v>
      </c>
      <c r="B1074" t="s">
        <v>563</v>
      </c>
      <c r="C1074" t="s">
        <v>1112</v>
      </c>
      <c r="D1074" t="s">
        <v>1338</v>
      </c>
      <c r="E1074" cm="1">
        <f t="array" ref="E1074">_xlfn.XLOOKUP(D1074,SKU_Master!A:A,SKU_Master!B:B,"Not on master")</f>
        <v>0</v>
      </c>
      <c r="F1074" cm="1">
        <f t="array" ref="F1074">_xlfn.XLOOKUP(C1074,Account_Master!A:A,Account_Master!B:B,"Not on master")</f>
        <v>0</v>
      </c>
      <c r="G1074" cm="1">
        <f t="array" ref="G1074">_xlfn.XLOOKUP(C1074,Account_Master!A:A,Account_Master!C:C,"Not on master")</f>
        <v>0</v>
      </c>
      <c r="H1074" s="6">
        <v>4.5</v>
      </c>
      <c r="I1074" s="6">
        <v>4.5</v>
      </c>
      <c r="J1074" s="6">
        <f>I1074-H1074</f>
        <v>0</v>
      </c>
      <c r="K1074" s="5">
        <f>IF(H1074=0,"",J1074/H1074)</f>
        <v>0</v>
      </c>
      <c r="L1074">
        <f>IF(OR(AND(H1074=0,ABS(J1074)&gt;=0.01),AND(H1074&lt;&gt;0,ABS(K1074)&gt;VarianceThreshold)),"Review","OK")</f>
        <v>0</v>
      </c>
      <c r="M1074" t="s">
        <v>33</v>
      </c>
    </row>
    <row r="1075" spans="1:13">
      <c r="A1075" t="s">
        <v>1</v>
      </c>
      <c r="B1075" t="s">
        <v>571</v>
      </c>
      <c r="C1075" t="s">
        <v>1063</v>
      </c>
      <c r="D1075" t="s">
        <v>1339</v>
      </c>
      <c r="E1075" cm="1">
        <f t="array" ref="E1075">_xlfn.XLOOKUP(D1075,SKU_Master!A:A,SKU_Master!B:B,"Not on master")</f>
        <v>0</v>
      </c>
      <c r="F1075" cm="1">
        <f t="array" ref="F1075">_xlfn.XLOOKUP(C1075,Account_Master!A:A,Account_Master!B:B,"Not on master")</f>
        <v>0</v>
      </c>
      <c r="G1075" cm="1">
        <f t="array" ref="G1075">_xlfn.XLOOKUP(C1075,Account_Master!A:A,Account_Master!C:C,"Not on master")</f>
        <v>0</v>
      </c>
      <c r="H1075" s="6">
        <v>22</v>
      </c>
      <c r="I1075" s="6">
        <v>22</v>
      </c>
      <c r="J1075" s="6">
        <f>I1075-H1075</f>
        <v>0</v>
      </c>
      <c r="K1075" s="5">
        <f>IF(H1075=0,"",J1075/H1075)</f>
        <v>0</v>
      </c>
      <c r="L1075">
        <f>IF(OR(AND(H1075=0,ABS(J1075)&gt;=0.01),AND(H1075&lt;&gt;0,ABS(K1075)&gt;VarianceThreshold)),"Review","OK")</f>
        <v>0</v>
      </c>
      <c r="M1075" t="s">
        <v>33</v>
      </c>
    </row>
    <row r="1076" spans="1:13">
      <c r="A1076" t="s">
        <v>1</v>
      </c>
      <c r="B1076" t="s">
        <v>571</v>
      </c>
      <c r="C1076" t="s">
        <v>1043</v>
      </c>
      <c r="D1076" t="s">
        <v>1340</v>
      </c>
      <c r="E1076" cm="1">
        <f t="array" ref="E1076">_xlfn.XLOOKUP(D1076,SKU_Master!A:A,SKU_Master!B:B,"Not on master")</f>
        <v>0</v>
      </c>
      <c r="F1076" cm="1">
        <f t="array" ref="F1076">_xlfn.XLOOKUP(C1076,Account_Master!A:A,Account_Master!B:B,"Not on master")</f>
        <v>0</v>
      </c>
      <c r="G1076" cm="1">
        <f t="array" ref="G1076">_xlfn.XLOOKUP(C1076,Account_Master!A:A,Account_Master!C:C,"Not on master")</f>
        <v>0</v>
      </c>
      <c r="H1076" s="6">
        <v>24.75</v>
      </c>
      <c r="I1076" s="6">
        <v>24.75</v>
      </c>
      <c r="J1076" s="6">
        <f>I1076-H1076</f>
        <v>0</v>
      </c>
      <c r="K1076" s="5">
        <f>IF(H1076=0,"",J1076/H1076)</f>
        <v>0</v>
      </c>
      <c r="L1076">
        <f>IF(OR(AND(H1076=0,ABS(J1076)&gt;=0.01),AND(H1076&lt;&gt;0,ABS(K1076)&gt;VarianceThreshold)),"Review","OK")</f>
        <v>0</v>
      </c>
      <c r="M1076" t="s">
        <v>33</v>
      </c>
    </row>
    <row r="1077" spans="1:13">
      <c r="A1077" t="s">
        <v>1</v>
      </c>
      <c r="B1077" t="s">
        <v>571</v>
      </c>
      <c r="C1077" t="s">
        <v>1019</v>
      </c>
      <c r="D1077" t="s">
        <v>369</v>
      </c>
      <c r="E1077" cm="1">
        <f t="array" ref="E1077">_xlfn.XLOOKUP(D1077,SKU_Master!A:A,SKU_Master!B:B,"Not on master")</f>
        <v>0</v>
      </c>
      <c r="F1077" cm="1">
        <f t="array" ref="F1077">_xlfn.XLOOKUP(C1077,Account_Master!A:A,Account_Master!B:B,"Not on master")</f>
        <v>0</v>
      </c>
      <c r="G1077" cm="1">
        <f t="array" ref="G1077">_xlfn.XLOOKUP(C1077,Account_Master!A:A,Account_Master!C:C,"Not on master")</f>
        <v>0</v>
      </c>
      <c r="H1077" s="6">
        <v>3.5</v>
      </c>
      <c r="I1077" s="6">
        <v>3.5</v>
      </c>
      <c r="J1077" s="6">
        <f>I1077-H1077</f>
        <v>0</v>
      </c>
      <c r="K1077" s="5">
        <f>IF(H1077=0,"",J1077/H1077)</f>
        <v>0</v>
      </c>
      <c r="L1077">
        <f>IF(OR(AND(H1077=0,ABS(J1077)&gt;=0.01),AND(H1077&lt;&gt;0,ABS(K1077)&gt;VarianceThreshold)),"Review","OK")</f>
        <v>0</v>
      </c>
      <c r="M1077" t="s">
        <v>33</v>
      </c>
    </row>
    <row r="1078" spans="1:13">
      <c r="A1078" t="s">
        <v>1</v>
      </c>
      <c r="B1078" t="s">
        <v>571</v>
      </c>
      <c r="C1078" t="s">
        <v>1109</v>
      </c>
      <c r="D1078" t="s">
        <v>1341</v>
      </c>
      <c r="E1078" cm="1">
        <f t="array" ref="E1078">_xlfn.XLOOKUP(D1078,SKU_Master!A:A,SKU_Master!B:B,"Not on master")</f>
        <v>0</v>
      </c>
      <c r="F1078" cm="1">
        <f t="array" ref="F1078">_xlfn.XLOOKUP(C1078,Account_Master!A:A,Account_Master!B:B,"Not on master")</f>
        <v>0</v>
      </c>
      <c r="G1078" cm="1">
        <f t="array" ref="G1078">_xlfn.XLOOKUP(C1078,Account_Master!A:A,Account_Master!C:C,"Not on master")</f>
        <v>0</v>
      </c>
      <c r="H1078" s="6">
        <v>13.5</v>
      </c>
      <c r="I1078" s="6">
        <v>13.5</v>
      </c>
      <c r="J1078" s="6">
        <f>I1078-H1078</f>
        <v>0</v>
      </c>
      <c r="K1078" s="5">
        <f>IF(H1078=0,"",J1078/H1078)</f>
        <v>0</v>
      </c>
      <c r="L1078">
        <f>IF(OR(AND(H1078=0,ABS(J1078)&gt;=0.01),AND(H1078&lt;&gt;0,ABS(K1078)&gt;VarianceThreshold)),"Review","OK")</f>
        <v>0</v>
      </c>
      <c r="M1078" t="s">
        <v>33</v>
      </c>
    </row>
    <row r="1079" spans="1:13">
      <c r="A1079" t="s">
        <v>1</v>
      </c>
      <c r="B1079" t="s">
        <v>574</v>
      </c>
      <c r="C1079" t="s">
        <v>1032</v>
      </c>
      <c r="D1079" t="s">
        <v>995</v>
      </c>
      <c r="E1079" cm="1">
        <f t="array" ref="E1079">_xlfn.XLOOKUP(D1079,SKU_Master!A:A,SKU_Master!B:B,"Not on master")</f>
        <v>0</v>
      </c>
      <c r="F1079" cm="1">
        <f t="array" ref="F1079">_xlfn.XLOOKUP(C1079,Account_Master!A:A,Account_Master!B:B,"Not on master")</f>
        <v>0</v>
      </c>
      <c r="G1079" cm="1">
        <f t="array" ref="G1079">_xlfn.XLOOKUP(C1079,Account_Master!A:A,Account_Master!C:C,"Not on master")</f>
        <v>0</v>
      </c>
      <c r="H1079" s="6">
        <v>7</v>
      </c>
      <c r="I1079" s="6">
        <v>7</v>
      </c>
      <c r="J1079" s="6">
        <f>I1079-H1079</f>
        <v>0</v>
      </c>
      <c r="K1079" s="5">
        <f>IF(H1079=0,"",J1079/H1079)</f>
        <v>0</v>
      </c>
      <c r="L1079">
        <f>IF(OR(AND(H1079=0,ABS(J1079)&gt;=0.01),AND(H1079&lt;&gt;0,ABS(K1079)&gt;VarianceThreshold)),"Review","OK")</f>
        <v>0</v>
      </c>
      <c r="M1079" t="s">
        <v>33</v>
      </c>
    </row>
    <row r="1080" spans="1:13">
      <c r="A1080" t="s">
        <v>1</v>
      </c>
      <c r="B1080" t="s">
        <v>574</v>
      </c>
      <c r="C1080" t="s">
        <v>1053</v>
      </c>
      <c r="D1080" t="s">
        <v>1342</v>
      </c>
      <c r="E1080" cm="1">
        <f t="array" ref="E1080">_xlfn.XLOOKUP(D1080,SKU_Master!A:A,SKU_Master!B:B,"Not on master")</f>
        <v>0</v>
      </c>
      <c r="F1080" cm="1">
        <f t="array" ref="F1080">_xlfn.XLOOKUP(C1080,Account_Master!A:A,Account_Master!B:B,"Not on master")</f>
        <v>0</v>
      </c>
      <c r="G1080" cm="1">
        <f t="array" ref="G1080">_xlfn.XLOOKUP(C1080,Account_Master!A:A,Account_Master!C:C,"Not on master")</f>
        <v>0</v>
      </c>
      <c r="H1080" s="6">
        <v>30.75</v>
      </c>
      <c r="I1080" s="6">
        <v>30.75</v>
      </c>
      <c r="J1080" s="6">
        <f>I1080-H1080</f>
        <v>0</v>
      </c>
      <c r="K1080" s="5">
        <f>IF(H1080=0,"",J1080/H1080)</f>
        <v>0</v>
      </c>
      <c r="L1080">
        <f>IF(OR(AND(H1080=0,ABS(J1080)&gt;=0.01),AND(H1080&lt;&gt;0,ABS(K1080)&gt;VarianceThreshold)),"Review","OK")</f>
        <v>0</v>
      </c>
      <c r="M1080" t="s">
        <v>33</v>
      </c>
    </row>
    <row r="1081" spans="1:13">
      <c r="A1081" t="s">
        <v>1</v>
      </c>
      <c r="B1081" t="s">
        <v>574</v>
      </c>
      <c r="C1081" t="s">
        <v>1032</v>
      </c>
      <c r="D1081" t="s">
        <v>1343</v>
      </c>
      <c r="E1081" cm="1">
        <f t="array" ref="E1081">_xlfn.XLOOKUP(D1081,SKU_Master!A:A,SKU_Master!B:B,"Not on master")</f>
        <v>0</v>
      </c>
      <c r="F1081" cm="1">
        <f t="array" ref="F1081">_xlfn.XLOOKUP(C1081,Account_Master!A:A,Account_Master!B:B,"Not on master")</f>
        <v>0</v>
      </c>
      <c r="G1081" cm="1">
        <f t="array" ref="G1081">_xlfn.XLOOKUP(C1081,Account_Master!A:A,Account_Master!C:C,"Not on master")</f>
        <v>0</v>
      </c>
      <c r="H1081" s="6">
        <v>161</v>
      </c>
      <c r="I1081" s="6">
        <v>161</v>
      </c>
      <c r="J1081" s="6">
        <f>I1081-H1081</f>
        <v>0</v>
      </c>
      <c r="K1081" s="5">
        <f>IF(H1081=0,"",J1081/H1081)</f>
        <v>0</v>
      </c>
      <c r="L1081">
        <f>IF(OR(AND(H1081=0,ABS(J1081)&gt;=0.01),AND(H1081&lt;&gt;0,ABS(K1081)&gt;VarianceThreshold)),"Review","OK")</f>
        <v>0</v>
      </c>
      <c r="M1081" t="s">
        <v>33</v>
      </c>
    </row>
    <row r="1082" spans="1:13">
      <c r="A1082" t="s">
        <v>1</v>
      </c>
      <c r="B1082" t="s">
        <v>574</v>
      </c>
      <c r="C1082" t="s">
        <v>1291</v>
      </c>
      <c r="D1082" t="s">
        <v>1344</v>
      </c>
      <c r="E1082" cm="1">
        <f t="array" ref="E1082">_xlfn.XLOOKUP(D1082,SKU_Master!A:A,SKU_Master!B:B,"Not on master")</f>
        <v>0</v>
      </c>
      <c r="F1082" cm="1">
        <f t="array" ref="F1082">_xlfn.XLOOKUP(C1082,Account_Master!A:A,Account_Master!B:B,"Not on master")</f>
        <v>0</v>
      </c>
      <c r="G1082" cm="1">
        <f t="array" ref="G1082">_xlfn.XLOOKUP(C1082,Account_Master!A:A,Account_Master!C:C,"Not on master")</f>
        <v>0</v>
      </c>
      <c r="H1082" s="6">
        <v>57.75</v>
      </c>
      <c r="I1082" s="6">
        <v>57.75</v>
      </c>
      <c r="J1082" s="6">
        <f>I1082-H1082</f>
        <v>0</v>
      </c>
      <c r="K1082" s="5">
        <f>IF(H1082=0,"",J1082/H1082)</f>
        <v>0</v>
      </c>
      <c r="L1082">
        <f>IF(OR(AND(H1082=0,ABS(J1082)&gt;=0.01),AND(H1082&lt;&gt;0,ABS(K1082)&gt;VarianceThreshold)),"Review","OK")</f>
        <v>0</v>
      </c>
      <c r="M1082" t="s">
        <v>33</v>
      </c>
    </row>
    <row r="1083" spans="1:13">
      <c r="A1083" t="s">
        <v>1</v>
      </c>
      <c r="B1083" t="s">
        <v>574</v>
      </c>
      <c r="C1083" t="s">
        <v>1345</v>
      </c>
      <c r="D1083" t="s">
        <v>1346</v>
      </c>
      <c r="E1083" cm="1">
        <f t="array" ref="E1083">_xlfn.XLOOKUP(D1083,SKU_Master!A:A,SKU_Master!B:B,"Not on master")</f>
        <v>0</v>
      </c>
      <c r="F1083" cm="1">
        <f t="array" ref="F1083">_xlfn.XLOOKUP(C1083,Account_Master!A:A,Account_Master!B:B,"Not on master")</f>
        <v>0</v>
      </c>
      <c r="G1083" cm="1">
        <f t="array" ref="G1083">_xlfn.XLOOKUP(C1083,Account_Master!A:A,Account_Master!C:C,"Not on master")</f>
        <v>0</v>
      </c>
      <c r="H1083" s="6">
        <v>9</v>
      </c>
      <c r="I1083" s="6">
        <v>9</v>
      </c>
      <c r="J1083" s="6">
        <f>I1083-H1083</f>
        <v>0</v>
      </c>
      <c r="K1083" s="5">
        <f>IF(H1083=0,"",J1083/H1083)</f>
        <v>0</v>
      </c>
      <c r="L1083">
        <f>IF(OR(AND(H1083=0,ABS(J1083)&gt;=0.01),AND(H1083&lt;&gt;0,ABS(K1083)&gt;VarianceThreshold)),"Review","OK")</f>
        <v>0</v>
      </c>
      <c r="M1083" t="s">
        <v>33</v>
      </c>
    </row>
    <row r="1084" spans="1:13">
      <c r="A1084" t="s">
        <v>1</v>
      </c>
      <c r="B1084" t="s">
        <v>574</v>
      </c>
      <c r="C1084" t="s">
        <v>1059</v>
      </c>
      <c r="D1084" t="s">
        <v>521</v>
      </c>
      <c r="E1084" cm="1">
        <f t="array" ref="E1084">_xlfn.XLOOKUP(D1084,SKU_Master!A:A,SKU_Master!B:B,"Not on master")</f>
        <v>0</v>
      </c>
      <c r="F1084" cm="1">
        <f t="array" ref="F1084">_xlfn.XLOOKUP(C1084,Account_Master!A:A,Account_Master!B:B,"Not on master")</f>
        <v>0</v>
      </c>
      <c r="G1084" cm="1">
        <f t="array" ref="G1084">_xlfn.XLOOKUP(C1084,Account_Master!A:A,Account_Master!C:C,"Not on master")</f>
        <v>0</v>
      </c>
      <c r="H1084" s="6">
        <v>38.25</v>
      </c>
      <c r="I1084" s="6">
        <v>38.25</v>
      </c>
      <c r="J1084" s="6">
        <f>I1084-H1084</f>
        <v>0</v>
      </c>
      <c r="K1084" s="5">
        <f>IF(H1084=0,"",J1084/H1084)</f>
        <v>0</v>
      </c>
      <c r="L1084">
        <f>IF(OR(AND(H1084=0,ABS(J1084)&gt;=0.01),AND(H1084&lt;&gt;0,ABS(K1084)&gt;VarianceThreshold)),"Review","OK")</f>
        <v>0</v>
      </c>
      <c r="M1084" t="s">
        <v>33</v>
      </c>
    </row>
    <row r="1085" spans="1:13">
      <c r="A1085" t="s">
        <v>1</v>
      </c>
      <c r="B1085" t="s">
        <v>574</v>
      </c>
      <c r="C1085" t="s">
        <v>1347</v>
      </c>
      <c r="D1085" t="s">
        <v>280</v>
      </c>
      <c r="E1085" cm="1">
        <f t="array" ref="E1085">_xlfn.XLOOKUP(D1085,SKU_Master!A:A,SKU_Master!B:B,"Not on master")</f>
        <v>0</v>
      </c>
      <c r="F1085" cm="1">
        <f t="array" ref="F1085">_xlfn.XLOOKUP(C1085,Account_Master!A:A,Account_Master!B:B,"Not on master")</f>
        <v>0</v>
      </c>
      <c r="G1085" cm="1">
        <f t="array" ref="G1085">_xlfn.XLOOKUP(C1085,Account_Master!A:A,Account_Master!C:C,"Not on master")</f>
        <v>0</v>
      </c>
      <c r="H1085" s="6">
        <v>2.25</v>
      </c>
      <c r="I1085" s="6">
        <v>2.25</v>
      </c>
      <c r="J1085" s="6">
        <f>I1085-H1085</f>
        <v>0</v>
      </c>
      <c r="K1085" s="5">
        <f>IF(H1085=0,"",J1085/H1085)</f>
        <v>0</v>
      </c>
      <c r="L1085">
        <f>IF(OR(AND(H1085=0,ABS(J1085)&gt;=0.01),AND(H1085&lt;&gt;0,ABS(K1085)&gt;VarianceThreshold)),"Review","OK")</f>
        <v>0</v>
      </c>
      <c r="M1085" t="s">
        <v>33</v>
      </c>
    </row>
    <row r="1086" spans="1:13">
      <c r="A1086" t="s">
        <v>1</v>
      </c>
      <c r="B1086" t="s">
        <v>574</v>
      </c>
      <c r="C1086" t="s">
        <v>1093</v>
      </c>
      <c r="D1086" t="s">
        <v>1348</v>
      </c>
      <c r="E1086" cm="1">
        <f t="array" ref="E1086">_xlfn.XLOOKUP(D1086,SKU_Master!A:A,SKU_Master!B:B,"Not on master")</f>
        <v>0</v>
      </c>
      <c r="F1086" cm="1">
        <f t="array" ref="F1086">_xlfn.XLOOKUP(C1086,Account_Master!A:A,Account_Master!B:B,"Not on master")</f>
        <v>0</v>
      </c>
      <c r="G1086" cm="1">
        <f t="array" ref="G1086">_xlfn.XLOOKUP(C1086,Account_Master!A:A,Account_Master!C:C,"Not on master")</f>
        <v>0</v>
      </c>
      <c r="H1086" s="6">
        <v>4</v>
      </c>
      <c r="I1086" s="6">
        <v>4</v>
      </c>
      <c r="J1086" s="6">
        <f>I1086-H1086</f>
        <v>0</v>
      </c>
      <c r="K1086" s="5">
        <f>IF(H1086=0,"",J1086/H1086)</f>
        <v>0</v>
      </c>
      <c r="L1086">
        <f>IF(OR(AND(H1086=0,ABS(J1086)&gt;=0.01),AND(H1086&lt;&gt;0,ABS(K1086)&gt;VarianceThreshold)),"Review","OK")</f>
        <v>0</v>
      </c>
      <c r="M1086" t="s">
        <v>33</v>
      </c>
    </row>
    <row r="1087" spans="1:13">
      <c r="A1087" t="s">
        <v>1</v>
      </c>
      <c r="B1087" t="s">
        <v>574</v>
      </c>
      <c r="C1087" t="s">
        <v>1018</v>
      </c>
      <c r="D1087" t="s">
        <v>1349</v>
      </c>
      <c r="E1087" cm="1">
        <f t="array" ref="E1087">_xlfn.XLOOKUP(D1087,SKU_Master!A:A,SKU_Master!B:B,"Not on master")</f>
        <v>0</v>
      </c>
      <c r="F1087" cm="1">
        <f t="array" ref="F1087">_xlfn.XLOOKUP(C1087,Account_Master!A:A,Account_Master!B:B,"Not on master")</f>
        <v>0</v>
      </c>
      <c r="G1087" cm="1">
        <f t="array" ref="G1087">_xlfn.XLOOKUP(C1087,Account_Master!A:A,Account_Master!C:C,"Not on master")</f>
        <v>0</v>
      </c>
      <c r="H1087" s="6">
        <v>33</v>
      </c>
      <c r="I1087" s="6">
        <v>33</v>
      </c>
      <c r="J1087" s="6">
        <f>I1087-H1087</f>
        <v>0</v>
      </c>
      <c r="K1087" s="5">
        <f>IF(H1087=0,"",J1087/H1087)</f>
        <v>0</v>
      </c>
      <c r="L1087">
        <f>IF(OR(AND(H1087=0,ABS(J1087)&gt;=0.01),AND(H1087&lt;&gt;0,ABS(K1087)&gt;VarianceThreshold)),"Review","OK")</f>
        <v>0</v>
      </c>
      <c r="M1087" t="s">
        <v>33</v>
      </c>
    </row>
    <row r="1088" spans="1:13">
      <c r="A1088" t="s">
        <v>1</v>
      </c>
      <c r="B1088" t="s">
        <v>585</v>
      </c>
      <c r="C1088" t="s">
        <v>1350</v>
      </c>
      <c r="D1088" t="s">
        <v>1351</v>
      </c>
      <c r="E1088" cm="1">
        <f t="array" ref="E1088">_xlfn.XLOOKUP(D1088,SKU_Master!A:A,SKU_Master!B:B,"Not on master")</f>
        <v>0</v>
      </c>
      <c r="F1088" cm="1">
        <f t="array" ref="F1088">_xlfn.XLOOKUP(C1088,Account_Master!A:A,Account_Master!B:B,"Not on master")</f>
        <v>0</v>
      </c>
      <c r="G1088" cm="1">
        <f t="array" ref="G1088">_xlfn.XLOOKUP(C1088,Account_Master!A:A,Account_Master!C:C,"Not on master")</f>
        <v>0</v>
      </c>
      <c r="H1088" s="6">
        <v>57.75</v>
      </c>
      <c r="I1088" s="6">
        <v>57.75</v>
      </c>
      <c r="J1088" s="6">
        <f>I1088-H1088</f>
        <v>0</v>
      </c>
      <c r="K1088" s="5">
        <f>IF(H1088=0,"",J1088/H1088)</f>
        <v>0</v>
      </c>
      <c r="L1088">
        <f>IF(OR(AND(H1088=0,ABS(J1088)&gt;=0.01),AND(H1088&lt;&gt;0,ABS(K1088)&gt;VarianceThreshold)),"Review","OK")</f>
        <v>0</v>
      </c>
      <c r="M1088" t="s">
        <v>33</v>
      </c>
    </row>
    <row r="1089" spans="1:13">
      <c r="A1089" t="s">
        <v>1</v>
      </c>
      <c r="B1089" t="s">
        <v>585</v>
      </c>
      <c r="C1089" t="s">
        <v>1112</v>
      </c>
      <c r="D1089" t="s">
        <v>1352</v>
      </c>
      <c r="E1089" cm="1">
        <f t="array" ref="E1089">_xlfn.XLOOKUP(D1089,SKU_Master!A:A,SKU_Master!B:B,"Not on master")</f>
        <v>0</v>
      </c>
      <c r="F1089" cm="1">
        <f t="array" ref="F1089">_xlfn.XLOOKUP(C1089,Account_Master!A:A,Account_Master!B:B,"Not on master")</f>
        <v>0</v>
      </c>
      <c r="G1089" cm="1">
        <f t="array" ref="G1089">_xlfn.XLOOKUP(C1089,Account_Master!A:A,Account_Master!C:C,"Not on master")</f>
        <v>0</v>
      </c>
      <c r="H1089" s="6">
        <v>12.75</v>
      </c>
      <c r="I1089" s="6">
        <v>12.75</v>
      </c>
      <c r="J1089" s="6">
        <f>I1089-H1089</f>
        <v>0</v>
      </c>
      <c r="K1089" s="5">
        <f>IF(H1089=0,"",J1089/H1089)</f>
        <v>0</v>
      </c>
      <c r="L1089">
        <f>IF(OR(AND(H1089=0,ABS(J1089)&gt;=0.01),AND(H1089&lt;&gt;0,ABS(K1089)&gt;VarianceThreshold)),"Review","OK")</f>
        <v>0</v>
      </c>
      <c r="M1089" t="s">
        <v>33</v>
      </c>
    </row>
    <row r="1090" spans="1:13">
      <c r="A1090" t="s">
        <v>1</v>
      </c>
      <c r="B1090" t="s">
        <v>585</v>
      </c>
      <c r="C1090" t="s">
        <v>1353</v>
      </c>
      <c r="D1090" t="s">
        <v>1354</v>
      </c>
      <c r="E1090" cm="1">
        <f t="array" ref="E1090">_xlfn.XLOOKUP(D1090,SKU_Master!A:A,SKU_Master!B:B,"Not on master")</f>
        <v>0</v>
      </c>
      <c r="F1090" cm="1">
        <f t="array" ref="F1090">_xlfn.XLOOKUP(C1090,Account_Master!A:A,Account_Master!B:B,"Not on master")</f>
        <v>0</v>
      </c>
      <c r="G1090" cm="1">
        <f t="array" ref="G1090">_xlfn.XLOOKUP(C1090,Account_Master!A:A,Account_Master!C:C,"Not on master")</f>
        <v>0</v>
      </c>
      <c r="H1090" s="6">
        <v>1.5</v>
      </c>
      <c r="I1090" s="6">
        <v>1.5</v>
      </c>
      <c r="J1090" s="6">
        <f>I1090-H1090</f>
        <v>0</v>
      </c>
      <c r="K1090" s="5">
        <f>IF(H1090=0,"",J1090/H1090)</f>
        <v>0</v>
      </c>
      <c r="L1090">
        <f>IF(OR(AND(H1090=0,ABS(J1090)&gt;=0.01),AND(H1090&lt;&gt;0,ABS(K1090)&gt;VarianceThreshold)),"Review","OK")</f>
        <v>0</v>
      </c>
      <c r="M1090" t="s">
        <v>33</v>
      </c>
    </row>
    <row r="1091" spans="1:13">
      <c r="A1091" t="s">
        <v>1</v>
      </c>
      <c r="B1091" t="s">
        <v>594</v>
      </c>
      <c r="C1091" t="s">
        <v>1044</v>
      </c>
      <c r="D1091" t="s">
        <v>994</v>
      </c>
      <c r="E1091" cm="1">
        <f t="array" ref="E1091">_xlfn.XLOOKUP(D1091,SKU_Master!A:A,SKU_Master!B:B,"Not on master")</f>
        <v>0</v>
      </c>
      <c r="F1091" cm="1">
        <f t="array" ref="F1091">_xlfn.XLOOKUP(C1091,Account_Master!A:A,Account_Master!B:B,"Not on master")</f>
        <v>0</v>
      </c>
      <c r="G1091" cm="1">
        <f t="array" ref="G1091">_xlfn.XLOOKUP(C1091,Account_Master!A:A,Account_Master!C:C,"Not on master")</f>
        <v>0</v>
      </c>
      <c r="H1091" s="6">
        <v>15.75</v>
      </c>
      <c r="I1091" s="6">
        <v>15.75</v>
      </c>
      <c r="J1091" s="6">
        <f>I1091-H1091</f>
        <v>0</v>
      </c>
      <c r="K1091" s="5">
        <f>IF(H1091=0,"",J1091/H1091)</f>
        <v>0</v>
      </c>
      <c r="L1091">
        <f>IF(OR(AND(H1091=0,ABS(J1091)&gt;=0.01),AND(H1091&lt;&gt;0,ABS(K1091)&gt;VarianceThreshold)),"Review","OK")</f>
        <v>0</v>
      </c>
      <c r="M1091" t="s">
        <v>33</v>
      </c>
    </row>
    <row r="1092" spans="1:13">
      <c r="A1092" t="s">
        <v>1</v>
      </c>
      <c r="B1092" t="s">
        <v>594</v>
      </c>
      <c r="C1092" t="s">
        <v>1034</v>
      </c>
      <c r="D1092" t="s">
        <v>1355</v>
      </c>
      <c r="E1092" cm="1">
        <f t="array" ref="E1092">_xlfn.XLOOKUP(D1092,SKU_Master!A:A,SKU_Master!B:B,"Not on master")</f>
        <v>0</v>
      </c>
      <c r="F1092" cm="1">
        <f t="array" ref="F1092">_xlfn.XLOOKUP(C1092,Account_Master!A:A,Account_Master!B:B,"Not on master")</f>
        <v>0</v>
      </c>
      <c r="G1092" cm="1">
        <f t="array" ref="G1092">_xlfn.XLOOKUP(C1092,Account_Master!A:A,Account_Master!C:C,"Not on master")</f>
        <v>0</v>
      </c>
      <c r="H1092" s="6">
        <v>0.75</v>
      </c>
      <c r="I1092" s="6">
        <v>0.75</v>
      </c>
      <c r="J1092" s="6">
        <f>I1092-H1092</f>
        <v>0</v>
      </c>
      <c r="K1092" s="5">
        <f>IF(H1092=0,"",J1092/H1092)</f>
        <v>0</v>
      </c>
      <c r="L1092">
        <f>IF(OR(AND(H1092=0,ABS(J1092)&gt;=0.01),AND(H1092&lt;&gt;0,ABS(K1092)&gt;VarianceThreshold)),"Review","OK")</f>
        <v>0</v>
      </c>
      <c r="M1092" t="s">
        <v>33</v>
      </c>
    </row>
    <row r="1093" spans="1:13">
      <c r="A1093" t="s">
        <v>1</v>
      </c>
      <c r="B1093" t="s">
        <v>594</v>
      </c>
      <c r="C1093" t="s">
        <v>1034</v>
      </c>
      <c r="D1093" t="s">
        <v>1356</v>
      </c>
      <c r="E1093" cm="1">
        <f t="array" ref="E1093">_xlfn.XLOOKUP(D1093,SKU_Master!A:A,SKU_Master!B:B,"Not on master")</f>
        <v>0</v>
      </c>
      <c r="F1093" cm="1">
        <f t="array" ref="F1093">_xlfn.XLOOKUP(C1093,Account_Master!A:A,Account_Master!B:B,"Not on master")</f>
        <v>0</v>
      </c>
      <c r="G1093" cm="1">
        <f t="array" ref="G1093">_xlfn.XLOOKUP(C1093,Account_Master!A:A,Account_Master!C:C,"Not on master")</f>
        <v>0</v>
      </c>
      <c r="H1093" s="6">
        <v>4.5</v>
      </c>
      <c r="I1093" s="6">
        <v>4.5</v>
      </c>
      <c r="J1093" s="6">
        <f>I1093-H1093</f>
        <v>0</v>
      </c>
      <c r="K1093" s="5">
        <f>IF(H1093=0,"",J1093/H1093)</f>
        <v>0</v>
      </c>
      <c r="L1093">
        <f>IF(OR(AND(H1093=0,ABS(J1093)&gt;=0.01),AND(H1093&lt;&gt;0,ABS(K1093)&gt;VarianceThreshold)),"Review","OK")</f>
        <v>0</v>
      </c>
      <c r="M1093" t="s">
        <v>33</v>
      </c>
    </row>
    <row r="1094" spans="1:13">
      <c r="A1094" t="s">
        <v>1</v>
      </c>
      <c r="B1094" t="s">
        <v>594</v>
      </c>
      <c r="C1094" t="s">
        <v>1018</v>
      </c>
      <c r="D1094" t="s">
        <v>420</v>
      </c>
      <c r="E1094" cm="1">
        <f t="array" ref="E1094">_xlfn.XLOOKUP(D1094,SKU_Master!A:A,SKU_Master!B:B,"Not on master")</f>
        <v>0</v>
      </c>
      <c r="F1094" cm="1">
        <f t="array" ref="F1094">_xlfn.XLOOKUP(C1094,Account_Master!A:A,Account_Master!B:B,"Not on master")</f>
        <v>0</v>
      </c>
      <c r="G1094" cm="1">
        <f t="array" ref="G1094">_xlfn.XLOOKUP(C1094,Account_Master!A:A,Account_Master!C:C,"Not on master")</f>
        <v>0</v>
      </c>
      <c r="H1094" s="6">
        <v>31.5</v>
      </c>
      <c r="I1094" s="6">
        <v>31.5</v>
      </c>
      <c r="J1094" s="6">
        <f>I1094-H1094</f>
        <v>0</v>
      </c>
      <c r="K1094" s="5">
        <f>IF(H1094=0,"",J1094/H1094)</f>
        <v>0</v>
      </c>
      <c r="L1094">
        <f>IF(OR(AND(H1094=0,ABS(J1094)&gt;=0.01),AND(H1094&lt;&gt;0,ABS(K1094)&gt;VarianceThreshold)),"Review","OK")</f>
        <v>0</v>
      </c>
      <c r="M1094" t="s">
        <v>33</v>
      </c>
    </row>
    <row r="1095" spans="1:13">
      <c r="A1095" t="s">
        <v>1</v>
      </c>
      <c r="B1095" t="s">
        <v>594</v>
      </c>
      <c r="C1095" t="s">
        <v>1135</v>
      </c>
      <c r="D1095" t="s">
        <v>504</v>
      </c>
      <c r="E1095" cm="1">
        <f t="array" ref="E1095">_xlfn.XLOOKUP(D1095,SKU_Master!A:A,SKU_Master!B:B,"Not on master")</f>
        <v>0</v>
      </c>
      <c r="F1095" cm="1">
        <f t="array" ref="F1095">_xlfn.XLOOKUP(C1095,Account_Master!A:A,Account_Master!B:B,"Not on master")</f>
        <v>0</v>
      </c>
      <c r="G1095" cm="1">
        <f t="array" ref="G1095">_xlfn.XLOOKUP(C1095,Account_Master!A:A,Account_Master!C:C,"Not on master")</f>
        <v>0</v>
      </c>
      <c r="H1095" s="6">
        <v>3.75</v>
      </c>
      <c r="I1095" s="6">
        <v>3.75</v>
      </c>
      <c r="J1095" s="6">
        <f>I1095-H1095</f>
        <v>0</v>
      </c>
      <c r="K1095" s="5">
        <f>IF(H1095=0,"",J1095/H1095)</f>
        <v>0</v>
      </c>
      <c r="L1095">
        <f>IF(OR(AND(H1095=0,ABS(J1095)&gt;=0.01),AND(H1095&lt;&gt;0,ABS(K1095)&gt;VarianceThreshold)),"Review","OK")</f>
        <v>0</v>
      </c>
      <c r="M1095" t="s">
        <v>33</v>
      </c>
    </row>
    <row r="1096" spans="1:13">
      <c r="A1096" t="s">
        <v>1</v>
      </c>
      <c r="B1096" t="s">
        <v>594</v>
      </c>
      <c r="C1096" t="s">
        <v>1357</v>
      </c>
      <c r="D1096" t="s">
        <v>1358</v>
      </c>
      <c r="E1096" cm="1">
        <f t="array" ref="E1096">_xlfn.XLOOKUP(D1096,SKU_Master!A:A,SKU_Master!B:B,"Not on master")</f>
        <v>0</v>
      </c>
      <c r="F1096" cm="1">
        <f t="array" ref="F1096">_xlfn.XLOOKUP(C1096,Account_Master!A:A,Account_Master!B:B,"Not on master")</f>
        <v>0</v>
      </c>
      <c r="G1096" cm="1">
        <f t="array" ref="G1096">_xlfn.XLOOKUP(C1096,Account_Master!A:A,Account_Master!C:C,"Not on master")</f>
        <v>0</v>
      </c>
      <c r="H1096" s="6">
        <v>51</v>
      </c>
      <c r="I1096" s="6">
        <v>51</v>
      </c>
      <c r="J1096" s="6">
        <f>I1096-H1096</f>
        <v>0</v>
      </c>
      <c r="K1096" s="5">
        <f>IF(H1096=0,"",J1096/H1096)</f>
        <v>0</v>
      </c>
      <c r="L1096">
        <f>IF(OR(AND(H1096=0,ABS(J1096)&gt;=0.01),AND(H1096&lt;&gt;0,ABS(K1096)&gt;VarianceThreshold)),"Review","OK")</f>
        <v>0</v>
      </c>
      <c r="M1096" t="s">
        <v>33</v>
      </c>
    </row>
    <row r="1097" spans="1:13">
      <c r="A1097" t="s">
        <v>1</v>
      </c>
      <c r="B1097" t="s">
        <v>594</v>
      </c>
      <c r="C1097" t="s">
        <v>1353</v>
      </c>
      <c r="D1097" t="s">
        <v>897</v>
      </c>
      <c r="E1097" cm="1">
        <f t="array" ref="E1097">_xlfn.XLOOKUP(D1097,SKU_Master!A:A,SKU_Master!B:B,"Not on master")</f>
        <v>0</v>
      </c>
      <c r="F1097" cm="1">
        <f t="array" ref="F1097">_xlfn.XLOOKUP(C1097,Account_Master!A:A,Account_Master!B:B,"Not on master")</f>
        <v>0</v>
      </c>
      <c r="G1097" cm="1">
        <f t="array" ref="G1097">_xlfn.XLOOKUP(C1097,Account_Master!A:A,Account_Master!C:C,"Not on master")</f>
        <v>0</v>
      </c>
      <c r="H1097" s="6">
        <v>0.75</v>
      </c>
      <c r="I1097" s="6">
        <v>0.75</v>
      </c>
      <c r="J1097" s="6">
        <f>I1097-H1097</f>
        <v>0</v>
      </c>
      <c r="K1097" s="5">
        <f>IF(H1097=0,"",J1097/H1097)</f>
        <v>0</v>
      </c>
      <c r="L1097">
        <f>IF(OR(AND(H1097=0,ABS(J1097)&gt;=0.01),AND(H1097&lt;&gt;0,ABS(K1097)&gt;VarianceThreshold)),"Review","OK")</f>
        <v>0</v>
      </c>
      <c r="M1097" t="s">
        <v>33</v>
      </c>
    </row>
    <row r="1098" spans="1:13">
      <c r="A1098" t="s">
        <v>1</v>
      </c>
      <c r="B1098" t="s">
        <v>594</v>
      </c>
      <c r="C1098" t="s">
        <v>1010</v>
      </c>
      <c r="D1098" t="s">
        <v>1359</v>
      </c>
      <c r="E1098" cm="1">
        <f t="array" ref="E1098">_xlfn.XLOOKUP(D1098,SKU_Master!A:A,SKU_Master!B:B,"Not on master")</f>
        <v>0</v>
      </c>
      <c r="F1098" cm="1">
        <f t="array" ref="F1098">_xlfn.XLOOKUP(C1098,Account_Master!A:A,Account_Master!B:B,"Not on master")</f>
        <v>0</v>
      </c>
      <c r="G1098" cm="1">
        <f t="array" ref="G1098">_xlfn.XLOOKUP(C1098,Account_Master!A:A,Account_Master!C:C,"Not on master")</f>
        <v>0</v>
      </c>
      <c r="H1098" s="6">
        <v>2.25</v>
      </c>
      <c r="I1098" s="6">
        <v>2.25</v>
      </c>
      <c r="J1098" s="6">
        <f>I1098-H1098</f>
        <v>0</v>
      </c>
      <c r="K1098" s="5">
        <f>IF(H1098=0,"",J1098/H1098)</f>
        <v>0</v>
      </c>
      <c r="L1098">
        <f>IF(OR(AND(H1098=0,ABS(J1098)&gt;=0.01),AND(H1098&lt;&gt;0,ABS(K1098)&gt;VarianceThreshold)),"Review","OK")</f>
        <v>0</v>
      </c>
      <c r="M1098" t="s">
        <v>33</v>
      </c>
    </row>
    <row r="1099" spans="1:13">
      <c r="A1099" t="s">
        <v>1</v>
      </c>
      <c r="B1099" t="s">
        <v>594</v>
      </c>
      <c r="C1099" t="s">
        <v>1059</v>
      </c>
      <c r="D1099" t="s">
        <v>841</v>
      </c>
      <c r="E1099" cm="1">
        <f t="array" ref="E1099">_xlfn.XLOOKUP(D1099,SKU_Master!A:A,SKU_Master!B:B,"Not on master")</f>
        <v>0</v>
      </c>
      <c r="F1099" cm="1">
        <f t="array" ref="F1099">_xlfn.XLOOKUP(C1099,Account_Master!A:A,Account_Master!B:B,"Not on master")</f>
        <v>0</v>
      </c>
      <c r="G1099" cm="1">
        <f t="array" ref="G1099">_xlfn.XLOOKUP(C1099,Account_Master!A:A,Account_Master!C:C,"Not on master")</f>
        <v>0</v>
      </c>
      <c r="H1099" s="6">
        <v>31.5</v>
      </c>
      <c r="I1099" s="6">
        <v>31.5</v>
      </c>
      <c r="J1099" s="6">
        <f>I1099-H1099</f>
        <v>0</v>
      </c>
      <c r="K1099" s="5">
        <f>IF(H1099=0,"",J1099/H1099)</f>
        <v>0</v>
      </c>
      <c r="L1099">
        <f>IF(OR(AND(H1099=0,ABS(J1099)&gt;=0.01),AND(H1099&lt;&gt;0,ABS(K1099)&gt;VarianceThreshold)),"Review","OK")</f>
        <v>0</v>
      </c>
      <c r="M1099" t="s">
        <v>33</v>
      </c>
    </row>
    <row r="1100" spans="1:13">
      <c r="A1100" t="s">
        <v>1</v>
      </c>
      <c r="B1100" t="s">
        <v>594</v>
      </c>
      <c r="C1100" t="s">
        <v>1010</v>
      </c>
      <c r="D1100" t="s">
        <v>1360</v>
      </c>
      <c r="E1100" cm="1">
        <f t="array" ref="E1100">_xlfn.XLOOKUP(D1100,SKU_Master!A:A,SKU_Master!B:B,"Not on master")</f>
        <v>0</v>
      </c>
      <c r="F1100" cm="1">
        <f t="array" ref="F1100">_xlfn.XLOOKUP(C1100,Account_Master!A:A,Account_Master!B:B,"Not on master")</f>
        <v>0</v>
      </c>
      <c r="G1100" cm="1">
        <f t="array" ref="G1100">_xlfn.XLOOKUP(C1100,Account_Master!A:A,Account_Master!C:C,"Not on master")</f>
        <v>0</v>
      </c>
      <c r="H1100" s="6">
        <v>46.5</v>
      </c>
      <c r="I1100" s="6">
        <v>46.5</v>
      </c>
      <c r="J1100" s="6">
        <f>I1100-H1100</f>
        <v>0</v>
      </c>
      <c r="K1100" s="5">
        <f>IF(H1100=0,"",J1100/H1100)</f>
        <v>0</v>
      </c>
      <c r="L1100">
        <f>IF(OR(AND(H1100=0,ABS(J1100)&gt;=0.01),AND(H1100&lt;&gt;0,ABS(K1100)&gt;VarianceThreshold)),"Review","OK")</f>
        <v>0</v>
      </c>
      <c r="M1100" t="s">
        <v>33</v>
      </c>
    </row>
    <row r="1101" spans="1:13">
      <c r="A1101" t="s">
        <v>1</v>
      </c>
      <c r="B1101" t="s">
        <v>594</v>
      </c>
      <c r="C1101" t="s">
        <v>1032</v>
      </c>
      <c r="D1101" t="s">
        <v>1361</v>
      </c>
      <c r="E1101" cm="1">
        <f t="array" ref="E1101">_xlfn.XLOOKUP(D1101,SKU_Master!A:A,SKU_Master!B:B,"Not on master")</f>
        <v>0</v>
      </c>
      <c r="F1101" cm="1">
        <f t="array" ref="F1101">_xlfn.XLOOKUP(C1101,Account_Master!A:A,Account_Master!B:B,"Not on master")</f>
        <v>0</v>
      </c>
      <c r="G1101" cm="1">
        <f t="array" ref="G1101">_xlfn.XLOOKUP(C1101,Account_Master!A:A,Account_Master!C:C,"Not on master")</f>
        <v>0</v>
      </c>
      <c r="H1101" s="6">
        <v>4.5</v>
      </c>
      <c r="I1101" s="6">
        <v>4.5</v>
      </c>
      <c r="J1101" s="6">
        <f>I1101-H1101</f>
        <v>0</v>
      </c>
      <c r="K1101" s="5">
        <f>IF(H1101=0,"",J1101/H1101)</f>
        <v>0</v>
      </c>
      <c r="L1101">
        <f>IF(OR(AND(H1101=0,ABS(J1101)&gt;=0.01),AND(H1101&lt;&gt;0,ABS(K1101)&gt;VarianceThreshold)),"Review","OK")</f>
        <v>0</v>
      </c>
      <c r="M1101" t="s">
        <v>33</v>
      </c>
    </row>
    <row r="1102" spans="1:13">
      <c r="A1102" t="s">
        <v>1</v>
      </c>
      <c r="B1102" t="s">
        <v>607</v>
      </c>
      <c r="C1102" t="s">
        <v>1053</v>
      </c>
      <c r="D1102" t="s">
        <v>610</v>
      </c>
      <c r="E1102" cm="1">
        <f t="array" ref="E1102">_xlfn.XLOOKUP(D1102,SKU_Master!A:A,SKU_Master!B:B,"Not on master")</f>
        <v>0</v>
      </c>
      <c r="F1102" cm="1">
        <f t="array" ref="F1102">_xlfn.XLOOKUP(C1102,Account_Master!A:A,Account_Master!B:B,"Not on master")</f>
        <v>0</v>
      </c>
      <c r="G1102" cm="1">
        <f t="array" ref="G1102">_xlfn.XLOOKUP(C1102,Account_Master!A:A,Account_Master!C:C,"Not on master")</f>
        <v>0</v>
      </c>
      <c r="H1102" s="6">
        <v>18</v>
      </c>
      <c r="I1102" s="6">
        <v>18</v>
      </c>
      <c r="J1102" s="6">
        <f>I1102-H1102</f>
        <v>0</v>
      </c>
      <c r="K1102" s="5">
        <f>IF(H1102=0,"",J1102/H1102)</f>
        <v>0</v>
      </c>
      <c r="L1102">
        <f>IF(OR(AND(H1102=0,ABS(J1102)&gt;=0.01),AND(H1102&lt;&gt;0,ABS(K1102)&gt;VarianceThreshold)),"Review","OK")</f>
        <v>0</v>
      </c>
      <c r="M1102" t="s">
        <v>33</v>
      </c>
    </row>
    <row r="1103" spans="1:13">
      <c r="A1103" t="s">
        <v>1</v>
      </c>
      <c r="B1103" t="s">
        <v>607</v>
      </c>
      <c r="C1103" t="s">
        <v>1053</v>
      </c>
      <c r="D1103" t="s">
        <v>909</v>
      </c>
      <c r="E1103" cm="1">
        <f t="array" ref="E1103">_xlfn.XLOOKUP(D1103,SKU_Master!A:A,SKU_Master!B:B,"Not on master")</f>
        <v>0</v>
      </c>
      <c r="F1103" cm="1">
        <f t="array" ref="F1103">_xlfn.XLOOKUP(C1103,Account_Master!A:A,Account_Master!B:B,"Not on master")</f>
        <v>0</v>
      </c>
      <c r="G1103" cm="1">
        <f t="array" ref="G1103">_xlfn.XLOOKUP(C1103,Account_Master!A:A,Account_Master!C:C,"Not on master")</f>
        <v>0</v>
      </c>
      <c r="H1103" s="6">
        <v>9</v>
      </c>
      <c r="I1103" s="6">
        <v>9</v>
      </c>
      <c r="J1103" s="6">
        <f>I1103-H1103</f>
        <v>0</v>
      </c>
      <c r="K1103" s="5">
        <f>IF(H1103=0,"",J1103/H1103)</f>
        <v>0</v>
      </c>
      <c r="L1103">
        <f>IF(OR(AND(H1103=0,ABS(J1103)&gt;=0.01),AND(H1103&lt;&gt;0,ABS(K1103)&gt;VarianceThreshold)),"Review","OK")</f>
        <v>0</v>
      </c>
      <c r="M1103" t="s">
        <v>33</v>
      </c>
    </row>
    <row r="1104" spans="1:13">
      <c r="A1104" t="s">
        <v>1</v>
      </c>
      <c r="B1104" t="s">
        <v>607</v>
      </c>
      <c r="C1104" t="s">
        <v>1345</v>
      </c>
      <c r="D1104" t="s">
        <v>1362</v>
      </c>
      <c r="E1104" cm="1">
        <f t="array" ref="E1104">_xlfn.XLOOKUP(D1104,SKU_Master!A:A,SKU_Master!B:B,"Not on master")</f>
        <v>0</v>
      </c>
      <c r="F1104" cm="1">
        <f t="array" ref="F1104">_xlfn.XLOOKUP(C1104,Account_Master!A:A,Account_Master!B:B,"Not on master")</f>
        <v>0</v>
      </c>
      <c r="G1104" cm="1">
        <f t="array" ref="G1104">_xlfn.XLOOKUP(C1104,Account_Master!A:A,Account_Master!C:C,"Not on master")</f>
        <v>0</v>
      </c>
      <c r="H1104" s="6">
        <v>55.12</v>
      </c>
      <c r="I1104" s="6">
        <v>55.12</v>
      </c>
      <c r="J1104" s="6">
        <f>I1104-H1104</f>
        <v>0</v>
      </c>
      <c r="K1104" s="5">
        <f>IF(H1104=0,"",J1104/H1104)</f>
        <v>0</v>
      </c>
      <c r="L1104">
        <f>IF(OR(AND(H1104=0,ABS(J1104)&gt;=0.01),AND(H1104&lt;&gt;0,ABS(K1104)&gt;VarianceThreshold)),"Review","OK")</f>
        <v>0</v>
      </c>
      <c r="M1104" t="s">
        <v>33</v>
      </c>
    </row>
    <row r="1105" spans="1:13">
      <c r="A1105" t="s">
        <v>1</v>
      </c>
      <c r="B1105" t="s">
        <v>607</v>
      </c>
      <c r="C1105" t="s">
        <v>1299</v>
      </c>
      <c r="D1105" t="s">
        <v>825</v>
      </c>
      <c r="E1105" cm="1">
        <f t="array" ref="E1105">_xlfn.XLOOKUP(D1105,SKU_Master!A:A,SKU_Master!B:B,"Not on master")</f>
        <v>0</v>
      </c>
      <c r="F1105" cm="1">
        <f t="array" ref="F1105">_xlfn.XLOOKUP(C1105,Account_Master!A:A,Account_Master!B:B,"Not on master")</f>
        <v>0</v>
      </c>
      <c r="G1105" cm="1">
        <f t="array" ref="G1105">_xlfn.XLOOKUP(C1105,Account_Master!A:A,Account_Master!C:C,"Not on master")</f>
        <v>0</v>
      </c>
      <c r="H1105" s="6">
        <v>4.5</v>
      </c>
      <c r="I1105" s="6">
        <v>4.5</v>
      </c>
      <c r="J1105" s="6">
        <f>I1105-H1105</f>
        <v>0</v>
      </c>
      <c r="K1105" s="5">
        <f>IF(H1105=0,"",J1105/H1105)</f>
        <v>0</v>
      </c>
      <c r="L1105">
        <f>IF(OR(AND(H1105=0,ABS(J1105)&gt;=0.01),AND(H1105&lt;&gt;0,ABS(K1105)&gt;VarianceThreshold)),"Review","OK")</f>
        <v>0</v>
      </c>
      <c r="M1105" t="s">
        <v>33</v>
      </c>
    </row>
    <row r="1106" spans="1:13">
      <c r="A1106" t="s">
        <v>1</v>
      </c>
      <c r="B1106" t="s">
        <v>615</v>
      </c>
      <c r="C1106" t="s">
        <v>1276</v>
      </c>
      <c r="D1106" t="s">
        <v>1363</v>
      </c>
      <c r="E1106" cm="1">
        <f t="array" ref="E1106">_xlfn.XLOOKUP(D1106,SKU_Master!A:A,SKU_Master!B:B,"Not on master")</f>
        <v>0</v>
      </c>
      <c r="F1106" cm="1">
        <f t="array" ref="F1106">_xlfn.XLOOKUP(C1106,Account_Master!A:A,Account_Master!B:B,"Not on master")</f>
        <v>0</v>
      </c>
      <c r="G1106" cm="1">
        <f t="array" ref="G1106">_xlfn.XLOOKUP(C1106,Account_Master!A:A,Account_Master!C:C,"Not on master")</f>
        <v>0</v>
      </c>
      <c r="H1106" s="6">
        <v>27</v>
      </c>
      <c r="I1106" s="6">
        <v>27</v>
      </c>
      <c r="J1106" s="6">
        <f>I1106-H1106</f>
        <v>0</v>
      </c>
      <c r="K1106" s="5">
        <f>IF(H1106=0,"",J1106/H1106)</f>
        <v>0</v>
      </c>
      <c r="L1106">
        <f>IF(OR(AND(H1106=0,ABS(J1106)&gt;=0.01),AND(H1106&lt;&gt;0,ABS(K1106)&gt;VarianceThreshold)),"Review","OK")</f>
        <v>0</v>
      </c>
      <c r="M1106" t="s">
        <v>33</v>
      </c>
    </row>
    <row r="1107" spans="1:13">
      <c r="A1107" t="s">
        <v>1</v>
      </c>
      <c r="B1107" t="s">
        <v>615</v>
      </c>
      <c r="C1107" t="s">
        <v>1018</v>
      </c>
      <c r="D1107" t="s">
        <v>572</v>
      </c>
      <c r="E1107" cm="1">
        <f t="array" ref="E1107">_xlfn.XLOOKUP(D1107,SKU_Master!A:A,SKU_Master!B:B,"Not on master")</f>
        <v>0</v>
      </c>
      <c r="F1107" cm="1">
        <f t="array" ref="F1107">_xlfn.XLOOKUP(C1107,Account_Master!A:A,Account_Master!B:B,"Not on master")</f>
        <v>0</v>
      </c>
      <c r="G1107" cm="1">
        <f t="array" ref="G1107">_xlfn.XLOOKUP(C1107,Account_Master!A:A,Account_Master!C:C,"Not on master")</f>
        <v>0</v>
      </c>
      <c r="H1107" s="6">
        <v>168</v>
      </c>
      <c r="I1107" s="6">
        <v>168</v>
      </c>
      <c r="J1107" s="6">
        <f>I1107-H1107</f>
        <v>0</v>
      </c>
      <c r="K1107" s="5">
        <f>IF(H1107=0,"",J1107/H1107)</f>
        <v>0</v>
      </c>
      <c r="L1107">
        <f>IF(OR(AND(H1107=0,ABS(J1107)&gt;=0.01),AND(H1107&lt;&gt;0,ABS(K1107)&gt;VarianceThreshold)),"Review","OK")</f>
        <v>0</v>
      </c>
      <c r="M1107" t="s">
        <v>33</v>
      </c>
    </row>
    <row r="1108" spans="1:13">
      <c r="A1108" t="s">
        <v>1</v>
      </c>
      <c r="B1108" t="s">
        <v>615</v>
      </c>
      <c r="C1108" t="s">
        <v>1043</v>
      </c>
      <c r="D1108" t="s">
        <v>1364</v>
      </c>
      <c r="E1108" cm="1">
        <f t="array" ref="E1108">_xlfn.XLOOKUP(D1108,SKU_Master!A:A,SKU_Master!B:B,"Not on master")</f>
        <v>0</v>
      </c>
      <c r="F1108" cm="1">
        <f t="array" ref="F1108">_xlfn.XLOOKUP(C1108,Account_Master!A:A,Account_Master!B:B,"Not on master")</f>
        <v>0</v>
      </c>
      <c r="G1108" cm="1">
        <f t="array" ref="G1108">_xlfn.XLOOKUP(C1108,Account_Master!A:A,Account_Master!C:C,"Not on master")</f>
        <v>0</v>
      </c>
      <c r="H1108" s="6">
        <v>15.75</v>
      </c>
      <c r="I1108" s="6">
        <v>15.75</v>
      </c>
      <c r="J1108" s="6">
        <f>I1108-H1108</f>
        <v>0</v>
      </c>
      <c r="K1108" s="5">
        <f>IF(H1108=0,"",J1108/H1108)</f>
        <v>0</v>
      </c>
      <c r="L1108">
        <f>IF(OR(AND(H1108=0,ABS(J1108)&gt;=0.01),AND(H1108&lt;&gt;0,ABS(K1108)&gt;VarianceThreshold)),"Review","OK")</f>
        <v>0</v>
      </c>
      <c r="M1108" t="s">
        <v>33</v>
      </c>
    </row>
    <row r="1109" spans="1:13">
      <c r="A1109" t="s">
        <v>1</v>
      </c>
      <c r="B1109" t="s">
        <v>615</v>
      </c>
      <c r="C1109" t="s">
        <v>1053</v>
      </c>
      <c r="D1109" t="s">
        <v>998</v>
      </c>
      <c r="E1109" cm="1">
        <f t="array" ref="E1109">_xlfn.XLOOKUP(D1109,SKU_Master!A:A,SKU_Master!B:B,"Not on master")</f>
        <v>0</v>
      </c>
      <c r="F1109" cm="1">
        <f t="array" ref="F1109">_xlfn.XLOOKUP(C1109,Account_Master!A:A,Account_Master!B:B,"Not on master")</f>
        <v>0</v>
      </c>
      <c r="G1109" cm="1">
        <f t="array" ref="G1109">_xlfn.XLOOKUP(C1109,Account_Master!A:A,Account_Master!C:C,"Not on master")</f>
        <v>0</v>
      </c>
      <c r="H1109" s="6">
        <v>27.75</v>
      </c>
      <c r="I1109" s="6">
        <v>27.75</v>
      </c>
      <c r="J1109" s="6">
        <f>I1109-H1109</f>
        <v>0</v>
      </c>
      <c r="K1109" s="5">
        <f>IF(H1109=0,"",J1109/H1109)</f>
        <v>0</v>
      </c>
      <c r="L1109">
        <f>IF(OR(AND(H1109=0,ABS(J1109)&gt;=0.01),AND(H1109&lt;&gt;0,ABS(K1109)&gt;VarianceThreshold)),"Review","OK")</f>
        <v>0</v>
      </c>
      <c r="M1109" t="s">
        <v>33</v>
      </c>
    </row>
    <row r="1110" spans="1:13">
      <c r="A1110" t="s">
        <v>1</v>
      </c>
      <c r="B1110" t="s">
        <v>615</v>
      </c>
      <c r="C1110" t="s">
        <v>1072</v>
      </c>
      <c r="D1110" t="s">
        <v>1365</v>
      </c>
      <c r="E1110" cm="1">
        <f t="array" ref="E1110">_xlfn.XLOOKUP(D1110,SKU_Master!A:A,SKU_Master!B:B,"Not on master")</f>
        <v>0</v>
      </c>
      <c r="F1110" cm="1">
        <f t="array" ref="F1110">_xlfn.XLOOKUP(C1110,Account_Master!A:A,Account_Master!B:B,"Not on master")</f>
        <v>0</v>
      </c>
      <c r="G1110" cm="1">
        <f t="array" ref="G1110">_xlfn.XLOOKUP(C1110,Account_Master!A:A,Account_Master!C:C,"Not on master")</f>
        <v>0</v>
      </c>
      <c r="H1110" s="6">
        <v>1</v>
      </c>
      <c r="I1110" s="6">
        <v>1</v>
      </c>
      <c r="J1110" s="6">
        <f>I1110-H1110</f>
        <v>0</v>
      </c>
      <c r="K1110" s="5">
        <f>IF(H1110=0,"",J1110/H1110)</f>
        <v>0</v>
      </c>
      <c r="L1110">
        <f>IF(OR(AND(H1110=0,ABS(J1110)&gt;=0.01),AND(H1110&lt;&gt;0,ABS(K1110)&gt;VarianceThreshold)),"Review","OK")</f>
        <v>0</v>
      </c>
      <c r="M1110" t="s">
        <v>33</v>
      </c>
    </row>
    <row r="1111" spans="1:13">
      <c r="A1111" t="s">
        <v>1</v>
      </c>
      <c r="B1111" t="s">
        <v>615</v>
      </c>
      <c r="C1111" t="s">
        <v>1082</v>
      </c>
      <c r="D1111" t="s">
        <v>988</v>
      </c>
      <c r="E1111" cm="1">
        <f t="array" ref="E1111">_xlfn.XLOOKUP(D1111,SKU_Master!A:A,SKU_Master!B:B,"Not on master")</f>
        <v>0</v>
      </c>
      <c r="F1111" cm="1">
        <f t="array" ref="F1111">_xlfn.XLOOKUP(C1111,Account_Master!A:A,Account_Master!B:B,"Not on master")</f>
        <v>0</v>
      </c>
      <c r="G1111" cm="1">
        <f t="array" ref="G1111">_xlfn.XLOOKUP(C1111,Account_Master!A:A,Account_Master!C:C,"Not on master")</f>
        <v>0</v>
      </c>
      <c r="H1111" s="6">
        <v>19.5</v>
      </c>
      <c r="I1111" s="6">
        <v>19.5</v>
      </c>
      <c r="J1111" s="6">
        <f>I1111-H1111</f>
        <v>0</v>
      </c>
      <c r="K1111" s="5">
        <f>IF(H1111=0,"",J1111/H1111)</f>
        <v>0</v>
      </c>
      <c r="L1111">
        <f>IF(OR(AND(H1111=0,ABS(J1111)&gt;=0.01),AND(H1111&lt;&gt;0,ABS(K1111)&gt;VarianceThreshold)),"Review","OK")</f>
        <v>0</v>
      </c>
      <c r="M1111" t="s">
        <v>33</v>
      </c>
    </row>
    <row r="1112" spans="1:13">
      <c r="A1112" t="s">
        <v>1</v>
      </c>
      <c r="B1112" t="s">
        <v>615</v>
      </c>
      <c r="C1112" t="s">
        <v>1366</v>
      </c>
      <c r="D1112" t="s">
        <v>549</v>
      </c>
      <c r="E1112" cm="1">
        <f t="array" ref="E1112">_xlfn.XLOOKUP(D1112,SKU_Master!A:A,SKU_Master!B:B,"Not on master")</f>
        <v>0</v>
      </c>
      <c r="F1112" cm="1">
        <f t="array" ref="F1112">_xlfn.XLOOKUP(C1112,Account_Master!A:A,Account_Master!B:B,"Not on master")</f>
        <v>0</v>
      </c>
      <c r="G1112" cm="1">
        <f t="array" ref="G1112">_xlfn.XLOOKUP(C1112,Account_Master!A:A,Account_Master!C:C,"Not on master")</f>
        <v>0</v>
      </c>
      <c r="H1112" s="6">
        <v>7.5</v>
      </c>
      <c r="I1112" s="6">
        <v>7.5</v>
      </c>
      <c r="J1112" s="6">
        <f>I1112-H1112</f>
        <v>0</v>
      </c>
      <c r="K1112" s="5">
        <f>IF(H1112=0,"",J1112/H1112)</f>
        <v>0</v>
      </c>
      <c r="L1112">
        <f>IF(OR(AND(H1112=0,ABS(J1112)&gt;=0.01),AND(H1112&lt;&gt;0,ABS(K1112)&gt;VarianceThreshold)),"Review","OK")</f>
        <v>0</v>
      </c>
      <c r="M1112" t="s">
        <v>33</v>
      </c>
    </row>
    <row r="1113" spans="1:13">
      <c r="A1113" t="s">
        <v>1</v>
      </c>
      <c r="B1113" t="s">
        <v>624</v>
      </c>
      <c r="C1113" t="s">
        <v>1367</v>
      </c>
      <c r="D1113" t="s">
        <v>1368</v>
      </c>
      <c r="E1113" cm="1">
        <f t="array" ref="E1113">_xlfn.XLOOKUP(D1113,SKU_Master!A:A,SKU_Master!B:B,"Not on master")</f>
        <v>0</v>
      </c>
      <c r="F1113" cm="1">
        <f t="array" ref="F1113">_xlfn.XLOOKUP(C1113,Account_Master!A:A,Account_Master!B:B,"Not on master")</f>
        <v>0</v>
      </c>
      <c r="G1113" cm="1">
        <f t="array" ref="G1113">_xlfn.XLOOKUP(C1113,Account_Master!A:A,Account_Master!C:C,"Not on master")</f>
        <v>0</v>
      </c>
      <c r="H1113" s="6">
        <v>0.75</v>
      </c>
      <c r="I1113" s="6">
        <v>0.75</v>
      </c>
      <c r="J1113" s="6">
        <f>I1113-H1113</f>
        <v>0</v>
      </c>
      <c r="K1113" s="5">
        <f>IF(H1113=0,"",J1113/H1113)</f>
        <v>0</v>
      </c>
      <c r="L1113">
        <f>IF(OR(AND(H1113=0,ABS(J1113)&gt;=0.01),AND(H1113&lt;&gt;0,ABS(K1113)&gt;VarianceThreshold)),"Review","OK")</f>
        <v>0</v>
      </c>
      <c r="M1113" t="s">
        <v>33</v>
      </c>
    </row>
    <row r="1114" spans="1:13">
      <c r="A1114" t="s">
        <v>1</v>
      </c>
      <c r="B1114" t="s">
        <v>624</v>
      </c>
      <c r="C1114" t="s">
        <v>1369</v>
      </c>
      <c r="D1114" t="s">
        <v>1370</v>
      </c>
      <c r="E1114" cm="1">
        <f t="array" ref="E1114">_xlfn.XLOOKUP(D1114,SKU_Master!A:A,SKU_Master!B:B,"Not on master")</f>
        <v>0</v>
      </c>
      <c r="F1114" cm="1">
        <f t="array" ref="F1114">_xlfn.XLOOKUP(C1114,Account_Master!A:A,Account_Master!B:B,"Not on master")</f>
        <v>0</v>
      </c>
      <c r="G1114" cm="1">
        <f t="array" ref="G1114">_xlfn.XLOOKUP(C1114,Account_Master!A:A,Account_Master!C:C,"Not on master")</f>
        <v>0</v>
      </c>
      <c r="H1114" s="6">
        <v>9</v>
      </c>
      <c r="I1114" s="6">
        <v>9</v>
      </c>
      <c r="J1114" s="6">
        <f>I1114-H1114</f>
        <v>0</v>
      </c>
      <c r="K1114" s="5">
        <f>IF(H1114=0,"",J1114/H1114)</f>
        <v>0</v>
      </c>
      <c r="L1114">
        <f>IF(OR(AND(H1114=0,ABS(J1114)&gt;=0.01),AND(H1114&lt;&gt;0,ABS(K1114)&gt;VarianceThreshold)),"Review","OK")</f>
        <v>0</v>
      </c>
      <c r="M1114" t="s">
        <v>33</v>
      </c>
    </row>
    <row r="1115" spans="1:13">
      <c r="A1115" t="s">
        <v>1</v>
      </c>
      <c r="B1115" t="s">
        <v>624</v>
      </c>
      <c r="C1115" t="s">
        <v>1013</v>
      </c>
      <c r="D1115" t="s">
        <v>1371</v>
      </c>
      <c r="E1115" cm="1">
        <f t="array" ref="E1115">_xlfn.XLOOKUP(D1115,SKU_Master!A:A,SKU_Master!B:B,"Not on master")</f>
        <v>0</v>
      </c>
      <c r="F1115" cm="1">
        <f t="array" ref="F1115">_xlfn.XLOOKUP(C1115,Account_Master!A:A,Account_Master!B:B,"Not on master")</f>
        <v>0</v>
      </c>
      <c r="G1115" cm="1">
        <f t="array" ref="G1115">_xlfn.XLOOKUP(C1115,Account_Master!A:A,Account_Master!C:C,"Not on master")</f>
        <v>0</v>
      </c>
      <c r="H1115" s="6">
        <v>21.75</v>
      </c>
      <c r="I1115" s="6">
        <v>21.75</v>
      </c>
      <c r="J1115" s="6">
        <f>I1115-H1115</f>
        <v>0</v>
      </c>
      <c r="K1115" s="5">
        <f>IF(H1115=0,"",J1115/H1115)</f>
        <v>0</v>
      </c>
      <c r="L1115">
        <f>IF(OR(AND(H1115=0,ABS(J1115)&gt;=0.01),AND(H1115&lt;&gt;0,ABS(K1115)&gt;VarianceThreshold)),"Review","OK")</f>
        <v>0</v>
      </c>
      <c r="M1115" t="s">
        <v>33</v>
      </c>
    </row>
    <row r="1116" spans="1:13">
      <c r="A1116" t="s">
        <v>1</v>
      </c>
      <c r="B1116" t="s">
        <v>624</v>
      </c>
      <c r="C1116" t="s">
        <v>1299</v>
      </c>
      <c r="D1116" t="s">
        <v>1372</v>
      </c>
      <c r="E1116" cm="1">
        <f t="array" ref="E1116">_xlfn.XLOOKUP(D1116,SKU_Master!A:A,SKU_Master!B:B,"Not on master")</f>
        <v>0</v>
      </c>
      <c r="F1116" cm="1">
        <f t="array" ref="F1116">_xlfn.XLOOKUP(C1116,Account_Master!A:A,Account_Master!B:B,"Not on master")</f>
        <v>0</v>
      </c>
      <c r="G1116" cm="1">
        <f t="array" ref="G1116">_xlfn.XLOOKUP(C1116,Account_Master!A:A,Account_Master!C:C,"Not on master")</f>
        <v>0</v>
      </c>
      <c r="H1116" s="6">
        <v>4.8</v>
      </c>
      <c r="I1116" s="6">
        <v>4.8</v>
      </c>
      <c r="J1116" s="6">
        <f>I1116-H1116</f>
        <v>0</v>
      </c>
      <c r="K1116" s="5">
        <f>IF(H1116=0,"",J1116/H1116)</f>
        <v>0</v>
      </c>
      <c r="L1116">
        <f>IF(OR(AND(H1116=0,ABS(J1116)&gt;=0.01),AND(H1116&lt;&gt;0,ABS(K1116)&gt;VarianceThreshold)),"Review","OK")</f>
        <v>0</v>
      </c>
      <c r="M1116" t="s">
        <v>33</v>
      </c>
    </row>
    <row r="1117" spans="1:13">
      <c r="A1117" t="s">
        <v>1</v>
      </c>
      <c r="B1117" t="s">
        <v>624</v>
      </c>
      <c r="C1117" t="s">
        <v>1268</v>
      </c>
      <c r="D1117" t="s">
        <v>1373</v>
      </c>
      <c r="E1117" cm="1">
        <f t="array" ref="E1117">_xlfn.XLOOKUP(D1117,SKU_Master!A:A,SKU_Master!B:B,"Not on master")</f>
        <v>0</v>
      </c>
      <c r="F1117" cm="1">
        <f t="array" ref="F1117">_xlfn.XLOOKUP(C1117,Account_Master!A:A,Account_Master!B:B,"Not on master")</f>
        <v>0</v>
      </c>
      <c r="G1117" cm="1">
        <f t="array" ref="G1117">_xlfn.XLOOKUP(C1117,Account_Master!A:A,Account_Master!C:C,"Not on master")</f>
        <v>0</v>
      </c>
      <c r="H1117" s="6">
        <v>997.5</v>
      </c>
      <c r="I1117" s="6">
        <v>997.5</v>
      </c>
      <c r="J1117" s="6">
        <f>I1117-H1117</f>
        <v>0</v>
      </c>
      <c r="K1117" s="5">
        <f>IF(H1117=0,"",J1117/H1117)</f>
        <v>0</v>
      </c>
      <c r="L1117">
        <f>IF(OR(AND(H1117=0,ABS(J1117)&gt;=0.01),AND(H1117&lt;&gt;0,ABS(K1117)&gt;VarianceThreshold)),"Review","OK")</f>
        <v>0</v>
      </c>
      <c r="M1117" t="s">
        <v>33</v>
      </c>
    </row>
    <row r="1118" spans="1:13">
      <c r="A1118" t="s">
        <v>1</v>
      </c>
      <c r="B1118" t="s">
        <v>624</v>
      </c>
      <c r="C1118" t="s">
        <v>1299</v>
      </c>
      <c r="D1118" t="s">
        <v>1374</v>
      </c>
      <c r="E1118" cm="1">
        <f t="array" ref="E1118">_xlfn.XLOOKUP(D1118,SKU_Master!A:A,SKU_Master!B:B,"Not on master")</f>
        <v>0</v>
      </c>
      <c r="F1118" cm="1">
        <f t="array" ref="F1118">_xlfn.XLOOKUP(C1118,Account_Master!A:A,Account_Master!B:B,"Not on master")</f>
        <v>0</v>
      </c>
      <c r="G1118" cm="1">
        <f t="array" ref="G1118">_xlfn.XLOOKUP(C1118,Account_Master!A:A,Account_Master!C:C,"Not on master")</f>
        <v>0</v>
      </c>
      <c r="H1118" s="6">
        <v>0.25</v>
      </c>
      <c r="I1118" s="6">
        <v>0.25</v>
      </c>
      <c r="J1118" s="6">
        <f>I1118-H1118</f>
        <v>0</v>
      </c>
      <c r="K1118" s="5">
        <f>IF(H1118=0,"",J1118/H1118)</f>
        <v>0</v>
      </c>
      <c r="L1118">
        <f>IF(OR(AND(H1118=0,ABS(J1118)&gt;=0.01),AND(H1118&lt;&gt;0,ABS(K1118)&gt;VarianceThreshold)),"Review","OK")</f>
        <v>0</v>
      </c>
      <c r="M1118" t="s">
        <v>33</v>
      </c>
    </row>
    <row r="1119" spans="1:13">
      <c r="A1119" t="s">
        <v>1</v>
      </c>
      <c r="B1119" t="s">
        <v>635</v>
      </c>
      <c r="C1119" t="s">
        <v>1041</v>
      </c>
      <c r="D1119" t="s">
        <v>1375</v>
      </c>
      <c r="E1119" cm="1">
        <f t="array" ref="E1119">_xlfn.XLOOKUP(D1119,SKU_Master!A:A,SKU_Master!B:B,"Not on master")</f>
        <v>0</v>
      </c>
      <c r="F1119" cm="1">
        <f t="array" ref="F1119">_xlfn.XLOOKUP(C1119,Account_Master!A:A,Account_Master!B:B,"Not on master")</f>
        <v>0</v>
      </c>
      <c r="G1119" cm="1">
        <f t="array" ref="G1119">_xlfn.XLOOKUP(C1119,Account_Master!A:A,Account_Master!C:C,"Not on master")</f>
        <v>0</v>
      </c>
      <c r="H1119" s="6">
        <v>24</v>
      </c>
      <c r="I1119" s="6">
        <v>24</v>
      </c>
      <c r="J1119" s="6">
        <f>I1119-H1119</f>
        <v>0</v>
      </c>
      <c r="K1119" s="5">
        <f>IF(H1119=0,"",J1119/H1119)</f>
        <v>0</v>
      </c>
      <c r="L1119">
        <f>IF(OR(AND(H1119=0,ABS(J1119)&gt;=0.01),AND(H1119&lt;&gt;0,ABS(K1119)&gt;VarianceThreshold)),"Review","OK")</f>
        <v>0</v>
      </c>
      <c r="M1119" t="s">
        <v>33</v>
      </c>
    </row>
    <row r="1120" spans="1:13">
      <c r="A1120" t="s">
        <v>1</v>
      </c>
      <c r="B1120" t="s">
        <v>635</v>
      </c>
      <c r="C1120" t="s">
        <v>1013</v>
      </c>
      <c r="D1120" t="s">
        <v>888</v>
      </c>
      <c r="E1120" cm="1">
        <f t="array" ref="E1120">_xlfn.XLOOKUP(D1120,SKU_Master!A:A,SKU_Master!B:B,"Not on master")</f>
        <v>0</v>
      </c>
      <c r="F1120" cm="1">
        <f t="array" ref="F1120">_xlfn.XLOOKUP(C1120,Account_Master!A:A,Account_Master!B:B,"Not on master")</f>
        <v>0</v>
      </c>
      <c r="G1120" cm="1">
        <f t="array" ref="G1120">_xlfn.XLOOKUP(C1120,Account_Master!A:A,Account_Master!C:C,"Not on master")</f>
        <v>0</v>
      </c>
      <c r="H1120" s="6">
        <v>22.5</v>
      </c>
      <c r="I1120" s="6">
        <v>22.5</v>
      </c>
      <c r="J1120" s="6">
        <f>I1120-H1120</f>
        <v>0</v>
      </c>
      <c r="K1120" s="5">
        <f>IF(H1120=0,"",J1120/H1120)</f>
        <v>0</v>
      </c>
      <c r="L1120">
        <f>IF(OR(AND(H1120=0,ABS(J1120)&gt;=0.01),AND(H1120&lt;&gt;0,ABS(K1120)&gt;VarianceThreshold)),"Review","OK")</f>
        <v>0</v>
      </c>
      <c r="M1120" t="s">
        <v>33</v>
      </c>
    </row>
    <row r="1121" spans="1:13">
      <c r="A1121" t="s">
        <v>1</v>
      </c>
      <c r="B1121" t="s">
        <v>635</v>
      </c>
      <c r="C1121" t="s">
        <v>1010</v>
      </c>
      <c r="D1121" t="s">
        <v>1376</v>
      </c>
      <c r="E1121" cm="1">
        <f t="array" ref="E1121">_xlfn.XLOOKUP(D1121,SKU_Master!A:A,SKU_Master!B:B,"Not on master")</f>
        <v>0</v>
      </c>
      <c r="F1121" cm="1">
        <f t="array" ref="F1121">_xlfn.XLOOKUP(C1121,Account_Master!A:A,Account_Master!B:B,"Not on master")</f>
        <v>0</v>
      </c>
      <c r="G1121" cm="1">
        <f t="array" ref="G1121">_xlfn.XLOOKUP(C1121,Account_Master!A:A,Account_Master!C:C,"Not on master")</f>
        <v>0</v>
      </c>
      <c r="H1121" s="6">
        <v>3</v>
      </c>
      <c r="I1121" s="6">
        <v>3</v>
      </c>
      <c r="J1121" s="6">
        <f>I1121-H1121</f>
        <v>0</v>
      </c>
      <c r="K1121" s="5">
        <f>IF(H1121=0,"",J1121/H1121)</f>
        <v>0</v>
      </c>
      <c r="L1121">
        <f>IF(OR(AND(H1121=0,ABS(J1121)&gt;=0.01),AND(H1121&lt;&gt;0,ABS(K1121)&gt;VarianceThreshold)),"Review","OK")</f>
        <v>0</v>
      </c>
      <c r="M1121" t="s">
        <v>33</v>
      </c>
    </row>
    <row r="1122" spans="1:13">
      <c r="A1122" t="s">
        <v>1</v>
      </c>
      <c r="B1122" t="s">
        <v>635</v>
      </c>
      <c r="C1122" t="s">
        <v>1024</v>
      </c>
      <c r="D1122" t="s">
        <v>1377</v>
      </c>
      <c r="E1122" cm="1">
        <f t="array" ref="E1122">_xlfn.XLOOKUP(D1122,SKU_Master!A:A,SKU_Master!B:B,"Not on master")</f>
        <v>0</v>
      </c>
      <c r="F1122" cm="1">
        <f t="array" ref="F1122">_xlfn.XLOOKUP(C1122,Account_Master!A:A,Account_Master!B:B,"Not on master")</f>
        <v>0</v>
      </c>
      <c r="G1122" cm="1">
        <f t="array" ref="G1122">_xlfn.XLOOKUP(C1122,Account_Master!A:A,Account_Master!C:C,"Not on master")</f>
        <v>0</v>
      </c>
      <c r="H1122" s="6">
        <v>9.6</v>
      </c>
      <c r="I1122" s="6">
        <v>9.6</v>
      </c>
      <c r="J1122" s="6">
        <f>I1122-H1122</f>
        <v>0</v>
      </c>
      <c r="K1122" s="5">
        <f>IF(H1122=0,"",J1122/H1122)</f>
        <v>0</v>
      </c>
      <c r="L1122">
        <f>IF(OR(AND(H1122=0,ABS(J1122)&gt;=0.01),AND(H1122&lt;&gt;0,ABS(K1122)&gt;VarianceThreshold)),"Review","OK")</f>
        <v>0</v>
      </c>
      <c r="M1122" t="s">
        <v>33</v>
      </c>
    </row>
    <row r="1123" spans="1:13">
      <c r="A1123" t="s">
        <v>1</v>
      </c>
      <c r="B1123" t="s">
        <v>635</v>
      </c>
      <c r="C1123" t="s">
        <v>1299</v>
      </c>
      <c r="D1123" t="s">
        <v>1378</v>
      </c>
      <c r="E1123" cm="1">
        <f t="array" ref="E1123">_xlfn.XLOOKUP(D1123,SKU_Master!A:A,SKU_Master!B:B,"Not on master")</f>
        <v>0</v>
      </c>
      <c r="F1123" cm="1">
        <f t="array" ref="F1123">_xlfn.XLOOKUP(C1123,Account_Master!A:A,Account_Master!B:B,"Not on master")</f>
        <v>0</v>
      </c>
      <c r="G1123" cm="1">
        <f t="array" ref="G1123">_xlfn.XLOOKUP(C1123,Account_Master!A:A,Account_Master!C:C,"Not on master")</f>
        <v>0</v>
      </c>
      <c r="H1123" s="6">
        <v>14.4</v>
      </c>
      <c r="I1123" s="6">
        <v>14.4</v>
      </c>
      <c r="J1123" s="6">
        <f>I1123-H1123</f>
        <v>0</v>
      </c>
      <c r="K1123" s="5">
        <f>IF(H1123=0,"",J1123/H1123)</f>
        <v>0</v>
      </c>
      <c r="L1123">
        <f>IF(OR(AND(H1123=0,ABS(J1123)&gt;=0.01),AND(H1123&lt;&gt;0,ABS(K1123)&gt;VarianceThreshold)),"Review","OK")</f>
        <v>0</v>
      </c>
      <c r="M1123" t="s">
        <v>33</v>
      </c>
    </row>
    <row r="1124" spans="1:13">
      <c r="A1124" t="s">
        <v>1</v>
      </c>
      <c r="B1124" t="s">
        <v>635</v>
      </c>
      <c r="C1124" t="s">
        <v>1010</v>
      </c>
      <c r="D1124" t="s">
        <v>1379</v>
      </c>
      <c r="E1124" cm="1">
        <f t="array" ref="E1124">_xlfn.XLOOKUP(D1124,SKU_Master!A:A,SKU_Master!B:B,"Not on master")</f>
        <v>0</v>
      </c>
      <c r="F1124" cm="1">
        <f t="array" ref="F1124">_xlfn.XLOOKUP(C1124,Account_Master!A:A,Account_Master!B:B,"Not on master")</f>
        <v>0</v>
      </c>
      <c r="G1124" cm="1">
        <f t="array" ref="G1124">_xlfn.XLOOKUP(C1124,Account_Master!A:A,Account_Master!C:C,"Not on master")</f>
        <v>0</v>
      </c>
      <c r="H1124" s="6">
        <v>1.5</v>
      </c>
      <c r="I1124" s="6">
        <v>1.5</v>
      </c>
      <c r="J1124" s="6">
        <f>I1124-H1124</f>
        <v>0</v>
      </c>
      <c r="K1124" s="5">
        <f>IF(H1124=0,"",J1124/H1124)</f>
        <v>0</v>
      </c>
      <c r="L1124">
        <f>IF(OR(AND(H1124=0,ABS(J1124)&gt;=0.01),AND(H1124&lt;&gt;0,ABS(K1124)&gt;VarianceThreshold)),"Review","OK")</f>
        <v>0</v>
      </c>
      <c r="M1124" t="s">
        <v>33</v>
      </c>
    </row>
    <row r="1125" spans="1:13">
      <c r="A1125" t="s">
        <v>1</v>
      </c>
      <c r="B1125" t="s">
        <v>645</v>
      </c>
      <c r="C1125" t="s">
        <v>1112</v>
      </c>
      <c r="D1125" t="s">
        <v>494</v>
      </c>
      <c r="E1125" cm="1">
        <f t="array" ref="E1125">_xlfn.XLOOKUP(D1125,SKU_Master!A:A,SKU_Master!B:B,"Not on master")</f>
        <v>0</v>
      </c>
      <c r="F1125" cm="1">
        <f t="array" ref="F1125">_xlfn.XLOOKUP(C1125,Account_Master!A:A,Account_Master!B:B,"Not on master")</f>
        <v>0</v>
      </c>
      <c r="G1125" cm="1">
        <f t="array" ref="G1125">_xlfn.XLOOKUP(C1125,Account_Master!A:A,Account_Master!C:C,"Not on master")</f>
        <v>0</v>
      </c>
      <c r="H1125" s="6">
        <v>4.5</v>
      </c>
      <c r="I1125" s="6">
        <v>4.5</v>
      </c>
      <c r="J1125" s="6">
        <f>I1125-H1125</f>
        <v>0</v>
      </c>
      <c r="K1125" s="5">
        <f>IF(H1125=0,"",J1125/H1125)</f>
        <v>0</v>
      </c>
      <c r="L1125">
        <f>IF(OR(AND(H1125=0,ABS(J1125)&gt;=0.01),AND(H1125&lt;&gt;0,ABS(K1125)&gt;VarianceThreshold)),"Review","OK")</f>
        <v>0</v>
      </c>
      <c r="M1125" t="s">
        <v>33</v>
      </c>
    </row>
    <row r="1126" spans="1:13">
      <c r="A1126" t="s">
        <v>1</v>
      </c>
      <c r="B1126" t="s">
        <v>645</v>
      </c>
      <c r="C1126" t="s">
        <v>1380</v>
      </c>
      <c r="D1126" t="s">
        <v>808</v>
      </c>
      <c r="E1126" cm="1">
        <f t="array" ref="E1126">_xlfn.XLOOKUP(D1126,SKU_Master!A:A,SKU_Master!B:B,"Not on master")</f>
        <v>0</v>
      </c>
      <c r="F1126" cm="1">
        <f t="array" ref="F1126">_xlfn.XLOOKUP(C1126,Account_Master!A:A,Account_Master!B:B,"Not on master")</f>
        <v>0</v>
      </c>
      <c r="G1126" cm="1">
        <f t="array" ref="G1126">_xlfn.XLOOKUP(C1126,Account_Master!A:A,Account_Master!C:C,"Not on master")</f>
        <v>0</v>
      </c>
      <c r="H1126" s="6">
        <v>9.6</v>
      </c>
      <c r="I1126" s="6">
        <v>9.6</v>
      </c>
      <c r="J1126" s="6">
        <f>I1126-H1126</f>
        <v>0</v>
      </c>
      <c r="K1126" s="5">
        <f>IF(H1126=0,"",J1126/H1126)</f>
        <v>0</v>
      </c>
      <c r="L1126">
        <f>IF(OR(AND(H1126=0,ABS(J1126)&gt;=0.01),AND(H1126&lt;&gt;0,ABS(K1126)&gt;VarianceThreshold)),"Review","OK")</f>
        <v>0</v>
      </c>
      <c r="M1126" t="s">
        <v>33</v>
      </c>
    </row>
    <row r="1127" spans="1:13">
      <c r="A1127" t="s">
        <v>1</v>
      </c>
      <c r="B1127" t="s">
        <v>645</v>
      </c>
      <c r="C1127" t="s">
        <v>1019</v>
      </c>
      <c r="D1127" t="s">
        <v>1381</v>
      </c>
      <c r="E1127" cm="1">
        <f t="array" ref="E1127">_xlfn.XLOOKUP(D1127,SKU_Master!A:A,SKU_Master!B:B,"Not on master")</f>
        <v>0</v>
      </c>
      <c r="F1127" cm="1">
        <f t="array" ref="F1127">_xlfn.XLOOKUP(C1127,Account_Master!A:A,Account_Master!B:B,"Not on master")</f>
        <v>0</v>
      </c>
      <c r="G1127" cm="1">
        <f t="array" ref="G1127">_xlfn.XLOOKUP(C1127,Account_Master!A:A,Account_Master!C:C,"Not on master")</f>
        <v>0</v>
      </c>
      <c r="H1127" s="6">
        <v>96.75</v>
      </c>
      <c r="I1127" s="6">
        <v>96.75</v>
      </c>
      <c r="J1127" s="6">
        <f>I1127-H1127</f>
        <v>0</v>
      </c>
      <c r="K1127" s="5">
        <f>IF(H1127=0,"",J1127/H1127)</f>
        <v>0</v>
      </c>
      <c r="L1127">
        <f>IF(OR(AND(H1127=0,ABS(J1127)&gt;=0.01),AND(H1127&lt;&gt;0,ABS(K1127)&gt;VarianceThreshold)),"Review","OK")</f>
        <v>0</v>
      </c>
      <c r="M1127" t="s">
        <v>33</v>
      </c>
    </row>
    <row r="1128" spans="1:13">
      <c r="A1128" t="s">
        <v>1</v>
      </c>
      <c r="B1128" t="s">
        <v>645</v>
      </c>
      <c r="C1128" t="s">
        <v>1019</v>
      </c>
      <c r="D1128" t="s">
        <v>1382</v>
      </c>
      <c r="E1128" cm="1">
        <f t="array" ref="E1128">_xlfn.XLOOKUP(D1128,SKU_Master!A:A,SKU_Master!B:B,"Not on master")</f>
        <v>0</v>
      </c>
      <c r="F1128" cm="1">
        <f t="array" ref="F1128">_xlfn.XLOOKUP(C1128,Account_Master!A:A,Account_Master!B:B,"Not on master")</f>
        <v>0</v>
      </c>
      <c r="G1128" cm="1">
        <f t="array" ref="G1128">_xlfn.XLOOKUP(C1128,Account_Master!A:A,Account_Master!C:C,"Not on master")</f>
        <v>0</v>
      </c>
      <c r="H1128" s="6">
        <v>0.75</v>
      </c>
      <c r="I1128" s="6">
        <v>0.75</v>
      </c>
      <c r="J1128" s="6">
        <f>I1128-H1128</f>
        <v>0</v>
      </c>
      <c r="K1128" s="5">
        <f>IF(H1128=0,"",J1128/H1128)</f>
        <v>0</v>
      </c>
      <c r="L1128">
        <f>IF(OR(AND(H1128=0,ABS(J1128)&gt;=0.01),AND(H1128&lt;&gt;0,ABS(K1128)&gt;VarianceThreshold)),"Review","OK")</f>
        <v>0</v>
      </c>
      <c r="M1128" t="s">
        <v>33</v>
      </c>
    </row>
    <row r="1129" spans="1:13">
      <c r="A1129" t="s">
        <v>1</v>
      </c>
      <c r="B1129" t="s">
        <v>645</v>
      </c>
      <c r="C1129" t="s">
        <v>1019</v>
      </c>
      <c r="D1129" t="s">
        <v>1383</v>
      </c>
      <c r="E1129" cm="1">
        <f t="array" ref="E1129">_xlfn.XLOOKUP(D1129,SKU_Master!A:A,SKU_Master!B:B,"Not on master")</f>
        <v>0</v>
      </c>
      <c r="F1129" cm="1">
        <f t="array" ref="F1129">_xlfn.XLOOKUP(C1129,Account_Master!A:A,Account_Master!B:B,"Not on master")</f>
        <v>0</v>
      </c>
      <c r="G1129" cm="1">
        <f t="array" ref="G1129">_xlfn.XLOOKUP(C1129,Account_Master!A:A,Account_Master!C:C,"Not on master")</f>
        <v>0</v>
      </c>
      <c r="H1129" s="6">
        <v>1.5</v>
      </c>
      <c r="I1129" s="6">
        <v>1.5</v>
      </c>
      <c r="J1129" s="6">
        <f>I1129-H1129</f>
        <v>0</v>
      </c>
      <c r="K1129" s="5">
        <f>IF(H1129=0,"",J1129/H1129)</f>
        <v>0</v>
      </c>
      <c r="L1129">
        <f>IF(OR(AND(H1129=0,ABS(J1129)&gt;=0.01),AND(H1129&lt;&gt;0,ABS(K1129)&gt;VarianceThreshold)),"Review","OK")</f>
        <v>0</v>
      </c>
      <c r="M1129" t="s">
        <v>33</v>
      </c>
    </row>
    <row r="1130" spans="1:13">
      <c r="A1130" t="s">
        <v>1</v>
      </c>
      <c r="B1130" t="s">
        <v>645</v>
      </c>
      <c r="C1130" t="s">
        <v>1380</v>
      </c>
      <c r="D1130" t="s">
        <v>1384</v>
      </c>
      <c r="E1130" cm="1">
        <f t="array" ref="E1130">_xlfn.XLOOKUP(D1130,SKU_Master!A:A,SKU_Master!B:B,"Not on master")</f>
        <v>0</v>
      </c>
      <c r="F1130" cm="1">
        <f t="array" ref="F1130">_xlfn.XLOOKUP(C1130,Account_Master!A:A,Account_Master!B:B,"Not on master")</f>
        <v>0</v>
      </c>
      <c r="G1130" cm="1">
        <f t="array" ref="G1130">_xlfn.XLOOKUP(C1130,Account_Master!A:A,Account_Master!C:C,"Not on master")</f>
        <v>0</v>
      </c>
      <c r="H1130" s="6">
        <v>0.2</v>
      </c>
      <c r="I1130" s="6">
        <v>0.2</v>
      </c>
      <c r="J1130" s="6">
        <f>I1130-H1130</f>
        <v>0</v>
      </c>
      <c r="K1130" s="5">
        <f>IF(H1130=0,"",J1130/H1130)</f>
        <v>0</v>
      </c>
      <c r="L1130">
        <f>IF(OR(AND(H1130=0,ABS(J1130)&gt;=0.01),AND(H1130&lt;&gt;0,ABS(K1130)&gt;VarianceThreshold)),"Review","OK")</f>
        <v>0</v>
      </c>
      <c r="M1130" t="s">
        <v>33</v>
      </c>
    </row>
    <row r="1131" spans="1:13">
      <c r="A1131" t="s">
        <v>1</v>
      </c>
      <c r="B1131" t="s">
        <v>645</v>
      </c>
      <c r="C1131" t="s">
        <v>1293</v>
      </c>
      <c r="D1131" t="s">
        <v>1385</v>
      </c>
      <c r="E1131" cm="1">
        <f t="array" ref="E1131">_xlfn.XLOOKUP(D1131,SKU_Master!A:A,SKU_Master!B:B,"Not on master")</f>
        <v>0</v>
      </c>
      <c r="F1131" cm="1">
        <f t="array" ref="F1131">_xlfn.XLOOKUP(C1131,Account_Master!A:A,Account_Master!B:B,"Not on master")</f>
        <v>0</v>
      </c>
      <c r="G1131" cm="1">
        <f t="array" ref="G1131">_xlfn.XLOOKUP(C1131,Account_Master!A:A,Account_Master!C:C,"Not on master")</f>
        <v>0</v>
      </c>
      <c r="H1131" s="6">
        <v>0.05</v>
      </c>
      <c r="I1131" s="6">
        <v>0.05</v>
      </c>
      <c r="J1131" s="6">
        <f>I1131-H1131</f>
        <v>0</v>
      </c>
      <c r="K1131" s="5">
        <f>IF(H1131=0,"",J1131/H1131)</f>
        <v>0</v>
      </c>
      <c r="L1131">
        <f>IF(OR(AND(H1131=0,ABS(J1131)&gt;=0.01),AND(H1131&lt;&gt;0,ABS(K1131)&gt;VarianceThreshold)),"Review","OK")</f>
        <v>0</v>
      </c>
      <c r="M1131" t="s">
        <v>33</v>
      </c>
    </row>
    <row r="1132" spans="1:13">
      <c r="A1132" t="s">
        <v>1</v>
      </c>
      <c r="B1132" t="s">
        <v>650</v>
      </c>
      <c r="C1132" t="s">
        <v>1112</v>
      </c>
      <c r="D1132" t="s">
        <v>1386</v>
      </c>
      <c r="E1132" cm="1">
        <f t="array" ref="E1132">_xlfn.XLOOKUP(D1132,SKU_Master!A:A,SKU_Master!B:B,"Not on master")</f>
        <v>0</v>
      </c>
      <c r="F1132" cm="1">
        <f t="array" ref="F1132">_xlfn.XLOOKUP(C1132,Account_Master!A:A,Account_Master!B:B,"Not on master")</f>
        <v>0</v>
      </c>
      <c r="G1132" cm="1">
        <f t="array" ref="G1132">_xlfn.XLOOKUP(C1132,Account_Master!A:A,Account_Master!C:C,"Not on master")</f>
        <v>0</v>
      </c>
      <c r="H1132" s="6">
        <v>568.75</v>
      </c>
      <c r="I1132" s="6">
        <v>568.75</v>
      </c>
      <c r="J1132" s="6">
        <f>I1132-H1132</f>
        <v>0</v>
      </c>
      <c r="K1132" s="5">
        <f>IF(H1132=0,"",J1132/H1132)</f>
        <v>0</v>
      </c>
      <c r="L1132">
        <f>IF(OR(AND(H1132=0,ABS(J1132)&gt;=0.01),AND(H1132&lt;&gt;0,ABS(K1132)&gt;VarianceThreshold)),"Review","OK")</f>
        <v>0</v>
      </c>
      <c r="M1132" t="s">
        <v>33</v>
      </c>
    </row>
    <row r="1133" spans="1:13">
      <c r="A1133" t="s">
        <v>1</v>
      </c>
      <c r="B1133" t="s">
        <v>650</v>
      </c>
      <c r="C1133" t="s">
        <v>1041</v>
      </c>
      <c r="D1133" t="s">
        <v>1387</v>
      </c>
      <c r="E1133" cm="1">
        <f t="array" ref="E1133">_xlfn.XLOOKUP(D1133,SKU_Master!A:A,SKU_Master!B:B,"Not on master")</f>
        <v>0</v>
      </c>
      <c r="F1133" cm="1">
        <f t="array" ref="F1133">_xlfn.XLOOKUP(C1133,Account_Master!A:A,Account_Master!B:B,"Not on master")</f>
        <v>0</v>
      </c>
      <c r="G1133" cm="1">
        <f t="array" ref="G1133">_xlfn.XLOOKUP(C1133,Account_Master!A:A,Account_Master!C:C,"Not on master")</f>
        <v>0</v>
      </c>
      <c r="H1133" s="6">
        <v>9</v>
      </c>
      <c r="I1133" s="6">
        <v>9</v>
      </c>
      <c r="J1133" s="6">
        <f>I1133-H1133</f>
        <v>0</v>
      </c>
      <c r="K1133" s="5">
        <f>IF(H1133=0,"",J1133/H1133)</f>
        <v>0</v>
      </c>
      <c r="L1133">
        <f>IF(OR(AND(H1133=0,ABS(J1133)&gt;=0.01),AND(H1133&lt;&gt;0,ABS(K1133)&gt;VarianceThreshold)),"Review","OK")</f>
        <v>0</v>
      </c>
      <c r="M1133" t="s">
        <v>33</v>
      </c>
    </row>
    <row r="1134" spans="1:13">
      <c r="A1134" t="s">
        <v>1</v>
      </c>
      <c r="B1134" t="s">
        <v>650</v>
      </c>
      <c r="C1134" t="s">
        <v>1041</v>
      </c>
      <c r="D1134" t="s">
        <v>1388</v>
      </c>
      <c r="E1134" cm="1">
        <f t="array" ref="E1134">_xlfn.XLOOKUP(D1134,SKU_Master!A:A,SKU_Master!B:B,"Not on master")</f>
        <v>0</v>
      </c>
      <c r="F1134" cm="1">
        <f t="array" ref="F1134">_xlfn.XLOOKUP(C1134,Account_Master!A:A,Account_Master!B:B,"Not on master")</f>
        <v>0</v>
      </c>
      <c r="G1134" cm="1">
        <f t="array" ref="G1134">_xlfn.XLOOKUP(C1134,Account_Master!A:A,Account_Master!C:C,"Not on master")</f>
        <v>0</v>
      </c>
      <c r="H1134" s="6">
        <v>1.12</v>
      </c>
      <c r="I1134" s="6">
        <v>1.12</v>
      </c>
      <c r="J1134" s="6">
        <f>I1134-H1134</f>
        <v>0</v>
      </c>
      <c r="K1134" s="5">
        <f>IF(H1134=0,"",J1134/H1134)</f>
        <v>0</v>
      </c>
      <c r="L1134">
        <f>IF(OR(AND(H1134=0,ABS(J1134)&gt;=0.01),AND(H1134&lt;&gt;0,ABS(K1134)&gt;VarianceThreshold)),"Review","OK")</f>
        <v>0</v>
      </c>
      <c r="M1134" t="s">
        <v>33</v>
      </c>
    </row>
    <row r="1135" spans="1:13">
      <c r="A1135" t="s">
        <v>1</v>
      </c>
      <c r="B1135" t="s">
        <v>650</v>
      </c>
      <c r="C1135" t="s">
        <v>1036</v>
      </c>
      <c r="D1135" t="s">
        <v>1389</v>
      </c>
      <c r="E1135" cm="1">
        <f t="array" ref="E1135">_xlfn.XLOOKUP(D1135,SKU_Master!A:A,SKU_Master!B:B,"Not on master")</f>
        <v>0</v>
      </c>
      <c r="F1135" cm="1">
        <f t="array" ref="F1135">_xlfn.XLOOKUP(C1135,Account_Master!A:A,Account_Master!B:B,"Not on master")</f>
        <v>0</v>
      </c>
      <c r="G1135" cm="1">
        <f t="array" ref="G1135">_xlfn.XLOOKUP(C1135,Account_Master!A:A,Account_Master!C:C,"Not on master")</f>
        <v>0</v>
      </c>
      <c r="H1135" s="6">
        <v>31.5</v>
      </c>
      <c r="I1135" s="6">
        <v>31.5</v>
      </c>
      <c r="J1135" s="6">
        <f>I1135-H1135</f>
        <v>0</v>
      </c>
      <c r="K1135" s="5">
        <f>IF(H1135=0,"",J1135/H1135)</f>
        <v>0</v>
      </c>
      <c r="L1135">
        <f>IF(OR(AND(H1135=0,ABS(J1135)&gt;=0.01),AND(H1135&lt;&gt;0,ABS(K1135)&gt;VarianceThreshold)),"Review","OK")</f>
        <v>0</v>
      </c>
      <c r="M1135" t="s">
        <v>33</v>
      </c>
    </row>
    <row r="1136" spans="1:13">
      <c r="A1136" t="s">
        <v>1</v>
      </c>
      <c r="B1136" t="s">
        <v>650</v>
      </c>
      <c r="C1136" t="s">
        <v>1034</v>
      </c>
      <c r="D1136" t="s">
        <v>1390</v>
      </c>
      <c r="E1136" cm="1">
        <f t="array" ref="E1136">_xlfn.XLOOKUP(D1136,SKU_Master!A:A,SKU_Master!B:B,"Not on master")</f>
        <v>0</v>
      </c>
      <c r="F1136" cm="1">
        <f t="array" ref="F1136">_xlfn.XLOOKUP(C1136,Account_Master!A:A,Account_Master!B:B,"Not on master")</f>
        <v>0</v>
      </c>
      <c r="G1136" cm="1">
        <f t="array" ref="G1136">_xlfn.XLOOKUP(C1136,Account_Master!A:A,Account_Master!C:C,"Not on master")</f>
        <v>0</v>
      </c>
      <c r="H1136" s="6">
        <v>3.5</v>
      </c>
      <c r="I1136" s="6">
        <v>3.5</v>
      </c>
      <c r="J1136" s="6">
        <f>I1136-H1136</f>
        <v>0</v>
      </c>
      <c r="K1136" s="5">
        <f>IF(H1136=0,"",J1136/H1136)</f>
        <v>0</v>
      </c>
      <c r="L1136">
        <f>IF(OR(AND(H1136=0,ABS(J1136)&gt;=0.01),AND(H1136&lt;&gt;0,ABS(K1136)&gt;VarianceThreshold)),"Review","OK")</f>
        <v>0</v>
      </c>
      <c r="M1136" t="s">
        <v>33</v>
      </c>
    </row>
    <row r="1137" spans="1:13">
      <c r="A1137" t="s">
        <v>1</v>
      </c>
      <c r="B1137" t="s">
        <v>650</v>
      </c>
      <c r="C1137" t="s">
        <v>1072</v>
      </c>
      <c r="D1137" t="s">
        <v>1391</v>
      </c>
      <c r="E1137" cm="1">
        <f t="array" ref="E1137">_xlfn.XLOOKUP(D1137,SKU_Master!A:A,SKU_Master!B:B,"Not on master")</f>
        <v>0</v>
      </c>
      <c r="F1137" cm="1">
        <f t="array" ref="F1137">_xlfn.XLOOKUP(C1137,Account_Master!A:A,Account_Master!B:B,"Not on master")</f>
        <v>0</v>
      </c>
      <c r="G1137" cm="1">
        <f t="array" ref="G1137">_xlfn.XLOOKUP(C1137,Account_Master!A:A,Account_Master!C:C,"Not on master")</f>
        <v>0</v>
      </c>
      <c r="H1137" s="6">
        <v>1</v>
      </c>
      <c r="I1137" s="6">
        <v>1</v>
      </c>
      <c r="J1137" s="6">
        <f>I1137-H1137</f>
        <v>0</v>
      </c>
      <c r="K1137" s="5">
        <f>IF(H1137=0,"",J1137/H1137)</f>
        <v>0</v>
      </c>
      <c r="L1137">
        <f>IF(OR(AND(H1137=0,ABS(J1137)&gt;=0.01),AND(H1137&lt;&gt;0,ABS(K1137)&gt;VarianceThreshold)),"Review","OK")</f>
        <v>0</v>
      </c>
      <c r="M1137" t="s">
        <v>33</v>
      </c>
    </row>
    <row r="1138" spans="1:13">
      <c r="A1138" t="s">
        <v>1</v>
      </c>
      <c r="B1138" t="s">
        <v>650</v>
      </c>
      <c r="C1138" t="s">
        <v>1041</v>
      </c>
      <c r="D1138" t="s">
        <v>591</v>
      </c>
      <c r="E1138" cm="1">
        <f t="array" ref="E1138">_xlfn.XLOOKUP(D1138,SKU_Master!A:A,SKU_Master!B:B,"Not on master")</f>
        <v>0</v>
      </c>
      <c r="F1138" cm="1">
        <f t="array" ref="F1138">_xlfn.XLOOKUP(C1138,Account_Master!A:A,Account_Master!B:B,"Not on master")</f>
        <v>0</v>
      </c>
      <c r="G1138" cm="1">
        <f t="array" ref="G1138">_xlfn.XLOOKUP(C1138,Account_Master!A:A,Account_Master!C:C,"Not on master")</f>
        <v>0</v>
      </c>
      <c r="H1138" s="6">
        <v>169.75</v>
      </c>
      <c r="I1138" s="6">
        <v>169.75</v>
      </c>
      <c r="J1138" s="6">
        <f>I1138-H1138</f>
        <v>0</v>
      </c>
      <c r="K1138" s="5">
        <f>IF(H1138=0,"",J1138/H1138)</f>
        <v>0</v>
      </c>
      <c r="L1138">
        <f>IF(OR(AND(H1138=0,ABS(J1138)&gt;=0.01),AND(H1138&lt;&gt;0,ABS(K1138)&gt;VarianceThreshold)),"Review","OK")</f>
        <v>0</v>
      </c>
      <c r="M1138" t="s">
        <v>33</v>
      </c>
    </row>
    <row r="1139" spans="1:13">
      <c r="A1139" t="s">
        <v>1</v>
      </c>
      <c r="B1139" t="s">
        <v>650</v>
      </c>
      <c r="C1139" t="s">
        <v>1013</v>
      </c>
      <c r="D1139" t="s">
        <v>1392</v>
      </c>
      <c r="E1139" cm="1">
        <f t="array" ref="E1139">_xlfn.XLOOKUP(D1139,SKU_Master!A:A,SKU_Master!B:B,"Not on master")</f>
        <v>0</v>
      </c>
      <c r="F1139" cm="1">
        <f t="array" ref="F1139">_xlfn.XLOOKUP(C1139,Account_Master!A:A,Account_Master!B:B,"Not on master")</f>
        <v>0</v>
      </c>
      <c r="G1139" cm="1">
        <f t="array" ref="G1139">_xlfn.XLOOKUP(C1139,Account_Master!A:A,Account_Master!C:C,"Not on master")</f>
        <v>0</v>
      </c>
      <c r="H1139" s="6">
        <v>6.75</v>
      </c>
      <c r="I1139" s="6">
        <v>6.75</v>
      </c>
      <c r="J1139" s="6">
        <f>I1139-H1139</f>
        <v>0</v>
      </c>
      <c r="K1139" s="5">
        <f>IF(H1139=0,"",J1139/H1139)</f>
        <v>0</v>
      </c>
      <c r="L1139">
        <f>IF(OR(AND(H1139=0,ABS(J1139)&gt;=0.01),AND(H1139&lt;&gt;0,ABS(K1139)&gt;VarianceThreshold)),"Review","OK")</f>
        <v>0</v>
      </c>
      <c r="M1139" t="s">
        <v>33</v>
      </c>
    </row>
    <row r="1140" spans="1:13">
      <c r="A1140" t="s">
        <v>1</v>
      </c>
      <c r="B1140" t="s">
        <v>650</v>
      </c>
      <c r="C1140" t="s">
        <v>1013</v>
      </c>
      <c r="D1140" t="s">
        <v>795</v>
      </c>
      <c r="E1140" cm="1">
        <f t="array" ref="E1140">_xlfn.XLOOKUP(D1140,SKU_Master!A:A,SKU_Master!B:B,"Not on master")</f>
        <v>0</v>
      </c>
      <c r="F1140" cm="1">
        <f t="array" ref="F1140">_xlfn.XLOOKUP(C1140,Account_Master!A:A,Account_Master!B:B,"Not on master")</f>
        <v>0</v>
      </c>
      <c r="G1140" cm="1">
        <f t="array" ref="G1140">_xlfn.XLOOKUP(C1140,Account_Master!A:A,Account_Master!C:C,"Not on master")</f>
        <v>0</v>
      </c>
      <c r="H1140" s="6">
        <v>21.75</v>
      </c>
      <c r="I1140" s="6">
        <v>21.75</v>
      </c>
      <c r="J1140" s="6">
        <f>I1140-H1140</f>
        <v>0</v>
      </c>
      <c r="K1140" s="5">
        <f>IF(H1140=0,"",J1140/H1140)</f>
        <v>0</v>
      </c>
      <c r="L1140">
        <f>IF(OR(AND(H1140=0,ABS(J1140)&gt;=0.01),AND(H1140&lt;&gt;0,ABS(K1140)&gt;VarianceThreshold)),"Review","OK")</f>
        <v>0</v>
      </c>
      <c r="M1140" t="s">
        <v>33</v>
      </c>
    </row>
    <row r="1141" spans="1:13">
      <c r="A1141" t="s">
        <v>1</v>
      </c>
      <c r="B1141" t="s">
        <v>658</v>
      </c>
      <c r="C1141" t="s">
        <v>1034</v>
      </c>
      <c r="D1141" t="s">
        <v>1393</v>
      </c>
      <c r="E1141" cm="1">
        <f t="array" ref="E1141">_xlfn.XLOOKUP(D1141,SKU_Master!A:A,SKU_Master!B:B,"Not on master")</f>
        <v>0</v>
      </c>
      <c r="F1141" cm="1">
        <f t="array" ref="F1141">_xlfn.XLOOKUP(C1141,Account_Master!A:A,Account_Master!B:B,"Not on master")</f>
        <v>0</v>
      </c>
      <c r="G1141" cm="1">
        <f t="array" ref="G1141">_xlfn.XLOOKUP(C1141,Account_Master!A:A,Account_Master!C:C,"Not on master")</f>
        <v>0</v>
      </c>
      <c r="H1141" s="6">
        <v>15</v>
      </c>
      <c r="I1141" s="6">
        <v>15</v>
      </c>
      <c r="J1141" s="6">
        <f>I1141-H1141</f>
        <v>0</v>
      </c>
      <c r="K1141" s="5">
        <f>IF(H1141=0,"",J1141/H1141)</f>
        <v>0</v>
      </c>
      <c r="L1141">
        <f>IF(OR(AND(H1141=0,ABS(J1141)&gt;=0.01),AND(H1141&lt;&gt;0,ABS(K1141)&gt;VarianceThreshold)),"Review","OK")</f>
        <v>0</v>
      </c>
      <c r="M1141" t="s">
        <v>33</v>
      </c>
    </row>
    <row r="1142" spans="1:13">
      <c r="A1142" t="s">
        <v>1</v>
      </c>
      <c r="B1142" t="s">
        <v>658</v>
      </c>
      <c r="C1142" t="s">
        <v>1032</v>
      </c>
      <c r="D1142" t="s">
        <v>1394</v>
      </c>
      <c r="E1142" cm="1">
        <f t="array" ref="E1142">_xlfn.XLOOKUP(D1142,SKU_Master!A:A,SKU_Master!B:B,"Not on master")</f>
        <v>0</v>
      </c>
      <c r="F1142" cm="1">
        <f t="array" ref="F1142">_xlfn.XLOOKUP(C1142,Account_Master!A:A,Account_Master!B:B,"Not on master")</f>
        <v>0</v>
      </c>
      <c r="G1142" cm="1">
        <f t="array" ref="G1142">_xlfn.XLOOKUP(C1142,Account_Master!A:A,Account_Master!C:C,"Not on master")</f>
        <v>0</v>
      </c>
      <c r="H1142" s="6">
        <v>9.75</v>
      </c>
      <c r="I1142" s="6">
        <v>9.75</v>
      </c>
      <c r="J1142" s="6">
        <f>I1142-H1142</f>
        <v>0</v>
      </c>
      <c r="K1142" s="5">
        <f>IF(H1142=0,"",J1142/H1142)</f>
        <v>0</v>
      </c>
      <c r="L1142">
        <f>IF(OR(AND(H1142=0,ABS(J1142)&gt;=0.01),AND(H1142&lt;&gt;0,ABS(K1142)&gt;VarianceThreshold)),"Review","OK")</f>
        <v>0</v>
      </c>
      <c r="M1142" t="s">
        <v>33</v>
      </c>
    </row>
    <row r="1143" spans="1:13">
      <c r="A1143" t="s">
        <v>1</v>
      </c>
      <c r="B1143" t="s">
        <v>658</v>
      </c>
      <c r="C1143" t="s">
        <v>1380</v>
      </c>
      <c r="D1143" t="s">
        <v>1395</v>
      </c>
      <c r="E1143" cm="1">
        <f t="array" ref="E1143">_xlfn.XLOOKUP(D1143,SKU_Master!A:A,SKU_Master!B:B,"Not on master")</f>
        <v>0</v>
      </c>
      <c r="F1143" cm="1">
        <f t="array" ref="F1143">_xlfn.XLOOKUP(C1143,Account_Master!A:A,Account_Master!B:B,"Not on master")</f>
        <v>0</v>
      </c>
      <c r="G1143" cm="1">
        <f t="array" ref="G1143">_xlfn.XLOOKUP(C1143,Account_Master!A:A,Account_Master!C:C,"Not on master")</f>
        <v>0</v>
      </c>
      <c r="H1143" s="6">
        <v>4.87</v>
      </c>
      <c r="I1143" s="6">
        <v>4.87</v>
      </c>
      <c r="J1143" s="6">
        <f>I1143-H1143</f>
        <v>0</v>
      </c>
      <c r="K1143" s="5">
        <f>IF(H1143=0,"",J1143/H1143)</f>
        <v>0</v>
      </c>
      <c r="L1143">
        <f>IF(OR(AND(H1143=0,ABS(J1143)&gt;=0.01),AND(H1143&lt;&gt;0,ABS(K1143)&gt;VarianceThreshold)),"Review","OK")</f>
        <v>0</v>
      </c>
      <c r="M1143" t="s">
        <v>33</v>
      </c>
    </row>
    <row r="1144" spans="1:13">
      <c r="A1144" t="s">
        <v>1</v>
      </c>
      <c r="B1144" t="s">
        <v>658</v>
      </c>
      <c r="C1144" t="s">
        <v>1272</v>
      </c>
      <c r="D1144" t="s">
        <v>1396</v>
      </c>
      <c r="E1144" cm="1">
        <f t="array" ref="E1144">_xlfn.XLOOKUP(D1144,SKU_Master!A:A,SKU_Master!B:B,"Not on master")</f>
        <v>0</v>
      </c>
      <c r="F1144" cm="1">
        <f t="array" ref="F1144">_xlfn.XLOOKUP(C1144,Account_Master!A:A,Account_Master!B:B,"Not on master")</f>
        <v>0</v>
      </c>
      <c r="G1144" cm="1">
        <f t="array" ref="G1144">_xlfn.XLOOKUP(C1144,Account_Master!A:A,Account_Master!C:C,"Not on master")</f>
        <v>0</v>
      </c>
      <c r="H1144" s="6">
        <v>2</v>
      </c>
      <c r="I1144" s="6">
        <v>2</v>
      </c>
      <c r="J1144" s="6">
        <f>I1144-H1144</f>
        <v>0</v>
      </c>
      <c r="K1144" s="5">
        <f>IF(H1144=0,"",J1144/H1144)</f>
        <v>0</v>
      </c>
      <c r="L1144">
        <f>IF(OR(AND(H1144=0,ABS(J1144)&gt;=0.01),AND(H1144&lt;&gt;0,ABS(K1144)&gt;VarianceThreshold)),"Review","OK")</f>
        <v>0</v>
      </c>
      <c r="M1144" t="s">
        <v>33</v>
      </c>
    </row>
    <row r="1145" spans="1:13">
      <c r="A1145" t="s">
        <v>1</v>
      </c>
      <c r="B1145" t="s">
        <v>658</v>
      </c>
      <c r="C1145" t="s">
        <v>1397</v>
      </c>
      <c r="D1145" t="s">
        <v>603</v>
      </c>
      <c r="E1145" cm="1">
        <f t="array" ref="E1145">_xlfn.XLOOKUP(D1145,SKU_Master!A:A,SKU_Master!B:B,"Not on master")</f>
        <v>0</v>
      </c>
      <c r="F1145" cm="1">
        <f t="array" ref="F1145">_xlfn.XLOOKUP(C1145,Account_Master!A:A,Account_Master!B:B,"Not on master")</f>
        <v>0</v>
      </c>
      <c r="G1145" cm="1">
        <f t="array" ref="G1145">_xlfn.XLOOKUP(C1145,Account_Master!A:A,Account_Master!C:C,"Not on master")</f>
        <v>0</v>
      </c>
      <c r="H1145" s="6">
        <v>83.8</v>
      </c>
      <c r="I1145" s="6">
        <v>83.8</v>
      </c>
      <c r="J1145" s="6">
        <f>I1145-H1145</f>
        <v>0</v>
      </c>
      <c r="K1145" s="5">
        <f>IF(H1145=0,"",J1145/H1145)</f>
        <v>0</v>
      </c>
      <c r="L1145">
        <f>IF(OR(AND(H1145=0,ABS(J1145)&gt;=0.01),AND(H1145&lt;&gt;0,ABS(K1145)&gt;VarianceThreshold)),"Review","OK")</f>
        <v>0</v>
      </c>
      <c r="M1145" t="s">
        <v>33</v>
      </c>
    </row>
    <row r="1146" spans="1:13">
      <c r="A1146" t="s">
        <v>1</v>
      </c>
      <c r="B1146" t="s">
        <v>673</v>
      </c>
      <c r="C1146" t="s">
        <v>1041</v>
      </c>
      <c r="D1146" t="s">
        <v>1398</v>
      </c>
      <c r="E1146" cm="1">
        <f t="array" ref="E1146">_xlfn.XLOOKUP(D1146,SKU_Master!A:A,SKU_Master!B:B,"Not on master")</f>
        <v>0</v>
      </c>
      <c r="F1146" cm="1">
        <f t="array" ref="F1146">_xlfn.XLOOKUP(C1146,Account_Master!A:A,Account_Master!B:B,"Not on master")</f>
        <v>0</v>
      </c>
      <c r="G1146" cm="1">
        <f t="array" ref="G1146">_xlfn.XLOOKUP(C1146,Account_Master!A:A,Account_Master!C:C,"Not on master")</f>
        <v>0</v>
      </c>
      <c r="H1146" s="6">
        <v>3</v>
      </c>
      <c r="I1146" s="6">
        <v>3</v>
      </c>
      <c r="J1146" s="6">
        <f>I1146-H1146</f>
        <v>0</v>
      </c>
      <c r="K1146" s="5">
        <f>IF(H1146=0,"",J1146/H1146)</f>
        <v>0</v>
      </c>
      <c r="L1146">
        <f>IF(OR(AND(H1146=0,ABS(J1146)&gt;=0.01),AND(H1146&lt;&gt;0,ABS(K1146)&gt;VarianceThreshold)),"Review","OK")</f>
        <v>0</v>
      </c>
      <c r="M1146" t="s">
        <v>33</v>
      </c>
    </row>
    <row r="1147" spans="1:13">
      <c r="A1147" t="s">
        <v>1</v>
      </c>
      <c r="B1147" t="s">
        <v>673</v>
      </c>
      <c r="C1147" t="s">
        <v>1018</v>
      </c>
      <c r="D1147" t="s">
        <v>1399</v>
      </c>
      <c r="E1147" cm="1">
        <f t="array" ref="E1147">_xlfn.XLOOKUP(D1147,SKU_Master!A:A,SKU_Master!B:B,"Not on master")</f>
        <v>0</v>
      </c>
      <c r="F1147" cm="1">
        <f t="array" ref="F1147">_xlfn.XLOOKUP(C1147,Account_Master!A:A,Account_Master!B:B,"Not on master")</f>
        <v>0</v>
      </c>
      <c r="G1147" cm="1">
        <f t="array" ref="G1147">_xlfn.XLOOKUP(C1147,Account_Master!A:A,Account_Master!C:C,"Not on master")</f>
        <v>0</v>
      </c>
      <c r="H1147" s="6">
        <v>27</v>
      </c>
      <c r="I1147" s="6">
        <v>27</v>
      </c>
      <c r="J1147" s="6">
        <f>I1147-H1147</f>
        <v>0</v>
      </c>
      <c r="K1147" s="5">
        <f>IF(H1147=0,"",J1147/H1147)</f>
        <v>0</v>
      </c>
      <c r="L1147">
        <f>IF(OR(AND(H1147=0,ABS(J1147)&gt;=0.01),AND(H1147&lt;&gt;0,ABS(K1147)&gt;VarianceThreshold)),"Review","OK")</f>
        <v>0</v>
      </c>
      <c r="M1147" t="s">
        <v>33</v>
      </c>
    </row>
    <row r="1148" spans="1:13">
      <c r="A1148" t="s">
        <v>1</v>
      </c>
      <c r="B1148" t="s">
        <v>681</v>
      </c>
      <c r="C1148" t="s">
        <v>1230</v>
      </c>
      <c r="D1148" t="s">
        <v>1400</v>
      </c>
      <c r="E1148" cm="1">
        <f t="array" ref="E1148">_xlfn.XLOOKUP(D1148,SKU_Master!A:A,SKU_Master!B:B,"Not on master")</f>
        <v>0</v>
      </c>
      <c r="F1148" cm="1">
        <f t="array" ref="F1148">_xlfn.XLOOKUP(C1148,Account_Master!A:A,Account_Master!B:B,"Not on master")</f>
        <v>0</v>
      </c>
      <c r="G1148" cm="1">
        <f t="array" ref="G1148">_xlfn.XLOOKUP(C1148,Account_Master!A:A,Account_Master!C:C,"Not on master")</f>
        <v>0</v>
      </c>
      <c r="H1148" s="6">
        <v>1.5</v>
      </c>
      <c r="I1148" s="6">
        <v>1.5</v>
      </c>
      <c r="J1148" s="6">
        <f>I1148-H1148</f>
        <v>0</v>
      </c>
      <c r="K1148" s="5">
        <f>IF(H1148=0,"",J1148/H1148)</f>
        <v>0</v>
      </c>
      <c r="L1148">
        <f>IF(OR(AND(H1148=0,ABS(J1148)&gt;=0.01),AND(H1148&lt;&gt;0,ABS(K1148)&gt;VarianceThreshold)),"Review","OK")</f>
        <v>0</v>
      </c>
      <c r="M1148" t="s">
        <v>33</v>
      </c>
    </row>
    <row r="1149" spans="1:13">
      <c r="A1149" t="s">
        <v>1</v>
      </c>
      <c r="B1149" t="s">
        <v>681</v>
      </c>
      <c r="C1149" t="s">
        <v>1401</v>
      </c>
      <c r="D1149" t="s">
        <v>1402</v>
      </c>
      <c r="E1149" cm="1">
        <f t="array" ref="E1149">_xlfn.XLOOKUP(D1149,SKU_Master!A:A,SKU_Master!B:B,"Not on master")</f>
        <v>0</v>
      </c>
      <c r="F1149" cm="1">
        <f t="array" ref="F1149">_xlfn.XLOOKUP(C1149,Account_Master!A:A,Account_Master!B:B,"Not on master")</f>
        <v>0</v>
      </c>
      <c r="G1149" cm="1">
        <f t="array" ref="G1149">_xlfn.XLOOKUP(C1149,Account_Master!A:A,Account_Master!C:C,"Not on master")</f>
        <v>0</v>
      </c>
      <c r="H1149" s="6">
        <v>46.4</v>
      </c>
      <c r="I1149" s="6">
        <v>46.4</v>
      </c>
      <c r="J1149" s="6">
        <f>I1149-H1149</f>
        <v>0</v>
      </c>
      <c r="K1149" s="5">
        <f>IF(H1149=0,"",J1149/H1149)</f>
        <v>0</v>
      </c>
      <c r="L1149">
        <f>IF(OR(AND(H1149=0,ABS(J1149)&gt;=0.01),AND(H1149&lt;&gt;0,ABS(K1149)&gt;VarianceThreshold)),"Review","OK")</f>
        <v>0</v>
      </c>
      <c r="M1149" t="s">
        <v>33</v>
      </c>
    </row>
    <row r="1150" spans="1:13">
      <c r="A1150" t="s">
        <v>1</v>
      </c>
      <c r="B1150" t="s">
        <v>681</v>
      </c>
      <c r="C1150" t="s">
        <v>1403</v>
      </c>
      <c r="D1150" t="s">
        <v>1404</v>
      </c>
      <c r="E1150" cm="1">
        <f t="array" ref="E1150">_xlfn.XLOOKUP(D1150,SKU_Master!A:A,SKU_Master!B:B,"Not on master")</f>
        <v>0</v>
      </c>
      <c r="F1150" cm="1">
        <f t="array" ref="F1150">_xlfn.XLOOKUP(C1150,Account_Master!A:A,Account_Master!B:B,"Not on master")</f>
        <v>0</v>
      </c>
      <c r="G1150" cm="1">
        <f t="array" ref="G1150">_xlfn.XLOOKUP(C1150,Account_Master!A:A,Account_Master!C:C,"Not on master")</f>
        <v>0</v>
      </c>
      <c r="H1150" s="6">
        <v>3311</v>
      </c>
      <c r="I1150" s="6">
        <v>3321.5</v>
      </c>
      <c r="J1150" s="6">
        <f>I1150-H1150</f>
        <v>0</v>
      </c>
      <c r="K1150" s="5">
        <f>IF(H1150=0,"",J1150/H1150)</f>
        <v>0</v>
      </c>
      <c r="L1150">
        <f>IF(OR(AND(H1150=0,ABS(J1150)&gt;=0.01),AND(H1150&lt;&gt;0,ABS(K1150)&gt;VarianceThreshold)),"Review","OK")</f>
        <v>0</v>
      </c>
      <c r="M1150" t="s">
        <v>33</v>
      </c>
    </row>
    <row r="1151" spans="1:13">
      <c r="A1151" t="s">
        <v>1</v>
      </c>
      <c r="B1151" t="s">
        <v>681</v>
      </c>
      <c r="C1151" t="s">
        <v>1405</v>
      </c>
      <c r="D1151" t="s">
        <v>698</v>
      </c>
      <c r="E1151" cm="1">
        <f t="array" ref="E1151">_xlfn.XLOOKUP(D1151,SKU_Master!A:A,SKU_Master!B:B,"Not on master")</f>
        <v>0</v>
      </c>
      <c r="F1151" cm="1">
        <f t="array" ref="F1151">_xlfn.XLOOKUP(C1151,Account_Master!A:A,Account_Master!B:B,"Not on master")</f>
        <v>0</v>
      </c>
      <c r="G1151" cm="1">
        <f t="array" ref="G1151">_xlfn.XLOOKUP(C1151,Account_Master!A:A,Account_Master!C:C,"Not on master")</f>
        <v>0</v>
      </c>
      <c r="H1151" s="6">
        <v>1.5</v>
      </c>
      <c r="I1151" s="6">
        <v>1.5</v>
      </c>
      <c r="J1151" s="6">
        <f>I1151-H1151</f>
        <v>0</v>
      </c>
      <c r="K1151" s="5">
        <f>IF(H1151=0,"",J1151/H1151)</f>
        <v>0</v>
      </c>
      <c r="L1151">
        <f>IF(OR(AND(H1151=0,ABS(J1151)&gt;=0.01),AND(H1151&lt;&gt;0,ABS(K1151)&gt;VarianceThreshold)),"Review","OK")</f>
        <v>0</v>
      </c>
      <c r="M1151" t="s">
        <v>33</v>
      </c>
    </row>
    <row r="1152" spans="1:13">
      <c r="A1152" t="s">
        <v>1</v>
      </c>
      <c r="B1152" t="s">
        <v>689</v>
      </c>
      <c r="C1152" t="s">
        <v>1076</v>
      </c>
      <c r="D1152" t="s">
        <v>1406</v>
      </c>
      <c r="E1152" cm="1">
        <f t="array" ref="E1152">_xlfn.XLOOKUP(D1152,SKU_Master!A:A,SKU_Master!B:B,"Not on master")</f>
        <v>0</v>
      </c>
      <c r="F1152" cm="1">
        <f t="array" ref="F1152">_xlfn.XLOOKUP(C1152,Account_Master!A:A,Account_Master!B:B,"Not on master")</f>
        <v>0</v>
      </c>
      <c r="G1152" cm="1">
        <f t="array" ref="G1152">_xlfn.XLOOKUP(C1152,Account_Master!A:A,Account_Master!C:C,"Not on master")</f>
        <v>0</v>
      </c>
      <c r="H1152" s="6">
        <v>4.8</v>
      </c>
      <c r="I1152" s="6">
        <v>4.8</v>
      </c>
      <c r="J1152" s="6">
        <f>I1152-H1152</f>
        <v>0</v>
      </c>
      <c r="K1152" s="5">
        <f>IF(H1152=0,"",J1152/H1152)</f>
        <v>0</v>
      </c>
      <c r="L1152">
        <f>IF(OR(AND(H1152=0,ABS(J1152)&gt;=0.01),AND(H1152&lt;&gt;0,ABS(K1152)&gt;VarianceThreshold)),"Review","OK")</f>
        <v>0</v>
      </c>
      <c r="M1152" t="s">
        <v>33</v>
      </c>
    </row>
    <row r="1153" spans="1:13">
      <c r="A1153" t="s">
        <v>1</v>
      </c>
      <c r="B1153" t="s">
        <v>689</v>
      </c>
      <c r="C1153" t="s">
        <v>1053</v>
      </c>
      <c r="D1153" t="s">
        <v>1407</v>
      </c>
      <c r="E1153" cm="1">
        <f t="array" ref="E1153">_xlfn.XLOOKUP(D1153,SKU_Master!A:A,SKU_Master!B:B,"Not on master")</f>
        <v>0</v>
      </c>
      <c r="F1153" cm="1">
        <f t="array" ref="F1153">_xlfn.XLOOKUP(C1153,Account_Master!A:A,Account_Master!B:B,"Not on master")</f>
        <v>0</v>
      </c>
      <c r="G1153" cm="1">
        <f t="array" ref="G1153">_xlfn.XLOOKUP(C1153,Account_Master!A:A,Account_Master!C:C,"Not on master")</f>
        <v>0</v>
      </c>
      <c r="H1153" s="6">
        <v>12.25</v>
      </c>
      <c r="I1153" s="6">
        <v>12.25</v>
      </c>
      <c r="J1153" s="6">
        <f>I1153-H1153</f>
        <v>0</v>
      </c>
      <c r="K1153" s="5">
        <f>IF(H1153=0,"",J1153/H1153)</f>
        <v>0</v>
      </c>
      <c r="L1153">
        <f>IF(OR(AND(H1153=0,ABS(J1153)&gt;=0.01),AND(H1153&lt;&gt;0,ABS(K1153)&gt;VarianceThreshold)),"Review","OK")</f>
        <v>0</v>
      </c>
      <c r="M1153" t="s">
        <v>33</v>
      </c>
    </row>
    <row r="1154" spans="1:13">
      <c r="A1154" t="s">
        <v>1</v>
      </c>
      <c r="B1154" t="s">
        <v>689</v>
      </c>
      <c r="C1154" t="s">
        <v>1345</v>
      </c>
      <c r="D1154" t="s">
        <v>685</v>
      </c>
      <c r="E1154" cm="1">
        <f t="array" ref="E1154">_xlfn.XLOOKUP(D1154,SKU_Master!A:A,SKU_Master!B:B,"Not on master")</f>
        <v>0</v>
      </c>
      <c r="F1154" cm="1">
        <f t="array" ref="F1154">_xlfn.XLOOKUP(C1154,Account_Master!A:A,Account_Master!B:B,"Not on master")</f>
        <v>0</v>
      </c>
      <c r="G1154" cm="1">
        <f t="array" ref="G1154">_xlfn.XLOOKUP(C1154,Account_Master!A:A,Account_Master!C:C,"Not on master")</f>
        <v>0</v>
      </c>
      <c r="H1154" s="6">
        <v>104.99</v>
      </c>
      <c r="I1154" s="6">
        <v>104.99</v>
      </c>
      <c r="J1154" s="6">
        <f>I1154-H1154</f>
        <v>0</v>
      </c>
      <c r="K1154" s="5">
        <f>IF(H1154=0,"",J1154/H1154)</f>
        <v>0</v>
      </c>
      <c r="L1154">
        <f>IF(OR(AND(H1154=0,ABS(J1154)&gt;=0.01),AND(H1154&lt;&gt;0,ABS(K1154)&gt;VarianceThreshold)),"Review","OK")</f>
        <v>0</v>
      </c>
      <c r="M1154" t="s">
        <v>33</v>
      </c>
    </row>
    <row r="1155" spans="1:13">
      <c r="A1155" t="s">
        <v>1</v>
      </c>
      <c r="B1155" t="s">
        <v>701</v>
      </c>
      <c r="C1155" t="s">
        <v>1034</v>
      </c>
      <c r="D1155" t="s">
        <v>381</v>
      </c>
      <c r="E1155" cm="1">
        <f t="array" ref="E1155">_xlfn.XLOOKUP(D1155,SKU_Master!A:A,SKU_Master!B:B,"Not on master")</f>
        <v>0</v>
      </c>
      <c r="F1155" cm="1">
        <f t="array" ref="F1155">_xlfn.XLOOKUP(C1155,Account_Master!A:A,Account_Master!B:B,"Not on master")</f>
        <v>0</v>
      </c>
      <c r="G1155" cm="1">
        <f t="array" ref="G1155">_xlfn.XLOOKUP(C1155,Account_Master!A:A,Account_Master!C:C,"Not on master")</f>
        <v>0</v>
      </c>
      <c r="H1155" s="6">
        <v>1.5</v>
      </c>
      <c r="I1155" s="6">
        <v>1.5</v>
      </c>
      <c r="J1155" s="6">
        <f>I1155-H1155</f>
        <v>0</v>
      </c>
      <c r="K1155" s="5">
        <f>IF(H1155=0,"",J1155/H1155)</f>
        <v>0</v>
      </c>
      <c r="L1155">
        <f>IF(OR(AND(H1155=0,ABS(J1155)&gt;=0.01),AND(H1155&lt;&gt;0,ABS(K1155)&gt;VarianceThreshold)),"Review","OK")</f>
        <v>0</v>
      </c>
      <c r="M1155" t="s">
        <v>33</v>
      </c>
    </row>
    <row r="1156" spans="1:13">
      <c r="A1156" t="s">
        <v>1</v>
      </c>
      <c r="B1156" t="s">
        <v>701</v>
      </c>
      <c r="C1156" t="s">
        <v>1010</v>
      </c>
      <c r="D1156" t="s">
        <v>1408</v>
      </c>
      <c r="E1156" cm="1">
        <f t="array" ref="E1156">_xlfn.XLOOKUP(D1156,SKU_Master!A:A,SKU_Master!B:B,"Not on master")</f>
        <v>0</v>
      </c>
      <c r="F1156" cm="1">
        <f t="array" ref="F1156">_xlfn.XLOOKUP(C1156,Account_Master!A:A,Account_Master!B:B,"Not on master")</f>
        <v>0</v>
      </c>
      <c r="G1156" cm="1">
        <f t="array" ref="G1156">_xlfn.XLOOKUP(C1156,Account_Master!A:A,Account_Master!C:C,"Not on master")</f>
        <v>0</v>
      </c>
      <c r="H1156" s="6">
        <v>18</v>
      </c>
      <c r="I1156" s="6">
        <v>18</v>
      </c>
      <c r="J1156" s="6">
        <f>I1156-H1156</f>
        <v>0</v>
      </c>
      <c r="K1156" s="5">
        <f>IF(H1156=0,"",J1156/H1156)</f>
        <v>0</v>
      </c>
      <c r="L1156">
        <f>IF(OR(AND(H1156=0,ABS(J1156)&gt;=0.01),AND(H1156&lt;&gt;0,ABS(K1156)&gt;VarianceThreshold)),"Review","OK")</f>
        <v>0</v>
      </c>
      <c r="M1156" t="s">
        <v>33</v>
      </c>
    </row>
    <row r="1157" spans="1:13">
      <c r="A1157" t="s">
        <v>1</v>
      </c>
      <c r="B1157" t="s">
        <v>701</v>
      </c>
      <c r="C1157" t="s">
        <v>1010</v>
      </c>
      <c r="D1157" t="s">
        <v>1409</v>
      </c>
      <c r="E1157" cm="1">
        <f t="array" ref="E1157">_xlfn.XLOOKUP(D1157,SKU_Master!A:A,SKU_Master!B:B,"Not on master")</f>
        <v>0</v>
      </c>
      <c r="F1157" cm="1">
        <f t="array" ref="F1157">_xlfn.XLOOKUP(C1157,Account_Master!A:A,Account_Master!B:B,"Not on master")</f>
        <v>0</v>
      </c>
      <c r="G1157" cm="1">
        <f t="array" ref="G1157">_xlfn.XLOOKUP(C1157,Account_Master!A:A,Account_Master!C:C,"Not on master")</f>
        <v>0</v>
      </c>
      <c r="H1157" s="6">
        <v>4.5</v>
      </c>
      <c r="I1157" s="6">
        <v>4.5</v>
      </c>
      <c r="J1157" s="6">
        <f>I1157-H1157</f>
        <v>0</v>
      </c>
      <c r="K1157" s="5">
        <f>IF(H1157=0,"",J1157/H1157)</f>
        <v>0</v>
      </c>
      <c r="L1157">
        <f>IF(OR(AND(H1157=0,ABS(J1157)&gt;=0.01),AND(H1157&lt;&gt;0,ABS(K1157)&gt;VarianceThreshold)),"Review","OK")</f>
        <v>0</v>
      </c>
      <c r="M1157" t="s">
        <v>33</v>
      </c>
    </row>
    <row r="1158" spans="1:13">
      <c r="A1158" t="s">
        <v>1</v>
      </c>
      <c r="B1158" t="s">
        <v>701</v>
      </c>
      <c r="C1158" t="s">
        <v>1010</v>
      </c>
      <c r="D1158" t="s">
        <v>1410</v>
      </c>
      <c r="E1158" cm="1">
        <f t="array" ref="E1158">_xlfn.XLOOKUP(D1158,SKU_Master!A:A,SKU_Master!B:B,"Not on master")</f>
        <v>0</v>
      </c>
      <c r="F1158" cm="1">
        <f t="array" ref="F1158">_xlfn.XLOOKUP(C1158,Account_Master!A:A,Account_Master!B:B,"Not on master")</f>
        <v>0</v>
      </c>
      <c r="G1158" cm="1">
        <f t="array" ref="G1158">_xlfn.XLOOKUP(C1158,Account_Master!A:A,Account_Master!C:C,"Not on master")</f>
        <v>0</v>
      </c>
      <c r="H1158" s="6">
        <v>15</v>
      </c>
      <c r="I1158" s="6">
        <v>15</v>
      </c>
      <c r="J1158" s="6">
        <f>I1158-H1158</f>
        <v>0</v>
      </c>
      <c r="K1158" s="5">
        <f>IF(H1158=0,"",J1158/H1158)</f>
        <v>0</v>
      </c>
      <c r="L1158">
        <f>IF(OR(AND(H1158=0,ABS(J1158)&gt;=0.01),AND(H1158&lt;&gt;0,ABS(K1158)&gt;VarianceThreshold)),"Review","OK")</f>
        <v>0</v>
      </c>
      <c r="M1158" t="s">
        <v>33</v>
      </c>
    </row>
    <row r="1159" spans="1:13">
      <c r="A1159" t="s">
        <v>1</v>
      </c>
      <c r="B1159" t="s">
        <v>701</v>
      </c>
      <c r="C1159" t="s">
        <v>1072</v>
      </c>
      <c r="D1159" t="s">
        <v>1411</v>
      </c>
      <c r="E1159" cm="1">
        <f t="array" ref="E1159">_xlfn.XLOOKUP(D1159,SKU_Master!A:A,SKU_Master!B:B,"Not on master")</f>
        <v>0</v>
      </c>
      <c r="F1159" cm="1">
        <f t="array" ref="F1159">_xlfn.XLOOKUP(C1159,Account_Master!A:A,Account_Master!B:B,"Not on master")</f>
        <v>0</v>
      </c>
      <c r="G1159" cm="1">
        <f t="array" ref="G1159">_xlfn.XLOOKUP(C1159,Account_Master!A:A,Account_Master!C:C,"Not on master")</f>
        <v>0</v>
      </c>
      <c r="H1159" s="6">
        <v>1</v>
      </c>
      <c r="I1159" s="6">
        <v>1</v>
      </c>
      <c r="J1159" s="6">
        <f>I1159-H1159</f>
        <v>0</v>
      </c>
      <c r="K1159" s="5">
        <f>IF(H1159=0,"",J1159/H1159)</f>
        <v>0</v>
      </c>
      <c r="L1159">
        <f>IF(OR(AND(H1159=0,ABS(J1159)&gt;=0.01),AND(H1159&lt;&gt;0,ABS(K1159)&gt;VarianceThreshold)),"Review","OK")</f>
        <v>0</v>
      </c>
      <c r="M1159" t="s">
        <v>33</v>
      </c>
    </row>
    <row r="1160" spans="1:13">
      <c r="A1160" t="s">
        <v>1</v>
      </c>
      <c r="B1160" t="s">
        <v>701</v>
      </c>
      <c r="C1160" t="s">
        <v>1380</v>
      </c>
      <c r="D1160" t="s">
        <v>1412</v>
      </c>
      <c r="E1160" cm="1">
        <f t="array" ref="E1160">_xlfn.XLOOKUP(D1160,SKU_Master!A:A,SKU_Master!B:B,"Not on master")</f>
        <v>0</v>
      </c>
      <c r="F1160" cm="1">
        <f t="array" ref="F1160">_xlfn.XLOOKUP(C1160,Account_Master!A:A,Account_Master!B:B,"Not on master")</f>
        <v>0</v>
      </c>
      <c r="G1160" cm="1">
        <f t="array" ref="G1160">_xlfn.XLOOKUP(C1160,Account_Master!A:A,Account_Master!C:C,"Not on master")</f>
        <v>0</v>
      </c>
      <c r="H1160" s="6">
        <v>9.75</v>
      </c>
      <c r="I1160" s="6">
        <v>9.75</v>
      </c>
      <c r="J1160" s="6">
        <f>I1160-H1160</f>
        <v>0</v>
      </c>
      <c r="K1160" s="5">
        <f>IF(H1160=0,"",J1160/H1160)</f>
        <v>0</v>
      </c>
      <c r="L1160">
        <f>IF(OR(AND(H1160=0,ABS(J1160)&gt;=0.01),AND(H1160&lt;&gt;0,ABS(K1160)&gt;VarianceThreshold)),"Review","OK")</f>
        <v>0</v>
      </c>
      <c r="M1160" t="s">
        <v>33</v>
      </c>
    </row>
    <row r="1161" spans="1:13">
      <c r="A1161" t="s">
        <v>1</v>
      </c>
      <c r="B1161" t="s">
        <v>701</v>
      </c>
      <c r="C1161" t="s">
        <v>1230</v>
      </c>
      <c r="D1161" t="s">
        <v>1413</v>
      </c>
      <c r="E1161" cm="1">
        <f t="array" ref="E1161">_xlfn.XLOOKUP(D1161,SKU_Master!A:A,SKU_Master!B:B,"Not on master")</f>
        <v>0</v>
      </c>
      <c r="F1161" cm="1">
        <f t="array" ref="F1161">_xlfn.XLOOKUP(C1161,Account_Master!A:A,Account_Master!B:B,"Not on master")</f>
        <v>0</v>
      </c>
      <c r="G1161" cm="1">
        <f t="array" ref="G1161">_xlfn.XLOOKUP(C1161,Account_Master!A:A,Account_Master!C:C,"Not on master")</f>
        <v>0</v>
      </c>
      <c r="H1161" s="6">
        <v>1.75</v>
      </c>
      <c r="I1161" s="6">
        <v>1.75</v>
      </c>
      <c r="J1161" s="6">
        <f>I1161-H1161</f>
        <v>0</v>
      </c>
      <c r="K1161" s="5">
        <f>IF(H1161=0,"",J1161/H1161)</f>
        <v>0</v>
      </c>
      <c r="L1161">
        <f>IF(OR(AND(H1161=0,ABS(J1161)&gt;=0.01),AND(H1161&lt;&gt;0,ABS(K1161)&gt;VarianceThreshold)),"Review","OK")</f>
        <v>0</v>
      </c>
      <c r="M1161" t="s">
        <v>33</v>
      </c>
    </row>
    <row r="1162" spans="1:13">
      <c r="A1162" t="s">
        <v>1</v>
      </c>
      <c r="B1162" t="s">
        <v>701</v>
      </c>
      <c r="C1162" t="s">
        <v>1010</v>
      </c>
      <c r="D1162" t="s">
        <v>1414</v>
      </c>
      <c r="E1162" cm="1">
        <f t="array" ref="E1162">_xlfn.XLOOKUP(D1162,SKU_Master!A:A,SKU_Master!B:B,"Not on master")</f>
        <v>0</v>
      </c>
      <c r="F1162" cm="1">
        <f t="array" ref="F1162">_xlfn.XLOOKUP(C1162,Account_Master!A:A,Account_Master!B:B,"Not on master")</f>
        <v>0</v>
      </c>
      <c r="G1162" cm="1">
        <f t="array" ref="G1162">_xlfn.XLOOKUP(C1162,Account_Master!A:A,Account_Master!C:C,"Not on master")</f>
        <v>0</v>
      </c>
      <c r="H1162" s="6">
        <v>4.5</v>
      </c>
      <c r="I1162" s="6">
        <v>4.5</v>
      </c>
      <c r="J1162" s="6">
        <f>I1162-H1162</f>
        <v>0</v>
      </c>
      <c r="K1162" s="5">
        <f>IF(H1162=0,"",J1162/H1162)</f>
        <v>0</v>
      </c>
      <c r="L1162">
        <f>IF(OR(AND(H1162=0,ABS(J1162)&gt;=0.01),AND(H1162&lt;&gt;0,ABS(K1162)&gt;VarianceThreshold)),"Review","OK")</f>
        <v>0</v>
      </c>
      <c r="M1162" t="s">
        <v>33</v>
      </c>
    </row>
    <row r="1163" spans="1:13">
      <c r="A1163" t="s">
        <v>1</v>
      </c>
      <c r="B1163" t="s">
        <v>708</v>
      </c>
      <c r="C1163" t="s">
        <v>1059</v>
      </c>
      <c r="D1163" t="s">
        <v>1415</v>
      </c>
      <c r="E1163" cm="1">
        <f t="array" ref="E1163">_xlfn.XLOOKUP(D1163,SKU_Master!A:A,SKU_Master!B:B,"Not on master")</f>
        <v>0</v>
      </c>
      <c r="F1163" cm="1">
        <f t="array" ref="F1163">_xlfn.XLOOKUP(C1163,Account_Master!A:A,Account_Master!B:B,"Not on master")</f>
        <v>0</v>
      </c>
      <c r="G1163" cm="1">
        <f t="array" ref="G1163">_xlfn.XLOOKUP(C1163,Account_Master!A:A,Account_Master!C:C,"Not on master")</f>
        <v>0</v>
      </c>
      <c r="H1163" s="6">
        <v>0.05</v>
      </c>
      <c r="I1163" s="6">
        <v>0.05</v>
      </c>
      <c r="J1163" s="6">
        <f>I1163-H1163</f>
        <v>0</v>
      </c>
      <c r="K1163" s="5">
        <f>IF(H1163=0,"",J1163/H1163)</f>
        <v>0</v>
      </c>
      <c r="L1163">
        <f>IF(OR(AND(H1163=0,ABS(J1163)&gt;=0.01),AND(H1163&lt;&gt;0,ABS(K1163)&gt;VarianceThreshold)),"Review","OK")</f>
        <v>0</v>
      </c>
      <c r="M1163" t="s">
        <v>33</v>
      </c>
    </row>
    <row r="1164" spans="1:13">
      <c r="A1164" t="s">
        <v>1</v>
      </c>
      <c r="B1164" t="s">
        <v>708</v>
      </c>
      <c r="C1164" t="s">
        <v>1158</v>
      </c>
      <c r="D1164" t="s">
        <v>1416</v>
      </c>
      <c r="E1164" cm="1">
        <f t="array" ref="E1164">_xlfn.XLOOKUP(D1164,SKU_Master!A:A,SKU_Master!B:B,"Not on master")</f>
        <v>0</v>
      </c>
      <c r="F1164" cm="1">
        <f t="array" ref="F1164">_xlfn.XLOOKUP(C1164,Account_Master!A:A,Account_Master!B:B,"Not on master")</f>
        <v>0</v>
      </c>
      <c r="G1164" cm="1">
        <f t="array" ref="G1164">_xlfn.XLOOKUP(C1164,Account_Master!A:A,Account_Master!C:C,"Not on master")</f>
        <v>0</v>
      </c>
      <c r="H1164" s="6">
        <v>2.25</v>
      </c>
      <c r="I1164" s="6">
        <v>2.25</v>
      </c>
      <c r="J1164" s="6">
        <f>I1164-H1164</f>
        <v>0</v>
      </c>
      <c r="K1164" s="5">
        <f>IF(H1164=0,"",J1164/H1164)</f>
        <v>0</v>
      </c>
      <c r="L1164">
        <f>IF(OR(AND(H1164=0,ABS(J1164)&gt;=0.01),AND(H1164&lt;&gt;0,ABS(K1164)&gt;VarianceThreshold)),"Review","OK")</f>
        <v>0</v>
      </c>
      <c r="M1164" t="s">
        <v>33</v>
      </c>
    </row>
    <row r="1165" spans="1:13">
      <c r="A1165" t="s">
        <v>1</v>
      </c>
      <c r="B1165" t="s">
        <v>708</v>
      </c>
      <c r="C1165" t="s">
        <v>1138</v>
      </c>
      <c r="D1165" t="s">
        <v>294</v>
      </c>
      <c r="E1165" cm="1">
        <f t="array" ref="E1165">_xlfn.XLOOKUP(D1165,SKU_Master!A:A,SKU_Master!B:B,"Not on master")</f>
        <v>0</v>
      </c>
      <c r="F1165" cm="1">
        <f t="array" ref="F1165">_xlfn.XLOOKUP(C1165,Account_Master!A:A,Account_Master!B:B,"Not on master")</f>
        <v>0</v>
      </c>
      <c r="G1165" cm="1">
        <f t="array" ref="G1165">_xlfn.XLOOKUP(C1165,Account_Master!A:A,Account_Master!C:C,"Not on master")</f>
        <v>0</v>
      </c>
      <c r="H1165" s="6">
        <v>30</v>
      </c>
      <c r="I1165" s="6">
        <v>30</v>
      </c>
      <c r="J1165" s="6">
        <f>I1165-H1165</f>
        <v>0</v>
      </c>
      <c r="K1165" s="5">
        <f>IF(H1165=0,"",J1165/H1165)</f>
        <v>0</v>
      </c>
      <c r="L1165">
        <f>IF(OR(AND(H1165=0,ABS(J1165)&gt;=0.01),AND(H1165&lt;&gt;0,ABS(K1165)&gt;VarianceThreshold)),"Review","OK")</f>
        <v>0</v>
      </c>
      <c r="M1165" t="s">
        <v>33</v>
      </c>
    </row>
    <row r="1166" spans="1:13">
      <c r="A1166" t="s">
        <v>1</v>
      </c>
      <c r="B1166" t="s">
        <v>708</v>
      </c>
      <c r="C1166" t="s">
        <v>1228</v>
      </c>
      <c r="D1166" t="s">
        <v>1417</v>
      </c>
      <c r="E1166" cm="1">
        <f t="array" ref="E1166">_xlfn.XLOOKUP(D1166,SKU_Master!A:A,SKU_Master!B:B,"Not on master")</f>
        <v>0</v>
      </c>
      <c r="F1166" cm="1">
        <f t="array" ref="F1166">_xlfn.XLOOKUP(C1166,Account_Master!A:A,Account_Master!B:B,"Not on master")</f>
        <v>0</v>
      </c>
      <c r="G1166" cm="1">
        <f t="array" ref="G1166">_xlfn.XLOOKUP(C1166,Account_Master!A:A,Account_Master!C:C,"Not on master")</f>
        <v>0</v>
      </c>
      <c r="H1166" s="6">
        <v>146.62</v>
      </c>
      <c r="I1166" s="6">
        <v>146.62</v>
      </c>
      <c r="J1166" s="6">
        <f>I1166-H1166</f>
        <v>0</v>
      </c>
      <c r="K1166" s="5">
        <f>IF(H1166=0,"",J1166/H1166)</f>
        <v>0</v>
      </c>
      <c r="L1166">
        <f>IF(OR(AND(H1166=0,ABS(J1166)&gt;=0.01),AND(H1166&lt;&gt;0,ABS(K1166)&gt;VarianceThreshold)),"Review","OK")</f>
        <v>0</v>
      </c>
      <c r="M1166" t="s">
        <v>33</v>
      </c>
    </row>
    <row r="1167" spans="1:13">
      <c r="A1167" t="s">
        <v>1</v>
      </c>
      <c r="B1167" t="s">
        <v>708</v>
      </c>
      <c r="C1167" t="s">
        <v>1018</v>
      </c>
      <c r="D1167" t="s">
        <v>1418</v>
      </c>
      <c r="E1167" cm="1">
        <f t="array" ref="E1167">_xlfn.XLOOKUP(D1167,SKU_Master!A:A,SKU_Master!B:B,"Not on master")</f>
        <v>0</v>
      </c>
      <c r="F1167" cm="1">
        <f t="array" ref="F1167">_xlfn.XLOOKUP(C1167,Account_Master!A:A,Account_Master!B:B,"Not on master")</f>
        <v>0</v>
      </c>
      <c r="G1167" cm="1">
        <f t="array" ref="G1167">_xlfn.XLOOKUP(C1167,Account_Master!A:A,Account_Master!C:C,"Not on master")</f>
        <v>0</v>
      </c>
      <c r="H1167" s="6">
        <v>1.5</v>
      </c>
      <c r="I1167" s="6">
        <v>1.5</v>
      </c>
      <c r="J1167" s="6">
        <f>I1167-H1167</f>
        <v>0</v>
      </c>
      <c r="K1167" s="5">
        <f>IF(H1167=0,"",J1167/H1167)</f>
        <v>0</v>
      </c>
      <c r="L1167">
        <f>IF(OR(AND(H1167=0,ABS(J1167)&gt;=0.01),AND(H1167&lt;&gt;0,ABS(K1167)&gt;VarianceThreshold)),"Review","OK")</f>
        <v>0</v>
      </c>
      <c r="M1167" t="s">
        <v>33</v>
      </c>
    </row>
    <row r="1168" spans="1:13">
      <c r="A1168" t="s">
        <v>1</v>
      </c>
      <c r="B1168" t="s">
        <v>708</v>
      </c>
      <c r="C1168" t="s">
        <v>1010</v>
      </c>
      <c r="D1168" t="s">
        <v>785</v>
      </c>
      <c r="E1168" cm="1">
        <f t="array" ref="E1168">_xlfn.XLOOKUP(D1168,SKU_Master!A:A,SKU_Master!B:B,"Not on master")</f>
        <v>0</v>
      </c>
      <c r="F1168" cm="1">
        <f t="array" ref="F1168">_xlfn.XLOOKUP(C1168,Account_Master!A:A,Account_Master!B:B,"Not on master")</f>
        <v>0</v>
      </c>
      <c r="G1168" cm="1">
        <f t="array" ref="G1168">_xlfn.XLOOKUP(C1168,Account_Master!A:A,Account_Master!C:C,"Not on master")</f>
        <v>0</v>
      </c>
      <c r="H1168" s="6">
        <v>9</v>
      </c>
      <c r="I1168" s="6">
        <v>9</v>
      </c>
      <c r="J1168" s="6">
        <f>I1168-H1168</f>
        <v>0</v>
      </c>
      <c r="K1168" s="5">
        <f>IF(H1168=0,"",J1168/H1168)</f>
        <v>0</v>
      </c>
      <c r="L1168">
        <f>IF(OR(AND(H1168=0,ABS(J1168)&gt;=0.01),AND(H1168&lt;&gt;0,ABS(K1168)&gt;VarianceThreshold)),"Review","OK")</f>
        <v>0</v>
      </c>
      <c r="M1168" t="s">
        <v>33</v>
      </c>
    </row>
    <row r="1169" spans="1:13">
      <c r="A1169" t="s">
        <v>1</v>
      </c>
      <c r="B1169" t="s">
        <v>719</v>
      </c>
      <c r="C1169" t="s">
        <v>1024</v>
      </c>
      <c r="D1169" t="s">
        <v>1419</v>
      </c>
      <c r="E1169" cm="1">
        <f t="array" ref="E1169">_xlfn.XLOOKUP(D1169,SKU_Master!A:A,SKU_Master!B:B,"Not on master")</f>
        <v>0</v>
      </c>
      <c r="F1169" cm="1">
        <f t="array" ref="F1169">_xlfn.XLOOKUP(C1169,Account_Master!A:A,Account_Master!B:B,"Not on master")</f>
        <v>0</v>
      </c>
      <c r="G1169" cm="1">
        <f t="array" ref="G1169">_xlfn.XLOOKUP(C1169,Account_Master!A:A,Account_Master!C:C,"Not on master")</f>
        <v>0</v>
      </c>
      <c r="H1169" s="6">
        <v>2.25</v>
      </c>
      <c r="I1169" s="6">
        <v>2.25</v>
      </c>
      <c r="J1169" s="6">
        <f>I1169-H1169</f>
        <v>0</v>
      </c>
      <c r="K1169" s="5">
        <f>IF(H1169=0,"",J1169/H1169)</f>
        <v>0</v>
      </c>
      <c r="L1169">
        <f>IF(OR(AND(H1169=0,ABS(J1169)&gt;=0.01),AND(H1169&lt;&gt;0,ABS(K1169)&gt;VarianceThreshold)),"Review","OK")</f>
        <v>0</v>
      </c>
      <c r="M1169" t="s">
        <v>33</v>
      </c>
    </row>
    <row r="1170" spans="1:13">
      <c r="A1170" t="s">
        <v>1</v>
      </c>
      <c r="B1170" t="s">
        <v>719</v>
      </c>
      <c r="C1170" t="s">
        <v>1010</v>
      </c>
      <c r="D1170" t="s">
        <v>404</v>
      </c>
      <c r="E1170" cm="1">
        <f t="array" ref="E1170">_xlfn.XLOOKUP(D1170,SKU_Master!A:A,SKU_Master!B:B,"Not on master")</f>
        <v>0</v>
      </c>
      <c r="F1170" cm="1">
        <f t="array" ref="F1170">_xlfn.XLOOKUP(C1170,Account_Master!A:A,Account_Master!B:B,"Not on master")</f>
        <v>0</v>
      </c>
      <c r="G1170" cm="1">
        <f t="array" ref="G1170">_xlfn.XLOOKUP(C1170,Account_Master!A:A,Account_Master!C:C,"Not on master")</f>
        <v>0</v>
      </c>
      <c r="H1170" s="6">
        <v>3</v>
      </c>
      <c r="I1170" s="6">
        <v>3</v>
      </c>
      <c r="J1170" s="6">
        <f>I1170-H1170</f>
        <v>0</v>
      </c>
      <c r="K1170" s="5">
        <f>IF(H1170=0,"",J1170/H1170)</f>
        <v>0</v>
      </c>
      <c r="L1170">
        <f>IF(OR(AND(H1170=0,ABS(J1170)&gt;=0.01),AND(H1170&lt;&gt;0,ABS(K1170)&gt;VarianceThreshold)),"Review","OK")</f>
        <v>0</v>
      </c>
      <c r="M1170" t="s">
        <v>33</v>
      </c>
    </row>
    <row r="1171" spans="1:13">
      <c r="A1171" t="s">
        <v>1</v>
      </c>
      <c r="B1171" t="s">
        <v>719</v>
      </c>
      <c r="C1171" t="s">
        <v>1405</v>
      </c>
      <c r="D1171" t="s">
        <v>832</v>
      </c>
      <c r="E1171" cm="1">
        <f t="array" ref="E1171">_xlfn.XLOOKUP(D1171,SKU_Master!A:A,SKU_Master!B:B,"Not on master")</f>
        <v>0</v>
      </c>
      <c r="F1171" cm="1">
        <f t="array" ref="F1171">_xlfn.XLOOKUP(C1171,Account_Master!A:A,Account_Master!B:B,"Not on master")</f>
        <v>0</v>
      </c>
      <c r="G1171" cm="1">
        <f t="array" ref="G1171">_xlfn.XLOOKUP(C1171,Account_Master!A:A,Account_Master!C:C,"Not on master")</f>
        <v>0</v>
      </c>
      <c r="H1171" s="6">
        <v>21</v>
      </c>
      <c r="I1171" s="6">
        <v>21</v>
      </c>
      <c r="J1171" s="6">
        <f>I1171-H1171</f>
        <v>0</v>
      </c>
      <c r="K1171" s="5">
        <f>IF(H1171=0,"",J1171/H1171)</f>
        <v>0</v>
      </c>
      <c r="L1171">
        <f>IF(OR(AND(H1171=0,ABS(J1171)&gt;=0.01),AND(H1171&lt;&gt;0,ABS(K1171)&gt;VarianceThreshold)),"Review","OK")</f>
        <v>0</v>
      </c>
      <c r="M1171" t="s">
        <v>33</v>
      </c>
    </row>
    <row r="1172" spans="1:13">
      <c r="A1172" t="s">
        <v>1</v>
      </c>
      <c r="B1172" t="s">
        <v>719</v>
      </c>
      <c r="C1172" t="s">
        <v>1032</v>
      </c>
      <c r="D1172" t="s">
        <v>1420</v>
      </c>
      <c r="E1172" cm="1">
        <f t="array" ref="E1172">_xlfn.XLOOKUP(D1172,SKU_Master!A:A,SKU_Master!B:B,"Not on master")</f>
        <v>0</v>
      </c>
      <c r="F1172" cm="1">
        <f t="array" ref="F1172">_xlfn.XLOOKUP(C1172,Account_Master!A:A,Account_Master!B:B,"Not on master")</f>
        <v>0</v>
      </c>
      <c r="G1172" cm="1">
        <f t="array" ref="G1172">_xlfn.XLOOKUP(C1172,Account_Master!A:A,Account_Master!C:C,"Not on master")</f>
        <v>0</v>
      </c>
      <c r="H1172" s="6">
        <v>4.5</v>
      </c>
      <c r="I1172" s="6">
        <v>4.5</v>
      </c>
      <c r="J1172" s="6">
        <f>I1172-H1172</f>
        <v>0</v>
      </c>
      <c r="K1172" s="5">
        <f>IF(H1172=0,"",J1172/H1172)</f>
        <v>0</v>
      </c>
      <c r="L1172">
        <f>IF(OR(AND(H1172=0,ABS(J1172)&gt;=0.01),AND(H1172&lt;&gt;0,ABS(K1172)&gt;VarianceThreshold)),"Review","OK")</f>
        <v>0</v>
      </c>
      <c r="M1172" t="s">
        <v>33</v>
      </c>
    </row>
    <row r="1173" spans="1:13">
      <c r="A1173" t="s">
        <v>1</v>
      </c>
      <c r="B1173" t="s">
        <v>727</v>
      </c>
      <c r="C1173" t="s">
        <v>1082</v>
      </c>
      <c r="D1173" t="s">
        <v>1421</v>
      </c>
      <c r="E1173" cm="1">
        <f t="array" ref="E1173">_xlfn.XLOOKUP(D1173,SKU_Master!A:A,SKU_Master!B:B,"Not on master")</f>
        <v>0</v>
      </c>
      <c r="F1173" cm="1">
        <f t="array" ref="F1173">_xlfn.XLOOKUP(C1173,Account_Master!A:A,Account_Master!B:B,"Not on master")</f>
        <v>0</v>
      </c>
      <c r="G1173" cm="1">
        <f t="array" ref="G1173">_xlfn.XLOOKUP(C1173,Account_Master!A:A,Account_Master!C:C,"Not on master")</f>
        <v>0</v>
      </c>
      <c r="H1173" s="6">
        <v>0.05</v>
      </c>
      <c r="I1173" s="6">
        <v>0.05</v>
      </c>
      <c r="J1173" s="6">
        <f>I1173-H1173</f>
        <v>0</v>
      </c>
      <c r="K1173" s="5">
        <f>IF(H1173=0,"",J1173/H1173)</f>
        <v>0</v>
      </c>
      <c r="L1173">
        <f>IF(OR(AND(H1173=0,ABS(J1173)&gt;=0.01),AND(H1173&lt;&gt;0,ABS(K1173)&gt;VarianceThreshold)),"Review","OK")</f>
        <v>0</v>
      </c>
      <c r="M1173" t="s">
        <v>33</v>
      </c>
    </row>
    <row r="1174" spans="1:13">
      <c r="A1174" t="s">
        <v>1</v>
      </c>
      <c r="B1174" t="s">
        <v>727</v>
      </c>
      <c r="C1174" t="s">
        <v>1082</v>
      </c>
      <c r="D1174" t="s">
        <v>1422</v>
      </c>
      <c r="E1174" cm="1">
        <f t="array" ref="E1174">_xlfn.XLOOKUP(D1174,SKU_Master!A:A,SKU_Master!B:B,"Not on master")</f>
        <v>0</v>
      </c>
      <c r="F1174" cm="1">
        <f t="array" ref="F1174">_xlfn.XLOOKUP(C1174,Account_Master!A:A,Account_Master!B:B,"Not on master")</f>
        <v>0</v>
      </c>
      <c r="G1174" cm="1">
        <f t="array" ref="G1174">_xlfn.XLOOKUP(C1174,Account_Master!A:A,Account_Master!C:C,"Not on master")</f>
        <v>0</v>
      </c>
      <c r="H1174" s="6">
        <v>15.75</v>
      </c>
      <c r="I1174" s="6">
        <v>15.75</v>
      </c>
      <c r="J1174" s="6">
        <f>I1174-H1174</f>
        <v>0</v>
      </c>
      <c r="K1174" s="5">
        <f>IF(H1174=0,"",J1174/H1174)</f>
        <v>0</v>
      </c>
      <c r="L1174">
        <f>IF(OR(AND(H1174=0,ABS(J1174)&gt;=0.01),AND(H1174&lt;&gt;0,ABS(K1174)&gt;VarianceThreshold)),"Review","OK")</f>
        <v>0</v>
      </c>
      <c r="M1174" t="s">
        <v>33</v>
      </c>
    </row>
    <row r="1175" spans="1:13">
      <c r="A1175" t="s">
        <v>1</v>
      </c>
      <c r="B1175" t="s">
        <v>727</v>
      </c>
      <c r="C1175" t="s">
        <v>1034</v>
      </c>
      <c r="D1175" t="s">
        <v>348</v>
      </c>
      <c r="E1175" cm="1">
        <f t="array" ref="E1175">_xlfn.XLOOKUP(D1175,SKU_Master!A:A,SKU_Master!B:B,"Not on master")</f>
        <v>0</v>
      </c>
      <c r="F1175" cm="1">
        <f t="array" ref="F1175">_xlfn.XLOOKUP(C1175,Account_Master!A:A,Account_Master!B:B,"Not on master")</f>
        <v>0</v>
      </c>
      <c r="G1175" cm="1">
        <f t="array" ref="G1175">_xlfn.XLOOKUP(C1175,Account_Master!A:A,Account_Master!C:C,"Not on master")</f>
        <v>0</v>
      </c>
      <c r="H1175" s="6">
        <v>6.75</v>
      </c>
      <c r="I1175" s="6">
        <v>6.75</v>
      </c>
      <c r="J1175" s="6">
        <f>I1175-H1175</f>
        <v>0</v>
      </c>
      <c r="K1175" s="5">
        <f>IF(H1175=0,"",J1175/H1175)</f>
        <v>0</v>
      </c>
      <c r="L1175">
        <f>IF(OR(AND(H1175=0,ABS(J1175)&gt;=0.01),AND(H1175&lt;&gt;0,ABS(K1175)&gt;VarianceThreshold)),"Review","OK")</f>
        <v>0</v>
      </c>
      <c r="M1175" t="s">
        <v>33</v>
      </c>
    </row>
    <row r="1176" spans="1:13">
      <c r="A1176" t="s">
        <v>1</v>
      </c>
      <c r="B1176" t="s">
        <v>727</v>
      </c>
      <c r="C1176" t="s">
        <v>1423</v>
      </c>
      <c r="D1176" t="s">
        <v>1424</v>
      </c>
      <c r="E1176" cm="1">
        <f t="array" ref="E1176">_xlfn.XLOOKUP(D1176,SKU_Master!A:A,SKU_Master!B:B,"Not on master")</f>
        <v>0</v>
      </c>
      <c r="F1176" cm="1">
        <f t="array" ref="F1176">_xlfn.XLOOKUP(C1176,Account_Master!A:A,Account_Master!B:B,"Not on master")</f>
        <v>0</v>
      </c>
      <c r="G1176" cm="1">
        <f t="array" ref="G1176">_xlfn.XLOOKUP(C1176,Account_Master!A:A,Account_Master!C:C,"Not on master")</f>
        <v>0</v>
      </c>
      <c r="H1176" s="6">
        <v>49.87</v>
      </c>
      <c r="I1176" s="6">
        <v>49.87</v>
      </c>
      <c r="J1176" s="6">
        <f>I1176-H1176</f>
        <v>0</v>
      </c>
      <c r="K1176" s="5">
        <f>IF(H1176=0,"",J1176/H1176)</f>
        <v>0</v>
      </c>
      <c r="L1176">
        <f>IF(OR(AND(H1176=0,ABS(J1176)&gt;=0.01),AND(H1176&lt;&gt;0,ABS(K1176)&gt;VarianceThreshold)),"Review","OK")</f>
        <v>0</v>
      </c>
      <c r="M1176" t="s">
        <v>33</v>
      </c>
    </row>
    <row r="1177" spans="1:13">
      <c r="A1177" t="s">
        <v>1</v>
      </c>
      <c r="B1177" t="s">
        <v>727</v>
      </c>
      <c r="C1177" t="s">
        <v>1065</v>
      </c>
      <c r="D1177" t="s">
        <v>1425</v>
      </c>
      <c r="E1177" cm="1">
        <f t="array" ref="E1177">_xlfn.XLOOKUP(D1177,SKU_Master!A:A,SKU_Master!B:B,"Not on master")</f>
        <v>0</v>
      </c>
      <c r="F1177" cm="1">
        <f t="array" ref="F1177">_xlfn.XLOOKUP(C1177,Account_Master!A:A,Account_Master!B:B,"Not on master")</f>
        <v>0</v>
      </c>
      <c r="G1177" cm="1">
        <f t="array" ref="G1177">_xlfn.XLOOKUP(C1177,Account_Master!A:A,Account_Master!C:C,"Not on master")</f>
        <v>0</v>
      </c>
      <c r="H1177" s="6">
        <v>9</v>
      </c>
      <c r="I1177" s="6">
        <v>9</v>
      </c>
      <c r="J1177" s="6">
        <f>I1177-H1177</f>
        <v>0</v>
      </c>
      <c r="K1177" s="5">
        <f>IF(H1177=0,"",J1177/H1177)</f>
        <v>0</v>
      </c>
      <c r="L1177">
        <f>IF(OR(AND(H1177=0,ABS(J1177)&gt;=0.01),AND(H1177&lt;&gt;0,ABS(K1177)&gt;VarianceThreshold)),"Review","OK")</f>
        <v>0</v>
      </c>
      <c r="M1177" t="s">
        <v>33</v>
      </c>
    </row>
    <row r="1178" spans="1:13">
      <c r="A1178" t="s">
        <v>1</v>
      </c>
      <c r="B1178" t="s">
        <v>727</v>
      </c>
      <c r="C1178" t="s">
        <v>1078</v>
      </c>
      <c r="D1178" t="s">
        <v>76</v>
      </c>
      <c r="E1178" cm="1">
        <f t="array" ref="E1178">_xlfn.XLOOKUP(D1178,SKU_Master!A:A,SKU_Master!B:B,"Not on master")</f>
        <v>0</v>
      </c>
      <c r="F1178" cm="1">
        <f t="array" ref="F1178">_xlfn.XLOOKUP(C1178,Account_Master!A:A,Account_Master!B:B,"Not on master")</f>
        <v>0</v>
      </c>
      <c r="G1178" cm="1">
        <f t="array" ref="G1178">_xlfn.XLOOKUP(C1178,Account_Master!A:A,Account_Master!C:C,"Not on master")</f>
        <v>0</v>
      </c>
      <c r="H1178" s="6">
        <v>1.5</v>
      </c>
      <c r="I1178" s="6">
        <v>1.5</v>
      </c>
      <c r="J1178" s="6">
        <f>I1178-H1178</f>
        <v>0</v>
      </c>
      <c r="K1178" s="5">
        <f>IF(H1178=0,"",J1178/H1178)</f>
        <v>0</v>
      </c>
      <c r="L1178">
        <f>IF(OR(AND(H1178=0,ABS(J1178)&gt;=0.01),AND(H1178&lt;&gt;0,ABS(K1178)&gt;VarianceThreshold)),"Review","OK")</f>
        <v>0</v>
      </c>
      <c r="M1178" t="s">
        <v>33</v>
      </c>
    </row>
    <row r="1179" spans="1:13">
      <c r="A1179" t="s">
        <v>1</v>
      </c>
      <c r="B1179" t="s">
        <v>727</v>
      </c>
      <c r="C1179" t="s">
        <v>1128</v>
      </c>
      <c r="D1179" t="s">
        <v>1426</v>
      </c>
      <c r="E1179" cm="1">
        <f t="array" ref="E1179">_xlfn.XLOOKUP(D1179,SKU_Master!A:A,SKU_Master!B:B,"Not on master")</f>
        <v>0</v>
      </c>
      <c r="F1179" cm="1">
        <f t="array" ref="F1179">_xlfn.XLOOKUP(C1179,Account_Master!A:A,Account_Master!B:B,"Not on master")</f>
        <v>0</v>
      </c>
      <c r="G1179" cm="1">
        <f t="array" ref="G1179">_xlfn.XLOOKUP(C1179,Account_Master!A:A,Account_Master!C:C,"Not on master")</f>
        <v>0</v>
      </c>
      <c r="H1179" s="6">
        <v>10.5</v>
      </c>
      <c r="I1179" s="6">
        <v>10.5</v>
      </c>
      <c r="J1179" s="6">
        <f>I1179-H1179</f>
        <v>0</v>
      </c>
      <c r="K1179" s="5">
        <f>IF(H1179=0,"",J1179/H1179)</f>
        <v>0</v>
      </c>
      <c r="L1179">
        <f>IF(OR(AND(H1179=0,ABS(J1179)&gt;=0.01),AND(H1179&lt;&gt;0,ABS(K1179)&gt;VarianceThreshold)),"Review","OK")</f>
        <v>0</v>
      </c>
      <c r="M1179" t="s">
        <v>33</v>
      </c>
    </row>
    <row r="1180" spans="1:13">
      <c r="A1180" t="s">
        <v>1</v>
      </c>
      <c r="B1180" t="s">
        <v>727</v>
      </c>
      <c r="C1180" t="s">
        <v>1053</v>
      </c>
      <c r="D1180" t="s">
        <v>1427</v>
      </c>
      <c r="E1180" cm="1">
        <f t="array" ref="E1180">_xlfn.XLOOKUP(D1180,SKU_Master!A:A,SKU_Master!B:B,"Not on master")</f>
        <v>0</v>
      </c>
      <c r="F1180" cm="1">
        <f t="array" ref="F1180">_xlfn.XLOOKUP(C1180,Account_Master!A:A,Account_Master!B:B,"Not on master")</f>
        <v>0</v>
      </c>
      <c r="G1180" cm="1">
        <f t="array" ref="G1180">_xlfn.XLOOKUP(C1180,Account_Master!A:A,Account_Master!C:C,"Not on master")</f>
        <v>0</v>
      </c>
      <c r="H1180" s="6">
        <v>0.05</v>
      </c>
      <c r="I1180" s="6">
        <v>0.05</v>
      </c>
      <c r="J1180" s="6">
        <f>I1180-H1180</f>
        <v>0</v>
      </c>
      <c r="K1180" s="5">
        <f>IF(H1180=0,"",J1180/H1180)</f>
        <v>0</v>
      </c>
      <c r="L1180">
        <f>IF(OR(AND(H1180=0,ABS(J1180)&gt;=0.01),AND(H1180&lt;&gt;0,ABS(K1180)&gt;VarianceThreshold)),"Review","OK")</f>
        <v>0</v>
      </c>
      <c r="M1180" t="s">
        <v>33</v>
      </c>
    </row>
    <row r="1181" spans="1:13">
      <c r="A1181" t="s">
        <v>1</v>
      </c>
      <c r="B1181" t="s">
        <v>734</v>
      </c>
      <c r="C1181" t="s">
        <v>1010</v>
      </c>
      <c r="D1181" t="s">
        <v>1428</v>
      </c>
      <c r="E1181" cm="1">
        <f t="array" ref="E1181">_xlfn.XLOOKUP(D1181,SKU_Master!A:A,SKU_Master!B:B,"Not on master")</f>
        <v>0</v>
      </c>
      <c r="F1181" cm="1">
        <f t="array" ref="F1181">_xlfn.XLOOKUP(C1181,Account_Master!A:A,Account_Master!B:B,"Not on master")</f>
        <v>0</v>
      </c>
      <c r="G1181" cm="1">
        <f t="array" ref="G1181">_xlfn.XLOOKUP(C1181,Account_Master!A:A,Account_Master!C:C,"Not on master")</f>
        <v>0</v>
      </c>
      <c r="H1181" s="6">
        <v>15.75</v>
      </c>
      <c r="I1181" s="6">
        <v>15.75</v>
      </c>
      <c r="J1181" s="6">
        <f>I1181-H1181</f>
        <v>0</v>
      </c>
      <c r="K1181" s="5">
        <f>IF(H1181=0,"",J1181/H1181)</f>
        <v>0</v>
      </c>
      <c r="L1181">
        <f>IF(OR(AND(H1181=0,ABS(J1181)&gt;=0.01),AND(H1181&lt;&gt;0,ABS(K1181)&gt;VarianceThreshold)),"Review","OK")</f>
        <v>0</v>
      </c>
      <c r="M1181" t="s">
        <v>33</v>
      </c>
    </row>
    <row r="1182" spans="1:13">
      <c r="A1182" t="s">
        <v>1</v>
      </c>
      <c r="B1182" t="s">
        <v>734</v>
      </c>
      <c r="C1182" t="s">
        <v>1053</v>
      </c>
      <c r="D1182" t="s">
        <v>1429</v>
      </c>
      <c r="E1182" cm="1">
        <f t="array" ref="E1182">_xlfn.XLOOKUP(D1182,SKU_Master!A:A,SKU_Master!B:B,"Not on master")</f>
        <v>0</v>
      </c>
      <c r="F1182" cm="1">
        <f t="array" ref="F1182">_xlfn.XLOOKUP(C1182,Account_Master!A:A,Account_Master!B:B,"Not on master")</f>
        <v>0</v>
      </c>
      <c r="G1182" cm="1">
        <f t="array" ref="G1182">_xlfn.XLOOKUP(C1182,Account_Master!A:A,Account_Master!C:C,"Not on master")</f>
        <v>0</v>
      </c>
      <c r="H1182" s="6">
        <v>140.25</v>
      </c>
      <c r="I1182" s="6">
        <v>140.25</v>
      </c>
      <c r="J1182" s="6">
        <f>I1182-H1182</f>
        <v>0</v>
      </c>
      <c r="K1182" s="5">
        <f>IF(H1182=0,"",J1182/H1182)</f>
        <v>0</v>
      </c>
      <c r="L1182">
        <f>IF(OR(AND(H1182=0,ABS(J1182)&gt;=0.01),AND(H1182&lt;&gt;0,ABS(K1182)&gt;VarianceThreshold)),"Review","OK")</f>
        <v>0</v>
      </c>
      <c r="M1182" t="s">
        <v>33</v>
      </c>
    </row>
    <row r="1183" spans="1:13">
      <c r="A1183" t="s">
        <v>1</v>
      </c>
      <c r="B1183" t="s">
        <v>734</v>
      </c>
      <c r="C1183" t="s">
        <v>1010</v>
      </c>
      <c r="D1183" t="s">
        <v>1430</v>
      </c>
      <c r="E1183" cm="1">
        <f t="array" ref="E1183">_xlfn.XLOOKUP(D1183,SKU_Master!A:A,SKU_Master!B:B,"Not on master")</f>
        <v>0</v>
      </c>
      <c r="F1183" cm="1">
        <f t="array" ref="F1183">_xlfn.XLOOKUP(C1183,Account_Master!A:A,Account_Master!B:B,"Not on master")</f>
        <v>0</v>
      </c>
      <c r="G1183" cm="1">
        <f t="array" ref="G1183">_xlfn.XLOOKUP(C1183,Account_Master!A:A,Account_Master!C:C,"Not on master")</f>
        <v>0</v>
      </c>
      <c r="H1183" s="6">
        <v>3</v>
      </c>
      <c r="I1183" s="6">
        <v>3</v>
      </c>
      <c r="J1183" s="6">
        <f>I1183-H1183</f>
        <v>0</v>
      </c>
      <c r="K1183" s="5">
        <f>IF(H1183=0,"",J1183/H1183)</f>
        <v>0</v>
      </c>
      <c r="L1183">
        <f>IF(OR(AND(H1183=0,ABS(J1183)&gt;=0.01),AND(H1183&lt;&gt;0,ABS(K1183)&gt;VarianceThreshold)),"Review","OK")</f>
        <v>0</v>
      </c>
      <c r="M1183" t="s">
        <v>33</v>
      </c>
    </row>
    <row r="1184" spans="1:13">
      <c r="A1184" t="s">
        <v>1</v>
      </c>
      <c r="B1184" t="s">
        <v>734</v>
      </c>
      <c r="C1184" t="s">
        <v>1034</v>
      </c>
      <c r="D1184" t="s">
        <v>1431</v>
      </c>
      <c r="E1184" cm="1">
        <f t="array" ref="E1184">_xlfn.XLOOKUP(D1184,SKU_Master!A:A,SKU_Master!B:B,"Not on master")</f>
        <v>0</v>
      </c>
      <c r="F1184" cm="1">
        <f t="array" ref="F1184">_xlfn.XLOOKUP(C1184,Account_Master!A:A,Account_Master!B:B,"Not on master")</f>
        <v>0</v>
      </c>
      <c r="G1184" cm="1">
        <f t="array" ref="G1184">_xlfn.XLOOKUP(C1184,Account_Master!A:A,Account_Master!C:C,"Not on master")</f>
        <v>0</v>
      </c>
      <c r="H1184" s="6">
        <v>3.75</v>
      </c>
      <c r="I1184" s="6">
        <v>3.75</v>
      </c>
      <c r="J1184" s="6">
        <f>I1184-H1184</f>
        <v>0</v>
      </c>
      <c r="K1184" s="5">
        <f>IF(H1184=0,"",J1184/H1184)</f>
        <v>0</v>
      </c>
      <c r="L1184">
        <f>IF(OR(AND(H1184=0,ABS(J1184)&gt;=0.01),AND(H1184&lt;&gt;0,ABS(K1184)&gt;VarianceThreshold)),"Review","OK")</f>
        <v>0</v>
      </c>
      <c r="M1184" t="s">
        <v>33</v>
      </c>
    </row>
    <row r="1185" spans="1:13">
      <c r="A1185" t="s">
        <v>1</v>
      </c>
      <c r="B1185" t="s">
        <v>734</v>
      </c>
      <c r="C1185" t="s">
        <v>1053</v>
      </c>
      <c r="D1185" t="s">
        <v>236</v>
      </c>
      <c r="E1185" cm="1">
        <f t="array" ref="E1185">_xlfn.XLOOKUP(D1185,SKU_Master!A:A,SKU_Master!B:B,"Not on master")</f>
        <v>0</v>
      </c>
      <c r="F1185" cm="1">
        <f t="array" ref="F1185">_xlfn.XLOOKUP(C1185,Account_Master!A:A,Account_Master!B:B,"Not on master")</f>
        <v>0</v>
      </c>
      <c r="G1185" cm="1">
        <f t="array" ref="G1185">_xlfn.XLOOKUP(C1185,Account_Master!A:A,Account_Master!C:C,"Not on master")</f>
        <v>0</v>
      </c>
      <c r="H1185" s="6">
        <v>10.5</v>
      </c>
      <c r="I1185" s="6">
        <v>10.5</v>
      </c>
      <c r="J1185" s="6">
        <f>I1185-H1185</f>
        <v>0</v>
      </c>
      <c r="K1185" s="5">
        <f>IF(H1185=0,"",J1185/H1185)</f>
        <v>0</v>
      </c>
      <c r="L1185">
        <f>IF(OR(AND(H1185=0,ABS(J1185)&gt;=0.01),AND(H1185&lt;&gt;0,ABS(K1185)&gt;VarianceThreshold)),"Review","OK")</f>
        <v>0</v>
      </c>
      <c r="M1185" t="s">
        <v>33</v>
      </c>
    </row>
    <row r="1186" spans="1:13">
      <c r="A1186" t="s">
        <v>1</v>
      </c>
      <c r="B1186" t="s">
        <v>734</v>
      </c>
      <c r="C1186" t="s">
        <v>1177</v>
      </c>
      <c r="D1186" t="s">
        <v>1432</v>
      </c>
      <c r="E1186" cm="1">
        <f t="array" ref="E1186">_xlfn.XLOOKUP(D1186,SKU_Master!A:A,SKU_Master!B:B,"Not on master")</f>
        <v>0</v>
      </c>
      <c r="F1186" cm="1">
        <f t="array" ref="F1186">_xlfn.XLOOKUP(C1186,Account_Master!A:A,Account_Master!B:B,"Not on master")</f>
        <v>0</v>
      </c>
      <c r="G1186" cm="1">
        <f t="array" ref="G1186">_xlfn.XLOOKUP(C1186,Account_Master!A:A,Account_Master!C:C,"Not on master")</f>
        <v>0</v>
      </c>
      <c r="H1186" s="6">
        <v>5.25</v>
      </c>
      <c r="I1186" s="6">
        <v>5.25</v>
      </c>
      <c r="J1186" s="6">
        <f>I1186-H1186</f>
        <v>0</v>
      </c>
      <c r="K1186" s="5">
        <f>IF(H1186=0,"",J1186/H1186)</f>
        <v>0</v>
      </c>
      <c r="L1186">
        <f>IF(OR(AND(H1186=0,ABS(J1186)&gt;=0.01),AND(H1186&lt;&gt;0,ABS(K1186)&gt;VarianceThreshold)),"Review","OK")</f>
        <v>0</v>
      </c>
      <c r="M1186" t="s">
        <v>33</v>
      </c>
    </row>
    <row r="1187" spans="1:13">
      <c r="A1187" t="s">
        <v>1</v>
      </c>
      <c r="B1187" t="s">
        <v>734</v>
      </c>
      <c r="C1187" t="s">
        <v>1164</v>
      </c>
      <c r="D1187" t="s">
        <v>1433</v>
      </c>
      <c r="E1187" cm="1">
        <f t="array" ref="E1187">_xlfn.XLOOKUP(D1187,SKU_Master!A:A,SKU_Master!B:B,"Not on master")</f>
        <v>0</v>
      </c>
      <c r="F1187" cm="1">
        <f t="array" ref="F1187">_xlfn.XLOOKUP(C1187,Account_Master!A:A,Account_Master!B:B,"Not on master")</f>
        <v>0</v>
      </c>
      <c r="G1187" cm="1">
        <f t="array" ref="G1187">_xlfn.XLOOKUP(C1187,Account_Master!A:A,Account_Master!C:C,"Not on master")</f>
        <v>0</v>
      </c>
      <c r="H1187" s="6">
        <v>9</v>
      </c>
      <c r="I1187" s="6">
        <v>9</v>
      </c>
      <c r="J1187" s="6">
        <f>I1187-H1187</f>
        <v>0</v>
      </c>
      <c r="K1187" s="5">
        <f>IF(H1187=0,"",J1187/H1187)</f>
        <v>0</v>
      </c>
      <c r="L1187">
        <f>IF(OR(AND(H1187=0,ABS(J1187)&gt;=0.01),AND(H1187&lt;&gt;0,ABS(K1187)&gt;VarianceThreshold)),"Review","OK")</f>
        <v>0</v>
      </c>
      <c r="M1187" t="s">
        <v>33</v>
      </c>
    </row>
    <row r="1188" spans="1:13">
      <c r="A1188" t="s">
        <v>1</v>
      </c>
      <c r="B1188" t="s">
        <v>746</v>
      </c>
      <c r="C1188" t="s">
        <v>1272</v>
      </c>
      <c r="D1188" t="s">
        <v>1434</v>
      </c>
      <c r="E1188" cm="1">
        <f t="array" ref="E1188">_xlfn.XLOOKUP(D1188,SKU_Master!A:A,SKU_Master!B:B,"Not on master")</f>
        <v>0</v>
      </c>
      <c r="F1188" cm="1">
        <f t="array" ref="F1188">_xlfn.XLOOKUP(C1188,Account_Master!A:A,Account_Master!B:B,"Not on master")</f>
        <v>0</v>
      </c>
      <c r="G1188" cm="1">
        <f t="array" ref="G1188">_xlfn.XLOOKUP(C1188,Account_Master!A:A,Account_Master!C:C,"Not on master")</f>
        <v>0</v>
      </c>
      <c r="H1188" s="6">
        <v>0.2</v>
      </c>
      <c r="I1188" s="6">
        <v>0.2</v>
      </c>
      <c r="J1188" s="6">
        <f>I1188-H1188</f>
        <v>0</v>
      </c>
      <c r="K1188" s="5">
        <f>IF(H1188=0,"",J1188/H1188)</f>
        <v>0</v>
      </c>
      <c r="L1188">
        <f>IF(OR(AND(H1188=0,ABS(J1188)&gt;=0.01),AND(H1188&lt;&gt;0,ABS(K1188)&gt;VarianceThreshold)),"Review","OK")</f>
        <v>0</v>
      </c>
      <c r="M1188" t="s">
        <v>33</v>
      </c>
    </row>
    <row r="1189" spans="1:13">
      <c r="A1189" t="s">
        <v>1</v>
      </c>
      <c r="B1189" t="s">
        <v>746</v>
      </c>
      <c r="C1189" t="s">
        <v>1128</v>
      </c>
      <c r="D1189" t="s">
        <v>1435</v>
      </c>
      <c r="E1189" cm="1">
        <f t="array" ref="E1189">_xlfn.XLOOKUP(D1189,SKU_Master!A:A,SKU_Master!B:B,"Not on master")</f>
        <v>0</v>
      </c>
      <c r="F1189" cm="1">
        <f t="array" ref="F1189">_xlfn.XLOOKUP(C1189,Account_Master!A:A,Account_Master!B:B,"Not on master")</f>
        <v>0</v>
      </c>
      <c r="G1189" cm="1">
        <f t="array" ref="G1189">_xlfn.XLOOKUP(C1189,Account_Master!A:A,Account_Master!C:C,"Not on master")</f>
        <v>0</v>
      </c>
      <c r="H1189" s="6">
        <v>14.25</v>
      </c>
      <c r="I1189" s="6">
        <v>14.25</v>
      </c>
      <c r="J1189" s="6">
        <f>I1189-H1189</f>
        <v>0</v>
      </c>
      <c r="K1189" s="5">
        <f>IF(H1189=0,"",J1189/H1189)</f>
        <v>0</v>
      </c>
      <c r="L1189">
        <f>IF(OR(AND(H1189=0,ABS(J1189)&gt;=0.01),AND(H1189&lt;&gt;0,ABS(K1189)&gt;VarianceThreshold)),"Review","OK")</f>
        <v>0</v>
      </c>
      <c r="M1189" t="s">
        <v>33</v>
      </c>
    </row>
    <row r="1190" spans="1:13">
      <c r="A1190" t="s">
        <v>1</v>
      </c>
      <c r="B1190" t="s">
        <v>746</v>
      </c>
      <c r="C1190" t="s">
        <v>1010</v>
      </c>
      <c r="D1190" t="s">
        <v>1436</v>
      </c>
      <c r="E1190" cm="1">
        <f t="array" ref="E1190">_xlfn.XLOOKUP(D1190,SKU_Master!A:A,SKU_Master!B:B,"Not on master")</f>
        <v>0</v>
      </c>
      <c r="F1190" cm="1">
        <f t="array" ref="F1190">_xlfn.XLOOKUP(C1190,Account_Master!A:A,Account_Master!B:B,"Not on master")</f>
        <v>0</v>
      </c>
      <c r="G1190" cm="1">
        <f t="array" ref="G1190">_xlfn.XLOOKUP(C1190,Account_Master!A:A,Account_Master!C:C,"Not on master")</f>
        <v>0</v>
      </c>
      <c r="H1190" s="6">
        <v>16</v>
      </c>
      <c r="I1190" s="6">
        <v>16</v>
      </c>
      <c r="J1190" s="6">
        <f>I1190-H1190</f>
        <v>0</v>
      </c>
      <c r="K1190" s="5">
        <f>IF(H1190=0,"",J1190/H1190)</f>
        <v>0</v>
      </c>
      <c r="L1190">
        <f>IF(OR(AND(H1190=0,ABS(J1190)&gt;=0.01),AND(H1190&lt;&gt;0,ABS(K1190)&gt;VarianceThreshold)),"Review","OK")</f>
        <v>0</v>
      </c>
      <c r="M1190" t="s">
        <v>33</v>
      </c>
    </row>
    <row r="1191" spans="1:13">
      <c r="A1191" t="s">
        <v>1</v>
      </c>
      <c r="B1191" t="s">
        <v>746</v>
      </c>
      <c r="C1191" t="s">
        <v>1437</v>
      </c>
      <c r="D1191" t="s">
        <v>42</v>
      </c>
      <c r="E1191" cm="1">
        <f t="array" ref="E1191">_xlfn.XLOOKUP(D1191,SKU_Master!A:A,SKU_Master!B:B,"Not on master")</f>
        <v>0</v>
      </c>
      <c r="F1191" cm="1">
        <f t="array" ref="F1191">_xlfn.XLOOKUP(C1191,Account_Master!A:A,Account_Master!B:B,"Not on master")</f>
        <v>0</v>
      </c>
      <c r="G1191" cm="1">
        <f t="array" ref="G1191">_xlfn.XLOOKUP(C1191,Account_Master!A:A,Account_Master!C:C,"Not on master")</f>
        <v>0</v>
      </c>
      <c r="H1191" s="6">
        <v>4.12</v>
      </c>
      <c r="I1191" s="6">
        <v>4.12</v>
      </c>
      <c r="J1191" s="6">
        <f>I1191-H1191</f>
        <v>0</v>
      </c>
      <c r="K1191" s="5">
        <f>IF(H1191=0,"",J1191/H1191)</f>
        <v>0</v>
      </c>
      <c r="L1191">
        <f>IF(OR(AND(H1191=0,ABS(J1191)&gt;=0.01),AND(H1191&lt;&gt;0,ABS(K1191)&gt;VarianceThreshold)),"Review","OK")</f>
        <v>0</v>
      </c>
      <c r="M1191" t="s">
        <v>33</v>
      </c>
    </row>
    <row r="1192" spans="1:13">
      <c r="A1192" t="s">
        <v>1</v>
      </c>
      <c r="B1192" t="s">
        <v>746</v>
      </c>
      <c r="C1192" t="s">
        <v>1018</v>
      </c>
      <c r="D1192" t="s">
        <v>133</v>
      </c>
      <c r="E1192" cm="1">
        <f t="array" ref="E1192">_xlfn.XLOOKUP(D1192,SKU_Master!A:A,SKU_Master!B:B,"Not on master")</f>
        <v>0</v>
      </c>
      <c r="F1192" cm="1">
        <f t="array" ref="F1192">_xlfn.XLOOKUP(C1192,Account_Master!A:A,Account_Master!B:B,"Not on master")</f>
        <v>0</v>
      </c>
      <c r="G1192" cm="1">
        <f t="array" ref="G1192">_xlfn.XLOOKUP(C1192,Account_Master!A:A,Account_Master!C:C,"Not on master")</f>
        <v>0</v>
      </c>
      <c r="H1192" s="6">
        <v>1.5</v>
      </c>
      <c r="I1192" s="6">
        <v>1.5</v>
      </c>
      <c r="J1192" s="6">
        <f>I1192-H1192</f>
        <v>0</v>
      </c>
      <c r="K1192" s="5">
        <f>IF(H1192=0,"",J1192/H1192)</f>
        <v>0</v>
      </c>
      <c r="L1192">
        <f>IF(OR(AND(H1192=0,ABS(J1192)&gt;=0.01),AND(H1192&lt;&gt;0,ABS(K1192)&gt;VarianceThreshold)),"Review","OK")</f>
        <v>0</v>
      </c>
      <c r="M1192" t="s">
        <v>33</v>
      </c>
    </row>
    <row r="1193" spans="1:13">
      <c r="A1193" t="s">
        <v>1</v>
      </c>
      <c r="B1193" t="s">
        <v>755</v>
      </c>
      <c r="C1193" t="s">
        <v>1063</v>
      </c>
      <c r="D1193" t="s">
        <v>1438</v>
      </c>
      <c r="E1193" cm="1">
        <f t="array" ref="E1193">_xlfn.XLOOKUP(D1193,SKU_Master!A:A,SKU_Master!B:B,"Not on master")</f>
        <v>0</v>
      </c>
      <c r="F1193" cm="1">
        <f t="array" ref="F1193">_xlfn.XLOOKUP(C1193,Account_Master!A:A,Account_Master!B:B,"Not on master")</f>
        <v>0</v>
      </c>
      <c r="G1193" cm="1">
        <f t="array" ref="G1193">_xlfn.XLOOKUP(C1193,Account_Master!A:A,Account_Master!C:C,"Not on master")</f>
        <v>0</v>
      </c>
      <c r="H1193" s="6">
        <v>1.5</v>
      </c>
      <c r="I1193" s="6">
        <v>1.5</v>
      </c>
      <c r="J1193" s="6">
        <f>I1193-H1193</f>
        <v>0</v>
      </c>
      <c r="K1193" s="5">
        <f>IF(H1193=0,"",J1193/H1193)</f>
        <v>0</v>
      </c>
      <c r="L1193">
        <f>IF(OR(AND(H1193=0,ABS(J1193)&gt;=0.01),AND(H1193&lt;&gt;0,ABS(K1193)&gt;VarianceThreshold)),"Review","OK")</f>
        <v>0</v>
      </c>
      <c r="M1193" t="s">
        <v>33</v>
      </c>
    </row>
    <row r="1194" spans="1:13">
      <c r="A1194" t="s">
        <v>1</v>
      </c>
      <c r="B1194" t="s">
        <v>755</v>
      </c>
      <c r="C1194" t="s">
        <v>1008</v>
      </c>
      <c r="D1194" t="s">
        <v>1439</v>
      </c>
      <c r="E1194" cm="1">
        <f t="array" ref="E1194">_xlfn.XLOOKUP(D1194,SKU_Master!A:A,SKU_Master!B:B,"Not on master")</f>
        <v>0</v>
      </c>
      <c r="F1194" cm="1">
        <f t="array" ref="F1194">_xlfn.XLOOKUP(C1194,Account_Master!A:A,Account_Master!B:B,"Not on master")</f>
        <v>0</v>
      </c>
      <c r="G1194" cm="1">
        <f t="array" ref="G1194">_xlfn.XLOOKUP(C1194,Account_Master!A:A,Account_Master!C:C,"Not on master")</f>
        <v>0</v>
      </c>
      <c r="H1194" s="6">
        <v>3.75</v>
      </c>
      <c r="I1194" s="6">
        <v>3.75</v>
      </c>
      <c r="J1194" s="6">
        <f>I1194-H1194</f>
        <v>0</v>
      </c>
      <c r="K1194" s="5">
        <f>IF(H1194=0,"",J1194/H1194)</f>
        <v>0</v>
      </c>
      <c r="L1194">
        <f>IF(OR(AND(H1194=0,ABS(J1194)&gt;=0.01),AND(H1194&lt;&gt;0,ABS(K1194)&gt;VarianceThreshold)),"Review","OK")</f>
        <v>0</v>
      </c>
      <c r="M1194" t="s">
        <v>33</v>
      </c>
    </row>
    <row r="1195" spans="1:13">
      <c r="A1195" t="s">
        <v>1</v>
      </c>
      <c r="B1195" t="s">
        <v>755</v>
      </c>
      <c r="C1195" t="s">
        <v>1117</v>
      </c>
      <c r="D1195" t="s">
        <v>221</v>
      </c>
      <c r="E1195" cm="1">
        <f t="array" ref="E1195">_xlfn.XLOOKUP(D1195,SKU_Master!A:A,SKU_Master!B:B,"Not on master")</f>
        <v>0</v>
      </c>
      <c r="F1195" cm="1">
        <f t="array" ref="F1195">_xlfn.XLOOKUP(C1195,Account_Master!A:A,Account_Master!B:B,"Not on master")</f>
        <v>0</v>
      </c>
      <c r="G1195" cm="1">
        <f t="array" ref="G1195">_xlfn.XLOOKUP(C1195,Account_Master!A:A,Account_Master!C:C,"Not on master")</f>
        <v>0</v>
      </c>
      <c r="H1195" s="6">
        <v>15.75</v>
      </c>
      <c r="I1195" s="6">
        <v>15.75</v>
      </c>
      <c r="J1195" s="6">
        <f>I1195-H1195</f>
        <v>0</v>
      </c>
      <c r="K1195" s="5">
        <f>IF(H1195=0,"",J1195/H1195)</f>
        <v>0</v>
      </c>
      <c r="L1195">
        <f>IF(OR(AND(H1195=0,ABS(J1195)&gt;=0.01),AND(H1195&lt;&gt;0,ABS(K1195)&gt;VarianceThreshold)),"Review","OK")</f>
        <v>0</v>
      </c>
      <c r="M1195" t="s">
        <v>33</v>
      </c>
    </row>
    <row r="1196" spans="1:13">
      <c r="A1196" t="s">
        <v>1</v>
      </c>
      <c r="B1196" t="s">
        <v>765</v>
      </c>
      <c r="C1196" t="s">
        <v>1041</v>
      </c>
      <c r="D1196" t="s">
        <v>184</v>
      </c>
      <c r="E1196" cm="1">
        <f t="array" ref="E1196">_xlfn.XLOOKUP(D1196,SKU_Master!A:A,SKU_Master!B:B,"Not on master")</f>
        <v>0</v>
      </c>
      <c r="F1196" cm="1">
        <f t="array" ref="F1196">_xlfn.XLOOKUP(C1196,Account_Master!A:A,Account_Master!B:B,"Not on master")</f>
        <v>0</v>
      </c>
      <c r="G1196" cm="1">
        <f t="array" ref="G1196">_xlfn.XLOOKUP(C1196,Account_Master!A:A,Account_Master!C:C,"Not on master")</f>
        <v>0</v>
      </c>
      <c r="H1196" s="6">
        <v>1.5</v>
      </c>
      <c r="I1196" s="6">
        <v>1.5</v>
      </c>
      <c r="J1196" s="6">
        <f>I1196-H1196</f>
        <v>0</v>
      </c>
      <c r="K1196" s="5">
        <f>IF(H1196=0,"",J1196/H1196)</f>
        <v>0</v>
      </c>
      <c r="L1196">
        <f>IF(OR(AND(H1196=0,ABS(J1196)&gt;=0.01),AND(H1196&lt;&gt;0,ABS(K1196)&gt;VarianceThreshold)),"Review","OK")</f>
        <v>0</v>
      </c>
      <c r="M1196" t="s">
        <v>33</v>
      </c>
    </row>
    <row r="1197" spans="1:13">
      <c r="A1197" t="s">
        <v>1</v>
      </c>
      <c r="B1197" t="s">
        <v>765</v>
      </c>
      <c r="C1197" t="s">
        <v>1018</v>
      </c>
      <c r="D1197" t="s">
        <v>308</v>
      </c>
      <c r="E1197" cm="1">
        <f t="array" ref="E1197">_xlfn.XLOOKUP(D1197,SKU_Master!A:A,SKU_Master!B:B,"Not on master")</f>
        <v>0</v>
      </c>
      <c r="F1197" cm="1">
        <f t="array" ref="F1197">_xlfn.XLOOKUP(C1197,Account_Master!A:A,Account_Master!B:B,"Not on master")</f>
        <v>0</v>
      </c>
      <c r="G1197" cm="1">
        <f t="array" ref="G1197">_xlfn.XLOOKUP(C1197,Account_Master!A:A,Account_Master!C:C,"Not on master")</f>
        <v>0</v>
      </c>
      <c r="H1197" s="6">
        <v>24</v>
      </c>
      <c r="I1197" s="6">
        <v>24</v>
      </c>
      <c r="J1197" s="6">
        <f>I1197-H1197</f>
        <v>0</v>
      </c>
      <c r="K1197" s="5">
        <f>IF(H1197=0,"",J1197/H1197)</f>
        <v>0</v>
      </c>
      <c r="L1197">
        <f>IF(OR(AND(H1197=0,ABS(J1197)&gt;=0.01),AND(H1197&lt;&gt;0,ABS(K1197)&gt;VarianceThreshold)),"Review","OK")</f>
        <v>0</v>
      </c>
      <c r="M1197" t="s">
        <v>33</v>
      </c>
    </row>
    <row r="1198" spans="1:13">
      <c r="A1198" t="s">
        <v>1</v>
      </c>
      <c r="B1198" t="s">
        <v>765</v>
      </c>
      <c r="C1198" t="s">
        <v>1128</v>
      </c>
      <c r="D1198" t="s">
        <v>1440</v>
      </c>
      <c r="E1198" cm="1">
        <f t="array" ref="E1198">_xlfn.XLOOKUP(D1198,SKU_Master!A:A,SKU_Master!B:B,"Not on master")</f>
        <v>0</v>
      </c>
      <c r="F1198" cm="1">
        <f t="array" ref="F1198">_xlfn.XLOOKUP(C1198,Account_Master!A:A,Account_Master!B:B,"Not on master")</f>
        <v>0</v>
      </c>
      <c r="G1198" cm="1">
        <f t="array" ref="G1198">_xlfn.XLOOKUP(C1198,Account_Master!A:A,Account_Master!C:C,"Not on master")</f>
        <v>0</v>
      </c>
      <c r="H1198" s="6">
        <v>6.75</v>
      </c>
      <c r="I1198" s="6">
        <v>6.75</v>
      </c>
      <c r="J1198" s="6">
        <f>I1198-H1198</f>
        <v>0</v>
      </c>
      <c r="K1198" s="5">
        <f>IF(H1198=0,"",J1198/H1198)</f>
        <v>0</v>
      </c>
      <c r="L1198">
        <f>IF(OR(AND(H1198=0,ABS(J1198)&gt;=0.01),AND(H1198&lt;&gt;0,ABS(K1198)&gt;VarianceThreshold)),"Review","OK")</f>
        <v>0</v>
      </c>
      <c r="M1198" t="s">
        <v>33</v>
      </c>
    </row>
    <row r="1199" spans="1:13">
      <c r="A1199" t="s">
        <v>1</v>
      </c>
      <c r="B1199" t="s">
        <v>765</v>
      </c>
      <c r="C1199" t="s">
        <v>1041</v>
      </c>
      <c r="D1199" t="s">
        <v>1441</v>
      </c>
      <c r="E1199" cm="1">
        <f t="array" ref="E1199">_xlfn.XLOOKUP(D1199,SKU_Master!A:A,SKU_Master!B:B,"Not on master")</f>
        <v>0</v>
      </c>
      <c r="F1199" cm="1">
        <f t="array" ref="F1199">_xlfn.XLOOKUP(C1199,Account_Master!A:A,Account_Master!B:B,"Not on master")</f>
        <v>0</v>
      </c>
      <c r="G1199" cm="1">
        <f t="array" ref="G1199">_xlfn.XLOOKUP(C1199,Account_Master!A:A,Account_Master!C:C,"Not on master")</f>
        <v>0</v>
      </c>
      <c r="H1199" s="6">
        <v>6.75</v>
      </c>
      <c r="I1199" s="6">
        <v>6.75</v>
      </c>
      <c r="J1199" s="6">
        <f>I1199-H1199</f>
        <v>0</v>
      </c>
      <c r="K1199" s="5">
        <f>IF(H1199=0,"",J1199/H1199)</f>
        <v>0</v>
      </c>
      <c r="L1199">
        <f>IF(OR(AND(H1199=0,ABS(J1199)&gt;=0.01),AND(H1199&lt;&gt;0,ABS(K1199)&gt;VarianceThreshold)),"Review","OK")</f>
        <v>0</v>
      </c>
      <c r="M1199" t="s">
        <v>33</v>
      </c>
    </row>
    <row r="1200" spans="1:13">
      <c r="A1200" t="s">
        <v>1</v>
      </c>
      <c r="B1200" t="s">
        <v>765</v>
      </c>
      <c r="C1200" t="s">
        <v>1401</v>
      </c>
      <c r="D1200" t="s">
        <v>233</v>
      </c>
      <c r="E1200" cm="1">
        <f t="array" ref="E1200">_xlfn.XLOOKUP(D1200,SKU_Master!A:A,SKU_Master!B:B,"Not on master")</f>
        <v>0</v>
      </c>
      <c r="F1200" cm="1">
        <f t="array" ref="F1200">_xlfn.XLOOKUP(C1200,Account_Master!A:A,Account_Master!B:B,"Not on master")</f>
        <v>0</v>
      </c>
      <c r="G1200" cm="1">
        <f t="array" ref="G1200">_xlfn.XLOOKUP(C1200,Account_Master!A:A,Account_Master!C:C,"Not on master")</f>
        <v>0</v>
      </c>
      <c r="H1200" s="6">
        <v>10.5</v>
      </c>
      <c r="I1200" s="6">
        <v>10.5</v>
      </c>
      <c r="J1200" s="6">
        <f>I1200-H1200</f>
        <v>0</v>
      </c>
      <c r="K1200" s="5">
        <f>IF(H1200=0,"",J1200/H1200)</f>
        <v>0</v>
      </c>
      <c r="L1200">
        <f>IF(OR(AND(H1200=0,ABS(J1200)&gt;=0.01),AND(H1200&lt;&gt;0,ABS(K1200)&gt;VarianceThreshold)),"Review","OK")</f>
        <v>0</v>
      </c>
      <c r="M1200" t="s">
        <v>33</v>
      </c>
    </row>
    <row r="1201" spans="1:13">
      <c r="A1201" t="s">
        <v>1</v>
      </c>
      <c r="B1201" t="s">
        <v>765</v>
      </c>
      <c r="C1201" t="s">
        <v>1032</v>
      </c>
      <c r="D1201" t="s">
        <v>218</v>
      </c>
      <c r="E1201" cm="1">
        <f t="array" ref="E1201">_xlfn.XLOOKUP(D1201,SKU_Master!A:A,SKU_Master!B:B,"Not on master")</f>
        <v>0</v>
      </c>
      <c r="F1201" cm="1">
        <f t="array" ref="F1201">_xlfn.XLOOKUP(C1201,Account_Master!A:A,Account_Master!B:B,"Not on master")</f>
        <v>0</v>
      </c>
      <c r="G1201" cm="1">
        <f t="array" ref="G1201">_xlfn.XLOOKUP(C1201,Account_Master!A:A,Account_Master!C:C,"Not on master")</f>
        <v>0</v>
      </c>
      <c r="H1201" s="6">
        <v>6.75</v>
      </c>
      <c r="I1201" s="6">
        <v>6.75</v>
      </c>
      <c r="J1201" s="6">
        <f>I1201-H1201</f>
        <v>0</v>
      </c>
      <c r="K1201" s="5">
        <f>IF(H1201=0,"",J1201/H1201)</f>
        <v>0</v>
      </c>
      <c r="L1201">
        <f>IF(OR(AND(H1201=0,ABS(J1201)&gt;=0.01),AND(H1201&lt;&gt;0,ABS(K1201)&gt;VarianceThreshold)),"Review","OK")</f>
        <v>0</v>
      </c>
      <c r="M1201" t="s">
        <v>33</v>
      </c>
    </row>
    <row r="1202" spans="1:13">
      <c r="A1202" t="s">
        <v>1</v>
      </c>
      <c r="B1202" t="s">
        <v>765</v>
      </c>
      <c r="C1202" t="s">
        <v>1053</v>
      </c>
      <c r="D1202" t="s">
        <v>370</v>
      </c>
      <c r="E1202" cm="1">
        <f t="array" ref="E1202">_xlfn.XLOOKUP(D1202,SKU_Master!A:A,SKU_Master!B:B,"Not on master")</f>
        <v>0</v>
      </c>
      <c r="F1202" cm="1">
        <f t="array" ref="F1202">_xlfn.XLOOKUP(C1202,Account_Master!A:A,Account_Master!B:B,"Not on master")</f>
        <v>0</v>
      </c>
      <c r="G1202" cm="1">
        <f t="array" ref="G1202">_xlfn.XLOOKUP(C1202,Account_Master!A:A,Account_Master!C:C,"Not on master")</f>
        <v>0</v>
      </c>
      <c r="H1202" s="6">
        <v>14</v>
      </c>
      <c r="I1202" s="6">
        <v>14</v>
      </c>
      <c r="J1202" s="6">
        <f>I1202-H1202</f>
        <v>0</v>
      </c>
      <c r="K1202" s="5">
        <f>IF(H1202=0,"",J1202/H1202)</f>
        <v>0</v>
      </c>
      <c r="L1202">
        <f>IF(OR(AND(H1202=0,ABS(J1202)&gt;=0.01),AND(H1202&lt;&gt;0,ABS(K1202)&gt;VarianceThreshold)),"Review","OK")</f>
        <v>0</v>
      </c>
      <c r="M1202" t="s">
        <v>33</v>
      </c>
    </row>
    <row r="1203" spans="1:13">
      <c r="A1203" t="s">
        <v>1</v>
      </c>
      <c r="B1203" t="s">
        <v>765</v>
      </c>
      <c r="C1203" t="s">
        <v>1019</v>
      </c>
      <c r="D1203" t="s">
        <v>1442</v>
      </c>
      <c r="E1203" cm="1">
        <f t="array" ref="E1203">_xlfn.XLOOKUP(D1203,SKU_Master!A:A,SKU_Master!B:B,"Not on master")</f>
        <v>0</v>
      </c>
      <c r="F1203" cm="1">
        <f t="array" ref="F1203">_xlfn.XLOOKUP(C1203,Account_Master!A:A,Account_Master!B:B,"Not on master")</f>
        <v>0</v>
      </c>
      <c r="G1203" cm="1">
        <f t="array" ref="G1203">_xlfn.XLOOKUP(C1203,Account_Master!A:A,Account_Master!C:C,"Not on master")</f>
        <v>0</v>
      </c>
      <c r="H1203" s="6">
        <v>1.75</v>
      </c>
      <c r="I1203" s="6">
        <v>1.75</v>
      </c>
      <c r="J1203" s="6">
        <f>I1203-H1203</f>
        <v>0</v>
      </c>
      <c r="K1203" s="5">
        <f>IF(H1203=0,"",J1203/H1203)</f>
        <v>0</v>
      </c>
      <c r="L1203">
        <f>IF(OR(AND(H1203=0,ABS(J1203)&gt;=0.01),AND(H1203&lt;&gt;0,ABS(K1203)&gt;VarianceThreshold)),"Review","OK")</f>
        <v>0</v>
      </c>
      <c r="M1203" t="s">
        <v>33</v>
      </c>
    </row>
    <row r="1204" spans="1:13">
      <c r="A1204" t="s">
        <v>1</v>
      </c>
      <c r="B1204" t="s">
        <v>765</v>
      </c>
      <c r="C1204" t="s">
        <v>1443</v>
      </c>
      <c r="D1204" t="s">
        <v>406</v>
      </c>
      <c r="E1204" cm="1">
        <f t="array" ref="E1204">_xlfn.XLOOKUP(D1204,SKU_Master!A:A,SKU_Master!B:B,"Not on master")</f>
        <v>0</v>
      </c>
      <c r="F1204" cm="1">
        <f t="array" ref="F1204">_xlfn.XLOOKUP(C1204,Account_Master!A:A,Account_Master!B:B,"Not on master")</f>
        <v>0</v>
      </c>
      <c r="G1204" cm="1">
        <f t="array" ref="G1204">_xlfn.XLOOKUP(C1204,Account_Master!A:A,Account_Master!C:C,"Not on master")</f>
        <v>0</v>
      </c>
      <c r="H1204" s="6">
        <v>105</v>
      </c>
      <c r="I1204" s="6">
        <v>105</v>
      </c>
      <c r="J1204" s="6">
        <f>I1204-H1204</f>
        <v>0</v>
      </c>
      <c r="K1204" s="5">
        <f>IF(H1204=0,"",J1204/H1204)</f>
        <v>0</v>
      </c>
      <c r="L1204">
        <f>IF(OR(AND(H1204=0,ABS(J1204)&gt;=0.01),AND(H1204&lt;&gt;0,ABS(K1204)&gt;VarianceThreshold)),"Review","OK")</f>
        <v>0</v>
      </c>
      <c r="M1204" t="s">
        <v>33</v>
      </c>
    </row>
    <row r="1205" spans="1:13">
      <c r="A1205" t="s">
        <v>1</v>
      </c>
      <c r="B1205" t="s">
        <v>765</v>
      </c>
      <c r="C1205" t="s">
        <v>1041</v>
      </c>
      <c r="D1205" t="s">
        <v>920</v>
      </c>
      <c r="E1205" cm="1">
        <f t="array" ref="E1205">_xlfn.XLOOKUP(D1205,SKU_Master!A:A,SKU_Master!B:B,"Not on master")</f>
        <v>0</v>
      </c>
      <c r="F1205" cm="1">
        <f t="array" ref="F1205">_xlfn.XLOOKUP(C1205,Account_Master!A:A,Account_Master!B:B,"Not on master")</f>
        <v>0</v>
      </c>
      <c r="G1205" cm="1">
        <f t="array" ref="G1205">_xlfn.XLOOKUP(C1205,Account_Master!A:A,Account_Master!C:C,"Not on master")</f>
        <v>0</v>
      </c>
      <c r="H1205" s="6">
        <v>76.5</v>
      </c>
      <c r="I1205" s="6">
        <v>76.5</v>
      </c>
      <c r="J1205" s="6">
        <f>I1205-H1205</f>
        <v>0</v>
      </c>
      <c r="K1205" s="5">
        <f>IF(H1205=0,"",J1205/H1205)</f>
        <v>0</v>
      </c>
      <c r="L1205">
        <f>IF(OR(AND(H1205=0,ABS(J1205)&gt;=0.01),AND(H1205&lt;&gt;0,ABS(K1205)&gt;VarianceThreshold)),"Review","OK")</f>
        <v>0</v>
      </c>
      <c r="M1205" t="s">
        <v>33</v>
      </c>
    </row>
    <row r="1206" spans="1:13">
      <c r="A1206" t="s">
        <v>1</v>
      </c>
      <c r="B1206" t="s">
        <v>765</v>
      </c>
      <c r="C1206" t="s">
        <v>1036</v>
      </c>
      <c r="D1206" t="s">
        <v>1444</v>
      </c>
      <c r="E1206" cm="1">
        <f t="array" ref="E1206">_xlfn.XLOOKUP(D1206,SKU_Master!A:A,SKU_Master!B:B,"Not on master")</f>
        <v>0</v>
      </c>
      <c r="F1206" cm="1">
        <f t="array" ref="F1206">_xlfn.XLOOKUP(C1206,Account_Master!A:A,Account_Master!B:B,"Not on master")</f>
        <v>0</v>
      </c>
      <c r="G1206" cm="1">
        <f t="array" ref="G1206">_xlfn.XLOOKUP(C1206,Account_Master!A:A,Account_Master!C:C,"Not on master")</f>
        <v>0</v>
      </c>
      <c r="H1206" s="6">
        <v>3</v>
      </c>
      <c r="I1206" s="6">
        <v>3</v>
      </c>
      <c r="J1206" s="6">
        <f>I1206-H1206</f>
        <v>0</v>
      </c>
      <c r="K1206" s="5">
        <f>IF(H1206=0,"",J1206/H1206)</f>
        <v>0</v>
      </c>
      <c r="L1206">
        <f>IF(OR(AND(H1206=0,ABS(J1206)&gt;=0.01),AND(H1206&lt;&gt;0,ABS(K1206)&gt;VarianceThreshold)),"Review","OK")</f>
        <v>0</v>
      </c>
      <c r="M1206" t="s">
        <v>33</v>
      </c>
    </row>
    <row r="1207" spans="1:13">
      <c r="A1207" t="s">
        <v>1</v>
      </c>
      <c r="B1207" t="s">
        <v>765</v>
      </c>
      <c r="C1207" t="s">
        <v>1010</v>
      </c>
      <c r="D1207" t="s">
        <v>1445</v>
      </c>
      <c r="E1207" cm="1">
        <f t="array" ref="E1207">_xlfn.XLOOKUP(D1207,SKU_Master!A:A,SKU_Master!B:B,"Not on master")</f>
        <v>0</v>
      </c>
      <c r="F1207" cm="1">
        <f t="array" ref="F1207">_xlfn.XLOOKUP(C1207,Account_Master!A:A,Account_Master!B:B,"Not on master")</f>
        <v>0</v>
      </c>
      <c r="G1207" cm="1">
        <f t="array" ref="G1207">_xlfn.XLOOKUP(C1207,Account_Master!A:A,Account_Master!C:C,"Not on master")</f>
        <v>0</v>
      </c>
      <c r="H1207" s="6">
        <v>27.75</v>
      </c>
      <c r="I1207" s="6">
        <v>27.75</v>
      </c>
      <c r="J1207" s="6">
        <f>I1207-H1207</f>
        <v>0</v>
      </c>
      <c r="K1207" s="5">
        <f>IF(H1207=0,"",J1207/H1207)</f>
        <v>0</v>
      </c>
      <c r="L1207">
        <f>IF(OR(AND(H1207=0,ABS(J1207)&gt;=0.01),AND(H1207&lt;&gt;0,ABS(K1207)&gt;VarianceThreshold)),"Review","OK")</f>
        <v>0</v>
      </c>
      <c r="M1207" t="s">
        <v>33</v>
      </c>
    </row>
    <row r="1208" spans="1:13">
      <c r="A1208" t="s">
        <v>1</v>
      </c>
      <c r="B1208" t="s">
        <v>775</v>
      </c>
      <c r="C1208" t="s">
        <v>1041</v>
      </c>
      <c r="D1208" t="s">
        <v>726</v>
      </c>
      <c r="E1208" cm="1">
        <f t="array" ref="E1208">_xlfn.XLOOKUP(D1208,SKU_Master!A:A,SKU_Master!B:B,"Not on master")</f>
        <v>0</v>
      </c>
      <c r="F1208" cm="1">
        <f t="array" ref="F1208">_xlfn.XLOOKUP(C1208,Account_Master!A:A,Account_Master!B:B,"Not on master")</f>
        <v>0</v>
      </c>
      <c r="G1208" cm="1">
        <f t="array" ref="G1208">_xlfn.XLOOKUP(C1208,Account_Master!A:A,Account_Master!C:C,"Not on master")</f>
        <v>0</v>
      </c>
      <c r="H1208" s="6">
        <v>1.5</v>
      </c>
      <c r="I1208" s="6">
        <v>1.5</v>
      </c>
      <c r="J1208" s="6">
        <f>I1208-H1208</f>
        <v>0</v>
      </c>
      <c r="K1208" s="5">
        <f>IF(H1208=0,"",J1208/H1208)</f>
        <v>0</v>
      </c>
      <c r="L1208">
        <f>IF(OR(AND(H1208=0,ABS(J1208)&gt;=0.01),AND(H1208&lt;&gt;0,ABS(K1208)&gt;VarianceThreshold)),"Review","OK")</f>
        <v>0</v>
      </c>
      <c r="M1208" t="s">
        <v>33</v>
      </c>
    </row>
    <row r="1209" spans="1:13">
      <c r="A1209" t="s">
        <v>1</v>
      </c>
      <c r="B1209" t="s">
        <v>775</v>
      </c>
      <c r="C1209" t="s">
        <v>1008</v>
      </c>
      <c r="D1209" t="s">
        <v>1446</v>
      </c>
      <c r="E1209" cm="1">
        <f t="array" ref="E1209">_xlfn.XLOOKUP(D1209,SKU_Master!A:A,SKU_Master!B:B,"Not on master")</f>
        <v>0</v>
      </c>
      <c r="F1209" cm="1">
        <f t="array" ref="F1209">_xlfn.XLOOKUP(C1209,Account_Master!A:A,Account_Master!B:B,"Not on master")</f>
        <v>0</v>
      </c>
      <c r="G1209" cm="1">
        <f t="array" ref="G1209">_xlfn.XLOOKUP(C1209,Account_Master!A:A,Account_Master!C:C,"Not on master")</f>
        <v>0</v>
      </c>
      <c r="H1209" s="6">
        <v>0.75</v>
      </c>
      <c r="I1209" s="6">
        <v>0.75</v>
      </c>
      <c r="J1209" s="6">
        <f>I1209-H1209</f>
        <v>0</v>
      </c>
      <c r="K1209" s="5">
        <f>IF(H1209=0,"",J1209/H1209)</f>
        <v>0</v>
      </c>
      <c r="L1209">
        <f>IF(OR(AND(H1209=0,ABS(J1209)&gt;=0.01),AND(H1209&lt;&gt;0,ABS(K1209)&gt;VarianceThreshold)),"Review","OK")</f>
        <v>0</v>
      </c>
      <c r="M1209" t="s">
        <v>33</v>
      </c>
    </row>
    <row r="1210" spans="1:13">
      <c r="A1210" t="s">
        <v>1</v>
      </c>
      <c r="B1210" t="s">
        <v>775</v>
      </c>
      <c r="C1210" t="s">
        <v>1032</v>
      </c>
      <c r="D1210" t="s">
        <v>630</v>
      </c>
      <c r="E1210" cm="1">
        <f t="array" ref="E1210">_xlfn.XLOOKUP(D1210,SKU_Master!A:A,SKU_Master!B:B,"Not on master")</f>
        <v>0</v>
      </c>
      <c r="F1210" cm="1">
        <f t="array" ref="F1210">_xlfn.XLOOKUP(C1210,Account_Master!A:A,Account_Master!B:B,"Not on master")</f>
        <v>0</v>
      </c>
      <c r="G1210" cm="1">
        <f t="array" ref="G1210">_xlfn.XLOOKUP(C1210,Account_Master!A:A,Account_Master!C:C,"Not on master")</f>
        <v>0</v>
      </c>
      <c r="H1210" s="6">
        <v>9</v>
      </c>
      <c r="I1210" s="6">
        <v>9</v>
      </c>
      <c r="J1210" s="6">
        <f>I1210-H1210</f>
        <v>0</v>
      </c>
      <c r="K1210" s="5">
        <f>IF(H1210=0,"",J1210/H1210)</f>
        <v>0</v>
      </c>
      <c r="L1210">
        <f>IF(OR(AND(H1210=0,ABS(J1210)&gt;=0.01),AND(H1210&lt;&gt;0,ABS(K1210)&gt;VarianceThreshold)),"Review","OK")</f>
        <v>0</v>
      </c>
      <c r="M1210" t="s">
        <v>33</v>
      </c>
    </row>
    <row r="1211" spans="1:13">
      <c r="A1211" t="s">
        <v>1</v>
      </c>
      <c r="B1211" t="s">
        <v>775</v>
      </c>
      <c r="C1211" t="s">
        <v>1405</v>
      </c>
      <c r="D1211" t="s">
        <v>1447</v>
      </c>
      <c r="E1211" cm="1">
        <f t="array" ref="E1211">_xlfn.XLOOKUP(D1211,SKU_Master!A:A,SKU_Master!B:B,"Not on master")</f>
        <v>0</v>
      </c>
      <c r="F1211" cm="1">
        <f t="array" ref="F1211">_xlfn.XLOOKUP(C1211,Account_Master!A:A,Account_Master!B:B,"Not on master")</f>
        <v>0</v>
      </c>
      <c r="G1211" cm="1">
        <f t="array" ref="G1211">_xlfn.XLOOKUP(C1211,Account_Master!A:A,Account_Master!C:C,"Not on master")</f>
        <v>0</v>
      </c>
      <c r="H1211" s="6">
        <v>52.5</v>
      </c>
      <c r="I1211" s="6">
        <v>52.5</v>
      </c>
      <c r="J1211" s="6">
        <f>I1211-H1211</f>
        <v>0</v>
      </c>
      <c r="K1211" s="5">
        <f>IF(H1211=0,"",J1211/H1211)</f>
        <v>0</v>
      </c>
      <c r="L1211">
        <f>IF(OR(AND(H1211=0,ABS(J1211)&gt;=0.01),AND(H1211&lt;&gt;0,ABS(K1211)&gt;VarianceThreshold)),"Review","OK")</f>
        <v>0</v>
      </c>
      <c r="M1211" t="s">
        <v>33</v>
      </c>
    </row>
    <row r="1212" spans="1:13">
      <c r="A1212" t="s">
        <v>1</v>
      </c>
      <c r="B1212" t="s">
        <v>775</v>
      </c>
      <c r="C1212" t="s">
        <v>1010</v>
      </c>
      <c r="D1212" t="s">
        <v>1448</v>
      </c>
      <c r="E1212" cm="1">
        <f t="array" ref="E1212">_xlfn.XLOOKUP(D1212,SKU_Master!A:A,SKU_Master!B:B,"Not on master")</f>
        <v>0</v>
      </c>
      <c r="F1212" cm="1">
        <f t="array" ref="F1212">_xlfn.XLOOKUP(C1212,Account_Master!A:A,Account_Master!B:B,"Not on master")</f>
        <v>0</v>
      </c>
      <c r="G1212" cm="1">
        <f t="array" ref="G1212">_xlfn.XLOOKUP(C1212,Account_Master!A:A,Account_Master!C:C,"Not on master")</f>
        <v>0</v>
      </c>
      <c r="H1212" s="6">
        <v>4.5</v>
      </c>
      <c r="I1212" s="6">
        <v>4.5</v>
      </c>
      <c r="J1212" s="6">
        <f>I1212-H1212</f>
        <v>0</v>
      </c>
      <c r="K1212" s="5">
        <f>IF(H1212=0,"",J1212/H1212)</f>
        <v>0</v>
      </c>
      <c r="L1212">
        <f>IF(OR(AND(H1212=0,ABS(J1212)&gt;=0.01),AND(H1212&lt;&gt;0,ABS(K1212)&gt;VarianceThreshold)),"Review","OK")</f>
        <v>0</v>
      </c>
      <c r="M1212" t="s">
        <v>33</v>
      </c>
    </row>
    <row r="1213" spans="1:13">
      <c r="A1213" t="s">
        <v>1</v>
      </c>
      <c r="B1213" t="s">
        <v>779</v>
      </c>
      <c r="C1213" t="s">
        <v>1403</v>
      </c>
      <c r="D1213" t="s">
        <v>1449</v>
      </c>
      <c r="E1213" cm="1">
        <f t="array" ref="E1213">_xlfn.XLOOKUP(D1213,SKU_Master!A:A,SKU_Master!B:B,"Not on master")</f>
        <v>0</v>
      </c>
      <c r="F1213" cm="1">
        <f t="array" ref="F1213">_xlfn.XLOOKUP(C1213,Account_Master!A:A,Account_Master!B:B,"Not on master")</f>
        <v>0</v>
      </c>
      <c r="G1213" cm="1">
        <f t="array" ref="G1213">_xlfn.XLOOKUP(C1213,Account_Master!A:A,Account_Master!C:C,"Not on master")</f>
        <v>0</v>
      </c>
      <c r="H1213" s="6">
        <v>10.5</v>
      </c>
      <c r="I1213" s="6">
        <v>10.5</v>
      </c>
      <c r="J1213" s="6">
        <f>I1213-H1213</f>
        <v>0</v>
      </c>
      <c r="K1213" s="5">
        <f>IF(H1213=0,"",J1213/H1213)</f>
        <v>0</v>
      </c>
      <c r="L1213">
        <f>IF(OR(AND(H1213=0,ABS(J1213)&gt;=0.01),AND(H1213&lt;&gt;0,ABS(K1213)&gt;VarianceThreshold)),"Review","OK")</f>
        <v>0</v>
      </c>
      <c r="M1213" t="s">
        <v>33</v>
      </c>
    </row>
    <row r="1214" spans="1:13">
      <c r="A1214" t="s">
        <v>1</v>
      </c>
      <c r="B1214" t="s">
        <v>779</v>
      </c>
      <c r="C1214" t="s">
        <v>1082</v>
      </c>
      <c r="D1214" t="s">
        <v>531</v>
      </c>
      <c r="E1214" cm="1">
        <f t="array" ref="E1214">_xlfn.XLOOKUP(D1214,SKU_Master!A:A,SKU_Master!B:B,"Not on master")</f>
        <v>0</v>
      </c>
      <c r="F1214" cm="1">
        <f t="array" ref="F1214">_xlfn.XLOOKUP(C1214,Account_Master!A:A,Account_Master!B:B,"Not on master")</f>
        <v>0</v>
      </c>
      <c r="G1214" cm="1">
        <f t="array" ref="G1214">_xlfn.XLOOKUP(C1214,Account_Master!A:A,Account_Master!C:C,"Not on master")</f>
        <v>0</v>
      </c>
      <c r="H1214" s="6">
        <v>1</v>
      </c>
      <c r="I1214" s="6">
        <v>1</v>
      </c>
      <c r="J1214" s="6">
        <f>I1214-H1214</f>
        <v>0</v>
      </c>
      <c r="K1214" s="5">
        <f>IF(H1214=0,"",J1214/H1214)</f>
        <v>0</v>
      </c>
      <c r="L1214">
        <f>IF(OR(AND(H1214=0,ABS(J1214)&gt;=0.01),AND(H1214&lt;&gt;0,ABS(K1214)&gt;VarianceThreshold)),"Review","OK")</f>
        <v>0</v>
      </c>
      <c r="M1214" t="s">
        <v>33</v>
      </c>
    </row>
    <row r="1215" spans="1:13">
      <c r="A1215" t="s">
        <v>1</v>
      </c>
      <c r="B1215" t="s">
        <v>779</v>
      </c>
      <c r="C1215" t="s">
        <v>1068</v>
      </c>
      <c r="D1215" t="s">
        <v>1450</v>
      </c>
      <c r="E1215" cm="1">
        <f t="array" ref="E1215">_xlfn.XLOOKUP(D1215,SKU_Master!A:A,SKU_Master!B:B,"Not on master")</f>
        <v>0</v>
      </c>
      <c r="F1215" cm="1">
        <f t="array" ref="F1215">_xlfn.XLOOKUP(C1215,Account_Master!A:A,Account_Master!B:B,"Not on master")</f>
        <v>0</v>
      </c>
      <c r="G1215" cm="1">
        <f t="array" ref="G1215">_xlfn.XLOOKUP(C1215,Account_Master!A:A,Account_Master!C:C,"Not on master")</f>
        <v>0</v>
      </c>
      <c r="H1215" s="6">
        <v>10.5</v>
      </c>
      <c r="I1215" s="6">
        <v>10.5</v>
      </c>
      <c r="J1215" s="6">
        <f>I1215-H1215</f>
        <v>0</v>
      </c>
      <c r="K1215" s="5">
        <f>IF(H1215=0,"",J1215/H1215)</f>
        <v>0</v>
      </c>
      <c r="L1215">
        <f>IF(OR(AND(H1215=0,ABS(J1215)&gt;=0.01),AND(H1215&lt;&gt;0,ABS(K1215)&gt;VarianceThreshold)),"Review","OK")</f>
        <v>0</v>
      </c>
      <c r="M1215" t="s">
        <v>33</v>
      </c>
    </row>
    <row r="1216" spans="1:13">
      <c r="A1216" t="s">
        <v>1</v>
      </c>
      <c r="B1216" t="s">
        <v>779</v>
      </c>
      <c r="C1216" t="s">
        <v>1121</v>
      </c>
      <c r="D1216" t="s">
        <v>1451</v>
      </c>
      <c r="E1216" cm="1">
        <f t="array" ref="E1216">_xlfn.XLOOKUP(D1216,SKU_Master!A:A,SKU_Master!B:B,"Not on master")</f>
        <v>0</v>
      </c>
      <c r="F1216" cm="1">
        <f t="array" ref="F1216">_xlfn.XLOOKUP(C1216,Account_Master!A:A,Account_Master!B:B,"Not on master")</f>
        <v>0</v>
      </c>
      <c r="G1216" cm="1">
        <f t="array" ref="G1216">_xlfn.XLOOKUP(C1216,Account_Master!A:A,Account_Master!C:C,"Not on master")</f>
        <v>0</v>
      </c>
      <c r="H1216" s="6">
        <v>5.25</v>
      </c>
      <c r="I1216" s="6">
        <v>5.25</v>
      </c>
      <c r="J1216" s="6">
        <f>I1216-H1216</f>
        <v>0</v>
      </c>
      <c r="K1216" s="5">
        <f>IF(H1216=0,"",J1216/H1216)</f>
        <v>0</v>
      </c>
      <c r="L1216">
        <f>IF(OR(AND(H1216=0,ABS(J1216)&gt;=0.01),AND(H1216&lt;&gt;0,ABS(K1216)&gt;VarianceThreshold)),"Review","OK")</f>
        <v>0</v>
      </c>
      <c r="M1216" t="s">
        <v>33</v>
      </c>
    </row>
    <row r="1217" spans="1:13">
      <c r="A1217" t="s">
        <v>1</v>
      </c>
      <c r="B1217" t="s">
        <v>788</v>
      </c>
      <c r="C1217" t="s">
        <v>1034</v>
      </c>
      <c r="D1217" t="s">
        <v>1452</v>
      </c>
      <c r="E1217" cm="1">
        <f t="array" ref="E1217">_xlfn.XLOOKUP(D1217,SKU_Master!A:A,SKU_Master!B:B,"Not on master")</f>
        <v>0</v>
      </c>
      <c r="F1217" cm="1">
        <f t="array" ref="F1217">_xlfn.XLOOKUP(C1217,Account_Master!A:A,Account_Master!B:B,"Not on master")</f>
        <v>0</v>
      </c>
      <c r="G1217" cm="1">
        <f t="array" ref="G1217">_xlfn.XLOOKUP(C1217,Account_Master!A:A,Account_Master!C:C,"Not on master")</f>
        <v>0</v>
      </c>
      <c r="H1217" s="6">
        <v>11.25</v>
      </c>
      <c r="I1217" s="6">
        <v>11.25</v>
      </c>
      <c r="J1217" s="6">
        <f>I1217-H1217</f>
        <v>0</v>
      </c>
      <c r="K1217" s="5">
        <f>IF(H1217=0,"",J1217/H1217)</f>
        <v>0</v>
      </c>
      <c r="L1217">
        <f>IF(OR(AND(H1217=0,ABS(J1217)&gt;=0.01),AND(H1217&lt;&gt;0,ABS(K1217)&gt;VarianceThreshold)),"Review","OK")</f>
        <v>0</v>
      </c>
      <c r="M1217" t="s">
        <v>33</v>
      </c>
    </row>
    <row r="1218" spans="1:13">
      <c r="A1218" t="s">
        <v>1</v>
      </c>
      <c r="B1218" t="s">
        <v>788</v>
      </c>
      <c r="C1218" t="s">
        <v>1024</v>
      </c>
      <c r="D1218" t="s">
        <v>1453</v>
      </c>
      <c r="E1218" cm="1">
        <f t="array" ref="E1218">_xlfn.XLOOKUP(D1218,SKU_Master!A:A,SKU_Master!B:B,"Not on master")</f>
        <v>0</v>
      </c>
      <c r="F1218" cm="1">
        <f t="array" ref="F1218">_xlfn.XLOOKUP(C1218,Account_Master!A:A,Account_Master!B:B,"Not on master")</f>
        <v>0</v>
      </c>
      <c r="G1218" cm="1">
        <f t="array" ref="G1218">_xlfn.XLOOKUP(C1218,Account_Master!A:A,Account_Master!C:C,"Not on master")</f>
        <v>0</v>
      </c>
      <c r="H1218" s="6">
        <v>30</v>
      </c>
      <c r="I1218" s="6">
        <v>30</v>
      </c>
      <c r="J1218" s="6">
        <f>I1218-H1218</f>
        <v>0</v>
      </c>
      <c r="K1218" s="5">
        <f>IF(H1218=0,"",J1218/H1218)</f>
        <v>0</v>
      </c>
      <c r="L1218">
        <f>IF(OR(AND(H1218=0,ABS(J1218)&gt;=0.01),AND(H1218&lt;&gt;0,ABS(K1218)&gt;VarianceThreshold)),"Review","OK")</f>
        <v>0</v>
      </c>
      <c r="M1218" t="s">
        <v>33</v>
      </c>
    </row>
    <row r="1219" spans="1:13">
      <c r="A1219" t="s">
        <v>1</v>
      </c>
      <c r="B1219" t="s">
        <v>788</v>
      </c>
      <c r="C1219" t="s">
        <v>1019</v>
      </c>
      <c r="D1219" t="s">
        <v>551</v>
      </c>
      <c r="E1219" cm="1">
        <f t="array" ref="E1219">_xlfn.XLOOKUP(D1219,SKU_Master!A:A,SKU_Master!B:B,"Not on master")</f>
        <v>0</v>
      </c>
      <c r="F1219" cm="1">
        <f t="array" ref="F1219">_xlfn.XLOOKUP(C1219,Account_Master!A:A,Account_Master!B:B,"Not on master")</f>
        <v>0</v>
      </c>
      <c r="G1219" cm="1">
        <f t="array" ref="G1219">_xlfn.XLOOKUP(C1219,Account_Master!A:A,Account_Master!C:C,"Not on master")</f>
        <v>0</v>
      </c>
      <c r="H1219" s="6">
        <v>0.75</v>
      </c>
      <c r="I1219" s="6">
        <v>0.75</v>
      </c>
      <c r="J1219" s="6">
        <f>I1219-H1219</f>
        <v>0</v>
      </c>
      <c r="K1219" s="5">
        <f>IF(H1219=0,"",J1219/H1219)</f>
        <v>0</v>
      </c>
      <c r="L1219">
        <f>IF(OR(AND(H1219=0,ABS(J1219)&gt;=0.01),AND(H1219&lt;&gt;0,ABS(K1219)&gt;VarianceThreshold)),"Review","OK")</f>
        <v>0</v>
      </c>
      <c r="M1219" t="s">
        <v>33</v>
      </c>
    </row>
    <row r="1220" spans="1:13">
      <c r="A1220" t="s">
        <v>1</v>
      </c>
      <c r="B1220" t="s">
        <v>799</v>
      </c>
      <c r="C1220" t="s">
        <v>1454</v>
      </c>
      <c r="D1220" t="s">
        <v>1455</v>
      </c>
      <c r="E1220" cm="1">
        <f t="array" ref="E1220">_xlfn.XLOOKUP(D1220,SKU_Master!A:A,SKU_Master!B:B,"Not on master")</f>
        <v>0</v>
      </c>
      <c r="F1220" cm="1">
        <f t="array" ref="F1220">_xlfn.XLOOKUP(C1220,Account_Master!A:A,Account_Master!B:B,"Not on master")</f>
        <v>0</v>
      </c>
      <c r="G1220" cm="1">
        <f t="array" ref="G1220">_xlfn.XLOOKUP(C1220,Account_Master!A:A,Account_Master!C:C,"Not on master")</f>
        <v>0</v>
      </c>
      <c r="H1220" s="6">
        <v>102</v>
      </c>
      <c r="I1220" s="6">
        <v>102</v>
      </c>
      <c r="J1220" s="6">
        <f>I1220-H1220</f>
        <v>0</v>
      </c>
      <c r="K1220" s="5">
        <f>IF(H1220=0,"",J1220/H1220)</f>
        <v>0</v>
      </c>
      <c r="L1220">
        <f>IF(OR(AND(H1220=0,ABS(J1220)&gt;=0.01),AND(H1220&lt;&gt;0,ABS(K1220)&gt;VarianceThreshold)),"Review","OK")</f>
        <v>0</v>
      </c>
      <c r="M1220" t="s">
        <v>33</v>
      </c>
    </row>
    <row r="1221" spans="1:13">
      <c r="A1221" t="s">
        <v>1</v>
      </c>
      <c r="B1221" t="s">
        <v>799</v>
      </c>
      <c r="C1221" t="s">
        <v>1013</v>
      </c>
      <c r="D1221" t="s">
        <v>1456</v>
      </c>
      <c r="E1221" cm="1">
        <f t="array" ref="E1221">_xlfn.XLOOKUP(D1221,SKU_Master!A:A,SKU_Master!B:B,"Not on master")</f>
        <v>0</v>
      </c>
      <c r="F1221" cm="1">
        <f t="array" ref="F1221">_xlfn.XLOOKUP(C1221,Account_Master!A:A,Account_Master!B:B,"Not on master")</f>
        <v>0</v>
      </c>
      <c r="G1221" cm="1">
        <f t="array" ref="G1221">_xlfn.XLOOKUP(C1221,Account_Master!A:A,Account_Master!C:C,"Not on master")</f>
        <v>0</v>
      </c>
      <c r="H1221" s="6">
        <v>4.5</v>
      </c>
      <c r="I1221" s="6">
        <v>4.5</v>
      </c>
      <c r="J1221" s="6">
        <f>I1221-H1221</f>
        <v>0</v>
      </c>
      <c r="K1221" s="5">
        <f>IF(H1221=0,"",J1221/H1221)</f>
        <v>0</v>
      </c>
      <c r="L1221">
        <f>IF(OR(AND(H1221=0,ABS(J1221)&gt;=0.01),AND(H1221&lt;&gt;0,ABS(K1221)&gt;VarianceThreshold)),"Review","OK")</f>
        <v>0</v>
      </c>
      <c r="M1221" t="s">
        <v>33</v>
      </c>
    </row>
    <row r="1222" spans="1:13">
      <c r="A1222" t="s">
        <v>1</v>
      </c>
      <c r="B1222" t="s">
        <v>799</v>
      </c>
      <c r="C1222" t="s">
        <v>1164</v>
      </c>
      <c r="D1222" t="s">
        <v>1457</v>
      </c>
      <c r="E1222" cm="1">
        <f t="array" ref="E1222">_xlfn.XLOOKUP(D1222,SKU_Master!A:A,SKU_Master!B:B,"Not on master")</f>
        <v>0</v>
      </c>
      <c r="F1222" cm="1">
        <f t="array" ref="F1222">_xlfn.XLOOKUP(C1222,Account_Master!A:A,Account_Master!B:B,"Not on master")</f>
        <v>0</v>
      </c>
      <c r="G1222" cm="1">
        <f t="array" ref="G1222">_xlfn.XLOOKUP(C1222,Account_Master!A:A,Account_Master!C:C,"Not on master")</f>
        <v>0</v>
      </c>
      <c r="H1222" s="6">
        <v>0.9</v>
      </c>
      <c r="I1222" s="6">
        <v>0.9</v>
      </c>
      <c r="J1222" s="6">
        <f>I1222-H1222</f>
        <v>0</v>
      </c>
      <c r="K1222" s="5">
        <f>IF(H1222=0,"",J1222/H1222)</f>
        <v>0</v>
      </c>
      <c r="L1222">
        <f>IF(OR(AND(H1222=0,ABS(J1222)&gt;=0.01),AND(H1222&lt;&gt;0,ABS(K1222)&gt;VarianceThreshold)),"Review","OK")</f>
        <v>0</v>
      </c>
      <c r="M1222" t="s">
        <v>33</v>
      </c>
    </row>
    <row r="1223" spans="1:13">
      <c r="A1223" t="s">
        <v>1</v>
      </c>
      <c r="B1223" t="s">
        <v>799</v>
      </c>
      <c r="C1223" t="s">
        <v>1054</v>
      </c>
      <c r="D1223" t="s">
        <v>190</v>
      </c>
      <c r="E1223" cm="1">
        <f t="array" ref="E1223">_xlfn.XLOOKUP(D1223,SKU_Master!A:A,SKU_Master!B:B,"Not on master")</f>
        <v>0</v>
      </c>
      <c r="F1223" cm="1">
        <f t="array" ref="F1223">_xlfn.XLOOKUP(C1223,Account_Master!A:A,Account_Master!B:B,"Not on master")</f>
        <v>0</v>
      </c>
      <c r="G1223" cm="1">
        <f t="array" ref="G1223">_xlfn.XLOOKUP(C1223,Account_Master!A:A,Account_Master!C:C,"Not on master")</f>
        <v>0</v>
      </c>
      <c r="H1223" s="6">
        <v>0.55</v>
      </c>
      <c r="I1223" s="6">
        <v>0.55</v>
      </c>
      <c r="J1223" s="6">
        <f>I1223-H1223</f>
        <v>0</v>
      </c>
      <c r="K1223" s="5">
        <f>IF(H1223=0,"",J1223/H1223)</f>
        <v>0</v>
      </c>
      <c r="L1223">
        <f>IF(OR(AND(H1223=0,ABS(J1223)&gt;=0.01),AND(H1223&lt;&gt;0,ABS(K1223)&gt;VarianceThreshold)),"Review","OK")</f>
        <v>0</v>
      </c>
      <c r="M1223" t="s">
        <v>33</v>
      </c>
    </row>
    <row r="1224" spans="1:13">
      <c r="A1224" t="s">
        <v>1</v>
      </c>
      <c r="B1224" t="s">
        <v>799</v>
      </c>
      <c r="C1224" t="s">
        <v>1458</v>
      </c>
      <c r="D1224" t="s">
        <v>1459</v>
      </c>
      <c r="E1224" cm="1">
        <f t="array" ref="E1224">_xlfn.XLOOKUP(D1224,SKU_Master!A:A,SKU_Master!B:B,"Not on master")</f>
        <v>0</v>
      </c>
      <c r="F1224" cm="1">
        <f t="array" ref="F1224">_xlfn.XLOOKUP(C1224,Account_Master!A:A,Account_Master!B:B,"Not on master")</f>
        <v>0</v>
      </c>
      <c r="G1224" cm="1">
        <f t="array" ref="G1224">_xlfn.XLOOKUP(C1224,Account_Master!A:A,Account_Master!C:C,"Not on master")</f>
        <v>0</v>
      </c>
      <c r="H1224" s="6">
        <v>2.85</v>
      </c>
      <c r="I1224" s="6">
        <v>2.85</v>
      </c>
      <c r="J1224" s="6">
        <f>I1224-H1224</f>
        <v>0</v>
      </c>
      <c r="K1224" s="5">
        <f>IF(H1224=0,"",J1224/H1224)</f>
        <v>0</v>
      </c>
      <c r="L1224">
        <f>IF(OR(AND(H1224=0,ABS(J1224)&gt;=0.01),AND(H1224&lt;&gt;0,ABS(K1224)&gt;VarianceThreshold)),"Review","OK")</f>
        <v>0</v>
      </c>
      <c r="M1224" t="s">
        <v>33</v>
      </c>
    </row>
    <row r="1225" spans="1:13">
      <c r="A1225" t="s">
        <v>1</v>
      </c>
      <c r="B1225" t="s">
        <v>814</v>
      </c>
      <c r="C1225" t="s">
        <v>1053</v>
      </c>
      <c r="D1225" t="s">
        <v>1460</v>
      </c>
      <c r="E1225" cm="1">
        <f t="array" ref="E1225">_xlfn.XLOOKUP(D1225,SKU_Master!A:A,SKU_Master!B:B,"Not on master")</f>
        <v>0</v>
      </c>
      <c r="F1225" cm="1">
        <f t="array" ref="F1225">_xlfn.XLOOKUP(C1225,Account_Master!A:A,Account_Master!B:B,"Not on master")</f>
        <v>0</v>
      </c>
      <c r="G1225" cm="1">
        <f t="array" ref="G1225">_xlfn.XLOOKUP(C1225,Account_Master!A:A,Account_Master!C:C,"Not on master")</f>
        <v>0</v>
      </c>
      <c r="H1225" s="6">
        <v>26.25</v>
      </c>
      <c r="I1225" s="6">
        <v>26.25</v>
      </c>
      <c r="J1225" s="6">
        <f>I1225-H1225</f>
        <v>0</v>
      </c>
      <c r="K1225" s="5">
        <f>IF(H1225=0,"",J1225/H1225)</f>
        <v>0</v>
      </c>
      <c r="L1225">
        <f>IF(OR(AND(H1225=0,ABS(J1225)&gt;=0.01),AND(H1225&lt;&gt;0,ABS(K1225)&gt;VarianceThreshold)),"Review","OK")</f>
        <v>0</v>
      </c>
      <c r="M1225" t="s">
        <v>33</v>
      </c>
    </row>
    <row r="1226" spans="1:13">
      <c r="A1226" t="s">
        <v>1</v>
      </c>
      <c r="B1226" t="s">
        <v>814</v>
      </c>
      <c r="C1226" t="s">
        <v>1024</v>
      </c>
      <c r="D1226" t="s">
        <v>1461</v>
      </c>
      <c r="E1226" cm="1">
        <f t="array" ref="E1226">_xlfn.XLOOKUP(D1226,SKU_Master!A:A,SKU_Master!B:B,"Not on master")</f>
        <v>0</v>
      </c>
      <c r="F1226" cm="1">
        <f t="array" ref="F1226">_xlfn.XLOOKUP(C1226,Account_Master!A:A,Account_Master!B:B,"Not on master")</f>
        <v>0</v>
      </c>
      <c r="G1226" cm="1">
        <f t="array" ref="G1226">_xlfn.XLOOKUP(C1226,Account_Master!A:A,Account_Master!C:C,"Not on master")</f>
        <v>0</v>
      </c>
      <c r="H1226" s="6">
        <v>4.5</v>
      </c>
      <c r="I1226" s="6">
        <v>4.5</v>
      </c>
      <c r="J1226" s="6">
        <f>I1226-H1226</f>
        <v>0</v>
      </c>
      <c r="K1226" s="5">
        <f>IF(H1226=0,"",J1226/H1226)</f>
        <v>0</v>
      </c>
      <c r="L1226">
        <f>IF(OR(AND(H1226=0,ABS(J1226)&gt;=0.01),AND(H1226&lt;&gt;0,ABS(K1226)&gt;VarianceThreshold)),"Review","OK")</f>
        <v>0</v>
      </c>
      <c r="M1226" t="s">
        <v>33</v>
      </c>
    </row>
    <row r="1227" spans="1:13">
      <c r="A1227" t="s">
        <v>1</v>
      </c>
      <c r="B1227" t="s">
        <v>814</v>
      </c>
      <c r="C1227" t="s">
        <v>1164</v>
      </c>
      <c r="D1227" t="s">
        <v>1462</v>
      </c>
      <c r="E1227" cm="1">
        <f t="array" ref="E1227">_xlfn.XLOOKUP(D1227,SKU_Master!A:A,SKU_Master!B:B,"Not on master")</f>
        <v>0</v>
      </c>
      <c r="F1227" cm="1">
        <f t="array" ref="F1227">_xlfn.XLOOKUP(C1227,Account_Master!A:A,Account_Master!B:B,"Not on master")</f>
        <v>0</v>
      </c>
      <c r="G1227" cm="1">
        <f t="array" ref="G1227">_xlfn.XLOOKUP(C1227,Account_Master!A:A,Account_Master!C:C,"Not on master")</f>
        <v>0</v>
      </c>
      <c r="H1227" s="6">
        <v>4.8</v>
      </c>
      <c r="I1227" s="6">
        <v>4.8</v>
      </c>
      <c r="J1227" s="6">
        <f>I1227-H1227</f>
        <v>0</v>
      </c>
      <c r="K1227" s="5">
        <f>IF(H1227=0,"",J1227/H1227)</f>
        <v>0</v>
      </c>
      <c r="L1227">
        <f>IF(OR(AND(H1227=0,ABS(J1227)&gt;=0.01),AND(H1227&lt;&gt;0,ABS(K1227)&gt;VarianceThreshold)),"Review","OK")</f>
        <v>0</v>
      </c>
      <c r="M1227" t="s">
        <v>33</v>
      </c>
    </row>
    <row r="1228" spans="1:13">
      <c r="A1228" t="s">
        <v>1</v>
      </c>
      <c r="B1228" t="s">
        <v>814</v>
      </c>
      <c r="C1228" t="s">
        <v>1010</v>
      </c>
      <c r="D1228" t="s">
        <v>1463</v>
      </c>
      <c r="E1228" cm="1">
        <f t="array" ref="E1228">_xlfn.XLOOKUP(D1228,SKU_Master!A:A,SKU_Master!B:B,"Not on master")</f>
        <v>0</v>
      </c>
      <c r="F1228" cm="1">
        <f t="array" ref="F1228">_xlfn.XLOOKUP(C1228,Account_Master!A:A,Account_Master!B:B,"Not on master")</f>
        <v>0</v>
      </c>
      <c r="G1228" cm="1">
        <f t="array" ref="G1228">_xlfn.XLOOKUP(C1228,Account_Master!A:A,Account_Master!C:C,"Not on master")</f>
        <v>0</v>
      </c>
      <c r="H1228" s="6">
        <v>33</v>
      </c>
      <c r="I1228" s="6">
        <v>33</v>
      </c>
      <c r="J1228" s="6">
        <f>I1228-H1228</f>
        <v>0</v>
      </c>
      <c r="K1228" s="5">
        <f>IF(H1228=0,"",J1228/H1228)</f>
        <v>0</v>
      </c>
      <c r="L1228">
        <f>IF(OR(AND(H1228=0,ABS(J1228)&gt;=0.01),AND(H1228&lt;&gt;0,ABS(K1228)&gt;VarianceThreshold)),"Review","OK")</f>
        <v>0</v>
      </c>
      <c r="M1228" t="s">
        <v>33</v>
      </c>
    </row>
    <row r="1229" spans="1:13">
      <c r="A1229" t="s">
        <v>1</v>
      </c>
      <c r="B1229" t="s">
        <v>814</v>
      </c>
      <c r="C1229" t="s">
        <v>1010</v>
      </c>
      <c r="D1229" t="s">
        <v>1464</v>
      </c>
      <c r="E1229" cm="1">
        <f t="array" ref="E1229">_xlfn.XLOOKUP(D1229,SKU_Master!A:A,SKU_Master!B:B,"Not on master")</f>
        <v>0</v>
      </c>
      <c r="F1229" cm="1">
        <f t="array" ref="F1229">_xlfn.XLOOKUP(C1229,Account_Master!A:A,Account_Master!B:B,"Not on master")</f>
        <v>0</v>
      </c>
      <c r="G1229" cm="1">
        <f t="array" ref="G1229">_xlfn.XLOOKUP(C1229,Account_Master!A:A,Account_Master!C:C,"Not on master")</f>
        <v>0</v>
      </c>
      <c r="H1229" s="6">
        <v>48</v>
      </c>
      <c r="I1229" s="6">
        <v>48</v>
      </c>
      <c r="J1229" s="6">
        <f>I1229-H1229</f>
        <v>0</v>
      </c>
      <c r="K1229" s="5">
        <f>IF(H1229=0,"",J1229/H1229)</f>
        <v>0</v>
      </c>
      <c r="L1229">
        <f>IF(OR(AND(H1229=0,ABS(J1229)&gt;=0.01),AND(H1229&lt;&gt;0,ABS(K1229)&gt;VarianceThreshold)),"Review","OK")</f>
        <v>0</v>
      </c>
      <c r="M1229" t="s">
        <v>33</v>
      </c>
    </row>
    <row r="1230" spans="1:13">
      <c r="A1230" t="s">
        <v>1</v>
      </c>
      <c r="B1230" t="s">
        <v>814</v>
      </c>
      <c r="C1230" t="s">
        <v>1023</v>
      </c>
      <c r="D1230" t="s">
        <v>804</v>
      </c>
      <c r="E1230" cm="1">
        <f t="array" ref="E1230">_xlfn.XLOOKUP(D1230,SKU_Master!A:A,SKU_Master!B:B,"Not on master")</f>
        <v>0</v>
      </c>
      <c r="F1230" cm="1">
        <f t="array" ref="F1230">_xlfn.XLOOKUP(C1230,Account_Master!A:A,Account_Master!B:B,"Not on master")</f>
        <v>0</v>
      </c>
      <c r="G1230" cm="1">
        <f t="array" ref="G1230">_xlfn.XLOOKUP(C1230,Account_Master!A:A,Account_Master!C:C,"Not on master")</f>
        <v>0</v>
      </c>
      <c r="H1230" s="6">
        <v>13.5</v>
      </c>
      <c r="I1230" s="6">
        <v>13.5</v>
      </c>
      <c r="J1230" s="6">
        <f>I1230-H1230</f>
        <v>0</v>
      </c>
      <c r="K1230" s="5">
        <f>IF(H1230=0,"",J1230/H1230)</f>
        <v>0</v>
      </c>
      <c r="L1230">
        <f>IF(OR(AND(H1230=0,ABS(J1230)&gt;=0.01),AND(H1230&lt;&gt;0,ABS(K1230)&gt;VarianceThreshold)),"Review","OK")</f>
        <v>0</v>
      </c>
      <c r="M1230" t="s">
        <v>33</v>
      </c>
    </row>
    <row r="1231" spans="1:13">
      <c r="A1231" t="s">
        <v>1</v>
      </c>
      <c r="B1231" t="s">
        <v>814</v>
      </c>
      <c r="C1231" t="s">
        <v>1024</v>
      </c>
      <c r="D1231" t="s">
        <v>1465</v>
      </c>
      <c r="E1231" cm="1">
        <f t="array" ref="E1231">_xlfn.XLOOKUP(D1231,SKU_Master!A:A,SKU_Master!B:B,"Not on master")</f>
        <v>0</v>
      </c>
      <c r="F1231" cm="1">
        <f t="array" ref="F1231">_xlfn.XLOOKUP(C1231,Account_Master!A:A,Account_Master!B:B,"Not on master")</f>
        <v>0</v>
      </c>
      <c r="G1231" cm="1">
        <f t="array" ref="G1231">_xlfn.XLOOKUP(C1231,Account_Master!A:A,Account_Master!C:C,"Not on master")</f>
        <v>0</v>
      </c>
      <c r="H1231" s="6">
        <v>21</v>
      </c>
      <c r="I1231" s="6">
        <v>21</v>
      </c>
      <c r="J1231" s="6">
        <f>I1231-H1231</f>
        <v>0</v>
      </c>
      <c r="K1231" s="5">
        <f>IF(H1231=0,"",J1231/H1231)</f>
        <v>0</v>
      </c>
      <c r="L1231">
        <f>IF(OR(AND(H1231=0,ABS(J1231)&gt;=0.01),AND(H1231&lt;&gt;0,ABS(K1231)&gt;VarianceThreshold)),"Review","OK")</f>
        <v>0</v>
      </c>
      <c r="M1231" t="s">
        <v>33</v>
      </c>
    </row>
    <row r="1232" spans="1:13">
      <c r="A1232" t="s">
        <v>1</v>
      </c>
      <c r="B1232" t="s">
        <v>829</v>
      </c>
      <c r="C1232" t="s">
        <v>1013</v>
      </c>
      <c r="D1232" t="s">
        <v>1466</v>
      </c>
      <c r="E1232" cm="1">
        <f t="array" ref="E1232">_xlfn.XLOOKUP(D1232,SKU_Master!A:A,SKU_Master!B:B,"Not on master")</f>
        <v>0</v>
      </c>
      <c r="F1232" cm="1">
        <f t="array" ref="F1232">_xlfn.XLOOKUP(C1232,Account_Master!A:A,Account_Master!B:B,"Not on master")</f>
        <v>0</v>
      </c>
      <c r="G1232" cm="1">
        <f t="array" ref="G1232">_xlfn.XLOOKUP(C1232,Account_Master!A:A,Account_Master!C:C,"Not on master")</f>
        <v>0</v>
      </c>
      <c r="H1232" s="6">
        <v>1.5</v>
      </c>
      <c r="I1232" s="6">
        <v>1.5</v>
      </c>
      <c r="J1232" s="6">
        <f>I1232-H1232</f>
        <v>0</v>
      </c>
      <c r="K1232" s="5">
        <f>IF(H1232=0,"",J1232/H1232)</f>
        <v>0</v>
      </c>
      <c r="L1232">
        <f>IF(OR(AND(H1232=0,ABS(J1232)&gt;=0.01),AND(H1232&lt;&gt;0,ABS(K1232)&gt;VarianceThreshold)),"Review","OK")</f>
        <v>0</v>
      </c>
      <c r="M1232" t="s">
        <v>33</v>
      </c>
    </row>
    <row r="1233" spans="1:13">
      <c r="A1233" t="s">
        <v>1</v>
      </c>
      <c r="B1233" t="s">
        <v>829</v>
      </c>
      <c r="C1233" t="s">
        <v>1013</v>
      </c>
      <c r="D1233" t="s">
        <v>1467</v>
      </c>
      <c r="E1233" cm="1">
        <f t="array" ref="E1233">_xlfn.XLOOKUP(D1233,SKU_Master!A:A,SKU_Master!B:B,"Not on master")</f>
        <v>0</v>
      </c>
      <c r="F1233" cm="1">
        <f t="array" ref="F1233">_xlfn.XLOOKUP(C1233,Account_Master!A:A,Account_Master!B:B,"Not on master")</f>
        <v>0</v>
      </c>
      <c r="G1233" cm="1">
        <f t="array" ref="G1233">_xlfn.XLOOKUP(C1233,Account_Master!A:A,Account_Master!C:C,"Not on master")</f>
        <v>0</v>
      </c>
      <c r="H1233" s="6">
        <v>9</v>
      </c>
      <c r="I1233" s="6">
        <v>9</v>
      </c>
      <c r="J1233" s="6">
        <f>I1233-H1233</f>
        <v>0</v>
      </c>
      <c r="K1233" s="5">
        <f>IF(H1233=0,"",J1233/H1233)</f>
        <v>0</v>
      </c>
      <c r="L1233">
        <f>IF(OR(AND(H1233=0,ABS(J1233)&gt;=0.01),AND(H1233&lt;&gt;0,ABS(K1233)&gt;VarianceThreshold)),"Review","OK")</f>
        <v>0</v>
      </c>
      <c r="M1233" t="s">
        <v>33</v>
      </c>
    </row>
    <row r="1234" spans="1:13">
      <c r="A1234" t="s">
        <v>1</v>
      </c>
      <c r="B1234" t="s">
        <v>829</v>
      </c>
      <c r="C1234" t="s">
        <v>1076</v>
      </c>
      <c r="D1234" t="s">
        <v>1468</v>
      </c>
      <c r="E1234" cm="1">
        <f t="array" ref="E1234">_xlfn.XLOOKUP(D1234,SKU_Master!A:A,SKU_Master!B:B,"Not on master")</f>
        <v>0</v>
      </c>
      <c r="F1234" cm="1">
        <f t="array" ref="F1234">_xlfn.XLOOKUP(C1234,Account_Master!A:A,Account_Master!B:B,"Not on master")</f>
        <v>0</v>
      </c>
      <c r="G1234" cm="1">
        <f t="array" ref="G1234">_xlfn.XLOOKUP(C1234,Account_Master!A:A,Account_Master!C:C,"Not on master")</f>
        <v>0</v>
      </c>
      <c r="H1234" s="6">
        <v>203</v>
      </c>
      <c r="I1234" s="6">
        <v>203</v>
      </c>
      <c r="J1234" s="6">
        <f>I1234-H1234</f>
        <v>0</v>
      </c>
      <c r="K1234" s="5">
        <f>IF(H1234=0,"",J1234/H1234)</f>
        <v>0</v>
      </c>
      <c r="L1234">
        <f>IF(OR(AND(H1234=0,ABS(J1234)&gt;=0.01),AND(H1234&lt;&gt;0,ABS(K1234)&gt;VarianceThreshold)),"Review","OK")</f>
        <v>0</v>
      </c>
      <c r="M1234" t="s">
        <v>33</v>
      </c>
    </row>
    <row r="1235" spans="1:13">
      <c r="A1235" t="s">
        <v>1</v>
      </c>
      <c r="B1235" t="s">
        <v>829</v>
      </c>
      <c r="C1235" t="s">
        <v>1027</v>
      </c>
      <c r="D1235" t="s">
        <v>1469</v>
      </c>
      <c r="E1235" cm="1">
        <f t="array" ref="E1235">_xlfn.XLOOKUP(D1235,SKU_Master!A:A,SKU_Master!B:B,"Not on master")</f>
        <v>0</v>
      </c>
      <c r="F1235" cm="1">
        <f t="array" ref="F1235">_xlfn.XLOOKUP(C1235,Account_Master!A:A,Account_Master!B:B,"Not on master")</f>
        <v>0</v>
      </c>
      <c r="G1235" cm="1">
        <f t="array" ref="G1235">_xlfn.XLOOKUP(C1235,Account_Master!A:A,Account_Master!C:C,"Not on master")</f>
        <v>0</v>
      </c>
      <c r="H1235" s="6">
        <v>0.75</v>
      </c>
      <c r="I1235" s="6">
        <v>0.75</v>
      </c>
      <c r="J1235" s="6">
        <f>I1235-H1235</f>
        <v>0</v>
      </c>
      <c r="K1235" s="5">
        <f>IF(H1235=0,"",J1235/H1235)</f>
        <v>0</v>
      </c>
      <c r="L1235">
        <f>IF(OR(AND(H1235=0,ABS(J1235)&gt;=0.01),AND(H1235&lt;&gt;0,ABS(K1235)&gt;VarianceThreshold)),"Review","OK")</f>
        <v>0</v>
      </c>
      <c r="M1235" t="s">
        <v>33</v>
      </c>
    </row>
    <row r="1236" spans="1:13">
      <c r="A1236" t="s">
        <v>1</v>
      </c>
      <c r="B1236" t="s">
        <v>829</v>
      </c>
      <c r="C1236" t="s">
        <v>1263</v>
      </c>
      <c r="D1236" t="s">
        <v>1470</v>
      </c>
      <c r="E1236" cm="1">
        <f t="array" ref="E1236">_xlfn.XLOOKUP(D1236,SKU_Master!A:A,SKU_Master!B:B,"Not on master")</f>
        <v>0</v>
      </c>
      <c r="F1236" cm="1">
        <f t="array" ref="F1236">_xlfn.XLOOKUP(C1236,Account_Master!A:A,Account_Master!B:B,"Not on master")</f>
        <v>0</v>
      </c>
      <c r="G1236" cm="1">
        <f t="array" ref="G1236">_xlfn.XLOOKUP(C1236,Account_Master!A:A,Account_Master!C:C,"Not on master")</f>
        <v>0</v>
      </c>
      <c r="H1236" s="6">
        <v>521.25</v>
      </c>
      <c r="I1236" s="6">
        <v>521.25</v>
      </c>
      <c r="J1236" s="6">
        <f>I1236-H1236</f>
        <v>0</v>
      </c>
      <c r="K1236" s="5">
        <f>IF(H1236=0,"",J1236/H1236)</f>
        <v>0</v>
      </c>
      <c r="L1236">
        <f>IF(OR(AND(H1236=0,ABS(J1236)&gt;=0.01),AND(H1236&lt;&gt;0,ABS(K1236)&gt;VarianceThreshold)),"Review","OK")</f>
        <v>0</v>
      </c>
      <c r="M1236" t="s">
        <v>33</v>
      </c>
    </row>
    <row r="1237" spans="1:13">
      <c r="A1237" t="s">
        <v>1</v>
      </c>
      <c r="B1237" t="s">
        <v>829</v>
      </c>
      <c r="C1237" t="s">
        <v>1268</v>
      </c>
      <c r="D1237" t="s">
        <v>1471</v>
      </c>
      <c r="E1237" cm="1">
        <f t="array" ref="E1237">_xlfn.XLOOKUP(D1237,SKU_Master!A:A,SKU_Master!B:B,"Not on master")</f>
        <v>0</v>
      </c>
      <c r="F1237" cm="1">
        <f t="array" ref="F1237">_xlfn.XLOOKUP(C1237,Account_Master!A:A,Account_Master!B:B,"Not on master")</f>
        <v>0</v>
      </c>
      <c r="G1237" cm="1">
        <f t="array" ref="G1237">_xlfn.XLOOKUP(C1237,Account_Master!A:A,Account_Master!C:C,"Not on master")</f>
        <v>0</v>
      </c>
      <c r="H1237" s="6">
        <v>4.5</v>
      </c>
      <c r="I1237" s="6">
        <v>4.5</v>
      </c>
      <c r="J1237" s="6">
        <f>I1237-H1237</f>
        <v>0</v>
      </c>
      <c r="K1237" s="5">
        <f>IF(H1237=0,"",J1237/H1237)</f>
        <v>0</v>
      </c>
      <c r="L1237">
        <f>IF(OR(AND(H1237=0,ABS(J1237)&gt;=0.01),AND(H1237&lt;&gt;0,ABS(K1237)&gt;VarianceThreshold)),"Review","OK")</f>
        <v>0</v>
      </c>
      <c r="M1237" t="s">
        <v>33</v>
      </c>
    </row>
    <row r="1238" spans="1:13">
      <c r="A1238" t="s">
        <v>1</v>
      </c>
      <c r="B1238" t="s">
        <v>829</v>
      </c>
      <c r="C1238" t="s">
        <v>1472</v>
      </c>
      <c r="D1238" t="s">
        <v>321</v>
      </c>
      <c r="E1238" cm="1">
        <f t="array" ref="E1238">_xlfn.XLOOKUP(D1238,SKU_Master!A:A,SKU_Master!B:B,"Not on master")</f>
        <v>0</v>
      </c>
      <c r="F1238" cm="1">
        <f t="array" ref="F1238">_xlfn.XLOOKUP(C1238,Account_Master!A:A,Account_Master!B:B,"Not on master")</f>
        <v>0</v>
      </c>
      <c r="G1238" cm="1">
        <f t="array" ref="G1238">_xlfn.XLOOKUP(C1238,Account_Master!A:A,Account_Master!C:C,"Not on master")</f>
        <v>0</v>
      </c>
      <c r="H1238" s="6">
        <v>35</v>
      </c>
      <c r="I1238" s="6">
        <v>35</v>
      </c>
      <c r="J1238" s="6">
        <f>I1238-H1238</f>
        <v>0</v>
      </c>
      <c r="K1238" s="5">
        <f>IF(H1238=0,"",J1238/H1238)</f>
        <v>0</v>
      </c>
      <c r="L1238">
        <f>IF(OR(AND(H1238=0,ABS(J1238)&gt;=0.01),AND(H1238&lt;&gt;0,ABS(K1238)&gt;VarianceThreshold)),"Review","OK")</f>
        <v>0</v>
      </c>
      <c r="M1238" t="s">
        <v>33</v>
      </c>
    </row>
    <row r="1239" spans="1:13">
      <c r="A1239" t="s">
        <v>1</v>
      </c>
      <c r="B1239" t="s">
        <v>829</v>
      </c>
      <c r="C1239" t="s">
        <v>1117</v>
      </c>
      <c r="D1239" t="s">
        <v>1473</v>
      </c>
      <c r="E1239" cm="1">
        <f t="array" ref="E1239">_xlfn.XLOOKUP(D1239,SKU_Master!A:A,SKU_Master!B:B,"Not on master")</f>
        <v>0</v>
      </c>
      <c r="F1239" cm="1">
        <f t="array" ref="F1239">_xlfn.XLOOKUP(C1239,Account_Master!A:A,Account_Master!B:B,"Not on master")</f>
        <v>0</v>
      </c>
      <c r="G1239" cm="1">
        <f t="array" ref="G1239">_xlfn.XLOOKUP(C1239,Account_Master!A:A,Account_Master!C:C,"Not on master")</f>
        <v>0</v>
      </c>
      <c r="H1239" s="6">
        <v>3.37</v>
      </c>
      <c r="I1239" s="6">
        <v>3.37</v>
      </c>
      <c r="J1239" s="6">
        <f>I1239-H1239</f>
        <v>0</v>
      </c>
      <c r="K1239" s="5">
        <f>IF(H1239=0,"",J1239/H1239)</f>
        <v>0</v>
      </c>
      <c r="L1239">
        <f>IF(OR(AND(H1239=0,ABS(J1239)&gt;=0.01),AND(H1239&lt;&gt;0,ABS(K1239)&gt;VarianceThreshold)),"Review","OK")</f>
        <v>0</v>
      </c>
      <c r="M1239" t="s">
        <v>33</v>
      </c>
    </row>
    <row r="1240" spans="1:13">
      <c r="A1240" t="s">
        <v>1</v>
      </c>
      <c r="B1240" t="s">
        <v>829</v>
      </c>
      <c r="C1240" t="s">
        <v>1013</v>
      </c>
      <c r="D1240" t="s">
        <v>1006</v>
      </c>
      <c r="E1240" cm="1">
        <f t="array" ref="E1240">_xlfn.XLOOKUP(D1240,SKU_Master!A:A,SKU_Master!B:B,"Not on master")</f>
        <v>0</v>
      </c>
      <c r="F1240" cm="1">
        <f t="array" ref="F1240">_xlfn.XLOOKUP(C1240,Account_Master!A:A,Account_Master!B:B,"Not on master")</f>
        <v>0</v>
      </c>
      <c r="G1240" cm="1">
        <f t="array" ref="G1240">_xlfn.XLOOKUP(C1240,Account_Master!A:A,Account_Master!C:C,"Not on master")</f>
        <v>0</v>
      </c>
      <c r="H1240" s="6">
        <v>2.25</v>
      </c>
      <c r="I1240" s="6">
        <v>2.25</v>
      </c>
      <c r="J1240" s="6">
        <f>I1240-H1240</f>
        <v>0</v>
      </c>
      <c r="K1240" s="5">
        <f>IF(H1240=0,"",J1240/H1240)</f>
        <v>0</v>
      </c>
      <c r="L1240">
        <f>IF(OR(AND(H1240=0,ABS(J1240)&gt;=0.01),AND(H1240&lt;&gt;0,ABS(K1240)&gt;VarianceThreshold)),"Review","OK")</f>
        <v>0</v>
      </c>
      <c r="M1240" t="s">
        <v>33</v>
      </c>
    </row>
    <row r="1241" spans="1:13">
      <c r="A1241" t="s">
        <v>1</v>
      </c>
      <c r="B1241" t="s">
        <v>829</v>
      </c>
      <c r="C1241" t="s">
        <v>1010</v>
      </c>
      <c r="D1241" t="s">
        <v>1474</v>
      </c>
      <c r="E1241" cm="1">
        <f t="array" ref="E1241">_xlfn.XLOOKUP(D1241,SKU_Master!A:A,SKU_Master!B:B,"Not on master")</f>
        <v>0</v>
      </c>
      <c r="F1241" cm="1">
        <f t="array" ref="F1241">_xlfn.XLOOKUP(C1241,Account_Master!A:A,Account_Master!B:B,"Not on master")</f>
        <v>0</v>
      </c>
      <c r="G1241" cm="1">
        <f t="array" ref="G1241">_xlfn.XLOOKUP(C1241,Account_Master!A:A,Account_Master!C:C,"Not on master")</f>
        <v>0</v>
      </c>
      <c r="H1241" s="6">
        <v>96</v>
      </c>
      <c r="I1241" s="6">
        <v>96</v>
      </c>
      <c r="J1241" s="6">
        <f>I1241-H1241</f>
        <v>0</v>
      </c>
      <c r="K1241" s="5">
        <f>IF(H1241=0,"",J1241/H1241)</f>
        <v>0</v>
      </c>
      <c r="L1241">
        <f>IF(OR(AND(H1241=0,ABS(J1241)&gt;=0.01),AND(H1241&lt;&gt;0,ABS(K1241)&gt;VarianceThreshold)),"Review","OK")</f>
        <v>0</v>
      </c>
      <c r="M1241" t="s">
        <v>33</v>
      </c>
    </row>
    <row r="1242" spans="1:13">
      <c r="A1242" t="s">
        <v>1</v>
      </c>
      <c r="B1242" t="s">
        <v>829</v>
      </c>
      <c r="C1242" t="s">
        <v>1019</v>
      </c>
      <c r="D1242" t="s">
        <v>1475</v>
      </c>
      <c r="E1242" cm="1">
        <f t="array" ref="E1242">_xlfn.XLOOKUP(D1242,SKU_Master!A:A,SKU_Master!B:B,"Not on master")</f>
        <v>0</v>
      </c>
      <c r="F1242" cm="1">
        <f t="array" ref="F1242">_xlfn.XLOOKUP(C1242,Account_Master!A:A,Account_Master!B:B,"Not on master")</f>
        <v>0</v>
      </c>
      <c r="G1242" cm="1">
        <f t="array" ref="G1242">_xlfn.XLOOKUP(C1242,Account_Master!A:A,Account_Master!C:C,"Not on master")</f>
        <v>0</v>
      </c>
      <c r="H1242" s="6">
        <v>1.5</v>
      </c>
      <c r="I1242" s="6">
        <v>1.5</v>
      </c>
      <c r="J1242" s="6">
        <f>I1242-H1242</f>
        <v>0</v>
      </c>
      <c r="K1242" s="5">
        <f>IF(H1242=0,"",J1242/H1242)</f>
        <v>0</v>
      </c>
      <c r="L1242">
        <f>IF(OR(AND(H1242=0,ABS(J1242)&gt;=0.01),AND(H1242&lt;&gt;0,ABS(K1242)&gt;VarianceThreshold)),"Review","OK")</f>
        <v>0</v>
      </c>
      <c r="M1242" t="s">
        <v>33</v>
      </c>
    </row>
    <row r="1243" spans="1:13">
      <c r="A1243" t="s">
        <v>1</v>
      </c>
      <c r="B1243" t="s">
        <v>836</v>
      </c>
      <c r="C1243" t="s">
        <v>1268</v>
      </c>
      <c r="D1243" t="s">
        <v>1476</v>
      </c>
      <c r="E1243" cm="1">
        <f t="array" ref="E1243">_xlfn.XLOOKUP(D1243,SKU_Master!A:A,SKU_Master!B:B,"Not on master")</f>
        <v>0</v>
      </c>
      <c r="F1243" cm="1">
        <f t="array" ref="F1243">_xlfn.XLOOKUP(C1243,Account_Master!A:A,Account_Master!B:B,"Not on master")</f>
        <v>0</v>
      </c>
      <c r="G1243" cm="1">
        <f t="array" ref="G1243">_xlfn.XLOOKUP(C1243,Account_Master!A:A,Account_Master!C:C,"Not on master")</f>
        <v>0</v>
      </c>
      <c r="H1243" s="6">
        <v>12</v>
      </c>
      <c r="I1243" s="6">
        <v>12</v>
      </c>
      <c r="J1243" s="6">
        <f>I1243-H1243</f>
        <v>0</v>
      </c>
      <c r="K1243" s="5">
        <f>IF(H1243=0,"",J1243/H1243)</f>
        <v>0</v>
      </c>
      <c r="L1243">
        <f>IF(OR(AND(H1243=0,ABS(J1243)&gt;=0.01),AND(H1243&lt;&gt;0,ABS(K1243)&gt;VarianceThreshold)),"Review","OK")</f>
        <v>0</v>
      </c>
      <c r="M1243" t="s">
        <v>33</v>
      </c>
    </row>
    <row r="1244" spans="1:13">
      <c r="A1244" t="s">
        <v>1</v>
      </c>
      <c r="B1244" t="s">
        <v>836</v>
      </c>
      <c r="C1244" t="s">
        <v>1041</v>
      </c>
      <c r="D1244" t="s">
        <v>1477</v>
      </c>
      <c r="E1244" cm="1">
        <f t="array" ref="E1244">_xlfn.XLOOKUP(D1244,SKU_Master!A:A,SKU_Master!B:B,"Not on master")</f>
        <v>0</v>
      </c>
      <c r="F1244" cm="1">
        <f t="array" ref="F1244">_xlfn.XLOOKUP(C1244,Account_Master!A:A,Account_Master!B:B,"Not on master")</f>
        <v>0</v>
      </c>
      <c r="G1244" cm="1">
        <f t="array" ref="G1244">_xlfn.XLOOKUP(C1244,Account_Master!A:A,Account_Master!C:C,"Not on master")</f>
        <v>0</v>
      </c>
      <c r="H1244" s="6">
        <v>9.75</v>
      </c>
      <c r="I1244" s="6">
        <v>9.75</v>
      </c>
      <c r="J1244" s="6">
        <f>I1244-H1244</f>
        <v>0</v>
      </c>
      <c r="K1244" s="5">
        <f>IF(H1244=0,"",J1244/H1244)</f>
        <v>0</v>
      </c>
      <c r="L1244">
        <f>IF(OR(AND(H1244=0,ABS(J1244)&gt;=0.01),AND(H1244&lt;&gt;0,ABS(K1244)&gt;VarianceThreshold)),"Review","OK")</f>
        <v>0</v>
      </c>
      <c r="M1244" t="s">
        <v>33</v>
      </c>
    </row>
    <row r="1245" spans="1:13">
      <c r="A1245" t="s">
        <v>1</v>
      </c>
      <c r="B1245" t="s">
        <v>836</v>
      </c>
      <c r="C1245" t="s">
        <v>1010</v>
      </c>
      <c r="D1245" t="s">
        <v>137</v>
      </c>
      <c r="E1245" cm="1">
        <f t="array" ref="E1245">_xlfn.XLOOKUP(D1245,SKU_Master!A:A,SKU_Master!B:B,"Not on master")</f>
        <v>0</v>
      </c>
      <c r="F1245" cm="1">
        <f t="array" ref="F1245">_xlfn.XLOOKUP(C1245,Account_Master!A:A,Account_Master!B:B,"Not on master")</f>
        <v>0</v>
      </c>
      <c r="G1245" cm="1">
        <f t="array" ref="G1245">_xlfn.XLOOKUP(C1245,Account_Master!A:A,Account_Master!C:C,"Not on master")</f>
        <v>0</v>
      </c>
      <c r="H1245" s="6">
        <v>12</v>
      </c>
      <c r="I1245" s="6">
        <v>12</v>
      </c>
      <c r="J1245" s="6">
        <f>I1245-H1245</f>
        <v>0</v>
      </c>
      <c r="K1245" s="5">
        <f>IF(H1245=0,"",J1245/H1245)</f>
        <v>0</v>
      </c>
      <c r="L1245">
        <f>IF(OR(AND(H1245=0,ABS(J1245)&gt;=0.01),AND(H1245&lt;&gt;0,ABS(K1245)&gt;VarianceThreshold)),"Review","OK")</f>
        <v>0</v>
      </c>
      <c r="M1245" t="s">
        <v>33</v>
      </c>
    </row>
    <row r="1246" spans="1:13">
      <c r="A1246" t="s">
        <v>1</v>
      </c>
      <c r="B1246" t="s">
        <v>836</v>
      </c>
      <c r="C1246" t="s">
        <v>1023</v>
      </c>
      <c r="D1246" t="s">
        <v>199</v>
      </c>
      <c r="E1246" cm="1">
        <f t="array" ref="E1246">_xlfn.XLOOKUP(D1246,SKU_Master!A:A,SKU_Master!B:B,"Not on master")</f>
        <v>0</v>
      </c>
      <c r="F1246" cm="1">
        <f t="array" ref="F1246">_xlfn.XLOOKUP(C1246,Account_Master!A:A,Account_Master!B:B,"Not on master")</f>
        <v>0</v>
      </c>
      <c r="G1246" cm="1">
        <f t="array" ref="G1246">_xlfn.XLOOKUP(C1246,Account_Master!A:A,Account_Master!C:C,"Not on master")</f>
        <v>0</v>
      </c>
      <c r="H1246" s="6">
        <v>40.5</v>
      </c>
      <c r="I1246" s="6">
        <v>40.5</v>
      </c>
      <c r="J1246" s="6">
        <f>I1246-H1246</f>
        <v>0</v>
      </c>
      <c r="K1246" s="5">
        <f>IF(H1246=0,"",J1246/H1246)</f>
        <v>0</v>
      </c>
      <c r="L1246">
        <f>IF(OR(AND(H1246=0,ABS(J1246)&gt;=0.01),AND(H1246&lt;&gt;0,ABS(K1246)&gt;VarianceThreshold)),"Review","OK")</f>
        <v>0</v>
      </c>
      <c r="M1246" t="s">
        <v>33</v>
      </c>
    </row>
    <row r="1247" spans="1:13">
      <c r="A1247" t="s">
        <v>1</v>
      </c>
      <c r="B1247" t="s">
        <v>836</v>
      </c>
      <c r="C1247" t="s">
        <v>1036</v>
      </c>
      <c r="D1247" t="s">
        <v>810</v>
      </c>
      <c r="E1247" cm="1">
        <f t="array" ref="E1247">_xlfn.XLOOKUP(D1247,SKU_Master!A:A,SKU_Master!B:B,"Not on master")</f>
        <v>0</v>
      </c>
      <c r="F1247" cm="1">
        <f t="array" ref="F1247">_xlfn.XLOOKUP(C1247,Account_Master!A:A,Account_Master!B:B,"Not on master")</f>
        <v>0</v>
      </c>
      <c r="G1247" cm="1">
        <f t="array" ref="G1247">_xlfn.XLOOKUP(C1247,Account_Master!A:A,Account_Master!C:C,"Not on master")</f>
        <v>0</v>
      </c>
      <c r="H1247" s="6">
        <v>54</v>
      </c>
      <c r="I1247" s="6">
        <v>54</v>
      </c>
      <c r="J1247" s="6">
        <f>I1247-H1247</f>
        <v>0</v>
      </c>
      <c r="K1247" s="5">
        <f>IF(H1247=0,"",J1247/H1247)</f>
        <v>0</v>
      </c>
      <c r="L1247">
        <f>IF(OR(AND(H1247=0,ABS(J1247)&gt;=0.01),AND(H1247&lt;&gt;0,ABS(K1247)&gt;VarianceThreshold)),"Review","OK")</f>
        <v>0</v>
      </c>
      <c r="M1247" t="s">
        <v>33</v>
      </c>
    </row>
    <row r="1248" spans="1:13">
      <c r="A1248" t="s">
        <v>1</v>
      </c>
      <c r="B1248" t="s">
        <v>836</v>
      </c>
      <c r="C1248" t="s">
        <v>1288</v>
      </c>
      <c r="D1248" t="s">
        <v>327</v>
      </c>
      <c r="E1248" cm="1">
        <f t="array" ref="E1248">_xlfn.XLOOKUP(D1248,SKU_Master!A:A,SKU_Master!B:B,"Not on master")</f>
        <v>0</v>
      </c>
      <c r="F1248" cm="1">
        <f t="array" ref="F1248">_xlfn.XLOOKUP(C1248,Account_Master!A:A,Account_Master!B:B,"Not on master")</f>
        <v>0</v>
      </c>
      <c r="G1248" cm="1">
        <f t="array" ref="G1248">_xlfn.XLOOKUP(C1248,Account_Master!A:A,Account_Master!C:C,"Not on master")</f>
        <v>0</v>
      </c>
      <c r="H1248" s="6">
        <v>3.75</v>
      </c>
      <c r="I1248" s="6">
        <v>3.75</v>
      </c>
      <c r="J1248" s="6">
        <f>I1248-H1248</f>
        <v>0</v>
      </c>
      <c r="K1248" s="5">
        <f>IF(H1248=0,"",J1248/H1248)</f>
        <v>0</v>
      </c>
      <c r="L1248">
        <f>IF(OR(AND(H1248=0,ABS(J1248)&gt;=0.01),AND(H1248&lt;&gt;0,ABS(K1248)&gt;VarianceThreshold)),"Review","OK")</f>
        <v>0</v>
      </c>
      <c r="M1248" t="s">
        <v>33</v>
      </c>
    </row>
    <row r="1249" spans="1:13">
      <c r="A1249" t="s">
        <v>1</v>
      </c>
      <c r="B1249" t="s">
        <v>836</v>
      </c>
      <c r="C1249" t="s">
        <v>1008</v>
      </c>
      <c r="D1249" t="s">
        <v>1478</v>
      </c>
      <c r="E1249" cm="1">
        <f t="array" ref="E1249">_xlfn.XLOOKUP(D1249,SKU_Master!A:A,SKU_Master!B:B,"Not on master")</f>
        <v>0</v>
      </c>
      <c r="F1249" cm="1">
        <f t="array" ref="F1249">_xlfn.XLOOKUP(C1249,Account_Master!A:A,Account_Master!B:B,"Not on master")</f>
        <v>0</v>
      </c>
      <c r="G1249" cm="1">
        <f t="array" ref="G1249">_xlfn.XLOOKUP(C1249,Account_Master!A:A,Account_Master!C:C,"Not on master")</f>
        <v>0</v>
      </c>
      <c r="H1249" s="6">
        <v>0.75</v>
      </c>
      <c r="I1249" s="6">
        <v>0.75</v>
      </c>
      <c r="J1249" s="6">
        <f>I1249-H1249</f>
        <v>0</v>
      </c>
      <c r="K1249" s="5">
        <f>IF(H1249=0,"",J1249/H1249)</f>
        <v>0</v>
      </c>
      <c r="L1249">
        <f>IF(OR(AND(H1249=0,ABS(J1249)&gt;=0.01),AND(H1249&lt;&gt;0,ABS(K1249)&gt;VarianceThreshold)),"Review","OK")</f>
        <v>0</v>
      </c>
      <c r="M1249" t="s">
        <v>33</v>
      </c>
    </row>
    <row r="1250" spans="1:13">
      <c r="A1250" t="s">
        <v>1</v>
      </c>
      <c r="B1250" t="s">
        <v>836</v>
      </c>
      <c r="C1250" t="s">
        <v>1018</v>
      </c>
      <c r="D1250" t="s">
        <v>1479</v>
      </c>
      <c r="E1250" cm="1">
        <f t="array" ref="E1250">_xlfn.XLOOKUP(D1250,SKU_Master!A:A,SKU_Master!B:B,"Not on master")</f>
        <v>0</v>
      </c>
      <c r="F1250" cm="1">
        <f t="array" ref="F1250">_xlfn.XLOOKUP(C1250,Account_Master!A:A,Account_Master!B:B,"Not on master")</f>
        <v>0</v>
      </c>
      <c r="G1250" cm="1">
        <f t="array" ref="G1250">_xlfn.XLOOKUP(C1250,Account_Master!A:A,Account_Master!C:C,"Not on master")</f>
        <v>0</v>
      </c>
      <c r="H1250" s="6">
        <v>2.25</v>
      </c>
      <c r="I1250" s="6">
        <v>2.25</v>
      </c>
      <c r="J1250" s="6">
        <f>I1250-H1250</f>
        <v>0</v>
      </c>
      <c r="K1250" s="5">
        <f>IF(H1250=0,"",J1250/H1250)</f>
        <v>0</v>
      </c>
      <c r="L1250">
        <f>IF(OR(AND(H1250=0,ABS(J1250)&gt;=0.01),AND(H1250&lt;&gt;0,ABS(K1250)&gt;VarianceThreshold)),"Review","OK")</f>
        <v>0</v>
      </c>
      <c r="M1250" t="s">
        <v>33</v>
      </c>
    </row>
    <row r="1251" spans="1:13">
      <c r="A1251" t="s">
        <v>1</v>
      </c>
      <c r="B1251" t="s">
        <v>846</v>
      </c>
      <c r="C1251" t="s">
        <v>1010</v>
      </c>
      <c r="D1251" t="s">
        <v>541</v>
      </c>
      <c r="E1251" cm="1">
        <f t="array" ref="E1251">_xlfn.XLOOKUP(D1251,SKU_Master!A:A,SKU_Master!B:B,"Not on master")</f>
        <v>0</v>
      </c>
      <c r="F1251" cm="1">
        <f t="array" ref="F1251">_xlfn.XLOOKUP(C1251,Account_Master!A:A,Account_Master!B:B,"Not on master")</f>
        <v>0</v>
      </c>
      <c r="G1251" cm="1">
        <f t="array" ref="G1251">_xlfn.XLOOKUP(C1251,Account_Master!A:A,Account_Master!C:C,"Not on master")</f>
        <v>0</v>
      </c>
      <c r="H1251" s="6">
        <v>133</v>
      </c>
      <c r="I1251" s="6">
        <v>133</v>
      </c>
      <c r="J1251" s="6">
        <f>I1251-H1251</f>
        <v>0</v>
      </c>
      <c r="K1251" s="5">
        <f>IF(H1251=0,"",J1251/H1251)</f>
        <v>0</v>
      </c>
      <c r="L1251">
        <f>IF(OR(AND(H1251=0,ABS(J1251)&gt;=0.01),AND(H1251&lt;&gt;0,ABS(K1251)&gt;VarianceThreshold)),"Review","OK")</f>
        <v>0</v>
      </c>
      <c r="M1251" t="s">
        <v>33</v>
      </c>
    </row>
    <row r="1252" spans="1:13">
      <c r="A1252" t="s">
        <v>1</v>
      </c>
      <c r="B1252" t="s">
        <v>846</v>
      </c>
      <c r="C1252" t="s">
        <v>1013</v>
      </c>
      <c r="D1252" t="s">
        <v>766</v>
      </c>
      <c r="E1252" cm="1">
        <f t="array" ref="E1252">_xlfn.XLOOKUP(D1252,SKU_Master!A:A,SKU_Master!B:B,"Not on master")</f>
        <v>0</v>
      </c>
      <c r="F1252" cm="1">
        <f t="array" ref="F1252">_xlfn.XLOOKUP(C1252,Account_Master!A:A,Account_Master!B:B,"Not on master")</f>
        <v>0</v>
      </c>
      <c r="G1252" cm="1">
        <f t="array" ref="G1252">_xlfn.XLOOKUP(C1252,Account_Master!A:A,Account_Master!C:C,"Not on master")</f>
        <v>0</v>
      </c>
      <c r="H1252" s="6">
        <v>54.25</v>
      </c>
      <c r="I1252" s="6">
        <v>54.25</v>
      </c>
      <c r="J1252" s="6">
        <f>I1252-H1252</f>
        <v>0</v>
      </c>
      <c r="K1252" s="5">
        <f>IF(H1252=0,"",J1252/H1252)</f>
        <v>0</v>
      </c>
      <c r="L1252">
        <f>IF(OR(AND(H1252=0,ABS(J1252)&gt;=0.01),AND(H1252&lt;&gt;0,ABS(K1252)&gt;VarianceThreshold)),"Review","OK")</f>
        <v>0</v>
      </c>
      <c r="M1252" t="s">
        <v>33</v>
      </c>
    </row>
    <row r="1253" spans="1:13">
      <c r="A1253" t="s">
        <v>1</v>
      </c>
      <c r="B1253" t="s">
        <v>846</v>
      </c>
      <c r="C1253" t="s">
        <v>1053</v>
      </c>
      <c r="D1253" t="s">
        <v>1480</v>
      </c>
      <c r="E1253" cm="1">
        <f t="array" ref="E1253">_xlfn.XLOOKUP(D1253,SKU_Master!A:A,SKU_Master!B:B,"Not on master")</f>
        <v>0</v>
      </c>
      <c r="F1253" cm="1">
        <f t="array" ref="F1253">_xlfn.XLOOKUP(C1253,Account_Master!A:A,Account_Master!B:B,"Not on master")</f>
        <v>0</v>
      </c>
      <c r="G1253" cm="1">
        <f t="array" ref="G1253">_xlfn.XLOOKUP(C1253,Account_Master!A:A,Account_Master!C:C,"Not on master")</f>
        <v>0</v>
      </c>
      <c r="H1253" s="6">
        <v>6.75</v>
      </c>
      <c r="I1253" s="6">
        <v>6.75</v>
      </c>
      <c r="J1253" s="6">
        <f>I1253-H1253</f>
        <v>0</v>
      </c>
      <c r="K1253" s="5">
        <f>IF(H1253=0,"",J1253/H1253)</f>
        <v>0</v>
      </c>
      <c r="L1253">
        <f>IF(OR(AND(H1253=0,ABS(J1253)&gt;=0.01),AND(H1253&lt;&gt;0,ABS(K1253)&gt;VarianceThreshold)),"Review","OK")</f>
        <v>0</v>
      </c>
      <c r="M1253" t="s">
        <v>33</v>
      </c>
    </row>
    <row r="1254" spans="1:13">
      <c r="A1254" t="s">
        <v>1</v>
      </c>
      <c r="B1254" t="s">
        <v>846</v>
      </c>
      <c r="C1254" t="s">
        <v>1034</v>
      </c>
      <c r="D1254" t="s">
        <v>1481</v>
      </c>
      <c r="E1254" cm="1">
        <f t="array" ref="E1254">_xlfn.XLOOKUP(D1254,SKU_Master!A:A,SKU_Master!B:B,"Not on master")</f>
        <v>0</v>
      </c>
      <c r="F1254" cm="1">
        <f t="array" ref="F1254">_xlfn.XLOOKUP(C1254,Account_Master!A:A,Account_Master!B:B,"Not on master")</f>
        <v>0</v>
      </c>
      <c r="G1254" cm="1">
        <f t="array" ref="G1254">_xlfn.XLOOKUP(C1254,Account_Master!A:A,Account_Master!C:C,"Not on master")</f>
        <v>0</v>
      </c>
      <c r="H1254" s="6">
        <v>0.75</v>
      </c>
      <c r="I1254" s="6">
        <v>0.75</v>
      </c>
      <c r="J1254" s="6">
        <f>I1254-H1254</f>
        <v>0</v>
      </c>
      <c r="K1254" s="5">
        <f>IF(H1254=0,"",J1254/H1254)</f>
        <v>0</v>
      </c>
      <c r="L1254">
        <f>IF(OR(AND(H1254=0,ABS(J1254)&gt;=0.01),AND(H1254&lt;&gt;0,ABS(K1254)&gt;VarianceThreshold)),"Review","OK")</f>
        <v>0</v>
      </c>
      <c r="M1254" t="s">
        <v>33</v>
      </c>
    </row>
    <row r="1255" spans="1:13">
      <c r="A1255" t="s">
        <v>1</v>
      </c>
      <c r="B1255" t="s">
        <v>846</v>
      </c>
      <c r="C1255" t="s">
        <v>1082</v>
      </c>
      <c r="D1255" t="s">
        <v>1482</v>
      </c>
      <c r="E1255" cm="1">
        <f t="array" ref="E1255">_xlfn.XLOOKUP(D1255,SKU_Master!A:A,SKU_Master!B:B,"Not on master")</f>
        <v>0</v>
      </c>
      <c r="F1255" cm="1">
        <f t="array" ref="F1255">_xlfn.XLOOKUP(C1255,Account_Master!A:A,Account_Master!B:B,"Not on master")</f>
        <v>0</v>
      </c>
      <c r="G1255" cm="1">
        <f t="array" ref="G1255">_xlfn.XLOOKUP(C1255,Account_Master!A:A,Account_Master!C:C,"Not on master")</f>
        <v>0</v>
      </c>
      <c r="H1255" s="6">
        <v>13.5</v>
      </c>
      <c r="I1255" s="6">
        <v>13.5</v>
      </c>
      <c r="J1255" s="6">
        <f>I1255-H1255</f>
        <v>0</v>
      </c>
      <c r="K1255" s="5">
        <f>IF(H1255=0,"",J1255/H1255)</f>
        <v>0</v>
      </c>
      <c r="L1255">
        <f>IF(OR(AND(H1255=0,ABS(J1255)&gt;=0.01),AND(H1255&lt;&gt;0,ABS(K1255)&gt;VarianceThreshold)),"Review","OK")</f>
        <v>0</v>
      </c>
      <c r="M1255" t="s">
        <v>33</v>
      </c>
    </row>
    <row r="1256" spans="1:13">
      <c r="A1256" t="s">
        <v>1</v>
      </c>
      <c r="B1256" t="s">
        <v>846</v>
      </c>
      <c r="C1256" t="s">
        <v>1185</v>
      </c>
      <c r="D1256" t="s">
        <v>1483</v>
      </c>
      <c r="E1256" cm="1">
        <f t="array" ref="E1256">_xlfn.XLOOKUP(D1256,SKU_Master!A:A,SKU_Master!B:B,"Not on master")</f>
        <v>0</v>
      </c>
      <c r="F1256" cm="1">
        <f t="array" ref="F1256">_xlfn.XLOOKUP(C1256,Account_Master!A:A,Account_Master!B:B,"Not on master")</f>
        <v>0</v>
      </c>
      <c r="G1256" cm="1">
        <f t="array" ref="G1256">_xlfn.XLOOKUP(C1256,Account_Master!A:A,Account_Master!C:C,"Not on master")</f>
        <v>0</v>
      </c>
      <c r="H1256" s="6">
        <v>4.5</v>
      </c>
      <c r="I1256" s="6">
        <v>4.5</v>
      </c>
      <c r="J1256" s="6">
        <f>I1256-H1256</f>
        <v>0</v>
      </c>
      <c r="K1256" s="5">
        <f>IF(H1256=0,"",J1256/H1256)</f>
        <v>0</v>
      </c>
      <c r="L1256">
        <f>IF(OR(AND(H1256=0,ABS(J1256)&gt;=0.01),AND(H1256&lt;&gt;0,ABS(K1256)&gt;VarianceThreshold)),"Review","OK")</f>
        <v>0</v>
      </c>
      <c r="M1256" t="s">
        <v>33</v>
      </c>
    </row>
    <row r="1257" spans="1:13">
      <c r="A1257" t="s">
        <v>1</v>
      </c>
      <c r="B1257" t="s">
        <v>846</v>
      </c>
      <c r="C1257" t="s">
        <v>1010</v>
      </c>
      <c r="D1257" t="s">
        <v>1484</v>
      </c>
      <c r="E1257" cm="1">
        <f t="array" ref="E1257">_xlfn.XLOOKUP(D1257,SKU_Master!A:A,SKU_Master!B:B,"Not on master")</f>
        <v>0</v>
      </c>
      <c r="F1257" cm="1">
        <f t="array" ref="F1257">_xlfn.XLOOKUP(C1257,Account_Master!A:A,Account_Master!B:B,"Not on master")</f>
        <v>0</v>
      </c>
      <c r="G1257" cm="1">
        <f t="array" ref="G1257">_xlfn.XLOOKUP(C1257,Account_Master!A:A,Account_Master!C:C,"Not on master")</f>
        <v>0</v>
      </c>
      <c r="H1257" s="6">
        <v>9</v>
      </c>
      <c r="I1257" s="6">
        <v>9</v>
      </c>
      <c r="J1257" s="6">
        <f>I1257-H1257</f>
        <v>0</v>
      </c>
      <c r="K1257" s="5">
        <f>IF(H1257=0,"",J1257/H1257)</f>
        <v>0</v>
      </c>
      <c r="L1257">
        <f>IF(OR(AND(H1257=0,ABS(J1257)&gt;=0.01),AND(H1257&lt;&gt;0,ABS(K1257)&gt;VarianceThreshold)),"Review","OK")</f>
        <v>0</v>
      </c>
      <c r="M1257" t="s">
        <v>33</v>
      </c>
    </row>
    <row r="1258" spans="1:13">
      <c r="A1258" t="s">
        <v>1</v>
      </c>
      <c r="B1258" t="s">
        <v>846</v>
      </c>
      <c r="C1258" t="s">
        <v>1191</v>
      </c>
      <c r="D1258" t="s">
        <v>1485</v>
      </c>
      <c r="E1258" cm="1">
        <f t="array" ref="E1258">_xlfn.XLOOKUP(D1258,SKU_Master!A:A,SKU_Master!B:B,"Not on master")</f>
        <v>0</v>
      </c>
      <c r="F1258" cm="1">
        <f t="array" ref="F1258">_xlfn.XLOOKUP(C1258,Account_Master!A:A,Account_Master!B:B,"Not on master")</f>
        <v>0</v>
      </c>
      <c r="G1258" cm="1">
        <f t="array" ref="G1258">_xlfn.XLOOKUP(C1258,Account_Master!A:A,Account_Master!C:C,"Not on master")</f>
        <v>0</v>
      </c>
      <c r="H1258" s="6">
        <v>5.25</v>
      </c>
      <c r="I1258" s="6">
        <v>5.25</v>
      </c>
      <c r="J1258" s="6">
        <f>I1258-H1258</f>
        <v>0</v>
      </c>
      <c r="K1258" s="5">
        <f>IF(H1258=0,"",J1258/H1258)</f>
        <v>0</v>
      </c>
      <c r="L1258">
        <f>IF(OR(AND(H1258=0,ABS(J1258)&gt;=0.01),AND(H1258&lt;&gt;0,ABS(K1258)&gt;VarianceThreshold)),"Review","OK")</f>
        <v>0</v>
      </c>
      <c r="M1258" t="s">
        <v>33</v>
      </c>
    </row>
    <row r="1259" spans="1:13">
      <c r="A1259" t="s">
        <v>1</v>
      </c>
      <c r="B1259" t="s">
        <v>851</v>
      </c>
      <c r="C1259" t="s">
        <v>1063</v>
      </c>
      <c r="D1259" t="s">
        <v>1486</v>
      </c>
      <c r="E1259" cm="1">
        <f t="array" ref="E1259">_xlfn.XLOOKUP(D1259,SKU_Master!A:A,SKU_Master!B:B,"Not on master")</f>
        <v>0</v>
      </c>
      <c r="F1259" cm="1">
        <f t="array" ref="F1259">_xlfn.XLOOKUP(C1259,Account_Master!A:A,Account_Master!B:B,"Not on master")</f>
        <v>0</v>
      </c>
      <c r="G1259" cm="1">
        <f t="array" ref="G1259">_xlfn.XLOOKUP(C1259,Account_Master!A:A,Account_Master!C:C,"Not on master")</f>
        <v>0</v>
      </c>
      <c r="H1259" s="6">
        <v>10.5</v>
      </c>
      <c r="I1259" s="6">
        <v>10.5</v>
      </c>
      <c r="J1259" s="6">
        <f>I1259-H1259</f>
        <v>0</v>
      </c>
      <c r="K1259" s="5">
        <f>IF(H1259=0,"",J1259/H1259)</f>
        <v>0</v>
      </c>
      <c r="L1259">
        <f>IF(OR(AND(H1259=0,ABS(J1259)&gt;=0.01),AND(H1259&lt;&gt;0,ABS(K1259)&gt;VarianceThreshold)),"Review","OK")</f>
        <v>0</v>
      </c>
      <c r="M1259" t="s">
        <v>33</v>
      </c>
    </row>
    <row r="1260" spans="1:13">
      <c r="A1260" t="s">
        <v>1</v>
      </c>
      <c r="B1260" t="s">
        <v>851</v>
      </c>
      <c r="C1260" t="s">
        <v>1010</v>
      </c>
      <c r="D1260" t="s">
        <v>733</v>
      </c>
      <c r="E1260" cm="1">
        <f t="array" ref="E1260">_xlfn.XLOOKUP(D1260,SKU_Master!A:A,SKU_Master!B:B,"Not on master")</f>
        <v>0</v>
      </c>
      <c r="F1260" cm="1">
        <f t="array" ref="F1260">_xlfn.XLOOKUP(C1260,Account_Master!A:A,Account_Master!B:B,"Not on master")</f>
        <v>0</v>
      </c>
      <c r="G1260" cm="1">
        <f t="array" ref="G1260">_xlfn.XLOOKUP(C1260,Account_Master!A:A,Account_Master!C:C,"Not on master")</f>
        <v>0</v>
      </c>
      <c r="H1260" s="6">
        <v>45</v>
      </c>
      <c r="I1260" s="6">
        <v>45</v>
      </c>
      <c r="J1260" s="6">
        <f>I1260-H1260</f>
        <v>0</v>
      </c>
      <c r="K1260" s="5">
        <f>IF(H1260=0,"",J1260/H1260)</f>
        <v>0</v>
      </c>
      <c r="L1260">
        <f>IF(OR(AND(H1260=0,ABS(J1260)&gt;=0.01),AND(H1260&lt;&gt;0,ABS(K1260)&gt;VarianceThreshold)),"Review","OK")</f>
        <v>0</v>
      </c>
      <c r="M1260" t="s">
        <v>33</v>
      </c>
    </row>
    <row r="1261" spans="1:13">
      <c r="A1261" t="s">
        <v>1</v>
      </c>
      <c r="B1261" t="s">
        <v>851</v>
      </c>
      <c r="C1261" t="s">
        <v>1036</v>
      </c>
      <c r="D1261" t="s">
        <v>435</v>
      </c>
      <c r="E1261" cm="1">
        <f t="array" ref="E1261">_xlfn.XLOOKUP(D1261,SKU_Master!A:A,SKU_Master!B:B,"Not on master")</f>
        <v>0</v>
      </c>
      <c r="F1261" cm="1">
        <f t="array" ref="F1261">_xlfn.XLOOKUP(C1261,Account_Master!A:A,Account_Master!B:B,"Not on master")</f>
        <v>0</v>
      </c>
      <c r="G1261" cm="1">
        <f t="array" ref="G1261">_xlfn.XLOOKUP(C1261,Account_Master!A:A,Account_Master!C:C,"Not on master")</f>
        <v>0</v>
      </c>
      <c r="H1261" s="6">
        <v>4.5</v>
      </c>
      <c r="I1261" s="6">
        <v>4.5</v>
      </c>
      <c r="J1261" s="6">
        <f>I1261-H1261</f>
        <v>0</v>
      </c>
      <c r="K1261" s="5">
        <f>IF(H1261=0,"",J1261/H1261)</f>
        <v>0</v>
      </c>
      <c r="L1261">
        <f>IF(OR(AND(H1261=0,ABS(J1261)&gt;=0.01),AND(H1261&lt;&gt;0,ABS(K1261)&gt;VarianceThreshold)),"Review","OK")</f>
        <v>0</v>
      </c>
      <c r="M1261" t="s">
        <v>33</v>
      </c>
    </row>
    <row r="1262" spans="1:13">
      <c r="A1262" t="s">
        <v>1</v>
      </c>
      <c r="B1262" t="s">
        <v>851</v>
      </c>
      <c r="C1262" t="s">
        <v>1010</v>
      </c>
      <c r="D1262" t="s">
        <v>1487</v>
      </c>
      <c r="E1262" cm="1">
        <f t="array" ref="E1262">_xlfn.XLOOKUP(D1262,SKU_Master!A:A,SKU_Master!B:B,"Not on master")</f>
        <v>0</v>
      </c>
      <c r="F1262" cm="1">
        <f t="array" ref="F1262">_xlfn.XLOOKUP(C1262,Account_Master!A:A,Account_Master!B:B,"Not on master")</f>
        <v>0</v>
      </c>
      <c r="G1262" cm="1">
        <f t="array" ref="G1262">_xlfn.XLOOKUP(C1262,Account_Master!A:A,Account_Master!C:C,"Not on master")</f>
        <v>0</v>
      </c>
      <c r="H1262" s="6">
        <v>38.25</v>
      </c>
      <c r="I1262" s="6">
        <v>38.25</v>
      </c>
      <c r="J1262" s="6">
        <f>I1262-H1262</f>
        <v>0</v>
      </c>
      <c r="K1262" s="5">
        <f>IF(H1262=0,"",J1262/H1262)</f>
        <v>0</v>
      </c>
      <c r="L1262">
        <f>IF(OR(AND(H1262=0,ABS(J1262)&gt;=0.01),AND(H1262&lt;&gt;0,ABS(K1262)&gt;VarianceThreshold)),"Review","OK")</f>
        <v>0</v>
      </c>
      <c r="M1262" t="s">
        <v>33</v>
      </c>
    </row>
    <row r="1263" spans="1:13">
      <c r="A1263" t="s">
        <v>1</v>
      </c>
      <c r="B1263" t="s">
        <v>851</v>
      </c>
      <c r="C1263" t="s">
        <v>1261</v>
      </c>
      <c r="D1263" t="s">
        <v>1488</v>
      </c>
      <c r="E1263" cm="1">
        <f t="array" ref="E1263">_xlfn.XLOOKUP(D1263,SKU_Master!A:A,SKU_Master!B:B,"Not on master")</f>
        <v>0</v>
      </c>
      <c r="F1263" cm="1">
        <f t="array" ref="F1263">_xlfn.XLOOKUP(C1263,Account_Master!A:A,Account_Master!B:B,"Not on master")</f>
        <v>0</v>
      </c>
      <c r="G1263" cm="1">
        <f t="array" ref="G1263">_xlfn.XLOOKUP(C1263,Account_Master!A:A,Account_Master!C:C,"Not on master")</f>
        <v>0</v>
      </c>
      <c r="H1263" s="6">
        <v>30</v>
      </c>
      <c r="I1263" s="6">
        <v>30</v>
      </c>
      <c r="J1263" s="6">
        <f>I1263-H1263</f>
        <v>0</v>
      </c>
      <c r="K1263" s="5">
        <f>IF(H1263=0,"",J1263/H1263)</f>
        <v>0</v>
      </c>
      <c r="L1263">
        <f>IF(OR(AND(H1263=0,ABS(J1263)&gt;=0.01),AND(H1263&lt;&gt;0,ABS(K1263)&gt;VarianceThreshold)),"Review","OK")</f>
        <v>0</v>
      </c>
      <c r="M1263" t="s">
        <v>33</v>
      </c>
    </row>
    <row r="1264" spans="1:13">
      <c r="A1264" t="s">
        <v>1</v>
      </c>
      <c r="B1264" t="s">
        <v>858</v>
      </c>
      <c r="C1264" t="s">
        <v>1082</v>
      </c>
      <c r="D1264" t="s">
        <v>1489</v>
      </c>
      <c r="E1264" cm="1">
        <f t="array" ref="E1264">_xlfn.XLOOKUP(D1264,SKU_Master!A:A,SKU_Master!B:B,"Not on master")</f>
        <v>0</v>
      </c>
      <c r="F1264" cm="1">
        <f t="array" ref="F1264">_xlfn.XLOOKUP(C1264,Account_Master!A:A,Account_Master!B:B,"Not on master")</f>
        <v>0</v>
      </c>
      <c r="G1264" cm="1">
        <f t="array" ref="G1264">_xlfn.XLOOKUP(C1264,Account_Master!A:A,Account_Master!C:C,"Not on master")</f>
        <v>0</v>
      </c>
      <c r="H1264" s="6">
        <v>6.75</v>
      </c>
      <c r="I1264" s="6">
        <v>6.75</v>
      </c>
      <c r="J1264" s="6">
        <f>I1264-H1264</f>
        <v>0</v>
      </c>
      <c r="K1264" s="5">
        <f>IF(H1264=0,"",J1264/H1264)</f>
        <v>0</v>
      </c>
      <c r="L1264">
        <f>IF(OR(AND(H1264=0,ABS(J1264)&gt;=0.01),AND(H1264&lt;&gt;0,ABS(K1264)&gt;VarianceThreshold)),"Review","OK")</f>
        <v>0</v>
      </c>
      <c r="M1264" t="s">
        <v>33</v>
      </c>
    </row>
    <row r="1265" spans="1:13">
      <c r="A1265" t="s">
        <v>1</v>
      </c>
      <c r="B1265" t="s">
        <v>858</v>
      </c>
      <c r="C1265" t="s">
        <v>1082</v>
      </c>
      <c r="D1265" t="s">
        <v>709</v>
      </c>
      <c r="E1265" cm="1">
        <f t="array" ref="E1265">_xlfn.XLOOKUP(D1265,SKU_Master!A:A,SKU_Master!B:B,"Not on master")</f>
        <v>0</v>
      </c>
      <c r="F1265" cm="1">
        <f t="array" ref="F1265">_xlfn.XLOOKUP(C1265,Account_Master!A:A,Account_Master!B:B,"Not on master")</f>
        <v>0</v>
      </c>
      <c r="G1265" cm="1">
        <f t="array" ref="G1265">_xlfn.XLOOKUP(C1265,Account_Master!A:A,Account_Master!C:C,"Not on master")</f>
        <v>0</v>
      </c>
      <c r="H1265" s="6">
        <v>39.75</v>
      </c>
      <c r="I1265" s="6">
        <v>39.75</v>
      </c>
      <c r="J1265" s="6">
        <f>I1265-H1265</f>
        <v>0</v>
      </c>
      <c r="K1265" s="5">
        <f>IF(H1265=0,"",J1265/H1265)</f>
        <v>0</v>
      </c>
      <c r="L1265">
        <f>IF(OR(AND(H1265=0,ABS(J1265)&gt;=0.01),AND(H1265&lt;&gt;0,ABS(K1265)&gt;VarianceThreshold)),"Review","OK")</f>
        <v>0</v>
      </c>
      <c r="M1265" t="s">
        <v>33</v>
      </c>
    </row>
    <row r="1266" spans="1:13">
      <c r="A1266" t="s">
        <v>1</v>
      </c>
      <c r="B1266" t="s">
        <v>858</v>
      </c>
      <c r="C1266" t="s">
        <v>1315</v>
      </c>
      <c r="D1266" t="s">
        <v>543</v>
      </c>
      <c r="E1266" cm="1">
        <f t="array" ref="E1266">_xlfn.XLOOKUP(D1266,SKU_Master!A:A,SKU_Master!B:B,"Not on master")</f>
        <v>0</v>
      </c>
      <c r="F1266" cm="1">
        <f t="array" ref="F1266">_xlfn.XLOOKUP(C1266,Account_Master!A:A,Account_Master!B:B,"Not on master")</f>
        <v>0</v>
      </c>
      <c r="G1266" cm="1">
        <f t="array" ref="G1266">_xlfn.XLOOKUP(C1266,Account_Master!A:A,Account_Master!C:C,"Not on master")</f>
        <v>0</v>
      </c>
      <c r="H1266" s="6">
        <v>9</v>
      </c>
      <c r="I1266" s="6">
        <v>9</v>
      </c>
      <c r="J1266" s="6">
        <f>I1266-H1266</f>
        <v>0</v>
      </c>
      <c r="K1266" s="5">
        <f>IF(H1266=0,"",J1266/H1266)</f>
        <v>0</v>
      </c>
      <c r="L1266">
        <f>IF(OR(AND(H1266=0,ABS(J1266)&gt;=0.01),AND(H1266&lt;&gt;0,ABS(K1266)&gt;VarianceThreshold)),"Review","OK")</f>
        <v>0</v>
      </c>
      <c r="M1266" t="s">
        <v>33</v>
      </c>
    </row>
    <row r="1267" spans="1:13">
      <c r="A1267" t="s">
        <v>1</v>
      </c>
      <c r="B1267" t="s">
        <v>858</v>
      </c>
      <c r="C1267" t="s">
        <v>1024</v>
      </c>
      <c r="D1267" t="s">
        <v>1490</v>
      </c>
      <c r="E1267" cm="1">
        <f t="array" ref="E1267">_xlfn.XLOOKUP(D1267,SKU_Master!A:A,SKU_Master!B:B,"Not on master")</f>
        <v>0</v>
      </c>
      <c r="F1267" cm="1">
        <f t="array" ref="F1267">_xlfn.XLOOKUP(C1267,Account_Master!A:A,Account_Master!B:B,"Not on master")</f>
        <v>0</v>
      </c>
      <c r="G1267" cm="1">
        <f t="array" ref="G1267">_xlfn.XLOOKUP(C1267,Account_Master!A:A,Account_Master!C:C,"Not on master")</f>
        <v>0</v>
      </c>
      <c r="H1267" s="6">
        <v>9</v>
      </c>
      <c r="I1267" s="6">
        <v>9</v>
      </c>
      <c r="J1267" s="6">
        <f>I1267-H1267</f>
        <v>0</v>
      </c>
      <c r="K1267" s="5">
        <f>IF(H1267=0,"",J1267/H1267)</f>
        <v>0</v>
      </c>
      <c r="L1267">
        <f>IF(OR(AND(H1267=0,ABS(J1267)&gt;=0.01),AND(H1267&lt;&gt;0,ABS(K1267)&gt;VarianceThreshold)),"Review","OK")</f>
        <v>0</v>
      </c>
      <c r="M1267" t="s">
        <v>33</v>
      </c>
    </row>
    <row r="1268" spans="1:13">
      <c r="A1268" t="s">
        <v>1</v>
      </c>
      <c r="B1268" t="s">
        <v>868</v>
      </c>
      <c r="C1268" t="s">
        <v>1491</v>
      </c>
      <c r="D1268" t="s">
        <v>1492</v>
      </c>
      <c r="E1268" cm="1">
        <f t="array" ref="E1268">_xlfn.XLOOKUP(D1268,SKU_Master!A:A,SKU_Master!B:B,"Not on master")</f>
        <v>0</v>
      </c>
      <c r="F1268" cm="1">
        <f t="array" ref="F1268">_xlfn.XLOOKUP(C1268,Account_Master!A:A,Account_Master!B:B,"Not on master")</f>
        <v>0</v>
      </c>
      <c r="G1268" cm="1">
        <f t="array" ref="G1268">_xlfn.XLOOKUP(C1268,Account_Master!A:A,Account_Master!C:C,"Not on master")</f>
        <v>0</v>
      </c>
      <c r="H1268" s="6">
        <v>4.5</v>
      </c>
      <c r="I1268" s="6">
        <v>4.5</v>
      </c>
      <c r="J1268" s="6">
        <f>I1268-H1268</f>
        <v>0</v>
      </c>
      <c r="K1268" s="5">
        <f>IF(H1268=0,"",J1268/H1268)</f>
        <v>0</v>
      </c>
      <c r="L1268">
        <f>IF(OR(AND(H1268=0,ABS(J1268)&gt;=0.01),AND(H1268&lt;&gt;0,ABS(K1268)&gt;VarianceThreshold)),"Review","OK")</f>
        <v>0</v>
      </c>
      <c r="M1268" t="s">
        <v>33</v>
      </c>
    </row>
    <row r="1269" spans="1:13">
      <c r="A1269" t="s">
        <v>1</v>
      </c>
      <c r="B1269" t="s">
        <v>868</v>
      </c>
      <c r="C1269" t="s">
        <v>1032</v>
      </c>
      <c r="D1269" t="s">
        <v>577</v>
      </c>
      <c r="E1269" cm="1">
        <f t="array" ref="E1269">_xlfn.XLOOKUP(D1269,SKU_Master!A:A,SKU_Master!B:B,"Not on master")</f>
        <v>0</v>
      </c>
      <c r="F1269" cm="1">
        <f t="array" ref="F1269">_xlfn.XLOOKUP(C1269,Account_Master!A:A,Account_Master!B:B,"Not on master")</f>
        <v>0</v>
      </c>
      <c r="G1269" cm="1">
        <f t="array" ref="G1269">_xlfn.XLOOKUP(C1269,Account_Master!A:A,Account_Master!C:C,"Not on master")</f>
        <v>0</v>
      </c>
      <c r="H1269" s="6">
        <v>9</v>
      </c>
      <c r="I1269" s="6">
        <v>9</v>
      </c>
      <c r="J1269" s="6">
        <f>I1269-H1269</f>
        <v>0</v>
      </c>
      <c r="K1269" s="5">
        <f>IF(H1269=0,"",J1269/H1269)</f>
        <v>0</v>
      </c>
      <c r="L1269">
        <f>IF(OR(AND(H1269=0,ABS(J1269)&gt;=0.01),AND(H1269&lt;&gt;0,ABS(K1269)&gt;VarianceThreshold)),"Review","OK")</f>
        <v>0</v>
      </c>
      <c r="M1269" t="s">
        <v>33</v>
      </c>
    </row>
    <row r="1270" spans="1:13">
      <c r="A1270" t="s">
        <v>1</v>
      </c>
      <c r="B1270" t="s">
        <v>876</v>
      </c>
      <c r="C1270" t="s">
        <v>1023</v>
      </c>
      <c r="D1270" t="s">
        <v>1493</v>
      </c>
      <c r="E1270" cm="1">
        <f t="array" ref="E1270">_xlfn.XLOOKUP(D1270,SKU_Master!A:A,SKU_Master!B:B,"Not on master")</f>
        <v>0</v>
      </c>
      <c r="F1270" cm="1">
        <f t="array" ref="F1270">_xlfn.XLOOKUP(C1270,Account_Master!A:A,Account_Master!B:B,"Not on master")</f>
        <v>0</v>
      </c>
      <c r="G1270" cm="1">
        <f t="array" ref="G1270">_xlfn.XLOOKUP(C1270,Account_Master!A:A,Account_Master!C:C,"Not on master")</f>
        <v>0</v>
      </c>
      <c r="H1270" s="6">
        <v>377.25</v>
      </c>
      <c r="I1270" s="6">
        <v>377.25</v>
      </c>
      <c r="J1270" s="6">
        <f>I1270-H1270</f>
        <v>0</v>
      </c>
      <c r="K1270" s="5">
        <f>IF(H1270=0,"",J1270/H1270)</f>
        <v>0</v>
      </c>
      <c r="L1270">
        <f>IF(OR(AND(H1270=0,ABS(J1270)&gt;=0.01),AND(H1270&lt;&gt;0,ABS(K1270)&gt;VarianceThreshold)),"Review","OK")</f>
        <v>0</v>
      </c>
      <c r="M1270" t="s">
        <v>33</v>
      </c>
    </row>
    <row r="1271" spans="1:13">
      <c r="A1271" t="s">
        <v>1</v>
      </c>
      <c r="B1271" t="s">
        <v>876</v>
      </c>
      <c r="C1271" t="s">
        <v>1041</v>
      </c>
      <c r="D1271" t="s">
        <v>1494</v>
      </c>
      <c r="E1271" cm="1">
        <f t="array" ref="E1271">_xlfn.XLOOKUP(D1271,SKU_Master!A:A,SKU_Master!B:B,"Not on master")</f>
        <v>0</v>
      </c>
      <c r="F1271" cm="1">
        <f t="array" ref="F1271">_xlfn.XLOOKUP(C1271,Account_Master!A:A,Account_Master!B:B,"Not on master")</f>
        <v>0</v>
      </c>
      <c r="G1271" cm="1">
        <f t="array" ref="G1271">_xlfn.XLOOKUP(C1271,Account_Master!A:A,Account_Master!C:C,"Not on master")</f>
        <v>0</v>
      </c>
      <c r="H1271" s="6">
        <v>115.5</v>
      </c>
      <c r="I1271" s="6">
        <v>115.5</v>
      </c>
      <c r="J1271" s="6">
        <f>I1271-H1271</f>
        <v>0</v>
      </c>
      <c r="K1271" s="5">
        <f>IF(H1271=0,"",J1271/H1271)</f>
        <v>0</v>
      </c>
      <c r="L1271">
        <f>IF(OR(AND(H1271=0,ABS(J1271)&gt;=0.01),AND(H1271&lt;&gt;0,ABS(K1271)&gt;VarianceThreshold)),"Review","OK")</f>
        <v>0</v>
      </c>
      <c r="M1271" t="s">
        <v>33</v>
      </c>
    </row>
    <row r="1272" spans="1:13">
      <c r="A1272" t="s">
        <v>1</v>
      </c>
      <c r="B1272" t="s">
        <v>876</v>
      </c>
      <c r="C1272" t="s">
        <v>1010</v>
      </c>
      <c r="D1272" t="s">
        <v>1495</v>
      </c>
      <c r="E1272" cm="1">
        <f t="array" ref="E1272">_xlfn.XLOOKUP(D1272,SKU_Master!A:A,SKU_Master!B:B,"Not on master")</f>
        <v>0</v>
      </c>
      <c r="F1272" cm="1">
        <f t="array" ref="F1272">_xlfn.XLOOKUP(C1272,Account_Master!A:A,Account_Master!B:B,"Not on master")</f>
        <v>0</v>
      </c>
      <c r="G1272" cm="1">
        <f t="array" ref="G1272">_xlfn.XLOOKUP(C1272,Account_Master!A:A,Account_Master!C:C,"Not on master")</f>
        <v>0</v>
      </c>
      <c r="H1272" s="6">
        <v>31.5</v>
      </c>
      <c r="I1272" s="6">
        <v>31.5</v>
      </c>
      <c r="J1272" s="6">
        <f>I1272-H1272</f>
        <v>0</v>
      </c>
      <c r="K1272" s="5">
        <f>IF(H1272=0,"",J1272/H1272)</f>
        <v>0</v>
      </c>
      <c r="L1272">
        <f>IF(OR(AND(H1272=0,ABS(J1272)&gt;=0.01),AND(H1272&lt;&gt;0,ABS(K1272)&gt;VarianceThreshold)),"Review","OK")</f>
        <v>0</v>
      </c>
      <c r="M1272" t="s">
        <v>33</v>
      </c>
    </row>
    <row r="1273" spans="1:13">
      <c r="A1273" t="s">
        <v>1</v>
      </c>
      <c r="B1273" t="s">
        <v>876</v>
      </c>
      <c r="C1273" t="s">
        <v>1117</v>
      </c>
      <c r="D1273" t="s">
        <v>1496</v>
      </c>
      <c r="E1273" cm="1">
        <f t="array" ref="E1273">_xlfn.XLOOKUP(D1273,SKU_Master!A:A,SKU_Master!B:B,"Not on master")</f>
        <v>0</v>
      </c>
      <c r="F1273" cm="1">
        <f t="array" ref="F1273">_xlfn.XLOOKUP(C1273,Account_Master!A:A,Account_Master!B:B,"Not on master")</f>
        <v>0</v>
      </c>
      <c r="G1273" cm="1">
        <f t="array" ref="G1273">_xlfn.XLOOKUP(C1273,Account_Master!A:A,Account_Master!C:C,"Not on master")</f>
        <v>0</v>
      </c>
      <c r="H1273" s="6">
        <v>1.1</v>
      </c>
      <c r="I1273" s="6">
        <v>1.1</v>
      </c>
      <c r="J1273" s="6">
        <f>I1273-H1273</f>
        <v>0</v>
      </c>
      <c r="K1273" s="5">
        <f>IF(H1273=0,"",J1273/H1273)</f>
        <v>0</v>
      </c>
      <c r="L1273">
        <f>IF(OR(AND(H1273=0,ABS(J1273)&gt;=0.01),AND(H1273&lt;&gt;0,ABS(K1273)&gt;VarianceThreshold)),"Review","OK")</f>
        <v>0</v>
      </c>
      <c r="M1273" t="s">
        <v>33</v>
      </c>
    </row>
    <row r="1274" spans="1:13">
      <c r="A1274" t="s">
        <v>1</v>
      </c>
      <c r="B1274" t="s">
        <v>876</v>
      </c>
      <c r="C1274" t="s">
        <v>1044</v>
      </c>
      <c r="D1274" t="s">
        <v>1497</v>
      </c>
      <c r="E1274" cm="1">
        <f t="array" ref="E1274">_xlfn.XLOOKUP(D1274,SKU_Master!A:A,SKU_Master!B:B,"Not on master")</f>
        <v>0</v>
      </c>
      <c r="F1274" cm="1">
        <f t="array" ref="F1274">_xlfn.XLOOKUP(C1274,Account_Master!A:A,Account_Master!B:B,"Not on master")</f>
        <v>0</v>
      </c>
      <c r="G1274" cm="1">
        <f t="array" ref="G1274">_xlfn.XLOOKUP(C1274,Account_Master!A:A,Account_Master!C:C,"Not on master")</f>
        <v>0</v>
      </c>
      <c r="H1274" s="6">
        <v>4.5</v>
      </c>
      <c r="I1274" s="6">
        <v>4.5</v>
      </c>
      <c r="J1274" s="6">
        <f>I1274-H1274</f>
        <v>0</v>
      </c>
      <c r="K1274" s="5">
        <f>IF(H1274=0,"",J1274/H1274)</f>
        <v>0</v>
      </c>
      <c r="L1274">
        <f>IF(OR(AND(H1274=0,ABS(J1274)&gt;=0.01),AND(H1274&lt;&gt;0,ABS(K1274)&gt;VarianceThreshold)),"Review","OK")</f>
        <v>0</v>
      </c>
      <c r="M1274" t="s">
        <v>33</v>
      </c>
    </row>
    <row r="1275" spans="1:13">
      <c r="A1275" t="s">
        <v>1</v>
      </c>
      <c r="B1275" t="s">
        <v>876</v>
      </c>
      <c r="C1275" t="s">
        <v>1315</v>
      </c>
      <c r="D1275" t="s">
        <v>1498</v>
      </c>
      <c r="E1275" cm="1">
        <f t="array" ref="E1275">_xlfn.XLOOKUP(D1275,SKU_Master!A:A,SKU_Master!B:B,"Not on master")</f>
        <v>0</v>
      </c>
      <c r="F1275" cm="1">
        <f t="array" ref="F1275">_xlfn.XLOOKUP(C1275,Account_Master!A:A,Account_Master!B:B,"Not on master")</f>
        <v>0</v>
      </c>
      <c r="G1275" cm="1">
        <f t="array" ref="G1275">_xlfn.XLOOKUP(C1275,Account_Master!A:A,Account_Master!C:C,"Not on master")</f>
        <v>0</v>
      </c>
      <c r="H1275" s="6">
        <v>1.75</v>
      </c>
      <c r="I1275" s="6">
        <v>1.75</v>
      </c>
      <c r="J1275" s="6">
        <f>I1275-H1275</f>
        <v>0</v>
      </c>
      <c r="K1275" s="5">
        <f>IF(H1275=0,"",J1275/H1275)</f>
        <v>0</v>
      </c>
      <c r="L1275">
        <f>IF(OR(AND(H1275=0,ABS(J1275)&gt;=0.01),AND(H1275&lt;&gt;0,ABS(K1275)&gt;VarianceThreshold)),"Review","OK")</f>
        <v>0</v>
      </c>
      <c r="M1275" t="s">
        <v>33</v>
      </c>
    </row>
    <row r="1276" spans="1:13">
      <c r="A1276" t="s">
        <v>1</v>
      </c>
      <c r="B1276" t="s">
        <v>876</v>
      </c>
      <c r="C1276" t="s">
        <v>1019</v>
      </c>
      <c r="D1276" t="s">
        <v>80</v>
      </c>
      <c r="E1276" cm="1">
        <f t="array" ref="E1276">_xlfn.XLOOKUP(D1276,SKU_Master!A:A,SKU_Master!B:B,"Not on master")</f>
        <v>0</v>
      </c>
      <c r="F1276" cm="1">
        <f t="array" ref="F1276">_xlfn.XLOOKUP(C1276,Account_Master!A:A,Account_Master!B:B,"Not on master")</f>
        <v>0</v>
      </c>
      <c r="G1276" cm="1">
        <f t="array" ref="G1276">_xlfn.XLOOKUP(C1276,Account_Master!A:A,Account_Master!C:C,"Not on master")</f>
        <v>0</v>
      </c>
      <c r="H1276" s="6">
        <v>1.75</v>
      </c>
      <c r="I1276" s="6">
        <v>1.75</v>
      </c>
      <c r="J1276" s="6">
        <f>I1276-H1276</f>
        <v>0</v>
      </c>
      <c r="K1276" s="5">
        <f>IF(H1276=0,"",J1276/H1276)</f>
        <v>0</v>
      </c>
      <c r="L1276">
        <f>IF(OR(AND(H1276=0,ABS(J1276)&gt;=0.01),AND(H1276&lt;&gt;0,ABS(K1276)&gt;VarianceThreshold)),"Review","OK")</f>
        <v>0</v>
      </c>
      <c r="M1276" t="s">
        <v>33</v>
      </c>
    </row>
    <row r="1277" spans="1:13">
      <c r="A1277" t="s">
        <v>1</v>
      </c>
      <c r="B1277" t="s">
        <v>876</v>
      </c>
      <c r="C1277" t="s">
        <v>1185</v>
      </c>
      <c r="D1277" t="s">
        <v>1499</v>
      </c>
      <c r="E1277" cm="1">
        <f t="array" ref="E1277">_xlfn.XLOOKUP(D1277,SKU_Master!A:A,SKU_Master!B:B,"Not on master")</f>
        <v>0</v>
      </c>
      <c r="F1277" cm="1">
        <f t="array" ref="F1277">_xlfn.XLOOKUP(C1277,Account_Master!A:A,Account_Master!B:B,"Not on master")</f>
        <v>0</v>
      </c>
      <c r="G1277" cm="1">
        <f t="array" ref="G1277">_xlfn.XLOOKUP(C1277,Account_Master!A:A,Account_Master!C:C,"Not on master")</f>
        <v>0</v>
      </c>
      <c r="H1277" s="6">
        <v>27</v>
      </c>
      <c r="I1277" s="6">
        <v>27</v>
      </c>
      <c r="J1277" s="6">
        <f>I1277-H1277</f>
        <v>0</v>
      </c>
      <c r="K1277" s="5">
        <f>IF(H1277=0,"",J1277/H1277)</f>
        <v>0</v>
      </c>
      <c r="L1277">
        <f>IF(OR(AND(H1277=0,ABS(J1277)&gt;=0.01),AND(H1277&lt;&gt;0,ABS(K1277)&gt;VarianceThreshold)),"Review","OK")</f>
        <v>0</v>
      </c>
      <c r="M1277" t="s">
        <v>33</v>
      </c>
    </row>
    <row r="1278" spans="1:13">
      <c r="A1278" t="s">
        <v>1</v>
      </c>
      <c r="B1278" t="s">
        <v>876</v>
      </c>
      <c r="C1278" t="s">
        <v>1068</v>
      </c>
      <c r="D1278" t="s">
        <v>1500</v>
      </c>
      <c r="E1278" cm="1">
        <f t="array" ref="E1278">_xlfn.XLOOKUP(D1278,SKU_Master!A:A,SKU_Master!B:B,"Not on master")</f>
        <v>0</v>
      </c>
      <c r="F1278" cm="1">
        <f t="array" ref="F1278">_xlfn.XLOOKUP(C1278,Account_Master!A:A,Account_Master!B:B,"Not on master")</f>
        <v>0</v>
      </c>
      <c r="G1278" cm="1">
        <f t="array" ref="G1278">_xlfn.XLOOKUP(C1278,Account_Master!A:A,Account_Master!C:C,"Not on master")</f>
        <v>0</v>
      </c>
      <c r="H1278" s="6">
        <v>35</v>
      </c>
      <c r="I1278" s="6">
        <v>35</v>
      </c>
      <c r="J1278" s="6">
        <f>I1278-H1278</f>
        <v>0</v>
      </c>
      <c r="K1278" s="5">
        <f>IF(H1278=0,"",J1278/H1278)</f>
        <v>0</v>
      </c>
      <c r="L1278">
        <f>IF(OR(AND(H1278=0,ABS(J1278)&gt;=0.01),AND(H1278&lt;&gt;0,ABS(K1278)&gt;VarianceThreshold)),"Review","OK")</f>
        <v>0</v>
      </c>
      <c r="M1278" t="s">
        <v>33</v>
      </c>
    </row>
    <row r="1279" spans="1:13">
      <c r="A1279" t="s">
        <v>1</v>
      </c>
      <c r="B1279" t="s">
        <v>876</v>
      </c>
      <c r="C1279" t="s">
        <v>1501</v>
      </c>
      <c r="D1279" t="s">
        <v>1502</v>
      </c>
      <c r="E1279" cm="1">
        <f t="array" ref="E1279">_xlfn.XLOOKUP(D1279,SKU_Master!A:A,SKU_Master!B:B,"Not on master")</f>
        <v>0</v>
      </c>
      <c r="F1279" cm="1">
        <f t="array" ref="F1279">_xlfn.XLOOKUP(C1279,Account_Master!A:A,Account_Master!B:B,"Not on master")</f>
        <v>0</v>
      </c>
      <c r="G1279" cm="1">
        <f t="array" ref="G1279">_xlfn.XLOOKUP(C1279,Account_Master!A:A,Account_Master!C:C,"Not on master")</f>
        <v>0</v>
      </c>
      <c r="H1279" s="6">
        <v>9.369999999999999</v>
      </c>
      <c r="I1279" s="6">
        <v>9.369999999999999</v>
      </c>
      <c r="J1279" s="6">
        <f>I1279-H1279</f>
        <v>0</v>
      </c>
      <c r="K1279" s="5">
        <f>IF(H1279=0,"",J1279/H1279)</f>
        <v>0</v>
      </c>
      <c r="L1279">
        <f>IF(OR(AND(H1279=0,ABS(J1279)&gt;=0.01),AND(H1279&lt;&gt;0,ABS(K1279)&gt;VarianceThreshold)),"Review","OK")</f>
        <v>0</v>
      </c>
      <c r="M1279" t="s">
        <v>33</v>
      </c>
    </row>
    <row r="1280" spans="1:13">
      <c r="A1280" t="s">
        <v>1</v>
      </c>
      <c r="B1280" t="s">
        <v>876</v>
      </c>
      <c r="C1280" t="s">
        <v>1010</v>
      </c>
      <c r="D1280" t="s">
        <v>1503</v>
      </c>
      <c r="E1280" cm="1">
        <f t="array" ref="E1280">_xlfn.XLOOKUP(D1280,SKU_Master!A:A,SKU_Master!B:B,"Not on master")</f>
        <v>0</v>
      </c>
      <c r="F1280" cm="1">
        <f t="array" ref="F1280">_xlfn.XLOOKUP(C1280,Account_Master!A:A,Account_Master!B:B,"Not on master")</f>
        <v>0</v>
      </c>
      <c r="G1280" cm="1">
        <f t="array" ref="G1280">_xlfn.XLOOKUP(C1280,Account_Master!A:A,Account_Master!C:C,"Not on master")</f>
        <v>0</v>
      </c>
      <c r="H1280" s="6">
        <v>24</v>
      </c>
      <c r="I1280" s="6">
        <v>24</v>
      </c>
      <c r="J1280" s="6">
        <f>I1280-H1280</f>
        <v>0</v>
      </c>
      <c r="K1280" s="5">
        <f>IF(H1280=0,"",J1280/H1280)</f>
        <v>0</v>
      </c>
      <c r="L1280">
        <f>IF(OR(AND(H1280=0,ABS(J1280)&gt;=0.01),AND(H1280&lt;&gt;0,ABS(K1280)&gt;VarianceThreshold)),"Review","OK")</f>
        <v>0</v>
      </c>
      <c r="M1280" t="s">
        <v>33</v>
      </c>
    </row>
    <row r="1281" spans="1:13">
      <c r="A1281" t="s">
        <v>1</v>
      </c>
      <c r="B1281" t="s">
        <v>880</v>
      </c>
      <c r="C1281" t="s">
        <v>1291</v>
      </c>
      <c r="D1281" t="s">
        <v>1504</v>
      </c>
      <c r="E1281" cm="1">
        <f t="array" ref="E1281">_xlfn.XLOOKUP(D1281,SKU_Master!A:A,SKU_Master!B:B,"Not on master")</f>
        <v>0</v>
      </c>
      <c r="F1281" cm="1">
        <f t="array" ref="F1281">_xlfn.XLOOKUP(C1281,Account_Master!A:A,Account_Master!B:B,"Not on master")</f>
        <v>0</v>
      </c>
      <c r="G1281" cm="1">
        <f t="array" ref="G1281">_xlfn.XLOOKUP(C1281,Account_Master!A:A,Account_Master!C:C,"Not on master")</f>
        <v>0</v>
      </c>
      <c r="H1281" s="6">
        <v>108.5</v>
      </c>
      <c r="I1281" s="6">
        <v>108.5</v>
      </c>
      <c r="J1281" s="6">
        <f>I1281-H1281</f>
        <v>0</v>
      </c>
      <c r="K1281" s="5">
        <f>IF(H1281=0,"",J1281/H1281)</f>
        <v>0</v>
      </c>
      <c r="L1281">
        <f>IF(OR(AND(H1281=0,ABS(J1281)&gt;=0.01),AND(H1281&lt;&gt;0,ABS(K1281)&gt;VarianceThreshold)),"Review","OK")</f>
        <v>0</v>
      </c>
      <c r="M1281" t="s">
        <v>33</v>
      </c>
    </row>
    <row r="1282" spans="1:13">
      <c r="A1282" t="s">
        <v>1</v>
      </c>
      <c r="B1282" t="s">
        <v>880</v>
      </c>
      <c r="C1282" t="s">
        <v>1293</v>
      </c>
      <c r="D1282" t="s">
        <v>1505</v>
      </c>
      <c r="E1282" cm="1">
        <f t="array" ref="E1282">_xlfn.XLOOKUP(D1282,SKU_Master!A:A,SKU_Master!B:B,"Not on master")</f>
        <v>0</v>
      </c>
      <c r="F1282" cm="1">
        <f t="array" ref="F1282">_xlfn.XLOOKUP(C1282,Account_Master!A:A,Account_Master!B:B,"Not on master")</f>
        <v>0</v>
      </c>
      <c r="G1282" cm="1">
        <f t="array" ref="G1282">_xlfn.XLOOKUP(C1282,Account_Master!A:A,Account_Master!C:C,"Not on master")</f>
        <v>0</v>
      </c>
      <c r="H1282" s="6">
        <v>2.25</v>
      </c>
      <c r="I1282" s="6">
        <v>2.25</v>
      </c>
      <c r="J1282" s="6">
        <f>I1282-H1282</f>
        <v>0</v>
      </c>
      <c r="K1282" s="5">
        <f>IF(H1282=0,"",J1282/H1282)</f>
        <v>0</v>
      </c>
      <c r="L1282">
        <f>IF(OR(AND(H1282=0,ABS(J1282)&gt;=0.01),AND(H1282&lt;&gt;0,ABS(K1282)&gt;VarianceThreshold)),"Review","OK")</f>
        <v>0</v>
      </c>
      <c r="M1282" t="s">
        <v>33</v>
      </c>
    </row>
    <row r="1283" spans="1:13">
      <c r="A1283" t="s">
        <v>1</v>
      </c>
      <c r="B1283" t="s">
        <v>880</v>
      </c>
      <c r="C1283" t="s">
        <v>1010</v>
      </c>
      <c r="D1283" t="s">
        <v>271</v>
      </c>
      <c r="E1283" cm="1">
        <f t="array" ref="E1283">_xlfn.XLOOKUP(D1283,SKU_Master!A:A,SKU_Master!B:B,"Not on master")</f>
        <v>0</v>
      </c>
      <c r="F1283" cm="1">
        <f t="array" ref="F1283">_xlfn.XLOOKUP(C1283,Account_Master!A:A,Account_Master!B:B,"Not on master")</f>
        <v>0</v>
      </c>
      <c r="G1283" cm="1">
        <f t="array" ref="G1283">_xlfn.XLOOKUP(C1283,Account_Master!A:A,Account_Master!C:C,"Not on master")</f>
        <v>0</v>
      </c>
      <c r="H1283" s="6">
        <v>12</v>
      </c>
      <c r="I1283" s="6">
        <v>12</v>
      </c>
      <c r="J1283" s="6">
        <f>I1283-H1283</f>
        <v>0</v>
      </c>
      <c r="K1283" s="5">
        <f>IF(H1283=0,"",J1283/H1283)</f>
        <v>0</v>
      </c>
      <c r="L1283">
        <f>IF(OR(AND(H1283=0,ABS(J1283)&gt;=0.01),AND(H1283&lt;&gt;0,ABS(K1283)&gt;VarianceThreshold)),"Review","OK")</f>
        <v>0</v>
      </c>
      <c r="M1283" t="s">
        <v>33</v>
      </c>
    </row>
    <row r="1284" spans="1:13">
      <c r="A1284" t="s">
        <v>1</v>
      </c>
      <c r="B1284" t="s">
        <v>891</v>
      </c>
      <c r="C1284" t="s">
        <v>1299</v>
      </c>
      <c r="D1284" t="s">
        <v>53</v>
      </c>
      <c r="E1284" cm="1">
        <f t="array" ref="E1284">_xlfn.XLOOKUP(D1284,SKU_Master!A:A,SKU_Master!B:B,"Not on master")</f>
        <v>0</v>
      </c>
      <c r="F1284" cm="1">
        <f t="array" ref="F1284">_xlfn.XLOOKUP(C1284,Account_Master!A:A,Account_Master!B:B,"Not on master")</f>
        <v>0</v>
      </c>
      <c r="G1284" cm="1">
        <f t="array" ref="G1284">_xlfn.XLOOKUP(C1284,Account_Master!A:A,Account_Master!C:C,"Not on master")</f>
        <v>0</v>
      </c>
      <c r="H1284" s="6">
        <v>4.8</v>
      </c>
      <c r="I1284" s="6">
        <v>4.8</v>
      </c>
      <c r="J1284" s="6">
        <f>I1284-H1284</f>
        <v>0</v>
      </c>
      <c r="K1284" s="5">
        <f>IF(H1284=0,"",J1284/H1284)</f>
        <v>0</v>
      </c>
      <c r="L1284">
        <f>IF(OR(AND(H1284=0,ABS(J1284)&gt;=0.01),AND(H1284&lt;&gt;0,ABS(K1284)&gt;VarianceThreshold)),"Review","OK")</f>
        <v>0</v>
      </c>
      <c r="M1284" t="s">
        <v>33</v>
      </c>
    </row>
    <row r="1285" spans="1:13">
      <c r="A1285" t="s">
        <v>1</v>
      </c>
      <c r="B1285" t="s">
        <v>891</v>
      </c>
      <c r="C1285" t="s">
        <v>1059</v>
      </c>
      <c r="D1285" t="s">
        <v>1506</v>
      </c>
      <c r="E1285" cm="1">
        <f t="array" ref="E1285">_xlfn.XLOOKUP(D1285,SKU_Master!A:A,SKU_Master!B:B,"Not on master")</f>
        <v>0</v>
      </c>
      <c r="F1285" cm="1">
        <f t="array" ref="F1285">_xlfn.XLOOKUP(C1285,Account_Master!A:A,Account_Master!B:B,"Not on master")</f>
        <v>0</v>
      </c>
      <c r="G1285" cm="1">
        <f t="array" ref="G1285">_xlfn.XLOOKUP(C1285,Account_Master!A:A,Account_Master!C:C,"Not on master")</f>
        <v>0</v>
      </c>
      <c r="H1285" s="6">
        <v>26.25</v>
      </c>
      <c r="I1285" s="6">
        <v>26.25</v>
      </c>
      <c r="J1285" s="6">
        <f>I1285-H1285</f>
        <v>0</v>
      </c>
      <c r="K1285" s="5">
        <f>IF(H1285=0,"",J1285/H1285)</f>
        <v>0</v>
      </c>
      <c r="L1285">
        <f>IF(OR(AND(H1285=0,ABS(J1285)&gt;=0.01),AND(H1285&lt;&gt;0,ABS(K1285)&gt;VarianceThreshold)),"Review","OK")</f>
        <v>0</v>
      </c>
      <c r="M1285" t="s">
        <v>33</v>
      </c>
    </row>
    <row r="1286" spans="1:13">
      <c r="A1286" t="s">
        <v>1</v>
      </c>
      <c r="B1286" t="s">
        <v>891</v>
      </c>
      <c r="C1286" t="s">
        <v>1046</v>
      </c>
      <c r="D1286" t="s">
        <v>1507</v>
      </c>
      <c r="E1286" cm="1">
        <f t="array" ref="E1286">_xlfn.XLOOKUP(D1286,SKU_Master!A:A,SKU_Master!B:B,"Not on master")</f>
        <v>0</v>
      </c>
      <c r="F1286" cm="1">
        <f t="array" ref="F1286">_xlfn.XLOOKUP(C1286,Account_Master!A:A,Account_Master!B:B,"Not on master")</f>
        <v>0</v>
      </c>
      <c r="G1286" cm="1">
        <f t="array" ref="G1286">_xlfn.XLOOKUP(C1286,Account_Master!A:A,Account_Master!C:C,"Not on master")</f>
        <v>0</v>
      </c>
      <c r="H1286" s="6">
        <v>0.75</v>
      </c>
      <c r="I1286" s="6">
        <v>0.75</v>
      </c>
      <c r="J1286" s="6">
        <f>I1286-H1286</f>
        <v>0</v>
      </c>
      <c r="K1286" s="5">
        <f>IF(H1286=0,"",J1286/H1286)</f>
        <v>0</v>
      </c>
      <c r="L1286">
        <f>IF(OR(AND(H1286=0,ABS(J1286)&gt;=0.01),AND(H1286&lt;&gt;0,ABS(K1286)&gt;VarianceThreshold)),"Review","OK")</f>
        <v>0</v>
      </c>
      <c r="M1286" t="s">
        <v>33</v>
      </c>
    </row>
    <row r="1287" spans="1:13">
      <c r="A1287" t="s">
        <v>1</v>
      </c>
      <c r="B1287" t="s">
        <v>903</v>
      </c>
      <c r="C1287" t="s">
        <v>1018</v>
      </c>
      <c r="D1287" t="s">
        <v>1508</v>
      </c>
      <c r="E1287" cm="1">
        <f t="array" ref="E1287">_xlfn.XLOOKUP(D1287,SKU_Master!A:A,SKU_Master!B:B,"Not on master")</f>
        <v>0</v>
      </c>
      <c r="F1287" cm="1">
        <f t="array" ref="F1287">_xlfn.XLOOKUP(C1287,Account_Master!A:A,Account_Master!B:B,"Not on master")</f>
        <v>0</v>
      </c>
      <c r="G1287" cm="1">
        <f t="array" ref="G1287">_xlfn.XLOOKUP(C1287,Account_Master!A:A,Account_Master!C:C,"Not on master")</f>
        <v>0</v>
      </c>
      <c r="H1287" s="6">
        <v>5.25</v>
      </c>
      <c r="I1287" s="6">
        <v>5.25</v>
      </c>
      <c r="J1287" s="6">
        <f>I1287-H1287</f>
        <v>0</v>
      </c>
      <c r="K1287" s="5">
        <f>IF(H1287=0,"",J1287/H1287)</f>
        <v>0</v>
      </c>
      <c r="L1287">
        <f>IF(OR(AND(H1287=0,ABS(J1287)&gt;=0.01),AND(H1287&lt;&gt;0,ABS(K1287)&gt;VarianceThreshold)),"Review","OK")</f>
        <v>0</v>
      </c>
      <c r="M1287" t="s">
        <v>33</v>
      </c>
    </row>
    <row r="1288" spans="1:13">
      <c r="A1288" t="s">
        <v>1</v>
      </c>
      <c r="B1288" t="s">
        <v>903</v>
      </c>
      <c r="C1288" t="s">
        <v>1010</v>
      </c>
      <c r="D1288" t="s">
        <v>1509</v>
      </c>
      <c r="E1288" cm="1">
        <f t="array" ref="E1288">_xlfn.XLOOKUP(D1288,SKU_Master!A:A,SKU_Master!B:B,"Not on master")</f>
        <v>0</v>
      </c>
      <c r="F1288" cm="1">
        <f t="array" ref="F1288">_xlfn.XLOOKUP(C1288,Account_Master!A:A,Account_Master!B:B,"Not on master")</f>
        <v>0</v>
      </c>
      <c r="G1288" cm="1">
        <f t="array" ref="G1288">_xlfn.XLOOKUP(C1288,Account_Master!A:A,Account_Master!C:C,"Not on master")</f>
        <v>0</v>
      </c>
      <c r="H1288" s="6">
        <v>9.75</v>
      </c>
      <c r="I1288" s="6">
        <v>9.75</v>
      </c>
      <c r="J1288" s="6">
        <f>I1288-H1288</f>
        <v>0</v>
      </c>
      <c r="K1288" s="5">
        <f>IF(H1288=0,"",J1288/H1288)</f>
        <v>0</v>
      </c>
      <c r="L1288">
        <f>IF(OR(AND(H1288=0,ABS(J1288)&gt;=0.01),AND(H1288&lt;&gt;0,ABS(K1288)&gt;VarianceThreshold)),"Review","OK")</f>
        <v>0</v>
      </c>
      <c r="M1288" t="s">
        <v>33</v>
      </c>
    </row>
    <row r="1289" spans="1:13">
      <c r="A1289" t="s">
        <v>1</v>
      </c>
      <c r="B1289" t="s">
        <v>903</v>
      </c>
      <c r="C1289" t="s">
        <v>1034</v>
      </c>
      <c r="D1289" t="s">
        <v>1510</v>
      </c>
      <c r="E1289" cm="1">
        <f t="array" ref="E1289">_xlfn.XLOOKUP(D1289,SKU_Master!A:A,SKU_Master!B:B,"Not on master")</f>
        <v>0</v>
      </c>
      <c r="F1289" cm="1">
        <f t="array" ref="F1289">_xlfn.XLOOKUP(C1289,Account_Master!A:A,Account_Master!B:B,"Not on master")</f>
        <v>0</v>
      </c>
      <c r="G1289" cm="1">
        <f t="array" ref="G1289">_xlfn.XLOOKUP(C1289,Account_Master!A:A,Account_Master!C:C,"Not on master")</f>
        <v>0</v>
      </c>
      <c r="H1289" s="6">
        <v>1.5</v>
      </c>
      <c r="I1289" s="6">
        <v>1.5</v>
      </c>
      <c r="J1289" s="6">
        <f>I1289-H1289</f>
        <v>0</v>
      </c>
      <c r="K1289" s="5">
        <f>IF(H1289=0,"",J1289/H1289)</f>
        <v>0</v>
      </c>
      <c r="L1289">
        <f>IF(OR(AND(H1289=0,ABS(J1289)&gt;=0.01),AND(H1289&lt;&gt;0,ABS(K1289)&gt;VarianceThreshold)),"Review","OK")</f>
        <v>0</v>
      </c>
      <c r="M1289" t="s">
        <v>33</v>
      </c>
    </row>
    <row r="1290" spans="1:13">
      <c r="A1290" t="s">
        <v>1</v>
      </c>
      <c r="B1290" t="s">
        <v>903</v>
      </c>
      <c r="C1290" t="s">
        <v>1511</v>
      </c>
      <c r="D1290" t="s">
        <v>1512</v>
      </c>
      <c r="E1290" cm="1">
        <f t="array" ref="E1290">_xlfn.XLOOKUP(D1290,SKU_Master!A:A,SKU_Master!B:B,"Not on master")</f>
        <v>0</v>
      </c>
      <c r="F1290" cm="1">
        <f t="array" ref="F1290">_xlfn.XLOOKUP(C1290,Account_Master!A:A,Account_Master!B:B,"Not on master")</f>
        <v>0</v>
      </c>
      <c r="G1290" cm="1">
        <f t="array" ref="G1290">_xlfn.XLOOKUP(C1290,Account_Master!A:A,Account_Master!C:C,"Not on master")</f>
        <v>0</v>
      </c>
      <c r="H1290" s="6">
        <v>0.35</v>
      </c>
      <c r="I1290" s="6">
        <v>0.35</v>
      </c>
      <c r="J1290" s="6">
        <f>I1290-H1290</f>
        <v>0</v>
      </c>
      <c r="K1290" s="5">
        <f>IF(H1290=0,"",J1290/H1290)</f>
        <v>0</v>
      </c>
      <c r="L1290">
        <f>IF(OR(AND(H1290=0,ABS(J1290)&gt;=0.01),AND(H1290&lt;&gt;0,ABS(K1290)&gt;VarianceThreshold)),"Review","OK")</f>
        <v>0</v>
      </c>
      <c r="M1290" t="s">
        <v>33</v>
      </c>
    </row>
    <row r="1291" spans="1:13">
      <c r="A1291" t="s">
        <v>1</v>
      </c>
      <c r="B1291" t="s">
        <v>903</v>
      </c>
      <c r="C1291" t="s">
        <v>1288</v>
      </c>
      <c r="D1291" t="s">
        <v>187</v>
      </c>
      <c r="E1291" cm="1">
        <f t="array" ref="E1291">_xlfn.XLOOKUP(D1291,SKU_Master!A:A,SKU_Master!B:B,"Not on master")</f>
        <v>0</v>
      </c>
      <c r="F1291" cm="1">
        <f t="array" ref="F1291">_xlfn.XLOOKUP(C1291,Account_Master!A:A,Account_Master!B:B,"Not on master")</f>
        <v>0</v>
      </c>
      <c r="G1291" cm="1">
        <f t="array" ref="G1291">_xlfn.XLOOKUP(C1291,Account_Master!A:A,Account_Master!C:C,"Not on master")</f>
        <v>0</v>
      </c>
      <c r="H1291" s="6">
        <v>9.75</v>
      </c>
      <c r="I1291" s="6">
        <v>9.75</v>
      </c>
      <c r="J1291" s="6">
        <f>I1291-H1291</f>
        <v>0</v>
      </c>
      <c r="K1291" s="5">
        <f>IF(H1291=0,"",J1291/H1291)</f>
        <v>0</v>
      </c>
      <c r="L1291">
        <f>IF(OR(AND(H1291=0,ABS(J1291)&gt;=0.01),AND(H1291&lt;&gt;0,ABS(K1291)&gt;VarianceThreshold)),"Review","OK")</f>
        <v>0</v>
      </c>
      <c r="M1291" t="s">
        <v>33</v>
      </c>
    </row>
    <row r="1292" spans="1:13">
      <c r="A1292" t="s">
        <v>1</v>
      </c>
      <c r="B1292" t="s">
        <v>903</v>
      </c>
      <c r="C1292" t="s">
        <v>1513</v>
      </c>
      <c r="D1292" t="s">
        <v>522</v>
      </c>
      <c r="E1292" cm="1">
        <f t="array" ref="E1292">_xlfn.XLOOKUP(D1292,SKU_Master!A:A,SKU_Master!B:B,"Not on master")</f>
        <v>0</v>
      </c>
      <c r="F1292" cm="1">
        <f t="array" ref="F1292">_xlfn.XLOOKUP(C1292,Account_Master!A:A,Account_Master!B:B,"Not on master")</f>
        <v>0</v>
      </c>
      <c r="G1292" cm="1">
        <f t="array" ref="G1292">_xlfn.XLOOKUP(C1292,Account_Master!A:A,Account_Master!C:C,"Not on master")</f>
        <v>0</v>
      </c>
      <c r="H1292" s="6">
        <v>9</v>
      </c>
      <c r="I1292" s="6">
        <v>9</v>
      </c>
      <c r="J1292" s="6">
        <f>I1292-H1292</f>
        <v>0</v>
      </c>
      <c r="K1292" s="5">
        <f>IF(H1292=0,"",J1292/H1292)</f>
        <v>0</v>
      </c>
      <c r="L1292">
        <f>IF(OR(AND(H1292=0,ABS(J1292)&gt;=0.01),AND(H1292&lt;&gt;0,ABS(K1292)&gt;VarianceThreshold)),"Review","OK")</f>
        <v>0</v>
      </c>
      <c r="M1292" t="s">
        <v>33</v>
      </c>
    </row>
    <row r="1293" spans="1:13">
      <c r="A1293" t="s">
        <v>1</v>
      </c>
      <c r="B1293" t="s">
        <v>903</v>
      </c>
      <c r="C1293" t="s">
        <v>1514</v>
      </c>
      <c r="D1293" t="s">
        <v>1515</v>
      </c>
      <c r="E1293" cm="1">
        <f t="array" ref="E1293">_xlfn.XLOOKUP(D1293,SKU_Master!A:A,SKU_Master!B:B,"Not on master")</f>
        <v>0</v>
      </c>
      <c r="F1293" cm="1">
        <f t="array" ref="F1293">_xlfn.XLOOKUP(C1293,Account_Master!A:A,Account_Master!B:B,"Not on master")</f>
        <v>0</v>
      </c>
      <c r="G1293" cm="1">
        <f t="array" ref="G1293">_xlfn.XLOOKUP(C1293,Account_Master!A:A,Account_Master!C:C,"Not on master")</f>
        <v>0</v>
      </c>
      <c r="H1293" s="6">
        <v>0.15</v>
      </c>
      <c r="I1293" s="6">
        <v>0.15</v>
      </c>
      <c r="J1293" s="6">
        <f>I1293-H1293</f>
        <v>0</v>
      </c>
      <c r="K1293" s="5">
        <f>IF(H1293=0,"",J1293/H1293)</f>
        <v>0</v>
      </c>
      <c r="L1293">
        <f>IF(OR(AND(H1293=0,ABS(J1293)&gt;=0.01),AND(H1293&lt;&gt;0,ABS(K1293)&gt;VarianceThreshold)),"Review","OK")</f>
        <v>0</v>
      </c>
      <c r="M1293" t="s">
        <v>33</v>
      </c>
    </row>
    <row r="1294" spans="1:13">
      <c r="A1294" t="s">
        <v>1</v>
      </c>
      <c r="B1294" t="s">
        <v>915</v>
      </c>
      <c r="C1294" t="s">
        <v>1112</v>
      </c>
      <c r="D1294" t="s">
        <v>683</v>
      </c>
      <c r="E1294" cm="1">
        <f t="array" ref="E1294">_xlfn.XLOOKUP(D1294,SKU_Master!A:A,SKU_Master!B:B,"Not on master")</f>
        <v>0</v>
      </c>
      <c r="F1294" cm="1">
        <f t="array" ref="F1294">_xlfn.XLOOKUP(C1294,Account_Master!A:A,Account_Master!B:B,"Not on master")</f>
        <v>0</v>
      </c>
      <c r="G1294" cm="1">
        <f t="array" ref="G1294">_xlfn.XLOOKUP(C1294,Account_Master!A:A,Account_Master!C:C,"Not on master")</f>
        <v>0</v>
      </c>
      <c r="H1294" s="6">
        <v>2.8</v>
      </c>
      <c r="I1294" s="6">
        <v>2.8</v>
      </c>
      <c r="J1294" s="6">
        <f>I1294-H1294</f>
        <v>0</v>
      </c>
      <c r="K1294" s="5">
        <f>IF(H1294=0,"",J1294/H1294)</f>
        <v>0</v>
      </c>
      <c r="L1294">
        <f>IF(OR(AND(H1294=0,ABS(J1294)&gt;=0.01),AND(H1294&lt;&gt;0,ABS(K1294)&gt;VarianceThreshold)),"Review","OK")</f>
        <v>0</v>
      </c>
      <c r="M1294" t="s">
        <v>33</v>
      </c>
    </row>
    <row r="1295" spans="1:13">
      <c r="A1295" t="s">
        <v>1</v>
      </c>
      <c r="B1295" t="s">
        <v>915</v>
      </c>
      <c r="C1295" t="s">
        <v>1078</v>
      </c>
      <c r="D1295" t="s">
        <v>73</v>
      </c>
      <c r="E1295" cm="1">
        <f t="array" ref="E1295">_xlfn.XLOOKUP(D1295,SKU_Master!A:A,SKU_Master!B:B,"Not on master")</f>
        <v>0</v>
      </c>
      <c r="F1295" cm="1">
        <f t="array" ref="F1295">_xlfn.XLOOKUP(C1295,Account_Master!A:A,Account_Master!B:B,"Not on master")</f>
        <v>0</v>
      </c>
      <c r="G1295" cm="1">
        <f t="array" ref="G1295">_xlfn.XLOOKUP(C1295,Account_Master!A:A,Account_Master!C:C,"Not on master")</f>
        <v>0</v>
      </c>
      <c r="H1295" s="6">
        <v>0.75</v>
      </c>
      <c r="I1295" s="6">
        <v>0.75</v>
      </c>
      <c r="J1295" s="6">
        <f>I1295-H1295</f>
        <v>0</v>
      </c>
      <c r="K1295" s="5">
        <f>IF(H1295=0,"",J1295/H1295)</f>
        <v>0</v>
      </c>
      <c r="L1295">
        <f>IF(OR(AND(H1295=0,ABS(J1295)&gt;=0.01),AND(H1295&lt;&gt;0,ABS(K1295)&gt;VarianceThreshold)),"Review","OK")</f>
        <v>0</v>
      </c>
      <c r="M1295" t="s">
        <v>33</v>
      </c>
    </row>
    <row r="1296" spans="1:13">
      <c r="A1296" t="s">
        <v>1</v>
      </c>
      <c r="B1296" t="s">
        <v>915</v>
      </c>
      <c r="C1296" t="s">
        <v>1036</v>
      </c>
      <c r="D1296" t="s">
        <v>1516</v>
      </c>
      <c r="E1296" cm="1">
        <f t="array" ref="E1296">_xlfn.XLOOKUP(D1296,SKU_Master!A:A,SKU_Master!B:B,"Not on master")</f>
        <v>0</v>
      </c>
      <c r="F1296" cm="1">
        <f t="array" ref="F1296">_xlfn.XLOOKUP(C1296,Account_Master!A:A,Account_Master!B:B,"Not on master")</f>
        <v>0</v>
      </c>
      <c r="G1296" cm="1">
        <f t="array" ref="G1296">_xlfn.XLOOKUP(C1296,Account_Master!A:A,Account_Master!C:C,"Not on master")</f>
        <v>0</v>
      </c>
      <c r="H1296" s="6">
        <v>10.5</v>
      </c>
      <c r="I1296" s="6">
        <v>10.5</v>
      </c>
      <c r="J1296" s="6">
        <f>I1296-H1296</f>
        <v>0</v>
      </c>
      <c r="K1296" s="5">
        <f>IF(H1296=0,"",J1296/H1296)</f>
        <v>0</v>
      </c>
      <c r="L1296">
        <f>IF(OR(AND(H1296=0,ABS(J1296)&gt;=0.01),AND(H1296&lt;&gt;0,ABS(K1296)&gt;VarianceThreshold)),"Review","OK")</f>
        <v>0</v>
      </c>
      <c r="M1296" t="s">
        <v>33</v>
      </c>
    </row>
    <row r="1297" spans="1:13">
      <c r="A1297" t="s">
        <v>1</v>
      </c>
      <c r="B1297" t="s">
        <v>915</v>
      </c>
      <c r="C1297" t="s">
        <v>1288</v>
      </c>
      <c r="D1297" t="s">
        <v>213</v>
      </c>
      <c r="E1297" cm="1">
        <f t="array" ref="E1297">_xlfn.XLOOKUP(D1297,SKU_Master!A:A,SKU_Master!B:B,"Not on master")</f>
        <v>0</v>
      </c>
      <c r="F1297" cm="1">
        <f t="array" ref="F1297">_xlfn.XLOOKUP(C1297,Account_Master!A:A,Account_Master!B:B,"Not on master")</f>
        <v>0</v>
      </c>
      <c r="G1297" cm="1">
        <f t="array" ref="G1297">_xlfn.XLOOKUP(C1297,Account_Master!A:A,Account_Master!C:C,"Not on master")</f>
        <v>0</v>
      </c>
      <c r="H1297" s="6">
        <v>1.12</v>
      </c>
      <c r="I1297" s="6">
        <v>1.12</v>
      </c>
      <c r="J1297" s="6">
        <f>I1297-H1297</f>
        <v>0</v>
      </c>
      <c r="K1297" s="5">
        <f>IF(H1297=0,"",J1297/H1297)</f>
        <v>0</v>
      </c>
      <c r="L1297">
        <f>IF(OR(AND(H1297=0,ABS(J1297)&gt;=0.01),AND(H1297&lt;&gt;0,ABS(K1297)&gt;VarianceThreshold)),"Review","OK")</f>
        <v>0</v>
      </c>
      <c r="M1297" t="s">
        <v>33</v>
      </c>
    </row>
    <row r="1298" spans="1:13">
      <c r="A1298" t="s">
        <v>1</v>
      </c>
      <c r="B1298" t="s">
        <v>915</v>
      </c>
      <c r="C1298" t="s">
        <v>1517</v>
      </c>
      <c r="D1298" t="s">
        <v>1518</v>
      </c>
      <c r="E1298" cm="1">
        <f t="array" ref="E1298">_xlfn.XLOOKUP(D1298,SKU_Master!A:A,SKU_Master!B:B,"Not on master")</f>
        <v>0</v>
      </c>
      <c r="F1298" cm="1">
        <f t="array" ref="F1298">_xlfn.XLOOKUP(C1298,Account_Master!A:A,Account_Master!B:B,"Not on master")</f>
        <v>0</v>
      </c>
      <c r="G1298" cm="1">
        <f t="array" ref="G1298">_xlfn.XLOOKUP(C1298,Account_Master!A:A,Account_Master!C:C,"Not on master")</f>
        <v>0</v>
      </c>
      <c r="H1298" s="6">
        <v>11.25</v>
      </c>
      <c r="I1298" s="6">
        <v>11.25</v>
      </c>
      <c r="J1298" s="6">
        <f>I1298-H1298</f>
        <v>0</v>
      </c>
      <c r="K1298" s="5">
        <f>IF(H1298=0,"",J1298/H1298)</f>
        <v>0</v>
      </c>
      <c r="L1298">
        <f>IF(OR(AND(H1298=0,ABS(J1298)&gt;=0.01),AND(H1298&lt;&gt;0,ABS(K1298)&gt;VarianceThreshold)),"Review","OK")</f>
        <v>0</v>
      </c>
      <c r="M1298" t="s">
        <v>33</v>
      </c>
    </row>
    <row r="1299" spans="1:13">
      <c r="A1299" t="s">
        <v>1</v>
      </c>
      <c r="B1299" t="s">
        <v>922</v>
      </c>
      <c r="C1299" t="s">
        <v>1041</v>
      </c>
      <c r="D1299" t="s">
        <v>1519</v>
      </c>
      <c r="E1299" cm="1">
        <f t="array" ref="E1299">_xlfn.XLOOKUP(D1299,SKU_Master!A:A,SKU_Master!B:B,"Not on master")</f>
        <v>0</v>
      </c>
      <c r="F1299" cm="1">
        <f t="array" ref="F1299">_xlfn.XLOOKUP(C1299,Account_Master!A:A,Account_Master!B:B,"Not on master")</f>
        <v>0</v>
      </c>
      <c r="G1299" cm="1">
        <f t="array" ref="G1299">_xlfn.XLOOKUP(C1299,Account_Master!A:A,Account_Master!C:C,"Not on master")</f>
        <v>0</v>
      </c>
      <c r="H1299" s="6">
        <v>12</v>
      </c>
      <c r="I1299" s="6">
        <v>12</v>
      </c>
      <c r="J1299" s="6">
        <f>I1299-H1299</f>
        <v>0</v>
      </c>
      <c r="K1299" s="5">
        <f>IF(H1299=0,"",J1299/H1299)</f>
        <v>0</v>
      </c>
      <c r="L1299">
        <f>IF(OR(AND(H1299=0,ABS(J1299)&gt;=0.01),AND(H1299&lt;&gt;0,ABS(K1299)&gt;VarianceThreshold)),"Review","OK")</f>
        <v>0</v>
      </c>
      <c r="M1299" t="s">
        <v>33</v>
      </c>
    </row>
    <row r="1300" spans="1:13">
      <c r="A1300" t="s">
        <v>1</v>
      </c>
      <c r="B1300" t="s">
        <v>922</v>
      </c>
      <c r="C1300" t="s">
        <v>1024</v>
      </c>
      <c r="D1300" t="s">
        <v>1520</v>
      </c>
      <c r="E1300" cm="1">
        <f t="array" ref="E1300">_xlfn.XLOOKUP(D1300,SKU_Master!A:A,SKU_Master!B:B,"Not on master")</f>
        <v>0</v>
      </c>
      <c r="F1300" cm="1">
        <f t="array" ref="F1300">_xlfn.XLOOKUP(C1300,Account_Master!A:A,Account_Master!B:B,"Not on master")</f>
        <v>0</v>
      </c>
      <c r="G1300" cm="1">
        <f t="array" ref="G1300">_xlfn.XLOOKUP(C1300,Account_Master!A:A,Account_Master!C:C,"Not on master")</f>
        <v>0</v>
      </c>
      <c r="H1300" s="6">
        <v>42</v>
      </c>
      <c r="I1300" s="6">
        <v>42</v>
      </c>
      <c r="J1300" s="6">
        <f>I1300-H1300</f>
        <v>0</v>
      </c>
      <c r="K1300" s="5">
        <f>IF(H1300=0,"",J1300/H1300)</f>
        <v>0</v>
      </c>
      <c r="L1300">
        <f>IF(OR(AND(H1300=0,ABS(J1300)&gt;=0.01),AND(H1300&lt;&gt;0,ABS(K1300)&gt;VarianceThreshold)),"Review","OK")</f>
        <v>0</v>
      </c>
      <c r="M1300" t="s">
        <v>33</v>
      </c>
    </row>
    <row r="1301" spans="1:13">
      <c r="A1301" t="s">
        <v>1</v>
      </c>
      <c r="B1301" t="s">
        <v>922</v>
      </c>
      <c r="C1301" t="s">
        <v>1019</v>
      </c>
      <c r="D1301" t="s">
        <v>1521</v>
      </c>
      <c r="E1301" cm="1">
        <f t="array" ref="E1301">_xlfn.XLOOKUP(D1301,SKU_Master!A:A,SKU_Master!B:B,"Not on master")</f>
        <v>0</v>
      </c>
      <c r="F1301" cm="1">
        <f t="array" ref="F1301">_xlfn.XLOOKUP(C1301,Account_Master!A:A,Account_Master!B:B,"Not on master")</f>
        <v>0</v>
      </c>
      <c r="G1301" cm="1">
        <f t="array" ref="G1301">_xlfn.XLOOKUP(C1301,Account_Master!A:A,Account_Master!C:C,"Not on master")</f>
        <v>0</v>
      </c>
      <c r="H1301" s="6">
        <v>5.25</v>
      </c>
      <c r="I1301" s="6">
        <v>5.25</v>
      </c>
      <c r="J1301" s="6">
        <f>I1301-H1301</f>
        <v>0</v>
      </c>
      <c r="K1301" s="5">
        <f>IF(H1301=0,"",J1301/H1301)</f>
        <v>0</v>
      </c>
      <c r="L1301">
        <f>IF(OR(AND(H1301=0,ABS(J1301)&gt;=0.01),AND(H1301&lt;&gt;0,ABS(K1301)&gt;VarianceThreshold)),"Review","OK")</f>
        <v>0</v>
      </c>
      <c r="M1301" t="s">
        <v>33</v>
      </c>
    </row>
    <row r="1302" spans="1:13">
      <c r="A1302" t="s">
        <v>1</v>
      </c>
      <c r="B1302" t="s">
        <v>922</v>
      </c>
      <c r="C1302" t="s">
        <v>1019</v>
      </c>
      <c r="D1302" t="s">
        <v>1522</v>
      </c>
      <c r="E1302" cm="1">
        <f t="array" ref="E1302">_xlfn.XLOOKUP(D1302,SKU_Master!A:A,SKU_Master!B:B,"Not on master")</f>
        <v>0</v>
      </c>
      <c r="F1302" cm="1">
        <f t="array" ref="F1302">_xlfn.XLOOKUP(C1302,Account_Master!A:A,Account_Master!B:B,"Not on master")</f>
        <v>0</v>
      </c>
      <c r="G1302" cm="1">
        <f t="array" ref="G1302">_xlfn.XLOOKUP(C1302,Account_Master!A:A,Account_Master!C:C,"Not on master")</f>
        <v>0</v>
      </c>
      <c r="H1302" s="6">
        <v>0.75</v>
      </c>
      <c r="I1302" s="6">
        <v>0.75</v>
      </c>
      <c r="J1302" s="6">
        <f>I1302-H1302</f>
        <v>0</v>
      </c>
      <c r="K1302" s="5">
        <f>IF(H1302=0,"",J1302/H1302)</f>
        <v>0</v>
      </c>
      <c r="L1302">
        <f>IF(OR(AND(H1302=0,ABS(J1302)&gt;=0.01),AND(H1302&lt;&gt;0,ABS(K1302)&gt;VarianceThreshold)),"Review","OK")</f>
        <v>0</v>
      </c>
      <c r="M1302" t="s">
        <v>33</v>
      </c>
    </row>
    <row r="1303" spans="1:13">
      <c r="A1303" t="s">
        <v>1</v>
      </c>
      <c r="B1303" t="s">
        <v>922</v>
      </c>
      <c r="C1303" t="s">
        <v>1041</v>
      </c>
      <c r="D1303" t="s">
        <v>1523</v>
      </c>
      <c r="E1303" cm="1">
        <f t="array" ref="E1303">_xlfn.XLOOKUP(D1303,SKU_Master!A:A,SKU_Master!B:B,"Not on master")</f>
        <v>0</v>
      </c>
      <c r="F1303" cm="1">
        <f t="array" ref="F1303">_xlfn.XLOOKUP(C1303,Account_Master!A:A,Account_Master!B:B,"Not on master")</f>
        <v>0</v>
      </c>
      <c r="G1303" cm="1">
        <f t="array" ref="G1303">_xlfn.XLOOKUP(C1303,Account_Master!A:A,Account_Master!C:C,"Not on master")</f>
        <v>0</v>
      </c>
      <c r="H1303" s="6">
        <v>14.25</v>
      </c>
      <c r="I1303" s="6">
        <v>14.25</v>
      </c>
      <c r="J1303" s="6">
        <f>I1303-H1303</f>
        <v>0</v>
      </c>
      <c r="K1303" s="5">
        <f>IF(H1303=0,"",J1303/H1303)</f>
        <v>0</v>
      </c>
      <c r="L1303">
        <f>IF(OR(AND(H1303=0,ABS(J1303)&gt;=0.01),AND(H1303&lt;&gt;0,ABS(K1303)&gt;VarianceThreshold)),"Review","OK")</f>
        <v>0</v>
      </c>
      <c r="M1303" t="s">
        <v>33</v>
      </c>
    </row>
    <row r="1304" spans="1:13">
      <c r="A1304" t="s">
        <v>1</v>
      </c>
      <c r="B1304" t="s">
        <v>922</v>
      </c>
      <c r="C1304" t="s">
        <v>1032</v>
      </c>
      <c r="D1304" t="s">
        <v>1524</v>
      </c>
      <c r="E1304" cm="1">
        <f t="array" ref="E1304">_xlfn.XLOOKUP(D1304,SKU_Master!A:A,SKU_Master!B:B,"Not on master")</f>
        <v>0</v>
      </c>
      <c r="F1304" cm="1">
        <f t="array" ref="F1304">_xlfn.XLOOKUP(C1304,Account_Master!A:A,Account_Master!B:B,"Not on master")</f>
        <v>0</v>
      </c>
      <c r="G1304" cm="1">
        <f t="array" ref="G1304">_xlfn.XLOOKUP(C1304,Account_Master!A:A,Account_Master!C:C,"Not on master")</f>
        <v>0</v>
      </c>
      <c r="H1304" s="6">
        <v>49</v>
      </c>
      <c r="I1304" s="6">
        <v>49</v>
      </c>
      <c r="J1304" s="6">
        <f>I1304-H1304</f>
        <v>0</v>
      </c>
      <c r="K1304" s="5">
        <f>IF(H1304=0,"",J1304/H1304)</f>
        <v>0</v>
      </c>
      <c r="L1304">
        <f>IF(OR(AND(H1304=0,ABS(J1304)&gt;=0.01),AND(H1304&lt;&gt;0,ABS(K1304)&gt;VarianceThreshold)),"Review","OK")</f>
        <v>0</v>
      </c>
      <c r="M1304" t="s">
        <v>33</v>
      </c>
    </row>
    <row r="1305" spans="1:13">
      <c r="A1305" t="s">
        <v>1</v>
      </c>
      <c r="B1305" t="s">
        <v>922</v>
      </c>
      <c r="C1305" t="s">
        <v>1032</v>
      </c>
      <c r="D1305" t="s">
        <v>854</v>
      </c>
      <c r="E1305" cm="1">
        <f t="array" ref="E1305">_xlfn.XLOOKUP(D1305,SKU_Master!A:A,SKU_Master!B:B,"Not on master")</f>
        <v>0</v>
      </c>
      <c r="F1305" cm="1">
        <f t="array" ref="F1305">_xlfn.XLOOKUP(C1305,Account_Master!A:A,Account_Master!B:B,"Not on master")</f>
        <v>0</v>
      </c>
      <c r="G1305" cm="1">
        <f t="array" ref="G1305">_xlfn.XLOOKUP(C1305,Account_Master!A:A,Account_Master!C:C,"Not on master")</f>
        <v>0</v>
      </c>
      <c r="H1305" s="6">
        <v>9</v>
      </c>
      <c r="I1305" s="6">
        <v>9</v>
      </c>
      <c r="J1305" s="6">
        <f>I1305-H1305</f>
        <v>0</v>
      </c>
      <c r="K1305" s="5">
        <f>IF(H1305=0,"",J1305/H1305)</f>
        <v>0</v>
      </c>
      <c r="L1305">
        <f>IF(OR(AND(H1305=0,ABS(J1305)&gt;=0.01),AND(H1305&lt;&gt;0,ABS(K1305)&gt;VarianceThreshold)),"Review","OK")</f>
        <v>0</v>
      </c>
      <c r="M1305" t="s">
        <v>33</v>
      </c>
    </row>
    <row r="1306" spans="1:13">
      <c r="A1306" t="s">
        <v>1</v>
      </c>
      <c r="B1306" t="s">
        <v>922</v>
      </c>
      <c r="C1306" t="s">
        <v>1053</v>
      </c>
      <c r="D1306" t="s">
        <v>1525</v>
      </c>
      <c r="E1306" cm="1">
        <f t="array" ref="E1306">_xlfn.XLOOKUP(D1306,SKU_Master!A:A,SKU_Master!B:B,"Not on master")</f>
        <v>0</v>
      </c>
      <c r="F1306" cm="1">
        <f t="array" ref="F1306">_xlfn.XLOOKUP(C1306,Account_Master!A:A,Account_Master!B:B,"Not on master")</f>
        <v>0</v>
      </c>
      <c r="G1306" cm="1">
        <f t="array" ref="G1306">_xlfn.XLOOKUP(C1306,Account_Master!A:A,Account_Master!C:C,"Not on master")</f>
        <v>0</v>
      </c>
      <c r="H1306" s="6">
        <v>13.5</v>
      </c>
      <c r="I1306" s="6">
        <v>13.5</v>
      </c>
      <c r="J1306" s="6">
        <f>I1306-H1306</f>
        <v>0</v>
      </c>
      <c r="K1306" s="5">
        <f>IF(H1306=0,"",J1306/H1306)</f>
        <v>0</v>
      </c>
      <c r="L1306">
        <f>IF(OR(AND(H1306=0,ABS(J1306)&gt;=0.01),AND(H1306&lt;&gt;0,ABS(K1306)&gt;VarianceThreshold)),"Review","OK")</f>
        <v>0</v>
      </c>
      <c r="M1306" t="s">
        <v>33</v>
      </c>
    </row>
    <row r="1307" spans="1:13">
      <c r="A1307" t="s">
        <v>1</v>
      </c>
      <c r="B1307" t="s">
        <v>922</v>
      </c>
      <c r="C1307" t="s">
        <v>1112</v>
      </c>
      <c r="D1307" t="s">
        <v>1526</v>
      </c>
      <c r="E1307" cm="1">
        <f t="array" ref="E1307">_xlfn.XLOOKUP(D1307,SKU_Master!A:A,SKU_Master!B:B,"Not on master")</f>
        <v>0</v>
      </c>
      <c r="F1307" cm="1">
        <f t="array" ref="F1307">_xlfn.XLOOKUP(C1307,Account_Master!A:A,Account_Master!B:B,"Not on master")</f>
        <v>0</v>
      </c>
      <c r="G1307" cm="1">
        <f t="array" ref="G1307">_xlfn.XLOOKUP(C1307,Account_Master!A:A,Account_Master!C:C,"Not on master")</f>
        <v>0</v>
      </c>
      <c r="H1307" s="6">
        <v>13.5</v>
      </c>
      <c r="I1307" s="6">
        <v>13.5</v>
      </c>
      <c r="J1307" s="6">
        <f>I1307-H1307</f>
        <v>0</v>
      </c>
      <c r="K1307" s="5">
        <f>IF(H1307=0,"",J1307/H1307)</f>
        <v>0</v>
      </c>
      <c r="L1307">
        <f>IF(OR(AND(H1307=0,ABS(J1307)&gt;=0.01),AND(H1307&lt;&gt;0,ABS(K1307)&gt;VarianceThreshold)),"Review","OK")</f>
        <v>0</v>
      </c>
      <c r="M1307" t="s">
        <v>33</v>
      </c>
    </row>
    <row r="1308" spans="1:13">
      <c r="A1308" t="s">
        <v>1</v>
      </c>
      <c r="B1308" t="s">
        <v>922</v>
      </c>
      <c r="C1308" t="s">
        <v>1065</v>
      </c>
      <c r="D1308" t="s">
        <v>1527</v>
      </c>
      <c r="E1308" cm="1">
        <f t="array" ref="E1308">_xlfn.XLOOKUP(D1308,SKU_Master!A:A,SKU_Master!B:B,"Not on master")</f>
        <v>0</v>
      </c>
      <c r="F1308" cm="1">
        <f t="array" ref="F1308">_xlfn.XLOOKUP(C1308,Account_Master!A:A,Account_Master!B:B,"Not on master")</f>
        <v>0</v>
      </c>
      <c r="G1308" cm="1">
        <f t="array" ref="G1308">_xlfn.XLOOKUP(C1308,Account_Master!A:A,Account_Master!C:C,"Not on master")</f>
        <v>0</v>
      </c>
      <c r="H1308" s="6">
        <v>0.1</v>
      </c>
      <c r="I1308" s="6">
        <v>0.1</v>
      </c>
      <c r="J1308" s="6">
        <f>I1308-H1308</f>
        <v>0</v>
      </c>
      <c r="K1308" s="5">
        <f>IF(H1308=0,"",J1308/H1308)</f>
        <v>0</v>
      </c>
      <c r="L1308">
        <f>IF(OR(AND(H1308=0,ABS(J1308)&gt;=0.01),AND(H1308&lt;&gt;0,ABS(K1308)&gt;VarianceThreshold)),"Review","OK")</f>
        <v>0</v>
      </c>
      <c r="M1308" t="s">
        <v>33</v>
      </c>
    </row>
    <row r="1309" spans="1:13">
      <c r="A1309" t="s">
        <v>1</v>
      </c>
      <c r="B1309" t="s">
        <v>922</v>
      </c>
      <c r="C1309" t="s">
        <v>1405</v>
      </c>
      <c r="D1309" t="s">
        <v>1528</v>
      </c>
      <c r="E1309" cm="1">
        <f t="array" ref="E1309">_xlfn.XLOOKUP(D1309,SKU_Master!A:A,SKU_Master!B:B,"Not on master")</f>
        <v>0</v>
      </c>
      <c r="F1309" cm="1">
        <f t="array" ref="F1309">_xlfn.XLOOKUP(C1309,Account_Master!A:A,Account_Master!B:B,"Not on master")</f>
        <v>0</v>
      </c>
      <c r="G1309" cm="1">
        <f t="array" ref="G1309">_xlfn.XLOOKUP(C1309,Account_Master!A:A,Account_Master!C:C,"Not on master")</f>
        <v>0</v>
      </c>
      <c r="H1309" s="6">
        <v>1.5</v>
      </c>
      <c r="I1309" s="6">
        <v>1.5</v>
      </c>
      <c r="J1309" s="6">
        <f>I1309-H1309</f>
        <v>0</v>
      </c>
      <c r="K1309" s="5">
        <f>IF(H1309=0,"",J1309/H1309)</f>
        <v>0</v>
      </c>
      <c r="L1309">
        <f>IF(OR(AND(H1309=0,ABS(J1309)&gt;=0.01),AND(H1309&lt;&gt;0,ABS(K1309)&gt;VarianceThreshold)),"Review","OK")</f>
        <v>0</v>
      </c>
      <c r="M1309" t="s">
        <v>33</v>
      </c>
    </row>
    <row r="1310" spans="1:13">
      <c r="A1310" t="s">
        <v>1</v>
      </c>
      <c r="B1310" t="s">
        <v>922</v>
      </c>
      <c r="C1310" t="s">
        <v>1053</v>
      </c>
      <c r="D1310" t="s">
        <v>1529</v>
      </c>
      <c r="E1310" cm="1">
        <f t="array" ref="E1310">_xlfn.XLOOKUP(D1310,SKU_Master!A:A,SKU_Master!B:B,"Not on master")</f>
        <v>0</v>
      </c>
      <c r="F1310" cm="1">
        <f t="array" ref="F1310">_xlfn.XLOOKUP(C1310,Account_Master!A:A,Account_Master!B:B,"Not on master")</f>
        <v>0</v>
      </c>
      <c r="G1310" cm="1">
        <f t="array" ref="G1310">_xlfn.XLOOKUP(C1310,Account_Master!A:A,Account_Master!C:C,"Not on master")</f>
        <v>0</v>
      </c>
      <c r="H1310" s="6">
        <v>36.75</v>
      </c>
      <c r="I1310" s="6">
        <v>36.75</v>
      </c>
      <c r="J1310" s="6">
        <f>I1310-H1310</f>
        <v>0</v>
      </c>
      <c r="K1310" s="5">
        <f>IF(H1310=0,"",J1310/H1310)</f>
        <v>0</v>
      </c>
      <c r="L1310">
        <f>IF(OR(AND(H1310=0,ABS(J1310)&gt;=0.01),AND(H1310&lt;&gt;0,ABS(K1310)&gt;VarianceThreshold)),"Review","OK")</f>
        <v>0</v>
      </c>
      <c r="M1310" t="s">
        <v>33</v>
      </c>
    </row>
    <row r="1311" spans="1:13">
      <c r="A1311" t="s">
        <v>1</v>
      </c>
      <c r="B1311" t="s">
        <v>934</v>
      </c>
      <c r="C1311" t="s">
        <v>1010</v>
      </c>
      <c r="D1311" t="s">
        <v>1530</v>
      </c>
      <c r="E1311" cm="1">
        <f t="array" ref="E1311">_xlfn.XLOOKUP(D1311,SKU_Master!A:A,SKU_Master!B:B,"Not on master")</f>
        <v>0</v>
      </c>
      <c r="F1311" cm="1">
        <f t="array" ref="F1311">_xlfn.XLOOKUP(C1311,Account_Master!A:A,Account_Master!B:B,"Not on master")</f>
        <v>0</v>
      </c>
      <c r="G1311" cm="1">
        <f t="array" ref="G1311">_xlfn.XLOOKUP(C1311,Account_Master!A:A,Account_Master!C:C,"Not on master")</f>
        <v>0</v>
      </c>
      <c r="H1311" s="6">
        <v>30.75</v>
      </c>
      <c r="I1311" s="6">
        <v>30.75</v>
      </c>
      <c r="J1311" s="6">
        <f>I1311-H1311</f>
        <v>0</v>
      </c>
      <c r="K1311" s="5">
        <f>IF(H1311=0,"",J1311/H1311)</f>
        <v>0</v>
      </c>
      <c r="L1311">
        <f>IF(OR(AND(H1311=0,ABS(J1311)&gt;=0.01),AND(H1311&lt;&gt;0,ABS(K1311)&gt;VarianceThreshold)),"Review","OK")</f>
        <v>0</v>
      </c>
      <c r="M1311" t="s">
        <v>33</v>
      </c>
    </row>
    <row r="1312" spans="1:13">
      <c r="A1312" t="s">
        <v>1</v>
      </c>
      <c r="B1312" t="s">
        <v>934</v>
      </c>
      <c r="C1312" t="s">
        <v>1061</v>
      </c>
      <c r="D1312" t="s">
        <v>1531</v>
      </c>
      <c r="E1312" cm="1">
        <f t="array" ref="E1312">_xlfn.XLOOKUP(D1312,SKU_Master!A:A,SKU_Master!B:B,"Not on master")</f>
        <v>0</v>
      </c>
      <c r="F1312" cm="1">
        <f t="array" ref="F1312">_xlfn.XLOOKUP(C1312,Account_Master!A:A,Account_Master!B:B,"Not on master")</f>
        <v>0</v>
      </c>
      <c r="G1312" cm="1">
        <f t="array" ref="G1312">_xlfn.XLOOKUP(C1312,Account_Master!A:A,Account_Master!C:C,"Not on master")</f>
        <v>0</v>
      </c>
      <c r="H1312" s="6">
        <v>0.75</v>
      </c>
      <c r="I1312" s="6">
        <v>0.75</v>
      </c>
      <c r="J1312" s="6">
        <f>I1312-H1312</f>
        <v>0</v>
      </c>
      <c r="K1312" s="5">
        <f>IF(H1312=0,"",J1312/H1312)</f>
        <v>0</v>
      </c>
      <c r="L1312">
        <f>IF(OR(AND(H1312=0,ABS(J1312)&gt;=0.01),AND(H1312&lt;&gt;0,ABS(K1312)&gt;VarianceThreshold)),"Review","OK")</f>
        <v>0</v>
      </c>
      <c r="M1312" t="s">
        <v>33</v>
      </c>
    </row>
    <row r="1313" spans="1:13">
      <c r="A1313" t="s">
        <v>1</v>
      </c>
      <c r="B1313" t="s">
        <v>934</v>
      </c>
      <c r="C1313" t="s">
        <v>1168</v>
      </c>
      <c r="D1313" t="s">
        <v>1532</v>
      </c>
      <c r="E1313" cm="1">
        <f t="array" ref="E1313">_xlfn.XLOOKUP(D1313,SKU_Master!A:A,SKU_Master!B:B,"Not on master")</f>
        <v>0</v>
      </c>
      <c r="F1313" cm="1">
        <f t="array" ref="F1313">_xlfn.XLOOKUP(C1313,Account_Master!A:A,Account_Master!B:B,"Not on master")</f>
        <v>0</v>
      </c>
      <c r="G1313" cm="1">
        <f t="array" ref="G1313">_xlfn.XLOOKUP(C1313,Account_Master!A:A,Account_Master!C:C,"Not on master")</f>
        <v>0</v>
      </c>
      <c r="H1313" s="6">
        <v>27</v>
      </c>
      <c r="I1313" s="6">
        <v>27</v>
      </c>
      <c r="J1313" s="6">
        <f>I1313-H1313</f>
        <v>0</v>
      </c>
      <c r="K1313" s="5">
        <f>IF(H1313=0,"",J1313/H1313)</f>
        <v>0</v>
      </c>
      <c r="L1313">
        <f>IF(OR(AND(H1313=0,ABS(J1313)&gt;=0.01),AND(H1313&lt;&gt;0,ABS(K1313)&gt;VarianceThreshold)),"Review","OK")</f>
        <v>0</v>
      </c>
      <c r="M1313" t="s">
        <v>33</v>
      </c>
    </row>
    <row r="1314" spans="1:13">
      <c r="A1314" t="s">
        <v>1</v>
      </c>
      <c r="B1314" t="s">
        <v>934</v>
      </c>
      <c r="C1314" t="s">
        <v>1036</v>
      </c>
      <c r="D1314" t="s">
        <v>1533</v>
      </c>
      <c r="E1314" cm="1">
        <f t="array" ref="E1314">_xlfn.XLOOKUP(D1314,SKU_Master!A:A,SKU_Master!B:B,"Not on master")</f>
        <v>0</v>
      </c>
      <c r="F1314" cm="1">
        <f t="array" ref="F1314">_xlfn.XLOOKUP(C1314,Account_Master!A:A,Account_Master!B:B,"Not on master")</f>
        <v>0</v>
      </c>
      <c r="G1314" cm="1">
        <f t="array" ref="G1314">_xlfn.XLOOKUP(C1314,Account_Master!A:A,Account_Master!C:C,"Not on master")</f>
        <v>0</v>
      </c>
      <c r="H1314" s="6">
        <v>4</v>
      </c>
      <c r="I1314" s="6">
        <v>4</v>
      </c>
      <c r="J1314" s="6">
        <f>I1314-H1314</f>
        <v>0</v>
      </c>
      <c r="K1314" s="5">
        <f>IF(H1314=0,"",J1314/H1314)</f>
        <v>0</v>
      </c>
      <c r="L1314">
        <f>IF(OR(AND(H1314=0,ABS(J1314)&gt;=0.01),AND(H1314&lt;&gt;0,ABS(K1314)&gt;VarianceThreshold)),"Review","OK")</f>
        <v>0</v>
      </c>
      <c r="M1314" t="s">
        <v>33</v>
      </c>
    </row>
    <row r="1315" spans="1:13">
      <c r="A1315" t="s">
        <v>1</v>
      </c>
      <c r="B1315" t="s">
        <v>934</v>
      </c>
      <c r="C1315" t="s">
        <v>1013</v>
      </c>
      <c r="D1315" t="s">
        <v>1534</v>
      </c>
      <c r="E1315" cm="1">
        <f t="array" ref="E1315">_xlfn.XLOOKUP(D1315,SKU_Master!A:A,SKU_Master!B:B,"Not on master")</f>
        <v>0</v>
      </c>
      <c r="F1315" cm="1">
        <f t="array" ref="F1315">_xlfn.XLOOKUP(C1315,Account_Master!A:A,Account_Master!B:B,"Not on master")</f>
        <v>0</v>
      </c>
      <c r="G1315" cm="1">
        <f t="array" ref="G1315">_xlfn.XLOOKUP(C1315,Account_Master!A:A,Account_Master!C:C,"Not on master")</f>
        <v>0</v>
      </c>
      <c r="H1315" s="6">
        <v>4.5</v>
      </c>
      <c r="I1315" s="6">
        <v>4.5</v>
      </c>
      <c r="J1315" s="6">
        <f>I1315-H1315</f>
        <v>0</v>
      </c>
      <c r="K1315" s="5">
        <f>IF(H1315=0,"",J1315/H1315)</f>
        <v>0</v>
      </c>
      <c r="L1315">
        <f>IF(OR(AND(H1315=0,ABS(J1315)&gt;=0.01),AND(H1315&lt;&gt;0,ABS(K1315)&gt;VarianceThreshold)),"Review","OK")</f>
        <v>0</v>
      </c>
      <c r="M1315" t="s">
        <v>33</v>
      </c>
    </row>
    <row r="1316" spans="1:13">
      <c r="A1316" t="s">
        <v>1</v>
      </c>
      <c r="B1316" t="s">
        <v>934</v>
      </c>
      <c r="C1316" t="s">
        <v>1034</v>
      </c>
      <c r="D1316" t="s">
        <v>1535</v>
      </c>
      <c r="E1316" cm="1">
        <f t="array" ref="E1316">_xlfn.XLOOKUP(D1316,SKU_Master!A:A,SKU_Master!B:B,"Not on master")</f>
        <v>0</v>
      </c>
      <c r="F1316" cm="1">
        <f t="array" ref="F1316">_xlfn.XLOOKUP(C1316,Account_Master!A:A,Account_Master!B:B,"Not on master")</f>
        <v>0</v>
      </c>
      <c r="G1316" cm="1">
        <f t="array" ref="G1316">_xlfn.XLOOKUP(C1316,Account_Master!A:A,Account_Master!C:C,"Not on master")</f>
        <v>0</v>
      </c>
      <c r="H1316" s="6">
        <v>0.2</v>
      </c>
      <c r="I1316" s="6">
        <v>0.2</v>
      </c>
      <c r="J1316" s="6">
        <f>I1316-H1316</f>
        <v>0</v>
      </c>
      <c r="K1316" s="5">
        <f>IF(H1316=0,"",J1316/H1316)</f>
        <v>0</v>
      </c>
      <c r="L1316">
        <f>IF(OR(AND(H1316=0,ABS(J1316)&gt;=0.01),AND(H1316&lt;&gt;0,ABS(K1316)&gt;VarianceThreshold)),"Review","OK")</f>
        <v>0</v>
      </c>
      <c r="M1316" t="s">
        <v>33</v>
      </c>
    </row>
    <row r="1317" spans="1:13">
      <c r="A1317" t="s">
        <v>1</v>
      </c>
      <c r="B1317" t="s">
        <v>944</v>
      </c>
      <c r="C1317" t="s">
        <v>1536</v>
      </c>
      <c r="D1317" t="s">
        <v>136</v>
      </c>
      <c r="E1317" cm="1">
        <f t="array" ref="E1317">_xlfn.XLOOKUP(D1317,SKU_Master!A:A,SKU_Master!B:B,"Not on master")</f>
        <v>0</v>
      </c>
      <c r="F1317" cm="1">
        <f t="array" ref="F1317">_xlfn.XLOOKUP(C1317,Account_Master!A:A,Account_Master!B:B,"Not on master")</f>
        <v>0</v>
      </c>
      <c r="G1317" cm="1">
        <f t="array" ref="G1317">_xlfn.XLOOKUP(C1317,Account_Master!A:A,Account_Master!C:C,"Not on master")</f>
        <v>0</v>
      </c>
      <c r="H1317" s="6">
        <v>91</v>
      </c>
      <c r="I1317" s="6">
        <v>91</v>
      </c>
      <c r="J1317" s="6">
        <f>I1317-H1317</f>
        <v>0</v>
      </c>
      <c r="K1317" s="5">
        <f>IF(H1317=0,"",J1317/H1317)</f>
        <v>0</v>
      </c>
      <c r="L1317">
        <f>IF(OR(AND(H1317=0,ABS(J1317)&gt;=0.01),AND(H1317&lt;&gt;0,ABS(K1317)&gt;VarianceThreshold)),"Review","OK")</f>
        <v>0</v>
      </c>
      <c r="M1317" t="s">
        <v>33</v>
      </c>
    </row>
    <row r="1318" spans="1:13">
      <c r="A1318" t="s">
        <v>1</v>
      </c>
      <c r="B1318" t="s">
        <v>944</v>
      </c>
      <c r="C1318" t="s">
        <v>1053</v>
      </c>
      <c r="D1318" t="s">
        <v>736</v>
      </c>
      <c r="E1318" cm="1">
        <f t="array" ref="E1318">_xlfn.XLOOKUP(D1318,SKU_Master!A:A,SKU_Master!B:B,"Not on master")</f>
        <v>0</v>
      </c>
      <c r="F1318" cm="1">
        <f t="array" ref="F1318">_xlfn.XLOOKUP(C1318,Account_Master!A:A,Account_Master!B:B,"Not on master")</f>
        <v>0</v>
      </c>
      <c r="G1318" cm="1">
        <f t="array" ref="G1318">_xlfn.XLOOKUP(C1318,Account_Master!A:A,Account_Master!C:C,"Not on master")</f>
        <v>0</v>
      </c>
      <c r="H1318" s="6">
        <v>26.25</v>
      </c>
      <c r="I1318" s="6">
        <v>26.25</v>
      </c>
      <c r="J1318" s="6">
        <f>I1318-H1318</f>
        <v>0</v>
      </c>
      <c r="K1318" s="5">
        <f>IF(H1318=0,"",J1318/H1318)</f>
        <v>0</v>
      </c>
      <c r="L1318">
        <f>IF(OR(AND(H1318=0,ABS(J1318)&gt;=0.01),AND(H1318&lt;&gt;0,ABS(K1318)&gt;VarianceThreshold)),"Review","OK")</f>
        <v>0</v>
      </c>
      <c r="M1318" t="s">
        <v>33</v>
      </c>
    </row>
    <row r="1319" spans="1:13">
      <c r="A1319" t="s">
        <v>1</v>
      </c>
      <c r="B1319" t="s">
        <v>944</v>
      </c>
      <c r="C1319" t="s">
        <v>1010</v>
      </c>
      <c r="D1319" t="s">
        <v>425</v>
      </c>
      <c r="E1319" cm="1">
        <f t="array" ref="E1319">_xlfn.XLOOKUP(D1319,SKU_Master!A:A,SKU_Master!B:B,"Not on master")</f>
        <v>0</v>
      </c>
      <c r="F1319" cm="1">
        <f t="array" ref="F1319">_xlfn.XLOOKUP(C1319,Account_Master!A:A,Account_Master!B:B,"Not on master")</f>
        <v>0</v>
      </c>
      <c r="G1319" cm="1">
        <f t="array" ref="G1319">_xlfn.XLOOKUP(C1319,Account_Master!A:A,Account_Master!C:C,"Not on master")</f>
        <v>0</v>
      </c>
      <c r="H1319" s="6">
        <v>30.75</v>
      </c>
      <c r="I1319" s="6">
        <v>30.75</v>
      </c>
      <c r="J1319" s="6">
        <f>I1319-H1319</f>
        <v>0</v>
      </c>
      <c r="K1319" s="5">
        <f>IF(H1319=0,"",J1319/H1319)</f>
        <v>0</v>
      </c>
      <c r="L1319">
        <f>IF(OR(AND(H1319=0,ABS(J1319)&gt;=0.01),AND(H1319&lt;&gt;0,ABS(K1319)&gt;VarianceThreshold)),"Review","OK")</f>
        <v>0</v>
      </c>
      <c r="M1319" t="s">
        <v>33</v>
      </c>
    </row>
    <row r="1320" spans="1:13">
      <c r="A1320" t="s">
        <v>1</v>
      </c>
      <c r="B1320" t="s">
        <v>944</v>
      </c>
      <c r="C1320" t="s">
        <v>1053</v>
      </c>
      <c r="D1320" t="s">
        <v>1537</v>
      </c>
      <c r="E1320" cm="1">
        <f t="array" ref="E1320">_xlfn.XLOOKUP(D1320,SKU_Master!A:A,SKU_Master!B:B,"Not on master")</f>
        <v>0</v>
      </c>
      <c r="F1320" cm="1">
        <f t="array" ref="F1320">_xlfn.XLOOKUP(C1320,Account_Master!A:A,Account_Master!B:B,"Not on master")</f>
        <v>0</v>
      </c>
      <c r="G1320" cm="1">
        <f t="array" ref="G1320">_xlfn.XLOOKUP(C1320,Account_Master!A:A,Account_Master!C:C,"Not on master")</f>
        <v>0</v>
      </c>
      <c r="H1320" s="6">
        <v>3</v>
      </c>
      <c r="I1320" s="6">
        <v>3</v>
      </c>
      <c r="J1320" s="6">
        <f>I1320-H1320</f>
        <v>0</v>
      </c>
      <c r="K1320" s="5">
        <f>IF(H1320=0,"",J1320/H1320)</f>
        <v>0</v>
      </c>
      <c r="L1320">
        <f>IF(OR(AND(H1320=0,ABS(J1320)&gt;=0.01),AND(H1320&lt;&gt;0,ABS(K1320)&gt;VarianceThreshold)),"Review","OK")</f>
        <v>0</v>
      </c>
      <c r="M1320" t="s">
        <v>33</v>
      </c>
    </row>
    <row r="1321" spans="1:13">
      <c r="A1321" t="s">
        <v>1</v>
      </c>
      <c r="B1321" t="s">
        <v>944</v>
      </c>
      <c r="C1321" t="s">
        <v>1010</v>
      </c>
      <c r="D1321" t="s">
        <v>1538</v>
      </c>
      <c r="E1321" cm="1">
        <f t="array" ref="E1321">_xlfn.XLOOKUP(D1321,SKU_Master!A:A,SKU_Master!B:B,"Not on master")</f>
        <v>0</v>
      </c>
      <c r="F1321" cm="1">
        <f t="array" ref="F1321">_xlfn.XLOOKUP(C1321,Account_Master!A:A,Account_Master!B:B,"Not on master")</f>
        <v>0</v>
      </c>
      <c r="G1321" cm="1">
        <f t="array" ref="G1321">_xlfn.XLOOKUP(C1321,Account_Master!A:A,Account_Master!C:C,"Not on master")</f>
        <v>0</v>
      </c>
      <c r="H1321" s="6">
        <v>1.5</v>
      </c>
      <c r="I1321" s="6">
        <v>1.5</v>
      </c>
      <c r="J1321" s="6">
        <f>I1321-H1321</f>
        <v>0</v>
      </c>
      <c r="K1321" s="5">
        <f>IF(H1321=0,"",J1321/H1321)</f>
        <v>0</v>
      </c>
      <c r="L1321">
        <f>IF(OR(AND(H1321=0,ABS(J1321)&gt;=0.01),AND(H1321&lt;&gt;0,ABS(K1321)&gt;VarianceThreshold)),"Review","OK")</f>
        <v>0</v>
      </c>
      <c r="M1321" t="s">
        <v>33</v>
      </c>
    </row>
    <row r="1322" spans="1:13">
      <c r="A1322" t="s">
        <v>1</v>
      </c>
      <c r="B1322" t="s">
        <v>944</v>
      </c>
      <c r="C1322" t="s">
        <v>1010</v>
      </c>
      <c r="D1322" t="s">
        <v>102</v>
      </c>
      <c r="E1322" cm="1">
        <f t="array" ref="E1322">_xlfn.XLOOKUP(D1322,SKU_Master!A:A,SKU_Master!B:B,"Not on master")</f>
        <v>0</v>
      </c>
      <c r="F1322" cm="1">
        <f t="array" ref="F1322">_xlfn.XLOOKUP(C1322,Account_Master!A:A,Account_Master!B:B,"Not on master")</f>
        <v>0</v>
      </c>
      <c r="G1322" cm="1">
        <f t="array" ref="G1322">_xlfn.XLOOKUP(C1322,Account_Master!A:A,Account_Master!C:C,"Not on master")</f>
        <v>0</v>
      </c>
      <c r="H1322" s="6">
        <v>0.05</v>
      </c>
      <c r="I1322" s="6">
        <v>0.05</v>
      </c>
      <c r="J1322" s="6">
        <f>I1322-H1322</f>
        <v>0</v>
      </c>
      <c r="K1322" s="5">
        <f>IF(H1322=0,"",J1322/H1322)</f>
        <v>0</v>
      </c>
      <c r="L1322">
        <f>IF(OR(AND(H1322=0,ABS(J1322)&gt;=0.01),AND(H1322&lt;&gt;0,ABS(K1322)&gt;VarianceThreshold)),"Review","OK")</f>
        <v>0</v>
      </c>
      <c r="M1322" t="s">
        <v>33</v>
      </c>
    </row>
    <row r="1323" spans="1:13">
      <c r="A1323" t="s">
        <v>1</v>
      </c>
      <c r="B1323" t="s">
        <v>952</v>
      </c>
      <c r="C1323" t="s">
        <v>1539</v>
      </c>
      <c r="D1323" t="s">
        <v>1540</v>
      </c>
      <c r="E1323" cm="1">
        <f t="array" ref="E1323">_xlfn.XLOOKUP(D1323,SKU_Master!A:A,SKU_Master!B:B,"Not on master")</f>
        <v>0</v>
      </c>
      <c r="F1323" cm="1">
        <f t="array" ref="F1323">_xlfn.XLOOKUP(C1323,Account_Master!A:A,Account_Master!B:B,"Not on master")</f>
        <v>0</v>
      </c>
      <c r="G1323" cm="1">
        <f t="array" ref="G1323">_xlfn.XLOOKUP(C1323,Account_Master!A:A,Account_Master!C:C,"Not on master")</f>
        <v>0</v>
      </c>
      <c r="H1323" s="6">
        <v>10.6</v>
      </c>
      <c r="I1323" s="6">
        <v>10.6</v>
      </c>
      <c r="J1323" s="6">
        <f>I1323-H1323</f>
        <v>0</v>
      </c>
      <c r="K1323" s="5">
        <f>IF(H1323=0,"",J1323/H1323)</f>
        <v>0</v>
      </c>
      <c r="L1323">
        <f>IF(OR(AND(H1323=0,ABS(J1323)&gt;=0.01),AND(H1323&lt;&gt;0,ABS(K1323)&gt;VarianceThreshold)),"Review","OK")</f>
        <v>0</v>
      </c>
      <c r="M1323" t="s">
        <v>33</v>
      </c>
    </row>
    <row r="1324" spans="1:13">
      <c r="A1324" t="s">
        <v>1</v>
      </c>
      <c r="B1324" t="s">
        <v>952</v>
      </c>
      <c r="C1324" t="s">
        <v>1010</v>
      </c>
      <c r="D1324" t="s">
        <v>163</v>
      </c>
      <c r="E1324" cm="1">
        <f t="array" ref="E1324">_xlfn.XLOOKUP(D1324,SKU_Master!A:A,SKU_Master!B:B,"Not on master")</f>
        <v>0</v>
      </c>
      <c r="F1324" cm="1">
        <f t="array" ref="F1324">_xlfn.XLOOKUP(C1324,Account_Master!A:A,Account_Master!B:B,"Not on master")</f>
        <v>0</v>
      </c>
      <c r="G1324" cm="1">
        <f t="array" ref="G1324">_xlfn.XLOOKUP(C1324,Account_Master!A:A,Account_Master!C:C,"Not on master")</f>
        <v>0</v>
      </c>
      <c r="H1324" s="6">
        <v>3</v>
      </c>
      <c r="I1324" s="6">
        <v>3</v>
      </c>
      <c r="J1324" s="6">
        <f>I1324-H1324</f>
        <v>0</v>
      </c>
      <c r="K1324" s="5">
        <f>IF(H1324=0,"",J1324/H1324)</f>
        <v>0</v>
      </c>
      <c r="L1324">
        <f>IF(OR(AND(H1324=0,ABS(J1324)&gt;=0.01),AND(H1324&lt;&gt;0,ABS(K1324)&gt;VarianceThreshold)),"Review","OK")</f>
        <v>0</v>
      </c>
      <c r="M1324" t="s">
        <v>33</v>
      </c>
    </row>
    <row r="1325" spans="1:13">
      <c r="A1325" t="s">
        <v>1</v>
      </c>
      <c r="B1325" t="s">
        <v>952</v>
      </c>
      <c r="C1325" t="s">
        <v>1367</v>
      </c>
      <c r="D1325" t="s">
        <v>886</v>
      </c>
      <c r="E1325" cm="1">
        <f t="array" ref="E1325">_xlfn.XLOOKUP(D1325,SKU_Master!A:A,SKU_Master!B:B,"Not on master")</f>
        <v>0</v>
      </c>
      <c r="F1325" cm="1">
        <f t="array" ref="F1325">_xlfn.XLOOKUP(C1325,Account_Master!A:A,Account_Master!B:B,"Not on master")</f>
        <v>0</v>
      </c>
      <c r="G1325" cm="1">
        <f t="array" ref="G1325">_xlfn.XLOOKUP(C1325,Account_Master!A:A,Account_Master!C:C,"Not on master")</f>
        <v>0</v>
      </c>
      <c r="H1325" s="6">
        <v>4.5</v>
      </c>
      <c r="I1325" s="6">
        <v>4.5</v>
      </c>
      <c r="J1325" s="6">
        <f>I1325-H1325</f>
        <v>0</v>
      </c>
      <c r="K1325" s="5">
        <f>IF(H1325=0,"",J1325/H1325)</f>
        <v>0</v>
      </c>
      <c r="L1325">
        <f>IF(OR(AND(H1325=0,ABS(J1325)&gt;=0.01),AND(H1325&lt;&gt;0,ABS(K1325)&gt;VarianceThreshold)),"Review","OK")</f>
        <v>0</v>
      </c>
      <c r="M1325" t="s">
        <v>33</v>
      </c>
    </row>
    <row r="1326" spans="1:13">
      <c r="A1326" t="s">
        <v>1</v>
      </c>
      <c r="B1326" t="s">
        <v>952</v>
      </c>
      <c r="C1326" t="s">
        <v>1024</v>
      </c>
      <c r="D1326" t="s">
        <v>1541</v>
      </c>
      <c r="E1326" cm="1">
        <f t="array" ref="E1326">_xlfn.XLOOKUP(D1326,SKU_Master!A:A,SKU_Master!B:B,"Not on master")</f>
        <v>0</v>
      </c>
      <c r="F1326" cm="1">
        <f t="array" ref="F1326">_xlfn.XLOOKUP(C1326,Account_Master!A:A,Account_Master!B:B,"Not on master")</f>
        <v>0</v>
      </c>
      <c r="G1326" cm="1">
        <f t="array" ref="G1326">_xlfn.XLOOKUP(C1326,Account_Master!A:A,Account_Master!C:C,"Not on master")</f>
        <v>0</v>
      </c>
      <c r="H1326" s="6">
        <v>2.25</v>
      </c>
      <c r="I1326" s="6">
        <v>2.25</v>
      </c>
      <c r="J1326" s="6">
        <f>I1326-H1326</f>
        <v>0</v>
      </c>
      <c r="K1326" s="5">
        <f>IF(H1326=0,"",J1326/H1326)</f>
        <v>0</v>
      </c>
      <c r="L1326">
        <f>IF(OR(AND(H1326=0,ABS(J1326)&gt;=0.01),AND(H1326&lt;&gt;0,ABS(K1326)&gt;VarianceThreshold)),"Review","OK")</f>
        <v>0</v>
      </c>
      <c r="M1326" t="s">
        <v>33</v>
      </c>
    </row>
    <row r="1327" spans="1:13">
      <c r="A1327" t="s">
        <v>1</v>
      </c>
      <c r="B1327" t="s">
        <v>952</v>
      </c>
      <c r="C1327" t="s">
        <v>1019</v>
      </c>
      <c r="D1327" t="s">
        <v>1542</v>
      </c>
      <c r="E1327" cm="1">
        <f t="array" ref="E1327">_xlfn.XLOOKUP(D1327,SKU_Master!A:A,SKU_Master!B:B,"Not on master")</f>
        <v>0</v>
      </c>
      <c r="F1327" cm="1">
        <f t="array" ref="F1327">_xlfn.XLOOKUP(C1327,Account_Master!A:A,Account_Master!B:B,"Not on master")</f>
        <v>0</v>
      </c>
      <c r="G1327" cm="1">
        <f t="array" ref="G1327">_xlfn.XLOOKUP(C1327,Account_Master!A:A,Account_Master!C:C,"Not on master")</f>
        <v>0</v>
      </c>
      <c r="H1327" s="6">
        <v>9.75</v>
      </c>
      <c r="I1327" s="6">
        <v>9.75</v>
      </c>
      <c r="J1327" s="6">
        <f>I1327-H1327</f>
        <v>0</v>
      </c>
      <c r="K1327" s="5">
        <f>IF(H1327=0,"",J1327/H1327)</f>
        <v>0</v>
      </c>
      <c r="L1327">
        <f>IF(OR(AND(H1327=0,ABS(J1327)&gt;=0.01),AND(H1327&lt;&gt;0,ABS(K1327)&gt;VarianceThreshold)),"Review","OK")</f>
        <v>0</v>
      </c>
      <c r="M1327" t="s">
        <v>33</v>
      </c>
    </row>
    <row r="1328" spans="1:13">
      <c r="A1328" t="s">
        <v>1</v>
      </c>
      <c r="B1328" t="s">
        <v>961</v>
      </c>
      <c r="C1328" t="s">
        <v>1536</v>
      </c>
      <c r="D1328" t="s">
        <v>1543</v>
      </c>
      <c r="E1328" cm="1">
        <f t="array" ref="E1328">_xlfn.XLOOKUP(D1328,SKU_Master!A:A,SKU_Master!B:B,"Not on master")</f>
        <v>0</v>
      </c>
      <c r="F1328" cm="1">
        <f t="array" ref="F1328">_xlfn.XLOOKUP(C1328,Account_Master!A:A,Account_Master!B:B,"Not on master")</f>
        <v>0</v>
      </c>
      <c r="G1328" cm="1">
        <f t="array" ref="G1328">_xlfn.XLOOKUP(C1328,Account_Master!A:A,Account_Master!C:C,"Not on master")</f>
        <v>0</v>
      </c>
      <c r="H1328" s="6">
        <v>13.5</v>
      </c>
      <c r="I1328" s="6">
        <v>13.5</v>
      </c>
      <c r="J1328" s="6">
        <f>I1328-H1328</f>
        <v>0</v>
      </c>
      <c r="K1328" s="5">
        <f>IF(H1328=0,"",J1328/H1328)</f>
        <v>0</v>
      </c>
      <c r="L1328">
        <f>IF(OR(AND(H1328=0,ABS(J1328)&gt;=0.01),AND(H1328&lt;&gt;0,ABS(K1328)&gt;VarianceThreshold)),"Review","OK")</f>
        <v>0</v>
      </c>
      <c r="M1328" t="s">
        <v>33</v>
      </c>
    </row>
    <row r="1329" spans="1:13">
      <c r="A1329" t="s">
        <v>1</v>
      </c>
      <c r="B1329" t="s">
        <v>966</v>
      </c>
      <c r="C1329" t="s">
        <v>1082</v>
      </c>
      <c r="D1329" t="s">
        <v>437</v>
      </c>
      <c r="E1329" cm="1">
        <f t="array" ref="E1329">_xlfn.XLOOKUP(D1329,SKU_Master!A:A,SKU_Master!B:B,"Not on master")</f>
        <v>0</v>
      </c>
      <c r="F1329" cm="1">
        <f t="array" ref="F1329">_xlfn.XLOOKUP(C1329,Account_Master!A:A,Account_Master!B:B,"Not on master")</f>
        <v>0</v>
      </c>
      <c r="G1329" cm="1">
        <f t="array" ref="G1329">_xlfn.XLOOKUP(C1329,Account_Master!A:A,Account_Master!C:C,"Not on master")</f>
        <v>0</v>
      </c>
      <c r="H1329" s="6">
        <v>18</v>
      </c>
      <c r="I1329" s="6">
        <v>18</v>
      </c>
      <c r="J1329" s="6">
        <f>I1329-H1329</f>
        <v>0</v>
      </c>
      <c r="K1329" s="5">
        <f>IF(H1329=0,"",J1329/H1329)</f>
        <v>0</v>
      </c>
      <c r="L1329">
        <f>IF(OR(AND(H1329=0,ABS(J1329)&gt;=0.01),AND(H1329&lt;&gt;0,ABS(K1329)&gt;VarianceThreshold)),"Review","OK")</f>
        <v>0</v>
      </c>
      <c r="M1329" t="s">
        <v>33</v>
      </c>
    </row>
    <row r="1330" spans="1:13">
      <c r="A1330" t="s">
        <v>1</v>
      </c>
      <c r="B1330" t="s">
        <v>966</v>
      </c>
      <c r="C1330" t="s">
        <v>1018</v>
      </c>
      <c r="D1330" t="s">
        <v>1544</v>
      </c>
      <c r="E1330" cm="1">
        <f t="array" ref="E1330">_xlfn.XLOOKUP(D1330,SKU_Master!A:A,SKU_Master!B:B,"Not on master")</f>
        <v>0</v>
      </c>
      <c r="F1330" cm="1">
        <f t="array" ref="F1330">_xlfn.XLOOKUP(C1330,Account_Master!A:A,Account_Master!B:B,"Not on master")</f>
        <v>0</v>
      </c>
      <c r="G1330" cm="1">
        <f t="array" ref="G1330">_xlfn.XLOOKUP(C1330,Account_Master!A:A,Account_Master!C:C,"Not on master")</f>
        <v>0</v>
      </c>
      <c r="H1330" s="6">
        <v>9.75</v>
      </c>
      <c r="I1330" s="6">
        <v>9.75</v>
      </c>
      <c r="J1330" s="6">
        <f>I1330-H1330</f>
        <v>0</v>
      </c>
      <c r="K1330" s="5">
        <f>IF(H1330=0,"",J1330/H1330)</f>
        <v>0</v>
      </c>
      <c r="L1330">
        <f>IF(OR(AND(H1330=0,ABS(J1330)&gt;=0.01),AND(H1330&lt;&gt;0,ABS(K1330)&gt;VarianceThreshold)),"Review","OK")</f>
        <v>0</v>
      </c>
      <c r="M1330" t="s">
        <v>33</v>
      </c>
    </row>
    <row r="1331" spans="1:13">
      <c r="A1331" t="s">
        <v>1</v>
      </c>
      <c r="B1331" t="s">
        <v>966</v>
      </c>
      <c r="C1331" t="s">
        <v>1041</v>
      </c>
      <c r="D1331" t="s">
        <v>981</v>
      </c>
      <c r="E1331" cm="1">
        <f t="array" ref="E1331">_xlfn.XLOOKUP(D1331,SKU_Master!A:A,SKU_Master!B:B,"Not on master")</f>
        <v>0</v>
      </c>
      <c r="F1331" cm="1">
        <f t="array" ref="F1331">_xlfn.XLOOKUP(C1331,Account_Master!A:A,Account_Master!B:B,"Not on master")</f>
        <v>0</v>
      </c>
      <c r="G1331" cm="1">
        <f t="array" ref="G1331">_xlfn.XLOOKUP(C1331,Account_Master!A:A,Account_Master!C:C,"Not on master")</f>
        <v>0</v>
      </c>
      <c r="H1331" s="6">
        <v>9</v>
      </c>
      <c r="I1331" s="6">
        <v>9</v>
      </c>
      <c r="J1331" s="6">
        <f>I1331-H1331</f>
        <v>0</v>
      </c>
      <c r="K1331" s="5">
        <f>IF(H1331=0,"",J1331/H1331)</f>
        <v>0</v>
      </c>
      <c r="L1331">
        <f>IF(OR(AND(H1331=0,ABS(J1331)&gt;=0.01),AND(H1331&lt;&gt;0,ABS(K1331)&gt;VarianceThreshold)),"Review","OK")</f>
        <v>0</v>
      </c>
      <c r="M1331" t="s">
        <v>33</v>
      </c>
    </row>
    <row r="1332" spans="1:13">
      <c r="A1332" t="s">
        <v>1</v>
      </c>
      <c r="B1332" t="s">
        <v>966</v>
      </c>
      <c r="C1332" t="s">
        <v>1013</v>
      </c>
      <c r="D1332" t="s">
        <v>1545</v>
      </c>
      <c r="E1332" cm="1">
        <f t="array" ref="E1332">_xlfn.XLOOKUP(D1332,SKU_Master!A:A,SKU_Master!B:B,"Not on master")</f>
        <v>0</v>
      </c>
      <c r="F1332" cm="1">
        <f t="array" ref="F1332">_xlfn.XLOOKUP(C1332,Account_Master!A:A,Account_Master!B:B,"Not on master")</f>
        <v>0</v>
      </c>
      <c r="G1332" cm="1">
        <f t="array" ref="G1332">_xlfn.XLOOKUP(C1332,Account_Master!A:A,Account_Master!C:C,"Not on master")</f>
        <v>0</v>
      </c>
      <c r="H1332" s="6">
        <v>0.15</v>
      </c>
      <c r="I1332" s="6">
        <v>0.15</v>
      </c>
      <c r="J1332" s="6">
        <f>I1332-H1332</f>
        <v>0</v>
      </c>
      <c r="K1332" s="5">
        <f>IF(H1332=0,"",J1332/H1332)</f>
        <v>0</v>
      </c>
      <c r="L1332">
        <f>IF(OR(AND(H1332=0,ABS(J1332)&gt;=0.01),AND(H1332&lt;&gt;0,ABS(K1332)&gt;VarianceThreshold)),"Review","OK")</f>
        <v>0</v>
      </c>
      <c r="M1332" t="s">
        <v>33</v>
      </c>
    </row>
    <row r="1333" spans="1:13">
      <c r="A1333" t="s">
        <v>1</v>
      </c>
      <c r="B1333" t="s">
        <v>966</v>
      </c>
      <c r="C1333" t="s">
        <v>1041</v>
      </c>
      <c r="D1333" t="s">
        <v>55</v>
      </c>
      <c r="E1333" cm="1">
        <f t="array" ref="E1333">_xlfn.XLOOKUP(D1333,SKU_Master!A:A,SKU_Master!B:B,"Not on master")</f>
        <v>0</v>
      </c>
      <c r="F1333" cm="1">
        <f t="array" ref="F1333">_xlfn.XLOOKUP(C1333,Account_Master!A:A,Account_Master!B:B,"Not on master")</f>
        <v>0</v>
      </c>
      <c r="G1333" cm="1">
        <f t="array" ref="G1333">_xlfn.XLOOKUP(C1333,Account_Master!A:A,Account_Master!C:C,"Not on master")</f>
        <v>0</v>
      </c>
      <c r="H1333" s="6">
        <v>24.5</v>
      </c>
      <c r="I1333" s="6">
        <v>24.5</v>
      </c>
      <c r="J1333" s="6">
        <f>I1333-H1333</f>
        <v>0</v>
      </c>
      <c r="K1333" s="5">
        <f>IF(H1333=0,"",J1333/H1333)</f>
        <v>0</v>
      </c>
      <c r="L1333">
        <f>IF(OR(AND(H1333=0,ABS(J1333)&gt;=0.01),AND(H1333&lt;&gt;0,ABS(K1333)&gt;VarianceThreshold)),"Review","OK")</f>
        <v>0</v>
      </c>
      <c r="M1333" t="s">
        <v>33</v>
      </c>
    </row>
    <row r="1334" spans="1:13">
      <c r="A1334" t="s">
        <v>1</v>
      </c>
      <c r="B1334" t="s">
        <v>966</v>
      </c>
      <c r="C1334" t="s">
        <v>1437</v>
      </c>
      <c r="D1334" t="s">
        <v>1546</v>
      </c>
      <c r="E1334" cm="1">
        <f t="array" ref="E1334">_xlfn.XLOOKUP(D1334,SKU_Master!A:A,SKU_Master!B:B,"Not on master")</f>
        <v>0</v>
      </c>
      <c r="F1334" cm="1">
        <f t="array" ref="F1334">_xlfn.XLOOKUP(C1334,Account_Master!A:A,Account_Master!B:B,"Not on master")</f>
        <v>0</v>
      </c>
      <c r="G1334" cm="1">
        <f t="array" ref="G1334">_xlfn.XLOOKUP(C1334,Account_Master!A:A,Account_Master!C:C,"Not on master")</f>
        <v>0</v>
      </c>
      <c r="H1334" s="6">
        <v>7</v>
      </c>
      <c r="I1334" s="6">
        <v>7</v>
      </c>
      <c r="J1334" s="6">
        <f>I1334-H1334</f>
        <v>0</v>
      </c>
      <c r="K1334" s="5">
        <f>IF(H1334=0,"",J1334/H1334)</f>
        <v>0</v>
      </c>
      <c r="L1334">
        <f>IF(OR(AND(H1334=0,ABS(J1334)&gt;=0.01),AND(H1334&lt;&gt;0,ABS(K1334)&gt;VarianceThreshold)),"Review","OK")</f>
        <v>0</v>
      </c>
      <c r="M1334" t="s">
        <v>33</v>
      </c>
    </row>
    <row r="1335" spans="1:13">
      <c r="A1335" t="s">
        <v>1</v>
      </c>
      <c r="B1335" t="s">
        <v>966</v>
      </c>
      <c r="C1335" t="s">
        <v>1024</v>
      </c>
      <c r="D1335" t="s">
        <v>1547</v>
      </c>
      <c r="E1335" cm="1">
        <f t="array" ref="E1335">_xlfn.XLOOKUP(D1335,SKU_Master!A:A,SKU_Master!B:B,"Not on master")</f>
        <v>0</v>
      </c>
      <c r="F1335" cm="1">
        <f t="array" ref="F1335">_xlfn.XLOOKUP(C1335,Account_Master!A:A,Account_Master!B:B,"Not on master")</f>
        <v>0</v>
      </c>
      <c r="G1335" cm="1">
        <f t="array" ref="G1335">_xlfn.XLOOKUP(C1335,Account_Master!A:A,Account_Master!C:C,"Not on master")</f>
        <v>0</v>
      </c>
      <c r="H1335" s="6">
        <v>21</v>
      </c>
      <c r="I1335" s="6">
        <v>21</v>
      </c>
      <c r="J1335" s="6">
        <f>I1335-H1335</f>
        <v>0</v>
      </c>
      <c r="K1335" s="5">
        <f>IF(H1335=0,"",J1335/H1335)</f>
        <v>0</v>
      </c>
      <c r="L1335">
        <f>IF(OR(AND(H1335=0,ABS(J1335)&gt;=0.01),AND(H1335&lt;&gt;0,ABS(K1335)&gt;VarianceThreshold)),"Review","OK")</f>
        <v>0</v>
      </c>
      <c r="M1335" t="s">
        <v>33</v>
      </c>
    </row>
    <row r="1336" spans="1:13">
      <c r="A1336" t="s">
        <v>1</v>
      </c>
      <c r="B1336" t="s">
        <v>966</v>
      </c>
      <c r="C1336" t="s">
        <v>1121</v>
      </c>
      <c r="D1336" t="s">
        <v>1548</v>
      </c>
      <c r="E1336" cm="1">
        <f t="array" ref="E1336">_xlfn.XLOOKUP(D1336,SKU_Master!A:A,SKU_Master!B:B,"Not on master")</f>
        <v>0</v>
      </c>
      <c r="F1336" cm="1">
        <f t="array" ref="F1336">_xlfn.XLOOKUP(C1336,Account_Master!A:A,Account_Master!B:B,"Not on master")</f>
        <v>0</v>
      </c>
      <c r="G1336" cm="1">
        <f t="array" ref="G1336">_xlfn.XLOOKUP(C1336,Account_Master!A:A,Account_Master!C:C,"Not on master")</f>
        <v>0</v>
      </c>
      <c r="H1336" s="6">
        <v>0.75</v>
      </c>
      <c r="I1336" s="6">
        <v>0.75</v>
      </c>
      <c r="J1336" s="6">
        <f>I1336-H1336</f>
        <v>0</v>
      </c>
      <c r="K1336" s="5">
        <f>IF(H1336=0,"",J1336/H1336)</f>
        <v>0</v>
      </c>
      <c r="L1336">
        <f>IF(OR(AND(H1336=0,ABS(J1336)&gt;=0.01),AND(H1336&lt;&gt;0,ABS(K1336)&gt;VarianceThreshold)),"Review","OK")</f>
        <v>0</v>
      </c>
      <c r="M1336" t="s">
        <v>33</v>
      </c>
    </row>
    <row r="1337" spans="1:13">
      <c r="A1337" t="s">
        <v>1</v>
      </c>
      <c r="B1337" t="s">
        <v>966</v>
      </c>
      <c r="C1337" t="s">
        <v>1397</v>
      </c>
      <c r="D1337" t="s">
        <v>1549</v>
      </c>
      <c r="E1337" cm="1">
        <f t="array" ref="E1337">_xlfn.XLOOKUP(D1337,SKU_Master!A:A,SKU_Master!B:B,"Not on master")</f>
        <v>0</v>
      </c>
      <c r="F1337" cm="1">
        <f t="array" ref="F1337">_xlfn.XLOOKUP(C1337,Account_Master!A:A,Account_Master!B:B,"Not on master")</f>
        <v>0</v>
      </c>
      <c r="G1337" cm="1">
        <f t="array" ref="G1337">_xlfn.XLOOKUP(C1337,Account_Master!A:A,Account_Master!C:C,"Not on master")</f>
        <v>0</v>
      </c>
      <c r="H1337" s="6">
        <v>5.62</v>
      </c>
      <c r="I1337" s="6">
        <v>5.62</v>
      </c>
      <c r="J1337" s="6">
        <f>I1337-H1337</f>
        <v>0</v>
      </c>
      <c r="K1337" s="5">
        <f>IF(H1337=0,"",J1337/H1337)</f>
        <v>0</v>
      </c>
      <c r="L1337">
        <f>IF(OR(AND(H1337=0,ABS(J1337)&gt;=0.01),AND(H1337&lt;&gt;0,ABS(K1337)&gt;VarianceThreshold)),"Review","OK")</f>
        <v>0</v>
      </c>
      <c r="M1337" t="s">
        <v>33</v>
      </c>
    </row>
    <row r="1338" spans="1:13">
      <c r="A1338" t="s">
        <v>1</v>
      </c>
      <c r="B1338" t="s">
        <v>966</v>
      </c>
      <c r="C1338" t="s">
        <v>1024</v>
      </c>
      <c r="D1338" t="s">
        <v>1550</v>
      </c>
      <c r="E1338" cm="1">
        <f t="array" ref="E1338">_xlfn.XLOOKUP(D1338,SKU_Master!A:A,SKU_Master!B:B,"Not on master")</f>
        <v>0</v>
      </c>
      <c r="F1338" cm="1">
        <f t="array" ref="F1338">_xlfn.XLOOKUP(C1338,Account_Master!A:A,Account_Master!B:B,"Not on master")</f>
        <v>0</v>
      </c>
      <c r="G1338" cm="1">
        <f t="array" ref="G1338">_xlfn.XLOOKUP(C1338,Account_Master!A:A,Account_Master!C:C,"Not on master")</f>
        <v>0</v>
      </c>
      <c r="H1338" s="6">
        <v>18</v>
      </c>
      <c r="I1338" s="6">
        <v>18</v>
      </c>
      <c r="J1338" s="6">
        <f>I1338-H1338</f>
        <v>0</v>
      </c>
      <c r="K1338" s="5">
        <f>IF(H1338=0,"",J1338/H1338)</f>
        <v>0</v>
      </c>
      <c r="L1338">
        <f>IF(OR(AND(H1338=0,ABS(J1338)&gt;=0.01),AND(H1338&lt;&gt;0,ABS(K1338)&gt;VarianceThreshold)),"Review","OK")</f>
        <v>0</v>
      </c>
      <c r="M1338" t="s">
        <v>33</v>
      </c>
    </row>
    <row r="1339" spans="1:13">
      <c r="A1339" t="s">
        <v>1</v>
      </c>
      <c r="B1339" t="s">
        <v>966</v>
      </c>
      <c r="C1339" t="s">
        <v>1059</v>
      </c>
      <c r="D1339" t="s">
        <v>1551</v>
      </c>
      <c r="E1339" cm="1">
        <f t="array" ref="E1339">_xlfn.XLOOKUP(D1339,SKU_Master!A:A,SKU_Master!B:B,"Not on master")</f>
        <v>0</v>
      </c>
      <c r="F1339" cm="1">
        <f t="array" ref="F1339">_xlfn.XLOOKUP(C1339,Account_Master!A:A,Account_Master!B:B,"Not on master")</f>
        <v>0</v>
      </c>
      <c r="G1339" cm="1">
        <f t="array" ref="G1339">_xlfn.XLOOKUP(C1339,Account_Master!A:A,Account_Master!C:C,"Not on master")</f>
        <v>0</v>
      </c>
      <c r="H1339" s="6">
        <v>12</v>
      </c>
      <c r="I1339" s="6">
        <v>12</v>
      </c>
      <c r="J1339" s="6">
        <f>I1339-H1339</f>
        <v>0</v>
      </c>
      <c r="K1339" s="5">
        <f>IF(H1339=0,"",J1339/H1339)</f>
        <v>0</v>
      </c>
      <c r="L1339">
        <f>IF(OR(AND(H1339=0,ABS(J1339)&gt;=0.01),AND(H1339&lt;&gt;0,ABS(K1339)&gt;VarianceThreshold)),"Review","OK")</f>
        <v>0</v>
      </c>
      <c r="M1339" t="s">
        <v>33</v>
      </c>
    </row>
    <row r="1340" spans="1:13">
      <c r="A1340" t="s">
        <v>1</v>
      </c>
      <c r="B1340" t="s">
        <v>966</v>
      </c>
      <c r="C1340" t="s">
        <v>1032</v>
      </c>
      <c r="D1340" t="s">
        <v>1552</v>
      </c>
      <c r="E1340" cm="1">
        <f t="array" ref="E1340">_xlfn.XLOOKUP(D1340,SKU_Master!A:A,SKU_Master!B:B,"Not on master")</f>
        <v>0</v>
      </c>
      <c r="F1340" cm="1">
        <f t="array" ref="F1340">_xlfn.XLOOKUP(C1340,Account_Master!A:A,Account_Master!B:B,"Not on master")</f>
        <v>0</v>
      </c>
      <c r="G1340" cm="1">
        <f t="array" ref="G1340">_xlfn.XLOOKUP(C1340,Account_Master!A:A,Account_Master!C:C,"Not on master")</f>
        <v>0</v>
      </c>
      <c r="H1340" s="6">
        <v>18</v>
      </c>
      <c r="I1340" s="6">
        <v>18</v>
      </c>
      <c r="J1340" s="6">
        <f>I1340-H1340</f>
        <v>0</v>
      </c>
      <c r="K1340" s="5">
        <f>IF(H1340=0,"",J1340/H1340)</f>
        <v>0</v>
      </c>
      <c r="L1340">
        <f>IF(OR(AND(H1340=0,ABS(J1340)&gt;=0.01),AND(H1340&lt;&gt;0,ABS(K1340)&gt;VarianceThreshold)),"Review","OK")</f>
        <v>0</v>
      </c>
      <c r="M1340" t="s">
        <v>33</v>
      </c>
    </row>
    <row r="1341" spans="1:13">
      <c r="A1341" t="s">
        <v>1</v>
      </c>
      <c r="B1341" t="s">
        <v>980</v>
      </c>
      <c r="C1341" t="s">
        <v>1019</v>
      </c>
      <c r="D1341" t="s">
        <v>1553</v>
      </c>
      <c r="E1341" cm="1">
        <f t="array" ref="E1341">_xlfn.XLOOKUP(D1341,SKU_Master!A:A,SKU_Master!B:B,"Not on master")</f>
        <v>0</v>
      </c>
      <c r="F1341" cm="1">
        <f t="array" ref="F1341">_xlfn.XLOOKUP(C1341,Account_Master!A:A,Account_Master!B:B,"Not on master")</f>
        <v>0</v>
      </c>
      <c r="G1341" cm="1">
        <f t="array" ref="G1341">_xlfn.XLOOKUP(C1341,Account_Master!A:A,Account_Master!C:C,"Not on master")</f>
        <v>0</v>
      </c>
      <c r="H1341" s="6">
        <v>0.75</v>
      </c>
      <c r="I1341" s="6">
        <v>0.75</v>
      </c>
      <c r="J1341" s="6">
        <f>I1341-H1341</f>
        <v>0</v>
      </c>
      <c r="K1341" s="5">
        <f>IF(H1341=0,"",J1341/H1341)</f>
        <v>0</v>
      </c>
      <c r="L1341">
        <f>IF(OR(AND(H1341=0,ABS(J1341)&gt;=0.01),AND(H1341&lt;&gt;0,ABS(K1341)&gt;VarianceThreshold)),"Review","OK")</f>
        <v>0</v>
      </c>
      <c r="M1341" t="s">
        <v>33</v>
      </c>
    </row>
    <row r="1342" spans="1:13">
      <c r="A1342" t="s">
        <v>1</v>
      </c>
      <c r="B1342" t="s">
        <v>980</v>
      </c>
      <c r="C1342" t="s">
        <v>1219</v>
      </c>
      <c r="D1342" t="s">
        <v>877</v>
      </c>
      <c r="E1342" cm="1">
        <f t="array" ref="E1342">_xlfn.XLOOKUP(D1342,SKU_Master!A:A,SKU_Master!B:B,"Not on master")</f>
        <v>0</v>
      </c>
      <c r="F1342" cm="1">
        <f t="array" ref="F1342">_xlfn.XLOOKUP(C1342,Account_Master!A:A,Account_Master!B:B,"Not on master")</f>
        <v>0</v>
      </c>
      <c r="G1342" cm="1">
        <f t="array" ref="G1342">_xlfn.XLOOKUP(C1342,Account_Master!A:A,Account_Master!C:C,"Not on master")</f>
        <v>0</v>
      </c>
      <c r="H1342" s="6">
        <v>183.75</v>
      </c>
      <c r="I1342" s="6">
        <v>183.75</v>
      </c>
      <c r="J1342" s="6">
        <f>I1342-H1342</f>
        <v>0</v>
      </c>
      <c r="K1342" s="5">
        <f>IF(H1342=0,"",J1342/H1342)</f>
        <v>0</v>
      </c>
      <c r="L1342">
        <f>IF(OR(AND(H1342=0,ABS(J1342)&gt;=0.01),AND(H1342&lt;&gt;0,ABS(K1342)&gt;VarianceThreshold)),"Review","OK")</f>
        <v>0</v>
      </c>
      <c r="M1342" t="s">
        <v>33</v>
      </c>
    </row>
    <row r="1343" spans="1:13">
      <c r="A1343" t="s">
        <v>1</v>
      </c>
      <c r="B1343" t="s">
        <v>980</v>
      </c>
      <c r="C1343" t="s">
        <v>1261</v>
      </c>
      <c r="D1343" t="s">
        <v>1554</v>
      </c>
      <c r="E1343" cm="1">
        <f t="array" ref="E1343">_xlfn.XLOOKUP(D1343,SKU_Master!A:A,SKU_Master!B:B,"Not on master")</f>
        <v>0</v>
      </c>
      <c r="F1343" cm="1">
        <f t="array" ref="F1343">_xlfn.XLOOKUP(C1343,Account_Master!A:A,Account_Master!B:B,"Not on master")</f>
        <v>0</v>
      </c>
      <c r="G1343" cm="1">
        <f t="array" ref="G1343">_xlfn.XLOOKUP(C1343,Account_Master!A:A,Account_Master!C:C,"Not on master")</f>
        <v>0</v>
      </c>
      <c r="H1343" s="6">
        <v>9</v>
      </c>
      <c r="I1343" s="6">
        <v>9</v>
      </c>
      <c r="J1343" s="6">
        <f>I1343-H1343</f>
        <v>0</v>
      </c>
      <c r="K1343" s="5">
        <f>IF(H1343=0,"",J1343/H1343)</f>
        <v>0</v>
      </c>
      <c r="L1343">
        <f>IF(OR(AND(H1343=0,ABS(J1343)&gt;=0.01),AND(H1343&lt;&gt;0,ABS(K1343)&gt;VarianceThreshold)),"Review","OK")</f>
        <v>0</v>
      </c>
      <c r="M1343" t="s">
        <v>33</v>
      </c>
    </row>
    <row r="1344" spans="1:13">
      <c r="A1344" t="s">
        <v>1</v>
      </c>
      <c r="B1344" t="s">
        <v>980</v>
      </c>
      <c r="C1344" t="s">
        <v>1018</v>
      </c>
      <c r="D1344" t="s">
        <v>1555</v>
      </c>
      <c r="E1344" cm="1">
        <f t="array" ref="E1344">_xlfn.XLOOKUP(D1344,SKU_Master!A:A,SKU_Master!B:B,"Not on master")</f>
        <v>0</v>
      </c>
      <c r="F1344" cm="1">
        <f t="array" ref="F1344">_xlfn.XLOOKUP(C1344,Account_Master!A:A,Account_Master!B:B,"Not on master")</f>
        <v>0</v>
      </c>
      <c r="G1344" cm="1">
        <f t="array" ref="G1344">_xlfn.XLOOKUP(C1344,Account_Master!A:A,Account_Master!C:C,"Not on master")</f>
        <v>0</v>
      </c>
      <c r="H1344" s="6">
        <v>0.25</v>
      </c>
      <c r="I1344" s="6">
        <v>0.25</v>
      </c>
      <c r="J1344" s="6">
        <f>I1344-H1344</f>
        <v>0</v>
      </c>
      <c r="K1344" s="5">
        <f>IF(H1344=0,"",J1344/H1344)</f>
        <v>0</v>
      </c>
      <c r="L1344">
        <f>IF(OR(AND(H1344=0,ABS(J1344)&gt;=0.01),AND(H1344&lt;&gt;0,ABS(K1344)&gt;VarianceThreshold)),"Review","OK")</f>
        <v>0</v>
      </c>
      <c r="M1344" t="s">
        <v>33</v>
      </c>
    </row>
    <row r="1345" spans="1:13">
      <c r="A1345" t="s">
        <v>1</v>
      </c>
      <c r="B1345" t="s">
        <v>980</v>
      </c>
      <c r="C1345" t="s">
        <v>1230</v>
      </c>
      <c r="D1345" t="s">
        <v>1556</v>
      </c>
      <c r="E1345" cm="1">
        <f t="array" ref="E1345">_xlfn.XLOOKUP(D1345,SKU_Master!A:A,SKU_Master!B:B,"Not on master")</f>
        <v>0</v>
      </c>
      <c r="F1345" cm="1">
        <f t="array" ref="F1345">_xlfn.XLOOKUP(C1345,Account_Master!A:A,Account_Master!B:B,"Not on master")</f>
        <v>0</v>
      </c>
      <c r="G1345" cm="1">
        <f t="array" ref="G1345">_xlfn.XLOOKUP(C1345,Account_Master!A:A,Account_Master!C:C,"Not on master")</f>
        <v>0</v>
      </c>
      <c r="H1345" s="6">
        <v>9</v>
      </c>
      <c r="I1345" s="6">
        <v>9</v>
      </c>
      <c r="J1345" s="6">
        <f>I1345-H1345</f>
        <v>0</v>
      </c>
      <c r="K1345" s="5">
        <f>IF(H1345=0,"",J1345/H1345)</f>
        <v>0</v>
      </c>
      <c r="L1345">
        <f>IF(OR(AND(H1345=0,ABS(J1345)&gt;=0.01),AND(H1345&lt;&gt;0,ABS(K1345)&gt;VarianceThreshold)),"Review","OK")</f>
        <v>0</v>
      </c>
      <c r="M1345" t="s">
        <v>33</v>
      </c>
    </row>
    <row r="1346" spans="1:13">
      <c r="A1346" t="s">
        <v>1</v>
      </c>
      <c r="B1346" t="s">
        <v>980</v>
      </c>
      <c r="C1346" t="s">
        <v>1018</v>
      </c>
      <c r="D1346" t="s">
        <v>1557</v>
      </c>
      <c r="E1346" cm="1">
        <f t="array" ref="E1346">_xlfn.XLOOKUP(D1346,SKU_Master!A:A,SKU_Master!B:B,"Not on master")</f>
        <v>0</v>
      </c>
      <c r="F1346" cm="1">
        <f t="array" ref="F1346">_xlfn.XLOOKUP(C1346,Account_Master!A:A,Account_Master!B:B,"Not on master")</f>
        <v>0</v>
      </c>
      <c r="G1346" cm="1">
        <f t="array" ref="G1346">_xlfn.XLOOKUP(C1346,Account_Master!A:A,Account_Master!C:C,"Not on master")</f>
        <v>0</v>
      </c>
      <c r="H1346" s="6">
        <v>0.1</v>
      </c>
      <c r="I1346" s="6">
        <v>0.1</v>
      </c>
      <c r="J1346" s="6">
        <f>I1346-H1346</f>
        <v>0</v>
      </c>
      <c r="K1346" s="5">
        <f>IF(H1346=0,"",J1346/H1346)</f>
        <v>0</v>
      </c>
      <c r="L1346">
        <f>IF(OR(AND(H1346=0,ABS(J1346)&gt;=0.01),AND(H1346&lt;&gt;0,ABS(K1346)&gt;VarianceThreshold)),"Review","OK")</f>
        <v>0</v>
      </c>
      <c r="M1346" t="s">
        <v>33</v>
      </c>
    </row>
    <row r="1347" spans="1:13">
      <c r="A1347" t="s">
        <v>1</v>
      </c>
      <c r="B1347" t="s">
        <v>980</v>
      </c>
      <c r="C1347" t="s">
        <v>1296</v>
      </c>
      <c r="D1347" t="s">
        <v>632</v>
      </c>
      <c r="E1347" cm="1">
        <f t="array" ref="E1347">_xlfn.XLOOKUP(D1347,SKU_Master!A:A,SKU_Master!B:B,"Not on master")</f>
        <v>0</v>
      </c>
      <c r="F1347" cm="1">
        <f t="array" ref="F1347">_xlfn.XLOOKUP(C1347,Account_Master!A:A,Account_Master!B:B,"Not on master")</f>
        <v>0</v>
      </c>
      <c r="G1347" cm="1">
        <f t="array" ref="G1347">_xlfn.XLOOKUP(C1347,Account_Master!A:A,Account_Master!C:C,"Not on master")</f>
        <v>0</v>
      </c>
      <c r="H1347" s="6">
        <v>48</v>
      </c>
      <c r="I1347" s="6">
        <v>48</v>
      </c>
      <c r="J1347" s="6">
        <f>I1347-H1347</f>
        <v>0</v>
      </c>
      <c r="K1347" s="5">
        <f>IF(H1347=0,"",J1347/H1347)</f>
        <v>0</v>
      </c>
      <c r="L1347">
        <f>IF(OR(AND(H1347=0,ABS(J1347)&gt;=0.01),AND(H1347&lt;&gt;0,ABS(K1347)&gt;VarianceThreshold)),"Review","OK")</f>
        <v>0</v>
      </c>
      <c r="M1347" t="s">
        <v>33</v>
      </c>
    </row>
    <row r="1348" spans="1:13">
      <c r="A1348" t="s">
        <v>1</v>
      </c>
      <c r="B1348" t="s">
        <v>980</v>
      </c>
      <c r="C1348" t="s">
        <v>1350</v>
      </c>
      <c r="D1348" t="s">
        <v>1558</v>
      </c>
      <c r="E1348" cm="1">
        <f t="array" ref="E1348">_xlfn.XLOOKUP(D1348,SKU_Master!A:A,SKU_Master!B:B,"Not on master")</f>
        <v>0</v>
      </c>
      <c r="F1348" cm="1">
        <f t="array" ref="F1348">_xlfn.XLOOKUP(C1348,Account_Master!A:A,Account_Master!B:B,"Not on master")</f>
        <v>0</v>
      </c>
      <c r="G1348" cm="1">
        <f t="array" ref="G1348">_xlfn.XLOOKUP(C1348,Account_Master!A:A,Account_Master!C:C,"Not on master")</f>
        <v>0</v>
      </c>
      <c r="H1348" s="6">
        <v>6.75</v>
      </c>
      <c r="I1348" s="6">
        <v>6.75</v>
      </c>
      <c r="J1348" s="6">
        <f>I1348-H1348</f>
        <v>0</v>
      </c>
      <c r="K1348" s="5">
        <f>IF(H1348=0,"",J1348/H1348)</f>
        <v>0</v>
      </c>
      <c r="L1348">
        <f>IF(OR(AND(H1348=0,ABS(J1348)&gt;=0.01),AND(H1348&lt;&gt;0,ABS(K1348)&gt;VarianceThreshold)),"Review","OK")</f>
        <v>0</v>
      </c>
      <c r="M1348" t="s">
        <v>33</v>
      </c>
    </row>
    <row r="1349" spans="1:13">
      <c r="A1349" t="s">
        <v>1</v>
      </c>
      <c r="B1349" t="s">
        <v>992</v>
      </c>
      <c r="C1349" t="s">
        <v>1135</v>
      </c>
      <c r="D1349" t="s">
        <v>1559</v>
      </c>
      <c r="E1349" cm="1">
        <f t="array" ref="E1349">_xlfn.XLOOKUP(D1349,SKU_Master!A:A,SKU_Master!B:B,"Not on master")</f>
        <v>0</v>
      </c>
      <c r="F1349" cm="1">
        <f t="array" ref="F1349">_xlfn.XLOOKUP(C1349,Account_Master!A:A,Account_Master!B:B,"Not on master")</f>
        <v>0</v>
      </c>
      <c r="G1349" cm="1">
        <f t="array" ref="G1349">_xlfn.XLOOKUP(C1349,Account_Master!A:A,Account_Master!C:C,"Not on master")</f>
        <v>0</v>
      </c>
      <c r="H1349" s="6">
        <v>3</v>
      </c>
      <c r="I1349" s="6">
        <v>3</v>
      </c>
      <c r="J1349" s="6">
        <f>I1349-H1349</f>
        <v>0</v>
      </c>
      <c r="K1349" s="5">
        <f>IF(H1349=0,"",J1349/H1349)</f>
        <v>0</v>
      </c>
      <c r="L1349">
        <f>IF(OR(AND(H1349=0,ABS(J1349)&gt;=0.01),AND(H1349&lt;&gt;0,ABS(K1349)&gt;VarianceThreshold)),"Review","OK")</f>
        <v>0</v>
      </c>
      <c r="M1349" t="s">
        <v>33</v>
      </c>
    </row>
    <row r="1350" spans="1:13">
      <c r="A1350" t="s">
        <v>1</v>
      </c>
      <c r="B1350" t="s">
        <v>992</v>
      </c>
      <c r="C1350" t="s">
        <v>1401</v>
      </c>
      <c r="D1350" t="s">
        <v>1560</v>
      </c>
      <c r="E1350" cm="1">
        <f t="array" ref="E1350">_xlfn.XLOOKUP(D1350,SKU_Master!A:A,SKU_Master!B:B,"Not on master")</f>
        <v>0</v>
      </c>
      <c r="F1350" cm="1">
        <f t="array" ref="F1350">_xlfn.XLOOKUP(C1350,Account_Master!A:A,Account_Master!B:B,"Not on master")</f>
        <v>0</v>
      </c>
      <c r="G1350" cm="1">
        <f t="array" ref="G1350">_xlfn.XLOOKUP(C1350,Account_Master!A:A,Account_Master!C:C,"Not on master")</f>
        <v>0</v>
      </c>
      <c r="H1350" s="6">
        <v>24.75</v>
      </c>
      <c r="I1350" s="6">
        <v>24.75</v>
      </c>
      <c r="J1350" s="6">
        <f>I1350-H1350</f>
        <v>0</v>
      </c>
      <c r="K1350" s="5">
        <f>IF(H1350=0,"",J1350/H1350)</f>
        <v>0</v>
      </c>
      <c r="L1350">
        <f>IF(OR(AND(H1350=0,ABS(J1350)&gt;=0.01),AND(H1350&lt;&gt;0,ABS(K1350)&gt;VarianceThreshold)),"Review","OK")</f>
        <v>0</v>
      </c>
      <c r="M1350" t="s">
        <v>33</v>
      </c>
    </row>
    <row r="1351" spans="1:13">
      <c r="A1351" t="s">
        <v>1</v>
      </c>
      <c r="B1351" t="s">
        <v>992</v>
      </c>
      <c r="C1351" t="s">
        <v>1561</v>
      </c>
      <c r="D1351" t="s">
        <v>842</v>
      </c>
      <c r="E1351" cm="1">
        <f t="array" ref="E1351">_xlfn.XLOOKUP(D1351,SKU_Master!A:A,SKU_Master!B:B,"Not on master")</f>
        <v>0</v>
      </c>
      <c r="F1351" cm="1">
        <f t="array" ref="F1351">_xlfn.XLOOKUP(C1351,Account_Master!A:A,Account_Master!B:B,"Not on master")</f>
        <v>0</v>
      </c>
      <c r="G1351" cm="1">
        <f t="array" ref="G1351">_xlfn.XLOOKUP(C1351,Account_Master!A:A,Account_Master!C:C,"Not on master")</f>
        <v>0</v>
      </c>
      <c r="H1351" s="6">
        <v>59.5</v>
      </c>
      <c r="I1351" s="6">
        <v>59.5</v>
      </c>
      <c r="J1351" s="6">
        <f>I1351-H1351</f>
        <v>0</v>
      </c>
      <c r="K1351" s="5">
        <f>IF(H1351=0,"",J1351/H1351)</f>
        <v>0</v>
      </c>
      <c r="L1351">
        <f>IF(OR(AND(H1351=0,ABS(J1351)&gt;=0.01),AND(H1351&lt;&gt;0,ABS(K1351)&gt;VarianceThreshold)),"Review","OK")</f>
        <v>0</v>
      </c>
      <c r="M1351" t="s">
        <v>33</v>
      </c>
    </row>
    <row r="1352" spans="1:13">
      <c r="A1352" t="s">
        <v>1</v>
      </c>
      <c r="B1352" t="s">
        <v>992</v>
      </c>
      <c r="C1352" t="s">
        <v>1036</v>
      </c>
      <c r="D1352" t="s">
        <v>520</v>
      </c>
      <c r="E1352" cm="1">
        <f t="array" ref="E1352">_xlfn.XLOOKUP(D1352,SKU_Master!A:A,SKU_Master!B:B,"Not on master")</f>
        <v>0</v>
      </c>
      <c r="F1352" cm="1">
        <f t="array" ref="F1352">_xlfn.XLOOKUP(C1352,Account_Master!A:A,Account_Master!B:B,"Not on master")</f>
        <v>0</v>
      </c>
      <c r="G1352" cm="1">
        <f t="array" ref="G1352">_xlfn.XLOOKUP(C1352,Account_Master!A:A,Account_Master!C:C,"Not on master")</f>
        <v>0</v>
      </c>
      <c r="H1352" s="6">
        <v>13.5</v>
      </c>
      <c r="I1352" s="6">
        <v>13.5</v>
      </c>
      <c r="J1352" s="6">
        <f>I1352-H1352</f>
        <v>0</v>
      </c>
      <c r="K1352" s="5">
        <f>IF(H1352=0,"",J1352/H1352)</f>
        <v>0</v>
      </c>
      <c r="L1352">
        <f>IF(OR(AND(H1352=0,ABS(J1352)&gt;=0.01),AND(H1352&lt;&gt;0,ABS(K1352)&gt;VarianceThreshold)),"Review","OK")</f>
        <v>0</v>
      </c>
      <c r="M1352" t="s">
        <v>33</v>
      </c>
    </row>
    <row r="1353" spans="1:13">
      <c r="A1353" t="s">
        <v>1</v>
      </c>
      <c r="B1353" t="s">
        <v>1002</v>
      </c>
      <c r="C1353" t="s">
        <v>1010</v>
      </c>
      <c r="D1353" t="s">
        <v>1562</v>
      </c>
      <c r="E1353" cm="1">
        <f t="array" ref="E1353">_xlfn.XLOOKUP(D1353,SKU_Master!A:A,SKU_Master!B:B,"Not on master")</f>
        <v>0</v>
      </c>
      <c r="F1353" cm="1">
        <f t="array" ref="F1353">_xlfn.XLOOKUP(C1353,Account_Master!A:A,Account_Master!B:B,"Not on master")</f>
        <v>0</v>
      </c>
      <c r="G1353" cm="1">
        <f t="array" ref="G1353">_xlfn.XLOOKUP(C1353,Account_Master!A:A,Account_Master!C:C,"Not on master")</f>
        <v>0</v>
      </c>
      <c r="H1353" s="6">
        <v>12</v>
      </c>
      <c r="I1353" s="6">
        <v>12</v>
      </c>
      <c r="J1353" s="6">
        <f>I1353-H1353</f>
        <v>0</v>
      </c>
      <c r="K1353" s="5">
        <f>IF(H1353=0,"",J1353/H1353)</f>
        <v>0</v>
      </c>
      <c r="L1353">
        <f>IF(OR(AND(H1353=0,ABS(J1353)&gt;=0.01),AND(H1353&lt;&gt;0,ABS(K1353)&gt;VarianceThreshold)),"Review","OK")</f>
        <v>0</v>
      </c>
      <c r="M1353" t="s">
        <v>33</v>
      </c>
    </row>
    <row r="1354" spans="1:13">
      <c r="A1354" t="s">
        <v>1</v>
      </c>
      <c r="B1354" t="s">
        <v>1002</v>
      </c>
      <c r="C1354" t="s">
        <v>1024</v>
      </c>
      <c r="D1354" t="s">
        <v>1563</v>
      </c>
      <c r="E1354" cm="1">
        <f t="array" ref="E1354">_xlfn.XLOOKUP(D1354,SKU_Master!A:A,SKU_Master!B:B,"Not on master")</f>
        <v>0</v>
      </c>
      <c r="F1354" cm="1">
        <f t="array" ref="F1354">_xlfn.XLOOKUP(C1354,Account_Master!A:A,Account_Master!B:B,"Not on master")</f>
        <v>0</v>
      </c>
      <c r="G1354" cm="1">
        <f t="array" ref="G1354">_xlfn.XLOOKUP(C1354,Account_Master!A:A,Account_Master!C:C,"Not on master")</f>
        <v>0</v>
      </c>
      <c r="H1354" s="6">
        <v>5.25</v>
      </c>
      <c r="I1354" s="6">
        <v>5.25</v>
      </c>
      <c r="J1354" s="6">
        <f>I1354-H1354</f>
        <v>0</v>
      </c>
      <c r="K1354" s="5">
        <f>IF(H1354=0,"",J1354/H1354)</f>
        <v>0</v>
      </c>
      <c r="L1354">
        <f>IF(OR(AND(H1354=0,ABS(J1354)&gt;=0.01),AND(H1354&lt;&gt;0,ABS(K1354)&gt;VarianceThreshold)),"Review","OK")</f>
        <v>0</v>
      </c>
      <c r="M1354" t="s">
        <v>33</v>
      </c>
    </row>
    <row r="1355" spans="1:13">
      <c r="A1355" t="s">
        <v>1</v>
      </c>
      <c r="B1355" t="s">
        <v>1002</v>
      </c>
      <c r="C1355" t="s">
        <v>1183</v>
      </c>
      <c r="D1355" t="s">
        <v>1564</v>
      </c>
      <c r="E1355" cm="1">
        <f t="array" ref="E1355">_xlfn.XLOOKUP(D1355,SKU_Master!A:A,SKU_Master!B:B,"Not on master")</f>
        <v>0</v>
      </c>
      <c r="F1355" cm="1">
        <f t="array" ref="F1355">_xlfn.XLOOKUP(C1355,Account_Master!A:A,Account_Master!B:B,"Not on master")</f>
        <v>0</v>
      </c>
      <c r="G1355" cm="1">
        <f t="array" ref="G1355">_xlfn.XLOOKUP(C1355,Account_Master!A:A,Account_Master!C:C,"Not on master")</f>
        <v>0</v>
      </c>
      <c r="H1355" s="6">
        <v>18</v>
      </c>
      <c r="I1355" s="6">
        <v>18</v>
      </c>
      <c r="J1355" s="6">
        <f>I1355-H1355</f>
        <v>0</v>
      </c>
      <c r="K1355" s="5">
        <f>IF(H1355=0,"",J1355/H1355)</f>
        <v>0</v>
      </c>
      <c r="L1355">
        <f>IF(OR(AND(H1355=0,ABS(J1355)&gt;=0.01),AND(H1355&lt;&gt;0,ABS(K1355)&gt;VarianceThreshold)),"Review","OK")</f>
        <v>0</v>
      </c>
      <c r="M1355" t="s">
        <v>33</v>
      </c>
    </row>
    <row r="1356" spans="1:13">
      <c r="A1356" t="s">
        <v>1</v>
      </c>
      <c r="B1356" t="s">
        <v>1002</v>
      </c>
      <c r="C1356" t="s">
        <v>1565</v>
      </c>
      <c r="D1356" t="s">
        <v>1566</v>
      </c>
      <c r="E1356" cm="1">
        <f t="array" ref="E1356">_xlfn.XLOOKUP(D1356,SKU_Master!A:A,SKU_Master!B:B,"Not on master")</f>
        <v>0</v>
      </c>
      <c r="F1356" cm="1">
        <f t="array" ref="F1356">_xlfn.XLOOKUP(C1356,Account_Master!A:A,Account_Master!B:B,"Not on master")</f>
        <v>0</v>
      </c>
      <c r="G1356" cm="1">
        <f t="array" ref="G1356">_xlfn.XLOOKUP(C1356,Account_Master!A:A,Account_Master!C:C,"Not on master")</f>
        <v>0</v>
      </c>
      <c r="H1356" s="6">
        <v>68.25</v>
      </c>
      <c r="I1356" s="6">
        <v>68.25</v>
      </c>
      <c r="J1356" s="6">
        <f>I1356-H1356</f>
        <v>0</v>
      </c>
      <c r="K1356" s="5">
        <f>IF(H1356=0,"",J1356/H1356)</f>
        <v>0</v>
      </c>
      <c r="L1356">
        <f>IF(OR(AND(H1356=0,ABS(J1356)&gt;=0.01),AND(H1356&lt;&gt;0,ABS(K1356)&gt;VarianceThreshold)),"Review","OK")</f>
        <v>0</v>
      </c>
      <c r="M1356" t="s">
        <v>33</v>
      </c>
    </row>
    <row r="1357" spans="1:13">
      <c r="A1357" t="s">
        <v>1</v>
      </c>
      <c r="B1357" t="s">
        <v>1002</v>
      </c>
      <c r="C1357" t="s">
        <v>1112</v>
      </c>
      <c r="D1357" t="s">
        <v>1567</v>
      </c>
      <c r="E1357" cm="1">
        <f t="array" ref="E1357">_xlfn.XLOOKUP(D1357,SKU_Master!A:A,SKU_Master!B:B,"Not on master")</f>
        <v>0</v>
      </c>
      <c r="F1357" cm="1">
        <f t="array" ref="F1357">_xlfn.XLOOKUP(C1357,Account_Master!A:A,Account_Master!B:B,"Not on master")</f>
        <v>0</v>
      </c>
      <c r="G1357" cm="1">
        <f t="array" ref="G1357">_xlfn.XLOOKUP(C1357,Account_Master!A:A,Account_Master!C:C,"Not on master")</f>
        <v>0</v>
      </c>
      <c r="H1357" s="6">
        <v>0.1</v>
      </c>
      <c r="I1357" s="6">
        <v>0.1</v>
      </c>
      <c r="J1357" s="6">
        <f>I1357-H1357</f>
        <v>0</v>
      </c>
      <c r="K1357" s="5">
        <f>IF(H1357=0,"",J1357/H1357)</f>
        <v>0</v>
      </c>
      <c r="L1357">
        <f>IF(OR(AND(H1357=0,ABS(J1357)&gt;=0.01),AND(H1357&lt;&gt;0,ABS(K1357)&gt;VarianceThreshold)),"Review","OK")</f>
        <v>0</v>
      </c>
      <c r="M1357" t="s">
        <v>33</v>
      </c>
    </row>
    <row r="1358" spans="1:13">
      <c r="A1358" t="s">
        <v>1</v>
      </c>
      <c r="B1358" t="s">
        <v>1002</v>
      </c>
      <c r="C1358" t="s">
        <v>1027</v>
      </c>
      <c r="D1358" t="s">
        <v>1568</v>
      </c>
      <c r="E1358" cm="1">
        <f t="array" ref="E1358">_xlfn.XLOOKUP(D1358,SKU_Master!A:A,SKU_Master!B:B,"Not on master")</f>
        <v>0</v>
      </c>
      <c r="F1358" cm="1">
        <f t="array" ref="F1358">_xlfn.XLOOKUP(C1358,Account_Master!A:A,Account_Master!B:B,"Not on master")</f>
        <v>0</v>
      </c>
      <c r="G1358" cm="1">
        <f t="array" ref="G1358">_xlfn.XLOOKUP(C1358,Account_Master!A:A,Account_Master!C:C,"Not on master")</f>
        <v>0</v>
      </c>
      <c r="H1358" s="6">
        <v>3.5</v>
      </c>
      <c r="I1358" s="6">
        <v>3.5</v>
      </c>
      <c r="J1358" s="6">
        <f>I1358-H1358</f>
        <v>0</v>
      </c>
      <c r="K1358" s="5">
        <f>IF(H1358=0,"",J1358/H1358)</f>
        <v>0</v>
      </c>
      <c r="L1358">
        <f>IF(OR(AND(H1358=0,ABS(J1358)&gt;=0.01),AND(H1358&lt;&gt;0,ABS(K1358)&gt;VarianceThreshold)),"Review","OK")</f>
        <v>0</v>
      </c>
      <c r="M1358" t="s">
        <v>33</v>
      </c>
    </row>
    <row r="1359" spans="1:13">
      <c r="A1359" t="s">
        <v>1</v>
      </c>
      <c r="B1359" t="s">
        <v>1002</v>
      </c>
      <c r="C1359" t="s">
        <v>1041</v>
      </c>
      <c r="D1359" t="s">
        <v>1569</v>
      </c>
      <c r="E1359" cm="1">
        <f t="array" ref="E1359">_xlfn.XLOOKUP(D1359,SKU_Master!A:A,SKU_Master!B:B,"Not on master")</f>
        <v>0</v>
      </c>
      <c r="F1359" cm="1">
        <f t="array" ref="F1359">_xlfn.XLOOKUP(C1359,Account_Master!A:A,Account_Master!B:B,"Not on master")</f>
        <v>0</v>
      </c>
      <c r="G1359" cm="1">
        <f t="array" ref="G1359">_xlfn.XLOOKUP(C1359,Account_Master!A:A,Account_Master!C:C,"Not on master")</f>
        <v>0</v>
      </c>
      <c r="H1359" s="6">
        <v>12.75</v>
      </c>
      <c r="I1359" s="6">
        <v>12.75</v>
      </c>
      <c r="J1359" s="6">
        <f>I1359-H1359</f>
        <v>0</v>
      </c>
      <c r="K1359" s="5">
        <f>IF(H1359=0,"",J1359/H1359)</f>
        <v>0</v>
      </c>
      <c r="L1359">
        <f>IF(OR(AND(H1359=0,ABS(J1359)&gt;=0.01),AND(H1359&lt;&gt;0,ABS(K1359)&gt;VarianceThreshold)),"Review","OK")</f>
        <v>0</v>
      </c>
      <c r="M1359" t="s">
        <v>33</v>
      </c>
    </row>
    <row r="1360" spans="1:13">
      <c r="A1360" t="s">
        <v>1</v>
      </c>
      <c r="B1360" t="s">
        <v>1002</v>
      </c>
      <c r="C1360" t="s">
        <v>1307</v>
      </c>
      <c r="D1360" t="s">
        <v>1570</v>
      </c>
      <c r="E1360" cm="1">
        <f t="array" ref="E1360">_xlfn.XLOOKUP(D1360,SKU_Master!A:A,SKU_Master!B:B,"Not on master")</f>
        <v>0</v>
      </c>
      <c r="F1360" cm="1">
        <f t="array" ref="F1360">_xlfn.XLOOKUP(C1360,Account_Master!A:A,Account_Master!B:B,"Not on master")</f>
        <v>0</v>
      </c>
      <c r="G1360" cm="1">
        <f t="array" ref="G1360">_xlfn.XLOOKUP(C1360,Account_Master!A:A,Account_Master!C:C,"Not on master")</f>
        <v>0</v>
      </c>
      <c r="H1360" s="6">
        <v>9</v>
      </c>
      <c r="I1360" s="6">
        <v>9</v>
      </c>
      <c r="J1360" s="6">
        <f>I1360-H1360</f>
        <v>0</v>
      </c>
      <c r="K1360" s="5">
        <f>IF(H1360=0,"",J1360/H1360)</f>
        <v>0</v>
      </c>
      <c r="L1360">
        <f>IF(OR(AND(H1360=0,ABS(J1360)&gt;=0.01),AND(H1360&lt;&gt;0,ABS(K1360)&gt;VarianceThreshold)),"Review","OK")</f>
        <v>0</v>
      </c>
      <c r="M1360" t="s">
        <v>33</v>
      </c>
    </row>
    <row r="1361" spans="1:13">
      <c r="A1361" t="s">
        <v>1</v>
      </c>
      <c r="B1361" t="s">
        <v>1002</v>
      </c>
      <c r="C1361" t="s">
        <v>1044</v>
      </c>
      <c r="D1361" t="s">
        <v>130</v>
      </c>
      <c r="E1361" cm="1">
        <f t="array" ref="E1361">_xlfn.XLOOKUP(D1361,SKU_Master!A:A,SKU_Master!B:B,"Not on master")</f>
        <v>0</v>
      </c>
      <c r="F1361" cm="1">
        <f t="array" ref="F1361">_xlfn.XLOOKUP(C1361,Account_Master!A:A,Account_Master!B:B,"Not on master")</f>
        <v>0</v>
      </c>
      <c r="G1361" cm="1">
        <f t="array" ref="G1361">_xlfn.XLOOKUP(C1361,Account_Master!A:A,Account_Master!C:C,"Not on master")</f>
        <v>0</v>
      </c>
      <c r="H1361" s="6">
        <v>24</v>
      </c>
      <c r="I1361" s="6">
        <v>24</v>
      </c>
      <c r="J1361" s="6">
        <f>I1361-H1361</f>
        <v>0</v>
      </c>
      <c r="K1361" s="5">
        <f>IF(H1361=0,"",J1361/H1361)</f>
        <v>0</v>
      </c>
      <c r="L1361">
        <f>IF(OR(AND(H1361=0,ABS(J1361)&gt;=0.01),AND(H1361&lt;&gt;0,ABS(K1361)&gt;VarianceThreshold)),"Review","OK")</f>
        <v>0</v>
      </c>
      <c r="M1361" t="s">
        <v>33</v>
      </c>
    </row>
    <row r="1362" spans="1:13">
      <c r="A1362" t="s">
        <v>1</v>
      </c>
      <c r="B1362" t="s">
        <v>1002</v>
      </c>
      <c r="C1362" t="s">
        <v>1019</v>
      </c>
      <c r="D1362" t="s">
        <v>1571</v>
      </c>
      <c r="E1362" cm="1">
        <f t="array" ref="E1362">_xlfn.XLOOKUP(D1362,SKU_Master!A:A,SKU_Master!B:B,"Not on master")</f>
        <v>0</v>
      </c>
      <c r="F1362" cm="1">
        <f t="array" ref="F1362">_xlfn.XLOOKUP(C1362,Account_Master!A:A,Account_Master!B:B,"Not on master")</f>
        <v>0</v>
      </c>
      <c r="G1362" cm="1">
        <f t="array" ref="G1362">_xlfn.XLOOKUP(C1362,Account_Master!A:A,Account_Master!C:C,"Not on master")</f>
        <v>0</v>
      </c>
      <c r="H1362" s="6">
        <v>12</v>
      </c>
      <c r="I1362" s="6">
        <v>12</v>
      </c>
      <c r="J1362" s="6">
        <f>I1362-H1362</f>
        <v>0</v>
      </c>
      <c r="K1362" s="5">
        <f>IF(H1362=0,"",J1362/H1362)</f>
        <v>0</v>
      </c>
      <c r="L1362">
        <f>IF(OR(AND(H1362=0,ABS(J1362)&gt;=0.01),AND(H1362&lt;&gt;0,ABS(K1362)&gt;VarianceThreshold)),"Review","OK")</f>
        <v>0</v>
      </c>
      <c r="M1362" t="s">
        <v>33</v>
      </c>
    </row>
    <row r="1363" spans="1:13">
      <c r="A1363" t="s">
        <v>1</v>
      </c>
      <c r="B1363" t="s">
        <v>1002</v>
      </c>
      <c r="C1363" t="s">
        <v>1068</v>
      </c>
      <c r="D1363" t="s">
        <v>1572</v>
      </c>
      <c r="E1363" cm="1">
        <f t="array" ref="E1363">_xlfn.XLOOKUP(D1363,SKU_Master!A:A,SKU_Master!B:B,"Not on master")</f>
        <v>0</v>
      </c>
      <c r="F1363" cm="1">
        <f t="array" ref="F1363">_xlfn.XLOOKUP(C1363,Account_Master!A:A,Account_Master!B:B,"Not on master")</f>
        <v>0</v>
      </c>
      <c r="G1363" cm="1">
        <f t="array" ref="G1363">_xlfn.XLOOKUP(C1363,Account_Master!A:A,Account_Master!C:C,"Not on master")</f>
        <v>0</v>
      </c>
      <c r="H1363" s="6">
        <v>30</v>
      </c>
      <c r="I1363" s="6">
        <v>30</v>
      </c>
      <c r="J1363" s="6">
        <f>I1363-H1363</f>
        <v>0</v>
      </c>
      <c r="K1363" s="5">
        <f>IF(H1363=0,"",J1363/H1363)</f>
        <v>0</v>
      </c>
      <c r="L1363">
        <f>IF(OR(AND(H1363=0,ABS(J1363)&gt;=0.01),AND(H1363&lt;&gt;0,ABS(K1363)&gt;VarianceThreshold)),"Review","OK")</f>
        <v>0</v>
      </c>
      <c r="M1363" t="s">
        <v>33</v>
      </c>
    </row>
    <row r="1364" spans="1:13">
      <c r="A1364" t="s">
        <v>1</v>
      </c>
      <c r="B1364" t="s">
        <v>1002</v>
      </c>
      <c r="C1364" t="s">
        <v>1068</v>
      </c>
      <c r="D1364" t="s">
        <v>1573</v>
      </c>
      <c r="E1364" cm="1">
        <f t="array" ref="E1364">_xlfn.XLOOKUP(D1364,SKU_Master!A:A,SKU_Master!B:B,"Not on master")</f>
        <v>0</v>
      </c>
      <c r="F1364" cm="1">
        <f t="array" ref="F1364">_xlfn.XLOOKUP(C1364,Account_Master!A:A,Account_Master!B:B,"Not on master")</f>
        <v>0</v>
      </c>
      <c r="G1364" cm="1">
        <f t="array" ref="G1364">_xlfn.XLOOKUP(C1364,Account_Master!A:A,Account_Master!C:C,"Not on master")</f>
        <v>0</v>
      </c>
      <c r="H1364" s="6">
        <v>4.5</v>
      </c>
      <c r="I1364" s="6">
        <v>4.5</v>
      </c>
      <c r="J1364" s="6">
        <f>I1364-H1364</f>
        <v>0</v>
      </c>
      <c r="K1364" s="5">
        <f>IF(H1364=0,"",J1364/H1364)</f>
        <v>0</v>
      </c>
      <c r="L1364">
        <f>IF(OR(AND(H1364=0,ABS(J1364)&gt;=0.01),AND(H1364&lt;&gt;0,ABS(K1364)&gt;VarianceThreshold)),"Review","OK")</f>
        <v>0</v>
      </c>
      <c r="M1364" t="s">
        <v>33</v>
      </c>
    </row>
    <row r="1365" spans="1:13">
      <c r="A1365" t="s">
        <v>2</v>
      </c>
      <c r="B1365" t="s">
        <v>30</v>
      </c>
      <c r="C1365" t="s">
        <v>1574</v>
      </c>
      <c r="D1365" t="s">
        <v>1575</v>
      </c>
      <c r="E1365" cm="1">
        <f t="array" ref="E1365">_xlfn.XLOOKUP(D1365,SKU_Master!A:A,SKU_Master!B:B,"Not on master")</f>
        <v>0</v>
      </c>
      <c r="F1365" cm="1">
        <f t="array" ref="F1365">_xlfn.XLOOKUP(C1365,Account_Master!A:A,Account_Master!B:B,"Not on master")</f>
        <v>0</v>
      </c>
      <c r="G1365" cm="1">
        <f t="array" ref="G1365">_xlfn.XLOOKUP(C1365,Account_Master!A:A,Account_Master!C:C,"Not on master")</f>
        <v>0</v>
      </c>
      <c r="H1365" s="6">
        <v>700</v>
      </c>
      <c r="I1365" s="6">
        <v>700</v>
      </c>
      <c r="J1365" s="6">
        <f>I1365-H1365</f>
        <v>0</v>
      </c>
      <c r="K1365" s="5">
        <f>IF(H1365=0,"",J1365/H1365)</f>
        <v>0</v>
      </c>
      <c r="L1365">
        <f>IF(OR(AND(H1365=0,ABS(J1365)&gt;=0.01),AND(H1365&lt;&gt;0,ABS(K1365)&gt;VarianceThreshold)),"Review","OK")</f>
        <v>0</v>
      </c>
      <c r="M1365" t="s">
        <v>33</v>
      </c>
    </row>
    <row r="1366" spans="1:13">
      <c r="A1366" t="s">
        <v>2</v>
      </c>
      <c r="B1366" t="s">
        <v>30</v>
      </c>
      <c r="C1366" t="s">
        <v>1576</v>
      </c>
      <c r="D1366" t="s">
        <v>742</v>
      </c>
      <c r="E1366" cm="1">
        <f t="array" ref="E1366">_xlfn.XLOOKUP(D1366,SKU_Master!A:A,SKU_Master!B:B,"Not on master")</f>
        <v>0</v>
      </c>
      <c r="F1366" cm="1">
        <f t="array" ref="F1366">_xlfn.XLOOKUP(C1366,Account_Master!A:A,Account_Master!B:B,"Not on master")</f>
        <v>0</v>
      </c>
      <c r="G1366" cm="1">
        <f t="array" ref="G1366">_xlfn.XLOOKUP(C1366,Account_Master!A:A,Account_Master!C:C,"Not on master")</f>
        <v>0</v>
      </c>
      <c r="H1366" s="6">
        <v>11.25</v>
      </c>
      <c r="I1366" s="6">
        <v>11.25</v>
      </c>
      <c r="J1366" s="6">
        <f>I1366-H1366</f>
        <v>0</v>
      </c>
      <c r="K1366" s="5">
        <f>IF(H1366=0,"",J1366/H1366)</f>
        <v>0</v>
      </c>
      <c r="L1366">
        <f>IF(OR(AND(H1366=0,ABS(J1366)&gt;=0.01),AND(H1366&lt;&gt;0,ABS(K1366)&gt;VarianceThreshold)),"Review","OK")</f>
        <v>0</v>
      </c>
      <c r="M1366" t="s">
        <v>33</v>
      </c>
    </row>
    <row r="1367" spans="1:13">
      <c r="A1367" t="s">
        <v>2</v>
      </c>
      <c r="B1367" t="s">
        <v>30</v>
      </c>
      <c r="C1367" t="s">
        <v>1577</v>
      </c>
      <c r="D1367" t="s">
        <v>1385</v>
      </c>
      <c r="E1367" cm="1">
        <f t="array" ref="E1367">_xlfn.XLOOKUP(D1367,SKU_Master!A:A,SKU_Master!B:B,"Not on master")</f>
        <v>0</v>
      </c>
      <c r="F1367" cm="1">
        <f t="array" ref="F1367">_xlfn.XLOOKUP(C1367,Account_Master!A:A,Account_Master!B:B,"Not on master")</f>
        <v>0</v>
      </c>
      <c r="G1367" cm="1">
        <f t="array" ref="G1367">_xlfn.XLOOKUP(C1367,Account_Master!A:A,Account_Master!C:C,"Not on master")</f>
        <v>0</v>
      </c>
      <c r="H1367" s="6">
        <v>0.15</v>
      </c>
      <c r="I1367" s="6">
        <v>0.15</v>
      </c>
      <c r="J1367" s="6">
        <f>I1367-H1367</f>
        <v>0</v>
      </c>
      <c r="K1367" s="5">
        <f>IF(H1367=0,"",J1367/H1367)</f>
        <v>0</v>
      </c>
      <c r="L1367">
        <f>IF(OR(AND(H1367=0,ABS(J1367)&gt;=0.01),AND(H1367&lt;&gt;0,ABS(K1367)&gt;VarianceThreshold)),"Review","OK")</f>
        <v>0</v>
      </c>
      <c r="M1367" t="s">
        <v>33</v>
      </c>
    </row>
    <row r="1368" spans="1:13">
      <c r="A1368" t="s">
        <v>2</v>
      </c>
      <c r="B1368" t="s">
        <v>47</v>
      </c>
      <c r="C1368" t="s">
        <v>1578</v>
      </c>
      <c r="D1368" t="s">
        <v>1579</v>
      </c>
      <c r="E1368" cm="1">
        <f t="array" ref="E1368">_xlfn.XLOOKUP(D1368,SKU_Master!A:A,SKU_Master!B:B,"Not on master")</f>
        <v>0</v>
      </c>
      <c r="F1368" cm="1">
        <f t="array" ref="F1368">_xlfn.XLOOKUP(C1368,Account_Master!A:A,Account_Master!B:B,"Not on master")</f>
        <v>0</v>
      </c>
      <c r="G1368" cm="1">
        <f t="array" ref="G1368">_xlfn.XLOOKUP(C1368,Account_Master!A:A,Account_Master!C:C,"Not on master")</f>
        <v>0</v>
      </c>
      <c r="H1368" s="6">
        <v>1.5</v>
      </c>
      <c r="I1368" s="6">
        <v>1.5</v>
      </c>
      <c r="J1368" s="6">
        <f>I1368-H1368</f>
        <v>0</v>
      </c>
      <c r="K1368" s="5">
        <f>IF(H1368=0,"",J1368/H1368)</f>
        <v>0</v>
      </c>
      <c r="L1368">
        <f>IF(OR(AND(H1368=0,ABS(J1368)&gt;=0.01),AND(H1368&lt;&gt;0,ABS(K1368)&gt;VarianceThreshold)),"Review","OK")</f>
        <v>0</v>
      </c>
      <c r="M1368" t="s">
        <v>33</v>
      </c>
    </row>
    <row r="1369" spans="1:13">
      <c r="A1369" t="s">
        <v>2</v>
      </c>
      <c r="B1369" t="s">
        <v>47</v>
      </c>
      <c r="C1369" t="s">
        <v>1580</v>
      </c>
      <c r="D1369" t="s">
        <v>737</v>
      </c>
      <c r="E1369" cm="1">
        <f t="array" ref="E1369">_xlfn.XLOOKUP(D1369,SKU_Master!A:A,SKU_Master!B:B,"Not on master")</f>
        <v>0</v>
      </c>
      <c r="F1369" cm="1">
        <f t="array" ref="F1369">_xlfn.XLOOKUP(C1369,Account_Master!A:A,Account_Master!B:B,"Not on master")</f>
        <v>0</v>
      </c>
      <c r="G1369" cm="1">
        <f t="array" ref="G1369">_xlfn.XLOOKUP(C1369,Account_Master!A:A,Account_Master!C:C,"Not on master")</f>
        <v>0</v>
      </c>
      <c r="H1369" s="6">
        <v>575.75</v>
      </c>
      <c r="I1369" s="6">
        <v>565.25</v>
      </c>
      <c r="J1369" s="6">
        <f>I1369-H1369</f>
        <v>0</v>
      </c>
      <c r="K1369" s="5">
        <f>IF(H1369=0,"",J1369/H1369)</f>
        <v>0</v>
      </c>
      <c r="L1369">
        <f>IF(OR(AND(H1369=0,ABS(J1369)&gt;=0.01),AND(H1369&lt;&gt;0,ABS(K1369)&gt;VarianceThreshold)),"Review","OK")</f>
        <v>0</v>
      </c>
      <c r="M1369" t="s">
        <v>33</v>
      </c>
    </row>
    <row r="1370" spans="1:13">
      <c r="A1370" t="s">
        <v>2</v>
      </c>
      <c r="B1370" t="s">
        <v>47</v>
      </c>
      <c r="C1370" t="s">
        <v>1581</v>
      </c>
      <c r="D1370" t="s">
        <v>1582</v>
      </c>
      <c r="E1370" cm="1">
        <f t="array" ref="E1370">_xlfn.XLOOKUP(D1370,SKU_Master!A:A,SKU_Master!B:B,"Not on master")</f>
        <v>0</v>
      </c>
      <c r="F1370" cm="1">
        <f t="array" ref="F1370">_xlfn.XLOOKUP(C1370,Account_Master!A:A,Account_Master!B:B,"Not on master")</f>
        <v>0</v>
      </c>
      <c r="G1370" cm="1">
        <f t="array" ref="G1370">_xlfn.XLOOKUP(C1370,Account_Master!A:A,Account_Master!C:C,"Not on master")</f>
        <v>0</v>
      </c>
      <c r="H1370" s="6">
        <v>1.12</v>
      </c>
      <c r="I1370" s="6">
        <v>1.12</v>
      </c>
      <c r="J1370" s="6">
        <f>I1370-H1370</f>
        <v>0</v>
      </c>
      <c r="K1370" s="5">
        <f>IF(H1370=0,"",J1370/H1370)</f>
        <v>0</v>
      </c>
      <c r="L1370">
        <f>IF(OR(AND(H1370=0,ABS(J1370)&gt;=0.01),AND(H1370&lt;&gt;0,ABS(K1370)&gt;VarianceThreshold)),"Review","OK")</f>
        <v>0</v>
      </c>
      <c r="M1370" t="s">
        <v>33</v>
      </c>
    </row>
    <row r="1371" spans="1:13">
      <c r="A1371" t="s">
        <v>2</v>
      </c>
      <c r="B1371" t="s">
        <v>47</v>
      </c>
      <c r="C1371" t="s">
        <v>1583</v>
      </c>
      <c r="D1371" t="s">
        <v>1584</v>
      </c>
      <c r="E1371" cm="1">
        <f t="array" ref="E1371">_xlfn.XLOOKUP(D1371,SKU_Master!A:A,SKU_Master!B:B,"Not on master")</f>
        <v>0</v>
      </c>
      <c r="F1371" cm="1">
        <f t="array" ref="F1371">_xlfn.XLOOKUP(C1371,Account_Master!A:A,Account_Master!B:B,"Not on master")</f>
        <v>0</v>
      </c>
      <c r="G1371" cm="1">
        <f t="array" ref="G1371">_xlfn.XLOOKUP(C1371,Account_Master!A:A,Account_Master!C:C,"Not on master")</f>
        <v>0</v>
      </c>
      <c r="H1371" s="6">
        <v>6</v>
      </c>
      <c r="I1371" s="6">
        <v>6</v>
      </c>
      <c r="J1371" s="6">
        <f>I1371-H1371</f>
        <v>0</v>
      </c>
      <c r="K1371" s="5">
        <f>IF(H1371=0,"",J1371/H1371)</f>
        <v>0</v>
      </c>
      <c r="L1371">
        <f>IF(OR(AND(H1371=0,ABS(J1371)&gt;=0.01),AND(H1371&lt;&gt;0,ABS(K1371)&gt;VarianceThreshold)),"Review","OK")</f>
        <v>0</v>
      </c>
      <c r="M1371" t="s">
        <v>33</v>
      </c>
    </row>
    <row r="1372" spans="1:13">
      <c r="A1372" t="s">
        <v>2</v>
      </c>
      <c r="B1372" t="s">
        <v>47</v>
      </c>
      <c r="C1372" t="s">
        <v>1576</v>
      </c>
      <c r="D1372" t="s">
        <v>1585</v>
      </c>
      <c r="E1372" cm="1">
        <f t="array" ref="E1372">_xlfn.XLOOKUP(D1372,SKU_Master!A:A,SKU_Master!B:B,"Not on master")</f>
        <v>0</v>
      </c>
      <c r="F1372" cm="1">
        <f t="array" ref="F1372">_xlfn.XLOOKUP(C1372,Account_Master!A:A,Account_Master!B:B,"Not on master")</f>
        <v>0</v>
      </c>
      <c r="G1372" cm="1">
        <f t="array" ref="G1372">_xlfn.XLOOKUP(C1372,Account_Master!A:A,Account_Master!C:C,"Not on master")</f>
        <v>0</v>
      </c>
      <c r="H1372" s="6">
        <v>21</v>
      </c>
      <c r="I1372" s="6">
        <v>21</v>
      </c>
      <c r="J1372" s="6">
        <f>I1372-H1372</f>
        <v>0</v>
      </c>
      <c r="K1372" s="5">
        <f>IF(H1372=0,"",J1372/H1372)</f>
        <v>0</v>
      </c>
      <c r="L1372">
        <f>IF(OR(AND(H1372=0,ABS(J1372)&gt;=0.01),AND(H1372&lt;&gt;0,ABS(K1372)&gt;VarianceThreshold)),"Review","OK")</f>
        <v>0</v>
      </c>
      <c r="M1372" t="s">
        <v>33</v>
      </c>
    </row>
    <row r="1373" spans="1:13">
      <c r="A1373" t="s">
        <v>2</v>
      </c>
      <c r="B1373" t="s">
        <v>47</v>
      </c>
      <c r="C1373" t="s">
        <v>1586</v>
      </c>
      <c r="D1373" t="s">
        <v>1587</v>
      </c>
      <c r="E1373" cm="1">
        <f t="array" ref="E1373">_xlfn.XLOOKUP(D1373,SKU_Master!A:A,SKU_Master!B:B,"Not on master")</f>
        <v>0</v>
      </c>
      <c r="F1373" cm="1">
        <f t="array" ref="F1373">_xlfn.XLOOKUP(C1373,Account_Master!A:A,Account_Master!B:B,"Not on master")</f>
        <v>0</v>
      </c>
      <c r="G1373" cm="1">
        <f t="array" ref="G1373">_xlfn.XLOOKUP(C1373,Account_Master!A:A,Account_Master!C:C,"Not on master")</f>
        <v>0</v>
      </c>
      <c r="H1373" s="6">
        <v>6</v>
      </c>
      <c r="I1373" s="6">
        <v>6</v>
      </c>
      <c r="J1373" s="6">
        <f>I1373-H1373</f>
        <v>0</v>
      </c>
      <c r="K1373" s="5">
        <f>IF(H1373=0,"",J1373/H1373)</f>
        <v>0</v>
      </c>
      <c r="L1373">
        <f>IF(OR(AND(H1373=0,ABS(J1373)&gt;=0.01),AND(H1373&lt;&gt;0,ABS(K1373)&gt;VarianceThreshold)),"Review","OK")</f>
        <v>0</v>
      </c>
      <c r="M1373" t="s">
        <v>33</v>
      </c>
    </row>
    <row r="1374" spans="1:13">
      <c r="A1374" t="s">
        <v>2</v>
      </c>
      <c r="B1374" t="s">
        <v>62</v>
      </c>
      <c r="C1374" t="s">
        <v>1588</v>
      </c>
      <c r="D1374" t="s">
        <v>800</v>
      </c>
      <c r="E1374" cm="1">
        <f t="array" ref="E1374">_xlfn.XLOOKUP(D1374,SKU_Master!A:A,SKU_Master!B:B,"Not on master")</f>
        <v>0</v>
      </c>
      <c r="F1374" cm="1">
        <f t="array" ref="F1374">_xlfn.XLOOKUP(C1374,Account_Master!A:A,Account_Master!B:B,"Not on master")</f>
        <v>0</v>
      </c>
      <c r="G1374" cm="1">
        <f t="array" ref="G1374">_xlfn.XLOOKUP(C1374,Account_Master!A:A,Account_Master!C:C,"Not on master")</f>
        <v>0</v>
      </c>
      <c r="H1374" s="6">
        <v>7.15</v>
      </c>
      <c r="I1374" s="6">
        <v>6.95</v>
      </c>
      <c r="J1374" s="6">
        <f>I1374-H1374</f>
        <v>0</v>
      </c>
      <c r="K1374" s="5">
        <f>IF(H1374=0,"",J1374/H1374)</f>
        <v>0</v>
      </c>
      <c r="L1374">
        <f>IF(OR(AND(H1374=0,ABS(J1374)&gt;=0.01),AND(H1374&lt;&gt;0,ABS(K1374)&gt;VarianceThreshold)),"Review","OK")</f>
        <v>0</v>
      </c>
      <c r="M1374" t="s">
        <v>33</v>
      </c>
    </row>
    <row r="1375" spans="1:13">
      <c r="A1375" t="s">
        <v>2</v>
      </c>
      <c r="B1375" t="s">
        <v>62</v>
      </c>
      <c r="C1375" t="s">
        <v>1576</v>
      </c>
      <c r="D1375" t="s">
        <v>1589</v>
      </c>
      <c r="E1375" cm="1">
        <f t="array" ref="E1375">_xlfn.XLOOKUP(D1375,SKU_Master!A:A,SKU_Master!B:B,"Not on master")</f>
        <v>0</v>
      </c>
      <c r="F1375" cm="1">
        <f t="array" ref="F1375">_xlfn.XLOOKUP(C1375,Account_Master!A:A,Account_Master!B:B,"Not on master")</f>
        <v>0</v>
      </c>
      <c r="G1375" cm="1">
        <f t="array" ref="G1375">_xlfn.XLOOKUP(C1375,Account_Master!A:A,Account_Master!C:C,"Not on master")</f>
        <v>0</v>
      </c>
      <c r="H1375" s="6">
        <v>0.2</v>
      </c>
      <c r="I1375" s="6">
        <v>0.2</v>
      </c>
      <c r="J1375" s="6">
        <f>I1375-H1375</f>
        <v>0</v>
      </c>
      <c r="K1375" s="5">
        <f>IF(H1375=0,"",J1375/H1375)</f>
        <v>0</v>
      </c>
      <c r="L1375">
        <f>IF(OR(AND(H1375=0,ABS(J1375)&gt;=0.01),AND(H1375&lt;&gt;0,ABS(K1375)&gt;VarianceThreshold)),"Review","OK")</f>
        <v>0</v>
      </c>
      <c r="M1375" t="s">
        <v>33</v>
      </c>
    </row>
    <row r="1376" spans="1:13">
      <c r="A1376" t="s">
        <v>2</v>
      </c>
      <c r="B1376" t="s">
        <v>62</v>
      </c>
      <c r="C1376" t="s">
        <v>1586</v>
      </c>
      <c r="D1376" t="s">
        <v>159</v>
      </c>
      <c r="E1376" cm="1">
        <f t="array" ref="E1376">_xlfn.XLOOKUP(D1376,SKU_Master!A:A,SKU_Master!B:B,"Not on master")</f>
        <v>0</v>
      </c>
      <c r="F1376" cm="1">
        <f t="array" ref="F1376">_xlfn.XLOOKUP(C1376,Account_Master!A:A,Account_Master!B:B,"Not on master")</f>
        <v>0</v>
      </c>
      <c r="G1376" cm="1">
        <f t="array" ref="G1376">_xlfn.XLOOKUP(C1376,Account_Master!A:A,Account_Master!C:C,"Not on master")</f>
        <v>0</v>
      </c>
      <c r="H1376" s="6">
        <v>12</v>
      </c>
      <c r="I1376" s="6">
        <v>12</v>
      </c>
      <c r="J1376" s="6">
        <f>I1376-H1376</f>
        <v>0</v>
      </c>
      <c r="K1376" s="5">
        <f>IF(H1376=0,"",J1376/H1376)</f>
        <v>0</v>
      </c>
      <c r="L1376">
        <f>IF(OR(AND(H1376=0,ABS(J1376)&gt;=0.01),AND(H1376&lt;&gt;0,ABS(K1376)&gt;VarianceThreshold)),"Review","OK")</f>
        <v>0</v>
      </c>
      <c r="M1376" t="s">
        <v>33</v>
      </c>
    </row>
    <row r="1377" spans="1:13">
      <c r="A1377" t="s">
        <v>2</v>
      </c>
      <c r="B1377" t="s">
        <v>62</v>
      </c>
      <c r="C1377" t="s">
        <v>1590</v>
      </c>
      <c r="D1377" t="s">
        <v>1591</v>
      </c>
      <c r="E1377" cm="1">
        <f t="array" ref="E1377">_xlfn.XLOOKUP(D1377,SKU_Master!A:A,SKU_Master!B:B,"Not on master")</f>
        <v>0</v>
      </c>
      <c r="F1377" cm="1">
        <f t="array" ref="F1377">_xlfn.XLOOKUP(C1377,Account_Master!A:A,Account_Master!B:B,"Not on master")</f>
        <v>0</v>
      </c>
      <c r="G1377" cm="1">
        <f t="array" ref="G1377">_xlfn.XLOOKUP(C1377,Account_Master!A:A,Account_Master!C:C,"Not on master")</f>
        <v>0</v>
      </c>
      <c r="H1377" s="6">
        <v>5.25</v>
      </c>
      <c r="I1377" s="6">
        <v>5.25</v>
      </c>
      <c r="J1377" s="6">
        <f>I1377-H1377</f>
        <v>0</v>
      </c>
      <c r="K1377" s="5">
        <f>IF(H1377=0,"",J1377/H1377)</f>
        <v>0</v>
      </c>
      <c r="L1377">
        <f>IF(OR(AND(H1377=0,ABS(J1377)&gt;=0.01),AND(H1377&lt;&gt;0,ABS(K1377)&gt;VarianceThreshold)),"Review","OK")</f>
        <v>0</v>
      </c>
      <c r="M1377" t="s">
        <v>33</v>
      </c>
    </row>
    <row r="1378" spans="1:13">
      <c r="A1378" t="s">
        <v>2</v>
      </c>
      <c r="B1378" t="s">
        <v>71</v>
      </c>
      <c r="C1378" t="s">
        <v>1592</v>
      </c>
      <c r="D1378" t="s">
        <v>1593</v>
      </c>
      <c r="E1378" cm="1">
        <f t="array" ref="E1378">_xlfn.XLOOKUP(D1378,SKU_Master!A:A,SKU_Master!B:B,"Not on master")</f>
        <v>0</v>
      </c>
      <c r="F1378" cm="1">
        <f t="array" ref="F1378">_xlfn.XLOOKUP(C1378,Account_Master!A:A,Account_Master!B:B,"Not on master")</f>
        <v>0</v>
      </c>
      <c r="G1378" cm="1">
        <f t="array" ref="G1378">_xlfn.XLOOKUP(C1378,Account_Master!A:A,Account_Master!C:C,"Not on master")</f>
        <v>0</v>
      </c>
      <c r="H1378" s="6">
        <v>9</v>
      </c>
      <c r="I1378" s="6">
        <v>9</v>
      </c>
      <c r="J1378" s="6">
        <f>I1378-H1378</f>
        <v>0</v>
      </c>
      <c r="K1378" s="5">
        <f>IF(H1378=0,"",J1378/H1378)</f>
        <v>0</v>
      </c>
      <c r="L1378">
        <f>IF(OR(AND(H1378=0,ABS(J1378)&gt;=0.01),AND(H1378&lt;&gt;0,ABS(K1378)&gt;VarianceThreshold)),"Review","OK")</f>
        <v>0</v>
      </c>
      <c r="M1378" t="s">
        <v>33</v>
      </c>
    </row>
    <row r="1379" spans="1:13">
      <c r="A1379" t="s">
        <v>2</v>
      </c>
      <c r="B1379" t="s">
        <v>71</v>
      </c>
      <c r="C1379" t="s">
        <v>1594</v>
      </c>
      <c r="D1379" t="s">
        <v>555</v>
      </c>
      <c r="E1379" cm="1">
        <f t="array" ref="E1379">_xlfn.XLOOKUP(D1379,SKU_Master!A:A,SKU_Master!B:B,"Not on master")</f>
        <v>0</v>
      </c>
      <c r="F1379" cm="1">
        <f t="array" ref="F1379">_xlfn.XLOOKUP(C1379,Account_Master!A:A,Account_Master!B:B,"Not on master")</f>
        <v>0</v>
      </c>
      <c r="G1379" cm="1">
        <f t="array" ref="G1379">_xlfn.XLOOKUP(C1379,Account_Master!A:A,Account_Master!C:C,"Not on master")</f>
        <v>0</v>
      </c>
      <c r="H1379" s="6">
        <v>0.75</v>
      </c>
      <c r="I1379" s="6">
        <v>0.75</v>
      </c>
      <c r="J1379" s="6">
        <f>I1379-H1379</f>
        <v>0</v>
      </c>
      <c r="K1379" s="5">
        <f>IF(H1379=0,"",J1379/H1379)</f>
        <v>0</v>
      </c>
      <c r="L1379">
        <f>IF(OR(AND(H1379=0,ABS(J1379)&gt;=0.01),AND(H1379&lt;&gt;0,ABS(K1379)&gt;VarianceThreshold)),"Review","OK")</f>
        <v>0</v>
      </c>
      <c r="M1379" t="s">
        <v>33</v>
      </c>
    </row>
    <row r="1380" spans="1:13">
      <c r="A1380" t="s">
        <v>2</v>
      </c>
      <c r="B1380" t="s">
        <v>71</v>
      </c>
      <c r="C1380" t="s">
        <v>1595</v>
      </c>
      <c r="D1380" t="s">
        <v>1596</v>
      </c>
      <c r="E1380" cm="1">
        <f t="array" ref="E1380">_xlfn.XLOOKUP(D1380,SKU_Master!A:A,SKU_Master!B:B,"Not on master")</f>
        <v>0</v>
      </c>
      <c r="F1380" cm="1">
        <f t="array" ref="F1380">_xlfn.XLOOKUP(C1380,Account_Master!A:A,Account_Master!B:B,"Not on master")</f>
        <v>0</v>
      </c>
      <c r="G1380" cm="1">
        <f t="array" ref="G1380">_xlfn.XLOOKUP(C1380,Account_Master!A:A,Account_Master!C:C,"Not on master")</f>
        <v>0</v>
      </c>
      <c r="H1380" s="6">
        <v>0.9</v>
      </c>
      <c r="I1380" s="6">
        <v>0.9</v>
      </c>
      <c r="J1380" s="6">
        <f>I1380-H1380</f>
        <v>0</v>
      </c>
      <c r="K1380" s="5">
        <f>IF(H1380=0,"",J1380/H1380)</f>
        <v>0</v>
      </c>
      <c r="L1380">
        <f>IF(OR(AND(H1380=0,ABS(J1380)&gt;=0.01),AND(H1380&lt;&gt;0,ABS(K1380)&gt;VarianceThreshold)),"Review","OK")</f>
        <v>0</v>
      </c>
      <c r="M1380" t="s">
        <v>33</v>
      </c>
    </row>
    <row r="1381" spans="1:13">
      <c r="A1381" t="s">
        <v>2</v>
      </c>
      <c r="B1381" t="s">
        <v>71</v>
      </c>
      <c r="C1381" t="s">
        <v>1597</v>
      </c>
      <c r="D1381" t="s">
        <v>1598</v>
      </c>
      <c r="E1381" cm="1">
        <f t="array" ref="E1381">_xlfn.XLOOKUP(D1381,SKU_Master!A:A,SKU_Master!B:B,"Not on master")</f>
        <v>0</v>
      </c>
      <c r="F1381" cm="1">
        <f t="array" ref="F1381">_xlfn.XLOOKUP(C1381,Account_Master!A:A,Account_Master!B:B,"Not on master")</f>
        <v>0</v>
      </c>
      <c r="G1381" cm="1">
        <f t="array" ref="G1381">_xlfn.XLOOKUP(C1381,Account_Master!A:A,Account_Master!C:C,"Not on master")</f>
        <v>0</v>
      </c>
      <c r="H1381" s="6">
        <v>0.75</v>
      </c>
      <c r="I1381" s="6">
        <v>0.75</v>
      </c>
      <c r="J1381" s="6">
        <f>I1381-H1381</f>
        <v>0</v>
      </c>
      <c r="K1381" s="5">
        <f>IF(H1381=0,"",J1381/H1381)</f>
        <v>0</v>
      </c>
      <c r="L1381">
        <f>IF(OR(AND(H1381=0,ABS(J1381)&gt;=0.01),AND(H1381&lt;&gt;0,ABS(K1381)&gt;VarianceThreshold)),"Review","OK")</f>
        <v>0</v>
      </c>
      <c r="M1381" t="s">
        <v>33</v>
      </c>
    </row>
    <row r="1382" spans="1:13">
      <c r="A1382" t="s">
        <v>2</v>
      </c>
      <c r="B1382" t="s">
        <v>71</v>
      </c>
      <c r="C1382" t="s">
        <v>1599</v>
      </c>
      <c r="D1382" t="s">
        <v>1600</v>
      </c>
      <c r="E1382" cm="1">
        <f t="array" ref="E1382">_xlfn.XLOOKUP(D1382,SKU_Master!A:A,SKU_Master!B:B,"Not on master")</f>
        <v>0</v>
      </c>
      <c r="F1382" cm="1">
        <f t="array" ref="F1382">_xlfn.XLOOKUP(C1382,Account_Master!A:A,Account_Master!B:B,"Not on master")</f>
        <v>0</v>
      </c>
      <c r="G1382" cm="1">
        <f t="array" ref="G1382">_xlfn.XLOOKUP(C1382,Account_Master!A:A,Account_Master!C:C,"Not on master")</f>
        <v>0</v>
      </c>
      <c r="H1382" s="6">
        <v>0.05</v>
      </c>
      <c r="I1382" s="6">
        <v>0.05</v>
      </c>
      <c r="J1382" s="6">
        <f>I1382-H1382</f>
        <v>0</v>
      </c>
      <c r="K1382" s="5">
        <f>IF(H1382=0,"",J1382/H1382)</f>
        <v>0</v>
      </c>
      <c r="L1382">
        <f>IF(OR(AND(H1382=0,ABS(J1382)&gt;=0.01),AND(H1382&lt;&gt;0,ABS(K1382)&gt;VarianceThreshold)),"Review","OK")</f>
        <v>0</v>
      </c>
      <c r="M1382" t="s">
        <v>33</v>
      </c>
    </row>
    <row r="1383" spans="1:13">
      <c r="A1383" t="s">
        <v>2</v>
      </c>
      <c r="B1383" t="s">
        <v>86</v>
      </c>
      <c r="C1383" t="s">
        <v>1601</v>
      </c>
      <c r="D1383" t="s">
        <v>540</v>
      </c>
      <c r="E1383" cm="1">
        <f t="array" ref="E1383">_xlfn.XLOOKUP(D1383,SKU_Master!A:A,SKU_Master!B:B,"Not on master")</f>
        <v>0</v>
      </c>
      <c r="F1383" cm="1">
        <f t="array" ref="F1383">_xlfn.XLOOKUP(C1383,Account_Master!A:A,Account_Master!B:B,"Not on master")</f>
        <v>0</v>
      </c>
      <c r="G1383" cm="1">
        <f t="array" ref="G1383">_xlfn.XLOOKUP(C1383,Account_Master!A:A,Account_Master!C:C,"Not on master")</f>
        <v>0</v>
      </c>
      <c r="H1383" s="6">
        <v>9</v>
      </c>
      <c r="I1383" s="6">
        <v>9</v>
      </c>
      <c r="J1383" s="6">
        <f>I1383-H1383</f>
        <v>0</v>
      </c>
      <c r="K1383" s="5">
        <f>IF(H1383=0,"",J1383/H1383)</f>
        <v>0</v>
      </c>
      <c r="L1383">
        <f>IF(OR(AND(H1383=0,ABS(J1383)&gt;=0.01),AND(H1383&lt;&gt;0,ABS(K1383)&gt;VarianceThreshold)),"Review","OK")</f>
        <v>0</v>
      </c>
      <c r="M1383" t="s">
        <v>33</v>
      </c>
    </row>
    <row r="1384" spans="1:13">
      <c r="A1384" t="s">
        <v>2</v>
      </c>
      <c r="B1384" t="s">
        <v>86</v>
      </c>
      <c r="C1384" t="s">
        <v>1602</v>
      </c>
      <c r="D1384" t="s">
        <v>748</v>
      </c>
      <c r="E1384" cm="1">
        <f t="array" ref="E1384">_xlfn.XLOOKUP(D1384,SKU_Master!A:A,SKU_Master!B:B,"Not on master")</f>
        <v>0</v>
      </c>
      <c r="F1384" cm="1">
        <f t="array" ref="F1384">_xlfn.XLOOKUP(C1384,Account_Master!A:A,Account_Master!B:B,"Not on master")</f>
        <v>0</v>
      </c>
      <c r="G1384" cm="1">
        <f t="array" ref="G1384">_xlfn.XLOOKUP(C1384,Account_Master!A:A,Account_Master!C:C,"Not on master")</f>
        <v>0</v>
      </c>
      <c r="H1384" s="6">
        <v>31.5</v>
      </c>
      <c r="I1384" s="6">
        <v>31.5</v>
      </c>
      <c r="J1384" s="6">
        <f>I1384-H1384</f>
        <v>0</v>
      </c>
      <c r="K1384" s="5">
        <f>IF(H1384=0,"",J1384/H1384)</f>
        <v>0</v>
      </c>
      <c r="L1384">
        <f>IF(OR(AND(H1384=0,ABS(J1384)&gt;=0.01),AND(H1384&lt;&gt;0,ABS(K1384)&gt;VarianceThreshold)),"Review","OK")</f>
        <v>0</v>
      </c>
      <c r="M1384" t="s">
        <v>33</v>
      </c>
    </row>
    <row r="1385" spans="1:13">
      <c r="A1385" t="s">
        <v>2</v>
      </c>
      <c r="B1385" t="s">
        <v>86</v>
      </c>
      <c r="C1385" t="s">
        <v>1603</v>
      </c>
      <c r="D1385" t="s">
        <v>1604</v>
      </c>
      <c r="E1385" cm="1">
        <f t="array" ref="E1385">_xlfn.XLOOKUP(D1385,SKU_Master!A:A,SKU_Master!B:B,"Not on master")</f>
        <v>0</v>
      </c>
      <c r="F1385" cm="1">
        <f t="array" ref="F1385">_xlfn.XLOOKUP(C1385,Account_Master!A:A,Account_Master!B:B,"Not on master")</f>
        <v>0</v>
      </c>
      <c r="G1385" cm="1">
        <f t="array" ref="G1385">_xlfn.XLOOKUP(C1385,Account_Master!A:A,Account_Master!C:C,"Not on master")</f>
        <v>0</v>
      </c>
      <c r="H1385" s="6">
        <v>4.8</v>
      </c>
      <c r="I1385" s="6">
        <v>4.8</v>
      </c>
      <c r="J1385" s="6">
        <f>I1385-H1385</f>
        <v>0</v>
      </c>
      <c r="K1385" s="5">
        <f>IF(H1385=0,"",J1385/H1385)</f>
        <v>0</v>
      </c>
      <c r="L1385">
        <f>IF(OR(AND(H1385=0,ABS(J1385)&gt;=0.01),AND(H1385&lt;&gt;0,ABS(K1385)&gt;VarianceThreshold)),"Review","OK")</f>
        <v>0</v>
      </c>
      <c r="M1385" t="s">
        <v>33</v>
      </c>
    </row>
    <row r="1386" spans="1:13">
      <c r="A1386" t="s">
        <v>2</v>
      </c>
      <c r="B1386" t="s">
        <v>86</v>
      </c>
      <c r="C1386" t="s">
        <v>1605</v>
      </c>
      <c r="D1386" t="s">
        <v>341</v>
      </c>
      <c r="E1386" cm="1">
        <f t="array" ref="E1386">_xlfn.XLOOKUP(D1386,SKU_Master!A:A,SKU_Master!B:B,"Not on master")</f>
        <v>0</v>
      </c>
      <c r="F1386" cm="1">
        <f t="array" ref="F1386">_xlfn.XLOOKUP(C1386,Account_Master!A:A,Account_Master!B:B,"Not on master")</f>
        <v>0</v>
      </c>
      <c r="G1386" cm="1">
        <f t="array" ref="G1386">_xlfn.XLOOKUP(C1386,Account_Master!A:A,Account_Master!C:C,"Not on master")</f>
        <v>0</v>
      </c>
      <c r="H1386" s="6">
        <v>14</v>
      </c>
      <c r="I1386" s="6">
        <v>14</v>
      </c>
      <c r="J1386" s="6">
        <f>I1386-H1386</f>
        <v>0</v>
      </c>
      <c r="K1386" s="5">
        <f>IF(H1386=0,"",J1386/H1386)</f>
        <v>0</v>
      </c>
      <c r="L1386">
        <f>IF(OR(AND(H1386=0,ABS(J1386)&gt;=0.01),AND(H1386&lt;&gt;0,ABS(K1386)&gt;VarianceThreshold)),"Review","OK")</f>
        <v>0</v>
      </c>
      <c r="M1386" t="s">
        <v>33</v>
      </c>
    </row>
    <row r="1387" spans="1:13">
      <c r="A1387" t="s">
        <v>2</v>
      </c>
      <c r="B1387" t="s">
        <v>86</v>
      </c>
      <c r="C1387" t="s">
        <v>1606</v>
      </c>
      <c r="D1387" t="s">
        <v>1607</v>
      </c>
      <c r="E1387" cm="1">
        <f t="array" ref="E1387">_xlfn.XLOOKUP(D1387,SKU_Master!A:A,SKU_Master!B:B,"Not on master")</f>
        <v>0</v>
      </c>
      <c r="F1387" cm="1">
        <f t="array" ref="F1387">_xlfn.XLOOKUP(C1387,Account_Master!A:A,Account_Master!B:B,"Not on master")</f>
        <v>0</v>
      </c>
      <c r="G1387" cm="1">
        <f t="array" ref="G1387">_xlfn.XLOOKUP(C1387,Account_Master!A:A,Account_Master!C:C,"Not on master")</f>
        <v>0</v>
      </c>
      <c r="H1387" s="6">
        <v>11.25</v>
      </c>
      <c r="I1387" s="6">
        <v>11.25</v>
      </c>
      <c r="J1387" s="6">
        <f>I1387-H1387</f>
        <v>0</v>
      </c>
      <c r="K1387" s="5">
        <f>IF(H1387=0,"",J1387/H1387)</f>
        <v>0</v>
      </c>
      <c r="L1387">
        <f>IF(OR(AND(H1387=0,ABS(J1387)&gt;=0.01),AND(H1387&lt;&gt;0,ABS(K1387)&gt;VarianceThreshold)),"Review","OK")</f>
        <v>0</v>
      </c>
      <c r="M1387" t="s">
        <v>33</v>
      </c>
    </row>
    <row r="1388" spans="1:13">
      <c r="A1388" t="s">
        <v>2</v>
      </c>
      <c r="B1388" t="s">
        <v>86</v>
      </c>
      <c r="C1388" t="s">
        <v>1608</v>
      </c>
      <c r="D1388" t="s">
        <v>132</v>
      </c>
      <c r="E1388" cm="1">
        <f t="array" ref="E1388">_xlfn.XLOOKUP(D1388,SKU_Master!A:A,SKU_Master!B:B,"Not on master")</f>
        <v>0</v>
      </c>
      <c r="F1388" cm="1">
        <f t="array" ref="F1388">_xlfn.XLOOKUP(C1388,Account_Master!A:A,Account_Master!B:B,"Not on master")</f>
        <v>0</v>
      </c>
      <c r="G1388" cm="1">
        <f t="array" ref="G1388">_xlfn.XLOOKUP(C1388,Account_Master!A:A,Account_Master!C:C,"Not on master")</f>
        <v>0</v>
      </c>
      <c r="H1388" s="6">
        <v>29</v>
      </c>
      <c r="I1388" s="6">
        <v>29</v>
      </c>
      <c r="J1388" s="6">
        <f>I1388-H1388</f>
        <v>0</v>
      </c>
      <c r="K1388" s="5">
        <f>IF(H1388=0,"",J1388/H1388)</f>
        <v>0</v>
      </c>
      <c r="L1388">
        <f>IF(OR(AND(H1388=0,ABS(J1388)&gt;=0.01),AND(H1388&lt;&gt;0,ABS(K1388)&gt;VarianceThreshold)),"Review","OK")</f>
        <v>0</v>
      </c>
      <c r="M1388" t="s">
        <v>33</v>
      </c>
    </row>
    <row r="1389" spans="1:13">
      <c r="A1389" t="s">
        <v>2</v>
      </c>
      <c r="B1389" t="s">
        <v>86</v>
      </c>
      <c r="C1389" t="s">
        <v>1577</v>
      </c>
      <c r="D1389" t="s">
        <v>1609</v>
      </c>
      <c r="E1389" cm="1">
        <f t="array" ref="E1389">_xlfn.XLOOKUP(D1389,SKU_Master!A:A,SKU_Master!B:B,"Not on master")</f>
        <v>0</v>
      </c>
      <c r="F1389" cm="1">
        <f t="array" ref="F1389">_xlfn.XLOOKUP(C1389,Account_Master!A:A,Account_Master!B:B,"Not on master")</f>
        <v>0</v>
      </c>
      <c r="G1389" cm="1">
        <f t="array" ref="G1389">_xlfn.XLOOKUP(C1389,Account_Master!A:A,Account_Master!C:C,"Not on master")</f>
        <v>0</v>
      </c>
      <c r="H1389" s="6">
        <v>3</v>
      </c>
      <c r="I1389" s="6">
        <v>3</v>
      </c>
      <c r="J1389" s="6">
        <f>I1389-H1389</f>
        <v>0</v>
      </c>
      <c r="K1389" s="5">
        <f>IF(H1389=0,"",J1389/H1389)</f>
        <v>0</v>
      </c>
      <c r="L1389">
        <f>IF(OR(AND(H1389=0,ABS(J1389)&gt;=0.01),AND(H1389&lt;&gt;0,ABS(K1389)&gt;VarianceThreshold)),"Review","OK")</f>
        <v>0</v>
      </c>
      <c r="M1389" t="s">
        <v>33</v>
      </c>
    </row>
    <row r="1390" spans="1:13">
      <c r="A1390" t="s">
        <v>2</v>
      </c>
      <c r="B1390" t="s">
        <v>97</v>
      </c>
      <c r="C1390" t="s">
        <v>1610</v>
      </c>
      <c r="D1390" t="s">
        <v>481</v>
      </c>
      <c r="E1390" cm="1">
        <f t="array" ref="E1390">_xlfn.XLOOKUP(D1390,SKU_Master!A:A,SKU_Master!B:B,"Not on master")</f>
        <v>0</v>
      </c>
      <c r="F1390" cm="1">
        <f t="array" ref="F1390">_xlfn.XLOOKUP(C1390,Account_Master!A:A,Account_Master!B:B,"Not on master")</f>
        <v>0</v>
      </c>
      <c r="G1390" cm="1">
        <f t="array" ref="G1390">_xlfn.XLOOKUP(C1390,Account_Master!A:A,Account_Master!C:C,"Not on master")</f>
        <v>0</v>
      </c>
      <c r="H1390" s="6">
        <v>13.5</v>
      </c>
      <c r="I1390" s="6">
        <v>4.5</v>
      </c>
      <c r="J1390" s="6">
        <f>I1390-H1390</f>
        <v>0</v>
      </c>
      <c r="K1390" s="5">
        <f>IF(H1390=0,"",J1390/H1390)</f>
        <v>0</v>
      </c>
      <c r="L1390">
        <f>IF(OR(AND(H1390=0,ABS(J1390)&gt;=0.01),AND(H1390&lt;&gt;0,ABS(K1390)&gt;VarianceThreshold)),"Review","OK")</f>
        <v>0</v>
      </c>
      <c r="M1390" t="s">
        <v>1611</v>
      </c>
    </row>
    <row r="1391" spans="1:13">
      <c r="A1391" t="s">
        <v>2</v>
      </c>
      <c r="B1391" t="s">
        <v>97</v>
      </c>
      <c r="C1391" t="s">
        <v>1612</v>
      </c>
      <c r="D1391" t="s">
        <v>1613</v>
      </c>
      <c r="E1391" cm="1">
        <f t="array" ref="E1391">_xlfn.XLOOKUP(D1391,SKU_Master!A:A,SKU_Master!B:B,"Not on master")</f>
        <v>0</v>
      </c>
      <c r="F1391" cm="1">
        <f t="array" ref="F1391">_xlfn.XLOOKUP(C1391,Account_Master!A:A,Account_Master!B:B,"Not on master")</f>
        <v>0</v>
      </c>
      <c r="G1391" cm="1">
        <f t="array" ref="G1391">_xlfn.XLOOKUP(C1391,Account_Master!A:A,Account_Master!C:C,"Not on master")</f>
        <v>0</v>
      </c>
      <c r="H1391" s="6">
        <v>4.8</v>
      </c>
      <c r="I1391" s="6">
        <v>4.8</v>
      </c>
      <c r="J1391" s="6">
        <f>I1391-H1391</f>
        <v>0</v>
      </c>
      <c r="K1391" s="5">
        <f>IF(H1391=0,"",J1391/H1391)</f>
        <v>0</v>
      </c>
      <c r="L1391">
        <f>IF(OR(AND(H1391=0,ABS(J1391)&gt;=0.01),AND(H1391&lt;&gt;0,ABS(K1391)&gt;VarianceThreshold)),"Review","OK")</f>
        <v>0</v>
      </c>
      <c r="M1391" t="s">
        <v>33</v>
      </c>
    </row>
    <row r="1392" spans="1:13">
      <c r="A1392" t="s">
        <v>2</v>
      </c>
      <c r="B1392" t="s">
        <v>103</v>
      </c>
      <c r="C1392" t="s">
        <v>1610</v>
      </c>
      <c r="D1392" t="s">
        <v>1614</v>
      </c>
      <c r="E1392" cm="1">
        <f t="array" ref="E1392">_xlfn.XLOOKUP(D1392,SKU_Master!A:A,SKU_Master!B:B,"Not on master")</f>
        <v>0</v>
      </c>
      <c r="F1392" cm="1">
        <f t="array" ref="F1392">_xlfn.XLOOKUP(C1392,Account_Master!A:A,Account_Master!B:B,"Not on master")</f>
        <v>0</v>
      </c>
      <c r="G1392" cm="1">
        <f t="array" ref="G1392">_xlfn.XLOOKUP(C1392,Account_Master!A:A,Account_Master!C:C,"Not on master")</f>
        <v>0</v>
      </c>
      <c r="H1392" s="6">
        <v>0.75</v>
      </c>
      <c r="I1392" s="6">
        <v>0.75</v>
      </c>
      <c r="J1392" s="6">
        <f>I1392-H1392</f>
        <v>0</v>
      </c>
      <c r="K1392" s="5">
        <f>IF(H1392=0,"",J1392/H1392)</f>
        <v>0</v>
      </c>
      <c r="L1392">
        <f>IF(OR(AND(H1392=0,ABS(J1392)&gt;=0.01),AND(H1392&lt;&gt;0,ABS(K1392)&gt;VarianceThreshold)),"Review","OK")</f>
        <v>0</v>
      </c>
      <c r="M1392" t="s">
        <v>33</v>
      </c>
    </row>
    <row r="1393" spans="1:13">
      <c r="A1393" t="s">
        <v>2</v>
      </c>
      <c r="B1393" t="s">
        <v>103</v>
      </c>
      <c r="C1393" t="s">
        <v>1615</v>
      </c>
      <c r="D1393" t="s">
        <v>1616</v>
      </c>
      <c r="E1393" cm="1">
        <f t="array" ref="E1393">_xlfn.XLOOKUP(D1393,SKU_Master!A:A,SKU_Master!B:B,"Not on master")</f>
        <v>0</v>
      </c>
      <c r="F1393" cm="1">
        <f t="array" ref="F1393">_xlfn.XLOOKUP(C1393,Account_Master!A:A,Account_Master!B:B,"Not on master")</f>
        <v>0</v>
      </c>
      <c r="G1393" cm="1">
        <f t="array" ref="G1393">_xlfn.XLOOKUP(C1393,Account_Master!A:A,Account_Master!C:C,"Not on master")</f>
        <v>0</v>
      </c>
      <c r="H1393" s="6">
        <v>9</v>
      </c>
      <c r="I1393" s="6">
        <v>9</v>
      </c>
      <c r="J1393" s="6">
        <f>I1393-H1393</f>
        <v>0</v>
      </c>
      <c r="K1393" s="5">
        <f>IF(H1393=0,"",J1393/H1393)</f>
        <v>0</v>
      </c>
      <c r="L1393">
        <f>IF(OR(AND(H1393=0,ABS(J1393)&gt;=0.01),AND(H1393&lt;&gt;0,ABS(K1393)&gt;VarianceThreshold)),"Review","OK")</f>
        <v>0</v>
      </c>
      <c r="M1393" t="s">
        <v>33</v>
      </c>
    </row>
    <row r="1394" spans="1:13">
      <c r="A1394" t="s">
        <v>2</v>
      </c>
      <c r="B1394" t="s">
        <v>103</v>
      </c>
      <c r="C1394" t="s">
        <v>1617</v>
      </c>
      <c r="D1394" t="s">
        <v>821</v>
      </c>
      <c r="E1394" cm="1">
        <f t="array" ref="E1394">_xlfn.XLOOKUP(D1394,SKU_Master!A:A,SKU_Master!B:B,"Not on master")</f>
        <v>0</v>
      </c>
      <c r="F1394" cm="1">
        <f t="array" ref="F1394">_xlfn.XLOOKUP(C1394,Account_Master!A:A,Account_Master!B:B,"Not on master")</f>
        <v>0</v>
      </c>
      <c r="G1394" cm="1">
        <f t="array" ref="G1394">_xlfn.XLOOKUP(C1394,Account_Master!A:A,Account_Master!C:C,"Not on master")</f>
        <v>0</v>
      </c>
      <c r="H1394" s="6">
        <v>9</v>
      </c>
      <c r="I1394" s="6">
        <v>9</v>
      </c>
      <c r="J1394" s="6">
        <f>I1394-H1394</f>
        <v>0</v>
      </c>
      <c r="K1394" s="5">
        <f>IF(H1394=0,"",J1394/H1394)</f>
        <v>0</v>
      </c>
      <c r="L1394">
        <f>IF(OR(AND(H1394=0,ABS(J1394)&gt;=0.01),AND(H1394&lt;&gt;0,ABS(K1394)&gt;VarianceThreshold)),"Review","OK")</f>
        <v>0</v>
      </c>
      <c r="M1394" t="s">
        <v>33</v>
      </c>
    </row>
    <row r="1395" spans="1:13">
      <c r="A1395" t="s">
        <v>2</v>
      </c>
      <c r="B1395" t="s">
        <v>103</v>
      </c>
      <c r="C1395" t="s">
        <v>1618</v>
      </c>
      <c r="D1395" t="s">
        <v>1619</v>
      </c>
      <c r="E1395" cm="1">
        <f t="array" ref="E1395">_xlfn.XLOOKUP(D1395,SKU_Master!A:A,SKU_Master!B:B,"Not on master")</f>
        <v>0</v>
      </c>
      <c r="F1395" cm="1">
        <f t="array" ref="F1395">_xlfn.XLOOKUP(C1395,Account_Master!A:A,Account_Master!B:B,"Not on master")</f>
        <v>0</v>
      </c>
      <c r="G1395" cm="1">
        <f t="array" ref="G1395">_xlfn.XLOOKUP(C1395,Account_Master!A:A,Account_Master!C:C,"Not on master")</f>
        <v>0</v>
      </c>
      <c r="H1395" s="6">
        <v>4.5</v>
      </c>
      <c r="I1395" s="6">
        <v>4.5</v>
      </c>
      <c r="J1395" s="6">
        <f>I1395-H1395</f>
        <v>0</v>
      </c>
      <c r="K1395" s="5">
        <f>IF(H1395=0,"",J1395/H1395)</f>
        <v>0</v>
      </c>
      <c r="L1395">
        <f>IF(OR(AND(H1395=0,ABS(J1395)&gt;=0.01),AND(H1395&lt;&gt;0,ABS(K1395)&gt;VarianceThreshold)),"Review","OK")</f>
        <v>0</v>
      </c>
      <c r="M1395" t="s">
        <v>33</v>
      </c>
    </row>
    <row r="1396" spans="1:13">
      <c r="A1396" t="s">
        <v>2</v>
      </c>
      <c r="B1396" t="s">
        <v>103</v>
      </c>
      <c r="C1396" t="s">
        <v>1574</v>
      </c>
      <c r="D1396" t="s">
        <v>1077</v>
      </c>
      <c r="E1396" cm="1">
        <f t="array" ref="E1396">_xlfn.XLOOKUP(D1396,SKU_Master!A:A,SKU_Master!B:B,"Not on master")</f>
        <v>0</v>
      </c>
      <c r="F1396" cm="1">
        <f t="array" ref="F1396">_xlfn.XLOOKUP(C1396,Account_Master!A:A,Account_Master!B:B,"Not on master")</f>
        <v>0</v>
      </c>
      <c r="G1396" cm="1">
        <f t="array" ref="G1396">_xlfn.XLOOKUP(C1396,Account_Master!A:A,Account_Master!C:C,"Not on master")</f>
        <v>0</v>
      </c>
      <c r="H1396" s="6">
        <v>11.25</v>
      </c>
      <c r="I1396" s="6">
        <v>11.25</v>
      </c>
      <c r="J1396" s="6">
        <f>I1396-H1396</f>
        <v>0</v>
      </c>
      <c r="K1396" s="5">
        <f>IF(H1396=0,"",J1396/H1396)</f>
        <v>0</v>
      </c>
      <c r="L1396">
        <f>IF(OR(AND(H1396=0,ABS(J1396)&gt;=0.01),AND(H1396&lt;&gt;0,ABS(K1396)&gt;VarianceThreshold)),"Review","OK")</f>
        <v>0</v>
      </c>
      <c r="M1396" t="s">
        <v>33</v>
      </c>
    </row>
    <row r="1397" spans="1:13">
      <c r="A1397" t="s">
        <v>2</v>
      </c>
      <c r="B1397" t="s">
        <v>103</v>
      </c>
      <c r="C1397" t="s">
        <v>1576</v>
      </c>
      <c r="D1397" t="s">
        <v>142</v>
      </c>
      <c r="E1397" cm="1">
        <f t="array" ref="E1397">_xlfn.XLOOKUP(D1397,SKU_Master!A:A,SKU_Master!B:B,"Not on master")</f>
        <v>0</v>
      </c>
      <c r="F1397" cm="1">
        <f t="array" ref="F1397">_xlfn.XLOOKUP(C1397,Account_Master!A:A,Account_Master!B:B,"Not on master")</f>
        <v>0</v>
      </c>
      <c r="G1397" cm="1">
        <f t="array" ref="G1397">_xlfn.XLOOKUP(C1397,Account_Master!A:A,Account_Master!C:C,"Not on master")</f>
        <v>0</v>
      </c>
      <c r="H1397" s="6">
        <v>4.5</v>
      </c>
      <c r="I1397" s="6">
        <v>4.5</v>
      </c>
      <c r="J1397" s="6">
        <f>I1397-H1397</f>
        <v>0</v>
      </c>
      <c r="K1397" s="5">
        <f>IF(H1397=0,"",J1397/H1397)</f>
        <v>0</v>
      </c>
      <c r="L1397">
        <f>IF(OR(AND(H1397=0,ABS(J1397)&gt;=0.01),AND(H1397&lt;&gt;0,ABS(K1397)&gt;VarianceThreshold)),"Review","OK")</f>
        <v>0</v>
      </c>
      <c r="M1397" t="s">
        <v>33</v>
      </c>
    </row>
    <row r="1398" spans="1:13">
      <c r="A1398" t="s">
        <v>2</v>
      </c>
      <c r="B1398" t="s">
        <v>103</v>
      </c>
      <c r="C1398" t="s">
        <v>1580</v>
      </c>
      <c r="D1398" t="s">
        <v>641</v>
      </c>
      <c r="E1398" cm="1">
        <f t="array" ref="E1398">_xlfn.XLOOKUP(D1398,SKU_Master!A:A,SKU_Master!B:B,"Not on master")</f>
        <v>0</v>
      </c>
      <c r="F1398" cm="1">
        <f t="array" ref="F1398">_xlfn.XLOOKUP(C1398,Account_Master!A:A,Account_Master!B:B,"Not on master")</f>
        <v>0</v>
      </c>
      <c r="G1398" cm="1">
        <f t="array" ref="G1398">_xlfn.XLOOKUP(C1398,Account_Master!A:A,Account_Master!C:C,"Not on master")</f>
        <v>0</v>
      </c>
      <c r="H1398" s="6">
        <v>21</v>
      </c>
      <c r="I1398" s="6">
        <v>21</v>
      </c>
      <c r="J1398" s="6">
        <f>I1398-H1398</f>
        <v>0</v>
      </c>
      <c r="K1398" s="5">
        <f>IF(H1398=0,"",J1398/H1398)</f>
        <v>0</v>
      </c>
      <c r="L1398">
        <f>IF(OR(AND(H1398=0,ABS(J1398)&gt;=0.01),AND(H1398&lt;&gt;0,ABS(K1398)&gt;VarianceThreshold)),"Review","OK")</f>
        <v>0</v>
      </c>
      <c r="M1398" t="s">
        <v>33</v>
      </c>
    </row>
    <row r="1399" spans="1:13">
      <c r="A1399" t="s">
        <v>2</v>
      </c>
      <c r="B1399" t="s">
        <v>103</v>
      </c>
      <c r="C1399" t="s">
        <v>1586</v>
      </c>
      <c r="D1399" t="s">
        <v>1620</v>
      </c>
      <c r="E1399" cm="1">
        <f t="array" ref="E1399">_xlfn.XLOOKUP(D1399,SKU_Master!A:A,SKU_Master!B:B,"Not on master")</f>
        <v>0</v>
      </c>
      <c r="F1399" cm="1">
        <f t="array" ref="F1399">_xlfn.XLOOKUP(C1399,Account_Master!A:A,Account_Master!B:B,"Not on master")</f>
        <v>0</v>
      </c>
      <c r="G1399" cm="1">
        <f t="array" ref="G1399">_xlfn.XLOOKUP(C1399,Account_Master!A:A,Account_Master!C:C,"Not on master")</f>
        <v>0</v>
      </c>
      <c r="H1399" s="6">
        <v>4.5</v>
      </c>
      <c r="I1399" s="6">
        <v>4.5</v>
      </c>
      <c r="J1399" s="6">
        <f>I1399-H1399</f>
        <v>0</v>
      </c>
      <c r="K1399" s="5">
        <f>IF(H1399=0,"",J1399/H1399)</f>
        <v>0</v>
      </c>
      <c r="L1399">
        <f>IF(OR(AND(H1399=0,ABS(J1399)&gt;=0.01),AND(H1399&lt;&gt;0,ABS(K1399)&gt;VarianceThreshold)),"Review","OK")</f>
        <v>0</v>
      </c>
      <c r="M1399" t="s">
        <v>33</v>
      </c>
    </row>
    <row r="1400" spans="1:13">
      <c r="A1400" t="s">
        <v>2</v>
      </c>
      <c r="B1400" t="s">
        <v>121</v>
      </c>
      <c r="C1400" t="s">
        <v>1576</v>
      </c>
      <c r="D1400" t="s">
        <v>373</v>
      </c>
      <c r="E1400" cm="1">
        <f t="array" ref="E1400">_xlfn.XLOOKUP(D1400,SKU_Master!A:A,SKU_Master!B:B,"Not on master")</f>
        <v>0</v>
      </c>
      <c r="F1400" cm="1">
        <f t="array" ref="F1400">_xlfn.XLOOKUP(C1400,Account_Master!A:A,Account_Master!B:B,"Not on master")</f>
        <v>0</v>
      </c>
      <c r="G1400" cm="1">
        <f t="array" ref="G1400">_xlfn.XLOOKUP(C1400,Account_Master!A:A,Account_Master!C:C,"Not on master")</f>
        <v>0</v>
      </c>
      <c r="H1400" s="6">
        <v>3.95</v>
      </c>
      <c r="I1400" s="6">
        <v>3.85</v>
      </c>
      <c r="J1400" s="6">
        <f>I1400-H1400</f>
        <v>0</v>
      </c>
      <c r="K1400" s="5">
        <f>IF(H1400=0,"",J1400/H1400)</f>
        <v>0</v>
      </c>
      <c r="L1400">
        <f>IF(OR(AND(H1400=0,ABS(J1400)&gt;=0.01),AND(H1400&lt;&gt;0,ABS(K1400)&gt;VarianceThreshold)),"Review","OK")</f>
        <v>0</v>
      </c>
      <c r="M1400" t="s">
        <v>33</v>
      </c>
    </row>
    <row r="1401" spans="1:13">
      <c r="A1401" t="s">
        <v>2</v>
      </c>
      <c r="B1401" t="s">
        <v>121</v>
      </c>
      <c r="C1401" t="s">
        <v>1621</v>
      </c>
      <c r="D1401" t="s">
        <v>94</v>
      </c>
      <c r="E1401" cm="1">
        <f t="array" ref="E1401">_xlfn.XLOOKUP(D1401,SKU_Master!A:A,SKU_Master!B:B,"Not on master")</f>
        <v>0</v>
      </c>
      <c r="F1401" cm="1">
        <f t="array" ref="F1401">_xlfn.XLOOKUP(C1401,Account_Master!A:A,Account_Master!B:B,"Not on master")</f>
        <v>0</v>
      </c>
      <c r="G1401" cm="1">
        <f t="array" ref="G1401">_xlfn.XLOOKUP(C1401,Account_Master!A:A,Account_Master!C:C,"Not on master")</f>
        <v>0</v>
      </c>
      <c r="H1401" s="6">
        <v>52.5</v>
      </c>
      <c r="I1401" s="6">
        <v>52.5</v>
      </c>
      <c r="J1401" s="6">
        <f>I1401-H1401</f>
        <v>0</v>
      </c>
      <c r="K1401" s="5">
        <f>IF(H1401=0,"",J1401/H1401)</f>
        <v>0</v>
      </c>
      <c r="L1401">
        <f>IF(OR(AND(H1401=0,ABS(J1401)&gt;=0.01),AND(H1401&lt;&gt;0,ABS(K1401)&gt;VarianceThreshold)),"Review","OK")</f>
        <v>0</v>
      </c>
      <c r="M1401" t="s">
        <v>33</v>
      </c>
    </row>
    <row r="1402" spans="1:13">
      <c r="A1402" t="s">
        <v>2</v>
      </c>
      <c r="B1402" t="s">
        <v>121</v>
      </c>
      <c r="C1402" t="s">
        <v>1622</v>
      </c>
      <c r="D1402" t="s">
        <v>1623</v>
      </c>
      <c r="E1402" cm="1">
        <f t="array" ref="E1402">_xlfn.XLOOKUP(D1402,SKU_Master!A:A,SKU_Master!B:B,"Not on master")</f>
        <v>0</v>
      </c>
      <c r="F1402" cm="1">
        <f t="array" ref="F1402">_xlfn.XLOOKUP(C1402,Account_Master!A:A,Account_Master!B:B,"Not on master")</f>
        <v>0</v>
      </c>
      <c r="G1402" cm="1">
        <f t="array" ref="G1402">_xlfn.XLOOKUP(C1402,Account_Master!A:A,Account_Master!C:C,"Not on master")</f>
        <v>0</v>
      </c>
      <c r="H1402" s="6">
        <v>12</v>
      </c>
      <c r="I1402" s="6">
        <v>12</v>
      </c>
      <c r="J1402" s="6">
        <f>I1402-H1402</f>
        <v>0</v>
      </c>
      <c r="K1402" s="5">
        <f>IF(H1402=0,"",J1402/H1402)</f>
        <v>0</v>
      </c>
      <c r="L1402">
        <f>IF(OR(AND(H1402=0,ABS(J1402)&gt;=0.01),AND(H1402&lt;&gt;0,ABS(K1402)&gt;VarianceThreshold)),"Review","OK")</f>
        <v>0</v>
      </c>
      <c r="M1402" t="s">
        <v>33</v>
      </c>
    </row>
    <row r="1403" spans="1:13">
      <c r="A1403" t="s">
        <v>2</v>
      </c>
      <c r="B1403" t="s">
        <v>121</v>
      </c>
      <c r="C1403" t="s">
        <v>1624</v>
      </c>
      <c r="D1403" t="s">
        <v>1625</v>
      </c>
      <c r="E1403" cm="1">
        <f t="array" ref="E1403">_xlfn.XLOOKUP(D1403,SKU_Master!A:A,SKU_Master!B:B,"Not on master")</f>
        <v>0</v>
      </c>
      <c r="F1403" cm="1">
        <f t="array" ref="F1403">_xlfn.XLOOKUP(C1403,Account_Master!A:A,Account_Master!B:B,"Not on master")</f>
        <v>0</v>
      </c>
      <c r="G1403" cm="1">
        <f t="array" ref="G1403">_xlfn.XLOOKUP(C1403,Account_Master!A:A,Account_Master!C:C,"Not on master")</f>
        <v>0</v>
      </c>
      <c r="H1403" s="6">
        <v>0.6</v>
      </c>
      <c r="I1403" s="6">
        <v>0.6</v>
      </c>
      <c r="J1403" s="6">
        <f>I1403-H1403</f>
        <v>0</v>
      </c>
      <c r="K1403" s="5">
        <f>IF(H1403=0,"",J1403/H1403)</f>
        <v>0</v>
      </c>
      <c r="L1403">
        <f>IF(OR(AND(H1403=0,ABS(J1403)&gt;=0.01),AND(H1403&lt;&gt;0,ABS(K1403)&gt;VarianceThreshold)),"Review","OK")</f>
        <v>0</v>
      </c>
      <c r="M1403" t="s">
        <v>33</v>
      </c>
    </row>
    <row r="1404" spans="1:13">
      <c r="A1404" t="s">
        <v>2</v>
      </c>
      <c r="B1404" t="s">
        <v>121</v>
      </c>
      <c r="C1404" t="s">
        <v>1626</v>
      </c>
      <c r="D1404" t="s">
        <v>1627</v>
      </c>
      <c r="E1404" cm="1">
        <f t="array" ref="E1404">_xlfn.XLOOKUP(D1404,SKU_Master!A:A,SKU_Master!B:B,"Not on master")</f>
        <v>0</v>
      </c>
      <c r="F1404" cm="1">
        <f t="array" ref="F1404">_xlfn.XLOOKUP(C1404,Account_Master!A:A,Account_Master!B:B,"Not on master")</f>
        <v>0</v>
      </c>
      <c r="G1404" cm="1">
        <f t="array" ref="G1404">_xlfn.XLOOKUP(C1404,Account_Master!A:A,Account_Master!C:C,"Not on master")</f>
        <v>0</v>
      </c>
      <c r="H1404" s="6">
        <v>0.75</v>
      </c>
      <c r="I1404" s="6">
        <v>0.75</v>
      </c>
      <c r="J1404" s="6">
        <f>I1404-H1404</f>
        <v>0</v>
      </c>
      <c r="K1404" s="5">
        <f>IF(H1404=0,"",J1404/H1404)</f>
        <v>0</v>
      </c>
      <c r="L1404">
        <f>IF(OR(AND(H1404=0,ABS(J1404)&gt;=0.01),AND(H1404&lt;&gt;0,ABS(K1404)&gt;VarianceThreshold)),"Review","OK")</f>
        <v>0</v>
      </c>
      <c r="M1404" t="s">
        <v>33</v>
      </c>
    </row>
    <row r="1405" spans="1:13">
      <c r="A1405" t="s">
        <v>2</v>
      </c>
      <c r="B1405" t="s">
        <v>134</v>
      </c>
      <c r="C1405" t="s">
        <v>1628</v>
      </c>
      <c r="D1405" t="s">
        <v>1629</v>
      </c>
      <c r="E1405" cm="1">
        <f t="array" ref="E1405">_xlfn.XLOOKUP(D1405,SKU_Master!A:A,SKU_Master!B:B,"Not on master")</f>
        <v>0</v>
      </c>
      <c r="F1405" cm="1">
        <f t="array" ref="F1405">_xlfn.XLOOKUP(C1405,Account_Master!A:A,Account_Master!B:B,"Not on master")</f>
        <v>0</v>
      </c>
      <c r="G1405" cm="1">
        <f t="array" ref="G1405">_xlfn.XLOOKUP(C1405,Account_Master!A:A,Account_Master!C:C,"Not on master")</f>
        <v>0</v>
      </c>
      <c r="H1405" s="6">
        <v>409.5</v>
      </c>
      <c r="I1405" s="6">
        <v>399</v>
      </c>
      <c r="J1405" s="6">
        <f>I1405-H1405</f>
        <v>0</v>
      </c>
      <c r="K1405" s="5">
        <f>IF(H1405=0,"",J1405/H1405)</f>
        <v>0</v>
      </c>
      <c r="L1405">
        <f>IF(OR(AND(H1405=0,ABS(J1405)&gt;=0.01),AND(H1405&lt;&gt;0,ABS(K1405)&gt;VarianceThreshold)),"Review","OK")</f>
        <v>0</v>
      </c>
      <c r="M1405" t="s">
        <v>33</v>
      </c>
    </row>
    <row r="1406" spans="1:13">
      <c r="A1406" t="s">
        <v>2</v>
      </c>
      <c r="B1406" t="s">
        <v>134</v>
      </c>
      <c r="C1406" t="s">
        <v>1576</v>
      </c>
      <c r="D1406" t="s">
        <v>1630</v>
      </c>
      <c r="E1406" cm="1">
        <f t="array" ref="E1406">_xlfn.XLOOKUP(D1406,SKU_Master!A:A,SKU_Master!B:B,"Not on master")</f>
        <v>0</v>
      </c>
      <c r="F1406" cm="1">
        <f t="array" ref="F1406">_xlfn.XLOOKUP(C1406,Account_Master!A:A,Account_Master!B:B,"Not on master")</f>
        <v>0</v>
      </c>
      <c r="G1406" cm="1">
        <f t="array" ref="G1406">_xlfn.XLOOKUP(C1406,Account_Master!A:A,Account_Master!C:C,"Not on master")</f>
        <v>0</v>
      </c>
      <c r="H1406" s="6">
        <v>18.75</v>
      </c>
      <c r="I1406" s="6">
        <v>18.75</v>
      </c>
      <c r="J1406" s="6">
        <f>I1406-H1406</f>
        <v>0</v>
      </c>
      <c r="K1406" s="5">
        <f>IF(H1406=0,"",J1406/H1406)</f>
        <v>0</v>
      </c>
      <c r="L1406">
        <f>IF(OR(AND(H1406=0,ABS(J1406)&gt;=0.01),AND(H1406&lt;&gt;0,ABS(K1406)&gt;VarianceThreshold)),"Review","OK")</f>
        <v>0</v>
      </c>
      <c r="M1406" t="s">
        <v>33</v>
      </c>
    </row>
    <row r="1407" spans="1:13">
      <c r="A1407" t="s">
        <v>2</v>
      </c>
      <c r="B1407" t="s">
        <v>134</v>
      </c>
      <c r="C1407" t="s">
        <v>1612</v>
      </c>
      <c r="D1407" t="s">
        <v>847</v>
      </c>
      <c r="E1407" cm="1">
        <f t="array" ref="E1407">_xlfn.XLOOKUP(D1407,SKU_Master!A:A,SKU_Master!B:B,"Not on master")</f>
        <v>0</v>
      </c>
      <c r="F1407" cm="1">
        <f t="array" ref="F1407">_xlfn.XLOOKUP(C1407,Account_Master!A:A,Account_Master!B:B,"Not on master")</f>
        <v>0</v>
      </c>
      <c r="G1407" cm="1">
        <f t="array" ref="G1407">_xlfn.XLOOKUP(C1407,Account_Master!A:A,Account_Master!C:C,"Not on master")</f>
        <v>0</v>
      </c>
      <c r="H1407" s="6">
        <v>10.5</v>
      </c>
      <c r="I1407" s="6">
        <v>10.5</v>
      </c>
      <c r="J1407" s="6">
        <f>I1407-H1407</f>
        <v>0</v>
      </c>
      <c r="K1407" s="5">
        <f>IF(H1407=0,"",J1407/H1407)</f>
        <v>0</v>
      </c>
      <c r="L1407">
        <f>IF(OR(AND(H1407=0,ABS(J1407)&gt;=0.01),AND(H1407&lt;&gt;0,ABS(K1407)&gt;VarianceThreshold)),"Review","OK")</f>
        <v>0</v>
      </c>
      <c r="M1407" t="s">
        <v>33</v>
      </c>
    </row>
    <row r="1408" spans="1:13">
      <c r="A1408" t="s">
        <v>2</v>
      </c>
      <c r="B1408" t="s">
        <v>134</v>
      </c>
      <c r="C1408" t="s">
        <v>1631</v>
      </c>
      <c r="D1408" t="s">
        <v>1160</v>
      </c>
      <c r="E1408" cm="1">
        <f t="array" ref="E1408">_xlfn.XLOOKUP(D1408,SKU_Master!A:A,SKU_Master!B:B,"Not on master")</f>
        <v>0</v>
      </c>
      <c r="F1408" cm="1">
        <f t="array" ref="F1408">_xlfn.XLOOKUP(C1408,Account_Master!A:A,Account_Master!B:B,"Not on master")</f>
        <v>0</v>
      </c>
      <c r="G1408" cm="1">
        <f t="array" ref="G1408">_xlfn.XLOOKUP(C1408,Account_Master!A:A,Account_Master!C:C,"Not on master")</f>
        <v>0</v>
      </c>
      <c r="H1408" s="6">
        <v>12</v>
      </c>
      <c r="I1408" s="6">
        <v>12</v>
      </c>
      <c r="J1408" s="6">
        <f>I1408-H1408</f>
        <v>0</v>
      </c>
      <c r="K1408" s="5">
        <f>IF(H1408=0,"",J1408/H1408)</f>
        <v>0</v>
      </c>
      <c r="L1408">
        <f>IF(OR(AND(H1408=0,ABS(J1408)&gt;=0.01),AND(H1408&lt;&gt;0,ABS(K1408)&gt;VarianceThreshold)),"Review","OK")</f>
        <v>0</v>
      </c>
      <c r="M1408" t="s">
        <v>33</v>
      </c>
    </row>
    <row r="1409" spans="1:13">
      <c r="A1409" t="s">
        <v>2</v>
      </c>
      <c r="B1409" t="s">
        <v>134</v>
      </c>
      <c r="C1409" t="s">
        <v>1632</v>
      </c>
      <c r="D1409" t="s">
        <v>1633</v>
      </c>
      <c r="E1409" cm="1">
        <f t="array" ref="E1409">_xlfn.XLOOKUP(D1409,SKU_Master!A:A,SKU_Master!B:B,"Not on master")</f>
        <v>0</v>
      </c>
      <c r="F1409" cm="1">
        <f t="array" ref="F1409">_xlfn.XLOOKUP(C1409,Account_Master!A:A,Account_Master!B:B,"Not on master")</f>
        <v>0</v>
      </c>
      <c r="G1409" cm="1">
        <f t="array" ref="G1409">_xlfn.XLOOKUP(C1409,Account_Master!A:A,Account_Master!C:C,"Not on master")</f>
        <v>0</v>
      </c>
      <c r="H1409" s="6">
        <v>0.75</v>
      </c>
      <c r="I1409" s="6">
        <v>0.75</v>
      </c>
      <c r="J1409" s="6">
        <f>I1409-H1409</f>
        <v>0</v>
      </c>
      <c r="K1409" s="5">
        <f>IF(H1409=0,"",J1409/H1409)</f>
        <v>0</v>
      </c>
      <c r="L1409">
        <f>IF(OR(AND(H1409=0,ABS(J1409)&gt;=0.01),AND(H1409&lt;&gt;0,ABS(K1409)&gt;VarianceThreshold)),"Review","OK")</f>
        <v>0</v>
      </c>
      <c r="M1409" t="s">
        <v>33</v>
      </c>
    </row>
    <row r="1410" spans="1:13">
      <c r="A1410" t="s">
        <v>2</v>
      </c>
      <c r="B1410" t="s">
        <v>134</v>
      </c>
      <c r="C1410" t="s">
        <v>1634</v>
      </c>
      <c r="D1410" t="s">
        <v>279</v>
      </c>
      <c r="E1410" cm="1">
        <f t="array" ref="E1410">_xlfn.XLOOKUP(D1410,SKU_Master!A:A,SKU_Master!B:B,"Not on master")</f>
        <v>0</v>
      </c>
      <c r="F1410" cm="1">
        <f t="array" ref="F1410">_xlfn.XLOOKUP(C1410,Account_Master!A:A,Account_Master!B:B,"Not on master")</f>
        <v>0</v>
      </c>
      <c r="G1410" cm="1">
        <f t="array" ref="G1410">_xlfn.XLOOKUP(C1410,Account_Master!A:A,Account_Master!C:C,"Not on master")</f>
        <v>0</v>
      </c>
      <c r="H1410" s="6">
        <v>10.5</v>
      </c>
      <c r="I1410" s="6">
        <v>10.5</v>
      </c>
      <c r="J1410" s="6">
        <f>I1410-H1410</f>
        <v>0</v>
      </c>
      <c r="K1410" s="5">
        <f>IF(H1410=0,"",J1410/H1410)</f>
        <v>0</v>
      </c>
      <c r="L1410">
        <f>IF(OR(AND(H1410=0,ABS(J1410)&gt;=0.01),AND(H1410&lt;&gt;0,ABS(K1410)&gt;VarianceThreshold)),"Review","OK")</f>
        <v>0</v>
      </c>
      <c r="M1410" t="s">
        <v>33</v>
      </c>
    </row>
    <row r="1411" spans="1:13">
      <c r="A1411" t="s">
        <v>2</v>
      </c>
      <c r="B1411" t="s">
        <v>134</v>
      </c>
      <c r="C1411" t="s">
        <v>1612</v>
      </c>
      <c r="D1411" t="s">
        <v>1635</v>
      </c>
      <c r="E1411" cm="1">
        <f t="array" ref="E1411">_xlfn.XLOOKUP(D1411,SKU_Master!A:A,SKU_Master!B:B,"Not on master")</f>
        <v>0</v>
      </c>
      <c r="F1411" cm="1">
        <f t="array" ref="F1411">_xlfn.XLOOKUP(C1411,Account_Master!A:A,Account_Master!B:B,"Not on master")</f>
        <v>0</v>
      </c>
      <c r="G1411" cm="1">
        <f t="array" ref="G1411">_xlfn.XLOOKUP(C1411,Account_Master!A:A,Account_Master!C:C,"Not on master")</f>
        <v>0</v>
      </c>
      <c r="H1411" s="6">
        <v>1.5</v>
      </c>
      <c r="I1411" s="6">
        <v>1.5</v>
      </c>
      <c r="J1411" s="6">
        <f>I1411-H1411</f>
        <v>0</v>
      </c>
      <c r="K1411" s="5">
        <f>IF(H1411=0,"",J1411/H1411)</f>
        <v>0</v>
      </c>
      <c r="L1411">
        <f>IF(OR(AND(H1411=0,ABS(J1411)&gt;=0.01),AND(H1411&lt;&gt;0,ABS(K1411)&gt;VarianceThreshold)),"Review","OK")</f>
        <v>0</v>
      </c>
      <c r="M1411" t="s">
        <v>33</v>
      </c>
    </row>
    <row r="1412" spans="1:13">
      <c r="A1412" t="s">
        <v>2</v>
      </c>
      <c r="B1412" t="s">
        <v>134</v>
      </c>
      <c r="C1412" t="s">
        <v>1576</v>
      </c>
      <c r="D1412" t="s">
        <v>1636</v>
      </c>
      <c r="E1412" cm="1">
        <f t="array" ref="E1412">_xlfn.XLOOKUP(D1412,SKU_Master!A:A,SKU_Master!B:B,"Not on master")</f>
        <v>0</v>
      </c>
      <c r="F1412" cm="1">
        <f t="array" ref="F1412">_xlfn.XLOOKUP(C1412,Account_Master!A:A,Account_Master!B:B,"Not on master")</f>
        <v>0</v>
      </c>
      <c r="G1412" cm="1">
        <f t="array" ref="G1412">_xlfn.XLOOKUP(C1412,Account_Master!A:A,Account_Master!C:C,"Not on master")</f>
        <v>0</v>
      </c>
      <c r="H1412" s="6">
        <v>9</v>
      </c>
      <c r="I1412" s="6">
        <v>9</v>
      </c>
      <c r="J1412" s="6">
        <f>I1412-H1412</f>
        <v>0</v>
      </c>
      <c r="K1412" s="5">
        <f>IF(H1412=0,"",J1412/H1412)</f>
        <v>0</v>
      </c>
      <c r="L1412">
        <f>IF(OR(AND(H1412=0,ABS(J1412)&gt;=0.01),AND(H1412&lt;&gt;0,ABS(K1412)&gt;VarianceThreshold)),"Review","OK")</f>
        <v>0</v>
      </c>
      <c r="M1412" t="s">
        <v>33</v>
      </c>
    </row>
    <row r="1413" spans="1:13">
      <c r="A1413" t="s">
        <v>2</v>
      </c>
      <c r="B1413" t="s">
        <v>134</v>
      </c>
      <c r="C1413" t="s">
        <v>1612</v>
      </c>
      <c r="D1413" t="s">
        <v>1637</v>
      </c>
      <c r="E1413" cm="1">
        <f t="array" ref="E1413">_xlfn.XLOOKUP(D1413,SKU_Master!A:A,SKU_Master!B:B,"Not on master")</f>
        <v>0</v>
      </c>
      <c r="F1413" cm="1">
        <f t="array" ref="F1413">_xlfn.XLOOKUP(C1413,Account_Master!A:A,Account_Master!B:B,"Not on master")</f>
        <v>0</v>
      </c>
      <c r="G1413" cm="1">
        <f t="array" ref="G1413">_xlfn.XLOOKUP(C1413,Account_Master!A:A,Account_Master!C:C,"Not on master")</f>
        <v>0</v>
      </c>
      <c r="H1413" s="6">
        <v>1.5</v>
      </c>
      <c r="I1413" s="6">
        <v>1.5</v>
      </c>
      <c r="J1413" s="6">
        <f>I1413-H1413</f>
        <v>0</v>
      </c>
      <c r="K1413" s="5">
        <f>IF(H1413=0,"",J1413/H1413)</f>
        <v>0</v>
      </c>
      <c r="L1413">
        <f>IF(OR(AND(H1413=0,ABS(J1413)&gt;=0.01),AND(H1413&lt;&gt;0,ABS(K1413)&gt;VarianceThreshold)),"Review","OK")</f>
        <v>0</v>
      </c>
      <c r="M1413" t="s">
        <v>33</v>
      </c>
    </row>
    <row r="1414" spans="1:13">
      <c r="A1414" t="s">
        <v>2</v>
      </c>
      <c r="B1414" t="s">
        <v>143</v>
      </c>
      <c r="C1414" t="s">
        <v>1638</v>
      </c>
      <c r="D1414" t="s">
        <v>1402</v>
      </c>
      <c r="E1414" cm="1">
        <f t="array" ref="E1414">_xlfn.XLOOKUP(D1414,SKU_Master!A:A,SKU_Master!B:B,"Not on master")</f>
        <v>0</v>
      </c>
      <c r="F1414" cm="1">
        <f t="array" ref="F1414">_xlfn.XLOOKUP(C1414,Account_Master!A:A,Account_Master!B:B,"Not on master")</f>
        <v>0</v>
      </c>
      <c r="G1414" cm="1">
        <f t="array" ref="G1414">_xlfn.XLOOKUP(C1414,Account_Master!A:A,Account_Master!C:C,"Not on master")</f>
        <v>0</v>
      </c>
      <c r="H1414" s="6">
        <v>80.59999999999999</v>
      </c>
      <c r="I1414" s="6">
        <v>80.59999999999999</v>
      </c>
      <c r="J1414" s="6">
        <f>I1414-H1414</f>
        <v>0</v>
      </c>
      <c r="K1414" s="5">
        <f>IF(H1414=0,"",J1414/H1414)</f>
        <v>0</v>
      </c>
      <c r="L1414">
        <f>IF(OR(AND(H1414=0,ABS(J1414)&gt;=0.01),AND(H1414&lt;&gt;0,ABS(K1414)&gt;VarianceThreshold)),"Review","OK")</f>
        <v>0</v>
      </c>
      <c r="M1414" t="s">
        <v>33</v>
      </c>
    </row>
    <row r="1415" spans="1:13">
      <c r="A1415" t="s">
        <v>2</v>
      </c>
      <c r="B1415" t="s">
        <v>143</v>
      </c>
      <c r="C1415" t="s">
        <v>1581</v>
      </c>
      <c r="D1415" t="s">
        <v>1404</v>
      </c>
      <c r="E1415" cm="1">
        <f t="array" ref="E1415">_xlfn.XLOOKUP(D1415,SKU_Master!A:A,SKU_Master!B:B,"Not on master")</f>
        <v>0</v>
      </c>
      <c r="F1415" cm="1">
        <f t="array" ref="F1415">_xlfn.XLOOKUP(C1415,Account_Master!A:A,Account_Master!B:B,"Not on master")</f>
        <v>0</v>
      </c>
      <c r="G1415" cm="1">
        <f t="array" ref="G1415">_xlfn.XLOOKUP(C1415,Account_Master!A:A,Account_Master!C:C,"Not on master")</f>
        <v>0</v>
      </c>
      <c r="H1415" s="6">
        <v>1240.75</v>
      </c>
      <c r="I1415" s="6">
        <v>1218</v>
      </c>
      <c r="J1415" s="6">
        <f>I1415-H1415</f>
        <v>0</v>
      </c>
      <c r="K1415" s="5">
        <f>IF(H1415=0,"",J1415/H1415)</f>
        <v>0</v>
      </c>
      <c r="L1415">
        <f>IF(OR(AND(H1415=0,ABS(J1415)&gt;=0.01),AND(H1415&lt;&gt;0,ABS(K1415)&gt;VarianceThreshold)),"Review","OK")</f>
        <v>0</v>
      </c>
      <c r="M1415" t="s">
        <v>33</v>
      </c>
    </row>
    <row r="1416" spans="1:13">
      <c r="A1416" t="s">
        <v>2</v>
      </c>
      <c r="B1416" t="s">
        <v>143</v>
      </c>
      <c r="C1416" t="s">
        <v>1639</v>
      </c>
      <c r="D1416" t="s">
        <v>1640</v>
      </c>
      <c r="E1416" cm="1">
        <f t="array" ref="E1416">_xlfn.XLOOKUP(D1416,SKU_Master!A:A,SKU_Master!B:B,"Not on master")</f>
        <v>0</v>
      </c>
      <c r="F1416" cm="1">
        <f t="array" ref="F1416">_xlfn.XLOOKUP(C1416,Account_Master!A:A,Account_Master!B:B,"Not on master")</f>
        <v>0</v>
      </c>
      <c r="G1416" cm="1">
        <f t="array" ref="G1416">_xlfn.XLOOKUP(C1416,Account_Master!A:A,Account_Master!C:C,"Not on master")</f>
        <v>0</v>
      </c>
      <c r="H1416" s="6">
        <v>4.5</v>
      </c>
      <c r="I1416" s="6">
        <v>4.5</v>
      </c>
      <c r="J1416" s="6">
        <f>I1416-H1416</f>
        <v>0</v>
      </c>
      <c r="K1416" s="5">
        <f>IF(H1416=0,"",J1416/H1416)</f>
        <v>0</v>
      </c>
      <c r="L1416">
        <f>IF(OR(AND(H1416=0,ABS(J1416)&gt;=0.01),AND(H1416&lt;&gt;0,ABS(K1416)&gt;VarianceThreshold)),"Review","OK")</f>
        <v>0</v>
      </c>
      <c r="M1416" t="s">
        <v>33</v>
      </c>
    </row>
    <row r="1417" spans="1:13">
      <c r="A1417" t="s">
        <v>2</v>
      </c>
      <c r="B1417" t="s">
        <v>143</v>
      </c>
      <c r="C1417" t="s">
        <v>1641</v>
      </c>
      <c r="D1417" t="s">
        <v>360</v>
      </c>
      <c r="E1417" cm="1">
        <f t="array" ref="E1417">_xlfn.XLOOKUP(D1417,SKU_Master!A:A,SKU_Master!B:B,"Not on master")</f>
        <v>0</v>
      </c>
      <c r="F1417" cm="1">
        <f t="array" ref="F1417">_xlfn.XLOOKUP(C1417,Account_Master!A:A,Account_Master!B:B,"Not on master")</f>
        <v>0</v>
      </c>
      <c r="G1417" cm="1">
        <f t="array" ref="G1417">_xlfn.XLOOKUP(C1417,Account_Master!A:A,Account_Master!C:C,"Not on master")</f>
        <v>0</v>
      </c>
      <c r="H1417" s="6">
        <v>1</v>
      </c>
      <c r="I1417" s="6">
        <v>1</v>
      </c>
      <c r="J1417" s="6">
        <f>I1417-H1417</f>
        <v>0</v>
      </c>
      <c r="K1417" s="5">
        <f>IF(H1417=0,"",J1417/H1417)</f>
        <v>0</v>
      </c>
      <c r="L1417">
        <f>IF(OR(AND(H1417=0,ABS(J1417)&gt;=0.01),AND(H1417&lt;&gt;0,ABS(K1417)&gt;VarianceThreshold)),"Review","OK")</f>
        <v>0</v>
      </c>
      <c r="M1417" t="s">
        <v>33</v>
      </c>
    </row>
    <row r="1418" spans="1:13">
      <c r="A1418" t="s">
        <v>2</v>
      </c>
      <c r="B1418" t="s">
        <v>143</v>
      </c>
      <c r="C1418" t="s">
        <v>1642</v>
      </c>
      <c r="D1418" t="s">
        <v>1643</v>
      </c>
      <c r="E1418" cm="1">
        <f t="array" ref="E1418">_xlfn.XLOOKUP(D1418,SKU_Master!A:A,SKU_Master!B:B,"Not on master")</f>
        <v>0</v>
      </c>
      <c r="F1418" cm="1">
        <f t="array" ref="F1418">_xlfn.XLOOKUP(C1418,Account_Master!A:A,Account_Master!B:B,"Not on master")</f>
        <v>0</v>
      </c>
      <c r="G1418" cm="1">
        <f t="array" ref="G1418">_xlfn.XLOOKUP(C1418,Account_Master!A:A,Account_Master!C:C,"Not on master")</f>
        <v>0</v>
      </c>
      <c r="H1418" s="6">
        <v>36</v>
      </c>
      <c r="I1418" s="6">
        <v>24</v>
      </c>
      <c r="J1418" s="6">
        <f>I1418-H1418</f>
        <v>0</v>
      </c>
      <c r="K1418" s="5">
        <f>IF(H1418=0,"",J1418/H1418)</f>
        <v>0</v>
      </c>
      <c r="L1418">
        <f>IF(OR(AND(H1418=0,ABS(J1418)&gt;=0.01),AND(H1418&lt;&gt;0,ABS(K1418)&gt;VarianceThreshold)),"Review","OK")</f>
        <v>0</v>
      </c>
      <c r="M1418" t="s">
        <v>1611</v>
      </c>
    </row>
    <row r="1419" spans="1:13">
      <c r="A1419" t="s">
        <v>2</v>
      </c>
      <c r="B1419" t="s">
        <v>143</v>
      </c>
      <c r="C1419" t="s">
        <v>1580</v>
      </c>
      <c r="D1419" t="s">
        <v>1359</v>
      </c>
      <c r="E1419" cm="1">
        <f t="array" ref="E1419">_xlfn.XLOOKUP(D1419,SKU_Master!A:A,SKU_Master!B:B,"Not on master")</f>
        <v>0</v>
      </c>
      <c r="F1419" cm="1">
        <f t="array" ref="F1419">_xlfn.XLOOKUP(C1419,Account_Master!A:A,Account_Master!B:B,"Not on master")</f>
        <v>0</v>
      </c>
      <c r="G1419" cm="1">
        <f t="array" ref="G1419">_xlfn.XLOOKUP(C1419,Account_Master!A:A,Account_Master!C:C,"Not on master")</f>
        <v>0</v>
      </c>
      <c r="H1419" s="6">
        <v>2.25</v>
      </c>
      <c r="I1419" s="6">
        <v>2.25</v>
      </c>
      <c r="J1419" s="6">
        <f>I1419-H1419</f>
        <v>0</v>
      </c>
      <c r="K1419" s="5">
        <f>IF(H1419=0,"",J1419/H1419)</f>
        <v>0</v>
      </c>
      <c r="L1419">
        <f>IF(OR(AND(H1419=0,ABS(J1419)&gt;=0.01),AND(H1419&lt;&gt;0,ABS(K1419)&gt;VarianceThreshold)),"Review","OK")</f>
        <v>0</v>
      </c>
      <c r="M1419" t="s">
        <v>33</v>
      </c>
    </row>
    <row r="1420" spans="1:13">
      <c r="A1420" t="s">
        <v>2</v>
      </c>
      <c r="B1420" t="s">
        <v>143</v>
      </c>
      <c r="C1420" t="s">
        <v>1644</v>
      </c>
      <c r="D1420" t="s">
        <v>213</v>
      </c>
      <c r="E1420" cm="1">
        <f t="array" ref="E1420">_xlfn.XLOOKUP(D1420,SKU_Master!A:A,SKU_Master!B:B,"Not on master")</f>
        <v>0</v>
      </c>
      <c r="F1420" cm="1">
        <f t="array" ref="F1420">_xlfn.XLOOKUP(C1420,Account_Master!A:A,Account_Master!B:B,"Not on master")</f>
        <v>0</v>
      </c>
      <c r="G1420" cm="1">
        <f t="array" ref="G1420">_xlfn.XLOOKUP(C1420,Account_Master!A:A,Account_Master!C:C,"Not on master")</f>
        <v>0</v>
      </c>
      <c r="H1420" s="6">
        <v>1.5</v>
      </c>
      <c r="I1420" s="6">
        <v>1.5</v>
      </c>
      <c r="J1420" s="6">
        <f>I1420-H1420</f>
        <v>0</v>
      </c>
      <c r="K1420" s="5">
        <f>IF(H1420=0,"",J1420/H1420)</f>
        <v>0</v>
      </c>
      <c r="L1420">
        <f>IF(OR(AND(H1420=0,ABS(J1420)&gt;=0.01),AND(H1420&lt;&gt;0,ABS(K1420)&gt;VarianceThreshold)),"Review","OK")</f>
        <v>0</v>
      </c>
      <c r="M1420" t="s">
        <v>33</v>
      </c>
    </row>
    <row r="1421" spans="1:13">
      <c r="A1421" t="s">
        <v>2</v>
      </c>
      <c r="B1421" t="s">
        <v>143</v>
      </c>
      <c r="C1421" t="s">
        <v>1615</v>
      </c>
      <c r="D1421" t="s">
        <v>1645</v>
      </c>
      <c r="E1421" cm="1">
        <f t="array" ref="E1421">_xlfn.XLOOKUP(D1421,SKU_Master!A:A,SKU_Master!B:B,"Not on master")</f>
        <v>0</v>
      </c>
      <c r="F1421" cm="1">
        <f t="array" ref="F1421">_xlfn.XLOOKUP(C1421,Account_Master!A:A,Account_Master!B:B,"Not on master")</f>
        <v>0</v>
      </c>
      <c r="G1421" cm="1">
        <f t="array" ref="G1421">_xlfn.XLOOKUP(C1421,Account_Master!A:A,Account_Master!C:C,"Not on master")</f>
        <v>0</v>
      </c>
      <c r="H1421" s="6">
        <v>12</v>
      </c>
      <c r="I1421" s="6">
        <v>12</v>
      </c>
      <c r="J1421" s="6">
        <f>I1421-H1421</f>
        <v>0</v>
      </c>
      <c r="K1421" s="5">
        <f>IF(H1421=0,"",J1421/H1421)</f>
        <v>0</v>
      </c>
      <c r="L1421">
        <f>IF(OR(AND(H1421=0,ABS(J1421)&gt;=0.01),AND(H1421&lt;&gt;0,ABS(K1421)&gt;VarianceThreshold)),"Review","OK")</f>
        <v>0</v>
      </c>
      <c r="M1421" t="s">
        <v>33</v>
      </c>
    </row>
    <row r="1422" spans="1:13">
      <c r="A1422" t="s">
        <v>2</v>
      </c>
      <c r="B1422" t="s">
        <v>143</v>
      </c>
      <c r="C1422" t="s">
        <v>1646</v>
      </c>
      <c r="D1422" t="s">
        <v>1129</v>
      </c>
      <c r="E1422" cm="1">
        <f t="array" ref="E1422">_xlfn.XLOOKUP(D1422,SKU_Master!A:A,SKU_Master!B:B,"Not on master")</f>
        <v>0</v>
      </c>
      <c r="F1422" cm="1">
        <f t="array" ref="F1422">_xlfn.XLOOKUP(C1422,Account_Master!A:A,Account_Master!B:B,"Not on master")</f>
        <v>0</v>
      </c>
      <c r="G1422" cm="1">
        <f t="array" ref="G1422">_xlfn.XLOOKUP(C1422,Account_Master!A:A,Account_Master!C:C,"Not on master")</f>
        <v>0</v>
      </c>
      <c r="H1422" s="6">
        <v>4.5</v>
      </c>
      <c r="I1422" s="6">
        <v>4.5</v>
      </c>
      <c r="J1422" s="6">
        <f>I1422-H1422</f>
        <v>0</v>
      </c>
      <c r="K1422" s="5">
        <f>IF(H1422=0,"",J1422/H1422)</f>
        <v>0</v>
      </c>
      <c r="L1422">
        <f>IF(OR(AND(H1422=0,ABS(J1422)&gt;=0.01),AND(H1422&lt;&gt;0,ABS(K1422)&gt;VarianceThreshold)),"Review","OK")</f>
        <v>0</v>
      </c>
      <c r="M1422" t="s">
        <v>33</v>
      </c>
    </row>
    <row r="1423" spans="1:13">
      <c r="A1423" t="s">
        <v>2</v>
      </c>
      <c r="B1423" t="s">
        <v>154</v>
      </c>
      <c r="C1423" t="s">
        <v>1647</v>
      </c>
      <c r="D1423" t="s">
        <v>1648</v>
      </c>
      <c r="E1423" cm="1">
        <f t="array" ref="E1423">_xlfn.XLOOKUP(D1423,SKU_Master!A:A,SKU_Master!B:B,"Not on master")</f>
        <v>0</v>
      </c>
      <c r="F1423" cm="1">
        <f t="array" ref="F1423">_xlfn.XLOOKUP(C1423,Account_Master!A:A,Account_Master!B:B,"Not on master")</f>
        <v>0</v>
      </c>
      <c r="G1423" cm="1">
        <f t="array" ref="G1423">_xlfn.XLOOKUP(C1423,Account_Master!A:A,Account_Master!C:C,"Not on master")</f>
        <v>0</v>
      </c>
      <c r="H1423" s="6">
        <v>2.25</v>
      </c>
      <c r="I1423" s="6">
        <v>2.25</v>
      </c>
      <c r="J1423" s="6">
        <f>I1423-H1423</f>
        <v>0</v>
      </c>
      <c r="K1423" s="5">
        <f>IF(H1423=0,"",J1423/H1423)</f>
        <v>0</v>
      </c>
      <c r="L1423">
        <f>IF(OR(AND(H1423=0,ABS(J1423)&gt;=0.01),AND(H1423&lt;&gt;0,ABS(K1423)&gt;VarianceThreshold)),"Review","OK")</f>
        <v>0</v>
      </c>
      <c r="M1423" t="s">
        <v>33</v>
      </c>
    </row>
    <row r="1424" spans="1:13">
      <c r="A1424" t="s">
        <v>2</v>
      </c>
      <c r="B1424" t="s">
        <v>154</v>
      </c>
      <c r="C1424" t="s">
        <v>1577</v>
      </c>
      <c r="D1424" t="s">
        <v>1066</v>
      </c>
      <c r="E1424" cm="1">
        <f t="array" ref="E1424">_xlfn.XLOOKUP(D1424,SKU_Master!A:A,SKU_Master!B:B,"Not on master")</f>
        <v>0</v>
      </c>
      <c r="F1424" cm="1">
        <f t="array" ref="F1424">_xlfn.XLOOKUP(C1424,Account_Master!A:A,Account_Master!B:B,"Not on master")</f>
        <v>0</v>
      </c>
      <c r="G1424" cm="1">
        <f t="array" ref="G1424">_xlfn.XLOOKUP(C1424,Account_Master!A:A,Account_Master!C:C,"Not on master")</f>
        <v>0</v>
      </c>
      <c r="H1424" s="6">
        <v>0.05</v>
      </c>
      <c r="I1424" s="6">
        <v>0.05</v>
      </c>
      <c r="J1424" s="6">
        <f>I1424-H1424</f>
        <v>0</v>
      </c>
      <c r="K1424" s="5">
        <f>IF(H1424=0,"",J1424/H1424)</f>
        <v>0</v>
      </c>
      <c r="L1424">
        <f>IF(OR(AND(H1424=0,ABS(J1424)&gt;=0.01),AND(H1424&lt;&gt;0,ABS(K1424)&gt;VarianceThreshold)),"Review","OK")</f>
        <v>0</v>
      </c>
      <c r="M1424" t="s">
        <v>33</v>
      </c>
    </row>
    <row r="1425" spans="1:13">
      <c r="A1425" t="s">
        <v>2</v>
      </c>
      <c r="B1425" t="s">
        <v>160</v>
      </c>
      <c r="C1425" t="s">
        <v>1576</v>
      </c>
      <c r="D1425" t="s">
        <v>1520</v>
      </c>
      <c r="E1425" cm="1">
        <f t="array" ref="E1425">_xlfn.XLOOKUP(D1425,SKU_Master!A:A,SKU_Master!B:B,"Not on master")</f>
        <v>0</v>
      </c>
      <c r="F1425" cm="1">
        <f t="array" ref="F1425">_xlfn.XLOOKUP(C1425,Account_Master!A:A,Account_Master!B:B,"Not on master")</f>
        <v>0</v>
      </c>
      <c r="G1425" cm="1">
        <f t="array" ref="G1425">_xlfn.XLOOKUP(C1425,Account_Master!A:A,Account_Master!C:C,"Not on master")</f>
        <v>0</v>
      </c>
      <c r="H1425" s="6">
        <v>84</v>
      </c>
      <c r="I1425" s="6">
        <v>84</v>
      </c>
      <c r="J1425" s="6">
        <f>I1425-H1425</f>
        <v>0</v>
      </c>
      <c r="K1425" s="5">
        <f>IF(H1425=0,"",J1425/H1425)</f>
        <v>0</v>
      </c>
      <c r="L1425">
        <f>IF(OR(AND(H1425=0,ABS(J1425)&gt;=0.01),AND(H1425&lt;&gt;0,ABS(K1425)&gt;VarianceThreshold)),"Review","OK")</f>
        <v>0</v>
      </c>
      <c r="M1425" t="s">
        <v>33</v>
      </c>
    </row>
    <row r="1426" spans="1:13">
      <c r="A1426" t="s">
        <v>2</v>
      </c>
      <c r="B1426" t="s">
        <v>160</v>
      </c>
      <c r="C1426" t="s">
        <v>1595</v>
      </c>
      <c r="D1426" t="s">
        <v>1649</v>
      </c>
      <c r="E1426" cm="1">
        <f t="array" ref="E1426">_xlfn.XLOOKUP(D1426,SKU_Master!A:A,SKU_Master!B:B,"Not on master")</f>
        <v>0</v>
      </c>
      <c r="F1426" cm="1">
        <f t="array" ref="F1426">_xlfn.XLOOKUP(C1426,Account_Master!A:A,Account_Master!B:B,"Not on master")</f>
        <v>0</v>
      </c>
      <c r="G1426" cm="1">
        <f t="array" ref="G1426">_xlfn.XLOOKUP(C1426,Account_Master!A:A,Account_Master!C:C,"Not on master")</f>
        <v>0</v>
      </c>
      <c r="H1426" s="6">
        <v>1.4</v>
      </c>
      <c r="I1426" s="6">
        <v>1.4</v>
      </c>
      <c r="J1426" s="6">
        <f>I1426-H1426</f>
        <v>0</v>
      </c>
      <c r="K1426" s="5">
        <f>IF(H1426=0,"",J1426/H1426)</f>
        <v>0</v>
      </c>
      <c r="L1426">
        <f>IF(OR(AND(H1426=0,ABS(J1426)&gt;=0.01),AND(H1426&lt;&gt;0,ABS(K1426)&gt;VarianceThreshold)),"Review","OK")</f>
        <v>0</v>
      </c>
      <c r="M1426" t="s">
        <v>33</v>
      </c>
    </row>
    <row r="1427" spans="1:13">
      <c r="A1427" t="s">
        <v>2</v>
      </c>
      <c r="B1427" t="s">
        <v>160</v>
      </c>
      <c r="C1427" t="s">
        <v>1650</v>
      </c>
      <c r="D1427" t="s">
        <v>1651</v>
      </c>
      <c r="E1427" cm="1">
        <f t="array" ref="E1427">_xlfn.XLOOKUP(D1427,SKU_Master!A:A,SKU_Master!B:B,"Not on master")</f>
        <v>0</v>
      </c>
      <c r="F1427" cm="1">
        <f t="array" ref="F1427">_xlfn.XLOOKUP(C1427,Account_Master!A:A,Account_Master!B:B,"Not on master")</f>
        <v>0</v>
      </c>
      <c r="G1427" cm="1">
        <f t="array" ref="G1427">_xlfn.XLOOKUP(C1427,Account_Master!A:A,Account_Master!C:C,"Not on master")</f>
        <v>0</v>
      </c>
      <c r="H1427" s="6">
        <v>10.5</v>
      </c>
      <c r="I1427" s="6">
        <v>10.5</v>
      </c>
      <c r="J1427" s="6">
        <f>I1427-H1427</f>
        <v>0</v>
      </c>
      <c r="K1427" s="5">
        <f>IF(H1427=0,"",J1427/H1427)</f>
        <v>0</v>
      </c>
      <c r="L1427">
        <f>IF(OR(AND(H1427=0,ABS(J1427)&gt;=0.01),AND(H1427&lt;&gt;0,ABS(K1427)&gt;VarianceThreshold)),"Review","OK")</f>
        <v>0</v>
      </c>
      <c r="M1427" t="s">
        <v>33</v>
      </c>
    </row>
    <row r="1428" spans="1:13">
      <c r="A1428" t="s">
        <v>2</v>
      </c>
      <c r="B1428" t="s">
        <v>160</v>
      </c>
      <c r="C1428" t="s">
        <v>1612</v>
      </c>
      <c r="D1428" t="s">
        <v>1652</v>
      </c>
      <c r="E1428" cm="1">
        <f t="array" ref="E1428">_xlfn.XLOOKUP(D1428,SKU_Master!A:A,SKU_Master!B:B,"Not on master")</f>
        <v>0</v>
      </c>
      <c r="F1428" cm="1">
        <f t="array" ref="F1428">_xlfn.XLOOKUP(C1428,Account_Master!A:A,Account_Master!B:B,"Not on master")</f>
        <v>0</v>
      </c>
      <c r="G1428" cm="1">
        <f t="array" ref="G1428">_xlfn.XLOOKUP(C1428,Account_Master!A:A,Account_Master!C:C,"Not on master")</f>
        <v>0</v>
      </c>
      <c r="H1428" s="6">
        <v>2.25</v>
      </c>
      <c r="I1428" s="6">
        <v>2.25</v>
      </c>
      <c r="J1428" s="6">
        <f>I1428-H1428</f>
        <v>0</v>
      </c>
      <c r="K1428" s="5">
        <f>IF(H1428=0,"",J1428/H1428)</f>
        <v>0</v>
      </c>
      <c r="L1428">
        <f>IF(OR(AND(H1428=0,ABS(J1428)&gt;=0.01),AND(H1428&lt;&gt;0,ABS(K1428)&gt;VarianceThreshold)),"Review","OK")</f>
        <v>0</v>
      </c>
      <c r="M1428" t="s">
        <v>33</v>
      </c>
    </row>
    <row r="1429" spans="1:13">
      <c r="A1429" t="s">
        <v>2</v>
      </c>
      <c r="B1429" t="s">
        <v>160</v>
      </c>
      <c r="C1429" t="s">
        <v>1580</v>
      </c>
      <c r="D1429" t="s">
        <v>1653</v>
      </c>
      <c r="E1429" cm="1">
        <f t="array" ref="E1429">_xlfn.XLOOKUP(D1429,SKU_Master!A:A,SKU_Master!B:B,"Not on master")</f>
        <v>0</v>
      </c>
      <c r="F1429" cm="1">
        <f t="array" ref="F1429">_xlfn.XLOOKUP(C1429,Account_Master!A:A,Account_Master!B:B,"Not on master")</f>
        <v>0</v>
      </c>
      <c r="G1429" cm="1">
        <f t="array" ref="G1429">_xlfn.XLOOKUP(C1429,Account_Master!A:A,Account_Master!C:C,"Not on master")</f>
        <v>0</v>
      </c>
      <c r="H1429" s="6">
        <v>73.5</v>
      </c>
      <c r="I1429" s="6">
        <v>73.5</v>
      </c>
      <c r="J1429" s="6">
        <f>I1429-H1429</f>
        <v>0</v>
      </c>
      <c r="K1429" s="5">
        <f>IF(H1429=0,"",J1429/H1429)</f>
        <v>0</v>
      </c>
      <c r="L1429">
        <f>IF(OR(AND(H1429=0,ABS(J1429)&gt;=0.01),AND(H1429&lt;&gt;0,ABS(K1429)&gt;VarianceThreshold)),"Review","OK")</f>
        <v>0</v>
      </c>
      <c r="M1429" t="s">
        <v>33</v>
      </c>
    </row>
    <row r="1430" spans="1:13">
      <c r="A1430" t="s">
        <v>2</v>
      </c>
      <c r="B1430" t="s">
        <v>160</v>
      </c>
      <c r="C1430" t="s">
        <v>1602</v>
      </c>
      <c r="D1430" t="s">
        <v>1654</v>
      </c>
      <c r="E1430" cm="1">
        <f t="array" ref="E1430">_xlfn.XLOOKUP(D1430,SKU_Master!A:A,SKU_Master!B:B,"Not on master")</f>
        <v>0</v>
      </c>
      <c r="F1430" cm="1">
        <f t="array" ref="F1430">_xlfn.XLOOKUP(C1430,Account_Master!A:A,Account_Master!B:B,"Not on master")</f>
        <v>0</v>
      </c>
      <c r="G1430" cm="1">
        <f t="array" ref="G1430">_xlfn.XLOOKUP(C1430,Account_Master!A:A,Account_Master!C:C,"Not on master")</f>
        <v>0</v>
      </c>
      <c r="H1430" s="6">
        <v>9</v>
      </c>
      <c r="I1430" s="6">
        <v>9</v>
      </c>
      <c r="J1430" s="6">
        <f>I1430-H1430</f>
        <v>0</v>
      </c>
      <c r="K1430" s="5">
        <f>IF(H1430=0,"",J1430/H1430)</f>
        <v>0</v>
      </c>
      <c r="L1430">
        <f>IF(OR(AND(H1430=0,ABS(J1430)&gt;=0.01),AND(H1430&lt;&gt;0,ABS(K1430)&gt;VarianceThreshold)),"Review","OK")</f>
        <v>0</v>
      </c>
      <c r="M1430" t="s">
        <v>33</v>
      </c>
    </row>
    <row r="1431" spans="1:13">
      <c r="A1431" t="s">
        <v>2</v>
      </c>
      <c r="B1431" t="s">
        <v>160</v>
      </c>
      <c r="C1431" t="s">
        <v>1655</v>
      </c>
      <c r="D1431" t="s">
        <v>1656</v>
      </c>
      <c r="E1431" cm="1">
        <f t="array" ref="E1431">_xlfn.XLOOKUP(D1431,SKU_Master!A:A,SKU_Master!B:B,"Not on master")</f>
        <v>0</v>
      </c>
      <c r="F1431" cm="1">
        <f t="array" ref="F1431">_xlfn.XLOOKUP(C1431,Account_Master!A:A,Account_Master!B:B,"Not on master")</f>
        <v>0</v>
      </c>
      <c r="G1431" cm="1">
        <f t="array" ref="G1431">_xlfn.XLOOKUP(C1431,Account_Master!A:A,Account_Master!C:C,"Not on master")</f>
        <v>0</v>
      </c>
      <c r="H1431" s="6">
        <v>1.8</v>
      </c>
      <c r="I1431" s="6">
        <v>1.8</v>
      </c>
      <c r="J1431" s="6">
        <f>I1431-H1431</f>
        <v>0</v>
      </c>
      <c r="K1431" s="5">
        <f>IF(H1431=0,"",J1431/H1431)</f>
        <v>0</v>
      </c>
      <c r="L1431">
        <f>IF(OR(AND(H1431=0,ABS(J1431)&gt;=0.01),AND(H1431&lt;&gt;0,ABS(K1431)&gt;VarianceThreshold)),"Review","OK")</f>
        <v>0</v>
      </c>
      <c r="M1431" t="s">
        <v>33</v>
      </c>
    </row>
    <row r="1432" spans="1:13">
      <c r="A1432" t="s">
        <v>2</v>
      </c>
      <c r="B1432" t="s">
        <v>160</v>
      </c>
      <c r="C1432" t="s">
        <v>1574</v>
      </c>
      <c r="D1432" t="s">
        <v>1657</v>
      </c>
      <c r="E1432" cm="1">
        <f t="array" ref="E1432">_xlfn.XLOOKUP(D1432,SKU_Master!A:A,SKU_Master!B:B,"Not on master")</f>
        <v>0</v>
      </c>
      <c r="F1432" cm="1">
        <f t="array" ref="F1432">_xlfn.XLOOKUP(C1432,Account_Master!A:A,Account_Master!B:B,"Not on master")</f>
        <v>0</v>
      </c>
      <c r="G1432" cm="1">
        <f t="array" ref="G1432">_xlfn.XLOOKUP(C1432,Account_Master!A:A,Account_Master!C:C,"Not on master")</f>
        <v>0</v>
      </c>
      <c r="H1432" s="6">
        <v>18.75</v>
      </c>
      <c r="I1432" s="6">
        <v>18.75</v>
      </c>
      <c r="J1432" s="6">
        <f>I1432-H1432</f>
        <v>0</v>
      </c>
      <c r="K1432" s="5">
        <f>IF(H1432=0,"",J1432/H1432)</f>
        <v>0</v>
      </c>
      <c r="L1432">
        <f>IF(OR(AND(H1432=0,ABS(J1432)&gt;=0.01),AND(H1432&lt;&gt;0,ABS(K1432)&gt;VarianceThreshold)),"Review","OK")</f>
        <v>0</v>
      </c>
      <c r="M1432" t="s">
        <v>33</v>
      </c>
    </row>
    <row r="1433" spans="1:13">
      <c r="A1433" t="s">
        <v>2</v>
      </c>
      <c r="B1433" t="s">
        <v>170</v>
      </c>
      <c r="C1433" t="s">
        <v>1658</v>
      </c>
      <c r="D1433" t="s">
        <v>1659</v>
      </c>
      <c r="E1433" cm="1">
        <f t="array" ref="E1433">_xlfn.XLOOKUP(D1433,SKU_Master!A:A,SKU_Master!B:B,"Not on master")</f>
        <v>0</v>
      </c>
      <c r="F1433" cm="1">
        <f t="array" ref="F1433">_xlfn.XLOOKUP(C1433,Account_Master!A:A,Account_Master!B:B,"Not on master")</f>
        <v>0</v>
      </c>
      <c r="G1433" cm="1">
        <f t="array" ref="G1433">_xlfn.XLOOKUP(C1433,Account_Master!A:A,Account_Master!C:C,"Not on master")</f>
        <v>0</v>
      </c>
      <c r="H1433" s="6">
        <v>9</v>
      </c>
      <c r="I1433" s="6">
        <v>9</v>
      </c>
      <c r="J1433" s="6">
        <f>I1433-H1433</f>
        <v>0</v>
      </c>
      <c r="K1433" s="5">
        <f>IF(H1433=0,"",J1433/H1433)</f>
        <v>0</v>
      </c>
      <c r="L1433">
        <f>IF(OR(AND(H1433=0,ABS(J1433)&gt;=0.01),AND(H1433&lt;&gt;0,ABS(K1433)&gt;VarianceThreshold)),"Review","OK")</f>
        <v>0</v>
      </c>
      <c r="M1433" t="s">
        <v>33</v>
      </c>
    </row>
    <row r="1434" spans="1:13">
      <c r="A1434" t="s">
        <v>2</v>
      </c>
      <c r="B1434" t="s">
        <v>170</v>
      </c>
      <c r="C1434" t="s">
        <v>1628</v>
      </c>
      <c r="D1434" t="s">
        <v>1660</v>
      </c>
      <c r="E1434" cm="1">
        <f t="array" ref="E1434">_xlfn.XLOOKUP(D1434,SKU_Master!A:A,SKU_Master!B:B,"Not on master")</f>
        <v>0</v>
      </c>
      <c r="F1434" cm="1">
        <f t="array" ref="F1434">_xlfn.XLOOKUP(C1434,Account_Master!A:A,Account_Master!B:B,"Not on master")</f>
        <v>0</v>
      </c>
      <c r="G1434" cm="1">
        <f t="array" ref="G1434">_xlfn.XLOOKUP(C1434,Account_Master!A:A,Account_Master!C:C,"Not on master")</f>
        <v>0</v>
      </c>
      <c r="H1434" s="6">
        <v>31.5</v>
      </c>
      <c r="I1434" s="6">
        <v>31.5</v>
      </c>
      <c r="J1434" s="6">
        <f>I1434-H1434</f>
        <v>0</v>
      </c>
      <c r="K1434" s="5">
        <f>IF(H1434=0,"",J1434/H1434)</f>
        <v>0</v>
      </c>
      <c r="L1434">
        <f>IF(OR(AND(H1434=0,ABS(J1434)&gt;=0.01),AND(H1434&lt;&gt;0,ABS(K1434)&gt;VarianceThreshold)),"Review","OK")</f>
        <v>0</v>
      </c>
      <c r="M1434" t="s">
        <v>33</v>
      </c>
    </row>
    <row r="1435" spans="1:13">
      <c r="A1435" t="s">
        <v>2</v>
      </c>
      <c r="B1435" t="s">
        <v>170</v>
      </c>
      <c r="C1435" t="s">
        <v>1658</v>
      </c>
      <c r="D1435" t="s">
        <v>556</v>
      </c>
      <c r="E1435" cm="1">
        <f t="array" ref="E1435">_xlfn.XLOOKUP(D1435,SKU_Master!A:A,SKU_Master!B:B,"Not on master")</f>
        <v>0</v>
      </c>
      <c r="F1435" cm="1">
        <f t="array" ref="F1435">_xlfn.XLOOKUP(C1435,Account_Master!A:A,Account_Master!B:B,"Not on master")</f>
        <v>0</v>
      </c>
      <c r="G1435" cm="1">
        <f t="array" ref="G1435">_xlfn.XLOOKUP(C1435,Account_Master!A:A,Account_Master!C:C,"Not on master")</f>
        <v>0</v>
      </c>
      <c r="H1435" s="6">
        <v>29.25</v>
      </c>
      <c r="I1435" s="6">
        <v>29.25</v>
      </c>
      <c r="J1435" s="6">
        <f>I1435-H1435</f>
        <v>0</v>
      </c>
      <c r="K1435" s="5">
        <f>IF(H1435=0,"",J1435/H1435)</f>
        <v>0</v>
      </c>
      <c r="L1435">
        <f>IF(OR(AND(H1435=0,ABS(J1435)&gt;=0.01),AND(H1435&lt;&gt;0,ABS(K1435)&gt;VarianceThreshold)),"Review","OK")</f>
        <v>0</v>
      </c>
      <c r="M1435" t="s">
        <v>33</v>
      </c>
    </row>
    <row r="1436" spans="1:13">
      <c r="A1436" t="s">
        <v>2</v>
      </c>
      <c r="B1436" t="s">
        <v>170</v>
      </c>
      <c r="C1436" t="s">
        <v>1661</v>
      </c>
      <c r="D1436" t="s">
        <v>1287</v>
      </c>
      <c r="E1436" cm="1">
        <f t="array" ref="E1436">_xlfn.XLOOKUP(D1436,SKU_Master!A:A,SKU_Master!B:B,"Not on master")</f>
        <v>0</v>
      </c>
      <c r="F1436" cm="1">
        <f t="array" ref="F1436">_xlfn.XLOOKUP(C1436,Account_Master!A:A,Account_Master!B:B,"Not on master")</f>
        <v>0</v>
      </c>
      <c r="G1436" cm="1">
        <f t="array" ref="G1436">_xlfn.XLOOKUP(C1436,Account_Master!A:A,Account_Master!C:C,"Not on master")</f>
        <v>0</v>
      </c>
      <c r="H1436" s="6">
        <v>4.5</v>
      </c>
      <c r="I1436" s="6">
        <v>4.5</v>
      </c>
      <c r="J1436" s="6">
        <f>I1436-H1436</f>
        <v>0</v>
      </c>
      <c r="K1436" s="5">
        <f>IF(H1436=0,"",J1436/H1436)</f>
        <v>0</v>
      </c>
      <c r="L1436">
        <f>IF(OR(AND(H1436=0,ABS(J1436)&gt;=0.01),AND(H1436&lt;&gt;0,ABS(K1436)&gt;VarianceThreshold)),"Review","OK")</f>
        <v>0</v>
      </c>
      <c r="M1436" t="s">
        <v>33</v>
      </c>
    </row>
    <row r="1437" spans="1:13">
      <c r="A1437" t="s">
        <v>2</v>
      </c>
      <c r="B1437" t="s">
        <v>180</v>
      </c>
      <c r="C1437" t="s">
        <v>1574</v>
      </c>
      <c r="D1437" t="s">
        <v>1662</v>
      </c>
      <c r="E1437" cm="1">
        <f t="array" ref="E1437">_xlfn.XLOOKUP(D1437,SKU_Master!A:A,SKU_Master!B:B,"Not on master")</f>
        <v>0</v>
      </c>
      <c r="F1437" cm="1">
        <f t="array" ref="F1437">_xlfn.XLOOKUP(C1437,Account_Master!A:A,Account_Master!B:B,"Not on master")</f>
        <v>0</v>
      </c>
      <c r="G1437" cm="1">
        <f t="array" ref="G1437">_xlfn.XLOOKUP(C1437,Account_Master!A:A,Account_Master!C:C,"Not on master")</f>
        <v>0</v>
      </c>
      <c r="H1437" s="6">
        <v>9</v>
      </c>
      <c r="I1437" s="6">
        <v>0</v>
      </c>
      <c r="J1437" s="6">
        <f>I1437-H1437</f>
        <v>0</v>
      </c>
      <c r="K1437" s="5">
        <f>IF(H1437=0,"",J1437/H1437)</f>
        <v>0</v>
      </c>
      <c r="L1437">
        <f>IF(OR(AND(H1437=0,ABS(J1437)&gt;=0.01),AND(H1437&lt;&gt;0,ABS(K1437)&gt;VarianceThreshold)),"Review","OK")</f>
        <v>0</v>
      </c>
      <c r="M1437" t="s">
        <v>1611</v>
      </c>
    </row>
    <row r="1438" spans="1:13">
      <c r="A1438" t="s">
        <v>2</v>
      </c>
      <c r="B1438" t="s">
        <v>180</v>
      </c>
      <c r="C1438" t="s">
        <v>1586</v>
      </c>
      <c r="D1438" t="s">
        <v>1663</v>
      </c>
      <c r="E1438" cm="1">
        <f t="array" ref="E1438">_xlfn.XLOOKUP(D1438,SKU_Master!A:A,SKU_Master!B:B,"Not on master")</f>
        <v>0</v>
      </c>
      <c r="F1438" cm="1">
        <f t="array" ref="F1438">_xlfn.XLOOKUP(C1438,Account_Master!A:A,Account_Master!B:B,"Not on master")</f>
        <v>0</v>
      </c>
      <c r="G1438" cm="1">
        <f t="array" ref="G1438">_xlfn.XLOOKUP(C1438,Account_Master!A:A,Account_Master!C:C,"Not on master")</f>
        <v>0</v>
      </c>
      <c r="H1438" s="6">
        <v>12</v>
      </c>
      <c r="I1438" s="6">
        <v>12</v>
      </c>
      <c r="J1438" s="6">
        <f>I1438-H1438</f>
        <v>0</v>
      </c>
      <c r="K1438" s="5">
        <f>IF(H1438=0,"",J1438/H1438)</f>
        <v>0</v>
      </c>
      <c r="L1438">
        <f>IF(OR(AND(H1438=0,ABS(J1438)&gt;=0.01),AND(H1438&lt;&gt;0,ABS(K1438)&gt;VarianceThreshold)),"Review","OK")</f>
        <v>0</v>
      </c>
      <c r="M1438" t="s">
        <v>33</v>
      </c>
    </row>
    <row r="1439" spans="1:13">
      <c r="A1439" t="s">
        <v>2</v>
      </c>
      <c r="B1439" t="s">
        <v>180</v>
      </c>
      <c r="C1439" t="s">
        <v>1664</v>
      </c>
      <c r="D1439" t="s">
        <v>413</v>
      </c>
      <c r="E1439" cm="1">
        <f t="array" ref="E1439">_xlfn.XLOOKUP(D1439,SKU_Master!A:A,SKU_Master!B:B,"Not on master")</f>
        <v>0</v>
      </c>
      <c r="F1439" cm="1">
        <f t="array" ref="F1439">_xlfn.XLOOKUP(C1439,Account_Master!A:A,Account_Master!B:B,"Not on master")</f>
        <v>0</v>
      </c>
      <c r="G1439" cm="1">
        <f t="array" ref="G1439">_xlfn.XLOOKUP(C1439,Account_Master!A:A,Account_Master!C:C,"Not on master")</f>
        <v>0</v>
      </c>
      <c r="H1439" s="6">
        <v>18</v>
      </c>
      <c r="I1439" s="6">
        <v>18</v>
      </c>
      <c r="J1439" s="6">
        <f>I1439-H1439</f>
        <v>0</v>
      </c>
      <c r="K1439" s="5">
        <f>IF(H1439=0,"",J1439/H1439)</f>
        <v>0</v>
      </c>
      <c r="L1439">
        <f>IF(OR(AND(H1439=0,ABS(J1439)&gt;=0.01),AND(H1439&lt;&gt;0,ABS(K1439)&gt;VarianceThreshold)),"Review","OK")</f>
        <v>0</v>
      </c>
      <c r="M1439" t="s">
        <v>33</v>
      </c>
    </row>
    <row r="1440" spans="1:13">
      <c r="A1440" t="s">
        <v>2</v>
      </c>
      <c r="B1440" t="s">
        <v>180</v>
      </c>
      <c r="C1440" t="s">
        <v>1612</v>
      </c>
      <c r="D1440" t="s">
        <v>1665</v>
      </c>
      <c r="E1440" cm="1">
        <f t="array" ref="E1440">_xlfn.XLOOKUP(D1440,SKU_Master!A:A,SKU_Master!B:B,"Not on master")</f>
        <v>0</v>
      </c>
      <c r="F1440" cm="1">
        <f t="array" ref="F1440">_xlfn.XLOOKUP(C1440,Account_Master!A:A,Account_Master!B:B,"Not on master")</f>
        <v>0</v>
      </c>
      <c r="G1440" cm="1">
        <f t="array" ref="G1440">_xlfn.XLOOKUP(C1440,Account_Master!A:A,Account_Master!C:C,"Not on master")</f>
        <v>0</v>
      </c>
      <c r="H1440" s="6">
        <v>52.5</v>
      </c>
      <c r="I1440" s="6">
        <v>52.5</v>
      </c>
      <c r="J1440" s="6">
        <f>I1440-H1440</f>
        <v>0</v>
      </c>
      <c r="K1440" s="5">
        <f>IF(H1440=0,"",J1440/H1440)</f>
        <v>0</v>
      </c>
      <c r="L1440">
        <f>IF(OR(AND(H1440=0,ABS(J1440)&gt;=0.01),AND(H1440&lt;&gt;0,ABS(K1440)&gt;VarianceThreshold)),"Review","OK")</f>
        <v>0</v>
      </c>
      <c r="M1440" t="s">
        <v>33</v>
      </c>
    </row>
    <row r="1441" spans="1:13">
      <c r="A1441" t="s">
        <v>2</v>
      </c>
      <c r="B1441" t="s">
        <v>180</v>
      </c>
      <c r="C1441" t="s">
        <v>1661</v>
      </c>
      <c r="D1441" t="s">
        <v>1666</v>
      </c>
      <c r="E1441" cm="1">
        <f t="array" ref="E1441">_xlfn.XLOOKUP(D1441,SKU_Master!A:A,SKU_Master!B:B,"Not on master")</f>
        <v>0</v>
      </c>
      <c r="F1441" cm="1">
        <f t="array" ref="F1441">_xlfn.XLOOKUP(C1441,Account_Master!A:A,Account_Master!B:B,"Not on master")</f>
        <v>0</v>
      </c>
      <c r="G1441" cm="1">
        <f t="array" ref="G1441">_xlfn.XLOOKUP(C1441,Account_Master!A:A,Account_Master!C:C,"Not on master")</f>
        <v>0</v>
      </c>
      <c r="H1441" s="6">
        <v>36</v>
      </c>
      <c r="I1441" s="6">
        <v>24</v>
      </c>
      <c r="J1441" s="6">
        <f>I1441-H1441</f>
        <v>0</v>
      </c>
      <c r="K1441" s="5">
        <f>IF(H1441=0,"",J1441/H1441)</f>
        <v>0</v>
      </c>
      <c r="L1441">
        <f>IF(OR(AND(H1441=0,ABS(J1441)&gt;=0.01),AND(H1441&lt;&gt;0,ABS(K1441)&gt;VarianceThreshold)),"Review","OK")</f>
        <v>0</v>
      </c>
      <c r="M1441" t="s">
        <v>1611</v>
      </c>
    </row>
    <row r="1442" spans="1:13">
      <c r="A1442" t="s">
        <v>2</v>
      </c>
      <c r="B1442" t="s">
        <v>180</v>
      </c>
      <c r="C1442" t="s">
        <v>1667</v>
      </c>
      <c r="D1442" t="s">
        <v>1668</v>
      </c>
      <c r="E1442" cm="1">
        <f t="array" ref="E1442">_xlfn.XLOOKUP(D1442,SKU_Master!A:A,SKU_Master!B:B,"Not on master")</f>
        <v>0</v>
      </c>
      <c r="F1442" cm="1">
        <f t="array" ref="F1442">_xlfn.XLOOKUP(C1442,Account_Master!A:A,Account_Master!B:B,"Not on master")</f>
        <v>0</v>
      </c>
      <c r="G1442" cm="1">
        <f t="array" ref="G1442">_xlfn.XLOOKUP(C1442,Account_Master!A:A,Account_Master!C:C,"Not on master")</f>
        <v>0</v>
      </c>
      <c r="H1442" s="6">
        <v>0.6</v>
      </c>
      <c r="I1442" s="6">
        <v>0</v>
      </c>
      <c r="J1442" s="6">
        <f>I1442-H1442</f>
        <v>0</v>
      </c>
      <c r="K1442" s="5">
        <f>IF(H1442=0,"",J1442/H1442)</f>
        <v>0</v>
      </c>
      <c r="L1442">
        <f>IF(OR(AND(H1442=0,ABS(J1442)&gt;=0.01),AND(H1442&lt;&gt;0,ABS(K1442)&gt;VarianceThreshold)),"Review","OK")</f>
        <v>0</v>
      </c>
      <c r="M1442" t="s">
        <v>1611</v>
      </c>
    </row>
    <row r="1443" spans="1:13">
      <c r="A1443" t="s">
        <v>2</v>
      </c>
      <c r="B1443" t="s">
        <v>180</v>
      </c>
      <c r="C1443" t="s">
        <v>1622</v>
      </c>
      <c r="D1443" t="s">
        <v>1669</v>
      </c>
      <c r="E1443" cm="1">
        <f t="array" ref="E1443">_xlfn.XLOOKUP(D1443,SKU_Master!A:A,SKU_Master!B:B,"Not on master")</f>
        <v>0</v>
      </c>
      <c r="F1443" cm="1">
        <f t="array" ref="F1443">_xlfn.XLOOKUP(C1443,Account_Master!A:A,Account_Master!B:B,"Not on master")</f>
        <v>0</v>
      </c>
      <c r="G1443" cm="1">
        <f t="array" ref="G1443">_xlfn.XLOOKUP(C1443,Account_Master!A:A,Account_Master!C:C,"Not on master")</f>
        <v>0</v>
      </c>
      <c r="H1443" s="6">
        <v>9</v>
      </c>
      <c r="I1443" s="6">
        <v>9</v>
      </c>
      <c r="J1443" s="6">
        <f>I1443-H1443</f>
        <v>0</v>
      </c>
      <c r="K1443" s="5">
        <f>IF(H1443=0,"",J1443/H1443)</f>
        <v>0</v>
      </c>
      <c r="L1443">
        <f>IF(OR(AND(H1443=0,ABS(J1443)&gt;=0.01),AND(H1443&lt;&gt;0,ABS(K1443)&gt;VarianceThreshold)),"Review","OK")</f>
        <v>0</v>
      </c>
      <c r="M1443" t="s">
        <v>33</v>
      </c>
    </row>
    <row r="1444" spans="1:13">
      <c r="A1444" t="s">
        <v>2</v>
      </c>
      <c r="B1444" t="s">
        <v>180</v>
      </c>
      <c r="C1444" t="s">
        <v>1618</v>
      </c>
      <c r="D1444" t="s">
        <v>230</v>
      </c>
      <c r="E1444" cm="1">
        <f t="array" ref="E1444">_xlfn.XLOOKUP(D1444,SKU_Master!A:A,SKU_Master!B:B,"Not on master")</f>
        <v>0</v>
      </c>
      <c r="F1444" cm="1">
        <f t="array" ref="F1444">_xlfn.XLOOKUP(C1444,Account_Master!A:A,Account_Master!B:B,"Not on master")</f>
        <v>0</v>
      </c>
      <c r="G1444" cm="1">
        <f t="array" ref="G1444">_xlfn.XLOOKUP(C1444,Account_Master!A:A,Account_Master!C:C,"Not on master")</f>
        <v>0</v>
      </c>
      <c r="H1444" s="6">
        <v>0.9</v>
      </c>
      <c r="I1444" s="6">
        <v>0.9</v>
      </c>
      <c r="J1444" s="6">
        <f>I1444-H1444</f>
        <v>0</v>
      </c>
      <c r="K1444" s="5">
        <f>IF(H1444=0,"",J1444/H1444)</f>
        <v>0</v>
      </c>
      <c r="L1444">
        <f>IF(OR(AND(H1444=0,ABS(J1444)&gt;=0.01),AND(H1444&lt;&gt;0,ABS(K1444)&gt;VarianceThreshold)),"Review","OK")</f>
        <v>0</v>
      </c>
      <c r="M1444" t="s">
        <v>33</v>
      </c>
    </row>
    <row r="1445" spans="1:13">
      <c r="A1445" t="s">
        <v>2</v>
      </c>
      <c r="B1445" t="s">
        <v>193</v>
      </c>
      <c r="C1445" t="s">
        <v>1670</v>
      </c>
      <c r="D1445" t="s">
        <v>1671</v>
      </c>
      <c r="E1445" cm="1">
        <f t="array" ref="E1445">_xlfn.XLOOKUP(D1445,SKU_Master!A:A,SKU_Master!B:B,"Not on master")</f>
        <v>0</v>
      </c>
      <c r="F1445" cm="1">
        <f t="array" ref="F1445">_xlfn.XLOOKUP(C1445,Account_Master!A:A,Account_Master!B:B,"Not on master")</f>
        <v>0</v>
      </c>
      <c r="G1445" cm="1">
        <f t="array" ref="G1445">_xlfn.XLOOKUP(C1445,Account_Master!A:A,Account_Master!C:C,"Not on master")</f>
        <v>0</v>
      </c>
      <c r="H1445" s="6">
        <v>3</v>
      </c>
      <c r="I1445" s="6">
        <v>3</v>
      </c>
      <c r="J1445" s="6">
        <f>I1445-H1445</f>
        <v>0</v>
      </c>
      <c r="K1445" s="5">
        <f>IF(H1445=0,"",J1445/H1445)</f>
        <v>0</v>
      </c>
      <c r="L1445">
        <f>IF(OR(AND(H1445=0,ABS(J1445)&gt;=0.01),AND(H1445&lt;&gt;0,ABS(K1445)&gt;VarianceThreshold)),"Review","OK")</f>
        <v>0</v>
      </c>
      <c r="M1445" t="s">
        <v>33</v>
      </c>
    </row>
    <row r="1446" spans="1:13">
      <c r="A1446" t="s">
        <v>2</v>
      </c>
      <c r="B1446" t="s">
        <v>193</v>
      </c>
      <c r="C1446" t="s">
        <v>1641</v>
      </c>
      <c r="D1446" t="s">
        <v>1672</v>
      </c>
      <c r="E1446" cm="1">
        <f t="array" ref="E1446">_xlfn.XLOOKUP(D1446,SKU_Master!A:A,SKU_Master!B:B,"Not on master")</f>
        <v>0</v>
      </c>
      <c r="F1446" cm="1">
        <f t="array" ref="F1446">_xlfn.XLOOKUP(C1446,Account_Master!A:A,Account_Master!B:B,"Not on master")</f>
        <v>0</v>
      </c>
      <c r="G1446" cm="1">
        <f t="array" ref="G1446">_xlfn.XLOOKUP(C1446,Account_Master!A:A,Account_Master!C:C,"Not on master")</f>
        <v>0</v>
      </c>
      <c r="H1446" s="6">
        <v>11.25</v>
      </c>
      <c r="I1446" s="6">
        <v>11.25</v>
      </c>
      <c r="J1446" s="6">
        <f>I1446-H1446</f>
        <v>0</v>
      </c>
      <c r="K1446" s="5">
        <f>IF(H1446=0,"",J1446/H1446)</f>
        <v>0</v>
      </c>
      <c r="L1446">
        <f>IF(OR(AND(H1446=0,ABS(J1446)&gt;=0.01),AND(H1446&lt;&gt;0,ABS(K1446)&gt;VarianceThreshold)),"Review","OK")</f>
        <v>0</v>
      </c>
      <c r="M1446" t="s">
        <v>33</v>
      </c>
    </row>
    <row r="1447" spans="1:13">
      <c r="A1447" t="s">
        <v>2</v>
      </c>
      <c r="B1447" t="s">
        <v>205</v>
      </c>
      <c r="C1447" t="s">
        <v>1624</v>
      </c>
      <c r="D1447" t="s">
        <v>683</v>
      </c>
      <c r="E1447" cm="1">
        <f t="array" ref="E1447">_xlfn.XLOOKUP(D1447,SKU_Master!A:A,SKU_Master!B:B,"Not on master")</f>
        <v>0</v>
      </c>
      <c r="F1447" cm="1">
        <f t="array" ref="F1447">_xlfn.XLOOKUP(C1447,Account_Master!A:A,Account_Master!B:B,"Not on master")</f>
        <v>0</v>
      </c>
      <c r="G1447" cm="1">
        <f t="array" ref="G1447">_xlfn.XLOOKUP(C1447,Account_Master!A:A,Account_Master!C:C,"Not on master")</f>
        <v>0</v>
      </c>
      <c r="H1447" s="6">
        <v>0.95</v>
      </c>
      <c r="I1447" s="6">
        <v>0.95</v>
      </c>
      <c r="J1447" s="6">
        <f>I1447-H1447</f>
        <v>0</v>
      </c>
      <c r="K1447" s="5">
        <f>IF(H1447=0,"",J1447/H1447)</f>
        <v>0</v>
      </c>
      <c r="L1447">
        <f>IF(OR(AND(H1447=0,ABS(J1447)&gt;=0.01),AND(H1447&lt;&gt;0,ABS(K1447)&gt;VarianceThreshold)),"Review","OK")</f>
        <v>0</v>
      </c>
      <c r="M1447" t="s">
        <v>33</v>
      </c>
    </row>
    <row r="1448" spans="1:13">
      <c r="A1448" t="s">
        <v>2</v>
      </c>
      <c r="B1448" t="s">
        <v>205</v>
      </c>
      <c r="C1448" t="s">
        <v>1602</v>
      </c>
      <c r="D1448" t="s">
        <v>1673</v>
      </c>
      <c r="E1448" cm="1">
        <f t="array" ref="E1448">_xlfn.XLOOKUP(D1448,SKU_Master!A:A,SKU_Master!B:B,"Not on master")</f>
        <v>0</v>
      </c>
      <c r="F1448" cm="1">
        <f t="array" ref="F1448">_xlfn.XLOOKUP(C1448,Account_Master!A:A,Account_Master!B:B,"Not on master")</f>
        <v>0</v>
      </c>
      <c r="G1448" cm="1">
        <f t="array" ref="G1448">_xlfn.XLOOKUP(C1448,Account_Master!A:A,Account_Master!C:C,"Not on master")</f>
        <v>0</v>
      </c>
      <c r="H1448" s="6">
        <v>9</v>
      </c>
      <c r="I1448" s="6">
        <v>9</v>
      </c>
      <c r="J1448" s="6">
        <f>I1448-H1448</f>
        <v>0</v>
      </c>
      <c r="K1448" s="5">
        <f>IF(H1448=0,"",J1448/H1448)</f>
        <v>0</v>
      </c>
      <c r="L1448">
        <f>IF(OR(AND(H1448=0,ABS(J1448)&gt;=0.01),AND(H1448&lt;&gt;0,ABS(K1448)&gt;VarianceThreshold)),"Review","OK")</f>
        <v>0</v>
      </c>
      <c r="M1448" t="s">
        <v>33</v>
      </c>
    </row>
    <row r="1449" spans="1:13">
      <c r="A1449" t="s">
        <v>2</v>
      </c>
      <c r="B1449" t="s">
        <v>205</v>
      </c>
      <c r="C1449" t="s">
        <v>1674</v>
      </c>
      <c r="D1449" t="s">
        <v>916</v>
      </c>
      <c r="E1449" cm="1">
        <f t="array" ref="E1449">_xlfn.XLOOKUP(D1449,SKU_Master!A:A,SKU_Master!B:B,"Not on master")</f>
        <v>0</v>
      </c>
      <c r="F1449" cm="1">
        <f t="array" ref="F1449">_xlfn.XLOOKUP(C1449,Account_Master!A:A,Account_Master!B:B,"Not on master")</f>
        <v>0</v>
      </c>
      <c r="G1449" cm="1">
        <f t="array" ref="G1449">_xlfn.XLOOKUP(C1449,Account_Master!A:A,Account_Master!C:C,"Not on master")</f>
        <v>0</v>
      </c>
      <c r="H1449" s="6">
        <v>11.6</v>
      </c>
      <c r="I1449" s="6">
        <v>11.6</v>
      </c>
      <c r="J1449" s="6">
        <f>I1449-H1449</f>
        <v>0</v>
      </c>
      <c r="K1449" s="5">
        <f>IF(H1449=0,"",J1449/H1449)</f>
        <v>0</v>
      </c>
      <c r="L1449">
        <f>IF(OR(AND(H1449=0,ABS(J1449)&gt;=0.01),AND(H1449&lt;&gt;0,ABS(K1449)&gt;VarianceThreshold)),"Review","OK")</f>
        <v>0</v>
      </c>
      <c r="M1449" t="s">
        <v>33</v>
      </c>
    </row>
    <row r="1450" spans="1:13">
      <c r="A1450" t="s">
        <v>2</v>
      </c>
      <c r="B1450" t="s">
        <v>205</v>
      </c>
      <c r="C1450" t="s">
        <v>1577</v>
      </c>
      <c r="D1450" t="s">
        <v>1675</v>
      </c>
      <c r="E1450" cm="1">
        <f t="array" ref="E1450">_xlfn.XLOOKUP(D1450,SKU_Master!A:A,SKU_Master!B:B,"Not on master")</f>
        <v>0</v>
      </c>
      <c r="F1450" cm="1">
        <f t="array" ref="F1450">_xlfn.XLOOKUP(C1450,Account_Master!A:A,Account_Master!B:B,"Not on master")</f>
        <v>0</v>
      </c>
      <c r="G1450" cm="1">
        <f t="array" ref="G1450">_xlfn.XLOOKUP(C1450,Account_Master!A:A,Account_Master!C:C,"Not on master")</f>
        <v>0</v>
      </c>
      <c r="H1450" s="6">
        <v>6</v>
      </c>
      <c r="I1450" s="6">
        <v>6</v>
      </c>
      <c r="J1450" s="6">
        <f>I1450-H1450</f>
        <v>0</v>
      </c>
      <c r="K1450" s="5">
        <f>IF(H1450=0,"",J1450/H1450)</f>
        <v>0</v>
      </c>
      <c r="L1450">
        <f>IF(OR(AND(H1450=0,ABS(J1450)&gt;=0.01),AND(H1450&lt;&gt;0,ABS(K1450)&gt;VarianceThreshold)),"Review","OK")</f>
        <v>0</v>
      </c>
      <c r="M1450" t="s">
        <v>33</v>
      </c>
    </row>
    <row r="1451" spans="1:13">
      <c r="A1451" t="s">
        <v>2</v>
      </c>
      <c r="B1451" t="s">
        <v>205</v>
      </c>
      <c r="C1451" t="s">
        <v>1578</v>
      </c>
      <c r="D1451" t="s">
        <v>1676</v>
      </c>
      <c r="E1451" cm="1">
        <f t="array" ref="E1451">_xlfn.XLOOKUP(D1451,SKU_Master!A:A,SKU_Master!B:B,"Not on master")</f>
        <v>0</v>
      </c>
      <c r="F1451" cm="1">
        <f t="array" ref="F1451">_xlfn.XLOOKUP(C1451,Account_Master!A:A,Account_Master!B:B,"Not on master")</f>
        <v>0</v>
      </c>
      <c r="G1451" cm="1">
        <f t="array" ref="G1451">_xlfn.XLOOKUP(C1451,Account_Master!A:A,Account_Master!C:C,"Not on master")</f>
        <v>0</v>
      </c>
      <c r="H1451" s="6">
        <v>2.25</v>
      </c>
      <c r="I1451" s="6">
        <v>2.25</v>
      </c>
      <c r="J1451" s="6">
        <f>I1451-H1451</f>
        <v>0</v>
      </c>
      <c r="K1451" s="5">
        <f>IF(H1451=0,"",J1451/H1451)</f>
        <v>0</v>
      </c>
      <c r="L1451">
        <f>IF(OR(AND(H1451=0,ABS(J1451)&gt;=0.01),AND(H1451&lt;&gt;0,ABS(K1451)&gt;VarianceThreshold)),"Review","OK")</f>
        <v>0</v>
      </c>
      <c r="M1451" t="s">
        <v>33</v>
      </c>
    </row>
    <row r="1452" spans="1:13">
      <c r="A1452" t="s">
        <v>2</v>
      </c>
      <c r="B1452" t="s">
        <v>205</v>
      </c>
      <c r="C1452" t="s">
        <v>1612</v>
      </c>
      <c r="D1452" t="s">
        <v>1677</v>
      </c>
      <c r="E1452" cm="1">
        <f t="array" ref="E1452">_xlfn.XLOOKUP(D1452,SKU_Master!A:A,SKU_Master!B:B,"Not on master")</f>
        <v>0</v>
      </c>
      <c r="F1452" cm="1">
        <f t="array" ref="F1452">_xlfn.XLOOKUP(C1452,Account_Master!A:A,Account_Master!B:B,"Not on master")</f>
        <v>0</v>
      </c>
      <c r="G1452" cm="1">
        <f t="array" ref="G1452">_xlfn.XLOOKUP(C1452,Account_Master!A:A,Account_Master!C:C,"Not on master")</f>
        <v>0</v>
      </c>
      <c r="H1452" s="6">
        <v>1.5</v>
      </c>
      <c r="I1452" s="6">
        <v>1.5</v>
      </c>
      <c r="J1452" s="6">
        <f>I1452-H1452</f>
        <v>0</v>
      </c>
      <c r="K1452" s="5">
        <f>IF(H1452=0,"",J1452/H1452)</f>
        <v>0</v>
      </c>
      <c r="L1452">
        <f>IF(OR(AND(H1452=0,ABS(J1452)&gt;=0.01),AND(H1452&lt;&gt;0,ABS(K1452)&gt;VarianceThreshold)),"Review","OK")</f>
        <v>0</v>
      </c>
      <c r="M1452" t="s">
        <v>33</v>
      </c>
    </row>
    <row r="1453" spans="1:13">
      <c r="A1453" t="s">
        <v>2</v>
      </c>
      <c r="B1453" t="s">
        <v>205</v>
      </c>
      <c r="C1453" t="s">
        <v>1594</v>
      </c>
      <c r="D1453" t="s">
        <v>1205</v>
      </c>
      <c r="E1453" cm="1">
        <f t="array" ref="E1453">_xlfn.XLOOKUP(D1453,SKU_Master!A:A,SKU_Master!B:B,"Not on master")</f>
        <v>0</v>
      </c>
      <c r="F1453" cm="1">
        <f t="array" ref="F1453">_xlfn.XLOOKUP(C1453,Account_Master!A:A,Account_Master!B:B,"Not on master")</f>
        <v>0</v>
      </c>
      <c r="G1453" cm="1">
        <f t="array" ref="G1453">_xlfn.XLOOKUP(C1453,Account_Master!A:A,Account_Master!C:C,"Not on master")</f>
        <v>0</v>
      </c>
      <c r="H1453" s="6">
        <v>9</v>
      </c>
      <c r="I1453" s="6">
        <v>9</v>
      </c>
      <c r="J1453" s="6">
        <f>I1453-H1453</f>
        <v>0</v>
      </c>
      <c r="K1453" s="5">
        <f>IF(H1453=0,"",J1453/H1453)</f>
        <v>0</v>
      </c>
      <c r="L1453">
        <f>IF(OR(AND(H1453=0,ABS(J1453)&gt;=0.01),AND(H1453&lt;&gt;0,ABS(K1453)&gt;VarianceThreshold)),"Review","OK")</f>
        <v>0</v>
      </c>
      <c r="M1453" t="s">
        <v>33</v>
      </c>
    </row>
    <row r="1454" spans="1:13">
      <c r="A1454" t="s">
        <v>2</v>
      </c>
      <c r="B1454" t="s">
        <v>205</v>
      </c>
      <c r="C1454" t="s">
        <v>1678</v>
      </c>
      <c r="D1454" t="s">
        <v>1481</v>
      </c>
      <c r="E1454" cm="1">
        <f t="array" ref="E1454">_xlfn.XLOOKUP(D1454,SKU_Master!A:A,SKU_Master!B:B,"Not on master")</f>
        <v>0</v>
      </c>
      <c r="F1454" cm="1">
        <f t="array" ref="F1454">_xlfn.XLOOKUP(C1454,Account_Master!A:A,Account_Master!B:B,"Not on master")</f>
        <v>0</v>
      </c>
      <c r="G1454" cm="1">
        <f t="array" ref="G1454">_xlfn.XLOOKUP(C1454,Account_Master!A:A,Account_Master!C:C,"Not on master")</f>
        <v>0</v>
      </c>
      <c r="H1454" s="6">
        <v>9</v>
      </c>
      <c r="I1454" s="6">
        <v>9</v>
      </c>
      <c r="J1454" s="6">
        <f>I1454-H1454</f>
        <v>0</v>
      </c>
      <c r="K1454" s="5">
        <f>IF(H1454=0,"",J1454/H1454)</f>
        <v>0</v>
      </c>
      <c r="L1454">
        <f>IF(OR(AND(H1454=0,ABS(J1454)&gt;=0.01),AND(H1454&lt;&gt;0,ABS(K1454)&gt;VarianceThreshold)),"Review","OK")</f>
        <v>0</v>
      </c>
      <c r="M1454" t="s">
        <v>33</v>
      </c>
    </row>
    <row r="1455" spans="1:13">
      <c r="A1455" t="s">
        <v>2</v>
      </c>
      <c r="B1455" t="s">
        <v>205</v>
      </c>
      <c r="C1455" t="s">
        <v>1642</v>
      </c>
      <c r="D1455" t="s">
        <v>947</v>
      </c>
      <c r="E1455" cm="1">
        <f t="array" ref="E1455">_xlfn.XLOOKUP(D1455,SKU_Master!A:A,SKU_Master!B:B,"Not on master")</f>
        <v>0</v>
      </c>
      <c r="F1455" cm="1">
        <f t="array" ref="F1455">_xlfn.XLOOKUP(C1455,Account_Master!A:A,Account_Master!B:B,"Not on master")</f>
        <v>0</v>
      </c>
      <c r="G1455" cm="1">
        <f t="array" ref="G1455">_xlfn.XLOOKUP(C1455,Account_Master!A:A,Account_Master!C:C,"Not on master")</f>
        <v>0</v>
      </c>
      <c r="H1455" s="6">
        <v>6</v>
      </c>
      <c r="I1455" s="6">
        <v>6</v>
      </c>
      <c r="J1455" s="6">
        <f>I1455-H1455</f>
        <v>0</v>
      </c>
      <c r="K1455" s="5">
        <f>IF(H1455=0,"",J1455/H1455)</f>
        <v>0</v>
      </c>
      <c r="L1455">
        <f>IF(OR(AND(H1455=0,ABS(J1455)&gt;=0.01),AND(H1455&lt;&gt;0,ABS(K1455)&gt;VarianceThreshold)),"Review","OK")</f>
        <v>0</v>
      </c>
      <c r="M1455" t="s">
        <v>33</v>
      </c>
    </row>
    <row r="1456" spans="1:13">
      <c r="A1456" t="s">
        <v>2</v>
      </c>
      <c r="B1456" t="s">
        <v>216</v>
      </c>
      <c r="C1456" t="s">
        <v>1679</v>
      </c>
      <c r="D1456" t="s">
        <v>240</v>
      </c>
      <c r="E1456" cm="1">
        <f t="array" ref="E1456">_xlfn.XLOOKUP(D1456,SKU_Master!A:A,SKU_Master!B:B,"Not on master")</f>
        <v>0</v>
      </c>
      <c r="F1456" cm="1">
        <f t="array" ref="F1456">_xlfn.XLOOKUP(C1456,Account_Master!A:A,Account_Master!B:B,"Not on master")</f>
        <v>0</v>
      </c>
      <c r="G1456" cm="1">
        <f t="array" ref="G1456">_xlfn.XLOOKUP(C1456,Account_Master!A:A,Account_Master!C:C,"Not on master")</f>
        <v>0</v>
      </c>
      <c r="H1456" s="6">
        <v>273</v>
      </c>
      <c r="I1456" s="6">
        <v>252</v>
      </c>
      <c r="J1456" s="6">
        <f>I1456-H1456</f>
        <v>0</v>
      </c>
      <c r="K1456" s="5">
        <f>IF(H1456=0,"",J1456/H1456)</f>
        <v>0</v>
      </c>
      <c r="L1456">
        <f>IF(OR(AND(H1456=0,ABS(J1456)&gt;=0.01),AND(H1456&lt;&gt;0,ABS(K1456)&gt;VarianceThreshold)),"Review","OK")</f>
        <v>0</v>
      </c>
      <c r="M1456" t="s">
        <v>1611</v>
      </c>
    </row>
    <row r="1457" spans="1:13">
      <c r="A1457" t="s">
        <v>2</v>
      </c>
      <c r="B1457" t="s">
        <v>216</v>
      </c>
      <c r="C1457" t="s">
        <v>1680</v>
      </c>
      <c r="D1457" t="s">
        <v>1681</v>
      </c>
      <c r="E1457" cm="1">
        <f t="array" ref="E1457">_xlfn.XLOOKUP(D1457,SKU_Master!A:A,SKU_Master!B:B,"Not on master")</f>
        <v>0</v>
      </c>
      <c r="F1457" cm="1">
        <f t="array" ref="F1457">_xlfn.XLOOKUP(C1457,Account_Master!A:A,Account_Master!B:B,"Not on master")</f>
        <v>0</v>
      </c>
      <c r="G1457" cm="1">
        <f t="array" ref="G1457">_xlfn.XLOOKUP(C1457,Account_Master!A:A,Account_Master!C:C,"Not on master")</f>
        <v>0</v>
      </c>
      <c r="H1457" s="6">
        <v>104.25</v>
      </c>
      <c r="I1457" s="6">
        <v>104.25</v>
      </c>
      <c r="J1457" s="6">
        <f>I1457-H1457</f>
        <v>0</v>
      </c>
      <c r="K1457" s="5">
        <f>IF(H1457=0,"",J1457/H1457)</f>
        <v>0</v>
      </c>
      <c r="L1457">
        <f>IF(OR(AND(H1457=0,ABS(J1457)&gt;=0.01),AND(H1457&lt;&gt;0,ABS(K1457)&gt;VarianceThreshold)),"Review","OK")</f>
        <v>0</v>
      </c>
      <c r="M1457" t="s">
        <v>33</v>
      </c>
    </row>
    <row r="1458" spans="1:13">
      <c r="A1458" t="s">
        <v>2</v>
      </c>
      <c r="B1458" t="s">
        <v>216</v>
      </c>
      <c r="C1458" t="s">
        <v>1605</v>
      </c>
      <c r="D1458" t="s">
        <v>792</v>
      </c>
      <c r="E1458" cm="1">
        <f t="array" ref="E1458">_xlfn.XLOOKUP(D1458,SKU_Master!A:A,SKU_Master!B:B,"Not on master")</f>
        <v>0</v>
      </c>
      <c r="F1458" cm="1">
        <f t="array" ref="F1458">_xlfn.XLOOKUP(C1458,Account_Master!A:A,Account_Master!B:B,"Not on master")</f>
        <v>0</v>
      </c>
      <c r="G1458" cm="1">
        <f t="array" ref="G1458">_xlfn.XLOOKUP(C1458,Account_Master!A:A,Account_Master!C:C,"Not on master")</f>
        <v>0</v>
      </c>
      <c r="H1458" s="6">
        <v>1.5</v>
      </c>
      <c r="I1458" s="6">
        <v>1.5</v>
      </c>
      <c r="J1458" s="6">
        <f>I1458-H1458</f>
        <v>0</v>
      </c>
      <c r="K1458" s="5">
        <f>IF(H1458=0,"",J1458/H1458)</f>
        <v>0</v>
      </c>
      <c r="L1458">
        <f>IF(OR(AND(H1458=0,ABS(J1458)&gt;=0.01),AND(H1458&lt;&gt;0,ABS(K1458)&gt;VarianceThreshold)),"Review","OK")</f>
        <v>0</v>
      </c>
      <c r="M1458" t="s">
        <v>33</v>
      </c>
    </row>
    <row r="1459" spans="1:13">
      <c r="A1459" t="s">
        <v>2</v>
      </c>
      <c r="B1459" t="s">
        <v>216</v>
      </c>
      <c r="C1459" t="s">
        <v>1576</v>
      </c>
      <c r="D1459" t="s">
        <v>1525</v>
      </c>
      <c r="E1459" cm="1">
        <f t="array" ref="E1459">_xlfn.XLOOKUP(D1459,SKU_Master!A:A,SKU_Master!B:B,"Not on master")</f>
        <v>0</v>
      </c>
      <c r="F1459" cm="1">
        <f t="array" ref="F1459">_xlfn.XLOOKUP(C1459,Account_Master!A:A,Account_Master!B:B,"Not on master")</f>
        <v>0</v>
      </c>
      <c r="G1459" cm="1">
        <f t="array" ref="G1459">_xlfn.XLOOKUP(C1459,Account_Master!A:A,Account_Master!C:C,"Not on master")</f>
        <v>0</v>
      </c>
      <c r="H1459" s="6">
        <v>21</v>
      </c>
      <c r="I1459" s="6">
        <v>20.25</v>
      </c>
      <c r="J1459" s="6">
        <f>I1459-H1459</f>
        <v>0</v>
      </c>
      <c r="K1459" s="5">
        <f>IF(H1459=0,"",J1459/H1459)</f>
        <v>0</v>
      </c>
      <c r="L1459">
        <f>IF(OR(AND(H1459=0,ABS(J1459)&gt;=0.01),AND(H1459&lt;&gt;0,ABS(K1459)&gt;VarianceThreshold)),"Review","OK")</f>
        <v>0</v>
      </c>
      <c r="M1459" t="s">
        <v>33</v>
      </c>
    </row>
    <row r="1460" spans="1:13">
      <c r="A1460" t="s">
        <v>2</v>
      </c>
      <c r="B1460" t="s">
        <v>216</v>
      </c>
      <c r="C1460" t="s">
        <v>1682</v>
      </c>
      <c r="D1460" t="s">
        <v>1683</v>
      </c>
      <c r="E1460" cm="1">
        <f t="array" ref="E1460">_xlfn.XLOOKUP(D1460,SKU_Master!A:A,SKU_Master!B:B,"Not on master")</f>
        <v>0</v>
      </c>
      <c r="F1460" cm="1">
        <f t="array" ref="F1460">_xlfn.XLOOKUP(C1460,Account_Master!A:A,Account_Master!B:B,"Not on master")</f>
        <v>0</v>
      </c>
      <c r="G1460" cm="1">
        <f t="array" ref="G1460">_xlfn.XLOOKUP(C1460,Account_Master!A:A,Account_Master!C:C,"Not on master")</f>
        <v>0</v>
      </c>
      <c r="H1460" s="6">
        <v>4.5</v>
      </c>
      <c r="I1460" s="6">
        <v>4.5</v>
      </c>
      <c r="J1460" s="6">
        <f>I1460-H1460</f>
        <v>0</v>
      </c>
      <c r="K1460" s="5">
        <f>IF(H1460=0,"",J1460/H1460)</f>
        <v>0</v>
      </c>
      <c r="L1460">
        <f>IF(OR(AND(H1460=0,ABS(J1460)&gt;=0.01),AND(H1460&lt;&gt;0,ABS(K1460)&gt;VarianceThreshold)),"Review","OK")</f>
        <v>0</v>
      </c>
      <c r="M1460" t="s">
        <v>33</v>
      </c>
    </row>
    <row r="1461" spans="1:13">
      <c r="A1461" t="s">
        <v>2</v>
      </c>
      <c r="B1461" t="s">
        <v>226</v>
      </c>
      <c r="C1461" t="s">
        <v>1612</v>
      </c>
      <c r="D1461" t="s">
        <v>1684</v>
      </c>
      <c r="E1461" cm="1">
        <f t="array" ref="E1461">_xlfn.XLOOKUP(D1461,SKU_Master!A:A,SKU_Master!B:B,"Not on master")</f>
        <v>0</v>
      </c>
      <c r="F1461" cm="1">
        <f t="array" ref="F1461">_xlfn.XLOOKUP(C1461,Account_Master!A:A,Account_Master!B:B,"Not on master")</f>
        <v>0</v>
      </c>
      <c r="G1461" cm="1">
        <f t="array" ref="G1461">_xlfn.XLOOKUP(C1461,Account_Master!A:A,Account_Master!C:C,"Not on master")</f>
        <v>0</v>
      </c>
      <c r="H1461" s="6">
        <v>6</v>
      </c>
      <c r="I1461" s="6">
        <v>6</v>
      </c>
      <c r="J1461" s="6">
        <f>I1461-H1461</f>
        <v>0</v>
      </c>
      <c r="K1461" s="5">
        <f>IF(H1461=0,"",J1461/H1461)</f>
        <v>0</v>
      </c>
      <c r="L1461">
        <f>IF(OR(AND(H1461=0,ABS(J1461)&gt;=0.01),AND(H1461&lt;&gt;0,ABS(K1461)&gt;VarianceThreshold)),"Review","OK")</f>
        <v>0</v>
      </c>
      <c r="M1461" t="s">
        <v>33</v>
      </c>
    </row>
    <row r="1462" spans="1:13">
      <c r="A1462" t="s">
        <v>2</v>
      </c>
      <c r="B1462" t="s">
        <v>226</v>
      </c>
      <c r="C1462" t="s">
        <v>1615</v>
      </c>
      <c r="D1462" t="s">
        <v>1483</v>
      </c>
      <c r="E1462" cm="1">
        <f t="array" ref="E1462">_xlfn.XLOOKUP(D1462,SKU_Master!A:A,SKU_Master!B:B,"Not on master")</f>
        <v>0</v>
      </c>
      <c r="F1462" cm="1">
        <f t="array" ref="F1462">_xlfn.XLOOKUP(C1462,Account_Master!A:A,Account_Master!B:B,"Not on master")</f>
        <v>0</v>
      </c>
      <c r="G1462" cm="1">
        <f t="array" ref="G1462">_xlfn.XLOOKUP(C1462,Account_Master!A:A,Account_Master!C:C,"Not on master")</f>
        <v>0</v>
      </c>
      <c r="H1462" s="6">
        <v>14.25</v>
      </c>
      <c r="I1462" s="6">
        <v>14.25</v>
      </c>
      <c r="J1462" s="6">
        <f>I1462-H1462</f>
        <v>0</v>
      </c>
      <c r="K1462" s="5">
        <f>IF(H1462=0,"",J1462/H1462)</f>
        <v>0</v>
      </c>
      <c r="L1462">
        <f>IF(OR(AND(H1462=0,ABS(J1462)&gt;=0.01),AND(H1462&lt;&gt;0,ABS(K1462)&gt;VarianceThreshold)),"Review","OK")</f>
        <v>0</v>
      </c>
      <c r="M1462" t="s">
        <v>33</v>
      </c>
    </row>
    <row r="1463" spans="1:13">
      <c r="A1463" t="s">
        <v>2</v>
      </c>
      <c r="B1463" t="s">
        <v>226</v>
      </c>
      <c r="C1463" t="s">
        <v>1685</v>
      </c>
      <c r="D1463" t="s">
        <v>1686</v>
      </c>
      <c r="E1463" cm="1">
        <f t="array" ref="E1463">_xlfn.XLOOKUP(D1463,SKU_Master!A:A,SKU_Master!B:B,"Not on master")</f>
        <v>0</v>
      </c>
      <c r="F1463" cm="1">
        <f t="array" ref="F1463">_xlfn.XLOOKUP(C1463,Account_Master!A:A,Account_Master!B:B,"Not on master")</f>
        <v>0</v>
      </c>
      <c r="G1463" cm="1">
        <f t="array" ref="G1463">_xlfn.XLOOKUP(C1463,Account_Master!A:A,Account_Master!C:C,"Not on master")</f>
        <v>0</v>
      </c>
      <c r="H1463" s="6">
        <v>1.5</v>
      </c>
      <c r="I1463" s="6">
        <v>1.5</v>
      </c>
      <c r="J1463" s="6">
        <f>I1463-H1463</f>
        <v>0</v>
      </c>
      <c r="K1463" s="5">
        <f>IF(H1463=0,"",J1463/H1463)</f>
        <v>0</v>
      </c>
      <c r="L1463">
        <f>IF(OR(AND(H1463=0,ABS(J1463)&gt;=0.01),AND(H1463&lt;&gt;0,ABS(K1463)&gt;VarianceThreshold)),"Review","OK")</f>
        <v>0</v>
      </c>
      <c r="M1463" t="s">
        <v>33</v>
      </c>
    </row>
    <row r="1464" spans="1:13">
      <c r="A1464" t="s">
        <v>2</v>
      </c>
      <c r="B1464" t="s">
        <v>226</v>
      </c>
      <c r="C1464" t="s">
        <v>1687</v>
      </c>
      <c r="D1464" t="s">
        <v>1688</v>
      </c>
      <c r="E1464" cm="1">
        <f t="array" ref="E1464">_xlfn.XLOOKUP(D1464,SKU_Master!A:A,SKU_Master!B:B,"Not on master")</f>
        <v>0</v>
      </c>
      <c r="F1464" cm="1">
        <f t="array" ref="F1464">_xlfn.XLOOKUP(C1464,Account_Master!A:A,Account_Master!B:B,"Not on master")</f>
        <v>0</v>
      </c>
      <c r="G1464" cm="1">
        <f t="array" ref="G1464">_xlfn.XLOOKUP(C1464,Account_Master!A:A,Account_Master!C:C,"Not on master")</f>
        <v>0</v>
      </c>
      <c r="H1464" s="6">
        <v>1</v>
      </c>
      <c r="I1464" s="6">
        <v>0</v>
      </c>
      <c r="J1464" s="6">
        <f>I1464-H1464</f>
        <v>0</v>
      </c>
      <c r="K1464" s="5">
        <f>IF(H1464=0,"",J1464/H1464)</f>
        <v>0</v>
      </c>
      <c r="L1464">
        <f>IF(OR(AND(H1464=0,ABS(J1464)&gt;=0.01),AND(H1464&lt;&gt;0,ABS(K1464)&gt;VarianceThreshold)),"Review","OK")</f>
        <v>0</v>
      </c>
      <c r="M1464" t="s">
        <v>1611</v>
      </c>
    </row>
    <row r="1465" spans="1:13">
      <c r="A1465" t="s">
        <v>2</v>
      </c>
      <c r="B1465" t="s">
        <v>231</v>
      </c>
      <c r="C1465" t="s">
        <v>1689</v>
      </c>
      <c r="D1465" t="s">
        <v>1690</v>
      </c>
      <c r="E1465" cm="1">
        <f t="array" ref="E1465">_xlfn.XLOOKUP(D1465,SKU_Master!A:A,SKU_Master!B:B,"Not on master")</f>
        <v>0</v>
      </c>
      <c r="F1465" cm="1">
        <f t="array" ref="F1465">_xlfn.XLOOKUP(C1465,Account_Master!A:A,Account_Master!B:B,"Not on master")</f>
        <v>0</v>
      </c>
      <c r="G1465" cm="1">
        <f t="array" ref="G1465">_xlfn.XLOOKUP(C1465,Account_Master!A:A,Account_Master!C:C,"Not on master")</f>
        <v>0</v>
      </c>
      <c r="H1465" s="6">
        <v>3.75</v>
      </c>
      <c r="I1465" s="6">
        <v>3.75</v>
      </c>
      <c r="J1465" s="6">
        <f>I1465-H1465</f>
        <v>0</v>
      </c>
      <c r="K1465" s="5">
        <f>IF(H1465=0,"",J1465/H1465)</f>
        <v>0</v>
      </c>
      <c r="L1465">
        <f>IF(OR(AND(H1465=0,ABS(J1465)&gt;=0.01),AND(H1465&lt;&gt;0,ABS(K1465)&gt;VarianceThreshold)),"Review","OK")</f>
        <v>0</v>
      </c>
      <c r="M1465" t="s">
        <v>33</v>
      </c>
    </row>
    <row r="1466" spans="1:13">
      <c r="A1466" t="s">
        <v>2</v>
      </c>
      <c r="B1466" t="s">
        <v>231</v>
      </c>
      <c r="C1466" t="s">
        <v>1602</v>
      </c>
      <c r="D1466" t="s">
        <v>1691</v>
      </c>
      <c r="E1466" cm="1">
        <f t="array" ref="E1466">_xlfn.XLOOKUP(D1466,SKU_Master!A:A,SKU_Master!B:B,"Not on master")</f>
        <v>0</v>
      </c>
      <c r="F1466" cm="1">
        <f t="array" ref="F1466">_xlfn.XLOOKUP(C1466,Account_Master!A:A,Account_Master!B:B,"Not on master")</f>
        <v>0</v>
      </c>
      <c r="G1466" cm="1">
        <f t="array" ref="G1466">_xlfn.XLOOKUP(C1466,Account_Master!A:A,Account_Master!C:C,"Not on master")</f>
        <v>0</v>
      </c>
      <c r="H1466" s="6">
        <v>4.5</v>
      </c>
      <c r="I1466" s="6">
        <v>4.5</v>
      </c>
      <c r="J1466" s="6">
        <f>I1466-H1466</f>
        <v>0</v>
      </c>
      <c r="K1466" s="5">
        <f>IF(H1466=0,"",J1466/H1466)</f>
        <v>0</v>
      </c>
      <c r="L1466">
        <f>IF(OR(AND(H1466=0,ABS(J1466)&gt;=0.01),AND(H1466&lt;&gt;0,ABS(K1466)&gt;VarianceThreshold)),"Review","OK")</f>
        <v>0</v>
      </c>
      <c r="M1466" t="s">
        <v>33</v>
      </c>
    </row>
    <row r="1467" spans="1:13">
      <c r="A1467" t="s">
        <v>2</v>
      </c>
      <c r="B1467" t="s">
        <v>231</v>
      </c>
      <c r="C1467" t="s">
        <v>1632</v>
      </c>
      <c r="D1467" t="s">
        <v>1692</v>
      </c>
      <c r="E1467" cm="1">
        <f t="array" ref="E1467">_xlfn.XLOOKUP(D1467,SKU_Master!A:A,SKU_Master!B:B,"Not on master")</f>
        <v>0</v>
      </c>
      <c r="F1467" cm="1">
        <f t="array" ref="F1467">_xlfn.XLOOKUP(C1467,Account_Master!A:A,Account_Master!B:B,"Not on master")</f>
        <v>0</v>
      </c>
      <c r="G1467" cm="1">
        <f t="array" ref="G1467">_xlfn.XLOOKUP(C1467,Account_Master!A:A,Account_Master!C:C,"Not on master")</f>
        <v>0</v>
      </c>
      <c r="H1467" s="6">
        <v>10.5</v>
      </c>
      <c r="I1467" s="6">
        <v>10.5</v>
      </c>
      <c r="J1467" s="6">
        <f>I1467-H1467</f>
        <v>0</v>
      </c>
      <c r="K1467" s="5">
        <f>IF(H1467=0,"",J1467/H1467)</f>
        <v>0</v>
      </c>
      <c r="L1467">
        <f>IF(OR(AND(H1467=0,ABS(J1467)&gt;=0.01),AND(H1467&lt;&gt;0,ABS(K1467)&gt;VarianceThreshold)),"Review","OK")</f>
        <v>0</v>
      </c>
      <c r="M1467" t="s">
        <v>33</v>
      </c>
    </row>
    <row r="1468" spans="1:13">
      <c r="A1468" t="s">
        <v>2</v>
      </c>
      <c r="B1468" t="s">
        <v>231</v>
      </c>
      <c r="C1468" t="s">
        <v>1615</v>
      </c>
      <c r="D1468" t="s">
        <v>1693</v>
      </c>
      <c r="E1468" cm="1">
        <f t="array" ref="E1468">_xlfn.XLOOKUP(D1468,SKU_Master!A:A,SKU_Master!B:B,"Not on master")</f>
        <v>0</v>
      </c>
      <c r="F1468" cm="1">
        <f t="array" ref="F1468">_xlfn.XLOOKUP(C1468,Account_Master!A:A,Account_Master!B:B,"Not on master")</f>
        <v>0</v>
      </c>
      <c r="G1468" cm="1">
        <f t="array" ref="G1468">_xlfn.XLOOKUP(C1468,Account_Master!A:A,Account_Master!C:C,"Not on master")</f>
        <v>0</v>
      </c>
      <c r="H1468" s="6">
        <v>9</v>
      </c>
      <c r="I1468" s="6">
        <v>9</v>
      </c>
      <c r="J1468" s="6">
        <f>I1468-H1468</f>
        <v>0</v>
      </c>
      <c r="K1468" s="5">
        <f>IF(H1468=0,"",J1468/H1468)</f>
        <v>0</v>
      </c>
      <c r="L1468">
        <f>IF(OR(AND(H1468=0,ABS(J1468)&gt;=0.01),AND(H1468&lt;&gt;0,ABS(K1468)&gt;VarianceThreshold)),"Review","OK")</f>
        <v>0</v>
      </c>
      <c r="M1468" t="s">
        <v>33</v>
      </c>
    </row>
    <row r="1469" spans="1:13">
      <c r="A1469" t="s">
        <v>2</v>
      </c>
      <c r="B1469" t="s">
        <v>231</v>
      </c>
      <c r="C1469" t="s">
        <v>1694</v>
      </c>
      <c r="D1469" t="s">
        <v>1695</v>
      </c>
      <c r="E1469" cm="1">
        <f t="array" ref="E1469">_xlfn.XLOOKUP(D1469,SKU_Master!A:A,SKU_Master!B:B,"Not on master")</f>
        <v>0</v>
      </c>
      <c r="F1469" cm="1">
        <f t="array" ref="F1469">_xlfn.XLOOKUP(C1469,Account_Master!A:A,Account_Master!B:B,"Not on master")</f>
        <v>0</v>
      </c>
      <c r="G1469" cm="1">
        <f t="array" ref="G1469">_xlfn.XLOOKUP(C1469,Account_Master!A:A,Account_Master!C:C,"Not on master")</f>
        <v>0</v>
      </c>
      <c r="H1469" s="6">
        <v>4.5</v>
      </c>
      <c r="I1469" s="6">
        <v>4.5</v>
      </c>
      <c r="J1469" s="6">
        <f>I1469-H1469</f>
        <v>0</v>
      </c>
      <c r="K1469" s="5">
        <f>IF(H1469=0,"",J1469/H1469)</f>
        <v>0</v>
      </c>
      <c r="L1469">
        <f>IF(OR(AND(H1469=0,ABS(J1469)&gt;=0.01),AND(H1469&lt;&gt;0,ABS(K1469)&gt;VarianceThreshold)),"Review","OK")</f>
        <v>0</v>
      </c>
      <c r="M1469" t="s">
        <v>33</v>
      </c>
    </row>
    <row r="1470" spans="1:13">
      <c r="A1470" t="s">
        <v>2</v>
      </c>
      <c r="B1470" t="s">
        <v>231</v>
      </c>
      <c r="C1470" t="s">
        <v>1696</v>
      </c>
      <c r="D1470" t="s">
        <v>1266</v>
      </c>
      <c r="E1470" cm="1">
        <f t="array" ref="E1470">_xlfn.XLOOKUP(D1470,SKU_Master!A:A,SKU_Master!B:B,"Not on master")</f>
        <v>0</v>
      </c>
      <c r="F1470" cm="1">
        <f t="array" ref="F1470">_xlfn.XLOOKUP(C1470,Account_Master!A:A,Account_Master!B:B,"Not on master")</f>
        <v>0</v>
      </c>
      <c r="G1470" cm="1">
        <f t="array" ref="G1470">_xlfn.XLOOKUP(C1470,Account_Master!A:A,Account_Master!C:C,"Not on master")</f>
        <v>0</v>
      </c>
      <c r="H1470" s="6">
        <v>0.4</v>
      </c>
      <c r="I1470" s="6">
        <v>0.4</v>
      </c>
      <c r="J1470" s="6">
        <f>I1470-H1470</f>
        <v>0</v>
      </c>
      <c r="K1470" s="5">
        <f>IF(H1470=0,"",J1470/H1470)</f>
        <v>0</v>
      </c>
      <c r="L1470">
        <f>IF(OR(AND(H1470=0,ABS(J1470)&gt;=0.01),AND(H1470&lt;&gt;0,ABS(K1470)&gt;VarianceThreshold)),"Review","OK")</f>
        <v>0</v>
      </c>
      <c r="M1470" t="s">
        <v>33</v>
      </c>
    </row>
    <row r="1471" spans="1:13">
      <c r="A1471" t="s">
        <v>2</v>
      </c>
      <c r="B1471" t="s">
        <v>231</v>
      </c>
      <c r="C1471" t="s">
        <v>1655</v>
      </c>
      <c r="D1471" t="s">
        <v>1697</v>
      </c>
      <c r="E1471" cm="1">
        <f t="array" ref="E1471">_xlfn.XLOOKUP(D1471,SKU_Master!A:A,SKU_Master!B:B,"Not on master")</f>
        <v>0</v>
      </c>
      <c r="F1471" cm="1">
        <f t="array" ref="F1471">_xlfn.XLOOKUP(C1471,Account_Master!A:A,Account_Master!B:B,"Not on master")</f>
        <v>0</v>
      </c>
      <c r="G1471" cm="1">
        <f t="array" ref="G1471">_xlfn.XLOOKUP(C1471,Account_Master!A:A,Account_Master!C:C,"Not on master")</f>
        <v>0</v>
      </c>
      <c r="H1471" s="6">
        <v>9</v>
      </c>
      <c r="I1471" s="6">
        <v>9</v>
      </c>
      <c r="J1471" s="6">
        <f>I1471-H1471</f>
        <v>0</v>
      </c>
      <c r="K1471" s="5">
        <f>IF(H1471=0,"",J1471/H1471)</f>
        <v>0</v>
      </c>
      <c r="L1471">
        <f>IF(OR(AND(H1471=0,ABS(J1471)&gt;=0.01),AND(H1471&lt;&gt;0,ABS(K1471)&gt;VarianceThreshold)),"Review","OK")</f>
        <v>0</v>
      </c>
      <c r="M1471" t="s">
        <v>33</v>
      </c>
    </row>
    <row r="1472" spans="1:13">
      <c r="A1472" t="s">
        <v>2</v>
      </c>
      <c r="B1472" t="s">
        <v>231</v>
      </c>
      <c r="C1472" t="s">
        <v>1642</v>
      </c>
      <c r="D1472" t="s">
        <v>425</v>
      </c>
      <c r="E1472" cm="1">
        <f t="array" ref="E1472">_xlfn.XLOOKUP(D1472,SKU_Master!A:A,SKU_Master!B:B,"Not on master")</f>
        <v>0</v>
      </c>
      <c r="F1472" cm="1">
        <f t="array" ref="F1472">_xlfn.XLOOKUP(C1472,Account_Master!A:A,Account_Master!B:B,"Not on master")</f>
        <v>0</v>
      </c>
      <c r="G1472" cm="1">
        <f t="array" ref="G1472">_xlfn.XLOOKUP(C1472,Account_Master!A:A,Account_Master!C:C,"Not on master")</f>
        <v>0</v>
      </c>
      <c r="H1472" s="6">
        <v>51</v>
      </c>
      <c r="I1472" s="6">
        <v>28.5</v>
      </c>
      <c r="J1472" s="6">
        <f>I1472-H1472</f>
        <v>0</v>
      </c>
      <c r="K1472" s="5">
        <f>IF(H1472=0,"",J1472/H1472)</f>
        <v>0</v>
      </c>
      <c r="L1472">
        <f>IF(OR(AND(H1472=0,ABS(J1472)&gt;=0.01),AND(H1472&lt;&gt;0,ABS(K1472)&gt;VarianceThreshold)),"Review","OK")</f>
        <v>0</v>
      </c>
      <c r="M1472" t="s">
        <v>1611</v>
      </c>
    </row>
    <row r="1473" spans="1:13">
      <c r="A1473" t="s">
        <v>2</v>
      </c>
      <c r="B1473" t="s">
        <v>238</v>
      </c>
      <c r="C1473" t="s">
        <v>1574</v>
      </c>
      <c r="D1473" t="s">
        <v>1698</v>
      </c>
      <c r="E1473" cm="1">
        <f t="array" ref="E1473">_xlfn.XLOOKUP(D1473,SKU_Master!A:A,SKU_Master!B:B,"Not on master")</f>
        <v>0</v>
      </c>
      <c r="F1473" cm="1">
        <f t="array" ref="F1473">_xlfn.XLOOKUP(C1473,Account_Master!A:A,Account_Master!B:B,"Not on master")</f>
        <v>0</v>
      </c>
      <c r="G1473" cm="1">
        <f t="array" ref="G1473">_xlfn.XLOOKUP(C1473,Account_Master!A:A,Account_Master!C:C,"Not on master")</f>
        <v>0</v>
      </c>
      <c r="H1473" s="6">
        <v>0.15</v>
      </c>
      <c r="I1473" s="6">
        <v>0.15</v>
      </c>
      <c r="J1473" s="6">
        <f>I1473-H1473</f>
        <v>0</v>
      </c>
      <c r="K1473" s="5">
        <f>IF(H1473=0,"",J1473/H1473)</f>
        <v>0</v>
      </c>
      <c r="L1473">
        <f>IF(OR(AND(H1473=0,ABS(J1473)&gt;=0.01),AND(H1473&lt;&gt;0,ABS(K1473)&gt;VarianceThreshold)),"Review","OK")</f>
        <v>0</v>
      </c>
      <c r="M1473" t="s">
        <v>33</v>
      </c>
    </row>
    <row r="1474" spans="1:13">
      <c r="A1474" t="s">
        <v>2</v>
      </c>
      <c r="B1474" t="s">
        <v>238</v>
      </c>
      <c r="C1474" t="s">
        <v>1615</v>
      </c>
      <c r="D1474" t="s">
        <v>185</v>
      </c>
      <c r="E1474" cm="1">
        <f t="array" ref="E1474">_xlfn.XLOOKUP(D1474,SKU_Master!A:A,SKU_Master!B:B,"Not on master")</f>
        <v>0</v>
      </c>
      <c r="F1474" cm="1">
        <f t="array" ref="F1474">_xlfn.XLOOKUP(C1474,Account_Master!A:A,Account_Master!B:B,"Not on master")</f>
        <v>0</v>
      </c>
      <c r="G1474" cm="1">
        <f t="array" ref="G1474">_xlfn.XLOOKUP(C1474,Account_Master!A:A,Account_Master!C:C,"Not on master")</f>
        <v>0</v>
      </c>
      <c r="H1474" s="6">
        <v>71</v>
      </c>
      <c r="I1474" s="6">
        <v>71</v>
      </c>
      <c r="J1474" s="6">
        <f>I1474-H1474</f>
        <v>0</v>
      </c>
      <c r="K1474" s="5">
        <f>IF(H1474=0,"",J1474/H1474)</f>
        <v>0</v>
      </c>
      <c r="L1474">
        <f>IF(OR(AND(H1474=0,ABS(J1474)&gt;=0.01),AND(H1474&lt;&gt;0,ABS(K1474)&gt;VarianceThreshold)),"Review","OK")</f>
        <v>0</v>
      </c>
      <c r="M1474" t="s">
        <v>33</v>
      </c>
    </row>
    <row r="1475" spans="1:13">
      <c r="A1475" t="s">
        <v>2</v>
      </c>
      <c r="B1475" t="s">
        <v>238</v>
      </c>
      <c r="C1475" t="s">
        <v>1597</v>
      </c>
      <c r="D1475" t="s">
        <v>1426</v>
      </c>
      <c r="E1475" cm="1">
        <f t="array" ref="E1475">_xlfn.XLOOKUP(D1475,SKU_Master!A:A,SKU_Master!B:B,"Not on master")</f>
        <v>0</v>
      </c>
      <c r="F1475" cm="1">
        <f t="array" ref="F1475">_xlfn.XLOOKUP(C1475,Account_Master!A:A,Account_Master!B:B,"Not on master")</f>
        <v>0</v>
      </c>
      <c r="G1475" cm="1">
        <f t="array" ref="G1475">_xlfn.XLOOKUP(C1475,Account_Master!A:A,Account_Master!C:C,"Not on master")</f>
        <v>0</v>
      </c>
      <c r="H1475" s="6">
        <v>18</v>
      </c>
      <c r="I1475" s="6">
        <v>18</v>
      </c>
      <c r="J1475" s="6">
        <f>I1475-H1475</f>
        <v>0</v>
      </c>
      <c r="K1475" s="5">
        <f>IF(H1475=0,"",J1475/H1475)</f>
        <v>0</v>
      </c>
      <c r="L1475">
        <f>IF(OR(AND(H1475=0,ABS(J1475)&gt;=0.01),AND(H1475&lt;&gt;0,ABS(K1475)&gt;VarianceThreshold)),"Review","OK")</f>
        <v>0</v>
      </c>
      <c r="M1475" t="s">
        <v>33</v>
      </c>
    </row>
    <row r="1476" spans="1:13">
      <c r="A1476" t="s">
        <v>2</v>
      </c>
      <c r="B1476" t="s">
        <v>238</v>
      </c>
      <c r="C1476" t="s">
        <v>1612</v>
      </c>
      <c r="D1476" t="s">
        <v>1699</v>
      </c>
      <c r="E1476" cm="1">
        <f t="array" ref="E1476">_xlfn.XLOOKUP(D1476,SKU_Master!A:A,SKU_Master!B:B,"Not on master")</f>
        <v>0</v>
      </c>
      <c r="F1476" cm="1">
        <f t="array" ref="F1476">_xlfn.XLOOKUP(C1476,Account_Master!A:A,Account_Master!B:B,"Not on master")</f>
        <v>0</v>
      </c>
      <c r="G1476" cm="1">
        <f t="array" ref="G1476">_xlfn.XLOOKUP(C1476,Account_Master!A:A,Account_Master!C:C,"Not on master")</f>
        <v>0</v>
      </c>
      <c r="H1476" s="6">
        <v>42</v>
      </c>
      <c r="I1476" s="6">
        <v>42</v>
      </c>
      <c r="J1476" s="6">
        <f>I1476-H1476</f>
        <v>0</v>
      </c>
      <c r="K1476" s="5">
        <f>IF(H1476=0,"",J1476/H1476)</f>
        <v>0</v>
      </c>
      <c r="L1476">
        <f>IF(OR(AND(H1476=0,ABS(J1476)&gt;=0.01),AND(H1476&lt;&gt;0,ABS(K1476)&gt;VarianceThreshold)),"Review","OK")</f>
        <v>0</v>
      </c>
      <c r="M1476" t="s">
        <v>33</v>
      </c>
    </row>
    <row r="1477" spans="1:13">
      <c r="A1477" t="s">
        <v>2</v>
      </c>
      <c r="B1477" t="s">
        <v>238</v>
      </c>
      <c r="C1477" t="s">
        <v>1700</v>
      </c>
      <c r="D1477" t="s">
        <v>1701</v>
      </c>
      <c r="E1477" cm="1">
        <f t="array" ref="E1477">_xlfn.XLOOKUP(D1477,SKU_Master!A:A,SKU_Master!B:B,"Not on master")</f>
        <v>0</v>
      </c>
      <c r="F1477" cm="1">
        <f t="array" ref="F1477">_xlfn.XLOOKUP(C1477,Account_Master!A:A,Account_Master!B:B,"Not on master")</f>
        <v>0</v>
      </c>
      <c r="G1477" cm="1">
        <f t="array" ref="G1477">_xlfn.XLOOKUP(C1477,Account_Master!A:A,Account_Master!C:C,"Not on master")</f>
        <v>0</v>
      </c>
      <c r="H1477" s="6">
        <v>1.6</v>
      </c>
      <c r="I1477" s="6">
        <v>1.6</v>
      </c>
      <c r="J1477" s="6">
        <f>I1477-H1477</f>
        <v>0</v>
      </c>
      <c r="K1477" s="5">
        <f>IF(H1477=0,"",J1477/H1477)</f>
        <v>0</v>
      </c>
      <c r="L1477">
        <f>IF(OR(AND(H1477=0,ABS(J1477)&gt;=0.01),AND(H1477&lt;&gt;0,ABS(K1477)&gt;VarianceThreshold)),"Review","OK")</f>
        <v>0</v>
      </c>
      <c r="M1477" t="s">
        <v>33</v>
      </c>
    </row>
    <row r="1478" spans="1:13">
      <c r="A1478" t="s">
        <v>2</v>
      </c>
      <c r="B1478" t="s">
        <v>238</v>
      </c>
      <c r="C1478" t="s">
        <v>1605</v>
      </c>
      <c r="D1478" t="s">
        <v>118</v>
      </c>
      <c r="E1478" cm="1">
        <f t="array" ref="E1478">_xlfn.XLOOKUP(D1478,SKU_Master!A:A,SKU_Master!B:B,"Not on master")</f>
        <v>0</v>
      </c>
      <c r="F1478" cm="1">
        <f t="array" ref="F1478">_xlfn.XLOOKUP(C1478,Account_Master!A:A,Account_Master!B:B,"Not on master")</f>
        <v>0</v>
      </c>
      <c r="G1478" cm="1">
        <f t="array" ref="G1478">_xlfn.XLOOKUP(C1478,Account_Master!A:A,Account_Master!C:C,"Not on master")</f>
        <v>0</v>
      </c>
      <c r="H1478" s="6">
        <v>0.8</v>
      </c>
      <c r="I1478" s="6">
        <v>0.8</v>
      </c>
      <c r="J1478" s="6">
        <f>I1478-H1478</f>
        <v>0</v>
      </c>
      <c r="K1478" s="5">
        <f>IF(H1478=0,"",J1478/H1478)</f>
        <v>0</v>
      </c>
      <c r="L1478">
        <f>IF(OR(AND(H1478=0,ABS(J1478)&gt;=0.01),AND(H1478&lt;&gt;0,ABS(K1478)&gt;VarianceThreshold)),"Review","OK")</f>
        <v>0</v>
      </c>
      <c r="M1478" t="s">
        <v>33</v>
      </c>
    </row>
    <row r="1479" spans="1:13">
      <c r="A1479" t="s">
        <v>2</v>
      </c>
      <c r="B1479" t="s">
        <v>238</v>
      </c>
      <c r="C1479" t="s">
        <v>1602</v>
      </c>
      <c r="D1479" t="s">
        <v>296</v>
      </c>
      <c r="E1479" cm="1">
        <f t="array" ref="E1479">_xlfn.XLOOKUP(D1479,SKU_Master!A:A,SKU_Master!B:B,"Not on master")</f>
        <v>0</v>
      </c>
      <c r="F1479" cm="1">
        <f t="array" ref="F1479">_xlfn.XLOOKUP(C1479,Account_Master!A:A,Account_Master!B:B,"Not on master")</f>
        <v>0</v>
      </c>
      <c r="G1479" cm="1">
        <f t="array" ref="G1479">_xlfn.XLOOKUP(C1479,Account_Master!A:A,Account_Master!C:C,"Not on master")</f>
        <v>0</v>
      </c>
      <c r="H1479" s="6">
        <v>9</v>
      </c>
      <c r="I1479" s="6">
        <v>9</v>
      </c>
      <c r="J1479" s="6">
        <f>I1479-H1479</f>
        <v>0</v>
      </c>
      <c r="K1479" s="5">
        <f>IF(H1479=0,"",J1479/H1479)</f>
        <v>0</v>
      </c>
      <c r="L1479">
        <f>IF(OR(AND(H1479=0,ABS(J1479)&gt;=0.01),AND(H1479&lt;&gt;0,ABS(K1479)&gt;VarianceThreshold)),"Review","OK")</f>
        <v>0</v>
      </c>
      <c r="M1479" t="s">
        <v>33</v>
      </c>
    </row>
    <row r="1480" spans="1:13">
      <c r="A1480" t="s">
        <v>2</v>
      </c>
      <c r="B1480" t="s">
        <v>238</v>
      </c>
      <c r="C1480" t="s">
        <v>1602</v>
      </c>
      <c r="D1480" t="s">
        <v>733</v>
      </c>
      <c r="E1480" cm="1">
        <f t="array" ref="E1480">_xlfn.XLOOKUP(D1480,SKU_Master!A:A,SKU_Master!B:B,"Not on master")</f>
        <v>0</v>
      </c>
      <c r="F1480" cm="1">
        <f t="array" ref="F1480">_xlfn.XLOOKUP(C1480,Account_Master!A:A,Account_Master!B:B,"Not on master")</f>
        <v>0</v>
      </c>
      <c r="G1480" cm="1">
        <f t="array" ref="G1480">_xlfn.XLOOKUP(C1480,Account_Master!A:A,Account_Master!C:C,"Not on master")</f>
        <v>0</v>
      </c>
      <c r="H1480" s="6">
        <v>9</v>
      </c>
      <c r="I1480" s="6">
        <v>9</v>
      </c>
      <c r="J1480" s="6">
        <f>I1480-H1480</f>
        <v>0</v>
      </c>
      <c r="K1480" s="5">
        <f>IF(H1480=0,"",J1480/H1480)</f>
        <v>0</v>
      </c>
      <c r="L1480">
        <f>IF(OR(AND(H1480=0,ABS(J1480)&gt;=0.01),AND(H1480&lt;&gt;0,ABS(K1480)&gt;VarianceThreshold)),"Review","OK")</f>
        <v>0</v>
      </c>
      <c r="M1480" t="s">
        <v>33</v>
      </c>
    </row>
    <row r="1481" spans="1:13">
      <c r="A1481" t="s">
        <v>2</v>
      </c>
      <c r="B1481" t="s">
        <v>251</v>
      </c>
      <c r="C1481" t="s">
        <v>1658</v>
      </c>
      <c r="D1481" t="s">
        <v>1702</v>
      </c>
      <c r="E1481" cm="1">
        <f t="array" ref="E1481">_xlfn.XLOOKUP(D1481,SKU_Master!A:A,SKU_Master!B:B,"Not on master")</f>
        <v>0</v>
      </c>
      <c r="F1481" cm="1">
        <f t="array" ref="F1481">_xlfn.XLOOKUP(C1481,Account_Master!A:A,Account_Master!B:B,"Not on master")</f>
        <v>0</v>
      </c>
      <c r="G1481" cm="1">
        <f t="array" ref="G1481">_xlfn.XLOOKUP(C1481,Account_Master!A:A,Account_Master!C:C,"Not on master")</f>
        <v>0</v>
      </c>
      <c r="H1481" s="6">
        <v>2.25</v>
      </c>
      <c r="I1481" s="6">
        <v>2.25</v>
      </c>
      <c r="J1481" s="6">
        <f>I1481-H1481</f>
        <v>0</v>
      </c>
      <c r="K1481" s="5">
        <f>IF(H1481=0,"",J1481/H1481)</f>
        <v>0</v>
      </c>
      <c r="L1481">
        <f>IF(OR(AND(H1481=0,ABS(J1481)&gt;=0.01),AND(H1481&lt;&gt;0,ABS(K1481)&gt;VarianceThreshold)),"Review","OK")</f>
        <v>0</v>
      </c>
      <c r="M1481" t="s">
        <v>33</v>
      </c>
    </row>
    <row r="1482" spans="1:13">
      <c r="A1482" t="s">
        <v>2</v>
      </c>
      <c r="B1482" t="s">
        <v>251</v>
      </c>
      <c r="C1482" t="s">
        <v>1703</v>
      </c>
      <c r="D1482" t="s">
        <v>1704</v>
      </c>
      <c r="E1482" cm="1">
        <f t="array" ref="E1482">_xlfn.XLOOKUP(D1482,SKU_Master!A:A,SKU_Master!B:B,"Not on master")</f>
        <v>0</v>
      </c>
      <c r="F1482" cm="1">
        <f t="array" ref="F1482">_xlfn.XLOOKUP(C1482,Account_Master!A:A,Account_Master!B:B,"Not on master")</f>
        <v>0</v>
      </c>
      <c r="G1482" cm="1">
        <f t="array" ref="G1482">_xlfn.XLOOKUP(C1482,Account_Master!A:A,Account_Master!C:C,"Not on master")</f>
        <v>0</v>
      </c>
      <c r="H1482" s="6">
        <v>18</v>
      </c>
      <c r="I1482" s="6">
        <v>18</v>
      </c>
      <c r="J1482" s="6">
        <f>I1482-H1482</f>
        <v>0</v>
      </c>
      <c r="K1482" s="5">
        <f>IF(H1482=0,"",J1482/H1482)</f>
        <v>0</v>
      </c>
      <c r="L1482">
        <f>IF(OR(AND(H1482=0,ABS(J1482)&gt;=0.01),AND(H1482&lt;&gt;0,ABS(K1482)&gt;VarianceThreshold)),"Review","OK")</f>
        <v>0</v>
      </c>
      <c r="M1482" t="s">
        <v>33</v>
      </c>
    </row>
    <row r="1483" spans="1:13">
      <c r="A1483" t="s">
        <v>2</v>
      </c>
      <c r="B1483" t="s">
        <v>251</v>
      </c>
      <c r="C1483" t="s">
        <v>1705</v>
      </c>
      <c r="D1483" t="s">
        <v>1706</v>
      </c>
      <c r="E1483" cm="1">
        <f t="array" ref="E1483">_xlfn.XLOOKUP(D1483,SKU_Master!A:A,SKU_Master!B:B,"Not on master")</f>
        <v>0</v>
      </c>
      <c r="F1483" cm="1">
        <f t="array" ref="F1483">_xlfn.XLOOKUP(C1483,Account_Master!A:A,Account_Master!B:B,"Not on master")</f>
        <v>0</v>
      </c>
      <c r="G1483" cm="1">
        <f t="array" ref="G1483">_xlfn.XLOOKUP(C1483,Account_Master!A:A,Account_Master!C:C,"Not on master")</f>
        <v>0</v>
      </c>
      <c r="H1483" s="6">
        <v>52.8</v>
      </c>
      <c r="I1483" s="6">
        <v>52.8</v>
      </c>
      <c r="J1483" s="6">
        <f>I1483-H1483</f>
        <v>0</v>
      </c>
      <c r="K1483" s="5">
        <f>IF(H1483=0,"",J1483/H1483)</f>
        <v>0</v>
      </c>
      <c r="L1483">
        <f>IF(OR(AND(H1483=0,ABS(J1483)&gt;=0.01),AND(H1483&lt;&gt;0,ABS(K1483)&gt;VarianceThreshold)),"Review","OK")</f>
        <v>0</v>
      </c>
      <c r="M1483" t="s">
        <v>33</v>
      </c>
    </row>
    <row r="1484" spans="1:13">
      <c r="A1484" t="s">
        <v>2</v>
      </c>
      <c r="B1484" t="s">
        <v>251</v>
      </c>
      <c r="C1484" t="s">
        <v>1603</v>
      </c>
      <c r="D1484" t="s">
        <v>1707</v>
      </c>
      <c r="E1484" cm="1">
        <f t="array" ref="E1484">_xlfn.XLOOKUP(D1484,SKU_Master!A:A,SKU_Master!B:B,"Not on master")</f>
        <v>0</v>
      </c>
      <c r="F1484" cm="1">
        <f t="array" ref="F1484">_xlfn.XLOOKUP(C1484,Account_Master!A:A,Account_Master!B:B,"Not on master")</f>
        <v>0</v>
      </c>
      <c r="G1484" cm="1">
        <f t="array" ref="G1484">_xlfn.XLOOKUP(C1484,Account_Master!A:A,Account_Master!C:C,"Not on master")</f>
        <v>0</v>
      </c>
      <c r="H1484" s="6">
        <v>81.75</v>
      </c>
      <c r="I1484" s="6">
        <v>80.25</v>
      </c>
      <c r="J1484" s="6">
        <f>I1484-H1484</f>
        <v>0</v>
      </c>
      <c r="K1484" s="5">
        <f>IF(H1484=0,"",J1484/H1484)</f>
        <v>0</v>
      </c>
      <c r="L1484">
        <f>IF(OR(AND(H1484=0,ABS(J1484)&gt;=0.01),AND(H1484&lt;&gt;0,ABS(K1484)&gt;VarianceThreshold)),"Review","OK")</f>
        <v>0</v>
      </c>
      <c r="M1484" t="s">
        <v>33</v>
      </c>
    </row>
    <row r="1485" spans="1:13">
      <c r="A1485" t="s">
        <v>2</v>
      </c>
      <c r="B1485" t="s">
        <v>251</v>
      </c>
      <c r="C1485" t="s">
        <v>1631</v>
      </c>
      <c r="D1485" t="s">
        <v>1708</v>
      </c>
      <c r="E1485" cm="1">
        <f t="array" ref="E1485">_xlfn.XLOOKUP(D1485,SKU_Master!A:A,SKU_Master!B:B,"Not on master")</f>
        <v>0</v>
      </c>
      <c r="F1485" cm="1">
        <f t="array" ref="F1485">_xlfn.XLOOKUP(C1485,Account_Master!A:A,Account_Master!B:B,"Not on master")</f>
        <v>0</v>
      </c>
      <c r="G1485" cm="1">
        <f t="array" ref="G1485">_xlfn.XLOOKUP(C1485,Account_Master!A:A,Account_Master!C:C,"Not on master")</f>
        <v>0</v>
      </c>
      <c r="H1485" s="6">
        <v>12</v>
      </c>
      <c r="I1485" s="6">
        <v>12</v>
      </c>
      <c r="J1485" s="6">
        <f>I1485-H1485</f>
        <v>0</v>
      </c>
      <c r="K1485" s="5">
        <f>IF(H1485=0,"",J1485/H1485)</f>
        <v>0</v>
      </c>
      <c r="L1485">
        <f>IF(OR(AND(H1485=0,ABS(J1485)&gt;=0.01),AND(H1485&lt;&gt;0,ABS(K1485)&gt;VarianceThreshold)),"Review","OK")</f>
        <v>0</v>
      </c>
      <c r="M1485" t="s">
        <v>33</v>
      </c>
    </row>
    <row r="1486" spans="1:13">
      <c r="A1486" t="s">
        <v>2</v>
      </c>
      <c r="B1486" t="s">
        <v>251</v>
      </c>
      <c r="C1486" t="s">
        <v>1574</v>
      </c>
      <c r="D1486" t="s">
        <v>786</v>
      </c>
      <c r="E1486" cm="1">
        <f t="array" ref="E1486">_xlfn.XLOOKUP(D1486,SKU_Master!A:A,SKU_Master!B:B,"Not on master")</f>
        <v>0</v>
      </c>
      <c r="F1486" cm="1">
        <f t="array" ref="F1486">_xlfn.XLOOKUP(C1486,Account_Master!A:A,Account_Master!B:B,"Not on master")</f>
        <v>0</v>
      </c>
      <c r="G1486" cm="1">
        <f t="array" ref="G1486">_xlfn.XLOOKUP(C1486,Account_Master!A:A,Account_Master!C:C,"Not on master")</f>
        <v>0</v>
      </c>
      <c r="H1486" s="6">
        <v>9</v>
      </c>
      <c r="I1486" s="6">
        <v>9</v>
      </c>
      <c r="J1486" s="6">
        <f>I1486-H1486</f>
        <v>0</v>
      </c>
      <c r="K1486" s="5">
        <f>IF(H1486=0,"",J1486/H1486)</f>
        <v>0</v>
      </c>
      <c r="L1486">
        <f>IF(OR(AND(H1486=0,ABS(J1486)&gt;=0.01),AND(H1486&lt;&gt;0,ABS(K1486)&gt;VarianceThreshold)),"Review","OK")</f>
        <v>0</v>
      </c>
      <c r="M1486" t="s">
        <v>33</v>
      </c>
    </row>
    <row r="1487" spans="1:13">
      <c r="A1487" t="s">
        <v>2</v>
      </c>
      <c r="B1487" t="s">
        <v>254</v>
      </c>
      <c r="C1487" t="s">
        <v>1632</v>
      </c>
      <c r="D1487" t="s">
        <v>1709</v>
      </c>
      <c r="E1487" cm="1">
        <f t="array" ref="E1487">_xlfn.XLOOKUP(D1487,SKU_Master!A:A,SKU_Master!B:B,"Not on master")</f>
        <v>0</v>
      </c>
      <c r="F1487" cm="1">
        <f t="array" ref="F1487">_xlfn.XLOOKUP(C1487,Account_Master!A:A,Account_Master!B:B,"Not on master")</f>
        <v>0</v>
      </c>
      <c r="G1487" cm="1">
        <f t="array" ref="G1487">_xlfn.XLOOKUP(C1487,Account_Master!A:A,Account_Master!C:C,"Not on master")</f>
        <v>0</v>
      </c>
      <c r="H1487" s="6">
        <v>0.75</v>
      </c>
      <c r="I1487" s="6">
        <v>0.75</v>
      </c>
      <c r="J1487" s="6">
        <f>I1487-H1487</f>
        <v>0</v>
      </c>
      <c r="K1487" s="5">
        <f>IF(H1487=0,"",J1487/H1487)</f>
        <v>0</v>
      </c>
      <c r="L1487">
        <f>IF(OR(AND(H1487=0,ABS(J1487)&gt;=0.01),AND(H1487&lt;&gt;0,ABS(K1487)&gt;VarianceThreshold)),"Review","OK")</f>
        <v>0</v>
      </c>
      <c r="M1487" t="s">
        <v>33</v>
      </c>
    </row>
    <row r="1488" spans="1:13">
      <c r="A1488" t="s">
        <v>2</v>
      </c>
      <c r="B1488" t="s">
        <v>254</v>
      </c>
      <c r="C1488" t="s">
        <v>1710</v>
      </c>
      <c r="D1488" t="s">
        <v>1711</v>
      </c>
      <c r="E1488" cm="1">
        <f t="array" ref="E1488">_xlfn.XLOOKUP(D1488,SKU_Master!A:A,SKU_Master!B:B,"Not on master")</f>
        <v>0</v>
      </c>
      <c r="F1488" cm="1">
        <f t="array" ref="F1488">_xlfn.XLOOKUP(C1488,Account_Master!A:A,Account_Master!B:B,"Not on master")</f>
        <v>0</v>
      </c>
      <c r="G1488" cm="1">
        <f t="array" ref="G1488">_xlfn.XLOOKUP(C1488,Account_Master!A:A,Account_Master!C:C,"Not on master")</f>
        <v>0</v>
      </c>
      <c r="H1488" s="6">
        <v>12</v>
      </c>
      <c r="I1488" s="6">
        <v>12</v>
      </c>
      <c r="J1488" s="6">
        <f>I1488-H1488</f>
        <v>0</v>
      </c>
      <c r="K1488" s="5">
        <f>IF(H1488=0,"",J1488/H1488)</f>
        <v>0</v>
      </c>
      <c r="L1488">
        <f>IF(OR(AND(H1488=0,ABS(J1488)&gt;=0.01),AND(H1488&lt;&gt;0,ABS(K1488)&gt;VarianceThreshold)),"Review","OK")</f>
        <v>0</v>
      </c>
      <c r="M1488" t="s">
        <v>33</v>
      </c>
    </row>
    <row r="1489" spans="1:13">
      <c r="A1489" t="s">
        <v>2</v>
      </c>
      <c r="B1489" t="s">
        <v>254</v>
      </c>
      <c r="C1489" t="s">
        <v>1615</v>
      </c>
      <c r="D1489" t="s">
        <v>1336</v>
      </c>
      <c r="E1489" cm="1">
        <f t="array" ref="E1489">_xlfn.XLOOKUP(D1489,SKU_Master!A:A,SKU_Master!B:B,"Not on master")</f>
        <v>0</v>
      </c>
      <c r="F1489" cm="1">
        <f t="array" ref="F1489">_xlfn.XLOOKUP(C1489,Account_Master!A:A,Account_Master!B:B,"Not on master")</f>
        <v>0</v>
      </c>
      <c r="G1489" cm="1">
        <f t="array" ref="G1489">_xlfn.XLOOKUP(C1489,Account_Master!A:A,Account_Master!C:C,"Not on master")</f>
        <v>0</v>
      </c>
      <c r="H1489" s="6">
        <v>16.5</v>
      </c>
      <c r="I1489" s="6">
        <v>16.5</v>
      </c>
      <c r="J1489" s="6">
        <f>I1489-H1489</f>
        <v>0</v>
      </c>
      <c r="K1489" s="5">
        <f>IF(H1489=0,"",J1489/H1489)</f>
        <v>0</v>
      </c>
      <c r="L1489">
        <f>IF(OR(AND(H1489=0,ABS(J1489)&gt;=0.01),AND(H1489&lt;&gt;0,ABS(K1489)&gt;VarianceThreshold)),"Review","OK")</f>
        <v>0</v>
      </c>
      <c r="M1489" t="s">
        <v>33</v>
      </c>
    </row>
    <row r="1490" spans="1:13">
      <c r="A1490" t="s">
        <v>2</v>
      </c>
      <c r="B1490" t="s">
        <v>264</v>
      </c>
      <c r="C1490" t="s">
        <v>1605</v>
      </c>
      <c r="D1490" t="s">
        <v>1712</v>
      </c>
      <c r="E1490" cm="1">
        <f t="array" ref="E1490">_xlfn.XLOOKUP(D1490,SKU_Master!A:A,SKU_Master!B:B,"Not on master")</f>
        <v>0</v>
      </c>
      <c r="F1490" cm="1">
        <f t="array" ref="F1490">_xlfn.XLOOKUP(C1490,Account_Master!A:A,Account_Master!B:B,"Not on master")</f>
        <v>0</v>
      </c>
      <c r="G1490" cm="1">
        <f t="array" ref="G1490">_xlfn.XLOOKUP(C1490,Account_Master!A:A,Account_Master!C:C,"Not on master")</f>
        <v>0</v>
      </c>
      <c r="H1490" s="6">
        <v>12.75</v>
      </c>
      <c r="I1490" s="6">
        <v>12.75</v>
      </c>
      <c r="J1490" s="6">
        <f>I1490-H1490</f>
        <v>0</v>
      </c>
      <c r="K1490" s="5">
        <f>IF(H1490=0,"",J1490/H1490)</f>
        <v>0</v>
      </c>
      <c r="L1490">
        <f>IF(OR(AND(H1490=0,ABS(J1490)&gt;=0.01),AND(H1490&lt;&gt;0,ABS(K1490)&gt;VarianceThreshold)),"Review","OK")</f>
        <v>0</v>
      </c>
      <c r="M1490" t="s">
        <v>33</v>
      </c>
    </row>
    <row r="1491" spans="1:13">
      <c r="A1491" t="s">
        <v>2</v>
      </c>
      <c r="B1491" t="s">
        <v>273</v>
      </c>
      <c r="C1491" t="s">
        <v>1655</v>
      </c>
      <c r="D1491" t="s">
        <v>1713</v>
      </c>
      <c r="E1491" cm="1">
        <f t="array" ref="E1491">_xlfn.XLOOKUP(D1491,SKU_Master!A:A,SKU_Master!B:B,"Not on master")</f>
        <v>0</v>
      </c>
      <c r="F1491" cm="1">
        <f t="array" ref="F1491">_xlfn.XLOOKUP(C1491,Account_Master!A:A,Account_Master!B:B,"Not on master")</f>
        <v>0</v>
      </c>
      <c r="G1491" cm="1">
        <f t="array" ref="G1491">_xlfn.XLOOKUP(C1491,Account_Master!A:A,Account_Master!C:C,"Not on master")</f>
        <v>0</v>
      </c>
      <c r="H1491" s="6">
        <v>21</v>
      </c>
      <c r="I1491" s="6">
        <v>9.6381</v>
      </c>
      <c r="J1491" s="6">
        <f>I1491-H1491</f>
        <v>0</v>
      </c>
      <c r="K1491" s="5">
        <f>IF(H1491=0,"",J1491/H1491)</f>
        <v>0</v>
      </c>
      <c r="L1491">
        <f>IF(OR(AND(H1491=0,ABS(J1491)&gt;=0.01),AND(H1491&lt;&gt;0,ABS(K1491)&gt;VarianceThreshold)),"Review","OK")</f>
        <v>0</v>
      </c>
      <c r="M1491" t="s">
        <v>471</v>
      </c>
    </row>
    <row r="1492" spans="1:13">
      <c r="A1492" t="s">
        <v>2</v>
      </c>
      <c r="B1492" t="s">
        <v>273</v>
      </c>
      <c r="C1492" t="s">
        <v>1714</v>
      </c>
      <c r="D1492" t="s">
        <v>1715</v>
      </c>
      <c r="E1492" cm="1">
        <f t="array" ref="E1492">_xlfn.XLOOKUP(D1492,SKU_Master!A:A,SKU_Master!B:B,"Not on master")</f>
        <v>0</v>
      </c>
      <c r="F1492" cm="1">
        <f t="array" ref="F1492">_xlfn.XLOOKUP(C1492,Account_Master!A:A,Account_Master!B:B,"Not on master")</f>
        <v>0</v>
      </c>
      <c r="G1492" cm="1">
        <f t="array" ref="G1492">_xlfn.XLOOKUP(C1492,Account_Master!A:A,Account_Master!C:C,"Not on master")</f>
        <v>0</v>
      </c>
      <c r="H1492" s="6">
        <v>0.05</v>
      </c>
      <c r="I1492" s="6">
        <v>0.0459</v>
      </c>
      <c r="J1492" s="6">
        <f>I1492-H1492</f>
        <v>0</v>
      </c>
      <c r="K1492" s="5">
        <f>IF(H1492=0,"",J1492/H1492)</f>
        <v>0</v>
      </c>
      <c r="L1492">
        <f>IF(OR(AND(H1492=0,ABS(J1492)&gt;=0.01),AND(H1492&lt;&gt;0,ABS(K1492)&gt;VarianceThreshold)),"Review","OK")</f>
        <v>0</v>
      </c>
      <c r="M1492" t="s">
        <v>471</v>
      </c>
    </row>
    <row r="1493" spans="1:13">
      <c r="A1493" t="s">
        <v>2</v>
      </c>
      <c r="B1493" t="s">
        <v>273</v>
      </c>
      <c r="C1493" t="s">
        <v>1655</v>
      </c>
      <c r="D1493" t="s">
        <v>702</v>
      </c>
      <c r="E1493" cm="1">
        <f t="array" ref="E1493">_xlfn.XLOOKUP(D1493,SKU_Master!A:A,SKU_Master!B:B,"Not on master")</f>
        <v>0</v>
      </c>
      <c r="F1493" cm="1">
        <f t="array" ref="F1493">_xlfn.XLOOKUP(C1493,Account_Master!A:A,Account_Master!B:B,"Not on master")</f>
        <v>0</v>
      </c>
      <c r="G1493" cm="1">
        <f t="array" ref="G1493">_xlfn.XLOOKUP(C1493,Account_Master!A:A,Account_Master!C:C,"Not on master")</f>
        <v>0</v>
      </c>
      <c r="H1493" s="6">
        <v>199.5</v>
      </c>
      <c r="I1493" s="6">
        <v>173.4858</v>
      </c>
      <c r="J1493" s="6">
        <f>I1493-H1493</f>
        <v>0</v>
      </c>
      <c r="K1493" s="5">
        <f>IF(H1493=0,"",J1493/H1493)</f>
        <v>0</v>
      </c>
      <c r="L1493">
        <f>IF(OR(AND(H1493=0,ABS(J1493)&gt;=0.01),AND(H1493&lt;&gt;0,ABS(K1493)&gt;VarianceThreshold)),"Review","OK")</f>
        <v>0</v>
      </c>
      <c r="M1493" t="s">
        <v>471</v>
      </c>
    </row>
    <row r="1494" spans="1:13">
      <c r="A1494" t="s">
        <v>2</v>
      </c>
      <c r="B1494" t="s">
        <v>273</v>
      </c>
      <c r="C1494" t="s">
        <v>1716</v>
      </c>
      <c r="D1494" t="s">
        <v>348</v>
      </c>
      <c r="E1494" cm="1">
        <f t="array" ref="E1494">_xlfn.XLOOKUP(D1494,SKU_Master!A:A,SKU_Master!B:B,"Not on master")</f>
        <v>0</v>
      </c>
      <c r="F1494" cm="1">
        <f t="array" ref="F1494">_xlfn.XLOOKUP(C1494,Account_Master!A:A,Account_Master!B:B,"Not on master")</f>
        <v>0</v>
      </c>
      <c r="G1494" cm="1">
        <f t="array" ref="G1494">_xlfn.XLOOKUP(C1494,Account_Master!A:A,Account_Master!C:C,"Not on master")</f>
        <v>0</v>
      </c>
      <c r="H1494" s="6">
        <v>1.5</v>
      </c>
      <c r="I1494" s="6">
        <v>1.3769</v>
      </c>
      <c r="J1494" s="6">
        <f>I1494-H1494</f>
        <v>0</v>
      </c>
      <c r="K1494" s="5">
        <f>IF(H1494=0,"",J1494/H1494)</f>
        <v>0</v>
      </c>
      <c r="L1494">
        <f>IF(OR(AND(H1494=0,ABS(J1494)&gt;=0.01),AND(H1494&lt;&gt;0,ABS(K1494)&gt;VarianceThreshold)),"Review","OK")</f>
        <v>0</v>
      </c>
      <c r="M1494" t="s">
        <v>471</v>
      </c>
    </row>
    <row r="1495" spans="1:13">
      <c r="A1495" t="s">
        <v>2</v>
      </c>
      <c r="B1495" t="s">
        <v>273</v>
      </c>
      <c r="C1495" t="s">
        <v>1717</v>
      </c>
      <c r="D1495" t="s">
        <v>488</v>
      </c>
      <c r="E1495" cm="1">
        <f t="array" ref="E1495">_xlfn.XLOOKUP(D1495,SKU_Master!A:A,SKU_Master!B:B,"Not on master")</f>
        <v>0</v>
      </c>
      <c r="F1495" cm="1">
        <f t="array" ref="F1495">_xlfn.XLOOKUP(C1495,Account_Master!A:A,Account_Master!B:B,"Not on master")</f>
        <v>0</v>
      </c>
      <c r="G1495" cm="1">
        <f t="array" ref="G1495">_xlfn.XLOOKUP(C1495,Account_Master!A:A,Account_Master!C:C,"Not on master")</f>
        <v>0</v>
      </c>
      <c r="H1495" s="6">
        <v>24</v>
      </c>
      <c r="I1495" s="6">
        <v>22.0299</v>
      </c>
      <c r="J1495" s="6">
        <f>I1495-H1495</f>
        <v>0</v>
      </c>
      <c r="K1495" s="5">
        <f>IF(H1495=0,"",J1495/H1495)</f>
        <v>0</v>
      </c>
      <c r="L1495">
        <f>IF(OR(AND(H1495=0,ABS(J1495)&gt;=0.01),AND(H1495&lt;&gt;0,ABS(K1495)&gt;VarianceThreshold)),"Review","OK")</f>
        <v>0</v>
      </c>
      <c r="M1495" t="s">
        <v>471</v>
      </c>
    </row>
    <row r="1496" spans="1:13">
      <c r="A1496" t="s">
        <v>2</v>
      </c>
      <c r="B1496" t="s">
        <v>273</v>
      </c>
      <c r="C1496" t="s">
        <v>1576</v>
      </c>
      <c r="D1496" t="s">
        <v>1718</v>
      </c>
      <c r="E1496" cm="1">
        <f t="array" ref="E1496">_xlfn.XLOOKUP(D1496,SKU_Master!A:A,SKU_Master!B:B,"Not on master")</f>
        <v>0</v>
      </c>
      <c r="F1496" cm="1">
        <f t="array" ref="F1496">_xlfn.XLOOKUP(C1496,Account_Master!A:A,Account_Master!B:B,"Not on master")</f>
        <v>0</v>
      </c>
      <c r="G1496" cm="1">
        <f t="array" ref="G1496">_xlfn.XLOOKUP(C1496,Account_Master!A:A,Account_Master!C:C,"Not on master")</f>
        <v>0</v>
      </c>
      <c r="H1496" s="6">
        <v>13.5</v>
      </c>
      <c r="I1496" s="6">
        <v>12.3918</v>
      </c>
      <c r="J1496" s="6">
        <f>I1496-H1496</f>
        <v>0</v>
      </c>
      <c r="K1496" s="5">
        <f>IF(H1496=0,"",J1496/H1496)</f>
        <v>0</v>
      </c>
      <c r="L1496">
        <f>IF(OR(AND(H1496=0,ABS(J1496)&gt;=0.01),AND(H1496&lt;&gt;0,ABS(K1496)&gt;VarianceThreshold)),"Review","OK")</f>
        <v>0</v>
      </c>
      <c r="M1496" t="s">
        <v>471</v>
      </c>
    </row>
    <row r="1497" spans="1:13">
      <c r="A1497" t="s">
        <v>2</v>
      </c>
      <c r="B1497" t="s">
        <v>273</v>
      </c>
      <c r="C1497" t="s">
        <v>1602</v>
      </c>
      <c r="D1497" t="s">
        <v>1719</v>
      </c>
      <c r="E1497" cm="1">
        <f t="array" ref="E1497">_xlfn.XLOOKUP(D1497,SKU_Master!A:A,SKU_Master!B:B,"Not on master")</f>
        <v>0</v>
      </c>
      <c r="F1497" cm="1">
        <f t="array" ref="F1497">_xlfn.XLOOKUP(C1497,Account_Master!A:A,Account_Master!B:B,"Not on master")</f>
        <v>0</v>
      </c>
      <c r="G1497" cm="1">
        <f t="array" ref="G1497">_xlfn.XLOOKUP(C1497,Account_Master!A:A,Account_Master!C:C,"Not on master")</f>
        <v>0</v>
      </c>
      <c r="H1497" s="6">
        <v>21</v>
      </c>
      <c r="I1497" s="6">
        <v>19.2762</v>
      </c>
      <c r="J1497" s="6">
        <f>I1497-H1497</f>
        <v>0</v>
      </c>
      <c r="K1497" s="5">
        <f>IF(H1497=0,"",J1497/H1497)</f>
        <v>0</v>
      </c>
      <c r="L1497">
        <f>IF(OR(AND(H1497=0,ABS(J1497)&gt;=0.01),AND(H1497&lt;&gt;0,ABS(K1497)&gt;VarianceThreshold)),"Review","OK")</f>
        <v>0</v>
      </c>
      <c r="M1497" t="s">
        <v>471</v>
      </c>
    </row>
    <row r="1498" spans="1:13">
      <c r="A1498" t="s">
        <v>2</v>
      </c>
      <c r="B1498" t="s">
        <v>273</v>
      </c>
      <c r="C1498" t="s">
        <v>1580</v>
      </c>
      <c r="D1498" t="s">
        <v>1720</v>
      </c>
      <c r="E1498" cm="1">
        <f t="array" ref="E1498">_xlfn.XLOOKUP(D1498,SKU_Master!A:A,SKU_Master!B:B,"Not on master")</f>
        <v>0</v>
      </c>
      <c r="F1498" cm="1">
        <f t="array" ref="F1498">_xlfn.XLOOKUP(C1498,Account_Master!A:A,Account_Master!B:B,"Not on master")</f>
        <v>0</v>
      </c>
      <c r="G1498" cm="1">
        <f t="array" ref="G1498">_xlfn.XLOOKUP(C1498,Account_Master!A:A,Account_Master!C:C,"Not on master")</f>
        <v>0</v>
      </c>
      <c r="H1498" s="6">
        <v>4.5</v>
      </c>
      <c r="I1498" s="6">
        <v>4.1306</v>
      </c>
      <c r="J1498" s="6">
        <f>I1498-H1498</f>
        <v>0</v>
      </c>
      <c r="K1498" s="5">
        <f>IF(H1498=0,"",J1498/H1498)</f>
        <v>0</v>
      </c>
      <c r="L1498">
        <f>IF(OR(AND(H1498=0,ABS(J1498)&gt;=0.01),AND(H1498&lt;&gt;0,ABS(K1498)&gt;VarianceThreshold)),"Review","OK")</f>
        <v>0</v>
      </c>
      <c r="M1498" t="s">
        <v>471</v>
      </c>
    </row>
    <row r="1499" spans="1:13">
      <c r="A1499" t="s">
        <v>2</v>
      </c>
      <c r="B1499" t="s">
        <v>273</v>
      </c>
      <c r="C1499" t="s">
        <v>1721</v>
      </c>
      <c r="D1499" t="s">
        <v>1722</v>
      </c>
      <c r="E1499" cm="1">
        <f t="array" ref="E1499">_xlfn.XLOOKUP(D1499,SKU_Master!A:A,SKU_Master!B:B,"Not on master")</f>
        <v>0</v>
      </c>
      <c r="F1499" cm="1">
        <f t="array" ref="F1499">_xlfn.XLOOKUP(C1499,Account_Master!A:A,Account_Master!B:B,"Not on master")</f>
        <v>0</v>
      </c>
      <c r="G1499" cm="1">
        <f t="array" ref="G1499">_xlfn.XLOOKUP(C1499,Account_Master!A:A,Account_Master!C:C,"Not on master")</f>
        <v>0</v>
      </c>
      <c r="H1499" s="6">
        <v>0.05</v>
      </c>
      <c r="I1499" s="6">
        <v>0.0459</v>
      </c>
      <c r="J1499" s="6">
        <f>I1499-H1499</f>
        <v>0</v>
      </c>
      <c r="K1499" s="5">
        <f>IF(H1499=0,"",J1499/H1499)</f>
        <v>0</v>
      </c>
      <c r="L1499">
        <f>IF(OR(AND(H1499=0,ABS(J1499)&gt;=0.01),AND(H1499&lt;&gt;0,ABS(K1499)&gt;VarianceThreshold)),"Review","OK")</f>
        <v>0</v>
      </c>
      <c r="M1499" t="s">
        <v>471</v>
      </c>
    </row>
    <row r="1500" spans="1:13">
      <c r="A1500" t="s">
        <v>2</v>
      </c>
      <c r="B1500" t="s">
        <v>273</v>
      </c>
      <c r="C1500" t="s">
        <v>1723</v>
      </c>
      <c r="D1500" t="s">
        <v>699</v>
      </c>
      <c r="E1500" cm="1">
        <f t="array" ref="E1500">_xlfn.XLOOKUP(D1500,SKU_Master!A:A,SKU_Master!B:B,"Not on master")</f>
        <v>0</v>
      </c>
      <c r="F1500" cm="1">
        <f t="array" ref="F1500">_xlfn.XLOOKUP(C1500,Account_Master!A:A,Account_Master!B:B,"Not on master")</f>
        <v>0</v>
      </c>
      <c r="G1500" cm="1">
        <f t="array" ref="G1500">_xlfn.XLOOKUP(C1500,Account_Master!A:A,Account_Master!C:C,"Not on master")</f>
        <v>0</v>
      </c>
      <c r="H1500" s="6">
        <v>21</v>
      </c>
      <c r="I1500" s="6">
        <v>19.2762</v>
      </c>
      <c r="J1500" s="6">
        <f>I1500-H1500</f>
        <v>0</v>
      </c>
      <c r="K1500" s="5">
        <f>IF(H1500=0,"",J1500/H1500)</f>
        <v>0</v>
      </c>
      <c r="L1500">
        <f>IF(OR(AND(H1500=0,ABS(J1500)&gt;=0.01),AND(H1500&lt;&gt;0,ABS(K1500)&gt;VarianceThreshold)),"Review","OK")</f>
        <v>0</v>
      </c>
      <c r="M1500" t="s">
        <v>471</v>
      </c>
    </row>
    <row r="1501" spans="1:13">
      <c r="A1501" t="s">
        <v>2</v>
      </c>
      <c r="B1501" t="s">
        <v>273</v>
      </c>
      <c r="C1501" t="s">
        <v>1724</v>
      </c>
      <c r="D1501" t="s">
        <v>1725</v>
      </c>
      <c r="E1501" cm="1">
        <f t="array" ref="E1501">_xlfn.XLOOKUP(D1501,SKU_Master!A:A,SKU_Master!B:B,"Not on master")</f>
        <v>0</v>
      </c>
      <c r="F1501" cm="1">
        <f t="array" ref="F1501">_xlfn.XLOOKUP(C1501,Account_Master!A:A,Account_Master!B:B,"Not on master")</f>
        <v>0</v>
      </c>
      <c r="G1501" cm="1">
        <f t="array" ref="G1501">_xlfn.XLOOKUP(C1501,Account_Master!A:A,Account_Master!C:C,"Not on master")</f>
        <v>0</v>
      </c>
      <c r="H1501" s="6">
        <v>0.25</v>
      </c>
      <c r="I1501" s="6">
        <v>0.2295</v>
      </c>
      <c r="J1501" s="6">
        <f>I1501-H1501</f>
        <v>0</v>
      </c>
      <c r="K1501" s="5">
        <f>IF(H1501=0,"",J1501/H1501)</f>
        <v>0</v>
      </c>
      <c r="L1501">
        <f>IF(OR(AND(H1501=0,ABS(J1501)&gt;=0.01),AND(H1501&lt;&gt;0,ABS(K1501)&gt;VarianceThreshold)),"Review","OK")</f>
        <v>0</v>
      </c>
      <c r="M1501" t="s">
        <v>471</v>
      </c>
    </row>
    <row r="1502" spans="1:13">
      <c r="A1502" t="s">
        <v>2</v>
      </c>
      <c r="B1502" t="s">
        <v>273</v>
      </c>
      <c r="C1502" t="s">
        <v>1726</v>
      </c>
      <c r="D1502" t="s">
        <v>499</v>
      </c>
      <c r="E1502" cm="1">
        <f t="array" ref="E1502">_xlfn.XLOOKUP(D1502,SKU_Master!A:A,SKU_Master!B:B,"Not on master")</f>
        <v>0</v>
      </c>
      <c r="F1502" cm="1">
        <f t="array" ref="F1502">_xlfn.XLOOKUP(C1502,Account_Master!A:A,Account_Master!B:B,"Not on master")</f>
        <v>0</v>
      </c>
      <c r="G1502" cm="1">
        <f t="array" ref="G1502">_xlfn.XLOOKUP(C1502,Account_Master!A:A,Account_Master!C:C,"Not on master")</f>
        <v>0</v>
      </c>
      <c r="H1502" s="6">
        <v>1.5</v>
      </c>
      <c r="I1502" s="6">
        <v>1.3769</v>
      </c>
      <c r="J1502" s="6">
        <f>I1502-H1502</f>
        <v>0</v>
      </c>
      <c r="K1502" s="5">
        <f>IF(H1502=0,"",J1502/H1502)</f>
        <v>0</v>
      </c>
      <c r="L1502">
        <f>IF(OR(AND(H1502=0,ABS(J1502)&gt;=0.01),AND(H1502&lt;&gt;0,ABS(K1502)&gt;VarianceThreshold)),"Review","OK")</f>
        <v>0</v>
      </c>
      <c r="M1502" t="s">
        <v>471</v>
      </c>
    </row>
    <row r="1503" spans="1:13">
      <c r="A1503" t="s">
        <v>2</v>
      </c>
      <c r="B1503" t="s">
        <v>284</v>
      </c>
      <c r="C1503" t="s">
        <v>1727</v>
      </c>
      <c r="D1503" t="s">
        <v>109</v>
      </c>
      <c r="E1503" cm="1">
        <f t="array" ref="E1503">_xlfn.XLOOKUP(D1503,SKU_Master!A:A,SKU_Master!B:B,"Not on master")</f>
        <v>0</v>
      </c>
      <c r="F1503" cm="1">
        <f t="array" ref="F1503">_xlfn.XLOOKUP(C1503,Account_Master!A:A,Account_Master!B:B,"Not on master")</f>
        <v>0</v>
      </c>
      <c r="G1503" cm="1">
        <f t="array" ref="G1503">_xlfn.XLOOKUP(C1503,Account_Master!A:A,Account_Master!C:C,"Not on master")</f>
        <v>0</v>
      </c>
      <c r="H1503" s="6">
        <v>6</v>
      </c>
      <c r="I1503" s="6">
        <v>6</v>
      </c>
      <c r="J1503" s="6">
        <f>I1503-H1503</f>
        <v>0</v>
      </c>
      <c r="K1503" s="5">
        <f>IF(H1503=0,"",J1503/H1503)</f>
        <v>0</v>
      </c>
      <c r="L1503">
        <f>IF(OR(AND(H1503=0,ABS(J1503)&gt;=0.01),AND(H1503&lt;&gt;0,ABS(K1503)&gt;VarianceThreshold)),"Review","OK")</f>
        <v>0</v>
      </c>
      <c r="M1503" t="s">
        <v>33</v>
      </c>
    </row>
    <row r="1504" spans="1:13">
      <c r="A1504" t="s">
        <v>2</v>
      </c>
      <c r="B1504" t="s">
        <v>284</v>
      </c>
      <c r="C1504" t="s">
        <v>1638</v>
      </c>
      <c r="D1504" t="s">
        <v>1728</v>
      </c>
      <c r="E1504" cm="1">
        <f t="array" ref="E1504">_xlfn.XLOOKUP(D1504,SKU_Master!A:A,SKU_Master!B:B,"Not on master")</f>
        <v>0</v>
      </c>
      <c r="F1504" cm="1">
        <f t="array" ref="F1504">_xlfn.XLOOKUP(C1504,Account_Master!A:A,Account_Master!B:B,"Not on master")</f>
        <v>0</v>
      </c>
      <c r="G1504" cm="1">
        <f t="array" ref="G1504">_xlfn.XLOOKUP(C1504,Account_Master!A:A,Account_Master!C:C,"Not on master")</f>
        <v>0</v>
      </c>
      <c r="H1504" s="6">
        <v>687.4</v>
      </c>
      <c r="I1504" s="6">
        <v>673</v>
      </c>
      <c r="J1504" s="6">
        <f>I1504-H1504</f>
        <v>0</v>
      </c>
      <c r="K1504" s="5">
        <f>IF(H1504=0,"",J1504/H1504)</f>
        <v>0</v>
      </c>
      <c r="L1504">
        <f>IF(OR(AND(H1504=0,ABS(J1504)&gt;=0.01),AND(H1504&lt;&gt;0,ABS(K1504)&gt;VarianceThreshold)),"Review","OK")</f>
        <v>0</v>
      </c>
      <c r="M1504" t="s">
        <v>33</v>
      </c>
    </row>
    <row r="1505" spans="1:13">
      <c r="A1505" t="s">
        <v>2</v>
      </c>
      <c r="B1505" t="s">
        <v>284</v>
      </c>
      <c r="C1505" t="s">
        <v>1576</v>
      </c>
      <c r="D1505" t="s">
        <v>1729</v>
      </c>
      <c r="E1505" cm="1">
        <f t="array" ref="E1505">_xlfn.XLOOKUP(D1505,SKU_Master!A:A,SKU_Master!B:B,"Not on master")</f>
        <v>0</v>
      </c>
      <c r="F1505" cm="1">
        <f t="array" ref="F1505">_xlfn.XLOOKUP(C1505,Account_Master!A:A,Account_Master!B:B,"Not on master")</f>
        <v>0</v>
      </c>
      <c r="G1505" cm="1">
        <f t="array" ref="G1505">_xlfn.XLOOKUP(C1505,Account_Master!A:A,Account_Master!C:C,"Not on master")</f>
        <v>0</v>
      </c>
      <c r="H1505" s="6">
        <v>10.5</v>
      </c>
      <c r="I1505" s="6">
        <v>10.5</v>
      </c>
      <c r="J1505" s="6">
        <f>I1505-H1505</f>
        <v>0</v>
      </c>
      <c r="K1505" s="5">
        <f>IF(H1505=0,"",J1505/H1505)</f>
        <v>0</v>
      </c>
      <c r="L1505">
        <f>IF(OR(AND(H1505=0,ABS(J1505)&gt;=0.01),AND(H1505&lt;&gt;0,ABS(K1505)&gt;VarianceThreshold)),"Review","OK")</f>
        <v>0</v>
      </c>
      <c r="M1505" t="s">
        <v>33</v>
      </c>
    </row>
    <row r="1506" spans="1:13">
      <c r="A1506" t="s">
        <v>2</v>
      </c>
      <c r="B1506" t="s">
        <v>284</v>
      </c>
      <c r="C1506" t="s">
        <v>1716</v>
      </c>
      <c r="D1506" t="s">
        <v>1730</v>
      </c>
      <c r="E1506" cm="1">
        <f t="array" ref="E1506">_xlfn.XLOOKUP(D1506,SKU_Master!A:A,SKU_Master!B:B,"Not on master")</f>
        <v>0</v>
      </c>
      <c r="F1506" cm="1">
        <f t="array" ref="F1506">_xlfn.XLOOKUP(C1506,Account_Master!A:A,Account_Master!B:B,"Not on master")</f>
        <v>0</v>
      </c>
      <c r="G1506" cm="1">
        <f t="array" ref="G1506">_xlfn.XLOOKUP(C1506,Account_Master!A:A,Account_Master!C:C,"Not on master")</f>
        <v>0</v>
      </c>
      <c r="H1506" s="6">
        <v>2.25</v>
      </c>
      <c r="I1506" s="6">
        <v>2.25</v>
      </c>
      <c r="J1506" s="6">
        <f>I1506-H1506</f>
        <v>0</v>
      </c>
      <c r="K1506" s="5">
        <f>IF(H1506=0,"",J1506/H1506)</f>
        <v>0</v>
      </c>
      <c r="L1506">
        <f>IF(OR(AND(H1506=0,ABS(J1506)&gt;=0.01),AND(H1506&lt;&gt;0,ABS(K1506)&gt;VarianceThreshold)),"Review","OK")</f>
        <v>0</v>
      </c>
      <c r="M1506" t="s">
        <v>33</v>
      </c>
    </row>
    <row r="1507" spans="1:13">
      <c r="A1507" t="s">
        <v>2</v>
      </c>
      <c r="B1507" t="s">
        <v>289</v>
      </c>
      <c r="C1507" t="s">
        <v>1658</v>
      </c>
      <c r="D1507" t="s">
        <v>32</v>
      </c>
      <c r="E1507" cm="1">
        <f t="array" ref="E1507">_xlfn.XLOOKUP(D1507,SKU_Master!A:A,SKU_Master!B:B,"Not on master")</f>
        <v>0</v>
      </c>
      <c r="F1507" cm="1">
        <f t="array" ref="F1507">_xlfn.XLOOKUP(C1507,Account_Master!A:A,Account_Master!B:B,"Not on master")</f>
        <v>0</v>
      </c>
      <c r="G1507" cm="1">
        <f t="array" ref="G1507">_xlfn.XLOOKUP(C1507,Account_Master!A:A,Account_Master!C:C,"Not on master")</f>
        <v>0</v>
      </c>
      <c r="H1507" s="6">
        <v>13.5</v>
      </c>
      <c r="I1507" s="6">
        <v>13.5</v>
      </c>
      <c r="J1507" s="6">
        <f>I1507-H1507</f>
        <v>0</v>
      </c>
      <c r="K1507" s="5">
        <f>IF(H1507=0,"",J1507/H1507)</f>
        <v>0</v>
      </c>
      <c r="L1507">
        <f>IF(OR(AND(H1507=0,ABS(J1507)&gt;=0.01),AND(H1507&lt;&gt;0,ABS(K1507)&gt;VarianceThreshold)),"Review","OK")</f>
        <v>0</v>
      </c>
      <c r="M1507" t="s">
        <v>33</v>
      </c>
    </row>
    <row r="1508" spans="1:13">
      <c r="A1508" t="s">
        <v>2</v>
      </c>
      <c r="B1508" t="s">
        <v>289</v>
      </c>
      <c r="C1508" t="s">
        <v>1622</v>
      </c>
      <c r="D1508" t="s">
        <v>1731</v>
      </c>
      <c r="E1508" cm="1">
        <f t="array" ref="E1508">_xlfn.XLOOKUP(D1508,SKU_Master!A:A,SKU_Master!B:B,"Not on master")</f>
        <v>0</v>
      </c>
      <c r="F1508" cm="1">
        <f t="array" ref="F1508">_xlfn.XLOOKUP(C1508,Account_Master!A:A,Account_Master!B:B,"Not on master")</f>
        <v>0</v>
      </c>
      <c r="G1508" cm="1">
        <f t="array" ref="G1508">_xlfn.XLOOKUP(C1508,Account_Master!A:A,Account_Master!C:C,"Not on master")</f>
        <v>0</v>
      </c>
      <c r="H1508" s="6">
        <v>127.75</v>
      </c>
      <c r="I1508" s="6">
        <v>117.25</v>
      </c>
      <c r="J1508" s="6">
        <f>I1508-H1508</f>
        <v>0</v>
      </c>
      <c r="K1508" s="5">
        <f>IF(H1508=0,"",J1508/H1508)</f>
        <v>0</v>
      </c>
      <c r="L1508">
        <f>IF(OR(AND(H1508=0,ABS(J1508)&gt;=0.01),AND(H1508&lt;&gt;0,ABS(K1508)&gt;VarianceThreshold)),"Review","OK")</f>
        <v>0</v>
      </c>
      <c r="M1508" t="s">
        <v>1611</v>
      </c>
    </row>
    <row r="1509" spans="1:13">
      <c r="A1509" t="s">
        <v>2</v>
      </c>
      <c r="B1509" t="s">
        <v>289</v>
      </c>
      <c r="C1509" t="s">
        <v>1721</v>
      </c>
      <c r="D1509" t="s">
        <v>1732</v>
      </c>
      <c r="E1509" cm="1">
        <f t="array" ref="E1509">_xlfn.XLOOKUP(D1509,SKU_Master!A:A,SKU_Master!B:B,"Not on master")</f>
        <v>0</v>
      </c>
      <c r="F1509" cm="1">
        <f t="array" ref="F1509">_xlfn.XLOOKUP(C1509,Account_Master!A:A,Account_Master!B:B,"Not on master")</f>
        <v>0</v>
      </c>
      <c r="G1509" cm="1">
        <f t="array" ref="G1509">_xlfn.XLOOKUP(C1509,Account_Master!A:A,Account_Master!C:C,"Not on master")</f>
        <v>0</v>
      </c>
      <c r="H1509" s="6">
        <v>11.8</v>
      </c>
      <c r="I1509" s="6">
        <v>11.8</v>
      </c>
      <c r="J1509" s="6">
        <f>I1509-H1509</f>
        <v>0</v>
      </c>
      <c r="K1509" s="5">
        <f>IF(H1509=0,"",J1509/H1509)</f>
        <v>0</v>
      </c>
      <c r="L1509">
        <f>IF(OR(AND(H1509=0,ABS(J1509)&gt;=0.01),AND(H1509&lt;&gt;0,ABS(K1509)&gt;VarianceThreshold)),"Review","OK")</f>
        <v>0</v>
      </c>
      <c r="M1509" t="s">
        <v>33</v>
      </c>
    </row>
    <row r="1510" spans="1:13">
      <c r="A1510" t="s">
        <v>2</v>
      </c>
      <c r="B1510" t="s">
        <v>289</v>
      </c>
      <c r="C1510" t="s">
        <v>1580</v>
      </c>
      <c r="D1510" t="s">
        <v>1305</v>
      </c>
      <c r="E1510" cm="1">
        <f t="array" ref="E1510">_xlfn.XLOOKUP(D1510,SKU_Master!A:A,SKU_Master!B:B,"Not on master")</f>
        <v>0</v>
      </c>
      <c r="F1510" cm="1">
        <f t="array" ref="F1510">_xlfn.XLOOKUP(C1510,Account_Master!A:A,Account_Master!B:B,"Not on master")</f>
        <v>0</v>
      </c>
      <c r="G1510" cm="1">
        <f t="array" ref="G1510">_xlfn.XLOOKUP(C1510,Account_Master!A:A,Account_Master!C:C,"Not on master")</f>
        <v>0</v>
      </c>
      <c r="H1510" s="6">
        <v>6</v>
      </c>
      <c r="I1510" s="6">
        <v>6</v>
      </c>
      <c r="J1510" s="6">
        <f>I1510-H1510</f>
        <v>0</v>
      </c>
      <c r="K1510" s="5">
        <f>IF(H1510=0,"",J1510/H1510)</f>
        <v>0</v>
      </c>
      <c r="L1510">
        <f>IF(OR(AND(H1510=0,ABS(J1510)&gt;=0.01),AND(H1510&lt;&gt;0,ABS(K1510)&gt;VarianceThreshold)),"Review","OK")</f>
        <v>0</v>
      </c>
      <c r="M1510" t="s">
        <v>33</v>
      </c>
    </row>
    <row r="1511" spans="1:13">
      <c r="A1511" t="s">
        <v>2</v>
      </c>
      <c r="B1511" t="s">
        <v>289</v>
      </c>
      <c r="C1511" t="s">
        <v>1733</v>
      </c>
      <c r="D1511" t="s">
        <v>1734</v>
      </c>
      <c r="E1511" cm="1">
        <f t="array" ref="E1511">_xlfn.XLOOKUP(D1511,SKU_Master!A:A,SKU_Master!B:B,"Not on master")</f>
        <v>0</v>
      </c>
      <c r="F1511" cm="1">
        <f t="array" ref="F1511">_xlfn.XLOOKUP(C1511,Account_Master!A:A,Account_Master!B:B,"Not on master")</f>
        <v>0</v>
      </c>
      <c r="G1511" cm="1">
        <f t="array" ref="G1511">_xlfn.XLOOKUP(C1511,Account_Master!A:A,Account_Master!C:C,"Not on master")</f>
        <v>0</v>
      </c>
      <c r="H1511" s="6">
        <v>19.2</v>
      </c>
      <c r="I1511" s="6">
        <v>19.2</v>
      </c>
      <c r="J1511" s="6">
        <f>I1511-H1511</f>
        <v>0</v>
      </c>
      <c r="K1511" s="5">
        <f>IF(H1511=0,"",J1511/H1511)</f>
        <v>0</v>
      </c>
      <c r="L1511">
        <f>IF(OR(AND(H1511=0,ABS(J1511)&gt;=0.01),AND(H1511&lt;&gt;0,ABS(K1511)&gt;VarianceThreshold)),"Review","OK")</f>
        <v>0</v>
      </c>
      <c r="M1511" t="s">
        <v>33</v>
      </c>
    </row>
    <row r="1512" spans="1:13">
      <c r="A1512" t="s">
        <v>2</v>
      </c>
      <c r="B1512" t="s">
        <v>289</v>
      </c>
      <c r="C1512" t="s">
        <v>1735</v>
      </c>
      <c r="D1512" t="s">
        <v>1736</v>
      </c>
      <c r="E1512" cm="1">
        <f t="array" ref="E1512">_xlfn.XLOOKUP(D1512,SKU_Master!A:A,SKU_Master!B:B,"Not on master")</f>
        <v>0</v>
      </c>
      <c r="F1512" cm="1">
        <f t="array" ref="F1512">_xlfn.XLOOKUP(C1512,Account_Master!A:A,Account_Master!B:B,"Not on master")</f>
        <v>0</v>
      </c>
      <c r="G1512" cm="1">
        <f t="array" ref="G1512">_xlfn.XLOOKUP(C1512,Account_Master!A:A,Account_Master!C:C,"Not on master")</f>
        <v>0</v>
      </c>
      <c r="H1512" s="6">
        <v>427.5</v>
      </c>
      <c r="I1512" s="6">
        <v>398.25</v>
      </c>
      <c r="J1512" s="6">
        <f>I1512-H1512</f>
        <v>0</v>
      </c>
      <c r="K1512" s="5">
        <f>IF(H1512=0,"",J1512/H1512)</f>
        <v>0</v>
      </c>
      <c r="L1512">
        <f>IF(OR(AND(H1512=0,ABS(J1512)&gt;=0.01),AND(H1512&lt;&gt;0,ABS(K1512)&gt;VarianceThreshold)),"Review","OK")</f>
        <v>0</v>
      </c>
      <c r="M1512" t="s">
        <v>1611</v>
      </c>
    </row>
    <row r="1513" spans="1:13">
      <c r="A1513" t="s">
        <v>2</v>
      </c>
      <c r="B1513" t="s">
        <v>299</v>
      </c>
      <c r="C1513" t="s">
        <v>1644</v>
      </c>
      <c r="D1513" t="s">
        <v>1116</v>
      </c>
      <c r="E1513" cm="1">
        <f t="array" ref="E1513">_xlfn.XLOOKUP(D1513,SKU_Master!A:A,SKU_Master!B:B,"Not on master")</f>
        <v>0</v>
      </c>
      <c r="F1513" cm="1">
        <f t="array" ref="F1513">_xlfn.XLOOKUP(C1513,Account_Master!A:A,Account_Master!B:B,"Not on master")</f>
        <v>0</v>
      </c>
      <c r="G1513" cm="1">
        <f t="array" ref="G1513">_xlfn.XLOOKUP(C1513,Account_Master!A:A,Account_Master!C:C,"Not on master")</f>
        <v>0</v>
      </c>
      <c r="H1513" s="6">
        <v>5.25</v>
      </c>
      <c r="I1513" s="6">
        <v>5.25</v>
      </c>
      <c r="J1513" s="6">
        <f>I1513-H1513</f>
        <v>0</v>
      </c>
      <c r="K1513" s="5">
        <f>IF(H1513=0,"",J1513/H1513)</f>
        <v>0</v>
      </c>
      <c r="L1513">
        <f>IF(OR(AND(H1513=0,ABS(J1513)&gt;=0.01),AND(H1513&lt;&gt;0,ABS(K1513)&gt;VarianceThreshold)),"Review","OK")</f>
        <v>0</v>
      </c>
      <c r="M1513" t="s">
        <v>33</v>
      </c>
    </row>
    <row r="1514" spans="1:13">
      <c r="A1514" t="s">
        <v>2</v>
      </c>
      <c r="B1514" t="s">
        <v>299</v>
      </c>
      <c r="C1514" t="s">
        <v>1612</v>
      </c>
      <c r="D1514" t="s">
        <v>554</v>
      </c>
      <c r="E1514" cm="1">
        <f t="array" ref="E1514">_xlfn.XLOOKUP(D1514,SKU_Master!A:A,SKU_Master!B:B,"Not on master")</f>
        <v>0</v>
      </c>
      <c r="F1514" cm="1">
        <f t="array" ref="F1514">_xlfn.XLOOKUP(C1514,Account_Master!A:A,Account_Master!B:B,"Not on master")</f>
        <v>0</v>
      </c>
      <c r="G1514" cm="1">
        <f t="array" ref="G1514">_xlfn.XLOOKUP(C1514,Account_Master!A:A,Account_Master!C:C,"Not on master")</f>
        <v>0</v>
      </c>
      <c r="H1514" s="6">
        <v>9.75</v>
      </c>
      <c r="I1514" s="6">
        <v>9.75</v>
      </c>
      <c r="J1514" s="6">
        <f>I1514-H1514</f>
        <v>0</v>
      </c>
      <c r="K1514" s="5">
        <f>IF(H1514=0,"",J1514/H1514)</f>
        <v>0</v>
      </c>
      <c r="L1514">
        <f>IF(OR(AND(H1514=0,ABS(J1514)&gt;=0.01),AND(H1514&lt;&gt;0,ABS(K1514)&gt;VarianceThreshold)),"Review","OK")</f>
        <v>0</v>
      </c>
      <c r="M1514" t="s">
        <v>33</v>
      </c>
    </row>
    <row r="1515" spans="1:13">
      <c r="A1515" t="s">
        <v>2</v>
      </c>
      <c r="B1515" t="s">
        <v>299</v>
      </c>
      <c r="C1515" t="s">
        <v>1605</v>
      </c>
      <c r="D1515" t="s">
        <v>1737</v>
      </c>
      <c r="E1515" cm="1">
        <f t="array" ref="E1515">_xlfn.XLOOKUP(D1515,SKU_Master!A:A,SKU_Master!B:B,"Not on master")</f>
        <v>0</v>
      </c>
      <c r="F1515" cm="1">
        <f t="array" ref="F1515">_xlfn.XLOOKUP(C1515,Account_Master!A:A,Account_Master!B:B,"Not on master")</f>
        <v>0</v>
      </c>
      <c r="G1515" cm="1">
        <f t="array" ref="G1515">_xlfn.XLOOKUP(C1515,Account_Master!A:A,Account_Master!C:C,"Not on master")</f>
        <v>0</v>
      </c>
      <c r="H1515" s="6">
        <v>12</v>
      </c>
      <c r="I1515" s="6">
        <v>12</v>
      </c>
      <c r="J1515" s="6">
        <f>I1515-H1515</f>
        <v>0</v>
      </c>
      <c r="K1515" s="5">
        <f>IF(H1515=0,"",J1515/H1515)</f>
        <v>0</v>
      </c>
      <c r="L1515">
        <f>IF(OR(AND(H1515=0,ABS(J1515)&gt;=0.01),AND(H1515&lt;&gt;0,ABS(K1515)&gt;VarianceThreshold)),"Review","OK")</f>
        <v>0</v>
      </c>
      <c r="M1515" t="s">
        <v>33</v>
      </c>
    </row>
    <row r="1516" spans="1:13">
      <c r="A1516" t="s">
        <v>2</v>
      </c>
      <c r="B1516" t="s">
        <v>299</v>
      </c>
      <c r="C1516" t="s">
        <v>1674</v>
      </c>
      <c r="D1516" t="s">
        <v>395</v>
      </c>
      <c r="E1516" cm="1">
        <f t="array" ref="E1516">_xlfn.XLOOKUP(D1516,SKU_Master!A:A,SKU_Master!B:B,"Not on master")</f>
        <v>0</v>
      </c>
      <c r="F1516" cm="1">
        <f t="array" ref="F1516">_xlfn.XLOOKUP(C1516,Account_Master!A:A,Account_Master!B:B,"Not on master")</f>
        <v>0</v>
      </c>
      <c r="G1516" cm="1">
        <f t="array" ref="G1516">_xlfn.XLOOKUP(C1516,Account_Master!A:A,Account_Master!C:C,"Not on master")</f>
        <v>0</v>
      </c>
      <c r="H1516" s="6">
        <v>1.5</v>
      </c>
      <c r="I1516" s="6">
        <v>1.5</v>
      </c>
      <c r="J1516" s="6">
        <f>I1516-H1516</f>
        <v>0</v>
      </c>
      <c r="K1516" s="5">
        <f>IF(H1516=0,"",J1516/H1516)</f>
        <v>0</v>
      </c>
      <c r="L1516">
        <f>IF(OR(AND(H1516=0,ABS(J1516)&gt;=0.01),AND(H1516&lt;&gt;0,ABS(K1516)&gt;VarianceThreshold)),"Review","OK")</f>
        <v>0</v>
      </c>
      <c r="M1516" t="s">
        <v>33</v>
      </c>
    </row>
    <row r="1517" spans="1:13">
      <c r="A1517" t="s">
        <v>2</v>
      </c>
      <c r="B1517" t="s">
        <v>299</v>
      </c>
      <c r="C1517" t="s">
        <v>1661</v>
      </c>
      <c r="D1517" t="s">
        <v>125</v>
      </c>
      <c r="E1517" cm="1">
        <f t="array" ref="E1517">_xlfn.XLOOKUP(D1517,SKU_Master!A:A,SKU_Master!B:B,"Not on master")</f>
        <v>0</v>
      </c>
      <c r="F1517" cm="1">
        <f t="array" ref="F1517">_xlfn.XLOOKUP(C1517,Account_Master!A:A,Account_Master!B:B,"Not on master")</f>
        <v>0</v>
      </c>
      <c r="G1517" cm="1">
        <f t="array" ref="G1517">_xlfn.XLOOKUP(C1517,Account_Master!A:A,Account_Master!C:C,"Not on master")</f>
        <v>0</v>
      </c>
      <c r="H1517" s="6">
        <v>21</v>
      </c>
      <c r="I1517" s="6">
        <v>21</v>
      </c>
      <c r="J1517" s="6">
        <f>I1517-H1517</f>
        <v>0</v>
      </c>
      <c r="K1517" s="5">
        <f>IF(H1517=0,"",J1517/H1517)</f>
        <v>0</v>
      </c>
      <c r="L1517">
        <f>IF(OR(AND(H1517=0,ABS(J1517)&gt;=0.01),AND(H1517&lt;&gt;0,ABS(K1517)&gt;VarianceThreshold)),"Review","OK")</f>
        <v>0</v>
      </c>
      <c r="M1517" t="s">
        <v>33</v>
      </c>
    </row>
    <row r="1518" spans="1:13">
      <c r="A1518" t="s">
        <v>2</v>
      </c>
      <c r="B1518" t="s">
        <v>299</v>
      </c>
      <c r="C1518" t="s">
        <v>1738</v>
      </c>
      <c r="D1518" t="s">
        <v>1001</v>
      </c>
      <c r="E1518" cm="1">
        <f t="array" ref="E1518">_xlfn.XLOOKUP(D1518,SKU_Master!A:A,SKU_Master!B:B,"Not on master")</f>
        <v>0</v>
      </c>
      <c r="F1518" cm="1">
        <f t="array" ref="F1518">_xlfn.XLOOKUP(C1518,Account_Master!A:A,Account_Master!B:B,"Not on master")</f>
        <v>0</v>
      </c>
      <c r="G1518" cm="1">
        <f t="array" ref="G1518">_xlfn.XLOOKUP(C1518,Account_Master!A:A,Account_Master!C:C,"Not on master")</f>
        <v>0</v>
      </c>
      <c r="H1518" s="6">
        <v>9</v>
      </c>
      <c r="I1518" s="6">
        <v>9</v>
      </c>
      <c r="J1518" s="6">
        <f>I1518-H1518</f>
        <v>0</v>
      </c>
      <c r="K1518" s="5">
        <f>IF(H1518=0,"",J1518/H1518)</f>
        <v>0</v>
      </c>
      <c r="L1518">
        <f>IF(OR(AND(H1518=0,ABS(J1518)&gt;=0.01),AND(H1518&lt;&gt;0,ABS(K1518)&gt;VarianceThreshold)),"Review","OK")</f>
        <v>0</v>
      </c>
      <c r="M1518" t="s">
        <v>33</v>
      </c>
    </row>
    <row r="1519" spans="1:13">
      <c r="A1519" t="s">
        <v>2</v>
      </c>
      <c r="B1519" t="s">
        <v>306</v>
      </c>
      <c r="C1519" t="s">
        <v>1574</v>
      </c>
      <c r="D1519" t="s">
        <v>1739</v>
      </c>
      <c r="E1519" cm="1">
        <f t="array" ref="E1519">_xlfn.XLOOKUP(D1519,SKU_Master!A:A,SKU_Master!B:B,"Not on master")</f>
        <v>0</v>
      </c>
      <c r="F1519" cm="1">
        <f t="array" ref="F1519">_xlfn.XLOOKUP(C1519,Account_Master!A:A,Account_Master!B:B,"Not on master")</f>
        <v>0</v>
      </c>
      <c r="G1519" cm="1">
        <f t="array" ref="G1519">_xlfn.XLOOKUP(C1519,Account_Master!A:A,Account_Master!C:C,"Not on master")</f>
        <v>0</v>
      </c>
      <c r="H1519" s="6">
        <v>12</v>
      </c>
      <c r="I1519" s="6">
        <v>12</v>
      </c>
      <c r="J1519" s="6">
        <f>I1519-H1519</f>
        <v>0</v>
      </c>
      <c r="K1519" s="5">
        <f>IF(H1519=0,"",J1519/H1519)</f>
        <v>0</v>
      </c>
      <c r="L1519">
        <f>IF(OR(AND(H1519=0,ABS(J1519)&gt;=0.01),AND(H1519&lt;&gt;0,ABS(K1519)&gt;VarianceThreshold)),"Review","OK")</f>
        <v>0</v>
      </c>
      <c r="M1519" t="s">
        <v>33</v>
      </c>
    </row>
    <row r="1520" spans="1:13">
      <c r="A1520" t="s">
        <v>2</v>
      </c>
      <c r="B1520" t="s">
        <v>306</v>
      </c>
      <c r="C1520" t="s">
        <v>1634</v>
      </c>
      <c r="D1520" t="s">
        <v>729</v>
      </c>
      <c r="E1520" cm="1">
        <f t="array" ref="E1520">_xlfn.XLOOKUP(D1520,SKU_Master!A:A,SKU_Master!B:B,"Not on master")</f>
        <v>0</v>
      </c>
      <c r="F1520" cm="1">
        <f t="array" ref="F1520">_xlfn.XLOOKUP(C1520,Account_Master!A:A,Account_Master!B:B,"Not on master")</f>
        <v>0</v>
      </c>
      <c r="G1520" cm="1">
        <f t="array" ref="G1520">_xlfn.XLOOKUP(C1520,Account_Master!A:A,Account_Master!C:C,"Not on master")</f>
        <v>0</v>
      </c>
      <c r="H1520" s="6">
        <v>19.5</v>
      </c>
      <c r="I1520" s="6">
        <v>19.5</v>
      </c>
      <c r="J1520" s="6">
        <f>I1520-H1520</f>
        <v>0</v>
      </c>
      <c r="K1520" s="5">
        <f>IF(H1520=0,"",J1520/H1520)</f>
        <v>0</v>
      </c>
      <c r="L1520">
        <f>IF(OR(AND(H1520=0,ABS(J1520)&gt;=0.01),AND(H1520&lt;&gt;0,ABS(K1520)&gt;VarianceThreshold)),"Review","OK")</f>
        <v>0</v>
      </c>
      <c r="M1520" t="s">
        <v>33</v>
      </c>
    </row>
    <row r="1521" spans="1:13">
      <c r="A1521" t="s">
        <v>2</v>
      </c>
      <c r="B1521" t="s">
        <v>306</v>
      </c>
      <c r="C1521" t="s">
        <v>1740</v>
      </c>
      <c r="D1521" t="s">
        <v>1248</v>
      </c>
      <c r="E1521" cm="1">
        <f t="array" ref="E1521">_xlfn.XLOOKUP(D1521,SKU_Master!A:A,SKU_Master!B:B,"Not on master")</f>
        <v>0</v>
      </c>
      <c r="F1521" cm="1">
        <f t="array" ref="F1521">_xlfn.XLOOKUP(C1521,Account_Master!A:A,Account_Master!B:B,"Not on master")</f>
        <v>0</v>
      </c>
      <c r="G1521" cm="1">
        <f t="array" ref="G1521">_xlfn.XLOOKUP(C1521,Account_Master!A:A,Account_Master!C:C,"Not on master")</f>
        <v>0</v>
      </c>
      <c r="H1521" s="6">
        <v>24.5</v>
      </c>
      <c r="I1521" s="6">
        <v>24.5</v>
      </c>
      <c r="J1521" s="6">
        <f>I1521-H1521</f>
        <v>0</v>
      </c>
      <c r="K1521" s="5">
        <f>IF(H1521=0,"",J1521/H1521)</f>
        <v>0</v>
      </c>
      <c r="L1521">
        <f>IF(OR(AND(H1521=0,ABS(J1521)&gt;=0.01),AND(H1521&lt;&gt;0,ABS(K1521)&gt;VarianceThreshold)),"Review","OK")</f>
        <v>0</v>
      </c>
      <c r="M1521" t="s">
        <v>33</v>
      </c>
    </row>
    <row r="1522" spans="1:13">
      <c r="A1522" t="s">
        <v>2</v>
      </c>
      <c r="B1522" t="s">
        <v>306</v>
      </c>
      <c r="C1522" t="s">
        <v>1574</v>
      </c>
      <c r="D1522" t="s">
        <v>1741</v>
      </c>
      <c r="E1522" cm="1">
        <f t="array" ref="E1522">_xlfn.XLOOKUP(D1522,SKU_Master!A:A,SKU_Master!B:B,"Not on master")</f>
        <v>0</v>
      </c>
      <c r="F1522" cm="1">
        <f t="array" ref="F1522">_xlfn.XLOOKUP(C1522,Account_Master!A:A,Account_Master!B:B,"Not on master")</f>
        <v>0</v>
      </c>
      <c r="G1522" cm="1">
        <f t="array" ref="G1522">_xlfn.XLOOKUP(C1522,Account_Master!A:A,Account_Master!C:C,"Not on master")</f>
        <v>0</v>
      </c>
      <c r="H1522" s="6">
        <v>4.5</v>
      </c>
      <c r="I1522" s="6">
        <v>0</v>
      </c>
      <c r="J1522" s="6">
        <f>I1522-H1522</f>
        <v>0</v>
      </c>
      <c r="K1522" s="5">
        <f>IF(H1522=0,"",J1522/H1522)</f>
        <v>0</v>
      </c>
      <c r="L1522">
        <f>IF(OR(AND(H1522=0,ABS(J1522)&gt;=0.01),AND(H1522&lt;&gt;0,ABS(K1522)&gt;VarianceThreshold)),"Review","OK")</f>
        <v>0</v>
      </c>
      <c r="M1522" t="s">
        <v>1611</v>
      </c>
    </row>
    <row r="1523" spans="1:13">
      <c r="A1523" t="s">
        <v>2</v>
      </c>
      <c r="B1523" t="s">
        <v>313</v>
      </c>
      <c r="C1523" t="s">
        <v>1641</v>
      </c>
      <c r="D1523" t="s">
        <v>1742</v>
      </c>
      <c r="E1523" cm="1">
        <f t="array" ref="E1523">_xlfn.XLOOKUP(D1523,SKU_Master!A:A,SKU_Master!B:B,"Not on master")</f>
        <v>0</v>
      </c>
      <c r="F1523" cm="1">
        <f t="array" ref="F1523">_xlfn.XLOOKUP(C1523,Account_Master!A:A,Account_Master!B:B,"Not on master")</f>
        <v>0</v>
      </c>
      <c r="G1523" cm="1">
        <f t="array" ref="G1523">_xlfn.XLOOKUP(C1523,Account_Master!A:A,Account_Master!C:C,"Not on master")</f>
        <v>0</v>
      </c>
      <c r="H1523" s="6">
        <v>5.25</v>
      </c>
      <c r="I1523" s="6">
        <v>5.25</v>
      </c>
      <c r="J1523" s="6">
        <f>I1523-H1523</f>
        <v>0</v>
      </c>
      <c r="K1523" s="5">
        <f>IF(H1523=0,"",J1523/H1523)</f>
        <v>0</v>
      </c>
      <c r="L1523">
        <f>IF(OR(AND(H1523=0,ABS(J1523)&gt;=0.01),AND(H1523&lt;&gt;0,ABS(K1523)&gt;VarianceThreshold)),"Review","OK")</f>
        <v>0</v>
      </c>
      <c r="M1523" t="s">
        <v>33</v>
      </c>
    </row>
    <row r="1524" spans="1:13">
      <c r="A1524" t="s">
        <v>2</v>
      </c>
      <c r="B1524" t="s">
        <v>313</v>
      </c>
      <c r="C1524" t="s">
        <v>1743</v>
      </c>
      <c r="D1524" t="s">
        <v>1744</v>
      </c>
      <c r="E1524" cm="1">
        <f t="array" ref="E1524">_xlfn.XLOOKUP(D1524,SKU_Master!A:A,SKU_Master!B:B,"Not on master")</f>
        <v>0</v>
      </c>
      <c r="F1524" cm="1">
        <f t="array" ref="F1524">_xlfn.XLOOKUP(C1524,Account_Master!A:A,Account_Master!B:B,"Not on master")</f>
        <v>0</v>
      </c>
      <c r="G1524" cm="1">
        <f t="array" ref="G1524">_xlfn.XLOOKUP(C1524,Account_Master!A:A,Account_Master!C:C,"Not on master")</f>
        <v>0</v>
      </c>
      <c r="H1524" s="6">
        <v>0.75</v>
      </c>
      <c r="I1524" s="6">
        <v>0.75</v>
      </c>
      <c r="J1524" s="6">
        <f>I1524-H1524</f>
        <v>0</v>
      </c>
      <c r="K1524" s="5">
        <f>IF(H1524=0,"",J1524/H1524)</f>
        <v>0</v>
      </c>
      <c r="L1524">
        <f>IF(OR(AND(H1524=0,ABS(J1524)&gt;=0.01),AND(H1524&lt;&gt;0,ABS(K1524)&gt;VarianceThreshold)),"Review","OK")</f>
        <v>0</v>
      </c>
      <c r="M1524" t="s">
        <v>33</v>
      </c>
    </row>
    <row r="1525" spans="1:13">
      <c r="A1525" t="s">
        <v>2</v>
      </c>
      <c r="B1525" t="s">
        <v>313</v>
      </c>
      <c r="C1525" t="s">
        <v>1574</v>
      </c>
      <c r="D1525" t="s">
        <v>1745</v>
      </c>
      <c r="E1525" cm="1">
        <f t="array" ref="E1525">_xlfn.XLOOKUP(D1525,SKU_Master!A:A,SKU_Master!B:B,"Not on master")</f>
        <v>0</v>
      </c>
      <c r="F1525" cm="1">
        <f t="array" ref="F1525">_xlfn.XLOOKUP(C1525,Account_Master!A:A,Account_Master!B:B,"Not on master")</f>
        <v>0</v>
      </c>
      <c r="G1525" cm="1">
        <f t="array" ref="G1525">_xlfn.XLOOKUP(C1525,Account_Master!A:A,Account_Master!C:C,"Not on master")</f>
        <v>0</v>
      </c>
      <c r="H1525" s="6">
        <v>4.5</v>
      </c>
      <c r="I1525" s="6">
        <v>4.5</v>
      </c>
      <c r="J1525" s="6">
        <f>I1525-H1525</f>
        <v>0</v>
      </c>
      <c r="K1525" s="5">
        <f>IF(H1525=0,"",J1525/H1525)</f>
        <v>0</v>
      </c>
      <c r="L1525">
        <f>IF(OR(AND(H1525=0,ABS(J1525)&gt;=0.01),AND(H1525&lt;&gt;0,ABS(K1525)&gt;VarianceThreshold)),"Review","OK")</f>
        <v>0</v>
      </c>
      <c r="M1525" t="s">
        <v>33</v>
      </c>
    </row>
    <row r="1526" spans="1:13">
      <c r="A1526" t="s">
        <v>2</v>
      </c>
      <c r="B1526" t="s">
        <v>313</v>
      </c>
      <c r="C1526" t="s">
        <v>1746</v>
      </c>
      <c r="D1526" t="s">
        <v>808</v>
      </c>
      <c r="E1526" cm="1">
        <f t="array" ref="E1526">_xlfn.XLOOKUP(D1526,SKU_Master!A:A,SKU_Master!B:B,"Not on master")</f>
        <v>0</v>
      </c>
      <c r="F1526" cm="1">
        <f t="array" ref="F1526">_xlfn.XLOOKUP(C1526,Account_Master!A:A,Account_Master!B:B,"Not on master")</f>
        <v>0</v>
      </c>
      <c r="G1526" cm="1">
        <f t="array" ref="G1526">_xlfn.XLOOKUP(C1526,Account_Master!A:A,Account_Master!C:C,"Not on master")</f>
        <v>0</v>
      </c>
      <c r="H1526" s="6">
        <v>10</v>
      </c>
      <c r="I1526" s="6">
        <v>10</v>
      </c>
      <c r="J1526" s="6">
        <f>I1526-H1526</f>
        <v>0</v>
      </c>
      <c r="K1526" s="5">
        <f>IF(H1526=0,"",J1526/H1526)</f>
        <v>0</v>
      </c>
      <c r="L1526">
        <f>IF(OR(AND(H1526=0,ABS(J1526)&gt;=0.01),AND(H1526&lt;&gt;0,ABS(K1526)&gt;VarianceThreshold)),"Review","OK")</f>
        <v>0</v>
      </c>
      <c r="M1526" t="s">
        <v>33</v>
      </c>
    </row>
    <row r="1527" spans="1:13">
      <c r="A1527" t="s">
        <v>2</v>
      </c>
      <c r="B1527" t="s">
        <v>313</v>
      </c>
      <c r="C1527" t="s">
        <v>1747</v>
      </c>
      <c r="D1527" t="s">
        <v>1040</v>
      </c>
      <c r="E1527" cm="1">
        <f t="array" ref="E1527">_xlfn.XLOOKUP(D1527,SKU_Master!A:A,SKU_Master!B:B,"Not on master")</f>
        <v>0</v>
      </c>
      <c r="F1527" cm="1">
        <f t="array" ref="F1527">_xlfn.XLOOKUP(C1527,Account_Master!A:A,Account_Master!B:B,"Not on master")</f>
        <v>0</v>
      </c>
      <c r="G1527" cm="1">
        <f t="array" ref="G1527">_xlfn.XLOOKUP(C1527,Account_Master!A:A,Account_Master!C:C,"Not on master")</f>
        <v>0</v>
      </c>
      <c r="H1527" s="6">
        <v>142.5</v>
      </c>
      <c r="I1527" s="6">
        <v>129</v>
      </c>
      <c r="J1527" s="6">
        <f>I1527-H1527</f>
        <v>0</v>
      </c>
      <c r="K1527" s="5">
        <f>IF(H1527=0,"",J1527/H1527)</f>
        <v>0</v>
      </c>
      <c r="L1527">
        <f>IF(OR(AND(H1527=0,ABS(J1527)&gt;=0.01),AND(H1527&lt;&gt;0,ABS(K1527)&gt;VarianceThreshold)),"Review","OK")</f>
        <v>0</v>
      </c>
      <c r="M1527" t="s">
        <v>1611</v>
      </c>
    </row>
    <row r="1528" spans="1:13">
      <c r="A1528" t="s">
        <v>2</v>
      </c>
      <c r="B1528" t="s">
        <v>313</v>
      </c>
      <c r="C1528" t="s">
        <v>1617</v>
      </c>
      <c r="D1528" t="s">
        <v>165</v>
      </c>
      <c r="E1528" cm="1">
        <f t="array" ref="E1528">_xlfn.XLOOKUP(D1528,SKU_Master!A:A,SKU_Master!B:B,"Not on master")</f>
        <v>0</v>
      </c>
      <c r="F1528" cm="1">
        <f t="array" ref="F1528">_xlfn.XLOOKUP(C1528,Account_Master!A:A,Account_Master!B:B,"Not on master")</f>
        <v>0</v>
      </c>
      <c r="G1528" cm="1">
        <f t="array" ref="G1528">_xlfn.XLOOKUP(C1528,Account_Master!A:A,Account_Master!C:C,"Not on master")</f>
        <v>0</v>
      </c>
      <c r="H1528" s="6">
        <v>19.2</v>
      </c>
      <c r="I1528" s="6">
        <v>19.2</v>
      </c>
      <c r="J1528" s="6">
        <f>I1528-H1528</f>
        <v>0</v>
      </c>
      <c r="K1528" s="5">
        <f>IF(H1528=0,"",J1528/H1528)</f>
        <v>0</v>
      </c>
      <c r="L1528">
        <f>IF(OR(AND(H1528=0,ABS(J1528)&gt;=0.01),AND(H1528&lt;&gt;0,ABS(K1528)&gt;VarianceThreshold)),"Review","OK")</f>
        <v>0</v>
      </c>
      <c r="M1528" t="s">
        <v>33</v>
      </c>
    </row>
    <row r="1529" spans="1:13">
      <c r="A1529" t="s">
        <v>2</v>
      </c>
      <c r="B1529" t="s">
        <v>313</v>
      </c>
      <c r="C1529" t="s">
        <v>1602</v>
      </c>
      <c r="D1529" t="s">
        <v>1748</v>
      </c>
      <c r="E1529" cm="1">
        <f t="array" ref="E1529">_xlfn.XLOOKUP(D1529,SKU_Master!A:A,SKU_Master!B:B,"Not on master")</f>
        <v>0</v>
      </c>
      <c r="F1529" cm="1">
        <f t="array" ref="F1529">_xlfn.XLOOKUP(C1529,Account_Master!A:A,Account_Master!B:B,"Not on master")</f>
        <v>0</v>
      </c>
      <c r="G1529" cm="1">
        <f t="array" ref="G1529">_xlfn.XLOOKUP(C1529,Account_Master!A:A,Account_Master!C:C,"Not on master")</f>
        <v>0</v>
      </c>
      <c r="H1529" s="6">
        <v>52.5</v>
      </c>
      <c r="I1529" s="6">
        <v>42</v>
      </c>
      <c r="J1529" s="6">
        <f>I1529-H1529</f>
        <v>0</v>
      </c>
      <c r="K1529" s="5">
        <f>IF(H1529=0,"",J1529/H1529)</f>
        <v>0</v>
      </c>
      <c r="L1529">
        <f>IF(OR(AND(H1529=0,ABS(J1529)&gt;=0.01),AND(H1529&lt;&gt;0,ABS(K1529)&gt;VarianceThreshold)),"Review","OK")</f>
        <v>0</v>
      </c>
      <c r="M1529" t="s">
        <v>1611</v>
      </c>
    </row>
    <row r="1530" spans="1:13">
      <c r="A1530" t="s">
        <v>2</v>
      </c>
      <c r="B1530" t="s">
        <v>324</v>
      </c>
      <c r="C1530" t="s">
        <v>1592</v>
      </c>
      <c r="D1530" t="s">
        <v>53</v>
      </c>
      <c r="E1530" cm="1">
        <f t="array" ref="E1530">_xlfn.XLOOKUP(D1530,SKU_Master!A:A,SKU_Master!B:B,"Not on master")</f>
        <v>0</v>
      </c>
      <c r="F1530" cm="1">
        <f t="array" ref="F1530">_xlfn.XLOOKUP(C1530,Account_Master!A:A,Account_Master!B:B,"Not on master")</f>
        <v>0</v>
      </c>
      <c r="G1530" cm="1">
        <f t="array" ref="G1530">_xlfn.XLOOKUP(C1530,Account_Master!A:A,Account_Master!C:C,"Not on master")</f>
        <v>0</v>
      </c>
      <c r="H1530" s="6">
        <v>10.1</v>
      </c>
      <c r="I1530" s="6">
        <v>10.1</v>
      </c>
      <c r="J1530" s="6">
        <f>I1530-H1530</f>
        <v>0</v>
      </c>
      <c r="K1530" s="5">
        <f>IF(H1530=0,"",J1530/H1530)</f>
        <v>0</v>
      </c>
      <c r="L1530">
        <f>IF(OR(AND(H1530=0,ABS(J1530)&gt;=0.01),AND(H1530&lt;&gt;0,ABS(K1530)&gt;VarianceThreshold)),"Review","OK")</f>
        <v>0</v>
      </c>
      <c r="M1530" t="s">
        <v>33</v>
      </c>
    </row>
    <row r="1531" spans="1:13">
      <c r="A1531" t="s">
        <v>2</v>
      </c>
      <c r="B1531" t="s">
        <v>324</v>
      </c>
      <c r="C1531" t="s">
        <v>1621</v>
      </c>
      <c r="D1531" t="s">
        <v>1411</v>
      </c>
      <c r="E1531" cm="1">
        <f t="array" ref="E1531">_xlfn.XLOOKUP(D1531,SKU_Master!A:A,SKU_Master!B:B,"Not on master")</f>
        <v>0</v>
      </c>
      <c r="F1531" cm="1">
        <f t="array" ref="F1531">_xlfn.XLOOKUP(C1531,Account_Master!A:A,Account_Master!B:B,"Not on master")</f>
        <v>0</v>
      </c>
      <c r="G1531" cm="1">
        <f t="array" ref="G1531">_xlfn.XLOOKUP(C1531,Account_Master!A:A,Account_Master!C:C,"Not on master")</f>
        <v>0</v>
      </c>
      <c r="H1531" s="6">
        <v>3</v>
      </c>
      <c r="I1531" s="6">
        <v>3</v>
      </c>
      <c r="J1531" s="6">
        <f>I1531-H1531</f>
        <v>0</v>
      </c>
      <c r="K1531" s="5">
        <f>IF(H1531=0,"",J1531/H1531)</f>
        <v>0</v>
      </c>
      <c r="L1531">
        <f>IF(OR(AND(H1531=0,ABS(J1531)&gt;=0.01),AND(H1531&lt;&gt;0,ABS(K1531)&gt;VarianceThreshold)),"Review","OK")</f>
        <v>0</v>
      </c>
      <c r="M1531" t="s">
        <v>33</v>
      </c>
    </row>
    <row r="1532" spans="1:13">
      <c r="A1532" t="s">
        <v>2</v>
      </c>
      <c r="B1532" t="s">
        <v>324</v>
      </c>
      <c r="C1532" t="s">
        <v>1740</v>
      </c>
      <c r="D1532" t="s">
        <v>1749</v>
      </c>
      <c r="E1532" cm="1">
        <f t="array" ref="E1532">_xlfn.XLOOKUP(D1532,SKU_Master!A:A,SKU_Master!B:B,"Not on master")</f>
        <v>0</v>
      </c>
      <c r="F1532" cm="1">
        <f t="array" ref="F1532">_xlfn.XLOOKUP(C1532,Account_Master!A:A,Account_Master!B:B,"Not on master")</f>
        <v>0</v>
      </c>
      <c r="G1532" cm="1">
        <f t="array" ref="G1532">_xlfn.XLOOKUP(C1532,Account_Master!A:A,Account_Master!C:C,"Not on master")</f>
        <v>0</v>
      </c>
      <c r="H1532" s="6">
        <v>68.40000000000001</v>
      </c>
      <c r="I1532" s="6">
        <v>68.40000000000001</v>
      </c>
      <c r="J1532" s="6">
        <f>I1532-H1532</f>
        <v>0</v>
      </c>
      <c r="K1532" s="5">
        <f>IF(H1532=0,"",J1532/H1532)</f>
        <v>0</v>
      </c>
      <c r="L1532">
        <f>IF(OR(AND(H1532=0,ABS(J1532)&gt;=0.01),AND(H1532&lt;&gt;0,ABS(K1532)&gt;VarianceThreshold)),"Review","OK")</f>
        <v>0</v>
      </c>
      <c r="M1532" t="s">
        <v>33</v>
      </c>
    </row>
    <row r="1533" spans="1:13">
      <c r="A1533" t="s">
        <v>2</v>
      </c>
      <c r="B1533" t="s">
        <v>324</v>
      </c>
      <c r="C1533" t="s">
        <v>1750</v>
      </c>
      <c r="D1533" t="s">
        <v>546</v>
      </c>
      <c r="E1533" cm="1">
        <f t="array" ref="E1533">_xlfn.XLOOKUP(D1533,SKU_Master!A:A,SKU_Master!B:B,"Not on master")</f>
        <v>0</v>
      </c>
      <c r="F1533" cm="1">
        <f t="array" ref="F1533">_xlfn.XLOOKUP(C1533,Account_Master!A:A,Account_Master!B:B,"Not on master")</f>
        <v>0</v>
      </c>
      <c r="G1533" cm="1">
        <f t="array" ref="G1533">_xlfn.XLOOKUP(C1533,Account_Master!A:A,Account_Master!C:C,"Not on master")</f>
        <v>0</v>
      </c>
      <c r="H1533" s="6">
        <v>5.25</v>
      </c>
      <c r="I1533" s="6">
        <v>5.25</v>
      </c>
      <c r="J1533" s="6">
        <f>I1533-H1533</f>
        <v>0</v>
      </c>
      <c r="K1533" s="5">
        <f>IF(H1533=0,"",J1533/H1533)</f>
        <v>0</v>
      </c>
      <c r="L1533">
        <f>IF(OR(AND(H1533=0,ABS(J1533)&gt;=0.01),AND(H1533&lt;&gt;0,ABS(K1533)&gt;VarianceThreshold)),"Review","OK")</f>
        <v>0</v>
      </c>
      <c r="M1533" t="s">
        <v>33</v>
      </c>
    </row>
    <row r="1534" spans="1:13">
      <c r="A1534" t="s">
        <v>2</v>
      </c>
      <c r="B1534" t="s">
        <v>324</v>
      </c>
      <c r="C1534" t="s">
        <v>1576</v>
      </c>
      <c r="D1534" t="s">
        <v>562</v>
      </c>
      <c r="E1534" cm="1">
        <f t="array" ref="E1534">_xlfn.XLOOKUP(D1534,SKU_Master!A:A,SKU_Master!B:B,"Not on master")</f>
        <v>0</v>
      </c>
      <c r="F1534" cm="1">
        <f t="array" ref="F1534">_xlfn.XLOOKUP(C1534,Account_Master!A:A,Account_Master!B:B,"Not on master")</f>
        <v>0</v>
      </c>
      <c r="G1534" cm="1">
        <f t="array" ref="G1534">_xlfn.XLOOKUP(C1534,Account_Master!A:A,Account_Master!C:C,"Not on master")</f>
        <v>0</v>
      </c>
      <c r="H1534" s="6">
        <v>39.75</v>
      </c>
      <c r="I1534" s="6">
        <v>38.25</v>
      </c>
      <c r="J1534" s="6">
        <f>I1534-H1534</f>
        <v>0</v>
      </c>
      <c r="K1534" s="5">
        <f>IF(H1534=0,"",J1534/H1534)</f>
        <v>0</v>
      </c>
      <c r="L1534">
        <f>IF(OR(AND(H1534=0,ABS(J1534)&gt;=0.01),AND(H1534&lt;&gt;0,ABS(K1534)&gt;VarianceThreshold)),"Review","OK")</f>
        <v>0</v>
      </c>
      <c r="M1534" t="s">
        <v>33</v>
      </c>
    </row>
    <row r="1535" spans="1:13">
      <c r="A1535" t="s">
        <v>2</v>
      </c>
      <c r="B1535" t="s">
        <v>324</v>
      </c>
      <c r="C1535" t="s">
        <v>1612</v>
      </c>
      <c r="D1535" t="s">
        <v>1751</v>
      </c>
      <c r="E1535" cm="1">
        <f t="array" ref="E1535">_xlfn.XLOOKUP(D1535,SKU_Master!A:A,SKU_Master!B:B,"Not on master")</f>
        <v>0</v>
      </c>
      <c r="F1535" cm="1">
        <f t="array" ref="F1535">_xlfn.XLOOKUP(C1535,Account_Master!A:A,Account_Master!B:B,"Not on master")</f>
        <v>0</v>
      </c>
      <c r="G1535" cm="1">
        <f t="array" ref="G1535">_xlfn.XLOOKUP(C1535,Account_Master!A:A,Account_Master!C:C,"Not on master")</f>
        <v>0</v>
      </c>
      <c r="H1535" s="6">
        <v>4.5</v>
      </c>
      <c r="I1535" s="6">
        <v>4.5</v>
      </c>
      <c r="J1535" s="6">
        <f>I1535-H1535</f>
        <v>0</v>
      </c>
      <c r="K1535" s="5">
        <f>IF(H1535=0,"",J1535/H1535)</f>
        <v>0</v>
      </c>
      <c r="L1535">
        <f>IF(OR(AND(H1535=0,ABS(J1535)&gt;=0.01),AND(H1535&lt;&gt;0,ABS(K1535)&gt;VarianceThreshold)),"Review","OK")</f>
        <v>0</v>
      </c>
      <c r="M1535" t="s">
        <v>33</v>
      </c>
    </row>
    <row r="1536" spans="1:13">
      <c r="A1536" t="s">
        <v>2</v>
      </c>
      <c r="B1536" t="s">
        <v>324</v>
      </c>
      <c r="C1536" t="s">
        <v>1612</v>
      </c>
      <c r="D1536" t="s">
        <v>1752</v>
      </c>
      <c r="E1536" cm="1">
        <f t="array" ref="E1536">_xlfn.XLOOKUP(D1536,SKU_Master!A:A,SKU_Master!B:B,"Not on master")</f>
        <v>0</v>
      </c>
      <c r="F1536" cm="1">
        <f t="array" ref="F1536">_xlfn.XLOOKUP(C1536,Account_Master!A:A,Account_Master!B:B,"Not on master")</f>
        <v>0</v>
      </c>
      <c r="G1536" cm="1">
        <f t="array" ref="G1536">_xlfn.XLOOKUP(C1536,Account_Master!A:A,Account_Master!C:C,"Not on master")</f>
        <v>0</v>
      </c>
      <c r="H1536" s="6">
        <v>1.5</v>
      </c>
      <c r="I1536" s="6">
        <v>1.5</v>
      </c>
      <c r="J1536" s="6">
        <f>I1536-H1536</f>
        <v>0</v>
      </c>
      <c r="K1536" s="5">
        <f>IF(H1536=0,"",J1536/H1536)</f>
        <v>0</v>
      </c>
      <c r="L1536">
        <f>IF(OR(AND(H1536=0,ABS(J1536)&gt;=0.01),AND(H1536&lt;&gt;0,ABS(K1536)&gt;VarianceThreshold)),"Review","OK")</f>
        <v>0</v>
      </c>
      <c r="M1536" t="s">
        <v>33</v>
      </c>
    </row>
    <row r="1537" spans="1:13">
      <c r="A1537" t="s">
        <v>2</v>
      </c>
      <c r="B1537" t="s">
        <v>331</v>
      </c>
      <c r="C1537" t="s">
        <v>1716</v>
      </c>
      <c r="D1537" t="s">
        <v>1753</v>
      </c>
      <c r="E1537" cm="1">
        <f t="array" ref="E1537">_xlfn.XLOOKUP(D1537,SKU_Master!A:A,SKU_Master!B:B,"Not on master")</f>
        <v>0</v>
      </c>
      <c r="F1537" cm="1">
        <f t="array" ref="F1537">_xlfn.XLOOKUP(C1537,Account_Master!A:A,Account_Master!B:B,"Not on master")</f>
        <v>0</v>
      </c>
      <c r="G1537" cm="1">
        <f t="array" ref="G1537">_xlfn.XLOOKUP(C1537,Account_Master!A:A,Account_Master!C:C,"Not on master")</f>
        <v>0</v>
      </c>
      <c r="H1537" s="6">
        <v>2.25</v>
      </c>
      <c r="I1537" s="6">
        <v>2.25</v>
      </c>
      <c r="J1537" s="6">
        <f>I1537-H1537</f>
        <v>0</v>
      </c>
      <c r="K1537" s="5">
        <f>IF(H1537=0,"",J1537/H1537)</f>
        <v>0</v>
      </c>
      <c r="L1537">
        <f>IF(OR(AND(H1537=0,ABS(J1537)&gt;=0.01),AND(H1537&lt;&gt;0,ABS(K1537)&gt;VarianceThreshold)),"Review","OK")</f>
        <v>0</v>
      </c>
      <c r="M1537" t="s">
        <v>33</v>
      </c>
    </row>
    <row r="1538" spans="1:13">
      <c r="A1538" t="s">
        <v>2</v>
      </c>
      <c r="B1538" t="s">
        <v>331</v>
      </c>
      <c r="C1538" t="s">
        <v>1574</v>
      </c>
      <c r="D1538" t="s">
        <v>90</v>
      </c>
      <c r="E1538" cm="1">
        <f t="array" ref="E1538">_xlfn.XLOOKUP(D1538,SKU_Master!A:A,SKU_Master!B:B,"Not on master")</f>
        <v>0</v>
      </c>
      <c r="F1538" cm="1">
        <f t="array" ref="F1538">_xlfn.XLOOKUP(C1538,Account_Master!A:A,Account_Master!B:B,"Not on master")</f>
        <v>0</v>
      </c>
      <c r="G1538" cm="1">
        <f t="array" ref="G1538">_xlfn.XLOOKUP(C1538,Account_Master!A:A,Account_Master!C:C,"Not on master")</f>
        <v>0</v>
      </c>
      <c r="H1538" s="6">
        <v>63</v>
      </c>
      <c r="I1538" s="6">
        <v>63</v>
      </c>
      <c r="J1538" s="6">
        <f>I1538-H1538</f>
        <v>0</v>
      </c>
      <c r="K1538" s="5">
        <f>IF(H1538=0,"",J1538/H1538)</f>
        <v>0</v>
      </c>
      <c r="L1538">
        <f>IF(OR(AND(H1538=0,ABS(J1538)&gt;=0.01),AND(H1538&lt;&gt;0,ABS(K1538)&gt;VarianceThreshold)),"Review","OK")</f>
        <v>0</v>
      </c>
      <c r="M1538" t="s">
        <v>33</v>
      </c>
    </row>
    <row r="1539" spans="1:13">
      <c r="A1539" t="s">
        <v>2</v>
      </c>
      <c r="B1539" t="s">
        <v>331</v>
      </c>
      <c r="C1539" t="s">
        <v>1678</v>
      </c>
      <c r="D1539" t="s">
        <v>1528</v>
      </c>
      <c r="E1539" cm="1">
        <f t="array" ref="E1539">_xlfn.XLOOKUP(D1539,SKU_Master!A:A,SKU_Master!B:B,"Not on master")</f>
        <v>0</v>
      </c>
      <c r="F1539" cm="1">
        <f t="array" ref="F1539">_xlfn.XLOOKUP(C1539,Account_Master!A:A,Account_Master!B:B,"Not on master")</f>
        <v>0</v>
      </c>
      <c r="G1539" cm="1">
        <f t="array" ref="G1539">_xlfn.XLOOKUP(C1539,Account_Master!A:A,Account_Master!C:C,"Not on master")</f>
        <v>0</v>
      </c>
      <c r="H1539" s="6">
        <v>18</v>
      </c>
      <c r="I1539" s="6">
        <v>18</v>
      </c>
      <c r="J1539" s="6">
        <f>I1539-H1539</f>
        <v>0</v>
      </c>
      <c r="K1539" s="5">
        <f>IF(H1539=0,"",J1539/H1539)</f>
        <v>0</v>
      </c>
      <c r="L1539">
        <f>IF(OR(AND(H1539=0,ABS(J1539)&gt;=0.01),AND(H1539&lt;&gt;0,ABS(K1539)&gt;VarianceThreshold)),"Review","OK")</f>
        <v>0</v>
      </c>
      <c r="M1539" t="s">
        <v>33</v>
      </c>
    </row>
    <row r="1540" spans="1:13">
      <c r="A1540" t="s">
        <v>2</v>
      </c>
      <c r="B1540" t="s">
        <v>335</v>
      </c>
      <c r="C1540" t="s">
        <v>1615</v>
      </c>
      <c r="D1540" t="s">
        <v>1343</v>
      </c>
      <c r="E1540" cm="1">
        <f t="array" ref="E1540">_xlfn.XLOOKUP(D1540,SKU_Master!A:A,SKU_Master!B:B,"Not on master")</f>
        <v>0</v>
      </c>
      <c r="F1540" cm="1">
        <f t="array" ref="F1540">_xlfn.XLOOKUP(C1540,Account_Master!A:A,Account_Master!B:B,"Not on master")</f>
        <v>0</v>
      </c>
      <c r="G1540" cm="1">
        <f t="array" ref="G1540">_xlfn.XLOOKUP(C1540,Account_Master!A:A,Account_Master!C:C,"Not on master")</f>
        <v>0</v>
      </c>
      <c r="H1540" s="6">
        <v>156</v>
      </c>
      <c r="I1540" s="6">
        <v>156</v>
      </c>
      <c r="J1540" s="6">
        <f>I1540-H1540</f>
        <v>0</v>
      </c>
      <c r="K1540" s="5">
        <f>IF(H1540=0,"",J1540/H1540)</f>
        <v>0</v>
      </c>
      <c r="L1540">
        <f>IF(OR(AND(H1540=0,ABS(J1540)&gt;=0.01),AND(H1540&lt;&gt;0,ABS(K1540)&gt;VarianceThreshold)),"Review","OK")</f>
        <v>0</v>
      </c>
      <c r="M1540" t="s">
        <v>33</v>
      </c>
    </row>
    <row r="1541" spans="1:13">
      <c r="A1541" t="s">
        <v>2</v>
      </c>
      <c r="B1541" t="s">
        <v>335</v>
      </c>
      <c r="C1541" t="s">
        <v>1612</v>
      </c>
      <c r="D1541" t="s">
        <v>1247</v>
      </c>
      <c r="E1541" cm="1">
        <f t="array" ref="E1541">_xlfn.XLOOKUP(D1541,SKU_Master!A:A,SKU_Master!B:B,"Not on master")</f>
        <v>0</v>
      </c>
      <c r="F1541" cm="1">
        <f t="array" ref="F1541">_xlfn.XLOOKUP(C1541,Account_Master!A:A,Account_Master!B:B,"Not on master")</f>
        <v>0</v>
      </c>
      <c r="G1541" cm="1">
        <f t="array" ref="G1541">_xlfn.XLOOKUP(C1541,Account_Master!A:A,Account_Master!C:C,"Not on master")</f>
        <v>0</v>
      </c>
      <c r="H1541" s="6">
        <v>0.6</v>
      </c>
      <c r="I1541" s="6">
        <v>0.6</v>
      </c>
      <c r="J1541" s="6">
        <f>I1541-H1541</f>
        <v>0</v>
      </c>
      <c r="K1541" s="5">
        <f>IF(H1541=0,"",J1541/H1541)</f>
        <v>0</v>
      </c>
      <c r="L1541">
        <f>IF(OR(AND(H1541=0,ABS(J1541)&gt;=0.01),AND(H1541&lt;&gt;0,ABS(K1541)&gt;VarianceThreshold)),"Review","OK")</f>
        <v>0</v>
      </c>
      <c r="M1541" t="s">
        <v>33</v>
      </c>
    </row>
    <row r="1542" spans="1:13">
      <c r="A1542" t="s">
        <v>2</v>
      </c>
      <c r="B1542" t="s">
        <v>335</v>
      </c>
      <c r="C1542" t="s">
        <v>1740</v>
      </c>
      <c r="D1542" t="s">
        <v>1344</v>
      </c>
      <c r="E1542" cm="1">
        <f t="array" ref="E1542">_xlfn.XLOOKUP(D1542,SKU_Master!A:A,SKU_Master!B:B,"Not on master")</f>
        <v>0</v>
      </c>
      <c r="F1542" cm="1">
        <f t="array" ref="F1542">_xlfn.XLOOKUP(C1542,Account_Master!A:A,Account_Master!B:B,"Not on master")</f>
        <v>0</v>
      </c>
      <c r="G1542" cm="1">
        <f t="array" ref="G1542">_xlfn.XLOOKUP(C1542,Account_Master!A:A,Account_Master!C:C,"Not on master")</f>
        <v>0</v>
      </c>
      <c r="H1542" s="6">
        <v>157.5</v>
      </c>
      <c r="I1542" s="6">
        <v>157.5</v>
      </c>
      <c r="J1542" s="6">
        <f>I1542-H1542</f>
        <v>0</v>
      </c>
      <c r="K1542" s="5">
        <f>IF(H1542=0,"",J1542/H1542)</f>
        <v>0</v>
      </c>
      <c r="L1542">
        <f>IF(OR(AND(H1542=0,ABS(J1542)&gt;=0.01),AND(H1542&lt;&gt;0,ABS(K1542)&gt;VarianceThreshold)),"Review","OK")</f>
        <v>0</v>
      </c>
      <c r="M1542" t="s">
        <v>33</v>
      </c>
    </row>
    <row r="1543" spans="1:13">
      <c r="A1543" t="s">
        <v>2</v>
      </c>
      <c r="B1543" t="s">
        <v>335</v>
      </c>
      <c r="C1543" t="s">
        <v>1580</v>
      </c>
      <c r="D1543" t="s">
        <v>1754</v>
      </c>
      <c r="E1543" cm="1">
        <f t="array" ref="E1543">_xlfn.XLOOKUP(D1543,SKU_Master!A:A,SKU_Master!B:B,"Not on master")</f>
        <v>0</v>
      </c>
      <c r="F1543" cm="1">
        <f t="array" ref="F1543">_xlfn.XLOOKUP(C1543,Account_Master!A:A,Account_Master!B:B,"Not on master")</f>
        <v>0</v>
      </c>
      <c r="G1543" cm="1">
        <f t="array" ref="G1543">_xlfn.XLOOKUP(C1543,Account_Master!A:A,Account_Master!C:C,"Not on master")</f>
        <v>0</v>
      </c>
      <c r="H1543" s="6">
        <v>9</v>
      </c>
      <c r="I1543" s="6">
        <v>9</v>
      </c>
      <c r="J1543" s="6">
        <f>I1543-H1543</f>
        <v>0</v>
      </c>
      <c r="K1543" s="5">
        <f>IF(H1543=0,"",J1543/H1543)</f>
        <v>0</v>
      </c>
      <c r="L1543">
        <f>IF(OR(AND(H1543=0,ABS(J1543)&gt;=0.01),AND(H1543&lt;&gt;0,ABS(K1543)&gt;VarianceThreshold)),"Review","OK")</f>
        <v>0</v>
      </c>
      <c r="M1543" t="s">
        <v>33</v>
      </c>
    </row>
    <row r="1544" spans="1:13">
      <c r="A1544" t="s">
        <v>2</v>
      </c>
      <c r="B1544" t="s">
        <v>345</v>
      </c>
      <c r="C1544" t="s">
        <v>1755</v>
      </c>
      <c r="D1544" t="s">
        <v>1756</v>
      </c>
      <c r="E1544" cm="1">
        <f t="array" ref="E1544">_xlfn.XLOOKUP(D1544,SKU_Master!A:A,SKU_Master!B:B,"Not on master")</f>
        <v>0</v>
      </c>
      <c r="F1544" cm="1">
        <f t="array" ref="F1544">_xlfn.XLOOKUP(C1544,Account_Master!A:A,Account_Master!B:B,"Not on master")</f>
        <v>0</v>
      </c>
      <c r="G1544" cm="1">
        <f t="array" ref="G1544">_xlfn.XLOOKUP(C1544,Account_Master!A:A,Account_Master!C:C,"Not on master")</f>
        <v>0</v>
      </c>
      <c r="H1544" s="6">
        <v>87.5</v>
      </c>
      <c r="I1544" s="6">
        <v>77</v>
      </c>
      <c r="J1544" s="6">
        <f>I1544-H1544</f>
        <v>0</v>
      </c>
      <c r="K1544" s="5">
        <f>IF(H1544=0,"",J1544/H1544)</f>
        <v>0</v>
      </c>
      <c r="L1544">
        <f>IF(OR(AND(H1544=0,ABS(J1544)&gt;=0.01),AND(H1544&lt;&gt;0,ABS(K1544)&gt;VarianceThreshold)),"Review","OK")</f>
        <v>0</v>
      </c>
      <c r="M1544" t="s">
        <v>1611</v>
      </c>
    </row>
    <row r="1545" spans="1:13">
      <c r="A1545" t="s">
        <v>2</v>
      </c>
      <c r="B1545" t="s">
        <v>345</v>
      </c>
      <c r="C1545" t="s">
        <v>1612</v>
      </c>
      <c r="D1545" t="s">
        <v>575</v>
      </c>
      <c r="E1545" cm="1">
        <f t="array" ref="E1545">_xlfn.XLOOKUP(D1545,SKU_Master!A:A,SKU_Master!B:B,"Not on master")</f>
        <v>0</v>
      </c>
      <c r="F1545" cm="1">
        <f t="array" ref="F1545">_xlfn.XLOOKUP(C1545,Account_Master!A:A,Account_Master!B:B,"Not on master")</f>
        <v>0</v>
      </c>
      <c r="G1545" cm="1">
        <f t="array" ref="G1545">_xlfn.XLOOKUP(C1545,Account_Master!A:A,Account_Master!C:C,"Not on master")</f>
        <v>0</v>
      </c>
      <c r="H1545" s="6">
        <v>1.5</v>
      </c>
      <c r="I1545" s="6">
        <v>1.5</v>
      </c>
      <c r="J1545" s="6">
        <f>I1545-H1545</f>
        <v>0</v>
      </c>
      <c r="K1545" s="5">
        <f>IF(H1545=0,"",J1545/H1545)</f>
        <v>0</v>
      </c>
      <c r="L1545">
        <f>IF(OR(AND(H1545=0,ABS(J1545)&gt;=0.01),AND(H1545&lt;&gt;0,ABS(K1545)&gt;VarianceThreshold)),"Review","OK")</f>
        <v>0</v>
      </c>
      <c r="M1545" t="s">
        <v>33</v>
      </c>
    </row>
    <row r="1546" spans="1:13">
      <c r="A1546" t="s">
        <v>2</v>
      </c>
      <c r="B1546" t="s">
        <v>345</v>
      </c>
      <c r="C1546" t="s">
        <v>1757</v>
      </c>
      <c r="D1546" t="s">
        <v>1758</v>
      </c>
      <c r="E1546" cm="1">
        <f t="array" ref="E1546">_xlfn.XLOOKUP(D1546,SKU_Master!A:A,SKU_Master!B:B,"Not on master")</f>
        <v>0</v>
      </c>
      <c r="F1546" cm="1">
        <f t="array" ref="F1546">_xlfn.XLOOKUP(C1546,Account_Master!A:A,Account_Master!B:B,"Not on master")</f>
        <v>0</v>
      </c>
      <c r="G1546" cm="1">
        <f t="array" ref="G1546">_xlfn.XLOOKUP(C1546,Account_Master!A:A,Account_Master!C:C,"Not on master")</f>
        <v>0</v>
      </c>
      <c r="H1546" s="6">
        <v>9</v>
      </c>
      <c r="I1546" s="6">
        <v>9</v>
      </c>
      <c r="J1546" s="6">
        <f>I1546-H1546</f>
        <v>0</v>
      </c>
      <c r="K1546" s="5">
        <f>IF(H1546=0,"",J1546/H1546)</f>
        <v>0</v>
      </c>
      <c r="L1546">
        <f>IF(OR(AND(H1546=0,ABS(J1546)&gt;=0.01),AND(H1546&lt;&gt;0,ABS(K1546)&gt;VarianceThreshold)),"Review","OK")</f>
        <v>0</v>
      </c>
      <c r="M1546" t="s">
        <v>33</v>
      </c>
    </row>
    <row r="1547" spans="1:13">
      <c r="A1547" t="s">
        <v>2</v>
      </c>
      <c r="B1547" t="s">
        <v>345</v>
      </c>
      <c r="C1547" t="s">
        <v>1622</v>
      </c>
      <c r="D1547" t="s">
        <v>823</v>
      </c>
      <c r="E1547" cm="1">
        <f t="array" ref="E1547">_xlfn.XLOOKUP(D1547,SKU_Master!A:A,SKU_Master!B:B,"Not on master")</f>
        <v>0</v>
      </c>
      <c r="F1547" cm="1">
        <f t="array" ref="F1547">_xlfn.XLOOKUP(C1547,Account_Master!A:A,Account_Master!B:B,"Not on master")</f>
        <v>0</v>
      </c>
      <c r="G1547" cm="1">
        <f t="array" ref="G1547">_xlfn.XLOOKUP(C1547,Account_Master!A:A,Account_Master!C:C,"Not on master")</f>
        <v>0</v>
      </c>
      <c r="H1547" s="6">
        <v>12.75</v>
      </c>
      <c r="I1547" s="6">
        <v>12.75</v>
      </c>
      <c r="J1547" s="6">
        <f>I1547-H1547</f>
        <v>0</v>
      </c>
      <c r="K1547" s="5">
        <f>IF(H1547=0,"",J1547/H1547)</f>
        <v>0</v>
      </c>
      <c r="L1547">
        <f>IF(OR(AND(H1547=0,ABS(J1547)&gt;=0.01),AND(H1547&lt;&gt;0,ABS(K1547)&gt;VarianceThreshold)),"Review","OK")</f>
        <v>0</v>
      </c>
      <c r="M1547" t="s">
        <v>33</v>
      </c>
    </row>
    <row r="1548" spans="1:13">
      <c r="A1548" t="s">
        <v>2</v>
      </c>
      <c r="B1548" t="s">
        <v>357</v>
      </c>
      <c r="C1548" t="s">
        <v>1759</v>
      </c>
      <c r="D1548" t="s">
        <v>452</v>
      </c>
      <c r="E1548" cm="1">
        <f t="array" ref="E1548">_xlfn.XLOOKUP(D1548,SKU_Master!A:A,SKU_Master!B:B,"Not on master")</f>
        <v>0</v>
      </c>
      <c r="F1548" cm="1">
        <f t="array" ref="F1548">_xlfn.XLOOKUP(C1548,Account_Master!A:A,Account_Master!B:B,"Not on master")</f>
        <v>0</v>
      </c>
      <c r="G1548" cm="1">
        <f t="array" ref="G1548">_xlfn.XLOOKUP(C1548,Account_Master!A:A,Account_Master!C:C,"Not on master")</f>
        <v>0</v>
      </c>
      <c r="H1548" s="6">
        <v>0.05</v>
      </c>
      <c r="I1548" s="6">
        <v>0.05</v>
      </c>
      <c r="J1548" s="6">
        <f>I1548-H1548</f>
        <v>0</v>
      </c>
      <c r="K1548" s="5">
        <f>IF(H1548=0,"",J1548/H1548)</f>
        <v>0</v>
      </c>
      <c r="L1548">
        <f>IF(OR(AND(H1548=0,ABS(J1548)&gt;=0.01),AND(H1548&lt;&gt;0,ABS(K1548)&gt;VarianceThreshold)),"Review","OK")</f>
        <v>0</v>
      </c>
      <c r="M1548" t="s">
        <v>33</v>
      </c>
    </row>
    <row r="1549" spans="1:13">
      <c r="A1549" t="s">
        <v>2</v>
      </c>
      <c r="B1549" t="s">
        <v>357</v>
      </c>
      <c r="C1549" t="s">
        <v>1612</v>
      </c>
      <c r="D1549" t="s">
        <v>1760</v>
      </c>
      <c r="E1549" cm="1">
        <f t="array" ref="E1549">_xlfn.XLOOKUP(D1549,SKU_Master!A:A,SKU_Master!B:B,"Not on master")</f>
        <v>0</v>
      </c>
      <c r="F1549" cm="1">
        <f t="array" ref="F1549">_xlfn.XLOOKUP(C1549,Account_Master!A:A,Account_Master!B:B,"Not on master")</f>
        <v>0</v>
      </c>
      <c r="G1549" cm="1">
        <f t="array" ref="G1549">_xlfn.XLOOKUP(C1549,Account_Master!A:A,Account_Master!C:C,"Not on master")</f>
        <v>0</v>
      </c>
      <c r="H1549" s="6">
        <v>3.5</v>
      </c>
      <c r="I1549" s="6">
        <v>3.5</v>
      </c>
      <c r="J1549" s="6">
        <f>I1549-H1549</f>
        <v>0</v>
      </c>
      <c r="K1549" s="5">
        <f>IF(H1549=0,"",J1549/H1549)</f>
        <v>0</v>
      </c>
      <c r="L1549">
        <f>IF(OR(AND(H1549=0,ABS(J1549)&gt;=0.01),AND(H1549&lt;&gt;0,ABS(K1549)&gt;VarianceThreshold)),"Review","OK")</f>
        <v>0</v>
      </c>
      <c r="M1549" t="s">
        <v>33</v>
      </c>
    </row>
    <row r="1550" spans="1:13">
      <c r="A1550" t="s">
        <v>2</v>
      </c>
      <c r="B1550" t="s">
        <v>357</v>
      </c>
      <c r="C1550" t="s">
        <v>1586</v>
      </c>
      <c r="D1550" t="s">
        <v>1761</v>
      </c>
      <c r="E1550" cm="1">
        <f t="array" ref="E1550">_xlfn.XLOOKUP(D1550,SKU_Master!A:A,SKU_Master!B:B,"Not on master")</f>
        <v>0</v>
      </c>
      <c r="F1550" cm="1">
        <f t="array" ref="F1550">_xlfn.XLOOKUP(C1550,Account_Master!A:A,Account_Master!B:B,"Not on master")</f>
        <v>0</v>
      </c>
      <c r="G1550" cm="1">
        <f t="array" ref="G1550">_xlfn.XLOOKUP(C1550,Account_Master!A:A,Account_Master!C:C,"Not on master")</f>
        <v>0</v>
      </c>
      <c r="H1550" s="6">
        <v>10.5</v>
      </c>
      <c r="I1550" s="6">
        <v>10.5</v>
      </c>
      <c r="J1550" s="6">
        <f>I1550-H1550</f>
        <v>0</v>
      </c>
      <c r="K1550" s="5">
        <f>IF(H1550=0,"",J1550/H1550)</f>
        <v>0</v>
      </c>
      <c r="L1550">
        <f>IF(OR(AND(H1550=0,ABS(J1550)&gt;=0.01),AND(H1550&lt;&gt;0,ABS(K1550)&gt;VarianceThreshold)),"Review","OK")</f>
        <v>0</v>
      </c>
      <c r="M1550" t="s">
        <v>33</v>
      </c>
    </row>
    <row r="1551" spans="1:13">
      <c r="A1551" t="s">
        <v>2</v>
      </c>
      <c r="B1551" t="s">
        <v>357</v>
      </c>
      <c r="C1551" t="s">
        <v>1705</v>
      </c>
      <c r="D1551" t="s">
        <v>997</v>
      </c>
      <c r="E1551" cm="1">
        <f t="array" ref="E1551">_xlfn.XLOOKUP(D1551,SKU_Master!A:A,SKU_Master!B:B,"Not on master")</f>
        <v>0</v>
      </c>
      <c r="F1551" cm="1">
        <f t="array" ref="F1551">_xlfn.XLOOKUP(C1551,Account_Master!A:A,Account_Master!B:B,"Not on master")</f>
        <v>0</v>
      </c>
      <c r="G1551" cm="1">
        <f t="array" ref="G1551">_xlfn.XLOOKUP(C1551,Account_Master!A:A,Account_Master!C:C,"Not on master")</f>
        <v>0</v>
      </c>
      <c r="H1551" s="6">
        <v>8.25</v>
      </c>
      <c r="I1551" s="6">
        <v>8.25</v>
      </c>
      <c r="J1551" s="6">
        <f>I1551-H1551</f>
        <v>0</v>
      </c>
      <c r="K1551" s="5">
        <f>IF(H1551=0,"",J1551/H1551)</f>
        <v>0</v>
      </c>
      <c r="L1551">
        <f>IF(OR(AND(H1551=0,ABS(J1551)&gt;=0.01),AND(H1551&lt;&gt;0,ABS(K1551)&gt;VarianceThreshold)),"Review","OK")</f>
        <v>0</v>
      </c>
      <c r="M1551" t="s">
        <v>33</v>
      </c>
    </row>
    <row r="1552" spans="1:13">
      <c r="A1552" t="s">
        <v>2</v>
      </c>
      <c r="B1552" t="s">
        <v>357</v>
      </c>
      <c r="C1552" t="s">
        <v>1658</v>
      </c>
      <c r="D1552" t="s">
        <v>845</v>
      </c>
      <c r="E1552" cm="1">
        <f t="array" ref="E1552">_xlfn.XLOOKUP(D1552,SKU_Master!A:A,SKU_Master!B:B,"Not on master")</f>
        <v>0</v>
      </c>
      <c r="F1552" cm="1">
        <f t="array" ref="F1552">_xlfn.XLOOKUP(C1552,Account_Master!A:A,Account_Master!B:B,"Not on master")</f>
        <v>0</v>
      </c>
      <c r="G1552" cm="1">
        <f t="array" ref="G1552">_xlfn.XLOOKUP(C1552,Account_Master!A:A,Account_Master!C:C,"Not on master")</f>
        <v>0</v>
      </c>
      <c r="H1552" s="6">
        <v>3</v>
      </c>
      <c r="I1552" s="6">
        <v>3</v>
      </c>
      <c r="J1552" s="6">
        <f>I1552-H1552</f>
        <v>0</v>
      </c>
      <c r="K1552" s="5">
        <f>IF(H1552=0,"",J1552/H1552)</f>
        <v>0</v>
      </c>
      <c r="L1552">
        <f>IF(OR(AND(H1552=0,ABS(J1552)&gt;=0.01),AND(H1552&lt;&gt;0,ABS(K1552)&gt;VarianceThreshold)),"Review","OK")</f>
        <v>0</v>
      </c>
      <c r="M1552" t="s">
        <v>33</v>
      </c>
    </row>
    <row r="1553" spans="1:13">
      <c r="A1553" t="s">
        <v>2</v>
      </c>
      <c r="B1553" t="s">
        <v>364</v>
      </c>
      <c r="C1553" t="s">
        <v>1628</v>
      </c>
      <c r="D1553" t="s">
        <v>1220</v>
      </c>
      <c r="E1553" cm="1">
        <f t="array" ref="E1553">_xlfn.XLOOKUP(D1553,SKU_Master!A:A,SKU_Master!B:B,"Not on master")</f>
        <v>0</v>
      </c>
      <c r="F1553" cm="1">
        <f t="array" ref="F1553">_xlfn.XLOOKUP(C1553,Account_Master!A:A,Account_Master!B:B,"Not on master")</f>
        <v>0</v>
      </c>
      <c r="G1553" cm="1">
        <f t="array" ref="G1553">_xlfn.XLOOKUP(C1553,Account_Master!A:A,Account_Master!C:C,"Not on master")</f>
        <v>0</v>
      </c>
      <c r="H1553" s="6">
        <v>52.5</v>
      </c>
      <c r="I1553" s="6">
        <v>52.5</v>
      </c>
      <c r="J1553" s="6">
        <f>I1553-H1553</f>
        <v>0</v>
      </c>
      <c r="K1553" s="5">
        <f>IF(H1553=0,"",J1553/H1553)</f>
        <v>0</v>
      </c>
      <c r="L1553">
        <f>IF(OR(AND(H1553=0,ABS(J1553)&gt;=0.01),AND(H1553&lt;&gt;0,ABS(K1553)&gt;VarianceThreshold)),"Review","OK")</f>
        <v>0</v>
      </c>
      <c r="M1553" t="s">
        <v>33</v>
      </c>
    </row>
    <row r="1554" spans="1:13">
      <c r="A1554" t="s">
        <v>2</v>
      </c>
      <c r="B1554" t="s">
        <v>364</v>
      </c>
      <c r="C1554" t="s">
        <v>1762</v>
      </c>
      <c r="D1554" t="s">
        <v>1763</v>
      </c>
      <c r="E1554" cm="1">
        <f t="array" ref="E1554">_xlfn.XLOOKUP(D1554,SKU_Master!A:A,SKU_Master!B:B,"Not on master")</f>
        <v>0</v>
      </c>
      <c r="F1554" cm="1">
        <f t="array" ref="F1554">_xlfn.XLOOKUP(C1554,Account_Master!A:A,Account_Master!B:B,"Not on master")</f>
        <v>0</v>
      </c>
      <c r="G1554" cm="1">
        <f t="array" ref="G1554">_xlfn.XLOOKUP(C1554,Account_Master!A:A,Account_Master!C:C,"Not on master")</f>
        <v>0</v>
      </c>
      <c r="H1554" s="6">
        <v>36</v>
      </c>
      <c r="I1554" s="6">
        <v>36</v>
      </c>
      <c r="J1554" s="6">
        <f>I1554-H1554</f>
        <v>0</v>
      </c>
      <c r="K1554" s="5">
        <f>IF(H1554=0,"",J1554/H1554)</f>
        <v>0</v>
      </c>
      <c r="L1554">
        <f>IF(OR(AND(H1554=0,ABS(J1554)&gt;=0.01),AND(H1554&lt;&gt;0,ABS(K1554)&gt;VarianceThreshold)),"Review","OK")</f>
        <v>0</v>
      </c>
      <c r="M1554" t="s">
        <v>33</v>
      </c>
    </row>
    <row r="1555" spans="1:13">
      <c r="A1555" t="s">
        <v>2</v>
      </c>
      <c r="B1555" t="s">
        <v>364</v>
      </c>
      <c r="C1555" t="s">
        <v>1603</v>
      </c>
      <c r="D1555" t="s">
        <v>933</v>
      </c>
      <c r="E1555" cm="1">
        <f t="array" ref="E1555">_xlfn.XLOOKUP(D1555,SKU_Master!A:A,SKU_Master!B:B,"Not on master")</f>
        <v>0</v>
      </c>
      <c r="F1555" cm="1">
        <f t="array" ref="F1555">_xlfn.XLOOKUP(C1555,Account_Master!A:A,Account_Master!B:B,"Not on master")</f>
        <v>0</v>
      </c>
      <c r="G1555" cm="1">
        <f t="array" ref="G1555">_xlfn.XLOOKUP(C1555,Account_Master!A:A,Account_Master!C:C,"Not on master")</f>
        <v>0</v>
      </c>
      <c r="H1555" s="6">
        <v>42</v>
      </c>
      <c r="I1555" s="6">
        <v>42</v>
      </c>
      <c r="J1555" s="6">
        <f>I1555-H1555</f>
        <v>0</v>
      </c>
      <c r="K1555" s="5">
        <f>IF(H1555=0,"",J1555/H1555)</f>
        <v>0</v>
      </c>
      <c r="L1555">
        <f>IF(OR(AND(H1555=0,ABS(J1555)&gt;=0.01),AND(H1555&lt;&gt;0,ABS(K1555)&gt;VarianceThreshold)),"Review","OK")</f>
        <v>0</v>
      </c>
      <c r="M1555" t="s">
        <v>33</v>
      </c>
    </row>
    <row r="1556" spans="1:13">
      <c r="A1556" t="s">
        <v>2</v>
      </c>
      <c r="B1556" t="s">
        <v>371</v>
      </c>
      <c r="C1556" t="s">
        <v>1602</v>
      </c>
      <c r="D1556" t="s">
        <v>747</v>
      </c>
      <c r="E1556" cm="1">
        <f t="array" ref="E1556">_xlfn.XLOOKUP(D1556,SKU_Master!A:A,SKU_Master!B:B,"Not on master")</f>
        <v>0</v>
      </c>
      <c r="F1556" cm="1">
        <f t="array" ref="F1556">_xlfn.XLOOKUP(C1556,Account_Master!A:A,Account_Master!B:B,"Not on master")</f>
        <v>0</v>
      </c>
      <c r="G1556" cm="1">
        <f t="array" ref="G1556">_xlfn.XLOOKUP(C1556,Account_Master!A:A,Account_Master!C:C,"Not on master")</f>
        <v>0</v>
      </c>
      <c r="H1556" s="6">
        <v>27.75</v>
      </c>
      <c r="I1556" s="6">
        <v>27</v>
      </c>
      <c r="J1556" s="6">
        <f>I1556-H1556</f>
        <v>0</v>
      </c>
      <c r="K1556" s="5">
        <f>IF(H1556=0,"",J1556/H1556)</f>
        <v>0</v>
      </c>
      <c r="L1556">
        <f>IF(OR(AND(H1556=0,ABS(J1556)&gt;=0.01),AND(H1556&lt;&gt;0,ABS(K1556)&gt;VarianceThreshold)),"Review","OK")</f>
        <v>0</v>
      </c>
      <c r="M1556" t="s">
        <v>33</v>
      </c>
    </row>
    <row r="1557" spans="1:13">
      <c r="A1557" t="s">
        <v>2</v>
      </c>
      <c r="B1557" t="s">
        <v>371</v>
      </c>
      <c r="C1557" t="s">
        <v>1689</v>
      </c>
      <c r="D1557" t="s">
        <v>1764</v>
      </c>
      <c r="E1557" cm="1">
        <f t="array" ref="E1557">_xlfn.XLOOKUP(D1557,SKU_Master!A:A,SKU_Master!B:B,"Not on master")</f>
        <v>0</v>
      </c>
      <c r="F1557" cm="1">
        <f t="array" ref="F1557">_xlfn.XLOOKUP(C1557,Account_Master!A:A,Account_Master!B:B,"Not on master")</f>
        <v>0</v>
      </c>
      <c r="G1557" cm="1">
        <f t="array" ref="G1557">_xlfn.XLOOKUP(C1557,Account_Master!A:A,Account_Master!C:C,"Not on master")</f>
        <v>0</v>
      </c>
      <c r="H1557" s="6">
        <v>1.5</v>
      </c>
      <c r="I1557" s="6">
        <v>1.5</v>
      </c>
      <c r="J1557" s="6">
        <f>I1557-H1557</f>
        <v>0</v>
      </c>
      <c r="K1557" s="5">
        <f>IF(H1557=0,"",J1557/H1557)</f>
        <v>0</v>
      </c>
      <c r="L1557">
        <f>IF(OR(AND(H1557=0,ABS(J1557)&gt;=0.01),AND(H1557&lt;&gt;0,ABS(K1557)&gt;VarianceThreshold)),"Review","OK")</f>
        <v>0</v>
      </c>
      <c r="M1557" t="s">
        <v>33</v>
      </c>
    </row>
    <row r="1558" spans="1:13">
      <c r="A1558" t="s">
        <v>2</v>
      </c>
      <c r="B1558" t="s">
        <v>371</v>
      </c>
      <c r="C1558" t="s">
        <v>1642</v>
      </c>
      <c r="D1558" t="s">
        <v>173</v>
      </c>
      <c r="E1558" cm="1">
        <f t="array" ref="E1558">_xlfn.XLOOKUP(D1558,SKU_Master!A:A,SKU_Master!B:B,"Not on master")</f>
        <v>0</v>
      </c>
      <c r="F1558" cm="1">
        <f t="array" ref="F1558">_xlfn.XLOOKUP(C1558,Account_Master!A:A,Account_Master!B:B,"Not on master")</f>
        <v>0</v>
      </c>
      <c r="G1558" cm="1">
        <f t="array" ref="G1558">_xlfn.XLOOKUP(C1558,Account_Master!A:A,Account_Master!C:C,"Not on master")</f>
        <v>0</v>
      </c>
      <c r="H1558" s="6">
        <v>66</v>
      </c>
      <c r="I1558" s="6">
        <v>66</v>
      </c>
      <c r="J1558" s="6">
        <f>I1558-H1558</f>
        <v>0</v>
      </c>
      <c r="K1558" s="5">
        <f>IF(H1558=0,"",J1558/H1558)</f>
        <v>0</v>
      </c>
      <c r="L1558">
        <f>IF(OR(AND(H1558=0,ABS(J1558)&gt;=0.01),AND(H1558&lt;&gt;0,ABS(K1558)&gt;VarianceThreshold)),"Review","OK")</f>
        <v>0</v>
      </c>
      <c r="M1558" t="s">
        <v>33</v>
      </c>
    </row>
    <row r="1559" spans="1:13">
      <c r="A1559" t="s">
        <v>2</v>
      </c>
      <c r="B1559" t="s">
        <v>371</v>
      </c>
      <c r="C1559" t="s">
        <v>1605</v>
      </c>
      <c r="D1559" t="s">
        <v>1765</v>
      </c>
      <c r="E1559" cm="1">
        <f t="array" ref="E1559">_xlfn.XLOOKUP(D1559,SKU_Master!A:A,SKU_Master!B:B,"Not on master")</f>
        <v>0</v>
      </c>
      <c r="F1559" cm="1">
        <f t="array" ref="F1559">_xlfn.XLOOKUP(C1559,Account_Master!A:A,Account_Master!B:B,"Not on master")</f>
        <v>0</v>
      </c>
      <c r="G1559" cm="1">
        <f t="array" ref="G1559">_xlfn.XLOOKUP(C1559,Account_Master!A:A,Account_Master!C:C,"Not on master")</f>
        <v>0</v>
      </c>
      <c r="H1559" s="6">
        <v>12</v>
      </c>
      <c r="I1559" s="6">
        <v>9</v>
      </c>
      <c r="J1559" s="6">
        <f>I1559-H1559</f>
        <v>0</v>
      </c>
      <c r="K1559" s="5">
        <f>IF(H1559=0,"",J1559/H1559)</f>
        <v>0</v>
      </c>
      <c r="L1559">
        <f>IF(OR(AND(H1559=0,ABS(J1559)&gt;=0.01),AND(H1559&lt;&gt;0,ABS(K1559)&gt;VarianceThreshold)),"Review","OK")</f>
        <v>0</v>
      </c>
      <c r="M1559" t="s">
        <v>1611</v>
      </c>
    </row>
    <row r="1560" spans="1:13">
      <c r="A1560" t="s">
        <v>2</v>
      </c>
      <c r="B1560" t="s">
        <v>371</v>
      </c>
      <c r="C1560" t="s">
        <v>1634</v>
      </c>
      <c r="D1560" t="s">
        <v>568</v>
      </c>
      <c r="E1560" cm="1">
        <f t="array" ref="E1560">_xlfn.XLOOKUP(D1560,SKU_Master!A:A,SKU_Master!B:B,"Not on master")</f>
        <v>0</v>
      </c>
      <c r="F1560" cm="1">
        <f t="array" ref="F1560">_xlfn.XLOOKUP(C1560,Account_Master!A:A,Account_Master!B:B,"Not on master")</f>
        <v>0</v>
      </c>
      <c r="G1560" cm="1">
        <f t="array" ref="G1560">_xlfn.XLOOKUP(C1560,Account_Master!A:A,Account_Master!C:C,"Not on master")</f>
        <v>0</v>
      </c>
      <c r="H1560" s="6">
        <v>6</v>
      </c>
      <c r="I1560" s="6">
        <v>4.5</v>
      </c>
      <c r="J1560" s="6">
        <f>I1560-H1560</f>
        <v>0</v>
      </c>
      <c r="K1560" s="5">
        <f>IF(H1560=0,"",J1560/H1560)</f>
        <v>0</v>
      </c>
      <c r="L1560">
        <f>IF(OR(AND(H1560=0,ABS(J1560)&gt;=0.01),AND(H1560&lt;&gt;0,ABS(K1560)&gt;VarianceThreshold)),"Review","OK")</f>
        <v>0</v>
      </c>
      <c r="M1560" t="s">
        <v>1611</v>
      </c>
    </row>
    <row r="1561" spans="1:13">
      <c r="A1561" t="s">
        <v>2</v>
      </c>
      <c r="B1561" t="s">
        <v>371</v>
      </c>
      <c r="C1561" t="s">
        <v>1618</v>
      </c>
      <c r="D1561" t="s">
        <v>1766</v>
      </c>
      <c r="E1561" cm="1">
        <f t="array" ref="E1561">_xlfn.XLOOKUP(D1561,SKU_Master!A:A,SKU_Master!B:B,"Not on master")</f>
        <v>0</v>
      </c>
      <c r="F1561" cm="1">
        <f t="array" ref="F1561">_xlfn.XLOOKUP(C1561,Account_Master!A:A,Account_Master!B:B,"Not on master")</f>
        <v>0</v>
      </c>
      <c r="G1561" cm="1">
        <f t="array" ref="G1561">_xlfn.XLOOKUP(C1561,Account_Master!A:A,Account_Master!C:C,"Not on master")</f>
        <v>0</v>
      </c>
      <c r="H1561" s="6">
        <v>0.6</v>
      </c>
      <c r="I1561" s="6">
        <v>0.6</v>
      </c>
      <c r="J1561" s="6">
        <f>I1561-H1561</f>
        <v>0</v>
      </c>
      <c r="K1561" s="5">
        <f>IF(H1561=0,"",J1561/H1561)</f>
        <v>0</v>
      </c>
      <c r="L1561">
        <f>IF(OR(AND(H1561=0,ABS(J1561)&gt;=0.01),AND(H1561&lt;&gt;0,ABS(K1561)&gt;VarianceThreshold)),"Review","OK")</f>
        <v>0</v>
      </c>
      <c r="M1561" t="s">
        <v>33</v>
      </c>
    </row>
    <row r="1562" spans="1:13">
      <c r="A1562" t="s">
        <v>2</v>
      </c>
      <c r="B1562" t="s">
        <v>379</v>
      </c>
      <c r="C1562" t="s">
        <v>1615</v>
      </c>
      <c r="D1562" t="s">
        <v>1465</v>
      </c>
      <c r="E1562" cm="1">
        <f t="array" ref="E1562">_xlfn.XLOOKUP(D1562,SKU_Master!A:A,SKU_Master!B:B,"Not on master")</f>
        <v>0</v>
      </c>
      <c r="F1562" cm="1">
        <f t="array" ref="F1562">_xlfn.XLOOKUP(C1562,Account_Master!A:A,Account_Master!B:B,"Not on master")</f>
        <v>0</v>
      </c>
      <c r="G1562" cm="1">
        <f t="array" ref="G1562">_xlfn.XLOOKUP(C1562,Account_Master!A:A,Account_Master!C:C,"Not on master")</f>
        <v>0</v>
      </c>
      <c r="H1562" s="6">
        <v>41.25</v>
      </c>
      <c r="I1562" s="6">
        <v>41.25</v>
      </c>
      <c r="J1562" s="6">
        <f>I1562-H1562</f>
        <v>0</v>
      </c>
      <c r="K1562" s="5">
        <f>IF(H1562=0,"",J1562/H1562)</f>
        <v>0</v>
      </c>
      <c r="L1562">
        <f>IF(OR(AND(H1562=0,ABS(J1562)&gt;=0.01),AND(H1562&lt;&gt;0,ABS(K1562)&gt;VarianceThreshold)),"Review","OK")</f>
        <v>0</v>
      </c>
      <c r="M1562" t="s">
        <v>33</v>
      </c>
    </row>
    <row r="1563" spans="1:13">
      <c r="A1563" t="s">
        <v>2</v>
      </c>
      <c r="B1563" t="s">
        <v>392</v>
      </c>
      <c r="C1563" t="s">
        <v>1767</v>
      </c>
      <c r="D1563" t="s">
        <v>1768</v>
      </c>
      <c r="E1563" cm="1">
        <f t="array" ref="E1563">_xlfn.XLOOKUP(D1563,SKU_Master!A:A,SKU_Master!B:B,"Not on master")</f>
        <v>0</v>
      </c>
      <c r="F1563" cm="1">
        <f t="array" ref="F1563">_xlfn.XLOOKUP(C1563,Account_Master!A:A,Account_Master!B:B,"Not on master")</f>
        <v>0</v>
      </c>
      <c r="G1563" cm="1">
        <f t="array" ref="G1563">_xlfn.XLOOKUP(C1563,Account_Master!A:A,Account_Master!C:C,"Not on master")</f>
        <v>0</v>
      </c>
      <c r="H1563" s="6">
        <v>24.75</v>
      </c>
      <c r="I1563" s="6">
        <v>22.5</v>
      </c>
      <c r="J1563" s="6">
        <f>I1563-H1563</f>
        <v>0</v>
      </c>
      <c r="K1563" s="5">
        <f>IF(H1563=0,"",J1563/H1563)</f>
        <v>0</v>
      </c>
      <c r="L1563">
        <f>IF(OR(AND(H1563=0,ABS(J1563)&gt;=0.01),AND(H1563&lt;&gt;0,ABS(K1563)&gt;VarianceThreshold)),"Review","OK")</f>
        <v>0</v>
      </c>
      <c r="M1563" t="s">
        <v>1611</v>
      </c>
    </row>
    <row r="1564" spans="1:13">
      <c r="A1564" t="s">
        <v>2</v>
      </c>
      <c r="B1564" t="s">
        <v>392</v>
      </c>
      <c r="C1564" t="s">
        <v>1605</v>
      </c>
      <c r="D1564" t="s">
        <v>136</v>
      </c>
      <c r="E1564" cm="1">
        <f t="array" ref="E1564">_xlfn.XLOOKUP(D1564,SKU_Master!A:A,SKU_Master!B:B,"Not on master")</f>
        <v>0</v>
      </c>
      <c r="F1564" cm="1">
        <f t="array" ref="F1564">_xlfn.XLOOKUP(C1564,Account_Master!A:A,Account_Master!B:B,"Not on master")</f>
        <v>0</v>
      </c>
      <c r="G1564" cm="1">
        <f t="array" ref="G1564">_xlfn.XLOOKUP(C1564,Account_Master!A:A,Account_Master!C:C,"Not on master")</f>
        <v>0</v>
      </c>
      <c r="H1564" s="6">
        <v>105</v>
      </c>
      <c r="I1564" s="6">
        <v>99.75</v>
      </c>
      <c r="J1564" s="6">
        <f>I1564-H1564</f>
        <v>0</v>
      </c>
      <c r="K1564" s="5">
        <f>IF(H1564=0,"",J1564/H1564)</f>
        <v>0</v>
      </c>
      <c r="L1564">
        <f>IF(OR(AND(H1564=0,ABS(J1564)&gt;=0.01),AND(H1564&lt;&gt;0,ABS(K1564)&gt;VarianceThreshold)),"Review","OK")</f>
        <v>0</v>
      </c>
      <c r="M1564" t="s">
        <v>33</v>
      </c>
    </row>
    <row r="1565" spans="1:13">
      <c r="A1565" t="s">
        <v>2</v>
      </c>
      <c r="B1565" t="s">
        <v>392</v>
      </c>
      <c r="C1565" t="s">
        <v>1615</v>
      </c>
      <c r="D1565" t="s">
        <v>1769</v>
      </c>
      <c r="E1565" cm="1">
        <f t="array" ref="E1565">_xlfn.XLOOKUP(D1565,SKU_Master!A:A,SKU_Master!B:B,"Not on master")</f>
        <v>0</v>
      </c>
      <c r="F1565" cm="1">
        <f t="array" ref="F1565">_xlfn.XLOOKUP(C1565,Account_Master!A:A,Account_Master!B:B,"Not on master")</f>
        <v>0</v>
      </c>
      <c r="G1565" cm="1">
        <f t="array" ref="G1565">_xlfn.XLOOKUP(C1565,Account_Master!A:A,Account_Master!C:C,"Not on master")</f>
        <v>0</v>
      </c>
      <c r="H1565" s="6">
        <v>102</v>
      </c>
      <c r="I1565" s="6">
        <v>102</v>
      </c>
      <c r="J1565" s="6">
        <f>I1565-H1565</f>
        <v>0</v>
      </c>
      <c r="K1565" s="5">
        <f>IF(H1565=0,"",J1565/H1565)</f>
        <v>0</v>
      </c>
      <c r="L1565">
        <f>IF(OR(AND(H1565=0,ABS(J1565)&gt;=0.01),AND(H1565&lt;&gt;0,ABS(K1565)&gt;VarianceThreshold)),"Review","OK")</f>
        <v>0</v>
      </c>
      <c r="M1565" t="s">
        <v>33</v>
      </c>
    </row>
    <row r="1566" spans="1:13">
      <c r="A1566" t="s">
        <v>2</v>
      </c>
      <c r="B1566" t="s">
        <v>392</v>
      </c>
      <c r="C1566" t="s">
        <v>1615</v>
      </c>
      <c r="D1566" t="s">
        <v>255</v>
      </c>
      <c r="E1566" cm="1">
        <f t="array" ref="E1566">_xlfn.XLOOKUP(D1566,SKU_Master!A:A,SKU_Master!B:B,"Not on master")</f>
        <v>0</v>
      </c>
      <c r="F1566" cm="1">
        <f t="array" ref="F1566">_xlfn.XLOOKUP(C1566,Account_Master!A:A,Account_Master!B:B,"Not on master")</f>
        <v>0</v>
      </c>
      <c r="G1566" cm="1">
        <f t="array" ref="G1566">_xlfn.XLOOKUP(C1566,Account_Master!A:A,Account_Master!C:C,"Not on master")</f>
        <v>0</v>
      </c>
      <c r="H1566" s="6">
        <v>48</v>
      </c>
      <c r="I1566" s="6">
        <v>36</v>
      </c>
      <c r="J1566" s="6">
        <f>I1566-H1566</f>
        <v>0</v>
      </c>
      <c r="K1566" s="5">
        <f>IF(H1566=0,"",J1566/H1566)</f>
        <v>0</v>
      </c>
      <c r="L1566">
        <f>IF(OR(AND(H1566=0,ABS(J1566)&gt;=0.01),AND(H1566&lt;&gt;0,ABS(K1566)&gt;VarianceThreshold)),"Review","OK")</f>
        <v>0</v>
      </c>
      <c r="M1566" t="s">
        <v>1611</v>
      </c>
    </row>
    <row r="1567" spans="1:13">
      <c r="A1567" t="s">
        <v>2</v>
      </c>
      <c r="B1567" t="s">
        <v>392</v>
      </c>
      <c r="C1567" t="s">
        <v>1658</v>
      </c>
      <c r="D1567" t="s">
        <v>1373</v>
      </c>
      <c r="E1567" cm="1">
        <f t="array" ref="E1567">_xlfn.XLOOKUP(D1567,SKU_Master!A:A,SKU_Master!B:B,"Not on master")</f>
        <v>0</v>
      </c>
      <c r="F1567" cm="1">
        <f t="array" ref="F1567">_xlfn.XLOOKUP(C1567,Account_Master!A:A,Account_Master!B:B,"Not on master")</f>
        <v>0</v>
      </c>
      <c r="G1567" cm="1">
        <f t="array" ref="G1567">_xlfn.XLOOKUP(C1567,Account_Master!A:A,Account_Master!C:C,"Not on master")</f>
        <v>0</v>
      </c>
      <c r="H1567" s="6">
        <v>967.75</v>
      </c>
      <c r="I1567" s="6">
        <v>946.75</v>
      </c>
      <c r="J1567" s="6">
        <f>I1567-H1567</f>
        <v>0</v>
      </c>
      <c r="K1567" s="5">
        <f>IF(H1567=0,"",J1567/H1567)</f>
        <v>0</v>
      </c>
      <c r="L1567">
        <f>IF(OR(AND(H1567=0,ABS(J1567)&gt;=0.01),AND(H1567&lt;&gt;0,ABS(K1567)&gt;VarianceThreshold)),"Review","OK")</f>
        <v>0</v>
      </c>
      <c r="M1567" t="s">
        <v>33</v>
      </c>
    </row>
    <row r="1568" spans="1:13">
      <c r="A1568" t="s">
        <v>2</v>
      </c>
      <c r="B1568" t="s">
        <v>392</v>
      </c>
      <c r="C1568" t="s">
        <v>1615</v>
      </c>
      <c r="D1568" t="s">
        <v>1282</v>
      </c>
      <c r="E1568" cm="1">
        <f t="array" ref="E1568">_xlfn.XLOOKUP(D1568,SKU_Master!A:A,SKU_Master!B:B,"Not on master")</f>
        <v>0</v>
      </c>
      <c r="F1568" cm="1">
        <f t="array" ref="F1568">_xlfn.XLOOKUP(C1568,Account_Master!A:A,Account_Master!B:B,"Not on master")</f>
        <v>0</v>
      </c>
      <c r="G1568" cm="1">
        <f t="array" ref="G1568">_xlfn.XLOOKUP(C1568,Account_Master!A:A,Account_Master!C:C,"Not on master")</f>
        <v>0</v>
      </c>
      <c r="H1568" s="6">
        <v>85</v>
      </c>
      <c r="I1568" s="6">
        <v>85</v>
      </c>
      <c r="J1568" s="6">
        <f>I1568-H1568</f>
        <v>0</v>
      </c>
      <c r="K1568" s="5">
        <f>IF(H1568=0,"",J1568/H1568)</f>
        <v>0</v>
      </c>
      <c r="L1568">
        <f>IF(OR(AND(H1568=0,ABS(J1568)&gt;=0.01),AND(H1568&lt;&gt;0,ABS(K1568)&gt;VarianceThreshold)),"Review","OK")</f>
        <v>0</v>
      </c>
      <c r="M1568" t="s">
        <v>33</v>
      </c>
    </row>
    <row r="1569" spans="1:13">
      <c r="A1569" t="s">
        <v>2</v>
      </c>
      <c r="B1569" t="s">
        <v>392</v>
      </c>
      <c r="C1569" t="s">
        <v>1576</v>
      </c>
      <c r="D1569" t="s">
        <v>187</v>
      </c>
      <c r="E1569" cm="1">
        <f t="array" ref="E1569">_xlfn.XLOOKUP(D1569,SKU_Master!A:A,SKU_Master!B:B,"Not on master")</f>
        <v>0</v>
      </c>
      <c r="F1569" cm="1">
        <f t="array" ref="F1569">_xlfn.XLOOKUP(C1569,Account_Master!A:A,Account_Master!B:B,"Not on master")</f>
        <v>0</v>
      </c>
      <c r="G1569" cm="1">
        <f t="array" ref="G1569">_xlfn.XLOOKUP(C1569,Account_Master!A:A,Account_Master!C:C,"Not on master")</f>
        <v>0</v>
      </c>
      <c r="H1569" s="6">
        <v>14.25</v>
      </c>
      <c r="I1569" s="6">
        <v>14.25</v>
      </c>
      <c r="J1569" s="6">
        <f>I1569-H1569</f>
        <v>0</v>
      </c>
      <c r="K1569" s="5">
        <f>IF(H1569=0,"",J1569/H1569)</f>
        <v>0</v>
      </c>
      <c r="L1569">
        <f>IF(OR(AND(H1569=0,ABS(J1569)&gt;=0.01),AND(H1569&lt;&gt;0,ABS(K1569)&gt;VarianceThreshold)),"Review","OK")</f>
        <v>0</v>
      </c>
      <c r="M1569" t="s">
        <v>33</v>
      </c>
    </row>
    <row r="1570" spans="1:13">
      <c r="A1570" t="s">
        <v>2</v>
      </c>
      <c r="B1570" t="s">
        <v>392</v>
      </c>
      <c r="C1570" t="s">
        <v>1612</v>
      </c>
      <c r="D1570" t="s">
        <v>1045</v>
      </c>
      <c r="E1570" cm="1">
        <f t="array" ref="E1570">_xlfn.XLOOKUP(D1570,SKU_Master!A:A,SKU_Master!B:B,"Not on master")</f>
        <v>0</v>
      </c>
      <c r="F1570" cm="1">
        <f t="array" ref="F1570">_xlfn.XLOOKUP(C1570,Account_Master!A:A,Account_Master!B:B,"Not on master")</f>
        <v>0</v>
      </c>
      <c r="G1570" cm="1">
        <f t="array" ref="G1570">_xlfn.XLOOKUP(C1570,Account_Master!A:A,Account_Master!C:C,"Not on master")</f>
        <v>0</v>
      </c>
      <c r="H1570" s="6">
        <v>10.5</v>
      </c>
      <c r="I1570" s="6">
        <v>10.5</v>
      </c>
      <c r="J1570" s="6">
        <f>I1570-H1570</f>
        <v>0</v>
      </c>
      <c r="K1570" s="5">
        <f>IF(H1570=0,"",J1570/H1570)</f>
        <v>0</v>
      </c>
      <c r="L1570">
        <f>IF(OR(AND(H1570=0,ABS(J1570)&gt;=0.01),AND(H1570&lt;&gt;0,ABS(K1570)&gt;VarianceThreshold)),"Review","OK")</f>
        <v>0</v>
      </c>
      <c r="M1570" t="s">
        <v>33</v>
      </c>
    </row>
    <row r="1571" spans="1:13">
      <c r="A1571" t="s">
        <v>2</v>
      </c>
      <c r="B1571" t="s">
        <v>402</v>
      </c>
      <c r="C1571" t="s">
        <v>1658</v>
      </c>
      <c r="D1571" t="s">
        <v>276</v>
      </c>
      <c r="E1571" cm="1">
        <f t="array" ref="E1571">_xlfn.XLOOKUP(D1571,SKU_Master!A:A,SKU_Master!B:B,"Not on master")</f>
        <v>0</v>
      </c>
      <c r="F1571" cm="1">
        <f t="array" ref="F1571">_xlfn.XLOOKUP(C1571,Account_Master!A:A,Account_Master!B:B,"Not on master")</f>
        <v>0</v>
      </c>
      <c r="G1571" cm="1">
        <f t="array" ref="G1571">_xlfn.XLOOKUP(C1571,Account_Master!A:A,Account_Master!C:C,"Not on master")</f>
        <v>0</v>
      </c>
      <c r="H1571" s="6">
        <v>11.25</v>
      </c>
      <c r="I1571" s="6">
        <v>9</v>
      </c>
      <c r="J1571" s="6">
        <f>I1571-H1571</f>
        <v>0</v>
      </c>
      <c r="K1571" s="5">
        <f>IF(H1571=0,"",J1571/H1571)</f>
        <v>0</v>
      </c>
      <c r="L1571">
        <f>IF(OR(AND(H1571=0,ABS(J1571)&gt;=0.01),AND(H1571&lt;&gt;0,ABS(K1571)&gt;VarianceThreshold)),"Review","OK")</f>
        <v>0</v>
      </c>
      <c r="M1571" t="s">
        <v>1611</v>
      </c>
    </row>
    <row r="1572" spans="1:13">
      <c r="A1572" t="s">
        <v>2</v>
      </c>
      <c r="B1572" t="s">
        <v>402</v>
      </c>
      <c r="C1572" t="s">
        <v>1687</v>
      </c>
      <c r="D1572" t="s">
        <v>1770</v>
      </c>
      <c r="E1572" cm="1">
        <f t="array" ref="E1572">_xlfn.XLOOKUP(D1572,SKU_Master!A:A,SKU_Master!B:B,"Not on master")</f>
        <v>0</v>
      </c>
      <c r="F1572" cm="1">
        <f t="array" ref="F1572">_xlfn.XLOOKUP(C1572,Account_Master!A:A,Account_Master!B:B,"Not on master")</f>
        <v>0</v>
      </c>
      <c r="G1572" cm="1">
        <f t="array" ref="G1572">_xlfn.XLOOKUP(C1572,Account_Master!A:A,Account_Master!C:C,"Not on master")</f>
        <v>0</v>
      </c>
      <c r="H1572" s="6">
        <v>1.5</v>
      </c>
      <c r="I1572" s="6">
        <v>1.5</v>
      </c>
      <c r="J1572" s="6">
        <f>I1572-H1572</f>
        <v>0</v>
      </c>
      <c r="K1572" s="5">
        <f>IF(H1572=0,"",J1572/H1572)</f>
        <v>0</v>
      </c>
      <c r="L1572">
        <f>IF(OR(AND(H1572=0,ABS(J1572)&gt;=0.01),AND(H1572&lt;&gt;0,ABS(K1572)&gt;VarianceThreshold)),"Review","OK")</f>
        <v>0</v>
      </c>
      <c r="M1572" t="s">
        <v>33</v>
      </c>
    </row>
    <row r="1573" spans="1:13">
      <c r="A1573" t="s">
        <v>2</v>
      </c>
      <c r="B1573" t="s">
        <v>402</v>
      </c>
      <c r="C1573" t="s">
        <v>1661</v>
      </c>
      <c r="D1573" t="s">
        <v>1771</v>
      </c>
      <c r="E1573" cm="1">
        <f t="array" ref="E1573">_xlfn.XLOOKUP(D1573,SKU_Master!A:A,SKU_Master!B:B,"Not on master")</f>
        <v>0</v>
      </c>
      <c r="F1573" cm="1">
        <f t="array" ref="F1573">_xlfn.XLOOKUP(C1573,Account_Master!A:A,Account_Master!B:B,"Not on master")</f>
        <v>0</v>
      </c>
      <c r="G1573" cm="1">
        <f t="array" ref="G1573">_xlfn.XLOOKUP(C1573,Account_Master!A:A,Account_Master!C:C,"Not on master")</f>
        <v>0</v>
      </c>
      <c r="H1573" s="6">
        <v>10.5</v>
      </c>
      <c r="I1573" s="6">
        <v>10.5</v>
      </c>
      <c r="J1573" s="6">
        <f>I1573-H1573</f>
        <v>0</v>
      </c>
      <c r="K1573" s="5">
        <f>IF(H1573=0,"",J1573/H1573)</f>
        <v>0</v>
      </c>
      <c r="L1573">
        <f>IF(OR(AND(H1573=0,ABS(J1573)&gt;=0.01),AND(H1573&lt;&gt;0,ABS(K1573)&gt;VarianceThreshold)),"Review","OK")</f>
        <v>0</v>
      </c>
      <c r="M1573" t="s">
        <v>33</v>
      </c>
    </row>
    <row r="1574" spans="1:13">
      <c r="A1574" t="s">
        <v>2</v>
      </c>
      <c r="B1574" t="s">
        <v>402</v>
      </c>
      <c r="C1574" t="s">
        <v>1772</v>
      </c>
      <c r="D1574" t="s">
        <v>1570</v>
      </c>
      <c r="E1574" cm="1">
        <f t="array" ref="E1574">_xlfn.XLOOKUP(D1574,SKU_Master!A:A,SKU_Master!B:B,"Not on master")</f>
        <v>0</v>
      </c>
      <c r="F1574" cm="1">
        <f t="array" ref="F1574">_xlfn.XLOOKUP(C1574,Account_Master!A:A,Account_Master!B:B,"Not on master")</f>
        <v>0</v>
      </c>
      <c r="G1574" cm="1">
        <f t="array" ref="G1574">_xlfn.XLOOKUP(C1574,Account_Master!A:A,Account_Master!C:C,"Not on master")</f>
        <v>0</v>
      </c>
      <c r="H1574" s="6">
        <v>19.87</v>
      </c>
      <c r="I1574" s="6">
        <v>19.87</v>
      </c>
      <c r="J1574" s="6">
        <f>I1574-H1574</f>
        <v>0</v>
      </c>
      <c r="K1574" s="5">
        <f>IF(H1574=0,"",J1574/H1574)</f>
        <v>0</v>
      </c>
      <c r="L1574">
        <f>IF(OR(AND(H1574=0,ABS(J1574)&gt;=0.01),AND(H1574&lt;&gt;0,ABS(K1574)&gt;VarianceThreshold)),"Review","OK")</f>
        <v>0</v>
      </c>
      <c r="M1574" t="s">
        <v>33</v>
      </c>
    </row>
    <row r="1575" spans="1:13">
      <c r="A1575" t="s">
        <v>2</v>
      </c>
      <c r="B1575" t="s">
        <v>410</v>
      </c>
      <c r="C1575" t="s">
        <v>1634</v>
      </c>
      <c r="D1575" t="s">
        <v>1773</v>
      </c>
      <c r="E1575" cm="1">
        <f t="array" ref="E1575">_xlfn.XLOOKUP(D1575,SKU_Master!A:A,SKU_Master!B:B,"Not on master")</f>
        <v>0</v>
      </c>
      <c r="F1575" cm="1">
        <f t="array" ref="F1575">_xlfn.XLOOKUP(C1575,Account_Master!A:A,Account_Master!B:B,"Not on master")</f>
        <v>0</v>
      </c>
      <c r="G1575" cm="1">
        <f t="array" ref="G1575">_xlfn.XLOOKUP(C1575,Account_Master!A:A,Account_Master!C:C,"Not on master")</f>
        <v>0</v>
      </c>
      <c r="H1575" s="6">
        <v>4.49</v>
      </c>
      <c r="I1575" s="6">
        <v>4.49</v>
      </c>
      <c r="J1575" s="6">
        <f>I1575-H1575</f>
        <v>0</v>
      </c>
      <c r="K1575" s="5">
        <f>IF(H1575=0,"",J1575/H1575)</f>
        <v>0</v>
      </c>
      <c r="L1575">
        <f>IF(OR(AND(H1575=0,ABS(J1575)&gt;=0.01),AND(H1575&lt;&gt;0,ABS(K1575)&gt;VarianceThreshold)),"Review","OK")</f>
        <v>0</v>
      </c>
      <c r="M1575" t="s">
        <v>33</v>
      </c>
    </row>
    <row r="1576" spans="1:13">
      <c r="A1576" t="s">
        <v>2</v>
      </c>
      <c r="B1576" t="s">
        <v>410</v>
      </c>
      <c r="C1576" t="s">
        <v>1586</v>
      </c>
      <c r="D1576" t="s">
        <v>541</v>
      </c>
      <c r="E1576" cm="1">
        <f t="array" ref="E1576">_xlfn.XLOOKUP(D1576,SKU_Master!A:A,SKU_Master!B:B,"Not on master")</f>
        <v>0</v>
      </c>
      <c r="F1576" cm="1">
        <f t="array" ref="F1576">_xlfn.XLOOKUP(C1576,Account_Master!A:A,Account_Master!B:B,"Not on master")</f>
        <v>0</v>
      </c>
      <c r="G1576" cm="1">
        <f t="array" ref="G1576">_xlfn.XLOOKUP(C1576,Account_Master!A:A,Account_Master!C:C,"Not on master")</f>
        <v>0</v>
      </c>
      <c r="H1576" s="6">
        <v>163</v>
      </c>
      <c r="I1576" s="6">
        <v>163</v>
      </c>
      <c r="J1576" s="6">
        <f>I1576-H1576</f>
        <v>0</v>
      </c>
      <c r="K1576" s="5">
        <f>IF(H1576=0,"",J1576/H1576)</f>
        <v>0</v>
      </c>
      <c r="L1576">
        <f>IF(OR(AND(H1576=0,ABS(J1576)&gt;=0.01),AND(H1576&lt;&gt;0,ABS(K1576)&gt;VarianceThreshold)),"Review","OK")</f>
        <v>0</v>
      </c>
      <c r="M1576" t="s">
        <v>33</v>
      </c>
    </row>
    <row r="1577" spans="1:13">
      <c r="A1577" t="s">
        <v>2</v>
      </c>
      <c r="B1577" t="s">
        <v>410</v>
      </c>
      <c r="C1577" t="s">
        <v>1597</v>
      </c>
      <c r="D1577" t="s">
        <v>1774</v>
      </c>
      <c r="E1577" cm="1">
        <f t="array" ref="E1577">_xlfn.XLOOKUP(D1577,SKU_Master!A:A,SKU_Master!B:B,"Not on master")</f>
        <v>0</v>
      </c>
      <c r="F1577" cm="1">
        <f t="array" ref="F1577">_xlfn.XLOOKUP(C1577,Account_Master!A:A,Account_Master!B:B,"Not on master")</f>
        <v>0</v>
      </c>
      <c r="G1577" cm="1">
        <f t="array" ref="G1577">_xlfn.XLOOKUP(C1577,Account_Master!A:A,Account_Master!C:C,"Not on master")</f>
        <v>0</v>
      </c>
      <c r="H1577" s="6">
        <v>0.75</v>
      </c>
      <c r="I1577" s="6">
        <v>0.75</v>
      </c>
      <c r="J1577" s="6">
        <f>I1577-H1577</f>
        <v>0</v>
      </c>
      <c r="K1577" s="5">
        <f>IF(H1577=0,"",J1577/H1577)</f>
        <v>0</v>
      </c>
      <c r="L1577">
        <f>IF(OR(AND(H1577=0,ABS(J1577)&gt;=0.01),AND(H1577&lt;&gt;0,ABS(K1577)&gt;VarianceThreshold)),"Review","OK")</f>
        <v>0</v>
      </c>
      <c r="M1577" t="s">
        <v>33</v>
      </c>
    </row>
    <row r="1578" spans="1:13">
      <c r="A1578" t="s">
        <v>2</v>
      </c>
      <c r="B1578" t="s">
        <v>410</v>
      </c>
      <c r="C1578" t="s">
        <v>1775</v>
      </c>
      <c r="D1578" t="s">
        <v>820</v>
      </c>
      <c r="E1578" cm="1">
        <f t="array" ref="E1578">_xlfn.XLOOKUP(D1578,SKU_Master!A:A,SKU_Master!B:B,"Not on master")</f>
        <v>0</v>
      </c>
      <c r="F1578" cm="1">
        <f t="array" ref="F1578">_xlfn.XLOOKUP(C1578,Account_Master!A:A,Account_Master!B:B,"Not on master")</f>
        <v>0</v>
      </c>
      <c r="G1578" cm="1">
        <f t="array" ref="G1578">_xlfn.XLOOKUP(C1578,Account_Master!A:A,Account_Master!C:C,"Not on master")</f>
        <v>0</v>
      </c>
      <c r="H1578" s="6">
        <v>2.25</v>
      </c>
      <c r="I1578" s="6">
        <v>2.25</v>
      </c>
      <c r="J1578" s="6">
        <f>I1578-H1578</f>
        <v>0</v>
      </c>
      <c r="K1578" s="5">
        <f>IF(H1578=0,"",J1578/H1578)</f>
        <v>0</v>
      </c>
      <c r="L1578">
        <f>IF(OR(AND(H1578=0,ABS(J1578)&gt;=0.01),AND(H1578&lt;&gt;0,ABS(K1578)&gt;VarianceThreshold)),"Review","OK")</f>
        <v>0</v>
      </c>
      <c r="M1578" t="s">
        <v>33</v>
      </c>
    </row>
    <row r="1579" spans="1:13">
      <c r="A1579" t="s">
        <v>2</v>
      </c>
      <c r="B1579" t="s">
        <v>410</v>
      </c>
      <c r="C1579" t="s">
        <v>1703</v>
      </c>
      <c r="D1579" t="s">
        <v>704</v>
      </c>
      <c r="E1579" cm="1">
        <f t="array" ref="E1579">_xlfn.XLOOKUP(D1579,SKU_Master!A:A,SKU_Master!B:B,"Not on master")</f>
        <v>0</v>
      </c>
      <c r="F1579" cm="1">
        <f t="array" ref="F1579">_xlfn.XLOOKUP(C1579,Account_Master!A:A,Account_Master!B:B,"Not on master")</f>
        <v>0</v>
      </c>
      <c r="G1579" cm="1">
        <f t="array" ref="G1579">_xlfn.XLOOKUP(C1579,Account_Master!A:A,Account_Master!C:C,"Not on master")</f>
        <v>0</v>
      </c>
      <c r="H1579" s="6">
        <v>442.75</v>
      </c>
      <c r="I1579" s="6">
        <v>432.25</v>
      </c>
      <c r="J1579" s="6">
        <f>I1579-H1579</f>
        <v>0</v>
      </c>
      <c r="K1579" s="5">
        <f>IF(H1579=0,"",J1579/H1579)</f>
        <v>0</v>
      </c>
      <c r="L1579">
        <f>IF(OR(AND(H1579=0,ABS(J1579)&gt;=0.01),AND(H1579&lt;&gt;0,ABS(K1579)&gt;VarianceThreshold)),"Review","OK")</f>
        <v>0</v>
      </c>
      <c r="M1579" t="s">
        <v>33</v>
      </c>
    </row>
    <row r="1580" spans="1:13">
      <c r="A1580" t="s">
        <v>2</v>
      </c>
      <c r="B1580" t="s">
        <v>410</v>
      </c>
      <c r="C1580" t="s">
        <v>1634</v>
      </c>
      <c r="D1580" t="s">
        <v>1776</v>
      </c>
      <c r="E1580" cm="1">
        <f t="array" ref="E1580">_xlfn.XLOOKUP(D1580,SKU_Master!A:A,SKU_Master!B:B,"Not on master")</f>
        <v>0</v>
      </c>
      <c r="F1580" cm="1">
        <f t="array" ref="F1580">_xlfn.XLOOKUP(C1580,Account_Master!A:A,Account_Master!B:B,"Not on master")</f>
        <v>0</v>
      </c>
      <c r="G1580" cm="1">
        <f t="array" ref="G1580">_xlfn.XLOOKUP(C1580,Account_Master!A:A,Account_Master!C:C,"Not on master")</f>
        <v>0</v>
      </c>
      <c r="H1580" s="6">
        <v>4.5</v>
      </c>
      <c r="I1580" s="6">
        <v>4.5</v>
      </c>
      <c r="J1580" s="6">
        <f>I1580-H1580</f>
        <v>0</v>
      </c>
      <c r="K1580" s="5">
        <f>IF(H1580=0,"",J1580/H1580)</f>
        <v>0</v>
      </c>
      <c r="L1580">
        <f>IF(OR(AND(H1580=0,ABS(J1580)&gt;=0.01),AND(H1580&lt;&gt;0,ABS(K1580)&gt;VarianceThreshold)),"Review","OK")</f>
        <v>0</v>
      </c>
      <c r="M1580" t="s">
        <v>33</v>
      </c>
    </row>
    <row r="1581" spans="1:13">
      <c r="A1581" t="s">
        <v>2</v>
      </c>
      <c r="B1581" t="s">
        <v>410</v>
      </c>
      <c r="C1581" t="s">
        <v>1634</v>
      </c>
      <c r="D1581" t="s">
        <v>1777</v>
      </c>
      <c r="E1581" cm="1">
        <f t="array" ref="E1581">_xlfn.XLOOKUP(D1581,SKU_Master!A:A,SKU_Master!B:B,"Not on master")</f>
        <v>0</v>
      </c>
      <c r="F1581" cm="1">
        <f t="array" ref="F1581">_xlfn.XLOOKUP(C1581,Account_Master!A:A,Account_Master!B:B,"Not on master")</f>
        <v>0</v>
      </c>
      <c r="G1581" cm="1">
        <f t="array" ref="G1581">_xlfn.XLOOKUP(C1581,Account_Master!A:A,Account_Master!C:C,"Not on master")</f>
        <v>0</v>
      </c>
      <c r="H1581" s="6">
        <v>4.5</v>
      </c>
      <c r="I1581" s="6">
        <v>4.5</v>
      </c>
      <c r="J1581" s="6">
        <f>I1581-H1581</f>
        <v>0</v>
      </c>
      <c r="K1581" s="5">
        <f>IF(H1581=0,"",J1581/H1581)</f>
        <v>0</v>
      </c>
      <c r="L1581">
        <f>IF(OR(AND(H1581=0,ABS(J1581)&gt;=0.01),AND(H1581&lt;&gt;0,ABS(K1581)&gt;VarianceThreshold)),"Review","OK")</f>
        <v>0</v>
      </c>
      <c r="M1581" t="s">
        <v>33</v>
      </c>
    </row>
    <row r="1582" spans="1:13">
      <c r="A1582" t="s">
        <v>2</v>
      </c>
      <c r="B1582" t="s">
        <v>410</v>
      </c>
      <c r="C1582" t="s">
        <v>1687</v>
      </c>
      <c r="D1582" t="s">
        <v>833</v>
      </c>
      <c r="E1582" cm="1">
        <f t="array" ref="E1582">_xlfn.XLOOKUP(D1582,SKU_Master!A:A,SKU_Master!B:B,"Not on master")</f>
        <v>0</v>
      </c>
      <c r="F1582" cm="1">
        <f t="array" ref="F1582">_xlfn.XLOOKUP(C1582,Account_Master!A:A,Account_Master!B:B,"Not on master")</f>
        <v>0</v>
      </c>
      <c r="G1582" cm="1">
        <f t="array" ref="G1582">_xlfn.XLOOKUP(C1582,Account_Master!A:A,Account_Master!C:C,"Not on master")</f>
        <v>0</v>
      </c>
      <c r="H1582" s="6">
        <v>0.75</v>
      </c>
      <c r="I1582" s="6">
        <v>0.75</v>
      </c>
      <c r="J1582" s="6">
        <f>I1582-H1582</f>
        <v>0</v>
      </c>
      <c r="K1582" s="5">
        <f>IF(H1582=0,"",J1582/H1582)</f>
        <v>0</v>
      </c>
      <c r="L1582">
        <f>IF(OR(AND(H1582=0,ABS(J1582)&gt;=0.01),AND(H1582&lt;&gt;0,ABS(K1582)&gt;VarianceThreshold)),"Review","OK")</f>
        <v>0</v>
      </c>
      <c r="M1582" t="s">
        <v>33</v>
      </c>
    </row>
    <row r="1583" spans="1:13">
      <c r="A1583" t="s">
        <v>2</v>
      </c>
      <c r="B1583" t="s">
        <v>410</v>
      </c>
      <c r="C1583" t="s">
        <v>1778</v>
      </c>
      <c r="D1583" t="s">
        <v>1779</v>
      </c>
      <c r="E1583" cm="1">
        <f t="array" ref="E1583">_xlfn.XLOOKUP(D1583,SKU_Master!A:A,SKU_Master!B:B,"Not on master")</f>
        <v>0</v>
      </c>
      <c r="F1583" cm="1">
        <f t="array" ref="F1583">_xlfn.XLOOKUP(C1583,Account_Master!A:A,Account_Master!B:B,"Not on master")</f>
        <v>0</v>
      </c>
      <c r="G1583" cm="1">
        <f t="array" ref="G1583">_xlfn.XLOOKUP(C1583,Account_Master!A:A,Account_Master!C:C,"Not on master")</f>
        <v>0</v>
      </c>
      <c r="H1583" s="6">
        <v>9</v>
      </c>
      <c r="I1583" s="6">
        <v>9</v>
      </c>
      <c r="J1583" s="6">
        <f>I1583-H1583</f>
        <v>0</v>
      </c>
      <c r="K1583" s="5">
        <f>IF(H1583=0,"",J1583/H1583)</f>
        <v>0</v>
      </c>
      <c r="L1583">
        <f>IF(OR(AND(H1583=0,ABS(J1583)&gt;=0.01),AND(H1583&lt;&gt;0,ABS(K1583)&gt;VarianceThreshold)),"Review","OK")</f>
        <v>0</v>
      </c>
      <c r="M1583" t="s">
        <v>33</v>
      </c>
    </row>
    <row r="1584" spans="1:13">
      <c r="A1584" t="s">
        <v>2</v>
      </c>
      <c r="B1584" t="s">
        <v>410</v>
      </c>
      <c r="C1584" t="s">
        <v>1780</v>
      </c>
      <c r="D1584" t="s">
        <v>1250</v>
      </c>
      <c r="E1584" cm="1">
        <f t="array" ref="E1584">_xlfn.XLOOKUP(D1584,SKU_Master!A:A,SKU_Master!B:B,"Not on master")</f>
        <v>0</v>
      </c>
      <c r="F1584" cm="1">
        <f t="array" ref="F1584">_xlfn.XLOOKUP(C1584,Account_Master!A:A,Account_Master!B:B,"Not on master")</f>
        <v>0</v>
      </c>
      <c r="G1584" cm="1">
        <f t="array" ref="G1584">_xlfn.XLOOKUP(C1584,Account_Master!A:A,Account_Master!C:C,"Not on master")</f>
        <v>0</v>
      </c>
      <c r="H1584" s="6">
        <v>96.25</v>
      </c>
      <c r="I1584" s="6">
        <v>29.75</v>
      </c>
      <c r="J1584" s="6">
        <f>I1584-H1584</f>
        <v>0</v>
      </c>
      <c r="K1584" s="5">
        <f>IF(H1584=0,"",J1584/H1584)</f>
        <v>0</v>
      </c>
      <c r="L1584">
        <f>IF(OR(AND(H1584=0,ABS(J1584)&gt;=0.01),AND(H1584&lt;&gt;0,ABS(K1584)&gt;VarianceThreshold)),"Review","OK")</f>
        <v>0</v>
      </c>
      <c r="M1584" t="s">
        <v>1611</v>
      </c>
    </row>
    <row r="1585" spans="1:13">
      <c r="A1585" t="s">
        <v>2</v>
      </c>
      <c r="B1585" t="s">
        <v>410</v>
      </c>
      <c r="C1585" t="s">
        <v>1781</v>
      </c>
      <c r="D1585" t="s">
        <v>943</v>
      </c>
      <c r="E1585" cm="1">
        <f t="array" ref="E1585">_xlfn.XLOOKUP(D1585,SKU_Master!A:A,SKU_Master!B:B,"Not on master")</f>
        <v>0</v>
      </c>
      <c r="F1585" cm="1">
        <f t="array" ref="F1585">_xlfn.XLOOKUP(C1585,Account_Master!A:A,Account_Master!B:B,"Not on master")</f>
        <v>0</v>
      </c>
      <c r="G1585" cm="1">
        <f t="array" ref="G1585">_xlfn.XLOOKUP(C1585,Account_Master!A:A,Account_Master!C:C,"Not on master")</f>
        <v>0</v>
      </c>
      <c r="H1585" s="6">
        <v>1.5</v>
      </c>
      <c r="I1585" s="6">
        <v>1.5</v>
      </c>
      <c r="J1585" s="6">
        <f>I1585-H1585</f>
        <v>0</v>
      </c>
      <c r="K1585" s="5">
        <f>IF(H1585=0,"",J1585/H1585)</f>
        <v>0</v>
      </c>
      <c r="L1585">
        <f>IF(OR(AND(H1585=0,ABS(J1585)&gt;=0.01),AND(H1585&lt;&gt;0,ABS(K1585)&gt;VarianceThreshold)),"Review","OK")</f>
        <v>0</v>
      </c>
      <c r="M1585" t="s">
        <v>33</v>
      </c>
    </row>
    <row r="1586" spans="1:13">
      <c r="A1586" t="s">
        <v>2</v>
      </c>
      <c r="B1586" t="s">
        <v>416</v>
      </c>
      <c r="C1586" t="s">
        <v>1576</v>
      </c>
      <c r="D1586" t="s">
        <v>651</v>
      </c>
      <c r="E1586" cm="1">
        <f t="array" ref="E1586">_xlfn.XLOOKUP(D1586,SKU_Master!A:A,SKU_Master!B:B,"Not on master")</f>
        <v>0</v>
      </c>
      <c r="F1586" cm="1">
        <f t="array" ref="F1586">_xlfn.XLOOKUP(C1586,Account_Master!A:A,Account_Master!B:B,"Not on master")</f>
        <v>0</v>
      </c>
      <c r="G1586" cm="1">
        <f t="array" ref="G1586">_xlfn.XLOOKUP(C1586,Account_Master!A:A,Account_Master!C:C,"Not on master")</f>
        <v>0</v>
      </c>
      <c r="H1586" s="6">
        <v>135.75</v>
      </c>
      <c r="I1586" s="6">
        <v>135.75</v>
      </c>
      <c r="J1586" s="6">
        <f>I1586-H1586</f>
        <v>0</v>
      </c>
      <c r="K1586" s="5">
        <f>IF(H1586=0,"",J1586/H1586)</f>
        <v>0</v>
      </c>
      <c r="L1586">
        <f>IF(OR(AND(H1586=0,ABS(J1586)&gt;=0.01),AND(H1586&lt;&gt;0,ABS(K1586)&gt;VarianceThreshold)),"Review","OK")</f>
        <v>0</v>
      </c>
      <c r="M1586" t="s">
        <v>33</v>
      </c>
    </row>
    <row r="1587" spans="1:13">
      <c r="A1587" t="s">
        <v>2</v>
      </c>
      <c r="B1587" t="s">
        <v>416</v>
      </c>
      <c r="C1587" t="s">
        <v>1782</v>
      </c>
      <c r="D1587" t="s">
        <v>1783</v>
      </c>
      <c r="E1587" cm="1">
        <f t="array" ref="E1587">_xlfn.XLOOKUP(D1587,SKU_Master!A:A,SKU_Master!B:B,"Not on master")</f>
        <v>0</v>
      </c>
      <c r="F1587" cm="1">
        <f t="array" ref="F1587">_xlfn.XLOOKUP(C1587,Account_Master!A:A,Account_Master!B:B,"Not on master")</f>
        <v>0</v>
      </c>
      <c r="G1587" cm="1">
        <f t="array" ref="G1587">_xlfn.XLOOKUP(C1587,Account_Master!A:A,Account_Master!C:C,"Not on master")</f>
        <v>0</v>
      </c>
      <c r="H1587" s="6">
        <v>10.5</v>
      </c>
      <c r="I1587" s="6">
        <v>10.5</v>
      </c>
      <c r="J1587" s="6">
        <f>I1587-H1587</f>
        <v>0</v>
      </c>
      <c r="K1587" s="5">
        <f>IF(H1587=0,"",J1587/H1587)</f>
        <v>0</v>
      </c>
      <c r="L1587">
        <f>IF(OR(AND(H1587=0,ABS(J1587)&gt;=0.01),AND(H1587&lt;&gt;0,ABS(K1587)&gt;VarianceThreshold)),"Review","OK")</f>
        <v>0</v>
      </c>
      <c r="M1587" t="s">
        <v>33</v>
      </c>
    </row>
    <row r="1588" spans="1:13">
      <c r="A1588" t="s">
        <v>2</v>
      </c>
      <c r="B1588" t="s">
        <v>416</v>
      </c>
      <c r="C1588" t="s">
        <v>1610</v>
      </c>
      <c r="D1588" t="s">
        <v>250</v>
      </c>
      <c r="E1588" cm="1">
        <f t="array" ref="E1588">_xlfn.XLOOKUP(D1588,SKU_Master!A:A,SKU_Master!B:B,"Not on master")</f>
        <v>0</v>
      </c>
      <c r="F1588" cm="1">
        <f t="array" ref="F1588">_xlfn.XLOOKUP(C1588,Account_Master!A:A,Account_Master!B:B,"Not on master")</f>
        <v>0</v>
      </c>
      <c r="G1588" cm="1">
        <f t="array" ref="G1588">_xlfn.XLOOKUP(C1588,Account_Master!A:A,Account_Master!C:C,"Not on master")</f>
        <v>0</v>
      </c>
      <c r="H1588" s="6">
        <v>4.5</v>
      </c>
      <c r="I1588" s="6">
        <v>4.5</v>
      </c>
      <c r="J1588" s="6">
        <f>I1588-H1588</f>
        <v>0</v>
      </c>
      <c r="K1588" s="5">
        <f>IF(H1588=0,"",J1588/H1588)</f>
        <v>0</v>
      </c>
      <c r="L1588">
        <f>IF(OR(AND(H1588=0,ABS(J1588)&gt;=0.01),AND(H1588&lt;&gt;0,ABS(K1588)&gt;VarianceThreshold)),"Review","OK")</f>
        <v>0</v>
      </c>
      <c r="M1588" t="s">
        <v>33</v>
      </c>
    </row>
    <row r="1589" spans="1:13">
      <c r="A1589" t="s">
        <v>2</v>
      </c>
      <c r="B1589" t="s">
        <v>416</v>
      </c>
      <c r="C1589" t="s">
        <v>1740</v>
      </c>
      <c r="D1589" t="s">
        <v>844</v>
      </c>
      <c r="E1589" cm="1">
        <f t="array" ref="E1589">_xlfn.XLOOKUP(D1589,SKU_Master!A:A,SKU_Master!B:B,"Not on master")</f>
        <v>0</v>
      </c>
      <c r="F1589" cm="1">
        <f t="array" ref="F1589">_xlfn.XLOOKUP(C1589,Account_Master!A:A,Account_Master!B:B,"Not on master")</f>
        <v>0</v>
      </c>
      <c r="G1589" cm="1">
        <f t="array" ref="G1589">_xlfn.XLOOKUP(C1589,Account_Master!A:A,Account_Master!C:C,"Not on master")</f>
        <v>0</v>
      </c>
      <c r="H1589" s="6">
        <v>21.6</v>
      </c>
      <c r="I1589" s="6">
        <v>21.6</v>
      </c>
      <c r="J1589" s="6">
        <f>I1589-H1589</f>
        <v>0</v>
      </c>
      <c r="K1589" s="5">
        <f>IF(H1589=0,"",J1589/H1589)</f>
        <v>0</v>
      </c>
      <c r="L1589">
        <f>IF(OR(AND(H1589=0,ABS(J1589)&gt;=0.01),AND(H1589&lt;&gt;0,ABS(K1589)&gt;VarianceThreshold)),"Review","OK")</f>
        <v>0</v>
      </c>
      <c r="M1589" t="s">
        <v>33</v>
      </c>
    </row>
    <row r="1590" spans="1:13">
      <c r="A1590" t="s">
        <v>2</v>
      </c>
      <c r="B1590" t="s">
        <v>428</v>
      </c>
      <c r="C1590" t="s">
        <v>1605</v>
      </c>
      <c r="D1590" t="s">
        <v>1784</v>
      </c>
      <c r="E1590" cm="1">
        <f t="array" ref="E1590">_xlfn.XLOOKUP(D1590,SKU_Master!A:A,SKU_Master!B:B,"Not on master")</f>
        <v>0</v>
      </c>
      <c r="F1590" cm="1">
        <f t="array" ref="F1590">_xlfn.XLOOKUP(C1590,Account_Master!A:A,Account_Master!B:B,"Not on master")</f>
        <v>0</v>
      </c>
      <c r="G1590" cm="1">
        <f t="array" ref="G1590">_xlfn.XLOOKUP(C1590,Account_Master!A:A,Account_Master!C:C,"Not on master")</f>
        <v>0</v>
      </c>
      <c r="H1590" s="6">
        <v>0.75</v>
      </c>
      <c r="I1590" s="6">
        <v>0.75</v>
      </c>
      <c r="J1590" s="6">
        <f>I1590-H1590</f>
        <v>0</v>
      </c>
      <c r="K1590" s="5">
        <f>IF(H1590=0,"",J1590/H1590)</f>
        <v>0</v>
      </c>
      <c r="L1590">
        <f>IF(OR(AND(H1590=0,ABS(J1590)&gt;=0.01),AND(H1590&lt;&gt;0,ABS(K1590)&gt;VarianceThreshold)),"Review","OK")</f>
        <v>0</v>
      </c>
      <c r="M1590" t="s">
        <v>33</v>
      </c>
    </row>
    <row r="1591" spans="1:13">
      <c r="A1591" t="s">
        <v>2</v>
      </c>
      <c r="B1591" t="s">
        <v>428</v>
      </c>
      <c r="C1591" t="s">
        <v>1642</v>
      </c>
      <c r="D1591" t="s">
        <v>1785</v>
      </c>
      <c r="E1591" cm="1">
        <f t="array" ref="E1591">_xlfn.XLOOKUP(D1591,SKU_Master!A:A,SKU_Master!B:B,"Not on master")</f>
        <v>0</v>
      </c>
      <c r="F1591" cm="1">
        <f t="array" ref="F1591">_xlfn.XLOOKUP(C1591,Account_Master!A:A,Account_Master!B:B,"Not on master")</f>
        <v>0</v>
      </c>
      <c r="G1591" cm="1">
        <f t="array" ref="G1591">_xlfn.XLOOKUP(C1591,Account_Master!A:A,Account_Master!C:C,"Not on master")</f>
        <v>0</v>
      </c>
      <c r="H1591" s="6">
        <v>31.5</v>
      </c>
      <c r="I1591" s="6">
        <v>31.5</v>
      </c>
      <c r="J1591" s="6">
        <f>I1591-H1591</f>
        <v>0</v>
      </c>
      <c r="K1591" s="5">
        <f>IF(H1591=0,"",J1591/H1591)</f>
        <v>0</v>
      </c>
      <c r="L1591">
        <f>IF(OR(AND(H1591=0,ABS(J1591)&gt;=0.01),AND(H1591&lt;&gt;0,ABS(K1591)&gt;VarianceThreshold)),"Review","OK")</f>
        <v>0</v>
      </c>
      <c r="M1591" t="s">
        <v>33</v>
      </c>
    </row>
    <row r="1592" spans="1:13">
      <c r="A1592" t="s">
        <v>2</v>
      </c>
      <c r="B1592" t="s">
        <v>428</v>
      </c>
      <c r="C1592" t="s">
        <v>1786</v>
      </c>
      <c r="D1592" t="s">
        <v>1787</v>
      </c>
      <c r="E1592" cm="1">
        <f t="array" ref="E1592">_xlfn.XLOOKUP(D1592,SKU_Master!A:A,SKU_Master!B:B,"Not on master")</f>
        <v>0</v>
      </c>
      <c r="F1592" cm="1">
        <f t="array" ref="F1592">_xlfn.XLOOKUP(C1592,Account_Master!A:A,Account_Master!B:B,"Not on master")</f>
        <v>0</v>
      </c>
      <c r="G1592" cm="1">
        <f t="array" ref="G1592">_xlfn.XLOOKUP(C1592,Account_Master!A:A,Account_Master!C:C,"Not on master")</f>
        <v>0</v>
      </c>
      <c r="H1592" s="6">
        <v>11.25</v>
      </c>
      <c r="I1592" s="6">
        <v>2.25</v>
      </c>
      <c r="J1592" s="6">
        <f>I1592-H1592</f>
        <v>0</v>
      </c>
      <c r="K1592" s="5">
        <f>IF(H1592=0,"",J1592/H1592)</f>
        <v>0</v>
      </c>
      <c r="L1592">
        <f>IF(OR(AND(H1592=0,ABS(J1592)&gt;=0.01),AND(H1592&lt;&gt;0,ABS(K1592)&gt;VarianceThreshold)),"Review","OK")</f>
        <v>0</v>
      </c>
      <c r="M1592" t="s">
        <v>1611</v>
      </c>
    </row>
    <row r="1593" spans="1:13">
      <c r="A1593" t="s">
        <v>2</v>
      </c>
      <c r="B1593" t="s">
        <v>428</v>
      </c>
      <c r="C1593" t="s">
        <v>1605</v>
      </c>
      <c r="D1593" t="s">
        <v>1788</v>
      </c>
      <c r="E1593" cm="1">
        <f t="array" ref="E1593">_xlfn.XLOOKUP(D1593,SKU_Master!A:A,SKU_Master!B:B,"Not on master")</f>
        <v>0</v>
      </c>
      <c r="F1593" cm="1">
        <f t="array" ref="F1593">_xlfn.XLOOKUP(C1593,Account_Master!A:A,Account_Master!B:B,"Not on master")</f>
        <v>0</v>
      </c>
      <c r="G1593" cm="1">
        <f t="array" ref="G1593">_xlfn.XLOOKUP(C1593,Account_Master!A:A,Account_Master!C:C,"Not on master")</f>
        <v>0</v>
      </c>
      <c r="H1593" s="6">
        <v>21.75</v>
      </c>
      <c r="I1593" s="6">
        <v>21.75</v>
      </c>
      <c r="J1593" s="6">
        <f>I1593-H1593</f>
        <v>0</v>
      </c>
      <c r="K1593" s="5">
        <f>IF(H1593=0,"",J1593/H1593)</f>
        <v>0</v>
      </c>
      <c r="L1593">
        <f>IF(OR(AND(H1593=0,ABS(J1593)&gt;=0.01),AND(H1593&lt;&gt;0,ABS(K1593)&gt;VarianceThreshold)),"Review","OK")</f>
        <v>0</v>
      </c>
      <c r="M1593" t="s">
        <v>33</v>
      </c>
    </row>
    <row r="1594" spans="1:13">
      <c r="A1594" t="s">
        <v>2</v>
      </c>
      <c r="B1594" t="s">
        <v>436</v>
      </c>
      <c r="C1594" t="s">
        <v>1716</v>
      </c>
      <c r="D1594" t="s">
        <v>1789</v>
      </c>
      <c r="E1594" cm="1">
        <f t="array" ref="E1594">_xlfn.XLOOKUP(D1594,SKU_Master!A:A,SKU_Master!B:B,"Not on master")</f>
        <v>0</v>
      </c>
      <c r="F1594" cm="1">
        <f t="array" ref="F1594">_xlfn.XLOOKUP(C1594,Account_Master!A:A,Account_Master!B:B,"Not on master")</f>
        <v>0</v>
      </c>
      <c r="G1594" cm="1">
        <f t="array" ref="G1594">_xlfn.XLOOKUP(C1594,Account_Master!A:A,Account_Master!C:C,"Not on master")</f>
        <v>0</v>
      </c>
      <c r="H1594" s="6">
        <v>19.2</v>
      </c>
      <c r="I1594" s="6">
        <v>19.2</v>
      </c>
      <c r="J1594" s="6">
        <f>I1594-H1594</f>
        <v>0</v>
      </c>
      <c r="K1594" s="5">
        <f>IF(H1594=0,"",J1594/H1594)</f>
        <v>0</v>
      </c>
      <c r="L1594">
        <f>IF(OR(AND(H1594=0,ABS(J1594)&gt;=0.01),AND(H1594&lt;&gt;0,ABS(K1594)&gt;VarianceThreshold)),"Review","OK")</f>
        <v>0</v>
      </c>
      <c r="M1594" t="s">
        <v>33</v>
      </c>
    </row>
    <row r="1595" spans="1:13">
      <c r="A1595" t="s">
        <v>2</v>
      </c>
      <c r="B1595" t="s">
        <v>447</v>
      </c>
      <c r="C1595" t="s">
        <v>1612</v>
      </c>
      <c r="D1595" t="s">
        <v>1419</v>
      </c>
      <c r="E1595" cm="1">
        <f t="array" ref="E1595">_xlfn.XLOOKUP(D1595,SKU_Master!A:A,SKU_Master!B:B,"Not on master")</f>
        <v>0</v>
      </c>
      <c r="F1595" cm="1">
        <f t="array" ref="F1595">_xlfn.XLOOKUP(C1595,Account_Master!A:A,Account_Master!B:B,"Not on master")</f>
        <v>0</v>
      </c>
      <c r="G1595" cm="1">
        <f t="array" ref="G1595">_xlfn.XLOOKUP(C1595,Account_Master!A:A,Account_Master!C:C,"Not on master")</f>
        <v>0</v>
      </c>
      <c r="H1595" s="6">
        <v>1.5</v>
      </c>
      <c r="I1595" s="6">
        <v>1.5</v>
      </c>
      <c r="J1595" s="6">
        <f>I1595-H1595</f>
        <v>0</v>
      </c>
      <c r="K1595" s="5">
        <f>IF(H1595=0,"",J1595/H1595)</f>
        <v>0</v>
      </c>
      <c r="L1595">
        <f>IF(OR(AND(H1595=0,ABS(J1595)&gt;=0.01),AND(H1595&lt;&gt;0,ABS(K1595)&gt;VarianceThreshold)),"Review","OK")</f>
        <v>0</v>
      </c>
      <c r="M1595" t="s">
        <v>33</v>
      </c>
    </row>
    <row r="1596" spans="1:13">
      <c r="A1596" t="s">
        <v>2</v>
      </c>
      <c r="B1596" t="s">
        <v>447</v>
      </c>
      <c r="C1596" t="s">
        <v>1602</v>
      </c>
      <c r="D1596" t="s">
        <v>394</v>
      </c>
      <c r="E1596" cm="1">
        <f t="array" ref="E1596">_xlfn.XLOOKUP(D1596,SKU_Master!A:A,SKU_Master!B:B,"Not on master")</f>
        <v>0</v>
      </c>
      <c r="F1596" cm="1">
        <f t="array" ref="F1596">_xlfn.XLOOKUP(C1596,Account_Master!A:A,Account_Master!B:B,"Not on master")</f>
        <v>0</v>
      </c>
      <c r="G1596" cm="1">
        <f t="array" ref="G1596">_xlfn.XLOOKUP(C1596,Account_Master!A:A,Account_Master!C:C,"Not on master")</f>
        <v>0</v>
      </c>
      <c r="H1596" s="6">
        <v>173.25</v>
      </c>
      <c r="I1596" s="6">
        <v>152.25</v>
      </c>
      <c r="J1596" s="6">
        <f>I1596-H1596</f>
        <v>0</v>
      </c>
      <c r="K1596" s="5">
        <f>IF(H1596=0,"",J1596/H1596)</f>
        <v>0</v>
      </c>
      <c r="L1596">
        <f>IF(OR(AND(H1596=0,ABS(J1596)&gt;=0.01),AND(H1596&lt;&gt;0,ABS(K1596)&gt;VarianceThreshold)),"Review","OK")</f>
        <v>0</v>
      </c>
      <c r="M1596" t="s">
        <v>1611</v>
      </c>
    </row>
    <row r="1597" spans="1:13">
      <c r="A1597" t="s">
        <v>2</v>
      </c>
      <c r="B1597" t="s">
        <v>447</v>
      </c>
      <c r="C1597" t="s">
        <v>1655</v>
      </c>
      <c r="D1597" t="s">
        <v>1435</v>
      </c>
      <c r="E1597" cm="1">
        <f t="array" ref="E1597">_xlfn.XLOOKUP(D1597,SKU_Master!A:A,SKU_Master!B:B,"Not on master")</f>
        <v>0</v>
      </c>
      <c r="F1597" cm="1">
        <f t="array" ref="F1597">_xlfn.XLOOKUP(C1597,Account_Master!A:A,Account_Master!B:B,"Not on master")</f>
        <v>0</v>
      </c>
      <c r="G1597" cm="1">
        <f t="array" ref="G1597">_xlfn.XLOOKUP(C1597,Account_Master!A:A,Account_Master!C:C,"Not on master")</f>
        <v>0</v>
      </c>
      <c r="H1597" s="6">
        <v>9</v>
      </c>
      <c r="I1597" s="6">
        <v>9</v>
      </c>
      <c r="J1597" s="6">
        <f>I1597-H1597</f>
        <v>0</v>
      </c>
      <c r="K1597" s="5">
        <f>IF(H1597=0,"",J1597/H1597)</f>
        <v>0</v>
      </c>
      <c r="L1597">
        <f>IF(OR(AND(H1597=0,ABS(J1597)&gt;=0.01),AND(H1597&lt;&gt;0,ABS(K1597)&gt;VarianceThreshold)),"Review","OK")</f>
        <v>0</v>
      </c>
      <c r="M1597" t="s">
        <v>33</v>
      </c>
    </row>
    <row r="1598" spans="1:13">
      <c r="A1598" t="s">
        <v>2</v>
      </c>
      <c r="B1598" t="s">
        <v>1278</v>
      </c>
      <c r="C1598" t="s">
        <v>1642</v>
      </c>
      <c r="D1598" t="s">
        <v>735</v>
      </c>
      <c r="E1598" cm="1">
        <f t="array" ref="E1598">_xlfn.XLOOKUP(D1598,SKU_Master!A:A,SKU_Master!B:B,"Not on master")</f>
        <v>0</v>
      </c>
      <c r="F1598" cm="1">
        <f t="array" ref="F1598">_xlfn.XLOOKUP(C1598,Account_Master!A:A,Account_Master!B:B,"Not on master")</f>
        <v>0</v>
      </c>
      <c r="G1598" cm="1">
        <f t="array" ref="G1598">_xlfn.XLOOKUP(C1598,Account_Master!A:A,Account_Master!C:C,"Not on master")</f>
        <v>0</v>
      </c>
      <c r="H1598" s="6">
        <v>52.5</v>
      </c>
      <c r="I1598" s="6">
        <v>52.5</v>
      </c>
      <c r="J1598" s="6">
        <f>I1598-H1598</f>
        <v>0</v>
      </c>
      <c r="K1598" s="5">
        <f>IF(H1598=0,"",J1598/H1598)</f>
        <v>0</v>
      </c>
      <c r="L1598">
        <f>IF(OR(AND(H1598=0,ABS(J1598)&gt;=0.01),AND(H1598&lt;&gt;0,ABS(K1598)&gt;VarianceThreshold)),"Review","OK")</f>
        <v>0</v>
      </c>
      <c r="M1598" t="s">
        <v>33</v>
      </c>
    </row>
    <row r="1599" spans="1:13">
      <c r="A1599" t="s">
        <v>2</v>
      </c>
      <c r="B1599" t="s">
        <v>1278</v>
      </c>
      <c r="C1599" t="s">
        <v>1767</v>
      </c>
      <c r="D1599" t="s">
        <v>1790</v>
      </c>
      <c r="E1599" cm="1">
        <f t="array" ref="E1599">_xlfn.XLOOKUP(D1599,SKU_Master!A:A,SKU_Master!B:B,"Not on master")</f>
        <v>0</v>
      </c>
      <c r="F1599" cm="1">
        <f t="array" ref="F1599">_xlfn.XLOOKUP(C1599,Account_Master!A:A,Account_Master!B:B,"Not on master")</f>
        <v>0</v>
      </c>
      <c r="G1599" cm="1">
        <f t="array" ref="G1599">_xlfn.XLOOKUP(C1599,Account_Master!A:A,Account_Master!C:C,"Not on master")</f>
        <v>0</v>
      </c>
      <c r="H1599" s="6">
        <v>22.5</v>
      </c>
      <c r="I1599" s="6">
        <v>21</v>
      </c>
      <c r="J1599" s="6">
        <f>I1599-H1599</f>
        <v>0</v>
      </c>
      <c r="K1599" s="5">
        <f>IF(H1599=0,"",J1599/H1599)</f>
        <v>0</v>
      </c>
      <c r="L1599">
        <f>IF(OR(AND(H1599=0,ABS(J1599)&gt;=0.01),AND(H1599&lt;&gt;0,ABS(K1599)&gt;VarianceThreshold)),"Review","OK")</f>
        <v>0</v>
      </c>
      <c r="M1599" t="s">
        <v>1611</v>
      </c>
    </row>
    <row r="1600" spans="1:13">
      <c r="A1600" t="s">
        <v>2</v>
      </c>
      <c r="B1600" t="s">
        <v>1278</v>
      </c>
      <c r="C1600" t="s">
        <v>1359</v>
      </c>
      <c r="D1600" t="s">
        <v>1791</v>
      </c>
      <c r="E1600" cm="1">
        <f t="array" ref="E1600">_xlfn.XLOOKUP(D1600,SKU_Master!A:A,SKU_Master!B:B,"Not on master")</f>
        <v>0</v>
      </c>
      <c r="F1600" cm="1">
        <f t="array" ref="F1600">_xlfn.XLOOKUP(C1600,Account_Master!A:A,Account_Master!B:B,"Not on master")</f>
        <v>0</v>
      </c>
      <c r="G1600" cm="1">
        <f t="array" ref="G1600">_xlfn.XLOOKUP(C1600,Account_Master!A:A,Account_Master!C:C,"Not on master")</f>
        <v>0</v>
      </c>
      <c r="H1600" s="6">
        <v>0.75</v>
      </c>
      <c r="I1600" s="6">
        <v>0.75</v>
      </c>
      <c r="J1600" s="6">
        <f>I1600-H1600</f>
        <v>0</v>
      </c>
      <c r="K1600" s="5">
        <f>IF(H1600=0,"",J1600/H1600)</f>
        <v>0</v>
      </c>
      <c r="L1600">
        <f>IF(OR(AND(H1600=0,ABS(J1600)&gt;=0.01),AND(H1600&lt;&gt;0,ABS(K1600)&gt;VarianceThreshold)),"Review","OK")</f>
        <v>0</v>
      </c>
      <c r="M1600" t="s">
        <v>33</v>
      </c>
    </row>
    <row r="1601" spans="1:13">
      <c r="A1601" t="s">
        <v>2</v>
      </c>
      <c r="B1601" t="s">
        <v>1278</v>
      </c>
      <c r="C1601" t="s">
        <v>1775</v>
      </c>
      <c r="D1601" t="s">
        <v>1792</v>
      </c>
      <c r="E1601" cm="1">
        <f t="array" ref="E1601">_xlfn.XLOOKUP(D1601,SKU_Master!A:A,SKU_Master!B:B,"Not on master")</f>
        <v>0</v>
      </c>
      <c r="F1601" cm="1">
        <f t="array" ref="F1601">_xlfn.XLOOKUP(C1601,Account_Master!A:A,Account_Master!B:B,"Not on master")</f>
        <v>0</v>
      </c>
      <c r="G1601" cm="1">
        <f t="array" ref="G1601">_xlfn.XLOOKUP(C1601,Account_Master!A:A,Account_Master!C:C,"Not on master")</f>
        <v>0</v>
      </c>
      <c r="H1601" s="6">
        <v>4.8</v>
      </c>
      <c r="I1601" s="6">
        <v>4.8</v>
      </c>
      <c r="J1601" s="6">
        <f>I1601-H1601</f>
        <v>0</v>
      </c>
      <c r="K1601" s="5">
        <f>IF(H1601=0,"",J1601/H1601)</f>
        <v>0</v>
      </c>
      <c r="L1601">
        <f>IF(OR(AND(H1601=0,ABS(J1601)&gt;=0.01),AND(H1601&lt;&gt;0,ABS(K1601)&gt;VarianceThreshold)),"Review","OK")</f>
        <v>0</v>
      </c>
      <c r="M1601" t="s">
        <v>33</v>
      </c>
    </row>
    <row r="1602" spans="1:13">
      <c r="A1602" t="s">
        <v>2</v>
      </c>
      <c r="B1602" t="s">
        <v>1278</v>
      </c>
      <c r="C1602" t="s">
        <v>1602</v>
      </c>
      <c r="D1602" t="s">
        <v>1793</v>
      </c>
      <c r="E1602" cm="1">
        <f t="array" ref="E1602">_xlfn.XLOOKUP(D1602,SKU_Master!A:A,SKU_Master!B:B,"Not on master")</f>
        <v>0</v>
      </c>
      <c r="F1602" cm="1">
        <f t="array" ref="F1602">_xlfn.XLOOKUP(C1602,Account_Master!A:A,Account_Master!B:B,"Not on master")</f>
        <v>0</v>
      </c>
      <c r="G1602" cm="1">
        <f t="array" ref="G1602">_xlfn.XLOOKUP(C1602,Account_Master!A:A,Account_Master!C:C,"Not on master")</f>
        <v>0</v>
      </c>
      <c r="H1602" s="6">
        <v>49</v>
      </c>
      <c r="I1602" s="6">
        <v>38.5</v>
      </c>
      <c r="J1602" s="6">
        <f>I1602-H1602</f>
        <v>0</v>
      </c>
      <c r="K1602" s="5">
        <f>IF(H1602=0,"",J1602/H1602)</f>
        <v>0</v>
      </c>
      <c r="L1602">
        <f>IF(OR(AND(H1602=0,ABS(J1602)&gt;=0.01),AND(H1602&lt;&gt;0,ABS(K1602)&gt;VarianceThreshold)),"Review","OK")</f>
        <v>0</v>
      </c>
      <c r="M1602" t="s">
        <v>1611</v>
      </c>
    </row>
    <row r="1603" spans="1:13">
      <c r="A1603" t="s">
        <v>2</v>
      </c>
      <c r="B1603" t="s">
        <v>451</v>
      </c>
      <c r="C1603" t="s">
        <v>1794</v>
      </c>
      <c r="D1603" t="s">
        <v>1795</v>
      </c>
      <c r="E1603" cm="1">
        <f t="array" ref="E1603">_xlfn.XLOOKUP(D1603,SKU_Master!A:A,SKU_Master!B:B,"Not on master")</f>
        <v>0</v>
      </c>
      <c r="F1603" cm="1">
        <f t="array" ref="F1603">_xlfn.XLOOKUP(C1603,Account_Master!A:A,Account_Master!B:B,"Not on master")</f>
        <v>0</v>
      </c>
      <c r="G1603" cm="1">
        <f t="array" ref="G1603">_xlfn.XLOOKUP(C1603,Account_Master!A:A,Account_Master!C:C,"Not on master")</f>
        <v>0</v>
      </c>
      <c r="H1603" s="6">
        <v>0.75</v>
      </c>
      <c r="I1603" s="6">
        <v>0.659</v>
      </c>
      <c r="J1603" s="6">
        <f>I1603-H1603</f>
        <v>0</v>
      </c>
      <c r="K1603" s="5">
        <f>IF(H1603=0,"",J1603/H1603)</f>
        <v>0</v>
      </c>
      <c r="L1603">
        <f>IF(OR(AND(H1603=0,ABS(J1603)&gt;=0.01),AND(H1603&lt;&gt;0,ABS(K1603)&gt;VarianceThreshold)),"Review","OK")</f>
        <v>0</v>
      </c>
      <c r="M1603" t="s">
        <v>471</v>
      </c>
    </row>
    <row r="1604" spans="1:13">
      <c r="A1604" t="s">
        <v>2</v>
      </c>
      <c r="B1604" t="s">
        <v>451</v>
      </c>
      <c r="C1604" t="s">
        <v>1664</v>
      </c>
      <c r="D1604" t="s">
        <v>532</v>
      </c>
      <c r="E1604" cm="1">
        <f t="array" ref="E1604">_xlfn.XLOOKUP(D1604,SKU_Master!A:A,SKU_Master!B:B,"Not on master")</f>
        <v>0</v>
      </c>
      <c r="F1604" cm="1">
        <f t="array" ref="F1604">_xlfn.XLOOKUP(C1604,Account_Master!A:A,Account_Master!B:B,"Not on master")</f>
        <v>0</v>
      </c>
      <c r="G1604" cm="1">
        <f t="array" ref="G1604">_xlfn.XLOOKUP(C1604,Account_Master!A:A,Account_Master!C:C,"Not on master")</f>
        <v>0</v>
      </c>
      <c r="H1604" s="6">
        <v>1.5</v>
      </c>
      <c r="I1604" s="6">
        <v>1.318</v>
      </c>
      <c r="J1604" s="6">
        <f>I1604-H1604</f>
        <v>0</v>
      </c>
      <c r="K1604" s="5">
        <f>IF(H1604=0,"",J1604/H1604)</f>
        <v>0</v>
      </c>
      <c r="L1604">
        <f>IF(OR(AND(H1604=0,ABS(J1604)&gt;=0.01),AND(H1604&lt;&gt;0,ABS(K1604)&gt;VarianceThreshold)),"Review","OK")</f>
        <v>0</v>
      </c>
      <c r="M1604" t="s">
        <v>471</v>
      </c>
    </row>
    <row r="1605" spans="1:13">
      <c r="A1605" t="s">
        <v>2</v>
      </c>
      <c r="B1605" t="s">
        <v>451</v>
      </c>
      <c r="C1605" t="s">
        <v>1740</v>
      </c>
      <c r="D1605" t="s">
        <v>1384</v>
      </c>
      <c r="E1605" cm="1">
        <f t="array" ref="E1605">_xlfn.XLOOKUP(D1605,SKU_Master!A:A,SKU_Master!B:B,"Not on master")</f>
        <v>0</v>
      </c>
      <c r="F1605" cm="1">
        <f t="array" ref="F1605">_xlfn.XLOOKUP(C1605,Account_Master!A:A,Account_Master!B:B,"Not on master")</f>
        <v>0</v>
      </c>
      <c r="G1605" cm="1">
        <f t="array" ref="G1605">_xlfn.XLOOKUP(C1605,Account_Master!A:A,Account_Master!C:C,"Not on master")</f>
        <v>0</v>
      </c>
      <c r="H1605" s="6">
        <v>0.3</v>
      </c>
      <c r="I1605" s="6">
        <v>0.2636</v>
      </c>
      <c r="J1605" s="6">
        <f>I1605-H1605</f>
        <v>0</v>
      </c>
      <c r="K1605" s="5">
        <f>IF(H1605=0,"",J1605/H1605)</f>
        <v>0</v>
      </c>
      <c r="L1605">
        <f>IF(OR(AND(H1605=0,ABS(J1605)&gt;=0.01),AND(H1605&lt;&gt;0,ABS(K1605)&gt;VarianceThreshold)),"Review","OK")</f>
        <v>0</v>
      </c>
      <c r="M1605" t="s">
        <v>471</v>
      </c>
    </row>
    <row r="1606" spans="1:13">
      <c r="A1606" t="s">
        <v>2</v>
      </c>
      <c r="B1606" t="s">
        <v>464</v>
      </c>
      <c r="C1606" t="s">
        <v>1574</v>
      </c>
      <c r="D1606" t="s">
        <v>1796</v>
      </c>
      <c r="E1606" cm="1">
        <f t="array" ref="E1606">_xlfn.XLOOKUP(D1606,SKU_Master!A:A,SKU_Master!B:B,"Not on master")</f>
        <v>0</v>
      </c>
      <c r="F1606" cm="1">
        <f t="array" ref="F1606">_xlfn.XLOOKUP(C1606,Account_Master!A:A,Account_Master!B:B,"Not on master")</f>
        <v>0</v>
      </c>
      <c r="G1606" cm="1">
        <f t="array" ref="G1606">_xlfn.XLOOKUP(C1606,Account_Master!A:A,Account_Master!C:C,"Not on master")</f>
        <v>0</v>
      </c>
      <c r="H1606" s="6">
        <v>10.5</v>
      </c>
      <c r="I1606" s="6">
        <v>10.5</v>
      </c>
      <c r="J1606" s="6">
        <f>I1606-H1606</f>
        <v>0</v>
      </c>
      <c r="K1606" s="5">
        <f>IF(H1606=0,"",J1606/H1606)</f>
        <v>0</v>
      </c>
      <c r="L1606">
        <f>IF(OR(AND(H1606=0,ABS(J1606)&gt;=0.01),AND(H1606&lt;&gt;0,ABS(K1606)&gt;VarianceThreshold)),"Review","OK")</f>
        <v>0</v>
      </c>
      <c r="M1606" t="s">
        <v>33</v>
      </c>
    </row>
    <row r="1607" spans="1:13">
      <c r="A1607" t="s">
        <v>2</v>
      </c>
      <c r="B1607" t="s">
        <v>464</v>
      </c>
      <c r="C1607" t="s">
        <v>1612</v>
      </c>
      <c r="D1607" t="s">
        <v>1797</v>
      </c>
      <c r="E1607" cm="1">
        <f t="array" ref="E1607">_xlfn.XLOOKUP(D1607,SKU_Master!A:A,SKU_Master!B:B,"Not on master")</f>
        <v>0</v>
      </c>
      <c r="F1607" cm="1">
        <f t="array" ref="F1607">_xlfn.XLOOKUP(C1607,Account_Master!A:A,Account_Master!B:B,"Not on master")</f>
        <v>0</v>
      </c>
      <c r="G1607" cm="1">
        <f t="array" ref="G1607">_xlfn.XLOOKUP(C1607,Account_Master!A:A,Account_Master!C:C,"Not on master")</f>
        <v>0</v>
      </c>
      <c r="H1607" s="6">
        <v>3</v>
      </c>
      <c r="I1607" s="6">
        <v>3</v>
      </c>
      <c r="J1607" s="6">
        <f>I1607-H1607</f>
        <v>0</v>
      </c>
      <c r="K1607" s="5">
        <f>IF(H1607=0,"",J1607/H1607)</f>
        <v>0</v>
      </c>
      <c r="L1607">
        <f>IF(OR(AND(H1607=0,ABS(J1607)&gt;=0.01),AND(H1607&lt;&gt;0,ABS(K1607)&gt;VarianceThreshold)),"Review","OK")</f>
        <v>0</v>
      </c>
      <c r="M1607" t="s">
        <v>33</v>
      </c>
    </row>
    <row r="1608" spans="1:13">
      <c r="A1608" t="s">
        <v>2</v>
      </c>
      <c r="B1608" t="s">
        <v>478</v>
      </c>
      <c r="C1608" t="s">
        <v>1622</v>
      </c>
      <c r="D1608" t="s">
        <v>483</v>
      </c>
      <c r="E1608" cm="1">
        <f t="array" ref="E1608">_xlfn.XLOOKUP(D1608,SKU_Master!A:A,SKU_Master!B:B,"Not on master")</f>
        <v>0</v>
      </c>
      <c r="F1608" cm="1">
        <f t="array" ref="F1608">_xlfn.XLOOKUP(C1608,Account_Master!A:A,Account_Master!B:B,"Not on master")</f>
        <v>0</v>
      </c>
      <c r="G1608" cm="1">
        <f t="array" ref="G1608">_xlfn.XLOOKUP(C1608,Account_Master!A:A,Account_Master!C:C,"Not on master")</f>
        <v>0</v>
      </c>
      <c r="H1608" s="6">
        <v>4.5</v>
      </c>
      <c r="I1608" s="6">
        <v>4.5</v>
      </c>
      <c r="J1608" s="6">
        <f>I1608-H1608</f>
        <v>0</v>
      </c>
      <c r="K1608" s="5">
        <f>IF(H1608=0,"",J1608/H1608)</f>
        <v>0</v>
      </c>
      <c r="L1608">
        <f>IF(OR(AND(H1608=0,ABS(J1608)&gt;=0.01),AND(H1608&lt;&gt;0,ABS(K1608)&gt;VarianceThreshold)),"Review","OK")</f>
        <v>0</v>
      </c>
      <c r="M1608" t="s">
        <v>33</v>
      </c>
    </row>
    <row r="1609" spans="1:13">
      <c r="A1609" t="s">
        <v>2</v>
      </c>
      <c r="B1609" t="s">
        <v>478</v>
      </c>
      <c r="C1609" t="s">
        <v>1798</v>
      </c>
      <c r="D1609" t="s">
        <v>487</v>
      </c>
      <c r="E1609" cm="1">
        <f t="array" ref="E1609">_xlfn.XLOOKUP(D1609,SKU_Master!A:A,SKU_Master!B:B,"Not on master")</f>
        <v>0</v>
      </c>
      <c r="F1609" cm="1">
        <f t="array" ref="F1609">_xlfn.XLOOKUP(C1609,Account_Master!A:A,Account_Master!B:B,"Not on master")</f>
        <v>0</v>
      </c>
      <c r="G1609" cm="1">
        <f t="array" ref="G1609">_xlfn.XLOOKUP(C1609,Account_Master!A:A,Account_Master!C:C,"Not on master")</f>
        <v>0</v>
      </c>
      <c r="H1609" s="6">
        <v>1.5</v>
      </c>
      <c r="I1609" s="6">
        <v>1.5</v>
      </c>
      <c r="J1609" s="6">
        <f>I1609-H1609</f>
        <v>0</v>
      </c>
      <c r="K1609" s="5">
        <f>IF(H1609=0,"",J1609/H1609)</f>
        <v>0</v>
      </c>
      <c r="L1609">
        <f>IF(OR(AND(H1609=0,ABS(J1609)&gt;=0.01),AND(H1609&lt;&gt;0,ABS(K1609)&gt;VarianceThreshold)),"Review","OK")</f>
        <v>0</v>
      </c>
      <c r="M1609" t="s">
        <v>33</v>
      </c>
    </row>
    <row r="1610" spans="1:13">
      <c r="A1610" t="s">
        <v>2</v>
      </c>
      <c r="B1610" t="s">
        <v>478</v>
      </c>
      <c r="C1610" t="s">
        <v>1622</v>
      </c>
      <c r="D1610" t="s">
        <v>767</v>
      </c>
      <c r="E1610" cm="1">
        <f t="array" ref="E1610">_xlfn.XLOOKUP(D1610,SKU_Master!A:A,SKU_Master!B:B,"Not on master")</f>
        <v>0</v>
      </c>
      <c r="F1610" cm="1">
        <f t="array" ref="F1610">_xlfn.XLOOKUP(C1610,Account_Master!A:A,Account_Master!B:B,"Not on master")</f>
        <v>0</v>
      </c>
      <c r="G1610" cm="1">
        <f t="array" ref="G1610">_xlfn.XLOOKUP(C1610,Account_Master!A:A,Account_Master!C:C,"Not on master")</f>
        <v>0</v>
      </c>
      <c r="H1610" s="6">
        <v>9</v>
      </c>
      <c r="I1610" s="6">
        <v>9</v>
      </c>
      <c r="J1610" s="6">
        <f>I1610-H1610</f>
        <v>0</v>
      </c>
      <c r="K1610" s="5">
        <f>IF(H1610=0,"",J1610/H1610)</f>
        <v>0</v>
      </c>
      <c r="L1610">
        <f>IF(OR(AND(H1610=0,ABS(J1610)&gt;=0.01),AND(H1610&lt;&gt;0,ABS(K1610)&gt;VarianceThreshold)),"Review","OK")</f>
        <v>0</v>
      </c>
      <c r="M1610" t="s">
        <v>33</v>
      </c>
    </row>
    <row r="1611" spans="1:13">
      <c r="A1611" t="s">
        <v>2</v>
      </c>
      <c r="B1611" t="s">
        <v>478</v>
      </c>
      <c r="C1611" t="s">
        <v>1576</v>
      </c>
      <c r="D1611" t="s">
        <v>1799</v>
      </c>
      <c r="E1611" cm="1">
        <f t="array" ref="E1611">_xlfn.XLOOKUP(D1611,SKU_Master!A:A,SKU_Master!B:B,"Not on master")</f>
        <v>0</v>
      </c>
      <c r="F1611" cm="1">
        <f t="array" ref="F1611">_xlfn.XLOOKUP(C1611,Account_Master!A:A,Account_Master!B:B,"Not on master")</f>
        <v>0</v>
      </c>
      <c r="G1611" cm="1">
        <f t="array" ref="G1611">_xlfn.XLOOKUP(C1611,Account_Master!A:A,Account_Master!C:C,"Not on master")</f>
        <v>0</v>
      </c>
      <c r="H1611" s="6">
        <v>4.5</v>
      </c>
      <c r="I1611" s="6">
        <v>4.5</v>
      </c>
      <c r="J1611" s="6">
        <f>I1611-H1611</f>
        <v>0</v>
      </c>
      <c r="K1611" s="5">
        <f>IF(H1611=0,"",J1611/H1611)</f>
        <v>0</v>
      </c>
      <c r="L1611">
        <f>IF(OR(AND(H1611=0,ABS(J1611)&gt;=0.01),AND(H1611&lt;&gt;0,ABS(K1611)&gt;VarianceThreshold)),"Review","OK")</f>
        <v>0</v>
      </c>
      <c r="M1611" t="s">
        <v>33</v>
      </c>
    </row>
    <row r="1612" spans="1:13">
      <c r="A1612" t="s">
        <v>2</v>
      </c>
      <c r="B1612" t="s">
        <v>478</v>
      </c>
      <c r="C1612" t="s">
        <v>1798</v>
      </c>
      <c r="D1612" t="s">
        <v>525</v>
      </c>
      <c r="E1612" cm="1">
        <f t="array" ref="E1612">_xlfn.XLOOKUP(D1612,SKU_Master!A:A,SKU_Master!B:B,"Not on master")</f>
        <v>0</v>
      </c>
      <c r="F1612" cm="1">
        <f t="array" ref="F1612">_xlfn.XLOOKUP(C1612,Account_Master!A:A,Account_Master!B:B,"Not on master")</f>
        <v>0</v>
      </c>
      <c r="G1612" cm="1">
        <f t="array" ref="G1612">_xlfn.XLOOKUP(C1612,Account_Master!A:A,Account_Master!C:C,"Not on master")</f>
        <v>0</v>
      </c>
      <c r="H1612" s="6">
        <v>5.25</v>
      </c>
      <c r="I1612" s="6">
        <v>5.25</v>
      </c>
      <c r="J1612" s="6">
        <f>I1612-H1612</f>
        <v>0</v>
      </c>
      <c r="K1612" s="5">
        <f>IF(H1612=0,"",J1612/H1612)</f>
        <v>0</v>
      </c>
      <c r="L1612">
        <f>IF(OR(AND(H1612=0,ABS(J1612)&gt;=0.01),AND(H1612&lt;&gt;0,ABS(K1612)&gt;VarianceThreshold)),"Review","OK")</f>
        <v>0</v>
      </c>
      <c r="M1612" t="s">
        <v>33</v>
      </c>
    </row>
    <row r="1613" spans="1:13">
      <c r="A1613" t="s">
        <v>2</v>
      </c>
      <c r="B1613" t="s">
        <v>492</v>
      </c>
      <c r="C1613" t="s">
        <v>1580</v>
      </c>
      <c r="D1613" t="s">
        <v>139</v>
      </c>
      <c r="E1613" cm="1">
        <f t="array" ref="E1613">_xlfn.XLOOKUP(D1613,SKU_Master!A:A,SKU_Master!B:B,"Not on master")</f>
        <v>0</v>
      </c>
      <c r="F1613" cm="1">
        <f t="array" ref="F1613">_xlfn.XLOOKUP(C1613,Account_Master!A:A,Account_Master!B:B,"Not on master")</f>
        <v>0</v>
      </c>
      <c r="G1613" cm="1">
        <f t="array" ref="G1613">_xlfn.XLOOKUP(C1613,Account_Master!A:A,Account_Master!C:C,"Not on master")</f>
        <v>0</v>
      </c>
      <c r="H1613" s="6">
        <v>4.5</v>
      </c>
      <c r="I1613" s="6">
        <v>4.5</v>
      </c>
      <c r="J1613" s="6">
        <f>I1613-H1613</f>
        <v>0</v>
      </c>
      <c r="K1613" s="5">
        <f>IF(H1613=0,"",J1613/H1613)</f>
        <v>0</v>
      </c>
      <c r="L1613">
        <f>IF(OR(AND(H1613=0,ABS(J1613)&gt;=0.01),AND(H1613&lt;&gt;0,ABS(K1613)&gt;VarianceThreshold)),"Review","OK")</f>
        <v>0</v>
      </c>
      <c r="M1613" t="s">
        <v>33</v>
      </c>
    </row>
    <row r="1614" spans="1:13">
      <c r="A1614" t="s">
        <v>2</v>
      </c>
      <c r="B1614" t="s">
        <v>492</v>
      </c>
      <c r="C1614" t="s">
        <v>1605</v>
      </c>
      <c r="D1614" t="s">
        <v>730</v>
      </c>
      <c r="E1614" cm="1">
        <f t="array" ref="E1614">_xlfn.XLOOKUP(D1614,SKU_Master!A:A,SKU_Master!B:B,"Not on master")</f>
        <v>0</v>
      </c>
      <c r="F1614" cm="1">
        <f t="array" ref="F1614">_xlfn.XLOOKUP(C1614,Account_Master!A:A,Account_Master!B:B,"Not on master")</f>
        <v>0</v>
      </c>
      <c r="G1614" cm="1">
        <f t="array" ref="G1614">_xlfn.XLOOKUP(C1614,Account_Master!A:A,Account_Master!C:C,"Not on master")</f>
        <v>0</v>
      </c>
      <c r="H1614" s="6">
        <v>63</v>
      </c>
      <c r="I1614" s="6">
        <v>63</v>
      </c>
      <c r="J1614" s="6">
        <f>I1614-H1614</f>
        <v>0</v>
      </c>
      <c r="K1614" s="5">
        <f>IF(H1614=0,"",J1614/H1614)</f>
        <v>0</v>
      </c>
      <c r="L1614">
        <f>IF(OR(AND(H1614=0,ABS(J1614)&gt;=0.01),AND(H1614&lt;&gt;0,ABS(K1614)&gt;VarianceThreshold)),"Review","OK")</f>
        <v>0</v>
      </c>
      <c r="M1614" t="s">
        <v>33</v>
      </c>
    </row>
    <row r="1615" spans="1:13">
      <c r="A1615" t="s">
        <v>2</v>
      </c>
      <c r="B1615" t="s">
        <v>492</v>
      </c>
      <c r="C1615" t="s">
        <v>1586</v>
      </c>
      <c r="D1615" t="s">
        <v>582</v>
      </c>
      <c r="E1615" cm="1">
        <f t="array" ref="E1615">_xlfn.XLOOKUP(D1615,SKU_Master!A:A,SKU_Master!B:B,"Not on master")</f>
        <v>0</v>
      </c>
      <c r="F1615" cm="1">
        <f t="array" ref="F1615">_xlfn.XLOOKUP(C1615,Account_Master!A:A,Account_Master!B:B,"Not on master")</f>
        <v>0</v>
      </c>
      <c r="G1615" cm="1">
        <f t="array" ref="G1615">_xlfn.XLOOKUP(C1615,Account_Master!A:A,Account_Master!C:C,"Not on master")</f>
        <v>0</v>
      </c>
      <c r="H1615" s="6">
        <v>26</v>
      </c>
      <c r="I1615" s="6">
        <v>26</v>
      </c>
      <c r="J1615" s="6">
        <f>I1615-H1615</f>
        <v>0</v>
      </c>
      <c r="K1615" s="5">
        <f>IF(H1615=0,"",J1615/H1615)</f>
        <v>0</v>
      </c>
      <c r="L1615">
        <f>IF(OR(AND(H1615=0,ABS(J1615)&gt;=0.01),AND(H1615&lt;&gt;0,ABS(K1615)&gt;VarianceThreshold)),"Review","OK")</f>
        <v>0</v>
      </c>
      <c r="M1615" t="s">
        <v>33</v>
      </c>
    </row>
    <row r="1616" spans="1:13">
      <c r="A1616" t="s">
        <v>2</v>
      </c>
      <c r="B1616" t="s">
        <v>492</v>
      </c>
      <c r="C1616" t="s">
        <v>1612</v>
      </c>
      <c r="D1616" t="s">
        <v>1301</v>
      </c>
      <c r="E1616" cm="1">
        <f t="array" ref="E1616">_xlfn.XLOOKUP(D1616,SKU_Master!A:A,SKU_Master!B:B,"Not on master")</f>
        <v>0</v>
      </c>
      <c r="F1616" cm="1">
        <f t="array" ref="F1616">_xlfn.XLOOKUP(C1616,Account_Master!A:A,Account_Master!B:B,"Not on master")</f>
        <v>0</v>
      </c>
      <c r="G1616" cm="1">
        <f t="array" ref="G1616">_xlfn.XLOOKUP(C1616,Account_Master!A:A,Account_Master!C:C,"Not on master")</f>
        <v>0</v>
      </c>
      <c r="H1616" s="6">
        <v>14.4</v>
      </c>
      <c r="I1616" s="6">
        <v>14.4</v>
      </c>
      <c r="J1616" s="6">
        <f>I1616-H1616</f>
        <v>0</v>
      </c>
      <c r="K1616" s="5">
        <f>IF(H1616=0,"",J1616/H1616)</f>
        <v>0</v>
      </c>
      <c r="L1616">
        <f>IF(OR(AND(H1616=0,ABS(J1616)&gt;=0.01),AND(H1616&lt;&gt;0,ABS(K1616)&gt;VarianceThreshold)),"Review","OK")</f>
        <v>0</v>
      </c>
      <c r="M1616" t="s">
        <v>33</v>
      </c>
    </row>
    <row r="1617" spans="1:13">
      <c r="A1617" t="s">
        <v>2</v>
      </c>
      <c r="B1617" t="s">
        <v>492</v>
      </c>
      <c r="C1617" t="s">
        <v>1661</v>
      </c>
      <c r="D1617" t="s">
        <v>81</v>
      </c>
      <c r="E1617" cm="1">
        <f t="array" ref="E1617">_xlfn.XLOOKUP(D1617,SKU_Master!A:A,SKU_Master!B:B,"Not on master")</f>
        <v>0</v>
      </c>
      <c r="F1617" cm="1">
        <f t="array" ref="F1617">_xlfn.XLOOKUP(C1617,Account_Master!A:A,Account_Master!B:B,"Not on master")</f>
        <v>0</v>
      </c>
      <c r="G1617" cm="1">
        <f t="array" ref="G1617">_xlfn.XLOOKUP(C1617,Account_Master!A:A,Account_Master!C:C,"Not on master")</f>
        <v>0</v>
      </c>
      <c r="H1617" s="6">
        <v>27</v>
      </c>
      <c r="I1617" s="6">
        <v>27</v>
      </c>
      <c r="J1617" s="6">
        <f>I1617-H1617</f>
        <v>0</v>
      </c>
      <c r="K1617" s="5">
        <f>IF(H1617=0,"",J1617/H1617)</f>
        <v>0</v>
      </c>
      <c r="L1617">
        <f>IF(OR(AND(H1617=0,ABS(J1617)&gt;=0.01),AND(H1617&lt;&gt;0,ABS(K1617)&gt;VarianceThreshold)),"Review","OK")</f>
        <v>0</v>
      </c>
      <c r="M1617" t="s">
        <v>33</v>
      </c>
    </row>
    <row r="1618" spans="1:13">
      <c r="A1618" t="s">
        <v>2</v>
      </c>
      <c r="B1618" t="s">
        <v>492</v>
      </c>
      <c r="C1618" t="s">
        <v>1716</v>
      </c>
      <c r="D1618" t="s">
        <v>1800</v>
      </c>
      <c r="E1618" cm="1">
        <f t="array" ref="E1618">_xlfn.XLOOKUP(D1618,SKU_Master!A:A,SKU_Master!B:B,"Not on master")</f>
        <v>0</v>
      </c>
      <c r="F1618" cm="1">
        <f t="array" ref="F1618">_xlfn.XLOOKUP(C1618,Account_Master!A:A,Account_Master!B:B,"Not on master")</f>
        <v>0</v>
      </c>
      <c r="G1618" cm="1">
        <f t="array" ref="G1618">_xlfn.XLOOKUP(C1618,Account_Master!A:A,Account_Master!C:C,"Not on master")</f>
        <v>0</v>
      </c>
      <c r="H1618" s="6">
        <v>74.62</v>
      </c>
      <c r="I1618" s="6">
        <v>74.62</v>
      </c>
      <c r="J1618" s="6">
        <f>I1618-H1618</f>
        <v>0</v>
      </c>
      <c r="K1618" s="5">
        <f>IF(H1618=0,"",J1618/H1618)</f>
        <v>0</v>
      </c>
      <c r="L1618">
        <f>IF(OR(AND(H1618=0,ABS(J1618)&gt;=0.01),AND(H1618&lt;&gt;0,ABS(K1618)&gt;VarianceThreshold)),"Review","OK")</f>
        <v>0</v>
      </c>
      <c r="M1618" t="s">
        <v>33</v>
      </c>
    </row>
    <row r="1619" spans="1:13">
      <c r="A1619" t="s">
        <v>2</v>
      </c>
      <c r="B1619" t="s">
        <v>501</v>
      </c>
      <c r="C1619" t="s">
        <v>1624</v>
      </c>
      <c r="D1619" t="s">
        <v>1801</v>
      </c>
      <c r="E1619" cm="1">
        <f t="array" ref="E1619">_xlfn.XLOOKUP(D1619,SKU_Master!A:A,SKU_Master!B:B,"Not on master")</f>
        <v>0</v>
      </c>
      <c r="F1619" cm="1">
        <f t="array" ref="F1619">_xlfn.XLOOKUP(C1619,Account_Master!A:A,Account_Master!B:B,"Not on master")</f>
        <v>0</v>
      </c>
      <c r="G1619" cm="1">
        <f t="array" ref="G1619">_xlfn.XLOOKUP(C1619,Account_Master!A:A,Account_Master!C:C,"Not on master")</f>
        <v>0</v>
      </c>
      <c r="H1619" s="6">
        <v>69</v>
      </c>
      <c r="I1619" s="6">
        <v>64.5</v>
      </c>
      <c r="J1619" s="6">
        <f>I1619-H1619</f>
        <v>0</v>
      </c>
      <c r="K1619" s="5">
        <f>IF(H1619=0,"",J1619/H1619)</f>
        <v>0</v>
      </c>
      <c r="L1619">
        <f>IF(OR(AND(H1619=0,ABS(J1619)&gt;=0.01),AND(H1619&lt;&gt;0,ABS(K1619)&gt;VarianceThreshold)),"Review","OK")</f>
        <v>0</v>
      </c>
      <c r="M1619" t="s">
        <v>1611</v>
      </c>
    </row>
    <row r="1620" spans="1:13">
      <c r="A1620" t="s">
        <v>2</v>
      </c>
      <c r="B1620" t="s">
        <v>501</v>
      </c>
      <c r="C1620" t="s">
        <v>1612</v>
      </c>
      <c r="D1620" t="s">
        <v>1802</v>
      </c>
      <c r="E1620" cm="1">
        <f t="array" ref="E1620">_xlfn.XLOOKUP(D1620,SKU_Master!A:A,SKU_Master!B:B,"Not on master")</f>
        <v>0</v>
      </c>
      <c r="F1620" cm="1">
        <f t="array" ref="F1620">_xlfn.XLOOKUP(C1620,Account_Master!A:A,Account_Master!B:B,"Not on master")</f>
        <v>0</v>
      </c>
      <c r="G1620" cm="1">
        <f t="array" ref="G1620">_xlfn.XLOOKUP(C1620,Account_Master!A:A,Account_Master!C:C,"Not on master")</f>
        <v>0</v>
      </c>
      <c r="H1620" s="6">
        <v>1.5</v>
      </c>
      <c r="I1620" s="6">
        <v>1.5</v>
      </c>
      <c r="J1620" s="6">
        <f>I1620-H1620</f>
        <v>0</v>
      </c>
      <c r="K1620" s="5">
        <f>IF(H1620=0,"",J1620/H1620)</f>
        <v>0</v>
      </c>
      <c r="L1620">
        <f>IF(OR(AND(H1620=0,ABS(J1620)&gt;=0.01),AND(H1620&lt;&gt;0,ABS(K1620)&gt;VarianceThreshold)),"Review","OK")</f>
        <v>0</v>
      </c>
      <c r="M1620" t="s">
        <v>33</v>
      </c>
    </row>
    <row r="1621" spans="1:13">
      <c r="A1621" t="s">
        <v>2</v>
      </c>
      <c r="B1621" t="s">
        <v>501</v>
      </c>
      <c r="C1621" t="s">
        <v>1615</v>
      </c>
      <c r="D1621" t="s">
        <v>1803</v>
      </c>
      <c r="E1621" cm="1">
        <f t="array" ref="E1621">_xlfn.XLOOKUP(D1621,SKU_Master!A:A,SKU_Master!B:B,"Not on master")</f>
        <v>0</v>
      </c>
      <c r="F1621" cm="1">
        <f t="array" ref="F1621">_xlfn.XLOOKUP(C1621,Account_Master!A:A,Account_Master!B:B,"Not on master")</f>
        <v>0</v>
      </c>
      <c r="G1621" cm="1">
        <f t="array" ref="G1621">_xlfn.XLOOKUP(C1621,Account_Master!A:A,Account_Master!C:C,"Not on master")</f>
        <v>0</v>
      </c>
      <c r="H1621" s="6">
        <v>4.5</v>
      </c>
      <c r="I1621" s="6">
        <v>4.5</v>
      </c>
      <c r="J1621" s="6">
        <f>I1621-H1621</f>
        <v>0</v>
      </c>
      <c r="K1621" s="5">
        <f>IF(H1621=0,"",J1621/H1621)</f>
        <v>0</v>
      </c>
      <c r="L1621">
        <f>IF(OR(AND(H1621=0,ABS(J1621)&gt;=0.01),AND(H1621&lt;&gt;0,ABS(K1621)&gt;VarianceThreshold)),"Review","OK")</f>
        <v>0</v>
      </c>
      <c r="M1621" t="s">
        <v>33</v>
      </c>
    </row>
    <row r="1622" spans="1:13">
      <c r="A1622" t="s">
        <v>2</v>
      </c>
      <c r="B1622" t="s">
        <v>501</v>
      </c>
      <c r="C1622" t="s">
        <v>1634</v>
      </c>
      <c r="D1622" t="s">
        <v>1804</v>
      </c>
      <c r="E1622" cm="1">
        <f t="array" ref="E1622">_xlfn.XLOOKUP(D1622,SKU_Master!A:A,SKU_Master!B:B,"Not on master")</f>
        <v>0</v>
      </c>
      <c r="F1622" cm="1">
        <f t="array" ref="F1622">_xlfn.XLOOKUP(C1622,Account_Master!A:A,Account_Master!B:B,"Not on master")</f>
        <v>0</v>
      </c>
      <c r="G1622" cm="1">
        <f t="array" ref="G1622">_xlfn.XLOOKUP(C1622,Account_Master!A:A,Account_Master!C:C,"Not on master")</f>
        <v>0</v>
      </c>
      <c r="H1622" s="6">
        <v>4.5</v>
      </c>
      <c r="I1622" s="6">
        <v>4.5</v>
      </c>
      <c r="J1622" s="6">
        <f>I1622-H1622</f>
        <v>0</v>
      </c>
      <c r="K1622" s="5">
        <f>IF(H1622=0,"",J1622/H1622)</f>
        <v>0</v>
      </c>
      <c r="L1622">
        <f>IF(OR(AND(H1622=0,ABS(J1622)&gt;=0.01),AND(H1622&lt;&gt;0,ABS(K1622)&gt;VarianceThreshold)),"Review","OK")</f>
        <v>0</v>
      </c>
      <c r="M1622" t="s">
        <v>33</v>
      </c>
    </row>
    <row r="1623" spans="1:13">
      <c r="A1623" t="s">
        <v>2</v>
      </c>
      <c r="B1623" t="s">
        <v>501</v>
      </c>
      <c r="C1623" t="s">
        <v>1586</v>
      </c>
      <c r="D1623" t="s">
        <v>606</v>
      </c>
      <c r="E1623" cm="1">
        <f t="array" ref="E1623">_xlfn.XLOOKUP(D1623,SKU_Master!A:A,SKU_Master!B:B,"Not on master")</f>
        <v>0</v>
      </c>
      <c r="F1623" cm="1">
        <f t="array" ref="F1623">_xlfn.XLOOKUP(C1623,Account_Master!A:A,Account_Master!B:B,"Not on master")</f>
        <v>0</v>
      </c>
      <c r="G1623" cm="1">
        <f t="array" ref="G1623">_xlfn.XLOOKUP(C1623,Account_Master!A:A,Account_Master!C:C,"Not on master")</f>
        <v>0</v>
      </c>
      <c r="H1623" s="6">
        <v>12</v>
      </c>
      <c r="I1623" s="6">
        <v>12</v>
      </c>
      <c r="J1623" s="6">
        <f>I1623-H1623</f>
        <v>0</v>
      </c>
      <c r="K1623" s="5">
        <f>IF(H1623=0,"",J1623/H1623)</f>
        <v>0</v>
      </c>
      <c r="L1623">
        <f>IF(OR(AND(H1623=0,ABS(J1623)&gt;=0.01),AND(H1623&lt;&gt;0,ABS(K1623)&gt;VarianceThreshold)),"Review","OK")</f>
        <v>0</v>
      </c>
      <c r="M1623" t="s">
        <v>33</v>
      </c>
    </row>
    <row r="1624" spans="1:13">
      <c r="A1624" t="s">
        <v>2</v>
      </c>
      <c r="B1624" t="s">
        <v>511</v>
      </c>
      <c r="C1624" t="s">
        <v>1602</v>
      </c>
      <c r="D1624" t="s">
        <v>1805</v>
      </c>
      <c r="E1624" cm="1">
        <f t="array" ref="E1624">_xlfn.XLOOKUP(D1624,SKU_Master!A:A,SKU_Master!B:B,"Not on master")</f>
        <v>0</v>
      </c>
      <c r="F1624" cm="1">
        <f t="array" ref="F1624">_xlfn.XLOOKUP(C1624,Account_Master!A:A,Account_Master!B:B,"Not on master")</f>
        <v>0</v>
      </c>
      <c r="G1624" cm="1">
        <f t="array" ref="G1624">_xlfn.XLOOKUP(C1624,Account_Master!A:A,Account_Master!C:C,"Not on master")</f>
        <v>0</v>
      </c>
      <c r="H1624" s="6">
        <v>27</v>
      </c>
      <c r="I1624" s="6">
        <v>27</v>
      </c>
      <c r="J1624" s="6">
        <f>I1624-H1624</f>
        <v>0</v>
      </c>
      <c r="K1624" s="5">
        <f>IF(H1624=0,"",J1624/H1624)</f>
        <v>0</v>
      </c>
      <c r="L1624">
        <f>IF(OR(AND(H1624=0,ABS(J1624)&gt;=0.01),AND(H1624&lt;&gt;0,ABS(K1624)&gt;VarianceThreshold)),"Review","OK")</f>
        <v>0</v>
      </c>
      <c r="M1624" t="s">
        <v>33</v>
      </c>
    </row>
    <row r="1625" spans="1:13">
      <c r="A1625" t="s">
        <v>2</v>
      </c>
      <c r="B1625" t="s">
        <v>511</v>
      </c>
      <c r="C1625" t="s">
        <v>1747</v>
      </c>
      <c r="D1625" t="s">
        <v>1806</v>
      </c>
      <c r="E1625" cm="1">
        <f t="array" ref="E1625">_xlfn.XLOOKUP(D1625,SKU_Master!A:A,SKU_Master!B:B,"Not on master")</f>
        <v>0</v>
      </c>
      <c r="F1625" cm="1">
        <f t="array" ref="F1625">_xlfn.XLOOKUP(C1625,Account_Master!A:A,Account_Master!B:B,"Not on master")</f>
        <v>0</v>
      </c>
      <c r="G1625" cm="1">
        <f t="array" ref="G1625">_xlfn.XLOOKUP(C1625,Account_Master!A:A,Account_Master!C:C,"Not on master")</f>
        <v>0</v>
      </c>
      <c r="H1625" s="6">
        <v>1.5</v>
      </c>
      <c r="I1625" s="6">
        <v>1.5</v>
      </c>
      <c r="J1625" s="6">
        <f>I1625-H1625</f>
        <v>0</v>
      </c>
      <c r="K1625" s="5">
        <f>IF(H1625=0,"",J1625/H1625)</f>
        <v>0</v>
      </c>
      <c r="L1625">
        <f>IF(OR(AND(H1625=0,ABS(J1625)&gt;=0.01),AND(H1625&lt;&gt;0,ABS(K1625)&gt;VarianceThreshold)),"Review","OK")</f>
        <v>0</v>
      </c>
      <c r="M1625" t="s">
        <v>33</v>
      </c>
    </row>
    <row r="1626" spans="1:13">
      <c r="A1626" t="s">
        <v>2</v>
      </c>
      <c r="B1626" t="s">
        <v>511</v>
      </c>
      <c r="C1626" t="s">
        <v>1610</v>
      </c>
      <c r="D1626" t="s">
        <v>1807</v>
      </c>
      <c r="E1626" cm="1">
        <f t="array" ref="E1626">_xlfn.XLOOKUP(D1626,SKU_Master!A:A,SKU_Master!B:B,"Not on master")</f>
        <v>0</v>
      </c>
      <c r="F1626" cm="1">
        <f t="array" ref="F1626">_xlfn.XLOOKUP(C1626,Account_Master!A:A,Account_Master!B:B,"Not on master")</f>
        <v>0</v>
      </c>
      <c r="G1626" cm="1">
        <f t="array" ref="G1626">_xlfn.XLOOKUP(C1626,Account_Master!A:A,Account_Master!C:C,"Not on master")</f>
        <v>0</v>
      </c>
      <c r="H1626" s="6">
        <v>28</v>
      </c>
      <c r="I1626" s="6">
        <v>28</v>
      </c>
      <c r="J1626" s="6">
        <f>I1626-H1626</f>
        <v>0</v>
      </c>
      <c r="K1626" s="5">
        <f>IF(H1626=0,"",J1626/H1626)</f>
        <v>0</v>
      </c>
      <c r="L1626">
        <f>IF(OR(AND(H1626=0,ABS(J1626)&gt;=0.01),AND(H1626&lt;&gt;0,ABS(K1626)&gt;VarianceThreshold)),"Review","OK")</f>
        <v>0</v>
      </c>
      <c r="M1626" t="s">
        <v>33</v>
      </c>
    </row>
    <row r="1627" spans="1:13">
      <c r="A1627" t="s">
        <v>2</v>
      </c>
      <c r="B1627" t="s">
        <v>511</v>
      </c>
      <c r="C1627" t="s">
        <v>1639</v>
      </c>
      <c r="D1627" t="s">
        <v>1808</v>
      </c>
      <c r="E1627" cm="1">
        <f t="array" ref="E1627">_xlfn.XLOOKUP(D1627,SKU_Master!A:A,SKU_Master!B:B,"Not on master")</f>
        <v>0</v>
      </c>
      <c r="F1627" cm="1">
        <f t="array" ref="F1627">_xlfn.XLOOKUP(C1627,Account_Master!A:A,Account_Master!B:B,"Not on master")</f>
        <v>0</v>
      </c>
      <c r="G1627" cm="1">
        <f t="array" ref="G1627">_xlfn.XLOOKUP(C1627,Account_Master!A:A,Account_Master!C:C,"Not on master")</f>
        <v>0</v>
      </c>
      <c r="H1627" s="6">
        <v>52.5</v>
      </c>
      <c r="I1627" s="6">
        <v>52.5</v>
      </c>
      <c r="J1627" s="6">
        <f>I1627-H1627</f>
        <v>0</v>
      </c>
      <c r="K1627" s="5">
        <f>IF(H1627=0,"",J1627/H1627)</f>
        <v>0</v>
      </c>
      <c r="L1627">
        <f>IF(OR(AND(H1627=0,ABS(J1627)&gt;=0.01),AND(H1627&lt;&gt;0,ABS(K1627)&gt;VarianceThreshold)),"Review","OK")</f>
        <v>0</v>
      </c>
      <c r="M1627" t="s">
        <v>33</v>
      </c>
    </row>
    <row r="1628" spans="1:13">
      <c r="A1628" t="s">
        <v>2</v>
      </c>
      <c r="B1628" t="s">
        <v>511</v>
      </c>
      <c r="C1628" t="s">
        <v>1615</v>
      </c>
      <c r="D1628" t="s">
        <v>1348</v>
      </c>
      <c r="E1628" cm="1">
        <f t="array" ref="E1628">_xlfn.XLOOKUP(D1628,SKU_Master!A:A,SKU_Master!B:B,"Not on master")</f>
        <v>0</v>
      </c>
      <c r="F1628" cm="1">
        <f t="array" ref="F1628">_xlfn.XLOOKUP(C1628,Account_Master!A:A,Account_Master!B:B,"Not on master")</f>
        <v>0</v>
      </c>
      <c r="G1628" cm="1">
        <f t="array" ref="G1628">_xlfn.XLOOKUP(C1628,Account_Master!A:A,Account_Master!C:C,"Not on master")</f>
        <v>0</v>
      </c>
      <c r="H1628" s="6">
        <v>36</v>
      </c>
      <c r="I1628" s="6">
        <v>36</v>
      </c>
      <c r="J1628" s="6">
        <f>I1628-H1628</f>
        <v>0</v>
      </c>
      <c r="K1628" s="5">
        <f>IF(H1628=0,"",J1628/H1628)</f>
        <v>0</v>
      </c>
      <c r="L1628">
        <f>IF(OR(AND(H1628=0,ABS(J1628)&gt;=0.01),AND(H1628&lt;&gt;0,ABS(K1628)&gt;VarianceThreshold)),"Review","OK")</f>
        <v>0</v>
      </c>
      <c r="M1628" t="s">
        <v>33</v>
      </c>
    </row>
    <row r="1629" spans="1:13">
      <c r="A1629" t="s">
        <v>2</v>
      </c>
      <c r="B1629" t="s">
        <v>523</v>
      </c>
      <c r="C1629" t="s">
        <v>1694</v>
      </c>
      <c r="D1629" t="s">
        <v>953</v>
      </c>
      <c r="E1629" cm="1">
        <f t="array" ref="E1629">_xlfn.XLOOKUP(D1629,SKU_Master!A:A,SKU_Master!B:B,"Not on master")</f>
        <v>0</v>
      </c>
      <c r="F1629" cm="1">
        <f t="array" ref="F1629">_xlfn.XLOOKUP(C1629,Account_Master!A:A,Account_Master!B:B,"Not on master")</f>
        <v>0</v>
      </c>
      <c r="G1629" cm="1">
        <f t="array" ref="G1629">_xlfn.XLOOKUP(C1629,Account_Master!A:A,Account_Master!C:C,"Not on master")</f>
        <v>0</v>
      </c>
      <c r="H1629" s="6">
        <v>9</v>
      </c>
      <c r="I1629" s="6">
        <v>9</v>
      </c>
      <c r="J1629" s="6">
        <f>I1629-H1629</f>
        <v>0</v>
      </c>
      <c r="K1629" s="5">
        <f>IF(H1629=0,"",J1629/H1629)</f>
        <v>0</v>
      </c>
      <c r="L1629">
        <f>IF(OR(AND(H1629=0,ABS(J1629)&gt;=0.01),AND(H1629&lt;&gt;0,ABS(K1629)&gt;VarianceThreshold)),"Review","OK")</f>
        <v>0</v>
      </c>
      <c r="M1629" t="s">
        <v>33</v>
      </c>
    </row>
    <row r="1630" spans="1:13">
      <c r="A1630" t="s">
        <v>2</v>
      </c>
      <c r="B1630" t="s">
        <v>523</v>
      </c>
      <c r="C1630" t="s">
        <v>1642</v>
      </c>
      <c r="D1630" t="s">
        <v>1257</v>
      </c>
      <c r="E1630" cm="1">
        <f t="array" ref="E1630">_xlfn.XLOOKUP(D1630,SKU_Master!A:A,SKU_Master!B:B,"Not on master")</f>
        <v>0</v>
      </c>
      <c r="F1630" cm="1">
        <f t="array" ref="F1630">_xlfn.XLOOKUP(C1630,Account_Master!A:A,Account_Master!B:B,"Not on master")</f>
        <v>0</v>
      </c>
      <c r="G1630" cm="1">
        <f t="array" ref="G1630">_xlfn.XLOOKUP(C1630,Account_Master!A:A,Account_Master!C:C,"Not on master")</f>
        <v>0</v>
      </c>
      <c r="H1630" s="6">
        <v>38</v>
      </c>
      <c r="I1630" s="6">
        <v>38</v>
      </c>
      <c r="J1630" s="6">
        <f>I1630-H1630</f>
        <v>0</v>
      </c>
      <c r="K1630" s="5">
        <f>IF(H1630=0,"",J1630/H1630)</f>
        <v>0</v>
      </c>
      <c r="L1630">
        <f>IF(OR(AND(H1630=0,ABS(J1630)&gt;=0.01),AND(H1630&lt;&gt;0,ABS(K1630)&gt;VarianceThreshold)),"Review","OK")</f>
        <v>0</v>
      </c>
      <c r="M1630" t="s">
        <v>33</v>
      </c>
    </row>
    <row r="1631" spans="1:13">
      <c r="A1631" t="s">
        <v>2</v>
      </c>
      <c r="B1631" t="s">
        <v>523</v>
      </c>
      <c r="C1631" t="s">
        <v>1612</v>
      </c>
      <c r="D1631" t="s">
        <v>1139</v>
      </c>
      <c r="E1631" cm="1">
        <f t="array" ref="E1631">_xlfn.XLOOKUP(D1631,SKU_Master!A:A,SKU_Master!B:B,"Not on master")</f>
        <v>0</v>
      </c>
      <c r="F1631" cm="1">
        <f t="array" ref="F1631">_xlfn.XLOOKUP(C1631,Account_Master!A:A,Account_Master!B:B,"Not on master")</f>
        <v>0</v>
      </c>
      <c r="G1631" cm="1">
        <f t="array" ref="G1631">_xlfn.XLOOKUP(C1631,Account_Master!A:A,Account_Master!C:C,"Not on master")</f>
        <v>0</v>
      </c>
      <c r="H1631" s="6">
        <v>6</v>
      </c>
      <c r="I1631" s="6">
        <v>3.75</v>
      </c>
      <c r="J1631" s="6">
        <f>I1631-H1631</f>
        <v>0</v>
      </c>
      <c r="K1631" s="5">
        <f>IF(H1631=0,"",J1631/H1631)</f>
        <v>0</v>
      </c>
      <c r="L1631">
        <f>IF(OR(AND(H1631=0,ABS(J1631)&gt;=0.01),AND(H1631&lt;&gt;0,ABS(K1631)&gt;VarianceThreshold)),"Review","OK")</f>
        <v>0</v>
      </c>
      <c r="M1631" t="s">
        <v>1611</v>
      </c>
    </row>
    <row r="1632" spans="1:13">
      <c r="A1632" t="s">
        <v>2</v>
      </c>
      <c r="B1632" t="s">
        <v>523</v>
      </c>
      <c r="C1632" t="s">
        <v>1724</v>
      </c>
      <c r="D1632" t="s">
        <v>1809</v>
      </c>
      <c r="E1632" cm="1">
        <f t="array" ref="E1632">_xlfn.XLOOKUP(D1632,SKU_Master!A:A,SKU_Master!B:B,"Not on master")</f>
        <v>0</v>
      </c>
      <c r="F1632" cm="1">
        <f t="array" ref="F1632">_xlfn.XLOOKUP(C1632,Account_Master!A:A,Account_Master!B:B,"Not on master")</f>
        <v>0</v>
      </c>
      <c r="G1632" cm="1">
        <f t="array" ref="G1632">_xlfn.XLOOKUP(C1632,Account_Master!A:A,Account_Master!C:C,"Not on master")</f>
        <v>0</v>
      </c>
      <c r="H1632" s="6">
        <v>27</v>
      </c>
      <c r="I1632" s="6">
        <v>27</v>
      </c>
      <c r="J1632" s="6">
        <f>I1632-H1632</f>
        <v>0</v>
      </c>
      <c r="K1632" s="5">
        <f>IF(H1632=0,"",J1632/H1632)</f>
        <v>0</v>
      </c>
      <c r="L1632">
        <f>IF(OR(AND(H1632=0,ABS(J1632)&gt;=0.01),AND(H1632&lt;&gt;0,ABS(K1632)&gt;VarianceThreshold)),"Review","OK")</f>
        <v>0</v>
      </c>
      <c r="M1632" t="s">
        <v>33</v>
      </c>
    </row>
    <row r="1633" spans="1:13">
      <c r="A1633" t="s">
        <v>2</v>
      </c>
      <c r="B1633" t="s">
        <v>528</v>
      </c>
      <c r="C1633" t="s">
        <v>1810</v>
      </c>
      <c r="D1633" t="s">
        <v>512</v>
      </c>
      <c r="E1633" cm="1">
        <f t="array" ref="E1633">_xlfn.XLOOKUP(D1633,SKU_Master!A:A,SKU_Master!B:B,"Not on master")</f>
        <v>0</v>
      </c>
      <c r="F1633" cm="1">
        <f t="array" ref="F1633">_xlfn.XLOOKUP(C1633,Account_Master!A:A,Account_Master!B:B,"Not on master")</f>
        <v>0</v>
      </c>
      <c r="G1633" cm="1">
        <f t="array" ref="G1633">_xlfn.XLOOKUP(C1633,Account_Master!A:A,Account_Master!C:C,"Not on master")</f>
        <v>0</v>
      </c>
      <c r="H1633" s="6">
        <v>0.5</v>
      </c>
      <c r="I1633" s="6">
        <v>0.45</v>
      </c>
      <c r="J1633" s="6">
        <f>I1633-H1633</f>
        <v>0</v>
      </c>
      <c r="K1633" s="5">
        <f>IF(H1633=0,"",J1633/H1633)</f>
        <v>0</v>
      </c>
      <c r="L1633">
        <f>IF(OR(AND(H1633=0,ABS(J1633)&gt;=0.01),AND(H1633&lt;&gt;0,ABS(K1633)&gt;VarianceThreshold)),"Review","OK")</f>
        <v>0</v>
      </c>
      <c r="M1633" t="s">
        <v>1611</v>
      </c>
    </row>
    <row r="1634" spans="1:13">
      <c r="A1634" t="s">
        <v>2</v>
      </c>
      <c r="B1634" t="s">
        <v>528</v>
      </c>
      <c r="C1634" t="s">
        <v>1612</v>
      </c>
      <c r="D1634" t="s">
        <v>1811</v>
      </c>
      <c r="E1634" cm="1">
        <f t="array" ref="E1634">_xlfn.XLOOKUP(D1634,SKU_Master!A:A,SKU_Master!B:B,"Not on master")</f>
        <v>0</v>
      </c>
      <c r="F1634" cm="1">
        <f t="array" ref="F1634">_xlfn.XLOOKUP(C1634,Account_Master!A:A,Account_Master!B:B,"Not on master")</f>
        <v>0</v>
      </c>
      <c r="G1634" cm="1">
        <f t="array" ref="G1634">_xlfn.XLOOKUP(C1634,Account_Master!A:A,Account_Master!C:C,"Not on master")</f>
        <v>0</v>
      </c>
      <c r="H1634" s="6">
        <v>1.5</v>
      </c>
      <c r="I1634" s="6">
        <v>1.5</v>
      </c>
      <c r="J1634" s="6">
        <f>I1634-H1634</f>
        <v>0</v>
      </c>
      <c r="K1634" s="5">
        <f>IF(H1634=0,"",J1634/H1634)</f>
        <v>0</v>
      </c>
      <c r="L1634">
        <f>IF(OR(AND(H1634=0,ABS(J1634)&gt;=0.01),AND(H1634&lt;&gt;0,ABS(K1634)&gt;VarianceThreshold)),"Review","OK")</f>
        <v>0</v>
      </c>
      <c r="M1634" t="s">
        <v>33</v>
      </c>
    </row>
    <row r="1635" spans="1:13">
      <c r="A1635" t="s">
        <v>2</v>
      </c>
      <c r="B1635" t="s">
        <v>528</v>
      </c>
      <c r="C1635" t="s">
        <v>1612</v>
      </c>
      <c r="D1635" t="s">
        <v>1281</v>
      </c>
      <c r="E1635" cm="1">
        <f t="array" ref="E1635">_xlfn.XLOOKUP(D1635,SKU_Master!A:A,SKU_Master!B:B,"Not on master")</f>
        <v>0</v>
      </c>
      <c r="F1635" cm="1">
        <f t="array" ref="F1635">_xlfn.XLOOKUP(C1635,Account_Master!A:A,Account_Master!B:B,"Not on master")</f>
        <v>0</v>
      </c>
      <c r="G1635" cm="1">
        <f t="array" ref="G1635">_xlfn.XLOOKUP(C1635,Account_Master!A:A,Account_Master!C:C,"Not on master")</f>
        <v>0</v>
      </c>
      <c r="H1635" s="6">
        <v>2.25</v>
      </c>
      <c r="I1635" s="6">
        <v>2.25</v>
      </c>
      <c r="J1635" s="6">
        <f>I1635-H1635</f>
        <v>0</v>
      </c>
      <c r="K1635" s="5">
        <f>IF(H1635=0,"",J1635/H1635)</f>
        <v>0</v>
      </c>
      <c r="L1635">
        <f>IF(OR(AND(H1635=0,ABS(J1635)&gt;=0.01),AND(H1635&lt;&gt;0,ABS(K1635)&gt;VarianceThreshold)),"Review","OK")</f>
        <v>0</v>
      </c>
      <c r="M1635" t="s">
        <v>33</v>
      </c>
    </row>
    <row r="1636" spans="1:13">
      <c r="A1636" t="s">
        <v>2</v>
      </c>
      <c r="B1636" t="s">
        <v>528</v>
      </c>
      <c r="C1636" t="s">
        <v>1644</v>
      </c>
      <c r="D1636" t="s">
        <v>387</v>
      </c>
      <c r="E1636" cm="1">
        <f t="array" ref="E1636">_xlfn.XLOOKUP(D1636,SKU_Master!A:A,SKU_Master!B:B,"Not on master")</f>
        <v>0</v>
      </c>
      <c r="F1636" cm="1">
        <f t="array" ref="F1636">_xlfn.XLOOKUP(C1636,Account_Master!A:A,Account_Master!B:B,"Not on master")</f>
        <v>0</v>
      </c>
      <c r="G1636" cm="1">
        <f t="array" ref="G1636">_xlfn.XLOOKUP(C1636,Account_Master!A:A,Account_Master!C:C,"Not on master")</f>
        <v>0</v>
      </c>
      <c r="H1636" s="6">
        <v>1.12</v>
      </c>
      <c r="I1636" s="6">
        <v>1.12</v>
      </c>
      <c r="J1636" s="6">
        <f>I1636-H1636</f>
        <v>0</v>
      </c>
      <c r="K1636" s="5">
        <f>IF(H1636=0,"",J1636/H1636)</f>
        <v>0</v>
      </c>
      <c r="L1636">
        <f>IF(OR(AND(H1636=0,ABS(J1636)&gt;=0.01),AND(H1636&lt;&gt;0,ABS(K1636)&gt;VarianceThreshold)),"Review","OK")</f>
        <v>0</v>
      </c>
      <c r="M1636" t="s">
        <v>33</v>
      </c>
    </row>
    <row r="1637" spans="1:13">
      <c r="A1637" t="s">
        <v>2</v>
      </c>
      <c r="B1637" t="s">
        <v>528</v>
      </c>
      <c r="C1637" t="s">
        <v>1580</v>
      </c>
      <c r="D1637" t="s">
        <v>477</v>
      </c>
      <c r="E1637" cm="1">
        <f t="array" ref="E1637">_xlfn.XLOOKUP(D1637,SKU_Master!A:A,SKU_Master!B:B,"Not on master")</f>
        <v>0</v>
      </c>
      <c r="F1637" cm="1">
        <f t="array" ref="F1637">_xlfn.XLOOKUP(C1637,Account_Master!A:A,Account_Master!B:B,"Not on master")</f>
        <v>0</v>
      </c>
      <c r="G1637" cm="1">
        <f t="array" ref="G1637">_xlfn.XLOOKUP(C1637,Account_Master!A:A,Account_Master!C:C,"Not on master")</f>
        <v>0</v>
      </c>
      <c r="H1637" s="6">
        <v>27</v>
      </c>
      <c r="I1637" s="6">
        <v>27</v>
      </c>
      <c r="J1637" s="6">
        <f>I1637-H1637</f>
        <v>0</v>
      </c>
      <c r="K1637" s="5">
        <f>IF(H1637=0,"",J1637/H1637)</f>
        <v>0</v>
      </c>
      <c r="L1637">
        <f>IF(OR(AND(H1637=0,ABS(J1637)&gt;=0.01),AND(H1637&lt;&gt;0,ABS(K1637)&gt;VarianceThreshold)),"Review","OK")</f>
        <v>0</v>
      </c>
      <c r="M1637" t="s">
        <v>33</v>
      </c>
    </row>
    <row r="1638" spans="1:13">
      <c r="A1638" t="s">
        <v>2</v>
      </c>
      <c r="B1638" t="s">
        <v>528</v>
      </c>
      <c r="C1638" t="s">
        <v>1602</v>
      </c>
      <c r="D1638" t="s">
        <v>1812</v>
      </c>
      <c r="E1638" cm="1">
        <f t="array" ref="E1638">_xlfn.XLOOKUP(D1638,SKU_Master!A:A,SKU_Master!B:B,"Not on master")</f>
        <v>0</v>
      </c>
      <c r="F1638" cm="1">
        <f t="array" ref="F1638">_xlfn.XLOOKUP(C1638,Account_Master!A:A,Account_Master!B:B,"Not on master")</f>
        <v>0</v>
      </c>
      <c r="G1638" cm="1">
        <f t="array" ref="G1638">_xlfn.XLOOKUP(C1638,Account_Master!A:A,Account_Master!C:C,"Not on master")</f>
        <v>0</v>
      </c>
      <c r="H1638" s="6">
        <v>12</v>
      </c>
      <c r="I1638" s="6">
        <v>12</v>
      </c>
      <c r="J1638" s="6">
        <f>I1638-H1638</f>
        <v>0</v>
      </c>
      <c r="K1638" s="5">
        <f>IF(H1638=0,"",J1638/H1638)</f>
        <v>0</v>
      </c>
      <c r="L1638">
        <f>IF(OR(AND(H1638=0,ABS(J1638)&gt;=0.01),AND(H1638&lt;&gt;0,ABS(K1638)&gt;VarianceThreshold)),"Review","OK")</f>
        <v>0</v>
      </c>
      <c r="M1638" t="s">
        <v>33</v>
      </c>
    </row>
    <row r="1639" spans="1:13">
      <c r="A1639" t="s">
        <v>2</v>
      </c>
      <c r="B1639" t="s">
        <v>538</v>
      </c>
      <c r="C1639" t="s">
        <v>1586</v>
      </c>
      <c r="D1639" t="s">
        <v>1813</v>
      </c>
      <c r="E1639" cm="1">
        <f t="array" ref="E1639">_xlfn.XLOOKUP(D1639,SKU_Master!A:A,SKU_Master!B:B,"Not on master")</f>
        <v>0</v>
      </c>
      <c r="F1639" cm="1">
        <f t="array" ref="F1639">_xlfn.XLOOKUP(C1639,Account_Master!A:A,Account_Master!B:B,"Not on master")</f>
        <v>0</v>
      </c>
      <c r="G1639" cm="1">
        <f t="array" ref="G1639">_xlfn.XLOOKUP(C1639,Account_Master!A:A,Account_Master!C:C,"Not on master")</f>
        <v>0</v>
      </c>
      <c r="H1639" s="6">
        <v>84</v>
      </c>
      <c r="I1639" s="6">
        <v>72</v>
      </c>
      <c r="J1639" s="6">
        <f>I1639-H1639</f>
        <v>0</v>
      </c>
      <c r="K1639" s="5">
        <f>IF(H1639=0,"",J1639/H1639)</f>
        <v>0</v>
      </c>
      <c r="L1639">
        <f>IF(OR(AND(H1639=0,ABS(J1639)&gt;=0.01),AND(H1639&lt;&gt;0,ABS(K1639)&gt;VarianceThreshold)),"Review","OK")</f>
        <v>0</v>
      </c>
      <c r="M1639" t="s">
        <v>1611</v>
      </c>
    </row>
    <row r="1640" spans="1:13">
      <c r="A1640" t="s">
        <v>2</v>
      </c>
      <c r="B1640" t="s">
        <v>538</v>
      </c>
      <c r="C1640" t="s">
        <v>1814</v>
      </c>
      <c r="D1640" t="s">
        <v>1815</v>
      </c>
      <c r="E1640" cm="1">
        <f t="array" ref="E1640">_xlfn.XLOOKUP(D1640,SKU_Master!A:A,SKU_Master!B:B,"Not on master")</f>
        <v>0</v>
      </c>
      <c r="F1640" cm="1">
        <f t="array" ref="F1640">_xlfn.XLOOKUP(C1640,Account_Master!A:A,Account_Master!B:B,"Not on master")</f>
        <v>0</v>
      </c>
      <c r="G1640" cm="1">
        <f t="array" ref="G1640">_xlfn.XLOOKUP(C1640,Account_Master!A:A,Account_Master!C:C,"Not on master")</f>
        <v>0</v>
      </c>
      <c r="H1640" s="6">
        <v>19.87</v>
      </c>
      <c r="I1640" s="6">
        <v>17.62</v>
      </c>
      <c r="J1640" s="6">
        <f>I1640-H1640</f>
        <v>0</v>
      </c>
      <c r="K1640" s="5">
        <f>IF(H1640=0,"",J1640/H1640)</f>
        <v>0</v>
      </c>
      <c r="L1640">
        <f>IF(OR(AND(H1640=0,ABS(J1640)&gt;=0.01),AND(H1640&lt;&gt;0,ABS(K1640)&gt;VarianceThreshold)),"Review","OK")</f>
        <v>0</v>
      </c>
      <c r="M1640" t="s">
        <v>1611</v>
      </c>
    </row>
    <row r="1641" spans="1:13">
      <c r="A1641" t="s">
        <v>2</v>
      </c>
      <c r="B1641" t="s">
        <v>538</v>
      </c>
      <c r="C1641" t="s">
        <v>1782</v>
      </c>
      <c r="D1641" t="s">
        <v>610</v>
      </c>
      <c r="E1641" cm="1">
        <f t="array" ref="E1641">_xlfn.XLOOKUP(D1641,SKU_Master!A:A,SKU_Master!B:B,"Not on master")</f>
        <v>0</v>
      </c>
      <c r="F1641" cm="1">
        <f t="array" ref="F1641">_xlfn.XLOOKUP(C1641,Account_Master!A:A,Account_Master!B:B,"Not on master")</f>
        <v>0</v>
      </c>
      <c r="G1641" cm="1">
        <f t="array" ref="G1641">_xlfn.XLOOKUP(C1641,Account_Master!A:A,Account_Master!C:C,"Not on master")</f>
        <v>0</v>
      </c>
      <c r="H1641" s="6">
        <v>18</v>
      </c>
      <c r="I1641" s="6">
        <v>18</v>
      </c>
      <c r="J1641" s="6">
        <f>I1641-H1641</f>
        <v>0</v>
      </c>
      <c r="K1641" s="5">
        <f>IF(H1641=0,"",J1641/H1641)</f>
        <v>0</v>
      </c>
      <c r="L1641">
        <f>IF(OR(AND(H1641=0,ABS(J1641)&gt;=0.01),AND(H1641&lt;&gt;0,ABS(K1641)&gt;VarianceThreshold)),"Review","OK")</f>
        <v>0</v>
      </c>
      <c r="M1641" t="s">
        <v>33</v>
      </c>
    </row>
    <row r="1642" spans="1:13">
      <c r="A1642" t="s">
        <v>2</v>
      </c>
      <c r="B1642" t="s">
        <v>538</v>
      </c>
      <c r="C1642" t="s">
        <v>1612</v>
      </c>
      <c r="D1642" t="s">
        <v>75</v>
      </c>
      <c r="E1642" cm="1">
        <f t="array" ref="E1642">_xlfn.XLOOKUP(D1642,SKU_Master!A:A,SKU_Master!B:B,"Not on master")</f>
        <v>0</v>
      </c>
      <c r="F1642" cm="1">
        <f t="array" ref="F1642">_xlfn.XLOOKUP(C1642,Account_Master!A:A,Account_Master!B:B,"Not on master")</f>
        <v>0</v>
      </c>
      <c r="G1642" cm="1">
        <f t="array" ref="G1642">_xlfn.XLOOKUP(C1642,Account_Master!A:A,Account_Master!C:C,"Not on master")</f>
        <v>0</v>
      </c>
      <c r="H1642" s="6">
        <v>530.25</v>
      </c>
      <c r="I1642" s="6">
        <v>530.25</v>
      </c>
      <c r="J1642" s="6">
        <f>I1642-H1642</f>
        <v>0</v>
      </c>
      <c r="K1642" s="5">
        <f>IF(H1642=0,"",J1642/H1642)</f>
        <v>0</v>
      </c>
      <c r="L1642">
        <f>IF(OR(AND(H1642=0,ABS(J1642)&gt;=0.01),AND(H1642&lt;&gt;0,ABS(K1642)&gt;VarianceThreshold)),"Review","OK")</f>
        <v>0</v>
      </c>
      <c r="M1642" t="s">
        <v>33</v>
      </c>
    </row>
    <row r="1643" spans="1:13">
      <c r="A1643" t="s">
        <v>2</v>
      </c>
      <c r="B1643" t="s">
        <v>538</v>
      </c>
      <c r="C1643" t="s">
        <v>1618</v>
      </c>
      <c r="D1643" t="s">
        <v>547</v>
      </c>
      <c r="E1643" cm="1">
        <f t="array" ref="E1643">_xlfn.XLOOKUP(D1643,SKU_Master!A:A,SKU_Master!B:B,"Not on master")</f>
        <v>0</v>
      </c>
      <c r="F1643" cm="1">
        <f t="array" ref="F1643">_xlfn.XLOOKUP(C1643,Account_Master!A:A,Account_Master!B:B,"Not on master")</f>
        <v>0</v>
      </c>
      <c r="G1643" cm="1">
        <f t="array" ref="G1643">_xlfn.XLOOKUP(C1643,Account_Master!A:A,Account_Master!C:C,"Not on master")</f>
        <v>0</v>
      </c>
      <c r="H1643" s="6">
        <v>0.2</v>
      </c>
      <c r="I1643" s="6">
        <v>0.2</v>
      </c>
      <c r="J1643" s="6">
        <f>I1643-H1643</f>
        <v>0</v>
      </c>
      <c r="K1643" s="5">
        <f>IF(H1643=0,"",J1643/H1643)</f>
        <v>0</v>
      </c>
      <c r="L1643">
        <f>IF(OR(AND(H1643=0,ABS(J1643)&gt;=0.01),AND(H1643&lt;&gt;0,ABS(K1643)&gt;VarianceThreshold)),"Review","OK")</f>
        <v>0</v>
      </c>
      <c r="M1643" t="s">
        <v>33</v>
      </c>
    </row>
    <row r="1644" spans="1:13">
      <c r="A1644" t="s">
        <v>2</v>
      </c>
      <c r="B1644" t="s">
        <v>552</v>
      </c>
      <c r="C1644" t="s">
        <v>1631</v>
      </c>
      <c r="D1644" t="s">
        <v>1816</v>
      </c>
      <c r="E1644" cm="1">
        <f t="array" ref="E1644">_xlfn.XLOOKUP(D1644,SKU_Master!A:A,SKU_Master!B:B,"Not on master")</f>
        <v>0</v>
      </c>
      <c r="F1644" cm="1">
        <f t="array" ref="F1644">_xlfn.XLOOKUP(C1644,Account_Master!A:A,Account_Master!B:B,"Not on master")</f>
        <v>0</v>
      </c>
      <c r="G1644" cm="1">
        <f t="array" ref="G1644">_xlfn.XLOOKUP(C1644,Account_Master!A:A,Account_Master!C:C,"Not on master")</f>
        <v>0</v>
      </c>
      <c r="H1644" s="6">
        <v>3</v>
      </c>
      <c r="I1644" s="6">
        <v>3</v>
      </c>
      <c r="J1644" s="6">
        <f>I1644-H1644</f>
        <v>0</v>
      </c>
      <c r="K1644" s="5">
        <f>IF(H1644=0,"",J1644/H1644)</f>
        <v>0</v>
      </c>
      <c r="L1644">
        <f>IF(OR(AND(H1644=0,ABS(J1644)&gt;=0.01),AND(H1644&lt;&gt;0,ABS(K1644)&gt;VarianceThreshold)),"Review","OK")</f>
        <v>0</v>
      </c>
      <c r="M1644" t="s">
        <v>33</v>
      </c>
    </row>
    <row r="1645" spans="1:13">
      <c r="A1645" t="s">
        <v>2</v>
      </c>
      <c r="B1645" t="s">
        <v>552</v>
      </c>
      <c r="C1645" t="s">
        <v>1612</v>
      </c>
      <c r="D1645" t="s">
        <v>1817</v>
      </c>
      <c r="E1645" cm="1">
        <f t="array" ref="E1645">_xlfn.XLOOKUP(D1645,SKU_Master!A:A,SKU_Master!B:B,"Not on master")</f>
        <v>0</v>
      </c>
      <c r="F1645" cm="1">
        <f t="array" ref="F1645">_xlfn.XLOOKUP(C1645,Account_Master!A:A,Account_Master!B:B,"Not on master")</f>
        <v>0</v>
      </c>
      <c r="G1645" cm="1">
        <f t="array" ref="G1645">_xlfn.XLOOKUP(C1645,Account_Master!A:A,Account_Master!C:C,"Not on master")</f>
        <v>0</v>
      </c>
      <c r="H1645" s="6">
        <v>3.75</v>
      </c>
      <c r="I1645" s="6">
        <v>2.25</v>
      </c>
      <c r="J1645" s="6">
        <f>I1645-H1645</f>
        <v>0</v>
      </c>
      <c r="K1645" s="5">
        <f>IF(H1645=0,"",J1645/H1645)</f>
        <v>0</v>
      </c>
      <c r="L1645">
        <f>IF(OR(AND(H1645=0,ABS(J1645)&gt;=0.01),AND(H1645&lt;&gt;0,ABS(K1645)&gt;VarianceThreshold)),"Review","OK")</f>
        <v>0</v>
      </c>
      <c r="M1645" t="s">
        <v>1611</v>
      </c>
    </row>
    <row r="1646" spans="1:13">
      <c r="A1646" t="s">
        <v>2</v>
      </c>
      <c r="B1646" t="s">
        <v>552</v>
      </c>
      <c r="C1646" t="s">
        <v>1612</v>
      </c>
      <c r="D1646" t="s">
        <v>1329</v>
      </c>
      <c r="E1646" cm="1">
        <f t="array" ref="E1646">_xlfn.XLOOKUP(D1646,SKU_Master!A:A,SKU_Master!B:B,"Not on master")</f>
        <v>0</v>
      </c>
      <c r="F1646" cm="1">
        <f t="array" ref="F1646">_xlfn.XLOOKUP(C1646,Account_Master!A:A,Account_Master!B:B,"Not on master")</f>
        <v>0</v>
      </c>
      <c r="G1646" cm="1">
        <f t="array" ref="G1646">_xlfn.XLOOKUP(C1646,Account_Master!A:A,Account_Master!C:C,"Not on master")</f>
        <v>0</v>
      </c>
      <c r="H1646" s="6">
        <v>201</v>
      </c>
      <c r="I1646" s="6">
        <v>183</v>
      </c>
      <c r="J1646" s="6">
        <f>I1646-H1646</f>
        <v>0</v>
      </c>
      <c r="K1646" s="5">
        <f>IF(H1646=0,"",J1646/H1646)</f>
        <v>0</v>
      </c>
      <c r="L1646">
        <f>IF(OR(AND(H1646=0,ABS(J1646)&gt;=0.01),AND(H1646&lt;&gt;0,ABS(K1646)&gt;VarianceThreshold)),"Review","OK")</f>
        <v>0</v>
      </c>
      <c r="M1646" t="s">
        <v>1611</v>
      </c>
    </row>
    <row r="1647" spans="1:13">
      <c r="A1647" t="s">
        <v>2</v>
      </c>
      <c r="B1647" t="s">
        <v>552</v>
      </c>
      <c r="C1647" t="s">
        <v>1786</v>
      </c>
      <c r="D1647" t="s">
        <v>1818</v>
      </c>
      <c r="E1647" cm="1">
        <f t="array" ref="E1647">_xlfn.XLOOKUP(D1647,SKU_Master!A:A,SKU_Master!B:B,"Not on master")</f>
        <v>0</v>
      </c>
      <c r="F1647" cm="1">
        <f t="array" ref="F1647">_xlfn.XLOOKUP(C1647,Account_Master!A:A,Account_Master!B:B,"Not on master")</f>
        <v>0</v>
      </c>
      <c r="G1647" cm="1">
        <f t="array" ref="G1647">_xlfn.XLOOKUP(C1647,Account_Master!A:A,Account_Master!C:C,"Not on master")</f>
        <v>0</v>
      </c>
      <c r="H1647" s="6">
        <v>9</v>
      </c>
      <c r="I1647" s="6">
        <v>9</v>
      </c>
      <c r="J1647" s="6">
        <f>I1647-H1647</f>
        <v>0</v>
      </c>
      <c r="K1647" s="5">
        <f>IF(H1647=0,"",J1647/H1647)</f>
        <v>0</v>
      </c>
      <c r="L1647">
        <f>IF(OR(AND(H1647=0,ABS(J1647)&gt;=0.01),AND(H1647&lt;&gt;0,ABS(K1647)&gt;VarianceThreshold)),"Review","OK")</f>
        <v>0</v>
      </c>
      <c r="M1647" t="s">
        <v>33</v>
      </c>
    </row>
    <row r="1648" spans="1:13">
      <c r="A1648" t="s">
        <v>2</v>
      </c>
      <c r="B1648" t="s">
        <v>552</v>
      </c>
      <c r="C1648" t="s">
        <v>1612</v>
      </c>
      <c r="D1648" t="s">
        <v>1819</v>
      </c>
      <c r="E1648" cm="1">
        <f t="array" ref="E1648">_xlfn.XLOOKUP(D1648,SKU_Master!A:A,SKU_Master!B:B,"Not on master")</f>
        <v>0</v>
      </c>
      <c r="F1648" cm="1">
        <f t="array" ref="F1648">_xlfn.XLOOKUP(C1648,Account_Master!A:A,Account_Master!B:B,"Not on master")</f>
        <v>0</v>
      </c>
      <c r="G1648" cm="1">
        <f t="array" ref="G1648">_xlfn.XLOOKUP(C1648,Account_Master!A:A,Account_Master!C:C,"Not on master")</f>
        <v>0</v>
      </c>
      <c r="H1648" s="6">
        <v>22.5</v>
      </c>
      <c r="I1648" s="6">
        <v>22.5</v>
      </c>
      <c r="J1648" s="6">
        <f>I1648-H1648</f>
        <v>0</v>
      </c>
      <c r="K1648" s="5">
        <f>IF(H1648=0,"",J1648/H1648)</f>
        <v>0</v>
      </c>
      <c r="L1648">
        <f>IF(OR(AND(H1648=0,ABS(J1648)&gt;=0.01),AND(H1648&lt;&gt;0,ABS(K1648)&gt;VarianceThreshold)),"Review","OK")</f>
        <v>0</v>
      </c>
      <c r="M1648" t="s">
        <v>33</v>
      </c>
    </row>
    <row r="1649" spans="1:13">
      <c r="A1649" t="s">
        <v>2</v>
      </c>
      <c r="B1649" t="s">
        <v>552</v>
      </c>
      <c r="C1649" t="s">
        <v>1576</v>
      </c>
      <c r="D1649" t="s">
        <v>1820</v>
      </c>
      <c r="E1649" cm="1">
        <f t="array" ref="E1649">_xlfn.XLOOKUP(D1649,SKU_Master!A:A,SKU_Master!B:B,"Not on master")</f>
        <v>0</v>
      </c>
      <c r="F1649" cm="1">
        <f t="array" ref="F1649">_xlfn.XLOOKUP(C1649,Account_Master!A:A,Account_Master!B:B,"Not on master")</f>
        <v>0</v>
      </c>
      <c r="G1649" cm="1">
        <f t="array" ref="G1649">_xlfn.XLOOKUP(C1649,Account_Master!A:A,Account_Master!C:C,"Not on master")</f>
        <v>0</v>
      </c>
      <c r="H1649" s="6">
        <v>0.15</v>
      </c>
      <c r="I1649" s="6">
        <v>0.15</v>
      </c>
      <c r="J1649" s="6">
        <f>I1649-H1649</f>
        <v>0</v>
      </c>
      <c r="K1649" s="5">
        <f>IF(H1649=0,"",J1649/H1649)</f>
        <v>0</v>
      </c>
      <c r="L1649">
        <f>IF(OR(AND(H1649=0,ABS(J1649)&gt;=0.01),AND(H1649&lt;&gt;0,ABS(K1649)&gt;VarianceThreshold)),"Review","OK")</f>
        <v>0</v>
      </c>
      <c r="M1649" t="s">
        <v>33</v>
      </c>
    </row>
    <row r="1650" spans="1:13">
      <c r="A1650" t="s">
        <v>2</v>
      </c>
      <c r="B1650" t="s">
        <v>552</v>
      </c>
      <c r="C1650" t="s">
        <v>1821</v>
      </c>
      <c r="D1650" t="s">
        <v>1822</v>
      </c>
      <c r="E1650" cm="1">
        <f t="array" ref="E1650">_xlfn.XLOOKUP(D1650,SKU_Master!A:A,SKU_Master!B:B,"Not on master")</f>
        <v>0</v>
      </c>
      <c r="F1650" cm="1">
        <f t="array" ref="F1650">_xlfn.XLOOKUP(C1650,Account_Master!A:A,Account_Master!B:B,"Not on master")</f>
        <v>0</v>
      </c>
      <c r="G1650" cm="1">
        <f t="array" ref="G1650">_xlfn.XLOOKUP(C1650,Account_Master!A:A,Account_Master!C:C,"Not on master")</f>
        <v>0</v>
      </c>
      <c r="H1650" s="6">
        <v>0.75</v>
      </c>
      <c r="I1650" s="6">
        <v>0.75</v>
      </c>
      <c r="J1650" s="6">
        <f>I1650-H1650</f>
        <v>0</v>
      </c>
      <c r="K1650" s="5">
        <f>IF(H1650=0,"",J1650/H1650)</f>
        <v>0</v>
      </c>
      <c r="L1650">
        <f>IF(OR(AND(H1650=0,ABS(J1650)&gt;=0.01),AND(H1650&lt;&gt;0,ABS(K1650)&gt;VarianceThreshold)),"Review","OK")</f>
        <v>0</v>
      </c>
      <c r="M1650" t="s">
        <v>33</v>
      </c>
    </row>
    <row r="1651" spans="1:13">
      <c r="A1651" t="s">
        <v>2</v>
      </c>
      <c r="B1651" t="s">
        <v>558</v>
      </c>
      <c r="C1651" t="s">
        <v>1667</v>
      </c>
      <c r="D1651" t="s">
        <v>1823</v>
      </c>
      <c r="E1651" cm="1">
        <f t="array" ref="E1651">_xlfn.XLOOKUP(D1651,SKU_Master!A:A,SKU_Master!B:B,"Not on master")</f>
        <v>0</v>
      </c>
      <c r="F1651" cm="1">
        <f t="array" ref="F1651">_xlfn.XLOOKUP(C1651,Account_Master!A:A,Account_Master!B:B,"Not on master")</f>
        <v>0</v>
      </c>
      <c r="G1651" cm="1">
        <f t="array" ref="G1651">_xlfn.XLOOKUP(C1651,Account_Master!A:A,Account_Master!C:C,"Not on master")</f>
        <v>0</v>
      </c>
      <c r="H1651" s="6">
        <v>11.25</v>
      </c>
      <c r="I1651" s="6">
        <v>11.25</v>
      </c>
      <c r="J1651" s="6">
        <f>I1651-H1651</f>
        <v>0</v>
      </c>
      <c r="K1651" s="5">
        <f>IF(H1651=0,"",J1651/H1651)</f>
        <v>0</v>
      </c>
      <c r="L1651">
        <f>IF(OR(AND(H1651=0,ABS(J1651)&gt;=0.01),AND(H1651&lt;&gt;0,ABS(K1651)&gt;VarianceThreshold)),"Review","OK")</f>
        <v>0</v>
      </c>
      <c r="M1651" t="s">
        <v>33</v>
      </c>
    </row>
    <row r="1652" spans="1:13">
      <c r="A1652" t="s">
        <v>2</v>
      </c>
      <c r="B1652" t="s">
        <v>558</v>
      </c>
      <c r="C1652" t="s">
        <v>1634</v>
      </c>
      <c r="D1652" t="s">
        <v>905</v>
      </c>
      <c r="E1652" cm="1">
        <f t="array" ref="E1652">_xlfn.XLOOKUP(D1652,SKU_Master!A:A,SKU_Master!B:B,"Not on master")</f>
        <v>0</v>
      </c>
      <c r="F1652" cm="1">
        <f t="array" ref="F1652">_xlfn.XLOOKUP(C1652,Account_Master!A:A,Account_Master!B:B,"Not on master")</f>
        <v>0</v>
      </c>
      <c r="G1652" cm="1">
        <f t="array" ref="G1652">_xlfn.XLOOKUP(C1652,Account_Master!A:A,Account_Master!C:C,"Not on master")</f>
        <v>0</v>
      </c>
      <c r="H1652" s="6">
        <v>9</v>
      </c>
      <c r="I1652" s="6">
        <v>9</v>
      </c>
      <c r="J1652" s="6">
        <f>I1652-H1652</f>
        <v>0</v>
      </c>
      <c r="K1652" s="5">
        <f>IF(H1652=0,"",J1652/H1652)</f>
        <v>0</v>
      </c>
      <c r="L1652">
        <f>IF(OR(AND(H1652=0,ABS(J1652)&gt;=0.01),AND(H1652&lt;&gt;0,ABS(K1652)&gt;VarianceThreshold)),"Review","OK")</f>
        <v>0</v>
      </c>
      <c r="M1652" t="s">
        <v>33</v>
      </c>
    </row>
    <row r="1653" spans="1:13">
      <c r="A1653" t="s">
        <v>2</v>
      </c>
      <c r="B1653" t="s">
        <v>558</v>
      </c>
      <c r="C1653" t="s">
        <v>1824</v>
      </c>
      <c r="D1653" t="s">
        <v>1825</v>
      </c>
      <c r="E1653" cm="1">
        <f t="array" ref="E1653">_xlfn.XLOOKUP(D1653,SKU_Master!A:A,SKU_Master!B:B,"Not on master")</f>
        <v>0</v>
      </c>
      <c r="F1653" cm="1">
        <f t="array" ref="F1653">_xlfn.XLOOKUP(C1653,Account_Master!A:A,Account_Master!B:B,"Not on master")</f>
        <v>0</v>
      </c>
      <c r="G1653" cm="1">
        <f t="array" ref="G1653">_xlfn.XLOOKUP(C1653,Account_Master!A:A,Account_Master!C:C,"Not on master")</f>
        <v>0</v>
      </c>
      <c r="H1653" s="6">
        <v>2.25</v>
      </c>
      <c r="I1653" s="6">
        <v>2.25</v>
      </c>
      <c r="J1653" s="6">
        <f>I1653-H1653</f>
        <v>0</v>
      </c>
      <c r="K1653" s="5">
        <f>IF(H1653=0,"",J1653/H1653)</f>
        <v>0</v>
      </c>
      <c r="L1653">
        <f>IF(OR(AND(H1653=0,ABS(J1653)&gt;=0.01),AND(H1653&lt;&gt;0,ABS(K1653)&gt;VarianceThreshold)),"Review","OK")</f>
        <v>0</v>
      </c>
      <c r="M1653" t="s">
        <v>33</v>
      </c>
    </row>
    <row r="1654" spans="1:13">
      <c r="A1654" t="s">
        <v>2</v>
      </c>
      <c r="B1654" t="s">
        <v>558</v>
      </c>
      <c r="C1654" t="s">
        <v>1826</v>
      </c>
      <c r="D1654" t="s">
        <v>1827</v>
      </c>
      <c r="E1654" cm="1">
        <f t="array" ref="E1654">_xlfn.XLOOKUP(D1654,SKU_Master!A:A,SKU_Master!B:B,"Not on master")</f>
        <v>0</v>
      </c>
      <c r="F1654" cm="1">
        <f t="array" ref="F1654">_xlfn.XLOOKUP(C1654,Account_Master!A:A,Account_Master!B:B,"Not on master")</f>
        <v>0</v>
      </c>
      <c r="G1654" cm="1">
        <f t="array" ref="G1654">_xlfn.XLOOKUP(C1654,Account_Master!A:A,Account_Master!C:C,"Not on master")</f>
        <v>0</v>
      </c>
      <c r="H1654" s="6">
        <v>13.5</v>
      </c>
      <c r="I1654" s="6">
        <v>13.5</v>
      </c>
      <c r="J1654" s="6">
        <f>I1654-H1654</f>
        <v>0</v>
      </c>
      <c r="K1654" s="5">
        <f>IF(H1654=0,"",J1654/H1654)</f>
        <v>0</v>
      </c>
      <c r="L1654">
        <f>IF(OR(AND(H1654=0,ABS(J1654)&gt;=0.01),AND(H1654&lt;&gt;0,ABS(K1654)&gt;VarianceThreshold)),"Review","OK")</f>
        <v>0</v>
      </c>
      <c r="M1654" t="s">
        <v>33</v>
      </c>
    </row>
    <row r="1655" spans="1:13">
      <c r="A1655" t="s">
        <v>2</v>
      </c>
      <c r="B1655" t="s">
        <v>558</v>
      </c>
      <c r="C1655" t="s">
        <v>1618</v>
      </c>
      <c r="D1655" t="s">
        <v>1828</v>
      </c>
      <c r="E1655" cm="1">
        <f t="array" ref="E1655">_xlfn.XLOOKUP(D1655,SKU_Master!A:A,SKU_Master!B:B,"Not on master")</f>
        <v>0</v>
      </c>
      <c r="F1655" cm="1">
        <f t="array" ref="F1655">_xlfn.XLOOKUP(C1655,Account_Master!A:A,Account_Master!B:B,"Not on master")</f>
        <v>0</v>
      </c>
      <c r="G1655" cm="1">
        <f t="array" ref="G1655">_xlfn.XLOOKUP(C1655,Account_Master!A:A,Account_Master!C:C,"Not on master")</f>
        <v>0</v>
      </c>
      <c r="H1655" s="6">
        <v>25.5</v>
      </c>
      <c r="I1655" s="6">
        <v>25.5</v>
      </c>
      <c r="J1655" s="6">
        <f>I1655-H1655</f>
        <v>0</v>
      </c>
      <c r="K1655" s="5">
        <f>IF(H1655=0,"",J1655/H1655)</f>
        <v>0</v>
      </c>
      <c r="L1655">
        <f>IF(OR(AND(H1655=0,ABS(J1655)&gt;=0.01),AND(H1655&lt;&gt;0,ABS(K1655)&gt;VarianceThreshold)),"Review","OK")</f>
        <v>0</v>
      </c>
      <c r="M1655" t="s">
        <v>33</v>
      </c>
    </row>
    <row r="1656" spans="1:13">
      <c r="A1656" t="s">
        <v>2</v>
      </c>
      <c r="B1656" t="s">
        <v>563</v>
      </c>
      <c r="C1656" t="s">
        <v>1586</v>
      </c>
      <c r="D1656" t="s">
        <v>620</v>
      </c>
      <c r="E1656" cm="1">
        <f t="array" ref="E1656">_xlfn.XLOOKUP(D1656,SKU_Master!A:A,SKU_Master!B:B,"Not on master")</f>
        <v>0</v>
      </c>
      <c r="F1656" cm="1">
        <f t="array" ref="F1656">_xlfn.XLOOKUP(C1656,Account_Master!A:A,Account_Master!B:B,"Not on master")</f>
        <v>0</v>
      </c>
      <c r="G1656" cm="1">
        <f t="array" ref="G1656">_xlfn.XLOOKUP(C1656,Account_Master!A:A,Account_Master!C:C,"Not on master")</f>
        <v>0</v>
      </c>
      <c r="H1656" s="6">
        <v>19</v>
      </c>
      <c r="I1656" s="6">
        <v>19</v>
      </c>
      <c r="J1656" s="6">
        <f>I1656-H1656</f>
        <v>0</v>
      </c>
      <c r="K1656" s="5">
        <f>IF(H1656=0,"",J1656/H1656)</f>
        <v>0</v>
      </c>
      <c r="L1656">
        <f>IF(OR(AND(H1656=0,ABS(J1656)&gt;=0.01),AND(H1656&lt;&gt;0,ABS(K1656)&gt;VarianceThreshold)),"Review","OK")</f>
        <v>0</v>
      </c>
      <c r="M1656" t="s">
        <v>33</v>
      </c>
    </row>
    <row r="1657" spans="1:13">
      <c r="A1657" t="s">
        <v>2</v>
      </c>
      <c r="B1657" t="s">
        <v>563</v>
      </c>
      <c r="C1657" t="s">
        <v>1716</v>
      </c>
      <c r="D1657" t="s">
        <v>1074</v>
      </c>
      <c r="E1657" cm="1">
        <f t="array" ref="E1657">_xlfn.XLOOKUP(D1657,SKU_Master!A:A,SKU_Master!B:B,"Not on master")</f>
        <v>0</v>
      </c>
      <c r="F1657" cm="1">
        <f t="array" ref="F1657">_xlfn.XLOOKUP(C1657,Account_Master!A:A,Account_Master!B:B,"Not on master")</f>
        <v>0</v>
      </c>
      <c r="G1657" cm="1">
        <f t="array" ref="G1657">_xlfn.XLOOKUP(C1657,Account_Master!A:A,Account_Master!C:C,"Not on master")</f>
        <v>0</v>
      </c>
      <c r="H1657" s="6">
        <v>120</v>
      </c>
      <c r="I1657" s="6">
        <v>120</v>
      </c>
      <c r="J1657" s="6">
        <f>I1657-H1657</f>
        <v>0</v>
      </c>
      <c r="K1657" s="5">
        <f>IF(H1657=0,"",J1657/H1657)</f>
        <v>0</v>
      </c>
      <c r="L1657">
        <f>IF(OR(AND(H1657=0,ABS(J1657)&gt;=0.01),AND(H1657&lt;&gt;0,ABS(K1657)&gt;VarianceThreshold)),"Review","OK")</f>
        <v>0</v>
      </c>
      <c r="M1657" t="s">
        <v>33</v>
      </c>
    </row>
    <row r="1658" spans="1:13">
      <c r="A1658" t="s">
        <v>2</v>
      </c>
      <c r="B1658" t="s">
        <v>563</v>
      </c>
      <c r="C1658" t="s">
        <v>1674</v>
      </c>
      <c r="D1658" t="s">
        <v>1829</v>
      </c>
      <c r="E1658" cm="1">
        <f t="array" ref="E1658">_xlfn.XLOOKUP(D1658,SKU_Master!A:A,SKU_Master!B:B,"Not on master")</f>
        <v>0</v>
      </c>
      <c r="F1658" cm="1">
        <f t="array" ref="F1658">_xlfn.XLOOKUP(C1658,Account_Master!A:A,Account_Master!B:B,"Not on master")</f>
        <v>0</v>
      </c>
      <c r="G1658" cm="1">
        <f t="array" ref="G1658">_xlfn.XLOOKUP(C1658,Account_Master!A:A,Account_Master!C:C,"Not on master")</f>
        <v>0</v>
      </c>
      <c r="H1658" s="6">
        <v>0.1</v>
      </c>
      <c r="I1658" s="6">
        <v>0.1</v>
      </c>
      <c r="J1658" s="6">
        <f>I1658-H1658</f>
        <v>0</v>
      </c>
      <c r="K1658" s="5">
        <f>IF(H1658=0,"",J1658/H1658)</f>
        <v>0</v>
      </c>
      <c r="L1658">
        <f>IF(OR(AND(H1658=0,ABS(J1658)&gt;=0.01),AND(H1658&lt;&gt;0,ABS(K1658)&gt;VarianceThreshold)),"Review","OK")</f>
        <v>0</v>
      </c>
      <c r="M1658" t="s">
        <v>33</v>
      </c>
    </row>
    <row r="1659" spans="1:13">
      <c r="A1659" t="s">
        <v>2</v>
      </c>
      <c r="B1659" t="s">
        <v>563</v>
      </c>
      <c r="C1659" t="s">
        <v>1721</v>
      </c>
      <c r="D1659" t="s">
        <v>1830</v>
      </c>
      <c r="E1659" cm="1">
        <f t="array" ref="E1659">_xlfn.XLOOKUP(D1659,SKU_Master!A:A,SKU_Master!B:B,"Not on master")</f>
        <v>0</v>
      </c>
      <c r="F1659" cm="1">
        <f t="array" ref="F1659">_xlfn.XLOOKUP(C1659,Account_Master!A:A,Account_Master!B:B,"Not on master")</f>
        <v>0</v>
      </c>
      <c r="G1659" cm="1">
        <f t="array" ref="G1659">_xlfn.XLOOKUP(C1659,Account_Master!A:A,Account_Master!C:C,"Not on master")</f>
        <v>0</v>
      </c>
      <c r="H1659" s="6">
        <v>0.35</v>
      </c>
      <c r="I1659" s="6">
        <v>0.35</v>
      </c>
      <c r="J1659" s="6">
        <f>I1659-H1659</f>
        <v>0</v>
      </c>
      <c r="K1659" s="5">
        <f>IF(H1659=0,"",J1659/H1659)</f>
        <v>0</v>
      </c>
      <c r="L1659">
        <f>IF(OR(AND(H1659=0,ABS(J1659)&gt;=0.01),AND(H1659&lt;&gt;0,ABS(K1659)&gt;VarianceThreshold)),"Review","OK")</f>
        <v>0</v>
      </c>
      <c r="M1659" t="s">
        <v>33</v>
      </c>
    </row>
    <row r="1660" spans="1:13">
      <c r="A1660" t="s">
        <v>2</v>
      </c>
      <c r="B1660" t="s">
        <v>571</v>
      </c>
      <c r="C1660" t="s">
        <v>1831</v>
      </c>
      <c r="D1660" t="s">
        <v>1832</v>
      </c>
      <c r="E1660" cm="1">
        <f t="array" ref="E1660">_xlfn.XLOOKUP(D1660,SKU_Master!A:A,SKU_Master!B:B,"Not on master")</f>
        <v>0</v>
      </c>
      <c r="F1660" cm="1">
        <f t="array" ref="F1660">_xlfn.XLOOKUP(C1660,Account_Master!A:A,Account_Master!B:B,"Not on master")</f>
        <v>0</v>
      </c>
      <c r="G1660" cm="1">
        <f t="array" ref="G1660">_xlfn.XLOOKUP(C1660,Account_Master!A:A,Account_Master!C:C,"Not on master")</f>
        <v>0</v>
      </c>
      <c r="H1660" s="6">
        <v>28.5</v>
      </c>
      <c r="I1660" s="6">
        <v>28.5</v>
      </c>
      <c r="J1660" s="6">
        <f>I1660-H1660</f>
        <v>0</v>
      </c>
      <c r="K1660" s="5">
        <f>IF(H1660=0,"",J1660/H1660)</f>
        <v>0</v>
      </c>
      <c r="L1660">
        <f>IF(OR(AND(H1660=0,ABS(J1660)&gt;=0.01),AND(H1660&lt;&gt;0,ABS(K1660)&gt;VarianceThreshold)),"Review","OK")</f>
        <v>0</v>
      </c>
      <c r="M1660" t="s">
        <v>33</v>
      </c>
    </row>
    <row r="1661" spans="1:13">
      <c r="A1661" t="s">
        <v>2</v>
      </c>
      <c r="B1661" t="s">
        <v>571</v>
      </c>
      <c r="C1661" t="s">
        <v>1602</v>
      </c>
      <c r="D1661" t="s">
        <v>1028</v>
      </c>
      <c r="E1661" cm="1">
        <f t="array" ref="E1661">_xlfn.XLOOKUP(D1661,SKU_Master!A:A,SKU_Master!B:B,"Not on master")</f>
        <v>0</v>
      </c>
      <c r="F1661" cm="1">
        <f t="array" ref="F1661">_xlfn.XLOOKUP(C1661,Account_Master!A:A,Account_Master!B:B,"Not on master")</f>
        <v>0</v>
      </c>
      <c r="G1661" cm="1">
        <f t="array" ref="G1661">_xlfn.XLOOKUP(C1661,Account_Master!A:A,Account_Master!C:C,"Not on master")</f>
        <v>0</v>
      </c>
      <c r="H1661" s="6">
        <v>21</v>
      </c>
      <c r="I1661" s="6">
        <v>21</v>
      </c>
      <c r="J1661" s="6">
        <f>I1661-H1661</f>
        <v>0</v>
      </c>
      <c r="K1661" s="5">
        <f>IF(H1661=0,"",J1661/H1661)</f>
        <v>0</v>
      </c>
      <c r="L1661">
        <f>IF(OR(AND(H1661=0,ABS(J1661)&gt;=0.01),AND(H1661&lt;&gt;0,ABS(K1661)&gt;VarianceThreshold)),"Review","OK")</f>
        <v>0</v>
      </c>
      <c r="M1661" t="s">
        <v>33</v>
      </c>
    </row>
    <row r="1662" spans="1:13">
      <c r="A1662" t="s">
        <v>2</v>
      </c>
      <c r="B1662" t="s">
        <v>571</v>
      </c>
      <c r="C1662" t="s">
        <v>1833</v>
      </c>
      <c r="D1662" t="s">
        <v>954</v>
      </c>
      <c r="E1662" cm="1">
        <f t="array" ref="E1662">_xlfn.XLOOKUP(D1662,SKU_Master!A:A,SKU_Master!B:B,"Not on master")</f>
        <v>0</v>
      </c>
      <c r="F1662" cm="1">
        <f t="array" ref="F1662">_xlfn.XLOOKUP(C1662,Account_Master!A:A,Account_Master!B:B,"Not on master")</f>
        <v>0</v>
      </c>
      <c r="G1662" cm="1">
        <f t="array" ref="G1662">_xlfn.XLOOKUP(C1662,Account_Master!A:A,Account_Master!C:C,"Not on master")</f>
        <v>0</v>
      </c>
      <c r="H1662" s="6">
        <v>4.5</v>
      </c>
      <c r="I1662" s="6">
        <v>4.5</v>
      </c>
      <c r="J1662" s="6">
        <f>I1662-H1662</f>
        <v>0</v>
      </c>
      <c r="K1662" s="5">
        <f>IF(H1662=0,"",J1662/H1662)</f>
        <v>0</v>
      </c>
      <c r="L1662">
        <f>IF(OR(AND(H1662=0,ABS(J1662)&gt;=0.01),AND(H1662&lt;&gt;0,ABS(K1662)&gt;VarianceThreshold)),"Review","OK")</f>
        <v>0</v>
      </c>
      <c r="M1662" t="s">
        <v>33</v>
      </c>
    </row>
    <row r="1663" spans="1:13">
      <c r="A1663" t="s">
        <v>2</v>
      </c>
      <c r="B1663" t="s">
        <v>571</v>
      </c>
      <c r="C1663" t="s">
        <v>1605</v>
      </c>
      <c r="D1663" t="s">
        <v>1340</v>
      </c>
      <c r="E1663" cm="1">
        <f t="array" ref="E1663">_xlfn.XLOOKUP(D1663,SKU_Master!A:A,SKU_Master!B:B,"Not on master")</f>
        <v>0</v>
      </c>
      <c r="F1663" cm="1">
        <f t="array" ref="F1663">_xlfn.XLOOKUP(C1663,Account_Master!A:A,Account_Master!B:B,"Not on master")</f>
        <v>0</v>
      </c>
      <c r="G1663" cm="1">
        <f t="array" ref="G1663">_xlfn.XLOOKUP(C1663,Account_Master!A:A,Account_Master!C:C,"Not on master")</f>
        <v>0</v>
      </c>
      <c r="H1663" s="6">
        <v>66.75</v>
      </c>
      <c r="I1663" s="6">
        <v>66.75</v>
      </c>
      <c r="J1663" s="6">
        <f>I1663-H1663</f>
        <v>0</v>
      </c>
      <c r="K1663" s="5">
        <f>IF(H1663=0,"",J1663/H1663)</f>
        <v>0</v>
      </c>
      <c r="L1663">
        <f>IF(OR(AND(H1663=0,ABS(J1663)&gt;=0.01),AND(H1663&lt;&gt;0,ABS(K1663)&gt;VarianceThreshold)),"Review","OK")</f>
        <v>0</v>
      </c>
      <c r="M1663" t="s">
        <v>33</v>
      </c>
    </row>
    <row r="1664" spans="1:13">
      <c r="A1664" t="s">
        <v>2</v>
      </c>
      <c r="B1664" t="s">
        <v>571</v>
      </c>
      <c r="C1664" t="s">
        <v>1580</v>
      </c>
      <c r="D1664" t="s">
        <v>1429</v>
      </c>
      <c r="E1664" cm="1">
        <f t="array" ref="E1664">_xlfn.XLOOKUP(D1664,SKU_Master!A:A,SKU_Master!B:B,"Not on master")</f>
        <v>0</v>
      </c>
      <c r="F1664" cm="1">
        <f t="array" ref="F1664">_xlfn.XLOOKUP(C1664,Account_Master!A:A,Account_Master!B:B,"Not on master")</f>
        <v>0</v>
      </c>
      <c r="G1664" cm="1">
        <f t="array" ref="G1664">_xlfn.XLOOKUP(C1664,Account_Master!A:A,Account_Master!C:C,"Not on master")</f>
        <v>0</v>
      </c>
      <c r="H1664" s="6">
        <v>134.25</v>
      </c>
      <c r="I1664" s="6">
        <v>134.25</v>
      </c>
      <c r="J1664" s="6">
        <f>I1664-H1664</f>
        <v>0</v>
      </c>
      <c r="K1664" s="5">
        <f>IF(H1664=0,"",J1664/H1664)</f>
        <v>0</v>
      </c>
      <c r="L1664">
        <f>IF(OR(AND(H1664=0,ABS(J1664)&gt;=0.01),AND(H1664&lt;&gt;0,ABS(K1664)&gt;VarianceThreshold)),"Review","OK")</f>
        <v>0</v>
      </c>
      <c r="M1664" t="s">
        <v>33</v>
      </c>
    </row>
    <row r="1665" spans="1:13">
      <c r="A1665" t="s">
        <v>2</v>
      </c>
      <c r="B1665" t="s">
        <v>571</v>
      </c>
      <c r="C1665" t="s">
        <v>1580</v>
      </c>
      <c r="D1665" t="s">
        <v>1834</v>
      </c>
      <c r="E1665" cm="1">
        <f t="array" ref="E1665">_xlfn.XLOOKUP(D1665,SKU_Master!A:A,SKU_Master!B:B,"Not on master")</f>
        <v>0</v>
      </c>
      <c r="F1665" cm="1">
        <f t="array" ref="F1665">_xlfn.XLOOKUP(C1665,Account_Master!A:A,Account_Master!B:B,"Not on master")</f>
        <v>0</v>
      </c>
      <c r="G1665" cm="1">
        <f t="array" ref="G1665">_xlfn.XLOOKUP(C1665,Account_Master!A:A,Account_Master!C:C,"Not on master")</f>
        <v>0</v>
      </c>
      <c r="H1665" s="6">
        <v>20.25</v>
      </c>
      <c r="I1665" s="6">
        <v>20.25</v>
      </c>
      <c r="J1665" s="6">
        <f>I1665-H1665</f>
        <v>0</v>
      </c>
      <c r="K1665" s="5">
        <f>IF(H1665=0,"",J1665/H1665)</f>
        <v>0</v>
      </c>
      <c r="L1665">
        <f>IF(OR(AND(H1665=0,ABS(J1665)&gt;=0.01),AND(H1665&lt;&gt;0,ABS(K1665)&gt;VarianceThreshold)),"Review","OK")</f>
        <v>0</v>
      </c>
      <c r="M1665" t="s">
        <v>33</v>
      </c>
    </row>
    <row r="1666" spans="1:13">
      <c r="A1666" t="s">
        <v>2</v>
      </c>
      <c r="B1666" t="s">
        <v>571</v>
      </c>
      <c r="C1666" t="s">
        <v>1835</v>
      </c>
      <c r="D1666" t="s">
        <v>941</v>
      </c>
      <c r="E1666" cm="1">
        <f t="array" ref="E1666">_xlfn.XLOOKUP(D1666,SKU_Master!A:A,SKU_Master!B:B,"Not on master")</f>
        <v>0</v>
      </c>
      <c r="F1666" cm="1">
        <f t="array" ref="F1666">_xlfn.XLOOKUP(C1666,Account_Master!A:A,Account_Master!B:B,"Not on master")</f>
        <v>0</v>
      </c>
      <c r="G1666" cm="1">
        <f t="array" ref="G1666">_xlfn.XLOOKUP(C1666,Account_Master!A:A,Account_Master!C:C,"Not on master")</f>
        <v>0</v>
      </c>
      <c r="H1666" s="6">
        <v>21</v>
      </c>
      <c r="I1666" s="6">
        <v>21</v>
      </c>
      <c r="J1666" s="6">
        <f>I1666-H1666</f>
        <v>0</v>
      </c>
      <c r="K1666" s="5">
        <f>IF(H1666=0,"",J1666/H1666)</f>
        <v>0</v>
      </c>
      <c r="L1666">
        <f>IF(OR(AND(H1666=0,ABS(J1666)&gt;=0.01),AND(H1666&lt;&gt;0,ABS(K1666)&gt;VarianceThreshold)),"Review","OK")</f>
        <v>0</v>
      </c>
      <c r="M1666" t="s">
        <v>33</v>
      </c>
    </row>
    <row r="1667" spans="1:13">
      <c r="A1667" t="s">
        <v>2</v>
      </c>
      <c r="B1667" t="s">
        <v>571</v>
      </c>
      <c r="C1667" t="s">
        <v>1836</v>
      </c>
      <c r="D1667" t="s">
        <v>1837</v>
      </c>
      <c r="E1667" cm="1">
        <f t="array" ref="E1667">_xlfn.XLOOKUP(D1667,SKU_Master!A:A,SKU_Master!B:B,"Not on master")</f>
        <v>0</v>
      </c>
      <c r="F1667" cm="1">
        <f t="array" ref="F1667">_xlfn.XLOOKUP(C1667,Account_Master!A:A,Account_Master!B:B,"Not on master")</f>
        <v>0</v>
      </c>
      <c r="G1667" cm="1">
        <f t="array" ref="G1667">_xlfn.XLOOKUP(C1667,Account_Master!A:A,Account_Master!C:C,"Not on master")</f>
        <v>0</v>
      </c>
      <c r="H1667" s="6">
        <v>3</v>
      </c>
      <c r="I1667" s="6">
        <v>3</v>
      </c>
      <c r="J1667" s="6">
        <f>I1667-H1667</f>
        <v>0</v>
      </c>
      <c r="K1667" s="5">
        <f>IF(H1667=0,"",J1667/H1667)</f>
        <v>0</v>
      </c>
      <c r="L1667">
        <f>IF(OR(AND(H1667=0,ABS(J1667)&gt;=0.01),AND(H1667&lt;&gt;0,ABS(K1667)&gt;VarianceThreshold)),"Review","OK")</f>
        <v>0</v>
      </c>
      <c r="M1667" t="s">
        <v>33</v>
      </c>
    </row>
    <row r="1668" spans="1:13">
      <c r="A1668" t="s">
        <v>2</v>
      </c>
      <c r="B1668" t="s">
        <v>571</v>
      </c>
      <c r="C1668" t="s">
        <v>1782</v>
      </c>
      <c r="D1668" t="s">
        <v>1413</v>
      </c>
      <c r="E1668" cm="1">
        <f t="array" ref="E1668">_xlfn.XLOOKUP(D1668,SKU_Master!A:A,SKU_Master!B:B,"Not on master")</f>
        <v>0</v>
      </c>
      <c r="F1668" cm="1">
        <f t="array" ref="F1668">_xlfn.XLOOKUP(C1668,Account_Master!A:A,Account_Master!B:B,"Not on master")</f>
        <v>0</v>
      </c>
      <c r="G1668" cm="1">
        <f t="array" ref="G1668">_xlfn.XLOOKUP(C1668,Account_Master!A:A,Account_Master!C:C,"Not on master")</f>
        <v>0</v>
      </c>
      <c r="H1668" s="6">
        <v>42</v>
      </c>
      <c r="I1668" s="6">
        <v>42</v>
      </c>
      <c r="J1668" s="6">
        <f>I1668-H1668</f>
        <v>0</v>
      </c>
      <c r="K1668" s="5">
        <f>IF(H1668=0,"",J1668/H1668)</f>
        <v>0</v>
      </c>
      <c r="L1668">
        <f>IF(OR(AND(H1668=0,ABS(J1668)&gt;=0.01),AND(H1668&lt;&gt;0,ABS(K1668)&gt;VarianceThreshold)),"Review","OK")</f>
        <v>0</v>
      </c>
      <c r="M1668" t="s">
        <v>33</v>
      </c>
    </row>
    <row r="1669" spans="1:13">
      <c r="A1669" t="s">
        <v>2</v>
      </c>
      <c r="B1669" t="s">
        <v>571</v>
      </c>
      <c r="C1669" t="s">
        <v>1705</v>
      </c>
      <c r="D1669" t="s">
        <v>632</v>
      </c>
      <c r="E1669" cm="1">
        <f t="array" ref="E1669">_xlfn.XLOOKUP(D1669,SKU_Master!A:A,SKU_Master!B:B,"Not on master")</f>
        <v>0</v>
      </c>
      <c r="F1669" cm="1">
        <f t="array" ref="F1669">_xlfn.XLOOKUP(C1669,Account_Master!A:A,Account_Master!B:B,"Not on master")</f>
        <v>0</v>
      </c>
      <c r="G1669" cm="1">
        <f t="array" ref="G1669">_xlfn.XLOOKUP(C1669,Account_Master!A:A,Account_Master!C:C,"Not on master")</f>
        <v>0</v>
      </c>
      <c r="H1669" s="6">
        <v>70</v>
      </c>
      <c r="I1669" s="6">
        <v>41.2</v>
      </c>
      <c r="J1669" s="6">
        <f>I1669-H1669</f>
        <v>0</v>
      </c>
      <c r="K1669" s="5">
        <f>IF(H1669=0,"",J1669/H1669)</f>
        <v>0</v>
      </c>
      <c r="L1669">
        <f>IF(OR(AND(H1669=0,ABS(J1669)&gt;=0.01),AND(H1669&lt;&gt;0,ABS(K1669)&gt;VarianceThreshold)),"Review","OK")</f>
        <v>0</v>
      </c>
      <c r="M1669" t="s">
        <v>1611</v>
      </c>
    </row>
    <row r="1670" spans="1:13">
      <c r="A1670" t="s">
        <v>2</v>
      </c>
      <c r="B1670" t="s">
        <v>574</v>
      </c>
      <c r="C1670" t="s">
        <v>1747</v>
      </c>
      <c r="D1670" t="s">
        <v>1838</v>
      </c>
      <c r="E1670" cm="1">
        <f t="array" ref="E1670">_xlfn.XLOOKUP(D1670,SKU_Master!A:A,SKU_Master!B:B,"Not on master")</f>
        <v>0</v>
      </c>
      <c r="F1670" cm="1">
        <f t="array" ref="F1670">_xlfn.XLOOKUP(C1670,Account_Master!A:A,Account_Master!B:B,"Not on master")</f>
        <v>0</v>
      </c>
      <c r="G1670" cm="1">
        <f t="array" ref="G1670">_xlfn.XLOOKUP(C1670,Account_Master!A:A,Account_Master!C:C,"Not on master")</f>
        <v>0</v>
      </c>
      <c r="H1670" s="6">
        <v>42</v>
      </c>
      <c r="I1670" s="6">
        <v>31.5</v>
      </c>
      <c r="J1670" s="6">
        <f>I1670-H1670</f>
        <v>0</v>
      </c>
      <c r="K1670" s="5">
        <f>IF(H1670=0,"",J1670/H1670)</f>
        <v>0</v>
      </c>
      <c r="L1670">
        <f>IF(OR(AND(H1670=0,ABS(J1670)&gt;=0.01),AND(H1670&lt;&gt;0,ABS(K1670)&gt;VarianceThreshold)),"Review","OK")</f>
        <v>0</v>
      </c>
      <c r="M1670" t="s">
        <v>1611</v>
      </c>
    </row>
    <row r="1671" spans="1:13">
      <c r="A1671" t="s">
        <v>2</v>
      </c>
      <c r="B1671" t="s">
        <v>574</v>
      </c>
      <c r="C1671" t="s">
        <v>1716</v>
      </c>
      <c r="D1671" t="s">
        <v>1417</v>
      </c>
      <c r="E1671" cm="1">
        <f t="array" ref="E1671">_xlfn.XLOOKUP(D1671,SKU_Master!A:A,SKU_Master!B:B,"Not on master")</f>
        <v>0</v>
      </c>
      <c r="F1671" cm="1">
        <f t="array" ref="F1671">_xlfn.XLOOKUP(C1671,Account_Master!A:A,Account_Master!B:B,"Not on master")</f>
        <v>0</v>
      </c>
      <c r="G1671" cm="1">
        <f t="array" ref="G1671">_xlfn.XLOOKUP(C1671,Account_Master!A:A,Account_Master!C:C,"Not on master")</f>
        <v>0</v>
      </c>
      <c r="H1671" s="6">
        <v>89.62</v>
      </c>
      <c r="I1671" s="6">
        <v>89.62</v>
      </c>
      <c r="J1671" s="6">
        <f>I1671-H1671</f>
        <v>0</v>
      </c>
      <c r="K1671" s="5">
        <f>IF(H1671=0,"",J1671/H1671)</f>
        <v>0</v>
      </c>
      <c r="L1671">
        <f>IF(OR(AND(H1671=0,ABS(J1671)&gt;=0.01),AND(H1671&lt;&gt;0,ABS(K1671)&gt;VarianceThreshold)),"Review","OK")</f>
        <v>0</v>
      </c>
      <c r="M1671" t="s">
        <v>33</v>
      </c>
    </row>
    <row r="1672" spans="1:13">
      <c r="A1672" t="s">
        <v>2</v>
      </c>
      <c r="B1672" t="s">
        <v>574</v>
      </c>
      <c r="C1672" t="s">
        <v>1612</v>
      </c>
      <c r="D1672" t="s">
        <v>1839</v>
      </c>
      <c r="E1672" cm="1">
        <f t="array" ref="E1672">_xlfn.XLOOKUP(D1672,SKU_Master!A:A,SKU_Master!B:B,"Not on master")</f>
        <v>0</v>
      </c>
      <c r="F1672" cm="1">
        <f t="array" ref="F1672">_xlfn.XLOOKUP(C1672,Account_Master!A:A,Account_Master!B:B,"Not on master")</f>
        <v>0</v>
      </c>
      <c r="G1672" cm="1">
        <f t="array" ref="G1672">_xlfn.XLOOKUP(C1672,Account_Master!A:A,Account_Master!C:C,"Not on master")</f>
        <v>0</v>
      </c>
      <c r="H1672" s="6">
        <v>2.25</v>
      </c>
      <c r="I1672" s="6">
        <v>2.25</v>
      </c>
      <c r="J1672" s="6">
        <f>I1672-H1672</f>
        <v>0</v>
      </c>
      <c r="K1672" s="5">
        <f>IF(H1672=0,"",J1672/H1672)</f>
        <v>0</v>
      </c>
      <c r="L1672">
        <f>IF(OR(AND(H1672=0,ABS(J1672)&gt;=0.01),AND(H1672&lt;&gt;0,ABS(K1672)&gt;VarianceThreshold)),"Review","OK")</f>
        <v>0</v>
      </c>
      <c r="M1672" t="s">
        <v>33</v>
      </c>
    </row>
    <row r="1673" spans="1:13">
      <c r="A1673" t="s">
        <v>2</v>
      </c>
      <c r="B1673" t="s">
        <v>574</v>
      </c>
      <c r="C1673" t="s">
        <v>1840</v>
      </c>
      <c r="D1673" t="s">
        <v>1841</v>
      </c>
      <c r="E1673" cm="1">
        <f t="array" ref="E1673">_xlfn.XLOOKUP(D1673,SKU_Master!A:A,SKU_Master!B:B,"Not on master")</f>
        <v>0</v>
      </c>
      <c r="F1673" cm="1">
        <f t="array" ref="F1673">_xlfn.XLOOKUP(C1673,Account_Master!A:A,Account_Master!B:B,"Not on master")</f>
        <v>0</v>
      </c>
      <c r="G1673" cm="1">
        <f t="array" ref="G1673">_xlfn.XLOOKUP(C1673,Account_Master!A:A,Account_Master!C:C,"Not on master")</f>
        <v>0</v>
      </c>
      <c r="H1673" s="6">
        <v>3.75</v>
      </c>
      <c r="I1673" s="6">
        <v>3.75</v>
      </c>
      <c r="J1673" s="6">
        <f>I1673-H1673</f>
        <v>0</v>
      </c>
      <c r="K1673" s="5">
        <f>IF(H1673=0,"",J1673/H1673)</f>
        <v>0</v>
      </c>
      <c r="L1673">
        <f>IF(OR(AND(H1673=0,ABS(J1673)&gt;=0.01),AND(H1673&lt;&gt;0,ABS(K1673)&gt;VarianceThreshold)),"Review","OK")</f>
        <v>0</v>
      </c>
      <c r="M1673" t="s">
        <v>33</v>
      </c>
    </row>
    <row r="1674" spans="1:13">
      <c r="A1674" t="s">
        <v>2</v>
      </c>
      <c r="B1674" t="s">
        <v>574</v>
      </c>
      <c r="C1674" t="s">
        <v>1762</v>
      </c>
      <c r="D1674" t="s">
        <v>762</v>
      </c>
      <c r="E1674" cm="1">
        <f t="array" ref="E1674">_xlfn.XLOOKUP(D1674,SKU_Master!A:A,SKU_Master!B:B,"Not on master")</f>
        <v>0</v>
      </c>
      <c r="F1674" cm="1">
        <f t="array" ref="F1674">_xlfn.XLOOKUP(C1674,Account_Master!A:A,Account_Master!B:B,"Not on master")</f>
        <v>0</v>
      </c>
      <c r="G1674" cm="1">
        <f t="array" ref="G1674">_xlfn.XLOOKUP(C1674,Account_Master!A:A,Account_Master!C:C,"Not on master")</f>
        <v>0</v>
      </c>
      <c r="H1674" s="6">
        <v>18</v>
      </c>
      <c r="I1674" s="6">
        <v>9</v>
      </c>
      <c r="J1674" s="6">
        <f>I1674-H1674</f>
        <v>0</v>
      </c>
      <c r="K1674" s="5">
        <f>IF(H1674=0,"",J1674/H1674)</f>
        <v>0</v>
      </c>
      <c r="L1674">
        <f>IF(OR(AND(H1674=0,ABS(J1674)&gt;=0.01),AND(H1674&lt;&gt;0,ABS(K1674)&gt;VarianceThreshold)),"Review","OK")</f>
        <v>0</v>
      </c>
      <c r="M1674" t="s">
        <v>1611</v>
      </c>
    </row>
    <row r="1675" spans="1:13">
      <c r="A1675" t="s">
        <v>2</v>
      </c>
      <c r="B1675" t="s">
        <v>574</v>
      </c>
      <c r="C1675" t="s">
        <v>1618</v>
      </c>
      <c r="D1675" t="s">
        <v>850</v>
      </c>
      <c r="E1675" cm="1">
        <f t="array" ref="E1675">_xlfn.XLOOKUP(D1675,SKU_Master!A:A,SKU_Master!B:B,"Not on master")</f>
        <v>0</v>
      </c>
      <c r="F1675" cm="1">
        <f t="array" ref="F1675">_xlfn.XLOOKUP(C1675,Account_Master!A:A,Account_Master!B:B,"Not on master")</f>
        <v>0</v>
      </c>
      <c r="G1675" cm="1">
        <f t="array" ref="G1675">_xlfn.XLOOKUP(C1675,Account_Master!A:A,Account_Master!C:C,"Not on master")</f>
        <v>0</v>
      </c>
      <c r="H1675" s="6">
        <v>0.3</v>
      </c>
      <c r="I1675" s="6">
        <v>0.3</v>
      </c>
      <c r="J1675" s="6">
        <f>I1675-H1675</f>
        <v>0</v>
      </c>
      <c r="K1675" s="5">
        <f>IF(H1675=0,"",J1675/H1675)</f>
        <v>0</v>
      </c>
      <c r="L1675">
        <f>IF(OR(AND(H1675=0,ABS(J1675)&gt;=0.01),AND(H1675&lt;&gt;0,ABS(K1675)&gt;VarianceThreshold)),"Review","OK")</f>
        <v>0</v>
      </c>
      <c r="M1675" t="s">
        <v>33</v>
      </c>
    </row>
    <row r="1676" spans="1:13">
      <c r="A1676" t="s">
        <v>2</v>
      </c>
      <c r="B1676" t="s">
        <v>574</v>
      </c>
      <c r="C1676" t="s">
        <v>1842</v>
      </c>
      <c r="D1676" t="s">
        <v>1843</v>
      </c>
      <c r="E1676" cm="1">
        <f t="array" ref="E1676">_xlfn.XLOOKUP(D1676,SKU_Master!A:A,SKU_Master!B:B,"Not on master")</f>
        <v>0</v>
      </c>
      <c r="F1676" cm="1">
        <f t="array" ref="F1676">_xlfn.XLOOKUP(C1676,Account_Master!A:A,Account_Master!B:B,"Not on master")</f>
        <v>0</v>
      </c>
      <c r="G1676" cm="1">
        <f t="array" ref="G1676">_xlfn.XLOOKUP(C1676,Account_Master!A:A,Account_Master!C:C,"Not on master")</f>
        <v>0</v>
      </c>
      <c r="H1676" s="6">
        <v>0.75</v>
      </c>
      <c r="I1676" s="6">
        <v>0.75</v>
      </c>
      <c r="J1676" s="6">
        <f>I1676-H1676</f>
        <v>0</v>
      </c>
      <c r="K1676" s="5">
        <f>IF(H1676=0,"",J1676/H1676)</f>
        <v>0</v>
      </c>
      <c r="L1676">
        <f>IF(OR(AND(H1676=0,ABS(J1676)&gt;=0.01),AND(H1676&lt;&gt;0,ABS(K1676)&gt;VarianceThreshold)),"Review","OK")</f>
        <v>0</v>
      </c>
      <c r="M1676" t="s">
        <v>33</v>
      </c>
    </row>
    <row r="1677" spans="1:13">
      <c r="A1677" t="s">
        <v>2</v>
      </c>
      <c r="B1677" t="s">
        <v>574</v>
      </c>
      <c r="C1677" t="s">
        <v>1597</v>
      </c>
      <c r="D1677" t="s">
        <v>1844</v>
      </c>
      <c r="E1677" cm="1">
        <f t="array" ref="E1677">_xlfn.XLOOKUP(D1677,SKU_Master!A:A,SKU_Master!B:B,"Not on master")</f>
        <v>0</v>
      </c>
      <c r="F1677" cm="1">
        <f t="array" ref="F1677">_xlfn.XLOOKUP(C1677,Account_Master!A:A,Account_Master!B:B,"Not on master")</f>
        <v>0</v>
      </c>
      <c r="G1677" cm="1">
        <f t="array" ref="G1677">_xlfn.XLOOKUP(C1677,Account_Master!A:A,Account_Master!C:C,"Not on master")</f>
        <v>0</v>
      </c>
      <c r="H1677" s="6">
        <v>1.75</v>
      </c>
      <c r="I1677" s="6">
        <v>1.75</v>
      </c>
      <c r="J1677" s="6">
        <f>I1677-H1677</f>
        <v>0</v>
      </c>
      <c r="K1677" s="5">
        <f>IF(H1677=0,"",J1677/H1677)</f>
        <v>0</v>
      </c>
      <c r="L1677">
        <f>IF(OR(AND(H1677=0,ABS(J1677)&gt;=0.01),AND(H1677&lt;&gt;0,ABS(K1677)&gt;VarianceThreshold)),"Review","OK")</f>
        <v>0</v>
      </c>
      <c r="M1677" t="s">
        <v>33</v>
      </c>
    </row>
    <row r="1678" spans="1:13">
      <c r="A1678" t="s">
        <v>2</v>
      </c>
      <c r="B1678" t="s">
        <v>585</v>
      </c>
      <c r="C1678" t="s">
        <v>1639</v>
      </c>
      <c r="D1678" t="s">
        <v>526</v>
      </c>
      <c r="E1678" cm="1">
        <f t="array" ref="E1678">_xlfn.XLOOKUP(D1678,SKU_Master!A:A,SKU_Master!B:B,"Not on master")</f>
        <v>0</v>
      </c>
      <c r="F1678" cm="1">
        <f t="array" ref="F1678">_xlfn.XLOOKUP(C1678,Account_Master!A:A,Account_Master!B:B,"Not on master")</f>
        <v>0</v>
      </c>
      <c r="G1678" cm="1">
        <f t="array" ref="G1678">_xlfn.XLOOKUP(C1678,Account_Master!A:A,Account_Master!C:C,"Not on master")</f>
        <v>0</v>
      </c>
      <c r="H1678" s="6">
        <v>9</v>
      </c>
      <c r="I1678" s="6">
        <v>9</v>
      </c>
      <c r="J1678" s="6">
        <f>I1678-H1678</f>
        <v>0</v>
      </c>
      <c r="K1678" s="5">
        <f>IF(H1678=0,"",J1678/H1678)</f>
        <v>0</v>
      </c>
      <c r="L1678">
        <f>IF(OR(AND(H1678=0,ABS(J1678)&gt;=0.01),AND(H1678&lt;&gt;0,ABS(K1678)&gt;VarianceThreshold)),"Review","OK")</f>
        <v>0</v>
      </c>
      <c r="M1678" t="s">
        <v>33</v>
      </c>
    </row>
    <row r="1679" spans="1:13">
      <c r="A1679" t="s">
        <v>2</v>
      </c>
      <c r="B1679" t="s">
        <v>585</v>
      </c>
      <c r="C1679" t="s">
        <v>1836</v>
      </c>
      <c r="D1679" t="s">
        <v>1845</v>
      </c>
      <c r="E1679" cm="1">
        <f t="array" ref="E1679">_xlfn.XLOOKUP(D1679,SKU_Master!A:A,SKU_Master!B:B,"Not on master")</f>
        <v>0</v>
      </c>
      <c r="F1679" cm="1">
        <f t="array" ref="F1679">_xlfn.XLOOKUP(C1679,Account_Master!A:A,Account_Master!B:B,"Not on master")</f>
        <v>0</v>
      </c>
      <c r="G1679" cm="1">
        <f t="array" ref="G1679">_xlfn.XLOOKUP(C1679,Account_Master!A:A,Account_Master!C:C,"Not on master")</f>
        <v>0</v>
      </c>
      <c r="H1679" s="6">
        <v>9</v>
      </c>
      <c r="I1679" s="6">
        <v>9</v>
      </c>
      <c r="J1679" s="6">
        <f>I1679-H1679</f>
        <v>0</v>
      </c>
      <c r="K1679" s="5">
        <f>IF(H1679=0,"",J1679/H1679)</f>
        <v>0</v>
      </c>
      <c r="L1679">
        <f>IF(OR(AND(H1679=0,ABS(J1679)&gt;=0.01),AND(H1679&lt;&gt;0,ABS(K1679)&gt;VarianceThreshold)),"Review","OK")</f>
        <v>0</v>
      </c>
      <c r="M1679" t="s">
        <v>33</v>
      </c>
    </row>
    <row r="1680" spans="1:13">
      <c r="A1680" t="s">
        <v>2</v>
      </c>
      <c r="B1680" t="s">
        <v>585</v>
      </c>
      <c r="C1680" t="s">
        <v>1846</v>
      </c>
      <c r="D1680" t="s">
        <v>1847</v>
      </c>
      <c r="E1680" cm="1">
        <f t="array" ref="E1680">_xlfn.XLOOKUP(D1680,SKU_Master!A:A,SKU_Master!B:B,"Not on master")</f>
        <v>0</v>
      </c>
      <c r="F1680" cm="1">
        <f t="array" ref="F1680">_xlfn.XLOOKUP(C1680,Account_Master!A:A,Account_Master!B:B,"Not on master")</f>
        <v>0</v>
      </c>
      <c r="G1680" cm="1">
        <f t="array" ref="G1680">_xlfn.XLOOKUP(C1680,Account_Master!A:A,Account_Master!C:C,"Not on master")</f>
        <v>0</v>
      </c>
      <c r="H1680" s="6">
        <v>3</v>
      </c>
      <c r="I1680" s="6">
        <v>3</v>
      </c>
      <c r="J1680" s="6">
        <f>I1680-H1680</f>
        <v>0</v>
      </c>
      <c r="K1680" s="5">
        <f>IF(H1680=0,"",J1680/H1680)</f>
        <v>0</v>
      </c>
      <c r="L1680">
        <f>IF(OR(AND(H1680=0,ABS(J1680)&gt;=0.01),AND(H1680&lt;&gt;0,ABS(K1680)&gt;VarianceThreshold)),"Review","OK")</f>
        <v>0</v>
      </c>
      <c r="M1680" t="s">
        <v>33</v>
      </c>
    </row>
    <row r="1681" spans="1:13">
      <c r="A1681" t="s">
        <v>2</v>
      </c>
      <c r="B1681" t="s">
        <v>594</v>
      </c>
      <c r="C1681" t="s">
        <v>1577</v>
      </c>
      <c r="D1681" t="s">
        <v>1848</v>
      </c>
      <c r="E1681" cm="1">
        <f t="array" ref="E1681">_xlfn.XLOOKUP(D1681,SKU_Master!A:A,SKU_Master!B:B,"Not on master")</f>
        <v>0</v>
      </c>
      <c r="F1681" cm="1">
        <f t="array" ref="F1681">_xlfn.XLOOKUP(C1681,Account_Master!A:A,Account_Master!B:B,"Not on master")</f>
        <v>0</v>
      </c>
      <c r="G1681" cm="1">
        <f t="array" ref="G1681">_xlfn.XLOOKUP(C1681,Account_Master!A:A,Account_Master!C:C,"Not on master")</f>
        <v>0</v>
      </c>
      <c r="H1681" s="6">
        <v>0.7</v>
      </c>
      <c r="I1681" s="6">
        <v>0.7</v>
      </c>
      <c r="J1681" s="6">
        <f>I1681-H1681</f>
        <v>0</v>
      </c>
      <c r="K1681" s="5">
        <f>IF(H1681=0,"",J1681/H1681)</f>
        <v>0</v>
      </c>
      <c r="L1681">
        <f>IF(OR(AND(H1681=0,ABS(J1681)&gt;=0.01),AND(H1681&lt;&gt;0,ABS(K1681)&gt;VarianceThreshold)),"Review","OK")</f>
        <v>0</v>
      </c>
      <c r="M1681" t="s">
        <v>33</v>
      </c>
    </row>
    <row r="1682" spans="1:13">
      <c r="A1682" t="s">
        <v>2</v>
      </c>
      <c r="B1682" t="s">
        <v>594</v>
      </c>
      <c r="C1682" t="s">
        <v>1849</v>
      </c>
      <c r="D1682" t="s">
        <v>1850</v>
      </c>
      <c r="E1682" cm="1">
        <f t="array" ref="E1682">_xlfn.XLOOKUP(D1682,SKU_Master!A:A,SKU_Master!B:B,"Not on master")</f>
        <v>0</v>
      </c>
      <c r="F1682" cm="1">
        <f t="array" ref="F1682">_xlfn.XLOOKUP(C1682,Account_Master!A:A,Account_Master!B:B,"Not on master")</f>
        <v>0</v>
      </c>
      <c r="G1682" cm="1">
        <f t="array" ref="G1682">_xlfn.XLOOKUP(C1682,Account_Master!A:A,Account_Master!C:C,"Not on master")</f>
        <v>0</v>
      </c>
      <c r="H1682" s="6">
        <v>10.5</v>
      </c>
      <c r="I1682" s="6">
        <v>10.5</v>
      </c>
      <c r="J1682" s="6">
        <f>I1682-H1682</f>
        <v>0</v>
      </c>
      <c r="K1682" s="5">
        <f>IF(H1682=0,"",J1682/H1682)</f>
        <v>0</v>
      </c>
      <c r="L1682">
        <f>IF(OR(AND(H1682=0,ABS(J1682)&gt;=0.01),AND(H1682&lt;&gt;0,ABS(K1682)&gt;VarianceThreshold)),"Review","OK")</f>
        <v>0</v>
      </c>
      <c r="M1682" t="s">
        <v>33</v>
      </c>
    </row>
    <row r="1683" spans="1:13">
      <c r="A1683" t="s">
        <v>2</v>
      </c>
      <c r="B1683" t="s">
        <v>594</v>
      </c>
      <c r="C1683" t="s">
        <v>1682</v>
      </c>
      <c r="D1683" t="s">
        <v>1851</v>
      </c>
      <c r="E1683" cm="1">
        <f t="array" ref="E1683">_xlfn.XLOOKUP(D1683,SKU_Master!A:A,SKU_Master!B:B,"Not on master")</f>
        <v>0</v>
      </c>
      <c r="F1683" cm="1">
        <f t="array" ref="F1683">_xlfn.XLOOKUP(C1683,Account_Master!A:A,Account_Master!B:B,"Not on master")</f>
        <v>0</v>
      </c>
      <c r="G1683" cm="1">
        <f t="array" ref="G1683">_xlfn.XLOOKUP(C1683,Account_Master!A:A,Account_Master!C:C,"Not on master")</f>
        <v>0</v>
      </c>
      <c r="H1683" s="6">
        <v>47.25</v>
      </c>
      <c r="I1683" s="6">
        <v>47.25</v>
      </c>
      <c r="J1683" s="6">
        <f>I1683-H1683</f>
        <v>0</v>
      </c>
      <c r="K1683" s="5">
        <f>IF(H1683=0,"",J1683/H1683)</f>
        <v>0</v>
      </c>
      <c r="L1683">
        <f>IF(OR(AND(H1683=0,ABS(J1683)&gt;=0.01),AND(H1683&lt;&gt;0,ABS(K1683)&gt;VarianceThreshold)),"Review","OK")</f>
        <v>0</v>
      </c>
      <c r="M1683" t="s">
        <v>33</v>
      </c>
    </row>
    <row r="1684" spans="1:13">
      <c r="A1684" t="s">
        <v>2</v>
      </c>
      <c r="B1684" t="s">
        <v>594</v>
      </c>
      <c r="C1684" t="s">
        <v>1852</v>
      </c>
      <c r="D1684" t="s">
        <v>898</v>
      </c>
      <c r="E1684" cm="1">
        <f t="array" ref="E1684">_xlfn.XLOOKUP(D1684,SKU_Master!A:A,SKU_Master!B:B,"Not on master")</f>
        <v>0</v>
      </c>
      <c r="F1684" cm="1">
        <f t="array" ref="F1684">_xlfn.XLOOKUP(C1684,Account_Master!A:A,Account_Master!B:B,"Not on master")</f>
        <v>0</v>
      </c>
      <c r="G1684" cm="1">
        <f t="array" ref="G1684">_xlfn.XLOOKUP(C1684,Account_Master!A:A,Account_Master!C:C,"Not on master")</f>
        <v>0</v>
      </c>
      <c r="H1684" s="6">
        <v>21.75</v>
      </c>
      <c r="I1684" s="6">
        <v>21.75</v>
      </c>
      <c r="J1684" s="6">
        <f>I1684-H1684</f>
        <v>0</v>
      </c>
      <c r="K1684" s="5">
        <f>IF(H1684=0,"",J1684/H1684)</f>
        <v>0</v>
      </c>
      <c r="L1684">
        <f>IF(OR(AND(H1684=0,ABS(J1684)&gt;=0.01),AND(H1684&lt;&gt;0,ABS(K1684)&gt;VarianceThreshold)),"Review","OK")</f>
        <v>0</v>
      </c>
      <c r="M1684" t="s">
        <v>33</v>
      </c>
    </row>
    <row r="1685" spans="1:13">
      <c r="A1685" t="s">
        <v>2</v>
      </c>
      <c r="B1685" t="s">
        <v>594</v>
      </c>
      <c r="C1685" t="s">
        <v>1586</v>
      </c>
      <c r="D1685" t="s">
        <v>1853</v>
      </c>
      <c r="E1685" cm="1">
        <f t="array" ref="E1685">_xlfn.XLOOKUP(D1685,SKU_Master!A:A,SKU_Master!B:B,"Not on master")</f>
        <v>0</v>
      </c>
      <c r="F1685" cm="1">
        <f t="array" ref="F1685">_xlfn.XLOOKUP(C1685,Account_Master!A:A,Account_Master!B:B,"Not on master")</f>
        <v>0</v>
      </c>
      <c r="G1685" cm="1">
        <f t="array" ref="G1685">_xlfn.XLOOKUP(C1685,Account_Master!A:A,Account_Master!C:C,"Not on master")</f>
        <v>0</v>
      </c>
      <c r="H1685" s="6">
        <v>14</v>
      </c>
      <c r="I1685" s="6">
        <v>14</v>
      </c>
      <c r="J1685" s="6">
        <f>I1685-H1685</f>
        <v>0</v>
      </c>
      <c r="K1685" s="5">
        <f>IF(H1685=0,"",J1685/H1685)</f>
        <v>0</v>
      </c>
      <c r="L1685">
        <f>IF(OR(AND(H1685=0,ABS(J1685)&gt;=0.01),AND(H1685&lt;&gt;0,ABS(K1685)&gt;VarianceThreshold)),"Review","OK")</f>
        <v>0</v>
      </c>
      <c r="M1685" t="s">
        <v>33</v>
      </c>
    </row>
    <row r="1686" spans="1:13">
      <c r="A1686" t="s">
        <v>2</v>
      </c>
      <c r="B1686" t="s">
        <v>594</v>
      </c>
      <c r="C1686" t="s">
        <v>1612</v>
      </c>
      <c r="D1686" t="s">
        <v>1854</v>
      </c>
      <c r="E1686" cm="1">
        <f t="array" ref="E1686">_xlfn.XLOOKUP(D1686,SKU_Master!A:A,SKU_Master!B:B,"Not on master")</f>
        <v>0</v>
      </c>
      <c r="F1686" cm="1">
        <f t="array" ref="F1686">_xlfn.XLOOKUP(C1686,Account_Master!A:A,Account_Master!B:B,"Not on master")</f>
        <v>0</v>
      </c>
      <c r="G1686" cm="1">
        <f t="array" ref="G1686">_xlfn.XLOOKUP(C1686,Account_Master!A:A,Account_Master!C:C,"Not on master")</f>
        <v>0</v>
      </c>
      <c r="H1686" s="6">
        <v>126</v>
      </c>
      <c r="I1686" s="6">
        <v>126</v>
      </c>
      <c r="J1686" s="6">
        <f>I1686-H1686</f>
        <v>0</v>
      </c>
      <c r="K1686" s="5">
        <f>IF(H1686=0,"",J1686/H1686)</f>
        <v>0</v>
      </c>
      <c r="L1686">
        <f>IF(OR(AND(H1686=0,ABS(J1686)&gt;=0.01),AND(H1686&lt;&gt;0,ABS(K1686)&gt;VarianceThreshold)),"Review","OK")</f>
        <v>0</v>
      </c>
      <c r="M1686" t="s">
        <v>33</v>
      </c>
    </row>
    <row r="1687" spans="1:13">
      <c r="A1687" t="s">
        <v>2</v>
      </c>
      <c r="B1687" t="s">
        <v>607</v>
      </c>
      <c r="C1687" t="s">
        <v>1612</v>
      </c>
      <c r="D1687" t="s">
        <v>96</v>
      </c>
      <c r="E1687" cm="1">
        <f t="array" ref="E1687">_xlfn.XLOOKUP(D1687,SKU_Master!A:A,SKU_Master!B:B,"Not on master")</f>
        <v>0</v>
      </c>
      <c r="F1687" cm="1">
        <f t="array" ref="F1687">_xlfn.XLOOKUP(C1687,Account_Master!A:A,Account_Master!B:B,"Not on master")</f>
        <v>0</v>
      </c>
      <c r="G1687" cm="1">
        <f t="array" ref="G1687">_xlfn.XLOOKUP(C1687,Account_Master!A:A,Account_Master!C:C,"Not on master")</f>
        <v>0</v>
      </c>
      <c r="H1687" s="6">
        <v>1.5</v>
      </c>
      <c r="I1687" s="6">
        <v>1.5</v>
      </c>
      <c r="J1687" s="6">
        <f>I1687-H1687</f>
        <v>0</v>
      </c>
      <c r="K1687" s="5">
        <f>IF(H1687=0,"",J1687/H1687)</f>
        <v>0</v>
      </c>
      <c r="L1687">
        <f>IF(OR(AND(H1687=0,ABS(J1687)&gt;=0.01),AND(H1687&lt;&gt;0,ABS(K1687)&gt;VarianceThreshold)),"Review","OK")</f>
        <v>0</v>
      </c>
      <c r="M1687" t="s">
        <v>33</v>
      </c>
    </row>
    <row r="1688" spans="1:13">
      <c r="A1688" t="s">
        <v>2</v>
      </c>
      <c r="B1688" t="s">
        <v>607</v>
      </c>
      <c r="C1688" t="s">
        <v>1621</v>
      </c>
      <c r="D1688" t="s">
        <v>1855</v>
      </c>
      <c r="E1688" cm="1">
        <f t="array" ref="E1688">_xlfn.XLOOKUP(D1688,SKU_Master!A:A,SKU_Master!B:B,"Not on master")</f>
        <v>0</v>
      </c>
      <c r="F1688" cm="1">
        <f t="array" ref="F1688">_xlfn.XLOOKUP(C1688,Account_Master!A:A,Account_Master!B:B,"Not on master")</f>
        <v>0</v>
      </c>
      <c r="G1688" cm="1">
        <f t="array" ref="G1688">_xlfn.XLOOKUP(C1688,Account_Master!A:A,Account_Master!C:C,"Not on master")</f>
        <v>0</v>
      </c>
      <c r="H1688" s="6">
        <v>18</v>
      </c>
      <c r="I1688" s="6">
        <v>18</v>
      </c>
      <c r="J1688" s="6">
        <f>I1688-H1688</f>
        <v>0</v>
      </c>
      <c r="K1688" s="5">
        <f>IF(H1688=0,"",J1688/H1688)</f>
        <v>0</v>
      </c>
      <c r="L1688">
        <f>IF(OR(AND(H1688=0,ABS(J1688)&gt;=0.01),AND(H1688&lt;&gt;0,ABS(K1688)&gt;VarianceThreshold)),"Review","OK")</f>
        <v>0</v>
      </c>
      <c r="M1688" t="s">
        <v>33</v>
      </c>
    </row>
    <row r="1689" spans="1:13">
      <c r="A1689" t="s">
        <v>2</v>
      </c>
      <c r="B1689" t="s">
        <v>607</v>
      </c>
      <c r="C1689" t="s">
        <v>1642</v>
      </c>
      <c r="D1689" t="s">
        <v>1856</v>
      </c>
      <c r="E1689" cm="1">
        <f t="array" ref="E1689">_xlfn.XLOOKUP(D1689,SKU_Master!A:A,SKU_Master!B:B,"Not on master")</f>
        <v>0</v>
      </c>
      <c r="F1689" cm="1">
        <f t="array" ref="F1689">_xlfn.XLOOKUP(C1689,Account_Master!A:A,Account_Master!B:B,"Not on master")</f>
        <v>0</v>
      </c>
      <c r="G1689" cm="1">
        <f t="array" ref="G1689">_xlfn.XLOOKUP(C1689,Account_Master!A:A,Account_Master!C:C,"Not on master")</f>
        <v>0</v>
      </c>
      <c r="H1689" s="6">
        <v>255.75</v>
      </c>
      <c r="I1689" s="6">
        <v>255.75</v>
      </c>
      <c r="J1689" s="6">
        <f>I1689-H1689</f>
        <v>0</v>
      </c>
      <c r="K1689" s="5">
        <f>IF(H1689=0,"",J1689/H1689)</f>
        <v>0</v>
      </c>
      <c r="L1689">
        <f>IF(OR(AND(H1689=0,ABS(J1689)&gt;=0.01),AND(H1689&lt;&gt;0,ABS(K1689)&gt;VarianceThreshold)),"Review","OK")</f>
        <v>0</v>
      </c>
      <c r="M1689" t="s">
        <v>33</v>
      </c>
    </row>
    <row r="1690" spans="1:13">
      <c r="A1690" t="s">
        <v>2</v>
      </c>
      <c r="B1690" t="s">
        <v>615</v>
      </c>
      <c r="C1690" t="s">
        <v>1857</v>
      </c>
      <c r="D1690" t="s">
        <v>206</v>
      </c>
      <c r="E1690" cm="1">
        <f t="array" ref="E1690">_xlfn.XLOOKUP(D1690,SKU_Master!A:A,SKU_Master!B:B,"Not on master")</f>
        <v>0</v>
      </c>
      <c r="F1690" cm="1">
        <f t="array" ref="F1690">_xlfn.XLOOKUP(C1690,Account_Master!A:A,Account_Master!B:B,"Not on master")</f>
        <v>0</v>
      </c>
      <c r="G1690" cm="1">
        <f t="array" ref="G1690">_xlfn.XLOOKUP(C1690,Account_Master!A:A,Account_Master!C:C,"Not on master")</f>
        <v>0</v>
      </c>
      <c r="H1690" s="6">
        <v>251.25</v>
      </c>
      <c r="I1690" s="6">
        <v>224.25</v>
      </c>
      <c r="J1690" s="6">
        <f>I1690-H1690</f>
        <v>0</v>
      </c>
      <c r="K1690" s="5">
        <f>IF(H1690=0,"",J1690/H1690)</f>
        <v>0</v>
      </c>
      <c r="L1690">
        <f>IF(OR(AND(H1690=0,ABS(J1690)&gt;=0.01),AND(H1690&lt;&gt;0,ABS(K1690)&gt;VarianceThreshold)),"Review","OK")</f>
        <v>0</v>
      </c>
      <c r="M1690" t="s">
        <v>1611</v>
      </c>
    </row>
    <row r="1691" spans="1:13">
      <c r="A1691" t="s">
        <v>2</v>
      </c>
      <c r="B1691" t="s">
        <v>615</v>
      </c>
      <c r="C1691" t="s">
        <v>1858</v>
      </c>
      <c r="D1691" t="s">
        <v>176</v>
      </c>
      <c r="E1691" cm="1">
        <f t="array" ref="E1691">_xlfn.XLOOKUP(D1691,SKU_Master!A:A,SKU_Master!B:B,"Not on master")</f>
        <v>0</v>
      </c>
      <c r="F1691" cm="1">
        <f t="array" ref="F1691">_xlfn.XLOOKUP(C1691,Account_Master!A:A,Account_Master!B:B,"Not on master")</f>
        <v>0</v>
      </c>
      <c r="G1691" cm="1">
        <f t="array" ref="G1691">_xlfn.XLOOKUP(C1691,Account_Master!A:A,Account_Master!C:C,"Not on master")</f>
        <v>0</v>
      </c>
      <c r="H1691" s="6">
        <v>13</v>
      </c>
      <c r="I1691" s="6">
        <v>12.4</v>
      </c>
      <c r="J1691" s="6">
        <f>I1691-H1691</f>
        <v>0</v>
      </c>
      <c r="K1691" s="5">
        <f>IF(H1691=0,"",J1691/H1691)</f>
        <v>0</v>
      </c>
      <c r="L1691">
        <f>IF(OR(AND(H1691=0,ABS(J1691)&gt;=0.01),AND(H1691&lt;&gt;0,ABS(K1691)&gt;VarianceThreshold)),"Review","OK")</f>
        <v>0</v>
      </c>
      <c r="M1691" t="s">
        <v>33</v>
      </c>
    </row>
    <row r="1692" spans="1:13">
      <c r="A1692" t="s">
        <v>2</v>
      </c>
      <c r="B1692" t="s">
        <v>615</v>
      </c>
      <c r="C1692" t="s">
        <v>1655</v>
      </c>
      <c r="D1692" t="s">
        <v>1431</v>
      </c>
      <c r="E1692" cm="1">
        <f t="array" ref="E1692">_xlfn.XLOOKUP(D1692,SKU_Master!A:A,SKU_Master!B:B,"Not on master")</f>
        <v>0</v>
      </c>
      <c r="F1692" cm="1">
        <f t="array" ref="F1692">_xlfn.XLOOKUP(C1692,Account_Master!A:A,Account_Master!B:B,"Not on master")</f>
        <v>0</v>
      </c>
      <c r="G1692" cm="1">
        <f t="array" ref="G1692">_xlfn.XLOOKUP(C1692,Account_Master!A:A,Account_Master!C:C,"Not on master")</f>
        <v>0</v>
      </c>
      <c r="H1692" s="6">
        <v>10.5</v>
      </c>
      <c r="I1692" s="6">
        <v>10.5</v>
      </c>
      <c r="J1692" s="6">
        <f>I1692-H1692</f>
        <v>0</v>
      </c>
      <c r="K1692" s="5">
        <f>IF(H1692=0,"",J1692/H1692)</f>
        <v>0</v>
      </c>
      <c r="L1692">
        <f>IF(OR(AND(H1692=0,ABS(J1692)&gt;=0.01),AND(H1692&lt;&gt;0,ABS(K1692)&gt;VarianceThreshold)),"Review","OK")</f>
        <v>0</v>
      </c>
      <c r="M1692" t="s">
        <v>33</v>
      </c>
    </row>
    <row r="1693" spans="1:13">
      <c r="A1693" t="s">
        <v>2</v>
      </c>
      <c r="B1693" t="s">
        <v>615</v>
      </c>
      <c r="C1693" t="s">
        <v>1621</v>
      </c>
      <c r="D1693" t="s">
        <v>1360</v>
      </c>
      <c r="E1693" cm="1">
        <f t="array" ref="E1693">_xlfn.XLOOKUP(D1693,SKU_Master!A:A,SKU_Master!B:B,"Not on master")</f>
        <v>0</v>
      </c>
      <c r="F1693" cm="1">
        <f t="array" ref="F1693">_xlfn.XLOOKUP(C1693,Account_Master!A:A,Account_Master!B:B,"Not on master")</f>
        <v>0</v>
      </c>
      <c r="G1693" cm="1">
        <f t="array" ref="G1693">_xlfn.XLOOKUP(C1693,Account_Master!A:A,Account_Master!C:C,"Not on master")</f>
        <v>0</v>
      </c>
      <c r="H1693" s="6">
        <v>38.25</v>
      </c>
      <c r="I1693" s="6">
        <v>38.25</v>
      </c>
      <c r="J1693" s="6">
        <f>I1693-H1693</f>
        <v>0</v>
      </c>
      <c r="K1693" s="5">
        <f>IF(H1693=0,"",J1693/H1693)</f>
        <v>0</v>
      </c>
      <c r="L1693">
        <f>IF(OR(AND(H1693=0,ABS(J1693)&gt;=0.01),AND(H1693&lt;&gt;0,ABS(K1693)&gt;VarianceThreshold)),"Review","OK")</f>
        <v>0</v>
      </c>
      <c r="M1693" t="s">
        <v>33</v>
      </c>
    </row>
    <row r="1694" spans="1:13">
      <c r="A1694" t="s">
        <v>2</v>
      </c>
      <c r="B1694" t="s">
        <v>615</v>
      </c>
      <c r="C1694" t="s">
        <v>1786</v>
      </c>
      <c r="D1694" t="s">
        <v>1364</v>
      </c>
      <c r="E1694" cm="1">
        <f t="array" ref="E1694">_xlfn.XLOOKUP(D1694,SKU_Master!A:A,SKU_Master!B:B,"Not on master")</f>
        <v>0</v>
      </c>
      <c r="F1694" cm="1">
        <f t="array" ref="F1694">_xlfn.XLOOKUP(C1694,Account_Master!A:A,Account_Master!B:B,"Not on master")</f>
        <v>0</v>
      </c>
      <c r="G1694" cm="1">
        <f t="array" ref="G1694">_xlfn.XLOOKUP(C1694,Account_Master!A:A,Account_Master!C:C,"Not on master")</f>
        <v>0</v>
      </c>
      <c r="H1694" s="6">
        <v>10.5</v>
      </c>
      <c r="I1694" s="6">
        <v>10.5</v>
      </c>
      <c r="J1694" s="6">
        <f>I1694-H1694</f>
        <v>0</v>
      </c>
      <c r="K1694" s="5">
        <f>IF(H1694=0,"",J1694/H1694)</f>
        <v>0</v>
      </c>
      <c r="L1694">
        <f>IF(OR(AND(H1694=0,ABS(J1694)&gt;=0.01),AND(H1694&lt;&gt;0,ABS(K1694)&gt;VarianceThreshold)),"Review","OK")</f>
        <v>0</v>
      </c>
      <c r="M1694" t="s">
        <v>33</v>
      </c>
    </row>
    <row r="1695" spans="1:13">
      <c r="A1695" t="s">
        <v>2</v>
      </c>
      <c r="B1695" t="s">
        <v>615</v>
      </c>
      <c r="C1695" t="s">
        <v>1859</v>
      </c>
      <c r="D1695" t="s">
        <v>1860</v>
      </c>
      <c r="E1695" cm="1">
        <f t="array" ref="E1695">_xlfn.XLOOKUP(D1695,SKU_Master!A:A,SKU_Master!B:B,"Not on master")</f>
        <v>0</v>
      </c>
      <c r="F1695" cm="1">
        <f t="array" ref="F1695">_xlfn.XLOOKUP(C1695,Account_Master!A:A,Account_Master!B:B,"Not on master")</f>
        <v>0</v>
      </c>
      <c r="G1695" cm="1">
        <f t="array" ref="G1695">_xlfn.XLOOKUP(C1695,Account_Master!A:A,Account_Master!C:C,"Not on master")</f>
        <v>0</v>
      </c>
      <c r="H1695" s="6">
        <v>0.75</v>
      </c>
      <c r="I1695" s="6">
        <v>0.75</v>
      </c>
      <c r="J1695" s="6">
        <f>I1695-H1695</f>
        <v>0</v>
      </c>
      <c r="K1695" s="5">
        <f>IF(H1695=0,"",J1695/H1695)</f>
        <v>0</v>
      </c>
      <c r="L1695">
        <f>IF(OR(AND(H1695=0,ABS(J1695)&gt;=0.01),AND(H1695&lt;&gt;0,ABS(K1695)&gt;VarianceThreshold)),"Review","OK")</f>
        <v>0</v>
      </c>
      <c r="M1695" t="s">
        <v>33</v>
      </c>
    </row>
    <row r="1696" spans="1:13">
      <c r="A1696" t="s">
        <v>2</v>
      </c>
      <c r="B1696" t="s">
        <v>615</v>
      </c>
      <c r="C1696" t="s">
        <v>1861</v>
      </c>
      <c r="D1696" t="s">
        <v>1862</v>
      </c>
      <c r="E1696" cm="1">
        <f t="array" ref="E1696">_xlfn.XLOOKUP(D1696,SKU_Master!A:A,SKU_Master!B:B,"Not on master")</f>
        <v>0</v>
      </c>
      <c r="F1696" cm="1">
        <f t="array" ref="F1696">_xlfn.XLOOKUP(C1696,Account_Master!A:A,Account_Master!B:B,"Not on master")</f>
        <v>0</v>
      </c>
      <c r="G1696" cm="1">
        <f t="array" ref="G1696">_xlfn.XLOOKUP(C1696,Account_Master!A:A,Account_Master!C:C,"Not on master")</f>
        <v>0</v>
      </c>
      <c r="H1696" s="6">
        <v>0.1</v>
      </c>
      <c r="I1696" s="6">
        <v>0.1</v>
      </c>
      <c r="J1696" s="6">
        <f>I1696-H1696</f>
        <v>0</v>
      </c>
      <c r="K1696" s="5">
        <f>IF(H1696=0,"",J1696/H1696)</f>
        <v>0</v>
      </c>
      <c r="L1696">
        <f>IF(OR(AND(H1696=0,ABS(J1696)&gt;=0.01),AND(H1696&lt;&gt;0,ABS(K1696)&gt;VarianceThreshold)),"Review","OK")</f>
        <v>0</v>
      </c>
      <c r="M1696" t="s">
        <v>33</v>
      </c>
    </row>
    <row r="1697" spans="1:13">
      <c r="A1697" t="s">
        <v>2</v>
      </c>
      <c r="B1697" t="s">
        <v>615</v>
      </c>
      <c r="C1697" t="s">
        <v>1721</v>
      </c>
      <c r="D1697" t="s">
        <v>131</v>
      </c>
      <c r="E1697" cm="1">
        <f t="array" ref="E1697">_xlfn.XLOOKUP(D1697,SKU_Master!A:A,SKU_Master!B:B,"Not on master")</f>
        <v>0</v>
      </c>
      <c r="F1697" cm="1">
        <f t="array" ref="F1697">_xlfn.XLOOKUP(C1697,Account_Master!A:A,Account_Master!B:B,"Not on master")</f>
        <v>0</v>
      </c>
      <c r="G1697" cm="1">
        <f t="array" ref="G1697">_xlfn.XLOOKUP(C1697,Account_Master!A:A,Account_Master!C:C,"Not on master")</f>
        <v>0</v>
      </c>
      <c r="H1697" s="6">
        <v>0.75</v>
      </c>
      <c r="I1697" s="6">
        <v>0.75</v>
      </c>
      <c r="J1697" s="6">
        <f>I1697-H1697</f>
        <v>0</v>
      </c>
      <c r="K1697" s="5">
        <f>IF(H1697=0,"",J1697/H1697)</f>
        <v>0</v>
      </c>
      <c r="L1697">
        <f>IF(OR(AND(H1697=0,ABS(J1697)&gt;=0.01),AND(H1697&lt;&gt;0,ABS(K1697)&gt;VarianceThreshold)),"Review","OK")</f>
        <v>0</v>
      </c>
      <c r="M1697" t="s">
        <v>33</v>
      </c>
    </row>
    <row r="1698" spans="1:13">
      <c r="A1698" t="s">
        <v>2</v>
      </c>
      <c r="B1698" t="s">
        <v>615</v>
      </c>
      <c r="C1698" t="s">
        <v>1705</v>
      </c>
      <c r="D1698" t="s">
        <v>1863</v>
      </c>
      <c r="E1698" cm="1">
        <f t="array" ref="E1698">_xlfn.XLOOKUP(D1698,SKU_Master!A:A,SKU_Master!B:B,"Not on master")</f>
        <v>0</v>
      </c>
      <c r="F1698" cm="1">
        <f t="array" ref="F1698">_xlfn.XLOOKUP(C1698,Account_Master!A:A,Account_Master!B:B,"Not on master")</f>
        <v>0</v>
      </c>
      <c r="G1698" cm="1">
        <f t="array" ref="G1698">_xlfn.XLOOKUP(C1698,Account_Master!A:A,Account_Master!C:C,"Not on master")</f>
        <v>0</v>
      </c>
      <c r="H1698" s="6">
        <v>7.5</v>
      </c>
      <c r="I1698" s="6">
        <v>7.5</v>
      </c>
      <c r="J1698" s="6">
        <f>I1698-H1698</f>
        <v>0</v>
      </c>
      <c r="K1698" s="5">
        <f>IF(H1698=0,"",J1698/H1698)</f>
        <v>0</v>
      </c>
      <c r="L1698">
        <f>IF(OR(AND(H1698=0,ABS(J1698)&gt;=0.01),AND(H1698&lt;&gt;0,ABS(K1698)&gt;VarianceThreshold)),"Review","OK")</f>
        <v>0</v>
      </c>
      <c r="M1698" t="s">
        <v>33</v>
      </c>
    </row>
    <row r="1699" spans="1:13">
      <c r="A1699" t="s">
        <v>2</v>
      </c>
      <c r="B1699" t="s">
        <v>624</v>
      </c>
      <c r="C1699" t="s">
        <v>1610</v>
      </c>
      <c r="D1699" t="s">
        <v>1864</v>
      </c>
      <c r="E1699" cm="1">
        <f t="array" ref="E1699">_xlfn.XLOOKUP(D1699,SKU_Master!A:A,SKU_Master!B:B,"Not on master")</f>
        <v>0</v>
      </c>
      <c r="F1699" cm="1">
        <f t="array" ref="F1699">_xlfn.XLOOKUP(C1699,Account_Master!A:A,Account_Master!B:B,"Not on master")</f>
        <v>0</v>
      </c>
      <c r="G1699" cm="1">
        <f t="array" ref="G1699">_xlfn.XLOOKUP(C1699,Account_Master!A:A,Account_Master!C:C,"Not on master")</f>
        <v>0</v>
      </c>
      <c r="H1699" s="6">
        <v>10.5</v>
      </c>
      <c r="I1699" s="6">
        <v>10.5</v>
      </c>
      <c r="J1699" s="6">
        <f>I1699-H1699</f>
        <v>0</v>
      </c>
      <c r="K1699" s="5">
        <f>IF(H1699=0,"",J1699/H1699)</f>
        <v>0</v>
      </c>
      <c r="L1699">
        <f>IF(OR(AND(H1699=0,ABS(J1699)&gt;=0.01),AND(H1699&lt;&gt;0,ABS(K1699)&gt;VarianceThreshold)),"Review","OK")</f>
        <v>0</v>
      </c>
      <c r="M1699" t="s">
        <v>33</v>
      </c>
    </row>
    <row r="1700" spans="1:13">
      <c r="A1700" t="s">
        <v>2</v>
      </c>
      <c r="B1700" t="s">
        <v>624</v>
      </c>
      <c r="C1700" t="s">
        <v>1735</v>
      </c>
      <c r="D1700" t="s">
        <v>1865</v>
      </c>
      <c r="E1700" cm="1">
        <f t="array" ref="E1700">_xlfn.XLOOKUP(D1700,SKU_Master!A:A,SKU_Master!B:B,"Not on master")</f>
        <v>0</v>
      </c>
      <c r="F1700" cm="1">
        <f t="array" ref="F1700">_xlfn.XLOOKUP(C1700,Account_Master!A:A,Account_Master!B:B,"Not on master")</f>
        <v>0</v>
      </c>
      <c r="G1700" cm="1">
        <f t="array" ref="G1700">_xlfn.XLOOKUP(C1700,Account_Master!A:A,Account_Master!C:C,"Not on master")</f>
        <v>0</v>
      </c>
      <c r="H1700" s="6">
        <v>0.75</v>
      </c>
      <c r="I1700" s="6">
        <v>0.75</v>
      </c>
      <c r="J1700" s="6">
        <f>I1700-H1700</f>
        <v>0</v>
      </c>
      <c r="K1700" s="5">
        <f>IF(H1700=0,"",J1700/H1700)</f>
        <v>0</v>
      </c>
      <c r="L1700">
        <f>IF(OR(AND(H1700=0,ABS(J1700)&gt;=0.01),AND(H1700&lt;&gt;0,ABS(K1700)&gt;VarianceThreshold)),"Review","OK")</f>
        <v>0</v>
      </c>
      <c r="M1700" t="s">
        <v>33</v>
      </c>
    </row>
    <row r="1701" spans="1:13">
      <c r="A1701" t="s">
        <v>2</v>
      </c>
      <c r="B1701" t="s">
        <v>624</v>
      </c>
      <c r="C1701" t="s">
        <v>1612</v>
      </c>
      <c r="D1701" t="s">
        <v>1866</v>
      </c>
      <c r="E1701" cm="1">
        <f t="array" ref="E1701">_xlfn.XLOOKUP(D1701,SKU_Master!A:A,SKU_Master!B:B,"Not on master")</f>
        <v>0</v>
      </c>
      <c r="F1701" cm="1">
        <f t="array" ref="F1701">_xlfn.XLOOKUP(C1701,Account_Master!A:A,Account_Master!B:B,"Not on master")</f>
        <v>0</v>
      </c>
      <c r="G1701" cm="1">
        <f t="array" ref="G1701">_xlfn.XLOOKUP(C1701,Account_Master!A:A,Account_Master!C:C,"Not on master")</f>
        <v>0</v>
      </c>
      <c r="H1701" s="6">
        <v>0.75</v>
      </c>
      <c r="I1701" s="6">
        <v>0.7</v>
      </c>
      <c r="J1701" s="6">
        <f>I1701-H1701</f>
        <v>0</v>
      </c>
      <c r="K1701" s="5">
        <f>IF(H1701=0,"",J1701/H1701)</f>
        <v>0</v>
      </c>
      <c r="L1701">
        <f>IF(OR(AND(H1701=0,ABS(J1701)&gt;=0.01),AND(H1701&lt;&gt;0,ABS(K1701)&gt;VarianceThreshold)),"Review","OK")</f>
        <v>0</v>
      </c>
      <c r="M1701" t="s">
        <v>1611</v>
      </c>
    </row>
    <row r="1702" spans="1:13">
      <c r="A1702" t="s">
        <v>2</v>
      </c>
      <c r="B1702" t="s">
        <v>624</v>
      </c>
      <c r="C1702" t="s">
        <v>1867</v>
      </c>
      <c r="D1702" t="s">
        <v>1868</v>
      </c>
      <c r="E1702" cm="1">
        <f t="array" ref="E1702">_xlfn.XLOOKUP(D1702,SKU_Master!A:A,SKU_Master!B:B,"Not on master")</f>
        <v>0</v>
      </c>
      <c r="F1702" cm="1">
        <f t="array" ref="F1702">_xlfn.XLOOKUP(C1702,Account_Master!A:A,Account_Master!B:B,"Not on master")</f>
        <v>0</v>
      </c>
      <c r="G1702" cm="1">
        <f t="array" ref="G1702">_xlfn.XLOOKUP(C1702,Account_Master!A:A,Account_Master!C:C,"Not on master")</f>
        <v>0</v>
      </c>
      <c r="H1702" s="6">
        <v>9</v>
      </c>
      <c r="I1702" s="6">
        <v>9</v>
      </c>
      <c r="J1702" s="6">
        <f>I1702-H1702</f>
        <v>0</v>
      </c>
      <c r="K1702" s="5">
        <f>IF(H1702=0,"",J1702/H1702)</f>
        <v>0</v>
      </c>
      <c r="L1702">
        <f>IF(OR(AND(H1702=0,ABS(J1702)&gt;=0.01),AND(H1702&lt;&gt;0,ABS(K1702)&gt;VarianceThreshold)),"Review","OK")</f>
        <v>0</v>
      </c>
      <c r="M1702" t="s">
        <v>33</v>
      </c>
    </row>
    <row r="1703" spans="1:13">
      <c r="A1703" t="s">
        <v>2</v>
      </c>
      <c r="B1703" t="s">
        <v>624</v>
      </c>
      <c r="C1703" t="s">
        <v>1869</v>
      </c>
      <c r="D1703" t="s">
        <v>1462</v>
      </c>
      <c r="E1703" cm="1">
        <f t="array" ref="E1703">_xlfn.XLOOKUP(D1703,SKU_Master!A:A,SKU_Master!B:B,"Not on master")</f>
        <v>0</v>
      </c>
      <c r="F1703" cm="1">
        <f t="array" ref="F1703">_xlfn.XLOOKUP(C1703,Account_Master!A:A,Account_Master!B:B,"Not on master")</f>
        <v>0</v>
      </c>
      <c r="G1703" cm="1">
        <f t="array" ref="G1703">_xlfn.XLOOKUP(C1703,Account_Master!A:A,Account_Master!C:C,"Not on master")</f>
        <v>0</v>
      </c>
      <c r="H1703" s="6">
        <v>3.45</v>
      </c>
      <c r="I1703" s="6">
        <v>3.45</v>
      </c>
      <c r="J1703" s="6">
        <f>I1703-H1703</f>
        <v>0</v>
      </c>
      <c r="K1703" s="5">
        <f>IF(H1703=0,"",J1703/H1703)</f>
        <v>0</v>
      </c>
      <c r="L1703">
        <f>IF(OR(AND(H1703=0,ABS(J1703)&gt;=0.01),AND(H1703&lt;&gt;0,ABS(K1703)&gt;VarianceThreshold)),"Review","OK")</f>
        <v>0</v>
      </c>
      <c r="M1703" t="s">
        <v>33</v>
      </c>
    </row>
    <row r="1704" spans="1:13">
      <c r="A1704" t="s">
        <v>2</v>
      </c>
      <c r="B1704" t="s">
        <v>624</v>
      </c>
      <c r="C1704" t="s">
        <v>1605</v>
      </c>
      <c r="D1704" t="s">
        <v>396</v>
      </c>
      <c r="E1704" cm="1">
        <f t="array" ref="E1704">_xlfn.XLOOKUP(D1704,SKU_Master!A:A,SKU_Master!B:B,"Not on master")</f>
        <v>0</v>
      </c>
      <c r="F1704" cm="1">
        <f t="array" ref="F1704">_xlfn.XLOOKUP(C1704,Account_Master!A:A,Account_Master!B:B,"Not on master")</f>
        <v>0</v>
      </c>
      <c r="G1704" cm="1">
        <f t="array" ref="G1704">_xlfn.XLOOKUP(C1704,Account_Master!A:A,Account_Master!C:C,"Not on master")</f>
        <v>0</v>
      </c>
      <c r="H1704" s="6">
        <v>42</v>
      </c>
      <c r="I1704" s="6">
        <v>31.5</v>
      </c>
      <c r="J1704" s="6">
        <f>I1704-H1704</f>
        <v>0</v>
      </c>
      <c r="K1704" s="5">
        <f>IF(H1704=0,"",J1704/H1704)</f>
        <v>0</v>
      </c>
      <c r="L1704">
        <f>IF(OR(AND(H1704=0,ABS(J1704)&gt;=0.01),AND(H1704&lt;&gt;0,ABS(K1704)&gt;VarianceThreshold)),"Review","OK")</f>
        <v>0</v>
      </c>
      <c r="M1704" t="s">
        <v>1611</v>
      </c>
    </row>
    <row r="1705" spans="1:13">
      <c r="A1705" t="s">
        <v>2</v>
      </c>
      <c r="B1705" t="s">
        <v>624</v>
      </c>
      <c r="C1705" t="s">
        <v>1670</v>
      </c>
      <c r="D1705" t="s">
        <v>1870</v>
      </c>
      <c r="E1705" cm="1">
        <f t="array" ref="E1705">_xlfn.XLOOKUP(D1705,SKU_Master!A:A,SKU_Master!B:B,"Not on master")</f>
        <v>0</v>
      </c>
      <c r="F1705" cm="1">
        <f t="array" ref="F1705">_xlfn.XLOOKUP(C1705,Account_Master!A:A,Account_Master!B:B,"Not on master")</f>
        <v>0</v>
      </c>
      <c r="G1705" cm="1">
        <f t="array" ref="G1705">_xlfn.XLOOKUP(C1705,Account_Master!A:A,Account_Master!C:C,"Not on master")</f>
        <v>0</v>
      </c>
      <c r="H1705" s="6">
        <v>1.5</v>
      </c>
      <c r="I1705" s="6">
        <v>1.5</v>
      </c>
      <c r="J1705" s="6">
        <f>I1705-H1705</f>
        <v>0</v>
      </c>
      <c r="K1705" s="5">
        <f>IF(H1705=0,"",J1705/H1705)</f>
        <v>0</v>
      </c>
      <c r="L1705">
        <f>IF(OR(AND(H1705=0,ABS(J1705)&gt;=0.01),AND(H1705&lt;&gt;0,ABS(K1705)&gt;VarianceThreshold)),"Review","OK")</f>
        <v>0</v>
      </c>
      <c r="M1705" t="s">
        <v>33</v>
      </c>
    </row>
    <row r="1706" spans="1:13">
      <c r="A1706" t="s">
        <v>2</v>
      </c>
      <c r="B1706" t="s">
        <v>624</v>
      </c>
      <c r="C1706" t="s">
        <v>1757</v>
      </c>
      <c r="D1706" t="s">
        <v>68</v>
      </c>
      <c r="E1706" cm="1">
        <f t="array" ref="E1706">_xlfn.XLOOKUP(D1706,SKU_Master!A:A,SKU_Master!B:B,"Not on master")</f>
        <v>0</v>
      </c>
      <c r="F1706" cm="1">
        <f t="array" ref="F1706">_xlfn.XLOOKUP(C1706,Account_Master!A:A,Account_Master!B:B,"Not on master")</f>
        <v>0</v>
      </c>
      <c r="G1706" cm="1">
        <f t="array" ref="G1706">_xlfn.XLOOKUP(C1706,Account_Master!A:A,Account_Master!C:C,"Not on master")</f>
        <v>0</v>
      </c>
      <c r="H1706" s="6">
        <v>4.5</v>
      </c>
      <c r="I1706" s="6">
        <v>4.5</v>
      </c>
      <c r="J1706" s="6">
        <f>I1706-H1706</f>
        <v>0</v>
      </c>
      <c r="K1706" s="5">
        <f>IF(H1706=0,"",J1706/H1706)</f>
        <v>0</v>
      </c>
      <c r="L1706">
        <f>IF(OR(AND(H1706=0,ABS(J1706)&gt;=0.01),AND(H1706&lt;&gt;0,ABS(K1706)&gt;VarianceThreshold)),"Review","OK")</f>
        <v>0</v>
      </c>
      <c r="M1706" t="s">
        <v>33</v>
      </c>
    </row>
    <row r="1707" spans="1:13">
      <c r="A1707" t="s">
        <v>2</v>
      </c>
      <c r="B1707" t="s">
        <v>624</v>
      </c>
      <c r="C1707" t="s">
        <v>1831</v>
      </c>
      <c r="D1707" t="s">
        <v>1871</v>
      </c>
      <c r="E1707" cm="1">
        <f t="array" ref="E1707">_xlfn.XLOOKUP(D1707,SKU_Master!A:A,SKU_Master!B:B,"Not on master")</f>
        <v>0</v>
      </c>
      <c r="F1707" cm="1">
        <f t="array" ref="F1707">_xlfn.XLOOKUP(C1707,Account_Master!A:A,Account_Master!B:B,"Not on master")</f>
        <v>0</v>
      </c>
      <c r="G1707" cm="1">
        <f t="array" ref="G1707">_xlfn.XLOOKUP(C1707,Account_Master!A:A,Account_Master!C:C,"Not on master")</f>
        <v>0</v>
      </c>
      <c r="H1707" s="6">
        <v>38.25</v>
      </c>
      <c r="I1707" s="6">
        <v>29.25</v>
      </c>
      <c r="J1707" s="6">
        <f>I1707-H1707</f>
        <v>0</v>
      </c>
      <c r="K1707" s="5">
        <f>IF(H1707=0,"",J1707/H1707)</f>
        <v>0</v>
      </c>
      <c r="L1707">
        <f>IF(OR(AND(H1707=0,ABS(J1707)&gt;=0.01),AND(H1707&lt;&gt;0,ABS(K1707)&gt;VarianceThreshold)),"Review","OK")</f>
        <v>0</v>
      </c>
      <c r="M1707" t="s">
        <v>1611</v>
      </c>
    </row>
    <row r="1708" spans="1:13">
      <c r="A1708" t="s">
        <v>2</v>
      </c>
      <c r="B1708" t="s">
        <v>624</v>
      </c>
      <c r="C1708" t="s">
        <v>1872</v>
      </c>
      <c r="D1708" t="s">
        <v>1459</v>
      </c>
      <c r="E1708" cm="1">
        <f t="array" ref="E1708">_xlfn.XLOOKUP(D1708,SKU_Master!A:A,SKU_Master!B:B,"Not on master")</f>
        <v>0</v>
      </c>
      <c r="F1708" cm="1">
        <f t="array" ref="F1708">_xlfn.XLOOKUP(C1708,Account_Master!A:A,Account_Master!B:B,"Not on master")</f>
        <v>0</v>
      </c>
      <c r="G1708" cm="1">
        <f t="array" ref="G1708">_xlfn.XLOOKUP(C1708,Account_Master!A:A,Account_Master!C:C,"Not on master")</f>
        <v>0</v>
      </c>
      <c r="H1708" s="6">
        <v>3.05</v>
      </c>
      <c r="I1708" s="6">
        <v>3</v>
      </c>
      <c r="J1708" s="6">
        <f>I1708-H1708</f>
        <v>0</v>
      </c>
      <c r="K1708" s="5">
        <f>IF(H1708=0,"",J1708/H1708)</f>
        <v>0</v>
      </c>
      <c r="L1708">
        <f>IF(OR(AND(H1708=0,ABS(J1708)&gt;=0.01),AND(H1708&lt;&gt;0,ABS(K1708)&gt;VarianceThreshold)),"Review","OK")</f>
        <v>0</v>
      </c>
      <c r="M1708" t="s">
        <v>33</v>
      </c>
    </row>
    <row r="1709" spans="1:13">
      <c r="A1709" t="s">
        <v>2</v>
      </c>
      <c r="B1709" t="s">
        <v>624</v>
      </c>
      <c r="C1709" t="s">
        <v>1670</v>
      </c>
      <c r="D1709" t="s">
        <v>1873</v>
      </c>
      <c r="E1709" cm="1">
        <f t="array" ref="E1709">_xlfn.XLOOKUP(D1709,SKU_Master!A:A,SKU_Master!B:B,"Not on master")</f>
        <v>0</v>
      </c>
      <c r="F1709" cm="1">
        <f t="array" ref="F1709">_xlfn.XLOOKUP(C1709,Account_Master!A:A,Account_Master!B:B,"Not on master")</f>
        <v>0</v>
      </c>
      <c r="G1709" cm="1">
        <f t="array" ref="G1709">_xlfn.XLOOKUP(C1709,Account_Master!A:A,Account_Master!C:C,"Not on master")</f>
        <v>0</v>
      </c>
      <c r="H1709" s="6">
        <v>3</v>
      </c>
      <c r="I1709" s="6">
        <v>3</v>
      </c>
      <c r="J1709" s="6">
        <f>I1709-H1709</f>
        <v>0</v>
      </c>
      <c r="K1709" s="5">
        <f>IF(H1709=0,"",J1709/H1709)</f>
        <v>0</v>
      </c>
      <c r="L1709">
        <f>IF(OR(AND(H1709=0,ABS(J1709)&gt;=0.01),AND(H1709&lt;&gt;0,ABS(K1709)&gt;VarianceThreshold)),"Review","OK")</f>
        <v>0</v>
      </c>
      <c r="M1709" t="s">
        <v>33</v>
      </c>
    </row>
    <row r="1710" spans="1:13">
      <c r="A1710" t="s">
        <v>2</v>
      </c>
      <c r="B1710" t="s">
        <v>624</v>
      </c>
      <c r="C1710" t="s">
        <v>1869</v>
      </c>
      <c r="D1710" t="s">
        <v>1874</v>
      </c>
      <c r="E1710" cm="1">
        <f t="array" ref="E1710">_xlfn.XLOOKUP(D1710,SKU_Master!A:A,SKU_Master!B:B,"Not on master")</f>
        <v>0</v>
      </c>
      <c r="F1710" cm="1">
        <f t="array" ref="F1710">_xlfn.XLOOKUP(C1710,Account_Master!A:A,Account_Master!B:B,"Not on master")</f>
        <v>0</v>
      </c>
      <c r="G1710" cm="1">
        <f t="array" ref="G1710">_xlfn.XLOOKUP(C1710,Account_Master!A:A,Account_Master!C:C,"Not on master")</f>
        <v>0</v>
      </c>
      <c r="H1710" s="6">
        <v>25.49</v>
      </c>
      <c r="I1710" s="6">
        <v>25.49</v>
      </c>
      <c r="J1710" s="6">
        <f>I1710-H1710</f>
        <v>0</v>
      </c>
      <c r="K1710" s="5">
        <f>IF(H1710=0,"",J1710/H1710)</f>
        <v>0</v>
      </c>
      <c r="L1710">
        <f>IF(OR(AND(H1710=0,ABS(J1710)&gt;=0.01),AND(H1710&lt;&gt;0,ABS(K1710)&gt;VarianceThreshold)),"Review","OK")</f>
        <v>0</v>
      </c>
      <c r="M1710" t="s">
        <v>33</v>
      </c>
    </row>
    <row r="1711" spans="1:13">
      <c r="A1711" t="s">
        <v>2</v>
      </c>
      <c r="B1711" t="s">
        <v>635</v>
      </c>
      <c r="C1711" t="s">
        <v>1586</v>
      </c>
      <c r="D1711" t="s">
        <v>365</v>
      </c>
      <c r="E1711" cm="1">
        <f t="array" ref="E1711">_xlfn.XLOOKUP(D1711,SKU_Master!A:A,SKU_Master!B:B,"Not on master")</f>
        <v>0</v>
      </c>
      <c r="F1711" cm="1">
        <f t="array" ref="F1711">_xlfn.XLOOKUP(C1711,Account_Master!A:A,Account_Master!B:B,"Not on master")</f>
        <v>0</v>
      </c>
      <c r="G1711" cm="1">
        <f t="array" ref="G1711">_xlfn.XLOOKUP(C1711,Account_Master!A:A,Account_Master!C:C,"Not on master")</f>
        <v>0</v>
      </c>
      <c r="H1711" s="6">
        <v>18</v>
      </c>
      <c r="I1711" s="6">
        <v>18</v>
      </c>
      <c r="J1711" s="6">
        <f>I1711-H1711</f>
        <v>0</v>
      </c>
      <c r="K1711" s="5">
        <f>IF(H1711=0,"",J1711/H1711)</f>
        <v>0</v>
      </c>
      <c r="L1711">
        <f>IF(OR(AND(H1711=0,ABS(J1711)&gt;=0.01),AND(H1711&lt;&gt;0,ABS(K1711)&gt;VarianceThreshold)),"Review","OK")</f>
        <v>0</v>
      </c>
      <c r="M1711" t="s">
        <v>33</v>
      </c>
    </row>
    <row r="1712" spans="1:13">
      <c r="A1712" t="s">
        <v>2</v>
      </c>
      <c r="B1712" t="s">
        <v>635</v>
      </c>
      <c r="C1712" t="s">
        <v>1641</v>
      </c>
      <c r="D1712" t="s">
        <v>1875</v>
      </c>
      <c r="E1712" cm="1">
        <f t="array" ref="E1712">_xlfn.XLOOKUP(D1712,SKU_Master!A:A,SKU_Master!B:B,"Not on master")</f>
        <v>0</v>
      </c>
      <c r="F1712" cm="1">
        <f t="array" ref="F1712">_xlfn.XLOOKUP(C1712,Account_Master!A:A,Account_Master!B:B,"Not on master")</f>
        <v>0</v>
      </c>
      <c r="G1712" cm="1">
        <f t="array" ref="G1712">_xlfn.XLOOKUP(C1712,Account_Master!A:A,Account_Master!C:C,"Not on master")</f>
        <v>0</v>
      </c>
      <c r="H1712" s="6">
        <v>4.5</v>
      </c>
      <c r="I1712" s="6">
        <v>4.5</v>
      </c>
      <c r="J1712" s="6">
        <f>I1712-H1712</f>
        <v>0</v>
      </c>
      <c r="K1712" s="5">
        <f>IF(H1712=0,"",J1712/H1712)</f>
        <v>0</v>
      </c>
      <c r="L1712">
        <f>IF(OR(AND(H1712=0,ABS(J1712)&gt;=0.01),AND(H1712&lt;&gt;0,ABS(K1712)&gt;VarianceThreshold)),"Review","OK")</f>
        <v>0</v>
      </c>
      <c r="M1712" t="s">
        <v>33</v>
      </c>
    </row>
    <row r="1713" spans="1:13">
      <c r="A1713" t="s">
        <v>2</v>
      </c>
      <c r="B1713" t="s">
        <v>635</v>
      </c>
      <c r="C1713" t="s">
        <v>1615</v>
      </c>
      <c r="D1713" t="s">
        <v>1876</v>
      </c>
      <c r="E1713" cm="1">
        <f t="array" ref="E1713">_xlfn.XLOOKUP(D1713,SKU_Master!A:A,SKU_Master!B:B,"Not on master")</f>
        <v>0</v>
      </c>
      <c r="F1713" cm="1">
        <f t="array" ref="F1713">_xlfn.XLOOKUP(C1713,Account_Master!A:A,Account_Master!B:B,"Not on master")</f>
        <v>0</v>
      </c>
      <c r="G1713" cm="1">
        <f t="array" ref="G1713">_xlfn.XLOOKUP(C1713,Account_Master!A:A,Account_Master!C:C,"Not on master")</f>
        <v>0</v>
      </c>
      <c r="H1713" s="6">
        <v>18</v>
      </c>
      <c r="I1713" s="6">
        <v>18</v>
      </c>
      <c r="J1713" s="6">
        <f>I1713-H1713</f>
        <v>0</v>
      </c>
      <c r="K1713" s="5">
        <f>IF(H1713=0,"",J1713/H1713)</f>
        <v>0</v>
      </c>
      <c r="L1713">
        <f>IF(OR(AND(H1713=0,ABS(J1713)&gt;=0.01),AND(H1713&lt;&gt;0,ABS(K1713)&gt;VarianceThreshold)),"Review","OK")</f>
        <v>0</v>
      </c>
      <c r="M1713" t="s">
        <v>33</v>
      </c>
    </row>
    <row r="1714" spans="1:13">
      <c r="A1714" t="s">
        <v>2</v>
      </c>
      <c r="B1714" t="s">
        <v>635</v>
      </c>
      <c r="C1714" t="s">
        <v>1595</v>
      </c>
      <c r="D1714" t="s">
        <v>1249</v>
      </c>
      <c r="E1714" cm="1">
        <f t="array" ref="E1714">_xlfn.XLOOKUP(D1714,SKU_Master!A:A,SKU_Master!B:B,"Not on master")</f>
        <v>0</v>
      </c>
      <c r="F1714" cm="1">
        <f t="array" ref="F1714">_xlfn.XLOOKUP(C1714,Account_Master!A:A,Account_Master!B:B,"Not on master")</f>
        <v>0</v>
      </c>
      <c r="G1714" cm="1">
        <f t="array" ref="G1714">_xlfn.XLOOKUP(C1714,Account_Master!A:A,Account_Master!C:C,"Not on master")</f>
        <v>0</v>
      </c>
      <c r="H1714" s="6">
        <v>0.1</v>
      </c>
      <c r="I1714" s="6">
        <v>0.1</v>
      </c>
      <c r="J1714" s="6">
        <f>I1714-H1714</f>
        <v>0</v>
      </c>
      <c r="K1714" s="5">
        <f>IF(H1714=0,"",J1714/H1714)</f>
        <v>0</v>
      </c>
      <c r="L1714">
        <f>IF(OR(AND(H1714=0,ABS(J1714)&gt;=0.01),AND(H1714&lt;&gt;0,ABS(K1714)&gt;VarianceThreshold)),"Review","OK")</f>
        <v>0</v>
      </c>
      <c r="M1714" t="s">
        <v>33</v>
      </c>
    </row>
    <row r="1715" spans="1:13">
      <c r="A1715" t="s">
        <v>2</v>
      </c>
      <c r="B1715" t="s">
        <v>635</v>
      </c>
      <c r="C1715" t="s">
        <v>1778</v>
      </c>
      <c r="D1715" t="s">
        <v>1060</v>
      </c>
      <c r="E1715" cm="1">
        <f t="array" ref="E1715">_xlfn.XLOOKUP(D1715,SKU_Master!A:A,SKU_Master!B:B,"Not on master")</f>
        <v>0</v>
      </c>
      <c r="F1715" cm="1">
        <f t="array" ref="F1715">_xlfn.XLOOKUP(C1715,Account_Master!A:A,Account_Master!B:B,"Not on master")</f>
        <v>0</v>
      </c>
      <c r="G1715" cm="1">
        <f t="array" ref="G1715">_xlfn.XLOOKUP(C1715,Account_Master!A:A,Account_Master!C:C,"Not on master")</f>
        <v>0</v>
      </c>
      <c r="H1715" s="6">
        <v>17</v>
      </c>
      <c r="I1715" s="6">
        <v>17</v>
      </c>
      <c r="J1715" s="6">
        <f>I1715-H1715</f>
        <v>0</v>
      </c>
      <c r="K1715" s="5">
        <f>IF(H1715=0,"",J1715/H1715)</f>
        <v>0</v>
      </c>
      <c r="L1715">
        <f>IF(OR(AND(H1715=0,ABS(J1715)&gt;=0.01),AND(H1715&lt;&gt;0,ABS(K1715)&gt;VarianceThreshold)),"Review","OK")</f>
        <v>0</v>
      </c>
      <c r="M1715" t="s">
        <v>33</v>
      </c>
    </row>
    <row r="1716" spans="1:13">
      <c r="A1716" t="s">
        <v>2</v>
      </c>
      <c r="B1716" t="s">
        <v>635</v>
      </c>
      <c r="C1716" t="s">
        <v>1622</v>
      </c>
      <c r="D1716" t="s">
        <v>913</v>
      </c>
      <c r="E1716" cm="1">
        <f t="array" ref="E1716">_xlfn.XLOOKUP(D1716,SKU_Master!A:A,SKU_Master!B:B,"Not on master")</f>
        <v>0</v>
      </c>
      <c r="F1716" cm="1">
        <f t="array" ref="F1716">_xlfn.XLOOKUP(C1716,Account_Master!A:A,Account_Master!B:B,"Not on master")</f>
        <v>0</v>
      </c>
      <c r="G1716" cm="1">
        <f t="array" ref="G1716">_xlfn.XLOOKUP(C1716,Account_Master!A:A,Account_Master!C:C,"Not on master")</f>
        <v>0</v>
      </c>
      <c r="H1716" s="6">
        <v>27</v>
      </c>
      <c r="I1716" s="6">
        <v>27</v>
      </c>
      <c r="J1716" s="6">
        <f>I1716-H1716</f>
        <v>0</v>
      </c>
      <c r="K1716" s="5">
        <f>IF(H1716=0,"",J1716/H1716)</f>
        <v>0</v>
      </c>
      <c r="L1716">
        <f>IF(OR(AND(H1716=0,ABS(J1716)&gt;=0.01),AND(H1716&lt;&gt;0,ABS(K1716)&gt;VarianceThreshold)),"Review","OK")</f>
        <v>0</v>
      </c>
      <c r="M1716" t="s">
        <v>33</v>
      </c>
    </row>
    <row r="1717" spans="1:13">
      <c r="A1717" t="s">
        <v>2</v>
      </c>
      <c r="B1717" t="s">
        <v>635</v>
      </c>
      <c r="C1717" t="s">
        <v>1877</v>
      </c>
      <c r="D1717" t="s">
        <v>223</v>
      </c>
      <c r="E1717" cm="1">
        <f t="array" ref="E1717">_xlfn.XLOOKUP(D1717,SKU_Master!A:A,SKU_Master!B:B,"Not on master")</f>
        <v>0</v>
      </c>
      <c r="F1717" cm="1">
        <f t="array" ref="F1717">_xlfn.XLOOKUP(C1717,Account_Master!A:A,Account_Master!B:B,"Not on master")</f>
        <v>0</v>
      </c>
      <c r="G1717" cm="1">
        <f t="array" ref="G1717">_xlfn.XLOOKUP(C1717,Account_Master!A:A,Account_Master!C:C,"Not on master")</f>
        <v>0</v>
      </c>
      <c r="H1717" s="6">
        <v>1.12</v>
      </c>
      <c r="I1717" s="6">
        <v>1.12</v>
      </c>
      <c r="J1717" s="6">
        <f>I1717-H1717</f>
        <v>0</v>
      </c>
      <c r="K1717" s="5">
        <f>IF(H1717=0,"",J1717/H1717)</f>
        <v>0</v>
      </c>
      <c r="L1717">
        <f>IF(OR(AND(H1717=0,ABS(J1717)&gt;=0.01),AND(H1717&lt;&gt;0,ABS(K1717)&gt;VarianceThreshold)),"Review","OK")</f>
        <v>0</v>
      </c>
      <c r="M1717" t="s">
        <v>33</v>
      </c>
    </row>
    <row r="1718" spans="1:13">
      <c r="A1718" t="s">
        <v>2</v>
      </c>
      <c r="B1718" t="s">
        <v>645</v>
      </c>
      <c r="C1718" t="s">
        <v>1831</v>
      </c>
      <c r="D1718" t="s">
        <v>1878</v>
      </c>
      <c r="E1718" cm="1">
        <f t="array" ref="E1718">_xlfn.XLOOKUP(D1718,SKU_Master!A:A,SKU_Master!B:B,"Not on master")</f>
        <v>0</v>
      </c>
      <c r="F1718" cm="1">
        <f t="array" ref="F1718">_xlfn.XLOOKUP(C1718,Account_Master!A:A,Account_Master!B:B,"Not on master")</f>
        <v>0</v>
      </c>
      <c r="G1718" cm="1">
        <f t="array" ref="G1718">_xlfn.XLOOKUP(C1718,Account_Master!A:A,Account_Master!C:C,"Not on master")</f>
        <v>0</v>
      </c>
      <c r="H1718" s="6">
        <v>10.5</v>
      </c>
      <c r="I1718" s="6">
        <v>10.5</v>
      </c>
      <c r="J1718" s="6">
        <f>I1718-H1718</f>
        <v>0</v>
      </c>
      <c r="K1718" s="5">
        <f>IF(H1718=0,"",J1718/H1718)</f>
        <v>0</v>
      </c>
      <c r="L1718">
        <f>IF(OR(AND(H1718=0,ABS(J1718)&gt;=0.01),AND(H1718&lt;&gt;0,ABS(K1718)&gt;VarianceThreshold)),"Review","OK")</f>
        <v>0</v>
      </c>
      <c r="M1718" t="s">
        <v>33</v>
      </c>
    </row>
    <row r="1719" spans="1:13">
      <c r="A1719" t="s">
        <v>2</v>
      </c>
      <c r="B1719" t="s">
        <v>645</v>
      </c>
      <c r="C1719" t="s">
        <v>1615</v>
      </c>
      <c r="D1719" t="s">
        <v>368</v>
      </c>
      <c r="E1719" cm="1">
        <f t="array" ref="E1719">_xlfn.XLOOKUP(D1719,SKU_Master!A:A,SKU_Master!B:B,"Not on master")</f>
        <v>0</v>
      </c>
      <c r="F1719" cm="1">
        <f t="array" ref="F1719">_xlfn.XLOOKUP(C1719,Account_Master!A:A,Account_Master!B:B,"Not on master")</f>
        <v>0</v>
      </c>
      <c r="G1719" cm="1">
        <f t="array" ref="G1719">_xlfn.XLOOKUP(C1719,Account_Master!A:A,Account_Master!C:C,"Not on master")</f>
        <v>0</v>
      </c>
      <c r="H1719" s="6">
        <v>18</v>
      </c>
      <c r="I1719" s="6">
        <v>18</v>
      </c>
      <c r="J1719" s="6">
        <f>I1719-H1719</f>
        <v>0</v>
      </c>
      <c r="K1719" s="5">
        <f>IF(H1719=0,"",J1719/H1719)</f>
        <v>0</v>
      </c>
      <c r="L1719">
        <f>IF(OR(AND(H1719=0,ABS(J1719)&gt;=0.01),AND(H1719&lt;&gt;0,ABS(K1719)&gt;VarianceThreshold)),"Review","OK")</f>
        <v>0</v>
      </c>
      <c r="M1719" t="s">
        <v>33</v>
      </c>
    </row>
    <row r="1720" spans="1:13">
      <c r="A1720" t="s">
        <v>2</v>
      </c>
      <c r="B1720" t="s">
        <v>645</v>
      </c>
      <c r="C1720" t="s">
        <v>1782</v>
      </c>
      <c r="D1720" t="s">
        <v>116</v>
      </c>
      <c r="E1720" cm="1">
        <f t="array" ref="E1720">_xlfn.XLOOKUP(D1720,SKU_Master!A:A,SKU_Master!B:B,"Not on master")</f>
        <v>0</v>
      </c>
      <c r="F1720" cm="1">
        <f t="array" ref="F1720">_xlfn.XLOOKUP(C1720,Account_Master!A:A,Account_Master!B:B,"Not on master")</f>
        <v>0</v>
      </c>
      <c r="G1720" cm="1">
        <f t="array" ref="G1720">_xlfn.XLOOKUP(C1720,Account_Master!A:A,Account_Master!C:C,"Not on master")</f>
        <v>0</v>
      </c>
      <c r="H1720" s="6">
        <v>9</v>
      </c>
      <c r="I1720" s="6">
        <v>9</v>
      </c>
      <c r="J1720" s="6">
        <f>I1720-H1720</f>
        <v>0</v>
      </c>
      <c r="K1720" s="5">
        <f>IF(H1720=0,"",J1720/H1720)</f>
        <v>0</v>
      </c>
      <c r="L1720">
        <f>IF(OR(AND(H1720=0,ABS(J1720)&gt;=0.01),AND(H1720&lt;&gt;0,ABS(K1720)&gt;VarianceThreshold)),"Review","OK")</f>
        <v>0</v>
      </c>
      <c r="M1720" t="s">
        <v>33</v>
      </c>
    </row>
    <row r="1721" spans="1:13">
      <c r="A1721" t="s">
        <v>2</v>
      </c>
      <c r="B1721" t="s">
        <v>645</v>
      </c>
      <c r="C1721" t="s">
        <v>1775</v>
      </c>
      <c r="D1721" t="s">
        <v>120</v>
      </c>
      <c r="E1721" cm="1">
        <f t="array" ref="E1721">_xlfn.XLOOKUP(D1721,SKU_Master!A:A,SKU_Master!B:B,"Not on master")</f>
        <v>0</v>
      </c>
      <c r="F1721" cm="1">
        <f t="array" ref="F1721">_xlfn.XLOOKUP(C1721,Account_Master!A:A,Account_Master!B:B,"Not on master")</f>
        <v>0</v>
      </c>
      <c r="G1721" cm="1">
        <f t="array" ref="G1721">_xlfn.XLOOKUP(C1721,Account_Master!A:A,Account_Master!C:C,"Not on master")</f>
        <v>0</v>
      </c>
      <c r="H1721" s="6">
        <v>2.25</v>
      </c>
      <c r="I1721" s="6">
        <v>2.25</v>
      </c>
      <c r="J1721" s="6">
        <f>I1721-H1721</f>
        <v>0</v>
      </c>
      <c r="K1721" s="5">
        <f>IF(H1721=0,"",J1721/H1721)</f>
        <v>0</v>
      </c>
      <c r="L1721">
        <f>IF(OR(AND(H1721=0,ABS(J1721)&gt;=0.01),AND(H1721&lt;&gt;0,ABS(K1721)&gt;VarianceThreshold)),"Review","OK")</f>
        <v>0</v>
      </c>
      <c r="M1721" t="s">
        <v>33</v>
      </c>
    </row>
    <row r="1722" spans="1:13">
      <c r="A1722" t="s">
        <v>2</v>
      </c>
      <c r="B1722" t="s">
        <v>650</v>
      </c>
      <c r="C1722" t="s">
        <v>1723</v>
      </c>
      <c r="D1722" t="s">
        <v>1879</v>
      </c>
      <c r="E1722" cm="1">
        <f t="array" ref="E1722">_xlfn.XLOOKUP(D1722,SKU_Master!A:A,SKU_Master!B:B,"Not on master")</f>
        <v>0</v>
      </c>
      <c r="F1722" cm="1">
        <f t="array" ref="F1722">_xlfn.XLOOKUP(C1722,Account_Master!A:A,Account_Master!B:B,"Not on master")</f>
        <v>0</v>
      </c>
      <c r="G1722" cm="1">
        <f t="array" ref="G1722">_xlfn.XLOOKUP(C1722,Account_Master!A:A,Account_Master!C:C,"Not on master")</f>
        <v>0</v>
      </c>
      <c r="H1722" s="6">
        <v>4.5</v>
      </c>
      <c r="I1722" s="6">
        <v>4.5</v>
      </c>
      <c r="J1722" s="6">
        <f>I1722-H1722</f>
        <v>0</v>
      </c>
      <c r="K1722" s="5">
        <f>IF(H1722=0,"",J1722/H1722)</f>
        <v>0</v>
      </c>
      <c r="L1722">
        <f>IF(OR(AND(H1722=0,ABS(J1722)&gt;=0.01),AND(H1722&lt;&gt;0,ABS(K1722)&gt;VarianceThreshold)),"Review","OK")</f>
        <v>0</v>
      </c>
      <c r="M1722" t="s">
        <v>33</v>
      </c>
    </row>
    <row r="1723" spans="1:13">
      <c r="A1723" t="s">
        <v>2</v>
      </c>
      <c r="B1723" t="s">
        <v>650</v>
      </c>
      <c r="C1723" t="s">
        <v>1867</v>
      </c>
      <c r="D1723" t="s">
        <v>1880</v>
      </c>
      <c r="E1723" cm="1">
        <f t="array" ref="E1723">_xlfn.XLOOKUP(D1723,SKU_Master!A:A,SKU_Master!B:B,"Not on master")</f>
        <v>0</v>
      </c>
      <c r="F1723" cm="1">
        <f t="array" ref="F1723">_xlfn.XLOOKUP(C1723,Account_Master!A:A,Account_Master!B:B,"Not on master")</f>
        <v>0</v>
      </c>
      <c r="G1723" cm="1">
        <f t="array" ref="G1723">_xlfn.XLOOKUP(C1723,Account_Master!A:A,Account_Master!C:C,"Not on master")</f>
        <v>0</v>
      </c>
      <c r="H1723" s="6">
        <v>105</v>
      </c>
      <c r="I1723" s="6">
        <v>105</v>
      </c>
      <c r="J1723" s="6">
        <f>I1723-H1723</f>
        <v>0</v>
      </c>
      <c r="K1723" s="5">
        <f>IF(H1723=0,"",J1723/H1723)</f>
        <v>0</v>
      </c>
      <c r="L1723">
        <f>IF(OR(AND(H1723=0,ABS(J1723)&gt;=0.01),AND(H1723&lt;&gt;0,ABS(K1723)&gt;VarianceThreshold)),"Review","OK")</f>
        <v>0</v>
      </c>
      <c r="M1723" t="s">
        <v>33</v>
      </c>
    </row>
    <row r="1724" spans="1:13">
      <c r="A1724" t="s">
        <v>2</v>
      </c>
      <c r="B1724" t="s">
        <v>650</v>
      </c>
      <c r="C1724" t="s">
        <v>1576</v>
      </c>
      <c r="D1724" t="s">
        <v>1184</v>
      </c>
      <c r="E1724" cm="1">
        <f t="array" ref="E1724">_xlfn.XLOOKUP(D1724,SKU_Master!A:A,SKU_Master!B:B,"Not on master")</f>
        <v>0</v>
      </c>
      <c r="F1724" cm="1">
        <f t="array" ref="F1724">_xlfn.XLOOKUP(C1724,Account_Master!A:A,Account_Master!B:B,"Not on master")</f>
        <v>0</v>
      </c>
      <c r="G1724" cm="1">
        <f t="array" ref="G1724">_xlfn.XLOOKUP(C1724,Account_Master!A:A,Account_Master!C:C,"Not on master")</f>
        <v>0</v>
      </c>
      <c r="H1724" s="6">
        <v>20.25</v>
      </c>
      <c r="I1724" s="6">
        <v>20.25</v>
      </c>
      <c r="J1724" s="6">
        <f>I1724-H1724</f>
        <v>0</v>
      </c>
      <c r="K1724" s="5">
        <f>IF(H1724=0,"",J1724/H1724)</f>
        <v>0</v>
      </c>
      <c r="L1724">
        <f>IF(OR(AND(H1724=0,ABS(J1724)&gt;=0.01),AND(H1724&lt;&gt;0,ABS(K1724)&gt;VarianceThreshold)),"Review","OK")</f>
        <v>0</v>
      </c>
      <c r="M1724" t="s">
        <v>33</v>
      </c>
    </row>
    <row r="1725" spans="1:13">
      <c r="A1725" t="s">
        <v>2</v>
      </c>
      <c r="B1725" t="s">
        <v>650</v>
      </c>
      <c r="C1725" t="s">
        <v>1733</v>
      </c>
      <c r="D1725" t="s">
        <v>743</v>
      </c>
      <c r="E1725" cm="1">
        <f t="array" ref="E1725">_xlfn.XLOOKUP(D1725,SKU_Master!A:A,SKU_Master!B:B,"Not on master")</f>
        <v>0</v>
      </c>
      <c r="F1725" cm="1">
        <f t="array" ref="F1725">_xlfn.XLOOKUP(C1725,Account_Master!A:A,Account_Master!B:B,"Not on master")</f>
        <v>0</v>
      </c>
      <c r="G1725" cm="1">
        <f t="array" ref="G1725">_xlfn.XLOOKUP(C1725,Account_Master!A:A,Account_Master!C:C,"Not on master")</f>
        <v>0</v>
      </c>
      <c r="H1725" s="6">
        <v>1.87</v>
      </c>
      <c r="I1725" s="6">
        <v>1.87</v>
      </c>
      <c r="J1725" s="6">
        <f>I1725-H1725</f>
        <v>0</v>
      </c>
      <c r="K1725" s="5">
        <f>IF(H1725=0,"",J1725/H1725)</f>
        <v>0</v>
      </c>
      <c r="L1725">
        <f>IF(OR(AND(H1725=0,ABS(J1725)&gt;=0.01),AND(H1725&lt;&gt;0,ABS(K1725)&gt;VarianceThreshold)),"Review","OK")</f>
        <v>0</v>
      </c>
      <c r="M1725" t="s">
        <v>33</v>
      </c>
    </row>
    <row r="1726" spans="1:13">
      <c r="A1726" t="s">
        <v>2</v>
      </c>
      <c r="B1726" t="s">
        <v>650</v>
      </c>
      <c r="C1726" t="s">
        <v>1655</v>
      </c>
      <c r="D1726" t="s">
        <v>751</v>
      </c>
      <c r="E1726" cm="1">
        <f t="array" ref="E1726">_xlfn.XLOOKUP(D1726,SKU_Master!A:A,SKU_Master!B:B,"Not on master")</f>
        <v>0</v>
      </c>
      <c r="F1726" cm="1">
        <f t="array" ref="F1726">_xlfn.XLOOKUP(C1726,Account_Master!A:A,Account_Master!B:B,"Not on master")</f>
        <v>0</v>
      </c>
      <c r="G1726" cm="1">
        <f t="array" ref="G1726">_xlfn.XLOOKUP(C1726,Account_Master!A:A,Account_Master!C:C,"Not on master")</f>
        <v>0</v>
      </c>
      <c r="H1726" s="6">
        <v>1.8</v>
      </c>
      <c r="I1726" s="6">
        <v>1.8</v>
      </c>
      <c r="J1726" s="6">
        <f>I1726-H1726</f>
        <v>0</v>
      </c>
      <c r="K1726" s="5">
        <f>IF(H1726=0,"",J1726/H1726)</f>
        <v>0</v>
      </c>
      <c r="L1726">
        <f>IF(OR(AND(H1726=0,ABS(J1726)&gt;=0.01),AND(H1726&lt;&gt;0,ABS(K1726)&gt;VarianceThreshold)),"Review","OK")</f>
        <v>0</v>
      </c>
      <c r="M1726" t="s">
        <v>33</v>
      </c>
    </row>
    <row r="1727" spans="1:13">
      <c r="A1727" t="s">
        <v>2</v>
      </c>
      <c r="B1727" t="s">
        <v>650</v>
      </c>
      <c r="C1727" t="s">
        <v>1721</v>
      </c>
      <c r="D1727" t="s">
        <v>1881</v>
      </c>
      <c r="E1727" cm="1">
        <f t="array" ref="E1727">_xlfn.XLOOKUP(D1727,SKU_Master!A:A,SKU_Master!B:B,"Not on master")</f>
        <v>0</v>
      </c>
      <c r="F1727" cm="1">
        <f t="array" ref="F1727">_xlfn.XLOOKUP(C1727,Account_Master!A:A,Account_Master!B:B,"Not on master")</f>
        <v>0</v>
      </c>
      <c r="G1727" cm="1">
        <f t="array" ref="G1727">_xlfn.XLOOKUP(C1727,Account_Master!A:A,Account_Master!C:C,"Not on master")</f>
        <v>0</v>
      </c>
      <c r="H1727" s="6">
        <v>0.37</v>
      </c>
      <c r="I1727" s="6">
        <v>0.37</v>
      </c>
      <c r="J1727" s="6">
        <f>I1727-H1727</f>
        <v>0</v>
      </c>
      <c r="K1727" s="5">
        <f>IF(H1727=0,"",J1727/H1727)</f>
        <v>0</v>
      </c>
      <c r="L1727">
        <f>IF(OR(AND(H1727=0,ABS(J1727)&gt;=0.01),AND(H1727&lt;&gt;0,ABS(K1727)&gt;VarianceThreshold)),"Review","OK")</f>
        <v>0</v>
      </c>
      <c r="M1727" t="s">
        <v>33</v>
      </c>
    </row>
    <row r="1728" spans="1:13">
      <c r="A1728" t="s">
        <v>2</v>
      </c>
      <c r="B1728" t="s">
        <v>658</v>
      </c>
      <c r="C1728" t="s">
        <v>1705</v>
      </c>
      <c r="D1728" t="s">
        <v>508</v>
      </c>
      <c r="E1728" cm="1">
        <f t="array" ref="E1728">_xlfn.XLOOKUP(D1728,SKU_Master!A:A,SKU_Master!B:B,"Not on master")</f>
        <v>0</v>
      </c>
      <c r="F1728" cm="1">
        <f t="array" ref="F1728">_xlfn.XLOOKUP(C1728,Account_Master!A:A,Account_Master!B:B,"Not on master")</f>
        <v>0</v>
      </c>
      <c r="G1728" cm="1">
        <f t="array" ref="G1728">_xlfn.XLOOKUP(C1728,Account_Master!A:A,Account_Master!C:C,"Not on master")</f>
        <v>0</v>
      </c>
      <c r="H1728" s="6">
        <v>21</v>
      </c>
      <c r="I1728" s="6">
        <v>21</v>
      </c>
      <c r="J1728" s="6">
        <f>I1728-H1728</f>
        <v>0</v>
      </c>
      <c r="K1728" s="5">
        <f>IF(H1728=0,"",J1728/H1728)</f>
        <v>0</v>
      </c>
      <c r="L1728">
        <f>IF(OR(AND(H1728=0,ABS(J1728)&gt;=0.01),AND(H1728&lt;&gt;0,ABS(K1728)&gt;VarianceThreshold)),"Review","OK")</f>
        <v>0</v>
      </c>
      <c r="M1728" t="s">
        <v>33</v>
      </c>
    </row>
    <row r="1729" spans="1:13">
      <c r="A1729" t="s">
        <v>2</v>
      </c>
      <c r="B1729" t="s">
        <v>658</v>
      </c>
      <c r="C1729" t="s">
        <v>1580</v>
      </c>
      <c r="D1729" t="s">
        <v>1882</v>
      </c>
      <c r="E1729" cm="1">
        <f t="array" ref="E1729">_xlfn.XLOOKUP(D1729,SKU_Master!A:A,SKU_Master!B:B,"Not on master")</f>
        <v>0</v>
      </c>
      <c r="F1729" cm="1">
        <f t="array" ref="F1729">_xlfn.XLOOKUP(C1729,Account_Master!A:A,Account_Master!B:B,"Not on master")</f>
        <v>0</v>
      </c>
      <c r="G1729" cm="1">
        <f t="array" ref="G1729">_xlfn.XLOOKUP(C1729,Account_Master!A:A,Account_Master!C:C,"Not on master")</f>
        <v>0</v>
      </c>
      <c r="H1729" s="6">
        <v>9</v>
      </c>
      <c r="I1729" s="6">
        <v>9</v>
      </c>
      <c r="J1729" s="6">
        <f>I1729-H1729</f>
        <v>0</v>
      </c>
      <c r="K1729" s="5">
        <f>IF(H1729=0,"",J1729/H1729)</f>
        <v>0</v>
      </c>
      <c r="L1729">
        <f>IF(OR(AND(H1729=0,ABS(J1729)&gt;=0.01),AND(H1729&lt;&gt;0,ABS(K1729)&gt;VarianceThreshold)),"Review","OK")</f>
        <v>0</v>
      </c>
      <c r="M1729" t="s">
        <v>33</v>
      </c>
    </row>
    <row r="1730" spans="1:13">
      <c r="A1730" t="s">
        <v>2</v>
      </c>
      <c r="B1730" t="s">
        <v>658</v>
      </c>
      <c r="C1730" t="s">
        <v>1883</v>
      </c>
      <c r="D1730" t="s">
        <v>1534</v>
      </c>
      <c r="E1730" cm="1">
        <f t="array" ref="E1730">_xlfn.XLOOKUP(D1730,SKU_Master!A:A,SKU_Master!B:B,"Not on master")</f>
        <v>0</v>
      </c>
      <c r="F1730" cm="1">
        <f t="array" ref="F1730">_xlfn.XLOOKUP(C1730,Account_Master!A:A,Account_Master!B:B,"Not on master")</f>
        <v>0</v>
      </c>
      <c r="G1730" cm="1">
        <f t="array" ref="G1730">_xlfn.XLOOKUP(C1730,Account_Master!A:A,Account_Master!C:C,"Not on master")</f>
        <v>0</v>
      </c>
      <c r="H1730" s="6">
        <v>4.5</v>
      </c>
      <c r="I1730" s="6">
        <v>4.5</v>
      </c>
      <c r="J1730" s="6">
        <f>I1730-H1730</f>
        <v>0</v>
      </c>
      <c r="K1730" s="5">
        <f>IF(H1730=0,"",J1730/H1730)</f>
        <v>0</v>
      </c>
      <c r="L1730">
        <f>IF(OR(AND(H1730=0,ABS(J1730)&gt;=0.01),AND(H1730&lt;&gt;0,ABS(K1730)&gt;VarianceThreshold)),"Review","OK")</f>
        <v>0</v>
      </c>
      <c r="M1730" t="s">
        <v>33</v>
      </c>
    </row>
    <row r="1731" spans="1:13">
      <c r="A1731" t="s">
        <v>2</v>
      </c>
      <c r="B1731" t="s">
        <v>673</v>
      </c>
      <c r="C1731" t="s">
        <v>1884</v>
      </c>
      <c r="D1731" t="s">
        <v>1324</v>
      </c>
      <c r="E1731" cm="1">
        <f t="array" ref="E1731">_xlfn.XLOOKUP(D1731,SKU_Master!A:A,SKU_Master!B:B,"Not on master")</f>
        <v>0</v>
      </c>
      <c r="F1731" cm="1">
        <f t="array" ref="F1731">_xlfn.XLOOKUP(C1731,Account_Master!A:A,Account_Master!B:B,"Not on master")</f>
        <v>0</v>
      </c>
      <c r="G1731" cm="1">
        <f t="array" ref="G1731">_xlfn.XLOOKUP(C1731,Account_Master!A:A,Account_Master!C:C,"Not on master")</f>
        <v>0</v>
      </c>
      <c r="H1731" s="6">
        <v>92.25</v>
      </c>
      <c r="I1731" s="6">
        <v>83.25</v>
      </c>
      <c r="J1731" s="6">
        <f>I1731-H1731</f>
        <v>0</v>
      </c>
      <c r="K1731" s="5">
        <f>IF(H1731=0,"",J1731/H1731)</f>
        <v>0</v>
      </c>
      <c r="L1731">
        <f>IF(OR(AND(H1731=0,ABS(J1731)&gt;=0.01),AND(H1731&lt;&gt;0,ABS(K1731)&gt;VarianceThreshold)),"Review","OK")</f>
        <v>0</v>
      </c>
      <c r="M1731" t="s">
        <v>1611</v>
      </c>
    </row>
    <row r="1732" spans="1:13">
      <c r="A1732" t="s">
        <v>2</v>
      </c>
      <c r="B1732" t="s">
        <v>673</v>
      </c>
      <c r="C1732" t="s">
        <v>1621</v>
      </c>
      <c r="D1732" t="s">
        <v>287</v>
      </c>
      <c r="E1732" cm="1">
        <f t="array" ref="E1732">_xlfn.XLOOKUP(D1732,SKU_Master!A:A,SKU_Master!B:B,"Not on master")</f>
        <v>0</v>
      </c>
      <c r="F1732" cm="1">
        <f t="array" ref="F1732">_xlfn.XLOOKUP(C1732,Account_Master!A:A,Account_Master!B:B,"Not on master")</f>
        <v>0</v>
      </c>
      <c r="G1732" cm="1">
        <f t="array" ref="G1732">_xlfn.XLOOKUP(C1732,Account_Master!A:A,Account_Master!C:C,"Not on master")</f>
        <v>0</v>
      </c>
      <c r="H1732" s="6">
        <v>9</v>
      </c>
      <c r="I1732" s="6">
        <v>9</v>
      </c>
      <c r="J1732" s="6">
        <f>I1732-H1732</f>
        <v>0</v>
      </c>
      <c r="K1732" s="5">
        <f>IF(H1732=0,"",J1732/H1732)</f>
        <v>0</v>
      </c>
      <c r="L1732">
        <f>IF(OR(AND(H1732=0,ABS(J1732)&gt;=0.01),AND(H1732&lt;&gt;0,ABS(K1732)&gt;VarianceThreshold)),"Review","OK")</f>
        <v>0</v>
      </c>
      <c r="M1732" t="s">
        <v>33</v>
      </c>
    </row>
    <row r="1733" spans="1:13">
      <c r="A1733" t="s">
        <v>2</v>
      </c>
      <c r="B1733" t="s">
        <v>673</v>
      </c>
      <c r="C1733" t="s">
        <v>1824</v>
      </c>
      <c r="D1733" t="s">
        <v>1885</v>
      </c>
      <c r="E1733" cm="1">
        <f t="array" ref="E1733">_xlfn.XLOOKUP(D1733,SKU_Master!A:A,SKU_Master!B:B,"Not on master")</f>
        <v>0</v>
      </c>
      <c r="F1733" cm="1">
        <f t="array" ref="F1733">_xlfn.XLOOKUP(C1733,Account_Master!A:A,Account_Master!B:B,"Not on master")</f>
        <v>0</v>
      </c>
      <c r="G1733" cm="1">
        <f t="array" ref="G1733">_xlfn.XLOOKUP(C1733,Account_Master!A:A,Account_Master!C:C,"Not on master")</f>
        <v>0</v>
      </c>
      <c r="H1733" s="6">
        <v>1.5</v>
      </c>
      <c r="I1733" s="6">
        <v>1.5</v>
      </c>
      <c r="J1733" s="6">
        <f>I1733-H1733</f>
        <v>0</v>
      </c>
      <c r="K1733" s="5">
        <f>IF(H1733=0,"",J1733/H1733)</f>
        <v>0</v>
      </c>
      <c r="L1733">
        <f>IF(OR(AND(H1733=0,ABS(J1733)&gt;=0.01),AND(H1733&lt;&gt;0,ABS(K1733)&gt;VarianceThreshold)),"Review","OK")</f>
        <v>0</v>
      </c>
      <c r="M1733" t="s">
        <v>33</v>
      </c>
    </row>
    <row r="1734" spans="1:13">
      <c r="A1734" t="s">
        <v>2</v>
      </c>
      <c r="B1734" t="s">
        <v>681</v>
      </c>
      <c r="C1734" t="s">
        <v>1612</v>
      </c>
      <c r="D1734" t="s">
        <v>1886</v>
      </c>
      <c r="E1734" cm="1">
        <f t="array" ref="E1734">_xlfn.XLOOKUP(D1734,SKU_Master!A:A,SKU_Master!B:B,"Not on master")</f>
        <v>0</v>
      </c>
      <c r="F1734" cm="1">
        <f t="array" ref="F1734">_xlfn.XLOOKUP(C1734,Account_Master!A:A,Account_Master!B:B,"Not on master")</f>
        <v>0</v>
      </c>
      <c r="G1734" cm="1">
        <f t="array" ref="G1734">_xlfn.XLOOKUP(C1734,Account_Master!A:A,Account_Master!C:C,"Not on master")</f>
        <v>0</v>
      </c>
      <c r="H1734" s="6">
        <v>21</v>
      </c>
      <c r="I1734" s="6">
        <v>21</v>
      </c>
      <c r="J1734" s="6">
        <f>I1734-H1734</f>
        <v>0</v>
      </c>
      <c r="K1734" s="5">
        <f>IF(H1734=0,"",J1734/H1734)</f>
        <v>0</v>
      </c>
      <c r="L1734">
        <f>IF(OR(AND(H1734=0,ABS(J1734)&gt;=0.01),AND(H1734&lt;&gt;0,ABS(K1734)&gt;VarianceThreshold)),"Review","OK")</f>
        <v>0</v>
      </c>
      <c r="M1734" t="s">
        <v>33</v>
      </c>
    </row>
    <row r="1735" spans="1:13">
      <c r="A1735" t="s">
        <v>2</v>
      </c>
      <c r="B1735" t="s">
        <v>681</v>
      </c>
      <c r="C1735" t="s">
        <v>1634</v>
      </c>
      <c r="D1735" t="s">
        <v>1490</v>
      </c>
      <c r="E1735" cm="1">
        <f t="array" ref="E1735">_xlfn.XLOOKUP(D1735,SKU_Master!A:A,SKU_Master!B:B,"Not on master")</f>
        <v>0</v>
      </c>
      <c r="F1735" cm="1">
        <f t="array" ref="F1735">_xlfn.XLOOKUP(C1735,Account_Master!A:A,Account_Master!B:B,"Not on master")</f>
        <v>0</v>
      </c>
      <c r="G1735" cm="1">
        <f t="array" ref="G1735">_xlfn.XLOOKUP(C1735,Account_Master!A:A,Account_Master!C:C,"Not on master")</f>
        <v>0</v>
      </c>
      <c r="H1735" s="6">
        <v>9</v>
      </c>
      <c r="I1735" s="6">
        <v>9</v>
      </c>
      <c r="J1735" s="6">
        <f>I1735-H1735</f>
        <v>0</v>
      </c>
      <c r="K1735" s="5">
        <f>IF(H1735=0,"",J1735/H1735)</f>
        <v>0</v>
      </c>
      <c r="L1735">
        <f>IF(OR(AND(H1735=0,ABS(J1735)&gt;=0.01),AND(H1735&lt;&gt;0,ABS(K1735)&gt;VarianceThreshold)),"Review","OK")</f>
        <v>0</v>
      </c>
      <c r="M1735" t="s">
        <v>33</v>
      </c>
    </row>
    <row r="1736" spans="1:13">
      <c r="A1736" t="s">
        <v>2</v>
      </c>
      <c r="B1736" t="s">
        <v>689</v>
      </c>
      <c r="C1736" t="s">
        <v>1615</v>
      </c>
      <c r="D1736" t="s">
        <v>1887</v>
      </c>
      <c r="E1736" cm="1">
        <f t="array" ref="E1736">_xlfn.XLOOKUP(D1736,SKU_Master!A:A,SKU_Master!B:B,"Not on master")</f>
        <v>0</v>
      </c>
      <c r="F1736" cm="1">
        <f t="array" ref="F1736">_xlfn.XLOOKUP(C1736,Account_Master!A:A,Account_Master!B:B,"Not on master")</f>
        <v>0</v>
      </c>
      <c r="G1736" cm="1">
        <f t="array" ref="G1736">_xlfn.XLOOKUP(C1736,Account_Master!A:A,Account_Master!C:C,"Not on master")</f>
        <v>0</v>
      </c>
      <c r="H1736" s="6">
        <v>39</v>
      </c>
      <c r="I1736" s="6">
        <v>39</v>
      </c>
      <c r="J1736" s="6">
        <f>I1736-H1736</f>
        <v>0</v>
      </c>
      <c r="K1736" s="5">
        <f>IF(H1736=0,"",J1736/H1736)</f>
        <v>0</v>
      </c>
      <c r="L1736">
        <f>IF(OR(AND(H1736=0,ABS(J1736)&gt;=0.01),AND(H1736&lt;&gt;0,ABS(K1736)&gt;VarianceThreshold)),"Review","OK")</f>
        <v>0</v>
      </c>
      <c r="M1736" t="s">
        <v>33</v>
      </c>
    </row>
    <row r="1737" spans="1:13">
      <c r="A1737" t="s">
        <v>2</v>
      </c>
      <c r="B1737" t="s">
        <v>689</v>
      </c>
      <c r="C1737" t="s">
        <v>1655</v>
      </c>
      <c r="D1737" t="s">
        <v>1888</v>
      </c>
      <c r="E1737" cm="1">
        <f t="array" ref="E1737">_xlfn.XLOOKUP(D1737,SKU_Master!A:A,SKU_Master!B:B,"Not on master")</f>
        <v>0</v>
      </c>
      <c r="F1737" cm="1">
        <f t="array" ref="F1737">_xlfn.XLOOKUP(C1737,Account_Master!A:A,Account_Master!B:B,"Not on master")</f>
        <v>0</v>
      </c>
      <c r="G1737" cm="1">
        <f t="array" ref="G1737">_xlfn.XLOOKUP(C1737,Account_Master!A:A,Account_Master!C:C,"Not on master")</f>
        <v>0</v>
      </c>
      <c r="H1737" s="6">
        <v>63</v>
      </c>
      <c r="I1737" s="6">
        <v>63</v>
      </c>
      <c r="J1737" s="6">
        <f>I1737-H1737</f>
        <v>0</v>
      </c>
      <c r="K1737" s="5">
        <f>IF(H1737=0,"",J1737/H1737)</f>
        <v>0</v>
      </c>
      <c r="L1737">
        <f>IF(OR(AND(H1737=0,ABS(J1737)&gt;=0.01),AND(H1737&lt;&gt;0,ABS(K1737)&gt;VarianceThreshold)),"Review","OK")</f>
        <v>0</v>
      </c>
      <c r="M1737" t="s">
        <v>33</v>
      </c>
    </row>
    <row r="1738" spans="1:13">
      <c r="A1738" t="s">
        <v>2</v>
      </c>
      <c r="B1738" t="s">
        <v>689</v>
      </c>
      <c r="C1738" t="s">
        <v>1889</v>
      </c>
      <c r="D1738" t="s">
        <v>1294</v>
      </c>
      <c r="E1738" cm="1">
        <f t="array" ref="E1738">_xlfn.XLOOKUP(D1738,SKU_Master!A:A,SKU_Master!B:B,"Not on master")</f>
        <v>0</v>
      </c>
      <c r="F1738" cm="1">
        <f t="array" ref="F1738">_xlfn.XLOOKUP(C1738,Account_Master!A:A,Account_Master!B:B,"Not on master")</f>
        <v>0</v>
      </c>
      <c r="G1738" cm="1">
        <f t="array" ref="G1738">_xlfn.XLOOKUP(C1738,Account_Master!A:A,Account_Master!C:C,"Not on master")</f>
        <v>0</v>
      </c>
      <c r="H1738" s="6">
        <v>1.2</v>
      </c>
      <c r="I1738" s="6">
        <v>1.2</v>
      </c>
      <c r="J1738" s="6">
        <f>I1738-H1738</f>
        <v>0</v>
      </c>
      <c r="K1738" s="5">
        <f>IF(H1738=0,"",J1738/H1738)</f>
        <v>0</v>
      </c>
      <c r="L1738">
        <f>IF(OR(AND(H1738=0,ABS(J1738)&gt;=0.01),AND(H1738&lt;&gt;0,ABS(K1738)&gt;VarianceThreshold)),"Review","OK")</f>
        <v>0</v>
      </c>
      <c r="M1738" t="s">
        <v>33</v>
      </c>
    </row>
    <row r="1739" spans="1:13">
      <c r="A1739" t="s">
        <v>2</v>
      </c>
      <c r="B1739" t="s">
        <v>689</v>
      </c>
      <c r="C1739" t="s">
        <v>1782</v>
      </c>
      <c r="D1739" t="s">
        <v>1080</v>
      </c>
      <c r="E1739" cm="1">
        <f t="array" ref="E1739">_xlfn.XLOOKUP(D1739,SKU_Master!A:A,SKU_Master!B:B,"Not on master")</f>
        <v>0</v>
      </c>
      <c r="F1739" cm="1">
        <f t="array" ref="F1739">_xlfn.XLOOKUP(C1739,Account_Master!A:A,Account_Master!B:B,"Not on master")</f>
        <v>0</v>
      </c>
      <c r="G1739" cm="1">
        <f t="array" ref="G1739">_xlfn.XLOOKUP(C1739,Account_Master!A:A,Account_Master!C:C,"Not on master")</f>
        <v>0</v>
      </c>
      <c r="H1739" s="6">
        <v>0.75</v>
      </c>
      <c r="I1739" s="6">
        <v>0.75</v>
      </c>
      <c r="J1739" s="6">
        <f>I1739-H1739</f>
        <v>0</v>
      </c>
      <c r="K1739" s="5">
        <f>IF(H1739=0,"",J1739/H1739)</f>
        <v>0</v>
      </c>
      <c r="L1739">
        <f>IF(OR(AND(H1739=0,ABS(J1739)&gt;=0.01),AND(H1739&lt;&gt;0,ABS(K1739)&gt;VarianceThreshold)),"Review","OK")</f>
        <v>0</v>
      </c>
      <c r="M1739" t="s">
        <v>33</v>
      </c>
    </row>
    <row r="1740" spans="1:13">
      <c r="A1740" t="s">
        <v>2</v>
      </c>
      <c r="B1740" t="s">
        <v>689</v>
      </c>
      <c r="C1740" t="s">
        <v>1824</v>
      </c>
      <c r="D1740" t="s">
        <v>1890</v>
      </c>
      <c r="E1740" cm="1">
        <f t="array" ref="E1740">_xlfn.XLOOKUP(D1740,SKU_Master!A:A,SKU_Master!B:B,"Not on master")</f>
        <v>0</v>
      </c>
      <c r="F1740" cm="1">
        <f t="array" ref="F1740">_xlfn.XLOOKUP(C1740,Account_Master!A:A,Account_Master!B:B,"Not on master")</f>
        <v>0</v>
      </c>
      <c r="G1740" cm="1">
        <f t="array" ref="G1740">_xlfn.XLOOKUP(C1740,Account_Master!A:A,Account_Master!C:C,"Not on master")</f>
        <v>0</v>
      </c>
      <c r="H1740" s="6">
        <v>1.3</v>
      </c>
      <c r="I1740" s="6">
        <v>1.3</v>
      </c>
      <c r="J1740" s="6">
        <f>I1740-H1740</f>
        <v>0</v>
      </c>
      <c r="K1740" s="5">
        <f>IF(H1740=0,"",J1740/H1740)</f>
        <v>0</v>
      </c>
      <c r="L1740">
        <f>IF(OR(AND(H1740=0,ABS(J1740)&gt;=0.01),AND(H1740&lt;&gt;0,ABS(K1740)&gt;VarianceThreshold)),"Review","OK")</f>
        <v>0</v>
      </c>
      <c r="M1740" t="s">
        <v>33</v>
      </c>
    </row>
    <row r="1741" spans="1:13">
      <c r="A1741" t="s">
        <v>2</v>
      </c>
      <c r="B1741" t="s">
        <v>701</v>
      </c>
      <c r="C1741" t="s">
        <v>1678</v>
      </c>
      <c r="D1741" t="s">
        <v>1017</v>
      </c>
      <c r="E1741" cm="1">
        <f t="array" ref="E1741">_xlfn.XLOOKUP(D1741,SKU_Master!A:A,SKU_Master!B:B,"Not on master")</f>
        <v>0</v>
      </c>
      <c r="F1741" cm="1">
        <f t="array" ref="F1741">_xlfn.XLOOKUP(C1741,Account_Master!A:A,Account_Master!B:B,"Not on master")</f>
        <v>0</v>
      </c>
      <c r="G1741" cm="1">
        <f t="array" ref="G1741">_xlfn.XLOOKUP(C1741,Account_Master!A:A,Account_Master!C:C,"Not on master")</f>
        <v>0</v>
      </c>
      <c r="H1741" s="6">
        <v>4.5</v>
      </c>
      <c r="I1741" s="6">
        <v>0</v>
      </c>
      <c r="J1741" s="6">
        <f>I1741-H1741</f>
        <v>0</v>
      </c>
      <c r="K1741" s="5">
        <f>IF(H1741=0,"",J1741/H1741)</f>
        <v>0</v>
      </c>
      <c r="L1741">
        <f>IF(OR(AND(H1741=0,ABS(J1741)&gt;=0.01),AND(H1741&lt;&gt;0,ABS(K1741)&gt;VarianceThreshold)),"Review","OK")</f>
        <v>0</v>
      </c>
      <c r="M1741" t="s">
        <v>1611</v>
      </c>
    </row>
    <row r="1742" spans="1:13">
      <c r="A1742" t="s">
        <v>2</v>
      </c>
      <c r="B1742" t="s">
        <v>701</v>
      </c>
      <c r="C1742" t="s">
        <v>1831</v>
      </c>
      <c r="D1742" t="s">
        <v>1342</v>
      </c>
      <c r="E1742" cm="1">
        <f t="array" ref="E1742">_xlfn.XLOOKUP(D1742,SKU_Master!A:A,SKU_Master!B:B,"Not on master")</f>
        <v>0</v>
      </c>
      <c r="F1742" cm="1">
        <f t="array" ref="F1742">_xlfn.XLOOKUP(C1742,Account_Master!A:A,Account_Master!B:B,"Not on master")</f>
        <v>0</v>
      </c>
      <c r="G1742" cm="1">
        <f t="array" ref="G1742">_xlfn.XLOOKUP(C1742,Account_Master!A:A,Account_Master!C:C,"Not on master")</f>
        <v>0</v>
      </c>
      <c r="H1742" s="6">
        <v>65.25</v>
      </c>
      <c r="I1742" s="6">
        <v>65.25</v>
      </c>
      <c r="J1742" s="6">
        <f>I1742-H1742</f>
        <v>0</v>
      </c>
      <c r="K1742" s="5">
        <f>IF(H1742=0,"",J1742/H1742)</f>
        <v>0</v>
      </c>
      <c r="L1742">
        <f>IF(OR(AND(H1742=0,ABS(J1742)&gt;=0.01),AND(H1742&lt;&gt;0,ABS(K1742)&gt;VarianceThreshold)),"Review","OK")</f>
        <v>0</v>
      </c>
      <c r="M1742" t="s">
        <v>33</v>
      </c>
    </row>
    <row r="1743" spans="1:13">
      <c r="A1743" t="s">
        <v>2</v>
      </c>
      <c r="B1743" t="s">
        <v>701</v>
      </c>
      <c r="C1743" t="s">
        <v>1721</v>
      </c>
      <c r="D1743" t="s">
        <v>1891</v>
      </c>
      <c r="E1743" cm="1">
        <f t="array" ref="E1743">_xlfn.XLOOKUP(D1743,SKU_Master!A:A,SKU_Master!B:B,"Not on master")</f>
        <v>0</v>
      </c>
      <c r="F1743" cm="1">
        <f t="array" ref="F1743">_xlfn.XLOOKUP(C1743,Account_Master!A:A,Account_Master!B:B,"Not on master")</f>
        <v>0</v>
      </c>
      <c r="G1743" cm="1">
        <f t="array" ref="G1743">_xlfn.XLOOKUP(C1743,Account_Master!A:A,Account_Master!C:C,"Not on master")</f>
        <v>0</v>
      </c>
      <c r="H1743" s="6">
        <v>1.75</v>
      </c>
      <c r="I1743" s="6">
        <v>1.75</v>
      </c>
      <c r="J1743" s="6">
        <f>I1743-H1743</f>
        <v>0</v>
      </c>
      <c r="K1743" s="5">
        <f>IF(H1743=0,"",J1743/H1743)</f>
        <v>0</v>
      </c>
      <c r="L1743">
        <f>IF(OR(AND(H1743=0,ABS(J1743)&gt;=0.01),AND(H1743&lt;&gt;0,ABS(K1743)&gt;VarianceThreshold)),"Review","OK")</f>
        <v>0</v>
      </c>
      <c r="M1743" t="s">
        <v>33</v>
      </c>
    </row>
    <row r="1744" spans="1:13">
      <c r="A1744" t="s">
        <v>2</v>
      </c>
      <c r="B1744" t="s">
        <v>701</v>
      </c>
      <c r="C1744" t="s">
        <v>1892</v>
      </c>
      <c r="D1744" t="s">
        <v>652</v>
      </c>
      <c r="E1744" cm="1">
        <f t="array" ref="E1744">_xlfn.XLOOKUP(D1744,SKU_Master!A:A,SKU_Master!B:B,"Not on master")</f>
        <v>0</v>
      </c>
      <c r="F1744" cm="1">
        <f t="array" ref="F1744">_xlfn.XLOOKUP(C1744,Account_Master!A:A,Account_Master!B:B,"Not on master")</f>
        <v>0</v>
      </c>
      <c r="G1744" cm="1">
        <f t="array" ref="G1744">_xlfn.XLOOKUP(C1744,Account_Master!A:A,Account_Master!C:C,"Not on master")</f>
        <v>0</v>
      </c>
      <c r="H1744" s="6">
        <v>26.98</v>
      </c>
      <c r="I1744" s="6">
        <v>8.98</v>
      </c>
      <c r="J1744" s="6">
        <f>I1744-H1744</f>
        <v>0</v>
      </c>
      <c r="K1744" s="5">
        <f>IF(H1744=0,"",J1744/H1744)</f>
        <v>0</v>
      </c>
      <c r="L1744">
        <f>IF(OR(AND(H1744=0,ABS(J1744)&gt;=0.01),AND(H1744&lt;&gt;0,ABS(K1744)&gt;VarianceThreshold)),"Review","OK")</f>
        <v>0</v>
      </c>
      <c r="M1744" t="s">
        <v>1611</v>
      </c>
    </row>
    <row r="1745" spans="1:13">
      <c r="A1745" t="s">
        <v>2</v>
      </c>
      <c r="B1745" t="s">
        <v>701</v>
      </c>
      <c r="C1745" t="s">
        <v>1590</v>
      </c>
      <c r="D1745" t="s">
        <v>1456</v>
      </c>
      <c r="E1745" cm="1">
        <f t="array" ref="E1745">_xlfn.XLOOKUP(D1745,SKU_Master!A:A,SKU_Master!B:B,"Not on master")</f>
        <v>0</v>
      </c>
      <c r="F1745" cm="1">
        <f t="array" ref="F1745">_xlfn.XLOOKUP(C1745,Account_Master!A:A,Account_Master!B:B,"Not on master")</f>
        <v>0</v>
      </c>
      <c r="G1745" cm="1">
        <f t="array" ref="G1745">_xlfn.XLOOKUP(C1745,Account_Master!A:A,Account_Master!C:C,"Not on master")</f>
        <v>0</v>
      </c>
      <c r="H1745" s="6">
        <v>9</v>
      </c>
      <c r="I1745" s="6">
        <v>9</v>
      </c>
      <c r="J1745" s="6">
        <f>I1745-H1745</f>
        <v>0</v>
      </c>
      <c r="K1745" s="5">
        <f>IF(H1745=0,"",J1745/H1745)</f>
        <v>0</v>
      </c>
      <c r="L1745">
        <f>IF(OR(AND(H1745=0,ABS(J1745)&gt;=0.01),AND(H1745&lt;&gt;0,ABS(K1745)&gt;VarianceThreshold)),"Review","OK")</f>
        <v>0</v>
      </c>
      <c r="M1745" t="s">
        <v>33</v>
      </c>
    </row>
    <row r="1746" spans="1:13">
      <c r="A1746" t="s">
        <v>2</v>
      </c>
      <c r="B1746" t="s">
        <v>701</v>
      </c>
      <c r="C1746" t="s">
        <v>1831</v>
      </c>
      <c r="D1746" t="s">
        <v>1893</v>
      </c>
      <c r="E1746" cm="1">
        <f t="array" ref="E1746">_xlfn.XLOOKUP(D1746,SKU_Master!A:A,SKU_Master!B:B,"Not on master")</f>
        <v>0</v>
      </c>
      <c r="F1746" cm="1">
        <f t="array" ref="F1746">_xlfn.XLOOKUP(C1746,Account_Master!A:A,Account_Master!B:B,"Not on master")</f>
        <v>0</v>
      </c>
      <c r="G1746" cm="1">
        <f t="array" ref="G1746">_xlfn.XLOOKUP(C1746,Account_Master!A:A,Account_Master!C:C,"Not on master")</f>
        <v>0</v>
      </c>
      <c r="H1746" s="6">
        <v>22.5</v>
      </c>
      <c r="I1746" s="6">
        <v>22.5</v>
      </c>
      <c r="J1746" s="6">
        <f>I1746-H1746</f>
        <v>0</v>
      </c>
      <c r="K1746" s="5">
        <f>IF(H1746=0,"",J1746/H1746)</f>
        <v>0</v>
      </c>
      <c r="L1746">
        <f>IF(OR(AND(H1746=0,ABS(J1746)&gt;=0.01),AND(H1746&lt;&gt;0,ABS(K1746)&gt;VarianceThreshold)),"Review","OK")</f>
        <v>0</v>
      </c>
      <c r="M1746" t="s">
        <v>33</v>
      </c>
    </row>
    <row r="1747" spans="1:13">
      <c r="A1747" t="s">
        <v>2</v>
      </c>
      <c r="B1747" t="s">
        <v>708</v>
      </c>
      <c r="C1747" t="s">
        <v>1644</v>
      </c>
      <c r="D1747" t="s">
        <v>1406</v>
      </c>
      <c r="E1747" cm="1">
        <f t="array" ref="E1747">_xlfn.XLOOKUP(D1747,SKU_Master!A:A,SKU_Master!B:B,"Not on master")</f>
        <v>0</v>
      </c>
      <c r="F1747" cm="1">
        <f t="array" ref="F1747">_xlfn.XLOOKUP(C1747,Account_Master!A:A,Account_Master!B:B,"Not on master")</f>
        <v>0</v>
      </c>
      <c r="G1747" cm="1">
        <f t="array" ref="G1747">_xlfn.XLOOKUP(C1747,Account_Master!A:A,Account_Master!C:C,"Not on master")</f>
        <v>0</v>
      </c>
      <c r="H1747" s="6">
        <v>4.8</v>
      </c>
      <c r="I1747" s="6">
        <v>4.8</v>
      </c>
      <c r="J1747" s="6">
        <f>I1747-H1747</f>
        <v>0</v>
      </c>
      <c r="K1747" s="5">
        <f>IF(H1747=0,"",J1747/H1747)</f>
        <v>0</v>
      </c>
      <c r="L1747">
        <f>IF(OR(AND(H1747=0,ABS(J1747)&gt;=0.01),AND(H1747&lt;&gt;0,ABS(K1747)&gt;VarianceThreshold)),"Review","OK")</f>
        <v>0</v>
      </c>
      <c r="M1747" t="s">
        <v>33</v>
      </c>
    </row>
    <row r="1748" spans="1:13">
      <c r="A1748" t="s">
        <v>2</v>
      </c>
      <c r="B1748" t="s">
        <v>708</v>
      </c>
      <c r="C1748" t="s">
        <v>1782</v>
      </c>
      <c r="D1748" t="s">
        <v>740</v>
      </c>
      <c r="E1748" cm="1">
        <f t="array" ref="E1748">_xlfn.XLOOKUP(D1748,SKU_Master!A:A,SKU_Master!B:B,"Not on master")</f>
        <v>0</v>
      </c>
      <c r="F1748" cm="1">
        <f t="array" ref="F1748">_xlfn.XLOOKUP(C1748,Account_Master!A:A,Account_Master!B:B,"Not on master")</f>
        <v>0</v>
      </c>
      <c r="G1748" cm="1">
        <f t="array" ref="G1748">_xlfn.XLOOKUP(C1748,Account_Master!A:A,Account_Master!C:C,"Not on master")</f>
        <v>0</v>
      </c>
      <c r="H1748" s="6">
        <v>11.25</v>
      </c>
      <c r="I1748" s="6">
        <v>11.25</v>
      </c>
      <c r="J1748" s="6">
        <f>I1748-H1748</f>
        <v>0</v>
      </c>
      <c r="K1748" s="5">
        <f>IF(H1748=0,"",J1748/H1748)</f>
        <v>0</v>
      </c>
      <c r="L1748">
        <f>IF(OR(AND(H1748=0,ABS(J1748)&gt;=0.01),AND(H1748&lt;&gt;0,ABS(K1748)&gt;VarianceThreshold)),"Review","OK")</f>
        <v>0</v>
      </c>
      <c r="M1748" t="s">
        <v>33</v>
      </c>
    </row>
    <row r="1749" spans="1:13">
      <c r="A1749" t="s">
        <v>2</v>
      </c>
      <c r="B1749" t="s">
        <v>708</v>
      </c>
      <c r="C1749" t="s">
        <v>1586</v>
      </c>
      <c r="D1749" t="s">
        <v>1894</v>
      </c>
      <c r="E1749" cm="1">
        <f t="array" ref="E1749">_xlfn.XLOOKUP(D1749,SKU_Master!A:A,SKU_Master!B:B,"Not on master")</f>
        <v>0</v>
      </c>
      <c r="F1749" cm="1">
        <f t="array" ref="F1749">_xlfn.XLOOKUP(C1749,Account_Master!A:A,Account_Master!B:B,"Not on master")</f>
        <v>0</v>
      </c>
      <c r="G1749" cm="1">
        <f t="array" ref="G1749">_xlfn.XLOOKUP(C1749,Account_Master!A:A,Account_Master!C:C,"Not on master")</f>
        <v>0</v>
      </c>
      <c r="H1749" s="6">
        <v>9</v>
      </c>
      <c r="I1749" s="6">
        <v>9</v>
      </c>
      <c r="J1749" s="6">
        <f>I1749-H1749</f>
        <v>0</v>
      </c>
      <c r="K1749" s="5">
        <f>IF(H1749=0,"",J1749/H1749)</f>
        <v>0</v>
      </c>
      <c r="L1749">
        <f>IF(OR(AND(H1749=0,ABS(J1749)&gt;=0.01),AND(H1749&lt;&gt;0,ABS(K1749)&gt;VarianceThreshold)),"Review","OK")</f>
        <v>0</v>
      </c>
      <c r="M1749" t="s">
        <v>33</v>
      </c>
    </row>
    <row r="1750" spans="1:13">
      <c r="A1750" t="s">
        <v>2</v>
      </c>
      <c r="B1750" t="s">
        <v>708</v>
      </c>
      <c r="C1750" t="s">
        <v>1586</v>
      </c>
      <c r="D1750" t="s">
        <v>1895</v>
      </c>
      <c r="E1750" cm="1">
        <f t="array" ref="E1750">_xlfn.XLOOKUP(D1750,SKU_Master!A:A,SKU_Master!B:B,"Not on master")</f>
        <v>0</v>
      </c>
      <c r="F1750" cm="1">
        <f t="array" ref="F1750">_xlfn.XLOOKUP(C1750,Account_Master!A:A,Account_Master!B:B,"Not on master")</f>
        <v>0</v>
      </c>
      <c r="G1750" cm="1">
        <f t="array" ref="G1750">_xlfn.XLOOKUP(C1750,Account_Master!A:A,Account_Master!C:C,"Not on master")</f>
        <v>0</v>
      </c>
      <c r="H1750" s="6">
        <v>9</v>
      </c>
      <c r="I1750" s="6">
        <v>9</v>
      </c>
      <c r="J1750" s="6">
        <f>I1750-H1750</f>
        <v>0</v>
      </c>
      <c r="K1750" s="5">
        <f>IF(H1750=0,"",J1750/H1750)</f>
        <v>0</v>
      </c>
      <c r="L1750">
        <f>IF(OR(AND(H1750=0,ABS(J1750)&gt;=0.01),AND(H1750&lt;&gt;0,ABS(K1750)&gt;VarianceThreshold)),"Review","OK")</f>
        <v>0</v>
      </c>
      <c r="M1750" t="s">
        <v>33</v>
      </c>
    </row>
    <row r="1751" spans="1:13">
      <c r="A1751" t="s">
        <v>2</v>
      </c>
      <c r="B1751" t="s">
        <v>719</v>
      </c>
      <c r="C1751" t="s">
        <v>1896</v>
      </c>
      <c r="D1751" t="s">
        <v>228</v>
      </c>
      <c r="E1751" cm="1">
        <f t="array" ref="E1751">_xlfn.XLOOKUP(D1751,SKU_Master!A:A,SKU_Master!B:B,"Not on master")</f>
        <v>0</v>
      </c>
      <c r="F1751" cm="1">
        <f t="array" ref="F1751">_xlfn.XLOOKUP(C1751,Account_Master!A:A,Account_Master!B:B,"Not on master")</f>
        <v>0</v>
      </c>
      <c r="G1751" cm="1">
        <f t="array" ref="G1751">_xlfn.XLOOKUP(C1751,Account_Master!A:A,Account_Master!C:C,"Not on master")</f>
        <v>0</v>
      </c>
      <c r="H1751" s="6">
        <v>10.5</v>
      </c>
      <c r="I1751" s="6">
        <v>10.5</v>
      </c>
      <c r="J1751" s="6">
        <f>I1751-H1751</f>
        <v>0</v>
      </c>
      <c r="K1751" s="5">
        <f>IF(H1751=0,"",J1751/H1751)</f>
        <v>0</v>
      </c>
      <c r="L1751">
        <f>IF(OR(AND(H1751=0,ABS(J1751)&gt;=0.01),AND(H1751&lt;&gt;0,ABS(K1751)&gt;VarianceThreshold)),"Review","OK")</f>
        <v>0</v>
      </c>
      <c r="M1751" t="s">
        <v>33</v>
      </c>
    </row>
    <row r="1752" spans="1:13">
      <c r="A1752" t="s">
        <v>2</v>
      </c>
      <c r="B1752" t="s">
        <v>719</v>
      </c>
      <c r="C1752" t="s">
        <v>1658</v>
      </c>
      <c r="D1752" t="s">
        <v>405</v>
      </c>
      <c r="E1752" cm="1">
        <f t="array" ref="E1752">_xlfn.XLOOKUP(D1752,SKU_Master!A:A,SKU_Master!B:B,"Not on master")</f>
        <v>0</v>
      </c>
      <c r="F1752" cm="1">
        <f t="array" ref="F1752">_xlfn.XLOOKUP(C1752,Account_Master!A:A,Account_Master!B:B,"Not on master")</f>
        <v>0</v>
      </c>
      <c r="G1752" cm="1">
        <f t="array" ref="G1752">_xlfn.XLOOKUP(C1752,Account_Master!A:A,Account_Master!C:C,"Not on master")</f>
        <v>0</v>
      </c>
      <c r="H1752" s="6">
        <v>18</v>
      </c>
      <c r="I1752" s="6">
        <v>18</v>
      </c>
      <c r="J1752" s="6">
        <f>I1752-H1752</f>
        <v>0</v>
      </c>
      <c r="K1752" s="5">
        <f>IF(H1752=0,"",J1752/H1752)</f>
        <v>0</v>
      </c>
      <c r="L1752">
        <f>IF(OR(AND(H1752=0,ABS(J1752)&gt;=0.01),AND(H1752&lt;&gt;0,ABS(K1752)&gt;VarianceThreshold)),"Review","OK")</f>
        <v>0</v>
      </c>
      <c r="M1752" t="s">
        <v>33</v>
      </c>
    </row>
    <row r="1753" spans="1:13">
      <c r="A1753" t="s">
        <v>2</v>
      </c>
      <c r="B1753" t="s">
        <v>719</v>
      </c>
      <c r="C1753" t="s">
        <v>1574</v>
      </c>
      <c r="D1753" t="s">
        <v>1897</v>
      </c>
      <c r="E1753" cm="1">
        <f t="array" ref="E1753">_xlfn.XLOOKUP(D1753,SKU_Master!A:A,SKU_Master!B:B,"Not on master")</f>
        <v>0</v>
      </c>
      <c r="F1753" cm="1">
        <f t="array" ref="F1753">_xlfn.XLOOKUP(C1753,Account_Master!A:A,Account_Master!B:B,"Not on master")</f>
        <v>0</v>
      </c>
      <c r="G1753" cm="1">
        <f t="array" ref="G1753">_xlfn.XLOOKUP(C1753,Account_Master!A:A,Account_Master!C:C,"Not on master")</f>
        <v>0</v>
      </c>
      <c r="H1753" s="6">
        <v>7.5</v>
      </c>
      <c r="I1753" s="6">
        <v>7.5</v>
      </c>
      <c r="J1753" s="6">
        <f>I1753-H1753</f>
        <v>0</v>
      </c>
      <c r="K1753" s="5">
        <f>IF(H1753=0,"",J1753/H1753)</f>
        <v>0</v>
      </c>
      <c r="L1753">
        <f>IF(OR(AND(H1753=0,ABS(J1753)&gt;=0.01),AND(H1753&lt;&gt;0,ABS(K1753)&gt;VarianceThreshold)),"Review","OK")</f>
        <v>0</v>
      </c>
      <c r="M1753" t="s">
        <v>33</v>
      </c>
    </row>
    <row r="1754" spans="1:13">
      <c r="A1754" t="s">
        <v>2</v>
      </c>
      <c r="B1754" t="s">
        <v>719</v>
      </c>
      <c r="C1754" t="s">
        <v>1831</v>
      </c>
      <c r="D1754" t="s">
        <v>1898</v>
      </c>
      <c r="E1754" cm="1">
        <f t="array" ref="E1754">_xlfn.XLOOKUP(D1754,SKU_Master!A:A,SKU_Master!B:B,"Not on master")</f>
        <v>0</v>
      </c>
      <c r="F1754" cm="1">
        <f t="array" ref="F1754">_xlfn.XLOOKUP(C1754,Account_Master!A:A,Account_Master!B:B,"Not on master")</f>
        <v>0</v>
      </c>
      <c r="G1754" cm="1">
        <f t="array" ref="G1754">_xlfn.XLOOKUP(C1754,Account_Master!A:A,Account_Master!C:C,"Not on master")</f>
        <v>0</v>
      </c>
      <c r="H1754" s="6">
        <v>4.5</v>
      </c>
      <c r="I1754" s="6">
        <v>4.5</v>
      </c>
      <c r="J1754" s="6">
        <f>I1754-H1754</f>
        <v>0</v>
      </c>
      <c r="K1754" s="5">
        <f>IF(H1754=0,"",J1754/H1754)</f>
        <v>0</v>
      </c>
      <c r="L1754">
        <f>IF(OR(AND(H1754=0,ABS(J1754)&gt;=0.01),AND(H1754&lt;&gt;0,ABS(K1754)&gt;VarianceThreshold)),"Review","OK")</f>
        <v>0</v>
      </c>
      <c r="M1754" t="s">
        <v>33</v>
      </c>
    </row>
    <row r="1755" spans="1:13">
      <c r="A1755" t="s">
        <v>2</v>
      </c>
      <c r="B1755" t="s">
        <v>727</v>
      </c>
      <c r="C1755" t="s">
        <v>1642</v>
      </c>
      <c r="D1755" t="s">
        <v>1899</v>
      </c>
      <c r="E1755" cm="1">
        <f t="array" ref="E1755">_xlfn.XLOOKUP(D1755,SKU_Master!A:A,SKU_Master!B:B,"Not on master")</f>
        <v>0</v>
      </c>
      <c r="F1755" cm="1">
        <f t="array" ref="F1755">_xlfn.XLOOKUP(C1755,Account_Master!A:A,Account_Master!B:B,"Not on master")</f>
        <v>0</v>
      </c>
      <c r="G1755" cm="1">
        <f t="array" ref="G1755">_xlfn.XLOOKUP(C1755,Account_Master!A:A,Account_Master!C:C,"Not on master")</f>
        <v>0</v>
      </c>
      <c r="H1755" s="6">
        <v>72</v>
      </c>
      <c r="I1755" s="6">
        <v>72</v>
      </c>
      <c r="J1755" s="6">
        <f>I1755-H1755</f>
        <v>0</v>
      </c>
      <c r="K1755" s="5">
        <f>IF(H1755=0,"",J1755/H1755)</f>
        <v>0</v>
      </c>
      <c r="L1755">
        <f>IF(OR(AND(H1755=0,ABS(J1755)&gt;=0.01),AND(H1755&lt;&gt;0,ABS(K1755)&gt;VarianceThreshold)),"Review","OK")</f>
        <v>0</v>
      </c>
      <c r="M1755" t="s">
        <v>33</v>
      </c>
    </row>
    <row r="1756" spans="1:13">
      <c r="A1756" t="s">
        <v>2</v>
      </c>
      <c r="B1756" t="s">
        <v>727</v>
      </c>
      <c r="C1756" t="s">
        <v>1574</v>
      </c>
      <c r="D1756" t="s">
        <v>1900</v>
      </c>
      <c r="E1756" cm="1">
        <f t="array" ref="E1756">_xlfn.XLOOKUP(D1756,SKU_Master!A:A,SKU_Master!B:B,"Not on master")</f>
        <v>0</v>
      </c>
      <c r="F1756" cm="1">
        <f t="array" ref="F1756">_xlfn.XLOOKUP(C1756,Account_Master!A:A,Account_Master!B:B,"Not on master")</f>
        <v>0</v>
      </c>
      <c r="G1756" cm="1">
        <f t="array" ref="G1756">_xlfn.XLOOKUP(C1756,Account_Master!A:A,Account_Master!C:C,"Not on master")</f>
        <v>0</v>
      </c>
      <c r="H1756" s="6">
        <v>6.75</v>
      </c>
      <c r="I1756" s="6">
        <v>6.75</v>
      </c>
      <c r="J1756" s="6">
        <f>I1756-H1756</f>
        <v>0</v>
      </c>
      <c r="K1756" s="5">
        <f>IF(H1756=0,"",J1756/H1756)</f>
        <v>0</v>
      </c>
      <c r="L1756">
        <f>IF(OR(AND(H1756=0,ABS(J1756)&gt;=0.01),AND(H1756&lt;&gt;0,ABS(K1756)&gt;VarianceThreshold)),"Review","OK")</f>
        <v>0</v>
      </c>
      <c r="M1756" t="s">
        <v>33</v>
      </c>
    </row>
    <row r="1757" spans="1:13">
      <c r="A1757" t="s">
        <v>2</v>
      </c>
      <c r="B1757" t="s">
        <v>727</v>
      </c>
      <c r="C1757" t="s">
        <v>1901</v>
      </c>
      <c r="D1757" t="s">
        <v>1902</v>
      </c>
      <c r="E1757" cm="1">
        <f t="array" ref="E1757">_xlfn.XLOOKUP(D1757,SKU_Master!A:A,SKU_Master!B:B,"Not on master")</f>
        <v>0</v>
      </c>
      <c r="F1757" cm="1">
        <f t="array" ref="F1757">_xlfn.XLOOKUP(C1757,Account_Master!A:A,Account_Master!B:B,"Not on master")</f>
        <v>0</v>
      </c>
      <c r="G1757" cm="1">
        <f t="array" ref="G1757">_xlfn.XLOOKUP(C1757,Account_Master!A:A,Account_Master!C:C,"Not on master")</f>
        <v>0</v>
      </c>
      <c r="H1757" s="6">
        <v>65.25</v>
      </c>
      <c r="I1757" s="6">
        <v>65.25</v>
      </c>
      <c r="J1757" s="6">
        <f>I1757-H1757</f>
        <v>0</v>
      </c>
      <c r="K1757" s="5">
        <f>IF(H1757=0,"",J1757/H1757)</f>
        <v>0</v>
      </c>
      <c r="L1757">
        <f>IF(OR(AND(H1757=0,ABS(J1757)&gt;=0.01),AND(H1757&lt;&gt;0,ABS(K1757)&gt;VarianceThreshold)),"Review","OK")</f>
        <v>0</v>
      </c>
      <c r="M1757" t="s">
        <v>33</v>
      </c>
    </row>
    <row r="1758" spans="1:13">
      <c r="A1758" t="s">
        <v>2</v>
      </c>
      <c r="B1758" t="s">
        <v>727</v>
      </c>
      <c r="C1758" t="s">
        <v>1615</v>
      </c>
      <c r="D1758" t="s">
        <v>1903</v>
      </c>
      <c r="E1758" cm="1">
        <f t="array" ref="E1758">_xlfn.XLOOKUP(D1758,SKU_Master!A:A,SKU_Master!B:B,"Not on master")</f>
        <v>0</v>
      </c>
      <c r="F1758" cm="1">
        <f t="array" ref="F1758">_xlfn.XLOOKUP(C1758,Account_Master!A:A,Account_Master!B:B,"Not on master")</f>
        <v>0</v>
      </c>
      <c r="G1758" cm="1">
        <f t="array" ref="G1758">_xlfn.XLOOKUP(C1758,Account_Master!A:A,Account_Master!C:C,"Not on master")</f>
        <v>0</v>
      </c>
      <c r="H1758" s="6">
        <v>39</v>
      </c>
      <c r="I1758" s="6">
        <v>39</v>
      </c>
      <c r="J1758" s="6">
        <f>I1758-H1758</f>
        <v>0</v>
      </c>
      <c r="K1758" s="5">
        <f>IF(H1758=0,"",J1758/H1758)</f>
        <v>0</v>
      </c>
      <c r="L1758">
        <f>IF(OR(AND(H1758=0,ABS(J1758)&gt;=0.01),AND(H1758&lt;&gt;0,ABS(K1758)&gt;VarianceThreshold)),"Review","OK")</f>
        <v>0</v>
      </c>
      <c r="M1758" t="s">
        <v>33</v>
      </c>
    </row>
    <row r="1759" spans="1:13">
      <c r="A1759" t="s">
        <v>2</v>
      </c>
      <c r="B1759" t="s">
        <v>734</v>
      </c>
      <c r="C1759" t="s">
        <v>1716</v>
      </c>
      <c r="D1759" t="s">
        <v>1904</v>
      </c>
      <c r="E1759" cm="1">
        <f t="array" ref="E1759">_xlfn.XLOOKUP(D1759,SKU_Master!A:A,SKU_Master!B:B,"Not on master")</f>
        <v>0</v>
      </c>
      <c r="F1759" cm="1">
        <f t="array" ref="F1759">_xlfn.XLOOKUP(C1759,Account_Master!A:A,Account_Master!B:B,"Not on master")</f>
        <v>0</v>
      </c>
      <c r="G1759" cm="1">
        <f t="array" ref="G1759">_xlfn.XLOOKUP(C1759,Account_Master!A:A,Account_Master!C:C,"Not on master")</f>
        <v>0</v>
      </c>
      <c r="H1759" s="6">
        <v>145.1</v>
      </c>
      <c r="I1759" s="6">
        <v>145.1</v>
      </c>
      <c r="J1759" s="6">
        <f>I1759-H1759</f>
        <v>0</v>
      </c>
      <c r="K1759" s="5">
        <f>IF(H1759=0,"",J1759/H1759)</f>
        <v>0</v>
      </c>
      <c r="L1759">
        <f>IF(OR(AND(H1759=0,ABS(J1759)&gt;=0.01),AND(H1759&lt;&gt;0,ABS(K1759)&gt;VarianceThreshold)),"Review","OK")</f>
        <v>0</v>
      </c>
      <c r="M1759" t="s">
        <v>33</v>
      </c>
    </row>
    <row r="1760" spans="1:13">
      <c r="A1760" t="s">
        <v>2</v>
      </c>
      <c r="B1760" t="s">
        <v>734</v>
      </c>
      <c r="C1760" t="s">
        <v>1605</v>
      </c>
      <c r="D1760" t="s">
        <v>1386</v>
      </c>
      <c r="E1760" cm="1">
        <f t="array" ref="E1760">_xlfn.XLOOKUP(D1760,SKU_Master!A:A,SKU_Master!B:B,"Not on master")</f>
        <v>0</v>
      </c>
      <c r="F1760" cm="1">
        <f t="array" ref="F1760">_xlfn.XLOOKUP(C1760,Account_Master!A:A,Account_Master!B:B,"Not on master")</f>
        <v>0</v>
      </c>
      <c r="G1760" cm="1">
        <f t="array" ref="G1760">_xlfn.XLOOKUP(C1760,Account_Master!A:A,Account_Master!C:C,"Not on master")</f>
        <v>0</v>
      </c>
      <c r="H1760" s="6">
        <v>66.5</v>
      </c>
      <c r="I1760" s="6">
        <v>66.5</v>
      </c>
      <c r="J1760" s="6">
        <f>I1760-H1760</f>
        <v>0</v>
      </c>
      <c r="K1760" s="5">
        <f>IF(H1760=0,"",J1760/H1760)</f>
        <v>0</v>
      </c>
      <c r="L1760">
        <f>IF(OR(AND(H1760=0,ABS(J1760)&gt;=0.01),AND(H1760&lt;&gt;0,ABS(K1760)&gt;VarianceThreshold)),"Review","OK")</f>
        <v>0</v>
      </c>
      <c r="M1760" t="s">
        <v>33</v>
      </c>
    </row>
    <row r="1761" spans="1:13">
      <c r="A1761" t="s">
        <v>2</v>
      </c>
      <c r="B1761" t="s">
        <v>734</v>
      </c>
      <c r="C1761" t="s">
        <v>1615</v>
      </c>
      <c r="D1761" t="s">
        <v>1104</v>
      </c>
      <c r="E1761" cm="1">
        <f t="array" ref="E1761">_xlfn.XLOOKUP(D1761,SKU_Master!A:A,SKU_Master!B:B,"Not on master")</f>
        <v>0</v>
      </c>
      <c r="F1761" cm="1">
        <f t="array" ref="F1761">_xlfn.XLOOKUP(C1761,Account_Master!A:A,Account_Master!B:B,"Not on master")</f>
        <v>0</v>
      </c>
      <c r="G1761" cm="1">
        <f t="array" ref="G1761">_xlfn.XLOOKUP(C1761,Account_Master!A:A,Account_Master!C:C,"Not on master")</f>
        <v>0</v>
      </c>
      <c r="H1761" s="6">
        <v>32</v>
      </c>
      <c r="I1761" s="6">
        <v>32</v>
      </c>
      <c r="J1761" s="6">
        <f>I1761-H1761</f>
        <v>0</v>
      </c>
      <c r="K1761" s="5">
        <f>IF(H1761=0,"",J1761/H1761)</f>
        <v>0</v>
      </c>
      <c r="L1761">
        <f>IF(OR(AND(H1761=0,ABS(J1761)&gt;=0.01),AND(H1761&lt;&gt;0,ABS(K1761)&gt;VarianceThreshold)),"Review","OK")</f>
        <v>0</v>
      </c>
      <c r="M1761" t="s">
        <v>33</v>
      </c>
    </row>
    <row r="1762" spans="1:13">
      <c r="A1762" t="s">
        <v>2</v>
      </c>
      <c r="B1762" t="s">
        <v>734</v>
      </c>
      <c r="C1762" t="s">
        <v>1576</v>
      </c>
      <c r="D1762" t="s">
        <v>1905</v>
      </c>
      <c r="E1762" cm="1">
        <f t="array" ref="E1762">_xlfn.XLOOKUP(D1762,SKU_Master!A:A,SKU_Master!B:B,"Not on master")</f>
        <v>0</v>
      </c>
      <c r="F1762" cm="1">
        <f t="array" ref="F1762">_xlfn.XLOOKUP(C1762,Account_Master!A:A,Account_Master!B:B,"Not on master")</f>
        <v>0</v>
      </c>
      <c r="G1762" cm="1">
        <f t="array" ref="G1762">_xlfn.XLOOKUP(C1762,Account_Master!A:A,Account_Master!C:C,"Not on master")</f>
        <v>0</v>
      </c>
      <c r="H1762" s="6">
        <v>9</v>
      </c>
      <c r="I1762" s="6">
        <v>9</v>
      </c>
      <c r="J1762" s="6">
        <f>I1762-H1762</f>
        <v>0</v>
      </c>
      <c r="K1762" s="5">
        <f>IF(H1762=0,"",J1762/H1762)</f>
        <v>0</v>
      </c>
      <c r="L1762">
        <f>IF(OR(AND(H1762=0,ABS(J1762)&gt;=0.01),AND(H1762&lt;&gt;0,ABS(K1762)&gt;VarianceThreshold)),"Review","OK")</f>
        <v>0</v>
      </c>
      <c r="M1762" t="s">
        <v>33</v>
      </c>
    </row>
    <row r="1763" spans="1:13">
      <c r="A1763" t="s">
        <v>2</v>
      </c>
      <c r="B1763" t="s">
        <v>734</v>
      </c>
      <c r="C1763" t="s">
        <v>1906</v>
      </c>
      <c r="D1763" t="s">
        <v>1907</v>
      </c>
      <c r="E1763" cm="1">
        <f t="array" ref="E1763">_xlfn.XLOOKUP(D1763,SKU_Master!A:A,SKU_Master!B:B,"Not on master")</f>
        <v>0</v>
      </c>
      <c r="F1763" cm="1">
        <f t="array" ref="F1763">_xlfn.XLOOKUP(C1763,Account_Master!A:A,Account_Master!B:B,"Not on master")</f>
        <v>0</v>
      </c>
      <c r="G1763" cm="1">
        <f t="array" ref="G1763">_xlfn.XLOOKUP(C1763,Account_Master!A:A,Account_Master!C:C,"Not on master")</f>
        <v>0</v>
      </c>
      <c r="H1763" s="6">
        <v>2.25</v>
      </c>
      <c r="I1763" s="6">
        <v>2.25</v>
      </c>
      <c r="J1763" s="6">
        <f>I1763-H1763</f>
        <v>0</v>
      </c>
      <c r="K1763" s="5">
        <f>IF(H1763=0,"",J1763/H1763)</f>
        <v>0</v>
      </c>
      <c r="L1763">
        <f>IF(OR(AND(H1763=0,ABS(J1763)&gt;=0.01),AND(H1763&lt;&gt;0,ABS(K1763)&gt;VarianceThreshold)),"Review","OK")</f>
        <v>0</v>
      </c>
      <c r="M1763" t="s">
        <v>33</v>
      </c>
    </row>
    <row r="1764" spans="1:13">
      <c r="A1764" t="s">
        <v>2</v>
      </c>
      <c r="B1764" t="s">
        <v>734</v>
      </c>
      <c r="C1764" t="s">
        <v>1634</v>
      </c>
      <c r="D1764" t="s">
        <v>1908</v>
      </c>
      <c r="E1764" cm="1">
        <f t="array" ref="E1764">_xlfn.XLOOKUP(D1764,SKU_Master!A:A,SKU_Master!B:B,"Not on master")</f>
        <v>0</v>
      </c>
      <c r="F1764" cm="1">
        <f t="array" ref="F1764">_xlfn.XLOOKUP(C1764,Account_Master!A:A,Account_Master!B:B,"Not on master")</f>
        <v>0</v>
      </c>
      <c r="G1764" cm="1">
        <f t="array" ref="G1764">_xlfn.XLOOKUP(C1764,Account_Master!A:A,Account_Master!C:C,"Not on master")</f>
        <v>0</v>
      </c>
      <c r="H1764" s="6">
        <v>9</v>
      </c>
      <c r="I1764" s="6">
        <v>0</v>
      </c>
      <c r="J1764" s="6">
        <f>I1764-H1764</f>
        <v>0</v>
      </c>
      <c r="K1764" s="5">
        <f>IF(H1764=0,"",J1764/H1764)</f>
        <v>0</v>
      </c>
      <c r="L1764">
        <f>IF(OR(AND(H1764=0,ABS(J1764)&gt;=0.01),AND(H1764&lt;&gt;0,ABS(K1764)&gt;VarianceThreshold)),"Review","OK")</f>
        <v>0</v>
      </c>
      <c r="M1764" t="s">
        <v>1611</v>
      </c>
    </row>
    <row r="1765" spans="1:13">
      <c r="A1765" t="s">
        <v>2</v>
      </c>
      <c r="B1765" t="s">
        <v>734</v>
      </c>
      <c r="C1765" t="s">
        <v>1909</v>
      </c>
      <c r="D1765" t="s">
        <v>848</v>
      </c>
      <c r="E1765" cm="1">
        <f t="array" ref="E1765">_xlfn.XLOOKUP(D1765,SKU_Master!A:A,SKU_Master!B:B,"Not on master")</f>
        <v>0</v>
      </c>
      <c r="F1765" cm="1">
        <f t="array" ref="F1765">_xlfn.XLOOKUP(C1765,Account_Master!A:A,Account_Master!B:B,"Not on master")</f>
        <v>0</v>
      </c>
      <c r="G1765" cm="1">
        <f t="array" ref="G1765">_xlfn.XLOOKUP(C1765,Account_Master!A:A,Account_Master!C:C,"Not on master")</f>
        <v>0</v>
      </c>
      <c r="H1765" s="6">
        <v>27</v>
      </c>
      <c r="I1765" s="6">
        <v>27</v>
      </c>
      <c r="J1765" s="6">
        <f>I1765-H1765</f>
        <v>0</v>
      </c>
      <c r="K1765" s="5">
        <f>IF(H1765=0,"",J1765/H1765)</f>
        <v>0</v>
      </c>
      <c r="L1765">
        <f>IF(OR(AND(H1765=0,ABS(J1765)&gt;=0.01),AND(H1765&lt;&gt;0,ABS(K1765)&gt;VarianceThreshold)),"Review","OK")</f>
        <v>0</v>
      </c>
      <c r="M1765" t="s">
        <v>33</v>
      </c>
    </row>
    <row r="1766" spans="1:13">
      <c r="A1766" t="s">
        <v>2</v>
      </c>
      <c r="B1766" t="s">
        <v>734</v>
      </c>
      <c r="C1766" t="s">
        <v>1910</v>
      </c>
      <c r="D1766" t="s">
        <v>1911</v>
      </c>
      <c r="E1766" cm="1">
        <f t="array" ref="E1766">_xlfn.XLOOKUP(D1766,SKU_Master!A:A,SKU_Master!B:B,"Not on master")</f>
        <v>0</v>
      </c>
      <c r="F1766" cm="1">
        <f t="array" ref="F1766">_xlfn.XLOOKUP(C1766,Account_Master!A:A,Account_Master!B:B,"Not on master")</f>
        <v>0</v>
      </c>
      <c r="G1766" cm="1">
        <f t="array" ref="G1766">_xlfn.XLOOKUP(C1766,Account_Master!A:A,Account_Master!C:C,"Not on master")</f>
        <v>0</v>
      </c>
      <c r="H1766" s="6">
        <v>10.5</v>
      </c>
      <c r="I1766" s="6">
        <v>10.5</v>
      </c>
      <c r="J1766" s="6">
        <f>I1766-H1766</f>
        <v>0</v>
      </c>
      <c r="K1766" s="5">
        <f>IF(H1766=0,"",J1766/H1766)</f>
        <v>0</v>
      </c>
      <c r="L1766">
        <f>IF(OR(AND(H1766=0,ABS(J1766)&gt;=0.01),AND(H1766&lt;&gt;0,ABS(K1766)&gt;VarianceThreshold)),"Review","OK")</f>
        <v>0</v>
      </c>
      <c r="M1766" t="s">
        <v>33</v>
      </c>
    </row>
    <row r="1767" spans="1:13">
      <c r="A1767" t="s">
        <v>2</v>
      </c>
      <c r="B1767" t="s">
        <v>734</v>
      </c>
      <c r="C1767" t="s">
        <v>1612</v>
      </c>
      <c r="D1767" t="s">
        <v>321</v>
      </c>
      <c r="E1767" cm="1">
        <f t="array" ref="E1767">_xlfn.XLOOKUP(D1767,SKU_Master!A:A,SKU_Master!B:B,"Not on master")</f>
        <v>0</v>
      </c>
      <c r="F1767" cm="1">
        <f t="array" ref="F1767">_xlfn.XLOOKUP(C1767,Account_Master!A:A,Account_Master!B:B,"Not on master")</f>
        <v>0</v>
      </c>
      <c r="G1767" cm="1">
        <f t="array" ref="G1767">_xlfn.XLOOKUP(C1767,Account_Master!A:A,Account_Master!C:C,"Not on master")</f>
        <v>0</v>
      </c>
      <c r="H1767" s="6">
        <v>3</v>
      </c>
      <c r="I1767" s="6">
        <v>0</v>
      </c>
      <c r="J1767" s="6">
        <f>I1767-H1767</f>
        <v>0</v>
      </c>
      <c r="K1767" s="5">
        <f>IF(H1767=0,"",J1767/H1767)</f>
        <v>0</v>
      </c>
      <c r="L1767">
        <f>IF(OR(AND(H1767=0,ABS(J1767)&gt;=0.01),AND(H1767&lt;&gt;0,ABS(K1767)&gt;VarianceThreshold)),"Review","OK")</f>
        <v>0</v>
      </c>
      <c r="M1767" t="s">
        <v>1611</v>
      </c>
    </row>
    <row r="1768" spans="1:13">
      <c r="A1768" t="s">
        <v>2</v>
      </c>
      <c r="B1768" t="s">
        <v>734</v>
      </c>
      <c r="C1768" t="s">
        <v>1612</v>
      </c>
      <c r="D1768" t="s">
        <v>1912</v>
      </c>
      <c r="E1768" cm="1">
        <f t="array" ref="E1768">_xlfn.XLOOKUP(D1768,SKU_Master!A:A,SKU_Master!B:B,"Not on master")</f>
        <v>0</v>
      </c>
      <c r="F1768" cm="1">
        <f t="array" ref="F1768">_xlfn.XLOOKUP(C1768,Account_Master!A:A,Account_Master!B:B,"Not on master")</f>
        <v>0</v>
      </c>
      <c r="G1768" cm="1">
        <f t="array" ref="G1768">_xlfn.XLOOKUP(C1768,Account_Master!A:A,Account_Master!C:C,"Not on master")</f>
        <v>0</v>
      </c>
      <c r="H1768" s="6">
        <v>9</v>
      </c>
      <c r="I1768" s="6">
        <v>9</v>
      </c>
      <c r="J1768" s="6">
        <f>I1768-H1768</f>
        <v>0</v>
      </c>
      <c r="K1768" s="5">
        <f>IF(H1768=0,"",J1768/H1768)</f>
        <v>0</v>
      </c>
      <c r="L1768">
        <f>IF(OR(AND(H1768=0,ABS(J1768)&gt;=0.01),AND(H1768&lt;&gt;0,ABS(K1768)&gt;VarianceThreshold)),"Review","OK")</f>
        <v>0</v>
      </c>
      <c r="M1768" t="s">
        <v>33</v>
      </c>
    </row>
    <row r="1769" spans="1:13">
      <c r="A1769" t="s">
        <v>2</v>
      </c>
      <c r="B1769" t="s">
        <v>734</v>
      </c>
      <c r="C1769" t="s">
        <v>1703</v>
      </c>
      <c r="D1769" t="s">
        <v>1913</v>
      </c>
      <c r="E1769" cm="1">
        <f t="array" ref="E1769">_xlfn.XLOOKUP(D1769,SKU_Master!A:A,SKU_Master!B:B,"Not on master")</f>
        <v>0</v>
      </c>
      <c r="F1769" cm="1">
        <f t="array" ref="F1769">_xlfn.XLOOKUP(C1769,Account_Master!A:A,Account_Master!B:B,"Not on master")</f>
        <v>0</v>
      </c>
      <c r="G1769" cm="1">
        <f t="array" ref="G1769">_xlfn.XLOOKUP(C1769,Account_Master!A:A,Account_Master!C:C,"Not on master")</f>
        <v>0</v>
      </c>
      <c r="H1769" s="6">
        <v>0.4</v>
      </c>
      <c r="I1769" s="6">
        <v>0.4</v>
      </c>
      <c r="J1769" s="6">
        <f>I1769-H1769</f>
        <v>0</v>
      </c>
      <c r="K1769" s="5">
        <f>IF(H1769=0,"",J1769/H1769)</f>
        <v>0</v>
      </c>
      <c r="L1769">
        <f>IF(OR(AND(H1769=0,ABS(J1769)&gt;=0.01),AND(H1769&lt;&gt;0,ABS(K1769)&gt;VarianceThreshold)),"Review","OK")</f>
        <v>0</v>
      </c>
      <c r="M1769" t="s">
        <v>33</v>
      </c>
    </row>
    <row r="1770" spans="1:13">
      <c r="A1770" t="s">
        <v>2</v>
      </c>
      <c r="B1770" t="s">
        <v>734</v>
      </c>
      <c r="C1770" t="s">
        <v>1576</v>
      </c>
      <c r="D1770" t="s">
        <v>1414</v>
      </c>
      <c r="E1770" cm="1">
        <f t="array" ref="E1770">_xlfn.XLOOKUP(D1770,SKU_Master!A:A,SKU_Master!B:B,"Not on master")</f>
        <v>0</v>
      </c>
      <c r="F1770" cm="1">
        <f t="array" ref="F1770">_xlfn.XLOOKUP(C1770,Account_Master!A:A,Account_Master!B:B,"Not on master")</f>
        <v>0</v>
      </c>
      <c r="G1770" cm="1">
        <f t="array" ref="G1770">_xlfn.XLOOKUP(C1770,Account_Master!A:A,Account_Master!C:C,"Not on master")</f>
        <v>0</v>
      </c>
      <c r="H1770" s="6">
        <v>4.5</v>
      </c>
      <c r="I1770" s="6">
        <v>4.5</v>
      </c>
      <c r="J1770" s="6">
        <f>I1770-H1770</f>
        <v>0</v>
      </c>
      <c r="K1770" s="5">
        <f>IF(H1770=0,"",J1770/H1770)</f>
        <v>0</v>
      </c>
      <c r="L1770">
        <f>IF(OR(AND(H1770=0,ABS(J1770)&gt;=0.01),AND(H1770&lt;&gt;0,ABS(K1770)&gt;VarianceThreshold)),"Review","OK")</f>
        <v>0</v>
      </c>
      <c r="M1770" t="s">
        <v>33</v>
      </c>
    </row>
    <row r="1771" spans="1:13">
      <c r="A1771" t="s">
        <v>2</v>
      </c>
      <c r="B1771" t="s">
        <v>746</v>
      </c>
      <c r="C1771" t="s">
        <v>1716</v>
      </c>
      <c r="D1771" t="s">
        <v>1914</v>
      </c>
      <c r="E1771" cm="1">
        <f t="array" ref="E1771">_xlfn.XLOOKUP(D1771,SKU_Master!A:A,SKU_Master!B:B,"Not on master")</f>
        <v>0</v>
      </c>
      <c r="F1771" cm="1">
        <f t="array" ref="F1771">_xlfn.XLOOKUP(C1771,Account_Master!A:A,Account_Master!B:B,"Not on master")</f>
        <v>0</v>
      </c>
      <c r="G1771" cm="1">
        <f t="array" ref="G1771">_xlfn.XLOOKUP(C1771,Account_Master!A:A,Account_Master!C:C,"Not on master")</f>
        <v>0</v>
      </c>
      <c r="H1771" s="6">
        <v>4.5</v>
      </c>
      <c r="I1771" s="6">
        <v>3.9268</v>
      </c>
      <c r="J1771" s="6">
        <f>I1771-H1771</f>
        <v>0</v>
      </c>
      <c r="K1771" s="5">
        <f>IF(H1771=0,"",J1771/H1771)</f>
        <v>0</v>
      </c>
      <c r="L1771">
        <f>IF(OR(AND(H1771=0,ABS(J1771)&gt;=0.01),AND(H1771&lt;&gt;0,ABS(K1771)&gt;VarianceThreshold)),"Review","OK")</f>
        <v>0</v>
      </c>
      <c r="M1771" t="s">
        <v>471</v>
      </c>
    </row>
    <row r="1772" spans="1:13">
      <c r="A1772" t="s">
        <v>2</v>
      </c>
      <c r="B1772" t="s">
        <v>746</v>
      </c>
      <c r="C1772" t="s">
        <v>1605</v>
      </c>
      <c r="D1772" t="s">
        <v>1376</v>
      </c>
      <c r="E1772" cm="1">
        <f t="array" ref="E1772">_xlfn.XLOOKUP(D1772,SKU_Master!A:A,SKU_Master!B:B,"Not on master")</f>
        <v>0</v>
      </c>
      <c r="F1772" cm="1">
        <f t="array" ref="F1772">_xlfn.XLOOKUP(C1772,Account_Master!A:A,Account_Master!B:B,"Not on master")</f>
        <v>0</v>
      </c>
      <c r="G1772" cm="1">
        <f t="array" ref="G1772">_xlfn.XLOOKUP(C1772,Account_Master!A:A,Account_Master!C:C,"Not on master")</f>
        <v>0</v>
      </c>
      <c r="H1772" s="6">
        <v>18</v>
      </c>
      <c r="I1772" s="6">
        <v>15.7074</v>
      </c>
      <c r="J1772" s="6">
        <f>I1772-H1772</f>
        <v>0</v>
      </c>
      <c r="K1772" s="5">
        <f>IF(H1772=0,"",J1772/H1772)</f>
        <v>0</v>
      </c>
      <c r="L1772">
        <f>IF(OR(AND(H1772=0,ABS(J1772)&gt;=0.01),AND(H1772&lt;&gt;0,ABS(K1772)&gt;VarianceThreshold)),"Review","OK")</f>
        <v>0</v>
      </c>
      <c r="M1772" t="s">
        <v>471</v>
      </c>
    </row>
    <row r="1773" spans="1:13">
      <c r="A1773" t="s">
        <v>2</v>
      </c>
      <c r="B1773" t="s">
        <v>746</v>
      </c>
      <c r="C1773" t="s">
        <v>1786</v>
      </c>
      <c r="D1773" t="s">
        <v>1915</v>
      </c>
      <c r="E1773" cm="1">
        <f t="array" ref="E1773">_xlfn.XLOOKUP(D1773,SKU_Master!A:A,SKU_Master!B:B,"Not on master")</f>
        <v>0</v>
      </c>
      <c r="F1773" cm="1">
        <f t="array" ref="F1773">_xlfn.XLOOKUP(C1773,Account_Master!A:A,Account_Master!B:B,"Not on master")</f>
        <v>0</v>
      </c>
      <c r="G1773" cm="1">
        <f t="array" ref="G1773">_xlfn.XLOOKUP(C1773,Account_Master!A:A,Account_Master!C:C,"Not on master")</f>
        <v>0</v>
      </c>
      <c r="H1773" s="6">
        <v>4.5</v>
      </c>
      <c r="I1773" s="6">
        <v>3.9268</v>
      </c>
      <c r="J1773" s="6">
        <f>I1773-H1773</f>
        <v>0</v>
      </c>
      <c r="K1773" s="5">
        <f>IF(H1773=0,"",J1773/H1773)</f>
        <v>0</v>
      </c>
      <c r="L1773">
        <f>IF(OR(AND(H1773=0,ABS(J1773)&gt;=0.01),AND(H1773&lt;&gt;0,ABS(K1773)&gt;VarianceThreshold)),"Review","OK")</f>
        <v>0</v>
      </c>
      <c r="M1773" t="s">
        <v>471</v>
      </c>
    </row>
    <row r="1774" spans="1:13">
      <c r="A1774" t="s">
        <v>2</v>
      </c>
      <c r="B1774" t="s">
        <v>755</v>
      </c>
      <c r="C1774" t="s">
        <v>1576</v>
      </c>
      <c r="D1774" t="s">
        <v>1916</v>
      </c>
      <c r="E1774" cm="1">
        <f t="array" ref="E1774">_xlfn.XLOOKUP(D1774,SKU_Master!A:A,SKU_Master!B:B,"Not on master")</f>
        <v>0</v>
      </c>
      <c r="F1774" cm="1">
        <f t="array" ref="F1774">_xlfn.XLOOKUP(C1774,Account_Master!A:A,Account_Master!B:B,"Not on master")</f>
        <v>0</v>
      </c>
      <c r="G1774" cm="1">
        <f t="array" ref="G1774">_xlfn.XLOOKUP(C1774,Account_Master!A:A,Account_Master!C:C,"Not on master")</f>
        <v>0</v>
      </c>
      <c r="H1774" s="6">
        <v>18</v>
      </c>
      <c r="I1774" s="6">
        <v>18</v>
      </c>
      <c r="J1774" s="6">
        <f>I1774-H1774</f>
        <v>0</v>
      </c>
      <c r="K1774" s="5">
        <f>IF(H1774=0,"",J1774/H1774)</f>
        <v>0</v>
      </c>
      <c r="L1774">
        <f>IF(OR(AND(H1774=0,ABS(J1774)&gt;=0.01),AND(H1774&lt;&gt;0,ABS(K1774)&gt;VarianceThreshold)),"Review","OK")</f>
        <v>0</v>
      </c>
      <c r="M1774" t="s">
        <v>33</v>
      </c>
    </row>
    <row r="1775" spans="1:13">
      <c r="A1775" t="s">
        <v>2</v>
      </c>
      <c r="B1775" t="s">
        <v>755</v>
      </c>
      <c r="C1775" t="s">
        <v>1615</v>
      </c>
      <c r="D1775" t="s">
        <v>600</v>
      </c>
      <c r="E1775" cm="1">
        <f t="array" ref="E1775">_xlfn.XLOOKUP(D1775,SKU_Master!A:A,SKU_Master!B:B,"Not on master")</f>
        <v>0</v>
      </c>
      <c r="F1775" cm="1">
        <f t="array" ref="F1775">_xlfn.XLOOKUP(C1775,Account_Master!A:A,Account_Master!B:B,"Not on master")</f>
        <v>0</v>
      </c>
      <c r="G1775" cm="1">
        <f t="array" ref="G1775">_xlfn.XLOOKUP(C1775,Account_Master!A:A,Account_Master!C:C,"Not on master")</f>
        <v>0</v>
      </c>
      <c r="H1775" s="6">
        <v>12</v>
      </c>
      <c r="I1775" s="6">
        <v>12</v>
      </c>
      <c r="J1775" s="6">
        <f>I1775-H1775</f>
        <v>0</v>
      </c>
      <c r="K1775" s="5">
        <f>IF(H1775=0,"",J1775/H1775)</f>
        <v>0</v>
      </c>
      <c r="L1775">
        <f>IF(OR(AND(H1775=0,ABS(J1775)&gt;=0.01),AND(H1775&lt;&gt;0,ABS(K1775)&gt;VarianceThreshold)),"Review","OK")</f>
        <v>0</v>
      </c>
      <c r="M1775" t="s">
        <v>33</v>
      </c>
    </row>
    <row r="1776" spans="1:13">
      <c r="A1776" t="s">
        <v>2</v>
      </c>
      <c r="B1776" t="s">
        <v>755</v>
      </c>
      <c r="C1776" t="s">
        <v>1576</v>
      </c>
      <c r="D1776" t="s">
        <v>470</v>
      </c>
      <c r="E1776" cm="1">
        <f t="array" ref="E1776">_xlfn.XLOOKUP(D1776,SKU_Master!A:A,SKU_Master!B:B,"Not on master")</f>
        <v>0</v>
      </c>
      <c r="F1776" cm="1">
        <f t="array" ref="F1776">_xlfn.XLOOKUP(C1776,Account_Master!A:A,Account_Master!B:B,"Not on master")</f>
        <v>0</v>
      </c>
      <c r="G1776" cm="1">
        <f t="array" ref="G1776">_xlfn.XLOOKUP(C1776,Account_Master!A:A,Account_Master!C:C,"Not on master")</f>
        <v>0</v>
      </c>
      <c r="H1776" s="6">
        <v>0.1</v>
      </c>
      <c r="I1776" s="6">
        <v>0.1</v>
      </c>
      <c r="J1776" s="6">
        <f>I1776-H1776</f>
        <v>0</v>
      </c>
      <c r="K1776" s="5">
        <f>IF(H1776=0,"",J1776/H1776)</f>
        <v>0</v>
      </c>
      <c r="L1776">
        <f>IF(OR(AND(H1776=0,ABS(J1776)&gt;=0.01),AND(H1776&lt;&gt;0,ABS(K1776)&gt;VarianceThreshold)),"Review","OK")</f>
        <v>0</v>
      </c>
      <c r="M1776" t="s">
        <v>33</v>
      </c>
    </row>
    <row r="1777" spans="1:13">
      <c r="A1777" t="s">
        <v>2</v>
      </c>
      <c r="B1777" t="s">
        <v>755</v>
      </c>
      <c r="C1777" t="s">
        <v>1869</v>
      </c>
      <c r="D1777" t="s">
        <v>1917</v>
      </c>
      <c r="E1777" cm="1">
        <f t="array" ref="E1777">_xlfn.XLOOKUP(D1777,SKU_Master!A:A,SKU_Master!B:B,"Not on master")</f>
        <v>0</v>
      </c>
      <c r="F1777" cm="1">
        <f t="array" ref="F1777">_xlfn.XLOOKUP(C1777,Account_Master!A:A,Account_Master!B:B,"Not on master")</f>
        <v>0</v>
      </c>
      <c r="G1777" cm="1">
        <f t="array" ref="G1777">_xlfn.XLOOKUP(C1777,Account_Master!A:A,Account_Master!C:C,"Not on master")</f>
        <v>0</v>
      </c>
      <c r="H1777" s="6">
        <v>2.25</v>
      </c>
      <c r="I1777" s="6">
        <v>2.25</v>
      </c>
      <c r="J1777" s="6">
        <f>I1777-H1777</f>
        <v>0</v>
      </c>
      <c r="K1777" s="5">
        <f>IF(H1777=0,"",J1777/H1777)</f>
        <v>0</v>
      </c>
      <c r="L1777">
        <f>IF(OR(AND(H1777=0,ABS(J1777)&gt;=0.01),AND(H1777&lt;&gt;0,ABS(K1777)&gt;VarianceThreshold)),"Review","OK")</f>
        <v>0</v>
      </c>
      <c r="M1777" t="s">
        <v>33</v>
      </c>
    </row>
    <row r="1778" spans="1:13">
      <c r="A1778" t="s">
        <v>2</v>
      </c>
      <c r="B1778" t="s">
        <v>755</v>
      </c>
      <c r="C1778" t="s">
        <v>1716</v>
      </c>
      <c r="D1778" t="s">
        <v>127</v>
      </c>
      <c r="E1778" cm="1">
        <f t="array" ref="E1778">_xlfn.XLOOKUP(D1778,SKU_Master!A:A,SKU_Master!B:B,"Not on master")</f>
        <v>0</v>
      </c>
      <c r="F1778" cm="1">
        <f t="array" ref="F1778">_xlfn.XLOOKUP(C1778,Account_Master!A:A,Account_Master!B:B,"Not on master")</f>
        <v>0</v>
      </c>
      <c r="G1778" cm="1">
        <f t="array" ref="G1778">_xlfn.XLOOKUP(C1778,Account_Master!A:A,Account_Master!C:C,"Not on master")</f>
        <v>0</v>
      </c>
      <c r="H1778" s="6">
        <v>143.25</v>
      </c>
      <c r="I1778" s="6">
        <v>125.25</v>
      </c>
      <c r="J1778" s="6">
        <f>I1778-H1778</f>
        <v>0</v>
      </c>
      <c r="K1778" s="5">
        <f>IF(H1778=0,"",J1778/H1778)</f>
        <v>0</v>
      </c>
      <c r="L1778">
        <f>IF(OR(AND(H1778=0,ABS(J1778)&gt;=0.01),AND(H1778&lt;&gt;0,ABS(K1778)&gt;VarianceThreshold)),"Review","OK")</f>
        <v>0</v>
      </c>
      <c r="M1778" t="s">
        <v>1611</v>
      </c>
    </row>
    <row r="1779" spans="1:13">
      <c r="A1779" t="s">
        <v>2</v>
      </c>
      <c r="B1779" t="s">
        <v>755</v>
      </c>
      <c r="C1779" t="s">
        <v>1716</v>
      </c>
      <c r="D1779" t="s">
        <v>311</v>
      </c>
      <c r="E1779" cm="1">
        <f t="array" ref="E1779">_xlfn.XLOOKUP(D1779,SKU_Master!A:A,SKU_Master!B:B,"Not on master")</f>
        <v>0</v>
      </c>
      <c r="F1779" cm="1">
        <f t="array" ref="F1779">_xlfn.XLOOKUP(C1779,Account_Master!A:A,Account_Master!B:B,"Not on master")</f>
        <v>0</v>
      </c>
      <c r="G1779" cm="1">
        <f t="array" ref="G1779">_xlfn.XLOOKUP(C1779,Account_Master!A:A,Account_Master!C:C,"Not on master")</f>
        <v>0</v>
      </c>
      <c r="H1779" s="6">
        <v>0.05</v>
      </c>
      <c r="I1779" s="6">
        <v>0.05</v>
      </c>
      <c r="J1779" s="6">
        <f>I1779-H1779</f>
        <v>0</v>
      </c>
      <c r="K1779" s="5">
        <f>IF(H1779=0,"",J1779/H1779)</f>
        <v>0</v>
      </c>
      <c r="L1779">
        <f>IF(OR(AND(H1779=0,ABS(J1779)&gt;=0.01),AND(H1779&lt;&gt;0,ABS(K1779)&gt;VarianceThreshold)),"Review","OK")</f>
        <v>0</v>
      </c>
      <c r="M1779" t="s">
        <v>33</v>
      </c>
    </row>
    <row r="1780" spans="1:13">
      <c r="A1780" t="s">
        <v>2</v>
      </c>
      <c r="B1780" t="s">
        <v>755</v>
      </c>
      <c r="C1780" t="s">
        <v>1667</v>
      </c>
      <c r="D1780" t="s">
        <v>1089</v>
      </c>
      <c r="E1780" cm="1">
        <f t="array" ref="E1780">_xlfn.XLOOKUP(D1780,SKU_Master!A:A,SKU_Master!B:B,"Not on master")</f>
        <v>0</v>
      </c>
      <c r="F1780" cm="1">
        <f t="array" ref="F1780">_xlfn.XLOOKUP(C1780,Account_Master!A:A,Account_Master!B:B,"Not on master")</f>
        <v>0</v>
      </c>
      <c r="G1780" cm="1">
        <f t="array" ref="G1780">_xlfn.XLOOKUP(C1780,Account_Master!A:A,Account_Master!C:C,"Not on master")</f>
        <v>0</v>
      </c>
      <c r="H1780" s="6">
        <v>4.5</v>
      </c>
      <c r="I1780" s="6">
        <v>4.5</v>
      </c>
      <c r="J1780" s="6">
        <f>I1780-H1780</f>
        <v>0</v>
      </c>
      <c r="K1780" s="5">
        <f>IF(H1780=0,"",J1780/H1780)</f>
        <v>0</v>
      </c>
      <c r="L1780">
        <f>IF(OR(AND(H1780=0,ABS(J1780)&gt;=0.01),AND(H1780&lt;&gt;0,ABS(K1780)&gt;VarianceThreshold)),"Review","OK")</f>
        <v>0</v>
      </c>
      <c r="M1780" t="s">
        <v>33</v>
      </c>
    </row>
    <row r="1781" spans="1:13">
      <c r="A1781" t="s">
        <v>2</v>
      </c>
      <c r="B1781" t="s">
        <v>755</v>
      </c>
      <c r="C1781" t="s">
        <v>1775</v>
      </c>
      <c r="D1781" t="s">
        <v>1488</v>
      </c>
      <c r="E1781" cm="1">
        <f t="array" ref="E1781">_xlfn.XLOOKUP(D1781,SKU_Master!A:A,SKU_Master!B:B,"Not on master")</f>
        <v>0</v>
      </c>
      <c r="F1781" cm="1">
        <f t="array" ref="F1781">_xlfn.XLOOKUP(C1781,Account_Master!A:A,Account_Master!B:B,"Not on master")</f>
        <v>0</v>
      </c>
      <c r="G1781" cm="1">
        <f t="array" ref="G1781">_xlfn.XLOOKUP(C1781,Account_Master!A:A,Account_Master!C:C,"Not on master")</f>
        <v>0</v>
      </c>
      <c r="H1781" s="6">
        <v>6.75</v>
      </c>
      <c r="I1781" s="6">
        <v>6.75</v>
      </c>
      <c r="J1781" s="6">
        <f>I1781-H1781</f>
        <v>0</v>
      </c>
      <c r="K1781" s="5">
        <f>IF(H1781=0,"",J1781/H1781)</f>
        <v>0</v>
      </c>
      <c r="L1781">
        <f>IF(OR(AND(H1781=0,ABS(J1781)&gt;=0.01),AND(H1781&lt;&gt;0,ABS(K1781)&gt;VarianceThreshold)),"Review","OK")</f>
        <v>0</v>
      </c>
      <c r="M1781" t="s">
        <v>33</v>
      </c>
    </row>
    <row r="1782" spans="1:13">
      <c r="A1782" t="s">
        <v>2</v>
      </c>
      <c r="B1782" t="s">
        <v>765</v>
      </c>
      <c r="C1782" t="s">
        <v>1580</v>
      </c>
      <c r="D1782" t="s">
        <v>439</v>
      </c>
      <c r="E1782" cm="1">
        <f t="array" ref="E1782">_xlfn.XLOOKUP(D1782,SKU_Master!A:A,SKU_Master!B:B,"Not on master")</f>
        <v>0</v>
      </c>
      <c r="F1782" cm="1">
        <f t="array" ref="F1782">_xlfn.XLOOKUP(C1782,Account_Master!A:A,Account_Master!B:B,"Not on master")</f>
        <v>0</v>
      </c>
      <c r="G1782" cm="1">
        <f t="array" ref="G1782">_xlfn.XLOOKUP(C1782,Account_Master!A:A,Account_Master!C:C,"Not on master")</f>
        <v>0</v>
      </c>
      <c r="H1782" s="6">
        <v>21</v>
      </c>
      <c r="I1782" s="6">
        <v>21</v>
      </c>
      <c r="J1782" s="6">
        <f>I1782-H1782</f>
        <v>0</v>
      </c>
      <c r="K1782" s="5">
        <f>IF(H1782=0,"",J1782/H1782)</f>
        <v>0</v>
      </c>
      <c r="L1782">
        <f>IF(OR(AND(H1782=0,ABS(J1782)&gt;=0.01),AND(H1782&lt;&gt;0,ABS(K1782)&gt;VarianceThreshold)),"Review","OK")</f>
        <v>0</v>
      </c>
      <c r="M1782" t="s">
        <v>33</v>
      </c>
    </row>
    <row r="1783" spans="1:13">
      <c r="A1783" t="s">
        <v>2</v>
      </c>
      <c r="B1783" t="s">
        <v>765</v>
      </c>
      <c r="C1783" t="s">
        <v>1580</v>
      </c>
      <c r="D1783" t="s">
        <v>1918</v>
      </c>
      <c r="E1783" cm="1">
        <f t="array" ref="E1783">_xlfn.XLOOKUP(D1783,SKU_Master!A:A,SKU_Master!B:B,"Not on master")</f>
        <v>0</v>
      </c>
      <c r="F1783" cm="1">
        <f t="array" ref="F1783">_xlfn.XLOOKUP(C1783,Account_Master!A:A,Account_Master!B:B,"Not on master")</f>
        <v>0</v>
      </c>
      <c r="G1783" cm="1">
        <f t="array" ref="G1783">_xlfn.XLOOKUP(C1783,Account_Master!A:A,Account_Master!C:C,"Not on master")</f>
        <v>0</v>
      </c>
      <c r="H1783" s="6">
        <v>56</v>
      </c>
      <c r="I1783" s="6">
        <v>45.5</v>
      </c>
      <c r="J1783" s="6">
        <f>I1783-H1783</f>
        <v>0</v>
      </c>
      <c r="K1783" s="5">
        <f>IF(H1783=0,"",J1783/H1783)</f>
        <v>0</v>
      </c>
      <c r="L1783">
        <f>IF(OR(AND(H1783=0,ABS(J1783)&gt;=0.01),AND(H1783&lt;&gt;0,ABS(K1783)&gt;VarianceThreshold)),"Review","OK")</f>
        <v>0</v>
      </c>
      <c r="M1783" t="s">
        <v>1611</v>
      </c>
    </row>
    <row r="1784" spans="1:13">
      <c r="A1784" t="s">
        <v>2</v>
      </c>
      <c r="B1784" t="s">
        <v>765</v>
      </c>
      <c r="C1784" t="s">
        <v>1615</v>
      </c>
      <c r="D1784" t="s">
        <v>237</v>
      </c>
      <c r="E1784" cm="1">
        <f t="array" ref="E1784">_xlfn.XLOOKUP(D1784,SKU_Master!A:A,SKU_Master!B:B,"Not on master")</f>
        <v>0</v>
      </c>
      <c r="F1784" cm="1">
        <f t="array" ref="F1784">_xlfn.XLOOKUP(C1784,Account_Master!A:A,Account_Master!B:B,"Not on master")</f>
        <v>0</v>
      </c>
      <c r="G1784" cm="1">
        <f t="array" ref="G1784">_xlfn.XLOOKUP(C1784,Account_Master!A:A,Account_Master!C:C,"Not on master")</f>
        <v>0</v>
      </c>
      <c r="H1784" s="6">
        <v>59.25</v>
      </c>
      <c r="I1784" s="6">
        <v>59.25</v>
      </c>
      <c r="J1784" s="6">
        <f>I1784-H1784</f>
        <v>0</v>
      </c>
      <c r="K1784" s="5">
        <f>IF(H1784=0,"",J1784/H1784)</f>
        <v>0</v>
      </c>
      <c r="L1784">
        <f>IF(OR(AND(H1784=0,ABS(J1784)&gt;=0.01),AND(H1784&lt;&gt;0,ABS(K1784)&gt;VarianceThreshold)),"Review","OK")</f>
        <v>0</v>
      </c>
      <c r="M1784" t="s">
        <v>33</v>
      </c>
    </row>
    <row r="1785" spans="1:13">
      <c r="A1785" t="s">
        <v>2</v>
      </c>
      <c r="B1785" t="s">
        <v>765</v>
      </c>
      <c r="C1785" t="s">
        <v>1782</v>
      </c>
      <c r="D1785" t="s">
        <v>1207</v>
      </c>
      <c r="E1785" cm="1">
        <f t="array" ref="E1785">_xlfn.XLOOKUP(D1785,SKU_Master!A:A,SKU_Master!B:B,"Not on master")</f>
        <v>0</v>
      </c>
      <c r="F1785" cm="1">
        <f t="array" ref="F1785">_xlfn.XLOOKUP(C1785,Account_Master!A:A,Account_Master!B:B,"Not on master")</f>
        <v>0</v>
      </c>
      <c r="G1785" cm="1">
        <f t="array" ref="G1785">_xlfn.XLOOKUP(C1785,Account_Master!A:A,Account_Master!C:C,"Not on master")</f>
        <v>0</v>
      </c>
      <c r="H1785" s="6">
        <v>86.25</v>
      </c>
      <c r="I1785" s="6">
        <v>86.25</v>
      </c>
      <c r="J1785" s="6">
        <f>I1785-H1785</f>
        <v>0</v>
      </c>
      <c r="K1785" s="5">
        <f>IF(H1785=0,"",J1785/H1785)</f>
        <v>0</v>
      </c>
      <c r="L1785">
        <f>IF(OR(AND(H1785=0,ABS(J1785)&gt;=0.01),AND(H1785&lt;&gt;0,ABS(K1785)&gt;VarianceThreshold)),"Review","OK")</f>
        <v>0</v>
      </c>
      <c r="M1785" t="s">
        <v>33</v>
      </c>
    </row>
    <row r="1786" spans="1:13">
      <c r="A1786" t="s">
        <v>2</v>
      </c>
      <c r="B1786" t="s">
        <v>765</v>
      </c>
      <c r="C1786" t="s">
        <v>1667</v>
      </c>
      <c r="D1786" t="s">
        <v>1543</v>
      </c>
      <c r="E1786" cm="1">
        <f t="array" ref="E1786">_xlfn.XLOOKUP(D1786,SKU_Master!A:A,SKU_Master!B:B,"Not on master")</f>
        <v>0</v>
      </c>
      <c r="F1786" cm="1">
        <f t="array" ref="F1786">_xlfn.XLOOKUP(C1786,Account_Master!A:A,Account_Master!B:B,"Not on master")</f>
        <v>0</v>
      </c>
      <c r="G1786" cm="1">
        <f t="array" ref="G1786">_xlfn.XLOOKUP(C1786,Account_Master!A:A,Account_Master!C:C,"Not on master")</f>
        <v>0</v>
      </c>
      <c r="H1786" s="6">
        <v>3</v>
      </c>
      <c r="I1786" s="6">
        <v>3</v>
      </c>
      <c r="J1786" s="6">
        <f>I1786-H1786</f>
        <v>0</v>
      </c>
      <c r="K1786" s="5">
        <f>IF(H1786=0,"",J1786/H1786)</f>
        <v>0</v>
      </c>
      <c r="L1786">
        <f>IF(OR(AND(H1786=0,ABS(J1786)&gt;=0.01),AND(H1786&lt;&gt;0,ABS(K1786)&gt;VarianceThreshold)),"Review","OK")</f>
        <v>0</v>
      </c>
      <c r="M1786" t="s">
        <v>33</v>
      </c>
    </row>
    <row r="1787" spans="1:13">
      <c r="A1787" t="s">
        <v>2</v>
      </c>
      <c r="B1787" t="s">
        <v>765</v>
      </c>
      <c r="C1787" t="s">
        <v>1658</v>
      </c>
      <c r="D1787" t="s">
        <v>1098</v>
      </c>
      <c r="E1787" cm="1">
        <f t="array" ref="E1787">_xlfn.XLOOKUP(D1787,SKU_Master!A:A,SKU_Master!B:B,"Not on master")</f>
        <v>0</v>
      </c>
      <c r="F1787" cm="1">
        <f t="array" ref="F1787">_xlfn.XLOOKUP(C1787,Account_Master!A:A,Account_Master!B:B,"Not on master")</f>
        <v>0</v>
      </c>
      <c r="G1787" cm="1">
        <f t="array" ref="G1787">_xlfn.XLOOKUP(C1787,Account_Master!A:A,Account_Master!C:C,"Not on master")</f>
        <v>0</v>
      </c>
      <c r="H1787" s="6">
        <v>4.5</v>
      </c>
      <c r="I1787" s="6">
        <v>4.5</v>
      </c>
      <c r="J1787" s="6">
        <f>I1787-H1787</f>
        <v>0</v>
      </c>
      <c r="K1787" s="5">
        <f>IF(H1787=0,"",J1787/H1787)</f>
        <v>0</v>
      </c>
      <c r="L1787">
        <f>IF(OR(AND(H1787=0,ABS(J1787)&gt;=0.01),AND(H1787&lt;&gt;0,ABS(K1787)&gt;VarianceThreshold)),"Review","OK")</f>
        <v>0</v>
      </c>
      <c r="M1787" t="s">
        <v>33</v>
      </c>
    </row>
    <row r="1788" spans="1:13">
      <c r="A1788" t="s">
        <v>2</v>
      </c>
      <c r="B1788" t="s">
        <v>775</v>
      </c>
      <c r="C1788" t="s">
        <v>1603</v>
      </c>
      <c r="D1788" t="s">
        <v>1919</v>
      </c>
      <c r="E1788" cm="1">
        <f t="array" ref="E1788">_xlfn.XLOOKUP(D1788,SKU_Master!A:A,SKU_Master!B:B,"Not on master")</f>
        <v>0</v>
      </c>
      <c r="F1788" cm="1">
        <f t="array" ref="F1788">_xlfn.XLOOKUP(C1788,Account_Master!A:A,Account_Master!B:B,"Not on master")</f>
        <v>0</v>
      </c>
      <c r="G1788" cm="1">
        <f t="array" ref="G1788">_xlfn.XLOOKUP(C1788,Account_Master!A:A,Account_Master!C:C,"Not on master")</f>
        <v>0</v>
      </c>
      <c r="H1788" s="6">
        <v>2</v>
      </c>
      <c r="I1788" s="6">
        <v>2</v>
      </c>
      <c r="J1788" s="6">
        <f>I1788-H1788</f>
        <v>0</v>
      </c>
      <c r="K1788" s="5">
        <f>IF(H1788=0,"",J1788/H1788)</f>
        <v>0</v>
      </c>
      <c r="L1788">
        <f>IF(OR(AND(H1788=0,ABS(J1788)&gt;=0.01),AND(H1788&lt;&gt;0,ABS(K1788)&gt;VarianceThreshold)),"Review","OK")</f>
        <v>0</v>
      </c>
      <c r="M1788" t="s">
        <v>33</v>
      </c>
    </row>
    <row r="1789" spans="1:13">
      <c r="A1789" t="s">
        <v>2</v>
      </c>
      <c r="B1789" t="s">
        <v>775</v>
      </c>
      <c r="C1789" t="s">
        <v>1746</v>
      </c>
      <c r="D1789" t="s">
        <v>285</v>
      </c>
      <c r="E1789" cm="1">
        <f t="array" ref="E1789">_xlfn.XLOOKUP(D1789,SKU_Master!A:A,SKU_Master!B:B,"Not on master")</f>
        <v>0</v>
      </c>
      <c r="F1789" cm="1">
        <f t="array" ref="F1789">_xlfn.XLOOKUP(C1789,Account_Master!A:A,Account_Master!B:B,"Not on master")</f>
        <v>0</v>
      </c>
      <c r="G1789" cm="1">
        <f t="array" ref="G1789">_xlfn.XLOOKUP(C1789,Account_Master!A:A,Account_Master!C:C,"Not on master")</f>
        <v>0</v>
      </c>
      <c r="H1789" s="6">
        <v>27</v>
      </c>
      <c r="I1789" s="6">
        <v>27</v>
      </c>
      <c r="J1789" s="6">
        <f>I1789-H1789</f>
        <v>0</v>
      </c>
      <c r="K1789" s="5">
        <f>IF(H1789=0,"",J1789/H1789)</f>
        <v>0</v>
      </c>
      <c r="L1789">
        <f>IF(OR(AND(H1789=0,ABS(J1789)&gt;=0.01),AND(H1789&lt;&gt;0,ABS(K1789)&gt;VarianceThreshold)),"Review","OK")</f>
        <v>0</v>
      </c>
      <c r="M1789" t="s">
        <v>33</v>
      </c>
    </row>
    <row r="1790" spans="1:13">
      <c r="A1790" t="s">
        <v>2</v>
      </c>
      <c r="B1790" t="s">
        <v>775</v>
      </c>
      <c r="C1790" t="s">
        <v>1612</v>
      </c>
      <c r="D1790" t="s">
        <v>1920</v>
      </c>
      <c r="E1790" cm="1">
        <f t="array" ref="E1790">_xlfn.XLOOKUP(D1790,SKU_Master!A:A,SKU_Master!B:B,"Not on master")</f>
        <v>0</v>
      </c>
      <c r="F1790" cm="1">
        <f t="array" ref="F1790">_xlfn.XLOOKUP(C1790,Account_Master!A:A,Account_Master!B:B,"Not on master")</f>
        <v>0</v>
      </c>
      <c r="G1790" cm="1">
        <f t="array" ref="G1790">_xlfn.XLOOKUP(C1790,Account_Master!A:A,Account_Master!C:C,"Not on master")</f>
        <v>0</v>
      </c>
      <c r="H1790" s="6">
        <v>21</v>
      </c>
      <c r="I1790" s="6">
        <v>21</v>
      </c>
      <c r="J1790" s="6">
        <f>I1790-H1790</f>
        <v>0</v>
      </c>
      <c r="K1790" s="5">
        <f>IF(H1790=0,"",J1790/H1790)</f>
        <v>0</v>
      </c>
      <c r="L1790">
        <f>IF(OR(AND(H1790=0,ABS(J1790)&gt;=0.01),AND(H1790&lt;&gt;0,ABS(K1790)&gt;VarianceThreshold)),"Review","OK")</f>
        <v>0</v>
      </c>
      <c r="M1790" t="s">
        <v>33</v>
      </c>
    </row>
    <row r="1791" spans="1:13">
      <c r="A1791" t="s">
        <v>2</v>
      </c>
      <c r="B1791" t="s">
        <v>775</v>
      </c>
      <c r="C1791" t="s">
        <v>1661</v>
      </c>
      <c r="D1791" t="s">
        <v>1921</v>
      </c>
      <c r="E1791" cm="1">
        <f t="array" ref="E1791">_xlfn.XLOOKUP(D1791,SKU_Master!A:A,SKU_Master!B:B,"Not on master")</f>
        <v>0</v>
      </c>
      <c r="F1791" cm="1">
        <f t="array" ref="F1791">_xlfn.XLOOKUP(C1791,Account_Master!A:A,Account_Master!B:B,"Not on master")</f>
        <v>0</v>
      </c>
      <c r="G1791" cm="1">
        <f t="array" ref="G1791">_xlfn.XLOOKUP(C1791,Account_Master!A:A,Account_Master!C:C,"Not on master")</f>
        <v>0</v>
      </c>
      <c r="H1791" s="6">
        <v>8.25</v>
      </c>
      <c r="I1791" s="6">
        <v>8.25</v>
      </c>
      <c r="J1791" s="6">
        <f>I1791-H1791</f>
        <v>0</v>
      </c>
      <c r="K1791" s="5">
        <f>IF(H1791=0,"",J1791/H1791)</f>
        <v>0</v>
      </c>
      <c r="L1791">
        <f>IF(OR(AND(H1791=0,ABS(J1791)&gt;=0.01),AND(H1791&lt;&gt;0,ABS(K1791)&gt;VarianceThreshold)),"Review","OK")</f>
        <v>0</v>
      </c>
      <c r="M1791" t="s">
        <v>33</v>
      </c>
    </row>
    <row r="1792" spans="1:13">
      <c r="A1792" t="s">
        <v>2</v>
      </c>
      <c r="B1792" t="s">
        <v>775</v>
      </c>
      <c r="C1792" t="s">
        <v>1782</v>
      </c>
      <c r="D1792" t="s">
        <v>1922</v>
      </c>
      <c r="E1792" cm="1">
        <f t="array" ref="E1792">_xlfn.XLOOKUP(D1792,SKU_Master!A:A,SKU_Master!B:B,"Not on master")</f>
        <v>0</v>
      </c>
      <c r="F1792" cm="1">
        <f t="array" ref="F1792">_xlfn.XLOOKUP(C1792,Account_Master!A:A,Account_Master!B:B,"Not on master")</f>
        <v>0</v>
      </c>
      <c r="G1792" cm="1">
        <f t="array" ref="G1792">_xlfn.XLOOKUP(C1792,Account_Master!A:A,Account_Master!C:C,"Not on master")</f>
        <v>0</v>
      </c>
      <c r="H1792" s="6">
        <v>31.5</v>
      </c>
      <c r="I1792" s="6">
        <v>31.5</v>
      </c>
      <c r="J1792" s="6">
        <f>I1792-H1792</f>
        <v>0</v>
      </c>
      <c r="K1792" s="5">
        <f>IF(H1792=0,"",J1792/H1792)</f>
        <v>0</v>
      </c>
      <c r="L1792">
        <f>IF(OR(AND(H1792=0,ABS(J1792)&gt;=0.01),AND(H1792&lt;&gt;0,ABS(K1792)&gt;VarianceThreshold)),"Review","OK")</f>
        <v>0</v>
      </c>
      <c r="M1792" t="s">
        <v>33</v>
      </c>
    </row>
    <row r="1793" spans="1:13">
      <c r="A1793" t="s">
        <v>2</v>
      </c>
      <c r="B1793" t="s">
        <v>775</v>
      </c>
      <c r="C1793" t="s">
        <v>1615</v>
      </c>
      <c r="D1793" t="s">
        <v>1923</v>
      </c>
      <c r="E1793" cm="1">
        <f t="array" ref="E1793">_xlfn.XLOOKUP(D1793,SKU_Master!A:A,SKU_Master!B:B,"Not on master")</f>
        <v>0</v>
      </c>
      <c r="F1793" cm="1">
        <f t="array" ref="F1793">_xlfn.XLOOKUP(C1793,Account_Master!A:A,Account_Master!B:B,"Not on master")</f>
        <v>0</v>
      </c>
      <c r="G1793" cm="1">
        <f t="array" ref="G1793">_xlfn.XLOOKUP(C1793,Account_Master!A:A,Account_Master!C:C,"Not on master")</f>
        <v>0</v>
      </c>
      <c r="H1793" s="6">
        <v>0.75</v>
      </c>
      <c r="I1793" s="6">
        <v>0.75</v>
      </c>
      <c r="J1793" s="6">
        <f>I1793-H1793</f>
        <v>0</v>
      </c>
      <c r="K1793" s="5">
        <f>IF(H1793=0,"",J1793/H1793)</f>
        <v>0</v>
      </c>
      <c r="L1793">
        <f>IF(OR(AND(H1793=0,ABS(J1793)&gt;=0.01),AND(H1793&lt;&gt;0,ABS(K1793)&gt;VarianceThreshold)),"Review","OK")</f>
        <v>0</v>
      </c>
      <c r="M1793" t="s">
        <v>33</v>
      </c>
    </row>
    <row r="1794" spans="1:13">
      <c r="A1794" t="s">
        <v>2</v>
      </c>
      <c r="B1794" t="s">
        <v>775</v>
      </c>
      <c r="C1794" t="s">
        <v>1924</v>
      </c>
      <c r="D1794" t="s">
        <v>1094</v>
      </c>
      <c r="E1794" cm="1">
        <f t="array" ref="E1794">_xlfn.XLOOKUP(D1794,SKU_Master!A:A,SKU_Master!B:B,"Not on master")</f>
        <v>0</v>
      </c>
      <c r="F1794" cm="1">
        <f t="array" ref="F1794">_xlfn.XLOOKUP(C1794,Account_Master!A:A,Account_Master!B:B,"Not on master")</f>
        <v>0</v>
      </c>
      <c r="G1794" cm="1">
        <f t="array" ref="G1794">_xlfn.XLOOKUP(C1794,Account_Master!A:A,Account_Master!C:C,"Not on master")</f>
        <v>0</v>
      </c>
      <c r="H1794" s="6">
        <v>12.75</v>
      </c>
      <c r="I1794" s="6">
        <v>12.75</v>
      </c>
      <c r="J1794" s="6">
        <f>I1794-H1794</f>
        <v>0</v>
      </c>
      <c r="K1794" s="5">
        <f>IF(H1794=0,"",J1794/H1794)</f>
        <v>0</v>
      </c>
      <c r="L1794">
        <f>IF(OR(AND(H1794=0,ABS(J1794)&gt;=0.01),AND(H1794&lt;&gt;0,ABS(K1794)&gt;VarianceThreshold)),"Review","OK")</f>
        <v>0</v>
      </c>
      <c r="M1794" t="s">
        <v>33</v>
      </c>
    </row>
    <row r="1795" spans="1:13">
      <c r="A1795" t="s">
        <v>2</v>
      </c>
      <c r="B1795" t="s">
        <v>775</v>
      </c>
      <c r="C1795" t="s">
        <v>1631</v>
      </c>
      <c r="D1795" t="s">
        <v>1572</v>
      </c>
      <c r="E1795" cm="1">
        <f t="array" ref="E1795">_xlfn.XLOOKUP(D1795,SKU_Master!A:A,SKU_Master!B:B,"Not on master")</f>
        <v>0</v>
      </c>
      <c r="F1795" cm="1">
        <f t="array" ref="F1795">_xlfn.XLOOKUP(C1795,Account_Master!A:A,Account_Master!B:B,"Not on master")</f>
        <v>0</v>
      </c>
      <c r="G1795" cm="1">
        <f t="array" ref="G1795">_xlfn.XLOOKUP(C1795,Account_Master!A:A,Account_Master!C:C,"Not on master")</f>
        <v>0</v>
      </c>
      <c r="H1795" s="6">
        <v>24</v>
      </c>
      <c r="I1795" s="6">
        <v>24</v>
      </c>
      <c r="J1795" s="6">
        <f>I1795-H1795</f>
        <v>0</v>
      </c>
      <c r="K1795" s="5">
        <f>IF(H1795=0,"",J1795/H1795)</f>
        <v>0</v>
      </c>
      <c r="L1795">
        <f>IF(OR(AND(H1795=0,ABS(J1795)&gt;=0.01),AND(H1795&lt;&gt;0,ABS(K1795)&gt;VarianceThreshold)),"Review","OK")</f>
        <v>0</v>
      </c>
      <c r="M1795" t="s">
        <v>33</v>
      </c>
    </row>
    <row r="1796" spans="1:13">
      <c r="A1796" t="s">
        <v>2</v>
      </c>
      <c r="B1796" t="s">
        <v>775</v>
      </c>
      <c r="C1796" t="s">
        <v>1586</v>
      </c>
      <c r="D1796" t="s">
        <v>463</v>
      </c>
      <c r="E1796" cm="1">
        <f t="array" ref="E1796">_xlfn.XLOOKUP(D1796,SKU_Master!A:A,SKU_Master!B:B,"Not on master")</f>
        <v>0</v>
      </c>
      <c r="F1796" cm="1">
        <f t="array" ref="F1796">_xlfn.XLOOKUP(C1796,Account_Master!A:A,Account_Master!B:B,"Not on master")</f>
        <v>0</v>
      </c>
      <c r="G1796" cm="1">
        <f t="array" ref="G1796">_xlfn.XLOOKUP(C1796,Account_Master!A:A,Account_Master!C:C,"Not on master")</f>
        <v>0</v>
      </c>
      <c r="H1796" s="6">
        <v>9</v>
      </c>
      <c r="I1796" s="6">
        <v>9</v>
      </c>
      <c r="J1796" s="6">
        <f>I1796-H1796</f>
        <v>0</v>
      </c>
      <c r="K1796" s="5">
        <f>IF(H1796=0,"",J1796/H1796)</f>
        <v>0</v>
      </c>
      <c r="L1796">
        <f>IF(OR(AND(H1796=0,ABS(J1796)&gt;=0.01),AND(H1796&lt;&gt;0,ABS(K1796)&gt;VarianceThreshold)),"Review","OK")</f>
        <v>0</v>
      </c>
      <c r="M1796" t="s">
        <v>33</v>
      </c>
    </row>
    <row r="1797" spans="1:13">
      <c r="A1797" t="s">
        <v>2</v>
      </c>
      <c r="B1797" t="s">
        <v>779</v>
      </c>
      <c r="C1797" t="s">
        <v>1612</v>
      </c>
      <c r="D1797" t="s">
        <v>1009</v>
      </c>
      <c r="E1797" cm="1">
        <f t="array" ref="E1797">_xlfn.XLOOKUP(D1797,SKU_Master!A:A,SKU_Master!B:B,"Not on master")</f>
        <v>0</v>
      </c>
      <c r="F1797" cm="1">
        <f t="array" ref="F1797">_xlfn.XLOOKUP(C1797,Account_Master!A:A,Account_Master!B:B,"Not on master")</f>
        <v>0</v>
      </c>
      <c r="G1797" cm="1">
        <f t="array" ref="G1797">_xlfn.XLOOKUP(C1797,Account_Master!A:A,Account_Master!C:C,"Not on master")</f>
        <v>0</v>
      </c>
      <c r="H1797" s="6">
        <v>14.25</v>
      </c>
      <c r="I1797" s="6">
        <v>14.25</v>
      </c>
      <c r="J1797" s="6">
        <f>I1797-H1797</f>
        <v>0</v>
      </c>
      <c r="K1797" s="5">
        <f>IF(H1797=0,"",J1797/H1797)</f>
        <v>0</v>
      </c>
      <c r="L1797">
        <f>IF(OR(AND(H1797=0,ABS(J1797)&gt;=0.01),AND(H1797&lt;&gt;0,ABS(K1797)&gt;VarianceThreshold)),"Review","OK")</f>
        <v>0</v>
      </c>
      <c r="M1797" t="s">
        <v>33</v>
      </c>
    </row>
    <row r="1798" spans="1:13">
      <c r="A1798" t="s">
        <v>2</v>
      </c>
      <c r="B1798" t="s">
        <v>779</v>
      </c>
      <c r="C1798" t="s">
        <v>1578</v>
      </c>
      <c r="D1798" t="s">
        <v>1925</v>
      </c>
      <c r="E1798" cm="1">
        <f t="array" ref="E1798">_xlfn.XLOOKUP(D1798,SKU_Master!A:A,SKU_Master!B:B,"Not on master")</f>
        <v>0</v>
      </c>
      <c r="F1798" cm="1">
        <f t="array" ref="F1798">_xlfn.XLOOKUP(C1798,Account_Master!A:A,Account_Master!B:B,"Not on master")</f>
        <v>0</v>
      </c>
      <c r="G1798" cm="1">
        <f t="array" ref="G1798">_xlfn.XLOOKUP(C1798,Account_Master!A:A,Account_Master!C:C,"Not on master")</f>
        <v>0</v>
      </c>
      <c r="H1798" s="6">
        <v>0.75</v>
      </c>
      <c r="I1798" s="6">
        <v>0.75</v>
      </c>
      <c r="J1798" s="6">
        <f>I1798-H1798</f>
        <v>0</v>
      </c>
      <c r="K1798" s="5">
        <f>IF(H1798=0,"",J1798/H1798)</f>
        <v>0</v>
      </c>
      <c r="L1798">
        <f>IF(OR(AND(H1798=0,ABS(J1798)&gt;=0.01),AND(H1798&lt;&gt;0,ABS(K1798)&gt;VarianceThreshold)),"Review","OK")</f>
        <v>0</v>
      </c>
      <c r="M1798" t="s">
        <v>33</v>
      </c>
    </row>
    <row r="1799" spans="1:13">
      <c r="A1799" t="s">
        <v>2</v>
      </c>
      <c r="B1799" t="s">
        <v>779</v>
      </c>
      <c r="C1799" t="s">
        <v>1846</v>
      </c>
      <c r="D1799" t="s">
        <v>1926</v>
      </c>
      <c r="E1799" cm="1">
        <f t="array" ref="E1799">_xlfn.XLOOKUP(D1799,SKU_Master!A:A,SKU_Master!B:B,"Not on master")</f>
        <v>0</v>
      </c>
      <c r="F1799" cm="1">
        <f t="array" ref="F1799">_xlfn.XLOOKUP(C1799,Account_Master!A:A,Account_Master!B:B,"Not on master")</f>
        <v>0</v>
      </c>
      <c r="G1799" cm="1">
        <f t="array" ref="G1799">_xlfn.XLOOKUP(C1799,Account_Master!A:A,Account_Master!C:C,"Not on master")</f>
        <v>0</v>
      </c>
      <c r="H1799" s="6">
        <v>3</v>
      </c>
      <c r="I1799" s="6">
        <v>1.5</v>
      </c>
      <c r="J1799" s="6">
        <f>I1799-H1799</f>
        <v>0</v>
      </c>
      <c r="K1799" s="5">
        <f>IF(H1799=0,"",J1799/H1799)</f>
        <v>0</v>
      </c>
      <c r="L1799">
        <f>IF(OR(AND(H1799=0,ABS(J1799)&gt;=0.01),AND(H1799&lt;&gt;0,ABS(K1799)&gt;VarianceThreshold)),"Review","OK")</f>
        <v>0</v>
      </c>
      <c r="M1799" t="s">
        <v>1611</v>
      </c>
    </row>
    <row r="1800" spans="1:13">
      <c r="A1800" t="s">
        <v>2</v>
      </c>
      <c r="B1800" t="s">
        <v>779</v>
      </c>
      <c r="C1800" t="s">
        <v>1927</v>
      </c>
      <c r="D1800" t="s">
        <v>566</v>
      </c>
      <c r="E1800" cm="1">
        <f t="array" ref="E1800">_xlfn.XLOOKUP(D1800,SKU_Master!A:A,SKU_Master!B:B,"Not on master")</f>
        <v>0</v>
      </c>
      <c r="F1800" cm="1">
        <f t="array" ref="F1800">_xlfn.XLOOKUP(C1800,Account_Master!A:A,Account_Master!B:B,"Not on master")</f>
        <v>0</v>
      </c>
      <c r="G1800" cm="1">
        <f t="array" ref="G1800">_xlfn.XLOOKUP(C1800,Account_Master!A:A,Account_Master!C:C,"Not on master")</f>
        <v>0</v>
      </c>
      <c r="H1800" s="6">
        <v>60</v>
      </c>
      <c r="I1800" s="6">
        <v>51</v>
      </c>
      <c r="J1800" s="6">
        <f>I1800-H1800</f>
        <v>0</v>
      </c>
      <c r="K1800" s="5">
        <f>IF(H1800=0,"",J1800/H1800)</f>
        <v>0</v>
      </c>
      <c r="L1800">
        <f>IF(OR(AND(H1800=0,ABS(J1800)&gt;=0.01),AND(H1800&lt;&gt;0,ABS(K1800)&gt;VarianceThreshold)),"Review","OK")</f>
        <v>0</v>
      </c>
      <c r="M1800" t="s">
        <v>1611</v>
      </c>
    </row>
    <row r="1801" spans="1:13">
      <c r="A1801" t="s">
        <v>2</v>
      </c>
      <c r="B1801" t="s">
        <v>779</v>
      </c>
      <c r="C1801" t="s">
        <v>1574</v>
      </c>
      <c r="D1801" t="s">
        <v>1928</v>
      </c>
      <c r="E1801" cm="1">
        <f t="array" ref="E1801">_xlfn.XLOOKUP(D1801,SKU_Master!A:A,SKU_Master!B:B,"Not on master")</f>
        <v>0</v>
      </c>
      <c r="F1801" cm="1">
        <f t="array" ref="F1801">_xlfn.XLOOKUP(C1801,Account_Master!A:A,Account_Master!B:B,"Not on master")</f>
        <v>0</v>
      </c>
      <c r="G1801" cm="1">
        <f t="array" ref="G1801">_xlfn.XLOOKUP(C1801,Account_Master!A:A,Account_Master!C:C,"Not on master")</f>
        <v>0</v>
      </c>
      <c r="H1801" s="6">
        <v>6.75</v>
      </c>
      <c r="I1801" s="6">
        <v>6.75</v>
      </c>
      <c r="J1801" s="6">
        <f>I1801-H1801</f>
        <v>0</v>
      </c>
      <c r="K1801" s="5">
        <f>IF(H1801=0,"",J1801/H1801)</f>
        <v>0</v>
      </c>
      <c r="L1801">
        <f>IF(OR(AND(H1801=0,ABS(J1801)&gt;=0.01),AND(H1801&lt;&gt;0,ABS(K1801)&gt;VarianceThreshold)),"Review","OK")</f>
        <v>0</v>
      </c>
      <c r="M1801" t="s">
        <v>33</v>
      </c>
    </row>
    <row r="1802" spans="1:13">
      <c r="A1802" t="s">
        <v>2</v>
      </c>
      <c r="B1802" t="s">
        <v>779</v>
      </c>
      <c r="C1802" t="s">
        <v>1667</v>
      </c>
      <c r="D1802" t="s">
        <v>1929</v>
      </c>
      <c r="E1802" cm="1">
        <f t="array" ref="E1802">_xlfn.XLOOKUP(D1802,SKU_Master!A:A,SKU_Master!B:B,"Not on master")</f>
        <v>0</v>
      </c>
      <c r="F1802" cm="1">
        <f t="array" ref="F1802">_xlfn.XLOOKUP(C1802,Account_Master!A:A,Account_Master!B:B,"Not on master")</f>
        <v>0</v>
      </c>
      <c r="G1802" cm="1">
        <f t="array" ref="G1802">_xlfn.XLOOKUP(C1802,Account_Master!A:A,Account_Master!C:C,"Not on master")</f>
        <v>0</v>
      </c>
      <c r="H1802" s="6">
        <v>12</v>
      </c>
      <c r="I1802" s="6">
        <v>12</v>
      </c>
      <c r="J1802" s="6">
        <f>I1802-H1802</f>
        <v>0</v>
      </c>
      <c r="K1802" s="5">
        <f>IF(H1802=0,"",J1802/H1802)</f>
        <v>0</v>
      </c>
      <c r="L1802">
        <f>IF(OR(AND(H1802=0,ABS(J1802)&gt;=0.01),AND(H1802&lt;&gt;0,ABS(K1802)&gt;VarianceThreshold)),"Review","OK")</f>
        <v>0</v>
      </c>
      <c r="M1802" t="s">
        <v>33</v>
      </c>
    </row>
    <row r="1803" spans="1:13">
      <c r="A1803" t="s">
        <v>2</v>
      </c>
      <c r="B1803" t="s">
        <v>779</v>
      </c>
      <c r="C1803" t="s">
        <v>1658</v>
      </c>
      <c r="D1803" t="s">
        <v>1930</v>
      </c>
      <c r="E1803" cm="1">
        <f t="array" ref="E1803">_xlfn.XLOOKUP(D1803,SKU_Master!A:A,SKU_Master!B:B,"Not on master")</f>
        <v>0</v>
      </c>
      <c r="F1803" cm="1">
        <f t="array" ref="F1803">_xlfn.XLOOKUP(C1803,Account_Master!A:A,Account_Master!B:B,"Not on master")</f>
        <v>0</v>
      </c>
      <c r="G1803" cm="1">
        <f t="array" ref="G1803">_xlfn.XLOOKUP(C1803,Account_Master!A:A,Account_Master!C:C,"Not on master")</f>
        <v>0</v>
      </c>
      <c r="H1803" s="6">
        <v>0.4</v>
      </c>
      <c r="I1803" s="6">
        <v>0.4</v>
      </c>
      <c r="J1803" s="6">
        <f>I1803-H1803</f>
        <v>0</v>
      </c>
      <c r="K1803" s="5">
        <f>IF(H1803=0,"",J1803/H1803)</f>
        <v>0</v>
      </c>
      <c r="L1803">
        <f>IF(OR(AND(H1803=0,ABS(J1803)&gt;=0.01),AND(H1803&lt;&gt;0,ABS(K1803)&gt;VarianceThreshold)),"Review","OK")</f>
        <v>0</v>
      </c>
      <c r="M1803" t="s">
        <v>33</v>
      </c>
    </row>
    <row r="1804" spans="1:13">
      <c r="A1804" t="s">
        <v>2</v>
      </c>
      <c r="B1804" t="s">
        <v>779</v>
      </c>
      <c r="C1804" t="s">
        <v>1615</v>
      </c>
      <c r="D1804" t="s">
        <v>1931</v>
      </c>
      <c r="E1804" cm="1">
        <f t="array" ref="E1804">_xlfn.XLOOKUP(D1804,SKU_Master!A:A,SKU_Master!B:B,"Not on master")</f>
        <v>0</v>
      </c>
      <c r="F1804" cm="1">
        <f t="array" ref="F1804">_xlfn.XLOOKUP(C1804,Account_Master!A:A,Account_Master!B:B,"Not on master")</f>
        <v>0</v>
      </c>
      <c r="G1804" cm="1">
        <f t="array" ref="G1804">_xlfn.XLOOKUP(C1804,Account_Master!A:A,Account_Master!C:C,"Not on master")</f>
        <v>0</v>
      </c>
      <c r="H1804" s="6">
        <v>23.25</v>
      </c>
      <c r="I1804" s="6">
        <v>23.25</v>
      </c>
      <c r="J1804" s="6">
        <f>I1804-H1804</f>
        <v>0</v>
      </c>
      <c r="K1804" s="5">
        <f>IF(H1804=0,"",J1804/H1804)</f>
        <v>0</v>
      </c>
      <c r="L1804">
        <f>IF(OR(AND(H1804=0,ABS(J1804)&gt;=0.01),AND(H1804&lt;&gt;0,ABS(K1804)&gt;VarianceThreshold)),"Review","OK")</f>
        <v>0</v>
      </c>
      <c r="M1804" t="s">
        <v>33</v>
      </c>
    </row>
    <row r="1805" spans="1:13">
      <c r="A1805" t="s">
        <v>2</v>
      </c>
      <c r="B1805" t="s">
        <v>779</v>
      </c>
      <c r="C1805" t="s">
        <v>1576</v>
      </c>
      <c r="D1805" t="s">
        <v>1932</v>
      </c>
      <c r="E1805" cm="1">
        <f t="array" ref="E1805">_xlfn.XLOOKUP(D1805,SKU_Master!A:A,SKU_Master!B:B,"Not on master")</f>
        <v>0</v>
      </c>
      <c r="F1805" cm="1">
        <f t="array" ref="F1805">_xlfn.XLOOKUP(C1805,Account_Master!A:A,Account_Master!B:B,"Not on master")</f>
        <v>0</v>
      </c>
      <c r="G1805" cm="1">
        <f t="array" ref="G1805">_xlfn.XLOOKUP(C1805,Account_Master!A:A,Account_Master!C:C,"Not on master")</f>
        <v>0</v>
      </c>
      <c r="H1805" s="6">
        <v>0.1</v>
      </c>
      <c r="I1805" s="6">
        <v>0.1</v>
      </c>
      <c r="J1805" s="6">
        <f>I1805-H1805</f>
        <v>0</v>
      </c>
      <c r="K1805" s="5">
        <f>IF(H1805=0,"",J1805/H1805)</f>
        <v>0</v>
      </c>
      <c r="L1805">
        <f>IF(OR(AND(H1805=0,ABS(J1805)&gt;=0.01),AND(H1805&lt;&gt;0,ABS(K1805)&gt;VarianceThreshold)),"Review","OK")</f>
        <v>0</v>
      </c>
      <c r="M1805" t="s">
        <v>33</v>
      </c>
    </row>
    <row r="1806" spans="1:13">
      <c r="A1806" t="s">
        <v>2</v>
      </c>
      <c r="B1806" t="s">
        <v>788</v>
      </c>
      <c r="C1806" t="s">
        <v>1634</v>
      </c>
      <c r="D1806" t="s">
        <v>1271</v>
      </c>
      <c r="E1806" cm="1">
        <f t="array" ref="E1806">_xlfn.XLOOKUP(D1806,SKU_Master!A:A,SKU_Master!B:B,"Not on master")</f>
        <v>0</v>
      </c>
      <c r="F1806" cm="1">
        <f t="array" ref="F1806">_xlfn.XLOOKUP(C1806,Account_Master!A:A,Account_Master!B:B,"Not on master")</f>
        <v>0</v>
      </c>
      <c r="G1806" cm="1">
        <f t="array" ref="G1806">_xlfn.XLOOKUP(C1806,Account_Master!A:A,Account_Master!C:C,"Not on master")</f>
        <v>0</v>
      </c>
      <c r="H1806" s="6">
        <v>29</v>
      </c>
      <c r="I1806" s="6">
        <v>29</v>
      </c>
      <c r="J1806" s="6">
        <f>I1806-H1806</f>
        <v>0</v>
      </c>
      <c r="K1806" s="5">
        <f>IF(H1806=0,"",J1806/H1806)</f>
        <v>0</v>
      </c>
      <c r="L1806">
        <f>IF(OR(AND(H1806=0,ABS(J1806)&gt;=0.01),AND(H1806&lt;&gt;0,ABS(K1806)&gt;VarianceThreshold)),"Review","OK")</f>
        <v>0</v>
      </c>
      <c r="M1806" t="s">
        <v>33</v>
      </c>
    </row>
    <row r="1807" spans="1:13">
      <c r="A1807" t="s">
        <v>2</v>
      </c>
      <c r="B1807" t="s">
        <v>788</v>
      </c>
      <c r="C1807" t="s">
        <v>1634</v>
      </c>
      <c r="D1807" t="s">
        <v>1933</v>
      </c>
      <c r="E1807" cm="1">
        <f t="array" ref="E1807">_xlfn.XLOOKUP(D1807,SKU_Master!A:A,SKU_Master!B:B,"Not on master")</f>
        <v>0</v>
      </c>
      <c r="F1807" cm="1">
        <f t="array" ref="F1807">_xlfn.XLOOKUP(C1807,Account_Master!A:A,Account_Master!B:B,"Not on master")</f>
        <v>0</v>
      </c>
      <c r="G1807" cm="1">
        <f t="array" ref="G1807">_xlfn.XLOOKUP(C1807,Account_Master!A:A,Account_Master!C:C,"Not on master")</f>
        <v>0</v>
      </c>
      <c r="H1807" s="6">
        <v>117.25</v>
      </c>
      <c r="I1807" s="6">
        <v>117.25</v>
      </c>
      <c r="J1807" s="6">
        <f>I1807-H1807</f>
        <v>0</v>
      </c>
      <c r="K1807" s="5">
        <f>IF(H1807=0,"",J1807/H1807)</f>
        <v>0</v>
      </c>
      <c r="L1807">
        <f>IF(OR(AND(H1807=0,ABS(J1807)&gt;=0.01),AND(H1807&lt;&gt;0,ABS(K1807)&gt;VarianceThreshold)),"Review","OK")</f>
        <v>0</v>
      </c>
      <c r="M1807" t="s">
        <v>33</v>
      </c>
    </row>
    <row r="1808" spans="1:13">
      <c r="A1808" t="s">
        <v>2</v>
      </c>
      <c r="B1808" t="s">
        <v>788</v>
      </c>
      <c r="C1808" t="s">
        <v>1615</v>
      </c>
      <c r="D1808" t="s">
        <v>66</v>
      </c>
      <c r="E1808" cm="1">
        <f t="array" ref="E1808">_xlfn.XLOOKUP(D1808,SKU_Master!A:A,SKU_Master!B:B,"Not on master")</f>
        <v>0</v>
      </c>
      <c r="F1808" cm="1">
        <f t="array" ref="F1808">_xlfn.XLOOKUP(C1808,Account_Master!A:A,Account_Master!B:B,"Not on master")</f>
        <v>0</v>
      </c>
      <c r="G1808" cm="1">
        <f t="array" ref="G1808">_xlfn.XLOOKUP(C1808,Account_Master!A:A,Account_Master!C:C,"Not on master")</f>
        <v>0</v>
      </c>
      <c r="H1808" s="6">
        <v>20</v>
      </c>
      <c r="I1808" s="6">
        <v>20</v>
      </c>
      <c r="J1808" s="6">
        <f>I1808-H1808</f>
        <v>0</v>
      </c>
      <c r="K1808" s="5">
        <f>IF(H1808=0,"",J1808/H1808)</f>
        <v>0</v>
      </c>
      <c r="L1808">
        <f>IF(OR(AND(H1808=0,ABS(J1808)&gt;=0.01),AND(H1808&lt;&gt;0,ABS(K1808)&gt;VarianceThreshold)),"Review","OK")</f>
        <v>0</v>
      </c>
      <c r="M1808" t="s">
        <v>33</v>
      </c>
    </row>
    <row r="1809" spans="1:13">
      <c r="A1809" t="s">
        <v>2</v>
      </c>
      <c r="B1809" t="s">
        <v>799</v>
      </c>
      <c r="C1809" t="s">
        <v>1602</v>
      </c>
      <c r="D1809" t="s">
        <v>1934</v>
      </c>
      <c r="E1809" cm="1">
        <f t="array" ref="E1809">_xlfn.XLOOKUP(D1809,SKU_Master!A:A,SKU_Master!B:B,"Not on master")</f>
        <v>0</v>
      </c>
      <c r="F1809" cm="1">
        <f t="array" ref="F1809">_xlfn.XLOOKUP(C1809,Account_Master!A:A,Account_Master!B:B,"Not on master")</f>
        <v>0</v>
      </c>
      <c r="G1809" cm="1">
        <f t="array" ref="G1809">_xlfn.XLOOKUP(C1809,Account_Master!A:A,Account_Master!C:C,"Not on master")</f>
        <v>0</v>
      </c>
      <c r="H1809" s="6">
        <v>1.55</v>
      </c>
      <c r="I1809" s="6">
        <v>1.55</v>
      </c>
      <c r="J1809" s="6">
        <f>I1809-H1809</f>
        <v>0</v>
      </c>
      <c r="K1809" s="5">
        <f>IF(H1809=0,"",J1809/H1809)</f>
        <v>0</v>
      </c>
      <c r="L1809">
        <f>IF(OR(AND(H1809=0,ABS(J1809)&gt;=0.01),AND(H1809&lt;&gt;0,ABS(K1809)&gt;VarianceThreshold)),"Review","OK")</f>
        <v>0</v>
      </c>
      <c r="M1809" t="s">
        <v>33</v>
      </c>
    </row>
    <row r="1810" spans="1:13">
      <c r="A1810" t="s">
        <v>2</v>
      </c>
      <c r="B1810" t="s">
        <v>799</v>
      </c>
      <c r="C1810" t="s">
        <v>1935</v>
      </c>
      <c r="D1810" t="s">
        <v>1492</v>
      </c>
      <c r="E1810" cm="1">
        <f t="array" ref="E1810">_xlfn.XLOOKUP(D1810,SKU_Master!A:A,SKU_Master!B:B,"Not on master")</f>
        <v>0</v>
      </c>
      <c r="F1810" cm="1">
        <f t="array" ref="F1810">_xlfn.XLOOKUP(C1810,Account_Master!A:A,Account_Master!B:B,"Not on master")</f>
        <v>0</v>
      </c>
      <c r="G1810" cm="1">
        <f t="array" ref="G1810">_xlfn.XLOOKUP(C1810,Account_Master!A:A,Account_Master!C:C,"Not on master")</f>
        <v>0</v>
      </c>
      <c r="H1810" s="6">
        <v>0.75</v>
      </c>
      <c r="I1810" s="6">
        <v>0.75</v>
      </c>
      <c r="J1810" s="6">
        <f>I1810-H1810</f>
        <v>0</v>
      </c>
      <c r="K1810" s="5">
        <f>IF(H1810=0,"",J1810/H1810)</f>
        <v>0</v>
      </c>
      <c r="L1810">
        <f>IF(OR(AND(H1810=0,ABS(J1810)&gt;=0.01),AND(H1810&lt;&gt;0,ABS(K1810)&gt;VarianceThreshold)),"Review","OK")</f>
        <v>0</v>
      </c>
      <c r="M1810" t="s">
        <v>33</v>
      </c>
    </row>
    <row r="1811" spans="1:13">
      <c r="A1811" t="s">
        <v>2</v>
      </c>
      <c r="B1811" t="s">
        <v>799</v>
      </c>
      <c r="C1811" t="s">
        <v>1605</v>
      </c>
      <c r="D1811" t="s">
        <v>1069</v>
      </c>
      <c r="E1811" cm="1">
        <f t="array" ref="E1811">_xlfn.XLOOKUP(D1811,SKU_Master!A:A,SKU_Master!B:B,"Not on master")</f>
        <v>0</v>
      </c>
      <c r="F1811" cm="1">
        <f t="array" ref="F1811">_xlfn.XLOOKUP(C1811,Account_Master!A:A,Account_Master!B:B,"Not on master")</f>
        <v>0</v>
      </c>
      <c r="G1811" cm="1">
        <f t="array" ref="G1811">_xlfn.XLOOKUP(C1811,Account_Master!A:A,Account_Master!C:C,"Not on master")</f>
        <v>0</v>
      </c>
      <c r="H1811" s="6">
        <v>3</v>
      </c>
      <c r="I1811" s="6">
        <v>3</v>
      </c>
      <c r="J1811" s="6">
        <f>I1811-H1811</f>
        <v>0</v>
      </c>
      <c r="K1811" s="5">
        <f>IF(H1811=0,"",J1811/H1811)</f>
        <v>0</v>
      </c>
      <c r="L1811">
        <f>IF(OR(AND(H1811=0,ABS(J1811)&gt;=0.01),AND(H1811&lt;&gt;0,ABS(K1811)&gt;VarianceThreshold)),"Review","OK")</f>
        <v>0</v>
      </c>
      <c r="M1811" t="s">
        <v>33</v>
      </c>
    </row>
    <row r="1812" spans="1:13">
      <c r="A1812" t="s">
        <v>2</v>
      </c>
      <c r="B1812" t="s">
        <v>799</v>
      </c>
      <c r="C1812" t="s">
        <v>1674</v>
      </c>
      <c r="D1812" t="s">
        <v>809</v>
      </c>
      <c r="E1812" cm="1">
        <f t="array" ref="E1812">_xlfn.XLOOKUP(D1812,SKU_Master!A:A,SKU_Master!B:B,"Not on master")</f>
        <v>0</v>
      </c>
      <c r="F1812" cm="1">
        <f t="array" ref="F1812">_xlfn.XLOOKUP(C1812,Account_Master!A:A,Account_Master!B:B,"Not on master")</f>
        <v>0</v>
      </c>
      <c r="G1812" cm="1">
        <f t="array" ref="G1812">_xlfn.XLOOKUP(C1812,Account_Master!A:A,Account_Master!C:C,"Not on master")</f>
        <v>0</v>
      </c>
      <c r="H1812" s="6">
        <v>0.75</v>
      </c>
      <c r="I1812" s="6">
        <v>0.75</v>
      </c>
      <c r="J1812" s="6">
        <f>I1812-H1812</f>
        <v>0</v>
      </c>
      <c r="K1812" s="5">
        <f>IF(H1812=0,"",J1812/H1812)</f>
        <v>0</v>
      </c>
      <c r="L1812">
        <f>IF(OR(AND(H1812=0,ABS(J1812)&gt;=0.01),AND(H1812&lt;&gt;0,ABS(K1812)&gt;VarianceThreshold)),"Review","OK")</f>
        <v>0</v>
      </c>
      <c r="M1812" t="s">
        <v>33</v>
      </c>
    </row>
    <row r="1813" spans="1:13">
      <c r="A1813" t="s">
        <v>2</v>
      </c>
      <c r="B1813" t="s">
        <v>799</v>
      </c>
      <c r="C1813" t="s">
        <v>1685</v>
      </c>
      <c r="D1813" t="s">
        <v>697</v>
      </c>
      <c r="E1813" cm="1">
        <f t="array" ref="E1813">_xlfn.XLOOKUP(D1813,SKU_Master!A:A,SKU_Master!B:B,"Not on master")</f>
        <v>0</v>
      </c>
      <c r="F1813" cm="1">
        <f t="array" ref="F1813">_xlfn.XLOOKUP(C1813,Account_Master!A:A,Account_Master!B:B,"Not on master")</f>
        <v>0</v>
      </c>
      <c r="G1813" cm="1">
        <f t="array" ref="G1813">_xlfn.XLOOKUP(C1813,Account_Master!A:A,Account_Master!C:C,"Not on master")</f>
        <v>0</v>
      </c>
      <c r="H1813" s="6">
        <v>12</v>
      </c>
      <c r="I1813" s="6">
        <v>12</v>
      </c>
      <c r="J1813" s="6">
        <f>I1813-H1813</f>
        <v>0</v>
      </c>
      <c r="K1813" s="5">
        <f>IF(H1813=0,"",J1813/H1813)</f>
        <v>0</v>
      </c>
      <c r="L1813">
        <f>IF(OR(AND(H1813=0,ABS(J1813)&gt;=0.01),AND(H1813&lt;&gt;0,ABS(K1813)&gt;VarianceThreshold)),"Review","OK")</f>
        <v>0</v>
      </c>
      <c r="M1813" t="s">
        <v>33</v>
      </c>
    </row>
    <row r="1814" spans="1:13">
      <c r="A1814" t="s">
        <v>2</v>
      </c>
      <c r="B1814" t="s">
        <v>799</v>
      </c>
      <c r="C1814" t="s">
        <v>1936</v>
      </c>
      <c r="D1814" t="s">
        <v>1310</v>
      </c>
      <c r="E1814" cm="1">
        <f t="array" ref="E1814">_xlfn.XLOOKUP(D1814,SKU_Master!A:A,SKU_Master!B:B,"Not on master")</f>
        <v>0</v>
      </c>
      <c r="F1814" cm="1">
        <f t="array" ref="F1814">_xlfn.XLOOKUP(C1814,Account_Master!A:A,Account_Master!B:B,"Not on master")</f>
        <v>0</v>
      </c>
      <c r="G1814" cm="1">
        <f t="array" ref="G1814">_xlfn.XLOOKUP(C1814,Account_Master!A:A,Account_Master!C:C,"Not on master")</f>
        <v>0</v>
      </c>
      <c r="H1814" s="6">
        <v>28.87</v>
      </c>
      <c r="I1814" s="6">
        <v>28.87</v>
      </c>
      <c r="J1814" s="6">
        <f>I1814-H1814</f>
        <v>0</v>
      </c>
      <c r="K1814" s="5">
        <f>IF(H1814=0,"",J1814/H1814)</f>
        <v>0</v>
      </c>
      <c r="L1814">
        <f>IF(OR(AND(H1814=0,ABS(J1814)&gt;=0.01),AND(H1814&lt;&gt;0,ABS(K1814)&gt;VarianceThreshold)),"Review","OK")</f>
        <v>0</v>
      </c>
      <c r="M1814" t="s">
        <v>33</v>
      </c>
    </row>
    <row r="1815" spans="1:13">
      <c r="A1815" t="s">
        <v>2</v>
      </c>
      <c r="B1815" t="s">
        <v>799</v>
      </c>
      <c r="C1815" t="s">
        <v>1612</v>
      </c>
      <c r="D1815" t="s">
        <v>433</v>
      </c>
      <c r="E1815" cm="1">
        <f t="array" ref="E1815">_xlfn.XLOOKUP(D1815,SKU_Master!A:A,SKU_Master!B:B,"Not on master")</f>
        <v>0</v>
      </c>
      <c r="F1815" cm="1">
        <f t="array" ref="F1815">_xlfn.XLOOKUP(C1815,Account_Master!A:A,Account_Master!B:B,"Not on master")</f>
        <v>0</v>
      </c>
      <c r="G1815" cm="1">
        <f t="array" ref="G1815">_xlfn.XLOOKUP(C1815,Account_Master!A:A,Account_Master!C:C,"Not on master")</f>
        <v>0</v>
      </c>
      <c r="H1815" s="6">
        <v>2.25</v>
      </c>
      <c r="I1815" s="6">
        <v>2.25</v>
      </c>
      <c r="J1815" s="6">
        <f>I1815-H1815</f>
        <v>0</v>
      </c>
      <c r="K1815" s="5">
        <f>IF(H1815=0,"",J1815/H1815)</f>
        <v>0</v>
      </c>
      <c r="L1815">
        <f>IF(OR(AND(H1815=0,ABS(J1815)&gt;=0.01),AND(H1815&lt;&gt;0,ABS(K1815)&gt;VarianceThreshold)),"Review","OK")</f>
        <v>0</v>
      </c>
      <c r="M1815" t="s">
        <v>33</v>
      </c>
    </row>
    <row r="1816" spans="1:13">
      <c r="A1816" t="s">
        <v>2</v>
      </c>
      <c r="B1816" t="s">
        <v>799</v>
      </c>
      <c r="C1816" t="s">
        <v>1615</v>
      </c>
      <c r="D1816" t="s">
        <v>1571</v>
      </c>
      <c r="E1816" cm="1">
        <f t="array" ref="E1816">_xlfn.XLOOKUP(D1816,SKU_Master!A:A,SKU_Master!B:B,"Not on master")</f>
        <v>0</v>
      </c>
      <c r="F1816" cm="1">
        <f t="array" ref="F1816">_xlfn.XLOOKUP(C1816,Account_Master!A:A,Account_Master!B:B,"Not on master")</f>
        <v>0</v>
      </c>
      <c r="G1816" cm="1">
        <f t="array" ref="G1816">_xlfn.XLOOKUP(C1816,Account_Master!A:A,Account_Master!C:C,"Not on master")</f>
        <v>0</v>
      </c>
      <c r="H1816" s="6">
        <v>96</v>
      </c>
      <c r="I1816" s="6">
        <v>96</v>
      </c>
      <c r="J1816" s="6">
        <f>I1816-H1816</f>
        <v>0</v>
      </c>
      <c r="K1816" s="5">
        <f>IF(H1816=0,"",J1816/H1816)</f>
        <v>0</v>
      </c>
      <c r="L1816">
        <f>IF(OR(AND(H1816=0,ABS(J1816)&gt;=0.01),AND(H1816&lt;&gt;0,ABS(K1816)&gt;VarianceThreshold)),"Review","OK")</f>
        <v>0</v>
      </c>
      <c r="M1816" t="s">
        <v>33</v>
      </c>
    </row>
    <row r="1817" spans="1:13">
      <c r="A1817" t="s">
        <v>2</v>
      </c>
      <c r="B1817" t="s">
        <v>799</v>
      </c>
      <c r="C1817" t="s">
        <v>1782</v>
      </c>
      <c r="D1817" t="s">
        <v>1937</v>
      </c>
      <c r="E1817" cm="1">
        <f t="array" ref="E1817">_xlfn.XLOOKUP(D1817,SKU_Master!A:A,SKU_Master!B:B,"Not on master")</f>
        <v>0</v>
      </c>
      <c r="F1817" cm="1">
        <f t="array" ref="F1817">_xlfn.XLOOKUP(C1817,Account_Master!A:A,Account_Master!B:B,"Not on master")</f>
        <v>0</v>
      </c>
      <c r="G1817" cm="1">
        <f t="array" ref="G1817">_xlfn.XLOOKUP(C1817,Account_Master!A:A,Account_Master!C:C,"Not on master")</f>
        <v>0</v>
      </c>
      <c r="H1817" s="6">
        <v>9</v>
      </c>
      <c r="I1817" s="6">
        <v>9</v>
      </c>
      <c r="J1817" s="6">
        <f>I1817-H1817</f>
        <v>0</v>
      </c>
      <c r="K1817" s="5">
        <f>IF(H1817=0,"",J1817/H1817)</f>
        <v>0</v>
      </c>
      <c r="L1817">
        <f>IF(OR(AND(H1817=0,ABS(J1817)&gt;=0.01),AND(H1817&lt;&gt;0,ABS(K1817)&gt;VarianceThreshold)),"Review","OK")</f>
        <v>0</v>
      </c>
      <c r="M1817" t="s">
        <v>33</v>
      </c>
    </row>
    <row r="1818" spans="1:13">
      <c r="A1818" t="s">
        <v>2</v>
      </c>
      <c r="B1818" t="s">
        <v>799</v>
      </c>
      <c r="C1818" t="s">
        <v>1605</v>
      </c>
      <c r="D1818" t="s">
        <v>1938</v>
      </c>
      <c r="E1818" cm="1">
        <f t="array" ref="E1818">_xlfn.XLOOKUP(D1818,SKU_Master!A:A,SKU_Master!B:B,"Not on master")</f>
        <v>0</v>
      </c>
      <c r="F1818" cm="1">
        <f t="array" ref="F1818">_xlfn.XLOOKUP(C1818,Account_Master!A:A,Account_Master!B:B,"Not on master")</f>
        <v>0</v>
      </c>
      <c r="G1818" cm="1">
        <f t="array" ref="G1818">_xlfn.XLOOKUP(C1818,Account_Master!A:A,Account_Master!C:C,"Not on master")</f>
        <v>0</v>
      </c>
      <c r="H1818" s="6">
        <v>4.5</v>
      </c>
      <c r="I1818" s="6">
        <v>4.5</v>
      </c>
      <c r="J1818" s="6">
        <f>I1818-H1818</f>
        <v>0</v>
      </c>
      <c r="K1818" s="5">
        <f>IF(H1818=0,"",J1818/H1818)</f>
        <v>0</v>
      </c>
      <c r="L1818">
        <f>IF(OR(AND(H1818=0,ABS(J1818)&gt;=0.01),AND(H1818&lt;&gt;0,ABS(K1818)&gt;VarianceThreshold)),"Review","OK")</f>
        <v>0</v>
      </c>
      <c r="M1818" t="s">
        <v>33</v>
      </c>
    </row>
    <row r="1819" spans="1:13">
      <c r="A1819" t="s">
        <v>2</v>
      </c>
      <c r="B1819" t="s">
        <v>805</v>
      </c>
      <c r="C1819" t="s">
        <v>1831</v>
      </c>
      <c r="D1819" t="s">
        <v>1939</v>
      </c>
      <c r="E1819" cm="1">
        <f t="array" ref="E1819">_xlfn.XLOOKUP(D1819,SKU_Master!A:A,SKU_Master!B:B,"Not on master")</f>
        <v>0</v>
      </c>
      <c r="F1819" cm="1">
        <f t="array" ref="F1819">_xlfn.XLOOKUP(C1819,Account_Master!A:A,Account_Master!B:B,"Not on master")</f>
        <v>0</v>
      </c>
      <c r="G1819" cm="1">
        <f t="array" ref="G1819">_xlfn.XLOOKUP(C1819,Account_Master!A:A,Account_Master!C:C,"Not on master")</f>
        <v>0</v>
      </c>
      <c r="H1819" s="6">
        <v>9</v>
      </c>
      <c r="I1819" s="6">
        <v>9</v>
      </c>
      <c r="J1819" s="6">
        <f>I1819-H1819</f>
        <v>0</v>
      </c>
      <c r="K1819" s="5">
        <f>IF(H1819=0,"",J1819/H1819)</f>
        <v>0</v>
      </c>
      <c r="L1819">
        <f>IF(OR(AND(H1819=0,ABS(J1819)&gt;=0.01),AND(H1819&lt;&gt;0,ABS(K1819)&gt;VarianceThreshold)),"Review","OK")</f>
        <v>0</v>
      </c>
      <c r="M1819" t="s">
        <v>33</v>
      </c>
    </row>
    <row r="1820" spans="1:13">
      <c r="A1820" t="s">
        <v>2</v>
      </c>
      <c r="B1820" t="s">
        <v>805</v>
      </c>
      <c r="C1820" t="s">
        <v>1798</v>
      </c>
      <c r="D1820" t="s">
        <v>946</v>
      </c>
      <c r="E1820" cm="1">
        <f t="array" ref="E1820">_xlfn.XLOOKUP(D1820,SKU_Master!A:A,SKU_Master!B:B,"Not on master")</f>
        <v>0</v>
      </c>
      <c r="F1820" cm="1">
        <f t="array" ref="F1820">_xlfn.XLOOKUP(C1820,Account_Master!A:A,Account_Master!B:B,"Not on master")</f>
        <v>0</v>
      </c>
      <c r="G1820" cm="1">
        <f t="array" ref="G1820">_xlfn.XLOOKUP(C1820,Account_Master!A:A,Account_Master!C:C,"Not on master")</f>
        <v>0</v>
      </c>
      <c r="H1820" s="6">
        <v>2</v>
      </c>
      <c r="I1820" s="6">
        <v>2</v>
      </c>
      <c r="J1820" s="6">
        <f>I1820-H1820</f>
        <v>0</v>
      </c>
      <c r="K1820" s="5">
        <f>IF(H1820=0,"",J1820/H1820)</f>
        <v>0</v>
      </c>
      <c r="L1820">
        <f>IF(OR(AND(H1820=0,ABS(J1820)&gt;=0.01),AND(H1820&lt;&gt;0,ABS(K1820)&gt;VarianceThreshold)),"Review","OK")</f>
        <v>0</v>
      </c>
      <c r="M1820" t="s">
        <v>33</v>
      </c>
    </row>
    <row r="1821" spans="1:13">
      <c r="A1821" t="s">
        <v>2</v>
      </c>
      <c r="B1821" t="s">
        <v>805</v>
      </c>
      <c r="C1821" t="s">
        <v>1618</v>
      </c>
      <c r="D1821" t="s">
        <v>741</v>
      </c>
      <c r="E1821" cm="1">
        <f t="array" ref="E1821">_xlfn.XLOOKUP(D1821,SKU_Master!A:A,SKU_Master!B:B,"Not on master")</f>
        <v>0</v>
      </c>
      <c r="F1821" cm="1">
        <f t="array" ref="F1821">_xlfn.XLOOKUP(C1821,Account_Master!A:A,Account_Master!B:B,"Not on master")</f>
        <v>0</v>
      </c>
      <c r="G1821" cm="1">
        <f t="array" ref="G1821">_xlfn.XLOOKUP(C1821,Account_Master!A:A,Account_Master!C:C,"Not on master")</f>
        <v>0</v>
      </c>
      <c r="H1821" s="6">
        <v>15.75</v>
      </c>
      <c r="I1821" s="6">
        <v>15.75</v>
      </c>
      <c r="J1821" s="6">
        <f>I1821-H1821</f>
        <v>0</v>
      </c>
      <c r="K1821" s="5">
        <f>IF(H1821=0,"",J1821/H1821)</f>
        <v>0</v>
      </c>
      <c r="L1821">
        <f>IF(OR(AND(H1821=0,ABS(J1821)&gt;=0.01),AND(H1821&lt;&gt;0,ABS(K1821)&gt;VarianceThreshold)),"Review","OK")</f>
        <v>0</v>
      </c>
      <c r="M1821" t="s">
        <v>33</v>
      </c>
    </row>
    <row r="1822" spans="1:13">
      <c r="A1822" t="s">
        <v>2</v>
      </c>
      <c r="B1822" t="s">
        <v>805</v>
      </c>
      <c r="C1822" t="s">
        <v>1576</v>
      </c>
      <c r="D1822" t="s">
        <v>628</v>
      </c>
      <c r="E1822" cm="1">
        <f t="array" ref="E1822">_xlfn.XLOOKUP(D1822,SKU_Master!A:A,SKU_Master!B:B,"Not on master")</f>
        <v>0</v>
      </c>
      <c r="F1822" cm="1">
        <f t="array" ref="F1822">_xlfn.XLOOKUP(C1822,Account_Master!A:A,Account_Master!B:B,"Not on master")</f>
        <v>0</v>
      </c>
      <c r="G1822" cm="1">
        <f t="array" ref="G1822">_xlfn.XLOOKUP(C1822,Account_Master!A:A,Account_Master!C:C,"Not on master")</f>
        <v>0</v>
      </c>
      <c r="H1822" s="6">
        <v>12</v>
      </c>
      <c r="I1822" s="6">
        <v>12</v>
      </c>
      <c r="J1822" s="6">
        <f>I1822-H1822</f>
        <v>0</v>
      </c>
      <c r="K1822" s="5">
        <f>IF(H1822=0,"",J1822/H1822)</f>
        <v>0</v>
      </c>
      <c r="L1822">
        <f>IF(OR(AND(H1822=0,ABS(J1822)&gt;=0.01),AND(H1822&lt;&gt;0,ABS(K1822)&gt;VarianceThreshold)),"Review","OK")</f>
        <v>0</v>
      </c>
      <c r="M1822" t="s">
        <v>33</v>
      </c>
    </row>
    <row r="1823" spans="1:13">
      <c r="A1823" t="s">
        <v>2</v>
      </c>
      <c r="B1823" t="s">
        <v>805</v>
      </c>
      <c r="C1823" t="s">
        <v>1612</v>
      </c>
      <c r="D1823" t="s">
        <v>1300</v>
      </c>
      <c r="E1823" cm="1">
        <f t="array" ref="E1823">_xlfn.XLOOKUP(D1823,SKU_Master!A:A,SKU_Master!B:B,"Not on master")</f>
        <v>0</v>
      </c>
      <c r="F1823" cm="1">
        <f t="array" ref="F1823">_xlfn.XLOOKUP(C1823,Account_Master!A:A,Account_Master!B:B,"Not on master")</f>
        <v>0</v>
      </c>
      <c r="G1823" cm="1">
        <f t="array" ref="G1823">_xlfn.XLOOKUP(C1823,Account_Master!A:A,Account_Master!C:C,"Not on master")</f>
        <v>0</v>
      </c>
      <c r="H1823" s="6">
        <v>21</v>
      </c>
      <c r="I1823" s="6">
        <v>21</v>
      </c>
      <c r="J1823" s="6">
        <f>I1823-H1823</f>
        <v>0</v>
      </c>
      <c r="K1823" s="5">
        <f>IF(H1823=0,"",J1823/H1823)</f>
        <v>0</v>
      </c>
      <c r="L1823">
        <f>IF(OR(AND(H1823=0,ABS(J1823)&gt;=0.01),AND(H1823&lt;&gt;0,ABS(K1823)&gt;VarianceThreshold)),"Review","OK")</f>
        <v>0</v>
      </c>
      <c r="M1823" t="s">
        <v>33</v>
      </c>
    </row>
    <row r="1824" spans="1:13">
      <c r="A1824" t="s">
        <v>2</v>
      </c>
      <c r="B1824" t="s">
        <v>805</v>
      </c>
      <c r="C1824" t="s">
        <v>1782</v>
      </c>
      <c r="D1824" t="s">
        <v>1450</v>
      </c>
      <c r="E1824" cm="1">
        <f t="array" ref="E1824">_xlfn.XLOOKUP(D1824,SKU_Master!A:A,SKU_Master!B:B,"Not on master")</f>
        <v>0</v>
      </c>
      <c r="F1824" cm="1">
        <f t="array" ref="F1824">_xlfn.XLOOKUP(C1824,Account_Master!A:A,Account_Master!B:B,"Not on master")</f>
        <v>0</v>
      </c>
      <c r="G1824" cm="1">
        <f t="array" ref="G1824">_xlfn.XLOOKUP(C1824,Account_Master!A:A,Account_Master!C:C,"Not on master")</f>
        <v>0</v>
      </c>
      <c r="H1824" s="6">
        <v>10.5</v>
      </c>
      <c r="I1824" s="6">
        <v>10.5</v>
      </c>
      <c r="J1824" s="6">
        <f>I1824-H1824</f>
        <v>0</v>
      </c>
      <c r="K1824" s="5">
        <f>IF(H1824=0,"",J1824/H1824)</f>
        <v>0</v>
      </c>
      <c r="L1824">
        <f>IF(OR(AND(H1824=0,ABS(J1824)&gt;=0.01),AND(H1824&lt;&gt;0,ABS(K1824)&gt;VarianceThreshold)),"Review","OK")</f>
        <v>0</v>
      </c>
      <c r="M1824" t="s">
        <v>33</v>
      </c>
    </row>
    <row r="1825" spans="1:13">
      <c r="A1825" t="s">
        <v>2</v>
      </c>
      <c r="B1825" t="s">
        <v>805</v>
      </c>
      <c r="C1825" t="s">
        <v>1786</v>
      </c>
      <c r="D1825" t="s">
        <v>1940</v>
      </c>
      <c r="E1825" cm="1">
        <f t="array" ref="E1825">_xlfn.XLOOKUP(D1825,SKU_Master!A:A,SKU_Master!B:B,"Not on master")</f>
        <v>0</v>
      </c>
      <c r="F1825" cm="1">
        <f t="array" ref="F1825">_xlfn.XLOOKUP(C1825,Account_Master!A:A,Account_Master!B:B,"Not on master")</f>
        <v>0</v>
      </c>
      <c r="G1825" cm="1">
        <f t="array" ref="G1825">_xlfn.XLOOKUP(C1825,Account_Master!A:A,Account_Master!C:C,"Not on master")</f>
        <v>0</v>
      </c>
      <c r="H1825" s="6">
        <v>12.25</v>
      </c>
      <c r="I1825" s="6">
        <v>12.25</v>
      </c>
      <c r="J1825" s="6">
        <f>I1825-H1825</f>
        <v>0</v>
      </c>
      <c r="K1825" s="5">
        <f>IF(H1825=0,"",J1825/H1825)</f>
        <v>0</v>
      </c>
      <c r="L1825">
        <f>IF(OR(AND(H1825=0,ABS(J1825)&gt;=0.01),AND(H1825&lt;&gt;0,ABS(K1825)&gt;VarianceThreshold)),"Review","OK")</f>
        <v>0</v>
      </c>
      <c r="M1825" t="s">
        <v>33</v>
      </c>
    </row>
    <row r="1826" spans="1:13">
      <c r="A1826" t="s">
        <v>2</v>
      </c>
      <c r="B1826" t="s">
        <v>805</v>
      </c>
      <c r="C1826" t="s">
        <v>1941</v>
      </c>
      <c r="D1826" t="s">
        <v>42</v>
      </c>
      <c r="E1826" cm="1">
        <f t="array" ref="E1826">_xlfn.XLOOKUP(D1826,SKU_Master!A:A,SKU_Master!B:B,"Not on master")</f>
        <v>0</v>
      </c>
      <c r="F1826" cm="1">
        <f t="array" ref="F1826">_xlfn.XLOOKUP(C1826,Account_Master!A:A,Account_Master!B:B,"Not on master")</f>
        <v>0</v>
      </c>
      <c r="G1826" cm="1">
        <f t="array" ref="G1826">_xlfn.XLOOKUP(C1826,Account_Master!A:A,Account_Master!C:C,"Not on master")</f>
        <v>0</v>
      </c>
      <c r="H1826" s="6">
        <v>18.75</v>
      </c>
      <c r="I1826" s="6">
        <v>18.75</v>
      </c>
      <c r="J1826" s="6">
        <f>I1826-H1826</f>
        <v>0</v>
      </c>
      <c r="K1826" s="5">
        <f>IF(H1826=0,"",J1826/H1826)</f>
        <v>0</v>
      </c>
      <c r="L1826">
        <f>IF(OR(AND(H1826=0,ABS(J1826)&gt;=0.01),AND(H1826&lt;&gt;0,ABS(K1826)&gt;VarianceThreshold)),"Review","OK")</f>
        <v>0</v>
      </c>
      <c r="M1826" t="s">
        <v>33</v>
      </c>
    </row>
    <row r="1827" spans="1:13">
      <c r="A1827" t="s">
        <v>2</v>
      </c>
      <c r="B1827" t="s">
        <v>805</v>
      </c>
      <c r="C1827" t="s">
        <v>1605</v>
      </c>
      <c r="D1827" t="s">
        <v>1942</v>
      </c>
      <c r="E1827" cm="1">
        <f t="array" ref="E1827">_xlfn.XLOOKUP(D1827,SKU_Master!A:A,SKU_Master!B:B,"Not on master")</f>
        <v>0</v>
      </c>
      <c r="F1827" cm="1">
        <f t="array" ref="F1827">_xlfn.XLOOKUP(C1827,Account_Master!A:A,Account_Master!B:B,"Not on master")</f>
        <v>0</v>
      </c>
      <c r="G1827" cm="1">
        <f t="array" ref="G1827">_xlfn.XLOOKUP(C1827,Account_Master!A:A,Account_Master!C:C,"Not on master")</f>
        <v>0</v>
      </c>
      <c r="H1827" s="6">
        <v>5.25</v>
      </c>
      <c r="I1827" s="6">
        <v>5.25</v>
      </c>
      <c r="J1827" s="6">
        <f>I1827-H1827</f>
        <v>0</v>
      </c>
      <c r="K1827" s="5">
        <f>IF(H1827=0,"",J1827/H1827)</f>
        <v>0</v>
      </c>
      <c r="L1827">
        <f>IF(OR(AND(H1827=0,ABS(J1827)&gt;=0.01),AND(H1827&lt;&gt;0,ABS(K1827)&gt;VarianceThreshold)),"Review","OK")</f>
        <v>0</v>
      </c>
      <c r="M1827" t="s">
        <v>33</v>
      </c>
    </row>
    <row r="1828" spans="1:13">
      <c r="A1828" t="s">
        <v>2</v>
      </c>
      <c r="B1828" t="s">
        <v>814</v>
      </c>
      <c r="C1828" t="s">
        <v>1703</v>
      </c>
      <c r="D1828" t="s">
        <v>1943</v>
      </c>
      <c r="E1828" cm="1">
        <f t="array" ref="E1828">_xlfn.XLOOKUP(D1828,SKU_Master!A:A,SKU_Master!B:B,"Not on master")</f>
        <v>0</v>
      </c>
      <c r="F1828" cm="1">
        <f t="array" ref="F1828">_xlfn.XLOOKUP(C1828,Account_Master!A:A,Account_Master!B:B,"Not on master")</f>
        <v>0</v>
      </c>
      <c r="G1828" cm="1">
        <f t="array" ref="G1828">_xlfn.XLOOKUP(C1828,Account_Master!A:A,Account_Master!C:C,"Not on master")</f>
        <v>0</v>
      </c>
      <c r="H1828" s="6">
        <v>1.3</v>
      </c>
      <c r="I1828" s="6">
        <v>1.3</v>
      </c>
      <c r="J1828" s="6">
        <f>I1828-H1828</f>
        <v>0</v>
      </c>
      <c r="K1828" s="5">
        <f>IF(H1828=0,"",J1828/H1828)</f>
        <v>0</v>
      </c>
      <c r="L1828">
        <f>IF(OR(AND(H1828=0,ABS(J1828)&gt;=0.01),AND(H1828&lt;&gt;0,ABS(K1828)&gt;VarianceThreshold)),"Review","OK")</f>
        <v>0</v>
      </c>
      <c r="M1828" t="s">
        <v>33</v>
      </c>
    </row>
    <row r="1829" spans="1:13">
      <c r="A1829" t="s">
        <v>2</v>
      </c>
      <c r="B1829" t="s">
        <v>814</v>
      </c>
      <c r="C1829" t="s">
        <v>1723</v>
      </c>
      <c r="D1829" t="s">
        <v>1162</v>
      </c>
      <c r="E1829" cm="1">
        <f t="array" ref="E1829">_xlfn.XLOOKUP(D1829,SKU_Master!A:A,SKU_Master!B:B,"Not on master")</f>
        <v>0</v>
      </c>
      <c r="F1829" cm="1">
        <f t="array" ref="F1829">_xlfn.XLOOKUP(C1829,Account_Master!A:A,Account_Master!B:B,"Not on master")</f>
        <v>0</v>
      </c>
      <c r="G1829" cm="1">
        <f t="array" ref="G1829">_xlfn.XLOOKUP(C1829,Account_Master!A:A,Account_Master!C:C,"Not on master")</f>
        <v>0</v>
      </c>
      <c r="H1829" s="6">
        <v>63</v>
      </c>
      <c r="I1829" s="6">
        <v>63</v>
      </c>
      <c r="J1829" s="6">
        <f>I1829-H1829</f>
        <v>0</v>
      </c>
      <c r="K1829" s="5">
        <f>IF(H1829=0,"",J1829/H1829)</f>
        <v>0</v>
      </c>
      <c r="L1829">
        <f>IF(OR(AND(H1829=0,ABS(J1829)&gt;=0.01),AND(H1829&lt;&gt;0,ABS(K1829)&gt;VarianceThreshold)),"Review","OK")</f>
        <v>0</v>
      </c>
      <c r="M1829" t="s">
        <v>33</v>
      </c>
    </row>
    <row r="1830" spans="1:13">
      <c r="A1830" t="s">
        <v>2</v>
      </c>
      <c r="B1830" t="s">
        <v>814</v>
      </c>
      <c r="C1830" t="s">
        <v>1655</v>
      </c>
      <c r="D1830" t="s">
        <v>1944</v>
      </c>
      <c r="E1830" cm="1">
        <f t="array" ref="E1830">_xlfn.XLOOKUP(D1830,SKU_Master!A:A,SKU_Master!B:B,"Not on master")</f>
        <v>0</v>
      </c>
      <c r="F1830" cm="1">
        <f t="array" ref="F1830">_xlfn.XLOOKUP(C1830,Account_Master!A:A,Account_Master!B:B,"Not on master")</f>
        <v>0</v>
      </c>
      <c r="G1830" cm="1">
        <f t="array" ref="G1830">_xlfn.XLOOKUP(C1830,Account_Master!A:A,Account_Master!C:C,"Not on master")</f>
        <v>0</v>
      </c>
      <c r="H1830" s="6">
        <v>5.25</v>
      </c>
      <c r="I1830" s="6">
        <v>5.25</v>
      </c>
      <c r="J1830" s="6">
        <f>I1830-H1830</f>
        <v>0</v>
      </c>
      <c r="K1830" s="5">
        <f>IF(H1830=0,"",J1830/H1830)</f>
        <v>0</v>
      </c>
      <c r="L1830">
        <f>IF(OR(AND(H1830=0,ABS(J1830)&gt;=0.01),AND(H1830&lt;&gt;0,ABS(K1830)&gt;VarianceThreshold)),"Review","OK")</f>
        <v>0</v>
      </c>
      <c r="M1830" t="s">
        <v>33</v>
      </c>
    </row>
    <row r="1831" spans="1:13">
      <c r="A1831" t="s">
        <v>2</v>
      </c>
      <c r="B1831" t="s">
        <v>829</v>
      </c>
      <c r="C1831" t="s">
        <v>1945</v>
      </c>
      <c r="D1831" t="s">
        <v>859</v>
      </c>
      <c r="E1831" cm="1">
        <f t="array" ref="E1831">_xlfn.XLOOKUP(D1831,SKU_Master!A:A,SKU_Master!B:B,"Not on master")</f>
        <v>0</v>
      </c>
      <c r="F1831" cm="1">
        <f t="array" ref="F1831">_xlfn.XLOOKUP(C1831,Account_Master!A:A,Account_Master!B:B,"Not on master")</f>
        <v>0</v>
      </c>
      <c r="G1831" cm="1">
        <f t="array" ref="G1831">_xlfn.XLOOKUP(C1831,Account_Master!A:A,Account_Master!C:C,"Not on master")</f>
        <v>0</v>
      </c>
      <c r="H1831" s="6">
        <v>2.25</v>
      </c>
      <c r="I1831" s="6">
        <v>2.25</v>
      </c>
      <c r="J1831" s="6">
        <f>I1831-H1831</f>
        <v>0</v>
      </c>
      <c r="K1831" s="5">
        <f>IF(H1831=0,"",J1831/H1831)</f>
        <v>0</v>
      </c>
      <c r="L1831">
        <f>IF(OR(AND(H1831=0,ABS(J1831)&gt;=0.01),AND(H1831&lt;&gt;0,ABS(K1831)&gt;VarianceThreshold)),"Review","OK")</f>
        <v>0</v>
      </c>
      <c r="M1831" t="s">
        <v>33</v>
      </c>
    </row>
    <row r="1832" spans="1:13">
      <c r="A1832" t="s">
        <v>2</v>
      </c>
      <c r="B1832" t="s">
        <v>829</v>
      </c>
      <c r="C1832" t="s">
        <v>1849</v>
      </c>
      <c r="D1832" t="s">
        <v>1946</v>
      </c>
      <c r="E1832" cm="1">
        <f t="array" ref="E1832">_xlfn.XLOOKUP(D1832,SKU_Master!A:A,SKU_Master!B:B,"Not on master")</f>
        <v>0</v>
      </c>
      <c r="F1832" cm="1">
        <f t="array" ref="F1832">_xlfn.XLOOKUP(C1832,Account_Master!A:A,Account_Master!B:B,"Not on master")</f>
        <v>0</v>
      </c>
      <c r="G1832" cm="1">
        <f t="array" ref="G1832">_xlfn.XLOOKUP(C1832,Account_Master!A:A,Account_Master!C:C,"Not on master")</f>
        <v>0</v>
      </c>
      <c r="H1832" s="6">
        <v>9</v>
      </c>
      <c r="I1832" s="6">
        <v>9</v>
      </c>
      <c r="J1832" s="6">
        <f>I1832-H1832</f>
        <v>0</v>
      </c>
      <c r="K1832" s="5">
        <f>IF(H1832=0,"",J1832/H1832)</f>
        <v>0</v>
      </c>
      <c r="L1832">
        <f>IF(OR(AND(H1832=0,ABS(J1832)&gt;=0.01),AND(H1832&lt;&gt;0,ABS(K1832)&gt;VarianceThreshold)),"Review","OK")</f>
        <v>0</v>
      </c>
      <c r="M1832" t="s">
        <v>33</v>
      </c>
    </row>
    <row r="1833" spans="1:13">
      <c r="A1833" t="s">
        <v>2</v>
      </c>
      <c r="B1833" t="s">
        <v>829</v>
      </c>
      <c r="C1833" t="s">
        <v>1869</v>
      </c>
      <c r="D1833" t="s">
        <v>1947</v>
      </c>
      <c r="E1833" cm="1">
        <f t="array" ref="E1833">_xlfn.XLOOKUP(D1833,SKU_Master!A:A,SKU_Master!B:B,"Not on master")</f>
        <v>0</v>
      </c>
      <c r="F1833" cm="1">
        <f t="array" ref="F1833">_xlfn.XLOOKUP(C1833,Account_Master!A:A,Account_Master!B:B,"Not on master")</f>
        <v>0</v>
      </c>
      <c r="G1833" cm="1">
        <f t="array" ref="G1833">_xlfn.XLOOKUP(C1833,Account_Master!A:A,Account_Master!C:C,"Not on master")</f>
        <v>0</v>
      </c>
      <c r="H1833" s="6">
        <v>4.8</v>
      </c>
      <c r="I1833" s="6">
        <v>4.8</v>
      </c>
      <c r="J1833" s="6">
        <f>I1833-H1833</f>
        <v>0</v>
      </c>
      <c r="K1833" s="5">
        <f>IF(H1833=0,"",J1833/H1833)</f>
        <v>0</v>
      </c>
      <c r="L1833">
        <f>IF(OR(AND(H1833=0,ABS(J1833)&gt;=0.01),AND(H1833&lt;&gt;0,ABS(K1833)&gt;VarianceThreshold)),"Review","OK")</f>
        <v>0</v>
      </c>
      <c r="M1833" t="s">
        <v>33</v>
      </c>
    </row>
    <row r="1834" spans="1:13">
      <c r="A1834" t="s">
        <v>2</v>
      </c>
      <c r="B1834" t="s">
        <v>829</v>
      </c>
      <c r="C1834" t="s">
        <v>1605</v>
      </c>
      <c r="D1834" t="s">
        <v>1948</v>
      </c>
      <c r="E1834" cm="1">
        <f t="array" ref="E1834">_xlfn.XLOOKUP(D1834,SKU_Master!A:A,SKU_Master!B:B,"Not on master")</f>
        <v>0</v>
      </c>
      <c r="F1834" cm="1">
        <f t="array" ref="F1834">_xlfn.XLOOKUP(C1834,Account_Master!A:A,Account_Master!B:B,"Not on master")</f>
        <v>0</v>
      </c>
      <c r="G1834" cm="1">
        <f t="array" ref="G1834">_xlfn.XLOOKUP(C1834,Account_Master!A:A,Account_Master!C:C,"Not on master")</f>
        <v>0</v>
      </c>
      <c r="H1834" s="6">
        <v>15</v>
      </c>
      <c r="I1834" s="6">
        <v>15</v>
      </c>
      <c r="J1834" s="6">
        <f>I1834-H1834</f>
        <v>0</v>
      </c>
      <c r="K1834" s="5">
        <f>IF(H1834=0,"",J1834/H1834)</f>
        <v>0</v>
      </c>
      <c r="L1834">
        <f>IF(OR(AND(H1834=0,ABS(J1834)&gt;=0.01),AND(H1834&lt;&gt;0,ABS(K1834)&gt;VarianceThreshold)),"Review","OK")</f>
        <v>0</v>
      </c>
      <c r="M1834" t="s">
        <v>33</v>
      </c>
    </row>
    <row r="1835" spans="1:13">
      <c r="A1835" t="s">
        <v>2</v>
      </c>
      <c r="B1835" t="s">
        <v>829</v>
      </c>
      <c r="C1835" t="s">
        <v>1867</v>
      </c>
      <c r="D1835" t="s">
        <v>581</v>
      </c>
      <c r="E1835" cm="1">
        <f t="array" ref="E1835">_xlfn.XLOOKUP(D1835,SKU_Master!A:A,SKU_Master!B:B,"Not on master")</f>
        <v>0</v>
      </c>
      <c r="F1835" cm="1">
        <f t="array" ref="F1835">_xlfn.XLOOKUP(C1835,Account_Master!A:A,Account_Master!B:B,"Not on master")</f>
        <v>0</v>
      </c>
      <c r="G1835" cm="1">
        <f t="array" ref="G1835">_xlfn.XLOOKUP(C1835,Account_Master!A:A,Account_Master!C:C,"Not on master")</f>
        <v>0</v>
      </c>
      <c r="H1835" s="6">
        <v>15</v>
      </c>
      <c r="I1835" s="6">
        <v>15</v>
      </c>
      <c r="J1835" s="6">
        <f>I1835-H1835</f>
        <v>0</v>
      </c>
      <c r="K1835" s="5">
        <f>IF(H1835=0,"",J1835/H1835)</f>
        <v>0</v>
      </c>
      <c r="L1835">
        <f>IF(OR(AND(H1835=0,ABS(J1835)&gt;=0.01),AND(H1835&lt;&gt;0,ABS(K1835)&gt;VarianceThreshold)),"Review","OK")</f>
        <v>0</v>
      </c>
      <c r="M1835" t="s">
        <v>33</v>
      </c>
    </row>
    <row r="1836" spans="1:13">
      <c r="A1836" t="s">
        <v>2</v>
      </c>
      <c r="B1836" t="s">
        <v>829</v>
      </c>
      <c r="C1836" t="s">
        <v>1949</v>
      </c>
      <c r="D1836" t="s">
        <v>1950</v>
      </c>
      <c r="E1836" cm="1">
        <f t="array" ref="E1836">_xlfn.XLOOKUP(D1836,SKU_Master!A:A,SKU_Master!B:B,"Not on master")</f>
        <v>0</v>
      </c>
      <c r="F1836" cm="1">
        <f t="array" ref="F1836">_xlfn.XLOOKUP(C1836,Account_Master!A:A,Account_Master!B:B,"Not on master")</f>
        <v>0</v>
      </c>
      <c r="G1836" cm="1">
        <f t="array" ref="G1836">_xlfn.XLOOKUP(C1836,Account_Master!A:A,Account_Master!C:C,"Not on master")</f>
        <v>0</v>
      </c>
      <c r="H1836" s="6">
        <v>93.59999999999999</v>
      </c>
      <c r="I1836" s="6">
        <v>93.59999999999999</v>
      </c>
      <c r="J1836" s="6">
        <f>I1836-H1836</f>
        <v>0</v>
      </c>
      <c r="K1836" s="5">
        <f>IF(H1836=0,"",J1836/H1836)</f>
        <v>0</v>
      </c>
      <c r="L1836">
        <f>IF(OR(AND(H1836=0,ABS(J1836)&gt;=0.01),AND(H1836&lt;&gt;0,ABS(K1836)&gt;VarianceThreshold)),"Review","OK")</f>
        <v>0</v>
      </c>
      <c r="M1836" t="s">
        <v>33</v>
      </c>
    </row>
    <row r="1837" spans="1:13">
      <c r="A1837" t="s">
        <v>2</v>
      </c>
      <c r="B1837" t="s">
        <v>836</v>
      </c>
      <c r="C1837" t="s">
        <v>1858</v>
      </c>
      <c r="D1837" t="s">
        <v>1951</v>
      </c>
      <c r="E1837" cm="1">
        <f t="array" ref="E1837">_xlfn.XLOOKUP(D1837,SKU_Master!A:A,SKU_Master!B:B,"Not on master")</f>
        <v>0</v>
      </c>
      <c r="F1837" cm="1">
        <f t="array" ref="F1837">_xlfn.XLOOKUP(C1837,Account_Master!A:A,Account_Master!B:B,"Not on master")</f>
        <v>0</v>
      </c>
      <c r="G1837" cm="1">
        <f t="array" ref="G1837">_xlfn.XLOOKUP(C1837,Account_Master!A:A,Account_Master!C:C,"Not on master")</f>
        <v>0</v>
      </c>
      <c r="H1837" s="6">
        <v>21</v>
      </c>
      <c r="I1837" s="6">
        <v>21</v>
      </c>
      <c r="J1837" s="6">
        <f>I1837-H1837</f>
        <v>0</v>
      </c>
      <c r="K1837" s="5">
        <f>IF(H1837=0,"",J1837/H1837)</f>
        <v>0</v>
      </c>
      <c r="L1837">
        <f>IF(OR(AND(H1837=0,ABS(J1837)&gt;=0.01),AND(H1837&lt;&gt;0,ABS(K1837)&gt;VarianceThreshold)),"Review","OK")</f>
        <v>0</v>
      </c>
      <c r="M1837" t="s">
        <v>33</v>
      </c>
    </row>
    <row r="1838" spans="1:13">
      <c r="A1838" t="s">
        <v>2</v>
      </c>
      <c r="B1838" t="s">
        <v>836</v>
      </c>
      <c r="C1838" t="s">
        <v>1576</v>
      </c>
      <c r="D1838" t="s">
        <v>807</v>
      </c>
      <c r="E1838" cm="1">
        <f t="array" ref="E1838">_xlfn.XLOOKUP(D1838,SKU_Master!A:A,SKU_Master!B:B,"Not on master")</f>
        <v>0</v>
      </c>
      <c r="F1838" cm="1">
        <f t="array" ref="F1838">_xlfn.XLOOKUP(C1838,Account_Master!A:A,Account_Master!B:B,"Not on master")</f>
        <v>0</v>
      </c>
      <c r="G1838" cm="1">
        <f t="array" ref="G1838">_xlfn.XLOOKUP(C1838,Account_Master!A:A,Account_Master!C:C,"Not on master")</f>
        <v>0</v>
      </c>
      <c r="H1838" s="6">
        <v>73.5</v>
      </c>
      <c r="I1838" s="6">
        <v>63</v>
      </c>
      <c r="J1838" s="6">
        <f>I1838-H1838</f>
        <v>0</v>
      </c>
      <c r="K1838" s="5">
        <f>IF(H1838=0,"",J1838/H1838)</f>
        <v>0</v>
      </c>
      <c r="L1838">
        <f>IF(OR(AND(H1838=0,ABS(J1838)&gt;=0.01),AND(H1838&lt;&gt;0,ABS(K1838)&gt;VarianceThreshold)),"Review","OK")</f>
        <v>0</v>
      </c>
      <c r="M1838" t="s">
        <v>1611</v>
      </c>
    </row>
    <row r="1839" spans="1:13">
      <c r="A1839" t="s">
        <v>2</v>
      </c>
      <c r="B1839" t="s">
        <v>836</v>
      </c>
      <c r="C1839" t="s">
        <v>1952</v>
      </c>
      <c r="D1839" t="s">
        <v>1953</v>
      </c>
      <c r="E1839" cm="1">
        <f t="array" ref="E1839">_xlfn.XLOOKUP(D1839,SKU_Master!A:A,SKU_Master!B:B,"Not on master")</f>
        <v>0</v>
      </c>
      <c r="F1839" cm="1">
        <f t="array" ref="F1839">_xlfn.XLOOKUP(C1839,Account_Master!A:A,Account_Master!B:B,"Not on master")</f>
        <v>0</v>
      </c>
      <c r="G1839" cm="1">
        <f t="array" ref="G1839">_xlfn.XLOOKUP(C1839,Account_Master!A:A,Account_Master!C:C,"Not on master")</f>
        <v>0</v>
      </c>
      <c r="H1839" s="6">
        <v>2.4</v>
      </c>
      <c r="I1839" s="6">
        <v>2.4</v>
      </c>
      <c r="J1839" s="6">
        <f>I1839-H1839</f>
        <v>0</v>
      </c>
      <c r="K1839" s="5">
        <f>IF(H1839=0,"",J1839/H1839)</f>
        <v>0</v>
      </c>
      <c r="L1839">
        <f>IF(OR(AND(H1839=0,ABS(J1839)&gt;=0.01),AND(H1839&lt;&gt;0,ABS(K1839)&gt;VarianceThreshold)),"Review","OK")</f>
        <v>0</v>
      </c>
      <c r="M1839" t="s">
        <v>33</v>
      </c>
    </row>
    <row r="1840" spans="1:13">
      <c r="A1840" t="s">
        <v>2</v>
      </c>
      <c r="B1840" t="s">
        <v>836</v>
      </c>
      <c r="C1840" t="s">
        <v>1781</v>
      </c>
      <c r="D1840" t="s">
        <v>1954</v>
      </c>
      <c r="E1840" cm="1">
        <f t="array" ref="E1840">_xlfn.XLOOKUP(D1840,SKU_Master!A:A,SKU_Master!B:B,"Not on master")</f>
        <v>0</v>
      </c>
      <c r="F1840" cm="1">
        <f t="array" ref="F1840">_xlfn.XLOOKUP(C1840,Account_Master!A:A,Account_Master!B:B,"Not on master")</f>
        <v>0</v>
      </c>
      <c r="G1840" cm="1">
        <f t="array" ref="G1840">_xlfn.XLOOKUP(C1840,Account_Master!A:A,Account_Master!C:C,"Not on master")</f>
        <v>0</v>
      </c>
      <c r="H1840" s="6">
        <v>9.75</v>
      </c>
      <c r="I1840" s="6">
        <v>9.75</v>
      </c>
      <c r="J1840" s="6">
        <f>I1840-H1840</f>
        <v>0</v>
      </c>
      <c r="K1840" s="5">
        <f>IF(H1840=0,"",J1840/H1840)</f>
        <v>0</v>
      </c>
      <c r="L1840">
        <f>IF(OR(AND(H1840=0,ABS(J1840)&gt;=0.01),AND(H1840&lt;&gt;0,ABS(K1840)&gt;VarianceThreshold)),"Review","OK")</f>
        <v>0</v>
      </c>
      <c r="M1840" t="s">
        <v>33</v>
      </c>
    </row>
    <row r="1841" spans="1:13">
      <c r="A1841" t="s">
        <v>2</v>
      </c>
      <c r="B1841" t="s">
        <v>836</v>
      </c>
      <c r="C1841" t="s">
        <v>1634</v>
      </c>
      <c r="D1841" t="s">
        <v>638</v>
      </c>
      <c r="E1841" cm="1">
        <f t="array" ref="E1841">_xlfn.XLOOKUP(D1841,SKU_Master!A:A,SKU_Master!B:B,"Not on master")</f>
        <v>0</v>
      </c>
      <c r="F1841" cm="1">
        <f t="array" ref="F1841">_xlfn.XLOOKUP(C1841,Account_Master!A:A,Account_Master!B:B,"Not on master")</f>
        <v>0</v>
      </c>
      <c r="G1841" cm="1">
        <f t="array" ref="G1841">_xlfn.XLOOKUP(C1841,Account_Master!A:A,Account_Master!C:C,"Not on master")</f>
        <v>0</v>
      </c>
      <c r="H1841" s="6">
        <v>2.25</v>
      </c>
      <c r="I1841" s="6">
        <v>2.25</v>
      </c>
      <c r="J1841" s="6">
        <f>I1841-H1841</f>
        <v>0</v>
      </c>
      <c r="K1841" s="5">
        <f>IF(H1841=0,"",J1841/H1841)</f>
        <v>0</v>
      </c>
      <c r="L1841">
        <f>IF(OR(AND(H1841=0,ABS(J1841)&gt;=0.01),AND(H1841&lt;&gt;0,ABS(K1841)&gt;VarianceThreshold)),"Review","OK")</f>
        <v>0</v>
      </c>
      <c r="M1841" t="s">
        <v>33</v>
      </c>
    </row>
    <row r="1842" spans="1:13">
      <c r="A1842" t="s">
        <v>2</v>
      </c>
      <c r="B1842" t="s">
        <v>836</v>
      </c>
      <c r="C1842" t="s">
        <v>1574</v>
      </c>
      <c r="D1842" t="s">
        <v>1446</v>
      </c>
      <c r="E1842" cm="1">
        <f t="array" ref="E1842">_xlfn.XLOOKUP(D1842,SKU_Master!A:A,SKU_Master!B:B,"Not on master")</f>
        <v>0</v>
      </c>
      <c r="F1842" cm="1">
        <f t="array" ref="F1842">_xlfn.XLOOKUP(C1842,Account_Master!A:A,Account_Master!B:B,"Not on master")</f>
        <v>0</v>
      </c>
      <c r="G1842" cm="1">
        <f t="array" ref="G1842">_xlfn.XLOOKUP(C1842,Account_Master!A:A,Account_Master!C:C,"Not on master")</f>
        <v>0</v>
      </c>
      <c r="H1842" s="6">
        <v>5.25</v>
      </c>
      <c r="I1842" s="6">
        <v>5.25</v>
      </c>
      <c r="J1842" s="6">
        <f>I1842-H1842</f>
        <v>0</v>
      </c>
      <c r="K1842" s="5">
        <f>IF(H1842=0,"",J1842/H1842)</f>
        <v>0</v>
      </c>
      <c r="L1842">
        <f>IF(OR(AND(H1842=0,ABS(J1842)&gt;=0.01),AND(H1842&lt;&gt;0,ABS(K1842)&gt;VarianceThreshold)),"Review","OK")</f>
        <v>0</v>
      </c>
      <c r="M1842" t="s">
        <v>33</v>
      </c>
    </row>
    <row r="1843" spans="1:13">
      <c r="A1843" t="s">
        <v>2</v>
      </c>
      <c r="B1843" t="s">
        <v>836</v>
      </c>
      <c r="C1843" t="s">
        <v>1642</v>
      </c>
      <c r="D1843" t="s">
        <v>1218</v>
      </c>
      <c r="E1843" cm="1">
        <f t="array" ref="E1843">_xlfn.XLOOKUP(D1843,SKU_Master!A:A,SKU_Master!B:B,"Not on master")</f>
        <v>0</v>
      </c>
      <c r="F1843" cm="1">
        <f t="array" ref="F1843">_xlfn.XLOOKUP(C1843,Account_Master!A:A,Account_Master!B:B,"Not on master")</f>
        <v>0</v>
      </c>
      <c r="G1843" cm="1">
        <f t="array" ref="G1843">_xlfn.XLOOKUP(C1843,Account_Master!A:A,Account_Master!C:C,"Not on master")</f>
        <v>0</v>
      </c>
      <c r="H1843" s="6">
        <v>10.5</v>
      </c>
      <c r="I1843" s="6">
        <v>10.5</v>
      </c>
      <c r="J1843" s="6">
        <f>I1843-H1843</f>
        <v>0</v>
      </c>
      <c r="K1843" s="5">
        <f>IF(H1843=0,"",J1843/H1843)</f>
        <v>0</v>
      </c>
      <c r="L1843">
        <f>IF(OR(AND(H1843=0,ABS(J1843)&gt;=0.01),AND(H1843&lt;&gt;0,ABS(K1843)&gt;VarianceThreshold)),"Review","OK")</f>
        <v>0</v>
      </c>
      <c r="M1843" t="s">
        <v>33</v>
      </c>
    </row>
    <row r="1844" spans="1:13">
      <c r="A1844" t="s">
        <v>2</v>
      </c>
      <c r="B1844" t="s">
        <v>836</v>
      </c>
      <c r="C1844" t="s">
        <v>1664</v>
      </c>
      <c r="D1844" t="s">
        <v>1447</v>
      </c>
      <c r="E1844" cm="1">
        <f t="array" ref="E1844">_xlfn.XLOOKUP(D1844,SKU_Master!A:A,SKU_Master!B:B,"Not on master")</f>
        <v>0</v>
      </c>
      <c r="F1844" cm="1">
        <f t="array" ref="F1844">_xlfn.XLOOKUP(C1844,Account_Master!A:A,Account_Master!B:B,"Not on master")</f>
        <v>0</v>
      </c>
      <c r="G1844" cm="1">
        <f t="array" ref="G1844">_xlfn.XLOOKUP(C1844,Account_Master!A:A,Account_Master!C:C,"Not on master")</f>
        <v>0</v>
      </c>
      <c r="H1844" s="6">
        <v>63</v>
      </c>
      <c r="I1844" s="6">
        <v>63</v>
      </c>
      <c r="J1844" s="6">
        <f>I1844-H1844</f>
        <v>0</v>
      </c>
      <c r="K1844" s="5">
        <f>IF(H1844=0,"",J1844/H1844)</f>
        <v>0</v>
      </c>
      <c r="L1844">
        <f>IF(OR(AND(H1844=0,ABS(J1844)&gt;=0.01),AND(H1844&lt;&gt;0,ABS(K1844)&gt;VarianceThreshold)),"Review","OK")</f>
        <v>0</v>
      </c>
      <c r="M1844" t="s">
        <v>33</v>
      </c>
    </row>
    <row r="1845" spans="1:13">
      <c r="A1845" t="s">
        <v>2</v>
      </c>
      <c r="B1845" t="s">
        <v>846</v>
      </c>
      <c r="C1845" t="s">
        <v>1615</v>
      </c>
      <c r="D1845" t="s">
        <v>1955</v>
      </c>
      <c r="E1845" cm="1">
        <f t="array" ref="E1845">_xlfn.XLOOKUP(D1845,SKU_Master!A:A,SKU_Master!B:B,"Not on master")</f>
        <v>0</v>
      </c>
      <c r="F1845" cm="1">
        <f t="array" ref="F1845">_xlfn.XLOOKUP(C1845,Account_Master!A:A,Account_Master!B:B,"Not on master")</f>
        <v>0</v>
      </c>
      <c r="G1845" cm="1">
        <f t="array" ref="G1845">_xlfn.XLOOKUP(C1845,Account_Master!A:A,Account_Master!C:C,"Not on master")</f>
        <v>0</v>
      </c>
      <c r="H1845" s="6">
        <v>3.37</v>
      </c>
      <c r="I1845" s="6">
        <v>3.37</v>
      </c>
      <c r="J1845" s="6">
        <f>I1845-H1845</f>
        <v>0</v>
      </c>
      <c r="K1845" s="5">
        <f>IF(H1845=0,"",J1845/H1845)</f>
        <v>0</v>
      </c>
      <c r="L1845">
        <f>IF(OR(AND(H1845=0,ABS(J1845)&gt;=0.01),AND(H1845&lt;&gt;0,ABS(K1845)&gt;VarianceThreshold)),"Review","OK")</f>
        <v>0</v>
      </c>
      <c r="M1845" t="s">
        <v>33</v>
      </c>
    </row>
    <row r="1846" spans="1:13">
      <c r="A1846" t="s">
        <v>2</v>
      </c>
      <c r="B1846" t="s">
        <v>846</v>
      </c>
      <c r="C1846" t="s">
        <v>1956</v>
      </c>
      <c r="D1846" t="s">
        <v>543</v>
      </c>
      <c r="E1846" cm="1">
        <f t="array" ref="E1846">_xlfn.XLOOKUP(D1846,SKU_Master!A:A,SKU_Master!B:B,"Not on master")</f>
        <v>0</v>
      </c>
      <c r="F1846" cm="1">
        <f t="array" ref="F1846">_xlfn.XLOOKUP(C1846,Account_Master!A:A,Account_Master!B:B,"Not on master")</f>
        <v>0</v>
      </c>
      <c r="G1846" cm="1">
        <f t="array" ref="G1846">_xlfn.XLOOKUP(C1846,Account_Master!A:A,Account_Master!C:C,"Not on master")</f>
        <v>0</v>
      </c>
      <c r="H1846" s="6">
        <v>15</v>
      </c>
      <c r="I1846" s="6">
        <v>15</v>
      </c>
      <c r="J1846" s="6">
        <f>I1846-H1846</f>
        <v>0</v>
      </c>
      <c r="K1846" s="5">
        <f>IF(H1846=0,"",J1846/H1846)</f>
        <v>0</v>
      </c>
      <c r="L1846">
        <f>IF(OR(AND(H1846=0,ABS(J1846)&gt;=0.01),AND(H1846&lt;&gt;0,ABS(K1846)&gt;VarianceThreshold)),"Review","OK")</f>
        <v>0</v>
      </c>
      <c r="M1846" t="s">
        <v>33</v>
      </c>
    </row>
    <row r="1847" spans="1:13">
      <c r="A1847" t="s">
        <v>2</v>
      </c>
      <c r="B1847" t="s">
        <v>846</v>
      </c>
      <c r="C1847" t="s">
        <v>1957</v>
      </c>
      <c r="D1847" t="s">
        <v>99</v>
      </c>
      <c r="E1847" cm="1">
        <f t="array" ref="E1847">_xlfn.XLOOKUP(D1847,SKU_Master!A:A,SKU_Master!B:B,"Not on master")</f>
        <v>0</v>
      </c>
      <c r="F1847" cm="1">
        <f t="array" ref="F1847">_xlfn.XLOOKUP(C1847,Account_Master!A:A,Account_Master!B:B,"Not on master")</f>
        <v>0</v>
      </c>
      <c r="G1847" cm="1">
        <f t="array" ref="G1847">_xlfn.XLOOKUP(C1847,Account_Master!A:A,Account_Master!C:C,"Not on master")</f>
        <v>0</v>
      </c>
      <c r="H1847" s="6">
        <v>27</v>
      </c>
      <c r="I1847" s="6">
        <v>27</v>
      </c>
      <c r="J1847" s="6">
        <f>I1847-H1847</f>
        <v>0</v>
      </c>
      <c r="K1847" s="5">
        <f>IF(H1847=0,"",J1847/H1847)</f>
        <v>0</v>
      </c>
      <c r="L1847">
        <f>IF(OR(AND(H1847=0,ABS(J1847)&gt;=0.01),AND(H1847&lt;&gt;0,ABS(K1847)&gt;VarianceThreshold)),"Review","OK")</f>
        <v>0</v>
      </c>
      <c r="M1847" t="s">
        <v>33</v>
      </c>
    </row>
    <row r="1848" spans="1:13">
      <c r="A1848" t="s">
        <v>2</v>
      </c>
      <c r="B1848" t="s">
        <v>846</v>
      </c>
      <c r="C1848" t="s">
        <v>1655</v>
      </c>
      <c r="D1848" t="s">
        <v>855</v>
      </c>
      <c r="E1848" cm="1">
        <f t="array" ref="E1848">_xlfn.XLOOKUP(D1848,SKU_Master!A:A,SKU_Master!B:B,"Not on master")</f>
        <v>0</v>
      </c>
      <c r="F1848" cm="1">
        <f t="array" ref="F1848">_xlfn.XLOOKUP(C1848,Account_Master!A:A,Account_Master!B:B,"Not on master")</f>
        <v>0</v>
      </c>
      <c r="G1848" cm="1">
        <f t="array" ref="G1848">_xlfn.XLOOKUP(C1848,Account_Master!A:A,Account_Master!C:C,"Not on master")</f>
        <v>0</v>
      </c>
      <c r="H1848" s="6">
        <v>38.25</v>
      </c>
      <c r="I1848" s="6">
        <v>38.25</v>
      </c>
      <c r="J1848" s="6">
        <f>I1848-H1848</f>
        <v>0</v>
      </c>
      <c r="K1848" s="5">
        <f>IF(H1848=0,"",J1848/H1848)</f>
        <v>0</v>
      </c>
      <c r="L1848">
        <f>IF(OR(AND(H1848=0,ABS(J1848)&gt;=0.01),AND(H1848&lt;&gt;0,ABS(K1848)&gt;VarianceThreshold)),"Review","OK")</f>
        <v>0</v>
      </c>
      <c r="M1848" t="s">
        <v>33</v>
      </c>
    </row>
    <row r="1849" spans="1:13">
      <c r="A1849" t="s">
        <v>2</v>
      </c>
      <c r="B1849" t="s">
        <v>846</v>
      </c>
      <c r="C1849" t="s">
        <v>1602</v>
      </c>
      <c r="D1849" t="s">
        <v>1958</v>
      </c>
      <c r="E1849" cm="1">
        <f t="array" ref="E1849">_xlfn.XLOOKUP(D1849,SKU_Master!A:A,SKU_Master!B:B,"Not on master")</f>
        <v>0</v>
      </c>
      <c r="F1849" cm="1">
        <f t="array" ref="F1849">_xlfn.XLOOKUP(C1849,Account_Master!A:A,Account_Master!B:B,"Not on master")</f>
        <v>0</v>
      </c>
      <c r="G1849" cm="1">
        <f t="array" ref="G1849">_xlfn.XLOOKUP(C1849,Account_Master!A:A,Account_Master!C:C,"Not on master")</f>
        <v>0</v>
      </c>
      <c r="H1849" s="6">
        <v>0.2</v>
      </c>
      <c r="I1849" s="6">
        <v>0.2</v>
      </c>
      <c r="J1849" s="6">
        <f>I1849-H1849</f>
        <v>0</v>
      </c>
      <c r="K1849" s="5">
        <f>IF(H1849=0,"",J1849/H1849)</f>
        <v>0</v>
      </c>
      <c r="L1849">
        <f>IF(OR(AND(H1849=0,ABS(J1849)&gt;=0.01),AND(H1849&lt;&gt;0,ABS(K1849)&gt;VarianceThreshold)),"Review","OK")</f>
        <v>0</v>
      </c>
      <c r="M1849" t="s">
        <v>33</v>
      </c>
    </row>
    <row r="1850" spans="1:13">
      <c r="A1850" t="s">
        <v>2</v>
      </c>
      <c r="B1850" t="s">
        <v>846</v>
      </c>
      <c r="C1850" t="s">
        <v>1605</v>
      </c>
      <c r="D1850" t="s">
        <v>1500</v>
      </c>
      <c r="E1850" cm="1">
        <f t="array" ref="E1850">_xlfn.XLOOKUP(D1850,SKU_Master!A:A,SKU_Master!B:B,"Not on master")</f>
        <v>0</v>
      </c>
      <c r="F1850" cm="1">
        <f t="array" ref="F1850">_xlfn.XLOOKUP(C1850,Account_Master!A:A,Account_Master!B:B,"Not on master")</f>
        <v>0</v>
      </c>
      <c r="G1850" cm="1">
        <f t="array" ref="G1850">_xlfn.XLOOKUP(C1850,Account_Master!A:A,Account_Master!C:C,"Not on master")</f>
        <v>0</v>
      </c>
      <c r="H1850" s="6">
        <v>47.25</v>
      </c>
      <c r="I1850" s="6">
        <v>47.25</v>
      </c>
      <c r="J1850" s="6">
        <f>I1850-H1850</f>
        <v>0</v>
      </c>
      <c r="K1850" s="5">
        <f>IF(H1850=0,"",J1850/H1850)</f>
        <v>0</v>
      </c>
      <c r="L1850">
        <f>IF(OR(AND(H1850=0,ABS(J1850)&gt;=0.01),AND(H1850&lt;&gt;0,ABS(K1850)&gt;VarianceThreshold)),"Review","OK")</f>
        <v>0</v>
      </c>
      <c r="M1850" t="s">
        <v>33</v>
      </c>
    </row>
    <row r="1851" spans="1:13">
      <c r="A1851" t="s">
        <v>2</v>
      </c>
      <c r="B1851" t="s">
        <v>846</v>
      </c>
      <c r="C1851" t="s">
        <v>1959</v>
      </c>
      <c r="D1851" t="s">
        <v>133</v>
      </c>
      <c r="E1851" cm="1">
        <f t="array" ref="E1851">_xlfn.XLOOKUP(D1851,SKU_Master!A:A,SKU_Master!B:B,"Not on master")</f>
        <v>0</v>
      </c>
      <c r="F1851" cm="1">
        <f t="array" ref="F1851">_xlfn.XLOOKUP(C1851,Account_Master!A:A,Account_Master!B:B,"Not on master")</f>
        <v>0</v>
      </c>
      <c r="G1851" cm="1">
        <f t="array" ref="G1851">_xlfn.XLOOKUP(C1851,Account_Master!A:A,Account_Master!C:C,"Not on master")</f>
        <v>0</v>
      </c>
      <c r="H1851" s="6">
        <v>4.5</v>
      </c>
      <c r="I1851" s="6">
        <v>4.5</v>
      </c>
      <c r="J1851" s="6">
        <f>I1851-H1851</f>
        <v>0</v>
      </c>
      <c r="K1851" s="5">
        <f>IF(H1851=0,"",J1851/H1851)</f>
        <v>0</v>
      </c>
      <c r="L1851">
        <f>IF(OR(AND(H1851=0,ABS(J1851)&gt;=0.01),AND(H1851&lt;&gt;0,ABS(K1851)&gt;VarianceThreshold)),"Review","OK")</f>
        <v>0</v>
      </c>
      <c r="M1851" t="s">
        <v>33</v>
      </c>
    </row>
    <row r="1852" spans="1:13">
      <c r="A1852" t="s">
        <v>2</v>
      </c>
      <c r="B1852" t="s">
        <v>846</v>
      </c>
      <c r="C1852" t="s">
        <v>1605</v>
      </c>
      <c r="D1852" t="s">
        <v>1312</v>
      </c>
      <c r="E1852" cm="1">
        <f t="array" ref="E1852">_xlfn.XLOOKUP(D1852,SKU_Master!A:A,SKU_Master!B:B,"Not on master")</f>
        <v>0</v>
      </c>
      <c r="F1852" cm="1">
        <f t="array" ref="F1852">_xlfn.XLOOKUP(C1852,Account_Master!A:A,Account_Master!B:B,"Not on master")</f>
        <v>0</v>
      </c>
      <c r="G1852" cm="1">
        <f t="array" ref="G1852">_xlfn.XLOOKUP(C1852,Account_Master!A:A,Account_Master!C:C,"Not on master")</f>
        <v>0</v>
      </c>
      <c r="H1852" s="6">
        <v>15</v>
      </c>
      <c r="I1852" s="6">
        <v>15</v>
      </c>
      <c r="J1852" s="6">
        <f>I1852-H1852</f>
        <v>0</v>
      </c>
      <c r="K1852" s="5">
        <f>IF(H1852=0,"",J1852/H1852)</f>
        <v>0</v>
      </c>
      <c r="L1852">
        <f>IF(OR(AND(H1852=0,ABS(J1852)&gt;=0.01),AND(H1852&lt;&gt;0,ABS(K1852)&gt;VarianceThreshold)),"Review","OK")</f>
        <v>0</v>
      </c>
      <c r="M1852" t="s">
        <v>33</v>
      </c>
    </row>
    <row r="1853" spans="1:13">
      <c r="A1853" t="s">
        <v>2</v>
      </c>
      <c r="B1853" t="s">
        <v>851</v>
      </c>
      <c r="C1853" t="s">
        <v>1661</v>
      </c>
      <c r="D1853" t="s">
        <v>587</v>
      </c>
      <c r="E1853" cm="1">
        <f t="array" ref="E1853">_xlfn.XLOOKUP(D1853,SKU_Master!A:A,SKU_Master!B:B,"Not on master")</f>
        <v>0</v>
      </c>
      <c r="F1853" cm="1">
        <f t="array" ref="F1853">_xlfn.XLOOKUP(C1853,Account_Master!A:A,Account_Master!B:B,"Not on master")</f>
        <v>0</v>
      </c>
      <c r="G1853" cm="1">
        <f t="array" ref="G1853">_xlfn.XLOOKUP(C1853,Account_Master!A:A,Account_Master!C:C,"Not on master")</f>
        <v>0</v>
      </c>
      <c r="H1853" s="6">
        <v>53.23</v>
      </c>
      <c r="I1853" s="6">
        <v>53.23</v>
      </c>
      <c r="J1853" s="6">
        <f>I1853-H1853</f>
        <v>0</v>
      </c>
      <c r="K1853" s="5">
        <f>IF(H1853=0,"",J1853/H1853)</f>
        <v>0</v>
      </c>
      <c r="L1853">
        <f>IF(OR(AND(H1853=0,ABS(J1853)&gt;=0.01),AND(H1853&lt;&gt;0,ABS(K1853)&gt;VarianceThreshold)),"Review","OK")</f>
        <v>0</v>
      </c>
      <c r="M1853" t="s">
        <v>33</v>
      </c>
    </row>
    <row r="1854" spans="1:13">
      <c r="A1854" t="s">
        <v>2</v>
      </c>
      <c r="B1854" t="s">
        <v>851</v>
      </c>
      <c r="C1854" t="s">
        <v>1721</v>
      </c>
      <c r="D1854" t="s">
        <v>1960</v>
      </c>
      <c r="E1854" cm="1">
        <f t="array" ref="E1854">_xlfn.XLOOKUP(D1854,SKU_Master!A:A,SKU_Master!B:B,"Not on master")</f>
        <v>0</v>
      </c>
      <c r="F1854" cm="1">
        <f t="array" ref="F1854">_xlfn.XLOOKUP(C1854,Account_Master!A:A,Account_Master!B:B,"Not on master")</f>
        <v>0</v>
      </c>
      <c r="G1854" cm="1">
        <f t="array" ref="G1854">_xlfn.XLOOKUP(C1854,Account_Master!A:A,Account_Master!C:C,"Not on master")</f>
        <v>0</v>
      </c>
      <c r="H1854" s="6">
        <v>3.5</v>
      </c>
      <c r="I1854" s="6">
        <v>3.5</v>
      </c>
      <c r="J1854" s="6">
        <f>I1854-H1854</f>
        <v>0</v>
      </c>
      <c r="K1854" s="5">
        <f>IF(H1854=0,"",J1854/H1854)</f>
        <v>0</v>
      </c>
      <c r="L1854">
        <f>IF(OR(AND(H1854=0,ABS(J1854)&gt;=0.01),AND(H1854&lt;&gt;0,ABS(K1854)&gt;VarianceThreshold)),"Review","OK")</f>
        <v>0</v>
      </c>
      <c r="M1854" t="s">
        <v>33</v>
      </c>
    </row>
    <row r="1855" spans="1:13">
      <c r="A1855" t="s">
        <v>2</v>
      </c>
      <c r="B1855" t="s">
        <v>851</v>
      </c>
      <c r="C1855" t="s">
        <v>1576</v>
      </c>
      <c r="D1855" t="s">
        <v>1146</v>
      </c>
      <c r="E1855" cm="1">
        <f t="array" ref="E1855">_xlfn.XLOOKUP(D1855,SKU_Master!A:A,SKU_Master!B:B,"Not on master")</f>
        <v>0</v>
      </c>
      <c r="F1855" cm="1">
        <f t="array" ref="F1855">_xlfn.XLOOKUP(C1855,Account_Master!A:A,Account_Master!B:B,"Not on master")</f>
        <v>0</v>
      </c>
      <c r="G1855" cm="1">
        <f t="array" ref="G1855">_xlfn.XLOOKUP(C1855,Account_Master!A:A,Account_Master!C:C,"Not on master")</f>
        <v>0</v>
      </c>
      <c r="H1855" s="6">
        <v>11.25</v>
      </c>
      <c r="I1855" s="6">
        <v>11.25</v>
      </c>
      <c r="J1855" s="6">
        <f>I1855-H1855</f>
        <v>0</v>
      </c>
      <c r="K1855" s="5">
        <f>IF(H1855=0,"",J1855/H1855)</f>
        <v>0</v>
      </c>
      <c r="L1855">
        <f>IF(OR(AND(H1855=0,ABS(J1855)&gt;=0.01),AND(H1855&lt;&gt;0,ABS(K1855)&gt;VarianceThreshold)),"Review","OK")</f>
        <v>0</v>
      </c>
      <c r="M1855" t="s">
        <v>33</v>
      </c>
    </row>
    <row r="1856" spans="1:13">
      <c r="A1856" t="s">
        <v>2</v>
      </c>
      <c r="B1856" t="s">
        <v>851</v>
      </c>
      <c r="C1856" t="s">
        <v>1642</v>
      </c>
      <c r="D1856" t="s">
        <v>1499</v>
      </c>
      <c r="E1856" cm="1">
        <f t="array" ref="E1856">_xlfn.XLOOKUP(D1856,SKU_Master!A:A,SKU_Master!B:B,"Not on master")</f>
        <v>0</v>
      </c>
      <c r="F1856" cm="1">
        <f t="array" ref="F1856">_xlfn.XLOOKUP(C1856,Account_Master!A:A,Account_Master!B:B,"Not on master")</f>
        <v>0</v>
      </c>
      <c r="G1856" cm="1">
        <f t="array" ref="G1856">_xlfn.XLOOKUP(C1856,Account_Master!A:A,Account_Master!C:C,"Not on master")</f>
        <v>0</v>
      </c>
      <c r="H1856" s="6">
        <v>24</v>
      </c>
      <c r="I1856" s="6">
        <v>24</v>
      </c>
      <c r="J1856" s="6">
        <f>I1856-H1856</f>
        <v>0</v>
      </c>
      <c r="K1856" s="5">
        <f>IF(H1856=0,"",J1856/H1856)</f>
        <v>0</v>
      </c>
      <c r="L1856">
        <f>IF(OR(AND(H1856=0,ABS(J1856)&gt;=0.01),AND(H1856&lt;&gt;0,ABS(K1856)&gt;VarianceThreshold)),"Review","OK")</f>
        <v>0</v>
      </c>
      <c r="M1856" t="s">
        <v>33</v>
      </c>
    </row>
    <row r="1857" spans="1:13">
      <c r="A1857" t="s">
        <v>2</v>
      </c>
      <c r="B1857" t="s">
        <v>851</v>
      </c>
      <c r="C1857" t="s">
        <v>1724</v>
      </c>
      <c r="D1857" t="s">
        <v>1485</v>
      </c>
      <c r="E1857" cm="1">
        <f t="array" ref="E1857">_xlfn.XLOOKUP(D1857,SKU_Master!A:A,SKU_Master!B:B,"Not on master")</f>
        <v>0</v>
      </c>
      <c r="F1857" cm="1">
        <f t="array" ref="F1857">_xlfn.XLOOKUP(C1857,Account_Master!A:A,Account_Master!B:B,"Not on master")</f>
        <v>0</v>
      </c>
      <c r="G1857" cm="1">
        <f t="array" ref="G1857">_xlfn.XLOOKUP(C1857,Account_Master!A:A,Account_Master!C:C,"Not on master")</f>
        <v>0</v>
      </c>
      <c r="H1857" s="6">
        <v>11.25</v>
      </c>
      <c r="I1857" s="6">
        <v>2.25</v>
      </c>
      <c r="J1857" s="6">
        <f>I1857-H1857</f>
        <v>0</v>
      </c>
      <c r="K1857" s="5">
        <f>IF(H1857=0,"",J1857/H1857)</f>
        <v>0</v>
      </c>
      <c r="L1857">
        <f>IF(OR(AND(H1857=0,ABS(J1857)&gt;=0.01),AND(H1857&lt;&gt;0,ABS(K1857)&gt;VarianceThreshold)),"Review","OK")</f>
        <v>0</v>
      </c>
      <c r="M1857" t="s">
        <v>1611</v>
      </c>
    </row>
    <row r="1858" spans="1:13">
      <c r="A1858" t="s">
        <v>2</v>
      </c>
      <c r="B1858" t="s">
        <v>858</v>
      </c>
      <c r="C1858" t="s">
        <v>1664</v>
      </c>
      <c r="D1858" t="s">
        <v>1314</v>
      </c>
      <c r="E1858" cm="1">
        <f t="array" ref="E1858">_xlfn.XLOOKUP(D1858,SKU_Master!A:A,SKU_Master!B:B,"Not on master")</f>
        <v>0</v>
      </c>
      <c r="F1858" cm="1">
        <f t="array" ref="F1858">_xlfn.XLOOKUP(C1858,Account_Master!A:A,Account_Master!B:B,"Not on master")</f>
        <v>0</v>
      </c>
      <c r="G1858" cm="1">
        <f t="array" ref="G1858">_xlfn.XLOOKUP(C1858,Account_Master!A:A,Account_Master!C:C,"Not on master")</f>
        <v>0</v>
      </c>
      <c r="H1858" s="6">
        <v>13.5</v>
      </c>
      <c r="I1858" s="6">
        <v>13.5</v>
      </c>
      <c r="J1858" s="6">
        <f>I1858-H1858</f>
        <v>0</v>
      </c>
      <c r="K1858" s="5">
        <f>IF(H1858=0,"",J1858/H1858)</f>
        <v>0</v>
      </c>
      <c r="L1858">
        <f>IF(OR(AND(H1858=0,ABS(J1858)&gt;=0.01),AND(H1858&lt;&gt;0,ABS(K1858)&gt;VarianceThreshold)),"Review","OK")</f>
        <v>0</v>
      </c>
      <c r="M1858" t="s">
        <v>33</v>
      </c>
    </row>
    <row r="1859" spans="1:13">
      <c r="A1859" t="s">
        <v>2</v>
      </c>
      <c r="B1859" t="s">
        <v>858</v>
      </c>
      <c r="C1859" t="s">
        <v>1961</v>
      </c>
      <c r="D1859" t="s">
        <v>862</v>
      </c>
      <c r="E1859" cm="1">
        <f t="array" ref="E1859">_xlfn.XLOOKUP(D1859,SKU_Master!A:A,SKU_Master!B:B,"Not on master")</f>
        <v>0</v>
      </c>
      <c r="F1859" cm="1">
        <f t="array" ref="F1859">_xlfn.XLOOKUP(C1859,Account_Master!A:A,Account_Master!B:B,"Not on master")</f>
        <v>0</v>
      </c>
      <c r="G1859" cm="1">
        <f t="array" ref="G1859">_xlfn.XLOOKUP(C1859,Account_Master!A:A,Account_Master!C:C,"Not on master")</f>
        <v>0</v>
      </c>
      <c r="H1859" s="6">
        <v>10.5</v>
      </c>
      <c r="I1859" s="6">
        <v>10.5</v>
      </c>
      <c r="J1859" s="6">
        <f>I1859-H1859</f>
        <v>0</v>
      </c>
      <c r="K1859" s="5">
        <f>IF(H1859=0,"",J1859/H1859)</f>
        <v>0</v>
      </c>
      <c r="L1859">
        <f>IF(OR(AND(H1859=0,ABS(J1859)&gt;=0.01),AND(H1859&lt;&gt;0,ABS(K1859)&gt;VarianceThreshold)),"Review","OK")</f>
        <v>0</v>
      </c>
      <c r="M1859" t="s">
        <v>33</v>
      </c>
    </row>
    <row r="1860" spans="1:13">
      <c r="A1860" t="s">
        <v>2</v>
      </c>
      <c r="B1860" t="s">
        <v>858</v>
      </c>
      <c r="C1860" t="s">
        <v>1924</v>
      </c>
      <c r="D1860" t="s">
        <v>1962</v>
      </c>
      <c r="E1860" cm="1">
        <f t="array" ref="E1860">_xlfn.XLOOKUP(D1860,SKU_Master!A:A,SKU_Master!B:B,"Not on master")</f>
        <v>0</v>
      </c>
      <c r="F1860" cm="1">
        <f t="array" ref="F1860">_xlfn.XLOOKUP(C1860,Account_Master!A:A,Account_Master!B:B,"Not on master")</f>
        <v>0</v>
      </c>
      <c r="G1860" cm="1">
        <f t="array" ref="G1860">_xlfn.XLOOKUP(C1860,Account_Master!A:A,Account_Master!C:C,"Not on master")</f>
        <v>0</v>
      </c>
      <c r="H1860" s="6">
        <v>0.05</v>
      </c>
      <c r="I1860" s="6">
        <v>0.05</v>
      </c>
      <c r="J1860" s="6">
        <f>I1860-H1860</f>
        <v>0</v>
      </c>
      <c r="K1860" s="5">
        <f>IF(H1860=0,"",J1860/H1860)</f>
        <v>0</v>
      </c>
      <c r="L1860">
        <f>IF(OR(AND(H1860=0,ABS(J1860)&gt;=0.01),AND(H1860&lt;&gt;0,ABS(K1860)&gt;VarianceThreshold)),"Review","OK")</f>
        <v>0</v>
      </c>
      <c r="M1860" t="s">
        <v>33</v>
      </c>
    </row>
    <row r="1861" spans="1:13">
      <c r="A1861" t="s">
        <v>2</v>
      </c>
      <c r="B1861" t="s">
        <v>858</v>
      </c>
      <c r="C1861" t="s">
        <v>1612</v>
      </c>
      <c r="D1861" t="s">
        <v>1502</v>
      </c>
      <c r="E1861" cm="1">
        <f t="array" ref="E1861">_xlfn.XLOOKUP(D1861,SKU_Master!A:A,SKU_Master!B:B,"Not on master")</f>
        <v>0</v>
      </c>
      <c r="F1861" cm="1">
        <f t="array" ref="F1861">_xlfn.XLOOKUP(C1861,Account_Master!A:A,Account_Master!B:B,"Not on master")</f>
        <v>0</v>
      </c>
      <c r="G1861" cm="1">
        <f t="array" ref="G1861">_xlfn.XLOOKUP(C1861,Account_Master!A:A,Account_Master!C:C,"Not on master")</f>
        <v>0</v>
      </c>
      <c r="H1861" s="6">
        <v>0.75</v>
      </c>
      <c r="I1861" s="6">
        <v>0.75</v>
      </c>
      <c r="J1861" s="6">
        <f>I1861-H1861</f>
        <v>0</v>
      </c>
      <c r="K1861" s="5">
        <f>IF(H1861=0,"",J1861/H1861)</f>
        <v>0</v>
      </c>
      <c r="L1861">
        <f>IF(OR(AND(H1861=0,ABS(J1861)&gt;=0.01),AND(H1861&lt;&gt;0,ABS(K1861)&gt;VarianceThreshold)),"Review","OK")</f>
        <v>0</v>
      </c>
      <c r="M1861" t="s">
        <v>33</v>
      </c>
    </row>
    <row r="1862" spans="1:13">
      <c r="A1862" t="s">
        <v>2</v>
      </c>
      <c r="B1862" t="s">
        <v>858</v>
      </c>
      <c r="C1862" t="s">
        <v>1621</v>
      </c>
      <c r="D1862" t="s">
        <v>1464</v>
      </c>
      <c r="E1862" cm="1">
        <f t="array" ref="E1862">_xlfn.XLOOKUP(D1862,SKU_Master!A:A,SKU_Master!B:B,"Not on master")</f>
        <v>0</v>
      </c>
      <c r="F1862" cm="1">
        <f t="array" ref="F1862">_xlfn.XLOOKUP(C1862,Account_Master!A:A,Account_Master!B:B,"Not on master")</f>
        <v>0</v>
      </c>
      <c r="G1862" cm="1">
        <f t="array" ref="G1862">_xlfn.XLOOKUP(C1862,Account_Master!A:A,Account_Master!C:C,"Not on master")</f>
        <v>0</v>
      </c>
      <c r="H1862" s="6">
        <v>12</v>
      </c>
      <c r="I1862" s="6">
        <v>12</v>
      </c>
      <c r="J1862" s="6">
        <f>I1862-H1862</f>
        <v>0</v>
      </c>
      <c r="K1862" s="5">
        <f>IF(H1862=0,"",J1862/H1862)</f>
        <v>0</v>
      </c>
      <c r="L1862">
        <f>IF(OR(AND(H1862=0,ABS(J1862)&gt;=0.01),AND(H1862&lt;&gt;0,ABS(K1862)&gt;VarianceThreshold)),"Review","OK")</f>
        <v>0</v>
      </c>
      <c r="M1862" t="s">
        <v>33</v>
      </c>
    </row>
    <row r="1863" spans="1:13">
      <c r="A1863" t="s">
        <v>2</v>
      </c>
      <c r="B1863" t="s">
        <v>858</v>
      </c>
      <c r="C1863" t="s">
        <v>1869</v>
      </c>
      <c r="D1863" t="s">
        <v>222</v>
      </c>
      <c r="E1863" cm="1">
        <f t="array" ref="E1863">_xlfn.XLOOKUP(D1863,SKU_Master!A:A,SKU_Master!B:B,"Not on master")</f>
        <v>0</v>
      </c>
      <c r="F1863" cm="1">
        <f t="array" ref="F1863">_xlfn.XLOOKUP(C1863,Account_Master!A:A,Account_Master!B:B,"Not on master")</f>
        <v>0</v>
      </c>
      <c r="G1863" cm="1">
        <f t="array" ref="G1863">_xlfn.XLOOKUP(C1863,Account_Master!A:A,Account_Master!C:C,"Not on master")</f>
        <v>0</v>
      </c>
      <c r="H1863" s="6">
        <v>15</v>
      </c>
      <c r="I1863" s="6">
        <v>15</v>
      </c>
      <c r="J1863" s="6">
        <f>I1863-H1863</f>
        <v>0</v>
      </c>
      <c r="K1863" s="5">
        <f>IF(H1863=0,"",J1863/H1863)</f>
        <v>0</v>
      </c>
      <c r="L1863">
        <f>IF(OR(AND(H1863=0,ABS(J1863)&gt;=0.01),AND(H1863&lt;&gt;0,ABS(K1863)&gt;VarianceThreshold)),"Review","OK")</f>
        <v>0</v>
      </c>
      <c r="M1863" t="s">
        <v>33</v>
      </c>
    </row>
    <row r="1864" spans="1:13">
      <c r="A1864" t="s">
        <v>2</v>
      </c>
      <c r="B1864" t="s">
        <v>868</v>
      </c>
      <c r="C1864" t="s">
        <v>1595</v>
      </c>
      <c r="D1864" t="s">
        <v>662</v>
      </c>
      <c r="E1864" cm="1">
        <f t="array" ref="E1864">_xlfn.XLOOKUP(D1864,SKU_Master!A:A,SKU_Master!B:B,"Not on master")</f>
        <v>0</v>
      </c>
      <c r="F1864" cm="1">
        <f t="array" ref="F1864">_xlfn.XLOOKUP(C1864,Account_Master!A:A,Account_Master!B:B,"Not on master")</f>
        <v>0</v>
      </c>
      <c r="G1864" cm="1">
        <f t="array" ref="G1864">_xlfn.XLOOKUP(C1864,Account_Master!A:A,Account_Master!C:C,"Not on master")</f>
        <v>0</v>
      </c>
      <c r="H1864" s="6">
        <v>2.25</v>
      </c>
      <c r="I1864" s="6">
        <v>2.25</v>
      </c>
      <c r="J1864" s="6">
        <f>I1864-H1864</f>
        <v>0</v>
      </c>
      <c r="K1864" s="5">
        <f>IF(H1864=0,"",J1864/H1864)</f>
        <v>0</v>
      </c>
      <c r="L1864">
        <f>IF(OR(AND(H1864=0,ABS(J1864)&gt;=0.01),AND(H1864&lt;&gt;0,ABS(K1864)&gt;VarianceThreshold)),"Review","OK")</f>
        <v>0</v>
      </c>
      <c r="M1864" t="s">
        <v>33</v>
      </c>
    </row>
    <row r="1865" spans="1:13">
      <c r="A1865" t="s">
        <v>2</v>
      </c>
      <c r="B1865" t="s">
        <v>868</v>
      </c>
      <c r="C1865" t="s">
        <v>1639</v>
      </c>
      <c r="D1865" t="s">
        <v>853</v>
      </c>
      <c r="E1865" cm="1">
        <f t="array" ref="E1865">_xlfn.XLOOKUP(D1865,SKU_Master!A:A,SKU_Master!B:B,"Not on master")</f>
        <v>0</v>
      </c>
      <c r="F1865" cm="1">
        <f t="array" ref="F1865">_xlfn.XLOOKUP(C1865,Account_Master!A:A,Account_Master!B:B,"Not on master")</f>
        <v>0</v>
      </c>
      <c r="G1865" cm="1">
        <f t="array" ref="G1865">_xlfn.XLOOKUP(C1865,Account_Master!A:A,Account_Master!C:C,"Not on master")</f>
        <v>0</v>
      </c>
      <c r="H1865" s="6">
        <v>105</v>
      </c>
      <c r="I1865" s="6">
        <v>105</v>
      </c>
      <c r="J1865" s="6">
        <f>I1865-H1865</f>
        <v>0</v>
      </c>
      <c r="K1865" s="5">
        <f>IF(H1865=0,"",J1865/H1865)</f>
        <v>0</v>
      </c>
      <c r="L1865">
        <f>IF(OR(AND(H1865=0,ABS(J1865)&gt;=0.01),AND(H1865&lt;&gt;0,ABS(K1865)&gt;VarianceThreshold)),"Review","OK")</f>
        <v>0</v>
      </c>
      <c r="M1865" t="s">
        <v>33</v>
      </c>
    </row>
    <row r="1866" spans="1:13">
      <c r="A1866" t="s">
        <v>2</v>
      </c>
      <c r="B1866" t="s">
        <v>868</v>
      </c>
      <c r="C1866" t="s">
        <v>1884</v>
      </c>
      <c r="D1866" t="s">
        <v>1963</v>
      </c>
      <c r="E1866" cm="1">
        <f t="array" ref="E1866">_xlfn.XLOOKUP(D1866,SKU_Master!A:A,SKU_Master!B:B,"Not on master")</f>
        <v>0</v>
      </c>
      <c r="F1866" cm="1">
        <f t="array" ref="F1866">_xlfn.XLOOKUP(C1866,Account_Master!A:A,Account_Master!B:B,"Not on master")</f>
        <v>0</v>
      </c>
      <c r="G1866" cm="1">
        <f t="array" ref="G1866">_xlfn.XLOOKUP(C1866,Account_Master!A:A,Account_Master!C:C,"Not on master")</f>
        <v>0</v>
      </c>
      <c r="H1866" s="6">
        <v>250.87</v>
      </c>
      <c r="I1866" s="6">
        <v>250.87</v>
      </c>
      <c r="J1866" s="6">
        <f>I1866-H1866</f>
        <v>0</v>
      </c>
      <c r="K1866" s="5">
        <f>IF(H1866=0,"",J1866/H1866)</f>
        <v>0</v>
      </c>
      <c r="L1866">
        <f>IF(OR(AND(H1866=0,ABS(J1866)&gt;=0.01),AND(H1866&lt;&gt;0,ABS(K1866)&gt;VarianceThreshold)),"Review","OK")</f>
        <v>0</v>
      </c>
      <c r="M1866" t="s">
        <v>33</v>
      </c>
    </row>
    <row r="1867" spans="1:13">
      <c r="A1867" t="s">
        <v>2</v>
      </c>
      <c r="B1867" t="s">
        <v>868</v>
      </c>
      <c r="C1867" t="s">
        <v>1757</v>
      </c>
      <c r="D1867" t="s">
        <v>1964</v>
      </c>
      <c r="E1867" cm="1">
        <f t="array" ref="E1867">_xlfn.XLOOKUP(D1867,SKU_Master!A:A,SKU_Master!B:B,"Not on master")</f>
        <v>0</v>
      </c>
      <c r="F1867" cm="1">
        <f t="array" ref="F1867">_xlfn.XLOOKUP(C1867,Account_Master!A:A,Account_Master!B:B,"Not on master")</f>
        <v>0</v>
      </c>
      <c r="G1867" cm="1">
        <f t="array" ref="G1867">_xlfn.XLOOKUP(C1867,Account_Master!A:A,Account_Master!C:C,"Not on master")</f>
        <v>0</v>
      </c>
      <c r="H1867" s="6">
        <v>9.6</v>
      </c>
      <c r="I1867" s="6">
        <v>9.6</v>
      </c>
      <c r="J1867" s="6">
        <f>I1867-H1867</f>
        <v>0</v>
      </c>
      <c r="K1867" s="5">
        <f>IF(H1867=0,"",J1867/H1867)</f>
        <v>0</v>
      </c>
      <c r="L1867">
        <f>IF(OR(AND(H1867=0,ABS(J1867)&gt;=0.01),AND(H1867&lt;&gt;0,ABS(K1867)&gt;VarianceThreshold)),"Review","OK")</f>
        <v>0</v>
      </c>
      <c r="M1867" t="s">
        <v>33</v>
      </c>
    </row>
    <row r="1868" spans="1:13">
      <c r="A1868" t="s">
        <v>2</v>
      </c>
      <c r="B1868" t="s">
        <v>876</v>
      </c>
      <c r="C1868" t="s">
        <v>1780</v>
      </c>
      <c r="D1868" t="s">
        <v>1965</v>
      </c>
      <c r="E1868" cm="1">
        <f t="array" ref="E1868">_xlfn.XLOOKUP(D1868,SKU_Master!A:A,SKU_Master!B:B,"Not on master")</f>
        <v>0</v>
      </c>
      <c r="F1868" cm="1">
        <f t="array" ref="F1868">_xlfn.XLOOKUP(C1868,Account_Master!A:A,Account_Master!B:B,"Not on master")</f>
        <v>0</v>
      </c>
      <c r="G1868" cm="1">
        <f t="array" ref="G1868">_xlfn.XLOOKUP(C1868,Account_Master!A:A,Account_Master!C:C,"Not on master")</f>
        <v>0</v>
      </c>
      <c r="H1868" s="6">
        <v>10.5</v>
      </c>
      <c r="I1868" s="6">
        <v>10.5</v>
      </c>
      <c r="J1868" s="6">
        <f>I1868-H1868</f>
        <v>0</v>
      </c>
      <c r="K1868" s="5">
        <f>IF(H1868=0,"",J1868/H1868)</f>
        <v>0</v>
      </c>
      <c r="L1868">
        <f>IF(OR(AND(H1868=0,ABS(J1868)&gt;=0.01),AND(H1868&lt;&gt;0,ABS(K1868)&gt;VarianceThreshold)),"Review","OK")</f>
        <v>0</v>
      </c>
      <c r="M1868" t="s">
        <v>33</v>
      </c>
    </row>
    <row r="1869" spans="1:13">
      <c r="A1869" t="s">
        <v>2</v>
      </c>
      <c r="B1869" t="s">
        <v>876</v>
      </c>
      <c r="C1869" t="s">
        <v>1574</v>
      </c>
      <c r="D1869" t="s">
        <v>1081</v>
      </c>
      <c r="E1869" cm="1">
        <f t="array" ref="E1869">_xlfn.XLOOKUP(D1869,SKU_Master!A:A,SKU_Master!B:B,"Not on master")</f>
        <v>0</v>
      </c>
      <c r="F1869" cm="1">
        <f t="array" ref="F1869">_xlfn.XLOOKUP(C1869,Account_Master!A:A,Account_Master!B:B,"Not on master")</f>
        <v>0</v>
      </c>
      <c r="G1869" cm="1">
        <f t="array" ref="G1869">_xlfn.XLOOKUP(C1869,Account_Master!A:A,Account_Master!C:C,"Not on master")</f>
        <v>0</v>
      </c>
      <c r="H1869" s="6">
        <v>14.25</v>
      </c>
      <c r="I1869" s="6">
        <v>14.25</v>
      </c>
      <c r="J1869" s="6">
        <f>I1869-H1869</f>
        <v>0</v>
      </c>
      <c r="K1869" s="5">
        <f>IF(H1869=0,"",J1869/H1869)</f>
        <v>0</v>
      </c>
      <c r="L1869">
        <f>IF(OR(AND(H1869=0,ABS(J1869)&gt;=0.01),AND(H1869&lt;&gt;0,ABS(K1869)&gt;VarianceThreshold)),"Review","OK")</f>
        <v>0</v>
      </c>
      <c r="M1869" t="s">
        <v>33</v>
      </c>
    </row>
    <row r="1870" spans="1:13">
      <c r="A1870" t="s">
        <v>2</v>
      </c>
      <c r="B1870" t="s">
        <v>876</v>
      </c>
      <c r="C1870" t="s">
        <v>1576</v>
      </c>
      <c r="D1870" t="s">
        <v>795</v>
      </c>
      <c r="E1870" cm="1">
        <f t="array" ref="E1870">_xlfn.XLOOKUP(D1870,SKU_Master!A:A,SKU_Master!B:B,"Not on master")</f>
        <v>0</v>
      </c>
      <c r="F1870" cm="1">
        <f t="array" ref="F1870">_xlfn.XLOOKUP(C1870,Account_Master!A:A,Account_Master!B:B,"Not on master")</f>
        <v>0</v>
      </c>
      <c r="G1870" cm="1">
        <f t="array" ref="G1870">_xlfn.XLOOKUP(C1870,Account_Master!A:A,Account_Master!C:C,"Not on master")</f>
        <v>0</v>
      </c>
      <c r="H1870" s="6">
        <v>15</v>
      </c>
      <c r="I1870" s="6">
        <v>15</v>
      </c>
      <c r="J1870" s="6">
        <f>I1870-H1870</f>
        <v>0</v>
      </c>
      <c r="K1870" s="5">
        <f>IF(H1870=0,"",J1870/H1870)</f>
        <v>0</v>
      </c>
      <c r="L1870">
        <f>IF(OR(AND(H1870=0,ABS(J1870)&gt;=0.01),AND(H1870&lt;&gt;0,ABS(K1870)&gt;VarianceThreshold)),"Review","OK")</f>
        <v>0</v>
      </c>
      <c r="M1870" t="s">
        <v>33</v>
      </c>
    </row>
    <row r="1871" spans="1:13">
      <c r="A1871" t="s">
        <v>2</v>
      </c>
      <c r="B1871" t="s">
        <v>880</v>
      </c>
      <c r="C1871" t="s">
        <v>1884</v>
      </c>
      <c r="D1871" t="s">
        <v>1966</v>
      </c>
      <c r="E1871" cm="1">
        <f t="array" ref="E1871">_xlfn.XLOOKUP(D1871,SKU_Master!A:A,SKU_Master!B:B,"Not on master")</f>
        <v>0</v>
      </c>
      <c r="F1871" cm="1">
        <f t="array" ref="F1871">_xlfn.XLOOKUP(C1871,Account_Master!A:A,Account_Master!B:B,"Not on master")</f>
        <v>0</v>
      </c>
      <c r="G1871" cm="1">
        <f t="array" ref="G1871">_xlfn.XLOOKUP(C1871,Account_Master!A:A,Account_Master!C:C,"Not on master")</f>
        <v>0</v>
      </c>
      <c r="H1871" s="6">
        <v>20.8</v>
      </c>
      <c r="I1871" s="6">
        <v>20.8</v>
      </c>
      <c r="J1871" s="6">
        <f>I1871-H1871</f>
        <v>0</v>
      </c>
      <c r="K1871" s="5">
        <f>IF(H1871=0,"",J1871/H1871)</f>
        <v>0</v>
      </c>
      <c r="L1871">
        <f>IF(OR(AND(H1871=0,ABS(J1871)&gt;=0.01),AND(H1871&lt;&gt;0,ABS(K1871)&gt;VarianceThreshold)),"Review","OK")</f>
        <v>0</v>
      </c>
      <c r="M1871" t="s">
        <v>33</v>
      </c>
    </row>
    <row r="1872" spans="1:13">
      <c r="A1872" t="s">
        <v>2</v>
      </c>
      <c r="B1872" t="s">
        <v>880</v>
      </c>
      <c r="C1872" t="s">
        <v>1602</v>
      </c>
      <c r="D1872" t="s">
        <v>1497</v>
      </c>
      <c r="E1872" cm="1">
        <f t="array" ref="E1872">_xlfn.XLOOKUP(D1872,SKU_Master!A:A,SKU_Master!B:B,"Not on master")</f>
        <v>0</v>
      </c>
      <c r="F1872" cm="1">
        <f t="array" ref="F1872">_xlfn.XLOOKUP(C1872,Account_Master!A:A,Account_Master!B:B,"Not on master")</f>
        <v>0</v>
      </c>
      <c r="G1872" cm="1">
        <f t="array" ref="G1872">_xlfn.XLOOKUP(C1872,Account_Master!A:A,Account_Master!C:C,"Not on master")</f>
        <v>0</v>
      </c>
      <c r="H1872" s="6">
        <v>6</v>
      </c>
      <c r="I1872" s="6">
        <v>6</v>
      </c>
      <c r="J1872" s="6">
        <f>I1872-H1872</f>
        <v>0</v>
      </c>
      <c r="K1872" s="5">
        <f>IF(H1872=0,"",J1872/H1872)</f>
        <v>0</v>
      </c>
      <c r="L1872">
        <f>IF(OR(AND(H1872=0,ABS(J1872)&gt;=0.01),AND(H1872&lt;&gt;0,ABS(K1872)&gt;VarianceThreshold)),"Review","OK")</f>
        <v>0</v>
      </c>
      <c r="M1872" t="s">
        <v>33</v>
      </c>
    </row>
    <row r="1873" spans="1:13">
      <c r="A1873" t="s">
        <v>2</v>
      </c>
      <c r="B1873" t="s">
        <v>880</v>
      </c>
      <c r="C1873" t="s">
        <v>1639</v>
      </c>
      <c r="D1873" t="s">
        <v>420</v>
      </c>
      <c r="E1873" cm="1">
        <f t="array" ref="E1873">_xlfn.XLOOKUP(D1873,SKU_Master!A:A,SKU_Master!B:B,"Not on master")</f>
        <v>0</v>
      </c>
      <c r="F1873" cm="1">
        <f t="array" ref="F1873">_xlfn.XLOOKUP(C1873,Account_Master!A:A,Account_Master!B:B,"Not on master")</f>
        <v>0</v>
      </c>
      <c r="G1873" cm="1">
        <f t="array" ref="G1873">_xlfn.XLOOKUP(C1873,Account_Master!A:A,Account_Master!C:C,"Not on master")</f>
        <v>0</v>
      </c>
      <c r="H1873" s="6">
        <v>10.5</v>
      </c>
      <c r="I1873" s="6">
        <v>10.5</v>
      </c>
      <c r="J1873" s="6">
        <f>I1873-H1873</f>
        <v>0</v>
      </c>
      <c r="K1873" s="5">
        <f>IF(H1873=0,"",J1873/H1873)</f>
        <v>0</v>
      </c>
      <c r="L1873">
        <f>IF(OR(AND(H1873=0,ABS(J1873)&gt;=0.01),AND(H1873&lt;&gt;0,ABS(K1873)&gt;VarianceThreshold)),"Review","OK")</f>
        <v>0</v>
      </c>
      <c r="M1873" t="s">
        <v>33</v>
      </c>
    </row>
    <row r="1874" spans="1:13">
      <c r="A1874" t="s">
        <v>2</v>
      </c>
      <c r="B1874" t="s">
        <v>880</v>
      </c>
      <c r="C1874" t="s">
        <v>1612</v>
      </c>
      <c r="D1874" t="s">
        <v>736</v>
      </c>
      <c r="E1874" cm="1">
        <f t="array" ref="E1874">_xlfn.XLOOKUP(D1874,SKU_Master!A:A,SKU_Master!B:B,"Not on master")</f>
        <v>0</v>
      </c>
      <c r="F1874" cm="1">
        <f t="array" ref="F1874">_xlfn.XLOOKUP(C1874,Account_Master!A:A,Account_Master!B:B,"Not on master")</f>
        <v>0</v>
      </c>
      <c r="G1874" cm="1">
        <f t="array" ref="G1874">_xlfn.XLOOKUP(C1874,Account_Master!A:A,Account_Master!C:C,"Not on master")</f>
        <v>0</v>
      </c>
      <c r="H1874" s="6">
        <v>84</v>
      </c>
      <c r="I1874" s="6">
        <v>84</v>
      </c>
      <c r="J1874" s="6">
        <f>I1874-H1874</f>
        <v>0</v>
      </c>
      <c r="K1874" s="5">
        <f>IF(H1874=0,"",J1874/H1874)</f>
        <v>0</v>
      </c>
      <c r="L1874">
        <f>IF(OR(AND(H1874=0,ABS(J1874)&gt;=0.01),AND(H1874&lt;&gt;0,ABS(K1874)&gt;VarianceThreshold)),"Review","OK")</f>
        <v>0</v>
      </c>
      <c r="M1874" t="s">
        <v>33</v>
      </c>
    </row>
    <row r="1875" spans="1:13">
      <c r="A1875" t="s">
        <v>2</v>
      </c>
      <c r="B1875" t="s">
        <v>880</v>
      </c>
      <c r="C1875" t="s">
        <v>1967</v>
      </c>
      <c r="D1875" t="s">
        <v>1968</v>
      </c>
      <c r="E1875" cm="1">
        <f t="array" ref="E1875">_xlfn.XLOOKUP(D1875,SKU_Master!A:A,SKU_Master!B:B,"Not on master")</f>
        <v>0</v>
      </c>
      <c r="F1875" cm="1">
        <f t="array" ref="F1875">_xlfn.XLOOKUP(C1875,Account_Master!A:A,Account_Master!B:B,"Not on master")</f>
        <v>0</v>
      </c>
      <c r="G1875" cm="1">
        <f t="array" ref="G1875">_xlfn.XLOOKUP(C1875,Account_Master!A:A,Account_Master!C:C,"Not on master")</f>
        <v>0</v>
      </c>
      <c r="H1875" s="6">
        <v>6</v>
      </c>
      <c r="I1875" s="6">
        <v>6</v>
      </c>
      <c r="J1875" s="6">
        <f>I1875-H1875</f>
        <v>0</v>
      </c>
      <c r="K1875" s="5">
        <f>IF(H1875=0,"",J1875/H1875)</f>
        <v>0</v>
      </c>
      <c r="L1875">
        <f>IF(OR(AND(H1875=0,ABS(J1875)&gt;=0.01),AND(H1875&lt;&gt;0,ABS(K1875)&gt;VarianceThreshold)),"Review","OK")</f>
        <v>0</v>
      </c>
      <c r="M1875" t="s">
        <v>33</v>
      </c>
    </row>
    <row r="1876" spans="1:13">
      <c r="A1876" t="s">
        <v>2</v>
      </c>
      <c r="B1876" t="s">
        <v>880</v>
      </c>
      <c r="C1876" t="s">
        <v>1969</v>
      </c>
      <c r="D1876" t="s">
        <v>1229</v>
      </c>
      <c r="E1876" cm="1">
        <f t="array" ref="E1876">_xlfn.XLOOKUP(D1876,SKU_Master!A:A,SKU_Master!B:B,"Not on master")</f>
        <v>0</v>
      </c>
      <c r="F1876" cm="1">
        <f t="array" ref="F1876">_xlfn.XLOOKUP(C1876,Account_Master!A:A,Account_Master!B:B,"Not on master")</f>
        <v>0</v>
      </c>
      <c r="G1876" cm="1">
        <f t="array" ref="G1876">_xlfn.XLOOKUP(C1876,Account_Master!A:A,Account_Master!C:C,"Not on master")</f>
        <v>0</v>
      </c>
      <c r="H1876" s="6">
        <v>8.1</v>
      </c>
      <c r="I1876" s="6">
        <v>8.1</v>
      </c>
      <c r="J1876" s="6">
        <f>I1876-H1876</f>
        <v>0</v>
      </c>
      <c r="K1876" s="5">
        <f>IF(H1876=0,"",J1876/H1876)</f>
        <v>0</v>
      </c>
      <c r="L1876">
        <f>IF(OR(AND(H1876=0,ABS(J1876)&gt;=0.01),AND(H1876&lt;&gt;0,ABS(K1876)&gt;VarianceThreshold)),"Review","OK")</f>
        <v>0</v>
      </c>
      <c r="M1876" t="s">
        <v>33</v>
      </c>
    </row>
    <row r="1877" spans="1:13">
      <c r="A1877" t="s">
        <v>2</v>
      </c>
      <c r="B1877" t="s">
        <v>880</v>
      </c>
      <c r="C1877" t="s">
        <v>1574</v>
      </c>
      <c r="D1877" t="s">
        <v>1110</v>
      </c>
      <c r="E1877" cm="1">
        <f t="array" ref="E1877">_xlfn.XLOOKUP(D1877,SKU_Master!A:A,SKU_Master!B:B,"Not on master")</f>
        <v>0</v>
      </c>
      <c r="F1877" cm="1">
        <f t="array" ref="F1877">_xlfn.XLOOKUP(C1877,Account_Master!A:A,Account_Master!B:B,"Not on master")</f>
        <v>0</v>
      </c>
      <c r="G1877" cm="1">
        <f t="array" ref="G1877">_xlfn.XLOOKUP(C1877,Account_Master!A:A,Account_Master!C:C,"Not on master")</f>
        <v>0</v>
      </c>
      <c r="H1877" s="6">
        <v>180.25</v>
      </c>
      <c r="I1877" s="6">
        <v>169.75</v>
      </c>
      <c r="J1877" s="6">
        <f>I1877-H1877</f>
        <v>0</v>
      </c>
      <c r="K1877" s="5">
        <f>IF(H1877=0,"",J1877/H1877)</f>
        <v>0</v>
      </c>
      <c r="L1877">
        <f>IF(OR(AND(H1877=0,ABS(J1877)&gt;=0.01),AND(H1877&lt;&gt;0,ABS(K1877)&gt;VarianceThreshold)),"Review","OK")</f>
        <v>0</v>
      </c>
      <c r="M1877" t="s">
        <v>1611</v>
      </c>
    </row>
    <row r="1878" spans="1:13">
      <c r="A1878" t="s">
        <v>2</v>
      </c>
      <c r="B1878" t="s">
        <v>891</v>
      </c>
      <c r="C1878" t="s">
        <v>1605</v>
      </c>
      <c r="D1878" t="s">
        <v>89</v>
      </c>
      <c r="E1878" cm="1">
        <f t="array" ref="E1878">_xlfn.XLOOKUP(D1878,SKU_Master!A:A,SKU_Master!B:B,"Not on master")</f>
        <v>0</v>
      </c>
      <c r="F1878" cm="1">
        <f t="array" ref="F1878">_xlfn.XLOOKUP(C1878,Account_Master!A:A,Account_Master!B:B,"Not on master")</f>
        <v>0</v>
      </c>
      <c r="G1878" cm="1">
        <f t="array" ref="G1878">_xlfn.XLOOKUP(C1878,Account_Master!A:A,Account_Master!C:C,"Not on master")</f>
        <v>0</v>
      </c>
      <c r="H1878" s="6">
        <v>18</v>
      </c>
      <c r="I1878" s="6">
        <v>9</v>
      </c>
      <c r="J1878" s="6">
        <f>I1878-H1878</f>
        <v>0</v>
      </c>
      <c r="K1878" s="5">
        <f>IF(H1878=0,"",J1878/H1878)</f>
        <v>0</v>
      </c>
      <c r="L1878">
        <f>IF(OR(AND(H1878=0,ABS(J1878)&gt;=0.01),AND(H1878&lt;&gt;0,ABS(K1878)&gt;VarianceThreshold)),"Review","OK")</f>
        <v>0</v>
      </c>
      <c r="M1878" t="s">
        <v>1611</v>
      </c>
    </row>
    <row r="1879" spans="1:13">
      <c r="A1879" t="s">
        <v>2</v>
      </c>
      <c r="B1879" t="s">
        <v>891</v>
      </c>
      <c r="C1879" t="s">
        <v>1632</v>
      </c>
      <c r="D1879" t="s">
        <v>1970</v>
      </c>
      <c r="E1879" cm="1">
        <f t="array" ref="E1879">_xlfn.XLOOKUP(D1879,SKU_Master!A:A,SKU_Master!B:B,"Not on master")</f>
        <v>0</v>
      </c>
      <c r="F1879" cm="1">
        <f t="array" ref="F1879">_xlfn.XLOOKUP(C1879,Account_Master!A:A,Account_Master!B:B,"Not on master")</f>
        <v>0</v>
      </c>
      <c r="G1879" cm="1">
        <f t="array" ref="G1879">_xlfn.XLOOKUP(C1879,Account_Master!A:A,Account_Master!C:C,"Not on master")</f>
        <v>0</v>
      </c>
      <c r="H1879" s="6">
        <v>13.87</v>
      </c>
      <c r="I1879" s="6">
        <v>13.87</v>
      </c>
      <c r="J1879" s="6">
        <f>I1879-H1879</f>
        <v>0</v>
      </c>
      <c r="K1879" s="5">
        <f>IF(H1879=0,"",J1879/H1879)</f>
        <v>0</v>
      </c>
      <c r="L1879">
        <f>IF(OR(AND(H1879=0,ABS(J1879)&gt;=0.01),AND(H1879&lt;&gt;0,ABS(K1879)&gt;VarianceThreshold)),"Review","OK")</f>
        <v>0</v>
      </c>
      <c r="M1879" t="s">
        <v>33</v>
      </c>
    </row>
    <row r="1880" spans="1:13">
      <c r="A1880" t="s">
        <v>2</v>
      </c>
      <c r="B1880" t="s">
        <v>891</v>
      </c>
      <c r="C1880" t="s">
        <v>1605</v>
      </c>
      <c r="D1880" t="s">
        <v>1155</v>
      </c>
      <c r="E1880" cm="1">
        <f t="array" ref="E1880">_xlfn.XLOOKUP(D1880,SKU_Master!A:A,SKU_Master!B:B,"Not on master")</f>
        <v>0</v>
      </c>
      <c r="F1880" cm="1">
        <f t="array" ref="F1880">_xlfn.XLOOKUP(C1880,Account_Master!A:A,Account_Master!B:B,"Not on master")</f>
        <v>0</v>
      </c>
      <c r="G1880" cm="1">
        <f t="array" ref="G1880">_xlfn.XLOOKUP(C1880,Account_Master!A:A,Account_Master!C:C,"Not on master")</f>
        <v>0</v>
      </c>
      <c r="H1880" s="6">
        <v>10.5</v>
      </c>
      <c r="I1880" s="6">
        <v>10.5</v>
      </c>
      <c r="J1880" s="6">
        <f>I1880-H1880</f>
        <v>0</v>
      </c>
      <c r="K1880" s="5">
        <f>IF(H1880=0,"",J1880/H1880)</f>
        <v>0</v>
      </c>
      <c r="L1880">
        <f>IF(OR(AND(H1880=0,ABS(J1880)&gt;=0.01),AND(H1880&lt;&gt;0,ABS(K1880)&gt;VarianceThreshold)),"Review","OK")</f>
        <v>0</v>
      </c>
      <c r="M1880" t="s">
        <v>33</v>
      </c>
    </row>
    <row r="1881" spans="1:13">
      <c r="A1881" t="s">
        <v>2</v>
      </c>
      <c r="B1881" t="s">
        <v>891</v>
      </c>
      <c r="C1881" t="s">
        <v>1971</v>
      </c>
      <c r="D1881" t="s">
        <v>1972</v>
      </c>
      <c r="E1881" cm="1">
        <f t="array" ref="E1881">_xlfn.XLOOKUP(D1881,SKU_Master!A:A,SKU_Master!B:B,"Not on master")</f>
        <v>0</v>
      </c>
      <c r="F1881" cm="1">
        <f t="array" ref="F1881">_xlfn.XLOOKUP(C1881,Account_Master!A:A,Account_Master!B:B,"Not on master")</f>
        <v>0</v>
      </c>
      <c r="G1881" cm="1">
        <f t="array" ref="G1881">_xlfn.XLOOKUP(C1881,Account_Master!A:A,Account_Master!C:C,"Not on master")</f>
        <v>0</v>
      </c>
      <c r="H1881" s="6">
        <v>25.5</v>
      </c>
      <c r="I1881" s="6">
        <v>25.5</v>
      </c>
      <c r="J1881" s="6">
        <f>I1881-H1881</f>
        <v>0</v>
      </c>
      <c r="K1881" s="5">
        <f>IF(H1881=0,"",J1881/H1881)</f>
        <v>0</v>
      </c>
      <c r="L1881">
        <f>IF(OR(AND(H1881=0,ABS(J1881)&gt;=0.01),AND(H1881&lt;&gt;0,ABS(K1881)&gt;VarianceThreshold)),"Review","OK")</f>
        <v>0</v>
      </c>
      <c r="M1881" t="s">
        <v>33</v>
      </c>
    </row>
    <row r="1882" spans="1:13">
      <c r="A1882" t="s">
        <v>2</v>
      </c>
      <c r="B1882" t="s">
        <v>903</v>
      </c>
      <c r="C1882" t="s">
        <v>1602</v>
      </c>
      <c r="D1882" t="s">
        <v>1973</v>
      </c>
      <c r="E1882" cm="1">
        <f t="array" ref="E1882">_xlfn.XLOOKUP(D1882,SKU_Master!A:A,SKU_Master!B:B,"Not on master")</f>
        <v>0</v>
      </c>
      <c r="F1882" cm="1">
        <f t="array" ref="F1882">_xlfn.XLOOKUP(C1882,Account_Master!A:A,Account_Master!B:B,"Not on master")</f>
        <v>0</v>
      </c>
      <c r="G1882" cm="1">
        <f t="array" ref="G1882">_xlfn.XLOOKUP(C1882,Account_Master!A:A,Account_Master!C:C,"Not on master")</f>
        <v>0</v>
      </c>
      <c r="H1882" s="6">
        <v>4.5</v>
      </c>
      <c r="I1882" s="6">
        <v>4.5</v>
      </c>
      <c r="J1882" s="6">
        <f>I1882-H1882</f>
        <v>0</v>
      </c>
      <c r="K1882" s="5">
        <f>IF(H1882=0,"",J1882/H1882)</f>
        <v>0</v>
      </c>
      <c r="L1882">
        <f>IF(OR(AND(H1882=0,ABS(J1882)&gt;=0.01),AND(H1882&lt;&gt;0,ABS(K1882)&gt;VarianceThreshold)),"Review","OK")</f>
        <v>0</v>
      </c>
      <c r="M1882" t="s">
        <v>33</v>
      </c>
    </row>
    <row r="1883" spans="1:13">
      <c r="A1883" t="s">
        <v>2</v>
      </c>
      <c r="B1883" t="s">
        <v>903</v>
      </c>
      <c r="C1883" t="s">
        <v>1605</v>
      </c>
      <c r="D1883" t="s">
        <v>1468</v>
      </c>
      <c r="E1883" cm="1">
        <f t="array" ref="E1883">_xlfn.XLOOKUP(D1883,SKU_Master!A:A,SKU_Master!B:B,"Not on master")</f>
        <v>0</v>
      </c>
      <c r="F1883" cm="1">
        <f t="array" ref="F1883">_xlfn.XLOOKUP(C1883,Account_Master!A:A,Account_Master!B:B,"Not on master")</f>
        <v>0</v>
      </c>
      <c r="G1883" cm="1">
        <f t="array" ref="G1883">_xlfn.XLOOKUP(C1883,Account_Master!A:A,Account_Master!C:C,"Not on master")</f>
        <v>0</v>
      </c>
      <c r="H1883" s="6">
        <v>129.5</v>
      </c>
      <c r="I1883" s="6">
        <v>129.5</v>
      </c>
      <c r="J1883" s="6">
        <f>I1883-H1883</f>
        <v>0</v>
      </c>
      <c r="K1883" s="5">
        <f>IF(H1883=0,"",J1883/H1883)</f>
        <v>0</v>
      </c>
      <c r="L1883">
        <f>IF(OR(AND(H1883=0,ABS(J1883)&gt;=0.01),AND(H1883&lt;&gt;0,ABS(K1883)&gt;VarianceThreshold)),"Review","OK")</f>
        <v>0</v>
      </c>
      <c r="M1883" t="s">
        <v>33</v>
      </c>
    </row>
    <row r="1884" spans="1:13">
      <c r="A1884" t="s">
        <v>2</v>
      </c>
      <c r="B1884" t="s">
        <v>903</v>
      </c>
      <c r="C1884" t="s">
        <v>1746</v>
      </c>
      <c r="D1884" t="s">
        <v>1974</v>
      </c>
      <c r="E1884" cm="1">
        <f t="array" ref="E1884">_xlfn.XLOOKUP(D1884,SKU_Master!A:A,SKU_Master!B:B,"Not on master")</f>
        <v>0</v>
      </c>
      <c r="F1884" cm="1">
        <f t="array" ref="F1884">_xlfn.XLOOKUP(C1884,Account_Master!A:A,Account_Master!B:B,"Not on master")</f>
        <v>0</v>
      </c>
      <c r="G1884" cm="1">
        <f t="array" ref="G1884">_xlfn.XLOOKUP(C1884,Account_Master!A:A,Account_Master!C:C,"Not on master")</f>
        <v>0</v>
      </c>
      <c r="H1884" s="6">
        <v>31.49</v>
      </c>
      <c r="I1884" s="6">
        <v>22.49</v>
      </c>
      <c r="J1884" s="6">
        <f>I1884-H1884</f>
        <v>0</v>
      </c>
      <c r="K1884" s="5">
        <f>IF(H1884=0,"",J1884/H1884)</f>
        <v>0</v>
      </c>
      <c r="L1884">
        <f>IF(OR(AND(H1884=0,ABS(J1884)&gt;=0.01),AND(H1884&lt;&gt;0,ABS(K1884)&gt;VarianceThreshold)),"Review","OK")</f>
        <v>0</v>
      </c>
      <c r="M1884" t="s">
        <v>1611</v>
      </c>
    </row>
    <row r="1885" spans="1:13">
      <c r="A1885" t="s">
        <v>2</v>
      </c>
      <c r="B1885" t="s">
        <v>903</v>
      </c>
      <c r="C1885" t="s">
        <v>1664</v>
      </c>
      <c r="D1885" t="s">
        <v>472</v>
      </c>
      <c r="E1885" cm="1">
        <f t="array" ref="E1885">_xlfn.XLOOKUP(D1885,SKU_Master!A:A,SKU_Master!B:B,"Not on master")</f>
        <v>0</v>
      </c>
      <c r="F1885" cm="1">
        <f t="array" ref="F1885">_xlfn.XLOOKUP(C1885,Account_Master!A:A,Account_Master!B:B,"Not on master")</f>
        <v>0</v>
      </c>
      <c r="G1885" cm="1">
        <f t="array" ref="G1885">_xlfn.XLOOKUP(C1885,Account_Master!A:A,Account_Master!C:C,"Not on master")</f>
        <v>0</v>
      </c>
      <c r="H1885" s="6">
        <v>10.5</v>
      </c>
      <c r="I1885" s="6">
        <v>10.5</v>
      </c>
      <c r="J1885" s="6">
        <f>I1885-H1885</f>
        <v>0</v>
      </c>
      <c r="K1885" s="5">
        <f>IF(H1885=0,"",J1885/H1885)</f>
        <v>0</v>
      </c>
      <c r="L1885">
        <f>IF(OR(AND(H1885=0,ABS(J1885)&gt;=0.01),AND(H1885&lt;&gt;0,ABS(K1885)&gt;VarianceThreshold)),"Review","OK")</f>
        <v>0</v>
      </c>
      <c r="M1885" t="s">
        <v>33</v>
      </c>
    </row>
    <row r="1886" spans="1:13">
      <c r="A1886" t="s">
        <v>2</v>
      </c>
      <c r="B1886" t="s">
        <v>903</v>
      </c>
      <c r="C1886" t="s">
        <v>1612</v>
      </c>
      <c r="D1886" t="s">
        <v>1079</v>
      </c>
      <c r="E1886" cm="1">
        <f t="array" ref="E1886">_xlfn.XLOOKUP(D1886,SKU_Master!A:A,SKU_Master!B:B,"Not on master")</f>
        <v>0</v>
      </c>
      <c r="F1886" cm="1">
        <f t="array" ref="F1886">_xlfn.XLOOKUP(C1886,Account_Master!A:A,Account_Master!B:B,"Not on master")</f>
        <v>0</v>
      </c>
      <c r="G1886" cm="1">
        <f t="array" ref="G1886">_xlfn.XLOOKUP(C1886,Account_Master!A:A,Account_Master!C:C,"Not on master")</f>
        <v>0</v>
      </c>
      <c r="H1886" s="6">
        <v>4.5</v>
      </c>
      <c r="I1886" s="6">
        <v>4.5</v>
      </c>
      <c r="J1886" s="6">
        <f>I1886-H1886</f>
        <v>0</v>
      </c>
      <c r="K1886" s="5">
        <f>IF(H1886=0,"",J1886/H1886)</f>
        <v>0</v>
      </c>
      <c r="L1886">
        <f>IF(OR(AND(H1886=0,ABS(J1886)&gt;=0.01),AND(H1886&lt;&gt;0,ABS(K1886)&gt;VarianceThreshold)),"Review","OK")</f>
        <v>0</v>
      </c>
      <c r="M1886" t="s">
        <v>33</v>
      </c>
    </row>
    <row r="1887" spans="1:13">
      <c r="A1887" t="s">
        <v>2</v>
      </c>
      <c r="B1887" t="s">
        <v>903</v>
      </c>
      <c r="C1887" t="s">
        <v>1975</v>
      </c>
      <c r="D1887" t="s">
        <v>1976</v>
      </c>
      <c r="E1887" cm="1">
        <f t="array" ref="E1887">_xlfn.XLOOKUP(D1887,SKU_Master!A:A,SKU_Master!B:B,"Not on master")</f>
        <v>0</v>
      </c>
      <c r="F1887" cm="1">
        <f t="array" ref="F1887">_xlfn.XLOOKUP(C1887,Account_Master!A:A,Account_Master!B:B,"Not on master")</f>
        <v>0</v>
      </c>
      <c r="G1887" cm="1">
        <f t="array" ref="G1887">_xlfn.XLOOKUP(C1887,Account_Master!A:A,Account_Master!C:C,"Not on master")</f>
        <v>0</v>
      </c>
      <c r="H1887" s="6">
        <v>4.5</v>
      </c>
      <c r="I1887" s="6">
        <v>4.5</v>
      </c>
      <c r="J1887" s="6">
        <f>I1887-H1887</f>
        <v>0</v>
      </c>
      <c r="K1887" s="5">
        <f>IF(H1887=0,"",J1887/H1887)</f>
        <v>0</v>
      </c>
      <c r="L1887">
        <f>IF(OR(AND(H1887=0,ABS(J1887)&gt;=0.01),AND(H1887&lt;&gt;0,ABS(K1887)&gt;VarianceThreshold)),"Review","OK")</f>
        <v>0</v>
      </c>
      <c r="M1887" t="s">
        <v>33</v>
      </c>
    </row>
    <row r="1888" spans="1:13">
      <c r="A1888" t="s">
        <v>2</v>
      </c>
      <c r="B1888" t="s">
        <v>915</v>
      </c>
      <c r="C1888" t="s">
        <v>1612</v>
      </c>
      <c r="D1888" t="s">
        <v>1977</v>
      </c>
      <c r="E1888" cm="1">
        <f t="array" ref="E1888">_xlfn.XLOOKUP(D1888,SKU_Master!A:A,SKU_Master!B:B,"Not on master")</f>
        <v>0</v>
      </c>
      <c r="F1888" cm="1">
        <f t="array" ref="F1888">_xlfn.XLOOKUP(C1888,Account_Master!A:A,Account_Master!B:B,"Not on master")</f>
        <v>0</v>
      </c>
      <c r="G1888" cm="1">
        <f t="array" ref="G1888">_xlfn.XLOOKUP(C1888,Account_Master!A:A,Account_Master!C:C,"Not on master")</f>
        <v>0</v>
      </c>
      <c r="H1888" s="6">
        <v>1.75</v>
      </c>
      <c r="I1888" s="6">
        <v>1.75</v>
      </c>
      <c r="J1888" s="6">
        <f>I1888-H1888</f>
        <v>0</v>
      </c>
      <c r="K1888" s="5">
        <f>IF(H1888=0,"",J1888/H1888)</f>
        <v>0</v>
      </c>
      <c r="L1888">
        <f>IF(OR(AND(H1888=0,ABS(J1888)&gt;=0.01),AND(H1888&lt;&gt;0,ABS(K1888)&gt;VarianceThreshold)),"Review","OK")</f>
        <v>0</v>
      </c>
      <c r="M1888" t="s">
        <v>33</v>
      </c>
    </row>
    <row r="1889" spans="1:13">
      <c r="A1889" t="s">
        <v>2</v>
      </c>
      <c r="B1889" t="s">
        <v>915</v>
      </c>
      <c r="C1889" t="s">
        <v>1978</v>
      </c>
      <c r="D1889" t="s">
        <v>122</v>
      </c>
      <c r="E1889" cm="1">
        <f t="array" ref="E1889">_xlfn.XLOOKUP(D1889,SKU_Master!A:A,SKU_Master!B:B,"Not on master")</f>
        <v>0</v>
      </c>
      <c r="F1889" cm="1">
        <f t="array" ref="F1889">_xlfn.XLOOKUP(C1889,Account_Master!A:A,Account_Master!B:B,"Not on master")</f>
        <v>0</v>
      </c>
      <c r="G1889" cm="1">
        <f t="array" ref="G1889">_xlfn.XLOOKUP(C1889,Account_Master!A:A,Account_Master!C:C,"Not on master")</f>
        <v>0</v>
      </c>
      <c r="H1889" s="6">
        <v>1</v>
      </c>
      <c r="I1889" s="6">
        <v>1</v>
      </c>
      <c r="J1889" s="6">
        <f>I1889-H1889</f>
        <v>0</v>
      </c>
      <c r="K1889" s="5">
        <f>IF(H1889=0,"",J1889/H1889)</f>
        <v>0</v>
      </c>
      <c r="L1889">
        <f>IF(OR(AND(H1889=0,ABS(J1889)&gt;=0.01),AND(H1889&lt;&gt;0,ABS(K1889)&gt;VarianceThreshold)),"Review","OK")</f>
        <v>0</v>
      </c>
      <c r="M1889" t="s">
        <v>33</v>
      </c>
    </row>
    <row r="1890" spans="1:13">
      <c r="A1890" t="s">
        <v>2</v>
      </c>
      <c r="B1890" t="s">
        <v>915</v>
      </c>
      <c r="C1890" t="s">
        <v>1655</v>
      </c>
      <c r="D1890" t="s">
        <v>1979</v>
      </c>
      <c r="E1890" cm="1">
        <f t="array" ref="E1890">_xlfn.XLOOKUP(D1890,SKU_Master!A:A,SKU_Master!B:B,"Not on master")</f>
        <v>0</v>
      </c>
      <c r="F1890" cm="1">
        <f t="array" ref="F1890">_xlfn.XLOOKUP(C1890,Account_Master!A:A,Account_Master!B:B,"Not on master")</f>
        <v>0</v>
      </c>
      <c r="G1890" cm="1">
        <f t="array" ref="G1890">_xlfn.XLOOKUP(C1890,Account_Master!A:A,Account_Master!C:C,"Not on master")</f>
        <v>0</v>
      </c>
      <c r="H1890" s="6">
        <v>4.5</v>
      </c>
      <c r="I1890" s="6">
        <v>4.5</v>
      </c>
      <c r="J1890" s="6">
        <f>I1890-H1890</f>
        <v>0</v>
      </c>
      <c r="K1890" s="5">
        <f>IF(H1890=0,"",J1890/H1890)</f>
        <v>0</v>
      </c>
      <c r="L1890">
        <f>IF(OR(AND(H1890=0,ABS(J1890)&gt;=0.01),AND(H1890&lt;&gt;0,ABS(K1890)&gt;VarianceThreshold)),"Review","OK")</f>
        <v>0</v>
      </c>
      <c r="M1890" t="s">
        <v>33</v>
      </c>
    </row>
    <row r="1891" spans="1:13">
      <c r="A1891" t="s">
        <v>2</v>
      </c>
      <c r="B1891" t="s">
        <v>915</v>
      </c>
      <c r="C1891" t="s">
        <v>1576</v>
      </c>
      <c r="D1891" t="s">
        <v>1980</v>
      </c>
      <c r="E1891" cm="1">
        <f t="array" ref="E1891">_xlfn.XLOOKUP(D1891,SKU_Master!A:A,SKU_Master!B:B,"Not on master")</f>
        <v>0</v>
      </c>
      <c r="F1891" cm="1">
        <f t="array" ref="F1891">_xlfn.XLOOKUP(C1891,Account_Master!A:A,Account_Master!B:B,"Not on master")</f>
        <v>0</v>
      </c>
      <c r="G1891" cm="1">
        <f t="array" ref="G1891">_xlfn.XLOOKUP(C1891,Account_Master!A:A,Account_Master!C:C,"Not on master")</f>
        <v>0</v>
      </c>
      <c r="H1891" s="6">
        <v>27.75</v>
      </c>
      <c r="I1891" s="6">
        <v>27.75</v>
      </c>
      <c r="J1891" s="6">
        <f>I1891-H1891</f>
        <v>0</v>
      </c>
      <c r="K1891" s="5">
        <f>IF(H1891=0,"",J1891/H1891)</f>
        <v>0</v>
      </c>
      <c r="L1891">
        <f>IF(OR(AND(H1891=0,ABS(J1891)&gt;=0.01),AND(H1891&lt;&gt;0,ABS(K1891)&gt;VarianceThreshold)),"Review","OK")</f>
        <v>0</v>
      </c>
      <c r="M1891" t="s">
        <v>33</v>
      </c>
    </row>
    <row r="1892" spans="1:13">
      <c r="A1892" t="s">
        <v>2</v>
      </c>
      <c r="B1892" t="s">
        <v>922</v>
      </c>
      <c r="C1892" t="s">
        <v>1621</v>
      </c>
      <c r="D1892" t="s">
        <v>1375</v>
      </c>
      <c r="E1892" cm="1">
        <f t="array" ref="E1892">_xlfn.XLOOKUP(D1892,SKU_Master!A:A,SKU_Master!B:B,"Not on master")</f>
        <v>0</v>
      </c>
      <c r="F1892" cm="1">
        <f t="array" ref="F1892">_xlfn.XLOOKUP(C1892,Account_Master!A:A,Account_Master!B:B,"Not on master")</f>
        <v>0</v>
      </c>
      <c r="G1892" cm="1">
        <f t="array" ref="G1892">_xlfn.XLOOKUP(C1892,Account_Master!A:A,Account_Master!C:C,"Not on master")</f>
        <v>0</v>
      </c>
      <c r="H1892" s="6">
        <v>6</v>
      </c>
      <c r="I1892" s="6">
        <v>6</v>
      </c>
      <c r="J1892" s="6">
        <f>I1892-H1892</f>
        <v>0</v>
      </c>
      <c r="K1892" s="5">
        <f>IF(H1892=0,"",J1892/H1892)</f>
        <v>0</v>
      </c>
      <c r="L1892">
        <f>IF(OR(AND(H1892=0,ABS(J1892)&gt;=0.01),AND(H1892&lt;&gt;0,ABS(K1892)&gt;VarianceThreshold)),"Review","OK")</f>
        <v>0</v>
      </c>
      <c r="M1892" t="s">
        <v>33</v>
      </c>
    </row>
    <row r="1893" spans="1:13">
      <c r="A1893" t="s">
        <v>2</v>
      </c>
      <c r="B1893" t="s">
        <v>922</v>
      </c>
      <c r="C1893" t="s">
        <v>1884</v>
      </c>
      <c r="D1893" t="s">
        <v>1231</v>
      </c>
      <c r="E1893" cm="1">
        <f t="array" ref="E1893">_xlfn.XLOOKUP(D1893,SKU_Master!A:A,SKU_Master!B:B,"Not on master")</f>
        <v>0</v>
      </c>
      <c r="F1893" cm="1">
        <f t="array" ref="F1893">_xlfn.XLOOKUP(C1893,Account_Master!A:A,Account_Master!B:B,"Not on master")</f>
        <v>0</v>
      </c>
      <c r="G1893" cm="1">
        <f t="array" ref="G1893">_xlfn.XLOOKUP(C1893,Account_Master!A:A,Account_Master!C:C,"Not on master")</f>
        <v>0</v>
      </c>
      <c r="H1893" s="6">
        <v>15.6</v>
      </c>
      <c r="I1893" s="6">
        <v>15.6</v>
      </c>
      <c r="J1893" s="6">
        <f>I1893-H1893</f>
        <v>0</v>
      </c>
      <c r="K1893" s="5">
        <f>IF(H1893=0,"",J1893/H1893)</f>
        <v>0</v>
      </c>
      <c r="L1893">
        <f>IF(OR(AND(H1893=0,ABS(J1893)&gt;=0.01),AND(H1893&lt;&gt;0,ABS(K1893)&gt;VarianceThreshold)),"Review","OK")</f>
        <v>0</v>
      </c>
      <c r="M1893" t="s">
        <v>33</v>
      </c>
    </row>
    <row r="1894" spans="1:13">
      <c r="A1894" t="s">
        <v>2</v>
      </c>
      <c r="B1894" t="s">
        <v>934</v>
      </c>
      <c r="C1894" t="s">
        <v>1612</v>
      </c>
      <c r="D1894" t="s">
        <v>1981</v>
      </c>
      <c r="E1894" cm="1">
        <f t="array" ref="E1894">_xlfn.XLOOKUP(D1894,SKU_Master!A:A,SKU_Master!B:B,"Not on master")</f>
        <v>0</v>
      </c>
      <c r="F1894" cm="1">
        <f t="array" ref="F1894">_xlfn.XLOOKUP(C1894,Account_Master!A:A,Account_Master!B:B,"Not on master")</f>
        <v>0</v>
      </c>
      <c r="G1894" cm="1">
        <f t="array" ref="G1894">_xlfn.XLOOKUP(C1894,Account_Master!A:A,Account_Master!C:C,"Not on master")</f>
        <v>0</v>
      </c>
      <c r="H1894" s="6">
        <v>1.5</v>
      </c>
      <c r="I1894" s="6">
        <v>1.5</v>
      </c>
      <c r="J1894" s="6">
        <f>I1894-H1894</f>
        <v>0</v>
      </c>
      <c r="K1894" s="5">
        <f>IF(H1894=0,"",J1894/H1894)</f>
        <v>0</v>
      </c>
      <c r="L1894">
        <f>IF(OR(AND(H1894=0,ABS(J1894)&gt;=0.01),AND(H1894&lt;&gt;0,ABS(K1894)&gt;VarianceThreshold)),"Review","OK")</f>
        <v>0</v>
      </c>
      <c r="M1894" t="s">
        <v>33</v>
      </c>
    </row>
    <row r="1895" spans="1:13">
      <c r="A1895" t="s">
        <v>2</v>
      </c>
      <c r="B1895" t="s">
        <v>934</v>
      </c>
      <c r="C1895" t="s">
        <v>1576</v>
      </c>
      <c r="D1895" t="s">
        <v>900</v>
      </c>
      <c r="E1895" cm="1">
        <f t="array" ref="E1895">_xlfn.XLOOKUP(D1895,SKU_Master!A:A,SKU_Master!B:B,"Not on master")</f>
        <v>0</v>
      </c>
      <c r="F1895" cm="1">
        <f t="array" ref="F1895">_xlfn.XLOOKUP(C1895,Account_Master!A:A,Account_Master!B:B,"Not on master")</f>
        <v>0</v>
      </c>
      <c r="G1895" cm="1">
        <f t="array" ref="G1895">_xlfn.XLOOKUP(C1895,Account_Master!A:A,Account_Master!C:C,"Not on master")</f>
        <v>0</v>
      </c>
      <c r="H1895" s="6">
        <v>72</v>
      </c>
      <c r="I1895" s="6">
        <v>72</v>
      </c>
      <c r="J1895" s="6">
        <f>I1895-H1895</f>
        <v>0</v>
      </c>
      <c r="K1895" s="5">
        <f>IF(H1895=0,"",J1895/H1895)</f>
        <v>0</v>
      </c>
      <c r="L1895">
        <f>IF(OR(AND(H1895=0,ABS(J1895)&gt;=0.01),AND(H1895&lt;&gt;0,ABS(K1895)&gt;VarianceThreshold)),"Review","OK")</f>
        <v>0</v>
      </c>
      <c r="M1895" t="s">
        <v>33</v>
      </c>
    </row>
    <row r="1896" spans="1:13">
      <c r="A1896" t="s">
        <v>2</v>
      </c>
      <c r="B1896" t="s">
        <v>934</v>
      </c>
      <c r="C1896" t="s">
        <v>1580</v>
      </c>
      <c r="D1896" t="s">
        <v>1982</v>
      </c>
      <c r="E1896" cm="1">
        <f t="array" ref="E1896">_xlfn.XLOOKUP(D1896,SKU_Master!A:A,SKU_Master!B:B,"Not on master")</f>
        <v>0</v>
      </c>
      <c r="F1896" cm="1">
        <f t="array" ref="F1896">_xlfn.XLOOKUP(C1896,Account_Master!A:A,Account_Master!B:B,"Not on master")</f>
        <v>0</v>
      </c>
      <c r="G1896" cm="1">
        <f t="array" ref="G1896">_xlfn.XLOOKUP(C1896,Account_Master!A:A,Account_Master!C:C,"Not on master")</f>
        <v>0</v>
      </c>
      <c r="H1896" s="6">
        <v>33</v>
      </c>
      <c r="I1896" s="6">
        <v>33</v>
      </c>
      <c r="J1896" s="6">
        <f>I1896-H1896</f>
        <v>0</v>
      </c>
      <c r="K1896" s="5">
        <f>IF(H1896=0,"",J1896/H1896)</f>
        <v>0</v>
      </c>
      <c r="L1896">
        <f>IF(OR(AND(H1896=0,ABS(J1896)&gt;=0.01),AND(H1896&lt;&gt;0,ABS(K1896)&gt;VarianceThreshold)),"Review","OK")</f>
        <v>0</v>
      </c>
      <c r="M1896" t="s">
        <v>33</v>
      </c>
    </row>
    <row r="1897" spans="1:13">
      <c r="A1897" t="s">
        <v>2</v>
      </c>
      <c r="B1897" t="s">
        <v>934</v>
      </c>
      <c r="C1897" t="s">
        <v>1576</v>
      </c>
      <c r="D1897" t="s">
        <v>1983</v>
      </c>
      <c r="E1897" cm="1">
        <f t="array" ref="E1897">_xlfn.XLOOKUP(D1897,SKU_Master!A:A,SKU_Master!B:B,"Not on master")</f>
        <v>0</v>
      </c>
      <c r="F1897" cm="1">
        <f t="array" ref="F1897">_xlfn.XLOOKUP(C1897,Account_Master!A:A,Account_Master!B:B,"Not on master")</f>
        <v>0</v>
      </c>
      <c r="G1897" cm="1">
        <f t="array" ref="G1897">_xlfn.XLOOKUP(C1897,Account_Master!A:A,Account_Master!C:C,"Not on master")</f>
        <v>0</v>
      </c>
      <c r="H1897" s="6">
        <v>9</v>
      </c>
      <c r="I1897" s="6">
        <v>9</v>
      </c>
      <c r="J1897" s="6">
        <f>I1897-H1897</f>
        <v>0</v>
      </c>
      <c r="K1897" s="5">
        <f>IF(H1897=0,"",J1897/H1897)</f>
        <v>0</v>
      </c>
      <c r="L1897">
        <f>IF(OR(AND(H1897=0,ABS(J1897)&gt;=0.01),AND(H1897&lt;&gt;0,ABS(K1897)&gt;VarianceThreshold)),"Review","OK")</f>
        <v>0</v>
      </c>
      <c r="M1897" t="s">
        <v>33</v>
      </c>
    </row>
    <row r="1898" spans="1:13">
      <c r="A1898" t="s">
        <v>2</v>
      </c>
      <c r="B1898" t="s">
        <v>944</v>
      </c>
      <c r="C1898" t="s">
        <v>1605</v>
      </c>
      <c r="D1898" t="s">
        <v>766</v>
      </c>
      <c r="E1898" cm="1">
        <f t="array" ref="E1898">_xlfn.XLOOKUP(D1898,SKU_Master!A:A,SKU_Master!B:B,"Not on master")</f>
        <v>0</v>
      </c>
      <c r="F1898" cm="1">
        <f t="array" ref="F1898">_xlfn.XLOOKUP(C1898,Account_Master!A:A,Account_Master!B:B,"Not on master")</f>
        <v>0</v>
      </c>
      <c r="G1898" cm="1">
        <f t="array" ref="G1898">_xlfn.XLOOKUP(C1898,Account_Master!A:A,Account_Master!C:C,"Not on master")</f>
        <v>0</v>
      </c>
      <c r="H1898" s="6">
        <v>10.5</v>
      </c>
      <c r="I1898" s="6">
        <v>10.5</v>
      </c>
      <c r="J1898" s="6">
        <f>I1898-H1898</f>
        <v>0</v>
      </c>
      <c r="K1898" s="5">
        <f>IF(H1898=0,"",J1898/H1898)</f>
        <v>0</v>
      </c>
      <c r="L1898">
        <f>IF(OR(AND(H1898=0,ABS(J1898)&gt;=0.01),AND(H1898&lt;&gt;0,ABS(K1898)&gt;VarianceThreshold)),"Review","OK")</f>
        <v>0</v>
      </c>
      <c r="M1898" t="s">
        <v>33</v>
      </c>
    </row>
    <row r="1899" spans="1:13">
      <c r="A1899" t="s">
        <v>2</v>
      </c>
      <c r="B1899" t="s">
        <v>944</v>
      </c>
      <c r="C1899" t="s">
        <v>1576</v>
      </c>
      <c r="D1899" t="s">
        <v>1198</v>
      </c>
      <c r="E1899" cm="1">
        <f t="array" ref="E1899">_xlfn.XLOOKUP(D1899,SKU_Master!A:A,SKU_Master!B:B,"Not on master")</f>
        <v>0</v>
      </c>
      <c r="F1899" cm="1">
        <f t="array" ref="F1899">_xlfn.XLOOKUP(C1899,Account_Master!A:A,Account_Master!B:B,"Not on master")</f>
        <v>0</v>
      </c>
      <c r="G1899" cm="1">
        <f t="array" ref="G1899">_xlfn.XLOOKUP(C1899,Account_Master!A:A,Account_Master!C:C,"Not on master")</f>
        <v>0</v>
      </c>
      <c r="H1899" s="6">
        <v>120</v>
      </c>
      <c r="I1899" s="6">
        <v>120</v>
      </c>
      <c r="J1899" s="6">
        <f>I1899-H1899</f>
        <v>0</v>
      </c>
      <c r="K1899" s="5">
        <f>IF(H1899=0,"",J1899/H1899)</f>
        <v>0</v>
      </c>
      <c r="L1899">
        <f>IF(OR(AND(H1899=0,ABS(J1899)&gt;=0.01),AND(H1899&lt;&gt;0,ABS(K1899)&gt;VarianceThreshold)),"Review","OK")</f>
        <v>0</v>
      </c>
      <c r="M1899" t="s">
        <v>33</v>
      </c>
    </row>
    <row r="1900" spans="1:13">
      <c r="A1900" t="s">
        <v>2</v>
      </c>
      <c r="B1900" t="s">
        <v>944</v>
      </c>
      <c r="C1900" t="s">
        <v>1826</v>
      </c>
      <c r="D1900" t="s">
        <v>861</v>
      </c>
      <c r="E1900" cm="1">
        <f t="array" ref="E1900">_xlfn.XLOOKUP(D1900,SKU_Master!A:A,SKU_Master!B:B,"Not on master")</f>
        <v>0</v>
      </c>
      <c r="F1900" cm="1">
        <f t="array" ref="F1900">_xlfn.XLOOKUP(C1900,Account_Master!A:A,Account_Master!B:B,"Not on master")</f>
        <v>0</v>
      </c>
      <c r="G1900" cm="1">
        <f t="array" ref="G1900">_xlfn.XLOOKUP(C1900,Account_Master!A:A,Account_Master!C:C,"Not on master")</f>
        <v>0</v>
      </c>
      <c r="H1900" s="6">
        <v>9</v>
      </c>
      <c r="I1900" s="6">
        <v>9</v>
      </c>
      <c r="J1900" s="6">
        <f>I1900-H1900</f>
        <v>0</v>
      </c>
      <c r="K1900" s="5">
        <f>IF(H1900=0,"",J1900/H1900)</f>
        <v>0</v>
      </c>
      <c r="L1900">
        <f>IF(OR(AND(H1900=0,ABS(J1900)&gt;=0.01),AND(H1900&lt;&gt;0,ABS(K1900)&gt;VarianceThreshold)),"Review","OK")</f>
        <v>0</v>
      </c>
      <c r="M1900" t="s">
        <v>33</v>
      </c>
    </row>
    <row r="1901" spans="1:13">
      <c r="A1901" t="s">
        <v>2</v>
      </c>
      <c r="B1901" t="s">
        <v>944</v>
      </c>
      <c r="C1901" t="s">
        <v>1935</v>
      </c>
      <c r="D1901" t="s">
        <v>639</v>
      </c>
      <c r="E1901" cm="1">
        <f t="array" ref="E1901">_xlfn.XLOOKUP(D1901,SKU_Master!A:A,SKU_Master!B:B,"Not on master")</f>
        <v>0</v>
      </c>
      <c r="F1901" cm="1">
        <f t="array" ref="F1901">_xlfn.XLOOKUP(C1901,Account_Master!A:A,Account_Master!B:B,"Not on master")</f>
        <v>0</v>
      </c>
      <c r="G1901" cm="1">
        <f t="array" ref="G1901">_xlfn.XLOOKUP(C1901,Account_Master!A:A,Account_Master!C:C,"Not on master")</f>
        <v>0</v>
      </c>
      <c r="H1901" s="6">
        <v>9</v>
      </c>
      <c r="I1901" s="6">
        <v>9</v>
      </c>
      <c r="J1901" s="6">
        <f>I1901-H1901</f>
        <v>0</v>
      </c>
      <c r="K1901" s="5">
        <f>IF(H1901=0,"",J1901/H1901)</f>
        <v>0</v>
      </c>
      <c r="L1901">
        <f>IF(OR(AND(H1901=0,ABS(J1901)&gt;=0.01),AND(H1901&lt;&gt;0,ABS(K1901)&gt;VarianceThreshold)),"Review","OK")</f>
        <v>0</v>
      </c>
      <c r="M1901" t="s">
        <v>33</v>
      </c>
    </row>
    <row r="1902" spans="1:13">
      <c r="A1902" t="s">
        <v>2</v>
      </c>
      <c r="B1902" t="s">
        <v>944</v>
      </c>
      <c r="C1902" t="s">
        <v>1959</v>
      </c>
      <c r="D1902" t="s">
        <v>1984</v>
      </c>
      <c r="E1902" cm="1">
        <f t="array" ref="E1902">_xlfn.XLOOKUP(D1902,SKU_Master!A:A,SKU_Master!B:B,"Not on master")</f>
        <v>0</v>
      </c>
      <c r="F1902" cm="1">
        <f t="array" ref="F1902">_xlfn.XLOOKUP(C1902,Account_Master!A:A,Account_Master!B:B,"Not on master")</f>
        <v>0</v>
      </c>
      <c r="G1902" cm="1">
        <f t="array" ref="G1902">_xlfn.XLOOKUP(C1902,Account_Master!A:A,Account_Master!C:C,"Not on master")</f>
        <v>0</v>
      </c>
      <c r="H1902" s="6">
        <v>4.5</v>
      </c>
      <c r="I1902" s="6">
        <v>4.5</v>
      </c>
      <c r="J1902" s="6">
        <f>I1902-H1902</f>
        <v>0</v>
      </c>
      <c r="K1902" s="5">
        <f>IF(H1902=0,"",J1902/H1902)</f>
        <v>0</v>
      </c>
      <c r="L1902">
        <f>IF(OR(AND(H1902=0,ABS(J1902)&gt;=0.01),AND(H1902&lt;&gt;0,ABS(K1902)&gt;VarianceThreshold)),"Review","OK")</f>
        <v>0</v>
      </c>
      <c r="M1902" t="s">
        <v>33</v>
      </c>
    </row>
    <row r="1903" spans="1:13">
      <c r="A1903" t="s">
        <v>2</v>
      </c>
      <c r="B1903" t="s">
        <v>944</v>
      </c>
      <c r="C1903" t="s">
        <v>1642</v>
      </c>
      <c r="D1903" t="s">
        <v>1985</v>
      </c>
      <c r="E1903" cm="1">
        <f t="array" ref="E1903">_xlfn.XLOOKUP(D1903,SKU_Master!A:A,SKU_Master!B:B,"Not on master")</f>
        <v>0</v>
      </c>
      <c r="F1903" cm="1">
        <f t="array" ref="F1903">_xlfn.XLOOKUP(C1903,Account_Master!A:A,Account_Master!B:B,"Not on master")</f>
        <v>0</v>
      </c>
      <c r="G1903" cm="1">
        <f t="array" ref="G1903">_xlfn.XLOOKUP(C1903,Account_Master!A:A,Account_Master!C:C,"Not on master")</f>
        <v>0</v>
      </c>
      <c r="H1903" s="6">
        <v>66</v>
      </c>
      <c r="I1903" s="6">
        <v>66</v>
      </c>
      <c r="J1903" s="6">
        <f>I1903-H1903</f>
        <v>0</v>
      </c>
      <c r="K1903" s="5">
        <f>IF(H1903=0,"",J1903/H1903)</f>
        <v>0</v>
      </c>
      <c r="L1903">
        <f>IF(OR(AND(H1903=0,ABS(J1903)&gt;=0.01),AND(H1903&lt;&gt;0,ABS(K1903)&gt;VarianceThreshold)),"Review","OK")</f>
        <v>0</v>
      </c>
      <c r="M1903" t="s">
        <v>33</v>
      </c>
    </row>
    <row r="1904" spans="1:13">
      <c r="A1904" t="s">
        <v>2</v>
      </c>
      <c r="B1904" t="s">
        <v>944</v>
      </c>
      <c r="C1904" t="s">
        <v>1986</v>
      </c>
      <c r="D1904" t="s">
        <v>1987</v>
      </c>
      <c r="E1904" cm="1">
        <f t="array" ref="E1904">_xlfn.XLOOKUP(D1904,SKU_Master!A:A,SKU_Master!B:B,"Not on master")</f>
        <v>0</v>
      </c>
      <c r="F1904" cm="1">
        <f t="array" ref="F1904">_xlfn.XLOOKUP(C1904,Account_Master!A:A,Account_Master!B:B,"Not on master")</f>
        <v>0</v>
      </c>
      <c r="G1904" cm="1">
        <f t="array" ref="G1904">_xlfn.XLOOKUP(C1904,Account_Master!A:A,Account_Master!C:C,"Not on master")</f>
        <v>0</v>
      </c>
      <c r="H1904" s="6">
        <v>2.9</v>
      </c>
      <c r="I1904" s="6">
        <v>1.9</v>
      </c>
      <c r="J1904" s="6">
        <f>I1904-H1904</f>
        <v>0</v>
      </c>
      <c r="K1904" s="5">
        <f>IF(H1904=0,"",J1904/H1904)</f>
        <v>0</v>
      </c>
      <c r="L1904">
        <f>IF(OR(AND(H1904=0,ABS(J1904)&gt;=0.01),AND(H1904&lt;&gt;0,ABS(K1904)&gt;VarianceThreshold)),"Review","OK")</f>
        <v>0</v>
      </c>
      <c r="M1904" t="s">
        <v>1611</v>
      </c>
    </row>
    <row r="1905" spans="1:13">
      <c r="A1905" t="s">
        <v>2</v>
      </c>
      <c r="B1905" t="s">
        <v>952</v>
      </c>
      <c r="C1905" t="s">
        <v>1988</v>
      </c>
      <c r="D1905" t="s">
        <v>1279</v>
      </c>
      <c r="E1905" cm="1">
        <f t="array" ref="E1905">_xlfn.XLOOKUP(D1905,SKU_Master!A:A,SKU_Master!B:B,"Not on master")</f>
        <v>0</v>
      </c>
      <c r="F1905" cm="1">
        <f t="array" ref="F1905">_xlfn.XLOOKUP(C1905,Account_Master!A:A,Account_Master!B:B,"Not on master")</f>
        <v>0</v>
      </c>
      <c r="G1905" cm="1">
        <f t="array" ref="G1905">_xlfn.XLOOKUP(C1905,Account_Master!A:A,Account_Master!C:C,"Not on master")</f>
        <v>0</v>
      </c>
      <c r="H1905" s="6">
        <v>0.15</v>
      </c>
      <c r="I1905" s="6">
        <v>0.15</v>
      </c>
      <c r="J1905" s="6">
        <f>I1905-H1905</f>
        <v>0</v>
      </c>
      <c r="K1905" s="5">
        <f>IF(H1905=0,"",J1905/H1905)</f>
        <v>0</v>
      </c>
      <c r="L1905">
        <f>IF(OR(AND(H1905=0,ABS(J1905)&gt;=0.01),AND(H1905&lt;&gt;0,ABS(K1905)&gt;VarianceThreshold)),"Review","OK")</f>
        <v>0</v>
      </c>
      <c r="M1905" t="s">
        <v>33</v>
      </c>
    </row>
    <row r="1906" spans="1:13">
      <c r="A1906" t="s">
        <v>2</v>
      </c>
      <c r="B1906" t="s">
        <v>952</v>
      </c>
      <c r="C1906" t="s">
        <v>1757</v>
      </c>
      <c r="D1906" t="s">
        <v>1989</v>
      </c>
      <c r="E1906" cm="1">
        <f t="array" ref="E1906">_xlfn.XLOOKUP(D1906,SKU_Master!A:A,SKU_Master!B:B,"Not on master")</f>
        <v>0</v>
      </c>
      <c r="F1906" cm="1">
        <f t="array" ref="F1906">_xlfn.XLOOKUP(C1906,Account_Master!A:A,Account_Master!B:B,"Not on master")</f>
        <v>0</v>
      </c>
      <c r="G1906" cm="1">
        <f t="array" ref="G1906">_xlfn.XLOOKUP(C1906,Account_Master!A:A,Account_Master!C:C,"Not on master")</f>
        <v>0</v>
      </c>
      <c r="H1906" s="6">
        <v>4.5</v>
      </c>
      <c r="I1906" s="6">
        <v>4.5</v>
      </c>
      <c r="J1906" s="6">
        <f>I1906-H1906</f>
        <v>0</v>
      </c>
      <c r="K1906" s="5">
        <f>IF(H1906=0,"",J1906/H1906)</f>
        <v>0</v>
      </c>
      <c r="L1906">
        <f>IF(OR(AND(H1906=0,ABS(J1906)&gt;=0.01),AND(H1906&lt;&gt;0,ABS(K1906)&gt;VarianceThreshold)),"Review","OK")</f>
        <v>0</v>
      </c>
      <c r="M1906" t="s">
        <v>33</v>
      </c>
    </row>
    <row r="1907" spans="1:13">
      <c r="A1907" t="s">
        <v>2</v>
      </c>
      <c r="B1907" t="s">
        <v>952</v>
      </c>
      <c r="C1907" t="s">
        <v>1574</v>
      </c>
      <c r="D1907" t="s">
        <v>1990</v>
      </c>
      <c r="E1907" cm="1">
        <f t="array" ref="E1907">_xlfn.XLOOKUP(D1907,SKU_Master!A:A,SKU_Master!B:B,"Not on master")</f>
        <v>0</v>
      </c>
      <c r="F1907" cm="1">
        <f t="array" ref="F1907">_xlfn.XLOOKUP(C1907,Account_Master!A:A,Account_Master!B:B,"Not on master")</f>
        <v>0</v>
      </c>
      <c r="G1907" cm="1">
        <f t="array" ref="G1907">_xlfn.XLOOKUP(C1907,Account_Master!A:A,Account_Master!C:C,"Not on master")</f>
        <v>0</v>
      </c>
      <c r="H1907" s="6">
        <v>12</v>
      </c>
      <c r="I1907" s="6">
        <v>12</v>
      </c>
      <c r="J1907" s="6">
        <f>I1907-H1907</f>
        <v>0</v>
      </c>
      <c r="K1907" s="5">
        <f>IF(H1907=0,"",J1907/H1907)</f>
        <v>0</v>
      </c>
      <c r="L1907">
        <f>IF(OR(AND(H1907=0,ABS(J1907)&gt;=0.01),AND(H1907&lt;&gt;0,ABS(K1907)&gt;VarianceThreshold)),"Review","OK")</f>
        <v>0</v>
      </c>
      <c r="M1907" t="s">
        <v>33</v>
      </c>
    </row>
    <row r="1908" spans="1:13">
      <c r="A1908" t="s">
        <v>2</v>
      </c>
      <c r="B1908" t="s">
        <v>961</v>
      </c>
      <c r="C1908" t="s">
        <v>1597</v>
      </c>
      <c r="D1908" t="s">
        <v>1991</v>
      </c>
      <c r="E1908" cm="1">
        <f t="array" ref="E1908">_xlfn.XLOOKUP(D1908,SKU_Master!A:A,SKU_Master!B:B,"Not on master")</f>
        <v>0</v>
      </c>
      <c r="F1908" cm="1">
        <f t="array" ref="F1908">_xlfn.XLOOKUP(C1908,Account_Master!A:A,Account_Master!B:B,"Not on master")</f>
        <v>0</v>
      </c>
      <c r="G1908" cm="1">
        <f t="array" ref="G1908">_xlfn.XLOOKUP(C1908,Account_Master!A:A,Account_Master!C:C,"Not on master")</f>
        <v>0</v>
      </c>
      <c r="H1908" s="6">
        <v>1.75</v>
      </c>
      <c r="I1908" s="6">
        <v>1.75</v>
      </c>
      <c r="J1908" s="6">
        <f>I1908-H1908</f>
        <v>0</v>
      </c>
      <c r="K1908" s="5">
        <f>IF(H1908=0,"",J1908/H1908)</f>
        <v>0</v>
      </c>
      <c r="L1908">
        <f>IF(OR(AND(H1908=0,ABS(J1908)&gt;=0.01),AND(H1908&lt;&gt;0,ABS(K1908)&gt;VarianceThreshold)),"Review","OK")</f>
        <v>0</v>
      </c>
      <c r="M1908" t="s">
        <v>33</v>
      </c>
    </row>
    <row r="1909" spans="1:13">
      <c r="A1909" t="s">
        <v>2</v>
      </c>
      <c r="B1909" t="s">
        <v>961</v>
      </c>
      <c r="C1909" t="s">
        <v>1612</v>
      </c>
      <c r="D1909" t="s">
        <v>1992</v>
      </c>
      <c r="E1909" cm="1">
        <f t="array" ref="E1909">_xlfn.XLOOKUP(D1909,SKU_Master!A:A,SKU_Master!B:B,"Not on master")</f>
        <v>0</v>
      </c>
      <c r="F1909" cm="1">
        <f t="array" ref="F1909">_xlfn.XLOOKUP(C1909,Account_Master!A:A,Account_Master!B:B,"Not on master")</f>
        <v>0</v>
      </c>
      <c r="G1909" cm="1">
        <f t="array" ref="G1909">_xlfn.XLOOKUP(C1909,Account_Master!A:A,Account_Master!C:C,"Not on master")</f>
        <v>0</v>
      </c>
      <c r="H1909" s="6">
        <v>1.5</v>
      </c>
      <c r="I1909" s="6">
        <v>1.5</v>
      </c>
      <c r="J1909" s="6">
        <f>I1909-H1909</f>
        <v>0</v>
      </c>
      <c r="K1909" s="5">
        <f>IF(H1909=0,"",J1909/H1909)</f>
        <v>0</v>
      </c>
      <c r="L1909">
        <f>IF(OR(AND(H1909=0,ABS(J1909)&gt;=0.01),AND(H1909&lt;&gt;0,ABS(K1909)&gt;VarianceThreshold)),"Review","OK")</f>
        <v>0</v>
      </c>
      <c r="M1909" t="s">
        <v>33</v>
      </c>
    </row>
    <row r="1910" spans="1:13">
      <c r="A1910" t="s">
        <v>2</v>
      </c>
      <c r="B1910" t="s">
        <v>961</v>
      </c>
      <c r="C1910" t="s">
        <v>1658</v>
      </c>
      <c r="D1910" t="s">
        <v>1993</v>
      </c>
      <c r="E1910" cm="1">
        <f t="array" ref="E1910">_xlfn.XLOOKUP(D1910,SKU_Master!A:A,SKU_Master!B:B,"Not on master")</f>
        <v>0</v>
      </c>
      <c r="F1910" cm="1">
        <f t="array" ref="F1910">_xlfn.XLOOKUP(C1910,Account_Master!A:A,Account_Master!B:B,"Not on master")</f>
        <v>0</v>
      </c>
      <c r="G1910" cm="1">
        <f t="array" ref="G1910">_xlfn.XLOOKUP(C1910,Account_Master!A:A,Account_Master!C:C,"Not on master")</f>
        <v>0</v>
      </c>
      <c r="H1910" s="6">
        <v>60.75</v>
      </c>
      <c r="I1910" s="6">
        <v>51.75</v>
      </c>
      <c r="J1910" s="6">
        <f>I1910-H1910</f>
        <v>0</v>
      </c>
      <c r="K1910" s="5">
        <f>IF(H1910=0,"",J1910/H1910)</f>
        <v>0</v>
      </c>
      <c r="L1910">
        <f>IF(OR(AND(H1910=0,ABS(J1910)&gt;=0.01),AND(H1910&lt;&gt;0,ABS(K1910)&gt;VarianceThreshold)),"Review","OK")</f>
        <v>0</v>
      </c>
      <c r="M1910" t="s">
        <v>1611</v>
      </c>
    </row>
    <row r="1911" spans="1:13">
      <c r="A1911" t="s">
        <v>2</v>
      </c>
      <c r="B1911" t="s">
        <v>961</v>
      </c>
      <c r="C1911" t="s">
        <v>1634</v>
      </c>
      <c r="D1911" t="s">
        <v>1994</v>
      </c>
      <c r="E1911" cm="1">
        <f t="array" ref="E1911">_xlfn.XLOOKUP(D1911,SKU_Master!A:A,SKU_Master!B:B,"Not on master")</f>
        <v>0</v>
      </c>
      <c r="F1911" cm="1">
        <f t="array" ref="F1911">_xlfn.XLOOKUP(C1911,Account_Master!A:A,Account_Master!B:B,"Not on master")</f>
        <v>0</v>
      </c>
      <c r="G1911" cm="1">
        <f t="array" ref="G1911">_xlfn.XLOOKUP(C1911,Account_Master!A:A,Account_Master!C:C,"Not on master")</f>
        <v>0</v>
      </c>
      <c r="H1911" s="6">
        <v>2.25</v>
      </c>
      <c r="I1911" s="6">
        <v>2.25</v>
      </c>
      <c r="J1911" s="6">
        <f>I1911-H1911</f>
        <v>0</v>
      </c>
      <c r="K1911" s="5">
        <f>IF(H1911=0,"",J1911/H1911)</f>
        <v>0</v>
      </c>
      <c r="L1911">
        <f>IF(OR(AND(H1911=0,ABS(J1911)&gt;=0.01),AND(H1911&lt;&gt;0,ABS(K1911)&gt;VarianceThreshold)),"Review","OK")</f>
        <v>0</v>
      </c>
      <c r="M1911" t="s">
        <v>33</v>
      </c>
    </row>
    <row r="1912" spans="1:13">
      <c r="A1912" t="s">
        <v>2</v>
      </c>
      <c r="B1912" t="s">
        <v>961</v>
      </c>
      <c r="C1912" t="s">
        <v>1574</v>
      </c>
      <c r="D1912" t="s">
        <v>920</v>
      </c>
      <c r="E1912" cm="1">
        <f t="array" ref="E1912">_xlfn.XLOOKUP(D1912,SKU_Master!A:A,SKU_Master!B:B,"Not on master")</f>
        <v>0</v>
      </c>
      <c r="F1912" cm="1">
        <f t="array" ref="F1912">_xlfn.XLOOKUP(C1912,Account_Master!A:A,Account_Master!B:B,"Not on master")</f>
        <v>0</v>
      </c>
      <c r="G1912" cm="1">
        <f t="array" ref="G1912">_xlfn.XLOOKUP(C1912,Account_Master!A:A,Account_Master!C:C,"Not on master")</f>
        <v>0</v>
      </c>
      <c r="H1912" s="6">
        <v>2.25</v>
      </c>
      <c r="I1912" s="6">
        <v>2.25</v>
      </c>
      <c r="J1912" s="6">
        <f>I1912-H1912</f>
        <v>0</v>
      </c>
      <c r="K1912" s="5">
        <f>IF(H1912=0,"",J1912/H1912)</f>
        <v>0</v>
      </c>
      <c r="L1912">
        <f>IF(OR(AND(H1912=0,ABS(J1912)&gt;=0.01),AND(H1912&lt;&gt;0,ABS(K1912)&gt;VarianceThreshold)),"Review","OK")</f>
        <v>0</v>
      </c>
      <c r="M1912" t="s">
        <v>33</v>
      </c>
    </row>
    <row r="1913" spans="1:13">
      <c r="A1913" t="s">
        <v>2</v>
      </c>
      <c r="B1913" t="s">
        <v>961</v>
      </c>
      <c r="C1913" t="s">
        <v>1995</v>
      </c>
      <c r="D1913" t="s">
        <v>1439</v>
      </c>
      <c r="E1913" cm="1">
        <f t="array" ref="E1913">_xlfn.XLOOKUP(D1913,SKU_Master!A:A,SKU_Master!B:B,"Not on master")</f>
        <v>0</v>
      </c>
      <c r="F1913" cm="1">
        <f t="array" ref="F1913">_xlfn.XLOOKUP(C1913,Account_Master!A:A,Account_Master!B:B,"Not on master")</f>
        <v>0</v>
      </c>
      <c r="G1913" cm="1">
        <f t="array" ref="G1913">_xlfn.XLOOKUP(C1913,Account_Master!A:A,Account_Master!C:C,"Not on master")</f>
        <v>0</v>
      </c>
      <c r="H1913" s="6">
        <v>36</v>
      </c>
      <c r="I1913" s="6">
        <v>36</v>
      </c>
      <c r="J1913" s="6">
        <f>I1913-H1913</f>
        <v>0</v>
      </c>
      <c r="K1913" s="5">
        <f>IF(H1913=0,"",J1913/H1913)</f>
        <v>0</v>
      </c>
      <c r="L1913">
        <f>IF(OR(AND(H1913=0,ABS(J1913)&gt;=0.01),AND(H1913&lt;&gt;0,ABS(K1913)&gt;VarianceThreshold)),"Review","OK")</f>
        <v>0</v>
      </c>
      <c r="M1913" t="s">
        <v>33</v>
      </c>
    </row>
    <row r="1914" spans="1:13">
      <c r="A1914" t="s">
        <v>2</v>
      </c>
      <c r="B1914" t="s">
        <v>961</v>
      </c>
      <c r="C1914" t="s">
        <v>1967</v>
      </c>
      <c r="D1914" t="s">
        <v>1996</v>
      </c>
      <c r="E1914" cm="1">
        <f t="array" ref="E1914">_xlfn.XLOOKUP(D1914,SKU_Master!A:A,SKU_Master!B:B,"Not on master")</f>
        <v>0</v>
      </c>
      <c r="F1914" cm="1">
        <f t="array" ref="F1914">_xlfn.XLOOKUP(C1914,Account_Master!A:A,Account_Master!B:B,"Not on master")</f>
        <v>0</v>
      </c>
      <c r="G1914" cm="1">
        <f t="array" ref="G1914">_xlfn.XLOOKUP(C1914,Account_Master!A:A,Account_Master!C:C,"Not on master")</f>
        <v>0</v>
      </c>
      <c r="H1914" s="6">
        <v>0.75</v>
      </c>
      <c r="I1914" s="6">
        <v>0.75</v>
      </c>
      <c r="J1914" s="6">
        <f>I1914-H1914</f>
        <v>0</v>
      </c>
      <c r="K1914" s="5">
        <f>IF(H1914=0,"",J1914/H1914)</f>
        <v>0</v>
      </c>
      <c r="L1914">
        <f>IF(OR(AND(H1914=0,ABS(J1914)&gt;=0.01),AND(H1914&lt;&gt;0,ABS(K1914)&gt;VarianceThreshold)),"Review","OK")</f>
        <v>0</v>
      </c>
      <c r="M1914" t="s">
        <v>33</v>
      </c>
    </row>
    <row r="1915" spans="1:13">
      <c r="A1915" t="s">
        <v>2</v>
      </c>
      <c r="B1915" t="s">
        <v>961</v>
      </c>
      <c r="C1915" t="s">
        <v>1733</v>
      </c>
      <c r="D1915" t="s">
        <v>1997</v>
      </c>
      <c r="E1915" cm="1">
        <f t="array" ref="E1915">_xlfn.XLOOKUP(D1915,SKU_Master!A:A,SKU_Master!B:B,"Not on master")</f>
        <v>0</v>
      </c>
      <c r="F1915" cm="1">
        <f t="array" ref="F1915">_xlfn.XLOOKUP(C1915,Account_Master!A:A,Account_Master!B:B,"Not on master")</f>
        <v>0</v>
      </c>
      <c r="G1915" cm="1">
        <f t="array" ref="G1915">_xlfn.XLOOKUP(C1915,Account_Master!A:A,Account_Master!C:C,"Not on master")</f>
        <v>0</v>
      </c>
      <c r="H1915" s="6">
        <v>11.1</v>
      </c>
      <c r="I1915" s="6">
        <v>11.1</v>
      </c>
      <c r="J1915" s="6">
        <f>I1915-H1915</f>
        <v>0</v>
      </c>
      <c r="K1915" s="5">
        <f>IF(H1915=0,"",J1915/H1915)</f>
        <v>0</v>
      </c>
      <c r="L1915">
        <f>IF(OR(AND(H1915=0,ABS(J1915)&gt;=0.01),AND(H1915&lt;&gt;0,ABS(K1915)&gt;VarianceThreshold)),"Review","OK")</f>
        <v>0</v>
      </c>
      <c r="M1915" t="s">
        <v>33</v>
      </c>
    </row>
    <row r="1916" spans="1:13">
      <c r="A1916" t="s">
        <v>2</v>
      </c>
      <c r="B1916" t="s">
        <v>961</v>
      </c>
      <c r="C1916" t="s">
        <v>1615</v>
      </c>
      <c r="D1916" t="s">
        <v>1998</v>
      </c>
      <c r="E1916" cm="1">
        <f t="array" ref="E1916">_xlfn.XLOOKUP(D1916,SKU_Master!A:A,SKU_Master!B:B,"Not on master")</f>
        <v>0</v>
      </c>
      <c r="F1916" cm="1">
        <f t="array" ref="F1916">_xlfn.XLOOKUP(C1916,Account_Master!A:A,Account_Master!B:B,"Not on master")</f>
        <v>0</v>
      </c>
      <c r="G1916" cm="1">
        <f t="array" ref="G1916">_xlfn.XLOOKUP(C1916,Account_Master!A:A,Account_Master!C:C,"Not on master")</f>
        <v>0</v>
      </c>
      <c r="H1916" s="6">
        <v>51</v>
      </c>
      <c r="I1916" s="6">
        <v>51</v>
      </c>
      <c r="J1916" s="6">
        <f>I1916-H1916</f>
        <v>0</v>
      </c>
      <c r="K1916" s="5">
        <f>IF(H1916=0,"",J1916/H1916)</f>
        <v>0</v>
      </c>
      <c r="L1916">
        <f>IF(OR(AND(H1916=0,ABS(J1916)&gt;=0.01),AND(H1916&lt;&gt;0,ABS(K1916)&gt;VarianceThreshold)),"Review","OK")</f>
        <v>0</v>
      </c>
      <c r="M1916" t="s">
        <v>33</v>
      </c>
    </row>
    <row r="1917" spans="1:13">
      <c r="A1917" t="s">
        <v>2</v>
      </c>
      <c r="B1917" t="s">
        <v>961</v>
      </c>
      <c r="C1917" t="s">
        <v>1967</v>
      </c>
      <c r="D1917" t="s">
        <v>1999</v>
      </c>
      <c r="E1917" cm="1">
        <f t="array" ref="E1917">_xlfn.XLOOKUP(D1917,SKU_Master!A:A,SKU_Master!B:B,"Not on master")</f>
        <v>0</v>
      </c>
      <c r="F1917" cm="1">
        <f t="array" ref="F1917">_xlfn.XLOOKUP(C1917,Account_Master!A:A,Account_Master!B:B,"Not on master")</f>
        <v>0</v>
      </c>
      <c r="G1917" cm="1">
        <f t="array" ref="G1917">_xlfn.XLOOKUP(C1917,Account_Master!A:A,Account_Master!C:C,"Not on master")</f>
        <v>0</v>
      </c>
      <c r="H1917" s="6">
        <v>0.75</v>
      </c>
      <c r="I1917" s="6">
        <v>0.75</v>
      </c>
      <c r="J1917" s="6">
        <f>I1917-H1917</f>
        <v>0</v>
      </c>
      <c r="K1917" s="5">
        <f>IF(H1917=0,"",J1917/H1917)</f>
        <v>0</v>
      </c>
      <c r="L1917">
        <f>IF(OR(AND(H1917=0,ABS(J1917)&gt;=0.01),AND(H1917&lt;&gt;0,ABS(K1917)&gt;VarianceThreshold)),"Review","OK")</f>
        <v>0</v>
      </c>
      <c r="M1917" t="s">
        <v>33</v>
      </c>
    </row>
    <row r="1918" spans="1:13">
      <c r="A1918" t="s">
        <v>2</v>
      </c>
      <c r="B1918" t="s">
        <v>966</v>
      </c>
      <c r="C1918" t="s">
        <v>1959</v>
      </c>
      <c r="D1918" t="s">
        <v>2000</v>
      </c>
      <c r="E1918" cm="1">
        <f t="array" ref="E1918">_xlfn.XLOOKUP(D1918,SKU_Master!A:A,SKU_Master!B:B,"Not on master")</f>
        <v>0</v>
      </c>
      <c r="F1918" cm="1">
        <f t="array" ref="F1918">_xlfn.XLOOKUP(C1918,Account_Master!A:A,Account_Master!B:B,"Not on master")</f>
        <v>0</v>
      </c>
      <c r="G1918" cm="1">
        <f t="array" ref="G1918">_xlfn.XLOOKUP(C1918,Account_Master!A:A,Account_Master!C:C,"Not on master")</f>
        <v>0</v>
      </c>
      <c r="H1918" s="6">
        <v>1.5</v>
      </c>
      <c r="I1918" s="6">
        <v>1.5</v>
      </c>
      <c r="J1918" s="6">
        <f>I1918-H1918</f>
        <v>0</v>
      </c>
      <c r="K1918" s="5">
        <f>IF(H1918=0,"",J1918/H1918)</f>
        <v>0</v>
      </c>
      <c r="L1918">
        <f>IF(OR(AND(H1918=0,ABS(J1918)&gt;=0.01),AND(H1918&lt;&gt;0,ABS(K1918)&gt;VarianceThreshold)),"Review","OK")</f>
        <v>0</v>
      </c>
      <c r="M1918" t="s">
        <v>33</v>
      </c>
    </row>
    <row r="1919" spans="1:13">
      <c r="A1919" t="s">
        <v>2</v>
      </c>
      <c r="B1919" t="s">
        <v>966</v>
      </c>
      <c r="C1919" t="s">
        <v>1594</v>
      </c>
      <c r="D1919" t="s">
        <v>956</v>
      </c>
      <c r="E1919" cm="1">
        <f t="array" ref="E1919">_xlfn.XLOOKUP(D1919,SKU_Master!A:A,SKU_Master!B:B,"Not on master")</f>
        <v>0</v>
      </c>
      <c r="F1919" cm="1">
        <f t="array" ref="F1919">_xlfn.XLOOKUP(C1919,Account_Master!A:A,Account_Master!B:B,"Not on master")</f>
        <v>0</v>
      </c>
      <c r="G1919" cm="1">
        <f t="array" ref="G1919">_xlfn.XLOOKUP(C1919,Account_Master!A:A,Account_Master!C:C,"Not on master")</f>
        <v>0</v>
      </c>
      <c r="H1919" s="6">
        <v>13.5</v>
      </c>
      <c r="I1919" s="6">
        <v>13.5</v>
      </c>
      <c r="J1919" s="6">
        <f>I1919-H1919</f>
        <v>0</v>
      </c>
      <c r="K1919" s="5">
        <f>IF(H1919=0,"",J1919/H1919)</f>
        <v>0</v>
      </c>
      <c r="L1919">
        <f>IF(OR(AND(H1919=0,ABS(J1919)&gt;=0.01),AND(H1919&lt;&gt;0,ABS(K1919)&gt;VarianceThreshold)),"Review","OK")</f>
        <v>0</v>
      </c>
      <c r="M1919" t="s">
        <v>33</v>
      </c>
    </row>
    <row r="1920" spans="1:13">
      <c r="A1920" t="s">
        <v>2</v>
      </c>
      <c r="B1920" t="s">
        <v>966</v>
      </c>
      <c r="C1920" t="s">
        <v>1634</v>
      </c>
      <c r="D1920" t="s">
        <v>842</v>
      </c>
      <c r="E1920" cm="1">
        <f t="array" ref="E1920">_xlfn.XLOOKUP(D1920,SKU_Master!A:A,SKU_Master!B:B,"Not on master")</f>
        <v>0</v>
      </c>
      <c r="F1920" cm="1">
        <f t="array" ref="F1920">_xlfn.XLOOKUP(C1920,Account_Master!A:A,Account_Master!B:B,"Not on master")</f>
        <v>0</v>
      </c>
      <c r="G1920" cm="1">
        <f t="array" ref="G1920">_xlfn.XLOOKUP(C1920,Account_Master!A:A,Account_Master!C:C,"Not on master")</f>
        <v>0</v>
      </c>
      <c r="H1920" s="6">
        <v>31.5</v>
      </c>
      <c r="I1920" s="6">
        <v>31.5</v>
      </c>
      <c r="J1920" s="6">
        <f>I1920-H1920</f>
        <v>0</v>
      </c>
      <c r="K1920" s="5">
        <f>IF(H1920=0,"",J1920/H1920)</f>
        <v>0</v>
      </c>
      <c r="L1920">
        <f>IF(OR(AND(H1920=0,ABS(J1920)&gt;=0.01),AND(H1920&lt;&gt;0,ABS(K1920)&gt;VarianceThreshold)),"Review","OK")</f>
        <v>0</v>
      </c>
      <c r="M1920" t="s">
        <v>33</v>
      </c>
    </row>
    <row r="1921" spans="1:13">
      <c r="A1921" t="s">
        <v>2</v>
      </c>
      <c r="B1921" t="s">
        <v>980</v>
      </c>
      <c r="C1921" t="s">
        <v>1670</v>
      </c>
      <c r="D1921" t="s">
        <v>1521</v>
      </c>
      <c r="E1921" cm="1">
        <f t="array" ref="E1921">_xlfn.XLOOKUP(D1921,SKU_Master!A:A,SKU_Master!B:B,"Not on master")</f>
        <v>0</v>
      </c>
      <c r="F1921" cm="1">
        <f t="array" ref="F1921">_xlfn.XLOOKUP(C1921,Account_Master!A:A,Account_Master!B:B,"Not on master")</f>
        <v>0</v>
      </c>
      <c r="G1921" cm="1">
        <f t="array" ref="G1921">_xlfn.XLOOKUP(C1921,Account_Master!A:A,Account_Master!C:C,"Not on master")</f>
        <v>0</v>
      </c>
      <c r="H1921" s="6">
        <v>3</v>
      </c>
      <c r="I1921" s="6">
        <v>3</v>
      </c>
      <c r="J1921" s="6">
        <f>I1921-H1921</f>
        <v>0</v>
      </c>
      <c r="K1921" s="5">
        <f>IF(H1921=0,"",J1921/H1921)</f>
        <v>0</v>
      </c>
      <c r="L1921">
        <f>IF(OR(AND(H1921=0,ABS(J1921)&gt;=0.01),AND(H1921&lt;&gt;0,ABS(K1921)&gt;VarianceThreshold)),"Review","OK")</f>
        <v>0</v>
      </c>
      <c r="M1921" t="s">
        <v>33</v>
      </c>
    </row>
    <row r="1922" spans="1:13">
      <c r="A1922" t="s">
        <v>2</v>
      </c>
      <c r="B1922" t="s">
        <v>980</v>
      </c>
      <c r="C1922" t="s">
        <v>1664</v>
      </c>
      <c r="D1922" t="s">
        <v>1084</v>
      </c>
      <c r="E1922" cm="1">
        <f t="array" ref="E1922">_xlfn.XLOOKUP(D1922,SKU_Master!A:A,SKU_Master!B:B,"Not on master")</f>
        <v>0</v>
      </c>
      <c r="F1922" cm="1">
        <f t="array" ref="F1922">_xlfn.XLOOKUP(C1922,Account_Master!A:A,Account_Master!B:B,"Not on master")</f>
        <v>0</v>
      </c>
      <c r="G1922" cm="1">
        <f t="array" ref="G1922">_xlfn.XLOOKUP(C1922,Account_Master!A:A,Account_Master!C:C,"Not on master")</f>
        <v>0</v>
      </c>
      <c r="H1922" s="6">
        <v>6</v>
      </c>
      <c r="I1922" s="6">
        <v>6</v>
      </c>
      <c r="J1922" s="6">
        <f>I1922-H1922</f>
        <v>0</v>
      </c>
      <c r="K1922" s="5">
        <f>IF(H1922=0,"",J1922/H1922)</f>
        <v>0</v>
      </c>
      <c r="L1922">
        <f>IF(OR(AND(H1922=0,ABS(J1922)&gt;=0.01),AND(H1922&lt;&gt;0,ABS(K1922)&gt;VarianceThreshold)),"Review","OK")</f>
        <v>0</v>
      </c>
      <c r="M1922" t="s">
        <v>33</v>
      </c>
    </row>
    <row r="1923" spans="1:13">
      <c r="A1923" t="s">
        <v>2</v>
      </c>
      <c r="B1923" t="s">
        <v>980</v>
      </c>
      <c r="C1923" t="s">
        <v>1632</v>
      </c>
      <c r="D1923" t="s">
        <v>2001</v>
      </c>
      <c r="E1923" cm="1">
        <f t="array" ref="E1923">_xlfn.XLOOKUP(D1923,SKU_Master!A:A,SKU_Master!B:B,"Not on master")</f>
        <v>0</v>
      </c>
      <c r="F1923" cm="1">
        <f t="array" ref="F1923">_xlfn.XLOOKUP(C1923,Account_Master!A:A,Account_Master!B:B,"Not on master")</f>
        <v>0</v>
      </c>
      <c r="G1923" cm="1">
        <f t="array" ref="G1923">_xlfn.XLOOKUP(C1923,Account_Master!A:A,Account_Master!C:C,"Not on master")</f>
        <v>0</v>
      </c>
      <c r="H1923" s="6">
        <v>10.5</v>
      </c>
      <c r="I1923" s="6">
        <v>10.5</v>
      </c>
      <c r="J1923" s="6">
        <f>I1923-H1923</f>
        <v>0</v>
      </c>
      <c r="K1923" s="5">
        <f>IF(H1923=0,"",J1923/H1923)</f>
        <v>0</v>
      </c>
      <c r="L1923">
        <f>IF(OR(AND(H1923=0,ABS(J1923)&gt;=0.01),AND(H1923&lt;&gt;0,ABS(K1923)&gt;VarianceThreshold)),"Review","OK")</f>
        <v>0</v>
      </c>
      <c r="M1923" t="s">
        <v>33</v>
      </c>
    </row>
    <row r="1924" spans="1:13">
      <c r="A1924" t="s">
        <v>2</v>
      </c>
      <c r="B1924" t="s">
        <v>980</v>
      </c>
      <c r="C1924" t="s">
        <v>1664</v>
      </c>
      <c r="D1924" t="s">
        <v>2002</v>
      </c>
      <c r="E1924" cm="1">
        <f t="array" ref="E1924">_xlfn.XLOOKUP(D1924,SKU_Master!A:A,SKU_Master!B:B,"Not on master")</f>
        <v>0</v>
      </c>
      <c r="F1924" cm="1">
        <f t="array" ref="F1924">_xlfn.XLOOKUP(C1924,Account_Master!A:A,Account_Master!B:B,"Not on master")</f>
        <v>0</v>
      </c>
      <c r="G1924" cm="1">
        <f t="array" ref="G1924">_xlfn.XLOOKUP(C1924,Account_Master!A:A,Account_Master!C:C,"Not on master")</f>
        <v>0</v>
      </c>
      <c r="H1924" s="6">
        <v>1.5</v>
      </c>
      <c r="I1924" s="6">
        <v>1.5</v>
      </c>
      <c r="J1924" s="6">
        <f>I1924-H1924</f>
        <v>0</v>
      </c>
      <c r="K1924" s="5">
        <f>IF(H1924=0,"",J1924/H1924)</f>
        <v>0</v>
      </c>
      <c r="L1924">
        <f>IF(OR(AND(H1924=0,ABS(J1924)&gt;=0.01),AND(H1924&lt;&gt;0,ABS(K1924)&gt;VarianceThreshold)),"Review","OK")</f>
        <v>0</v>
      </c>
      <c r="M1924" t="s">
        <v>33</v>
      </c>
    </row>
    <row r="1925" spans="1:13">
      <c r="A1925" t="s">
        <v>2</v>
      </c>
      <c r="B1925" t="s">
        <v>980</v>
      </c>
      <c r="C1925" t="s">
        <v>1664</v>
      </c>
      <c r="D1925" t="s">
        <v>2003</v>
      </c>
      <c r="E1925" cm="1">
        <f t="array" ref="E1925">_xlfn.XLOOKUP(D1925,SKU_Master!A:A,SKU_Master!B:B,"Not on master")</f>
        <v>0</v>
      </c>
      <c r="F1925" cm="1">
        <f t="array" ref="F1925">_xlfn.XLOOKUP(C1925,Account_Master!A:A,Account_Master!B:B,"Not on master")</f>
        <v>0</v>
      </c>
      <c r="G1925" cm="1">
        <f t="array" ref="G1925">_xlfn.XLOOKUP(C1925,Account_Master!A:A,Account_Master!C:C,"Not on master")</f>
        <v>0</v>
      </c>
      <c r="H1925" s="6">
        <v>18</v>
      </c>
      <c r="I1925" s="6">
        <v>18</v>
      </c>
      <c r="J1925" s="6">
        <f>I1925-H1925</f>
        <v>0</v>
      </c>
      <c r="K1925" s="5">
        <f>IF(H1925=0,"",J1925/H1925)</f>
        <v>0</v>
      </c>
      <c r="L1925">
        <f>IF(OR(AND(H1925=0,ABS(J1925)&gt;=0.01),AND(H1925&lt;&gt;0,ABS(K1925)&gt;VarianceThreshold)),"Review","OK")</f>
        <v>0</v>
      </c>
      <c r="M1925" t="s">
        <v>33</v>
      </c>
    </row>
    <row r="1926" spans="1:13">
      <c r="A1926" t="s">
        <v>2</v>
      </c>
      <c r="B1926" t="s">
        <v>980</v>
      </c>
      <c r="C1926" t="s">
        <v>2004</v>
      </c>
      <c r="D1926" t="s">
        <v>2005</v>
      </c>
      <c r="E1926" cm="1">
        <f t="array" ref="E1926">_xlfn.XLOOKUP(D1926,SKU_Master!A:A,SKU_Master!B:B,"Not on master")</f>
        <v>0</v>
      </c>
      <c r="F1926" cm="1">
        <f t="array" ref="F1926">_xlfn.XLOOKUP(C1926,Account_Master!A:A,Account_Master!B:B,"Not on master")</f>
        <v>0</v>
      </c>
      <c r="G1926" cm="1">
        <f t="array" ref="G1926">_xlfn.XLOOKUP(C1926,Account_Master!A:A,Account_Master!C:C,"Not on master")</f>
        <v>0</v>
      </c>
      <c r="H1926" s="6">
        <v>20.25</v>
      </c>
      <c r="I1926" s="6">
        <v>11.25</v>
      </c>
      <c r="J1926" s="6">
        <f>I1926-H1926</f>
        <v>0</v>
      </c>
      <c r="K1926" s="5">
        <f>IF(H1926=0,"",J1926/H1926)</f>
        <v>0</v>
      </c>
      <c r="L1926">
        <f>IF(OR(AND(H1926=0,ABS(J1926)&gt;=0.01),AND(H1926&lt;&gt;0,ABS(K1926)&gt;VarianceThreshold)),"Review","OK")</f>
        <v>0</v>
      </c>
      <c r="M1926" t="s">
        <v>1611</v>
      </c>
    </row>
    <row r="1927" spans="1:13">
      <c r="A1927" t="s">
        <v>2</v>
      </c>
      <c r="B1927" t="s">
        <v>980</v>
      </c>
      <c r="C1927" t="s">
        <v>1624</v>
      </c>
      <c r="D1927" t="s">
        <v>2006</v>
      </c>
      <c r="E1927" cm="1">
        <f t="array" ref="E1927">_xlfn.XLOOKUP(D1927,SKU_Master!A:A,SKU_Master!B:B,"Not on master")</f>
        <v>0</v>
      </c>
      <c r="F1927" cm="1">
        <f t="array" ref="F1927">_xlfn.XLOOKUP(C1927,Account_Master!A:A,Account_Master!B:B,"Not on master")</f>
        <v>0</v>
      </c>
      <c r="G1927" cm="1">
        <f t="array" ref="G1927">_xlfn.XLOOKUP(C1927,Account_Master!A:A,Account_Master!C:C,"Not on master")</f>
        <v>0</v>
      </c>
      <c r="H1927" s="6">
        <v>2.25</v>
      </c>
      <c r="I1927" s="6">
        <v>2.25</v>
      </c>
      <c r="J1927" s="6">
        <f>I1927-H1927</f>
        <v>0</v>
      </c>
      <c r="K1927" s="5">
        <f>IF(H1927=0,"",J1927/H1927)</f>
        <v>0</v>
      </c>
      <c r="L1927">
        <f>IF(OR(AND(H1927=0,ABS(J1927)&gt;=0.01),AND(H1927&lt;&gt;0,ABS(K1927)&gt;VarianceThreshold)),"Review","OK")</f>
        <v>0</v>
      </c>
      <c r="M1927" t="s">
        <v>33</v>
      </c>
    </row>
    <row r="1928" spans="1:13">
      <c r="A1928" t="s">
        <v>2</v>
      </c>
      <c r="B1928" t="s">
        <v>980</v>
      </c>
      <c r="C1928" t="s">
        <v>1727</v>
      </c>
      <c r="D1928" t="s">
        <v>2007</v>
      </c>
      <c r="E1928" cm="1">
        <f t="array" ref="E1928">_xlfn.XLOOKUP(D1928,SKU_Master!A:A,SKU_Master!B:B,"Not on master")</f>
        <v>0</v>
      </c>
      <c r="F1928" cm="1">
        <f t="array" ref="F1928">_xlfn.XLOOKUP(C1928,Account_Master!A:A,Account_Master!B:B,"Not on master")</f>
        <v>0</v>
      </c>
      <c r="G1928" cm="1">
        <f t="array" ref="G1928">_xlfn.XLOOKUP(C1928,Account_Master!A:A,Account_Master!C:C,"Not on master")</f>
        <v>0</v>
      </c>
      <c r="H1928" s="6">
        <v>4.5</v>
      </c>
      <c r="I1928" s="6">
        <v>4.5</v>
      </c>
      <c r="J1928" s="6">
        <f>I1928-H1928</f>
        <v>0</v>
      </c>
      <c r="K1928" s="5">
        <f>IF(H1928=0,"",J1928/H1928)</f>
        <v>0</v>
      </c>
      <c r="L1928">
        <f>IF(OR(AND(H1928=0,ABS(J1928)&gt;=0.01),AND(H1928&lt;&gt;0,ABS(K1928)&gt;VarianceThreshold)),"Review","OK")</f>
        <v>0</v>
      </c>
      <c r="M1928" t="s">
        <v>33</v>
      </c>
    </row>
    <row r="1929" spans="1:13">
      <c r="A1929" t="s">
        <v>2</v>
      </c>
      <c r="B1929" t="s">
        <v>980</v>
      </c>
      <c r="C1929" t="s">
        <v>1615</v>
      </c>
      <c r="D1929" t="s">
        <v>271</v>
      </c>
      <c r="E1929" cm="1">
        <f t="array" ref="E1929">_xlfn.XLOOKUP(D1929,SKU_Master!A:A,SKU_Master!B:B,"Not on master")</f>
        <v>0</v>
      </c>
      <c r="F1929" cm="1">
        <f t="array" ref="F1929">_xlfn.XLOOKUP(C1929,Account_Master!A:A,Account_Master!B:B,"Not on master")</f>
        <v>0</v>
      </c>
      <c r="G1929" cm="1">
        <f t="array" ref="G1929">_xlfn.XLOOKUP(C1929,Account_Master!A:A,Account_Master!C:C,"Not on master")</f>
        <v>0</v>
      </c>
      <c r="H1929" s="6">
        <v>12</v>
      </c>
      <c r="I1929" s="6">
        <v>12</v>
      </c>
      <c r="J1929" s="6">
        <f>I1929-H1929</f>
        <v>0</v>
      </c>
      <c r="K1929" s="5">
        <f>IF(H1929=0,"",J1929/H1929)</f>
        <v>0</v>
      </c>
      <c r="L1929">
        <f>IF(OR(AND(H1929=0,ABS(J1929)&gt;=0.01),AND(H1929&lt;&gt;0,ABS(K1929)&gt;VarianceThreshold)),"Review","OK")</f>
        <v>0</v>
      </c>
      <c r="M1929" t="s">
        <v>33</v>
      </c>
    </row>
    <row r="1930" spans="1:13">
      <c r="A1930" t="s">
        <v>2</v>
      </c>
      <c r="B1930" t="s">
        <v>992</v>
      </c>
      <c r="C1930" t="s">
        <v>1632</v>
      </c>
      <c r="D1930" t="s">
        <v>2008</v>
      </c>
      <c r="E1930" cm="1">
        <f t="array" ref="E1930">_xlfn.XLOOKUP(D1930,SKU_Master!A:A,SKU_Master!B:B,"Not on master")</f>
        <v>0</v>
      </c>
      <c r="F1930" cm="1">
        <f t="array" ref="F1930">_xlfn.XLOOKUP(C1930,Account_Master!A:A,Account_Master!B:B,"Not on master")</f>
        <v>0</v>
      </c>
      <c r="G1930" cm="1">
        <f t="array" ref="G1930">_xlfn.XLOOKUP(C1930,Account_Master!A:A,Account_Master!C:C,"Not on master")</f>
        <v>0</v>
      </c>
      <c r="H1930" s="6">
        <v>9</v>
      </c>
      <c r="I1930" s="6">
        <v>9</v>
      </c>
      <c r="J1930" s="6">
        <f>I1930-H1930</f>
        <v>0</v>
      </c>
      <c r="K1930" s="5">
        <f>IF(H1930=0,"",J1930/H1930)</f>
        <v>0</v>
      </c>
      <c r="L1930">
        <f>IF(OR(AND(H1930=0,ABS(J1930)&gt;=0.01),AND(H1930&lt;&gt;0,ABS(K1930)&gt;VarianceThreshold)),"Review","OK")</f>
        <v>0</v>
      </c>
      <c r="M1930" t="s">
        <v>33</v>
      </c>
    </row>
    <row r="1931" spans="1:13">
      <c r="A1931" t="s">
        <v>2</v>
      </c>
      <c r="B1931" t="s">
        <v>992</v>
      </c>
      <c r="C1931" t="s">
        <v>1632</v>
      </c>
      <c r="D1931" t="s">
        <v>561</v>
      </c>
      <c r="E1931" cm="1">
        <f t="array" ref="E1931">_xlfn.XLOOKUP(D1931,SKU_Master!A:A,SKU_Master!B:B,"Not on master")</f>
        <v>0</v>
      </c>
      <c r="F1931" cm="1">
        <f t="array" ref="F1931">_xlfn.XLOOKUP(C1931,Account_Master!A:A,Account_Master!B:B,"Not on master")</f>
        <v>0</v>
      </c>
      <c r="G1931" cm="1">
        <f t="array" ref="G1931">_xlfn.XLOOKUP(C1931,Account_Master!A:A,Account_Master!C:C,"Not on master")</f>
        <v>0</v>
      </c>
      <c r="H1931" s="6">
        <v>73.5</v>
      </c>
      <c r="I1931" s="6">
        <v>73.5</v>
      </c>
      <c r="J1931" s="6">
        <f>I1931-H1931</f>
        <v>0</v>
      </c>
      <c r="K1931" s="5">
        <f>IF(H1931=0,"",J1931/H1931)</f>
        <v>0</v>
      </c>
      <c r="L1931">
        <f>IF(OR(AND(H1931=0,ABS(J1931)&gt;=0.01),AND(H1931&lt;&gt;0,ABS(K1931)&gt;VarianceThreshold)),"Review","OK")</f>
        <v>0</v>
      </c>
      <c r="M1931" t="s">
        <v>33</v>
      </c>
    </row>
    <row r="1932" spans="1:13">
      <c r="A1932" t="s">
        <v>2</v>
      </c>
      <c r="B1932" t="s">
        <v>1002</v>
      </c>
      <c r="C1932" t="s">
        <v>1639</v>
      </c>
      <c r="D1932" t="s">
        <v>655</v>
      </c>
      <c r="E1932" cm="1">
        <f t="array" ref="E1932">_xlfn.XLOOKUP(D1932,SKU_Master!A:A,SKU_Master!B:B,"Not on master")</f>
        <v>0</v>
      </c>
      <c r="F1932" cm="1">
        <f t="array" ref="F1932">_xlfn.XLOOKUP(C1932,Account_Master!A:A,Account_Master!B:B,"Not on master")</f>
        <v>0</v>
      </c>
      <c r="G1932" cm="1">
        <f t="array" ref="G1932">_xlfn.XLOOKUP(C1932,Account_Master!A:A,Account_Master!C:C,"Not on master")</f>
        <v>0</v>
      </c>
      <c r="H1932" s="6">
        <v>10.5</v>
      </c>
      <c r="I1932" s="6">
        <v>10.5</v>
      </c>
      <c r="J1932" s="6">
        <f>I1932-H1932</f>
        <v>0</v>
      </c>
      <c r="K1932" s="5">
        <f>IF(H1932=0,"",J1932/H1932)</f>
        <v>0</v>
      </c>
      <c r="L1932">
        <f>IF(OR(AND(H1932=0,ABS(J1932)&gt;=0.01),AND(H1932&lt;&gt;0,ABS(K1932)&gt;VarianceThreshold)),"Review","OK")</f>
        <v>0</v>
      </c>
      <c r="M1932" t="s">
        <v>33</v>
      </c>
    </row>
    <row r="1933" spans="1:13">
      <c r="A1933" t="s">
        <v>2</v>
      </c>
      <c r="B1933" t="s">
        <v>1002</v>
      </c>
      <c r="C1933" t="s">
        <v>1988</v>
      </c>
      <c r="D1933" t="s">
        <v>1362</v>
      </c>
      <c r="E1933" cm="1">
        <f t="array" ref="E1933">_xlfn.XLOOKUP(D1933,SKU_Master!A:A,SKU_Master!B:B,"Not on master")</f>
        <v>0</v>
      </c>
      <c r="F1933" cm="1">
        <f t="array" ref="F1933">_xlfn.XLOOKUP(C1933,Account_Master!A:A,Account_Master!B:B,"Not on master")</f>
        <v>0</v>
      </c>
      <c r="G1933" cm="1">
        <f t="array" ref="G1933">_xlfn.XLOOKUP(C1933,Account_Master!A:A,Account_Master!C:C,"Not on master")</f>
        <v>0</v>
      </c>
      <c r="H1933" s="6">
        <v>26.99</v>
      </c>
      <c r="I1933" s="6">
        <v>26.24</v>
      </c>
      <c r="J1933" s="6">
        <f>I1933-H1933</f>
        <v>0</v>
      </c>
      <c r="K1933" s="5">
        <f>IF(H1933=0,"",J1933/H1933)</f>
        <v>0</v>
      </c>
      <c r="L1933">
        <f>IF(OR(AND(H1933=0,ABS(J1933)&gt;=0.01),AND(H1933&lt;&gt;0,ABS(K1933)&gt;VarianceThreshold)),"Review","OK")</f>
        <v>0</v>
      </c>
      <c r="M1933" t="s">
        <v>33</v>
      </c>
    </row>
    <row r="1934" spans="1:13">
      <c r="A1934" t="s">
        <v>2</v>
      </c>
      <c r="B1934" t="s">
        <v>1002</v>
      </c>
      <c r="C1934" t="s">
        <v>2009</v>
      </c>
      <c r="D1934" t="s">
        <v>2010</v>
      </c>
      <c r="E1934" cm="1">
        <f t="array" ref="E1934">_xlfn.XLOOKUP(D1934,SKU_Master!A:A,SKU_Master!B:B,"Not on master")</f>
        <v>0</v>
      </c>
      <c r="F1934" cm="1">
        <f t="array" ref="F1934">_xlfn.XLOOKUP(C1934,Account_Master!A:A,Account_Master!B:B,"Not on master")</f>
        <v>0</v>
      </c>
      <c r="G1934" cm="1">
        <f t="array" ref="G1934">_xlfn.XLOOKUP(C1934,Account_Master!A:A,Account_Master!C:C,"Not on master")</f>
        <v>0</v>
      </c>
      <c r="H1934" s="6">
        <v>9</v>
      </c>
      <c r="I1934" s="6">
        <v>9</v>
      </c>
      <c r="J1934" s="6">
        <f>I1934-H1934</f>
        <v>0</v>
      </c>
      <c r="K1934" s="5">
        <f>IF(H1934=0,"",J1934/H1934)</f>
        <v>0</v>
      </c>
      <c r="L1934">
        <f>IF(OR(AND(H1934=0,ABS(J1934)&gt;=0.01),AND(H1934&lt;&gt;0,ABS(K1934)&gt;VarianceThreshold)),"Review","OK")</f>
        <v>0</v>
      </c>
      <c r="M1934" t="s">
        <v>33</v>
      </c>
    </row>
    <row r="1935" spans="1:13">
      <c r="A1935" t="s">
        <v>2</v>
      </c>
      <c r="B1935" t="s">
        <v>1002</v>
      </c>
      <c r="C1935" t="s">
        <v>1716</v>
      </c>
      <c r="D1935" t="s">
        <v>2011</v>
      </c>
      <c r="E1935" cm="1">
        <f t="array" ref="E1935">_xlfn.XLOOKUP(D1935,SKU_Master!A:A,SKU_Master!B:B,"Not on master")</f>
        <v>0</v>
      </c>
      <c r="F1935" cm="1">
        <f t="array" ref="F1935">_xlfn.XLOOKUP(C1935,Account_Master!A:A,Account_Master!B:B,"Not on master")</f>
        <v>0</v>
      </c>
      <c r="G1935" cm="1">
        <f t="array" ref="G1935">_xlfn.XLOOKUP(C1935,Account_Master!A:A,Account_Master!C:C,"Not on master")</f>
        <v>0</v>
      </c>
      <c r="H1935" s="6">
        <v>9.6</v>
      </c>
      <c r="I1935" s="6">
        <v>4.8</v>
      </c>
      <c r="J1935" s="6">
        <f>I1935-H1935</f>
        <v>0</v>
      </c>
      <c r="K1935" s="5">
        <f>IF(H1935=0,"",J1935/H1935)</f>
        <v>0</v>
      </c>
      <c r="L1935">
        <f>IF(OR(AND(H1935=0,ABS(J1935)&gt;=0.01),AND(H1935&lt;&gt;0,ABS(K1935)&gt;VarianceThreshold)),"Review","OK")</f>
        <v>0</v>
      </c>
      <c r="M1935" t="s">
        <v>1611</v>
      </c>
    </row>
    <row r="1936" spans="1:13">
      <c r="A1936" t="s">
        <v>3</v>
      </c>
      <c r="B1936" t="s">
        <v>30</v>
      </c>
      <c r="C1936" t="s">
        <v>2012</v>
      </c>
      <c r="D1936" t="s">
        <v>1152</v>
      </c>
      <c r="E1936" cm="1">
        <f t="array" ref="E1936">_xlfn.XLOOKUP(D1936,SKU_Master!A:A,SKU_Master!B:B,"Not on master")</f>
        <v>0</v>
      </c>
      <c r="F1936" cm="1">
        <f t="array" ref="F1936">_xlfn.XLOOKUP(C1936,Account_Master!A:A,Account_Master!B:B,"Not on master")</f>
        <v>0</v>
      </c>
      <c r="G1936" cm="1">
        <f t="array" ref="G1936">_xlfn.XLOOKUP(C1936,Account_Master!A:A,Account_Master!C:C,"Not on master")</f>
        <v>0</v>
      </c>
      <c r="H1936" s="6">
        <v>10.5</v>
      </c>
      <c r="I1936" s="6">
        <v>10.5</v>
      </c>
      <c r="J1936" s="6">
        <f>I1936-H1936</f>
        <v>0</v>
      </c>
      <c r="K1936" s="5">
        <f>IF(H1936=0,"",J1936/H1936)</f>
        <v>0</v>
      </c>
      <c r="L1936">
        <f>IF(OR(AND(H1936=0,ABS(J1936)&gt;=0.01),AND(H1936&lt;&gt;0,ABS(K1936)&gt;VarianceThreshold)),"Review","OK")</f>
        <v>0</v>
      </c>
      <c r="M1936" t="s">
        <v>33</v>
      </c>
    </row>
    <row r="1937" spans="1:13">
      <c r="A1937" t="s">
        <v>3</v>
      </c>
      <c r="B1937" t="s">
        <v>30</v>
      </c>
      <c r="C1937" t="s">
        <v>2013</v>
      </c>
      <c r="D1937" t="s">
        <v>2014</v>
      </c>
      <c r="E1937" cm="1">
        <f t="array" ref="E1937">_xlfn.XLOOKUP(D1937,SKU_Master!A:A,SKU_Master!B:B,"Not on master")</f>
        <v>0</v>
      </c>
      <c r="F1937" cm="1">
        <f t="array" ref="F1937">_xlfn.XLOOKUP(C1937,Account_Master!A:A,Account_Master!B:B,"Not on master")</f>
        <v>0</v>
      </c>
      <c r="G1937" cm="1">
        <f t="array" ref="G1937">_xlfn.XLOOKUP(C1937,Account_Master!A:A,Account_Master!C:C,"Not on master")</f>
        <v>0</v>
      </c>
      <c r="H1937" s="6">
        <v>4.5</v>
      </c>
      <c r="I1937" s="6">
        <v>4.5</v>
      </c>
      <c r="J1937" s="6">
        <f>I1937-H1937</f>
        <v>0</v>
      </c>
      <c r="K1937" s="5">
        <f>IF(H1937=0,"",J1937/H1937)</f>
        <v>0</v>
      </c>
      <c r="L1937">
        <f>IF(OR(AND(H1937=0,ABS(J1937)&gt;=0.01),AND(H1937&lt;&gt;0,ABS(K1937)&gt;VarianceThreshold)),"Review","OK")</f>
        <v>0</v>
      </c>
      <c r="M1937" t="s">
        <v>33</v>
      </c>
    </row>
    <row r="1938" spans="1:13">
      <c r="A1938" t="s">
        <v>3</v>
      </c>
      <c r="B1938" t="s">
        <v>30</v>
      </c>
      <c r="C1938" t="s">
        <v>2015</v>
      </c>
      <c r="D1938" t="s">
        <v>2016</v>
      </c>
      <c r="E1938" cm="1">
        <f t="array" ref="E1938">_xlfn.XLOOKUP(D1938,SKU_Master!A:A,SKU_Master!B:B,"Not on master")</f>
        <v>0</v>
      </c>
      <c r="F1938" cm="1">
        <f t="array" ref="F1938">_xlfn.XLOOKUP(C1938,Account_Master!A:A,Account_Master!B:B,"Not on master")</f>
        <v>0</v>
      </c>
      <c r="G1938" cm="1">
        <f t="array" ref="G1938">_xlfn.XLOOKUP(C1938,Account_Master!A:A,Account_Master!C:C,"Not on master")</f>
        <v>0</v>
      </c>
      <c r="H1938" s="6">
        <v>14.25</v>
      </c>
      <c r="I1938" s="6">
        <v>14.25</v>
      </c>
      <c r="J1938" s="6">
        <f>I1938-H1938</f>
        <v>0</v>
      </c>
      <c r="K1938" s="5">
        <f>IF(H1938=0,"",J1938/H1938)</f>
        <v>0</v>
      </c>
      <c r="L1938">
        <f>IF(OR(AND(H1938=0,ABS(J1938)&gt;=0.01),AND(H1938&lt;&gt;0,ABS(K1938)&gt;VarianceThreshold)),"Review","OK")</f>
        <v>0</v>
      </c>
      <c r="M1938" t="s">
        <v>33</v>
      </c>
    </row>
    <row r="1939" spans="1:13">
      <c r="A1939" t="s">
        <v>3</v>
      </c>
      <c r="B1939" t="s">
        <v>30</v>
      </c>
      <c r="C1939" t="s">
        <v>1837</v>
      </c>
      <c r="D1939" t="s">
        <v>2017</v>
      </c>
      <c r="E1939" cm="1">
        <f t="array" ref="E1939">_xlfn.XLOOKUP(D1939,SKU_Master!A:A,SKU_Master!B:B,"Not on master")</f>
        <v>0</v>
      </c>
      <c r="F1939" cm="1">
        <f t="array" ref="F1939">_xlfn.XLOOKUP(C1939,Account_Master!A:A,Account_Master!B:B,"Not on master")</f>
        <v>0</v>
      </c>
      <c r="G1939" cm="1">
        <f t="array" ref="G1939">_xlfn.XLOOKUP(C1939,Account_Master!A:A,Account_Master!C:C,"Not on master")</f>
        <v>0</v>
      </c>
      <c r="H1939" s="6">
        <v>9</v>
      </c>
      <c r="I1939" s="6">
        <v>9</v>
      </c>
      <c r="J1939" s="6">
        <f>I1939-H1939</f>
        <v>0</v>
      </c>
      <c r="K1939" s="5">
        <f>IF(H1939=0,"",J1939/H1939)</f>
        <v>0</v>
      </c>
      <c r="L1939">
        <f>IF(OR(AND(H1939=0,ABS(J1939)&gt;=0.01),AND(H1939&lt;&gt;0,ABS(K1939)&gt;VarianceThreshold)),"Review","OK")</f>
        <v>0</v>
      </c>
      <c r="M1939" t="s">
        <v>33</v>
      </c>
    </row>
    <row r="1940" spans="1:13">
      <c r="A1940" t="s">
        <v>3</v>
      </c>
      <c r="B1940" t="s">
        <v>30</v>
      </c>
      <c r="C1940" t="s">
        <v>2018</v>
      </c>
      <c r="D1940" t="s">
        <v>258</v>
      </c>
      <c r="E1940" cm="1">
        <f t="array" ref="E1940">_xlfn.XLOOKUP(D1940,SKU_Master!A:A,SKU_Master!B:B,"Not on master")</f>
        <v>0</v>
      </c>
      <c r="F1940" cm="1">
        <f t="array" ref="F1940">_xlfn.XLOOKUP(C1940,Account_Master!A:A,Account_Master!B:B,"Not on master")</f>
        <v>0</v>
      </c>
      <c r="G1940" cm="1">
        <f t="array" ref="G1940">_xlfn.XLOOKUP(C1940,Account_Master!A:A,Account_Master!C:C,"Not on master")</f>
        <v>0</v>
      </c>
      <c r="H1940" s="6">
        <v>76.5</v>
      </c>
      <c r="I1940" s="6">
        <v>76.5</v>
      </c>
      <c r="J1940" s="6">
        <f>I1940-H1940</f>
        <v>0</v>
      </c>
      <c r="K1940" s="5">
        <f>IF(H1940=0,"",J1940/H1940)</f>
        <v>0</v>
      </c>
      <c r="L1940">
        <f>IF(OR(AND(H1940=0,ABS(J1940)&gt;=0.01),AND(H1940&lt;&gt;0,ABS(K1940)&gt;VarianceThreshold)),"Review","OK")</f>
        <v>0</v>
      </c>
      <c r="M1940" t="s">
        <v>33</v>
      </c>
    </row>
    <row r="1941" spans="1:13">
      <c r="A1941" t="s">
        <v>3</v>
      </c>
      <c r="B1941" t="s">
        <v>30</v>
      </c>
      <c r="C1941" t="s">
        <v>2019</v>
      </c>
      <c r="D1941" t="s">
        <v>330</v>
      </c>
      <c r="E1941" cm="1">
        <f t="array" ref="E1941">_xlfn.XLOOKUP(D1941,SKU_Master!A:A,SKU_Master!B:B,"Not on master")</f>
        <v>0</v>
      </c>
      <c r="F1941" cm="1">
        <f t="array" ref="F1941">_xlfn.XLOOKUP(C1941,Account_Master!A:A,Account_Master!B:B,"Not on master")</f>
        <v>0</v>
      </c>
      <c r="G1941" cm="1">
        <f t="array" ref="G1941">_xlfn.XLOOKUP(C1941,Account_Master!A:A,Account_Master!C:C,"Not on master")</f>
        <v>0</v>
      </c>
      <c r="H1941" s="6">
        <v>3.75</v>
      </c>
      <c r="I1941" s="6">
        <v>3.75</v>
      </c>
      <c r="J1941" s="6">
        <f>I1941-H1941</f>
        <v>0</v>
      </c>
      <c r="K1941" s="5">
        <f>IF(H1941=0,"",J1941/H1941)</f>
        <v>0</v>
      </c>
      <c r="L1941">
        <f>IF(OR(AND(H1941=0,ABS(J1941)&gt;=0.01),AND(H1941&lt;&gt;0,ABS(K1941)&gt;VarianceThreshold)),"Review","OK")</f>
        <v>0</v>
      </c>
      <c r="M1941" t="s">
        <v>33</v>
      </c>
    </row>
    <row r="1942" spans="1:13">
      <c r="A1942" t="s">
        <v>3</v>
      </c>
      <c r="B1942" t="s">
        <v>47</v>
      </c>
      <c r="C1942" t="s">
        <v>2020</v>
      </c>
      <c r="D1942" t="s">
        <v>2021</v>
      </c>
      <c r="E1942" cm="1">
        <f t="array" ref="E1942">_xlfn.XLOOKUP(D1942,SKU_Master!A:A,SKU_Master!B:B,"Not on master")</f>
        <v>0</v>
      </c>
      <c r="F1942" cm="1">
        <f t="array" ref="F1942">_xlfn.XLOOKUP(C1942,Account_Master!A:A,Account_Master!B:B,"Not on master")</f>
        <v>0</v>
      </c>
      <c r="G1942" cm="1">
        <f t="array" ref="G1942">_xlfn.XLOOKUP(C1942,Account_Master!A:A,Account_Master!C:C,"Not on master")</f>
        <v>0</v>
      </c>
      <c r="H1942" s="6">
        <v>9</v>
      </c>
      <c r="I1942" s="6">
        <v>9</v>
      </c>
      <c r="J1942" s="6">
        <f>I1942-H1942</f>
        <v>0</v>
      </c>
      <c r="K1942" s="5">
        <f>IF(H1942=0,"",J1942/H1942)</f>
        <v>0</v>
      </c>
      <c r="L1942">
        <f>IF(OR(AND(H1942=0,ABS(J1942)&gt;=0.01),AND(H1942&lt;&gt;0,ABS(K1942)&gt;VarianceThreshold)),"Review","OK")</f>
        <v>0</v>
      </c>
      <c r="M1942" t="s">
        <v>33</v>
      </c>
    </row>
    <row r="1943" spans="1:13">
      <c r="A1943" t="s">
        <v>3</v>
      </c>
      <c r="B1943" t="s">
        <v>47</v>
      </c>
      <c r="C1943" t="s">
        <v>2022</v>
      </c>
      <c r="D1943" t="s">
        <v>1407</v>
      </c>
      <c r="E1943" cm="1">
        <f t="array" ref="E1943">_xlfn.XLOOKUP(D1943,SKU_Master!A:A,SKU_Master!B:B,"Not on master")</f>
        <v>0</v>
      </c>
      <c r="F1943" cm="1">
        <f t="array" ref="F1943">_xlfn.XLOOKUP(C1943,Account_Master!A:A,Account_Master!B:B,"Not on master")</f>
        <v>0</v>
      </c>
      <c r="G1943" cm="1">
        <f t="array" ref="G1943">_xlfn.XLOOKUP(C1943,Account_Master!A:A,Account_Master!C:C,"Not on master")</f>
        <v>0</v>
      </c>
      <c r="H1943" s="6">
        <v>33.25</v>
      </c>
      <c r="I1943" s="6">
        <v>33.25</v>
      </c>
      <c r="J1943" s="6">
        <f>I1943-H1943</f>
        <v>0</v>
      </c>
      <c r="K1943" s="5">
        <f>IF(H1943=0,"",J1943/H1943)</f>
        <v>0</v>
      </c>
      <c r="L1943">
        <f>IF(OR(AND(H1943=0,ABS(J1943)&gt;=0.01),AND(H1943&lt;&gt;0,ABS(K1943)&gt;VarianceThreshold)),"Review","OK")</f>
        <v>0</v>
      </c>
      <c r="M1943" t="s">
        <v>33</v>
      </c>
    </row>
    <row r="1944" spans="1:13">
      <c r="A1944" t="s">
        <v>3</v>
      </c>
      <c r="B1944" t="s">
        <v>47</v>
      </c>
      <c r="C1944" t="s">
        <v>2023</v>
      </c>
      <c r="D1944" t="s">
        <v>738</v>
      </c>
      <c r="E1944" cm="1">
        <f t="array" ref="E1944">_xlfn.XLOOKUP(D1944,SKU_Master!A:A,SKU_Master!B:B,"Not on master")</f>
        <v>0</v>
      </c>
      <c r="F1944" cm="1">
        <f t="array" ref="F1944">_xlfn.XLOOKUP(C1944,Account_Master!A:A,Account_Master!B:B,"Not on master")</f>
        <v>0</v>
      </c>
      <c r="G1944" cm="1">
        <f t="array" ref="G1944">_xlfn.XLOOKUP(C1944,Account_Master!A:A,Account_Master!C:C,"Not on master")</f>
        <v>0</v>
      </c>
      <c r="H1944" s="6">
        <v>9</v>
      </c>
      <c r="I1944" s="6">
        <v>9</v>
      </c>
      <c r="J1944" s="6">
        <f>I1944-H1944</f>
        <v>0</v>
      </c>
      <c r="K1944" s="5">
        <f>IF(H1944=0,"",J1944/H1944)</f>
        <v>0</v>
      </c>
      <c r="L1944">
        <f>IF(OR(AND(H1944=0,ABS(J1944)&gt;=0.01),AND(H1944&lt;&gt;0,ABS(K1944)&gt;VarianceThreshold)),"Review","OK")</f>
        <v>0</v>
      </c>
      <c r="M1944" t="s">
        <v>33</v>
      </c>
    </row>
    <row r="1945" spans="1:13">
      <c r="A1945" t="s">
        <v>3</v>
      </c>
      <c r="B1945" t="s">
        <v>47</v>
      </c>
      <c r="C1945" t="s">
        <v>2022</v>
      </c>
      <c r="D1945" t="s">
        <v>1455</v>
      </c>
      <c r="E1945" cm="1">
        <f t="array" ref="E1945">_xlfn.XLOOKUP(D1945,SKU_Master!A:A,SKU_Master!B:B,"Not on master")</f>
        <v>0</v>
      </c>
      <c r="F1945" cm="1">
        <f t="array" ref="F1945">_xlfn.XLOOKUP(C1945,Account_Master!A:A,Account_Master!B:B,"Not on master")</f>
        <v>0</v>
      </c>
      <c r="G1945" cm="1">
        <f t="array" ref="G1945">_xlfn.XLOOKUP(C1945,Account_Master!A:A,Account_Master!C:C,"Not on master")</f>
        <v>0</v>
      </c>
      <c r="H1945" s="6">
        <v>93.75</v>
      </c>
      <c r="I1945" s="6">
        <v>93.75</v>
      </c>
      <c r="J1945" s="6">
        <f>I1945-H1945</f>
        <v>0</v>
      </c>
      <c r="K1945" s="5">
        <f>IF(H1945=0,"",J1945/H1945)</f>
        <v>0</v>
      </c>
      <c r="L1945">
        <f>IF(OR(AND(H1945=0,ABS(J1945)&gt;=0.01),AND(H1945&lt;&gt;0,ABS(K1945)&gt;VarianceThreshold)),"Review","OK")</f>
        <v>0</v>
      </c>
      <c r="M1945" t="s">
        <v>33</v>
      </c>
    </row>
    <row r="1946" spans="1:13">
      <c r="A1946" t="s">
        <v>3</v>
      </c>
      <c r="B1946" t="s">
        <v>47</v>
      </c>
      <c r="C1946" t="s">
        <v>2022</v>
      </c>
      <c r="D1946" t="s">
        <v>2024</v>
      </c>
      <c r="E1946" cm="1">
        <f t="array" ref="E1946">_xlfn.XLOOKUP(D1946,SKU_Master!A:A,SKU_Master!B:B,"Not on master")</f>
        <v>0</v>
      </c>
      <c r="F1946" cm="1">
        <f t="array" ref="F1946">_xlfn.XLOOKUP(C1946,Account_Master!A:A,Account_Master!B:B,"Not on master")</f>
        <v>0</v>
      </c>
      <c r="G1946" cm="1">
        <f t="array" ref="G1946">_xlfn.XLOOKUP(C1946,Account_Master!A:A,Account_Master!C:C,"Not on master")</f>
        <v>0</v>
      </c>
      <c r="H1946" s="6">
        <v>62.25</v>
      </c>
      <c r="I1946" s="6">
        <v>62.25</v>
      </c>
      <c r="J1946" s="6">
        <f>I1946-H1946</f>
        <v>0</v>
      </c>
      <c r="K1946" s="5">
        <f>IF(H1946=0,"",J1946/H1946)</f>
        <v>0</v>
      </c>
      <c r="L1946">
        <f>IF(OR(AND(H1946=0,ABS(J1946)&gt;=0.01),AND(H1946&lt;&gt;0,ABS(K1946)&gt;VarianceThreshold)),"Review","OK")</f>
        <v>0</v>
      </c>
      <c r="M1946" t="s">
        <v>33</v>
      </c>
    </row>
    <row r="1947" spans="1:13">
      <c r="A1947" t="s">
        <v>3</v>
      </c>
      <c r="B1947" t="s">
        <v>47</v>
      </c>
      <c r="C1947" t="s">
        <v>2022</v>
      </c>
      <c r="D1947" t="s">
        <v>2025</v>
      </c>
      <c r="E1947" cm="1">
        <f t="array" ref="E1947">_xlfn.XLOOKUP(D1947,SKU_Master!A:A,SKU_Master!B:B,"Not on master")</f>
        <v>0</v>
      </c>
      <c r="F1947" cm="1">
        <f t="array" ref="F1947">_xlfn.XLOOKUP(C1947,Account_Master!A:A,Account_Master!B:B,"Not on master")</f>
        <v>0</v>
      </c>
      <c r="G1947" cm="1">
        <f t="array" ref="G1947">_xlfn.XLOOKUP(C1947,Account_Master!A:A,Account_Master!C:C,"Not on master")</f>
        <v>0</v>
      </c>
      <c r="H1947" s="6">
        <v>24</v>
      </c>
      <c r="I1947" s="6">
        <v>24</v>
      </c>
      <c r="J1947" s="6">
        <f>I1947-H1947</f>
        <v>0</v>
      </c>
      <c r="K1947" s="5">
        <f>IF(H1947=0,"",J1947/H1947)</f>
        <v>0</v>
      </c>
      <c r="L1947">
        <f>IF(OR(AND(H1947=0,ABS(J1947)&gt;=0.01),AND(H1947&lt;&gt;0,ABS(K1947)&gt;VarianceThreshold)),"Review","OK")</f>
        <v>0</v>
      </c>
      <c r="M1947" t="s">
        <v>33</v>
      </c>
    </row>
    <row r="1948" spans="1:13">
      <c r="A1948" t="s">
        <v>3</v>
      </c>
      <c r="B1948" t="s">
        <v>47</v>
      </c>
      <c r="C1948" t="s">
        <v>2026</v>
      </c>
      <c r="D1948" t="s">
        <v>633</v>
      </c>
      <c r="E1948" cm="1">
        <f t="array" ref="E1948">_xlfn.XLOOKUP(D1948,SKU_Master!A:A,SKU_Master!B:B,"Not on master")</f>
        <v>0</v>
      </c>
      <c r="F1948" cm="1">
        <f t="array" ref="F1948">_xlfn.XLOOKUP(C1948,Account_Master!A:A,Account_Master!B:B,"Not on master")</f>
        <v>0</v>
      </c>
      <c r="G1948" cm="1">
        <f t="array" ref="G1948">_xlfn.XLOOKUP(C1948,Account_Master!A:A,Account_Master!C:C,"Not on master")</f>
        <v>0</v>
      </c>
      <c r="H1948" s="6">
        <v>57.75</v>
      </c>
      <c r="I1948" s="6">
        <v>57.75</v>
      </c>
      <c r="J1948" s="6">
        <f>I1948-H1948</f>
        <v>0</v>
      </c>
      <c r="K1948" s="5">
        <f>IF(H1948=0,"",J1948/H1948)</f>
        <v>0</v>
      </c>
      <c r="L1948">
        <f>IF(OR(AND(H1948=0,ABS(J1948)&gt;=0.01),AND(H1948&lt;&gt;0,ABS(K1948)&gt;VarianceThreshold)),"Review","OK")</f>
        <v>0</v>
      </c>
      <c r="M1948" t="s">
        <v>33</v>
      </c>
    </row>
    <row r="1949" spans="1:13">
      <c r="A1949" t="s">
        <v>3</v>
      </c>
      <c r="B1949" t="s">
        <v>47</v>
      </c>
      <c r="C1949" t="s">
        <v>2027</v>
      </c>
      <c r="D1949" t="s">
        <v>2010</v>
      </c>
      <c r="E1949" cm="1">
        <f t="array" ref="E1949">_xlfn.XLOOKUP(D1949,SKU_Master!A:A,SKU_Master!B:B,"Not on master")</f>
        <v>0</v>
      </c>
      <c r="F1949" cm="1">
        <f t="array" ref="F1949">_xlfn.XLOOKUP(C1949,Account_Master!A:A,Account_Master!B:B,"Not on master")</f>
        <v>0</v>
      </c>
      <c r="G1949" cm="1">
        <f t="array" ref="G1949">_xlfn.XLOOKUP(C1949,Account_Master!A:A,Account_Master!C:C,"Not on master")</f>
        <v>0</v>
      </c>
      <c r="H1949" s="6">
        <v>15.75</v>
      </c>
      <c r="I1949" s="6">
        <v>15.75</v>
      </c>
      <c r="J1949" s="6">
        <f>I1949-H1949</f>
        <v>0</v>
      </c>
      <c r="K1949" s="5">
        <f>IF(H1949=0,"",J1949/H1949)</f>
        <v>0</v>
      </c>
      <c r="L1949">
        <f>IF(OR(AND(H1949=0,ABS(J1949)&gt;=0.01),AND(H1949&lt;&gt;0,ABS(K1949)&gt;VarianceThreshold)),"Review","OK")</f>
        <v>0</v>
      </c>
      <c r="M1949" t="s">
        <v>33</v>
      </c>
    </row>
    <row r="1950" spans="1:13">
      <c r="A1950" t="s">
        <v>3</v>
      </c>
      <c r="B1950" t="s">
        <v>47</v>
      </c>
      <c r="C1950" t="s">
        <v>2026</v>
      </c>
      <c r="D1950" t="s">
        <v>2028</v>
      </c>
      <c r="E1950" cm="1">
        <f t="array" ref="E1950">_xlfn.XLOOKUP(D1950,SKU_Master!A:A,SKU_Master!B:B,"Not on master")</f>
        <v>0</v>
      </c>
      <c r="F1950" cm="1">
        <f t="array" ref="F1950">_xlfn.XLOOKUP(C1950,Account_Master!A:A,Account_Master!B:B,"Not on master")</f>
        <v>0</v>
      </c>
      <c r="G1950" cm="1">
        <f t="array" ref="G1950">_xlfn.XLOOKUP(C1950,Account_Master!A:A,Account_Master!C:C,"Not on master")</f>
        <v>0</v>
      </c>
      <c r="H1950" s="6">
        <v>462</v>
      </c>
      <c r="I1950" s="6">
        <v>462</v>
      </c>
      <c r="J1950" s="6">
        <f>I1950-H1950</f>
        <v>0</v>
      </c>
      <c r="K1950" s="5">
        <f>IF(H1950=0,"",J1950/H1950)</f>
        <v>0</v>
      </c>
      <c r="L1950">
        <f>IF(OR(AND(H1950=0,ABS(J1950)&gt;=0.01),AND(H1950&lt;&gt;0,ABS(K1950)&gt;VarianceThreshold)),"Review","OK")</f>
        <v>0</v>
      </c>
      <c r="M1950" t="s">
        <v>33</v>
      </c>
    </row>
    <row r="1951" spans="1:13">
      <c r="A1951" t="s">
        <v>3</v>
      </c>
      <c r="B1951" t="s">
        <v>62</v>
      </c>
      <c r="C1951" t="s">
        <v>2029</v>
      </c>
      <c r="D1951" t="s">
        <v>49</v>
      </c>
      <c r="E1951" cm="1">
        <f t="array" ref="E1951">_xlfn.XLOOKUP(D1951,SKU_Master!A:A,SKU_Master!B:B,"Not on master")</f>
        <v>0</v>
      </c>
      <c r="F1951" cm="1">
        <f t="array" ref="F1951">_xlfn.XLOOKUP(C1951,Account_Master!A:A,Account_Master!B:B,"Not on master")</f>
        <v>0</v>
      </c>
      <c r="G1951" cm="1">
        <f t="array" ref="G1951">_xlfn.XLOOKUP(C1951,Account_Master!A:A,Account_Master!C:C,"Not on master")</f>
        <v>0</v>
      </c>
      <c r="H1951" s="6">
        <v>4</v>
      </c>
      <c r="I1951" s="6">
        <v>4</v>
      </c>
      <c r="J1951" s="6">
        <f>I1951-H1951</f>
        <v>0</v>
      </c>
      <c r="K1951" s="5">
        <f>IF(H1951=0,"",J1951/H1951)</f>
        <v>0</v>
      </c>
      <c r="L1951">
        <f>IF(OR(AND(H1951=0,ABS(J1951)&gt;=0.01),AND(H1951&lt;&gt;0,ABS(K1951)&gt;VarianceThreshold)),"Review","OK")</f>
        <v>0</v>
      </c>
      <c r="M1951" t="s">
        <v>33</v>
      </c>
    </row>
    <row r="1952" spans="1:13">
      <c r="A1952" t="s">
        <v>3</v>
      </c>
      <c r="B1952" t="s">
        <v>62</v>
      </c>
      <c r="C1952" t="s">
        <v>2030</v>
      </c>
      <c r="D1952" t="s">
        <v>2031</v>
      </c>
      <c r="E1952" cm="1">
        <f t="array" ref="E1952">_xlfn.XLOOKUP(D1952,SKU_Master!A:A,SKU_Master!B:B,"Not on master")</f>
        <v>0</v>
      </c>
      <c r="F1952" cm="1">
        <f t="array" ref="F1952">_xlfn.XLOOKUP(C1952,Account_Master!A:A,Account_Master!B:B,"Not on master")</f>
        <v>0</v>
      </c>
      <c r="G1952" cm="1">
        <f t="array" ref="G1952">_xlfn.XLOOKUP(C1952,Account_Master!A:A,Account_Master!C:C,"Not on master")</f>
        <v>0</v>
      </c>
      <c r="H1952" s="6">
        <v>39</v>
      </c>
      <c r="I1952" s="6">
        <v>39</v>
      </c>
      <c r="J1952" s="6">
        <f>I1952-H1952</f>
        <v>0</v>
      </c>
      <c r="K1952" s="5">
        <f>IF(H1952=0,"",J1952/H1952)</f>
        <v>0</v>
      </c>
      <c r="L1952">
        <f>IF(OR(AND(H1952=0,ABS(J1952)&gt;=0.01),AND(H1952&lt;&gt;0,ABS(K1952)&gt;VarianceThreshold)),"Review","OK")</f>
        <v>0</v>
      </c>
      <c r="M1952" t="s">
        <v>33</v>
      </c>
    </row>
    <row r="1953" spans="1:13">
      <c r="A1953" t="s">
        <v>3</v>
      </c>
      <c r="B1953" t="s">
        <v>62</v>
      </c>
      <c r="C1953" t="s">
        <v>2022</v>
      </c>
      <c r="D1953" t="s">
        <v>2032</v>
      </c>
      <c r="E1953" cm="1">
        <f t="array" ref="E1953">_xlfn.XLOOKUP(D1953,SKU_Master!A:A,SKU_Master!B:B,"Not on master")</f>
        <v>0</v>
      </c>
      <c r="F1953" cm="1">
        <f t="array" ref="F1953">_xlfn.XLOOKUP(C1953,Account_Master!A:A,Account_Master!B:B,"Not on master")</f>
        <v>0</v>
      </c>
      <c r="G1953" cm="1">
        <f t="array" ref="G1953">_xlfn.XLOOKUP(C1953,Account_Master!A:A,Account_Master!C:C,"Not on master")</f>
        <v>0</v>
      </c>
      <c r="H1953" s="6">
        <v>4.5</v>
      </c>
      <c r="I1953" s="6">
        <v>4.5</v>
      </c>
      <c r="J1953" s="6">
        <f>I1953-H1953</f>
        <v>0</v>
      </c>
      <c r="K1953" s="5">
        <f>IF(H1953=0,"",J1953/H1953)</f>
        <v>0</v>
      </c>
      <c r="L1953">
        <f>IF(OR(AND(H1953=0,ABS(J1953)&gt;=0.01),AND(H1953&lt;&gt;0,ABS(K1953)&gt;VarianceThreshold)),"Review","OK")</f>
        <v>0</v>
      </c>
      <c r="M1953" t="s">
        <v>33</v>
      </c>
    </row>
    <row r="1954" spans="1:13">
      <c r="A1954" t="s">
        <v>3</v>
      </c>
      <c r="B1954" t="s">
        <v>62</v>
      </c>
      <c r="C1954" t="s">
        <v>2022</v>
      </c>
      <c r="D1954" t="s">
        <v>1130</v>
      </c>
      <c r="E1954" cm="1">
        <f t="array" ref="E1954">_xlfn.XLOOKUP(D1954,SKU_Master!A:A,SKU_Master!B:B,"Not on master")</f>
        <v>0</v>
      </c>
      <c r="F1954" cm="1">
        <f t="array" ref="F1954">_xlfn.XLOOKUP(C1954,Account_Master!A:A,Account_Master!B:B,"Not on master")</f>
        <v>0</v>
      </c>
      <c r="G1954" cm="1">
        <f t="array" ref="G1954">_xlfn.XLOOKUP(C1954,Account_Master!A:A,Account_Master!C:C,"Not on master")</f>
        <v>0</v>
      </c>
      <c r="H1954" s="6">
        <v>27</v>
      </c>
      <c r="I1954" s="6">
        <v>27</v>
      </c>
      <c r="J1954" s="6">
        <f>I1954-H1954</f>
        <v>0</v>
      </c>
      <c r="K1954" s="5">
        <f>IF(H1954=0,"",J1954/H1954)</f>
        <v>0</v>
      </c>
      <c r="L1954">
        <f>IF(OR(AND(H1954=0,ABS(J1954)&gt;=0.01),AND(H1954&lt;&gt;0,ABS(K1954)&gt;VarianceThreshold)),"Review","OK")</f>
        <v>0</v>
      </c>
      <c r="M1954" t="s">
        <v>33</v>
      </c>
    </row>
    <row r="1955" spans="1:13">
      <c r="A1955" t="s">
        <v>3</v>
      </c>
      <c r="B1955" t="s">
        <v>62</v>
      </c>
      <c r="C1955" t="s">
        <v>2033</v>
      </c>
      <c r="D1955" t="s">
        <v>2034</v>
      </c>
      <c r="E1955" cm="1">
        <f t="array" ref="E1955">_xlfn.XLOOKUP(D1955,SKU_Master!A:A,SKU_Master!B:B,"Not on master")</f>
        <v>0</v>
      </c>
      <c r="F1955" cm="1">
        <f t="array" ref="F1955">_xlfn.XLOOKUP(C1955,Account_Master!A:A,Account_Master!B:B,"Not on master")</f>
        <v>0</v>
      </c>
      <c r="G1955" cm="1">
        <f t="array" ref="G1955">_xlfn.XLOOKUP(C1955,Account_Master!A:A,Account_Master!C:C,"Not on master")</f>
        <v>0</v>
      </c>
      <c r="H1955" s="6">
        <v>84</v>
      </c>
      <c r="I1955" s="6">
        <v>84</v>
      </c>
      <c r="J1955" s="6">
        <f>I1955-H1955</f>
        <v>0</v>
      </c>
      <c r="K1955" s="5">
        <f>IF(H1955=0,"",J1955/H1955)</f>
        <v>0</v>
      </c>
      <c r="L1955">
        <f>IF(OR(AND(H1955=0,ABS(J1955)&gt;=0.01),AND(H1955&lt;&gt;0,ABS(K1955)&gt;VarianceThreshold)),"Review","OK")</f>
        <v>0</v>
      </c>
      <c r="M1955" t="s">
        <v>33</v>
      </c>
    </row>
    <row r="1956" spans="1:13">
      <c r="A1956" t="s">
        <v>3</v>
      </c>
      <c r="B1956" t="s">
        <v>62</v>
      </c>
      <c r="C1956" t="s">
        <v>2035</v>
      </c>
      <c r="D1956" t="s">
        <v>2036</v>
      </c>
      <c r="E1956" cm="1">
        <f t="array" ref="E1956">_xlfn.XLOOKUP(D1956,SKU_Master!A:A,SKU_Master!B:B,"Not on master")</f>
        <v>0</v>
      </c>
      <c r="F1956" cm="1">
        <f t="array" ref="F1956">_xlfn.XLOOKUP(C1956,Account_Master!A:A,Account_Master!B:B,"Not on master")</f>
        <v>0</v>
      </c>
      <c r="G1956" cm="1">
        <f t="array" ref="G1956">_xlfn.XLOOKUP(C1956,Account_Master!A:A,Account_Master!C:C,"Not on master")</f>
        <v>0</v>
      </c>
      <c r="H1956" s="6">
        <v>1.5</v>
      </c>
      <c r="I1956" s="6">
        <v>1.5</v>
      </c>
      <c r="J1956" s="6">
        <f>I1956-H1956</f>
        <v>0</v>
      </c>
      <c r="K1956" s="5">
        <f>IF(H1956=0,"",J1956/H1956)</f>
        <v>0</v>
      </c>
      <c r="L1956">
        <f>IF(OR(AND(H1956=0,ABS(J1956)&gt;=0.01),AND(H1956&lt;&gt;0,ABS(K1956)&gt;VarianceThreshold)),"Review","OK")</f>
        <v>0</v>
      </c>
      <c r="M1956" t="s">
        <v>33</v>
      </c>
    </row>
    <row r="1957" spans="1:13">
      <c r="A1957" t="s">
        <v>3</v>
      </c>
      <c r="B1957" t="s">
        <v>62</v>
      </c>
      <c r="C1957" t="s">
        <v>2037</v>
      </c>
      <c r="D1957" t="s">
        <v>1856</v>
      </c>
      <c r="E1957" cm="1">
        <f t="array" ref="E1957">_xlfn.XLOOKUP(D1957,SKU_Master!A:A,SKU_Master!B:B,"Not on master")</f>
        <v>0</v>
      </c>
      <c r="F1957" cm="1">
        <f t="array" ref="F1957">_xlfn.XLOOKUP(C1957,Account_Master!A:A,Account_Master!B:B,"Not on master")</f>
        <v>0</v>
      </c>
      <c r="G1957" cm="1">
        <f t="array" ref="G1957">_xlfn.XLOOKUP(C1957,Account_Master!A:A,Account_Master!C:C,"Not on master")</f>
        <v>0</v>
      </c>
      <c r="H1957" s="6">
        <v>5.25</v>
      </c>
      <c r="I1957" s="6">
        <v>5.25</v>
      </c>
      <c r="J1957" s="6">
        <f>I1957-H1957</f>
        <v>0</v>
      </c>
      <c r="K1957" s="5">
        <f>IF(H1957=0,"",J1957/H1957)</f>
        <v>0</v>
      </c>
      <c r="L1957">
        <f>IF(OR(AND(H1957=0,ABS(J1957)&gt;=0.01),AND(H1957&lt;&gt;0,ABS(K1957)&gt;VarianceThreshold)),"Review","OK")</f>
        <v>0</v>
      </c>
      <c r="M1957" t="s">
        <v>33</v>
      </c>
    </row>
    <row r="1958" spans="1:13">
      <c r="A1958" t="s">
        <v>3</v>
      </c>
      <c r="B1958" t="s">
        <v>62</v>
      </c>
      <c r="C1958" t="s">
        <v>2038</v>
      </c>
      <c r="D1958" t="s">
        <v>1383</v>
      </c>
      <c r="E1958" cm="1">
        <f t="array" ref="E1958">_xlfn.XLOOKUP(D1958,SKU_Master!A:A,SKU_Master!B:B,"Not on master")</f>
        <v>0</v>
      </c>
      <c r="F1958" cm="1">
        <f t="array" ref="F1958">_xlfn.XLOOKUP(C1958,Account_Master!A:A,Account_Master!B:B,"Not on master")</f>
        <v>0</v>
      </c>
      <c r="G1958" cm="1">
        <f t="array" ref="G1958">_xlfn.XLOOKUP(C1958,Account_Master!A:A,Account_Master!C:C,"Not on master")</f>
        <v>0</v>
      </c>
      <c r="H1958" s="6">
        <v>4.5</v>
      </c>
      <c r="I1958" s="6">
        <v>4.5</v>
      </c>
      <c r="J1958" s="6">
        <f>I1958-H1958</f>
        <v>0</v>
      </c>
      <c r="K1958" s="5">
        <f>IF(H1958=0,"",J1958/H1958)</f>
        <v>0</v>
      </c>
      <c r="L1958">
        <f>IF(OR(AND(H1958=0,ABS(J1958)&gt;=0.01),AND(H1958&lt;&gt;0,ABS(K1958)&gt;VarianceThreshold)),"Review","OK")</f>
        <v>0</v>
      </c>
      <c r="M1958" t="s">
        <v>33</v>
      </c>
    </row>
    <row r="1959" spans="1:13">
      <c r="A1959" t="s">
        <v>3</v>
      </c>
      <c r="B1959" t="s">
        <v>62</v>
      </c>
      <c r="C1959" t="s">
        <v>2033</v>
      </c>
      <c r="D1959" t="s">
        <v>822</v>
      </c>
      <c r="E1959" cm="1">
        <f t="array" ref="E1959">_xlfn.XLOOKUP(D1959,SKU_Master!A:A,SKU_Master!B:B,"Not on master")</f>
        <v>0</v>
      </c>
      <c r="F1959" cm="1">
        <f t="array" ref="F1959">_xlfn.XLOOKUP(C1959,Account_Master!A:A,Account_Master!B:B,"Not on master")</f>
        <v>0</v>
      </c>
      <c r="G1959" cm="1">
        <f t="array" ref="G1959">_xlfn.XLOOKUP(C1959,Account_Master!A:A,Account_Master!C:C,"Not on master")</f>
        <v>0</v>
      </c>
      <c r="H1959" s="6">
        <v>13.5</v>
      </c>
      <c r="I1959" s="6">
        <v>13.5</v>
      </c>
      <c r="J1959" s="6">
        <f>I1959-H1959</f>
        <v>0</v>
      </c>
      <c r="K1959" s="5">
        <f>IF(H1959=0,"",J1959/H1959)</f>
        <v>0</v>
      </c>
      <c r="L1959">
        <f>IF(OR(AND(H1959=0,ABS(J1959)&gt;=0.01),AND(H1959&lt;&gt;0,ABS(K1959)&gt;VarianceThreshold)),"Review","OK")</f>
        <v>0</v>
      </c>
      <c r="M1959" t="s">
        <v>33</v>
      </c>
    </row>
    <row r="1960" spans="1:13">
      <c r="A1960" t="s">
        <v>3</v>
      </c>
      <c r="B1960" t="s">
        <v>62</v>
      </c>
      <c r="C1960" t="s">
        <v>2022</v>
      </c>
      <c r="D1960" t="s">
        <v>1828</v>
      </c>
      <c r="E1960" cm="1">
        <f t="array" ref="E1960">_xlfn.XLOOKUP(D1960,SKU_Master!A:A,SKU_Master!B:B,"Not on master")</f>
        <v>0</v>
      </c>
      <c r="F1960" cm="1">
        <f t="array" ref="F1960">_xlfn.XLOOKUP(C1960,Account_Master!A:A,Account_Master!B:B,"Not on master")</f>
        <v>0</v>
      </c>
      <c r="G1960" cm="1">
        <f t="array" ref="G1960">_xlfn.XLOOKUP(C1960,Account_Master!A:A,Account_Master!C:C,"Not on master")</f>
        <v>0</v>
      </c>
      <c r="H1960" s="6">
        <v>41.25</v>
      </c>
      <c r="I1960" s="6">
        <v>41.25</v>
      </c>
      <c r="J1960" s="6">
        <f>I1960-H1960</f>
        <v>0</v>
      </c>
      <c r="K1960" s="5">
        <f>IF(H1960=0,"",J1960/H1960)</f>
        <v>0</v>
      </c>
      <c r="L1960">
        <f>IF(OR(AND(H1960=0,ABS(J1960)&gt;=0.01),AND(H1960&lt;&gt;0,ABS(K1960)&gt;VarianceThreshold)),"Review","OK")</f>
        <v>0</v>
      </c>
      <c r="M1960" t="s">
        <v>33</v>
      </c>
    </row>
    <row r="1961" spans="1:13">
      <c r="A1961" t="s">
        <v>3</v>
      </c>
      <c r="B1961" t="s">
        <v>62</v>
      </c>
      <c r="C1961" t="s">
        <v>2018</v>
      </c>
      <c r="D1961" t="s">
        <v>786</v>
      </c>
      <c r="E1961" cm="1">
        <f t="array" ref="E1961">_xlfn.XLOOKUP(D1961,SKU_Master!A:A,SKU_Master!B:B,"Not on master")</f>
        <v>0</v>
      </c>
      <c r="F1961" cm="1">
        <f t="array" ref="F1961">_xlfn.XLOOKUP(C1961,Account_Master!A:A,Account_Master!B:B,"Not on master")</f>
        <v>0</v>
      </c>
      <c r="G1961" cm="1">
        <f t="array" ref="G1961">_xlfn.XLOOKUP(C1961,Account_Master!A:A,Account_Master!C:C,"Not on master")</f>
        <v>0</v>
      </c>
      <c r="H1961" s="6">
        <v>11.25</v>
      </c>
      <c r="I1961" s="6">
        <v>11.25</v>
      </c>
      <c r="J1961" s="6">
        <f>I1961-H1961</f>
        <v>0</v>
      </c>
      <c r="K1961" s="5">
        <f>IF(H1961=0,"",J1961/H1961)</f>
        <v>0</v>
      </c>
      <c r="L1961">
        <f>IF(OR(AND(H1961=0,ABS(J1961)&gt;=0.01),AND(H1961&lt;&gt;0,ABS(K1961)&gt;VarianceThreshold)),"Review","OK")</f>
        <v>0</v>
      </c>
      <c r="M1961" t="s">
        <v>33</v>
      </c>
    </row>
    <row r="1962" spans="1:13">
      <c r="A1962" t="s">
        <v>3</v>
      </c>
      <c r="B1962" t="s">
        <v>62</v>
      </c>
      <c r="C1962" t="s">
        <v>2039</v>
      </c>
      <c r="D1962" t="s">
        <v>2040</v>
      </c>
      <c r="E1962" cm="1">
        <f t="array" ref="E1962">_xlfn.XLOOKUP(D1962,SKU_Master!A:A,SKU_Master!B:B,"Not on master")</f>
        <v>0</v>
      </c>
      <c r="F1962" cm="1">
        <f t="array" ref="F1962">_xlfn.XLOOKUP(C1962,Account_Master!A:A,Account_Master!B:B,"Not on master")</f>
        <v>0</v>
      </c>
      <c r="G1962" cm="1">
        <f t="array" ref="G1962">_xlfn.XLOOKUP(C1962,Account_Master!A:A,Account_Master!C:C,"Not on master")</f>
        <v>0</v>
      </c>
      <c r="H1962" s="6">
        <v>4.5</v>
      </c>
      <c r="I1962" s="6">
        <v>4.5</v>
      </c>
      <c r="J1962" s="6">
        <f>I1962-H1962</f>
        <v>0</v>
      </c>
      <c r="K1962" s="5">
        <f>IF(H1962=0,"",J1962/H1962)</f>
        <v>0</v>
      </c>
      <c r="L1962">
        <f>IF(OR(AND(H1962=0,ABS(J1962)&gt;=0.01),AND(H1962&lt;&gt;0,ABS(K1962)&gt;VarianceThreshold)),"Review","OK")</f>
        <v>0</v>
      </c>
      <c r="M1962" t="s">
        <v>33</v>
      </c>
    </row>
    <row r="1963" spans="1:13">
      <c r="A1963" t="s">
        <v>3</v>
      </c>
      <c r="B1963" t="s">
        <v>71</v>
      </c>
      <c r="C1963" t="s">
        <v>2041</v>
      </c>
      <c r="D1963" t="s">
        <v>2042</v>
      </c>
      <c r="E1963" cm="1">
        <f t="array" ref="E1963">_xlfn.XLOOKUP(D1963,SKU_Master!A:A,SKU_Master!B:B,"Not on master")</f>
        <v>0</v>
      </c>
      <c r="F1963" cm="1">
        <f t="array" ref="F1963">_xlfn.XLOOKUP(C1963,Account_Master!A:A,Account_Master!B:B,"Not on master")</f>
        <v>0</v>
      </c>
      <c r="G1963" cm="1">
        <f t="array" ref="G1963">_xlfn.XLOOKUP(C1963,Account_Master!A:A,Account_Master!C:C,"Not on master")</f>
        <v>0</v>
      </c>
      <c r="H1963" s="6">
        <v>0.05</v>
      </c>
      <c r="I1963" s="6">
        <v>0.05</v>
      </c>
      <c r="J1963" s="6">
        <f>I1963-H1963</f>
        <v>0</v>
      </c>
      <c r="K1963" s="5">
        <f>IF(H1963=0,"",J1963/H1963)</f>
        <v>0</v>
      </c>
      <c r="L1963">
        <f>IF(OR(AND(H1963=0,ABS(J1963)&gt;=0.01),AND(H1963&lt;&gt;0,ABS(K1963)&gt;VarianceThreshold)),"Review","OK")</f>
        <v>0</v>
      </c>
      <c r="M1963" t="s">
        <v>33</v>
      </c>
    </row>
    <row r="1964" spans="1:13">
      <c r="A1964" t="s">
        <v>3</v>
      </c>
      <c r="B1964" t="s">
        <v>71</v>
      </c>
      <c r="C1964" t="s">
        <v>2029</v>
      </c>
      <c r="D1964" t="s">
        <v>2043</v>
      </c>
      <c r="E1964" cm="1">
        <f t="array" ref="E1964">_xlfn.XLOOKUP(D1964,SKU_Master!A:A,SKU_Master!B:B,"Not on master")</f>
        <v>0</v>
      </c>
      <c r="F1964" cm="1">
        <f t="array" ref="F1964">_xlfn.XLOOKUP(C1964,Account_Master!A:A,Account_Master!B:B,"Not on master")</f>
        <v>0</v>
      </c>
      <c r="G1964" cm="1">
        <f t="array" ref="G1964">_xlfn.XLOOKUP(C1964,Account_Master!A:A,Account_Master!C:C,"Not on master")</f>
        <v>0</v>
      </c>
      <c r="H1964" s="6">
        <v>2</v>
      </c>
      <c r="I1964" s="6">
        <v>2</v>
      </c>
      <c r="J1964" s="6">
        <f>I1964-H1964</f>
        <v>0</v>
      </c>
      <c r="K1964" s="5">
        <f>IF(H1964=0,"",J1964/H1964)</f>
        <v>0</v>
      </c>
      <c r="L1964">
        <f>IF(OR(AND(H1964=0,ABS(J1964)&gt;=0.01),AND(H1964&lt;&gt;0,ABS(K1964)&gt;VarianceThreshold)),"Review","OK")</f>
        <v>0</v>
      </c>
      <c r="M1964" t="s">
        <v>33</v>
      </c>
    </row>
    <row r="1965" spans="1:13">
      <c r="A1965" t="s">
        <v>3</v>
      </c>
      <c r="B1965" t="s">
        <v>71</v>
      </c>
      <c r="C1965" t="s">
        <v>2022</v>
      </c>
      <c r="D1965" t="s">
        <v>2044</v>
      </c>
      <c r="E1965" cm="1">
        <f t="array" ref="E1965">_xlfn.XLOOKUP(D1965,SKU_Master!A:A,SKU_Master!B:B,"Not on master")</f>
        <v>0</v>
      </c>
      <c r="F1965" cm="1">
        <f t="array" ref="F1965">_xlfn.XLOOKUP(C1965,Account_Master!A:A,Account_Master!B:B,"Not on master")</f>
        <v>0</v>
      </c>
      <c r="G1965" cm="1">
        <f t="array" ref="G1965">_xlfn.XLOOKUP(C1965,Account_Master!A:A,Account_Master!C:C,"Not on master")</f>
        <v>0</v>
      </c>
      <c r="H1965" s="6">
        <v>31.5</v>
      </c>
      <c r="I1965" s="6">
        <v>31.5</v>
      </c>
      <c r="J1965" s="6">
        <f>I1965-H1965</f>
        <v>0</v>
      </c>
      <c r="K1965" s="5">
        <f>IF(H1965=0,"",J1965/H1965)</f>
        <v>0</v>
      </c>
      <c r="L1965">
        <f>IF(OR(AND(H1965=0,ABS(J1965)&gt;=0.01),AND(H1965&lt;&gt;0,ABS(K1965)&gt;VarianceThreshold)),"Review","OK")</f>
        <v>0</v>
      </c>
      <c r="M1965" t="s">
        <v>33</v>
      </c>
    </row>
    <row r="1966" spans="1:13">
      <c r="A1966" t="s">
        <v>3</v>
      </c>
      <c r="B1966" t="s">
        <v>71</v>
      </c>
      <c r="C1966" t="s">
        <v>2038</v>
      </c>
      <c r="D1966" t="s">
        <v>2045</v>
      </c>
      <c r="E1966" cm="1">
        <f t="array" ref="E1966">_xlfn.XLOOKUP(D1966,SKU_Master!A:A,SKU_Master!B:B,"Not on master")</f>
        <v>0</v>
      </c>
      <c r="F1966" cm="1">
        <f t="array" ref="F1966">_xlfn.XLOOKUP(C1966,Account_Master!A:A,Account_Master!B:B,"Not on master")</f>
        <v>0</v>
      </c>
      <c r="G1966" cm="1">
        <f t="array" ref="G1966">_xlfn.XLOOKUP(C1966,Account_Master!A:A,Account_Master!C:C,"Not on master")</f>
        <v>0</v>
      </c>
      <c r="H1966" s="6">
        <v>9</v>
      </c>
      <c r="I1966" s="6">
        <v>9</v>
      </c>
      <c r="J1966" s="6">
        <f>I1966-H1966</f>
        <v>0</v>
      </c>
      <c r="K1966" s="5">
        <f>IF(H1966=0,"",J1966/H1966)</f>
        <v>0</v>
      </c>
      <c r="L1966">
        <f>IF(OR(AND(H1966=0,ABS(J1966)&gt;=0.01),AND(H1966&lt;&gt;0,ABS(K1966)&gt;VarianceThreshold)),"Review","OK")</f>
        <v>0</v>
      </c>
      <c r="M1966" t="s">
        <v>33</v>
      </c>
    </row>
    <row r="1967" spans="1:13">
      <c r="A1967" t="s">
        <v>3</v>
      </c>
      <c r="B1967" t="s">
        <v>71</v>
      </c>
      <c r="C1967" t="s">
        <v>2013</v>
      </c>
      <c r="D1967" t="s">
        <v>1918</v>
      </c>
      <c r="E1967" cm="1">
        <f t="array" ref="E1967">_xlfn.XLOOKUP(D1967,SKU_Master!A:A,SKU_Master!B:B,"Not on master")</f>
        <v>0</v>
      </c>
      <c r="F1967" cm="1">
        <f t="array" ref="F1967">_xlfn.XLOOKUP(C1967,Account_Master!A:A,Account_Master!B:B,"Not on master")</f>
        <v>0</v>
      </c>
      <c r="G1967" cm="1">
        <f t="array" ref="G1967">_xlfn.XLOOKUP(C1967,Account_Master!A:A,Account_Master!C:C,"Not on master")</f>
        <v>0</v>
      </c>
      <c r="H1967" s="6">
        <v>45.5</v>
      </c>
      <c r="I1967" s="6">
        <v>45.5</v>
      </c>
      <c r="J1967" s="6">
        <f>I1967-H1967</f>
        <v>0</v>
      </c>
      <c r="K1967" s="5">
        <f>IF(H1967=0,"",J1967/H1967)</f>
        <v>0</v>
      </c>
      <c r="L1967">
        <f>IF(OR(AND(H1967=0,ABS(J1967)&gt;=0.01),AND(H1967&lt;&gt;0,ABS(K1967)&gt;VarianceThreshold)),"Review","OK")</f>
        <v>0</v>
      </c>
      <c r="M1967" t="s">
        <v>33</v>
      </c>
    </row>
    <row r="1968" spans="1:13">
      <c r="A1968" t="s">
        <v>3</v>
      </c>
      <c r="B1968" t="s">
        <v>71</v>
      </c>
      <c r="C1968" t="s">
        <v>2046</v>
      </c>
      <c r="D1968" t="s">
        <v>2047</v>
      </c>
      <c r="E1968" cm="1">
        <f t="array" ref="E1968">_xlfn.XLOOKUP(D1968,SKU_Master!A:A,SKU_Master!B:B,"Not on master")</f>
        <v>0</v>
      </c>
      <c r="F1968" cm="1">
        <f t="array" ref="F1968">_xlfn.XLOOKUP(C1968,Account_Master!A:A,Account_Master!B:B,"Not on master")</f>
        <v>0</v>
      </c>
      <c r="G1968" cm="1">
        <f t="array" ref="G1968">_xlfn.XLOOKUP(C1968,Account_Master!A:A,Account_Master!C:C,"Not on master")</f>
        <v>0</v>
      </c>
      <c r="H1968" s="6">
        <v>10.5</v>
      </c>
      <c r="I1968" s="6">
        <v>10.5</v>
      </c>
      <c r="J1968" s="6">
        <f>I1968-H1968</f>
        <v>0</v>
      </c>
      <c r="K1968" s="5">
        <f>IF(H1968=0,"",J1968/H1968)</f>
        <v>0</v>
      </c>
      <c r="L1968">
        <f>IF(OR(AND(H1968=0,ABS(J1968)&gt;=0.01),AND(H1968&lt;&gt;0,ABS(K1968)&gt;VarianceThreshold)),"Review","OK")</f>
        <v>0</v>
      </c>
      <c r="M1968" t="s">
        <v>33</v>
      </c>
    </row>
    <row r="1969" spans="1:13">
      <c r="A1969" t="s">
        <v>3</v>
      </c>
      <c r="B1969" t="s">
        <v>71</v>
      </c>
      <c r="C1969" t="s">
        <v>2041</v>
      </c>
      <c r="D1969" t="s">
        <v>2048</v>
      </c>
      <c r="E1969" cm="1">
        <f t="array" ref="E1969">_xlfn.XLOOKUP(D1969,SKU_Master!A:A,SKU_Master!B:B,"Not on master")</f>
        <v>0</v>
      </c>
      <c r="F1969" cm="1">
        <f t="array" ref="F1969">_xlfn.XLOOKUP(C1969,Account_Master!A:A,Account_Master!B:B,"Not on master")</f>
        <v>0</v>
      </c>
      <c r="G1969" cm="1">
        <f t="array" ref="G1969">_xlfn.XLOOKUP(C1969,Account_Master!A:A,Account_Master!C:C,"Not on master")</f>
        <v>0</v>
      </c>
      <c r="H1969" s="6">
        <v>0.75</v>
      </c>
      <c r="I1969" s="6">
        <v>0.75</v>
      </c>
      <c r="J1969" s="6">
        <f>I1969-H1969</f>
        <v>0</v>
      </c>
      <c r="K1969" s="5">
        <f>IF(H1969=0,"",J1969/H1969)</f>
        <v>0</v>
      </c>
      <c r="L1969">
        <f>IF(OR(AND(H1969=0,ABS(J1969)&gt;=0.01),AND(H1969&lt;&gt;0,ABS(K1969)&gt;VarianceThreshold)),"Review","OK")</f>
        <v>0</v>
      </c>
      <c r="M1969" t="s">
        <v>33</v>
      </c>
    </row>
    <row r="1970" spans="1:13">
      <c r="A1970" t="s">
        <v>3</v>
      </c>
      <c r="B1970" t="s">
        <v>86</v>
      </c>
      <c r="C1970" t="s">
        <v>2022</v>
      </c>
      <c r="D1970" t="s">
        <v>2049</v>
      </c>
      <c r="E1970" cm="1">
        <f t="array" ref="E1970">_xlfn.XLOOKUP(D1970,SKU_Master!A:A,SKU_Master!B:B,"Not on master")</f>
        <v>0</v>
      </c>
      <c r="F1970" cm="1">
        <f t="array" ref="F1970">_xlfn.XLOOKUP(C1970,Account_Master!A:A,Account_Master!B:B,"Not on master")</f>
        <v>0</v>
      </c>
      <c r="G1970" cm="1">
        <f t="array" ref="G1970">_xlfn.XLOOKUP(C1970,Account_Master!A:A,Account_Master!C:C,"Not on master")</f>
        <v>0</v>
      </c>
      <c r="H1970" s="6">
        <v>6</v>
      </c>
      <c r="I1970" s="6">
        <v>6</v>
      </c>
      <c r="J1970" s="6">
        <f>I1970-H1970</f>
        <v>0</v>
      </c>
      <c r="K1970" s="5">
        <f>IF(H1970=0,"",J1970/H1970)</f>
        <v>0</v>
      </c>
      <c r="L1970">
        <f>IF(OR(AND(H1970=0,ABS(J1970)&gt;=0.01),AND(H1970&lt;&gt;0,ABS(K1970)&gt;VarianceThreshold)),"Review","OK")</f>
        <v>0</v>
      </c>
      <c r="M1970" t="s">
        <v>33</v>
      </c>
    </row>
    <row r="1971" spans="1:13">
      <c r="A1971" t="s">
        <v>3</v>
      </c>
      <c r="B1971" t="s">
        <v>86</v>
      </c>
      <c r="C1971" t="s">
        <v>2046</v>
      </c>
      <c r="D1971" t="s">
        <v>2050</v>
      </c>
      <c r="E1971" cm="1">
        <f t="array" ref="E1971">_xlfn.XLOOKUP(D1971,SKU_Master!A:A,SKU_Master!B:B,"Not on master")</f>
        <v>0</v>
      </c>
      <c r="F1971" cm="1">
        <f t="array" ref="F1971">_xlfn.XLOOKUP(C1971,Account_Master!A:A,Account_Master!B:B,"Not on master")</f>
        <v>0</v>
      </c>
      <c r="G1971" cm="1">
        <f t="array" ref="G1971">_xlfn.XLOOKUP(C1971,Account_Master!A:A,Account_Master!C:C,"Not on master")</f>
        <v>0</v>
      </c>
      <c r="H1971" s="6">
        <v>63</v>
      </c>
      <c r="I1971" s="6">
        <v>63</v>
      </c>
      <c r="J1971" s="6">
        <f>I1971-H1971</f>
        <v>0</v>
      </c>
      <c r="K1971" s="5">
        <f>IF(H1971=0,"",J1971/H1971)</f>
        <v>0</v>
      </c>
      <c r="L1971">
        <f>IF(OR(AND(H1971=0,ABS(J1971)&gt;=0.01),AND(H1971&lt;&gt;0,ABS(K1971)&gt;VarianceThreshold)),"Review","OK")</f>
        <v>0</v>
      </c>
      <c r="M1971" t="s">
        <v>33</v>
      </c>
    </row>
    <row r="1972" spans="1:13">
      <c r="A1972" t="s">
        <v>3</v>
      </c>
      <c r="B1972" t="s">
        <v>86</v>
      </c>
      <c r="C1972" t="s">
        <v>2051</v>
      </c>
      <c r="D1972" t="s">
        <v>1800</v>
      </c>
      <c r="E1972" cm="1">
        <f t="array" ref="E1972">_xlfn.XLOOKUP(D1972,SKU_Master!A:A,SKU_Master!B:B,"Not on master")</f>
        <v>0</v>
      </c>
      <c r="F1972" cm="1">
        <f t="array" ref="F1972">_xlfn.XLOOKUP(C1972,Account_Master!A:A,Account_Master!B:B,"Not on master")</f>
        <v>0</v>
      </c>
      <c r="G1972" cm="1">
        <f t="array" ref="G1972">_xlfn.XLOOKUP(C1972,Account_Master!A:A,Account_Master!C:C,"Not on master")</f>
        <v>0</v>
      </c>
      <c r="H1972" s="6">
        <v>2.62</v>
      </c>
      <c r="I1972" s="6">
        <v>2.62</v>
      </c>
      <c r="J1972" s="6">
        <f>I1972-H1972</f>
        <v>0</v>
      </c>
      <c r="K1972" s="5">
        <f>IF(H1972=0,"",J1972/H1972)</f>
        <v>0</v>
      </c>
      <c r="L1972">
        <f>IF(OR(AND(H1972=0,ABS(J1972)&gt;=0.01),AND(H1972&lt;&gt;0,ABS(K1972)&gt;VarianceThreshold)),"Review","OK")</f>
        <v>0</v>
      </c>
      <c r="M1972" t="s">
        <v>33</v>
      </c>
    </row>
    <row r="1973" spans="1:13">
      <c r="A1973" t="s">
        <v>3</v>
      </c>
      <c r="B1973" t="s">
        <v>97</v>
      </c>
      <c r="C1973" t="s">
        <v>2018</v>
      </c>
      <c r="D1973" t="s">
        <v>1809</v>
      </c>
      <c r="E1973" cm="1">
        <f t="array" ref="E1973">_xlfn.XLOOKUP(D1973,SKU_Master!A:A,SKU_Master!B:B,"Not on master")</f>
        <v>0</v>
      </c>
      <c r="F1973" cm="1">
        <f t="array" ref="F1973">_xlfn.XLOOKUP(C1973,Account_Master!A:A,Account_Master!B:B,"Not on master")</f>
        <v>0</v>
      </c>
      <c r="G1973" cm="1">
        <f t="array" ref="G1973">_xlfn.XLOOKUP(C1973,Account_Master!A:A,Account_Master!C:C,"Not on master")</f>
        <v>0</v>
      </c>
      <c r="H1973" s="6">
        <v>19.5</v>
      </c>
      <c r="I1973" s="6">
        <v>19.5</v>
      </c>
      <c r="J1973" s="6">
        <f>I1973-H1973</f>
        <v>0</v>
      </c>
      <c r="K1973" s="5">
        <f>IF(H1973=0,"",J1973/H1973)</f>
        <v>0</v>
      </c>
      <c r="L1973">
        <f>IF(OR(AND(H1973=0,ABS(J1973)&gt;=0.01),AND(H1973&lt;&gt;0,ABS(K1973)&gt;VarianceThreshold)),"Review","OK")</f>
        <v>0</v>
      </c>
      <c r="M1973" t="s">
        <v>33</v>
      </c>
    </row>
    <row r="1974" spans="1:13">
      <c r="A1974" t="s">
        <v>3</v>
      </c>
      <c r="B1974" t="s">
        <v>103</v>
      </c>
      <c r="C1974" t="s">
        <v>2052</v>
      </c>
      <c r="D1974" t="s">
        <v>2053</v>
      </c>
      <c r="E1974" cm="1">
        <f t="array" ref="E1974">_xlfn.XLOOKUP(D1974,SKU_Master!A:A,SKU_Master!B:B,"Not on master")</f>
        <v>0</v>
      </c>
      <c r="F1974" cm="1">
        <f t="array" ref="F1974">_xlfn.XLOOKUP(C1974,Account_Master!A:A,Account_Master!B:B,"Not on master")</f>
        <v>0</v>
      </c>
      <c r="G1974" cm="1">
        <f t="array" ref="G1974">_xlfn.XLOOKUP(C1974,Account_Master!A:A,Account_Master!C:C,"Not on master")</f>
        <v>0</v>
      </c>
      <c r="H1974" s="6">
        <v>5.25</v>
      </c>
      <c r="I1974" s="6">
        <v>5.25</v>
      </c>
      <c r="J1974" s="6">
        <f>I1974-H1974</f>
        <v>0</v>
      </c>
      <c r="K1974" s="5">
        <f>IF(H1974=0,"",J1974/H1974)</f>
        <v>0</v>
      </c>
      <c r="L1974">
        <f>IF(OR(AND(H1974=0,ABS(J1974)&gt;=0.01),AND(H1974&lt;&gt;0,ABS(K1974)&gt;VarianceThreshold)),"Review","OK")</f>
        <v>0</v>
      </c>
      <c r="M1974" t="s">
        <v>33</v>
      </c>
    </row>
    <row r="1975" spans="1:13">
      <c r="A1975" t="s">
        <v>3</v>
      </c>
      <c r="B1975" t="s">
        <v>103</v>
      </c>
      <c r="C1975" t="s">
        <v>2030</v>
      </c>
      <c r="D1975" t="s">
        <v>996</v>
      </c>
      <c r="E1975" cm="1">
        <f t="array" ref="E1975">_xlfn.XLOOKUP(D1975,SKU_Master!A:A,SKU_Master!B:B,"Not on master")</f>
        <v>0</v>
      </c>
      <c r="F1975" cm="1">
        <f t="array" ref="F1975">_xlfn.XLOOKUP(C1975,Account_Master!A:A,Account_Master!B:B,"Not on master")</f>
        <v>0</v>
      </c>
      <c r="G1975" cm="1">
        <f t="array" ref="G1975">_xlfn.XLOOKUP(C1975,Account_Master!A:A,Account_Master!C:C,"Not on master")</f>
        <v>0</v>
      </c>
      <c r="H1975" s="6">
        <v>2.25</v>
      </c>
      <c r="I1975" s="6">
        <v>2.25</v>
      </c>
      <c r="J1975" s="6">
        <f>I1975-H1975</f>
        <v>0</v>
      </c>
      <c r="K1975" s="5">
        <f>IF(H1975=0,"",J1975/H1975)</f>
        <v>0</v>
      </c>
      <c r="L1975">
        <f>IF(OR(AND(H1975=0,ABS(J1975)&gt;=0.01),AND(H1975&lt;&gt;0,ABS(K1975)&gt;VarianceThreshold)),"Review","OK")</f>
        <v>0</v>
      </c>
      <c r="M1975" t="s">
        <v>33</v>
      </c>
    </row>
    <row r="1976" spans="1:13">
      <c r="A1976" t="s">
        <v>3</v>
      </c>
      <c r="B1976" t="s">
        <v>103</v>
      </c>
      <c r="C1976" t="s">
        <v>2054</v>
      </c>
      <c r="D1976" t="s">
        <v>842</v>
      </c>
      <c r="E1976" cm="1">
        <f t="array" ref="E1976">_xlfn.XLOOKUP(D1976,SKU_Master!A:A,SKU_Master!B:B,"Not on master")</f>
        <v>0</v>
      </c>
      <c r="F1976" cm="1">
        <f t="array" ref="F1976">_xlfn.XLOOKUP(C1976,Account_Master!A:A,Account_Master!B:B,"Not on master")</f>
        <v>0</v>
      </c>
      <c r="G1976" cm="1">
        <f t="array" ref="G1976">_xlfn.XLOOKUP(C1976,Account_Master!A:A,Account_Master!C:C,"Not on master")</f>
        <v>0</v>
      </c>
      <c r="H1976" s="6">
        <v>64.75</v>
      </c>
      <c r="I1976" s="6">
        <v>64.75</v>
      </c>
      <c r="J1976" s="6">
        <f>I1976-H1976</f>
        <v>0</v>
      </c>
      <c r="K1976" s="5">
        <f>IF(H1976=0,"",J1976/H1976)</f>
        <v>0</v>
      </c>
      <c r="L1976">
        <f>IF(OR(AND(H1976=0,ABS(J1976)&gt;=0.01),AND(H1976&lt;&gt;0,ABS(K1976)&gt;VarianceThreshold)),"Review","OK")</f>
        <v>0</v>
      </c>
      <c r="M1976" t="s">
        <v>33</v>
      </c>
    </row>
    <row r="1977" spans="1:13">
      <c r="A1977" t="s">
        <v>3</v>
      </c>
      <c r="B1977" t="s">
        <v>103</v>
      </c>
      <c r="C1977" t="s">
        <v>2055</v>
      </c>
      <c r="D1977" t="s">
        <v>2056</v>
      </c>
      <c r="E1977" cm="1">
        <f t="array" ref="E1977">_xlfn.XLOOKUP(D1977,SKU_Master!A:A,SKU_Master!B:B,"Not on master")</f>
        <v>0</v>
      </c>
      <c r="F1977" cm="1">
        <f t="array" ref="F1977">_xlfn.XLOOKUP(C1977,Account_Master!A:A,Account_Master!B:B,"Not on master")</f>
        <v>0</v>
      </c>
      <c r="G1977" cm="1">
        <f t="array" ref="G1977">_xlfn.XLOOKUP(C1977,Account_Master!A:A,Account_Master!C:C,"Not on master")</f>
        <v>0</v>
      </c>
      <c r="H1977" s="6">
        <v>5.25</v>
      </c>
      <c r="I1977" s="6">
        <v>5.25</v>
      </c>
      <c r="J1977" s="6">
        <f>I1977-H1977</f>
        <v>0</v>
      </c>
      <c r="K1977" s="5">
        <f>IF(H1977=0,"",J1977/H1977)</f>
        <v>0</v>
      </c>
      <c r="L1977">
        <f>IF(OR(AND(H1977=0,ABS(J1977)&gt;=0.01),AND(H1977&lt;&gt;0,ABS(K1977)&gt;VarianceThreshold)),"Review","OK")</f>
        <v>0</v>
      </c>
      <c r="M1977" t="s">
        <v>33</v>
      </c>
    </row>
    <row r="1978" spans="1:13">
      <c r="A1978" t="s">
        <v>3</v>
      </c>
      <c r="B1978" t="s">
        <v>103</v>
      </c>
      <c r="C1978" t="s">
        <v>2022</v>
      </c>
      <c r="D1978" t="s">
        <v>248</v>
      </c>
      <c r="E1978" cm="1">
        <f t="array" ref="E1978">_xlfn.XLOOKUP(D1978,SKU_Master!A:A,SKU_Master!B:B,"Not on master")</f>
        <v>0</v>
      </c>
      <c r="F1978" cm="1">
        <f t="array" ref="F1978">_xlfn.XLOOKUP(C1978,Account_Master!A:A,Account_Master!B:B,"Not on master")</f>
        <v>0</v>
      </c>
      <c r="G1978" cm="1">
        <f t="array" ref="G1978">_xlfn.XLOOKUP(C1978,Account_Master!A:A,Account_Master!C:C,"Not on master")</f>
        <v>0</v>
      </c>
      <c r="H1978" s="6">
        <v>9</v>
      </c>
      <c r="I1978" s="6">
        <v>9</v>
      </c>
      <c r="J1978" s="6">
        <f>I1978-H1978</f>
        <v>0</v>
      </c>
      <c r="K1978" s="5">
        <f>IF(H1978=0,"",J1978/H1978)</f>
        <v>0</v>
      </c>
      <c r="L1978">
        <f>IF(OR(AND(H1978=0,ABS(J1978)&gt;=0.01),AND(H1978&lt;&gt;0,ABS(K1978)&gt;VarianceThreshold)),"Review","OK")</f>
        <v>0</v>
      </c>
      <c r="M1978" t="s">
        <v>33</v>
      </c>
    </row>
    <row r="1979" spans="1:13">
      <c r="A1979" t="s">
        <v>3</v>
      </c>
      <c r="B1979" t="s">
        <v>103</v>
      </c>
      <c r="C1979" t="s">
        <v>2057</v>
      </c>
      <c r="D1979" t="s">
        <v>312</v>
      </c>
      <c r="E1979" cm="1">
        <f t="array" ref="E1979">_xlfn.XLOOKUP(D1979,SKU_Master!A:A,SKU_Master!B:B,"Not on master")</f>
        <v>0</v>
      </c>
      <c r="F1979" cm="1">
        <f t="array" ref="F1979">_xlfn.XLOOKUP(C1979,Account_Master!A:A,Account_Master!B:B,"Not on master")</f>
        <v>0</v>
      </c>
      <c r="G1979" cm="1">
        <f t="array" ref="G1979">_xlfn.XLOOKUP(C1979,Account_Master!A:A,Account_Master!C:C,"Not on master")</f>
        <v>0</v>
      </c>
      <c r="H1979" s="6">
        <v>9</v>
      </c>
      <c r="I1979" s="6">
        <v>9</v>
      </c>
      <c r="J1979" s="6">
        <f>I1979-H1979</f>
        <v>0</v>
      </c>
      <c r="K1979" s="5">
        <f>IF(H1979=0,"",J1979/H1979)</f>
        <v>0</v>
      </c>
      <c r="L1979">
        <f>IF(OR(AND(H1979=0,ABS(J1979)&gt;=0.01),AND(H1979&lt;&gt;0,ABS(K1979)&gt;VarianceThreshold)),"Review","OK")</f>
        <v>0</v>
      </c>
      <c r="M1979" t="s">
        <v>33</v>
      </c>
    </row>
    <row r="1980" spans="1:13">
      <c r="A1980" t="s">
        <v>3</v>
      </c>
      <c r="B1980" t="s">
        <v>121</v>
      </c>
      <c r="C1980" t="s">
        <v>2015</v>
      </c>
      <c r="D1980" t="s">
        <v>1677</v>
      </c>
      <c r="E1980" cm="1">
        <f t="array" ref="E1980">_xlfn.XLOOKUP(D1980,SKU_Master!A:A,SKU_Master!B:B,"Not on master")</f>
        <v>0</v>
      </c>
      <c r="F1980" cm="1">
        <f t="array" ref="F1980">_xlfn.XLOOKUP(C1980,Account_Master!A:A,Account_Master!B:B,"Not on master")</f>
        <v>0</v>
      </c>
      <c r="G1980" cm="1">
        <f t="array" ref="G1980">_xlfn.XLOOKUP(C1980,Account_Master!A:A,Account_Master!C:C,"Not on master")</f>
        <v>0</v>
      </c>
      <c r="H1980" s="6">
        <v>9</v>
      </c>
      <c r="I1980" s="6">
        <v>9</v>
      </c>
      <c r="J1980" s="6">
        <f>I1980-H1980</f>
        <v>0</v>
      </c>
      <c r="K1980" s="5">
        <f>IF(H1980=0,"",J1980/H1980)</f>
        <v>0</v>
      </c>
      <c r="L1980">
        <f>IF(OR(AND(H1980=0,ABS(J1980)&gt;=0.01),AND(H1980&lt;&gt;0,ABS(K1980)&gt;VarianceThreshold)),"Review","OK")</f>
        <v>0</v>
      </c>
      <c r="M1980" t="s">
        <v>33</v>
      </c>
    </row>
    <row r="1981" spans="1:13">
      <c r="A1981" t="s">
        <v>3</v>
      </c>
      <c r="B1981" t="s">
        <v>121</v>
      </c>
      <c r="C1981" t="s">
        <v>2058</v>
      </c>
      <c r="D1981" t="s">
        <v>2059</v>
      </c>
      <c r="E1981" cm="1">
        <f t="array" ref="E1981">_xlfn.XLOOKUP(D1981,SKU_Master!A:A,SKU_Master!B:B,"Not on master")</f>
        <v>0</v>
      </c>
      <c r="F1981" cm="1">
        <f t="array" ref="F1981">_xlfn.XLOOKUP(C1981,Account_Master!A:A,Account_Master!B:B,"Not on master")</f>
        <v>0</v>
      </c>
      <c r="G1981" cm="1">
        <f t="array" ref="G1981">_xlfn.XLOOKUP(C1981,Account_Master!A:A,Account_Master!C:C,"Not on master")</f>
        <v>0</v>
      </c>
      <c r="H1981" s="6">
        <v>0.75</v>
      </c>
      <c r="I1981" s="6">
        <v>0.75</v>
      </c>
      <c r="J1981" s="6">
        <f>I1981-H1981</f>
        <v>0</v>
      </c>
      <c r="K1981" s="5">
        <f>IF(H1981=0,"",J1981/H1981)</f>
        <v>0</v>
      </c>
      <c r="L1981">
        <f>IF(OR(AND(H1981=0,ABS(J1981)&gt;=0.01),AND(H1981&lt;&gt;0,ABS(K1981)&gt;VarianceThreshold)),"Review","OK")</f>
        <v>0</v>
      </c>
      <c r="M1981" t="s">
        <v>33</v>
      </c>
    </row>
    <row r="1982" spans="1:13">
      <c r="A1982" t="s">
        <v>3</v>
      </c>
      <c r="B1982" t="s">
        <v>121</v>
      </c>
      <c r="C1982" t="s">
        <v>2013</v>
      </c>
      <c r="D1982" t="s">
        <v>1787</v>
      </c>
      <c r="E1982" cm="1">
        <f t="array" ref="E1982">_xlfn.XLOOKUP(D1982,SKU_Master!A:A,SKU_Master!B:B,"Not on master")</f>
        <v>0</v>
      </c>
      <c r="F1982" cm="1">
        <f t="array" ref="F1982">_xlfn.XLOOKUP(C1982,Account_Master!A:A,Account_Master!B:B,"Not on master")</f>
        <v>0</v>
      </c>
      <c r="G1982" cm="1">
        <f t="array" ref="G1982">_xlfn.XLOOKUP(C1982,Account_Master!A:A,Account_Master!C:C,"Not on master")</f>
        <v>0</v>
      </c>
      <c r="H1982" s="6">
        <v>9</v>
      </c>
      <c r="I1982" s="6">
        <v>9</v>
      </c>
      <c r="J1982" s="6">
        <f>I1982-H1982</f>
        <v>0</v>
      </c>
      <c r="K1982" s="5">
        <f>IF(H1982=0,"",J1982/H1982)</f>
        <v>0</v>
      </c>
      <c r="L1982">
        <f>IF(OR(AND(H1982=0,ABS(J1982)&gt;=0.01),AND(H1982&lt;&gt;0,ABS(K1982)&gt;VarianceThreshold)),"Review","OK")</f>
        <v>0</v>
      </c>
      <c r="M1982" t="s">
        <v>33</v>
      </c>
    </row>
    <row r="1983" spans="1:13">
      <c r="A1983" t="s">
        <v>3</v>
      </c>
      <c r="B1983" t="s">
        <v>121</v>
      </c>
      <c r="C1983" t="s">
        <v>2060</v>
      </c>
      <c r="D1983" t="s">
        <v>2061</v>
      </c>
      <c r="E1983" cm="1">
        <f t="array" ref="E1983">_xlfn.XLOOKUP(D1983,SKU_Master!A:A,SKU_Master!B:B,"Not on master")</f>
        <v>0</v>
      </c>
      <c r="F1983" cm="1">
        <f t="array" ref="F1983">_xlfn.XLOOKUP(C1983,Account_Master!A:A,Account_Master!B:B,"Not on master")</f>
        <v>0</v>
      </c>
      <c r="G1983" cm="1">
        <f t="array" ref="G1983">_xlfn.XLOOKUP(C1983,Account_Master!A:A,Account_Master!C:C,"Not on master")</f>
        <v>0</v>
      </c>
      <c r="H1983" s="6">
        <v>0.75</v>
      </c>
      <c r="I1983" s="6">
        <v>0.75</v>
      </c>
      <c r="J1983" s="6">
        <f>I1983-H1983</f>
        <v>0</v>
      </c>
      <c r="K1983" s="5">
        <f>IF(H1983=0,"",J1983/H1983)</f>
        <v>0</v>
      </c>
      <c r="L1983">
        <f>IF(OR(AND(H1983=0,ABS(J1983)&gt;=0.01),AND(H1983&lt;&gt;0,ABS(K1983)&gt;VarianceThreshold)),"Review","OK")</f>
        <v>0</v>
      </c>
      <c r="M1983" t="s">
        <v>33</v>
      </c>
    </row>
    <row r="1984" spans="1:13">
      <c r="A1984" t="s">
        <v>3</v>
      </c>
      <c r="B1984" t="s">
        <v>134</v>
      </c>
      <c r="C1984" t="s">
        <v>2057</v>
      </c>
      <c r="D1984" t="s">
        <v>2062</v>
      </c>
      <c r="E1984" cm="1">
        <f t="array" ref="E1984">_xlfn.XLOOKUP(D1984,SKU_Master!A:A,SKU_Master!B:B,"Not on master")</f>
        <v>0</v>
      </c>
      <c r="F1984" cm="1">
        <f t="array" ref="F1984">_xlfn.XLOOKUP(C1984,Account_Master!A:A,Account_Master!B:B,"Not on master")</f>
        <v>0</v>
      </c>
      <c r="G1984" cm="1">
        <f t="array" ref="G1984">_xlfn.XLOOKUP(C1984,Account_Master!A:A,Account_Master!C:C,"Not on master")</f>
        <v>0</v>
      </c>
      <c r="H1984" s="6">
        <v>6</v>
      </c>
      <c r="I1984" s="6">
        <v>6</v>
      </c>
      <c r="J1984" s="6">
        <f>I1984-H1984</f>
        <v>0</v>
      </c>
      <c r="K1984" s="5">
        <f>IF(H1984=0,"",J1984/H1984)</f>
        <v>0</v>
      </c>
      <c r="L1984">
        <f>IF(OR(AND(H1984=0,ABS(J1984)&gt;=0.01),AND(H1984&lt;&gt;0,ABS(K1984)&gt;VarianceThreshold)),"Review","OK")</f>
        <v>0</v>
      </c>
      <c r="M1984" t="s">
        <v>33</v>
      </c>
    </row>
    <row r="1985" spans="1:13">
      <c r="A1985" t="s">
        <v>3</v>
      </c>
      <c r="B1985" t="s">
        <v>134</v>
      </c>
      <c r="C1985" t="s">
        <v>2063</v>
      </c>
      <c r="D1985" t="s">
        <v>2064</v>
      </c>
      <c r="E1985" cm="1">
        <f t="array" ref="E1985">_xlfn.XLOOKUP(D1985,SKU_Master!A:A,SKU_Master!B:B,"Not on master")</f>
        <v>0</v>
      </c>
      <c r="F1985" cm="1">
        <f t="array" ref="F1985">_xlfn.XLOOKUP(C1985,Account_Master!A:A,Account_Master!B:B,"Not on master")</f>
        <v>0</v>
      </c>
      <c r="G1985" cm="1">
        <f t="array" ref="G1985">_xlfn.XLOOKUP(C1985,Account_Master!A:A,Account_Master!C:C,"Not on master")</f>
        <v>0</v>
      </c>
      <c r="H1985" s="6">
        <v>4.8</v>
      </c>
      <c r="I1985" s="6">
        <v>4.8</v>
      </c>
      <c r="J1985" s="6">
        <f>I1985-H1985</f>
        <v>0</v>
      </c>
      <c r="K1985" s="5">
        <f>IF(H1985=0,"",J1985/H1985)</f>
        <v>0</v>
      </c>
      <c r="L1985">
        <f>IF(OR(AND(H1985=0,ABS(J1985)&gt;=0.01),AND(H1985&lt;&gt;0,ABS(K1985)&gt;VarianceThreshold)),"Review","OK")</f>
        <v>0</v>
      </c>
      <c r="M1985" t="s">
        <v>33</v>
      </c>
    </row>
    <row r="1986" spans="1:13">
      <c r="A1986" t="s">
        <v>3</v>
      </c>
      <c r="B1986" t="s">
        <v>134</v>
      </c>
      <c r="C1986" t="s">
        <v>2065</v>
      </c>
      <c r="D1986" t="s">
        <v>578</v>
      </c>
      <c r="E1986" cm="1">
        <f t="array" ref="E1986">_xlfn.XLOOKUP(D1986,SKU_Master!A:A,SKU_Master!B:B,"Not on master")</f>
        <v>0</v>
      </c>
      <c r="F1986" cm="1">
        <f t="array" ref="F1986">_xlfn.XLOOKUP(C1986,Account_Master!A:A,Account_Master!B:B,"Not on master")</f>
        <v>0</v>
      </c>
      <c r="G1986" cm="1">
        <f t="array" ref="G1986">_xlfn.XLOOKUP(C1986,Account_Master!A:A,Account_Master!C:C,"Not on master")</f>
        <v>0</v>
      </c>
      <c r="H1986" s="6">
        <v>21</v>
      </c>
      <c r="I1986" s="6">
        <v>21</v>
      </c>
      <c r="J1986" s="6">
        <f>I1986-H1986</f>
        <v>0</v>
      </c>
      <c r="K1986" s="5">
        <f>IF(H1986=0,"",J1986/H1986)</f>
        <v>0</v>
      </c>
      <c r="L1986">
        <f>IF(OR(AND(H1986=0,ABS(J1986)&gt;=0.01),AND(H1986&lt;&gt;0,ABS(K1986)&gt;VarianceThreshold)),"Review","OK")</f>
        <v>0</v>
      </c>
      <c r="M1986" t="s">
        <v>33</v>
      </c>
    </row>
    <row r="1987" spans="1:13">
      <c r="A1987" t="s">
        <v>3</v>
      </c>
      <c r="B1987" t="s">
        <v>134</v>
      </c>
      <c r="C1987" t="s">
        <v>2027</v>
      </c>
      <c r="D1987" t="s">
        <v>188</v>
      </c>
      <c r="E1987" cm="1">
        <f t="array" ref="E1987">_xlfn.XLOOKUP(D1987,SKU_Master!A:A,SKU_Master!B:B,"Not on master")</f>
        <v>0</v>
      </c>
      <c r="F1987" cm="1">
        <f t="array" ref="F1987">_xlfn.XLOOKUP(C1987,Account_Master!A:A,Account_Master!B:B,"Not on master")</f>
        <v>0</v>
      </c>
      <c r="G1987" cm="1">
        <f t="array" ref="G1987">_xlfn.XLOOKUP(C1987,Account_Master!A:A,Account_Master!C:C,"Not on master")</f>
        <v>0</v>
      </c>
      <c r="H1987" s="6">
        <v>0.25</v>
      </c>
      <c r="I1987" s="6">
        <v>0.25</v>
      </c>
      <c r="J1987" s="6">
        <f>I1987-H1987</f>
        <v>0</v>
      </c>
      <c r="K1987" s="5">
        <f>IF(H1987=0,"",J1987/H1987)</f>
        <v>0</v>
      </c>
      <c r="L1987">
        <f>IF(OR(AND(H1987=0,ABS(J1987)&gt;=0.01),AND(H1987&lt;&gt;0,ABS(K1987)&gt;VarianceThreshold)),"Review","OK")</f>
        <v>0</v>
      </c>
      <c r="M1987" t="s">
        <v>33</v>
      </c>
    </row>
    <row r="1988" spans="1:13">
      <c r="A1988" t="s">
        <v>3</v>
      </c>
      <c r="B1988" t="s">
        <v>134</v>
      </c>
      <c r="C1988" t="s">
        <v>2066</v>
      </c>
      <c r="D1988" t="s">
        <v>1447</v>
      </c>
      <c r="E1988" cm="1">
        <f t="array" ref="E1988">_xlfn.XLOOKUP(D1988,SKU_Master!A:A,SKU_Master!B:B,"Not on master")</f>
        <v>0</v>
      </c>
      <c r="F1988" cm="1">
        <f t="array" ref="F1988">_xlfn.XLOOKUP(C1988,Account_Master!A:A,Account_Master!B:B,"Not on master")</f>
        <v>0</v>
      </c>
      <c r="G1988" cm="1">
        <f t="array" ref="G1988">_xlfn.XLOOKUP(C1988,Account_Master!A:A,Account_Master!C:C,"Not on master")</f>
        <v>0</v>
      </c>
      <c r="H1988" s="6">
        <v>64.75</v>
      </c>
      <c r="I1988" s="6">
        <v>64.75</v>
      </c>
      <c r="J1988" s="6">
        <f>I1988-H1988</f>
        <v>0</v>
      </c>
      <c r="K1988" s="5">
        <f>IF(H1988=0,"",J1988/H1988)</f>
        <v>0</v>
      </c>
      <c r="L1988">
        <f>IF(OR(AND(H1988=0,ABS(J1988)&gt;=0.01),AND(H1988&lt;&gt;0,ABS(K1988)&gt;VarianceThreshold)),"Review","OK")</f>
        <v>0</v>
      </c>
      <c r="M1988" t="s">
        <v>33</v>
      </c>
    </row>
    <row r="1989" spans="1:13">
      <c r="A1989" t="s">
        <v>3</v>
      </c>
      <c r="B1989" t="s">
        <v>134</v>
      </c>
      <c r="C1989" t="s">
        <v>2067</v>
      </c>
      <c r="D1989" t="s">
        <v>785</v>
      </c>
      <c r="E1989" cm="1">
        <f t="array" ref="E1989">_xlfn.XLOOKUP(D1989,SKU_Master!A:A,SKU_Master!B:B,"Not on master")</f>
        <v>0</v>
      </c>
      <c r="F1989" cm="1">
        <f t="array" ref="F1989">_xlfn.XLOOKUP(C1989,Account_Master!A:A,Account_Master!B:B,"Not on master")</f>
        <v>0</v>
      </c>
      <c r="G1989" cm="1">
        <f t="array" ref="G1989">_xlfn.XLOOKUP(C1989,Account_Master!A:A,Account_Master!C:C,"Not on master")</f>
        <v>0</v>
      </c>
      <c r="H1989" s="6">
        <v>7.5</v>
      </c>
      <c r="I1989" s="6">
        <v>7.5</v>
      </c>
      <c r="J1989" s="6">
        <f>I1989-H1989</f>
        <v>0</v>
      </c>
      <c r="K1989" s="5">
        <f>IF(H1989=0,"",J1989/H1989)</f>
        <v>0</v>
      </c>
      <c r="L1989">
        <f>IF(OR(AND(H1989=0,ABS(J1989)&gt;=0.01),AND(H1989&lt;&gt;0,ABS(K1989)&gt;VarianceThreshold)),"Review","OK")</f>
        <v>0</v>
      </c>
      <c r="M1989" t="s">
        <v>33</v>
      </c>
    </row>
    <row r="1990" spans="1:13">
      <c r="A1990" t="s">
        <v>3</v>
      </c>
      <c r="B1990" t="s">
        <v>143</v>
      </c>
      <c r="C1990" t="s">
        <v>2052</v>
      </c>
      <c r="D1990" t="s">
        <v>2001</v>
      </c>
      <c r="E1990" cm="1">
        <f t="array" ref="E1990">_xlfn.XLOOKUP(D1990,SKU_Master!A:A,SKU_Master!B:B,"Not on master")</f>
        <v>0</v>
      </c>
      <c r="F1990" cm="1">
        <f t="array" ref="F1990">_xlfn.XLOOKUP(C1990,Account_Master!A:A,Account_Master!B:B,"Not on master")</f>
        <v>0</v>
      </c>
      <c r="G1990" cm="1">
        <f t="array" ref="G1990">_xlfn.XLOOKUP(C1990,Account_Master!A:A,Account_Master!C:C,"Not on master")</f>
        <v>0</v>
      </c>
      <c r="H1990" s="6">
        <v>10.5</v>
      </c>
      <c r="I1990" s="6">
        <v>10.5</v>
      </c>
      <c r="J1990" s="6">
        <f>I1990-H1990</f>
        <v>0</v>
      </c>
      <c r="K1990" s="5">
        <f>IF(H1990=0,"",J1990/H1990)</f>
        <v>0</v>
      </c>
      <c r="L1990">
        <f>IF(OR(AND(H1990=0,ABS(J1990)&gt;=0.01),AND(H1990&lt;&gt;0,ABS(K1990)&gt;VarianceThreshold)),"Review","OK")</f>
        <v>0</v>
      </c>
      <c r="M1990" t="s">
        <v>33</v>
      </c>
    </row>
    <row r="1991" spans="1:13">
      <c r="A1991" t="s">
        <v>3</v>
      </c>
      <c r="B1991" t="s">
        <v>143</v>
      </c>
      <c r="C1991" t="s">
        <v>2030</v>
      </c>
      <c r="D1991" t="s">
        <v>2068</v>
      </c>
      <c r="E1991" cm="1">
        <f t="array" ref="E1991">_xlfn.XLOOKUP(D1991,SKU_Master!A:A,SKU_Master!B:B,"Not on master")</f>
        <v>0</v>
      </c>
      <c r="F1991" cm="1">
        <f t="array" ref="F1991">_xlfn.XLOOKUP(C1991,Account_Master!A:A,Account_Master!B:B,"Not on master")</f>
        <v>0</v>
      </c>
      <c r="G1991" cm="1">
        <f t="array" ref="G1991">_xlfn.XLOOKUP(C1991,Account_Master!A:A,Account_Master!C:C,"Not on master")</f>
        <v>0</v>
      </c>
      <c r="H1991" s="6">
        <v>4.5</v>
      </c>
      <c r="I1991" s="6">
        <v>4.5</v>
      </c>
      <c r="J1991" s="6">
        <f>I1991-H1991</f>
        <v>0</v>
      </c>
      <c r="K1991" s="5">
        <f>IF(H1991=0,"",J1991/H1991)</f>
        <v>0</v>
      </c>
      <c r="L1991">
        <f>IF(OR(AND(H1991=0,ABS(J1991)&gt;=0.01),AND(H1991&lt;&gt;0,ABS(K1991)&gt;VarianceThreshold)),"Review","OK")</f>
        <v>0</v>
      </c>
      <c r="M1991" t="s">
        <v>33</v>
      </c>
    </row>
    <row r="1992" spans="1:13">
      <c r="A1992" t="s">
        <v>3</v>
      </c>
      <c r="B1992" t="s">
        <v>143</v>
      </c>
      <c r="C1992" t="s">
        <v>2022</v>
      </c>
      <c r="D1992" t="s">
        <v>2069</v>
      </c>
      <c r="E1992" cm="1">
        <f t="array" ref="E1992">_xlfn.XLOOKUP(D1992,SKU_Master!A:A,SKU_Master!B:B,"Not on master")</f>
        <v>0</v>
      </c>
      <c r="F1992" cm="1">
        <f t="array" ref="F1992">_xlfn.XLOOKUP(C1992,Account_Master!A:A,Account_Master!B:B,"Not on master")</f>
        <v>0</v>
      </c>
      <c r="G1992" cm="1">
        <f t="array" ref="G1992">_xlfn.XLOOKUP(C1992,Account_Master!A:A,Account_Master!C:C,"Not on master")</f>
        <v>0</v>
      </c>
      <c r="H1992" s="6">
        <v>4.5</v>
      </c>
      <c r="I1992" s="6">
        <v>4.5</v>
      </c>
      <c r="J1992" s="6">
        <f>I1992-H1992</f>
        <v>0</v>
      </c>
      <c r="K1992" s="5">
        <f>IF(H1992=0,"",J1992/H1992)</f>
        <v>0</v>
      </c>
      <c r="L1992">
        <f>IF(OR(AND(H1992=0,ABS(J1992)&gt;=0.01),AND(H1992&lt;&gt;0,ABS(K1992)&gt;VarianceThreshold)),"Review","OK")</f>
        <v>0</v>
      </c>
      <c r="M1992" t="s">
        <v>33</v>
      </c>
    </row>
    <row r="1993" spans="1:13">
      <c r="A1993" t="s">
        <v>3</v>
      </c>
      <c r="B1993" t="s">
        <v>143</v>
      </c>
      <c r="C1993" t="s">
        <v>2070</v>
      </c>
      <c r="D1993" t="s">
        <v>222</v>
      </c>
      <c r="E1993" cm="1">
        <f t="array" ref="E1993">_xlfn.XLOOKUP(D1993,SKU_Master!A:A,SKU_Master!B:B,"Not on master")</f>
        <v>0</v>
      </c>
      <c r="F1993" cm="1">
        <f t="array" ref="F1993">_xlfn.XLOOKUP(C1993,Account_Master!A:A,Account_Master!B:B,"Not on master")</f>
        <v>0</v>
      </c>
      <c r="G1993" cm="1">
        <f t="array" ref="G1993">_xlfn.XLOOKUP(C1993,Account_Master!A:A,Account_Master!C:C,"Not on master")</f>
        <v>0</v>
      </c>
      <c r="H1993" s="6">
        <v>13.5</v>
      </c>
      <c r="I1993" s="6">
        <v>13.5</v>
      </c>
      <c r="J1993" s="6">
        <f>I1993-H1993</f>
        <v>0</v>
      </c>
      <c r="K1993" s="5">
        <f>IF(H1993=0,"",J1993/H1993)</f>
        <v>0</v>
      </c>
      <c r="L1993">
        <f>IF(OR(AND(H1993=0,ABS(J1993)&gt;=0.01),AND(H1993&lt;&gt;0,ABS(K1993)&gt;VarianceThreshold)),"Review","OK")</f>
        <v>0</v>
      </c>
      <c r="M1993" t="s">
        <v>33</v>
      </c>
    </row>
    <row r="1994" spans="1:13">
      <c r="A1994" t="s">
        <v>3</v>
      </c>
      <c r="B1994" t="s">
        <v>154</v>
      </c>
      <c r="C1994" t="s">
        <v>2026</v>
      </c>
      <c r="D1994" t="s">
        <v>1351</v>
      </c>
      <c r="E1994" cm="1">
        <f t="array" ref="E1994">_xlfn.XLOOKUP(D1994,SKU_Master!A:A,SKU_Master!B:B,"Not on master")</f>
        <v>0</v>
      </c>
      <c r="F1994" cm="1">
        <f t="array" ref="F1994">_xlfn.XLOOKUP(C1994,Account_Master!A:A,Account_Master!B:B,"Not on master")</f>
        <v>0</v>
      </c>
      <c r="G1994" cm="1">
        <f t="array" ref="G1994">_xlfn.XLOOKUP(C1994,Account_Master!A:A,Account_Master!C:C,"Not on master")</f>
        <v>0</v>
      </c>
      <c r="H1994" s="6">
        <v>104.25</v>
      </c>
      <c r="I1994" s="6">
        <v>104.25</v>
      </c>
      <c r="J1994" s="6">
        <f>I1994-H1994</f>
        <v>0</v>
      </c>
      <c r="K1994" s="5">
        <f>IF(H1994=0,"",J1994/H1994)</f>
        <v>0</v>
      </c>
      <c r="L1994">
        <f>IF(OR(AND(H1994=0,ABS(J1994)&gt;=0.01),AND(H1994&lt;&gt;0,ABS(K1994)&gt;VarianceThreshold)),"Review","OK")</f>
        <v>0</v>
      </c>
      <c r="M1994" t="s">
        <v>33</v>
      </c>
    </row>
    <row r="1995" spans="1:13">
      <c r="A1995" t="s">
        <v>3</v>
      </c>
      <c r="B1995" t="s">
        <v>154</v>
      </c>
      <c r="C1995" t="s">
        <v>2071</v>
      </c>
      <c r="D1995" t="s">
        <v>2072</v>
      </c>
      <c r="E1995" cm="1">
        <f t="array" ref="E1995">_xlfn.XLOOKUP(D1995,SKU_Master!A:A,SKU_Master!B:B,"Not on master")</f>
        <v>0</v>
      </c>
      <c r="F1995" cm="1">
        <f t="array" ref="F1995">_xlfn.XLOOKUP(C1995,Account_Master!A:A,Account_Master!B:B,"Not on master")</f>
        <v>0</v>
      </c>
      <c r="G1995" cm="1">
        <f t="array" ref="G1995">_xlfn.XLOOKUP(C1995,Account_Master!A:A,Account_Master!C:C,"Not on master")</f>
        <v>0</v>
      </c>
      <c r="H1995" s="6">
        <v>0.7</v>
      </c>
      <c r="I1995" s="6">
        <v>0.7</v>
      </c>
      <c r="J1995" s="6">
        <f>I1995-H1995</f>
        <v>0</v>
      </c>
      <c r="K1995" s="5">
        <f>IF(H1995=0,"",J1995/H1995)</f>
        <v>0</v>
      </c>
      <c r="L1995">
        <f>IF(OR(AND(H1995=0,ABS(J1995)&gt;=0.01),AND(H1995&lt;&gt;0,ABS(K1995)&gt;VarianceThreshold)),"Review","OK")</f>
        <v>0</v>
      </c>
      <c r="M1995" t="s">
        <v>33</v>
      </c>
    </row>
    <row r="1996" spans="1:13">
      <c r="A1996" t="s">
        <v>3</v>
      </c>
      <c r="B1996" t="s">
        <v>154</v>
      </c>
      <c r="C1996" t="s">
        <v>2013</v>
      </c>
      <c r="D1996" t="s">
        <v>1614</v>
      </c>
      <c r="E1996" cm="1">
        <f t="array" ref="E1996">_xlfn.XLOOKUP(D1996,SKU_Master!A:A,SKU_Master!B:B,"Not on master")</f>
        <v>0</v>
      </c>
      <c r="F1996" cm="1">
        <f t="array" ref="F1996">_xlfn.XLOOKUP(C1996,Account_Master!A:A,Account_Master!B:B,"Not on master")</f>
        <v>0</v>
      </c>
      <c r="G1996" cm="1">
        <f t="array" ref="G1996">_xlfn.XLOOKUP(C1996,Account_Master!A:A,Account_Master!C:C,"Not on master")</f>
        <v>0</v>
      </c>
      <c r="H1996" s="6">
        <v>1.5</v>
      </c>
      <c r="I1996" s="6">
        <v>1.5</v>
      </c>
      <c r="J1996" s="6">
        <f>I1996-H1996</f>
        <v>0</v>
      </c>
      <c r="K1996" s="5">
        <f>IF(H1996=0,"",J1996/H1996)</f>
        <v>0</v>
      </c>
      <c r="L1996">
        <f>IF(OR(AND(H1996=0,ABS(J1996)&gt;=0.01),AND(H1996&lt;&gt;0,ABS(K1996)&gt;VarianceThreshold)),"Review","OK")</f>
        <v>0</v>
      </c>
      <c r="M1996" t="s">
        <v>33</v>
      </c>
    </row>
    <row r="1997" spans="1:13">
      <c r="A1997" t="s">
        <v>3</v>
      </c>
      <c r="B1997" t="s">
        <v>154</v>
      </c>
      <c r="C1997" t="s">
        <v>2035</v>
      </c>
      <c r="D1997" t="s">
        <v>962</v>
      </c>
      <c r="E1997" cm="1">
        <f t="array" ref="E1997">_xlfn.XLOOKUP(D1997,SKU_Master!A:A,SKU_Master!B:B,"Not on master")</f>
        <v>0</v>
      </c>
      <c r="F1997" cm="1">
        <f t="array" ref="F1997">_xlfn.XLOOKUP(C1997,Account_Master!A:A,Account_Master!B:B,"Not on master")</f>
        <v>0</v>
      </c>
      <c r="G1997" cm="1">
        <f t="array" ref="G1997">_xlfn.XLOOKUP(C1997,Account_Master!A:A,Account_Master!C:C,"Not on master")</f>
        <v>0</v>
      </c>
      <c r="H1997" s="6">
        <v>3</v>
      </c>
      <c r="I1997" s="6">
        <v>3</v>
      </c>
      <c r="J1997" s="6">
        <f>I1997-H1997</f>
        <v>0</v>
      </c>
      <c r="K1997" s="5">
        <f>IF(H1997=0,"",J1997/H1997)</f>
        <v>0</v>
      </c>
      <c r="L1997">
        <f>IF(OR(AND(H1997=0,ABS(J1997)&gt;=0.01),AND(H1997&lt;&gt;0,ABS(K1997)&gt;VarianceThreshold)),"Review","OK")</f>
        <v>0</v>
      </c>
      <c r="M1997" t="s">
        <v>33</v>
      </c>
    </row>
    <row r="1998" spans="1:13">
      <c r="A1998" t="s">
        <v>3</v>
      </c>
      <c r="B1998" t="s">
        <v>154</v>
      </c>
      <c r="C1998" t="s">
        <v>2018</v>
      </c>
      <c r="D1998" t="s">
        <v>723</v>
      </c>
      <c r="E1998" cm="1">
        <f t="array" ref="E1998">_xlfn.XLOOKUP(D1998,SKU_Master!A:A,SKU_Master!B:B,"Not on master")</f>
        <v>0</v>
      </c>
      <c r="F1998" cm="1">
        <f t="array" ref="F1998">_xlfn.XLOOKUP(C1998,Account_Master!A:A,Account_Master!B:B,"Not on master")</f>
        <v>0</v>
      </c>
      <c r="G1998" cm="1">
        <f t="array" ref="G1998">_xlfn.XLOOKUP(C1998,Account_Master!A:A,Account_Master!C:C,"Not on master")</f>
        <v>0</v>
      </c>
      <c r="H1998" s="6">
        <v>30.4</v>
      </c>
      <c r="I1998" s="6">
        <v>30.4</v>
      </c>
      <c r="J1998" s="6">
        <f>I1998-H1998</f>
        <v>0</v>
      </c>
      <c r="K1998" s="5">
        <f>IF(H1998=0,"",J1998/H1998)</f>
        <v>0</v>
      </c>
      <c r="L1998">
        <f>IF(OR(AND(H1998=0,ABS(J1998)&gt;=0.01),AND(H1998&lt;&gt;0,ABS(K1998)&gt;VarianceThreshold)),"Review","OK")</f>
        <v>0</v>
      </c>
      <c r="M1998" t="s">
        <v>33</v>
      </c>
    </row>
    <row r="1999" spans="1:13">
      <c r="A1999" t="s">
        <v>3</v>
      </c>
      <c r="B1999" t="s">
        <v>154</v>
      </c>
      <c r="C1999" t="s">
        <v>2073</v>
      </c>
      <c r="D1999" t="s">
        <v>2074</v>
      </c>
      <c r="E1999" cm="1">
        <f t="array" ref="E1999">_xlfn.XLOOKUP(D1999,SKU_Master!A:A,SKU_Master!B:B,"Not on master")</f>
        <v>0</v>
      </c>
      <c r="F1999" cm="1">
        <f t="array" ref="F1999">_xlfn.XLOOKUP(C1999,Account_Master!A:A,Account_Master!B:B,"Not on master")</f>
        <v>0</v>
      </c>
      <c r="G1999" cm="1">
        <f t="array" ref="G1999">_xlfn.XLOOKUP(C1999,Account_Master!A:A,Account_Master!C:C,"Not on master")</f>
        <v>0</v>
      </c>
      <c r="H1999" s="6">
        <v>18</v>
      </c>
      <c r="I1999" s="6">
        <v>18</v>
      </c>
      <c r="J1999" s="6">
        <f>I1999-H1999</f>
        <v>0</v>
      </c>
      <c r="K1999" s="5">
        <f>IF(H1999=0,"",J1999/H1999)</f>
        <v>0</v>
      </c>
      <c r="L1999">
        <f>IF(OR(AND(H1999=0,ABS(J1999)&gt;=0.01),AND(H1999&lt;&gt;0,ABS(K1999)&gt;VarianceThreshold)),"Review","OK")</f>
        <v>0</v>
      </c>
      <c r="M1999" t="s">
        <v>33</v>
      </c>
    </row>
    <row r="2000" spans="1:13">
      <c r="A2000" t="s">
        <v>3</v>
      </c>
      <c r="B2000" t="s">
        <v>160</v>
      </c>
      <c r="C2000" t="s">
        <v>2075</v>
      </c>
      <c r="D2000" t="s">
        <v>1673</v>
      </c>
      <c r="E2000" cm="1">
        <f t="array" ref="E2000">_xlfn.XLOOKUP(D2000,SKU_Master!A:A,SKU_Master!B:B,"Not on master")</f>
        <v>0</v>
      </c>
      <c r="F2000" cm="1">
        <f t="array" ref="F2000">_xlfn.XLOOKUP(C2000,Account_Master!A:A,Account_Master!B:B,"Not on master")</f>
        <v>0</v>
      </c>
      <c r="G2000" cm="1">
        <f t="array" ref="G2000">_xlfn.XLOOKUP(C2000,Account_Master!A:A,Account_Master!C:C,"Not on master")</f>
        <v>0</v>
      </c>
      <c r="H2000" s="6">
        <v>4.5</v>
      </c>
      <c r="I2000" s="6">
        <v>4.5</v>
      </c>
      <c r="J2000" s="6">
        <f>I2000-H2000</f>
        <v>0</v>
      </c>
      <c r="K2000" s="5">
        <f>IF(H2000=0,"",J2000/H2000)</f>
        <v>0</v>
      </c>
      <c r="L2000">
        <f>IF(OR(AND(H2000=0,ABS(J2000)&gt;=0.01),AND(H2000&lt;&gt;0,ABS(K2000)&gt;VarianceThreshold)),"Review","OK")</f>
        <v>0</v>
      </c>
      <c r="M2000" t="s">
        <v>33</v>
      </c>
    </row>
    <row r="2001" spans="1:13">
      <c r="A2001" t="s">
        <v>3</v>
      </c>
      <c r="B2001" t="s">
        <v>160</v>
      </c>
      <c r="C2001" t="s">
        <v>2033</v>
      </c>
      <c r="D2001" t="s">
        <v>1104</v>
      </c>
      <c r="E2001" cm="1">
        <f t="array" ref="E2001">_xlfn.XLOOKUP(D2001,SKU_Master!A:A,SKU_Master!B:B,"Not on master")</f>
        <v>0</v>
      </c>
      <c r="F2001" cm="1">
        <f t="array" ref="F2001">_xlfn.XLOOKUP(C2001,Account_Master!A:A,Account_Master!B:B,"Not on master")</f>
        <v>0</v>
      </c>
      <c r="G2001" cm="1">
        <f t="array" ref="G2001">_xlfn.XLOOKUP(C2001,Account_Master!A:A,Account_Master!C:C,"Not on master")</f>
        <v>0</v>
      </c>
      <c r="H2001" s="6">
        <v>64</v>
      </c>
      <c r="I2001" s="6">
        <v>64</v>
      </c>
      <c r="J2001" s="6">
        <f>I2001-H2001</f>
        <v>0</v>
      </c>
      <c r="K2001" s="5">
        <f>IF(H2001=0,"",J2001/H2001)</f>
        <v>0</v>
      </c>
      <c r="L2001">
        <f>IF(OR(AND(H2001=0,ABS(J2001)&gt;=0.01),AND(H2001&lt;&gt;0,ABS(K2001)&gt;VarianceThreshold)),"Review","OK")</f>
        <v>0</v>
      </c>
      <c r="M2001" t="s">
        <v>33</v>
      </c>
    </row>
    <row r="2002" spans="1:13">
      <c r="A2002" t="s">
        <v>3</v>
      </c>
      <c r="B2002" t="s">
        <v>160</v>
      </c>
      <c r="C2002" t="s">
        <v>2076</v>
      </c>
      <c r="D2002" t="s">
        <v>2077</v>
      </c>
      <c r="E2002" cm="1">
        <f t="array" ref="E2002">_xlfn.XLOOKUP(D2002,SKU_Master!A:A,SKU_Master!B:B,"Not on master")</f>
        <v>0</v>
      </c>
      <c r="F2002" cm="1">
        <f t="array" ref="F2002">_xlfn.XLOOKUP(C2002,Account_Master!A:A,Account_Master!B:B,"Not on master")</f>
        <v>0</v>
      </c>
      <c r="G2002" cm="1">
        <f t="array" ref="G2002">_xlfn.XLOOKUP(C2002,Account_Master!A:A,Account_Master!C:C,"Not on master")</f>
        <v>0</v>
      </c>
      <c r="H2002" s="6">
        <v>1.5</v>
      </c>
      <c r="I2002" s="6">
        <v>1.5</v>
      </c>
      <c r="J2002" s="6">
        <f>I2002-H2002</f>
        <v>0</v>
      </c>
      <c r="K2002" s="5">
        <f>IF(H2002=0,"",J2002/H2002)</f>
        <v>0</v>
      </c>
      <c r="L2002">
        <f>IF(OR(AND(H2002=0,ABS(J2002)&gt;=0.01),AND(H2002&lt;&gt;0,ABS(K2002)&gt;VarianceThreshold)),"Review","OK")</f>
        <v>0</v>
      </c>
      <c r="M2002" t="s">
        <v>33</v>
      </c>
    </row>
    <row r="2003" spans="1:13">
      <c r="A2003" t="s">
        <v>3</v>
      </c>
      <c r="B2003" t="s">
        <v>160</v>
      </c>
      <c r="C2003" t="s">
        <v>2057</v>
      </c>
      <c r="D2003" t="s">
        <v>2078</v>
      </c>
      <c r="E2003" cm="1">
        <f t="array" ref="E2003">_xlfn.XLOOKUP(D2003,SKU_Master!A:A,SKU_Master!B:B,"Not on master")</f>
        <v>0</v>
      </c>
      <c r="F2003" cm="1">
        <f t="array" ref="F2003">_xlfn.XLOOKUP(C2003,Account_Master!A:A,Account_Master!B:B,"Not on master")</f>
        <v>0</v>
      </c>
      <c r="G2003" cm="1">
        <f t="array" ref="G2003">_xlfn.XLOOKUP(C2003,Account_Master!A:A,Account_Master!C:C,"Not on master")</f>
        <v>0</v>
      </c>
      <c r="H2003" s="6">
        <v>1.12</v>
      </c>
      <c r="I2003" s="6">
        <v>1.12</v>
      </c>
      <c r="J2003" s="6">
        <f>I2003-H2003</f>
        <v>0</v>
      </c>
      <c r="K2003" s="5">
        <f>IF(H2003=0,"",J2003/H2003)</f>
        <v>0</v>
      </c>
      <c r="L2003">
        <f>IF(OR(AND(H2003=0,ABS(J2003)&gt;=0.01),AND(H2003&lt;&gt;0,ABS(K2003)&gt;VarianceThreshold)),"Review","OK")</f>
        <v>0</v>
      </c>
      <c r="M2003" t="s">
        <v>33</v>
      </c>
    </row>
    <row r="2004" spans="1:13">
      <c r="A2004" t="s">
        <v>3</v>
      </c>
      <c r="B2004" t="s">
        <v>160</v>
      </c>
      <c r="C2004" t="s">
        <v>2079</v>
      </c>
      <c r="D2004" t="s">
        <v>583</v>
      </c>
      <c r="E2004" cm="1">
        <f t="array" ref="E2004">_xlfn.XLOOKUP(D2004,SKU_Master!A:A,SKU_Master!B:B,"Not on master")</f>
        <v>0</v>
      </c>
      <c r="F2004" cm="1">
        <f t="array" ref="F2004">_xlfn.XLOOKUP(C2004,Account_Master!A:A,Account_Master!B:B,"Not on master")</f>
        <v>0</v>
      </c>
      <c r="G2004" cm="1">
        <f t="array" ref="G2004">_xlfn.XLOOKUP(C2004,Account_Master!A:A,Account_Master!C:C,"Not on master")</f>
        <v>0</v>
      </c>
      <c r="H2004" s="6">
        <v>2.25</v>
      </c>
      <c r="I2004" s="6">
        <v>2.25</v>
      </c>
      <c r="J2004" s="6">
        <f>I2004-H2004</f>
        <v>0</v>
      </c>
      <c r="K2004" s="5">
        <f>IF(H2004=0,"",J2004/H2004)</f>
        <v>0</v>
      </c>
      <c r="L2004">
        <f>IF(OR(AND(H2004=0,ABS(J2004)&gt;=0.01),AND(H2004&lt;&gt;0,ABS(K2004)&gt;VarianceThreshold)),"Review","OK")</f>
        <v>0</v>
      </c>
      <c r="M2004" t="s">
        <v>33</v>
      </c>
    </row>
    <row r="2005" spans="1:13">
      <c r="A2005" t="s">
        <v>3</v>
      </c>
      <c r="B2005" t="s">
        <v>160</v>
      </c>
      <c r="C2005" t="s">
        <v>2080</v>
      </c>
      <c r="D2005" t="s">
        <v>1722</v>
      </c>
      <c r="E2005" cm="1">
        <f t="array" ref="E2005">_xlfn.XLOOKUP(D2005,SKU_Master!A:A,SKU_Master!B:B,"Not on master")</f>
        <v>0</v>
      </c>
      <c r="F2005" cm="1">
        <f t="array" ref="F2005">_xlfn.XLOOKUP(C2005,Account_Master!A:A,Account_Master!B:B,"Not on master")</f>
        <v>0</v>
      </c>
      <c r="G2005" cm="1">
        <f t="array" ref="G2005">_xlfn.XLOOKUP(C2005,Account_Master!A:A,Account_Master!C:C,"Not on master")</f>
        <v>0</v>
      </c>
      <c r="H2005" s="6">
        <v>0.25</v>
      </c>
      <c r="I2005" s="6">
        <v>0.25</v>
      </c>
      <c r="J2005" s="6">
        <f>I2005-H2005</f>
        <v>0</v>
      </c>
      <c r="K2005" s="5">
        <f>IF(H2005=0,"",J2005/H2005)</f>
        <v>0</v>
      </c>
      <c r="L2005">
        <f>IF(OR(AND(H2005=0,ABS(J2005)&gt;=0.01),AND(H2005&lt;&gt;0,ABS(K2005)&gt;VarianceThreshold)),"Review","OK")</f>
        <v>0</v>
      </c>
      <c r="M2005" t="s">
        <v>33</v>
      </c>
    </row>
    <row r="2006" spans="1:13">
      <c r="A2006" t="s">
        <v>3</v>
      </c>
      <c r="B2006" t="s">
        <v>160</v>
      </c>
      <c r="C2006" t="s">
        <v>2030</v>
      </c>
      <c r="D2006" t="s">
        <v>1319</v>
      </c>
      <c r="E2006" cm="1">
        <f t="array" ref="E2006">_xlfn.XLOOKUP(D2006,SKU_Master!A:A,SKU_Master!B:B,"Not on master")</f>
        <v>0</v>
      </c>
      <c r="F2006" cm="1">
        <f t="array" ref="F2006">_xlfn.XLOOKUP(C2006,Account_Master!A:A,Account_Master!B:B,"Not on master")</f>
        <v>0</v>
      </c>
      <c r="G2006" cm="1">
        <f t="array" ref="G2006">_xlfn.XLOOKUP(C2006,Account_Master!A:A,Account_Master!C:C,"Not on master")</f>
        <v>0</v>
      </c>
      <c r="H2006" s="6">
        <v>0.05</v>
      </c>
      <c r="I2006" s="6">
        <v>0.05</v>
      </c>
      <c r="J2006" s="6">
        <f>I2006-H2006</f>
        <v>0</v>
      </c>
      <c r="K2006" s="5">
        <f>IF(H2006=0,"",J2006/H2006)</f>
        <v>0</v>
      </c>
      <c r="L2006">
        <f>IF(OR(AND(H2006=0,ABS(J2006)&gt;=0.01),AND(H2006&lt;&gt;0,ABS(K2006)&gt;VarianceThreshold)),"Review","OK")</f>
        <v>0</v>
      </c>
      <c r="M2006" t="s">
        <v>33</v>
      </c>
    </row>
    <row r="2007" spans="1:13">
      <c r="A2007" t="s">
        <v>3</v>
      </c>
      <c r="B2007" t="s">
        <v>170</v>
      </c>
      <c r="C2007" t="s">
        <v>2081</v>
      </c>
      <c r="D2007" t="s">
        <v>206</v>
      </c>
      <c r="E2007" cm="1">
        <f t="array" ref="E2007">_xlfn.XLOOKUP(D2007,SKU_Master!A:A,SKU_Master!B:B,"Not on master")</f>
        <v>0</v>
      </c>
      <c r="F2007" cm="1">
        <f t="array" ref="F2007">_xlfn.XLOOKUP(C2007,Account_Master!A:A,Account_Master!B:B,"Not on master")</f>
        <v>0</v>
      </c>
      <c r="G2007" cm="1">
        <f t="array" ref="G2007">_xlfn.XLOOKUP(C2007,Account_Master!A:A,Account_Master!C:C,"Not on master")</f>
        <v>0</v>
      </c>
      <c r="H2007" s="6">
        <v>166.5</v>
      </c>
      <c r="I2007" s="6">
        <v>166.5</v>
      </c>
      <c r="J2007" s="6">
        <f>I2007-H2007</f>
        <v>0</v>
      </c>
      <c r="K2007" s="5">
        <f>IF(H2007=0,"",J2007/H2007)</f>
        <v>0</v>
      </c>
      <c r="L2007">
        <f>IF(OR(AND(H2007=0,ABS(J2007)&gt;=0.01),AND(H2007&lt;&gt;0,ABS(K2007)&gt;VarianceThreshold)),"Review","OK")</f>
        <v>0</v>
      </c>
      <c r="M2007" t="s">
        <v>33</v>
      </c>
    </row>
    <row r="2008" spans="1:13">
      <c r="A2008" t="s">
        <v>3</v>
      </c>
      <c r="B2008" t="s">
        <v>170</v>
      </c>
      <c r="C2008" t="s">
        <v>2082</v>
      </c>
      <c r="D2008" t="s">
        <v>1343</v>
      </c>
      <c r="E2008" cm="1">
        <f t="array" ref="E2008">_xlfn.XLOOKUP(D2008,SKU_Master!A:A,SKU_Master!B:B,"Not on master")</f>
        <v>0</v>
      </c>
      <c r="F2008" cm="1">
        <f t="array" ref="F2008">_xlfn.XLOOKUP(C2008,Account_Master!A:A,Account_Master!B:B,"Not on master")</f>
        <v>0</v>
      </c>
      <c r="G2008" cm="1">
        <f t="array" ref="G2008">_xlfn.XLOOKUP(C2008,Account_Master!A:A,Account_Master!C:C,"Not on master")</f>
        <v>0</v>
      </c>
      <c r="H2008" s="6">
        <v>84</v>
      </c>
      <c r="I2008" s="6">
        <v>84</v>
      </c>
      <c r="J2008" s="6">
        <f>I2008-H2008</f>
        <v>0</v>
      </c>
      <c r="K2008" s="5">
        <f>IF(H2008=0,"",J2008/H2008)</f>
        <v>0</v>
      </c>
      <c r="L2008">
        <f>IF(OR(AND(H2008=0,ABS(J2008)&gt;=0.01),AND(H2008&lt;&gt;0,ABS(K2008)&gt;VarianceThreshold)),"Review","OK")</f>
        <v>0</v>
      </c>
      <c r="M2008" t="s">
        <v>33</v>
      </c>
    </row>
    <row r="2009" spans="1:13">
      <c r="A2009" t="s">
        <v>3</v>
      </c>
      <c r="B2009" t="s">
        <v>170</v>
      </c>
      <c r="C2009" t="s">
        <v>1837</v>
      </c>
      <c r="D2009" t="s">
        <v>737</v>
      </c>
      <c r="E2009" cm="1">
        <f t="array" ref="E2009">_xlfn.XLOOKUP(D2009,SKU_Master!A:A,SKU_Master!B:B,"Not on master")</f>
        <v>0</v>
      </c>
      <c r="F2009" cm="1">
        <f t="array" ref="F2009">_xlfn.XLOOKUP(C2009,Account_Master!A:A,Account_Master!B:B,"Not on master")</f>
        <v>0</v>
      </c>
      <c r="G2009" cm="1">
        <f t="array" ref="G2009">_xlfn.XLOOKUP(C2009,Account_Master!A:A,Account_Master!C:C,"Not on master")</f>
        <v>0</v>
      </c>
      <c r="H2009" s="6">
        <v>1197</v>
      </c>
      <c r="I2009" s="6">
        <v>1186.5</v>
      </c>
      <c r="J2009" s="6">
        <f>I2009-H2009</f>
        <v>0</v>
      </c>
      <c r="K2009" s="5">
        <f>IF(H2009=0,"",J2009/H2009)</f>
        <v>0</v>
      </c>
      <c r="L2009">
        <f>IF(OR(AND(H2009=0,ABS(J2009)&gt;=0.01),AND(H2009&lt;&gt;0,ABS(K2009)&gt;VarianceThreshold)),"Review","OK")</f>
        <v>0</v>
      </c>
      <c r="M2009" t="s">
        <v>33</v>
      </c>
    </row>
    <row r="2010" spans="1:13">
      <c r="A2010" t="s">
        <v>3</v>
      </c>
      <c r="B2010" t="s">
        <v>170</v>
      </c>
      <c r="C2010" t="s">
        <v>2083</v>
      </c>
      <c r="D2010" t="s">
        <v>2084</v>
      </c>
      <c r="E2010" cm="1">
        <f t="array" ref="E2010">_xlfn.XLOOKUP(D2010,SKU_Master!A:A,SKU_Master!B:B,"Not on master")</f>
        <v>0</v>
      </c>
      <c r="F2010" cm="1">
        <f t="array" ref="F2010">_xlfn.XLOOKUP(C2010,Account_Master!A:A,Account_Master!B:B,"Not on master")</f>
        <v>0</v>
      </c>
      <c r="G2010" cm="1">
        <f t="array" ref="G2010">_xlfn.XLOOKUP(C2010,Account_Master!A:A,Account_Master!C:C,"Not on master")</f>
        <v>0</v>
      </c>
      <c r="H2010" s="6">
        <v>54.75</v>
      </c>
      <c r="I2010" s="6">
        <v>54.75</v>
      </c>
      <c r="J2010" s="6">
        <f>I2010-H2010</f>
        <v>0</v>
      </c>
      <c r="K2010" s="5">
        <f>IF(H2010=0,"",J2010/H2010)</f>
        <v>0</v>
      </c>
      <c r="L2010">
        <f>IF(OR(AND(H2010=0,ABS(J2010)&gt;=0.01),AND(H2010&lt;&gt;0,ABS(K2010)&gt;VarianceThreshold)),"Review","OK")</f>
        <v>0</v>
      </c>
      <c r="M2010" t="s">
        <v>33</v>
      </c>
    </row>
    <row r="2011" spans="1:13">
      <c r="A2011" t="s">
        <v>3</v>
      </c>
      <c r="B2011" t="s">
        <v>170</v>
      </c>
      <c r="C2011" t="s">
        <v>2085</v>
      </c>
      <c r="D2011" t="s">
        <v>1500</v>
      </c>
      <c r="E2011" cm="1">
        <f t="array" ref="E2011">_xlfn.XLOOKUP(D2011,SKU_Master!A:A,SKU_Master!B:B,"Not on master")</f>
        <v>0</v>
      </c>
      <c r="F2011" cm="1">
        <f t="array" ref="F2011">_xlfn.XLOOKUP(C2011,Account_Master!A:A,Account_Master!B:B,"Not on master")</f>
        <v>0</v>
      </c>
      <c r="G2011" cm="1">
        <f t="array" ref="G2011">_xlfn.XLOOKUP(C2011,Account_Master!A:A,Account_Master!C:C,"Not on master")</f>
        <v>0</v>
      </c>
      <c r="H2011" s="6">
        <v>31.5</v>
      </c>
      <c r="I2011" s="6">
        <v>31.5</v>
      </c>
      <c r="J2011" s="6">
        <f>I2011-H2011</f>
        <v>0</v>
      </c>
      <c r="K2011" s="5">
        <f>IF(H2011=0,"",J2011/H2011)</f>
        <v>0</v>
      </c>
      <c r="L2011">
        <f>IF(OR(AND(H2011=0,ABS(J2011)&gt;=0.01),AND(H2011&lt;&gt;0,ABS(K2011)&gt;VarianceThreshold)),"Review","OK")</f>
        <v>0</v>
      </c>
      <c r="M2011" t="s">
        <v>33</v>
      </c>
    </row>
    <row r="2012" spans="1:13">
      <c r="A2012" t="s">
        <v>3</v>
      </c>
      <c r="B2012" t="s">
        <v>170</v>
      </c>
      <c r="C2012" t="s">
        <v>2052</v>
      </c>
      <c r="D2012" t="s">
        <v>2086</v>
      </c>
      <c r="E2012" cm="1">
        <f t="array" ref="E2012">_xlfn.XLOOKUP(D2012,SKU_Master!A:A,SKU_Master!B:B,"Not on master")</f>
        <v>0</v>
      </c>
      <c r="F2012" cm="1">
        <f t="array" ref="F2012">_xlfn.XLOOKUP(C2012,Account_Master!A:A,Account_Master!B:B,"Not on master")</f>
        <v>0</v>
      </c>
      <c r="G2012" cm="1">
        <f t="array" ref="G2012">_xlfn.XLOOKUP(C2012,Account_Master!A:A,Account_Master!C:C,"Not on master")</f>
        <v>0</v>
      </c>
      <c r="H2012" s="6">
        <v>4.5</v>
      </c>
      <c r="I2012" s="6">
        <v>4.5</v>
      </c>
      <c r="J2012" s="6">
        <f>I2012-H2012</f>
        <v>0</v>
      </c>
      <c r="K2012" s="5">
        <f>IF(H2012=0,"",J2012/H2012)</f>
        <v>0</v>
      </c>
      <c r="L2012">
        <f>IF(OR(AND(H2012=0,ABS(J2012)&gt;=0.01),AND(H2012&lt;&gt;0,ABS(K2012)&gt;VarianceThreshold)),"Review","OK")</f>
        <v>0</v>
      </c>
      <c r="M2012" t="s">
        <v>33</v>
      </c>
    </row>
    <row r="2013" spans="1:13">
      <c r="A2013" t="s">
        <v>3</v>
      </c>
      <c r="B2013" t="s">
        <v>170</v>
      </c>
      <c r="C2013" t="s">
        <v>2019</v>
      </c>
      <c r="D2013" t="s">
        <v>2087</v>
      </c>
      <c r="E2013" cm="1">
        <f t="array" ref="E2013">_xlfn.XLOOKUP(D2013,SKU_Master!A:A,SKU_Master!B:B,"Not on master")</f>
        <v>0</v>
      </c>
      <c r="F2013" cm="1">
        <f t="array" ref="F2013">_xlfn.XLOOKUP(C2013,Account_Master!A:A,Account_Master!B:B,"Not on master")</f>
        <v>0</v>
      </c>
      <c r="G2013" cm="1">
        <f t="array" ref="G2013">_xlfn.XLOOKUP(C2013,Account_Master!A:A,Account_Master!C:C,"Not on master")</f>
        <v>0</v>
      </c>
      <c r="H2013" s="6">
        <v>2.25</v>
      </c>
      <c r="I2013" s="6">
        <v>2.25</v>
      </c>
      <c r="J2013" s="6">
        <f>I2013-H2013</f>
        <v>0</v>
      </c>
      <c r="K2013" s="5">
        <f>IF(H2013=0,"",J2013/H2013)</f>
        <v>0</v>
      </c>
      <c r="L2013">
        <f>IF(OR(AND(H2013=0,ABS(J2013)&gt;=0.01),AND(H2013&lt;&gt;0,ABS(K2013)&gt;VarianceThreshold)),"Review","OK")</f>
        <v>0</v>
      </c>
      <c r="M2013" t="s">
        <v>33</v>
      </c>
    </row>
    <row r="2014" spans="1:13">
      <c r="A2014" t="s">
        <v>3</v>
      </c>
      <c r="B2014" t="s">
        <v>180</v>
      </c>
      <c r="C2014" t="s">
        <v>2033</v>
      </c>
      <c r="D2014" t="s">
        <v>541</v>
      </c>
      <c r="E2014" cm="1">
        <f t="array" ref="E2014">_xlfn.XLOOKUP(D2014,SKU_Master!A:A,SKU_Master!B:B,"Not on master")</f>
        <v>0</v>
      </c>
      <c r="F2014" cm="1">
        <f t="array" ref="F2014">_xlfn.XLOOKUP(C2014,Account_Master!A:A,Account_Master!B:B,"Not on master")</f>
        <v>0</v>
      </c>
      <c r="G2014" cm="1">
        <f t="array" ref="G2014">_xlfn.XLOOKUP(C2014,Account_Master!A:A,Account_Master!C:C,"Not on master")</f>
        <v>0</v>
      </c>
      <c r="H2014" s="6">
        <v>105</v>
      </c>
      <c r="I2014" s="6">
        <v>105</v>
      </c>
      <c r="J2014" s="6">
        <f>I2014-H2014</f>
        <v>0</v>
      </c>
      <c r="K2014" s="5">
        <f>IF(H2014=0,"",J2014/H2014)</f>
        <v>0</v>
      </c>
      <c r="L2014">
        <f>IF(OR(AND(H2014=0,ABS(J2014)&gt;=0.01),AND(H2014&lt;&gt;0,ABS(K2014)&gt;VarianceThreshold)),"Review","OK")</f>
        <v>0</v>
      </c>
      <c r="M2014" t="s">
        <v>33</v>
      </c>
    </row>
    <row r="2015" spans="1:13">
      <c r="A2015" t="s">
        <v>3</v>
      </c>
      <c r="B2015" t="s">
        <v>180</v>
      </c>
      <c r="C2015" t="s">
        <v>2022</v>
      </c>
      <c r="D2015" t="s">
        <v>167</v>
      </c>
      <c r="E2015" cm="1">
        <f t="array" ref="E2015">_xlfn.XLOOKUP(D2015,SKU_Master!A:A,SKU_Master!B:B,"Not on master")</f>
        <v>0</v>
      </c>
      <c r="F2015" cm="1">
        <f t="array" ref="F2015">_xlfn.XLOOKUP(C2015,Account_Master!A:A,Account_Master!B:B,"Not on master")</f>
        <v>0</v>
      </c>
      <c r="G2015" cm="1">
        <f t="array" ref="G2015">_xlfn.XLOOKUP(C2015,Account_Master!A:A,Account_Master!C:C,"Not on master")</f>
        <v>0</v>
      </c>
      <c r="H2015" s="6">
        <v>122</v>
      </c>
      <c r="I2015" s="6">
        <v>122</v>
      </c>
      <c r="J2015" s="6">
        <f>I2015-H2015</f>
        <v>0</v>
      </c>
      <c r="K2015" s="5">
        <f>IF(H2015=0,"",J2015/H2015)</f>
        <v>0</v>
      </c>
      <c r="L2015">
        <f>IF(OR(AND(H2015=0,ABS(J2015)&gt;=0.01),AND(H2015&lt;&gt;0,ABS(K2015)&gt;VarianceThreshold)),"Review","OK")</f>
        <v>0</v>
      </c>
      <c r="M2015" t="s">
        <v>33</v>
      </c>
    </row>
    <row r="2016" spans="1:13">
      <c r="A2016" t="s">
        <v>3</v>
      </c>
      <c r="B2016" t="s">
        <v>180</v>
      </c>
      <c r="C2016" t="s">
        <v>2088</v>
      </c>
      <c r="D2016" t="s">
        <v>407</v>
      </c>
      <c r="E2016" cm="1">
        <f t="array" ref="E2016">_xlfn.XLOOKUP(D2016,SKU_Master!A:A,SKU_Master!B:B,"Not on master")</f>
        <v>0</v>
      </c>
      <c r="F2016" cm="1">
        <f t="array" ref="F2016">_xlfn.XLOOKUP(C2016,Account_Master!A:A,Account_Master!B:B,"Not on master")</f>
        <v>0</v>
      </c>
      <c r="G2016" cm="1">
        <f t="array" ref="G2016">_xlfn.XLOOKUP(C2016,Account_Master!A:A,Account_Master!C:C,"Not on master")</f>
        <v>0</v>
      </c>
      <c r="H2016" s="6">
        <v>264</v>
      </c>
      <c r="I2016" s="6">
        <v>264</v>
      </c>
      <c r="J2016" s="6">
        <f>I2016-H2016</f>
        <v>0</v>
      </c>
      <c r="K2016" s="5">
        <f>IF(H2016=0,"",J2016/H2016)</f>
        <v>0</v>
      </c>
      <c r="L2016">
        <f>IF(OR(AND(H2016=0,ABS(J2016)&gt;=0.01),AND(H2016&lt;&gt;0,ABS(K2016)&gt;VarianceThreshold)),"Review","OK")</f>
        <v>0</v>
      </c>
      <c r="M2016" t="s">
        <v>33</v>
      </c>
    </row>
    <row r="2017" spans="1:13">
      <c r="A2017" t="s">
        <v>3</v>
      </c>
      <c r="B2017" t="s">
        <v>180</v>
      </c>
      <c r="C2017" t="s">
        <v>2035</v>
      </c>
      <c r="D2017" t="s">
        <v>641</v>
      </c>
      <c r="E2017" cm="1">
        <f t="array" ref="E2017">_xlfn.XLOOKUP(D2017,SKU_Master!A:A,SKU_Master!B:B,"Not on master")</f>
        <v>0</v>
      </c>
      <c r="F2017" cm="1">
        <f t="array" ref="F2017">_xlfn.XLOOKUP(C2017,Account_Master!A:A,Account_Master!B:B,"Not on master")</f>
        <v>0</v>
      </c>
      <c r="G2017" cm="1">
        <f t="array" ref="G2017">_xlfn.XLOOKUP(C2017,Account_Master!A:A,Account_Master!C:C,"Not on master")</f>
        <v>0</v>
      </c>
      <c r="H2017" s="6">
        <v>1.5</v>
      </c>
      <c r="I2017" s="6">
        <v>1.5</v>
      </c>
      <c r="J2017" s="6">
        <f>I2017-H2017</f>
        <v>0</v>
      </c>
      <c r="K2017" s="5">
        <f>IF(H2017=0,"",J2017/H2017)</f>
        <v>0</v>
      </c>
      <c r="L2017">
        <f>IF(OR(AND(H2017=0,ABS(J2017)&gt;=0.01),AND(H2017&lt;&gt;0,ABS(K2017)&gt;VarianceThreshold)),"Review","OK")</f>
        <v>0</v>
      </c>
      <c r="M2017" t="s">
        <v>33</v>
      </c>
    </row>
    <row r="2018" spans="1:13">
      <c r="A2018" t="s">
        <v>3</v>
      </c>
      <c r="B2018" t="s">
        <v>193</v>
      </c>
      <c r="C2018" t="s">
        <v>2030</v>
      </c>
      <c r="D2018" t="s">
        <v>1878</v>
      </c>
      <c r="E2018" cm="1">
        <f t="array" ref="E2018">_xlfn.XLOOKUP(D2018,SKU_Master!A:A,SKU_Master!B:B,"Not on master")</f>
        <v>0</v>
      </c>
      <c r="F2018" cm="1">
        <f t="array" ref="F2018">_xlfn.XLOOKUP(C2018,Account_Master!A:A,Account_Master!B:B,"Not on master")</f>
        <v>0</v>
      </c>
      <c r="G2018" cm="1">
        <f t="array" ref="G2018">_xlfn.XLOOKUP(C2018,Account_Master!A:A,Account_Master!C:C,"Not on master")</f>
        <v>0</v>
      </c>
      <c r="H2018" s="6">
        <v>14</v>
      </c>
      <c r="I2018" s="6">
        <v>14</v>
      </c>
      <c r="J2018" s="6">
        <f>I2018-H2018</f>
        <v>0</v>
      </c>
      <c r="K2018" s="5">
        <f>IF(H2018=0,"",J2018/H2018)</f>
        <v>0</v>
      </c>
      <c r="L2018">
        <f>IF(OR(AND(H2018=0,ABS(J2018)&gt;=0.01),AND(H2018&lt;&gt;0,ABS(K2018)&gt;VarianceThreshold)),"Review","OK")</f>
        <v>0</v>
      </c>
      <c r="M2018" t="s">
        <v>33</v>
      </c>
    </row>
    <row r="2019" spans="1:13">
      <c r="A2019" t="s">
        <v>3</v>
      </c>
      <c r="B2019" t="s">
        <v>193</v>
      </c>
      <c r="C2019" t="s">
        <v>2022</v>
      </c>
      <c r="D2019" t="s">
        <v>174</v>
      </c>
      <c r="E2019" cm="1">
        <f t="array" ref="E2019">_xlfn.XLOOKUP(D2019,SKU_Master!A:A,SKU_Master!B:B,"Not on master")</f>
        <v>0</v>
      </c>
      <c r="F2019" cm="1">
        <f t="array" ref="F2019">_xlfn.XLOOKUP(C2019,Account_Master!A:A,Account_Master!B:B,"Not on master")</f>
        <v>0</v>
      </c>
      <c r="G2019" cm="1">
        <f t="array" ref="G2019">_xlfn.XLOOKUP(C2019,Account_Master!A:A,Account_Master!C:C,"Not on master")</f>
        <v>0</v>
      </c>
      <c r="H2019" s="6">
        <v>18</v>
      </c>
      <c r="I2019" s="6">
        <v>18</v>
      </c>
      <c r="J2019" s="6">
        <f>I2019-H2019</f>
        <v>0</v>
      </c>
      <c r="K2019" s="5">
        <f>IF(H2019=0,"",J2019/H2019)</f>
        <v>0</v>
      </c>
      <c r="L2019">
        <f>IF(OR(AND(H2019=0,ABS(J2019)&gt;=0.01),AND(H2019&lt;&gt;0,ABS(K2019)&gt;VarianceThreshold)),"Review","OK")</f>
        <v>0</v>
      </c>
      <c r="M2019" t="s">
        <v>33</v>
      </c>
    </row>
    <row r="2020" spans="1:13">
      <c r="A2020" t="s">
        <v>3</v>
      </c>
      <c r="B2020" t="s">
        <v>193</v>
      </c>
      <c r="C2020" t="s">
        <v>2076</v>
      </c>
      <c r="D2020" t="s">
        <v>809</v>
      </c>
      <c r="E2020" cm="1">
        <f t="array" ref="E2020">_xlfn.XLOOKUP(D2020,SKU_Master!A:A,SKU_Master!B:B,"Not on master")</f>
        <v>0</v>
      </c>
      <c r="F2020" cm="1">
        <f t="array" ref="F2020">_xlfn.XLOOKUP(C2020,Account_Master!A:A,Account_Master!B:B,"Not on master")</f>
        <v>0</v>
      </c>
      <c r="G2020" cm="1">
        <f t="array" ref="G2020">_xlfn.XLOOKUP(C2020,Account_Master!A:A,Account_Master!C:C,"Not on master")</f>
        <v>0</v>
      </c>
      <c r="H2020" s="6">
        <v>0.75</v>
      </c>
      <c r="I2020" s="6">
        <v>0.75</v>
      </c>
      <c r="J2020" s="6">
        <f>I2020-H2020</f>
        <v>0</v>
      </c>
      <c r="K2020" s="5">
        <f>IF(H2020=0,"",J2020/H2020)</f>
        <v>0</v>
      </c>
      <c r="L2020">
        <f>IF(OR(AND(H2020=0,ABS(J2020)&gt;=0.01),AND(H2020&lt;&gt;0,ABS(K2020)&gt;VarianceThreshold)),"Review","OK")</f>
        <v>0</v>
      </c>
      <c r="M2020" t="s">
        <v>33</v>
      </c>
    </row>
    <row r="2021" spans="1:13">
      <c r="A2021" t="s">
        <v>3</v>
      </c>
      <c r="B2021" t="s">
        <v>193</v>
      </c>
      <c r="C2021" t="s">
        <v>2022</v>
      </c>
      <c r="D2021" t="s">
        <v>287</v>
      </c>
      <c r="E2021" cm="1">
        <f t="array" ref="E2021">_xlfn.XLOOKUP(D2021,SKU_Master!A:A,SKU_Master!B:B,"Not on master")</f>
        <v>0</v>
      </c>
      <c r="F2021" cm="1">
        <f t="array" ref="F2021">_xlfn.XLOOKUP(C2021,Account_Master!A:A,Account_Master!B:B,"Not on master")</f>
        <v>0</v>
      </c>
      <c r="G2021" cm="1">
        <f t="array" ref="G2021">_xlfn.XLOOKUP(C2021,Account_Master!A:A,Account_Master!C:C,"Not on master")</f>
        <v>0</v>
      </c>
      <c r="H2021" s="6">
        <v>9</v>
      </c>
      <c r="I2021" s="6">
        <v>9</v>
      </c>
      <c r="J2021" s="6">
        <f>I2021-H2021</f>
        <v>0</v>
      </c>
      <c r="K2021" s="5">
        <f>IF(H2021=0,"",J2021/H2021)</f>
        <v>0</v>
      </c>
      <c r="L2021">
        <f>IF(OR(AND(H2021=0,ABS(J2021)&gt;=0.01),AND(H2021&lt;&gt;0,ABS(K2021)&gt;VarianceThreshold)),"Review","OK")</f>
        <v>0</v>
      </c>
      <c r="M2021" t="s">
        <v>33</v>
      </c>
    </row>
    <row r="2022" spans="1:13">
      <c r="A2022" t="s">
        <v>3</v>
      </c>
      <c r="B2022" t="s">
        <v>193</v>
      </c>
      <c r="C2022" t="s">
        <v>2052</v>
      </c>
      <c r="D2022" t="s">
        <v>2089</v>
      </c>
      <c r="E2022" cm="1">
        <f t="array" ref="E2022">_xlfn.XLOOKUP(D2022,SKU_Master!A:A,SKU_Master!B:B,"Not on master")</f>
        <v>0</v>
      </c>
      <c r="F2022" cm="1">
        <f t="array" ref="F2022">_xlfn.XLOOKUP(C2022,Account_Master!A:A,Account_Master!B:B,"Not on master")</f>
        <v>0</v>
      </c>
      <c r="G2022" cm="1">
        <f t="array" ref="G2022">_xlfn.XLOOKUP(C2022,Account_Master!A:A,Account_Master!C:C,"Not on master")</f>
        <v>0</v>
      </c>
      <c r="H2022" s="6">
        <v>6</v>
      </c>
      <c r="I2022" s="6">
        <v>6</v>
      </c>
      <c r="J2022" s="6">
        <f>I2022-H2022</f>
        <v>0</v>
      </c>
      <c r="K2022" s="5">
        <f>IF(H2022=0,"",J2022/H2022)</f>
        <v>0</v>
      </c>
      <c r="L2022">
        <f>IF(OR(AND(H2022=0,ABS(J2022)&gt;=0.01),AND(H2022&lt;&gt;0,ABS(K2022)&gt;VarianceThreshold)),"Review","OK")</f>
        <v>0</v>
      </c>
      <c r="M2022" t="s">
        <v>33</v>
      </c>
    </row>
    <row r="2023" spans="1:13">
      <c r="A2023" t="s">
        <v>3</v>
      </c>
      <c r="B2023" t="s">
        <v>193</v>
      </c>
      <c r="C2023" t="s">
        <v>2013</v>
      </c>
      <c r="D2023" t="s">
        <v>500</v>
      </c>
      <c r="E2023" cm="1">
        <f t="array" ref="E2023">_xlfn.XLOOKUP(D2023,SKU_Master!A:A,SKU_Master!B:B,"Not on master")</f>
        <v>0</v>
      </c>
      <c r="F2023" cm="1">
        <f t="array" ref="F2023">_xlfn.XLOOKUP(C2023,Account_Master!A:A,Account_Master!B:B,"Not on master")</f>
        <v>0</v>
      </c>
      <c r="G2023" cm="1">
        <f t="array" ref="G2023">_xlfn.XLOOKUP(C2023,Account_Master!A:A,Account_Master!C:C,"Not on master")</f>
        <v>0</v>
      </c>
      <c r="H2023" s="6">
        <v>4.5</v>
      </c>
      <c r="I2023" s="6">
        <v>4.5</v>
      </c>
      <c r="J2023" s="6">
        <f>I2023-H2023</f>
        <v>0</v>
      </c>
      <c r="K2023" s="5">
        <f>IF(H2023=0,"",J2023/H2023)</f>
        <v>0</v>
      </c>
      <c r="L2023">
        <f>IF(OR(AND(H2023=0,ABS(J2023)&gt;=0.01),AND(H2023&lt;&gt;0,ABS(K2023)&gt;VarianceThreshold)),"Review","OK")</f>
        <v>0</v>
      </c>
      <c r="M2023" t="s">
        <v>33</v>
      </c>
    </row>
    <row r="2024" spans="1:13">
      <c r="A2024" t="s">
        <v>3</v>
      </c>
      <c r="B2024" t="s">
        <v>205</v>
      </c>
      <c r="C2024" t="s">
        <v>2090</v>
      </c>
      <c r="D2024" t="s">
        <v>2091</v>
      </c>
      <c r="E2024" cm="1">
        <f t="array" ref="E2024">_xlfn.XLOOKUP(D2024,SKU_Master!A:A,SKU_Master!B:B,"Not on master")</f>
        <v>0</v>
      </c>
      <c r="F2024" cm="1">
        <f t="array" ref="F2024">_xlfn.XLOOKUP(C2024,Account_Master!A:A,Account_Master!B:B,"Not on master")</f>
        <v>0</v>
      </c>
      <c r="G2024" cm="1">
        <f t="array" ref="G2024">_xlfn.XLOOKUP(C2024,Account_Master!A:A,Account_Master!C:C,"Not on master")</f>
        <v>0</v>
      </c>
      <c r="H2024" s="6">
        <v>6.75</v>
      </c>
      <c r="I2024" s="6">
        <v>6.75</v>
      </c>
      <c r="J2024" s="6">
        <f>I2024-H2024</f>
        <v>0</v>
      </c>
      <c r="K2024" s="5">
        <f>IF(H2024=0,"",J2024/H2024)</f>
        <v>0</v>
      </c>
      <c r="L2024">
        <f>IF(OR(AND(H2024=0,ABS(J2024)&gt;=0.01),AND(H2024&lt;&gt;0,ABS(K2024)&gt;VarianceThreshold)),"Review","OK")</f>
        <v>0</v>
      </c>
      <c r="M2024" t="s">
        <v>33</v>
      </c>
    </row>
    <row r="2025" spans="1:13">
      <c r="A2025" t="s">
        <v>3</v>
      </c>
      <c r="B2025" t="s">
        <v>205</v>
      </c>
      <c r="C2025" t="s">
        <v>2038</v>
      </c>
      <c r="D2025" t="s">
        <v>2092</v>
      </c>
      <c r="E2025" cm="1">
        <f t="array" ref="E2025">_xlfn.XLOOKUP(D2025,SKU_Master!A:A,SKU_Master!B:B,"Not on master")</f>
        <v>0</v>
      </c>
      <c r="F2025" cm="1">
        <f t="array" ref="F2025">_xlfn.XLOOKUP(C2025,Account_Master!A:A,Account_Master!B:B,"Not on master")</f>
        <v>0</v>
      </c>
      <c r="G2025" cm="1">
        <f t="array" ref="G2025">_xlfn.XLOOKUP(C2025,Account_Master!A:A,Account_Master!C:C,"Not on master")</f>
        <v>0</v>
      </c>
      <c r="H2025" s="6">
        <v>9</v>
      </c>
      <c r="I2025" s="6">
        <v>9</v>
      </c>
      <c r="J2025" s="6">
        <f>I2025-H2025</f>
        <v>0</v>
      </c>
      <c r="K2025" s="5">
        <f>IF(H2025=0,"",J2025/H2025)</f>
        <v>0</v>
      </c>
      <c r="L2025">
        <f>IF(OR(AND(H2025=0,ABS(J2025)&gt;=0.01),AND(H2025&lt;&gt;0,ABS(K2025)&gt;VarianceThreshold)),"Review","OK")</f>
        <v>0</v>
      </c>
      <c r="M2025" t="s">
        <v>33</v>
      </c>
    </row>
    <row r="2026" spans="1:13">
      <c r="A2026" t="s">
        <v>3</v>
      </c>
      <c r="B2026" t="s">
        <v>205</v>
      </c>
      <c r="C2026" t="s">
        <v>2058</v>
      </c>
      <c r="D2026" t="s">
        <v>1005</v>
      </c>
      <c r="E2026" cm="1">
        <f t="array" ref="E2026">_xlfn.XLOOKUP(D2026,SKU_Master!A:A,SKU_Master!B:B,"Not on master")</f>
        <v>0</v>
      </c>
      <c r="F2026" cm="1">
        <f t="array" ref="F2026">_xlfn.XLOOKUP(C2026,Account_Master!A:A,Account_Master!B:B,"Not on master")</f>
        <v>0</v>
      </c>
      <c r="G2026" cm="1">
        <f t="array" ref="G2026">_xlfn.XLOOKUP(C2026,Account_Master!A:A,Account_Master!C:C,"Not on master")</f>
        <v>0</v>
      </c>
      <c r="H2026" s="6">
        <v>0.75</v>
      </c>
      <c r="I2026" s="6">
        <v>0.75</v>
      </c>
      <c r="J2026" s="6">
        <f>I2026-H2026</f>
        <v>0</v>
      </c>
      <c r="K2026" s="5">
        <f>IF(H2026=0,"",J2026/H2026)</f>
        <v>0</v>
      </c>
      <c r="L2026">
        <f>IF(OR(AND(H2026=0,ABS(J2026)&gt;=0.01),AND(H2026&lt;&gt;0,ABS(K2026)&gt;VarianceThreshold)),"Review","OK")</f>
        <v>0</v>
      </c>
      <c r="M2026" t="s">
        <v>33</v>
      </c>
    </row>
    <row r="2027" spans="1:13">
      <c r="A2027" t="s">
        <v>3</v>
      </c>
      <c r="B2027" t="s">
        <v>205</v>
      </c>
      <c r="C2027" t="s">
        <v>2052</v>
      </c>
      <c r="D2027" t="s">
        <v>2093</v>
      </c>
      <c r="E2027" cm="1">
        <f t="array" ref="E2027">_xlfn.XLOOKUP(D2027,SKU_Master!A:A,SKU_Master!B:B,"Not on master")</f>
        <v>0</v>
      </c>
      <c r="F2027" cm="1">
        <f t="array" ref="F2027">_xlfn.XLOOKUP(C2027,Account_Master!A:A,Account_Master!B:B,"Not on master")</f>
        <v>0</v>
      </c>
      <c r="G2027" cm="1">
        <f t="array" ref="G2027">_xlfn.XLOOKUP(C2027,Account_Master!A:A,Account_Master!C:C,"Not on master")</f>
        <v>0</v>
      </c>
      <c r="H2027" s="6">
        <v>52.5</v>
      </c>
      <c r="I2027" s="6">
        <v>52.5</v>
      </c>
      <c r="J2027" s="6">
        <f>I2027-H2027</f>
        <v>0</v>
      </c>
      <c r="K2027" s="5">
        <f>IF(H2027=0,"",J2027/H2027)</f>
        <v>0</v>
      </c>
      <c r="L2027">
        <f>IF(OR(AND(H2027=0,ABS(J2027)&gt;=0.01),AND(H2027&lt;&gt;0,ABS(K2027)&gt;VarianceThreshold)),"Review","OK")</f>
        <v>0</v>
      </c>
      <c r="M2027" t="s">
        <v>33</v>
      </c>
    </row>
    <row r="2028" spans="1:13">
      <c r="A2028" t="s">
        <v>3</v>
      </c>
      <c r="B2028" t="s">
        <v>216</v>
      </c>
      <c r="C2028" t="s">
        <v>2022</v>
      </c>
      <c r="D2028" t="s">
        <v>2094</v>
      </c>
      <c r="E2028" cm="1">
        <f t="array" ref="E2028">_xlfn.XLOOKUP(D2028,SKU_Master!A:A,SKU_Master!B:B,"Not on master")</f>
        <v>0</v>
      </c>
      <c r="F2028" cm="1">
        <f t="array" ref="F2028">_xlfn.XLOOKUP(C2028,Account_Master!A:A,Account_Master!B:B,"Not on master")</f>
        <v>0</v>
      </c>
      <c r="G2028" cm="1">
        <f t="array" ref="G2028">_xlfn.XLOOKUP(C2028,Account_Master!A:A,Account_Master!C:C,"Not on master")</f>
        <v>0</v>
      </c>
      <c r="H2028" s="6">
        <v>4.5</v>
      </c>
      <c r="I2028" s="6">
        <v>4.5</v>
      </c>
      <c r="J2028" s="6">
        <f>I2028-H2028</f>
        <v>0</v>
      </c>
      <c r="K2028" s="5">
        <f>IF(H2028=0,"",J2028/H2028)</f>
        <v>0</v>
      </c>
      <c r="L2028">
        <f>IF(OR(AND(H2028=0,ABS(J2028)&gt;=0.01),AND(H2028&lt;&gt;0,ABS(K2028)&gt;VarianceThreshold)),"Review","OK")</f>
        <v>0</v>
      </c>
      <c r="M2028" t="s">
        <v>33</v>
      </c>
    </row>
    <row r="2029" spans="1:13">
      <c r="A2029" t="s">
        <v>3</v>
      </c>
      <c r="B2029" t="s">
        <v>216</v>
      </c>
      <c r="C2029" t="s">
        <v>2019</v>
      </c>
      <c r="D2029" t="s">
        <v>1460</v>
      </c>
      <c r="E2029" cm="1">
        <f t="array" ref="E2029">_xlfn.XLOOKUP(D2029,SKU_Master!A:A,SKU_Master!B:B,"Not on master")</f>
        <v>0</v>
      </c>
      <c r="F2029" cm="1">
        <f t="array" ref="F2029">_xlfn.XLOOKUP(C2029,Account_Master!A:A,Account_Master!B:B,"Not on master")</f>
        <v>0</v>
      </c>
      <c r="G2029" cm="1">
        <f t="array" ref="G2029">_xlfn.XLOOKUP(C2029,Account_Master!A:A,Account_Master!C:C,"Not on master")</f>
        <v>0</v>
      </c>
      <c r="H2029" s="6">
        <v>21</v>
      </c>
      <c r="I2029" s="6">
        <v>21</v>
      </c>
      <c r="J2029" s="6">
        <f>I2029-H2029</f>
        <v>0</v>
      </c>
      <c r="K2029" s="5">
        <f>IF(H2029=0,"",J2029/H2029)</f>
        <v>0</v>
      </c>
      <c r="L2029">
        <f>IF(OR(AND(H2029=0,ABS(J2029)&gt;=0.01),AND(H2029&lt;&gt;0,ABS(K2029)&gt;VarianceThreshold)),"Review","OK")</f>
        <v>0</v>
      </c>
      <c r="M2029" t="s">
        <v>33</v>
      </c>
    </row>
    <row r="2030" spans="1:13">
      <c r="A2030" t="s">
        <v>3</v>
      </c>
      <c r="B2030" t="s">
        <v>216</v>
      </c>
      <c r="C2030" t="s">
        <v>2041</v>
      </c>
      <c r="D2030" t="s">
        <v>300</v>
      </c>
      <c r="E2030" cm="1">
        <f t="array" ref="E2030">_xlfn.XLOOKUP(D2030,SKU_Master!A:A,SKU_Master!B:B,"Not on master")</f>
        <v>0</v>
      </c>
      <c r="F2030" cm="1">
        <f t="array" ref="F2030">_xlfn.XLOOKUP(C2030,Account_Master!A:A,Account_Master!B:B,"Not on master")</f>
        <v>0</v>
      </c>
      <c r="G2030" cm="1">
        <f t="array" ref="G2030">_xlfn.XLOOKUP(C2030,Account_Master!A:A,Account_Master!C:C,"Not on master")</f>
        <v>0</v>
      </c>
      <c r="H2030" s="6">
        <v>2</v>
      </c>
      <c r="I2030" s="6">
        <v>2</v>
      </c>
      <c r="J2030" s="6">
        <f>I2030-H2030</f>
        <v>0</v>
      </c>
      <c r="K2030" s="5">
        <f>IF(H2030=0,"",J2030/H2030)</f>
        <v>0</v>
      </c>
      <c r="L2030">
        <f>IF(OR(AND(H2030=0,ABS(J2030)&gt;=0.01),AND(H2030&lt;&gt;0,ABS(K2030)&gt;VarianceThreshold)),"Review","OK")</f>
        <v>0</v>
      </c>
      <c r="M2030" t="s">
        <v>33</v>
      </c>
    </row>
    <row r="2031" spans="1:13">
      <c r="A2031" t="s">
        <v>3</v>
      </c>
      <c r="B2031" t="s">
        <v>216</v>
      </c>
      <c r="C2031" t="s">
        <v>2020</v>
      </c>
      <c r="D2031" t="s">
        <v>443</v>
      </c>
      <c r="E2031" cm="1">
        <f t="array" ref="E2031">_xlfn.XLOOKUP(D2031,SKU_Master!A:A,SKU_Master!B:B,"Not on master")</f>
        <v>0</v>
      </c>
      <c r="F2031" cm="1">
        <f t="array" ref="F2031">_xlfn.XLOOKUP(C2031,Account_Master!A:A,Account_Master!B:B,"Not on master")</f>
        <v>0</v>
      </c>
      <c r="G2031" cm="1">
        <f t="array" ref="G2031">_xlfn.XLOOKUP(C2031,Account_Master!A:A,Account_Master!C:C,"Not on master")</f>
        <v>0</v>
      </c>
      <c r="H2031" s="6">
        <v>6</v>
      </c>
      <c r="I2031" s="6">
        <v>6</v>
      </c>
      <c r="J2031" s="6">
        <f>I2031-H2031</f>
        <v>0</v>
      </c>
      <c r="K2031" s="5">
        <f>IF(H2031=0,"",J2031/H2031)</f>
        <v>0</v>
      </c>
      <c r="L2031">
        <f>IF(OR(AND(H2031=0,ABS(J2031)&gt;=0.01),AND(H2031&lt;&gt;0,ABS(K2031)&gt;VarianceThreshold)),"Review","OK")</f>
        <v>0</v>
      </c>
      <c r="M2031" t="s">
        <v>33</v>
      </c>
    </row>
    <row r="2032" spans="1:13">
      <c r="A2032" t="s">
        <v>3</v>
      </c>
      <c r="B2032" t="s">
        <v>216</v>
      </c>
      <c r="C2032" t="s">
        <v>2058</v>
      </c>
      <c r="D2032" t="s">
        <v>2095</v>
      </c>
      <c r="E2032" cm="1">
        <f t="array" ref="E2032">_xlfn.XLOOKUP(D2032,SKU_Master!A:A,SKU_Master!B:B,"Not on master")</f>
        <v>0</v>
      </c>
      <c r="F2032" cm="1">
        <f t="array" ref="F2032">_xlfn.XLOOKUP(C2032,Account_Master!A:A,Account_Master!B:B,"Not on master")</f>
        <v>0</v>
      </c>
      <c r="G2032" cm="1">
        <f t="array" ref="G2032">_xlfn.XLOOKUP(C2032,Account_Master!A:A,Account_Master!C:C,"Not on master")</f>
        <v>0</v>
      </c>
      <c r="H2032" s="6">
        <v>20.25</v>
      </c>
      <c r="I2032" s="6">
        <v>20.25</v>
      </c>
      <c r="J2032" s="6">
        <f>I2032-H2032</f>
        <v>0</v>
      </c>
      <c r="K2032" s="5">
        <f>IF(H2032=0,"",J2032/H2032)</f>
        <v>0</v>
      </c>
      <c r="L2032">
        <f>IF(OR(AND(H2032=0,ABS(J2032)&gt;=0.01),AND(H2032&lt;&gt;0,ABS(K2032)&gt;VarianceThreshold)),"Review","OK")</f>
        <v>0</v>
      </c>
      <c r="M2032" t="s">
        <v>33</v>
      </c>
    </row>
    <row r="2033" spans="1:13">
      <c r="A2033" t="s">
        <v>3</v>
      </c>
      <c r="B2033" t="s">
        <v>216</v>
      </c>
      <c r="C2033" t="s">
        <v>2096</v>
      </c>
      <c r="D2033" t="s">
        <v>2097</v>
      </c>
      <c r="E2033" cm="1">
        <f t="array" ref="E2033">_xlfn.XLOOKUP(D2033,SKU_Master!A:A,SKU_Master!B:B,"Not on master")</f>
        <v>0</v>
      </c>
      <c r="F2033" cm="1">
        <f t="array" ref="F2033">_xlfn.XLOOKUP(C2033,Account_Master!A:A,Account_Master!B:B,"Not on master")</f>
        <v>0</v>
      </c>
      <c r="G2033" cm="1">
        <f t="array" ref="G2033">_xlfn.XLOOKUP(C2033,Account_Master!A:A,Account_Master!C:C,"Not on master")</f>
        <v>0</v>
      </c>
      <c r="H2033" s="6">
        <v>4.5</v>
      </c>
      <c r="I2033" s="6">
        <v>4.5</v>
      </c>
      <c r="J2033" s="6">
        <f>I2033-H2033</f>
        <v>0</v>
      </c>
      <c r="K2033" s="5">
        <f>IF(H2033=0,"",J2033/H2033)</f>
        <v>0</v>
      </c>
      <c r="L2033">
        <f>IF(OR(AND(H2033=0,ABS(J2033)&gt;=0.01),AND(H2033&lt;&gt;0,ABS(K2033)&gt;VarianceThreshold)),"Review","OK")</f>
        <v>0</v>
      </c>
      <c r="M2033" t="s">
        <v>33</v>
      </c>
    </row>
    <row r="2034" spans="1:13">
      <c r="A2034" t="s">
        <v>3</v>
      </c>
      <c r="B2034" t="s">
        <v>226</v>
      </c>
      <c r="C2034" t="s">
        <v>2098</v>
      </c>
      <c r="D2034" t="s">
        <v>2099</v>
      </c>
      <c r="E2034" cm="1">
        <f t="array" ref="E2034">_xlfn.XLOOKUP(D2034,SKU_Master!A:A,SKU_Master!B:B,"Not on master")</f>
        <v>0</v>
      </c>
      <c r="F2034" cm="1">
        <f t="array" ref="F2034">_xlfn.XLOOKUP(C2034,Account_Master!A:A,Account_Master!B:B,"Not on master")</f>
        <v>0</v>
      </c>
      <c r="G2034" cm="1">
        <f t="array" ref="G2034">_xlfn.XLOOKUP(C2034,Account_Master!A:A,Account_Master!C:C,"Not on master")</f>
        <v>0</v>
      </c>
      <c r="H2034" s="6">
        <v>0.8</v>
      </c>
      <c r="I2034" s="6">
        <v>0.8</v>
      </c>
      <c r="J2034" s="6">
        <f>I2034-H2034</f>
        <v>0</v>
      </c>
      <c r="K2034" s="5">
        <f>IF(H2034=0,"",J2034/H2034)</f>
        <v>0</v>
      </c>
      <c r="L2034">
        <f>IF(OR(AND(H2034=0,ABS(J2034)&gt;=0.01),AND(H2034&lt;&gt;0,ABS(K2034)&gt;VarianceThreshold)),"Review","OK")</f>
        <v>0</v>
      </c>
      <c r="M2034" t="s">
        <v>33</v>
      </c>
    </row>
    <row r="2035" spans="1:13">
      <c r="A2035" t="s">
        <v>3</v>
      </c>
      <c r="B2035" t="s">
        <v>226</v>
      </c>
      <c r="C2035" t="s">
        <v>2100</v>
      </c>
      <c r="D2035" t="s">
        <v>1955</v>
      </c>
      <c r="E2035" cm="1">
        <f t="array" ref="E2035">_xlfn.XLOOKUP(D2035,SKU_Master!A:A,SKU_Master!B:B,"Not on master")</f>
        <v>0</v>
      </c>
      <c r="F2035" cm="1">
        <f t="array" ref="F2035">_xlfn.XLOOKUP(C2035,Account_Master!A:A,Account_Master!B:B,"Not on master")</f>
        <v>0</v>
      </c>
      <c r="G2035" cm="1">
        <f t="array" ref="G2035">_xlfn.XLOOKUP(C2035,Account_Master!A:A,Account_Master!C:C,"Not on master")</f>
        <v>0</v>
      </c>
      <c r="H2035" s="6">
        <v>3.37</v>
      </c>
      <c r="I2035" s="6">
        <v>3.37</v>
      </c>
      <c r="J2035" s="6">
        <f>I2035-H2035</f>
        <v>0</v>
      </c>
      <c r="K2035" s="5">
        <f>IF(H2035=0,"",J2035/H2035)</f>
        <v>0</v>
      </c>
      <c r="L2035">
        <f>IF(OR(AND(H2035=0,ABS(J2035)&gt;=0.01),AND(H2035&lt;&gt;0,ABS(K2035)&gt;VarianceThreshold)),"Review","OK")</f>
        <v>0</v>
      </c>
      <c r="M2035" t="s">
        <v>33</v>
      </c>
    </row>
    <row r="2036" spans="1:13">
      <c r="A2036" t="s">
        <v>3</v>
      </c>
      <c r="B2036" t="s">
        <v>226</v>
      </c>
      <c r="C2036" t="s">
        <v>2029</v>
      </c>
      <c r="D2036" t="s">
        <v>513</v>
      </c>
      <c r="E2036" cm="1">
        <f t="array" ref="E2036">_xlfn.XLOOKUP(D2036,SKU_Master!A:A,SKU_Master!B:B,"Not on master")</f>
        <v>0</v>
      </c>
      <c r="F2036" cm="1">
        <f t="array" ref="F2036">_xlfn.XLOOKUP(C2036,Account_Master!A:A,Account_Master!B:B,"Not on master")</f>
        <v>0</v>
      </c>
      <c r="G2036" cm="1">
        <f t="array" ref="G2036">_xlfn.XLOOKUP(C2036,Account_Master!A:A,Account_Master!C:C,"Not on master")</f>
        <v>0</v>
      </c>
      <c r="H2036" s="6">
        <v>4.5</v>
      </c>
      <c r="I2036" s="6">
        <v>4.5</v>
      </c>
      <c r="J2036" s="6">
        <f>I2036-H2036</f>
        <v>0</v>
      </c>
      <c r="K2036" s="5">
        <f>IF(H2036=0,"",J2036/H2036)</f>
        <v>0</v>
      </c>
      <c r="L2036">
        <f>IF(OR(AND(H2036=0,ABS(J2036)&gt;=0.01),AND(H2036&lt;&gt;0,ABS(K2036)&gt;VarianceThreshold)),"Review","OK")</f>
        <v>0</v>
      </c>
      <c r="M2036" t="s">
        <v>33</v>
      </c>
    </row>
    <row r="2037" spans="1:13">
      <c r="A2037" t="s">
        <v>3</v>
      </c>
      <c r="B2037" t="s">
        <v>226</v>
      </c>
      <c r="C2037" t="s">
        <v>2013</v>
      </c>
      <c r="D2037" t="s">
        <v>2101</v>
      </c>
      <c r="E2037" cm="1">
        <f t="array" ref="E2037">_xlfn.XLOOKUP(D2037,SKU_Master!A:A,SKU_Master!B:B,"Not on master")</f>
        <v>0</v>
      </c>
      <c r="F2037" cm="1">
        <f t="array" ref="F2037">_xlfn.XLOOKUP(C2037,Account_Master!A:A,Account_Master!B:B,"Not on master")</f>
        <v>0</v>
      </c>
      <c r="G2037" cm="1">
        <f t="array" ref="G2037">_xlfn.XLOOKUP(C2037,Account_Master!A:A,Account_Master!C:C,"Not on master")</f>
        <v>0</v>
      </c>
      <c r="H2037" s="6">
        <v>0.75</v>
      </c>
      <c r="I2037" s="6">
        <v>0.75</v>
      </c>
      <c r="J2037" s="6">
        <f>I2037-H2037</f>
        <v>0</v>
      </c>
      <c r="K2037" s="5">
        <f>IF(H2037=0,"",J2037/H2037)</f>
        <v>0</v>
      </c>
      <c r="L2037">
        <f>IF(OR(AND(H2037=0,ABS(J2037)&gt;=0.01),AND(H2037&lt;&gt;0,ABS(K2037)&gt;VarianceThreshold)),"Review","OK")</f>
        <v>0</v>
      </c>
      <c r="M2037" t="s">
        <v>33</v>
      </c>
    </row>
    <row r="2038" spans="1:13">
      <c r="A2038" t="s">
        <v>3</v>
      </c>
      <c r="B2038" t="s">
        <v>226</v>
      </c>
      <c r="C2038" t="s">
        <v>2030</v>
      </c>
      <c r="D2038" t="s">
        <v>1471</v>
      </c>
      <c r="E2038" cm="1">
        <f t="array" ref="E2038">_xlfn.XLOOKUP(D2038,SKU_Master!A:A,SKU_Master!B:B,"Not on master")</f>
        <v>0</v>
      </c>
      <c r="F2038" cm="1">
        <f t="array" ref="F2038">_xlfn.XLOOKUP(C2038,Account_Master!A:A,Account_Master!B:B,"Not on master")</f>
        <v>0</v>
      </c>
      <c r="G2038" cm="1">
        <f t="array" ref="G2038">_xlfn.XLOOKUP(C2038,Account_Master!A:A,Account_Master!C:C,"Not on master")</f>
        <v>0</v>
      </c>
      <c r="H2038" s="6">
        <v>2.25</v>
      </c>
      <c r="I2038" s="6">
        <v>2.25</v>
      </c>
      <c r="J2038" s="6">
        <f>I2038-H2038</f>
        <v>0</v>
      </c>
      <c r="K2038" s="5">
        <f>IF(H2038=0,"",J2038/H2038)</f>
        <v>0</v>
      </c>
      <c r="L2038">
        <f>IF(OR(AND(H2038=0,ABS(J2038)&gt;=0.01),AND(H2038&lt;&gt;0,ABS(K2038)&gt;VarianceThreshold)),"Review","OK")</f>
        <v>0</v>
      </c>
      <c r="M2038" t="s">
        <v>33</v>
      </c>
    </row>
    <row r="2039" spans="1:13">
      <c r="A2039" t="s">
        <v>3</v>
      </c>
      <c r="B2039" t="s">
        <v>231</v>
      </c>
      <c r="C2039" t="s">
        <v>2088</v>
      </c>
      <c r="D2039" t="s">
        <v>1813</v>
      </c>
      <c r="E2039" cm="1">
        <f t="array" ref="E2039">_xlfn.XLOOKUP(D2039,SKU_Master!A:A,SKU_Master!B:B,"Not on master")</f>
        <v>0</v>
      </c>
      <c r="F2039" cm="1">
        <f t="array" ref="F2039">_xlfn.XLOOKUP(C2039,Account_Master!A:A,Account_Master!B:B,"Not on master")</f>
        <v>0</v>
      </c>
      <c r="G2039" cm="1">
        <f t="array" ref="G2039">_xlfn.XLOOKUP(C2039,Account_Master!A:A,Account_Master!C:C,"Not on master")</f>
        <v>0</v>
      </c>
      <c r="H2039" s="6">
        <v>60</v>
      </c>
      <c r="I2039" s="6">
        <v>60</v>
      </c>
      <c r="J2039" s="6">
        <f>I2039-H2039</f>
        <v>0</v>
      </c>
      <c r="K2039" s="5">
        <f>IF(H2039=0,"",J2039/H2039)</f>
        <v>0</v>
      </c>
      <c r="L2039">
        <f>IF(OR(AND(H2039=0,ABS(J2039)&gt;=0.01),AND(H2039&lt;&gt;0,ABS(K2039)&gt;VarianceThreshold)),"Review","OK")</f>
        <v>0</v>
      </c>
      <c r="M2039" t="s">
        <v>33</v>
      </c>
    </row>
    <row r="2040" spans="1:13">
      <c r="A2040" t="s">
        <v>3</v>
      </c>
      <c r="B2040" t="s">
        <v>231</v>
      </c>
      <c r="C2040" t="s">
        <v>2102</v>
      </c>
      <c r="D2040" t="s">
        <v>2103</v>
      </c>
      <c r="E2040" cm="1">
        <f t="array" ref="E2040">_xlfn.XLOOKUP(D2040,SKU_Master!A:A,SKU_Master!B:B,"Not on master")</f>
        <v>0</v>
      </c>
      <c r="F2040" cm="1">
        <f t="array" ref="F2040">_xlfn.XLOOKUP(C2040,Account_Master!A:A,Account_Master!B:B,"Not on master")</f>
        <v>0</v>
      </c>
      <c r="G2040" cm="1">
        <f t="array" ref="G2040">_xlfn.XLOOKUP(C2040,Account_Master!A:A,Account_Master!C:C,"Not on master")</f>
        <v>0</v>
      </c>
      <c r="H2040" s="6">
        <v>38.62</v>
      </c>
      <c r="I2040" s="6">
        <v>38.62</v>
      </c>
      <c r="J2040" s="6">
        <f>I2040-H2040</f>
        <v>0</v>
      </c>
      <c r="K2040" s="5">
        <f>IF(H2040=0,"",J2040/H2040)</f>
        <v>0</v>
      </c>
      <c r="L2040">
        <f>IF(OR(AND(H2040=0,ABS(J2040)&gt;=0.01),AND(H2040&lt;&gt;0,ABS(K2040)&gt;VarianceThreshold)),"Review","OK")</f>
        <v>0</v>
      </c>
      <c r="M2040" t="s">
        <v>33</v>
      </c>
    </row>
    <row r="2041" spans="1:13">
      <c r="A2041" t="s">
        <v>3</v>
      </c>
      <c r="B2041" t="s">
        <v>231</v>
      </c>
      <c r="C2041" t="s">
        <v>2104</v>
      </c>
      <c r="D2041" t="s">
        <v>1532</v>
      </c>
      <c r="E2041" cm="1">
        <f t="array" ref="E2041">_xlfn.XLOOKUP(D2041,SKU_Master!A:A,SKU_Master!B:B,"Not on master")</f>
        <v>0</v>
      </c>
      <c r="F2041" cm="1">
        <f t="array" ref="F2041">_xlfn.XLOOKUP(C2041,Account_Master!A:A,Account_Master!B:B,"Not on master")</f>
        <v>0</v>
      </c>
      <c r="G2041" cm="1">
        <f t="array" ref="G2041">_xlfn.XLOOKUP(C2041,Account_Master!A:A,Account_Master!C:C,"Not on master")</f>
        <v>0</v>
      </c>
      <c r="H2041" s="6">
        <v>3</v>
      </c>
      <c r="I2041" s="6">
        <v>3</v>
      </c>
      <c r="J2041" s="6">
        <f>I2041-H2041</f>
        <v>0</v>
      </c>
      <c r="K2041" s="5">
        <f>IF(H2041=0,"",J2041/H2041)</f>
        <v>0</v>
      </c>
      <c r="L2041">
        <f>IF(OR(AND(H2041=0,ABS(J2041)&gt;=0.01),AND(H2041&lt;&gt;0,ABS(K2041)&gt;VarianceThreshold)),"Review","OK")</f>
        <v>0</v>
      </c>
      <c r="M2041" t="s">
        <v>33</v>
      </c>
    </row>
    <row r="2042" spans="1:13">
      <c r="A2042" t="s">
        <v>3</v>
      </c>
      <c r="B2042" t="s">
        <v>231</v>
      </c>
      <c r="C2042" t="s">
        <v>2055</v>
      </c>
      <c r="D2042" t="s">
        <v>1344</v>
      </c>
      <c r="E2042" cm="1">
        <f t="array" ref="E2042">_xlfn.XLOOKUP(D2042,SKU_Master!A:A,SKU_Master!B:B,"Not on master")</f>
        <v>0</v>
      </c>
      <c r="F2042" cm="1">
        <f t="array" ref="F2042">_xlfn.XLOOKUP(C2042,Account_Master!A:A,Account_Master!B:B,"Not on master")</f>
        <v>0</v>
      </c>
      <c r="G2042" cm="1">
        <f t="array" ref="G2042">_xlfn.XLOOKUP(C2042,Account_Master!A:A,Account_Master!C:C,"Not on master")</f>
        <v>0</v>
      </c>
      <c r="H2042" s="6">
        <v>129.5</v>
      </c>
      <c r="I2042" s="6">
        <v>129.5</v>
      </c>
      <c r="J2042" s="6">
        <f>I2042-H2042</f>
        <v>0</v>
      </c>
      <c r="K2042" s="5">
        <f>IF(H2042=0,"",J2042/H2042)</f>
        <v>0</v>
      </c>
      <c r="L2042">
        <f>IF(OR(AND(H2042=0,ABS(J2042)&gt;=0.01),AND(H2042&lt;&gt;0,ABS(K2042)&gt;VarianceThreshold)),"Review","OK")</f>
        <v>0</v>
      </c>
      <c r="M2042" t="s">
        <v>33</v>
      </c>
    </row>
    <row r="2043" spans="1:13">
      <c r="A2043" t="s">
        <v>3</v>
      </c>
      <c r="B2043" t="s">
        <v>231</v>
      </c>
      <c r="C2043" t="s">
        <v>2088</v>
      </c>
      <c r="D2043" t="s">
        <v>2105</v>
      </c>
      <c r="E2043" cm="1">
        <f t="array" ref="E2043">_xlfn.XLOOKUP(D2043,SKU_Master!A:A,SKU_Master!B:B,"Not on master")</f>
        <v>0</v>
      </c>
      <c r="F2043" cm="1">
        <f t="array" ref="F2043">_xlfn.XLOOKUP(C2043,Account_Master!A:A,Account_Master!B:B,"Not on master")</f>
        <v>0</v>
      </c>
      <c r="G2043" cm="1">
        <f t="array" ref="G2043">_xlfn.XLOOKUP(C2043,Account_Master!A:A,Account_Master!C:C,"Not on master")</f>
        <v>0</v>
      </c>
      <c r="H2043" s="6">
        <v>9</v>
      </c>
      <c r="I2043" s="6">
        <v>9</v>
      </c>
      <c r="J2043" s="6">
        <f>I2043-H2043</f>
        <v>0</v>
      </c>
      <c r="K2043" s="5">
        <f>IF(H2043=0,"",J2043/H2043)</f>
        <v>0</v>
      </c>
      <c r="L2043">
        <f>IF(OR(AND(H2043=0,ABS(J2043)&gt;=0.01),AND(H2043&lt;&gt;0,ABS(K2043)&gt;VarianceThreshold)),"Review","OK")</f>
        <v>0</v>
      </c>
      <c r="M2043" t="s">
        <v>33</v>
      </c>
    </row>
    <row r="2044" spans="1:13">
      <c r="A2044" t="s">
        <v>3</v>
      </c>
      <c r="B2044" t="s">
        <v>238</v>
      </c>
      <c r="C2044" t="s">
        <v>2085</v>
      </c>
      <c r="D2044" t="s">
        <v>1156</v>
      </c>
      <c r="E2044" cm="1">
        <f t="array" ref="E2044">_xlfn.XLOOKUP(D2044,SKU_Master!A:A,SKU_Master!B:B,"Not on master")</f>
        <v>0</v>
      </c>
      <c r="F2044" cm="1">
        <f t="array" ref="F2044">_xlfn.XLOOKUP(C2044,Account_Master!A:A,Account_Master!B:B,"Not on master")</f>
        <v>0</v>
      </c>
      <c r="G2044" cm="1">
        <f t="array" ref="G2044">_xlfn.XLOOKUP(C2044,Account_Master!A:A,Account_Master!C:C,"Not on master")</f>
        <v>0</v>
      </c>
      <c r="H2044" s="6">
        <v>1.5</v>
      </c>
      <c r="I2044" s="6">
        <v>1.5</v>
      </c>
      <c r="J2044" s="6">
        <f>I2044-H2044</f>
        <v>0</v>
      </c>
      <c r="K2044" s="5">
        <f>IF(H2044=0,"",J2044/H2044)</f>
        <v>0</v>
      </c>
      <c r="L2044">
        <f>IF(OR(AND(H2044=0,ABS(J2044)&gt;=0.01),AND(H2044&lt;&gt;0,ABS(K2044)&gt;VarianceThreshold)),"Review","OK")</f>
        <v>0</v>
      </c>
      <c r="M2044" t="s">
        <v>33</v>
      </c>
    </row>
    <row r="2045" spans="1:13">
      <c r="A2045" t="s">
        <v>3</v>
      </c>
      <c r="B2045" t="s">
        <v>238</v>
      </c>
      <c r="C2045" t="s">
        <v>2082</v>
      </c>
      <c r="D2045" t="s">
        <v>404</v>
      </c>
      <c r="E2045" cm="1">
        <f t="array" ref="E2045">_xlfn.XLOOKUP(D2045,SKU_Master!A:A,SKU_Master!B:B,"Not on master")</f>
        <v>0</v>
      </c>
      <c r="F2045" cm="1">
        <f t="array" ref="F2045">_xlfn.XLOOKUP(C2045,Account_Master!A:A,Account_Master!B:B,"Not on master")</f>
        <v>0</v>
      </c>
      <c r="G2045" cm="1">
        <f t="array" ref="G2045">_xlfn.XLOOKUP(C2045,Account_Master!A:A,Account_Master!C:C,"Not on master")</f>
        <v>0</v>
      </c>
      <c r="H2045" s="6">
        <v>9</v>
      </c>
      <c r="I2045" s="6">
        <v>9</v>
      </c>
      <c r="J2045" s="6">
        <f>I2045-H2045</f>
        <v>0</v>
      </c>
      <c r="K2045" s="5">
        <f>IF(H2045=0,"",J2045/H2045)</f>
        <v>0</v>
      </c>
      <c r="L2045">
        <f>IF(OR(AND(H2045=0,ABS(J2045)&gt;=0.01),AND(H2045&lt;&gt;0,ABS(K2045)&gt;VarianceThreshold)),"Review","OK")</f>
        <v>0</v>
      </c>
      <c r="M2045" t="s">
        <v>33</v>
      </c>
    </row>
    <row r="2046" spans="1:13">
      <c r="A2046" t="s">
        <v>3</v>
      </c>
      <c r="B2046" t="s">
        <v>238</v>
      </c>
      <c r="C2046" t="s">
        <v>2106</v>
      </c>
      <c r="D2046" t="s">
        <v>2107</v>
      </c>
      <c r="E2046" cm="1">
        <f t="array" ref="E2046">_xlfn.XLOOKUP(D2046,SKU_Master!A:A,SKU_Master!B:B,"Not on master")</f>
        <v>0</v>
      </c>
      <c r="F2046" cm="1">
        <f t="array" ref="F2046">_xlfn.XLOOKUP(C2046,Account_Master!A:A,Account_Master!B:B,"Not on master")</f>
        <v>0</v>
      </c>
      <c r="G2046" cm="1">
        <f t="array" ref="G2046">_xlfn.XLOOKUP(C2046,Account_Master!A:A,Account_Master!C:C,"Not on master")</f>
        <v>0</v>
      </c>
      <c r="H2046" s="6">
        <v>10.5</v>
      </c>
      <c r="I2046" s="6">
        <v>10.5</v>
      </c>
      <c r="J2046" s="6">
        <f>I2046-H2046</f>
        <v>0</v>
      </c>
      <c r="K2046" s="5">
        <f>IF(H2046=0,"",J2046/H2046)</f>
        <v>0</v>
      </c>
      <c r="L2046">
        <f>IF(OR(AND(H2046=0,ABS(J2046)&gt;=0.01),AND(H2046&lt;&gt;0,ABS(K2046)&gt;VarianceThreshold)),"Review","OK")</f>
        <v>0</v>
      </c>
      <c r="M2046" t="s">
        <v>33</v>
      </c>
    </row>
    <row r="2047" spans="1:13">
      <c r="A2047" t="s">
        <v>3</v>
      </c>
      <c r="B2047" t="s">
        <v>238</v>
      </c>
      <c r="C2047" t="s">
        <v>2088</v>
      </c>
      <c r="D2047" t="s">
        <v>2108</v>
      </c>
      <c r="E2047" cm="1">
        <f t="array" ref="E2047">_xlfn.XLOOKUP(D2047,SKU_Master!A:A,SKU_Master!B:B,"Not on master")</f>
        <v>0</v>
      </c>
      <c r="F2047" cm="1">
        <f t="array" ref="F2047">_xlfn.XLOOKUP(C2047,Account_Master!A:A,Account_Master!B:B,"Not on master")</f>
        <v>0</v>
      </c>
      <c r="G2047" cm="1">
        <f t="array" ref="G2047">_xlfn.XLOOKUP(C2047,Account_Master!A:A,Account_Master!C:C,"Not on master")</f>
        <v>0</v>
      </c>
      <c r="H2047" s="6">
        <v>27</v>
      </c>
      <c r="I2047" s="6">
        <v>27</v>
      </c>
      <c r="J2047" s="6">
        <f>I2047-H2047</f>
        <v>0</v>
      </c>
      <c r="K2047" s="5">
        <f>IF(H2047=0,"",J2047/H2047)</f>
        <v>0</v>
      </c>
      <c r="L2047">
        <f>IF(OR(AND(H2047=0,ABS(J2047)&gt;=0.01),AND(H2047&lt;&gt;0,ABS(K2047)&gt;VarianceThreshold)),"Review","OK")</f>
        <v>0</v>
      </c>
      <c r="M2047" t="s">
        <v>33</v>
      </c>
    </row>
    <row r="2048" spans="1:13">
      <c r="A2048" t="s">
        <v>3</v>
      </c>
      <c r="B2048" t="s">
        <v>238</v>
      </c>
      <c r="C2048" t="s">
        <v>2052</v>
      </c>
      <c r="D2048" t="s">
        <v>1981</v>
      </c>
      <c r="E2048" cm="1">
        <f t="array" ref="E2048">_xlfn.XLOOKUP(D2048,SKU_Master!A:A,SKU_Master!B:B,"Not on master")</f>
        <v>0</v>
      </c>
      <c r="F2048" cm="1">
        <f t="array" ref="F2048">_xlfn.XLOOKUP(C2048,Account_Master!A:A,Account_Master!B:B,"Not on master")</f>
        <v>0</v>
      </c>
      <c r="G2048" cm="1">
        <f t="array" ref="G2048">_xlfn.XLOOKUP(C2048,Account_Master!A:A,Account_Master!C:C,"Not on master")</f>
        <v>0</v>
      </c>
      <c r="H2048" s="6">
        <v>5.25</v>
      </c>
      <c r="I2048" s="6">
        <v>5.25</v>
      </c>
      <c r="J2048" s="6">
        <f>I2048-H2048</f>
        <v>0</v>
      </c>
      <c r="K2048" s="5">
        <f>IF(H2048=0,"",J2048/H2048)</f>
        <v>0</v>
      </c>
      <c r="L2048">
        <f>IF(OR(AND(H2048=0,ABS(J2048)&gt;=0.01),AND(H2048&lt;&gt;0,ABS(K2048)&gt;VarianceThreshold)),"Review","OK")</f>
        <v>0</v>
      </c>
      <c r="M2048" t="s">
        <v>33</v>
      </c>
    </row>
    <row r="2049" spans="1:13">
      <c r="A2049" t="s">
        <v>3</v>
      </c>
      <c r="B2049" t="s">
        <v>238</v>
      </c>
      <c r="C2049" t="s">
        <v>2109</v>
      </c>
      <c r="D2049" t="s">
        <v>462</v>
      </c>
      <c r="E2049" cm="1">
        <f t="array" ref="E2049">_xlfn.XLOOKUP(D2049,SKU_Master!A:A,SKU_Master!B:B,"Not on master")</f>
        <v>0</v>
      </c>
      <c r="F2049" cm="1">
        <f t="array" ref="F2049">_xlfn.XLOOKUP(C2049,Account_Master!A:A,Account_Master!B:B,"Not on master")</f>
        <v>0</v>
      </c>
      <c r="G2049" cm="1">
        <f t="array" ref="G2049">_xlfn.XLOOKUP(C2049,Account_Master!A:A,Account_Master!C:C,"Not on master")</f>
        <v>0</v>
      </c>
      <c r="H2049" s="6">
        <v>180</v>
      </c>
      <c r="I2049" s="6">
        <v>180</v>
      </c>
      <c r="J2049" s="6">
        <f>I2049-H2049</f>
        <v>0</v>
      </c>
      <c r="K2049" s="5">
        <f>IF(H2049=0,"",J2049/H2049)</f>
        <v>0</v>
      </c>
      <c r="L2049">
        <f>IF(OR(AND(H2049=0,ABS(J2049)&gt;=0.01),AND(H2049&lt;&gt;0,ABS(K2049)&gt;VarianceThreshold)),"Review","OK")</f>
        <v>0</v>
      </c>
      <c r="M2049" t="s">
        <v>33</v>
      </c>
    </row>
    <row r="2050" spans="1:13">
      <c r="A2050" t="s">
        <v>3</v>
      </c>
      <c r="B2050" t="s">
        <v>238</v>
      </c>
      <c r="C2050" t="s">
        <v>2013</v>
      </c>
      <c r="D2050" t="s">
        <v>1741</v>
      </c>
      <c r="E2050" cm="1">
        <f t="array" ref="E2050">_xlfn.XLOOKUP(D2050,SKU_Master!A:A,SKU_Master!B:B,"Not on master")</f>
        <v>0</v>
      </c>
      <c r="F2050" cm="1">
        <f t="array" ref="F2050">_xlfn.XLOOKUP(C2050,Account_Master!A:A,Account_Master!B:B,"Not on master")</f>
        <v>0</v>
      </c>
      <c r="G2050" cm="1">
        <f t="array" ref="G2050">_xlfn.XLOOKUP(C2050,Account_Master!A:A,Account_Master!C:C,"Not on master")</f>
        <v>0</v>
      </c>
      <c r="H2050" s="6">
        <v>9</v>
      </c>
      <c r="I2050" s="6">
        <v>9</v>
      </c>
      <c r="J2050" s="6">
        <f>I2050-H2050</f>
        <v>0</v>
      </c>
      <c r="K2050" s="5">
        <f>IF(H2050=0,"",J2050/H2050)</f>
        <v>0</v>
      </c>
      <c r="L2050">
        <f>IF(OR(AND(H2050=0,ABS(J2050)&gt;=0.01),AND(H2050&lt;&gt;0,ABS(K2050)&gt;VarianceThreshold)),"Review","OK")</f>
        <v>0</v>
      </c>
      <c r="M2050" t="s">
        <v>33</v>
      </c>
    </row>
    <row r="2051" spans="1:13">
      <c r="A2051" t="s">
        <v>3</v>
      </c>
      <c r="B2051" t="s">
        <v>238</v>
      </c>
      <c r="C2051" t="s">
        <v>2110</v>
      </c>
      <c r="D2051" t="s">
        <v>2111</v>
      </c>
      <c r="E2051" cm="1">
        <f t="array" ref="E2051">_xlfn.XLOOKUP(D2051,SKU_Master!A:A,SKU_Master!B:B,"Not on master")</f>
        <v>0</v>
      </c>
      <c r="F2051" cm="1">
        <f t="array" ref="F2051">_xlfn.XLOOKUP(C2051,Account_Master!A:A,Account_Master!B:B,"Not on master")</f>
        <v>0</v>
      </c>
      <c r="G2051" cm="1">
        <f t="array" ref="G2051">_xlfn.XLOOKUP(C2051,Account_Master!A:A,Account_Master!C:C,"Not on master")</f>
        <v>0</v>
      </c>
      <c r="H2051" s="6">
        <v>2.25</v>
      </c>
      <c r="I2051" s="6">
        <v>2.25</v>
      </c>
      <c r="J2051" s="6">
        <f>I2051-H2051</f>
        <v>0</v>
      </c>
      <c r="K2051" s="5">
        <f>IF(H2051=0,"",J2051/H2051)</f>
        <v>0</v>
      </c>
      <c r="L2051">
        <f>IF(OR(AND(H2051=0,ABS(J2051)&gt;=0.01),AND(H2051&lt;&gt;0,ABS(K2051)&gt;VarianceThreshold)),"Review","OK")</f>
        <v>0</v>
      </c>
      <c r="M2051" t="s">
        <v>33</v>
      </c>
    </row>
    <row r="2052" spans="1:13">
      <c r="A2052" t="s">
        <v>3</v>
      </c>
      <c r="B2052" t="s">
        <v>251</v>
      </c>
      <c r="C2052" t="s">
        <v>2035</v>
      </c>
      <c r="D2052" t="s">
        <v>2112</v>
      </c>
      <c r="E2052" cm="1">
        <f t="array" ref="E2052">_xlfn.XLOOKUP(D2052,SKU_Master!A:A,SKU_Master!B:B,"Not on master")</f>
        <v>0</v>
      </c>
      <c r="F2052" cm="1">
        <f t="array" ref="F2052">_xlfn.XLOOKUP(C2052,Account_Master!A:A,Account_Master!B:B,"Not on master")</f>
        <v>0</v>
      </c>
      <c r="G2052" cm="1">
        <f t="array" ref="G2052">_xlfn.XLOOKUP(C2052,Account_Master!A:A,Account_Master!C:C,"Not on master")</f>
        <v>0</v>
      </c>
      <c r="H2052" s="6">
        <v>52.5</v>
      </c>
      <c r="I2052" s="6">
        <v>52.5</v>
      </c>
      <c r="J2052" s="6">
        <f>I2052-H2052</f>
        <v>0</v>
      </c>
      <c r="K2052" s="5">
        <f>IF(H2052=0,"",J2052/H2052)</f>
        <v>0</v>
      </c>
      <c r="L2052">
        <f>IF(OR(AND(H2052=0,ABS(J2052)&gt;=0.01),AND(H2052&lt;&gt;0,ABS(K2052)&gt;VarianceThreshold)),"Review","OK")</f>
        <v>0</v>
      </c>
      <c r="M2052" t="s">
        <v>33</v>
      </c>
    </row>
    <row r="2053" spans="1:13">
      <c r="A2053" t="s">
        <v>3</v>
      </c>
      <c r="B2053" t="s">
        <v>251</v>
      </c>
      <c r="C2053" t="s">
        <v>2113</v>
      </c>
      <c r="D2053" t="s">
        <v>1728</v>
      </c>
      <c r="E2053" cm="1">
        <f t="array" ref="E2053">_xlfn.XLOOKUP(D2053,SKU_Master!A:A,SKU_Master!B:B,"Not on master")</f>
        <v>0</v>
      </c>
      <c r="F2053" cm="1">
        <f t="array" ref="F2053">_xlfn.XLOOKUP(C2053,Account_Master!A:A,Account_Master!B:B,"Not on master")</f>
        <v>0</v>
      </c>
      <c r="G2053" cm="1">
        <f t="array" ref="G2053">_xlfn.XLOOKUP(C2053,Account_Master!A:A,Account_Master!C:C,"Not on master")</f>
        <v>0</v>
      </c>
      <c r="H2053" s="6">
        <v>270.2</v>
      </c>
      <c r="I2053" s="6">
        <v>270.2</v>
      </c>
      <c r="J2053" s="6">
        <f>I2053-H2053</f>
        <v>0</v>
      </c>
      <c r="K2053" s="5">
        <f>IF(H2053=0,"",J2053/H2053)</f>
        <v>0</v>
      </c>
      <c r="L2053">
        <f>IF(OR(AND(H2053=0,ABS(J2053)&gt;=0.01),AND(H2053&lt;&gt;0,ABS(K2053)&gt;VarianceThreshold)),"Review","OK")</f>
        <v>0</v>
      </c>
      <c r="M2053" t="s">
        <v>33</v>
      </c>
    </row>
    <row r="2054" spans="1:13">
      <c r="A2054" t="s">
        <v>3</v>
      </c>
      <c r="B2054" t="s">
        <v>251</v>
      </c>
      <c r="C2054" t="s">
        <v>2046</v>
      </c>
      <c r="D2054" t="s">
        <v>280</v>
      </c>
      <c r="E2054" cm="1">
        <f t="array" ref="E2054">_xlfn.XLOOKUP(D2054,SKU_Master!A:A,SKU_Master!B:B,"Not on master")</f>
        <v>0</v>
      </c>
      <c r="F2054" cm="1">
        <f t="array" ref="F2054">_xlfn.XLOOKUP(C2054,Account_Master!A:A,Account_Master!B:B,"Not on master")</f>
        <v>0</v>
      </c>
      <c r="G2054" cm="1">
        <f t="array" ref="G2054">_xlfn.XLOOKUP(C2054,Account_Master!A:A,Account_Master!C:C,"Not on master")</f>
        <v>0</v>
      </c>
      <c r="H2054" s="6">
        <v>27</v>
      </c>
      <c r="I2054" s="6">
        <v>27</v>
      </c>
      <c r="J2054" s="6">
        <f>I2054-H2054</f>
        <v>0</v>
      </c>
      <c r="K2054" s="5">
        <f>IF(H2054=0,"",J2054/H2054)</f>
        <v>0</v>
      </c>
      <c r="L2054">
        <f>IF(OR(AND(H2054=0,ABS(J2054)&gt;=0.01),AND(H2054&lt;&gt;0,ABS(K2054)&gt;VarianceThreshold)),"Review","OK")</f>
        <v>0</v>
      </c>
      <c r="M2054" t="s">
        <v>33</v>
      </c>
    </row>
    <row r="2055" spans="1:13">
      <c r="A2055" t="s">
        <v>3</v>
      </c>
      <c r="B2055" t="s">
        <v>251</v>
      </c>
      <c r="C2055" t="s">
        <v>2041</v>
      </c>
      <c r="D2055" t="s">
        <v>2114</v>
      </c>
      <c r="E2055" cm="1">
        <f t="array" ref="E2055">_xlfn.XLOOKUP(D2055,SKU_Master!A:A,SKU_Master!B:B,"Not on master")</f>
        <v>0</v>
      </c>
      <c r="F2055" cm="1">
        <f t="array" ref="F2055">_xlfn.XLOOKUP(C2055,Account_Master!A:A,Account_Master!B:B,"Not on master")</f>
        <v>0</v>
      </c>
      <c r="G2055" cm="1">
        <f t="array" ref="G2055">_xlfn.XLOOKUP(C2055,Account_Master!A:A,Account_Master!C:C,"Not on master")</f>
        <v>0</v>
      </c>
      <c r="H2055" s="6">
        <v>0.75</v>
      </c>
      <c r="I2055" s="6">
        <v>0.75</v>
      </c>
      <c r="J2055" s="6">
        <f>I2055-H2055</f>
        <v>0</v>
      </c>
      <c r="K2055" s="5">
        <f>IF(H2055=0,"",J2055/H2055)</f>
        <v>0</v>
      </c>
      <c r="L2055">
        <f>IF(OR(AND(H2055=0,ABS(J2055)&gt;=0.01),AND(H2055&lt;&gt;0,ABS(K2055)&gt;VarianceThreshold)),"Review","OK")</f>
        <v>0</v>
      </c>
      <c r="M2055" t="s">
        <v>33</v>
      </c>
    </row>
    <row r="2056" spans="1:13">
      <c r="A2056" t="s">
        <v>3</v>
      </c>
      <c r="B2056" t="s">
        <v>251</v>
      </c>
      <c r="C2056" t="s">
        <v>2013</v>
      </c>
      <c r="D2056" t="s">
        <v>2115</v>
      </c>
      <c r="E2056" cm="1">
        <f t="array" ref="E2056">_xlfn.XLOOKUP(D2056,SKU_Master!A:A,SKU_Master!B:B,"Not on master")</f>
        <v>0</v>
      </c>
      <c r="F2056" cm="1">
        <f t="array" ref="F2056">_xlfn.XLOOKUP(C2056,Account_Master!A:A,Account_Master!B:B,"Not on master")</f>
        <v>0</v>
      </c>
      <c r="G2056" cm="1">
        <f t="array" ref="G2056">_xlfn.XLOOKUP(C2056,Account_Master!A:A,Account_Master!C:C,"Not on master")</f>
        <v>0</v>
      </c>
      <c r="H2056" s="6">
        <v>0.75</v>
      </c>
      <c r="I2056" s="6">
        <v>0.75</v>
      </c>
      <c r="J2056" s="6">
        <f>I2056-H2056</f>
        <v>0</v>
      </c>
      <c r="K2056" s="5">
        <f>IF(H2056=0,"",J2056/H2056)</f>
        <v>0</v>
      </c>
      <c r="L2056">
        <f>IF(OR(AND(H2056=0,ABS(J2056)&gt;=0.01),AND(H2056&lt;&gt;0,ABS(K2056)&gt;VarianceThreshold)),"Review","OK")</f>
        <v>0</v>
      </c>
      <c r="M2056" t="s">
        <v>33</v>
      </c>
    </row>
    <row r="2057" spans="1:13">
      <c r="A2057" t="s">
        <v>3</v>
      </c>
      <c r="B2057" t="s">
        <v>251</v>
      </c>
      <c r="C2057" t="s">
        <v>2116</v>
      </c>
      <c r="D2057" t="s">
        <v>2117</v>
      </c>
      <c r="E2057" cm="1">
        <f t="array" ref="E2057">_xlfn.XLOOKUP(D2057,SKU_Master!A:A,SKU_Master!B:B,"Not on master")</f>
        <v>0</v>
      </c>
      <c r="F2057" cm="1">
        <f t="array" ref="F2057">_xlfn.XLOOKUP(C2057,Account_Master!A:A,Account_Master!B:B,"Not on master")</f>
        <v>0</v>
      </c>
      <c r="G2057" cm="1">
        <f t="array" ref="G2057">_xlfn.XLOOKUP(C2057,Account_Master!A:A,Account_Master!C:C,"Not on master")</f>
        <v>0</v>
      </c>
      <c r="H2057" s="6">
        <v>39</v>
      </c>
      <c r="I2057" s="6">
        <v>39</v>
      </c>
      <c r="J2057" s="6">
        <f>I2057-H2057</f>
        <v>0</v>
      </c>
      <c r="K2057" s="5">
        <f>IF(H2057=0,"",J2057/H2057)</f>
        <v>0</v>
      </c>
      <c r="L2057">
        <f>IF(OR(AND(H2057=0,ABS(J2057)&gt;=0.01),AND(H2057&lt;&gt;0,ABS(K2057)&gt;VarianceThreshold)),"Review","OK")</f>
        <v>0</v>
      </c>
      <c r="M2057" t="s">
        <v>33</v>
      </c>
    </row>
    <row r="2058" spans="1:13">
      <c r="A2058" t="s">
        <v>3</v>
      </c>
      <c r="B2058" t="s">
        <v>254</v>
      </c>
      <c r="C2058" t="s">
        <v>2013</v>
      </c>
      <c r="D2058" t="s">
        <v>2118</v>
      </c>
      <c r="E2058" cm="1">
        <f t="array" ref="E2058">_xlfn.XLOOKUP(D2058,SKU_Master!A:A,SKU_Master!B:B,"Not on master")</f>
        <v>0</v>
      </c>
      <c r="F2058" cm="1">
        <f t="array" ref="F2058">_xlfn.XLOOKUP(C2058,Account_Master!A:A,Account_Master!B:B,"Not on master")</f>
        <v>0</v>
      </c>
      <c r="G2058" cm="1">
        <f t="array" ref="G2058">_xlfn.XLOOKUP(C2058,Account_Master!A:A,Account_Master!C:C,"Not on master")</f>
        <v>0</v>
      </c>
      <c r="H2058" s="6">
        <v>0.75</v>
      </c>
      <c r="I2058" s="6">
        <v>0.75</v>
      </c>
      <c r="J2058" s="6">
        <f>I2058-H2058</f>
        <v>0</v>
      </c>
      <c r="K2058" s="5">
        <f>IF(H2058=0,"",J2058/H2058)</f>
        <v>0</v>
      </c>
      <c r="L2058">
        <f>IF(OR(AND(H2058=0,ABS(J2058)&gt;=0.01),AND(H2058&lt;&gt;0,ABS(K2058)&gt;VarianceThreshold)),"Review","OK")</f>
        <v>0</v>
      </c>
      <c r="M2058" t="s">
        <v>33</v>
      </c>
    </row>
    <row r="2059" spans="1:13">
      <c r="A2059" t="s">
        <v>3</v>
      </c>
      <c r="B2059" t="s">
        <v>254</v>
      </c>
      <c r="C2059" t="s">
        <v>2022</v>
      </c>
      <c r="D2059" t="s">
        <v>268</v>
      </c>
      <c r="E2059" cm="1">
        <f t="array" ref="E2059">_xlfn.XLOOKUP(D2059,SKU_Master!A:A,SKU_Master!B:B,"Not on master")</f>
        <v>0</v>
      </c>
      <c r="F2059" cm="1">
        <f t="array" ref="F2059">_xlfn.XLOOKUP(C2059,Account_Master!A:A,Account_Master!B:B,"Not on master")</f>
        <v>0</v>
      </c>
      <c r="G2059" cm="1">
        <f t="array" ref="G2059">_xlfn.XLOOKUP(C2059,Account_Master!A:A,Account_Master!C:C,"Not on master")</f>
        <v>0</v>
      </c>
      <c r="H2059" s="6">
        <v>548.25</v>
      </c>
      <c r="I2059" s="6">
        <v>548.25</v>
      </c>
      <c r="J2059" s="6">
        <f>I2059-H2059</f>
        <v>0</v>
      </c>
      <c r="K2059" s="5">
        <f>IF(H2059=0,"",J2059/H2059)</f>
        <v>0</v>
      </c>
      <c r="L2059">
        <f>IF(OR(AND(H2059=0,ABS(J2059)&gt;=0.01),AND(H2059&lt;&gt;0,ABS(K2059)&gt;VarianceThreshold)),"Review","OK")</f>
        <v>0</v>
      </c>
      <c r="M2059" t="s">
        <v>33</v>
      </c>
    </row>
    <row r="2060" spans="1:13">
      <c r="A2060" t="s">
        <v>3</v>
      </c>
      <c r="B2060" t="s">
        <v>254</v>
      </c>
      <c r="C2060" t="s">
        <v>2033</v>
      </c>
      <c r="D2060" t="s">
        <v>873</v>
      </c>
      <c r="E2060" cm="1">
        <f t="array" ref="E2060">_xlfn.XLOOKUP(D2060,SKU_Master!A:A,SKU_Master!B:B,"Not on master")</f>
        <v>0</v>
      </c>
      <c r="F2060" cm="1">
        <f t="array" ref="F2060">_xlfn.XLOOKUP(C2060,Account_Master!A:A,Account_Master!B:B,"Not on master")</f>
        <v>0</v>
      </c>
      <c r="G2060" cm="1">
        <f t="array" ref="G2060">_xlfn.XLOOKUP(C2060,Account_Master!A:A,Account_Master!C:C,"Not on master")</f>
        <v>0</v>
      </c>
      <c r="H2060" s="6">
        <v>4.5</v>
      </c>
      <c r="I2060" s="6">
        <v>4.5</v>
      </c>
      <c r="J2060" s="6">
        <f>I2060-H2060</f>
        <v>0</v>
      </c>
      <c r="K2060" s="5">
        <f>IF(H2060=0,"",J2060/H2060)</f>
        <v>0</v>
      </c>
      <c r="L2060">
        <f>IF(OR(AND(H2060=0,ABS(J2060)&gt;=0.01),AND(H2060&lt;&gt;0,ABS(K2060)&gt;VarianceThreshold)),"Review","OK")</f>
        <v>0</v>
      </c>
      <c r="M2060" t="s">
        <v>33</v>
      </c>
    </row>
    <row r="2061" spans="1:13">
      <c r="A2061" t="s">
        <v>3</v>
      </c>
      <c r="B2061" t="s">
        <v>254</v>
      </c>
      <c r="C2061" t="s">
        <v>2119</v>
      </c>
      <c r="D2061" t="s">
        <v>1736</v>
      </c>
      <c r="E2061" cm="1">
        <f t="array" ref="E2061">_xlfn.XLOOKUP(D2061,SKU_Master!A:A,SKU_Master!B:B,"Not on master")</f>
        <v>0</v>
      </c>
      <c r="F2061" cm="1">
        <f t="array" ref="F2061">_xlfn.XLOOKUP(C2061,Account_Master!A:A,Account_Master!B:B,"Not on master")</f>
        <v>0</v>
      </c>
      <c r="G2061" cm="1">
        <f t="array" ref="G2061">_xlfn.XLOOKUP(C2061,Account_Master!A:A,Account_Master!C:C,"Not on master")</f>
        <v>0</v>
      </c>
      <c r="H2061" s="6">
        <v>253.86</v>
      </c>
      <c r="I2061" s="6">
        <v>253.86</v>
      </c>
      <c r="J2061" s="6">
        <f>I2061-H2061</f>
        <v>0</v>
      </c>
      <c r="K2061" s="5">
        <f>IF(H2061=0,"",J2061/H2061)</f>
        <v>0</v>
      </c>
      <c r="L2061">
        <f>IF(OR(AND(H2061=0,ABS(J2061)&gt;=0.01),AND(H2061&lt;&gt;0,ABS(K2061)&gt;VarianceThreshold)),"Review","OK")</f>
        <v>0</v>
      </c>
      <c r="M2061" t="s">
        <v>33</v>
      </c>
    </row>
    <row r="2062" spans="1:13">
      <c r="A2062" t="s">
        <v>3</v>
      </c>
      <c r="B2062" t="s">
        <v>264</v>
      </c>
      <c r="C2062" t="s">
        <v>2120</v>
      </c>
      <c r="D2062" t="s">
        <v>2121</v>
      </c>
      <c r="E2062" cm="1">
        <f t="array" ref="E2062">_xlfn.XLOOKUP(D2062,SKU_Master!A:A,SKU_Master!B:B,"Not on master")</f>
        <v>0</v>
      </c>
      <c r="F2062" cm="1">
        <f t="array" ref="F2062">_xlfn.XLOOKUP(C2062,Account_Master!A:A,Account_Master!B:B,"Not on master")</f>
        <v>0</v>
      </c>
      <c r="G2062" cm="1">
        <f t="array" ref="G2062">_xlfn.XLOOKUP(C2062,Account_Master!A:A,Account_Master!C:C,"Not on master")</f>
        <v>0</v>
      </c>
      <c r="H2062" s="6">
        <v>5.1</v>
      </c>
      <c r="I2062" s="6">
        <v>5.1</v>
      </c>
      <c r="J2062" s="6">
        <f>I2062-H2062</f>
        <v>0</v>
      </c>
      <c r="K2062" s="5">
        <f>IF(H2062=0,"",J2062/H2062)</f>
        <v>0</v>
      </c>
      <c r="L2062">
        <f>IF(OR(AND(H2062=0,ABS(J2062)&gt;=0.01),AND(H2062&lt;&gt;0,ABS(K2062)&gt;VarianceThreshold)),"Review","OK")</f>
        <v>0</v>
      </c>
      <c r="M2062" t="s">
        <v>33</v>
      </c>
    </row>
    <row r="2063" spans="1:13">
      <c r="A2063" t="s">
        <v>3</v>
      </c>
      <c r="B2063" t="s">
        <v>264</v>
      </c>
      <c r="C2063" t="s">
        <v>2035</v>
      </c>
      <c r="D2063" t="s">
        <v>2122</v>
      </c>
      <c r="E2063" cm="1">
        <f t="array" ref="E2063">_xlfn.XLOOKUP(D2063,SKU_Master!A:A,SKU_Master!B:B,"Not on master")</f>
        <v>0</v>
      </c>
      <c r="F2063" cm="1">
        <f t="array" ref="F2063">_xlfn.XLOOKUP(C2063,Account_Master!A:A,Account_Master!B:B,"Not on master")</f>
        <v>0</v>
      </c>
      <c r="G2063" cm="1">
        <f t="array" ref="G2063">_xlfn.XLOOKUP(C2063,Account_Master!A:A,Account_Master!C:C,"Not on master")</f>
        <v>0</v>
      </c>
      <c r="H2063" s="6">
        <v>1.5</v>
      </c>
      <c r="I2063" s="6">
        <v>1.5</v>
      </c>
      <c r="J2063" s="6">
        <f>I2063-H2063</f>
        <v>0</v>
      </c>
      <c r="K2063" s="5">
        <f>IF(H2063=0,"",J2063/H2063)</f>
        <v>0</v>
      </c>
      <c r="L2063">
        <f>IF(OR(AND(H2063=0,ABS(J2063)&gt;=0.01),AND(H2063&lt;&gt;0,ABS(K2063)&gt;VarianceThreshold)),"Review","OK")</f>
        <v>0</v>
      </c>
      <c r="M2063" t="s">
        <v>33</v>
      </c>
    </row>
    <row r="2064" spans="1:13">
      <c r="A2064" t="s">
        <v>3</v>
      </c>
      <c r="B2064" t="s">
        <v>264</v>
      </c>
      <c r="C2064" t="s">
        <v>2027</v>
      </c>
      <c r="D2064" t="s">
        <v>1696</v>
      </c>
      <c r="E2064" cm="1">
        <f t="array" ref="E2064">_xlfn.XLOOKUP(D2064,SKU_Master!A:A,SKU_Master!B:B,"Not on master")</f>
        <v>0</v>
      </c>
      <c r="F2064" cm="1">
        <f t="array" ref="F2064">_xlfn.XLOOKUP(C2064,Account_Master!A:A,Account_Master!B:B,"Not on master")</f>
        <v>0</v>
      </c>
      <c r="G2064" cm="1">
        <f t="array" ref="G2064">_xlfn.XLOOKUP(C2064,Account_Master!A:A,Account_Master!C:C,"Not on master")</f>
        <v>0</v>
      </c>
      <c r="H2064" s="6">
        <v>9.75</v>
      </c>
      <c r="I2064" s="6">
        <v>9.75</v>
      </c>
      <c r="J2064" s="6">
        <f>I2064-H2064</f>
        <v>0</v>
      </c>
      <c r="K2064" s="5">
        <f>IF(H2064=0,"",J2064/H2064)</f>
        <v>0</v>
      </c>
      <c r="L2064">
        <f>IF(OR(AND(H2064=0,ABS(J2064)&gt;=0.01),AND(H2064&lt;&gt;0,ABS(K2064)&gt;VarianceThreshold)),"Review","OK")</f>
        <v>0</v>
      </c>
      <c r="M2064" t="s">
        <v>33</v>
      </c>
    </row>
    <row r="2065" spans="1:13">
      <c r="A2065" t="s">
        <v>3</v>
      </c>
      <c r="B2065" t="s">
        <v>264</v>
      </c>
      <c r="C2065" t="s">
        <v>2123</v>
      </c>
      <c r="D2065" t="s">
        <v>2124</v>
      </c>
      <c r="E2065" cm="1">
        <f t="array" ref="E2065">_xlfn.XLOOKUP(D2065,SKU_Master!A:A,SKU_Master!B:B,"Not on master")</f>
        <v>0</v>
      </c>
      <c r="F2065" cm="1">
        <f t="array" ref="F2065">_xlfn.XLOOKUP(C2065,Account_Master!A:A,Account_Master!B:B,"Not on master")</f>
        <v>0</v>
      </c>
      <c r="G2065" cm="1">
        <f t="array" ref="G2065">_xlfn.XLOOKUP(C2065,Account_Master!A:A,Account_Master!C:C,"Not on master")</f>
        <v>0</v>
      </c>
      <c r="H2065" s="6">
        <v>2</v>
      </c>
      <c r="I2065" s="6">
        <v>2</v>
      </c>
      <c r="J2065" s="6">
        <f>I2065-H2065</f>
        <v>0</v>
      </c>
      <c r="K2065" s="5">
        <f>IF(H2065=0,"",J2065/H2065)</f>
        <v>0</v>
      </c>
      <c r="L2065">
        <f>IF(OR(AND(H2065=0,ABS(J2065)&gt;=0.01),AND(H2065&lt;&gt;0,ABS(K2065)&gt;VarianceThreshold)),"Review","OK")</f>
        <v>0</v>
      </c>
      <c r="M2065" t="s">
        <v>33</v>
      </c>
    </row>
    <row r="2066" spans="1:13">
      <c r="A2066" t="s">
        <v>3</v>
      </c>
      <c r="B2066" t="s">
        <v>264</v>
      </c>
      <c r="C2066" t="s">
        <v>2033</v>
      </c>
      <c r="D2066" t="s">
        <v>2125</v>
      </c>
      <c r="E2066" cm="1">
        <f t="array" ref="E2066">_xlfn.XLOOKUP(D2066,SKU_Master!A:A,SKU_Master!B:B,"Not on master")</f>
        <v>0</v>
      </c>
      <c r="F2066" cm="1">
        <f t="array" ref="F2066">_xlfn.XLOOKUP(C2066,Account_Master!A:A,Account_Master!B:B,"Not on master")</f>
        <v>0</v>
      </c>
      <c r="G2066" cm="1">
        <f t="array" ref="G2066">_xlfn.XLOOKUP(C2066,Account_Master!A:A,Account_Master!C:C,"Not on master")</f>
        <v>0</v>
      </c>
      <c r="H2066" s="6">
        <v>9</v>
      </c>
      <c r="I2066" s="6">
        <v>9</v>
      </c>
      <c r="J2066" s="6">
        <f>I2066-H2066</f>
        <v>0</v>
      </c>
      <c r="K2066" s="5">
        <f>IF(H2066=0,"",J2066/H2066)</f>
        <v>0</v>
      </c>
      <c r="L2066">
        <f>IF(OR(AND(H2066=0,ABS(J2066)&gt;=0.01),AND(H2066&lt;&gt;0,ABS(K2066)&gt;VarianceThreshold)),"Review","OK")</f>
        <v>0</v>
      </c>
      <c r="M2066" t="s">
        <v>33</v>
      </c>
    </row>
    <row r="2067" spans="1:13">
      <c r="A2067" t="s">
        <v>3</v>
      </c>
      <c r="B2067" t="s">
        <v>264</v>
      </c>
      <c r="C2067" t="s">
        <v>2075</v>
      </c>
      <c r="D2067" t="s">
        <v>707</v>
      </c>
      <c r="E2067" cm="1">
        <f t="array" ref="E2067">_xlfn.XLOOKUP(D2067,SKU_Master!A:A,SKU_Master!B:B,"Not on master")</f>
        <v>0</v>
      </c>
      <c r="F2067" cm="1">
        <f t="array" ref="F2067">_xlfn.XLOOKUP(C2067,Account_Master!A:A,Account_Master!B:B,"Not on master")</f>
        <v>0</v>
      </c>
      <c r="G2067" cm="1">
        <f t="array" ref="G2067">_xlfn.XLOOKUP(C2067,Account_Master!A:A,Account_Master!C:C,"Not on master")</f>
        <v>0</v>
      </c>
      <c r="H2067" s="6">
        <v>33</v>
      </c>
      <c r="I2067" s="6">
        <v>33</v>
      </c>
      <c r="J2067" s="6">
        <f>I2067-H2067</f>
        <v>0</v>
      </c>
      <c r="K2067" s="5">
        <f>IF(H2067=0,"",J2067/H2067)</f>
        <v>0</v>
      </c>
      <c r="L2067">
        <f>IF(OR(AND(H2067=0,ABS(J2067)&gt;=0.01),AND(H2067&lt;&gt;0,ABS(K2067)&gt;VarianceThreshold)),"Review","OK")</f>
        <v>0</v>
      </c>
      <c r="M2067" t="s">
        <v>33</v>
      </c>
    </row>
    <row r="2068" spans="1:13">
      <c r="A2068" t="s">
        <v>3</v>
      </c>
      <c r="B2068" t="s">
        <v>264</v>
      </c>
      <c r="C2068" t="s">
        <v>2126</v>
      </c>
      <c r="D2068" t="s">
        <v>250</v>
      </c>
      <c r="E2068" cm="1">
        <f t="array" ref="E2068">_xlfn.XLOOKUP(D2068,SKU_Master!A:A,SKU_Master!B:B,"Not on master")</f>
        <v>0</v>
      </c>
      <c r="F2068" cm="1">
        <f t="array" ref="F2068">_xlfn.XLOOKUP(C2068,Account_Master!A:A,Account_Master!B:B,"Not on master")</f>
        <v>0</v>
      </c>
      <c r="G2068" cm="1">
        <f t="array" ref="G2068">_xlfn.XLOOKUP(C2068,Account_Master!A:A,Account_Master!C:C,"Not on master")</f>
        <v>0</v>
      </c>
      <c r="H2068" s="6">
        <v>18</v>
      </c>
      <c r="I2068" s="6">
        <v>18</v>
      </c>
      <c r="J2068" s="6">
        <f>I2068-H2068</f>
        <v>0</v>
      </c>
      <c r="K2068" s="5">
        <f>IF(H2068=0,"",J2068/H2068)</f>
        <v>0</v>
      </c>
      <c r="L2068">
        <f>IF(OR(AND(H2068=0,ABS(J2068)&gt;=0.01),AND(H2068&lt;&gt;0,ABS(K2068)&gt;VarianceThreshold)),"Review","OK")</f>
        <v>0</v>
      </c>
      <c r="M2068" t="s">
        <v>33</v>
      </c>
    </row>
    <row r="2069" spans="1:13">
      <c r="A2069" t="s">
        <v>3</v>
      </c>
      <c r="B2069" t="s">
        <v>264</v>
      </c>
      <c r="C2069" t="s">
        <v>2022</v>
      </c>
      <c r="D2069" t="s">
        <v>445</v>
      </c>
      <c r="E2069" cm="1">
        <f t="array" ref="E2069">_xlfn.XLOOKUP(D2069,SKU_Master!A:A,SKU_Master!B:B,"Not on master")</f>
        <v>0</v>
      </c>
      <c r="F2069" cm="1">
        <f t="array" ref="F2069">_xlfn.XLOOKUP(C2069,Account_Master!A:A,Account_Master!B:B,"Not on master")</f>
        <v>0</v>
      </c>
      <c r="G2069" cm="1">
        <f t="array" ref="G2069">_xlfn.XLOOKUP(C2069,Account_Master!A:A,Account_Master!C:C,"Not on master")</f>
        <v>0</v>
      </c>
      <c r="H2069" s="6">
        <v>29.25</v>
      </c>
      <c r="I2069" s="6">
        <v>29.25</v>
      </c>
      <c r="J2069" s="6">
        <f>I2069-H2069</f>
        <v>0</v>
      </c>
      <c r="K2069" s="5">
        <f>IF(H2069=0,"",J2069/H2069)</f>
        <v>0</v>
      </c>
      <c r="L2069">
        <f>IF(OR(AND(H2069=0,ABS(J2069)&gt;=0.01),AND(H2069&lt;&gt;0,ABS(K2069)&gt;VarianceThreshold)),"Review","OK")</f>
        <v>0</v>
      </c>
      <c r="M2069" t="s">
        <v>33</v>
      </c>
    </row>
    <row r="2070" spans="1:13">
      <c r="A2070" t="s">
        <v>3</v>
      </c>
      <c r="B2070" t="s">
        <v>264</v>
      </c>
      <c r="C2070" t="s">
        <v>2058</v>
      </c>
      <c r="D2070" t="s">
        <v>1295</v>
      </c>
      <c r="E2070" cm="1">
        <f t="array" ref="E2070">_xlfn.XLOOKUP(D2070,SKU_Master!A:A,SKU_Master!B:B,"Not on master")</f>
        <v>0</v>
      </c>
      <c r="F2070" cm="1">
        <f t="array" ref="F2070">_xlfn.XLOOKUP(C2070,Account_Master!A:A,Account_Master!B:B,"Not on master")</f>
        <v>0</v>
      </c>
      <c r="G2070" cm="1">
        <f t="array" ref="G2070">_xlfn.XLOOKUP(C2070,Account_Master!A:A,Account_Master!C:C,"Not on master")</f>
        <v>0</v>
      </c>
      <c r="H2070" s="6">
        <v>0.75</v>
      </c>
      <c r="I2070" s="6">
        <v>0.75</v>
      </c>
      <c r="J2070" s="6">
        <f>I2070-H2070</f>
        <v>0</v>
      </c>
      <c r="K2070" s="5">
        <f>IF(H2070=0,"",J2070/H2070)</f>
        <v>0</v>
      </c>
      <c r="L2070">
        <f>IF(OR(AND(H2070=0,ABS(J2070)&gt;=0.01),AND(H2070&lt;&gt;0,ABS(K2070)&gt;VarianceThreshold)),"Review","OK")</f>
        <v>0</v>
      </c>
      <c r="M2070" t="s">
        <v>33</v>
      </c>
    </row>
    <row r="2071" spans="1:13">
      <c r="A2071" t="s">
        <v>3</v>
      </c>
      <c r="B2071" t="s">
        <v>273</v>
      </c>
      <c r="C2071" t="s">
        <v>2127</v>
      </c>
      <c r="D2071" t="s">
        <v>2128</v>
      </c>
      <c r="E2071" cm="1">
        <f t="array" ref="E2071">_xlfn.XLOOKUP(D2071,SKU_Master!A:A,SKU_Master!B:B,"Not on master")</f>
        <v>0</v>
      </c>
      <c r="F2071" cm="1">
        <f t="array" ref="F2071">_xlfn.XLOOKUP(C2071,Account_Master!A:A,Account_Master!B:B,"Not on master")</f>
        <v>0</v>
      </c>
      <c r="G2071" cm="1">
        <f t="array" ref="G2071">_xlfn.XLOOKUP(C2071,Account_Master!A:A,Account_Master!C:C,"Not on master")</f>
        <v>0</v>
      </c>
      <c r="H2071" s="6">
        <v>12</v>
      </c>
      <c r="I2071" s="6">
        <v>12</v>
      </c>
      <c r="J2071" s="6">
        <f>I2071-H2071</f>
        <v>0</v>
      </c>
      <c r="K2071" s="5">
        <f>IF(H2071=0,"",J2071/H2071)</f>
        <v>0</v>
      </c>
      <c r="L2071">
        <f>IF(OR(AND(H2071=0,ABS(J2071)&gt;=0.01),AND(H2071&lt;&gt;0,ABS(K2071)&gt;VarianceThreshold)),"Review","OK")</f>
        <v>0</v>
      </c>
      <c r="M2071" t="s">
        <v>33</v>
      </c>
    </row>
    <row r="2072" spans="1:13">
      <c r="A2072" t="s">
        <v>3</v>
      </c>
      <c r="B2072" t="s">
        <v>273</v>
      </c>
      <c r="C2072" t="s">
        <v>2129</v>
      </c>
      <c r="D2072" t="s">
        <v>1167</v>
      </c>
      <c r="E2072" cm="1">
        <f t="array" ref="E2072">_xlfn.XLOOKUP(D2072,SKU_Master!A:A,SKU_Master!B:B,"Not on master")</f>
        <v>0</v>
      </c>
      <c r="F2072" cm="1">
        <f t="array" ref="F2072">_xlfn.XLOOKUP(C2072,Account_Master!A:A,Account_Master!B:B,"Not on master")</f>
        <v>0</v>
      </c>
      <c r="G2072" cm="1">
        <f t="array" ref="G2072">_xlfn.XLOOKUP(C2072,Account_Master!A:A,Account_Master!C:C,"Not on master")</f>
        <v>0</v>
      </c>
      <c r="H2072" s="6">
        <v>9</v>
      </c>
      <c r="I2072" s="6">
        <v>9</v>
      </c>
      <c r="J2072" s="6">
        <f>I2072-H2072</f>
        <v>0</v>
      </c>
      <c r="K2072" s="5">
        <f>IF(H2072=0,"",J2072/H2072)</f>
        <v>0</v>
      </c>
      <c r="L2072">
        <f>IF(OR(AND(H2072=0,ABS(J2072)&gt;=0.01),AND(H2072&lt;&gt;0,ABS(K2072)&gt;VarianceThreshold)),"Review","OK")</f>
        <v>0</v>
      </c>
      <c r="M2072" t="s">
        <v>33</v>
      </c>
    </row>
    <row r="2073" spans="1:13">
      <c r="A2073" t="s">
        <v>3</v>
      </c>
      <c r="B2073" t="s">
        <v>273</v>
      </c>
      <c r="C2073" t="s">
        <v>2130</v>
      </c>
      <c r="D2073" t="s">
        <v>2131</v>
      </c>
      <c r="E2073" cm="1">
        <f t="array" ref="E2073">_xlfn.XLOOKUP(D2073,SKU_Master!A:A,SKU_Master!B:B,"Not on master")</f>
        <v>0</v>
      </c>
      <c r="F2073" cm="1">
        <f t="array" ref="F2073">_xlfn.XLOOKUP(C2073,Account_Master!A:A,Account_Master!B:B,"Not on master")</f>
        <v>0</v>
      </c>
      <c r="G2073" cm="1">
        <f t="array" ref="G2073">_xlfn.XLOOKUP(C2073,Account_Master!A:A,Account_Master!C:C,"Not on master")</f>
        <v>0</v>
      </c>
      <c r="H2073" s="6">
        <v>3</v>
      </c>
      <c r="I2073" s="6">
        <v>3</v>
      </c>
      <c r="J2073" s="6">
        <f>I2073-H2073</f>
        <v>0</v>
      </c>
      <c r="K2073" s="5">
        <f>IF(H2073=0,"",J2073/H2073)</f>
        <v>0</v>
      </c>
      <c r="L2073">
        <f>IF(OR(AND(H2073=0,ABS(J2073)&gt;=0.01),AND(H2073&lt;&gt;0,ABS(K2073)&gt;VarianceThreshold)),"Review","OK")</f>
        <v>0</v>
      </c>
      <c r="M2073" t="s">
        <v>33</v>
      </c>
    </row>
    <row r="2074" spans="1:13">
      <c r="A2074" t="s">
        <v>3</v>
      </c>
      <c r="B2074" t="s">
        <v>273</v>
      </c>
      <c r="C2074" t="s">
        <v>2132</v>
      </c>
      <c r="D2074" t="s">
        <v>2133</v>
      </c>
      <c r="E2074" cm="1">
        <f t="array" ref="E2074">_xlfn.XLOOKUP(D2074,SKU_Master!A:A,SKU_Master!B:B,"Not on master")</f>
        <v>0</v>
      </c>
      <c r="F2074" cm="1">
        <f t="array" ref="F2074">_xlfn.XLOOKUP(C2074,Account_Master!A:A,Account_Master!B:B,"Not on master")</f>
        <v>0</v>
      </c>
      <c r="G2074" cm="1">
        <f t="array" ref="G2074">_xlfn.XLOOKUP(C2074,Account_Master!A:A,Account_Master!C:C,"Not on master")</f>
        <v>0</v>
      </c>
      <c r="H2074" s="6">
        <v>0.75</v>
      </c>
      <c r="I2074" s="6">
        <v>0.75</v>
      </c>
      <c r="J2074" s="6">
        <f>I2074-H2074</f>
        <v>0</v>
      </c>
      <c r="K2074" s="5">
        <f>IF(H2074=0,"",J2074/H2074)</f>
        <v>0</v>
      </c>
      <c r="L2074">
        <f>IF(OR(AND(H2074=0,ABS(J2074)&gt;=0.01),AND(H2074&lt;&gt;0,ABS(K2074)&gt;VarianceThreshold)),"Review","OK")</f>
        <v>0</v>
      </c>
      <c r="M2074" t="s">
        <v>33</v>
      </c>
    </row>
    <row r="2075" spans="1:13">
      <c r="A2075" t="s">
        <v>3</v>
      </c>
      <c r="B2075" t="s">
        <v>273</v>
      </c>
      <c r="C2075" t="s">
        <v>2127</v>
      </c>
      <c r="D2075" t="s">
        <v>2134</v>
      </c>
      <c r="E2075" cm="1">
        <f t="array" ref="E2075">_xlfn.XLOOKUP(D2075,SKU_Master!A:A,SKU_Master!B:B,"Not on master")</f>
        <v>0</v>
      </c>
      <c r="F2075" cm="1">
        <f t="array" ref="F2075">_xlfn.XLOOKUP(C2075,Account_Master!A:A,Account_Master!B:B,"Not on master")</f>
        <v>0</v>
      </c>
      <c r="G2075" cm="1">
        <f t="array" ref="G2075">_xlfn.XLOOKUP(C2075,Account_Master!A:A,Account_Master!C:C,"Not on master")</f>
        <v>0</v>
      </c>
      <c r="H2075" s="6">
        <v>2</v>
      </c>
      <c r="I2075" s="6">
        <v>2</v>
      </c>
      <c r="J2075" s="6">
        <f>I2075-H2075</f>
        <v>0</v>
      </c>
      <c r="K2075" s="5">
        <f>IF(H2075=0,"",J2075/H2075)</f>
        <v>0</v>
      </c>
      <c r="L2075">
        <f>IF(OR(AND(H2075=0,ABS(J2075)&gt;=0.01),AND(H2075&lt;&gt;0,ABS(K2075)&gt;VarianceThreshold)),"Review","OK")</f>
        <v>0</v>
      </c>
      <c r="M2075" t="s">
        <v>33</v>
      </c>
    </row>
    <row r="2076" spans="1:13">
      <c r="A2076" t="s">
        <v>3</v>
      </c>
      <c r="B2076" t="s">
        <v>273</v>
      </c>
      <c r="C2076" t="s">
        <v>2088</v>
      </c>
      <c r="D2076" t="s">
        <v>259</v>
      </c>
      <c r="E2076" cm="1">
        <f t="array" ref="E2076">_xlfn.XLOOKUP(D2076,SKU_Master!A:A,SKU_Master!B:B,"Not on master")</f>
        <v>0</v>
      </c>
      <c r="F2076" cm="1">
        <f t="array" ref="F2076">_xlfn.XLOOKUP(C2076,Account_Master!A:A,Account_Master!B:B,"Not on master")</f>
        <v>0</v>
      </c>
      <c r="G2076" cm="1">
        <f t="array" ref="G2076">_xlfn.XLOOKUP(C2076,Account_Master!A:A,Account_Master!C:C,"Not on master")</f>
        <v>0</v>
      </c>
      <c r="H2076" s="6">
        <v>51.75</v>
      </c>
      <c r="I2076" s="6">
        <v>51.75</v>
      </c>
      <c r="J2076" s="6">
        <f>I2076-H2076</f>
        <v>0</v>
      </c>
      <c r="K2076" s="5">
        <f>IF(H2076=0,"",J2076/H2076)</f>
        <v>0</v>
      </c>
      <c r="L2076">
        <f>IF(OR(AND(H2076=0,ABS(J2076)&gt;=0.01),AND(H2076&lt;&gt;0,ABS(K2076)&gt;VarianceThreshold)),"Review","OK")</f>
        <v>0</v>
      </c>
      <c r="M2076" t="s">
        <v>33</v>
      </c>
    </row>
    <row r="2077" spans="1:13">
      <c r="A2077" t="s">
        <v>3</v>
      </c>
      <c r="B2077" t="s">
        <v>284</v>
      </c>
      <c r="C2077" t="s">
        <v>2022</v>
      </c>
      <c r="D2077" t="s">
        <v>1663</v>
      </c>
      <c r="E2077" cm="1">
        <f t="array" ref="E2077">_xlfn.XLOOKUP(D2077,SKU_Master!A:A,SKU_Master!B:B,"Not on master")</f>
        <v>0</v>
      </c>
      <c r="F2077" cm="1">
        <f t="array" ref="F2077">_xlfn.XLOOKUP(C2077,Account_Master!A:A,Account_Master!B:B,"Not on master")</f>
        <v>0</v>
      </c>
      <c r="G2077" cm="1">
        <f t="array" ref="G2077">_xlfn.XLOOKUP(C2077,Account_Master!A:A,Account_Master!C:C,"Not on master")</f>
        <v>0</v>
      </c>
      <c r="H2077" s="6">
        <v>26</v>
      </c>
      <c r="I2077" s="6">
        <v>26</v>
      </c>
      <c r="J2077" s="6">
        <f>I2077-H2077</f>
        <v>0</v>
      </c>
      <c r="K2077" s="5">
        <f>IF(H2077=0,"",J2077/H2077)</f>
        <v>0</v>
      </c>
      <c r="L2077">
        <f>IF(OR(AND(H2077=0,ABS(J2077)&gt;=0.01),AND(H2077&lt;&gt;0,ABS(K2077)&gt;VarianceThreshold)),"Review","OK")</f>
        <v>0</v>
      </c>
      <c r="M2077" t="s">
        <v>33</v>
      </c>
    </row>
    <row r="2078" spans="1:13">
      <c r="A2078" t="s">
        <v>3</v>
      </c>
      <c r="B2078" t="s">
        <v>284</v>
      </c>
      <c r="C2078" t="s">
        <v>2029</v>
      </c>
      <c r="D2078" t="s">
        <v>931</v>
      </c>
      <c r="E2078" cm="1">
        <f t="array" ref="E2078">_xlfn.XLOOKUP(D2078,SKU_Master!A:A,SKU_Master!B:B,"Not on master")</f>
        <v>0</v>
      </c>
      <c r="F2078" cm="1">
        <f t="array" ref="F2078">_xlfn.XLOOKUP(C2078,Account_Master!A:A,Account_Master!B:B,"Not on master")</f>
        <v>0</v>
      </c>
      <c r="G2078" cm="1">
        <f t="array" ref="G2078">_xlfn.XLOOKUP(C2078,Account_Master!A:A,Account_Master!C:C,"Not on master")</f>
        <v>0</v>
      </c>
      <c r="H2078" s="6">
        <v>15</v>
      </c>
      <c r="I2078" s="6">
        <v>15</v>
      </c>
      <c r="J2078" s="6">
        <f>I2078-H2078</f>
        <v>0</v>
      </c>
      <c r="K2078" s="5">
        <f>IF(H2078=0,"",J2078/H2078)</f>
        <v>0</v>
      </c>
      <c r="L2078">
        <f>IF(OR(AND(H2078=0,ABS(J2078)&gt;=0.01),AND(H2078&lt;&gt;0,ABS(K2078)&gt;VarianceThreshold)),"Review","OK")</f>
        <v>0</v>
      </c>
      <c r="M2078" t="s">
        <v>33</v>
      </c>
    </row>
    <row r="2079" spans="1:13">
      <c r="A2079" t="s">
        <v>3</v>
      </c>
      <c r="B2079" t="s">
        <v>284</v>
      </c>
      <c r="C2079" t="s">
        <v>2013</v>
      </c>
      <c r="D2079" t="s">
        <v>2135</v>
      </c>
      <c r="E2079" cm="1">
        <f t="array" ref="E2079">_xlfn.XLOOKUP(D2079,SKU_Master!A:A,SKU_Master!B:B,"Not on master")</f>
        <v>0</v>
      </c>
      <c r="F2079" cm="1">
        <f t="array" ref="F2079">_xlfn.XLOOKUP(C2079,Account_Master!A:A,Account_Master!B:B,"Not on master")</f>
        <v>0</v>
      </c>
      <c r="G2079" cm="1">
        <f t="array" ref="G2079">_xlfn.XLOOKUP(C2079,Account_Master!A:A,Account_Master!C:C,"Not on master")</f>
        <v>0</v>
      </c>
      <c r="H2079" s="6">
        <v>10.5</v>
      </c>
      <c r="I2079" s="6">
        <v>10.5</v>
      </c>
      <c r="J2079" s="6">
        <f>I2079-H2079</f>
        <v>0</v>
      </c>
      <c r="K2079" s="5">
        <f>IF(H2079=0,"",J2079/H2079)</f>
        <v>0</v>
      </c>
      <c r="L2079">
        <f>IF(OR(AND(H2079=0,ABS(J2079)&gt;=0.01),AND(H2079&lt;&gt;0,ABS(K2079)&gt;VarianceThreshold)),"Review","OK")</f>
        <v>0</v>
      </c>
      <c r="M2079" t="s">
        <v>33</v>
      </c>
    </row>
    <row r="2080" spans="1:13">
      <c r="A2080" t="s">
        <v>3</v>
      </c>
      <c r="B2080" t="s">
        <v>289</v>
      </c>
      <c r="C2080" t="s">
        <v>2076</v>
      </c>
      <c r="D2080" t="s">
        <v>2136</v>
      </c>
      <c r="E2080" cm="1">
        <f t="array" ref="E2080">_xlfn.XLOOKUP(D2080,SKU_Master!A:A,SKU_Master!B:B,"Not on master")</f>
        <v>0</v>
      </c>
      <c r="F2080" cm="1">
        <f t="array" ref="F2080">_xlfn.XLOOKUP(C2080,Account_Master!A:A,Account_Master!B:B,"Not on master")</f>
        <v>0</v>
      </c>
      <c r="G2080" cm="1">
        <f t="array" ref="G2080">_xlfn.XLOOKUP(C2080,Account_Master!A:A,Account_Master!C:C,"Not on master")</f>
        <v>0</v>
      </c>
      <c r="H2080" s="6">
        <v>37.5</v>
      </c>
      <c r="I2080" s="6">
        <v>37.5</v>
      </c>
      <c r="J2080" s="6">
        <f>I2080-H2080</f>
        <v>0</v>
      </c>
      <c r="K2080" s="5">
        <f>IF(H2080=0,"",J2080/H2080)</f>
        <v>0</v>
      </c>
      <c r="L2080">
        <f>IF(OR(AND(H2080=0,ABS(J2080)&gt;=0.01),AND(H2080&lt;&gt;0,ABS(K2080)&gt;VarianceThreshold)),"Review","OK")</f>
        <v>0</v>
      </c>
      <c r="M2080" t="s">
        <v>33</v>
      </c>
    </row>
    <row r="2081" spans="1:13">
      <c r="A2081" t="s">
        <v>3</v>
      </c>
      <c r="B2081" t="s">
        <v>289</v>
      </c>
      <c r="C2081" t="s">
        <v>2027</v>
      </c>
      <c r="D2081" t="s">
        <v>2137</v>
      </c>
      <c r="E2081" cm="1">
        <f t="array" ref="E2081">_xlfn.XLOOKUP(D2081,SKU_Master!A:A,SKU_Master!B:B,"Not on master")</f>
        <v>0</v>
      </c>
      <c r="F2081" cm="1">
        <f t="array" ref="F2081">_xlfn.XLOOKUP(C2081,Account_Master!A:A,Account_Master!B:B,"Not on master")</f>
        <v>0</v>
      </c>
      <c r="G2081" cm="1">
        <f t="array" ref="G2081">_xlfn.XLOOKUP(C2081,Account_Master!A:A,Account_Master!C:C,"Not on master")</f>
        <v>0</v>
      </c>
      <c r="H2081" s="6">
        <v>6</v>
      </c>
      <c r="I2081" s="6">
        <v>6</v>
      </c>
      <c r="J2081" s="6">
        <f>I2081-H2081</f>
        <v>0</v>
      </c>
      <c r="K2081" s="5">
        <f>IF(H2081=0,"",J2081/H2081)</f>
        <v>0</v>
      </c>
      <c r="L2081">
        <f>IF(OR(AND(H2081=0,ABS(J2081)&gt;=0.01),AND(H2081&lt;&gt;0,ABS(K2081)&gt;VarianceThreshold)),"Review","OK")</f>
        <v>0</v>
      </c>
      <c r="M2081" t="s">
        <v>33</v>
      </c>
    </row>
    <row r="2082" spans="1:13">
      <c r="A2082" t="s">
        <v>3</v>
      </c>
      <c r="B2082" t="s">
        <v>289</v>
      </c>
      <c r="C2082" t="s">
        <v>2018</v>
      </c>
      <c r="D2082" t="s">
        <v>1470</v>
      </c>
      <c r="E2082" cm="1">
        <f t="array" ref="E2082">_xlfn.XLOOKUP(D2082,SKU_Master!A:A,SKU_Master!B:B,"Not on master")</f>
        <v>0</v>
      </c>
      <c r="F2082" cm="1">
        <f t="array" ref="F2082">_xlfn.XLOOKUP(C2082,Account_Master!A:A,Account_Master!B:B,"Not on master")</f>
        <v>0</v>
      </c>
      <c r="G2082" cm="1">
        <f t="array" ref="G2082">_xlfn.XLOOKUP(C2082,Account_Master!A:A,Account_Master!C:C,"Not on master")</f>
        <v>0</v>
      </c>
      <c r="H2082" s="6">
        <v>322.49</v>
      </c>
      <c r="I2082" s="6">
        <v>322.49</v>
      </c>
      <c r="J2082" s="6">
        <f>I2082-H2082</f>
        <v>0</v>
      </c>
      <c r="K2082" s="5">
        <f>IF(H2082=0,"",J2082/H2082)</f>
        <v>0</v>
      </c>
      <c r="L2082">
        <f>IF(OR(AND(H2082=0,ABS(J2082)&gt;=0.01),AND(H2082&lt;&gt;0,ABS(K2082)&gt;VarianceThreshold)),"Review","OK")</f>
        <v>0</v>
      </c>
      <c r="M2082" t="s">
        <v>33</v>
      </c>
    </row>
    <row r="2083" spans="1:13">
      <c r="A2083" t="s">
        <v>3</v>
      </c>
      <c r="B2083" t="s">
        <v>289</v>
      </c>
      <c r="C2083" t="s">
        <v>2082</v>
      </c>
      <c r="D2083" t="s">
        <v>296</v>
      </c>
      <c r="E2083" cm="1">
        <f t="array" ref="E2083">_xlfn.XLOOKUP(D2083,SKU_Master!A:A,SKU_Master!B:B,"Not on master")</f>
        <v>0</v>
      </c>
      <c r="F2083" cm="1">
        <f t="array" ref="F2083">_xlfn.XLOOKUP(C2083,Account_Master!A:A,Account_Master!B:B,"Not on master")</f>
        <v>0</v>
      </c>
      <c r="G2083" cm="1">
        <f t="array" ref="G2083">_xlfn.XLOOKUP(C2083,Account_Master!A:A,Account_Master!C:C,"Not on master")</f>
        <v>0</v>
      </c>
      <c r="H2083" s="6">
        <v>66</v>
      </c>
      <c r="I2083" s="6">
        <v>66</v>
      </c>
      <c r="J2083" s="6">
        <f>I2083-H2083</f>
        <v>0</v>
      </c>
      <c r="K2083" s="5">
        <f>IF(H2083=0,"",J2083/H2083)</f>
        <v>0</v>
      </c>
      <c r="L2083">
        <f>IF(OR(AND(H2083=0,ABS(J2083)&gt;=0.01),AND(H2083&lt;&gt;0,ABS(K2083)&gt;VarianceThreshold)),"Review","OK")</f>
        <v>0</v>
      </c>
      <c r="M2083" t="s">
        <v>33</v>
      </c>
    </row>
    <row r="2084" spans="1:13">
      <c r="A2084" t="s">
        <v>3</v>
      </c>
      <c r="B2084" t="s">
        <v>289</v>
      </c>
      <c r="C2084" t="s">
        <v>2075</v>
      </c>
      <c r="D2084" t="s">
        <v>2138</v>
      </c>
      <c r="E2084" cm="1">
        <f t="array" ref="E2084">_xlfn.XLOOKUP(D2084,SKU_Master!A:A,SKU_Master!B:B,"Not on master")</f>
        <v>0</v>
      </c>
      <c r="F2084" cm="1">
        <f t="array" ref="F2084">_xlfn.XLOOKUP(C2084,Account_Master!A:A,Account_Master!B:B,"Not on master")</f>
        <v>0</v>
      </c>
      <c r="G2084" cm="1">
        <f t="array" ref="G2084">_xlfn.XLOOKUP(C2084,Account_Master!A:A,Account_Master!C:C,"Not on master")</f>
        <v>0</v>
      </c>
      <c r="H2084" s="6">
        <v>9</v>
      </c>
      <c r="I2084" s="6">
        <v>9</v>
      </c>
      <c r="J2084" s="6">
        <f>I2084-H2084</f>
        <v>0</v>
      </c>
      <c r="K2084" s="5">
        <f>IF(H2084=0,"",J2084/H2084)</f>
        <v>0</v>
      </c>
      <c r="L2084">
        <f>IF(OR(AND(H2084=0,ABS(J2084)&gt;=0.01),AND(H2084&lt;&gt;0,ABS(K2084)&gt;VarianceThreshold)),"Review","OK")</f>
        <v>0</v>
      </c>
      <c r="M2084" t="s">
        <v>33</v>
      </c>
    </row>
    <row r="2085" spans="1:13">
      <c r="A2085" t="s">
        <v>3</v>
      </c>
      <c r="B2085" t="s">
        <v>299</v>
      </c>
      <c r="C2085" t="s">
        <v>2139</v>
      </c>
      <c r="D2085" t="s">
        <v>1865</v>
      </c>
      <c r="E2085" cm="1">
        <f t="array" ref="E2085">_xlfn.XLOOKUP(D2085,SKU_Master!A:A,SKU_Master!B:B,"Not on master")</f>
        <v>0</v>
      </c>
      <c r="F2085" cm="1">
        <f t="array" ref="F2085">_xlfn.XLOOKUP(C2085,Account_Master!A:A,Account_Master!B:B,"Not on master")</f>
        <v>0</v>
      </c>
      <c r="G2085" cm="1">
        <f t="array" ref="G2085">_xlfn.XLOOKUP(C2085,Account_Master!A:A,Account_Master!C:C,"Not on master")</f>
        <v>0</v>
      </c>
      <c r="H2085" s="6">
        <v>0.5</v>
      </c>
      <c r="I2085" s="6">
        <v>0.5</v>
      </c>
      <c r="J2085" s="6">
        <f>I2085-H2085</f>
        <v>0</v>
      </c>
      <c r="K2085" s="5">
        <f>IF(H2085=0,"",J2085/H2085)</f>
        <v>0</v>
      </c>
      <c r="L2085">
        <f>IF(OR(AND(H2085=0,ABS(J2085)&gt;=0.01),AND(H2085&lt;&gt;0,ABS(K2085)&gt;VarianceThreshold)),"Review","OK")</f>
        <v>0</v>
      </c>
      <c r="M2085" t="s">
        <v>33</v>
      </c>
    </row>
    <row r="2086" spans="1:13">
      <c r="A2086" t="s">
        <v>3</v>
      </c>
      <c r="B2086" t="s">
        <v>299</v>
      </c>
      <c r="C2086" t="s">
        <v>2140</v>
      </c>
      <c r="D2086" t="s">
        <v>1363</v>
      </c>
      <c r="E2086" cm="1">
        <f t="array" ref="E2086">_xlfn.XLOOKUP(D2086,SKU_Master!A:A,SKU_Master!B:B,"Not on master")</f>
        <v>0</v>
      </c>
      <c r="F2086" cm="1">
        <f t="array" ref="F2086">_xlfn.XLOOKUP(C2086,Account_Master!A:A,Account_Master!B:B,"Not on master")</f>
        <v>0</v>
      </c>
      <c r="G2086" cm="1">
        <f t="array" ref="G2086">_xlfn.XLOOKUP(C2086,Account_Master!A:A,Account_Master!C:C,"Not on master")</f>
        <v>0</v>
      </c>
      <c r="H2086" s="6">
        <v>21</v>
      </c>
      <c r="I2086" s="6">
        <v>21</v>
      </c>
      <c r="J2086" s="6">
        <f>I2086-H2086</f>
        <v>0</v>
      </c>
      <c r="K2086" s="5">
        <f>IF(H2086=0,"",J2086/H2086)</f>
        <v>0</v>
      </c>
      <c r="L2086">
        <f>IF(OR(AND(H2086=0,ABS(J2086)&gt;=0.01),AND(H2086&lt;&gt;0,ABS(K2086)&gt;VarianceThreshold)),"Review","OK")</f>
        <v>0</v>
      </c>
      <c r="M2086" t="s">
        <v>33</v>
      </c>
    </row>
    <row r="2087" spans="1:13">
      <c r="A2087" t="s">
        <v>3</v>
      </c>
      <c r="B2087" t="s">
        <v>299</v>
      </c>
      <c r="C2087" t="s">
        <v>2035</v>
      </c>
      <c r="D2087" t="s">
        <v>2141</v>
      </c>
      <c r="E2087" cm="1">
        <f t="array" ref="E2087">_xlfn.XLOOKUP(D2087,SKU_Master!A:A,SKU_Master!B:B,"Not on master")</f>
        <v>0</v>
      </c>
      <c r="F2087" cm="1">
        <f t="array" ref="F2087">_xlfn.XLOOKUP(C2087,Account_Master!A:A,Account_Master!B:B,"Not on master")</f>
        <v>0</v>
      </c>
      <c r="G2087" cm="1">
        <f t="array" ref="G2087">_xlfn.XLOOKUP(C2087,Account_Master!A:A,Account_Master!C:C,"Not on master")</f>
        <v>0</v>
      </c>
      <c r="H2087" s="6">
        <v>0.75</v>
      </c>
      <c r="I2087" s="6">
        <v>0.75</v>
      </c>
      <c r="J2087" s="6">
        <f>I2087-H2087</f>
        <v>0</v>
      </c>
      <c r="K2087" s="5">
        <f>IF(H2087=0,"",J2087/H2087)</f>
        <v>0</v>
      </c>
      <c r="L2087">
        <f>IF(OR(AND(H2087=0,ABS(J2087)&gt;=0.01),AND(H2087&lt;&gt;0,ABS(K2087)&gt;VarianceThreshold)),"Review","OK")</f>
        <v>0</v>
      </c>
      <c r="M2087" t="s">
        <v>33</v>
      </c>
    </row>
    <row r="2088" spans="1:13">
      <c r="A2088" t="s">
        <v>3</v>
      </c>
      <c r="B2088" t="s">
        <v>299</v>
      </c>
      <c r="C2088" t="s">
        <v>2013</v>
      </c>
      <c r="D2088" t="s">
        <v>1399</v>
      </c>
      <c r="E2088" cm="1">
        <f t="array" ref="E2088">_xlfn.XLOOKUP(D2088,SKU_Master!A:A,SKU_Master!B:B,"Not on master")</f>
        <v>0</v>
      </c>
      <c r="F2088" cm="1">
        <f t="array" ref="F2088">_xlfn.XLOOKUP(C2088,Account_Master!A:A,Account_Master!B:B,"Not on master")</f>
        <v>0</v>
      </c>
      <c r="G2088" cm="1">
        <f t="array" ref="G2088">_xlfn.XLOOKUP(C2088,Account_Master!A:A,Account_Master!C:C,"Not on master")</f>
        <v>0</v>
      </c>
      <c r="H2088" s="6">
        <v>30</v>
      </c>
      <c r="I2088" s="6">
        <v>30</v>
      </c>
      <c r="J2088" s="6">
        <f>I2088-H2088</f>
        <v>0</v>
      </c>
      <c r="K2088" s="5">
        <f>IF(H2088=0,"",J2088/H2088)</f>
        <v>0</v>
      </c>
      <c r="L2088">
        <f>IF(OR(AND(H2088=0,ABS(J2088)&gt;=0.01),AND(H2088&lt;&gt;0,ABS(K2088)&gt;VarianceThreshold)),"Review","OK")</f>
        <v>0</v>
      </c>
      <c r="M2088" t="s">
        <v>33</v>
      </c>
    </row>
    <row r="2089" spans="1:13">
      <c r="A2089" t="s">
        <v>3</v>
      </c>
      <c r="B2089" t="s">
        <v>299</v>
      </c>
      <c r="C2089" t="s">
        <v>2018</v>
      </c>
      <c r="D2089" t="s">
        <v>1959</v>
      </c>
      <c r="E2089" cm="1">
        <f t="array" ref="E2089">_xlfn.XLOOKUP(D2089,SKU_Master!A:A,SKU_Master!B:B,"Not on master")</f>
        <v>0</v>
      </c>
      <c r="F2089" cm="1">
        <f t="array" ref="F2089">_xlfn.XLOOKUP(C2089,Account_Master!A:A,Account_Master!B:B,"Not on master")</f>
        <v>0</v>
      </c>
      <c r="G2089" cm="1">
        <f t="array" ref="G2089">_xlfn.XLOOKUP(C2089,Account_Master!A:A,Account_Master!C:C,"Not on master")</f>
        <v>0</v>
      </c>
      <c r="H2089" s="6">
        <v>0.75</v>
      </c>
      <c r="I2089" s="6">
        <v>0.75</v>
      </c>
      <c r="J2089" s="6">
        <f>I2089-H2089</f>
        <v>0</v>
      </c>
      <c r="K2089" s="5">
        <f>IF(H2089=0,"",J2089/H2089)</f>
        <v>0</v>
      </c>
      <c r="L2089">
        <f>IF(OR(AND(H2089=0,ABS(J2089)&gt;=0.01),AND(H2089&lt;&gt;0,ABS(K2089)&gt;VarianceThreshold)),"Review","OK")</f>
        <v>0</v>
      </c>
      <c r="M2089" t="s">
        <v>33</v>
      </c>
    </row>
    <row r="2090" spans="1:13">
      <c r="A2090" t="s">
        <v>3</v>
      </c>
      <c r="B2090" t="s">
        <v>299</v>
      </c>
      <c r="C2090" t="s">
        <v>2033</v>
      </c>
      <c r="D2090" t="s">
        <v>1572</v>
      </c>
      <c r="E2090" cm="1">
        <f t="array" ref="E2090">_xlfn.XLOOKUP(D2090,SKU_Master!A:A,SKU_Master!B:B,"Not on master")</f>
        <v>0</v>
      </c>
      <c r="F2090" cm="1">
        <f t="array" ref="F2090">_xlfn.XLOOKUP(C2090,Account_Master!A:A,Account_Master!B:B,"Not on master")</f>
        <v>0</v>
      </c>
      <c r="G2090" cm="1">
        <f t="array" ref="G2090">_xlfn.XLOOKUP(C2090,Account_Master!A:A,Account_Master!C:C,"Not on master")</f>
        <v>0</v>
      </c>
      <c r="H2090" s="6">
        <v>106.5</v>
      </c>
      <c r="I2090" s="6">
        <v>106.5</v>
      </c>
      <c r="J2090" s="6">
        <f>I2090-H2090</f>
        <v>0</v>
      </c>
      <c r="K2090" s="5">
        <f>IF(H2090=0,"",J2090/H2090)</f>
        <v>0</v>
      </c>
      <c r="L2090">
        <f>IF(OR(AND(H2090=0,ABS(J2090)&gt;=0.01),AND(H2090&lt;&gt;0,ABS(K2090)&gt;VarianceThreshold)),"Review","OK")</f>
        <v>0</v>
      </c>
      <c r="M2090" t="s">
        <v>33</v>
      </c>
    </row>
    <row r="2091" spans="1:13">
      <c r="A2091" t="s">
        <v>3</v>
      </c>
      <c r="B2091" t="s">
        <v>306</v>
      </c>
      <c r="C2091" t="s">
        <v>2142</v>
      </c>
      <c r="D2091" t="s">
        <v>587</v>
      </c>
      <c r="E2091" cm="1">
        <f t="array" ref="E2091">_xlfn.XLOOKUP(D2091,SKU_Master!A:A,SKU_Master!B:B,"Not on master")</f>
        <v>0</v>
      </c>
      <c r="F2091" cm="1">
        <f t="array" ref="F2091">_xlfn.XLOOKUP(C2091,Account_Master!A:A,Account_Master!B:B,"Not on master")</f>
        <v>0</v>
      </c>
      <c r="G2091" cm="1">
        <f t="array" ref="G2091">_xlfn.XLOOKUP(C2091,Account_Master!A:A,Account_Master!C:C,"Not on master")</f>
        <v>0</v>
      </c>
      <c r="H2091" s="6">
        <v>77.23</v>
      </c>
      <c r="I2091" s="6">
        <v>77.23</v>
      </c>
      <c r="J2091" s="6">
        <f>I2091-H2091</f>
        <v>0</v>
      </c>
      <c r="K2091" s="5">
        <f>IF(H2091=0,"",J2091/H2091)</f>
        <v>0</v>
      </c>
      <c r="L2091">
        <f>IF(OR(AND(H2091=0,ABS(J2091)&gt;=0.01),AND(H2091&lt;&gt;0,ABS(K2091)&gt;VarianceThreshold)),"Review","OK")</f>
        <v>0</v>
      </c>
      <c r="M2091" t="s">
        <v>33</v>
      </c>
    </row>
    <row r="2092" spans="1:13">
      <c r="A2092" t="s">
        <v>3</v>
      </c>
      <c r="B2092" t="s">
        <v>306</v>
      </c>
      <c r="C2092" t="s">
        <v>2123</v>
      </c>
      <c r="D2092" t="s">
        <v>1073</v>
      </c>
      <c r="E2092" cm="1">
        <f t="array" ref="E2092">_xlfn.XLOOKUP(D2092,SKU_Master!A:A,SKU_Master!B:B,"Not on master")</f>
        <v>0</v>
      </c>
      <c r="F2092" cm="1">
        <f t="array" ref="F2092">_xlfn.XLOOKUP(C2092,Account_Master!A:A,Account_Master!B:B,"Not on master")</f>
        <v>0</v>
      </c>
      <c r="G2092" cm="1">
        <f t="array" ref="G2092">_xlfn.XLOOKUP(C2092,Account_Master!A:A,Account_Master!C:C,"Not on master")</f>
        <v>0</v>
      </c>
      <c r="H2092" s="6">
        <v>4</v>
      </c>
      <c r="I2092" s="6">
        <v>4</v>
      </c>
      <c r="J2092" s="6">
        <f>I2092-H2092</f>
        <v>0</v>
      </c>
      <c r="K2092" s="5">
        <f>IF(H2092=0,"",J2092/H2092)</f>
        <v>0</v>
      </c>
      <c r="L2092">
        <f>IF(OR(AND(H2092=0,ABS(J2092)&gt;=0.01),AND(H2092&lt;&gt;0,ABS(K2092)&gt;VarianceThreshold)),"Review","OK")</f>
        <v>0</v>
      </c>
      <c r="M2092" t="s">
        <v>33</v>
      </c>
    </row>
    <row r="2093" spans="1:13">
      <c r="A2093" t="s">
        <v>3</v>
      </c>
      <c r="B2093" t="s">
        <v>306</v>
      </c>
      <c r="C2093" t="s">
        <v>2033</v>
      </c>
      <c r="D2093" t="s">
        <v>1123</v>
      </c>
      <c r="E2093" cm="1">
        <f t="array" ref="E2093">_xlfn.XLOOKUP(D2093,SKU_Master!A:A,SKU_Master!B:B,"Not on master")</f>
        <v>0</v>
      </c>
      <c r="F2093" cm="1">
        <f t="array" ref="F2093">_xlfn.XLOOKUP(C2093,Account_Master!A:A,Account_Master!B:B,"Not on master")</f>
        <v>0</v>
      </c>
      <c r="G2093" cm="1">
        <f t="array" ref="G2093">_xlfn.XLOOKUP(C2093,Account_Master!A:A,Account_Master!C:C,"Not on master")</f>
        <v>0</v>
      </c>
      <c r="H2093" s="6">
        <v>0.8</v>
      </c>
      <c r="I2093" s="6">
        <v>0.8</v>
      </c>
      <c r="J2093" s="6">
        <f>I2093-H2093</f>
        <v>0</v>
      </c>
      <c r="K2093" s="5">
        <f>IF(H2093=0,"",J2093/H2093)</f>
        <v>0</v>
      </c>
      <c r="L2093">
        <f>IF(OR(AND(H2093=0,ABS(J2093)&gt;=0.01),AND(H2093&lt;&gt;0,ABS(K2093)&gt;VarianceThreshold)),"Review","OK")</f>
        <v>0</v>
      </c>
      <c r="M2093" t="s">
        <v>33</v>
      </c>
    </row>
    <row r="2094" spans="1:13">
      <c r="A2094" t="s">
        <v>3</v>
      </c>
      <c r="B2094" t="s">
        <v>306</v>
      </c>
      <c r="C2094" t="s">
        <v>2033</v>
      </c>
      <c r="D2094" t="s">
        <v>2143</v>
      </c>
      <c r="E2094" cm="1">
        <f t="array" ref="E2094">_xlfn.XLOOKUP(D2094,SKU_Master!A:A,SKU_Master!B:B,"Not on master")</f>
        <v>0</v>
      </c>
      <c r="F2094" cm="1">
        <f t="array" ref="F2094">_xlfn.XLOOKUP(C2094,Account_Master!A:A,Account_Master!B:B,"Not on master")</f>
        <v>0</v>
      </c>
      <c r="G2094" cm="1">
        <f t="array" ref="G2094">_xlfn.XLOOKUP(C2094,Account_Master!A:A,Account_Master!C:C,"Not on master")</f>
        <v>0</v>
      </c>
      <c r="H2094" s="6">
        <v>24</v>
      </c>
      <c r="I2094" s="6">
        <v>24</v>
      </c>
      <c r="J2094" s="6">
        <f>I2094-H2094</f>
        <v>0</v>
      </c>
      <c r="K2094" s="5">
        <f>IF(H2094=0,"",J2094/H2094)</f>
        <v>0</v>
      </c>
      <c r="L2094">
        <f>IF(OR(AND(H2094=0,ABS(J2094)&gt;=0.01),AND(H2094&lt;&gt;0,ABS(K2094)&gt;VarianceThreshold)),"Review","OK")</f>
        <v>0</v>
      </c>
      <c r="M2094" t="s">
        <v>33</v>
      </c>
    </row>
    <row r="2095" spans="1:13">
      <c r="A2095" t="s">
        <v>3</v>
      </c>
      <c r="B2095" t="s">
        <v>306</v>
      </c>
      <c r="C2095" t="s">
        <v>2130</v>
      </c>
      <c r="D2095" t="s">
        <v>2144</v>
      </c>
      <c r="E2095" cm="1">
        <f t="array" ref="E2095">_xlfn.XLOOKUP(D2095,SKU_Master!A:A,SKU_Master!B:B,"Not on master")</f>
        <v>0</v>
      </c>
      <c r="F2095" cm="1">
        <f t="array" ref="F2095">_xlfn.XLOOKUP(C2095,Account_Master!A:A,Account_Master!B:B,"Not on master")</f>
        <v>0</v>
      </c>
      <c r="G2095" cm="1">
        <f t="array" ref="G2095">_xlfn.XLOOKUP(C2095,Account_Master!A:A,Account_Master!C:C,"Not on master")</f>
        <v>0</v>
      </c>
      <c r="H2095" s="6">
        <v>1.8</v>
      </c>
      <c r="I2095" s="6">
        <v>1.8</v>
      </c>
      <c r="J2095" s="6">
        <f>I2095-H2095</f>
        <v>0</v>
      </c>
      <c r="K2095" s="5">
        <f>IF(H2095=0,"",J2095/H2095)</f>
        <v>0</v>
      </c>
      <c r="L2095">
        <f>IF(OR(AND(H2095=0,ABS(J2095)&gt;=0.01),AND(H2095&lt;&gt;0,ABS(K2095)&gt;VarianceThreshold)),"Review","OK")</f>
        <v>0</v>
      </c>
      <c r="M2095" t="s">
        <v>33</v>
      </c>
    </row>
    <row r="2096" spans="1:13">
      <c r="A2096" t="s">
        <v>3</v>
      </c>
      <c r="B2096" t="s">
        <v>306</v>
      </c>
      <c r="C2096" t="s">
        <v>2088</v>
      </c>
      <c r="D2096" t="s">
        <v>1000</v>
      </c>
      <c r="E2096" cm="1">
        <f t="array" ref="E2096">_xlfn.XLOOKUP(D2096,SKU_Master!A:A,SKU_Master!B:B,"Not on master")</f>
        <v>0</v>
      </c>
      <c r="F2096" cm="1">
        <f t="array" ref="F2096">_xlfn.XLOOKUP(C2096,Account_Master!A:A,Account_Master!B:B,"Not on master")</f>
        <v>0</v>
      </c>
      <c r="G2096" cm="1">
        <f t="array" ref="G2096">_xlfn.XLOOKUP(C2096,Account_Master!A:A,Account_Master!C:C,"Not on master")</f>
        <v>0</v>
      </c>
      <c r="H2096" s="6">
        <v>24</v>
      </c>
      <c r="I2096" s="6">
        <v>24</v>
      </c>
      <c r="J2096" s="6">
        <f>I2096-H2096</f>
        <v>0</v>
      </c>
      <c r="K2096" s="5">
        <f>IF(H2096=0,"",J2096/H2096)</f>
        <v>0</v>
      </c>
      <c r="L2096">
        <f>IF(OR(AND(H2096=0,ABS(J2096)&gt;=0.01),AND(H2096&lt;&gt;0,ABS(K2096)&gt;VarianceThreshold)),"Review","OK")</f>
        <v>0</v>
      </c>
      <c r="M2096" t="s">
        <v>33</v>
      </c>
    </row>
    <row r="2097" spans="1:13">
      <c r="A2097" t="s">
        <v>3</v>
      </c>
      <c r="B2097" t="s">
        <v>306</v>
      </c>
      <c r="C2097" t="s">
        <v>2029</v>
      </c>
      <c r="D2097" t="s">
        <v>271</v>
      </c>
      <c r="E2097" cm="1">
        <f t="array" ref="E2097">_xlfn.XLOOKUP(D2097,SKU_Master!A:A,SKU_Master!B:B,"Not on master")</f>
        <v>0</v>
      </c>
      <c r="F2097" cm="1">
        <f t="array" ref="F2097">_xlfn.XLOOKUP(C2097,Account_Master!A:A,Account_Master!B:B,"Not on master")</f>
        <v>0</v>
      </c>
      <c r="G2097" cm="1">
        <f t="array" ref="G2097">_xlfn.XLOOKUP(C2097,Account_Master!A:A,Account_Master!C:C,"Not on master")</f>
        <v>0</v>
      </c>
      <c r="H2097" s="6">
        <v>2</v>
      </c>
      <c r="I2097" s="6">
        <v>2</v>
      </c>
      <c r="J2097" s="6">
        <f>I2097-H2097</f>
        <v>0</v>
      </c>
      <c r="K2097" s="5">
        <f>IF(H2097=0,"",J2097/H2097)</f>
        <v>0</v>
      </c>
      <c r="L2097">
        <f>IF(OR(AND(H2097=0,ABS(J2097)&gt;=0.01),AND(H2097&lt;&gt;0,ABS(K2097)&gt;VarianceThreshold)),"Review","OK")</f>
        <v>0</v>
      </c>
      <c r="M2097" t="s">
        <v>33</v>
      </c>
    </row>
    <row r="2098" spans="1:13">
      <c r="A2098" t="s">
        <v>3</v>
      </c>
      <c r="B2098" t="s">
        <v>313</v>
      </c>
      <c r="C2098" t="s">
        <v>2145</v>
      </c>
      <c r="D2098" t="s">
        <v>2146</v>
      </c>
      <c r="E2098" cm="1">
        <f t="array" ref="E2098">_xlfn.XLOOKUP(D2098,SKU_Master!A:A,SKU_Master!B:B,"Not on master")</f>
        <v>0</v>
      </c>
      <c r="F2098" cm="1">
        <f t="array" ref="F2098">_xlfn.XLOOKUP(C2098,Account_Master!A:A,Account_Master!B:B,"Not on master")</f>
        <v>0</v>
      </c>
      <c r="G2098" cm="1">
        <f t="array" ref="G2098">_xlfn.XLOOKUP(C2098,Account_Master!A:A,Account_Master!C:C,"Not on master")</f>
        <v>0</v>
      </c>
      <c r="H2098" s="6">
        <v>0.1</v>
      </c>
      <c r="I2098" s="6">
        <v>0.1</v>
      </c>
      <c r="J2098" s="6">
        <f>I2098-H2098</f>
        <v>0</v>
      </c>
      <c r="K2098" s="5">
        <f>IF(H2098=0,"",J2098/H2098)</f>
        <v>0</v>
      </c>
      <c r="L2098">
        <f>IF(OR(AND(H2098=0,ABS(J2098)&gt;=0.01),AND(H2098&lt;&gt;0,ABS(K2098)&gt;VarianceThreshold)),"Review","OK")</f>
        <v>0</v>
      </c>
      <c r="M2098" t="s">
        <v>33</v>
      </c>
    </row>
    <row r="2099" spans="1:13">
      <c r="A2099" t="s">
        <v>3</v>
      </c>
      <c r="B2099" t="s">
        <v>313</v>
      </c>
      <c r="C2099" t="s">
        <v>2096</v>
      </c>
      <c r="D2099" t="s">
        <v>493</v>
      </c>
      <c r="E2099" cm="1">
        <f t="array" ref="E2099">_xlfn.XLOOKUP(D2099,SKU_Master!A:A,SKU_Master!B:B,"Not on master")</f>
        <v>0</v>
      </c>
      <c r="F2099" cm="1">
        <f t="array" ref="F2099">_xlfn.XLOOKUP(C2099,Account_Master!A:A,Account_Master!B:B,"Not on master")</f>
        <v>0</v>
      </c>
      <c r="G2099" cm="1">
        <f t="array" ref="G2099">_xlfn.XLOOKUP(C2099,Account_Master!A:A,Account_Master!C:C,"Not on master")</f>
        <v>0</v>
      </c>
      <c r="H2099" s="6">
        <v>4.87</v>
      </c>
      <c r="I2099" s="6">
        <v>4.87</v>
      </c>
      <c r="J2099" s="6">
        <f>I2099-H2099</f>
        <v>0</v>
      </c>
      <c r="K2099" s="5">
        <f>IF(H2099=0,"",J2099/H2099)</f>
        <v>0</v>
      </c>
      <c r="L2099">
        <f>IF(OR(AND(H2099=0,ABS(J2099)&gt;=0.01),AND(H2099&lt;&gt;0,ABS(K2099)&gt;VarianceThreshold)),"Review","OK")</f>
        <v>0</v>
      </c>
      <c r="M2099" t="s">
        <v>33</v>
      </c>
    </row>
    <row r="2100" spans="1:13">
      <c r="A2100" t="s">
        <v>3</v>
      </c>
      <c r="B2100" t="s">
        <v>313</v>
      </c>
      <c r="C2100" t="s">
        <v>2046</v>
      </c>
      <c r="D2100" t="s">
        <v>1084</v>
      </c>
      <c r="E2100" cm="1">
        <f t="array" ref="E2100">_xlfn.XLOOKUP(D2100,SKU_Master!A:A,SKU_Master!B:B,"Not on master")</f>
        <v>0</v>
      </c>
      <c r="F2100" cm="1">
        <f t="array" ref="F2100">_xlfn.XLOOKUP(C2100,Account_Master!A:A,Account_Master!B:B,"Not on master")</f>
        <v>0</v>
      </c>
      <c r="G2100" cm="1">
        <f t="array" ref="G2100">_xlfn.XLOOKUP(C2100,Account_Master!A:A,Account_Master!C:C,"Not on master")</f>
        <v>0</v>
      </c>
      <c r="H2100" s="6">
        <v>63</v>
      </c>
      <c r="I2100" s="6">
        <v>63</v>
      </c>
      <c r="J2100" s="6">
        <f>I2100-H2100</f>
        <v>0</v>
      </c>
      <c r="K2100" s="5">
        <f>IF(H2100=0,"",J2100/H2100)</f>
        <v>0</v>
      </c>
      <c r="L2100">
        <f>IF(OR(AND(H2100=0,ABS(J2100)&gt;=0.01),AND(H2100&lt;&gt;0,ABS(K2100)&gt;VarianceThreshold)),"Review","OK")</f>
        <v>0</v>
      </c>
      <c r="M2100" t="s">
        <v>33</v>
      </c>
    </row>
    <row r="2101" spans="1:13">
      <c r="A2101" t="s">
        <v>3</v>
      </c>
      <c r="B2101" t="s">
        <v>313</v>
      </c>
      <c r="C2101" t="s">
        <v>2019</v>
      </c>
      <c r="D2101" t="s">
        <v>1441</v>
      </c>
      <c r="E2101" cm="1">
        <f t="array" ref="E2101">_xlfn.XLOOKUP(D2101,SKU_Master!A:A,SKU_Master!B:B,"Not on master")</f>
        <v>0</v>
      </c>
      <c r="F2101" cm="1">
        <f t="array" ref="F2101">_xlfn.XLOOKUP(C2101,Account_Master!A:A,Account_Master!B:B,"Not on master")</f>
        <v>0</v>
      </c>
      <c r="G2101" cm="1">
        <f t="array" ref="G2101">_xlfn.XLOOKUP(C2101,Account_Master!A:A,Account_Master!C:C,"Not on master")</f>
        <v>0</v>
      </c>
      <c r="H2101" s="6">
        <v>9</v>
      </c>
      <c r="I2101" s="6">
        <v>9</v>
      </c>
      <c r="J2101" s="6">
        <f>I2101-H2101</f>
        <v>0</v>
      </c>
      <c r="K2101" s="5">
        <f>IF(H2101=0,"",J2101/H2101)</f>
        <v>0</v>
      </c>
      <c r="L2101">
        <f>IF(OR(AND(H2101=0,ABS(J2101)&gt;=0.01),AND(H2101&lt;&gt;0,ABS(K2101)&gt;VarianceThreshold)),"Review","OK")</f>
        <v>0</v>
      </c>
      <c r="M2101" t="s">
        <v>33</v>
      </c>
    </row>
    <row r="2102" spans="1:13">
      <c r="A2102" t="s">
        <v>3</v>
      </c>
      <c r="B2102" t="s">
        <v>313</v>
      </c>
      <c r="C2102" t="s">
        <v>2033</v>
      </c>
      <c r="D2102" t="s">
        <v>1947</v>
      </c>
      <c r="E2102" cm="1">
        <f t="array" ref="E2102">_xlfn.XLOOKUP(D2102,SKU_Master!A:A,SKU_Master!B:B,"Not on master")</f>
        <v>0</v>
      </c>
      <c r="F2102" cm="1">
        <f t="array" ref="F2102">_xlfn.XLOOKUP(C2102,Account_Master!A:A,Account_Master!B:B,"Not on master")</f>
        <v>0</v>
      </c>
      <c r="G2102" cm="1">
        <f t="array" ref="G2102">_xlfn.XLOOKUP(C2102,Account_Master!A:A,Account_Master!C:C,"Not on master")</f>
        <v>0</v>
      </c>
      <c r="H2102" s="6">
        <v>0.8</v>
      </c>
      <c r="I2102" s="6">
        <v>0.8</v>
      </c>
      <c r="J2102" s="6">
        <f>I2102-H2102</f>
        <v>0</v>
      </c>
      <c r="K2102" s="5">
        <f>IF(H2102=0,"",J2102/H2102)</f>
        <v>0</v>
      </c>
      <c r="L2102">
        <f>IF(OR(AND(H2102=0,ABS(J2102)&gt;=0.01),AND(H2102&lt;&gt;0,ABS(K2102)&gt;VarianceThreshold)),"Review","OK")</f>
        <v>0</v>
      </c>
      <c r="M2102" t="s">
        <v>33</v>
      </c>
    </row>
    <row r="2103" spans="1:13">
      <c r="A2103" t="s">
        <v>3</v>
      </c>
      <c r="B2103" t="s">
        <v>313</v>
      </c>
      <c r="C2103" t="s">
        <v>2082</v>
      </c>
      <c r="D2103" t="s">
        <v>2147</v>
      </c>
      <c r="E2103" cm="1">
        <f t="array" ref="E2103">_xlfn.XLOOKUP(D2103,SKU_Master!A:A,SKU_Master!B:B,"Not on master")</f>
        <v>0</v>
      </c>
      <c r="F2103" cm="1">
        <f t="array" ref="F2103">_xlfn.XLOOKUP(C2103,Account_Master!A:A,Account_Master!B:B,"Not on master")</f>
        <v>0</v>
      </c>
      <c r="G2103" cm="1">
        <f t="array" ref="G2103">_xlfn.XLOOKUP(C2103,Account_Master!A:A,Account_Master!C:C,"Not on master")</f>
        <v>0</v>
      </c>
      <c r="H2103" s="6">
        <v>12</v>
      </c>
      <c r="I2103" s="6">
        <v>12</v>
      </c>
      <c r="J2103" s="6">
        <f>I2103-H2103</f>
        <v>0</v>
      </c>
      <c r="K2103" s="5">
        <f>IF(H2103=0,"",J2103/H2103)</f>
        <v>0</v>
      </c>
      <c r="L2103">
        <f>IF(OR(AND(H2103=0,ABS(J2103)&gt;=0.01),AND(H2103&lt;&gt;0,ABS(K2103)&gt;VarianceThreshold)),"Review","OK")</f>
        <v>0</v>
      </c>
      <c r="M2103" t="s">
        <v>33</v>
      </c>
    </row>
    <row r="2104" spans="1:13">
      <c r="A2104" t="s">
        <v>3</v>
      </c>
      <c r="B2104" t="s">
        <v>313</v>
      </c>
      <c r="C2104" t="s">
        <v>2148</v>
      </c>
      <c r="D2104" t="s">
        <v>599</v>
      </c>
      <c r="E2104" cm="1">
        <f t="array" ref="E2104">_xlfn.XLOOKUP(D2104,SKU_Master!A:A,SKU_Master!B:B,"Not on master")</f>
        <v>0</v>
      </c>
      <c r="F2104" cm="1">
        <f t="array" ref="F2104">_xlfn.XLOOKUP(C2104,Account_Master!A:A,Account_Master!B:B,"Not on master")</f>
        <v>0</v>
      </c>
      <c r="G2104" cm="1">
        <f t="array" ref="G2104">_xlfn.XLOOKUP(C2104,Account_Master!A:A,Account_Master!C:C,"Not on master")</f>
        <v>0</v>
      </c>
      <c r="H2104" s="6">
        <v>2.55</v>
      </c>
      <c r="I2104" s="6">
        <v>2.55</v>
      </c>
      <c r="J2104" s="6">
        <f>I2104-H2104</f>
        <v>0</v>
      </c>
      <c r="K2104" s="5">
        <f>IF(H2104=0,"",J2104/H2104)</f>
        <v>0</v>
      </c>
      <c r="L2104">
        <f>IF(OR(AND(H2104=0,ABS(J2104)&gt;=0.01),AND(H2104&lt;&gt;0,ABS(K2104)&gt;VarianceThreshold)),"Review","OK")</f>
        <v>0</v>
      </c>
      <c r="M2104" t="s">
        <v>33</v>
      </c>
    </row>
    <row r="2105" spans="1:13">
      <c r="A2105" t="s">
        <v>3</v>
      </c>
      <c r="B2105" t="s">
        <v>313</v>
      </c>
      <c r="C2105" t="s">
        <v>2033</v>
      </c>
      <c r="D2105" t="s">
        <v>1110</v>
      </c>
      <c r="E2105" cm="1">
        <f t="array" ref="E2105">_xlfn.XLOOKUP(D2105,SKU_Master!A:A,SKU_Master!B:B,"Not on master")</f>
        <v>0</v>
      </c>
      <c r="F2105" cm="1">
        <f t="array" ref="F2105">_xlfn.XLOOKUP(C2105,Account_Master!A:A,Account_Master!B:B,"Not on master")</f>
        <v>0</v>
      </c>
      <c r="G2105" cm="1">
        <f t="array" ref="G2105">_xlfn.XLOOKUP(C2105,Account_Master!A:A,Account_Master!C:C,"Not on master")</f>
        <v>0</v>
      </c>
      <c r="H2105" s="6">
        <v>255.5</v>
      </c>
      <c r="I2105" s="6">
        <v>255.5</v>
      </c>
      <c r="J2105" s="6">
        <f>I2105-H2105</f>
        <v>0</v>
      </c>
      <c r="K2105" s="5">
        <f>IF(H2105=0,"",J2105/H2105)</f>
        <v>0</v>
      </c>
      <c r="L2105">
        <f>IF(OR(AND(H2105=0,ABS(J2105)&gt;=0.01),AND(H2105&lt;&gt;0,ABS(K2105)&gt;VarianceThreshold)),"Review","OK")</f>
        <v>0</v>
      </c>
      <c r="M2105" t="s">
        <v>33</v>
      </c>
    </row>
    <row r="2106" spans="1:13">
      <c r="A2106" t="s">
        <v>3</v>
      </c>
      <c r="B2106" t="s">
        <v>313</v>
      </c>
      <c r="C2106" t="s">
        <v>2149</v>
      </c>
      <c r="D2106" t="s">
        <v>901</v>
      </c>
      <c r="E2106" cm="1">
        <f t="array" ref="E2106">_xlfn.XLOOKUP(D2106,SKU_Master!A:A,SKU_Master!B:B,"Not on master")</f>
        <v>0</v>
      </c>
      <c r="F2106" cm="1">
        <f t="array" ref="F2106">_xlfn.XLOOKUP(C2106,Account_Master!A:A,Account_Master!B:B,"Not on master")</f>
        <v>0</v>
      </c>
      <c r="G2106" cm="1">
        <f t="array" ref="G2106">_xlfn.XLOOKUP(C2106,Account_Master!A:A,Account_Master!C:C,"Not on master")</f>
        <v>0</v>
      </c>
      <c r="H2106" s="6">
        <v>27</v>
      </c>
      <c r="I2106" s="6">
        <v>27</v>
      </c>
      <c r="J2106" s="6">
        <f>I2106-H2106</f>
        <v>0</v>
      </c>
      <c r="K2106" s="5">
        <f>IF(H2106=0,"",J2106/H2106)</f>
        <v>0</v>
      </c>
      <c r="L2106">
        <f>IF(OR(AND(H2106=0,ABS(J2106)&gt;=0.01),AND(H2106&lt;&gt;0,ABS(K2106)&gt;VarianceThreshold)),"Review","OK")</f>
        <v>0</v>
      </c>
      <c r="M2106" t="s">
        <v>33</v>
      </c>
    </row>
    <row r="2107" spans="1:13">
      <c r="A2107" t="s">
        <v>3</v>
      </c>
      <c r="B2107" t="s">
        <v>313</v>
      </c>
      <c r="C2107" t="s">
        <v>2130</v>
      </c>
      <c r="D2107" t="s">
        <v>2150</v>
      </c>
      <c r="E2107" cm="1">
        <f t="array" ref="E2107">_xlfn.XLOOKUP(D2107,SKU_Master!A:A,SKU_Master!B:B,"Not on master")</f>
        <v>0</v>
      </c>
      <c r="F2107" cm="1">
        <f t="array" ref="F2107">_xlfn.XLOOKUP(C2107,Account_Master!A:A,Account_Master!B:B,"Not on master")</f>
        <v>0</v>
      </c>
      <c r="G2107" cm="1">
        <f t="array" ref="G2107">_xlfn.XLOOKUP(C2107,Account_Master!A:A,Account_Master!C:C,"Not on master")</f>
        <v>0</v>
      </c>
      <c r="H2107" s="6">
        <v>27.74</v>
      </c>
      <c r="I2107" s="6">
        <v>27.74</v>
      </c>
      <c r="J2107" s="6">
        <f>I2107-H2107</f>
        <v>0</v>
      </c>
      <c r="K2107" s="5">
        <f>IF(H2107=0,"",J2107/H2107)</f>
        <v>0</v>
      </c>
      <c r="L2107">
        <f>IF(OR(AND(H2107=0,ABS(J2107)&gt;=0.01),AND(H2107&lt;&gt;0,ABS(K2107)&gt;VarianceThreshold)),"Review","OK")</f>
        <v>0</v>
      </c>
      <c r="M2107" t="s">
        <v>33</v>
      </c>
    </row>
    <row r="2108" spans="1:13">
      <c r="A2108" t="s">
        <v>3</v>
      </c>
      <c r="B2108" t="s">
        <v>324</v>
      </c>
      <c r="C2108" t="s">
        <v>2033</v>
      </c>
      <c r="D2108" t="s">
        <v>2151</v>
      </c>
      <c r="E2108" cm="1">
        <f t="array" ref="E2108">_xlfn.XLOOKUP(D2108,SKU_Master!A:A,SKU_Master!B:B,"Not on master")</f>
        <v>0</v>
      </c>
      <c r="F2108" cm="1">
        <f t="array" ref="F2108">_xlfn.XLOOKUP(C2108,Account_Master!A:A,Account_Master!B:B,"Not on master")</f>
        <v>0</v>
      </c>
      <c r="G2108" cm="1">
        <f t="array" ref="G2108">_xlfn.XLOOKUP(C2108,Account_Master!A:A,Account_Master!C:C,"Not on master")</f>
        <v>0</v>
      </c>
      <c r="H2108" s="6">
        <v>10.5</v>
      </c>
      <c r="I2108" s="6">
        <v>10.5</v>
      </c>
      <c r="J2108" s="6">
        <f>I2108-H2108</f>
        <v>0</v>
      </c>
      <c r="K2108" s="5">
        <f>IF(H2108=0,"",J2108/H2108)</f>
        <v>0</v>
      </c>
      <c r="L2108">
        <f>IF(OR(AND(H2108=0,ABS(J2108)&gt;=0.01),AND(H2108&lt;&gt;0,ABS(K2108)&gt;VarianceThreshold)),"Review","OK")</f>
        <v>0</v>
      </c>
      <c r="M2108" t="s">
        <v>33</v>
      </c>
    </row>
    <row r="2109" spans="1:13">
      <c r="A2109" t="s">
        <v>3</v>
      </c>
      <c r="B2109" t="s">
        <v>324</v>
      </c>
      <c r="C2109" t="s">
        <v>2033</v>
      </c>
      <c r="D2109" t="s">
        <v>321</v>
      </c>
      <c r="E2109" cm="1">
        <f t="array" ref="E2109">_xlfn.XLOOKUP(D2109,SKU_Master!A:A,SKU_Master!B:B,"Not on master")</f>
        <v>0</v>
      </c>
      <c r="F2109" cm="1">
        <f t="array" ref="F2109">_xlfn.XLOOKUP(C2109,Account_Master!A:A,Account_Master!B:B,"Not on master")</f>
        <v>0</v>
      </c>
      <c r="G2109" cm="1">
        <f t="array" ref="G2109">_xlfn.XLOOKUP(C2109,Account_Master!A:A,Account_Master!C:C,"Not on master")</f>
        <v>0</v>
      </c>
      <c r="H2109" s="6">
        <v>12</v>
      </c>
      <c r="I2109" s="6">
        <v>12</v>
      </c>
      <c r="J2109" s="6">
        <f>I2109-H2109</f>
        <v>0</v>
      </c>
      <c r="K2109" s="5">
        <f>IF(H2109=0,"",J2109/H2109)</f>
        <v>0</v>
      </c>
      <c r="L2109">
        <f>IF(OR(AND(H2109=0,ABS(J2109)&gt;=0.01),AND(H2109&lt;&gt;0,ABS(K2109)&gt;VarianceThreshold)),"Review","OK")</f>
        <v>0</v>
      </c>
      <c r="M2109" t="s">
        <v>33</v>
      </c>
    </row>
    <row r="2110" spans="1:13">
      <c r="A2110" t="s">
        <v>3</v>
      </c>
      <c r="B2110" t="s">
        <v>324</v>
      </c>
      <c r="C2110" t="s">
        <v>2152</v>
      </c>
      <c r="D2110" t="s">
        <v>857</v>
      </c>
      <c r="E2110" cm="1">
        <f t="array" ref="E2110">_xlfn.XLOOKUP(D2110,SKU_Master!A:A,SKU_Master!B:B,"Not on master")</f>
        <v>0</v>
      </c>
      <c r="F2110" cm="1">
        <f t="array" ref="F2110">_xlfn.XLOOKUP(C2110,Account_Master!A:A,Account_Master!B:B,"Not on master")</f>
        <v>0</v>
      </c>
      <c r="G2110" cm="1">
        <f t="array" ref="G2110">_xlfn.XLOOKUP(C2110,Account_Master!A:A,Account_Master!C:C,"Not on master")</f>
        <v>0</v>
      </c>
      <c r="H2110" s="6">
        <v>0.05</v>
      </c>
      <c r="I2110" s="6">
        <v>0.05</v>
      </c>
      <c r="J2110" s="6">
        <f>I2110-H2110</f>
        <v>0</v>
      </c>
      <c r="K2110" s="5">
        <f>IF(H2110=0,"",J2110/H2110)</f>
        <v>0</v>
      </c>
      <c r="L2110">
        <f>IF(OR(AND(H2110=0,ABS(J2110)&gt;=0.01),AND(H2110&lt;&gt;0,ABS(K2110)&gt;VarianceThreshold)),"Review","OK")</f>
        <v>0</v>
      </c>
      <c r="M2110" t="s">
        <v>33</v>
      </c>
    </row>
    <row r="2111" spans="1:13">
      <c r="A2111" t="s">
        <v>3</v>
      </c>
      <c r="B2111" t="s">
        <v>324</v>
      </c>
      <c r="C2111" t="s">
        <v>2153</v>
      </c>
      <c r="D2111" t="s">
        <v>2154</v>
      </c>
      <c r="E2111" cm="1">
        <f t="array" ref="E2111">_xlfn.XLOOKUP(D2111,SKU_Master!A:A,SKU_Master!B:B,"Not on master")</f>
        <v>0</v>
      </c>
      <c r="F2111" cm="1">
        <f t="array" ref="F2111">_xlfn.XLOOKUP(C2111,Account_Master!A:A,Account_Master!B:B,"Not on master")</f>
        <v>0</v>
      </c>
      <c r="G2111" cm="1">
        <f t="array" ref="G2111">_xlfn.XLOOKUP(C2111,Account_Master!A:A,Account_Master!C:C,"Not on master")</f>
        <v>0</v>
      </c>
      <c r="H2111" s="6">
        <v>6</v>
      </c>
      <c r="I2111" s="6">
        <v>6</v>
      </c>
      <c r="J2111" s="6">
        <f>I2111-H2111</f>
        <v>0</v>
      </c>
      <c r="K2111" s="5">
        <f>IF(H2111=0,"",J2111/H2111)</f>
        <v>0</v>
      </c>
      <c r="L2111">
        <f>IF(OR(AND(H2111=0,ABS(J2111)&gt;=0.01),AND(H2111&lt;&gt;0,ABS(K2111)&gt;VarianceThreshold)),"Review","OK")</f>
        <v>0</v>
      </c>
      <c r="M2111" t="s">
        <v>33</v>
      </c>
    </row>
    <row r="2112" spans="1:13">
      <c r="A2112" t="s">
        <v>3</v>
      </c>
      <c r="B2112" t="s">
        <v>331</v>
      </c>
      <c r="C2112" t="s">
        <v>2075</v>
      </c>
      <c r="D2112" t="s">
        <v>1198</v>
      </c>
      <c r="E2112" cm="1">
        <f t="array" ref="E2112">_xlfn.XLOOKUP(D2112,SKU_Master!A:A,SKU_Master!B:B,"Not on master")</f>
        <v>0</v>
      </c>
      <c r="F2112" cm="1">
        <f t="array" ref="F2112">_xlfn.XLOOKUP(C2112,Account_Master!A:A,Account_Master!B:B,"Not on master")</f>
        <v>0</v>
      </c>
      <c r="G2112" cm="1">
        <f t="array" ref="G2112">_xlfn.XLOOKUP(C2112,Account_Master!A:A,Account_Master!C:C,"Not on master")</f>
        <v>0</v>
      </c>
      <c r="H2112" s="6">
        <v>48</v>
      </c>
      <c r="I2112" s="6">
        <v>48</v>
      </c>
      <c r="J2112" s="6">
        <f>I2112-H2112</f>
        <v>0</v>
      </c>
      <c r="K2112" s="5">
        <f>IF(H2112=0,"",J2112/H2112)</f>
        <v>0</v>
      </c>
      <c r="L2112">
        <f>IF(OR(AND(H2112=0,ABS(J2112)&gt;=0.01),AND(H2112&lt;&gt;0,ABS(K2112)&gt;VarianceThreshold)),"Review","OK")</f>
        <v>0</v>
      </c>
      <c r="M2112" t="s">
        <v>33</v>
      </c>
    </row>
    <row r="2113" spans="1:13">
      <c r="A2113" t="s">
        <v>3</v>
      </c>
      <c r="B2113" t="s">
        <v>335</v>
      </c>
      <c r="C2113" t="s">
        <v>2155</v>
      </c>
      <c r="D2113" t="s">
        <v>2156</v>
      </c>
      <c r="E2113" cm="1">
        <f t="array" ref="E2113">_xlfn.XLOOKUP(D2113,SKU_Master!A:A,SKU_Master!B:B,"Not on master")</f>
        <v>0</v>
      </c>
      <c r="F2113" cm="1">
        <f t="array" ref="F2113">_xlfn.XLOOKUP(C2113,Account_Master!A:A,Account_Master!B:B,"Not on master")</f>
        <v>0</v>
      </c>
      <c r="G2113" cm="1">
        <f t="array" ref="G2113">_xlfn.XLOOKUP(C2113,Account_Master!A:A,Account_Master!C:C,"Not on master")</f>
        <v>0</v>
      </c>
      <c r="H2113" s="6">
        <v>1.5</v>
      </c>
      <c r="I2113" s="6">
        <v>1.5</v>
      </c>
      <c r="J2113" s="6">
        <f>I2113-H2113</f>
        <v>0</v>
      </c>
      <c r="K2113" s="5">
        <f>IF(H2113=0,"",J2113/H2113)</f>
        <v>0</v>
      </c>
      <c r="L2113">
        <f>IF(OR(AND(H2113=0,ABS(J2113)&gt;=0.01),AND(H2113&lt;&gt;0,ABS(K2113)&gt;VarianceThreshold)),"Review","OK")</f>
        <v>0</v>
      </c>
      <c r="M2113" t="s">
        <v>33</v>
      </c>
    </row>
    <row r="2114" spans="1:13">
      <c r="A2114" t="s">
        <v>3</v>
      </c>
      <c r="B2114" t="s">
        <v>335</v>
      </c>
      <c r="C2114" t="s">
        <v>2022</v>
      </c>
      <c r="D2114" t="s">
        <v>1932</v>
      </c>
      <c r="E2114" cm="1">
        <f t="array" ref="E2114">_xlfn.XLOOKUP(D2114,SKU_Master!A:A,SKU_Master!B:B,"Not on master")</f>
        <v>0</v>
      </c>
      <c r="F2114" cm="1">
        <f t="array" ref="F2114">_xlfn.XLOOKUP(C2114,Account_Master!A:A,Account_Master!B:B,"Not on master")</f>
        <v>0</v>
      </c>
      <c r="G2114" cm="1">
        <f t="array" ref="G2114">_xlfn.XLOOKUP(C2114,Account_Master!A:A,Account_Master!C:C,"Not on master")</f>
        <v>0</v>
      </c>
      <c r="H2114" s="6">
        <v>0.1</v>
      </c>
      <c r="I2114" s="6">
        <v>0.1</v>
      </c>
      <c r="J2114" s="6">
        <f>I2114-H2114</f>
        <v>0</v>
      </c>
      <c r="K2114" s="5">
        <f>IF(H2114=0,"",J2114/H2114)</f>
        <v>0</v>
      </c>
      <c r="L2114">
        <f>IF(OR(AND(H2114=0,ABS(J2114)&gt;=0.01),AND(H2114&lt;&gt;0,ABS(K2114)&gt;VarianceThreshold)),"Review","OK")</f>
        <v>0</v>
      </c>
      <c r="M2114" t="s">
        <v>33</v>
      </c>
    </row>
    <row r="2115" spans="1:13">
      <c r="A2115" t="s">
        <v>3</v>
      </c>
      <c r="B2115" t="s">
        <v>345</v>
      </c>
      <c r="C2115" t="s">
        <v>2155</v>
      </c>
      <c r="D2115" t="s">
        <v>2157</v>
      </c>
      <c r="E2115" cm="1">
        <f t="array" ref="E2115">_xlfn.XLOOKUP(D2115,SKU_Master!A:A,SKU_Master!B:B,"Not on master")</f>
        <v>0</v>
      </c>
      <c r="F2115" cm="1">
        <f t="array" ref="F2115">_xlfn.XLOOKUP(C2115,Account_Master!A:A,Account_Master!B:B,"Not on master")</f>
        <v>0</v>
      </c>
      <c r="G2115" cm="1">
        <f t="array" ref="G2115">_xlfn.XLOOKUP(C2115,Account_Master!A:A,Account_Master!C:C,"Not on master")</f>
        <v>0</v>
      </c>
      <c r="H2115" s="6">
        <v>21.75</v>
      </c>
      <c r="I2115" s="6">
        <v>21.75</v>
      </c>
      <c r="J2115" s="6">
        <f>I2115-H2115</f>
        <v>0</v>
      </c>
      <c r="K2115" s="5">
        <f>IF(H2115=0,"",J2115/H2115)</f>
        <v>0</v>
      </c>
      <c r="L2115">
        <f>IF(OR(AND(H2115=0,ABS(J2115)&gt;=0.01),AND(H2115&lt;&gt;0,ABS(K2115)&gt;VarianceThreshold)),"Review","OK")</f>
        <v>0</v>
      </c>
      <c r="M2115" t="s">
        <v>33</v>
      </c>
    </row>
    <row r="2116" spans="1:13">
      <c r="A2116" t="s">
        <v>3</v>
      </c>
      <c r="B2116" t="s">
        <v>345</v>
      </c>
      <c r="C2116" t="s">
        <v>2158</v>
      </c>
      <c r="D2116" t="s">
        <v>2159</v>
      </c>
      <c r="E2116" cm="1">
        <f t="array" ref="E2116">_xlfn.XLOOKUP(D2116,SKU_Master!A:A,SKU_Master!B:B,"Not on master")</f>
        <v>0</v>
      </c>
      <c r="F2116" cm="1">
        <f t="array" ref="F2116">_xlfn.XLOOKUP(C2116,Account_Master!A:A,Account_Master!B:B,"Not on master")</f>
        <v>0</v>
      </c>
      <c r="G2116" cm="1">
        <f t="array" ref="G2116">_xlfn.XLOOKUP(C2116,Account_Master!A:A,Account_Master!C:C,"Not on master")</f>
        <v>0</v>
      </c>
      <c r="H2116" s="6">
        <v>1.1</v>
      </c>
      <c r="I2116" s="6">
        <v>1.1</v>
      </c>
      <c r="J2116" s="6">
        <f>I2116-H2116</f>
        <v>0</v>
      </c>
      <c r="K2116" s="5">
        <f>IF(H2116=0,"",J2116/H2116)</f>
        <v>0</v>
      </c>
      <c r="L2116">
        <f>IF(OR(AND(H2116=0,ABS(J2116)&gt;=0.01),AND(H2116&lt;&gt;0,ABS(K2116)&gt;VarianceThreshold)),"Review","OK")</f>
        <v>0</v>
      </c>
      <c r="M2116" t="s">
        <v>33</v>
      </c>
    </row>
    <row r="2117" spans="1:13">
      <c r="A2117" t="s">
        <v>3</v>
      </c>
      <c r="B2117" t="s">
        <v>345</v>
      </c>
      <c r="C2117" t="s">
        <v>2082</v>
      </c>
      <c r="D2117" t="s">
        <v>2160</v>
      </c>
      <c r="E2117" cm="1">
        <f t="array" ref="E2117">_xlfn.XLOOKUP(D2117,SKU_Master!A:A,SKU_Master!B:B,"Not on master")</f>
        <v>0</v>
      </c>
      <c r="F2117" cm="1">
        <f t="array" ref="F2117">_xlfn.XLOOKUP(C2117,Account_Master!A:A,Account_Master!B:B,"Not on master")</f>
        <v>0</v>
      </c>
      <c r="G2117" cm="1">
        <f t="array" ref="G2117">_xlfn.XLOOKUP(C2117,Account_Master!A:A,Account_Master!C:C,"Not on master")</f>
        <v>0</v>
      </c>
      <c r="H2117" s="6">
        <v>2</v>
      </c>
      <c r="I2117" s="6">
        <v>2</v>
      </c>
      <c r="J2117" s="6">
        <f>I2117-H2117</f>
        <v>0</v>
      </c>
      <c r="K2117" s="5">
        <f>IF(H2117=0,"",J2117/H2117)</f>
        <v>0</v>
      </c>
      <c r="L2117">
        <f>IF(OR(AND(H2117=0,ABS(J2117)&gt;=0.01),AND(H2117&lt;&gt;0,ABS(K2117)&gt;VarianceThreshold)),"Review","OK")</f>
        <v>0</v>
      </c>
      <c r="M2117" t="s">
        <v>33</v>
      </c>
    </row>
    <row r="2118" spans="1:13">
      <c r="A2118" t="s">
        <v>3</v>
      </c>
      <c r="B2118" t="s">
        <v>345</v>
      </c>
      <c r="C2118" t="s">
        <v>2022</v>
      </c>
      <c r="D2118" t="s">
        <v>2161</v>
      </c>
      <c r="E2118" cm="1">
        <f t="array" ref="E2118">_xlfn.XLOOKUP(D2118,SKU_Master!A:A,SKU_Master!B:B,"Not on master")</f>
        <v>0</v>
      </c>
      <c r="F2118" cm="1">
        <f t="array" ref="F2118">_xlfn.XLOOKUP(C2118,Account_Master!A:A,Account_Master!B:B,"Not on master")</f>
        <v>0</v>
      </c>
      <c r="G2118" cm="1">
        <f t="array" ref="G2118">_xlfn.XLOOKUP(C2118,Account_Master!A:A,Account_Master!C:C,"Not on master")</f>
        <v>0</v>
      </c>
      <c r="H2118" s="6">
        <v>27</v>
      </c>
      <c r="I2118" s="6">
        <v>27</v>
      </c>
      <c r="J2118" s="6">
        <f>I2118-H2118</f>
        <v>0</v>
      </c>
      <c r="K2118" s="5">
        <f>IF(H2118=0,"",J2118/H2118)</f>
        <v>0</v>
      </c>
      <c r="L2118">
        <f>IF(OR(AND(H2118=0,ABS(J2118)&gt;=0.01),AND(H2118&lt;&gt;0,ABS(K2118)&gt;VarianceThreshold)),"Review","OK")</f>
        <v>0</v>
      </c>
      <c r="M2118" t="s">
        <v>33</v>
      </c>
    </row>
    <row r="2119" spans="1:13">
      <c r="A2119" t="s">
        <v>3</v>
      </c>
      <c r="B2119" t="s">
        <v>345</v>
      </c>
      <c r="C2119" t="s">
        <v>2162</v>
      </c>
      <c r="D2119" t="s">
        <v>1997</v>
      </c>
      <c r="E2119" cm="1">
        <f t="array" ref="E2119">_xlfn.XLOOKUP(D2119,SKU_Master!A:A,SKU_Master!B:B,"Not on master")</f>
        <v>0</v>
      </c>
      <c r="F2119" cm="1">
        <f t="array" ref="F2119">_xlfn.XLOOKUP(C2119,Account_Master!A:A,Account_Master!B:B,"Not on master")</f>
        <v>0</v>
      </c>
      <c r="G2119" cm="1">
        <f t="array" ref="G2119">_xlfn.XLOOKUP(C2119,Account_Master!A:A,Account_Master!C:C,"Not on master")</f>
        <v>0</v>
      </c>
      <c r="H2119" s="6">
        <v>14.4</v>
      </c>
      <c r="I2119" s="6">
        <v>14.4</v>
      </c>
      <c r="J2119" s="6">
        <f>I2119-H2119</f>
        <v>0</v>
      </c>
      <c r="K2119" s="5">
        <f>IF(H2119=0,"",J2119/H2119)</f>
        <v>0</v>
      </c>
      <c r="L2119">
        <f>IF(OR(AND(H2119=0,ABS(J2119)&gt;=0.01),AND(H2119&lt;&gt;0,ABS(K2119)&gt;VarianceThreshold)),"Review","OK")</f>
        <v>0</v>
      </c>
      <c r="M2119" t="s">
        <v>33</v>
      </c>
    </row>
    <row r="2120" spans="1:13">
      <c r="A2120" t="s">
        <v>3</v>
      </c>
      <c r="B2120" t="s">
        <v>345</v>
      </c>
      <c r="C2120" t="s">
        <v>2163</v>
      </c>
      <c r="D2120" t="s">
        <v>990</v>
      </c>
      <c r="E2120" cm="1">
        <f t="array" ref="E2120">_xlfn.XLOOKUP(D2120,SKU_Master!A:A,SKU_Master!B:B,"Not on master")</f>
        <v>0</v>
      </c>
      <c r="F2120" cm="1">
        <f t="array" ref="F2120">_xlfn.XLOOKUP(C2120,Account_Master!A:A,Account_Master!B:B,"Not on master")</f>
        <v>0</v>
      </c>
      <c r="G2120" cm="1">
        <f t="array" ref="G2120">_xlfn.XLOOKUP(C2120,Account_Master!A:A,Account_Master!C:C,"Not on master")</f>
        <v>0</v>
      </c>
      <c r="H2120" s="6">
        <v>27.75</v>
      </c>
      <c r="I2120" s="6">
        <v>27.75</v>
      </c>
      <c r="J2120" s="6">
        <f>I2120-H2120</f>
        <v>0</v>
      </c>
      <c r="K2120" s="5">
        <f>IF(H2120=0,"",J2120/H2120)</f>
        <v>0</v>
      </c>
      <c r="L2120">
        <f>IF(OR(AND(H2120=0,ABS(J2120)&gt;=0.01),AND(H2120&lt;&gt;0,ABS(K2120)&gt;VarianceThreshold)),"Review","OK")</f>
        <v>0</v>
      </c>
      <c r="M2120" t="s">
        <v>33</v>
      </c>
    </row>
    <row r="2121" spans="1:13">
      <c r="A2121" t="s">
        <v>3</v>
      </c>
      <c r="B2121" t="s">
        <v>357</v>
      </c>
      <c r="C2121" t="s">
        <v>2164</v>
      </c>
      <c r="D2121" t="s">
        <v>2165</v>
      </c>
      <c r="E2121" cm="1">
        <f t="array" ref="E2121">_xlfn.XLOOKUP(D2121,SKU_Master!A:A,SKU_Master!B:B,"Not on master")</f>
        <v>0</v>
      </c>
      <c r="F2121" cm="1">
        <f t="array" ref="F2121">_xlfn.XLOOKUP(C2121,Account_Master!A:A,Account_Master!B:B,"Not on master")</f>
        <v>0</v>
      </c>
      <c r="G2121" cm="1">
        <f t="array" ref="G2121">_xlfn.XLOOKUP(C2121,Account_Master!A:A,Account_Master!C:C,"Not on master")</f>
        <v>0</v>
      </c>
      <c r="H2121" s="6">
        <v>6</v>
      </c>
      <c r="I2121" s="6">
        <v>6</v>
      </c>
      <c r="J2121" s="6">
        <f>I2121-H2121</f>
        <v>0</v>
      </c>
      <c r="K2121" s="5">
        <f>IF(H2121=0,"",J2121/H2121)</f>
        <v>0</v>
      </c>
      <c r="L2121">
        <f>IF(OR(AND(H2121=0,ABS(J2121)&gt;=0.01),AND(H2121&lt;&gt;0,ABS(K2121)&gt;VarianceThreshold)),"Review","OK")</f>
        <v>0</v>
      </c>
      <c r="M2121" t="s">
        <v>33</v>
      </c>
    </row>
    <row r="2122" spans="1:13">
      <c r="A2122" t="s">
        <v>3</v>
      </c>
      <c r="B2122" t="s">
        <v>357</v>
      </c>
      <c r="C2122" t="s">
        <v>1837</v>
      </c>
      <c r="D2122" t="s">
        <v>2166</v>
      </c>
      <c r="E2122" cm="1">
        <f t="array" ref="E2122">_xlfn.XLOOKUP(D2122,SKU_Master!A:A,SKU_Master!B:B,"Not on master")</f>
        <v>0</v>
      </c>
      <c r="F2122" cm="1">
        <f t="array" ref="F2122">_xlfn.XLOOKUP(C2122,Account_Master!A:A,Account_Master!B:B,"Not on master")</f>
        <v>0</v>
      </c>
      <c r="G2122" cm="1">
        <f t="array" ref="G2122">_xlfn.XLOOKUP(C2122,Account_Master!A:A,Account_Master!C:C,"Not on master")</f>
        <v>0</v>
      </c>
      <c r="H2122" s="6">
        <v>9</v>
      </c>
      <c r="I2122" s="6">
        <v>9</v>
      </c>
      <c r="J2122" s="6">
        <f>I2122-H2122</f>
        <v>0</v>
      </c>
      <c r="K2122" s="5">
        <f>IF(H2122=0,"",J2122/H2122)</f>
        <v>0</v>
      </c>
      <c r="L2122">
        <f>IF(OR(AND(H2122=0,ABS(J2122)&gt;=0.01),AND(H2122&lt;&gt;0,ABS(K2122)&gt;VarianceThreshold)),"Review","OK")</f>
        <v>0</v>
      </c>
      <c r="M2122" t="s">
        <v>33</v>
      </c>
    </row>
    <row r="2123" spans="1:13">
      <c r="A2123" t="s">
        <v>3</v>
      </c>
      <c r="B2123" t="s">
        <v>357</v>
      </c>
      <c r="C2123" t="s">
        <v>2167</v>
      </c>
      <c r="D2123" t="s">
        <v>1294</v>
      </c>
      <c r="E2123" cm="1">
        <f t="array" ref="E2123">_xlfn.XLOOKUP(D2123,SKU_Master!A:A,SKU_Master!B:B,"Not on master")</f>
        <v>0</v>
      </c>
      <c r="F2123" cm="1">
        <f t="array" ref="F2123">_xlfn.XLOOKUP(C2123,Account_Master!A:A,Account_Master!B:B,"Not on master")</f>
        <v>0</v>
      </c>
      <c r="G2123" cm="1">
        <f t="array" ref="G2123">_xlfn.XLOOKUP(C2123,Account_Master!A:A,Account_Master!C:C,"Not on master")</f>
        <v>0</v>
      </c>
      <c r="H2123" s="6">
        <v>9.85</v>
      </c>
      <c r="I2123" s="6">
        <v>9.85</v>
      </c>
      <c r="J2123" s="6">
        <f>I2123-H2123</f>
        <v>0</v>
      </c>
      <c r="K2123" s="5">
        <f>IF(H2123=0,"",J2123/H2123)</f>
        <v>0</v>
      </c>
      <c r="L2123">
        <f>IF(OR(AND(H2123=0,ABS(J2123)&gt;=0.01),AND(H2123&lt;&gt;0,ABS(K2123)&gt;VarianceThreshold)),"Review","OK")</f>
        <v>0</v>
      </c>
      <c r="M2123" t="s">
        <v>33</v>
      </c>
    </row>
    <row r="2124" spans="1:13">
      <c r="A2124" t="s">
        <v>3</v>
      </c>
      <c r="B2124" t="s">
        <v>357</v>
      </c>
      <c r="C2124" t="s">
        <v>2168</v>
      </c>
      <c r="D2124" t="s">
        <v>1364</v>
      </c>
      <c r="E2124" cm="1">
        <f t="array" ref="E2124">_xlfn.XLOOKUP(D2124,SKU_Master!A:A,SKU_Master!B:B,"Not on master")</f>
        <v>0</v>
      </c>
      <c r="F2124" cm="1">
        <f t="array" ref="F2124">_xlfn.XLOOKUP(C2124,Account_Master!A:A,Account_Master!B:B,"Not on master")</f>
        <v>0</v>
      </c>
      <c r="G2124" cm="1">
        <f t="array" ref="G2124">_xlfn.XLOOKUP(C2124,Account_Master!A:A,Account_Master!C:C,"Not on master")</f>
        <v>0</v>
      </c>
      <c r="H2124" s="6">
        <v>10.5</v>
      </c>
      <c r="I2124" s="6">
        <v>10.5</v>
      </c>
      <c r="J2124" s="6">
        <f>I2124-H2124</f>
        <v>0</v>
      </c>
      <c r="K2124" s="5">
        <f>IF(H2124=0,"",J2124/H2124)</f>
        <v>0</v>
      </c>
      <c r="L2124">
        <f>IF(OR(AND(H2124=0,ABS(J2124)&gt;=0.01),AND(H2124&lt;&gt;0,ABS(K2124)&gt;VarianceThreshold)),"Review","OK")</f>
        <v>0</v>
      </c>
      <c r="M2124" t="s">
        <v>33</v>
      </c>
    </row>
    <row r="2125" spans="1:13">
      <c r="A2125" t="s">
        <v>3</v>
      </c>
      <c r="B2125" t="s">
        <v>357</v>
      </c>
      <c r="C2125" t="s">
        <v>2169</v>
      </c>
      <c r="D2125" t="s">
        <v>2170</v>
      </c>
      <c r="E2125" cm="1">
        <f t="array" ref="E2125">_xlfn.XLOOKUP(D2125,SKU_Master!A:A,SKU_Master!B:B,"Not on master")</f>
        <v>0</v>
      </c>
      <c r="F2125" cm="1">
        <f t="array" ref="F2125">_xlfn.XLOOKUP(C2125,Account_Master!A:A,Account_Master!B:B,"Not on master")</f>
        <v>0</v>
      </c>
      <c r="G2125" cm="1">
        <f t="array" ref="G2125">_xlfn.XLOOKUP(C2125,Account_Master!A:A,Account_Master!C:C,"Not on master")</f>
        <v>0</v>
      </c>
      <c r="H2125" s="6">
        <v>17.25</v>
      </c>
      <c r="I2125" s="6">
        <v>17.25</v>
      </c>
      <c r="J2125" s="6">
        <f>I2125-H2125</f>
        <v>0</v>
      </c>
      <c r="K2125" s="5">
        <f>IF(H2125=0,"",J2125/H2125)</f>
        <v>0</v>
      </c>
      <c r="L2125">
        <f>IF(OR(AND(H2125=0,ABS(J2125)&gt;=0.01),AND(H2125&lt;&gt;0,ABS(K2125)&gt;VarianceThreshold)),"Review","OK")</f>
        <v>0</v>
      </c>
      <c r="M2125" t="s">
        <v>33</v>
      </c>
    </row>
    <row r="2126" spans="1:13">
      <c r="A2126" t="s">
        <v>3</v>
      </c>
      <c r="B2126" t="s">
        <v>357</v>
      </c>
      <c r="C2126" t="s">
        <v>2018</v>
      </c>
      <c r="D2126" t="s">
        <v>2171</v>
      </c>
      <c r="E2126" cm="1">
        <f t="array" ref="E2126">_xlfn.XLOOKUP(D2126,SKU_Master!A:A,SKU_Master!B:B,"Not on master")</f>
        <v>0</v>
      </c>
      <c r="F2126" cm="1">
        <f t="array" ref="F2126">_xlfn.XLOOKUP(C2126,Account_Master!A:A,Account_Master!B:B,"Not on master")</f>
        <v>0</v>
      </c>
      <c r="G2126" cm="1">
        <f t="array" ref="G2126">_xlfn.XLOOKUP(C2126,Account_Master!A:A,Account_Master!C:C,"Not on master")</f>
        <v>0</v>
      </c>
      <c r="H2126" s="6">
        <v>12</v>
      </c>
      <c r="I2126" s="6">
        <v>12</v>
      </c>
      <c r="J2126" s="6">
        <f>I2126-H2126</f>
        <v>0</v>
      </c>
      <c r="K2126" s="5">
        <f>IF(H2126=0,"",J2126/H2126)</f>
        <v>0</v>
      </c>
      <c r="L2126">
        <f>IF(OR(AND(H2126=0,ABS(J2126)&gt;=0.01),AND(H2126&lt;&gt;0,ABS(K2126)&gt;VarianceThreshold)),"Review","OK")</f>
        <v>0</v>
      </c>
      <c r="M2126" t="s">
        <v>33</v>
      </c>
    </row>
    <row r="2127" spans="1:13">
      <c r="A2127" t="s">
        <v>3</v>
      </c>
      <c r="B2127" t="s">
        <v>364</v>
      </c>
      <c r="C2127" t="s">
        <v>2046</v>
      </c>
      <c r="D2127" t="s">
        <v>1172</v>
      </c>
      <c r="E2127" cm="1">
        <f t="array" ref="E2127">_xlfn.XLOOKUP(D2127,SKU_Master!A:A,SKU_Master!B:B,"Not on master")</f>
        <v>0</v>
      </c>
      <c r="F2127" cm="1">
        <f t="array" ref="F2127">_xlfn.XLOOKUP(C2127,Account_Master!A:A,Account_Master!B:B,"Not on master")</f>
        <v>0</v>
      </c>
      <c r="G2127" cm="1">
        <f t="array" ref="G2127">_xlfn.XLOOKUP(C2127,Account_Master!A:A,Account_Master!C:C,"Not on master")</f>
        <v>0</v>
      </c>
      <c r="H2127" s="6">
        <v>27</v>
      </c>
      <c r="I2127" s="6">
        <v>27</v>
      </c>
      <c r="J2127" s="6">
        <f>I2127-H2127</f>
        <v>0</v>
      </c>
      <c r="K2127" s="5">
        <f>IF(H2127=0,"",J2127/H2127)</f>
        <v>0</v>
      </c>
      <c r="L2127">
        <f>IF(OR(AND(H2127=0,ABS(J2127)&gt;=0.01),AND(H2127&lt;&gt;0,ABS(K2127)&gt;VarianceThreshold)),"Review","OK")</f>
        <v>0</v>
      </c>
      <c r="M2127" t="s">
        <v>33</v>
      </c>
    </row>
    <row r="2128" spans="1:13">
      <c r="A2128" t="s">
        <v>3</v>
      </c>
      <c r="B2128" t="s">
        <v>364</v>
      </c>
      <c r="C2128" t="s">
        <v>2082</v>
      </c>
      <c r="D2128" t="s">
        <v>1105</v>
      </c>
      <c r="E2128" cm="1">
        <f t="array" ref="E2128">_xlfn.XLOOKUP(D2128,SKU_Master!A:A,SKU_Master!B:B,"Not on master")</f>
        <v>0</v>
      </c>
      <c r="F2128" cm="1">
        <f t="array" ref="F2128">_xlfn.XLOOKUP(C2128,Account_Master!A:A,Account_Master!B:B,"Not on master")</f>
        <v>0</v>
      </c>
      <c r="G2128" cm="1">
        <f t="array" ref="G2128">_xlfn.XLOOKUP(C2128,Account_Master!A:A,Account_Master!C:C,"Not on master")</f>
        <v>0</v>
      </c>
      <c r="H2128" s="6">
        <v>1.5</v>
      </c>
      <c r="I2128" s="6">
        <v>1.5</v>
      </c>
      <c r="J2128" s="6">
        <f>I2128-H2128</f>
        <v>0</v>
      </c>
      <c r="K2128" s="5">
        <f>IF(H2128=0,"",J2128/H2128)</f>
        <v>0</v>
      </c>
      <c r="L2128">
        <f>IF(OR(AND(H2128=0,ABS(J2128)&gt;=0.01),AND(H2128&lt;&gt;0,ABS(K2128)&gt;VarianceThreshold)),"Review","OK")</f>
        <v>0</v>
      </c>
      <c r="M2128" t="s">
        <v>33</v>
      </c>
    </row>
    <row r="2129" spans="1:13">
      <c r="A2129" t="s">
        <v>3</v>
      </c>
      <c r="B2129" t="s">
        <v>364</v>
      </c>
      <c r="C2129" t="s">
        <v>2083</v>
      </c>
      <c r="D2129" t="s">
        <v>2172</v>
      </c>
      <c r="E2129" cm="1">
        <f t="array" ref="E2129">_xlfn.XLOOKUP(D2129,SKU_Master!A:A,SKU_Master!B:B,"Not on master")</f>
        <v>0</v>
      </c>
      <c r="F2129" cm="1">
        <f t="array" ref="F2129">_xlfn.XLOOKUP(C2129,Account_Master!A:A,Account_Master!B:B,"Not on master")</f>
        <v>0</v>
      </c>
      <c r="G2129" cm="1">
        <f t="array" ref="G2129">_xlfn.XLOOKUP(C2129,Account_Master!A:A,Account_Master!C:C,"Not on master")</f>
        <v>0</v>
      </c>
      <c r="H2129" s="6">
        <v>19.5</v>
      </c>
      <c r="I2129" s="6">
        <v>19.5</v>
      </c>
      <c r="J2129" s="6">
        <f>I2129-H2129</f>
        <v>0</v>
      </c>
      <c r="K2129" s="5">
        <f>IF(H2129=0,"",J2129/H2129)</f>
        <v>0</v>
      </c>
      <c r="L2129">
        <f>IF(OR(AND(H2129=0,ABS(J2129)&gt;=0.01),AND(H2129&lt;&gt;0,ABS(K2129)&gt;VarianceThreshold)),"Review","OK")</f>
        <v>0</v>
      </c>
      <c r="M2129" t="s">
        <v>33</v>
      </c>
    </row>
    <row r="2130" spans="1:13">
      <c r="A2130" t="s">
        <v>3</v>
      </c>
      <c r="B2130" t="s">
        <v>364</v>
      </c>
      <c r="C2130" t="s">
        <v>1837</v>
      </c>
      <c r="D2130" t="s">
        <v>2173</v>
      </c>
      <c r="E2130" cm="1">
        <f t="array" ref="E2130">_xlfn.XLOOKUP(D2130,SKU_Master!A:A,SKU_Master!B:B,"Not on master")</f>
        <v>0</v>
      </c>
      <c r="F2130" cm="1">
        <f t="array" ref="F2130">_xlfn.XLOOKUP(C2130,Account_Master!A:A,Account_Master!B:B,"Not on master")</f>
        <v>0</v>
      </c>
      <c r="G2130" cm="1">
        <f t="array" ref="G2130">_xlfn.XLOOKUP(C2130,Account_Master!A:A,Account_Master!C:C,"Not on master")</f>
        <v>0</v>
      </c>
      <c r="H2130" s="6">
        <v>12.25</v>
      </c>
      <c r="I2130" s="6">
        <v>12.25</v>
      </c>
      <c r="J2130" s="6">
        <f>I2130-H2130</f>
        <v>0</v>
      </c>
      <c r="K2130" s="5">
        <f>IF(H2130=0,"",J2130/H2130)</f>
        <v>0</v>
      </c>
      <c r="L2130">
        <f>IF(OR(AND(H2130=0,ABS(J2130)&gt;=0.01),AND(H2130&lt;&gt;0,ABS(K2130)&gt;VarianceThreshold)),"Review","OK")</f>
        <v>0</v>
      </c>
      <c r="M2130" t="s">
        <v>33</v>
      </c>
    </row>
    <row r="2131" spans="1:13">
      <c r="A2131" t="s">
        <v>3</v>
      </c>
      <c r="B2131" t="s">
        <v>364</v>
      </c>
      <c r="C2131" t="s">
        <v>2052</v>
      </c>
      <c r="D2131" t="s">
        <v>794</v>
      </c>
      <c r="E2131" cm="1">
        <f t="array" ref="E2131">_xlfn.XLOOKUP(D2131,SKU_Master!A:A,SKU_Master!B:B,"Not on master")</f>
        <v>0</v>
      </c>
      <c r="F2131" cm="1">
        <f t="array" ref="F2131">_xlfn.XLOOKUP(C2131,Account_Master!A:A,Account_Master!B:B,"Not on master")</f>
        <v>0</v>
      </c>
      <c r="G2131" cm="1">
        <f t="array" ref="G2131">_xlfn.XLOOKUP(C2131,Account_Master!A:A,Account_Master!C:C,"Not on master")</f>
        <v>0</v>
      </c>
      <c r="H2131" s="6">
        <v>12</v>
      </c>
      <c r="I2131" s="6">
        <v>12</v>
      </c>
      <c r="J2131" s="6">
        <f>I2131-H2131</f>
        <v>0</v>
      </c>
      <c r="K2131" s="5">
        <f>IF(H2131=0,"",J2131/H2131)</f>
        <v>0</v>
      </c>
      <c r="L2131">
        <f>IF(OR(AND(H2131=0,ABS(J2131)&gt;=0.01),AND(H2131&lt;&gt;0,ABS(K2131)&gt;VarianceThreshold)),"Review","OK")</f>
        <v>0</v>
      </c>
      <c r="M2131" t="s">
        <v>33</v>
      </c>
    </row>
    <row r="2132" spans="1:13">
      <c r="A2132" t="s">
        <v>3</v>
      </c>
      <c r="B2132" t="s">
        <v>371</v>
      </c>
      <c r="C2132" t="s">
        <v>2035</v>
      </c>
      <c r="D2132" t="s">
        <v>1817</v>
      </c>
      <c r="E2132" cm="1">
        <f t="array" ref="E2132">_xlfn.XLOOKUP(D2132,SKU_Master!A:A,SKU_Master!B:B,"Not on master")</f>
        <v>0</v>
      </c>
      <c r="F2132" cm="1">
        <f t="array" ref="F2132">_xlfn.XLOOKUP(C2132,Account_Master!A:A,Account_Master!B:B,"Not on master")</f>
        <v>0</v>
      </c>
      <c r="G2132" cm="1">
        <f t="array" ref="G2132">_xlfn.XLOOKUP(C2132,Account_Master!A:A,Account_Master!C:C,"Not on master")</f>
        <v>0</v>
      </c>
      <c r="H2132" s="6">
        <v>4.5</v>
      </c>
      <c r="I2132" s="6">
        <v>4.5</v>
      </c>
      <c r="J2132" s="6">
        <f>I2132-H2132</f>
        <v>0</v>
      </c>
      <c r="K2132" s="5">
        <f>IF(H2132=0,"",J2132/H2132)</f>
        <v>0</v>
      </c>
      <c r="L2132">
        <f>IF(OR(AND(H2132=0,ABS(J2132)&gt;=0.01),AND(H2132&lt;&gt;0,ABS(K2132)&gt;VarianceThreshold)),"Review","OK")</f>
        <v>0</v>
      </c>
      <c r="M2132" t="s">
        <v>33</v>
      </c>
    </row>
    <row r="2133" spans="1:13">
      <c r="A2133" t="s">
        <v>3</v>
      </c>
      <c r="B2133" t="s">
        <v>371</v>
      </c>
      <c r="C2133" t="s">
        <v>2174</v>
      </c>
      <c r="D2133" t="s">
        <v>1468</v>
      </c>
      <c r="E2133" cm="1">
        <f t="array" ref="E2133">_xlfn.XLOOKUP(D2133,SKU_Master!A:A,SKU_Master!B:B,"Not on master")</f>
        <v>0</v>
      </c>
      <c r="F2133" cm="1">
        <f t="array" ref="F2133">_xlfn.XLOOKUP(C2133,Account_Master!A:A,Account_Master!B:B,"Not on master")</f>
        <v>0</v>
      </c>
      <c r="G2133" cm="1">
        <f t="array" ref="G2133">_xlfn.XLOOKUP(C2133,Account_Master!A:A,Account_Master!C:C,"Not on master")</f>
        <v>0</v>
      </c>
      <c r="H2133" s="6">
        <v>43.75</v>
      </c>
      <c r="I2133" s="6">
        <v>43.75</v>
      </c>
      <c r="J2133" s="6">
        <f>I2133-H2133</f>
        <v>0</v>
      </c>
      <c r="K2133" s="5">
        <f>IF(H2133=0,"",J2133/H2133)</f>
        <v>0</v>
      </c>
      <c r="L2133">
        <f>IF(OR(AND(H2133=0,ABS(J2133)&gt;=0.01),AND(H2133&lt;&gt;0,ABS(K2133)&gt;VarianceThreshold)),"Review","OK")</f>
        <v>0</v>
      </c>
      <c r="M2133" t="s">
        <v>33</v>
      </c>
    </row>
    <row r="2134" spans="1:13">
      <c r="A2134" t="s">
        <v>3</v>
      </c>
      <c r="B2134" t="s">
        <v>371</v>
      </c>
      <c r="C2134" t="s">
        <v>2175</v>
      </c>
      <c r="D2134" t="s">
        <v>2176</v>
      </c>
      <c r="E2134" cm="1">
        <f t="array" ref="E2134">_xlfn.XLOOKUP(D2134,SKU_Master!A:A,SKU_Master!B:B,"Not on master")</f>
        <v>0</v>
      </c>
      <c r="F2134" cm="1">
        <f t="array" ref="F2134">_xlfn.XLOOKUP(C2134,Account_Master!A:A,Account_Master!B:B,"Not on master")</f>
        <v>0</v>
      </c>
      <c r="G2134" cm="1">
        <f t="array" ref="G2134">_xlfn.XLOOKUP(C2134,Account_Master!A:A,Account_Master!C:C,"Not on master")</f>
        <v>0</v>
      </c>
      <c r="H2134" s="6">
        <v>0.1</v>
      </c>
      <c r="I2134" s="6">
        <v>0.1</v>
      </c>
      <c r="J2134" s="6">
        <f>I2134-H2134</f>
        <v>0</v>
      </c>
      <c r="K2134" s="5">
        <f>IF(H2134=0,"",J2134/H2134)</f>
        <v>0</v>
      </c>
      <c r="L2134">
        <f>IF(OR(AND(H2134=0,ABS(J2134)&gt;=0.01),AND(H2134&lt;&gt;0,ABS(K2134)&gt;VarianceThreshold)),"Review","OK")</f>
        <v>0</v>
      </c>
      <c r="M2134" t="s">
        <v>33</v>
      </c>
    </row>
    <row r="2135" spans="1:13">
      <c r="A2135" t="s">
        <v>3</v>
      </c>
      <c r="B2135" t="s">
        <v>371</v>
      </c>
      <c r="C2135" t="s">
        <v>2022</v>
      </c>
      <c r="D2135" t="s">
        <v>1411</v>
      </c>
      <c r="E2135" cm="1">
        <f t="array" ref="E2135">_xlfn.XLOOKUP(D2135,SKU_Master!A:A,SKU_Master!B:B,"Not on master")</f>
        <v>0</v>
      </c>
      <c r="F2135" cm="1">
        <f t="array" ref="F2135">_xlfn.XLOOKUP(C2135,Account_Master!A:A,Account_Master!B:B,"Not on master")</f>
        <v>0</v>
      </c>
      <c r="G2135" cm="1">
        <f t="array" ref="G2135">_xlfn.XLOOKUP(C2135,Account_Master!A:A,Account_Master!C:C,"Not on master")</f>
        <v>0</v>
      </c>
      <c r="H2135" s="6">
        <v>48</v>
      </c>
      <c r="I2135" s="6">
        <v>48</v>
      </c>
      <c r="J2135" s="6">
        <f>I2135-H2135</f>
        <v>0</v>
      </c>
      <c r="K2135" s="5">
        <f>IF(H2135=0,"",J2135/H2135)</f>
        <v>0</v>
      </c>
      <c r="L2135">
        <f>IF(OR(AND(H2135=0,ABS(J2135)&gt;=0.01),AND(H2135&lt;&gt;0,ABS(K2135)&gt;VarianceThreshold)),"Review","OK")</f>
        <v>0</v>
      </c>
      <c r="M2135" t="s">
        <v>33</v>
      </c>
    </row>
    <row r="2136" spans="1:13">
      <c r="A2136" t="s">
        <v>3</v>
      </c>
      <c r="B2136" t="s">
        <v>371</v>
      </c>
      <c r="C2136" t="s">
        <v>2022</v>
      </c>
      <c r="D2136" t="s">
        <v>1983</v>
      </c>
      <c r="E2136" cm="1">
        <f t="array" ref="E2136">_xlfn.XLOOKUP(D2136,SKU_Master!A:A,SKU_Master!B:B,"Not on master")</f>
        <v>0</v>
      </c>
      <c r="F2136" cm="1">
        <f t="array" ref="F2136">_xlfn.XLOOKUP(C2136,Account_Master!A:A,Account_Master!B:B,"Not on master")</f>
        <v>0</v>
      </c>
      <c r="G2136" cm="1">
        <f t="array" ref="G2136">_xlfn.XLOOKUP(C2136,Account_Master!A:A,Account_Master!C:C,"Not on master")</f>
        <v>0</v>
      </c>
      <c r="H2136" s="6">
        <v>4.5</v>
      </c>
      <c r="I2136" s="6">
        <v>4.5</v>
      </c>
      <c r="J2136" s="6">
        <f>I2136-H2136</f>
        <v>0</v>
      </c>
      <c r="K2136" s="5">
        <f>IF(H2136=0,"",J2136/H2136)</f>
        <v>0</v>
      </c>
      <c r="L2136">
        <f>IF(OR(AND(H2136=0,ABS(J2136)&gt;=0.01),AND(H2136&lt;&gt;0,ABS(K2136)&gt;VarianceThreshold)),"Review","OK")</f>
        <v>0</v>
      </c>
      <c r="M2136" t="s">
        <v>33</v>
      </c>
    </row>
    <row r="2137" spans="1:13">
      <c r="A2137" t="s">
        <v>3</v>
      </c>
      <c r="B2137" t="s">
        <v>379</v>
      </c>
      <c r="C2137" t="s">
        <v>2013</v>
      </c>
      <c r="D2137" t="s">
        <v>2177</v>
      </c>
      <c r="E2137" cm="1">
        <f t="array" ref="E2137">_xlfn.XLOOKUP(D2137,SKU_Master!A:A,SKU_Master!B:B,"Not on master")</f>
        <v>0</v>
      </c>
      <c r="F2137" cm="1">
        <f t="array" ref="F2137">_xlfn.XLOOKUP(C2137,Account_Master!A:A,Account_Master!B:B,"Not on master")</f>
        <v>0</v>
      </c>
      <c r="G2137" cm="1">
        <f t="array" ref="G2137">_xlfn.XLOOKUP(C2137,Account_Master!A:A,Account_Master!C:C,"Not on master")</f>
        <v>0</v>
      </c>
      <c r="H2137" s="6">
        <v>4.2</v>
      </c>
      <c r="I2137" s="6">
        <v>4.2</v>
      </c>
      <c r="J2137" s="6">
        <f>I2137-H2137</f>
        <v>0</v>
      </c>
      <c r="K2137" s="5">
        <f>IF(H2137=0,"",J2137/H2137)</f>
        <v>0</v>
      </c>
      <c r="L2137">
        <f>IF(OR(AND(H2137=0,ABS(J2137)&gt;=0.01),AND(H2137&lt;&gt;0,ABS(K2137)&gt;VarianceThreshold)),"Review","OK")</f>
        <v>0</v>
      </c>
      <c r="M2137" t="s">
        <v>33</v>
      </c>
    </row>
    <row r="2138" spans="1:13">
      <c r="A2138" t="s">
        <v>3</v>
      </c>
      <c r="B2138" t="s">
        <v>379</v>
      </c>
      <c r="C2138" t="s">
        <v>2013</v>
      </c>
      <c r="D2138" t="s">
        <v>2178</v>
      </c>
      <c r="E2138" cm="1">
        <f t="array" ref="E2138">_xlfn.XLOOKUP(D2138,SKU_Master!A:A,SKU_Master!B:B,"Not on master")</f>
        <v>0</v>
      </c>
      <c r="F2138" cm="1">
        <f t="array" ref="F2138">_xlfn.XLOOKUP(C2138,Account_Master!A:A,Account_Master!B:B,"Not on master")</f>
        <v>0</v>
      </c>
      <c r="G2138" cm="1">
        <f t="array" ref="G2138">_xlfn.XLOOKUP(C2138,Account_Master!A:A,Account_Master!C:C,"Not on master")</f>
        <v>0</v>
      </c>
      <c r="H2138" s="6">
        <v>42</v>
      </c>
      <c r="I2138" s="6">
        <v>42</v>
      </c>
      <c r="J2138" s="6">
        <f>I2138-H2138</f>
        <v>0</v>
      </c>
      <c r="K2138" s="5">
        <f>IF(H2138=0,"",J2138/H2138)</f>
        <v>0</v>
      </c>
      <c r="L2138">
        <f>IF(OR(AND(H2138=0,ABS(J2138)&gt;=0.01),AND(H2138&lt;&gt;0,ABS(K2138)&gt;VarianceThreshold)),"Review","OK")</f>
        <v>0</v>
      </c>
      <c r="M2138" t="s">
        <v>33</v>
      </c>
    </row>
    <row r="2139" spans="1:13">
      <c r="A2139" t="s">
        <v>3</v>
      </c>
      <c r="B2139" t="s">
        <v>379</v>
      </c>
      <c r="C2139" t="s">
        <v>2179</v>
      </c>
      <c r="D2139" t="s">
        <v>898</v>
      </c>
      <c r="E2139" cm="1">
        <f t="array" ref="E2139">_xlfn.XLOOKUP(D2139,SKU_Master!A:A,SKU_Master!B:B,"Not on master")</f>
        <v>0</v>
      </c>
      <c r="F2139" cm="1">
        <f t="array" ref="F2139">_xlfn.XLOOKUP(C2139,Account_Master!A:A,Account_Master!B:B,"Not on master")</f>
        <v>0</v>
      </c>
      <c r="G2139" cm="1">
        <f t="array" ref="G2139">_xlfn.XLOOKUP(C2139,Account_Master!A:A,Account_Master!C:C,"Not on master")</f>
        <v>0</v>
      </c>
      <c r="H2139" s="6">
        <v>4.5</v>
      </c>
      <c r="I2139" s="6">
        <v>4.5</v>
      </c>
      <c r="J2139" s="6">
        <f>I2139-H2139</f>
        <v>0</v>
      </c>
      <c r="K2139" s="5">
        <f>IF(H2139=0,"",J2139/H2139)</f>
        <v>0</v>
      </c>
      <c r="L2139">
        <f>IF(OR(AND(H2139=0,ABS(J2139)&gt;=0.01),AND(H2139&lt;&gt;0,ABS(K2139)&gt;VarianceThreshold)),"Review","OK")</f>
        <v>0</v>
      </c>
      <c r="M2139" t="s">
        <v>33</v>
      </c>
    </row>
    <row r="2140" spans="1:13">
      <c r="A2140" t="s">
        <v>3</v>
      </c>
      <c r="B2140" t="s">
        <v>379</v>
      </c>
      <c r="C2140" t="s">
        <v>2033</v>
      </c>
      <c r="D2140" t="s">
        <v>2180</v>
      </c>
      <c r="E2140" cm="1">
        <f t="array" ref="E2140">_xlfn.XLOOKUP(D2140,SKU_Master!A:A,SKU_Master!B:B,"Not on master")</f>
        <v>0</v>
      </c>
      <c r="F2140" cm="1">
        <f t="array" ref="F2140">_xlfn.XLOOKUP(C2140,Account_Master!A:A,Account_Master!B:B,"Not on master")</f>
        <v>0</v>
      </c>
      <c r="G2140" cm="1">
        <f t="array" ref="G2140">_xlfn.XLOOKUP(C2140,Account_Master!A:A,Account_Master!C:C,"Not on master")</f>
        <v>0</v>
      </c>
      <c r="H2140" s="6">
        <v>9.75</v>
      </c>
      <c r="I2140" s="6">
        <v>9.75</v>
      </c>
      <c r="J2140" s="6">
        <f>I2140-H2140</f>
        <v>0</v>
      </c>
      <c r="K2140" s="5">
        <f>IF(H2140=0,"",J2140/H2140)</f>
        <v>0</v>
      </c>
      <c r="L2140">
        <f>IF(OR(AND(H2140=0,ABS(J2140)&gt;=0.01),AND(H2140&lt;&gt;0,ABS(K2140)&gt;VarianceThreshold)),"Review","OK")</f>
        <v>0</v>
      </c>
      <c r="M2140" t="s">
        <v>33</v>
      </c>
    </row>
    <row r="2141" spans="1:13">
      <c r="A2141" t="s">
        <v>3</v>
      </c>
      <c r="B2141" t="s">
        <v>392</v>
      </c>
      <c r="C2141" t="s">
        <v>2116</v>
      </c>
      <c r="D2141" t="s">
        <v>899</v>
      </c>
      <c r="E2141" cm="1">
        <f t="array" ref="E2141">_xlfn.XLOOKUP(D2141,SKU_Master!A:A,SKU_Master!B:B,"Not on master")</f>
        <v>0</v>
      </c>
      <c r="F2141" cm="1">
        <f t="array" ref="F2141">_xlfn.XLOOKUP(C2141,Account_Master!A:A,Account_Master!B:B,"Not on master")</f>
        <v>0</v>
      </c>
      <c r="G2141" cm="1">
        <f t="array" ref="G2141">_xlfn.XLOOKUP(C2141,Account_Master!A:A,Account_Master!C:C,"Not on master")</f>
        <v>0</v>
      </c>
      <c r="H2141" s="6">
        <v>3.75</v>
      </c>
      <c r="I2141" s="6">
        <v>3.75</v>
      </c>
      <c r="J2141" s="6">
        <f>I2141-H2141</f>
        <v>0</v>
      </c>
      <c r="K2141" s="5">
        <f>IF(H2141=0,"",J2141/H2141)</f>
        <v>0</v>
      </c>
      <c r="L2141">
        <f>IF(OR(AND(H2141=0,ABS(J2141)&gt;=0.01),AND(H2141&lt;&gt;0,ABS(K2141)&gt;VarianceThreshold)),"Review","OK")</f>
        <v>0</v>
      </c>
      <c r="M2141" t="s">
        <v>33</v>
      </c>
    </row>
    <row r="2142" spans="1:13">
      <c r="A2142" t="s">
        <v>3</v>
      </c>
      <c r="B2142" t="s">
        <v>402</v>
      </c>
      <c r="C2142" t="s">
        <v>2181</v>
      </c>
      <c r="D2142" t="s">
        <v>995</v>
      </c>
      <c r="E2142" cm="1">
        <f t="array" ref="E2142">_xlfn.XLOOKUP(D2142,SKU_Master!A:A,SKU_Master!B:B,"Not on master")</f>
        <v>0</v>
      </c>
      <c r="F2142" cm="1">
        <f t="array" ref="F2142">_xlfn.XLOOKUP(C2142,Account_Master!A:A,Account_Master!B:B,"Not on master")</f>
        <v>0</v>
      </c>
      <c r="G2142" cm="1">
        <f t="array" ref="G2142">_xlfn.XLOOKUP(C2142,Account_Master!A:A,Account_Master!C:C,"Not on master")</f>
        <v>0</v>
      </c>
      <c r="H2142" s="6">
        <v>6</v>
      </c>
      <c r="I2142" s="6">
        <v>6</v>
      </c>
      <c r="J2142" s="6">
        <f>I2142-H2142</f>
        <v>0</v>
      </c>
      <c r="K2142" s="5">
        <f>IF(H2142=0,"",J2142/H2142)</f>
        <v>0</v>
      </c>
      <c r="L2142">
        <f>IF(OR(AND(H2142=0,ABS(J2142)&gt;=0.01),AND(H2142&lt;&gt;0,ABS(K2142)&gt;VarianceThreshold)),"Review","OK")</f>
        <v>0</v>
      </c>
      <c r="M2142" t="s">
        <v>33</v>
      </c>
    </row>
    <row r="2143" spans="1:13">
      <c r="A2143" t="s">
        <v>3</v>
      </c>
      <c r="B2143" t="s">
        <v>402</v>
      </c>
      <c r="C2143" t="s">
        <v>2182</v>
      </c>
      <c r="D2143" t="s">
        <v>1042</v>
      </c>
      <c r="E2143" cm="1">
        <f t="array" ref="E2143">_xlfn.XLOOKUP(D2143,SKU_Master!A:A,SKU_Master!B:B,"Not on master")</f>
        <v>0</v>
      </c>
      <c r="F2143" cm="1">
        <f t="array" ref="F2143">_xlfn.XLOOKUP(C2143,Account_Master!A:A,Account_Master!B:B,"Not on master")</f>
        <v>0</v>
      </c>
      <c r="G2143" cm="1">
        <f t="array" ref="G2143">_xlfn.XLOOKUP(C2143,Account_Master!A:A,Account_Master!C:C,"Not on master")</f>
        <v>0</v>
      </c>
      <c r="H2143" s="6">
        <v>10.5</v>
      </c>
      <c r="I2143" s="6">
        <v>10.5</v>
      </c>
      <c r="J2143" s="6">
        <f>I2143-H2143</f>
        <v>0</v>
      </c>
      <c r="K2143" s="5">
        <f>IF(H2143=0,"",J2143/H2143)</f>
        <v>0</v>
      </c>
      <c r="L2143">
        <f>IF(OR(AND(H2143=0,ABS(J2143)&gt;=0.01),AND(H2143&lt;&gt;0,ABS(K2143)&gt;VarianceThreshold)),"Review","OK")</f>
        <v>0</v>
      </c>
      <c r="M2143" t="s">
        <v>33</v>
      </c>
    </row>
    <row r="2144" spans="1:13">
      <c r="A2144" t="s">
        <v>3</v>
      </c>
      <c r="B2144" t="s">
        <v>410</v>
      </c>
      <c r="C2144" t="s">
        <v>2100</v>
      </c>
      <c r="D2144" t="s">
        <v>1904</v>
      </c>
      <c r="E2144" cm="1">
        <f t="array" ref="E2144">_xlfn.XLOOKUP(D2144,SKU_Master!A:A,SKU_Master!B:B,"Not on master")</f>
        <v>0</v>
      </c>
      <c r="F2144" cm="1">
        <f t="array" ref="F2144">_xlfn.XLOOKUP(C2144,Account_Master!A:A,Account_Master!B:B,"Not on master")</f>
        <v>0</v>
      </c>
      <c r="G2144" cm="1">
        <f t="array" ref="G2144">_xlfn.XLOOKUP(C2144,Account_Master!A:A,Account_Master!C:C,"Not on master")</f>
        <v>0</v>
      </c>
      <c r="H2144" s="6">
        <v>82.09999999999999</v>
      </c>
      <c r="I2144" s="6">
        <v>82.09999999999999</v>
      </c>
      <c r="J2144" s="6">
        <f>I2144-H2144</f>
        <v>0</v>
      </c>
      <c r="K2144" s="5">
        <f>IF(H2144=0,"",J2144/H2144)</f>
        <v>0</v>
      </c>
      <c r="L2144">
        <f>IF(OR(AND(H2144=0,ABS(J2144)&gt;=0.01),AND(H2144&lt;&gt;0,ABS(K2144)&gt;VarianceThreshold)),"Review","OK")</f>
        <v>0</v>
      </c>
      <c r="M2144" t="s">
        <v>33</v>
      </c>
    </row>
    <row r="2145" spans="1:13">
      <c r="A2145" t="s">
        <v>3</v>
      </c>
      <c r="B2145" t="s">
        <v>410</v>
      </c>
      <c r="C2145" t="s">
        <v>2183</v>
      </c>
      <c r="D2145" t="s">
        <v>1279</v>
      </c>
      <c r="E2145" cm="1">
        <f t="array" ref="E2145">_xlfn.XLOOKUP(D2145,SKU_Master!A:A,SKU_Master!B:B,"Not on master")</f>
        <v>0</v>
      </c>
      <c r="F2145" cm="1">
        <f t="array" ref="F2145">_xlfn.XLOOKUP(C2145,Account_Master!A:A,Account_Master!B:B,"Not on master")</f>
        <v>0</v>
      </c>
      <c r="G2145" cm="1">
        <f t="array" ref="G2145">_xlfn.XLOOKUP(C2145,Account_Master!A:A,Account_Master!C:C,"Not on master")</f>
        <v>0</v>
      </c>
      <c r="H2145" s="6">
        <v>0.05</v>
      </c>
      <c r="I2145" s="6">
        <v>0.05</v>
      </c>
      <c r="J2145" s="6">
        <f>I2145-H2145</f>
        <v>0</v>
      </c>
      <c r="K2145" s="5">
        <f>IF(H2145=0,"",J2145/H2145)</f>
        <v>0</v>
      </c>
      <c r="L2145">
        <f>IF(OR(AND(H2145=0,ABS(J2145)&gt;=0.01),AND(H2145&lt;&gt;0,ABS(K2145)&gt;VarianceThreshold)),"Review","OK")</f>
        <v>0</v>
      </c>
      <c r="M2145" t="s">
        <v>33</v>
      </c>
    </row>
    <row r="2146" spans="1:13">
      <c r="A2146" t="s">
        <v>3</v>
      </c>
      <c r="B2146" t="s">
        <v>410</v>
      </c>
      <c r="C2146" t="s">
        <v>2022</v>
      </c>
      <c r="D2146" t="s">
        <v>1281</v>
      </c>
      <c r="E2146" cm="1">
        <f t="array" ref="E2146">_xlfn.XLOOKUP(D2146,SKU_Master!A:A,SKU_Master!B:B,"Not on master")</f>
        <v>0</v>
      </c>
      <c r="F2146" cm="1">
        <f t="array" ref="F2146">_xlfn.XLOOKUP(C2146,Account_Master!A:A,Account_Master!B:B,"Not on master")</f>
        <v>0</v>
      </c>
      <c r="G2146" cm="1">
        <f t="array" ref="G2146">_xlfn.XLOOKUP(C2146,Account_Master!A:A,Account_Master!C:C,"Not on master")</f>
        <v>0</v>
      </c>
      <c r="H2146" s="6">
        <v>18</v>
      </c>
      <c r="I2146" s="6">
        <v>18</v>
      </c>
      <c r="J2146" s="6">
        <f>I2146-H2146</f>
        <v>0</v>
      </c>
      <c r="K2146" s="5">
        <f>IF(H2146=0,"",J2146/H2146)</f>
        <v>0</v>
      </c>
      <c r="L2146">
        <f>IF(OR(AND(H2146=0,ABS(J2146)&gt;=0.01),AND(H2146&lt;&gt;0,ABS(K2146)&gt;VarianceThreshold)),"Review","OK")</f>
        <v>0</v>
      </c>
      <c r="M2146" t="s">
        <v>33</v>
      </c>
    </row>
    <row r="2147" spans="1:13">
      <c r="A2147" t="s">
        <v>3</v>
      </c>
      <c r="B2147" t="s">
        <v>410</v>
      </c>
      <c r="C2147" t="s">
        <v>2022</v>
      </c>
      <c r="D2147" t="s">
        <v>2184</v>
      </c>
      <c r="E2147" cm="1">
        <f t="array" ref="E2147">_xlfn.XLOOKUP(D2147,SKU_Master!A:A,SKU_Master!B:B,"Not on master")</f>
        <v>0</v>
      </c>
      <c r="F2147" cm="1">
        <f t="array" ref="F2147">_xlfn.XLOOKUP(C2147,Account_Master!A:A,Account_Master!B:B,"Not on master")</f>
        <v>0</v>
      </c>
      <c r="G2147" cm="1">
        <f t="array" ref="G2147">_xlfn.XLOOKUP(C2147,Account_Master!A:A,Account_Master!C:C,"Not on master")</f>
        <v>0</v>
      </c>
      <c r="H2147" s="6">
        <v>96</v>
      </c>
      <c r="I2147" s="6">
        <v>96</v>
      </c>
      <c r="J2147" s="6">
        <f>I2147-H2147</f>
        <v>0</v>
      </c>
      <c r="K2147" s="5">
        <f>IF(H2147=0,"",J2147/H2147)</f>
        <v>0</v>
      </c>
      <c r="L2147">
        <f>IF(OR(AND(H2147=0,ABS(J2147)&gt;=0.01),AND(H2147&lt;&gt;0,ABS(K2147)&gt;VarianceThreshold)),"Review","OK")</f>
        <v>0</v>
      </c>
      <c r="M2147" t="s">
        <v>33</v>
      </c>
    </row>
    <row r="2148" spans="1:13">
      <c r="A2148" t="s">
        <v>3</v>
      </c>
      <c r="B2148" t="s">
        <v>410</v>
      </c>
      <c r="C2148" t="s">
        <v>2027</v>
      </c>
      <c r="D2148" t="s">
        <v>581</v>
      </c>
      <c r="E2148" cm="1">
        <f t="array" ref="E2148">_xlfn.XLOOKUP(D2148,SKU_Master!A:A,SKU_Master!B:B,"Not on master")</f>
        <v>0</v>
      </c>
      <c r="F2148" cm="1">
        <f t="array" ref="F2148">_xlfn.XLOOKUP(C2148,Account_Master!A:A,Account_Master!B:B,"Not on master")</f>
        <v>0</v>
      </c>
      <c r="G2148" cm="1">
        <f t="array" ref="G2148">_xlfn.XLOOKUP(C2148,Account_Master!A:A,Account_Master!C:C,"Not on master")</f>
        <v>0</v>
      </c>
      <c r="H2148" s="6">
        <v>20.25</v>
      </c>
      <c r="I2148" s="6">
        <v>20.25</v>
      </c>
      <c r="J2148" s="6">
        <f>I2148-H2148</f>
        <v>0</v>
      </c>
      <c r="K2148" s="5">
        <f>IF(H2148=0,"",J2148/H2148)</f>
        <v>0</v>
      </c>
      <c r="L2148">
        <f>IF(OR(AND(H2148=0,ABS(J2148)&gt;=0.01),AND(H2148&lt;&gt;0,ABS(K2148)&gt;VarianceThreshold)),"Review","OK")</f>
        <v>0</v>
      </c>
      <c r="M2148" t="s">
        <v>33</v>
      </c>
    </row>
    <row r="2149" spans="1:13">
      <c r="A2149" t="s">
        <v>3</v>
      </c>
      <c r="B2149" t="s">
        <v>410</v>
      </c>
      <c r="C2149" t="s">
        <v>2130</v>
      </c>
      <c r="D2149" t="s">
        <v>2185</v>
      </c>
      <c r="E2149" cm="1">
        <f t="array" ref="E2149">_xlfn.XLOOKUP(D2149,SKU_Master!A:A,SKU_Master!B:B,"Not on master")</f>
        <v>0</v>
      </c>
      <c r="F2149" cm="1">
        <f t="array" ref="F2149">_xlfn.XLOOKUP(C2149,Account_Master!A:A,Account_Master!B:B,"Not on master")</f>
        <v>0</v>
      </c>
      <c r="G2149" cm="1">
        <f t="array" ref="G2149">_xlfn.XLOOKUP(C2149,Account_Master!A:A,Account_Master!C:C,"Not on master")</f>
        <v>0</v>
      </c>
      <c r="H2149" s="6">
        <v>9</v>
      </c>
      <c r="I2149" s="6">
        <v>9</v>
      </c>
      <c r="J2149" s="6">
        <f>I2149-H2149</f>
        <v>0</v>
      </c>
      <c r="K2149" s="5">
        <f>IF(H2149=0,"",J2149/H2149)</f>
        <v>0</v>
      </c>
      <c r="L2149">
        <f>IF(OR(AND(H2149=0,ABS(J2149)&gt;=0.01),AND(H2149&lt;&gt;0,ABS(K2149)&gt;VarianceThreshold)),"Review","OK")</f>
        <v>0</v>
      </c>
      <c r="M2149" t="s">
        <v>33</v>
      </c>
    </row>
    <row r="2150" spans="1:13">
      <c r="A2150" t="s">
        <v>3</v>
      </c>
      <c r="B2150" t="s">
        <v>410</v>
      </c>
      <c r="C2150" t="s">
        <v>2022</v>
      </c>
      <c r="D2150" t="s">
        <v>835</v>
      </c>
      <c r="E2150" cm="1">
        <f t="array" ref="E2150">_xlfn.XLOOKUP(D2150,SKU_Master!A:A,SKU_Master!B:B,"Not on master")</f>
        <v>0</v>
      </c>
      <c r="F2150" cm="1">
        <f t="array" ref="F2150">_xlfn.XLOOKUP(C2150,Account_Master!A:A,Account_Master!B:B,"Not on master")</f>
        <v>0</v>
      </c>
      <c r="G2150" cm="1">
        <f t="array" ref="G2150">_xlfn.XLOOKUP(C2150,Account_Master!A:A,Account_Master!C:C,"Not on master")</f>
        <v>0</v>
      </c>
      <c r="H2150" s="6">
        <v>12</v>
      </c>
      <c r="I2150" s="6">
        <v>12</v>
      </c>
      <c r="J2150" s="6">
        <f>I2150-H2150</f>
        <v>0</v>
      </c>
      <c r="K2150" s="5">
        <f>IF(H2150=0,"",J2150/H2150)</f>
        <v>0</v>
      </c>
      <c r="L2150">
        <f>IF(OR(AND(H2150=0,ABS(J2150)&gt;=0.01),AND(H2150&lt;&gt;0,ABS(K2150)&gt;VarianceThreshold)),"Review","OK")</f>
        <v>0</v>
      </c>
      <c r="M2150" t="s">
        <v>33</v>
      </c>
    </row>
    <row r="2151" spans="1:13">
      <c r="A2151" t="s">
        <v>3</v>
      </c>
      <c r="B2151" t="s">
        <v>416</v>
      </c>
      <c r="C2151" t="s">
        <v>2088</v>
      </c>
      <c r="D2151" t="s">
        <v>2186</v>
      </c>
      <c r="E2151" cm="1">
        <f t="array" ref="E2151">_xlfn.XLOOKUP(D2151,SKU_Master!A:A,SKU_Master!B:B,"Not on master")</f>
        <v>0</v>
      </c>
      <c r="F2151" cm="1">
        <f t="array" ref="F2151">_xlfn.XLOOKUP(C2151,Account_Master!A:A,Account_Master!B:B,"Not on master")</f>
        <v>0</v>
      </c>
      <c r="G2151" cm="1">
        <f t="array" ref="G2151">_xlfn.XLOOKUP(C2151,Account_Master!A:A,Account_Master!C:C,"Not on master")</f>
        <v>0</v>
      </c>
      <c r="H2151" s="6">
        <v>12</v>
      </c>
      <c r="I2151" s="6">
        <v>12</v>
      </c>
      <c r="J2151" s="6">
        <f>I2151-H2151</f>
        <v>0</v>
      </c>
      <c r="K2151" s="5">
        <f>IF(H2151=0,"",J2151/H2151)</f>
        <v>0</v>
      </c>
      <c r="L2151">
        <f>IF(OR(AND(H2151=0,ABS(J2151)&gt;=0.01),AND(H2151&lt;&gt;0,ABS(K2151)&gt;VarianceThreshold)),"Review","OK")</f>
        <v>0</v>
      </c>
      <c r="M2151" t="s">
        <v>33</v>
      </c>
    </row>
    <row r="2152" spans="1:13">
      <c r="A2152" t="s">
        <v>3</v>
      </c>
      <c r="B2152" t="s">
        <v>416</v>
      </c>
      <c r="C2152" t="s">
        <v>2168</v>
      </c>
      <c r="D2152" t="s">
        <v>2187</v>
      </c>
      <c r="E2152" cm="1">
        <f t="array" ref="E2152">_xlfn.XLOOKUP(D2152,SKU_Master!A:A,SKU_Master!B:B,"Not on master")</f>
        <v>0</v>
      </c>
      <c r="F2152" cm="1">
        <f t="array" ref="F2152">_xlfn.XLOOKUP(C2152,Account_Master!A:A,Account_Master!B:B,"Not on master")</f>
        <v>0</v>
      </c>
      <c r="G2152" cm="1">
        <f t="array" ref="G2152">_xlfn.XLOOKUP(C2152,Account_Master!A:A,Account_Master!C:C,"Not on master")</f>
        <v>0</v>
      </c>
      <c r="H2152" s="6">
        <v>10.5</v>
      </c>
      <c r="I2152" s="6">
        <v>10.5</v>
      </c>
      <c r="J2152" s="6">
        <f>I2152-H2152</f>
        <v>0</v>
      </c>
      <c r="K2152" s="5">
        <f>IF(H2152=0,"",J2152/H2152)</f>
        <v>0</v>
      </c>
      <c r="L2152">
        <f>IF(OR(AND(H2152=0,ABS(J2152)&gt;=0.01),AND(H2152&lt;&gt;0,ABS(K2152)&gt;VarianceThreshold)),"Review","OK")</f>
        <v>0</v>
      </c>
      <c r="M2152" t="s">
        <v>33</v>
      </c>
    </row>
    <row r="2153" spans="1:13">
      <c r="A2153" t="s">
        <v>3</v>
      </c>
      <c r="B2153" t="s">
        <v>416</v>
      </c>
      <c r="C2153" t="s">
        <v>2035</v>
      </c>
      <c r="D2153" t="s">
        <v>55</v>
      </c>
      <c r="E2153" cm="1">
        <f t="array" ref="E2153">_xlfn.XLOOKUP(D2153,SKU_Master!A:A,SKU_Master!B:B,"Not on master")</f>
        <v>0</v>
      </c>
      <c r="F2153" cm="1">
        <f t="array" ref="F2153">_xlfn.XLOOKUP(C2153,Account_Master!A:A,Account_Master!B:B,"Not on master")</f>
        <v>0</v>
      </c>
      <c r="G2153" cm="1">
        <f t="array" ref="G2153">_xlfn.XLOOKUP(C2153,Account_Master!A:A,Account_Master!C:C,"Not on master")</f>
        <v>0</v>
      </c>
      <c r="H2153" s="6">
        <v>35</v>
      </c>
      <c r="I2153" s="6">
        <v>35</v>
      </c>
      <c r="J2153" s="6">
        <f>I2153-H2153</f>
        <v>0</v>
      </c>
      <c r="K2153" s="5">
        <f>IF(H2153=0,"",J2153/H2153)</f>
        <v>0</v>
      </c>
      <c r="L2153">
        <f>IF(OR(AND(H2153=0,ABS(J2153)&gt;=0.01),AND(H2153&lt;&gt;0,ABS(K2153)&gt;VarianceThreshold)),"Review","OK")</f>
        <v>0</v>
      </c>
      <c r="M2153" t="s">
        <v>33</v>
      </c>
    </row>
    <row r="2154" spans="1:13">
      <c r="A2154" t="s">
        <v>3</v>
      </c>
      <c r="B2154" t="s">
        <v>416</v>
      </c>
      <c r="C2154" t="s">
        <v>2188</v>
      </c>
      <c r="D2154" t="s">
        <v>905</v>
      </c>
      <c r="E2154" cm="1">
        <f t="array" ref="E2154">_xlfn.XLOOKUP(D2154,SKU_Master!A:A,SKU_Master!B:B,"Not on master")</f>
        <v>0</v>
      </c>
      <c r="F2154" cm="1">
        <f t="array" ref="F2154">_xlfn.XLOOKUP(C2154,Account_Master!A:A,Account_Master!B:B,"Not on master")</f>
        <v>0</v>
      </c>
      <c r="G2154" cm="1">
        <f t="array" ref="G2154">_xlfn.XLOOKUP(C2154,Account_Master!A:A,Account_Master!C:C,"Not on master")</f>
        <v>0</v>
      </c>
      <c r="H2154" s="6">
        <v>9</v>
      </c>
      <c r="I2154" s="6">
        <v>9</v>
      </c>
      <c r="J2154" s="6">
        <f>I2154-H2154</f>
        <v>0</v>
      </c>
      <c r="K2154" s="5">
        <f>IF(H2154=0,"",J2154/H2154)</f>
        <v>0</v>
      </c>
      <c r="L2154">
        <f>IF(OR(AND(H2154=0,ABS(J2154)&gt;=0.01),AND(H2154&lt;&gt;0,ABS(K2154)&gt;VarianceThreshold)),"Review","OK")</f>
        <v>0</v>
      </c>
      <c r="M2154" t="s">
        <v>33</v>
      </c>
    </row>
    <row r="2155" spans="1:13">
      <c r="A2155" t="s">
        <v>3</v>
      </c>
      <c r="B2155" t="s">
        <v>416</v>
      </c>
      <c r="C2155" t="s">
        <v>2189</v>
      </c>
      <c r="D2155" t="s">
        <v>675</v>
      </c>
      <c r="E2155" cm="1">
        <f t="array" ref="E2155">_xlfn.XLOOKUP(D2155,SKU_Master!A:A,SKU_Master!B:B,"Not on master")</f>
        <v>0</v>
      </c>
      <c r="F2155" cm="1">
        <f t="array" ref="F2155">_xlfn.XLOOKUP(C2155,Account_Master!A:A,Account_Master!B:B,"Not on master")</f>
        <v>0</v>
      </c>
      <c r="G2155" cm="1">
        <f t="array" ref="G2155">_xlfn.XLOOKUP(C2155,Account_Master!A:A,Account_Master!C:C,"Not on master")</f>
        <v>0</v>
      </c>
      <c r="H2155" s="6">
        <v>0.75</v>
      </c>
      <c r="I2155" s="6">
        <v>0.75</v>
      </c>
      <c r="J2155" s="6">
        <f>I2155-H2155</f>
        <v>0</v>
      </c>
      <c r="K2155" s="5">
        <f>IF(H2155=0,"",J2155/H2155)</f>
        <v>0</v>
      </c>
      <c r="L2155">
        <f>IF(OR(AND(H2155=0,ABS(J2155)&gt;=0.01),AND(H2155&lt;&gt;0,ABS(K2155)&gt;VarianceThreshold)),"Review","OK")</f>
        <v>0</v>
      </c>
      <c r="M2155" t="s">
        <v>33</v>
      </c>
    </row>
    <row r="2156" spans="1:13">
      <c r="A2156" t="s">
        <v>3</v>
      </c>
      <c r="B2156" t="s">
        <v>416</v>
      </c>
      <c r="C2156" t="s">
        <v>2022</v>
      </c>
      <c r="D2156" t="s">
        <v>977</v>
      </c>
      <c r="E2156" cm="1">
        <f t="array" ref="E2156">_xlfn.XLOOKUP(D2156,SKU_Master!A:A,SKU_Master!B:B,"Not on master")</f>
        <v>0</v>
      </c>
      <c r="F2156" cm="1">
        <f t="array" ref="F2156">_xlfn.XLOOKUP(C2156,Account_Master!A:A,Account_Master!B:B,"Not on master")</f>
        <v>0</v>
      </c>
      <c r="G2156" cm="1">
        <f t="array" ref="G2156">_xlfn.XLOOKUP(C2156,Account_Master!A:A,Account_Master!C:C,"Not on master")</f>
        <v>0</v>
      </c>
      <c r="H2156" s="6">
        <v>9.75</v>
      </c>
      <c r="I2156" s="6">
        <v>9.75</v>
      </c>
      <c r="J2156" s="6">
        <f>I2156-H2156</f>
        <v>0</v>
      </c>
      <c r="K2156" s="5">
        <f>IF(H2156=0,"",J2156/H2156)</f>
        <v>0</v>
      </c>
      <c r="L2156">
        <f>IF(OR(AND(H2156=0,ABS(J2156)&gt;=0.01),AND(H2156&lt;&gt;0,ABS(K2156)&gt;VarianceThreshold)),"Review","OK")</f>
        <v>0</v>
      </c>
      <c r="M2156" t="s">
        <v>33</v>
      </c>
    </row>
    <row r="2157" spans="1:13">
      <c r="A2157" t="s">
        <v>3</v>
      </c>
      <c r="B2157" t="s">
        <v>416</v>
      </c>
      <c r="C2157" t="s">
        <v>2169</v>
      </c>
      <c r="D2157" t="s">
        <v>1242</v>
      </c>
      <c r="E2157" cm="1">
        <f t="array" ref="E2157">_xlfn.XLOOKUP(D2157,SKU_Master!A:A,SKU_Master!B:B,"Not on master")</f>
        <v>0</v>
      </c>
      <c r="F2157" cm="1">
        <f t="array" ref="F2157">_xlfn.XLOOKUP(C2157,Account_Master!A:A,Account_Master!B:B,"Not on master")</f>
        <v>0</v>
      </c>
      <c r="G2157" cm="1">
        <f t="array" ref="G2157">_xlfn.XLOOKUP(C2157,Account_Master!A:A,Account_Master!C:C,"Not on master")</f>
        <v>0</v>
      </c>
      <c r="H2157" s="6">
        <v>6</v>
      </c>
      <c r="I2157" s="6">
        <v>6</v>
      </c>
      <c r="J2157" s="6">
        <f>I2157-H2157</f>
        <v>0</v>
      </c>
      <c r="K2157" s="5">
        <f>IF(H2157=0,"",J2157/H2157)</f>
        <v>0</v>
      </c>
      <c r="L2157">
        <f>IF(OR(AND(H2157=0,ABS(J2157)&gt;=0.01),AND(H2157&lt;&gt;0,ABS(K2157)&gt;VarianceThreshold)),"Review","OK")</f>
        <v>0</v>
      </c>
      <c r="M2157" t="s">
        <v>33</v>
      </c>
    </row>
    <row r="2158" spans="1:13">
      <c r="A2158" t="s">
        <v>3</v>
      </c>
      <c r="B2158" t="s">
        <v>428</v>
      </c>
      <c r="C2158" t="s">
        <v>2190</v>
      </c>
      <c r="D2158" t="s">
        <v>2191</v>
      </c>
      <c r="E2158" cm="1">
        <f t="array" ref="E2158">_xlfn.XLOOKUP(D2158,SKU_Master!A:A,SKU_Master!B:B,"Not on master")</f>
        <v>0</v>
      </c>
      <c r="F2158" cm="1">
        <f t="array" ref="F2158">_xlfn.XLOOKUP(C2158,Account_Master!A:A,Account_Master!B:B,"Not on master")</f>
        <v>0</v>
      </c>
      <c r="G2158" cm="1">
        <f t="array" ref="G2158">_xlfn.XLOOKUP(C2158,Account_Master!A:A,Account_Master!C:C,"Not on master")</f>
        <v>0</v>
      </c>
      <c r="H2158" s="6">
        <v>1.5</v>
      </c>
      <c r="I2158" s="6">
        <v>1.5</v>
      </c>
      <c r="J2158" s="6">
        <f>I2158-H2158</f>
        <v>0</v>
      </c>
      <c r="K2158" s="5">
        <f>IF(H2158=0,"",J2158/H2158)</f>
        <v>0</v>
      </c>
      <c r="L2158">
        <f>IF(OR(AND(H2158=0,ABS(J2158)&gt;=0.01),AND(H2158&lt;&gt;0,ABS(K2158)&gt;VarianceThreshold)),"Review","OK")</f>
        <v>0</v>
      </c>
      <c r="M2158" t="s">
        <v>33</v>
      </c>
    </row>
    <row r="2159" spans="1:13">
      <c r="A2159" t="s">
        <v>3</v>
      </c>
      <c r="B2159" t="s">
        <v>428</v>
      </c>
      <c r="C2159" t="s">
        <v>2116</v>
      </c>
      <c r="D2159" t="s">
        <v>2192</v>
      </c>
      <c r="E2159" cm="1">
        <f t="array" ref="E2159">_xlfn.XLOOKUP(D2159,SKU_Master!A:A,SKU_Master!B:B,"Not on master")</f>
        <v>0</v>
      </c>
      <c r="F2159" cm="1">
        <f t="array" ref="F2159">_xlfn.XLOOKUP(C2159,Account_Master!A:A,Account_Master!B:B,"Not on master")</f>
        <v>0</v>
      </c>
      <c r="G2159" cm="1">
        <f t="array" ref="G2159">_xlfn.XLOOKUP(C2159,Account_Master!A:A,Account_Master!C:C,"Not on master")</f>
        <v>0</v>
      </c>
      <c r="H2159" s="6">
        <v>9.75</v>
      </c>
      <c r="I2159" s="6">
        <v>9.75</v>
      </c>
      <c r="J2159" s="6">
        <f>I2159-H2159</f>
        <v>0</v>
      </c>
      <c r="K2159" s="5">
        <f>IF(H2159=0,"",J2159/H2159)</f>
        <v>0</v>
      </c>
      <c r="L2159">
        <f>IF(OR(AND(H2159=0,ABS(J2159)&gt;=0.01),AND(H2159&lt;&gt;0,ABS(K2159)&gt;VarianceThreshold)),"Review","OK")</f>
        <v>0</v>
      </c>
      <c r="M2159" t="s">
        <v>33</v>
      </c>
    </row>
    <row r="2160" spans="1:13">
      <c r="A2160" t="s">
        <v>3</v>
      </c>
      <c r="B2160" t="s">
        <v>428</v>
      </c>
      <c r="C2160" t="s">
        <v>2193</v>
      </c>
      <c r="D2160" t="s">
        <v>1732</v>
      </c>
      <c r="E2160" cm="1">
        <f t="array" ref="E2160">_xlfn.XLOOKUP(D2160,SKU_Master!A:A,SKU_Master!B:B,"Not on master")</f>
        <v>0</v>
      </c>
      <c r="F2160" cm="1">
        <f t="array" ref="F2160">_xlfn.XLOOKUP(C2160,Account_Master!A:A,Account_Master!B:B,"Not on master")</f>
        <v>0</v>
      </c>
      <c r="G2160" cm="1">
        <f t="array" ref="G2160">_xlfn.XLOOKUP(C2160,Account_Master!A:A,Account_Master!C:C,"Not on master")</f>
        <v>0</v>
      </c>
      <c r="H2160" s="6">
        <v>20.4</v>
      </c>
      <c r="I2160" s="6">
        <v>20.4</v>
      </c>
      <c r="J2160" s="6">
        <f>I2160-H2160</f>
        <v>0</v>
      </c>
      <c r="K2160" s="5">
        <f>IF(H2160=0,"",J2160/H2160)</f>
        <v>0</v>
      </c>
      <c r="L2160">
        <f>IF(OR(AND(H2160=0,ABS(J2160)&gt;=0.01),AND(H2160&lt;&gt;0,ABS(K2160)&gt;VarianceThreshold)),"Review","OK")</f>
        <v>0</v>
      </c>
      <c r="M2160" t="s">
        <v>33</v>
      </c>
    </row>
    <row r="2161" spans="1:13">
      <c r="A2161" t="s">
        <v>3</v>
      </c>
      <c r="B2161" t="s">
        <v>428</v>
      </c>
      <c r="C2161" t="s">
        <v>2046</v>
      </c>
      <c r="D2161" t="s">
        <v>1292</v>
      </c>
      <c r="E2161" cm="1">
        <f t="array" ref="E2161">_xlfn.XLOOKUP(D2161,SKU_Master!A:A,SKU_Master!B:B,"Not on master")</f>
        <v>0</v>
      </c>
      <c r="F2161" cm="1">
        <f t="array" ref="F2161">_xlfn.XLOOKUP(C2161,Account_Master!A:A,Account_Master!B:B,"Not on master")</f>
        <v>0</v>
      </c>
      <c r="G2161" cm="1">
        <f t="array" ref="G2161">_xlfn.XLOOKUP(C2161,Account_Master!A:A,Account_Master!C:C,"Not on master")</f>
        <v>0</v>
      </c>
      <c r="H2161" s="6">
        <v>24</v>
      </c>
      <c r="I2161" s="6">
        <v>24</v>
      </c>
      <c r="J2161" s="6">
        <f>I2161-H2161</f>
        <v>0</v>
      </c>
      <c r="K2161" s="5">
        <f>IF(H2161=0,"",J2161/H2161)</f>
        <v>0</v>
      </c>
      <c r="L2161">
        <f>IF(OR(AND(H2161=0,ABS(J2161)&gt;=0.01),AND(H2161&lt;&gt;0,ABS(K2161)&gt;VarianceThreshold)),"Review","OK")</f>
        <v>0</v>
      </c>
      <c r="M2161" t="s">
        <v>33</v>
      </c>
    </row>
    <row r="2162" spans="1:13">
      <c r="A2162" t="s">
        <v>3</v>
      </c>
      <c r="B2162" t="s">
        <v>428</v>
      </c>
      <c r="C2162" t="s">
        <v>2194</v>
      </c>
      <c r="D2162" t="s">
        <v>1324</v>
      </c>
      <c r="E2162" cm="1">
        <f t="array" ref="E2162">_xlfn.XLOOKUP(D2162,SKU_Master!A:A,SKU_Master!B:B,"Not on master")</f>
        <v>0</v>
      </c>
      <c r="F2162" cm="1">
        <f t="array" ref="F2162">_xlfn.XLOOKUP(C2162,Account_Master!A:A,Account_Master!B:B,"Not on master")</f>
        <v>0</v>
      </c>
      <c r="G2162" cm="1">
        <f t="array" ref="G2162">_xlfn.XLOOKUP(C2162,Account_Master!A:A,Account_Master!C:C,"Not on master")</f>
        <v>0</v>
      </c>
      <c r="H2162" s="6">
        <v>130.5</v>
      </c>
      <c r="I2162" s="6">
        <v>130.5</v>
      </c>
      <c r="J2162" s="6">
        <f>I2162-H2162</f>
        <v>0</v>
      </c>
      <c r="K2162" s="5">
        <f>IF(H2162=0,"",J2162/H2162)</f>
        <v>0</v>
      </c>
      <c r="L2162">
        <f>IF(OR(AND(H2162=0,ABS(J2162)&gt;=0.01),AND(H2162&lt;&gt;0,ABS(K2162)&gt;VarianceThreshold)),"Review","OK")</f>
        <v>0</v>
      </c>
      <c r="M2162" t="s">
        <v>33</v>
      </c>
    </row>
    <row r="2163" spans="1:13">
      <c r="A2163" t="s">
        <v>3</v>
      </c>
      <c r="B2163" t="s">
        <v>428</v>
      </c>
      <c r="C2163" t="s">
        <v>2030</v>
      </c>
      <c r="D2163" t="s">
        <v>572</v>
      </c>
      <c r="E2163" cm="1">
        <f t="array" ref="E2163">_xlfn.XLOOKUP(D2163,SKU_Master!A:A,SKU_Master!B:B,"Not on master")</f>
        <v>0</v>
      </c>
      <c r="F2163" cm="1">
        <f t="array" ref="F2163">_xlfn.XLOOKUP(C2163,Account_Master!A:A,Account_Master!B:B,"Not on master")</f>
        <v>0</v>
      </c>
      <c r="G2163" cm="1">
        <f t="array" ref="G2163">_xlfn.XLOOKUP(C2163,Account_Master!A:A,Account_Master!C:C,"Not on master")</f>
        <v>0</v>
      </c>
      <c r="H2163" s="6">
        <v>24</v>
      </c>
      <c r="I2163" s="6">
        <v>24</v>
      </c>
      <c r="J2163" s="6">
        <f>I2163-H2163</f>
        <v>0</v>
      </c>
      <c r="K2163" s="5">
        <f>IF(H2163=0,"",J2163/H2163)</f>
        <v>0</v>
      </c>
      <c r="L2163">
        <f>IF(OR(AND(H2163=0,ABS(J2163)&gt;=0.01),AND(H2163&lt;&gt;0,ABS(K2163)&gt;VarianceThreshold)),"Review","OK")</f>
        <v>0</v>
      </c>
      <c r="M2163" t="s">
        <v>33</v>
      </c>
    </row>
    <row r="2164" spans="1:13">
      <c r="A2164" t="s">
        <v>3</v>
      </c>
      <c r="B2164" t="s">
        <v>428</v>
      </c>
      <c r="C2164" t="s">
        <v>2046</v>
      </c>
      <c r="D2164" t="s">
        <v>932</v>
      </c>
      <c r="E2164" cm="1">
        <f t="array" ref="E2164">_xlfn.XLOOKUP(D2164,SKU_Master!A:A,SKU_Master!B:B,"Not on master")</f>
        <v>0</v>
      </c>
      <c r="F2164" cm="1">
        <f t="array" ref="F2164">_xlfn.XLOOKUP(C2164,Account_Master!A:A,Account_Master!B:B,"Not on master")</f>
        <v>0</v>
      </c>
      <c r="G2164" cm="1">
        <f t="array" ref="G2164">_xlfn.XLOOKUP(C2164,Account_Master!A:A,Account_Master!C:C,"Not on master")</f>
        <v>0</v>
      </c>
      <c r="H2164" s="6">
        <v>32.25</v>
      </c>
      <c r="I2164" s="6">
        <v>32.25</v>
      </c>
      <c r="J2164" s="6">
        <f>I2164-H2164</f>
        <v>0</v>
      </c>
      <c r="K2164" s="5">
        <f>IF(H2164=0,"",J2164/H2164)</f>
        <v>0</v>
      </c>
      <c r="L2164">
        <f>IF(OR(AND(H2164=0,ABS(J2164)&gt;=0.01),AND(H2164&lt;&gt;0,ABS(K2164)&gt;VarianceThreshold)),"Review","OK")</f>
        <v>0</v>
      </c>
      <c r="M2164" t="s">
        <v>33</v>
      </c>
    </row>
    <row r="2165" spans="1:13">
      <c r="A2165" t="s">
        <v>3</v>
      </c>
      <c r="B2165" t="s">
        <v>436</v>
      </c>
      <c r="C2165" t="s">
        <v>2015</v>
      </c>
      <c r="D2165" t="s">
        <v>2195</v>
      </c>
      <c r="E2165" cm="1">
        <f t="array" ref="E2165">_xlfn.XLOOKUP(D2165,SKU_Master!A:A,SKU_Master!B:B,"Not on master")</f>
        <v>0</v>
      </c>
      <c r="F2165" cm="1">
        <f t="array" ref="F2165">_xlfn.XLOOKUP(C2165,Account_Master!A:A,Account_Master!B:B,"Not on master")</f>
        <v>0</v>
      </c>
      <c r="G2165" cm="1">
        <f t="array" ref="G2165">_xlfn.XLOOKUP(C2165,Account_Master!A:A,Account_Master!C:C,"Not on master")</f>
        <v>0</v>
      </c>
      <c r="H2165" s="6">
        <v>4.49</v>
      </c>
      <c r="I2165" s="6">
        <v>4.49</v>
      </c>
      <c r="J2165" s="6">
        <f>I2165-H2165</f>
        <v>0</v>
      </c>
      <c r="K2165" s="5">
        <f>IF(H2165=0,"",J2165/H2165)</f>
        <v>0</v>
      </c>
      <c r="L2165">
        <f>IF(OR(AND(H2165=0,ABS(J2165)&gt;=0.01),AND(H2165&lt;&gt;0,ABS(K2165)&gt;VarianceThreshold)),"Review","OK")</f>
        <v>0</v>
      </c>
      <c r="M2165" t="s">
        <v>33</v>
      </c>
    </row>
    <row r="2166" spans="1:13">
      <c r="A2166" t="s">
        <v>3</v>
      </c>
      <c r="B2166" t="s">
        <v>436</v>
      </c>
      <c r="C2166" t="s">
        <v>1837</v>
      </c>
      <c r="D2166" t="s">
        <v>109</v>
      </c>
      <c r="E2166" cm="1">
        <f t="array" ref="E2166">_xlfn.XLOOKUP(D2166,SKU_Master!A:A,SKU_Master!B:B,"Not on master")</f>
        <v>0</v>
      </c>
      <c r="F2166" cm="1">
        <f t="array" ref="F2166">_xlfn.XLOOKUP(C2166,Account_Master!A:A,Account_Master!B:B,"Not on master")</f>
        <v>0</v>
      </c>
      <c r="G2166" cm="1">
        <f t="array" ref="G2166">_xlfn.XLOOKUP(C2166,Account_Master!A:A,Account_Master!C:C,"Not on master")</f>
        <v>0</v>
      </c>
      <c r="H2166" s="6">
        <v>10.5</v>
      </c>
      <c r="I2166" s="6">
        <v>10.5</v>
      </c>
      <c r="J2166" s="6">
        <f>I2166-H2166</f>
        <v>0</v>
      </c>
      <c r="K2166" s="5">
        <f>IF(H2166=0,"",J2166/H2166)</f>
        <v>0</v>
      </c>
      <c r="L2166">
        <f>IF(OR(AND(H2166=0,ABS(J2166)&gt;=0.01),AND(H2166&lt;&gt;0,ABS(K2166)&gt;VarianceThreshold)),"Review","OK")</f>
        <v>0</v>
      </c>
      <c r="M2166" t="s">
        <v>33</v>
      </c>
    </row>
    <row r="2167" spans="1:13">
      <c r="A2167" t="s">
        <v>3</v>
      </c>
      <c r="B2167" t="s">
        <v>436</v>
      </c>
      <c r="C2167" t="s">
        <v>2027</v>
      </c>
      <c r="D2167" t="s">
        <v>2196</v>
      </c>
      <c r="E2167" cm="1">
        <f t="array" ref="E2167">_xlfn.XLOOKUP(D2167,SKU_Master!A:A,SKU_Master!B:B,"Not on master")</f>
        <v>0</v>
      </c>
      <c r="F2167" cm="1">
        <f t="array" ref="F2167">_xlfn.XLOOKUP(C2167,Account_Master!A:A,Account_Master!B:B,"Not on master")</f>
        <v>0</v>
      </c>
      <c r="G2167" cm="1">
        <f t="array" ref="G2167">_xlfn.XLOOKUP(C2167,Account_Master!A:A,Account_Master!C:C,"Not on master")</f>
        <v>0</v>
      </c>
      <c r="H2167" s="6">
        <v>2.25</v>
      </c>
      <c r="I2167" s="6">
        <v>2.25</v>
      </c>
      <c r="J2167" s="6">
        <f>I2167-H2167</f>
        <v>0</v>
      </c>
      <c r="K2167" s="5">
        <f>IF(H2167=0,"",J2167/H2167)</f>
        <v>0</v>
      </c>
      <c r="L2167">
        <f>IF(OR(AND(H2167=0,ABS(J2167)&gt;=0.01),AND(H2167&lt;&gt;0,ABS(K2167)&gt;VarianceThreshold)),"Review","OK")</f>
        <v>0</v>
      </c>
      <c r="M2167" t="s">
        <v>33</v>
      </c>
    </row>
    <row r="2168" spans="1:13">
      <c r="A2168" t="s">
        <v>3</v>
      </c>
      <c r="B2168" t="s">
        <v>436</v>
      </c>
      <c r="C2168" t="s">
        <v>580</v>
      </c>
      <c r="D2168" t="s">
        <v>1484</v>
      </c>
      <c r="E2168" cm="1">
        <f t="array" ref="E2168">_xlfn.XLOOKUP(D2168,SKU_Master!A:A,SKU_Master!B:B,"Not on master")</f>
        <v>0</v>
      </c>
      <c r="F2168" cm="1">
        <f t="array" ref="F2168">_xlfn.XLOOKUP(C2168,Account_Master!A:A,Account_Master!B:B,"Not on master")</f>
        <v>0</v>
      </c>
      <c r="G2168" cm="1">
        <f t="array" ref="G2168">_xlfn.XLOOKUP(C2168,Account_Master!A:A,Account_Master!C:C,"Not on master")</f>
        <v>0</v>
      </c>
      <c r="H2168" s="6">
        <v>3</v>
      </c>
      <c r="I2168" s="6">
        <v>3</v>
      </c>
      <c r="J2168" s="6">
        <f>I2168-H2168</f>
        <v>0</v>
      </c>
      <c r="K2168" s="5">
        <f>IF(H2168=0,"",J2168/H2168)</f>
        <v>0</v>
      </c>
      <c r="L2168">
        <f>IF(OR(AND(H2168=0,ABS(J2168)&gt;=0.01),AND(H2168&lt;&gt;0,ABS(K2168)&gt;VarianceThreshold)),"Review","OK")</f>
        <v>0</v>
      </c>
      <c r="M2168" t="s">
        <v>33</v>
      </c>
    </row>
    <row r="2169" spans="1:13">
      <c r="A2169" t="s">
        <v>3</v>
      </c>
      <c r="B2169" t="s">
        <v>436</v>
      </c>
      <c r="C2169" t="s">
        <v>2167</v>
      </c>
      <c r="D2169" t="s">
        <v>2197</v>
      </c>
      <c r="E2169" cm="1">
        <f t="array" ref="E2169">_xlfn.XLOOKUP(D2169,SKU_Master!A:A,SKU_Master!B:B,"Not on master")</f>
        <v>0</v>
      </c>
      <c r="F2169" cm="1">
        <f t="array" ref="F2169">_xlfn.XLOOKUP(C2169,Account_Master!A:A,Account_Master!B:B,"Not on master")</f>
        <v>0</v>
      </c>
      <c r="G2169" cm="1">
        <f t="array" ref="G2169">_xlfn.XLOOKUP(C2169,Account_Master!A:A,Account_Master!C:C,"Not on master")</f>
        <v>0</v>
      </c>
      <c r="H2169" s="6">
        <v>0.55</v>
      </c>
      <c r="I2169" s="6">
        <v>0.55</v>
      </c>
      <c r="J2169" s="6">
        <f>I2169-H2169</f>
        <v>0</v>
      </c>
      <c r="K2169" s="5">
        <f>IF(H2169=0,"",J2169/H2169)</f>
        <v>0</v>
      </c>
      <c r="L2169">
        <f>IF(OR(AND(H2169=0,ABS(J2169)&gt;=0.01),AND(H2169&lt;&gt;0,ABS(K2169)&gt;VarianceThreshold)),"Review","OK")</f>
        <v>0</v>
      </c>
      <c r="M2169" t="s">
        <v>33</v>
      </c>
    </row>
    <row r="2170" spans="1:13">
      <c r="A2170" t="s">
        <v>3</v>
      </c>
      <c r="B2170" t="s">
        <v>436</v>
      </c>
      <c r="C2170" t="s">
        <v>2198</v>
      </c>
      <c r="D2170" t="s">
        <v>2199</v>
      </c>
      <c r="E2170" cm="1">
        <f t="array" ref="E2170">_xlfn.XLOOKUP(D2170,SKU_Master!A:A,SKU_Master!B:B,"Not on master")</f>
        <v>0</v>
      </c>
      <c r="F2170" cm="1">
        <f t="array" ref="F2170">_xlfn.XLOOKUP(C2170,Account_Master!A:A,Account_Master!B:B,"Not on master")</f>
        <v>0</v>
      </c>
      <c r="G2170" cm="1">
        <f t="array" ref="G2170">_xlfn.XLOOKUP(C2170,Account_Master!A:A,Account_Master!C:C,"Not on master")</f>
        <v>0</v>
      </c>
      <c r="H2170" s="6">
        <v>2.25</v>
      </c>
      <c r="I2170" s="6">
        <v>2.25</v>
      </c>
      <c r="J2170" s="6">
        <f>I2170-H2170</f>
        <v>0</v>
      </c>
      <c r="K2170" s="5">
        <f>IF(H2170=0,"",J2170/H2170)</f>
        <v>0</v>
      </c>
      <c r="L2170">
        <f>IF(OR(AND(H2170=0,ABS(J2170)&gt;=0.01),AND(H2170&lt;&gt;0,ABS(K2170)&gt;VarianceThreshold)),"Review","OK")</f>
        <v>0</v>
      </c>
      <c r="M2170" t="s">
        <v>33</v>
      </c>
    </row>
    <row r="2171" spans="1:13">
      <c r="A2171" t="s">
        <v>3</v>
      </c>
      <c r="B2171" t="s">
        <v>447</v>
      </c>
      <c r="C2171" t="s">
        <v>2200</v>
      </c>
      <c r="D2171" t="s">
        <v>2201</v>
      </c>
      <c r="E2171" cm="1">
        <f t="array" ref="E2171">_xlfn.XLOOKUP(D2171,SKU_Master!A:A,SKU_Master!B:B,"Not on master")</f>
        <v>0</v>
      </c>
      <c r="F2171" cm="1">
        <f t="array" ref="F2171">_xlfn.XLOOKUP(C2171,Account_Master!A:A,Account_Master!B:B,"Not on master")</f>
        <v>0</v>
      </c>
      <c r="G2171" cm="1">
        <f t="array" ref="G2171">_xlfn.XLOOKUP(C2171,Account_Master!A:A,Account_Master!C:C,"Not on master")</f>
        <v>0</v>
      </c>
      <c r="H2171" s="6">
        <v>17.6</v>
      </c>
      <c r="I2171" s="6">
        <v>17.6</v>
      </c>
      <c r="J2171" s="6">
        <f>I2171-H2171</f>
        <v>0</v>
      </c>
      <c r="K2171" s="5">
        <f>IF(H2171=0,"",J2171/H2171)</f>
        <v>0</v>
      </c>
      <c r="L2171">
        <f>IF(OR(AND(H2171=0,ABS(J2171)&gt;=0.01),AND(H2171&lt;&gt;0,ABS(K2171)&gt;VarianceThreshold)),"Review","OK")</f>
        <v>0</v>
      </c>
      <c r="M2171" t="s">
        <v>33</v>
      </c>
    </row>
    <row r="2172" spans="1:13">
      <c r="A2172" t="s">
        <v>3</v>
      </c>
      <c r="B2172" t="s">
        <v>447</v>
      </c>
      <c r="C2172" t="s">
        <v>2202</v>
      </c>
      <c r="D2172" t="s">
        <v>2203</v>
      </c>
      <c r="E2172" cm="1">
        <f t="array" ref="E2172">_xlfn.XLOOKUP(D2172,SKU_Master!A:A,SKU_Master!B:B,"Not on master")</f>
        <v>0</v>
      </c>
      <c r="F2172" cm="1">
        <f t="array" ref="F2172">_xlfn.XLOOKUP(C2172,Account_Master!A:A,Account_Master!B:B,"Not on master")</f>
        <v>0</v>
      </c>
      <c r="G2172" cm="1">
        <f t="array" ref="G2172">_xlfn.XLOOKUP(C2172,Account_Master!A:A,Account_Master!C:C,"Not on master")</f>
        <v>0</v>
      </c>
      <c r="H2172" s="6">
        <v>0.05</v>
      </c>
      <c r="I2172" s="6">
        <v>0.05</v>
      </c>
      <c r="J2172" s="6">
        <f>I2172-H2172</f>
        <v>0</v>
      </c>
      <c r="K2172" s="5">
        <f>IF(H2172=0,"",J2172/H2172)</f>
        <v>0</v>
      </c>
      <c r="L2172">
        <f>IF(OR(AND(H2172=0,ABS(J2172)&gt;=0.01),AND(H2172&lt;&gt;0,ABS(K2172)&gt;VarianceThreshold)),"Review","OK")</f>
        <v>0</v>
      </c>
      <c r="M2172" t="s">
        <v>33</v>
      </c>
    </row>
    <row r="2173" spans="1:13">
      <c r="A2173" t="s">
        <v>3</v>
      </c>
      <c r="B2173" t="s">
        <v>447</v>
      </c>
      <c r="C2173" t="s">
        <v>2058</v>
      </c>
      <c r="D2173" t="s">
        <v>2204</v>
      </c>
      <c r="E2173" cm="1">
        <f t="array" ref="E2173">_xlfn.XLOOKUP(D2173,SKU_Master!A:A,SKU_Master!B:B,"Not on master")</f>
        <v>0</v>
      </c>
      <c r="F2173" cm="1">
        <f t="array" ref="F2173">_xlfn.XLOOKUP(C2173,Account_Master!A:A,Account_Master!B:B,"Not on master")</f>
        <v>0</v>
      </c>
      <c r="G2173" cm="1">
        <f t="array" ref="G2173">_xlfn.XLOOKUP(C2173,Account_Master!A:A,Account_Master!C:C,"Not on master")</f>
        <v>0</v>
      </c>
      <c r="H2173" s="6">
        <v>887</v>
      </c>
      <c r="I2173" s="6">
        <v>887</v>
      </c>
      <c r="J2173" s="6">
        <f>I2173-H2173</f>
        <v>0</v>
      </c>
      <c r="K2173" s="5">
        <f>IF(H2173=0,"",J2173/H2173)</f>
        <v>0</v>
      </c>
      <c r="L2173">
        <f>IF(OR(AND(H2173=0,ABS(J2173)&gt;=0.01),AND(H2173&lt;&gt;0,ABS(K2173)&gt;VarianceThreshold)),"Review","OK")</f>
        <v>0</v>
      </c>
      <c r="M2173" t="s">
        <v>33</v>
      </c>
    </row>
    <row r="2174" spans="1:13">
      <c r="A2174" t="s">
        <v>3</v>
      </c>
      <c r="B2174" t="s">
        <v>447</v>
      </c>
      <c r="C2174" t="s">
        <v>2041</v>
      </c>
      <c r="D2174" t="s">
        <v>793</v>
      </c>
      <c r="E2174" cm="1">
        <f t="array" ref="E2174">_xlfn.XLOOKUP(D2174,SKU_Master!A:A,SKU_Master!B:B,"Not on master")</f>
        <v>0</v>
      </c>
      <c r="F2174" cm="1">
        <f t="array" ref="F2174">_xlfn.XLOOKUP(C2174,Account_Master!A:A,Account_Master!B:B,"Not on master")</f>
        <v>0</v>
      </c>
      <c r="G2174" cm="1">
        <f t="array" ref="G2174">_xlfn.XLOOKUP(C2174,Account_Master!A:A,Account_Master!C:C,"Not on master")</f>
        <v>0</v>
      </c>
      <c r="H2174" s="6">
        <v>1.5</v>
      </c>
      <c r="I2174" s="6">
        <v>1.5</v>
      </c>
      <c r="J2174" s="6">
        <f>I2174-H2174</f>
        <v>0</v>
      </c>
      <c r="K2174" s="5">
        <f>IF(H2174=0,"",J2174/H2174)</f>
        <v>0</v>
      </c>
      <c r="L2174">
        <f>IF(OR(AND(H2174=0,ABS(J2174)&gt;=0.01),AND(H2174&lt;&gt;0,ABS(K2174)&gt;VarianceThreshold)),"Review","OK")</f>
        <v>0</v>
      </c>
      <c r="M2174" t="s">
        <v>33</v>
      </c>
    </row>
    <row r="2175" spans="1:13">
      <c r="A2175" t="s">
        <v>3</v>
      </c>
      <c r="B2175" t="s">
        <v>447</v>
      </c>
      <c r="C2175" t="s">
        <v>2205</v>
      </c>
      <c r="D2175" t="s">
        <v>1384</v>
      </c>
      <c r="E2175" cm="1">
        <f t="array" ref="E2175">_xlfn.XLOOKUP(D2175,SKU_Master!A:A,SKU_Master!B:B,"Not on master")</f>
        <v>0</v>
      </c>
      <c r="F2175" cm="1">
        <f t="array" ref="F2175">_xlfn.XLOOKUP(C2175,Account_Master!A:A,Account_Master!B:B,"Not on master")</f>
        <v>0</v>
      </c>
      <c r="G2175" cm="1">
        <f t="array" ref="G2175">_xlfn.XLOOKUP(C2175,Account_Master!A:A,Account_Master!C:C,"Not on master")</f>
        <v>0</v>
      </c>
      <c r="H2175" s="6">
        <v>0.2</v>
      </c>
      <c r="I2175" s="6">
        <v>0.2</v>
      </c>
      <c r="J2175" s="6">
        <f>I2175-H2175</f>
        <v>0</v>
      </c>
      <c r="K2175" s="5">
        <f>IF(H2175=0,"",J2175/H2175)</f>
        <v>0</v>
      </c>
      <c r="L2175">
        <f>IF(OR(AND(H2175=0,ABS(J2175)&gt;=0.01),AND(H2175&lt;&gt;0,ABS(K2175)&gt;VarianceThreshold)),"Review","OK")</f>
        <v>0</v>
      </c>
      <c r="M2175" t="s">
        <v>33</v>
      </c>
    </row>
    <row r="2176" spans="1:13">
      <c r="A2176" t="s">
        <v>3</v>
      </c>
      <c r="B2176" t="s">
        <v>1278</v>
      </c>
      <c r="C2176" t="s">
        <v>2027</v>
      </c>
      <c r="D2176" t="s">
        <v>2206</v>
      </c>
      <c r="E2176" cm="1">
        <f t="array" ref="E2176">_xlfn.XLOOKUP(D2176,SKU_Master!A:A,SKU_Master!B:B,"Not on master")</f>
        <v>0</v>
      </c>
      <c r="F2176" cm="1">
        <f t="array" ref="F2176">_xlfn.XLOOKUP(C2176,Account_Master!A:A,Account_Master!B:B,"Not on master")</f>
        <v>0</v>
      </c>
      <c r="G2176" cm="1">
        <f t="array" ref="G2176">_xlfn.XLOOKUP(C2176,Account_Master!A:A,Account_Master!C:C,"Not on master")</f>
        <v>0</v>
      </c>
      <c r="H2176" s="6">
        <v>1.5</v>
      </c>
      <c r="I2176" s="6">
        <v>1.5</v>
      </c>
      <c r="J2176" s="6">
        <f>I2176-H2176</f>
        <v>0</v>
      </c>
      <c r="K2176" s="5">
        <f>IF(H2176=0,"",J2176/H2176)</f>
        <v>0</v>
      </c>
      <c r="L2176">
        <f>IF(OR(AND(H2176=0,ABS(J2176)&gt;=0.01),AND(H2176&lt;&gt;0,ABS(K2176)&gt;VarianceThreshold)),"Review","OK")</f>
        <v>0</v>
      </c>
      <c r="M2176" t="s">
        <v>33</v>
      </c>
    </row>
    <row r="2177" spans="1:13">
      <c r="A2177" t="s">
        <v>3</v>
      </c>
      <c r="B2177" t="s">
        <v>1278</v>
      </c>
      <c r="C2177" t="s">
        <v>2073</v>
      </c>
      <c r="D2177" t="s">
        <v>1554</v>
      </c>
      <c r="E2177" cm="1">
        <f t="array" ref="E2177">_xlfn.XLOOKUP(D2177,SKU_Master!A:A,SKU_Master!B:B,"Not on master")</f>
        <v>0</v>
      </c>
      <c r="F2177" cm="1">
        <f t="array" ref="F2177">_xlfn.XLOOKUP(C2177,Account_Master!A:A,Account_Master!B:B,"Not on master")</f>
        <v>0</v>
      </c>
      <c r="G2177" cm="1">
        <f t="array" ref="G2177">_xlfn.XLOOKUP(C2177,Account_Master!A:A,Account_Master!C:C,"Not on master")</f>
        <v>0</v>
      </c>
      <c r="H2177" s="6">
        <v>12.75</v>
      </c>
      <c r="I2177" s="6">
        <v>12.75</v>
      </c>
      <c r="J2177" s="6">
        <f>I2177-H2177</f>
        <v>0</v>
      </c>
      <c r="K2177" s="5">
        <f>IF(H2177=0,"",J2177/H2177)</f>
        <v>0</v>
      </c>
      <c r="L2177">
        <f>IF(OR(AND(H2177=0,ABS(J2177)&gt;=0.01),AND(H2177&lt;&gt;0,ABS(K2177)&gt;VarianceThreshold)),"Review","OK")</f>
        <v>0</v>
      </c>
      <c r="M2177" t="s">
        <v>33</v>
      </c>
    </row>
    <row r="2178" spans="1:13">
      <c r="A2178" t="s">
        <v>3</v>
      </c>
      <c r="B2178" t="s">
        <v>1278</v>
      </c>
      <c r="C2178" t="s">
        <v>2096</v>
      </c>
      <c r="D2178" t="s">
        <v>537</v>
      </c>
      <c r="E2178" cm="1">
        <f t="array" ref="E2178">_xlfn.XLOOKUP(D2178,SKU_Master!A:A,SKU_Master!B:B,"Not on master")</f>
        <v>0</v>
      </c>
      <c r="F2178" cm="1">
        <f t="array" ref="F2178">_xlfn.XLOOKUP(C2178,Account_Master!A:A,Account_Master!B:B,"Not on master")</f>
        <v>0</v>
      </c>
      <c r="G2178" cm="1">
        <f t="array" ref="G2178">_xlfn.XLOOKUP(C2178,Account_Master!A:A,Account_Master!C:C,"Not on master")</f>
        <v>0</v>
      </c>
      <c r="H2178" s="6">
        <v>13.5</v>
      </c>
      <c r="I2178" s="6">
        <v>13.5</v>
      </c>
      <c r="J2178" s="6">
        <f>I2178-H2178</f>
        <v>0</v>
      </c>
      <c r="K2178" s="5">
        <f>IF(H2178=0,"",J2178/H2178)</f>
        <v>0</v>
      </c>
      <c r="L2178">
        <f>IF(OR(AND(H2178=0,ABS(J2178)&gt;=0.01),AND(H2178&lt;&gt;0,ABS(K2178)&gt;VarianceThreshold)),"Review","OK")</f>
        <v>0</v>
      </c>
      <c r="M2178" t="s">
        <v>33</v>
      </c>
    </row>
    <row r="2179" spans="1:13">
      <c r="A2179" t="s">
        <v>3</v>
      </c>
      <c r="B2179" t="s">
        <v>1278</v>
      </c>
      <c r="C2179" t="s">
        <v>2022</v>
      </c>
      <c r="D2179" t="s">
        <v>1392</v>
      </c>
      <c r="E2179" cm="1">
        <f t="array" ref="E2179">_xlfn.XLOOKUP(D2179,SKU_Master!A:A,SKU_Master!B:B,"Not on master")</f>
        <v>0</v>
      </c>
      <c r="F2179" cm="1">
        <f t="array" ref="F2179">_xlfn.XLOOKUP(C2179,Account_Master!A:A,Account_Master!B:B,"Not on master")</f>
        <v>0</v>
      </c>
      <c r="G2179" cm="1">
        <f t="array" ref="G2179">_xlfn.XLOOKUP(C2179,Account_Master!A:A,Account_Master!C:C,"Not on master")</f>
        <v>0</v>
      </c>
      <c r="H2179" s="6">
        <v>12.75</v>
      </c>
      <c r="I2179" s="6">
        <v>12.75</v>
      </c>
      <c r="J2179" s="6">
        <f>I2179-H2179</f>
        <v>0</v>
      </c>
      <c r="K2179" s="5">
        <f>IF(H2179=0,"",J2179/H2179)</f>
        <v>0</v>
      </c>
      <c r="L2179">
        <f>IF(OR(AND(H2179=0,ABS(J2179)&gt;=0.01),AND(H2179&lt;&gt;0,ABS(K2179)&gt;VarianceThreshold)),"Review","OK")</f>
        <v>0</v>
      </c>
      <c r="M2179" t="s">
        <v>33</v>
      </c>
    </row>
    <row r="2180" spans="1:13">
      <c r="A2180" t="s">
        <v>3</v>
      </c>
      <c r="B2180" t="s">
        <v>451</v>
      </c>
      <c r="C2180" t="s">
        <v>2174</v>
      </c>
      <c r="D2180" t="s">
        <v>2207</v>
      </c>
      <c r="E2180" cm="1">
        <f t="array" ref="E2180">_xlfn.XLOOKUP(D2180,SKU_Master!A:A,SKU_Master!B:B,"Not on master")</f>
        <v>0</v>
      </c>
      <c r="F2180" cm="1">
        <f t="array" ref="F2180">_xlfn.XLOOKUP(C2180,Account_Master!A:A,Account_Master!B:B,"Not on master")</f>
        <v>0</v>
      </c>
      <c r="G2180" cm="1">
        <f t="array" ref="G2180">_xlfn.XLOOKUP(C2180,Account_Master!A:A,Account_Master!C:C,"Not on master")</f>
        <v>0</v>
      </c>
      <c r="H2180" s="6">
        <v>18</v>
      </c>
      <c r="I2180" s="6">
        <v>18</v>
      </c>
      <c r="J2180" s="6">
        <f>I2180-H2180</f>
        <v>0</v>
      </c>
      <c r="K2180" s="5">
        <f>IF(H2180=0,"",J2180/H2180)</f>
        <v>0</v>
      </c>
      <c r="L2180">
        <f>IF(OR(AND(H2180=0,ABS(J2180)&gt;=0.01),AND(H2180&lt;&gt;0,ABS(K2180)&gt;VarianceThreshold)),"Review","OK")</f>
        <v>0</v>
      </c>
      <c r="M2180" t="s">
        <v>33</v>
      </c>
    </row>
    <row r="2181" spans="1:13">
      <c r="A2181" t="s">
        <v>3</v>
      </c>
      <c r="B2181" t="s">
        <v>451</v>
      </c>
      <c r="C2181" t="s">
        <v>2066</v>
      </c>
      <c r="D2181" t="s">
        <v>2208</v>
      </c>
      <c r="E2181" cm="1">
        <f t="array" ref="E2181">_xlfn.XLOOKUP(D2181,SKU_Master!A:A,SKU_Master!B:B,"Not on master")</f>
        <v>0</v>
      </c>
      <c r="F2181" cm="1">
        <f t="array" ref="F2181">_xlfn.XLOOKUP(C2181,Account_Master!A:A,Account_Master!B:B,"Not on master")</f>
        <v>0</v>
      </c>
      <c r="G2181" cm="1">
        <f t="array" ref="G2181">_xlfn.XLOOKUP(C2181,Account_Master!A:A,Account_Master!C:C,"Not on master")</f>
        <v>0</v>
      </c>
      <c r="H2181" s="6">
        <v>52.5</v>
      </c>
      <c r="I2181" s="6">
        <v>52.5</v>
      </c>
      <c r="J2181" s="6">
        <f>I2181-H2181</f>
        <v>0</v>
      </c>
      <c r="K2181" s="5">
        <f>IF(H2181=0,"",J2181/H2181)</f>
        <v>0</v>
      </c>
      <c r="L2181">
        <f>IF(OR(AND(H2181=0,ABS(J2181)&gt;=0.01),AND(H2181&lt;&gt;0,ABS(K2181)&gt;VarianceThreshold)),"Review","OK")</f>
        <v>0</v>
      </c>
      <c r="M2181" t="s">
        <v>33</v>
      </c>
    </row>
    <row r="2182" spans="1:13">
      <c r="A2182" t="s">
        <v>3</v>
      </c>
      <c r="B2182" t="s">
        <v>451</v>
      </c>
      <c r="C2182" t="s">
        <v>2022</v>
      </c>
      <c r="D2182" t="s">
        <v>2209</v>
      </c>
      <c r="E2182" cm="1">
        <f t="array" ref="E2182">_xlfn.XLOOKUP(D2182,SKU_Master!A:A,SKU_Master!B:B,"Not on master")</f>
        <v>0</v>
      </c>
      <c r="F2182" cm="1">
        <f t="array" ref="F2182">_xlfn.XLOOKUP(C2182,Account_Master!A:A,Account_Master!B:B,"Not on master")</f>
        <v>0</v>
      </c>
      <c r="G2182" cm="1">
        <f t="array" ref="G2182">_xlfn.XLOOKUP(C2182,Account_Master!A:A,Account_Master!C:C,"Not on master")</f>
        <v>0</v>
      </c>
      <c r="H2182" s="6">
        <v>10.5</v>
      </c>
      <c r="I2182" s="6">
        <v>10.5</v>
      </c>
      <c r="J2182" s="6">
        <f>I2182-H2182</f>
        <v>0</v>
      </c>
      <c r="K2182" s="5">
        <f>IF(H2182=0,"",J2182/H2182)</f>
        <v>0</v>
      </c>
      <c r="L2182">
        <f>IF(OR(AND(H2182=0,ABS(J2182)&gt;=0.01),AND(H2182&lt;&gt;0,ABS(K2182)&gt;VarianceThreshold)),"Review","OK")</f>
        <v>0</v>
      </c>
      <c r="M2182" t="s">
        <v>33</v>
      </c>
    </row>
    <row r="2183" spans="1:13">
      <c r="A2183" t="s">
        <v>3</v>
      </c>
      <c r="B2183" t="s">
        <v>451</v>
      </c>
      <c r="C2183" t="s">
        <v>2033</v>
      </c>
      <c r="D2183" t="s">
        <v>2210</v>
      </c>
      <c r="E2183" cm="1">
        <f t="array" ref="E2183">_xlfn.XLOOKUP(D2183,SKU_Master!A:A,SKU_Master!B:B,"Not on master")</f>
        <v>0</v>
      </c>
      <c r="F2183" cm="1">
        <f t="array" ref="F2183">_xlfn.XLOOKUP(C2183,Account_Master!A:A,Account_Master!B:B,"Not on master")</f>
        <v>0</v>
      </c>
      <c r="G2183" cm="1">
        <f t="array" ref="G2183">_xlfn.XLOOKUP(C2183,Account_Master!A:A,Account_Master!C:C,"Not on master")</f>
        <v>0</v>
      </c>
      <c r="H2183" s="6">
        <v>3</v>
      </c>
      <c r="I2183" s="6">
        <v>3</v>
      </c>
      <c r="J2183" s="6">
        <f>I2183-H2183</f>
        <v>0</v>
      </c>
      <c r="K2183" s="5">
        <f>IF(H2183=0,"",J2183/H2183)</f>
        <v>0</v>
      </c>
      <c r="L2183">
        <f>IF(OR(AND(H2183=0,ABS(J2183)&gt;=0.01),AND(H2183&lt;&gt;0,ABS(K2183)&gt;VarianceThreshold)),"Review","OK")</f>
        <v>0</v>
      </c>
      <c r="M2183" t="s">
        <v>33</v>
      </c>
    </row>
    <row r="2184" spans="1:13">
      <c r="A2184" t="s">
        <v>3</v>
      </c>
      <c r="B2184" t="s">
        <v>451</v>
      </c>
      <c r="C2184" t="s">
        <v>2013</v>
      </c>
      <c r="D2184" t="s">
        <v>1654</v>
      </c>
      <c r="E2184" cm="1">
        <f t="array" ref="E2184">_xlfn.XLOOKUP(D2184,SKU_Master!A:A,SKU_Master!B:B,"Not on master")</f>
        <v>0</v>
      </c>
      <c r="F2184" cm="1">
        <f t="array" ref="F2184">_xlfn.XLOOKUP(C2184,Account_Master!A:A,Account_Master!B:B,"Not on master")</f>
        <v>0</v>
      </c>
      <c r="G2184" cm="1">
        <f t="array" ref="G2184">_xlfn.XLOOKUP(C2184,Account_Master!A:A,Account_Master!C:C,"Not on master")</f>
        <v>0</v>
      </c>
      <c r="H2184" s="6">
        <v>4.5</v>
      </c>
      <c r="I2184" s="6">
        <v>4.5</v>
      </c>
      <c r="J2184" s="6">
        <f>I2184-H2184</f>
        <v>0</v>
      </c>
      <c r="K2184" s="5">
        <f>IF(H2184=0,"",J2184/H2184)</f>
        <v>0</v>
      </c>
      <c r="L2184">
        <f>IF(OR(AND(H2184=0,ABS(J2184)&gt;=0.01),AND(H2184&lt;&gt;0,ABS(K2184)&gt;VarianceThreshold)),"Review","OK")</f>
        <v>0</v>
      </c>
      <c r="M2184" t="s">
        <v>33</v>
      </c>
    </row>
    <row r="2185" spans="1:13">
      <c r="A2185" t="s">
        <v>3</v>
      </c>
      <c r="B2185" t="s">
        <v>451</v>
      </c>
      <c r="C2185" t="s">
        <v>2075</v>
      </c>
      <c r="D2185" t="s">
        <v>473</v>
      </c>
      <c r="E2185" cm="1">
        <f t="array" ref="E2185">_xlfn.XLOOKUP(D2185,SKU_Master!A:A,SKU_Master!B:B,"Not on master")</f>
        <v>0</v>
      </c>
      <c r="F2185" cm="1">
        <f t="array" ref="F2185">_xlfn.XLOOKUP(C2185,Account_Master!A:A,Account_Master!B:B,"Not on master")</f>
        <v>0</v>
      </c>
      <c r="G2185" cm="1">
        <f t="array" ref="G2185">_xlfn.XLOOKUP(C2185,Account_Master!A:A,Account_Master!C:C,"Not on master")</f>
        <v>0</v>
      </c>
      <c r="H2185" s="6">
        <v>102</v>
      </c>
      <c r="I2185" s="6">
        <v>102</v>
      </c>
      <c r="J2185" s="6">
        <f>I2185-H2185</f>
        <v>0</v>
      </c>
      <c r="K2185" s="5">
        <f>IF(H2185=0,"",J2185/H2185)</f>
        <v>0</v>
      </c>
      <c r="L2185">
        <f>IF(OR(AND(H2185=0,ABS(J2185)&gt;=0.01),AND(H2185&lt;&gt;0,ABS(K2185)&gt;VarianceThreshold)),"Review","OK")</f>
        <v>0</v>
      </c>
      <c r="M2185" t="s">
        <v>33</v>
      </c>
    </row>
    <row r="2186" spans="1:13">
      <c r="A2186" t="s">
        <v>3</v>
      </c>
      <c r="B2186" t="s">
        <v>464</v>
      </c>
      <c r="C2186" t="s">
        <v>2033</v>
      </c>
      <c r="D2186" t="s">
        <v>1277</v>
      </c>
      <c r="E2186" cm="1">
        <f t="array" ref="E2186">_xlfn.XLOOKUP(D2186,SKU_Master!A:A,SKU_Master!B:B,"Not on master")</f>
        <v>0</v>
      </c>
      <c r="F2186" cm="1">
        <f t="array" ref="F2186">_xlfn.XLOOKUP(C2186,Account_Master!A:A,Account_Master!B:B,"Not on master")</f>
        <v>0</v>
      </c>
      <c r="G2186" cm="1">
        <f t="array" ref="G2186">_xlfn.XLOOKUP(C2186,Account_Master!A:A,Account_Master!C:C,"Not on master")</f>
        <v>0</v>
      </c>
      <c r="H2186" s="6">
        <v>9</v>
      </c>
      <c r="I2186" s="6">
        <v>9</v>
      </c>
      <c r="J2186" s="6">
        <f>I2186-H2186</f>
        <v>0</v>
      </c>
      <c r="K2186" s="5">
        <f>IF(H2186=0,"",J2186/H2186)</f>
        <v>0</v>
      </c>
      <c r="L2186">
        <f>IF(OR(AND(H2186=0,ABS(J2186)&gt;=0.01),AND(H2186&lt;&gt;0,ABS(K2186)&gt;VarianceThreshold)),"Review","OK")</f>
        <v>0</v>
      </c>
      <c r="M2186" t="s">
        <v>33</v>
      </c>
    </row>
    <row r="2187" spans="1:13">
      <c r="A2187" t="s">
        <v>3</v>
      </c>
      <c r="B2187" t="s">
        <v>464</v>
      </c>
      <c r="C2187" t="s">
        <v>2130</v>
      </c>
      <c r="D2187" t="s">
        <v>2211</v>
      </c>
      <c r="E2187" cm="1">
        <f t="array" ref="E2187">_xlfn.XLOOKUP(D2187,SKU_Master!A:A,SKU_Master!B:B,"Not on master")</f>
        <v>0</v>
      </c>
      <c r="F2187" cm="1">
        <f t="array" ref="F2187">_xlfn.XLOOKUP(C2187,Account_Master!A:A,Account_Master!B:B,"Not on master")</f>
        <v>0</v>
      </c>
      <c r="G2187" cm="1">
        <f t="array" ref="G2187">_xlfn.XLOOKUP(C2187,Account_Master!A:A,Account_Master!C:C,"Not on master")</f>
        <v>0</v>
      </c>
      <c r="H2187" s="6">
        <v>9</v>
      </c>
      <c r="I2187" s="6">
        <v>9</v>
      </c>
      <c r="J2187" s="6">
        <f>I2187-H2187</f>
        <v>0</v>
      </c>
      <c r="K2187" s="5">
        <f>IF(H2187=0,"",J2187/H2187)</f>
        <v>0</v>
      </c>
      <c r="L2187">
        <f>IF(OR(AND(H2187=0,ABS(J2187)&gt;=0.01),AND(H2187&lt;&gt;0,ABS(K2187)&gt;VarianceThreshold)),"Review","OK")</f>
        <v>0</v>
      </c>
      <c r="M2187" t="s">
        <v>33</v>
      </c>
    </row>
    <row r="2188" spans="1:13">
      <c r="A2188" t="s">
        <v>3</v>
      </c>
      <c r="B2188" t="s">
        <v>464</v>
      </c>
      <c r="C2188" t="s">
        <v>2052</v>
      </c>
      <c r="D2188" t="s">
        <v>2212</v>
      </c>
      <c r="E2188" cm="1">
        <f t="array" ref="E2188">_xlfn.XLOOKUP(D2188,SKU_Master!A:A,SKU_Master!B:B,"Not on master")</f>
        <v>0</v>
      </c>
      <c r="F2188" cm="1">
        <f t="array" ref="F2188">_xlfn.XLOOKUP(C2188,Account_Master!A:A,Account_Master!B:B,"Not on master")</f>
        <v>0</v>
      </c>
      <c r="G2188" cm="1">
        <f t="array" ref="G2188">_xlfn.XLOOKUP(C2188,Account_Master!A:A,Account_Master!C:C,"Not on master")</f>
        <v>0</v>
      </c>
      <c r="H2188" s="6">
        <v>3</v>
      </c>
      <c r="I2188" s="6">
        <v>3</v>
      </c>
      <c r="J2188" s="6">
        <f>I2188-H2188</f>
        <v>0</v>
      </c>
      <c r="K2188" s="5">
        <f>IF(H2188=0,"",J2188/H2188)</f>
        <v>0</v>
      </c>
      <c r="L2188">
        <f>IF(OR(AND(H2188=0,ABS(J2188)&gt;=0.01),AND(H2188&lt;&gt;0,ABS(K2188)&gt;VarianceThreshold)),"Review","OK")</f>
        <v>0</v>
      </c>
      <c r="M2188" t="s">
        <v>33</v>
      </c>
    </row>
    <row r="2189" spans="1:13">
      <c r="A2189" t="s">
        <v>3</v>
      </c>
      <c r="B2189" t="s">
        <v>464</v>
      </c>
      <c r="C2189" t="s">
        <v>2213</v>
      </c>
      <c r="D2189" t="s">
        <v>2214</v>
      </c>
      <c r="E2189" cm="1">
        <f t="array" ref="E2189">_xlfn.XLOOKUP(D2189,SKU_Master!A:A,SKU_Master!B:B,"Not on master")</f>
        <v>0</v>
      </c>
      <c r="F2189" cm="1">
        <f t="array" ref="F2189">_xlfn.XLOOKUP(C2189,Account_Master!A:A,Account_Master!B:B,"Not on master")</f>
        <v>0</v>
      </c>
      <c r="G2189" cm="1">
        <f t="array" ref="G2189">_xlfn.XLOOKUP(C2189,Account_Master!A:A,Account_Master!C:C,"Not on master")</f>
        <v>0</v>
      </c>
      <c r="H2189" s="6">
        <v>0.2</v>
      </c>
      <c r="I2189" s="6">
        <v>0.2</v>
      </c>
      <c r="J2189" s="6">
        <f>I2189-H2189</f>
        <v>0</v>
      </c>
      <c r="K2189" s="5">
        <f>IF(H2189=0,"",J2189/H2189)</f>
        <v>0</v>
      </c>
      <c r="L2189">
        <f>IF(OR(AND(H2189=0,ABS(J2189)&gt;=0.01),AND(H2189&lt;&gt;0,ABS(K2189)&gt;VarianceThreshold)),"Review","OK")</f>
        <v>0</v>
      </c>
      <c r="M2189" t="s">
        <v>33</v>
      </c>
    </row>
    <row r="2190" spans="1:13">
      <c r="A2190" t="s">
        <v>3</v>
      </c>
      <c r="B2190" t="s">
        <v>464</v>
      </c>
      <c r="C2190" t="s">
        <v>2022</v>
      </c>
      <c r="D2190" t="s">
        <v>752</v>
      </c>
      <c r="E2190" cm="1">
        <f t="array" ref="E2190">_xlfn.XLOOKUP(D2190,SKU_Master!A:A,SKU_Master!B:B,"Not on master")</f>
        <v>0</v>
      </c>
      <c r="F2190" cm="1">
        <f t="array" ref="F2190">_xlfn.XLOOKUP(C2190,Account_Master!A:A,Account_Master!B:B,"Not on master")</f>
        <v>0</v>
      </c>
      <c r="G2190" cm="1">
        <f t="array" ref="G2190">_xlfn.XLOOKUP(C2190,Account_Master!A:A,Account_Master!C:C,"Not on master")</f>
        <v>0</v>
      </c>
      <c r="H2190" s="6">
        <v>37</v>
      </c>
      <c r="I2190" s="6">
        <v>37</v>
      </c>
      <c r="J2190" s="6">
        <f>I2190-H2190</f>
        <v>0</v>
      </c>
      <c r="K2190" s="5">
        <f>IF(H2190=0,"",J2190/H2190)</f>
        <v>0</v>
      </c>
      <c r="L2190">
        <f>IF(OR(AND(H2190=0,ABS(J2190)&gt;=0.01),AND(H2190&lt;&gt;0,ABS(K2190)&gt;VarianceThreshold)),"Review","OK")</f>
        <v>0</v>
      </c>
      <c r="M2190" t="s">
        <v>33</v>
      </c>
    </row>
    <row r="2191" spans="1:13">
      <c r="A2191" t="s">
        <v>3</v>
      </c>
      <c r="B2191" t="s">
        <v>464</v>
      </c>
      <c r="C2191" t="s">
        <v>2215</v>
      </c>
      <c r="D2191" t="s">
        <v>764</v>
      </c>
      <c r="E2191" cm="1">
        <f t="array" ref="E2191">_xlfn.XLOOKUP(D2191,SKU_Master!A:A,SKU_Master!B:B,"Not on master")</f>
        <v>0</v>
      </c>
      <c r="F2191" cm="1">
        <f t="array" ref="F2191">_xlfn.XLOOKUP(C2191,Account_Master!A:A,Account_Master!B:B,"Not on master")</f>
        <v>0</v>
      </c>
      <c r="G2191" cm="1">
        <f t="array" ref="G2191">_xlfn.XLOOKUP(C2191,Account_Master!A:A,Account_Master!C:C,"Not on master")</f>
        <v>0</v>
      </c>
      <c r="H2191" s="6">
        <v>18.75</v>
      </c>
      <c r="I2191" s="6">
        <v>18.75</v>
      </c>
      <c r="J2191" s="6">
        <f>I2191-H2191</f>
        <v>0</v>
      </c>
      <c r="K2191" s="5">
        <f>IF(H2191=0,"",J2191/H2191)</f>
        <v>0</v>
      </c>
      <c r="L2191">
        <f>IF(OR(AND(H2191=0,ABS(J2191)&gt;=0.01),AND(H2191&lt;&gt;0,ABS(K2191)&gt;VarianceThreshold)),"Review","OK")</f>
        <v>0</v>
      </c>
      <c r="M2191" t="s">
        <v>33</v>
      </c>
    </row>
    <row r="2192" spans="1:13">
      <c r="A2192" t="s">
        <v>3</v>
      </c>
      <c r="B2192" t="s">
        <v>464</v>
      </c>
      <c r="C2192" t="s">
        <v>2063</v>
      </c>
      <c r="D2192" t="s">
        <v>2216</v>
      </c>
      <c r="E2192" cm="1">
        <f t="array" ref="E2192">_xlfn.XLOOKUP(D2192,SKU_Master!A:A,SKU_Master!B:B,"Not on master")</f>
        <v>0</v>
      </c>
      <c r="F2192" cm="1">
        <f t="array" ref="F2192">_xlfn.XLOOKUP(C2192,Account_Master!A:A,Account_Master!B:B,"Not on master")</f>
        <v>0</v>
      </c>
      <c r="G2192" cm="1">
        <f t="array" ref="G2192">_xlfn.XLOOKUP(C2192,Account_Master!A:A,Account_Master!C:C,"Not on master")</f>
        <v>0</v>
      </c>
      <c r="H2192" s="6">
        <v>4.5</v>
      </c>
      <c r="I2192" s="6">
        <v>4.5</v>
      </c>
      <c r="J2192" s="6">
        <f>I2192-H2192</f>
        <v>0</v>
      </c>
      <c r="K2192" s="5">
        <f>IF(H2192=0,"",J2192/H2192)</f>
        <v>0</v>
      </c>
      <c r="L2192">
        <f>IF(OR(AND(H2192=0,ABS(J2192)&gt;=0.01),AND(H2192&lt;&gt;0,ABS(K2192)&gt;VarianceThreshold)),"Review","OK")</f>
        <v>0</v>
      </c>
      <c r="M2192" t="s">
        <v>33</v>
      </c>
    </row>
    <row r="2193" spans="1:13">
      <c r="A2193" t="s">
        <v>3</v>
      </c>
      <c r="B2193" t="s">
        <v>464</v>
      </c>
      <c r="C2193" t="s">
        <v>2027</v>
      </c>
      <c r="D2193" t="s">
        <v>2217</v>
      </c>
      <c r="E2193" cm="1">
        <f t="array" ref="E2193">_xlfn.XLOOKUP(D2193,SKU_Master!A:A,SKU_Master!B:B,"Not on master")</f>
        <v>0</v>
      </c>
      <c r="F2193" cm="1">
        <f t="array" ref="F2193">_xlfn.XLOOKUP(C2193,Account_Master!A:A,Account_Master!B:B,"Not on master")</f>
        <v>0</v>
      </c>
      <c r="G2193" cm="1">
        <f t="array" ref="G2193">_xlfn.XLOOKUP(C2193,Account_Master!A:A,Account_Master!C:C,"Not on master")</f>
        <v>0</v>
      </c>
      <c r="H2193" s="6">
        <v>4.5</v>
      </c>
      <c r="I2193" s="6">
        <v>4.5</v>
      </c>
      <c r="J2193" s="6">
        <f>I2193-H2193</f>
        <v>0</v>
      </c>
      <c r="K2193" s="5">
        <f>IF(H2193=0,"",J2193/H2193)</f>
        <v>0</v>
      </c>
      <c r="L2193">
        <f>IF(OR(AND(H2193=0,ABS(J2193)&gt;=0.01),AND(H2193&lt;&gt;0,ABS(K2193)&gt;VarianceThreshold)),"Review","OK")</f>
        <v>0</v>
      </c>
      <c r="M2193" t="s">
        <v>33</v>
      </c>
    </row>
    <row r="2194" spans="1:13">
      <c r="A2194" t="s">
        <v>3</v>
      </c>
      <c r="B2194" t="s">
        <v>464</v>
      </c>
      <c r="C2194" t="s">
        <v>2033</v>
      </c>
      <c r="D2194" t="s">
        <v>2218</v>
      </c>
      <c r="E2194" cm="1">
        <f t="array" ref="E2194">_xlfn.XLOOKUP(D2194,SKU_Master!A:A,SKU_Master!B:B,"Not on master")</f>
        <v>0</v>
      </c>
      <c r="F2194" cm="1">
        <f t="array" ref="F2194">_xlfn.XLOOKUP(C2194,Account_Master!A:A,Account_Master!B:B,"Not on master")</f>
        <v>0</v>
      </c>
      <c r="G2194" cm="1">
        <f t="array" ref="G2194">_xlfn.XLOOKUP(C2194,Account_Master!A:A,Account_Master!C:C,"Not on master")</f>
        <v>0</v>
      </c>
      <c r="H2194" s="6">
        <v>135</v>
      </c>
      <c r="I2194" s="6">
        <v>135</v>
      </c>
      <c r="J2194" s="6">
        <f>I2194-H2194</f>
        <v>0</v>
      </c>
      <c r="K2194" s="5">
        <f>IF(H2194=0,"",J2194/H2194)</f>
        <v>0</v>
      </c>
      <c r="L2194">
        <f>IF(OR(AND(H2194=0,ABS(J2194)&gt;=0.01),AND(H2194&lt;&gt;0,ABS(K2194)&gt;VarianceThreshold)),"Review","OK")</f>
        <v>0</v>
      </c>
      <c r="M2194" t="s">
        <v>33</v>
      </c>
    </row>
    <row r="2195" spans="1:13">
      <c r="A2195" t="s">
        <v>3</v>
      </c>
      <c r="B2195" t="s">
        <v>464</v>
      </c>
      <c r="C2195" t="s">
        <v>2013</v>
      </c>
      <c r="D2195" t="s">
        <v>2219</v>
      </c>
      <c r="E2195" cm="1">
        <f t="array" ref="E2195">_xlfn.XLOOKUP(D2195,SKU_Master!A:A,SKU_Master!B:B,"Not on master")</f>
        <v>0</v>
      </c>
      <c r="F2195" cm="1">
        <f t="array" ref="F2195">_xlfn.XLOOKUP(C2195,Account_Master!A:A,Account_Master!B:B,"Not on master")</f>
        <v>0</v>
      </c>
      <c r="G2195" cm="1">
        <f t="array" ref="G2195">_xlfn.XLOOKUP(C2195,Account_Master!A:A,Account_Master!C:C,"Not on master")</f>
        <v>0</v>
      </c>
      <c r="H2195" s="6">
        <v>15</v>
      </c>
      <c r="I2195" s="6">
        <v>15</v>
      </c>
      <c r="J2195" s="6">
        <f>I2195-H2195</f>
        <v>0</v>
      </c>
      <c r="K2195" s="5">
        <f>IF(H2195=0,"",J2195/H2195)</f>
        <v>0</v>
      </c>
      <c r="L2195">
        <f>IF(OR(AND(H2195=0,ABS(J2195)&gt;=0.01),AND(H2195&lt;&gt;0,ABS(K2195)&gt;VarianceThreshold)),"Review","OK")</f>
        <v>0</v>
      </c>
      <c r="M2195" t="s">
        <v>33</v>
      </c>
    </row>
    <row r="2196" spans="1:13">
      <c r="A2196" t="s">
        <v>3</v>
      </c>
      <c r="B2196" t="s">
        <v>478</v>
      </c>
      <c r="C2196" t="s">
        <v>2046</v>
      </c>
      <c r="D2196" t="s">
        <v>553</v>
      </c>
      <c r="E2196" cm="1">
        <f t="array" ref="E2196">_xlfn.XLOOKUP(D2196,SKU_Master!A:A,SKU_Master!B:B,"Not on master")</f>
        <v>0</v>
      </c>
      <c r="F2196" cm="1">
        <f t="array" ref="F2196">_xlfn.XLOOKUP(C2196,Account_Master!A:A,Account_Master!B:B,"Not on master")</f>
        <v>0</v>
      </c>
      <c r="G2196" cm="1">
        <f t="array" ref="G2196">_xlfn.XLOOKUP(C2196,Account_Master!A:A,Account_Master!C:C,"Not on master")</f>
        <v>0</v>
      </c>
      <c r="H2196" s="6">
        <v>2.25</v>
      </c>
      <c r="I2196" s="6">
        <v>2.25</v>
      </c>
      <c r="J2196" s="6">
        <f>I2196-H2196</f>
        <v>0</v>
      </c>
      <c r="K2196" s="5">
        <f>IF(H2196=0,"",J2196/H2196)</f>
        <v>0</v>
      </c>
      <c r="L2196">
        <f>IF(OR(AND(H2196=0,ABS(J2196)&gt;=0.01),AND(H2196&lt;&gt;0,ABS(K2196)&gt;VarianceThreshold)),"Review","OK")</f>
        <v>0</v>
      </c>
      <c r="M2196" t="s">
        <v>33</v>
      </c>
    </row>
    <row r="2197" spans="1:13">
      <c r="A2197" t="s">
        <v>3</v>
      </c>
      <c r="B2197" t="s">
        <v>478</v>
      </c>
      <c r="C2197" t="s">
        <v>2013</v>
      </c>
      <c r="D2197" t="s">
        <v>256</v>
      </c>
      <c r="E2197" cm="1">
        <f t="array" ref="E2197">_xlfn.XLOOKUP(D2197,SKU_Master!A:A,SKU_Master!B:B,"Not on master")</f>
        <v>0</v>
      </c>
      <c r="F2197" cm="1">
        <f t="array" ref="F2197">_xlfn.XLOOKUP(C2197,Account_Master!A:A,Account_Master!B:B,"Not on master")</f>
        <v>0</v>
      </c>
      <c r="G2197" cm="1">
        <f t="array" ref="G2197">_xlfn.XLOOKUP(C2197,Account_Master!A:A,Account_Master!C:C,"Not on master")</f>
        <v>0</v>
      </c>
      <c r="H2197" s="6">
        <v>1.5</v>
      </c>
      <c r="I2197" s="6">
        <v>1.5</v>
      </c>
      <c r="J2197" s="6">
        <f>I2197-H2197</f>
        <v>0</v>
      </c>
      <c r="K2197" s="5">
        <f>IF(H2197=0,"",J2197/H2197)</f>
        <v>0</v>
      </c>
      <c r="L2197">
        <f>IF(OR(AND(H2197=0,ABS(J2197)&gt;=0.01),AND(H2197&lt;&gt;0,ABS(K2197)&gt;VarianceThreshold)),"Review","OK")</f>
        <v>0</v>
      </c>
      <c r="M2197" t="s">
        <v>33</v>
      </c>
    </row>
    <row r="2198" spans="1:13">
      <c r="A2198" t="s">
        <v>3</v>
      </c>
      <c r="B2198" t="s">
        <v>478</v>
      </c>
      <c r="C2198" t="s">
        <v>2033</v>
      </c>
      <c r="D2198" t="s">
        <v>1124</v>
      </c>
      <c r="E2198" cm="1">
        <f t="array" ref="E2198">_xlfn.XLOOKUP(D2198,SKU_Master!A:A,SKU_Master!B:B,"Not on master")</f>
        <v>0</v>
      </c>
      <c r="F2198" cm="1">
        <f t="array" ref="F2198">_xlfn.XLOOKUP(C2198,Account_Master!A:A,Account_Master!B:B,"Not on master")</f>
        <v>0</v>
      </c>
      <c r="G2198" cm="1">
        <f t="array" ref="G2198">_xlfn.XLOOKUP(C2198,Account_Master!A:A,Account_Master!C:C,"Not on master")</f>
        <v>0</v>
      </c>
      <c r="H2198" s="6">
        <v>188</v>
      </c>
      <c r="I2198" s="6">
        <v>188</v>
      </c>
      <c r="J2198" s="6">
        <f>I2198-H2198</f>
        <v>0</v>
      </c>
      <c r="K2198" s="5">
        <f>IF(H2198=0,"",J2198/H2198)</f>
        <v>0</v>
      </c>
      <c r="L2198">
        <f>IF(OR(AND(H2198=0,ABS(J2198)&gt;=0.01),AND(H2198&lt;&gt;0,ABS(K2198)&gt;VarianceThreshold)),"Review","OK")</f>
        <v>0</v>
      </c>
      <c r="M2198" t="s">
        <v>33</v>
      </c>
    </row>
    <row r="2199" spans="1:13">
      <c r="A2199" t="s">
        <v>3</v>
      </c>
      <c r="B2199" t="s">
        <v>478</v>
      </c>
      <c r="C2199" t="s">
        <v>2100</v>
      </c>
      <c r="D2199" t="s">
        <v>824</v>
      </c>
      <c r="E2199" cm="1">
        <f t="array" ref="E2199">_xlfn.XLOOKUP(D2199,SKU_Master!A:A,SKU_Master!B:B,"Not on master")</f>
        <v>0</v>
      </c>
      <c r="F2199" cm="1">
        <f t="array" ref="F2199">_xlfn.XLOOKUP(C2199,Account_Master!A:A,Account_Master!B:B,"Not on master")</f>
        <v>0</v>
      </c>
      <c r="G2199" cm="1">
        <f t="array" ref="G2199">_xlfn.XLOOKUP(C2199,Account_Master!A:A,Account_Master!C:C,"Not on master")</f>
        <v>0</v>
      </c>
      <c r="H2199" s="6">
        <v>4.5</v>
      </c>
      <c r="I2199" s="6">
        <v>4.5</v>
      </c>
      <c r="J2199" s="6">
        <f>I2199-H2199</f>
        <v>0</v>
      </c>
      <c r="K2199" s="5">
        <f>IF(H2199=0,"",J2199/H2199)</f>
        <v>0</v>
      </c>
      <c r="L2199">
        <f>IF(OR(AND(H2199=0,ABS(J2199)&gt;=0.01),AND(H2199&lt;&gt;0,ABS(K2199)&gt;VarianceThreshold)),"Review","OK")</f>
        <v>0</v>
      </c>
      <c r="M2199" t="s">
        <v>33</v>
      </c>
    </row>
    <row r="2200" spans="1:13">
      <c r="A2200" t="s">
        <v>3</v>
      </c>
      <c r="B2200" t="s">
        <v>492</v>
      </c>
      <c r="C2200" t="s">
        <v>2220</v>
      </c>
      <c r="D2200" t="s">
        <v>2221</v>
      </c>
      <c r="E2200" cm="1">
        <f t="array" ref="E2200">_xlfn.XLOOKUP(D2200,SKU_Master!A:A,SKU_Master!B:B,"Not on master")</f>
        <v>0</v>
      </c>
      <c r="F2200" cm="1">
        <f t="array" ref="F2200">_xlfn.XLOOKUP(C2200,Account_Master!A:A,Account_Master!B:B,"Not on master")</f>
        <v>0</v>
      </c>
      <c r="G2200" cm="1">
        <f t="array" ref="G2200">_xlfn.XLOOKUP(C2200,Account_Master!A:A,Account_Master!C:C,"Not on master")</f>
        <v>0</v>
      </c>
      <c r="H2200" s="6">
        <v>9</v>
      </c>
      <c r="I2200" s="6">
        <v>9</v>
      </c>
      <c r="J2200" s="6">
        <f>I2200-H2200</f>
        <v>0</v>
      </c>
      <c r="K2200" s="5">
        <f>IF(H2200=0,"",J2200/H2200)</f>
        <v>0</v>
      </c>
      <c r="L2200">
        <f>IF(OR(AND(H2200=0,ABS(J2200)&gt;=0.01),AND(H2200&lt;&gt;0,ABS(K2200)&gt;VarianceThreshold)),"Review","OK")</f>
        <v>0</v>
      </c>
      <c r="M2200" t="s">
        <v>33</v>
      </c>
    </row>
    <row r="2201" spans="1:13">
      <c r="A2201" t="s">
        <v>3</v>
      </c>
      <c r="B2201" t="s">
        <v>492</v>
      </c>
      <c r="C2201" t="s">
        <v>2022</v>
      </c>
      <c r="D2201" t="s">
        <v>100</v>
      </c>
      <c r="E2201" cm="1">
        <f t="array" ref="E2201">_xlfn.XLOOKUP(D2201,SKU_Master!A:A,SKU_Master!B:B,"Not on master")</f>
        <v>0</v>
      </c>
      <c r="F2201" cm="1">
        <f t="array" ref="F2201">_xlfn.XLOOKUP(C2201,Account_Master!A:A,Account_Master!B:B,"Not on master")</f>
        <v>0</v>
      </c>
      <c r="G2201" cm="1">
        <f t="array" ref="G2201">_xlfn.XLOOKUP(C2201,Account_Master!A:A,Account_Master!C:C,"Not on master")</f>
        <v>0</v>
      </c>
      <c r="H2201" s="6">
        <v>10.5</v>
      </c>
      <c r="I2201" s="6">
        <v>10.5</v>
      </c>
      <c r="J2201" s="6">
        <f>I2201-H2201</f>
        <v>0</v>
      </c>
      <c r="K2201" s="5">
        <f>IF(H2201=0,"",J2201/H2201)</f>
        <v>0</v>
      </c>
      <c r="L2201">
        <f>IF(OR(AND(H2201=0,ABS(J2201)&gt;=0.01),AND(H2201&lt;&gt;0,ABS(K2201)&gt;VarianceThreshold)),"Review","OK")</f>
        <v>0</v>
      </c>
      <c r="M2201" t="s">
        <v>33</v>
      </c>
    </row>
    <row r="2202" spans="1:13">
      <c r="A2202" t="s">
        <v>3</v>
      </c>
      <c r="B2202" t="s">
        <v>492</v>
      </c>
      <c r="C2202" t="s">
        <v>2088</v>
      </c>
      <c r="D2202" t="s">
        <v>1502</v>
      </c>
      <c r="E2202" cm="1">
        <f t="array" ref="E2202">_xlfn.XLOOKUP(D2202,SKU_Master!A:A,SKU_Master!B:B,"Not on master")</f>
        <v>0</v>
      </c>
      <c r="F2202" cm="1">
        <f t="array" ref="F2202">_xlfn.XLOOKUP(C2202,Account_Master!A:A,Account_Master!B:B,"Not on master")</f>
        <v>0</v>
      </c>
      <c r="G2202" cm="1">
        <f t="array" ref="G2202">_xlfn.XLOOKUP(C2202,Account_Master!A:A,Account_Master!C:C,"Not on master")</f>
        <v>0</v>
      </c>
      <c r="H2202" s="6">
        <v>1.5</v>
      </c>
      <c r="I2202" s="6">
        <v>1.5</v>
      </c>
      <c r="J2202" s="6">
        <f>I2202-H2202</f>
        <v>0</v>
      </c>
      <c r="K2202" s="5">
        <f>IF(H2202=0,"",J2202/H2202)</f>
        <v>0</v>
      </c>
      <c r="L2202">
        <f>IF(OR(AND(H2202=0,ABS(J2202)&gt;=0.01),AND(H2202&lt;&gt;0,ABS(K2202)&gt;VarianceThreshold)),"Review","OK")</f>
        <v>0</v>
      </c>
      <c r="M2202" t="s">
        <v>33</v>
      </c>
    </row>
    <row r="2203" spans="1:13">
      <c r="A2203" t="s">
        <v>3</v>
      </c>
      <c r="B2203" t="s">
        <v>492</v>
      </c>
      <c r="C2203" t="s">
        <v>2174</v>
      </c>
      <c r="D2203" t="s">
        <v>716</v>
      </c>
      <c r="E2203" cm="1">
        <f t="array" ref="E2203">_xlfn.XLOOKUP(D2203,SKU_Master!A:A,SKU_Master!B:B,"Not on master")</f>
        <v>0</v>
      </c>
      <c r="F2203" cm="1">
        <f t="array" ref="F2203">_xlfn.XLOOKUP(C2203,Account_Master!A:A,Account_Master!B:B,"Not on master")</f>
        <v>0</v>
      </c>
      <c r="G2203" cm="1">
        <f t="array" ref="G2203">_xlfn.XLOOKUP(C2203,Account_Master!A:A,Account_Master!C:C,"Not on master")</f>
        <v>0</v>
      </c>
      <c r="H2203" s="6">
        <v>70</v>
      </c>
      <c r="I2203" s="6">
        <v>70</v>
      </c>
      <c r="J2203" s="6">
        <f>I2203-H2203</f>
        <v>0</v>
      </c>
      <c r="K2203" s="5">
        <f>IF(H2203=0,"",J2203/H2203)</f>
        <v>0</v>
      </c>
      <c r="L2203">
        <f>IF(OR(AND(H2203=0,ABS(J2203)&gt;=0.01),AND(H2203&lt;&gt;0,ABS(K2203)&gt;VarianceThreshold)),"Review","OK")</f>
        <v>0</v>
      </c>
      <c r="M2203" t="s">
        <v>33</v>
      </c>
    </row>
    <row r="2204" spans="1:13">
      <c r="A2204" t="s">
        <v>3</v>
      </c>
      <c r="B2204" t="s">
        <v>492</v>
      </c>
      <c r="C2204" t="s">
        <v>2083</v>
      </c>
      <c r="D2204" t="s">
        <v>230</v>
      </c>
      <c r="E2204" cm="1">
        <f t="array" ref="E2204">_xlfn.XLOOKUP(D2204,SKU_Master!A:A,SKU_Master!B:B,"Not on master")</f>
        <v>0</v>
      </c>
      <c r="F2204" cm="1">
        <f t="array" ref="F2204">_xlfn.XLOOKUP(C2204,Account_Master!A:A,Account_Master!B:B,"Not on master")</f>
        <v>0</v>
      </c>
      <c r="G2204" cm="1">
        <f t="array" ref="G2204">_xlfn.XLOOKUP(C2204,Account_Master!A:A,Account_Master!C:C,"Not on master")</f>
        <v>0</v>
      </c>
      <c r="H2204" s="6">
        <v>4.6</v>
      </c>
      <c r="I2204" s="6">
        <v>4.6</v>
      </c>
      <c r="J2204" s="6">
        <f>I2204-H2204</f>
        <v>0</v>
      </c>
      <c r="K2204" s="5">
        <f>IF(H2204=0,"",J2204/H2204)</f>
        <v>0</v>
      </c>
      <c r="L2204">
        <f>IF(OR(AND(H2204=0,ABS(J2204)&gt;=0.01),AND(H2204&lt;&gt;0,ABS(K2204)&gt;VarianceThreshold)),"Review","OK")</f>
        <v>0</v>
      </c>
      <c r="M2204" t="s">
        <v>33</v>
      </c>
    </row>
    <row r="2205" spans="1:13">
      <c r="A2205" t="s">
        <v>3</v>
      </c>
      <c r="B2205" t="s">
        <v>492</v>
      </c>
      <c r="C2205" t="s">
        <v>2202</v>
      </c>
      <c r="D2205" t="s">
        <v>1377</v>
      </c>
      <c r="E2205" cm="1">
        <f t="array" ref="E2205">_xlfn.XLOOKUP(D2205,SKU_Master!A:A,SKU_Master!B:B,"Not on master")</f>
        <v>0</v>
      </c>
      <c r="F2205" cm="1">
        <f t="array" ref="F2205">_xlfn.XLOOKUP(C2205,Account_Master!A:A,Account_Master!B:B,"Not on master")</f>
        <v>0</v>
      </c>
      <c r="G2205" cm="1">
        <f t="array" ref="G2205">_xlfn.XLOOKUP(C2205,Account_Master!A:A,Account_Master!C:C,"Not on master")</f>
        <v>0</v>
      </c>
      <c r="H2205" s="6">
        <v>14.4</v>
      </c>
      <c r="I2205" s="6">
        <v>14.4</v>
      </c>
      <c r="J2205" s="6">
        <f>I2205-H2205</f>
        <v>0</v>
      </c>
      <c r="K2205" s="5">
        <f>IF(H2205=0,"",J2205/H2205)</f>
        <v>0</v>
      </c>
      <c r="L2205">
        <f>IF(OR(AND(H2205=0,ABS(J2205)&gt;=0.01),AND(H2205&lt;&gt;0,ABS(K2205)&gt;VarianceThreshold)),"Review","OK")</f>
        <v>0</v>
      </c>
      <c r="M2205" t="s">
        <v>33</v>
      </c>
    </row>
    <row r="2206" spans="1:13">
      <c r="A2206" t="s">
        <v>3</v>
      </c>
      <c r="B2206" t="s">
        <v>501</v>
      </c>
      <c r="C2206" t="s">
        <v>2116</v>
      </c>
      <c r="D2206" t="s">
        <v>2222</v>
      </c>
      <c r="E2206" cm="1">
        <f t="array" ref="E2206">_xlfn.XLOOKUP(D2206,SKU_Master!A:A,SKU_Master!B:B,"Not on master")</f>
        <v>0</v>
      </c>
      <c r="F2206" cm="1">
        <f t="array" ref="F2206">_xlfn.XLOOKUP(C2206,Account_Master!A:A,Account_Master!B:B,"Not on master")</f>
        <v>0</v>
      </c>
      <c r="G2206" cm="1">
        <f t="array" ref="G2206">_xlfn.XLOOKUP(C2206,Account_Master!A:A,Account_Master!C:C,"Not on master")</f>
        <v>0</v>
      </c>
      <c r="H2206" s="6">
        <v>3</v>
      </c>
      <c r="I2206" s="6">
        <v>3</v>
      </c>
      <c r="J2206" s="6">
        <f>I2206-H2206</f>
        <v>0</v>
      </c>
      <c r="K2206" s="5">
        <f>IF(H2206=0,"",J2206/H2206)</f>
        <v>0</v>
      </c>
      <c r="L2206">
        <f>IF(OR(AND(H2206=0,ABS(J2206)&gt;=0.01),AND(H2206&lt;&gt;0,ABS(K2206)&gt;VarianceThreshold)),"Review","OK")</f>
        <v>0</v>
      </c>
      <c r="M2206" t="s">
        <v>33</v>
      </c>
    </row>
    <row r="2207" spans="1:13">
      <c r="A2207" t="s">
        <v>3</v>
      </c>
      <c r="B2207" t="s">
        <v>501</v>
      </c>
      <c r="C2207" t="s">
        <v>2116</v>
      </c>
      <c r="D2207" t="s">
        <v>2223</v>
      </c>
      <c r="E2207" cm="1">
        <f t="array" ref="E2207">_xlfn.XLOOKUP(D2207,SKU_Master!A:A,SKU_Master!B:B,"Not on master")</f>
        <v>0</v>
      </c>
      <c r="F2207" cm="1">
        <f t="array" ref="F2207">_xlfn.XLOOKUP(C2207,Account_Master!A:A,Account_Master!B:B,"Not on master")</f>
        <v>0</v>
      </c>
      <c r="G2207" cm="1">
        <f t="array" ref="G2207">_xlfn.XLOOKUP(C2207,Account_Master!A:A,Account_Master!C:C,"Not on master")</f>
        <v>0</v>
      </c>
      <c r="H2207" s="6">
        <v>2.25</v>
      </c>
      <c r="I2207" s="6">
        <v>2.25</v>
      </c>
      <c r="J2207" s="6">
        <f>I2207-H2207</f>
        <v>0</v>
      </c>
      <c r="K2207" s="5">
        <f>IF(H2207=0,"",J2207/H2207)</f>
        <v>0</v>
      </c>
      <c r="L2207">
        <f>IF(OR(AND(H2207=0,ABS(J2207)&gt;=0.01),AND(H2207&lt;&gt;0,ABS(K2207)&gt;VarianceThreshold)),"Review","OK")</f>
        <v>0</v>
      </c>
      <c r="M2207" t="s">
        <v>33</v>
      </c>
    </row>
    <row r="2208" spans="1:13">
      <c r="A2208" t="s">
        <v>3</v>
      </c>
      <c r="B2208" t="s">
        <v>501</v>
      </c>
      <c r="C2208" t="s">
        <v>2035</v>
      </c>
      <c r="D2208" t="s">
        <v>2224</v>
      </c>
      <c r="E2208" cm="1">
        <f t="array" ref="E2208">_xlfn.XLOOKUP(D2208,SKU_Master!A:A,SKU_Master!B:B,"Not on master")</f>
        <v>0</v>
      </c>
      <c r="F2208" cm="1">
        <f t="array" ref="F2208">_xlfn.XLOOKUP(C2208,Account_Master!A:A,Account_Master!B:B,"Not on master")</f>
        <v>0</v>
      </c>
      <c r="G2208" cm="1">
        <f t="array" ref="G2208">_xlfn.XLOOKUP(C2208,Account_Master!A:A,Account_Master!C:C,"Not on master")</f>
        <v>0</v>
      </c>
      <c r="H2208" s="6">
        <v>1.5</v>
      </c>
      <c r="I2208" s="6">
        <v>1.5</v>
      </c>
      <c r="J2208" s="6">
        <f>I2208-H2208</f>
        <v>0</v>
      </c>
      <c r="K2208" s="5">
        <f>IF(H2208=0,"",J2208/H2208)</f>
        <v>0</v>
      </c>
      <c r="L2208">
        <f>IF(OR(AND(H2208=0,ABS(J2208)&gt;=0.01),AND(H2208&lt;&gt;0,ABS(K2208)&gt;VarianceThreshold)),"Review","OK")</f>
        <v>0</v>
      </c>
      <c r="M2208" t="s">
        <v>33</v>
      </c>
    </row>
    <row r="2209" spans="1:13">
      <c r="A2209" t="s">
        <v>3</v>
      </c>
      <c r="B2209" t="s">
        <v>501</v>
      </c>
      <c r="C2209" t="s">
        <v>2046</v>
      </c>
      <c r="D2209" t="s">
        <v>2225</v>
      </c>
      <c r="E2209" cm="1">
        <f t="array" ref="E2209">_xlfn.XLOOKUP(D2209,SKU_Master!A:A,SKU_Master!B:B,"Not on master")</f>
        <v>0</v>
      </c>
      <c r="F2209" cm="1">
        <f t="array" ref="F2209">_xlfn.XLOOKUP(C2209,Account_Master!A:A,Account_Master!B:B,"Not on master")</f>
        <v>0</v>
      </c>
      <c r="G2209" cm="1">
        <f t="array" ref="G2209">_xlfn.XLOOKUP(C2209,Account_Master!A:A,Account_Master!C:C,"Not on master")</f>
        <v>0</v>
      </c>
      <c r="H2209" s="6">
        <v>1.5</v>
      </c>
      <c r="I2209" s="6">
        <v>1.5</v>
      </c>
      <c r="J2209" s="6">
        <f>I2209-H2209</f>
        <v>0</v>
      </c>
      <c r="K2209" s="5">
        <f>IF(H2209=0,"",J2209/H2209)</f>
        <v>0</v>
      </c>
      <c r="L2209">
        <f>IF(OR(AND(H2209=0,ABS(J2209)&gt;=0.01),AND(H2209&lt;&gt;0,ABS(K2209)&gt;VarianceThreshold)),"Review","OK")</f>
        <v>0</v>
      </c>
      <c r="M2209" t="s">
        <v>33</v>
      </c>
    </row>
    <row r="2210" spans="1:13">
      <c r="A2210" t="s">
        <v>3</v>
      </c>
      <c r="B2210" t="s">
        <v>511</v>
      </c>
      <c r="C2210" t="s">
        <v>2226</v>
      </c>
      <c r="D2210" t="s">
        <v>2227</v>
      </c>
      <c r="E2210" cm="1">
        <f t="array" ref="E2210">_xlfn.XLOOKUP(D2210,SKU_Master!A:A,SKU_Master!B:B,"Not on master")</f>
        <v>0</v>
      </c>
      <c r="F2210" cm="1">
        <f t="array" ref="F2210">_xlfn.XLOOKUP(C2210,Account_Master!A:A,Account_Master!B:B,"Not on master")</f>
        <v>0</v>
      </c>
      <c r="G2210" cm="1">
        <f t="array" ref="G2210">_xlfn.XLOOKUP(C2210,Account_Master!A:A,Account_Master!C:C,"Not on master")</f>
        <v>0</v>
      </c>
      <c r="H2210" s="6">
        <v>12</v>
      </c>
      <c r="I2210" s="6">
        <v>12</v>
      </c>
      <c r="J2210" s="6">
        <f>I2210-H2210</f>
        <v>0</v>
      </c>
      <c r="K2210" s="5">
        <f>IF(H2210=0,"",J2210/H2210)</f>
        <v>0</v>
      </c>
      <c r="L2210">
        <f>IF(OR(AND(H2210=0,ABS(J2210)&gt;=0.01),AND(H2210&lt;&gt;0,ABS(K2210)&gt;VarianceThreshold)),"Review","OK")</f>
        <v>0</v>
      </c>
      <c r="M2210" t="s">
        <v>33</v>
      </c>
    </row>
    <row r="2211" spans="1:13">
      <c r="A2211" t="s">
        <v>3</v>
      </c>
      <c r="B2211" t="s">
        <v>511</v>
      </c>
      <c r="C2211" t="s">
        <v>2013</v>
      </c>
      <c r="D2211" t="s">
        <v>1518</v>
      </c>
      <c r="E2211" cm="1">
        <f t="array" ref="E2211">_xlfn.XLOOKUP(D2211,SKU_Master!A:A,SKU_Master!B:B,"Not on master")</f>
        <v>0</v>
      </c>
      <c r="F2211" cm="1">
        <f t="array" ref="F2211">_xlfn.XLOOKUP(C2211,Account_Master!A:A,Account_Master!B:B,"Not on master")</f>
        <v>0</v>
      </c>
      <c r="G2211" cm="1">
        <f t="array" ref="G2211">_xlfn.XLOOKUP(C2211,Account_Master!A:A,Account_Master!C:C,"Not on master")</f>
        <v>0</v>
      </c>
      <c r="H2211" s="6">
        <v>38.25</v>
      </c>
      <c r="I2211" s="6">
        <v>38.25</v>
      </c>
      <c r="J2211" s="6">
        <f>I2211-H2211</f>
        <v>0</v>
      </c>
      <c r="K2211" s="5">
        <f>IF(H2211=0,"",J2211/H2211)</f>
        <v>0</v>
      </c>
      <c r="L2211">
        <f>IF(OR(AND(H2211=0,ABS(J2211)&gt;=0.01),AND(H2211&lt;&gt;0,ABS(K2211)&gt;VarianceThreshold)),"Review","OK")</f>
        <v>0</v>
      </c>
      <c r="M2211" t="s">
        <v>33</v>
      </c>
    </row>
    <row r="2212" spans="1:13">
      <c r="A2212" t="s">
        <v>3</v>
      </c>
      <c r="B2212" t="s">
        <v>511</v>
      </c>
      <c r="C2212" t="s">
        <v>2033</v>
      </c>
      <c r="D2212" t="s">
        <v>1435</v>
      </c>
      <c r="E2212" cm="1">
        <f t="array" ref="E2212">_xlfn.XLOOKUP(D2212,SKU_Master!A:A,SKU_Master!B:B,"Not on master")</f>
        <v>0</v>
      </c>
      <c r="F2212" cm="1">
        <f t="array" ref="F2212">_xlfn.XLOOKUP(C2212,Account_Master!A:A,Account_Master!B:B,"Not on master")</f>
        <v>0</v>
      </c>
      <c r="G2212" cm="1">
        <f t="array" ref="G2212">_xlfn.XLOOKUP(C2212,Account_Master!A:A,Account_Master!C:C,"Not on master")</f>
        <v>0</v>
      </c>
      <c r="H2212" s="6">
        <v>5.25</v>
      </c>
      <c r="I2212" s="6">
        <v>5.25</v>
      </c>
      <c r="J2212" s="6">
        <f>I2212-H2212</f>
        <v>0</v>
      </c>
      <c r="K2212" s="5">
        <f>IF(H2212=0,"",J2212/H2212)</f>
        <v>0</v>
      </c>
      <c r="L2212">
        <f>IF(OR(AND(H2212=0,ABS(J2212)&gt;=0.01),AND(H2212&lt;&gt;0,ABS(K2212)&gt;VarianceThreshold)),"Review","OK")</f>
        <v>0</v>
      </c>
      <c r="M2212" t="s">
        <v>33</v>
      </c>
    </row>
    <row r="2213" spans="1:13">
      <c r="A2213" t="s">
        <v>3</v>
      </c>
      <c r="B2213" t="s">
        <v>511</v>
      </c>
      <c r="C2213" t="s">
        <v>2030</v>
      </c>
      <c r="D2213" t="s">
        <v>2228</v>
      </c>
      <c r="E2213" cm="1">
        <f t="array" ref="E2213">_xlfn.XLOOKUP(D2213,SKU_Master!A:A,SKU_Master!B:B,"Not on master")</f>
        <v>0</v>
      </c>
      <c r="F2213" cm="1">
        <f t="array" ref="F2213">_xlfn.XLOOKUP(C2213,Account_Master!A:A,Account_Master!B:B,"Not on master")</f>
        <v>0</v>
      </c>
      <c r="G2213" cm="1">
        <f t="array" ref="G2213">_xlfn.XLOOKUP(C2213,Account_Master!A:A,Account_Master!C:C,"Not on master")</f>
        <v>0</v>
      </c>
      <c r="H2213" s="6">
        <v>18</v>
      </c>
      <c r="I2213" s="6">
        <v>18</v>
      </c>
      <c r="J2213" s="6">
        <f>I2213-H2213</f>
        <v>0</v>
      </c>
      <c r="K2213" s="5">
        <f>IF(H2213=0,"",J2213/H2213)</f>
        <v>0</v>
      </c>
      <c r="L2213">
        <f>IF(OR(AND(H2213=0,ABS(J2213)&gt;=0.01),AND(H2213&lt;&gt;0,ABS(K2213)&gt;VarianceThreshold)),"Review","OK")</f>
        <v>0</v>
      </c>
      <c r="M2213" t="s">
        <v>33</v>
      </c>
    </row>
    <row r="2214" spans="1:13">
      <c r="A2214" t="s">
        <v>3</v>
      </c>
      <c r="B2214" t="s">
        <v>523</v>
      </c>
      <c r="C2214" t="s">
        <v>2188</v>
      </c>
      <c r="D2214" t="s">
        <v>728</v>
      </c>
      <c r="E2214" cm="1">
        <f t="array" ref="E2214">_xlfn.XLOOKUP(D2214,SKU_Master!A:A,SKU_Master!B:B,"Not on master")</f>
        <v>0</v>
      </c>
      <c r="F2214" cm="1">
        <f t="array" ref="F2214">_xlfn.XLOOKUP(C2214,Account_Master!A:A,Account_Master!B:B,"Not on master")</f>
        <v>0</v>
      </c>
      <c r="G2214" cm="1">
        <f t="array" ref="G2214">_xlfn.XLOOKUP(C2214,Account_Master!A:A,Account_Master!C:C,"Not on master")</f>
        <v>0</v>
      </c>
      <c r="H2214" s="6">
        <v>12.75</v>
      </c>
      <c r="I2214" s="6">
        <v>12.75</v>
      </c>
      <c r="J2214" s="6">
        <f>I2214-H2214</f>
        <v>0</v>
      </c>
      <c r="K2214" s="5">
        <f>IF(H2214=0,"",J2214/H2214)</f>
        <v>0</v>
      </c>
      <c r="L2214">
        <f>IF(OR(AND(H2214=0,ABS(J2214)&gt;=0.01),AND(H2214&lt;&gt;0,ABS(K2214)&gt;VarianceThreshold)),"Review","OK")</f>
        <v>0</v>
      </c>
      <c r="M2214" t="s">
        <v>33</v>
      </c>
    </row>
    <row r="2215" spans="1:13">
      <c r="A2215" t="s">
        <v>3</v>
      </c>
      <c r="B2215" t="s">
        <v>523</v>
      </c>
      <c r="C2215" t="s">
        <v>2022</v>
      </c>
      <c r="D2215" t="s">
        <v>2229</v>
      </c>
      <c r="E2215" cm="1">
        <f t="array" ref="E2215">_xlfn.XLOOKUP(D2215,SKU_Master!A:A,SKU_Master!B:B,"Not on master")</f>
        <v>0</v>
      </c>
      <c r="F2215" cm="1">
        <f t="array" ref="F2215">_xlfn.XLOOKUP(C2215,Account_Master!A:A,Account_Master!B:B,"Not on master")</f>
        <v>0</v>
      </c>
      <c r="G2215" cm="1">
        <f t="array" ref="G2215">_xlfn.XLOOKUP(C2215,Account_Master!A:A,Account_Master!C:C,"Not on master")</f>
        <v>0</v>
      </c>
      <c r="H2215" s="6">
        <v>18</v>
      </c>
      <c r="I2215" s="6">
        <v>18</v>
      </c>
      <c r="J2215" s="6">
        <f>I2215-H2215</f>
        <v>0</v>
      </c>
      <c r="K2215" s="5">
        <f>IF(H2215=0,"",J2215/H2215)</f>
        <v>0</v>
      </c>
      <c r="L2215">
        <f>IF(OR(AND(H2215=0,ABS(J2215)&gt;=0.01),AND(H2215&lt;&gt;0,ABS(K2215)&gt;VarianceThreshold)),"Review","OK")</f>
        <v>0</v>
      </c>
      <c r="M2215" t="s">
        <v>33</v>
      </c>
    </row>
    <row r="2216" spans="1:13">
      <c r="A2216" t="s">
        <v>3</v>
      </c>
      <c r="B2216" t="s">
        <v>523</v>
      </c>
      <c r="C2216" t="s">
        <v>2100</v>
      </c>
      <c r="D2216" t="s">
        <v>2230</v>
      </c>
      <c r="E2216" cm="1">
        <f t="array" ref="E2216">_xlfn.XLOOKUP(D2216,SKU_Master!A:A,SKU_Master!B:B,"Not on master")</f>
        <v>0</v>
      </c>
      <c r="F2216" cm="1">
        <f t="array" ref="F2216">_xlfn.XLOOKUP(C2216,Account_Master!A:A,Account_Master!B:B,"Not on master")</f>
        <v>0</v>
      </c>
      <c r="G2216" cm="1">
        <f t="array" ref="G2216">_xlfn.XLOOKUP(C2216,Account_Master!A:A,Account_Master!C:C,"Not on master")</f>
        <v>0</v>
      </c>
      <c r="H2216" s="6">
        <v>9.6</v>
      </c>
      <c r="I2216" s="6">
        <v>9.6</v>
      </c>
      <c r="J2216" s="6">
        <f>I2216-H2216</f>
        <v>0</v>
      </c>
      <c r="K2216" s="5">
        <f>IF(H2216=0,"",J2216/H2216)</f>
        <v>0</v>
      </c>
      <c r="L2216">
        <f>IF(OR(AND(H2216=0,ABS(J2216)&gt;=0.01),AND(H2216&lt;&gt;0,ABS(K2216)&gt;VarianceThreshold)),"Review","OK")</f>
        <v>0</v>
      </c>
      <c r="M2216" t="s">
        <v>33</v>
      </c>
    </row>
    <row r="2217" spans="1:13">
      <c r="A2217" t="s">
        <v>3</v>
      </c>
      <c r="B2217" t="s">
        <v>523</v>
      </c>
      <c r="C2217" t="s">
        <v>2022</v>
      </c>
      <c r="D2217" t="s">
        <v>2231</v>
      </c>
      <c r="E2217" cm="1">
        <f t="array" ref="E2217">_xlfn.XLOOKUP(D2217,SKU_Master!A:A,SKU_Master!B:B,"Not on master")</f>
        <v>0</v>
      </c>
      <c r="F2217" cm="1">
        <f t="array" ref="F2217">_xlfn.XLOOKUP(C2217,Account_Master!A:A,Account_Master!B:B,"Not on master")</f>
        <v>0</v>
      </c>
      <c r="G2217" cm="1">
        <f t="array" ref="G2217">_xlfn.XLOOKUP(C2217,Account_Master!A:A,Account_Master!C:C,"Not on master")</f>
        <v>0</v>
      </c>
      <c r="H2217" s="6">
        <v>33.75</v>
      </c>
      <c r="I2217" s="6">
        <v>33.75</v>
      </c>
      <c r="J2217" s="6">
        <f>I2217-H2217</f>
        <v>0</v>
      </c>
      <c r="K2217" s="5">
        <f>IF(H2217=0,"",J2217/H2217)</f>
        <v>0</v>
      </c>
      <c r="L2217">
        <f>IF(OR(AND(H2217=0,ABS(J2217)&gt;=0.01),AND(H2217&lt;&gt;0,ABS(K2217)&gt;VarianceThreshold)),"Review","OK")</f>
        <v>0</v>
      </c>
      <c r="M2217" t="s">
        <v>33</v>
      </c>
    </row>
    <row r="2218" spans="1:13">
      <c r="A2218" t="s">
        <v>3</v>
      </c>
      <c r="B2218" t="s">
        <v>523</v>
      </c>
      <c r="C2218" t="s">
        <v>2060</v>
      </c>
      <c r="D2218" t="s">
        <v>2232</v>
      </c>
      <c r="E2218" cm="1">
        <f t="array" ref="E2218">_xlfn.XLOOKUP(D2218,SKU_Master!A:A,SKU_Master!B:B,"Not on master")</f>
        <v>0</v>
      </c>
      <c r="F2218" cm="1">
        <f t="array" ref="F2218">_xlfn.XLOOKUP(C2218,Account_Master!A:A,Account_Master!B:B,"Not on master")</f>
        <v>0</v>
      </c>
      <c r="G2218" cm="1">
        <f t="array" ref="G2218">_xlfn.XLOOKUP(C2218,Account_Master!A:A,Account_Master!C:C,"Not on master")</f>
        <v>0</v>
      </c>
      <c r="H2218" s="6">
        <v>11.25</v>
      </c>
      <c r="I2218" s="6">
        <v>11.25</v>
      </c>
      <c r="J2218" s="6">
        <f>I2218-H2218</f>
        <v>0</v>
      </c>
      <c r="K2218" s="5">
        <f>IF(H2218=0,"",J2218/H2218)</f>
        <v>0</v>
      </c>
      <c r="L2218">
        <f>IF(OR(AND(H2218=0,ABS(J2218)&gt;=0.01),AND(H2218&lt;&gt;0,ABS(K2218)&gt;VarianceThreshold)),"Review","OK")</f>
        <v>0</v>
      </c>
      <c r="M2218" t="s">
        <v>33</v>
      </c>
    </row>
    <row r="2219" spans="1:13">
      <c r="A2219" t="s">
        <v>3</v>
      </c>
      <c r="B2219" t="s">
        <v>528</v>
      </c>
      <c r="C2219" t="s">
        <v>2233</v>
      </c>
      <c r="D2219" t="s">
        <v>1546</v>
      </c>
      <c r="E2219" cm="1">
        <f t="array" ref="E2219">_xlfn.XLOOKUP(D2219,SKU_Master!A:A,SKU_Master!B:B,"Not on master")</f>
        <v>0</v>
      </c>
      <c r="F2219" cm="1">
        <f t="array" ref="F2219">_xlfn.XLOOKUP(C2219,Account_Master!A:A,Account_Master!B:B,"Not on master")</f>
        <v>0</v>
      </c>
      <c r="G2219" cm="1">
        <f t="array" ref="G2219">_xlfn.XLOOKUP(C2219,Account_Master!A:A,Account_Master!C:C,"Not on master")</f>
        <v>0</v>
      </c>
      <c r="H2219" s="6">
        <v>16</v>
      </c>
      <c r="I2219" s="6">
        <v>16</v>
      </c>
      <c r="J2219" s="6">
        <f>I2219-H2219</f>
        <v>0</v>
      </c>
      <c r="K2219" s="5">
        <f>IF(H2219=0,"",J2219/H2219)</f>
        <v>0</v>
      </c>
      <c r="L2219">
        <f>IF(OR(AND(H2219=0,ABS(J2219)&gt;=0.01),AND(H2219&lt;&gt;0,ABS(K2219)&gt;VarianceThreshold)),"Review","OK")</f>
        <v>0</v>
      </c>
      <c r="M2219" t="s">
        <v>33</v>
      </c>
    </row>
    <row r="2220" spans="1:13">
      <c r="A2220" t="s">
        <v>3</v>
      </c>
      <c r="B2220" t="s">
        <v>528</v>
      </c>
      <c r="C2220" t="s">
        <v>2022</v>
      </c>
      <c r="D2220" t="s">
        <v>2234</v>
      </c>
      <c r="E2220" cm="1">
        <f t="array" ref="E2220">_xlfn.XLOOKUP(D2220,SKU_Master!A:A,SKU_Master!B:B,"Not on master")</f>
        <v>0</v>
      </c>
      <c r="F2220" cm="1">
        <f t="array" ref="F2220">_xlfn.XLOOKUP(C2220,Account_Master!A:A,Account_Master!B:B,"Not on master")</f>
        <v>0</v>
      </c>
      <c r="G2220" cm="1">
        <f t="array" ref="G2220">_xlfn.XLOOKUP(C2220,Account_Master!A:A,Account_Master!C:C,"Not on master")</f>
        <v>0</v>
      </c>
      <c r="H2220" s="6">
        <v>18</v>
      </c>
      <c r="I2220" s="6">
        <v>18</v>
      </c>
      <c r="J2220" s="6">
        <f>I2220-H2220</f>
        <v>0</v>
      </c>
      <c r="K2220" s="5">
        <f>IF(H2220=0,"",J2220/H2220)</f>
        <v>0</v>
      </c>
      <c r="L2220">
        <f>IF(OR(AND(H2220=0,ABS(J2220)&gt;=0.01),AND(H2220&lt;&gt;0,ABS(K2220)&gt;VarianceThreshold)),"Review","OK")</f>
        <v>0</v>
      </c>
      <c r="M2220" t="s">
        <v>33</v>
      </c>
    </row>
    <row r="2221" spans="1:13">
      <c r="A2221" t="s">
        <v>3</v>
      </c>
      <c r="B2221" t="s">
        <v>528</v>
      </c>
      <c r="C2221" t="s">
        <v>2075</v>
      </c>
      <c r="D2221" t="s">
        <v>2235</v>
      </c>
      <c r="E2221" cm="1">
        <f t="array" ref="E2221">_xlfn.XLOOKUP(D2221,SKU_Master!A:A,SKU_Master!B:B,"Not on master")</f>
        <v>0</v>
      </c>
      <c r="F2221" cm="1">
        <f t="array" ref="F2221">_xlfn.XLOOKUP(C2221,Account_Master!A:A,Account_Master!B:B,"Not on master")</f>
        <v>0</v>
      </c>
      <c r="G2221" cm="1">
        <f t="array" ref="G2221">_xlfn.XLOOKUP(C2221,Account_Master!A:A,Account_Master!C:C,"Not on master")</f>
        <v>0</v>
      </c>
      <c r="H2221" s="6">
        <v>9</v>
      </c>
      <c r="I2221" s="6">
        <v>9</v>
      </c>
      <c r="J2221" s="6">
        <f>I2221-H2221</f>
        <v>0</v>
      </c>
      <c r="K2221" s="5">
        <f>IF(H2221=0,"",J2221/H2221)</f>
        <v>0</v>
      </c>
      <c r="L2221">
        <f>IF(OR(AND(H2221=0,ABS(J2221)&gt;=0.01),AND(H2221&lt;&gt;0,ABS(K2221)&gt;VarianceThreshold)),"Review","OK")</f>
        <v>0</v>
      </c>
      <c r="M2221" t="s">
        <v>33</v>
      </c>
    </row>
    <row r="2222" spans="1:13">
      <c r="A2222" t="s">
        <v>3</v>
      </c>
      <c r="B2222" t="s">
        <v>528</v>
      </c>
      <c r="C2222" t="s">
        <v>2046</v>
      </c>
      <c r="D2222" t="s">
        <v>759</v>
      </c>
      <c r="E2222" cm="1">
        <f t="array" ref="E2222">_xlfn.XLOOKUP(D2222,SKU_Master!A:A,SKU_Master!B:B,"Not on master")</f>
        <v>0</v>
      </c>
      <c r="F2222" cm="1">
        <f t="array" ref="F2222">_xlfn.XLOOKUP(C2222,Account_Master!A:A,Account_Master!B:B,"Not on master")</f>
        <v>0</v>
      </c>
      <c r="G2222" cm="1">
        <f t="array" ref="G2222">_xlfn.XLOOKUP(C2222,Account_Master!A:A,Account_Master!C:C,"Not on master")</f>
        <v>0</v>
      </c>
      <c r="H2222" s="6">
        <v>10.5</v>
      </c>
      <c r="I2222" s="6">
        <v>10.5</v>
      </c>
      <c r="J2222" s="6">
        <f>I2222-H2222</f>
        <v>0</v>
      </c>
      <c r="K2222" s="5">
        <f>IF(H2222=0,"",J2222/H2222)</f>
        <v>0</v>
      </c>
      <c r="L2222">
        <f>IF(OR(AND(H2222=0,ABS(J2222)&gt;=0.01),AND(H2222&lt;&gt;0,ABS(K2222)&gt;VarianceThreshold)),"Review","OK")</f>
        <v>0</v>
      </c>
      <c r="M2222" t="s">
        <v>33</v>
      </c>
    </row>
    <row r="2223" spans="1:13">
      <c r="A2223" t="s">
        <v>3</v>
      </c>
      <c r="B2223" t="s">
        <v>528</v>
      </c>
      <c r="C2223" t="s">
        <v>2022</v>
      </c>
      <c r="D2223" t="s">
        <v>166</v>
      </c>
      <c r="E2223" cm="1">
        <f t="array" ref="E2223">_xlfn.XLOOKUP(D2223,SKU_Master!A:A,SKU_Master!B:B,"Not on master")</f>
        <v>0</v>
      </c>
      <c r="F2223" cm="1">
        <f t="array" ref="F2223">_xlfn.XLOOKUP(C2223,Account_Master!A:A,Account_Master!B:B,"Not on master")</f>
        <v>0</v>
      </c>
      <c r="G2223" cm="1">
        <f t="array" ref="G2223">_xlfn.XLOOKUP(C2223,Account_Master!A:A,Account_Master!C:C,"Not on master")</f>
        <v>0</v>
      </c>
      <c r="H2223" s="6">
        <v>21</v>
      </c>
      <c r="I2223" s="6">
        <v>21</v>
      </c>
      <c r="J2223" s="6">
        <f>I2223-H2223</f>
        <v>0</v>
      </c>
      <c r="K2223" s="5">
        <f>IF(H2223=0,"",J2223/H2223)</f>
        <v>0</v>
      </c>
      <c r="L2223">
        <f>IF(OR(AND(H2223=0,ABS(J2223)&gt;=0.01),AND(H2223&lt;&gt;0,ABS(K2223)&gt;VarianceThreshold)),"Review","OK")</f>
        <v>0</v>
      </c>
      <c r="M2223" t="s">
        <v>33</v>
      </c>
    </row>
    <row r="2224" spans="1:13">
      <c r="A2224" t="s">
        <v>3</v>
      </c>
      <c r="B2224" t="s">
        <v>528</v>
      </c>
      <c r="C2224" t="s">
        <v>2019</v>
      </c>
      <c r="D2224" t="s">
        <v>2236</v>
      </c>
      <c r="E2224" cm="1">
        <f t="array" ref="E2224">_xlfn.XLOOKUP(D2224,SKU_Master!A:A,SKU_Master!B:B,"Not on master")</f>
        <v>0</v>
      </c>
      <c r="F2224" cm="1">
        <f t="array" ref="F2224">_xlfn.XLOOKUP(C2224,Account_Master!A:A,Account_Master!B:B,"Not on master")</f>
        <v>0</v>
      </c>
      <c r="G2224" cm="1">
        <f t="array" ref="G2224">_xlfn.XLOOKUP(C2224,Account_Master!A:A,Account_Master!C:C,"Not on master")</f>
        <v>0</v>
      </c>
      <c r="H2224" s="6">
        <v>9</v>
      </c>
      <c r="I2224" s="6">
        <v>9</v>
      </c>
      <c r="J2224" s="6">
        <f>I2224-H2224</f>
        <v>0</v>
      </c>
      <c r="K2224" s="5">
        <f>IF(H2224=0,"",J2224/H2224)</f>
        <v>0</v>
      </c>
      <c r="L2224">
        <f>IF(OR(AND(H2224=0,ABS(J2224)&gt;=0.01),AND(H2224&lt;&gt;0,ABS(K2224)&gt;VarianceThreshold)),"Review","OK")</f>
        <v>0</v>
      </c>
      <c r="M2224" t="s">
        <v>33</v>
      </c>
    </row>
    <row r="2225" spans="1:13">
      <c r="A2225" t="s">
        <v>3</v>
      </c>
      <c r="B2225" t="s">
        <v>528</v>
      </c>
      <c r="C2225" t="s">
        <v>2088</v>
      </c>
      <c r="D2225" t="s">
        <v>718</v>
      </c>
      <c r="E2225" cm="1">
        <f t="array" ref="E2225">_xlfn.XLOOKUP(D2225,SKU_Master!A:A,SKU_Master!B:B,"Not on master")</f>
        <v>0</v>
      </c>
      <c r="F2225" cm="1">
        <f t="array" ref="F2225">_xlfn.XLOOKUP(C2225,Account_Master!A:A,Account_Master!B:B,"Not on master")</f>
        <v>0</v>
      </c>
      <c r="G2225" cm="1">
        <f t="array" ref="G2225">_xlfn.XLOOKUP(C2225,Account_Master!A:A,Account_Master!C:C,"Not on master")</f>
        <v>0</v>
      </c>
      <c r="H2225" s="6">
        <v>32</v>
      </c>
      <c r="I2225" s="6">
        <v>32</v>
      </c>
      <c r="J2225" s="6">
        <f>I2225-H2225</f>
        <v>0</v>
      </c>
      <c r="K2225" s="5">
        <f>IF(H2225=0,"",J2225/H2225)</f>
        <v>0</v>
      </c>
      <c r="L2225">
        <f>IF(OR(AND(H2225=0,ABS(J2225)&gt;=0.01),AND(H2225&lt;&gt;0,ABS(K2225)&gt;VarianceThreshold)),"Review","OK")</f>
        <v>0</v>
      </c>
      <c r="M2225" t="s">
        <v>33</v>
      </c>
    </row>
    <row r="2226" spans="1:13">
      <c r="A2226" t="s">
        <v>3</v>
      </c>
      <c r="B2226" t="s">
        <v>528</v>
      </c>
      <c r="C2226" t="s">
        <v>2088</v>
      </c>
      <c r="D2226" t="s">
        <v>2237</v>
      </c>
      <c r="E2226" cm="1">
        <f t="array" ref="E2226">_xlfn.XLOOKUP(D2226,SKU_Master!A:A,SKU_Master!B:B,"Not on master")</f>
        <v>0</v>
      </c>
      <c r="F2226" cm="1">
        <f t="array" ref="F2226">_xlfn.XLOOKUP(C2226,Account_Master!A:A,Account_Master!B:B,"Not on master")</f>
        <v>0</v>
      </c>
      <c r="G2226" cm="1">
        <f t="array" ref="G2226">_xlfn.XLOOKUP(C2226,Account_Master!A:A,Account_Master!C:C,"Not on master")</f>
        <v>0</v>
      </c>
      <c r="H2226" s="6">
        <v>24</v>
      </c>
      <c r="I2226" s="6">
        <v>24</v>
      </c>
      <c r="J2226" s="6">
        <f>I2226-H2226</f>
        <v>0</v>
      </c>
      <c r="K2226" s="5">
        <f>IF(H2226=0,"",J2226/H2226)</f>
        <v>0</v>
      </c>
      <c r="L2226">
        <f>IF(OR(AND(H2226=0,ABS(J2226)&gt;=0.01),AND(H2226&lt;&gt;0,ABS(K2226)&gt;VarianceThreshold)),"Review","OK")</f>
        <v>0</v>
      </c>
      <c r="M2226" t="s">
        <v>33</v>
      </c>
    </row>
    <row r="2227" spans="1:13">
      <c r="A2227" t="s">
        <v>3</v>
      </c>
      <c r="B2227" t="s">
        <v>538</v>
      </c>
      <c r="C2227" t="s">
        <v>2158</v>
      </c>
      <c r="D2227" t="s">
        <v>2238</v>
      </c>
      <c r="E2227" cm="1">
        <f t="array" ref="E2227">_xlfn.XLOOKUP(D2227,SKU_Master!A:A,SKU_Master!B:B,"Not on master")</f>
        <v>0</v>
      </c>
      <c r="F2227" cm="1">
        <f t="array" ref="F2227">_xlfn.XLOOKUP(C2227,Account_Master!A:A,Account_Master!B:B,"Not on master")</f>
        <v>0</v>
      </c>
      <c r="G2227" cm="1">
        <f t="array" ref="G2227">_xlfn.XLOOKUP(C2227,Account_Master!A:A,Account_Master!C:C,"Not on master")</f>
        <v>0</v>
      </c>
      <c r="H2227" s="6">
        <v>19.5</v>
      </c>
      <c r="I2227" s="6">
        <v>19.5</v>
      </c>
      <c r="J2227" s="6">
        <f>I2227-H2227</f>
        <v>0</v>
      </c>
      <c r="K2227" s="5">
        <f>IF(H2227=0,"",J2227/H2227)</f>
        <v>0</v>
      </c>
      <c r="L2227">
        <f>IF(OR(AND(H2227=0,ABS(J2227)&gt;=0.01),AND(H2227&lt;&gt;0,ABS(K2227)&gt;VarianceThreshold)),"Review","OK")</f>
        <v>0</v>
      </c>
      <c r="M2227" t="s">
        <v>33</v>
      </c>
    </row>
    <row r="2228" spans="1:13">
      <c r="A2228" t="s">
        <v>3</v>
      </c>
      <c r="B2228" t="s">
        <v>538</v>
      </c>
      <c r="C2228" t="s">
        <v>2057</v>
      </c>
      <c r="D2228" t="s">
        <v>2239</v>
      </c>
      <c r="E2228" cm="1">
        <f t="array" ref="E2228">_xlfn.XLOOKUP(D2228,SKU_Master!A:A,SKU_Master!B:B,"Not on master")</f>
        <v>0</v>
      </c>
      <c r="F2228" cm="1">
        <f t="array" ref="F2228">_xlfn.XLOOKUP(C2228,Account_Master!A:A,Account_Master!B:B,"Not on master")</f>
        <v>0</v>
      </c>
      <c r="G2228" cm="1">
        <f t="array" ref="G2228">_xlfn.XLOOKUP(C2228,Account_Master!A:A,Account_Master!C:C,"Not on master")</f>
        <v>0</v>
      </c>
      <c r="H2228" s="6">
        <v>131.25</v>
      </c>
      <c r="I2228" s="6">
        <v>131.25</v>
      </c>
      <c r="J2228" s="6">
        <f>I2228-H2228</f>
        <v>0</v>
      </c>
      <c r="K2228" s="5">
        <f>IF(H2228=0,"",J2228/H2228)</f>
        <v>0</v>
      </c>
      <c r="L2228">
        <f>IF(OR(AND(H2228=0,ABS(J2228)&gt;=0.01),AND(H2228&lt;&gt;0,ABS(K2228)&gt;VarianceThreshold)),"Review","OK")</f>
        <v>0</v>
      </c>
      <c r="M2228" t="s">
        <v>33</v>
      </c>
    </row>
    <row r="2229" spans="1:13">
      <c r="A2229" t="s">
        <v>3</v>
      </c>
      <c r="B2229" t="s">
        <v>538</v>
      </c>
      <c r="C2229" t="s">
        <v>2041</v>
      </c>
      <c r="D2229" t="s">
        <v>244</v>
      </c>
      <c r="E2229" cm="1">
        <f t="array" ref="E2229">_xlfn.XLOOKUP(D2229,SKU_Master!A:A,SKU_Master!B:B,"Not on master")</f>
        <v>0</v>
      </c>
      <c r="F2229" cm="1">
        <f t="array" ref="F2229">_xlfn.XLOOKUP(C2229,Account_Master!A:A,Account_Master!B:B,"Not on master")</f>
        <v>0</v>
      </c>
      <c r="G2229" cm="1">
        <f t="array" ref="G2229">_xlfn.XLOOKUP(C2229,Account_Master!A:A,Account_Master!C:C,"Not on master")</f>
        <v>0</v>
      </c>
      <c r="H2229" s="6">
        <v>2.4</v>
      </c>
      <c r="I2229" s="6">
        <v>2.4</v>
      </c>
      <c r="J2229" s="6">
        <f>I2229-H2229</f>
        <v>0</v>
      </c>
      <c r="K2229" s="5">
        <f>IF(H2229=0,"",J2229/H2229)</f>
        <v>0</v>
      </c>
      <c r="L2229">
        <f>IF(OR(AND(H2229=0,ABS(J2229)&gt;=0.01),AND(H2229&lt;&gt;0,ABS(K2229)&gt;VarianceThreshold)),"Review","OK")</f>
        <v>0</v>
      </c>
      <c r="M2229" t="s">
        <v>33</v>
      </c>
    </row>
    <row r="2230" spans="1:13">
      <c r="A2230" t="s">
        <v>3</v>
      </c>
      <c r="B2230" t="s">
        <v>538</v>
      </c>
      <c r="C2230" t="s">
        <v>2220</v>
      </c>
      <c r="D2230" t="s">
        <v>1170</v>
      </c>
      <c r="E2230" cm="1">
        <f t="array" ref="E2230">_xlfn.XLOOKUP(D2230,SKU_Master!A:A,SKU_Master!B:B,"Not on master")</f>
        <v>0</v>
      </c>
      <c r="F2230" cm="1">
        <f t="array" ref="F2230">_xlfn.XLOOKUP(C2230,Account_Master!A:A,Account_Master!B:B,"Not on master")</f>
        <v>0</v>
      </c>
      <c r="G2230" cm="1">
        <f t="array" ref="G2230">_xlfn.XLOOKUP(C2230,Account_Master!A:A,Account_Master!C:C,"Not on master")</f>
        <v>0</v>
      </c>
      <c r="H2230" s="6">
        <v>30.75</v>
      </c>
      <c r="I2230" s="6">
        <v>30.75</v>
      </c>
      <c r="J2230" s="6">
        <f>I2230-H2230</f>
        <v>0</v>
      </c>
      <c r="K2230" s="5">
        <f>IF(H2230=0,"",J2230/H2230)</f>
        <v>0</v>
      </c>
      <c r="L2230">
        <f>IF(OR(AND(H2230=0,ABS(J2230)&gt;=0.01),AND(H2230&lt;&gt;0,ABS(K2230)&gt;VarianceThreshold)),"Review","OK")</f>
        <v>0</v>
      </c>
      <c r="M2230" t="s">
        <v>33</v>
      </c>
    </row>
    <row r="2231" spans="1:13">
      <c r="A2231" t="s">
        <v>3</v>
      </c>
      <c r="B2231" t="s">
        <v>538</v>
      </c>
      <c r="C2231" t="s">
        <v>2240</v>
      </c>
      <c r="D2231" t="s">
        <v>1937</v>
      </c>
      <c r="E2231" cm="1">
        <f t="array" ref="E2231">_xlfn.XLOOKUP(D2231,SKU_Master!A:A,SKU_Master!B:B,"Not on master")</f>
        <v>0</v>
      </c>
      <c r="F2231" cm="1">
        <f t="array" ref="F2231">_xlfn.XLOOKUP(C2231,Account_Master!A:A,Account_Master!B:B,"Not on master")</f>
        <v>0</v>
      </c>
      <c r="G2231" cm="1">
        <f t="array" ref="G2231">_xlfn.XLOOKUP(C2231,Account_Master!A:A,Account_Master!C:C,"Not on master")</f>
        <v>0</v>
      </c>
      <c r="H2231" s="6">
        <v>9</v>
      </c>
      <c r="I2231" s="6">
        <v>9</v>
      </c>
      <c r="J2231" s="6">
        <f>I2231-H2231</f>
        <v>0</v>
      </c>
      <c r="K2231" s="5">
        <f>IF(H2231=0,"",J2231/H2231)</f>
        <v>0</v>
      </c>
      <c r="L2231">
        <f>IF(OR(AND(H2231=0,ABS(J2231)&gt;=0.01),AND(H2231&lt;&gt;0,ABS(K2231)&gt;VarianceThreshold)),"Review","OK")</f>
        <v>0</v>
      </c>
      <c r="M2231" t="s">
        <v>33</v>
      </c>
    </row>
    <row r="2232" spans="1:13">
      <c r="A2232" t="s">
        <v>3</v>
      </c>
      <c r="B2232" t="s">
        <v>552</v>
      </c>
      <c r="C2232" t="s">
        <v>2085</v>
      </c>
      <c r="D2232" t="s">
        <v>2241</v>
      </c>
      <c r="E2232" cm="1">
        <f t="array" ref="E2232">_xlfn.XLOOKUP(D2232,SKU_Master!A:A,SKU_Master!B:B,"Not on master")</f>
        <v>0</v>
      </c>
      <c r="F2232" cm="1">
        <f t="array" ref="F2232">_xlfn.XLOOKUP(C2232,Account_Master!A:A,Account_Master!B:B,"Not on master")</f>
        <v>0</v>
      </c>
      <c r="G2232" cm="1">
        <f t="array" ref="G2232">_xlfn.XLOOKUP(C2232,Account_Master!A:A,Account_Master!C:C,"Not on master")</f>
        <v>0</v>
      </c>
      <c r="H2232" s="6">
        <v>1.5</v>
      </c>
      <c r="I2232" s="6">
        <v>1.5</v>
      </c>
      <c r="J2232" s="6">
        <f>I2232-H2232</f>
        <v>0</v>
      </c>
      <c r="K2232" s="5">
        <f>IF(H2232=0,"",J2232/H2232)</f>
        <v>0</v>
      </c>
      <c r="L2232">
        <f>IF(OR(AND(H2232=0,ABS(J2232)&gt;=0.01),AND(H2232&lt;&gt;0,ABS(K2232)&gt;VarianceThreshold)),"Review","OK")</f>
        <v>0</v>
      </c>
      <c r="M2232" t="s">
        <v>33</v>
      </c>
    </row>
    <row r="2233" spans="1:13">
      <c r="A2233" t="s">
        <v>3</v>
      </c>
      <c r="B2233" t="s">
        <v>552</v>
      </c>
      <c r="C2233" t="s">
        <v>2022</v>
      </c>
      <c r="D2233" t="s">
        <v>2242</v>
      </c>
      <c r="E2233" cm="1">
        <f t="array" ref="E2233">_xlfn.XLOOKUP(D2233,SKU_Master!A:A,SKU_Master!B:B,"Not on master")</f>
        <v>0</v>
      </c>
      <c r="F2233" cm="1">
        <f t="array" ref="F2233">_xlfn.XLOOKUP(C2233,Account_Master!A:A,Account_Master!B:B,"Not on master")</f>
        <v>0</v>
      </c>
      <c r="G2233" cm="1">
        <f t="array" ref="G2233">_xlfn.XLOOKUP(C2233,Account_Master!A:A,Account_Master!C:C,"Not on master")</f>
        <v>0</v>
      </c>
      <c r="H2233" s="6">
        <v>77.25</v>
      </c>
      <c r="I2233" s="6">
        <v>77.25</v>
      </c>
      <c r="J2233" s="6">
        <f>I2233-H2233</f>
        <v>0</v>
      </c>
      <c r="K2233" s="5">
        <f>IF(H2233=0,"",J2233/H2233)</f>
        <v>0</v>
      </c>
      <c r="L2233">
        <f>IF(OR(AND(H2233=0,ABS(J2233)&gt;=0.01),AND(H2233&lt;&gt;0,ABS(K2233)&gt;VarianceThreshold)),"Review","OK")</f>
        <v>0</v>
      </c>
      <c r="M2233" t="s">
        <v>33</v>
      </c>
    </row>
    <row r="2234" spans="1:13">
      <c r="A2234" t="s">
        <v>3</v>
      </c>
      <c r="B2234" t="s">
        <v>552</v>
      </c>
      <c r="C2234" t="s">
        <v>2106</v>
      </c>
      <c r="D2234" t="s">
        <v>1954</v>
      </c>
      <c r="E2234" cm="1">
        <f t="array" ref="E2234">_xlfn.XLOOKUP(D2234,SKU_Master!A:A,SKU_Master!B:B,"Not on master")</f>
        <v>0</v>
      </c>
      <c r="F2234" cm="1">
        <f t="array" ref="F2234">_xlfn.XLOOKUP(C2234,Account_Master!A:A,Account_Master!B:B,"Not on master")</f>
        <v>0</v>
      </c>
      <c r="G2234" cm="1">
        <f t="array" ref="G2234">_xlfn.XLOOKUP(C2234,Account_Master!A:A,Account_Master!C:C,"Not on master")</f>
        <v>0</v>
      </c>
      <c r="H2234" s="6">
        <v>9</v>
      </c>
      <c r="I2234" s="6">
        <v>9</v>
      </c>
      <c r="J2234" s="6">
        <f>I2234-H2234</f>
        <v>0</v>
      </c>
      <c r="K2234" s="5">
        <f>IF(H2234=0,"",J2234/H2234)</f>
        <v>0</v>
      </c>
      <c r="L2234">
        <f>IF(OR(AND(H2234=0,ABS(J2234)&gt;=0.01),AND(H2234&lt;&gt;0,ABS(K2234)&gt;VarianceThreshold)),"Review","OK")</f>
        <v>0</v>
      </c>
      <c r="M2234" t="s">
        <v>33</v>
      </c>
    </row>
    <row r="2235" spans="1:13">
      <c r="A2235" t="s">
        <v>3</v>
      </c>
      <c r="B2235" t="s">
        <v>552</v>
      </c>
      <c r="C2235" t="s">
        <v>2130</v>
      </c>
      <c r="D2235" t="s">
        <v>672</v>
      </c>
      <c r="E2235" cm="1">
        <f t="array" ref="E2235">_xlfn.XLOOKUP(D2235,SKU_Master!A:A,SKU_Master!B:B,"Not on master")</f>
        <v>0</v>
      </c>
      <c r="F2235" cm="1">
        <f t="array" ref="F2235">_xlfn.XLOOKUP(C2235,Account_Master!A:A,Account_Master!B:B,"Not on master")</f>
        <v>0</v>
      </c>
      <c r="G2235" cm="1">
        <f t="array" ref="G2235">_xlfn.XLOOKUP(C2235,Account_Master!A:A,Account_Master!C:C,"Not on master")</f>
        <v>0</v>
      </c>
      <c r="H2235" s="6">
        <v>9</v>
      </c>
      <c r="I2235" s="6">
        <v>9</v>
      </c>
      <c r="J2235" s="6">
        <f>I2235-H2235</f>
        <v>0</v>
      </c>
      <c r="K2235" s="5">
        <f>IF(H2235=0,"",J2235/H2235)</f>
        <v>0</v>
      </c>
      <c r="L2235">
        <f>IF(OR(AND(H2235=0,ABS(J2235)&gt;=0.01),AND(H2235&lt;&gt;0,ABS(K2235)&gt;VarianceThreshold)),"Review","OK")</f>
        <v>0</v>
      </c>
      <c r="M2235" t="s">
        <v>33</v>
      </c>
    </row>
    <row r="2236" spans="1:13">
      <c r="A2236" t="s">
        <v>3</v>
      </c>
      <c r="B2236" t="s">
        <v>552</v>
      </c>
      <c r="C2236" t="s">
        <v>2019</v>
      </c>
      <c r="D2236" t="s">
        <v>2243</v>
      </c>
      <c r="E2236" cm="1">
        <f t="array" ref="E2236">_xlfn.XLOOKUP(D2236,SKU_Master!A:A,SKU_Master!B:B,"Not on master")</f>
        <v>0</v>
      </c>
      <c r="F2236" cm="1">
        <f t="array" ref="F2236">_xlfn.XLOOKUP(C2236,Account_Master!A:A,Account_Master!B:B,"Not on master")</f>
        <v>0</v>
      </c>
      <c r="G2236" cm="1">
        <f t="array" ref="G2236">_xlfn.XLOOKUP(C2236,Account_Master!A:A,Account_Master!C:C,"Not on master")</f>
        <v>0</v>
      </c>
      <c r="H2236" s="6">
        <v>51</v>
      </c>
      <c r="I2236" s="6">
        <v>51</v>
      </c>
      <c r="J2236" s="6">
        <f>I2236-H2236</f>
        <v>0</v>
      </c>
      <c r="K2236" s="5">
        <f>IF(H2236=0,"",J2236/H2236)</f>
        <v>0</v>
      </c>
      <c r="L2236">
        <f>IF(OR(AND(H2236=0,ABS(J2236)&gt;=0.01),AND(H2236&lt;&gt;0,ABS(K2236)&gt;VarianceThreshold)),"Review","OK")</f>
        <v>0</v>
      </c>
      <c r="M2236" t="s">
        <v>33</v>
      </c>
    </row>
    <row r="2237" spans="1:13">
      <c r="A2237" t="s">
        <v>3</v>
      </c>
      <c r="B2237" t="s">
        <v>552</v>
      </c>
      <c r="C2237" t="s">
        <v>2168</v>
      </c>
      <c r="D2237" t="s">
        <v>1620</v>
      </c>
      <c r="E2237" cm="1">
        <f t="array" ref="E2237">_xlfn.XLOOKUP(D2237,SKU_Master!A:A,SKU_Master!B:B,"Not on master")</f>
        <v>0</v>
      </c>
      <c r="F2237" cm="1">
        <f t="array" ref="F2237">_xlfn.XLOOKUP(C2237,Account_Master!A:A,Account_Master!B:B,"Not on master")</f>
        <v>0</v>
      </c>
      <c r="G2237" cm="1">
        <f t="array" ref="G2237">_xlfn.XLOOKUP(C2237,Account_Master!A:A,Account_Master!C:C,"Not on master")</f>
        <v>0</v>
      </c>
      <c r="H2237" s="6">
        <v>4.5</v>
      </c>
      <c r="I2237" s="6">
        <v>4.5</v>
      </c>
      <c r="J2237" s="6">
        <f>I2237-H2237</f>
        <v>0</v>
      </c>
      <c r="K2237" s="5">
        <f>IF(H2237=0,"",J2237/H2237)</f>
        <v>0</v>
      </c>
      <c r="L2237">
        <f>IF(OR(AND(H2237=0,ABS(J2237)&gt;=0.01),AND(H2237&lt;&gt;0,ABS(K2237)&gt;VarianceThreshold)),"Review","OK")</f>
        <v>0</v>
      </c>
      <c r="M2237" t="s">
        <v>33</v>
      </c>
    </row>
    <row r="2238" spans="1:13">
      <c r="A2238" t="s">
        <v>3</v>
      </c>
      <c r="B2238" t="s">
        <v>558</v>
      </c>
      <c r="C2238" t="s">
        <v>2013</v>
      </c>
      <c r="D2238" t="s">
        <v>1290</v>
      </c>
      <c r="E2238" cm="1">
        <f t="array" ref="E2238">_xlfn.XLOOKUP(D2238,SKU_Master!A:A,SKU_Master!B:B,"Not on master")</f>
        <v>0</v>
      </c>
      <c r="F2238" cm="1">
        <f t="array" ref="F2238">_xlfn.XLOOKUP(C2238,Account_Master!A:A,Account_Master!B:B,"Not on master")</f>
        <v>0</v>
      </c>
      <c r="G2238" cm="1">
        <f t="array" ref="G2238">_xlfn.XLOOKUP(C2238,Account_Master!A:A,Account_Master!C:C,"Not on master")</f>
        <v>0</v>
      </c>
      <c r="H2238" s="6">
        <v>10.5</v>
      </c>
      <c r="I2238" s="6">
        <v>10.5</v>
      </c>
      <c r="J2238" s="6">
        <f>I2238-H2238</f>
        <v>0</v>
      </c>
      <c r="K2238" s="5">
        <f>IF(H2238=0,"",J2238/H2238)</f>
        <v>0</v>
      </c>
      <c r="L2238">
        <f>IF(OR(AND(H2238=0,ABS(J2238)&gt;=0.01),AND(H2238&lt;&gt;0,ABS(K2238)&gt;VarianceThreshold)),"Review","OK")</f>
        <v>0</v>
      </c>
      <c r="M2238" t="s">
        <v>33</v>
      </c>
    </row>
    <row r="2239" spans="1:13">
      <c r="A2239" t="s">
        <v>3</v>
      </c>
      <c r="B2239" t="s">
        <v>558</v>
      </c>
      <c r="C2239" t="s">
        <v>2027</v>
      </c>
      <c r="D2239" t="s">
        <v>2244</v>
      </c>
      <c r="E2239" cm="1">
        <f t="array" ref="E2239">_xlfn.XLOOKUP(D2239,SKU_Master!A:A,SKU_Master!B:B,"Not on master")</f>
        <v>0</v>
      </c>
      <c r="F2239" cm="1">
        <f t="array" ref="F2239">_xlfn.XLOOKUP(C2239,Account_Master!A:A,Account_Master!B:B,"Not on master")</f>
        <v>0</v>
      </c>
      <c r="G2239" cm="1">
        <f t="array" ref="G2239">_xlfn.XLOOKUP(C2239,Account_Master!A:A,Account_Master!C:C,"Not on master")</f>
        <v>0</v>
      </c>
      <c r="H2239" s="6">
        <v>4.5</v>
      </c>
      <c r="I2239" s="6">
        <v>4.5</v>
      </c>
      <c r="J2239" s="6">
        <f>I2239-H2239</f>
        <v>0</v>
      </c>
      <c r="K2239" s="5">
        <f>IF(H2239=0,"",J2239/H2239)</f>
        <v>0</v>
      </c>
      <c r="L2239">
        <f>IF(OR(AND(H2239=0,ABS(J2239)&gt;=0.01),AND(H2239&lt;&gt;0,ABS(K2239)&gt;VarianceThreshold)),"Review","OK")</f>
        <v>0</v>
      </c>
      <c r="M2239" t="s">
        <v>33</v>
      </c>
    </row>
    <row r="2240" spans="1:13">
      <c r="A2240" t="s">
        <v>3</v>
      </c>
      <c r="B2240" t="s">
        <v>558</v>
      </c>
      <c r="C2240" t="s">
        <v>2245</v>
      </c>
      <c r="D2240" t="s">
        <v>2246</v>
      </c>
      <c r="E2240" cm="1">
        <f t="array" ref="E2240">_xlfn.XLOOKUP(D2240,SKU_Master!A:A,SKU_Master!B:B,"Not on master")</f>
        <v>0</v>
      </c>
      <c r="F2240" cm="1">
        <f t="array" ref="F2240">_xlfn.XLOOKUP(C2240,Account_Master!A:A,Account_Master!B:B,"Not on master")</f>
        <v>0</v>
      </c>
      <c r="G2240" cm="1">
        <f t="array" ref="G2240">_xlfn.XLOOKUP(C2240,Account_Master!A:A,Account_Master!C:C,"Not on master")</f>
        <v>0</v>
      </c>
      <c r="H2240" s="6">
        <v>0.8</v>
      </c>
      <c r="I2240" s="6">
        <v>0.8</v>
      </c>
      <c r="J2240" s="6">
        <f>I2240-H2240</f>
        <v>0</v>
      </c>
      <c r="K2240" s="5">
        <f>IF(H2240=0,"",J2240/H2240)</f>
        <v>0</v>
      </c>
      <c r="L2240">
        <f>IF(OR(AND(H2240=0,ABS(J2240)&gt;=0.01),AND(H2240&lt;&gt;0,ABS(K2240)&gt;VarianceThreshold)),"Review","OK")</f>
        <v>0</v>
      </c>
      <c r="M2240" t="s">
        <v>33</v>
      </c>
    </row>
    <row r="2241" spans="1:13">
      <c r="A2241" t="s">
        <v>3</v>
      </c>
      <c r="B2241" t="s">
        <v>558</v>
      </c>
      <c r="C2241" t="s">
        <v>2247</v>
      </c>
      <c r="D2241" t="s">
        <v>1374</v>
      </c>
      <c r="E2241" cm="1">
        <f t="array" ref="E2241">_xlfn.XLOOKUP(D2241,SKU_Master!A:A,SKU_Master!B:B,"Not on master")</f>
        <v>0</v>
      </c>
      <c r="F2241" cm="1">
        <f t="array" ref="F2241">_xlfn.XLOOKUP(C2241,Account_Master!A:A,Account_Master!B:B,"Not on master")</f>
        <v>0</v>
      </c>
      <c r="G2241" cm="1">
        <f t="array" ref="G2241">_xlfn.XLOOKUP(C2241,Account_Master!A:A,Account_Master!C:C,"Not on master")</f>
        <v>0</v>
      </c>
      <c r="H2241" s="6">
        <v>0.95</v>
      </c>
      <c r="I2241" s="6">
        <v>0.95</v>
      </c>
      <c r="J2241" s="6">
        <f>I2241-H2241</f>
        <v>0</v>
      </c>
      <c r="K2241" s="5">
        <f>IF(H2241=0,"",J2241/H2241)</f>
        <v>0</v>
      </c>
      <c r="L2241">
        <f>IF(OR(AND(H2241=0,ABS(J2241)&gt;=0.01),AND(H2241&lt;&gt;0,ABS(K2241)&gt;VarianceThreshold)),"Review","OK")</f>
        <v>0</v>
      </c>
      <c r="M2241" t="s">
        <v>33</v>
      </c>
    </row>
    <row r="2242" spans="1:13">
      <c r="A2242" t="s">
        <v>3</v>
      </c>
      <c r="B2242" t="s">
        <v>558</v>
      </c>
      <c r="C2242" t="s">
        <v>2075</v>
      </c>
      <c r="D2242" t="s">
        <v>1163</v>
      </c>
      <c r="E2242" cm="1">
        <f t="array" ref="E2242">_xlfn.XLOOKUP(D2242,SKU_Master!A:A,SKU_Master!B:B,"Not on master")</f>
        <v>0</v>
      </c>
      <c r="F2242" cm="1">
        <f t="array" ref="F2242">_xlfn.XLOOKUP(C2242,Account_Master!A:A,Account_Master!B:B,"Not on master")</f>
        <v>0</v>
      </c>
      <c r="G2242" cm="1">
        <f t="array" ref="G2242">_xlfn.XLOOKUP(C2242,Account_Master!A:A,Account_Master!C:C,"Not on master")</f>
        <v>0</v>
      </c>
      <c r="H2242" s="6">
        <v>18</v>
      </c>
      <c r="I2242" s="6">
        <v>18</v>
      </c>
      <c r="J2242" s="6">
        <f>I2242-H2242</f>
        <v>0</v>
      </c>
      <c r="K2242" s="5">
        <f>IF(H2242=0,"",J2242/H2242)</f>
        <v>0</v>
      </c>
      <c r="L2242">
        <f>IF(OR(AND(H2242=0,ABS(J2242)&gt;=0.01),AND(H2242&lt;&gt;0,ABS(K2242)&gt;VarianceThreshold)),"Review","OK")</f>
        <v>0</v>
      </c>
      <c r="M2242" t="s">
        <v>33</v>
      </c>
    </row>
    <row r="2243" spans="1:13">
      <c r="A2243" t="s">
        <v>3</v>
      </c>
      <c r="B2243" t="s">
        <v>563</v>
      </c>
      <c r="C2243" t="s">
        <v>2041</v>
      </c>
      <c r="D2243" t="s">
        <v>2248</v>
      </c>
      <c r="E2243" cm="1">
        <f t="array" ref="E2243">_xlfn.XLOOKUP(D2243,SKU_Master!A:A,SKU_Master!B:B,"Not on master")</f>
        <v>0</v>
      </c>
      <c r="F2243" cm="1">
        <f t="array" ref="F2243">_xlfn.XLOOKUP(C2243,Account_Master!A:A,Account_Master!B:B,"Not on master")</f>
        <v>0</v>
      </c>
      <c r="G2243" cm="1">
        <f t="array" ref="G2243">_xlfn.XLOOKUP(C2243,Account_Master!A:A,Account_Master!C:C,"Not on master")</f>
        <v>0</v>
      </c>
      <c r="H2243" s="6">
        <v>0.75</v>
      </c>
      <c r="I2243" s="6">
        <v>0.75</v>
      </c>
      <c r="J2243" s="6">
        <f>I2243-H2243</f>
        <v>0</v>
      </c>
      <c r="K2243" s="5">
        <f>IF(H2243=0,"",J2243/H2243)</f>
        <v>0</v>
      </c>
      <c r="L2243">
        <f>IF(OR(AND(H2243=0,ABS(J2243)&gt;=0.01),AND(H2243&lt;&gt;0,ABS(K2243)&gt;VarianceThreshold)),"Review","OK")</f>
        <v>0</v>
      </c>
      <c r="M2243" t="s">
        <v>33</v>
      </c>
    </row>
    <row r="2244" spans="1:13">
      <c r="A2244" t="s">
        <v>3</v>
      </c>
      <c r="B2244" t="s">
        <v>563</v>
      </c>
      <c r="C2244" t="s">
        <v>2153</v>
      </c>
      <c r="D2244" t="s">
        <v>696</v>
      </c>
      <c r="E2244" cm="1">
        <f t="array" ref="E2244">_xlfn.XLOOKUP(D2244,SKU_Master!A:A,SKU_Master!B:B,"Not on master")</f>
        <v>0</v>
      </c>
      <c r="F2244" cm="1">
        <f t="array" ref="F2244">_xlfn.XLOOKUP(C2244,Account_Master!A:A,Account_Master!B:B,"Not on master")</f>
        <v>0</v>
      </c>
      <c r="G2244" cm="1">
        <f t="array" ref="G2244">_xlfn.XLOOKUP(C2244,Account_Master!A:A,Account_Master!C:C,"Not on master")</f>
        <v>0</v>
      </c>
      <c r="H2244" s="6">
        <v>9</v>
      </c>
      <c r="I2244" s="6">
        <v>9</v>
      </c>
      <c r="J2244" s="6">
        <f>I2244-H2244</f>
        <v>0</v>
      </c>
      <c r="K2244" s="5">
        <f>IF(H2244=0,"",J2244/H2244)</f>
        <v>0</v>
      </c>
      <c r="L2244">
        <f>IF(OR(AND(H2244=0,ABS(J2244)&gt;=0.01),AND(H2244&lt;&gt;0,ABS(K2244)&gt;VarianceThreshold)),"Review","OK")</f>
        <v>0</v>
      </c>
      <c r="M2244" t="s">
        <v>33</v>
      </c>
    </row>
    <row r="2245" spans="1:13">
      <c r="A2245" t="s">
        <v>3</v>
      </c>
      <c r="B2245" t="s">
        <v>563</v>
      </c>
      <c r="C2245" t="s">
        <v>2249</v>
      </c>
      <c r="D2245" t="s">
        <v>2250</v>
      </c>
      <c r="E2245" cm="1">
        <f t="array" ref="E2245">_xlfn.XLOOKUP(D2245,SKU_Master!A:A,SKU_Master!B:B,"Not on master")</f>
        <v>0</v>
      </c>
      <c r="F2245" cm="1">
        <f t="array" ref="F2245">_xlfn.XLOOKUP(C2245,Account_Master!A:A,Account_Master!B:B,"Not on master")</f>
        <v>0</v>
      </c>
      <c r="G2245" cm="1">
        <f t="array" ref="G2245">_xlfn.XLOOKUP(C2245,Account_Master!A:A,Account_Master!C:C,"Not on master")</f>
        <v>0</v>
      </c>
      <c r="H2245" s="6">
        <v>46.5</v>
      </c>
      <c r="I2245" s="6">
        <v>46.5</v>
      </c>
      <c r="J2245" s="6">
        <f>I2245-H2245</f>
        <v>0</v>
      </c>
      <c r="K2245" s="5">
        <f>IF(H2245=0,"",J2245/H2245)</f>
        <v>0</v>
      </c>
      <c r="L2245">
        <f>IF(OR(AND(H2245=0,ABS(J2245)&gt;=0.01),AND(H2245&lt;&gt;0,ABS(K2245)&gt;VarianceThreshold)),"Review","OK")</f>
        <v>0</v>
      </c>
      <c r="M2245" t="s">
        <v>33</v>
      </c>
    </row>
    <row r="2246" spans="1:13">
      <c r="A2246" t="s">
        <v>3</v>
      </c>
      <c r="B2246" t="s">
        <v>563</v>
      </c>
      <c r="C2246" t="s">
        <v>2012</v>
      </c>
      <c r="D2246" t="s">
        <v>833</v>
      </c>
      <c r="E2246" cm="1">
        <f t="array" ref="E2246">_xlfn.XLOOKUP(D2246,SKU_Master!A:A,SKU_Master!B:B,"Not on master")</f>
        <v>0</v>
      </c>
      <c r="F2246" cm="1">
        <f t="array" ref="F2246">_xlfn.XLOOKUP(C2246,Account_Master!A:A,Account_Master!B:B,"Not on master")</f>
        <v>0</v>
      </c>
      <c r="G2246" cm="1">
        <f t="array" ref="G2246">_xlfn.XLOOKUP(C2246,Account_Master!A:A,Account_Master!C:C,"Not on master")</f>
        <v>0</v>
      </c>
      <c r="H2246" s="6">
        <v>18</v>
      </c>
      <c r="I2246" s="6">
        <v>18</v>
      </c>
      <c r="J2246" s="6">
        <f>I2246-H2246</f>
        <v>0</v>
      </c>
      <c r="K2246" s="5">
        <f>IF(H2246=0,"",J2246/H2246)</f>
        <v>0</v>
      </c>
      <c r="L2246">
        <f>IF(OR(AND(H2246=0,ABS(J2246)&gt;=0.01),AND(H2246&lt;&gt;0,ABS(K2246)&gt;VarianceThreshold)),"Review","OK")</f>
        <v>0</v>
      </c>
      <c r="M2246" t="s">
        <v>33</v>
      </c>
    </row>
    <row r="2247" spans="1:13">
      <c r="A2247" t="s">
        <v>3</v>
      </c>
      <c r="B2247" t="s">
        <v>563</v>
      </c>
      <c r="C2247" t="s">
        <v>2033</v>
      </c>
      <c r="D2247" t="s">
        <v>1033</v>
      </c>
      <c r="E2247" cm="1">
        <f t="array" ref="E2247">_xlfn.XLOOKUP(D2247,SKU_Master!A:A,SKU_Master!B:B,"Not on master")</f>
        <v>0</v>
      </c>
      <c r="F2247" cm="1">
        <f t="array" ref="F2247">_xlfn.XLOOKUP(C2247,Account_Master!A:A,Account_Master!B:B,"Not on master")</f>
        <v>0</v>
      </c>
      <c r="G2247" cm="1">
        <f t="array" ref="G2247">_xlfn.XLOOKUP(C2247,Account_Master!A:A,Account_Master!C:C,"Not on master")</f>
        <v>0</v>
      </c>
      <c r="H2247" s="6">
        <v>16</v>
      </c>
      <c r="I2247" s="6">
        <v>16</v>
      </c>
      <c r="J2247" s="6">
        <f>I2247-H2247</f>
        <v>0</v>
      </c>
      <c r="K2247" s="5">
        <f>IF(H2247=0,"",J2247/H2247)</f>
        <v>0</v>
      </c>
      <c r="L2247">
        <f>IF(OR(AND(H2247=0,ABS(J2247)&gt;=0.01),AND(H2247&lt;&gt;0,ABS(K2247)&gt;VarianceThreshold)),"Review","OK")</f>
        <v>0</v>
      </c>
      <c r="M2247" t="s">
        <v>33</v>
      </c>
    </row>
    <row r="2248" spans="1:13">
      <c r="A2248" t="s">
        <v>3</v>
      </c>
      <c r="B2248" t="s">
        <v>563</v>
      </c>
      <c r="C2248" t="s">
        <v>2052</v>
      </c>
      <c r="D2248" t="s">
        <v>1998</v>
      </c>
      <c r="E2248" cm="1">
        <f t="array" ref="E2248">_xlfn.XLOOKUP(D2248,SKU_Master!A:A,SKU_Master!B:B,"Not on master")</f>
        <v>0</v>
      </c>
      <c r="F2248" cm="1">
        <f t="array" ref="F2248">_xlfn.XLOOKUP(C2248,Account_Master!A:A,Account_Master!B:B,"Not on master")</f>
        <v>0</v>
      </c>
      <c r="G2248" cm="1">
        <f t="array" ref="G2248">_xlfn.XLOOKUP(C2248,Account_Master!A:A,Account_Master!C:C,"Not on master")</f>
        <v>0</v>
      </c>
      <c r="H2248" s="6">
        <v>26</v>
      </c>
      <c r="I2248" s="6">
        <v>26</v>
      </c>
      <c r="J2248" s="6">
        <f>I2248-H2248</f>
        <v>0</v>
      </c>
      <c r="K2248" s="5">
        <f>IF(H2248=0,"",J2248/H2248)</f>
        <v>0</v>
      </c>
      <c r="L2248">
        <f>IF(OR(AND(H2248=0,ABS(J2248)&gt;=0.01),AND(H2248&lt;&gt;0,ABS(K2248)&gt;VarianceThreshold)),"Review","OK")</f>
        <v>0</v>
      </c>
      <c r="M2248" t="s">
        <v>33</v>
      </c>
    </row>
    <row r="2249" spans="1:13">
      <c r="A2249" t="s">
        <v>3</v>
      </c>
      <c r="B2249" t="s">
        <v>571</v>
      </c>
      <c r="C2249" t="s">
        <v>2052</v>
      </c>
      <c r="D2249" t="s">
        <v>2251</v>
      </c>
      <c r="E2249" cm="1">
        <f t="array" ref="E2249">_xlfn.XLOOKUP(D2249,SKU_Master!A:A,SKU_Master!B:B,"Not on master")</f>
        <v>0</v>
      </c>
      <c r="F2249" cm="1">
        <f t="array" ref="F2249">_xlfn.XLOOKUP(C2249,Account_Master!A:A,Account_Master!B:B,"Not on master")</f>
        <v>0</v>
      </c>
      <c r="G2249" cm="1">
        <f t="array" ref="G2249">_xlfn.XLOOKUP(C2249,Account_Master!A:A,Account_Master!C:C,"Not on master")</f>
        <v>0</v>
      </c>
      <c r="H2249" s="6">
        <v>24.5</v>
      </c>
      <c r="I2249" s="6">
        <v>24.5</v>
      </c>
      <c r="J2249" s="6">
        <f>I2249-H2249</f>
        <v>0</v>
      </c>
      <c r="K2249" s="5">
        <f>IF(H2249=0,"",J2249/H2249)</f>
        <v>0</v>
      </c>
      <c r="L2249">
        <f>IF(OR(AND(H2249=0,ABS(J2249)&gt;=0.01),AND(H2249&lt;&gt;0,ABS(K2249)&gt;VarianceThreshold)),"Review","OK")</f>
        <v>0</v>
      </c>
      <c r="M2249" t="s">
        <v>33</v>
      </c>
    </row>
    <row r="2250" spans="1:13">
      <c r="A2250" t="s">
        <v>3</v>
      </c>
      <c r="B2250" t="s">
        <v>571</v>
      </c>
      <c r="C2250" t="s">
        <v>2033</v>
      </c>
      <c r="D2250" t="s">
        <v>2252</v>
      </c>
      <c r="E2250" cm="1">
        <f t="array" ref="E2250">_xlfn.XLOOKUP(D2250,SKU_Master!A:A,SKU_Master!B:B,"Not on master")</f>
        <v>0</v>
      </c>
      <c r="F2250" cm="1">
        <f t="array" ref="F2250">_xlfn.XLOOKUP(C2250,Account_Master!A:A,Account_Master!B:B,"Not on master")</f>
        <v>0</v>
      </c>
      <c r="G2250" cm="1">
        <f t="array" ref="G2250">_xlfn.XLOOKUP(C2250,Account_Master!A:A,Account_Master!C:C,"Not on master")</f>
        <v>0</v>
      </c>
      <c r="H2250" s="6">
        <v>1.87</v>
      </c>
      <c r="I2250" s="6">
        <v>1.87</v>
      </c>
      <c r="J2250" s="6">
        <f>I2250-H2250</f>
        <v>0</v>
      </c>
      <c r="K2250" s="5">
        <f>IF(H2250=0,"",J2250/H2250)</f>
        <v>0</v>
      </c>
      <c r="L2250">
        <f>IF(OR(AND(H2250=0,ABS(J2250)&gt;=0.01),AND(H2250&lt;&gt;0,ABS(K2250)&gt;VarianceThreshold)),"Review","OK")</f>
        <v>0</v>
      </c>
      <c r="M2250" t="s">
        <v>33</v>
      </c>
    </row>
    <row r="2251" spans="1:13">
      <c r="A2251" t="s">
        <v>3</v>
      </c>
      <c r="B2251" t="s">
        <v>574</v>
      </c>
      <c r="C2251" t="s">
        <v>2058</v>
      </c>
      <c r="D2251" t="s">
        <v>2253</v>
      </c>
      <c r="E2251" cm="1">
        <f t="array" ref="E2251">_xlfn.XLOOKUP(D2251,SKU_Master!A:A,SKU_Master!B:B,"Not on master")</f>
        <v>0</v>
      </c>
      <c r="F2251" cm="1">
        <f t="array" ref="F2251">_xlfn.XLOOKUP(C2251,Account_Master!A:A,Account_Master!B:B,"Not on master")</f>
        <v>0</v>
      </c>
      <c r="G2251" cm="1">
        <f t="array" ref="G2251">_xlfn.XLOOKUP(C2251,Account_Master!A:A,Account_Master!C:C,"Not on master")</f>
        <v>0</v>
      </c>
      <c r="H2251" s="6">
        <v>99</v>
      </c>
      <c r="I2251" s="6">
        <v>99</v>
      </c>
      <c r="J2251" s="6">
        <f>I2251-H2251</f>
        <v>0</v>
      </c>
      <c r="K2251" s="5">
        <f>IF(H2251=0,"",J2251/H2251)</f>
        <v>0</v>
      </c>
      <c r="L2251">
        <f>IF(OR(AND(H2251=0,ABS(J2251)&gt;=0.01),AND(H2251&lt;&gt;0,ABS(K2251)&gt;VarianceThreshold)),"Review","OK")</f>
        <v>0</v>
      </c>
      <c r="M2251" t="s">
        <v>33</v>
      </c>
    </row>
    <row r="2252" spans="1:13">
      <c r="A2252" t="s">
        <v>3</v>
      </c>
      <c r="B2252" t="s">
        <v>574</v>
      </c>
      <c r="C2252" t="s">
        <v>2073</v>
      </c>
      <c r="D2252" t="s">
        <v>2254</v>
      </c>
      <c r="E2252" cm="1">
        <f t="array" ref="E2252">_xlfn.XLOOKUP(D2252,SKU_Master!A:A,SKU_Master!B:B,"Not on master")</f>
        <v>0</v>
      </c>
      <c r="F2252" cm="1">
        <f t="array" ref="F2252">_xlfn.XLOOKUP(C2252,Account_Master!A:A,Account_Master!B:B,"Not on master")</f>
        <v>0</v>
      </c>
      <c r="G2252" cm="1">
        <f t="array" ref="G2252">_xlfn.XLOOKUP(C2252,Account_Master!A:A,Account_Master!C:C,"Not on master")</f>
        <v>0</v>
      </c>
      <c r="H2252" s="6">
        <v>1.1</v>
      </c>
      <c r="I2252" s="6">
        <v>1.1</v>
      </c>
      <c r="J2252" s="6">
        <f>I2252-H2252</f>
        <v>0</v>
      </c>
      <c r="K2252" s="5">
        <f>IF(H2252=0,"",J2252/H2252)</f>
        <v>0</v>
      </c>
      <c r="L2252">
        <f>IF(OR(AND(H2252=0,ABS(J2252)&gt;=0.01),AND(H2252&lt;&gt;0,ABS(K2252)&gt;VarianceThreshold)),"Review","OK")</f>
        <v>0</v>
      </c>
      <c r="M2252" t="s">
        <v>33</v>
      </c>
    </row>
    <row r="2253" spans="1:13">
      <c r="A2253" t="s">
        <v>3</v>
      </c>
      <c r="B2253" t="s">
        <v>574</v>
      </c>
      <c r="C2253" t="s">
        <v>2022</v>
      </c>
      <c r="D2253" t="s">
        <v>1657</v>
      </c>
      <c r="E2253" cm="1">
        <f t="array" ref="E2253">_xlfn.XLOOKUP(D2253,SKU_Master!A:A,SKU_Master!B:B,"Not on master")</f>
        <v>0</v>
      </c>
      <c r="F2253" cm="1">
        <f t="array" ref="F2253">_xlfn.XLOOKUP(C2253,Account_Master!A:A,Account_Master!B:B,"Not on master")</f>
        <v>0</v>
      </c>
      <c r="G2253" cm="1">
        <f t="array" ref="G2253">_xlfn.XLOOKUP(C2253,Account_Master!A:A,Account_Master!C:C,"Not on master")</f>
        <v>0</v>
      </c>
      <c r="H2253" s="6">
        <v>4.5</v>
      </c>
      <c r="I2253" s="6">
        <v>4.5</v>
      </c>
      <c r="J2253" s="6">
        <f>I2253-H2253</f>
        <v>0</v>
      </c>
      <c r="K2253" s="5">
        <f>IF(H2253=0,"",J2253/H2253)</f>
        <v>0</v>
      </c>
      <c r="L2253">
        <f>IF(OR(AND(H2253=0,ABS(J2253)&gt;=0.01),AND(H2253&lt;&gt;0,ABS(K2253)&gt;VarianceThreshold)),"Review","OK")</f>
        <v>0</v>
      </c>
      <c r="M2253" t="s">
        <v>33</v>
      </c>
    </row>
    <row r="2254" spans="1:13">
      <c r="A2254" t="s">
        <v>3</v>
      </c>
      <c r="B2254" t="s">
        <v>574</v>
      </c>
      <c r="C2254" t="s">
        <v>2200</v>
      </c>
      <c r="D2254" t="s">
        <v>2255</v>
      </c>
      <c r="E2254" cm="1">
        <f t="array" ref="E2254">_xlfn.XLOOKUP(D2254,SKU_Master!A:A,SKU_Master!B:B,"Not on master")</f>
        <v>0</v>
      </c>
      <c r="F2254" cm="1">
        <f t="array" ref="F2254">_xlfn.XLOOKUP(C2254,Account_Master!A:A,Account_Master!B:B,"Not on master")</f>
        <v>0</v>
      </c>
      <c r="G2254" cm="1">
        <f t="array" ref="G2254">_xlfn.XLOOKUP(C2254,Account_Master!A:A,Account_Master!C:C,"Not on master")</f>
        <v>0</v>
      </c>
      <c r="H2254" s="6">
        <v>0.05</v>
      </c>
      <c r="I2254" s="6">
        <v>0.05</v>
      </c>
      <c r="J2254" s="6">
        <f>I2254-H2254</f>
        <v>0</v>
      </c>
      <c r="K2254" s="5">
        <f>IF(H2254=0,"",J2254/H2254)</f>
        <v>0</v>
      </c>
      <c r="L2254">
        <f>IF(OR(AND(H2254=0,ABS(J2254)&gt;=0.01),AND(H2254&lt;&gt;0,ABS(K2254)&gt;VarianceThreshold)),"Review","OK")</f>
        <v>0</v>
      </c>
      <c r="M2254" t="s">
        <v>33</v>
      </c>
    </row>
    <row r="2255" spans="1:13">
      <c r="A2255" t="s">
        <v>3</v>
      </c>
      <c r="B2255" t="s">
        <v>585</v>
      </c>
      <c r="C2255" t="s">
        <v>2060</v>
      </c>
      <c r="D2255" t="s">
        <v>881</v>
      </c>
      <c r="E2255" cm="1">
        <f t="array" ref="E2255">_xlfn.XLOOKUP(D2255,SKU_Master!A:A,SKU_Master!B:B,"Not on master")</f>
        <v>0</v>
      </c>
      <c r="F2255" cm="1">
        <f t="array" ref="F2255">_xlfn.XLOOKUP(C2255,Account_Master!A:A,Account_Master!B:B,"Not on master")</f>
        <v>0</v>
      </c>
      <c r="G2255" cm="1">
        <f t="array" ref="G2255">_xlfn.XLOOKUP(C2255,Account_Master!A:A,Account_Master!C:C,"Not on master")</f>
        <v>0</v>
      </c>
      <c r="H2255" s="6">
        <v>14</v>
      </c>
      <c r="I2255" s="6">
        <v>14</v>
      </c>
      <c r="J2255" s="6">
        <f>I2255-H2255</f>
        <v>0</v>
      </c>
      <c r="K2255" s="5">
        <f>IF(H2255=0,"",J2255/H2255)</f>
        <v>0</v>
      </c>
      <c r="L2255">
        <f>IF(OR(AND(H2255=0,ABS(J2255)&gt;=0.01),AND(H2255&lt;&gt;0,ABS(K2255)&gt;VarianceThreshold)),"Review","OK")</f>
        <v>0</v>
      </c>
      <c r="M2255" t="s">
        <v>33</v>
      </c>
    </row>
    <row r="2256" spans="1:13">
      <c r="A2256" t="s">
        <v>3</v>
      </c>
      <c r="B2256" t="s">
        <v>585</v>
      </c>
      <c r="C2256" t="s">
        <v>2033</v>
      </c>
      <c r="D2256" t="s">
        <v>777</v>
      </c>
      <c r="E2256" cm="1">
        <f t="array" ref="E2256">_xlfn.XLOOKUP(D2256,SKU_Master!A:A,SKU_Master!B:B,"Not on master")</f>
        <v>0</v>
      </c>
      <c r="F2256" cm="1">
        <f t="array" ref="F2256">_xlfn.XLOOKUP(C2256,Account_Master!A:A,Account_Master!B:B,"Not on master")</f>
        <v>0</v>
      </c>
      <c r="G2256" cm="1">
        <f t="array" ref="G2256">_xlfn.XLOOKUP(C2256,Account_Master!A:A,Account_Master!C:C,"Not on master")</f>
        <v>0</v>
      </c>
      <c r="H2256" s="6">
        <v>5.25</v>
      </c>
      <c r="I2256" s="6">
        <v>5.25</v>
      </c>
      <c r="J2256" s="6">
        <f>I2256-H2256</f>
        <v>0</v>
      </c>
      <c r="K2256" s="5">
        <f>IF(H2256=0,"",J2256/H2256)</f>
        <v>0</v>
      </c>
      <c r="L2256">
        <f>IF(OR(AND(H2256=0,ABS(J2256)&gt;=0.01),AND(H2256&lt;&gt;0,ABS(K2256)&gt;VarianceThreshold)),"Review","OK")</f>
        <v>0</v>
      </c>
      <c r="M2256" t="s">
        <v>33</v>
      </c>
    </row>
    <row r="2257" spans="1:13">
      <c r="A2257" t="s">
        <v>3</v>
      </c>
      <c r="B2257" t="s">
        <v>585</v>
      </c>
      <c r="C2257" t="s">
        <v>2106</v>
      </c>
      <c r="D2257" t="s">
        <v>2256</v>
      </c>
      <c r="E2257" cm="1">
        <f t="array" ref="E2257">_xlfn.XLOOKUP(D2257,SKU_Master!A:A,SKU_Master!B:B,"Not on master")</f>
        <v>0</v>
      </c>
      <c r="F2257" cm="1">
        <f t="array" ref="F2257">_xlfn.XLOOKUP(C2257,Account_Master!A:A,Account_Master!B:B,"Not on master")</f>
        <v>0</v>
      </c>
      <c r="G2257" cm="1">
        <f t="array" ref="G2257">_xlfn.XLOOKUP(C2257,Account_Master!A:A,Account_Master!C:C,"Not on master")</f>
        <v>0</v>
      </c>
      <c r="H2257" s="6">
        <v>9</v>
      </c>
      <c r="I2257" s="6">
        <v>9</v>
      </c>
      <c r="J2257" s="6">
        <f>I2257-H2257</f>
        <v>0</v>
      </c>
      <c r="K2257" s="5">
        <f>IF(H2257=0,"",J2257/H2257)</f>
        <v>0</v>
      </c>
      <c r="L2257">
        <f>IF(OR(AND(H2257=0,ABS(J2257)&gt;=0.01),AND(H2257&lt;&gt;0,ABS(K2257)&gt;VarianceThreshold)),"Review","OK")</f>
        <v>0</v>
      </c>
      <c r="M2257" t="s">
        <v>33</v>
      </c>
    </row>
    <row r="2258" spans="1:13">
      <c r="A2258" t="s">
        <v>3</v>
      </c>
      <c r="B2258" t="s">
        <v>585</v>
      </c>
      <c r="C2258" t="s">
        <v>2070</v>
      </c>
      <c r="D2258" t="s">
        <v>2257</v>
      </c>
      <c r="E2258" cm="1">
        <f t="array" ref="E2258">_xlfn.XLOOKUP(D2258,SKU_Master!A:A,SKU_Master!B:B,"Not on master")</f>
        <v>0</v>
      </c>
      <c r="F2258" cm="1">
        <f t="array" ref="F2258">_xlfn.XLOOKUP(C2258,Account_Master!A:A,Account_Master!B:B,"Not on master")</f>
        <v>0</v>
      </c>
      <c r="G2258" cm="1">
        <f t="array" ref="G2258">_xlfn.XLOOKUP(C2258,Account_Master!A:A,Account_Master!C:C,"Not on master")</f>
        <v>0</v>
      </c>
      <c r="H2258" s="6">
        <v>10.5</v>
      </c>
      <c r="I2258" s="6">
        <v>10.5</v>
      </c>
      <c r="J2258" s="6">
        <f>I2258-H2258</f>
        <v>0</v>
      </c>
      <c r="K2258" s="5">
        <f>IF(H2258=0,"",J2258/H2258)</f>
        <v>0</v>
      </c>
      <c r="L2258">
        <f>IF(OR(AND(H2258=0,ABS(J2258)&gt;=0.01),AND(H2258&lt;&gt;0,ABS(K2258)&gt;VarianceThreshold)),"Review","OK")</f>
        <v>0</v>
      </c>
      <c r="M2258" t="s">
        <v>33</v>
      </c>
    </row>
    <row r="2259" spans="1:13">
      <c r="A2259" t="s">
        <v>3</v>
      </c>
      <c r="B2259" t="s">
        <v>585</v>
      </c>
      <c r="C2259" t="s">
        <v>2075</v>
      </c>
      <c r="D2259" t="s">
        <v>362</v>
      </c>
      <c r="E2259" cm="1">
        <f t="array" ref="E2259">_xlfn.XLOOKUP(D2259,SKU_Master!A:A,SKU_Master!B:B,"Not on master")</f>
        <v>0</v>
      </c>
      <c r="F2259" cm="1">
        <f t="array" ref="F2259">_xlfn.XLOOKUP(C2259,Account_Master!A:A,Account_Master!B:B,"Not on master")</f>
        <v>0</v>
      </c>
      <c r="G2259" cm="1">
        <f t="array" ref="G2259">_xlfn.XLOOKUP(C2259,Account_Master!A:A,Account_Master!C:C,"Not on master")</f>
        <v>0</v>
      </c>
      <c r="H2259" s="6">
        <v>42</v>
      </c>
      <c r="I2259" s="6">
        <v>42</v>
      </c>
      <c r="J2259" s="6">
        <f>I2259-H2259</f>
        <v>0</v>
      </c>
      <c r="K2259" s="5">
        <f>IF(H2259=0,"",J2259/H2259)</f>
        <v>0</v>
      </c>
      <c r="L2259">
        <f>IF(OR(AND(H2259=0,ABS(J2259)&gt;=0.01),AND(H2259&lt;&gt;0,ABS(K2259)&gt;VarianceThreshold)),"Review","OK")</f>
        <v>0</v>
      </c>
      <c r="M2259" t="s">
        <v>33</v>
      </c>
    </row>
    <row r="2260" spans="1:13">
      <c r="A2260" t="s">
        <v>3</v>
      </c>
      <c r="B2260" t="s">
        <v>594</v>
      </c>
      <c r="C2260" t="s">
        <v>2012</v>
      </c>
      <c r="D2260" t="s">
        <v>1832</v>
      </c>
      <c r="E2260" cm="1">
        <f t="array" ref="E2260">_xlfn.XLOOKUP(D2260,SKU_Master!A:A,SKU_Master!B:B,"Not on master")</f>
        <v>0</v>
      </c>
      <c r="F2260" cm="1">
        <f t="array" ref="F2260">_xlfn.XLOOKUP(C2260,Account_Master!A:A,Account_Master!B:B,"Not on master")</f>
        <v>0</v>
      </c>
      <c r="G2260" cm="1">
        <f t="array" ref="G2260">_xlfn.XLOOKUP(C2260,Account_Master!A:A,Account_Master!C:C,"Not on master")</f>
        <v>0</v>
      </c>
      <c r="H2260" s="6">
        <v>63</v>
      </c>
      <c r="I2260" s="6">
        <v>63</v>
      </c>
      <c r="J2260" s="6">
        <f>I2260-H2260</f>
        <v>0</v>
      </c>
      <c r="K2260" s="5">
        <f>IF(H2260=0,"",J2260/H2260)</f>
        <v>0</v>
      </c>
      <c r="L2260">
        <f>IF(OR(AND(H2260=0,ABS(J2260)&gt;=0.01),AND(H2260&lt;&gt;0,ABS(K2260)&gt;VarianceThreshold)),"Review","OK")</f>
        <v>0</v>
      </c>
      <c r="M2260" t="s">
        <v>33</v>
      </c>
    </row>
    <row r="2261" spans="1:13">
      <c r="A2261" t="s">
        <v>3</v>
      </c>
      <c r="B2261" t="s">
        <v>594</v>
      </c>
      <c r="C2261" t="s">
        <v>2174</v>
      </c>
      <c r="D2261" t="s">
        <v>2258</v>
      </c>
      <c r="E2261" cm="1">
        <f t="array" ref="E2261">_xlfn.XLOOKUP(D2261,SKU_Master!A:A,SKU_Master!B:B,"Not on master")</f>
        <v>0</v>
      </c>
      <c r="F2261" cm="1">
        <f t="array" ref="F2261">_xlfn.XLOOKUP(C2261,Account_Master!A:A,Account_Master!B:B,"Not on master")</f>
        <v>0</v>
      </c>
      <c r="G2261" cm="1">
        <f t="array" ref="G2261">_xlfn.XLOOKUP(C2261,Account_Master!A:A,Account_Master!C:C,"Not on master")</f>
        <v>0</v>
      </c>
      <c r="H2261" s="6">
        <v>46.12</v>
      </c>
      <c r="I2261" s="6">
        <v>46.12</v>
      </c>
      <c r="J2261" s="6">
        <f>I2261-H2261</f>
        <v>0</v>
      </c>
      <c r="K2261" s="5">
        <f>IF(H2261=0,"",J2261/H2261)</f>
        <v>0</v>
      </c>
      <c r="L2261">
        <f>IF(OR(AND(H2261=0,ABS(J2261)&gt;=0.01),AND(H2261&lt;&gt;0,ABS(K2261)&gt;VarianceThreshold)),"Review","OK")</f>
        <v>0</v>
      </c>
      <c r="M2261" t="s">
        <v>33</v>
      </c>
    </row>
    <row r="2262" spans="1:13">
      <c r="A2262" t="s">
        <v>3</v>
      </c>
      <c r="B2262" t="s">
        <v>607</v>
      </c>
      <c r="C2262" t="s">
        <v>2088</v>
      </c>
      <c r="D2262" t="s">
        <v>2259</v>
      </c>
      <c r="E2262" cm="1">
        <f t="array" ref="E2262">_xlfn.XLOOKUP(D2262,SKU_Master!A:A,SKU_Master!B:B,"Not on master")</f>
        <v>0</v>
      </c>
      <c r="F2262" cm="1">
        <f t="array" ref="F2262">_xlfn.XLOOKUP(C2262,Account_Master!A:A,Account_Master!B:B,"Not on master")</f>
        <v>0</v>
      </c>
      <c r="G2262" cm="1">
        <f t="array" ref="G2262">_xlfn.XLOOKUP(C2262,Account_Master!A:A,Account_Master!C:C,"Not on master")</f>
        <v>0</v>
      </c>
      <c r="H2262" s="6">
        <v>0.75</v>
      </c>
      <c r="I2262" s="6">
        <v>0.75</v>
      </c>
      <c r="J2262" s="6">
        <f>I2262-H2262</f>
        <v>0</v>
      </c>
      <c r="K2262" s="5">
        <f>IF(H2262=0,"",J2262/H2262)</f>
        <v>0</v>
      </c>
      <c r="L2262">
        <f>IF(OR(AND(H2262=0,ABS(J2262)&gt;=0.01),AND(H2262&lt;&gt;0,ABS(K2262)&gt;VarianceThreshold)),"Review","OK")</f>
        <v>0</v>
      </c>
      <c r="M2262" t="s">
        <v>33</v>
      </c>
    </row>
    <row r="2263" spans="1:13">
      <c r="A2263" t="s">
        <v>3</v>
      </c>
      <c r="B2263" t="s">
        <v>607</v>
      </c>
      <c r="C2263" t="s">
        <v>2027</v>
      </c>
      <c r="D2263" t="s">
        <v>2260</v>
      </c>
      <c r="E2263" cm="1">
        <f t="array" ref="E2263">_xlfn.XLOOKUP(D2263,SKU_Master!A:A,SKU_Master!B:B,"Not on master")</f>
        <v>0</v>
      </c>
      <c r="F2263" cm="1">
        <f t="array" ref="F2263">_xlfn.XLOOKUP(C2263,Account_Master!A:A,Account_Master!B:B,"Not on master")</f>
        <v>0</v>
      </c>
      <c r="G2263" cm="1">
        <f t="array" ref="G2263">_xlfn.XLOOKUP(C2263,Account_Master!A:A,Account_Master!C:C,"Not on master")</f>
        <v>0</v>
      </c>
      <c r="H2263" s="6">
        <v>9</v>
      </c>
      <c r="I2263" s="6">
        <v>9</v>
      </c>
      <c r="J2263" s="6">
        <f>I2263-H2263</f>
        <v>0</v>
      </c>
      <c r="K2263" s="5">
        <f>IF(H2263=0,"",J2263/H2263)</f>
        <v>0</v>
      </c>
      <c r="L2263">
        <f>IF(OR(AND(H2263=0,ABS(J2263)&gt;=0.01),AND(H2263&lt;&gt;0,ABS(K2263)&gt;VarianceThreshold)),"Review","OK")</f>
        <v>0</v>
      </c>
      <c r="M2263" t="s">
        <v>33</v>
      </c>
    </row>
    <row r="2264" spans="1:13">
      <c r="A2264" t="s">
        <v>3</v>
      </c>
      <c r="B2264" t="s">
        <v>607</v>
      </c>
      <c r="C2264" t="s">
        <v>2052</v>
      </c>
      <c r="D2264" t="s">
        <v>2261</v>
      </c>
      <c r="E2264" cm="1">
        <f t="array" ref="E2264">_xlfn.XLOOKUP(D2264,SKU_Master!A:A,SKU_Master!B:B,"Not on master")</f>
        <v>0</v>
      </c>
      <c r="F2264" cm="1">
        <f t="array" ref="F2264">_xlfn.XLOOKUP(C2264,Account_Master!A:A,Account_Master!B:B,"Not on master")</f>
        <v>0</v>
      </c>
      <c r="G2264" cm="1">
        <f t="array" ref="G2264">_xlfn.XLOOKUP(C2264,Account_Master!A:A,Account_Master!C:C,"Not on master")</f>
        <v>0</v>
      </c>
      <c r="H2264" s="6">
        <v>1.5</v>
      </c>
      <c r="I2264" s="6">
        <v>1.5</v>
      </c>
      <c r="J2264" s="6">
        <f>I2264-H2264</f>
        <v>0</v>
      </c>
      <c r="K2264" s="5">
        <f>IF(H2264=0,"",J2264/H2264)</f>
        <v>0</v>
      </c>
      <c r="L2264">
        <f>IF(OR(AND(H2264=0,ABS(J2264)&gt;=0.01),AND(H2264&lt;&gt;0,ABS(K2264)&gt;VarianceThreshold)),"Review","OK")</f>
        <v>0</v>
      </c>
      <c r="M2264" t="s">
        <v>33</v>
      </c>
    </row>
    <row r="2265" spans="1:13">
      <c r="A2265" t="s">
        <v>3</v>
      </c>
      <c r="B2265" t="s">
        <v>607</v>
      </c>
      <c r="C2265" t="s">
        <v>2052</v>
      </c>
      <c r="D2265" t="s">
        <v>246</v>
      </c>
      <c r="E2265" cm="1">
        <f t="array" ref="E2265">_xlfn.XLOOKUP(D2265,SKU_Master!A:A,SKU_Master!B:B,"Not on master")</f>
        <v>0</v>
      </c>
      <c r="F2265" cm="1">
        <f t="array" ref="F2265">_xlfn.XLOOKUP(C2265,Account_Master!A:A,Account_Master!B:B,"Not on master")</f>
        <v>0</v>
      </c>
      <c r="G2265" cm="1">
        <f t="array" ref="G2265">_xlfn.XLOOKUP(C2265,Account_Master!A:A,Account_Master!C:C,"Not on master")</f>
        <v>0</v>
      </c>
      <c r="H2265" s="6">
        <v>21</v>
      </c>
      <c r="I2265" s="6">
        <v>21</v>
      </c>
      <c r="J2265" s="6">
        <f>I2265-H2265</f>
        <v>0</v>
      </c>
      <c r="K2265" s="5">
        <f>IF(H2265=0,"",J2265/H2265)</f>
        <v>0</v>
      </c>
      <c r="L2265">
        <f>IF(OR(AND(H2265=0,ABS(J2265)&gt;=0.01),AND(H2265&lt;&gt;0,ABS(K2265)&gt;VarianceThreshold)),"Review","OK")</f>
        <v>0</v>
      </c>
      <c r="M2265" t="s">
        <v>33</v>
      </c>
    </row>
    <row r="2266" spans="1:13">
      <c r="A2266" t="s">
        <v>3</v>
      </c>
      <c r="B2266" t="s">
        <v>607</v>
      </c>
      <c r="C2266" t="s">
        <v>2037</v>
      </c>
      <c r="D2266" t="s">
        <v>1542</v>
      </c>
      <c r="E2266" cm="1">
        <f t="array" ref="E2266">_xlfn.XLOOKUP(D2266,SKU_Master!A:A,SKU_Master!B:B,"Not on master")</f>
        <v>0</v>
      </c>
      <c r="F2266" cm="1">
        <f t="array" ref="F2266">_xlfn.XLOOKUP(C2266,Account_Master!A:A,Account_Master!B:B,"Not on master")</f>
        <v>0</v>
      </c>
      <c r="G2266" cm="1">
        <f t="array" ref="G2266">_xlfn.XLOOKUP(C2266,Account_Master!A:A,Account_Master!C:C,"Not on master")</f>
        <v>0</v>
      </c>
      <c r="H2266" s="6">
        <v>6.75</v>
      </c>
      <c r="I2266" s="6">
        <v>6.75</v>
      </c>
      <c r="J2266" s="6">
        <f>I2266-H2266</f>
        <v>0</v>
      </c>
      <c r="K2266" s="5">
        <f>IF(H2266=0,"",J2266/H2266)</f>
        <v>0</v>
      </c>
      <c r="L2266">
        <f>IF(OR(AND(H2266=0,ABS(J2266)&gt;=0.01),AND(H2266&lt;&gt;0,ABS(K2266)&gt;VarianceThreshold)),"Review","OK")</f>
        <v>0</v>
      </c>
      <c r="M2266" t="s">
        <v>33</v>
      </c>
    </row>
    <row r="2267" spans="1:13">
      <c r="A2267" t="s">
        <v>3</v>
      </c>
      <c r="B2267" t="s">
        <v>607</v>
      </c>
      <c r="C2267" t="s">
        <v>2262</v>
      </c>
      <c r="D2267" t="s">
        <v>118</v>
      </c>
      <c r="E2267" cm="1">
        <f t="array" ref="E2267">_xlfn.XLOOKUP(D2267,SKU_Master!A:A,SKU_Master!B:B,"Not on master")</f>
        <v>0</v>
      </c>
      <c r="F2267" cm="1">
        <f t="array" ref="F2267">_xlfn.XLOOKUP(C2267,Account_Master!A:A,Account_Master!B:B,"Not on master")</f>
        <v>0</v>
      </c>
      <c r="G2267" cm="1">
        <f t="array" ref="G2267">_xlfn.XLOOKUP(C2267,Account_Master!A:A,Account_Master!C:C,"Not on master")</f>
        <v>0</v>
      </c>
      <c r="H2267" s="6">
        <v>0.6</v>
      </c>
      <c r="I2267" s="6">
        <v>0.6</v>
      </c>
      <c r="J2267" s="6">
        <f>I2267-H2267</f>
        <v>0</v>
      </c>
      <c r="K2267" s="5">
        <f>IF(H2267=0,"",J2267/H2267)</f>
        <v>0</v>
      </c>
      <c r="L2267">
        <f>IF(OR(AND(H2267=0,ABS(J2267)&gt;=0.01),AND(H2267&lt;&gt;0,ABS(K2267)&gt;VarianceThreshold)),"Review","OK")</f>
        <v>0</v>
      </c>
      <c r="M2267" t="s">
        <v>33</v>
      </c>
    </row>
    <row r="2268" spans="1:13">
      <c r="A2268" t="s">
        <v>3</v>
      </c>
      <c r="B2268" t="s">
        <v>607</v>
      </c>
      <c r="C2268" t="s">
        <v>2076</v>
      </c>
      <c r="D2268" t="s">
        <v>1465</v>
      </c>
      <c r="E2268" cm="1">
        <f t="array" ref="E2268">_xlfn.XLOOKUP(D2268,SKU_Master!A:A,SKU_Master!B:B,"Not on master")</f>
        <v>0</v>
      </c>
      <c r="F2268" cm="1">
        <f t="array" ref="F2268">_xlfn.XLOOKUP(C2268,Account_Master!A:A,Account_Master!B:B,"Not on master")</f>
        <v>0</v>
      </c>
      <c r="G2268" cm="1">
        <f t="array" ref="G2268">_xlfn.XLOOKUP(C2268,Account_Master!A:A,Account_Master!C:C,"Not on master")</f>
        <v>0</v>
      </c>
      <c r="H2268" s="6">
        <v>18</v>
      </c>
      <c r="I2268" s="6">
        <v>18</v>
      </c>
      <c r="J2268" s="6">
        <f>I2268-H2268</f>
        <v>0</v>
      </c>
      <c r="K2268" s="5">
        <f>IF(H2268=0,"",J2268/H2268)</f>
        <v>0</v>
      </c>
      <c r="L2268">
        <f>IF(OR(AND(H2268=0,ABS(J2268)&gt;=0.01),AND(H2268&lt;&gt;0,ABS(K2268)&gt;VarianceThreshold)),"Review","OK")</f>
        <v>0</v>
      </c>
      <c r="M2268" t="s">
        <v>33</v>
      </c>
    </row>
    <row r="2269" spans="1:13">
      <c r="A2269" t="s">
        <v>3</v>
      </c>
      <c r="B2269" t="s">
        <v>615</v>
      </c>
      <c r="C2269" t="s">
        <v>2022</v>
      </c>
      <c r="D2269" t="s">
        <v>467</v>
      </c>
      <c r="E2269" cm="1">
        <f t="array" ref="E2269">_xlfn.XLOOKUP(D2269,SKU_Master!A:A,SKU_Master!B:B,"Not on master")</f>
        <v>0</v>
      </c>
      <c r="F2269" cm="1">
        <f t="array" ref="F2269">_xlfn.XLOOKUP(C2269,Account_Master!A:A,Account_Master!B:B,"Not on master")</f>
        <v>0</v>
      </c>
      <c r="G2269" cm="1">
        <f t="array" ref="G2269">_xlfn.XLOOKUP(C2269,Account_Master!A:A,Account_Master!C:C,"Not on master")</f>
        <v>0</v>
      </c>
      <c r="H2269" s="6">
        <v>9</v>
      </c>
      <c r="I2269" s="6">
        <v>9</v>
      </c>
      <c r="J2269" s="6">
        <f>I2269-H2269</f>
        <v>0</v>
      </c>
      <c r="K2269" s="5">
        <f>IF(H2269=0,"",J2269/H2269)</f>
        <v>0</v>
      </c>
      <c r="L2269">
        <f>IF(OR(AND(H2269=0,ABS(J2269)&gt;=0.01),AND(H2269&lt;&gt;0,ABS(K2269)&gt;VarianceThreshold)),"Review","OK")</f>
        <v>0</v>
      </c>
      <c r="M2269" t="s">
        <v>33</v>
      </c>
    </row>
    <row r="2270" spans="1:13">
      <c r="A2270" t="s">
        <v>3</v>
      </c>
      <c r="B2270" t="s">
        <v>615</v>
      </c>
      <c r="C2270" t="s">
        <v>2168</v>
      </c>
      <c r="D2270" t="s">
        <v>1486</v>
      </c>
      <c r="E2270" cm="1">
        <f t="array" ref="E2270">_xlfn.XLOOKUP(D2270,SKU_Master!A:A,SKU_Master!B:B,"Not on master")</f>
        <v>0</v>
      </c>
      <c r="F2270" cm="1">
        <f t="array" ref="F2270">_xlfn.XLOOKUP(C2270,Account_Master!A:A,Account_Master!B:B,"Not on master")</f>
        <v>0</v>
      </c>
      <c r="G2270" cm="1">
        <f t="array" ref="G2270">_xlfn.XLOOKUP(C2270,Account_Master!A:A,Account_Master!C:C,"Not on master")</f>
        <v>0</v>
      </c>
      <c r="H2270" s="6">
        <v>19.5</v>
      </c>
      <c r="I2270" s="6">
        <v>19.5</v>
      </c>
      <c r="J2270" s="6">
        <f>I2270-H2270</f>
        <v>0</v>
      </c>
      <c r="K2270" s="5">
        <f>IF(H2270=0,"",J2270/H2270)</f>
        <v>0</v>
      </c>
      <c r="L2270">
        <f>IF(OR(AND(H2270=0,ABS(J2270)&gt;=0.01),AND(H2270&lt;&gt;0,ABS(K2270)&gt;VarianceThreshold)),"Review","OK")</f>
        <v>0</v>
      </c>
      <c r="M2270" t="s">
        <v>33</v>
      </c>
    </row>
    <row r="2271" spans="1:13">
      <c r="A2271" t="s">
        <v>3</v>
      </c>
      <c r="B2271" t="s">
        <v>615</v>
      </c>
      <c r="C2271" t="s">
        <v>2263</v>
      </c>
      <c r="D2271" t="s">
        <v>2264</v>
      </c>
      <c r="E2271" cm="1">
        <f t="array" ref="E2271">_xlfn.XLOOKUP(D2271,SKU_Master!A:A,SKU_Master!B:B,"Not on master")</f>
        <v>0</v>
      </c>
      <c r="F2271" cm="1">
        <f t="array" ref="F2271">_xlfn.XLOOKUP(C2271,Account_Master!A:A,Account_Master!B:B,"Not on master")</f>
        <v>0</v>
      </c>
      <c r="G2271" cm="1">
        <f t="array" ref="G2271">_xlfn.XLOOKUP(C2271,Account_Master!A:A,Account_Master!C:C,"Not on master")</f>
        <v>0</v>
      </c>
      <c r="H2271" s="6">
        <v>0.1</v>
      </c>
      <c r="I2271" s="6">
        <v>0.1</v>
      </c>
      <c r="J2271" s="6">
        <f>I2271-H2271</f>
        <v>0</v>
      </c>
      <c r="K2271" s="5">
        <f>IF(H2271=0,"",J2271/H2271)</f>
        <v>0</v>
      </c>
      <c r="L2271">
        <f>IF(OR(AND(H2271=0,ABS(J2271)&gt;=0.01),AND(H2271&lt;&gt;0,ABS(K2271)&gt;VarianceThreshold)),"Review","OK")</f>
        <v>0</v>
      </c>
      <c r="M2271" t="s">
        <v>33</v>
      </c>
    </row>
    <row r="2272" spans="1:13">
      <c r="A2272" t="s">
        <v>3</v>
      </c>
      <c r="B2272" t="s">
        <v>615</v>
      </c>
      <c r="C2272" t="s">
        <v>2194</v>
      </c>
      <c r="D2272" t="s">
        <v>771</v>
      </c>
      <c r="E2272" cm="1">
        <f t="array" ref="E2272">_xlfn.XLOOKUP(D2272,SKU_Master!A:A,SKU_Master!B:B,"Not on master")</f>
        <v>0</v>
      </c>
      <c r="F2272" cm="1">
        <f t="array" ref="F2272">_xlfn.XLOOKUP(C2272,Account_Master!A:A,Account_Master!B:B,"Not on master")</f>
        <v>0</v>
      </c>
      <c r="G2272" cm="1">
        <f t="array" ref="G2272">_xlfn.XLOOKUP(C2272,Account_Master!A:A,Account_Master!C:C,"Not on master")</f>
        <v>0</v>
      </c>
      <c r="H2272" s="6">
        <v>4.5</v>
      </c>
      <c r="I2272" s="6">
        <v>4.5</v>
      </c>
      <c r="J2272" s="6">
        <f>I2272-H2272</f>
        <v>0</v>
      </c>
      <c r="K2272" s="5">
        <f>IF(H2272=0,"",J2272/H2272)</f>
        <v>0</v>
      </c>
      <c r="L2272">
        <f>IF(OR(AND(H2272=0,ABS(J2272)&gt;=0.01),AND(H2272&lt;&gt;0,ABS(K2272)&gt;VarianceThreshold)),"Review","OK")</f>
        <v>0</v>
      </c>
      <c r="M2272" t="s">
        <v>33</v>
      </c>
    </row>
    <row r="2273" spans="1:13">
      <c r="A2273" t="s">
        <v>3</v>
      </c>
      <c r="B2273" t="s">
        <v>615</v>
      </c>
      <c r="C2273" t="s">
        <v>2013</v>
      </c>
      <c r="D2273" t="s">
        <v>2265</v>
      </c>
      <c r="E2273" cm="1">
        <f t="array" ref="E2273">_xlfn.XLOOKUP(D2273,SKU_Master!A:A,SKU_Master!B:B,"Not on master")</f>
        <v>0</v>
      </c>
      <c r="F2273" cm="1">
        <f t="array" ref="F2273">_xlfn.XLOOKUP(C2273,Account_Master!A:A,Account_Master!B:B,"Not on master")</f>
        <v>0</v>
      </c>
      <c r="G2273" cm="1">
        <f t="array" ref="G2273">_xlfn.XLOOKUP(C2273,Account_Master!A:A,Account_Master!C:C,"Not on master")</f>
        <v>0</v>
      </c>
      <c r="H2273" s="6">
        <v>1.2</v>
      </c>
      <c r="I2273" s="6">
        <v>1.2</v>
      </c>
      <c r="J2273" s="6">
        <f>I2273-H2273</f>
        <v>0</v>
      </c>
      <c r="K2273" s="5">
        <f>IF(H2273=0,"",J2273/H2273)</f>
        <v>0</v>
      </c>
      <c r="L2273">
        <f>IF(OR(AND(H2273=0,ABS(J2273)&gt;=0.01),AND(H2273&lt;&gt;0,ABS(K2273)&gt;VarianceThreshold)),"Review","OK")</f>
        <v>0</v>
      </c>
      <c r="M2273" t="s">
        <v>33</v>
      </c>
    </row>
    <row r="2274" spans="1:13">
      <c r="A2274" t="s">
        <v>3</v>
      </c>
      <c r="B2274" t="s">
        <v>624</v>
      </c>
      <c r="C2274" t="s">
        <v>2266</v>
      </c>
      <c r="D2274" t="s">
        <v>660</v>
      </c>
      <c r="E2274" cm="1">
        <f t="array" ref="E2274">_xlfn.XLOOKUP(D2274,SKU_Master!A:A,SKU_Master!B:B,"Not on master")</f>
        <v>0</v>
      </c>
      <c r="F2274" cm="1">
        <f t="array" ref="F2274">_xlfn.XLOOKUP(C2274,Account_Master!A:A,Account_Master!B:B,"Not on master")</f>
        <v>0</v>
      </c>
      <c r="G2274" cm="1">
        <f t="array" ref="G2274">_xlfn.XLOOKUP(C2274,Account_Master!A:A,Account_Master!C:C,"Not on master")</f>
        <v>0</v>
      </c>
      <c r="H2274" s="6">
        <v>2.7</v>
      </c>
      <c r="I2274" s="6">
        <v>2.7</v>
      </c>
      <c r="J2274" s="6">
        <f>I2274-H2274</f>
        <v>0</v>
      </c>
      <c r="K2274" s="5">
        <f>IF(H2274=0,"",J2274/H2274)</f>
        <v>0</v>
      </c>
      <c r="L2274">
        <f>IF(OR(AND(H2274=0,ABS(J2274)&gt;=0.01),AND(H2274&lt;&gt;0,ABS(K2274)&gt;VarianceThreshold)),"Review","OK")</f>
        <v>0</v>
      </c>
      <c r="M2274" t="s">
        <v>33</v>
      </c>
    </row>
    <row r="2275" spans="1:13">
      <c r="A2275" t="s">
        <v>3</v>
      </c>
      <c r="B2275" t="s">
        <v>624</v>
      </c>
      <c r="C2275" t="s">
        <v>2012</v>
      </c>
      <c r="D2275" t="s">
        <v>1182</v>
      </c>
      <c r="E2275" cm="1">
        <f t="array" ref="E2275">_xlfn.XLOOKUP(D2275,SKU_Master!A:A,SKU_Master!B:B,"Not on master")</f>
        <v>0</v>
      </c>
      <c r="F2275" cm="1">
        <f t="array" ref="F2275">_xlfn.XLOOKUP(C2275,Account_Master!A:A,Account_Master!B:B,"Not on master")</f>
        <v>0</v>
      </c>
      <c r="G2275" cm="1">
        <f t="array" ref="G2275">_xlfn.XLOOKUP(C2275,Account_Master!A:A,Account_Master!C:C,"Not on master")</f>
        <v>0</v>
      </c>
      <c r="H2275" s="6">
        <v>10.5</v>
      </c>
      <c r="I2275" s="6">
        <v>10.5</v>
      </c>
      <c r="J2275" s="6">
        <f>I2275-H2275</f>
        <v>0</v>
      </c>
      <c r="K2275" s="5">
        <f>IF(H2275=0,"",J2275/H2275)</f>
        <v>0</v>
      </c>
      <c r="L2275">
        <f>IF(OR(AND(H2275=0,ABS(J2275)&gt;=0.01),AND(H2275&lt;&gt;0,ABS(K2275)&gt;VarianceThreshold)),"Review","OK")</f>
        <v>0</v>
      </c>
      <c r="M2275" t="s">
        <v>33</v>
      </c>
    </row>
    <row r="2276" spans="1:13">
      <c r="A2276" t="s">
        <v>3</v>
      </c>
      <c r="B2276" t="s">
        <v>624</v>
      </c>
      <c r="C2276" t="s">
        <v>2013</v>
      </c>
      <c r="D2276" t="s">
        <v>2267</v>
      </c>
      <c r="E2276" cm="1">
        <f t="array" ref="E2276">_xlfn.XLOOKUP(D2276,SKU_Master!A:A,SKU_Master!B:B,"Not on master")</f>
        <v>0</v>
      </c>
      <c r="F2276" cm="1">
        <f t="array" ref="F2276">_xlfn.XLOOKUP(C2276,Account_Master!A:A,Account_Master!B:B,"Not on master")</f>
        <v>0</v>
      </c>
      <c r="G2276" cm="1">
        <f t="array" ref="G2276">_xlfn.XLOOKUP(C2276,Account_Master!A:A,Account_Master!C:C,"Not on master")</f>
        <v>0</v>
      </c>
      <c r="H2276" s="6">
        <v>15.75</v>
      </c>
      <c r="I2276" s="6">
        <v>15.75</v>
      </c>
      <c r="J2276" s="6">
        <f>I2276-H2276</f>
        <v>0</v>
      </c>
      <c r="K2276" s="5">
        <f>IF(H2276=0,"",J2276/H2276)</f>
        <v>0</v>
      </c>
      <c r="L2276">
        <f>IF(OR(AND(H2276=0,ABS(J2276)&gt;=0.01),AND(H2276&lt;&gt;0,ABS(K2276)&gt;VarianceThreshold)),"Review","OK")</f>
        <v>0</v>
      </c>
      <c r="M2276" t="s">
        <v>33</v>
      </c>
    </row>
    <row r="2277" spans="1:13">
      <c r="A2277" t="s">
        <v>3</v>
      </c>
      <c r="B2277" t="s">
        <v>624</v>
      </c>
      <c r="C2277" t="s">
        <v>2096</v>
      </c>
      <c r="D2277" t="s">
        <v>2268</v>
      </c>
      <c r="E2277" cm="1">
        <f t="array" ref="E2277">_xlfn.XLOOKUP(D2277,SKU_Master!A:A,SKU_Master!B:B,"Not on master")</f>
        <v>0</v>
      </c>
      <c r="F2277" cm="1">
        <f t="array" ref="F2277">_xlfn.XLOOKUP(C2277,Account_Master!A:A,Account_Master!B:B,"Not on master")</f>
        <v>0</v>
      </c>
      <c r="G2277" cm="1">
        <f t="array" ref="G2277">_xlfn.XLOOKUP(C2277,Account_Master!A:A,Account_Master!C:C,"Not on master")</f>
        <v>0</v>
      </c>
      <c r="H2277" s="6">
        <v>19.5</v>
      </c>
      <c r="I2277" s="6">
        <v>19.5</v>
      </c>
      <c r="J2277" s="6">
        <f>I2277-H2277</f>
        <v>0</v>
      </c>
      <c r="K2277" s="5">
        <f>IF(H2277=0,"",J2277/H2277)</f>
        <v>0</v>
      </c>
      <c r="L2277">
        <f>IF(OR(AND(H2277=0,ABS(J2277)&gt;=0.01),AND(H2277&lt;&gt;0,ABS(K2277)&gt;VarianceThreshold)),"Review","OK")</f>
        <v>0</v>
      </c>
      <c r="M2277" t="s">
        <v>33</v>
      </c>
    </row>
    <row r="2278" spans="1:13">
      <c r="A2278" t="s">
        <v>3</v>
      </c>
      <c r="B2278" t="s">
        <v>624</v>
      </c>
      <c r="C2278" t="s">
        <v>2249</v>
      </c>
      <c r="D2278" t="s">
        <v>1966</v>
      </c>
      <c r="E2278" cm="1">
        <f t="array" ref="E2278">_xlfn.XLOOKUP(D2278,SKU_Master!A:A,SKU_Master!B:B,"Not on master")</f>
        <v>0</v>
      </c>
      <c r="F2278" cm="1">
        <f t="array" ref="F2278">_xlfn.XLOOKUP(C2278,Account_Master!A:A,Account_Master!B:B,"Not on master")</f>
        <v>0</v>
      </c>
      <c r="G2278" cm="1">
        <f t="array" ref="G2278">_xlfn.XLOOKUP(C2278,Account_Master!A:A,Account_Master!C:C,"Not on master")</f>
        <v>0</v>
      </c>
      <c r="H2278" s="6">
        <v>24</v>
      </c>
      <c r="I2278" s="6">
        <v>24</v>
      </c>
      <c r="J2278" s="6">
        <f>I2278-H2278</f>
        <v>0</v>
      </c>
      <c r="K2278" s="5">
        <f>IF(H2278=0,"",J2278/H2278)</f>
        <v>0</v>
      </c>
      <c r="L2278">
        <f>IF(OR(AND(H2278=0,ABS(J2278)&gt;=0.01),AND(H2278&lt;&gt;0,ABS(K2278)&gt;VarianceThreshold)),"Review","OK")</f>
        <v>0</v>
      </c>
      <c r="M2278" t="s">
        <v>33</v>
      </c>
    </row>
    <row r="2279" spans="1:13">
      <c r="A2279" t="s">
        <v>3</v>
      </c>
      <c r="B2279" t="s">
        <v>624</v>
      </c>
      <c r="C2279" t="s">
        <v>2269</v>
      </c>
      <c r="D2279" t="s">
        <v>2270</v>
      </c>
      <c r="E2279" cm="1">
        <f t="array" ref="E2279">_xlfn.XLOOKUP(D2279,SKU_Master!A:A,SKU_Master!B:B,"Not on master")</f>
        <v>0</v>
      </c>
      <c r="F2279" cm="1">
        <f t="array" ref="F2279">_xlfn.XLOOKUP(C2279,Account_Master!A:A,Account_Master!B:B,"Not on master")</f>
        <v>0</v>
      </c>
      <c r="G2279" cm="1">
        <f t="array" ref="G2279">_xlfn.XLOOKUP(C2279,Account_Master!A:A,Account_Master!C:C,"Not on master")</f>
        <v>0</v>
      </c>
      <c r="H2279" s="6">
        <v>4.5</v>
      </c>
      <c r="I2279" s="6">
        <v>4.5</v>
      </c>
      <c r="J2279" s="6">
        <f>I2279-H2279</f>
        <v>0</v>
      </c>
      <c r="K2279" s="5">
        <f>IF(H2279=0,"",J2279/H2279)</f>
        <v>0</v>
      </c>
      <c r="L2279">
        <f>IF(OR(AND(H2279=0,ABS(J2279)&gt;=0.01),AND(H2279&lt;&gt;0,ABS(K2279)&gt;VarianceThreshold)),"Review","OK")</f>
        <v>0</v>
      </c>
      <c r="M2279" t="s">
        <v>33</v>
      </c>
    </row>
    <row r="2280" spans="1:13">
      <c r="A2280" t="s">
        <v>3</v>
      </c>
      <c r="B2280" t="s">
        <v>624</v>
      </c>
      <c r="C2280" t="s">
        <v>2088</v>
      </c>
      <c r="D2280" t="s">
        <v>2271</v>
      </c>
      <c r="E2280" cm="1">
        <f t="array" ref="E2280">_xlfn.XLOOKUP(D2280,SKU_Master!A:A,SKU_Master!B:B,"Not on master")</f>
        <v>0</v>
      </c>
      <c r="F2280" cm="1">
        <f t="array" ref="F2280">_xlfn.XLOOKUP(C2280,Account_Master!A:A,Account_Master!B:B,"Not on master")</f>
        <v>0</v>
      </c>
      <c r="G2280" cm="1">
        <f t="array" ref="G2280">_xlfn.XLOOKUP(C2280,Account_Master!A:A,Account_Master!C:C,"Not on master")</f>
        <v>0</v>
      </c>
      <c r="H2280" s="6">
        <v>9</v>
      </c>
      <c r="I2280" s="6">
        <v>9</v>
      </c>
      <c r="J2280" s="6">
        <f>I2280-H2280</f>
        <v>0</v>
      </c>
      <c r="K2280" s="5">
        <f>IF(H2280=0,"",J2280/H2280)</f>
        <v>0</v>
      </c>
      <c r="L2280">
        <f>IF(OR(AND(H2280=0,ABS(J2280)&gt;=0.01),AND(H2280&lt;&gt;0,ABS(K2280)&gt;VarianceThreshold)),"Review","OK")</f>
        <v>0</v>
      </c>
      <c r="M2280" t="s">
        <v>33</v>
      </c>
    </row>
    <row r="2281" spans="1:13">
      <c r="A2281" t="s">
        <v>3</v>
      </c>
      <c r="B2281" t="s">
        <v>624</v>
      </c>
      <c r="C2281" t="s">
        <v>2096</v>
      </c>
      <c r="D2281" t="s">
        <v>2272</v>
      </c>
      <c r="E2281" cm="1">
        <f t="array" ref="E2281">_xlfn.XLOOKUP(D2281,SKU_Master!A:A,SKU_Master!B:B,"Not on master")</f>
        <v>0</v>
      </c>
      <c r="F2281" cm="1">
        <f t="array" ref="F2281">_xlfn.XLOOKUP(C2281,Account_Master!A:A,Account_Master!B:B,"Not on master")</f>
        <v>0</v>
      </c>
      <c r="G2281" cm="1">
        <f t="array" ref="G2281">_xlfn.XLOOKUP(C2281,Account_Master!A:A,Account_Master!C:C,"Not on master")</f>
        <v>0</v>
      </c>
      <c r="H2281" s="6">
        <v>9</v>
      </c>
      <c r="I2281" s="6">
        <v>9</v>
      </c>
      <c r="J2281" s="6">
        <f>I2281-H2281</f>
        <v>0</v>
      </c>
      <c r="K2281" s="5">
        <f>IF(H2281=0,"",J2281/H2281)</f>
        <v>0</v>
      </c>
      <c r="L2281">
        <f>IF(OR(AND(H2281=0,ABS(J2281)&gt;=0.01),AND(H2281&lt;&gt;0,ABS(K2281)&gt;VarianceThreshold)),"Review","OK")</f>
        <v>0</v>
      </c>
      <c r="M2281" t="s">
        <v>33</v>
      </c>
    </row>
    <row r="2282" spans="1:13">
      <c r="A2282" t="s">
        <v>3</v>
      </c>
      <c r="B2282" t="s">
        <v>635</v>
      </c>
      <c r="C2282" t="s">
        <v>2249</v>
      </c>
      <c r="D2282" t="s">
        <v>661</v>
      </c>
      <c r="E2282" cm="1">
        <f t="array" ref="E2282">_xlfn.XLOOKUP(D2282,SKU_Master!A:A,SKU_Master!B:B,"Not on master")</f>
        <v>0</v>
      </c>
      <c r="F2282" cm="1">
        <f t="array" ref="F2282">_xlfn.XLOOKUP(C2282,Account_Master!A:A,Account_Master!B:B,"Not on master")</f>
        <v>0</v>
      </c>
      <c r="G2282" cm="1">
        <f t="array" ref="G2282">_xlfn.XLOOKUP(C2282,Account_Master!A:A,Account_Master!C:C,"Not on master")</f>
        <v>0</v>
      </c>
      <c r="H2282" s="6">
        <v>126</v>
      </c>
      <c r="I2282" s="6">
        <v>126</v>
      </c>
      <c r="J2282" s="6">
        <f>I2282-H2282</f>
        <v>0</v>
      </c>
      <c r="K2282" s="5">
        <f>IF(H2282=0,"",J2282/H2282)</f>
        <v>0</v>
      </c>
      <c r="L2282">
        <f>IF(OR(AND(H2282=0,ABS(J2282)&gt;=0.01),AND(H2282&lt;&gt;0,ABS(K2282)&gt;VarianceThreshold)),"Review","OK")</f>
        <v>0</v>
      </c>
      <c r="M2282" t="s">
        <v>33</v>
      </c>
    </row>
    <row r="2283" spans="1:13">
      <c r="A2283" t="s">
        <v>3</v>
      </c>
      <c r="B2283" t="s">
        <v>635</v>
      </c>
      <c r="C2283" t="s">
        <v>2033</v>
      </c>
      <c r="D2283" t="s">
        <v>1269</v>
      </c>
      <c r="E2283" cm="1">
        <f t="array" ref="E2283">_xlfn.XLOOKUP(D2283,SKU_Master!A:A,SKU_Master!B:B,"Not on master")</f>
        <v>0</v>
      </c>
      <c r="F2283" cm="1">
        <f t="array" ref="F2283">_xlfn.XLOOKUP(C2283,Account_Master!A:A,Account_Master!B:B,"Not on master")</f>
        <v>0</v>
      </c>
      <c r="G2283" cm="1">
        <f t="array" ref="G2283">_xlfn.XLOOKUP(C2283,Account_Master!A:A,Account_Master!C:C,"Not on master")</f>
        <v>0</v>
      </c>
      <c r="H2283" s="6">
        <v>161</v>
      </c>
      <c r="I2283" s="6">
        <v>161</v>
      </c>
      <c r="J2283" s="6">
        <f>I2283-H2283</f>
        <v>0</v>
      </c>
      <c r="K2283" s="5">
        <f>IF(H2283=0,"",J2283/H2283)</f>
        <v>0</v>
      </c>
      <c r="L2283">
        <f>IF(OR(AND(H2283=0,ABS(J2283)&gt;=0.01),AND(H2283&lt;&gt;0,ABS(K2283)&gt;VarianceThreshold)),"Review","OK")</f>
        <v>0</v>
      </c>
      <c r="M2283" t="s">
        <v>33</v>
      </c>
    </row>
    <row r="2284" spans="1:13">
      <c r="A2284" t="s">
        <v>3</v>
      </c>
      <c r="B2284" t="s">
        <v>635</v>
      </c>
      <c r="C2284" t="s">
        <v>1837</v>
      </c>
      <c r="D2284" t="s">
        <v>382</v>
      </c>
      <c r="E2284" cm="1">
        <f t="array" ref="E2284">_xlfn.XLOOKUP(D2284,SKU_Master!A:A,SKU_Master!B:B,"Not on master")</f>
        <v>0</v>
      </c>
      <c r="F2284" cm="1">
        <f t="array" ref="F2284">_xlfn.XLOOKUP(C2284,Account_Master!A:A,Account_Master!B:B,"Not on master")</f>
        <v>0</v>
      </c>
      <c r="G2284" cm="1">
        <f t="array" ref="G2284">_xlfn.XLOOKUP(C2284,Account_Master!A:A,Account_Master!C:C,"Not on master")</f>
        <v>0</v>
      </c>
      <c r="H2284" s="6">
        <v>4.5</v>
      </c>
      <c r="I2284" s="6">
        <v>4.5</v>
      </c>
      <c r="J2284" s="6">
        <f>I2284-H2284</f>
        <v>0</v>
      </c>
      <c r="K2284" s="5">
        <f>IF(H2284=0,"",J2284/H2284)</f>
        <v>0</v>
      </c>
      <c r="L2284">
        <f>IF(OR(AND(H2284=0,ABS(J2284)&gt;=0.01),AND(H2284&lt;&gt;0,ABS(K2284)&gt;VarianceThreshold)),"Review","OK")</f>
        <v>0</v>
      </c>
      <c r="M2284" t="s">
        <v>33</v>
      </c>
    </row>
    <row r="2285" spans="1:13">
      <c r="A2285" t="s">
        <v>3</v>
      </c>
      <c r="B2285" t="s">
        <v>635</v>
      </c>
      <c r="C2285" t="s">
        <v>2046</v>
      </c>
      <c r="D2285" t="s">
        <v>94</v>
      </c>
      <c r="E2285" cm="1">
        <f t="array" ref="E2285">_xlfn.XLOOKUP(D2285,SKU_Master!A:A,SKU_Master!B:B,"Not on master")</f>
        <v>0</v>
      </c>
      <c r="F2285" cm="1">
        <f t="array" ref="F2285">_xlfn.XLOOKUP(C2285,Account_Master!A:A,Account_Master!B:B,"Not on master")</f>
        <v>0</v>
      </c>
      <c r="G2285" cm="1">
        <f t="array" ref="G2285">_xlfn.XLOOKUP(C2285,Account_Master!A:A,Account_Master!C:C,"Not on master")</f>
        <v>0</v>
      </c>
      <c r="H2285" s="6">
        <v>157.5</v>
      </c>
      <c r="I2285" s="6">
        <v>157.5</v>
      </c>
      <c r="J2285" s="6">
        <f>I2285-H2285</f>
        <v>0</v>
      </c>
      <c r="K2285" s="5">
        <f>IF(H2285=0,"",J2285/H2285)</f>
        <v>0</v>
      </c>
      <c r="L2285">
        <f>IF(OR(AND(H2285=0,ABS(J2285)&gt;=0.01),AND(H2285&lt;&gt;0,ABS(K2285)&gt;VarianceThreshold)),"Review","OK")</f>
        <v>0</v>
      </c>
      <c r="M2285" t="s">
        <v>33</v>
      </c>
    </row>
    <row r="2286" spans="1:13">
      <c r="A2286" t="s">
        <v>3</v>
      </c>
      <c r="B2286" t="s">
        <v>635</v>
      </c>
      <c r="C2286" t="s">
        <v>2065</v>
      </c>
      <c r="D2286" t="s">
        <v>998</v>
      </c>
      <c r="E2286" cm="1">
        <f t="array" ref="E2286">_xlfn.XLOOKUP(D2286,SKU_Master!A:A,SKU_Master!B:B,"Not on master")</f>
        <v>0</v>
      </c>
      <c r="F2286" cm="1">
        <f t="array" ref="F2286">_xlfn.XLOOKUP(C2286,Account_Master!A:A,Account_Master!B:B,"Not on master")</f>
        <v>0</v>
      </c>
      <c r="G2286" cm="1">
        <f t="array" ref="G2286">_xlfn.XLOOKUP(C2286,Account_Master!A:A,Account_Master!C:C,"Not on master")</f>
        <v>0</v>
      </c>
      <c r="H2286" s="6">
        <v>13.5</v>
      </c>
      <c r="I2286" s="6">
        <v>13.5</v>
      </c>
      <c r="J2286" s="6">
        <f>I2286-H2286</f>
        <v>0</v>
      </c>
      <c r="K2286" s="5">
        <f>IF(H2286=0,"",J2286/H2286)</f>
        <v>0</v>
      </c>
      <c r="L2286">
        <f>IF(OR(AND(H2286=0,ABS(J2286)&gt;=0.01),AND(H2286&lt;&gt;0,ABS(K2286)&gt;VarianceThreshold)),"Review","OK")</f>
        <v>0</v>
      </c>
      <c r="M2286" t="s">
        <v>33</v>
      </c>
    </row>
    <row r="2287" spans="1:13">
      <c r="A2287" t="s">
        <v>3</v>
      </c>
      <c r="B2287" t="s">
        <v>635</v>
      </c>
      <c r="C2287" t="s">
        <v>2273</v>
      </c>
      <c r="D2287" t="s">
        <v>2274</v>
      </c>
      <c r="E2287" cm="1">
        <f t="array" ref="E2287">_xlfn.XLOOKUP(D2287,SKU_Master!A:A,SKU_Master!B:B,"Not on master")</f>
        <v>0</v>
      </c>
      <c r="F2287" cm="1">
        <f t="array" ref="F2287">_xlfn.XLOOKUP(C2287,Account_Master!A:A,Account_Master!B:B,"Not on master")</f>
        <v>0</v>
      </c>
      <c r="G2287" cm="1">
        <f t="array" ref="G2287">_xlfn.XLOOKUP(C2287,Account_Master!A:A,Account_Master!C:C,"Not on master")</f>
        <v>0</v>
      </c>
      <c r="H2287" s="6">
        <v>0.05</v>
      </c>
      <c r="I2287" s="6">
        <v>0.05</v>
      </c>
      <c r="J2287" s="6">
        <f>I2287-H2287</f>
        <v>0</v>
      </c>
      <c r="K2287" s="5">
        <f>IF(H2287=0,"",J2287/H2287)</f>
        <v>0</v>
      </c>
      <c r="L2287">
        <f>IF(OR(AND(H2287=0,ABS(J2287)&gt;=0.01),AND(H2287&lt;&gt;0,ABS(K2287)&gt;VarianceThreshold)),"Review","OK")</f>
        <v>0</v>
      </c>
      <c r="M2287" t="s">
        <v>33</v>
      </c>
    </row>
    <row r="2288" spans="1:13">
      <c r="A2288" t="s">
        <v>3</v>
      </c>
      <c r="B2288" t="s">
        <v>645</v>
      </c>
      <c r="C2288" t="s">
        <v>2275</v>
      </c>
      <c r="D2288" t="s">
        <v>290</v>
      </c>
      <c r="E2288" cm="1">
        <f t="array" ref="E2288">_xlfn.XLOOKUP(D2288,SKU_Master!A:A,SKU_Master!B:B,"Not on master")</f>
        <v>0</v>
      </c>
      <c r="F2288" cm="1">
        <f t="array" ref="F2288">_xlfn.XLOOKUP(C2288,Account_Master!A:A,Account_Master!B:B,"Not on master")</f>
        <v>0</v>
      </c>
      <c r="G2288" cm="1">
        <f t="array" ref="G2288">_xlfn.XLOOKUP(C2288,Account_Master!A:A,Account_Master!C:C,"Not on master")</f>
        <v>0</v>
      </c>
      <c r="H2288" s="6">
        <v>0.05</v>
      </c>
      <c r="I2288" s="6">
        <v>0.05</v>
      </c>
      <c r="J2288" s="6">
        <f>I2288-H2288</f>
        <v>0</v>
      </c>
      <c r="K2288" s="5">
        <f>IF(H2288=0,"",J2288/H2288)</f>
        <v>0</v>
      </c>
      <c r="L2288">
        <f>IF(OR(AND(H2288=0,ABS(J2288)&gt;=0.01),AND(H2288&lt;&gt;0,ABS(K2288)&gt;VarianceThreshold)),"Review","OK")</f>
        <v>0</v>
      </c>
      <c r="M2288" t="s">
        <v>33</v>
      </c>
    </row>
    <row r="2289" spans="1:13">
      <c r="A2289" t="s">
        <v>3</v>
      </c>
      <c r="B2289" t="s">
        <v>645</v>
      </c>
      <c r="C2289" t="s">
        <v>2022</v>
      </c>
      <c r="D2289" t="s">
        <v>2276</v>
      </c>
      <c r="E2289" cm="1">
        <f t="array" ref="E2289">_xlfn.XLOOKUP(D2289,SKU_Master!A:A,SKU_Master!B:B,"Not on master")</f>
        <v>0</v>
      </c>
      <c r="F2289" cm="1">
        <f t="array" ref="F2289">_xlfn.XLOOKUP(C2289,Account_Master!A:A,Account_Master!B:B,"Not on master")</f>
        <v>0</v>
      </c>
      <c r="G2289" cm="1">
        <f t="array" ref="G2289">_xlfn.XLOOKUP(C2289,Account_Master!A:A,Account_Master!C:C,"Not on master")</f>
        <v>0</v>
      </c>
      <c r="H2289" s="6">
        <v>38</v>
      </c>
      <c r="I2289" s="6">
        <v>38</v>
      </c>
      <c r="J2289" s="6">
        <f>I2289-H2289</f>
        <v>0</v>
      </c>
      <c r="K2289" s="5">
        <f>IF(H2289=0,"",J2289/H2289)</f>
        <v>0</v>
      </c>
      <c r="L2289">
        <f>IF(OR(AND(H2289=0,ABS(J2289)&gt;=0.01),AND(H2289&lt;&gt;0,ABS(K2289)&gt;VarianceThreshold)),"Review","OK")</f>
        <v>0</v>
      </c>
      <c r="M2289" t="s">
        <v>33</v>
      </c>
    </row>
    <row r="2290" spans="1:13">
      <c r="A2290" t="s">
        <v>3</v>
      </c>
      <c r="B2290" t="s">
        <v>645</v>
      </c>
      <c r="C2290" t="s">
        <v>2277</v>
      </c>
      <c r="D2290" t="s">
        <v>1329</v>
      </c>
      <c r="E2290" cm="1">
        <f t="array" ref="E2290">_xlfn.XLOOKUP(D2290,SKU_Master!A:A,SKU_Master!B:B,"Not on master")</f>
        <v>0</v>
      </c>
      <c r="F2290" cm="1">
        <f t="array" ref="F2290">_xlfn.XLOOKUP(C2290,Account_Master!A:A,Account_Master!B:B,"Not on master")</f>
        <v>0</v>
      </c>
      <c r="G2290" cm="1">
        <f t="array" ref="G2290">_xlfn.XLOOKUP(C2290,Account_Master!A:A,Account_Master!C:C,"Not on master")</f>
        <v>0</v>
      </c>
      <c r="H2290" s="6">
        <v>204</v>
      </c>
      <c r="I2290" s="6">
        <v>204</v>
      </c>
      <c r="J2290" s="6">
        <f>I2290-H2290</f>
        <v>0</v>
      </c>
      <c r="K2290" s="5">
        <f>IF(H2290=0,"",J2290/H2290)</f>
        <v>0</v>
      </c>
      <c r="L2290">
        <f>IF(OR(AND(H2290=0,ABS(J2290)&gt;=0.01),AND(H2290&lt;&gt;0,ABS(K2290)&gt;VarianceThreshold)),"Review","OK")</f>
        <v>0</v>
      </c>
      <c r="M2290" t="s">
        <v>33</v>
      </c>
    </row>
    <row r="2291" spans="1:13">
      <c r="A2291" t="s">
        <v>3</v>
      </c>
      <c r="B2291" t="s">
        <v>645</v>
      </c>
      <c r="C2291" t="s">
        <v>2278</v>
      </c>
      <c r="D2291" t="s">
        <v>2279</v>
      </c>
      <c r="E2291" cm="1">
        <f t="array" ref="E2291">_xlfn.XLOOKUP(D2291,SKU_Master!A:A,SKU_Master!B:B,"Not on master")</f>
        <v>0</v>
      </c>
      <c r="F2291" cm="1">
        <f t="array" ref="F2291">_xlfn.XLOOKUP(C2291,Account_Master!A:A,Account_Master!B:B,"Not on master")</f>
        <v>0</v>
      </c>
      <c r="G2291" cm="1">
        <f t="array" ref="G2291">_xlfn.XLOOKUP(C2291,Account_Master!A:A,Account_Master!C:C,"Not on master")</f>
        <v>0</v>
      </c>
      <c r="H2291" s="6">
        <v>161.99</v>
      </c>
      <c r="I2291" s="6">
        <v>161.99</v>
      </c>
      <c r="J2291" s="6">
        <f>I2291-H2291</f>
        <v>0</v>
      </c>
      <c r="K2291" s="5">
        <f>IF(H2291=0,"",J2291/H2291)</f>
        <v>0</v>
      </c>
      <c r="L2291">
        <f>IF(OR(AND(H2291=0,ABS(J2291)&gt;=0.01),AND(H2291&lt;&gt;0,ABS(K2291)&gt;VarianceThreshold)),"Review","OK")</f>
        <v>0</v>
      </c>
      <c r="M2291" t="s">
        <v>33</v>
      </c>
    </row>
    <row r="2292" spans="1:13">
      <c r="A2292" t="s">
        <v>3</v>
      </c>
      <c r="B2292" t="s">
        <v>645</v>
      </c>
      <c r="C2292" t="s">
        <v>2022</v>
      </c>
      <c r="D2292" t="s">
        <v>360</v>
      </c>
      <c r="E2292" cm="1">
        <f t="array" ref="E2292">_xlfn.XLOOKUP(D2292,SKU_Master!A:A,SKU_Master!B:B,"Not on master")</f>
        <v>0</v>
      </c>
      <c r="F2292" cm="1">
        <f t="array" ref="F2292">_xlfn.XLOOKUP(C2292,Account_Master!A:A,Account_Master!B:B,"Not on master")</f>
        <v>0</v>
      </c>
      <c r="G2292" cm="1">
        <f t="array" ref="G2292">_xlfn.XLOOKUP(C2292,Account_Master!A:A,Account_Master!C:C,"Not on master")</f>
        <v>0</v>
      </c>
      <c r="H2292" s="6">
        <v>12</v>
      </c>
      <c r="I2292" s="6">
        <v>12</v>
      </c>
      <c r="J2292" s="6">
        <f>I2292-H2292</f>
        <v>0</v>
      </c>
      <c r="K2292" s="5">
        <f>IF(H2292=0,"",J2292/H2292)</f>
        <v>0</v>
      </c>
      <c r="L2292">
        <f>IF(OR(AND(H2292=0,ABS(J2292)&gt;=0.01),AND(H2292&lt;&gt;0,ABS(K2292)&gt;VarianceThreshold)),"Review","OK")</f>
        <v>0</v>
      </c>
      <c r="M2292" t="s">
        <v>33</v>
      </c>
    </row>
    <row r="2293" spans="1:13">
      <c r="A2293" t="s">
        <v>3</v>
      </c>
      <c r="B2293" t="s">
        <v>645</v>
      </c>
      <c r="C2293" t="s">
        <v>2022</v>
      </c>
      <c r="D2293" t="s">
        <v>2280</v>
      </c>
      <c r="E2293" cm="1">
        <f t="array" ref="E2293">_xlfn.XLOOKUP(D2293,SKU_Master!A:A,SKU_Master!B:B,"Not on master")</f>
        <v>0</v>
      </c>
      <c r="F2293" cm="1">
        <f t="array" ref="F2293">_xlfn.XLOOKUP(C2293,Account_Master!A:A,Account_Master!B:B,"Not on master")</f>
        <v>0</v>
      </c>
      <c r="G2293" cm="1">
        <f t="array" ref="G2293">_xlfn.XLOOKUP(C2293,Account_Master!A:A,Account_Master!C:C,"Not on master")</f>
        <v>0</v>
      </c>
      <c r="H2293" s="6">
        <v>19.5</v>
      </c>
      <c r="I2293" s="6">
        <v>19.5</v>
      </c>
      <c r="J2293" s="6">
        <f>I2293-H2293</f>
        <v>0</v>
      </c>
      <c r="K2293" s="5">
        <f>IF(H2293=0,"",J2293/H2293)</f>
        <v>0</v>
      </c>
      <c r="L2293">
        <f>IF(OR(AND(H2293=0,ABS(J2293)&gt;=0.01),AND(H2293&lt;&gt;0,ABS(K2293)&gt;VarianceThreshold)),"Review","OK")</f>
        <v>0</v>
      </c>
      <c r="M2293" t="s">
        <v>33</v>
      </c>
    </row>
    <row r="2294" spans="1:13">
      <c r="A2294" t="s">
        <v>3</v>
      </c>
      <c r="B2294" t="s">
        <v>645</v>
      </c>
      <c r="C2294" t="s">
        <v>2030</v>
      </c>
      <c r="D2294" t="s">
        <v>2281</v>
      </c>
      <c r="E2294" cm="1">
        <f t="array" ref="E2294">_xlfn.XLOOKUP(D2294,SKU_Master!A:A,SKU_Master!B:B,"Not on master")</f>
        <v>0</v>
      </c>
      <c r="F2294" cm="1">
        <f t="array" ref="F2294">_xlfn.XLOOKUP(C2294,Account_Master!A:A,Account_Master!B:B,"Not on master")</f>
        <v>0</v>
      </c>
      <c r="G2294" cm="1">
        <f t="array" ref="G2294">_xlfn.XLOOKUP(C2294,Account_Master!A:A,Account_Master!C:C,"Not on master")</f>
        <v>0</v>
      </c>
      <c r="H2294" s="6">
        <v>2.25</v>
      </c>
      <c r="I2294" s="6">
        <v>2.25</v>
      </c>
      <c r="J2294" s="6">
        <f>I2294-H2294</f>
        <v>0</v>
      </c>
      <c r="K2294" s="5">
        <f>IF(H2294=0,"",J2294/H2294)</f>
        <v>0</v>
      </c>
      <c r="L2294">
        <f>IF(OR(AND(H2294=0,ABS(J2294)&gt;=0.01),AND(H2294&lt;&gt;0,ABS(K2294)&gt;VarianceThreshold)),"Review","OK")</f>
        <v>0</v>
      </c>
      <c r="M2294" t="s">
        <v>33</v>
      </c>
    </row>
    <row r="2295" spans="1:13">
      <c r="A2295" t="s">
        <v>3</v>
      </c>
      <c r="B2295" t="s">
        <v>645</v>
      </c>
      <c r="C2295" t="s">
        <v>2205</v>
      </c>
      <c r="D2295" t="s">
        <v>2282</v>
      </c>
      <c r="E2295" cm="1">
        <f t="array" ref="E2295">_xlfn.XLOOKUP(D2295,SKU_Master!A:A,SKU_Master!B:B,"Not on master")</f>
        <v>0</v>
      </c>
      <c r="F2295" cm="1">
        <f t="array" ref="F2295">_xlfn.XLOOKUP(C2295,Account_Master!A:A,Account_Master!B:B,"Not on master")</f>
        <v>0</v>
      </c>
      <c r="G2295" cm="1">
        <f t="array" ref="G2295">_xlfn.XLOOKUP(C2295,Account_Master!A:A,Account_Master!C:C,"Not on master")</f>
        <v>0</v>
      </c>
      <c r="H2295" s="6">
        <v>1.5</v>
      </c>
      <c r="I2295" s="6">
        <v>1.5</v>
      </c>
      <c r="J2295" s="6">
        <f>I2295-H2295</f>
        <v>0</v>
      </c>
      <c r="K2295" s="5">
        <f>IF(H2295=0,"",J2295/H2295)</f>
        <v>0</v>
      </c>
      <c r="L2295">
        <f>IF(OR(AND(H2295=0,ABS(J2295)&gt;=0.01),AND(H2295&lt;&gt;0,ABS(K2295)&gt;VarianceThreshold)),"Review","OK")</f>
        <v>0</v>
      </c>
      <c r="M2295" t="s">
        <v>33</v>
      </c>
    </row>
    <row r="2296" spans="1:13">
      <c r="A2296" t="s">
        <v>3</v>
      </c>
      <c r="B2296" t="s">
        <v>650</v>
      </c>
      <c r="C2296" t="s">
        <v>2168</v>
      </c>
      <c r="D2296" t="s">
        <v>778</v>
      </c>
      <c r="E2296" cm="1">
        <f t="array" ref="E2296">_xlfn.XLOOKUP(D2296,SKU_Master!A:A,SKU_Master!B:B,"Not on master")</f>
        <v>0</v>
      </c>
      <c r="F2296" cm="1">
        <f t="array" ref="F2296">_xlfn.XLOOKUP(C2296,Account_Master!A:A,Account_Master!B:B,"Not on master")</f>
        <v>0</v>
      </c>
      <c r="G2296" cm="1">
        <f t="array" ref="G2296">_xlfn.XLOOKUP(C2296,Account_Master!A:A,Account_Master!C:C,"Not on master")</f>
        <v>0</v>
      </c>
      <c r="H2296" s="6">
        <v>9</v>
      </c>
      <c r="I2296" s="6">
        <v>9</v>
      </c>
      <c r="J2296" s="6">
        <f>I2296-H2296</f>
        <v>0</v>
      </c>
      <c r="K2296" s="5">
        <f>IF(H2296=0,"",J2296/H2296)</f>
        <v>0</v>
      </c>
      <c r="L2296">
        <f>IF(OR(AND(H2296=0,ABS(J2296)&gt;=0.01),AND(H2296&lt;&gt;0,ABS(K2296)&gt;VarianceThreshold)),"Review","OK")</f>
        <v>0</v>
      </c>
      <c r="M2296" t="s">
        <v>33</v>
      </c>
    </row>
    <row r="2297" spans="1:13">
      <c r="A2297" t="s">
        <v>3</v>
      </c>
      <c r="B2297" t="s">
        <v>650</v>
      </c>
      <c r="C2297" t="s">
        <v>2030</v>
      </c>
      <c r="D2297" t="s">
        <v>2283</v>
      </c>
      <c r="E2297" cm="1">
        <f t="array" ref="E2297">_xlfn.XLOOKUP(D2297,SKU_Master!A:A,SKU_Master!B:B,"Not on master")</f>
        <v>0</v>
      </c>
      <c r="F2297" cm="1">
        <f t="array" ref="F2297">_xlfn.XLOOKUP(C2297,Account_Master!A:A,Account_Master!B:B,"Not on master")</f>
        <v>0</v>
      </c>
      <c r="G2297" cm="1">
        <f t="array" ref="G2297">_xlfn.XLOOKUP(C2297,Account_Master!A:A,Account_Master!C:C,"Not on master")</f>
        <v>0</v>
      </c>
      <c r="H2297" s="6">
        <v>2.25</v>
      </c>
      <c r="I2297" s="6">
        <v>2.25</v>
      </c>
      <c r="J2297" s="6">
        <f>I2297-H2297</f>
        <v>0</v>
      </c>
      <c r="K2297" s="5">
        <f>IF(H2297=0,"",J2297/H2297)</f>
        <v>0</v>
      </c>
      <c r="L2297">
        <f>IF(OR(AND(H2297=0,ABS(J2297)&gt;=0.01),AND(H2297&lt;&gt;0,ABS(K2297)&gt;VarianceThreshold)),"Review","OK")</f>
        <v>0</v>
      </c>
      <c r="M2297" t="s">
        <v>33</v>
      </c>
    </row>
    <row r="2298" spans="1:13">
      <c r="A2298" t="s">
        <v>3</v>
      </c>
      <c r="B2298" t="s">
        <v>650</v>
      </c>
      <c r="C2298" t="s">
        <v>2035</v>
      </c>
      <c r="D2298" t="s">
        <v>841</v>
      </c>
      <c r="E2298" cm="1">
        <f t="array" ref="E2298">_xlfn.XLOOKUP(D2298,SKU_Master!A:A,SKU_Master!B:B,"Not on master")</f>
        <v>0</v>
      </c>
      <c r="F2298" cm="1">
        <f t="array" ref="F2298">_xlfn.XLOOKUP(C2298,Account_Master!A:A,Account_Master!B:B,"Not on master")</f>
        <v>0</v>
      </c>
      <c r="G2298" cm="1">
        <f t="array" ref="G2298">_xlfn.XLOOKUP(C2298,Account_Master!A:A,Account_Master!C:C,"Not on master")</f>
        <v>0</v>
      </c>
      <c r="H2298" s="6">
        <v>35</v>
      </c>
      <c r="I2298" s="6">
        <v>35</v>
      </c>
      <c r="J2298" s="6">
        <f>I2298-H2298</f>
        <v>0</v>
      </c>
      <c r="K2298" s="5">
        <f>IF(H2298=0,"",J2298/H2298)</f>
        <v>0</v>
      </c>
      <c r="L2298">
        <f>IF(OR(AND(H2298=0,ABS(J2298)&gt;=0.01),AND(H2298&lt;&gt;0,ABS(K2298)&gt;VarianceThreshold)),"Review","OK")</f>
        <v>0</v>
      </c>
      <c r="M2298" t="s">
        <v>33</v>
      </c>
    </row>
    <row r="2299" spans="1:13">
      <c r="A2299" t="s">
        <v>3</v>
      </c>
      <c r="B2299" t="s">
        <v>650</v>
      </c>
      <c r="C2299" t="s">
        <v>2169</v>
      </c>
      <c r="D2299" t="s">
        <v>2284</v>
      </c>
      <c r="E2299" cm="1">
        <f t="array" ref="E2299">_xlfn.XLOOKUP(D2299,SKU_Master!A:A,SKU_Master!B:B,"Not on master")</f>
        <v>0</v>
      </c>
      <c r="F2299" cm="1">
        <f t="array" ref="F2299">_xlfn.XLOOKUP(C2299,Account_Master!A:A,Account_Master!B:B,"Not on master")</f>
        <v>0</v>
      </c>
      <c r="G2299" cm="1">
        <f t="array" ref="G2299">_xlfn.XLOOKUP(C2299,Account_Master!A:A,Account_Master!C:C,"Not on master")</f>
        <v>0</v>
      </c>
      <c r="H2299" s="6">
        <v>4.8</v>
      </c>
      <c r="I2299" s="6">
        <v>4.8</v>
      </c>
      <c r="J2299" s="6">
        <f>I2299-H2299</f>
        <v>0</v>
      </c>
      <c r="K2299" s="5">
        <f>IF(H2299=0,"",J2299/H2299)</f>
        <v>0</v>
      </c>
      <c r="L2299">
        <f>IF(OR(AND(H2299=0,ABS(J2299)&gt;=0.01),AND(H2299&lt;&gt;0,ABS(K2299)&gt;VarianceThreshold)),"Review","OK")</f>
        <v>0</v>
      </c>
      <c r="M2299" t="s">
        <v>33</v>
      </c>
    </row>
    <row r="2300" spans="1:13">
      <c r="A2300" t="s">
        <v>3</v>
      </c>
      <c r="B2300" t="s">
        <v>658</v>
      </c>
      <c r="C2300" t="s">
        <v>2033</v>
      </c>
      <c r="D2300" t="s">
        <v>2285</v>
      </c>
      <c r="E2300" cm="1">
        <f t="array" ref="E2300">_xlfn.XLOOKUP(D2300,SKU_Master!A:A,SKU_Master!B:B,"Not on master")</f>
        <v>0</v>
      </c>
      <c r="F2300" cm="1">
        <f t="array" ref="F2300">_xlfn.XLOOKUP(C2300,Account_Master!A:A,Account_Master!B:B,"Not on master")</f>
        <v>0</v>
      </c>
      <c r="G2300" cm="1">
        <f t="array" ref="G2300">_xlfn.XLOOKUP(C2300,Account_Master!A:A,Account_Master!C:C,"Not on master")</f>
        <v>0</v>
      </c>
      <c r="H2300" s="6">
        <v>132.75</v>
      </c>
      <c r="I2300" s="6">
        <v>132.75</v>
      </c>
      <c r="J2300" s="6">
        <f>I2300-H2300</f>
        <v>0</v>
      </c>
      <c r="K2300" s="5">
        <f>IF(H2300=0,"",J2300/H2300)</f>
        <v>0</v>
      </c>
      <c r="L2300">
        <f>IF(OR(AND(H2300=0,ABS(J2300)&gt;=0.01),AND(H2300&lt;&gt;0,ABS(K2300)&gt;VarianceThreshold)),"Review","OK")</f>
        <v>0</v>
      </c>
      <c r="M2300" t="s">
        <v>33</v>
      </c>
    </row>
    <row r="2301" spans="1:13">
      <c r="A2301" t="s">
        <v>3</v>
      </c>
      <c r="B2301" t="s">
        <v>658</v>
      </c>
      <c r="C2301" t="s">
        <v>2168</v>
      </c>
      <c r="D2301" t="s">
        <v>2286</v>
      </c>
      <c r="E2301" cm="1">
        <f t="array" ref="E2301">_xlfn.XLOOKUP(D2301,SKU_Master!A:A,SKU_Master!B:B,"Not on master")</f>
        <v>0</v>
      </c>
      <c r="F2301" cm="1">
        <f t="array" ref="F2301">_xlfn.XLOOKUP(C2301,Account_Master!A:A,Account_Master!B:B,"Not on master")</f>
        <v>0</v>
      </c>
      <c r="G2301" cm="1">
        <f t="array" ref="G2301">_xlfn.XLOOKUP(C2301,Account_Master!A:A,Account_Master!C:C,"Not on master")</f>
        <v>0</v>
      </c>
      <c r="H2301" s="6">
        <v>9</v>
      </c>
      <c r="I2301" s="6">
        <v>9</v>
      </c>
      <c r="J2301" s="6">
        <f>I2301-H2301</f>
        <v>0</v>
      </c>
      <c r="K2301" s="5">
        <f>IF(H2301=0,"",J2301/H2301)</f>
        <v>0</v>
      </c>
      <c r="L2301">
        <f>IF(OR(AND(H2301=0,ABS(J2301)&gt;=0.01),AND(H2301&lt;&gt;0,ABS(K2301)&gt;VarianceThreshold)),"Review","OK")</f>
        <v>0</v>
      </c>
      <c r="M2301" t="s">
        <v>33</v>
      </c>
    </row>
    <row r="2302" spans="1:13">
      <c r="A2302" t="s">
        <v>3</v>
      </c>
      <c r="B2302" t="s">
        <v>658</v>
      </c>
      <c r="C2302" t="s">
        <v>2027</v>
      </c>
      <c r="D2302" t="s">
        <v>2287</v>
      </c>
      <c r="E2302" cm="1">
        <f t="array" ref="E2302">_xlfn.XLOOKUP(D2302,SKU_Master!A:A,SKU_Master!B:B,"Not on master")</f>
        <v>0</v>
      </c>
      <c r="F2302" cm="1">
        <f t="array" ref="F2302">_xlfn.XLOOKUP(C2302,Account_Master!A:A,Account_Master!B:B,"Not on master")</f>
        <v>0</v>
      </c>
      <c r="G2302" cm="1">
        <f t="array" ref="G2302">_xlfn.XLOOKUP(C2302,Account_Master!A:A,Account_Master!C:C,"Not on master")</f>
        <v>0</v>
      </c>
      <c r="H2302" s="6">
        <v>4.5</v>
      </c>
      <c r="I2302" s="6">
        <v>4.5</v>
      </c>
      <c r="J2302" s="6">
        <f>I2302-H2302</f>
        <v>0</v>
      </c>
      <c r="K2302" s="5">
        <f>IF(H2302=0,"",J2302/H2302)</f>
        <v>0</v>
      </c>
      <c r="L2302">
        <f>IF(OR(AND(H2302=0,ABS(J2302)&gt;=0.01),AND(H2302&lt;&gt;0,ABS(K2302)&gt;VarianceThreshold)),"Review","OK")</f>
        <v>0</v>
      </c>
      <c r="M2302" t="s">
        <v>33</v>
      </c>
    </row>
    <row r="2303" spans="1:13">
      <c r="A2303" t="s">
        <v>3</v>
      </c>
      <c r="B2303" t="s">
        <v>658</v>
      </c>
      <c r="C2303" t="s">
        <v>2035</v>
      </c>
      <c r="D2303" t="s">
        <v>677</v>
      </c>
      <c r="E2303" cm="1">
        <f t="array" ref="E2303">_xlfn.XLOOKUP(D2303,SKU_Master!A:A,SKU_Master!B:B,"Not on master")</f>
        <v>0</v>
      </c>
      <c r="F2303" cm="1">
        <f t="array" ref="F2303">_xlfn.XLOOKUP(C2303,Account_Master!A:A,Account_Master!B:B,"Not on master")</f>
        <v>0</v>
      </c>
      <c r="G2303" cm="1">
        <f t="array" ref="G2303">_xlfn.XLOOKUP(C2303,Account_Master!A:A,Account_Master!C:C,"Not on master")</f>
        <v>0</v>
      </c>
      <c r="H2303" s="6">
        <v>3</v>
      </c>
      <c r="I2303" s="6">
        <v>3</v>
      </c>
      <c r="J2303" s="6">
        <f>I2303-H2303</f>
        <v>0</v>
      </c>
      <c r="K2303" s="5">
        <f>IF(H2303=0,"",J2303/H2303)</f>
        <v>0</v>
      </c>
      <c r="L2303">
        <f>IF(OR(AND(H2303=0,ABS(J2303)&gt;=0.01),AND(H2303&lt;&gt;0,ABS(K2303)&gt;VarianceThreshold)),"Review","OK")</f>
        <v>0</v>
      </c>
      <c r="M2303" t="s">
        <v>33</v>
      </c>
    </row>
    <row r="2304" spans="1:13">
      <c r="A2304" t="s">
        <v>3</v>
      </c>
      <c r="B2304" t="s">
        <v>658</v>
      </c>
      <c r="C2304" t="s">
        <v>2022</v>
      </c>
      <c r="D2304" t="s">
        <v>741</v>
      </c>
      <c r="E2304" cm="1">
        <f t="array" ref="E2304">_xlfn.XLOOKUP(D2304,SKU_Master!A:A,SKU_Master!B:B,"Not on master")</f>
        <v>0</v>
      </c>
      <c r="F2304" cm="1">
        <f t="array" ref="F2304">_xlfn.XLOOKUP(C2304,Account_Master!A:A,Account_Master!B:B,"Not on master")</f>
        <v>0</v>
      </c>
      <c r="G2304" cm="1">
        <f t="array" ref="G2304">_xlfn.XLOOKUP(C2304,Account_Master!A:A,Account_Master!C:C,"Not on master")</f>
        <v>0</v>
      </c>
      <c r="H2304" s="6">
        <v>4.5</v>
      </c>
      <c r="I2304" s="6">
        <v>4.5</v>
      </c>
      <c r="J2304" s="6">
        <f>I2304-H2304</f>
        <v>0</v>
      </c>
      <c r="K2304" s="5">
        <f>IF(H2304=0,"",J2304/H2304)</f>
        <v>0</v>
      </c>
      <c r="L2304">
        <f>IF(OR(AND(H2304=0,ABS(J2304)&gt;=0.01),AND(H2304&lt;&gt;0,ABS(K2304)&gt;VarianceThreshold)),"Review","OK")</f>
        <v>0</v>
      </c>
      <c r="M2304" t="s">
        <v>33</v>
      </c>
    </row>
    <row r="2305" spans="1:13">
      <c r="A2305" t="s">
        <v>3</v>
      </c>
      <c r="B2305" t="s">
        <v>658</v>
      </c>
      <c r="C2305" t="s">
        <v>2139</v>
      </c>
      <c r="D2305" t="s">
        <v>1187</v>
      </c>
      <c r="E2305" cm="1">
        <f t="array" ref="E2305">_xlfn.XLOOKUP(D2305,SKU_Master!A:A,SKU_Master!B:B,"Not on master")</f>
        <v>0</v>
      </c>
      <c r="F2305" cm="1">
        <f t="array" ref="F2305">_xlfn.XLOOKUP(C2305,Account_Master!A:A,Account_Master!B:B,"Not on master")</f>
        <v>0</v>
      </c>
      <c r="G2305" cm="1">
        <f t="array" ref="G2305">_xlfn.XLOOKUP(C2305,Account_Master!A:A,Account_Master!C:C,"Not on master")</f>
        <v>0</v>
      </c>
      <c r="H2305" s="6">
        <v>10.8</v>
      </c>
      <c r="I2305" s="6">
        <v>10.8</v>
      </c>
      <c r="J2305" s="6">
        <f>I2305-H2305</f>
        <v>0</v>
      </c>
      <c r="K2305" s="5">
        <f>IF(H2305=0,"",J2305/H2305)</f>
        <v>0</v>
      </c>
      <c r="L2305">
        <f>IF(OR(AND(H2305=0,ABS(J2305)&gt;=0.01),AND(H2305&lt;&gt;0,ABS(K2305)&gt;VarianceThreshold)),"Review","OK")</f>
        <v>0</v>
      </c>
      <c r="M2305" t="s">
        <v>33</v>
      </c>
    </row>
    <row r="2306" spans="1:13">
      <c r="A2306" t="s">
        <v>3</v>
      </c>
      <c r="B2306" t="s">
        <v>658</v>
      </c>
      <c r="C2306" t="s">
        <v>2164</v>
      </c>
      <c r="D2306" t="s">
        <v>2288</v>
      </c>
      <c r="E2306" cm="1">
        <f t="array" ref="E2306">_xlfn.XLOOKUP(D2306,SKU_Master!A:A,SKU_Master!B:B,"Not on master")</f>
        <v>0</v>
      </c>
      <c r="F2306" cm="1">
        <f t="array" ref="F2306">_xlfn.XLOOKUP(C2306,Account_Master!A:A,Account_Master!B:B,"Not on master")</f>
        <v>0</v>
      </c>
      <c r="G2306" cm="1">
        <f t="array" ref="G2306">_xlfn.XLOOKUP(C2306,Account_Master!A:A,Account_Master!C:C,"Not on master")</f>
        <v>0</v>
      </c>
      <c r="H2306" s="6">
        <v>2.25</v>
      </c>
      <c r="I2306" s="6">
        <v>2.25</v>
      </c>
      <c r="J2306" s="6">
        <f>I2306-H2306</f>
        <v>0</v>
      </c>
      <c r="K2306" s="5">
        <f>IF(H2306=0,"",J2306/H2306)</f>
        <v>0</v>
      </c>
      <c r="L2306">
        <f>IF(OR(AND(H2306=0,ABS(J2306)&gt;=0.01),AND(H2306&lt;&gt;0,ABS(K2306)&gt;VarianceThreshold)),"Review","OK")</f>
        <v>0</v>
      </c>
      <c r="M2306" t="s">
        <v>33</v>
      </c>
    </row>
    <row r="2307" spans="1:13">
      <c r="A2307" t="s">
        <v>3</v>
      </c>
      <c r="B2307" t="s">
        <v>658</v>
      </c>
      <c r="C2307" t="s">
        <v>2174</v>
      </c>
      <c r="D2307" t="s">
        <v>1362</v>
      </c>
      <c r="E2307" cm="1">
        <f t="array" ref="E2307">_xlfn.XLOOKUP(D2307,SKU_Master!A:A,SKU_Master!B:B,"Not on master")</f>
        <v>0</v>
      </c>
      <c r="F2307" cm="1">
        <f t="array" ref="F2307">_xlfn.XLOOKUP(C2307,Account_Master!A:A,Account_Master!B:B,"Not on master")</f>
        <v>0</v>
      </c>
      <c r="G2307" cm="1">
        <f t="array" ref="G2307">_xlfn.XLOOKUP(C2307,Account_Master!A:A,Account_Master!C:C,"Not on master")</f>
        <v>0</v>
      </c>
      <c r="H2307" s="6">
        <v>19.11</v>
      </c>
      <c r="I2307" s="6">
        <v>19.11</v>
      </c>
      <c r="J2307" s="6">
        <f>I2307-H2307</f>
        <v>0</v>
      </c>
      <c r="K2307" s="5">
        <f>IF(H2307=0,"",J2307/H2307)</f>
        <v>0</v>
      </c>
      <c r="L2307">
        <f>IF(OR(AND(H2307=0,ABS(J2307)&gt;=0.01),AND(H2307&lt;&gt;0,ABS(K2307)&gt;VarianceThreshold)),"Review","OK")</f>
        <v>0</v>
      </c>
      <c r="M2307" t="s">
        <v>33</v>
      </c>
    </row>
    <row r="2308" spans="1:13">
      <c r="A2308" t="s">
        <v>3</v>
      </c>
      <c r="B2308" t="s">
        <v>658</v>
      </c>
      <c r="C2308" t="s">
        <v>2030</v>
      </c>
      <c r="D2308" t="s">
        <v>2289</v>
      </c>
      <c r="E2308" cm="1">
        <f t="array" ref="E2308">_xlfn.XLOOKUP(D2308,SKU_Master!A:A,SKU_Master!B:B,"Not on master")</f>
        <v>0</v>
      </c>
      <c r="F2308" cm="1">
        <f t="array" ref="F2308">_xlfn.XLOOKUP(C2308,Account_Master!A:A,Account_Master!B:B,"Not on master")</f>
        <v>0</v>
      </c>
      <c r="G2308" cm="1">
        <f t="array" ref="G2308">_xlfn.XLOOKUP(C2308,Account_Master!A:A,Account_Master!C:C,"Not on master")</f>
        <v>0</v>
      </c>
      <c r="H2308" s="6">
        <v>6</v>
      </c>
      <c r="I2308" s="6">
        <v>6</v>
      </c>
      <c r="J2308" s="6">
        <f>I2308-H2308</f>
        <v>0</v>
      </c>
      <c r="K2308" s="5">
        <f>IF(H2308=0,"",J2308/H2308)</f>
        <v>0</v>
      </c>
      <c r="L2308">
        <f>IF(OR(AND(H2308=0,ABS(J2308)&gt;=0.01),AND(H2308&lt;&gt;0,ABS(K2308)&gt;VarianceThreshold)),"Review","OK")</f>
        <v>0</v>
      </c>
      <c r="M2308" t="s">
        <v>33</v>
      </c>
    </row>
    <row r="2309" spans="1:13">
      <c r="A2309" t="s">
        <v>3</v>
      </c>
      <c r="B2309" t="s">
        <v>673</v>
      </c>
      <c r="C2309" t="s">
        <v>2022</v>
      </c>
      <c r="D2309" t="s">
        <v>2290</v>
      </c>
      <c r="E2309" cm="1">
        <f t="array" ref="E2309">_xlfn.XLOOKUP(D2309,SKU_Master!A:A,SKU_Master!B:B,"Not on master")</f>
        <v>0</v>
      </c>
      <c r="F2309" cm="1">
        <f t="array" ref="F2309">_xlfn.XLOOKUP(C2309,Account_Master!A:A,Account_Master!B:B,"Not on master")</f>
        <v>0</v>
      </c>
      <c r="G2309" cm="1">
        <f t="array" ref="G2309">_xlfn.XLOOKUP(C2309,Account_Master!A:A,Account_Master!C:C,"Not on master")</f>
        <v>0</v>
      </c>
      <c r="H2309" s="6">
        <v>36</v>
      </c>
      <c r="I2309" s="6">
        <v>36</v>
      </c>
      <c r="J2309" s="6">
        <f>I2309-H2309</f>
        <v>0</v>
      </c>
      <c r="K2309" s="5">
        <f>IF(H2309=0,"",J2309/H2309)</f>
        <v>0</v>
      </c>
      <c r="L2309">
        <f>IF(OR(AND(H2309=0,ABS(J2309)&gt;=0.01),AND(H2309&lt;&gt;0,ABS(K2309)&gt;VarianceThreshold)),"Review","OK")</f>
        <v>0</v>
      </c>
      <c r="M2309" t="s">
        <v>33</v>
      </c>
    </row>
    <row r="2310" spans="1:13">
      <c r="A2310" t="s">
        <v>3</v>
      </c>
      <c r="B2310" t="s">
        <v>673</v>
      </c>
      <c r="C2310" t="s">
        <v>2027</v>
      </c>
      <c r="D2310" t="s">
        <v>2291</v>
      </c>
      <c r="E2310" cm="1">
        <f t="array" ref="E2310">_xlfn.XLOOKUP(D2310,SKU_Master!A:A,SKU_Master!B:B,"Not on master")</f>
        <v>0</v>
      </c>
      <c r="F2310" cm="1">
        <f t="array" ref="F2310">_xlfn.XLOOKUP(C2310,Account_Master!A:A,Account_Master!B:B,"Not on master")</f>
        <v>0</v>
      </c>
      <c r="G2310" cm="1">
        <f t="array" ref="G2310">_xlfn.XLOOKUP(C2310,Account_Master!A:A,Account_Master!C:C,"Not on master")</f>
        <v>0</v>
      </c>
      <c r="H2310" s="6">
        <v>9</v>
      </c>
      <c r="I2310" s="6">
        <v>9</v>
      </c>
      <c r="J2310" s="6">
        <f>I2310-H2310</f>
        <v>0</v>
      </c>
      <c r="K2310" s="5">
        <f>IF(H2310=0,"",J2310/H2310)</f>
        <v>0</v>
      </c>
      <c r="L2310">
        <f>IF(OR(AND(H2310=0,ABS(J2310)&gt;=0.01),AND(H2310&lt;&gt;0,ABS(K2310)&gt;VarianceThreshold)),"Review","OK")</f>
        <v>0</v>
      </c>
      <c r="M2310" t="s">
        <v>33</v>
      </c>
    </row>
    <row r="2311" spans="1:13">
      <c r="A2311" t="s">
        <v>3</v>
      </c>
      <c r="B2311" t="s">
        <v>673</v>
      </c>
      <c r="C2311" t="s">
        <v>2057</v>
      </c>
      <c r="D2311" t="s">
        <v>74</v>
      </c>
      <c r="E2311" cm="1">
        <f t="array" ref="E2311">_xlfn.XLOOKUP(D2311,SKU_Master!A:A,SKU_Master!B:B,"Not on master")</f>
        <v>0</v>
      </c>
      <c r="F2311" cm="1">
        <f t="array" ref="F2311">_xlfn.XLOOKUP(C2311,Account_Master!A:A,Account_Master!B:B,"Not on master")</f>
        <v>0</v>
      </c>
      <c r="G2311" cm="1">
        <f t="array" ref="G2311">_xlfn.XLOOKUP(C2311,Account_Master!A:A,Account_Master!C:C,"Not on master")</f>
        <v>0</v>
      </c>
      <c r="H2311" s="6">
        <v>2.25</v>
      </c>
      <c r="I2311" s="6">
        <v>2.25</v>
      </c>
      <c r="J2311" s="6">
        <f>I2311-H2311</f>
        <v>0</v>
      </c>
      <c r="K2311" s="5">
        <f>IF(H2311=0,"",J2311/H2311)</f>
        <v>0</v>
      </c>
      <c r="L2311">
        <f>IF(OR(AND(H2311=0,ABS(J2311)&gt;=0.01),AND(H2311&lt;&gt;0,ABS(K2311)&gt;VarianceThreshold)),"Review","OK")</f>
        <v>0</v>
      </c>
      <c r="M2311" t="s">
        <v>33</v>
      </c>
    </row>
    <row r="2312" spans="1:13">
      <c r="A2312" t="s">
        <v>3</v>
      </c>
      <c r="B2312" t="s">
        <v>673</v>
      </c>
      <c r="C2312" t="s">
        <v>2100</v>
      </c>
      <c r="D2312" t="s">
        <v>1142</v>
      </c>
      <c r="E2312" cm="1">
        <f t="array" ref="E2312">_xlfn.XLOOKUP(D2312,SKU_Master!A:A,SKU_Master!B:B,"Not on master")</f>
        <v>0</v>
      </c>
      <c r="F2312" cm="1">
        <f t="array" ref="F2312">_xlfn.XLOOKUP(C2312,Account_Master!A:A,Account_Master!B:B,"Not on master")</f>
        <v>0</v>
      </c>
      <c r="G2312" cm="1">
        <f t="array" ref="G2312">_xlfn.XLOOKUP(C2312,Account_Master!A:A,Account_Master!C:C,"Not on master")</f>
        <v>0</v>
      </c>
      <c r="H2312" s="6">
        <v>4.8</v>
      </c>
      <c r="I2312" s="6">
        <v>4.8</v>
      </c>
      <c r="J2312" s="6">
        <f>I2312-H2312</f>
        <v>0</v>
      </c>
      <c r="K2312" s="5">
        <f>IF(H2312=0,"",J2312/H2312)</f>
        <v>0</v>
      </c>
      <c r="L2312">
        <f>IF(OR(AND(H2312=0,ABS(J2312)&gt;=0.01),AND(H2312&lt;&gt;0,ABS(K2312)&gt;VarianceThreshold)),"Review","OK")</f>
        <v>0</v>
      </c>
      <c r="M2312" t="s">
        <v>33</v>
      </c>
    </row>
    <row r="2313" spans="1:13">
      <c r="A2313" t="s">
        <v>3</v>
      </c>
      <c r="B2313" t="s">
        <v>673</v>
      </c>
      <c r="C2313" t="s">
        <v>2027</v>
      </c>
      <c r="D2313" t="s">
        <v>1446</v>
      </c>
      <c r="E2313" cm="1">
        <f t="array" ref="E2313">_xlfn.XLOOKUP(D2313,SKU_Master!A:A,SKU_Master!B:B,"Not on master")</f>
        <v>0</v>
      </c>
      <c r="F2313" cm="1">
        <f t="array" ref="F2313">_xlfn.XLOOKUP(C2313,Account_Master!A:A,Account_Master!B:B,"Not on master")</f>
        <v>0</v>
      </c>
      <c r="G2313" cm="1">
        <f t="array" ref="G2313">_xlfn.XLOOKUP(C2313,Account_Master!A:A,Account_Master!C:C,"Not on master")</f>
        <v>0</v>
      </c>
      <c r="H2313" s="6">
        <v>2.25</v>
      </c>
      <c r="I2313" s="6">
        <v>2.25</v>
      </c>
      <c r="J2313" s="6">
        <f>I2313-H2313</f>
        <v>0</v>
      </c>
      <c r="K2313" s="5">
        <f>IF(H2313=0,"",J2313/H2313)</f>
        <v>0</v>
      </c>
      <c r="L2313">
        <f>IF(OR(AND(H2313=0,ABS(J2313)&gt;=0.01),AND(H2313&lt;&gt;0,ABS(K2313)&gt;VarianceThreshold)),"Review","OK")</f>
        <v>0</v>
      </c>
      <c r="M2313" t="s">
        <v>33</v>
      </c>
    </row>
    <row r="2314" spans="1:13">
      <c r="A2314" t="s">
        <v>3</v>
      </c>
      <c r="B2314" t="s">
        <v>681</v>
      </c>
      <c r="C2314" t="s">
        <v>2183</v>
      </c>
      <c r="D2314" t="s">
        <v>483</v>
      </c>
      <c r="E2314" cm="1">
        <f t="array" ref="E2314">_xlfn.XLOOKUP(D2314,SKU_Master!A:A,SKU_Master!B:B,"Not on master")</f>
        <v>0</v>
      </c>
      <c r="F2314" cm="1">
        <f t="array" ref="F2314">_xlfn.XLOOKUP(C2314,Account_Master!A:A,Account_Master!B:B,"Not on master")</f>
        <v>0</v>
      </c>
      <c r="G2314" cm="1">
        <f t="array" ref="G2314">_xlfn.XLOOKUP(C2314,Account_Master!A:A,Account_Master!C:C,"Not on master")</f>
        <v>0</v>
      </c>
      <c r="H2314" s="6">
        <v>15.75</v>
      </c>
      <c r="I2314" s="6">
        <v>15.75</v>
      </c>
      <c r="J2314" s="6">
        <f>I2314-H2314</f>
        <v>0</v>
      </c>
      <c r="K2314" s="5">
        <f>IF(H2314=0,"",J2314/H2314)</f>
        <v>0</v>
      </c>
      <c r="L2314">
        <f>IF(OR(AND(H2314=0,ABS(J2314)&gt;=0.01),AND(H2314&lt;&gt;0,ABS(K2314)&gt;VarianceThreshold)),"Review","OK")</f>
        <v>0</v>
      </c>
      <c r="M2314" t="s">
        <v>33</v>
      </c>
    </row>
    <row r="2315" spans="1:13">
      <c r="A2315" t="s">
        <v>3</v>
      </c>
      <c r="B2315" t="s">
        <v>681</v>
      </c>
      <c r="C2315" t="s">
        <v>2116</v>
      </c>
      <c r="D2315" t="s">
        <v>291</v>
      </c>
      <c r="E2315" cm="1">
        <f t="array" ref="E2315">_xlfn.XLOOKUP(D2315,SKU_Master!A:A,SKU_Master!B:B,"Not on master")</f>
        <v>0</v>
      </c>
      <c r="F2315" cm="1">
        <f t="array" ref="F2315">_xlfn.XLOOKUP(C2315,Account_Master!A:A,Account_Master!B:B,"Not on master")</f>
        <v>0</v>
      </c>
      <c r="G2315" cm="1">
        <f t="array" ref="G2315">_xlfn.XLOOKUP(C2315,Account_Master!A:A,Account_Master!C:C,"Not on master")</f>
        <v>0</v>
      </c>
      <c r="H2315" s="6">
        <v>9.75</v>
      </c>
      <c r="I2315" s="6">
        <v>9.75</v>
      </c>
      <c r="J2315" s="6">
        <f>I2315-H2315</f>
        <v>0</v>
      </c>
      <c r="K2315" s="5">
        <f>IF(H2315=0,"",J2315/H2315)</f>
        <v>0</v>
      </c>
      <c r="L2315">
        <f>IF(OR(AND(H2315=0,ABS(J2315)&gt;=0.01),AND(H2315&lt;&gt;0,ABS(K2315)&gt;VarianceThreshold)),"Review","OK")</f>
        <v>0</v>
      </c>
      <c r="M2315" t="s">
        <v>33</v>
      </c>
    </row>
    <row r="2316" spans="1:13">
      <c r="A2316" t="s">
        <v>3</v>
      </c>
      <c r="B2316" t="s">
        <v>681</v>
      </c>
      <c r="C2316" t="s">
        <v>2027</v>
      </c>
      <c r="D2316" t="s">
        <v>218</v>
      </c>
      <c r="E2316" cm="1">
        <f t="array" ref="E2316">_xlfn.XLOOKUP(D2316,SKU_Master!A:A,SKU_Master!B:B,"Not on master")</f>
        <v>0</v>
      </c>
      <c r="F2316" cm="1">
        <f t="array" ref="F2316">_xlfn.XLOOKUP(C2316,Account_Master!A:A,Account_Master!B:B,"Not on master")</f>
        <v>0</v>
      </c>
      <c r="G2316" cm="1">
        <f t="array" ref="G2316">_xlfn.XLOOKUP(C2316,Account_Master!A:A,Account_Master!C:C,"Not on master")</f>
        <v>0</v>
      </c>
      <c r="H2316" s="6">
        <v>4.5</v>
      </c>
      <c r="I2316" s="6">
        <v>4.5</v>
      </c>
      <c r="J2316" s="6">
        <f>I2316-H2316</f>
        <v>0</v>
      </c>
      <c r="K2316" s="5">
        <f>IF(H2316=0,"",J2316/H2316)</f>
        <v>0</v>
      </c>
      <c r="L2316">
        <f>IF(OR(AND(H2316=0,ABS(J2316)&gt;=0.01),AND(H2316&lt;&gt;0,ABS(K2316)&gt;VarianceThreshold)),"Review","OK")</f>
        <v>0</v>
      </c>
      <c r="M2316" t="s">
        <v>33</v>
      </c>
    </row>
    <row r="2317" spans="1:13">
      <c r="A2317" t="s">
        <v>3</v>
      </c>
      <c r="B2317" t="s">
        <v>681</v>
      </c>
      <c r="C2317" t="s">
        <v>2139</v>
      </c>
      <c r="D2317" t="s">
        <v>508</v>
      </c>
      <c r="E2317" cm="1">
        <f t="array" ref="E2317">_xlfn.XLOOKUP(D2317,SKU_Master!A:A,SKU_Master!B:B,"Not on master")</f>
        <v>0</v>
      </c>
      <c r="F2317" cm="1">
        <f t="array" ref="F2317">_xlfn.XLOOKUP(C2317,Account_Master!A:A,Account_Master!B:B,"Not on master")</f>
        <v>0</v>
      </c>
      <c r="G2317" cm="1">
        <f t="array" ref="G2317">_xlfn.XLOOKUP(C2317,Account_Master!A:A,Account_Master!C:C,"Not on master")</f>
        <v>0</v>
      </c>
      <c r="H2317" s="6">
        <v>4.5</v>
      </c>
      <c r="I2317" s="6">
        <v>4.5</v>
      </c>
      <c r="J2317" s="6">
        <f>I2317-H2317</f>
        <v>0</v>
      </c>
      <c r="K2317" s="5">
        <f>IF(H2317=0,"",J2317/H2317)</f>
        <v>0</v>
      </c>
      <c r="L2317">
        <f>IF(OR(AND(H2317=0,ABS(J2317)&gt;=0.01),AND(H2317&lt;&gt;0,ABS(K2317)&gt;VarianceThreshold)),"Review","OK")</f>
        <v>0</v>
      </c>
      <c r="M2317" t="s">
        <v>33</v>
      </c>
    </row>
    <row r="2318" spans="1:13">
      <c r="A2318" t="s">
        <v>3</v>
      </c>
      <c r="B2318" t="s">
        <v>681</v>
      </c>
      <c r="C2318" t="s">
        <v>2070</v>
      </c>
      <c r="D2318" t="s">
        <v>2292</v>
      </c>
      <c r="E2318" cm="1">
        <f t="array" ref="E2318">_xlfn.XLOOKUP(D2318,SKU_Master!A:A,SKU_Master!B:B,"Not on master")</f>
        <v>0</v>
      </c>
      <c r="F2318" cm="1">
        <f t="array" ref="F2318">_xlfn.XLOOKUP(C2318,Account_Master!A:A,Account_Master!B:B,"Not on master")</f>
        <v>0</v>
      </c>
      <c r="G2318" cm="1">
        <f t="array" ref="G2318">_xlfn.XLOOKUP(C2318,Account_Master!A:A,Account_Master!C:C,"Not on master")</f>
        <v>0</v>
      </c>
      <c r="H2318" s="6">
        <v>13</v>
      </c>
      <c r="I2318" s="6">
        <v>13</v>
      </c>
      <c r="J2318" s="6">
        <f>I2318-H2318</f>
        <v>0</v>
      </c>
      <c r="K2318" s="5">
        <f>IF(H2318=0,"",J2318/H2318)</f>
        <v>0</v>
      </c>
      <c r="L2318">
        <f>IF(OR(AND(H2318=0,ABS(J2318)&gt;=0.01),AND(H2318&lt;&gt;0,ABS(K2318)&gt;VarianceThreshold)),"Review","OK")</f>
        <v>0</v>
      </c>
      <c r="M2318" t="s">
        <v>33</v>
      </c>
    </row>
    <row r="2319" spans="1:13">
      <c r="A2319" t="s">
        <v>3</v>
      </c>
      <c r="B2319" t="s">
        <v>681</v>
      </c>
      <c r="C2319" t="s">
        <v>2245</v>
      </c>
      <c r="D2319" t="s">
        <v>374</v>
      </c>
      <c r="E2319" cm="1">
        <f t="array" ref="E2319">_xlfn.XLOOKUP(D2319,SKU_Master!A:A,SKU_Master!B:B,"Not on master")</f>
        <v>0</v>
      </c>
      <c r="F2319" cm="1">
        <f t="array" ref="F2319">_xlfn.XLOOKUP(C2319,Account_Master!A:A,Account_Master!B:B,"Not on master")</f>
        <v>0</v>
      </c>
      <c r="G2319" cm="1">
        <f t="array" ref="G2319">_xlfn.XLOOKUP(C2319,Account_Master!A:A,Account_Master!C:C,"Not on master")</f>
        <v>0</v>
      </c>
      <c r="H2319" s="6">
        <v>1.5</v>
      </c>
      <c r="I2319" s="6">
        <v>1.5</v>
      </c>
      <c r="J2319" s="6">
        <f>I2319-H2319</f>
        <v>0</v>
      </c>
      <c r="K2319" s="5">
        <f>IF(H2319=0,"",J2319/H2319)</f>
        <v>0</v>
      </c>
      <c r="L2319">
        <f>IF(OR(AND(H2319=0,ABS(J2319)&gt;=0.01),AND(H2319&lt;&gt;0,ABS(K2319)&gt;VarianceThreshold)),"Review","OK")</f>
        <v>0</v>
      </c>
      <c r="M2319" t="s">
        <v>33</v>
      </c>
    </row>
    <row r="2320" spans="1:13">
      <c r="A2320" t="s">
        <v>3</v>
      </c>
      <c r="B2320" t="s">
        <v>681</v>
      </c>
      <c r="C2320" t="s">
        <v>2070</v>
      </c>
      <c r="D2320" t="s">
        <v>2293</v>
      </c>
      <c r="E2320" cm="1">
        <f t="array" ref="E2320">_xlfn.XLOOKUP(D2320,SKU_Master!A:A,SKU_Master!B:B,"Not on master")</f>
        <v>0</v>
      </c>
      <c r="F2320" cm="1">
        <f t="array" ref="F2320">_xlfn.XLOOKUP(C2320,Account_Master!A:A,Account_Master!B:B,"Not on master")</f>
        <v>0</v>
      </c>
      <c r="G2320" cm="1">
        <f t="array" ref="G2320">_xlfn.XLOOKUP(C2320,Account_Master!A:A,Account_Master!C:C,"Not on master")</f>
        <v>0</v>
      </c>
      <c r="H2320" s="6">
        <v>4.5</v>
      </c>
      <c r="I2320" s="6">
        <v>4.5</v>
      </c>
      <c r="J2320" s="6">
        <f>I2320-H2320</f>
        <v>0</v>
      </c>
      <c r="K2320" s="5">
        <f>IF(H2320=0,"",J2320/H2320)</f>
        <v>0</v>
      </c>
      <c r="L2320">
        <f>IF(OR(AND(H2320=0,ABS(J2320)&gt;=0.01),AND(H2320&lt;&gt;0,ABS(K2320)&gt;VarianceThreshold)),"Review","OK")</f>
        <v>0</v>
      </c>
      <c r="M2320" t="s">
        <v>33</v>
      </c>
    </row>
    <row r="2321" spans="1:13">
      <c r="A2321" t="s">
        <v>3</v>
      </c>
      <c r="B2321" t="s">
        <v>681</v>
      </c>
      <c r="C2321" t="s">
        <v>2015</v>
      </c>
      <c r="D2321" t="s">
        <v>2294</v>
      </c>
      <c r="E2321" cm="1">
        <f t="array" ref="E2321">_xlfn.XLOOKUP(D2321,SKU_Master!A:A,SKU_Master!B:B,"Not on master")</f>
        <v>0</v>
      </c>
      <c r="F2321" cm="1">
        <f t="array" ref="F2321">_xlfn.XLOOKUP(C2321,Account_Master!A:A,Account_Master!B:B,"Not on master")</f>
        <v>0</v>
      </c>
      <c r="G2321" cm="1">
        <f t="array" ref="G2321">_xlfn.XLOOKUP(C2321,Account_Master!A:A,Account_Master!C:C,"Not on master")</f>
        <v>0</v>
      </c>
      <c r="H2321" s="6">
        <v>4.5</v>
      </c>
      <c r="I2321" s="6">
        <v>4.5</v>
      </c>
      <c r="J2321" s="6">
        <f>I2321-H2321</f>
        <v>0</v>
      </c>
      <c r="K2321" s="5">
        <f>IF(H2321=0,"",J2321/H2321)</f>
        <v>0</v>
      </c>
      <c r="L2321">
        <f>IF(OR(AND(H2321=0,ABS(J2321)&gt;=0.01),AND(H2321&lt;&gt;0,ABS(K2321)&gt;VarianceThreshold)),"Review","OK")</f>
        <v>0</v>
      </c>
      <c r="M2321" t="s">
        <v>33</v>
      </c>
    </row>
    <row r="2322" spans="1:13">
      <c r="A2322" t="s">
        <v>3</v>
      </c>
      <c r="B2322" t="s">
        <v>681</v>
      </c>
      <c r="C2322" t="s">
        <v>2022</v>
      </c>
      <c r="D2322" t="s">
        <v>2295</v>
      </c>
      <c r="E2322" cm="1">
        <f t="array" ref="E2322">_xlfn.XLOOKUP(D2322,SKU_Master!A:A,SKU_Master!B:B,"Not on master")</f>
        <v>0</v>
      </c>
      <c r="F2322" cm="1">
        <f t="array" ref="F2322">_xlfn.XLOOKUP(C2322,Account_Master!A:A,Account_Master!B:B,"Not on master")</f>
        <v>0</v>
      </c>
      <c r="G2322" cm="1">
        <f t="array" ref="G2322">_xlfn.XLOOKUP(C2322,Account_Master!A:A,Account_Master!C:C,"Not on master")</f>
        <v>0</v>
      </c>
      <c r="H2322" s="6">
        <v>4.5</v>
      </c>
      <c r="I2322" s="6">
        <v>4.5</v>
      </c>
      <c r="J2322" s="6">
        <f>I2322-H2322</f>
        <v>0</v>
      </c>
      <c r="K2322" s="5">
        <f>IF(H2322=0,"",J2322/H2322)</f>
        <v>0</v>
      </c>
      <c r="L2322">
        <f>IF(OR(AND(H2322=0,ABS(J2322)&gt;=0.01),AND(H2322&lt;&gt;0,ABS(K2322)&gt;VarianceThreshold)),"Review","OK")</f>
        <v>0</v>
      </c>
      <c r="M2322" t="s">
        <v>33</v>
      </c>
    </row>
    <row r="2323" spans="1:13">
      <c r="A2323" t="s">
        <v>3</v>
      </c>
      <c r="B2323" t="s">
        <v>689</v>
      </c>
      <c r="C2323" t="s">
        <v>2296</v>
      </c>
      <c r="D2323" t="s">
        <v>430</v>
      </c>
      <c r="E2323" cm="1">
        <f t="array" ref="E2323">_xlfn.XLOOKUP(D2323,SKU_Master!A:A,SKU_Master!B:B,"Not on master")</f>
        <v>0</v>
      </c>
      <c r="F2323" cm="1">
        <f t="array" ref="F2323">_xlfn.XLOOKUP(C2323,Account_Master!A:A,Account_Master!B:B,"Not on master")</f>
        <v>0</v>
      </c>
      <c r="G2323" cm="1">
        <f t="array" ref="G2323">_xlfn.XLOOKUP(C2323,Account_Master!A:A,Account_Master!C:C,"Not on master")</f>
        <v>0</v>
      </c>
      <c r="H2323" s="6">
        <v>22.5</v>
      </c>
      <c r="I2323" s="6">
        <v>22.5</v>
      </c>
      <c r="J2323" s="6">
        <f>I2323-H2323</f>
        <v>0</v>
      </c>
      <c r="K2323" s="5">
        <f>IF(H2323=0,"",J2323/H2323)</f>
        <v>0</v>
      </c>
      <c r="L2323">
        <f>IF(OR(AND(H2323=0,ABS(J2323)&gt;=0.01),AND(H2323&lt;&gt;0,ABS(K2323)&gt;VarianceThreshold)),"Review","OK")</f>
        <v>0</v>
      </c>
      <c r="M2323" t="s">
        <v>33</v>
      </c>
    </row>
    <row r="2324" spans="1:13">
      <c r="A2324" t="s">
        <v>3</v>
      </c>
      <c r="B2324" t="s">
        <v>689</v>
      </c>
      <c r="C2324" t="s">
        <v>2155</v>
      </c>
      <c r="D2324" t="s">
        <v>315</v>
      </c>
      <c r="E2324" cm="1">
        <f t="array" ref="E2324">_xlfn.XLOOKUP(D2324,SKU_Master!A:A,SKU_Master!B:B,"Not on master")</f>
        <v>0</v>
      </c>
      <c r="F2324" cm="1">
        <f t="array" ref="F2324">_xlfn.XLOOKUP(C2324,Account_Master!A:A,Account_Master!B:B,"Not on master")</f>
        <v>0</v>
      </c>
      <c r="G2324" cm="1">
        <f t="array" ref="G2324">_xlfn.XLOOKUP(C2324,Account_Master!A:A,Account_Master!C:C,"Not on master")</f>
        <v>0</v>
      </c>
      <c r="H2324" s="6">
        <v>71</v>
      </c>
      <c r="I2324" s="6">
        <v>71</v>
      </c>
      <c r="J2324" s="6">
        <f>I2324-H2324</f>
        <v>0</v>
      </c>
      <c r="K2324" s="5">
        <f>IF(H2324=0,"",J2324/H2324)</f>
        <v>0</v>
      </c>
      <c r="L2324">
        <f>IF(OR(AND(H2324=0,ABS(J2324)&gt;=0.01),AND(H2324&lt;&gt;0,ABS(K2324)&gt;VarianceThreshold)),"Review","OK")</f>
        <v>0</v>
      </c>
      <c r="M2324" t="s">
        <v>33</v>
      </c>
    </row>
    <row r="2325" spans="1:13">
      <c r="A2325" t="s">
        <v>3</v>
      </c>
      <c r="B2325" t="s">
        <v>689</v>
      </c>
      <c r="C2325" t="s">
        <v>2052</v>
      </c>
      <c r="D2325" t="s">
        <v>2297</v>
      </c>
      <c r="E2325" cm="1">
        <f t="array" ref="E2325">_xlfn.XLOOKUP(D2325,SKU_Master!A:A,SKU_Master!B:B,"Not on master")</f>
        <v>0</v>
      </c>
      <c r="F2325" cm="1">
        <f t="array" ref="F2325">_xlfn.XLOOKUP(C2325,Account_Master!A:A,Account_Master!B:B,"Not on master")</f>
        <v>0</v>
      </c>
      <c r="G2325" cm="1">
        <f t="array" ref="G2325">_xlfn.XLOOKUP(C2325,Account_Master!A:A,Account_Master!C:C,"Not on master")</f>
        <v>0</v>
      </c>
      <c r="H2325" s="6">
        <v>10.5</v>
      </c>
      <c r="I2325" s="6">
        <v>10.5</v>
      </c>
      <c r="J2325" s="6">
        <f>I2325-H2325</f>
        <v>0</v>
      </c>
      <c r="K2325" s="5">
        <f>IF(H2325=0,"",J2325/H2325)</f>
        <v>0</v>
      </c>
      <c r="L2325">
        <f>IF(OR(AND(H2325=0,ABS(J2325)&gt;=0.01),AND(H2325&lt;&gt;0,ABS(K2325)&gt;VarianceThreshold)),"Review","OK")</f>
        <v>0</v>
      </c>
      <c r="M2325" t="s">
        <v>33</v>
      </c>
    </row>
    <row r="2326" spans="1:13">
      <c r="A2326" t="s">
        <v>3</v>
      </c>
      <c r="B2326" t="s">
        <v>689</v>
      </c>
      <c r="C2326" t="s">
        <v>2023</v>
      </c>
      <c r="D2326" t="s">
        <v>769</v>
      </c>
      <c r="E2326" cm="1">
        <f t="array" ref="E2326">_xlfn.XLOOKUP(D2326,SKU_Master!A:A,SKU_Master!B:B,"Not on master")</f>
        <v>0</v>
      </c>
      <c r="F2326" cm="1">
        <f t="array" ref="F2326">_xlfn.XLOOKUP(C2326,Account_Master!A:A,Account_Master!B:B,"Not on master")</f>
        <v>0</v>
      </c>
      <c r="G2326" cm="1">
        <f t="array" ref="G2326">_xlfn.XLOOKUP(C2326,Account_Master!A:A,Account_Master!C:C,"Not on master")</f>
        <v>0</v>
      </c>
      <c r="H2326" s="6">
        <v>10.5</v>
      </c>
      <c r="I2326" s="6">
        <v>10.5</v>
      </c>
      <c r="J2326" s="6">
        <f>I2326-H2326</f>
        <v>0</v>
      </c>
      <c r="K2326" s="5">
        <f>IF(H2326=0,"",J2326/H2326)</f>
        <v>0</v>
      </c>
      <c r="L2326">
        <f>IF(OR(AND(H2326=0,ABS(J2326)&gt;=0.01),AND(H2326&lt;&gt;0,ABS(K2326)&gt;VarianceThreshold)),"Review","OK")</f>
        <v>0</v>
      </c>
      <c r="M2326" t="s">
        <v>33</v>
      </c>
    </row>
    <row r="2327" spans="1:13">
      <c r="A2327" t="s">
        <v>3</v>
      </c>
      <c r="B2327" t="s">
        <v>689</v>
      </c>
      <c r="C2327" t="s">
        <v>2082</v>
      </c>
      <c r="D2327" t="s">
        <v>705</v>
      </c>
      <c r="E2327" cm="1">
        <f t="array" ref="E2327">_xlfn.XLOOKUP(D2327,SKU_Master!A:A,SKU_Master!B:B,"Not on master")</f>
        <v>0</v>
      </c>
      <c r="F2327" cm="1">
        <f t="array" ref="F2327">_xlfn.XLOOKUP(C2327,Account_Master!A:A,Account_Master!B:B,"Not on master")</f>
        <v>0</v>
      </c>
      <c r="G2327" cm="1">
        <f t="array" ref="G2327">_xlfn.XLOOKUP(C2327,Account_Master!A:A,Account_Master!C:C,"Not on master")</f>
        <v>0</v>
      </c>
      <c r="H2327" s="6">
        <v>18</v>
      </c>
      <c r="I2327" s="6">
        <v>18</v>
      </c>
      <c r="J2327" s="6">
        <f>I2327-H2327</f>
        <v>0</v>
      </c>
      <c r="K2327" s="5">
        <f>IF(H2327=0,"",J2327/H2327)</f>
        <v>0</v>
      </c>
      <c r="L2327">
        <f>IF(OR(AND(H2327=0,ABS(J2327)&gt;=0.01),AND(H2327&lt;&gt;0,ABS(K2327)&gt;VarianceThreshold)),"Review","OK")</f>
        <v>0</v>
      </c>
      <c r="M2327" t="s">
        <v>33</v>
      </c>
    </row>
    <row r="2328" spans="1:13">
      <c r="A2328" t="s">
        <v>3</v>
      </c>
      <c r="B2328" t="s">
        <v>701</v>
      </c>
      <c r="C2328" t="s">
        <v>2298</v>
      </c>
      <c r="D2328" t="s">
        <v>1698</v>
      </c>
      <c r="E2328" cm="1">
        <f t="array" ref="E2328">_xlfn.XLOOKUP(D2328,SKU_Master!A:A,SKU_Master!B:B,"Not on master")</f>
        <v>0</v>
      </c>
      <c r="F2328" cm="1">
        <f t="array" ref="F2328">_xlfn.XLOOKUP(C2328,Account_Master!A:A,Account_Master!B:B,"Not on master")</f>
        <v>0</v>
      </c>
      <c r="G2328" cm="1">
        <f t="array" ref="G2328">_xlfn.XLOOKUP(C2328,Account_Master!A:A,Account_Master!C:C,"Not on master")</f>
        <v>0</v>
      </c>
      <c r="H2328" s="6">
        <v>0.15</v>
      </c>
      <c r="I2328" s="6">
        <v>0.15</v>
      </c>
      <c r="J2328" s="6">
        <f>I2328-H2328</f>
        <v>0</v>
      </c>
      <c r="K2328" s="5">
        <f>IF(H2328=0,"",J2328/H2328)</f>
        <v>0</v>
      </c>
      <c r="L2328">
        <f>IF(OR(AND(H2328=0,ABS(J2328)&gt;=0.01),AND(H2328&lt;&gt;0,ABS(K2328)&gt;VarianceThreshold)),"Review","OK")</f>
        <v>0</v>
      </c>
      <c r="M2328" t="s">
        <v>33</v>
      </c>
    </row>
    <row r="2329" spans="1:13">
      <c r="A2329" t="s">
        <v>3</v>
      </c>
      <c r="B2329" t="s">
        <v>701</v>
      </c>
      <c r="C2329" t="s">
        <v>2033</v>
      </c>
      <c r="D2329" t="s">
        <v>600</v>
      </c>
      <c r="E2329" cm="1">
        <f t="array" ref="E2329">_xlfn.XLOOKUP(D2329,SKU_Master!A:A,SKU_Master!B:B,"Not on master")</f>
        <v>0</v>
      </c>
      <c r="F2329" cm="1">
        <f t="array" ref="F2329">_xlfn.XLOOKUP(C2329,Account_Master!A:A,Account_Master!B:B,"Not on master")</f>
        <v>0</v>
      </c>
      <c r="G2329" cm="1">
        <f t="array" ref="G2329">_xlfn.XLOOKUP(C2329,Account_Master!A:A,Account_Master!C:C,"Not on master")</f>
        <v>0</v>
      </c>
      <c r="H2329" s="6">
        <v>15</v>
      </c>
      <c r="I2329" s="6">
        <v>15</v>
      </c>
      <c r="J2329" s="6">
        <f>I2329-H2329</f>
        <v>0</v>
      </c>
      <c r="K2329" s="5">
        <f>IF(H2329=0,"",J2329/H2329)</f>
        <v>0</v>
      </c>
      <c r="L2329">
        <f>IF(OR(AND(H2329=0,ABS(J2329)&gt;=0.01),AND(H2329&lt;&gt;0,ABS(K2329)&gt;VarianceThreshold)),"Review","OK")</f>
        <v>0</v>
      </c>
      <c r="M2329" t="s">
        <v>33</v>
      </c>
    </row>
    <row r="2330" spans="1:13">
      <c r="A2330" t="s">
        <v>3</v>
      </c>
      <c r="B2330" t="s">
        <v>701</v>
      </c>
      <c r="C2330" t="s">
        <v>2088</v>
      </c>
      <c r="D2330" t="s">
        <v>518</v>
      </c>
      <c r="E2330" cm="1">
        <f t="array" ref="E2330">_xlfn.XLOOKUP(D2330,SKU_Master!A:A,SKU_Master!B:B,"Not on master")</f>
        <v>0</v>
      </c>
      <c r="F2330" cm="1">
        <f t="array" ref="F2330">_xlfn.XLOOKUP(C2330,Account_Master!A:A,Account_Master!B:B,"Not on master")</f>
        <v>0</v>
      </c>
      <c r="G2330" cm="1">
        <f t="array" ref="G2330">_xlfn.XLOOKUP(C2330,Account_Master!A:A,Account_Master!C:C,"Not on master")</f>
        <v>0</v>
      </c>
      <c r="H2330" s="6">
        <v>19</v>
      </c>
      <c r="I2330" s="6">
        <v>19</v>
      </c>
      <c r="J2330" s="6">
        <f>I2330-H2330</f>
        <v>0</v>
      </c>
      <c r="K2330" s="5">
        <f>IF(H2330=0,"",J2330/H2330)</f>
        <v>0</v>
      </c>
      <c r="L2330">
        <f>IF(OR(AND(H2330=0,ABS(J2330)&gt;=0.01),AND(H2330&lt;&gt;0,ABS(K2330)&gt;VarianceThreshold)),"Review","OK")</f>
        <v>0</v>
      </c>
      <c r="M2330" t="s">
        <v>33</v>
      </c>
    </row>
    <row r="2331" spans="1:13">
      <c r="A2331" t="s">
        <v>3</v>
      </c>
      <c r="B2331" t="s">
        <v>708</v>
      </c>
      <c r="C2331" t="s">
        <v>2022</v>
      </c>
      <c r="D2331" t="s">
        <v>1545</v>
      </c>
      <c r="E2331" cm="1">
        <f t="array" ref="E2331">_xlfn.XLOOKUP(D2331,SKU_Master!A:A,SKU_Master!B:B,"Not on master")</f>
        <v>0</v>
      </c>
      <c r="F2331" cm="1">
        <f t="array" ref="F2331">_xlfn.XLOOKUP(C2331,Account_Master!A:A,Account_Master!B:B,"Not on master")</f>
        <v>0</v>
      </c>
      <c r="G2331" cm="1">
        <f t="array" ref="G2331">_xlfn.XLOOKUP(C2331,Account_Master!A:A,Account_Master!C:C,"Not on master")</f>
        <v>0</v>
      </c>
      <c r="H2331" s="6">
        <v>1.25</v>
      </c>
      <c r="I2331" s="6">
        <v>1.25</v>
      </c>
      <c r="J2331" s="6">
        <f>I2331-H2331</f>
        <v>0</v>
      </c>
      <c r="K2331" s="5">
        <f>IF(H2331=0,"",J2331/H2331)</f>
        <v>0</v>
      </c>
      <c r="L2331">
        <f>IF(OR(AND(H2331=0,ABS(J2331)&gt;=0.01),AND(H2331&lt;&gt;0,ABS(K2331)&gt;VarianceThreshold)),"Review","OK")</f>
        <v>0</v>
      </c>
      <c r="M2331" t="s">
        <v>33</v>
      </c>
    </row>
    <row r="2332" spans="1:13">
      <c r="A2332" t="s">
        <v>3</v>
      </c>
      <c r="B2332" t="s">
        <v>708</v>
      </c>
      <c r="C2332" t="s">
        <v>2193</v>
      </c>
      <c r="D2332" t="s">
        <v>896</v>
      </c>
      <c r="E2332" cm="1">
        <f t="array" ref="E2332">_xlfn.XLOOKUP(D2332,SKU_Master!A:A,SKU_Master!B:B,"Not on master")</f>
        <v>0</v>
      </c>
      <c r="F2332" cm="1">
        <f t="array" ref="F2332">_xlfn.XLOOKUP(C2332,Account_Master!A:A,Account_Master!B:B,"Not on master")</f>
        <v>0</v>
      </c>
      <c r="G2332" cm="1">
        <f t="array" ref="G2332">_xlfn.XLOOKUP(C2332,Account_Master!A:A,Account_Master!C:C,"Not on master")</f>
        <v>0</v>
      </c>
      <c r="H2332" s="6">
        <v>19.12</v>
      </c>
      <c r="I2332" s="6">
        <v>19.12</v>
      </c>
      <c r="J2332" s="6">
        <f>I2332-H2332</f>
        <v>0</v>
      </c>
      <c r="K2332" s="5">
        <f>IF(H2332=0,"",J2332/H2332)</f>
        <v>0</v>
      </c>
      <c r="L2332">
        <f>IF(OR(AND(H2332=0,ABS(J2332)&gt;=0.01),AND(H2332&lt;&gt;0,ABS(K2332)&gt;VarianceThreshold)),"Review","OK")</f>
        <v>0</v>
      </c>
      <c r="M2332" t="s">
        <v>33</v>
      </c>
    </row>
    <row r="2333" spans="1:13">
      <c r="A2333" t="s">
        <v>3</v>
      </c>
      <c r="B2333" t="s">
        <v>708</v>
      </c>
      <c r="C2333" t="s">
        <v>2075</v>
      </c>
      <c r="D2333" t="s">
        <v>2299</v>
      </c>
      <c r="E2333" cm="1">
        <f t="array" ref="E2333">_xlfn.XLOOKUP(D2333,SKU_Master!A:A,SKU_Master!B:B,"Not on master")</f>
        <v>0</v>
      </c>
      <c r="F2333" cm="1">
        <f t="array" ref="F2333">_xlfn.XLOOKUP(C2333,Account_Master!A:A,Account_Master!B:B,"Not on master")</f>
        <v>0</v>
      </c>
      <c r="G2333" cm="1">
        <f t="array" ref="G2333">_xlfn.XLOOKUP(C2333,Account_Master!A:A,Account_Master!C:C,"Not on master")</f>
        <v>0</v>
      </c>
      <c r="H2333" s="6">
        <v>2.25</v>
      </c>
      <c r="I2333" s="6">
        <v>2.25</v>
      </c>
      <c r="J2333" s="6">
        <f>I2333-H2333</f>
        <v>0</v>
      </c>
      <c r="K2333" s="5">
        <f>IF(H2333=0,"",J2333/H2333)</f>
        <v>0</v>
      </c>
      <c r="L2333">
        <f>IF(OR(AND(H2333=0,ABS(J2333)&gt;=0.01),AND(H2333&lt;&gt;0,ABS(K2333)&gt;VarianceThreshold)),"Review","OK")</f>
        <v>0</v>
      </c>
      <c r="M2333" t="s">
        <v>33</v>
      </c>
    </row>
    <row r="2334" spans="1:13">
      <c r="A2334" t="s">
        <v>3</v>
      </c>
      <c r="B2334" t="s">
        <v>708</v>
      </c>
      <c r="C2334" t="s">
        <v>2035</v>
      </c>
      <c r="D2334" t="s">
        <v>1140</v>
      </c>
      <c r="E2334" cm="1">
        <f t="array" ref="E2334">_xlfn.XLOOKUP(D2334,SKU_Master!A:A,SKU_Master!B:B,"Not on master")</f>
        <v>0</v>
      </c>
      <c r="F2334" cm="1">
        <f t="array" ref="F2334">_xlfn.XLOOKUP(C2334,Account_Master!A:A,Account_Master!B:B,"Not on master")</f>
        <v>0</v>
      </c>
      <c r="G2334" cm="1">
        <f t="array" ref="G2334">_xlfn.XLOOKUP(C2334,Account_Master!A:A,Account_Master!C:C,"Not on master")</f>
        <v>0</v>
      </c>
      <c r="H2334" s="6">
        <v>1.5</v>
      </c>
      <c r="I2334" s="6">
        <v>1.5</v>
      </c>
      <c r="J2334" s="6">
        <f>I2334-H2334</f>
        <v>0</v>
      </c>
      <c r="K2334" s="5">
        <f>IF(H2334=0,"",J2334/H2334)</f>
        <v>0</v>
      </c>
      <c r="L2334">
        <f>IF(OR(AND(H2334=0,ABS(J2334)&gt;=0.01),AND(H2334&lt;&gt;0,ABS(K2334)&gt;VarianceThreshold)),"Review","OK")</f>
        <v>0</v>
      </c>
      <c r="M2334" t="s">
        <v>33</v>
      </c>
    </row>
    <row r="2335" spans="1:13">
      <c r="A2335" t="s">
        <v>3</v>
      </c>
      <c r="B2335" t="s">
        <v>708</v>
      </c>
      <c r="C2335" t="s">
        <v>2035</v>
      </c>
      <c r="D2335" t="s">
        <v>522</v>
      </c>
      <c r="E2335" cm="1">
        <f t="array" ref="E2335">_xlfn.XLOOKUP(D2335,SKU_Master!A:A,SKU_Master!B:B,"Not on master")</f>
        <v>0</v>
      </c>
      <c r="F2335" cm="1">
        <f t="array" ref="F2335">_xlfn.XLOOKUP(C2335,Account_Master!A:A,Account_Master!B:B,"Not on master")</f>
        <v>0</v>
      </c>
      <c r="G2335" cm="1">
        <f t="array" ref="G2335">_xlfn.XLOOKUP(C2335,Account_Master!A:A,Account_Master!C:C,"Not on master")</f>
        <v>0</v>
      </c>
      <c r="H2335" s="6">
        <v>4.5</v>
      </c>
      <c r="I2335" s="6">
        <v>4.5</v>
      </c>
      <c r="J2335" s="6">
        <f>I2335-H2335</f>
        <v>0</v>
      </c>
      <c r="K2335" s="5">
        <f>IF(H2335=0,"",J2335/H2335)</f>
        <v>0</v>
      </c>
      <c r="L2335">
        <f>IF(OR(AND(H2335=0,ABS(J2335)&gt;=0.01),AND(H2335&lt;&gt;0,ABS(K2335)&gt;VarianceThreshold)),"Review","OK")</f>
        <v>0</v>
      </c>
      <c r="M2335" t="s">
        <v>33</v>
      </c>
    </row>
    <row r="2336" spans="1:13">
      <c r="A2336" t="s">
        <v>3</v>
      </c>
      <c r="B2336" t="s">
        <v>708</v>
      </c>
      <c r="C2336" t="s">
        <v>2055</v>
      </c>
      <c r="D2336" t="s">
        <v>142</v>
      </c>
      <c r="E2336" cm="1">
        <f t="array" ref="E2336">_xlfn.XLOOKUP(D2336,SKU_Master!A:A,SKU_Master!B:B,"Not on master")</f>
        <v>0</v>
      </c>
      <c r="F2336" cm="1">
        <f t="array" ref="F2336">_xlfn.XLOOKUP(C2336,Account_Master!A:A,Account_Master!B:B,"Not on master")</f>
        <v>0</v>
      </c>
      <c r="G2336" cm="1">
        <f t="array" ref="G2336">_xlfn.XLOOKUP(C2336,Account_Master!A:A,Account_Master!C:C,"Not on master")</f>
        <v>0</v>
      </c>
      <c r="H2336" s="6">
        <v>2.25</v>
      </c>
      <c r="I2336" s="6">
        <v>2.25</v>
      </c>
      <c r="J2336" s="6">
        <f>I2336-H2336</f>
        <v>0</v>
      </c>
      <c r="K2336" s="5">
        <f>IF(H2336=0,"",J2336/H2336)</f>
        <v>0</v>
      </c>
      <c r="L2336">
        <f>IF(OR(AND(H2336=0,ABS(J2336)&gt;=0.01),AND(H2336&lt;&gt;0,ABS(K2336)&gt;VarianceThreshold)),"Review","OK")</f>
        <v>0</v>
      </c>
      <c r="M2336" t="s">
        <v>33</v>
      </c>
    </row>
    <row r="2337" spans="1:13">
      <c r="A2337" t="s">
        <v>3</v>
      </c>
      <c r="B2337" t="s">
        <v>708</v>
      </c>
      <c r="C2337" t="s">
        <v>2188</v>
      </c>
      <c r="D2337" t="s">
        <v>2300</v>
      </c>
      <c r="E2337" cm="1">
        <f t="array" ref="E2337">_xlfn.XLOOKUP(D2337,SKU_Master!A:A,SKU_Master!B:B,"Not on master")</f>
        <v>0</v>
      </c>
      <c r="F2337" cm="1">
        <f t="array" ref="F2337">_xlfn.XLOOKUP(C2337,Account_Master!A:A,Account_Master!B:B,"Not on master")</f>
        <v>0</v>
      </c>
      <c r="G2337" cm="1">
        <f t="array" ref="G2337">_xlfn.XLOOKUP(C2337,Account_Master!A:A,Account_Master!C:C,"Not on master")</f>
        <v>0</v>
      </c>
      <c r="H2337" s="6">
        <v>35</v>
      </c>
      <c r="I2337" s="6">
        <v>35</v>
      </c>
      <c r="J2337" s="6">
        <f>I2337-H2337</f>
        <v>0</v>
      </c>
      <c r="K2337" s="5">
        <f>IF(H2337=0,"",J2337/H2337)</f>
        <v>0</v>
      </c>
      <c r="L2337">
        <f>IF(OR(AND(H2337=0,ABS(J2337)&gt;=0.01),AND(H2337&lt;&gt;0,ABS(K2337)&gt;VarianceThreshold)),"Review","OK")</f>
        <v>0</v>
      </c>
      <c r="M2337" t="s">
        <v>33</v>
      </c>
    </row>
    <row r="2338" spans="1:13">
      <c r="A2338" t="s">
        <v>3</v>
      </c>
      <c r="B2338" t="s">
        <v>708</v>
      </c>
      <c r="C2338" t="s">
        <v>2301</v>
      </c>
      <c r="D2338" t="s">
        <v>2302</v>
      </c>
      <c r="E2338" cm="1">
        <f t="array" ref="E2338">_xlfn.XLOOKUP(D2338,SKU_Master!A:A,SKU_Master!B:B,"Not on master")</f>
        <v>0</v>
      </c>
      <c r="F2338" cm="1">
        <f t="array" ref="F2338">_xlfn.XLOOKUP(C2338,Account_Master!A:A,Account_Master!B:B,"Not on master")</f>
        <v>0</v>
      </c>
      <c r="G2338" cm="1">
        <f t="array" ref="G2338">_xlfn.XLOOKUP(C2338,Account_Master!A:A,Account_Master!C:C,"Not on master")</f>
        <v>0</v>
      </c>
      <c r="H2338" s="6">
        <v>27</v>
      </c>
      <c r="I2338" s="6">
        <v>27</v>
      </c>
      <c r="J2338" s="6">
        <f>I2338-H2338</f>
        <v>0</v>
      </c>
      <c r="K2338" s="5">
        <f>IF(H2338=0,"",J2338/H2338)</f>
        <v>0</v>
      </c>
      <c r="L2338">
        <f>IF(OR(AND(H2338=0,ABS(J2338)&gt;=0.01),AND(H2338&lt;&gt;0,ABS(K2338)&gt;VarianceThreshold)),"Review","OK")</f>
        <v>0</v>
      </c>
      <c r="M2338" t="s">
        <v>33</v>
      </c>
    </row>
    <row r="2339" spans="1:13">
      <c r="A2339" t="s">
        <v>3</v>
      </c>
      <c r="B2339" t="s">
        <v>708</v>
      </c>
      <c r="C2339" t="s">
        <v>2096</v>
      </c>
      <c r="D2339" t="s">
        <v>2303</v>
      </c>
      <c r="E2339" cm="1">
        <f t="array" ref="E2339">_xlfn.XLOOKUP(D2339,SKU_Master!A:A,SKU_Master!B:B,"Not on master")</f>
        <v>0</v>
      </c>
      <c r="F2339" cm="1">
        <f t="array" ref="F2339">_xlfn.XLOOKUP(C2339,Account_Master!A:A,Account_Master!B:B,"Not on master")</f>
        <v>0</v>
      </c>
      <c r="G2339" cm="1">
        <f t="array" ref="G2339">_xlfn.XLOOKUP(C2339,Account_Master!A:A,Account_Master!C:C,"Not on master")</f>
        <v>0</v>
      </c>
      <c r="H2339" s="6">
        <v>1.5</v>
      </c>
      <c r="I2339" s="6">
        <v>1.5</v>
      </c>
      <c r="J2339" s="6">
        <f>I2339-H2339</f>
        <v>0</v>
      </c>
      <c r="K2339" s="5">
        <f>IF(H2339=0,"",J2339/H2339)</f>
        <v>0</v>
      </c>
      <c r="L2339">
        <f>IF(OR(AND(H2339=0,ABS(J2339)&gt;=0.01),AND(H2339&lt;&gt;0,ABS(K2339)&gt;VarianceThreshold)),"Review","OK")</f>
        <v>0</v>
      </c>
      <c r="M2339" t="s">
        <v>33</v>
      </c>
    </row>
    <row r="2340" spans="1:13">
      <c r="A2340" t="s">
        <v>3</v>
      </c>
      <c r="B2340" t="s">
        <v>708</v>
      </c>
      <c r="C2340" t="s">
        <v>2013</v>
      </c>
      <c r="D2340" t="s">
        <v>1001</v>
      </c>
      <c r="E2340" cm="1">
        <f t="array" ref="E2340">_xlfn.XLOOKUP(D2340,SKU_Master!A:A,SKU_Master!B:B,"Not on master")</f>
        <v>0</v>
      </c>
      <c r="F2340" cm="1">
        <f t="array" ref="F2340">_xlfn.XLOOKUP(C2340,Account_Master!A:A,Account_Master!B:B,"Not on master")</f>
        <v>0</v>
      </c>
      <c r="G2340" cm="1">
        <f t="array" ref="G2340">_xlfn.XLOOKUP(C2340,Account_Master!A:A,Account_Master!C:C,"Not on master")</f>
        <v>0</v>
      </c>
      <c r="H2340" s="6">
        <v>9</v>
      </c>
      <c r="I2340" s="6">
        <v>9</v>
      </c>
      <c r="J2340" s="6">
        <f>I2340-H2340</f>
        <v>0</v>
      </c>
      <c r="K2340" s="5">
        <f>IF(H2340=0,"",J2340/H2340)</f>
        <v>0</v>
      </c>
      <c r="L2340">
        <f>IF(OR(AND(H2340=0,ABS(J2340)&gt;=0.01),AND(H2340&lt;&gt;0,ABS(K2340)&gt;VarianceThreshold)),"Review","OK")</f>
        <v>0</v>
      </c>
      <c r="M2340" t="s">
        <v>33</v>
      </c>
    </row>
    <row r="2341" spans="1:13">
      <c r="A2341" t="s">
        <v>3</v>
      </c>
      <c r="B2341" t="s">
        <v>719</v>
      </c>
      <c r="C2341" t="s">
        <v>2052</v>
      </c>
      <c r="D2341" t="s">
        <v>1948</v>
      </c>
      <c r="E2341" cm="1">
        <f t="array" ref="E2341">_xlfn.XLOOKUP(D2341,SKU_Master!A:A,SKU_Master!B:B,"Not on master")</f>
        <v>0</v>
      </c>
      <c r="F2341" cm="1">
        <f t="array" ref="F2341">_xlfn.XLOOKUP(C2341,Account_Master!A:A,Account_Master!B:B,"Not on master")</f>
        <v>0</v>
      </c>
      <c r="G2341" cm="1">
        <f t="array" ref="G2341">_xlfn.XLOOKUP(C2341,Account_Master!A:A,Account_Master!C:C,"Not on master")</f>
        <v>0</v>
      </c>
      <c r="H2341" s="6">
        <v>31</v>
      </c>
      <c r="I2341" s="6">
        <v>31</v>
      </c>
      <c r="J2341" s="6">
        <f>I2341-H2341</f>
        <v>0</v>
      </c>
      <c r="K2341" s="5">
        <f>IF(H2341=0,"",J2341/H2341)</f>
        <v>0</v>
      </c>
      <c r="L2341">
        <f>IF(OR(AND(H2341=0,ABS(J2341)&gt;=0.01),AND(H2341&lt;&gt;0,ABS(K2341)&gt;VarianceThreshold)),"Review","OK")</f>
        <v>0</v>
      </c>
      <c r="M2341" t="s">
        <v>33</v>
      </c>
    </row>
    <row r="2342" spans="1:13">
      <c r="A2342" t="s">
        <v>3</v>
      </c>
      <c r="B2342" t="s">
        <v>719</v>
      </c>
      <c r="C2342" t="s">
        <v>2022</v>
      </c>
      <c r="D2342" t="s">
        <v>731</v>
      </c>
      <c r="E2342" cm="1">
        <f t="array" ref="E2342">_xlfn.XLOOKUP(D2342,SKU_Master!A:A,SKU_Master!B:B,"Not on master")</f>
        <v>0</v>
      </c>
      <c r="F2342" cm="1">
        <f t="array" ref="F2342">_xlfn.XLOOKUP(C2342,Account_Master!A:A,Account_Master!B:B,"Not on master")</f>
        <v>0</v>
      </c>
      <c r="G2342" cm="1">
        <f t="array" ref="G2342">_xlfn.XLOOKUP(C2342,Account_Master!A:A,Account_Master!C:C,"Not on master")</f>
        <v>0</v>
      </c>
      <c r="H2342" s="6">
        <v>220.5</v>
      </c>
      <c r="I2342" s="6">
        <v>220.5</v>
      </c>
      <c r="J2342" s="6">
        <f>I2342-H2342</f>
        <v>0</v>
      </c>
      <c r="K2342" s="5">
        <f>IF(H2342=0,"",J2342/H2342)</f>
        <v>0</v>
      </c>
      <c r="L2342">
        <f>IF(OR(AND(H2342=0,ABS(J2342)&gt;=0.01),AND(H2342&lt;&gt;0,ABS(K2342)&gt;VarianceThreshold)),"Review","OK")</f>
        <v>0</v>
      </c>
      <c r="M2342" t="s">
        <v>33</v>
      </c>
    </row>
    <row r="2343" spans="1:13">
      <c r="A2343" t="s">
        <v>3</v>
      </c>
      <c r="B2343" t="s">
        <v>719</v>
      </c>
      <c r="C2343" t="s">
        <v>2022</v>
      </c>
      <c r="D2343" t="s">
        <v>127</v>
      </c>
      <c r="E2343" cm="1">
        <f t="array" ref="E2343">_xlfn.XLOOKUP(D2343,SKU_Master!A:A,SKU_Master!B:B,"Not on master")</f>
        <v>0</v>
      </c>
      <c r="F2343" cm="1">
        <f t="array" ref="F2343">_xlfn.XLOOKUP(C2343,Account_Master!A:A,Account_Master!B:B,"Not on master")</f>
        <v>0</v>
      </c>
      <c r="G2343" cm="1">
        <f t="array" ref="G2343">_xlfn.XLOOKUP(C2343,Account_Master!A:A,Account_Master!C:C,"Not on master")</f>
        <v>0</v>
      </c>
      <c r="H2343" s="6">
        <v>432.75</v>
      </c>
      <c r="I2343" s="6">
        <v>432.75</v>
      </c>
      <c r="J2343" s="6">
        <f>I2343-H2343</f>
        <v>0</v>
      </c>
      <c r="K2343" s="5">
        <f>IF(H2343=0,"",J2343/H2343)</f>
        <v>0</v>
      </c>
      <c r="L2343">
        <f>IF(OR(AND(H2343=0,ABS(J2343)&gt;=0.01),AND(H2343&lt;&gt;0,ABS(K2343)&gt;VarianceThreshold)),"Review","OK")</f>
        <v>0</v>
      </c>
      <c r="M2343" t="s">
        <v>33</v>
      </c>
    </row>
    <row r="2344" spans="1:13">
      <c r="A2344" t="s">
        <v>3</v>
      </c>
      <c r="B2344" t="s">
        <v>719</v>
      </c>
      <c r="C2344" t="s">
        <v>2082</v>
      </c>
      <c r="D2344" t="s">
        <v>1903</v>
      </c>
      <c r="E2344" cm="1">
        <f t="array" ref="E2344">_xlfn.XLOOKUP(D2344,SKU_Master!A:A,SKU_Master!B:B,"Not on master")</f>
        <v>0</v>
      </c>
      <c r="F2344" cm="1">
        <f t="array" ref="F2344">_xlfn.XLOOKUP(C2344,Account_Master!A:A,Account_Master!B:B,"Not on master")</f>
        <v>0</v>
      </c>
      <c r="G2344" cm="1">
        <f t="array" ref="G2344">_xlfn.XLOOKUP(C2344,Account_Master!A:A,Account_Master!C:C,"Not on master")</f>
        <v>0</v>
      </c>
      <c r="H2344" s="6">
        <v>27</v>
      </c>
      <c r="I2344" s="6">
        <v>27</v>
      </c>
      <c r="J2344" s="6">
        <f>I2344-H2344</f>
        <v>0</v>
      </c>
      <c r="K2344" s="5">
        <f>IF(H2344=0,"",J2344/H2344)</f>
        <v>0</v>
      </c>
      <c r="L2344">
        <f>IF(OR(AND(H2344=0,ABS(J2344)&gt;=0.01),AND(H2344&lt;&gt;0,ABS(K2344)&gt;VarianceThreshold)),"Review","OK")</f>
        <v>0</v>
      </c>
      <c r="M2344" t="s">
        <v>33</v>
      </c>
    </row>
    <row r="2345" spans="1:13">
      <c r="A2345" t="s">
        <v>3</v>
      </c>
      <c r="B2345" t="s">
        <v>719</v>
      </c>
      <c r="C2345" t="s">
        <v>2013</v>
      </c>
      <c r="D2345" t="s">
        <v>498</v>
      </c>
      <c r="E2345" cm="1">
        <f t="array" ref="E2345">_xlfn.XLOOKUP(D2345,SKU_Master!A:A,SKU_Master!B:B,"Not on master")</f>
        <v>0</v>
      </c>
      <c r="F2345" cm="1">
        <f t="array" ref="F2345">_xlfn.XLOOKUP(C2345,Account_Master!A:A,Account_Master!B:B,"Not on master")</f>
        <v>0</v>
      </c>
      <c r="G2345" cm="1">
        <f t="array" ref="G2345">_xlfn.XLOOKUP(C2345,Account_Master!A:A,Account_Master!C:C,"Not on master")</f>
        <v>0</v>
      </c>
      <c r="H2345" s="6">
        <v>14</v>
      </c>
      <c r="I2345" s="6">
        <v>14</v>
      </c>
      <c r="J2345" s="6">
        <f>I2345-H2345</f>
        <v>0</v>
      </c>
      <c r="K2345" s="5">
        <f>IF(H2345=0,"",J2345/H2345)</f>
        <v>0</v>
      </c>
      <c r="L2345">
        <f>IF(OR(AND(H2345=0,ABS(J2345)&gt;=0.01),AND(H2345&lt;&gt;0,ABS(K2345)&gt;VarianceThreshold)),"Review","OK")</f>
        <v>0</v>
      </c>
      <c r="M2345" t="s">
        <v>33</v>
      </c>
    </row>
    <row r="2346" spans="1:13">
      <c r="A2346" t="s">
        <v>3</v>
      </c>
      <c r="B2346" t="s">
        <v>727</v>
      </c>
      <c r="C2346" t="s">
        <v>2052</v>
      </c>
      <c r="D2346" t="s">
        <v>32</v>
      </c>
      <c r="E2346" cm="1">
        <f t="array" ref="E2346">_xlfn.XLOOKUP(D2346,SKU_Master!A:A,SKU_Master!B:B,"Not on master")</f>
        <v>0</v>
      </c>
      <c r="F2346" cm="1">
        <f t="array" ref="F2346">_xlfn.XLOOKUP(C2346,Account_Master!A:A,Account_Master!B:B,"Not on master")</f>
        <v>0</v>
      </c>
      <c r="G2346" cm="1">
        <f t="array" ref="G2346">_xlfn.XLOOKUP(C2346,Account_Master!A:A,Account_Master!C:C,"Not on master")</f>
        <v>0</v>
      </c>
      <c r="H2346" s="6">
        <v>0.75</v>
      </c>
      <c r="I2346" s="6">
        <v>0.75</v>
      </c>
      <c r="J2346" s="6">
        <f>I2346-H2346</f>
        <v>0</v>
      </c>
      <c r="K2346" s="5">
        <f>IF(H2346=0,"",J2346/H2346)</f>
        <v>0</v>
      </c>
      <c r="L2346">
        <f>IF(OR(AND(H2346=0,ABS(J2346)&gt;=0.01),AND(H2346&lt;&gt;0,ABS(K2346)&gt;VarianceThreshold)),"Review","OK")</f>
        <v>0</v>
      </c>
      <c r="M2346" t="s">
        <v>33</v>
      </c>
    </row>
    <row r="2347" spans="1:13">
      <c r="A2347" t="s">
        <v>3</v>
      </c>
      <c r="B2347" t="s">
        <v>727</v>
      </c>
      <c r="C2347" t="s">
        <v>2013</v>
      </c>
      <c r="D2347" t="s">
        <v>2304</v>
      </c>
      <c r="E2347" cm="1">
        <f t="array" ref="E2347">_xlfn.XLOOKUP(D2347,SKU_Master!A:A,SKU_Master!B:B,"Not on master")</f>
        <v>0</v>
      </c>
      <c r="F2347" cm="1">
        <f t="array" ref="F2347">_xlfn.XLOOKUP(C2347,Account_Master!A:A,Account_Master!B:B,"Not on master")</f>
        <v>0</v>
      </c>
      <c r="G2347" cm="1">
        <f t="array" ref="G2347">_xlfn.XLOOKUP(C2347,Account_Master!A:A,Account_Master!C:C,"Not on master")</f>
        <v>0</v>
      </c>
      <c r="H2347" s="6">
        <v>4.5</v>
      </c>
      <c r="I2347" s="6">
        <v>4.5</v>
      </c>
      <c r="J2347" s="6">
        <f>I2347-H2347</f>
        <v>0</v>
      </c>
      <c r="K2347" s="5">
        <f>IF(H2347=0,"",J2347/H2347)</f>
        <v>0</v>
      </c>
      <c r="L2347">
        <f>IF(OR(AND(H2347=0,ABS(J2347)&gt;=0.01),AND(H2347&lt;&gt;0,ABS(K2347)&gt;VarianceThreshold)),"Review","OK")</f>
        <v>0</v>
      </c>
      <c r="M2347" t="s">
        <v>33</v>
      </c>
    </row>
    <row r="2348" spans="1:13">
      <c r="A2348" t="s">
        <v>3</v>
      </c>
      <c r="B2348" t="s">
        <v>727</v>
      </c>
      <c r="C2348" t="s">
        <v>2096</v>
      </c>
      <c r="D2348" t="s">
        <v>2305</v>
      </c>
      <c r="E2348" cm="1">
        <f t="array" ref="E2348">_xlfn.XLOOKUP(D2348,SKU_Master!A:A,SKU_Master!B:B,"Not on master")</f>
        <v>0</v>
      </c>
      <c r="F2348" cm="1">
        <f t="array" ref="F2348">_xlfn.XLOOKUP(C2348,Account_Master!A:A,Account_Master!B:B,"Not on master")</f>
        <v>0</v>
      </c>
      <c r="G2348" cm="1">
        <f t="array" ref="G2348">_xlfn.XLOOKUP(C2348,Account_Master!A:A,Account_Master!C:C,"Not on master")</f>
        <v>0</v>
      </c>
      <c r="H2348" s="6">
        <v>6</v>
      </c>
      <c r="I2348" s="6">
        <v>6</v>
      </c>
      <c r="J2348" s="6">
        <f>I2348-H2348</f>
        <v>0</v>
      </c>
      <c r="K2348" s="5">
        <f>IF(H2348=0,"",J2348/H2348)</f>
        <v>0</v>
      </c>
      <c r="L2348">
        <f>IF(OR(AND(H2348=0,ABS(J2348)&gt;=0.01),AND(H2348&lt;&gt;0,ABS(K2348)&gt;VarianceThreshold)),"Review","OK")</f>
        <v>0</v>
      </c>
      <c r="M2348" t="s">
        <v>33</v>
      </c>
    </row>
    <row r="2349" spans="1:13">
      <c r="A2349" t="s">
        <v>3</v>
      </c>
      <c r="B2349" t="s">
        <v>727</v>
      </c>
      <c r="C2349" t="s">
        <v>2030</v>
      </c>
      <c r="D2349" t="s">
        <v>2306</v>
      </c>
      <c r="E2349" cm="1">
        <f t="array" ref="E2349">_xlfn.XLOOKUP(D2349,SKU_Master!A:A,SKU_Master!B:B,"Not on master")</f>
        <v>0</v>
      </c>
      <c r="F2349" cm="1">
        <f t="array" ref="F2349">_xlfn.XLOOKUP(C2349,Account_Master!A:A,Account_Master!B:B,"Not on master")</f>
        <v>0</v>
      </c>
      <c r="G2349" cm="1">
        <f t="array" ref="G2349">_xlfn.XLOOKUP(C2349,Account_Master!A:A,Account_Master!C:C,"Not on master")</f>
        <v>0</v>
      </c>
      <c r="H2349" s="6">
        <v>10.5</v>
      </c>
      <c r="I2349" s="6">
        <v>10.5</v>
      </c>
      <c r="J2349" s="6">
        <f>I2349-H2349</f>
        <v>0</v>
      </c>
      <c r="K2349" s="5">
        <f>IF(H2349=0,"",J2349/H2349)</f>
        <v>0</v>
      </c>
      <c r="L2349">
        <f>IF(OR(AND(H2349=0,ABS(J2349)&gt;=0.01),AND(H2349&lt;&gt;0,ABS(K2349)&gt;VarianceThreshold)),"Review","OK")</f>
        <v>0</v>
      </c>
      <c r="M2349" t="s">
        <v>33</v>
      </c>
    </row>
    <row r="2350" spans="1:13">
      <c r="A2350" t="s">
        <v>3</v>
      </c>
      <c r="B2350" t="s">
        <v>734</v>
      </c>
      <c r="C2350" t="s">
        <v>2247</v>
      </c>
      <c r="D2350" t="s">
        <v>336</v>
      </c>
      <c r="E2350" cm="1">
        <f t="array" ref="E2350">_xlfn.XLOOKUP(D2350,SKU_Master!A:A,SKU_Master!B:B,"Not on master")</f>
        <v>0</v>
      </c>
      <c r="F2350" cm="1">
        <f t="array" ref="F2350">_xlfn.XLOOKUP(C2350,Account_Master!A:A,Account_Master!B:B,"Not on master")</f>
        <v>0</v>
      </c>
      <c r="G2350" cm="1">
        <f t="array" ref="G2350">_xlfn.XLOOKUP(C2350,Account_Master!A:A,Account_Master!C:C,"Not on master")</f>
        <v>0</v>
      </c>
      <c r="H2350" s="6">
        <v>103.5</v>
      </c>
      <c r="I2350" s="6">
        <v>103.5</v>
      </c>
      <c r="J2350" s="6">
        <f>I2350-H2350</f>
        <v>0</v>
      </c>
      <c r="K2350" s="5">
        <f>IF(H2350=0,"",J2350/H2350)</f>
        <v>0</v>
      </c>
      <c r="L2350">
        <f>IF(OR(AND(H2350=0,ABS(J2350)&gt;=0.01),AND(H2350&lt;&gt;0,ABS(K2350)&gt;VarianceThreshold)),"Review","OK")</f>
        <v>0</v>
      </c>
      <c r="M2350" t="s">
        <v>33</v>
      </c>
    </row>
    <row r="2351" spans="1:13">
      <c r="A2351" t="s">
        <v>3</v>
      </c>
      <c r="B2351" t="s">
        <v>734</v>
      </c>
      <c r="C2351" t="s">
        <v>2106</v>
      </c>
      <c r="D2351" t="s">
        <v>1189</v>
      </c>
      <c r="E2351" cm="1">
        <f t="array" ref="E2351">_xlfn.XLOOKUP(D2351,SKU_Master!A:A,SKU_Master!B:B,"Not on master")</f>
        <v>0</v>
      </c>
      <c r="F2351" cm="1">
        <f t="array" ref="F2351">_xlfn.XLOOKUP(C2351,Account_Master!A:A,Account_Master!B:B,"Not on master")</f>
        <v>0</v>
      </c>
      <c r="G2351" cm="1">
        <f t="array" ref="G2351">_xlfn.XLOOKUP(C2351,Account_Master!A:A,Account_Master!C:C,"Not on master")</f>
        <v>0</v>
      </c>
      <c r="H2351" s="6">
        <v>21</v>
      </c>
      <c r="I2351" s="6">
        <v>21</v>
      </c>
      <c r="J2351" s="6">
        <f>I2351-H2351</f>
        <v>0</v>
      </c>
      <c r="K2351" s="5">
        <f>IF(H2351=0,"",J2351/H2351)</f>
        <v>0</v>
      </c>
      <c r="L2351">
        <f>IF(OR(AND(H2351=0,ABS(J2351)&gt;=0.01),AND(H2351&lt;&gt;0,ABS(K2351)&gt;VarianceThreshold)),"Review","OK")</f>
        <v>0</v>
      </c>
      <c r="M2351" t="s">
        <v>33</v>
      </c>
    </row>
    <row r="2352" spans="1:13">
      <c r="A2352" t="s">
        <v>3</v>
      </c>
      <c r="B2352" t="s">
        <v>734</v>
      </c>
      <c r="C2352" t="s">
        <v>2013</v>
      </c>
      <c r="D2352" t="s">
        <v>449</v>
      </c>
      <c r="E2352" cm="1">
        <f t="array" ref="E2352">_xlfn.XLOOKUP(D2352,SKU_Master!A:A,SKU_Master!B:B,"Not on master")</f>
        <v>0</v>
      </c>
      <c r="F2352" cm="1">
        <f t="array" ref="F2352">_xlfn.XLOOKUP(C2352,Account_Master!A:A,Account_Master!B:B,"Not on master")</f>
        <v>0</v>
      </c>
      <c r="G2352" cm="1">
        <f t="array" ref="G2352">_xlfn.XLOOKUP(C2352,Account_Master!A:A,Account_Master!C:C,"Not on master")</f>
        <v>0</v>
      </c>
      <c r="H2352" s="6">
        <v>12.75</v>
      </c>
      <c r="I2352" s="6">
        <v>12.75</v>
      </c>
      <c r="J2352" s="6">
        <f>I2352-H2352</f>
        <v>0</v>
      </c>
      <c r="K2352" s="5">
        <f>IF(H2352=0,"",J2352/H2352)</f>
        <v>0</v>
      </c>
      <c r="L2352">
        <f>IF(OR(AND(H2352=0,ABS(J2352)&gt;=0.01),AND(H2352&lt;&gt;0,ABS(K2352)&gt;VarianceThreshold)),"Review","OK")</f>
        <v>0</v>
      </c>
      <c r="M2352" t="s">
        <v>33</v>
      </c>
    </row>
    <row r="2353" spans="1:13">
      <c r="A2353" t="s">
        <v>3</v>
      </c>
      <c r="B2353" t="s">
        <v>734</v>
      </c>
      <c r="C2353" t="s">
        <v>2174</v>
      </c>
      <c r="D2353" t="s">
        <v>116</v>
      </c>
      <c r="E2353" cm="1">
        <f t="array" ref="E2353">_xlfn.XLOOKUP(D2353,SKU_Master!A:A,SKU_Master!B:B,"Not on master")</f>
        <v>0</v>
      </c>
      <c r="F2353" cm="1">
        <f t="array" ref="F2353">_xlfn.XLOOKUP(C2353,Account_Master!A:A,Account_Master!B:B,"Not on master")</f>
        <v>0</v>
      </c>
      <c r="G2353" cm="1">
        <f t="array" ref="G2353">_xlfn.XLOOKUP(C2353,Account_Master!A:A,Account_Master!C:C,"Not on master")</f>
        <v>0</v>
      </c>
      <c r="H2353" s="6">
        <v>9</v>
      </c>
      <c r="I2353" s="6">
        <v>9</v>
      </c>
      <c r="J2353" s="6">
        <f>I2353-H2353</f>
        <v>0</v>
      </c>
      <c r="K2353" s="5">
        <f>IF(H2353=0,"",J2353/H2353)</f>
        <v>0</v>
      </c>
      <c r="L2353">
        <f>IF(OR(AND(H2353=0,ABS(J2353)&gt;=0.01),AND(H2353&lt;&gt;0,ABS(K2353)&gt;VarianceThreshold)),"Review","OK")</f>
        <v>0</v>
      </c>
      <c r="M2353" t="s">
        <v>33</v>
      </c>
    </row>
    <row r="2354" spans="1:13">
      <c r="A2354" t="s">
        <v>3</v>
      </c>
      <c r="B2354" t="s">
        <v>734</v>
      </c>
      <c r="C2354" t="s">
        <v>2100</v>
      </c>
      <c r="D2354" t="s">
        <v>2307</v>
      </c>
      <c r="E2354" cm="1">
        <f t="array" ref="E2354">_xlfn.XLOOKUP(D2354,SKU_Master!A:A,SKU_Master!B:B,"Not on master")</f>
        <v>0</v>
      </c>
      <c r="F2354" cm="1">
        <f t="array" ref="F2354">_xlfn.XLOOKUP(C2354,Account_Master!A:A,Account_Master!B:B,"Not on master")</f>
        <v>0</v>
      </c>
      <c r="G2354" cm="1">
        <f t="array" ref="G2354">_xlfn.XLOOKUP(C2354,Account_Master!A:A,Account_Master!C:C,"Not on master")</f>
        <v>0</v>
      </c>
      <c r="H2354" s="6">
        <v>4.8</v>
      </c>
      <c r="I2354" s="6">
        <v>4.8</v>
      </c>
      <c r="J2354" s="6">
        <f>I2354-H2354</f>
        <v>0</v>
      </c>
      <c r="K2354" s="5">
        <f>IF(H2354=0,"",J2354/H2354)</f>
        <v>0</v>
      </c>
      <c r="L2354">
        <f>IF(OR(AND(H2354=0,ABS(J2354)&gt;=0.01),AND(H2354&lt;&gt;0,ABS(K2354)&gt;VarianceThreshold)),"Review","OK")</f>
        <v>0</v>
      </c>
      <c r="M2354" t="s">
        <v>33</v>
      </c>
    </row>
    <row r="2355" spans="1:13">
      <c r="A2355" t="s">
        <v>3</v>
      </c>
      <c r="B2355" t="s">
        <v>734</v>
      </c>
      <c r="C2355" t="s">
        <v>2182</v>
      </c>
      <c r="D2355" t="s">
        <v>630</v>
      </c>
      <c r="E2355" cm="1">
        <f t="array" ref="E2355">_xlfn.XLOOKUP(D2355,SKU_Master!A:A,SKU_Master!B:B,"Not on master")</f>
        <v>0</v>
      </c>
      <c r="F2355" cm="1">
        <f t="array" ref="F2355">_xlfn.XLOOKUP(C2355,Account_Master!A:A,Account_Master!B:B,"Not on master")</f>
        <v>0</v>
      </c>
      <c r="G2355" cm="1">
        <f t="array" ref="G2355">_xlfn.XLOOKUP(C2355,Account_Master!A:A,Account_Master!C:C,"Not on master")</f>
        <v>0</v>
      </c>
      <c r="H2355" s="6">
        <v>10.5</v>
      </c>
      <c r="I2355" s="6">
        <v>10.5</v>
      </c>
      <c r="J2355" s="6">
        <f>I2355-H2355</f>
        <v>0</v>
      </c>
      <c r="K2355" s="5">
        <f>IF(H2355=0,"",J2355/H2355)</f>
        <v>0</v>
      </c>
      <c r="L2355">
        <f>IF(OR(AND(H2355=0,ABS(J2355)&gt;=0.01),AND(H2355&lt;&gt;0,ABS(K2355)&gt;VarianceThreshold)),"Review","OK")</f>
        <v>0</v>
      </c>
      <c r="M2355" t="s">
        <v>33</v>
      </c>
    </row>
    <row r="2356" spans="1:13">
      <c r="A2356" t="s">
        <v>3</v>
      </c>
      <c r="B2356" t="s">
        <v>734</v>
      </c>
      <c r="C2356" t="s">
        <v>2013</v>
      </c>
      <c r="D2356" t="s">
        <v>732</v>
      </c>
      <c r="E2356" cm="1">
        <f t="array" ref="E2356">_xlfn.XLOOKUP(D2356,SKU_Master!A:A,SKU_Master!B:B,"Not on master")</f>
        <v>0</v>
      </c>
      <c r="F2356" cm="1">
        <f t="array" ref="F2356">_xlfn.XLOOKUP(C2356,Account_Master!A:A,Account_Master!B:B,"Not on master")</f>
        <v>0</v>
      </c>
      <c r="G2356" cm="1">
        <f t="array" ref="G2356">_xlfn.XLOOKUP(C2356,Account_Master!A:A,Account_Master!C:C,"Not on master")</f>
        <v>0</v>
      </c>
      <c r="H2356" s="6">
        <v>4.5</v>
      </c>
      <c r="I2356" s="6">
        <v>4.5</v>
      </c>
      <c r="J2356" s="6">
        <f>I2356-H2356</f>
        <v>0</v>
      </c>
      <c r="K2356" s="5">
        <f>IF(H2356=0,"",J2356/H2356)</f>
        <v>0</v>
      </c>
      <c r="L2356">
        <f>IF(OR(AND(H2356=0,ABS(J2356)&gt;=0.01),AND(H2356&lt;&gt;0,ABS(K2356)&gt;VarianceThreshold)),"Review","OK")</f>
        <v>0</v>
      </c>
      <c r="M2356" t="s">
        <v>33</v>
      </c>
    </row>
    <row r="2357" spans="1:13">
      <c r="A2357" t="s">
        <v>3</v>
      </c>
      <c r="B2357" t="s">
        <v>734</v>
      </c>
      <c r="C2357" t="s">
        <v>2308</v>
      </c>
      <c r="D2357" t="s">
        <v>1214</v>
      </c>
      <c r="E2357" cm="1">
        <f t="array" ref="E2357">_xlfn.XLOOKUP(D2357,SKU_Master!A:A,SKU_Master!B:B,"Not on master")</f>
        <v>0</v>
      </c>
      <c r="F2357" cm="1">
        <f t="array" ref="F2357">_xlfn.XLOOKUP(C2357,Account_Master!A:A,Account_Master!B:B,"Not on master")</f>
        <v>0</v>
      </c>
      <c r="G2357" cm="1">
        <f t="array" ref="G2357">_xlfn.XLOOKUP(C2357,Account_Master!A:A,Account_Master!C:C,"Not on master")</f>
        <v>0</v>
      </c>
      <c r="H2357" s="6">
        <v>7.86</v>
      </c>
      <c r="I2357" s="6">
        <v>7.86</v>
      </c>
      <c r="J2357" s="6">
        <f>I2357-H2357</f>
        <v>0</v>
      </c>
      <c r="K2357" s="5">
        <f>IF(H2357=0,"",J2357/H2357)</f>
        <v>0</v>
      </c>
      <c r="L2357">
        <f>IF(OR(AND(H2357=0,ABS(J2357)&gt;=0.01),AND(H2357&lt;&gt;0,ABS(K2357)&gt;VarianceThreshold)),"Review","OK")</f>
        <v>0</v>
      </c>
      <c r="M2357" t="s">
        <v>33</v>
      </c>
    </row>
    <row r="2358" spans="1:13">
      <c r="A2358" t="s">
        <v>3</v>
      </c>
      <c r="B2358" t="s">
        <v>746</v>
      </c>
      <c r="C2358" t="s">
        <v>2116</v>
      </c>
      <c r="D2358" t="s">
        <v>2309</v>
      </c>
      <c r="E2358" cm="1">
        <f t="array" ref="E2358">_xlfn.XLOOKUP(D2358,SKU_Master!A:A,SKU_Master!B:B,"Not on master")</f>
        <v>0</v>
      </c>
      <c r="F2358" cm="1">
        <f t="array" ref="F2358">_xlfn.XLOOKUP(C2358,Account_Master!A:A,Account_Master!B:B,"Not on master")</f>
        <v>0</v>
      </c>
      <c r="G2358" cm="1">
        <f t="array" ref="G2358">_xlfn.XLOOKUP(C2358,Account_Master!A:A,Account_Master!C:C,"Not on master")</f>
        <v>0</v>
      </c>
      <c r="H2358" s="6">
        <v>24</v>
      </c>
      <c r="I2358" s="6">
        <v>24</v>
      </c>
      <c r="J2358" s="6">
        <f>I2358-H2358</f>
        <v>0</v>
      </c>
      <c r="K2358" s="5">
        <f>IF(H2358=0,"",J2358/H2358)</f>
        <v>0</v>
      </c>
      <c r="L2358">
        <f>IF(OR(AND(H2358=0,ABS(J2358)&gt;=0.01),AND(H2358&lt;&gt;0,ABS(K2358)&gt;VarianceThreshold)),"Review","OK")</f>
        <v>0</v>
      </c>
      <c r="M2358" t="s">
        <v>33</v>
      </c>
    </row>
    <row r="2359" spans="1:13">
      <c r="A2359" t="s">
        <v>3</v>
      </c>
      <c r="B2359" t="s">
        <v>746</v>
      </c>
      <c r="C2359" t="s">
        <v>2022</v>
      </c>
      <c r="D2359" t="s">
        <v>2310</v>
      </c>
      <c r="E2359" cm="1">
        <f t="array" ref="E2359">_xlfn.XLOOKUP(D2359,SKU_Master!A:A,SKU_Master!B:B,"Not on master")</f>
        <v>0</v>
      </c>
      <c r="F2359" cm="1">
        <f t="array" ref="F2359">_xlfn.XLOOKUP(C2359,Account_Master!A:A,Account_Master!B:B,"Not on master")</f>
        <v>0</v>
      </c>
      <c r="G2359" cm="1">
        <f t="array" ref="G2359">_xlfn.XLOOKUP(C2359,Account_Master!A:A,Account_Master!C:C,"Not on master")</f>
        <v>0</v>
      </c>
      <c r="H2359" s="6">
        <v>12</v>
      </c>
      <c r="I2359" s="6">
        <v>12</v>
      </c>
      <c r="J2359" s="6">
        <f>I2359-H2359</f>
        <v>0</v>
      </c>
      <c r="K2359" s="5">
        <f>IF(H2359=0,"",J2359/H2359)</f>
        <v>0</v>
      </c>
      <c r="L2359">
        <f>IF(OR(AND(H2359=0,ABS(J2359)&gt;=0.01),AND(H2359&lt;&gt;0,ABS(K2359)&gt;VarianceThreshold)),"Review","OK")</f>
        <v>0</v>
      </c>
      <c r="M2359" t="s">
        <v>33</v>
      </c>
    </row>
    <row r="2360" spans="1:13">
      <c r="A2360" t="s">
        <v>3</v>
      </c>
      <c r="B2360" t="s">
        <v>755</v>
      </c>
      <c r="C2360" t="s">
        <v>2013</v>
      </c>
      <c r="D2360" t="s">
        <v>2311</v>
      </c>
      <c r="E2360" cm="1">
        <f t="array" ref="E2360">_xlfn.XLOOKUP(D2360,SKU_Master!A:A,SKU_Master!B:B,"Not on master")</f>
        <v>0</v>
      </c>
      <c r="F2360" cm="1">
        <f t="array" ref="F2360">_xlfn.XLOOKUP(C2360,Account_Master!A:A,Account_Master!B:B,"Not on master")</f>
        <v>0</v>
      </c>
      <c r="G2360" cm="1">
        <f t="array" ref="G2360">_xlfn.XLOOKUP(C2360,Account_Master!A:A,Account_Master!C:C,"Not on master")</f>
        <v>0</v>
      </c>
      <c r="H2360" s="6">
        <v>0.05</v>
      </c>
      <c r="I2360" s="6">
        <v>0.05</v>
      </c>
      <c r="J2360" s="6">
        <f>I2360-H2360</f>
        <v>0</v>
      </c>
      <c r="K2360" s="5">
        <f>IF(H2360=0,"",J2360/H2360)</f>
        <v>0</v>
      </c>
      <c r="L2360">
        <f>IF(OR(AND(H2360=0,ABS(J2360)&gt;=0.01),AND(H2360&lt;&gt;0,ABS(K2360)&gt;VarianceThreshold)),"Review","OK")</f>
        <v>0</v>
      </c>
      <c r="M2360" t="s">
        <v>33</v>
      </c>
    </row>
    <row r="2361" spans="1:13">
      <c r="A2361" t="s">
        <v>3</v>
      </c>
      <c r="B2361" t="s">
        <v>755</v>
      </c>
      <c r="C2361" t="s">
        <v>2299</v>
      </c>
      <c r="D2361" t="s">
        <v>560</v>
      </c>
      <c r="E2361" cm="1">
        <f t="array" ref="E2361">_xlfn.XLOOKUP(D2361,SKU_Master!A:A,SKU_Master!B:B,"Not on master")</f>
        <v>0</v>
      </c>
      <c r="F2361" cm="1">
        <f t="array" ref="F2361">_xlfn.XLOOKUP(C2361,Account_Master!A:A,Account_Master!B:B,"Not on master")</f>
        <v>0</v>
      </c>
      <c r="G2361" cm="1">
        <f t="array" ref="G2361">_xlfn.XLOOKUP(C2361,Account_Master!A:A,Account_Master!C:C,"Not on master")</f>
        <v>0</v>
      </c>
      <c r="H2361" s="6">
        <v>0.05</v>
      </c>
      <c r="I2361" s="6">
        <v>0.05</v>
      </c>
      <c r="J2361" s="6">
        <f>I2361-H2361</f>
        <v>0</v>
      </c>
      <c r="K2361" s="5">
        <f>IF(H2361=0,"",J2361/H2361)</f>
        <v>0</v>
      </c>
      <c r="L2361">
        <f>IF(OR(AND(H2361=0,ABS(J2361)&gt;=0.01),AND(H2361&lt;&gt;0,ABS(K2361)&gt;VarianceThreshold)),"Review","OK")</f>
        <v>0</v>
      </c>
      <c r="M2361" t="s">
        <v>33</v>
      </c>
    </row>
    <row r="2362" spans="1:13">
      <c r="A2362" t="s">
        <v>3</v>
      </c>
      <c r="B2362" t="s">
        <v>755</v>
      </c>
      <c r="C2362" t="s">
        <v>2013</v>
      </c>
      <c r="D2362" t="s">
        <v>2312</v>
      </c>
      <c r="E2362" cm="1">
        <f t="array" ref="E2362">_xlfn.XLOOKUP(D2362,SKU_Master!A:A,SKU_Master!B:B,"Not on master")</f>
        <v>0</v>
      </c>
      <c r="F2362" cm="1">
        <f t="array" ref="F2362">_xlfn.XLOOKUP(C2362,Account_Master!A:A,Account_Master!B:B,"Not on master")</f>
        <v>0</v>
      </c>
      <c r="G2362" cm="1">
        <f t="array" ref="G2362">_xlfn.XLOOKUP(C2362,Account_Master!A:A,Account_Master!C:C,"Not on master")</f>
        <v>0</v>
      </c>
      <c r="H2362" s="6">
        <v>18</v>
      </c>
      <c r="I2362" s="6">
        <v>18</v>
      </c>
      <c r="J2362" s="6">
        <f>I2362-H2362</f>
        <v>0</v>
      </c>
      <c r="K2362" s="5">
        <f>IF(H2362=0,"",J2362/H2362)</f>
        <v>0</v>
      </c>
      <c r="L2362">
        <f>IF(OR(AND(H2362=0,ABS(J2362)&gt;=0.01),AND(H2362&lt;&gt;0,ABS(K2362)&gt;VarianceThreshold)),"Review","OK")</f>
        <v>0</v>
      </c>
      <c r="M2362" t="s">
        <v>33</v>
      </c>
    </row>
    <row r="2363" spans="1:13">
      <c r="A2363" t="s">
        <v>3</v>
      </c>
      <c r="B2363" t="s">
        <v>755</v>
      </c>
      <c r="C2363" t="s">
        <v>2313</v>
      </c>
      <c r="D2363" t="s">
        <v>1633</v>
      </c>
      <c r="E2363" cm="1">
        <f t="array" ref="E2363">_xlfn.XLOOKUP(D2363,SKU_Master!A:A,SKU_Master!B:B,"Not on master")</f>
        <v>0</v>
      </c>
      <c r="F2363" cm="1">
        <f t="array" ref="F2363">_xlfn.XLOOKUP(C2363,Account_Master!A:A,Account_Master!B:B,"Not on master")</f>
        <v>0</v>
      </c>
      <c r="G2363" cm="1">
        <f t="array" ref="G2363">_xlfn.XLOOKUP(C2363,Account_Master!A:A,Account_Master!C:C,"Not on master")</f>
        <v>0</v>
      </c>
      <c r="H2363" s="6">
        <v>0.37</v>
      </c>
      <c r="I2363" s="6">
        <v>0.37</v>
      </c>
      <c r="J2363" s="6">
        <f>I2363-H2363</f>
        <v>0</v>
      </c>
      <c r="K2363" s="5">
        <f>IF(H2363=0,"",J2363/H2363)</f>
        <v>0</v>
      </c>
      <c r="L2363">
        <f>IF(OR(AND(H2363=0,ABS(J2363)&gt;=0.01),AND(H2363&lt;&gt;0,ABS(K2363)&gt;VarianceThreshold)),"Review","OK")</f>
        <v>0</v>
      </c>
      <c r="M2363" t="s">
        <v>33</v>
      </c>
    </row>
    <row r="2364" spans="1:13">
      <c r="A2364" t="s">
        <v>3</v>
      </c>
      <c r="B2364" t="s">
        <v>755</v>
      </c>
      <c r="C2364" t="s">
        <v>2073</v>
      </c>
      <c r="D2364" t="s">
        <v>165</v>
      </c>
      <c r="E2364" cm="1">
        <f t="array" ref="E2364">_xlfn.XLOOKUP(D2364,SKU_Master!A:A,SKU_Master!B:B,"Not on master")</f>
        <v>0</v>
      </c>
      <c r="F2364" cm="1">
        <f t="array" ref="F2364">_xlfn.XLOOKUP(C2364,Account_Master!A:A,Account_Master!B:B,"Not on master")</f>
        <v>0</v>
      </c>
      <c r="G2364" cm="1">
        <f t="array" ref="G2364">_xlfn.XLOOKUP(C2364,Account_Master!A:A,Account_Master!C:C,"Not on master")</f>
        <v>0</v>
      </c>
      <c r="H2364" s="6">
        <v>4.8</v>
      </c>
      <c r="I2364" s="6">
        <v>4.8</v>
      </c>
      <c r="J2364" s="6">
        <f>I2364-H2364</f>
        <v>0</v>
      </c>
      <c r="K2364" s="5">
        <f>IF(H2364=0,"",J2364/H2364)</f>
        <v>0</v>
      </c>
      <c r="L2364">
        <f>IF(OR(AND(H2364=0,ABS(J2364)&gt;=0.01),AND(H2364&lt;&gt;0,ABS(K2364)&gt;VarianceThreshold)),"Review","OK")</f>
        <v>0</v>
      </c>
      <c r="M2364" t="s">
        <v>33</v>
      </c>
    </row>
    <row r="2365" spans="1:13">
      <c r="A2365" t="s">
        <v>3</v>
      </c>
      <c r="B2365" t="s">
        <v>755</v>
      </c>
      <c r="C2365" t="s">
        <v>2314</v>
      </c>
      <c r="D2365" t="s">
        <v>629</v>
      </c>
      <c r="E2365" cm="1">
        <f t="array" ref="E2365">_xlfn.XLOOKUP(D2365,SKU_Master!A:A,SKU_Master!B:B,"Not on master")</f>
        <v>0</v>
      </c>
      <c r="F2365" cm="1">
        <f t="array" ref="F2365">_xlfn.XLOOKUP(C2365,Account_Master!A:A,Account_Master!B:B,"Not on master")</f>
        <v>0</v>
      </c>
      <c r="G2365" cm="1">
        <f t="array" ref="G2365">_xlfn.XLOOKUP(C2365,Account_Master!A:A,Account_Master!C:C,"Not on master")</f>
        <v>0</v>
      </c>
      <c r="H2365" s="6">
        <v>21</v>
      </c>
      <c r="I2365" s="6">
        <v>21</v>
      </c>
      <c r="J2365" s="6">
        <f>I2365-H2365</f>
        <v>0</v>
      </c>
      <c r="K2365" s="5">
        <f>IF(H2365=0,"",J2365/H2365)</f>
        <v>0</v>
      </c>
      <c r="L2365">
        <f>IF(OR(AND(H2365=0,ABS(J2365)&gt;=0.01),AND(H2365&lt;&gt;0,ABS(K2365)&gt;VarianceThreshold)),"Review","OK")</f>
        <v>0</v>
      </c>
      <c r="M2365" t="s">
        <v>33</v>
      </c>
    </row>
    <row r="2366" spans="1:13">
      <c r="A2366" t="s">
        <v>3</v>
      </c>
      <c r="B2366" t="s">
        <v>755</v>
      </c>
      <c r="C2366" t="s">
        <v>2033</v>
      </c>
      <c r="D2366" t="s">
        <v>1569</v>
      </c>
      <c r="E2366" cm="1">
        <f t="array" ref="E2366">_xlfn.XLOOKUP(D2366,SKU_Master!A:A,SKU_Master!B:B,"Not on master")</f>
        <v>0</v>
      </c>
      <c r="F2366" cm="1">
        <f t="array" ref="F2366">_xlfn.XLOOKUP(C2366,Account_Master!A:A,Account_Master!B:B,"Not on master")</f>
        <v>0</v>
      </c>
      <c r="G2366" cm="1">
        <f t="array" ref="G2366">_xlfn.XLOOKUP(C2366,Account_Master!A:A,Account_Master!C:C,"Not on master")</f>
        <v>0</v>
      </c>
      <c r="H2366" s="6">
        <v>6.75</v>
      </c>
      <c r="I2366" s="6">
        <v>6.75</v>
      </c>
      <c r="J2366" s="6">
        <f>I2366-H2366</f>
        <v>0</v>
      </c>
      <c r="K2366" s="5">
        <f>IF(H2366=0,"",J2366/H2366)</f>
        <v>0</v>
      </c>
      <c r="L2366">
        <f>IF(OR(AND(H2366=0,ABS(J2366)&gt;=0.01),AND(H2366&lt;&gt;0,ABS(K2366)&gt;VarianceThreshold)),"Review","OK")</f>
        <v>0</v>
      </c>
      <c r="M2366" t="s">
        <v>33</v>
      </c>
    </row>
    <row r="2367" spans="1:13">
      <c r="A2367" t="s">
        <v>3</v>
      </c>
      <c r="B2367" t="s">
        <v>755</v>
      </c>
      <c r="C2367" t="s">
        <v>2027</v>
      </c>
      <c r="D2367" t="s">
        <v>1693</v>
      </c>
      <c r="E2367" cm="1">
        <f t="array" ref="E2367">_xlfn.XLOOKUP(D2367,SKU_Master!A:A,SKU_Master!B:B,"Not on master")</f>
        <v>0</v>
      </c>
      <c r="F2367" cm="1">
        <f t="array" ref="F2367">_xlfn.XLOOKUP(C2367,Account_Master!A:A,Account_Master!B:B,"Not on master")</f>
        <v>0</v>
      </c>
      <c r="G2367" cm="1">
        <f t="array" ref="G2367">_xlfn.XLOOKUP(C2367,Account_Master!A:A,Account_Master!C:C,"Not on master")</f>
        <v>0</v>
      </c>
      <c r="H2367" s="6">
        <v>45.75</v>
      </c>
      <c r="I2367" s="6">
        <v>45.75</v>
      </c>
      <c r="J2367" s="6">
        <f>I2367-H2367</f>
        <v>0</v>
      </c>
      <c r="K2367" s="5">
        <f>IF(H2367=0,"",J2367/H2367)</f>
        <v>0</v>
      </c>
      <c r="L2367">
        <f>IF(OR(AND(H2367=0,ABS(J2367)&gt;=0.01),AND(H2367&lt;&gt;0,ABS(K2367)&gt;VarianceThreshold)),"Review","OK")</f>
        <v>0</v>
      </c>
      <c r="M2367" t="s">
        <v>33</v>
      </c>
    </row>
    <row r="2368" spans="1:13">
      <c r="A2368" t="s">
        <v>3</v>
      </c>
      <c r="B2368" t="s">
        <v>755</v>
      </c>
      <c r="C2368" t="s">
        <v>2035</v>
      </c>
      <c r="D2368" t="s">
        <v>950</v>
      </c>
      <c r="E2368" cm="1">
        <f t="array" ref="E2368">_xlfn.XLOOKUP(D2368,SKU_Master!A:A,SKU_Master!B:B,"Not on master")</f>
        <v>0</v>
      </c>
      <c r="F2368" cm="1">
        <f t="array" ref="F2368">_xlfn.XLOOKUP(C2368,Account_Master!A:A,Account_Master!B:B,"Not on master")</f>
        <v>0</v>
      </c>
      <c r="G2368" cm="1">
        <f t="array" ref="G2368">_xlfn.XLOOKUP(C2368,Account_Master!A:A,Account_Master!C:C,"Not on master")</f>
        <v>0</v>
      </c>
      <c r="H2368" s="6">
        <v>4.5</v>
      </c>
      <c r="I2368" s="6">
        <v>4.5</v>
      </c>
      <c r="J2368" s="6">
        <f>I2368-H2368</f>
        <v>0</v>
      </c>
      <c r="K2368" s="5">
        <f>IF(H2368=0,"",J2368/H2368)</f>
        <v>0</v>
      </c>
      <c r="L2368">
        <f>IF(OR(AND(H2368=0,ABS(J2368)&gt;=0.01),AND(H2368&lt;&gt;0,ABS(K2368)&gt;VarianceThreshold)),"Review","OK")</f>
        <v>0</v>
      </c>
      <c r="M2368" t="s">
        <v>33</v>
      </c>
    </row>
    <row r="2369" spans="1:13">
      <c r="A2369" t="s">
        <v>3</v>
      </c>
      <c r="B2369" t="s">
        <v>755</v>
      </c>
      <c r="C2369" t="s">
        <v>2179</v>
      </c>
      <c r="D2369" t="s">
        <v>223</v>
      </c>
      <c r="E2369" cm="1">
        <f t="array" ref="E2369">_xlfn.XLOOKUP(D2369,SKU_Master!A:A,SKU_Master!B:B,"Not on master")</f>
        <v>0</v>
      </c>
      <c r="F2369" cm="1">
        <f t="array" ref="F2369">_xlfn.XLOOKUP(C2369,Account_Master!A:A,Account_Master!B:B,"Not on master")</f>
        <v>0</v>
      </c>
      <c r="G2369" cm="1">
        <f t="array" ref="G2369">_xlfn.XLOOKUP(C2369,Account_Master!A:A,Account_Master!C:C,"Not on master")</f>
        <v>0</v>
      </c>
      <c r="H2369" s="6">
        <v>9</v>
      </c>
      <c r="I2369" s="6">
        <v>9</v>
      </c>
      <c r="J2369" s="6">
        <f>I2369-H2369</f>
        <v>0</v>
      </c>
      <c r="K2369" s="5">
        <f>IF(H2369=0,"",J2369/H2369)</f>
        <v>0</v>
      </c>
      <c r="L2369">
        <f>IF(OR(AND(H2369=0,ABS(J2369)&gt;=0.01),AND(H2369&lt;&gt;0,ABS(K2369)&gt;VarianceThreshold)),"Review","OK")</f>
        <v>0</v>
      </c>
      <c r="M2369" t="s">
        <v>33</v>
      </c>
    </row>
    <row r="2370" spans="1:13">
      <c r="A2370" t="s">
        <v>3</v>
      </c>
      <c r="B2370" t="s">
        <v>765</v>
      </c>
      <c r="C2370" t="s">
        <v>2315</v>
      </c>
      <c r="D2370" t="s">
        <v>2316</v>
      </c>
      <c r="E2370" cm="1">
        <f t="array" ref="E2370">_xlfn.XLOOKUP(D2370,SKU_Master!A:A,SKU_Master!B:B,"Not on master")</f>
        <v>0</v>
      </c>
      <c r="F2370" cm="1">
        <f t="array" ref="F2370">_xlfn.XLOOKUP(C2370,Account_Master!A:A,Account_Master!B:B,"Not on master")</f>
        <v>0</v>
      </c>
      <c r="G2370" cm="1">
        <f t="array" ref="G2370">_xlfn.XLOOKUP(C2370,Account_Master!A:A,Account_Master!C:C,"Not on master")</f>
        <v>0</v>
      </c>
      <c r="H2370" s="6">
        <v>18</v>
      </c>
      <c r="I2370" s="6">
        <v>18</v>
      </c>
      <c r="J2370" s="6">
        <f>I2370-H2370</f>
        <v>0</v>
      </c>
      <c r="K2370" s="5">
        <f>IF(H2370=0,"",J2370/H2370)</f>
        <v>0</v>
      </c>
      <c r="L2370">
        <f>IF(OR(AND(H2370=0,ABS(J2370)&gt;=0.01),AND(H2370&lt;&gt;0,ABS(K2370)&gt;VarianceThreshold)),"Review","OK")</f>
        <v>0</v>
      </c>
      <c r="M2370" t="s">
        <v>33</v>
      </c>
    </row>
    <row r="2371" spans="1:13">
      <c r="A2371" t="s">
        <v>3</v>
      </c>
      <c r="B2371" t="s">
        <v>765</v>
      </c>
      <c r="C2371" t="s">
        <v>2052</v>
      </c>
      <c r="D2371" t="s">
        <v>1922</v>
      </c>
      <c r="E2371" cm="1">
        <f t="array" ref="E2371">_xlfn.XLOOKUP(D2371,SKU_Master!A:A,SKU_Master!B:B,"Not on master")</f>
        <v>0</v>
      </c>
      <c r="F2371" cm="1">
        <f t="array" ref="F2371">_xlfn.XLOOKUP(C2371,Account_Master!A:A,Account_Master!B:B,"Not on master")</f>
        <v>0</v>
      </c>
      <c r="G2371" cm="1">
        <f t="array" ref="G2371">_xlfn.XLOOKUP(C2371,Account_Master!A:A,Account_Master!C:C,"Not on master")</f>
        <v>0</v>
      </c>
      <c r="H2371" s="6">
        <v>115.5</v>
      </c>
      <c r="I2371" s="6">
        <v>115.5</v>
      </c>
      <c r="J2371" s="6">
        <f>I2371-H2371</f>
        <v>0</v>
      </c>
      <c r="K2371" s="5">
        <f>IF(H2371=0,"",J2371/H2371)</f>
        <v>0</v>
      </c>
      <c r="L2371">
        <f>IF(OR(AND(H2371=0,ABS(J2371)&gt;=0.01),AND(H2371&lt;&gt;0,ABS(K2371)&gt;VarianceThreshold)),"Review","OK")</f>
        <v>0</v>
      </c>
      <c r="M2371" t="s">
        <v>33</v>
      </c>
    </row>
    <row r="2372" spans="1:13">
      <c r="A2372" t="s">
        <v>3</v>
      </c>
      <c r="B2372" t="s">
        <v>765</v>
      </c>
      <c r="C2372" t="s">
        <v>2018</v>
      </c>
      <c r="D2372" t="s">
        <v>602</v>
      </c>
      <c r="E2372" cm="1">
        <f t="array" ref="E2372">_xlfn.XLOOKUP(D2372,SKU_Master!A:A,SKU_Master!B:B,"Not on master")</f>
        <v>0</v>
      </c>
      <c r="F2372" cm="1">
        <f t="array" ref="F2372">_xlfn.XLOOKUP(C2372,Account_Master!A:A,Account_Master!B:B,"Not on master")</f>
        <v>0</v>
      </c>
      <c r="G2372" cm="1">
        <f t="array" ref="G2372">_xlfn.XLOOKUP(C2372,Account_Master!A:A,Account_Master!C:C,"Not on master")</f>
        <v>0</v>
      </c>
      <c r="H2372" s="6">
        <v>6.75</v>
      </c>
      <c r="I2372" s="6">
        <v>6.75</v>
      </c>
      <c r="J2372" s="6">
        <f>I2372-H2372</f>
        <v>0</v>
      </c>
      <c r="K2372" s="5">
        <f>IF(H2372=0,"",J2372/H2372)</f>
        <v>0</v>
      </c>
      <c r="L2372">
        <f>IF(OR(AND(H2372=0,ABS(J2372)&gt;=0.01),AND(H2372&lt;&gt;0,ABS(K2372)&gt;VarianceThreshold)),"Review","OK")</f>
        <v>0</v>
      </c>
      <c r="M2372" t="s">
        <v>33</v>
      </c>
    </row>
    <row r="2373" spans="1:13">
      <c r="A2373" t="s">
        <v>3</v>
      </c>
      <c r="B2373" t="s">
        <v>765</v>
      </c>
      <c r="C2373" t="s">
        <v>2075</v>
      </c>
      <c r="D2373" t="s">
        <v>2317</v>
      </c>
      <c r="E2373" cm="1">
        <f t="array" ref="E2373">_xlfn.XLOOKUP(D2373,SKU_Master!A:A,SKU_Master!B:B,"Not on master")</f>
        <v>0</v>
      </c>
      <c r="F2373" cm="1">
        <f t="array" ref="F2373">_xlfn.XLOOKUP(C2373,Account_Master!A:A,Account_Master!B:B,"Not on master")</f>
        <v>0</v>
      </c>
      <c r="G2373" cm="1">
        <f t="array" ref="G2373">_xlfn.XLOOKUP(C2373,Account_Master!A:A,Account_Master!C:C,"Not on master")</f>
        <v>0</v>
      </c>
      <c r="H2373" s="6">
        <v>10.5</v>
      </c>
      <c r="I2373" s="6">
        <v>10.5</v>
      </c>
      <c r="J2373" s="6">
        <f>I2373-H2373</f>
        <v>0</v>
      </c>
      <c r="K2373" s="5">
        <f>IF(H2373=0,"",J2373/H2373)</f>
        <v>0</v>
      </c>
      <c r="L2373">
        <f>IF(OR(AND(H2373=0,ABS(J2373)&gt;=0.01),AND(H2373&lt;&gt;0,ABS(K2373)&gt;VarianceThreshold)),"Review","OK")</f>
        <v>0</v>
      </c>
      <c r="M2373" t="s">
        <v>33</v>
      </c>
    </row>
    <row r="2374" spans="1:13">
      <c r="A2374" t="s">
        <v>3</v>
      </c>
      <c r="B2374" t="s">
        <v>765</v>
      </c>
      <c r="C2374" t="s">
        <v>2273</v>
      </c>
      <c r="D2374" t="s">
        <v>2318</v>
      </c>
      <c r="E2374" cm="1">
        <f t="array" ref="E2374">_xlfn.XLOOKUP(D2374,SKU_Master!A:A,SKU_Master!B:B,"Not on master")</f>
        <v>0</v>
      </c>
      <c r="F2374" cm="1">
        <f t="array" ref="F2374">_xlfn.XLOOKUP(C2374,Account_Master!A:A,Account_Master!B:B,"Not on master")</f>
        <v>0</v>
      </c>
      <c r="G2374" cm="1">
        <f t="array" ref="G2374">_xlfn.XLOOKUP(C2374,Account_Master!A:A,Account_Master!C:C,"Not on master")</f>
        <v>0</v>
      </c>
      <c r="H2374" s="6">
        <v>3.5</v>
      </c>
      <c r="I2374" s="6">
        <v>3.5</v>
      </c>
      <c r="J2374" s="6">
        <f>I2374-H2374</f>
        <v>0</v>
      </c>
      <c r="K2374" s="5">
        <f>IF(H2374=0,"",J2374/H2374)</f>
        <v>0</v>
      </c>
      <c r="L2374">
        <f>IF(OR(AND(H2374=0,ABS(J2374)&gt;=0.01),AND(H2374&lt;&gt;0,ABS(K2374)&gt;VarianceThreshold)),"Review","OK")</f>
        <v>0</v>
      </c>
      <c r="M2374" t="s">
        <v>33</v>
      </c>
    </row>
    <row r="2375" spans="1:13">
      <c r="A2375" t="s">
        <v>3</v>
      </c>
      <c r="B2375" t="s">
        <v>765</v>
      </c>
      <c r="C2375" t="s">
        <v>2033</v>
      </c>
      <c r="D2375" t="s">
        <v>2319</v>
      </c>
      <c r="E2375" cm="1">
        <f t="array" ref="E2375">_xlfn.XLOOKUP(D2375,SKU_Master!A:A,SKU_Master!B:B,"Not on master")</f>
        <v>0</v>
      </c>
      <c r="F2375" cm="1">
        <f t="array" ref="F2375">_xlfn.XLOOKUP(C2375,Account_Master!A:A,Account_Master!B:B,"Not on master")</f>
        <v>0</v>
      </c>
      <c r="G2375" cm="1">
        <f t="array" ref="G2375">_xlfn.XLOOKUP(C2375,Account_Master!A:A,Account_Master!C:C,"Not on master")</f>
        <v>0</v>
      </c>
      <c r="H2375" s="6">
        <v>12</v>
      </c>
      <c r="I2375" s="6">
        <v>12</v>
      </c>
      <c r="J2375" s="6">
        <f>I2375-H2375</f>
        <v>0</v>
      </c>
      <c r="K2375" s="5">
        <f>IF(H2375=0,"",J2375/H2375)</f>
        <v>0</v>
      </c>
      <c r="L2375">
        <f>IF(OR(AND(H2375=0,ABS(J2375)&gt;=0.01),AND(H2375&lt;&gt;0,ABS(K2375)&gt;VarianceThreshold)),"Review","OK")</f>
        <v>0</v>
      </c>
      <c r="M2375" t="s">
        <v>33</v>
      </c>
    </row>
    <row r="2376" spans="1:13">
      <c r="A2376" t="s">
        <v>3</v>
      </c>
      <c r="B2376" t="s">
        <v>775</v>
      </c>
      <c r="C2376" t="s">
        <v>2183</v>
      </c>
      <c r="D2376" t="s">
        <v>2320</v>
      </c>
      <c r="E2376" cm="1">
        <f t="array" ref="E2376">_xlfn.XLOOKUP(D2376,SKU_Master!A:A,SKU_Master!B:B,"Not on master")</f>
        <v>0</v>
      </c>
      <c r="F2376" cm="1">
        <f t="array" ref="F2376">_xlfn.XLOOKUP(C2376,Account_Master!A:A,Account_Master!B:B,"Not on master")</f>
        <v>0</v>
      </c>
      <c r="G2376" cm="1">
        <f t="array" ref="G2376">_xlfn.XLOOKUP(C2376,Account_Master!A:A,Account_Master!C:C,"Not on master")</f>
        <v>0</v>
      </c>
      <c r="H2376" s="6">
        <v>89.25</v>
      </c>
      <c r="I2376" s="6">
        <v>89.25</v>
      </c>
      <c r="J2376" s="6">
        <f>I2376-H2376</f>
        <v>0</v>
      </c>
      <c r="K2376" s="5">
        <f>IF(H2376=0,"",J2376/H2376)</f>
        <v>0</v>
      </c>
      <c r="L2376">
        <f>IF(OR(AND(H2376=0,ABS(J2376)&gt;=0.01),AND(H2376&lt;&gt;0,ABS(K2376)&gt;VarianceThreshold)),"Review","OK")</f>
        <v>0</v>
      </c>
      <c r="M2376" t="s">
        <v>33</v>
      </c>
    </row>
    <row r="2377" spans="1:13">
      <c r="A2377" t="s">
        <v>3</v>
      </c>
      <c r="B2377" t="s">
        <v>775</v>
      </c>
      <c r="C2377" t="s">
        <v>2301</v>
      </c>
      <c r="D2377" t="s">
        <v>1880</v>
      </c>
      <c r="E2377" cm="1">
        <f t="array" ref="E2377">_xlfn.XLOOKUP(D2377,SKU_Master!A:A,SKU_Master!B:B,"Not on master")</f>
        <v>0</v>
      </c>
      <c r="F2377" cm="1">
        <f t="array" ref="F2377">_xlfn.XLOOKUP(C2377,Account_Master!A:A,Account_Master!B:B,"Not on master")</f>
        <v>0</v>
      </c>
      <c r="G2377" cm="1">
        <f t="array" ref="G2377">_xlfn.XLOOKUP(C2377,Account_Master!A:A,Account_Master!C:C,"Not on master")</f>
        <v>0</v>
      </c>
      <c r="H2377" s="6">
        <v>73.5</v>
      </c>
      <c r="I2377" s="6">
        <v>73.5</v>
      </c>
      <c r="J2377" s="6">
        <f>I2377-H2377</f>
        <v>0</v>
      </c>
      <c r="K2377" s="5">
        <f>IF(H2377=0,"",J2377/H2377)</f>
        <v>0</v>
      </c>
      <c r="L2377">
        <f>IF(OR(AND(H2377=0,ABS(J2377)&gt;=0.01),AND(H2377&lt;&gt;0,ABS(K2377)&gt;VarianceThreshold)),"Review","OK")</f>
        <v>0</v>
      </c>
      <c r="M2377" t="s">
        <v>33</v>
      </c>
    </row>
    <row r="2378" spans="1:13">
      <c r="A2378" t="s">
        <v>3</v>
      </c>
      <c r="B2378" t="s">
        <v>775</v>
      </c>
      <c r="C2378" t="s">
        <v>2175</v>
      </c>
      <c r="D2378" t="s">
        <v>233</v>
      </c>
      <c r="E2378" cm="1">
        <f t="array" ref="E2378">_xlfn.XLOOKUP(D2378,SKU_Master!A:A,SKU_Master!B:B,"Not on master")</f>
        <v>0</v>
      </c>
      <c r="F2378" cm="1">
        <f t="array" ref="F2378">_xlfn.XLOOKUP(C2378,Account_Master!A:A,Account_Master!B:B,"Not on master")</f>
        <v>0</v>
      </c>
      <c r="G2378" cm="1">
        <f t="array" ref="G2378">_xlfn.XLOOKUP(C2378,Account_Master!A:A,Account_Master!C:C,"Not on master")</f>
        <v>0</v>
      </c>
      <c r="H2378" s="6">
        <v>3</v>
      </c>
      <c r="I2378" s="6">
        <v>3</v>
      </c>
      <c r="J2378" s="6">
        <f>I2378-H2378</f>
        <v>0</v>
      </c>
      <c r="K2378" s="5">
        <f>IF(H2378=0,"",J2378/H2378)</f>
        <v>0</v>
      </c>
      <c r="L2378">
        <f>IF(OR(AND(H2378=0,ABS(J2378)&gt;=0.01),AND(H2378&lt;&gt;0,ABS(K2378)&gt;VarianceThreshold)),"Review","OK")</f>
        <v>0</v>
      </c>
      <c r="M2378" t="s">
        <v>33</v>
      </c>
    </row>
    <row r="2379" spans="1:13">
      <c r="A2379" t="s">
        <v>3</v>
      </c>
      <c r="B2379" t="s">
        <v>775</v>
      </c>
      <c r="C2379" t="s">
        <v>2022</v>
      </c>
      <c r="D2379" t="s">
        <v>855</v>
      </c>
      <c r="E2379" cm="1">
        <f t="array" ref="E2379">_xlfn.XLOOKUP(D2379,SKU_Master!A:A,SKU_Master!B:B,"Not on master")</f>
        <v>0</v>
      </c>
      <c r="F2379" cm="1">
        <f t="array" ref="F2379">_xlfn.XLOOKUP(C2379,Account_Master!A:A,Account_Master!B:B,"Not on master")</f>
        <v>0</v>
      </c>
      <c r="G2379" cm="1">
        <f t="array" ref="G2379">_xlfn.XLOOKUP(C2379,Account_Master!A:A,Account_Master!C:C,"Not on master")</f>
        <v>0</v>
      </c>
      <c r="H2379" s="6">
        <v>27</v>
      </c>
      <c r="I2379" s="6">
        <v>27</v>
      </c>
      <c r="J2379" s="6">
        <f>I2379-H2379</f>
        <v>0</v>
      </c>
      <c r="K2379" s="5">
        <f>IF(H2379=0,"",J2379/H2379)</f>
        <v>0</v>
      </c>
      <c r="L2379">
        <f>IF(OR(AND(H2379=0,ABS(J2379)&gt;=0.01),AND(H2379&lt;&gt;0,ABS(K2379)&gt;VarianceThreshold)),"Review","OK")</f>
        <v>0</v>
      </c>
      <c r="M2379" t="s">
        <v>33</v>
      </c>
    </row>
    <row r="2380" spans="1:13">
      <c r="A2380" t="s">
        <v>3</v>
      </c>
      <c r="B2380" t="s">
        <v>775</v>
      </c>
      <c r="C2380" t="s">
        <v>2035</v>
      </c>
      <c r="D2380" t="s">
        <v>740</v>
      </c>
      <c r="E2380" cm="1">
        <f t="array" ref="E2380">_xlfn.XLOOKUP(D2380,SKU_Master!A:A,SKU_Master!B:B,"Not on master")</f>
        <v>0</v>
      </c>
      <c r="F2380" cm="1">
        <f t="array" ref="F2380">_xlfn.XLOOKUP(C2380,Account_Master!A:A,Account_Master!B:B,"Not on master")</f>
        <v>0</v>
      </c>
      <c r="G2380" cm="1">
        <f t="array" ref="G2380">_xlfn.XLOOKUP(C2380,Account_Master!A:A,Account_Master!C:C,"Not on master")</f>
        <v>0</v>
      </c>
      <c r="H2380" s="6">
        <v>7.5</v>
      </c>
      <c r="I2380" s="6">
        <v>7.5</v>
      </c>
      <c r="J2380" s="6">
        <f>I2380-H2380</f>
        <v>0</v>
      </c>
      <c r="K2380" s="5">
        <f>IF(H2380=0,"",J2380/H2380)</f>
        <v>0</v>
      </c>
      <c r="L2380">
        <f>IF(OR(AND(H2380=0,ABS(J2380)&gt;=0.01),AND(H2380&lt;&gt;0,ABS(K2380)&gt;VarianceThreshold)),"Review","OK")</f>
        <v>0</v>
      </c>
      <c r="M2380" t="s">
        <v>33</v>
      </c>
    </row>
    <row r="2381" spans="1:13">
      <c r="A2381" t="s">
        <v>3</v>
      </c>
      <c r="B2381" t="s">
        <v>775</v>
      </c>
      <c r="C2381" t="s">
        <v>2035</v>
      </c>
      <c r="D2381" t="s">
        <v>343</v>
      </c>
      <c r="E2381" cm="1">
        <f t="array" ref="E2381">_xlfn.XLOOKUP(D2381,SKU_Master!A:A,SKU_Master!B:B,"Not on master")</f>
        <v>0</v>
      </c>
      <c r="F2381" cm="1">
        <f t="array" ref="F2381">_xlfn.XLOOKUP(C2381,Account_Master!A:A,Account_Master!B:B,"Not on master")</f>
        <v>0</v>
      </c>
      <c r="G2381" cm="1">
        <f t="array" ref="G2381">_xlfn.XLOOKUP(C2381,Account_Master!A:A,Account_Master!C:C,"Not on master")</f>
        <v>0</v>
      </c>
      <c r="H2381" s="6">
        <v>1.5</v>
      </c>
      <c r="I2381" s="6">
        <v>0.75</v>
      </c>
      <c r="J2381" s="6">
        <f>I2381-H2381</f>
        <v>0</v>
      </c>
      <c r="K2381" s="5">
        <f>IF(H2381=0,"",J2381/H2381)</f>
        <v>0</v>
      </c>
      <c r="L2381">
        <f>IF(OR(AND(H2381=0,ABS(J2381)&gt;=0.01),AND(H2381&lt;&gt;0,ABS(K2381)&gt;VarianceThreshold)),"Review","OK")</f>
        <v>0</v>
      </c>
      <c r="M2381" t="s">
        <v>471</v>
      </c>
    </row>
    <row r="2382" spans="1:13">
      <c r="A2382" t="s">
        <v>3</v>
      </c>
      <c r="B2382" t="s">
        <v>775</v>
      </c>
      <c r="C2382" t="s">
        <v>2035</v>
      </c>
      <c r="D2382" t="s">
        <v>2321</v>
      </c>
      <c r="E2382" cm="1">
        <f t="array" ref="E2382">_xlfn.XLOOKUP(D2382,SKU_Master!A:A,SKU_Master!B:B,"Not on master")</f>
        <v>0</v>
      </c>
      <c r="F2382" cm="1">
        <f t="array" ref="F2382">_xlfn.XLOOKUP(C2382,Account_Master!A:A,Account_Master!B:B,"Not on master")</f>
        <v>0</v>
      </c>
      <c r="G2382" cm="1">
        <f t="array" ref="G2382">_xlfn.XLOOKUP(C2382,Account_Master!A:A,Account_Master!C:C,"Not on master")</f>
        <v>0</v>
      </c>
      <c r="H2382" s="6">
        <v>6</v>
      </c>
      <c r="I2382" s="6">
        <v>6</v>
      </c>
      <c r="J2382" s="6">
        <f>I2382-H2382</f>
        <v>0</v>
      </c>
      <c r="K2382" s="5">
        <f>IF(H2382=0,"",J2382/H2382)</f>
        <v>0</v>
      </c>
      <c r="L2382">
        <f>IF(OR(AND(H2382=0,ABS(J2382)&gt;=0.01),AND(H2382&lt;&gt;0,ABS(K2382)&gt;VarianceThreshold)),"Review","OK")</f>
        <v>0</v>
      </c>
      <c r="M2382" t="s">
        <v>33</v>
      </c>
    </row>
    <row r="2383" spans="1:13">
      <c r="A2383" t="s">
        <v>3</v>
      </c>
      <c r="B2383" t="s">
        <v>779</v>
      </c>
      <c r="C2383" t="s">
        <v>2132</v>
      </c>
      <c r="D2383" t="s">
        <v>882</v>
      </c>
      <c r="E2383" cm="1">
        <f t="array" ref="E2383">_xlfn.XLOOKUP(D2383,SKU_Master!A:A,SKU_Master!B:B,"Not on master")</f>
        <v>0</v>
      </c>
      <c r="F2383" cm="1">
        <f t="array" ref="F2383">_xlfn.XLOOKUP(C2383,Account_Master!A:A,Account_Master!B:B,"Not on master")</f>
        <v>0</v>
      </c>
      <c r="G2383" cm="1">
        <f t="array" ref="G2383">_xlfn.XLOOKUP(C2383,Account_Master!A:A,Account_Master!C:C,"Not on master")</f>
        <v>0</v>
      </c>
      <c r="H2383" s="6">
        <v>9</v>
      </c>
      <c r="I2383" s="6">
        <v>9</v>
      </c>
      <c r="J2383" s="6">
        <f>I2383-H2383</f>
        <v>0</v>
      </c>
      <c r="K2383" s="5">
        <f>IF(H2383=0,"",J2383/H2383)</f>
        <v>0</v>
      </c>
      <c r="L2383">
        <f>IF(OR(AND(H2383=0,ABS(J2383)&gt;=0.01),AND(H2383&lt;&gt;0,ABS(K2383)&gt;VarianceThreshold)),"Review","OK")</f>
        <v>0</v>
      </c>
      <c r="M2383" t="s">
        <v>33</v>
      </c>
    </row>
    <row r="2384" spans="1:13">
      <c r="A2384" t="s">
        <v>3</v>
      </c>
      <c r="B2384" t="s">
        <v>779</v>
      </c>
      <c r="C2384" t="s">
        <v>2152</v>
      </c>
      <c r="D2384" t="s">
        <v>2322</v>
      </c>
      <c r="E2384" cm="1">
        <f t="array" ref="E2384">_xlfn.XLOOKUP(D2384,SKU_Master!A:A,SKU_Master!B:B,"Not on master")</f>
        <v>0</v>
      </c>
      <c r="F2384" cm="1">
        <f t="array" ref="F2384">_xlfn.XLOOKUP(C2384,Account_Master!A:A,Account_Master!B:B,"Not on master")</f>
        <v>0</v>
      </c>
      <c r="G2384" cm="1">
        <f t="array" ref="G2384">_xlfn.XLOOKUP(C2384,Account_Master!A:A,Account_Master!C:C,"Not on master")</f>
        <v>0</v>
      </c>
      <c r="H2384" s="6">
        <v>10.5</v>
      </c>
      <c r="I2384" s="6">
        <v>10.5</v>
      </c>
      <c r="J2384" s="6">
        <f>I2384-H2384</f>
        <v>0</v>
      </c>
      <c r="K2384" s="5">
        <f>IF(H2384=0,"",J2384/H2384)</f>
        <v>0</v>
      </c>
      <c r="L2384">
        <f>IF(OR(AND(H2384=0,ABS(J2384)&gt;=0.01),AND(H2384&lt;&gt;0,ABS(K2384)&gt;VarianceThreshold)),"Review","OK")</f>
        <v>0</v>
      </c>
      <c r="M2384" t="s">
        <v>33</v>
      </c>
    </row>
    <row r="2385" spans="1:13">
      <c r="A2385" t="s">
        <v>3</v>
      </c>
      <c r="B2385" t="s">
        <v>779</v>
      </c>
      <c r="C2385" t="s">
        <v>2041</v>
      </c>
      <c r="D2385" t="s">
        <v>2323</v>
      </c>
      <c r="E2385" cm="1">
        <f t="array" ref="E2385">_xlfn.XLOOKUP(D2385,SKU_Master!A:A,SKU_Master!B:B,"Not on master")</f>
        <v>0</v>
      </c>
      <c r="F2385" cm="1">
        <f t="array" ref="F2385">_xlfn.XLOOKUP(C2385,Account_Master!A:A,Account_Master!B:B,"Not on master")</f>
        <v>0</v>
      </c>
      <c r="G2385" cm="1">
        <f t="array" ref="G2385">_xlfn.XLOOKUP(C2385,Account_Master!A:A,Account_Master!C:C,"Not on master")</f>
        <v>0</v>
      </c>
      <c r="H2385" s="6">
        <v>18.75</v>
      </c>
      <c r="I2385" s="6">
        <v>18.75</v>
      </c>
      <c r="J2385" s="6">
        <f>I2385-H2385</f>
        <v>0</v>
      </c>
      <c r="K2385" s="5">
        <f>IF(H2385=0,"",J2385/H2385)</f>
        <v>0</v>
      </c>
      <c r="L2385">
        <f>IF(OR(AND(H2385=0,ABS(J2385)&gt;=0.01),AND(H2385&lt;&gt;0,ABS(K2385)&gt;VarianceThreshold)),"Review","OK")</f>
        <v>0</v>
      </c>
      <c r="M2385" t="s">
        <v>33</v>
      </c>
    </row>
    <row r="2386" spans="1:13">
      <c r="A2386" t="s">
        <v>3</v>
      </c>
      <c r="B2386" t="s">
        <v>779</v>
      </c>
      <c r="C2386" t="s">
        <v>2324</v>
      </c>
      <c r="D2386" t="s">
        <v>1318</v>
      </c>
      <c r="E2386" cm="1">
        <f t="array" ref="E2386">_xlfn.XLOOKUP(D2386,SKU_Master!A:A,SKU_Master!B:B,"Not on master")</f>
        <v>0</v>
      </c>
      <c r="F2386" cm="1">
        <f t="array" ref="F2386">_xlfn.XLOOKUP(C2386,Account_Master!A:A,Account_Master!B:B,"Not on master")</f>
        <v>0</v>
      </c>
      <c r="G2386" cm="1">
        <f t="array" ref="G2386">_xlfn.XLOOKUP(C2386,Account_Master!A:A,Account_Master!C:C,"Not on master")</f>
        <v>0</v>
      </c>
      <c r="H2386" s="6">
        <v>0.05</v>
      </c>
      <c r="I2386" s="6">
        <v>0.05</v>
      </c>
      <c r="J2386" s="6">
        <f>I2386-H2386</f>
        <v>0</v>
      </c>
      <c r="K2386" s="5">
        <f>IF(H2386=0,"",J2386/H2386)</f>
        <v>0</v>
      </c>
      <c r="L2386">
        <f>IF(OR(AND(H2386=0,ABS(J2386)&gt;=0.01),AND(H2386&lt;&gt;0,ABS(K2386)&gt;VarianceThreshold)),"Review","OK")</f>
        <v>0</v>
      </c>
      <c r="M2386" t="s">
        <v>33</v>
      </c>
    </row>
    <row r="2387" spans="1:13">
      <c r="A2387" t="s">
        <v>3</v>
      </c>
      <c r="B2387" t="s">
        <v>779</v>
      </c>
      <c r="C2387" t="s">
        <v>2325</v>
      </c>
      <c r="D2387" t="s">
        <v>1535</v>
      </c>
      <c r="E2387" cm="1">
        <f t="array" ref="E2387">_xlfn.XLOOKUP(D2387,SKU_Master!A:A,SKU_Master!B:B,"Not on master")</f>
        <v>0</v>
      </c>
      <c r="F2387" cm="1">
        <f t="array" ref="F2387">_xlfn.XLOOKUP(C2387,Account_Master!A:A,Account_Master!B:B,"Not on master")</f>
        <v>0</v>
      </c>
      <c r="G2387" cm="1">
        <f t="array" ref="G2387">_xlfn.XLOOKUP(C2387,Account_Master!A:A,Account_Master!C:C,"Not on master")</f>
        <v>0</v>
      </c>
      <c r="H2387" s="6">
        <v>2.1</v>
      </c>
      <c r="I2387" s="6">
        <v>2.1</v>
      </c>
      <c r="J2387" s="6">
        <f>I2387-H2387</f>
        <v>0</v>
      </c>
      <c r="K2387" s="5">
        <f>IF(H2387=0,"",J2387/H2387)</f>
        <v>0</v>
      </c>
      <c r="L2387">
        <f>IF(OR(AND(H2387=0,ABS(J2387)&gt;=0.01),AND(H2387&lt;&gt;0,ABS(K2387)&gt;VarianceThreshold)),"Review","OK")</f>
        <v>0</v>
      </c>
      <c r="M2387" t="s">
        <v>33</v>
      </c>
    </row>
    <row r="2388" spans="1:13">
      <c r="A2388" t="s">
        <v>3</v>
      </c>
      <c r="B2388" t="s">
        <v>788</v>
      </c>
      <c r="C2388" t="s">
        <v>2082</v>
      </c>
      <c r="D2388" t="s">
        <v>2326</v>
      </c>
      <c r="E2388" cm="1">
        <f t="array" ref="E2388">_xlfn.XLOOKUP(D2388,SKU_Master!A:A,SKU_Master!B:B,"Not on master")</f>
        <v>0</v>
      </c>
      <c r="F2388" cm="1">
        <f t="array" ref="F2388">_xlfn.XLOOKUP(C2388,Account_Master!A:A,Account_Master!B:B,"Not on master")</f>
        <v>0</v>
      </c>
      <c r="G2388" cm="1">
        <f t="array" ref="G2388">_xlfn.XLOOKUP(C2388,Account_Master!A:A,Account_Master!C:C,"Not on master")</f>
        <v>0</v>
      </c>
      <c r="H2388" s="6">
        <v>198</v>
      </c>
      <c r="I2388" s="6">
        <v>198</v>
      </c>
      <c r="J2388" s="6">
        <f>I2388-H2388</f>
        <v>0</v>
      </c>
      <c r="K2388" s="5">
        <f>IF(H2388=0,"",J2388/H2388)</f>
        <v>0</v>
      </c>
      <c r="L2388">
        <f>IF(OR(AND(H2388=0,ABS(J2388)&gt;=0.01),AND(H2388&lt;&gt;0,ABS(K2388)&gt;VarianceThreshold)),"Review","OK")</f>
        <v>0</v>
      </c>
      <c r="M2388" t="s">
        <v>33</v>
      </c>
    </row>
    <row r="2389" spans="1:13">
      <c r="A2389" t="s">
        <v>3</v>
      </c>
      <c r="B2389" t="s">
        <v>788</v>
      </c>
      <c r="C2389" t="s">
        <v>2041</v>
      </c>
      <c r="D2389" t="s">
        <v>171</v>
      </c>
      <c r="E2389" cm="1">
        <f t="array" ref="E2389">_xlfn.XLOOKUP(D2389,SKU_Master!A:A,SKU_Master!B:B,"Not on master")</f>
        <v>0</v>
      </c>
      <c r="F2389" cm="1">
        <f t="array" ref="F2389">_xlfn.XLOOKUP(C2389,Account_Master!A:A,Account_Master!B:B,"Not on master")</f>
        <v>0</v>
      </c>
      <c r="G2389" cm="1">
        <f t="array" ref="G2389">_xlfn.XLOOKUP(C2389,Account_Master!A:A,Account_Master!C:C,"Not on master")</f>
        <v>0</v>
      </c>
      <c r="H2389" s="6">
        <v>0.75</v>
      </c>
      <c r="I2389" s="6">
        <v>0.75</v>
      </c>
      <c r="J2389" s="6">
        <f>I2389-H2389</f>
        <v>0</v>
      </c>
      <c r="K2389" s="5">
        <f>IF(H2389=0,"",J2389/H2389)</f>
        <v>0</v>
      </c>
      <c r="L2389">
        <f>IF(OR(AND(H2389=0,ABS(J2389)&gt;=0.01),AND(H2389&lt;&gt;0,ABS(K2389)&gt;VarianceThreshold)),"Review","OK")</f>
        <v>0</v>
      </c>
      <c r="M2389" t="s">
        <v>33</v>
      </c>
    </row>
    <row r="2390" spans="1:13">
      <c r="A2390" t="s">
        <v>3</v>
      </c>
      <c r="B2390" t="s">
        <v>788</v>
      </c>
      <c r="C2390" t="s">
        <v>2015</v>
      </c>
      <c r="D2390" t="s">
        <v>2327</v>
      </c>
      <c r="E2390" cm="1">
        <f t="array" ref="E2390">_xlfn.XLOOKUP(D2390,SKU_Master!A:A,SKU_Master!B:B,"Not on master")</f>
        <v>0</v>
      </c>
      <c r="F2390" cm="1">
        <f t="array" ref="F2390">_xlfn.XLOOKUP(C2390,Account_Master!A:A,Account_Master!B:B,"Not on master")</f>
        <v>0</v>
      </c>
      <c r="G2390" cm="1">
        <f t="array" ref="G2390">_xlfn.XLOOKUP(C2390,Account_Master!A:A,Account_Master!C:C,"Not on master")</f>
        <v>0</v>
      </c>
      <c r="H2390" s="6">
        <v>0.75</v>
      </c>
      <c r="I2390" s="6">
        <v>0.75</v>
      </c>
      <c r="J2390" s="6">
        <f>I2390-H2390</f>
        <v>0</v>
      </c>
      <c r="K2390" s="5">
        <f>IF(H2390=0,"",J2390/H2390)</f>
        <v>0</v>
      </c>
      <c r="L2390">
        <f>IF(OR(AND(H2390=0,ABS(J2390)&gt;=0.01),AND(H2390&lt;&gt;0,ABS(K2390)&gt;VarianceThreshold)),"Review","OK")</f>
        <v>0</v>
      </c>
      <c r="M2390" t="s">
        <v>33</v>
      </c>
    </row>
    <row r="2391" spans="1:13">
      <c r="A2391" t="s">
        <v>3</v>
      </c>
      <c r="B2391" t="s">
        <v>788</v>
      </c>
      <c r="C2391" t="s">
        <v>2030</v>
      </c>
      <c r="D2391" t="s">
        <v>1559</v>
      </c>
      <c r="E2391" cm="1">
        <f t="array" ref="E2391">_xlfn.XLOOKUP(D2391,SKU_Master!A:A,SKU_Master!B:B,"Not on master")</f>
        <v>0</v>
      </c>
      <c r="F2391" cm="1">
        <f t="array" ref="F2391">_xlfn.XLOOKUP(C2391,Account_Master!A:A,Account_Master!B:B,"Not on master")</f>
        <v>0</v>
      </c>
      <c r="G2391" cm="1">
        <f t="array" ref="G2391">_xlfn.XLOOKUP(C2391,Account_Master!A:A,Account_Master!C:C,"Not on master")</f>
        <v>0</v>
      </c>
      <c r="H2391" s="6">
        <v>1.5</v>
      </c>
      <c r="I2391" s="6">
        <v>1.5</v>
      </c>
      <c r="J2391" s="6">
        <f>I2391-H2391</f>
        <v>0</v>
      </c>
      <c r="K2391" s="5">
        <f>IF(H2391=0,"",J2391/H2391)</f>
        <v>0</v>
      </c>
      <c r="L2391">
        <f>IF(OR(AND(H2391=0,ABS(J2391)&gt;=0.01),AND(H2391&lt;&gt;0,ABS(K2391)&gt;VarianceThreshold)),"Review","OK")</f>
        <v>0</v>
      </c>
      <c r="M2391" t="s">
        <v>33</v>
      </c>
    </row>
    <row r="2392" spans="1:13">
      <c r="A2392" t="s">
        <v>3</v>
      </c>
      <c r="B2392" t="s">
        <v>788</v>
      </c>
      <c r="C2392" t="s">
        <v>2082</v>
      </c>
      <c r="D2392" t="s">
        <v>2328</v>
      </c>
      <c r="E2392" cm="1">
        <f t="array" ref="E2392">_xlfn.XLOOKUP(D2392,SKU_Master!A:A,SKU_Master!B:B,"Not on master")</f>
        <v>0</v>
      </c>
      <c r="F2392" cm="1">
        <f t="array" ref="F2392">_xlfn.XLOOKUP(C2392,Account_Master!A:A,Account_Master!B:B,"Not on master")</f>
        <v>0</v>
      </c>
      <c r="G2392" cm="1">
        <f t="array" ref="G2392">_xlfn.XLOOKUP(C2392,Account_Master!A:A,Account_Master!C:C,"Not on master")</f>
        <v>0</v>
      </c>
      <c r="H2392" s="6">
        <v>112</v>
      </c>
      <c r="I2392" s="6">
        <v>112</v>
      </c>
      <c r="J2392" s="6">
        <f>I2392-H2392</f>
        <v>0</v>
      </c>
      <c r="K2392" s="5">
        <f>IF(H2392=0,"",J2392/H2392)</f>
        <v>0</v>
      </c>
      <c r="L2392">
        <f>IF(OR(AND(H2392=0,ABS(J2392)&gt;=0.01),AND(H2392&lt;&gt;0,ABS(K2392)&gt;VarianceThreshold)),"Review","OK")</f>
        <v>0</v>
      </c>
      <c r="M2392" t="s">
        <v>33</v>
      </c>
    </row>
    <row r="2393" spans="1:13">
      <c r="A2393" t="s">
        <v>3</v>
      </c>
      <c r="B2393" t="s">
        <v>788</v>
      </c>
      <c r="C2393" t="s">
        <v>2035</v>
      </c>
      <c r="D2393" t="s">
        <v>2329</v>
      </c>
      <c r="E2393" cm="1">
        <f t="array" ref="E2393">_xlfn.XLOOKUP(D2393,SKU_Master!A:A,SKU_Master!B:B,"Not on master")</f>
        <v>0</v>
      </c>
      <c r="F2393" cm="1">
        <f t="array" ref="F2393">_xlfn.XLOOKUP(C2393,Account_Master!A:A,Account_Master!B:B,"Not on master")</f>
        <v>0</v>
      </c>
      <c r="G2393" cm="1">
        <f t="array" ref="G2393">_xlfn.XLOOKUP(C2393,Account_Master!A:A,Account_Master!C:C,"Not on master")</f>
        <v>0</v>
      </c>
      <c r="H2393" s="6">
        <v>0.75</v>
      </c>
      <c r="I2393" s="6">
        <v>0.75</v>
      </c>
      <c r="J2393" s="6">
        <f>I2393-H2393</f>
        <v>0</v>
      </c>
      <c r="K2393" s="5">
        <f>IF(H2393=0,"",J2393/H2393)</f>
        <v>0</v>
      </c>
      <c r="L2393">
        <f>IF(OR(AND(H2393=0,ABS(J2393)&gt;=0.01),AND(H2393&lt;&gt;0,ABS(K2393)&gt;VarianceThreshold)),"Review","OK")</f>
        <v>0</v>
      </c>
      <c r="M2393" t="s">
        <v>33</v>
      </c>
    </row>
    <row r="2394" spans="1:13">
      <c r="A2394" t="s">
        <v>3</v>
      </c>
      <c r="B2394" t="s">
        <v>799</v>
      </c>
      <c r="C2394" t="s">
        <v>2066</v>
      </c>
      <c r="D2394" t="s">
        <v>2330</v>
      </c>
      <c r="E2394" cm="1">
        <f t="array" ref="E2394">_xlfn.XLOOKUP(D2394,SKU_Master!A:A,SKU_Master!B:B,"Not on master")</f>
        <v>0</v>
      </c>
      <c r="F2394" cm="1">
        <f t="array" ref="F2394">_xlfn.XLOOKUP(C2394,Account_Master!A:A,Account_Master!B:B,"Not on master")</f>
        <v>0</v>
      </c>
      <c r="G2394" cm="1">
        <f t="array" ref="G2394">_xlfn.XLOOKUP(C2394,Account_Master!A:A,Account_Master!C:C,"Not on master")</f>
        <v>0</v>
      </c>
      <c r="H2394" s="6">
        <v>2.25</v>
      </c>
      <c r="I2394" s="6">
        <v>2.25</v>
      </c>
      <c r="J2394" s="6">
        <f>I2394-H2394</f>
        <v>0</v>
      </c>
      <c r="K2394" s="5">
        <f>IF(H2394=0,"",J2394/H2394)</f>
        <v>0</v>
      </c>
      <c r="L2394">
        <f>IF(OR(AND(H2394=0,ABS(J2394)&gt;=0.01),AND(H2394&lt;&gt;0,ABS(K2394)&gt;VarianceThreshold)),"Review","OK")</f>
        <v>0</v>
      </c>
      <c r="M2394" t="s">
        <v>33</v>
      </c>
    </row>
    <row r="2395" spans="1:13">
      <c r="A2395" t="s">
        <v>3</v>
      </c>
      <c r="B2395" t="s">
        <v>799</v>
      </c>
      <c r="C2395" t="s">
        <v>2331</v>
      </c>
      <c r="D2395" t="s">
        <v>137</v>
      </c>
      <c r="E2395" cm="1">
        <f t="array" ref="E2395">_xlfn.XLOOKUP(D2395,SKU_Master!A:A,SKU_Master!B:B,"Not on master")</f>
        <v>0</v>
      </c>
      <c r="F2395" cm="1">
        <f t="array" ref="F2395">_xlfn.XLOOKUP(C2395,Account_Master!A:A,Account_Master!B:B,"Not on master")</f>
        <v>0</v>
      </c>
      <c r="G2395" cm="1">
        <f t="array" ref="G2395">_xlfn.XLOOKUP(C2395,Account_Master!A:A,Account_Master!C:C,"Not on master")</f>
        <v>0</v>
      </c>
      <c r="H2395" s="6">
        <v>3</v>
      </c>
      <c r="I2395" s="6">
        <v>3</v>
      </c>
      <c r="J2395" s="6">
        <f>I2395-H2395</f>
        <v>0</v>
      </c>
      <c r="K2395" s="5">
        <f>IF(H2395=0,"",J2395/H2395)</f>
        <v>0</v>
      </c>
      <c r="L2395">
        <f>IF(OR(AND(H2395=0,ABS(J2395)&gt;=0.01),AND(H2395&lt;&gt;0,ABS(K2395)&gt;VarianceThreshold)),"Review","OK")</f>
        <v>0</v>
      </c>
      <c r="M2395" t="s">
        <v>33</v>
      </c>
    </row>
    <row r="2396" spans="1:13">
      <c r="A2396" t="s">
        <v>3</v>
      </c>
      <c r="B2396" t="s">
        <v>799</v>
      </c>
      <c r="C2396" t="s">
        <v>2079</v>
      </c>
      <c r="D2396" t="s">
        <v>178</v>
      </c>
      <c r="E2396" cm="1">
        <f t="array" ref="E2396">_xlfn.XLOOKUP(D2396,SKU_Master!A:A,SKU_Master!B:B,"Not on master")</f>
        <v>0</v>
      </c>
      <c r="F2396" cm="1">
        <f t="array" ref="F2396">_xlfn.XLOOKUP(C2396,Account_Master!A:A,Account_Master!B:B,"Not on master")</f>
        <v>0</v>
      </c>
      <c r="G2396" cm="1">
        <f t="array" ref="G2396">_xlfn.XLOOKUP(C2396,Account_Master!A:A,Account_Master!C:C,"Not on master")</f>
        <v>0</v>
      </c>
      <c r="H2396" s="6">
        <v>381.5</v>
      </c>
      <c r="I2396" s="6">
        <v>381.5</v>
      </c>
      <c r="J2396" s="6">
        <f>I2396-H2396</f>
        <v>0</v>
      </c>
      <c r="K2396" s="5">
        <f>IF(H2396=0,"",J2396/H2396)</f>
        <v>0</v>
      </c>
      <c r="L2396">
        <f>IF(OR(AND(H2396=0,ABS(J2396)&gt;=0.01),AND(H2396&lt;&gt;0,ABS(K2396)&gt;VarianceThreshold)),"Review","OK")</f>
        <v>0</v>
      </c>
      <c r="M2396" t="s">
        <v>33</v>
      </c>
    </row>
    <row r="2397" spans="1:13">
      <c r="A2397" t="s">
        <v>3</v>
      </c>
      <c r="B2397" t="s">
        <v>799</v>
      </c>
      <c r="C2397" t="s">
        <v>2022</v>
      </c>
      <c r="D2397" t="s">
        <v>185</v>
      </c>
      <c r="E2397" cm="1">
        <f t="array" ref="E2397">_xlfn.XLOOKUP(D2397,SKU_Master!A:A,SKU_Master!B:B,"Not on master")</f>
        <v>0</v>
      </c>
      <c r="F2397" cm="1">
        <f t="array" ref="F2397">_xlfn.XLOOKUP(C2397,Account_Master!A:A,Account_Master!B:B,"Not on master")</f>
        <v>0</v>
      </c>
      <c r="G2397" cm="1">
        <f t="array" ref="G2397">_xlfn.XLOOKUP(C2397,Account_Master!A:A,Account_Master!C:C,"Not on master")</f>
        <v>0</v>
      </c>
      <c r="H2397" s="6">
        <v>289</v>
      </c>
      <c r="I2397" s="6">
        <v>289</v>
      </c>
      <c r="J2397" s="6">
        <f>I2397-H2397</f>
        <v>0</v>
      </c>
      <c r="K2397" s="5">
        <f>IF(H2397=0,"",J2397/H2397)</f>
        <v>0</v>
      </c>
      <c r="L2397">
        <f>IF(OR(AND(H2397=0,ABS(J2397)&gt;=0.01),AND(H2397&lt;&gt;0,ABS(K2397)&gt;VarianceThreshold)),"Review","OK")</f>
        <v>0</v>
      </c>
      <c r="M2397" t="s">
        <v>33</v>
      </c>
    </row>
    <row r="2398" spans="1:13">
      <c r="A2398" t="s">
        <v>3</v>
      </c>
      <c r="B2398" t="s">
        <v>799</v>
      </c>
      <c r="C2398" t="s">
        <v>2052</v>
      </c>
      <c r="D2398" t="s">
        <v>1190</v>
      </c>
      <c r="E2398" cm="1">
        <f t="array" ref="E2398">_xlfn.XLOOKUP(D2398,SKU_Master!A:A,SKU_Master!B:B,"Not on master")</f>
        <v>0</v>
      </c>
      <c r="F2398" cm="1">
        <f t="array" ref="F2398">_xlfn.XLOOKUP(C2398,Account_Master!A:A,Account_Master!B:B,"Not on master")</f>
        <v>0</v>
      </c>
      <c r="G2398" cm="1">
        <f t="array" ref="G2398">_xlfn.XLOOKUP(C2398,Account_Master!A:A,Account_Master!C:C,"Not on master")</f>
        <v>0</v>
      </c>
      <c r="H2398" s="6">
        <v>63</v>
      </c>
      <c r="I2398" s="6">
        <v>63</v>
      </c>
      <c r="J2398" s="6">
        <f>I2398-H2398</f>
        <v>0</v>
      </c>
      <c r="K2398" s="5">
        <f>IF(H2398=0,"",J2398/H2398)</f>
        <v>0</v>
      </c>
      <c r="L2398">
        <f>IF(OR(AND(H2398=0,ABS(J2398)&gt;=0.01),AND(H2398&lt;&gt;0,ABS(K2398)&gt;VarianceThreshold)),"Review","OK")</f>
        <v>0</v>
      </c>
      <c r="M2398" t="s">
        <v>33</v>
      </c>
    </row>
    <row r="2399" spans="1:13">
      <c r="A2399" t="s">
        <v>3</v>
      </c>
      <c r="B2399" t="s">
        <v>799</v>
      </c>
      <c r="C2399" t="s">
        <v>2027</v>
      </c>
      <c r="D2399" t="s">
        <v>972</v>
      </c>
      <c r="E2399" cm="1">
        <f t="array" ref="E2399">_xlfn.XLOOKUP(D2399,SKU_Master!A:A,SKU_Master!B:B,"Not on master")</f>
        <v>0</v>
      </c>
      <c r="F2399" cm="1">
        <f t="array" ref="F2399">_xlfn.XLOOKUP(C2399,Account_Master!A:A,Account_Master!B:B,"Not on master")</f>
        <v>0</v>
      </c>
      <c r="G2399" cm="1">
        <f t="array" ref="G2399">_xlfn.XLOOKUP(C2399,Account_Master!A:A,Account_Master!C:C,"Not on master")</f>
        <v>0</v>
      </c>
      <c r="H2399" s="6">
        <v>4.5</v>
      </c>
      <c r="I2399" s="6">
        <v>4.5</v>
      </c>
      <c r="J2399" s="6">
        <f>I2399-H2399</f>
        <v>0</v>
      </c>
      <c r="K2399" s="5">
        <f>IF(H2399=0,"",J2399/H2399)</f>
        <v>0</v>
      </c>
      <c r="L2399">
        <f>IF(OR(AND(H2399=0,ABS(J2399)&gt;=0.01),AND(H2399&lt;&gt;0,ABS(K2399)&gt;VarianceThreshold)),"Review","OK")</f>
        <v>0</v>
      </c>
      <c r="M2399" t="s">
        <v>33</v>
      </c>
    </row>
    <row r="2400" spans="1:13">
      <c r="A2400" t="s">
        <v>3</v>
      </c>
      <c r="B2400" t="s">
        <v>799</v>
      </c>
      <c r="C2400" t="s">
        <v>2145</v>
      </c>
      <c r="D2400" t="s">
        <v>879</v>
      </c>
      <c r="E2400" cm="1">
        <f t="array" ref="E2400">_xlfn.XLOOKUP(D2400,SKU_Master!A:A,SKU_Master!B:B,"Not on master")</f>
        <v>0</v>
      </c>
      <c r="F2400" cm="1">
        <f t="array" ref="F2400">_xlfn.XLOOKUP(C2400,Account_Master!A:A,Account_Master!B:B,"Not on master")</f>
        <v>0</v>
      </c>
      <c r="G2400" cm="1">
        <f t="array" ref="G2400">_xlfn.XLOOKUP(C2400,Account_Master!A:A,Account_Master!C:C,"Not on master")</f>
        <v>0</v>
      </c>
      <c r="H2400" s="6">
        <v>9.6</v>
      </c>
      <c r="I2400" s="6">
        <v>9.6</v>
      </c>
      <c r="J2400" s="6">
        <f>I2400-H2400</f>
        <v>0</v>
      </c>
      <c r="K2400" s="5">
        <f>IF(H2400=0,"",J2400/H2400)</f>
        <v>0</v>
      </c>
      <c r="L2400">
        <f>IF(OR(AND(H2400=0,ABS(J2400)&gt;=0.01),AND(H2400&lt;&gt;0,ABS(K2400)&gt;VarianceThreshold)),"Review","OK")</f>
        <v>0</v>
      </c>
      <c r="M2400" t="s">
        <v>33</v>
      </c>
    </row>
    <row r="2401" spans="1:13">
      <c r="A2401" t="s">
        <v>3</v>
      </c>
      <c r="B2401" t="s">
        <v>805</v>
      </c>
      <c r="C2401" t="s">
        <v>2073</v>
      </c>
      <c r="D2401" t="s">
        <v>2332</v>
      </c>
      <c r="E2401" cm="1">
        <f t="array" ref="E2401">_xlfn.XLOOKUP(D2401,SKU_Master!A:A,SKU_Master!B:B,"Not on master")</f>
        <v>0</v>
      </c>
      <c r="F2401" cm="1">
        <f t="array" ref="F2401">_xlfn.XLOOKUP(C2401,Account_Master!A:A,Account_Master!B:B,"Not on master")</f>
        <v>0</v>
      </c>
      <c r="G2401" cm="1">
        <f t="array" ref="G2401">_xlfn.XLOOKUP(C2401,Account_Master!A:A,Account_Master!C:C,"Not on master")</f>
        <v>0</v>
      </c>
      <c r="H2401" s="6">
        <v>0.2</v>
      </c>
      <c r="I2401" s="6">
        <v>0.2</v>
      </c>
      <c r="J2401" s="6">
        <f>I2401-H2401</f>
        <v>0</v>
      </c>
      <c r="K2401" s="5">
        <f>IF(H2401=0,"",J2401/H2401)</f>
        <v>0</v>
      </c>
      <c r="L2401">
        <f>IF(OR(AND(H2401=0,ABS(J2401)&gt;=0.01),AND(H2401&lt;&gt;0,ABS(K2401)&gt;VarianceThreshold)),"Review","OK")</f>
        <v>0</v>
      </c>
      <c r="M2401" t="s">
        <v>33</v>
      </c>
    </row>
    <row r="2402" spans="1:13">
      <c r="A2402" t="s">
        <v>3</v>
      </c>
      <c r="B2402" t="s">
        <v>805</v>
      </c>
      <c r="C2402" t="s">
        <v>2333</v>
      </c>
      <c r="D2402" t="s">
        <v>2334</v>
      </c>
      <c r="E2402" cm="1">
        <f t="array" ref="E2402">_xlfn.XLOOKUP(D2402,SKU_Master!A:A,SKU_Master!B:B,"Not on master")</f>
        <v>0</v>
      </c>
      <c r="F2402" cm="1">
        <f t="array" ref="F2402">_xlfn.XLOOKUP(C2402,Account_Master!A:A,Account_Master!B:B,"Not on master")</f>
        <v>0</v>
      </c>
      <c r="G2402" cm="1">
        <f t="array" ref="G2402">_xlfn.XLOOKUP(C2402,Account_Master!A:A,Account_Master!C:C,"Not on master")</f>
        <v>0</v>
      </c>
      <c r="H2402" s="6">
        <v>0.75</v>
      </c>
      <c r="I2402" s="6">
        <v>0.75</v>
      </c>
      <c r="J2402" s="6">
        <f>I2402-H2402</f>
        <v>0</v>
      </c>
      <c r="K2402" s="5">
        <f>IF(H2402=0,"",J2402/H2402)</f>
        <v>0</v>
      </c>
      <c r="L2402">
        <f>IF(OR(AND(H2402=0,ABS(J2402)&gt;=0.01),AND(H2402&lt;&gt;0,ABS(K2402)&gt;VarianceThreshold)),"Review","OK")</f>
        <v>0</v>
      </c>
      <c r="M2402" t="s">
        <v>33</v>
      </c>
    </row>
    <row r="2403" spans="1:13">
      <c r="A2403" t="s">
        <v>3</v>
      </c>
      <c r="B2403" t="s">
        <v>805</v>
      </c>
      <c r="C2403" t="s">
        <v>2335</v>
      </c>
      <c r="D2403" t="s">
        <v>2336</v>
      </c>
      <c r="E2403" cm="1">
        <f t="array" ref="E2403">_xlfn.XLOOKUP(D2403,SKU_Master!A:A,SKU_Master!B:B,"Not on master")</f>
        <v>0</v>
      </c>
      <c r="F2403" cm="1">
        <f t="array" ref="F2403">_xlfn.XLOOKUP(C2403,Account_Master!A:A,Account_Master!B:B,"Not on master")</f>
        <v>0</v>
      </c>
      <c r="G2403" cm="1">
        <f t="array" ref="G2403">_xlfn.XLOOKUP(C2403,Account_Master!A:A,Account_Master!C:C,"Not on master")</f>
        <v>0</v>
      </c>
      <c r="H2403" s="6">
        <v>67.5</v>
      </c>
      <c r="I2403" s="6">
        <v>67.5</v>
      </c>
      <c r="J2403" s="6">
        <f>I2403-H2403</f>
        <v>0</v>
      </c>
      <c r="K2403" s="5">
        <f>IF(H2403=0,"",J2403/H2403)</f>
        <v>0</v>
      </c>
      <c r="L2403">
        <f>IF(OR(AND(H2403=0,ABS(J2403)&gt;=0.01),AND(H2403&lt;&gt;0,ABS(K2403)&gt;VarianceThreshold)),"Review","OK")</f>
        <v>0</v>
      </c>
      <c r="M2403" t="s">
        <v>33</v>
      </c>
    </row>
    <row r="2404" spans="1:13">
      <c r="A2404" t="s">
        <v>3</v>
      </c>
      <c r="B2404" t="s">
        <v>805</v>
      </c>
      <c r="C2404" t="s">
        <v>2273</v>
      </c>
      <c r="D2404" t="s">
        <v>1692</v>
      </c>
      <c r="E2404" cm="1">
        <f t="array" ref="E2404">_xlfn.XLOOKUP(D2404,SKU_Master!A:A,SKU_Master!B:B,"Not on master")</f>
        <v>0</v>
      </c>
      <c r="F2404" cm="1">
        <f t="array" ref="F2404">_xlfn.XLOOKUP(C2404,Account_Master!A:A,Account_Master!B:B,"Not on master")</f>
        <v>0</v>
      </c>
      <c r="G2404" cm="1">
        <f t="array" ref="G2404">_xlfn.XLOOKUP(C2404,Account_Master!A:A,Account_Master!C:C,"Not on master")</f>
        <v>0</v>
      </c>
      <c r="H2404" s="6">
        <v>22.75</v>
      </c>
      <c r="I2404" s="6">
        <v>22.75</v>
      </c>
      <c r="J2404" s="6">
        <f>I2404-H2404</f>
        <v>0</v>
      </c>
      <c r="K2404" s="5">
        <f>IF(H2404=0,"",J2404/H2404)</f>
        <v>0</v>
      </c>
      <c r="L2404">
        <f>IF(OR(AND(H2404=0,ABS(J2404)&gt;=0.01),AND(H2404&lt;&gt;0,ABS(K2404)&gt;VarianceThreshold)),"Review","OK")</f>
        <v>0</v>
      </c>
      <c r="M2404" t="s">
        <v>33</v>
      </c>
    </row>
    <row r="2405" spans="1:13">
      <c r="A2405" t="s">
        <v>3</v>
      </c>
      <c r="B2405" t="s">
        <v>805</v>
      </c>
      <c r="C2405" t="s">
        <v>2215</v>
      </c>
      <c r="D2405" t="s">
        <v>2337</v>
      </c>
      <c r="E2405" cm="1">
        <f t="array" ref="E2405">_xlfn.XLOOKUP(D2405,SKU_Master!A:A,SKU_Master!B:B,"Not on master")</f>
        <v>0</v>
      </c>
      <c r="F2405" cm="1">
        <f t="array" ref="F2405">_xlfn.XLOOKUP(C2405,Account_Master!A:A,Account_Master!B:B,"Not on master")</f>
        <v>0</v>
      </c>
      <c r="G2405" cm="1">
        <f t="array" ref="G2405">_xlfn.XLOOKUP(C2405,Account_Master!A:A,Account_Master!C:C,"Not on master")</f>
        <v>0</v>
      </c>
      <c r="H2405" s="6">
        <v>10.5</v>
      </c>
      <c r="I2405" s="6">
        <v>10.5</v>
      </c>
      <c r="J2405" s="6">
        <f>I2405-H2405</f>
        <v>0</v>
      </c>
      <c r="K2405" s="5">
        <f>IF(H2405=0,"",J2405/H2405)</f>
        <v>0</v>
      </c>
      <c r="L2405">
        <f>IF(OR(AND(H2405=0,ABS(J2405)&gt;=0.01),AND(H2405&lt;&gt;0,ABS(K2405)&gt;VarianceThreshold)),"Review","OK")</f>
        <v>0</v>
      </c>
      <c r="M2405" t="s">
        <v>33</v>
      </c>
    </row>
    <row r="2406" spans="1:13">
      <c r="A2406" t="s">
        <v>3</v>
      </c>
      <c r="B2406" t="s">
        <v>805</v>
      </c>
      <c r="C2406" t="s">
        <v>2066</v>
      </c>
      <c r="D2406" t="s">
        <v>2338</v>
      </c>
      <c r="E2406" cm="1">
        <f t="array" ref="E2406">_xlfn.XLOOKUP(D2406,SKU_Master!A:A,SKU_Master!B:B,"Not on master")</f>
        <v>0</v>
      </c>
      <c r="F2406" cm="1">
        <f t="array" ref="F2406">_xlfn.XLOOKUP(C2406,Account_Master!A:A,Account_Master!B:B,"Not on master")</f>
        <v>0</v>
      </c>
      <c r="G2406" cm="1">
        <f t="array" ref="G2406">_xlfn.XLOOKUP(C2406,Account_Master!A:A,Account_Master!C:C,"Not on master")</f>
        <v>0</v>
      </c>
      <c r="H2406" s="6">
        <v>49.5</v>
      </c>
      <c r="I2406" s="6">
        <v>49.5</v>
      </c>
      <c r="J2406" s="6">
        <f>I2406-H2406</f>
        <v>0</v>
      </c>
      <c r="K2406" s="5">
        <f>IF(H2406=0,"",J2406/H2406)</f>
        <v>0</v>
      </c>
      <c r="L2406">
        <f>IF(OR(AND(H2406=0,ABS(J2406)&gt;=0.01),AND(H2406&lt;&gt;0,ABS(K2406)&gt;VarianceThreshold)),"Review","OK")</f>
        <v>0</v>
      </c>
      <c r="M2406" t="s">
        <v>33</v>
      </c>
    </row>
    <row r="2407" spans="1:13">
      <c r="A2407" t="s">
        <v>3</v>
      </c>
      <c r="B2407" t="s">
        <v>805</v>
      </c>
      <c r="C2407" t="s">
        <v>2081</v>
      </c>
      <c r="D2407" t="s">
        <v>680</v>
      </c>
      <c r="E2407" cm="1">
        <f t="array" ref="E2407">_xlfn.XLOOKUP(D2407,SKU_Master!A:A,SKU_Master!B:B,"Not on master")</f>
        <v>0</v>
      </c>
      <c r="F2407" cm="1">
        <f t="array" ref="F2407">_xlfn.XLOOKUP(C2407,Account_Master!A:A,Account_Master!B:B,"Not on master")</f>
        <v>0</v>
      </c>
      <c r="G2407" cm="1">
        <f t="array" ref="G2407">_xlfn.XLOOKUP(C2407,Account_Master!A:A,Account_Master!C:C,"Not on master")</f>
        <v>0</v>
      </c>
      <c r="H2407" s="6">
        <v>0.75</v>
      </c>
      <c r="I2407" s="6">
        <v>0.75</v>
      </c>
      <c r="J2407" s="6">
        <f>I2407-H2407</f>
        <v>0</v>
      </c>
      <c r="K2407" s="5">
        <f>IF(H2407=0,"",J2407/H2407)</f>
        <v>0</v>
      </c>
      <c r="L2407">
        <f>IF(OR(AND(H2407=0,ABS(J2407)&gt;=0.01),AND(H2407&lt;&gt;0,ABS(K2407)&gt;VarianceThreshold)),"Review","OK")</f>
        <v>0</v>
      </c>
      <c r="M2407" t="s">
        <v>33</v>
      </c>
    </row>
    <row r="2408" spans="1:13">
      <c r="A2408" t="s">
        <v>3</v>
      </c>
      <c r="B2408" t="s">
        <v>805</v>
      </c>
      <c r="C2408" t="s">
        <v>2273</v>
      </c>
      <c r="D2408" t="s">
        <v>132</v>
      </c>
      <c r="E2408" cm="1">
        <f t="array" ref="E2408">_xlfn.XLOOKUP(D2408,SKU_Master!A:A,SKU_Master!B:B,"Not on master")</f>
        <v>0</v>
      </c>
      <c r="F2408" cm="1">
        <f t="array" ref="F2408">_xlfn.XLOOKUP(C2408,Account_Master!A:A,Account_Master!B:B,"Not on master")</f>
        <v>0</v>
      </c>
      <c r="G2408" cm="1">
        <f t="array" ref="G2408">_xlfn.XLOOKUP(C2408,Account_Master!A:A,Account_Master!C:C,"Not on master")</f>
        <v>0</v>
      </c>
      <c r="H2408" s="6">
        <v>24</v>
      </c>
      <c r="I2408" s="6">
        <v>24</v>
      </c>
      <c r="J2408" s="6">
        <f>I2408-H2408</f>
        <v>0</v>
      </c>
      <c r="K2408" s="5">
        <f>IF(H2408=0,"",J2408/H2408)</f>
        <v>0</v>
      </c>
      <c r="L2408">
        <f>IF(OR(AND(H2408=0,ABS(J2408)&gt;=0.01),AND(H2408&lt;&gt;0,ABS(K2408)&gt;VarianceThreshold)),"Review","OK")</f>
        <v>0</v>
      </c>
      <c r="M2408" t="s">
        <v>33</v>
      </c>
    </row>
    <row r="2409" spans="1:13">
      <c r="A2409" t="s">
        <v>3</v>
      </c>
      <c r="B2409" t="s">
        <v>805</v>
      </c>
      <c r="C2409" t="s">
        <v>2220</v>
      </c>
      <c r="D2409" t="s">
        <v>2339</v>
      </c>
      <c r="E2409" cm="1">
        <f t="array" ref="E2409">_xlfn.XLOOKUP(D2409,SKU_Master!A:A,SKU_Master!B:B,"Not on master")</f>
        <v>0</v>
      </c>
      <c r="F2409" cm="1">
        <f t="array" ref="F2409">_xlfn.XLOOKUP(C2409,Account_Master!A:A,Account_Master!B:B,"Not on master")</f>
        <v>0</v>
      </c>
      <c r="G2409" cm="1">
        <f t="array" ref="G2409">_xlfn.XLOOKUP(C2409,Account_Master!A:A,Account_Master!C:C,"Not on master")</f>
        <v>0</v>
      </c>
      <c r="H2409" s="6">
        <v>5.25</v>
      </c>
      <c r="I2409" s="6">
        <v>5.25</v>
      </c>
      <c r="J2409" s="6">
        <f>I2409-H2409</f>
        <v>0</v>
      </c>
      <c r="K2409" s="5">
        <f>IF(H2409=0,"",J2409/H2409)</f>
        <v>0</v>
      </c>
      <c r="L2409">
        <f>IF(OR(AND(H2409=0,ABS(J2409)&gt;=0.01),AND(H2409&lt;&gt;0,ABS(K2409)&gt;VarianceThreshold)),"Review","OK")</f>
        <v>0</v>
      </c>
      <c r="M2409" t="s">
        <v>33</v>
      </c>
    </row>
    <row r="2410" spans="1:13">
      <c r="A2410" t="s">
        <v>3</v>
      </c>
      <c r="B2410" t="s">
        <v>814</v>
      </c>
      <c r="C2410" t="s">
        <v>2022</v>
      </c>
      <c r="D2410" t="s">
        <v>199</v>
      </c>
      <c r="E2410" cm="1">
        <f t="array" ref="E2410">_xlfn.XLOOKUP(D2410,SKU_Master!A:A,SKU_Master!B:B,"Not on master")</f>
        <v>0</v>
      </c>
      <c r="F2410" cm="1">
        <f t="array" ref="F2410">_xlfn.XLOOKUP(C2410,Account_Master!A:A,Account_Master!B:B,"Not on master")</f>
        <v>0</v>
      </c>
      <c r="G2410" cm="1">
        <f t="array" ref="G2410">_xlfn.XLOOKUP(C2410,Account_Master!A:A,Account_Master!C:C,"Not on master")</f>
        <v>0</v>
      </c>
      <c r="H2410" s="6">
        <v>27</v>
      </c>
      <c r="I2410" s="6">
        <v>27</v>
      </c>
      <c r="J2410" s="6">
        <f>I2410-H2410</f>
        <v>0</v>
      </c>
      <c r="K2410" s="5">
        <f>IF(H2410=0,"",J2410/H2410)</f>
        <v>0</v>
      </c>
      <c r="L2410">
        <f>IF(OR(AND(H2410=0,ABS(J2410)&gt;=0.01),AND(H2410&lt;&gt;0,ABS(K2410)&gt;VarianceThreshold)),"Review","OK")</f>
        <v>0</v>
      </c>
      <c r="M2410" t="s">
        <v>33</v>
      </c>
    </row>
    <row r="2411" spans="1:13">
      <c r="A2411" t="s">
        <v>3</v>
      </c>
      <c r="B2411" t="s">
        <v>814</v>
      </c>
      <c r="C2411" t="s">
        <v>2035</v>
      </c>
      <c r="D2411" t="s">
        <v>1623</v>
      </c>
      <c r="E2411" cm="1">
        <f t="array" ref="E2411">_xlfn.XLOOKUP(D2411,SKU_Master!A:A,SKU_Master!B:B,"Not on master")</f>
        <v>0</v>
      </c>
      <c r="F2411" cm="1">
        <f t="array" ref="F2411">_xlfn.XLOOKUP(C2411,Account_Master!A:A,Account_Master!B:B,"Not on master")</f>
        <v>0</v>
      </c>
      <c r="G2411" cm="1">
        <f t="array" ref="G2411">_xlfn.XLOOKUP(C2411,Account_Master!A:A,Account_Master!C:C,"Not on master")</f>
        <v>0</v>
      </c>
      <c r="H2411" s="6">
        <v>33</v>
      </c>
      <c r="I2411" s="6">
        <v>33</v>
      </c>
      <c r="J2411" s="6">
        <f>I2411-H2411</f>
        <v>0</v>
      </c>
      <c r="K2411" s="5">
        <f>IF(H2411=0,"",J2411/H2411)</f>
        <v>0</v>
      </c>
      <c r="L2411">
        <f>IF(OR(AND(H2411=0,ABS(J2411)&gt;=0.01),AND(H2411&lt;&gt;0,ABS(K2411)&gt;VarianceThreshold)),"Review","OK")</f>
        <v>0</v>
      </c>
      <c r="M2411" t="s">
        <v>33</v>
      </c>
    </row>
    <row r="2412" spans="1:13">
      <c r="A2412" t="s">
        <v>3</v>
      </c>
      <c r="B2412" t="s">
        <v>814</v>
      </c>
      <c r="C2412" t="s">
        <v>2052</v>
      </c>
      <c r="D2412" t="s">
        <v>2340</v>
      </c>
      <c r="E2412" cm="1">
        <f t="array" ref="E2412">_xlfn.XLOOKUP(D2412,SKU_Master!A:A,SKU_Master!B:B,"Not on master")</f>
        <v>0</v>
      </c>
      <c r="F2412" cm="1">
        <f t="array" ref="F2412">_xlfn.XLOOKUP(C2412,Account_Master!A:A,Account_Master!B:B,"Not on master")</f>
        <v>0</v>
      </c>
      <c r="G2412" cm="1">
        <f t="array" ref="G2412">_xlfn.XLOOKUP(C2412,Account_Master!A:A,Account_Master!C:C,"Not on master")</f>
        <v>0</v>
      </c>
      <c r="H2412" s="6">
        <v>4.5</v>
      </c>
      <c r="I2412" s="6">
        <v>4.5</v>
      </c>
      <c r="J2412" s="6">
        <f>I2412-H2412</f>
        <v>0</v>
      </c>
      <c r="K2412" s="5">
        <f>IF(H2412=0,"",J2412/H2412)</f>
        <v>0</v>
      </c>
      <c r="L2412">
        <f>IF(OR(AND(H2412=0,ABS(J2412)&gt;=0.01),AND(H2412&lt;&gt;0,ABS(K2412)&gt;VarianceThreshold)),"Review","OK")</f>
        <v>0</v>
      </c>
      <c r="M2412" t="s">
        <v>33</v>
      </c>
    </row>
    <row r="2413" spans="1:13">
      <c r="A2413" t="s">
        <v>3</v>
      </c>
      <c r="B2413" t="s">
        <v>829</v>
      </c>
      <c r="C2413" t="s">
        <v>2027</v>
      </c>
      <c r="D2413" t="s">
        <v>2341</v>
      </c>
      <c r="E2413" cm="1">
        <f t="array" ref="E2413">_xlfn.XLOOKUP(D2413,SKU_Master!A:A,SKU_Master!B:B,"Not on master")</f>
        <v>0</v>
      </c>
      <c r="F2413" cm="1">
        <f t="array" ref="F2413">_xlfn.XLOOKUP(C2413,Account_Master!A:A,Account_Master!B:B,"Not on master")</f>
        <v>0</v>
      </c>
      <c r="G2413" cm="1">
        <f t="array" ref="G2413">_xlfn.XLOOKUP(C2413,Account_Master!A:A,Account_Master!C:C,"Not on master")</f>
        <v>0</v>
      </c>
      <c r="H2413" s="6">
        <v>18</v>
      </c>
      <c r="I2413" s="6">
        <v>18</v>
      </c>
      <c r="J2413" s="6">
        <f>I2413-H2413</f>
        <v>0</v>
      </c>
      <c r="K2413" s="5">
        <f>IF(H2413=0,"",J2413/H2413)</f>
        <v>0</v>
      </c>
      <c r="L2413">
        <f>IF(OR(AND(H2413=0,ABS(J2413)&gt;=0.01),AND(H2413&lt;&gt;0,ABS(K2413)&gt;VarianceThreshold)),"Review","OK")</f>
        <v>0</v>
      </c>
      <c r="M2413" t="s">
        <v>33</v>
      </c>
    </row>
    <row r="2414" spans="1:13">
      <c r="A2414" t="s">
        <v>3</v>
      </c>
      <c r="B2414" t="s">
        <v>829</v>
      </c>
      <c r="C2414" t="s">
        <v>2188</v>
      </c>
      <c r="D2414" t="s">
        <v>2342</v>
      </c>
      <c r="E2414" cm="1">
        <f t="array" ref="E2414">_xlfn.XLOOKUP(D2414,SKU_Master!A:A,SKU_Master!B:B,"Not on master")</f>
        <v>0</v>
      </c>
      <c r="F2414" cm="1">
        <f t="array" ref="F2414">_xlfn.XLOOKUP(C2414,Account_Master!A:A,Account_Master!B:B,"Not on master")</f>
        <v>0</v>
      </c>
      <c r="G2414" cm="1">
        <f t="array" ref="G2414">_xlfn.XLOOKUP(C2414,Account_Master!A:A,Account_Master!C:C,"Not on master")</f>
        <v>0</v>
      </c>
      <c r="H2414" s="6">
        <v>12</v>
      </c>
      <c r="I2414" s="6">
        <v>12</v>
      </c>
      <c r="J2414" s="6">
        <f>I2414-H2414</f>
        <v>0</v>
      </c>
      <c r="K2414" s="5">
        <f>IF(H2414=0,"",J2414/H2414)</f>
        <v>0</v>
      </c>
      <c r="L2414">
        <f>IF(OR(AND(H2414=0,ABS(J2414)&gt;=0.01),AND(H2414&lt;&gt;0,ABS(K2414)&gt;VarianceThreshold)),"Review","OK")</f>
        <v>0</v>
      </c>
      <c r="M2414" t="s">
        <v>33</v>
      </c>
    </row>
    <row r="2415" spans="1:13">
      <c r="A2415" t="s">
        <v>3</v>
      </c>
      <c r="B2415" t="s">
        <v>829</v>
      </c>
      <c r="C2415" t="s">
        <v>2343</v>
      </c>
      <c r="D2415" t="s">
        <v>2344</v>
      </c>
      <c r="E2415" cm="1">
        <f t="array" ref="E2415">_xlfn.XLOOKUP(D2415,SKU_Master!A:A,SKU_Master!B:B,"Not on master")</f>
        <v>0</v>
      </c>
      <c r="F2415" cm="1">
        <f t="array" ref="F2415">_xlfn.XLOOKUP(C2415,Account_Master!A:A,Account_Master!B:B,"Not on master")</f>
        <v>0</v>
      </c>
      <c r="G2415" cm="1">
        <f t="array" ref="G2415">_xlfn.XLOOKUP(C2415,Account_Master!A:A,Account_Master!C:C,"Not on master")</f>
        <v>0</v>
      </c>
      <c r="H2415" s="6">
        <v>9.75</v>
      </c>
      <c r="I2415" s="6">
        <v>9.75</v>
      </c>
      <c r="J2415" s="6">
        <f>I2415-H2415</f>
        <v>0</v>
      </c>
      <c r="K2415" s="5">
        <f>IF(H2415=0,"",J2415/H2415)</f>
        <v>0</v>
      </c>
      <c r="L2415">
        <f>IF(OR(AND(H2415=0,ABS(J2415)&gt;=0.01),AND(H2415&lt;&gt;0,ABS(K2415)&gt;VarianceThreshold)),"Review","OK")</f>
        <v>0</v>
      </c>
      <c r="M2415" t="s">
        <v>33</v>
      </c>
    </row>
    <row r="2416" spans="1:13">
      <c r="A2416" t="s">
        <v>3</v>
      </c>
      <c r="B2416" t="s">
        <v>829</v>
      </c>
      <c r="C2416" t="s">
        <v>2266</v>
      </c>
      <c r="D2416" t="s">
        <v>1250</v>
      </c>
      <c r="E2416" cm="1">
        <f t="array" ref="E2416">_xlfn.XLOOKUP(D2416,SKU_Master!A:A,SKU_Master!B:B,"Not on master")</f>
        <v>0</v>
      </c>
      <c r="F2416" cm="1">
        <f t="array" ref="F2416">_xlfn.XLOOKUP(C2416,Account_Master!A:A,Account_Master!B:B,"Not on master")</f>
        <v>0</v>
      </c>
      <c r="G2416" cm="1">
        <f t="array" ref="G2416">_xlfn.XLOOKUP(C2416,Account_Master!A:A,Account_Master!C:C,"Not on master")</f>
        <v>0</v>
      </c>
      <c r="H2416" s="6">
        <v>42</v>
      </c>
      <c r="I2416" s="6">
        <v>42</v>
      </c>
      <c r="J2416" s="6">
        <f>I2416-H2416</f>
        <v>0</v>
      </c>
      <c r="K2416" s="5">
        <f>IF(H2416=0,"",J2416/H2416)</f>
        <v>0</v>
      </c>
      <c r="L2416">
        <f>IF(OR(AND(H2416=0,ABS(J2416)&gt;=0.01),AND(H2416&lt;&gt;0,ABS(K2416)&gt;VarianceThreshold)),"Review","OK")</f>
        <v>0</v>
      </c>
      <c r="M2416" t="s">
        <v>33</v>
      </c>
    </row>
    <row r="2417" spans="1:13">
      <c r="A2417" t="s">
        <v>3</v>
      </c>
      <c r="B2417" t="s">
        <v>836</v>
      </c>
      <c r="C2417" t="s">
        <v>2343</v>
      </c>
      <c r="D2417" t="s">
        <v>816</v>
      </c>
      <c r="E2417" cm="1">
        <f t="array" ref="E2417">_xlfn.XLOOKUP(D2417,SKU_Master!A:A,SKU_Master!B:B,"Not on master")</f>
        <v>0</v>
      </c>
      <c r="F2417" cm="1">
        <f t="array" ref="F2417">_xlfn.XLOOKUP(C2417,Account_Master!A:A,Account_Master!B:B,"Not on master")</f>
        <v>0</v>
      </c>
      <c r="G2417" cm="1">
        <f t="array" ref="G2417">_xlfn.XLOOKUP(C2417,Account_Master!A:A,Account_Master!C:C,"Not on master")</f>
        <v>0</v>
      </c>
      <c r="H2417" s="6">
        <v>21</v>
      </c>
      <c r="I2417" s="6">
        <v>21</v>
      </c>
      <c r="J2417" s="6">
        <f>I2417-H2417</f>
        <v>0</v>
      </c>
      <c r="K2417" s="5">
        <f>IF(H2417=0,"",J2417/H2417)</f>
        <v>0</v>
      </c>
      <c r="L2417">
        <f>IF(OR(AND(H2417=0,ABS(J2417)&gt;=0.01),AND(H2417&lt;&gt;0,ABS(K2417)&gt;VarianceThreshold)),"Review","OK")</f>
        <v>0</v>
      </c>
      <c r="M2417" t="s">
        <v>33</v>
      </c>
    </row>
    <row r="2418" spans="1:13">
      <c r="A2418" t="s">
        <v>3</v>
      </c>
      <c r="B2418" t="s">
        <v>836</v>
      </c>
      <c r="C2418" t="s">
        <v>2116</v>
      </c>
      <c r="D2418" t="s">
        <v>63</v>
      </c>
      <c r="E2418" cm="1">
        <f t="array" ref="E2418">_xlfn.XLOOKUP(D2418,SKU_Master!A:A,SKU_Master!B:B,"Not on master")</f>
        <v>0</v>
      </c>
      <c r="F2418" cm="1">
        <f t="array" ref="F2418">_xlfn.XLOOKUP(C2418,Account_Master!A:A,Account_Master!B:B,"Not on master")</f>
        <v>0</v>
      </c>
      <c r="G2418" cm="1">
        <f t="array" ref="G2418">_xlfn.XLOOKUP(C2418,Account_Master!A:A,Account_Master!C:C,"Not on master")</f>
        <v>0</v>
      </c>
      <c r="H2418" s="6">
        <v>3</v>
      </c>
      <c r="I2418" s="6">
        <v>3</v>
      </c>
      <c r="J2418" s="6">
        <f>I2418-H2418</f>
        <v>0</v>
      </c>
      <c r="K2418" s="5">
        <f>IF(H2418=0,"",J2418/H2418)</f>
        <v>0</v>
      </c>
      <c r="L2418">
        <f>IF(OR(AND(H2418=0,ABS(J2418)&gt;=0.01),AND(H2418&lt;&gt;0,ABS(K2418)&gt;VarianceThreshold)),"Review","OK")</f>
        <v>0</v>
      </c>
      <c r="M2418" t="s">
        <v>33</v>
      </c>
    </row>
    <row r="2419" spans="1:13">
      <c r="A2419" t="s">
        <v>3</v>
      </c>
      <c r="B2419" t="s">
        <v>836</v>
      </c>
      <c r="C2419" t="s">
        <v>2019</v>
      </c>
      <c r="D2419" t="s">
        <v>2345</v>
      </c>
      <c r="E2419" cm="1">
        <f t="array" ref="E2419">_xlfn.XLOOKUP(D2419,SKU_Master!A:A,SKU_Master!B:B,"Not on master")</f>
        <v>0</v>
      </c>
      <c r="F2419" cm="1">
        <f t="array" ref="F2419">_xlfn.XLOOKUP(C2419,Account_Master!A:A,Account_Master!B:B,"Not on master")</f>
        <v>0</v>
      </c>
      <c r="G2419" cm="1">
        <f t="array" ref="G2419">_xlfn.XLOOKUP(C2419,Account_Master!A:A,Account_Master!C:C,"Not on master")</f>
        <v>0</v>
      </c>
      <c r="H2419" s="6">
        <v>10.5</v>
      </c>
      <c r="I2419" s="6">
        <v>10.5</v>
      </c>
      <c r="J2419" s="6">
        <f>I2419-H2419</f>
        <v>0</v>
      </c>
      <c r="K2419" s="5">
        <f>IF(H2419=0,"",J2419/H2419)</f>
        <v>0</v>
      </c>
      <c r="L2419">
        <f>IF(OR(AND(H2419=0,ABS(J2419)&gt;=0.01),AND(H2419&lt;&gt;0,ABS(K2419)&gt;VarianceThreshold)),"Review","OK")</f>
        <v>0</v>
      </c>
      <c r="M2419" t="s">
        <v>33</v>
      </c>
    </row>
    <row r="2420" spans="1:13">
      <c r="A2420" t="s">
        <v>3</v>
      </c>
      <c r="B2420" t="s">
        <v>836</v>
      </c>
      <c r="C2420" t="s">
        <v>2346</v>
      </c>
      <c r="D2420" t="s">
        <v>2347</v>
      </c>
      <c r="E2420" cm="1">
        <f t="array" ref="E2420">_xlfn.XLOOKUP(D2420,SKU_Master!A:A,SKU_Master!B:B,"Not on master")</f>
        <v>0</v>
      </c>
      <c r="F2420" cm="1">
        <f t="array" ref="F2420">_xlfn.XLOOKUP(C2420,Account_Master!A:A,Account_Master!B:B,"Not on master")</f>
        <v>0</v>
      </c>
      <c r="G2420" cm="1">
        <f t="array" ref="G2420">_xlfn.XLOOKUP(C2420,Account_Master!A:A,Account_Master!C:C,"Not on master")</f>
        <v>0</v>
      </c>
      <c r="H2420" s="6">
        <v>0.75</v>
      </c>
      <c r="I2420" s="6">
        <v>0.75</v>
      </c>
      <c r="J2420" s="6">
        <f>I2420-H2420</f>
        <v>0</v>
      </c>
      <c r="K2420" s="5">
        <f>IF(H2420=0,"",J2420/H2420)</f>
        <v>0</v>
      </c>
      <c r="L2420">
        <f>IF(OR(AND(H2420=0,ABS(J2420)&gt;=0.01),AND(H2420&lt;&gt;0,ABS(K2420)&gt;VarianceThreshold)),"Review","OK")</f>
        <v>0</v>
      </c>
      <c r="M2420" t="s">
        <v>33</v>
      </c>
    </row>
    <row r="2421" spans="1:13">
      <c r="A2421" t="s">
        <v>3</v>
      </c>
      <c r="B2421" t="s">
        <v>836</v>
      </c>
      <c r="C2421" t="s">
        <v>2041</v>
      </c>
      <c r="D2421" t="s">
        <v>2348</v>
      </c>
      <c r="E2421" cm="1">
        <f t="array" ref="E2421">_xlfn.XLOOKUP(D2421,SKU_Master!A:A,SKU_Master!B:B,"Not on master")</f>
        <v>0</v>
      </c>
      <c r="F2421" cm="1">
        <f t="array" ref="F2421">_xlfn.XLOOKUP(C2421,Account_Master!A:A,Account_Master!B:B,"Not on master")</f>
        <v>0</v>
      </c>
      <c r="G2421" cm="1">
        <f t="array" ref="G2421">_xlfn.XLOOKUP(C2421,Account_Master!A:A,Account_Master!C:C,"Not on master")</f>
        <v>0</v>
      </c>
      <c r="H2421" s="6">
        <v>3.5</v>
      </c>
      <c r="I2421" s="6">
        <v>3.5</v>
      </c>
      <c r="J2421" s="6">
        <f>I2421-H2421</f>
        <v>0</v>
      </c>
      <c r="K2421" s="5">
        <f>IF(H2421=0,"",J2421/H2421)</f>
        <v>0</v>
      </c>
      <c r="L2421">
        <f>IF(OR(AND(H2421=0,ABS(J2421)&gt;=0.01),AND(H2421&lt;&gt;0,ABS(K2421)&gt;VarianceThreshold)),"Review","OK")</f>
        <v>0</v>
      </c>
      <c r="M2421" t="s">
        <v>33</v>
      </c>
    </row>
    <row r="2422" spans="1:13">
      <c r="A2422" t="s">
        <v>3</v>
      </c>
      <c r="B2422" t="s">
        <v>836</v>
      </c>
      <c r="C2422" t="s">
        <v>2155</v>
      </c>
      <c r="D2422" t="s">
        <v>965</v>
      </c>
      <c r="E2422" cm="1">
        <f t="array" ref="E2422">_xlfn.XLOOKUP(D2422,SKU_Master!A:A,SKU_Master!B:B,"Not on master")</f>
        <v>0</v>
      </c>
      <c r="F2422" cm="1">
        <f t="array" ref="F2422">_xlfn.XLOOKUP(C2422,Account_Master!A:A,Account_Master!B:B,"Not on master")</f>
        <v>0</v>
      </c>
      <c r="G2422" cm="1">
        <f t="array" ref="G2422">_xlfn.XLOOKUP(C2422,Account_Master!A:A,Account_Master!C:C,"Not on master")</f>
        <v>0</v>
      </c>
      <c r="H2422" s="6">
        <v>26</v>
      </c>
      <c r="I2422" s="6">
        <v>26</v>
      </c>
      <c r="J2422" s="6">
        <f>I2422-H2422</f>
        <v>0</v>
      </c>
      <c r="K2422" s="5">
        <f>IF(H2422=0,"",J2422/H2422)</f>
        <v>0</v>
      </c>
      <c r="L2422">
        <f>IF(OR(AND(H2422=0,ABS(J2422)&gt;=0.01),AND(H2422&lt;&gt;0,ABS(K2422)&gt;VarianceThreshold)),"Review","OK")</f>
        <v>0</v>
      </c>
      <c r="M2422" t="s">
        <v>33</v>
      </c>
    </row>
    <row r="2423" spans="1:13">
      <c r="A2423" t="s">
        <v>3</v>
      </c>
      <c r="B2423" t="s">
        <v>836</v>
      </c>
      <c r="C2423" t="s">
        <v>2022</v>
      </c>
      <c r="D2423" t="s">
        <v>671</v>
      </c>
      <c r="E2423" cm="1">
        <f t="array" ref="E2423">_xlfn.XLOOKUP(D2423,SKU_Master!A:A,SKU_Master!B:B,"Not on master")</f>
        <v>0</v>
      </c>
      <c r="F2423" cm="1">
        <f t="array" ref="F2423">_xlfn.XLOOKUP(C2423,Account_Master!A:A,Account_Master!B:B,"Not on master")</f>
        <v>0</v>
      </c>
      <c r="G2423" cm="1">
        <f t="array" ref="G2423">_xlfn.XLOOKUP(C2423,Account_Master!A:A,Account_Master!C:C,"Not on master")</f>
        <v>0</v>
      </c>
      <c r="H2423" s="6">
        <v>104</v>
      </c>
      <c r="I2423" s="6">
        <v>104</v>
      </c>
      <c r="J2423" s="6">
        <f>I2423-H2423</f>
        <v>0</v>
      </c>
      <c r="K2423" s="5">
        <f>IF(H2423=0,"",J2423/H2423)</f>
        <v>0</v>
      </c>
      <c r="L2423">
        <f>IF(OR(AND(H2423=0,ABS(J2423)&gt;=0.01),AND(H2423&lt;&gt;0,ABS(K2423)&gt;VarianceThreshold)),"Review","OK")</f>
        <v>0</v>
      </c>
      <c r="M2423" t="s">
        <v>33</v>
      </c>
    </row>
    <row r="2424" spans="1:13">
      <c r="A2424" t="s">
        <v>3</v>
      </c>
      <c r="B2424" t="s">
        <v>836</v>
      </c>
      <c r="C2424" t="s">
        <v>2022</v>
      </c>
      <c r="D2424" t="s">
        <v>2349</v>
      </c>
      <c r="E2424" cm="1">
        <f t="array" ref="E2424">_xlfn.XLOOKUP(D2424,SKU_Master!A:A,SKU_Master!B:B,"Not on master")</f>
        <v>0</v>
      </c>
      <c r="F2424" cm="1">
        <f t="array" ref="F2424">_xlfn.XLOOKUP(C2424,Account_Master!A:A,Account_Master!B:B,"Not on master")</f>
        <v>0</v>
      </c>
      <c r="G2424" cm="1">
        <f t="array" ref="G2424">_xlfn.XLOOKUP(C2424,Account_Master!A:A,Account_Master!C:C,"Not on master")</f>
        <v>0</v>
      </c>
      <c r="H2424" s="6">
        <v>4.5</v>
      </c>
      <c r="I2424" s="6">
        <v>4.5</v>
      </c>
      <c r="J2424" s="6">
        <f>I2424-H2424</f>
        <v>0</v>
      </c>
      <c r="K2424" s="5">
        <f>IF(H2424=0,"",J2424/H2424)</f>
        <v>0</v>
      </c>
      <c r="L2424">
        <f>IF(OR(AND(H2424=0,ABS(J2424)&gt;=0.01),AND(H2424&lt;&gt;0,ABS(K2424)&gt;VarianceThreshold)),"Review","OK")</f>
        <v>0</v>
      </c>
      <c r="M2424" t="s">
        <v>33</v>
      </c>
    </row>
    <row r="2425" spans="1:13">
      <c r="A2425" t="s">
        <v>3</v>
      </c>
      <c r="B2425" t="s">
        <v>836</v>
      </c>
      <c r="C2425" t="s">
        <v>2022</v>
      </c>
      <c r="D2425" t="s">
        <v>2350</v>
      </c>
      <c r="E2425" cm="1">
        <f t="array" ref="E2425">_xlfn.XLOOKUP(D2425,SKU_Master!A:A,SKU_Master!B:B,"Not on master")</f>
        <v>0</v>
      </c>
      <c r="F2425" cm="1">
        <f t="array" ref="F2425">_xlfn.XLOOKUP(C2425,Account_Master!A:A,Account_Master!B:B,"Not on master")</f>
        <v>0</v>
      </c>
      <c r="G2425" cm="1">
        <f t="array" ref="G2425">_xlfn.XLOOKUP(C2425,Account_Master!A:A,Account_Master!C:C,"Not on master")</f>
        <v>0</v>
      </c>
      <c r="H2425" s="6">
        <v>5.25</v>
      </c>
      <c r="I2425" s="6">
        <v>5.25</v>
      </c>
      <c r="J2425" s="6">
        <f>I2425-H2425</f>
        <v>0</v>
      </c>
      <c r="K2425" s="5">
        <f>IF(H2425=0,"",J2425/H2425)</f>
        <v>0</v>
      </c>
      <c r="L2425">
        <f>IF(OR(AND(H2425=0,ABS(J2425)&gt;=0.01),AND(H2425&lt;&gt;0,ABS(K2425)&gt;VarianceThreshold)),"Review","OK")</f>
        <v>0</v>
      </c>
      <c r="M2425" t="s">
        <v>33</v>
      </c>
    </row>
    <row r="2426" spans="1:13">
      <c r="A2426" t="s">
        <v>3</v>
      </c>
      <c r="B2426" t="s">
        <v>846</v>
      </c>
      <c r="C2426" t="s">
        <v>2015</v>
      </c>
      <c r="D2426" t="s">
        <v>1028</v>
      </c>
      <c r="E2426" cm="1">
        <f t="array" ref="E2426">_xlfn.XLOOKUP(D2426,SKU_Master!A:A,SKU_Master!B:B,"Not on master")</f>
        <v>0</v>
      </c>
      <c r="F2426" cm="1">
        <f t="array" ref="F2426">_xlfn.XLOOKUP(C2426,Account_Master!A:A,Account_Master!B:B,"Not on master")</f>
        <v>0</v>
      </c>
      <c r="G2426" cm="1">
        <f t="array" ref="G2426">_xlfn.XLOOKUP(C2426,Account_Master!A:A,Account_Master!C:C,"Not on master")</f>
        <v>0</v>
      </c>
      <c r="H2426" s="6">
        <v>10.5</v>
      </c>
      <c r="I2426" s="6">
        <v>10.5</v>
      </c>
      <c r="J2426" s="6">
        <f>I2426-H2426</f>
        <v>0</v>
      </c>
      <c r="K2426" s="5">
        <f>IF(H2426=0,"",J2426/H2426)</f>
        <v>0</v>
      </c>
      <c r="L2426">
        <f>IF(OR(AND(H2426=0,ABS(J2426)&gt;=0.01),AND(H2426&lt;&gt;0,ABS(K2426)&gt;VarianceThreshold)),"Review","OK")</f>
        <v>0</v>
      </c>
      <c r="M2426" t="s">
        <v>33</v>
      </c>
    </row>
    <row r="2427" spans="1:13">
      <c r="A2427" t="s">
        <v>3</v>
      </c>
      <c r="B2427" t="s">
        <v>846</v>
      </c>
      <c r="C2427" t="s">
        <v>2022</v>
      </c>
      <c r="D2427" t="s">
        <v>2002</v>
      </c>
      <c r="E2427" cm="1">
        <f t="array" ref="E2427">_xlfn.XLOOKUP(D2427,SKU_Master!A:A,SKU_Master!B:B,"Not on master")</f>
        <v>0</v>
      </c>
      <c r="F2427" cm="1">
        <f t="array" ref="F2427">_xlfn.XLOOKUP(C2427,Account_Master!A:A,Account_Master!B:B,"Not on master")</f>
        <v>0</v>
      </c>
      <c r="G2427" cm="1">
        <f t="array" ref="G2427">_xlfn.XLOOKUP(C2427,Account_Master!A:A,Account_Master!C:C,"Not on master")</f>
        <v>0</v>
      </c>
      <c r="H2427" s="6">
        <v>4.5</v>
      </c>
      <c r="I2427" s="6">
        <v>4.5</v>
      </c>
      <c r="J2427" s="6">
        <f>I2427-H2427</f>
        <v>0</v>
      </c>
      <c r="K2427" s="5">
        <f>IF(H2427=0,"",J2427/H2427)</f>
        <v>0</v>
      </c>
      <c r="L2427">
        <f>IF(OR(AND(H2427=0,ABS(J2427)&gt;=0.01),AND(H2427&lt;&gt;0,ABS(K2427)&gt;VarianceThreshold)),"Review","OK")</f>
        <v>0</v>
      </c>
      <c r="M2427" t="s">
        <v>33</v>
      </c>
    </row>
    <row r="2428" spans="1:13">
      <c r="A2428" t="s">
        <v>3</v>
      </c>
      <c r="B2428" t="s">
        <v>851</v>
      </c>
      <c r="C2428" t="s">
        <v>2033</v>
      </c>
      <c r="D2428" t="s">
        <v>2351</v>
      </c>
      <c r="E2428" cm="1">
        <f t="array" ref="E2428">_xlfn.XLOOKUP(D2428,SKU_Master!A:A,SKU_Master!B:B,"Not on master")</f>
        <v>0</v>
      </c>
      <c r="F2428" cm="1">
        <f t="array" ref="F2428">_xlfn.XLOOKUP(C2428,Account_Master!A:A,Account_Master!B:B,"Not on master")</f>
        <v>0</v>
      </c>
      <c r="G2428" cm="1">
        <f t="array" ref="G2428">_xlfn.XLOOKUP(C2428,Account_Master!A:A,Account_Master!C:C,"Not on master")</f>
        <v>0</v>
      </c>
      <c r="H2428" s="6">
        <v>5.25</v>
      </c>
      <c r="I2428" s="6">
        <v>5.25</v>
      </c>
      <c r="J2428" s="6">
        <f>I2428-H2428</f>
        <v>0</v>
      </c>
      <c r="K2428" s="5">
        <f>IF(H2428=0,"",J2428/H2428)</f>
        <v>0</v>
      </c>
      <c r="L2428">
        <f>IF(OR(AND(H2428=0,ABS(J2428)&gt;=0.01),AND(H2428&lt;&gt;0,ABS(K2428)&gt;VarianceThreshold)),"Review","OK")</f>
        <v>0</v>
      </c>
      <c r="M2428" t="s">
        <v>33</v>
      </c>
    </row>
    <row r="2429" spans="1:13">
      <c r="A2429" t="s">
        <v>3</v>
      </c>
      <c r="B2429" t="s">
        <v>851</v>
      </c>
      <c r="C2429" t="s">
        <v>2301</v>
      </c>
      <c r="D2429" t="s">
        <v>2352</v>
      </c>
      <c r="E2429" cm="1">
        <f t="array" ref="E2429">_xlfn.XLOOKUP(D2429,SKU_Master!A:A,SKU_Master!B:B,"Not on master")</f>
        <v>0</v>
      </c>
      <c r="F2429" cm="1">
        <f t="array" ref="F2429">_xlfn.XLOOKUP(C2429,Account_Master!A:A,Account_Master!B:B,"Not on master")</f>
        <v>0</v>
      </c>
      <c r="G2429" cm="1">
        <f t="array" ref="G2429">_xlfn.XLOOKUP(C2429,Account_Master!A:A,Account_Master!C:C,"Not on master")</f>
        <v>0</v>
      </c>
      <c r="H2429" s="6">
        <v>10.5</v>
      </c>
      <c r="I2429" s="6">
        <v>10.5</v>
      </c>
      <c r="J2429" s="6">
        <f>I2429-H2429</f>
        <v>0</v>
      </c>
      <c r="K2429" s="5">
        <f>IF(H2429=0,"",J2429/H2429)</f>
        <v>0</v>
      </c>
      <c r="L2429">
        <f>IF(OR(AND(H2429=0,ABS(J2429)&gt;=0.01),AND(H2429&lt;&gt;0,ABS(K2429)&gt;VarianceThreshold)),"Review","OK")</f>
        <v>0</v>
      </c>
      <c r="M2429" t="s">
        <v>33</v>
      </c>
    </row>
    <row r="2430" spans="1:13">
      <c r="A2430" t="s">
        <v>3</v>
      </c>
      <c r="B2430" t="s">
        <v>851</v>
      </c>
      <c r="C2430" t="s">
        <v>2076</v>
      </c>
      <c r="D2430" t="s">
        <v>2353</v>
      </c>
      <c r="E2430" cm="1">
        <f t="array" ref="E2430">_xlfn.XLOOKUP(D2430,SKU_Master!A:A,SKU_Master!B:B,"Not on master")</f>
        <v>0</v>
      </c>
      <c r="F2430" cm="1">
        <f t="array" ref="F2430">_xlfn.XLOOKUP(C2430,Account_Master!A:A,Account_Master!B:B,"Not on master")</f>
        <v>0</v>
      </c>
      <c r="G2430" cm="1">
        <f t="array" ref="G2430">_xlfn.XLOOKUP(C2430,Account_Master!A:A,Account_Master!C:C,"Not on master")</f>
        <v>0</v>
      </c>
      <c r="H2430" s="6">
        <v>0.75</v>
      </c>
      <c r="I2430" s="6">
        <v>0.75</v>
      </c>
      <c r="J2430" s="6">
        <f>I2430-H2430</f>
        <v>0</v>
      </c>
      <c r="K2430" s="5">
        <f>IF(H2430=0,"",J2430/H2430)</f>
        <v>0</v>
      </c>
      <c r="L2430">
        <f>IF(OR(AND(H2430=0,ABS(J2430)&gt;=0.01),AND(H2430&lt;&gt;0,ABS(K2430)&gt;VarianceThreshold)),"Review","OK")</f>
        <v>0</v>
      </c>
      <c r="M2430" t="s">
        <v>33</v>
      </c>
    </row>
    <row r="2431" spans="1:13">
      <c r="A2431" t="s">
        <v>3</v>
      </c>
      <c r="B2431" t="s">
        <v>851</v>
      </c>
      <c r="C2431" t="s">
        <v>2058</v>
      </c>
      <c r="D2431" t="s">
        <v>943</v>
      </c>
      <c r="E2431" cm="1">
        <f t="array" ref="E2431">_xlfn.XLOOKUP(D2431,SKU_Master!A:A,SKU_Master!B:B,"Not on master")</f>
        <v>0</v>
      </c>
      <c r="F2431" cm="1">
        <f t="array" ref="F2431">_xlfn.XLOOKUP(C2431,Account_Master!A:A,Account_Master!B:B,"Not on master")</f>
        <v>0</v>
      </c>
      <c r="G2431" cm="1">
        <f t="array" ref="G2431">_xlfn.XLOOKUP(C2431,Account_Master!A:A,Account_Master!C:C,"Not on master")</f>
        <v>0</v>
      </c>
      <c r="H2431" s="6">
        <v>0.75</v>
      </c>
      <c r="I2431" s="6">
        <v>0.75</v>
      </c>
      <c r="J2431" s="6">
        <f>I2431-H2431</f>
        <v>0</v>
      </c>
      <c r="K2431" s="5">
        <f>IF(H2431=0,"",J2431/H2431)</f>
        <v>0</v>
      </c>
      <c r="L2431">
        <f>IF(OR(AND(H2431=0,ABS(J2431)&gt;=0.01),AND(H2431&lt;&gt;0,ABS(K2431)&gt;VarianceThreshold)),"Review","OK")</f>
        <v>0</v>
      </c>
      <c r="M2431" t="s">
        <v>33</v>
      </c>
    </row>
    <row r="2432" spans="1:13">
      <c r="A2432" t="s">
        <v>3</v>
      </c>
      <c r="B2432" t="s">
        <v>858</v>
      </c>
      <c r="C2432" t="s">
        <v>2022</v>
      </c>
      <c r="D2432" t="s">
        <v>2354</v>
      </c>
      <c r="E2432" cm="1">
        <f t="array" ref="E2432">_xlfn.XLOOKUP(D2432,SKU_Master!A:A,SKU_Master!B:B,"Not on master")</f>
        <v>0</v>
      </c>
      <c r="F2432" cm="1">
        <f t="array" ref="F2432">_xlfn.XLOOKUP(C2432,Account_Master!A:A,Account_Master!B:B,"Not on master")</f>
        <v>0</v>
      </c>
      <c r="G2432" cm="1">
        <f t="array" ref="G2432">_xlfn.XLOOKUP(C2432,Account_Master!A:A,Account_Master!C:C,"Not on master")</f>
        <v>0</v>
      </c>
      <c r="H2432" s="6">
        <v>72.73</v>
      </c>
      <c r="I2432" s="6">
        <v>72.73</v>
      </c>
      <c r="J2432" s="6">
        <f>I2432-H2432</f>
        <v>0</v>
      </c>
      <c r="K2432" s="5">
        <f>IF(H2432=0,"",J2432/H2432)</f>
        <v>0</v>
      </c>
      <c r="L2432">
        <f>IF(OR(AND(H2432=0,ABS(J2432)&gt;=0.01),AND(H2432&lt;&gt;0,ABS(K2432)&gt;VarianceThreshold)),"Review","OK")</f>
        <v>0</v>
      </c>
      <c r="M2432" t="s">
        <v>33</v>
      </c>
    </row>
    <row r="2433" spans="1:13">
      <c r="A2433" t="s">
        <v>3</v>
      </c>
      <c r="B2433" t="s">
        <v>858</v>
      </c>
      <c r="C2433" t="s">
        <v>2012</v>
      </c>
      <c r="D2433" t="s">
        <v>57</v>
      </c>
      <c r="E2433" cm="1">
        <f t="array" ref="E2433">_xlfn.XLOOKUP(D2433,SKU_Master!A:A,SKU_Master!B:B,"Not on master")</f>
        <v>0</v>
      </c>
      <c r="F2433" cm="1">
        <f t="array" ref="F2433">_xlfn.XLOOKUP(C2433,Account_Master!A:A,Account_Master!B:B,"Not on master")</f>
        <v>0</v>
      </c>
      <c r="G2433" cm="1">
        <f t="array" ref="G2433">_xlfn.XLOOKUP(C2433,Account_Master!A:A,Account_Master!C:C,"Not on master")</f>
        <v>0</v>
      </c>
      <c r="H2433" s="6">
        <v>28.5</v>
      </c>
      <c r="I2433" s="6">
        <v>28.5</v>
      </c>
      <c r="J2433" s="6">
        <f>I2433-H2433</f>
        <v>0</v>
      </c>
      <c r="K2433" s="5">
        <f>IF(H2433=0,"",J2433/H2433)</f>
        <v>0</v>
      </c>
      <c r="L2433">
        <f>IF(OR(AND(H2433=0,ABS(J2433)&gt;=0.01),AND(H2433&lt;&gt;0,ABS(K2433)&gt;VarianceThreshold)),"Review","OK")</f>
        <v>0</v>
      </c>
      <c r="M2433" t="s">
        <v>33</v>
      </c>
    </row>
    <row r="2434" spans="1:13">
      <c r="A2434" t="s">
        <v>3</v>
      </c>
      <c r="B2434" t="s">
        <v>858</v>
      </c>
      <c r="C2434" t="s">
        <v>2355</v>
      </c>
      <c r="D2434" t="s">
        <v>1431</v>
      </c>
      <c r="E2434" cm="1">
        <f t="array" ref="E2434">_xlfn.XLOOKUP(D2434,SKU_Master!A:A,SKU_Master!B:B,"Not on master")</f>
        <v>0</v>
      </c>
      <c r="F2434" cm="1">
        <f t="array" ref="F2434">_xlfn.XLOOKUP(C2434,Account_Master!A:A,Account_Master!B:B,"Not on master")</f>
        <v>0</v>
      </c>
      <c r="G2434" cm="1">
        <f t="array" ref="G2434">_xlfn.XLOOKUP(C2434,Account_Master!A:A,Account_Master!C:C,"Not on master")</f>
        <v>0</v>
      </c>
      <c r="H2434" s="6">
        <v>11.25</v>
      </c>
      <c r="I2434" s="6">
        <v>11.25</v>
      </c>
      <c r="J2434" s="6">
        <f>I2434-H2434</f>
        <v>0</v>
      </c>
      <c r="K2434" s="5">
        <f>IF(H2434=0,"",J2434/H2434)</f>
        <v>0</v>
      </c>
      <c r="L2434">
        <f>IF(OR(AND(H2434=0,ABS(J2434)&gt;=0.01),AND(H2434&lt;&gt;0,ABS(K2434)&gt;VarianceThreshold)),"Review","OK")</f>
        <v>0</v>
      </c>
      <c r="M2434" t="s">
        <v>33</v>
      </c>
    </row>
    <row r="2435" spans="1:13">
      <c r="A2435" t="s">
        <v>3</v>
      </c>
      <c r="B2435" t="s">
        <v>858</v>
      </c>
      <c r="C2435" t="s">
        <v>2356</v>
      </c>
      <c r="D2435" t="s">
        <v>2357</v>
      </c>
      <c r="E2435" cm="1">
        <f t="array" ref="E2435">_xlfn.XLOOKUP(D2435,SKU_Master!A:A,SKU_Master!B:B,"Not on master")</f>
        <v>0</v>
      </c>
      <c r="F2435" cm="1">
        <f t="array" ref="F2435">_xlfn.XLOOKUP(C2435,Account_Master!A:A,Account_Master!B:B,"Not on master")</f>
        <v>0</v>
      </c>
      <c r="G2435" cm="1">
        <f t="array" ref="G2435">_xlfn.XLOOKUP(C2435,Account_Master!A:A,Account_Master!C:C,"Not on master")</f>
        <v>0</v>
      </c>
      <c r="H2435" s="6">
        <v>1.5</v>
      </c>
      <c r="I2435" s="6">
        <v>1.5</v>
      </c>
      <c r="J2435" s="6">
        <f>I2435-H2435</f>
        <v>0</v>
      </c>
      <c r="K2435" s="5">
        <f>IF(H2435=0,"",J2435/H2435)</f>
        <v>0</v>
      </c>
      <c r="L2435">
        <f>IF(OR(AND(H2435=0,ABS(J2435)&gt;=0.01),AND(H2435&lt;&gt;0,ABS(K2435)&gt;VarianceThreshold)),"Review","OK")</f>
        <v>0</v>
      </c>
      <c r="M2435" t="s">
        <v>33</v>
      </c>
    </row>
    <row r="2436" spans="1:13">
      <c r="A2436" t="s">
        <v>3</v>
      </c>
      <c r="B2436" t="s">
        <v>868</v>
      </c>
      <c r="C2436" t="s">
        <v>2070</v>
      </c>
      <c r="D2436" t="s">
        <v>2358</v>
      </c>
      <c r="E2436" cm="1">
        <f t="array" ref="E2436">_xlfn.XLOOKUP(D2436,SKU_Master!A:A,SKU_Master!B:B,"Not on master")</f>
        <v>0</v>
      </c>
      <c r="F2436" cm="1">
        <f t="array" ref="F2436">_xlfn.XLOOKUP(C2436,Account_Master!A:A,Account_Master!B:B,"Not on master")</f>
        <v>0</v>
      </c>
      <c r="G2436" cm="1">
        <f t="array" ref="G2436">_xlfn.XLOOKUP(C2436,Account_Master!A:A,Account_Master!C:C,"Not on master")</f>
        <v>0</v>
      </c>
      <c r="H2436" s="6">
        <v>4.5</v>
      </c>
      <c r="I2436" s="6">
        <v>4.5</v>
      </c>
      <c r="J2436" s="6">
        <f>I2436-H2436</f>
        <v>0</v>
      </c>
      <c r="K2436" s="5">
        <f>IF(H2436=0,"",J2436/H2436)</f>
        <v>0</v>
      </c>
      <c r="L2436">
        <f>IF(OR(AND(H2436=0,ABS(J2436)&gt;=0.01),AND(H2436&lt;&gt;0,ABS(K2436)&gt;VarianceThreshold)),"Review","OK")</f>
        <v>0</v>
      </c>
      <c r="M2436" t="s">
        <v>33</v>
      </c>
    </row>
    <row r="2437" spans="1:13">
      <c r="A2437" t="s">
        <v>3</v>
      </c>
      <c r="B2437" t="s">
        <v>876</v>
      </c>
      <c r="C2437" t="s">
        <v>2022</v>
      </c>
      <c r="D2437" t="s">
        <v>1220</v>
      </c>
      <c r="E2437" cm="1">
        <f t="array" ref="E2437">_xlfn.XLOOKUP(D2437,SKU_Master!A:A,SKU_Master!B:B,"Not on master")</f>
        <v>0</v>
      </c>
      <c r="F2437" cm="1">
        <f t="array" ref="F2437">_xlfn.XLOOKUP(C2437,Account_Master!A:A,Account_Master!B:B,"Not on master")</f>
        <v>0</v>
      </c>
      <c r="G2437" cm="1">
        <f t="array" ref="G2437">_xlfn.XLOOKUP(C2437,Account_Master!A:A,Account_Master!C:C,"Not on master")</f>
        <v>0</v>
      </c>
      <c r="H2437" s="6">
        <v>10.5</v>
      </c>
      <c r="I2437" s="6">
        <v>10.5</v>
      </c>
      <c r="J2437" s="6">
        <f>I2437-H2437</f>
        <v>0</v>
      </c>
      <c r="K2437" s="5">
        <f>IF(H2437=0,"",J2437/H2437)</f>
        <v>0</v>
      </c>
      <c r="L2437">
        <f>IF(OR(AND(H2437=0,ABS(J2437)&gt;=0.01),AND(H2437&lt;&gt;0,ABS(K2437)&gt;VarianceThreshold)),"Review","OK")</f>
        <v>0</v>
      </c>
      <c r="M2437" t="s">
        <v>33</v>
      </c>
    </row>
    <row r="2438" spans="1:13">
      <c r="A2438" t="s">
        <v>3</v>
      </c>
      <c r="B2438" t="s">
        <v>876</v>
      </c>
      <c r="C2438" t="s">
        <v>2013</v>
      </c>
      <c r="D2438" t="s">
        <v>2359</v>
      </c>
      <c r="E2438" cm="1">
        <f t="array" ref="E2438">_xlfn.XLOOKUP(D2438,SKU_Master!A:A,SKU_Master!B:B,"Not on master")</f>
        <v>0</v>
      </c>
      <c r="F2438" cm="1">
        <f t="array" ref="F2438">_xlfn.XLOOKUP(C2438,Account_Master!A:A,Account_Master!B:B,"Not on master")</f>
        <v>0</v>
      </c>
      <c r="G2438" cm="1">
        <f t="array" ref="G2438">_xlfn.XLOOKUP(C2438,Account_Master!A:A,Account_Master!C:C,"Not on master")</f>
        <v>0</v>
      </c>
      <c r="H2438" s="6">
        <v>0.4</v>
      </c>
      <c r="I2438" s="6">
        <v>0.4</v>
      </c>
      <c r="J2438" s="6">
        <f>I2438-H2438</f>
        <v>0</v>
      </c>
      <c r="K2438" s="5">
        <f>IF(H2438=0,"",J2438/H2438)</f>
        <v>0</v>
      </c>
      <c r="L2438">
        <f>IF(OR(AND(H2438=0,ABS(J2438)&gt;=0.01),AND(H2438&lt;&gt;0,ABS(K2438)&gt;VarianceThreshold)),"Review","OK")</f>
        <v>0</v>
      </c>
      <c r="M2438" t="s">
        <v>33</v>
      </c>
    </row>
    <row r="2439" spans="1:13">
      <c r="A2439" t="s">
        <v>3</v>
      </c>
      <c r="B2439" t="s">
        <v>876</v>
      </c>
      <c r="C2439" t="s">
        <v>2035</v>
      </c>
      <c r="D2439" t="s">
        <v>817</v>
      </c>
      <c r="E2439" cm="1">
        <f t="array" ref="E2439">_xlfn.XLOOKUP(D2439,SKU_Master!A:A,SKU_Master!B:B,"Not on master")</f>
        <v>0</v>
      </c>
      <c r="F2439" cm="1">
        <f t="array" ref="F2439">_xlfn.XLOOKUP(C2439,Account_Master!A:A,Account_Master!B:B,"Not on master")</f>
        <v>0</v>
      </c>
      <c r="G2439" cm="1">
        <f t="array" ref="G2439">_xlfn.XLOOKUP(C2439,Account_Master!A:A,Account_Master!C:C,"Not on master")</f>
        <v>0</v>
      </c>
      <c r="H2439" s="6">
        <v>1.5</v>
      </c>
      <c r="I2439" s="6">
        <v>1.5</v>
      </c>
      <c r="J2439" s="6">
        <f>I2439-H2439</f>
        <v>0</v>
      </c>
      <c r="K2439" s="5">
        <f>IF(H2439=0,"",J2439/H2439)</f>
        <v>0</v>
      </c>
      <c r="L2439">
        <f>IF(OR(AND(H2439=0,ABS(J2439)&gt;=0.01),AND(H2439&lt;&gt;0,ABS(K2439)&gt;VarianceThreshold)),"Review","OK")</f>
        <v>0</v>
      </c>
      <c r="M2439" t="s">
        <v>33</v>
      </c>
    </row>
    <row r="2440" spans="1:13">
      <c r="A2440" t="s">
        <v>3</v>
      </c>
      <c r="B2440" t="s">
        <v>876</v>
      </c>
      <c r="C2440" t="s">
        <v>2013</v>
      </c>
      <c r="D2440" t="s">
        <v>917</v>
      </c>
      <c r="E2440" cm="1">
        <f t="array" ref="E2440">_xlfn.XLOOKUP(D2440,SKU_Master!A:A,SKU_Master!B:B,"Not on master")</f>
        <v>0</v>
      </c>
      <c r="F2440" cm="1">
        <f t="array" ref="F2440">_xlfn.XLOOKUP(C2440,Account_Master!A:A,Account_Master!B:B,"Not on master")</f>
        <v>0</v>
      </c>
      <c r="G2440" cm="1">
        <f t="array" ref="G2440">_xlfn.XLOOKUP(C2440,Account_Master!A:A,Account_Master!C:C,"Not on master")</f>
        <v>0</v>
      </c>
      <c r="H2440" s="6">
        <v>9</v>
      </c>
      <c r="I2440" s="6">
        <v>9</v>
      </c>
      <c r="J2440" s="6">
        <f>I2440-H2440</f>
        <v>0</v>
      </c>
      <c r="K2440" s="5">
        <f>IF(H2440=0,"",J2440/H2440)</f>
        <v>0</v>
      </c>
      <c r="L2440">
        <f>IF(OR(AND(H2440=0,ABS(J2440)&gt;=0.01),AND(H2440&lt;&gt;0,ABS(K2440)&gt;VarianceThreshold)),"Review","OK")</f>
        <v>0</v>
      </c>
      <c r="M2440" t="s">
        <v>33</v>
      </c>
    </row>
    <row r="2441" spans="1:13">
      <c r="A2441" t="s">
        <v>3</v>
      </c>
      <c r="B2441" t="s">
        <v>876</v>
      </c>
      <c r="C2441" t="s">
        <v>2085</v>
      </c>
      <c r="D2441" t="s">
        <v>1473</v>
      </c>
      <c r="E2441" cm="1">
        <f t="array" ref="E2441">_xlfn.XLOOKUP(D2441,SKU_Master!A:A,SKU_Master!B:B,"Not on master")</f>
        <v>0</v>
      </c>
      <c r="F2441" cm="1">
        <f t="array" ref="F2441">_xlfn.XLOOKUP(C2441,Account_Master!A:A,Account_Master!B:B,"Not on master")</f>
        <v>0</v>
      </c>
      <c r="G2441" cm="1">
        <f t="array" ref="G2441">_xlfn.XLOOKUP(C2441,Account_Master!A:A,Account_Master!C:C,"Not on master")</f>
        <v>0</v>
      </c>
      <c r="H2441" s="6">
        <v>15.75</v>
      </c>
      <c r="I2441" s="6">
        <v>15.75</v>
      </c>
      <c r="J2441" s="6">
        <f>I2441-H2441</f>
        <v>0</v>
      </c>
      <c r="K2441" s="5">
        <f>IF(H2441=0,"",J2441/H2441)</f>
        <v>0</v>
      </c>
      <c r="L2441">
        <f>IF(OR(AND(H2441=0,ABS(J2441)&gt;=0.01),AND(H2441&lt;&gt;0,ABS(K2441)&gt;VarianceThreshold)),"Review","OK")</f>
        <v>0</v>
      </c>
      <c r="M2441" t="s">
        <v>33</v>
      </c>
    </row>
    <row r="2442" spans="1:13">
      <c r="A2442" t="s">
        <v>3</v>
      </c>
      <c r="B2442" t="s">
        <v>876</v>
      </c>
      <c r="C2442" t="s">
        <v>2012</v>
      </c>
      <c r="D2442" t="s">
        <v>888</v>
      </c>
      <c r="E2442" cm="1">
        <f t="array" ref="E2442">_xlfn.XLOOKUP(D2442,SKU_Master!A:A,SKU_Master!B:B,"Not on master")</f>
        <v>0</v>
      </c>
      <c r="F2442" cm="1">
        <f t="array" ref="F2442">_xlfn.XLOOKUP(C2442,Account_Master!A:A,Account_Master!B:B,"Not on master")</f>
        <v>0</v>
      </c>
      <c r="G2442" cm="1">
        <f t="array" ref="G2442">_xlfn.XLOOKUP(C2442,Account_Master!A:A,Account_Master!C:C,"Not on master")</f>
        <v>0</v>
      </c>
      <c r="H2442" s="6">
        <v>6</v>
      </c>
      <c r="I2442" s="6">
        <v>6</v>
      </c>
      <c r="J2442" s="6">
        <f>I2442-H2442</f>
        <v>0</v>
      </c>
      <c r="K2442" s="5">
        <f>IF(H2442=0,"",J2442/H2442)</f>
        <v>0</v>
      </c>
      <c r="L2442">
        <f>IF(OR(AND(H2442=0,ABS(J2442)&gt;=0.01),AND(H2442&lt;&gt;0,ABS(K2442)&gt;VarianceThreshold)),"Review","OK")</f>
        <v>0</v>
      </c>
      <c r="M2442" t="s">
        <v>33</v>
      </c>
    </row>
    <row r="2443" spans="1:13">
      <c r="A2443" t="s">
        <v>3</v>
      </c>
      <c r="B2443" t="s">
        <v>880</v>
      </c>
      <c r="C2443" t="s">
        <v>2139</v>
      </c>
      <c r="D2443" t="s">
        <v>2360</v>
      </c>
      <c r="E2443" cm="1">
        <f t="array" ref="E2443">_xlfn.XLOOKUP(D2443,SKU_Master!A:A,SKU_Master!B:B,"Not on master")</f>
        <v>0</v>
      </c>
      <c r="F2443" cm="1">
        <f t="array" ref="F2443">_xlfn.XLOOKUP(C2443,Account_Master!A:A,Account_Master!B:B,"Not on master")</f>
        <v>0</v>
      </c>
      <c r="G2443" cm="1">
        <f t="array" ref="G2443">_xlfn.XLOOKUP(C2443,Account_Master!A:A,Account_Master!C:C,"Not on master")</f>
        <v>0</v>
      </c>
      <c r="H2443" s="6">
        <v>4.5</v>
      </c>
      <c r="I2443" s="6">
        <v>4.5</v>
      </c>
      <c r="J2443" s="6">
        <f>I2443-H2443</f>
        <v>0</v>
      </c>
      <c r="K2443" s="5">
        <f>IF(H2443=0,"",J2443/H2443)</f>
        <v>0</v>
      </c>
      <c r="L2443">
        <f>IF(OR(AND(H2443=0,ABS(J2443)&gt;=0.01),AND(H2443&lt;&gt;0,ABS(K2443)&gt;VarianceThreshold)),"Review","OK")</f>
        <v>0</v>
      </c>
      <c r="M2443" t="s">
        <v>33</v>
      </c>
    </row>
    <row r="2444" spans="1:13">
      <c r="A2444" t="s">
        <v>3</v>
      </c>
      <c r="B2444" t="s">
        <v>880</v>
      </c>
      <c r="C2444" t="s">
        <v>2030</v>
      </c>
      <c r="D2444" t="s">
        <v>2361</v>
      </c>
      <c r="E2444" cm="1">
        <f t="array" ref="E2444">_xlfn.XLOOKUP(D2444,SKU_Master!A:A,SKU_Master!B:B,"Not on master")</f>
        <v>0</v>
      </c>
      <c r="F2444" cm="1">
        <f t="array" ref="F2444">_xlfn.XLOOKUP(C2444,Account_Master!A:A,Account_Master!B:B,"Not on master")</f>
        <v>0</v>
      </c>
      <c r="G2444" cm="1">
        <f t="array" ref="G2444">_xlfn.XLOOKUP(C2444,Account_Master!A:A,Account_Master!C:C,"Not on master")</f>
        <v>0</v>
      </c>
      <c r="H2444" s="6">
        <v>4.2</v>
      </c>
      <c r="I2444" s="6">
        <v>4.2</v>
      </c>
      <c r="J2444" s="6">
        <f>I2444-H2444</f>
        <v>0</v>
      </c>
      <c r="K2444" s="5">
        <f>IF(H2444=0,"",J2444/H2444)</f>
        <v>0</v>
      </c>
      <c r="L2444">
        <f>IF(OR(AND(H2444=0,ABS(J2444)&gt;=0.01),AND(H2444&lt;&gt;0,ABS(K2444)&gt;VarianceThreshold)),"Review","OK")</f>
        <v>0</v>
      </c>
      <c r="M2444" t="s">
        <v>33</v>
      </c>
    </row>
    <row r="2445" spans="1:13">
      <c r="A2445" t="s">
        <v>3</v>
      </c>
      <c r="B2445" t="s">
        <v>880</v>
      </c>
      <c r="C2445" t="s">
        <v>2027</v>
      </c>
      <c r="D2445" t="s">
        <v>2362</v>
      </c>
      <c r="E2445" cm="1">
        <f t="array" ref="E2445">_xlfn.XLOOKUP(D2445,SKU_Master!A:A,SKU_Master!B:B,"Not on master")</f>
        <v>0</v>
      </c>
      <c r="F2445" cm="1">
        <f t="array" ref="F2445">_xlfn.XLOOKUP(C2445,Account_Master!A:A,Account_Master!B:B,"Not on master")</f>
        <v>0</v>
      </c>
      <c r="G2445" cm="1">
        <f t="array" ref="G2445">_xlfn.XLOOKUP(C2445,Account_Master!A:A,Account_Master!C:C,"Not on master")</f>
        <v>0</v>
      </c>
      <c r="H2445" s="6">
        <v>13</v>
      </c>
      <c r="I2445" s="6">
        <v>13</v>
      </c>
      <c r="J2445" s="6">
        <f>I2445-H2445</f>
        <v>0</v>
      </c>
      <c r="K2445" s="5">
        <f>IF(H2445=0,"",J2445/H2445)</f>
        <v>0</v>
      </c>
      <c r="L2445">
        <f>IF(OR(AND(H2445=0,ABS(J2445)&gt;=0.01),AND(H2445&lt;&gt;0,ABS(K2445)&gt;VarianceThreshold)),"Review","OK")</f>
        <v>0</v>
      </c>
      <c r="M2445" t="s">
        <v>33</v>
      </c>
    </row>
    <row r="2446" spans="1:13">
      <c r="A2446" t="s">
        <v>3</v>
      </c>
      <c r="B2446" t="s">
        <v>880</v>
      </c>
      <c r="C2446" t="s">
        <v>2174</v>
      </c>
      <c r="D2446" t="s">
        <v>1425</v>
      </c>
      <c r="E2446" cm="1">
        <f t="array" ref="E2446">_xlfn.XLOOKUP(D2446,SKU_Master!A:A,SKU_Master!B:B,"Not on master")</f>
        <v>0</v>
      </c>
      <c r="F2446" cm="1">
        <f t="array" ref="F2446">_xlfn.XLOOKUP(C2446,Account_Master!A:A,Account_Master!B:B,"Not on master")</f>
        <v>0</v>
      </c>
      <c r="G2446" cm="1">
        <f t="array" ref="G2446">_xlfn.XLOOKUP(C2446,Account_Master!A:A,Account_Master!C:C,"Not on master")</f>
        <v>0</v>
      </c>
      <c r="H2446" s="6">
        <v>9</v>
      </c>
      <c r="I2446" s="6">
        <v>9</v>
      </c>
      <c r="J2446" s="6">
        <f>I2446-H2446</f>
        <v>0</v>
      </c>
      <c r="K2446" s="5">
        <f>IF(H2446=0,"",J2446/H2446)</f>
        <v>0</v>
      </c>
      <c r="L2446">
        <f>IF(OR(AND(H2446=0,ABS(J2446)&gt;=0.01),AND(H2446&lt;&gt;0,ABS(K2446)&gt;VarianceThreshold)),"Review","OK")</f>
        <v>0</v>
      </c>
      <c r="M2446" t="s">
        <v>33</v>
      </c>
    </row>
    <row r="2447" spans="1:13">
      <c r="A2447" t="s">
        <v>3</v>
      </c>
      <c r="B2447" t="s">
        <v>880</v>
      </c>
      <c r="C2447" t="s">
        <v>2083</v>
      </c>
      <c r="D2447" t="s">
        <v>294</v>
      </c>
      <c r="E2447" cm="1">
        <f t="array" ref="E2447">_xlfn.XLOOKUP(D2447,SKU_Master!A:A,SKU_Master!B:B,"Not on master")</f>
        <v>0</v>
      </c>
      <c r="F2447" cm="1">
        <f t="array" ref="F2447">_xlfn.XLOOKUP(C2447,Account_Master!A:A,Account_Master!B:B,"Not on master")</f>
        <v>0</v>
      </c>
      <c r="G2447" cm="1">
        <f t="array" ref="G2447">_xlfn.XLOOKUP(C2447,Account_Master!A:A,Account_Master!C:C,"Not on master")</f>
        <v>0</v>
      </c>
      <c r="H2447" s="6">
        <v>20.25</v>
      </c>
      <c r="I2447" s="6">
        <v>20.25</v>
      </c>
      <c r="J2447" s="6">
        <f>I2447-H2447</f>
        <v>0</v>
      </c>
      <c r="K2447" s="5">
        <f>IF(H2447=0,"",J2447/H2447)</f>
        <v>0</v>
      </c>
      <c r="L2447">
        <f>IF(OR(AND(H2447=0,ABS(J2447)&gt;=0.01),AND(H2447&lt;&gt;0,ABS(K2447)&gt;VarianceThreshold)),"Review","OK")</f>
        <v>0</v>
      </c>
      <c r="M2447" t="s">
        <v>33</v>
      </c>
    </row>
    <row r="2448" spans="1:13">
      <c r="A2448" t="s">
        <v>3</v>
      </c>
      <c r="B2448" t="s">
        <v>880</v>
      </c>
      <c r="C2448" t="s">
        <v>2363</v>
      </c>
      <c r="D2448" t="s">
        <v>70</v>
      </c>
      <c r="E2448" cm="1">
        <f t="array" ref="E2448">_xlfn.XLOOKUP(D2448,SKU_Master!A:A,SKU_Master!B:B,"Not on master")</f>
        <v>0</v>
      </c>
      <c r="F2448" cm="1">
        <f t="array" ref="F2448">_xlfn.XLOOKUP(C2448,Account_Master!A:A,Account_Master!B:B,"Not on master")</f>
        <v>0</v>
      </c>
      <c r="G2448" cm="1">
        <f t="array" ref="G2448">_xlfn.XLOOKUP(C2448,Account_Master!A:A,Account_Master!C:C,"Not on master")</f>
        <v>0</v>
      </c>
      <c r="H2448" s="6">
        <v>0.4</v>
      </c>
      <c r="I2448" s="6">
        <v>0.4</v>
      </c>
      <c r="J2448" s="6">
        <f>I2448-H2448</f>
        <v>0</v>
      </c>
      <c r="K2448" s="5">
        <f>IF(H2448=0,"",J2448/H2448)</f>
        <v>0</v>
      </c>
      <c r="L2448">
        <f>IF(OR(AND(H2448=0,ABS(J2448)&gt;=0.01),AND(H2448&lt;&gt;0,ABS(K2448)&gt;VarianceThreshold)),"Review","OK")</f>
        <v>0</v>
      </c>
      <c r="M2448" t="s">
        <v>33</v>
      </c>
    </row>
    <row r="2449" spans="1:13">
      <c r="A2449" t="s">
        <v>3</v>
      </c>
      <c r="B2449" t="s">
        <v>880</v>
      </c>
      <c r="C2449" t="s">
        <v>2364</v>
      </c>
      <c r="D2449" t="s">
        <v>1337</v>
      </c>
      <c r="E2449" cm="1">
        <f t="array" ref="E2449">_xlfn.XLOOKUP(D2449,SKU_Master!A:A,SKU_Master!B:B,"Not on master")</f>
        <v>0</v>
      </c>
      <c r="F2449" cm="1">
        <f t="array" ref="F2449">_xlfn.XLOOKUP(C2449,Account_Master!A:A,Account_Master!B:B,"Not on master")</f>
        <v>0</v>
      </c>
      <c r="G2449" cm="1">
        <f t="array" ref="G2449">_xlfn.XLOOKUP(C2449,Account_Master!A:A,Account_Master!C:C,"Not on master")</f>
        <v>0</v>
      </c>
      <c r="H2449" s="6">
        <v>0.15</v>
      </c>
      <c r="I2449" s="6">
        <v>0.15</v>
      </c>
      <c r="J2449" s="6">
        <f>I2449-H2449</f>
        <v>0</v>
      </c>
      <c r="K2449" s="5">
        <f>IF(H2449=0,"",J2449/H2449)</f>
        <v>0</v>
      </c>
      <c r="L2449">
        <f>IF(OR(AND(H2449=0,ABS(J2449)&gt;=0.01),AND(H2449&lt;&gt;0,ABS(K2449)&gt;VarianceThreshold)),"Review","OK")</f>
        <v>0</v>
      </c>
      <c r="M2449" t="s">
        <v>33</v>
      </c>
    </row>
    <row r="2450" spans="1:13">
      <c r="A2450" t="s">
        <v>3</v>
      </c>
      <c r="B2450" t="s">
        <v>880</v>
      </c>
      <c r="C2450" t="s">
        <v>2013</v>
      </c>
      <c r="D2450" t="s">
        <v>1083</v>
      </c>
      <c r="E2450" cm="1">
        <f t="array" ref="E2450">_xlfn.XLOOKUP(D2450,SKU_Master!A:A,SKU_Master!B:B,"Not on master")</f>
        <v>0</v>
      </c>
      <c r="F2450" cm="1">
        <f t="array" ref="F2450">_xlfn.XLOOKUP(C2450,Account_Master!A:A,Account_Master!B:B,"Not on master")</f>
        <v>0</v>
      </c>
      <c r="G2450" cm="1">
        <f t="array" ref="G2450">_xlfn.XLOOKUP(C2450,Account_Master!A:A,Account_Master!C:C,"Not on master")</f>
        <v>0</v>
      </c>
      <c r="H2450" s="6">
        <v>6</v>
      </c>
      <c r="I2450" s="6">
        <v>6</v>
      </c>
      <c r="J2450" s="6">
        <f>I2450-H2450</f>
        <v>0</v>
      </c>
      <c r="K2450" s="5">
        <f>IF(H2450=0,"",J2450/H2450)</f>
        <v>0</v>
      </c>
      <c r="L2450">
        <f>IF(OR(AND(H2450=0,ABS(J2450)&gt;=0.01),AND(H2450&lt;&gt;0,ABS(K2450)&gt;VarianceThreshold)),"Review","OK")</f>
        <v>0</v>
      </c>
      <c r="M2450" t="s">
        <v>33</v>
      </c>
    </row>
    <row r="2451" spans="1:13">
      <c r="A2451" t="s">
        <v>3</v>
      </c>
      <c r="B2451" t="s">
        <v>891</v>
      </c>
      <c r="C2451" t="s">
        <v>2030</v>
      </c>
      <c r="D2451" t="s">
        <v>1477</v>
      </c>
      <c r="E2451" cm="1">
        <f t="array" ref="E2451">_xlfn.XLOOKUP(D2451,SKU_Master!A:A,SKU_Master!B:B,"Not on master")</f>
        <v>0</v>
      </c>
      <c r="F2451" cm="1">
        <f t="array" ref="F2451">_xlfn.XLOOKUP(C2451,Account_Master!A:A,Account_Master!B:B,"Not on master")</f>
        <v>0</v>
      </c>
      <c r="G2451" cm="1">
        <f t="array" ref="G2451">_xlfn.XLOOKUP(C2451,Account_Master!A:A,Account_Master!C:C,"Not on master")</f>
        <v>0</v>
      </c>
      <c r="H2451" s="6">
        <v>10.5</v>
      </c>
      <c r="I2451" s="6">
        <v>10.5</v>
      </c>
      <c r="J2451" s="6">
        <f>I2451-H2451</f>
        <v>0</v>
      </c>
      <c r="K2451" s="5">
        <f>IF(H2451=0,"",J2451/H2451)</f>
        <v>0</v>
      </c>
      <c r="L2451">
        <f>IF(OR(AND(H2451=0,ABS(J2451)&gt;=0.01),AND(H2451&lt;&gt;0,ABS(K2451)&gt;VarianceThreshold)),"Review","OK")</f>
        <v>0</v>
      </c>
      <c r="M2451" t="s">
        <v>33</v>
      </c>
    </row>
    <row r="2452" spans="1:13">
      <c r="A2452" t="s">
        <v>3</v>
      </c>
      <c r="B2452" t="s">
        <v>891</v>
      </c>
      <c r="C2452" t="s">
        <v>2098</v>
      </c>
      <c r="D2452" t="s">
        <v>749</v>
      </c>
      <c r="E2452" cm="1">
        <f t="array" ref="E2452">_xlfn.XLOOKUP(D2452,SKU_Master!A:A,SKU_Master!B:B,"Not on master")</f>
        <v>0</v>
      </c>
      <c r="F2452" cm="1">
        <f t="array" ref="F2452">_xlfn.XLOOKUP(C2452,Account_Master!A:A,Account_Master!B:B,"Not on master")</f>
        <v>0</v>
      </c>
      <c r="G2452" cm="1">
        <f t="array" ref="G2452">_xlfn.XLOOKUP(C2452,Account_Master!A:A,Account_Master!C:C,"Not on master")</f>
        <v>0</v>
      </c>
      <c r="H2452" s="6">
        <v>9</v>
      </c>
      <c r="I2452" s="6">
        <v>9</v>
      </c>
      <c r="J2452" s="6">
        <f>I2452-H2452</f>
        <v>0</v>
      </c>
      <c r="K2452" s="5">
        <f>IF(H2452=0,"",J2452/H2452)</f>
        <v>0</v>
      </c>
      <c r="L2452">
        <f>IF(OR(AND(H2452=0,ABS(J2452)&gt;=0.01),AND(H2452&lt;&gt;0,ABS(K2452)&gt;VarianceThreshold)),"Review","OK")</f>
        <v>0</v>
      </c>
      <c r="M2452" t="s">
        <v>33</v>
      </c>
    </row>
    <row r="2453" spans="1:13">
      <c r="A2453" t="s">
        <v>3</v>
      </c>
      <c r="B2453" t="s">
        <v>891</v>
      </c>
      <c r="C2453" t="s">
        <v>2037</v>
      </c>
      <c r="D2453" t="s">
        <v>2365</v>
      </c>
      <c r="E2453" cm="1">
        <f t="array" ref="E2453">_xlfn.XLOOKUP(D2453,SKU_Master!A:A,SKU_Master!B:B,"Not on master")</f>
        <v>0</v>
      </c>
      <c r="F2453" cm="1">
        <f t="array" ref="F2453">_xlfn.XLOOKUP(C2453,Account_Master!A:A,Account_Master!B:B,"Not on master")</f>
        <v>0</v>
      </c>
      <c r="G2453" cm="1">
        <f t="array" ref="G2453">_xlfn.XLOOKUP(C2453,Account_Master!A:A,Account_Master!C:C,"Not on master")</f>
        <v>0</v>
      </c>
      <c r="H2453" s="6">
        <v>9</v>
      </c>
      <c r="I2453" s="6">
        <v>9</v>
      </c>
      <c r="J2453" s="6">
        <f>I2453-H2453</f>
        <v>0</v>
      </c>
      <c r="K2453" s="5">
        <f>IF(H2453=0,"",J2453/H2453)</f>
        <v>0</v>
      </c>
      <c r="L2453">
        <f>IF(OR(AND(H2453=0,ABS(J2453)&gt;=0.01),AND(H2453&lt;&gt;0,ABS(K2453)&gt;VarianceThreshold)),"Review","OK")</f>
        <v>0</v>
      </c>
      <c r="M2453" t="s">
        <v>33</v>
      </c>
    </row>
    <row r="2454" spans="1:13">
      <c r="A2454" t="s">
        <v>3</v>
      </c>
      <c r="B2454" t="s">
        <v>891</v>
      </c>
      <c r="C2454" t="s">
        <v>2273</v>
      </c>
      <c r="D2454" t="s">
        <v>1950</v>
      </c>
      <c r="E2454" cm="1">
        <f t="array" ref="E2454">_xlfn.XLOOKUP(D2454,SKU_Master!A:A,SKU_Master!B:B,"Not on master")</f>
        <v>0</v>
      </c>
      <c r="F2454" cm="1">
        <f t="array" ref="F2454">_xlfn.XLOOKUP(C2454,Account_Master!A:A,Account_Master!B:B,"Not on master")</f>
        <v>0</v>
      </c>
      <c r="G2454" cm="1">
        <f t="array" ref="G2454">_xlfn.XLOOKUP(C2454,Account_Master!A:A,Account_Master!C:C,"Not on master")</f>
        <v>0</v>
      </c>
      <c r="H2454" s="6">
        <v>62.2</v>
      </c>
      <c r="I2454" s="6">
        <v>62.2</v>
      </c>
      <c r="J2454" s="6">
        <f>I2454-H2454</f>
        <v>0</v>
      </c>
      <c r="K2454" s="5">
        <f>IF(H2454=0,"",J2454/H2454)</f>
        <v>0</v>
      </c>
      <c r="L2454">
        <f>IF(OR(AND(H2454=0,ABS(J2454)&gt;=0.01),AND(H2454&lt;&gt;0,ABS(K2454)&gt;VarianceThreshold)),"Review","OK")</f>
        <v>0</v>
      </c>
      <c r="M2454" t="s">
        <v>33</v>
      </c>
    </row>
    <row r="2455" spans="1:13">
      <c r="A2455" t="s">
        <v>3</v>
      </c>
      <c r="B2455" t="s">
        <v>891</v>
      </c>
      <c r="C2455" t="s">
        <v>1837</v>
      </c>
      <c r="D2455" t="s">
        <v>1226</v>
      </c>
      <c r="E2455" cm="1">
        <f t="array" ref="E2455">_xlfn.XLOOKUP(D2455,SKU_Master!A:A,SKU_Master!B:B,"Not on master")</f>
        <v>0</v>
      </c>
      <c r="F2455" cm="1">
        <f t="array" ref="F2455">_xlfn.XLOOKUP(C2455,Account_Master!A:A,Account_Master!B:B,"Not on master")</f>
        <v>0</v>
      </c>
      <c r="G2455" cm="1">
        <f t="array" ref="G2455">_xlfn.XLOOKUP(C2455,Account_Master!A:A,Account_Master!C:C,"Not on master")</f>
        <v>0</v>
      </c>
      <c r="H2455" s="6">
        <v>4.5</v>
      </c>
      <c r="I2455" s="6">
        <v>4.5</v>
      </c>
      <c r="J2455" s="6">
        <f>I2455-H2455</f>
        <v>0</v>
      </c>
      <c r="K2455" s="5">
        <f>IF(H2455=0,"",J2455/H2455)</f>
        <v>0</v>
      </c>
      <c r="L2455">
        <f>IF(OR(AND(H2455=0,ABS(J2455)&gt;=0.01),AND(H2455&lt;&gt;0,ABS(K2455)&gt;VarianceThreshold)),"Review","OK")</f>
        <v>0</v>
      </c>
      <c r="M2455" t="s">
        <v>33</v>
      </c>
    </row>
    <row r="2456" spans="1:13">
      <c r="A2456" t="s">
        <v>3</v>
      </c>
      <c r="B2456" t="s">
        <v>903</v>
      </c>
      <c r="C2456" t="s">
        <v>2030</v>
      </c>
      <c r="D2456" t="s">
        <v>807</v>
      </c>
      <c r="E2456" cm="1">
        <f t="array" ref="E2456">_xlfn.XLOOKUP(D2456,SKU_Master!A:A,SKU_Master!B:B,"Not on master")</f>
        <v>0</v>
      </c>
      <c r="F2456" cm="1">
        <f t="array" ref="F2456">_xlfn.XLOOKUP(C2456,Account_Master!A:A,Account_Master!B:B,"Not on master")</f>
        <v>0</v>
      </c>
      <c r="G2456" cm="1">
        <f t="array" ref="G2456">_xlfn.XLOOKUP(C2456,Account_Master!A:A,Account_Master!C:C,"Not on master")</f>
        <v>0</v>
      </c>
      <c r="H2456" s="6">
        <v>133</v>
      </c>
      <c r="I2456" s="6">
        <v>133</v>
      </c>
      <c r="J2456" s="6">
        <f>I2456-H2456</f>
        <v>0</v>
      </c>
      <c r="K2456" s="5">
        <f>IF(H2456=0,"",J2456/H2456)</f>
        <v>0</v>
      </c>
      <c r="L2456">
        <f>IF(OR(AND(H2456=0,ABS(J2456)&gt;=0.01),AND(H2456&lt;&gt;0,ABS(K2456)&gt;VarianceThreshold)),"Review","OK")</f>
        <v>0</v>
      </c>
      <c r="M2456" t="s">
        <v>33</v>
      </c>
    </row>
    <row r="2457" spans="1:13">
      <c r="A2457" t="s">
        <v>3</v>
      </c>
      <c r="B2457" t="s">
        <v>903</v>
      </c>
      <c r="C2457" t="s">
        <v>2022</v>
      </c>
      <c r="D2457" t="s">
        <v>2366</v>
      </c>
      <c r="E2457" cm="1">
        <f t="array" ref="E2457">_xlfn.XLOOKUP(D2457,SKU_Master!A:A,SKU_Master!B:B,"Not on master")</f>
        <v>0</v>
      </c>
      <c r="F2457" cm="1">
        <f t="array" ref="F2457">_xlfn.XLOOKUP(C2457,Account_Master!A:A,Account_Master!B:B,"Not on master")</f>
        <v>0</v>
      </c>
      <c r="G2457" cm="1">
        <f t="array" ref="G2457">_xlfn.XLOOKUP(C2457,Account_Master!A:A,Account_Master!C:C,"Not on master")</f>
        <v>0</v>
      </c>
      <c r="H2457" s="6">
        <v>48</v>
      </c>
      <c r="I2457" s="6">
        <v>48</v>
      </c>
      <c r="J2457" s="6">
        <f>I2457-H2457</f>
        <v>0</v>
      </c>
      <c r="K2457" s="5">
        <f>IF(H2457=0,"",J2457/H2457)</f>
        <v>0</v>
      </c>
      <c r="L2457">
        <f>IF(OR(AND(H2457=0,ABS(J2457)&gt;=0.01),AND(H2457&lt;&gt;0,ABS(K2457)&gt;VarianceThreshold)),"Review","OK")</f>
        <v>0</v>
      </c>
      <c r="M2457" t="s">
        <v>33</v>
      </c>
    </row>
    <row r="2458" spans="1:13">
      <c r="A2458" t="s">
        <v>3</v>
      </c>
      <c r="B2458" t="s">
        <v>903</v>
      </c>
      <c r="C2458" t="s">
        <v>2367</v>
      </c>
      <c r="D2458" t="s">
        <v>2368</v>
      </c>
      <c r="E2458" cm="1">
        <f t="array" ref="E2458">_xlfn.XLOOKUP(D2458,SKU_Master!A:A,SKU_Master!B:B,"Not on master")</f>
        <v>0</v>
      </c>
      <c r="F2458" cm="1">
        <f t="array" ref="F2458">_xlfn.XLOOKUP(C2458,Account_Master!A:A,Account_Master!B:B,"Not on master")</f>
        <v>0</v>
      </c>
      <c r="G2458" cm="1">
        <f t="array" ref="G2458">_xlfn.XLOOKUP(C2458,Account_Master!A:A,Account_Master!C:C,"Not on master")</f>
        <v>0</v>
      </c>
      <c r="H2458" s="6">
        <v>4.8</v>
      </c>
      <c r="I2458" s="6">
        <v>4.8</v>
      </c>
      <c r="J2458" s="6">
        <f>I2458-H2458</f>
        <v>0</v>
      </c>
      <c r="K2458" s="5">
        <f>IF(H2458=0,"",J2458/H2458)</f>
        <v>0</v>
      </c>
      <c r="L2458">
        <f>IF(OR(AND(H2458=0,ABS(J2458)&gt;=0.01),AND(H2458&lt;&gt;0,ABS(K2458)&gt;VarianceThreshold)),"Review","OK")</f>
        <v>0</v>
      </c>
      <c r="M2458" t="s">
        <v>33</v>
      </c>
    </row>
    <row r="2459" spans="1:13">
      <c r="A2459" t="s">
        <v>3</v>
      </c>
      <c r="B2459" t="s">
        <v>903</v>
      </c>
      <c r="C2459" t="s">
        <v>2019</v>
      </c>
      <c r="D2459" t="s">
        <v>843</v>
      </c>
      <c r="E2459" cm="1">
        <f t="array" ref="E2459">_xlfn.XLOOKUP(D2459,SKU_Master!A:A,SKU_Master!B:B,"Not on master")</f>
        <v>0</v>
      </c>
      <c r="F2459" cm="1">
        <f t="array" ref="F2459">_xlfn.XLOOKUP(C2459,Account_Master!A:A,Account_Master!B:B,"Not on master")</f>
        <v>0</v>
      </c>
      <c r="G2459" cm="1">
        <f t="array" ref="G2459">_xlfn.XLOOKUP(C2459,Account_Master!A:A,Account_Master!C:C,"Not on master")</f>
        <v>0</v>
      </c>
      <c r="H2459" s="6">
        <v>5.25</v>
      </c>
      <c r="I2459" s="6">
        <v>5.25</v>
      </c>
      <c r="J2459" s="6">
        <f>I2459-H2459</f>
        <v>0</v>
      </c>
      <c r="K2459" s="5">
        <f>IF(H2459=0,"",J2459/H2459)</f>
        <v>0</v>
      </c>
      <c r="L2459">
        <f>IF(OR(AND(H2459=0,ABS(J2459)&gt;=0.01),AND(H2459&lt;&gt;0,ABS(K2459)&gt;VarianceThreshold)),"Review","OK")</f>
        <v>0</v>
      </c>
      <c r="M2459" t="s">
        <v>33</v>
      </c>
    </row>
    <row r="2460" spans="1:13">
      <c r="A2460" t="s">
        <v>3</v>
      </c>
      <c r="B2460" t="s">
        <v>903</v>
      </c>
      <c r="C2460" t="s">
        <v>2013</v>
      </c>
      <c r="D2460" t="s">
        <v>1274</v>
      </c>
      <c r="E2460" cm="1">
        <f t="array" ref="E2460">_xlfn.XLOOKUP(D2460,SKU_Master!A:A,SKU_Master!B:B,"Not on master")</f>
        <v>0</v>
      </c>
      <c r="F2460" cm="1">
        <f t="array" ref="F2460">_xlfn.XLOOKUP(C2460,Account_Master!A:A,Account_Master!B:B,"Not on master")</f>
        <v>0</v>
      </c>
      <c r="G2460" cm="1">
        <f t="array" ref="G2460">_xlfn.XLOOKUP(C2460,Account_Master!A:A,Account_Master!C:C,"Not on master")</f>
        <v>0</v>
      </c>
      <c r="H2460" s="6">
        <v>4.5</v>
      </c>
      <c r="I2460" s="6">
        <v>4.5</v>
      </c>
      <c r="J2460" s="6">
        <f>I2460-H2460</f>
        <v>0</v>
      </c>
      <c r="K2460" s="5">
        <f>IF(H2460=0,"",J2460/H2460)</f>
        <v>0</v>
      </c>
      <c r="L2460">
        <f>IF(OR(AND(H2460=0,ABS(J2460)&gt;=0.01),AND(H2460&lt;&gt;0,ABS(K2460)&gt;VarianceThreshold)),"Review","OK")</f>
        <v>0</v>
      </c>
      <c r="M2460" t="s">
        <v>33</v>
      </c>
    </row>
    <row r="2461" spans="1:13">
      <c r="A2461" t="s">
        <v>3</v>
      </c>
      <c r="B2461" t="s">
        <v>903</v>
      </c>
      <c r="C2461" t="s">
        <v>2015</v>
      </c>
      <c r="D2461" t="s">
        <v>2369</v>
      </c>
      <c r="E2461" cm="1">
        <f t="array" ref="E2461">_xlfn.XLOOKUP(D2461,SKU_Master!A:A,SKU_Master!B:B,"Not on master")</f>
        <v>0</v>
      </c>
      <c r="F2461" cm="1">
        <f t="array" ref="F2461">_xlfn.XLOOKUP(C2461,Account_Master!A:A,Account_Master!B:B,"Not on master")</f>
        <v>0</v>
      </c>
      <c r="G2461" cm="1">
        <f t="array" ref="G2461">_xlfn.XLOOKUP(C2461,Account_Master!A:A,Account_Master!C:C,"Not on master")</f>
        <v>0</v>
      </c>
      <c r="H2461" s="6">
        <v>1.5</v>
      </c>
      <c r="I2461" s="6">
        <v>1.5</v>
      </c>
      <c r="J2461" s="6">
        <f>I2461-H2461</f>
        <v>0</v>
      </c>
      <c r="K2461" s="5">
        <f>IF(H2461=0,"",J2461/H2461)</f>
        <v>0</v>
      </c>
      <c r="L2461">
        <f>IF(OR(AND(H2461=0,ABS(J2461)&gt;=0.01),AND(H2461&lt;&gt;0,ABS(K2461)&gt;VarianceThreshold)),"Review","OK")</f>
        <v>0</v>
      </c>
      <c r="M2461" t="s">
        <v>33</v>
      </c>
    </row>
    <row r="2462" spans="1:13">
      <c r="A2462" t="s">
        <v>3</v>
      </c>
      <c r="B2462" t="s">
        <v>915</v>
      </c>
      <c r="C2462" t="s">
        <v>2096</v>
      </c>
      <c r="D2462" t="s">
        <v>2370</v>
      </c>
      <c r="E2462" cm="1">
        <f t="array" ref="E2462">_xlfn.XLOOKUP(D2462,SKU_Master!A:A,SKU_Master!B:B,"Not on master")</f>
        <v>0</v>
      </c>
      <c r="F2462" cm="1">
        <f t="array" ref="F2462">_xlfn.XLOOKUP(C2462,Account_Master!A:A,Account_Master!B:B,"Not on master")</f>
        <v>0</v>
      </c>
      <c r="G2462" cm="1">
        <f t="array" ref="G2462">_xlfn.XLOOKUP(C2462,Account_Master!A:A,Account_Master!C:C,"Not on master")</f>
        <v>0</v>
      </c>
      <c r="H2462" s="6">
        <v>27</v>
      </c>
      <c r="I2462" s="6">
        <v>27</v>
      </c>
      <c r="J2462" s="6">
        <f>I2462-H2462</f>
        <v>0</v>
      </c>
      <c r="K2462" s="5">
        <f>IF(H2462=0,"",J2462/H2462)</f>
        <v>0</v>
      </c>
      <c r="L2462">
        <f>IF(OR(AND(H2462=0,ABS(J2462)&gt;=0.01),AND(H2462&lt;&gt;0,ABS(K2462)&gt;VarianceThreshold)),"Review","OK")</f>
        <v>0</v>
      </c>
      <c r="M2462" t="s">
        <v>33</v>
      </c>
    </row>
    <row r="2463" spans="1:13">
      <c r="A2463" t="s">
        <v>3</v>
      </c>
      <c r="B2463" t="s">
        <v>915</v>
      </c>
      <c r="C2463" t="s">
        <v>2168</v>
      </c>
      <c r="D2463" t="s">
        <v>2371</v>
      </c>
      <c r="E2463" cm="1">
        <f t="array" ref="E2463">_xlfn.XLOOKUP(D2463,SKU_Master!A:A,SKU_Master!B:B,"Not on master")</f>
        <v>0</v>
      </c>
      <c r="F2463" cm="1">
        <f t="array" ref="F2463">_xlfn.XLOOKUP(C2463,Account_Master!A:A,Account_Master!B:B,"Not on master")</f>
        <v>0</v>
      </c>
      <c r="G2463" cm="1">
        <f t="array" ref="G2463">_xlfn.XLOOKUP(C2463,Account_Master!A:A,Account_Master!C:C,"Not on master")</f>
        <v>0</v>
      </c>
      <c r="H2463" s="6">
        <v>9</v>
      </c>
      <c r="I2463" s="6">
        <v>9</v>
      </c>
      <c r="J2463" s="6">
        <f>I2463-H2463</f>
        <v>0</v>
      </c>
      <c r="K2463" s="5">
        <f>IF(H2463=0,"",J2463/H2463)</f>
        <v>0</v>
      </c>
      <c r="L2463">
        <f>IF(OR(AND(H2463=0,ABS(J2463)&gt;=0.01),AND(H2463&lt;&gt;0,ABS(K2463)&gt;VarianceThreshold)),"Review","OK")</f>
        <v>0</v>
      </c>
      <c r="M2463" t="s">
        <v>33</v>
      </c>
    </row>
    <row r="2464" spans="1:13">
      <c r="A2464" t="s">
        <v>3</v>
      </c>
      <c r="B2464" t="s">
        <v>915</v>
      </c>
      <c r="C2464" t="s">
        <v>2205</v>
      </c>
      <c r="D2464" t="s">
        <v>1916</v>
      </c>
      <c r="E2464" cm="1">
        <f t="array" ref="E2464">_xlfn.XLOOKUP(D2464,SKU_Master!A:A,SKU_Master!B:B,"Not on master")</f>
        <v>0</v>
      </c>
      <c r="F2464" cm="1">
        <f t="array" ref="F2464">_xlfn.XLOOKUP(C2464,Account_Master!A:A,Account_Master!B:B,"Not on master")</f>
        <v>0</v>
      </c>
      <c r="G2464" cm="1">
        <f t="array" ref="G2464">_xlfn.XLOOKUP(C2464,Account_Master!A:A,Account_Master!C:C,"Not on master")</f>
        <v>0</v>
      </c>
      <c r="H2464" s="6">
        <v>13.5</v>
      </c>
      <c r="I2464" s="6">
        <v>13.5</v>
      </c>
      <c r="J2464" s="6">
        <f>I2464-H2464</f>
        <v>0</v>
      </c>
      <c r="K2464" s="5">
        <f>IF(H2464=0,"",J2464/H2464)</f>
        <v>0</v>
      </c>
      <c r="L2464">
        <f>IF(OR(AND(H2464=0,ABS(J2464)&gt;=0.01),AND(H2464&lt;&gt;0,ABS(K2464)&gt;VarianceThreshold)),"Review","OK")</f>
        <v>0</v>
      </c>
      <c r="M2464" t="s">
        <v>33</v>
      </c>
    </row>
    <row r="2465" spans="1:13">
      <c r="A2465" t="s">
        <v>3</v>
      </c>
      <c r="B2465" t="s">
        <v>915</v>
      </c>
      <c r="C2465" t="s">
        <v>2026</v>
      </c>
      <c r="D2465" t="s">
        <v>1095</v>
      </c>
      <c r="E2465" cm="1">
        <f t="array" ref="E2465">_xlfn.XLOOKUP(D2465,SKU_Master!A:A,SKU_Master!B:B,"Not on master")</f>
        <v>0</v>
      </c>
      <c r="F2465" cm="1">
        <f t="array" ref="F2465">_xlfn.XLOOKUP(C2465,Account_Master!A:A,Account_Master!B:B,"Not on master")</f>
        <v>0</v>
      </c>
      <c r="G2465" cm="1">
        <f t="array" ref="G2465">_xlfn.XLOOKUP(C2465,Account_Master!A:A,Account_Master!C:C,"Not on master")</f>
        <v>0</v>
      </c>
      <c r="H2465" s="6">
        <v>18.75</v>
      </c>
      <c r="I2465" s="6">
        <v>18.75</v>
      </c>
      <c r="J2465" s="6">
        <f>I2465-H2465</f>
        <v>0</v>
      </c>
      <c r="K2465" s="5">
        <f>IF(H2465=0,"",J2465/H2465)</f>
        <v>0</v>
      </c>
      <c r="L2465">
        <f>IF(OR(AND(H2465=0,ABS(J2465)&gt;=0.01),AND(H2465&lt;&gt;0,ABS(K2465)&gt;VarianceThreshold)),"Review","OK")</f>
        <v>0</v>
      </c>
      <c r="M2465" t="s">
        <v>33</v>
      </c>
    </row>
    <row r="2466" spans="1:13">
      <c r="A2466" t="s">
        <v>3</v>
      </c>
      <c r="B2466" t="s">
        <v>915</v>
      </c>
      <c r="C2466" t="s">
        <v>2035</v>
      </c>
      <c r="D2466" t="s">
        <v>474</v>
      </c>
      <c r="E2466" cm="1">
        <f t="array" ref="E2466">_xlfn.XLOOKUP(D2466,SKU_Master!A:A,SKU_Master!B:B,"Not on master")</f>
        <v>0</v>
      </c>
      <c r="F2466" cm="1">
        <f t="array" ref="F2466">_xlfn.XLOOKUP(C2466,Account_Master!A:A,Account_Master!B:B,"Not on master")</f>
        <v>0</v>
      </c>
      <c r="G2466" cm="1">
        <f t="array" ref="G2466">_xlfn.XLOOKUP(C2466,Account_Master!A:A,Account_Master!C:C,"Not on master")</f>
        <v>0</v>
      </c>
      <c r="H2466" s="6">
        <v>1.5</v>
      </c>
      <c r="I2466" s="6">
        <v>1.5</v>
      </c>
      <c r="J2466" s="6">
        <f>I2466-H2466</f>
        <v>0</v>
      </c>
      <c r="K2466" s="5">
        <f>IF(H2466=0,"",J2466/H2466)</f>
        <v>0</v>
      </c>
      <c r="L2466">
        <f>IF(OR(AND(H2466=0,ABS(J2466)&gt;=0.01),AND(H2466&lt;&gt;0,ABS(K2466)&gt;VarianceThreshold)),"Review","OK")</f>
        <v>0</v>
      </c>
      <c r="M2466" t="s">
        <v>33</v>
      </c>
    </row>
    <row r="2467" spans="1:13">
      <c r="A2467" t="s">
        <v>3</v>
      </c>
      <c r="B2467" t="s">
        <v>922</v>
      </c>
      <c r="C2467" t="s">
        <v>2022</v>
      </c>
      <c r="D2467" t="s">
        <v>2372</v>
      </c>
      <c r="E2467" cm="1">
        <f t="array" ref="E2467">_xlfn.XLOOKUP(D2467,SKU_Master!A:A,SKU_Master!B:B,"Not on master")</f>
        <v>0</v>
      </c>
      <c r="F2467" cm="1">
        <f t="array" ref="F2467">_xlfn.XLOOKUP(C2467,Account_Master!A:A,Account_Master!B:B,"Not on master")</f>
        <v>0</v>
      </c>
      <c r="G2467" cm="1">
        <f t="array" ref="G2467">_xlfn.XLOOKUP(C2467,Account_Master!A:A,Account_Master!C:C,"Not on master")</f>
        <v>0</v>
      </c>
      <c r="H2467" s="6">
        <v>12</v>
      </c>
      <c r="I2467" s="6">
        <v>12</v>
      </c>
      <c r="J2467" s="6">
        <f>I2467-H2467</f>
        <v>0</v>
      </c>
      <c r="K2467" s="5">
        <f>IF(H2467=0,"",J2467/H2467)</f>
        <v>0</v>
      </c>
      <c r="L2467">
        <f>IF(OR(AND(H2467=0,ABS(J2467)&gt;=0.01),AND(H2467&lt;&gt;0,ABS(K2467)&gt;VarianceThreshold)),"Review","OK")</f>
        <v>0</v>
      </c>
      <c r="M2467" t="s">
        <v>33</v>
      </c>
    </row>
    <row r="2468" spans="1:13">
      <c r="A2468" t="s">
        <v>3</v>
      </c>
      <c r="B2468" t="s">
        <v>922</v>
      </c>
      <c r="C2468" t="s">
        <v>2022</v>
      </c>
      <c r="D2468" t="s">
        <v>524</v>
      </c>
      <c r="E2468" cm="1">
        <f t="array" ref="E2468">_xlfn.XLOOKUP(D2468,SKU_Master!A:A,SKU_Master!B:B,"Not on master")</f>
        <v>0</v>
      </c>
      <c r="F2468" cm="1">
        <f t="array" ref="F2468">_xlfn.XLOOKUP(C2468,Account_Master!A:A,Account_Master!B:B,"Not on master")</f>
        <v>0</v>
      </c>
      <c r="G2468" cm="1">
        <f t="array" ref="G2468">_xlfn.XLOOKUP(C2468,Account_Master!A:A,Account_Master!C:C,"Not on master")</f>
        <v>0</v>
      </c>
      <c r="H2468" s="6">
        <v>90.75</v>
      </c>
      <c r="I2468" s="6">
        <v>72.75</v>
      </c>
      <c r="J2468" s="6">
        <f>I2468-H2468</f>
        <v>0</v>
      </c>
      <c r="K2468" s="5">
        <f>IF(H2468=0,"",J2468/H2468)</f>
        <v>0</v>
      </c>
      <c r="L2468">
        <f>IF(OR(AND(H2468=0,ABS(J2468)&gt;=0.01),AND(H2468&lt;&gt;0,ABS(K2468)&gt;VarianceThreshold)),"Review","OK")</f>
        <v>0</v>
      </c>
      <c r="M2468" t="s">
        <v>471</v>
      </c>
    </row>
    <row r="2469" spans="1:13">
      <c r="A2469" t="s">
        <v>3</v>
      </c>
      <c r="B2469" t="s">
        <v>922</v>
      </c>
      <c r="C2469" t="s">
        <v>2116</v>
      </c>
      <c r="D2469" t="s">
        <v>1424</v>
      </c>
      <c r="E2469" cm="1">
        <f t="array" ref="E2469">_xlfn.XLOOKUP(D2469,SKU_Master!A:A,SKU_Master!B:B,"Not on master")</f>
        <v>0</v>
      </c>
      <c r="F2469" cm="1">
        <f t="array" ref="F2469">_xlfn.XLOOKUP(C2469,Account_Master!A:A,Account_Master!B:B,"Not on master")</f>
        <v>0</v>
      </c>
      <c r="G2469" cm="1">
        <f t="array" ref="G2469">_xlfn.XLOOKUP(C2469,Account_Master!A:A,Account_Master!C:C,"Not on master")</f>
        <v>0</v>
      </c>
      <c r="H2469" s="6">
        <v>54.37</v>
      </c>
      <c r="I2469" s="6">
        <v>54.37</v>
      </c>
      <c r="J2469" s="6">
        <f>I2469-H2469</f>
        <v>0</v>
      </c>
      <c r="K2469" s="5">
        <f>IF(H2469=0,"",J2469/H2469)</f>
        <v>0</v>
      </c>
      <c r="L2469">
        <f>IF(OR(AND(H2469=0,ABS(J2469)&gt;=0.01),AND(H2469&lt;&gt;0,ABS(K2469)&gt;VarianceThreshold)),"Review","OK")</f>
        <v>0</v>
      </c>
      <c r="M2469" t="s">
        <v>33</v>
      </c>
    </row>
    <row r="2470" spans="1:13">
      <c r="A2470" t="s">
        <v>3</v>
      </c>
      <c r="B2470" t="s">
        <v>922</v>
      </c>
      <c r="C2470" t="s">
        <v>2245</v>
      </c>
      <c r="D2470" t="s">
        <v>53</v>
      </c>
      <c r="E2470" cm="1">
        <f t="array" ref="E2470">_xlfn.XLOOKUP(D2470,SKU_Master!A:A,SKU_Master!B:B,"Not on master")</f>
        <v>0</v>
      </c>
      <c r="F2470" cm="1">
        <f t="array" ref="F2470">_xlfn.XLOOKUP(C2470,Account_Master!A:A,Account_Master!B:B,"Not on master")</f>
        <v>0</v>
      </c>
      <c r="G2470" cm="1">
        <f t="array" ref="G2470">_xlfn.XLOOKUP(C2470,Account_Master!A:A,Account_Master!C:C,"Not on master")</f>
        <v>0</v>
      </c>
      <c r="H2470" s="6">
        <v>4.8</v>
      </c>
      <c r="I2470" s="6">
        <v>4.8</v>
      </c>
      <c r="J2470" s="6">
        <f>I2470-H2470</f>
        <v>0</v>
      </c>
      <c r="K2470" s="5">
        <f>IF(H2470=0,"",J2470/H2470)</f>
        <v>0</v>
      </c>
      <c r="L2470">
        <f>IF(OR(AND(H2470=0,ABS(J2470)&gt;=0.01),AND(H2470&lt;&gt;0,ABS(K2470)&gt;VarianceThreshold)),"Review","OK")</f>
        <v>0</v>
      </c>
      <c r="M2470" t="s">
        <v>33</v>
      </c>
    </row>
    <row r="2471" spans="1:13">
      <c r="A2471" t="s">
        <v>3</v>
      </c>
      <c r="B2471" t="s">
        <v>922</v>
      </c>
      <c r="C2471" t="s">
        <v>2033</v>
      </c>
      <c r="D2471" t="s">
        <v>200</v>
      </c>
      <c r="E2471" cm="1">
        <f t="array" ref="E2471">_xlfn.XLOOKUP(D2471,SKU_Master!A:A,SKU_Master!B:B,"Not on master")</f>
        <v>0</v>
      </c>
      <c r="F2471" cm="1">
        <f t="array" ref="F2471">_xlfn.XLOOKUP(C2471,Account_Master!A:A,Account_Master!B:B,"Not on master")</f>
        <v>0</v>
      </c>
      <c r="G2471" cm="1">
        <f t="array" ref="G2471">_xlfn.XLOOKUP(C2471,Account_Master!A:A,Account_Master!C:C,"Not on master")</f>
        <v>0</v>
      </c>
      <c r="H2471" s="6">
        <v>35.8</v>
      </c>
      <c r="I2471" s="6">
        <v>35.8</v>
      </c>
      <c r="J2471" s="6">
        <f>I2471-H2471</f>
        <v>0</v>
      </c>
      <c r="K2471" s="5">
        <f>IF(H2471=0,"",J2471/H2471)</f>
        <v>0</v>
      </c>
      <c r="L2471">
        <f>IF(OR(AND(H2471=0,ABS(J2471)&gt;=0.01),AND(H2471&lt;&gt;0,ABS(K2471)&gt;VarianceThreshold)),"Review","OK")</f>
        <v>0</v>
      </c>
      <c r="M2471" t="s">
        <v>33</v>
      </c>
    </row>
    <row r="2472" spans="1:13">
      <c r="A2472" t="s">
        <v>3</v>
      </c>
      <c r="B2472" t="s">
        <v>922</v>
      </c>
      <c r="C2472" t="s">
        <v>2015</v>
      </c>
      <c r="D2472" t="s">
        <v>2373</v>
      </c>
      <c r="E2472" cm="1">
        <f t="array" ref="E2472">_xlfn.XLOOKUP(D2472,SKU_Master!A:A,SKU_Master!B:B,"Not on master")</f>
        <v>0</v>
      </c>
      <c r="F2472" cm="1">
        <f t="array" ref="F2472">_xlfn.XLOOKUP(C2472,Account_Master!A:A,Account_Master!B:B,"Not on master")</f>
        <v>0</v>
      </c>
      <c r="G2472" cm="1">
        <f t="array" ref="G2472">_xlfn.XLOOKUP(C2472,Account_Master!A:A,Account_Master!C:C,"Not on master")</f>
        <v>0</v>
      </c>
      <c r="H2472" s="6">
        <v>2.1</v>
      </c>
      <c r="I2472" s="6">
        <v>2.1</v>
      </c>
      <c r="J2472" s="6">
        <f>I2472-H2472</f>
        <v>0</v>
      </c>
      <c r="K2472" s="5">
        <f>IF(H2472=0,"",J2472/H2472)</f>
        <v>0</v>
      </c>
      <c r="L2472">
        <f>IF(OR(AND(H2472=0,ABS(J2472)&gt;=0.01),AND(H2472&lt;&gt;0,ABS(K2472)&gt;VarianceThreshold)),"Review","OK")</f>
        <v>0</v>
      </c>
      <c r="M2472" t="s">
        <v>33</v>
      </c>
    </row>
    <row r="2473" spans="1:13">
      <c r="A2473" t="s">
        <v>3</v>
      </c>
      <c r="B2473" t="s">
        <v>922</v>
      </c>
      <c r="C2473" t="s">
        <v>2033</v>
      </c>
      <c r="D2473" t="s">
        <v>1596</v>
      </c>
      <c r="E2473" cm="1">
        <f t="array" ref="E2473">_xlfn.XLOOKUP(D2473,SKU_Master!A:A,SKU_Master!B:B,"Not on master")</f>
        <v>0</v>
      </c>
      <c r="F2473" cm="1">
        <f t="array" ref="F2473">_xlfn.XLOOKUP(C2473,Account_Master!A:A,Account_Master!B:B,"Not on master")</f>
        <v>0</v>
      </c>
      <c r="G2473" cm="1">
        <f t="array" ref="G2473">_xlfn.XLOOKUP(C2473,Account_Master!A:A,Account_Master!C:C,"Not on master")</f>
        <v>0</v>
      </c>
      <c r="H2473" s="6">
        <v>0.45</v>
      </c>
      <c r="I2473" s="6">
        <v>0.45</v>
      </c>
      <c r="J2473" s="6">
        <f>I2473-H2473</f>
        <v>0</v>
      </c>
      <c r="K2473" s="5">
        <f>IF(H2473=0,"",J2473/H2473)</f>
        <v>0</v>
      </c>
      <c r="L2473">
        <f>IF(OR(AND(H2473=0,ABS(J2473)&gt;=0.01),AND(H2473&lt;&gt;0,ABS(K2473)&gt;VarianceThreshold)),"Review","OK")</f>
        <v>0</v>
      </c>
      <c r="M2473" t="s">
        <v>33</v>
      </c>
    </row>
    <row r="2474" spans="1:13">
      <c r="A2474" t="s">
        <v>3</v>
      </c>
      <c r="B2474" t="s">
        <v>934</v>
      </c>
      <c r="C2474" t="s">
        <v>2063</v>
      </c>
      <c r="D2474" t="s">
        <v>232</v>
      </c>
      <c r="E2474" cm="1">
        <f t="array" ref="E2474">_xlfn.XLOOKUP(D2474,SKU_Master!A:A,SKU_Master!B:B,"Not on master")</f>
        <v>0</v>
      </c>
      <c r="F2474" cm="1">
        <f t="array" ref="F2474">_xlfn.XLOOKUP(C2474,Account_Master!A:A,Account_Master!B:B,"Not on master")</f>
        <v>0</v>
      </c>
      <c r="G2474" cm="1">
        <f t="array" ref="G2474">_xlfn.XLOOKUP(C2474,Account_Master!A:A,Account_Master!C:C,"Not on master")</f>
        <v>0</v>
      </c>
      <c r="H2474" s="6">
        <v>12</v>
      </c>
      <c r="I2474" s="6">
        <v>12</v>
      </c>
      <c r="J2474" s="6">
        <f>I2474-H2474</f>
        <v>0</v>
      </c>
      <c r="K2474" s="5">
        <f>IF(H2474=0,"",J2474/H2474)</f>
        <v>0</v>
      </c>
      <c r="L2474">
        <f>IF(OR(AND(H2474=0,ABS(J2474)&gt;=0.01),AND(H2474&lt;&gt;0,ABS(K2474)&gt;VarianceThreshold)),"Review","OK")</f>
        <v>0</v>
      </c>
      <c r="M2474" t="s">
        <v>33</v>
      </c>
    </row>
    <row r="2475" spans="1:13">
      <c r="A2475" t="s">
        <v>3</v>
      </c>
      <c r="B2475" t="s">
        <v>934</v>
      </c>
      <c r="C2475" t="s">
        <v>2374</v>
      </c>
      <c r="D2475" t="s">
        <v>514</v>
      </c>
      <c r="E2475" cm="1">
        <f t="array" ref="E2475">_xlfn.XLOOKUP(D2475,SKU_Master!A:A,SKU_Master!B:B,"Not on master")</f>
        <v>0</v>
      </c>
      <c r="F2475" cm="1">
        <f t="array" ref="F2475">_xlfn.XLOOKUP(C2475,Account_Master!A:A,Account_Master!B:B,"Not on master")</f>
        <v>0</v>
      </c>
      <c r="G2475" cm="1">
        <f t="array" ref="G2475">_xlfn.XLOOKUP(C2475,Account_Master!A:A,Account_Master!C:C,"Not on master")</f>
        <v>0</v>
      </c>
      <c r="H2475" s="6">
        <v>4.5</v>
      </c>
      <c r="I2475" s="6">
        <v>4.5</v>
      </c>
      <c r="J2475" s="6">
        <f>I2475-H2475</f>
        <v>0</v>
      </c>
      <c r="K2475" s="5">
        <f>IF(H2475=0,"",J2475/H2475)</f>
        <v>0</v>
      </c>
      <c r="L2475">
        <f>IF(OR(AND(H2475=0,ABS(J2475)&gt;=0.01),AND(H2475&lt;&gt;0,ABS(K2475)&gt;VarianceThreshold)),"Review","OK")</f>
        <v>0</v>
      </c>
      <c r="M2475" t="s">
        <v>33</v>
      </c>
    </row>
    <row r="2476" spans="1:13">
      <c r="A2476" t="s">
        <v>3</v>
      </c>
      <c r="B2476" t="s">
        <v>934</v>
      </c>
      <c r="C2476" t="s">
        <v>2215</v>
      </c>
      <c r="D2476" t="s">
        <v>1547</v>
      </c>
      <c r="E2476" cm="1">
        <f t="array" ref="E2476">_xlfn.XLOOKUP(D2476,SKU_Master!A:A,SKU_Master!B:B,"Not on master")</f>
        <v>0</v>
      </c>
      <c r="F2476" cm="1">
        <f t="array" ref="F2476">_xlfn.XLOOKUP(C2476,Account_Master!A:A,Account_Master!B:B,"Not on master")</f>
        <v>0</v>
      </c>
      <c r="G2476" cm="1">
        <f t="array" ref="G2476">_xlfn.XLOOKUP(C2476,Account_Master!A:A,Account_Master!C:C,"Not on master")</f>
        <v>0</v>
      </c>
      <c r="H2476" s="6">
        <v>21</v>
      </c>
      <c r="I2476" s="6">
        <v>21</v>
      </c>
      <c r="J2476" s="6">
        <f>I2476-H2476</f>
        <v>0</v>
      </c>
      <c r="K2476" s="5">
        <f>IF(H2476=0,"",J2476/H2476)</f>
        <v>0</v>
      </c>
      <c r="L2476">
        <f>IF(OR(AND(H2476=0,ABS(J2476)&gt;=0.01),AND(H2476&lt;&gt;0,ABS(K2476)&gt;VarianceThreshold)),"Review","OK")</f>
        <v>0</v>
      </c>
      <c r="M2476" t="s">
        <v>33</v>
      </c>
    </row>
    <row r="2477" spans="1:13">
      <c r="A2477" t="s">
        <v>3</v>
      </c>
      <c r="B2477" t="s">
        <v>934</v>
      </c>
      <c r="C2477" t="s">
        <v>2174</v>
      </c>
      <c r="D2477" t="s">
        <v>237</v>
      </c>
      <c r="E2477" cm="1">
        <f t="array" ref="E2477">_xlfn.XLOOKUP(D2477,SKU_Master!A:A,SKU_Master!B:B,"Not on master")</f>
        <v>0</v>
      </c>
      <c r="F2477" cm="1">
        <f t="array" ref="F2477">_xlfn.XLOOKUP(C2477,Account_Master!A:A,Account_Master!B:B,"Not on master")</f>
        <v>0</v>
      </c>
      <c r="G2477" cm="1">
        <f t="array" ref="G2477">_xlfn.XLOOKUP(C2477,Account_Master!A:A,Account_Master!C:C,"Not on master")</f>
        <v>0</v>
      </c>
      <c r="H2477" s="6">
        <v>25.5</v>
      </c>
      <c r="I2477" s="6">
        <v>25.5</v>
      </c>
      <c r="J2477" s="6">
        <f>I2477-H2477</f>
        <v>0</v>
      </c>
      <c r="K2477" s="5">
        <f>IF(H2477=0,"",J2477/H2477)</f>
        <v>0</v>
      </c>
      <c r="L2477">
        <f>IF(OR(AND(H2477=0,ABS(J2477)&gt;=0.01),AND(H2477&lt;&gt;0,ABS(K2477)&gt;VarianceThreshold)),"Review","OK")</f>
        <v>0</v>
      </c>
      <c r="M2477" t="s">
        <v>33</v>
      </c>
    </row>
    <row r="2478" spans="1:13">
      <c r="A2478" t="s">
        <v>3</v>
      </c>
      <c r="B2478" t="s">
        <v>934</v>
      </c>
      <c r="C2478" t="s">
        <v>2022</v>
      </c>
      <c r="D2478" t="s">
        <v>2375</v>
      </c>
      <c r="E2478" cm="1">
        <f t="array" ref="E2478">_xlfn.XLOOKUP(D2478,SKU_Master!A:A,SKU_Master!B:B,"Not on master")</f>
        <v>0</v>
      </c>
      <c r="F2478" cm="1">
        <f t="array" ref="F2478">_xlfn.XLOOKUP(C2478,Account_Master!A:A,Account_Master!B:B,"Not on master")</f>
        <v>0</v>
      </c>
      <c r="G2478" cm="1">
        <f t="array" ref="G2478">_xlfn.XLOOKUP(C2478,Account_Master!A:A,Account_Master!C:C,"Not on master")</f>
        <v>0</v>
      </c>
      <c r="H2478" s="6">
        <v>27</v>
      </c>
      <c r="I2478" s="6">
        <v>27</v>
      </c>
      <c r="J2478" s="6">
        <f>I2478-H2478</f>
        <v>0</v>
      </c>
      <c r="K2478" s="5">
        <f>IF(H2478=0,"",J2478/H2478)</f>
        <v>0</v>
      </c>
      <c r="L2478">
        <f>IF(OR(AND(H2478=0,ABS(J2478)&gt;=0.01),AND(H2478&lt;&gt;0,ABS(K2478)&gt;VarianceThreshold)),"Review","OK")</f>
        <v>0</v>
      </c>
      <c r="M2478" t="s">
        <v>33</v>
      </c>
    </row>
    <row r="2479" spans="1:13">
      <c r="A2479" t="s">
        <v>3</v>
      </c>
      <c r="B2479" t="s">
        <v>934</v>
      </c>
      <c r="C2479" t="s">
        <v>2013</v>
      </c>
      <c r="D2479" t="s">
        <v>1287</v>
      </c>
      <c r="E2479" cm="1">
        <f t="array" ref="E2479">_xlfn.XLOOKUP(D2479,SKU_Master!A:A,SKU_Master!B:B,"Not on master")</f>
        <v>0</v>
      </c>
      <c r="F2479" cm="1">
        <f t="array" ref="F2479">_xlfn.XLOOKUP(C2479,Account_Master!A:A,Account_Master!B:B,"Not on master")</f>
        <v>0</v>
      </c>
      <c r="G2479" cm="1">
        <f t="array" ref="G2479">_xlfn.XLOOKUP(C2479,Account_Master!A:A,Account_Master!C:C,"Not on master")</f>
        <v>0</v>
      </c>
      <c r="H2479" s="6">
        <v>22.5</v>
      </c>
      <c r="I2479" s="6">
        <v>22.5</v>
      </c>
      <c r="J2479" s="6">
        <f>I2479-H2479</f>
        <v>0</v>
      </c>
      <c r="K2479" s="5">
        <f>IF(H2479=0,"",J2479/H2479)</f>
        <v>0</v>
      </c>
      <c r="L2479">
        <f>IF(OR(AND(H2479=0,ABS(J2479)&gt;=0.01),AND(H2479&lt;&gt;0,ABS(K2479)&gt;VarianceThreshold)),"Review","OK")</f>
        <v>0</v>
      </c>
      <c r="M2479" t="s">
        <v>33</v>
      </c>
    </row>
    <row r="2480" spans="1:13">
      <c r="A2480" t="s">
        <v>3</v>
      </c>
      <c r="B2480" t="s">
        <v>944</v>
      </c>
      <c r="C2480" t="s">
        <v>2013</v>
      </c>
      <c r="D2480" t="s">
        <v>2376</v>
      </c>
      <c r="E2480" cm="1">
        <f t="array" ref="E2480">_xlfn.XLOOKUP(D2480,SKU_Master!A:A,SKU_Master!B:B,"Not on master")</f>
        <v>0</v>
      </c>
      <c r="F2480" cm="1">
        <f t="array" ref="F2480">_xlfn.XLOOKUP(C2480,Account_Master!A:A,Account_Master!B:B,"Not on master")</f>
        <v>0</v>
      </c>
      <c r="G2480" cm="1">
        <f t="array" ref="G2480">_xlfn.XLOOKUP(C2480,Account_Master!A:A,Account_Master!C:C,"Not on master")</f>
        <v>0</v>
      </c>
      <c r="H2480" s="6">
        <v>6</v>
      </c>
      <c r="I2480" s="6">
        <v>6</v>
      </c>
      <c r="J2480" s="6">
        <f>I2480-H2480</f>
        <v>0</v>
      </c>
      <c r="K2480" s="5">
        <f>IF(H2480=0,"",J2480/H2480)</f>
        <v>0</v>
      </c>
      <c r="L2480">
        <f>IF(OR(AND(H2480=0,ABS(J2480)&gt;=0.01),AND(H2480&lt;&gt;0,ABS(K2480)&gt;VarianceThreshold)),"Review","OK")</f>
        <v>0</v>
      </c>
      <c r="M2480" t="s">
        <v>33</v>
      </c>
    </row>
    <row r="2481" spans="1:13">
      <c r="A2481" t="s">
        <v>3</v>
      </c>
      <c r="B2481" t="s">
        <v>944</v>
      </c>
      <c r="C2481" t="s">
        <v>2182</v>
      </c>
      <c r="D2481" t="s">
        <v>1566</v>
      </c>
      <c r="E2481" cm="1">
        <f t="array" ref="E2481">_xlfn.XLOOKUP(D2481,SKU_Master!A:A,SKU_Master!B:B,"Not on master")</f>
        <v>0</v>
      </c>
      <c r="F2481" cm="1">
        <f t="array" ref="F2481">_xlfn.XLOOKUP(C2481,Account_Master!A:A,Account_Master!B:B,"Not on master")</f>
        <v>0</v>
      </c>
      <c r="G2481" cm="1">
        <f t="array" ref="G2481">_xlfn.XLOOKUP(C2481,Account_Master!A:A,Account_Master!C:C,"Not on master")</f>
        <v>0</v>
      </c>
      <c r="H2481" s="6">
        <v>63</v>
      </c>
      <c r="I2481" s="6">
        <v>63</v>
      </c>
      <c r="J2481" s="6">
        <f>I2481-H2481</f>
        <v>0</v>
      </c>
      <c r="K2481" s="5">
        <f>IF(H2481=0,"",J2481/H2481)</f>
        <v>0</v>
      </c>
      <c r="L2481">
        <f>IF(OR(AND(H2481=0,ABS(J2481)&gt;=0.01),AND(H2481&lt;&gt;0,ABS(K2481)&gt;VarianceThreshold)),"Review","OK")</f>
        <v>0</v>
      </c>
      <c r="M2481" t="s">
        <v>33</v>
      </c>
    </row>
    <row r="2482" spans="1:13">
      <c r="A2482" t="s">
        <v>3</v>
      </c>
      <c r="B2482" t="s">
        <v>944</v>
      </c>
      <c r="C2482" t="s">
        <v>2070</v>
      </c>
      <c r="D2482" t="s">
        <v>1231</v>
      </c>
      <c r="E2482" cm="1">
        <f t="array" ref="E2482">_xlfn.XLOOKUP(D2482,SKU_Master!A:A,SKU_Master!B:B,"Not on master")</f>
        <v>0</v>
      </c>
      <c r="F2482" cm="1">
        <f t="array" ref="F2482">_xlfn.XLOOKUP(C2482,Account_Master!A:A,Account_Master!B:B,"Not on master")</f>
        <v>0</v>
      </c>
      <c r="G2482" cm="1">
        <f t="array" ref="G2482">_xlfn.XLOOKUP(C2482,Account_Master!A:A,Account_Master!C:C,"Not on master")</f>
        <v>0</v>
      </c>
      <c r="H2482" s="6">
        <v>9.6</v>
      </c>
      <c r="I2482" s="6">
        <v>9.6</v>
      </c>
      <c r="J2482" s="6">
        <f>I2482-H2482</f>
        <v>0</v>
      </c>
      <c r="K2482" s="5">
        <f>IF(H2482=0,"",J2482/H2482)</f>
        <v>0</v>
      </c>
      <c r="L2482">
        <f>IF(OR(AND(H2482=0,ABS(J2482)&gt;=0.01),AND(H2482&lt;&gt;0,ABS(K2482)&gt;VarianceThreshold)),"Review","OK")</f>
        <v>0</v>
      </c>
      <c r="M2482" t="s">
        <v>33</v>
      </c>
    </row>
    <row r="2483" spans="1:13">
      <c r="A2483" t="s">
        <v>3</v>
      </c>
      <c r="B2483" t="s">
        <v>944</v>
      </c>
      <c r="C2483" t="s">
        <v>2033</v>
      </c>
      <c r="D2483" t="s">
        <v>65</v>
      </c>
      <c r="E2483" cm="1">
        <f t="array" ref="E2483">_xlfn.XLOOKUP(D2483,SKU_Master!A:A,SKU_Master!B:B,"Not on master")</f>
        <v>0</v>
      </c>
      <c r="F2483" cm="1">
        <f t="array" ref="F2483">_xlfn.XLOOKUP(C2483,Account_Master!A:A,Account_Master!B:B,"Not on master")</f>
        <v>0</v>
      </c>
      <c r="G2483" cm="1">
        <f t="array" ref="G2483">_xlfn.XLOOKUP(C2483,Account_Master!A:A,Account_Master!C:C,"Not on master")</f>
        <v>0</v>
      </c>
      <c r="H2483" s="6">
        <v>9.75</v>
      </c>
      <c r="I2483" s="6">
        <v>9.75</v>
      </c>
      <c r="J2483" s="6">
        <f>I2483-H2483</f>
        <v>0</v>
      </c>
      <c r="K2483" s="5">
        <f>IF(H2483=0,"",J2483/H2483)</f>
        <v>0</v>
      </c>
      <c r="L2483">
        <f>IF(OR(AND(H2483=0,ABS(J2483)&gt;=0.01),AND(H2483&lt;&gt;0,ABS(K2483)&gt;VarianceThreshold)),"Review","OK")</f>
        <v>0</v>
      </c>
      <c r="M2483" t="s">
        <v>33</v>
      </c>
    </row>
    <row r="2484" spans="1:13">
      <c r="A2484" t="s">
        <v>3</v>
      </c>
      <c r="B2484" t="s">
        <v>944</v>
      </c>
      <c r="C2484" t="s">
        <v>2262</v>
      </c>
      <c r="D2484" t="s">
        <v>2377</v>
      </c>
      <c r="E2484" cm="1">
        <f t="array" ref="E2484">_xlfn.XLOOKUP(D2484,SKU_Master!A:A,SKU_Master!B:B,"Not on master")</f>
        <v>0</v>
      </c>
      <c r="F2484" cm="1">
        <f t="array" ref="F2484">_xlfn.XLOOKUP(C2484,Account_Master!A:A,Account_Master!B:B,"Not on master")</f>
        <v>0</v>
      </c>
      <c r="G2484" cm="1">
        <f t="array" ref="G2484">_xlfn.XLOOKUP(C2484,Account_Master!A:A,Account_Master!C:C,"Not on master")</f>
        <v>0</v>
      </c>
      <c r="H2484" s="6">
        <v>0.7</v>
      </c>
      <c r="I2484" s="6">
        <v>0.7</v>
      </c>
      <c r="J2484" s="6">
        <f>I2484-H2484</f>
        <v>0</v>
      </c>
      <c r="K2484" s="5">
        <f>IF(H2484=0,"",J2484/H2484)</f>
        <v>0</v>
      </c>
      <c r="L2484">
        <f>IF(OR(AND(H2484=0,ABS(J2484)&gt;=0.01),AND(H2484&lt;&gt;0,ABS(K2484)&gt;VarianceThreshold)),"Review","OK")</f>
        <v>0</v>
      </c>
      <c r="M2484" t="s">
        <v>33</v>
      </c>
    </row>
    <row r="2485" spans="1:13">
      <c r="A2485" t="s">
        <v>3</v>
      </c>
      <c r="B2485" t="s">
        <v>952</v>
      </c>
      <c r="C2485" t="s">
        <v>2022</v>
      </c>
      <c r="D2485" t="s">
        <v>2378</v>
      </c>
      <c r="E2485" cm="1">
        <f t="array" ref="E2485">_xlfn.XLOOKUP(D2485,SKU_Master!A:A,SKU_Master!B:B,"Not on master")</f>
        <v>0</v>
      </c>
      <c r="F2485" cm="1">
        <f t="array" ref="F2485">_xlfn.XLOOKUP(C2485,Account_Master!A:A,Account_Master!B:B,"Not on master")</f>
        <v>0</v>
      </c>
      <c r="G2485" cm="1">
        <f t="array" ref="G2485">_xlfn.XLOOKUP(C2485,Account_Master!A:A,Account_Master!C:C,"Not on master")</f>
        <v>0</v>
      </c>
      <c r="H2485" s="6">
        <v>10.5</v>
      </c>
      <c r="I2485" s="6">
        <v>10.5</v>
      </c>
      <c r="J2485" s="6">
        <f>I2485-H2485</f>
        <v>0</v>
      </c>
      <c r="K2485" s="5">
        <f>IF(H2485=0,"",J2485/H2485)</f>
        <v>0</v>
      </c>
      <c r="L2485">
        <f>IF(OR(AND(H2485=0,ABS(J2485)&gt;=0.01),AND(H2485&lt;&gt;0,ABS(K2485)&gt;VarianceThreshold)),"Review","OK")</f>
        <v>0</v>
      </c>
      <c r="M2485" t="s">
        <v>33</v>
      </c>
    </row>
    <row r="2486" spans="1:13">
      <c r="A2486" t="s">
        <v>3</v>
      </c>
      <c r="B2486" t="s">
        <v>952</v>
      </c>
      <c r="C2486" t="s">
        <v>2096</v>
      </c>
      <c r="D2486" t="s">
        <v>2379</v>
      </c>
      <c r="E2486" cm="1">
        <f t="array" ref="E2486">_xlfn.XLOOKUP(D2486,SKU_Master!A:A,SKU_Master!B:B,"Not on master")</f>
        <v>0</v>
      </c>
      <c r="F2486" cm="1">
        <f t="array" ref="F2486">_xlfn.XLOOKUP(C2486,Account_Master!A:A,Account_Master!B:B,"Not on master")</f>
        <v>0</v>
      </c>
      <c r="G2486" cm="1">
        <f t="array" ref="G2486">_xlfn.XLOOKUP(C2486,Account_Master!A:A,Account_Master!C:C,"Not on master")</f>
        <v>0</v>
      </c>
      <c r="H2486" s="6">
        <v>1.5</v>
      </c>
      <c r="I2486" s="6">
        <v>1.5</v>
      </c>
      <c r="J2486" s="6">
        <f>I2486-H2486</f>
        <v>0</v>
      </c>
      <c r="K2486" s="5">
        <f>IF(H2486=0,"",J2486/H2486)</f>
        <v>0</v>
      </c>
      <c r="L2486">
        <f>IF(OR(AND(H2486=0,ABS(J2486)&gt;=0.01),AND(H2486&lt;&gt;0,ABS(K2486)&gt;VarianceThreshold)),"Review","OK")</f>
        <v>0</v>
      </c>
      <c r="M2486" t="s">
        <v>33</v>
      </c>
    </row>
    <row r="2487" spans="1:13">
      <c r="A2487" t="s">
        <v>3</v>
      </c>
      <c r="B2487" t="s">
        <v>952</v>
      </c>
      <c r="C2487" t="s">
        <v>2266</v>
      </c>
      <c r="D2487" t="s">
        <v>2380</v>
      </c>
      <c r="E2487" cm="1">
        <f t="array" ref="E2487">_xlfn.XLOOKUP(D2487,SKU_Master!A:A,SKU_Master!B:B,"Not on master")</f>
        <v>0</v>
      </c>
      <c r="F2487" cm="1">
        <f t="array" ref="F2487">_xlfn.XLOOKUP(C2487,Account_Master!A:A,Account_Master!B:B,"Not on master")</f>
        <v>0</v>
      </c>
      <c r="G2487" cm="1">
        <f t="array" ref="G2487">_xlfn.XLOOKUP(C2487,Account_Master!A:A,Account_Master!C:C,"Not on master")</f>
        <v>0</v>
      </c>
      <c r="H2487" s="6">
        <v>9.5</v>
      </c>
      <c r="I2487" s="6">
        <v>9.5</v>
      </c>
      <c r="J2487" s="6">
        <f>I2487-H2487</f>
        <v>0</v>
      </c>
      <c r="K2487" s="5">
        <f>IF(H2487=0,"",J2487/H2487)</f>
        <v>0</v>
      </c>
      <c r="L2487">
        <f>IF(OR(AND(H2487=0,ABS(J2487)&gt;=0.01),AND(H2487&lt;&gt;0,ABS(K2487)&gt;VarianceThreshold)),"Review","OK")</f>
        <v>0</v>
      </c>
      <c r="M2487" t="s">
        <v>33</v>
      </c>
    </row>
    <row r="2488" spans="1:13">
      <c r="A2488" t="s">
        <v>3</v>
      </c>
      <c r="B2488" t="s">
        <v>952</v>
      </c>
      <c r="C2488" t="s">
        <v>2026</v>
      </c>
      <c r="D2488" t="s">
        <v>1408</v>
      </c>
      <c r="E2488" cm="1">
        <f t="array" ref="E2488">_xlfn.XLOOKUP(D2488,SKU_Master!A:A,SKU_Master!B:B,"Not on master")</f>
        <v>0</v>
      </c>
      <c r="F2488" cm="1">
        <f t="array" ref="F2488">_xlfn.XLOOKUP(C2488,Account_Master!A:A,Account_Master!B:B,"Not on master")</f>
        <v>0</v>
      </c>
      <c r="G2488" cm="1">
        <f t="array" ref="G2488">_xlfn.XLOOKUP(C2488,Account_Master!A:A,Account_Master!C:C,"Not on master")</f>
        <v>0</v>
      </c>
      <c r="H2488" s="6">
        <v>45</v>
      </c>
      <c r="I2488" s="6">
        <v>45</v>
      </c>
      <c r="J2488" s="6">
        <f>I2488-H2488</f>
        <v>0</v>
      </c>
      <c r="K2488" s="5">
        <f>IF(H2488=0,"",J2488/H2488)</f>
        <v>0</v>
      </c>
      <c r="L2488">
        <f>IF(OR(AND(H2488=0,ABS(J2488)&gt;=0.01),AND(H2488&lt;&gt;0,ABS(K2488)&gt;VarianceThreshold)),"Review","OK")</f>
        <v>0</v>
      </c>
      <c r="M2488" t="s">
        <v>33</v>
      </c>
    </row>
    <row r="2489" spans="1:13">
      <c r="A2489" t="s">
        <v>3</v>
      </c>
      <c r="B2489" t="s">
        <v>952</v>
      </c>
      <c r="C2489" t="s">
        <v>2022</v>
      </c>
      <c r="D2489" t="s">
        <v>255</v>
      </c>
      <c r="E2489" cm="1">
        <f t="array" ref="E2489">_xlfn.XLOOKUP(D2489,SKU_Master!A:A,SKU_Master!B:B,"Not on master")</f>
        <v>0</v>
      </c>
      <c r="F2489" cm="1">
        <f t="array" ref="F2489">_xlfn.XLOOKUP(C2489,Account_Master!A:A,Account_Master!B:B,"Not on master")</f>
        <v>0</v>
      </c>
      <c r="G2489" cm="1">
        <f t="array" ref="G2489">_xlfn.XLOOKUP(C2489,Account_Master!A:A,Account_Master!C:C,"Not on master")</f>
        <v>0</v>
      </c>
      <c r="H2489" s="6">
        <v>36</v>
      </c>
      <c r="I2489" s="6">
        <v>36</v>
      </c>
      <c r="J2489" s="6">
        <f>I2489-H2489</f>
        <v>0</v>
      </c>
      <c r="K2489" s="5">
        <f>IF(H2489=0,"",J2489/H2489)</f>
        <v>0</v>
      </c>
      <c r="L2489">
        <f>IF(OR(AND(H2489=0,ABS(J2489)&gt;=0.01),AND(H2489&lt;&gt;0,ABS(K2489)&gt;VarianceThreshold)),"Review","OK")</f>
        <v>0</v>
      </c>
      <c r="M2489" t="s">
        <v>33</v>
      </c>
    </row>
    <row r="2490" spans="1:13">
      <c r="A2490" t="s">
        <v>3</v>
      </c>
      <c r="B2490" t="s">
        <v>961</v>
      </c>
      <c r="C2490" t="s">
        <v>2381</v>
      </c>
      <c r="D2490" t="s">
        <v>1712</v>
      </c>
      <c r="E2490" cm="1">
        <f t="array" ref="E2490">_xlfn.XLOOKUP(D2490,SKU_Master!A:A,SKU_Master!B:B,"Not on master")</f>
        <v>0</v>
      </c>
      <c r="F2490" cm="1">
        <f t="array" ref="F2490">_xlfn.XLOOKUP(C2490,Account_Master!A:A,Account_Master!B:B,"Not on master")</f>
        <v>0</v>
      </c>
      <c r="G2490" cm="1">
        <f t="array" ref="G2490">_xlfn.XLOOKUP(C2490,Account_Master!A:A,Account_Master!C:C,"Not on master")</f>
        <v>0</v>
      </c>
      <c r="H2490" s="6">
        <v>9</v>
      </c>
      <c r="I2490" s="6">
        <v>9</v>
      </c>
      <c r="J2490" s="6">
        <f>I2490-H2490</f>
        <v>0</v>
      </c>
      <c r="K2490" s="5">
        <f>IF(H2490=0,"",J2490/H2490)</f>
        <v>0</v>
      </c>
      <c r="L2490">
        <f>IF(OR(AND(H2490=0,ABS(J2490)&gt;=0.01),AND(H2490&lt;&gt;0,ABS(K2490)&gt;VarianceThreshold)),"Review","OK")</f>
        <v>0</v>
      </c>
      <c r="M2490" t="s">
        <v>33</v>
      </c>
    </row>
    <row r="2491" spans="1:13">
      <c r="A2491" t="s">
        <v>3</v>
      </c>
      <c r="B2491" t="s">
        <v>961</v>
      </c>
      <c r="C2491" t="s">
        <v>2027</v>
      </c>
      <c r="D2491" t="s">
        <v>2382</v>
      </c>
      <c r="E2491" cm="1">
        <f t="array" ref="E2491">_xlfn.XLOOKUP(D2491,SKU_Master!A:A,SKU_Master!B:B,"Not on master")</f>
        <v>0</v>
      </c>
      <c r="F2491" cm="1">
        <f t="array" ref="F2491">_xlfn.XLOOKUP(C2491,Account_Master!A:A,Account_Master!B:B,"Not on master")</f>
        <v>0</v>
      </c>
      <c r="G2491" cm="1">
        <f t="array" ref="G2491">_xlfn.XLOOKUP(C2491,Account_Master!A:A,Account_Master!C:C,"Not on master")</f>
        <v>0</v>
      </c>
      <c r="H2491" s="6">
        <v>4.5</v>
      </c>
      <c r="I2491" s="6">
        <v>4.5</v>
      </c>
      <c r="J2491" s="6">
        <f>I2491-H2491</f>
        <v>0</v>
      </c>
      <c r="K2491" s="5">
        <f>IF(H2491=0,"",J2491/H2491)</f>
        <v>0</v>
      </c>
      <c r="L2491">
        <f>IF(OR(AND(H2491=0,ABS(J2491)&gt;=0.01),AND(H2491&lt;&gt;0,ABS(K2491)&gt;VarianceThreshold)),"Review","OK")</f>
        <v>0</v>
      </c>
      <c r="M2491" t="s">
        <v>33</v>
      </c>
    </row>
    <row r="2492" spans="1:13">
      <c r="A2492" t="s">
        <v>3</v>
      </c>
      <c r="B2492" t="s">
        <v>961</v>
      </c>
      <c r="C2492" t="s">
        <v>2022</v>
      </c>
      <c r="D2492" t="s">
        <v>2383</v>
      </c>
      <c r="E2492" cm="1">
        <f t="array" ref="E2492">_xlfn.XLOOKUP(D2492,SKU_Master!A:A,SKU_Master!B:B,"Not on master")</f>
        <v>0</v>
      </c>
      <c r="F2492" cm="1">
        <f t="array" ref="F2492">_xlfn.XLOOKUP(C2492,Account_Master!A:A,Account_Master!B:B,"Not on master")</f>
        <v>0</v>
      </c>
      <c r="G2492" cm="1">
        <f t="array" ref="G2492">_xlfn.XLOOKUP(C2492,Account_Master!A:A,Account_Master!C:C,"Not on master")</f>
        <v>0</v>
      </c>
      <c r="H2492" s="6">
        <v>21</v>
      </c>
      <c r="I2492" s="6">
        <v>21</v>
      </c>
      <c r="J2492" s="6">
        <f>I2492-H2492</f>
        <v>0</v>
      </c>
      <c r="K2492" s="5">
        <f>IF(H2492=0,"",J2492/H2492)</f>
        <v>0</v>
      </c>
      <c r="L2492">
        <f>IF(OR(AND(H2492=0,ABS(J2492)&gt;=0.01),AND(H2492&lt;&gt;0,ABS(K2492)&gt;VarianceThreshold)),"Review","OK")</f>
        <v>0</v>
      </c>
      <c r="M2492" t="s">
        <v>33</v>
      </c>
    </row>
    <row r="2493" spans="1:13">
      <c r="A2493" t="s">
        <v>3</v>
      </c>
      <c r="B2493" t="s">
        <v>961</v>
      </c>
      <c r="C2493" t="s">
        <v>2029</v>
      </c>
      <c r="D2493" t="s">
        <v>1688</v>
      </c>
      <c r="E2493" cm="1">
        <f t="array" ref="E2493">_xlfn.XLOOKUP(D2493,SKU_Master!A:A,SKU_Master!B:B,"Not on master")</f>
        <v>0</v>
      </c>
      <c r="F2493" cm="1">
        <f t="array" ref="F2493">_xlfn.XLOOKUP(C2493,Account_Master!A:A,Account_Master!B:B,"Not on master")</f>
        <v>0</v>
      </c>
      <c r="G2493" cm="1">
        <f t="array" ref="G2493">_xlfn.XLOOKUP(C2493,Account_Master!A:A,Account_Master!C:C,"Not on master")</f>
        <v>0</v>
      </c>
      <c r="H2493" s="6">
        <v>2</v>
      </c>
      <c r="I2493" s="6">
        <v>2</v>
      </c>
      <c r="J2493" s="6">
        <f>I2493-H2493</f>
        <v>0</v>
      </c>
      <c r="K2493" s="5">
        <f>IF(H2493=0,"",J2493/H2493)</f>
        <v>0</v>
      </c>
      <c r="L2493">
        <f>IF(OR(AND(H2493=0,ABS(J2493)&gt;=0.01),AND(H2493&lt;&gt;0,ABS(K2493)&gt;VarianceThreshold)),"Review","OK")</f>
        <v>0</v>
      </c>
      <c r="M2493" t="s">
        <v>33</v>
      </c>
    </row>
    <row r="2494" spans="1:13">
      <c r="A2494" t="s">
        <v>3</v>
      </c>
      <c r="B2494" t="s">
        <v>961</v>
      </c>
      <c r="C2494" t="s">
        <v>2384</v>
      </c>
      <c r="D2494" t="s">
        <v>644</v>
      </c>
      <c r="E2494" cm="1">
        <f t="array" ref="E2494">_xlfn.XLOOKUP(D2494,SKU_Master!A:A,SKU_Master!B:B,"Not on master")</f>
        <v>0</v>
      </c>
      <c r="F2494" cm="1">
        <f t="array" ref="F2494">_xlfn.XLOOKUP(C2494,Account_Master!A:A,Account_Master!B:B,"Not on master")</f>
        <v>0</v>
      </c>
      <c r="G2494" cm="1">
        <f t="array" ref="G2494">_xlfn.XLOOKUP(C2494,Account_Master!A:A,Account_Master!C:C,"Not on master")</f>
        <v>0</v>
      </c>
      <c r="H2494" s="6">
        <v>0.75</v>
      </c>
      <c r="I2494" s="6">
        <v>0.75</v>
      </c>
      <c r="J2494" s="6">
        <f>I2494-H2494</f>
        <v>0</v>
      </c>
      <c r="K2494" s="5">
        <f>IF(H2494=0,"",J2494/H2494)</f>
        <v>0</v>
      </c>
      <c r="L2494">
        <f>IF(OR(AND(H2494=0,ABS(J2494)&gt;=0.01),AND(H2494&lt;&gt;0,ABS(K2494)&gt;VarianceThreshold)),"Review","OK")</f>
        <v>0</v>
      </c>
      <c r="M2494" t="s">
        <v>33</v>
      </c>
    </row>
    <row r="2495" spans="1:13">
      <c r="A2495" t="s">
        <v>3</v>
      </c>
      <c r="B2495" t="s">
        <v>961</v>
      </c>
      <c r="C2495" t="s">
        <v>2027</v>
      </c>
      <c r="D2495" t="s">
        <v>2385</v>
      </c>
      <c r="E2495" cm="1">
        <f t="array" ref="E2495">_xlfn.XLOOKUP(D2495,SKU_Master!A:A,SKU_Master!B:B,"Not on master")</f>
        <v>0</v>
      </c>
      <c r="F2495" cm="1">
        <f t="array" ref="F2495">_xlfn.XLOOKUP(C2495,Account_Master!A:A,Account_Master!B:B,"Not on master")</f>
        <v>0</v>
      </c>
      <c r="G2495" cm="1">
        <f t="array" ref="G2495">_xlfn.XLOOKUP(C2495,Account_Master!A:A,Account_Master!C:C,"Not on master")</f>
        <v>0</v>
      </c>
      <c r="H2495" s="6">
        <v>4.5</v>
      </c>
      <c r="I2495" s="6">
        <v>4.5</v>
      </c>
      <c r="J2495" s="6">
        <f>I2495-H2495</f>
        <v>0</v>
      </c>
      <c r="K2495" s="5">
        <f>IF(H2495=0,"",J2495/H2495)</f>
        <v>0</v>
      </c>
      <c r="L2495">
        <f>IF(OR(AND(H2495=0,ABS(J2495)&gt;=0.01),AND(H2495&lt;&gt;0,ABS(K2495)&gt;VarianceThreshold)),"Review","OK")</f>
        <v>0</v>
      </c>
      <c r="M2495" t="s">
        <v>33</v>
      </c>
    </row>
    <row r="2496" spans="1:13">
      <c r="A2496" t="s">
        <v>3</v>
      </c>
      <c r="B2496" t="s">
        <v>966</v>
      </c>
      <c r="C2496" t="s">
        <v>2082</v>
      </c>
      <c r="D2496" t="s">
        <v>1114</v>
      </c>
      <c r="E2496" cm="1">
        <f t="array" ref="E2496">_xlfn.XLOOKUP(D2496,SKU_Master!A:A,SKU_Master!B:B,"Not on master")</f>
        <v>0</v>
      </c>
      <c r="F2496" cm="1">
        <f t="array" ref="F2496">_xlfn.XLOOKUP(C2496,Account_Master!A:A,Account_Master!B:B,"Not on master")</f>
        <v>0</v>
      </c>
      <c r="G2496" cm="1">
        <f t="array" ref="G2496">_xlfn.XLOOKUP(C2496,Account_Master!A:A,Account_Master!C:C,"Not on master")</f>
        <v>0</v>
      </c>
      <c r="H2496" s="6">
        <v>168</v>
      </c>
      <c r="I2496" s="6">
        <v>168</v>
      </c>
      <c r="J2496" s="6">
        <f>I2496-H2496</f>
        <v>0</v>
      </c>
      <c r="K2496" s="5">
        <f>IF(H2496=0,"",J2496/H2496)</f>
        <v>0</v>
      </c>
      <c r="L2496">
        <f>IF(OR(AND(H2496=0,ABS(J2496)&gt;=0.01),AND(H2496&lt;&gt;0,ABS(K2496)&gt;VarianceThreshold)),"Review","OK")</f>
        <v>0</v>
      </c>
      <c r="M2496" t="s">
        <v>33</v>
      </c>
    </row>
    <row r="2497" spans="1:13">
      <c r="A2497" t="s">
        <v>3</v>
      </c>
      <c r="B2497" t="s">
        <v>966</v>
      </c>
      <c r="C2497" t="s">
        <v>2035</v>
      </c>
      <c r="D2497" t="s">
        <v>1091</v>
      </c>
      <c r="E2497" cm="1">
        <f t="array" ref="E2497">_xlfn.XLOOKUP(D2497,SKU_Master!A:A,SKU_Master!B:B,"Not on master")</f>
        <v>0</v>
      </c>
      <c r="F2497" cm="1">
        <f t="array" ref="F2497">_xlfn.XLOOKUP(C2497,Account_Master!A:A,Account_Master!B:B,"Not on master")</f>
        <v>0</v>
      </c>
      <c r="G2497" cm="1">
        <f t="array" ref="G2497">_xlfn.XLOOKUP(C2497,Account_Master!A:A,Account_Master!C:C,"Not on master")</f>
        <v>0</v>
      </c>
      <c r="H2497" s="6">
        <v>1.5</v>
      </c>
      <c r="I2497" s="6">
        <v>1.5</v>
      </c>
      <c r="J2497" s="6">
        <f>I2497-H2497</f>
        <v>0</v>
      </c>
      <c r="K2497" s="5">
        <f>IF(H2497=0,"",J2497/H2497)</f>
        <v>0</v>
      </c>
      <c r="L2497">
        <f>IF(OR(AND(H2497=0,ABS(J2497)&gt;=0.01),AND(H2497&lt;&gt;0,ABS(K2497)&gt;VarianceThreshold)),"Review","OK")</f>
        <v>0</v>
      </c>
      <c r="M2497" t="s">
        <v>33</v>
      </c>
    </row>
    <row r="2498" spans="1:13">
      <c r="A2498" t="s">
        <v>3</v>
      </c>
      <c r="B2498" t="s">
        <v>966</v>
      </c>
      <c r="C2498" t="s">
        <v>2019</v>
      </c>
      <c r="D2498" t="s">
        <v>2386</v>
      </c>
      <c r="E2498" cm="1">
        <f t="array" ref="E2498">_xlfn.XLOOKUP(D2498,SKU_Master!A:A,SKU_Master!B:B,"Not on master")</f>
        <v>0</v>
      </c>
      <c r="F2498" cm="1">
        <f t="array" ref="F2498">_xlfn.XLOOKUP(C2498,Account_Master!A:A,Account_Master!B:B,"Not on master")</f>
        <v>0</v>
      </c>
      <c r="G2498" cm="1">
        <f t="array" ref="G2498">_xlfn.XLOOKUP(C2498,Account_Master!A:A,Account_Master!C:C,"Not on master")</f>
        <v>0</v>
      </c>
      <c r="H2498" s="6">
        <v>0</v>
      </c>
      <c r="I2498" s="6">
        <v>0</v>
      </c>
      <c r="J2498" s="6">
        <f>I2498-H2498</f>
        <v>0</v>
      </c>
      <c r="K2498" s="5">
        <f>IF(H2498=0,"",J2498/H2498)</f>
        <v>0</v>
      </c>
      <c r="L2498">
        <f>IF(OR(AND(H2498=0,ABS(J2498)&gt;=0.01),AND(H2498&lt;&gt;0,ABS(K2498)&gt;VarianceThreshold)),"Review","OK")</f>
        <v>0</v>
      </c>
      <c r="M2498" t="s">
        <v>33</v>
      </c>
    </row>
    <row r="2499" spans="1:13">
      <c r="A2499" t="s">
        <v>3</v>
      </c>
      <c r="B2499" t="s">
        <v>966</v>
      </c>
      <c r="C2499" t="s">
        <v>2145</v>
      </c>
      <c r="D2499" t="s">
        <v>2387</v>
      </c>
      <c r="E2499" cm="1">
        <f t="array" ref="E2499">_xlfn.XLOOKUP(D2499,SKU_Master!A:A,SKU_Master!B:B,"Not on master")</f>
        <v>0</v>
      </c>
      <c r="F2499" cm="1">
        <f t="array" ref="F2499">_xlfn.XLOOKUP(C2499,Account_Master!A:A,Account_Master!B:B,"Not on master")</f>
        <v>0</v>
      </c>
      <c r="G2499" cm="1">
        <f t="array" ref="G2499">_xlfn.XLOOKUP(C2499,Account_Master!A:A,Account_Master!C:C,"Not on master")</f>
        <v>0</v>
      </c>
      <c r="H2499" s="6">
        <v>4.8</v>
      </c>
      <c r="I2499" s="6">
        <v>4.8</v>
      </c>
      <c r="J2499" s="6">
        <f>I2499-H2499</f>
        <v>0</v>
      </c>
      <c r="K2499" s="5">
        <f>IF(H2499=0,"",J2499/H2499)</f>
        <v>0</v>
      </c>
      <c r="L2499">
        <f>IF(OR(AND(H2499=0,ABS(J2499)&gt;=0.01),AND(H2499&lt;&gt;0,ABS(K2499)&gt;VarianceThreshold)),"Review","OK")</f>
        <v>0</v>
      </c>
      <c r="M2499" t="s">
        <v>33</v>
      </c>
    </row>
    <row r="2500" spans="1:13">
      <c r="A2500" t="s">
        <v>3</v>
      </c>
      <c r="B2500" t="s">
        <v>966</v>
      </c>
      <c r="C2500" t="s">
        <v>2052</v>
      </c>
      <c r="D2500" t="s">
        <v>2388</v>
      </c>
      <c r="E2500" cm="1">
        <f t="array" ref="E2500">_xlfn.XLOOKUP(D2500,SKU_Master!A:A,SKU_Master!B:B,"Not on master")</f>
        <v>0</v>
      </c>
      <c r="F2500" cm="1">
        <f t="array" ref="F2500">_xlfn.XLOOKUP(C2500,Account_Master!A:A,Account_Master!B:B,"Not on master")</f>
        <v>0</v>
      </c>
      <c r="G2500" cm="1">
        <f t="array" ref="G2500">_xlfn.XLOOKUP(C2500,Account_Master!A:A,Account_Master!C:C,"Not on master")</f>
        <v>0</v>
      </c>
      <c r="H2500" s="6">
        <v>31.5</v>
      </c>
      <c r="I2500" s="6">
        <v>31.5</v>
      </c>
      <c r="J2500" s="6">
        <f>I2500-H2500</f>
        <v>0</v>
      </c>
      <c r="K2500" s="5">
        <f>IF(H2500=0,"",J2500/H2500)</f>
        <v>0</v>
      </c>
      <c r="L2500">
        <f>IF(OR(AND(H2500=0,ABS(J2500)&gt;=0.01),AND(H2500&lt;&gt;0,ABS(K2500)&gt;VarianceThreshold)),"Review","OK")</f>
        <v>0</v>
      </c>
      <c r="M2500" t="s">
        <v>33</v>
      </c>
    </row>
    <row r="2501" spans="1:13">
      <c r="A2501" t="s">
        <v>3</v>
      </c>
      <c r="B2501" t="s">
        <v>966</v>
      </c>
      <c r="C2501" t="s">
        <v>2019</v>
      </c>
      <c r="D2501" t="s">
        <v>2389</v>
      </c>
      <c r="E2501" cm="1">
        <f t="array" ref="E2501">_xlfn.XLOOKUP(D2501,SKU_Master!A:A,SKU_Master!B:B,"Not on master")</f>
        <v>0</v>
      </c>
      <c r="F2501" cm="1">
        <f t="array" ref="F2501">_xlfn.XLOOKUP(C2501,Account_Master!A:A,Account_Master!B:B,"Not on master")</f>
        <v>0</v>
      </c>
      <c r="G2501" cm="1">
        <f t="array" ref="G2501">_xlfn.XLOOKUP(C2501,Account_Master!A:A,Account_Master!C:C,"Not on master")</f>
        <v>0</v>
      </c>
      <c r="H2501" s="6">
        <v>27</v>
      </c>
      <c r="I2501" s="6">
        <v>27</v>
      </c>
      <c r="J2501" s="6">
        <f>I2501-H2501</f>
        <v>0</v>
      </c>
      <c r="K2501" s="5">
        <f>IF(H2501=0,"",J2501/H2501)</f>
        <v>0</v>
      </c>
      <c r="L2501">
        <f>IF(OR(AND(H2501=0,ABS(J2501)&gt;=0.01),AND(H2501&lt;&gt;0,ABS(K2501)&gt;VarianceThreshold)),"Review","OK")</f>
        <v>0</v>
      </c>
      <c r="M2501" t="s">
        <v>33</v>
      </c>
    </row>
    <row r="2502" spans="1:13">
      <c r="A2502" t="s">
        <v>3</v>
      </c>
      <c r="B2502" t="s">
        <v>966</v>
      </c>
      <c r="C2502" t="s">
        <v>2035</v>
      </c>
      <c r="D2502" t="s">
        <v>1480</v>
      </c>
      <c r="E2502" cm="1">
        <f t="array" ref="E2502">_xlfn.XLOOKUP(D2502,SKU_Master!A:A,SKU_Master!B:B,"Not on master")</f>
        <v>0</v>
      </c>
      <c r="F2502" cm="1">
        <f t="array" ref="F2502">_xlfn.XLOOKUP(C2502,Account_Master!A:A,Account_Master!B:B,"Not on master")</f>
        <v>0</v>
      </c>
      <c r="G2502" cm="1">
        <f t="array" ref="G2502">_xlfn.XLOOKUP(C2502,Account_Master!A:A,Account_Master!C:C,"Not on master")</f>
        <v>0</v>
      </c>
      <c r="H2502" s="6">
        <v>12</v>
      </c>
      <c r="I2502" s="6">
        <v>12</v>
      </c>
      <c r="J2502" s="6">
        <f>I2502-H2502</f>
        <v>0</v>
      </c>
      <c r="K2502" s="5">
        <f>IF(H2502=0,"",J2502/H2502)</f>
        <v>0</v>
      </c>
      <c r="L2502">
        <f>IF(OR(AND(H2502=0,ABS(J2502)&gt;=0.01),AND(H2502&lt;&gt;0,ABS(K2502)&gt;VarianceThreshold)),"Review","OK")</f>
        <v>0</v>
      </c>
      <c r="M2502" t="s">
        <v>33</v>
      </c>
    </row>
    <row r="2503" spans="1:13">
      <c r="A2503" t="s">
        <v>3</v>
      </c>
      <c r="B2503" t="s">
        <v>966</v>
      </c>
      <c r="C2503" t="s">
        <v>2027</v>
      </c>
      <c r="D2503" t="s">
        <v>2390</v>
      </c>
      <c r="E2503" cm="1">
        <f t="array" ref="E2503">_xlfn.XLOOKUP(D2503,SKU_Master!A:A,SKU_Master!B:B,"Not on master")</f>
        <v>0</v>
      </c>
      <c r="F2503" cm="1">
        <f t="array" ref="F2503">_xlfn.XLOOKUP(C2503,Account_Master!A:A,Account_Master!B:B,"Not on master")</f>
        <v>0</v>
      </c>
      <c r="G2503" cm="1">
        <f t="array" ref="G2503">_xlfn.XLOOKUP(C2503,Account_Master!A:A,Account_Master!C:C,"Not on master")</f>
        <v>0</v>
      </c>
      <c r="H2503" s="6">
        <v>4.5</v>
      </c>
      <c r="I2503" s="6">
        <v>4.5</v>
      </c>
      <c r="J2503" s="6">
        <f>I2503-H2503</f>
        <v>0</v>
      </c>
      <c r="K2503" s="5">
        <f>IF(H2503=0,"",J2503/H2503)</f>
        <v>0</v>
      </c>
      <c r="L2503">
        <f>IF(OR(AND(H2503=0,ABS(J2503)&gt;=0.01),AND(H2503&lt;&gt;0,ABS(K2503)&gt;VarianceThreshold)),"Review","OK")</f>
        <v>0</v>
      </c>
      <c r="M2503" t="s">
        <v>33</v>
      </c>
    </row>
    <row r="2504" spans="1:13">
      <c r="A2504" t="s">
        <v>3</v>
      </c>
      <c r="B2504" t="s">
        <v>966</v>
      </c>
      <c r="C2504" t="s">
        <v>2052</v>
      </c>
      <c r="D2504" t="s">
        <v>2391</v>
      </c>
      <c r="E2504" cm="1">
        <f t="array" ref="E2504">_xlfn.XLOOKUP(D2504,SKU_Master!A:A,SKU_Master!B:B,"Not on master")</f>
        <v>0</v>
      </c>
      <c r="F2504" cm="1">
        <f t="array" ref="F2504">_xlfn.XLOOKUP(C2504,Account_Master!A:A,Account_Master!B:B,"Not on master")</f>
        <v>0</v>
      </c>
      <c r="G2504" cm="1">
        <f t="array" ref="G2504">_xlfn.XLOOKUP(C2504,Account_Master!A:A,Account_Master!C:C,"Not on master")</f>
        <v>0</v>
      </c>
      <c r="H2504" s="6">
        <v>4.5</v>
      </c>
      <c r="I2504" s="6">
        <v>4.5</v>
      </c>
      <c r="J2504" s="6">
        <f>I2504-H2504</f>
        <v>0</v>
      </c>
      <c r="K2504" s="5">
        <f>IF(H2504=0,"",J2504/H2504)</f>
        <v>0</v>
      </c>
      <c r="L2504">
        <f>IF(OR(AND(H2504=0,ABS(J2504)&gt;=0.01),AND(H2504&lt;&gt;0,ABS(K2504)&gt;VarianceThreshold)),"Review","OK")</f>
        <v>0</v>
      </c>
      <c r="M2504" t="s">
        <v>33</v>
      </c>
    </row>
    <row r="2505" spans="1:13">
      <c r="A2505" t="s">
        <v>3</v>
      </c>
      <c r="B2505" t="s">
        <v>966</v>
      </c>
      <c r="C2505" t="s">
        <v>2046</v>
      </c>
      <c r="D2505" t="s">
        <v>640</v>
      </c>
      <c r="E2505" cm="1">
        <f t="array" ref="E2505">_xlfn.XLOOKUP(D2505,SKU_Master!A:A,SKU_Master!B:B,"Not on master")</f>
        <v>0</v>
      </c>
      <c r="F2505" cm="1">
        <f t="array" ref="F2505">_xlfn.XLOOKUP(C2505,Account_Master!A:A,Account_Master!B:B,"Not on master")</f>
        <v>0</v>
      </c>
      <c r="G2505" cm="1">
        <f t="array" ref="G2505">_xlfn.XLOOKUP(C2505,Account_Master!A:A,Account_Master!C:C,"Not on master")</f>
        <v>0</v>
      </c>
      <c r="H2505" s="6">
        <v>38.25</v>
      </c>
      <c r="I2505" s="6">
        <v>38.25</v>
      </c>
      <c r="J2505" s="6">
        <f>I2505-H2505</f>
        <v>0</v>
      </c>
      <c r="K2505" s="5">
        <f>IF(H2505=0,"",J2505/H2505)</f>
        <v>0</v>
      </c>
      <c r="L2505">
        <f>IF(OR(AND(H2505=0,ABS(J2505)&gt;=0.01),AND(H2505&lt;&gt;0,ABS(K2505)&gt;VarianceThreshold)),"Review","OK")</f>
        <v>0</v>
      </c>
      <c r="M2505" t="s">
        <v>33</v>
      </c>
    </row>
    <row r="2506" spans="1:13">
      <c r="A2506" t="s">
        <v>3</v>
      </c>
      <c r="B2506" t="s">
        <v>966</v>
      </c>
      <c r="C2506" t="s">
        <v>2168</v>
      </c>
      <c r="D2506" t="s">
        <v>2392</v>
      </c>
      <c r="E2506" cm="1">
        <f t="array" ref="E2506">_xlfn.XLOOKUP(D2506,SKU_Master!A:A,SKU_Master!B:B,"Not on master")</f>
        <v>0</v>
      </c>
      <c r="F2506" cm="1">
        <f t="array" ref="F2506">_xlfn.XLOOKUP(C2506,Account_Master!A:A,Account_Master!B:B,"Not on master")</f>
        <v>0</v>
      </c>
      <c r="G2506" cm="1">
        <f t="array" ref="G2506">_xlfn.XLOOKUP(C2506,Account_Master!A:A,Account_Master!C:C,"Not on master")</f>
        <v>0</v>
      </c>
      <c r="H2506" s="6">
        <v>4.5</v>
      </c>
      <c r="I2506" s="6">
        <v>4.5</v>
      </c>
      <c r="J2506" s="6">
        <f>I2506-H2506</f>
        <v>0</v>
      </c>
      <c r="K2506" s="5">
        <f>IF(H2506=0,"",J2506/H2506)</f>
        <v>0</v>
      </c>
      <c r="L2506">
        <f>IF(OR(AND(H2506=0,ABS(J2506)&gt;=0.01),AND(H2506&lt;&gt;0,ABS(K2506)&gt;VarianceThreshold)),"Review","OK")</f>
        <v>0</v>
      </c>
      <c r="M2506" t="s">
        <v>33</v>
      </c>
    </row>
    <row r="2507" spans="1:13">
      <c r="A2507" t="s">
        <v>3</v>
      </c>
      <c r="B2507" t="s">
        <v>980</v>
      </c>
      <c r="C2507" t="s">
        <v>2013</v>
      </c>
      <c r="D2507" t="s">
        <v>1267</v>
      </c>
      <c r="E2507" cm="1">
        <f t="array" ref="E2507">_xlfn.XLOOKUP(D2507,SKU_Master!A:A,SKU_Master!B:B,"Not on master")</f>
        <v>0</v>
      </c>
      <c r="F2507" cm="1">
        <f t="array" ref="F2507">_xlfn.XLOOKUP(C2507,Account_Master!A:A,Account_Master!B:B,"Not on master")</f>
        <v>0</v>
      </c>
      <c r="G2507" cm="1">
        <f t="array" ref="G2507">_xlfn.XLOOKUP(C2507,Account_Master!A:A,Account_Master!C:C,"Not on master")</f>
        <v>0</v>
      </c>
      <c r="H2507" s="6">
        <v>27.75</v>
      </c>
      <c r="I2507" s="6">
        <v>27.75</v>
      </c>
      <c r="J2507" s="6">
        <f>I2507-H2507</f>
        <v>0</v>
      </c>
      <c r="K2507" s="5">
        <f>IF(H2507=0,"",J2507/H2507)</f>
        <v>0</v>
      </c>
      <c r="L2507">
        <f>IF(OR(AND(H2507=0,ABS(J2507)&gt;=0.01),AND(H2507&lt;&gt;0,ABS(K2507)&gt;VarianceThreshold)),"Review","OK")</f>
        <v>0</v>
      </c>
      <c r="M2507" t="s">
        <v>33</v>
      </c>
    </row>
    <row r="2508" spans="1:13">
      <c r="A2508" t="s">
        <v>3</v>
      </c>
      <c r="B2508" t="s">
        <v>980</v>
      </c>
      <c r="C2508" t="s">
        <v>2026</v>
      </c>
      <c r="D2508" t="s">
        <v>2393</v>
      </c>
      <c r="E2508" cm="1">
        <f t="array" ref="E2508">_xlfn.XLOOKUP(D2508,SKU_Master!A:A,SKU_Master!B:B,"Not on master")</f>
        <v>0</v>
      </c>
      <c r="F2508" cm="1">
        <f t="array" ref="F2508">_xlfn.XLOOKUP(C2508,Account_Master!A:A,Account_Master!B:B,"Not on master")</f>
        <v>0</v>
      </c>
      <c r="G2508" cm="1">
        <f t="array" ref="G2508">_xlfn.XLOOKUP(C2508,Account_Master!A:A,Account_Master!C:C,"Not on master")</f>
        <v>0</v>
      </c>
      <c r="H2508" s="6">
        <v>89.25</v>
      </c>
      <c r="I2508" s="6">
        <v>89.25</v>
      </c>
      <c r="J2508" s="6">
        <f>I2508-H2508</f>
        <v>0</v>
      </c>
      <c r="K2508" s="5">
        <f>IF(H2508=0,"",J2508/H2508)</f>
        <v>0</v>
      </c>
      <c r="L2508">
        <f>IF(OR(AND(H2508=0,ABS(J2508)&gt;=0.01),AND(H2508&lt;&gt;0,ABS(K2508)&gt;VarianceThreshold)),"Review","OK")</f>
        <v>0</v>
      </c>
      <c r="M2508" t="s">
        <v>33</v>
      </c>
    </row>
    <row r="2509" spans="1:13">
      <c r="A2509" t="s">
        <v>3</v>
      </c>
      <c r="B2509" t="s">
        <v>980</v>
      </c>
      <c r="C2509" t="s">
        <v>2027</v>
      </c>
      <c r="D2509" t="s">
        <v>2394</v>
      </c>
      <c r="E2509" cm="1">
        <f t="array" ref="E2509">_xlfn.XLOOKUP(D2509,SKU_Master!A:A,SKU_Master!B:B,"Not on master")</f>
        <v>0</v>
      </c>
      <c r="F2509" cm="1">
        <f t="array" ref="F2509">_xlfn.XLOOKUP(C2509,Account_Master!A:A,Account_Master!B:B,"Not on master")</f>
        <v>0</v>
      </c>
      <c r="G2509" cm="1">
        <f t="array" ref="G2509">_xlfn.XLOOKUP(C2509,Account_Master!A:A,Account_Master!C:C,"Not on master")</f>
        <v>0</v>
      </c>
      <c r="H2509" s="6">
        <v>8.4</v>
      </c>
      <c r="I2509" s="6">
        <v>8.4</v>
      </c>
      <c r="J2509" s="6">
        <f>I2509-H2509</f>
        <v>0</v>
      </c>
      <c r="K2509" s="5">
        <f>IF(H2509=0,"",J2509/H2509)</f>
        <v>0</v>
      </c>
      <c r="L2509">
        <f>IF(OR(AND(H2509=0,ABS(J2509)&gt;=0.01),AND(H2509&lt;&gt;0,ABS(K2509)&gt;VarianceThreshold)),"Review","OK")</f>
        <v>0</v>
      </c>
      <c r="M2509" t="s">
        <v>33</v>
      </c>
    </row>
    <row r="2510" spans="1:13">
      <c r="A2510" t="s">
        <v>3</v>
      </c>
      <c r="B2510" t="s">
        <v>980</v>
      </c>
      <c r="C2510" t="s">
        <v>2245</v>
      </c>
      <c r="D2510" t="s">
        <v>2395</v>
      </c>
      <c r="E2510" cm="1">
        <f t="array" ref="E2510">_xlfn.XLOOKUP(D2510,SKU_Master!A:A,SKU_Master!B:B,"Not on master")</f>
        <v>0</v>
      </c>
      <c r="F2510" cm="1">
        <f t="array" ref="F2510">_xlfn.XLOOKUP(C2510,Account_Master!A:A,Account_Master!B:B,"Not on master")</f>
        <v>0</v>
      </c>
      <c r="G2510" cm="1">
        <f t="array" ref="G2510">_xlfn.XLOOKUP(C2510,Account_Master!A:A,Account_Master!C:C,"Not on master")</f>
        <v>0</v>
      </c>
      <c r="H2510" s="6">
        <v>0.6</v>
      </c>
      <c r="I2510" s="6">
        <v>0.6</v>
      </c>
      <c r="J2510" s="6">
        <f>I2510-H2510</f>
        <v>0</v>
      </c>
      <c r="K2510" s="5">
        <f>IF(H2510=0,"",J2510/H2510)</f>
        <v>0</v>
      </c>
      <c r="L2510">
        <f>IF(OR(AND(H2510=0,ABS(J2510)&gt;=0.01),AND(H2510&lt;&gt;0,ABS(K2510)&gt;VarianceThreshold)),"Review","OK")</f>
        <v>0</v>
      </c>
      <c r="M2510" t="s">
        <v>33</v>
      </c>
    </row>
    <row r="2511" spans="1:13">
      <c r="A2511" t="s">
        <v>3</v>
      </c>
      <c r="B2511" t="s">
        <v>980</v>
      </c>
      <c r="C2511" t="s">
        <v>2168</v>
      </c>
      <c r="D2511" t="s">
        <v>469</v>
      </c>
      <c r="E2511" cm="1">
        <f t="array" ref="E2511">_xlfn.XLOOKUP(D2511,SKU_Master!A:A,SKU_Master!B:B,"Not on master")</f>
        <v>0</v>
      </c>
      <c r="F2511" cm="1">
        <f t="array" ref="F2511">_xlfn.XLOOKUP(C2511,Account_Master!A:A,Account_Master!B:B,"Not on master")</f>
        <v>0</v>
      </c>
      <c r="G2511" cm="1">
        <f t="array" ref="G2511">_xlfn.XLOOKUP(C2511,Account_Master!A:A,Account_Master!C:C,"Not on master")</f>
        <v>0</v>
      </c>
      <c r="H2511" s="6">
        <v>139.86</v>
      </c>
      <c r="I2511" s="6">
        <v>139.86</v>
      </c>
      <c r="J2511" s="6">
        <f>I2511-H2511</f>
        <v>0</v>
      </c>
      <c r="K2511" s="5">
        <f>IF(H2511=0,"",J2511/H2511)</f>
        <v>0</v>
      </c>
      <c r="L2511">
        <f>IF(OR(AND(H2511=0,ABS(J2511)&gt;=0.01),AND(H2511&lt;&gt;0,ABS(K2511)&gt;VarianceThreshold)),"Review","OK")</f>
        <v>0</v>
      </c>
      <c r="M2511" t="s">
        <v>33</v>
      </c>
    </row>
    <row r="2512" spans="1:13">
      <c r="A2512" t="s">
        <v>3</v>
      </c>
      <c r="B2512" t="s">
        <v>980</v>
      </c>
      <c r="C2512" t="s">
        <v>2052</v>
      </c>
      <c r="D2512" t="s">
        <v>129</v>
      </c>
      <c r="E2512" cm="1">
        <f t="array" ref="E2512">_xlfn.XLOOKUP(D2512,SKU_Master!A:A,SKU_Master!B:B,"Not on master")</f>
        <v>0</v>
      </c>
      <c r="F2512" cm="1">
        <f t="array" ref="F2512">_xlfn.XLOOKUP(C2512,Account_Master!A:A,Account_Master!B:B,"Not on master")</f>
        <v>0</v>
      </c>
      <c r="G2512" cm="1">
        <f t="array" ref="G2512">_xlfn.XLOOKUP(C2512,Account_Master!A:A,Account_Master!C:C,"Not on master")</f>
        <v>0</v>
      </c>
      <c r="H2512" s="6">
        <v>0.75</v>
      </c>
      <c r="I2512" s="6">
        <v>0.75</v>
      </c>
      <c r="J2512" s="6">
        <f>I2512-H2512</f>
        <v>0</v>
      </c>
      <c r="K2512" s="5">
        <f>IF(H2512=0,"",J2512/H2512)</f>
        <v>0</v>
      </c>
      <c r="L2512">
        <f>IF(OR(AND(H2512=0,ABS(J2512)&gt;=0.01),AND(H2512&lt;&gt;0,ABS(K2512)&gt;VarianceThreshold)),"Review","OK")</f>
        <v>0</v>
      </c>
      <c r="M2512" t="s">
        <v>33</v>
      </c>
    </row>
    <row r="2513" spans="1:13">
      <c r="A2513" t="s">
        <v>3</v>
      </c>
      <c r="B2513" t="s">
        <v>980</v>
      </c>
      <c r="C2513" t="s">
        <v>2022</v>
      </c>
      <c r="D2513" t="s">
        <v>2396</v>
      </c>
      <c r="E2513" cm="1">
        <f t="array" ref="E2513">_xlfn.XLOOKUP(D2513,SKU_Master!A:A,SKU_Master!B:B,"Not on master")</f>
        <v>0</v>
      </c>
      <c r="F2513" cm="1">
        <f t="array" ref="F2513">_xlfn.XLOOKUP(C2513,Account_Master!A:A,Account_Master!B:B,"Not on master")</f>
        <v>0</v>
      </c>
      <c r="G2513" cm="1">
        <f t="array" ref="G2513">_xlfn.XLOOKUP(C2513,Account_Master!A:A,Account_Master!C:C,"Not on master")</f>
        <v>0</v>
      </c>
      <c r="H2513" s="6">
        <v>121.5</v>
      </c>
      <c r="I2513" s="6">
        <v>121.5</v>
      </c>
      <c r="J2513" s="6">
        <f>I2513-H2513</f>
        <v>0</v>
      </c>
      <c r="K2513" s="5">
        <f>IF(H2513=0,"",J2513/H2513)</f>
        <v>0</v>
      </c>
      <c r="L2513">
        <f>IF(OR(AND(H2513=0,ABS(J2513)&gt;=0.01),AND(H2513&lt;&gt;0,ABS(K2513)&gt;VarianceThreshold)),"Review","OK")</f>
        <v>0</v>
      </c>
      <c r="M2513" t="s">
        <v>33</v>
      </c>
    </row>
    <row r="2514" spans="1:13">
      <c r="A2514" t="s">
        <v>3</v>
      </c>
      <c r="B2514" t="s">
        <v>992</v>
      </c>
      <c r="C2514" t="s">
        <v>2249</v>
      </c>
      <c r="D2514" t="s">
        <v>2397</v>
      </c>
      <c r="E2514" cm="1">
        <f t="array" ref="E2514">_xlfn.XLOOKUP(D2514,SKU_Master!A:A,SKU_Master!B:B,"Not on master")</f>
        <v>0</v>
      </c>
      <c r="F2514" cm="1">
        <f t="array" ref="F2514">_xlfn.XLOOKUP(C2514,Account_Master!A:A,Account_Master!B:B,"Not on master")</f>
        <v>0</v>
      </c>
      <c r="G2514" cm="1">
        <f t="array" ref="G2514">_xlfn.XLOOKUP(C2514,Account_Master!A:A,Account_Master!C:C,"Not on master")</f>
        <v>0</v>
      </c>
      <c r="H2514" s="6">
        <v>18</v>
      </c>
      <c r="I2514" s="6">
        <v>18</v>
      </c>
      <c r="J2514" s="6">
        <f>I2514-H2514</f>
        <v>0</v>
      </c>
      <c r="K2514" s="5">
        <f>IF(H2514=0,"",J2514/H2514)</f>
        <v>0</v>
      </c>
      <c r="L2514">
        <f>IF(OR(AND(H2514=0,ABS(J2514)&gt;=0.01),AND(H2514&lt;&gt;0,ABS(K2514)&gt;VarianceThreshold)),"Review","OK")</f>
        <v>0</v>
      </c>
      <c r="M2514" t="s">
        <v>33</v>
      </c>
    </row>
    <row r="2515" spans="1:13">
      <c r="A2515" t="s">
        <v>3</v>
      </c>
      <c r="B2515" t="s">
        <v>992</v>
      </c>
      <c r="C2515" t="s">
        <v>2052</v>
      </c>
      <c r="D2515" t="s">
        <v>2398</v>
      </c>
      <c r="E2515" cm="1">
        <f t="array" ref="E2515">_xlfn.XLOOKUP(D2515,SKU_Master!A:A,SKU_Master!B:B,"Not on master")</f>
        <v>0</v>
      </c>
      <c r="F2515" cm="1">
        <f t="array" ref="F2515">_xlfn.XLOOKUP(C2515,Account_Master!A:A,Account_Master!B:B,"Not on master")</f>
        <v>0</v>
      </c>
      <c r="G2515" cm="1">
        <f t="array" ref="G2515">_xlfn.XLOOKUP(C2515,Account_Master!A:A,Account_Master!C:C,"Not on master")</f>
        <v>0</v>
      </c>
      <c r="H2515" s="6">
        <v>0.75</v>
      </c>
      <c r="I2515" s="6">
        <v>0.75</v>
      </c>
      <c r="J2515" s="6">
        <f>I2515-H2515</f>
        <v>0</v>
      </c>
      <c r="K2515" s="5">
        <f>IF(H2515=0,"",J2515/H2515)</f>
        <v>0</v>
      </c>
      <c r="L2515">
        <f>IF(OR(AND(H2515=0,ABS(J2515)&gt;=0.01),AND(H2515&lt;&gt;0,ABS(K2515)&gt;VarianceThreshold)),"Review","OK")</f>
        <v>0</v>
      </c>
      <c r="M2515" t="s">
        <v>33</v>
      </c>
    </row>
    <row r="2516" spans="1:13">
      <c r="A2516" t="s">
        <v>3</v>
      </c>
      <c r="B2516" t="s">
        <v>992</v>
      </c>
      <c r="C2516" t="s">
        <v>2399</v>
      </c>
      <c r="D2516" t="s">
        <v>2400</v>
      </c>
      <c r="E2516" cm="1">
        <f t="array" ref="E2516">_xlfn.XLOOKUP(D2516,SKU_Master!A:A,SKU_Master!B:B,"Not on master")</f>
        <v>0</v>
      </c>
      <c r="F2516" cm="1">
        <f t="array" ref="F2516">_xlfn.XLOOKUP(C2516,Account_Master!A:A,Account_Master!B:B,"Not on master")</f>
        <v>0</v>
      </c>
      <c r="G2516" cm="1">
        <f t="array" ref="G2516">_xlfn.XLOOKUP(C2516,Account_Master!A:A,Account_Master!C:C,"Not on master")</f>
        <v>0</v>
      </c>
      <c r="H2516" s="6">
        <v>10.5</v>
      </c>
      <c r="I2516" s="6">
        <v>10.5</v>
      </c>
      <c r="J2516" s="6">
        <f>I2516-H2516</f>
        <v>0</v>
      </c>
      <c r="K2516" s="5">
        <f>IF(H2516=0,"",J2516/H2516)</f>
        <v>0</v>
      </c>
      <c r="L2516">
        <f>IF(OR(AND(H2516=0,ABS(J2516)&gt;=0.01),AND(H2516&lt;&gt;0,ABS(K2516)&gt;VarianceThreshold)),"Review","OK")</f>
        <v>0</v>
      </c>
      <c r="M2516" t="s">
        <v>33</v>
      </c>
    </row>
    <row r="2517" spans="1:13">
      <c r="A2517" t="s">
        <v>3</v>
      </c>
      <c r="B2517" t="s">
        <v>992</v>
      </c>
      <c r="C2517" t="s">
        <v>2116</v>
      </c>
      <c r="D2517" t="s">
        <v>895</v>
      </c>
      <c r="E2517" cm="1">
        <f t="array" ref="E2517">_xlfn.XLOOKUP(D2517,SKU_Master!A:A,SKU_Master!B:B,"Not on master")</f>
        <v>0</v>
      </c>
      <c r="F2517" cm="1">
        <f t="array" ref="F2517">_xlfn.XLOOKUP(C2517,Account_Master!A:A,Account_Master!B:B,"Not on master")</f>
        <v>0</v>
      </c>
      <c r="G2517" cm="1">
        <f t="array" ref="G2517">_xlfn.XLOOKUP(C2517,Account_Master!A:A,Account_Master!C:C,"Not on master")</f>
        <v>0</v>
      </c>
      <c r="H2517" s="6">
        <v>0.6</v>
      </c>
      <c r="I2517" s="6">
        <v>0.6</v>
      </c>
      <c r="J2517" s="6">
        <f>I2517-H2517</f>
        <v>0</v>
      </c>
      <c r="K2517" s="5">
        <f>IF(H2517=0,"",J2517/H2517)</f>
        <v>0</v>
      </c>
      <c r="L2517">
        <f>IF(OR(AND(H2517=0,ABS(J2517)&gt;=0.01),AND(H2517&lt;&gt;0,ABS(K2517)&gt;VarianceThreshold)),"Review","OK")</f>
        <v>0</v>
      </c>
      <c r="M2517" t="s">
        <v>33</v>
      </c>
    </row>
    <row r="2518" spans="1:13">
      <c r="A2518" t="s">
        <v>3</v>
      </c>
      <c r="B2518" t="s">
        <v>992</v>
      </c>
      <c r="C2518" t="s">
        <v>2116</v>
      </c>
      <c r="D2518" t="s">
        <v>2401</v>
      </c>
      <c r="E2518" cm="1">
        <f t="array" ref="E2518">_xlfn.XLOOKUP(D2518,SKU_Master!A:A,SKU_Master!B:B,"Not on master")</f>
        <v>0</v>
      </c>
      <c r="F2518" cm="1">
        <f t="array" ref="F2518">_xlfn.XLOOKUP(C2518,Account_Master!A:A,Account_Master!B:B,"Not on master")</f>
        <v>0</v>
      </c>
      <c r="G2518" cm="1">
        <f t="array" ref="G2518">_xlfn.XLOOKUP(C2518,Account_Master!A:A,Account_Master!C:C,"Not on master")</f>
        <v>0</v>
      </c>
      <c r="H2518" s="6">
        <v>21</v>
      </c>
      <c r="I2518" s="6">
        <v>21</v>
      </c>
      <c r="J2518" s="6">
        <f>I2518-H2518</f>
        <v>0</v>
      </c>
      <c r="K2518" s="5">
        <f>IF(H2518=0,"",J2518/H2518)</f>
        <v>0</v>
      </c>
      <c r="L2518">
        <f>IF(OR(AND(H2518=0,ABS(J2518)&gt;=0.01),AND(H2518&lt;&gt;0,ABS(K2518)&gt;VarianceThreshold)),"Review","OK")</f>
        <v>0</v>
      </c>
      <c r="M2518" t="s">
        <v>33</v>
      </c>
    </row>
    <row r="2519" spans="1:13">
      <c r="A2519" t="s">
        <v>3</v>
      </c>
      <c r="B2519" t="s">
        <v>992</v>
      </c>
      <c r="C2519" t="s">
        <v>2066</v>
      </c>
      <c r="D2519" t="s">
        <v>521</v>
      </c>
      <c r="E2519" cm="1">
        <f t="array" ref="E2519">_xlfn.XLOOKUP(D2519,SKU_Master!A:A,SKU_Master!B:B,"Not on master")</f>
        <v>0</v>
      </c>
      <c r="F2519" cm="1">
        <f t="array" ref="F2519">_xlfn.XLOOKUP(C2519,Account_Master!A:A,Account_Master!B:B,"Not on master")</f>
        <v>0</v>
      </c>
      <c r="G2519" cm="1">
        <f t="array" ref="G2519">_xlfn.XLOOKUP(C2519,Account_Master!A:A,Account_Master!C:C,"Not on master")</f>
        <v>0</v>
      </c>
      <c r="H2519" s="6">
        <v>9</v>
      </c>
      <c r="I2519" s="6">
        <v>9</v>
      </c>
      <c r="J2519" s="6">
        <f>I2519-H2519</f>
        <v>0</v>
      </c>
      <c r="K2519" s="5">
        <f>IF(H2519=0,"",J2519/H2519)</f>
        <v>0</v>
      </c>
      <c r="L2519">
        <f>IF(OR(AND(H2519=0,ABS(J2519)&gt;=0.01),AND(H2519&lt;&gt;0,ABS(K2519)&gt;VarianceThreshold)),"Review","OK")</f>
        <v>0</v>
      </c>
      <c r="M2519" t="s">
        <v>33</v>
      </c>
    </row>
    <row r="2520" spans="1:13">
      <c r="A2520" t="s">
        <v>3</v>
      </c>
      <c r="B2520" t="s">
        <v>992</v>
      </c>
      <c r="C2520" t="s">
        <v>2022</v>
      </c>
      <c r="D2520" t="s">
        <v>1376</v>
      </c>
      <c r="E2520" cm="1">
        <f t="array" ref="E2520">_xlfn.XLOOKUP(D2520,SKU_Master!A:A,SKU_Master!B:B,"Not on master")</f>
        <v>0</v>
      </c>
      <c r="F2520" cm="1">
        <f t="array" ref="F2520">_xlfn.XLOOKUP(C2520,Account_Master!A:A,Account_Master!B:B,"Not on master")</f>
        <v>0</v>
      </c>
      <c r="G2520" cm="1">
        <f t="array" ref="G2520">_xlfn.XLOOKUP(C2520,Account_Master!A:A,Account_Master!C:C,"Not on master")</f>
        <v>0</v>
      </c>
      <c r="H2520" s="6">
        <v>29.25</v>
      </c>
      <c r="I2520" s="6">
        <v>29.25</v>
      </c>
      <c r="J2520" s="6">
        <f>I2520-H2520</f>
        <v>0</v>
      </c>
      <c r="K2520" s="5">
        <f>IF(H2520=0,"",J2520/H2520)</f>
        <v>0</v>
      </c>
      <c r="L2520">
        <f>IF(OR(AND(H2520=0,ABS(J2520)&gt;=0.01),AND(H2520&lt;&gt;0,ABS(K2520)&gt;VarianceThreshold)),"Review","OK")</f>
        <v>0</v>
      </c>
      <c r="M2520" t="s">
        <v>33</v>
      </c>
    </row>
    <row r="2521" spans="1:13">
      <c r="A2521" t="s">
        <v>3</v>
      </c>
      <c r="B2521" t="s">
        <v>992</v>
      </c>
      <c r="C2521" t="s">
        <v>2116</v>
      </c>
      <c r="D2521" t="s">
        <v>2402</v>
      </c>
      <c r="E2521" cm="1">
        <f t="array" ref="E2521">_xlfn.XLOOKUP(D2521,SKU_Master!A:A,SKU_Master!B:B,"Not on master")</f>
        <v>0</v>
      </c>
      <c r="F2521" cm="1">
        <f t="array" ref="F2521">_xlfn.XLOOKUP(C2521,Account_Master!A:A,Account_Master!B:B,"Not on master")</f>
        <v>0</v>
      </c>
      <c r="G2521" cm="1">
        <f t="array" ref="G2521">_xlfn.XLOOKUP(C2521,Account_Master!A:A,Account_Master!C:C,"Not on master")</f>
        <v>0</v>
      </c>
      <c r="H2521" s="6">
        <v>3.75</v>
      </c>
      <c r="I2521" s="6">
        <v>3.75</v>
      </c>
      <c r="J2521" s="6">
        <f>I2521-H2521</f>
        <v>0</v>
      </c>
      <c r="K2521" s="5">
        <f>IF(H2521=0,"",J2521/H2521)</f>
        <v>0</v>
      </c>
      <c r="L2521">
        <f>IF(OR(AND(H2521=0,ABS(J2521)&gt;=0.01),AND(H2521&lt;&gt;0,ABS(K2521)&gt;VarianceThreshold)),"Review","OK")</f>
        <v>0</v>
      </c>
      <c r="M2521" t="s">
        <v>33</v>
      </c>
    </row>
    <row r="2522" spans="1:13">
      <c r="A2522" t="s">
        <v>3</v>
      </c>
      <c r="B2522" t="s">
        <v>992</v>
      </c>
      <c r="C2522" t="s">
        <v>2033</v>
      </c>
      <c r="D2522" t="s">
        <v>550</v>
      </c>
      <c r="E2522" cm="1">
        <f t="array" ref="E2522">_xlfn.XLOOKUP(D2522,SKU_Master!A:A,SKU_Master!B:B,"Not on master")</f>
        <v>0</v>
      </c>
      <c r="F2522" cm="1">
        <f t="array" ref="F2522">_xlfn.XLOOKUP(C2522,Account_Master!A:A,Account_Master!B:B,"Not on master")</f>
        <v>0</v>
      </c>
      <c r="G2522" cm="1">
        <f t="array" ref="G2522">_xlfn.XLOOKUP(C2522,Account_Master!A:A,Account_Master!C:C,"Not on master")</f>
        <v>0</v>
      </c>
      <c r="H2522" s="6">
        <v>18</v>
      </c>
      <c r="I2522" s="6">
        <v>18</v>
      </c>
      <c r="J2522" s="6">
        <f>I2522-H2522</f>
        <v>0</v>
      </c>
      <c r="K2522" s="5">
        <f>IF(H2522=0,"",J2522/H2522)</f>
        <v>0</v>
      </c>
      <c r="L2522">
        <f>IF(OR(AND(H2522=0,ABS(J2522)&gt;=0.01),AND(H2522&lt;&gt;0,ABS(K2522)&gt;VarianceThreshold)),"Review","OK")</f>
        <v>0</v>
      </c>
      <c r="M2522" t="s">
        <v>33</v>
      </c>
    </row>
    <row r="2523" spans="1:13">
      <c r="A2523" t="s">
        <v>3</v>
      </c>
      <c r="B2523" t="s">
        <v>1002</v>
      </c>
      <c r="C2523" t="s">
        <v>2070</v>
      </c>
      <c r="D2523" t="s">
        <v>2403</v>
      </c>
      <c r="E2523" cm="1">
        <f t="array" ref="E2523">_xlfn.XLOOKUP(D2523,SKU_Master!A:A,SKU_Master!B:B,"Not on master")</f>
        <v>0</v>
      </c>
      <c r="F2523" cm="1">
        <f t="array" ref="F2523">_xlfn.XLOOKUP(C2523,Account_Master!A:A,Account_Master!B:B,"Not on master")</f>
        <v>0</v>
      </c>
      <c r="G2523" cm="1">
        <f t="array" ref="G2523">_xlfn.XLOOKUP(C2523,Account_Master!A:A,Account_Master!C:C,"Not on master")</f>
        <v>0</v>
      </c>
      <c r="H2523" s="6">
        <v>1.5</v>
      </c>
      <c r="I2523" s="6">
        <v>1.5</v>
      </c>
      <c r="J2523" s="6">
        <f>I2523-H2523</f>
        <v>0</v>
      </c>
      <c r="K2523" s="5">
        <f>IF(H2523=0,"",J2523/H2523)</f>
        <v>0</v>
      </c>
      <c r="L2523">
        <f>IF(OR(AND(H2523=0,ABS(J2523)&gt;=0.01),AND(H2523&lt;&gt;0,ABS(K2523)&gt;VarianceThreshold)),"Review","OK")</f>
        <v>0</v>
      </c>
      <c r="M2523" t="s">
        <v>33</v>
      </c>
    </row>
    <row r="2524" spans="1:13">
      <c r="A2524" t="s">
        <v>3</v>
      </c>
      <c r="B2524" t="s">
        <v>1002</v>
      </c>
      <c r="C2524" t="s">
        <v>2076</v>
      </c>
      <c r="D2524" t="s">
        <v>2404</v>
      </c>
      <c r="E2524" cm="1">
        <f t="array" ref="E2524">_xlfn.XLOOKUP(D2524,SKU_Master!A:A,SKU_Master!B:B,"Not on master")</f>
        <v>0</v>
      </c>
      <c r="F2524" cm="1">
        <f t="array" ref="F2524">_xlfn.XLOOKUP(C2524,Account_Master!A:A,Account_Master!B:B,"Not on master")</f>
        <v>0</v>
      </c>
      <c r="G2524" cm="1">
        <f t="array" ref="G2524">_xlfn.XLOOKUP(C2524,Account_Master!A:A,Account_Master!C:C,"Not on master")</f>
        <v>0</v>
      </c>
      <c r="H2524" s="6">
        <v>5.25</v>
      </c>
      <c r="I2524" s="6">
        <v>5.25</v>
      </c>
      <c r="J2524" s="6">
        <f>I2524-H2524</f>
        <v>0</v>
      </c>
      <c r="K2524" s="5">
        <f>IF(H2524=0,"",J2524/H2524)</f>
        <v>0</v>
      </c>
      <c r="L2524">
        <f>IF(OR(AND(H2524=0,ABS(J2524)&gt;=0.01),AND(H2524&lt;&gt;0,ABS(K2524)&gt;VarianceThreshold)),"Review","OK")</f>
        <v>0</v>
      </c>
      <c r="M2524" t="s">
        <v>33</v>
      </c>
    </row>
    <row r="2525" spans="1:13">
      <c r="A2525" t="s">
        <v>3</v>
      </c>
      <c r="B2525" t="s">
        <v>1002</v>
      </c>
      <c r="C2525" t="s">
        <v>2139</v>
      </c>
      <c r="D2525" t="s">
        <v>1141</v>
      </c>
      <c r="E2525" cm="1">
        <f t="array" ref="E2525">_xlfn.XLOOKUP(D2525,SKU_Master!A:A,SKU_Master!B:B,"Not on master")</f>
        <v>0</v>
      </c>
      <c r="F2525" cm="1">
        <f t="array" ref="F2525">_xlfn.XLOOKUP(C2525,Account_Master!A:A,Account_Master!B:B,"Not on master")</f>
        <v>0</v>
      </c>
      <c r="G2525" cm="1">
        <f t="array" ref="G2525">_xlfn.XLOOKUP(C2525,Account_Master!A:A,Account_Master!C:C,"Not on master")</f>
        <v>0</v>
      </c>
      <c r="H2525" s="6">
        <v>0.05</v>
      </c>
      <c r="I2525" s="6">
        <v>0.05</v>
      </c>
      <c r="J2525" s="6">
        <f>I2525-H2525</f>
        <v>0</v>
      </c>
      <c r="K2525" s="5">
        <f>IF(H2525=0,"",J2525/H2525)</f>
        <v>0</v>
      </c>
      <c r="L2525">
        <f>IF(OR(AND(H2525=0,ABS(J2525)&gt;=0.01),AND(H2525&lt;&gt;0,ABS(K2525)&gt;VarianceThreshold)),"Review","OK")</f>
        <v>0</v>
      </c>
      <c r="M2525" t="s">
        <v>33</v>
      </c>
    </row>
    <row r="2526" spans="1:13">
      <c r="A2526" t="s">
        <v>3</v>
      </c>
      <c r="B2526" t="s">
        <v>1002</v>
      </c>
      <c r="C2526" t="s">
        <v>2076</v>
      </c>
      <c r="D2526" t="s">
        <v>664</v>
      </c>
      <c r="E2526" cm="1">
        <f t="array" ref="E2526">_xlfn.XLOOKUP(D2526,SKU_Master!A:A,SKU_Master!B:B,"Not on master")</f>
        <v>0</v>
      </c>
      <c r="F2526" cm="1">
        <f t="array" ref="F2526">_xlfn.XLOOKUP(C2526,Account_Master!A:A,Account_Master!B:B,"Not on master")</f>
        <v>0</v>
      </c>
      <c r="G2526" cm="1">
        <f t="array" ref="G2526">_xlfn.XLOOKUP(C2526,Account_Master!A:A,Account_Master!C:C,"Not on master")</f>
        <v>0</v>
      </c>
      <c r="H2526" s="6">
        <v>3</v>
      </c>
      <c r="I2526" s="6">
        <v>3</v>
      </c>
      <c r="J2526" s="6">
        <f>I2526-H2526</f>
        <v>0</v>
      </c>
      <c r="K2526" s="5">
        <f>IF(H2526=0,"",J2526/H2526)</f>
        <v>0</v>
      </c>
      <c r="L2526">
        <f>IF(OR(AND(H2526=0,ABS(J2526)&gt;=0.01),AND(H2526&lt;&gt;0,ABS(K2526)&gt;VarianceThreshold)),"Review","OK")</f>
        <v>0</v>
      </c>
      <c r="M2526" t="s">
        <v>33</v>
      </c>
    </row>
    <row r="2527" spans="1:13">
      <c r="A2527" t="s">
        <v>3</v>
      </c>
      <c r="B2527" t="s">
        <v>1002</v>
      </c>
      <c r="C2527" t="s">
        <v>2153</v>
      </c>
      <c r="D2527" t="s">
        <v>2405</v>
      </c>
      <c r="E2527" cm="1">
        <f t="array" ref="E2527">_xlfn.XLOOKUP(D2527,SKU_Master!A:A,SKU_Master!B:B,"Not on master")</f>
        <v>0</v>
      </c>
      <c r="F2527" cm="1">
        <f t="array" ref="F2527">_xlfn.XLOOKUP(C2527,Account_Master!A:A,Account_Master!B:B,"Not on master")</f>
        <v>0</v>
      </c>
      <c r="G2527" cm="1">
        <f t="array" ref="G2527">_xlfn.XLOOKUP(C2527,Account_Master!A:A,Account_Master!C:C,"Not on master")</f>
        <v>0</v>
      </c>
      <c r="H2527" s="6">
        <v>22.5</v>
      </c>
      <c r="I2527" s="6">
        <v>22.5</v>
      </c>
      <c r="J2527" s="6">
        <f>I2527-H2527</f>
        <v>0</v>
      </c>
      <c r="K2527" s="5">
        <f>IF(H2527=0,"",J2527/H2527)</f>
        <v>0</v>
      </c>
      <c r="L2527">
        <f>IF(OR(AND(H2527=0,ABS(J2527)&gt;=0.01),AND(H2527&lt;&gt;0,ABS(K2527)&gt;VarianceThreshold)),"Review","OK")</f>
        <v>0</v>
      </c>
      <c r="M2527" t="s">
        <v>33</v>
      </c>
    </row>
    <row r="2528" spans="1:13">
      <c r="A2528" t="s">
        <v>3</v>
      </c>
      <c r="B2528" t="s">
        <v>1002</v>
      </c>
      <c r="C2528" t="s">
        <v>2406</v>
      </c>
      <c r="D2528" t="s">
        <v>2407</v>
      </c>
      <c r="E2528" cm="1">
        <f t="array" ref="E2528">_xlfn.XLOOKUP(D2528,SKU_Master!A:A,SKU_Master!B:B,"Not on master")</f>
        <v>0</v>
      </c>
      <c r="F2528" cm="1">
        <f t="array" ref="F2528">_xlfn.XLOOKUP(C2528,Account_Master!A:A,Account_Master!B:B,"Not on master")</f>
        <v>0</v>
      </c>
      <c r="G2528" cm="1">
        <f t="array" ref="G2528">_xlfn.XLOOKUP(C2528,Account_Master!A:A,Account_Master!C:C,"Not on master")</f>
        <v>0</v>
      </c>
      <c r="H2528" s="6">
        <v>9</v>
      </c>
      <c r="I2528" s="6">
        <v>9</v>
      </c>
      <c r="J2528" s="6">
        <f>I2528-H2528</f>
        <v>0</v>
      </c>
      <c r="K2528" s="5">
        <f>IF(H2528=0,"",J2528/H2528)</f>
        <v>0</v>
      </c>
      <c r="L2528">
        <f>IF(OR(AND(H2528=0,ABS(J2528)&gt;=0.01),AND(H2528&lt;&gt;0,ABS(K2528)&gt;VarianceThreshold)),"Review","OK")</f>
        <v>0</v>
      </c>
      <c r="M2528" t="s">
        <v>33</v>
      </c>
    </row>
    <row r="2529" spans="1:13">
      <c r="A2529" t="s">
        <v>3</v>
      </c>
      <c r="B2529" t="s">
        <v>1002</v>
      </c>
      <c r="C2529" t="s">
        <v>2013</v>
      </c>
      <c r="D2529" t="s">
        <v>2408</v>
      </c>
      <c r="E2529" cm="1">
        <f t="array" ref="E2529">_xlfn.XLOOKUP(D2529,SKU_Master!A:A,SKU_Master!B:B,"Not on master")</f>
        <v>0</v>
      </c>
      <c r="F2529" cm="1">
        <f t="array" ref="F2529">_xlfn.XLOOKUP(C2529,Account_Master!A:A,Account_Master!B:B,"Not on master")</f>
        <v>0</v>
      </c>
      <c r="G2529" cm="1">
        <f t="array" ref="G2529">_xlfn.XLOOKUP(C2529,Account_Master!A:A,Account_Master!C:C,"Not on master")</f>
        <v>0</v>
      </c>
      <c r="H2529" s="6">
        <v>0.6</v>
      </c>
      <c r="I2529" s="6">
        <v>0.6</v>
      </c>
      <c r="J2529" s="6">
        <f>I2529-H2529</f>
        <v>0</v>
      </c>
      <c r="K2529" s="5">
        <f>IF(H2529=0,"",J2529/H2529)</f>
        <v>0</v>
      </c>
      <c r="L2529">
        <f>IF(OR(AND(H2529=0,ABS(J2529)&gt;=0.01),AND(H2529&lt;&gt;0,ABS(K2529)&gt;VarianceThreshold)),"Review","OK")</f>
        <v>0</v>
      </c>
      <c r="M2529" t="s">
        <v>33</v>
      </c>
    </row>
    <row r="2530" spans="1:13">
      <c r="A2530" t="s">
        <v>3</v>
      </c>
      <c r="B2530" t="s">
        <v>1002</v>
      </c>
      <c r="C2530" t="s">
        <v>2013</v>
      </c>
      <c r="D2530" t="s">
        <v>2409</v>
      </c>
      <c r="E2530" cm="1">
        <f t="array" ref="E2530">_xlfn.XLOOKUP(D2530,SKU_Master!A:A,SKU_Master!B:B,"Not on master")</f>
        <v>0</v>
      </c>
      <c r="F2530" cm="1">
        <f t="array" ref="F2530">_xlfn.XLOOKUP(C2530,Account_Master!A:A,Account_Master!B:B,"Not on master")</f>
        <v>0</v>
      </c>
      <c r="G2530" cm="1">
        <f t="array" ref="G2530">_xlfn.XLOOKUP(C2530,Account_Master!A:A,Account_Master!C:C,"Not on master")</f>
        <v>0</v>
      </c>
      <c r="H2530" s="6">
        <v>0.6</v>
      </c>
      <c r="I2530" s="6">
        <v>0.6</v>
      </c>
      <c r="J2530" s="6">
        <f>I2530-H2530</f>
        <v>0</v>
      </c>
      <c r="K2530" s="5">
        <f>IF(H2530=0,"",J2530/H2530)</f>
        <v>0</v>
      </c>
      <c r="L2530">
        <f>IF(OR(AND(H2530=0,ABS(J2530)&gt;=0.01),AND(H2530&lt;&gt;0,ABS(K2530)&gt;VarianceThreshold)),"Review","OK")</f>
        <v>0</v>
      </c>
      <c r="M2530" t="s">
        <v>33</v>
      </c>
    </row>
    <row r="2531" spans="1:13">
      <c r="A2531" t="s">
        <v>4</v>
      </c>
      <c r="B2531" t="s">
        <v>30</v>
      </c>
      <c r="C2531" t="s">
        <v>2410</v>
      </c>
      <c r="D2531" t="s">
        <v>1375</v>
      </c>
      <c r="E2531" cm="1">
        <f t="array" ref="E2531">_xlfn.XLOOKUP(D2531,SKU_Master!A:A,SKU_Master!B:B,"Not on master")</f>
        <v>0</v>
      </c>
      <c r="F2531" cm="1">
        <f t="array" ref="F2531">_xlfn.XLOOKUP(C2531,Account_Master!A:A,Account_Master!B:B,"Not on master")</f>
        <v>0</v>
      </c>
      <c r="G2531" cm="1">
        <f t="array" ref="G2531">_xlfn.XLOOKUP(C2531,Account_Master!A:A,Account_Master!C:C,"Not on master")</f>
        <v>0</v>
      </c>
      <c r="H2531" s="6">
        <v>37.5</v>
      </c>
      <c r="I2531" s="6">
        <v>37.5</v>
      </c>
      <c r="J2531" s="6">
        <f>I2531-H2531</f>
        <v>0</v>
      </c>
      <c r="K2531" s="5">
        <f>IF(H2531=0,"",J2531/H2531)</f>
        <v>0</v>
      </c>
      <c r="L2531">
        <f>IF(OR(AND(H2531=0,ABS(J2531)&gt;=0.01),AND(H2531&lt;&gt;0,ABS(K2531)&gt;VarianceThreshold)),"Review","OK")</f>
        <v>0</v>
      </c>
      <c r="M2531" t="s">
        <v>33</v>
      </c>
    </row>
    <row r="2532" spans="1:13">
      <c r="A2532" t="s">
        <v>4</v>
      </c>
      <c r="B2532" t="s">
        <v>30</v>
      </c>
      <c r="C2532" t="s">
        <v>2411</v>
      </c>
      <c r="D2532" t="s">
        <v>1559</v>
      </c>
      <c r="E2532" cm="1">
        <f t="array" ref="E2532">_xlfn.XLOOKUP(D2532,SKU_Master!A:A,SKU_Master!B:B,"Not on master")</f>
        <v>0</v>
      </c>
      <c r="F2532" cm="1">
        <f t="array" ref="F2532">_xlfn.XLOOKUP(C2532,Account_Master!A:A,Account_Master!B:B,"Not on master")</f>
        <v>0</v>
      </c>
      <c r="G2532" cm="1">
        <f t="array" ref="G2532">_xlfn.XLOOKUP(C2532,Account_Master!A:A,Account_Master!C:C,"Not on master")</f>
        <v>0</v>
      </c>
      <c r="H2532" s="6">
        <v>9</v>
      </c>
      <c r="I2532" s="6">
        <v>9</v>
      </c>
      <c r="J2532" s="6">
        <f>I2532-H2532</f>
        <v>0</v>
      </c>
      <c r="K2532" s="5">
        <f>IF(H2532=0,"",J2532/H2532)</f>
        <v>0</v>
      </c>
      <c r="L2532">
        <f>IF(OR(AND(H2532=0,ABS(J2532)&gt;=0.01),AND(H2532&lt;&gt;0,ABS(K2532)&gt;VarianceThreshold)),"Review","OK")</f>
        <v>0</v>
      </c>
      <c r="M2532" t="s">
        <v>33</v>
      </c>
    </row>
    <row r="2533" spans="1:13">
      <c r="A2533" t="s">
        <v>4</v>
      </c>
      <c r="B2533" t="s">
        <v>30</v>
      </c>
      <c r="C2533" t="s">
        <v>2412</v>
      </c>
      <c r="D2533" t="s">
        <v>2413</v>
      </c>
      <c r="E2533" cm="1">
        <f t="array" ref="E2533">_xlfn.XLOOKUP(D2533,SKU_Master!A:A,SKU_Master!B:B,"Not on master")</f>
        <v>0</v>
      </c>
      <c r="F2533" cm="1">
        <f t="array" ref="F2533">_xlfn.XLOOKUP(C2533,Account_Master!A:A,Account_Master!B:B,"Not on master")</f>
        <v>0</v>
      </c>
      <c r="G2533" cm="1">
        <f t="array" ref="G2533">_xlfn.XLOOKUP(C2533,Account_Master!A:A,Account_Master!C:C,"Not on master")</f>
        <v>0</v>
      </c>
      <c r="H2533" s="6">
        <v>4.5</v>
      </c>
      <c r="I2533" s="6">
        <v>4.5</v>
      </c>
      <c r="J2533" s="6">
        <f>I2533-H2533</f>
        <v>0</v>
      </c>
      <c r="K2533" s="5">
        <f>IF(H2533=0,"",J2533/H2533)</f>
        <v>0</v>
      </c>
      <c r="L2533">
        <f>IF(OR(AND(H2533=0,ABS(J2533)&gt;=0.01),AND(H2533&lt;&gt;0,ABS(K2533)&gt;VarianceThreshold)),"Review","OK")</f>
        <v>0</v>
      </c>
      <c r="M2533" t="s">
        <v>33</v>
      </c>
    </row>
    <row r="2534" spans="1:13">
      <c r="A2534" t="s">
        <v>4</v>
      </c>
      <c r="B2534" t="s">
        <v>30</v>
      </c>
      <c r="C2534" t="s">
        <v>2414</v>
      </c>
      <c r="D2534" t="s">
        <v>2415</v>
      </c>
      <c r="E2534" cm="1">
        <f t="array" ref="E2534">_xlfn.XLOOKUP(D2534,SKU_Master!A:A,SKU_Master!B:B,"Not on master")</f>
        <v>0</v>
      </c>
      <c r="F2534" cm="1">
        <f t="array" ref="F2534">_xlfn.XLOOKUP(C2534,Account_Master!A:A,Account_Master!B:B,"Not on master")</f>
        <v>0</v>
      </c>
      <c r="G2534" cm="1">
        <f t="array" ref="G2534">_xlfn.XLOOKUP(C2534,Account_Master!A:A,Account_Master!C:C,"Not on master")</f>
        <v>0</v>
      </c>
      <c r="H2534" s="6">
        <v>4.5</v>
      </c>
      <c r="I2534" s="6">
        <v>4.5</v>
      </c>
      <c r="J2534" s="6">
        <f>I2534-H2534</f>
        <v>0</v>
      </c>
      <c r="K2534" s="5">
        <f>IF(H2534=0,"",J2534/H2534)</f>
        <v>0</v>
      </c>
      <c r="L2534">
        <f>IF(OR(AND(H2534=0,ABS(J2534)&gt;=0.01),AND(H2534&lt;&gt;0,ABS(K2534)&gt;VarianceThreshold)),"Review","OK")</f>
        <v>0</v>
      </c>
      <c r="M2534" t="s">
        <v>33</v>
      </c>
    </row>
    <row r="2535" spans="1:13">
      <c r="A2535" t="s">
        <v>4</v>
      </c>
      <c r="B2535" t="s">
        <v>30</v>
      </c>
      <c r="C2535" t="s">
        <v>2416</v>
      </c>
      <c r="D2535" t="s">
        <v>2417</v>
      </c>
      <c r="E2535" cm="1">
        <f t="array" ref="E2535">_xlfn.XLOOKUP(D2535,SKU_Master!A:A,SKU_Master!B:B,"Not on master")</f>
        <v>0</v>
      </c>
      <c r="F2535" cm="1">
        <f t="array" ref="F2535">_xlfn.XLOOKUP(C2535,Account_Master!A:A,Account_Master!B:B,"Not on master")</f>
        <v>0</v>
      </c>
      <c r="G2535" cm="1">
        <f t="array" ref="G2535">_xlfn.XLOOKUP(C2535,Account_Master!A:A,Account_Master!C:C,"Not on master")</f>
        <v>0</v>
      </c>
      <c r="H2535" s="6">
        <v>3.75</v>
      </c>
      <c r="I2535" s="6">
        <v>3.75</v>
      </c>
      <c r="J2535" s="6">
        <f>I2535-H2535</f>
        <v>0</v>
      </c>
      <c r="K2535" s="5">
        <f>IF(H2535=0,"",J2535/H2535)</f>
        <v>0</v>
      </c>
      <c r="L2535">
        <f>IF(OR(AND(H2535=0,ABS(J2535)&gt;=0.01),AND(H2535&lt;&gt;0,ABS(K2535)&gt;VarianceThreshold)),"Review","OK")</f>
        <v>0</v>
      </c>
      <c r="M2535" t="s">
        <v>33</v>
      </c>
    </row>
    <row r="2536" spans="1:13">
      <c r="A2536" t="s">
        <v>4</v>
      </c>
      <c r="B2536" t="s">
        <v>47</v>
      </c>
      <c r="C2536" t="s">
        <v>2418</v>
      </c>
      <c r="D2536" t="s">
        <v>2285</v>
      </c>
      <c r="E2536" cm="1">
        <f t="array" ref="E2536">_xlfn.XLOOKUP(D2536,SKU_Master!A:A,SKU_Master!B:B,"Not on master")</f>
        <v>0</v>
      </c>
      <c r="F2536" cm="1">
        <f t="array" ref="F2536">_xlfn.XLOOKUP(C2536,Account_Master!A:A,Account_Master!B:B,"Not on master")</f>
        <v>0</v>
      </c>
      <c r="G2536" cm="1">
        <f t="array" ref="G2536">_xlfn.XLOOKUP(C2536,Account_Master!A:A,Account_Master!C:C,"Not on master")</f>
        <v>0</v>
      </c>
      <c r="H2536" s="6">
        <v>309</v>
      </c>
      <c r="I2536" s="6">
        <v>309</v>
      </c>
      <c r="J2536" s="6">
        <f>I2536-H2536</f>
        <v>0</v>
      </c>
      <c r="K2536" s="5">
        <f>IF(H2536=0,"",J2536/H2536)</f>
        <v>0</v>
      </c>
      <c r="L2536">
        <f>IF(OR(AND(H2536=0,ABS(J2536)&gt;=0.01),AND(H2536&lt;&gt;0,ABS(K2536)&gt;VarianceThreshold)),"Review","OK")</f>
        <v>0</v>
      </c>
      <c r="M2536" t="s">
        <v>33</v>
      </c>
    </row>
    <row r="2537" spans="1:13">
      <c r="A2537" t="s">
        <v>4</v>
      </c>
      <c r="B2537" t="s">
        <v>47</v>
      </c>
      <c r="C2537" t="s">
        <v>2419</v>
      </c>
      <c r="D2537" t="s">
        <v>2420</v>
      </c>
      <c r="E2537" cm="1">
        <f t="array" ref="E2537">_xlfn.XLOOKUP(D2537,SKU_Master!A:A,SKU_Master!B:B,"Not on master")</f>
        <v>0</v>
      </c>
      <c r="F2537" cm="1">
        <f t="array" ref="F2537">_xlfn.XLOOKUP(C2537,Account_Master!A:A,Account_Master!B:B,"Not on master")</f>
        <v>0</v>
      </c>
      <c r="G2537" cm="1">
        <f t="array" ref="G2537">_xlfn.XLOOKUP(C2537,Account_Master!A:A,Account_Master!C:C,"Not on master")</f>
        <v>0</v>
      </c>
      <c r="H2537" s="6">
        <v>1.12</v>
      </c>
      <c r="I2537" s="6">
        <v>1.12</v>
      </c>
      <c r="J2537" s="6">
        <f>I2537-H2537</f>
        <v>0</v>
      </c>
      <c r="K2537" s="5">
        <f>IF(H2537=0,"",J2537/H2537)</f>
        <v>0</v>
      </c>
      <c r="L2537">
        <f>IF(OR(AND(H2537=0,ABS(J2537)&gt;=0.01),AND(H2537&lt;&gt;0,ABS(K2537)&gt;VarianceThreshold)),"Review","OK")</f>
        <v>0</v>
      </c>
      <c r="M2537" t="s">
        <v>33</v>
      </c>
    </row>
    <row r="2538" spans="1:13">
      <c r="A2538" t="s">
        <v>4</v>
      </c>
      <c r="B2538" t="s">
        <v>47</v>
      </c>
      <c r="C2538" t="s">
        <v>2421</v>
      </c>
      <c r="D2538" t="s">
        <v>2422</v>
      </c>
      <c r="E2538" cm="1">
        <f t="array" ref="E2538">_xlfn.XLOOKUP(D2538,SKU_Master!A:A,SKU_Master!B:B,"Not on master")</f>
        <v>0</v>
      </c>
      <c r="F2538" cm="1">
        <f t="array" ref="F2538">_xlfn.XLOOKUP(C2538,Account_Master!A:A,Account_Master!B:B,"Not on master")</f>
        <v>0</v>
      </c>
      <c r="G2538" cm="1">
        <f t="array" ref="G2538">_xlfn.XLOOKUP(C2538,Account_Master!A:A,Account_Master!C:C,"Not on master")</f>
        <v>0</v>
      </c>
      <c r="H2538" s="6">
        <v>0.75</v>
      </c>
      <c r="I2538" s="6">
        <v>0.75</v>
      </c>
      <c r="J2538" s="6">
        <f>I2538-H2538</f>
        <v>0</v>
      </c>
      <c r="K2538" s="5">
        <f>IF(H2538=0,"",J2538/H2538)</f>
        <v>0</v>
      </c>
      <c r="L2538">
        <f>IF(OR(AND(H2538=0,ABS(J2538)&gt;=0.01),AND(H2538&lt;&gt;0,ABS(K2538)&gt;VarianceThreshold)),"Review","OK")</f>
        <v>0</v>
      </c>
      <c r="M2538" t="s">
        <v>33</v>
      </c>
    </row>
    <row r="2539" spans="1:13">
      <c r="A2539" t="s">
        <v>4</v>
      </c>
      <c r="B2539" t="s">
        <v>47</v>
      </c>
      <c r="C2539" t="s">
        <v>2423</v>
      </c>
      <c r="D2539" t="s">
        <v>2424</v>
      </c>
      <c r="E2539" cm="1">
        <f t="array" ref="E2539">_xlfn.XLOOKUP(D2539,SKU_Master!A:A,SKU_Master!B:B,"Not on master")</f>
        <v>0</v>
      </c>
      <c r="F2539" cm="1">
        <f t="array" ref="F2539">_xlfn.XLOOKUP(C2539,Account_Master!A:A,Account_Master!B:B,"Not on master")</f>
        <v>0</v>
      </c>
      <c r="G2539" cm="1">
        <f t="array" ref="G2539">_xlfn.XLOOKUP(C2539,Account_Master!A:A,Account_Master!C:C,"Not on master")</f>
        <v>0</v>
      </c>
      <c r="H2539" s="6">
        <v>0.7</v>
      </c>
      <c r="I2539" s="6">
        <v>0.7</v>
      </c>
      <c r="J2539" s="6">
        <f>I2539-H2539</f>
        <v>0</v>
      </c>
      <c r="K2539" s="5">
        <f>IF(H2539=0,"",J2539/H2539)</f>
        <v>0</v>
      </c>
      <c r="L2539">
        <f>IF(OR(AND(H2539=0,ABS(J2539)&gt;=0.01),AND(H2539&lt;&gt;0,ABS(K2539)&gt;VarianceThreshold)),"Review","OK")</f>
        <v>0</v>
      </c>
      <c r="M2539" t="s">
        <v>33</v>
      </c>
    </row>
    <row r="2540" spans="1:13">
      <c r="A2540" t="s">
        <v>4</v>
      </c>
      <c r="B2540" t="s">
        <v>62</v>
      </c>
      <c r="C2540" t="s">
        <v>2425</v>
      </c>
      <c r="D2540" t="s">
        <v>588</v>
      </c>
      <c r="E2540" cm="1">
        <f t="array" ref="E2540">_xlfn.XLOOKUP(D2540,SKU_Master!A:A,SKU_Master!B:B,"Not on master")</f>
        <v>0</v>
      </c>
      <c r="F2540" cm="1">
        <f t="array" ref="F2540">_xlfn.XLOOKUP(C2540,Account_Master!A:A,Account_Master!B:B,"Not on master")</f>
        <v>0</v>
      </c>
      <c r="G2540" cm="1">
        <f t="array" ref="G2540">_xlfn.XLOOKUP(C2540,Account_Master!A:A,Account_Master!C:C,"Not on master")</f>
        <v>0</v>
      </c>
      <c r="H2540" s="6">
        <v>0.75</v>
      </c>
      <c r="I2540" s="6">
        <v>0.75</v>
      </c>
      <c r="J2540" s="6">
        <f>I2540-H2540</f>
        <v>0</v>
      </c>
      <c r="K2540" s="5">
        <f>IF(H2540=0,"",J2540/H2540)</f>
        <v>0</v>
      </c>
      <c r="L2540">
        <f>IF(OR(AND(H2540=0,ABS(J2540)&gt;=0.01),AND(H2540&lt;&gt;0,ABS(K2540)&gt;VarianceThreshold)),"Review","OK")</f>
        <v>0</v>
      </c>
      <c r="M2540" t="s">
        <v>33</v>
      </c>
    </row>
    <row r="2541" spans="1:13">
      <c r="A2541" t="s">
        <v>4</v>
      </c>
      <c r="B2541" t="s">
        <v>62</v>
      </c>
      <c r="C2541" t="s">
        <v>2426</v>
      </c>
      <c r="D2541" t="s">
        <v>2427</v>
      </c>
      <c r="E2541" cm="1">
        <f t="array" ref="E2541">_xlfn.XLOOKUP(D2541,SKU_Master!A:A,SKU_Master!B:B,"Not on master")</f>
        <v>0</v>
      </c>
      <c r="F2541" cm="1">
        <f t="array" ref="F2541">_xlfn.XLOOKUP(C2541,Account_Master!A:A,Account_Master!B:B,"Not on master")</f>
        <v>0</v>
      </c>
      <c r="G2541" cm="1">
        <f t="array" ref="G2541">_xlfn.XLOOKUP(C2541,Account_Master!A:A,Account_Master!C:C,"Not on master")</f>
        <v>0</v>
      </c>
      <c r="H2541" s="6">
        <v>190.1</v>
      </c>
      <c r="I2541" s="6">
        <v>190.1</v>
      </c>
      <c r="J2541" s="6">
        <f>I2541-H2541</f>
        <v>0</v>
      </c>
      <c r="K2541" s="5">
        <f>IF(H2541=0,"",J2541/H2541)</f>
        <v>0</v>
      </c>
      <c r="L2541">
        <f>IF(OR(AND(H2541=0,ABS(J2541)&gt;=0.01),AND(H2541&lt;&gt;0,ABS(K2541)&gt;VarianceThreshold)),"Review","OK")</f>
        <v>0</v>
      </c>
      <c r="M2541" t="s">
        <v>33</v>
      </c>
    </row>
    <row r="2542" spans="1:13">
      <c r="A2542" t="s">
        <v>4</v>
      </c>
      <c r="B2542" t="s">
        <v>62</v>
      </c>
      <c r="C2542" t="s">
        <v>2418</v>
      </c>
      <c r="D2542" t="s">
        <v>2017</v>
      </c>
      <c r="E2542" cm="1">
        <f t="array" ref="E2542">_xlfn.XLOOKUP(D2542,SKU_Master!A:A,SKU_Master!B:B,"Not on master")</f>
        <v>0</v>
      </c>
      <c r="F2542" cm="1">
        <f t="array" ref="F2542">_xlfn.XLOOKUP(C2542,Account_Master!A:A,Account_Master!B:B,"Not on master")</f>
        <v>0</v>
      </c>
      <c r="G2542" cm="1">
        <f t="array" ref="G2542">_xlfn.XLOOKUP(C2542,Account_Master!A:A,Account_Master!C:C,"Not on master")</f>
        <v>0</v>
      </c>
      <c r="H2542" s="6">
        <v>9</v>
      </c>
      <c r="I2542" s="6">
        <v>9</v>
      </c>
      <c r="J2542" s="6">
        <f>I2542-H2542</f>
        <v>0</v>
      </c>
      <c r="K2542" s="5">
        <f>IF(H2542=0,"",J2542/H2542)</f>
        <v>0</v>
      </c>
      <c r="L2542">
        <f>IF(OR(AND(H2542=0,ABS(J2542)&gt;=0.01),AND(H2542&lt;&gt;0,ABS(K2542)&gt;VarianceThreshold)),"Review","OK")</f>
        <v>0</v>
      </c>
      <c r="M2542" t="s">
        <v>33</v>
      </c>
    </row>
    <row r="2543" spans="1:13">
      <c r="A2543" t="s">
        <v>4</v>
      </c>
      <c r="B2543" t="s">
        <v>62</v>
      </c>
      <c r="C2543" t="s">
        <v>2410</v>
      </c>
      <c r="D2543" t="s">
        <v>507</v>
      </c>
      <c r="E2543" cm="1">
        <f t="array" ref="E2543">_xlfn.XLOOKUP(D2543,SKU_Master!A:A,SKU_Master!B:B,"Not on master")</f>
        <v>0</v>
      </c>
      <c r="F2543" cm="1">
        <f t="array" ref="F2543">_xlfn.XLOOKUP(C2543,Account_Master!A:A,Account_Master!B:B,"Not on master")</f>
        <v>0</v>
      </c>
      <c r="G2543" cm="1">
        <f t="array" ref="G2543">_xlfn.XLOOKUP(C2543,Account_Master!A:A,Account_Master!C:C,"Not on master")</f>
        <v>0</v>
      </c>
      <c r="H2543" s="6">
        <v>9</v>
      </c>
      <c r="I2543" s="6">
        <v>9</v>
      </c>
      <c r="J2543" s="6">
        <f>I2543-H2543</f>
        <v>0</v>
      </c>
      <c r="K2543" s="5">
        <f>IF(H2543=0,"",J2543/H2543)</f>
        <v>0</v>
      </c>
      <c r="L2543">
        <f>IF(OR(AND(H2543=0,ABS(J2543)&gt;=0.01),AND(H2543&lt;&gt;0,ABS(K2543)&gt;VarianceThreshold)),"Review","OK")</f>
        <v>0</v>
      </c>
      <c r="M2543" t="s">
        <v>33</v>
      </c>
    </row>
    <row r="2544" spans="1:13">
      <c r="A2544" t="s">
        <v>4</v>
      </c>
      <c r="B2544" t="s">
        <v>62</v>
      </c>
      <c r="C2544" t="s">
        <v>2410</v>
      </c>
      <c r="D2544" t="s">
        <v>1242</v>
      </c>
      <c r="E2544" cm="1">
        <f t="array" ref="E2544">_xlfn.XLOOKUP(D2544,SKU_Master!A:A,SKU_Master!B:B,"Not on master")</f>
        <v>0</v>
      </c>
      <c r="F2544" cm="1">
        <f t="array" ref="F2544">_xlfn.XLOOKUP(C2544,Account_Master!A:A,Account_Master!B:B,"Not on master")</f>
        <v>0</v>
      </c>
      <c r="G2544" cm="1">
        <f t="array" ref="G2544">_xlfn.XLOOKUP(C2544,Account_Master!A:A,Account_Master!C:C,"Not on master")</f>
        <v>0</v>
      </c>
      <c r="H2544" s="6">
        <v>65.25</v>
      </c>
      <c r="I2544" s="6">
        <v>65.25</v>
      </c>
      <c r="J2544" s="6">
        <f>I2544-H2544</f>
        <v>0</v>
      </c>
      <c r="K2544" s="5">
        <f>IF(H2544=0,"",J2544/H2544)</f>
        <v>0</v>
      </c>
      <c r="L2544">
        <f>IF(OR(AND(H2544=0,ABS(J2544)&gt;=0.01),AND(H2544&lt;&gt;0,ABS(K2544)&gt;VarianceThreshold)),"Review","OK")</f>
        <v>0</v>
      </c>
      <c r="M2544" t="s">
        <v>33</v>
      </c>
    </row>
    <row r="2545" spans="1:13">
      <c r="A2545" t="s">
        <v>4</v>
      </c>
      <c r="B2545" t="s">
        <v>62</v>
      </c>
      <c r="C2545" t="s">
        <v>2428</v>
      </c>
      <c r="D2545" t="s">
        <v>1385</v>
      </c>
      <c r="E2545" cm="1">
        <f t="array" ref="E2545">_xlfn.XLOOKUP(D2545,SKU_Master!A:A,SKU_Master!B:B,"Not on master")</f>
        <v>0</v>
      </c>
      <c r="F2545" cm="1">
        <f t="array" ref="F2545">_xlfn.XLOOKUP(C2545,Account_Master!A:A,Account_Master!B:B,"Not on master")</f>
        <v>0</v>
      </c>
      <c r="G2545" cm="1">
        <f t="array" ref="G2545">_xlfn.XLOOKUP(C2545,Account_Master!A:A,Account_Master!C:C,"Not on master")</f>
        <v>0</v>
      </c>
      <c r="H2545" s="6">
        <v>0.1</v>
      </c>
      <c r="I2545" s="6">
        <v>0.1</v>
      </c>
      <c r="J2545" s="6">
        <f>I2545-H2545</f>
        <v>0</v>
      </c>
      <c r="K2545" s="5">
        <f>IF(H2545=0,"",J2545/H2545)</f>
        <v>0</v>
      </c>
      <c r="L2545">
        <f>IF(OR(AND(H2545=0,ABS(J2545)&gt;=0.01),AND(H2545&lt;&gt;0,ABS(K2545)&gt;VarianceThreshold)),"Review","OK")</f>
        <v>0</v>
      </c>
      <c r="M2545" t="s">
        <v>33</v>
      </c>
    </row>
    <row r="2546" spans="1:13">
      <c r="A2546" t="s">
        <v>4</v>
      </c>
      <c r="B2546" t="s">
        <v>71</v>
      </c>
      <c r="C2546" t="s">
        <v>2429</v>
      </c>
      <c r="D2546" t="s">
        <v>621</v>
      </c>
      <c r="E2546" cm="1">
        <f t="array" ref="E2546">_xlfn.XLOOKUP(D2546,SKU_Master!A:A,SKU_Master!B:B,"Not on master")</f>
        <v>0</v>
      </c>
      <c r="F2546" cm="1">
        <f t="array" ref="F2546">_xlfn.XLOOKUP(C2546,Account_Master!A:A,Account_Master!B:B,"Not on master")</f>
        <v>0</v>
      </c>
      <c r="G2546" cm="1">
        <f t="array" ref="G2546">_xlfn.XLOOKUP(C2546,Account_Master!A:A,Account_Master!C:C,"Not on master")</f>
        <v>0</v>
      </c>
      <c r="H2546" s="6">
        <v>30</v>
      </c>
      <c r="I2546" s="6">
        <v>30</v>
      </c>
      <c r="J2546" s="6">
        <f>I2546-H2546</f>
        <v>0</v>
      </c>
      <c r="K2546" s="5">
        <f>IF(H2546=0,"",J2546/H2546)</f>
        <v>0</v>
      </c>
      <c r="L2546">
        <f>IF(OR(AND(H2546=0,ABS(J2546)&gt;=0.01),AND(H2546&lt;&gt;0,ABS(K2546)&gt;VarianceThreshold)),"Review","OK")</f>
        <v>0</v>
      </c>
      <c r="M2546" t="s">
        <v>33</v>
      </c>
    </row>
    <row r="2547" spans="1:13">
      <c r="A2547" t="s">
        <v>4</v>
      </c>
      <c r="B2547" t="s">
        <v>71</v>
      </c>
      <c r="C2547" t="s">
        <v>2430</v>
      </c>
      <c r="D2547" t="s">
        <v>156</v>
      </c>
      <c r="E2547" cm="1">
        <f t="array" ref="E2547">_xlfn.XLOOKUP(D2547,SKU_Master!A:A,SKU_Master!B:B,"Not on master")</f>
        <v>0</v>
      </c>
      <c r="F2547" cm="1">
        <f t="array" ref="F2547">_xlfn.XLOOKUP(C2547,Account_Master!A:A,Account_Master!B:B,"Not on master")</f>
        <v>0</v>
      </c>
      <c r="G2547" cm="1">
        <f t="array" ref="G2547">_xlfn.XLOOKUP(C2547,Account_Master!A:A,Account_Master!C:C,"Not on master")</f>
        <v>0</v>
      </c>
      <c r="H2547" s="6">
        <v>94.5</v>
      </c>
      <c r="I2547" s="6">
        <v>94.5</v>
      </c>
      <c r="J2547" s="6">
        <f>I2547-H2547</f>
        <v>0</v>
      </c>
      <c r="K2547" s="5">
        <f>IF(H2547=0,"",J2547/H2547)</f>
        <v>0</v>
      </c>
      <c r="L2547">
        <f>IF(OR(AND(H2547=0,ABS(J2547)&gt;=0.01),AND(H2547&lt;&gt;0,ABS(K2547)&gt;VarianceThreshold)),"Review","OK")</f>
        <v>0</v>
      </c>
      <c r="M2547" t="s">
        <v>33</v>
      </c>
    </row>
    <row r="2548" spans="1:13">
      <c r="A2548" t="s">
        <v>4</v>
      </c>
      <c r="B2548" t="s">
        <v>71</v>
      </c>
      <c r="C2548" t="s">
        <v>2412</v>
      </c>
      <c r="D2548" t="s">
        <v>578</v>
      </c>
      <c r="E2548" cm="1">
        <f t="array" ref="E2548">_xlfn.XLOOKUP(D2548,SKU_Master!A:A,SKU_Master!B:B,"Not on master")</f>
        <v>0</v>
      </c>
      <c r="F2548" cm="1">
        <f t="array" ref="F2548">_xlfn.XLOOKUP(C2548,Account_Master!A:A,Account_Master!B:B,"Not on master")</f>
        <v>0</v>
      </c>
      <c r="G2548" cm="1">
        <f t="array" ref="G2548">_xlfn.XLOOKUP(C2548,Account_Master!A:A,Account_Master!C:C,"Not on master")</f>
        <v>0</v>
      </c>
      <c r="H2548" s="6">
        <v>3</v>
      </c>
      <c r="I2548" s="6">
        <v>3</v>
      </c>
      <c r="J2548" s="6">
        <f>I2548-H2548</f>
        <v>0</v>
      </c>
      <c r="K2548" s="5">
        <f>IF(H2548=0,"",J2548/H2548)</f>
        <v>0</v>
      </c>
      <c r="L2548">
        <f>IF(OR(AND(H2548=0,ABS(J2548)&gt;=0.01),AND(H2548&lt;&gt;0,ABS(K2548)&gt;VarianceThreshold)),"Review","OK")</f>
        <v>0</v>
      </c>
      <c r="M2548" t="s">
        <v>33</v>
      </c>
    </row>
    <row r="2549" spans="1:13">
      <c r="A2549" t="s">
        <v>4</v>
      </c>
      <c r="B2549" t="s">
        <v>71</v>
      </c>
      <c r="C2549" t="s">
        <v>2431</v>
      </c>
      <c r="D2549" t="s">
        <v>884</v>
      </c>
      <c r="E2549" cm="1">
        <f t="array" ref="E2549">_xlfn.XLOOKUP(D2549,SKU_Master!A:A,SKU_Master!B:B,"Not on master")</f>
        <v>0</v>
      </c>
      <c r="F2549" cm="1">
        <f t="array" ref="F2549">_xlfn.XLOOKUP(C2549,Account_Master!A:A,Account_Master!B:B,"Not on master")</f>
        <v>0</v>
      </c>
      <c r="G2549" cm="1">
        <f t="array" ref="G2549">_xlfn.XLOOKUP(C2549,Account_Master!A:A,Account_Master!C:C,"Not on master")</f>
        <v>0</v>
      </c>
      <c r="H2549" s="6">
        <v>11.25</v>
      </c>
      <c r="I2549" s="6">
        <v>11.25</v>
      </c>
      <c r="J2549" s="6">
        <f>I2549-H2549</f>
        <v>0</v>
      </c>
      <c r="K2549" s="5">
        <f>IF(H2549=0,"",J2549/H2549)</f>
        <v>0</v>
      </c>
      <c r="L2549">
        <f>IF(OR(AND(H2549=0,ABS(J2549)&gt;=0.01),AND(H2549&lt;&gt;0,ABS(K2549)&gt;VarianceThreshold)),"Review","OK")</f>
        <v>0</v>
      </c>
      <c r="M2549" t="s">
        <v>33</v>
      </c>
    </row>
    <row r="2550" spans="1:13">
      <c r="A2550" t="s">
        <v>4</v>
      </c>
      <c r="B2550" t="s">
        <v>71</v>
      </c>
      <c r="C2550" t="s">
        <v>2432</v>
      </c>
      <c r="D2550" t="s">
        <v>1001</v>
      </c>
      <c r="E2550" cm="1">
        <f t="array" ref="E2550">_xlfn.XLOOKUP(D2550,SKU_Master!A:A,SKU_Master!B:B,"Not on master")</f>
        <v>0</v>
      </c>
      <c r="F2550" cm="1">
        <f t="array" ref="F2550">_xlfn.XLOOKUP(C2550,Account_Master!A:A,Account_Master!B:B,"Not on master")</f>
        <v>0</v>
      </c>
      <c r="G2550" cm="1">
        <f t="array" ref="G2550">_xlfn.XLOOKUP(C2550,Account_Master!A:A,Account_Master!C:C,"Not on master")</f>
        <v>0</v>
      </c>
      <c r="H2550" s="6">
        <v>1.5</v>
      </c>
      <c r="I2550" s="6">
        <v>1.5</v>
      </c>
      <c r="J2550" s="6">
        <f>I2550-H2550</f>
        <v>0</v>
      </c>
      <c r="K2550" s="5">
        <f>IF(H2550=0,"",J2550/H2550)</f>
        <v>0</v>
      </c>
      <c r="L2550">
        <f>IF(OR(AND(H2550=0,ABS(J2550)&gt;=0.01),AND(H2550&lt;&gt;0,ABS(K2550)&gt;VarianceThreshold)),"Review","OK")</f>
        <v>0</v>
      </c>
      <c r="M2550" t="s">
        <v>33</v>
      </c>
    </row>
    <row r="2551" spans="1:13">
      <c r="A2551" t="s">
        <v>4</v>
      </c>
      <c r="B2551" t="s">
        <v>86</v>
      </c>
      <c r="C2551" t="s">
        <v>2429</v>
      </c>
      <c r="D2551" t="s">
        <v>651</v>
      </c>
      <c r="E2551" cm="1">
        <f t="array" ref="E2551">_xlfn.XLOOKUP(D2551,SKU_Master!A:A,SKU_Master!B:B,"Not on master")</f>
        <v>0</v>
      </c>
      <c r="F2551" cm="1">
        <f t="array" ref="F2551">_xlfn.XLOOKUP(C2551,Account_Master!A:A,Account_Master!B:B,"Not on master")</f>
        <v>0</v>
      </c>
      <c r="G2551" cm="1">
        <f t="array" ref="G2551">_xlfn.XLOOKUP(C2551,Account_Master!A:A,Account_Master!C:C,"Not on master")</f>
        <v>0</v>
      </c>
      <c r="H2551" s="6">
        <v>201.75</v>
      </c>
      <c r="I2551" s="6">
        <v>201.75</v>
      </c>
      <c r="J2551" s="6">
        <f>I2551-H2551</f>
        <v>0</v>
      </c>
      <c r="K2551" s="5">
        <f>IF(H2551=0,"",J2551/H2551)</f>
        <v>0</v>
      </c>
      <c r="L2551">
        <f>IF(OR(AND(H2551=0,ABS(J2551)&gt;=0.01),AND(H2551&lt;&gt;0,ABS(K2551)&gt;VarianceThreshold)),"Review","OK")</f>
        <v>0</v>
      </c>
      <c r="M2551" t="s">
        <v>33</v>
      </c>
    </row>
    <row r="2552" spans="1:13">
      <c r="A2552" t="s">
        <v>4</v>
      </c>
      <c r="B2552" t="s">
        <v>86</v>
      </c>
      <c r="C2552" t="s">
        <v>2414</v>
      </c>
      <c r="D2552" t="s">
        <v>1166</v>
      </c>
      <c r="E2552" cm="1">
        <f t="array" ref="E2552">_xlfn.XLOOKUP(D2552,SKU_Master!A:A,SKU_Master!B:B,"Not on master")</f>
        <v>0</v>
      </c>
      <c r="F2552" cm="1">
        <f t="array" ref="F2552">_xlfn.XLOOKUP(C2552,Account_Master!A:A,Account_Master!B:B,"Not on master")</f>
        <v>0</v>
      </c>
      <c r="G2552" cm="1">
        <f t="array" ref="G2552">_xlfn.XLOOKUP(C2552,Account_Master!A:A,Account_Master!C:C,"Not on master")</f>
        <v>0</v>
      </c>
      <c r="H2552" s="6">
        <v>1.5</v>
      </c>
      <c r="I2552" s="6">
        <v>1.5</v>
      </c>
      <c r="J2552" s="6">
        <f>I2552-H2552</f>
        <v>0</v>
      </c>
      <c r="K2552" s="5">
        <f>IF(H2552=0,"",J2552/H2552)</f>
        <v>0</v>
      </c>
      <c r="L2552">
        <f>IF(OR(AND(H2552=0,ABS(J2552)&gt;=0.01),AND(H2552&lt;&gt;0,ABS(K2552)&gt;VarianceThreshold)),"Review","OK")</f>
        <v>0</v>
      </c>
      <c r="M2552" t="s">
        <v>33</v>
      </c>
    </row>
    <row r="2553" spans="1:13">
      <c r="A2553" t="s">
        <v>4</v>
      </c>
      <c r="B2553" t="s">
        <v>86</v>
      </c>
      <c r="C2553" t="s">
        <v>2418</v>
      </c>
      <c r="D2553" t="s">
        <v>591</v>
      </c>
      <c r="E2553" cm="1">
        <f t="array" ref="E2553">_xlfn.XLOOKUP(D2553,SKU_Master!A:A,SKU_Master!B:B,"Not on master")</f>
        <v>0</v>
      </c>
      <c r="F2553" cm="1">
        <f t="array" ref="F2553">_xlfn.XLOOKUP(C2553,Account_Master!A:A,Account_Master!B:B,"Not on master")</f>
        <v>0</v>
      </c>
      <c r="G2553" cm="1">
        <f t="array" ref="G2553">_xlfn.XLOOKUP(C2553,Account_Master!A:A,Account_Master!C:C,"Not on master")</f>
        <v>0</v>
      </c>
      <c r="H2553" s="6">
        <v>157.5</v>
      </c>
      <c r="I2553" s="6">
        <v>157.5</v>
      </c>
      <c r="J2553" s="6">
        <f>I2553-H2553</f>
        <v>0</v>
      </c>
      <c r="K2553" s="5">
        <f>IF(H2553=0,"",J2553/H2553)</f>
        <v>0</v>
      </c>
      <c r="L2553">
        <f>IF(OR(AND(H2553=0,ABS(J2553)&gt;=0.01),AND(H2553&lt;&gt;0,ABS(K2553)&gt;VarianceThreshold)),"Review","OK")</f>
        <v>0</v>
      </c>
      <c r="M2553" t="s">
        <v>33</v>
      </c>
    </row>
    <row r="2554" spans="1:13">
      <c r="A2554" t="s">
        <v>4</v>
      </c>
      <c r="B2554" t="s">
        <v>86</v>
      </c>
      <c r="C2554" t="s">
        <v>2433</v>
      </c>
      <c r="D2554" t="s">
        <v>1465</v>
      </c>
      <c r="E2554" cm="1">
        <f t="array" ref="E2554">_xlfn.XLOOKUP(D2554,SKU_Master!A:A,SKU_Master!B:B,"Not on master")</f>
        <v>0</v>
      </c>
      <c r="F2554" cm="1">
        <f t="array" ref="F2554">_xlfn.XLOOKUP(C2554,Account_Master!A:A,Account_Master!B:B,"Not on master")</f>
        <v>0</v>
      </c>
      <c r="G2554" cm="1">
        <f t="array" ref="G2554">_xlfn.XLOOKUP(C2554,Account_Master!A:A,Account_Master!C:C,"Not on master")</f>
        <v>0</v>
      </c>
      <c r="H2554" s="6">
        <v>6.75</v>
      </c>
      <c r="I2554" s="6">
        <v>6.75</v>
      </c>
      <c r="J2554" s="6">
        <f>I2554-H2554</f>
        <v>0</v>
      </c>
      <c r="K2554" s="5">
        <f>IF(H2554=0,"",J2554/H2554)</f>
        <v>0</v>
      </c>
      <c r="L2554">
        <f>IF(OR(AND(H2554=0,ABS(J2554)&gt;=0.01),AND(H2554&lt;&gt;0,ABS(K2554)&gt;VarianceThreshold)),"Review","OK")</f>
        <v>0</v>
      </c>
      <c r="M2554" t="s">
        <v>33</v>
      </c>
    </row>
    <row r="2555" spans="1:13">
      <c r="A2555" t="s">
        <v>4</v>
      </c>
      <c r="B2555" t="s">
        <v>97</v>
      </c>
      <c r="C2555" t="s">
        <v>2434</v>
      </c>
      <c r="D2555" t="s">
        <v>684</v>
      </c>
      <c r="E2555" cm="1">
        <f t="array" ref="E2555">_xlfn.XLOOKUP(D2555,SKU_Master!A:A,SKU_Master!B:B,"Not on master")</f>
        <v>0</v>
      </c>
      <c r="F2555" cm="1">
        <f t="array" ref="F2555">_xlfn.XLOOKUP(C2555,Account_Master!A:A,Account_Master!B:B,"Not on master")</f>
        <v>0</v>
      </c>
      <c r="G2555" cm="1">
        <f t="array" ref="G2555">_xlfn.XLOOKUP(C2555,Account_Master!A:A,Account_Master!C:C,"Not on master")</f>
        <v>0</v>
      </c>
      <c r="H2555" s="6">
        <v>4.5</v>
      </c>
      <c r="I2555" s="6">
        <v>4.5</v>
      </c>
      <c r="J2555" s="6">
        <f>I2555-H2555</f>
        <v>0</v>
      </c>
      <c r="K2555" s="5">
        <f>IF(H2555=0,"",J2555/H2555)</f>
        <v>0</v>
      </c>
      <c r="L2555">
        <f>IF(OR(AND(H2555=0,ABS(J2555)&gt;=0.01),AND(H2555&lt;&gt;0,ABS(K2555)&gt;VarianceThreshold)),"Review","OK")</f>
        <v>0</v>
      </c>
      <c r="M2555" t="s">
        <v>33</v>
      </c>
    </row>
    <row r="2556" spans="1:13">
      <c r="A2556" t="s">
        <v>4</v>
      </c>
      <c r="B2556" t="s">
        <v>97</v>
      </c>
      <c r="C2556" t="s">
        <v>2435</v>
      </c>
      <c r="D2556" t="s">
        <v>57</v>
      </c>
      <c r="E2556" cm="1">
        <f t="array" ref="E2556">_xlfn.XLOOKUP(D2556,SKU_Master!A:A,SKU_Master!B:B,"Not on master")</f>
        <v>0</v>
      </c>
      <c r="F2556" cm="1">
        <f t="array" ref="F2556">_xlfn.XLOOKUP(C2556,Account_Master!A:A,Account_Master!B:B,"Not on master")</f>
        <v>0</v>
      </c>
      <c r="G2556" cm="1">
        <f t="array" ref="G2556">_xlfn.XLOOKUP(C2556,Account_Master!A:A,Account_Master!C:C,"Not on master")</f>
        <v>0</v>
      </c>
      <c r="H2556" s="6">
        <v>1.5</v>
      </c>
      <c r="I2556" s="6">
        <v>1.5</v>
      </c>
      <c r="J2556" s="6">
        <f>I2556-H2556</f>
        <v>0</v>
      </c>
      <c r="K2556" s="5">
        <f>IF(H2556=0,"",J2556/H2556)</f>
        <v>0</v>
      </c>
      <c r="L2556">
        <f>IF(OR(AND(H2556=0,ABS(J2556)&gt;=0.01),AND(H2556&lt;&gt;0,ABS(K2556)&gt;VarianceThreshold)),"Review","OK")</f>
        <v>0</v>
      </c>
      <c r="M2556" t="s">
        <v>33</v>
      </c>
    </row>
    <row r="2557" spans="1:13">
      <c r="A2557" t="s">
        <v>4</v>
      </c>
      <c r="B2557" t="s">
        <v>97</v>
      </c>
      <c r="C2557" t="s">
        <v>2436</v>
      </c>
      <c r="D2557" t="s">
        <v>2437</v>
      </c>
      <c r="E2557" cm="1">
        <f t="array" ref="E2557">_xlfn.XLOOKUP(D2557,SKU_Master!A:A,SKU_Master!B:B,"Not on master")</f>
        <v>0</v>
      </c>
      <c r="F2557" cm="1">
        <f t="array" ref="F2557">_xlfn.XLOOKUP(C2557,Account_Master!A:A,Account_Master!B:B,"Not on master")</f>
        <v>0</v>
      </c>
      <c r="G2557" cm="1">
        <f t="array" ref="G2557">_xlfn.XLOOKUP(C2557,Account_Master!A:A,Account_Master!C:C,"Not on master")</f>
        <v>0</v>
      </c>
      <c r="H2557" s="6">
        <v>12.25</v>
      </c>
      <c r="I2557" s="6">
        <v>12.25</v>
      </c>
      <c r="J2557" s="6">
        <f>I2557-H2557</f>
        <v>0</v>
      </c>
      <c r="K2557" s="5">
        <f>IF(H2557=0,"",J2557/H2557)</f>
        <v>0</v>
      </c>
      <c r="L2557">
        <f>IF(OR(AND(H2557=0,ABS(J2557)&gt;=0.01),AND(H2557&lt;&gt;0,ABS(K2557)&gt;VarianceThreshold)),"Review","OK")</f>
        <v>0</v>
      </c>
      <c r="M2557" t="s">
        <v>33</v>
      </c>
    </row>
    <row r="2558" spans="1:13">
      <c r="A2558" t="s">
        <v>4</v>
      </c>
      <c r="B2558" t="s">
        <v>97</v>
      </c>
      <c r="C2558" t="s">
        <v>2436</v>
      </c>
      <c r="D2558" t="s">
        <v>1431</v>
      </c>
      <c r="E2558" cm="1">
        <f t="array" ref="E2558">_xlfn.XLOOKUP(D2558,SKU_Master!A:A,SKU_Master!B:B,"Not on master")</f>
        <v>0</v>
      </c>
      <c r="F2558" cm="1">
        <f t="array" ref="F2558">_xlfn.XLOOKUP(C2558,Account_Master!A:A,Account_Master!B:B,"Not on master")</f>
        <v>0</v>
      </c>
      <c r="G2558" cm="1">
        <f t="array" ref="G2558">_xlfn.XLOOKUP(C2558,Account_Master!A:A,Account_Master!C:C,"Not on master")</f>
        <v>0</v>
      </c>
      <c r="H2558" s="6">
        <v>11.25</v>
      </c>
      <c r="I2558" s="6">
        <v>11.25</v>
      </c>
      <c r="J2558" s="6">
        <f>I2558-H2558</f>
        <v>0</v>
      </c>
      <c r="K2558" s="5">
        <f>IF(H2558=0,"",J2558/H2558)</f>
        <v>0</v>
      </c>
      <c r="L2558">
        <f>IF(OR(AND(H2558=0,ABS(J2558)&gt;=0.01),AND(H2558&lt;&gt;0,ABS(K2558)&gt;VarianceThreshold)),"Review","OK")</f>
        <v>0</v>
      </c>
      <c r="M2558" t="s">
        <v>33</v>
      </c>
    </row>
    <row r="2559" spans="1:13">
      <c r="A2559" t="s">
        <v>4</v>
      </c>
      <c r="B2559" t="s">
        <v>97</v>
      </c>
      <c r="C2559" t="s">
        <v>2435</v>
      </c>
      <c r="D2559" t="s">
        <v>2438</v>
      </c>
      <c r="E2559" cm="1">
        <f t="array" ref="E2559">_xlfn.XLOOKUP(D2559,SKU_Master!A:A,SKU_Master!B:B,"Not on master")</f>
        <v>0</v>
      </c>
      <c r="F2559" cm="1">
        <f t="array" ref="F2559">_xlfn.XLOOKUP(C2559,Account_Master!A:A,Account_Master!B:B,"Not on master")</f>
        <v>0</v>
      </c>
      <c r="G2559" cm="1">
        <f t="array" ref="G2559">_xlfn.XLOOKUP(C2559,Account_Master!A:A,Account_Master!C:C,"Not on master")</f>
        <v>0</v>
      </c>
      <c r="H2559" s="6">
        <v>31.5</v>
      </c>
      <c r="I2559" s="6">
        <v>31.5</v>
      </c>
      <c r="J2559" s="6">
        <f>I2559-H2559</f>
        <v>0</v>
      </c>
      <c r="K2559" s="5">
        <f>IF(H2559=0,"",J2559/H2559)</f>
        <v>0</v>
      </c>
      <c r="L2559">
        <f>IF(OR(AND(H2559=0,ABS(J2559)&gt;=0.01),AND(H2559&lt;&gt;0,ABS(K2559)&gt;VarianceThreshold)),"Review","OK")</f>
        <v>0</v>
      </c>
      <c r="M2559" t="s">
        <v>33</v>
      </c>
    </row>
    <row r="2560" spans="1:13">
      <c r="A2560" t="s">
        <v>4</v>
      </c>
      <c r="B2560" t="s">
        <v>97</v>
      </c>
      <c r="C2560" t="s">
        <v>2439</v>
      </c>
      <c r="D2560" t="s">
        <v>2440</v>
      </c>
      <c r="E2560" cm="1">
        <f t="array" ref="E2560">_xlfn.XLOOKUP(D2560,SKU_Master!A:A,SKU_Master!B:B,"Not on master")</f>
        <v>0</v>
      </c>
      <c r="F2560" cm="1">
        <f t="array" ref="F2560">_xlfn.XLOOKUP(C2560,Account_Master!A:A,Account_Master!B:B,"Not on master")</f>
        <v>0</v>
      </c>
      <c r="G2560" cm="1">
        <f t="array" ref="G2560">_xlfn.XLOOKUP(C2560,Account_Master!A:A,Account_Master!C:C,"Not on master")</f>
        <v>0</v>
      </c>
      <c r="H2560" s="6">
        <v>1.75</v>
      </c>
      <c r="I2560" s="6">
        <v>1.75</v>
      </c>
      <c r="J2560" s="6">
        <f>I2560-H2560</f>
        <v>0</v>
      </c>
      <c r="K2560" s="5">
        <f>IF(H2560=0,"",J2560/H2560)</f>
        <v>0</v>
      </c>
      <c r="L2560">
        <f>IF(OR(AND(H2560=0,ABS(J2560)&gt;=0.01),AND(H2560&lt;&gt;0,ABS(K2560)&gt;VarianceThreshold)),"Review","OK")</f>
        <v>0</v>
      </c>
      <c r="M2560" t="s">
        <v>33</v>
      </c>
    </row>
    <row r="2561" spans="1:13">
      <c r="A2561" t="s">
        <v>4</v>
      </c>
      <c r="B2561" t="s">
        <v>97</v>
      </c>
      <c r="C2561" t="s">
        <v>2441</v>
      </c>
      <c r="D2561" t="s">
        <v>2442</v>
      </c>
      <c r="E2561" cm="1">
        <f t="array" ref="E2561">_xlfn.XLOOKUP(D2561,SKU_Master!A:A,SKU_Master!B:B,"Not on master")</f>
        <v>0</v>
      </c>
      <c r="F2561" cm="1">
        <f t="array" ref="F2561">_xlfn.XLOOKUP(C2561,Account_Master!A:A,Account_Master!B:B,"Not on master")</f>
        <v>0</v>
      </c>
      <c r="G2561" cm="1">
        <f t="array" ref="G2561">_xlfn.XLOOKUP(C2561,Account_Master!A:A,Account_Master!C:C,"Not on master")</f>
        <v>0</v>
      </c>
      <c r="H2561" s="6">
        <v>21</v>
      </c>
      <c r="I2561" s="6">
        <v>21</v>
      </c>
      <c r="J2561" s="6">
        <f>I2561-H2561</f>
        <v>0</v>
      </c>
      <c r="K2561" s="5">
        <f>IF(H2561=0,"",J2561/H2561)</f>
        <v>0</v>
      </c>
      <c r="L2561">
        <f>IF(OR(AND(H2561=0,ABS(J2561)&gt;=0.01),AND(H2561&lt;&gt;0,ABS(K2561)&gt;VarianceThreshold)),"Review","OK")</f>
        <v>0</v>
      </c>
      <c r="M2561" t="s">
        <v>33</v>
      </c>
    </row>
    <row r="2562" spans="1:13">
      <c r="A2562" t="s">
        <v>4</v>
      </c>
      <c r="B2562" t="s">
        <v>97</v>
      </c>
      <c r="C2562" t="s">
        <v>2443</v>
      </c>
      <c r="D2562" t="s">
        <v>2444</v>
      </c>
      <c r="E2562" cm="1">
        <f t="array" ref="E2562">_xlfn.XLOOKUP(D2562,SKU_Master!A:A,SKU_Master!B:B,"Not on master")</f>
        <v>0</v>
      </c>
      <c r="F2562" cm="1">
        <f t="array" ref="F2562">_xlfn.XLOOKUP(C2562,Account_Master!A:A,Account_Master!B:B,"Not on master")</f>
        <v>0</v>
      </c>
      <c r="G2562" cm="1">
        <f t="array" ref="G2562">_xlfn.XLOOKUP(C2562,Account_Master!A:A,Account_Master!C:C,"Not on master")</f>
        <v>0</v>
      </c>
      <c r="H2562" s="6">
        <v>4.87</v>
      </c>
      <c r="I2562" s="6">
        <v>4.87</v>
      </c>
      <c r="J2562" s="6">
        <f>I2562-H2562</f>
        <v>0</v>
      </c>
      <c r="K2562" s="5">
        <f>IF(H2562=0,"",J2562/H2562)</f>
        <v>0</v>
      </c>
      <c r="L2562">
        <f>IF(OR(AND(H2562=0,ABS(J2562)&gt;=0.01),AND(H2562&lt;&gt;0,ABS(K2562)&gt;VarianceThreshold)),"Review","OK")</f>
        <v>0</v>
      </c>
      <c r="M2562" t="s">
        <v>33</v>
      </c>
    </row>
    <row r="2563" spans="1:13">
      <c r="A2563" t="s">
        <v>4</v>
      </c>
      <c r="B2563" t="s">
        <v>97</v>
      </c>
      <c r="C2563" t="s">
        <v>2418</v>
      </c>
      <c r="D2563" t="s">
        <v>603</v>
      </c>
      <c r="E2563" cm="1">
        <f t="array" ref="E2563">_xlfn.XLOOKUP(D2563,SKU_Master!A:A,SKU_Master!B:B,"Not on master")</f>
        <v>0</v>
      </c>
      <c r="F2563" cm="1">
        <f t="array" ref="F2563">_xlfn.XLOOKUP(C2563,Account_Master!A:A,Account_Master!B:B,"Not on master")</f>
        <v>0</v>
      </c>
      <c r="G2563" cm="1">
        <f t="array" ref="G2563">_xlfn.XLOOKUP(C2563,Account_Master!A:A,Account_Master!C:C,"Not on master")</f>
        <v>0</v>
      </c>
      <c r="H2563" s="6">
        <v>128</v>
      </c>
      <c r="I2563" s="6">
        <v>128</v>
      </c>
      <c r="J2563" s="6">
        <f>I2563-H2563</f>
        <v>0</v>
      </c>
      <c r="K2563" s="5">
        <f>IF(H2563=0,"",J2563/H2563)</f>
        <v>0</v>
      </c>
      <c r="L2563">
        <f>IF(OR(AND(H2563=0,ABS(J2563)&gt;=0.01),AND(H2563&lt;&gt;0,ABS(K2563)&gt;VarianceThreshold)),"Review","OK")</f>
        <v>0</v>
      </c>
      <c r="M2563" t="s">
        <v>33</v>
      </c>
    </row>
    <row r="2564" spans="1:13">
      <c r="A2564" t="s">
        <v>4</v>
      </c>
      <c r="B2564" t="s">
        <v>97</v>
      </c>
      <c r="C2564" t="s">
        <v>2445</v>
      </c>
      <c r="D2564" t="s">
        <v>1825</v>
      </c>
      <c r="E2564" cm="1">
        <f t="array" ref="E2564">_xlfn.XLOOKUP(D2564,SKU_Master!A:A,SKU_Master!B:B,"Not on master")</f>
        <v>0</v>
      </c>
      <c r="F2564" cm="1">
        <f t="array" ref="F2564">_xlfn.XLOOKUP(C2564,Account_Master!A:A,Account_Master!B:B,"Not on master")</f>
        <v>0</v>
      </c>
      <c r="G2564" cm="1">
        <f t="array" ref="G2564">_xlfn.XLOOKUP(C2564,Account_Master!A:A,Account_Master!C:C,"Not on master")</f>
        <v>0</v>
      </c>
      <c r="H2564" s="6">
        <v>10.5</v>
      </c>
      <c r="I2564" s="6">
        <v>10.5</v>
      </c>
      <c r="J2564" s="6">
        <f>I2564-H2564</f>
        <v>0</v>
      </c>
      <c r="K2564" s="5">
        <f>IF(H2564=0,"",J2564/H2564)</f>
        <v>0</v>
      </c>
      <c r="L2564">
        <f>IF(OR(AND(H2564=0,ABS(J2564)&gt;=0.01),AND(H2564&lt;&gt;0,ABS(K2564)&gt;VarianceThreshold)),"Review","OK")</f>
        <v>0</v>
      </c>
      <c r="M2564" t="s">
        <v>33</v>
      </c>
    </row>
    <row r="2565" spans="1:13">
      <c r="A2565" t="s">
        <v>4</v>
      </c>
      <c r="B2565" t="s">
        <v>97</v>
      </c>
      <c r="C2565" t="s">
        <v>2446</v>
      </c>
      <c r="D2565" t="s">
        <v>250</v>
      </c>
      <c r="E2565" cm="1">
        <f t="array" ref="E2565">_xlfn.XLOOKUP(D2565,SKU_Master!A:A,SKU_Master!B:B,"Not on master")</f>
        <v>0</v>
      </c>
      <c r="F2565" cm="1">
        <f t="array" ref="F2565">_xlfn.XLOOKUP(C2565,Account_Master!A:A,Account_Master!B:B,"Not on master")</f>
        <v>0</v>
      </c>
      <c r="G2565" cm="1">
        <f t="array" ref="G2565">_xlfn.XLOOKUP(C2565,Account_Master!A:A,Account_Master!C:C,"Not on master")</f>
        <v>0</v>
      </c>
      <c r="H2565" s="6">
        <v>6</v>
      </c>
      <c r="I2565" s="6">
        <v>6</v>
      </c>
      <c r="J2565" s="6">
        <f>I2565-H2565</f>
        <v>0</v>
      </c>
      <c r="K2565" s="5">
        <f>IF(H2565=0,"",J2565/H2565)</f>
        <v>0</v>
      </c>
      <c r="L2565">
        <f>IF(OR(AND(H2565=0,ABS(J2565)&gt;=0.01),AND(H2565&lt;&gt;0,ABS(K2565)&gt;VarianceThreshold)),"Review","OK")</f>
        <v>0</v>
      </c>
      <c r="M2565" t="s">
        <v>33</v>
      </c>
    </row>
    <row r="2566" spans="1:13">
      <c r="A2566" t="s">
        <v>4</v>
      </c>
      <c r="B2566" t="s">
        <v>97</v>
      </c>
      <c r="C2566" t="s">
        <v>2447</v>
      </c>
      <c r="D2566" t="s">
        <v>425</v>
      </c>
      <c r="E2566" cm="1">
        <f t="array" ref="E2566">_xlfn.XLOOKUP(D2566,SKU_Master!A:A,SKU_Master!B:B,"Not on master")</f>
        <v>0</v>
      </c>
      <c r="F2566" cm="1">
        <f t="array" ref="F2566">_xlfn.XLOOKUP(C2566,Account_Master!A:A,Account_Master!B:B,"Not on master")</f>
        <v>0</v>
      </c>
      <c r="G2566" cm="1">
        <f t="array" ref="G2566">_xlfn.XLOOKUP(C2566,Account_Master!A:A,Account_Master!C:C,"Not on master")</f>
        <v>0</v>
      </c>
      <c r="H2566" s="6">
        <v>29.25</v>
      </c>
      <c r="I2566" s="6">
        <v>29.25</v>
      </c>
      <c r="J2566" s="6">
        <f>I2566-H2566</f>
        <v>0</v>
      </c>
      <c r="K2566" s="5">
        <f>IF(H2566=0,"",J2566/H2566)</f>
        <v>0</v>
      </c>
      <c r="L2566">
        <f>IF(OR(AND(H2566=0,ABS(J2566)&gt;=0.01),AND(H2566&lt;&gt;0,ABS(K2566)&gt;VarianceThreshold)),"Review","OK")</f>
        <v>0</v>
      </c>
      <c r="M2566" t="s">
        <v>33</v>
      </c>
    </row>
    <row r="2567" spans="1:13">
      <c r="A2567" t="s">
        <v>4</v>
      </c>
      <c r="B2567" t="s">
        <v>103</v>
      </c>
      <c r="C2567" t="s">
        <v>2448</v>
      </c>
      <c r="D2567" t="s">
        <v>747</v>
      </c>
      <c r="E2567" cm="1">
        <f t="array" ref="E2567">_xlfn.XLOOKUP(D2567,SKU_Master!A:A,SKU_Master!B:B,"Not on master")</f>
        <v>0</v>
      </c>
      <c r="F2567" cm="1">
        <f t="array" ref="F2567">_xlfn.XLOOKUP(C2567,Account_Master!A:A,Account_Master!B:B,"Not on master")</f>
        <v>0</v>
      </c>
      <c r="G2567" cm="1">
        <f t="array" ref="G2567">_xlfn.XLOOKUP(C2567,Account_Master!A:A,Account_Master!C:C,"Not on master")</f>
        <v>0</v>
      </c>
      <c r="H2567" s="6">
        <v>9</v>
      </c>
      <c r="I2567" s="6">
        <v>9</v>
      </c>
      <c r="J2567" s="6">
        <f>I2567-H2567</f>
        <v>0</v>
      </c>
      <c r="K2567" s="5">
        <f>IF(H2567=0,"",J2567/H2567)</f>
        <v>0</v>
      </c>
      <c r="L2567">
        <f>IF(OR(AND(H2567=0,ABS(J2567)&gt;=0.01),AND(H2567&lt;&gt;0,ABS(K2567)&gt;VarianceThreshold)),"Review","OK")</f>
        <v>0</v>
      </c>
      <c r="M2567" t="s">
        <v>33</v>
      </c>
    </row>
    <row r="2568" spans="1:13">
      <c r="A2568" t="s">
        <v>4</v>
      </c>
      <c r="B2568" t="s">
        <v>103</v>
      </c>
      <c r="C2568" t="s">
        <v>2443</v>
      </c>
      <c r="D2568" t="s">
        <v>762</v>
      </c>
      <c r="E2568" cm="1">
        <f t="array" ref="E2568">_xlfn.XLOOKUP(D2568,SKU_Master!A:A,SKU_Master!B:B,"Not on master")</f>
        <v>0</v>
      </c>
      <c r="F2568" cm="1">
        <f t="array" ref="F2568">_xlfn.XLOOKUP(C2568,Account_Master!A:A,Account_Master!B:B,"Not on master")</f>
        <v>0</v>
      </c>
      <c r="G2568" cm="1">
        <f t="array" ref="G2568">_xlfn.XLOOKUP(C2568,Account_Master!A:A,Account_Master!C:C,"Not on master")</f>
        <v>0</v>
      </c>
      <c r="H2568" s="6">
        <v>1.5</v>
      </c>
      <c r="I2568" s="6">
        <v>1.5</v>
      </c>
      <c r="J2568" s="6">
        <f>I2568-H2568</f>
        <v>0</v>
      </c>
      <c r="K2568" s="5">
        <f>IF(H2568=0,"",J2568/H2568)</f>
        <v>0</v>
      </c>
      <c r="L2568">
        <f>IF(OR(AND(H2568=0,ABS(J2568)&gt;=0.01),AND(H2568&lt;&gt;0,ABS(K2568)&gt;VarianceThreshold)),"Review","OK")</f>
        <v>0</v>
      </c>
      <c r="M2568" t="s">
        <v>33</v>
      </c>
    </row>
    <row r="2569" spans="1:13">
      <c r="A2569" t="s">
        <v>4</v>
      </c>
      <c r="B2569" t="s">
        <v>103</v>
      </c>
      <c r="C2569" t="s">
        <v>2432</v>
      </c>
      <c r="D2569" t="s">
        <v>772</v>
      </c>
      <c r="E2569" cm="1">
        <f t="array" ref="E2569">_xlfn.XLOOKUP(D2569,SKU_Master!A:A,SKU_Master!B:B,"Not on master")</f>
        <v>0</v>
      </c>
      <c r="F2569" cm="1">
        <f t="array" ref="F2569">_xlfn.XLOOKUP(C2569,Account_Master!A:A,Account_Master!B:B,"Not on master")</f>
        <v>0</v>
      </c>
      <c r="G2569" cm="1">
        <f t="array" ref="G2569">_xlfn.XLOOKUP(C2569,Account_Master!A:A,Account_Master!C:C,"Not on master")</f>
        <v>0</v>
      </c>
      <c r="H2569" s="6">
        <v>13.5</v>
      </c>
      <c r="I2569" s="6">
        <v>13.5</v>
      </c>
      <c r="J2569" s="6">
        <f>I2569-H2569</f>
        <v>0</v>
      </c>
      <c r="K2569" s="5">
        <f>IF(H2569=0,"",J2569/H2569)</f>
        <v>0</v>
      </c>
      <c r="L2569">
        <f>IF(OR(AND(H2569=0,ABS(J2569)&gt;=0.01),AND(H2569&lt;&gt;0,ABS(K2569)&gt;VarianceThreshold)),"Review","OK")</f>
        <v>0</v>
      </c>
      <c r="M2569" t="s">
        <v>33</v>
      </c>
    </row>
    <row r="2570" spans="1:13">
      <c r="A2570" t="s">
        <v>4</v>
      </c>
      <c r="B2570" t="s">
        <v>121</v>
      </c>
      <c r="C2570" t="s">
        <v>2449</v>
      </c>
      <c r="D2570" t="s">
        <v>2045</v>
      </c>
      <c r="E2570" cm="1">
        <f t="array" ref="E2570">_xlfn.XLOOKUP(D2570,SKU_Master!A:A,SKU_Master!B:B,"Not on master")</f>
        <v>0</v>
      </c>
      <c r="F2570" cm="1">
        <f t="array" ref="F2570">_xlfn.XLOOKUP(C2570,Account_Master!A:A,Account_Master!B:B,"Not on master")</f>
        <v>0</v>
      </c>
      <c r="G2570" cm="1">
        <f t="array" ref="G2570">_xlfn.XLOOKUP(C2570,Account_Master!A:A,Account_Master!C:C,"Not on master")</f>
        <v>0</v>
      </c>
      <c r="H2570" s="6">
        <v>27</v>
      </c>
      <c r="I2570" s="6">
        <v>27</v>
      </c>
      <c r="J2570" s="6">
        <f>I2570-H2570</f>
        <v>0</v>
      </c>
      <c r="K2570" s="5">
        <f>IF(H2570=0,"",J2570/H2570)</f>
        <v>0</v>
      </c>
      <c r="L2570">
        <f>IF(OR(AND(H2570=0,ABS(J2570)&gt;=0.01),AND(H2570&lt;&gt;0,ABS(K2570)&gt;VarianceThreshold)),"Review","OK")</f>
        <v>0</v>
      </c>
      <c r="M2570" t="s">
        <v>33</v>
      </c>
    </row>
    <row r="2571" spans="1:13">
      <c r="A2571" t="s">
        <v>4</v>
      </c>
      <c r="B2571" t="s">
        <v>134</v>
      </c>
      <c r="C2571" t="s">
        <v>2450</v>
      </c>
      <c r="D2571" t="s">
        <v>2451</v>
      </c>
      <c r="E2571" cm="1">
        <f t="array" ref="E2571">_xlfn.XLOOKUP(D2571,SKU_Master!A:A,SKU_Master!B:B,"Not on master")</f>
        <v>0</v>
      </c>
      <c r="F2571" cm="1">
        <f t="array" ref="F2571">_xlfn.XLOOKUP(C2571,Account_Master!A:A,Account_Master!B:B,"Not on master")</f>
        <v>0</v>
      </c>
      <c r="G2571" cm="1">
        <f t="array" ref="G2571">_xlfn.XLOOKUP(C2571,Account_Master!A:A,Account_Master!C:C,"Not on master")</f>
        <v>0</v>
      </c>
      <c r="H2571" s="6">
        <v>5.25</v>
      </c>
      <c r="I2571" s="6">
        <v>5.25</v>
      </c>
      <c r="J2571" s="6">
        <f>I2571-H2571</f>
        <v>0</v>
      </c>
      <c r="K2571" s="5">
        <f>IF(H2571=0,"",J2571/H2571)</f>
        <v>0</v>
      </c>
      <c r="L2571">
        <f>IF(OR(AND(H2571=0,ABS(J2571)&gt;=0.01),AND(H2571&lt;&gt;0,ABS(K2571)&gt;VarianceThreshold)),"Review","OK")</f>
        <v>0</v>
      </c>
      <c r="M2571" t="s">
        <v>33</v>
      </c>
    </row>
    <row r="2572" spans="1:13">
      <c r="A2572" t="s">
        <v>4</v>
      </c>
      <c r="B2572" t="s">
        <v>134</v>
      </c>
      <c r="C2572" t="s">
        <v>2436</v>
      </c>
      <c r="D2572" t="s">
        <v>792</v>
      </c>
      <c r="E2572" cm="1">
        <f t="array" ref="E2572">_xlfn.XLOOKUP(D2572,SKU_Master!A:A,SKU_Master!B:B,"Not on master")</f>
        <v>0</v>
      </c>
      <c r="F2572" cm="1">
        <f t="array" ref="F2572">_xlfn.XLOOKUP(C2572,Account_Master!A:A,Account_Master!B:B,"Not on master")</f>
        <v>0</v>
      </c>
      <c r="G2572" cm="1">
        <f t="array" ref="G2572">_xlfn.XLOOKUP(C2572,Account_Master!A:A,Account_Master!C:C,"Not on master")</f>
        <v>0</v>
      </c>
      <c r="H2572" s="6">
        <v>9</v>
      </c>
      <c r="I2572" s="6">
        <v>9</v>
      </c>
      <c r="J2572" s="6">
        <f>I2572-H2572</f>
        <v>0</v>
      </c>
      <c r="K2572" s="5">
        <f>IF(H2572=0,"",J2572/H2572)</f>
        <v>0</v>
      </c>
      <c r="L2572">
        <f>IF(OR(AND(H2572=0,ABS(J2572)&gt;=0.01),AND(H2572&lt;&gt;0,ABS(K2572)&gt;VarianceThreshold)),"Review","OK")</f>
        <v>0</v>
      </c>
      <c r="M2572" t="s">
        <v>33</v>
      </c>
    </row>
    <row r="2573" spans="1:13">
      <c r="A2573" t="s">
        <v>4</v>
      </c>
      <c r="B2573" t="s">
        <v>134</v>
      </c>
      <c r="C2573" t="s">
        <v>2452</v>
      </c>
      <c r="D2573" t="s">
        <v>1411</v>
      </c>
      <c r="E2573" cm="1">
        <f t="array" ref="E2573">_xlfn.XLOOKUP(D2573,SKU_Master!A:A,SKU_Master!B:B,"Not on master")</f>
        <v>0</v>
      </c>
      <c r="F2573" cm="1">
        <f t="array" ref="F2573">_xlfn.XLOOKUP(C2573,Account_Master!A:A,Account_Master!B:B,"Not on master")</f>
        <v>0</v>
      </c>
      <c r="G2573" cm="1">
        <f t="array" ref="G2573">_xlfn.XLOOKUP(C2573,Account_Master!A:A,Account_Master!C:C,"Not on master")</f>
        <v>0</v>
      </c>
      <c r="H2573" s="6">
        <v>12</v>
      </c>
      <c r="I2573" s="6">
        <v>12</v>
      </c>
      <c r="J2573" s="6">
        <f>I2573-H2573</f>
        <v>0</v>
      </c>
      <c r="K2573" s="5">
        <f>IF(H2573=0,"",J2573/H2573)</f>
        <v>0</v>
      </c>
      <c r="L2573">
        <f>IF(OR(AND(H2573=0,ABS(J2573)&gt;=0.01),AND(H2573&lt;&gt;0,ABS(K2573)&gt;VarianceThreshold)),"Review","OK")</f>
        <v>0</v>
      </c>
      <c r="M2573" t="s">
        <v>33</v>
      </c>
    </row>
    <row r="2574" spans="1:13">
      <c r="A2574" t="s">
        <v>4</v>
      </c>
      <c r="B2574" t="s">
        <v>134</v>
      </c>
      <c r="C2574" t="s">
        <v>2418</v>
      </c>
      <c r="D2574" t="s">
        <v>1398</v>
      </c>
      <c r="E2574" cm="1">
        <f t="array" ref="E2574">_xlfn.XLOOKUP(D2574,SKU_Master!A:A,SKU_Master!B:B,"Not on master")</f>
        <v>0</v>
      </c>
      <c r="F2574" cm="1">
        <f t="array" ref="F2574">_xlfn.XLOOKUP(C2574,Account_Master!A:A,Account_Master!B:B,"Not on master")</f>
        <v>0</v>
      </c>
      <c r="G2574" cm="1">
        <f t="array" ref="G2574">_xlfn.XLOOKUP(C2574,Account_Master!A:A,Account_Master!C:C,"Not on master")</f>
        <v>0</v>
      </c>
      <c r="H2574" s="6">
        <v>12</v>
      </c>
      <c r="I2574" s="6">
        <v>12</v>
      </c>
      <c r="J2574" s="6">
        <f>I2574-H2574</f>
        <v>0</v>
      </c>
      <c r="K2574" s="5">
        <f>IF(H2574=0,"",J2574/H2574)</f>
        <v>0</v>
      </c>
      <c r="L2574">
        <f>IF(OR(AND(H2574=0,ABS(J2574)&gt;=0.01),AND(H2574&lt;&gt;0,ABS(K2574)&gt;VarianceThreshold)),"Review","OK")</f>
        <v>0</v>
      </c>
      <c r="M2574" t="s">
        <v>33</v>
      </c>
    </row>
    <row r="2575" spans="1:13">
      <c r="A2575" t="s">
        <v>4</v>
      </c>
      <c r="B2575" t="s">
        <v>134</v>
      </c>
      <c r="C2575" t="s">
        <v>2453</v>
      </c>
      <c r="D2575" t="s">
        <v>2160</v>
      </c>
      <c r="E2575" cm="1">
        <f t="array" ref="E2575">_xlfn.XLOOKUP(D2575,SKU_Master!A:A,SKU_Master!B:B,"Not on master")</f>
        <v>0</v>
      </c>
      <c r="F2575" cm="1">
        <f t="array" ref="F2575">_xlfn.XLOOKUP(C2575,Account_Master!A:A,Account_Master!B:B,"Not on master")</f>
        <v>0</v>
      </c>
      <c r="G2575" cm="1">
        <f t="array" ref="G2575">_xlfn.XLOOKUP(C2575,Account_Master!A:A,Account_Master!C:C,"Not on master")</f>
        <v>0</v>
      </c>
      <c r="H2575" s="6">
        <v>25</v>
      </c>
      <c r="I2575" s="6">
        <v>25</v>
      </c>
      <c r="J2575" s="6">
        <f>I2575-H2575</f>
        <v>0</v>
      </c>
      <c r="K2575" s="5">
        <f>IF(H2575=0,"",J2575/H2575)</f>
        <v>0</v>
      </c>
      <c r="L2575">
        <f>IF(OR(AND(H2575=0,ABS(J2575)&gt;=0.01),AND(H2575&lt;&gt;0,ABS(K2575)&gt;VarianceThreshold)),"Review","OK")</f>
        <v>0</v>
      </c>
      <c r="M2575" t="s">
        <v>33</v>
      </c>
    </row>
    <row r="2576" spans="1:13">
      <c r="A2576" t="s">
        <v>4</v>
      </c>
      <c r="B2576" t="s">
        <v>134</v>
      </c>
      <c r="C2576" t="s">
        <v>2416</v>
      </c>
      <c r="D2576" t="s">
        <v>2454</v>
      </c>
      <c r="E2576" cm="1">
        <f t="array" ref="E2576">_xlfn.XLOOKUP(D2576,SKU_Master!A:A,SKU_Master!B:B,"Not on master")</f>
        <v>0</v>
      </c>
      <c r="F2576" cm="1">
        <f t="array" ref="F2576">_xlfn.XLOOKUP(C2576,Account_Master!A:A,Account_Master!B:B,"Not on master")</f>
        <v>0</v>
      </c>
      <c r="G2576" cm="1">
        <f t="array" ref="G2576">_xlfn.XLOOKUP(C2576,Account_Master!A:A,Account_Master!C:C,"Not on master")</f>
        <v>0</v>
      </c>
      <c r="H2576" s="6">
        <v>2.25</v>
      </c>
      <c r="I2576" s="6">
        <v>2.25</v>
      </c>
      <c r="J2576" s="6">
        <f>I2576-H2576</f>
        <v>0</v>
      </c>
      <c r="K2576" s="5">
        <f>IF(H2576=0,"",J2576/H2576)</f>
        <v>0</v>
      </c>
      <c r="L2576">
        <f>IF(OR(AND(H2576=0,ABS(J2576)&gt;=0.01),AND(H2576&lt;&gt;0,ABS(K2576)&gt;VarianceThreshold)),"Review","OK")</f>
        <v>0</v>
      </c>
      <c r="M2576" t="s">
        <v>33</v>
      </c>
    </row>
    <row r="2577" spans="1:13">
      <c r="A2577" t="s">
        <v>4</v>
      </c>
      <c r="B2577" t="s">
        <v>134</v>
      </c>
      <c r="C2577" t="s">
        <v>2455</v>
      </c>
      <c r="D2577" t="s">
        <v>2456</v>
      </c>
      <c r="E2577" cm="1">
        <f t="array" ref="E2577">_xlfn.XLOOKUP(D2577,SKU_Master!A:A,SKU_Master!B:B,"Not on master")</f>
        <v>0</v>
      </c>
      <c r="F2577" cm="1">
        <f t="array" ref="F2577">_xlfn.XLOOKUP(C2577,Account_Master!A:A,Account_Master!B:B,"Not on master")</f>
        <v>0</v>
      </c>
      <c r="G2577" cm="1">
        <f t="array" ref="G2577">_xlfn.XLOOKUP(C2577,Account_Master!A:A,Account_Master!C:C,"Not on master")</f>
        <v>0</v>
      </c>
      <c r="H2577" s="6">
        <v>0.05</v>
      </c>
      <c r="I2577" s="6">
        <v>0.05</v>
      </c>
      <c r="J2577" s="6">
        <f>I2577-H2577</f>
        <v>0</v>
      </c>
      <c r="K2577" s="5">
        <f>IF(H2577=0,"",J2577/H2577)</f>
        <v>0</v>
      </c>
      <c r="L2577">
        <f>IF(OR(AND(H2577=0,ABS(J2577)&gt;=0.01),AND(H2577&lt;&gt;0,ABS(K2577)&gt;VarianceThreshold)),"Review","OK")</f>
        <v>0</v>
      </c>
      <c r="M2577" t="s">
        <v>33</v>
      </c>
    </row>
    <row r="2578" spans="1:13">
      <c r="A2578" t="s">
        <v>4</v>
      </c>
      <c r="B2578" t="s">
        <v>134</v>
      </c>
      <c r="C2578" t="s">
        <v>2457</v>
      </c>
      <c r="D2578" t="s">
        <v>2458</v>
      </c>
      <c r="E2578" cm="1">
        <f t="array" ref="E2578">_xlfn.XLOOKUP(D2578,SKU_Master!A:A,SKU_Master!B:B,"Not on master")</f>
        <v>0</v>
      </c>
      <c r="F2578" cm="1">
        <f t="array" ref="F2578">_xlfn.XLOOKUP(C2578,Account_Master!A:A,Account_Master!B:B,"Not on master")</f>
        <v>0</v>
      </c>
      <c r="G2578" cm="1">
        <f t="array" ref="G2578">_xlfn.XLOOKUP(C2578,Account_Master!A:A,Account_Master!C:C,"Not on master")</f>
        <v>0</v>
      </c>
      <c r="H2578" s="6">
        <v>48</v>
      </c>
      <c r="I2578" s="6">
        <v>48</v>
      </c>
      <c r="J2578" s="6">
        <f>I2578-H2578</f>
        <v>0</v>
      </c>
      <c r="K2578" s="5">
        <f>IF(H2578=0,"",J2578/H2578)</f>
        <v>0</v>
      </c>
      <c r="L2578">
        <f>IF(OR(AND(H2578=0,ABS(J2578)&gt;=0.01),AND(H2578&lt;&gt;0,ABS(K2578)&gt;VarianceThreshold)),"Review","OK")</f>
        <v>0</v>
      </c>
      <c r="M2578" t="s">
        <v>33</v>
      </c>
    </row>
    <row r="2579" spans="1:13">
      <c r="A2579" t="s">
        <v>4</v>
      </c>
      <c r="B2579" t="s">
        <v>143</v>
      </c>
      <c r="C2579" t="s">
        <v>2453</v>
      </c>
      <c r="D2579" t="s">
        <v>66</v>
      </c>
      <c r="E2579" cm="1">
        <f t="array" ref="E2579">_xlfn.XLOOKUP(D2579,SKU_Master!A:A,SKU_Master!B:B,"Not on master")</f>
        <v>0</v>
      </c>
      <c r="F2579" cm="1">
        <f t="array" ref="F2579">_xlfn.XLOOKUP(C2579,Account_Master!A:A,Account_Master!B:B,"Not on master")</f>
        <v>0</v>
      </c>
      <c r="G2579" cm="1">
        <f t="array" ref="G2579">_xlfn.XLOOKUP(C2579,Account_Master!A:A,Account_Master!C:C,"Not on master")</f>
        <v>0</v>
      </c>
      <c r="H2579" s="6">
        <v>48</v>
      </c>
      <c r="I2579" s="6">
        <v>48</v>
      </c>
      <c r="J2579" s="6">
        <f>I2579-H2579</f>
        <v>0</v>
      </c>
      <c r="K2579" s="5">
        <f>IF(H2579=0,"",J2579/H2579)</f>
        <v>0</v>
      </c>
      <c r="L2579">
        <f>IF(OR(AND(H2579=0,ABS(J2579)&gt;=0.01),AND(H2579&lt;&gt;0,ABS(K2579)&gt;VarianceThreshold)),"Review","OK")</f>
        <v>0</v>
      </c>
      <c r="M2579" t="s">
        <v>33</v>
      </c>
    </row>
    <row r="2580" spans="1:13">
      <c r="A2580" t="s">
        <v>4</v>
      </c>
      <c r="B2580" t="s">
        <v>143</v>
      </c>
      <c r="C2580" t="s">
        <v>2457</v>
      </c>
      <c r="D2580" t="s">
        <v>2459</v>
      </c>
      <c r="E2580" cm="1">
        <f t="array" ref="E2580">_xlfn.XLOOKUP(D2580,SKU_Master!A:A,SKU_Master!B:B,"Not on master")</f>
        <v>0</v>
      </c>
      <c r="F2580" cm="1">
        <f t="array" ref="F2580">_xlfn.XLOOKUP(C2580,Account_Master!A:A,Account_Master!B:B,"Not on master")</f>
        <v>0</v>
      </c>
      <c r="G2580" cm="1">
        <f t="array" ref="G2580">_xlfn.XLOOKUP(C2580,Account_Master!A:A,Account_Master!C:C,"Not on master")</f>
        <v>0</v>
      </c>
      <c r="H2580" s="6">
        <v>4.5</v>
      </c>
      <c r="I2580" s="6">
        <v>4.5</v>
      </c>
      <c r="J2580" s="6">
        <f>I2580-H2580</f>
        <v>0</v>
      </c>
      <c r="K2580" s="5">
        <f>IF(H2580=0,"",J2580/H2580)</f>
        <v>0</v>
      </c>
      <c r="L2580">
        <f>IF(OR(AND(H2580=0,ABS(J2580)&gt;=0.01),AND(H2580&lt;&gt;0,ABS(K2580)&gt;VarianceThreshold)),"Review","OK")</f>
        <v>0</v>
      </c>
      <c r="M2580" t="s">
        <v>33</v>
      </c>
    </row>
    <row r="2581" spans="1:13">
      <c r="A2581" t="s">
        <v>4</v>
      </c>
      <c r="B2581" t="s">
        <v>154</v>
      </c>
      <c r="C2581" t="s">
        <v>2428</v>
      </c>
      <c r="D2581" t="s">
        <v>2460</v>
      </c>
      <c r="E2581" cm="1">
        <f t="array" ref="E2581">_xlfn.XLOOKUP(D2581,SKU_Master!A:A,SKU_Master!B:B,"Not on master")</f>
        <v>0</v>
      </c>
      <c r="F2581" cm="1">
        <f t="array" ref="F2581">_xlfn.XLOOKUP(C2581,Account_Master!A:A,Account_Master!B:B,"Not on master")</f>
        <v>0</v>
      </c>
      <c r="G2581" cm="1">
        <f t="array" ref="G2581">_xlfn.XLOOKUP(C2581,Account_Master!A:A,Account_Master!C:C,"Not on master")</f>
        <v>0</v>
      </c>
      <c r="H2581" s="6">
        <v>28</v>
      </c>
      <c r="I2581" s="6">
        <v>28</v>
      </c>
      <c r="J2581" s="6">
        <f>I2581-H2581</f>
        <v>0</v>
      </c>
      <c r="K2581" s="5">
        <f>IF(H2581=0,"",J2581/H2581)</f>
        <v>0</v>
      </c>
      <c r="L2581">
        <f>IF(OR(AND(H2581=0,ABS(J2581)&gt;=0.01),AND(H2581&lt;&gt;0,ABS(K2581)&gt;VarianceThreshold)),"Review","OK")</f>
        <v>0</v>
      </c>
      <c r="M2581" t="s">
        <v>33</v>
      </c>
    </row>
    <row r="2582" spans="1:13">
      <c r="A2582" t="s">
        <v>4</v>
      </c>
      <c r="B2582" t="s">
        <v>154</v>
      </c>
      <c r="C2582" t="s">
        <v>2418</v>
      </c>
      <c r="D2582" t="s">
        <v>2461</v>
      </c>
      <c r="E2582" cm="1">
        <f t="array" ref="E2582">_xlfn.XLOOKUP(D2582,SKU_Master!A:A,SKU_Master!B:B,"Not on master")</f>
        <v>0</v>
      </c>
      <c r="F2582" cm="1">
        <f t="array" ref="F2582">_xlfn.XLOOKUP(C2582,Account_Master!A:A,Account_Master!B:B,"Not on master")</f>
        <v>0</v>
      </c>
      <c r="G2582" cm="1">
        <f t="array" ref="G2582">_xlfn.XLOOKUP(C2582,Account_Master!A:A,Account_Master!C:C,"Not on master")</f>
        <v>0</v>
      </c>
      <c r="H2582" s="6">
        <v>12</v>
      </c>
      <c r="I2582" s="6">
        <v>12</v>
      </c>
      <c r="J2582" s="6">
        <f>I2582-H2582</f>
        <v>0</v>
      </c>
      <c r="K2582" s="5">
        <f>IF(H2582=0,"",J2582/H2582)</f>
        <v>0</v>
      </c>
      <c r="L2582">
        <f>IF(OR(AND(H2582=0,ABS(J2582)&gt;=0.01),AND(H2582&lt;&gt;0,ABS(K2582)&gt;VarianceThreshold)),"Review","OK")</f>
        <v>0</v>
      </c>
      <c r="M2582" t="s">
        <v>33</v>
      </c>
    </row>
    <row r="2583" spans="1:13">
      <c r="A2583" t="s">
        <v>4</v>
      </c>
      <c r="B2583" t="s">
        <v>154</v>
      </c>
      <c r="C2583" t="s">
        <v>2434</v>
      </c>
      <c r="D2583" t="s">
        <v>575</v>
      </c>
      <c r="E2583" cm="1">
        <f t="array" ref="E2583">_xlfn.XLOOKUP(D2583,SKU_Master!A:A,SKU_Master!B:B,"Not on master")</f>
        <v>0</v>
      </c>
      <c r="F2583" cm="1">
        <f t="array" ref="F2583">_xlfn.XLOOKUP(C2583,Account_Master!A:A,Account_Master!B:B,"Not on master")</f>
        <v>0</v>
      </c>
      <c r="G2583" cm="1">
        <f t="array" ref="G2583">_xlfn.XLOOKUP(C2583,Account_Master!A:A,Account_Master!C:C,"Not on master")</f>
        <v>0</v>
      </c>
      <c r="H2583" s="6">
        <v>27</v>
      </c>
      <c r="I2583" s="6">
        <v>27</v>
      </c>
      <c r="J2583" s="6">
        <f>I2583-H2583</f>
        <v>0</v>
      </c>
      <c r="K2583" s="5">
        <f>IF(H2583=0,"",J2583/H2583)</f>
        <v>0</v>
      </c>
      <c r="L2583">
        <f>IF(OR(AND(H2583=0,ABS(J2583)&gt;=0.01),AND(H2583&lt;&gt;0,ABS(K2583)&gt;VarianceThreshold)),"Review","OK")</f>
        <v>0</v>
      </c>
      <c r="M2583" t="s">
        <v>33</v>
      </c>
    </row>
    <row r="2584" spans="1:13">
      <c r="A2584" t="s">
        <v>4</v>
      </c>
      <c r="B2584" t="s">
        <v>154</v>
      </c>
      <c r="C2584" t="s">
        <v>2462</v>
      </c>
      <c r="D2584" t="s">
        <v>2463</v>
      </c>
      <c r="E2584" cm="1">
        <f t="array" ref="E2584">_xlfn.XLOOKUP(D2584,SKU_Master!A:A,SKU_Master!B:B,"Not on master")</f>
        <v>0</v>
      </c>
      <c r="F2584" cm="1">
        <f t="array" ref="F2584">_xlfn.XLOOKUP(C2584,Account_Master!A:A,Account_Master!B:B,"Not on master")</f>
        <v>0</v>
      </c>
      <c r="G2584" cm="1">
        <f t="array" ref="G2584">_xlfn.XLOOKUP(C2584,Account_Master!A:A,Account_Master!C:C,"Not on master")</f>
        <v>0</v>
      </c>
      <c r="H2584" s="6">
        <v>4</v>
      </c>
      <c r="I2584" s="6">
        <v>4</v>
      </c>
      <c r="J2584" s="6">
        <f>I2584-H2584</f>
        <v>0</v>
      </c>
      <c r="K2584" s="5">
        <f>IF(H2584=0,"",J2584/H2584)</f>
        <v>0</v>
      </c>
      <c r="L2584">
        <f>IF(OR(AND(H2584=0,ABS(J2584)&gt;=0.01),AND(H2584&lt;&gt;0,ABS(K2584)&gt;VarianceThreshold)),"Review","OK")</f>
        <v>0</v>
      </c>
      <c r="M2584" t="s">
        <v>33</v>
      </c>
    </row>
    <row r="2585" spans="1:13">
      <c r="A2585" t="s">
        <v>4</v>
      </c>
      <c r="B2585" t="s">
        <v>154</v>
      </c>
      <c r="C2585" t="s">
        <v>2443</v>
      </c>
      <c r="D2585" t="s">
        <v>1273</v>
      </c>
      <c r="E2585" cm="1">
        <f t="array" ref="E2585">_xlfn.XLOOKUP(D2585,SKU_Master!A:A,SKU_Master!B:B,"Not on master")</f>
        <v>0</v>
      </c>
      <c r="F2585" cm="1">
        <f t="array" ref="F2585">_xlfn.XLOOKUP(C2585,Account_Master!A:A,Account_Master!B:B,"Not on master")</f>
        <v>0</v>
      </c>
      <c r="G2585" cm="1">
        <f t="array" ref="G2585">_xlfn.XLOOKUP(C2585,Account_Master!A:A,Account_Master!C:C,"Not on master")</f>
        <v>0</v>
      </c>
      <c r="H2585" s="6">
        <v>5.25</v>
      </c>
      <c r="I2585" s="6">
        <v>5.25</v>
      </c>
      <c r="J2585" s="6">
        <f>I2585-H2585</f>
        <v>0</v>
      </c>
      <c r="K2585" s="5">
        <f>IF(H2585=0,"",J2585/H2585)</f>
        <v>0</v>
      </c>
      <c r="L2585">
        <f>IF(OR(AND(H2585=0,ABS(J2585)&gt;=0.01),AND(H2585&lt;&gt;0,ABS(K2585)&gt;VarianceThreshold)),"Review","OK")</f>
        <v>0</v>
      </c>
      <c r="M2585" t="s">
        <v>33</v>
      </c>
    </row>
    <row r="2586" spans="1:13">
      <c r="A2586" t="s">
        <v>4</v>
      </c>
      <c r="B2586" t="s">
        <v>154</v>
      </c>
      <c r="C2586" t="s">
        <v>2418</v>
      </c>
      <c r="D2586" t="s">
        <v>2464</v>
      </c>
      <c r="E2586" cm="1">
        <f t="array" ref="E2586">_xlfn.XLOOKUP(D2586,SKU_Master!A:A,SKU_Master!B:B,"Not on master")</f>
        <v>0</v>
      </c>
      <c r="F2586" cm="1">
        <f t="array" ref="F2586">_xlfn.XLOOKUP(C2586,Account_Master!A:A,Account_Master!B:B,"Not on master")</f>
        <v>0</v>
      </c>
      <c r="G2586" cm="1">
        <f t="array" ref="G2586">_xlfn.XLOOKUP(C2586,Account_Master!A:A,Account_Master!C:C,"Not on master")</f>
        <v>0</v>
      </c>
      <c r="H2586" s="6">
        <v>4.5</v>
      </c>
      <c r="I2586" s="6">
        <v>4.5</v>
      </c>
      <c r="J2586" s="6">
        <f>I2586-H2586</f>
        <v>0</v>
      </c>
      <c r="K2586" s="5">
        <f>IF(H2586=0,"",J2586/H2586)</f>
        <v>0</v>
      </c>
      <c r="L2586">
        <f>IF(OR(AND(H2586=0,ABS(J2586)&gt;=0.01),AND(H2586&lt;&gt;0,ABS(K2586)&gt;VarianceThreshold)),"Review","OK")</f>
        <v>0</v>
      </c>
      <c r="M2586" t="s">
        <v>33</v>
      </c>
    </row>
    <row r="2587" spans="1:13">
      <c r="A2587" t="s">
        <v>4</v>
      </c>
      <c r="B2587" t="s">
        <v>154</v>
      </c>
      <c r="C2587" t="s">
        <v>2432</v>
      </c>
      <c r="D2587" t="s">
        <v>2465</v>
      </c>
      <c r="E2587" cm="1">
        <f t="array" ref="E2587">_xlfn.XLOOKUP(D2587,SKU_Master!A:A,SKU_Master!B:B,"Not on master")</f>
        <v>0</v>
      </c>
      <c r="F2587" cm="1">
        <f t="array" ref="F2587">_xlfn.XLOOKUP(C2587,Account_Master!A:A,Account_Master!B:B,"Not on master")</f>
        <v>0</v>
      </c>
      <c r="G2587" cm="1">
        <f t="array" ref="G2587">_xlfn.XLOOKUP(C2587,Account_Master!A:A,Account_Master!C:C,"Not on master")</f>
        <v>0</v>
      </c>
      <c r="H2587" s="6">
        <v>1.5</v>
      </c>
      <c r="I2587" s="6">
        <v>1.5</v>
      </c>
      <c r="J2587" s="6">
        <f>I2587-H2587</f>
        <v>0</v>
      </c>
      <c r="K2587" s="5">
        <f>IF(H2587=0,"",J2587/H2587)</f>
        <v>0</v>
      </c>
      <c r="L2587">
        <f>IF(OR(AND(H2587=0,ABS(J2587)&gt;=0.01),AND(H2587&lt;&gt;0,ABS(K2587)&gt;VarianceThreshold)),"Review","OK")</f>
        <v>0</v>
      </c>
      <c r="M2587" t="s">
        <v>33</v>
      </c>
    </row>
    <row r="2588" spans="1:13">
      <c r="A2588" t="s">
        <v>4</v>
      </c>
      <c r="B2588" t="s">
        <v>154</v>
      </c>
      <c r="C2588" t="s">
        <v>2455</v>
      </c>
      <c r="D2588" t="s">
        <v>2466</v>
      </c>
      <c r="E2588" cm="1">
        <f t="array" ref="E2588">_xlfn.XLOOKUP(D2588,SKU_Master!A:A,SKU_Master!B:B,"Not on master")</f>
        <v>0</v>
      </c>
      <c r="F2588" cm="1">
        <f t="array" ref="F2588">_xlfn.XLOOKUP(C2588,Account_Master!A:A,Account_Master!B:B,"Not on master")</f>
        <v>0</v>
      </c>
      <c r="G2588" cm="1">
        <f t="array" ref="G2588">_xlfn.XLOOKUP(C2588,Account_Master!A:A,Account_Master!C:C,"Not on master")</f>
        <v>0</v>
      </c>
      <c r="H2588" s="6">
        <v>2.7</v>
      </c>
      <c r="I2588" s="6">
        <v>2.7</v>
      </c>
      <c r="J2588" s="6">
        <f>I2588-H2588</f>
        <v>0</v>
      </c>
      <c r="K2588" s="5">
        <f>IF(H2588=0,"",J2588/H2588)</f>
        <v>0</v>
      </c>
      <c r="L2588">
        <f>IF(OR(AND(H2588=0,ABS(J2588)&gt;=0.01),AND(H2588&lt;&gt;0,ABS(K2588)&gt;VarianceThreshold)),"Review","OK")</f>
        <v>0</v>
      </c>
      <c r="M2588" t="s">
        <v>33</v>
      </c>
    </row>
    <row r="2589" spans="1:13">
      <c r="A2589" t="s">
        <v>4</v>
      </c>
      <c r="B2589" t="s">
        <v>154</v>
      </c>
      <c r="C2589" t="s">
        <v>2467</v>
      </c>
      <c r="D2589" t="s">
        <v>70</v>
      </c>
      <c r="E2589" cm="1">
        <f t="array" ref="E2589">_xlfn.XLOOKUP(D2589,SKU_Master!A:A,SKU_Master!B:B,"Not on master")</f>
        <v>0</v>
      </c>
      <c r="F2589" cm="1">
        <f t="array" ref="F2589">_xlfn.XLOOKUP(C2589,Account_Master!A:A,Account_Master!B:B,"Not on master")</f>
        <v>0</v>
      </c>
      <c r="G2589" cm="1">
        <f t="array" ref="G2589">_xlfn.XLOOKUP(C2589,Account_Master!A:A,Account_Master!C:C,"Not on master")</f>
        <v>0</v>
      </c>
      <c r="H2589" s="6">
        <v>0.1</v>
      </c>
      <c r="I2589" s="6">
        <v>0.1</v>
      </c>
      <c r="J2589" s="6">
        <f>I2589-H2589</f>
        <v>0</v>
      </c>
      <c r="K2589" s="5">
        <f>IF(H2589=0,"",J2589/H2589)</f>
        <v>0</v>
      </c>
      <c r="L2589">
        <f>IF(OR(AND(H2589=0,ABS(J2589)&gt;=0.01),AND(H2589&lt;&gt;0,ABS(K2589)&gt;VarianceThreshold)),"Review","OK")</f>
        <v>0</v>
      </c>
      <c r="M2589" t="s">
        <v>33</v>
      </c>
    </row>
    <row r="2590" spans="1:13">
      <c r="A2590" t="s">
        <v>4</v>
      </c>
      <c r="B2590" t="s">
        <v>160</v>
      </c>
      <c r="C2590" t="s">
        <v>2468</v>
      </c>
      <c r="D2590" t="s">
        <v>2469</v>
      </c>
      <c r="E2590" cm="1">
        <f t="array" ref="E2590">_xlfn.XLOOKUP(D2590,SKU_Master!A:A,SKU_Master!B:B,"Not on master")</f>
        <v>0</v>
      </c>
      <c r="F2590" cm="1">
        <f t="array" ref="F2590">_xlfn.XLOOKUP(C2590,Account_Master!A:A,Account_Master!B:B,"Not on master")</f>
        <v>0</v>
      </c>
      <c r="G2590" cm="1">
        <f t="array" ref="G2590">_xlfn.XLOOKUP(C2590,Account_Master!A:A,Account_Master!C:C,"Not on master")</f>
        <v>0</v>
      </c>
      <c r="H2590" s="6">
        <v>10.5</v>
      </c>
      <c r="I2590" s="6">
        <v>10.5</v>
      </c>
      <c r="J2590" s="6">
        <f>I2590-H2590</f>
        <v>0</v>
      </c>
      <c r="K2590" s="5">
        <f>IF(H2590=0,"",J2590/H2590)</f>
        <v>0</v>
      </c>
      <c r="L2590">
        <f>IF(OR(AND(H2590=0,ABS(J2590)&gt;=0.01),AND(H2590&lt;&gt;0,ABS(K2590)&gt;VarianceThreshold)),"Review","OK")</f>
        <v>0</v>
      </c>
      <c r="M2590" t="s">
        <v>33</v>
      </c>
    </row>
    <row r="2591" spans="1:13">
      <c r="A2591" t="s">
        <v>4</v>
      </c>
      <c r="B2591" t="s">
        <v>160</v>
      </c>
      <c r="C2591" t="s">
        <v>2470</v>
      </c>
      <c r="D2591" t="s">
        <v>1131</v>
      </c>
      <c r="E2591" cm="1">
        <f t="array" ref="E2591">_xlfn.XLOOKUP(D2591,SKU_Master!A:A,SKU_Master!B:B,"Not on master")</f>
        <v>0</v>
      </c>
      <c r="F2591" cm="1">
        <f t="array" ref="F2591">_xlfn.XLOOKUP(C2591,Account_Master!A:A,Account_Master!B:B,"Not on master")</f>
        <v>0</v>
      </c>
      <c r="G2591" cm="1">
        <f t="array" ref="G2591">_xlfn.XLOOKUP(C2591,Account_Master!A:A,Account_Master!C:C,"Not on master")</f>
        <v>0</v>
      </c>
      <c r="H2591" s="6">
        <v>13.5</v>
      </c>
      <c r="I2591" s="6">
        <v>13.5</v>
      </c>
      <c r="J2591" s="6">
        <f>I2591-H2591</f>
        <v>0</v>
      </c>
      <c r="K2591" s="5">
        <f>IF(H2591=0,"",J2591/H2591)</f>
        <v>0</v>
      </c>
      <c r="L2591">
        <f>IF(OR(AND(H2591=0,ABS(J2591)&gt;=0.01),AND(H2591&lt;&gt;0,ABS(K2591)&gt;VarianceThreshold)),"Review","OK")</f>
        <v>0</v>
      </c>
      <c r="M2591" t="s">
        <v>33</v>
      </c>
    </row>
    <row r="2592" spans="1:13">
      <c r="A2592" t="s">
        <v>4</v>
      </c>
      <c r="B2592" t="s">
        <v>160</v>
      </c>
      <c r="C2592" t="s">
        <v>2412</v>
      </c>
      <c r="D2592" t="s">
        <v>270</v>
      </c>
      <c r="E2592" cm="1">
        <f t="array" ref="E2592">_xlfn.XLOOKUP(D2592,SKU_Master!A:A,SKU_Master!B:B,"Not on master")</f>
        <v>0</v>
      </c>
      <c r="F2592" cm="1">
        <f t="array" ref="F2592">_xlfn.XLOOKUP(C2592,Account_Master!A:A,Account_Master!B:B,"Not on master")</f>
        <v>0</v>
      </c>
      <c r="G2592" cm="1">
        <f t="array" ref="G2592">_xlfn.XLOOKUP(C2592,Account_Master!A:A,Account_Master!C:C,"Not on master")</f>
        <v>0</v>
      </c>
      <c r="H2592" s="6">
        <v>1.5</v>
      </c>
      <c r="I2592" s="6">
        <v>1.5</v>
      </c>
      <c r="J2592" s="6">
        <f>I2592-H2592</f>
        <v>0</v>
      </c>
      <c r="K2592" s="5">
        <f>IF(H2592=0,"",J2592/H2592)</f>
        <v>0</v>
      </c>
      <c r="L2592">
        <f>IF(OR(AND(H2592=0,ABS(J2592)&gt;=0.01),AND(H2592&lt;&gt;0,ABS(K2592)&gt;VarianceThreshold)),"Review","OK")</f>
        <v>0</v>
      </c>
      <c r="M2592" t="s">
        <v>33</v>
      </c>
    </row>
    <row r="2593" spans="1:13">
      <c r="A2593" t="s">
        <v>4</v>
      </c>
      <c r="B2593" t="s">
        <v>160</v>
      </c>
      <c r="C2593" t="s">
        <v>2432</v>
      </c>
      <c r="D2593" t="s">
        <v>2471</v>
      </c>
      <c r="E2593" cm="1">
        <f t="array" ref="E2593">_xlfn.XLOOKUP(D2593,SKU_Master!A:A,SKU_Master!B:B,"Not on master")</f>
        <v>0</v>
      </c>
      <c r="F2593" cm="1">
        <f t="array" ref="F2593">_xlfn.XLOOKUP(C2593,Account_Master!A:A,Account_Master!B:B,"Not on master")</f>
        <v>0</v>
      </c>
      <c r="G2593" cm="1">
        <f t="array" ref="G2593">_xlfn.XLOOKUP(C2593,Account_Master!A:A,Account_Master!C:C,"Not on master")</f>
        <v>0</v>
      </c>
      <c r="H2593" s="6">
        <v>4.5</v>
      </c>
      <c r="I2593" s="6">
        <v>4.5</v>
      </c>
      <c r="J2593" s="6">
        <f>I2593-H2593</f>
        <v>0</v>
      </c>
      <c r="K2593" s="5">
        <f>IF(H2593=0,"",J2593/H2593)</f>
        <v>0</v>
      </c>
      <c r="L2593">
        <f>IF(OR(AND(H2593=0,ABS(J2593)&gt;=0.01),AND(H2593&lt;&gt;0,ABS(K2593)&gt;VarianceThreshold)),"Review","OK")</f>
        <v>0</v>
      </c>
      <c r="M2593" t="s">
        <v>33</v>
      </c>
    </row>
    <row r="2594" spans="1:13">
      <c r="A2594" t="s">
        <v>4</v>
      </c>
      <c r="B2594" t="s">
        <v>160</v>
      </c>
      <c r="C2594" t="s">
        <v>2441</v>
      </c>
      <c r="D2594" t="s">
        <v>2069</v>
      </c>
      <c r="E2594" cm="1">
        <f t="array" ref="E2594">_xlfn.XLOOKUP(D2594,SKU_Master!A:A,SKU_Master!B:B,"Not on master")</f>
        <v>0</v>
      </c>
      <c r="F2594" cm="1">
        <f t="array" ref="F2594">_xlfn.XLOOKUP(C2594,Account_Master!A:A,Account_Master!B:B,"Not on master")</f>
        <v>0</v>
      </c>
      <c r="G2594" cm="1">
        <f t="array" ref="G2594">_xlfn.XLOOKUP(C2594,Account_Master!A:A,Account_Master!C:C,"Not on master")</f>
        <v>0</v>
      </c>
      <c r="H2594" s="6">
        <v>5.25</v>
      </c>
      <c r="I2594" s="6">
        <v>5.25</v>
      </c>
      <c r="J2594" s="6">
        <f>I2594-H2594</f>
        <v>0</v>
      </c>
      <c r="K2594" s="5">
        <f>IF(H2594=0,"",J2594/H2594)</f>
        <v>0</v>
      </c>
      <c r="L2594">
        <f>IF(OR(AND(H2594=0,ABS(J2594)&gt;=0.01),AND(H2594&lt;&gt;0,ABS(K2594)&gt;VarianceThreshold)),"Review","OK")</f>
        <v>0</v>
      </c>
      <c r="M2594" t="s">
        <v>33</v>
      </c>
    </row>
    <row r="2595" spans="1:13">
      <c r="A2595" t="s">
        <v>4</v>
      </c>
      <c r="B2595" t="s">
        <v>170</v>
      </c>
      <c r="C2595" t="s">
        <v>2472</v>
      </c>
      <c r="D2595" t="s">
        <v>994</v>
      </c>
      <c r="E2595" cm="1">
        <f t="array" ref="E2595">_xlfn.XLOOKUP(D2595,SKU_Master!A:A,SKU_Master!B:B,"Not on master")</f>
        <v>0</v>
      </c>
      <c r="F2595" cm="1">
        <f t="array" ref="F2595">_xlfn.XLOOKUP(C2595,Account_Master!A:A,Account_Master!B:B,"Not on master")</f>
        <v>0</v>
      </c>
      <c r="G2595" cm="1">
        <f t="array" ref="G2595">_xlfn.XLOOKUP(C2595,Account_Master!A:A,Account_Master!C:C,"Not on master")</f>
        <v>0</v>
      </c>
      <c r="H2595" s="6">
        <v>1.75</v>
      </c>
      <c r="I2595" s="6">
        <v>1.75</v>
      </c>
      <c r="J2595" s="6">
        <f>I2595-H2595</f>
        <v>0</v>
      </c>
      <c r="K2595" s="5">
        <f>IF(H2595=0,"",J2595/H2595)</f>
        <v>0</v>
      </c>
      <c r="L2595">
        <f>IF(OR(AND(H2595=0,ABS(J2595)&gt;=0.01),AND(H2595&lt;&gt;0,ABS(K2595)&gt;VarianceThreshold)),"Review","OK")</f>
        <v>0</v>
      </c>
      <c r="M2595" t="s">
        <v>33</v>
      </c>
    </row>
    <row r="2596" spans="1:13">
      <c r="A2596" t="s">
        <v>4</v>
      </c>
      <c r="B2596" t="s">
        <v>170</v>
      </c>
      <c r="C2596" t="s">
        <v>2473</v>
      </c>
      <c r="D2596" t="s">
        <v>1623</v>
      </c>
      <c r="E2596" cm="1">
        <f t="array" ref="E2596">_xlfn.XLOOKUP(D2596,SKU_Master!A:A,SKU_Master!B:B,"Not on master")</f>
        <v>0</v>
      </c>
      <c r="F2596" cm="1">
        <f t="array" ref="F2596">_xlfn.XLOOKUP(C2596,Account_Master!A:A,Account_Master!B:B,"Not on master")</f>
        <v>0</v>
      </c>
      <c r="G2596" cm="1">
        <f t="array" ref="G2596">_xlfn.XLOOKUP(C2596,Account_Master!A:A,Account_Master!C:C,"Not on master")</f>
        <v>0</v>
      </c>
      <c r="H2596" s="6">
        <v>24.75</v>
      </c>
      <c r="I2596" s="6">
        <v>24.75</v>
      </c>
      <c r="J2596" s="6">
        <f>I2596-H2596</f>
        <v>0</v>
      </c>
      <c r="K2596" s="5">
        <f>IF(H2596=0,"",J2596/H2596)</f>
        <v>0</v>
      </c>
      <c r="L2596">
        <f>IF(OR(AND(H2596=0,ABS(J2596)&gt;=0.01),AND(H2596&lt;&gt;0,ABS(K2596)&gt;VarianceThreshold)),"Review","OK")</f>
        <v>0</v>
      </c>
      <c r="M2596" t="s">
        <v>33</v>
      </c>
    </row>
    <row r="2597" spans="1:13">
      <c r="A2597" t="s">
        <v>4</v>
      </c>
      <c r="B2597" t="s">
        <v>170</v>
      </c>
      <c r="C2597" t="s">
        <v>2474</v>
      </c>
      <c r="D2597" t="s">
        <v>1435</v>
      </c>
      <c r="E2597" cm="1">
        <f t="array" ref="E2597">_xlfn.XLOOKUP(D2597,SKU_Master!A:A,SKU_Master!B:B,"Not on master")</f>
        <v>0</v>
      </c>
      <c r="F2597" cm="1">
        <f t="array" ref="F2597">_xlfn.XLOOKUP(C2597,Account_Master!A:A,Account_Master!B:B,"Not on master")</f>
        <v>0</v>
      </c>
      <c r="G2597" cm="1">
        <f t="array" ref="G2597">_xlfn.XLOOKUP(C2597,Account_Master!A:A,Account_Master!C:C,"Not on master")</f>
        <v>0</v>
      </c>
      <c r="H2597" s="6">
        <v>3</v>
      </c>
      <c r="I2597" s="6">
        <v>3</v>
      </c>
      <c r="J2597" s="6">
        <f>I2597-H2597</f>
        <v>0</v>
      </c>
      <c r="K2597" s="5">
        <f>IF(H2597=0,"",J2597/H2597)</f>
        <v>0</v>
      </c>
      <c r="L2597">
        <f>IF(OR(AND(H2597=0,ABS(J2597)&gt;=0.01),AND(H2597&lt;&gt;0,ABS(K2597)&gt;VarianceThreshold)),"Review","OK")</f>
        <v>0</v>
      </c>
      <c r="M2597" t="s">
        <v>33</v>
      </c>
    </row>
    <row r="2598" spans="1:13">
      <c r="A2598" t="s">
        <v>4</v>
      </c>
      <c r="B2598" t="s">
        <v>180</v>
      </c>
      <c r="C2598" t="s">
        <v>2462</v>
      </c>
      <c r="D2598" t="s">
        <v>1640</v>
      </c>
      <c r="E2598" cm="1">
        <f t="array" ref="E2598">_xlfn.XLOOKUP(D2598,SKU_Master!A:A,SKU_Master!B:B,"Not on master")</f>
        <v>0</v>
      </c>
      <c r="F2598" cm="1">
        <f t="array" ref="F2598">_xlfn.XLOOKUP(C2598,Account_Master!A:A,Account_Master!B:B,"Not on master")</f>
        <v>0</v>
      </c>
      <c r="G2598" cm="1">
        <f t="array" ref="G2598">_xlfn.XLOOKUP(C2598,Account_Master!A:A,Account_Master!C:C,"Not on master")</f>
        <v>0</v>
      </c>
      <c r="H2598" s="6">
        <v>4.5</v>
      </c>
      <c r="I2598" s="6">
        <v>4.5</v>
      </c>
      <c r="J2598" s="6">
        <f>I2598-H2598</f>
        <v>0</v>
      </c>
      <c r="K2598" s="5">
        <f>IF(H2598=0,"",J2598/H2598)</f>
        <v>0</v>
      </c>
      <c r="L2598">
        <f>IF(OR(AND(H2598=0,ABS(J2598)&gt;=0.01),AND(H2598&lt;&gt;0,ABS(K2598)&gt;VarianceThreshold)),"Review","OK")</f>
        <v>0</v>
      </c>
      <c r="M2598" t="s">
        <v>33</v>
      </c>
    </row>
    <row r="2599" spans="1:13">
      <c r="A2599" t="s">
        <v>4</v>
      </c>
      <c r="B2599" t="s">
        <v>180</v>
      </c>
      <c r="C2599" t="s">
        <v>2457</v>
      </c>
      <c r="D2599" t="s">
        <v>1084</v>
      </c>
      <c r="E2599" cm="1">
        <f t="array" ref="E2599">_xlfn.XLOOKUP(D2599,SKU_Master!A:A,SKU_Master!B:B,"Not on master")</f>
        <v>0</v>
      </c>
      <c r="F2599" cm="1">
        <f t="array" ref="F2599">_xlfn.XLOOKUP(C2599,Account_Master!A:A,Account_Master!B:B,"Not on master")</f>
        <v>0</v>
      </c>
      <c r="G2599" cm="1">
        <f t="array" ref="G2599">_xlfn.XLOOKUP(C2599,Account_Master!A:A,Account_Master!C:C,"Not on master")</f>
        <v>0</v>
      </c>
      <c r="H2599" s="6">
        <v>21</v>
      </c>
      <c r="I2599" s="6">
        <v>21</v>
      </c>
      <c r="J2599" s="6">
        <f>I2599-H2599</f>
        <v>0</v>
      </c>
      <c r="K2599" s="5">
        <f>IF(H2599=0,"",J2599/H2599)</f>
        <v>0</v>
      </c>
      <c r="L2599">
        <f>IF(OR(AND(H2599=0,ABS(J2599)&gt;=0.01),AND(H2599&lt;&gt;0,ABS(K2599)&gt;VarianceThreshold)),"Review","OK")</f>
        <v>0</v>
      </c>
      <c r="M2599" t="s">
        <v>33</v>
      </c>
    </row>
    <row r="2600" spans="1:13">
      <c r="A2600" t="s">
        <v>4</v>
      </c>
      <c r="B2600" t="s">
        <v>180</v>
      </c>
      <c r="C2600" t="s">
        <v>2418</v>
      </c>
      <c r="D2600" t="s">
        <v>487</v>
      </c>
      <c r="E2600" cm="1">
        <f t="array" ref="E2600">_xlfn.XLOOKUP(D2600,SKU_Master!A:A,SKU_Master!B:B,"Not on master")</f>
        <v>0</v>
      </c>
      <c r="F2600" cm="1">
        <f t="array" ref="F2600">_xlfn.XLOOKUP(C2600,Account_Master!A:A,Account_Master!B:B,"Not on master")</f>
        <v>0</v>
      </c>
      <c r="G2600" cm="1">
        <f t="array" ref="G2600">_xlfn.XLOOKUP(C2600,Account_Master!A:A,Account_Master!C:C,"Not on master")</f>
        <v>0</v>
      </c>
      <c r="H2600" s="6">
        <v>13.5</v>
      </c>
      <c r="I2600" s="6">
        <v>13.5</v>
      </c>
      <c r="J2600" s="6">
        <f>I2600-H2600</f>
        <v>0</v>
      </c>
      <c r="K2600" s="5">
        <f>IF(H2600=0,"",J2600/H2600)</f>
        <v>0</v>
      </c>
      <c r="L2600">
        <f>IF(OR(AND(H2600=0,ABS(J2600)&gt;=0.01),AND(H2600&lt;&gt;0,ABS(K2600)&gt;VarianceThreshold)),"Review","OK")</f>
        <v>0</v>
      </c>
      <c r="M2600" t="s">
        <v>33</v>
      </c>
    </row>
    <row r="2601" spans="1:13">
      <c r="A2601" t="s">
        <v>4</v>
      </c>
      <c r="B2601" t="s">
        <v>180</v>
      </c>
      <c r="C2601" t="s">
        <v>2414</v>
      </c>
      <c r="D2601" t="s">
        <v>2475</v>
      </c>
      <c r="E2601" cm="1">
        <f t="array" ref="E2601">_xlfn.XLOOKUP(D2601,SKU_Master!A:A,SKU_Master!B:B,"Not on master")</f>
        <v>0</v>
      </c>
      <c r="F2601" cm="1">
        <f t="array" ref="F2601">_xlfn.XLOOKUP(C2601,Account_Master!A:A,Account_Master!B:B,"Not on master")</f>
        <v>0</v>
      </c>
      <c r="G2601" cm="1">
        <f t="array" ref="G2601">_xlfn.XLOOKUP(C2601,Account_Master!A:A,Account_Master!C:C,"Not on master")</f>
        <v>0</v>
      </c>
      <c r="H2601" s="6">
        <v>2.25</v>
      </c>
      <c r="I2601" s="6">
        <v>2.25</v>
      </c>
      <c r="J2601" s="6">
        <f>I2601-H2601</f>
        <v>0</v>
      </c>
      <c r="K2601" s="5">
        <f>IF(H2601=0,"",J2601/H2601)</f>
        <v>0</v>
      </c>
      <c r="L2601">
        <f>IF(OR(AND(H2601=0,ABS(J2601)&gt;=0.01),AND(H2601&lt;&gt;0,ABS(K2601)&gt;VarianceThreshold)),"Review","OK")</f>
        <v>0</v>
      </c>
      <c r="M2601" t="s">
        <v>33</v>
      </c>
    </row>
    <row r="2602" spans="1:13">
      <c r="A2602" t="s">
        <v>4</v>
      </c>
      <c r="B2602" t="s">
        <v>180</v>
      </c>
      <c r="C2602" t="s">
        <v>2476</v>
      </c>
      <c r="D2602" t="s">
        <v>2074</v>
      </c>
      <c r="E2602" cm="1">
        <f t="array" ref="E2602">_xlfn.XLOOKUP(D2602,SKU_Master!A:A,SKU_Master!B:B,"Not on master")</f>
        <v>0</v>
      </c>
      <c r="F2602" cm="1">
        <f t="array" ref="F2602">_xlfn.XLOOKUP(C2602,Account_Master!A:A,Account_Master!B:B,"Not on master")</f>
        <v>0</v>
      </c>
      <c r="G2602" cm="1">
        <f t="array" ref="G2602">_xlfn.XLOOKUP(C2602,Account_Master!A:A,Account_Master!C:C,"Not on master")</f>
        <v>0</v>
      </c>
      <c r="H2602" s="6">
        <v>2.25</v>
      </c>
      <c r="I2602" s="6">
        <v>2.25</v>
      </c>
      <c r="J2602" s="6">
        <f>I2602-H2602</f>
        <v>0</v>
      </c>
      <c r="K2602" s="5">
        <f>IF(H2602=0,"",J2602/H2602)</f>
        <v>0</v>
      </c>
      <c r="L2602">
        <f>IF(OR(AND(H2602=0,ABS(J2602)&gt;=0.01),AND(H2602&lt;&gt;0,ABS(K2602)&gt;VarianceThreshold)),"Review","OK")</f>
        <v>0</v>
      </c>
      <c r="M2602" t="s">
        <v>33</v>
      </c>
    </row>
    <row r="2603" spans="1:13">
      <c r="A2603" t="s">
        <v>4</v>
      </c>
      <c r="B2603" t="s">
        <v>180</v>
      </c>
      <c r="C2603" t="s">
        <v>2477</v>
      </c>
      <c r="D2603" t="s">
        <v>2478</v>
      </c>
      <c r="E2603" cm="1">
        <f t="array" ref="E2603">_xlfn.XLOOKUP(D2603,SKU_Master!A:A,SKU_Master!B:B,"Not on master")</f>
        <v>0</v>
      </c>
      <c r="F2603" cm="1">
        <f t="array" ref="F2603">_xlfn.XLOOKUP(C2603,Account_Master!A:A,Account_Master!B:B,"Not on master")</f>
        <v>0</v>
      </c>
      <c r="G2603" cm="1">
        <f t="array" ref="G2603">_xlfn.XLOOKUP(C2603,Account_Master!A:A,Account_Master!C:C,"Not on master")</f>
        <v>0</v>
      </c>
      <c r="H2603" s="6">
        <v>10.5</v>
      </c>
      <c r="I2603" s="6">
        <v>10.5</v>
      </c>
      <c r="J2603" s="6">
        <f>I2603-H2603</f>
        <v>0</v>
      </c>
      <c r="K2603" s="5">
        <f>IF(H2603=0,"",J2603/H2603)</f>
        <v>0</v>
      </c>
      <c r="L2603">
        <f>IF(OR(AND(H2603=0,ABS(J2603)&gt;=0.01),AND(H2603&lt;&gt;0,ABS(K2603)&gt;VarianceThreshold)),"Review","OK")</f>
        <v>0</v>
      </c>
      <c r="M2603" t="s">
        <v>33</v>
      </c>
    </row>
    <row r="2604" spans="1:13">
      <c r="A2604" t="s">
        <v>4</v>
      </c>
      <c r="B2604" t="s">
        <v>180</v>
      </c>
      <c r="C2604" t="s">
        <v>2428</v>
      </c>
      <c r="D2604" t="s">
        <v>1699</v>
      </c>
      <c r="E2604" cm="1">
        <f t="array" ref="E2604">_xlfn.XLOOKUP(D2604,SKU_Master!A:A,SKU_Master!B:B,"Not on master")</f>
        <v>0</v>
      </c>
      <c r="F2604" cm="1">
        <f t="array" ref="F2604">_xlfn.XLOOKUP(C2604,Account_Master!A:A,Account_Master!B:B,"Not on master")</f>
        <v>0</v>
      </c>
      <c r="G2604" cm="1">
        <f t="array" ref="G2604">_xlfn.XLOOKUP(C2604,Account_Master!A:A,Account_Master!C:C,"Not on master")</f>
        <v>0</v>
      </c>
      <c r="H2604" s="6">
        <v>63</v>
      </c>
      <c r="I2604" s="6">
        <v>63</v>
      </c>
      <c r="J2604" s="6">
        <f>I2604-H2604</f>
        <v>0</v>
      </c>
      <c r="K2604" s="5">
        <f>IF(H2604=0,"",J2604/H2604)</f>
        <v>0</v>
      </c>
      <c r="L2604">
        <f>IF(OR(AND(H2604=0,ABS(J2604)&gt;=0.01),AND(H2604&lt;&gt;0,ABS(K2604)&gt;VarianceThreshold)),"Review","OK")</f>
        <v>0</v>
      </c>
      <c r="M2604" t="s">
        <v>33</v>
      </c>
    </row>
    <row r="2605" spans="1:13">
      <c r="A2605" t="s">
        <v>4</v>
      </c>
      <c r="B2605" t="s">
        <v>180</v>
      </c>
      <c r="C2605" t="s">
        <v>2416</v>
      </c>
      <c r="D2605" t="s">
        <v>287</v>
      </c>
      <c r="E2605" cm="1">
        <f t="array" ref="E2605">_xlfn.XLOOKUP(D2605,SKU_Master!A:A,SKU_Master!B:B,"Not on master")</f>
        <v>0</v>
      </c>
      <c r="F2605" cm="1">
        <f t="array" ref="F2605">_xlfn.XLOOKUP(C2605,Account_Master!A:A,Account_Master!B:B,"Not on master")</f>
        <v>0</v>
      </c>
      <c r="G2605" cm="1">
        <f t="array" ref="G2605">_xlfn.XLOOKUP(C2605,Account_Master!A:A,Account_Master!C:C,"Not on master")</f>
        <v>0</v>
      </c>
      <c r="H2605" s="6">
        <v>2.25</v>
      </c>
      <c r="I2605" s="6">
        <v>2.25</v>
      </c>
      <c r="J2605" s="6">
        <f>I2605-H2605</f>
        <v>0</v>
      </c>
      <c r="K2605" s="5">
        <f>IF(H2605=0,"",J2605/H2605)</f>
        <v>0</v>
      </c>
      <c r="L2605">
        <f>IF(OR(AND(H2605=0,ABS(J2605)&gt;=0.01),AND(H2605&lt;&gt;0,ABS(K2605)&gt;VarianceThreshold)),"Review","OK")</f>
        <v>0</v>
      </c>
      <c r="M2605" t="s">
        <v>33</v>
      </c>
    </row>
    <row r="2606" spans="1:13">
      <c r="A2606" t="s">
        <v>4</v>
      </c>
      <c r="B2606" t="s">
        <v>180</v>
      </c>
      <c r="C2606" t="s">
        <v>2443</v>
      </c>
      <c r="D2606" t="s">
        <v>271</v>
      </c>
      <c r="E2606" cm="1">
        <f t="array" ref="E2606">_xlfn.XLOOKUP(D2606,SKU_Master!A:A,SKU_Master!B:B,"Not on master")</f>
        <v>0</v>
      </c>
      <c r="F2606" cm="1">
        <f t="array" ref="F2606">_xlfn.XLOOKUP(C2606,Account_Master!A:A,Account_Master!B:B,"Not on master")</f>
        <v>0</v>
      </c>
      <c r="G2606" cm="1">
        <f t="array" ref="G2606">_xlfn.XLOOKUP(C2606,Account_Master!A:A,Account_Master!C:C,"Not on master")</f>
        <v>0</v>
      </c>
      <c r="H2606" s="6">
        <v>12</v>
      </c>
      <c r="I2606" s="6">
        <v>12</v>
      </c>
      <c r="J2606" s="6">
        <f>I2606-H2606</f>
        <v>0</v>
      </c>
      <c r="K2606" s="5">
        <f>IF(H2606=0,"",J2606/H2606)</f>
        <v>0</v>
      </c>
      <c r="L2606">
        <f>IF(OR(AND(H2606=0,ABS(J2606)&gt;=0.01),AND(H2606&lt;&gt;0,ABS(K2606)&gt;VarianceThreshold)),"Review","OK")</f>
        <v>0</v>
      </c>
      <c r="M2606" t="s">
        <v>33</v>
      </c>
    </row>
    <row r="2607" spans="1:13">
      <c r="A2607" t="s">
        <v>4</v>
      </c>
      <c r="B2607" t="s">
        <v>193</v>
      </c>
      <c r="C2607" t="s">
        <v>2429</v>
      </c>
      <c r="D2607" t="s">
        <v>1386</v>
      </c>
      <c r="E2607" cm="1">
        <f t="array" ref="E2607">_xlfn.XLOOKUP(D2607,SKU_Master!A:A,SKU_Master!B:B,"Not on master")</f>
        <v>0</v>
      </c>
      <c r="F2607" cm="1">
        <f t="array" ref="F2607">_xlfn.XLOOKUP(C2607,Account_Master!A:A,Account_Master!B:B,"Not on master")</f>
        <v>0</v>
      </c>
      <c r="G2607" cm="1">
        <f t="array" ref="G2607">_xlfn.XLOOKUP(C2607,Account_Master!A:A,Account_Master!C:C,"Not on master")</f>
        <v>0</v>
      </c>
      <c r="H2607" s="6">
        <v>31.5</v>
      </c>
      <c r="I2607" s="6">
        <v>31.5</v>
      </c>
      <c r="J2607" s="6">
        <f>I2607-H2607</f>
        <v>0</v>
      </c>
      <c r="K2607" s="5">
        <f>IF(H2607=0,"",J2607/H2607)</f>
        <v>0</v>
      </c>
      <c r="L2607">
        <f>IF(OR(AND(H2607=0,ABS(J2607)&gt;=0.01),AND(H2607&lt;&gt;0,ABS(K2607)&gt;VarianceThreshold)),"Review","OK")</f>
        <v>0</v>
      </c>
      <c r="M2607" t="s">
        <v>33</v>
      </c>
    </row>
    <row r="2608" spans="1:13">
      <c r="A2608" t="s">
        <v>4</v>
      </c>
      <c r="B2608" t="s">
        <v>193</v>
      </c>
      <c r="C2608" t="s">
        <v>2479</v>
      </c>
      <c r="D2608" t="s">
        <v>912</v>
      </c>
      <c r="E2608" cm="1">
        <f t="array" ref="E2608">_xlfn.XLOOKUP(D2608,SKU_Master!A:A,SKU_Master!B:B,"Not on master")</f>
        <v>0</v>
      </c>
      <c r="F2608" cm="1">
        <f t="array" ref="F2608">_xlfn.XLOOKUP(C2608,Account_Master!A:A,Account_Master!B:B,"Not on master")</f>
        <v>0</v>
      </c>
      <c r="G2608" cm="1">
        <f t="array" ref="G2608">_xlfn.XLOOKUP(C2608,Account_Master!A:A,Account_Master!C:C,"Not on master")</f>
        <v>0</v>
      </c>
      <c r="H2608" s="6">
        <v>0.95</v>
      </c>
      <c r="I2608" s="6">
        <v>0.95</v>
      </c>
      <c r="J2608" s="6">
        <f>I2608-H2608</f>
        <v>0</v>
      </c>
      <c r="K2608" s="5">
        <f>IF(H2608=0,"",J2608/H2608)</f>
        <v>0</v>
      </c>
      <c r="L2608">
        <f>IF(OR(AND(H2608=0,ABS(J2608)&gt;=0.01),AND(H2608&lt;&gt;0,ABS(K2608)&gt;VarianceThreshold)),"Review","OK")</f>
        <v>0</v>
      </c>
      <c r="M2608" t="s">
        <v>33</v>
      </c>
    </row>
    <row r="2609" spans="1:13">
      <c r="A2609" t="s">
        <v>4</v>
      </c>
      <c r="B2609" t="s">
        <v>205</v>
      </c>
      <c r="C2609" t="s">
        <v>2480</v>
      </c>
      <c r="D2609" t="s">
        <v>1281</v>
      </c>
      <c r="E2609" cm="1">
        <f t="array" ref="E2609">_xlfn.XLOOKUP(D2609,SKU_Master!A:A,SKU_Master!B:B,"Not on master")</f>
        <v>0</v>
      </c>
      <c r="F2609" cm="1">
        <f t="array" ref="F2609">_xlfn.XLOOKUP(C2609,Account_Master!A:A,Account_Master!B:B,"Not on master")</f>
        <v>0</v>
      </c>
      <c r="G2609" cm="1">
        <f t="array" ref="G2609">_xlfn.XLOOKUP(C2609,Account_Master!A:A,Account_Master!C:C,"Not on master")</f>
        <v>0</v>
      </c>
      <c r="H2609" s="6">
        <v>18</v>
      </c>
      <c r="I2609" s="6">
        <v>18</v>
      </c>
      <c r="J2609" s="6">
        <f>I2609-H2609</f>
        <v>0</v>
      </c>
      <c r="K2609" s="5">
        <f>IF(H2609=0,"",J2609/H2609)</f>
        <v>0</v>
      </c>
      <c r="L2609">
        <f>IF(OR(AND(H2609=0,ABS(J2609)&gt;=0.01),AND(H2609&lt;&gt;0,ABS(K2609)&gt;VarianceThreshold)),"Review","OK")</f>
        <v>0</v>
      </c>
      <c r="M2609" t="s">
        <v>33</v>
      </c>
    </row>
    <row r="2610" spans="1:13">
      <c r="A2610" t="s">
        <v>4</v>
      </c>
      <c r="B2610" t="s">
        <v>205</v>
      </c>
      <c r="C2610" t="s">
        <v>2481</v>
      </c>
      <c r="D2610" t="s">
        <v>1205</v>
      </c>
      <c r="E2610" cm="1">
        <f t="array" ref="E2610">_xlfn.XLOOKUP(D2610,SKU_Master!A:A,SKU_Master!B:B,"Not on master")</f>
        <v>0</v>
      </c>
      <c r="F2610" cm="1">
        <f t="array" ref="F2610">_xlfn.XLOOKUP(C2610,Account_Master!A:A,Account_Master!B:B,"Not on master")</f>
        <v>0</v>
      </c>
      <c r="G2610" cm="1">
        <f t="array" ref="G2610">_xlfn.XLOOKUP(C2610,Account_Master!A:A,Account_Master!C:C,"Not on master")</f>
        <v>0</v>
      </c>
      <c r="H2610" s="6">
        <v>14.62</v>
      </c>
      <c r="I2610" s="6">
        <v>14.62</v>
      </c>
      <c r="J2610" s="6">
        <f>I2610-H2610</f>
        <v>0</v>
      </c>
      <c r="K2610" s="5">
        <f>IF(H2610=0,"",J2610/H2610)</f>
        <v>0</v>
      </c>
      <c r="L2610">
        <f>IF(OR(AND(H2610=0,ABS(J2610)&gt;=0.01),AND(H2610&lt;&gt;0,ABS(K2610)&gt;VarianceThreshold)),"Review","OK")</f>
        <v>0</v>
      </c>
      <c r="M2610" t="s">
        <v>33</v>
      </c>
    </row>
    <row r="2611" spans="1:13">
      <c r="A2611" t="s">
        <v>4</v>
      </c>
      <c r="B2611" t="s">
        <v>205</v>
      </c>
      <c r="C2611" t="s">
        <v>2476</v>
      </c>
      <c r="D2611" t="s">
        <v>2292</v>
      </c>
      <c r="E2611" cm="1">
        <f t="array" ref="E2611">_xlfn.XLOOKUP(D2611,SKU_Master!A:A,SKU_Master!B:B,"Not on master")</f>
        <v>0</v>
      </c>
      <c r="F2611" cm="1">
        <f t="array" ref="F2611">_xlfn.XLOOKUP(C2611,Account_Master!A:A,Account_Master!B:B,"Not on master")</f>
        <v>0</v>
      </c>
      <c r="G2611" cm="1">
        <f t="array" ref="G2611">_xlfn.XLOOKUP(C2611,Account_Master!A:A,Account_Master!C:C,"Not on master")</f>
        <v>0</v>
      </c>
      <c r="H2611" s="6">
        <v>2</v>
      </c>
      <c r="I2611" s="6">
        <v>2</v>
      </c>
      <c r="J2611" s="6">
        <f>I2611-H2611</f>
        <v>0</v>
      </c>
      <c r="K2611" s="5">
        <f>IF(H2611=0,"",J2611/H2611)</f>
        <v>0</v>
      </c>
      <c r="L2611">
        <f>IF(OR(AND(H2611=0,ABS(J2611)&gt;=0.01),AND(H2611&lt;&gt;0,ABS(K2611)&gt;VarianceThreshold)),"Review","OK")</f>
        <v>0</v>
      </c>
      <c r="M2611" t="s">
        <v>33</v>
      </c>
    </row>
    <row r="2612" spans="1:13">
      <c r="A2612" t="s">
        <v>4</v>
      </c>
      <c r="B2612" t="s">
        <v>216</v>
      </c>
      <c r="C2612" t="s">
        <v>2482</v>
      </c>
      <c r="D2612" t="s">
        <v>326</v>
      </c>
      <c r="E2612" cm="1">
        <f t="array" ref="E2612">_xlfn.XLOOKUP(D2612,SKU_Master!A:A,SKU_Master!B:B,"Not on master")</f>
        <v>0</v>
      </c>
      <c r="F2612" cm="1">
        <f t="array" ref="F2612">_xlfn.XLOOKUP(C2612,Account_Master!A:A,Account_Master!B:B,"Not on master")</f>
        <v>0</v>
      </c>
      <c r="G2612" cm="1">
        <f t="array" ref="G2612">_xlfn.XLOOKUP(C2612,Account_Master!A:A,Account_Master!C:C,"Not on master")</f>
        <v>0</v>
      </c>
      <c r="H2612" s="6">
        <v>3.75</v>
      </c>
      <c r="I2612" s="6">
        <v>3.75</v>
      </c>
      <c r="J2612" s="6">
        <f>I2612-H2612</f>
        <v>0</v>
      </c>
      <c r="K2612" s="5">
        <f>IF(H2612=0,"",J2612/H2612)</f>
        <v>0</v>
      </c>
      <c r="L2612">
        <f>IF(OR(AND(H2612=0,ABS(J2612)&gt;=0.01),AND(H2612&lt;&gt;0,ABS(K2612)&gt;VarianceThreshold)),"Review","OK")</f>
        <v>0</v>
      </c>
      <c r="M2612" t="s">
        <v>33</v>
      </c>
    </row>
    <row r="2613" spans="1:13">
      <c r="A2613" t="s">
        <v>4</v>
      </c>
      <c r="B2613" t="s">
        <v>216</v>
      </c>
      <c r="C2613" t="s">
        <v>2416</v>
      </c>
      <c r="D2613" t="s">
        <v>1509</v>
      </c>
      <c r="E2613" cm="1">
        <f t="array" ref="E2613">_xlfn.XLOOKUP(D2613,SKU_Master!A:A,SKU_Master!B:B,"Not on master")</f>
        <v>0</v>
      </c>
      <c r="F2613" cm="1">
        <f t="array" ref="F2613">_xlfn.XLOOKUP(C2613,Account_Master!A:A,Account_Master!B:B,"Not on master")</f>
        <v>0</v>
      </c>
      <c r="G2613" cm="1">
        <f t="array" ref="G2613">_xlfn.XLOOKUP(C2613,Account_Master!A:A,Account_Master!C:C,"Not on master")</f>
        <v>0</v>
      </c>
      <c r="H2613" s="6">
        <v>1.5</v>
      </c>
      <c r="I2613" s="6">
        <v>1.5</v>
      </c>
      <c r="J2613" s="6">
        <f>I2613-H2613</f>
        <v>0</v>
      </c>
      <c r="K2613" s="5">
        <f>IF(H2613=0,"",J2613/H2613)</f>
        <v>0</v>
      </c>
      <c r="L2613">
        <f>IF(OR(AND(H2613=0,ABS(J2613)&gt;=0.01),AND(H2613&lt;&gt;0,ABS(K2613)&gt;VarianceThreshold)),"Review","OK")</f>
        <v>0</v>
      </c>
      <c r="M2613" t="s">
        <v>33</v>
      </c>
    </row>
    <row r="2614" spans="1:13">
      <c r="A2614" t="s">
        <v>4</v>
      </c>
      <c r="B2614" t="s">
        <v>216</v>
      </c>
      <c r="C2614" t="s">
        <v>2428</v>
      </c>
      <c r="D2614" t="s">
        <v>677</v>
      </c>
      <c r="E2614" cm="1">
        <f t="array" ref="E2614">_xlfn.XLOOKUP(D2614,SKU_Master!A:A,SKU_Master!B:B,"Not on master")</f>
        <v>0</v>
      </c>
      <c r="F2614" cm="1">
        <f t="array" ref="F2614">_xlfn.XLOOKUP(C2614,Account_Master!A:A,Account_Master!B:B,"Not on master")</f>
        <v>0</v>
      </c>
      <c r="G2614" cm="1">
        <f t="array" ref="G2614">_xlfn.XLOOKUP(C2614,Account_Master!A:A,Account_Master!C:C,"Not on master")</f>
        <v>0</v>
      </c>
      <c r="H2614" s="6">
        <v>10.5</v>
      </c>
      <c r="I2614" s="6">
        <v>10.5</v>
      </c>
      <c r="J2614" s="6">
        <f>I2614-H2614</f>
        <v>0</v>
      </c>
      <c r="K2614" s="5">
        <f>IF(H2614=0,"",J2614/H2614)</f>
        <v>0</v>
      </c>
      <c r="L2614">
        <f>IF(OR(AND(H2614=0,ABS(J2614)&gt;=0.01),AND(H2614&lt;&gt;0,ABS(K2614)&gt;VarianceThreshold)),"Review","OK")</f>
        <v>0</v>
      </c>
      <c r="M2614" t="s">
        <v>33</v>
      </c>
    </row>
    <row r="2615" spans="1:13">
      <c r="A2615" t="s">
        <v>4</v>
      </c>
      <c r="B2615" t="s">
        <v>216</v>
      </c>
      <c r="C2615" t="s">
        <v>2433</v>
      </c>
      <c r="D2615" t="s">
        <v>1113</v>
      </c>
      <c r="E2615" cm="1">
        <f t="array" ref="E2615">_xlfn.XLOOKUP(D2615,SKU_Master!A:A,SKU_Master!B:B,"Not on master")</f>
        <v>0</v>
      </c>
      <c r="F2615" cm="1">
        <f t="array" ref="F2615">_xlfn.XLOOKUP(C2615,Account_Master!A:A,Account_Master!B:B,"Not on master")</f>
        <v>0</v>
      </c>
      <c r="G2615" cm="1">
        <f t="array" ref="G2615">_xlfn.XLOOKUP(C2615,Account_Master!A:A,Account_Master!C:C,"Not on master")</f>
        <v>0</v>
      </c>
      <c r="H2615" s="6">
        <v>3.6</v>
      </c>
      <c r="I2615" s="6">
        <v>3.6</v>
      </c>
      <c r="J2615" s="6">
        <f>I2615-H2615</f>
        <v>0</v>
      </c>
      <c r="K2615" s="5">
        <f>IF(H2615=0,"",J2615/H2615)</f>
        <v>0</v>
      </c>
      <c r="L2615">
        <f>IF(OR(AND(H2615=0,ABS(J2615)&gt;=0.01),AND(H2615&lt;&gt;0,ABS(K2615)&gt;VarianceThreshold)),"Review","OK")</f>
        <v>0</v>
      </c>
      <c r="M2615" t="s">
        <v>33</v>
      </c>
    </row>
    <row r="2616" spans="1:13">
      <c r="A2616" t="s">
        <v>4</v>
      </c>
      <c r="B2616" t="s">
        <v>216</v>
      </c>
      <c r="C2616" t="s">
        <v>2436</v>
      </c>
      <c r="D2616" t="s">
        <v>2483</v>
      </c>
      <c r="E2616" cm="1">
        <f t="array" ref="E2616">_xlfn.XLOOKUP(D2616,SKU_Master!A:A,SKU_Master!B:B,"Not on master")</f>
        <v>0</v>
      </c>
      <c r="F2616" cm="1">
        <f t="array" ref="F2616">_xlfn.XLOOKUP(C2616,Account_Master!A:A,Account_Master!B:B,"Not on master")</f>
        <v>0</v>
      </c>
      <c r="G2616" cm="1">
        <f t="array" ref="G2616">_xlfn.XLOOKUP(C2616,Account_Master!A:A,Account_Master!C:C,"Not on master")</f>
        <v>0</v>
      </c>
      <c r="H2616" s="6">
        <v>13.5</v>
      </c>
      <c r="I2616" s="6">
        <v>13.5</v>
      </c>
      <c r="J2616" s="6">
        <f>I2616-H2616</f>
        <v>0</v>
      </c>
      <c r="K2616" s="5">
        <f>IF(H2616=0,"",J2616/H2616)</f>
        <v>0</v>
      </c>
      <c r="L2616">
        <f>IF(OR(AND(H2616=0,ABS(J2616)&gt;=0.01),AND(H2616&lt;&gt;0,ABS(K2616)&gt;VarianceThreshold)),"Review","OK")</f>
        <v>0</v>
      </c>
      <c r="M2616" t="s">
        <v>33</v>
      </c>
    </row>
    <row r="2617" spans="1:13">
      <c r="A2617" t="s">
        <v>4</v>
      </c>
      <c r="B2617" t="s">
        <v>226</v>
      </c>
      <c r="C2617" t="s">
        <v>2484</v>
      </c>
      <c r="D2617" t="s">
        <v>2485</v>
      </c>
      <c r="E2617" cm="1">
        <f t="array" ref="E2617">_xlfn.XLOOKUP(D2617,SKU_Master!A:A,SKU_Master!B:B,"Not on master")</f>
        <v>0</v>
      </c>
      <c r="F2617" cm="1">
        <f t="array" ref="F2617">_xlfn.XLOOKUP(C2617,Account_Master!A:A,Account_Master!B:B,"Not on master")</f>
        <v>0</v>
      </c>
      <c r="G2617" cm="1">
        <f t="array" ref="G2617">_xlfn.XLOOKUP(C2617,Account_Master!A:A,Account_Master!C:C,"Not on master")</f>
        <v>0</v>
      </c>
      <c r="H2617" s="6">
        <v>9</v>
      </c>
      <c r="I2617" s="6">
        <v>9</v>
      </c>
      <c r="J2617" s="6">
        <f>I2617-H2617</f>
        <v>0</v>
      </c>
      <c r="K2617" s="5">
        <f>IF(H2617=0,"",J2617/H2617)</f>
        <v>0</v>
      </c>
      <c r="L2617">
        <f>IF(OR(AND(H2617=0,ABS(J2617)&gt;=0.01),AND(H2617&lt;&gt;0,ABS(K2617)&gt;VarianceThreshold)),"Review","OK")</f>
        <v>0</v>
      </c>
      <c r="M2617" t="s">
        <v>33</v>
      </c>
    </row>
    <row r="2618" spans="1:13">
      <c r="A2618" t="s">
        <v>4</v>
      </c>
      <c r="B2618" t="s">
        <v>226</v>
      </c>
      <c r="C2618" t="s">
        <v>2414</v>
      </c>
      <c r="D2618" t="s">
        <v>730</v>
      </c>
      <c r="E2618" cm="1">
        <f t="array" ref="E2618">_xlfn.XLOOKUP(D2618,SKU_Master!A:A,SKU_Master!B:B,"Not on master")</f>
        <v>0</v>
      </c>
      <c r="F2618" cm="1">
        <f t="array" ref="F2618">_xlfn.XLOOKUP(C2618,Account_Master!A:A,Account_Master!B:B,"Not on master")</f>
        <v>0</v>
      </c>
      <c r="G2618" cm="1">
        <f t="array" ref="G2618">_xlfn.XLOOKUP(C2618,Account_Master!A:A,Account_Master!C:C,"Not on master")</f>
        <v>0</v>
      </c>
      <c r="H2618" s="6">
        <v>39.75</v>
      </c>
      <c r="I2618" s="6">
        <v>39.75</v>
      </c>
      <c r="J2618" s="6">
        <f>I2618-H2618</f>
        <v>0</v>
      </c>
      <c r="K2618" s="5">
        <f>IF(H2618=0,"",J2618/H2618)</f>
        <v>0</v>
      </c>
      <c r="L2618">
        <f>IF(OR(AND(H2618=0,ABS(J2618)&gt;=0.01),AND(H2618&lt;&gt;0,ABS(K2618)&gt;VarianceThreshold)),"Review","OK")</f>
        <v>0</v>
      </c>
      <c r="M2618" t="s">
        <v>33</v>
      </c>
    </row>
    <row r="2619" spans="1:13">
      <c r="A2619" t="s">
        <v>4</v>
      </c>
      <c r="B2619" t="s">
        <v>226</v>
      </c>
      <c r="C2619" t="s">
        <v>2453</v>
      </c>
      <c r="D2619" t="s">
        <v>404</v>
      </c>
      <c r="E2619" cm="1">
        <f t="array" ref="E2619">_xlfn.XLOOKUP(D2619,SKU_Master!A:A,SKU_Master!B:B,"Not on master")</f>
        <v>0</v>
      </c>
      <c r="F2619" cm="1">
        <f t="array" ref="F2619">_xlfn.XLOOKUP(C2619,Account_Master!A:A,Account_Master!B:B,"Not on master")</f>
        <v>0</v>
      </c>
      <c r="G2619" cm="1">
        <f t="array" ref="G2619">_xlfn.XLOOKUP(C2619,Account_Master!A:A,Account_Master!C:C,"Not on master")</f>
        <v>0</v>
      </c>
      <c r="H2619" s="6">
        <v>9</v>
      </c>
      <c r="I2619" s="6">
        <v>9</v>
      </c>
      <c r="J2619" s="6">
        <f>I2619-H2619</f>
        <v>0</v>
      </c>
      <c r="K2619" s="5">
        <f>IF(H2619=0,"",J2619/H2619)</f>
        <v>0</v>
      </c>
      <c r="L2619">
        <f>IF(OR(AND(H2619=0,ABS(J2619)&gt;=0.01),AND(H2619&lt;&gt;0,ABS(K2619)&gt;VarianceThreshold)),"Review","OK")</f>
        <v>0</v>
      </c>
      <c r="M2619" t="s">
        <v>33</v>
      </c>
    </row>
    <row r="2620" spans="1:13">
      <c r="A2620" t="s">
        <v>4</v>
      </c>
      <c r="B2620" t="s">
        <v>226</v>
      </c>
      <c r="C2620" t="s">
        <v>2445</v>
      </c>
      <c r="D2620" t="s">
        <v>1075</v>
      </c>
      <c r="E2620" cm="1">
        <f t="array" ref="E2620">_xlfn.XLOOKUP(D2620,SKU_Master!A:A,SKU_Master!B:B,"Not on master")</f>
        <v>0</v>
      </c>
      <c r="F2620" cm="1">
        <f t="array" ref="F2620">_xlfn.XLOOKUP(C2620,Account_Master!A:A,Account_Master!B:B,"Not on master")</f>
        <v>0</v>
      </c>
      <c r="G2620" cm="1">
        <f t="array" ref="G2620">_xlfn.XLOOKUP(C2620,Account_Master!A:A,Account_Master!C:C,"Not on master")</f>
        <v>0</v>
      </c>
      <c r="H2620" s="6">
        <v>8.25</v>
      </c>
      <c r="I2620" s="6">
        <v>8.25</v>
      </c>
      <c r="J2620" s="6">
        <f>I2620-H2620</f>
        <v>0</v>
      </c>
      <c r="K2620" s="5">
        <f>IF(H2620=0,"",J2620/H2620)</f>
        <v>0</v>
      </c>
      <c r="L2620">
        <f>IF(OR(AND(H2620=0,ABS(J2620)&gt;=0.01),AND(H2620&lt;&gt;0,ABS(K2620)&gt;VarianceThreshold)),"Review","OK")</f>
        <v>0</v>
      </c>
      <c r="M2620" t="s">
        <v>33</v>
      </c>
    </row>
    <row r="2621" spans="1:13">
      <c r="A2621" t="s">
        <v>4</v>
      </c>
      <c r="B2621" t="s">
        <v>226</v>
      </c>
      <c r="C2621" t="s">
        <v>2486</v>
      </c>
      <c r="D2621" t="s">
        <v>1416</v>
      </c>
      <c r="E2621" cm="1">
        <f t="array" ref="E2621">_xlfn.XLOOKUP(D2621,SKU_Master!A:A,SKU_Master!B:B,"Not on master")</f>
        <v>0</v>
      </c>
      <c r="F2621" cm="1">
        <f t="array" ref="F2621">_xlfn.XLOOKUP(C2621,Account_Master!A:A,Account_Master!B:B,"Not on master")</f>
        <v>0</v>
      </c>
      <c r="G2621" cm="1">
        <f t="array" ref="G2621">_xlfn.XLOOKUP(C2621,Account_Master!A:A,Account_Master!C:C,"Not on master")</f>
        <v>0</v>
      </c>
      <c r="H2621" s="6">
        <v>3.75</v>
      </c>
      <c r="I2621" s="6">
        <v>3.75</v>
      </c>
      <c r="J2621" s="6">
        <f>I2621-H2621</f>
        <v>0</v>
      </c>
      <c r="K2621" s="5">
        <f>IF(H2621=0,"",J2621/H2621)</f>
        <v>0</v>
      </c>
      <c r="L2621">
        <f>IF(OR(AND(H2621=0,ABS(J2621)&gt;=0.01),AND(H2621&lt;&gt;0,ABS(K2621)&gt;VarianceThreshold)),"Review","OK")</f>
        <v>0</v>
      </c>
      <c r="M2621" t="s">
        <v>33</v>
      </c>
    </row>
    <row r="2622" spans="1:13">
      <c r="A2622" t="s">
        <v>4</v>
      </c>
      <c r="B2622" t="s">
        <v>226</v>
      </c>
      <c r="C2622" t="s">
        <v>2455</v>
      </c>
      <c r="D2622" t="s">
        <v>2487</v>
      </c>
      <c r="E2622" cm="1">
        <f t="array" ref="E2622">_xlfn.XLOOKUP(D2622,SKU_Master!A:A,SKU_Master!B:B,"Not on master")</f>
        <v>0</v>
      </c>
      <c r="F2622" cm="1">
        <f t="array" ref="F2622">_xlfn.XLOOKUP(C2622,Account_Master!A:A,Account_Master!B:B,"Not on master")</f>
        <v>0</v>
      </c>
      <c r="G2622" cm="1">
        <f t="array" ref="G2622">_xlfn.XLOOKUP(C2622,Account_Master!A:A,Account_Master!C:C,"Not on master")</f>
        <v>0</v>
      </c>
      <c r="H2622" s="6">
        <v>10.5</v>
      </c>
      <c r="I2622" s="6">
        <v>10.5</v>
      </c>
      <c r="J2622" s="6">
        <f>I2622-H2622</f>
        <v>0</v>
      </c>
      <c r="K2622" s="5">
        <f>IF(H2622=0,"",J2622/H2622)</f>
        <v>0</v>
      </c>
      <c r="L2622">
        <f>IF(OR(AND(H2622=0,ABS(J2622)&gt;=0.01),AND(H2622&lt;&gt;0,ABS(K2622)&gt;VarianceThreshold)),"Review","OK")</f>
        <v>0</v>
      </c>
      <c r="M2622" t="s">
        <v>33</v>
      </c>
    </row>
    <row r="2623" spans="1:13">
      <c r="A2623" t="s">
        <v>4</v>
      </c>
      <c r="B2623" t="s">
        <v>231</v>
      </c>
      <c r="C2623" t="s">
        <v>2453</v>
      </c>
      <c r="D2623" t="s">
        <v>1702</v>
      </c>
      <c r="E2623" cm="1">
        <f t="array" ref="E2623">_xlfn.XLOOKUP(D2623,SKU_Master!A:A,SKU_Master!B:B,"Not on master")</f>
        <v>0</v>
      </c>
      <c r="F2623" cm="1">
        <f t="array" ref="F2623">_xlfn.XLOOKUP(C2623,Account_Master!A:A,Account_Master!B:B,"Not on master")</f>
        <v>0</v>
      </c>
      <c r="G2623" cm="1">
        <f t="array" ref="G2623">_xlfn.XLOOKUP(C2623,Account_Master!A:A,Account_Master!C:C,"Not on master")</f>
        <v>0</v>
      </c>
      <c r="H2623" s="6">
        <v>18</v>
      </c>
      <c r="I2623" s="6">
        <v>18</v>
      </c>
      <c r="J2623" s="6">
        <f>I2623-H2623</f>
        <v>0</v>
      </c>
      <c r="K2623" s="5">
        <f>IF(H2623=0,"",J2623/H2623)</f>
        <v>0</v>
      </c>
      <c r="L2623">
        <f>IF(OR(AND(H2623=0,ABS(J2623)&gt;=0.01),AND(H2623&lt;&gt;0,ABS(K2623)&gt;VarianceThreshold)),"Review","OK")</f>
        <v>0</v>
      </c>
      <c r="M2623" t="s">
        <v>33</v>
      </c>
    </row>
    <row r="2624" spans="1:13">
      <c r="A2624" t="s">
        <v>4</v>
      </c>
      <c r="B2624" t="s">
        <v>231</v>
      </c>
      <c r="C2624" t="s">
        <v>2488</v>
      </c>
      <c r="D2624" t="s">
        <v>1220</v>
      </c>
      <c r="E2624" cm="1">
        <f t="array" ref="E2624">_xlfn.XLOOKUP(D2624,SKU_Master!A:A,SKU_Master!B:B,"Not on master")</f>
        <v>0</v>
      </c>
      <c r="F2624" cm="1">
        <f t="array" ref="F2624">_xlfn.XLOOKUP(C2624,Account_Master!A:A,Account_Master!B:B,"Not on master")</f>
        <v>0</v>
      </c>
      <c r="G2624" cm="1">
        <f t="array" ref="G2624">_xlfn.XLOOKUP(C2624,Account_Master!A:A,Account_Master!C:C,"Not on master")</f>
        <v>0</v>
      </c>
      <c r="H2624" s="6">
        <v>22.75</v>
      </c>
      <c r="I2624" s="6">
        <v>22.75</v>
      </c>
      <c r="J2624" s="6">
        <f>I2624-H2624</f>
        <v>0</v>
      </c>
      <c r="K2624" s="5">
        <f>IF(H2624=0,"",J2624/H2624)</f>
        <v>0</v>
      </c>
      <c r="L2624">
        <f>IF(OR(AND(H2624=0,ABS(J2624)&gt;=0.01),AND(H2624&lt;&gt;0,ABS(K2624)&gt;VarianceThreshold)),"Review","OK")</f>
        <v>0</v>
      </c>
      <c r="M2624" t="s">
        <v>33</v>
      </c>
    </row>
    <row r="2625" spans="1:13">
      <c r="A2625" t="s">
        <v>4</v>
      </c>
      <c r="B2625" t="s">
        <v>231</v>
      </c>
      <c r="C2625" t="s">
        <v>2432</v>
      </c>
      <c r="D2625" t="s">
        <v>2489</v>
      </c>
      <c r="E2625" cm="1">
        <f t="array" ref="E2625">_xlfn.XLOOKUP(D2625,SKU_Master!A:A,SKU_Master!B:B,"Not on master")</f>
        <v>0</v>
      </c>
      <c r="F2625" cm="1">
        <f t="array" ref="F2625">_xlfn.XLOOKUP(C2625,Account_Master!A:A,Account_Master!B:B,"Not on master")</f>
        <v>0</v>
      </c>
      <c r="G2625" cm="1">
        <f t="array" ref="G2625">_xlfn.XLOOKUP(C2625,Account_Master!A:A,Account_Master!C:C,"Not on master")</f>
        <v>0</v>
      </c>
      <c r="H2625" s="6">
        <v>2.25</v>
      </c>
      <c r="I2625" s="6">
        <v>2.25</v>
      </c>
      <c r="J2625" s="6">
        <f>I2625-H2625</f>
        <v>0</v>
      </c>
      <c r="K2625" s="5">
        <f>IF(H2625=0,"",J2625/H2625)</f>
        <v>0</v>
      </c>
      <c r="L2625">
        <f>IF(OR(AND(H2625=0,ABS(J2625)&gt;=0.01),AND(H2625&lt;&gt;0,ABS(K2625)&gt;VarianceThreshold)),"Review","OK")</f>
        <v>0</v>
      </c>
      <c r="M2625" t="s">
        <v>33</v>
      </c>
    </row>
    <row r="2626" spans="1:13">
      <c r="A2626" t="s">
        <v>4</v>
      </c>
      <c r="B2626" t="s">
        <v>231</v>
      </c>
      <c r="C2626" t="s">
        <v>2490</v>
      </c>
      <c r="D2626" t="s">
        <v>1301</v>
      </c>
      <c r="E2626" cm="1">
        <f t="array" ref="E2626">_xlfn.XLOOKUP(D2626,SKU_Master!A:A,SKU_Master!B:B,"Not on master")</f>
        <v>0</v>
      </c>
      <c r="F2626" cm="1">
        <f t="array" ref="F2626">_xlfn.XLOOKUP(C2626,Account_Master!A:A,Account_Master!B:B,"Not on master")</f>
        <v>0</v>
      </c>
      <c r="G2626" cm="1">
        <f t="array" ref="G2626">_xlfn.XLOOKUP(C2626,Account_Master!A:A,Account_Master!C:C,"Not on master")</f>
        <v>0</v>
      </c>
      <c r="H2626" s="6">
        <v>15.2</v>
      </c>
      <c r="I2626" s="6">
        <v>15.2</v>
      </c>
      <c r="J2626" s="6">
        <f>I2626-H2626</f>
        <v>0</v>
      </c>
      <c r="K2626" s="5">
        <f>IF(H2626=0,"",J2626/H2626)</f>
        <v>0</v>
      </c>
      <c r="L2626">
        <f>IF(OR(AND(H2626=0,ABS(J2626)&gt;=0.01),AND(H2626&lt;&gt;0,ABS(K2626)&gt;VarianceThreshold)),"Review","OK")</f>
        <v>0</v>
      </c>
      <c r="M2626" t="s">
        <v>33</v>
      </c>
    </row>
    <row r="2627" spans="1:13">
      <c r="A2627" t="s">
        <v>4</v>
      </c>
      <c r="B2627" t="s">
        <v>231</v>
      </c>
      <c r="C2627" t="s">
        <v>2491</v>
      </c>
      <c r="D2627" t="s">
        <v>318</v>
      </c>
      <c r="E2627" cm="1">
        <f t="array" ref="E2627">_xlfn.XLOOKUP(D2627,SKU_Master!A:A,SKU_Master!B:B,"Not on master")</f>
        <v>0</v>
      </c>
      <c r="F2627" cm="1">
        <f t="array" ref="F2627">_xlfn.XLOOKUP(C2627,Account_Master!A:A,Account_Master!B:B,"Not on master")</f>
        <v>0</v>
      </c>
      <c r="G2627" cm="1">
        <f t="array" ref="G2627">_xlfn.XLOOKUP(C2627,Account_Master!A:A,Account_Master!C:C,"Not on master")</f>
        <v>0</v>
      </c>
      <c r="H2627" s="6">
        <v>8.25</v>
      </c>
      <c r="I2627" s="6">
        <v>8.25</v>
      </c>
      <c r="J2627" s="6">
        <f>I2627-H2627</f>
        <v>0</v>
      </c>
      <c r="K2627" s="5">
        <f>IF(H2627=0,"",J2627/H2627)</f>
        <v>0</v>
      </c>
      <c r="L2627">
        <f>IF(OR(AND(H2627=0,ABS(J2627)&gt;=0.01),AND(H2627&lt;&gt;0,ABS(K2627)&gt;VarianceThreshold)),"Review","OK")</f>
        <v>0</v>
      </c>
      <c r="M2627" t="s">
        <v>33</v>
      </c>
    </row>
    <row r="2628" spans="1:13">
      <c r="A2628" t="s">
        <v>4</v>
      </c>
      <c r="B2628" t="s">
        <v>231</v>
      </c>
      <c r="C2628" t="s">
        <v>2430</v>
      </c>
      <c r="D2628" t="s">
        <v>1383</v>
      </c>
      <c r="E2628" cm="1">
        <f t="array" ref="E2628">_xlfn.XLOOKUP(D2628,SKU_Master!A:A,SKU_Master!B:B,"Not on master")</f>
        <v>0</v>
      </c>
      <c r="F2628" cm="1">
        <f t="array" ref="F2628">_xlfn.XLOOKUP(C2628,Account_Master!A:A,Account_Master!B:B,"Not on master")</f>
        <v>0</v>
      </c>
      <c r="G2628" cm="1">
        <f t="array" ref="G2628">_xlfn.XLOOKUP(C2628,Account_Master!A:A,Account_Master!C:C,"Not on master")</f>
        <v>0</v>
      </c>
      <c r="H2628" s="6">
        <v>29.25</v>
      </c>
      <c r="I2628" s="6">
        <v>29.25</v>
      </c>
      <c r="J2628" s="6">
        <f>I2628-H2628</f>
        <v>0</v>
      </c>
      <c r="K2628" s="5">
        <f>IF(H2628=0,"",J2628/H2628)</f>
        <v>0</v>
      </c>
      <c r="L2628">
        <f>IF(OR(AND(H2628=0,ABS(J2628)&gt;=0.01),AND(H2628&lt;&gt;0,ABS(K2628)&gt;VarianceThreshold)),"Review","OK")</f>
        <v>0</v>
      </c>
      <c r="M2628" t="s">
        <v>33</v>
      </c>
    </row>
    <row r="2629" spans="1:13">
      <c r="A2629" t="s">
        <v>4</v>
      </c>
      <c r="B2629" t="s">
        <v>231</v>
      </c>
      <c r="C2629" t="s">
        <v>2490</v>
      </c>
      <c r="D2629" t="s">
        <v>2492</v>
      </c>
      <c r="E2629" cm="1">
        <f t="array" ref="E2629">_xlfn.XLOOKUP(D2629,SKU_Master!A:A,SKU_Master!B:B,"Not on master")</f>
        <v>0</v>
      </c>
      <c r="F2629" cm="1">
        <f t="array" ref="F2629">_xlfn.XLOOKUP(C2629,Account_Master!A:A,Account_Master!B:B,"Not on master")</f>
        <v>0</v>
      </c>
      <c r="G2629" cm="1">
        <f t="array" ref="G2629">_xlfn.XLOOKUP(C2629,Account_Master!A:A,Account_Master!C:C,"Not on master")</f>
        <v>0</v>
      </c>
      <c r="H2629" s="6">
        <v>30</v>
      </c>
      <c r="I2629" s="6">
        <v>30</v>
      </c>
      <c r="J2629" s="6">
        <f>I2629-H2629</f>
        <v>0</v>
      </c>
      <c r="K2629" s="5">
        <f>IF(H2629=0,"",J2629/H2629)</f>
        <v>0</v>
      </c>
      <c r="L2629">
        <f>IF(OR(AND(H2629=0,ABS(J2629)&gt;=0.01),AND(H2629&lt;&gt;0,ABS(K2629)&gt;VarianceThreshold)),"Review","OK")</f>
        <v>0</v>
      </c>
      <c r="M2629" t="s">
        <v>33</v>
      </c>
    </row>
    <row r="2630" spans="1:13">
      <c r="A2630" t="s">
        <v>4</v>
      </c>
      <c r="B2630" t="s">
        <v>231</v>
      </c>
      <c r="C2630" t="s">
        <v>2418</v>
      </c>
      <c r="D2630" t="s">
        <v>203</v>
      </c>
      <c r="E2630" cm="1">
        <f t="array" ref="E2630">_xlfn.XLOOKUP(D2630,SKU_Master!A:A,SKU_Master!B:B,"Not on master")</f>
        <v>0</v>
      </c>
      <c r="F2630" cm="1">
        <f t="array" ref="F2630">_xlfn.XLOOKUP(C2630,Account_Master!A:A,Account_Master!B:B,"Not on master")</f>
        <v>0</v>
      </c>
      <c r="G2630" cm="1">
        <f t="array" ref="G2630">_xlfn.XLOOKUP(C2630,Account_Master!A:A,Account_Master!C:C,"Not on master")</f>
        <v>0</v>
      </c>
      <c r="H2630" s="6">
        <v>27.75</v>
      </c>
      <c r="I2630" s="6">
        <v>27.75</v>
      </c>
      <c r="J2630" s="6">
        <f>I2630-H2630</f>
        <v>0</v>
      </c>
      <c r="K2630" s="5">
        <f>IF(H2630=0,"",J2630/H2630)</f>
        <v>0</v>
      </c>
      <c r="L2630">
        <f>IF(OR(AND(H2630=0,ABS(J2630)&gt;=0.01),AND(H2630&lt;&gt;0,ABS(K2630)&gt;VarianceThreshold)),"Review","OK")</f>
        <v>0</v>
      </c>
      <c r="M2630" t="s">
        <v>33</v>
      </c>
    </row>
    <row r="2631" spans="1:13">
      <c r="A2631" t="s">
        <v>4</v>
      </c>
      <c r="B2631" t="s">
        <v>238</v>
      </c>
      <c r="C2631" t="s">
        <v>2453</v>
      </c>
      <c r="D2631" t="s">
        <v>2290</v>
      </c>
      <c r="E2631" cm="1">
        <f t="array" ref="E2631">_xlfn.XLOOKUP(D2631,SKU_Master!A:A,SKU_Master!B:B,"Not on master")</f>
        <v>0</v>
      </c>
      <c r="F2631" cm="1">
        <f t="array" ref="F2631">_xlfn.XLOOKUP(C2631,Account_Master!A:A,Account_Master!B:B,"Not on master")</f>
        <v>0</v>
      </c>
      <c r="G2631" cm="1">
        <f t="array" ref="G2631">_xlfn.XLOOKUP(C2631,Account_Master!A:A,Account_Master!C:C,"Not on master")</f>
        <v>0</v>
      </c>
      <c r="H2631" s="6">
        <v>63</v>
      </c>
      <c r="I2631" s="6">
        <v>63</v>
      </c>
      <c r="J2631" s="6">
        <f>I2631-H2631</f>
        <v>0</v>
      </c>
      <c r="K2631" s="5">
        <f>IF(H2631=0,"",J2631/H2631)</f>
        <v>0</v>
      </c>
      <c r="L2631">
        <f>IF(OR(AND(H2631=0,ABS(J2631)&gt;=0.01),AND(H2631&lt;&gt;0,ABS(K2631)&gt;VarianceThreshold)),"Review","OK")</f>
        <v>0</v>
      </c>
      <c r="M2631" t="s">
        <v>33</v>
      </c>
    </row>
    <row r="2632" spans="1:13">
      <c r="A2632" t="s">
        <v>4</v>
      </c>
      <c r="B2632" t="s">
        <v>238</v>
      </c>
      <c r="C2632" t="s">
        <v>2493</v>
      </c>
      <c r="D2632" t="s">
        <v>877</v>
      </c>
      <c r="E2632" cm="1">
        <f t="array" ref="E2632">_xlfn.XLOOKUP(D2632,SKU_Master!A:A,SKU_Master!B:B,"Not on master")</f>
        <v>0</v>
      </c>
      <c r="F2632" cm="1">
        <f t="array" ref="F2632">_xlfn.XLOOKUP(C2632,Account_Master!A:A,Account_Master!B:B,"Not on master")</f>
        <v>0</v>
      </c>
      <c r="G2632" cm="1">
        <f t="array" ref="G2632">_xlfn.XLOOKUP(C2632,Account_Master!A:A,Account_Master!C:C,"Not on master")</f>
        <v>0</v>
      </c>
      <c r="H2632" s="6">
        <v>204.75</v>
      </c>
      <c r="I2632" s="6">
        <v>204.75</v>
      </c>
      <c r="J2632" s="6">
        <f>I2632-H2632</f>
        <v>0</v>
      </c>
      <c r="K2632" s="5">
        <f>IF(H2632=0,"",J2632/H2632)</f>
        <v>0</v>
      </c>
      <c r="L2632">
        <f>IF(OR(AND(H2632=0,ABS(J2632)&gt;=0.01),AND(H2632&lt;&gt;0,ABS(K2632)&gt;VarianceThreshold)),"Review","OK")</f>
        <v>0</v>
      </c>
      <c r="M2632" t="s">
        <v>33</v>
      </c>
    </row>
    <row r="2633" spans="1:13">
      <c r="A2633" t="s">
        <v>4</v>
      </c>
      <c r="B2633" t="s">
        <v>238</v>
      </c>
      <c r="C2633" t="s">
        <v>2494</v>
      </c>
      <c r="D2633" t="s">
        <v>916</v>
      </c>
      <c r="E2633" cm="1">
        <f t="array" ref="E2633">_xlfn.XLOOKUP(D2633,SKU_Master!A:A,SKU_Master!B:B,"Not on master")</f>
        <v>0</v>
      </c>
      <c r="F2633" cm="1">
        <f t="array" ref="F2633">_xlfn.XLOOKUP(C2633,Account_Master!A:A,Account_Master!B:B,"Not on master")</f>
        <v>0</v>
      </c>
      <c r="G2633" cm="1">
        <f t="array" ref="G2633">_xlfn.XLOOKUP(C2633,Account_Master!A:A,Account_Master!C:C,"Not on master")</f>
        <v>0</v>
      </c>
      <c r="H2633" s="6">
        <v>0.6</v>
      </c>
      <c r="I2633" s="6">
        <v>0.6</v>
      </c>
      <c r="J2633" s="6">
        <f>I2633-H2633</f>
        <v>0</v>
      </c>
      <c r="K2633" s="5">
        <f>IF(H2633=0,"",J2633/H2633)</f>
        <v>0</v>
      </c>
      <c r="L2633">
        <f>IF(OR(AND(H2633=0,ABS(J2633)&gt;=0.01),AND(H2633&lt;&gt;0,ABS(K2633)&gt;VarianceThreshold)),"Review","OK")</f>
        <v>0</v>
      </c>
      <c r="M2633" t="s">
        <v>33</v>
      </c>
    </row>
    <row r="2634" spans="1:13">
      <c r="A2634" t="s">
        <v>4</v>
      </c>
      <c r="B2634" t="s">
        <v>238</v>
      </c>
      <c r="C2634" t="s">
        <v>2495</v>
      </c>
      <c r="D2634" t="s">
        <v>1470</v>
      </c>
      <c r="E2634" cm="1">
        <f t="array" ref="E2634">_xlfn.XLOOKUP(D2634,SKU_Master!A:A,SKU_Master!B:B,"Not on master")</f>
        <v>0</v>
      </c>
      <c r="F2634" cm="1">
        <f t="array" ref="F2634">_xlfn.XLOOKUP(C2634,Account_Master!A:A,Account_Master!B:B,"Not on master")</f>
        <v>0</v>
      </c>
      <c r="G2634" cm="1">
        <f t="array" ref="G2634">_xlfn.XLOOKUP(C2634,Account_Master!A:A,Account_Master!C:C,"Not on master")</f>
        <v>0</v>
      </c>
      <c r="H2634" s="6">
        <v>345.37</v>
      </c>
      <c r="I2634" s="6">
        <v>345.37</v>
      </c>
      <c r="J2634" s="6">
        <f>I2634-H2634</f>
        <v>0</v>
      </c>
      <c r="K2634" s="5">
        <f>IF(H2634=0,"",J2634/H2634)</f>
        <v>0</v>
      </c>
      <c r="L2634">
        <f>IF(OR(AND(H2634=0,ABS(J2634)&gt;=0.01),AND(H2634&lt;&gt;0,ABS(K2634)&gt;VarianceThreshold)),"Review","OK")</f>
        <v>0</v>
      </c>
      <c r="M2634" t="s">
        <v>33</v>
      </c>
    </row>
    <row r="2635" spans="1:13">
      <c r="A2635" t="s">
        <v>4</v>
      </c>
      <c r="B2635" t="s">
        <v>238</v>
      </c>
      <c r="C2635" t="s">
        <v>2432</v>
      </c>
      <c r="D2635" t="s">
        <v>2496</v>
      </c>
      <c r="E2635" cm="1">
        <f t="array" ref="E2635">_xlfn.XLOOKUP(D2635,SKU_Master!A:A,SKU_Master!B:B,"Not on master")</f>
        <v>0</v>
      </c>
      <c r="F2635" cm="1">
        <f t="array" ref="F2635">_xlfn.XLOOKUP(C2635,Account_Master!A:A,Account_Master!B:B,"Not on master")</f>
        <v>0</v>
      </c>
      <c r="G2635" cm="1">
        <f t="array" ref="G2635">_xlfn.XLOOKUP(C2635,Account_Master!A:A,Account_Master!C:C,"Not on master")</f>
        <v>0</v>
      </c>
      <c r="H2635" s="6">
        <v>0.75</v>
      </c>
      <c r="I2635" s="6">
        <v>0.75</v>
      </c>
      <c r="J2635" s="6">
        <f>I2635-H2635</f>
        <v>0</v>
      </c>
      <c r="K2635" s="5">
        <f>IF(H2635=0,"",J2635/H2635)</f>
        <v>0</v>
      </c>
      <c r="L2635">
        <f>IF(OR(AND(H2635=0,ABS(J2635)&gt;=0.01),AND(H2635&lt;&gt;0,ABS(K2635)&gt;VarianceThreshold)),"Review","OK")</f>
        <v>0</v>
      </c>
      <c r="M2635" t="s">
        <v>33</v>
      </c>
    </row>
    <row r="2636" spans="1:13">
      <c r="A2636" t="s">
        <v>4</v>
      </c>
      <c r="B2636" t="s">
        <v>238</v>
      </c>
      <c r="C2636" t="s">
        <v>2497</v>
      </c>
      <c r="D2636" t="s">
        <v>1506</v>
      </c>
      <c r="E2636" cm="1">
        <f t="array" ref="E2636">_xlfn.XLOOKUP(D2636,SKU_Master!A:A,SKU_Master!B:B,"Not on master")</f>
        <v>0</v>
      </c>
      <c r="F2636" cm="1">
        <f t="array" ref="F2636">_xlfn.XLOOKUP(C2636,Account_Master!A:A,Account_Master!B:B,"Not on master")</f>
        <v>0</v>
      </c>
      <c r="G2636" cm="1">
        <f t="array" ref="G2636">_xlfn.XLOOKUP(C2636,Account_Master!A:A,Account_Master!C:C,"Not on master")</f>
        <v>0</v>
      </c>
      <c r="H2636" s="6">
        <v>119.25</v>
      </c>
      <c r="I2636" s="6">
        <v>119.25</v>
      </c>
      <c r="J2636" s="6">
        <f>I2636-H2636</f>
        <v>0</v>
      </c>
      <c r="K2636" s="5">
        <f>IF(H2636=0,"",J2636/H2636)</f>
        <v>0</v>
      </c>
      <c r="L2636">
        <f>IF(OR(AND(H2636=0,ABS(J2636)&gt;=0.01),AND(H2636&lt;&gt;0,ABS(K2636)&gt;VarianceThreshold)),"Review","OK")</f>
        <v>0</v>
      </c>
      <c r="M2636" t="s">
        <v>33</v>
      </c>
    </row>
    <row r="2637" spans="1:13">
      <c r="A2637" t="s">
        <v>4</v>
      </c>
      <c r="B2637" t="s">
        <v>238</v>
      </c>
      <c r="C2637" t="s">
        <v>2455</v>
      </c>
      <c r="D2637" t="s">
        <v>2089</v>
      </c>
      <c r="E2637" cm="1">
        <f t="array" ref="E2637">_xlfn.XLOOKUP(D2637,SKU_Master!A:A,SKU_Master!B:B,"Not on master")</f>
        <v>0</v>
      </c>
      <c r="F2637" cm="1">
        <f t="array" ref="F2637">_xlfn.XLOOKUP(C2637,Account_Master!A:A,Account_Master!B:B,"Not on master")</f>
        <v>0</v>
      </c>
      <c r="G2637" cm="1">
        <f t="array" ref="G2637">_xlfn.XLOOKUP(C2637,Account_Master!A:A,Account_Master!C:C,"Not on master")</f>
        <v>0</v>
      </c>
      <c r="H2637" s="6">
        <v>20</v>
      </c>
      <c r="I2637" s="6">
        <v>20</v>
      </c>
      <c r="J2637" s="6">
        <f>I2637-H2637</f>
        <v>0</v>
      </c>
      <c r="K2637" s="5">
        <f>IF(H2637=0,"",J2637/H2637)</f>
        <v>0</v>
      </c>
      <c r="L2637">
        <f>IF(OR(AND(H2637=0,ABS(J2637)&gt;=0.01),AND(H2637&lt;&gt;0,ABS(K2637)&gt;VarianceThreshold)),"Review","OK")</f>
        <v>0</v>
      </c>
      <c r="M2637" t="s">
        <v>33</v>
      </c>
    </row>
    <row r="2638" spans="1:13">
      <c r="A2638" t="s">
        <v>4</v>
      </c>
      <c r="B2638" t="s">
        <v>238</v>
      </c>
      <c r="C2638" t="s">
        <v>2443</v>
      </c>
      <c r="D2638" t="s">
        <v>1287</v>
      </c>
      <c r="E2638" cm="1">
        <f t="array" ref="E2638">_xlfn.XLOOKUP(D2638,SKU_Master!A:A,SKU_Master!B:B,"Not on master")</f>
        <v>0</v>
      </c>
      <c r="F2638" cm="1">
        <f t="array" ref="F2638">_xlfn.XLOOKUP(C2638,Account_Master!A:A,Account_Master!B:B,"Not on master")</f>
        <v>0</v>
      </c>
      <c r="G2638" cm="1">
        <f t="array" ref="G2638">_xlfn.XLOOKUP(C2638,Account_Master!A:A,Account_Master!C:C,"Not on master")</f>
        <v>0</v>
      </c>
      <c r="H2638" s="6">
        <v>13.5</v>
      </c>
      <c r="I2638" s="6">
        <v>13.5</v>
      </c>
      <c r="J2638" s="6">
        <f>I2638-H2638</f>
        <v>0</v>
      </c>
      <c r="K2638" s="5">
        <f>IF(H2638=0,"",J2638/H2638)</f>
        <v>0</v>
      </c>
      <c r="L2638">
        <f>IF(OR(AND(H2638=0,ABS(J2638)&gt;=0.01),AND(H2638&lt;&gt;0,ABS(K2638)&gt;VarianceThreshold)),"Review","OK")</f>
        <v>0</v>
      </c>
      <c r="M2638" t="s">
        <v>33</v>
      </c>
    </row>
    <row r="2639" spans="1:13">
      <c r="A2639" t="s">
        <v>4</v>
      </c>
      <c r="B2639" t="s">
        <v>251</v>
      </c>
      <c r="C2639" t="s">
        <v>2498</v>
      </c>
      <c r="D2639" t="s">
        <v>1146</v>
      </c>
      <c r="E2639" cm="1">
        <f t="array" ref="E2639">_xlfn.XLOOKUP(D2639,SKU_Master!A:A,SKU_Master!B:B,"Not on master")</f>
        <v>0</v>
      </c>
      <c r="F2639" cm="1">
        <f t="array" ref="F2639">_xlfn.XLOOKUP(C2639,Account_Master!A:A,Account_Master!B:B,"Not on master")</f>
        <v>0</v>
      </c>
      <c r="G2639" cm="1">
        <f t="array" ref="G2639">_xlfn.XLOOKUP(C2639,Account_Master!A:A,Account_Master!C:C,"Not on master")</f>
        <v>0</v>
      </c>
      <c r="H2639" s="6">
        <v>13.5</v>
      </c>
      <c r="I2639" s="6">
        <v>13.5</v>
      </c>
      <c r="J2639" s="6">
        <f>I2639-H2639</f>
        <v>0</v>
      </c>
      <c r="K2639" s="5">
        <f>IF(H2639=0,"",J2639/H2639)</f>
        <v>0</v>
      </c>
      <c r="L2639">
        <f>IF(OR(AND(H2639=0,ABS(J2639)&gt;=0.01),AND(H2639&lt;&gt;0,ABS(K2639)&gt;VarianceThreshold)),"Review","OK")</f>
        <v>0</v>
      </c>
      <c r="M2639" t="s">
        <v>33</v>
      </c>
    </row>
    <row r="2640" spans="1:13">
      <c r="A2640" t="s">
        <v>4</v>
      </c>
      <c r="B2640" t="s">
        <v>251</v>
      </c>
      <c r="C2640" t="s">
        <v>2499</v>
      </c>
      <c r="D2640" t="s">
        <v>625</v>
      </c>
      <c r="E2640" cm="1">
        <f t="array" ref="E2640">_xlfn.XLOOKUP(D2640,SKU_Master!A:A,SKU_Master!B:B,"Not on master")</f>
        <v>0</v>
      </c>
      <c r="F2640" cm="1">
        <f t="array" ref="F2640">_xlfn.XLOOKUP(C2640,Account_Master!A:A,Account_Master!B:B,"Not on master")</f>
        <v>0</v>
      </c>
      <c r="G2640" cm="1">
        <f t="array" ref="G2640">_xlfn.XLOOKUP(C2640,Account_Master!A:A,Account_Master!C:C,"Not on master")</f>
        <v>0</v>
      </c>
      <c r="H2640" s="6">
        <v>69</v>
      </c>
      <c r="I2640" s="6">
        <v>69</v>
      </c>
      <c r="J2640" s="6">
        <f>I2640-H2640</f>
        <v>0</v>
      </c>
      <c r="K2640" s="5">
        <f>IF(H2640=0,"",J2640/H2640)</f>
        <v>0</v>
      </c>
      <c r="L2640">
        <f>IF(OR(AND(H2640=0,ABS(J2640)&gt;=0.01),AND(H2640&lt;&gt;0,ABS(K2640)&gt;VarianceThreshold)),"Review","OK")</f>
        <v>0</v>
      </c>
      <c r="M2640" t="s">
        <v>33</v>
      </c>
    </row>
    <row r="2641" spans="1:13">
      <c r="A2641" t="s">
        <v>4</v>
      </c>
      <c r="B2641" t="s">
        <v>251</v>
      </c>
      <c r="C2641" t="s">
        <v>2477</v>
      </c>
      <c r="D2641" t="s">
        <v>665</v>
      </c>
      <c r="E2641" cm="1">
        <f t="array" ref="E2641">_xlfn.XLOOKUP(D2641,SKU_Master!A:A,SKU_Master!B:B,"Not on master")</f>
        <v>0</v>
      </c>
      <c r="F2641" cm="1">
        <f t="array" ref="F2641">_xlfn.XLOOKUP(C2641,Account_Master!A:A,Account_Master!B:B,"Not on master")</f>
        <v>0</v>
      </c>
      <c r="G2641" cm="1">
        <f t="array" ref="G2641">_xlfn.XLOOKUP(C2641,Account_Master!A:A,Account_Master!C:C,"Not on master")</f>
        <v>0</v>
      </c>
      <c r="H2641" s="6">
        <v>87.5</v>
      </c>
      <c r="I2641" s="6">
        <v>87.5</v>
      </c>
      <c r="J2641" s="6">
        <f>I2641-H2641</f>
        <v>0</v>
      </c>
      <c r="K2641" s="5">
        <f>IF(H2641=0,"",J2641/H2641)</f>
        <v>0</v>
      </c>
      <c r="L2641">
        <f>IF(OR(AND(H2641=0,ABS(J2641)&gt;=0.01),AND(H2641&lt;&gt;0,ABS(K2641)&gt;VarianceThreshold)),"Review","OK")</f>
        <v>0</v>
      </c>
      <c r="M2641" t="s">
        <v>33</v>
      </c>
    </row>
    <row r="2642" spans="1:13">
      <c r="A2642" t="s">
        <v>4</v>
      </c>
      <c r="B2642" t="s">
        <v>251</v>
      </c>
      <c r="C2642" t="s">
        <v>2428</v>
      </c>
      <c r="D2642" t="s">
        <v>94</v>
      </c>
      <c r="E2642" cm="1">
        <f t="array" ref="E2642">_xlfn.XLOOKUP(D2642,SKU_Master!A:A,SKU_Master!B:B,"Not on master")</f>
        <v>0</v>
      </c>
      <c r="F2642" cm="1">
        <f t="array" ref="F2642">_xlfn.XLOOKUP(C2642,Account_Master!A:A,Account_Master!B:B,"Not on master")</f>
        <v>0</v>
      </c>
      <c r="G2642" cm="1">
        <f t="array" ref="G2642">_xlfn.XLOOKUP(C2642,Account_Master!A:A,Account_Master!C:C,"Not on master")</f>
        <v>0</v>
      </c>
      <c r="H2642" s="6">
        <v>155.75</v>
      </c>
      <c r="I2642" s="6">
        <v>155.75</v>
      </c>
      <c r="J2642" s="6">
        <f>I2642-H2642</f>
        <v>0</v>
      </c>
      <c r="K2642" s="5">
        <f>IF(H2642=0,"",J2642/H2642)</f>
        <v>0</v>
      </c>
      <c r="L2642">
        <f>IF(OR(AND(H2642=0,ABS(J2642)&gt;=0.01),AND(H2642&lt;&gt;0,ABS(K2642)&gt;VarianceThreshold)),"Review","OK")</f>
        <v>0</v>
      </c>
      <c r="M2642" t="s">
        <v>33</v>
      </c>
    </row>
    <row r="2643" spans="1:13">
      <c r="A2643" t="s">
        <v>4</v>
      </c>
      <c r="B2643" t="s">
        <v>251</v>
      </c>
      <c r="C2643" t="s">
        <v>2412</v>
      </c>
      <c r="D2643" t="s">
        <v>2500</v>
      </c>
      <c r="E2643" cm="1">
        <f t="array" ref="E2643">_xlfn.XLOOKUP(D2643,SKU_Master!A:A,SKU_Master!B:B,"Not on master")</f>
        <v>0</v>
      </c>
      <c r="F2643" cm="1">
        <f t="array" ref="F2643">_xlfn.XLOOKUP(C2643,Account_Master!A:A,Account_Master!B:B,"Not on master")</f>
        <v>0</v>
      </c>
      <c r="G2643" cm="1">
        <f t="array" ref="G2643">_xlfn.XLOOKUP(C2643,Account_Master!A:A,Account_Master!C:C,"Not on master")</f>
        <v>0</v>
      </c>
      <c r="H2643" s="6">
        <v>4.5</v>
      </c>
      <c r="I2643" s="6">
        <v>4.5</v>
      </c>
      <c r="J2643" s="6">
        <f>I2643-H2643</f>
        <v>0</v>
      </c>
      <c r="K2643" s="5">
        <f>IF(H2643=0,"",J2643/H2643)</f>
        <v>0</v>
      </c>
      <c r="L2643">
        <f>IF(OR(AND(H2643=0,ABS(J2643)&gt;=0.01),AND(H2643&lt;&gt;0,ABS(K2643)&gt;VarianceThreshold)),"Review","OK")</f>
        <v>0</v>
      </c>
      <c r="M2643" t="s">
        <v>33</v>
      </c>
    </row>
    <row r="2644" spans="1:13">
      <c r="A2644" t="s">
        <v>4</v>
      </c>
      <c r="B2644" t="s">
        <v>254</v>
      </c>
      <c r="C2644" t="s">
        <v>2480</v>
      </c>
      <c r="D2644" t="s">
        <v>1067</v>
      </c>
      <c r="E2644" cm="1">
        <f t="array" ref="E2644">_xlfn.XLOOKUP(D2644,SKU_Master!A:A,SKU_Master!B:B,"Not on master")</f>
        <v>0</v>
      </c>
      <c r="F2644" cm="1">
        <f t="array" ref="F2644">_xlfn.XLOOKUP(C2644,Account_Master!A:A,Account_Master!B:B,"Not on master")</f>
        <v>0</v>
      </c>
      <c r="G2644" cm="1">
        <f t="array" ref="G2644">_xlfn.XLOOKUP(C2644,Account_Master!A:A,Account_Master!C:C,"Not on master")</f>
        <v>0</v>
      </c>
      <c r="H2644" s="6">
        <v>31.5</v>
      </c>
      <c r="I2644" s="6">
        <v>31.5</v>
      </c>
      <c r="J2644" s="6">
        <f>I2644-H2644</f>
        <v>0</v>
      </c>
      <c r="K2644" s="5">
        <f>IF(H2644=0,"",J2644/H2644)</f>
        <v>0</v>
      </c>
      <c r="L2644">
        <f>IF(OR(AND(H2644=0,ABS(J2644)&gt;=0.01),AND(H2644&lt;&gt;0,ABS(K2644)&gt;VarianceThreshold)),"Review","OK")</f>
        <v>0</v>
      </c>
      <c r="M2644" t="s">
        <v>33</v>
      </c>
    </row>
    <row r="2645" spans="1:13">
      <c r="A2645" t="s">
        <v>4</v>
      </c>
      <c r="B2645" t="s">
        <v>254</v>
      </c>
      <c r="C2645" t="s">
        <v>2501</v>
      </c>
      <c r="D2645" t="s">
        <v>1530</v>
      </c>
      <c r="E2645" cm="1">
        <f t="array" ref="E2645">_xlfn.XLOOKUP(D2645,SKU_Master!A:A,SKU_Master!B:B,"Not on master")</f>
        <v>0</v>
      </c>
      <c r="F2645" cm="1">
        <f t="array" ref="F2645">_xlfn.XLOOKUP(C2645,Account_Master!A:A,Account_Master!B:B,"Not on master")</f>
        <v>0</v>
      </c>
      <c r="G2645" cm="1">
        <f t="array" ref="G2645">_xlfn.XLOOKUP(C2645,Account_Master!A:A,Account_Master!C:C,"Not on master")</f>
        <v>0</v>
      </c>
      <c r="H2645" s="6">
        <v>19.5</v>
      </c>
      <c r="I2645" s="6">
        <v>19.5</v>
      </c>
      <c r="J2645" s="6">
        <f>I2645-H2645</f>
        <v>0</v>
      </c>
      <c r="K2645" s="5">
        <f>IF(H2645=0,"",J2645/H2645)</f>
        <v>0</v>
      </c>
      <c r="L2645">
        <f>IF(OR(AND(H2645=0,ABS(J2645)&gt;=0.01),AND(H2645&lt;&gt;0,ABS(K2645)&gt;VarianceThreshold)),"Review","OK")</f>
        <v>0</v>
      </c>
      <c r="M2645" t="s">
        <v>33</v>
      </c>
    </row>
    <row r="2646" spans="1:13">
      <c r="A2646" t="s">
        <v>4</v>
      </c>
      <c r="B2646" t="s">
        <v>254</v>
      </c>
      <c r="C2646" t="s">
        <v>2432</v>
      </c>
      <c r="D2646" t="s">
        <v>2151</v>
      </c>
      <c r="E2646" cm="1">
        <f t="array" ref="E2646">_xlfn.XLOOKUP(D2646,SKU_Master!A:A,SKU_Master!B:B,"Not on master")</f>
        <v>0</v>
      </c>
      <c r="F2646" cm="1">
        <f t="array" ref="F2646">_xlfn.XLOOKUP(C2646,Account_Master!A:A,Account_Master!B:B,"Not on master")</f>
        <v>0</v>
      </c>
      <c r="G2646" cm="1">
        <f t="array" ref="G2646">_xlfn.XLOOKUP(C2646,Account_Master!A:A,Account_Master!C:C,"Not on master")</f>
        <v>0</v>
      </c>
      <c r="H2646" s="6">
        <v>10.5</v>
      </c>
      <c r="I2646" s="6">
        <v>10.5</v>
      </c>
      <c r="J2646" s="6">
        <f>I2646-H2646</f>
        <v>0</v>
      </c>
      <c r="K2646" s="5">
        <f>IF(H2646=0,"",J2646/H2646)</f>
        <v>0</v>
      </c>
      <c r="L2646">
        <f>IF(OR(AND(H2646=0,ABS(J2646)&gt;=0.01),AND(H2646&lt;&gt;0,ABS(K2646)&gt;VarianceThreshold)),"Review","OK")</f>
        <v>0</v>
      </c>
      <c r="M2646" t="s">
        <v>33</v>
      </c>
    </row>
    <row r="2647" spans="1:13">
      <c r="A2647" t="s">
        <v>4</v>
      </c>
      <c r="B2647" t="s">
        <v>254</v>
      </c>
      <c r="C2647" t="s">
        <v>2435</v>
      </c>
      <c r="D2647" t="s">
        <v>2502</v>
      </c>
      <c r="E2647" cm="1">
        <f t="array" ref="E2647">_xlfn.XLOOKUP(D2647,SKU_Master!A:A,SKU_Master!B:B,"Not on master")</f>
        <v>0</v>
      </c>
      <c r="F2647" cm="1">
        <f t="array" ref="F2647">_xlfn.XLOOKUP(C2647,Account_Master!A:A,Account_Master!B:B,"Not on master")</f>
        <v>0</v>
      </c>
      <c r="G2647" cm="1">
        <f t="array" ref="G2647">_xlfn.XLOOKUP(C2647,Account_Master!A:A,Account_Master!C:C,"Not on master")</f>
        <v>0</v>
      </c>
      <c r="H2647" s="6">
        <v>90</v>
      </c>
      <c r="I2647" s="6">
        <v>90</v>
      </c>
      <c r="J2647" s="6">
        <f>I2647-H2647</f>
        <v>0</v>
      </c>
      <c r="K2647" s="5">
        <f>IF(H2647=0,"",J2647/H2647)</f>
        <v>0</v>
      </c>
      <c r="L2647">
        <f>IF(OR(AND(H2647=0,ABS(J2647)&gt;=0.01),AND(H2647&lt;&gt;0,ABS(K2647)&gt;VarianceThreshold)),"Review","OK")</f>
        <v>0</v>
      </c>
      <c r="M2647" t="s">
        <v>33</v>
      </c>
    </row>
    <row r="2648" spans="1:13">
      <c r="A2648" t="s">
        <v>4</v>
      </c>
      <c r="B2648" t="s">
        <v>254</v>
      </c>
      <c r="C2648" t="s">
        <v>2467</v>
      </c>
      <c r="D2648" t="s">
        <v>808</v>
      </c>
      <c r="E2648" cm="1">
        <f t="array" ref="E2648">_xlfn.XLOOKUP(D2648,SKU_Master!A:A,SKU_Master!B:B,"Not on master")</f>
        <v>0</v>
      </c>
      <c r="F2648" cm="1">
        <f t="array" ref="F2648">_xlfn.XLOOKUP(C2648,Account_Master!A:A,Account_Master!B:B,"Not on master")</f>
        <v>0</v>
      </c>
      <c r="G2648" cm="1">
        <f t="array" ref="G2648">_xlfn.XLOOKUP(C2648,Account_Master!A:A,Account_Master!C:C,"Not on master")</f>
        <v>0</v>
      </c>
      <c r="H2648" s="6">
        <v>19.2</v>
      </c>
      <c r="I2648" s="6">
        <v>19.2</v>
      </c>
      <c r="J2648" s="6">
        <f>I2648-H2648</f>
        <v>0</v>
      </c>
      <c r="K2648" s="5">
        <f>IF(H2648=0,"",J2648/H2648)</f>
        <v>0</v>
      </c>
      <c r="L2648">
        <f>IF(OR(AND(H2648=0,ABS(J2648)&gt;=0.01),AND(H2648&lt;&gt;0,ABS(K2648)&gt;VarianceThreshold)),"Review","OK")</f>
        <v>0</v>
      </c>
      <c r="M2648" t="s">
        <v>33</v>
      </c>
    </row>
    <row r="2649" spans="1:13">
      <c r="A2649" t="s">
        <v>4</v>
      </c>
      <c r="B2649" t="s">
        <v>254</v>
      </c>
      <c r="C2649" t="s">
        <v>2477</v>
      </c>
      <c r="D2649" t="s">
        <v>515</v>
      </c>
      <c r="E2649" cm="1">
        <f t="array" ref="E2649">_xlfn.XLOOKUP(D2649,SKU_Master!A:A,SKU_Master!B:B,"Not on master")</f>
        <v>0</v>
      </c>
      <c r="F2649" cm="1">
        <f t="array" ref="F2649">_xlfn.XLOOKUP(C2649,Account_Master!A:A,Account_Master!B:B,"Not on master")</f>
        <v>0</v>
      </c>
      <c r="G2649" cm="1">
        <f t="array" ref="G2649">_xlfn.XLOOKUP(C2649,Account_Master!A:A,Account_Master!C:C,"Not on master")</f>
        <v>0</v>
      </c>
      <c r="H2649" s="6">
        <v>6.75</v>
      </c>
      <c r="I2649" s="6">
        <v>6.75</v>
      </c>
      <c r="J2649" s="6">
        <f>I2649-H2649</f>
        <v>0</v>
      </c>
      <c r="K2649" s="5">
        <f>IF(H2649=0,"",J2649/H2649)</f>
        <v>0</v>
      </c>
      <c r="L2649">
        <f>IF(OR(AND(H2649=0,ABS(J2649)&gt;=0.01),AND(H2649&lt;&gt;0,ABS(K2649)&gt;VarianceThreshold)),"Review","OK")</f>
        <v>0</v>
      </c>
      <c r="M2649" t="s">
        <v>33</v>
      </c>
    </row>
    <row r="2650" spans="1:13">
      <c r="A2650" t="s">
        <v>4</v>
      </c>
      <c r="B2650" t="s">
        <v>254</v>
      </c>
      <c r="C2650" t="s">
        <v>2418</v>
      </c>
      <c r="D2650" t="s">
        <v>963</v>
      </c>
      <c r="E2650" cm="1">
        <f t="array" ref="E2650">_xlfn.XLOOKUP(D2650,SKU_Master!A:A,SKU_Master!B:B,"Not on master")</f>
        <v>0</v>
      </c>
      <c r="F2650" cm="1">
        <f t="array" ref="F2650">_xlfn.XLOOKUP(C2650,Account_Master!A:A,Account_Master!B:B,"Not on master")</f>
        <v>0</v>
      </c>
      <c r="G2650" cm="1">
        <f t="array" ref="G2650">_xlfn.XLOOKUP(C2650,Account_Master!A:A,Account_Master!C:C,"Not on master")</f>
        <v>0</v>
      </c>
      <c r="H2650" s="6">
        <v>751</v>
      </c>
      <c r="I2650" s="6">
        <v>751</v>
      </c>
      <c r="J2650" s="6">
        <f>I2650-H2650</f>
        <v>0</v>
      </c>
      <c r="K2650" s="5">
        <f>IF(H2650=0,"",J2650/H2650)</f>
        <v>0</v>
      </c>
      <c r="L2650">
        <f>IF(OR(AND(H2650=0,ABS(J2650)&gt;=0.01),AND(H2650&lt;&gt;0,ABS(K2650)&gt;VarianceThreshold)),"Review","OK")</f>
        <v>0</v>
      </c>
      <c r="M2650" t="s">
        <v>33</v>
      </c>
    </row>
    <row r="2651" spans="1:13">
      <c r="A2651" t="s">
        <v>4</v>
      </c>
      <c r="B2651" t="s">
        <v>254</v>
      </c>
      <c r="C2651" t="s">
        <v>2503</v>
      </c>
      <c r="D2651" t="s">
        <v>350</v>
      </c>
      <c r="E2651" cm="1">
        <f t="array" ref="E2651">_xlfn.XLOOKUP(D2651,SKU_Master!A:A,SKU_Master!B:B,"Not on master")</f>
        <v>0</v>
      </c>
      <c r="F2651" cm="1">
        <f t="array" ref="F2651">_xlfn.XLOOKUP(C2651,Account_Master!A:A,Account_Master!B:B,"Not on master")</f>
        <v>0</v>
      </c>
      <c r="G2651" cm="1">
        <f t="array" ref="G2651">_xlfn.XLOOKUP(C2651,Account_Master!A:A,Account_Master!C:C,"Not on master")</f>
        <v>0</v>
      </c>
      <c r="H2651" s="6">
        <v>6</v>
      </c>
      <c r="I2651" s="6">
        <v>6</v>
      </c>
      <c r="J2651" s="6">
        <f>I2651-H2651</f>
        <v>0</v>
      </c>
      <c r="K2651" s="5">
        <f>IF(H2651=0,"",J2651/H2651)</f>
        <v>0</v>
      </c>
      <c r="L2651">
        <f>IF(OR(AND(H2651=0,ABS(J2651)&gt;=0.01),AND(H2651&lt;&gt;0,ABS(K2651)&gt;VarianceThreshold)),"Review","OK")</f>
        <v>0</v>
      </c>
      <c r="M2651" t="s">
        <v>33</v>
      </c>
    </row>
    <row r="2652" spans="1:13">
      <c r="A2652" t="s">
        <v>4</v>
      </c>
      <c r="B2652" t="s">
        <v>254</v>
      </c>
      <c r="C2652" t="s">
        <v>2432</v>
      </c>
      <c r="D2652" t="s">
        <v>2504</v>
      </c>
      <c r="E2652" cm="1">
        <f t="array" ref="E2652">_xlfn.XLOOKUP(D2652,SKU_Master!A:A,SKU_Master!B:B,"Not on master")</f>
        <v>0</v>
      </c>
      <c r="F2652" cm="1">
        <f t="array" ref="F2652">_xlfn.XLOOKUP(C2652,Account_Master!A:A,Account_Master!B:B,"Not on master")</f>
        <v>0</v>
      </c>
      <c r="G2652" cm="1">
        <f t="array" ref="G2652">_xlfn.XLOOKUP(C2652,Account_Master!A:A,Account_Master!C:C,"Not on master")</f>
        <v>0</v>
      </c>
      <c r="H2652" s="6">
        <v>25.5</v>
      </c>
      <c r="I2652" s="6">
        <v>25.5</v>
      </c>
      <c r="J2652" s="6">
        <f>I2652-H2652</f>
        <v>0</v>
      </c>
      <c r="K2652" s="5">
        <f>IF(H2652=0,"",J2652/H2652)</f>
        <v>0</v>
      </c>
      <c r="L2652">
        <f>IF(OR(AND(H2652=0,ABS(J2652)&gt;=0.01),AND(H2652&lt;&gt;0,ABS(K2652)&gt;VarianceThreshold)),"Review","OK")</f>
        <v>0</v>
      </c>
      <c r="M2652" t="s">
        <v>33</v>
      </c>
    </row>
    <row r="2653" spans="1:13">
      <c r="A2653" t="s">
        <v>4</v>
      </c>
      <c r="B2653" t="s">
        <v>254</v>
      </c>
      <c r="C2653" t="s">
        <v>2414</v>
      </c>
      <c r="D2653" t="s">
        <v>604</v>
      </c>
      <c r="E2653" cm="1">
        <f t="array" ref="E2653">_xlfn.XLOOKUP(D2653,SKU_Master!A:A,SKU_Master!B:B,"Not on master")</f>
        <v>0</v>
      </c>
      <c r="F2653" cm="1">
        <f t="array" ref="F2653">_xlfn.XLOOKUP(C2653,Account_Master!A:A,Account_Master!B:B,"Not on master")</f>
        <v>0</v>
      </c>
      <c r="G2653" cm="1">
        <f t="array" ref="G2653">_xlfn.XLOOKUP(C2653,Account_Master!A:A,Account_Master!C:C,"Not on master")</f>
        <v>0</v>
      </c>
      <c r="H2653" s="6">
        <v>0.3</v>
      </c>
      <c r="I2653" s="6">
        <v>0.3</v>
      </c>
      <c r="J2653" s="6">
        <f>I2653-H2653</f>
        <v>0</v>
      </c>
      <c r="K2653" s="5">
        <f>IF(H2653=0,"",J2653/H2653)</f>
        <v>0</v>
      </c>
      <c r="L2653">
        <f>IF(OR(AND(H2653=0,ABS(J2653)&gt;=0.01),AND(H2653&lt;&gt;0,ABS(K2653)&gt;VarianceThreshold)),"Review","OK")</f>
        <v>0</v>
      </c>
      <c r="M2653" t="s">
        <v>33</v>
      </c>
    </row>
    <row r="2654" spans="1:13">
      <c r="A2654" t="s">
        <v>4</v>
      </c>
      <c r="B2654" t="s">
        <v>254</v>
      </c>
      <c r="C2654" t="s">
        <v>2479</v>
      </c>
      <c r="D2654" t="s">
        <v>2505</v>
      </c>
      <c r="E2654" cm="1">
        <f t="array" ref="E2654">_xlfn.XLOOKUP(D2654,SKU_Master!A:A,SKU_Master!B:B,"Not on master")</f>
        <v>0</v>
      </c>
      <c r="F2654" cm="1">
        <f t="array" ref="F2654">_xlfn.XLOOKUP(C2654,Account_Master!A:A,Account_Master!B:B,"Not on master")</f>
        <v>0</v>
      </c>
      <c r="G2654" cm="1">
        <f t="array" ref="G2654">_xlfn.XLOOKUP(C2654,Account_Master!A:A,Account_Master!C:C,"Not on master")</f>
        <v>0</v>
      </c>
      <c r="H2654" s="6">
        <v>0.5</v>
      </c>
      <c r="I2654" s="6">
        <v>0.5</v>
      </c>
      <c r="J2654" s="6">
        <f>I2654-H2654</f>
        <v>0</v>
      </c>
      <c r="K2654" s="5">
        <f>IF(H2654=0,"",J2654/H2654)</f>
        <v>0</v>
      </c>
      <c r="L2654">
        <f>IF(OR(AND(H2654=0,ABS(J2654)&gt;=0.01),AND(H2654&lt;&gt;0,ABS(K2654)&gt;VarianceThreshold)),"Review","OK")</f>
        <v>0</v>
      </c>
      <c r="M2654" t="s">
        <v>33</v>
      </c>
    </row>
    <row r="2655" spans="1:13">
      <c r="A2655" t="s">
        <v>4</v>
      </c>
      <c r="B2655" t="s">
        <v>264</v>
      </c>
      <c r="C2655" t="s">
        <v>2436</v>
      </c>
      <c r="D2655" t="s">
        <v>1691</v>
      </c>
      <c r="E2655" cm="1">
        <f t="array" ref="E2655">_xlfn.XLOOKUP(D2655,SKU_Master!A:A,SKU_Master!B:B,"Not on master")</f>
        <v>0</v>
      </c>
      <c r="F2655" cm="1">
        <f t="array" ref="F2655">_xlfn.XLOOKUP(C2655,Account_Master!A:A,Account_Master!B:B,"Not on master")</f>
        <v>0</v>
      </c>
      <c r="G2655" cm="1">
        <f t="array" ref="G2655">_xlfn.XLOOKUP(C2655,Account_Master!A:A,Account_Master!C:C,"Not on master")</f>
        <v>0</v>
      </c>
      <c r="H2655" s="6">
        <v>5.25</v>
      </c>
      <c r="I2655" s="6">
        <v>5.25</v>
      </c>
      <c r="J2655" s="6">
        <f>I2655-H2655</f>
        <v>0</v>
      </c>
      <c r="K2655" s="5">
        <f>IF(H2655=0,"",J2655/H2655)</f>
        <v>0</v>
      </c>
      <c r="L2655">
        <f>IF(OR(AND(H2655=0,ABS(J2655)&gt;=0.01),AND(H2655&lt;&gt;0,ABS(K2655)&gt;VarianceThreshold)),"Review","OK")</f>
        <v>0</v>
      </c>
      <c r="M2655" t="s">
        <v>33</v>
      </c>
    </row>
    <row r="2656" spans="1:13">
      <c r="A2656" t="s">
        <v>4</v>
      </c>
      <c r="B2656" t="s">
        <v>264</v>
      </c>
      <c r="C2656" t="s">
        <v>2412</v>
      </c>
      <c r="D2656" t="s">
        <v>895</v>
      </c>
      <c r="E2656" cm="1">
        <f t="array" ref="E2656">_xlfn.XLOOKUP(D2656,SKU_Master!A:A,SKU_Master!B:B,"Not on master")</f>
        <v>0</v>
      </c>
      <c r="F2656" cm="1">
        <f t="array" ref="F2656">_xlfn.XLOOKUP(C2656,Account_Master!A:A,Account_Master!B:B,"Not on master")</f>
        <v>0</v>
      </c>
      <c r="G2656" cm="1">
        <f t="array" ref="G2656">_xlfn.XLOOKUP(C2656,Account_Master!A:A,Account_Master!C:C,"Not on master")</f>
        <v>0</v>
      </c>
      <c r="H2656" s="6">
        <v>0.05</v>
      </c>
      <c r="I2656" s="6">
        <v>0.05</v>
      </c>
      <c r="J2656" s="6">
        <f>I2656-H2656</f>
        <v>0</v>
      </c>
      <c r="K2656" s="5">
        <f>IF(H2656=0,"",J2656/H2656)</f>
        <v>0</v>
      </c>
      <c r="L2656">
        <f>IF(OR(AND(H2656=0,ABS(J2656)&gt;=0.01),AND(H2656&lt;&gt;0,ABS(K2656)&gt;VarianceThreshold)),"Review","OK")</f>
        <v>0</v>
      </c>
      <c r="M2656" t="s">
        <v>33</v>
      </c>
    </row>
    <row r="2657" spans="1:13">
      <c r="A2657" t="s">
        <v>4</v>
      </c>
      <c r="B2657" t="s">
        <v>264</v>
      </c>
      <c r="C2657" t="s">
        <v>2414</v>
      </c>
      <c r="D2657" t="s">
        <v>408</v>
      </c>
      <c r="E2657" cm="1">
        <f t="array" ref="E2657">_xlfn.XLOOKUP(D2657,SKU_Master!A:A,SKU_Master!B:B,"Not on master")</f>
        <v>0</v>
      </c>
      <c r="F2657" cm="1">
        <f t="array" ref="F2657">_xlfn.XLOOKUP(C2657,Account_Master!A:A,Account_Master!B:B,"Not on master")</f>
        <v>0</v>
      </c>
      <c r="G2657" cm="1">
        <f t="array" ref="G2657">_xlfn.XLOOKUP(C2657,Account_Master!A:A,Account_Master!C:C,"Not on master")</f>
        <v>0</v>
      </c>
      <c r="H2657" s="6">
        <v>3</v>
      </c>
      <c r="I2657" s="6">
        <v>3</v>
      </c>
      <c r="J2657" s="6">
        <f>I2657-H2657</f>
        <v>0</v>
      </c>
      <c r="K2657" s="5">
        <f>IF(H2657=0,"",J2657/H2657)</f>
        <v>0</v>
      </c>
      <c r="L2657">
        <f>IF(OR(AND(H2657=0,ABS(J2657)&gt;=0.01),AND(H2657&lt;&gt;0,ABS(K2657)&gt;VarianceThreshold)),"Review","OK")</f>
        <v>0</v>
      </c>
      <c r="M2657" t="s">
        <v>33</v>
      </c>
    </row>
    <row r="2658" spans="1:13">
      <c r="A2658" t="s">
        <v>4</v>
      </c>
      <c r="B2658" t="s">
        <v>264</v>
      </c>
      <c r="C2658" t="s">
        <v>2447</v>
      </c>
      <c r="D2658" t="s">
        <v>1683</v>
      </c>
      <c r="E2658" cm="1">
        <f t="array" ref="E2658">_xlfn.XLOOKUP(D2658,SKU_Master!A:A,SKU_Master!B:B,"Not on master")</f>
        <v>0</v>
      </c>
      <c r="F2658" cm="1">
        <f t="array" ref="F2658">_xlfn.XLOOKUP(C2658,Account_Master!A:A,Account_Master!B:B,"Not on master")</f>
        <v>0</v>
      </c>
      <c r="G2658" cm="1">
        <f t="array" ref="G2658">_xlfn.XLOOKUP(C2658,Account_Master!A:A,Account_Master!C:C,"Not on master")</f>
        <v>0</v>
      </c>
      <c r="H2658" s="6">
        <v>21</v>
      </c>
      <c r="I2658" s="6">
        <v>21</v>
      </c>
      <c r="J2658" s="6">
        <f>I2658-H2658</f>
        <v>0</v>
      </c>
      <c r="K2658" s="5">
        <f>IF(H2658=0,"",J2658/H2658)</f>
        <v>0</v>
      </c>
      <c r="L2658">
        <f>IF(OR(AND(H2658=0,ABS(J2658)&gt;=0.01),AND(H2658&lt;&gt;0,ABS(K2658)&gt;VarianceThreshold)),"Review","OK")</f>
        <v>0</v>
      </c>
      <c r="M2658" t="s">
        <v>33</v>
      </c>
    </row>
    <row r="2659" spans="1:13">
      <c r="A2659" t="s">
        <v>4</v>
      </c>
      <c r="B2659" t="s">
        <v>273</v>
      </c>
      <c r="C2659" t="s">
        <v>2412</v>
      </c>
      <c r="D2659" t="s">
        <v>848</v>
      </c>
      <c r="E2659" cm="1">
        <f t="array" ref="E2659">_xlfn.XLOOKUP(D2659,SKU_Master!A:A,SKU_Master!B:B,"Not on master")</f>
        <v>0</v>
      </c>
      <c r="F2659" cm="1">
        <f t="array" ref="F2659">_xlfn.XLOOKUP(C2659,Account_Master!A:A,Account_Master!B:B,"Not on master")</f>
        <v>0</v>
      </c>
      <c r="G2659" cm="1">
        <f t="array" ref="G2659">_xlfn.XLOOKUP(C2659,Account_Master!A:A,Account_Master!C:C,"Not on master")</f>
        <v>0</v>
      </c>
      <c r="H2659" s="6">
        <v>-1.12</v>
      </c>
      <c r="I2659" s="6">
        <v>0</v>
      </c>
      <c r="J2659" s="6">
        <f>I2659-H2659</f>
        <v>0</v>
      </c>
      <c r="K2659" s="5">
        <f>IF(H2659=0,"",J2659/H2659)</f>
        <v>0</v>
      </c>
      <c r="L2659">
        <f>IF(OR(AND(H2659=0,ABS(J2659)&gt;=0.01),AND(H2659&lt;&gt;0,ABS(K2659)&gt;VarianceThreshold)),"Review","OK")</f>
        <v>0</v>
      </c>
      <c r="M2659" t="s">
        <v>471</v>
      </c>
    </row>
    <row r="2660" spans="1:13">
      <c r="A2660" t="s">
        <v>4</v>
      </c>
      <c r="B2660" t="s">
        <v>273</v>
      </c>
      <c r="C2660" t="s">
        <v>2453</v>
      </c>
      <c r="D2660" t="s">
        <v>1282</v>
      </c>
      <c r="E2660" cm="1">
        <f t="array" ref="E2660">_xlfn.XLOOKUP(D2660,SKU_Master!A:A,SKU_Master!B:B,"Not on master")</f>
        <v>0</v>
      </c>
      <c r="F2660" cm="1">
        <f t="array" ref="F2660">_xlfn.XLOOKUP(C2660,Account_Master!A:A,Account_Master!B:B,"Not on master")</f>
        <v>0</v>
      </c>
      <c r="G2660" cm="1">
        <f t="array" ref="G2660">_xlfn.XLOOKUP(C2660,Account_Master!A:A,Account_Master!C:C,"Not on master")</f>
        <v>0</v>
      </c>
      <c r="H2660" s="6">
        <v>296</v>
      </c>
      <c r="I2660" s="6">
        <v>296</v>
      </c>
      <c r="J2660" s="6">
        <f>I2660-H2660</f>
        <v>0</v>
      </c>
      <c r="K2660" s="5">
        <f>IF(H2660=0,"",J2660/H2660)</f>
        <v>0</v>
      </c>
      <c r="L2660">
        <f>IF(OR(AND(H2660=0,ABS(J2660)&gt;=0.01),AND(H2660&lt;&gt;0,ABS(K2660)&gt;VarianceThreshold)),"Review","OK")</f>
        <v>0</v>
      </c>
      <c r="M2660" t="s">
        <v>33</v>
      </c>
    </row>
    <row r="2661" spans="1:13">
      <c r="A2661" t="s">
        <v>4</v>
      </c>
      <c r="B2661" t="s">
        <v>284</v>
      </c>
      <c r="C2661" t="s">
        <v>2467</v>
      </c>
      <c r="D2661" t="s">
        <v>2506</v>
      </c>
      <c r="E2661" cm="1">
        <f t="array" ref="E2661">_xlfn.XLOOKUP(D2661,SKU_Master!A:A,SKU_Master!B:B,"Not on master")</f>
        <v>0</v>
      </c>
      <c r="F2661" cm="1">
        <f t="array" ref="F2661">_xlfn.XLOOKUP(C2661,Account_Master!A:A,Account_Master!B:B,"Not on master")</f>
        <v>0</v>
      </c>
      <c r="G2661" cm="1">
        <f t="array" ref="G2661">_xlfn.XLOOKUP(C2661,Account_Master!A:A,Account_Master!C:C,"Not on master")</f>
        <v>0</v>
      </c>
      <c r="H2661" s="6">
        <v>31.2</v>
      </c>
      <c r="I2661" s="6">
        <v>31.2</v>
      </c>
      <c r="J2661" s="6">
        <f>I2661-H2661</f>
        <v>0</v>
      </c>
      <c r="K2661" s="5">
        <f>IF(H2661=0,"",J2661/H2661)</f>
        <v>0</v>
      </c>
      <c r="L2661">
        <f>IF(OR(AND(H2661=0,ABS(J2661)&gt;=0.01),AND(H2661&lt;&gt;0,ABS(K2661)&gt;VarianceThreshold)),"Review","OK")</f>
        <v>0</v>
      </c>
      <c r="M2661" t="s">
        <v>33</v>
      </c>
    </row>
    <row r="2662" spans="1:13">
      <c r="A2662" t="s">
        <v>4</v>
      </c>
      <c r="B2662" t="s">
        <v>284</v>
      </c>
      <c r="C2662" t="s">
        <v>2432</v>
      </c>
      <c r="D2662" t="s">
        <v>622</v>
      </c>
      <c r="E2662" cm="1">
        <f t="array" ref="E2662">_xlfn.XLOOKUP(D2662,SKU_Master!A:A,SKU_Master!B:B,"Not on master")</f>
        <v>0</v>
      </c>
      <c r="F2662" cm="1">
        <f t="array" ref="F2662">_xlfn.XLOOKUP(C2662,Account_Master!A:A,Account_Master!B:B,"Not on master")</f>
        <v>0</v>
      </c>
      <c r="G2662" cm="1">
        <f t="array" ref="G2662">_xlfn.XLOOKUP(C2662,Account_Master!A:A,Account_Master!C:C,"Not on master")</f>
        <v>0</v>
      </c>
      <c r="H2662" s="6">
        <v>1.5</v>
      </c>
      <c r="I2662" s="6">
        <v>1.5</v>
      </c>
      <c r="J2662" s="6">
        <f>I2662-H2662</f>
        <v>0</v>
      </c>
      <c r="K2662" s="5">
        <f>IF(H2662=0,"",J2662/H2662)</f>
        <v>0</v>
      </c>
      <c r="L2662">
        <f>IF(OR(AND(H2662=0,ABS(J2662)&gt;=0.01),AND(H2662&lt;&gt;0,ABS(K2662)&gt;VarianceThreshold)),"Review","OK")</f>
        <v>0</v>
      </c>
      <c r="M2662" t="s">
        <v>33</v>
      </c>
    </row>
    <row r="2663" spans="1:13">
      <c r="A2663" t="s">
        <v>4</v>
      </c>
      <c r="B2663" t="s">
        <v>284</v>
      </c>
      <c r="C2663" t="s">
        <v>2416</v>
      </c>
      <c r="D2663" t="s">
        <v>2507</v>
      </c>
      <c r="E2663" cm="1">
        <f t="array" ref="E2663">_xlfn.XLOOKUP(D2663,SKU_Master!A:A,SKU_Master!B:B,"Not on master")</f>
        <v>0</v>
      </c>
      <c r="F2663" cm="1">
        <f t="array" ref="F2663">_xlfn.XLOOKUP(C2663,Account_Master!A:A,Account_Master!B:B,"Not on master")</f>
        <v>0</v>
      </c>
      <c r="G2663" cm="1">
        <f t="array" ref="G2663">_xlfn.XLOOKUP(C2663,Account_Master!A:A,Account_Master!C:C,"Not on master")</f>
        <v>0</v>
      </c>
      <c r="H2663" s="6">
        <v>3</v>
      </c>
      <c r="I2663" s="6">
        <v>3</v>
      </c>
      <c r="J2663" s="6">
        <f>I2663-H2663</f>
        <v>0</v>
      </c>
      <c r="K2663" s="5">
        <f>IF(H2663=0,"",J2663/H2663)</f>
        <v>0</v>
      </c>
      <c r="L2663">
        <f>IF(OR(AND(H2663=0,ABS(J2663)&gt;=0.01),AND(H2663&lt;&gt;0,ABS(K2663)&gt;VarianceThreshold)),"Review","OK")</f>
        <v>0</v>
      </c>
      <c r="M2663" t="s">
        <v>33</v>
      </c>
    </row>
    <row r="2664" spans="1:13">
      <c r="A2664" t="s">
        <v>4</v>
      </c>
      <c r="B2664" t="s">
        <v>289</v>
      </c>
      <c r="C2664" t="s">
        <v>2508</v>
      </c>
      <c r="D2664" t="s">
        <v>279</v>
      </c>
      <c r="E2664" cm="1">
        <f t="array" ref="E2664">_xlfn.XLOOKUP(D2664,SKU_Master!A:A,SKU_Master!B:B,"Not on master")</f>
        <v>0</v>
      </c>
      <c r="F2664" cm="1">
        <f t="array" ref="F2664">_xlfn.XLOOKUP(C2664,Account_Master!A:A,Account_Master!B:B,"Not on master")</f>
        <v>0</v>
      </c>
      <c r="G2664" cm="1">
        <f t="array" ref="G2664">_xlfn.XLOOKUP(C2664,Account_Master!A:A,Account_Master!C:C,"Not on master")</f>
        <v>0</v>
      </c>
      <c r="H2664" s="6">
        <v>21</v>
      </c>
      <c r="I2664" s="6">
        <v>21</v>
      </c>
      <c r="J2664" s="6">
        <f>I2664-H2664</f>
        <v>0</v>
      </c>
      <c r="K2664" s="5">
        <f>IF(H2664=0,"",J2664/H2664)</f>
        <v>0</v>
      </c>
      <c r="L2664">
        <f>IF(OR(AND(H2664=0,ABS(J2664)&gt;=0.01),AND(H2664&lt;&gt;0,ABS(K2664)&gt;VarianceThreshold)),"Review","OK")</f>
        <v>0</v>
      </c>
      <c r="M2664" t="s">
        <v>33</v>
      </c>
    </row>
    <row r="2665" spans="1:13">
      <c r="A2665" t="s">
        <v>4</v>
      </c>
      <c r="B2665" t="s">
        <v>289</v>
      </c>
      <c r="C2665" t="s">
        <v>2477</v>
      </c>
      <c r="D2665" t="s">
        <v>261</v>
      </c>
      <c r="E2665" cm="1">
        <f t="array" ref="E2665">_xlfn.XLOOKUP(D2665,SKU_Master!A:A,SKU_Master!B:B,"Not on master")</f>
        <v>0</v>
      </c>
      <c r="F2665" cm="1">
        <f t="array" ref="F2665">_xlfn.XLOOKUP(C2665,Account_Master!A:A,Account_Master!B:B,"Not on master")</f>
        <v>0</v>
      </c>
      <c r="G2665" cm="1">
        <f t="array" ref="G2665">_xlfn.XLOOKUP(C2665,Account_Master!A:A,Account_Master!C:C,"Not on master")</f>
        <v>0</v>
      </c>
      <c r="H2665" s="6">
        <v>89.25</v>
      </c>
      <c r="I2665" s="6">
        <v>89.25</v>
      </c>
      <c r="J2665" s="6">
        <f>I2665-H2665</f>
        <v>0</v>
      </c>
      <c r="K2665" s="5">
        <f>IF(H2665=0,"",J2665/H2665)</f>
        <v>0</v>
      </c>
      <c r="L2665">
        <f>IF(OR(AND(H2665=0,ABS(J2665)&gt;=0.01),AND(H2665&lt;&gt;0,ABS(K2665)&gt;VarianceThreshold)),"Review","OK")</f>
        <v>0</v>
      </c>
      <c r="M2665" t="s">
        <v>33</v>
      </c>
    </row>
    <row r="2666" spans="1:13">
      <c r="A2666" t="s">
        <v>4</v>
      </c>
      <c r="B2666" t="s">
        <v>289</v>
      </c>
      <c r="C2666" t="s">
        <v>2414</v>
      </c>
      <c r="D2666" t="s">
        <v>462</v>
      </c>
      <c r="E2666" cm="1">
        <f t="array" ref="E2666">_xlfn.XLOOKUP(D2666,SKU_Master!A:A,SKU_Master!B:B,"Not on master")</f>
        <v>0</v>
      </c>
      <c r="F2666" cm="1">
        <f t="array" ref="F2666">_xlfn.XLOOKUP(C2666,Account_Master!A:A,Account_Master!B:B,"Not on master")</f>
        <v>0</v>
      </c>
      <c r="G2666" cm="1">
        <f t="array" ref="G2666">_xlfn.XLOOKUP(C2666,Account_Master!A:A,Account_Master!C:C,"Not on master")</f>
        <v>0</v>
      </c>
      <c r="H2666" s="6">
        <v>40</v>
      </c>
      <c r="I2666" s="6">
        <v>40</v>
      </c>
      <c r="J2666" s="6">
        <f>I2666-H2666</f>
        <v>0</v>
      </c>
      <c r="K2666" s="5">
        <f>IF(H2666=0,"",J2666/H2666)</f>
        <v>0</v>
      </c>
      <c r="L2666">
        <f>IF(OR(AND(H2666=0,ABS(J2666)&gt;=0.01),AND(H2666&lt;&gt;0,ABS(K2666)&gt;VarianceThreshold)),"Review","OK")</f>
        <v>0</v>
      </c>
      <c r="M2666" t="s">
        <v>33</v>
      </c>
    </row>
    <row r="2667" spans="1:13">
      <c r="A2667" t="s">
        <v>4</v>
      </c>
      <c r="B2667" t="s">
        <v>299</v>
      </c>
      <c r="C2667" t="s">
        <v>2498</v>
      </c>
      <c r="D2667" t="s">
        <v>1801</v>
      </c>
      <c r="E2667" cm="1">
        <f t="array" ref="E2667">_xlfn.XLOOKUP(D2667,SKU_Master!A:A,SKU_Master!B:B,"Not on master")</f>
        <v>0</v>
      </c>
      <c r="F2667" cm="1">
        <f t="array" ref="F2667">_xlfn.XLOOKUP(C2667,Account_Master!A:A,Account_Master!B:B,"Not on master")</f>
        <v>0</v>
      </c>
      <c r="G2667" cm="1">
        <f t="array" ref="G2667">_xlfn.XLOOKUP(C2667,Account_Master!A:A,Account_Master!C:C,"Not on master")</f>
        <v>0</v>
      </c>
      <c r="H2667" s="6">
        <v>39</v>
      </c>
      <c r="I2667" s="6">
        <v>39</v>
      </c>
      <c r="J2667" s="6">
        <f>I2667-H2667</f>
        <v>0</v>
      </c>
      <c r="K2667" s="5">
        <f>IF(H2667=0,"",J2667/H2667)</f>
        <v>0</v>
      </c>
      <c r="L2667">
        <f>IF(OR(AND(H2667=0,ABS(J2667)&gt;=0.01),AND(H2667&lt;&gt;0,ABS(K2667)&gt;VarianceThreshold)),"Review","OK")</f>
        <v>0</v>
      </c>
      <c r="M2667" t="s">
        <v>33</v>
      </c>
    </row>
    <row r="2668" spans="1:13">
      <c r="A2668" t="s">
        <v>4</v>
      </c>
      <c r="B2668" t="s">
        <v>299</v>
      </c>
      <c r="C2668" t="s">
        <v>2418</v>
      </c>
      <c r="D2668" t="s">
        <v>1104</v>
      </c>
      <c r="E2668" cm="1">
        <f t="array" ref="E2668">_xlfn.XLOOKUP(D2668,SKU_Master!A:A,SKU_Master!B:B,"Not on master")</f>
        <v>0</v>
      </c>
      <c r="F2668" cm="1">
        <f t="array" ref="F2668">_xlfn.XLOOKUP(C2668,Account_Master!A:A,Account_Master!B:B,"Not on master")</f>
        <v>0</v>
      </c>
      <c r="G2668" cm="1">
        <f t="array" ref="G2668">_xlfn.XLOOKUP(C2668,Account_Master!A:A,Account_Master!C:C,"Not on master")</f>
        <v>0</v>
      </c>
      <c r="H2668" s="6">
        <v>65</v>
      </c>
      <c r="I2668" s="6">
        <v>65</v>
      </c>
      <c r="J2668" s="6">
        <f>I2668-H2668</f>
        <v>0</v>
      </c>
      <c r="K2668" s="5">
        <f>IF(H2668=0,"",J2668/H2668)</f>
        <v>0</v>
      </c>
      <c r="L2668">
        <f>IF(OR(AND(H2668=0,ABS(J2668)&gt;=0.01),AND(H2668&lt;&gt;0,ABS(K2668)&gt;VarianceThreshold)),"Review","OK")</f>
        <v>0</v>
      </c>
      <c r="M2668" t="s">
        <v>33</v>
      </c>
    </row>
    <row r="2669" spans="1:13">
      <c r="A2669" t="s">
        <v>4</v>
      </c>
      <c r="B2669" t="s">
        <v>299</v>
      </c>
      <c r="C2669" t="s">
        <v>2432</v>
      </c>
      <c r="D2669" t="s">
        <v>2509</v>
      </c>
      <c r="E2669" cm="1">
        <f t="array" ref="E2669">_xlfn.XLOOKUP(D2669,SKU_Master!A:A,SKU_Master!B:B,"Not on master")</f>
        <v>0</v>
      </c>
      <c r="F2669" cm="1">
        <f t="array" ref="F2669">_xlfn.XLOOKUP(C2669,Account_Master!A:A,Account_Master!B:B,"Not on master")</f>
        <v>0</v>
      </c>
      <c r="G2669" cm="1">
        <f t="array" ref="G2669">_xlfn.XLOOKUP(C2669,Account_Master!A:A,Account_Master!C:C,"Not on master")</f>
        <v>0</v>
      </c>
      <c r="H2669" s="6">
        <v>192.5</v>
      </c>
      <c r="I2669" s="6">
        <v>192.5</v>
      </c>
      <c r="J2669" s="6">
        <f>I2669-H2669</f>
        <v>0</v>
      </c>
      <c r="K2669" s="5">
        <f>IF(H2669=0,"",J2669/H2669)</f>
        <v>0</v>
      </c>
      <c r="L2669">
        <f>IF(OR(AND(H2669=0,ABS(J2669)&gt;=0.01),AND(H2669&lt;&gt;0,ABS(K2669)&gt;VarianceThreshold)),"Review","OK")</f>
        <v>0</v>
      </c>
      <c r="M2669" t="s">
        <v>33</v>
      </c>
    </row>
    <row r="2670" spans="1:13">
      <c r="A2670" t="s">
        <v>4</v>
      </c>
      <c r="B2670" t="s">
        <v>299</v>
      </c>
      <c r="C2670" t="s">
        <v>2453</v>
      </c>
      <c r="D2670" t="s">
        <v>2271</v>
      </c>
      <c r="E2670" cm="1">
        <f t="array" ref="E2670">_xlfn.XLOOKUP(D2670,SKU_Master!A:A,SKU_Master!B:B,"Not on master")</f>
        <v>0</v>
      </c>
      <c r="F2670" cm="1">
        <f t="array" ref="F2670">_xlfn.XLOOKUP(C2670,Account_Master!A:A,Account_Master!B:B,"Not on master")</f>
        <v>0</v>
      </c>
      <c r="G2670" cm="1">
        <f t="array" ref="G2670">_xlfn.XLOOKUP(C2670,Account_Master!A:A,Account_Master!C:C,"Not on master")</f>
        <v>0</v>
      </c>
      <c r="H2670" s="6">
        <v>11.25</v>
      </c>
      <c r="I2670" s="6">
        <v>11.25</v>
      </c>
      <c r="J2670" s="6">
        <f>I2670-H2670</f>
        <v>0</v>
      </c>
      <c r="K2670" s="5">
        <f>IF(H2670=0,"",J2670/H2670)</f>
        <v>0</v>
      </c>
      <c r="L2670">
        <f>IF(OR(AND(H2670=0,ABS(J2670)&gt;=0.01),AND(H2670&lt;&gt;0,ABS(K2670)&gt;VarianceThreshold)),"Review","OK")</f>
        <v>0</v>
      </c>
      <c r="M2670" t="s">
        <v>33</v>
      </c>
    </row>
    <row r="2671" spans="1:13">
      <c r="A2671" t="s">
        <v>4</v>
      </c>
      <c r="B2671" t="s">
        <v>299</v>
      </c>
      <c r="C2671" t="s">
        <v>2510</v>
      </c>
      <c r="D2671" t="s">
        <v>1324</v>
      </c>
      <c r="E2671" cm="1">
        <f t="array" ref="E2671">_xlfn.XLOOKUP(D2671,SKU_Master!A:A,SKU_Master!B:B,"Not on master")</f>
        <v>0</v>
      </c>
      <c r="F2671" cm="1">
        <f t="array" ref="F2671">_xlfn.XLOOKUP(C2671,Account_Master!A:A,Account_Master!B:B,"Not on master")</f>
        <v>0</v>
      </c>
      <c r="G2671" cm="1">
        <f t="array" ref="G2671">_xlfn.XLOOKUP(C2671,Account_Master!A:A,Account_Master!C:C,"Not on master")</f>
        <v>0</v>
      </c>
      <c r="H2671" s="6">
        <v>94.5</v>
      </c>
      <c r="I2671" s="6">
        <v>94.5</v>
      </c>
      <c r="J2671" s="6">
        <f>I2671-H2671</f>
        <v>0</v>
      </c>
      <c r="K2671" s="5">
        <f>IF(H2671=0,"",J2671/H2671)</f>
        <v>0</v>
      </c>
      <c r="L2671">
        <f>IF(OR(AND(H2671=0,ABS(J2671)&gt;=0.01),AND(H2671&lt;&gt;0,ABS(K2671)&gt;VarianceThreshold)),"Review","OK")</f>
        <v>0</v>
      </c>
      <c r="M2671" t="s">
        <v>33</v>
      </c>
    </row>
    <row r="2672" spans="1:13">
      <c r="A2672" t="s">
        <v>4</v>
      </c>
      <c r="B2672" t="s">
        <v>299</v>
      </c>
      <c r="C2672" t="s">
        <v>2455</v>
      </c>
      <c r="D2672" t="s">
        <v>1708</v>
      </c>
      <c r="E2672" cm="1">
        <f t="array" ref="E2672">_xlfn.XLOOKUP(D2672,SKU_Master!A:A,SKU_Master!B:B,"Not on master")</f>
        <v>0</v>
      </c>
      <c r="F2672" cm="1">
        <f t="array" ref="F2672">_xlfn.XLOOKUP(C2672,Account_Master!A:A,Account_Master!B:B,"Not on master")</f>
        <v>0</v>
      </c>
      <c r="G2672" cm="1">
        <f t="array" ref="G2672">_xlfn.XLOOKUP(C2672,Account_Master!A:A,Account_Master!C:C,"Not on master")</f>
        <v>0</v>
      </c>
      <c r="H2672" s="6">
        <v>19</v>
      </c>
      <c r="I2672" s="6">
        <v>19</v>
      </c>
      <c r="J2672" s="6">
        <f>I2672-H2672</f>
        <v>0</v>
      </c>
      <c r="K2672" s="5">
        <f>IF(H2672=0,"",J2672/H2672)</f>
        <v>0</v>
      </c>
      <c r="L2672">
        <f>IF(OR(AND(H2672=0,ABS(J2672)&gt;=0.01),AND(H2672&lt;&gt;0,ABS(K2672)&gt;VarianceThreshold)),"Review","OK")</f>
        <v>0</v>
      </c>
      <c r="M2672" t="s">
        <v>33</v>
      </c>
    </row>
    <row r="2673" spans="1:13">
      <c r="A2673" t="s">
        <v>4</v>
      </c>
      <c r="B2673" t="s">
        <v>299</v>
      </c>
      <c r="C2673" t="s">
        <v>2511</v>
      </c>
      <c r="D2673" t="s">
        <v>1088</v>
      </c>
      <c r="E2673" cm="1">
        <f t="array" ref="E2673">_xlfn.XLOOKUP(D2673,SKU_Master!A:A,SKU_Master!B:B,"Not on master")</f>
        <v>0</v>
      </c>
      <c r="F2673" cm="1">
        <f t="array" ref="F2673">_xlfn.XLOOKUP(C2673,Account_Master!A:A,Account_Master!B:B,"Not on master")</f>
        <v>0</v>
      </c>
      <c r="G2673" cm="1">
        <f t="array" ref="G2673">_xlfn.XLOOKUP(C2673,Account_Master!A:A,Account_Master!C:C,"Not on master")</f>
        <v>0</v>
      </c>
      <c r="H2673" s="6">
        <v>3.5</v>
      </c>
      <c r="I2673" s="6">
        <v>3.5</v>
      </c>
      <c r="J2673" s="6">
        <f>I2673-H2673</f>
        <v>0</v>
      </c>
      <c r="K2673" s="5">
        <f>IF(H2673=0,"",J2673/H2673)</f>
        <v>0</v>
      </c>
      <c r="L2673">
        <f>IF(OR(AND(H2673=0,ABS(J2673)&gt;=0.01),AND(H2673&lt;&gt;0,ABS(K2673)&gt;VarianceThreshold)),"Review","OK")</f>
        <v>0</v>
      </c>
      <c r="M2673" t="s">
        <v>33</v>
      </c>
    </row>
    <row r="2674" spans="1:13">
      <c r="A2674" t="s">
        <v>4</v>
      </c>
      <c r="B2674" t="s">
        <v>299</v>
      </c>
      <c r="C2674" t="s">
        <v>2512</v>
      </c>
      <c r="D2674" t="s">
        <v>1318</v>
      </c>
      <c r="E2674" cm="1">
        <f t="array" ref="E2674">_xlfn.XLOOKUP(D2674,SKU_Master!A:A,SKU_Master!B:B,"Not on master")</f>
        <v>0</v>
      </c>
      <c r="F2674" cm="1">
        <f t="array" ref="F2674">_xlfn.XLOOKUP(C2674,Account_Master!A:A,Account_Master!B:B,"Not on master")</f>
        <v>0</v>
      </c>
      <c r="G2674" cm="1">
        <f t="array" ref="G2674">_xlfn.XLOOKUP(C2674,Account_Master!A:A,Account_Master!C:C,"Not on master")</f>
        <v>0</v>
      </c>
      <c r="H2674" s="6">
        <v>0.15</v>
      </c>
      <c r="I2674" s="6">
        <v>0.15</v>
      </c>
      <c r="J2674" s="6">
        <f>I2674-H2674</f>
        <v>0</v>
      </c>
      <c r="K2674" s="5">
        <f>IF(H2674=0,"",J2674/H2674)</f>
        <v>0</v>
      </c>
      <c r="L2674">
        <f>IF(OR(AND(H2674=0,ABS(J2674)&gt;=0.01),AND(H2674&lt;&gt;0,ABS(K2674)&gt;VarianceThreshold)),"Review","OK")</f>
        <v>0</v>
      </c>
      <c r="M2674" t="s">
        <v>33</v>
      </c>
    </row>
    <row r="2675" spans="1:13">
      <c r="A2675" t="s">
        <v>4</v>
      </c>
      <c r="B2675" t="s">
        <v>299</v>
      </c>
      <c r="C2675" t="s">
        <v>2513</v>
      </c>
      <c r="D2675" t="s">
        <v>614</v>
      </c>
      <c r="E2675" cm="1">
        <f t="array" ref="E2675">_xlfn.XLOOKUP(D2675,SKU_Master!A:A,SKU_Master!B:B,"Not on master")</f>
        <v>0</v>
      </c>
      <c r="F2675" cm="1">
        <f t="array" ref="F2675">_xlfn.XLOOKUP(C2675,Account_Master!A:A,Account_Master!B:B,"Not on master")</f>
        <v>0</v>
      </c>
      <c r="G2675" cm="1">
        <f t="array" ref="G2675">_xlfn.XLOOKUP(C2675,Account_Master!A:A,Account_Master!C:C,"Not on master")</f>
        <v>0</v>
      </c>
      <c r="H2675" s="6">
        <v>9.75</v>
      </c>
      <c r="I2675" s="6">
        <v>9.75</v>
      </c>
      <c r="J2675" s="6">
        <f>I2675-H2675</f>
        <v>0</v>
      </c>
      <c r="K2675" s="5">
        <f>IF(H2675=0,"",J2675/H2675)</f>
        <v>0</v>
      </c>
      <c r="L2675">
        <f>IF(OR(AND(H2675=0,ABS(J2675)&gt;=0.01),AND(H2675&lt;&gt;0,ABS(K2675)&gt;VarianceThreshold)),"Review","OK")</f>
        <v>0</v>
      </c>
      <c r="M2675" t="s">
        <v>33</v>
      </c>
    </row>
    <row r="2676" spans="1:13">
      <c r="A2676" t="s">
        <v>4</v>
      </c>
      <c r="B2676" t="s">
        <v>299</v>
      </c>
      <c r="C2676" t="s">
        <v>2432</v>
      </c>
      <c r="D2676" t="s">
        <v>1812</v>
      </c>
      <c r="E2676" cm="1">
        <f t="array" ref="E2676">_xlfn.XLOOKUP(D2676,SKU_Master!A:A,SKU_Master!B:B,"Not on master")</f>
        <v>0</v>
      </c>
      <c r="F2676" cm="1">
        <f t="array" ref="F2676">_xlfn.XLOOKUP(C2676,Account_Master!A:A,Account_Master!B:B,"Not on master")</f>
        <v>0</v>
      </c>
      <c r="G2676" cm="1">
        <f t="array" ref="G2676">_xlfn.XLOOKUP(C2676,Account_Master!A:A,Account_Master!C:C,"Not on master")</f>
        <v>0</v>
      </c>
      <c r="H2676" s="6">
        <v>4.5</v>
      </c>
      <c r="I2676" s="6">
        <v>4.5</v>
      </c>
      <c r="J2676" s="6">
        <f>I2676-H2676</f>
        <v>0</v>
      </c>
      <c r="K2676" s="5">
        <f>IF(H2676=0,"",J2676/H2676)</f>
        <v>0</v>
      </c>
      <c r="L2676">
        <f>IF(OR(AND(H2676=0,ABS(J2676)&gt;=0.01),AND(H2676&lt;&gt;0,ABS(K2676)&gt;VarianceThreshold)),"Review","OK")</f>
        <v>0</v>
      </c>
      <c r="M2676" t="s">
        <v>33</v>
      </c>
    </row>
    <row r="2677" spans="1:13">
      <c r="A2677" t="s">
        <v>4</v>
      </c>
      <c r="B2677" t="s">
        <v>306</v>
      </c>
      <c r="C2677" t="s">
        <v>2514</v>
      </c>
      <c r="D2677" t="s">
        <v>503</v>
      </c>
      <c r="E2677" cm="1">
        <f t="array" ref="E2677">_xlfn.XLOOKUP(D2677,SKU_Master!A:A,SKU_Master!B:B,"Not on master")</f>
        <v>0</v>
      </c>
      <c r="F2677" cm="1">
        <f t="array" ref="F2677">_xlfn.XLOOKUP(C2677,Account_Master!A:A,Account_Master!B:B,"Not on master")</f>
        <v>0</v>
      </c>
      <c r="G2677" cm="1">
        <f t="array" ref="G2677">_xlfn.XLOOKUP(C2677,Account_Master!A:A,Account_Master!C:C,"Not on master")</f>
        <v>0</v>
      </c>
      <c r="H2677" s="6">
        <v>54</v>
      </c>
      <c r="I2677" s="6">
        <v>54</v>
      </c>
      <c r="J2677" s="6">
        <f>I2677-H2677</f>
        <v>0</v>
      </c>
      <c r="K2677" s="5">
        <f>IF(H2677=0,"",J2677/H2677)</f>
        <v>0</v>
      </c>
      <c r="L2677">
        <f>IF(OR(AND(H2677=0,ABS(J2677)&gt;=0.01),AND(H2677&lt;&gt;0,ABS(K2677)&gt;VarianceThreshold)),"Review","OK")</f>
        <v>0</v>
      </c>
      <c r="M2677" t="s">
        <v>33</v>
      </c>
    </row>
    <row r="2678" spans="1:13">
      <c r="A2678" t="s">
        <v>4</v>
      </c>
      <c r="B2678" t="s">
        <v>306</v>
      </c>
      <c r="C2678" t="s">
        <v>2515</v>
      </c>
      <c r="D2678" t="s">
        <v>2516</v>
      </c>
      <c r="E2678" cm="1">
        <f t="array" ref="E2678">_xlfn.XLOOKUP(D2678,SKU_Master!A:A,SKU_Master!B:B,"Not on master")</f>
        <v>0</v>
      </c>
      <c r="F2678" cm="1">
        <f t="array" ref="F2678">_xlfn.XLOOKUP(C2678,Account_Master!A:A,Account_Master!B:B,"Not on master")</f>
        <v>0</v>
      </c>
      <c r="G2678" cm="1">
        <f t="array" ref="G2678">_xlfn.XLOOKUP(C2678,Account_Master!A:A,Account_Master!C:C,"Not on master")</f>
        <v>0</v>
      </c>
      <c r="H2678" s="6">
        <v>3.37</v>
      </c>
      <c r="I2678" s="6">
        <v>3.37</v>
      </c>
      <c r="J2678" s="6">
        <f>I2678-H2678</f>
        <v>0</v>
      </c>
      <c r="K2678" s="5">
        <f>IF(H2678=0,"",J2678/H2678)</f>
        <v>0</v>
      </c>
      <c r="L2678">
        <f>IF(OR(AND(H2678=0,ABS(J2678)&gt;=0.01),AND(H2678&lt;&gt;0,ABS(K2678)&gt;VarianceThreshold)),"Review","OK")</f>
        <v>0</v>
      </c>
      <c r="M2678" t="s">
        <v>33</v>
      </c>
    </row>
    <row r="2679" spans="1:13">
      <c r="A2679" t="s">
        <v>4</v>
      </c>
      <c r="B2679" t="s">
        <v>306</v>
      </c>
      <c r="C2679" t="s">
        <v>2453</v>
      </c>
      <c r="D2679" t="s">
        <v>2204</v>
      </c>
      <c r="E2679" cm="1">
        <f t="array" ref="E2679">_xlfn.XLOOKUP(D2679,SKU_Master!A:A,SKU_Master!B:B,"Not on master")</f>
        <v>0</v>
      </c>
      <c r="F2679" cm="1">
        <f t="array" ref="F2679">_xlfn.XLOOKUP(C2679,Account_Master!A:A,Account_Master!B:B,"Not on master")</f>
        <v>0</v>
      </c>
      <c r="G2679" cm="1">
        <f t="array" ref="G2679">_xlfn.XLOOKUP(C2679,Account_Master!A:A,Account_Master!C:C,"Not on master")</f>
        <v>0</v>
      </c>
      <c r="H2679" s="6">
        <v>1107</v>
      </c>
      <c r="I2679" s="6">
        <v>1107</v>
      </c>
      <c r="J2679" s="6">
        <f>I2679-H2679</f>
        <v>0</v>
      </c>
      <c r="K2679" s="5">
        <f>IF(H2679=0,"",J2679/H2679)</f>
        <v>0</v>
      </c>
      <c r="L2679">
        <f>IF(OR(AND(H2679=0,ABS(J2679)&gt;=0.01),AND(H2679&lt;&gt;0,ABS(K2679)&gt;VarianceThreshold)),"Review","OK")</f>
        <v>0</v>
      </c>
      <c r="M2679" t="s">
        <v>33</v>
      </c>
    </row>
    <row r="2680" spans="1:13">
      <c r="A2680" t="s">
        <v>4</v>
      </c>
      <c r="B2680" t="s">
        <v>306</v>
      </c>
      <c r="C2680" t="s">
        <v>2462</v>
      </c>
      <c r="D2680" t="s">
        <v>2310</v>
      </c>
      <c r="E2680" cm="1">
        <f t="array" ref="E2680">_xlfn.XLOOKUP(D2680,SKU_Master!A:A,SKU_Master!B:B,"Not on master")</f>
        <v>0</v>
      </c>
      <c r="F2680" cm="1">
        <f t="array" ref="F2680">_xlfn.XLOOKUP(C2680,Account_Master!A:A,Account_Master!B:B,"Not on master")</f>
        <v>0</v>
      </c>
      <c r="G2680" cm="1">
        <f t="array" ref="G2680">_xlfn.XLOOKUP(C2680,Account_Master!A:A,Account_Master!C:C,"Not on master")</f>
        <v>0</v>
      </c>
      <c r="H2680" s="6">
        <v>4</v>
      </c>
      <c r="I2680" s="6">
        <v>4</v>
      </c>
      <c r="J2680" s="6">
        <f>I2680-H2680</f>
        <v>0</v>
      </c>
      <c r="K2680" s="5">
        <f>IF(H2680=0,"",J2680/H2680)</f>
        <v>0</v>
      </c>
      <c r="L2680">
        <f>IF(OR(AND(H2680=0,ABS(J2680)&gt;=0.01),AND(H2680&lt;&gt;0,ABS(K2680)&gt;VarianceThreshold)),"Review","OK")</f>
        <v>0</v>
      </c>
      <c r="M2680" t="s">
        <v>33</v>
      </c>
    </row>
    <row r="2681" spans="1:13">
      <c r="A2681" t="s">
        <v>4</v>
      </c>
      <c r="B2681" t="s">
        <v>313</v>
      </c>
      <c r="C2681" t="s">
        <v>2479</v>
      </c>
      <c r="D2681" t="s">
        <v>1554</v>
      </c>
      <c r="E2681" cm="1">
        <f t="array" ref="E2681">_xlfn.XLOOKUP(D2681,SKU_Master!A:A,SKU_Master!B:B,"Not on master")</f>
        <v>0</v>
      </c>
      <c r="F2681" cm="1">
        <f t="array" ref="F2681">_xlfn.XLOOKUP(C2681,Account_Master!A:A,Account_Master!B:B,"Not on master")</f>
        <v>0</v>
      </c>
      <c r="G2681" cm="1">
        <f t="array" ref="G2681">_xlfn.XLOOKUP(C2681,Account_Master!A:A,Account_Master!C:C,"Not on master")</f>
        <v>0</v>
      </c>
      <c r="H2681" s="6">
        <v>43.12</v>
      </c>
      <c r="I2681" s="6">
        <v>43.12</v>
      </c>
      <c r="J2681" s="6">
        <f>I2681-H2681</f>
        <v>0</v>
      </c>
      <c r="K2681" s="5">
        <f>IF(H2681=0,"",J2681/H2681)</f>
        <v>0</v>
      </c>
      <c r="L2681">
        <f>IF(OR(AND(H2681=0,ABS(J2681)&gt;=0.01),AND(H2681&lt;&gt;0,ABS(K2681)&gt;VarianceThreshold)),"Review","OK")</f>
        <v>0</v>
      </c>
      <c r="M2681" t="s">
        <v>33</v>
      </c>
    </row>
    <row r="2682" spans="1:13">
      <c r="A2682" t="s">
        <v>4</v>
      </c>
      <c r="B2682" t="s">
        <v>313</v>
      </c>
      <c r="C2682" t="s">
        <v>2457</v>
      </c>
      <c r="D2682" t="s">
        <v>2517</v>
      </c>
      <c r="E2682" cm="1">
        <f t="array" ref="E2682">_xlfn.XLOOKUP(D2682,SKU_Master!A:A,SKU_Master!B:B,"Not on master")</f>
        <v>0</v>
      </c>
      <c r="F2682" cm="1">
        <f t="array" ref="F2682">_xlfn.XLOOKUP(C2682,Account_Master!A:A,Account_Master!B:B,"Not on master")</f>
        <v>0</v>
      </c>
      <c r="G2682" cm="1">
        <f t="array" ref="G2682">_xlfn.XLOOKUP(C2682,Account_Master!A:A,Account_Master!C:C,"Not on master")</f>
        <v>0</v>
      </c>
      <c r="H2682" s="6">
        <v>4.5</v>
      </c>
      <c r="I2682" s="6">
        <v>4.5</v>
      </c>
      <c r="J2682" s="6">
        <f>I2682-H2682</f>
        <v>0</v>
      </c>
      <c r="K2682" s="5">
        <f>IF(H2682=0,"",J2682/H2682)</f>
        <v>0</v>
      </c>
      <c r="L2682">
        <f>IF(OR(AND(H2682=0,ABS(J2682)&gt;=0.01),AND(H2682&lt;&gt;0,ABS(K2682)&gt;VarianceThreshold)),"Review","OK")</f>
        <v>0</v>
      </c>
      <c r="M2682" t="s">
        <v>33</v>
      </c>
    </row>
    <row r="2683" spans="1:13">
      <c r="A2683" t="s">
        <v>4</v>
      </c>
      <c r="B2683" t="s">
        <v>324</v>
      </c>
      <c r="C2683" t="s">
        <v>2480</v>
      </c>
      <c r="D2683" t="s">
        <v>291</v>
      </c>
      <c r="E2683" cm="1">
        <f t="array" ref="E2683">_xlfn.XLOOKUP(D2683,SKU_Master!A:A,SKU_Master!B:B,"Not on master")</f>
        <v>0</v>
      </c>
      <c r="F2683" cm="1">
        <f t="array" ref="F2683">_xlfn.XLOOKUP(C2683,Account_Master!A:A,Account_Master!B:B,"Not on master")</f>
        <v>0</v>
      </c>
      <c r="G2683" cm="1">
        <f t="array" ref="G2683">_xlfn.XLOOKUP(C2683,Account_Master!A:A,Account_Master!C:C,"Not on master")</f>
        <v>0</v>
      </c>
      <c r="H2683" s="6">
        <v>10.5</v>
      </c>
      <c r="I2683" s="6">
        <v>10.5</v>
      </c>
      <c r="J2683" s="6">
        <f>I2683-H2683</f>
        <v>0</v>
      </c>
      <c r="K2683" s="5">
        <f>IF(H2683=0,"",J2683/H2683)</f>
        <v>0</v>
      </c>
      <c r="L2683">
        <f>IF(OR(AND(H2683=0,ABS(J2683)&gt;=0.01),AND(H2683&lt;&gt;0,ABS(K2683)&gt;VarianceThreshold)),"Review","OK")</f>
        <v>0</v>
      </c>
      <c r="M2683" t="s">
        <v>33</v>
      </c>
    </row>
    <row r="2684" spans="1:13">
      <c r="A2684" t="s">
        <v>4</v>
      </c>
      <c r="B2684" t="s">
        <v>324</v>
      </c>
      <c r="C2684" t="s">
        <v>2518</v>
      </c>
      <c r="D2684" t="s">
        <v>2232</v>
      </c>
      <c r="E2684" cm="1">
        <f t="array" ref="E2684">_xlfn.XLOOKUP(D2684,SKU_Master!A:A,SKU_Master!B:B,"Not on master")</f>
        <v>0</v>
      </c>
      <c r="F2684" cm="1">
        <f t="array" ref="F2684">_xlfn.XLOOKUP(C2684,Account_Master!A:A,Account_Master!B:B,"Not on master")</f>
        <v>0</v>
      </c>
      <c r="G2684" cm="1">
        <f t="array" ref="G2684">_xlfn.XLOOKUP(C2684,Account_Master!A:A,Account_Master!C:C,"Not on master")</f>
        <v>0</v>
      </c>
      <c r="H2684" s="6">
        <v>8.25</v>
      </c>
      <c r="I2684" s="6">
        <v>8.25</v>
      </c>
      <c r="J2684" s="6">
        <f>I2684-H2684</f>
        <v>0</v>
      </c>
      <c r="K2684" s="5">
        <f>IF(H2684=0,"",J2684/H2684)</f>
        <v>0</v>
      </c>
      <c r="L2684">
        <f>IF(OR(AND(H2684=0,ABS(J2684)&gt;=0.01),AND(H2684&lt;&gt;0,ABS(K2684)&gt;VarianceThreshold)),"Review","OK")</f>
        <v>0</v>
      </c>
      <c r="M2684" t="s">
        <v>33</v>
      </c>
    </row>
    <row r="2685" spans="1:13">
      <c r="A2685" t="s">
        <v>4</v>
      </c>
      <c r="B2685" t="s">
        <v>324</v>
      </c>
      <c r="C2685" t="s">
        <v>2457</v>
      </c>
      <c r="D2685" t="s">
        <v>312</v>
      </c>
      <c r="E2685" cm="1">
        <f t="array" ref="E2685">_xlfn.XLOOKUP(D2685,SKU_Master!A:A,SKU_Master!B:B,"Not on master")</f>
        <v>0</v>
      </c>
      <c r="F2685" cm="1">
        <f t="array" ref="F2685">_xlfn.XLOOKUP(C2685,Account_Master!A:A,Account_Master!B:B,"Not on master")</f>
        <v>0</v>
      </c>
      <c r="G2685" cm="1">
        <f t="array" ref="G2685">_xlfn.XLOOKUP(C2685,Account_Master!A:A,Account_Master!C:C,"Not on master")</f>
        <v>0</v>
      </c>
      <c r="H2685" s="6">
        <v>18</v>
      </c>
      <c r="I2685" s="6">
        <v>18</v>
      </c>
      <c r="J2685" s="6">
        <f>I2685-H2685</f>
        <v>0</v>
      </c>
      <c r="K2685" s="5">
        <f>IF(H2685=0,"",J2685/H2685)</f>
        <v>0</v>
      </c>
      <c r="L2685">
        <f>IF(OR(AND(H2685=0,ABS(J2685)&gt;=0.01),AND(H2685&lt;&gt;0,ABS(K2685)&gt;VarianceThreshold)),"Review","OK")</f>
        <v>0</v>
      </c>
      <c r="M2685" t="s">
        <v>33</v>
      </c>
    </row>
    <row r="2686" spans="1:13">
      <c r="A2686" t="s">
        <v>4</v>
      </c>
      <c r="B2686" t="s">
        <v>331</v>
      </c>
      <c r="C2686" t="s">
        <v>2453</v>
      </c>
      <c r="D2686" t="s">
        <v>1134</v>
      </c>
      <c r="E2686" cm="1">
        <f t="array" ref="E2686">_xlfn.XLOOKUP(D2686,SKU_Master!A:A,SKU_Master!B:B,"Not on master")</f>
        <v>0</v>
      </c>
      <c r="F2686" cm="1">
        <f t="array" ref="F2686">_xlfn.XLOOKUP(C2686,Account_Master!A:A,Account_Master!B:B,"Not on master")</f>
        <v>0</v>
      </c>
      <c r="G2686" cm="1">
        <f t="array" ref="G2686">_xlfn.XLOOKUP(C2686,Account_Master!A:A,Account_Master!C:C,"Not on master")</f>
        <v>0</v>
      </c>
      <c r="H2686" s="6">
        <v>221</v>
      </c>
      <c r="I2686" s="6">
        <v>221</v>
      </c>
      <c r="J2686" s="6">
        <f>I2686-H2686</f>
        <v>0</v>
      </c>
      <c r="K2686" s="5">
        <f>IF(H2686=0,"",J2686/H2686)</f>
        <v>0</v>
      </c>
      <c r="L2686">
        <f>IF(OR(AND(H2686=0,ABS(J2686)&gt;=0.01),AND(H2686&lt;&gt;0,ABS(K2686)&gt;VarianceThreshold)),"Review","OK")</f>
        <v>0</v>
      </c>
      <c r="M2686" t="s">
        <v>33</v>
      </c>
    </row>
    <row r="2687" spans="1:13">
      <c r="A2687" t="s">
        <v>4</v>
      </c>
      <c r="B2687" t="s">
        <v>331</v>
      </c>
      <c r="C2687" t="s">
        <v>2519</v>
      </c>
      <c r="D2687" t="s">
        <v>2520</v>
      </c>
      <c r="E2687" cm="1">
        <f t="array" ref="E2687">_xlfn.XLOOKUP(D2687,SKU_Master!A:A,SKU_Master!B:B,"Not on master")</f>
        <v>0</v>
      </c>
      <c r="F2687" cm="1">
        <f t="array" ref="F2687">_xlfn.XLOOKUP(C2687,Account_Master!A:A,Account_Master!B:B,"Not on master")</f>
        <v>0</v>
      </c>
      <c r="G2687" cm="1">
        <f t="array" ref="G2687">_xlfn.XLOOKUP(C2687,Account_Master!A:A,Account_Master!C:C,"Not on master")</f>
        <v>0</v>
      </c>
      <c r="H2687" s="6">
        <v>2.45</v>
      </c>
      <c r="I2687" s="6">
        <v>2.45</v>
      </c>
      <c r="J2687" s="6">
        <f>I2687-H2687</f>
        <v>0</v>
      </c>
      <c r="K2687" s="5">
        <f>IF(H2687=0,"",J2687/H2687)</f>
        <v>0</v>
      </c>
      <c r="L2687">
        <f>IF(OR(AND(H2687=0,ABS(J2687)&gt;=0.01),AND(H2687&lt;&gt;0,ABS(K2687)&gt;VarianceThreshold)),"Review","OK")</f>
        <v>0</v>
      </c>
      <c r="M2687" t="s">
        <v>33</v>
      </c>
    </row>
    <row r="2688" spans="1:13">
      <c r="A2688" t="s">
        <v>4</v>
      </c>
      <c r="B2688" t="s">
        <v>331</v>
      </c>
      <c r="C2688" t="s">
        <v>2432</v>
      </c>
      <c r="D2688" t="s">
        <v>1834</v>
      </c>
      <c r="E2688" cm="1">
        <f t="array" ref="E2688">_xlfn.XLOOKUP(D2688,SKU_Master!A:A,SKU_Master!B:B,"Not on master")</f>
        <v>0</v>
      </c>
      <c r="F2688" cm="1">
        <f t="array" ref="F2688">_xlfn.XLOOKUP(C2688,Account_Master!A:A,Account_Master!B:B,"Not on master")</f>
        <v>0</v>
      </c>
      <c r="G2688" cm="1">
        <f t="array" ref="G2688">_xlfn.XLOOKUP(C2688,Account_Master!A:A,Account_Master!C:C,"Not on master")</f>
        <v>0</v>
      </c>
      <c r="H2688" s="6">
        <v>26.25</v>
      </c>
      <c r="I2688" s="6">
        <v>26.25</v>
      </c>
      <c r="J2688" s="6">
        <f>I2688-H2688</f>
        <v>0</v>
      </c>
      <c r="K2688" s="5">
        <f>IF(H2688=0,"",J2688/H2688)</f>
        <v>0</v>
      </c>
      <c r="L2688">
        <f>IF(OR(AND(H2688=0,ABS(J2688)&gt;=0.01),AND(H2688&lt;&gt;0,ABS(K2688)&gt;VarianceThreshold)),"Review","OK")</f>
        <v>0</v>
      </c>
      <c r="M2688" t="s">
        <v>33</v>
      </c>
    </row>
    <row r="2689" spans="1:13">
      <c r="A2689" t="s">
        <v>4</v>
      </c>
      <c r="B2689" t="s">
        <v>331</v>
      </c>
      <c r="C2689" t="s">
        <v>2432</v>
      </c>
      <c r="D2689" t="s">
        <v>740</v>
      </c>
      <c r="E2689" cm="1">
        <f t="array" ref="E2689">_xlfn.XLOOKUP(D2689,SKU_Master!A:A,SKU_Master!B:B,"Not on master")</f>
        <v>0</v>
      </c>
      <c r="F2689" cm="1">
        <f t="array" ref="F2689">_xlfn.XLOOKUP(C2689,Account_Master!A:A,Account_Master!B:B,"Not on master")</f>
        <v>0</v>
      </c>
      <c r="G2689" cm="1">
        <f t="array" ref="G2689">_xlfn.XLOOKUP(C2689,Account_Master!A:A,Account_Master!C:C,"Not on master")</f>
        <v>0</v>
      </c>
      <c r="H2689" s="6">
        <v>0.75</v>
      </c>
      <c r="I2689" s="6">
        <v>0.75</v>
      </c>
      <c r="J2689" s="6">
        <f>I2689-H2689</f>
        <v>0</v>
      </c>
      <c r="K2689" s="5">
        <f>IF(H2689=0,"",J2689/H2689)</f>
        <v>0</v>
      </c>
      <c r="L2689">
        <f>IF(OR(AND(H2689=0,ABS(J2689)&gt;=0.01),AND(H2689&lt;&gt;0,ABS(K2689)&gt;VarianceThreshold)),"Review","OK")</f>
        <v>0</v>
      </c>
      <c r="M2689" t="s">
        <v>33</v>
      </c>
    </row>
    <row r="2690" spans="1:13">
      <c r="A2690" t="s">
        <v>4</v>
      </c>
      <c r="B2690" t="s">
        <v>331</v>
      </c>
      <c r="C2690" t="s">
        <v>2521</v>
      </c>
      <c r="D2690" t="s">
        <v>342</v>
      </c>
      <c r="E2690" cm="1">
        <f t="array" ref="E2690">_xlfn.XLOOKUP(D2690,SKU_Master!A:A,SKU_Master!B:B,"Not on master")</f>
        <v>0</v>
      </c>
      <c r="F2690" cm="1">
        <f t="array" ref="F2690">_xlfn.XLOOKUP(C2690,Account_Master!A:A,Account_Master!B:B,"Not on master")</f>
        <v>0</v>
      </c>
      <c r="G2690" cm="1">
        <f t="array" ref="G2690">_xlfn.XLOOKUP(C2690,Account_Master!A:A,Account_Master!C:C,"Not on master")</f>
        <v>0</v>
      </c>
      <c r="H2690" s="6">
        <v>93</v>
      </c>
      <c r="I2690" s="6">
        <v>93</v>
      </c>
      <c r="J2690" s="6">
        <f>I2690-H2690</f>
        <v>0</v>
      </c>
      <c r="K2690" s="5">
        <f>IF(H2690=0,"",J2690/H2690)</f>
        <v>0</v>
      </c>
      <c r="L2690">
        <f>IF(OR(AND(H2690=0,ABS(J2690)&gt;=0.01),AND(H2690&lt;&gt;0,ABS(K2690)&gt;VarianceThreshold)),"Review","OK")</f>
        <v>0</v>
      </c>
      <c r="M2690" t="s">
        <v>33</v>
      </c>
    </row>
    <row r="2691" spans="1:13">
      <c r="A2691" t="s">
        <v>4</v>
      </c>
      <c r="B2691" t="s">
        <v>331</v>
      </c>
      <c r="C2691" t="s">
        <v>2410</v>
      </c>
      <c r="D2691" t="s">
        <v>490</v>
      </c>
      <c r="E2691" cm="1">
        <f t="array" ref="E2691">_xlfn.XLOOKUP(D2691,SKU_Master!A:A,SKU_Master!B:B,"Not on master")</f>
        <v>0</v>
      </c>
      <c r="F2691" cm="1">
        <f t="array" ref="F2691">_xlfn.XLOOKUP(C2691,Account_Master!A:A,Account_Master!B:B,"Not on master")</f>
        <v>0</v>
      </c>
      <c r="G2691" cm="1">
        <f t="array" ref="G2691">_xlfn.XLOOKUP(C2691,Account_Master!A:A,Account_Master!C:C,"Not on master")</f>
        <v>0</v>
      </c>
      <c r="H2691" s="6">
        <v>6.75</v>
      </c>
      <c r="I2691" s="6">
        <v>6.75</v>
      </c>
      <c r="J2691" s="6">
        <f>I2691-H2691</f>
        <v>0</v>
      </c>
      <c r="K2691" s="5">
        <f>IF(H2691=0,"",J2691/H2691)</f>
        <v>0</v>
      </c>
      <c r="L2691">
        <f>IF(OR(AND(H2691=0,ABS(J2691)&gt;=0.01),AND(H2691&lt;&gt;0,ABS(K2691)&gt;VarianceThreshold)),"Review","OK")</f>
        <v>0</v>
      </c>
      <c r="M2691" t="s">
        <v>33</v>
      </c>
    </row>
    <row r="2692" spans="1:13">
      <c r="A2692" t="s">
        <v>4</v>
      </c>
      <c r="B2692" t="s">
        <v>331</v>
      </c>
      <c r="C2692" t="s">
        <v>2410</v>
      </c>
      <c r="D2692" t="s">
        <v>2522</v>
      </c>
      <c r="E2692" cm="1">
        <f t="array" ref="E2692">_xlfn.XLOOKUP(D2692,SKU_Master!A:A,SKU_Master!B:B,"Not on master")</f>
        <v>0</v>
      </c>
      <c r="F2692" cm="1">
        <f t="array" ref="F2692">_xlfn.XLOOKUP(C2692,Account_Master!A:A,Account_Master!B:B,"Not on master")</f>
        <v>0</v>
      </c>
      <c r="G2692" cm="1">
        <f t="array" ref="G2692">_xlfn.XLOOKUP(C2692,Account_Master!A:A,Account_Master!C:C,"Not on master")</f>
        <v>0</v>
      </c>
      <c r="H2692" s="6">
        <v>4.5</v>
      </c>
      <c r="I2692" s="6">
        <v>4.5</v>
      </c>
      <c r="J2692" s="6">
        <f>I2692-H2692</f>
        <v>0</v>
      </c>
      <c r="K2692" s="5">
        <f>IF(H2692=0,"",J2692/H2692)</f>
        <v>0</v>
      </c>
      <c r="L2692">
        <f>IF(OR(AND(H2692=0,ABS(J2692)&gt;=0.01),AND(H2692&lt;&gt;0,ABS(K2692)&gt;VarianceThreshold)),"Review","OK")</f>
        <v>0</v>
      </c>
      <c r="M2692" t="s">
        <v>33</v>
      </c>
    </row>
    <row r="2693" spans="1:13">
      <c r="A2693" t="s">
        <v>4</v>
      </c>
      <c r="B2693" t="s">
        <v>331</v>
      </c>
      <c r="C2693" t="s">
        <v>2414</v>
      </c>
      <c r="D2693" t="s">
        <v>1212</v>
      </c>
      <c r="E2693" cm="1">
        <f t="array" ref="E2693">_xlfn.XLOOKUP(D2693,SKU_Master!A:A,SKU_Master!B:B,"Not on master")</f>
        <v>0</v>
      </c>
      <c r="F2693" cm="1">
        <f t="array" ref="F2693">_xlfn.XLOOKUP(C2693,Account_Master!A:A,Account_Master!B:B,"Not on master")</f>
        <v>0</v>
      </c>
      <c r="G2693" cm="1">
        <f t="array" ref="G2693">_xlfn.XLOOKUP(C2693,Account_Master!A:A,Account_Master!C:C,"Not on master")</f>
        <v>0</v>
      </c>
      <c r="H2693" s="6">
        <v>10.5</v>
      </c>
      <c r="I2693" s="6">
        <v>10.5</v>
      </c>
      <c r="J2693" s="6">
        <f>I2693-H2693</f>
        <v>0</v>
      </c>
      <c r="K2693" s="5">
        <f>IF(H2693=0,"",J2693/H2693)</f>
        <v>0</v>
      </c>
      <c r="L2693">
        <f>IF(OR(AND(H2693=0,ABS(J2693)&gt;=0.01),AND(H2693&lt;&gt;0,ABS(K2693)&gt;VarianceThreshold)),"Review","OK")</f>
        <v>0</v>
      </c>
      <c r="M2693" t="s">
        <v>33</v>
      </c>
    </row>
    <row r="2694" spans="1:13">
      <c r="A2694" t="s">
        <v>4</v>
      </c>
      <c r="B2694" t="s">
        <v>331</v>
      </c>
      <c r="C2694" t="s">
        <v>2433</v>
      </c>
      <c r="D2694" t="s">
        <v>2523</v>
      </c>
      <c r="E2694" cm="1">
        <f t="array" ref="E2694">_xlfn.XLOOKUP(D2694,SKU_Master!A:A,SKU_Master!B:B,"Not on master")</f>
        <v>0</v>
      </c>
      <c r="F2694" cm="1">
        <f t="array" ref="F2694">_xlfn.XLOOKUP(C2694,Account_Master!A:A,Account_Master!B:B,"Not on master")</f>
        <v>0</v>
      </c>
      <c r="G2694" cm="1">
        <f t="array" ref="G2694">_xlfn.XLOOKUP(C2694,Account_Master!A:A,Account_Master!C:C,"Not on master")</f>
        <v>0</v>
      </c>
      <c r="H2694" s="6">
        <v>4.8</v>
      </c>
      <c r="I2694" s="6">
        <v>4.8</v>
      </c>
      <c r="J2694" s="6">
        <f>I2694-H2694</f>
        <v>0</v>
      </c>
      <c r="K2694" s="5">
        <f>IF(H2694=0,"",J2694/H2694)</f>
        <v>0</v>
      </c>
      <c r="L2694">
        <f>IF(OR(AND(H2694=0,ABS(J2694)&gt;=0.01),AND(H2694&lt;&gt;0,ABS(K2694)&gt;VarianceThreshold)),"Review","OK")</f>
        <v>0</v>
      </c>
      <c r="M2694" t="s">
        <v>33</v>
      </c>
    </row>
    <row r="2695" spans="1:13">
      <c r="A2695" t="s">
        <v>4</v>
      </c>
      <c r="B2695" t="s">
        <v>331</v>
      </c>
      <c r="C2695" t="s">
        <v>2499</v>
      </c>
      <c r="D2695" t="s">
        <v>1170</v>
      </c>
      <c r="E2695" cm="1">
        <f t="array" ref="E2695">_xlfn.XLOOKUP(D2695,SKU_Master!A:A,SKU_Master!B:B,"Not on master")</f>
        <v>0</v>
      </c>
      <c r="F2695" cm="1">
        <f t="array" ref="F2695">_xlfn.XLOOKUP(C2695,Account_Master!A:A,Account_Master!B:B,"Not on master")</f>
        <v>0</v>
      </c>
      <c r="G2695" cm="1">
        <f t="array" ref="G2695">_xlfn.XLOOKUP(C2695,Account_Master!A:A,Account_Master!C:C,"Not on master")</f>
        <v>0</v>
      </c>
      <c r="H2695" s="6">
        <v>9.75</v>
      </c>
      <c r="I2695" s="6">
        <v>9.75</v>
      </c>
      <c r="J2695" s="6">
        <f>I2695-H2695</f>
        <v>0</v>
      </c>
      <c r="K2695" s="5">
        <f>IF(H2695=0,"",J2695/H2695)</f>
        <v>0</v>
      </c>
      <c r="L2695">
        <f>IF(OR(AND(H2695=0,ABS(J2695)&gt;=0.01),AND(H2695&lt;&gt;0,ABS(K2695)&gt;VarianceThreshold)),"Review","OK")</f>
        <v>0</v>
      </c>
      <c r="M2695" t="s">
        <v>33</v>
      </c>
    </row>
    <row r="2696" spans="1:13">
      <c r="A2696" t="s">
        <v>4</v>
      </c>
      <c r="B2696" t="s">
        <v>335</v>
      </c>
      <c r="C2696" t="s">
        <v>2410</v>
      </c>
      <c r="D2696" t="s">
        <v>2524</v>
      </c>
      <c r="E2696" cm="1">
        <f t="array" ref="E2696">_xlfn.XLOOKUP(D2696,SKU_Master!A:A,SKU_Master!B:B,"Not on master")</f>
        <v>0</v>
      </c>
      <c r="F2696" cm="1">
        <f t="array" ref="F2696">_xlfn.XLOOKUP(C2696,Account_Master!A:A,Account_Master!B:B,"Not on master")</f>
        <v>0</v>
      </c>
      <c r="G2696" cm="1">
        <f t="array" ref="G2696">_xlfn.XLOOKUP(C2696,Account_Master!A:A,Account_Master!C:C,"Not on master")</f>
        <v>0</v>
      </c>
      <c r="H2696" s="6">
        <v>4.5</v>
      </c>
      <c r="I2696" s="6">
        <v>4.5</v>
      </c>
      <c r="J2696" s="6">
        <f>I2696-H2696</f>
        <v>0</v>
      </c>
      <c r="K2696" s="5">
        <f>IF(H2696=0,"",J2696/H2696)</f>
        <v>0</v>
      </c>
      <c r="L2696">
        <f>IF(OR(AND(H2696=0,ABS(J2696)&gt;=0.01),AND(H2696&lt;&gt;0,ABS(K2696)&gt;VarianceThreshold)),"Review","OK")</f>
        <v>0</v>
      </c>
      <c r="M2696" t="s">
        <v>33</v>
      </c>
    </row>
    <row r="2697" spans="1:13">
      <c r="A2697" t="s">
        <v>4</v>
      </c>
      <c r="B2697" t="s">
        <v>335</v>
      </c>
      <c r="C2697" t="s">
        <v>2414</v>
      </c>
      <c r="D2697" t="s">
        <v>2525</v>
      </c>
      <c r="E2697" cm="1">
        <f t="array" ref="E2697">_xlfn.XLOOKUP(D2697,SKU_Master!A:A,SKU_Master!B:B,"Not on master")</f>
        <v>0</v>
      </c>
      <c r="F2697" cm="1">
        <f t="array" ref="F2697">_xlfn.XLOOKUP(C2697,Account_Master!A:A,Account_Master!B:B,"Not on master")</f>
        <v>0</v>
      </c>
      <c r="G2697" cm="1">
        <f t="array" ref="G2697">_xlfn.XLOOKUP(C2697,Account_Master!A:A,Account_Master!C:C,"Not on master")</f>
        <v>0</v>
      </c>
      <c r="H2697" s="6">
        <v>514.5</v>
      </c>
      <c r="I2697" s="6">
        <v>514.5</v>
      </c>
      <c r="J2697" s="6">
        <f>I2697-H2697</f>
        <v>0</v>
      </c>
      <c r="K2697" s="5">
        <f>IF(H2697=0,"",J2697/H2697)</f>
        <v>0</v>
      </c>
      <c r="L2697">
        <f>IF(OR(AND(H2697=0,ABS(J2697)&gt;=0.01),AND(H2697&lt;&gt;0,ABS(K2697)&gt;VarianceThreshold)),"Review","OK")</f>
        <v>0</v>
      </c>
      <c r="M2697" t="s">
        <v>33</v>
      </c>
    </row>
    <row r="2698" spans="1:13">
      <c r="A2698" t="s">
        <v>4</v>
      </c>
      <c r="B2698" t="s">
        <v>335</v>
      </c>
      <c r="C2698" t="s">
        <v>2490</v>
      </c>
      <c r="D2698" t="s">
        <v>2526</v>
      </c>
      <c r="E2698" cm="1">
        <f t="array" ref="E2698">_xlfn.XLOOKUP(D2698,SKU_Master!A:A,SKU_Master!B:B,"Not on master")</f>
        <v>0</v>
      </c>
      <c r="F2698" cm="1">
        <f t="array" ref="F2698">_xlfn.XLOOKUP(C2698,Account_Master!A:A,Account_Master!B:B,"Not on master")</f>
        <v>0</v>
      </c>
      <c r="G2698" cm="1">
        <f t="array" ref="G2698">_xlfn.XLOOKUP(C2698,Account_Master!A:A,Account_Master!C:C,"Not on master")</f>
        <v>0</v>
      </c>
      <c r="H2698" s="6">
        <v>3</v>
      </c>
      <c r="I2698" s="6">
        <v>3</v>
      </c>
      <c r="J2698" s="6">
        <f>I2698-H2698</f>
        <v>0</v>
      </c>
      <c r="K2698" s="5">
        <f>IF(H2698=0,"",J2698/H2698)</f>
        <v>0</v>
      </c>
      <c r="L2698">
        <f>IF(OR(AND(H2698=0,ABS(J2698)&gt;=0.01),AND(H2698&lt;&gt;0,ABS(K2698)&gt;VarianceThreshold)),"Review","OK")</f>
        <v>0</v>
      </c>
      <c r="M2698" t="s">
        <v>33</v>
      </c>
    </row>
    <row r="2699" spans="1:13">
      <c r="A2699" t="s">
        <v>4</v>
      </c>
      <c r="B2699" t="s">
        <v>335</v>
      </c>
      <c r="C2699" t="s">
        <v>2486</v>
      </c>
      <c r="D2699" t="s">
        <v>1248</v>
      </c>
      <c r="E2699" cm="1">
        <f t="array" ref="E2699">_xlfn.XLOOKUP(D2699,SKU_Master!A:A,SKU_Master!B:B,"Not on master")</f>
        <v>0</v>
      </c>
      <c r="F2699" cm="1">
        <f t="array" ref="F2699">_xlfn.XLOOKUP(C2699,Account_Master!A:A,Account_Master!B:B,"Not on master")</f>
        <v>0</v>
      </c>
      <c r="G2699" cm="1">
        <f t="array" ref="G2699">_xlfn.XLOOKUP(C2699,Account_Master!A:A,Account_Master!C:C,"Not on master")</f>
        <v>0</v>
      </c>
      <c r="H2699" s="6">
        <v>8.75</v>
      </c>
      <c r="I2699" s="6">
        <v>8.75</v>
      </c>
      <c r="J2699" s="6">
        <f>I2699-H2699</f>
        <v>0</v>
      </c>
      <c r="K2699" s="5">
        <f>IF(H2699=0,"",J2699/H2699)</f>
        <v>0</v>
      </c>
      <c r="L2699">
        <f>IF(OR(AND(H2699=0,ABS(J2699)&gt;=0.01),AND(H2699&lt;&gt;0,ABS(K2699)&gt;VarianceThreshold)),"Review","OK")</f>
        <v>0</v>
      </c>
      <c r="M2699" t="s">
        <v>33</v>
      </c>
    </row>
    <row r="2700" spans="1:13">
      <c r="A2700" t="s">
        <v>4</v>
      </c>
      <c r="B2700" t="s">
        <v>335</v>
      </c>
      <c r="C2700" t="s">
        <v>2435</v>
      </c>
      <c r="D2700" t="s">
        <v>1162</v>
      </c>
      <c r="E2700" cm="1">
        <f t="array" ref="E2700">_xlfn.XLOOKUP(D2700,SKU_Master!A:A,SKU_Master!B:B,"Not on master")</f>
        <v>0</v>
      </c>
      <c r="F2700" cm="1">
        <f t="array" ref="F2700">_xlfn.XLOOKUP(C2700,Account_Master!A:A,Account_Master!B:B,"Not on master")</f>
        <v>0</v>
      </c>
      <c r="G2700" cm="1">
        <f t="array" ref="G2700">_xlfn.XLOOKUP(C2700,Account_Master!A:A,Account_Master!C:C,"Not on master")</f>
        <v>0</v>
      </c>
      <c r="H2700" s="6">
        <v>115.5</v>
      </c>
      <c r="I2700" s="6">
        <v>115.5</v>
      </c>
      <c r="J2700" s="6">
        <f>I2700-H2700</f>
        <v>0</v>
      </c>
      <c r="K2700" s="5">
        <f>IF(H2700=0,"",J2700/H2700)</f>
        <v>0</v>
      </c>
      <c r="L2700">
        <f>IF(OR(AND(H2700=0,ABS(J2700)&gt;=0.01),AND(H2700&lt;&gt;0,ABS(K2700)&gt;VarianceThreshold)),"Review","OK")</f>
        <v>0</v>
      </c>
      <c r="M2700" t="s">
        <v>33</v>
      </c>
    </row>
    <row r="2701" spans="1:13">
      <c r="A2701" t="s">
        <v>4</v>
      </c>
      <c r="B2701" t="s">
        <v>335</v>
      </c>
      <c r="C2701" t="s">
        <v>2447</v>
      </c>
      <c r="D2701" t="s">
        <v>321</v>
      </c>
      <c r="E2701" cm="1">
        <f t="array" ref="E2701">_xlfn.XLOOKUP(D2701,SKU_Master!A:A,SKU_Master!B:B,"Not on master")</f>
        <v>0</v>
      </c>
      <c r="F2701" cm="1">
        <f t="array" ref="F2701">_xlfn.XLOOKUP(C2701,Account_Master!A:A,Account_Master!B:B,"Not on master")</f>
        <v>0</v>
      </c>
      <c r="G2701" cm="1">
        <f t="array" ref="G2701">_xlfn.XLOOKUP(C2701,Account_Master!A:A,Account_Master!C:C,"Not on master")</f>
        <v>0</v>
      </c>
      <c r="H2701" s="6">
        <v>14</v>
      </c>
      <c r="I2701" s="6">
        <v>14</v>
      </c>
      <c r="J2701" s="6">
        <f>I2701-H2701</f>
        <v>0</v>
      </c>
      <c r="K2701" s="5">
        <f>IF(H2701=0,"",J2701/H2701)</f>
        <v>0</v>
      </c>
      <c r="L2701">
        <f>IF(OR(AND(H2701=0,ABS(J2701)&gt;=0.01),AND(H2701&lt;&gt;0,ABS(K2701)&gt;VarianceThreshold)),"Review","OK")</f>
        <v>0</v>
      </c>
      <c r="M2701" t="s">
        <v>33</v>
      </c>
    </row>
    <row r="2702" spans="1:13">
      <c r="A2702" t="s">
        <v>4</v>
      </c>
      <c r="B2702" t="s">
        <v>335</v>
      </c>
      <c r="C2702" t="s">
        <v>2436</v>
      </c>
      <c r="D2702" t="s">
        <v>562</v>
      </c>
      <c r="E2702" cm="1">
        <f t="array" ref="E2702">_xlfn.XLOOKUP(D2702,SKU_Master!A:A,SKU_Master!B:B,"Not on master")</f>
        <v>0</v>
      </c>
      <c r="F2702" cm="1">
        <f t="array" ref="F2702">_xlfn.XLOOKUP(C2702,Account_Master!A:A,Account_Master!B:B,"Not on master")</f>
        <v>0</v>
      </c>
      <c r="G2702" cm="1">
        <f t="array" ref="G2702">_xlfn.XLOOKUP(C2702,Account_Master!A:A,Account_Master!C:C,"Not on master")</f>
        <v>0</v>
      </c>
      <c r="H2702" s="6">
        <v>41.25</v>
      </c>
      <c r="I2702" s="6">
        <v>41.25</v>
      </c>
      <c r="J2702" s="6">
        <f>I2702-H2702</f>
        <v>0</v>
      </c>
      <c r="K2702" s="5">
        <f>IF(H2702=0,"",J2702/H2702)</f>
        <v>0</v>
      </c>
      <c r="L2702">
        <f>IF(OR(AND(H2702=0,ABS(J2702)&gt;=0.01),AND(H2702&lt;&gt;0,ABS(K2702)&gt;VarianceThreshold)),"Review","OK")</f>
        <v>0</v>
      </c>
      <c r="M2702" t="s">
        <v>33</v>
      </c>
    </row>
    <row r="2703" spans="1:13">
      <c r="A2703" t="s">
        <v>4</v>
      </c>
      <c r="B2703" t="s">
        <v>335</v>
      </c>
      <c r="C2703" t="s">
        <v>2436</v>
      </c>
      <c r="D2703" t="s">
        <v>2527</v>
      </c>
      <c r="E2703" cm="1">
        <f t="array" ref="E2703">_xlfn.XLOOKUP(D2703,SKU_Master!A:A,SKU_Master!B:B,"Not on master")</f>
        <v>0</v>
      </c>
      <c r="F2703" cm="1">
        <f t="array" ref="F2703">_xlfn.XLOOKUP(C2703,Account_Master!A:A,Account_Master!B:B,"Not on master")</f>
        <v>0</v>
      </c>
      <c r="G2703" cm="1">
        <f t="array" ref="G2703">_xlfn.XLOOKUP(C2703,Account_Master!A:A,Account_Master!C:C,"Not on master")</f>
        <v>0</v>
      </c>
      <c r="H2703" s="6">
        <v>15</v>
      </c>
      <c r="I2703" s="6">
        <v>15</v>
      </c>
      <c r="J2703" s="6">
        <f>I2703-H2703</f>
        <v>0</v>
      </c>
      <c r="K2703" s="5">
        <f>IF(H2703=0,"",J2703/H2703)</f>
        <v>0</v>
      </c>
      <c r="L2703">
        <f>IF(OR(AND(H2703=0,ABS(J2703)&gt;=0.01),AND(H2703&lt;&gt;0,ABS(K2703)&gt;VarianceThreshold)),"Review","OK")</f>
        <v>0</v>
      </c>
      <c r="M2703" t="s">
        <v>33</v>
      </c>
    </row>
    <row r="2704" spans="1:13">
      <c r="A2704" t="s">
        <v>4</v>
      </c>
      <c r="B2704" t="s">
        <v>345</v>
      </c>
      <c r="C2704" t="s">
        <v>2410</v>
      </c>
      <c r="D2704" t="s">
        <v>2000</v>
      </c>
      <c r="E2704" cm="1">
        <f t="array" ref="E2704">_xlfn.XLOOKUP(D2704,SKU_Master!A:A,SKU_Master!B:B,"Not on master")</f>
        <v>0</v>
      </c>
      <c r="F2704" cm="1">
        <f t="array" ref="F2704">_xlfn.XLOOKUP(C2704,Account_Master!A:A,Account_Master!B:B,"Not on master")</f>
        <v>0</v>
      </c>
      <c r="G2704" cm="1">
        <f t="array" ref="G2704">_xlfn.XLOOKUP(C2704,Account_Master!A:A,Account_Master!C:C,"Not on master")</f>
        <v>0</v>
      </c>
      <c r="H2704" s="6">
        <v>0.75</v>
      </c>
      <c r="I2704" s="6">
        <v>0.75</v>
      </c>
      <c r="J2704" s="6">
        <f>I2704-H2704</f>
        <v>0</v>
      </c>
      <c r="K2704" s="5">
        <f>IF(H2704=0,"",J2704/H2704)</f>
        <v>0</v>
      </c>
      <c r="L2704">
        <f>IF(OR(AND(H2704=0,ABS(J2704)&gt;=0.01),AND(H2704&lt;&gt;0,ABS(K2704)&gt;VarianceThreshold)),"Review","OK")</f>
        <v>0</v>
      </c>
      <c r="M2704" t="s">
        <v>33</v>
      </c>
    </row>
    <row r="2705" spans="1:13">
      <c r="A2705" t="s">
        <v>4</v>
      </c>
      <c r="B2705" t="s">
        <v>345</v>
      </c>
      <c r="C2705" t="s">
        <v>2453</v>
      </c>
      <c r="D2705" t="s">
        <v>2528</v>
      </c>
      <c r="E2705" cm="1">
        <f t="array" ref="E2705">_xlfn.XLOOKUP(D2705,SKU_Master!A:A,SKU_Master!B:B,"Not on master")</f>
        <v>0</v>
      </c>
      <c r="F2705" cm="1">
        <f t="array" ref="F2705">_xlfn.XLOOKUP(C2705,Account_Master!A:A,Account_Master!B:B,"Not on master")</f>
        <v>0</v>
      </c>
      <c r="G2705" cm="1">
        <f t="array" ref="G2705">_xlfn.XLOOKUP(C2705,Account_Master!A:A,Account_Master!C:C,"Not on master")</f>
        <v>0</v>
      </c>
      <c r="H2705" s="6">
        <v>52</v>
      </c>
      <c r="I2705" s="6">
        <v>52</v>
      </c>
      <c r="J2705" s="6">
        <f>I2705-H2705</f>
        <v>0</v>
      </c>
      <c r="K2705" s="5">
        <f>IF(H2705=0,"",J2705/H2705)</f>
        <v>0</v>
      </c>
      <c r="L2705">
        <f>IF(OR(AND(H2705=0,ABS(J2705)&gt;=0.01),AND(H2705&lt;&gt;0,ABS(K2705)&gt;VarianceThreshold)),"Review","OK")</f>
        <v>0</v>
      </c>
      <c r="M2705" t="s">
        <v>33</v>
      </c>
    </row>
    <row r="2706" spans="1:13">
      <c r="A2706" t="s">
        <v>4</v>
      </c>
      <c r="B2706" t="s">
        <v>345</v>
      </c>
      <c r="C2706" t="s">
        <v>2457</v>
      </c>
      <c r="D2706" t="s">
        <v>572</v>
      </c>
      <c r="E2706" cm="1">
        <f t="array" ref="E2706">_xlfn.XLOOKUP(D2706,SKU_Master!A:A,SKU_Master!B:B,"Not on master")</f>
        <v>0</v>
      </c>
      <c r="F2706" cm="1">
        <f t="array" ref="F2706">_xlfn.XLOOKUP(C2706,Account_Master!A:A,Account_Master!B:B,"Not on master")</f>
        <v>0</v>
      </c>
      <c r="G2706" cm="1">
        <f t="array" ref="G2706">_xlfn.XLOOKUP(C2706,Account_Master!A:A,Account_Master!C:C,"Not on master")</f>
        <v>0</v>
      </c>
      <c r="H2706" s="6">
        <v>60</v>
      </c>
      <c r="I2706" s="6">
        <v>60</v>
      </c>
      <c r="J2706" s="6">
        <f>I2706-H2706</f>
        <v>0</v>
      </c>
      <c r="K2706" s="5">
        <f>IF(H2706=0,"",J2706/H2706)</f>
        <v>0</v>
      </c>
      <c r="L2706">
        <f>IF(OR(AND(H2706=0,ABS(J2706)&gt;=0.01),AND(H2706&lt;&gt;0,ABS(K2706)&gt;VarianceThreshold)),"Review","OK")</f>
        <v>0</v>
      </c>
      <c r="M2706" t="s">
        <v>33</v>
      </c>
    </row>
    <row r="2707" spans="1:13">
      <c r="A2707" t="s">
        <v>4</v>
      </c>
      <c r="B2707" t="s">
        <v>345</v>
      </c>
      <c r="C2707" t="s">
        <v>2529</v>
      </c>
      <c r="D2707" t="s">
        <v>1461</v>
      </c>
      <c r="E2707" cm="1">
        <f t="array" ref="E2707">_xlfn.XLOOKUP(D2707,SKU_Master!A:A,SKU_Master!B:B,"Not on master")</f>
        <v>0</v>
      </c>
      <c r="F2707" cm="1">
        <f t="array" ref="F2707">_xlfn.XLOOKUP(C2707,Account_Master!A:A,Account_Master!B:B,"Not on master")</f>
        <v>0</v>
      </c>
      <c r="G2707" cm="1">
        <f t="array" ref="G2707">_xlfn.XLOOKUP(C2707,Account_Master!A:A,Account_Master!C:C,"Not on master")</f>
        <v>0</v>
      </c>
      <c r="H2707" s="6">
        <v>3.15</v>
      </c>
      <c r="I2707" s="6">
        <v>3.15</v>
      </c>
      <c r="J2707" s="6">
        <f>I2707-H2707</f>
        <v>0</v>
      </c>
      <c r="K2707" s="5">
        <f>IF(H2707=0,"",J2707/H2707)</f>
        <v>0</v>
      </c>
      <c r="L2707">
        <f>IF(OR(AND(H2707=0,ABS(J2707)&gt;=0.01),AND(H2707&lt;&gt;0,ABS(K2707)&gt;VarianceThreshold)),"Review","OK")</f>
        <v>0</v>
      </c>
      <c r="M2707" t="s">
        <v>33</v>
      </c>
    </row>
    <row r="2708" spans="1:13">
      <c r="A2708" t="s">
        <v>4</v>
      </c>
      <c r="B2708" t="s">
        <v>345</v>
      </c>
      <c r="C2708" t="s">
        <v>2472</v>
      </c>
      <c r="D2708" t="s">
        <v>107</v>
      </c>
      <c r="E2708" cm="1">
        <f t="array" ref="E2708">_xlfn.XLOOKUP(D2708,SKU_Master!A:A,SKU_Master!B:B,"Not on master")</f>
        <v>0</v>
      </c>
      <c r="F2708" cm="1">
        <f t="array" ref="F2708">_xlfn.XLOOKUP(C2708,Account_Master!A:A,Account_Master!B:B,"Not on master")</f>
        <v>0</v>
      </c>
      <c r="G2708" cm="1">
        <f t="array" ref="G2708">_xlfn.XLOOKUP(C2708,Account_Master!A:A,Account_Master!C:C,"Not on master")</f>
        <v>0</v>
      </c>
      <c r="H2708" s="6">
        <v>0.05</v>
      </c>
      <c r="I2708" s="6">
        <v>0.05</v>
      </c>
      <c r="J2708" s="6">
        <f>I2708-H2708</f>
        <v>0</v>
      </c>
      <c r="K2708" s="5">
        <f>IF(H2708=0,"",J2708/H2708)</f>
        <v>0</v>
      </c>
      <c r="L2708">
        <f>IF(OR(AND(H2708=0,ABS(J2708)&gt;=0.01),AND(H2708&lt;&gt;0,ABS(K2708)&gt;VarianceThreshold)),"Review","OK")</f>
        <v>0</v>
      </c>
      <c r="M2708" t="s">
        <v>33</v>
      </c>
    </row>
    <row r="2709" spans="1:13">
      <c r="A2709" t="s">
        <v>4</v>
      </c>
      <c r="B2709" t="s">
        <v>345</v>
      </c>
      <c r="C2709" t="s">
        <v>2453</v>
      </c>
      <c r="D2709" t="s">
        <v>185</v>
      </c>
      <c r="E2709" cm="1">
        <f t="array" ref="E2709">_xlfn.XLOOKUP(D2709,SKU_Master!A:A,SKU_Master!B:B,"Not on master")</f>
        <v>0</v>
      </c>
      <c r="F2709" cm="1">
        <f t="array" ref="F2709">_xlfn.XLOOKUP(C2709,Account_Master!A:A,Account_Master!B:B,"Not on master")</f>
        <v>0</v>
      </c>
      <c r="G2709" cm="1">
        <f t="array" ref="G2709">_xlfn.XLOOKUP(C2709,Account_Master!A:A,Account_Master!C:C,"Not on master")</f>
        <v>0</v>
      </c>
      <c r="H2709" s="6">
        <v>225</v>
      </c>
      <c r="I2709" s="6">
        <v>225</v>
      </c>
      <c r="J2709" s="6">
        <f>I2709-H2709</f>
        <v>0</v>
      </c>
      <c r="K2709" s="5">
        <f>IF(H2709=0,"",J2709/H2709)</f>
        <v>0</v>
      </c>
      <c r="L2709">
        <f>IF(OR(AND(H2709=0,ABS(J2709)&gt;=0.01),AND(H2709&lt;&gt;0,ABS(K2709)&gt;VarianceThreshold)),"Review","OK")</f>
        <v>0</v>
      </c>
      <c r="M2709" t="s">
        <v>33</v>
      </c>
    </row>
    <row r="2710" spans="1:13">
      <c r="A2710" t="s">
        <v>4</v>
      </c>
      <c r="B2710" t="s">
        <v>345</v>
      </c>
      <c r="C2710" t="s">
        <v>2432</v>
      </c>
      <c r="D2710" t="s">
        <v>2530</v>
      </c>
      <c r="E2710" cm="1">
        <f t="array" ref="E2710">_xlfn.XLOOKUP(D2710,SKU_Master!A:A,SKU_Master!B:B,"Not on master")</f>
        <v>0</v>
      </c>
      <c r="F2710" cm="1">
        <f t="array" ref="F2710">_xlfn.XLOOKUP(C2710,Account_Master!A:A,Account_Master!B:B,"Not on master")</f>
        <v>0</v>
      </c>
      <c r="G2710" cm="1">
        <f t="array" ref="G2710">_xlfn.XLOOKUP(C2710,Account_Master!A:A,Account_Master!C:C,"Not on master")</f>
        <v>0</v>
      </c>
      <c r="H2710" s="6">
        <v>3.75</v>
      </c>
      <c r="I2710" s="6">
        <v>3.75</v>
      </c>
      <c r="J2710" s="6">
        <f>I2710-H2710</f>
        <v>0</v>
      </c>
      <c r="K2710" s="5">
        <f>IF(H2710=0,"",J2710/H2710)</f>
        <v>0</v>
      </c>
      <c r="L2710">
        <f>IF(OR(AND(H2710=0,ABS(J2710)&gt;=0.01),AND(H2710&lt;&gt;0,ABS(K2710)&gt;VarianceThreshold)),"Review","OK")</f>
        <v>0</v>
      </c>
      <c r="M2710" t="s">
        <v>33</v>
      </c>
    </row>
    <row r="2711" spans="1:13">
      <c r="A2711" t="s">
        <v>4</v>
      </c>
      <c r="B2711" t="s">
        <v>345</v>
      </c>
      <c r="C2711" t="s">
        <v>2531</v>
      </c>
      <c r="D2711" t="s">
        <v>1958</v>
      </c>
      <c r="E2711" cm="1">
        <f t="array" ref="E2711">_xlfn.XLOOKUP(D2711,SKU_Master!A:A,SKU_Master!B:B,"Not on master")</f>
        <v>0</v>
      </c>
      <c r="F2711" cm="1">
        <f t="array" ref="F2711">_xlfn.XLOOKUP(C2711,Account_Master!A:A,Account_Master!B:B,"Not on master")</f>
        <v>0</v>
      </c>
      <c r="G2711" cm="1">
        <f t="array" ref="G2711">_xlfn.XLOOKUP(C2711,Account_Master!A:A,Account_Master!C:C,"Not on master")</f>
        <v>0</v>
      </c>
      <c r="H2711" s="6">
        <v>0.65</v>
      </c>
      <c r="I2711" s="6">
        <v>0.65</v>
      </c>
      <c r="J2711" s="6">
        <f>I2711-H2711</f>
        <v>0</v>
      </c>
      <c r="K2711" s="5">
        <f>IF(H2711=0,"",J2711/H2711)</f>
        <v>0</v>
      </c>
      <c r="L2711">
        <f>IF(OR(AND(H2711=0,ABS(J2711)&gt;=0.01),AND(H2711&lt;&gt;0,ABS(K2711)&gt;VarianceThreshold)),"Review","OK")</f>
        <v>0</v>
      </c>
      <c r="M2711" t="s">
        <v>33</v>
      </c>
    </row>
    <row r="2712" spans="1:13">
      <c r="A2712" t="s">
        <v>4</v>
      </c>
      <c r="B2712" t="s">
        <v>357</v>
      </c>
      <c r="C2712" t="s">
        <v>2467</v>
      </c>
      <c r="D2712" t="s">
        <v>2532</v>
      </c>
      <c r="E2712" cm="1">
        <f t="array" ref="E2712">_xlfn.XLOOKUP(D2712,SKU_Master!A:A,SKU_Master!B:B,"Not on master")</f>
        <v>0</v>
      </c>
      <c r="F2712" cm="1">
        <f t="array" ref="F2712">_xlfn.XLOOKUP(C2712,Account_Master!A:A,Account_Master!B:B,"Not on master")</f>
        <v>0</v>
      </c>
      <c r="G2712" cm="1">
        <f t="array" ref="G2712">_xlfn.XLOOKUP(C2712,Account_Master!A:A,Account_Master!C:C,"Not on master")</f>
        <v>0</v>
      </c>
      <c r="H2712" s="6">
        <v>5.25</v>
      </c>
      <c r="I2712" s="6">
        <v>5.25</v>
      </c>
      <c r="J2712" s="6">
        <f>I2712-H2712</f>
        <v>0</v>
      </c>
      <c r="K2712" s="5">
        <f>IF(H2712=0,"",J2712/H2712)</f>
        <v>0</v>
      </c>
      <c r="L2712">
        <f>IF(OR(AND(H2712=0,ABS(J2712)&gt;=0.01),AND(H2712&lt;&gt;0,ABS(K2712)&gt;VarianceThreshold)),"Review","OK")</f>
        <v>0</v>
      </c>
      <c r="M2712" t="s">
        <v>33</v>
      </c>
    </row>
    <row r="2713" spans="1:13">
      <c r="A2713" t="s">
        <v>4</v>
      </c>
      <c r="B2713" t="s">
        <v>357</v>
      </c>
      <c r="C2713" t="s">
        <v>2470</v>
      </c>
      <c r="D2713" t="s">
        <v>579</v>
      </c>
      <c r="E2713" cm="1">
        <f t="array" ref="E2713">_xlfn.XLOOKUP(D2713,SKU_Master!A:A,SKU_Master!B:B,"Not on master")</f>
        <v>0</v>
      </c>
      <c r="F2713" cm="1">
        <f t="array" ref="F2713">_xlfn.XLOOKUP(C2713,Account_Master!A:A,Account_Master!B:B,"Not on master")</f>
        <v>0</v>
      </c>
      <c r="G2713" cm="1">
        <f t="array" ref="G2713">_xlfn.XLOOKUP(C2713,Account_Master!A:A,Account_Master!C:C,"Not on master")</f>
        <v>0</v>
      </c>
      <c r="H2713" s="6">
        <v>0.3</v>
      </c>
      <c r="I2713" s="6">
        <v>0.3</v>
      </c>
      <c r="J2713" s="6">
        <f>I2713-H2713</f>
        <v>0</v>
      </c>
      <c r="K2713" s="5">
        <f>IF(H2713=0,"",J2713/H2713)</f>
        <v>0</v>
      </c>
      <c r="L2713">
        <f>IF(OR(AND(H2713=0,ABS(J2713)&gt;=0.01),AND(H2713&lt;&gt;0,ABS(K2713)&gt;VarianceThreshold)),"Review","OK")</f>
        <v>0</v>
      </c>
      <c r="M2713" t="s">
        <v>33</v>
      </c>
    </row>
    <row r="2714" spans="1:13">
      <c r="A2714" t="s">
        <v>4</v>
      </c>
      <c r="B2714" t="s">
        <v>357</v>
      </c>
      <c r="C2714" t="s">
        <v>2447</v>
      </c>
      <c r="D2714" t="s">
        <v>1643</v>
      </c>
      <c r="E2714" cm="1">
        <f t="array" ref="E2714">_xlfn.XLOOKUP(D2714,SKU_Master!A:A,SKU_Master!B:B,"Not on master")</f>
        <v>0</v>
      </c>
      <c r="F2714" cm="1">
        <f t="array" ref="F2714">_xlfn.XLOOKUP(C2714,Account_Master!A:A,Account_Master!B:B,"Not on master")</f>
        <v>0</v>
      </c>
      <c r="G2714" cm="1">
        <f t="array" ref="G2714">_xlfn.XLOOKUP(C2714,Account_Master!A:A,Account_Master!C:C,"Not on master")</f>
        <v>0</v>
      </c>
      <c r="H2714" s="6">
        <v>56</v>
      </c>
      <c r="I2714" s="6">
        <v>56</v>
      </c>
      <c r="J2714" s="6">
        <f>I2714-H2714</f>
        <v>0</v>
      </c>
      <c r="K2714" s="5">
        <f>IF(H2714=0,"",J2714/H2714)</f>
        <v>0</v>
      </c>
      <c r="L2714">
        <f>IF(OR(AND(H2714=0,ABS(J2714)&gt;=0.01),AND(H2714&lt;&gt;0,ABS(K2714)&gt;VarianceThreshold)),"Review","OK")</f>
        <v>0</v>
      </c>
      <c r="M2714" t="s">
        <v>33</v>
      </c>
    </row>
    <row r="2715" spans="1:13">
      <c r="A2715" t="s">
        <v>4</v>
      </c>
      <c r="B2715" t="s">
        <v>357</v>
      </c>
      <c r="C2715" t="s">
        <v>2414</v>
      </c>
      <c r="D2715" t="s">
        <v>1928</v>
      </c>
      <c r="E2715" cm="1">
        <f t="array" ref="E2715">_xlfn.XLOOKUP(D2715,SKU_Master!A:A,SKU_Master!B:B,"Not on master")</f>
        <v>0</v>
      </c>
      <c r="F2715" cm="1">
        <f t="array" ref="F2715">_xlfn.XLOOKUP(C2715,Account_Master!A:A,Account_Master!B:B,"Not on master")</f>
        <v>0</v>
      </c>
      <c r="G2715" cm="1">
        <f t="array" ref="G2715">_xlfn.XLOOKUP(C2715,Account_Master!A:A,Account_Master!C:C,"Not on master")</f>
        <v>0</v>
      </c>
      <c r="H2715" s="6">
        <v>4.5</v>
      </c>
      <c r="I2715" s="6">
        <v>4.5</v>
      </c>
      <c r="J2715" s="6">
        <f>I2715-H2715</f>
        <v>0</v>
      </c>
      <c r="K2715" s="5">
        <f>IF(H2715=0,"",J2715/H2715)</f>
        <v>0</v>
      </c>
      <c r="L2715">
        <f>IF(OR(AND(H2715=0,ABS(J2715)&gt;=0.01),AND(H2715&lt;&gt;0,ABS(K2715)&gt;VarianceThreshold)),"Review","OK")</f>
        <v>0</v>
      </c>
      <c r="M2715" t="s">
        <v>33</v>
      </c>
    </row>
    <row r="2716" spans="1:13">
      <c r="A2716" t="s">
        <v>4</v>
      </c>
      <c r="B2716" t="s">
        <v>357</v>
      </c>
      <c r="C2716" t="s">
        <v>2450</v>
      </c>
      <c r="D2716" t="s">
        <v>142</v>
      </c>
      <c r="E2716" cm="1">
        <f t="array" ref="E2716">_xlfn.XLOOKUP(D2716,SKU_Master!A:A,SKU_Master!B:B,"Not on master")</f>
        <v>0</v>
      </c>
      <c r="F2716" cm="1">
        <f t="array" ref="F2716">_xlfn.XLOOKUP(C2716,Account_Master!A:A,Account_Master!B:B,"Not on master")</f>
        <v>0</v>
      </c>
      <c r="G2716" cm="1">
        <f t="array" ref="G2716">_xlfn.XLOOKUP(C2716,Account_Master!A:A,Account_Master!C:C,"Not on master")</f>
        <v>0</v>
      </c>
      <c r="H2716" s="6">
        <v>4.5</v>
      </c>
      <c r="I2716" s="6">
        <v>4.5</v>
      </c>
      <c r="J2716" s="6">
        <f>I2716-H2716</f>
        <v>0</v>
      </c>
      <c r="K2716" s="5">
        <f>IF(H2716=0,"",J2716/H2716)</f>
        <v>0</v>
      </c>
      <c r="L2716">
        <f>IF(OR(AND(H2716=0,ABS(J2716)&gt;=0.01),AND(H2716&lt;&gt;0,ABS(K2716)&gt;VarianceThreshold)),"Review","OK")</f>
        <v>0</v>
      </c>
      <c r="M2716" t="s">
        <v>33</v>
      </c>
    </row>
    <row r="2717" spans="1:13">
      <c r="A2717" t="s">
        <v>4</v>
      </c>
      <c r="B2717" t="s">
        <v>357</v>
      </c>
      <c r="C2717" t="s">
        <v>2533</v>
      </c>
      <c r="D2717" t="s">
        <v>230</v>
      </c>
      <c r="E2717" cm="1">
        <f t="array" ref="E2717">_xlfn.XLOOKUP(D2717,SKU_Master!A:A,SKU_Master!B:B,"Not on master")</f>
        <v>0</v>
      </c>
      <c r="F2717" cm="1">
        <f t="array" ref="F2717">_xlfn.XLOOKUP(C2717,Account_Master!A:A,Account_Master!B:B,"Not on master")</f>
        <v>0</v>
      </c>
      <c r="G2717" cm="1">
        <f t="array" ref="G2717">_xlfn.XLOOKUP(C2717,Account_Master!A:A,Account_Master!C:C,"Not on master")</f>
        <v>0</v>
      </c>
      <c r="H2717" s="6">
        <v>2.35</v>
      </c>
      <c r="I2717" s="6">
        <v>2.35</v>
      </c>
      <c r="J2717" s="6">
        <f>I2717-H2717</f>
        <v>0</v>
      </c>
      <c r="K2717" s="5">
        <f>IF(H2717=0,"",J2717/H2717)</f>
        <v>0</v>
      </c>
      <c r="L2717">
        <f>IF(OR(AND(H2717=0,ABS(J2717)&gt;=0.01),AND(H2717&lt;&gt;0,ABS(K2717)&gt;VarianceThreshold)),"Review","OK")</f>
        <v>0</v>
      </c>
      <c r="M2717" t="s">
        <v>33</v>
      </c>
    </row>
    <row r="2718" spans="1:13">
      <c r="A2718" t="s">
        <v>4</v>
      </c>
      <c r="B2718" t="s">
        <v>364</v>
      </c>
      <c r="C2718" t="s">
        <v>2414</v>
      </c>
      <c r="D2718" t="s">
        <v>1176</v>
      </c>
      <c r="E2718" cm="1">
        <f t="array" ref="E2718">_xlfn.XLOOKUP(D2718,SKU_Master!A:A,SKU_Master!B:B,"Not on master")</f>
        <v>0</v>
      </c>
      <c r="F2718" cm="1">
        <f t="array" ref="F2718">_xlfn.XLOOKUP(C2718,Account_Master!A:A,Account_Master!B:B,"Not on master")</f>
        <v>0</v>
      </c>
      <c r="G2718" cm="1">
        <f t="array" ref="G2718">_xlfn.XLOOKUP(C2718,Account_Master!A:A,Account_Master!C:C,"Not on master")</f>
        <v>0</v>
      </c>
      <c r="H2718" s="6">
        <v>246.75</v>
      </c>
      <c r="I2718" s="6">
        <v>246.75</v>
      </c>
      <c r="J2718" s="6">
        <f>I2718-H2718</f>
        <v>0</v>
      </c>
      <c r="K2718" s="5">
        <f>IF(H2718=0,"",J2718/H2718)</f>
        <v>0</v>
      </c>
      <c r="L2718">
        <f>IF(OR(AND(H2718=0,ABS(J2718)&gt;=0.01),AND(H2718&lt;&gt;0,ABS(K2718)&gt;VarianceThreshold)),"Review","OK")</f>
        <v>0</v>
      </c>
      <c r="M2718" t="s">
        <v>33</v>
      </c>
    </row>
    <row r="2719" spans="1:13">
      <c r="A2719" t="s">
        <v>4</v>
      </c>
      <c r="B2719" t="s">
        <v>364</v>
      </c>
      <c r="C2719" t="s">
        <v>2416</v>
      </c>
      <c r="D2719" t="s">
        <v>1279</v>
      </c>
      <c r="E2719" cm="1">
        <f t="array" ref="E2719">_xlfn.XLOOKUP(D2719,SKU_Master!A:A,SKU_Master!B:B,"Not on master")</f>
        <v>0</v>
      </c>
      <c r="F2719" cm="1">
        <f t="array" ref="F2719">_xlfn.XLOOKUP(C2719,Account_Master!A:A,Account_Master!B:B,"Not on master")</f>
        <v>0</v>
      </c>
      <c r="G2719" cm="1">
        <f t="array" ref="G2719">_xlfn.XLOOKUP(C2719,Account_Master!A:A,Account_Master!C:C,"Not on master")</f>
        <v>0</v>
      </c>
      <c r="H2719" s="6">
        <v>0.05</v>
      </c>
      <c r="I2719" s="6">
        <v>0.05</v>
      </c>
      <c r="J2719" s="6">
        <f>I2719-H2719</f>
        <v>0</v>
      </c>
      <c r="K2719" s="5">
        <f>IF(H2719=0,"",J2719/H2719)</f>
        <v>0</v>
      </c>
      <c r="L2719">
        <f>IF(OR(AND(H2719=0,ABS(J2719)&gt;=0.01),AND(H2719&lt;&gt;0,ABS(K2719)&gt;VarianceThreshold)),"Review","OK")</f>
        <v>0</v>
      </c>
      <c r="M2719" t="s">
        <v>33</v>
      </c>
    </row>
    <row r="2720" spans="1:13">
      <c r="A2720" t="s">
        <v>4</v>
      </c>
      <c r="B2720" t="s">
        <v>364</v>
      </c>
      <c r="C2720" t="s">
        <v>2515</v>
      </c>
      <c r="D2720" t="s">
        <v>610</v>
      </c>
      <c r="E2720" cm="1">
        <f t="array" ref="E2720">_xlfn.XLOOKUP(D2720,SKU_Master!A:A,SKU_Master!B:B,"Not on master")</f>
        <v>0</v>
      </c>
      <c r="F2720" cm="1">
        <f t="array" ref="F2720">_xlfn.XLOOKUP(C2720,Account_Master!A:A,Account_Master!B:B,"Not on master")</f>
        <v>0</v>
      </c>
      <c r="G2720" cm="1">
        <f t="array" ref="G2720">_xlfn.XLOOKUP(C2720,Account_Master!A:A,Account_Master!C:C,"Not on master")</f>
        <v>0</v>
      </c>
      <c r="H2720" s="6">
        <v>27</v>
      </c>
      <c r="I2720" s="6">
        <v>27</v>
      </c>
      <c r="J2720" s="6">
        <f>I2720-H2720</f>
        <v>0</v>
      </c>
      <c r="K2720" s="5">
        <f>IF(H2720=0,"",J2720/H2720)</f>
        <v>0</v>
      </c>
      <c r="L2720">
        <f>IF(OR(AND(H2720=0,ABS(J2720)&gt;=0.01),AND(H2720&lt;&gt;0,ABS(K2720)&gt;VarianceThreshold)),"Review","OK")</f>
        <v>0</v>
      </c>
      <c r="M2720" t="s">
        <v>33</v>
      </c>
    </row>
    <row r="2721" spans="1:13">
      <c r="A2721" t="s">
        <v>4</v>
      </c>
      <c r="B2721" t="s">
        <v>364</v>
      </c>
      <c r="C2721" t="s">
        <v>2414</v>
      </c>
      <c r="D2721" t="s">
        <v>1455</v>
      </c>
      <c r="E2721" cm="1">
        <f t="array" ref="E2721">_xlfn.XLOOKUP(D2721,SKU_Master!A:A,SKU_Master!B:B,"Not on master")</f>
        <v>0</v>
      </c>
      <c r="F2721" cm="1">
        <f t="array" ref="F2721">_xlfn.XLOOKUP(C2721,Account_Master!A:A,Account_Master!B:B,"Not on master")</f>
        <v>0</v>
      </c>
      <c r="G2721" cm="1">
        <f t="array" ref="G2721">_xlfn.XLOOKUP(C2721,Account_Master!A:A,Account_Master!C:C,"Not on master")</f>
        <v>0</v>
      </c>
      <c r="H2721" s="6">
        <v>48</v>
      </c>
      <c r="I2721" s="6">
        <v>48</v>
      </c>
      <c r="J2721" s="6">
        <f>I2721-H2721</f>
        <v>0</v>
      </c>
      <c r="K2721" s="5">
        <f>IF(H2721=0,"",J2721/H2721)</f>
        <v>0</v>
      </c>
      <c r="L2721">
        <f>IF(OR(AND(H2721=0,ABS(J2721)&gt;=0.01),AND(H2721&lt;&gt;0,ABS(K2721)&gt;VarianceThreshold)),"Review","OK")</f>
        <v>0</v>
      </c>
      <c r="M2721" t="s">
        <v>33</v>
      </c>
    </row>
    <row r="2722" spans="1:13">
      <c r="A2722" t="s">
        <v>4</v>
      </c>
      <c r="B2722" t="s">
        <v>364</v>
      </c>
      <c r="C2722" t="s">
        <v>2457</v>
      </c>
      <c r="D2722" t="s">
        <v>2231</v>
      </c>
      <c r="E2722" cm="1">
        <f t="array" ref="E2722">_xlfn.XLOOKUP(D2722,SKU_Master!A:A,SKU_Master!B:B,"Not on master")</f>
        <v>0</v>
      </c>
      <c r="F2722" cm="1">
        <f t="array" ref="F2722">_xlfn.XLOOKUP(C2722,Account_Master!A:A,Account_Master!B:B,"Not on master")</f>
        <v>0</v>
      </c>
      <c r="G2722" cm="1">
        <f t="array" ref="G2722">_xlfn.XLOOKUP(C2722,Account_Master!A:A,Account_Master!C:C,"Not on master")</f>
        <v>0</v>
      </c>
      <c r="H2722" s="6">
        <v>29.25</v>
      </c>
      <c r="I2722" s="6">
        <v>29.25</v>
      </c>
      <c r="J2722" s="6">
        <f>I2722-H2722</f>
        <v>0</v>
      </c>
      <c r="K2722" s="5">
        <f>IF(H2722=0,"",J2722/H2722)</f>
        <v>0</v>
      </c>
      <c r="L2722">
        <f>IF(OR(AND(H2722=0,ABS(J2722)&gt;=0.01),AND(H2722&lt;&gt;0,ABS(K2722)&gt;VarianceThreshold)),"Review","OK")</f>
        <v>0</v>
      </c>
      <c r="M2722" t="s">
        <v>33</v>
      </c>
    </row>
    <row r="2723" spans="1:13">
      <c r="A2723" t="s">
        <v>4</v>
      </c>
      <c r="B2723" t="s">
        <v>364</v>
      </c>
      <c r="C2723" t="s">
        <v>2411</v>
      </c>
      <c r="D2723" t="s">
        <v>2534</v>
      </c>
      <c r="E2723" cm="1">
        <f t="array" ref="E2723">_xlfn.XLOOKUP(D2723,SKU_Master!A:A,SKU_Master!B:B,"Not on master")</f>
        <v>0</v>
      </c>
      <c r="F2723" cm="1">
        <f t="array" ref="F2723">_xlfn.XLOOKUP(C2723,Account_Master!A:A,Account_Master!B:B,"Not on master")</f>
        <v>0</v>
      </c>
      <c r="G2723" cm="1">
        <f t="array" ref="G2723">_xlfn.XLOOKUP(C2723,Account_Master!A:A,Account_Master!C:C,"Not on master")</f>
        <v>0</v>
      </c>
      <c r="H2723" s="6">
        <v>10.5</v>
      </c>
      <c r="I2723" s="6">
        <v>10.5</v>
      </c>
      <c r="J2723" s="6">
        <f>I2723-H2723</f>
        <v>0</v>
      </c>
      <c r="K2723" s="5">
        <f>IF(H2723=0,"",J2723/H2723)</f>
        <v>0</v>
      </c>
      <c r="L2723">
        <f>IF(OR(AND(H2723=0,ABS(J2723)&gt;=0.01),AND(H2723&lt;&gt;0,ABS(K2723)&gt;VarianceThreshold)),"Review","OK")</f>
        <v>0</v>
      </c>
      <c r="M2723" t="s">
        <v>33</v>
      </c>
    </row>
    <row r="2724" spans="1:13">
      <c r="A2724" t="s">
        <v>4</v>
      </c>
      <c r="B2724" t="s">
        <v>364</v>
      </c>
      <c r="C2724" t="s">
        <v>2436</v>
      </c>
      <c r="D2724" t="s">
        <v>2535</v>
      </c>
      <c r="E2724" cm="1">
        <f t="array" ref="E2724">_xlfn.XLOOKUP(D2724,SKU_Master!A:A,SKU_Master!B:B,"Not on master")</f>
        <v>0</v>
      </c>
      <c r="F2724" cm="1">
        <f t="array" ref="F2724">_xlfn.XLOOKUP(C2724,Account_Master!A:A,Account_Master!B:B,"Not on master")</f>
        <v>0</v>
      </c>
      <c r="G2724" cm="1">
        <f t="array" ref="G2724">_xlfn.XLOOKUP(C2724,Account_Master!A:A,Account_Master!C:C,"Not on master")</f>
        <v>0</v>
      </c>
      <c r="H2724" s="6">
        <v>9</v>
      </c>
      <c r="I2724" s="6">
        <v>9</v>
      </c>
      <c r="J2724" s="6">
        <f>I2724-H2724</f>
        <v>0</v>
      </c>
      <c r="K2724" s="5">
        <f>IF(H2724=0,"",J2724/H2724)</f>
        <v>0</v>
      </c>
      <c r="L2724">
        <f>IF(OR(AND(H2724=0,ABS(J2724)&gt;=0.01),AND(H2724&lt;&gt;0,ABS(K2724)&gt;VarianceThreshold)),"Review","OK")</f>
        <v>0</v>
      </c>
      <c r="M2724" t="s">
        <v>33</v>
      </c>
    </row>
    <row r="2725" spans="1:13">
      <c r="A2725" t="s">
        <v>4</v>
      </c>
      <c r="B2725" t="s">
        <v>371</v>
      </c>
      <c r="C2725" t="s">
        <v>2457</v>
      </c>
      <c r="D2725" t="s">
        <v>1114</v>
      </c>
      <c r="E2725" cm="1">
        <f t="array" ref="E2725">_xlfn.XLOOKUP(D2725,SKU_Master!A:A,SKU_Master!B:B,"Not on master")</f>
        <v>0</v>
      </c>
      <c r="F2725" cm="1">
        <f t="array" ref="F2725">_xlfn.XLOOKUP(C2725,Account_Master!A:A,Account_Master!B:B,"Not on master")</f>
        <v>0</v>
      </c>
      <c r="G2725" cm="1">
        <f t="array" ref="G2725">_xlfn.XLOOKUP(C2725,Account_Master!A:A,Account_Master!C:C,"Not on master")</f>
        <v>0</v>
      </c>
      <c r="H2725" s="6">
        <v>107</v>
      </c>
      <c r="I2725" s="6">
        <v>107</v>
      </c>
      <c r="J2725" s="6">
        <f>I2725-H2725</f>
        <v>0</v>
      </c>
      <c r="K2725" s="5">
        <f>IF(H2725=0,"",J2725/H2725)</f>
        <v>0</v>
      </c>
      <c r="L2725">
        <f>IF(OR(AND(H2725=0,ABS(J2725)&gt;=0.01),AND(H2725&lt;&gt;0,ABS(K2725)&gt;VarianceThreshold)),"Review","OK")</f>
        <v>0</v>
      </c>
      <c r="M2725" t="s">
        <v>33</v>
      </c>
    </row>
    <row r="2726" spans="1:13">
      <c r="A2726" t="s">
        <v>4</v>
      </c>
      <c r="B2726" t="s">
        <v>371</v>
      </c>
      <c r="C2726" t="s">
        <v>2433</v>
      </c>
      <c r="D2726" t="s">
        <v>2536</v>
      </c>
      <c r="E2726" cm="1">
        <f t="array" ref="E2726">_xlfn.XLOOKUP(D2726,SKU_Master!A:A,SKU_Master!B:B,"Not on master")</f>
        <v>0</v>
      </c>
      <c r="F2726" cm="1">
        <f t="array" ref="F2726">_xlfn.XLOOKUP(C2726,Account_Master!A:A,Account_Master!B:B,"Not on master")</f>
        <v>0</v>
      </c>
      <c r="G2726" cm="1">
        <f t="array" ref="G2726">_xlfn.XLOOKUP(C2726,Account_Master!A:A,Account_Master!C:C,"Not on master")</f>
        <v>0</v>
      </c>
      <c r="H2726" s="6">
        <v>1.5</v>
      </c>
      <c r="I2726" s="6">
        <v>1.5</v>
      </c>
      <c r="J2726" s="6">
        <f>I2726-H2726</f>
        <v>0</v>
      </c>
      <c r="K2726" s="5">
        <f>IF(H2726=0,"",J2726/H2726)</f>
        <v>0</v>
      </c>
      <c r="L2726">
        <f>IF(OR(AND(H2726=0,ABS(J2726)&gt;=0.01),AND(H2726&lt;&gt;0,ABS(K2726)&gt;VarianceThreshold)),"Review","OK")</f>
        <v>0</v>
      </c>
      <c r="M2726" t="s">
        <v>33</v>
      </c>
    </row>
    <row r="2727" spans="1:13">
      <c r="A2727" t="s">
        <v>4</v>
      </c>
      <c r="B2727" t="s">
        <v>371</v>
      </c>
      <c r="C2727" t="s">
        <v>2447</v>
      </c>
      <c r="D2727" t="s">
        <v>255</v>
      </c>
      <c r="E2727" cm="1">
        <f t="array" ref="E2727">_xlfn.XLOOKUP(D2727,SKU_Master!A:A,SKU_Master!B:B,"Not on master")</f>
        <v>0</v>
      </c>
      <c r="F2727" cm="1">
        <f t="array" ref="F2727">_xlfn.XLOOKUP(C2727,Account_Master!A:A,Account_Master!B:B,"Not on master")</f>
        <v>0</v>
      </c>
      <c r="G2727" cm="1">
        <f t="array" ref="G2727">_xlfn.XLOOKUP(C2727,Account_Master!A:A,Account_Master!C:C,"Not on master")</f>
        <v>0</v>
      </c>
      <c r="H2727" s="6">
        <v>83</v>
      </c>
      <c r="I2727" s="6">
        <v>83</v>
      </c>
      <c r="J2727" s="6">
        <f>I2727-H2727</f>
        <v>0</v>
      </c>
      <c r="K2727" s="5">
        <f>IF(H2727=0,"",J2727/H2727)</f>
        <v>0</v>
      </c>
      <c r="L2727">
        <f>IF(OR(AND(H2727=0,ABS(J2727)&gt;=0.01),AND(H2727&lt;&gt;0,ABS(K2727)&gt;VarianceThreshold)),"Review","OK")</f>
        <v>0</v>
      </c>
      <c r="M2727" t="s">
        <v>33</v>
      </c>
    </row>
    <row r="2728" spans="1:13">
      <c r="A2728" t="s">
        <v>4</v>
      </c>
      <c r="B2728" t="s">
        <v>371</v>
      </c>
      <c r="C2728" t="s">
        <v>2537</v>
      </c>
      <c r="D2728" t="s">
        <v>153</v>
      </c>
      <c r="E2728" cm="1">
        <f t="array" ref="E2728">_xlfn.XLOOKUP(D2728,SKU_Master!A:A,SKU_Master!B:B,"Not on master")</f>
        <v>0</v>
      </c>
      <c r="F2728" cm="1">
        <f t="array" ref="F2728">_xlfn.XLOOKUP(C2728,Account_Master!A:A,Account_Master!B:B,"Not on master")</f>
        <v>0</v>
      </c>
      <c r="G2728" cm="1">
        <f t="array" ref="G2728">_xlfn.XLOOKUP(C2728,Account_Master!A:A,Account_Master!C:C,"Not on master")</f>
        <v>0</v>
      </c>
      <c r="H2728" s="6">
        <v>38.24</v>
      </c>
      <c r="I2728" s="6">
        <v>38.24</v>
      </c>
      <c r="J2728" s="6">
        <f>I2728-H2728</f>
        <v>0</v>
      </c>
      <c r="K2728" s="5">
        <f>IF(H2728=0,"",J2728/H2728)</f>
        <v>0</v>
      </c>
      <c r="L2728">
        <f>IF(OR(AND(H2728=0,ABS(J2728)&gt;=0.01),AND(H2728&lt;&gt;0,ABS(K2728)&gt;VarianceThreshold)),"Review","OK")</f>
        <v>0</v>
      </c>
      <c r="M2728" t="s">
        <v>33</v>
      </c>
    </row>
    <row r="2729" spans="1:13">
      <c r="A2729" t="s">
        <v>4</v>
      </c>
      <c r="B2729" t="s">
        <v>371</v>
      </c>
      <c r="C2729" t="s">
        <v>2537</v>
      </c>
      <c r="D2729" t="s">
        <v>1800</v>
      </c>
      <c r="E2729" cm="1">
        <f t="array" ref="E2729">_xlfn.XLOOKUP(D2729,SKU_Master!A:A,SKU_Master!B:B,"Not on master")</f>
        <v>0</v>
      </c>
      <c r="F2729" cm="1">
        <f t="array" ref="F2729">_xlfn.XLOOKUP(C2729,Account_Master!A:A,Account_Master!B:B,"Not on master")</f>
        <v>0</v>
      </c>
      <c r="G2729" cm="1">
        <f t="array" ref="G2729">_xlfn.XLOOKUP(C2729,Account_Master!A:A,Account_Master!C:C,"Not on master")</f>
        <v>0</v>
      </c>
      <c r="H2729" s="6">
        <v>75.73999999999999</v>
      </c>
      <c r="I2729" s="6">
        <v>75.73999999999999</v>
      </c>
      <c r="J2729" s="6">
        <f>I2729-H2729</f>
        <v>0</v>
      </c>
      <c r="K2729" s="5">
        <f>IF(H2729=0,"",J2729/H2729)</f>
        <v>0</v>
      </c>
      <c r="L2729">
        <f>IF(OR(AND(H2729=0,ABS(J2729)&gt;=0.01),AND(H2729&lt;&gt;0,ABS(K2729)&gt;VarianceThreshold)),"Review","OK")</f>
        <v>0</v>
      </c>
      <c r="M2729" t="s">
        <v>33</v>
      </c>
    </row>
    <row r="2730" spans="1:13">
      <c r="A2730" t="s">
        <v>4</v>
      </c>
      <c r="B2730" t="s">
        <v>379</v>
      </c>
      <c r="C2730" t="s">
        <v>2410</v>
      </c>
      <c r="D2730" t="s">
        <v>2538</v>
      </c>
      <c r="E2730" cm="1">
        <f t="array" ref="E2730">_xlfn.XLOOKUP(D2730,SKU_Master!A:A,SKU_Master!B:B,"Not on master")</f>
        <v>0</v>
      </c>
      <c r="F2730" cm="1">
        <f t="array" ref="F2730">_xlfn.XLOOKUP(C2730,Account_Master!A:A,Account_Master!B:B,"Not on master")</f>
        <v>0</v>
      </c>
      <c r="G2730" cm="1">
        <f t="array" ref="G2730">_xlfn.XLOOKUP(C2730,Account_Master!A:A,Account_Master!C:C,"Not on master")</f>
        <v>0</v>
      </c>
      <c r="H2730" s="6">
        <v>9</v>
      </c>
      <c r="I2730" s="6">
        <v>9</v>
      </c>
      <c r="J2730" s="6">
        <f>I2730-H2730</f>
        <v>0</v>
      </c>
      <c r="K2730" s="5">
        <f>IF(H2730=0,"",J2730/H2730)</f>
        <v>0</v>
      </c>
      <c r="L2730">
        <f>IF(OR(AND(H2730=0,ABS(J2730)&gt;=0.01),AND(H2730&lt;&gt;0,ABS(K2730)&gt;VarianceThreshold)),"Review","OK")</f>
        <v>0</v>
      </c>
      <c r="M2730" t="s">
        <v>33</v>
      </c>
    </row>
    <row r="2731" spans="1:13">
      <c r="A2731" t="s">
        <v>4</v>
      </c>
      <c r="B2731" t="s">
        <v>379</v>
      </c>
      <c r="C2731" t="s">
        <v>2514</v>
      </c>
      <c r="D2731" t="s">
        <v>2539</v>
      </c>
      <c r="E2731" cm="1">
        <f t="array" ref="E2731">_xlfn.XLOOKUP(D2731,SKU_Master!A:A,SKU_Master!B:B,"Not on master")</f>
        <v>0</v>
      </c>
      <c r="F2731" cm="1">
        <f t="array" ref="F2731">_xlfn.XLOOKUP(C2731,Account_Master!A:A,Account_Master!B:B,"Not on master")</f>
        <v>0</v>
      </c>
      <c r="G2731" cm="1">
        <f t="array" ref="G2731">_xlfn.XLOOKUP(C2731,Account_Master!A:A,Account_Master!C:C,"Not on master")</f>
        <v>0</v>
      </c>
      <c r="H2731" s="6">
        <v>985.25</v>
      </c>
      <c r="I2731" s="6">
        <v>985.25</v>
      </c>
      <c r="J2731" s="6">
        <f>I2731-H2731</f>
        <v>0</v>
      </c>
      <c r="K2731" s="5">
        <f>IF(H2731=0,"",J2731/H2731)</f>
        <v>0</v>
      </c>
      <c r="L2731">
        <f>IF(OR(AND(H2731=0,ABS(J2731)&gt;=0.01),AND(H2731&lt;&gt;0,ABS(K2731)&gt;VarianceThreshold)),"Review","OK")</f>
        <v>0</v>
      </c>
      <c r="M2731" t="s">
        <v>33</v>
      </c>
    </row>
    <row r="2732" spans="1:13">
      <c r="A2732" t="s">
        <v>4</v>
      </c>
      <c r="B2732" t="s">
        <v>379</v>
      </c>
      <c r="C2732" t="s">
        <v>2432</v>
      </c>
      <c r="D2732" t="s">
        <v>646</v>
      </c>
      <c r="E2732" cm="1">
        <f t="array" ref="E2732">_xlfn.XLOOKUP(D2732,SKU_Master!A:A,SKU_Master!B:B,"Not on master")</f>
        <v>0</v>
      </c>
      <c r="F2732" cm="1">
        <f t="array" ref="F2732">_xlfn.XLOOKUP(C2732,Account_Master!A:A,Account_Master!B:B,"Not on master")</f>
        <v>0</v>
      </c>
      <c r="G2732" cm="1">
        <f t="array" ref="G2732">_xlfn.XLOOKUP(C2732,Account_Master!A:A,Account_Master!C:C,"Not on master")</f>
        <v>0</v>
      </c>
      <c r="H2732" s="6">
        <v>21</v>
      </c>
      <c r="I2732" s="6">
        <v>21</v>
      </c>
      <c r="J2732" s="6">
        <f>I2732-H2732</f>
        <v>0</v>
      </c>
      <c r="K2732" s="5">
        <f>IF(H2732=0,"",J2732/H2732)</f>
        <v>0</v>
      </c>
      <c r="L2732">
        <f>IF(OR(AND(H2732=0,ABS(J2732)&gt;=0.01),AND(H2732&lt;&gt;0,ABS(K2732)&gt;VarianceThreshold)),"Review","OK")</f>
        <v>0</v>
      </c>
      <c r="M2732" t="s">
        <v>33</v>
      </c>
    </row>
    <row r="2733" spans="1:13">
      <c r="A2733" t="s">
        <v>4</v>
      </c>
      <c r="B2733" t="s">
        <v>379</v>
      </c>
      <c r="C2733" t="s">
        <v>2540</v>
      </c>
      <c r="D2733" t="s">
        <v>2541</v>
      </c>
      <c r="E2733" cm="1">
        <f t="array" ref="E2733">_xlfn.XLOOKUP(D2733,SKU_Master!A:A,SKU_Master!B:B,"Not on master")</f>
        <v>0</v>
      </c>
      <c r="F2733" cm="1">
        <f t="array" ref="F2733">_xlfn.XLOOKUP(C2733,Account_Master!A:A,Account_Master!B:B,"Not on master")</f>
        <v>0</v>
      </c>
      <c r="G2733" cm="1">
        <f t="array" ref="G2733">_xlfn.XLOOKUP(C2733,Account_Master!A:A,Account_Master!C:C,"Not on master")</f>
        <v>0</v>
      </c>
      <c r="H2733" s="6">
        <v>9</v>
      </c>
      <c r="I2733" s="6">
        <v>9</v>
      </c>
      <c r="J2733" s="6">
        <f>I2733-H2733</f>
        <v>0</v>
      </c>
      <c r="K2733" s="5">
        <f>IF(H2733=0,"",J2733/H2733)</f>
        <v>0</v>
      </c>
      <c r="L2733">
        <f>IF(OR(AND(H2733=0,ABS(J2733)&gt;=0.01),AND(H2733&lt;&gt;0,ABS(K2733)&gt;VarianceThreshold)),"Review","OK")</f>
        <v>0</v>
      </c>
      <c r="M2733" t="s">
        <v>33</v>
      </c>
    </row>
    <row r="2734" spans="1:13">
      <c r="A2734" t="s">
        <v>4</v>
      </c>
      <c r="B2734" t="s">
        <v>379</v>
      </c>
      <c r="C2734" t="s">
        <v>2448</v>
      </c>
      <c r="D2734" t="s">
        <v>1776</v>
      </c>
      <c r="E2734" cm="1">
        <f t="array" ref="E2734">_xlfn.XLOOKUP(D2734,SKU_Master!A:A,SKU_Master!B:B,"Not on master")</f>
        <v>0</v>
      </c>
      <c r="F2734" cm="1">
        <f t="array" ref="F2734">_xlfn.XLOOKUP(C2734,Account_Master!A:A,Account_Master!B:B,"Not on master")</f>
        <v>0</v>
      </c>
      <c r="G2734" cm="1">
        <f t="array" ref="G2734">_xlfn.XLOOKUP(C2734,Account_Master!A:A,Account_Master!C:C,"Not on master")</f>
        <v>0</v>
      </c>
      <c r="H2734" s="6">
        <v>6</v>
      </c>
      <c r="I2734" s="6">
        <v>6</v>
      </c>
      <c r="J2734" s="6">
        <f>I2734-H2734</f>
        <v>0</v>
      </c>
      <c r="K2734" s="5">
        <f>IF(H2734=0,"",J2734/H2734)</f>
        <v>0</v>
      </c>
      <c r="L2734">
        <f>IF(OR(AND(H2734=0,ABS(J2734)&gt;=0.01),AND(H2734&lt;&gt;0,ABS(K2734)&gt;VarianceThreshold)),"Review","OK")</f>
        <v>0</v>
      </c>
      <c r="M2734" t="s">
        <v>33</v>
      </c>
    </row>
    <row r="2735" spans="1:13">
      <c r="A2735" t="s">
        <v>4</v>
      </c>
      <c r="B2735" t="s">
        <v>379</v>
      </c>
      <c r="C2735" t="s">
        <v>2432</v>
      </c>
      <c r="D2735" t="s">
        <v>65</v>
      </c>
      <c r="E2735" cm="1">
        <f t="array" ref="E2735">_xlfn.XLOOKUP(D2735,SKU_Master!A:A,SKU_Master!B:B,"Not on master")</f>
        <v>0</v>
      </c>
      <c r="F2735" cm="1">
        <f t="array" ref="F2735">_xlfn.XLOOKUP(C2735,Account_Master!A:A,Account_Master!B:B,"Not on master")</f>
        <v>0</v>
      </c>
      <c r="G2735" cm="1">
        <f t="array" ref="G2735">_xlfn.XLOOKUP(C2735,Account_Master!A:A,Account_Master!C:C,"Not on master")</f>
        <v>0</v>
      </c>
      <c r="H2735" s="6">
        <v>1.5</v>
      </c>
      <c r="I2735" s="6">
        <v>1.5</v>
      </c>
      <c r="J2735" s="6">
        <f>I2735-H2735</f>
        <v>0</v>
      </c>
      <c r="K2735" s="5">
        <f>IF(H2735=0,"",J2735/H2735)</f>
        <v>0</v>
      </c>
      <c r="L2735">
        <f>IF(OR(AND(H2735=0,ABS(J2735)&gt;=0.01),AND(H2735&lt;&gt;0,ABS(K2735)&gt;VarianceThreshold)),"Review","OK")</f>
        <v>0</v>
      </c>
      <c r="M2735" t="s">
        <v>33</v>
      </c>
    </row>
    <row r="2736" spans="1:13">
      <c r="A2736" t="s">
        <v>4</v>
      </c>
      <c r="B2736" t="s">
        <v>379</v>
      </c>
      <c r="C2736" t="s">
        <v>2513</v>
      </c>
      <c r="D2736" t="s">
        <v>2542</v>
      </c>
      <c r="E2736" cm="1">
        <f t="array" ref="E2736">_xlfn.XLOOKUP(D2736,SKU_Master!A:A,SKU_Master!B:B,"Not on master")</f>
        <v>0</v>
      </c>
      <c r="F2736" cm="1">
        <f t="array" ref="F2736">_xlfn.XLOOKUP(C2736,Account_Master!A:A,Account_Master!B:B,"Not on master")</f>
        <v>0</v>
      </c>
      <c r="G2736" cm="1">
        <f t="array" ref="G2736">_xlfn.XLOOKUP(C2736,Account_Master!A:A,Account_Master!C:C,"Not on master")</f>
        <v>0</v>
      </c>
      <c r="H2736" s="6">
        <v>4.5</v>
      </c>
      <c r="I2736" s="6">
        <v>4.5</v>
      </c>
      <c r="J2736" s="6">
        <f>I2736-H2736</f>
        <v>0</v>
      </c>
      <c r="K2736" s="5">
        <f>IF(H2736=0,"",J2736/H2736)</f>
        <v>0</v>
      </c>
      <c r="L2736">
        <f>IF(OR(AND(H2736=0,ABS(J2736)&gt;=0.01),AND(H2736&lt;&gt;0,ABS(K2736)&gt;VarianceThreshold)),"Review","OK")</f>
        <v>0</v>
      </c>
      <c r="M2736" t="s">
        <v>33</v>
      </c>
    </row>
    <row r="2737" spans="1:13">
      <c r="A2737" t="s">
        <v>4</v>
      </c>
      <c r="B2737" t="s">
        <v>379</v>
      </c>
      <c r="C2737" t="s">
        <v>2490</v>
      </c>
      <c r="D2737" t="s">
        <v>795</v>
      </c>
      <c r="E2737" cm="1">
        <f t="array" ref="E2737">_xlfn.XLOOKUP(D2737,SKU_Master!A:A,SKU_Master!B:B,"Not on master")</f>
        <v>0</v>
      </c>
      <c r="F2737" cm="1">
        <f t="array" ref="F2737">_xlfn.XLOOKUP(C2737,Account_Master!A:A,Account_Master!B:B,"Not on master")</f>
        <v>0</v>
      </c>
      <c r="G2737" cm="1">
        <f t="array" ref="G2737">_xlfn.XLOOKUP(C2737,Account_Master!A:A,Account_Master!C:C,"Not on master")</f>
        <v>0</v>
      </c>
      <c r="H2737" s="6">
        <v>14.25</v>
      </c>
      <c r="I2737" s="6">
        <v>14.25</v>
      </c>
      <c r="J2737" s="6">
        <f>I2737-H2737</f>
        <v>0</v>
      </c>
      <c r="K2737" s="5">
        <f>IF(H2737=0,"",J2737/H2737)</f>
        <v>0</v>
      </c>
      <c r="L2737">
        <f>IF(OR(AND(H2737=0,ABS(J2737)&gt;=0.01),AND(H2737&lt;&gt;0,ABS(K2737)&gt;VarianceThreshold)),"Review","OK")</f>
        <v>0</v>
      </c>
      <c r="M2737" t="s">
        <v>33</v>
      </c>
    </row>
    <row r="2738" spans="1:13">
      <c r="A2738" t="s">
        <v>4</v>
      </c>
      <c r="B2738" t="s">
        <v>379</v>
      </c>
      <c r="C2738" t="s">
        <v>2543</v>
      </c>
      <c r="D2738" t="s">
        <v>2544</v>
      </c>
      <c r="E2738" cm="1">
        <f t="array" ref="E2738">_xlfn.XLOOKUP(D2738,SKU_Master!A:A,SKU_Master!B:B,"Not on master")</f>
        <v>0</v>
      </c>
      <c r="F2738" cm="1">
        <f t="array" ref="F2738">_xlfn.XLOOKUP(C2738,Account_Master!A:A,Account_Master!B:B,"Not on master")</f>
        <v>0</v>
      </c>
      <c r="G2738" cm="1">
        <f t="array" ref="G2738">_xlfn.XLOOKUP(C2738,Account_Master!A:A,Account_Master!C:C,"Not on master")</f>
        <v>0</v>
      </c>
      <c r="H2738" s="6">
        <v>18</v>
      </c>
      <c r="I2738" s="6">
        <v>18</v>
      </c>
      <c r="J2738" s="6">
        <f>I2738-H2738</f>
        <v>0</v>
      </c>
      <c r="K2738" s="5">
        <f>IF(H2738=0,"",J2738/H2738)</f>
        <v>0</v>
      </c>
      <c r="L2738">
        <f>IF(OR(AND(H2738=0,ABS(J2738)&gt;=0.01),AND(H2738&lt;&gt;0,ABS(K2738)&gt;VarianceThreshold)),"Review","OK")</f>
        <v>0</v>
      </c>
      <c r="M2738" t="s">
        <v>33</v>
      </c>
    </row>
    <row r="2739" spans="1:13">
      <c r="A2739" t="s">
        <v>4</v>
      </c>
      <c r="B2739" t="s">
        <v>392</v>
      </c>
      <c r="C2739" t="s">
        <v>2450</v>
      </c>
      <c r="D2739" t="s">
        <v>2545</v>
      </c>
      <c r="E2739" cm="1">
        <f t="array" ref="E2739">_xlfn.XLOOKUP(D2739,SKU_Master!A:A,SKU_Master!B:B,"Not on master")</f>
        <v>0</v>
      </c>
      <c r="F2739" cm="1">
        <f t="array" ref="F2739">_xlfn.XLOOKUP(C2739,Account_Master!A:A,Account_Master!B:B,"Not on master")</f>
        <v>0</v>
      </c>
      <c r="G2739" cm="1">
        <f t="array" ref="G2739">_xlfn.XLOOKUP(C2739,Account_Master!A:A,Account_Master!C:C,"Not on master")</f>
        <v>0</v>
      </c>
      <c r="H2739" s="6">
        <v>6</v>
      </c>
      <c r="I2739" s="6">
        <v>6</v>
      </c>
      <c r="J2739" s="6">
        <f>I2739-H2739</f>
        <v>0</v>
      </c>
      <c r="K2739" s="5">
        <f>IF(H2739=0,"",J2739/H2739)</f>
        <v>0</v>
      </c>
      <c r="L2739">
        <f>IF(OR(AND(H2739=0,ABS(J2739)&gt;=0.01),AND(H2739&lt;&gt;0,ABS(K2739)&gt;VarianceThreshold)),"Review","OK")</f>
        <v>0</v>
      </c>
      <c r="M2739" t="s">
        <v>33</v>
      </c>
    </row>
    <row r="2740" spans="1:13">
      <c r="A2740" t="s">
        <v>4</v>
      </c>
      <c r="B2740" t="s">
        <v>392</v>
      </c>
      <c r="C2740" t="s">
        <v>2452</v>
      </c>
      <c r="D2740" t="s">
        <v>702</v>
      </c>
      <c r="E2740" cm="1">
        <f t="array" ref="E2740">_xlfn.XLOOKUP(D2740,SKU_Master!A:A,SKU_Master!B:B,"Not on master")</f>
        <v>0</v>
      </c>
      <c r="F2740" cm="1">
        <f t="array" ref="F2740">_xlfn.XLOOKUP(C2740,Account_Master!A:A,Account_Master!B:B,"Not on master")</f>
        <v>0</v>
      </c>
      <c r="G2740" cm="1">
        <f t="array" ref="G2740">_xlfn.XLOOKUP(C2740,Account_Master!A:A,Account_Master!C:C,"Not on master")</f>
        <v>0</v>
      </c>
      <c r="H2740" s="6">
        <v>196</v>
      </c>
      <c r="I2740" s="6">
        <v>196</v>
      </c>
      <c r="J2740" s="6">
        <f>I2740-H2740</f>
        <v>0</v>
      </c>
      <c r="K2740" s="5">
        <f>IF(H2740=0,"",J2740/H2740)</f>
        <v>0</v>
      </c>
      <c r="L2740">
        <f>IF(OR(AND(H2740=0,ABS(J2740)&gt;=0.01),AND(H2740&lt;&gt;0,ABS(K2740)&gt;VarianceThreshold)),"Review","OK")</f>
        <v>0</v>
      </c>
      <c r="M2740" t="s">
        <v>33</v>
      </c>
    </row>
    <row r="2741" spans="1:13">
      <c r="A2741" t="s">
        <v>4</v>
      </c>
      <c r="B2741" t="s">
        <v>392</v>
      </c>
      <c r="C2741" t="s">
        <v>2488</v>
      </c>
      <c r="D2741" t="s">
        <v>1340</v>
      </c>
      <c r="E2741" cm="1">
        <f t="array" ref="E2741">_xlfn.XLOOKUP(D2741,SKU_Master!A:A,SKU_Master!B:B,"Not on master")</f>
        <v>0</v>
      </c>
      <c r="F2741" cm="1">
        <f t="array" ref="F2741">_xlfn.XLOOKUP(C2741,Account_Master!A:A,Account_Master!B:B,"Not on master")</f>
        <v>0</v>
      </c>
      <c r="G2741" cm="1">
        <f t="array" ref="G2741">_xlfn.XLOOKUP(C2741,Account_Master!A:A,Account_Master!C:C,"Not on master")</f>
        <v>0</v>
      </c>
      <c r="H2741" s="6">
        <v>12</v>
      </c>
      <c r="I2741" s="6">
        <v>12</v>
      </c>
      <c r="J2741" s="6">
        <f>I2741-H2741</f>
        <v>0</v>
      </c>
      <c r="K2741" s="5">
        <f>IF(H2741=0,"",J2741/H2741)</f>
        <v>0</v>
      </c>
      <c r="L2741">
        <f>IF(OR(AND(H2741=0,ABS(J2741)&gt;=0.01),AND(H2741&lt;&gt;0,ABS(K2741)&gt;VarianceThreshold)),"Review","OK")</f>
        <v>0</v>
      </c>
      <c r="M2741" t="s">
        <v>33</v>
      </c>
    </row>
    <row r="2742" spans="1:13">
      <c r="A2742" t="s">
        <v>4</v>
      </c>
      <c r="B2742" t="s">
        <v>392</v>
      </c>
      <c r="C2742" t="s">
        <v>2423</v>
      </c>
      <c r="D2742" t="s">
        <v>809</v>
      </c>
      <c r="E2742" cm="1">
        <f t="array" ref="E2742">_xlfn.XLOOKUP(D2742,SKU_Master!A:A,SKU_Master!B:B,"Not on master")</f>
        <v>0</v>
      </c>
      <c r="F2742" cm="1">
        <f t="array" ref="F2742">_xlfn.XLOOKUP(C2742,Account_Master!A:A,Account_Master!B:B,"Not on master")</f>
        <v>0</v>
      </c>
      <c r="G2742" cm="1">
        <f t="array" ref="G2742">_xlfn.XLOOKUP(C2742,Account_Master!A:A,Account_Master!C:C,"Not on master")</f>
        <v>0</v>
      </c>
      <c r="H2742" s="6">
        <v>3</v>
      </c>
      <c r="I2742" s="6">
        <v>3</v>
      </c>
      <c r="J2742" s="6">
        <f>I2742-H2742</f>
        <v>0</v>
      </c>
      <c r="K2742" s="5">
        <f>IF(H2742=0,"",J2742/H2742)</f>
        <v>0</v>
      </c>
      <c r="L2742">
        <f>IF(OR(AND(H2742=0,ABS(J2742)&gt;=0.01),AND(H2742&lt;&gt;0,ABS(K2742)&gt;VarianceThreshold)),"Review","OK")</f>
        <v>0</v>
      </c>
      <c r="M2742" t="s">
        <v>33</v>
      </c>
    </row>
    <row r="2743" spans="1:13">
      <c r="A2743" t="s">
        <v>4</v>
      </c>
      <c r="B2743" t="s">
        <v>392</v>
      </c>
      <c r="C2743" t="s">
        <v>2416</v>
      </c>
      <c r="D2743" t="s">
        <v>2546</v>
      </c>
      <c r="E2743" cm="1">
        <f t="array" ref="E2743">_xlfn.XLOOKUP(D2743,SKU_Master!A:A,SKU_Master!B:B,"Not on master")</f>
        <v>0</v>
      </c>
      <c r="F2743" cm="1">
        <f t="array" ref="F2743">_xlfn.XLOOKUP(C2743,Account_Master!A:A,Account_Master!B:B,"Not on master")</f>
        <v>0</v>
      </c>
      <c r="G2743" cm="1">
        <f t="array" ref="G2743">_xlfn.XLOOKUP(C2743,Account_Master!A:A,Account_Master!C:C,"Not on master")</f>
        <v>0</v>
      </c>
      <c r="H2743" s="6">
        <v>0.75</v>
      </c>
      <c r="I2743" s="6">
        <v>0.75</v>
      </c>
      <c r="J2743" s="6">
        <f>I2743-H2743</f>
        <v>0</v>
      </c>
      <c r="K2743" s="5">
        <f>IF(H2743=0,"",J2743/H2743)</f>
        <v>0</v>
      </c>
      <c r="L2743">
        <f>IF(OR(AND(H2743=0,ABS(J2743)&gt;=0.01),AND(H2743&lt;&gt;0,ABS(K2743)&gt;VarianceThreshold)),"Review","OK")</f>
        <v>0</v>
      </c>
      <c r="M2743" t="s">
        <v>33</v>
      </c>
    </row>
    <row r="2744" spans="1:13">
      <c r="A2744" t="s">
        <v>4</v>
      </c>
      <c r="B2744" t="s">
        <v>392</v>
      </c>
      <c r="C2744" t="s">
        <v>2453</v>
      </c>
      <c r="D2744" t="s">
        <v>1503</v>
      </c>
      <c r="E2744" cm="1">
        <f t="array" ref="E2744">_xlfn.XLOOKUP(D2744,SKU_Master!A:A,SKU_Master!B:B,"Not on master")</f>
        <v>0</v>
      </c>
      <c r="F2744" cm="1">
        <f t="array" ref="F2744">_xlfn.XLOOKUP(C2744,Account_Master!A:A,Account_Master!B:B,"Not on master")</f>
        <v>0</v>
      </c>
      <c r="G2744" cm="1">
        <f t="array" ref="G2744">_xlfn.XLOOKUP(C2744,Account_Master!A:A,Account_Master!C:C,"Not on master")</f>
        <v>0</v>
      </c>
      <c r="H2744" s="6">
        <v>36</v>
      </c>
      <c r="I2744" s="6">
        <v>36</v>
      </c>
      <c r="J2744" s="6">
        <f>I2744-H2744</f>
        <v>0</v>
      </c>
      <c r="K2744" s="5">
        <f>IF(H2744=0,"",J2744/H2744)</f>
        <v>0</v>
      </c>
      <c r="L2744">
        <f>IF(OR(AND(H2744=0,ABS(J2744)&gt;=0.01),AND(H2744&lt;&gt;0,ABS(K2744)&gt;VarianceThreshold)),"Review","OK")</f>
        <v>0</v>
      </c>
      <c r="M2744" t="s">
        <v>33</v>
      </c>
    </row>
    <row r="2745" spans="1:13">
      <c r="A2745" t="s">
        <v>4</v>
      </c>
      <c r="B2745" t="s">
        <v>392</v>
      </c>
      <c r="C2745" t="s">
        <v>2533</v>
      </c>
      <c r="D2745" t="s">
        <v>118</v>
      </c>
      <c r="E2745" cm="1">
        <f t="array" ref="E2745">_xlfn.XLOOKUP(D2745,SKU_Master!A:A,SKU_Master!B:B,"Not on master")</f>
        <v>0</v>
      </c>
      <c r="F2745" cm="1">
        <f t="array" ref="F2745">_xlfn.XLOOKUP(C2745,Account_Master!A:A,Account_Master!B:B,"Not on master")</f>
        <v>0</v>
      </c>
      <c r="G2745" cm="1">
        <f t="array" ref="G2745">_xlfn.XLOOKUP(C2745,Account_Master!A:A,Account_Master!C:C,"Not on master")</f>
        <v>0</v>
      </c>
      <c r="H2745" s="6">
        <v>0.9</v>
      </c>
      <c r="I2745" s="6">
        <v>0.9</v>
      </c>
      <c r="J2745" s="6">
        <f>I2745-H2745</f>
        <v>0</v>
      </c>
      <c r="K2745" s="5">
        <f>IF(H2745=0,"",J2745/H2745)</f>
        <v>0</v>
      </c>
      <c r="L2745">
        <f>IF(OR(AND(H2745=0,ABS(J2745)&gt;=0.01),AND(H2745&lt;&gt;0,ABS(K2745)&gt;VarianceThreshold)),"Review","OK")</f>
        <v>0</v>
      </c>
      <c r="M2745" t="s">
        <v>33</v>
      </c>
    </row>
    <row r="2746" spans="1:13">
      <c r="A2746" t="s">
        <v>4</v>
      </c>
      <c r="B2746" t="s">
        <v>392</v>
      </c>
      <c r="C2746" t="s">
        <v>2432</v>
      </c>
      <c r="D2746" t="s">
        <v>401</v>
      </c>
      <c r="E2746" cm="1">
        <f t="array" ref="E2746">_xlfn.XLOOKUP(D2746,SKU_Master!A:A,SKU_Master!B:B,"Not on master")</f>
        <v>0</v>
      </c>
      <c r="F2746" cm="1">
        <f t="array" ref="F2746">_xlfn.XLOOKUP(C2746,Account_Master!A:A,Account_Master!B:B,"Not on master")</f>
        <v>0</v>
      </c>
      <c r="G2746" cm="1">
        <f t="array" ref="G2746">_xlfn.XLOOKUP(C2746,Account_Master!A:A,Account_Master!C:C,"Not on master")</f>
        <v>0</v>
      </c>
      <c r="H2746" s="6">
        <v>9.75</v>
      </c>
      <c r="I2746" s="6">
        <v>9.75</v>
      </c>
      <c r="J2746" s="6">
        <f>I2746-H2746</f>
        <v>0</v>
      </c>
      <c r="K2746" s="5">
        <f>IF(H2746=0,"",J2746/H2746)</f>
        <v>0</v>
      </c>
      <c r="L2746">
        <f>IF(OR(AND(H2746=0,ABS(J2746)&gt;=0.01),AND(H2746&lt;&gt;0,ABS(K2746)&gt;VarianceThreshold)),"Review","OK")</f>
        <v>0</v>
      </c>
      <c r="M2746" t="s">
        <v>33</v>
      </c>
    </row>
    <row r="2747" spans="1:13">
      <c r="A2747" t="s">
        <v>4</v>
      </c>
      <c r="B2747" t="s">
        <v>392</v>
      </c>
      <c r="C2747" t="s">
        <v>2547</v>
      </c>
      <c r="D2747" t="s">
        <v>1809</v>
      </c>
      <c r="E2747" cm="1">
        <f t="array" ref="E2747">_xlfn.XLOOKUP(D2747,SKU_Master!A:A,SKU_Master!B:B,"Not on master")</f>
        <v>0</v>
      </c>
      <c r="F2747" cm="1">
        <f t="array" ref="F2747">_xlfn.XLOOKUP(C2747,Account_Master!A:A,Account_Master!B:B,"Not on master")</f>
        <v>0</v>
      </c>
      <c r="G2747" cm="1">
        <f t="array" ref="G2747">_xlfn.XLOOKUP(C2747,Account_Master!A:A,Account_Master!C:C,"Not on master")</f>
        <v>0</v>
      </c>
      <c r="H2747" s="6">
        <v>5.25</v>
      </c>
      <c r="I2747" s="6">
        <v>5.25</v>
      </c>
      <c r="J2747" s="6">
        <f>I2747-H2747</f>
        <v>0</v>
      </c>
      <c r="K2747" s="5">
        <f>IF(H2747=0,"",J2747/H2747)</f>
        <v>0</v>
      </c>
      <c r="L2747">
        <f>IF(OR(AND(H2747=0,ABS(J2747)&gt;=0.01),AND(H2747&lt;&gt;0,ABS(K2747)&gt;VarianceThreshold)),"Review","OK")</f>
        <v>0</v>
      </c>
      <c r="M2747" t="s">
        <v>33</v>
      </c>
    </row>
    <row r="2748" spans="1:13">
      <c r="A2748" t="s">
        <v>4</v>
      </c>
      <c r="B2748" t="s">
        <v>402</v>
      </c>
      <c r="C2748" t="s">
        <v>2518</v>
      </c>
      <c r="D2748" t="s">
        <v>748</v>
      </c>
      <c r="E2748" cm="1">
        <f t="array" ref="E2748">_xlfn.XLOOKUP(D2748,SKU_Master!A:A,SKU_Master!B:B,"Not on master")</f>
        <v>0</v>
      </c>
      <c r="F2748" cm="1">
        <f t="array" ref="F2748">_xlfn.XLOOKUP(C2748,Account_Master!A:A,Account_Master!B:B,"Not on master")</f>
        <v>0</v>
      </c>
      <c r="G2748" cm="1">
        <f t="array" ref="G2748">_xlfn.XLOOKUP(C2748,Account_Master!A:A,Account_Master!C:C,"Not on master")</f>
        <v>0</v>
      </c>
      <c r="H2748" s="6">
        <v>2.25</v>
      </c>
      <c r="I2748" s="6">
        <v>2.25</v>
      </c>
      <c r="J2748" s="6">
        <f>I2748-H2748</f>
        <v>0</v>
      </c>
      <c r="K2748" s="5">
        <f>IF(H2748=0,"",J2748/H2748)</f>
        <v>0</v>
      </c>
      <c r="L2748">
        <f>IF(OR(AND(H2748=0,ABS(J2748)&gt;=0.01),AND(H2748&lt;&gt;0,ABS(K2748)&gt;VarianceThreshold)),"Review","OK")</f>
        <v>0</v>
      </c>
      <c r="M2748" t="s">
        <v>33</v>
      </c>
    </row>
    <row r="2749" spans="1:13">
      <c r="A2749" t="s">
        <v>4</v>
      </c>
      <c r="B2749" t="s">
        <v>402</v>
      </c>
      <c r="C2749" t="s">
        <v>2548</v>
      </c>
      <c r="D2749" t="s">
        <v>489</v>
      </c>
      <c r="E2749" cm="1">
        <f t="array" ref="E2749">_xlfn.XLOOKUP(D2749,SKU_Master!A:A,SKU_Master!B:B,"Not on master")</f>
        <v>0</v>
      </c>
      <c r="F2749" cm="1">
        <f t="array" ref="F2749">_xlfn.XLOOKUP(C2749,Account_Master!A:A,Account_Master!B:B,"Not on master")</f>
        <v>0</v>
      </c>
      <c r="G2749" cm="1">
        <f t="array" ref="G2749">_xlfn.XLOOKUP(C2749,Account_Master!A:A,Account_Master!C:C,"Not on master")</f>
        <v>0</v>
      </c>
      <c r="H2749" s="6">
        <v>24</v>
      </c>
      <c r="I2749" s="6">
        <v>24</v>
      </c>
      <c r="J2749" s="6">
        <f>I2749-H2749</f>
        <v>0</v>
      </c>
      <c r="K2749" s="5">
        <f>IF(H2749=0,"",J2749/H2749)</f>
        <v>0</v>
      </c>
      <c r="L2749">
        <f>IF(OR(AND(H2749=0,ABS(J2749)&gt;=0.01),AND(H2749&lt;&gt;0,ABS(K2749)&gt;VarianceThreshold)),"Review","OK")</f>
        <v>0</v>
      </c>
      <c r="M2749" t="s">
        <v>33</v>
      </c>
    </row>
    <row r="2750" spans="1:13">
      <c r="A2750" t="s">
        <v>4</v>
      </c>
      <c r="B2750" t="s">
        <v>402</v>
      </c>
      <c r="C2750" t="s">
        <v>2410</v>
      </c>
      <c r="D2750" t="s">
        <v>2549</v>
      </c>
      <c r="E2750" cm="1">
        <f t="array" ref="E2750">_xlfn.XLOOKUP(D2750,SKU_Master!A:A,SKU_Master!B:B,"Not on master")</f>
        <v>0</v>
      </c>
      <c r="F2750" cm="1">
        <f t="array" ref="F2750">_xlfn.XLOOKUP(C2750,Account_Master!A:A,Account_Master!B:B,"Not on master")</f>
        <v>0</v>
      </c>
      <c r="G2750" cm="1">
        <f t="array" ref="G2750">_xlfn.XLOOKUP(C2750,Account_Master!A:A,Account_Master!C:C,"Not on master")</f>
        <v>0</v>
      </c>
      <c r="H2750" s="6">
        <v>1.49</v>
      </c>
      <c r="I2750" s="6">
        <v>1.49</v>
      </c>
      <c r="J2750" s="6">
        <f>I2750-H2750</f>
        <v>0</v>
      </c>
      <c r="K2750" s="5">
        <f>IF(H2750=0,"",J2750/H2750)</f>
        <v>0</v>
      </c>
      <c r="L2750">
        <f>IF(OR(AND(H2750=0,ABS(J2750)&gt;=0.01),AND(H2750&lt;&gt;0,ABS(K2750)&gt;VarianceThreshold)),"Review","OK")</f>
        <v>0</v>
      </c>
      <c r="M2750" t="s">
        <v>33</v>
      </c>
    </row>
    <row r="2751" spans="1:13">
      <c r="A2751" t="s">
        <v>4</v>
      </c>
      <c r="B2751" t="s">
        <v>402</v>
      </c>
      <c r="C2751" t="s">
        <v>2476</v>
      </c>
      <c r="D2751" t="s">
        <v>656</v>
      </c>
      <c r="E2751" cm="1">
        <f t="array" ref="E2751">_xlfn.XLOOKUP(D2751,SKU_Master!A:A,SKU_Master!B:B,"Not on master")</f>
        <v>0</v>
      </c>
      <c r="F2751" cm="1">
        <f t="array" ref="F2751">_xlfn.XLOOKUP(C2751,Account_Master!A:A,Account_Master!B:B,"Not on master")</f>
        <v>0</v>
      </c>
      <c r="G2751" cm="1">
        <f t="array" ref="G2751">_xlfn.XLOOKUP(C2751,Account_Master!A:A,Account_Master!C:C,"Not on master")</f>
        <v>0</v>
      </c>
      <c r="H2751" s="6">
        <v>0.37</v>
      </c>
      <c r="I2751" s="6">
        <v>0.37</v>
      </c>
      <c r="J2751" s="6">
        <f>I2751-H2751</f>
        <v>0</v>
      </c>
      <c r="K2751" s="5">
        <f>IF(H2751=0,"",J2751/H2751)</f>
        <v>0</v>
      </c>
      <c r="L2751">
        <f>IF(OR(AND(H2751=0,ABS(J2751)&gt;=0.01),AND(H2751&lt;&gt;0,ABS(K2751)&gt;VarianceThreshold)),"Review","OK")</f>
        <v>0</v>
      </c>
      <c r="M2751" t="s">
        <v>33</v>
      </c>
    </row>
    <row r="2752" spans="1:13">
      <c r="A2752" t="s">
        <v>4</v>
      </c>
      <c r="B2752" t="s">
        <v>410</v>
      </c>
      <c r="C2752" t="s">
        <v>2418</v>
      </c>
      <c r="D2752" t="s">
        <v>1769</v>
      </c>
      <c r="E2752" cm="1">
        <f t="array" ref="E2752">_xlfn.XLOOKUP(D2752,SKU_Master!A:A,SKU_Master!B:B,"Not on master")</f>
        <v>0</v>
      </c>
      <c r="F2752" cm="1">
        <f t="array" ref="F2752">_xlfn.XLOOKUP(C2752,Account_Master!A:A,Account_Master!B:B,"Not on master")</f>
        <v>0</v>
      </c>
      <c r="G2752" cm="1">
        <f t="array" ref="G2752">_xlfn.XLOOKUP(C2752,Account_Master!A:A,Account_Master!C:C,"Not on master")</f>
        <v>0</v>
      </c>
      <c r="H2752" s="6">
        <v>97</v>
      </c>
      <c r="I2752" s="6">
        <v>97</v>
      </c>
      <c r="J2752" s="6">
        <f>I2752-H2752</f>
        <v>0</v>
      </c>
      <c r="K2752" s="5">
        <f>IF(H2752=0,"",J2752/H2752)</f>
        <v>0</v>
      </c>
      <c r="L2752">
        <f>IF(OR(AND(H2752=0,ABS(J2752)&gt;=0.01),AND(H2752&lt;&gt;0,ABS(K2752)&gt;VarianceThreshold)),"Review","OK")</f>
        <v>0</v>
      </c>
      <c r="M2752" t="s">
        <v>33</v>
      </c>
    </row>
    <row r="2753" spans="1:13">
      <c r="A2753" t="s">
        <v>4</v>
      </c>
      <c r="B2753" t="s">
        <v>410</v>
      </c>
      <c r="C2753" t="s">
        <v>2479</v>
      </c>
      <c r="D2753" t="s">
        <v>1406</v>
      </c>
      <c r="E2753" cm="1">
        <f t="array" ref="E2753">_xlfn.XLOOKUP(D2753,SKU_Master!A:A,SKU_Master!B:B,"Not on master")</f>
        <v>0</v>
      </c>
      <c r="F2753" cm="1">
        <f t="array" ref="F2753">_xlfn.XLOOKUP(C2753,Account_Master!A:A,Account_Master!B:B,"Not on master")</f>
        <v>0</v>
      </c>
      <c r="G2753" cm="1">
        <f t="array" ref="G2753">_xlfn.XLOOKUP(C2753,Account_Master!A:A,Account_Master!C:C,"Not on master")</f>
        <v>0</v>
      </c>
      <c r="H2753" s="6">
        <v>9.6</v>
      </c>
      <c r="I2753" s="6">
        <v>9.6</v>
      </c>
      <c r="J2753" s="6">
        <f>I2753-H2753</f>
        <v>0</v>
      </c>
      <c r="K2753" s="5">
        <f>IF(H2753=0,"",J2753/H2753)</f>
        <v>0</v>
      </c>
      <c r="L2753">
        <f>IF(OR(AND(H2753=0,ABS(J2753)&gt;=0.01),AND(H2753&lt;&gt;0,ABS(K2753)&gt;VarianceThreshold)),"Review","OK")</f>
        <v>0</v>
      </c>
      <c r="M2753" t="s">
        <v>33</v>
      </c>
    </row>
    <row r="2754" spans="1:13">
      <c r="A2754" t="s">
        <v>4</v>
      </c>
      <c r="B2754" t="s">
        <v>410</v>
      </c>
      <c r="C2754" t="s">
        <v>2410</v>
      </c>
      <c r="D2754" t="s">
        <v>2550</v>
      </c>
      <c r="E2754" cm="1">
        <f t="array" ref="E2754">_xlfn.XLOOKUP(D2754,SKU_Master!A:A,SKU_Master!B:B,"Not on master")</f>
        <v>0</v>
      </c>
      <c r="F2754" cm="1">
        <f t="array" ref="F2754">_xlfn.XLOOKUP(C2754,Account_Master!A:A,Account_Master!B:B,"Not on master")</f>
        <v>0</v>
      </c>
      <c r="G2754" cm="1">
        <f t="array" ref="G2754">_xlfn.XLOOKUP(C2754,Account_Master!A:A,Account_Master!C:C,"Not on master")</f>
        <v>0</v>
      </c>
      <c r="H2754" s="6">
        <v>4.5</v>
      </c>
      <c r="I2754" s="6">
        <v>4.5</v>
      </c>
      <c r="J2754" s="6">
        <f>I2754-H2754</f>
        <v>0</v>
      </c>
      <c r="K2754" s="5">
        <f>IF(H2754=0,"",J2754/H2754)</f>
        <v>0</v>
      </c>
      <c r="L2754">
        <f>IF(OR(AND(H2754=0,ABS(J2754)&gt;=0.01),AND(H2754&lt;&gt;0,ABS(K2754)&gt;VarianceThreshold)),"Review","OK")</f>
        <v>0</v>
      </c>
      <c r="M2754" t="s">
        <v>33</v>
      </c>
    </row>
    <row r="2755" spans="1:13">
      <c r="A2755" t="s">
        <v>4</v>
      </c>
      <c r="B2755" t="s">
        <v>410</v>
      </c>
      <c r="C2755" t="s">
        <v>2432</v>
      </c>
      <c r="D2755" t="s">
        <v>2345</v>
      </c>
      <c r="E2755" cm="1">
        <f t="array" ref="E2755">_xlfn.XLOOKUP(D2755,SKU_Master!A:A,SKU_Master!B:B,"Not on master")</f>
        <v>0</v>
      </c>
      <c r="F2755" cm="1">
        <f t="array" ref="F2755">_xlfn.XLOOKUP(C2755,Account_Master!A:A,Account_Master!B:B,"Not on master")</f>
        <v>0</v>
      </c>
      <c r="G2755" cm="1">
        <f t="array" ref="G2755">_xlfn.XLOOKUP(C2755,Account_Master!A:A,Account_Master!C:C,"Not on master")</f>
        <v>0</v>
      </c>
      <c r="H2755" s="6">
        <v>15.75</v>
      </c>
      <c r="I2755" s="6">
        <v>15.75</v>
      </c>
      <c r="J2755" s="6">
        <f>I2755-H2755</f>
        <v>0</v>
      </c>
      <c r="K2755" s="5">
        <f>IF(H2755=0,"",J2755/H2755)</f>
        <v>0</v>
      </c>
      <c r="L2755">
        <f>IF(OR(AND(H2755=0,ABS(J2755)&gt;=0.01),AND(H2755&lt;&gt;0,ABS(K2755)&gt;VarianceThreshold)),"Review","OK")</f>
        <v>0</v>
      </c>
      <c r="M2755" t="s">
        <v>33</v>
      </c>
    </row>
    <row r="2756" spans="1:13">
      <c r="A2756" t="s">
        <v>4</v>
      </c>
      <c r="B2756" t="s">
        <v>410</v>
      </c>
      <c r="C2756" t="s">
        <v>2414</v>
      </c>
      <c r="D2756" t="s">
        <v>485</v>
      </c>
      <c r="E2756" cm="1">
        <f t="array" ref="E2756">_xlfn.XLOOKUP(D2756,SKU_Master!A:A,SKU_Master!B:B,"Not on master")</f>
        <v>0</v>
      </c>
      <c r="F2756" cm="1">
        <f t="array" ref="F2756">_xlfn.XLOOKUP(C2756,Account_Master!A:A,Account_Master!B:B,"Not on master")</f>
        <v>0</v>
      </c>
      <c r="G2756" cm="1">
        <f t="array" ref="G2756">_xlfn.XLOOKUP(C2756,Account_Master!A:A,Account_Master!C:C,"Not on master")</f>
        <v>0</v>
      </c>
      <c r="H2756" s="6">
        <v>9</v>
      </c>
      <c r="I2756" s="6">
        <v>9</v>
      </c>
      <c r="J2756" s="6">
        <f>I2756-H2756</f>
        <v>0</v>
      </c>
      <c r="K2756" s="5">
        <f>IF(H2756=0,"",J2756/H2756)</f>
        <v>0</v>
      </c>
      <c r="L2756">
        <f>IF(OR(AND(H2756=0,ABS(J2756)&gt;=0.01),AND(H2756&lt;&gt;0,ABS(K2756)&gt;VarianceThreshold)),"Review","OK")</f>
        <v>0</v>
      </c>
      <c r="M2756" t="s">
        <v>33</v>
      </c>
    </row>
    <row r="2757" spans="1:13">
      <c r="A2757" t="s">
        <v>4</v>
      </c>
      <c r="B2757" t="s">
        <v>410</v>
      </c>
      <c r="C2757" t="s">
        <v>2416</v>
      </c>
      <c r="D2757" t="s">
        <v>2551</v>
      </c>
      <c r="E2757" cm="1">
        <f t="array" ref="E2757">_xlfn.XLOOKUP(D2757,SKU_Master!A:A,SKU_Master!B:B,"Not on master")</f>
        <v>0</v>
      </c>
      <c r="F2757" cm="1">
        <f t="array" ref="F2757">_xlfn.XLOOKUP(C2757,Account_Master!A:A,Account_Master!B:B,"Not on master")</f>
        <v>0</v>
      </c>
      <c r="G2757" cm="1">
        <f t="array" ref="G2757">_xlfn.XLOOKUP(C2757,Account_Master!A:A,Account_Master!C:C,"Not on master")</f>
        <v>0</v>
      </c>
      <c r="H2757" s="6">
        <v>0.75</v>
      </c>
      <c r="I2757" s="6">
        <v>0.75</v>
      </c>
      <c r="J2757" s="6">
        <f>I2757-H2757</f>
        <v>0</v>
      </c>
      <c r="K2757" s="5">
        <f>IF(H2757=0,"",J2757/H2757)</f>
        <v>0</v>
      </c>
      <c r="L2757">
        <f>IF(OR(AND(H2757=0,ABS(J2757)&gt;=0.01),AND(H2757&lt;&gt;0,ABS(K2757)&gt;VarianceThreshold)),"Review","OK")</f>
        <v>0</v>
      </c>
      <c r="M2757" t="s">
        <v>33</v>
      </c>
    </row>
    <row r="2758" spans="1:13">
      <c r="A2758" t="s">
        <v>4</v>
      </c>
      <c r="B2758" t="s">
        <v>410</v>
      </c>
      <c r="C2758" t="s">
        <v>2552</v>
      </c>
      <c r="D2758" t="s">
        <v>1944</v>
      </c>
      <c r="E2758" cm="1">
        <f t="array" ref="E2758">_xlfn.XLOOKUP(D2758,SKU_Master!A:A,SKU_Master!B:B,"Not on master")</f>
        <v>0</v>
      </c>
      <c r="F2758" cm="1">
        <f t="array" ref="F2758">_xlfn.XLOOKUP(C2758,Account_Master!A:A,Account_Master!B:B,"Not on master")</f>
        <v>0</v>
      </c>
      <c r="G2758" cm="1">
        <f t="array" ref="G2758">_xlfn.XLOOKUP(C2758,Account_Master!A:A,Account_Master!C:C,"Not on master")</f>
        <v>0</v>
      </c>
      <c r="H2758" s="6">
        <v>26.25</v>
      </c>
      <c r="I2758" s="6">
        <v>26.25</v>
      </c>
      <c r="J2758" s="6">
        <f>I2758-H2758</f>
        <v>0</v>
      </c>
      <c r="K2758" s="5">
        <f>IF(H2758=0,"",J2758/H2758)</f>
        <v>0</v>
      </c>
      <c r="L2758">
        <f>IF(OR(AND(H2758=0,ABS(J2758)&gt;=0.01),AND(H2758&lt;&gt;0,ABS(K2758)&gt;VarianceThreshold)),"Review","OK")</f>
        <v>0</v>
      </c>
      <c r="M2758" t="s">
        <v>33</v>
      </c>
    </row>
    <row r="2759" spans="1:13">
      <c r="A2759" t="s">
        <v>4</v>
      </c>
      <c r="B2759" t="s">
        <v>410</v>
      </c>
      <c r="C2759" t="s">
        <v>2433</v>
      </c>
      <c r="D2759" t="s">
        <v>246</v>
      </c>
      <c r="E2759" cm="1">
        <f t="array" ref="E2759">_xlfn.XLOOKUP(D2759,SKU_Master!A:A,SKU_Master!B:B,"Not on master")</f>
        <v>0</v>
      </c>
      <c r="F2759" cm="1">
        <f t="array" ref="F2759">_xlfn.XLOOKUP(C2759,Account_Master!A:A,Account_Master!B:B,"Not on master")</f>
        <v>0</v>
      </c>
      <c r="G2759" cm="1">
        <f t="array" ref="G2759">_xlfn.XLOOKUP(C2759,Account_Master!A:A,Account_Master!C:C,"Not on master")</f>
        <v>0</v>
      </c>
      <c r="H2759" s="6">
        <v>5.25</v>
      </c>
      <c r="I2759" s="6">
        <v>5.25</v>
      </c>
      <c r="J2759" s="6">
        <f>I2759-H2759</f>
        <v>0</v>
      </c>
      <c r="K2759" s="5">
        <f>IF(H2759=0,"",J2759/H2759)</f>
        <v>0</v>
      </c>
      <c r="L2759">
        <f>IF(OR(AND(H2759=0,ABS(J2759)&gt;=0.01),AND(H2759&lt;&gt;0,ABS(K2759)&gt;VarianceThreshold)),"Review","OK")</f>
        <v>0</v>
      </c>
      <c r="M2759" t="s">
        <v>33</v>
      </c>
    </row>
    <row r="2760" spans="1:13">
      <c r="A2760" t="s">
        <v>4</v>
      </c>
      <c r="B2760" t="s">
        <v>410</v>
      </c>
      <c r="C2760" t="s">
        <v>2443</v>
      </c>
      <c r="D2760" t="s">
        <v>1045</v>
      </c>
      <c r="E2760" cm="1">
        <f t="array" ref="E2760">_xlfn.XLOOKUP(D2760,SKU_Master!A:A,SKU_Master!B:B,"Not on master")</f>
        <v>0</v>
      </c>
      <c r="F2760" cm="1">
        <f t="array" ref="F2760">_xlfn.XLOOKUP(C2760,Account_Master!A:A,Account_Master!B:B,"Not on master")</f>
        <v>0</v>
      </c>
      <c r="G2760" cm="1">
        <f t="array" ref="G2760">_xlfn.XLOOKUP(C2760,Account_Master!A:A,Account_Master!C:C,"Not on master")</f>
        <v>0</v>
      </c>
      <c r="H2760" s="6">
        <v>10.5</v>
      </c>
      <c r="I2760" s="6">
        <v>10.5</v>
      </c>
      <c r="J2760" s="6">
        <f>I2760-H2760</f>
        <v>0</v>
      </c>
      <c r="K2760" s="5">
        <f>IF(H2760=0,"",J2760/H2760)</f>
        <v>0</v>
      </c>
      <c r="L2760">
        <f>IF(OR(AND(H2760=0,ABS(J2760)&gt;=0.01),AND(H2760&lt;&gt;0,ABS(K2760)&gt;VarianceThreshold)),"Review","OK")</f>
        <v>0</v>
      </c>
      <c r="M2760" t="s">
        <v>33</v>
      </c>
    </row>
    <row r="2761" spans="1:13">
      <c r="A2761" t="s">
        <v>4</v>
      </c>
      <c r="B2761" t="s">
        <v>410</v>
      </c>
      <c r="C2761" t="s">
        <v>2436</v>
      </c>
      <c r="D2761" t="s">
        <v>2553</v>
      </c>
      <c r="E2761" cm="1">
        <f t="array" ref="E2761">_xlfn.XLOOKUP(D2761,SKU_Master!A:A,SKU_Master!B:B,"Not on master")</f>
        <v>0</v>
      </c>
      <c r="F2761" cm="1">
        <f t="array" ref="F2761">_xlfn.XLOOKUP(C2761,Account_Master!A:A,Account_Master!B:B,"Not on master")</f>
        <v>0</v>
      </c>
      <c r="G2761" cm="1">
        <f t="array" ref="G2761">_xlfn.XLOOKUP(C2761,Account_Master!A:A,Account_Master!C:C,"Not on master")</f>
        <v>0</v>
      </c>
      <c r="H2761" s="6">
        <v>64.75</v>
      </c>
      <c r="I2761" s="6">
        <v>64.75</v>
      </c>
      <c r="J2761" s="6">
        <f>I2761-H2761</f>
        <v>0</v>
      </c>
      <c r="K2761" s="5">
        <f>IF(H2761=0,"",J2761/H2761)</f>
        <v>0</v>
      </c>
      <c r="L2761">
        <f>IF(OR(AND(H2761=0,ABS(J2761)&gt;=0.01),AND(H2761&lt;&gt;0,ABS(K2761)&gt;VarianceThreshold)),"Review","OK")</f>
        <v>0</v>
      </c>
      <c r="M2761" t="s">
        <v>33</v>
      </c>
    </row>
    <row r="2762" spans="1:13">
      <c r="A2762" t="s">
        <v>4</v>
      </c>
      <c r="B2762" t="s">
        <v>410</v>
      </c>
      <c r="C2762" t="s">
        <v>2432</v>
      </c>
      <c r="D2762" t="s">
        <v>909</v>
      </c>
      <c r="E2762" cm="1">
        <f t="array" ref="E2762">_xlfn.XLOOKUP(D2762,SKU_Master!A:A,SKU_Master!B:B,"Not on master")</f>
        <v>0</v>
      </c>
      <c r="F2762" cm="1">
        <f t="array" ref="F2762">_xlfn.XLOOKUP(C2762,Account_Master!A:A,Account_Master!B:B,"Not on master")</f>
        <v>0</v>
      </c>
      <c r="G2762" cm="1">
        <f t="array" ref="G2762">_xlfn.XLOOKUP(C2762,Account_Master!A:A,Account_Master!C:C,"Not on master")</f>
        <v>0</v>
      </c>
      <c r="H2762" s="6">
        <v>14.25</v>
      </c>
      <c r="I2762" s="6">
        <v>14.25</v>
      </c>
      <c r="J2762" s="6">
        <f>I2762-H2762</f>
        <v>0</v>
      </c>
      <c r="K2762" s="5">
        <f>IF(H2762=0,"",J2762/H2762)</f>
        <v>0</v>
      </c>
      <c r="L2762">
        <f>IF(OR(AND(H2762=0,ABS(J2762)&gt;=0.01),AND(H2762&lt;&gt;0,ABS(K2762)&gt;VarianceThreshold)),"Review","OK")</f>
        <v>0</v>
      </c>
      <c r="M2762" t="s">
        <v>33</v>
      </c>
    </row>
    <row r="2763" spans="1:13">
      <c r="A2763" t="s">
        <v>4</v>
      </c>
      <c r="B2763" t="s">
        <v>416</v>
      </c>
      <c r="C2763" t="s">
        <v>2554</v>
      </c>
      <c r="D2763" t="s">
        <v>2555</v>
      </c>
      <c r="E2763" cm="1">
        <f t="array" ref="E2763">_xlfn.XLOOKUP(D2763,SKU_Master!A:A,SKU_Master!B:B,"Not on master")</f>
        <v>0</v>
      </c>
      <c r="F2763" cm="1">
        <f t="array" ref="F2763">_xlfn.XLOOKUP(C2763,Account_Master!A:A,Account_Master!B:B,"Not on master")</f>
        <v>0</v>
      </c>
      <c r="G2763" cm="1">
        <f t="array" ref="G2763">_xlfn.XLOOKUP(C2763,Account_Master!A:A,Account_Master!C:C,"Not on master")</f>
        <v>0</v>
      </c>
      <c r="H2763" s="6">
        <v>0.75</v>
      </c>
      <c r="I2763" s="6">
        <v>0.75</v>
      </c>
      <c r="J2763" s="6">
        <f>I2763-H2763</f>
        <v>0</v>
      </c>
      <c r="K2763" s="5">
        <f>IF(H2763=0,"",J2763/H2763)</f>
        <v>0</v>
      </c>
      <c r="L2763">
        <f>IF(OR(AND(H2763=0,ABS(J2763)&gt;=0.01),AND(H2763&lt;&gt;0,ABS(K2763)&gt;VarianceThreshold)),"Review","OK")</f>
        <v>0</v>
      </c>
      <c r="M2763" t="s">
        <v>33</v>
      </c>
    </row>
    <row r="2764" spans="1:13">
      <c r="A2764" t="s">
        <v>4</v>
      </c>
      <c r="B2764" t="s">
        <v>416</v>
      </c>
      <c r="C2764" t="s">
        <v>2418</v>
      </c>
      <c r="D2764" t="s">
        <v>49</v>
      </c>
      <c r="E2764" cm="1">
        <f t="array" ref="E2764">_xlfn.XLOOKUP(D2764,SKU_Master!A:A,SKU_Master!B:B,"Not on master")</f>
        <v>0</v>
      </c>
      <c r="F2764" cm="1">
        <f t="array" ref="F2764">_xlfn.XLOOKUP(C2764,Account_Master!A:A,Account_Master!B:B,"Not on master")</f>
        <v>0</v>
      </c>
      <c r="G2764" cm="1">
        <f t="array" ref="G2764">_xlfn.XLOOKUP(C2764,Account_Master!A:A,Account_Master!C:C,"Not on master")</f>
        <v>0</v>
      </c>
      <c r="H2764" s="6">
        <v>16</v>
      </c>
      <c r="I2764" s="6">
        <v>16</v>
      </c>
      <c r="J2764" s="6">
        <f>I2764-H2764</f>
        <v>0</v>
      </c>
      <c r="K2764" s="5">
        <f>IF(H2764=0,"",J2764/H2764)</f>
        <v>0</v>
      </c>
      <c r="L2764">
        <f>IF(OR(AND(H2764=0,ABS(J2764)&gt;=0.01),AND(H2764&lt;&gt;0,ABS(K2764)&gt;VarianceThreshold)),"Review","OK")</f>
        <v>0</v>
      </c>
      <c r="M2764" t="s">
        <v>33</v>
      </c>
    </row>
    <row r="2765" spans="1:13">
      <c r="A2765" t="s">
        <v>4</v>
      </c>
      <c r="B2765" t="s">
        <v>416</v>
      </c>
      <c r="C2765" t="s">
        <v>2416</v>
      </c>
      <c r="D2765" t="s">
        <v>729</v>
      </c>
      <c r="E2765" cm="1">
        <f t="array" ref="E2765">_xlfn.XLOOKUP(D2765,SKU_Master!A:A,SKU_Master!B:B,"Not on master")</f>
        <v>0</v>
      </c>
      <c r="F2765" cm="1">
        <f t="array" ref="F2765">_xlfn.XLOOKUP(C2765,Account_Master!A:A,Account_Master!B:B,"Not on master")</f>
        <v>0</v>
      </c>
      <c r="G2765" cm="1">
        <f t="array" ref="G2765">_xlfn.XLOOKUP(C2765,Account_Master!A:A,Account_Master!C:C,"Not on master")</f>
        <v>0</v>
      </c>
      <c r="H2765" s="6">
        <v>5.25</v>
      </c>
      <c r="I2765" s="6">
        <v>5.25</v>
      </c>
      <c r="J2765" s="6">
        <f>I2765-H2765</f>
        <v>0</v>
      </c>
      <c r="K2765" s="5">
        <f>IF(H2765=0,"",J2765/H2765)</f>
        <v>0</v>
      </c>
      <c r="L2765">
        <f>IF(OR(AND(H2765=0,ABS(J2765)&gt;=0.01),AND(H2765&lt;&gt;0,ABS(K2765)&gt;VarianceThreshold)),"Review","OK")</f>
        <v>0</v>
      </c>
      <c r="M2765" t="s">
        <v>33</v>
      </c>
    </row>
    <row r="2766" spans="1:13">
      <c r="A2766" t="s">
        <v>4</v>
      </c>
      <c r="B2766" t="s">
        <v>416</v>
      </c>
      <c r="C2766" t="s">
        <v>2439</v>
      </c>
      <c r="D2766" t="s">
        <v>1305</v>
      </c>
      <c r="E2766" cm="1">
        <f t="array" ref="E2766">_xlfn.XLOOKUP(D2766,SKU_Master!A:A,SKU_Master!B:B,"Not on master")</f>
        <v>0</v>
      </c>
      <c r="F2766" cm="1">
        <f t="array" ref="F2766">_xlfn.XLOOKUP(C2766,Account_Master!A:A,Account_Master!B:B,"Not on master")</f>
        <v>0</v>
      </c>
      <c r="G2766" cm="1">
        <f t="array" ref="G2766">_xlfn.XLOOKUP(C2766,Account_Master!A:A,Account_Master!C:C,"Not on master")</f>
        <v>0</v>
      </c>
      <c r="H2766" s="6">
        <v>1</v>
      </c>
      <c r="I2766" s="6">
        <v>1</v>
      </c>
      <c r="J2766" s="6">
        <f>I2766-H2766</f>
        <v>0</v>
      </c>
      <c r="K2766" s="5">
        <f>IF(H2766=0,"",J2766/H2766)</f>
        <v>0</v>
      </c>
      <c r="L2766">
        <f>IF(OR(AND(H2766=0,ABS(J2766)&gt;=0.01),AND(H2766&lt;&gt;0,ABS(K2766)&gt;VarianceThreshold)),"Review","OK")</f>
        <v>0</v>
      </c>
      <c r="M2766" t="s">
        <v>33</v>
      </c>
    </row>
    <row r="2767" spans="1:13">
      <c r="A2767" t="s">
        <v>4</v>
      </c>
      <c r="B2767" t="s">
        <v>416</v>
      </c>
      <c r="C2767" t="s">
        <v>2412</v>
      </c>
      <c r="D2767" t="s">
        <v>2556</v>
      </c>
      <c r="E2767" cm="1">
        <f t="array" ref="E2767">_xlfn.XLOOKUP(D2767,SKU_Master!A:A,SKU_Master!B:B,"Not on master")</f>
        <v>0</v>
      </c>
      <c r="F2767" cm="1">
        <f t="array" ref="F2767">_xlfn.XLOOKUP(C2767,Account_Master!A:A,Account_Master!B:B,"Not on master")</f>
        <v>0</v>
      </c>
      <c r="G2767" cm="1">
        <f t="array" ref="G2767">_xlfn.XLOOKUP(C2767,Account_Master!A:A,Account_Master!C:C,"Not on master")</f>
        <v>0</v>
      </c>
      <c r="H2767" s="6">
        <v>3</v>
      </c>
      <c r="I2767" s="6">
        <v>3</v>
      </c>
      <c r="J2767" s="6">
        <f>I2767-H2767</f>
        <v>0</v>
      </c>
      <c r="K2767" s="5">
        <f>IF(H2767=0,"",J2767/H2767)</f>
        <v>0</v>
      </c>
      <c r="L2767">
        <f>IF(OR(AND(H2767=0,ABS(J2767)&gt;=0.01),AND(H2767&lt;&gt;0,ABS(K2767)&gt;VarianceThreshold)),"Review","OK")</f>
        <v>0</v>
      </c>
      <c r="M2767" t="s">
        <v>33</v>
      </c>
    </row>
    <row r="2768" spans="1:13">
      <c r="A2768" t="s">
        <v>4</v>
      </c>
      <c r="B2768" t="s">
        <v>416</v>
      </c>
      <c r="C2768" t="s">
        <v>2479</v>
      </c>
      <c r="D2768" t="s">
        <v>1417</v>
      </c>
      <c r="E2768" cm="1">
        <f t="array" ref="E2768">_xlfn.XLOOKUP(D2768,SKU_Master!A:A,SKU_Master!B:B,"Not on master")</f>
        <v>0</v>
      </c>
      <c r="F2768" cm="1">
        <f t="array" ref="F2768">_xlfn.XLOOKUP(C2768,Account_Master!A:A,Account_Master!B:B,"Not on master")</f>
        <v>0</v>
      </c>
      <c r="G2768" cm="1">
        <f t="array" ref="G2768">_xlfn.XLOOKUP(C2768,Account_Master!A:A,Account_Master!C:C,"Not on master")</f>
        <v>0</v>
      </c>
      <c r="H2768" s="6">
        <v>81</v>
      </c>
      <c r="I2768" s="6">
        <v>81</v>
      </c>
      <c r="J2768" s="6">
        <f>I2768-H2768</f>
        <v>0</v>
      </c>
      <c r="K2768" s="5">
        <f>IF(H2768=0,"",J2768/H2768)</f>
        <v>0</v>
      </c>
      <c r="L2768">
        <f>IF(OR(AND(H2768=0,ABS(J2768)&gt;=0.01),AND(H2768&lt;&gt;0,ABS(K2768)&gt;VarianceThreshold)),"Review","OK")</f>
        <v>0</v>
      </c>
      <c r="M2768" t="s">
        <v>33</v>
      </c>
    </row>
    <row r="2769" spans="1:13">
      <c r="A2769" t="s">
        <v>4</v>
      </c>
      <c r="B2769" t="s">
        <v>416</v>
      </c>
      <c r="C2769" t="s">
        <v>2477</v>
      </c>
      <c r="D2769" t="s">
        <v>1500</v>
      </c>
      <c r="E2769" cm="1">
        <f t="array" ref="E2769">_xlfn.XLOOKUP(D2769,SKU_Master!A:A,SKU_Master!B:B,"Not on master")</f>
        <v>0</v>
      </c>
      <c r="F2769" cm="1">
        <f t="array" ref="F2769">_xlfn.XLOOKUP(C2769,Account_Master!A:A,Account_Master!B:B,"Not on master")</f>
        <v>0</v>
      </c>
      <c r="G2769" cm="1">
        <f t="array" ref="G2769">_xlfn.XLOOKUP(C2769,Account_Master!A:A,Account_Master!C:C,"Not on master")</f>
        <v>0</v>
      </c>
      <c r="H2769" s="6">
        <v>24.5</v>
      </c>
      <c r="I2769" s="6">
        <v>24.5</v>
      </c>
      <c r="J2769" s="6">
        <f>I2769-H2769</f>
        <v>0</v>
      </c>
      <c r="K2769" s="5">
        <f>IF(H2769=0,"",J2769/H2769)</f>
        <v>0</v>
      </c>
      <c r="L2769">
        <f>IF(OR(AND(H2769=0,ABS(J2769)&gt;=0.01),AND(H2769&lt;&gt;0,ABS(K2769)&gt;VarianceThreshold)),"Review","OK")</f>
        <v>0</v>
      </c>
      <c r="M2769" t="s">
        <v>33</v>
      </c>
    </row>
    <row r="2770" spans="1:13">
      <c r="A2770" t="s">
        <v>4</v>
      </c>
      <c r="B2770" t="s">
        <v>416</v>
      </c>
      <c r="C2770" t="s">
        <v>2557</v>
      </c>
      <c r="D2770" t="s">
        <v>2558</v>
      </c>
      <c r="E2770" cm="1">
        <f t="array" ref="E2770">_xlfn.XLOOKUP(D2770,SKU_Master!A:A,SKU_Master!B:B,"Not on master")</f>
        <v>0</v>
      </c>
      <c r="F2770" cm="1">
        <f t="array" ref="F2770">_xlfn.XLOOKUP(C2770,Account_Master!A:A,Account_Master!B:B,"Not on master")</f>
        <v>0</v>
      </c>
      <c r="G2770" cm="1">
        <f t="array" ref="G2770">_xlfn.XLOOKUP(C2770,Account_Master!A:A,Account_Master!C:C,"Not on master")</f>
        <v>0</v>
      </c>
      <c r="H2770" s="6">
        <v>0.15</v>
      </c>
      <c r="I2770" s="6">
        <v>0.15</v>
      </c>
      <c r="J2770" s="6">
        <f>I2770-H2770</f>
        <v>0</v>
      </c>
      <c r="K2770" s="5">
        <f>IF(H2770=0,"",J2770/H2770)</f>
        <v>0</v>
      </c>
      <c r="L2770">
        <f>IF(OR(AND(H2770=0,ABS(J2770)&gt;=0.01),AND(H2770&lt;&gt;0,ABS(K2770)&gt;VarianceThreshold)),"Review","OK")</f>
        <v>0</v>
      </c>
      <c r="M2770" t="s">
        <v>33</v>
      </c>
    </row>
    <row r="2771" spans="1:13">
      <c r="A2771" t="s">
        <v>4</v>
      </c>
      <c r="B2771" t="s">
        <v>416</v>
      </c>
      <c r="C2771" t="s">
        <v>2436</v>
      </c>
      <c r="D2771" t="s">
        <v>857</v>
      </c>
      <c r="E2771" cm="1">
        <f t="array" ref="E2771">_xlfn.XLOOKUP(D2771,SKU_Master!A:A,SKU_Master!B:B,"Not on master")</f>
        <v>0</v>
      </c>
      <c r="F2771" cm="1">
        <f t="array" ref="F2771">_xlfn.XLOOKUP(C2771,Account_Master!A:A,Account_Master!B:B,"Not on master")</f>
        <v>0</v>
      </c>
      <c r="G2771" cm="1">
        <f t="array" ref="G2771">_xlfn.XLOOKUP(C2771,Account_Master!A:A,Account_Master!C:C,"Not on master")</f>
        <v>0</v>
      </c>
      <c r="H2771" s="6">
        <v>0.05</v>
      </c>
      <c r="I2771" s="6">
        <v>0.05</v>
      </c>
      <c r="J2771" s="6">
        <f>I2771-H2771</f>
        <v>0</v>
      </c>
      <c r="K2771" s="5">
        <f>IF(H2771=0,"",J2771/H2771)</f>
        <v>0</v>
      </c>
      <c r="L2771">
        <f>IF(OR(AND(H2771=0,ABS(J2771)&gt;=0.01),AND(H2771&lt;&gt;0,ABS(K2771)&gt;VarianceThreshold)),"Review","OK")</f>
        <v>0</v>
      </c>
      <c r="M2771" t="s">
        <v>33</v>
      </c>
    </row>
    <row r="2772" spans="1:13">
      <c r="A2772" t="s">
        <v>4</v>
      </c>
      <c r="B2772" t="s">
        <v>416</v>
      </c>
      <c r="C2772" t="s">
        <v>2435</v>
      </c>
      <c r="D2772" t="s">
        <v>2559</v>
      </c>
      <c r="E2772" cm="1">
        <f t="array" ref="E2772">_xlfn.XLOOKUP(D2772,SKU_Master!A:A,SKU_Master!B:B,"Not on master")</f>
        <v>0</v>
      </c>
      <c r="F2772" cm="1">
        <f t="array" ref="F2772">_xlfn.XLOOKUP(C2772,Account_Master!A:A,Account_Master!B:B,"Not on master")</f>
        <v>0</v>
      </c>
      <c r="G2772" cm="1">
        <f t="array" ref="G2772">_xlfn.XLOOKUP(C2772,Account_Master!A:A,Account_Master!C:C,"Not on master")</f>
        <v>0</v>
      </c>
      <c r="H2772" s="6">
        <v>18.75</v>
      </c>
      <c r="I2772" s="6">
        <v>18.75</v>
      </c>
      <c r="J2772" s="6">
        <f>I2772-H2772</f>
        <v>0</v>
      </c>
      <c r="K2772" s="5">
        <f>IF(H2772=0,"",J2772/H2772)</f>
        <v>0</v>
      </c>
      <c r="L2772">
        <f>IF(OR(AND(H2772=0,ABS(J2772)&gt;=0.01),AND(H2772&lt;&gt;0,ABS(K2772)&gt;VarianceThreshold)),"Review","OK")</f>
        <v>0</v>
      </c>
      <c r="M2772" t="s">
        <v>33</v>
      </c>
    </row>
    <row r="2773" spans="1:13">
      <c r="A2773" t="s">
        <v>4</v>
      </c>
      <c r="B2773" t="s">
        <v>416</v>
      </c>
      <c r="C2773" t="s">
        <v>2488</v>
      </c>
      <c r="D2773" t="s">
        <v>2392</v>
      </c>
      <c r="E2773" cm="1">
        <f t="array" ref="E2773">_xlfn.XLOOKUP(D2773,SKU_Master!A:A,SKU_Master!B:B,"Not on master")</f>
        <v>0</v>
      </c>
      <c r="F2773" cm="1">
        <f t="array" ref="F2773">_xlfn.XLOOKUP(C2773,Account_Master!A:A,Account_Master!B:B,"Not on master")</f>
        <v>0</v>
      </c>
      <c r="G2773" cm="1">
        <f t="array" ref="G2773">_xlfn.XLOOKUP(C2773,Account_Master!A:A,Account_Master!C:C,"Not on master")</f>
        <v>0</v>
      </c>
      <c r="H2773" s="6">
        <v>9</v>
      </c>
      <c r="I2773" s="6">
        <v>9</v>
      </c>
      <c r="J2773" s="6">
        <f>I2773-H2773</f>
        <v>0</v>
      </c>
      <c r="K2773" s="5">
        <f>IF(H2773=0,"",J2773/H2773)</f>
        <v>0</v>
      </c>
      <c r="L2773">
        <f>IF(OR(AND(H2773=0,ABS(J2773)&gt;=0.01),AND(H2773&lt;&gt;0,ABS(K2773)&gt;VarianceThreshold)),"Review","OK")</f>
        <v>0</v>
      </c>
      <c r="M2773" t="s">
        <v>33</v>
      </c>
    </row>
    <row r="2774" spans="1:13">
      <c r="A2774" t="s">
        <v>4</v>
      </c>
      <c r="B2774" t="s">
        <v>428</v>
      </c>
      <c r="C2774" t="s">
        <v>2410</v>
      </c>
      <c r="D2774" t="s">
        <v>2560</v>
      </c>
      <c r="E2774" cm="1">
        <f t="array" ref="E2774">_xlfn.XLOOKUP(D2774,SKU_Master!A:A,SKU_Master!B:B,"Not on master")</f>
        <v>0</v>
      </c>
      <c r="F2774" cm="1">
        <f t="array" ref="F2774">_xlfn.XLOOKUP(C2774,Account_Master!A:A,Account_Master!B:B,"Not on master")</f>
        <v>0</v>
      </c>
      <c r="G2774" cm="1">
        <f t="array" ref="G2774">_xlfn.XLOOKUP(C2774,Account_Master!A:A,Account_Master!C:C,"Not on master")</f>
        <v>0</v>
      </c>
      <c r="H2774" s="6">
        <v>1.75</v>
      </c>
      <c r="I2774" s="6">
        <v>1.75</v>
      </c>
      <c r="J2774" s="6">
        <f>I2774-H2774</f>
        <v>0</v>
      </c>
      <c r="K2774" s="5">
        <f>IF(H2774=0,"",J2774/H2774)</f>
        <v>0</v>
      </c>
      <c r="L2774">
        <f>IF(OR(AND(H2774=0,ABS(J2774)&gt;=0.01),AND(H2774&lt;&gt;0,ABS(K2774)&gt;VarianceThreshold)),"Review","OK")</f>
        <v>0</v>
      </c>
      <c r="M2774" t="s">
        <v>33</v>
      </c>
    </row>
    <row r="2775" spans="1:13">
      <c r="A2775" t="s">
        <v>4</v>
      </c>
      <c r="B2775" t="s">
        <v>428</v>
      </c>
      <c r="C2775" t="s">
        <v>2561</v>
      </c>
      <c r="D2775" t="s">
        <v>1232</v>
      </c>
      <c r="E2775" cm="1">
        <f t="array" ref="E2775">_xlfn.XLOOKUP(D2775,SKU_Master!A:A,SKU_Master!B:B,"Not on master")</f>
        <v>0</v>
      </c>
      <c r="F2775" cm="1">
        <f t="array" ref="F2775">_xlfn.XLOOKUP(C2775,Account_Master!A:A,Account_Master!B:B,"Not on master")</f>
        <v>0</v>
      </c>
      <c r="G2775" cm="1">
        <f t="array" ref="G2775">_xlfn.XLOOKUP(C2775,Account_Master!A:A,Account_Master!C:C,"Not on master")</f>
        <v>0</v>
      </c>
      <c r="H2775" s="6">
        <v>0.15</v>
      </c>
      <c r="I2775" s="6">
        <v>0.15</v>
      </c>
      <c r="J2775" s="6">
        <f>I2775-H2775</f>
        <v>0</v>
      </c>
      <c r="K2775" s="5">
        <f>IF(H2775=0,"",J2775/H2775)</f>
        <v>0</v>
      </c>
      <c r="L2775">
        <f>IF(OR(AND(H2775=0,ABS(J2775)&gt;=0.01),AND(H2775&lt;&gt;0,ABS(K2775)&gt;VarianceThreshold)),"Review","OK")</f>
        <v>0</v>
      </c>
      <c r="M2775" t="s">
        <v>33</v>
      </c>
    </row>
    <row r="2776" spans="1:13">
      <c r="A2776" t="s">
        <v>4</v>
      </c>
      <c r="B2776" t="s">
        <v>428</v>
      </c>
      <c r="C2776" t="s">
        <v>2432</v>
      </c>
      <c r="D2776" t="s">
        <v>1432</v>
      </c>
      <c r="E2776" cm="1">
        <f t="array" ref="E2776">_xlfn.XLOOKUP(D2776,SKU_Master!A:A,SKU_Master!B:B,"Not on master")</f>
        <v>0</v>
      </c>
      <c r="F2776" cm="1">
        <f t="array" ref="F2776">_xlfn.XLOOKUP(C2776,Account_Master!A:A,Account_Master!B:B,"Not on master")</f>
        <v>0</v>
      </c>
      <c r="G2776" cm="1">
        <f t="array" ref="G2776">_xlfn.XLOOKUP(C2776,Account_Master!A:A,Account_Master!C:C,"Not on master")</f>
        <v>0</v>
      </c>
      <c r="H2776" s="6">
        <v>9</v>
      </c>
      <c r="I2776" s="6">
        <v>9</v>
      </c>
      <c r="J2776" s="6">
        <f>I2776-H2776</f>
        <v>0</v>
      </c>
      <c r="K2776" s="5">
        <f>IF(H2776=0,"",J2776/H2776)</f>
        <v>0</v>
      </c>
      <c r="L2776">
        <f>IF(OR(AND(H2776=0,ABS(J2776)&gt;=0.01),AND(H2776&lt;&gt;0,ABS(K2776)&gt;VarianceThreshold)),"Review","OK")</f>
        <v>0</v>
      </c>
      <c r="M2776" t="s">
        <v>33</v>
      </c>
    </row>
    <row r="2777" spans="1:13">
      <c r="A2777" t="s">
        <v>4</v>
      </c>
      <c r="B2777" t="s">
        <v>428</v>
      </c>
      <c r="C2777" t="s">
        <v>2562</v>
      </c>
      <c r="D2777" t="s">
        <v>2563</v>
      </c>
      <c r="E2777" cm="1">
        <f t="array" ref="E2777">_xlfn.XLOOKUP(D2777,SKU_Master!A:A,SKU_Master!B:B,"Not on master")</f>
        <v>0</v>
      </c>
      <c r="F2777" cm="1">
        <f t="array" ref="F2777">_xlfn.XLOOKUP(C2777,Account_Master!A:A,Account_Master!B:B,"Not on master")</f>
        <v>0</v>
      </c>
      <c r="G2777" cm="1">
        <f t="array" ref="G2777">_xlfn.XLOOKUP(C2777,Account_Master!A:A,Account_Master!C:C,"Not on master")</f>
        <v>0</v>
      </c>
      <c r="H2777" s="6">
        <v>5.25</v>
      </c>
      <c r="I2777" s="6">
        <v>5.25</v>
      </c>
      <c r="J2777" s="6">
        <f>I2777-H2777</f>
        <v>0</v>
      </c>
      <c r="K2777" s="5">
        <f>IF(H2777=0,"",J2777/H2777)</f>
        <v>0</v>
      </c>
      <c r="L2777">
        <f>IF(OR(AND(H2777=0,ABS(J2777)&gt;=0.01),AND(H2777&lt;&gt;0,ABS(K2777)&gt;VarianceThreshold)),"Review","OK")</f>
        <v>0</v>
      </c>
      <c r="M2777" t="s">
        <v>33</v>
      </c>
    </row>
    <row r="2778" spans="1:13">
      <c r="A2778" t="s">
        <v>4</v>
      </c>
      <c r="B2778" t="s">
        <v>428</v>
      </c>
      <c r="C2778" t="s">
        <v>2490</v>
      </c>
      <c r="D2778" t="s">
        <v>302</v>
      </c>
      <c r="E2778" cm="1">
        <f t="array" ref="E2778">_xlfn.XLOOKUP(D2778,SKU_Master!A:A,SKU_Master!B:B,"Not on master")</f>
        <v>0</v>
      </c>
      <c r="F2778" cm="1">
        <f t="array" ref="F2778">_xlfn.XLOOKUP(C2778,Account_Master!A:A,Account_Master!B:B,"Not on master")</f>
        <v>0</v>
      </c>
      <c r="G2778" cm="1">
        <f t="array" ref="G2778">_xlfn.XLOOKUP(C2778,Account_Master!A:A,Account_Master!C:C,"Not on master")</f>
        <v>0</v>
      </c>
      <c r="H2778" s="6">
        <v>4.5</v>
      </c>
      <c r="I2778" s="6">
        <v>4.5</v>
      </c>
      <c r="J2778" s="6">
        <f>I2778-H2778</f>
        <v>0</v>
      </c>
      <c r="K2778" s="5">
        <f>IF(H2778=0,"",J2778/H2778)</f>
        <v>0</v>
      </c>
      <c r="L2778">
        <f>IF(OR(AND(H2778=0,ABS(J2778)&gt;=0.01),AND(H2778&lt;&gt;0,ABS(K2778)&gt;VarianceThreshold)),"Review","OK")</f>
        <v>0</v>
      </c>
      <c r="M2778" t="s">
        <v>33</v>
      </c>
    </row>
    <row r="2779" spans="1:13">
      <c r="A2779" t="s">
        <v>4</v>
      </c>
      <c r="B2779" t="s">
        <v>428</v>
      </c>
      <c r="C2779" t="s">
        <v>2449</v>
      </c>
      <c r="D2779" t="s">
        <v>1453</v>
      </c>
      <c r="E2779" cm="1">
        <f t="array" ref="E2779">_xlfn.XLOOKUP(D2779,SKU_Master!A:A,SKU_Master!B:B,"Not on master")</f>
        <v>0</v>
      </c>
      <c r="F2779" cm="1">
        <f t="array" ref="F2779">_xlfn.XLOOKUP(C2779,Account_Master!A:A,Account_Master!B:B,"Not on master")</f>
        <v>0</v>
      </c>
      <c r="G2779" cm="1">
        <f t="array" ref="G2779">_xlfn.XLOOKUP(C2779,Account_Master!A:A,Account_Master!C:C,"Not on master")</f>
        <v>0</v>
      </c>
      <c r="H2779" s="6">
        <v>9</v>
      </c>
      <c r="I2779" s="6">
        <v>9</v>
      </c>
      <c r="J2779" s="6">
        <f>I2779-H2779</f>
        <v>0</v>
      </c>
      <c r="K2779" s="5">
        <f>IF(H2779=0,"",J2779/H2779)</f>
        <v>0</v>
      </c>
      <c r="L2779">
        <f>IF(OR(AND(H2779=0,ABS(J2779)&gt;=0.01),AND(H2779&lt;&gt;0,ABS(K2779)&gt;VarianceThreshold)),"Review","OK")</f>
        <v>0</v>
      </c>
      <c r="M2779" t="s">
        <v>33</v>
      </c>
    </row>
    <row r="2780" spans="1:13">
      <c r="A2780" t="s">
        <v>4</v>
      </c>
      <c r="B2780" t="s">
        <v>428</v>
      </c>
      <c r="C2780" t="s">
        <v>2410</v>
      </c>
      <c r="D2780" t="s">
        <v>2564</v>
      </c>
      <c r="E2780" cm="1">
        <f t="array" ref="E2780">_xlfn.XLOOKUP(D2780,SKU_Master!A:A,SKU_Master!B:B,"Not on master")</f>
        <v>0</v>
      </c>
      <c r="F2780" cm="1">
        <f t="array" ref="F2780">_xlfn.XLOOKUP(C2780,Account_Master!A:A,Account_Master!B:B,"Not on master")</f>
        <v>0</v>
      </c>
      <c r="G2780" cm="1">
        <f t="array" ref="G2780">_xlfn.XLOOKUP(C2780,Account_Master!A:A,Account_Master!C:C,"Not on master")</f>
        <v>0</v>
      </c>
      <c r="H2780" s="6">
        <v>2.25</v>
      </c>
      <c r="I2780" s="6">
        <v>2.25</v>
      </c>
      <c r="J2780" s="6">
        <f>I2780-H2780</f>
        <v>0</v>
      </c>
      <c r="K2780" s="5">
        <f>IF(H2780=0,"",J2780/H2780)</f>
        <v>0</v>
      </c>
      <c r="L2780">
        <f>IF(OR(AND(H2780=0,ABS(J2780)&gt;=0.01),AND(H2780&lt;&gt;0,ABS(K2780)&gt;VarianceThreshold)),"Review","OK")</f>
        <v>0</v>
      </c>
      <c r="M2780" t="s">
        <v>33</v>
      </c>
    </row>
    <row r="2781" spans="1:13">
      <c r="A2781" t="s">
        <v>4</v>
      </c>
      <c r="B2781" t="s">
        <v>436</v>
      </c>
      <c r="C2781" t="s">
        <v>2565</v>
      </c>
      <c r="D2781" t="s">
        <v>1148</v>
      </c>
      <c r="E2781" cm="1">
        <f t="array" ref="E2781">_xlfn.XLOOKUP(D2781,SKU_Master!A:A,SKU_Master!B:B,"Not on master")</f>
        <v>0</v>
      </c>
      <c r="F2781" cm="1">
        <f t="array" ref="F2781">_xlfn.XLOOKUP(C2781,Account_Master!A:A,Account_Master!B:B,"Not on master")</f>
        <v>0</v>
      </c>
      <c r="G2781" cm="1">
        <f t="array" ref="G2781">_xlfn.XLOOKUP(C2781,Account_Master!A:A,Account_Master!C:C,"Not on master")</f>
        <v>0</v>
      </c>
      <c r="H2781" s="6">
        <v>9.75</v>
      </c>
      <c r="I2781" s="6">
        <v>9.75</v>
      </c>
      <c r="J2781" s="6">
        <f>I2781-H2781</f>
        <v>0</v>
      </c>
      <c r="K2781" s="5">
        <f>IF(H2781=0,"",J2781/H2781)</f>
        <v>0</v>
      </c>
      <c r="L2781">
        <f>IF(OR(AND(H2781=0,ABS(J2781)&gt;=0.01),AND(H2781&lt;&gt;0,ABS(K2781)&gt;VarianceThreshold)),"Review","OK")</f>
        <v>0</v>
      </c>
      <c r="M2781" t="s">
        <v>33</v>
      </c>
    </row>
    <row r="2782" spans="1:13">
      <c r="A2782" t="s">
        <v>4</v>
      </c>
      <c r="B2782" t="s">
        <v>436</v>
      </c>
      <c r="C2782" t="s">
        <v>2472</v>
      </c>
      <c r="D2782" t="s">
        <v>2566</v>
      </c>
      <c r="E2782" cm="1">
        <f t="array" ref="E2782">_xlfn.XLOOKUP(D2782,SKU_Master!A:A,SKU_Master!B:B,"Not on master")</f>
        <v>0</v>
      </c>
      <c r="F2782" cm="1">
        <f t="array" ref="F2782">_xlfn.XLOOKUP(C2782,Account_Master!A:A,Account_Master!B:B,"Not on master")</f>
        <v>0</v>
      </c>
      <c r="G2782" cm="1">
        <f t="array" ref="G2782">_xlfn.XLOOKUP(C2782,Account_Master!A:A,Account_Master!C:C,"Not on master")</f>
        <v>0</v>
      </c>
      <c r="H2782" s="6">
        <v>2</v>
      </c>
      <c r="I2782" s="6">
        <v>2</v>
      </c>
      <c r="J2782" s="6">
        <f>I2782-H2782</f>
        <v>0</v>
      </c>
      <c r="K2782" s="5">
        <f>IF(H2782=0,"",J2782/H2782)</f>
        <v>0</v>
      </c>
      <c r="L2782">
        <f>IF(OR(AND(H2782=0,ABS(J2782)&gt;=0.01),AND(H2782&lt;&gt;0,ABS(K2782)&gt;VarianceThreshold)),"Review","OK")</f>
        <v>0</v>
      </c>
      <c r="M2782" t="s">
        <v>33</v>
      </c>
    </row>
    <row r="2783" spans="1:13">
      <c r="A2783" t="s">
        <v>4</v>
      </c>
      <c r="B2783" t="s">
        <v>436</v>
      </c>
      <c r="C2783" t="s">
        <v>2453</v>
      </c>
      <c r="D2783" t="s">
        <v>2567</v>
      </c>
      <c r="E2783" cm="1">
        <f t="array" ref="E2783">_xlfn.XLOOKUP(D2783,SKU_Master!A:A,SKU_Master!B:B,"Not on master")</f>
        <v>0</v>
      </c>
      <c r="F2783" cm="1">
        <f t="array" ref="F2783">_xlfn.XLOOKUP(C2783,Account_Master!A:A,Account_Master!B:B,"Not on master")</f>
        <v>0</v>
      </c>
      <c r="G2783" cm="1">
        <f t="array" ref="G2783">_xlfn.XLOOKUP(C2783,Account_Master!A:A,Account_Master!C:C,"Not on master")</f>
        <v>0</v>
      </c>
      <c r="H2783" s="6">
        <v>25</v>
      </c>
      <c r="I2783" s="6">
        <v>25</v>
      </c>
      <c r="J2783" s="6">
        <f>I2783-H2783</f>
        <v>0</v>
      </c>
      <c r="K2783" s="5">
        <f>IF(H2783=0,"",J2783/H2783)</f>
        <v>0</v>
      </c>
      <c r="L2783">
        <f>IF(OR(AND(H2783=0,ABS(J2783)&gt;=0.01),AND(H2783&lt;&gt;0,ABS(K2783)&gt;VarianceThreshold)),"Review","OK")</f>
        <v>0</v>
      </c>
      <c r="M2783" t="s">
        <v>33</v>
      </c>
    </row>
    <row r="2784" spans="1:13">
      <c r="A2784" t="s">
        <v>4</v>
      </c>
      <c r="B2784" t="s">
        <v>436</v>
      </c>
      <c r="C2784" t="s">
        <v>2479</v>
      </c>
      <c r="D2784" t="s">
        <v>131</v>
      </c>
      <c r="E2784" cm="1">
        <f t="array" ref="E2784">_xlfn.XLOOKUP(D2784,SKU_Master!A:A,SKU_Master!B:B,"Not on master")</f>
        <v>0</v>
      </c>
      <c r="F2784" cm="1">
        <f t="array" ref="F2784">_xlfn.XLOOKUP(C2784,Account_Master!A:A,Account_Master!B:B,"Not on master")</f>
        <v>0</v>
      </c>
      <c r="G2784" cm="1">
        <f t="array" ref="G2784">_xlfn.XLOOKUP(C2784,Account_Master!A:A,Account_Master!C:C,"Not on master")</f>
        <v>0</v>
      </c>
      <c r="H2784" s="6">
        <v>9</v>
      </c>
      <c r="I2784" s="6">
        <v>9</v>
      </c>
      <c r="J2784" s="6">
        <f>I2784-H2784</f>
        <v>0</v>
      </c>
      <c r="K2784" s="5">
        <f>IF(H2784=0,"",J2784/H2784)</f>
        <v>0</v>
      </c>
      <c r="L2784">
        <f>IF(OR(AND(H2784=0,ABS(J2784)&gt;=0.01),AND(H2784&lt;&gt;0,ABS(K2784)&gt;VarianceThreshold)),"Review","OK")</f>
        <v>0</v>
      </c>
      <c r="M2784" t="s">
        <v>33</v>
      </c>
    </row>
    <row r="2785" spans="1:13">
      <c r="A2785" t="s">
        <v>4</v>
      </c>
      <c r="B2785" t="s">
        <v>436</v>
      </c>
      <c r="C2785" t="s">
        <v>2568</v>
      </c>
      <c r="D2785" t="s">
        <v>632</v>
      </c>
      <c r="E2785" cm="1">
        <f t="array" ref="E2785">_xlfn.XLOOKUP(D2785,SKU_Master!A:A,SKU_Master!B:B,"Not on master")</f>
        <v>0</v>
      </c>
      <c r="F2785" cm="1">
        <f t="array" ref="F2785">_xlfn.XLOOKUP(C2785,Account_Master!A:A,Account_Master!B:B,"Not on master")</f>
        <v>0</v>
      </c>
      <c r="G2785" cm="1">
        <f t="array" ref="G2785">_xlfn.XLOOKUP(C2785,Account_Master!A:A,Account_Master!C:C,"Not on master")</f>
        <v>0</v>
      </c>
      <c r="H2785" s="6">
        <v>183</v>
      </c>
      <c r="I2785" s="6">
        <v>183</v>
      </c>
      <c r="J2785" s="6">
        <f>I2785-H2785</f>
        <v>0</v>
      </c>
      <c r="K2785" s="5">
        <f>IF(H2785=0,"",J2785/H2785)</f>
        <v>0</v>
      </c>
      <c r="L2785">
        <f>IF(OR(AND(H2785=0,ABS(J2785)&gt;=0.01),AND(H2785&lt;&gt;0,ABS(K2785)&gt;VarianceThreshold)),"Review","OK")</f>
        <v>0</v>
      </c>
      <c r="M2785" t="s">
        <v>33</v>
      </c>
    </row>
    <row r="2786" spans="1:13">
      <c r="A2786" t="s">
        <v>4</v>
      </c>
      <c r="B2786" t="s">
        <v>447</v>
      </c>
      <c r="C2786" t="s">
        <v>2432</v>
      </c>
      <c r="D2786" t="s">
        <v>512</v>
      </c>
      <c r="E2786" cm="1">
        <f t="array" ref="E2786">_xlfn.XLOOKUP(D2786,SKU_Master!A:A,SKU_Master!B:B,"Not on master")</f>
        <v>0</v>
      </c>
      <c r="F2786" cm="1">
        <f t="array" ref="F2786">_xlfn.XLOOKUP(C2786,Account_Master!A:A,Account_Master!B:B,"Not on master")</f>
        <v>0</v>
      </c>
      <c r="G2786" cm="1">
        <f t="array" ref="G2786">_xlfn.XLOOKUP(C2786,Account_Master!A:A,Account_Master!C:C,"Not on master")</f>
        <v>0</v>
      </c>
      <c r="H2786" s="6">
        <v>1.05</v>
      </c>
      <c r="I2786" s="6">
        <v>1.05</v>
      </c>
      <c r="J2786" s="6">
        <f>I2786-H2786</f>
        <v>0</v>
      </c>
      <c r="K2786" s="5">
        <f>IF(H2786=0,"",J2786/H2786)</f>
        <v>0</v>
      </c>
      <c r="L2786">
        <f>IF(OR(AND(H2786=0,ABS(J2786)&gt;=0.01),AND(H2786&lt;&gt;0,ABS(K2786)&gt;VarianceThreshold)),"Review","OK")</f>
        <v>0</v>
      </c>
      <c r="M2786" t="s">
        <v>33</v>
      </c>
    </row>
    <row r="2787" spans="1:13">
      <c r="A2787" t="s">
        <v>4</v>
      </c>
      <c r="B2787" t="s">
        <v>447</v>
      </c>
      <c r="C2787" t="s">
        <v>2569</v>
      </c>
      <c r="D2787" t="s">
        <v>2570</v>
      </c>
      <c r="E2787" cm="1">
        <f t="array" ref="E2787">_xlfn.XLOOKUP(D2787,SKU_Master!A:A,SKU_Master!B:B,"Not on master")</f>
        <v>0</v>
      </c>
      <c r="F2787" cm="1">
        <f t="array" ref="F2787">_xlfn.XLOOKUP(C2787,Account_Master!A:A,Account_Master!B:B,"Not on master")</f>
        <v>0</v>
      </c>
      <c r="G2787" cm="1">
        <f t="array" ref="G2787">_xlfn.XLOOKUP(C2787,Account_Master!A:A,Account_Master!C:C,"Not on master")</f>
        <v>0</v>
      </c>
      <c r="H2787" s="6">
        <v>10.5</v>
      </c>
      <c r="I2787" s="6">
        <v>10.5</v>
      </c>
      <c r="J2787" s="6">
        <f>I2787-H2787</f>
        <v>0</v>
      </c>
      <c r="K2787" s="5">
        <f>IF(H2787=0,"",J2787/H2787)</f>
        <v>0</v>
      </c>
      <c r="L2787">
        <f>IF(OR(AND(H2787=0,ABS(J2787)&gt;=0.01),AND(H2787&lt;&gt;0,ABS(K2787)&gt;VarianceThreshold)),"Review","OK")</f>
        <v>0</v>
      </c>
      <c r="M2787" t="s">
        <v>33</v>
      </c>
    </row>
    <row r="2788" spans="1:13">
      <c r="A2788" t="s">
        <v>4</v>
      </c>
      <c r="B2788" t="s">
        <v>447</v>
      </c>
      <c r="C2788" t="s">
        <v>2490</v>
      </c>
      <c r="D2788" t="s">
        <v>698</v>
      </c>
      <c r="E2788" cm="1">
        <f t="array" ref="E2788">_xlfn.XLOOKUP(D2788,SKU_Master!A:A,SKU_Master!B:B,"Not on master")</f>
        <v>0</v>
      </c>
      <c r="F2788" cm="1">
        <f t="array" ref="F2788">_xlfn.XLOOKUP(C2788,Account_Master!A:A,Account_Master!B:B,"Not on master")</f>
        <v>0</v>
      </c>
      <c r="G2788" cm="1">
        <f t="array" ref="G2788">_xlfn.XLOOKUP(C2788,Account_Master!A:A,Account_Master!C:C,"Not on master")</f>
        <v>0</v>
      </c>
      <c r="H2788" s="6">
        <v>3</v>
      </c>
      <c r="I2788" s="6">
        <v>3</v>
      </c>
      <c r="J2788" s="6">
        <f>I2788-H2788</f>
        <v>0</v>
      </c>
      <c r="K2788" s="5">
        <f>IF(H2788=0,"",J2788/H2788)</f>
        <v>0</v>
      </c>
      <c r="L2788">
        <f>IF(OR(AND(H2788=0,ABS(J2788)&gt;=0.01),AND(H2788&lt;&gt;0,ABS(K2788)&gt;VarianceThreshold)),"Review","OK")</f>
        <v>0</v>
      </c>
      <c r="M2788" t="s">
        <v>33</v>
      </c>
    </row>
    <row r="2789" spans="1:13">
      <c r="A2789" t="s">
        <v>4</v>
      </c>
      <c r="B2789" t="s">
        <v>447</v>
      </c>
      <c r="C2789" t="s">
        <v>2561</v>
      </c>
      <c r="D2789" t="s">
        <v>834</v>
      </c>
      <c r="E2789" cm="1">
        <f t="array" ref="E2789">_xlfn.XLOOKUP(D2789,SKU_Master!A:A,SKU_Master!B:B,"Not on master")</f>
        <v>0</v>
      </c>
      <c r="F2789" cm="1">
        <f t="array" ref="F2789">_xlfn.XLOOKUP(C2789,Account_Master!A:A,Account_Master!B:B,"Not on master")</f>
        <v>0</v>
      </c>
      <c r="G2789" cm="1">
        <f t="array" ref="G2789">_xlfn.XLOOKUP(C2789,Account_Master!A:A,Account_Master!C:C,"Not on master")</f>
        <v>0</v>
      </c>
      <c r="H2789" s="6">
        <v>4.5</v>
      </c>
      <c r="I2789" s="6">
        <v>4.5</v>
      </c>
      <c r="J2789" s="6">
        <f>I2789-H2789</f>
        <v>0</v>
      </c>
      <c r="K2789" s="5">
        <f>IF(H2789=0,"",J2789/H2789)</f>
        <v>0</v>
      </c>
      <c r="L2789">
        <f>IF(OR(AND(H2789=0,ABS(J2789)&gt;=0.01),AND(H2789&lt;&gt;0,ABS(K2789)&gt;VarianceThreshold)),"Review","OK")</f>
        <v>0</v>
      </c>
      <c r="M2789" t="s">
        <v>33</v>
      </c>
    </row>
    <row r="2790" spans="1:13">
      <c r="A2790" t="s">
        <v>4</v>
      </c>
      <c r="B2790" t="s">
        <v>1278</v>
      </c>
      <c r="C2790" t="s">
        <v>2435</v>
      </c>
      <c r="D2790" t="s">
        <v>2571</v>
      </c>
      <c r="E2790" cm="1">
        <f t="array" ref="E2790">_xlfn.XLOOKUP(D2790,SKU_Master!A:A,SKU_Master!B:B,"Not on master")</f>
        <v>0</v>
      </c>
      <c r="F2790" cm="1">
        <f t="array" ref="F2790">_xlfn.XLOOKUP(C2790,Account_Master!A:A,Account_Master!B:B,"Not on master")</f>
        <v>0</v>
      </c>
      <c r="G2790" cm="1">
        <f t="array" ref="G2790">_xlfn.XLOOKUP(C2790,Account_Master!A:A,Account_Master!C:C,"Not on master")</f>
        <v>0</v>
      </c>
      <c r="H2790" s="6">
        <v>-1.5</v>
      </c>
      <c r="I2790" s="6">
        <v>0</v>
      </c>
      <c r="J2790" s="6">
        <f>I2790-H2790</f>
        <v>0</v>
      </c>
      <c r="K2790" s="5">
        <f>IF(H2790=0,"",J2790/H2790)</f>
        <v>0</v>
      </c>
      <c r="L2790">
        <f>IF(OR(AND(H2790=0,ABS(J2790)&gt;=0.01),AND(H2790&lt;&gt;0,ABS(K2790)&gt;VarianceThreshold)),"Review","OK")</f>
        <v>0</v>
      </c>
      <c r="M2790" t="s">
        <v>471</v>
      </c>
    </row>
    <row r="2791" spans="1:13">
      <c r="A2791" t="s">
        <v>4</v>
      </c>
      <c r="B2791" t="s">
        <v>1278</v>
      </c>
      <c r="C2791" t="s">
        <v>2572</v>
      </c>
      <c r="D2791" t="s">
        <v>1344</v>
      </c>
      <c r="E2791" cm="1">
        <f t="array" ref="E2791">_xlfn.XLOOKUP(D2791,SKU_Master!A:A,SKU_Master!B:B,"Not on master")</f>
        <v>0</v>
      </c>
      <c r="F2791" cm="1">
        <f t="array" ref="F2791">_xlfn.XLOOKUP(C2791,Account_Master!A:A,Account_Master!B:B,"Not on master")</f>
        <v>0</v>
      </c>
      <c r="G2791" cm="1">
        <f t="array" ref="G2791">_xlfn.XLOOKUP(C2791,Account_Master!A:A,Account_Master!C:C,"Not on master")</f>
        <v>0</v>
      </c>
      <c r="H2791" s="6">
        <v>117.25</v>
      </c>
      <c r="I2791" s="6">
        <v>117.25</v>
      </c>
      <c r="J2791" s="6">
        <f>I2791-H2791</f>
        <v>0</v>
      </c>
      <c r="K2791" s="5">
        <f>IF(H2791=0,"",J2791/H2791)</f>
        <v>0</v>
      </c>
      <c r="L2791">
        <f>IF(OR(AND(H2791=0,ABS(J2791)&gt;=0.01),AND(H2791&lt;&gt;0,ABS(K2791)&gt;VarianceThreshold)),"Review","OK")</f>
        <v>0</v>
      </c>
      <c r="M2791" t="s">
        <v>33</v>
      </c>
    </row>
    <row r="2792" spans="1:13">
      <c r="A2792" t="s">
        <v>4</v>
      </c>
      <c r="B2792" t="s">
        <v>1278</v>
      </c>
      <c r="C2792" t="s">
        <v>2416</v>
      </c>
      <c r="D2792" t="s">
        <v>361</v>
      </c>
      <c r="E2792" cm="1">
        <f t="array" ref="E2792">_xlfn.XLOOKUP(D2792,SKU_Master!A:A,SKU_Master!B:B,"Not on master")</f>
        <v>0</v>
      </c>
      <c r="F2792" cm="1">
        <f t="array" ref="F2792">_xlfn.XLOOKUP(C2792,Account_Master!A:A,Account_Master!B:B,"Not on master")</f>
        <v>0</v>
      </c>
      <c r="G2792" cm="1">
        <f t="array" ref="G2792">_xlfn.XLOOKUP(C2792,Account_Master!A:A,Account_Master!C:C,"Not on master")</f>
        <v>0</v>
      </c>
      <c r="H2792" s="6">
        <v>1.5</v>
      </c>
      <c r="I2792" s="6">
        <v>1.5</v>
      </c>
      <c r="J2792" s="6">
        <f>I2792-H2792</f>
        <v>0</v>
      </c>
      <c r="K2792" s="5">
        <f>IF(H2792=0,"",J2792/H2792)</f>
        <v>0</v>
      </c>
      <c r="L2792">
        <f>IF(OR(AND(H2792=0,ABS(J2792)&gt;=0.01),AND(H2792&lt;&gt;0,ABS(K2792)&gt;VarianceThreshold)),"Review","OK")</f>
        <v>0</v>
      </c>
      <c r="M2792" t="s">
        <v>33</v>
      </c>
    </row>
    <row r="2793" spans="1:13">
      <c r="A2793" t="s">
        <v>4</v>
      </c>
      <c r="B2793" t="s">
        <v>1278</v>
      </c>
      <c r="C2793" t="s">
        <v>2410</v>
      </c>
      <c r="D2793" t="s">
        <v>606</v>
      </c>
      <c r="E2793" cm="1">
        <f t="array" ref="E2793">_xlfn.XLOOKUP(D2793,SKU_Master!A:A,SKU_Master!B:B,"Not on master")</f>
        <v>0</v>
      </c>
      <c r="F2793" cm="1">
        <f t="array" ref="F2793">_xlfn.XLOOKUP(C2793,Account_Master!A:A,Account_Master!B:B,"Not on master")</f>
        <v>0</v>
      </c>
      <c r="G2793" cm="1">
        <f t="array" ref="G2793">_xlfn.XLOOKUP(C2793,Account_Master!A:A,Account_Master!C:C,"Not on master")</f>
        <v>0</v>
      </c>
      <c r="H2793" s="6">
        <v>6</v>
      </c>
      <c r="I2793" s="6">
        <v>6</v>
      </c>
      <c r="J2793" s="6">
        <f>I2793-H2793</f>
        <v>0</v>
      </c>
      <c r="K2793" s="5">
        <f>IF(H2793=0,"",J2793/H2793)</f>
        <v>0</v>
      </c>
      <c r="L2793">
        <f>IF(OR(AND(H2793=0,ABS(J2793)&gt;=0.01),AND(H2793&lt;&gt;0,ABS(K2793)&gt;VarianceThreshold)),"Review","OK")</f>
        <v>0</v>
      </c>
      <c r="M2793" t="s">
        <v>33</v>
      </c>
    </row>
    <row r="2794" spans="1:13">
      <c r="A2794" t="s">
        <v>4</v>
      </c>
      <c r="B2794" t="s">
        <v>451</v>
      </c>
      <c r="C2794" t="s">
        <v>2443</v>
      </c>
      <c r="D2794" t="s">
        <v>995</v>
      </c>
      <c r="E2794" cm="1">
        <f t="array" ref="E2794">_xlfn.XLOOKUP(D2794,SKU_Master!A:A,SKU_Master!B:B,"Not on master")</f>
        <v>0</v>
      </c>
      <c r="F2794" cm="1">
        <f t="array" ref="F2794">_xlfn.XLOOKUP(C2794,Account_Master!A:A,Account_Master!B:B,"Not on master")</f>
        <v>0</v>
      </c>
      <c r="G2794" cm="1">
        <f t="array" ref="G2794">_xlfn.XLOOKUP(C2794,Account_Master!A:A,Account_Master!C:C,"Not on master")</f>
        <v>0</v>
      </c>
      <c r="H2794" s="6">
        <v>12</v>
      </c>
      <c r="I2794" s="6">
        <v>12</v>
      </c>
      <c r="J2794" s="6">
        <f>I2794-H2794</f>
        <v>0</v>
      </c>
      <c r="K2794" s="5">
        <f>IF(H2794=0,"",J2794/H2794)</f>
        <v>0</v>
      </c>
      <c r="L2794">
        <f>IF(OR(AND(H2794=0,ABS(J2794)&gt;=0.01),AND(H2794&lt;&gt;0,ABS(K2794)&gt;VarianceThreshold)),"Review","OK")</f>
        <v>0</v>
      </c>
      <c r="M2794" t="s">
        <v>33</v>
      </c>
    </row>
    <row r="2795" spans="1:13">
      <c r="A2795" t="s">
        <v>4</v>
      </c>
      <c r="B2795" t="s">
        <v>451</v>
      </c>
      <c r="C2795" t="s">
        <v>2410</v>
      </c>
      <c r="D2795" t="s">
        <v>2573</v>
      </c>
      <c r="E2795" cm="1">
        <f t="array" ref="E2795">_xlfn.XLOOKUP(D2795,SKU_Master!A:A,SKU_Master!B:B,"Not on master")</f>
        <v>0</v>
      </c>
      <c r="F2795" cm="1">
        <f t="array" ref="F2795">_xlfn.XLOOKUP(C2795,Account_Master!A:A,Account_Master!B:B,"Not on master")</f>
        <v>0</v>
      </c>
      <c r="G2795" cm="1">
        <f t="array" ref="G2795">_xlfn.XLOOKUP(C2795,Account_Master!A:A,Account_Master!C:C,"Not on master")</f>
        <v>0</v>
      </c>
      <c r="H2795" s="6">
        <v>0.4</v>
      </c>
      <c r="I2795" s="6">
        <v>0.4</v>
      </c>
      <c r="J2795" s="6">
        <f>I2795-H2795</f>
        <v>0</v>
      </c>
      <c r="K2795" s="5">
        <f>IF(H2795=0,"",J2795/H2795)</f>
        <v>0</v>
      </c>
      <c r="L2795">
        <f>IF(OR(AND(H2795=0,ABS(J2795)&gt;=0.01),AND(H2795&lt;&gt;0,ABS(K2795)&gt;VarianceThreshold)),"Review","OK")</f>
        <v>0</v>
      </c>
      <c r="M2795" t="s">
        <v>33</v>
      </c>
    </row>
    <row r="2796" spans="1:13">
      <c r="A2796" t="s">
        <v>4</v>
      </c>
      <c r="B2796" t="s">
        <v>451</v>
      </c>
      <c r="C2796" t="s">
        <v>2498</v>
      </c>
      <c r="D2796" t="s">
        <v>81</v>
      </c>
      <c r="E2796" cm="1">
        <f t="array" ref="E2796">_xlfn.XLOOKUP(D2796,SKU_Master!A:A,SKU_Master!B:B,"Not on master")</f>
        <v>0</v>
      </c>
      <c r="F2796" cm="1">
        <f t="array" ref="F2796">_xlfn.XLOOKUP(C2796,Account_Master!A:A,Account_Master!B:B,"Not on master")</f>
        <v>0</v>
      </c>
      <c r="G2796" cm="1">
        <f t="array" ref="G2796">_xlfn.XLOOKUP(C2796,Account_Master!A:A,Account_Master!C:C,"Not on master")</f>
        <v>0</v>
      </c>
      <c r="H2796" s="6">
        <v>31.5</v>
      </c>
      <c r="I2796" s="6">
        <v>31.5</v>
      </c>
      <c r="J2796" s="6">
        <f>I2796-H2796</f>
        <v>0</v>
      </c>
      <c r="K2796" s="5">
        <f>IF(H2796=0,"",J2796/H2796)</f>
        <v>0</v>
      </c>
      <c r="L2796">
        <f>IF(OR(AND(H2796=0,ABS(J2796)&gt;=0.01),AND(H2796&lt;&gt;0,ABS(K2796)&gt;VarianceThreshold)),"Review","OK")</f>
        <v>0</v>
      </c>
      <c r="M2796" t="s">
        <v>33</v>
      </c>
    </row>
    <row r="2797" spans="1:13">
      <c r="A2797" t="s">
        <v>4</v>
      </c>
      <c r="B2797" t="s">
        <v>451</v>
      </c>
      <c r="C2797" t="s">
        <v>2574</v>
      </c>
      <c r="D2797" t="s">
        <v>1942</v>
      </c>
      <c r="E2797" cm="1">
        <f t="array" ref="E2797">_xlfn.XLOOKUP(D2797,SKU_Master!A:A,SKU_Master!B:B,"Not on master")</f>
        <v>0</v>
      </c>
      <c r="F2797" cm="1">
        <f t="array" ref="F2797">_xlfn.XLOOKUP(C2797,Account_Master!A:A,Account_Master!B:B,"Not on master")</f>
        <v>0</v>
      </c>
      <c r="G2797" cm="1">
        <f t="array" ref="G2797">_xlfn.XLOOKUP(C2797,Account_Master!A:A,Account_Master!C:C,"Not on master")</f>
        <v>0</v>
      </c>
      <c r="H2797" s="6">
        <v>5.25</v>
      </c>
      <c r="I2797" s="6">
        <v>5.25</v>
      </c>
      <c r="J2797" s="6">
        <f>I2797-H2797</f>
        <v>0</v>
      </c>
      <c r="K2797" s="5">
        <f>IF(H2797=0,"",J2797/H2797)</f>
        <v>0</v>
      </c>
      <c r="L2797">
        <f>IF(OR(AND(H2797=0,ABS(J2797)&gt;=0.01),AND(H2797&lt;&gt;0,ABS(K2797)&gt;VarianceThreshold)),"Review","OK")</f>
        <v>0</v>
      </c>
      <c r="M2797" t="s">
        <v>33</v>
      </c>
    </row>
    <row r="2798" spans="1:13">
      <c r="A2798" t="s">
        <v>4</v>
      </c>
      <c r="B2798" t="s">
        <v>464</v>
      </c>
      <c r="C2798" t="s">
        <v>2575</v>
      </c>
      <c r="D2798" t="s">
        <v>938</v>
      </c>
      <c r="E2798" cm="1">
        <f t="array" ref="E2798">_xlfn.XLOOKUP(D2798,SKU_Master!A:A,SKU_Master!B:B,"Not on master")</f>
        <v>0</v>
      </c>
      <c r="F2798" cm="1">
        <f t="array" ref="F2798">_xlfn.XLOOKUP(C2798,Account_Master!A:A,Account_Master!B:B,"Not on master")</f>
        <v>0</v>
      </c>
      <c r="G2798" cm="1">
        <f t="array" ref="G2798">_xlfn.XLOOKUP(C2798,Account_Master!A:A,Account_Master!C:C,"Not on master")</f>
        <v>0</v>
      </c>
      <c r="H2798" s="6">
        <v>28.5</v>
      </c>
      <c r="I2798" s="6">
        <v>28.5</v>
      </c>
      <c r="J2798" s="6">
        <f>I2798-H2798</f>
        <v>0</v>
      </c>
      <c r="K2798" s="5">
        <f>IF(H2798=0,"",J2798/H2798)</f>
        <v>0</v>
      </c>
      <c r="L2798">
        <f>IF(OR(AND(H2798=0,ABS(J2798)&gt;=0.01),AND(H2798&lt;&gt;0,ABS(K2798)&gt;VarianceThreshold)),"Review","OK")</f>
        <v>0</v>
      </c>
      <c r="M2798" t="s">
        <v>33</v>
      </c>
    </row>
    <row r="2799" spans="1:13">
      <c r="A2799" t="s">
        <v>4</v>
      </c>
      <c r="B2799" t="s">
        <v>464</v>
      </c>
      <c r="C2799" t="s">
        <v>2568</v>
      </c>
      <c r="D2799" t="s">
        <v>1546</v>
      </c>
      <c r="E2799" cm="1">
        <f t="array" ref="E2799">_xlfn.XLOOKUP(D2799,SKU_Master!A:A,SKU_Master!B:B,"Not on master")</f>
        <v>0</v>
      </c>
      <c r="F2799" cm="1">
        <f t="array" ref="F2799">_xlfn.XLOOKUP(C2799,Account_Master!A:A,Account_Master!B:B,"Not on master")</f>
        <v>0</v>
      </c>
      <c r="G2799" cm="1">
        <f t="array" ref="G2799">_xlfn.XLOOKUP(C2799,Account_Master!A:A,Account_Master!C:C,"Not on master")</f>
        <v>0</v>
      </c>
      <c r="H2799" s="6">
        <v>34.8</v>
      </c>
      <c r="I2799" s="6">
        <v>34.8</v>
      </c>
      <c r="J2799" s="6">
        <f>I2799-H2799</f>
        <v>0</v>
      </c>
      <c r="K2799" s="5">
        <f>IF(H2799=0,"",J2799/H2799)</f>
        <v>0</v>
      </c>
      <c r="L2799">
        <f>IF(OR(AND(H2799=0,ABS(J2799)&gt;=0.01),AND(H2799&lt;&gt;0,ABS(K2799)&gt;VarianceThreshold)),"Review","OK")</f>
        <v>0</v>
      </c>
      <c r="M2799" t="s">
        <v>33</v>
      </c>
    </row>
    <row r="2800" spans="1:13">
      <c r="A2800" t="s">
        <v>4</v>
      </c>
      <c r="B2800" t="s">
        <v>464</v>
      </c>
      <c r="C2800" t="s">
        <v>2474</v>
      </c>
      <c r="D2800" t="s">
        <v>2576</v>
      </c>
      <c r="E2800" cm="1">
        <f t="array" ref="E2800">_xlfn.XLOOKUP(D2800,SKU_Master!A:A,SKU_Master!B:B,"Not on master")</f>
        <v>0</v>
      </c>
      <c r="F2800" cm="1">
        <f t="array" ref="F2800">_xlfn.XLOOKUP(C2800,Account_Master!A:A,Account_Master!B:B,"Not on master")</f>
        <v>0</v>
      </c>
      <c r="G2800" cm="1">
        <f t="array" ref="G2800">_xlfn.XLOOKUP(C2800,Account_Master!A:A,Account_Master!C:C,"Not on master")</f>
        <v>0</v>
      </c>
      <c r="H2800" s="6">
        <v>1.5</v>
      </c>
      <c r="I2800" s="6">
        <v>1.5</v>
      </c>
      <c r="J2800" s="6">
        <f>I2800-H2800</f>
        <v>0</v>
      </c>
      <c r="K2800" s="5">
        <f>IF(H2800=0,"",J2800/H2800)</f>
        <v>0</v>
      </c>
      <c r="L2800">
        <f>IF(OR(AND(H2800=0,ABS(J2800)&gt;=0.01),AND(H2800&lt;&gt;0,ABS(K2800)&gt;VarianceThreshold)),"Review","OK")</f>
        <v>0</v>
      </c>
      <c r="M2800" t="s">
        <v>33</v>
      </c>
    </row>
    <row r="2801" spans="1:13">
      <c r="A2801" t="s">
        <v>4</v>
      </c>
      <c r="B2801" t="s">
        <v>464</v>
      </c>
      <c r="C2801" t="s">
        <v>2577</v>
      </c>
      <c r="D2801" t="s">
        <v>2578</v>
      </c>
      <c r="E2801" cm="1">
        <f t="array" ref="E2801">_xlfn.XLOOKUP(D2801,SKU_Master!A:A,SKU_Master!B:B,"Not on master")</f>
        <v>0</v>
      </c>
      <c r="F2801" cm="1">
        <f t="array" ref="F2801">_xlfn.XLOOKUP(C2801,Account_Master!A:A,Account_Master!B:B,"Not on master")</f>
        <v>0</v>
      </c>
      <c r="G2801" cm="1">
        <f t="array" ref="G2801">_xlfn.XLOOKUP(C2801,Account_Master!A:A,Account_Master!C:C,"Not on master")</f>
        <v>0</v>
      </c>
      <c r="H2801" s="6">
        <v>6</v>
      </c>
      <c r="I2801" s="6">
        <v>6</v>
      </c>
      <c r="J2801" s="6">
        <f>I2801-H2801</f>
        <v>0</v>
      </c>
      <c r="K2801" s="5">
        <f>IF(H2801=0,"",J2801/H2801)</f>
        <v>0</v>
      </c>
      <c r="L2801">
        <f>IF(OR(AND(H2801=0,ABS(J2801)&gt;=0.01),AND(H2801&lt;&gt;0,ABS(K2801)&gt;VarianceThreshold)),"Review","OK")</f>
        <v>0</v>
      </c>
      <c r="M2801" t="s">
        <v>33</v>
      </c>
    </row>
    <row r="2802" spans="1:13">
      <c r="A2802" t="s">
        <v>4</v>
      </c>
      <c r="B2802" t="s">
        <v>478</v>
      </c>
      <c r="C2802" t="s">
        <v>2498</v>
      </c>
      <c r="D2802" t="s">
        <v>2351</v>
      </c>
      <c r="E2802" cm="1">
        <f t="array" ref="E2802">_xlfn.XLOOKUP(D2802,SKU_Master!A:A,SKU_Master!B:B,"Not on master")</f>
        <v>0</v>
      </c>
      <c r="F2802" cm="1">
        <f t="array" ref="F2802">_xlfn.XLOOKUP(C2802,Account_Master!A:A,Account_Master!B:B,"Not on master")</f>
        <v>0</v>
      </c>
      <c r="G2802" cm="1">
        <f t="array" ref="G2802">_xlfn.XLOOKUP(C2802,Account_Master!A:A,Account_Master!C:C,"Not on master")</f>
        <v>0</v>
      </c>
      <c r="H2802" s="6">
        <v>4.5</v>
      </c>
      <c r="I2802" s="6">
        <v>4.5</v>
      </c>
      <c r="J2802" s="6">
        <f>I2802-H2802</f>
        <v>0</v>
      </c>
      <c r="K2802" s="5">
        <f>IF(H2802=0,"",J2802/H2802)</f>
        <v>0</v>
      </c>
      <c r="L2802">
        <f>IF(OR(AND(H2802=0,ABS(J2802)&gt;=0.01),AND(H2802&lt;&gt;0,ABS(K2802)&gt;VarianceThreshold)),"Review","OK")</f>
        <v>0</v>
      </c>
      <c r="M2802" t="s">
        <v>33</v>
      </c>
    </row>
    <row r="2803" spans="1:13">
      <c r="A2803" t="s">
        <v>4</v>
      </c>
      <c r="B2803" t="s">
        <v>478</v>
      </c>
      <c r="C2803" t="s">
        <v>2579</v>
      </c>
      <c r="D2803" t="s">
        <v>2103</v>
      </c>
      <c r="E2803" cm="1">
        <f t="array" ref="E2803">_xlfn.XLOOKUP(D2803,SKU_Master!A:A,SKU_Master!B:B,"Not on master")</f>
        <v>0</v>
      </c>
      <c r="F2803" cm="1">
        <f t="array" ref="F2803">_xlfn.XLOOKUP(C2803,Account_Master!A:A,Account_Master!B:B,"Not on master")</f>
        <v>0</v>
      </c>
      <c r="G2803" cm="1">
        <f t="array" ref="G2803">_xlfn.XLOOKUP(C2803,Account_Master!A:A,Account_Master!C:C,"Not on master")</f>
        <v>0</v>
      </c>
      <c r="H2803" s="6">
        <v>35.98</v>
      </c>
      <c r="I2803" s="6">
        <v>35.98</v>
      </c>
      <c r="J2803" s="6">
        <f>I2803-H2803</f>
        <v>0</v>
      </c>
      <c r="K2803" s="5">
        <f>IF(H2803=0,"",J2803/H2803)</f>
        <v>0</v>
      </c>
      <c r="L2803">
        <f>IF(OR(AND(H2803=0,ABS(J2803)&gt;=0.01),AND(H2803&lt;&gt;0,ABS(K2803)&gt;VarianceThreshold)),"Review","OK")</f>
        <v>0</v>
      </c>
      <c r="M2803" t="s">
        <v>33</v>
      </c>
    </row>
    <row r="2804" spans="1:13">
      <c r="A2804" t="s">
        <v>4</v>
      </c>
      <c r="B2804" t="s">
        <v>478</v>
      </c>
      <c r="C2804" t="s">
        <v>2416</v>
      </c>
      <c r="D2804" t="s">
        <v>2580</v>
      </c>
      <c r="E2804" cm="1">
        <f t="array" ref="E2804">_xlfn.XLOOKUP(D2804,SKU_Master!A:A,SKU_Master!B:B,"Not on master")</f>
        <v>0</v>
      </c>
      <c r="F2804" cm="1">
        <f t="array" ref="F2804">_xlfn.XLOOKUP(C2804,Account_Master!A:A,Account_Master!B:B,"Not on master")</f>
        <v>0</v>
      </c>
      <c r="G2804" cm="1">
        <f t="array" ref="G2804">_xlfn.XLOOKUP(C2804,Account_Master!A:A,Account_Master!C:C,"Not on master")</f>
        <v>0</v>
      </c>
      <c r="H2804" s="6">
        <v>0.05</v>
      </c>
      <c r="I2804" s="6">
        <v>0.05</v>
      </c>
      <c r="J2804" s="6">
        <f>I2804-H2804</f>
        <v>0</v>
      </c>
      <c r="K2804" s="5">
        <f>IF(H2804=0,"",J2804/H2804)</f>
        <v>0</v>
      </c>
      <c r="L2804">
        <f>IF(OR(AND(H2804=0,ABS(J2804)&gt;=0.01),AND(H2804&lt;&gt;0,ABS(K2804)&gt;VarianceThreshold)),"Review","OK")</f>
        <v>0</v>
      </c>
      <c r="M2804" t="s">
        <v>33</v>
      </c>
    </row>
    <row r="2805" spans="1:13">
      <c r="A2805" t="s">
        <v>4</v>
      </c>
      <c r="B2805" t="s">
        <v>478</v>
      </c>
      <c r="C2805" t="s">
        <v>2581</v>
      </c>
      <c r="D2805" t="s">
        <v>2582</v>
      </c>
      <c r="E2805" cm="1">
        <f t="array" ref="E2805">_xlfn.XLOOKUP(D2805,SKU_Master!A:A,SKU_Master!B:B,"Not on master")</f>
        <v>0</v>
      </c>
      <c r="F2805" cm="1">
        <f t="array" ref="F2805">_xlfn.XLOOKUP(C2805,Account_Master!A:A,Account_Master!B:B,"Not on master")</f>
        <v>0</v>
      </c>
      <c r="G2805" cm="1">
        <f t="array" ref="G2805">_xlfn.XLOOKUP(C2805,Account_Master!A:A,Account_Master!C:C,"Not on master")</f>
        <v>0</v>
      </c>
      <c r="H2805" s="6">
        <v>2.25</v>
      </c>
      <c r="I2805" s="6">
        <v>2.25</v>
      </c>
      <c r="J2805" s="6">
        <f>I2805-H2805</f>
        <v>0</v>
      </c>
      <c r="K2805" s="5">
        <f>IF(H2805=0,"",J2805/H2805)</f>
        <v>0</v>
      </c>
      <c r="L2805">
        <f>IF(OR(AND(H2805=0,ABS(J2805)&gt;=0.01),AND(H2805&lt;&gt;0,ABS(K2805)&gt;VarianceThreshold)),"Review","OK")</f>
        <v>0</v>
      </c>
      <c r="M2805" t="s">
        <v>33</v>
      </c>
    </row>
    <row r="2806" spans="1:13">
      <c r="A2806" t="s">
        <v>4</v>
      </c>
      <c r="B2806" t="s">
        <v>492</v>
      </c>
      <c r="C2806" t="s">
        <v>2410</v>
      </c>
      <c r="D2806" t="s">
        <v>2583</v>
      </c>
      <c r="E2806" cm="1">
        <f t="array" ref="E2806">_xlfn.XLOOKUP(D2806,SKU_Master!A:A,SKU_Master!B:B,"Not on master")</f>
        <v>0</v>
      </c>
      <c r="F2806" cm="1">
        <f t="array" ref="F2806">_xlfn.XLOOKUP(C2806,Account_Master!A:A,Account_Master!B:B,"Not on master")</f>
        <v>0</v>
      </c>
      <c r="G2806" cm="1">
        <f t="array" ref="G2806">_xlfn.XLOOKUP(C2806,Account_Master!A:A,Account_Master!C:C,"Not on master")</f>
        <v>0</v>
      </c>
      <c r="H2806" s="6">
        <v>2</v>
      </c>
      <c r="I2806" s="6">
        <v>2</v>
      </c>
      <c r="J2806" s="6">
        <f>I2806-H2806</f>
        <v>0</v>
      </c>
      <c r="K2806" s="5">
        <f>IF(H2806=0,"",J2806/H2806)</f>
        <v>0</v>
      </c>
      <c r="L2806">
        <f>IF(OR(AND(H2806=0,ABS(J2806)&gt;=0.01),AND(H2806&lt;&gt;0,ABS(K2806)&gt;VarianceThreshold)),"Review","OK")</f>
        <v>0</v>
      </c>
      <c r="M2806" t="s">
        <v>33</v>
      </c>
    </row>
    <row r="2807" spans="1:13">
      <c r="A2807" t="s">
        <v>4</v>
      </c>
      <c r="B2807" t="s">
        <v>492</v>
      </c>
      <c r="C2807" t="s">
        <v>2432</v>
      </c>
      <c r="D2807" t="s">
        <v>2584</v>
      </c>
      <c r="E2807" cm="1">
        <f t="array" ref="E2807">_xlfn.XLOOKUP(D2807,SKU_Master!A:A,SKU_Master!B:B,"Not on master")</f>
        <v>0</v>
      </c>
      <c r="F2807" cm="1">
        <f t="array" ref="F2807">_xlfn.XLOOKUP(C2807,Account_Master!A:A,Account_Master!B:B,"Not on master")</f>
        <v>0</v>
      </c>
      <c r="G2807" cm="1">
        <f t="array" ref="G2807">_xlfn.XLOOKUP(C2807,Account_Master!A:A,Account_Master!C:C,"Not on master")</f>
        <v>0</v>
      </c>
      <c r="H2807" s="6">
        <v>42</v>
      </c>
      <c r="I2807" s="6">
        <v>42</v>
      </c>
      <c r="J2807" s="6">
        <f>I2807-H2807</f>
        <v>0</v>
      </c>
      <c r="K2807" s="5">
        <f>IF(H2807=0,"",J2807/H2807)</f>
        <v>0</v>
      </c>
      <c r="L2807">
        <f>IF(OR(AND(H2807=0,ABS(J2807)&gt;=0.01),AND(H2807&lt;&gt;0,ABS(K2807)&gt;VarianceThreshold)),"Review","OK")</f>
        <v>0</v>
      </c>
      <c r="M2807" t="s">
        <v>33</v>
      </c>
    </row>
    <row r="2808" spans="1:13">
      <c r="A2808" t="s">
        <v>4</v>
      </c>
      <c r="B2808" t="s">
        <v>492</v>
      </c>
      <c r="C2808" t="s">
        <v>2416</v>
      </c>
      <c r="D2808" t="s">
        <v>1180</v>
      </c>
      <c r="E2808" cm="1">
        <f t="array" ref="E2808">_xlfn.XLOOKUP(D2808,SKU_Master!A:A,SKU_Master!B:B,"Not on master")</f>
        <v>0</v>
      </c>
      <c r="F2808" cm="1">
        <f t="array" ref="F2808">_xlfn.XLOOKUP(C2808,Account_Master!A:A,Account_Master!B:B,"Not on master")</f>
        <v>0</v>
      </c>
      <c r="G2808" cm="1">
        <f t="array" ref="G2808">_xlfn.XLOOKUP(C2808,Account_Master!A:A,Account_Master!C:C,"Not on master")</f>
        <v>0</v>
      </c>
      <c r="H2808" s="6">
        <v>3</v>
      </c>
      <c r="I2808" s="6">
        <v>3</v>
      </c>
      <c r="J2808" s="6">
        <f>I2808-H2808</f>
        <v>0</v>
      </c>
      <c r="K2808" s="5">
        <f>IF(H2808=0,"",J2808/H2808)</f>
        <v>0</v>
      </c>
      <c r="L2808">
        <f>IF(OR(AND(H2808=0,ABS(J2808)&gt;=0.01),AND(H2808&lt;&gt;0,ABS(K2808)&gt;VarianceThreshold)),"Review","OK")</f>
        <v>0</v>
      </c>
      <c r="M2808" t="s">
        <v>33</v>
      </c>
    </row>
    <row r="2809" spans="1:13">
      <c r="A2809" t="s">
        <v>4</v>
      </c>
      <c r="B2809" t="s">
        <v>492</v>
      </c>
      <c r="C2809" t="s">
        <v>2453</v>
      </c>
      <c r="D2809" t="s">
        <v>1856</v>
      </c>
      <c r="E2809" cm="1">
        <f t="array" ref="E2809">_xlfn.XLOOKUP(D2809,SKU_Master!A:A,SKU_Master!B:B,"Not on master")</f>
        <v>0</v>
      </c>
      <c r="F2809" cm="1">
        <f t="array" ref="F2809">_xlfn.XLOOKUP(C2809,Account_Master!A:A,Account_Master!B:B,"Not on master")</f>
        <v>0</v>
      </c>
      <c r="G2809" cm="1">
        <f t="array" ref="G2809">_xlfn.XLOOKUP(C2809,Account_Master!A:A,Account_Master!C:C,"Not on master")</f>
        <v>0</v>
      </c>
      <c r="H2809" s="6">
        <v>189.75</v>
      </c>
      <c r="I2809" s="6">
        <v>189.75</v>
      </c>
      <c r="J2809" s="6">
        <f>I2809-H2809</f>
        <v>0</v>
      </c>
      <c r="K2809" s="5">
        <f>IF(H2809=0,"",J2809/H2809)</f>
        <v>0</v>
      </c>
      <c r="L2809">
        <f>IF(OR(AND(H2809=0,ABS(J2809)&gt;=0.01),AND(H2809&lt;&gt;0,ABS(K2809)&gt;VarianceThreshold)),"Review","OK")</f>
        <v>0</v>
      </c>
      <c r="M2809" t="s">
        <v>33</v>
      </c>
    </row>
    <row r="2810" spans="1:13">
      <c r="A2810" t="s">
        <v>4</v>
      </c>
      <c r="B2810" t="s">
        <v>492</v>
      </c>
      <c r="C2810" t="s">
        <v>2488</v>
      </c>
      <c r="D2810" t="s">
        <v>2170</v>
      </c>
      <c r="E2810" cm="1">
        <f t="array" ref="E2810">_xlfn.XLOOKUP(D2810,SKU_Master!A:A,SKU_Master!B:B,"Not on master")</f>
        <v>0</v>
      </c>
      <c r="F2810" cm="1">
        <f t="array" ref="F2810">_xlfn.XLOOKUP(C2810,Account_Master!A:A,Account_Master!B:B,"Not on master")</f>
        <v>0</v>
      </c>
      <c r="G2810" cm="1">
        <f t="array" ref="G2810">_xlfn.XLOOKUP(C2810,Account_Master!A:A,Account_Master!C:C,"Not on master")</f>
        <v>0</v>
      </c>
      <c r="H2810" s="6">
        <v>22.5</v>
      </c>
      <c r="I2810" s="6">
        <v>22.5</v>
      </c>
      <c r="J2810" s="6">
        <f>I2810-H2810</f>
        <v>0</v>
      </c>
      <c r="K2810" s="5">
        <f>IF(H2810=0,"",J2810/H2810)</f>
        <v>0</v>
      </c>
      <c r="L2810">
        <f>IF(OR(AND(H2810=0,ABS(J2810)&gt;=0.01),AND(H2810&lt;&gt;0,ABS(K2810)&gt;VarianceThreshold)),"Review","OK")</f>
        <v>0</v>
      </c>
      <c r="M2810" t="s">
        <v>33</v>
      </c>
    </row>
    <row r="2811" spans="1:13">
      <c r="A2811" t="s">
        <v>4</v>
      </c>
      <c r="B2811" t="s">
        <v>501</v>
      </c>
      <c r="C2811" t="s">
        <v>2412</v>
      </c>
      <c r="D2811" t="s">
        <v>2378</v>
      </c>
      <c r="E2811" cm="1">
        <f t="array" ref="E2811">_xlfn.XLOOKUP(D2811,SKU_Master!A:A,SKU_Master!B:B,"Not on master")</f>
        <v>0</v>
      </c>
      <c r="F2811" cm="1">
        <f t="array" ref="F2811">_xlfn.XLOOKUP(C2811,Account_Master!A:A,Account_Master!B:B,"Not on master")</f>
        <v>0</v>
      </c>
      <c r="G2811" cm="1">
        <f t="array" ref="G2811">_xlfn.XLOOKUP(C2811,Account_Master!A:A,Account_Master!C:C,"Not on master")</f>
        <v>0</v>
      </c>
      <c r="H2811" s="6">
        <v>3.5</v>
      </c>
      <c r="I2811" s="6">
        <v>3.5</v>
      </c>
      <c r="J2811" s="6">
        <f>I2811-H2811</f>
        <v>0</v>
      </c>
      <c r="K2811" s="5">
        <f>IF(H2811=0,"",J2811/H2811)</f>
        <v>0</v>
      </c>
      <c r="L2811">
        <f>IF(OR(AND(H2811=0,ABS(J2811)&gt;=0.01),AND(H2811&lt;&gt;0,ABS(K2811)&gt;VarianceThreshold)),"Review","OK")</f>
        <v>0</v>
      </c>
      <c r="M2811" t="s">
        <v>33</v>
      </c>
    </row>
    <row r="2812" spans="1:13">
      <c r="A2812" t="s">
        <v>4</v>
      </c>
      <c r="B2812" t="s">
        <v>501</v>
      </c>
      <c r="C2812" t="s">
        <v>2486</v>
      </c>
      <c r="D2812" t="s">
        <v>1990</v>
      </c>
      <c r="E2812" cm="1">
        <f t="array" ref="E2812">_xlfn.XLOOKUP(D2812,SKU_Master!A:A,SKU_Master!B:B,"Not on master")</f>
        <v>0</v>
      </c>
      <c r="F2812" cm="1">
        <f t="array" ref="F2812">_xlfn.XLOOKUP(C2812,Account_Master!A:A,Account_Master!B:B,"Not on master")</f>
        <v>0</v>
      </c>
      <c r="G2812" cm="1">
        <f t="array" ref="G2812">_xlfn.XLOOKUP(C2812,Account_Master!A:A,Account_Master!C:C,"Not on master")</f>
        <v>0</v>
      </c>
      <c r="H2812" s="6">
        <v>14.25</v>
      </c>
      <c r="I2812" s="6">
        <v>14.25</v>
      </c>
      <c r="J2812" s="6">
        <f>I2812-H2812</f>
        <v>0</v>
      </c>
      <c r="K2812" s="5">
        <f>IF(H2812=0,"",J2812/H2812)</f>
        <v>0</v>
      </c>
      <c r="L2812">
        <f>IF(OR(AND(H2812=0,ABS(J2812)&gt;=0.01),AND(H2812&lt;&gt;0,ABS(K2812)&gt;VarianceThreshold)),"Review","OK")</f>
        <v>0</v>
      </c>
      <c r="M2812" t="s">
        <v>33</v>
      </c>
    </row>
    <row r="2813" spans="1:13">
      <c r="A2813" t="s">
        <v>4</v>
      </c>
      <c r="B2813" t="s">
        <v>501</v>
      </c>
      <c r="C2813" t="s">
        <v>2585</v>
      </c>
      <c r="D2813" t="s">
        <v>2586</v>
      </c>
      <c r="E2813" cm="1">
        <f t="array" ref="E2813">_xlfn.XLOOKUP(D2813,SKU_Master!A:A,SKU_Master!B:B,"Not on master")</f>
        <v>0</v>
      </c>
      <c r="F2813" cm="1">
        <f t="array" ref="F2813">_xlfn.XLOOKUP(C2813,Account_Master!A:A,Account_Master!B:B,"Not on master")</f>
        <v>0</v>
      </c>
      <c r="G2813" cm="1">
        <f t="array" ref="G2813">_xlfn.XLOOKUP(C2813,Account_Master!A:A,Account_Master!C:C,"Not on master")</f>
        <v>0</v>
      </c>
      <c r="H2813" s="6">
        <v>4.5</v>
      </c>
      <c r="I2813" s="6">
        <v>4.5</v>
      </c>
      <c r="J2813" s="6">
        <f>I2813-H2813</f>
        <v>0</v>
      </c>
      <c r="K2813" s="5">
        <f>IF(H2813=0,"",J2813/H2813)</f>
        <v>0</v>
      </c>
      <c r="L2813">
        <f>IF(OR(AND(H2813=0,ABS(J2813)&gt;=0.01),AND(H2813&lt;&gt;0,ABS(K2813)&gt;VarianceThreshold)),"Review","OK")</f>
        <v>0</v>
      </c>
      <c r="M2813" t="s">
        <v>33</v>
      </c>
    </row>
    <row r="2814" spans="1:13">
      <c r="A2814" t="s">
        <v>4</v>
      </c>
      <c r="B2814" t="s">
        <v>501</v>
      </c>
      <c r="C2814" t="s">
        <v>2585</v>
      </c>
      <c r="D2814" t="s">
        <v>332</v>
      </c>
      <c r="E2814" cm="1">
        <f t="array" ref="E2814">_xlfn.XLOOKUP(D2814,SKU_Master!A:A,SKU_Master!B:B,"Not on master")</f>
        <v>0</v>
      </c>
      <c r="F2814" cm="1">
        <f t="array" ref="F2814">_xlfn.XLOOKUP(C2814,Account_Master!A:A,Account_Master!B:B,"Not on master")</f>
        <v>0</v>
      </c>
      <c r="G2814" cm="1">
        <f t="array" ref="G2814">_xlfn.XLOOKUP(C2814,Account_Master!A:A,Account_Master!C:C,"Not on master")</f>
        <v>0</v>
      </c>
      <c r="H2814" s="6">
        <v>4.5</v>
      </c>
      <c r="I2814" s="6">
        <v>4.5</v>
      </c>
      <c r="J2814" s="6">
        <f>I2814-H2814</f>
        <v>0</v>
      </c>
      <c r="K2814" s="5">
        <f>IF(H2814=0,"",J2814/H2814)</f>
        <v>0</v>
      </c>
      <c r="L2814">
        <f>IF(OR(AND(H2814=0,ABS(J2814)&gt;=0.01),AND(H2814&lt;&gt;0,ABS(K2814)&gt;VarianceThreshold)),"Review","OK")</f>
        <v>0</v>
      </c>
      <c r="M2814" t="s">
        <v>33</v>
      </c>
    </row>
    <row r="2815" spans="1:13">
      <c r="A2815" t="s">
        <v>4</v>
      </c>
      <c r="B2815" t="s">
        <v>501</v>
      </c>
      <c r="C2815" t="s">
        <v>2453</v>
      </c>
      <c r="D2815" t="s">
        <v>947</v>
      </c>
      <c r="E2815" cm="1">
        <f t="array" ref="E2815">_xlfn.XLOOKUP(D2815,SKU_Master!A:A,SKU_Master!B:B,"Not on master")</f>
        <v>0</v>
      </c>
      <c r="F2815" cm="1">
        <f t="array" ref="F2815">_xlfn.XLOOKUP(C2815,Account_Master!A:A,Account_Master!B:B,"Not on master")</f>
        <v>0</v>
      </c>
      <c r="G2815" cm="1">
        <f t="array" ref="G2815">_xlfn.XLOOKUP(C2815,Account_Master!A:A,Account_Master!C:C,"Not on master")</f>
        <v>0</v>
      </c>
      <c r="H2815" s="6">
        <v>16</v>
      </c>
      <c r="I2815" s="6">
        <v>16</v>
      </c>
      <c r="J2815" s="6">
        <f>I2815-H2815</f>
        <v>0</v>
      </c>
      <c r="K2815" s="5">
        <f>IF(H2815=0,"",J2815/H2815)</f>
        <v>0</v>
      </c>
      <c r="L2815">
        <f>IF(OR(AND(H2815=0,ABS(J2815)&gt;=0.01),AND(H2815&lt;&gt;0,ABS(K2815)&gt;VarianceThreshold)),"Review","OK")</f>
        <v>0</v>
      </c>
      <c r="M2815" t="s">
        <v>33</v>
      </c>
    </row>
    <row r="2816" spans="1:13">
      <c r="A2816" t="s">
        <v>4</v>
      </c>
      <c r="B2816" t="s">
        <v>501</v>
      </c>
      <c r="C2816" t="s">
        <v>2581</v>
      </c>
      <c r="D2816" t="s">
        <v>509</v>
      </c>
      <c r="E2816" cm="1">
        <f t="array" ref="E2816">_xlfn.XLOOKUP(D2816,SKU_Master!A:A,SKU_Master!B:B,"Not on master")</f>
        <v>0</v>
      </c>
      <c r="F2816" cm="1">
        <f t="array" ref="F2816">_xlfn.XLOOKUP(C2816,Account_Master!A:A,Account_Master!B:B,"Not on master")</f>
        <v>0</v>
      </c>
      <c r="G2816" cm="1">
        <f t="array" ref="G2816">_xlfn.XLOOKUP(C2816,Account_Master!A:A,Account_Master!C:C,"Not on master")</f>
        <v>0</v>
      </c>
      <c r="H2816" s="6">
        <v>1.5</v>
      </c>
      <c r="I2816" s="6">
        <v>1.5</v>
      </c>
      <c r="J2816" s="6">
        <f>I2816-H2816</f>
        <v>0</v>
      </c>
      <c r="K2816" s="5">
        <f>IF(H2816=0,"",J2816/H2816)</f>
        <v>0</v>
      </c>
      <c r="L2816">
        <f>IF(OR(AND(H2816=0,ABS(J2816)&gt;=0.01),AND(H2816&lt;&gt;0,ABS(K2816)&gt;VarianceThreshold)),"Review","OK")</f>
        <v>0</v>
      </c>
      <c r="M2816" t="s">
        <v>33</v>
      </c>
    </row>
    <row r="2817" spans="1:13">
      <c r="A2817" t="s">
        <v>4</v>
      </c>
      <c r="B2817" t="s">
        <v>501</v>
      </c>
      <c r="C2817" t="s">
        <v>2453</v>
      </c>
      <c r="D2817" t="s">
        <v>167</v>
      </c>
      <c r="E2817" cm="1">
        <f t="array" ref="E2817">_xlfn.XLOOKUP(D2817,SKU_Master!A:A,SKU_Master!B:B,"Not on master")</f>
        <v>0</v>
      </c>
      <c r="F2817" cm="1">
        <f t="array" ref="F2817">_xlfn.XLOOKUP(C2817,Account_Master!A:A,Account_Master!B:B,"Not on master")</f>
        <v>0</v>
      </c>
      <c r="G2817" cm="1">
        <f t="array" ref="G2817">_xlfn.XLOOKUP(C2817,Account_Master!A:A,Account_Master!C:C,"Not on master")</f>
        <v>0</v>
      </c>
      <c r="H2817" s="6">
        <v>584</v>
      </c>
      <c r="I2817" s="6">
        <v>584</v>
      </c>
      <c r="J2817" s="6">
        <f>I2817-H2817</f>
        <v>0</v>
      </c>
      <c r="K2817" s="5">
        <f>IF(H2817=0,"",J2817/H2817)</f>
        <v>0</v>
      </c>
      <c r="L2817">
        <f>IF(OR(AND(H2817=0,ABS(J2817)&gt;=0.01),AND(H2817&lt;&gt;0,ABS(K2817)&gt;VarianceThreshold)),"Review","OK")</f>
        <v>0</v>
      </c>
      <c r="M2817" t="s">
        <v>33</v>
      </c>
    </row>
    <row r="2818" spans="1:13">
      <c r="A2818" t="s">
        <v>4</v>
      </c>
      <c r="B2818" t="s">
        <v>511</v>
      </c>
      <c r="C2818" t="s">
        <v>2447</v>
      </c>
      <c r="D2818" t="s">
        <v>1899</v>
      </c>
      <c r="E2818" cm="1">
        <f t="array" ref="E2818">_xlfn.XLOOKUP(D2818,SKU_Master!A:A,SKU_Master!B:B,"Not on master")</f>
        <v>0</v>
      </c>
      <c r="F2818" cm="1">
        <f t="array" ref="F2818">_xlfn.XLOOKUP(C2818,Account_Master!A:A,Account_Master!B:B,"Not on master")</f>
        <v>0</v>
      </c>
      <c r="G2818" cm="1">
        <f t="array" ref="G2818">_xlfn.XLOOKUP(C2818,Account_Master!A:A,Account_Master!C:C,"Not on master")</f>
        <v>0</v>
      </c>
      <c r="H2818" s="6">
        <v>22.5</v>
      </c>
      <c r="I2818" s="6">
        <v>22.5</v>
      </c>
      <c r="J2818" s="6">
        <f>I2818-H2818</f>
        <v>0</v>
      </c>
      <c r="K2818" s="5">
        <f>IF(H2818=0,"",J2818/H2818)</f>
        <v>0</v>
      </c>
      <c r="L2818">
        <f>IF(OR(AND(H2818=0,ABS(J2818)&gt;=0.01),AND(H2818&lt;&gt;0,ABS(K2818)&gt;VarianceThreshold)),"Review","OK")</f>
        <v>0</v>
      </c>
      <c r="M2818" t="s">
        <v>33</v>
      </c>
    </row>
    <row r="2819" spans="1:13">
      <c r="A2819" t="s">
        <v>4</v>
      </c>
      <c r="B2819" t="s">
        <v>511</v>
      </c>
      <c r="C2819" t="s">
        <v>2565</v>
      </c>
      <c r="D2819" t="s">
        <v>1888</v>
      </c>
      <c r="E2819" cm="1">
        <f t="array" ref="E2819">_xlfn.XLOOKUP(D2819,SKU_Master!A:A,SKU_Master!B:B,"Not on master")</f>
        <v>0</v>
      </c>
      <c r="F2819" cm="1">
        <f t="array" ref="F2819">_xlfn.XLOOKUP(C2819,Account_Master!A:A,Account_Master!B:B,"Not on master")</f>
        <v>0</v>
      </c>
      <c r="G2819" cm="1">
        <f t="array" ref="G2819">_xlfn.XLOOKUP(C2819,Account_Master!A:A,Account_Master!C:C,"Not on master")</f>
        <v>0</v>
      </c>
      <c r="H2819" s="6">
        <v>24.5</v>
      </c>
      <c r="I2819" s="6">
        <v>24.5</v>
      </c>
      <c r="J2819" s="6">
        <f>I2819-H2819</f>
        <v>0</v>
      </c>
      <c r="K2819" s="5">
        <f>IF(H2819=0,"",J2819/H2819)</f>
        <v>0</v>
      </c>
      <c r="L2819">
        <f>IF(OR(AND(H2819=0,ABS(J2819)&gt;=0.01),AND(H2819&lt;&gt;0,ABS(K2819)&gt;VarianceThreshold)),"Review","OK")</f>
        <v>0</v>
      </c>
      <c r="M2819" t="s">
        <v>33</v>
      </c>
    </row>
    <row r="2820" spans="1:13">
      <c r="A2820" t="s">
        <v>4</v>
      </c>
      <c r="B2820" t="s">
        <v>511</v>
      </c>
      <c r="C2820" t="s">
        <v>2587</v>
      </c>
      <c r="D2820" t="s">
        <v>2176</v>
      </c>
      <c r="E2820" cm="1">
        <f t="array" ref="E2820">_xlfn.XLOOKUP(D2820,SKU_Master!A:A,SKU_Master!B:B,"Not on master")</f>
        <v>0</v>
      </c>
      <c r="F2820" cm="1">
        <f t="array" ref="F2820">_xlfn.XLOOKUP(C2820,Account_Master!A:A,Account_Master!B:B,"Not on master")</f>
        <v>0</v>
      </c>
      <c r="G2820" cm="1">
        <f t="array" ref="G2820">_xlfn.XLOOKUP(C2820,Account_Master!A:A,Account_Master!C:C,"Not on master")</f>
        <v>0</v>
      </c>
      <c r="H2820" s="6">
        <v>0.6</v>
      </c>
      <c r="I2820" s="6">
        <v>0.6</v>
      </c>
      <c r="J2820" s="6">
        <f>I2820-H2820</f>
        <v>0</v>
      </c>
      <c r="K2820" s="5">
        <f>IF(H2820=0,"",J2820/H2820)</f>
        <v>0</v>
      </c>
      <c r="L2820">
        <f>IF(OR(AND(H2820=0,ABS(J2820)&gt;=0.01),AND(H2820&lt;&gt;0,ABS(K2820)&gt;VarianceThreshold)),"Review","OK")</f>
        <v>0</v>
      </c>
      <c r="M2820" t="s">
        <v>33</v>
      </c>
    </row>
    <row r="2821" spans="1:13">
      <c r="A2821" t="s">
        <v>4</v>
      </c>
      <c r="B2821" t="s">
        <v>511</v>
      </c>
      <c r="C2821" t="s">
        <v>2490</v>
      </c>
      <c r="D2821" t="s">
        <v>2588</v>
      </c>
      <c r="E2821" cm="1">
        <f t="array" ref="E2821">_xlfn.XLOOKUP(D2821,SKU_Master!A:A,SKU_Master!B:B,"Not on master")</f>
        <v>0</v>
      </c>
      <c r="F2821" cm="1">
        <f t="array" ref="F2821">_xlfn.XLOOKUP(C2821,Account_Master!A:A,Account_Master!B:B,"Not on master")</f>
        <v>0</v>
      </c>
      <c r="G2821" cm="1">
        <f t="array" ref="G2821">_xlfn.XLOOKUP(C2821,Account_Master!A:A,Account_Master!C:C,"Not on master")</f>
        <v>0</v>
      </c>
      <c r="H2821" s="6">
        <v>8.25</v>
      </c>
      <c r="I2821" s="6">
        <v>8.25</v>
      </c>
      <c r="J2821" s="6">
        <f>I2821-H2821</f>
        <v>0</v>
      </c>
      <c r="K2821" s="5">
        <f>IF(H2821=0,"",J2821/H2821)</f>
        <v>0</v>
      </c>
      <c r="L2821">
        <f>IF(OR(AND(H2821=0,ABS(J2821)&gt;=0.01),AND(H2821&lt;&gt;0,ABS(K2821)&gt;VarianceThreshold)),"Review","OK")</f>
        <v>0</v>
      </c>
      <c r="M2821" t="s">
        <v>33</v>
      </c>
    </row>
    <row r="2822" spans="1:13">
      <c r="A2822" t="s">
        <v>4</v>
      </c>
      <c r="B2822" t="s">
        <v>511</v>
      </c>
      <c r="C2822" t="s">
        <v>2414</v>
      </c>
      <c r="D2822" t="s">
        <v>1585</v>
      </c>
      <c r="E2822" cm="1">
        <f t="array" ref="E2822">_xlfn.XLOOKUP(D2822,SKU_Master!A:A,SKU_Master!B:B,"Not on master")</f>
        <v>0</v>
      </c>
      <c r="F2822" cm="1">
        <f t="array" ref="F2822">_xlfn.XLOOKUP(C2822,Account_Master!A:A,Account_Master!B:B,"Not on master")</f>
        <v>0</v>
      </c>
      <c r="G2822" cm="1">
        <f t="array" ref="G2822">_xlfn.XLOOKUP(C2822,Account_Master!A:A,Account_Master!C:C,"Not on master")</f>
        <v>0</v>
      </c>
      <c r="H2822" s="6">
        <v>14</v>
      </c>
      <c r="I2822" s="6">
        <v>14</v>
      </c>
      <c r="J2822" s="6">
        <f>I2822-H2822</f>
        <v>0</v>
      </c>
      <c r="K2822" s="5">
        <f>IF(H2822=0,"",J2822/H2822)</f>
        <v>0</v>
      </c>
      <c r="L2822">
        <f>IF(OR(AND(H2822=0,ABS(J2822)&gt;=0.01),AND(H2822&lt;&gt;0,ABS(K2822)&gt;VarianceThreshold)),"Review","OK")</f>
        <v>0</v>
      </c>
      <c r="M2822" t="s">
        <v>33</v>
      </c>
    </row>
    <row r="2823" spans="1:13">
      <c r="A2823" t="s">
        <v>4</v>
      </c>
      <c r="B2823" t="s">
        <v>511</v>
      </c>
      <c r="C2823" t="s">
        <v>2552</v>
      </c>
      <c r="D2823" t="s">
        <v>1337</v>
      </c>
      <c r="E2823" cm="1">
        <f t="array" ref="E2823">_xlfn.XLOOKUP(D2823,SKU_Master!A:A,SKU_Master!B:B,"Not on master")</f>
        <v>0</v>
      </c>
      <c r="F2823" cm="1">
        <f t="array" ref="F2823">_xlfn.XLOOKUP(C2823,Account_Master!A:A,Account_Master!B:B,"Not on master")</f>
        <v>0</v>
      </c>
      <c r="G2823" cm="1">
        <f t="array" ref="G2823">_xlfn.XLOOKUP(C2823,Account_Master!A:A,Account_Master!C:C,"Not on master")</f>
        <v>0</v>
      </c>
      <c r="H2823" s="6">
        <v>0.15</v>
      </c>
      <c r="I2823" s="6">
        <v>0.15</v>
      </c>
      <c r="J2823" s="6">
        <f>I2823-H2823</f>
        <v>0</v>
      </c>
      <c r="K2823" s="5">
        <f>IF(H2823=0,"",J2823/H2823)</f>
        <v>0</v>
      </c>
      <c r="L2823">
        <f>IF(OR(AND(H2823=0,ABS(J2823)&gt;=0.01),AND(H2823&lt;&gt;0,ABS(K2823)&gt;VarianceThreshold)),"Review","OK")</f>
        <v>0</v>
      </c>
      <c r="M2823" t="s">
        <v>33</v>
      </c>
    </row>
    <row r="2824" spans="1:13">
      <c r="A2824" t="s">
        <v>4</v>
      </c>
      <c r="B2824" t="s">
        <v>523</v>
      </c>
      <c r="C2824" t="s">
        <v>2480</v>
      </c>
      <c r="D2824" t="s">
        <v>1887</v>
      </c>
      <c r="E2824" cm="1">
        <f t="array" ref="E2824">_xlfn.XLOOKUP(D2824,SKU_Master!A:A,SKU_Master!B:B,"Not on master")</f>
        <v>0</v>
      </c>
      <c r="F2824" cm="1">
        <f t="array" ref="F2824">_xlfn.XLOOKUP(C2824,Account_Master!A:A,Account_Master!B:B,"Not on master")</f>
        <v>0</v>
      </c>
      <c r="G2824" cm="1">
        <f t="array" ref="G2824">_xlfn.XLOOKUP(C2824,Account_Master!A:A,Account_Master!C:C,"Not on master")</f>
        <v>0</v>
      </c>
      <c r="H2824" s="6">
        <v>26</v>
      </c>
      <c r="I2824" s="6">
        <v>26</v>
      </c>
      <c r="J2824" s="6">
        <f>I2824-H2824</f>
        <v>0</v>
      </c>
      <c r="K2824" s="5">
        <f>IF(H2824=0,"",J2824/H2824)</f>
        <v>0</v>
      </c>
      <c r="L2824">
        <f>IF(OR(AND(H2824=0,ABS(J2824)&gt;=0.01),AND(H2824&lt;&gt;0,ABS(K2824)&gt;VarianceThreshold)),"Review","OK")</f>
        <v>0</v>
      </c>
      <c r="M2824" t="s">
        <v>33</v>
      </c>
    </row>
    <row r="2825" spans="1:13">
      <c r="A2825" t="s">
        <v>4</v>
      </c>
      <c r="B2825" t="s">
        <v>523</v>
      </c>
      <c r="C2825" t="s">
        <v>2445</v>
      </c>
      <c r="D2825" t="s">
        <v>852</v>
      </c>
      <c r="E2825" cm="1">
        <f t="array" ref="E2825">_xlfn.XLOOKUP(D2825,SKU_Master!A:A,SKU_Master!B:B,"Not on master")</f>
        <v>0</v>
      </c>
      <c r="F2825" cm="1">
        <f t="array" ref="F2825">_xlfn.XLOOKUP(C2825,Account_Master!A:A,Account_Master!B:B,"Not on master")</f>
        <v>0</v>
      </c>
      <c r="G2825" cm="1">
        <f t="array" ref="G2825">_xlfn.XLOOKUP(C2825,Account_Master!A:A,Account_Master!C:C,"Not on master")</f>
        <v>0</v>
      </c>
      <c r="H2825" s="6">
        <v>1.5</v>
      </c>
      <c r="I2825" s="6">
        <v>1.5</v>
      </c>
      <c r="J2825" s="6">
        <f>I2825-H2825</f>
        <v>0</v>
      </c>
      <c r="K2825" s="5">
        <f>IF(H2825=0,"",J2825/H2825)</f>
        <v>0</v>
      </c>
      <c r="L2825">
        <f>IF(OR(AND(H2825=0,ABS(J2825)&gt;=0.01),AND(H2825&lt;&gt;0,ABS(K2825)&gt;VarianceThreshold)),"Review","OK")</f>
        <v>0</v>
      </c>
      <c r="M2825" t="s">
        <v>33</v>
      </c>
    </row>
    <row r="2826" spans="1:13">
      <c r="A2826" t="s">
        <v>4</v>
      </c>
      <c r="B2826" t="s">
        <v>523</v>
      </c>
      <c r="C2826" t="s">
        <v>2462</v>
      </c>
      <c r="D2826" t="s">
        <v>2589</v>
      </c>
      <c r="E2826" cm="1">
        <f t="array" ref="E2826">_xlfn.XLOOKUP(D2826,SKU_Master!A:A,SKU_Master!B:B,"Not on master")</f>
        <v>0</v>
      </c>
      <c r="F2826" cm="1">
        <f t="array" ref="F2826">_xlfn.XLOOKUP(C2826,Account_Master!A:A,Account_Master!B:B,"Not on master")</f>
        <v>0</v>
      </c>
      <c r="G2826" cm="1">
        <f t="array" ref="G2826">_xlfn.XLOOKUP(C2826,Account_Master!A:A,Account_Master!C:C,"Not on master")</f>
        <v>0</v>
      </c>
      <c r="H2826" s="6">
        <v>4.5</v>
      </c>
      <c r="I2826" s="6">
        <v>4.5</v>
      </c>
      <c r="J2826" s="6">
        <f>I2826-H2826</f>
        <v>0</v>
      </c>
      <c r="K2826" s="5">
        <f>IF(H2826=0,"",J2826/H2826)</f>
        <v>0</v>
      </c>
      <c r="L2826">
        <f>IF(OR(AND(H2826=0,ABS(J2826)&gt;=0.01),AND(H2826&lt;&gt;0,ABS(K2826)&gt;VarianceThreshold)),"Review","OK")</f>
        <v>0</v>
      </c>
      <c r="M2826" t="s">
        <v>33</v>
      </c>
    </row>
    <row r="2827" spans="1:13">
      <c r="A2827" t="s">
        <v>4</v>
      </c>
      <c r="B2827" t="s">
        <v>523</v>
      </c>
      <c r="C2827" t="s">
        <v>2416</v>
      </c>
      <c r="D2827" t="s">
        <v>2590</v>
      </c>
      <c r="E2827" cm="1">
        <f t="array" ref="E2827">_xlfn.XLOOKUP(D2827,SKU_Master!A:A,SKU_Master!B:B,"Not on master")</f>
        <v>0</v>
      </c>
      <c r="F2827" cm="1">
        <f t="array" ref="F2827">_xlfn.XLOOKUP(C2827,Account_Master!A:A,Account_Master!B:B,"Not on master")</f>
        <v>0</v>
      </c>
      <c r="G2827" cm="1">
        <f t="array" ref="G2827">_xlfn.XLOOKUP(C2827,Account_Master!A:A,Account_Master!C:C,"Not on master")</f>
        <v>0</v>
      </c>
      <c r="H2827" s="6">
        <v>0.75</v>
      </c>
      <c r="I2827" s="6">
        <v>0.75</v>
      </c>
      <c r="J2827" s="6">
        <f>I2827-H2827</f>
        <v>0</v>
      </c>
      <c r="K2827" s="5">
        <f>IF(H2827=0,"",J2827/H2827)</f>
        <v>0</v>
      </c>
      <c r="L2827">
        <f>IF(OR(AND(H2827=0,ABS(J2827)&gt;=0.01),AND(H2827&lt;&gt;0,ABS(K2827)&gt;VarianceThreshold)),"Review","OK")</f>
        <v>0</v>
      </c>
      <c r="M2827" t="s">
        <v>33</v>
      </c>
    </row>
    <row r="2828" spans="1:13">
      <c r="A2828" t="s">
        <v>4</v>
      </c>
      <c r="B2828" t="s">
        <v>523</v>
      </c>
      <c r="C2828" t="s">
        <v>2416</v>
      </c>
      <c r="D2828" t="s">
        <v>68</v>
      </c>
      <c r="E2828" cm="1">
        <f t="array" ref="E2828">_xlfn.XLOOKUP(D2828,SKU_Master!A:A,SKU_Master!B:B,"Not on master")</f>
        <v>0</v>
      </c>
      <c r="F2828" cm="1">
        <f t="array" ref="F2828">_xlfn.XLOOKUP(C2828,Account_Master!A:A,Account_Master!B:B,"Not on master")</f>
        <v>0</v>
      </c>
      <c r="G2828" cm="1">
        <f t="array" ref="G2828">_xlfn.XLOOKUP(C2828,Account_Master!A:A,Account_Master!C:C,"Not on master")</f>
        <v>0</v>
      </c>
      <c r="H2828" s="6">
        <v>22.5</v>
      </c>
      <c r="I2828" s="6">
        <v>22.5</v>
      </c>
      <c r="J2828" s="6">
        <f>I2828-H2828</f>
        <v>0</v>
      </c>
      <c r="K2828" s="5">
        <f>IF(H2828=0,"",J2828/H2828)</f>
        <v>0</v>
      </c>
      <c r="L2828">
        <f>IF(OR(AND(H2828=0,ABS(J2828)&gt;=0.01),AND(H2828&lt;&gt;0,ABS(K2828)&gt;VarianceThreshold)),"Review","OK")</f>
        <v>0</v>
      </c>
      <c r="M2828" t="s">
        <v>33</v>
      </c>
    </row>
    <row r="2829" spans="1:13">
      <c r="A2829" t="s">
        <v>4</v>
      </c>
      <c r="B2829" t="s">
        <v>523</v>
      </c>
      <c r="C2829" t="s">
        <v>2472</v>
      </c>
      <c r="D2829" t="s">
        <v>1550</v>
      </c>
      <c r="E2829" cm="1">
        <f t="array" ref="E2829">_xlfn.XLOOKUP(D2829,SKU_Master!A:A,SKU_Master!B:B,"Not on master")</f>
        <v>0</v>
      </c>
      <c r="F2829" cm="1">
        <f t="array" ref="F2829">_xlfn.XLOOKUP(C2829,Account_Master!A:A,Account_Master!B:B,"Not on master")</f>
        <v>0</v>
      </c>
      <c r="G2829" cm="1">
        <f t="array" ref="G2829">_xlfn.XLOOKUP(C2829,Account_Master!A:A,Account_Master!C:C,"Not on master")</f>
        <v>0</v>
      </c>
      <c r="H2829" s="6">
        <v>13.5</v>
      </c>
      <c r="I2829" s="6">
        <v>13.5</v>
      </c>
      <c r="J2829" s="6">
        <f>I2829-H2829</f>
        <v>0</v>
      </c>
      <c r="K2829" s="5">
        <f>IF(H2829=0,"",J2829/H2829)</f>
        <v>0</v>
      </c>
      <c r="L2829">
        <f>IF(OR(AND(H2829=0,ABS(J2829)&gt;=0.01),AND(H2829&lt;&gt;0,ABS(K2829)&gt;VarianceThreshold)),"Review","OK")</f>
        <v>0</v>
      </c>
      <c r="M2829" t="s">
        <v>33</v>
      </c>
    </row>
    <row r="2830" spans="1:13">
      <c r="A2830" t="s">
        <v>4</v>
      </c>
      <c r="B2830" t="s">
        <v>523</v>
      </c>
      <c r="C2830" t="s">
        <v>2447</v>
      </c>
      <c r="D2830" t="s">
        <v>1903</v>
      </c>
      <c r="E2830" cm="1">
        <f t="array" ref="E2830">_xlfn.XLOOKUP(D2830,SKU_Master!A:A,SKU_Master!B:B,"Not on master")</f>
        <v>0</v>
      </c>
      <c r="F2830" cm="1">
        <f t="array" ref="F2830">_xlfn.XLOOKUP(C2830,Account_Master!A:A,Account_Master!B:B,"Not on master")</f>
        <v>0</v>
      </c>
      <c r="G2830" cm="1">
        <f t="array" ref="G2830">_xlfn.XLOOKUP(C2830,Account_Master!A:A,Account_Master!C:C,"Not on master")</f>
        <v>0</v>
      </c>
      <c r="H2830" s="6">
        <v>18</v>
      </c>
      <c r="I2830" s="6">
        <v>18</v>
      </c>
      <c r="J2830" s="6">
        <f>I2830-H2830</f>
        <v>0</v>
      </c>
      <c r="K2830" s="5">
        <f>IF(H2830=0,"",J2830/H2830)</f>
        <v>0</v>
      </c>
      <c r="L2830">
        <f>IF(OR(AND(H2830=0,ABS(J2830)&gt;=0.01),AND(H2830&lt;&gt;0,ABS(K2830)&gt;VarianceThreshold)),"Review","OK")</f>
        <v>0</v>
      </c>
      <c r="M2830" t="s">
        <v>33</v>
      </c>
    </row>
    <row r="2831" spans="1:13">
      <c r="A2831" t="s">
        <v>4</v>
      </c>
      <c r="B2831" t="s">
        <v>528</v>
      </c>
      <c r="C2831" t="s">
        <v>2515</v>
      </c>
      <c r="D2831" t="s">
        <v>881</v>
      </c>
      <c r="E2831" cm="1">
        <f t="array" ref="E2831">_xlfn.XLOOKUP(D2831,SKU_Master!A:A,SKU_Master!B:B,"Not on master")</f>
        <v>0</v>
      </c>
      <c r="F2831" cm="1">
        <f t="array" ref="F2831">_xlfn.XLOOKUP(C2831,Account_Master!A:A,Account_Master!B:B,"Not on master")</f>
        <v>0</v>
      </c>
      <c r="G2831" cm="1">
        <f t="array" ref="G2831">_xlfn.XLOOKUP(C2831,Account_Master!A:A,Account_Master!C:C,"Not on master")</f>
        <v>0</v>
      </c>
      <c r="H2831" s="6">
        <v>7</v>
      </c>
      <c r="I2831" s="6">
        <v>7</v>
      </c>
      <c r="J2831" s="6">
        <f>I2831-H2831</f>
        <v>0</v>
      </c>
      <c r="K2831" s="5">
        <f>IF(H2831=0,"",J2831/H2831)</f>
        <v>0</v>
      </c>
      <c r="L2831">
        <f>IF(OR(AND(H2831=0,ABS(J2831)&gt;=0.01),AND(H2831&lt;&gt;0,ABS(K2831)&gt;VarianceThreshold)),"Review","OK")</f>
        <v>0</v>
      </c>
      <c r="M2831" t="s">
        <v>33</v>
      </c>
    </row>
    <row r="2832" spans="1:13">
      <c r="A2832" t="s">
        <v>4</v>
      </c>
      <c r="B2832" t="s">
        <v>528</v>
      </c>
      <c r="C2832" t="s">
        <v>2472</v>
      </c>
      <c r="D2832" t="s">
        <v>2591</v>
      </c>
      <c r="E2832" cm="1">
        <f t="array" ref="E2832">_xlfn.XLOOKUP(D2832,SKU_Master!A:A,SKU_Master!B:B,"Not on master")</f>
        <v>0</v>
      </c>
      <c r="F2832" cm="1">
        <f t="array" ref="F2832">_xlfn.XLOOKUP(C2832,Account_Master!A:A,Account_Master!B:B,"Not on master")</f>
        <v>0</v>
      </c>
      <c r="G2832" cm="1">
        <f t="array" ref="G2832">_xlfn.XLOOKUP(C2832,Account_Master!A:A,Account_Master!C:C,"Not on master")</f>
        <v>0</v>
      </c>
      <c r="H2832" s="6">
        <v>14</v>
      </c>
      <c r="I2832" s="6">
        <v>14</v>
      </c>
      <c r="J2832" s="6">
        <f>I2832-H2832</f>
        <v>0</v>
      </c>
      <c r="K2832" s="5">
        <f>IF(H2832=0,"",J2832/H2832)</f>
        <v>0</v>
      </c>
      <c r="L2832">
        <f>IF(OR(AND(H2832=0,ABS(J2832)&gt;=0.01),AND(H2832&lt;&gt;0,ABS(K2832)&gt;VarianceThreshold)),"Review","OK")</f>
        <v>0</v>
      </c>
      <c r="M2832" t="s">
        <v>33</v>
      </c>
    </row>
    <row r="2833" spans="1:13">
      <c r="A2833" t="s">
        <v>4</v>
      </c>
      <c r="B2833" t="s">
        <v>528</v>
      </c>
      <c r="C2833" t="s">
        <v>2477</v>
      </c>
      <c r="D2833" t="s">
        <v>2371</v>
      </c>
      <c r="E2833" cm="1">
        <f t="array" ref="E2833">_xlfn.XLOOKUP(D2833,SKU_Master!A:A,SKU_Master!B:B,"Not on master")</f>
        <v>0</v>
      </c>
      <c r="F2833" cm="1">
        <f t="array" ref="F2833">_xlfn.XLOOKUP(C2833,Account_Master!A:A,Account_Master!B:B,"Not on master")</f>
        <v>0</v>
      </c>
      <c r="G2833" cm="1">
        <f t="array" ref="G2833">_xlfn.XLOOKUP(C2833,Account_Master!A:A,Account_Master!C:C,"Not on master")</f>
        <v>0</v>
      </c>
      <c r="H2833" s="6">
        <v>2.25</v>
      </c>
      <c r="I2833" s="6">
        <v>2.25</v>
      </c>
      <c r="J2833" s="6">
        <f>I2833-H2833</f>
        <v>0</v>
      </c>
      <c r="K2833" s="5">
        <f>IF(H2833=0,"",J2833/H2833)</f>
        <v>0</v>
      </c>
      <c r="L2833">
        <f>IF(OR(AND(H2833=0,ABS(J2833)&gt;=0.01),AND(H2833&lt;&gt;0,ABS(K2833)&gt;VarianceThreshold)),"Review","OK")</f>
        <v>0</v>
      </c>
      <c r="M2833" t="s">
        <v>33</v>
      </c>
    </row>
    <row r="2834" spans="1:13">
      <c r="A2834" t="s">
        <v>4</v>
      </c>
      <c r="B2834" t="s">
        <v>528</v>
      </c>
      <c r="C2834" t="s">
        <v>2418</v>
      </c>
      <c r="D2834" t="s">
        <v>2016</v>
      </c>
      <c r="E2834" cm="1">
        <f t="array" ref="E2834">_xlfn.XLOOKUP(D2834,SKU_Master!A:A,SKU_Master!B:B,"Not on master")</f>
        <v>0</v>
      </c>
      <c r="F2834" cm="1">
        <f t="array" ref="F2834">_xlfn.XLOOKUP(C2834,Account_Master!A:A,Account_Master!B:B,"Not on master")</f>
        <v>0</v>
      </c>
      <c r="G2834" cm="1">
        <f t="array" ref="G2834">_xlfn.XLOOKUP(C2834,Account_Master!A:A,Account_Master!C:C,"Not on master")</f>
        <v>0</v>
      </c>
      <c r="H2834" s="6">
        <v>21.75</v>
      </c>
      <c r="I2834" s="6">
        <v>21.75</v>
      </c>
      <c r="J2834" s="6">
        <f>I2834-H2834</f>
        <v>0</v>
      </c>
      <c r="K2834" s="5">
        <f>IF(H2834=0,"",J2834/H2834)</f>
        <v>0</v>
      </c>
      <c r="L2834">
        <f>IF(OR(AND(H2834=0,ABS(J2834)&gt;=0.01),AND(H2834&lt;&gt;0,ABS(K2834)&gt;VarianceThreshold)),"Review","OK")</f>
        <v>0</v>
      </c>
      <c r="M2834" t="s">
        <v>33</v>
      </c>
    </row>
    <row r="2835" spans="1:13">
      <c r="A2835" t="s">
        <v>4</v>
      </c>
      <c r="B2835" t="s">
        <v>528</v>
      </c>
      <c r="C2835" t="s">
        <v>2498</v>
      </c>
      <c r="D2835" t="s">
        <v>1765</v>
      </c>
      <c r="E2835" cm="1">
        <f t="array" ref="E2835">_xlfn.XLOOKUP(D2835,SKU_Master!A:A,SKU_Master!B:B,"Not on master")</f>
        <v>0</v>
      </c>
      <c r="F2835" cm="1">
        <f t="array" ref="F2835">_xlfn.XLOOKUP(C2835,Account_Master!A:A,Account_Master!B:B,"Not on master")</f>
        <v>0</v>
      </c>
      <c r="G2835" cm="1">
        <f t="array" ref="G2835">_xlfn.XLOOKUP(C2835,Account_Master!A:A,Account_Master!C:C,"Not on master")</f>
        <v>0</v>
      </c>
      <c r="H2835" s="6">
        <v>20.25</v>
      </c>
      <c r="I2835" s="6">
        <v>20.25</v>
      </c>
      <c r="J2835" s="6">
        <f>I2835-H2835</f>
        <v>0</v>
      </c>
      <c r="K2835" s="5">
        <f>IF(H2835=0,"",J2835/H2835)</f>
        <v>0</v>
      </c>
      <c r="L2835">
        <f>IF(OR(AND(H2835=0,ABS(J2835)&gt;=0.01),AND(H2835&lt;&gt;0,ABS(K2835)&gt;VarianceThreshold)),"Review","OK")</f>
        <v>0</v>
      </c>
      <c r="M2835" t="s">
        <v>33</v>
      </c>
    </row>
    <row r="2836" spans="1:13">
      <c r="A2836" t="s">
        <v>4</v>
      </c>
      <c r="B2836" t="s">
        <v>528</v>
      </c>
      <c r="C2836" t="s">
        <v>2414</v>
      </c>
      <c r="D2836" t="s">
        <v>2592</v>
      </c>
      <c r="E2836" cm="1">
        <f t="array" ref="E2836">_xlfn.XLOOKUP(D2836,SKU_Master!A:A,SKU_Master!B:B,"Not on master")</f>
        <v>0</v>
      </c>
      <c r="F2836" cm="1">
        <f t="array" ref="F2836">_xlfn.XLOOKUP(C2836,Account_Master!A:A,Account_Master!B:B,"Not on master")</f>
        <v>0</v>
      </c>
      <c r="G2836" cm="1">
        <f t="array" ref="G2836">_xlfn.XLOOKUP(C2836,Account_Master!A:A,Account_Master!C:C,"Not on master")</f>
        <v>0</v>
      </c>
      <c r="H2836" s="6">
        <v>1.5</v>
      </c>
      <c r="I2836" s="6">
        <v>1.5</v>
      </c>
      <c r="J2836" s="6">
        <f>I2836-H2836</f>
        <v>0</v>
      </c>
      <c r="K2836" s="5">
        <f>IF(H2836=0,"",J2836/H2836)</f>
        <v>0</v>
      </c>
      <c r="L2836">
        <f>IF(OR(AND(H2836=0,ABS(J2836)&gt;=0.01),AND(H2836&lt;&gt;0,ABS(K2836)&gt;VarianceThreshold)),"Review","OK")</f>
        <v>0</v>
      </c>
      <c r="M2836" t="s">
        <v>33</v>
      </c>
    </row>
    <row r="2837" spans="1:13">
      <c r="A2837" t="s">
        <v>4</v>
      </c>
      <c r="B2837" t="s">
        <v>528</v>
      </c>
      <c r="C2837" t="s">
        <v>2436</v>
      </c>
      <c r="D2837" t="s">
        <v>399</v>
      </c>
      <c r="E2837" cm="1">
        <f t="array" ref="E2837">_xlfn.XLOOKUP(D2837,SKU_Master!A:A,SKU_Master!B:B,"Not on master")</f>
        <v>0</v>
      </c>
      <c r="F2837" cm="1">
        <f t="array" ref="F2837">_xlfn.XLOOKUP(C2837,Account_Master!A:A,Account_Master!B:B,"Not on master")</f>
        <v>0</v>
      </c>
      <c r="G2837" cm="1">
        <f t="array" ref="G2837">_xlfn.XLOOKUP(C2837,Account_Master!A:A,Account_Master!C:C,"Not on master")</f>
        <v>0</v>
      </c>
      <c r="H2837" s="6">
        <v>0.1</v>
      </c>
      <c r="I2837" s="6">
        <v>0.1</v>
      </c>
      <c r="J2837" s="6">
        <f>I2837-H2837</f>
        <v>0</v>
      </c>
      <c r="K2837" s="5">
        <f>IF(H2837=0,"",J2837/H2837)</f>
        <v>0</v>
      </c>
      <c r="L2837">
        <f>IF(OR(AND(H2837=0,ABS(J2837)&gt;=0.01),AND(H2837&lt;&gt;0,ABS(K2837)&gt;VarianceThreshold)),"Review","OK")</f>
        <v>0</v>
      </c>
      <c r="M2837" t="s">
        <v>33</v>
      </c>
    </row>
    <row r="2838" spans="1:13">
      <c r="A2838" t="s">
        <v>4</v>
      </c>
      <c r="B2838" t="s">
        <v>528</v>
      </c>
      <c r="C2838" t="s">
        <v>2593</v>
      </c>
      <c r="D2838" t="s">
        <v>2594</v>
      </c>
      <c r="E2838" cm="1">
        <f t="array" ref="E2838">_xlfn.XLOOKUP(D2838,SKU_Master!A:A,SKU_Master!B:B,"Not on master")</f>
        <v>0</v>
      </c>
      <c r="F2838" cm="1">
        <f t="array" ref="F2838">_xlfn.XLOOKUP(C2838,Account_Master!A:A,Account_Master!B:B,"Not on master")</f>
        <v>0</v>
      </c>
      <c r="G2838" cm="1">
        <f t="array" ref="G2838">_xlfn.XLOOKUP(C2838,Account_Master!A:A,Account_Master!C:C,"Not on master")</f>
        <v>0</v>
      </c>
      <c r="H2838" s="6">
        <v>0.5</v>
      </c>
      <c r="I2838" s="6">
        <v>0.5</v>
      </c>
      <c r="J2838" s="6">
        <f>I2838-H2838</f>
        <v>0</v>
      </c>
      <c r="K2838" s="5">
        <f>IF(H2838=0,"",J2838/H2838)</f>
        <v>0</v>
      </c>
      <c r="L2838">
        <f>IF(OR(AND(H2838=0,ABS(J2838)&gt;=0.01),AND(H2838&lt;&gt;0,ABS(K2838)&gt;VarianceThreshold)),"Review","OK")</f>
        <v>0</v>
      </c>
      <c r="M2838" t="s">
        <v>33</v>
      </c>
    </row>
    <row r="2839" spans="1:13">
      <c r="A2839" t="s">
        <v>4</v>
      </c>
      <c r="B2839" t="s">
        <v>538</v>
      </c>
      <c r="C2839" t="s">
        <v>2572</v>
      </c>
      <c r="D2839" t="s">
        <v>2595</v>
      </c>
      <c r="E2839" cm="1">
        <f t="array" ref="E2839">_xlfn.XLOOKUP(D2839,SKU_Master!A:A,SKU_Master!B:B,"Not on master")</f>
        <v>0</v>
      </c>
      <c r="F2839" cm="1">
        <f t="array" ref="F2839">_xlfn.XLOOKUP(C2839,Account_Master!A:A,Account_Master!B:B,"Not on master")</f>
        <v>0</v>
      </c>
      <c r="G2839" cm="1">
        <f t="array" ref="G2839">_xlfn.XLOOKUP(C2839,Account_Master!A:A,Account_Master!C:C,"Not on master")</f>
        <v>0</v>
      </c>
      <c r="H2839" s="6">
        <v>18</v>
      </c>
      <c r="I2839" s="6">
        <v>18</v>
      </c>
      <c r="J2839" s="6">
        <f>I2839-H2839</f>
        <v>0</v>
      </c>
      <c r="K2839" s="5">
        <f>IF(H2839=0,"",J2839/H2839)</f>
        <v>0</v>
      </c>
      <c r="L2839">
        <f>IF(OR(AND(H2839=0,ABS(J2839)&gt;=0.01),AND(H2839&lt;&gt;0,ABS(K2839)&gt;VarianceThreshold)),"Review","OK")</f>
        <v>0</v>
      </c>
      <c r="M2839" t="s">
        <v>33</v>
      </c>
    </row>
    <row r="2840" spans="1:13">
      <c r="A2840" t="s">
        <v>4</v>
      </c>
      <c r="B2840" t="s">
        <v>538</v>
      </c>
      <c r="C2840" t="s">
        <v>2428</v>
      </c>
      <c r="D2840" t="s">
        <v>1802</v>
      </c>
      <c r="E2840" cm="1">
        <f t="array" ref="E2840">_xlfn.XLOOKUP(D2840,SKU_Master!A:A,SKU_Master!B:B,"Not on master")</f>
        <v>0</v>
      </c>
      <c r="F2840" cm="1">
        <f t="array" ref="F2840">_xlfn.XLOOKUP(C2840,Account_Master!A:A,Account_Master!B:B,"Not on master")</f>
        <v>0</v>
      </c>
      <c r="G2840" cm="1">
        <f t="array" ref="G2840">_xlfn.XLOOKUP(C2840,Account_Master!A:A,Account_Master!C:C,"Not on master")</f>
        <v>0</v>
      </c>
      <c r="H2840" s="6">
        <v>2.25</v>
      </c>
      <c r="I2840" s="6">
        <v>2.25</v>
      </c>
      <c r="J2840" s="6">
        <f>I2840-H2840</f>
        <v>0</v>
      </c>
      <c r="K2840" s="5">
        <f>IF(H2840=0,"",J2840/H2840)</f>
        <v>0</v>
      </c>
      <c r="L2840">
        <f>IF(OR(AND(H2840=0,ABS(J2840)&gt;=0.01),AND(H2840&lt;&gt;0,ABS(K2840)&gt;VarianceThreshold)),"Review","OK")</f>
        <v>0</v>
      </c>
      <c r="M2840" t="s">
        <v>33</v>
      </c>
    </row>
    <row r="2841" spans="1:13">
      <c r="A2841" t="s">
        <v>4</v>
      </c>
      <c r="B2841" t="s">
        <v>538</v>
      </c>
      <c r="C2841" t="s">
        <v>2453</v>
      </c>
      <c r="D2841" t="s">
        <v>2596</v>
      </c>
      <c r="E2841" cm="1">
        <f t="array" ref="E2841">_xlfn.XLOOKUP(D2841,SKU_Master!A:A,SKU_Master!B:B,"Not on master")</f>
        <v>0</v>
      </c>
      <c r="F2841" cm="1">
        <f t="array" ref="F2841">_xlfn.XLOOKUP(C2841,Account_Master!A:A,Account_Master!B:B,"Not on master")</f>
        <v>0</v>
      </c>
      <c r="G2841" cm="1">
        <f t="array" ref="G2841">_xlfn.XLOOKUP(C2841,Account_Master!A:A,Account_Master!C:C,"Not on master")</f>
        <v>0</v>
      </c>
      <c r="H2841" s="6">
        <v>12</v>
      </c>
      <c r="I2841" s="6">
        <v>12</v>
      </c>
      <c r="J2841" s="6">
        <f>I2841-H2841</f>
        <v>0</v>
      </c>
      <c r="K2841" s="5">
        <f>IF(H2841=0,"",J2841/H2841)</f>
        <v>0</v>
      </c>
      <c r="L2841">
        <f>IF(OR(AND(H2841=0,ABS(J2841)&gt;=0.01),AND(H2841&lt;&gt;0,ABS(K2841)&gt;VarianceThreshold)),"Review","OK")</f>
        <v>0</v>
      </c>
      <c r="M2841" t="s">
        <v>33</v>
      </c>
    </row>
    <row r="2842" spans="1:13">
      <c r="A2842" t="s">
        <v>4</v>
      </c>
      <c r="B2842" t="s">
        <v>538</v>
      </c>
      <c r="C2842" t="s">
        <v>2457</v>
      </c>
      <c r="D2842" t="s">
        <v>2597</v>
      </c>
      <c r="E2842" cm="1">
        <f t="array" ref="E2842">_xlfn.XLOOKUP(D2842,SKU_Master!A:A,SKU_Master!B:B,"Not on master")</f>
        <v>0</v>
      </c>
      <c r="F2842" cm="1">
        <f t="array" ref="F2842">_xlfn.XLOOKUP(C2842,Account_Master!A:A,Account_Master!B:B,"Not on master")</f>
        <v>0</v>
      </c>
      <c r="G2842" cm="1">
        <f t="array" ref="G2842">_xlfn.XLOOKUP(C2842,Account_Master!A:A,Account_Master!C:C,"Not on master")</f>
        <v>0</v>
      </c>
      <c r="H2842" s="6">
        <v>26.25</v>
      </c>
      <c r="I2842" s="6">
        <v>26.25</v>
      </c>
      <c r="J2842" s="6">
        <f>I2842-H2842</f>
        <v>0</v>
      </c>
      <c r="K2842" s="5">
        <f>IF(H2842=0,"",J2842/H2842)</f>
        <v>0</v>
      </c>
      <c r="L2842">
        <f>IF(OR(AND(H2842=0,ABS(J2842)&gt;=0.01),AND(H2842&lt;&gt;0,ABS(K2842)&gt;VarianceThreshold)),"Review","OK")</f>
        <v>0</v>
      </c>
      <c r="M2842" t="s">
        <v>33</v>
      </c>
    </row>
    <row r="2843" spans="1:13">
      <c r="A2843" t="s">
        <v>4</v>
      </c>
      <c r="B2843" t="s">
        <v>538</v>
      </c>
      <c r="C2843" t="s">
        <v>2432</v>
      </c>
      <c r="D2843" t="s">
        <v>794</v>
      </c>
      <c r="E2843" cm="1">
        <f t="array" ref="E2843">_xlfn.XLOOKUP(D2843,SKU_Master!A:A,SKU_Master!B:B,"Not on master")</f>
        <v>0</v>
      </c>
      <c r="F2843" cm="1">
        <f t="array" ref="F2843">_xlfn.XLOOKUP(C2843,Account_Master!A:A,Account_Master!B:B,"Not on master")</f>
        <v>0</v>
      </c>
      <c r="G2843" cm="1">
        <f t="array" ref="G2843">_xlfn.XLOOKUP(C2843,Account_Master!A:A,Account_Master!C:C,"Not on master")</f>
        <v>0</v>
      </c>
      <c r="H2843" s="6">
        <v>0.75</v>
      </c>
      <c r="I2843" s="6">
        <v>0.75</v>
      </c>
      <c r="J2843" s="6">
        <f>I2843-H2843</f>
        <v>0</v>
      </c>
      <c r="K2843" s="5">
        <f>IF(H2843=0,"",J2843/H2843)</f>
        <v>0</v>
      </c>
      <c r="L2843">
        <f>IF(OR(AND(H2843=0,ABS(J2843)&gt;=0.01),AND(H2843&lt;&gt;0,ABS(K2843)&gt;VarianceThreshold)),"Review","OK")</f>
        <v>0</v>
      </c>
      <c r="M2843" t="s">
        <v>33</v>
      </c>
    </row>
    <row r="2844" spans="1:13">
      <c r="A2844" t="s">
        <v>4</v>
      </c>
      <c r="B2844" t="s">
        <v>538</v>
      </c>
      <c r="C2844" t="s">
        <v>2598</v>
      </c>
      <c r="D2844" t="s">
        <v>1392</v>
      </c>
      <c r="E2844" cm="1">
        <f t="array" ref="E2844">_xlfn.XLOOKUP(D2844,SKU_Master!A:A,SKU_Master!B:B,"Not on master")</f>
        <v>0</v>
      </c>
      <c r="F2844" cm="1">
        <f t="array" ref="F2844">_xlfn.XLOOKUP(C2844,Account_Master!A:A,Account_Master!B:B,"Not on master")</f>
        <v>0</v>
      </c>
      <c r="G2844" cm="1">
        <f t="array" ref="G2844">_xlfn.XLOOKUP(C2844,Account_Master!A:A,Account_Master!C:C,"Not on master")</f>
        <v>0</v>
      </c>
      <c r="H2844" s="6">
        <v>13.5</v>
      </c>
      <c r="I2844" s="6">
        <v>13.5</v>
      </c>
      <c r="J2844" s="6">
        <f>I2844-H2844</f>
        <v>0</v>
      </c>
      <c r="K2844" s="5">
        <f>IF(H2844=0,"",J2844/H2844)</f>
        <v>0</v>
      </c>
      <c r="L2844">
        <f>IF(OR(AND(H2844=0,ABS(J2844)&gt;=0.01),AND(H2844&lt;&gt;0,ABS(K2844)&gt;VarianceThreshold)),"Review","OK")</f>
        <v>0</v>
      </c>
      <c r="M2844" t="s">
        <v>33</v>
      </c>
    </row>
    <row r="2845" spans="1:13">
      <c r="A2845" t="s">
        <v>4</v>
      </c>
      <c r="B2845" t="s">
        <v>552</v>
      </c>
      <c r="C2845" t="s">
        <v>2416</v>
      </c>
      <c r="D2845" t="s">
        <v>2599</v>
      </c>
      <c r="E2845" cm="1">
        <f t="array" ref="E2845">_xlfn.XLOOKUP(D2845,SKU_Master!A:A,SKU_Master!B:B,"Not on master")</f>
        <v>0</v>
      </c>
      <c r="F2845" cm="1">
        <f t="array" ref="F2845">_xlfn.XLOOKUP(C2845,Account_Master!A:A,Account_Master!B:B,"Not on master")</f>
        <v>0</v>
      </c>
      <c r="G2845" cm="1">
        <f t="array" ref="G2845">_xlfn.XLOOKUP(C2845,Account_Master!A:A,Account_Master!C:C,"Not on master")</f>
        <v>0</v>
      </c>
      <c r="H2845" s="6">
        <v>0.75</v>
      </c>
      <c r="I2845" s="6">
        <v>0.75</v>
      </c>
      <c r="J2845" s="6">
        <f>I2845-H2845</f>
        <v>0</v>
      </c>
      <c r="K2845" s="5">
        <f>IF(H2845=0,"",J2845/H2845)</f>
        <v>0</v>
      </c>
      <c r="L2845">
        <f>IF(OR(AND(H2845=0,ABS(J2845)&gt;=0.01),AND(H2845&lt;&gt;0,ABS(K2845)&gt;VarianceThreshold)),"Review","OK")</f>
        <v>0</v>
      </c>
      <c r="M2845" t="s">
        <v>33</v>
      </c>
    </row>
    <row r="2846" spans="1:13">
      <c r="A2846" t="s">
        <v>4</v>
      </c>
      <c r="B2846" t="s">
        <v>552</v>
      </c>
      <c r="C2846" t="s">
        <v>2531</v>
      </c>
      <c r="D2846" t="s">
        <v>1749</v>
      </c>
      <c r="E2846" cm="1">
        <f t="array" ref="E2846">_xlfn.XLOOKUP(D2846,SKU_Master!A:A,SKU_Master!B:B,"Not on master")</f>
        <v>0</v>
      </c>
      <c r="F2846" cm="1">
        <f t="array" ref="F2846">_xlfn.XLOOKUP(C2846,Account_Master!A:A,Account_Master!B:B,"Not on master")</f>
        <v>0</v>
      </c>
      <c r="G2846" cm="1">
        <f t="array" ref="G2846">_xlfn.XLOOKUP(C2846,Account_Master!A:A,Account_Master!C:C,"Not on master")</f>
        <v>0</v>
      </c>
      <c r="H2846" s="6">
        <v>1.2</v>
      </c>
      <c r="I2846" s="6">
        <v>1.2</v>
      </c>
      <c r="J2846" s="6">
        <f>I2846-H2846</f>
        <v>0</v>
      </c>
      <c r="K2846" s="5">
        <f>IF(H2846=0,"",J2846/H2846)</f>
        <v>0</v>
      </c>
      <c r="L2846">
        <f>IF(OR(AND(H2846=0,ABS(J2846)&gt;=0.01),AND(H2846&lt;&gt;0,ABS(K2846)&gt;VarianceThreshold)),"Review","OK")</f>
        <v>0</v>
      </c>
      <c r="M2846" t="s">
        <v>33</v>
      </c>
    </row>
    <row r="2847" spans="1:13">
      <c r="A2847" t="s">
        <v>4</v>
      </c>
      <c r="B2847" t="s">
        <v>552</v>
      </c>
      <c r="C2847" t="s">
        <v>2568</v>
      </c>
      <c r="D2847" t="s">
        <v>165</v>
      </c>
      <c r="E2847" cm="1">
        <f t="array" ref="E2847">_xlfn.XLOOKUP(D2847,SKU_Master!A:A,SKU_Master!B:B,"Not on master")</f>
        <v>0</v>
      </c>
      <c r="F2847" cm="1">
        <f t="array" ref="F2847">_xlfn.XLOOKUP(C2847,Account_Master!A:A,Account_Master!B:B,"Not on master")</f>
        <v>0</v>
      </c>
      <c r="G2847" cm="1">
        <f t="array" ref="G2847">_xlfn.XLOOKUP(C2847,Account_Master!A:A,Account_Master!C:C,"Not on master")</f>
        <v>0</v>
      </c>
      <c r="H2847" s="6">
        <v>24</v>
      </c>
      <c r="I2847" s="6">
        <v>24</v>
      </c>
      <c r="J2847" s="6">
        <f>I2847-H2847</f>
        <v>0</v>
      </c>
      <c r="K2847" s="5">
        <f>IF(H2847=0,"",J2847/H2847)</f>
        <v>0</v>
      </c>
      <c r="L2847">
        <f>IF(OR(AND(H2847=0,ABS(J2847)&gt;=0.01),AND(H2847&lt;&gt;0,ABS(K2847)&gt;VarianceThreshold)),"Review","OK")</f>
        <v>0</v>
      </c>
      <c r="M2847" t="s">
        <v>33</v>
      </c>
    </row>
    <row r="2848" spans="1:13">
      <c r="A2848" t="s">
        <v>4</v>
      </c>
      <c r="B2848" t="s">
        <v>552</v>
      </c>
      <c r="C2848" t="s">
        <v>2457</v>
      </c>
      <c r="D2848" t="s">
        <v>2086</v>
      </c>
      <c r="E2848" cm="1">
        <f t="array" ref="E2848">_xlfn.XLOOKUP(D2848,SKU_Master!A:A,SKU_Master!B:B,"Not on master")</f>
        <v>0</v>
      </c>
      <c r="F2848" cm="1">
        <f t="array" ref="F2848">_xlfn.XLOOKUP(C2848,Account_Master!A:A,Account_Master!B:B,"Not on master")</f>
        <v>0</v>
      </c>
      <c r="G2848" cm="1">
        <f t="array" ref="G2848">_xlfn.XLOOKUP(C2848,Account_Master!A:A,Account_Master!C:C,"Not on master")</f>
        <v>0</v>
      </c>
      <c r="H2848" s="6">
        <v>4.5</v>
      </c>
      <c r="I2848" s="6">
        <v>4.5</v>
      </c>
      <c r="J2848" s="6">
        <f>I2848-H2848</f>
        <v>0</v>
      </c>
      <c r="K2848" s="5">
        <f>IF(H2848=0,"",J2848/H2848)</f>
        <v>0</v>
      </c>
      <c r="L2848">
        <f>IF(OR(AND(H2848=0,ABS(J2848)&gt;=0.01),AND(H2848&lt;&gt;0,ABS(K2848)&gt;VarianceThreshold)),"Review","OK")</f>
        <v>0</v>
      </c>
      <c r="M2848" t="s">
        <v>33</v>
      </c>
    </row>
    <row r="2849" spans="1:13">
      <c r="A2849" t="s">
        <v>4</v>
      </c>
      <c r="B2849" t="s">
        <v>552</v>
      </c>
      <c r="C2849" t="s">
        <v>2600</v>
      </c>
      <c r="D2849" t="s">
        <v>1376</v>
      </c>
      <c r="E2849" cm="1">
        <f t="array" ref="E2849">_xlfn.XLOOKUP(D2849,SKU_Master!A:A,SKU_Master!B:B,"Not on master")</f>
        <v>0</v>
      </c>
      <c r="F2849" cm="1">
        <f t="array" ref="F2849">_xlfn.XLOOKUP(C2849,Account_Master!A:A,Account_Master!B:B,"Not on master")</f>
        <v>0</v>
      </c>
      <c r="G2849" cm="1">
        <f t="array" ref="G2849">_xlfn.XLOOKUP(C2849,Account_Master!A:A,Account_Master!C:C,"Not on master")</f>
        <v>0</v>
      </c>
      <c r="H2849" s="6">
        <v>11.25</v>
      </c>
      <c r="I2849" s="6">
        <v>11.25</v>
      </c>
      <c r="J2849" s="6">
        <f>I2849-H2849</f>
        <v>0</v>
      </c>
      <c r="K2849" s="5">
        <f>IF(H2849=0,"",J2849/H2849)</f>
        <v>0</v>
      </c>
      <c r="L2849">
        <f>IF(OR(AND(H2849=0,ABS(J2849)&gt;=0.01),AND(H2849&lt;&gt;0,ABS(K2849)&gt;VarianceThreshold)),"Review","OK")</f>
        <v>0</v>
      </c>
      <c r="M2849" t="s">
        <v>33</v>
      </c>
    </row>
    <row r="2850" spans="1:13">
      <c r="A2850" t="s">
        <v>4</v>
      </c>
      <c r="B2850" t="s">
        <v>558</v>
      </c>
      <c r="C2850" t="s">
        <v>2433</v>
      </c>
      <c r="D2850" t="s">
        <v>1815</v>
      </c>
      <c r="E2850" cm="1">
        <f t="array" ref="E2850">_xlfn.XLOOKUP(D2850,SKU_Master!A:A,SKU_Master!B:B,"Not on master")</f>
        <v>0</v>
      </c>
      <c r="F2850" cm="1">
        <f t="array" ref="F2850">_xlfn.XLOOKUP(C2850,Account_Master!A:A,Account_Master!B:B,"Not on master")</f>
        <v>0</v>
      </c>
      <c r="G2850" cm="1">
        <f t="array" ref="G2850">_xlfn.XLOOKUP(C2850,Account_Master!A:A,Account_Master!C:C,"Not on master")</f>
        <v>0</v>
      </c>
      <c r="H2850" s="6">
        <v>12.37</v>
      </c>
      <c r="I2850" s="6">
        <v>12.37</v>
      </c>
      <c r="J2850" s="6">
        <f>I2850-H2850</f>
        <v>0</v>
      </c>
      <c r="K2850" s="5">
        <f>IF(H2850=0,"",J2850/H2850)</f>
        <v>0</v>
      </c>
      <c r="L2850">
        <f>IF(OR(AND(H2850=0,ABS(J2850)&gt;=0.01),AND(H2850&lt;&gt;0,ABS(K2850)&gt;VarianceThreshold)),"Review","OK")</f>
        <v>0</v>
      </c>
      <c r="M2850" t="s">
        <v>33</v>
      </c>
    </row>
    <row r="2851" spans="1:13">
      <c r="A2851" t="s">
        <v>4</v>
      </c>
      <c r="B2851" t="s">
        <v>558</v>
      </c>
      <c r="C2851" t="s">
        <v>2412</v>
      </c>
      <c r="D2851" t="s">
        <v>2601</v>
      </c>
      <c r="E2851" cm="1">
        <f t="array" ref="E2851">_xlfn.XLOOKUP(D2851,SKU_Master!A:A,SKU_Master!B:B,"Not on master")</f>
        <v>0</v>
      </c>
      <c r="F2851" cm="1">
        <f t="array" ref="F2851">_xlfn.XLOOKUP(C2851,Account_Master!A:A,Account_Master!B:B,"Not on master")</f>
        <v>0</v>
      </c>
      <c r="G2851" cm="1">
        <f t="array" ref="G2851">_xlfn.XLOOKUP(C2851,Account_Master!A:A,Account_Master!C:C,"Not on master")</f>
        <v>0</v>
      </c>
      <c r="H2851" s="6">
        <v>2.25</v>
      </c>
      <c r="I2851" s="6">
        <v>2.25</v>
      </c>
      <c r="J2851" s="6">
        <f>I2851-H2851</f>
        <v>0</v>
      </c>
      <c r="K2851" s="5">
        <f>IF(H2851=0,"",J2851/H2851)</f>
        <v>0</v>
      </c>
      <c r="L2851">
        <f>IF(OR(AND(H2851=0,ABS(J2851)&gt;=0.01),AND(H2851&lt;&gt;0,ABS(K2851)&gt;VarianceThreshold)),"Review","OK")</f>
        <v>0</v>
      </c>
      <c r="M2851" t="s">
        <v>33</v>
      </c>
    </row>
    <row r="2852" spans="1:13">
      <c r="A2852" t="s">
        <v>4</v>
      </c>
      <c r="B2852" t="s">
        <v>558</v>
      </c>
      <c r="C2852" t="s">
        <v>2602</v>
      </c>
      <c r="D2852" t="s">
        <v>278</v>
      </c>
      <c r="E2852" cm="1">
        <f t="array" ref="E2852">_xlfn.XLOOKUP(D2852,SKU_Master!A:A,SKU_Master!B:B,"Not on master")</f>
        <v>0</v>
      </c>
      <c r="F2852" cm="1">
        <f t="array" ref="F2852">_xlfn.XLOOKUP(C2852,Account_Master!A:A,Account_Master!B:B,"Not on master")</f>
        <v>0</v>
      </c>
      <c r="G2852" cm="1">
        <f t="array" ref="G2852">_xlfn.XLOOKUP(C2852,Account_Master!A:A,Account_Master!C:C,"Not on master")</f>
        <v>0</v>
      </c>
      <c r="H2852" s="6">
        <v>119.25</v>
      </c>
      <c r="I2852" s="6">
        <v>119.25</v>
      </c>
      <c r="J2852" s="6">
        <f>I2852-H2852</f>
        <v>0</v>
      </c>
      <c r="K2852" s="5">
        <f>IF(H2852=0,"",J2852/H2852)</f>
        <v>0</v>
      </c>
      <c r="L2852">
        <f>IF(OR(AND(H2852=0,ABS(J2852)&gt;=0.01),AND(H2852&lt;&gt;0,ABS(K2852)&gt;VarianceThreshold)),"Review","OK")</f>
        <v>0</v>
      </c>
      <c r="M2852" t="s">
        <v>33</v>
      </c>
    </row>
    <row r="2853" spans="1:13">
      <c r="A2853" t="s">
        <v>4</v>
      </c>
      <c r="B2853" t="s">
        <v>558</v>
      </c>
      <c r="C2853" t="s">
        <v>2410</v>
      </c>
      <c r="D2853" t="s">
        <v>2603</v>
      </c>
      <c r="E2853" cm="1">
        <f t="array" ref="E2853">_xlfn.XLOOKUP(D2853,SKU_Master!A:A,SKU_Master!B:B,"Not on master")</f>
        <v>0</v>
      </c>
      <c r="F2853" cm="1">
        <f t="array" ref="F2853">_xlfn.XLOOKUP(C2853,Account_Master!A:A,Account_Master!B:B,"Not on master")</f>
        <v>0</v>
      </c>
      <c r="G2853" cm="1">
        <f t="array" ref="G2853">_xlfn.XLOOKUP(C2853,Account_Master!A:A,Account_Master!C:C,"Not on master")</f>
        <v>0</v>
      </c>
      <c r="H2853" s="6">
        <v>1.5</v>
      </c>
      <c r="I2853" s="6">
        <v>1.5</v>
      </c>
      <c r="J2853" s="6">
        <f>I2853-H2853</f>
        <v>0</v>
      </c>
      <c r="K2853" s="5">
        <f>IF(H2853=0,"",J2853/H2853)</f>
        <v>0</v>
      </c>
      <c r="L2853">
        <f>IF(OR(AND(H2853=0,ABS(J2853)&gt;=0.01),AND(H2853&lt;&gt;0,ABS(K2853)&gt;VarianceThreshold)),"Review","OK")</f>
        <v>0</v>
      </c>
      <c r="M2853" t="s">
        <v>33</v>
      </c>
    </row>
    <row r="2854" spans="1:13">
      <c r="A2854" t="s">
        <v>4</v>
      </c>
      <c r="B2854" t="s">
        <v>558</v>
      </c>
      <c r="C2854" t="s">
        <v>2515</v>
      </c>
      <c r="D2854" t="s">
        <v>472</v>
      </c>
      <c r="E2854" cm="1">
        <f t="array" ref="E2854">_xlfn.XLOOKUP(D2854,SKU_Master!A:A,SKU_Master!B:B,"Not on master")</f>
        <v>0</v>
      </c>
      <c r="F2854" cm="1">
        <f t="array" ref="F2854">_xlfn.XLOOKUP(C2854,Account_Master!A:A,Account_Master!B:B,"Not on master")</f>
        <v>0</v>
      </c>
      <c r="G2854" cm="1">
        <f t="array" ref="G2854">_xlfn.XLOOKUP(C2854,Account_Master!A:A,Account_Master!C:C,"Not on master")</f>
        <v>0</v>
      </c>
      <c r="H2854" s="6">
        <v>10.5</v>
      </c>
      <c r="I2854" s="6">
        <v>10.5</v>
      </c>
      <c r="J2854" s="6">
        <f>I2854-H2854</f>
        <v>0</v>
      </c>
      <c r="K2854" s="5">
        <f>IF(H2854=0,"",J2854/H2854)</f>
        <v>0</v>
      </c>
      <c r="L2854">
        <f>IF(OR(AND(H2854=0,ABS(J2854)&gt;=0.01),AND(H2854&lt;&gt;0,ABS(K2854)&gt;VarianceThreshold)),"Review","OK")</f>
        <v>0</v>
      </c>
      <c r="M2854" t="s">
        <v>33</v>
      </c>
    </row>
    <row r="2855" spans="1:13">
      <c r="A2855" t="s">
        <v>4</v>
      </c>
      <c r="B2855" t="s">
        <v>558</v>
      </c>
      <c r="C2855" t="s">
        <v>2462</v>
      </c>
      <c r="D2855" t="s">
        <v>908</v>
      </c>
      <c r="E2855" cm="1">
        <f t="array" ref="E2855">_xlfn.XLOOKUP(D2855,SKU_Master!A:A,SKU_Master!B:B,"Not on master")</f>
        <v>0</v>
      </c>
      <c r="F2855" cm="1">
        <f t="array" ref="F2855">_xlfn.XLOOKUP(C2855,Account_Master!A:A,Account_Master!B:B,"Not on master")</f>
        <v>0</v>
      </c>
      <c r="G2855" cm="1">
        <f t="array" ref="G2855">_xlfn.XLOOKUP(C2855,Account_Master!A:A,Account_Master!C:C,"Not on master")</f>
        <v>0</v>
      </c>
      <c r="H2855" s="6">
        <v>1.8</v>
      </c>
      <c r="I2855" s="6">
        <v>1.8</v>
      </c>
      <c r="J2855" s="6">
        <f>I2855-H2855</f>
        <v>0</v>
      </c>
      <c r="K2855" s="5">
        <f>IF(H2855=0,"",J2855/H2855)</f>
        <v>0</v>
      </c>
      <c r="L2855">
        <f>IF(OR(AND(H2855=0,ABS(J2855)&gt;=0.01),AND(H2855&lt;&gt;0,ABS(K2855)&gt;VarianceThreshold)),"Review","OK")</f>
        <v>0</v>
      </c>
      <c r="M2855" t="s">
        <v>33</v>
      </c>
    </row>
    <row r="2856" spans="1:13">
      <c r="A2856" t="s">
        <v>4</v>
      </c>
      <c r="B2856" t="s">
        <v>558</v>
      </c>
      <c r="C2856" t="s">
        <v>2455</v>
      </c>
      <c r="D2856" t="s">
        <v>2604</v>
      </c>
      <c r="E2856" cm="1">
        <f t="array" ref="E2856">_xlfn.XLOOKUP(D2856,SKU_Master!A:A,SKU_Master!B:B,"Not on master")</f>
        <v>0</v>
      </c>
      <c r="F2856" cm="1">
        <f t="array" ref="F2856">_xlfn.XLOOKUP(C2856,Account_Master!A:A,Account_Master!B:B,"Not on master")</f>
        <v>0</v>
      </c>
      <c r="G2856" cm="1">
        <f t="array" ref="G2856">_xlfn.XLOOKUP(C2856,Account_Master!A:A,Account_Master!C:C,"Not on master")</f>
        <v>0</v>
      </c>
      <c r="H2856" s="6">
        <v>4.5</v>
      </c>
      <c r="I2856" s="6">
        <v>4.5</v>
      </c>
      <c r="J2856" s="6">
        <f>I2856-H2856</f>
        <v>0</v>
      </c>
      <c r="K2856" s="5">
        <f>IF(H2856=0,"",J2856/H2856)</f>
        <v>0</v>
      </c>
      <c r="L2856">
        <f>IF(OR(AND(H2856=0,ABS(J2856)&gt;=0.01),AND(H2856&lt;&gt;0,ABS(K2856)&gt;VarianceThreshold)),"Review","OK")</f>
        <v>0</v>
      </c>
      <c r="M2856" t="s">
        <v>33</v>
      </c>
    </row>
    <row r="2857" spans="1:13">
      <c r="A2857" t="s">
        <v>4</v>
      </c>
      <c r="B2857" t="s">
        <v>563</v>
      </c>
      <c r="C2857" t="s">
        <v>2416</v>
      </c>
      <c r="D2857" t="s">
        <v>953</v>
      </c>
      <c r="E2857" cm="1">
        <f t="array" ref="E2857">_xlfn.XLOOKUP(D2857,SKU_Master!A:A,SKU_Master!B:B,"Not on master")</f>
        <v>0</v>
      </c>
      <c r="F2857" cm="1">
        <f t="array" ref="F2857">_xlfn.XLOOKUP(C2857,Account_Master!A:A,Account_Master!B:B,"Not on master")</f>
        <v>0</v>
      </c>
      <c r="G2857" cm="1">
        <f t="array" ref="G2857">_xlfn.XLOOKUP(C2857,Account_Master!A:A,Account_Master!C:C,"Not on master")</f>
        <v>0</v>
      </c>
      <c r="H2857" s="6">
        <v>3</v>
      </c>
      <c r="I2857" s="6">
        <v>3</v>
      </c>
      <c r="J2857" s="6">
        <f>I2857-H2857</f>
        <v>0</v>
      </c>
      <c r="K2857" s="5">
        <f>IF(H2857=0,"",J2857/H2857)</f>
        <v>0</v>
      </c>
      <c r="L2857">
        <f>IF(OR(AND(H2857=0,ABS(J2857)&gt;=0.01),AND(H2857&lt;&gt;0,ABS(K2857)&gt;VarianceThreshold)),"Review","OK")</f>
        <v>0</v>
      </c>
      <c r="M2857" t="s">
        <v>33</v>
      </c>
    </row>
    <row r="2858" spans="1:13">
      <c r="A2858" t="s">
        <v>4</v>
      </c>
      <c r="B2858" t="s">
        <v>563</v>
      </c>
      <c r="C2858" t="s">
        <v>2432</v>
      </c>
      <c r="D2858" t="s">
        <v>2605</v>
      </c>
      <c r="E2858" cm="1">
        <f t="array" ref="E2858">_xlfn.XLOOKUP(D2858,SKU_Master!A:A,SKU_Master!B:B,"Not on master")</f>
        <v>0</v>
      </c>
      <c r="F2858" cm="1">
        <f t="array" ref="F2858">_xlfn.XLOOKUP(C2858,Account_Master!A:A,Account_Master!B:B,"Not on master")</f>
        <v>0</v>
      </c>
      <c r="G2858" cm="1">
        <f t="array" ref="G2858">_xlfn.XLOOKUP(C2858,Account_Master!A:A,Account_Master!C:C,"Not on master")</f>
        <v>0</v>
      </c>
      <c r="H2858" s="6">
        <v>0.37</v>
      </c>
      <c r="I2858" s="6">
        <v>0.37</v>
      </c>
      <c r="J2858" s="6">
        <f>I2858-H2858</f>
        <v>0</v>
      </c>
      <c r="K2858" s="5">
        <f>IF(H2858=0,"",J2858/H2858)</f>
        <v>0</v>
      </c>
      <c r="L2858">
        <f>IF(OR(AND(H2858=0,ABS(J2858)&gt;=0.01),AND(H2858&lt;&gt;0,ABS(K2858)&gt;VarianceThreshold)),"Review","OK")</f>
        <v>0</v>
      </c>
      <c r="M2858" t="s">
        <v>33</v>
      </c>
    </row>
    <row r="2859" spans="1:13">
      <c r="A2859" t="s">
        <v>4</v>
      </c>
      <c r="B2859" t="s">
        <v>563</v>
      </c>
      <c r="C2859" t="s">
        <v>2410</v>
      </c>
      <c r="D2859" t="s">
        <v>2606</v>
      </c>
      <c r="E2859" cm="1">
        <f t="array" ref="E2859">_xlfn.XLOOKUP(D2859,SKU_Master!A:A,SKU_Master!B:B,"Not on master")</f>
        <v>0</v>
      </c>
      <c r="F2859" cm="1">
        <f t="array" ref="F2859">_xlfn.XLOOKUP(C2859,Account_Master!A:A,Account_Master!B:B,"Not on master")</f>
        <v>0</v>
      </c>
      <c r="G2859" cm="1">
        <f t="array" ref="G2859">_xlfn.XLOOKUP(C2859,Account_Master!A:A,Account_Master!C:C,"Not on master")</f>
        <v>0</v>
      </c>
      <c r="H2859" s="6">
        <v>12</v>
      </c>
      <c r="I2859" s="6">
        <v>12</v>
      </c>
      <c r="J2859" s="6">
        <f>I2859-H2859</f>
        <v>0</v>
      </c>
      <c r="K2859" s="5">
        <f>IF(H2859=0,"",J2859/H2859)</f>
        <v>0</v>
      </c>
      <c r="L2859">
        <f>IF(OR(AND(H2859=0,ABS(J2859)&gt;=0.01),AND(H2859&lt;&gt;0,ABS(K2859)&gt;VarianceThreshold)),"Review","OK")</f>
        <v>0</v>
      </c>
      <c r="M2859" t="s">
        <v>33</v>
      </c>
    </row>
    <row r="2860" spans="1:13">
      <c r="A2860" t="s">
        <v>4</v>
      </c>
      <c r="B2860" t="s">
        <v>563</v>
      </c>
      <c r="C2860" t="s">
        <v>2414</v>
      </c>
      <c r="D2860" t="s">
        <v>2607</v>
      </c>
      <c r="E2860" cm="1">
        <f t="array" ref="E2860">_xlfn.XLOOKUP(D2860,SKU_Master!A:A,SKU_Master!B:B,"Not on master")</f>
        <v>0</v>
      </c>
      <c r="F2860" cm="1">
        <f t="array" ref="F2860">_xlfn.XLOOKUP(C2860,Account_Master!A:A,Account_Master!B:B,"Not on master")</f>
        <v>0</v>
      </c>
      <c r="G2860" cm="1">
        <f t="array" ref="G2860">_xlfn.XLOOKUP(C2860,Account_Master!A:A,Account_Master!C:C,"Not on master")</f>
        <v>0</v>
      </c>
      <c r="H2860" s="6">
        <v>2.25</v>
      </c>
      <c r="I2860" s="6">
        <v>2.25</v>
      </c>
      <c r="J2860" s="6">
        <f>I2860-H2860</f>
        <v>0</v>
      </c>
      <c r="K2860" s="5">
        <f>IF(H2860=0,"",J2860/H2860)</f>
        <v>0</v>
      </c>
      <c r="L2860">
        <f>IF(OR(AND(H2860=0,ABS(J2860)&gt;=0.01),AND(H2860&lt;&gt;0,ABS(K2860)&gt;VarianceThreshold)),"Review","OK")</f>
        <v>0</v>
      </c>
      <c r="M2860" t="s">
        <v>33</v>
      </c>
    </row>
    <row r="2861" spans="1:13">
      <c r="A2861" t="s">
        <v>4</v>
      </c>
      <c r="B2861" t="s">
        <v>563</v>
      </c>
      <c r="C2861" t="s">
        <v>2479</v>
      </c>
      <c r="D2861" t="s">
        <v>386</v>
      </c>
      <c r="E2861" cm="1">
        <f t="array" ref="E2861">_xlfn.XLOOKUP(D2861,SKU_Master!A:A,SKU_Master!B:B,"Not on master")</f>
        <v>0</v>
      </c>
      <c r="F2861" cm="1">
        <f t="array" ref="F2861">_xlfn.XLOOKUP(C2861,Account_Master!A:A,Account_Master!B:B,"Not on master")</f>
        <v>0</v>
      </c>
      <c r="G2861" cm="1">
        <f t="array" ref="G2861">_xlfn.XLOOKUP(C2861,Account_Master!A:A,Account_Master!C:C,"Not on master")</f>
        <v>0</v>
      </c>
      <c r="H2861" s="6">
        <v>4.8</v>
      </c>
      <c r="I2861" s="6">
        <v>4.8</v>
      </c>
      <c r="J2861" s="6">
        <f>I2861-H2861</f>
        <v>0</v>
      </c>
      <c r="K2861" s="5">
        <f>IF(H2861=0,"",J2861/H2861)</f>
        <v>0</v>
      </c>
      <c r="L2861">
        <f>IF(OR(AND(H2861=0,ABS(J2861)&gt;=0.01),AND(H2861&lt;&gt;0,ABS(K2861)&gt;VarianceThreshold)),"Review","OK")</f>
        <v>0</v>
      </c>
      <c r="M2861" t="s">
        <v>33</v>
      </c>
    </row>
    <row r="2862" spans="1:13">
      <c r="A2862" t="s">
        <v>4</v>
      </c>
      <c r="B2862" t="s">
        <v>563</v>
      </c>
      <c r="C2862" t="s">
        <v>2515</v>
      </c>
      <c r="D2862" t="s">
        <v>2373</v>
      </c>
      <c r="E2862" cm="1">
        <f t="array" ref="E2862">_xlfn.XLOOKUP(D2862,SKU_Master!A:A,SKU_Master!B:B,"Not on master")</f>
        <v>0</v>
      </c>
      <c r="F2862" cm="1">
        <f t="array" ref="F2862">_xlfn.XLOOKUP(C2862,Account_Master!A:A,Account_Master!B:B,"Not on master")</f>
        <v>0</v>
      </c>
      <c r="G2862" cm="1">
        <f t="array" ref="G2862">_xlfn.XLOOKUP(C2862,Account_Master!A:A,Account_Master!C:C,"Not on master")</f>
        <v>0</v>
      </c>
      <c r="H2862" s="6">
        <v>4.9</v>
      </c>
      <c r="I2862" s="6">
        <v>4.9</v>
      </c>
      <c r="J2862" s="6">
        <f>I2862-H2862</f>
        <v>0</v>
      </c>
      <c r="K2862" s="5">
        <f>IF(H2862=0,"",J2862/H2862)</f>
        <v>0</v>
      </c>
      <c r="L2862">
        <f>IF(OR(AND(H2862=0,ABS(J2862)&gt;=0.01),AND(H2862&lt;&gt;0,ABS(K2862)&gt;VarianceThreshold)),"Review","OK")</f>
        <v>0</v>
      </c>
      <c r="M2862" t="s">
        <v>33</v>
      </c>
    </row>
    <row r="2863" spans="1:13">
      <c r="A2863" t="s">
        <v>4</v>
      </c>
      <c r="B2863" t="s">
        <v>563</v>
      </c>
      <c r="C2863" t="s">
        <v>2453</v>
      </c>
      <c r="D2863" t="s">
        <v>1451</v>
      </c>
      <c r="E2863" cm="1">
        <f t="array" ref="E2863">_xlfn.XLOOKUP(D2863,SKU_Master!A:A,SKU_Master!B:B,"Not on master")</f>
        <v>0</v>
      </c>
      <c r="F2863" cm="1">
        <f t="array" ref="F2863">_xlfn.XLOOKUP(C2863,Account_Master!A:A,Account_Master!B:B,"Not on master")</f>
        <v>0</v>
      </c>
      <c r="G2863" cm="1">
        <f t="array" ref="G2863">_xlfn.XLOOKUP(C2863,Account_Master!A:A,Account_Master!C:C,"Not on master")</f>
        <v>0</v>
      </c>
      <c r="H2863" s="6">
        <v>9</v>
      </c>
      <c r="I2863" s="6">
        <v>9</v>
      </c>
      <c r="J2863" s="6">
        <f>I2863-H2863</f>
        <v>0</v>
      </c>
      <c r="K2863" s="5">
        <f>IF(H2863=0,"",J2863/H2863)</f>
        <v>0</v>
      </c>
      <c r="L2863">
        <f>IF(OR(AND(H2863=0,ABS(J2863)&gt;=0.01),AND(H2863&lt;&gt;0,ABS(K2863)&gt;VarianceThreshold)),"Review","OK")</f>
        <v>0</v>
      </c>
      <c r="M2863" t="s">
        <v>33</v>
      </c>
    </row>
    <row r="2864" spans="1:13">
      <c r="A2864" t="s">
        <v>4</v>
      </c>
      <c r="B2864" t="s">
        <v>571</v>
      </c>
      <c r="C2864" t="s">
        <v>2554</v>
      </c>
      <c r="D2864" t="s">
        <v>1934</v>
      </c>
      <c r="E2864" cm="1">
        <f t="array" ref="E2864">_xlfn.XLOOKUP(D2864,SKU_Master!A:A,SKU_Master!B:B,"Not on master")</f>
        <v>0</v>
      </c>
      <c r="F2864" cm="1">
        <f t="array" ref="F2864">_xlfn.XLOOKUP(C2864,Account_Master!A:A,Account_Master!B:B,"Not on master")</f>
        <v>0</v>
      </c>
      <c r="G2864" cm="1">
        <f t="array" ref="G2864">_xlfn.XLOOKUP(C2864,Account_Master!A:A,Account_Master!C:C,"Not on master")</f>
        <v>0</v>
      </c>
      <c r="H2864" s="6">
        <v>0.25</v>
      </c>
      <c r="I2864" s="6">
        <v>0.25</v>
      </c>
      <c r="J2864" s="6">
        <f>I2864-H2864</f>
        <v>0</v>
      </c>
      <c r="K2864" s="5">
        <f>IF(H2864=0,"",J2864/H2864)</f>
        <v>0</v>
      </c>
      <c r="L2864">
        <f>IF(OR(AND(H2864=0,ABS(J2864)&gt;=0.01),AND(H2864&lt;&gt;0,ABS(K2864)&gt;VarianceThreshold)),"Review","OK")</f>
        <v>0</v>
      </c>
      <c r="M2864" t="s">
        <v>33</v>
      </c>
    </row>
    <row r="2865" spans="1:13">
      <c r="A2865" t="s">
        <v>4</v>
      </c>
      <c r="B2865" t="s">
        <v>571</v>
      </c>
      <c r="C2865" t="s">
        <v>2477</v>
      </c>
      <c r="D2865" t="s">
        <v>2608</v>
      </c>
      <c r="E2865" cm="1">
        <f t="array" ref="E2865">_xlfn.XLOOKUP(D2865,SKU_Master!A:A,SKU_Master!B:B,"Not on master")</f>
        <v>0</v>
      </c>
      <c r="F2865" cm="1">
        <f t="array" ref="F2865">_xlfn.XLOOKUP(C2865,Account_Master!A:A,Account_Master!B:B,"Not on master")</f>
        <v>0</v>
      </c>
      <c r="G2865" cm="1">
        <f t="array" ref="G2865">_xlfn.XLOOKUP(C2865,Account_Master!A:A,Account_Master!C:C,"Not on master")</f>
        <v>0</v>
      </c>
      <c r="H2865" s="6">
        <v>248.25</v>
      </c>
      <c r="I2865" s="6">
        <v>257.25</v>
      </c>
      <c r="J2865" s="6">
        <f>I2865-H2865</f>
        <v>0</v>
      </c>
      <c r="K2865" s="5">
        <f>IF(H2865=0,"",J2865/H2865)</f>
        <v>0</v>
      </c>
      <c r="L2865">
        <f>IF(OR(AND(H2865=0,ABS(J2865)&gt;=0.01),AND(H2865&lt;&gt;0,ABS(K2865)&gt;VarianceThreshold)),"Review","OK")</f>
        <v>0</v>
      </c>
      <c r="M2865" t="s">
        <v>33</v>
      </c>
    </row>
    <row r="2866" spans="1:13">
      <c r="A2866" t="s">
        <v>4</v>
      </c>
      <c r="B2866" t="s">
        <v>571</v>
      </c>
      <c r="C2866" t="s">
        <v>2490</v>
      </c>
      <c r="D2866" t="s">
        <v>296</v>
      </c>
      <c r="E2866" cm="1">
        <f t="array" ref="E2866">_xlfn.XLOOKUP(D2866,SKU_Master!A:A,SKU_Master!B:B,"Not on master")</f>
        <v>0</v>
      </c>
      <c r="F2866" cm="1">
        <f t="array" ref="F2866">_xlfn.XLOOKUP(C2866,Account_Master!A:A,Account_Master!B:B,"Not on master")</f>
        <v>0</v>
      </c>
      <c r="G2866" cm="1">
        <f t="array" ref="G2866">_xlfn.XLOOKUP(C2866,Account_Master!A:A,Account_Master!C:C,"Not on master")</f>
        <v>0</v>
      </c>
      <c r="H2866" s="6">
        <v>3</v>
      </c>
      <c r="I2866" s="6">
        <v>3</v>
      </c>
      <c r="J2866" s="6">
        <f>I2866-H2866</f>
        <v>0</v>
      </c>
      <c r="K2866" s="5">
        <f>IF(H2866=0,"",J2866/H2866)</f>
        <v>0</v>
      </c>
      <c r="L2866">
        <f>IF(OR(AND(H2866=0,ABS(J2866)&gt;=0.01),AND(H2866&lt;&gt;0,ABS(K2866)&gt;VarianceThreshold)),"Review","OK")</f>
        <v>0</v>
      </c>
      <c r="M2866" t="s">
        <v>33</v>
      </c>
    </row>
    <row r="2867" spans="1:13">
      <c r="A2867" t="s">
        <v>4</v>
      </c>
      <c r="B2867" t="s">
        <v>571</v>
      </c>
      <c r="C2867" t="s">
        <v>2418</v>
      </c>
      <c r="D2867" t="s">
        <v>222</v>
      </c>
      <c r="E2867" cm="1">
        <f t="array" ref="E2867">_xlfn.XLOOKUP(D2867,SKU_Master!A:A,SKU_Master!B:B,"Not on master")</f>
        <v>0</v>
      </c>
      <c r="F2867" cm="1">
        <f t="array" ref="F2867">_xlfn.XLOOKUP(C2867,Account_Master!A:A,Account_Master!B:B,"Not on master")</f>
        <v>0</v>
      </c>
      <c r="G2867" cm="1">
        <f t="array" ref="G2867">_xlfn.XLOOKUP(C2867,Account_Master!A:A,Account_Master!C:C,"Not on master")</f>
        <v>0</v>
      </c>
      <c r="H2867" s="6">
        <v>11.25</v>
      </c>
      <c r="I2867" s="6">
        <v>11.25</v>
      </c>
      <c r="J2867" s="6">
        <f>I2867-H2867</f>
        <v>0</v>
      </c>
      <c r="K2867" s="5">
        <f>IF(H2867=0,"",J2867/H2867)</f>
        <v>0</v>
      </c>
      <c r="L2867">
        <f>IF(OR(AND(H2867=0,ABS(J2867)&gt;=0.01),AND(H2867&lt;&gt;0,ABS(K2867)&gt;VarianceThreshold)),"Review","OK")</f>
        <v>0</v>
      </c>
      <c r="M2867" t="s">
        <v>33</v>
      </c>
    </row>
    <row r="2868" spans="1:13">
      <c r="A2868" t="s">
        <v>4</v>
      </c>
      <c r="B2868" t="s">
        <v>574</v>
      </c>
      <c r="C2868" t="s">
        <v>2414</v>
      </c>
      <c r="D2868" t="s">
        <v>667</v>
      </c>
      <c r="E2868" cm="1">
        <f t="array" ref="E2868">_xlfn.XLOOKUP(D2868,SKU_Master!A:A,SKU_Master!B:B,"Not on master")</f>
        <v>0</v>
      </c>
      <c r="F2868" cm="1">
        <f t="array" ref="F2868">_xlfn.XLOOKUP(C2868,Account_Master!A:A,Account_Master!B:B,"Not on master")</f>
        <v>0</v>
      </c>
      <c r="G2868" cm="1">
        <f t="array" ref="G2868">_xlfn.XLOOKUP(C2868,Account_Master!A:A,Account_Master!C:C,"Not on master")</f>
        <v>0</v>
      </c>
      <c r="H2868" s="6">
        <v>115.5</v>
      </c>
      <c r="I2868" s="6">
        <v>115.5</v>
      </c>
      <c r="J2868" s="6">
        <f>I2868-H2868</f>
        <v>0</v>
      </c>
      <c r="K2868" s="5">
        <f>IF(H2868=0,"",J2868/H2868)</f>
        <v>0</v>
      </c>
      <c r="L2868">
        <f>IF(OR(AND(H2868=0,ABS(J2868)&gt;=0.01),AND(H2868&lt;&gt;0,ABS(K2868)&gt;VarianceThreshold)),"Review","OK")</f>
        <v>0</v>
      </c>
      <c r="M2868" t="s">
        <v>33</v>
      </c>
    </row>
    <row r="2869" spans="1:13">
      <c r="A2869" t="s">
        <v>4</v>
      </c>
      <c r="B2869" t="s">
        <v>574</v>
      </c>
      <c r="C2869" t="s">
        <v>2432</v>
      </c>
      <c r="D2869" t="s">
        <v>888</v>
      </c>
      <c r="E2869" cm="1">
        <f t="array" ref="E2869">_xlfn.XLOOKUP(D2869,SKU_Master!A:A,SKU_Master!B:B,"Not on master")</f>
        <v>0</v>
      </c>
      <c r="F2869" cm="1">
        <f t="array" ref="F2869">_xlfn.XLOOKUP(C2869,Account_Master!A:A,Account_Master!B:B,"Not on master")</f>
        <v>0</v>
      </c>
      <c r="G2869" cm="1">
        <f t="array" ref="G2869">_xlfn.XLOOKUP(C2869,Account_Master!A:A,Account_Master!C:C,"Not on master")</f>
        <v>0</v>
      </c>
      <c r="H2869" s="6">
        <v>5.25</v>
      </c>
      <c r="I2869" s="6">
        <v>5.25</v>
      </c>
      <c r="J2869" s="6">
        <f>I2869-H2869</f>
        <v>0</v>
      </c>
      <c r="K2869" s="5">
        <f>IF(H2869=0,"",J2869/H2869)</f>
        <v>0</v>
      </c>
      <c r="L2869">
        <f>IF(OR(AND(H2869=0,ABS(J2869)&gt;=0.01),AND(H2869&lt;&gt;0,ABS(K2869)&gt;VarianceThreshold)),"Review","OK")</f>
        <v>0</v>
      </c>
      <c r="M2869" t="s">
        <v>33</v>
      </c>
    </row>
    <row r="2870" spans="1:13">
      <c r="A2870" t="s">
        <v>4</v>
      </c>
      <c r="B2870" t="s">
        <v>574</v>
      </c>
      <c r="C2870" t="s">
        <v>2418</v>
      </c>
      <c r="D2870" t="s">
        <v>409</v>
      </c>
      <c r="E2870" cm="1">
        <f t="array" ref="E2870">_xlfn.XLOOKUP(D2870,SKU_Master!A:A,SKU_Master!B:B,"Not on master")</f>
        <v>0</v>
      </c>
      <c r="F2870" cm="1">
        <f t="array" ref="F2870">_xlfn.XLOOKUP(C2870,Account_Master!A:A,Account_Master!B:B,"Not on master")</f>
        <v>0</v>
      </c>
      <c r="G2870" cm="1">
        <f t="array" ref="G2870">_xlfn.XLOOKUP(C2870,Account_Master!A:A,Account_Master!C:C,"Not on master")</f>
        <v>0</v>
      </c>
      <c r="H2870" s="6">
        <v>138.75</v>
      </c>
      <c r="I2870" s="6">
        <v>138.75</v>
      </c>
      <c r="J2870" s="6">
        <f>I2870-H2870</f>
        <v>0</v>
      </c>
      <c r="K2870" s="5">
        <f>IF(H2870=0,"",J2870/H2870)</f>
        <v>0</v>
      </c>
      <c r="L2870">
        <f>IF(OR(AND(H2870=0,ABS(J2870)&gt;=0.01),AND(H2870&lt;&gt;0,ABS(K2870)&gt;VarianceThreshold)),"Review","OK")</f>
        <v>0</v>
      </c>
      <c r="M2870" t="s">
        <v>33</v>
      </c>
    </row>
    <row r="2871" spans="1:13">
      <c r="A2871" t="s">
        <v>4</v>
      </c>
      <c r="B2871" t="s">
        <v>585</v>
      </c>
      <c r="C2871" t="s">
        <v>2429</v>
      </c>
      <c r="D2871" t="s">
        <v>1468</v>
      </c>
      <c r="E2871" cm="1">
        <f t="array" ref="E2871">_xlfn.XLOOKUP(D2871,SKU_Master!A:A,SKU_Master!B:B,"Not on master")</f>
        <v>0</v>
      </c>
      <c r="F2871" cm="1">
        <f t="array" ref="F2871">_xlfn.XLOOKUP(C2871,Account_Master!A:A,Account_Master!B:B,"Not on master")</f>
        <v>0</v>
      </c>
      <c r="G2871" cm="1">
        <f t="array" ref="G2871">_xlfn.XLOOKUP(C2871,Account_Master!A:A,Account_Master!C:C,"Not on master")</f>
        <v>0</v>
      </c>
      <c r="H2871" s="6">
        <v>64.75</v>
      </c>
      <c r="I2871" s="6">
        <v>64.75</v>
      </c>
      <c r="J2871" s="6">
        <f>I2871-H2871</f>
        <v>0</v>
      </c>
      <c r="K2871" s="5">
        <f>IF(H2871=0,"",J2871/H2871)</f>
        <v>0</v>
      </c>
      <c r="L2871">
        <f>IF(OR(AND(H2871=0,ABS(J2871)&gt;=0.01),AND(H2871&lt;&gt;0,ABS(K2871)&gt;VarianceThreshold)),"Review","OK")</f>
        <v>0</v>
      </c>
      <c r="M2871" t="s">
        <v>33</v>
      </c>
    </row>
    <row r="2872" spans="1:13">
      <c r="A2872" t="s">
        <v>4</v>
      </c>
      <c r="B2872" t="s">
        <v>585</v>
      </c>
      <c r="C2872" t="s">
        <v>2510</v>
      </c>
      <c r="D2872" t="s">
        <v>2609</v>
      </c>
      <c r="E2872" cm="1">
        <f t="array" ref="E2872">_xlfn.XLOOKUP(D2872,SKU_Master!A:A,SKU_Master!B:B,"Not on master")</f>
        <v>0</v>
      </c>
      <c r="F2872" cm="1">
        <f t="array" ref="F2872">_xlfn.XLOOKUP(C2872,Account_Master!A:A,Account_Master!B:B,"Not on master")</f>
        <v>0</v>
      </c>
      <c r="G2872" cm="1">
        <f t="array" ref="G2872">_xlfn.XLOOKUP(C2872,Account_Master!A:A,Account_Master!C:C,"Not on master")</f>
        <v>0</v>
      </c>
      <c r="H2872" s="6">
        <v>9</v>
      </c>
      <c r="I2872" s="6">
        <v>9</v>
      </c>
      <c r="J2872" s="6">
        <f>I2872-H2872</f>
        <v>0</v>
      </c>
      <c r="K2872" s="5">
        <f>IF(H2872=0,"",J2872/H2872)</f>
        <v>0</v>
      </c>
      <c r="L2872">
        <f>IF(OR(AND(H2872=0,ABS(J2872)&gt;=0.01),AND(H2872&lt;&gt;0,ABS(K2872)&gt;VarianceThreshold)),"Review","OK")</f>
        <v>0</v>
      </c>
      <c r="M2872" t="s">
        <v>33</v>
      </c>
    </row>
    <row r="2873" spans="1:13">
      <c r="A2873" t="s">
        <v>4</v>
      </c>
      <c r="B2873" t="s">
        <v>585</v>
      </c>
      <c r="C2873" t="s">
        <v>2414</v>
      </c>
      <c r="D2873" t="s">
        <v>1512</v>
      </c>
      <c r="E2873" cm="1">
        <f t="array" ref="E2873">_xlfn.XLOOKUP(D2873,SKU_Master!A:A,SKU_Master!B:B,"Not on master")</f>
        <v>0</v>
      </c>
      <c r="F2873" cm="1">
        <f t="array" ref="F2873">_xlfn.XLOOKUP(C2873,Account_Master!A:A,Account_Master!B:B,"Not on master")</f>
        <v>0</v>
      </c>
      <c r="G2873" cm="1">
        <f t="array" ref="G2873">_xlfn.XLOOKUP(C2873,Account_Master!A:A,Account_Master!C:C,"Not on master")</f>
        <v>0</v>
      </c>
      <c r="H2873" s="6">
        <v>0.7</v>
      </c>
      <c r="I2873" s="6">
        <v>0.7</v>
      </c>
      <c r="J2873" s="6">
        <f>I2873-H2873</f>
        <v>0</v>
      </c>
      <c r="K2873" s="5">
        <f>IF(H2873=0,"",J2873/H2873)</f>
        <v>0</v>
      </c>
      <c r="L2873">
        <f>IF(OR(AND(H2873=0,ABS(J2873)&gt;=0.01),AND(H2873&lt;&gt;0,ABS(K2873)&gt;VarianceThreshold)),"Review","OK")</f>
        <v>0</v>
      </c>
      <c r="M2873" t="s">
        <v>33</v>
      </c>
    </row>
    <row r="2874" spans="1:13">
      <c r="A2874" t="s">
        <v>4</v>
      </c>
      <c r="B2874" t="s">
        <v>585</v>
      </c>
      <c r="C2874" t="s">
        <v>2521</v>
      </c>
      <c r="D2874" t="s">
        <v>2610</v>
      </c>
      <c r="E2874" cm="1">
        <f t="array" ref="E2874">_xlfn.XLOOKUP(D2874,SKU_Master!A:A,SKU_Master!B:B,"Not on master")</f>
        <v>0</v>
      </c>
      <c r="F2874" cm="1">
        <f t="array" ref="F2874">_xlfn.XLOOKUP(C2874,Account_Master!A:A,Account_Master!B:B,"Not on master")</f>
        <v>0</v>
      </c>
      <c r="G2874" cm="1">
        <f t="array" ref="G2874">_xlfn.XLOOKUP(C2874,Account_Master!A:A,Account_Master!C:C,"Not on master")</f>
        <v>0</v>
      </c>
      <c r="H2874" s="6">
        <v>9</v>
      </c>
      <c r="I2874" s="6">
        <v>9</v>
      </c>
      <c r="J2874" s="6">
        <f>I2874-H2874</f>
        <v>0</v>
      </c>
      <c r="K2874" s="5">
        <f>IF(H2874=0,"",J2874/H2874)</f>
        <v>0</v>
      </c>
      <c r="L2874">
        <f>IF(OR(AND(H2874=0,ABS(J2874)&gt;=0.01),AND(H2874&lt;&gt;0,ABS(K2874)&gt;VarianceThreshold)),"Review","OK")</f>
        <v>0</v>
      </c>
      <c r="M2874" t="s">
        <v>33</v>
      </c>
    </row>
    <row r="2875" spans="1:13">
      <c r="A2875" t="s">
        <v>4</v>
      </c>
      <c r="B2875" t="s">
        <v>585</v>
      </c>
      <c r="C2875" t="s">
        <v>2418</v>
      </c>
      <c r="D2875" t="s">
        <v>2611</v>
      </c>
      <c r="E2875" cm="1">
        <f t="array" ref="E2875">_xlfn.XLOOKUP(D2875,SKU_Master!A:A,SKU_Master!B:B,"Not on master")</f>
        <v>0</v>
      </c>
      <c r="F2875" cm="1">
        <f t="array" ref="F2875">_xlfn.XLOOKUP(C2875,Account_Master!A:A,Account_Master!B:B,"Not on master")</f>
        <v>0</v>
      </c>
      <c r="G2875" cm="1">
        <f t="array" ref="G2875">_xlfn.XLOOKUP(C2875,Account_Master!A:A,Account_Master!C:C,"Not on master")</f>
        <v>0</v>
      </c>
      <c r="H2875" s="6">
        <v>12</v>
      </c>
      <c r="I2875" s="6">
        <v>12</v>
      </c>
      <c r="J2875" s="6">
        <f>I2875-H2875</f>
        <v>0</v>
      </c>
      <c r="K2875" s="5">
        <f>IF(H2875=0,"",J2875/H2875)</f>
        <v>0</v>
      </c>
      <c r="L2875">
        <f>IF(OR(AND(H2875=0,ABS(J2875)&gt;=0.01),AND(H2875&lt;&gt;0,ABS(K2875)&gt;VarianceThreshold)),"Review","OK")</f>
        <v>0</v>
      </c>
      <c r="M2875" t="s">
        <v>33</v>
      </c>
    </row>
    <row r="2876" spans="1:13">
      <c r="A2876" t="s">
        <v>4</v>
      </c>
      <c r="B2876" t="s">
        <v>594</v>
      </c>
      <c r="C2876" t="s">
        <v>2612</v>
      </c>
      <c r="D2876" t="s">
        <v>2613</v>
      </c>
      <c r="E2876" cm="1">
        <f t="array" ref="E2876">_xlfn.XLOOKUP(D2876,SKU_Master!A:A,SKU_Master!B:B,"Not on master")</f>
        <v>0</v>
      </c>
      <c r="F2876" cm="1">
        <f t="array" ref="F2876">_xlfn.XLOOKUP(C2876,Account_Master!A:A,Account_Master!B:B,"Not on master")</f>
        <v>0</v>
      </c>
      <c r="G2876" cm="1">
        <f t="array" ref="G2876">_xlfn.XLOOKUP(C2876,Account_Master!A:A,Account_Master!C:C,"Not on master")</f>
        <v>0</v>
      </c>
      <c r="H2876" s="6">
        <v>1.5</v>
      </c>
      <c r="I2876" s="6">
        <v>1.5</v>
      </c>
      <c r="J2876" s="6">
        <f>I2876-H2876</f>
        <v>0</v>
      </c>
      <c r="K2876" s="5">
        <f>IF(H2876=0,"",J2876/H2876)</f>
        <v>0</v>
      </c>
      <c r="L2876">
        <f>IF(OR(AND(H2876=0,ABS(J2876)&gt;=0.01),AND(H2876&lt;&gt;0,ABS(K2876)&gt;VarianceThreshold)),"Review","OK")</f>
        <v>0</v>
      </c>
      <c r="M2876" t="s">
        <v>33</v>
      </c>
    </row>
    <row r="2877" spans="1:13">
      <c r="A2877" t="s">
        <v>4</v>
      </c>
      <c r="B2877" t="s">
        <v>594</v>
      </c>
      <c r="C2877" t="s">
        <v>2552</v>
      </c>
      <c r="D2877" t="s">
        <v>878</v>
      </c>
      <c r="E2877" cm="1">
        <f t="array" ref="E2877">_xlfn.XLOOKUP(D2877,SKU_Master!A:A,SKU_Master!B:B,"Not on master")</f>
        <v>0</v>
      </c>
      <c r="F2877" cm="1">
        <f t="array" ref="F2877">_xlfn.XLOOKUP(C2877,Account_Master!A:A,Account_Master!B:B,"Not on master")</f>
        <v>0</v>
      </c>
      <c r="G2877" cm="1">
        <f t="array" ref="G2877">_xlfn.XLOOKUP(C2877,Account_Master!A:A,Account_Master!C:C,"Not on master")</f>
        <v>0</v>
      </c>
      <c r="H2877" s="6">
        <v>6.75</v>
      </c>
      <c r="I2877" s="6">
        <v>6.75</v>
      </c>
      <c r="J2877" s="6">
        <f>I2877-H2877</f>
        <v>0</v>
      </c>
      <c r="K2877" s="5">
        <f>IF(H2877=0,"",J2877/H2877)</f>
        <v>0</v>
      </c>
      <c r="L2877">
        <f>IF(OR(AND(H2877=0,ABS(J2877)&gt;=0.01),AND(H2877&lt;&gt;0,ABS(K2877)&gt;VarianceThreshold)),"Review","OK")</f>
        <v>0</v>
      </c>
      <c r="M2877" t="s">
        <v>33</v>
      </c>
    </row>
    <row r="2878" spans="1:13">
      <c r="A2878" t="s">
        <v>4</v>
      </c>
      <c r="B2878" t="s">
        <v>594</v>
      </c>
      <c r="C2878" t="s">
        <v>2614</v>
      </c>
      <c r="D2878" t="s">
        <v>2615</v>
      </c>
      <c r="E2878" cm="1">
        <f t="array" ref="E2878">_xlfn.XLOOKUP(D2878,SKU_Master!A:A,SKU_Master!B:B,"Not on master")</f>
        <v>0</v>
      </c>
      <c r="F2878" cm="1">
        <f t="array" ref="F2878">_xlfn.XLOOKUP(C2878,Account_Master!A:A,Account_Master!B:B,"Not on master")</f>
        <v>0</v>
      </c>
      <c r="G2878" cm="1">
        <f t="array" ref="G2878">_xlfn.XLOOKUP(C2878,Account_Master!A:A,Account_Master!C:C,"Not on master")</f>
        <v>0</v>
      </c>
      <c r="H2878" s="6">
        <v>3.75</v>
      </c>
      <c r="I2878" s="6">
        <v>3.75</v>
      </c>
      <c r="J2878" s="6">
        <f>I2878-H2878</f>
        <v>0</v>
      </c>
      <c r="K2878" s="5">
        <f>IF(H2878=0,"",J2878/H2878)</f>
        <v>0</v>
      </c>
      <c r="L2878">
        <f>IF(OR(AND(H2878=0,ABS(J2878)&gt;=0.01),AND(H2878&lt;&gt;0,ABS(K2878)&gt;VarianceThreshold)),"Review","OK")</f>
        <v>0</v>
      </c>
      <c r="M2878" t="s">
        <v>33</v>
      </c>
    </row>
    <row r="2879" spans="1:13">
      <c r="A2879" t="s">
        <v>4</v>
      </c>
      <c r="B2879" t="s">
        <v>594</v>
      </c>
      <c r="C2879" t="s">
        <v>2418</v>
      </c>
      <c r="D2879" t="s">
        <v>984</v>
      </c>
      <c r="E2879" cm="1">
        <f t="array" ref="E2879">_xlfn.XLOOKUP(D2879,SKU_Master!A:A,SKU_Master!B:B,"Not on master")</f>
        <v>0</v>
      </c>
      <c r="F2879" cm="1">
        <f t="array" ref="F2879">_xlfn.XLOOKUP(C2879,Account_Master!A:A,Account_Master!B:B,"Not on master")</f>
        <v>0</v>
      </c>
      <c r="G2879" cm="1">
        <f t="array" ref="G2879">_xlfn.XLOOKUP(C2879,Account_Master!A:A,Account_Master!C:C,"Not on master")</f>
        <v>0</v>
      </c>
      <c r="H2879" s="6">
        <v>24</v>
      </c>
      <c r="I2879" s="6">
        <v>24</v>
      </c>
      <c r="J2879" s="6">
        <f>I2879-H2879</f>
        <v>0</v>
      </c>
      <c r="K2879" s="5">
        <f>IF(H2879=0,"",J2879/H2879)</f>
        <v>0</v>
      </c>
      <c r="L2879">
        <f>IF(OR(AND(H2879=0,ABS(J2879)&gt;=0.01),AND(H2879&lt;&gt;0,ABS(K2879)&gt;VarianceThreshold)),"Review","OK")</f>
        <v>0</v>
      </c>
      <c r="M2879" t="s">
        <v>33</v>
      </c>
    </row>
    <row r="2880" spans="1:13">
      <c r="A2880" t="s">
        <v>4</v>
      </c>
      <c r="B2880" t="s">
        <v>594</v>
      </c>
      <c r="C2880" t="s">
        <v>2410</v>
      </c>
      <c r="D2880" t="s">
        <v>2616</v>
      </c>
      <c r="E2880" cm="1">
        <f t="array" ref="E2880">_xlfn.XLOOKUP(D2880,SKU_Master!A:A,SKU_Master!B:B,"Not on master")</f>
        <v>0</v>
      </c>
      <c r="F2880" cm="1">
        <f t="array" ref="F2880">_xlfn.XLOOKUP(C2880,Account_Master!A:A,Account_Master!B:B,"Not on master")</f>
        <v>0</v>
      </c>
      <c r="G2880" cm="1">
        <f t="array" ref="G2880">_xlfn.XLOOKUP(C2880,Account_Master!A:A,Account_Master!C:C,"Not on master")</f>
        <v>0</v>
      </c>
      <c r="H2880" s="6">
        <v>0.75</v>
      </c>
      <c r="I2880" s="6">
        <v>0.75</v>
      </c>
      <c r="J2880" s="6">
        <f>I2880-H2880</f>
        <v>0</v>
      </c>
      <c r="K2880" s="5">
        <f>IF(H2880=0,"",J2880/H2880)</f>
        <v>0</v>
      </c>
      <c r="L2880">
        <f>IF(OR(AND(H2880=0,ABS(J2880)&gt;=0.01),AND(H2880&lt;&gt;0,ABS(K2880)&gt;VarianceThreshold)),"Review","OK")</f>
        <v>0</v>
      </c>
      <c r="M2880" t="s">
        <v>33</v>
      </c>
    </row>
    <row r="2881" spans="1:13">
      <c r="A2881" t="s">
        <v>4</v>
      </c>
      <c r="B2881" t="s">
        <v>594</v>
      </c>
      <c r="C2881" t="s">
        <v>2531</v>
      </c>
      <c r="D2881" t="s">
        <v>244</v>
      </c>
      <c r="E2881" cm="1">
        <f t="array" ref="E2881">_xlfn.XLOOKUP(D2881,SKU_Master!A:A,SKU_Master!B:B,"Not on master")</f>
        <v>0</v>
      </c>
      <c r="F2881" cm="1">
        <f t="array" ref="F2881">_xlfn.XLOOKUP(C2881,Account_Master!A:A,Account_Master!B:B,"Not on master")</f>
        <v>0</v>
      </c>
      <c r="G2881" cm="1">
        <f t="array" ref="G2881">_xlfn.XLOOKUP(C2881,Account_Master!A:A,Account_Master!C:C,"Not on master")</f>
        <v>0</v>
      </c>
      <c r="H2881" s="6">
        <v>1.4</v>
      </c>
      <c r="I2881" s="6">
        <v>1.4</v>
      </c>
      <c r="J2881" s="6">
        <f>I2881-H2881</f>
        <v>0</v>
      </c>
      <c r="K2881" s="5">
        <f>IF(H2881=0,"",J2881/H2881)</f>
        <v>0</v>
      </c>
      <c r="L2881">
        <f>IF(OR(AND(H2881=0,ABS(J2881)&gt;=0.01),AND(H2881&lt;&gt;0,ABS(K2881)&gt;VarianceThreshold)),"Review","OK")</f>
        <v>0</v>
      </c>
      <c r="M2881" t="s">
        <v>33</v>
      </c>
    </row>
    <row r="2882" spans="1:13">
      <c r="A2882" t="s">
        <v>4</v>
      </c>
      <c r="B2882" t="s">
        <v>607</v>
      </c>
      <c r="C2882" t="s">
        <v>2416</v>
      </c>
      <c r="D2882" t="s">
        <v>2617</v>
      </c>
      <c r="E2882" cm="1">
        <f t="array" ref="E2882">_xlfn.XLOOKUP(D2882,SKU_Master!A:A,SKU_Master!B:B,"Not on master")</f>
        <v>0</v>
      </c>
      <c r="F2882" cm="1">
        <f t="array" ref="F2882">_xlfn.XLOOKUP(C2882,Account_Master!A:A,Account_Master!B:B,"Not on master")</f>
        <v>0</v>
      </c>
      <c r="G2882" cm="1">
        <f t="array" ref="G2882">_xlfn.XLOOKUP(C2882,Account_Master!A:A,Account_Master!C:C,"Not on master")</f>
        <v>0</v>
      </c>
      <c r="H2882" s="6">
        <v>3</v>
      </c>
      <c r="I2882" s="6">
        <v>3</v>
      </c>
      <c r="J2882" s="6">
        <f>I2882-H2882</f>
        <v>0</v>
      </c>
      <c r="K2882" s="5">
        <f>IF(H2882=0,"",J2882/H2882)</f>
        <v>0</v>
      </c>
      <c r="L2882">
        <f>IF(OR(AND(H2882=0,ABS(J2882)&gt;=0.01),AND(H2882&lt;&gt;0,ABS(K2882)&gt;VarianceThreshold)),"Review","OK")</f>
        <v>0</v>
      </c>
      <c r="M2882" t="s">
        <v>33</v>
      </c>
    </row>
    <row r="2883" spans="1:13">
      <c r="A2883" t="s">
        <v>4</v>
      </c>
      <c r="B2883" t="s">
        <v>607</v>
      </c>
      <c r="C2883" t="s">
        <v>2476</v>
      </c>
      <c r="D2883" t="s">
        <v>2618</v>
      </c>
      <c r="E2883" cm="1">
        <f t="array" ref="E2883">_xlfn.XLOOKUP(D2883,SKU_Master!A:A,SKU_Master!B:B,"Not on master")</f>
        <v>0</v>
      </c>
      <c r="F2883" cm="1">
        <f t="array" ref="F2883">_xlfn.XLOOKUP(C2883,Account_Master!A:A,Account_Master!B:B,"Not on master")</f>
        <v>0</v>
      </c>
      <c r="G2883" cm="1">
        <f t="array" ref="G2883">_xlfn.XLOOKUP(C2883,Account_Master!A:A,Account_Master!C:C,"Not on master")</f>
        <v>0</v>
      </c>
      <c r="H2883" s="6">
        <v>5.6</v>
      </c>
      <c r="I2883" s="6">
        <v>5.6</v>
      </c>
      <c r="J2883" s="6">
        <f>I2883-H2883</f>
        <v>0</v>
      </c>
      <c r="K2883" s="5">
        <f>IF(H2883=0,"",J2883/H2883)</f>
        <v>0</v>
      </c>
      <c r="L2883">
        <f>IF(OR(AND(H2883=0,ABS(J2883)&gt;=0.01),AND(H2883&lt;&gt;0,ABS(K2883)&gt;VarianceThreshold)),"Review","OK")</f>
        <v>0</v>
      </c>
      <c r="M2883" t="s">
        <v>33</v>
      </c>
    </row>
    <row r="2884" spans="1:13">
      <c r="A2884" t="s">
        <v>4</v>
      </c>
      <c r="B2884" t="s">
        <v>607</v>
      </c>
      <c r="C2884" t="s">
        <v>2436</v>
      </c>
      <c r="D2884" t="s">
        <v>387</v>
      </c>
      <c r="E2884" cm="1">
        <f t="array" ref="E2884">_xlfn.XLOOKUP(D2884,SKU_Master!A:A,SKU_Master!B:B,"Not on master")</f>
        <v>0</v>
      </c>
      <c r="F2884" cm="1">
        <f t="array" ref="F2884">_xlfn.XLOOKUP(C2884,Account_Master!A:A,Account_Master!B:B,"Not on master")</f>
        <v>0</v>
      </c>
      <c r="G2884" cm="1">
        <f t="array" ref="G2884">_xlfn.XLOOKUP(C2884,Account_Master!A:A,Account_Master!C:C,"Not on master")</f>
        <v>0</v>
      </c>
      <c r="H2884" s="6">
        <v>9</v>
      </c>
      <c r="I2884" s="6">
        <v>9</v>
      </c>
      <c r="J2884" s="6">
        <f>I2884-H2884</f>
        <v>0</v>
      </c>
      <c r="K2884" s="5">
        <f>IF(H2884=0,"",J2884/H2884)</f>
        <v>0</v>
      </c>
      <c r="L2884">
        <f>IF(OR(AND(H2884=0,ABS(J2884)&gt;=0.01),AND(H2884&lt;&gt;0,ABS(K2884)&gt;VarianceThreshold)),"Review","OK")</f>
        <v>0</v>
      </c>
      <c r="M2884" t="s">
        <v>33</v>
      </c>
    </row>
    <row r="2885" spans="1:13">
      <c r="A2885" t="s">
        <v>4</v>
      </c>
      <c r="B2885" t="s">
        <v>615</v>
      </c>
      <c r="C2885" t="s">
        <v>2614</v>
      </c>
      <c r="D2885" t="s">
        <v>2031</v>
      </c>
      <c r="E2885" cm="1">
        <f t="array" ref="E2885">_xlfn.XLOOKUP(D2885,SKU_Master!A:A,SKU_Master!B:B,"Not on master")</f>
        <v>0</v>
      </c>
      <c r="F2885" cm="1">
        <f t="array" ref="F2885">_xlfn.XLOOKUP(C2885,Account_Master!A:A,Account_Master!B:B,"Not on master")</f>
        <v>0</v>
      </c>
      <c r="G2885" cm="1">
        <f t="array" ref="G2885">_xlfn.XLOOKUP(C2885,Account_Master!A:A,Account_Master!C:C,"Not on master")</f>
        <v>0</v>
      </c>
      <c r="H2885" s="6">
        <v>39</v>
      </c>
      <c r="I2885" s="6">
        <v>39</v>
      </c>
      <c r="J2885" s="6">
        <f>I2885-H2885</f>
        <v>0</v>
      </c>
      <c r="K2885" s="5">
        <f>IF(H2885=0,"",J2885/H2885)</f>
        <v>0</v>
      </c>
      <c r="L2885">
        <f>IF(OR(AND(H2885=0,ABS(J2885)&gt;=0.01),AND(H2885&lt;&gt;0,ABS(K2885)&gt;VarianceThreshold)),"Review","OK")</f>
        <v>0</v>
      </c>
      <c r="M2885" t="s">
        <v>33</v>
      </c>
    </row>
    <row r="2886" spans="1:13">
      <c r="A2886" t="s">
        <v>4</v>
      </c>
      <c r="B2886" t="s">
        <v>615</v>
      </c>
      <c r="C2886" t="s">
        <v>2619</v>
      </c>
      <c r="D2886" t="s">
        <v>590</v>
      </c>
      <c r="E2886" cm="1">
        <f t="array" ref="E2886">_xlfn.XLOOKUP(D2886,SKU_Master!A:A,SKU_Master!B:B,"Not on master")</f>
        <v>0</v>
      </c>
      <c r="F2886" cm="1">
        <f t="array" ref="F2886">_xlfn.XLOOKUP(C2886,Account_Master!A:A,Account_Master!B:B,"Not on master")</f>
        <v>0</v>
      </c>
      <c r="G2886" cm="1">
        <f t="array" ref="G2886">_xlfn.XLOOKUP(C2886,Account_Master!A:A,Account_Master!C:C,"Not on master")</f>
        <v>0</v>
      </c>
      <c r="H2886" s="6">
        <v>9.75</v>
      </c>
      <c r="I2886" s="6">
        <v>9.75</v>
      </c>
      <c r="J2886" s="6">
        <f>I2886-H2886</f>
        <v>0</v>
      </c>
      <c r="K2886" s="5">
        <f>IF(H2886=0,"",J2886/H2886)</f>
        <v>0</v>
      </c>
      <c r="L2886">
        <f>IF(OR(AND(H2886=0,ABS(J2886)&gt;=0.01),AND(H2886&lt;&gt;0,ABS(K2886)&gt;VarianceThreshold)),"Review","OK")</f>
        <v>0</v>
      </c>
      <c r="M2886" t="s">
        <v>33</v>
      </c>
    </row>
    <row r="2887" spans="1:13">
      <c r="A2887" t="s">
        <v>4</v>
      </c>
      <c r="B2887" t="s">
        <v>615</v>
      </c>
      <c r="C2887" t="s">
        <v>2543</v>
      </c>
      <c r="D2887" t="s">
        <v>1882</v>
      </c>
      <c r="E2887" cm="1">
        <f t="array" ref="E2887">_xlfn.XLOOKUP(D2887,SKU_Master!A:A,SKU_Master!B:B,"Not on master")</f>
        <v>0</v>
      </c>
      <c r="F2887" cm="1">
        <f t="array" ref="F2887">_xlfn.XLOOKUP(C2887,Account_Master!A:A,Account_Master!B:B,"Not on master")</f>
        <v>0</v>
      </c>
      <c r="G2887" cm="1">
        <f t="array" ref="G2887">_xlfn.XLOOKUP(C2887,Account_Master!A:A,Account_Master!C:C,"Not on master")</f>
        <v>0</v>
      </c>
      <c r="H2887" s="6">
        <v>10.5</v>
      </c>
      <c r="I2887" s="6">
        <v>10.5</v>
      </c>
      <c r="J2887" s="6">
        <f>I2887-H2887</f>
        <v>0</v>
      </c>
      <c r="K2887" s="5">
        <f>IF(H2887=0,"",J2887/H2887)</f>
        <v>0</v>
      </c>
      <c r="L2887">
        <f>IF(OR(AND(H2887=0,ABS(J2887)&gt;=0.01),AND(H2887&lt;&gt;0,ABS(K2887)&gt;VarianceThreshold)),"Review","OK")</f>
        <v>0</v>
      </c>
      <c r="M2887" t="s">
        <v>33</v>
      </c>
    </row>
    <row r="2888" spans="1:13">
      <c r="A2888" t="s">
        <v>4</v>
      </c>
      <c r="B2888" t="s">
        <v>615</v>
      </c>
      <c r="C2888" t="s">
        <v>2620</v>
      </c>
      <c r="D2888" t="s">
        <v>2621</v>
      </c>
      <c r="E2888" cm="1">
        <f t="array" ref="E2888">_xlfn.XLOOKUP(D2888,SKU_Master!A:A,SKU_Master!B:B,"Not on master")</f>
        <v>0</v>
      </c>
      <c r="F2888" cm="1">
        <f t="array" ref="F2888">_xlfn.XLOOKUP(C2888,Account_Master!A:A,Account_Master!B:B,"Not on master")</f>
        <v>0</v>
      </c>
      <c r="G2888" cm="1">
        <f t="array" ref="G2888">_xlfn.XLOOKUP(C2888,Account_Master!A:A,Account_Master!C:C,"Not on master")</f>
        <v>0</v>
      </c>
      <c r="H2888" s="6">
        <v>12</v>
      </c>
      <c r="I2888" s="6">
        <v>12</v>
      </c>
      <c r="J2888" s="6">
        <f>I2888-H2888</f>
        <v>0</v>
      </c>
      <c r="K2888" s="5">
        <f>IF(H2888=0,"",J2888/H2888)</f>
        <v>0</v>
      </c>
      <c r="L2888">
        <f>IF(OR(AND(H2888=0,ABS(J2888)&gt;=0.01),AND(H2888&lt;&gt;0,ABS(K2888)&gt;VarianceThreshold)),"Review","OK")</f>
        <v>0</v>
      </c>
      <c r="M2888" t="s">
        <v>33</v>
      </c>
    </row>
    <row r="2889" spans="1:13">
      <c r="A2889" t="s">
        <v>4</v>
      </c>
      <c r="B2889" t="s">
        <v>624</v>
      </c>
      <c r="C2889" t="s">
        <v>2472</v>
      </c>
      <c r="D2889" t="s">
        <v>235</v>
      </c>
      <c r="E2889" cm="1">
        <f t="array" ref="E2889">_xlfn.XLOOKUP(D2889,SKU_Master!A:A,SKU_Master!B:B,"Not on master")</f>
        <v>0</v>
      </c>
      <c r="F2889" cm="1">
        <f t="array" ref="F2889">_xlfn.XLOOKUP(C2889,Account_Master!A:A,Account_Master!B:B,"Not on master")</f>
        <v>0</v>
      </c>
      <c r="G2889" cm="1">
        <f t="array" ref="G2889">_xlfn.XLOOKUP(C2889,Account_Master!A:A,Account_Master!C:C,"Not on master")</f>
        <v>0</v>
      </c>
      <c r="H2889" s="6">
        <v>9</v>
      </c>
      <c r="I2889" s="6">
        <v>9</v>
      </c>
      <c r="J2889" s="6">
        <f>I2889-H2889</f>
        <v>0</v>
      </c>
      <c r="K2889" s="5">
        <f>IF(H2889=0,"",J2889/H2889)</f>
        <v>0</v>
      </c>
      <c r="L2889">
        <f>IF(OR(AND(H2889=0,ABS(J2889)&gt;=0.01),AND(H2889&lt;&gt;0,ABS(K2889)&gt;VarianceThreshold)),"Review","OK")</f>
        <v>0</v>
      </c>
      <c r="M2889" t="s">
        <v>33</v>
      </c>
    </row>
    <row r="2890" spans="1:13">
      <c r="A2890" t="s">
        <v>4</v>
      </c>
      <c r="B2890" t="s">
        <v>624</v>
      </c>
      <c r="C2890" t="s">
        <v>2533</v>
      </c>
      <c r="D2890" t="s">
        <v>1079</v>
      </c>
      <c r="E2890" cm="1">
        <f t="array" ref="E2890">_xlfn.XLOOKUP(D2890,SKU_Master!A:A,SKU_Master!B:B,"Not on master")</f>
        <v>0</v>
      </c>
      <c r="F2890" cm="1">
        <f t="array" ref="F2890">_xlfn.XLOOKUP(C2890,Account_Master!A:A,Account_Master!B:B,"Not on master")</f>
        <v>0</v>
      </c>
      <c r="G2890" cm="1">
        <f t="array" ref="G2890">_xlfn.XLOOKUP(C2890,Account_Master!A:A,Account_Master!C:C,"Not on master")</f>
        <v>0</v>
      </c>
      <c r="H2890" s="6">
        <v>3.75</v>
      </c>
      <c r="I2890" s="6">
        <v>3.75</v>
      </c>
      <c r="J2890" s="6">
        <f>I2890-H2890</f>
        <v>0</v>
      </c>
      <c r="K2890" s="5">
        <f>IF(H2890=0,"",J2890/H2890)</f>
        <v>0</v>
      </c>
      <c r="L2890">
        <f>IF(OR(AND(H2890=0,ABS(J2890)&gt;=0.01),AND(H2890&lt;&gt;0,ABS(K2890)&gt;VarianceThreshold)),"Review","OK")</f>
        <v>0</v>
      </c>
      <c r="M2890" t="s">
        <v>33</v>
      </c>
    </row>
    <row r="2891" spans="1:13">
      <c r="A2891" t="s">
        <v>4</v>
      </c>
      <c r="B2891" t="s">
        <v>624</v>
      </c>
      <c r="C2891" t="s">
        <v>2622</v>
      </c>
      <c r="D2891" t="s">
        <v>583</v>
      </c>
      <c r="E2891" cm="1">
        <f t="array" ref="E2891">_xlfn.XLOOKUP(D2891,SKU_Master!A:A,SKU_Master!B:B,"Not on master")</f>
        <v>0</v>
      </c>
      <c r="F2891" cm="1">
        <f t="array" ref="F2891">_xlfn.XLOOKUP(C2891,Account_Master!A:A,Account_Master!B:B,"Not on master")</f>
        <v>0</v>
      </c>
      <c r="G2891" cm="1">
        <f t="array" ref="G2891">_xlfn.XLOOKUP(C2891,Account_Master!A:A,Account_Master!C:C,"Not on master")</f>
        <v>0</v>
      </c>
      <c r="H2891" s="6">
        <v>41.25</v>
      </c>
      <c r="I2891" s="6">
        <v>41.25</v>
      </c>
      <c r="J2891" s="6">
        <f>I2891-H2891</f>
        <v>0</v>
      </c>
      <c r="K2891" s="5">
        <f>IF(H2891=0,"",J2891/H2891)</f>
        <v>0</v>
      </c>
      <c r="L2891">
        <f>IF(OR(AND(H2891=0,ABS(J2891)&gt;=0.01),AND(H2891&lt;&gt;0,ABS(K2891)&gt;VarianceThreshold)),"Review","OK")</f>
        <v>0</v>
      </c>
      <c r="M2891" t="s">
        <v>33</v>
      </c>
    </row>
    <row r="2892" spans="1:13">
      <c r="A2892" t="s">
        <v>4</v>
      </c>
      <c r="B2892" t="s">
        <v>624</v>
      </c>
      <c r="C2892" t="s">
        <v>2623</v>
      </c>
      <c r="D2892" t="s">
        <v>556</v>
      </c>
      <c r="E2892" cm="1">
        <f t="array" ref="E2892">_xlfn.XLOOKUP(D2892,SKU_Master!A:A,SKU_Master!B:B,"Not on master")</f>
        <v>0</v>
      </c>
      <c r="F2892" cm="1">
        <f t="array" ref="F2892">_xlfn.XLOOKUP(C2892,Account_Master!A:A,Account_Master!B:B,"Not on master")</f>
        <v>0</v>
      </c>
      <c r="G2892" cm="1">
        <f t="array" ref="G2892">_xlfn.XLOOKUP(C2892,Account_Master!A:A,Account_Master!C:C,"Not on master")</f>
        <v>0</v>
      </c>
      <c r="H2892" s="6">
        <v>18</v>
      </c>
      <c r="I2892" s="6">
        <v>18</v>
      </c>
      <c r="J2892" s="6">
        <f>I2892-H2892</f>
        <v>0</v>
      </c>
      <c r="K2892" s="5">
        <f>IF(H2892=0,"",J2892/H2892)</f>
        <v>0</v>
      </c>
      <c r="L2892">
        <f>IF(OR(AND(H2892=0,ABS(J2892)&gt;=0.01),AND(H2892&lt;&gt;0,ABS(K2892)&gt;VarianceThreshold)),"Review","OK")</f>
        <v>0</v>
      </c>
      <c r="M2892" t="s">
        <v>33</v>
      </c>
    </row>
    <row r="2893" spans="1:13">
      <c r="A2893" t="s">
        <v>4</v>
      </c>
      <c r="B2893" t="s">
        <v>624</v>
      </c>
      <c r="C2893" t="s">
        <v>2533</v>
      </c>
      <c r="D2893" t="s">
        <v>219</v>
      </c>
      <c r="E2893" cm="1">
        <f t="array" ref="E2893">_xlfn.XLOOKUP(D2893,SKU_Master!A:A,SKU_Master!B:B,"Not on master")</f>
        <v>0</v>
      </c>
      <c r="F2893" cm="1">
        <f t="array" ref="F2893">_xlfn.XLOOKUP(C2893,Account_Master!A:A,Account_Master!B:B,"Not on master")</f>
        <v>0</v>
      </c>
      <c r="G2893" cm="1">
        <f t="array" ref="G2893">_xlfn.XLOOKUP(C2893,Account_Master!A:A,Account_Master!C:C,"Not on master")</f>
        <v>0</v>
      </c>
      <c r="H2893" s="6">
        <v>6</v>
      </c>
      <c r="I2893" s="6">
        <v>6</v>
      </c>
      <c r="J2893" s="6">
        <f>I2893-H2893</f>
        <v>0</v>
      </c>
      <c r="K2893" s="5">
        <f>IF(H2893=0,"",J2893/H2893)</f>
        <v>0</v>
      </c>
      <c r="L2893">
        <f>IF(OR(AND(H2893=0,ABS(J2893)&gt;=0.01),AND(H2893&lt;&gt;0,ABS(K2893)&gt;VarianceThreshold)),"Review","OK")</f>
        <v>0</v>
      </c>
      <c r="M2893" t="s">
        <v>33</v>
      </c>
    </row>
    <row r="2894" spans="1:13">
      <c r="A2894" t="s">
        <v>4</v>
      </c>
      <c r="B2894" t="s">
        <v>624</v>
      </c>
      <c r="C2894" t="s">
        <v>2432</v>
      </c>
      <c r="D2894" t="s">
        <v>2624</v>
      </c>
      <c r="E2894" cm="1">
        <f t="array" ref="E2894">_xlfn.XLOOKUP(D2894,SKU_Master!A:A,SKU_Master!B:B,"Not on master")</f>
        <v>0</v>
      </c>
      <c r="F2894" cm="1">
        <f t="array" ref="F2894">_xlfn.XLOOKUP(C2894,Account_Master!A:A,Account_Master!B:B,"Not on master")</f>
        <v>0</v>
      </c>
      <c r="G2894" cm="1">
        <f t="array" ref="G2894">_xlfn.XLOOKUP(C2894,Account_Master!A:A,Account_Master!C:C,"Not on master")</f>
        <v>0</v>
      </c>
      <c r="H2894" s="6">
        <v>0.75</v>
      </c>
      <c r="I2894" s="6">
        <v>0.75</v>
      </c>
      <c r="J2894" s="6">
        <f>I2894-H2894</f>
        <v>0</v>
      </c>
      <c r="K2894" s="5">
        <f>IF(H2894=0,"",J2894/H2894)</f>
        <v>0</v>
      </c>
      <c r="L2894">
        <f>IF(OR(AND(H2894=0,ABS(J2894)&gt;=0.01),AND(H2894&lt;&gt;0,ABS(K2894)&gt;VarianceThreshold)),"Review","OK")</f>
        <v>0</v>
      </c>
      <c r="M2894" t="s">
        <v>33</v>
      </c>
    </row>
    <row r="2895" spans="1:13">
      <c r="A2895" t="s">
        <v>4</v>
      </c>
      <c r="B2895" t="s">
        <v>624</v>
      </c>
      <c r="C2895" t="s">
        <v>2554</v>
      </c>
      <c r="D2895" t="s">
        <v>2625</v>
      </c>
      <c r="E2895" cm="1">
        <f t="array" ref="E2895">_xlfn.XLOOKUP(D2895,SKU_Master!A:A,SKU_Master!B:B,"Not on master")</f>
        <v>0</v>
      </c>
      <c r="F2895" cm="1">
        <f t="array" ref="F2895">_xlfn.XLOOKUP(C2895,Account_Master!A:A,Account_Master!B:B,"Not on master")</f>
        <v>0</v>
      </c>
      <c r="G2895" cm="1">
        <f t="array" ref="G2895">_xlfn.XLOOKUP(C2895,Account_Master!A:A,Account_Master!C:C,"Not on master")</f>
        <v>0</v>
      </c>
      <c r="H2895" s="6">
        <v>1.5</v>
      </c>
      <c r="I2895" s="6">
        <v>1.5</v>
      </c>
      <c r="J2895" s="6">
        <f>I2895-H2895</f>
        <v>0</v>
      </c>
      <c r="K2895" s="5">
        <f>IF(H2895=0,"",J2895/H2895)</f>
        <v>0</v>
      </c>
      <c r="L2895">
        <f>IF(OR(AND(H2895=0,ABS(J2895)&gt;=0.01),AND(H2895&lt;&gt;0,ABS(K2895)&gt;VarianceThreshold)),"Review","OK")</f>
        <v>0</v>
      </c>
      <c r="M2895" t="s">
        <v>33</v>
      </c>
    </row>
    <row r="2896" spans="1:13">
      <c r="A2896" t="s">
        <v>4</v>
      </c>
      <c r="B2896" t="s">
        <v>635</v>
      </c>
      <c r="C2896" t="s">
        <v>2612</v>
      </c>
      <c r="D2896" t="s">
        <v>2626</v>
      </c>
      <c r="E2896" cm="1">
        <f t="array" ref="E2896">_xlfn.XLOOKUP(D2896,SKU_Master!A:A,SKU_Master!B:B,"Not on master")</f>
        <v>0</v>
      </c>
      <c r="F2896" cm="1">
        <f t="array" ref="F2896">_xlfn.XLOOKUP(C2896,Account_Master!A:A,Account_Master!B:B,"Not on master")</f>
        <v>0</v>
      </c>
      <c r="G2896" cm="1">
        <f t="array" ref="G2896">_xlfn.XLOOKUP(C2896,Account_Master!A:A,Account_Master!C:C,"Not on master")</f>
        <v>0</v>
      </c>
      <c r="H2896" s="6">
        <v>0.75</v>
      </c>
      <c r="I2896" s="6">
        <v>0.75</v>
      </c>
      <c r="J2896" s="6">
        <f>I2896-H2896</f>
        <v>0</v>
      </c>
      <c r="K2896" s="5">
        <f>IF(H2896=0,"",J2896/H2896)</f>
        <v>0</v>
      </c>
      <c r="L2896">
        <f>IF(OR(AND(H2896=0,ABS(J2896)&gt;=0.01),AND(H2896&lt;&gt;0,ABS(K2896)&gt;VarianceThreshold)),"Review","OK")</f>
        <v>0</v>
      </c>
      <c r="M2896" t="s">
        <v>33</v>
      </c>
    </row>
    <row r="2897" spans="1:13">
      <c r="A2897" t="s">
        <v>4</v>
      </c>
      <c r="B2897" t="s">
        <v>635</v>
      </c>
      <c r="C2897" t="s">
        <v>2477</v>
      </c>
      <c r="D2897" t="s">
        <v>2389</v>
      </c>
      <c r="E2897" cm="1">
        <f t="array" ref="E2897">_xlfn.XLOOKUP(D2897,SKU_Master!A:A,SKU_Master!B:B,"Not on master")</f>
        <v>0</v>
      </c>
      <c r="F2897" cm="1">
        <f t="array" ref="F2897">_xlfn.XLOOKUP(C2897,Account_Master!A:A,Account_Master!B:B,"Not on master")</f>
        <v>0</v>
      </c>
      <c r="G2897" cm="1">
        <f t="array" ref="G2897">_xlfn.XLOOKUP(C2897,Account_Master!A:A,Account_Master!C:C,"Not on master")</f>
        <v>0</v>
      </c>
      <c r="H2897" s="6">
        <v>8.25</v>
      </c>
      <c r="I2897" s="6">
        <v>8.25</v>
      </c>
      <c r="J2897" s="6">
        <f>I2897-H2897</f>
        <v>0</v>
      </c>
      <c r="K2897" s="5">
        <f>IF(H2897=0,"",J2897/H2897)</f>
        <v>0</v>
      </c>
      <c r="L2897">
        <f>IF(OR(AND(H2897=0,ABS(J2897)&gt;=0.01),AND(H2897&lt;&gt;0,ABS(K2897)&gt;VarianceThreshold)),"Review","OK")</f>
        <v>0</v>
      </c>
      <c r="M2897" t="s">
        <v>33</v>
      </c>
    </row>
    <row r="2898" spans="1:13">
      <c r="A2898" t="s">
        <v>4</v>
      </c>
      <c r="B2898" t="s">
        <v>635</v>
      </c>
      <c r="C2898" t="s">
        <v>2414</v>
      </c>
      <c r="D2898" t="s">
        <v>1672</v>
      </c>
      <c r="E2898" cm="1">
        <f t="array" ref="E2898">_xlfn.XLOOKUP(D2898,SKU_Master!A:A,SKU_Master!B:B,"Not on master")</f>
        <v>0</v>
      </c>
      <c r="F2898" cm="1">
        <f t="array" ref="F2898">_xlfn.XLOOKUP(C2898,Account_Master!A:A,Account_Master!B:B,"Not on master")</f>
        <v>0</v>
      </c>
      <c r="G2898" cm="1">
        <f t="array" ref="G2898">_xlfn.XLOOKUP(C2898,Account_Master!A:A,Account_Master!C:C,"Not on master")</f>
        <v>0</v>
      </c>
      <c r="H2898" s="6">
        <v>9</v>
      </c>
      <c r="I2898" s="6">
        <v>9</v>
      </c>
      <c r="J2898" s="6">
        <f>I2898-H2898</f>
        <v>0</v>
      </c>
      <c r="K2898" s="5">
        <f>IF(H2898=0,"",J2898/H2898)</f>
        <v>0</v>
      </c>
      <c r="L2898">
        <f>IF(OR(AND(H2898=0,ABS(J2898)&gt;=0.01),AND(H2898&lt;&gt;0,ABS(K2898)&gt;VarianceThreshold)),"Review","OK")</f>
        <v>0</v>
      </c>
      <c r="M2898" t="s">
        <v>33</v>
      </c>
    </row>
    <row r="2899" spans="1:13">
      <c r="A2899" t="s">
        <v>4</v>
      </c>
      <c r="B2899" t="s">
        <v>635</v>
      </c>
      <c r="C2899" t="s">
        <v>2472</v>
      </c>
      <c r="D2899" t="s">
        <v>1450</v>
      </c>
      <c r="E2899" cm="1">
        <f t="array" ref="E2899">_xlfn.XLOOKUP(D2899,SKU_Master!A:A,SKU_Master!B:B,"Not on master")</f>
        <v>0</v>
      </c>
      <c r="F2899" cm="1">
        <f t="array" ref="F2899">_xlfn.XLOOKUP(C2899,Account_Master!A:A,Account_Master!B:B,"Not on master")</f>
        <v>0</v>
      </c>
      <c r="G2899" cm="1">
        <f t="array" ref="G2899">_xlfn.XLOOKUP(C2899,Account_Master!A:A,Account_Master!C:C,"Not on master")</f>
        <v>0</v>
      </c>
      <c r="H2899" s="6">
        <v>10.5</v>
      </c>
      <c r="I2899" s="6">
        <v>10.5</v>
      </c>
      <c r="J2899" s="6">
        <f>I2899-H2899</f>
        <v>0</v>
      </c>
      <c r="K2899" s="5">
        <f>IF(H2899=0,"",J2899/H2899)</f>
        <v>0</v>
      </c>
      <c r="L2899">
        <f>IF(OR(AND(H2899=0,ABS(J2899)&gt;=0.01),AND(H2899&lt;&gt;0,ABS(K2899)&gt;VarianceThreshold)),"Review","OK")</f>
        <v>0</v>
      </c>
      <c r="M2899" t="s">
        <v>33</v>
      </c>
    </row>
    <row r="2900" spans="1:13">
      <c r="A2900" t="s">
        <v>4</v>
      </c>
      <c r="B2900" t="s">
        <v>635</v>
      </c>
      <c r="C2900" t="s">
        <v>2453</v>
      </c>
      <c r="D2900" t="s">
        <v>237</v>
      </c>
      <c r="E2900" cm="1">
        <f t="array" ref="E2900">_xlfn.XLOOKUP(D2900,SKU_Master!A:A,SKU_Master!B:B,"Not on master")</f>
        <v>0</v>
      </c>
      <c r="F2900" cm="1">
        <f t="array" ref="F2900">_xlfn.XLOOKUP(C2900,Account_Master!A:A,Account_Master!B:B,"Not on master")</f>
        <v>0</v>
      </c>
      <c r="G2900" cm="1">
        <f t="array" ref="G2900">_xlfn.XLOOKUP(C2900,Account_Master!A:A,Account_Master!C:C,"Not on master")</f>
        <v>0</v>
      </c>
      <c r="H2900" s="6">
        <v>37.5</v>
      </c>
      <c r="I2900" s="6">
        <v>37.5</v>
      </c>
      <c r="J2900" s="6">
        <f>I2900-H2900</f>
        <v>0</v>
      </c>
      <c r="K2900" s="5">
        <f>IF(H2900=0,"",J2900/H2900)</f>
        <v>0</v>
      </c>
      <c r="L2900">
        <f>IF(OR(AND(H2900=0,ABS(J2900)&gt;=0.01),AND(H2900&lt;&gt;0,ABS(K2900)&gt;VarianceThreshold)),"Review","OK")</f>
        <v>0</v>
      </c>
      <c r="M2900" t="s">
        <v>33</v>
      </c>
    </row>
    <row r="2901" spans="1:13">
      <c r="A2901" t="s">
        <v>4</v>
      </c>
      <c r="B2901" t="s">
        <v>635</v>
      </c>
      <c r="C2901" t="s">
        <v>2410</v>
      </c>
      <c r="D2901" t="s">
        <v>459</v>
      </c>
      <c r="E2901" cm="1">
        <f t="array" ref="E2901">_xlfn.XLOOKUP(D2901,SKU_Master!A:A,SKU_Master!B:B,"Not on master")</f>
        <v>0</v>
      </c>
      <c r="F2901" cm="1">
        <f t="array" ref="F2901">_xlfn.XLOOKUP(C2901,Account_Master!A:A,Account_Master!B:B,"Not on master")</f>
        <v>0</v>
      </c>
      <c r="G2901" cm="1">
        <f t="array" ref="G2901">_xlfn.XLOOKUP(C2901,Account_Master!A:A,Account_Master!C:C,"Not on master")</f>
        <v>0</v>
      </c>
      <c r="H2901" s="6">
        <v>3</v>
      </c>
      <c r="I2901" s="6">
        <v>3</v>
      </c>
      <c r="J2901" s="6">
        <f>I2901-H2901</f>
        <v>0</v>
      </c>
      <c r="K2901" s="5">
        <f>IF(H2901=0,"",J2901/H2901)</f>
        <v>0</v>
      </c>
      <c r="L2901">
        <f>IF(OR(AND(H2901=0,ABS(J2901)&gt;=0.01),AND(H2901&lt;&gt;0,ABS(K2901)&gt;VarianceThreshold)),"Review","OK")</f>
        <v>0</v>
      </c>
      <c r="M2901" t="s">
        <v>33</v>
      </c>
    </row>
    <row r="2902" spans="1:13">
      <c r="A2902" t="s">
        <v>4</v>
      </c>
      <c r="B2902" t="s">
        <v>635</v>
      </c>
      <c r="C2902" t="s">
        <v>2410</v>
      </c>
      <c r="D2902" t="s">
        <v>1015</v>
      </c>
      <c r="E2902" cm="1">
        <f t="array" ref="E2902">_xlfn.XLOOKUP(D2902,SKU_Master!A:A,SKU_Master!B:B,"Not on master")</f>
        <v>0</v>
      </c>
      <c r="F2902" cm="1">
        <f t="array" ref="F2902">_xlfn.XLOOKUP(C2902,Account_Master!A:A,Account_Master!B:B,"Not on master")</f>
        <v>0</v>
      </c>
      <c r="G2902" cm="1">
        <f t="array" ref="G2902">_xlfn.XLOOKUP(C2902,Account_Master!A:A,Account_Master!C:C,"Not on master")</f>
        <v>0</v>
      </c>
      <c r="H2902" s="6">
        <v>3</v>
      </c>
      <c r="I2902" s="6">
        <v>3</v>
      </c>
      <c r="J2902" s="6">
        <f>I2902-H2902</f>
        <v>0</v>
      </c>
      <c r="K2902" s="5">
        <f>IF(H2902=0,"",J2902/H2902)</f>
        <v>0</v>
      </c>
      <c r="L2902">
        <f>IF(OR(AND(H2902=0,ABS(J2902)&gt;=0.01),AND(H2902&lt;&gt;0,ABS(K2902)&gt;VarianceThreshold)),"Review","OK")</f>
        <v>0</v>
      </c>
      <c r="M2902" t="s">
        <v>33</v>
      </c>
    </row>
    <row r="2903" spans="1:13">
      <c r="A2903" t="s">
        <v>4</v>
      </c>
      <c r="B2903" t="s">
        <v>645</v>
      </c>
      <c r="C2903" t="s">
        <v>2412</v>
      </c>
      <c r="D2903" t="s">
        <v>2222</v>
      </c>
      <c r="E2903" cm="1">
        <f t="array" ref="E2903">_xlfn.XLOOKUP(D2903,SKU_Master!A:A,SKU_Master!B:B,"Not on master")</f>
        <v>0</v>
      </c>
      <c r="F2903" cm="1">
        <f t="array" ref="F2903">_xlfn.XLOOKUP(C2903,Account_Master!A:A,Account_Master!B:B,"Not on master")</f>
        <v>0</v>
      </c>
      <c r="G2903" cm="1">
        <f t="array" ref="G2903">_xlfn.XLOOKUP(C2903,Account_Master!A:A,Account_Master!C:C,"Not on master")</f>
        <v>0</v>
      </c>
      <c r="H2903" s="6">
        <v>4.5</v>
      </c>
      <c r="I2903" s="6">
        <v>4.5</v>
      </c>
      <c r="J2903" s="6">
        <f>I2903-H2903</f>
        <v>0</v>
      </c>
      <c r="K2903" s="5">
        <f>IF(H2903=0,"",J2903/H2903)</f>
        <v>0</v>
      </c>
      <c r="L2903">
        <f>IF(OR(AND(H2903=0,ABS(J2903)&gt;=0.01),AND(H2903&lt;&gt;0,ABS(K2903)&gt;VarianceThreshold)),"Review","OK")</f>
        <v>0</v>
      </c>
      <c r="M2903" t="s">
        <v>33</v>
      </c>
    </row>
    <row r="2904" spans="1:13">
      <c r="A2904" t="s">
        <v>4</v>
      </c>
      <c r="B2904" t="s">
        <v>645</v>
      </c>
      <c r="C2904" t="s">
        <v>2429</v>
      </c>
      <c r="D2904" t="s">
        <v>2627</v>
      </c>
      <c r="E2904" cm="1">
        <f t="array" ref="E2904">_xlfn.XLOOKUP(D2904,SKU_Master!A:A,SKU_Master!B:B,"Not on master")</f>
        <v>0</v>
      </c>
      <c r="F2904" cm="1">
        <f t="array" ref="F2904">_xlfn.XLOOKUP(C2904,Account_Master!A:A,Account_Master!B:B,"Not on master")</f>
        <v>0</v>
      </c>
      <c r="G2904" cm="1">
        <f t="array" ref="G2904">_xlfn.XLOOKUP(C2904,Account_Master!A:A,Account_Master!C:C,"Not on master")</f>
        <v>0</v>
      </c>
      <c r="H2904" s="6">
        <v>18</v>
      </c>
      <c r="I2904" s="6">
        <v>18</v>
      </c>
      <c r="J2904" s="6">
        <f>I2904-H2904</f>
        <v>0</v>
      </c>
      <c r="K2904" s="5">
        <f>IF(H2904=0,"",J2904/H2904)</f>
        <v>0</v>
      </c>
      <c r="L2904">
        <f>IF(OR(AND(H2904=0,ABS(J2904)&gt;=0.01),AND(H2904&lt;&gt;0,ABS(K2904)&gt;VarianceThreshold)),"Review","OK")</f>
        <v>0</v>
      </c>
      <c r="M2904" t="s">
        <v>33</v>
      </c>
    </row>
    <row r="2905" spans="1:13">
      <c r="A2905" t="s">
        <v>4</v>
      </c>
      <c r="B2905" t="s">
        <v>645</v>
      </c>
      <c r="C2905" t="s">
        <v>2432</v>
      </c>
      <c r="D2905" t="s">
        <v>1504</v>
      </c>
      <c r="E2905" cm="1">
        <f t="array" ref="E2905">_xlfn.XLOOKUP(D2905,SKU_Master!A:A,SKU_Master!B:B,"Not on master")</f>
        <v>0</v>
      </c>
      <c r="F2905" cm="1">
        <f t="array" ref="F2905">_xlfn.XLOOKUP(C2905,Account_Master!A:A,Account_Master!B:B,"Not on master")</f>
        <v>0</v>
      </c>
      <c r="G2905" cm="1">
        <f t="array" ref="G2905">_xlfn.XLOOKUP(C2905,Account_Master!A:A,Account_Master!C:C,"Not on master")</f>
        <v>0</v>
      </c>
      <c r="H2905" s="6">
        <v>52.5</v>
      </c>
      <c r="I2905" s="6">
        <v>52.5</v>
      </c>
      <c r="J2905" s="6">
        <f>I2905-H2905</f>
        <v>0</v>
      </c>
      <c r="K2905" s="5">
        <f>IF(H2905=0,"",J2905/H2905)</f>
        <v>0</v>
      </c>
      <c r="L2905">
        <f>IF(OR(AND(H2905=0,ABS(J2905)&gt;=0.01),AND(H2905&lt;&gt;0,ABS(K2905)&gt;VarianceThreshold)),"Review","OK")</f>
        <v>0</v>
      </c>
      <c r="M2905" t="s">
        <v>33</v>
      </c>
    </row>
    <row r="2906" spans="1:13">
      <c r="A2906" t="s">
        <v>4</v>
      </c>
      <c r="B2906" t="s">
        <v>645</v>
      </c>
      <c r="C2906" t="s">
        <v>2612</v>
      </c>
      <c r="D2906" t="s">
        <v>1360</v>
      </c>
      <c r="E2906" cm="1">
        <f t="array" ref="E2906">_xlfn.XLOOKUP(D2906,SKU_Master!A:A,SKU_Master!B:B,"Not on master")</f>
        <v>0</v>
      </c>
      <c r="F2906" cm="1">
        <f t="array" ref="F2906">_xlfn.XLOOKUP(C2906,Account_Master!A:A,Account_Master!B:B,"Not on master")</f>
        <v>0</v>
      </c>
      <c r="G2906" cm="1">
        <f t="array" ref="G2906">_xlfn.XLOOKUP(C2906,Account_Master!A:A,Account_Master!C:C,"Not on master")</f>
        <v>0</v>
      </c>
      <c r="H2906" s="6">
        <v>4.5</v>
      </c>
      <c r="I2906" s="6">
        <v>4.5</v>
      </c>
      <c r="J2906" s="6">
        <f>I2906-H2906</f>
        <v>0</v>
      </c>
      <c r="K2906" s="5">
        <f>IF(H2906=0,"",J2906/H2906)</f>
        <v>0</v>
      </c>
      <c r="L2906">
        <f>IF(OR(AND(H2906=0,ABS(J2906)&gt;=0.01),AND(H2906&lt;&gt;0,ABS(K2906)&gt;VarianceThreshold)),"Review","OK")</f>
        <v>0</v>
      </c>
      <c r="M2906" t="s">
        <v>33</v>
      </c>
    </row>
    <row r="2907" spans="1:13">
      <c r="A2907" t="s">
        <v>4</v>
      </c>
      <c r="B2907" t="s">
        <v>650</v>
      </c>
      <c r="C2907" t="s">
        <v>2493</v>
      </c>
      <c r="D2907" t="s">
        <v>2628</v>
      </c>
      <c r="E2907" cm="1">
        <f t="array" ref="E2907">_xlfn.XLOOKUP(D2907,SKU_Master!A:A,SKU_Master!B:B,"Not on master")</f>
        <v>0</v>
      </c>
      <c r="F2907" cm="1">
        <f t="array" ref="F2907">_xlfn.XLOOKUP(C2907,Account_Master!A:A,Account_Master!B:B,"Not on master")</f>
        <v>0</v>
      </c>
      <c r="G2907" cm="1">
        <f t="array" ref="G2907">_xlfn.XLOOKUP(C2907,Account_Master!A:A,Account_Master!C:C,"Not on master")</f>
        <v>0</v>
      </c>
      <c r="H2907" s="6">
        <v>2094.75</v>
      </c>
      <c r="I2907" s="6">
        <v>2094.75</v>
      </c>
      <c r="J2907" s="6">
        <f>I2907-H2907</f>
        <v>0</v>
      </c>
      <c r="K2907" s="5">
        <f>IF(H2907=0,"",J2907/H2907)</f>
        <v>0</v>
      </c>
      <c r="L2907">
        <f>IF(OR(AND(H2907=0,ABS(J2907)&gt;=0.01),AND(H2907&lt;&gt;0,ABS(K2907)&gt;VarianceThreshold)),"Review","OK")</f>
        <v>0</v>
      </c>
      <c r="M2907" t="s">
        <v>33</v>
      </c>
    </row>
    <row r="2908" spans="1:13">
      <c r="A2908" t="s">
        <v>4</v>
      </c>
      <c r="B2908" t="s">
        <v>650</v>
      </c>
      <c r="C2908" t="s">
        <v>2410</v>
      </c>
      <c r="D2908" t="s">
        <v>2629</v>
      </c>
      <c r="E2908" cm="1">
        <f t="array" ref="E2908">_xlfn.XLOOKUP(D2908,SKU_Master!A:A,SKU_Master!B:B,"Not on master")</f>
        <v>0</v>
      </c>
      <c r="F2908" cm="1">
        <f t="array" ref="F2908">_xlfn.XLOOKUP(C2908,Account_Master!A:A,Account_Master!B:B,"Not on master")</f>
        <v>0</v>
      </c>
      <c r="G2908" cm="1">
        <f t="array" ref="G2908">_xlfn.XLOOKUP(C2908,Account_Master!A:A,Account_Master!C:C,"Not on master")</f>
        <v>0</v>
      </c>
      <c r="H2908" s="6">
        <v>3</v>
      </c>
      <c r="I2908" s="6">
        <v>3</v>
      </c>
      <c r="J2908" s="6">
        <f>I2908-H2908</f>
        <v>0</v>
      </c>
      <c r="K2908" s="5">
        <f>IF(H2908=0,"",J2908/H2908)</f>
        <v>0</v>
      </c>
      <c r="L2908">
        <f>IF(OR(AND(H2908=0,ABS(J2908)&gt;=0.01),AND(H2908&lt;&gt;0,ABS(K2908)&gt;VarianceThreshold)),"Review","OK")</f>
        <v>0</v>
      </c>
      <c r="M2908" t="s">
        <v>33</v>
      </c>
    </row>
    <row r="2909" spans="1:13">
      <c r="A2909" t="s">
        <v>4</v>
      </c>
      <c r="B2909" t="s">
        <v>650</v>
      </c>
      <c r="C2909" t="s">
        <v>2457</v>
      </c>
      <c r="D2909" t="s">
        <v>2630</v>
      </c>
      <c r="E2909" cm="1">
        <f t="array" ref="E2909">_xlfn.XLOOKUP(D2909,SKU_Master!A:A,SKU_Master!B:B,"Not on master")</f>
        <v>0</v>
      </c>
      <c r="F2909" cm="1">
        <f t="array" ref="F2909">_xlfn.XLOOKUP(C2909,Account_Master!A:A,Account_Master!B:B,"Not on master")</f>
        <v>0</v>
      </c>
      <c r="G2909" cm="1">
        <f t="array" ref="G2909">_xlfn.XLOOKUP(C2909,Account_Master!A:A,Account_Master!C:C,"Not on master")</f>
        <v>0</v>
      </c>
      <c r="H2909" s="6">
        <v>36</v>
      </c>
      <c r="I2909" s="6">
        <v>36</v>
      </c>
      <c r="J2909" s="6">
        <f>I2909-H2909</f>
        <v>0</v>
      </c>
      <c r="K2909" s="5">
        <f>IF(H2909=0,"",J2909/H2909)</f>
        <v>0</v>
      </c>
      <c r="L2909">
        <f>IF(OR(AND(H2909=0,ABS(J2909)&gt;=0.01),AND(H2909&lt;&gt;0,ABS(K2909)&gt;VarianceThreshold)),"Review","OK")</f>
        <v>0</v>
      </c>
      <c r="M2909" t="s">
        <v>33</v>
      </c>
    </row>
    <row r="2910" spans="1:13">
      <c r="A2910" t="s">
        <v>4</v>
      </c>
      <c r="B2910" t="s">
        <v>650</v>
      </c>
      <c r="C2910" t="s">
        <v>2490</v>
      </c>
      <c r="D2910" t="s">
        <v>396</v>
      </c>
      <c r="E2910" cm="1">
        <f t="array" ref="E2910">_xlfn.XLOOKUP(D2910,SKU_Master!A:A,SKU_Master!B:B,"Not on master")</f>
        <v>0</v>
      </c>
      <c r="F2910" cm="1">
        <f t="array" ref="F2910">_xlfn.XLOOKUP(C2910,Account_Master!A:A,Account_Master!B:B,"Not on master")</f>
        <v>0</v>
      </c>
      <c r="G2910" cm="1">
        <f t="array" ref="G2910">_xlfn.XLOOKUP(C2910,Account_Master!A:A,Account_Master!C:C,"Not on master")</f>
        <v>0</v>
      </c>
      <c r="H2910" s="6">
        <v>157.5</v>
      </c>
      <c r="I2910" s="6">
        <v>157.5</v>
      </c>
      <c r="J2910" s="6">
        <f>I2910-H2910</f>
        <v>0</v>
      </c>
      <c r="K2910" s="5">
        <f>IF(H2910=0,"",J2910/H2910)</f>
        <v>0</v>
      </c>
      <c r="L2910">
        <f>IF(OR(AND(H2910=0,ABS(J2910)&gt;=0.01),AND(H2910&lt;&gt;0,ABS(K2910)&gt;VarianceThreshold)),"Review","OK")</f>
        <v>0</v>
      </c>
      <c r="M2910" t="s">
        <v>33</v>
      </c>
    </row>
    <row r="2911" spans="1:13">
      <c r="A2911" t="s">
        <v>4</v>
      </c>
      <c r="B2911" t="s">
        <v>650</v>
      </c>
      <c r="C2911" t="s">
        <v>2631</v>
      </c>
      <c r="D2911" t="s">
        <v>2632</v>
      </c>
      <c r="E2911" cm="1">
        <f t="array" ref="E2911">_xlfn.XLOOKUP(D2911,SKU_Master!A:A,SKU_Master!B:B,"Not on master")</f>
        <v>0</v>
      </c>
      <c r="F2911" cm="1">
        <f t="array" ref="F2911">_xlfn.XLOOKUP(C2911,Account_Master!A:A,Account_Master!B:B,"Not on master")</f>
        <v>0</v>
      </c>
      <c r="G2911" cm="1">
        <f t="array" ref="G2911">_xlfn.XLOOKUP(C2911,Account_Master!A:A,Account_Master!C:C,"Not on master")</f>
        <v>0</v>
      </c>
      <c r="H2911" s="6">
        <v>9</v>
      </c>
      <c r="I2911" s="6">
        <v>9</v>
      </c>
      <c r="J2911" s="6">
        <f>I2911-H2911</f>
        <v>0</v>
      </c>
      <c r="K2911" s="5">
        <f>IF(H2911=0,"",J2911/H2911)</f>
        <v>0</v>
      </c>
      <c r="L2911">
        <f>IF(OR(AND(H2911=0,ABS(J2911)&gt;=0.01),AND(H2911&lt;&gt;0,ABS(K2911)&gt;VarianceThreshold)),"Review","OK")</f>
        <v>0</v>
      </c>
      <c r="M2911" t="s">
        <v>33</v>
      </c>
    </row>
    <row r="2912" spans="1:13">
      <c r="A2912" t="s">
        <v>4</v>
      </c>
      <c r="B2912" t="s">
        <v>650</v>
      </c>
      <c r="C2912" t="s">
        <v>2453</v>
      </c>
      <c r="D2912" t="s">
        <v>2633</v>
      </c>
      <c r="E2912" cm="1">
        <f t="array" ref="E2912">_xlfn.XLOOKUP(D2912,SKU_Master!A:A,SKU_Master!B:B,"Not on master")</f>
        <v>0</v>
      </c>
      <c r="F2912" cm="1">
        <f t="array" ref="F2912">_xlfn.XLOOKUP(C2912,Account_Master!A:A,Account_Master!B:B,"Not on master")</f>
        <v>0</v>
      </c>
      <c r="G2912" cm="1">
        <f t="array" ref="G2912">_xlfn.XLOOKUP(C2912,Account_Master!A:A,Account_Master!C:C,"Not on master")</f>
        <v>0</v>
      </c>
      <c r="H2912" s="6">
        <v>12</v>
      </c>
      <c r="I2912" s="6">
        <v>12</v>
      </c>
      <c r="J2912" s="6">
        <f>I2912-H2912</f>
        <v>0</v>
      </c>
      <c r="K2912" s="5">
        <f>IF(H2912=0,"",J2912/H2912)</f>
        <v>0</v>
      </c>
      <c r="L2912">
        <f>IF(OR(AND(H2912=0,ABS(J2912)&gt;=0.01),AND(H2912&lt;&gt;0,ABS(K2912)&gt;VarianceThreshold)),"Review","OK")</f>
        <v>0</v>
      </c>
      <c r="M2912" t="s">
        <v>33</v>
      </c>
    </row>
    <row r="2913" spans="1:13">
      <c r="A2913" t="s">
        <v>4</v>
      </c>
      <c r="B2913" t="s">
        <v>650</v>
      </c>
      <c r="C2913" t="s">
        <v>2634</v>
      </c>
      <c r="D2913" t="s">
        <v>457</v>
      </c>
      <c r="E2913" cm="1">
        <f t="array" ref="E2913">_xlfn.XLOOKUP(D2913,SKU_Master!A:A,SKU_Master!B:B,"Not on master")</f>
        <v>0</v>
      </c>
      <c r="F2913" cm="1">
        <f t="array" ref="F2913">_xlfn.XLOOKUP(C2913,Account_Master!A:A,Account_Master!B:B,"Not on master")</f>
        <v>0</v>
      </c>
      <c r="G2913" cm="1">
        <f t="array" ref="G2913">_xlfn.XLOOKUP(C2913,Account_Master!A:A,Account_Master!C:C,"Not on master")</f>
        <v>0</v>
      </c>
      <c r="H2913" s="6">
        <v>14.7</v>
      </c>
      <c r="I2913" s="6">
        <v>14.7</v>
      </c>
      <c r="J2913" s="6">
        <f>I2913-H2913</f>
        <v>0</v>
      </c>
      <c r="K2913" s="5">
        <f>IF(H2913=0,"",J2913/H2913)</f>
        <v>0</v>
      </c>
      <c r="L2913">
        <f>IF(OR(AND(H2913=0,ABS(J2913)&gt;=0.01),AND(H2913&lt;&gt;0,ABS(K2913)&gt;VarianceThreshold)),"Review","OK")</f>
        <v>0</v>
      </c>
      <c r="M2913" t="s">
        <v>33</v>
      </c>
    </row>
    <row r="2914" spans="1:13">
      <c r="A2914" t="s">
        <v>4</v>
      </c>
      <c r="B2914" t="s">
        <v>650</v>
      </c>
      <c r="C2914" t="s">
        <v>2498</v>
      </c>
      <c r="D2914" t="s">
        <v>629</v>
      </c>
      <c r="E2914" cm="1">
        <f t="array" ref="E2914">_xlfn.XLOOKUP(D2914,SKU_Master!A:A,SKU_Master!B:B,"Not on master")</f>
        <v>0</v>
      </c>
      <c r="F2914" cm="1">
        <f t="array" ref="F2914">_xlfn.XLOOKUP(C2914,Account_Master!A:A,Account_Master!B:B,"Not on master")</f>
        <v>0</v>
      </c>
      <c r="G2914" cm="1">
        <f t="array" ref="G2914">_xlfn.XLOOKUP(C2914,Account_Master!A:A,Account_Master!C:C,"Not on master")</f>
        <v>0</v>
      </c>
      <c r="H2914" s="6">
        <v>10.5</v>
      </c>
      <c r="I2914" s="6">
        <v>10.5</v>
      </c>
      <c r="J2914" s="6">
        <f>I2914-H2914</f>
        <v>0</v>
      </c>
      <c r="K2914" s="5">
        <f>IF(H2914=0,"",J2914/H2914)</f>
        <v>0</v>
      </c>
      <c r="L2914">
        <f>IF(OR(AND(H2914=0,ABS(J2914)&gt;=0.01),AND(H2914&lt;&gt;0,ABS(K2914)&gt;VarianceThreshold)),"Review","OK")</f>
        <v>0</v>
      </c>
      <c r="M2914" t="s">
        <v>33</v>
      </c>
    </row>
    <row r="2915" spans="1:13">
      <c r="A2915" t="s">
        <v>4</v>
      </c>
      <c r="B2915" t="s">
        <v>650</v>
      </c>
      <c r="C2915" t="s">
        <v>2490</v>
      </c>
      <c r="D2915" t="s">
        <v>388</v>
      </c>
      <c r="E2915" cm="1">
        <f t="array" ref="E2915">_xlfn.XLOOKUP(D2915,SKU_Master!A:A,SKU_Master!B:B,"Not on master")</f>
        <v>0</v>
      </c>
      <c r="F2915" cm="1">
        <f t="array" ref="F2915">_xlfn.XLOOKUP(C2915,Account_Master!A:A,Account_Master!B:B,"Not on master")</f>
        <v>0</v>
      </c>
      <c r="G2915" cm="1">
        <f t="array" ref="G2915">_xlfn.XLOOKUP(C2915,Account_Master!A:A,Account_Master!C:C,"Not on master")</f>
        <v>0</v>
      </c>
      <c r="H2915" s="6">
        <v>0.3</v>
      </c>
      <c r="I2915" s="6">
        <v>0.3</v>
      </c>
      <c r="J2915" s="6">
        <f>I2915-H2915</f>
        <v>0</v>
      </c>
      <c r="K2915" s="5">
        <f>IF(H2915=0,"",J2915/H2915)</f>
        <v>0</v>
      </c>
      <c r="L2915">
        <f>IF(OR(AND(H2915=0,ABS(J2915)&gt;=0.01),AND(H2915&lt;&gt;0,ABS(K2915)&gt;VarianceThreshold)),"Review","OK")</f>
        <v>0</v>
      </c>
      <c r="M2915" t="s">
        <v>33</v>
      </c>
    </row>
    <row r="2916" spans="1:13">
      <c r="A2916" t="s">
        <v>4</v>
      </c>
      <c r="B2916" t="s">
        <v>650</v>
      </c>
      <c r="C2916" t="s">
        <v>2414</v>
      </c>
      <c r="D2916" t="s">
        <v>732</v>
      </c>
      <c r="E2916" cm="1">
        <f t="array" ref="E2916">_xlfn.XLOOKUP(D2916,SKU_Master!A:A,SKU_Master!B:B,"Not on master")</f>
        <v>0</v>
      </c>
      <c r="F2916" cm="1">
        <f t="array" ref="F2916">_xlfn.XLOOKUP(C2916,Account_Master!A:A,Account_Master!B:B,"Not on master")</f>
        <v>0</v>
      </c>
      <c r="G2916" cm="1">
        <f t="array" ref="G2916">_xlfn.XLOOKUP(C2916,Account_Master!A:A,Account_Master!C:C,"Not on master")</f>
        <v>0</v>
      </c>
      <c r="H2916" s="6">
        <v>0.75</v>
      </c>
      <c r="I2916" s="6">
        <v>0.75</v>
      </c>
      <c r="J2916" s="6">
        <f>I2916-H2916</f>
        <v>0</v>
      </c>
      <c r="K2916" s="5">
        <f>IF(H2916=0,"",J2916/H2916)</f>
        <v>0</v>
      </c>
      <c r="L2916">
        <f>IF(OR(AND(H2916=0,ABS(J2916)&gt;=0.01),AND(H2916&lt;&gt;0,ABS(K2916)&gt;VarianceThreshold)),"Review","OK")</f>
        <v>0</v>
      </c>
      <c r="M2916" t="s">
        <v>33</v>
      </c>
    </row>
    <row r="2917" spans="1:13">
      <c r="A2917" t="s">
        <v>4</v>
      </c>
      <c r="B2917" t="s">
        <v>658</v>
      </c>
      <c r="C2917" t="s">
        <v>2543</v>
      </c>
      <c r="D2917" t="s">
        <v>1370</v>
      </c>
      <c r="E2917" cm="1">
        <f t="array" ref="E2917">_xlfn.XLOOKUP(D2917,SKU_Master!A:A,SKU_Master!B:B,"Not on master")</f>
        <v>0</v>
      </c>
      <c r="F2917" cm="1">
        <f t="array" ref="F2917">_xlfn.XLOOKUP(C2917,Account_Master!A:A,Account_Master!B:B,"Not on master")</f>
        <v>0</v>
      </c>
      <c r="G2917" cm="1">
        <f t="array" ref="G2917">_xlfn.XLOOKUP(C2917,Account_Master!A:A,Account_Master!C:C,"Not on master")</f>
        <v>0</v>
      </c>
      <c r="H2917" s="6">
        <v>24</v>
      </c>
      <c r="I2917" s="6">
        <v>24</v>
      </c>
      <c r="J2917" s="6">
        <f>I2917-H2917</f>
        <v>0</v>
      </c>
      <c r="K2917" s="5">
        <f>IF(H2917=0,"",J2917/H2917)</f>
        <v>0</v>
      </c>
      <c r="L2917">
        <f>IF(OR(AND(H2917=0,ABS(J2917)&gt;=0.01),AND(H2917&lt;&gt;0,ABS(K2917)&gt;VarianceThreshold)),"Review","OK")</f>
        <v>0</v>
      </c>
      <c r="M2917" t="s">
        <v>33</v>
      </c>
    </row>
    <row r="2918" spans="1:13">
      <c r="A2918" t="s">
        <v>4</v>
      </c>
      <c r="B2918" t="s">
        <v>658</v>
      </c>
      <c r="C2918" t="s">
        <v>2416</v>
      </c>
      <c r="D2918" t="s">
        <v>1521</v>
      </c>
      <c r="E2918" cm="1">
        <f t="array" ref="E2918">_xlfn.XLOOKUP(D2918,SKU_Master!A:A,SKU_Master!B:B,"Not on master")</f>
        <v>0</v>
      </c>
      <c r="F2918" cm="1">
        <f t="array" ref="F2918">_xlfn.XLOOKUP(C2918,Account_Master!A:A,Account_Master!B:B,"Not on master")</f>
        <v>0</v>
      </c>
      <c r="G2918" cm="1">
        <f t="array" ref="G2918">_xlfn.XLOOKUP(C2918,Account_Master!A:A,Account_Master!C:C,"Not on master")</f>
        <v>0</v>
      </c>
      <c r="H2918" s="6">
        <v>1.5</v>
      </c>
      <c r="I2918" s="6">
        <v>1.5</v>
      </c>
      <c r="J2918" s="6">
        <f>I2918-H2918</f>
        <v>0</v>
      </c>
      <c r="K2918" s="5">
        <f>IF(H2918=0,"",J2918/H2918)</f>
        <v>0</v>
      </c>
      <c r="L2918">
        <f>IF(OR(AND(H2918=0,ABS(J2918)&gt;=0.01),AND(H2918&lt;&gt;0,ABS(K2918)&gt;VarianceThreshold)),"Review","OK")</f>
        <v>0</v>
      </c>
      <c r="M2918" t="s">
        <v>33</v>
      </c>
    </row>
    <row r="2919" spans="1:13">
      <c r="A2919" t="s">
        <v>4</v>
      </c>
      <c r="B2919" t="s">
        <v>658</v>
      </c>
      <c r="C2919" t="s">
        <v>2635</v>
      </c>
      <c r="D2919" t="s">
        <v>940</v>
      </c>
      <c r="E2919" cm="1">
        <f t="array" ref="E2919">_xlfn.XLOOKUP(D2919,SKU_Master!A:A,SKU_Master!B:B,"Not on master")</f>
        <v>0</v>
      </c>
      <c r="F2919" cm="1">
        <f t="array" ref="F2919">_xlfn.XLOOKUP(C2919,Account_Master!A:A,Account_Master!B:B,"Not on master")</f>
        <v>0</v>
      </c>
      <c r="G2919" cm="1">
        <f t="array" ref="G2919">_xlfn.XLOOKUP(C2919,Account_Master!A:A,Account_Master!C:C,"Not on master")</f>
        <v>0</v>
      </c>
      <c r="H2919" s="6">
        <v>26.25</v>
      </c>
      <c r="I2919" s="6">
        <v>26.25</v>
      </c>
      <c r="J2919" s="6">
        <f>I2919-H2919</f>
        <v>0</v>
      </c>
      <c r="K2919" s="5">
        <f>IF(H2919=0,"",J2919/H2919)</f>
        <v>0</v>
      </c>
      <c r="L2919">
        <f>IF(OR(AND(H2919=0,ABS(J2919)&gt;=0.01),AND(H2919&lt;&gt;0,ABS(K2919)&gt;VarianceThreshold)),"Review","OK")</f>
        <v>0</v>
      </c>
      <c r="M2919" t="s">
        <v>33</v>
      </c>
    </row>
    <row r="2920" spans="1:13">
      <c r="A2920" t="s">
        <v>4</v>
      </c>
      <c r="B2920" t="s">
        <v>658</v>
      </c>
      <c r="C2920" t="s">
        <v>2636</v>
      </c>
      <c r="D2920" t="s">
        <v>359</v>
      </c>
      <c r="E2920" cm="1">
        <f t="array" ref="E2920">_xlfn.XLOOKUP(D2920,SKU_Master!A:A,SKU_Master!B:B,"Not on master")</f>
        <v>0</v>
      </c>
      <c r="F2920" cm="1">
        <f t="array" ref="F2920">_xlfn.XLOOKUP(C2920,Account_Master!A:A,Account_Master!B:B,"Not on master")</f>
        <v>0</v>
      </c>
      <c r="G2920" cm="1">
        <f t="array" ref="G2920">_xlfn.XLOOKUP(C2920,Account_Master!A:A,Account_Master!C:C,"Not on master")</f>
        <v>0</v>
      </c>
      <c r="H2920" s="6">
        <v>0.05</v>
      </c>
      <c r="I2920" s="6">
        <v>0.05</v>
      </c>
      <c r="J2920" s="6">
        <f>I2920-H2920</f>
        <v>0</v>
      </c>
      <c r="K2920" s="5">
        <f>IF(H2920=0,"",J2920/H2920)</f>
        <v>0</v>
      </c>
      <c r="L2920">
        <f>IF(OR(AND(H2920=0,ABS(J2920)&gt;=0.01),AND(H2920&lt;&gt;0,ABS(K2920)&gt;VarianceThreshold)),"Review","OK")</f>
        <v>0</v>
      </c>
      <c r="M2920" t="s">
        <v>33</v>
      </c>
    </row>
    <row r="2921" spans="1:13">
      <c r="A2921" t="s">
        <v>4</v>
      </c>
      <c r="B2921" t="s">
        <v>658</v>
      </c>
      <c r="C2921" t="s">
        <v>2453</v>
      </c>
      <c r="D2921" t="s">
        <v>446</v>
      </c>
      <c r="E2921" cm="1">
        <f t="array" ref="E2921">_xlfn.XLOOKUP(D2921,SKU_Master!A:A,SKU_Master!B:B,"Not on master")</f>
        <v>0</v>
      </c>
      <c r="F2921" cm="1">
        <f t="array" ref="F2921">_xlfn.XLOOKUP(C2921,Account_Master!A:A,Account_Master!B:B,"Not on master")</f>
        <v>0</v>
      </c>
      <c r="G2921" cm="1">
        <f t="array" ref="G2921">_xlfn.XLOOKUP(C2921,Account_Master!A:A,Account_Master!C:C,"Not on master")</f>
        <v>0</v>
      </c>
      <c r="H2921" s="6">
        <v>27</v>
      </c>
      <c r="I2921" s="6">
        <v>27</v>
      </c>
      <c r="J2921" s="6">
        <f>I2921-H2921</f>
        <v>0</v>
      </c>
      <c r="K2921" s="5">
        <f>IF(H2921=0,"",J2921/H2921)</f>
        <v>0</v>
      </c>
      <c r="L2921">
        <f>IF(OR(AND(H2921=0,ABS(J2921)&gt;=0.01),AND(H2921&lt;&gt;0,ABS(K2921)&gt;VarianceThreshold)),"Review","OK")</f>
        <v>0</v>
      </c>
      <c r="M2921" t="s">
        <v>33</v>
      </c>
    </row>
    <row r="2922" spans="1:13">
      <c r="A2922" t="s">
        <v>4</v>
      </c>
      <c r="B2922" t="s">
        <v>658</v>
      </c>
      <c r="C2922" t="s">
        <v>2612</v>
      </c>
      <c r="D2922" t="s">
        <v>2637</v>
      </c>
      <c r="E2922" cm="1">
        <f t="array" ref="E2922">_xlfn.XLOOKUP(D2922,SKU_Master!A:A,SKU_Master!B:B,"Not on master")</f>
        <v>0</v>
      </c>
      <c r="F2922" cm="1">
        <f t="array" ref="F2922">_xlfn.XLOOKUP(C2922,Account_Master!A:A,Account_Master!B:B,"Not on master")</f>
        <v>0</v>
      </c>
      <c r="G2922" cm="1">
        <f t="array" ref="G2922">_xlfn.XLOOKUP(C2922,Account_Master!A:A,Account_Master!C:C,"Not on master")</f>
        <v>0</v>
      </c>
      <c r="H2922" s="6">
        <v>2</v>
      </c>
      <c r="I2922" s="6">
        <v>2</v>
      </c>
      <c r="J2922" s="6">
        <f>I2922-H2922</f>
        <v>0</v>
      </c>
      <c r="K2922" s="5">
        <f>IF(H2922=0,"",J2922/H2922)</f>
        <v>0</v>
      </c>
      <c r="L2922">
        <f>IF(OR(AND(H2922=0,ABS(J2922)&gt;=0.01),AND(H2922&lt;&gt;0,ABS(K2922)&gt;VarianceThreshold)),"Review","OK")</f>
        <v>0</v>
      </c>
      <c r="M2922" t="s">
        <v>33</v>
      </c>
    </row>
    <row r="2923" spans="1:13">
      <c r="A2923" t="s">
        <v>4</v>
      </c>
      <c r="B2923" t="s">
        <v>658</v>
      </c>
      <c r="C2923" t="s">
        <v>2410</v>
      </c>
      <c r="D2923" t="s">
        <v>913</v>
      </c>
      <c r="E2923" cm="1">
        <f t="array" ref="E2923">_xlfn.XLOOKUP(D2923,SKU_Master!A:A,SKU_Master!B:B,"Not on master")</f>
        <v>0</v>
      </c>
      <c r="F2923" cm="1">
        <f t="array" ref="F2923">_xlfn.XLOOKUP(C2923,Account_Master!A:A,Account_Master!B:B,"Not on master")</f>
        <v>0</v>
      </c>
      <c r="G2923" cm="1">
        <f t="array" ref="G2923">_xlfn.XLOOKUP(C2923,Account_Master!A:A,Account_Master!C:C,"Not on master")</f>
        <v>0</v>
      </c>
      <c r="H2923" s="6">
        <v>0.75</v>
      </c>
      <c r="I2923" s="6">
        <v>0.75</v>
      </c>
      <c r="J2923" s="6">
        <f>I2923-H2923</f>
        <v>0</v>
      </c>
      <c r="K2923" s="5">
        <f>IF(H2923=0,"",J2923/H2923)</f>
        <v>0</v>
      </c>
      <c r="L2923">
        <f>IF(OR(AND(H2923=0,ABS(J2923)&gt;=0.01),AND(H2923&lt;&gt;0,ABS(K2923)&gt;VarianceThreshold)),"Review","OK")</f>
        <v>0</v>
      </c>
      <c r="M2923" t="s">
        <v>33</v>
      </c>
    </row>
    <row r="2924" spans="1:13">
      <c r="A2924" t="s">
        <v>4</v>
      </c>
      <c r="B2924" t="s">
        <v>673</v>
      </c>
      <c r="C2924" t="s">
        <v>2503</v>
      </c>
      <c r="D2924" t="s">
        <v>1713</v>
      </c>
      <c r="E2924" cm="1">
        <f t="array" ref="E2924">_xlfn.XLOOKUP(D2924,SKU_Master!A:A,SKU_Master!B:B,"Not on master")</f>
        <v>0</v>
      </c>
      <c r="F2924" cm="1">
        <f t="array" ref="F2924">_xlfn.XLOOKUP(C2924,Account_Master!A:A,Account_Master!B:B,"Not on master")</f>
        <v>0</v>
      </c>
      <c r="G2924" cm="1">
        <f t="array" ref="G2924">_xlfn.XLOOKUP(C2924,Account_Master!A:A,Account_Master!C:C,"Not on master")</f>
        <v>0</v>
      </c>
      <c r="H2924" s="6">
        <v>45.5</v>
      </c>
      <c r="I2924" s="6">
        <v>45.5</v>
      </c>
      <c r="J2924" s="6">
        <f>I2924-H2924</f>
        <v>0</v>
      </c>
      <c r="K2924" s="5">
        <f>IF(H2924=0,"",J2924/H2924)</f>
        <v>0</v>
      </c>
      <c r="L2924">
        <f>IF(OR(AND(H2924=0,ABS(J2924)&gt;=0.01),AND(H2924&lt;&gt;0,ABS(K2924)&gt;VarianceThreshold)),"Review","OK")</f>
        <v>0</v>
      </c>
      <c r="M2924" t="s">
        <v>33</v>
      </c>
    </row>
    <row r="2925" spans="1:13">
      <c r="A2925" t="s">
        <v>4</v>
      </c>
      <c r="B2925" t="s">
        <v>673</v>
      </c>
      <c r="C2925" t="s">
        <v>2412</v>
      </c>
      <c r="D2925" t="s">
        <v>1866</v>
      </c>
      <c r="E2925" cm="1">
        <f t="array" ref="E2925">_xlfn.XLOOKUP(D2925,SKU_Master!A:A,SKU_Master!B:B,"Not on master")</f>
        <v>0</v>
      </c>
      <c r="F2925" cm="1">
        <f t="array" ref="F2925">_xlfn.XLOOKUP(C2925,Account_Master!A:A,Account_Master!B:B,"Not on master")</f>
        <v>0</v>
      </c>
      <c r="G2925" cm="1">
        <f t="array" ref="G2925">_xlfn.XLOOKUP(C2925,Account_Master!A:A,Account_Master!C:C,"Not on master")</f>
        <v>0</v>
      </c>
      <c r="H2925" s="6">
        <v>0.05</v>
      </c>
      <c r="I2925" s="6">
        <v>0.05</v>
      </c>
      <c r="J2925" s="6">
        <f>I2925-H2925</f>
        <v>0</v>
      </c>
      <c r="K2925" s="5">
        <f>IF(H2925=0,"",J2925/H2925)</f>
        <v>0</v>
      </c>
      <c r="L2925">
        <f>IF(OR(AND(H2925=0,ABS(J2925)&gt;=0.01),AND(H2925&lt;&gt;0,ABS(K2925)&gt;VarianceThreshold)),"Review","OK")</f>
        <v>0</v>
      </c>
      <c r="M2925" t="s">
        <v>33</v>
      </c>
    </row>
    <row r="2926" spans="1:13">
      <c r="A2926" t="s">
        <v>4</v>
      </c>
      <c r="B2926" t="s">
        <v>673</v>
      </c>
      <c r="C2926" t="s">
        <v>2476</v>
      </c>
      <c r="D2926" t="s">
        <v>2264</v>
      </c>
      <c r="E2926" cm="1">
        <f t="array" ref="E2926">_xlfn.XLOOKUP(D2926,SKU_Master!A:A,SKU_Master!B:B,"Not on master")</f>
        <v>0</v>
      </c>
      <c r="F2926" cm="1">
        <f t="array" ref="F2926">_xlfn.XLOOKUP(C2926,Account_Master!A:A,Account_Master!B:B,"Not on master")</f>
        <v>0</v>
      </c>
      <c r="G2926" cm="1">
        <f t="array" ref="G2926">_xlfn.XLOOKUP(C2926,Account_Master!A:A,Account_Master!C:C,"Not on master")</f>
        <v>0</v>
      </c>
      <c r="H2926" s="6">
        <v>0.7</v>
      </c>
      <c r="I2926" s="6">
        <v>0.7</v>
      </c>
      <c r="J2926" s="6">
        <f>I2926-H2926</f>
        <v>0</v>
      </c>
      <c r="K2926" s="5">
        <f>IF(H2926=0,"",J2926/H2926)</f>
        <v>0</v>
      </c>
      <c r="L2926">
        <f>IF(OR(AND(H2926=0,ABS(J2926)&gt;=0.01),AND(H2926&lt;&gt;0,ABS(K2926)&gt;VarianceThreshold)),"Review","OK")</f>
        <v>0</v>
      </c>
      <c r="M2926" t="s">
        <v>33</v>
      </c>
    </row>
    <row r="2927" spans="1:13">
      <c r="A2927" t="s">
        <v>4</v>
      </c>
      <c r="B2927" t="s">
        <v>673</v>
      </c>
      <c r="C2927" t="s">
        <v>2414</v>
      </c>
      <c r="D2927" t="s">
        <v>1692</v>
      </c>
      <c r="E2927" cm="1">
        <f t="array" ref="E2927">_xlfn.XLOOKUP(D2927,SKU_Master!A:A,SKU_Master!B:B,"Not on master")</f>
        <v>0</v>
      </c>
      <c r="F2927" cm="1">
        <f t="array" ref="F2927">_xlfn.XLOOKUP(C2927,Account_Master!A:A,Account_Master!B:B,"Not on master")</f>
        <v>0</v>
      </c>
      <c r="G2927" cm="1">
        <f t="array" ref="G2927">_xlfn.XLOOKUP(C2927,Account_Master!A:A,Account_Master!C:C,"Not on master")</f>
        <v>0</v>
      </c>
      <c r="H2927" s="6">
        <v>42</v>
      </c>
      <c r="I2927" s="6">
        <v>42</v>
      </c>
      <c r="J2927" s="6">
        <f>I2927-H2927</f>
        <v>0</v>
      </c>
      <c r="K2927" s="5">
        <f>IF(H2927=0,"",J2927/H2927)</f>
        <v>0</v>
      </c>
      <c r="L2927">
        <f>IF(OR(AND(H2927=0,ABS(J2927)&gt;=0.01),AND(H2927&lt;&gt;0,ABS(K2927)&gt;VarianceThreshold)),"Review","OK")</f>
        <v>0</v>
      </c>
      <c r="M2927" t="s">
        <v>33</v>
      </c>
    </row>
    <row r="2928" spans="1:13">
      <c r="A2928" t="s">
        <v>4</v>
      </c>
      <c r="B2928" t="s">
        <v>673</v>
      </c>
      <c r="C2928" t="s">
        <v>2503</v>
      </c>
      <c r="D2928" t="s">
        <v>1169</v>
      </c>
      <c r="E2928" cm="1">
        <f t="array" ref="E2928">_xlfn.XLOOKUP(D2928,SKU_Master!A:A,SKU_Master!B:B,"Not on master")</f>
        <v>0</v>
      </c>
      <c r="F2928" cm="1">
        <f t="array" ref="F2928">_xlfn.XLOOKUP(C2928,Account_Master!A:A,Account_Master!B:B,"Not on master")</f>
        <v>0</v>
      </c>
      <c r="G2928" cm="1">
        <f t="array" ref="G2928">_xlfn.XLOOKUP(C2928,Account_Master!A:A,Account_Master!C:C,"Not on master")</f>
        <v>0</v>
      </c>
      <c r="H2928" s="6">
        <v>94.5</v>
      </c>
      <c r="I2928" s="6">
        <v>94.5</v>
      </c>
      <c r="J2928" s="6">
        <f>I2928-H2928</f>
        <v>0</v>
      </c>
      <c r="K2928" s="5">
        <f>IF(H2928=0,"",J2928/H2928)</f>
        <v>0</v>
      </c>
      <c r="L2928">
        <f>IF(OR(AND(H2928=0,ABS(J2928)&gt;=0.01),AND(H2928&lt;&gt;0,ABS(K2928)&gt;VarianceThreshold)),"Review","OK")</f>
        <v>0</v>
      </c>
      <c r="M2928" t="s">
        <v>33</v>
      </c>
    </row>
    <row r="2929" spans="1:13">
      <c r="A2929" t="s">
        <v>4</v>
      </c>
      <c r="B2929" t="s">
        <v>673</v>
      </c>
      <c r="C2929" t="s">
        <v>2554</v>
      </c>
      <c r="D2929" t="s">
        <v>2638</v>
      </c>
      <c r="E2929" cm="1">
        <f t="array" ref="E2929">_xlfn.XLOOKUP(D2929,SKU_Master!A:A,SKU_Master!B:B,"Not on master")</f>
        <v>0</v>
      </c>
      <c r="F2929" cm="1">
        <f t="array" ref="F2929">_xlfn.XLOOKUP(C2929,Account_Master!A:A,Account_Master!B:B,"Not on master")</f>
        <v>0</v>
      </c>
      <c r="G2929" cm="1">
        <f t="array" ref="G2929">_xlfn.XLOOKUP(C2929,Account_Master!A:A,Account_Master!C:C,"Not on master")</f>
        <v>0</v>
      </c>
      <c r="H2929" s="6">
        <v>0.1</v>
      </c>
      <c r="I2929" s="6">
        <v>0.1</v>
      </c>
      <c r="J2929" s="6">
        <f>I2929-H2929</f>
        <v>0</v>
      </c>
      <c r="K2929" s="5">
        <f>IF(H2929=0,"",J2929/H2929)</f>
        <v>0</v>
      </c>
      <c r="L2929">
        <f>IF(OR(AND(H2929=0,ABS(J2929)&gt;=0.01),AND(H2929&lt;&gt;0,ABS(K2929)&gt;VarianceThreshold)),"Review","OK")</f>
        <v>0</v>
      </c>
      <c r="M2929" t="s">
        <v>33</v>
      </c>
    </row>
    <row r="2930" spans="1:13">
      <c r="A2930" t="s">
        <v>4</v>
      </c>
      <c r="B2930" t="s">
        <v>673</v>
      </c>
      <c r="C2930" t="s">
        <v>2416</v>
      </c>
      <c r="D2930" t="s">
        <v>2639</v>
      </c>
      <c r="E2930" cm="1">
        <f t="array" ref="E2930">_xlfn.XLOOKUP(D2930,SKU_Master!A:A,SKU_Master!B:B,"Not on master")</f>
        <v>0</v>
      </c>
      <c r="F2930" cm="1">
        <f t="array" ref="F2930">_xlfn.XLOOKUP(C2930,Account_Master!A:A,Account_Master!B:B,"Not on master")</f>
        <v>0</v>
      </c>
      <c r="G2930" cm="1">
        <f t="array" ref="G2930">_xlfn.XLOOKUP(C2930,Account_Master!A:A,Account_Master!C:C,"Not on master")</f>
        <v>0</v>
      </c>
      <c r="H2930" s="6">
        <v>0.75</v>
      </c>
      <c r="I2930" s="6">
        <v>0.75</v>
      </c>
      <c r="J2930" s="6">
        <f>I2930-H2930</f>
        <v>0</v>
      </c>
      <c r="K2930" s="5">
        <f>IF(H2930=0,"",J2930/H2930)</f>
        <v>0</v>
      </c>
      <c r="L2930">
        <f>IF(OR(AND(H2930=0,ABS(J2930)&gt;=0.01),AND(H2930&lt;&gt;0,ABS(K2930)&gt;VarianceThreshold)),"Review","OK")</f>
        <v>0</v>
      </c>
      <c r="M2930" t="s">
        <v>33</v>
      </c>
    </row>
    <row r="2931" spans="1:13">
      <c r="A2931" t="s">
        <v>4</v>
      </c>
      <c r="B2931" t="s">
        <v>681</v>
      </c>
      <c r="C2931" t="s">
        <v>2414</v>
      </c>
      <c r="D2931" t="s">
        <v>2640</v>
      </c>
      <c r="E2931" cm="1">
        <f t="array" ref="E2931">_xlfn.XLOOKUP(D2931,SKU_Master!A:A,SKU_Master!B:B,"Not on master")</f>
        <v>0</v>
      </c>
      <c r="F2931" cm="1">
        <f t="array" ref="F2931">_xlfn.XLOOKUP(C2931,Account_Master!A:A,Account_Master!B:B,"Not on master")</f>
        <v>0</v>
      </c>
      <c r="G2931" cm="1">
        <f t="array" ref="G2931">_xlfn.XLOOKUP(C2931,Account_Master!A:A,Account_Master!C:C,"Not on master")</f>
        <v>0</v>
      </c>
      <c r="H2931" s="6">
        <v>0.1</v>
      </c>
      <c r="I2931" s="6">
        <v>0.1</v>
      </c>
      <c r="J2931" s="6">
        <f>I2931-H2931</f>
        <v>0</v>
      </c>
      <c r="K2931" s="5">
        <f>IF(H2931=0,"",J2931/H2931)</f>
        <v>0</v>
      </c>
      <c r="L2931">
        <f>IF(OR(AND(H2931=0,ABS(J2931)&gt;=0.01),AND(H2931&lt;&gt;0,ABS(K2931)&gt;VarianceThreshold)),"Review","OK")</f>
        <v>0</v>
      </c>
      <c r="M2931" t="s">
        <v>33</v>
      </c>
    </row>
    <row r="2932" spans="1:13">
      <c r="A2932" t="s">
        <v>4</v>
      </c>
      <c r="B2932" t="s">
        <v>681</v>
      </c>
      <c r="C2932" t="s">
        <v>2410</v>
      </c>
      <c r="D2932" t="s">
        <v>1784</v>
      </c>
      <c r="E2932" cm="1">
        <f t="array" ref="E2932">_xlfn.XLOOKUP(D2932,SKU_Master!A:A,SKU_Master!B:B,"Not on master")</f>
        <v>0</v>
      </c>
      <c r="F2932" cm="1">
        <f t="array" ref="F2932">_xlfn.XLOOKUP(C2932,Account_Master!A:A,Account_Master!B:B,"Not on master")</f>
        <v>0</v>
      </c>
      <c r="G2932" cm="1">
        <f t="array" ref="G2932">_xlfn.XLOOKUP(C2932,Account_Master!A:A,Account_Master!C:C,"Not on master")</f>
        <v>0</v>
      </c>
      <c r="H2932" s="6">
        <v>5.25</v>
      </c>
      <c r="I2932" s="6">
        <v>5.25</v>
      </c>
      <c r="J2932" s="6">
        <f>I2932-H2932</f>
        <v>0</v>
      </c>
      <c r="K2932" s="5">
        <f>IF(H2932=0,"",J2932/H2932)</f>
        <v>0</v>
      </c>
      <c r="L2932">
        <f>IF(OR(AND(H2932=0,ABS(J2932)&gt;=0.01),AND(H2932&lt;&gt;0,ABS(K2932)&gt;VarianceThreshold)),"Review","OK")</f>
        <v>0</v>
      </c>
      <c r="M2932" t="s">
        <v>33</v>
      </c>
    </row>
    <row r="2933" spans="1:13">
      <c r="A2933" t="s">
        <v>4</v>
      </c>
      <c r="B2933" t="s">
        <v>681</v>
      </c>
      <c r="C2933" t="s">
        <v>2441</v>
      </c>
      <c r="D2933" t="s">
        <v>1342</v>
      </c>
      <c r="E2933" cm="1">
        <f t="array" ref="E2933">_xlfn.XLOOKUP(D2933,SKU_Master!A:A,SKU_Master!B:B,"Not on master")</f>
        <v>0</v>
      </c>
      <c r="F2933" cm="1">
        <f t="array" ref="F2933">_xlfn.XLOOKUP(C2933,Account_Master!A:A,Account_Master!B:B,"Not on master")</f>
        <v>0</v>
      </c>
      <c r="G2933" cm="1">
        <f t="array" ref="G2933">_xlfn.XLOOKUP(C2933,Account_Master!A:A,Account_Master!C:C,"Not on master")</f>
        <v>0</v>
      </c>
      <c r="H2933" s="6">
        <v>24.75</v>
      </c>
      <c r="I2933" s="6">
        <v>24.75</v>
      </c>
      <c r="J2933" s="6">
        <f>I2933-H2933</f>
        <v>0</v>
      </c>
      <c r="K2933" s="5">
        <f>IF(H2933=0,"",J2933/H2933)</f>
        <v>0</v>
      </c>
      <c r="L2933">
        <f>IF(OR(AND(H2933=0,ABS(J2933)&gt;=0.01),AND(H2933&lt;&gt;0,ABS(K2933)&gt;VarianceThreshold)),"Review","OK")</f>
        <v>0</v>
      </c>
      <c r="M2933" t="s">
        <v>33</v>
      </c>
    </row>
    <row r="2934" spans="1:13">
      <c r="A2934" t="s">
        <v>4</v>
      </c>
      <c r="B2934" t="s">
        <v>681</v>
      </c>
      <c r="C2934" t="s">
        <v>2602</v>
      </c>
      <c r="D2934" t="s">
        <v>2316</v>
      </c>
      <c r="E2934" cm="1">
        <f t="array" ref="E2934">_xlfn.XLOOKUP(D2934,SKU_Master!A:A,SKU_Master!B:B,"Not on master")</f>
        <v>0</v>
      </c>
      <c r="F2934" cm="1">
        <f t="array" ref="F2934">_xlfn.XLOOKUP(C2934,Account_Master!A:A,Account_Master!B:B,"Not on master")</f>
        <v>0</v>
      </c>
      <c r="G2934" cm="1">
        <f t="array" ref="G2934">_xlfn.XLOOKUP(C2934,Account_Master!A:A,Account_Master!C:C,"Not on master")</f>
        <v>0</v>
      </c>
      <c r="H2934" s="6">
        <v>3.75</v>
      </c>
      <c r="I2934" s="6">
        <v>3.75</v>
      </c>
      <c r="J2934" s="6">
        <f>I2934-H2934</f>
        <v>0</v>
      </c>
      <c r="K2934" s="5">
        <f>IF(H2934=0,"",J2934/H2934)</f>
        <v>0</v>
      </c>
      <c r="L2934">
        <f>IF(OR(AND(H2934=0,ABS(J2934)&gt;=0.01),AND(H2934&lt;&gt;0,ABS(K2934)&gt;VarianceThreshold)),"Review","OK")</f>
        <v>0</v>
      </c>
      <c r="M2934" t="s">
        <v>33</v>
      </c>
    </row>
    <row r="2935" spans="1:13">
      <c r="A2935" t="s">
        <v>4</v>
      </c>
      <c r="B2935" t="s">
        <v>681</v>
      </c>
      <c r="C2935" t="s">
        <v>2641</v>
      </c>
      <c r="D2935" t="s">
        <v>327</v>
      </c>
      <c r="E2935" cm="1">
        <f t="array" ref="E2935">_xlfn.XLOOKUP(D2935,SKU_Master!A:A,SKU_Master!B:B,"Not on master")</f>
        <v>0</v>
      </c>
      <c r="F2935" cm="1">
        <f t="array" ref="F2935">_xlfn.XLOOKUP(C2935,Account_Master!A:A,Account_Master!B:B,"Not on master")</f>
        <v>0</v>
      </c>
      <c r="G2935" cm="1">
        <f t="array" ref="G2935">_xlfn.XLOOKUP(C2935,Account_Master!A:A,Account_Master!C:C,"Not on master")</f>
        <v>0</v>
      </c>
      <c r="H2935" s="6">
        <v>2.25</v>
      </c>
      <c r="I2935" s="6">
        <v>2.25</v>
      </c>
      <c r="J2935" s="6">
        <f>I2935-H2935</f>
        <v>0</v>
      </c>
      <c r="K2935" s="5">
        <f>IF(H2935=0,"",J2935/H2935)</f>
        <v>0</v>
      </c>
      <c r="L2935">
        <f>IF(OR(AND(H2935=0,ABS(J2935)&gt;=0.01),AND(H2935&lt;&gt;0,ABS(K2935)&gt;VarianceThreshold)),"Review","OK")</f>
        <v>0</v>
      </c>
      <c r="M2935" t="s">
        <v>33</v>
      </c>
    </row>
    <row r="2936" spans="1:13">
      <c r="A2936" t="s">
        <v>4</v>
      </c>
      <c r="B2936" t="s">
        <v>681</v>
      </c>
      <c r="C2936" t="s">
        <v>2642</v>
      </c>
      <c r="D2936" t="s">
        <v>2643</v>
      </c>
      <c r="E2936" cm="1">
        <f t="array" ref="E2936">_xlfn.XLOOKUP(D2936,SKU_Master!A:A,SKU_Master!B:B,"Not on master")</f>
        <v>0</v>
      </c>
      <c r="F2936" cm="1">
        <f t="array" ref="F2936">_xlfn.XLOOKUP(C2936,Account_Master!A:A,Account_Master!B:B,"Not on master")</f>
        <v>0</v>
      </c>
      <c r="G2936" cm="1">
        <f t="array" ref="G2936">_xlfn.XLOOKUP(C2936,Account_Master!A:A,Account_Master!C:C,"Not on master")</f>
        <v>0</v>
      </c>
      <c r="H2936" s="6">
        <v>20.8</v>
      </c>
      <c r="I2936" s="6">
        <v>20.8</v>
      </c>
      <c r="J2936" s="6">
        <f>I2936-H2936</f>
        <v>0</v>
      </c>
      <c r="K2936" s="5">
        <f>IF(H2936=0,"",J2936/H2936)</f>
        <v>0</v>
      </c>
      <c r="L2936">
        <f>IF(OR(AND(H2936=0,ABS(J2936)&gt;=0.01),AND(H2936&lt;&gt;0,ABS(K2936)&gt;VarianceThreshold)),"Review","OK")</f>
        <v>0</v>
      </c>
      <c r="M2936" t="s">
        <v>33</v>
      </c>
    </row>
    <row r="2937" spans="1:13">
      <c r="A2937" t="s">
        <v>4</v>
      </c>
      <c r="B2937" t="s">
        <v>681</v>
      </c>
      <c r="C2937" t="s">
        <v>2644</v>
      </c>
      <c r="D2937" t="s">
        <v>1853</v>
      </c>
      <c r="E2937" cm="1">
        <f t="array" ref="E2937">_xlfn.XLOOKUP(D2937,SKU_Master!A:A,SKU_Master!B:B,"Not on master")</f>
        <v>0</v>
      </c>
      <c r="F2937" cm="1">
        <f t="array" ref="F2937">_xlfn.XLOOKUP(C2937,Account_Master!A:A,Account_Master!B:B,"Not on master")</f>
        <v>0</v>
      </c>
      <c r="G2937" cm="1">
        <f t="array" ref="G2937">_xlfn.XLOOKUP(C2937,Account_Master!A:A,Account_Master!C:C,"Not on master")</f>
        <v>0</v>
      </c>
      <c r="H2937" s="6">
        <v>12</v>
      </c>
      <c r="I2937" s="6">
        <v>12</v>
      </c>
      <c r="J2937" s="6">
        <f>I2937-H2937</f>
        <v>0</v>
      </c>
      <c r="K2937" s="5">
        <f>IF(H2937=0,"",J2937/H2937)</f>
        <v>0</v>
      </c>
      <c r="L2937">
        <f>IF(OR(AND(H2937=0,ABS(J2937)&gt;=0.01),AND(H2937&lt;&gt;0,ABS(K2937)&gt;VarianceThreshold)),"Review","OK")</f>
        <v>0</v>
      </c>
      <c r="M2937" t="s">
        <v>33</v>
      </c>
    </row>
    <row r="2938" spans="1:13">
      <c r="A2938" t="s">
        <v>4</v>
      </c>
      <c r="B2938" t="s">
        <v>681</v>
      </c>
      <c r="C2938" t="s">
        <v>2645</v>
      </c>
      <c r="D2938" t="s">
        <v>842</v>
      </c>
      <c r="E2938" cm="1">
        <f t="array" ref="E2938">_xlfn.XLOOKUP(D2938,SKU_Master!A:A,SKU_Master!B:B,"Not on master")</f>
        <v>0</v>
      </c>
      <c r="F2938" cm="1">
        <f t="array" ref="F2938">_xlfn.XLOOKUP(C2938,Account_Master!A:A,Account_Master!B:B,"Not on master")</f>
        <v>0</v>
      </c>
      <c r="G2938" cm="1">
        <f t="array" ref="G2938">_xlfn.XLOOKUP(C2938,Account_Master!A:A,Account_Master!C:C,"Not on master")</f>
        <v>0</v>
      </c>
      <c r="H2938" s="6">
        <v>78.75</v>
      </c>
      <c r="I2938" s="6">
        <v>78.75</v>
      </c>
      <c r="J2938" s="6">
        <f>I2938-H2938</f>
        <v>0</v>
      </c>
      <c r="K2938" s="5">
        <f>IF(H2938=0,"",J2938/H2938)</f>
        <v>0</v>
      </c>
      <c r="L2938">
        <f>IF(OR(AND(H2938=0,ABS(J2938)&gt;=0.01),AND(H2938&lt;&gt;0,ABS(K2938)&gt;VarianceThreshold)),"Review","OK")</f>
        <v>0</v>
      </c>
      <c r="M2938" t="s">
        <v>33</v>
      </c>
    </row>
    <row r="2939" spans="1:13">
      <c r="A2939" t="s">
        <v>4</v>
      </c>
      <c r="B2939" t="s">
        <v>681</v>
      </c>
      <c r="C2939" t="s">
        <v>2433</v>
      </c>
      <c r="D2939" t="s">
        <v>2377</v>
      </c>
      <c r="E2939" cm="1">
        <f t="array" ref="E2939">_xlfn.XLOOKUP(D2939,SKU_Master!A:A,SKU_Master!B:B,"Not on master")</f>
        <v>0</v>
      </c>
      <c r="F2939" cm="1">
        <f t="array" ref="F2939">_xlfn.XLOOKUP(C2939,Account_Master!A:A,Account_Master!B:B,"Not on master")</f>
        <v>0</v>
      </c>
      <c r="G2939" cm="1">
        <f t="array" ref="G2939">_xlfn.XLOOKUP(C2939,Account_Master!A:A,Account_Master!C:C,"Not on master")</f>
        <v>0</v>
      </c>
      <c r="H2939" s="6">
        <v>1.35</v>
      </c>
      <c r="I2939" s="6">
        <v>1.35</v>
      </c>
      <c r="J2939" s="6">
        <f>I2939-H2939</f>
        <v>0</v>
      </c>
      <c r="K2939" s="5">
        <f>IF(H2939=0,"",J2939/H2939)</f>
        <v>0</v>
      </c>
      <c r="L2939">
        <f>IF(OR(AND(H2939=0,ABS(J2939)&gt;=0.01),AND(H2939&lt;&gt;0,ABS(K2939)&gt;VarianceThreshold)),"Review","OK")</f>
        <v>0</v>
      </c>
      <c r="M2939" t="s">
        <v>33</v>
      </c>
    </row>
    <row r="2940" spans="1:13">
      <c r="A2940" t="s">
        <v>4</v>
      </c>
      <c r="B2940" t="s">
        <v>689</v>
      </c>
      <c r="C2940" t="s">
        <v>2439</v>
      </c>
      <c r="D2940" t="s">
        <v>2372</v>
      </c>
      <c r="E2940" cm="1">
        <f t="array" ref="E2940">_xlfn.XLOOKUP(D2940,SKU_Master!A:A,SKU_Master!B:B,"Not on master")</f>
        <v>0</v>
      </c>
      <c r="F2940" cm="1">
        <f t="array" ref="F2940">_xlfn.XLOOKUP(C2940,Account_Master!A:A,Account_Master!B:B,"Not on master")</f>
        <v>0</v>
      </c>
      <c r="G2940" cm="1">
        <f t="array" ref="G2940">_xlfn.XLOOKUP(C2940,Account_Master!A:A,Account_Master!C:C,"Not on master")</f>
        <v>0</v>
      </c>
      <c r="H2940" s="6">
        <v>3</v>
      </c>
      <c r="I2940" s="6">
        <v>3</v>
      </c>
      <c r="J2940" s="6">
        <f>I2940-H2940</f>
        <v>0</v>
      </c>
      <c r="K2940" s="5">
        <f>IF(H2940=0,"",J2940/H2940)</f>
        <v>0</v>
      </c>
      <c r="L2940">
        <f>IF(OR(AND(H2940=0,ABS(J2940)&gt;=0.01),AND(H2940&lt;&gt;0,ABS(K2940)&gt;VarianceThreshold)),"Review","OK")</f>
        <v>0</v>
      </c>
      <c r="M2940" t="s">
        <v>33</v>
      </c>
    </row>
    <row r="2941" spans="1:13">
      <c r="A2941" t="s">
        <v>4</v>
      </c>
      <c r="B2941" t="s">
        <v>689</v>
      </c>
      <c r="C2941" t="s">
        <v>2646</v>
      </c>
      <c r="D2941" t="s">
        <v>2647</v>
      </c>
      <c r="E2941" cm="1">
        <f t="array" ref="E2941">_xlfn.XLOOKUP(D2941,SKU_Master!A:A,SKU_Master!B:B,"Not on master")</f>
        <v>0</v>
      </c>
      <c r="F2941" cm="1">
        <f t="array" ref="F2941">_xlfn.XLOOKUP(C2941,Account_Master!A:A,Account_Master!B:B,"Not on master")</f>
        <v>0</v>
      </c>
      <c r="G2941" cm="1">
        <f t="array" ref="G2941">_xlfn.XLOOKUP(C2941,Account_Master!A:A,Account_Master!C:C,"Not on master")</f>
        <v>0</v>
      </c>
      <c r="H2941" s="6">
        <v>0.75</v>
      </c>
      <c r="I2941" s="6">
        <v>0.75</v>
      </c>
      <c r="J2941" s="6">
        <f>I2941-H2941</f>
        <v>0</v>
      </c>
      <c r="K2941" s="5">
        <f>IF(H2941=0,"",J2941/H2941)</f>
        <v>0</v>
      </c>
      <c r="L2941">
        <f>IF(OR(AND(H2941=0,ABS(J2941)&gt;=0.01),AND(H2941&lt;&gt;0,ABS(K2941)&gt;VarianceThreshold)),"Review","OK")</f>
        <v>0</v>
      </c>
      <c r="M2941" t="s">
        <v>33</v>
      </c>
    </row>
    <row r="2942" spans="1:13">
      <c r="A2942" t="s">
        <v>4</v>
      </c>
      <c r="B2942" t="s">
        <v>689</v>
      </c>
      <c r="C2942" t="s">
        <v>2432</v>
      </c>
      <c r="D2942" t="s">
        <v>2648</v>
      </c>
      <c r="E2942" cm="1">
        <f t="array" ref="E2942">_xlfn.XLOOKUP(D2942,SKU_Master!A:A,SKU_Master!B:B,"Not on master")</f>
        <v>0</v>
      </c>
      <c r="F2942" cm="1">
        <f t="array" ref="F2942">_xlfn.XLOOKUP(C2942,Account_Master!A:A,Account_Master!B:B,"Not on master")</f>
        <v>0</v>
      </c>
      <c r="G2942" cm="1">
        <f t="array" ref="G2942">_xlfn.XLOOKUP(C2942,Account_Master!A:A,Account_Master!C:C,"Not on master")</f>
        <v>0</v>
      </c>
      <c r="H2942" s="6">
        <v>4.5</v>
      </c>
      <c r="I2942" s="6">
        <v>4.5</v>
      </c>
      <c r="J2942" s="6">
        <f>I2942-H2942</f>
        <v>0</v>
      </c>
      <c r="K2942" s="5">
        <f>IF(H2942=0,"",J2942/H2942)</f>
        <v>0</v>
      </c>
      <c r="L2942">
        <f>IF(OR(AND(H2942=0,ABS(J2942)&gt;=0.01),AND(H2942&lt;&gt;0,ABS(K2942)&gt;VarianceThreshold)),"Review","OK")</f>
        <v>0</v>
      </c>
      <c r="M2942" t="s">
        <v>33</v>
      </c>
    </row>
    <row r="2943" spans="1:13">
      <c r="A2943" t="s">
        <v>4</v>
      </c>
      <c r="B2943" t="s">
        <v>689</v>
      </c>
      <c r="C2943" t="s">
        <v>2428</v>
      </c>
      <c r="D2943" t="s">
        <v>678</v>
      </c>
      <c r="E2943" cm="1">
        <f t="array" ref="E2943">_xlfn.XLOOKUP(D2943,SKU_Master!A:A,SKU_Master!B:B,"Not on master")</f>
        <v>0</v>
      </c>
      <c r="F2943" cm="1">
        <f t="array" ref="F2943">_xlfn.XLOOKUP(C2943,Account_Master!A:A,Account_Master!B:B,"Not on master")</f>
        <v>0</v>
      </c>
      <c r="G2943" cm="1">
        <f t="array" ref="G2943">_xlfn.XLOOKUP(C2943,Account_Master!A:A,Account_Master!C:C,"Not on master")</f>
        <v>0</v>
      </c>
      <c r="H2943" s="6">
        <v>21</v>
      </c>
      <c r="I2943" s="6">
        <v>21</v>
      </c>
      <c r="J2943" s="6">
        <f>I2943-H2943</f>
        <v>0</v>
      </c>
      <c r="K2943" s="5">
        <f>IF(H2943=0,"",J2943/H2943)</f>
        <v>0</v>
      </c>
      <c r="L2943">
        <f>IF(OR(AND(H2943=0,ABS(J2943)&gt;=0.01),AND(H2943&lt;&gt;0,ABS(K2943)&gt;VarianceThreshold)),"Review","OK")</f>
        <v>0</v>
      </c>
      <c r="M2943" t="s">
        <v>33</v>
      </c>
    </row>
    <row r="2944" spans="1:13">
      <c r="A2944" t="s">
        <v>4</v>
      </c>
      <c r="B2944" t="s">
        <v>689</v>
      </c>
      <c r="C2944" t="s">
        <v>2410</v>
      </c>
      <c r="D2944" t="s">
        <v>520</v>
      </c>
      <c r="E2944" cm="1">
        <f t="array" ref="E2944">_xlfn.XLOOKUP(D2944,SKU_Master!A:A,SKU_Master!B:B,"Not on master")</f>
        <v>0</v>
      </c>
      <c r="F2944" cm="1">
        <f t="array" ref="F2944">_xlfn.XLOOKUP(C2944,Account_Master!A:A,Account_Master!B:B,"Not on master")</f>
        <v>0</v>
      </c>
      <c r="G2944" cm="1">
        <f t="array" ref="G2944">_xlfn.XLOOKUP(C2944,Account_Master!A:A,Account_Master!C:C,"Not on master")</f>
        <v>0</v>
      </c>
      <c r="H2944" s="6">
        <v>4.5</v>
      </c>
      <c r="I2944" s="6">
        <v>4.5</v>
      </c>
      <c r="J2944" s="6">
        <f>I2944-H2944</f>
        <v>0</v>
      </c>
      <c r="K2944" s="5">
        <f>IF(H2944=0,"",J2944/H2944)</f>
        <v>0</v>
      </c>
      <c r="L2944">
        <f>IF(OR(AND(H2944=0,ABS(J2944)&gt;=0.01),AND(H2944&lt;&gt;0,ABS(K2944)&gt;VarianceThreshold)),"Review","OK")</f>
        <v>0</v>
      </c>
      <c r="M2944" t="s">
        <v>33</v>
      </c>
    </row>
    <row r="2945" spans="1:13">
      <c r="A2945" t="s">
        <v>4</v>
      </c>
      <c r="B2945" t="s">
        <v>689</v>
      </c>
      <c r="C2945" t="s">
        <v>2410</v>
      </c>
      <c r="D2945" t="s">
        <v>1839</v>
      </c>
      <c r="E2945" cm="1">
        <f t="array" ref="E2945">_xlfn.XLOOKUP(D2945,SKU_Master!A:A,SKU_Master!B:B,"Not on master")</f>
        <v>0</v>
      </c>
      <c r="F2945" cm="1">
        <f t="array" ref="F2945">_xlfn.XLOOKUP(C2945,Account_Master!A:A,Account_Master!B:B,"Not on master")</f>
        <v>0</v>
      </c>
      <c r="G2945" cm="1">
        <f t="array" ref="G2945">_xlfn.XLOOKUP(C2945,Account_Master!A:A,Account_Master!C:C,"Not on master")</f>
        <v>0</v>
      </c>
      <c r="H2945" s="6">
        <v>6</v>
      </c>
      <c r="I2945" s="6">
        <v>6</v>
      </c>
      <c r="J2945" s="6">
        <f>I2945-H2945</f>
        <v>0</v>
      </c>
      <c r="K2945" s="5">
        <f>IF(H2945=0,"",J2945/H2945)</f>
        <v>0</v>
      </c>
      <c r="L2945">
        <f>IF(OR(AND(H2945=0,ABS(J2945)&gt;=0.01),AND(H2945&lt;&gt;0,ABS(K2945)&gt;VarianceThreshold)),"Review","OK")</f>
        <v>0</v>
      </c>
      <c r="M2945" t="s">
        <v>33</v>
      </c>
    </row>
    <row r="2946" spans="1:13">
      <c r="A2946" t="s">
        <v>4</v>
      </c>
      <c r="B2946" t="s">
        <v>689</v>
      </c>
      <c r="C2946" t="s">
        <v>2448</v>
      </c>
      <c r="D2946" t="s">
        <v>1201</v>
      </c>
      <c r="E2946" cm="1">
        <f t="array" ref="E2946">_xlfn.XLOOKUP(D2946,SKU_Master!A:A,SKU_Master!B:B,"Not on master")</f>
        <v>0</v>
      </c>
      <c r="F2946" cm="1">
        <f t="array" ref="F2946">_xlfn.XLOOKUP(C2946,Account_Master!A:A,Account_Master!B:B,"Not on master")</f>
        <v>0</v>
      </c>
      <c r="G2946" cm="1">
        <f t="array" ref="G2946">_xlfn.XLOOKUP(C2946,Account_Master!A:A,Account_Master!C:C,"Not on master")</f>
        <v>0</v>
      </c>
      <c r="H2946" s="6">
        <v>26.25</v>
      </c>
      <c r="I2946" s="6">
        <v>26.25</v>
      </c>
      <c r="J2946" s="6">
        <f>I2946-H2946</f>
        <v>0</v>
      </c>
      <c r="K2946" s="5">
        <f>IF(H2946=0,"",J2946/H2946)</f>
        <v>0</v>
      </c>
      <c r="L2946">
        <f>IF(OR(AND(H2946=0,ABS(J2946)&gt;=0.01),AND(H2946&lt;&gt;0,ABS(K2946)&gt;VarianceThreshold)),"Review","OK")</f>
        <v>0</v>
      </c>
      <c r="M2946" t="s">
        <v>33</v>
      </c>
    </row>
    <row r="2947" spans="1:13">
      <c r="A2947" t="s">
        <v>4</v>
      </c>
      <c r="B2947" t="s">
        <v>701</v>
      </c>
      <c r="C2947" t="s">
        <v>2649</v>
      </c>
      <c r="D2947" t="s">
        <v>2650</v>
      </c>
      <c r="E2947" cm="1">
        <f t="array" ref="E2947">_xlfn.XLOOKUP(D2947,SKU_Master!A:A,SKU_Master!B:B,"Not on master")</f>
        <v>0</v>
      </c>
      <c r="F2947" cm="1">
        <f t="array" ref="F2947">_xlfn.XLOOKUP(C2947,Account_Master!A:A,Account_Master!B:B,"Not on master")</f>
        <v>0</v>
      </c>
      <c r="G2947" cm="1">
        <f t="array" ref="G2947">_xlfn.XLOOKUP(C2947,Account_Master!A:A,Account_Master!C:C,"Not on master")</f>
        <v>0</v>
      </c>
      <c r="H2947" s="6">
        <v>9</v>
      </c>
      <c r="I2947" s="6">
        <v>9</v>
      </c>
      <c r="J2947" s="6">
        <f>I2947-H2947</f>
        <v>0</v>
      </c>
      <c r="K2947" s="5">
        <f>IF(H2947=0,"",J2947/H2947)</f>
        <v>0</v>
      </c>
      <c r="L2947">
        <f>IF(OR(AND(H2947=0,ABS(J2947)&gt;=0.01),AND(H2947&lt;&gt;0,ABS(K2947)&gt;VarianceThreshold)),"Review","OK")</f>
        <v>0</v>
      </c>
      <c r="M2947" t="s">
        <v>33</v>
      </c>
    </row>
    <row r="2948" spans="1:13">
      <c r="A2948" t="s">
        <v>4</v>
      </c>
      <c r="B2948" t="s">
        <v>701</v>
      </c>
      <c r="C2948" t="s">
        <v>2410</v>
      </c>
      <c r="D2948" t="s">
        <v>2297</v>
      </c>
      <c r="E2948" cm="1">
        <f t="array" ref="E2948">_xlfn.XLOOKUP(D2948,SKU_Master!A:A,SKU_Master!B:B,"Not on master")</f>
        <v>0</v>
      </c>
      <c r="F2948" cm="1">
        <f t="array" ref="F2948">_xlfn.XLOOKUP(C2948,Account_Master!A:A,Account_Master!B:B,"Not on master")</f>
        <v>0</v>
      </c>
      <c r="G2948" cm="1">
        <f t="array" ref="G2948">_xlfn.XLOOKUP(C2948,Account_Master!A:A,Account_Master!C:C,"Not on master")</f>
        <v>0</v>
      </c>
      <c r="H2948" s="6">
        <v>42</v>
      </c>
      <c r="I2948" s="6">
        <v>42</v>
      </c>
      <c r="J2948" s="6">
        <f>I2948-H2948</f>
        <v>0</v>
      </c>
      <c r="K2948" s="5">
        <f>IF(H2948=0,"",J2948/H2948)</f>
        <v>0</v>
      </c>
      <c r="L2948">
        <f>IF(OR(AND(H2948=0,ABS(J2948)&gt;=0.01),AND(H2948&lt;&gt;0,ABS(K2948)&gt;VarianceThreshold)),"Review","OK")</f>
        <v>0</v>
      </c>
      <c r="M2948" t="s">
        <v>33</v>
      </c>
    </row>
    <row r="2949" spans="1:13">
      <c r="A2949" t="s">
        <v>4</v>
      </c>
      <c r="B2949" t="s">
        <v>701</v>
      </c>
      <c r="C2949" t="s">
        <v>2651</v>
      </c>
      <c r="D2949" t="s">
        <v>2652</v>
      </c>
      <c r="E2949" cm="1">
        <f t="array" ref="E2949">_xlfn.XLOOKUP(D2949,SKU_Master!A:A,SKU_Master!B:B,"Not on master")</f>
        <v>0</v>
      </c>
      <c r="F2949" cm="1">
        <f t="array" ref="F2949">_xlfn.XLOOKUP(C2949,Account_Master!A:A,Account_Master!B:B,"Not on master")</f>
        <v>0</v>
      </c>
      <c r="G2949" cm="1">
        <f t="array" ref="G2949">_xlfn.XLOOKUP(C2949,Account_Master!A:A,Account_Master!C:C,"Not on master")</f>
        <v>0</v>
      </c>
      <c r="H2949" s="6">
        <v>33</v>
      </c>
      <c r="I2949" s="6">
        <v>33</v>
      </c>
      <c r="J2949" s="6">
        <f>I2949-H2949</f>
        <v>0</v>
      </c>
      <c r="K2949" s="5">
        <f>IF(H2949=0,"",J2949/H2949)</f>
        <v>0</v>
      </c>
      <c r="L2949">
        <f>IF(OR(AND(H2949=0,ABS(J2949)&gt;=0.01),AND(H2949&lt;&gt;0,ABS(K2949)&gt;VarianceThreshold)),"Review","OK")</f>
        <v>0</v>
      </c>
      <c r="M2949" t="s">
        <v>33</v>
      </c>
    </row>
    <row r="2950" spans="1:13">
      <c r="A2950" t="s">
        <v>4</v>
      </c>
      <c r="B2950" t="s">
        <v>701</v>
      </c>
      <c r="C2950" t="s">
        <v>2450</v>
      </c>
      <c r="D2950" t="s">
        <v>1567</v>
      </c>
      <c r="E2950" cm="1">
        <f t="array" ref="E2950">_xlfn.XLOOKUP(D2950,SKU_Master!A:A,SKU_Master!B:B,"Not on master")</f>
        <v>0</v>
      </c>
      <c r="F2950" cm="1">
        <f t="array" ref="F2950">_xlfn.XLOOKUP(C2950,Account_Master!A:A,Account_Master!B:B,"Not on master")</f>
        <v>0</v>
      </c>
      <c r="G2950" cm="1">
        <f t="array" ref="G2950">_xlfn.XLOOKUP(C2950,Account_Master!A:A,Account_Master!C:C,"Not on master")</f>
        <v>0</v>
      </c>
      <c r="H2950" s="6">
        <v>1.1</v>
      </c>
      <c r="I2950" s="6">
        <v>1.1</v>
      </c>
      <c r="J2950" s="6">
        <f>I2950-H2950</f>
        <v>0</v>
      </c>
      <c r="K2950" s="5">
        <f>IF(H2950=0,"",J2950/H2950)</f>
        <v>0</v>
      </c>
      <c r="L2950">
        <f>IF(OR(AND(H2950=0,ABS(J2950)&gt;=0.01),AND(H2950&lt;&gt;0,ABS(K2950)&gt;VarianceThreshold)),"Review","OK")</f>
        <v>0</v>
      </c>
      <c r="M2950" t="s">
        <v>33</v>
      </c>
    </row>
    <row r="2951" spans="1:13">
      <c r="A2951" t="s">
        <v>4</v>
      </c>
      <c r="B2951" t="s">
        <v>701</v>
      </c>
      <c r="C2951" t="s">
        <v>2418</v>
      </c>
      <c r="D2951" t="s">
        <v>1828</v>
      </c>
      <c r="E2951" cm="1">
        <f t="array" ref="E2951">_xlfn.XLOOKUP(D2951,SKU_Master!A:A,SKU_Master!B:B,"Not on master")</f>
        <v>0</v>
      </c>
      <c r="F2951" cm="1">
        <f t="array" ref="F2951">_xlfn.XLOOKUP(C2951,Account_Master!A:A,Account_Master!B:B,"Not on master")</f>
        <v>0</v>
      </c>
      <c r="G2951" cm="1">
        <f t="array" ref="G2951">_xlfn.XLOOKUP(C2951,Account_Master!A:A,Account_Master!C:C,"Not on master")</f>
        <v>0</v>
      </c>
      <c r="H2951" s="6">
        <v>78.75</v>
      </c>
      <c r="I2951" s="6">
        <v>78.75</v>
      </c>
      <c r="J2951" s="6">
        <f>I2951-H2951</f>
        <v>0</v>
      </c>
      <c r="K2951" s="5">
        <f>IF(H2951=0,"",J2951/H2951)</f>
        <v>0</v>
      </c>
      <c r="L2951">
        <f>IF(OR(AND(H2951=0,ABS(J2951)&gt;=0.01),AND(H2951&lt;&gt;0,ABS(K2951)&gt;VarianceThreshold)),"Review","OK")</f>
        <v>0</v>
      </c>
      <c r="M2951" t="s">
        <v>33</v>
      </c>
    </row>
    <row r="2952" spans="1:13">
      <c r="A2952" t="s">
        <v>4</v>
      </c>
      <c r="B2952" t="s">
        <v>708</v>
      </c>
      <c r="C2952" t="s">
        <v>2554</v>
      </c>
      <c r="D2952" t="s">
        <v>2653</v>
      </c>
      <c r="E2952" cm="1">
        <f t="array" ref="E2952">_xlfn.XLOOKUP(D2952,SKU_Master!A:A,SKU_Master!B:B,"Not on master")</f>
        <v>0</v>
      </c>
      <c r="F2952" cm="1">
        <f t="array" ref="F2952">_xlfn.XLOOKUP(C2952,Account_Master!A:A,Account_Master!B:B,"Not on master")</f>
        <v>0</v>
      </c>
      <c r="G2952" cm="1">
        <f t="array" ref="G2952">_xlfn.XLOOKUP(C2952,Account_Master!A:A,Account_Master!C:C,"Not on master")</f>
        <v>0</v>
      </c>
      <c r="H2952" s="6">
        <v>47.62</v>
      </c>
      <c r="I2952" s="6">
        <v>47.62</v>
      </c>
      <c r="J2952" s="6">
        <f>I2952-H2952</f>
        <v>0</v>
      </c>
      <c r="K2952" s="5">
        <f>IF(H2952=0,"",J2952/H2952)</f>
        <v>0</v>
      </c>
      <c r="L2952">
        <f>IF(OR(AND(H2952=0,ABS(J2952)&gt;=0.01),AND(H2952&lt;&gt;0,ABS(K2952)&gt;VarianceThreshold)),"Review","OK")</f>
        <v>0</v>
      </c>
      <c r="M2952" t="s">
        <v>33</v>
      </c>
    </row>
    <row r="2953" spans="1:13">
      <c r="A2953" t="s">
        <v>4</v>
      </c>
      <c r="B2953" t="s">
        <v>708</v>
      </c>
      <c r="C2953" t="s">
        <v>2462</v>
      </c>
      <c r="D2953" t="s">
        <v>2654</v>
      </c>
      <c r="E2953" cm="1">
        <f t="array" ref="E2953">_xlfn.XLOOKUP(D2953,SKU_Master!A:A,SKU_Master!B:B,"Not on master")</f>
        <v>0</v>
      </c>
      <c r="F2953" cm="1">
        <f t="array" ref="F2953">_xlfn.XLOOKUP(C2953,Account_Master!A:A,Account_Master!B:B,"Not on master")</f>
        <v>0</v>
      </c>
      <c r="G2953" cm="1">
        <f t="array" ref="G2953">_xlfn.XLOOKUP(C2953,Account_Master!A:A,Account_Master!C:C,"Not on master")</f>
        <v>0</v>
      </c>
      <c r="H2953" s="6">
        <v>11.25</v>
      </c>
      <c r="I2953" s="6">
        <v>11.25</v>
      </c>
      <c r="J2953" s="6">
        <f>I2953-H2953</f>
        <v>0</v>
      </c>
      <c r="K2953" s="5">
        <f>IF(H2953=0,"",J2953/H2953)</f>
        <v>0</v>
      </c>
      <c r="L2953">
        <f>IF(OR(AND(H2953=0,ABS(J2953)&gt;=0.01),AND(H2953&lt;&gt;0,ABS(K2953)&gt;VarianceThreshold)),"Review","OK")</f>
        <v>0</v>
      </c>
      <c r="M2953" t="s">
        <v>33</v>
      </c>
    </row>
    <row r="2954" spans="1:13">
      <c r="A2954" t="s">
        <v>4</v>
      </c>
      <c r="B2954" t="s">
        <v>708</v>
      </c>
      <c r="C2954" t="s">
        <v>2655</v>
      </c>
      <c r="D2954" t="s">
        <v>2656</v>
      </c>
      <c r="E2954" cm="1">
        <f t="array" ref="E2954">_xlfn.XLOOKUP(D2954,SKU_Master!A:A,SKU_Master!B:B,"Not on master")</f>
        <v>0</v>
      </c>
      <c r="F2954" cm="1">
        <f t="array" ref="F2954">_xlfn.XLOOKUP(C2954,Account_Master!A:A,Account_Master!B:B,"Not on master")</f>
        <v>0</v>
      </c>
      <c r="G2954" cm="1">
        <f t="array" ref="G2954">_xlfn.XLOOKUP(C2954,Account_Master!A:A,Account_Master!C:C,"Not on master")</f>
        <v>0</v>
      </c>
      <c r="H2954" s="6">
        <v>5.25</v>
      </c>
      <c r="I2954" s="6">
        <v>5.25</v>
      </c>
      <c r="J2954" s="6">
        <f>I2954-H2954</f>
        <v>0</v>
      </c>
      <c r="K2954" s="5">
        <f>IF(H2954=0,"",J2954/H2954)</f>
        <v>0</v>
      </c>
      <c r="L2954">
        <f>IF(OR(AND(H2954=0,ABS(J2954)&gt;=0.01),AND(H2954&lt;&gt;0,ABS(K2954)&gt;VarianceThreshold)),"Review","OK")</f>
        <v>0</v>
      </c>
      <c r="M2954" t="s">
        <v>33</v>
      </c>
    </row>
    <row r="2955" spans="1:13">
      <c r="A2955" t="s">
        <v>4</v>
      </c>
      <c r="B2955" t="s">
        <v>708</v>
      </c>
      <c r="C2955" t="s">
        <v>2432</v>
      </c>
      <c r="D2955" t="s">
        <v>1983</v>
      </c>
      <c r="E2955" cm="1">
        <f t="array" ref="E2955">_xlfn.XLOOKUP(D2955,SKU_Master!A:A,SKU_Master!B:B,"Not on master")</f>
        <v>0</v>
      </c>
      <c r="F2955" cm="1">
        <f t="array" ref="F2955">_xlfn.XLOOKUP(C2955,Account_Master!A:A,Account_Master!B:B,"Not on master")</f>
        <v>0</v>
      </c>
      <c r="G2955" cm="1">
        <f t="array" ref="G2955">_xlfn.XLOOKUP(C2955,Account_Master!A:A,Account_Master!C:C,"Not on master")</f>
        <v>0</v>
      </c>
      <c r="H2955" s="6">
        <v>7.5</v>
      </c>
      <c r="I2955" s="6">
        <v>7.5</v>
      </c>
      <c r="J2955" s="6">
        <f>I2955-H2955</f>
        <v>0</v>
      </c>
      <c r="K2955" s="5">
        <f>IF(H2955=0,"",J2955/H2955)</f>
        <v>0</v>
      </c>
      <c r="L2955">
        <f>IF(OR(AND(H2955=0,ABS(J2955)&gt;=0.01),AND(H2955&lt;&gt;0,ABS(K2955)&gt;VarianceThreshold)),"Review","OK")</f>
        <v>0</v>
      </c>
      <c r="M2955" t="s">
        <v>33</v>
      </c>
    </row>
    <row r="2956" spans="1:13">
      <c r="A2956" t="s">
        <v>4</v>
      </c>
      <c r="B2956" t="s">
        <v>708</v>
      </c>
      <c r="C2956" t="s">
        <v>2436</v>
      </c>
      <c r="D2956" t="s">
        <v>391</v>
      </c>
      <c r="E2956" cm="1">
        <f t="array" ref="E2956">_xlfn.XLOOKUP(D2956,SKU_Master!A:A,SKU_Master!B:B,"Not on master")</f>
        <v>0</v>
      </c>
      <c r="F2956" cm="1">
        <f t="array" ref="F2956">_xlfn.XLOOKUP(C2956,Account_Master!A:A,Account_Master!B:B,"Not on master")</f>
        <v>0</v>
      </c>
      <c r="G2956" cm="1">
        <f t="array" ref="G2956">_xlfn.XLOOKUP(C2956,Account_Master!A:A,Account_Master!C:C,"Not on master")</f>
        <v>0</v>
      </c>
      <c r="H2956" s="6">
        <v>4.9</v>
      </c>
      <c r="I2956" s="6">
        <v>4.9</v>
      </c>
      <c r="J2956" s="6">
        <f>I2956-H2956</f>
        <v>0</v>
      </c>
      <c r="K2956" s="5">
        <f>IF(H2956=0,"",J2956/H2956)</f>
        <v>0</v>
      </c>
      <c r="L2956">
        <f>IF(OR(AND(H2956=0,ABS(J2956)&gt;=0.01),AND(H2956&lt;&gt;0,ABS(K2956)&gt;VarianceThreshold)),"Review","OK")</f>
        <v>0</v>
      </c>
      <c r="M2956" t="s">
        <v>33</v>
      </c>
    </row>
    <row r="2957" spans="1:13">
      <c r="A2957" t="s">
        <v>4</v>
      </c>
      <c r="B2957" t="s">
        <v>719</v>
      </c>
      <c r="C2957" t="s">
        <v>2432</v>
      </c>
      <c r="D2957" t="s">
        <v>1298</v>
      </c>
      <c r="E2957" cm="1">
        <f t="array" ref="E2957">_xlfn.XLOOKUP(D2957,SKU_Master!A:A,SKU_Master!B:B,"Not on master")</f>
        <v>0</v>
      </c>
      <c r="F2957" cm="1">
        <f t="array" ref="F2957">_xlfn.XLOOKUP(C2957,Account_Master!A:A,Account_Master!B:B,"Not on master")</f>
        <v>0</v>
      </c>
      <c r="G2957" cm="1">
        <f t="array" ref="G2957">_xlfn.XLOOKUP(C2957,Account_Master!A:A,Account_Master!C:C,"Not on master")</f>
        <v>0</v>
      </c>
      <c r="H2957" s="6">
        <v>2.62</v>
      </c>
      <c r="I2957" s="6">
        <v>2.62</v>
      </c>
      <c r="J2957" s="6">
        <f>I2957-H2957</f>
        <v>0</v>
      </c>
      <c r="K2957" s="5">
        <f>IF(H2957=0,"",J2957/H2957)</f>
        <v>0</v>
      </c>
      <c r="L2957">
        <f>IF(OR(AND(H2957=0,ABS(J2957)&gt;=0.01),AND(H2957&lt;&gt;0,ABS(K2957)&gt;VarianceThreshold)),"Review","OK")</f>
        <v>0</v>
      </c>
      <c r="M2957" t="s">
        <v>33</v>
      </c>
    </row>
    <row r="2958" spans="1:13">
      <c r="A2958" t="s">
        <v>4</v>
      </c>
      <c r="B2958" t="s">
        <v>719</v>
      </c>
      <c r="C2958" t="s">
        <v>2423</v>
      </c>
      <c r="D2958" t="s">
        <v>2657</v>
      </c>
      <c r="E2958" cm="1">
        <f t="array" ref="E2958">_xlfn.XLOOKUP(D2958,SKU_Master!A:A,SKU_Master!B:B,"Not on master")</f>
        <v>0</v>
      </c>
      <c r="F2958" cm="1">
        <f t="array" ref="F2958">_xlfn.XLOOKUP(C2958,Account_Master!A:A,Account_Master!B:B,"Not on master")</f>
        <v>0</v>
      </c>
      <c r="G2958" cm="1">
        <f t="array" ref="G2958">_xlfn.XLOOKUP(C2958,Account_Master!A:A,Account_Master!C:C,"Not on master")</f>
        <v>0</v>
      </c>
      <c r="H2958" s="6">
        <v>28.5</v>
      </c>
      <c r="I2958" s="6">
        <v>28.5</v>
      </c>
      <c r="J2958" s="6">
        <f>I2958-H2958</f>
        <v>0</v>
      </c>
      <c r="K2958" s="5">
        <f>IF(H2958=0,"",J2958/H2958)</f>
        <v>0</v>
      </c>
      <c r="L2958">
        <f>IF(OR(AND(H2958=0,ABS(J2958)&gt;=0.01),AND(H2958&lt;&gt;0,ABS(K2958)&gt;VarianceThreshold)),"Review","OK")</f>
        <v>0</v>
      </c>
      <c r="M2958" t="s">
        <v>33</v>
      </c>
    </row>
    <row r="2959" spans="1:13">
      <c r="A2959" t="s">
        <v>4</v>
      </c>
      <c r="B2959" t="s">
        <v>719</v>
      </c>
      <c r="C2959" t="s">
        <v>2658</v>
      </c>
      <c r="D2959" t="s">
        <v>1425</v>
      </c>
      <c r="E2959" cm="1">
        <f t="array" ref="E2959">_xlfn.XLOOKUP(D2959,SKU_Master!A:A,SKU_Master!B:B,"Not on master")</f>
        <v>0</v>
      </c>
      <c r="F2959" cm="1">
        <f t="array" ref="F2959">_xlfn.XLOOKUP(C2959,Account_Master!A:A,Account_Master!B:B,"Not on master")</f>
        <v>0</v>
      </c>
      <c r="G2959" cm="1">
        <f t="array" ref="G2959">_xlfn.XLOOKUP(C2959,Account_Master!A:A,Account_Master!C:C,"Not on master")</f>
        <v>0</v>
      </c>
      <c r="H2959" s="6">
        <v>9</v>
      </c>
      <c r="I2959" s="6">
        <v>9</v>
      </c>
      <c r="J2959" s="6">
        <f>I2959-H2959</f>
        <v>0</v>
      </c>
      <c r="K2959" s="5">
        <f>IF(H2959=0,"",J2959/H2959)</f>
        <v>0</v>
      </c>
      <c r="L2959">
        <f>IF(OR(AND(H2959=0,ABS(J2959)&gt;=0.01),AND(H2959&lt;&gt;0,ABS(K2959)&gt;VarianceThreshold)),"Review","OK")</f>
        <v>0</v>
      </c>
      <c r="M2959" t="s">
        <v>33</v>
      </c>
    </row>
    <row r="2960" spans="1:13">
      <c r="A2960" t="s">
        <v>4</v>
      </c>
      <c r="B2960" t="s">
        <v>727</v>
      </c>
      <c r="C2960" t="s">
        <v>2434</v>
      </c>
      <c r="D2960" t="s">
        <v>1908</v>
      </c>
      <c r="E2960" cm="1">
        <f t="array" ref="E2960">_xlfn.XLOOKUP(D2960,SKU_Master!A:A,SKU_Master!B:B,"Not on master")</f>
        <v>0</v>
      </c>
      <c r="F2960" cm="1">
        <f t="array" ref="F2960">_xlfn.XLOOKUP(C2960,Account_Master!A:A,Account_Master!B:B,"Not on master")</f>
        <v>0</v>
      </c>
      <c r="G2960" cm="1">
        <f t="array" ref="G2960">_xlfn.XLOOKUP(C2960,Account_Master!A:A,Account_Master!C:C,"Not on master")</f>
        <v>0</v>
      </c>
      <c r="H2960" s="6">
        <v>12.75</v>
      </c>
      <c r="I2960" s="6">
        <v>12.75</v>
      </c>
      <c r="J2960" s="6">
        <f>I2960-H2960</f>
        <v>0</v>
      </c>
      <c r="K2960" s="5">
        <f>IF(H2960=0,"",J2960/H2960)</f>
        <v>0</v>
      </c>
      <c r="L2960">
        <f>IF(OR(AND(H2960=0,ABS(J2960)&gt;=0.01),AND(H2960&lt;&gt;0,ABS(K2960)&gt;VarianceThreshold)),"Review","OK")</f>
        <v>0</v>
      </c>
      <c r="M2960" t="s">
        <v>33</v>
      </c>
    </row>
    <row r="2961" spans="1:13">
      <c r="A2961" t="s">
        <v>4</v>
      </c>
      <c r="B2961" t="s">
        <v>727</v>
      </c>
      <c r="C2961" t="s">
        <v>2579</v>
      </c>
      <c r="D2961" t="s">
        <v>599</v>
      </c>
      <c r="E2961" cm="1">
        <f t="array" ref="E2961">_xlfn.XLOOKUP(D2961,SKU_Master!A:A,SKU_Master!B:B,"Not on master")</f>
        <v>0</v>
      </c>
      <c r="F2961" cm="1">
        <f t="array" ref="F2961">_xlfn.XLOOKUP(C2961,Account_Master!A:A,Account_Master!B:B,"Not on master")</f>
        <v>0</v>
      </c>
      <c r="G2961" cm="1">
        <f t="array" ref="G2961">_xlfn.XLOOKUP(C2961,Account_Master!A:A,Account_Master!C:C,"Not on master")</f>
        <v>0</v>
      </c>
      <c r="H2961" s="6">
        <v>3.35</v>
      </c>
      <c r="I2961" s="6">
        <v>3.35</v>
      </c>
      <c r="J2961" s="6">
        <f>I2961-H2961</f>
        <v>0</v>
      </c>
      <c r="K2961" s="5">
        <f>IF(H2961=0,"",J2961/H2961)</f>
        <v>0</v>
      </c>
      <c r="L2961">
        <f>IF(OR(AND(H2961=0,ABS(J2961)&gt;=0.01),AND(H2961&lt;&gt;0,ABS(K2961)&gt;VarianceThreshold)),"Review","OK")</f>
        <v>0</v>
      </c>
      <c r="M2961" t="s">
        <v>33</v>
      </c>
    </row>
    <row r="2962" spans="1:13">
      <c r="A2962" t="s">
        <v>4</v>
      </c>
      <c r="B2962" t="s">
        <v>727</v>
      </c>
      <c r="C2962" t="s">
        <v>2659</v>
      </c>
      <c r="D2962" t="s">
        <v>998</v>
      </c>
      <c r="E2962" cm="1">
        <f t="array" ref="E2962">_xlfn.XLOOKUP(D2962,SKU_Master!A:A,SKU_Master!B:B,"Not on master")</f>
        <v>0</v>
      </c>
      <c r="F2962" cm="1">
        <f t="array" ref="F2962">_xlfn.XLOOKUP(C2962,Account_Master!A:A,Account_Master!B:B,"Not on master")</f>
        <v>0</v>
      </c>
      <c r="G2962" cm="1">
        <f t="array" ref="G2962">_xlfn.XLOOKUP(C2962,Account_Master!A:A,Account_Master!C:C,"Not on master")</f>
        <v>0</v>
      </c>
      <c r="H2962" s="6">
        <v>21.75</v>
      </c>
      <c r="I2962" s="6">
        <v>21.75</v>
      </c>
      <c r="J2962" s="6">
        <f>I2962-H2962</f>
        <v>0</v>
      </c>
      <c r="K2962" s="5">
        <f>IF(H2962=0,"",J2962/H2962)</f>
        <v>0</v>
      </c>
      <c r="L2962">
        <f>IF(OR(AND(H2962=0,ABS(J2962)&gt;=0.01),AND(H2962&lt;&gt;0,ABS(K2962)&gt;VarianceThreshold)),"Review","OK")</f>
        <v>0</v>
      </c>
      <c r="M2962" t="s">
        <v>33</v>
      </c>
    </row>
    <row r="2963" spans="1:13">
      <c r="A2963" t="s">
        <v>4</v>
      </c>
      <c r="B2963" t="s">
        <v>727</v>
      </c>
      <c r="C2963" t="s">
        <v>2531</v>
      </c>
      <c r="D2963" t="s">
        <v>2660</v>
      </c>
      <c r="E2963" cm="1">
        <f t="array" ref="E2963">_xlfn.XLOOKUP(D2963,SKU_Master!A:A,SKU_Master!B:B,"Not on master")</f>
        <v>0</v>
      </c>
      <c r="F2963" cm="1">
        <f t="array" ref="F2963">_xlfn.XLOOKUP(C2963,Account_Master!A:A,Account_Master!B:B,"Not on master")</f>
        <v>0</v>
      </c>
      <c r="G2963" cm="1">
        <f t="array" ref="G2963">_xlfn.XLOOKUP(C2963,Account_Master!A:A,Account_Master!C:C,"Not on master")</f>
        <v>0</v>
      </c>
      <c r="H2963" s="6">
        <v>0.05</v>
      </c>
      <c r="I2963" s="6">
        <v>0.05</v>
      </c>
      <c r="J2963" s="6">
        <f>I2963-H2963</f>
        <v>0</v>
      </c>
      <c r="K2963" s="5">
        <f>IF(H2963=0,"",J2963/H2963)</f>
        <v>0</v>
      </c>
      <c r="L2963">
        <f>IF(OR(AND(H2963=0,ABS(J2963)&gt;=0.01),AND(H2963&lt;&gt;0,ABS(K2963)&gt;VarianceThreshold)),"Review","OK")</f>
        <v>0</v>
      </c>
      <c r="M2963" t="s">
        <v>33</v>
      </c>
    </row>
    <row r="2964" spans="1:13">
      <c r="A2964" t="s">
        <v>4</v>
      </c>
      <c r="B2964" t="s">
        <v>727</v>
      </c>
      <c r="C2964" t="s">
        <v>2462</v>
      </c>
      <c r="D2964" t="s">
        <v>943</v>
      </c>
      <c r="E2964" cm="1">
        <f t="array" ref="E2964">_xlfn.XLOOKUP(D2964,SKU_Master!A:A,SKU_Master!B:B,"Not on master")</f>
        <v>0</v>
      </c>
      <c r="F2964" cm="1">
        <f t="array" ref="F2964">_xlfn.XLOOKUP(C2964,Account_Master!A:A,Account_Master!B:B,"Not on master")</f>
        <v>0</v>
      </c>
      <c r="G2964" cm="1">
        <f t="array" ref="G2964">_xlfn.XLOOKUP(C2964,Account_Master!A:A,Account_Master!C:C,"Not on master")</f>
        <v>0</v>
      </c>
      <c r="H2964" s="6">
        <v>9</v>
      </c>
      <c r="I2964" s="6">
        <v>9</v>
      </c>
      <c r="J2964" s="6">
        <f>I2964-H2964</f>
        <v>0</v>
      </c>
      <c r="K2964" s="5">
        <f>IF(H2964=0,"",J2964/H2964)</f>
        <v>0</v>
      </c>
      <c r="L2964">
        <f>IF(OR(AND(H2964=0,ABS(J2964)&gt;=0.01),AND(H2964&lt;&gt;0,ABS(K2964)&gt;VarianceThreshold)),"Review","OK")</f>
        <v>0</v>
      </c>
      <c r="M2964" t="s">
        <v>33</v>
      </c>
    </row>
    <row r="2965" spans="1:13">
      <c r="A2965" t="s">
        <v>4</v>
      </c>
      <c r="B2965" t="s">
        <v>727</v>
      </c>
      <c r="C2965" t="s">
        <v>2661</v>
      </c>
      <c r="D2965" t="s">
        <v>1297</v>
      </c>
      <c r="E2965" cm="1">
        <f t="array" ref="E2965">_xlfn.XLOOKUP(D2965,SKU_Master!A:A,SKU_Master!B:B,"Not on master")</f>
        <v>0</v>
      </c>
      <c r="F2965" cm="1">
        <f t="array" ref="F2965">_xlfn.XLOOKUP(C2965,Account_Master!A:A,Account_Master!B:B,"Not on master")</f>
        <v>0</v>
      </c>
      <c r="G2965" cm="1">
        <f t="array" ref="G2965">_xlfn.XLOOKUP(C2965,Account_Master!A:A,Account_Master!C:C,"Not on master")</f>
        <v>0</v>
      </c>
      <c r="H2965" s="6">
        <v>29.25</v>
      </c>
      <c r="I2965" s="6">
        <v>29.25</v>
      </c>
      <c r="J2965" s="6">
        <f>I2965-H2965</f>
        <v>0</v>
      </c>
      <c r="K2965" s="5">
        <f>IF(H2965=0,"",J2965/H2965)</f>
        <v>0</v>
      </c>
      <c r="L2965">
        <f>IF(OR(AND(H2965=0,ABS(J2965)&gt;=0.01),AND(H2965&lt;&gt;0,ABS(K2965)&gt;VarianceThreshold)),"Review","OK")</f>
        <v>0</v>
      </c>
      <c r="M2965" t="s">
        <v>33</v>
      </c>
    </row>
    <row r="2966" spans="1:13">
      <c r="A2966" t="s">
        <v>4</v>
      </c>
      <c r="B2966" t="s">
        <v>734</v>
      </c>
      <c r="C2966" t="s">
        <v>2445</v>
      </c>
      <c r="D2966" t="s">
        <v>1339</v>
      </c>
      <c r="E2966" cm="1">
        <f t="array" ref="E2966">_xlfn.XLOOKUP(D2966,SKU_Master!A:A,SKU_Master!B:B,"Not on master")</f>
        <v>0</v>
      </c>
      <c r="F2966" cm="1">
        <f t="array" ref="F2966">_xlfn.XLOOKUP(C2966,Account_Master!A:A,Account_Master!B:B,"Not on master")</f>
        <v>0</v>
      </c>
      <c r="G2966" cm="1">
        <f t="array" ref="G2966">_xlfn.XLOOKUP(C2966,Account_Master!A:A,Account_Master!C:C,"Not on master")</f>
        <v>0</v>
      </c>
      <c r="H2966" s="6">
        <v>25.6</v>
      </c>
      <c r="I2966" s="6">
        <v>25.6</v>
      </c>
      <c r="J2966" s="6">
        <f>I2966-H2966</f>
        <v>0</v>
      </c>
      <c r="K2966" s="5">
        <f>IF(H2966=0,"",J2966/H2966)</f>
        <v>0</v>
      </c>
      <c r="L2966">
        <f>IF(OR(AND(H2966=0,ABS(J2966)&gt;=0.01),AND(H2966&lt;&gt;0,ABS(K2966)&gt;VarianceThreshold)),"Review","OK")</f>
        <v>0</v>
      </c>
      <c r="M2966" t="s">
        <v>33</v>
      </c>
    </row>
    <row r="2967" spans="1:13">
      <c r="A2967" t="s">
        <v>4</v>
      </c>
      <c r="B2967" t="s">
        <v>734</v>
      </c>
      <c r="C2967" t="s">
        <v>2631</v>
      </c>
      <c r="D2967" t="s">
        <v>394</v>
      </c>
      <c r="E2967" cm="1">
        <f t="array" ref="E2967">_xlfn.XLOOKUP(D2967,SKU_Master!A:A,SKU_Master!B:B,"Not on master")</f>
        <v>0</v>
      </c>
      <c r="F2967" cm="1">
        <f t="array" ref="F2967">_xlfn.XLOOKUP(C2967,Account_Master!A:A,Account_Master!B:B,"Not on master")</f>
        <v>0</v>
      </c>
      <c r="G2967" cm="1">
        <f t="array" ref="G2967">_xlfn.XLOOKUP(C2967,Account_Master!A:A,Account_Master!C:C,"Not on master")</f>
        <v>0</v>
      </c>
      <c r="H2967" s="6">
        <v>154</v>
      </c>
      <c r="I2967" s="6">
        <v>154</v>
      </c>
      <c r="J2967" s="6">
        <f>I2967-H2967</f>
        <v>0</v>
      </c>
      <c r="K2967" s="5">
        <f>IF(H2967=0,"",J2967/H2967)</f>
        <v>0</v>
      </c>
      <c r="L2967">
        <f>IF(OR(AND(H2967=0,ABS(J2967)&gt;=0.01),AND(H2967&lt;&gt;0,ABS(K2967)&gt;VarianceThreshold)),"Review","OK")</f>
        <v>0</v>
      </c>
      <c r="M2967" t="s">
        <v>33</v>
      </c>
    </row>
    <row r="2968" spans="1:13">
      <c r="A2968" t="s">
        <v>4</v>
      </c>
      <c r="B2968" t="s">
        <v>734</v>
      </c>
      <c r="C2968" t="s">
        <v>2462</v>
      </c>
      <c r="D2968" t="s">
        <v>2662</v>
      </c>
      <c r="E2968" cm="1">
        <f t="array" ref="E2968">_xlfn.XLOOKUP(D2968,SKU_Master!A:A,SKU_Master!B:B,"Not on master")</f>
        <v>0</v>
      </c>
      <c r="F2968" cm="1">
        <f t="array" ref="F2968">_xlfn.XLOOKUP(C2968,Account_Master!A:A,Account_Master!B:B,"Not on master")</f>
        <v>0</v>
      </c>
      <c r="G2968" cm="1">
        <f t="array" ref="G2968">_xlfn.XLOOKUP(C2968,Account_Master!A:A,Account_Master!C:C,"Not on master")</f>
        <v>0</v>
      </c>
      <c r="H2968" s="6">
        <v>16.5</v>
      </c>
      <c r="I2968" s="6">
        <v>16.5</v>
      </c>
      <c r="J2968" s="6">
        <f>I2968-H2968</f>
        <v>0</v>
      </c>
      <c r="K2968" s="5">
        <f>IF(H2968=0,"",J2968/H2968)</f>
        <v>0</v>
      </c>
      <c r="L2968">
        <f>IF(OR(AND(H2968=0,ABS(J2968)&gt;=0.01),AND(H2968&lt;&gt;0,ABS(K2968)&gt;VarianceThreshold)),"Review","OK")</f>
        <v>0</v>
      </c>
      <c r="M2968" t="s">
        <v>33</v>
      </c>
    </row>
    <row r="2969" spans="1:13">
      <c r="A2969" t="s">
        <v>4</v>
      </c>
      <c r="B2969" t="s">
        <v>734</v>
      </c>
      <c r="C2969" t="s">
        <v>2510</v>
      </c>
      <c r="D2969" t="s">
        <v>2336</v>
      </c>
      <c r="E2969" cm="1">
        <f t="array" ref="E2969">_xlfn.XLOOKUP(D2969,SKU_Master!A:A,SKU_Master!B:B,"Not on master")</f>
        <v>0</v>
      </c>
      <c r="F2969" cm="1">
        <f t="array" ref="F2969">_xlfn.XLOOKUP(C2969,Account_Master!A:A,Account_Master!B:B,"Not on master")</f>
        <v>0</v>
      </c>
      <c r="G2969" cm="1">
        <f t="array" ref="G2969">_xlfn.XLOOKUP(C2969,Account_Master!A:A,Account_Master!C:C,"Not on master")</f>
        <v>0</v>
      </c>
      <c r="H2969" s="6">
        <v>108</v>
      </c>
      <c r="I2969" s="6">
        <v>108</v>
      </c>
      <c r="J2969" s="6">
        <f>I2969-H2969</f>
        <v>0</v>
      </c>
      <c r="K2969" s="5">
        <f>IF(H2969=0,"",J2969/H2969)</f>
        <v>0</v>
      </c>
      <c r="L2969">
        <f>IF(OR(AND(H2969=0,ABS(J2969)&gt;=0.01),AND(H2969&lt;&gt;0,ABS(K2969)&gt;VarianceThreshold)),"Review","OK")</f>
        <v>0</v>
      </c>
      <c r="M2969" t="s">
        <v>33</v>
      </c>
    </row>
    <row r="2970" spans="1:13">
      <c r="A2970" t="s">
        <v>4</v>
      </c>
      <c r="B2970" t="s">
        <v>734</v>
      </c>
      <c r="C2970" t="s">
        <v>2663</v>
      </c>
      <c r="D2970" t="s">
        <v>1179</v>
      </c>
      <c r="E2970" cm="1">
        <f t="array" ref="E2970">_xlfn.XLOOKUP(D2970,SKU_Master!A:A,SKU_Master!B:B,"Not on master")</f>
        <v>0</v>
      </c>
      <c r="F2970" cm="1">
        <f t="array" ref="F2970">_xlfn.XLOOKUP(C2970,Account_Master!A:A,Account_Master!B:B,"Not on master")</f>
        <v>0</v>
      </c>
      <c r="G2970" cm="1">
        <f t="array" ref="G2970">_xlfn.XLOOKUP(C2970,Account_Master!A:A,Account_Master!C:C,"Not on master")</f>
        <v>0</v>
      </c>
      <c r="H2970" s="6">
        <v>0.75</v>
      </c>
      <c r="I2970" s="6">
        <v>0.75</v>
      </c>
      <c r="J2970" s="6">
        <f>I2970-H2970</f>
        <v>0</v>
      </c>
      <c r="K2970" s="5">
        <f>IF(H2970=0,"",J2970/H2970)</f>
        <v>0</v>
      </c>
      <c r="L2970">
        <f>IF(OR(AND(H2970=0,ABS(J2970)&gt;=0.01),AND(H2970&lt;&gt;0,ABS(K2970)&gt;VarianceThreshold)),"Review","OK")</f>
        <v>0</v>
      </c>
      <c r="M2970" t="s">
        <v>33</v>
      </c>
    </row>
    <row r="2971" spans="1:13">
      <c r="A2971" t="s">
        <v>4</v>
      </c>
      <c r="B2971" t="s">
        <v>734</v>
      </c>
      <c r="C2971" t="s">
        <v>2552</v>
      </c>
      <c r="D2971" t="s">
        <v>1587</v>
      </c>
      <c r="E2971" cm="1">
        <f t="array" ref="E2971">_xlfn.XLOOKUP(D2971,SKU_Master!A:A,SKU_Master!B:B,"Not on master")</f>
        <v>0</v>
      </c>
      <c r="F2971" cm="1">
        <f t="array" ref="F2971">_xlfn.XLOOKUP(C2971,Account_Master!A:A,Account_Master!B:B,"Not on master")</f>
        <v>0</v>
      </c>
      <c r="G2971" cm="1">
        <f t="array" ref="G2971">_xlfn.XLOOKUP(C2971,Account_Master!A:A,Account_Master!C:C,"Not on master")</f>
        <v>0</v>
      </c>
      <c r="H2971" s="6">
        <v>26</v>
      </c>
      <c r="I2971" s="6">
        <v>26</v>
      </c>
      <c r="J2971" s="6">
        <f>I2971-H2971</f>
        <v>0</v>
      </c>
      <c r="K2971" s="5">
        <f>IF(H2971=0,"",J2971/H2971)</f>
        <v>0</v>
      </c>
      <c r="L2971">
        <f>IF(OR(AND(H2971=0,ABS(J2971)&gt;=0.01),AND(H2971&lt;&gt;0,ABS(K2971)&gt;VarianceThreshold)),"Review","OK")</f>
        <v>0</v>
      </c>
      <c r="M2971" t="s">
        <v>33</v>
      </c>
    </row>
    <row r="2972" spans="1:13">
      <c r="A2972" t="s">
        <v>4</v>
      </c>
      <c r="B2972" t="s">
        <v>746</v>
      </c>
      <c r="C2972" t="s">
        <v>2664</v>
      </c>
      <c r="D2972" t="s">
        <v>2665</v>
      </c>
      <c r="E2972" cm="1">
        <f t="array" ref="E2972">_xlfn.XLOOKUP(D2972,SKU_Master!A:A,SKU_Master!B:B,"Not on master")</f>
        <v>0</v>
      </c>
      <c r="F2972" cm="1">
        <f t="array" ref="F2972">_xlfn.XLOOKUP(C2972,Account_Master!A:A,Account_Master!B:B,"Not on master")</f>
        <v>0</v>
      </c>
      <c r="G2972" cm="1">
        <f t="array" ref="G2972">_xlfn.XLOOKUP(C2972,Account_Master!A:A,Account_Master!C:C,"Not on master")</f>
        <v>0</v>
      </c>
      <c r="H2972" s="6">
        <v>0.75</v>
      </c>
      <c r="I2972" s="6">
        <v>0.75</v>
      </c>
      <c r="J2972" s="6">
        <f>I2972-H2972</f>
        <v>0</v>
      </c>
      <c r="K2972" s="5">
        <f>IF(H2972=0,"",J2972/H2972)</f>
        <v>0</v>
      </c>
      <c r="L2972">
        <f>IF(OR(AND(H2972=0,ABS(J2972)&gt;=0.01),AND(H2972&lt;&gt;0,ABS(K2972)&gt;VarianceThreshold)),"Review","OK")</f>
        <v>0</v>
      </c>
      <c r="M2972" t="s">
        <v>33</v>
      </c>
    </row>
    <row r="2973" spans="1:13">
      <c r="A2973" t="s">
        <v>4</v>
      </c>
      <c r="B2973" t="s">
        <v>746</v>
      </c>
      <c r="C2973" t="s">
        <v>2663</v>
      </c>
      <c r="D2973" t="s">
        <v>161</v>
      </c>
      <c r="E2973" cm="1">
        <f t="array" ref="E2973">_xlfn.XLOOKUP(D2973,SKU_Master!A:A,SKU_Master!B:B,"Not on master")</f>
        <v>0</v>
      </c>
      <c r="F2973" cm="1">
        <f t="array" ref="F2973">_xlfn.XLOOKUP(C2973,Account_Master!A:A,Account_Master!B:B,"Not on master")</f>
        <v>0</v>
      </c>
      <c r="G2973" cm="1">
        <f t="array" ref="G2973">_xlfn.XLOOKUP(C2973,Account_Master!A:A,Account_Master!C:C,"Not on master")</f>
        <v>0</v>
      </c>
      <c r="H2973" s="6">
        <v>0.75</v>
      </c>
      <c r="I2973" s="6">
        <v>0.75</v>
      </c>
      <c r="J2973" s="6">
        <f>I2973-H2973</f>
        <v>0</v>
      </c>
      <c r="K2973" s="5">
        <f>IF(H2973=0,"",J2973/H2973)</f>
        <v>0</v>
      </c>
      <c r="L2973">
        <f>IF(OR(AND(H2973=0,ABS(J2973)&gt;=0.01),AND(H2973&lt;&gt;0,ABS(K2973)&gt;VarianceThreshold)),"Review","OK")</f>
        <v>0</v>
      </c>
      <c r="M2973" t="s">
        <v>33</v>
      </c>
    </row>
    <row r="2974" spans="1:13">
      <c r="A2974" t="s">
        <v>4</v>
      </c>
      <c r="B2974" t="s">
        <v>746</v>
      </c>
      <c r="C2974" t="s">
        <v>2663</v>
      </c>
      <c r="D2974" t="s">
        <v>2666</v>
      </c>
      <c r="E2974" cm="1">
        <f t="array" ref="E2974">_xlfn.XLOOKUP(D2974,SKU_Master!A:A,SKU_Master!B:B,"Not on master")</f>
        <v>0</v>
      </c>
      <c r="F2974" cm="1">
        <f t="array" ref="F2974">_xlfn.XLOOKUP(C2974,Account_Master!A:A,Account_Master!B:B,"Not on master")</f>
        <v>0</v>
      </c>
      <c r="G2974" cm="1">
        <f t="array" ref="G2974">_xlfn.XLOOKUP(C2974,Account_Master!A:A,Account_Master!C:C,"Not on master")</f>
        <v>0</v>
      </c>
      <c r="H2974" s="6">
        <v>0.75</v>
      </c>
      <c r="I2974" s="6">
        <v>0.75</v>
      </c>
      <c r="J2974" s="6">
        <f>I2974-H2974</f>
        <v>0</v>
      </c>
      <c r="K2974" s="5">
        <f>IF(H2974=0,"",J2974/H2974)</f>
        <v>0</v>
      </c>
      <c r="L2974">
        <f>IF(OR(AND(H2974=0,ABS(J2974)&gt;=0.01),AND(H2974&lt;&gt;0,ABS(K2974)&gt;VarianceThreshold)),"Review","OK")</f>
        <v>0</v>
      </c>
      <c r="M2974" t="s">
        <v>33</v>
      </c>
    </row>
    <row r="2975" spans="1:13">
      <c r="A2975" t="s">
        <v>4</v>
      </c>
      <c r="B2975" t="s">
        <v>746</v>
      </c>
      <c r="C2975" t="s">
        <v>2432</v>
      </c>
      <c r="D2975" t="s">
        <v>89</v>
      </c>
      <c r="E2975" cm="1">
        <f t="array" ref="E2975">_xlfn.XLOOKUP(D2975,SKU_Master!A:A,SKU_Master!B:B,"Not on master")</f>
        <v>0</v>
      </c>
      <c r="F2975" cm="1">
        <f t="array" ref="F2975">_xlfn.XLOOKUP(C2975,Account_Master!A:A,Account_Master!B:B,"Not on master")</f>
        <v>0</v>
      </c>
      <c r="G2975" cm="1">
        <f t="array" ref="G2975">_xlfn.XLOOKUP(C2975,Account_Master!A:A,Account_Master!C:C,"Not on master")</f>
        <v>0</v>
      </c>
      <c r="H2975" s="6">
        <v>2.25</v>
      </c>
      <c r="I2975" s="6">
        <v>2.25</v>
      </c>
      <c r="J2975" s="6">
        <f>I2975-H2975</f>
        <v>0</v>
      </c>
      <c r="K2975" s="5">
        <f>IF(H2975=0,"",J2975/H2975)</f>
        <v>0</v>
      </c>
      <c r="L2975">
        <f>IF(OR(AND(H2975=0,ABS(J2975)&gt;=0.01),AND(H2975&lt;&gt;0,ABS(K2975)&gt;VarianceThreshold)),"Review","OK")</f>
        <v>0</v>
      </c>
      <c r="M2975" t="s">
        <v>33</v>
      </c>
    </row>
    <row r="2976" spans="1:13">
      <c r="A2976" t="s">
        <v>4</v>
      </c>
      <c r="B2976" t="s">
        <v>746</v>
      </c>
      <c r="C2976" t="s">
        <v>2453</v>
      </c>
      <c r="D2976" t="s">
        <v>173</v>
      </c>
      <c r="E2976" cm="1">
        <f t="array" ref="E2976">_xlfn.XLOOKUP(D2976,SKU_Master!A:A,SKU_Master!B:B,"Not on master")</f>
        <v>0</v>
      </c>
      <c r="F2976" cm="1">
        <f t="array" ref="F2976">_xlfn.XLOOKUP(C2976,Account_Master!A:A,Account_Master!B:B,"Not on master")</f>
        <v>0</v>
      </c>
      <c r="G2976" cm="1">
        <f t="array" ref="G2976">_xlfn.XLOOKUP(C2976,Account_Master!A:A,Account_Master!C:C,"Not on master")</f>
        <v>0</v>
      </c>
      <c r="H2976" s="6">
        <v>12</v>
      </c>
      <c r="I2976" s="6">
        <v>12</v>
      </c>
      <c r="J2976" s="6">
        <f>I2976-H2976</f>
        <v>0</v>
      </c>
      <c r="K2976" s="5">
        <f>IF(H2976=0,"",J2976/H2976)</f>
        <v>0</v>
      </c>
      <c r="L2976">
        <f>IF(OR(AND(H2976=0,ABS(J2976)&gt;=0.01),AND(H2976&lt;&gt;0,ABS(K2976)&gt;VarianceThreshold)),"Review","OK")</f>
        <v>0</v>
      </c>
      <c r="M2976" t="s">
        <v>33</v>
      </c>
    </row>
    <row r="2977" spans="1:13">
      <c r="A2977" t="s">
        <v>4</v>
      </c>
      <c r="B2977" t="s">
        <v>746</v>
      </c>
      <c r="C2977" t="s">
        <v>2410</v>
      </c>
      <c r="D2977" t="s">
        <v>2667</v>
      </c>
      <c r="E2977" cm="1">
        <f t="array" ref="E2977">_xlfn.XLOOKUP(D2977,SKU_Master!A:A,SKU_Master!B:B,"Not on master")</f>
        <v>0</v>
      </c>
      <c r="F2977" cm="1">
        <f t="array" ref="F2977">_xlfn.XLOOKUP(C2977,Account_Master!A:A,Account_Master!B:B,"Not on master")</f>
        <v>0</v>
      </c>
      <c r="G2977" cm="1">
        <f t="array" ref="G2977">_xlfn.XLOOKUP(C2977,Account_Master!A:A,Account_Master!C:C,"Not on master")</f>
        <v>0</v>
      </c>
      <c r="H2977" s="6">
        <v>9</v>
      </c>
      <c r="I2977" s="6">
        <v>9</v>
      </c>
      <c r="J2977" s="6">
        <f>I2977-H2977</f>
        <v>0</v>
      </c>
      <c r="K2977" s="5">
        <f>IF(H2977=0,"",J2977/H2977)</f>
        <v>0</v>
      </c>
      <c r="L2977">
        <f>IF(OR(AND(H2977=0,ABS(J2977)&gt;=0.01),AND(H2977&lt;&gt;0,ABS(K2977)&gt;VarianceThreshold)),"Review","OK")</f>
        <v>0</v>
      </c>
      <c r="M2977" t="s">
        <v>33</v>
      </c>
    </row>
    <row r="2978" spans="1:13">
      <c r="A2978" t="s">
        <v>4</v>
      </c>
      <c r="B2978" t="s">
        <v>746</v>
      </c>
      <c r="C2978" t="s">
        <v>2449</v>
      </c>
      <c r="D2978" t="s">
        <v>2668</v>
      </c>
      <c r="E2978" cm="1">
        <f t="array" ref="E2978">_xlfn.XLOOKUP(D2978,SKU_Master!A:A,SKU_Master!B:B,"Not on master")</f>
        <v>0</v>
      </c>
      <c r="F2978" cm="1">
        <f t="array" ref="F2978">_xlfn.XLOOKUP(C2978,Account_Master!A:A,Account_Master!B:B,"Not on master")</f>
        <v>0</v>
      </c>
      <c r="G2978" cm="1">
        <f t="array" ref="G2978">_xlfn.XLOOKUP(C2978,Account_Master!A:A,Account_Master!C:C,"Not on master")</f>
        <v>0</v>
      </c>
      <c r="H2978" s="6">
        <v>4.5</v>
      </c>
      <c r="I2978" s="6">
        <v>4.5</v>
      </c>
      <c r="J2978" s="6">
        <f>I2978-H2978</f>
        <v>0</v>
      </c>
      <c r="K2978" s="5">
        <f>IF(H2978=0,"",J2978/H2978)</f>
        <v>0</v>
      </c>
      <c r="L2978">
        <f>IF(OR(AND(H2978=0,ABS(J2978)&gt;=0.01),AND(H2978&lt;&gt;0,ABS(K2978)&gt;VarianceThreshold)),"Review","OK")</f>
        <v>0</v>
      </c>
      <c r="M2978" t="s">
        <v>33</v>
      </c>
    </row>
    <row r="2979" spans="1:13">
      <c r="A2979" t="s">
        <v>4</v>
      </c>
      <c r="B2979" t="s">
        <v>746</v>
      </c>
      <c r="C2979" t="s">
        <v>2414</v>
      </c>
      <c r="D2979" t="s">
        <v>2669</v>
      </c>
      <c r="E2979" cm="1">
        <f t="array" ref="E2979">_xlfn.XLOOKUP(D2979,SKU_Master!A:A,SKU_Master!B:B,"Not on master")</f>
        <v>0</v>
      </c>
      <c r="F2979" cm="1">
        <f t="array" ref="F2979">_xlfn.XLOOKUP(C2979,Account_Master!A:A,Account_Master!B:B,"Not on master")</f>
        <v>0</v>
      </c>
      <c r="G2979" cm="1">
        <f t="array" ref="G2979">_xlfn.XLOOKUP(C2979,Account_Master!A:A,Account_Master!C:C,"Not on master")</f>
        <v>0</v>
      </c>
      <c r="H2979" s="6">
        <v>0.75</v>
      </c>
      <c r="I2979" s="6">
        <v>0.75</v>
      </c>
      <c r="J2979" s="6">
        <f>I2979-H2979</f>
        <v>0</v>
      </c>
      <c r="K2979" s="5">
        <f>IF(H2979=0,"",J2979/H2979)</f>
        <v>0</v>
      </c>
      <c r="L2979">
        <f>IF(OR(AND(H2979=0,ABS(J2979)&gt;=0.01),AND(H2979&lt;&gt;0,ABS(K2979)&gt;VarianceThreshold)),"Review","OK")</f>
        <v>0</v>
      </c>
      <c r="M2979" t="s">
        <v>33</v>
      </c>
    </row>
    <row r="2980" spans="1:13">
      <c r="A2980" t="s">
        <v>4</v>
      </c>
      <c r="B2980" t="s">
        <v>755</v>
      </c>
      <c r="C2980" t="s">
        <v>2462</v>
      </c>
      <c r="D2980" t="s">
        <v>1489</v>
      </c>
      <c r="E2980" cm="1">
        <f t="array" ref="E2980">_xlfn.XLOOKUP(D2980,SKU_Master!A:A,SKU_Master!B:B,"Not on master")</f>
        <v>0</v>
      </c>
      <c r="F2980" cm="1">
        <f t="array" ref="F2980">_xlfn.XLOOKUP(C2980,Account_Master!A:A,Account_Master!B:B,"Not on master")</f>
        <v>0</v>
      </c>
      <c r="G2980" cm="1">
        <f t="array" ref="G2980">_xlfn.XLOOKUP(C2980,Account_Master!A:A,Account_Master!C:C,"Not on master")</f>
        <v>0</v>
      </c>
      <c r="H2980" s="6">
        <v>9</v>
      </c>
      <c r="I2980" s="6">
        <v>9</v>
      </c>
      <c r="J2980" s="6">
        <f>I2980-H2980</f>
        <v>0</v>
      </c>
      <c r="K2980" s="5">
        <f>IF(H2980=0,"",J2980/H2980)</f>
        <v>0</v>
      </c>
      <c r="L2980">
        <f>IF(OR(AND(H2980=0,ABS(J2980)&gt;=0.01),AND(H2980&lt;&gt;0,ABS(K2980)&gt;VarianceThreshold)),"Review","OK")</f>
        <v>0</v>
      </c>
      <c r="M2980" t="s">
        <v>33</v>
      </c>
    </row>
    <row r="2981" spans="1:13">
      <c r="A2981" t="s">
        <v>4</v>
      </c>
      <c r="B2981" t="s">
        <v>755</v>
      </c>
      <c r="C2981" t="s">
        <v>2548</v>
      </c>
      <c r="D2981" t="s">
        <v>926</v>
      </c>
      <c r="E2981" cm="1">
        <f t="array" ref="E2981">_xlfn.XLOOKUP(D2981,SKU_Master!A:A,SKU_Master!B:B,"Not on master")</f>
        <v>0</v>
      </c>
      <c r="F2981" cm="1">
        <f t="array" ref="F2981">_xlfn.XLOOKUP(C2981,Account_Master!A:A,Account_Master!B:B,"Not on master")</f>
        <v>0</v>
      </c>
      <c r="G2981" cm="1">
        <f t="array" ref="G2981">_xlfn.XLOOKUP(C2981,Account_Master!A:A,Account_Master!C:C,"Not on master")</f>
        <v>0</v>
      </c>
      <c r="H2981" s="6">
        <v>18</v>
      </c>
      <c r="I2981" s="6">
        <v>18</v>
      </c>
      <c r="J2981" s="6">
        <f>I2981-H2981</f>
        <v>0</v>
      </c>
      <c r="K2981" s="5">
        <f>IF(H2981=0,"",J2981/H2981)</f>
        <v>0</v>
      </c>
      <c r="L2981">
        <f>IF(OR(AND(H2981=0,ABS(J2981)&gt;=0.01),AND(H2981&lt;&gt;0,ABS(K2981)&gt;VarianceThreshold)),"Review","OK")</f>
        <v>0</v>
      </c>
      <c r="M2981" t="s">
        <v>33</v>
      </c>
    </row>
    <row r="2982" spans="1:13">
      <c r="A2982" t="s">
        <v>4</v>
      </c>
      <c r="B2982" t="s">
        <v>755</v>
      </c>
      <c r="C2982" t="s">
        <v>2441</v>
      </c>
      <c r="D2982" t="s">
        <v>1541</v>
      </c>
      <c r="E2982" cm="1">
        <f t="array" ref="E2982">_xlfn.XLOOKUP(D2982,SKU_Master!A:A,SKU_Master!B:B,"Not on master")</f>
        <v>0</v>
      </c>
      <c r="F2982" cm="1">
        <f t="array" ref="F2982">_xlfn.XLOOKUP(C2982,Account_Master!A:A,Account_Master!B:B,"Not on master")</f>
        <v>0</v>
      </c>
      <c r="G2982" cm="1">
        <f t="array" ref="G2982">_xlfn.XLOOKUP(C2982,Account_Master!A:A,Account_Master!C:C,"Not on master")</f>
        <v>0</v>
      </c>
      <c r="H2982" s="6">
        <v>20.25</v>
      </c>
      <c r="I2982" s="6">
        <v>20.25</v>
      </c>
      <c r="J2982" s="6">
        <f>I2982-H2982</f>
        <v>0</v>
      </c>
      <c r="K2982" s="5">
        <f>IF(H2982=0,"",J2982/H2982)</f>
        <v>0</v>
      </c>
      <c r="L2982">
        <f>IF(OR(AND(H2982=0,ABS(J2982)&gt;=0.01),AND(H2982&lt;&gt;0,ABS(K2982)&gt;VarianceThreshold)),"Review","OK")</f>
        <v>0</v>
      </c>
      <c r="M2982" t="s">
        <v>33</v>
      </c>
    </row>
    <row r="2983" spans="1:13">
      <c r="A2983" t="s">
        <v>4</v>
      </c>
      <c r="B2983" t="s">
        <v>755</v>
      </c>
      <c r="C2983" t="s">
        <v>2416</v>
      </c>
      <c r="D2983" t="s">
        <v>2143</v>
      </c>
      <c r="E2983" cm="1">
        <f t="array" ref="E2983">_xlfn.XLOOKUP(D2983,SKU_Master!A:A,SKU_Master!B:B,"Not on master")</f>
        <v>0</v>
      </c>
      <c r="F2983" cm="1">
        <f t="array" ref="F2983">_xlfn.XLOOKUP(C2983,Account_Master!A:A,Account_Master!B:B,"Not on master")</f>
        <v>0</v>
      </c>
      <c r="G2983" cm="1">
        <f t="array" ref="G2983">_xlfn.XLOOKUP(C2983,Account_Master!A:A,Account_Master!C:C,"Not on master")</f>
        <v>0</v>
      </c>
      <c r="H2983" s="6">
        <v>4.5</v>
      </c>
      <c r="I2983" s="6">
        <v>4.5</v>
      </c>
      <c r="J2983" s="6">
        <f>I2983-H2983</f>
        <v>0</v>
      </c>
      <c r="K2983" s="5">
        <f>IF(H2983=0,"",J2983/H2983)</f>
        <v>0</v>
      </c>
      <c r="L2983">
        <f>IF(OR(AND(H2983=0,ABS(J2983)&gt;=0.01),AND(H2983&lt;&gt;0,ABS(K2983)&gt;VarianceThreshold)),"Review","OK")</f>
        <v>0</v>
      </c>
      <c r="M2983" t="s">
        <v>33</v>
      </c>
    </row>
    <row r="2984" spans="1:13">
      <c r="A2984" t="s">
        <v>4</v>
      </c>
      <c r="B2984" t="s">
        <v>755</v>
      </c>
      <c r="C2984" t="s">
        <v>2670</v>
      </c>
      <c r="D2984" t="s">
        <v>1310</v>
      </c>
      <c r="E2984" cm="1">
        <f t="array" ref="E2984">_xlfn.XLOOKUP(D2984,SKU_Master!A:A,SKU_Master!B:B,"Not on master")</f>
        <v>0</v>
      </c>
      <c r="F2984" cm="1">
        <f t="array" ref="F2984">_xlfn.XLOOKUP(C2984,Account_Master!A:A,Account_Master!B:B,"Not on master")</f>
        <v>0</v>
      </c>
      <c r="G2984" cm="1">
        <f t="array" ref="G2984">_xlfn.XLOOKUP(C2984,Account_Master!A:A,Account_Master!C:C,"Not on master")</f>
        <v>0</v>
      </c>
      <c r="H2984" s="6">
        <v>1.87</v>
      </c>
      <c r="I2984" s="6">
        <v>1.87</v>
      </c>
      <c r="J2984" s="6">
        <f>I2984-H2984</f>
        <v>0</v>
      </c>
      <c r="K2984" s="5">
        <f>IF(H2984=0,"",J2984/H2984)</f>
        <v>0</v>
      </c>
      <c r="L2984">
        <f>IF(OR(AND(H2984=0,ABS(J2984)&gt;=0.01),AND(H2984&lt;&gt;0,ABS(K2984)&gt;VarianceThreshold)),"Review","OK")</f>
        <v>0</v>
      </c>
      <c r="M2984" t="s">
        <v>33</v>
      </c>
    </row>
    <row r="2985" spans="1:13">
      <c r="A2985" t="s">
        <v>4</v>
      </c>
      <c r="B2985" t="s">
        <v>755</v>
      </c>
      <c r="C2985" t="s">
        <v>2663</v>
      </c>
      <c r="D2985" t="s">
        <v>2671</v>
      </c>
      <c r="E2985" cm="1">
        <f t="array" ref="E2985">_xlfn.XLOOKUP(D2985,SKU_Master!A:A,SKU_Master!B:B,"Not on master")</f>
        <v>0</v>
      </c>
      <c r="F2985" cm="1">
        <f t="array" ref="F2985">_xlfn.XLOOKUP(C2985,Account_Master!A:A,Account_Master!B:B,"Not on master")</f>
        <v>0</v>
      </c>
      <c r="G2985" cm="1">
        <f t="array" ref="G2985">_xlfn.XLOOKUP(C2985,Account_Master!A:A,Account_Master!C:C,"Not on master")</f>
        <v>0</v>
      </c>
      <c r="H2985" s="6">
        <v>0.05</v>
      </c>
      <c r="I2985" s="6">
        <v>0.05</v>
      </c>
      <c r="J2985" s="6">
        <f>I2985-H2985</f>
        <v>0</v>
      </c>
      <c r="K2985" s="5">
        <f>IF(H2985=0,"",J2985/H2985)</f>
        <v>0</v>
      </c>
      <c r="L2985">
        <f>IF(OR(AND(H2985=0,ABS(J2985)&gt;=0.01),AND(H2985&lt;&gt;0,ABS(K2985)&gt;VarianceThreshold)),"Review","OK")</f>
        <v>0</v>
      </c>
      <c r="M2985" t="s">
        <v>33</v>
      </c>
    </row>
    <row r="2986" spans="1:13">
      <c r="A2986" t="s">
        <v>4</v>
      </c>
      <c r="B2986" t="s">
        <v>755</v>
      </c>
      <c r="C2986" t="s">
        <v>2515</v>
      </c>
      <c r="D2986" t="s">
        <v>445</v>
      </c>
      <c r="E2986" cm="1">
        <f t="array" ref="E2986">_xlfn.XLOOKUP(D2986,SKU_Master!A:A,SKU_Master!B:B,"Not on master")</f>
        <v>0</v>
      </c>
      <c r="F2986" cm="1">
        <f t="array" ref="F2986">_xlfn.XLOOKUP(C2986,Account_Master!A:A,Account_Master!B:B,"Not on master")</f>
        <v>0</v>
      </c>
      <c r="G2986" cm="1">
        <f t="array" ref="G2986">_xlfn.XLOOKUP(C2986,Account_Master!A:A,Account_Master!C:C,"Not on master")</f>
        <v>0</v>
      </c>
      <c r="H2986" s="6">
        <v>4.5</v>
      </c>
      <c r="I2986" s="6">
        <v>4.5</v>
      </c>
      <c r="J2986" s="6">
        <f>I2986-H2986</f>
        <v>0</v>
      </c>
      <c r="K2986" s="5">
        <f>IF(H2986=0,"",J2986/H2986)</f>
        <v>0</v>
      </c>
      <c r="L2986">
        <f>IF(OR(AND(H2986=0,ABS(J2986)&gt;=0.01),AND(H2986&lt;&gt;0,ABS(K2986)&gt;VarianceThreshold)),"Review","OK")</f>
        <v>0</v>
      </c>
      <c r="M2986" t="s">
        <v>33</v>
      </c>
    </row>
    <row r="2987" spans="1:13">
      <c r="A2987" t="s">
        <v>4</v>
      </c>
      <c r="B2987" t="s">
        <v>755</v>
      </c>
      <c r="C2987" t="s">
        <v>2418</v>
      </c>
      <c r="D2987" t="s">
        <v>2672</v>
      </c>
      <c r="E2987" cm="1">
        <f t="array" ref="E2987">_xlfn.XLOOKUP(D2987,SKU_Master!A:A,SKU_Master!B:B,"Not on master")</f>
        <v>0</v>
      </c>
      <c r="F2987" cm="1">
        <f t="array" ref="F2987">_xlfn.XLOOKUP(C2987,Account_Master!A:A,Account_Master!B:B,"Not on master")</f>
        <v>0</v>
      </c>
      <c r="G2987" cm="1">
        <f t="array" ref="G2987">_xlfn.XLOOKUP(C2987,Account_Master!A:A,Account_Master!C:C,"Not on master")</f>
        <v>0</v>
      </c>
      <c r="H2987" s="6">
        <v>16.5</v>
      </c>
      <c r="I2987" s="6">
        <v>16.5</v>
      </c>
      <c r="J2987" s="6">
        <f>I2987-H2987</f>
        <v>0</v>
      </c>
      <c r="K2987" s="5">
        <f>IF(H2987=0,"",J2987/H2987)</f>
        <v>0</v>
      </c>
      <c r="L2987">
        <f>IF(OR(AND(H2987=0,ABS(J2987)&gt;=0.01),AND(H2987&lt;&gt;0,ABS(K2987)&gt;VarianceThreshold)),"Review","OK")</f>
        <v>0</v>
      </c>
      <c r="M2987" t="s">
        <v>33</v>
      </c>
    </row>
    <row r="2988" spans="1:13">
      <c r="A2988" t="s">
        <v>4</v>
      </c>
      <c r="B2988" t="s">
        <v>755</v>
      </c>
      <c r="C2988" t="s">
        <v>2515</v>
      </c>
      <c r="D2988" t="s">
        <v>2673</v>
      </c>
      <c r="E2988" cm="1">
        <f t="array" ref="E2988">_xlfn.XLOOKUP(D2988,SKU_Master!A:A,SKU_Master!B:B,"Not on master")</f>
        <v>0</v>
      </c>
      <c r="F2988" cm="1">
        <f t="array" ref="F2988">_xlfn.XLOOKUP(C2988,Account_Master!A:A,Account_Master!B:B,"Not on master")</f>
        <v>0</v>
      </c>
      <c r="G2988" cm="1">
        <f t="array" ref="G2988">_xlfn.XLOOKUP(C2988,Account_Master!A:A,Account_Master!C:C,"Not on master")</f>
        <v>0</v>
      </c>
      <c r="H2988" s="6">
        <v>10.5</v>
      </c>
      <c r="I2988" s="6">
        <v>10.5</v>
      </c>
      <c r="J2988" s="6">
        <f>I2988-H2988</f>
        <v>0</v>
      </c>
      <c r="K2988" s="5">
        <f>IF(H2988=0,"",J2988/H2988)</f>
        <v>0</v>
      </c>
      <c r="L2988">
        <f>IF(OR(AND(H2988=0,ABS(J2988)&gt;=0.01),AND(H2988&lt;&gt;0,ABS(K2988)&gt;VarianceThreshold)),"Review","OK")</f>
        <v>0</v>
      </c>
      <c r="M2988" t="s">
        <v>33</v>
      </c>
    </row>
    <row r="2989" spans="1:13">
      <c r="A2989" t="s">
        <v>4</v>
      </c>
      <c r="B2989" t="s">
        <v>755</v>
      </c>
      <c r="C2989" t="s">
        <v>2674</v>
      </c>
      <c r="D2989" t="s">
        <v>363</v>
      </c>
      <c r="E2989" cm="1">
        <f t="array" ref="E2989">_xlfn.XLOOKUP(D2989,SKU_Master!A:A,SKU_Master!B:B,"Not on master")</f>
        <v>0</v>
      </c>
      <c r="F2989" cm="1">
        <f t="array" ref="F2989">_xlfn.XLOOKUP(C2989,Account_Master!A:A,Account_Master!B:B,"Not on master")</f>
        <v>0</v>
      </c>
      <c r="G2989" cm="1">
        <f t="array" ref="G2989">_xlfn.XLOOKUP(C2989,Account_Master!A:A,Account_Master!C:C,"Not on master")</f>
        <v>0</v>
      </c>
      <c r="H2989" s="6">
        <v>0.45</v>
      </c>
      <c r="I2989" s="6">
        <v>0.45</v>
      </c>
      <c r="J2989" s="6">
        <f>I2989-H2989</f>
        <v>0</v>
      </c>
      <c r="K2989" s="5">
        <f>IF(H2989=0,"",J2989/H2989)</f>
        <v>0</v>
      </c>
      <c r="L2989">
        <f>IF(OR(AND(H2989=0,ABS(J2989)&gt;=0.01),AND(H2989&lt;&gt;0,ABS(K2989)&gt;VarianceThreshold)),"Review","OK")</f>
        <v>0</v>
      </c>
      <c r="M2989" t="s">
        <v>33</v>
      </c>
    </row>
    <row r="2990" spans="1:13">
      <c r="A2990" t="s">
        <v>4</v>
      </c>
      <c r="B2990" t="s">
        <v>765</v>
      </c>
      <c r="C2990" t="s">
        <v>2414</v>
      </c>
      <c r="D2990" t="s">
        <v>1673</v>
      </c>
      <c r="E2990" cm="1">
        <f t="array" ref="E2990">_xlfn.XLOOKUP(D2990,SKU_Master!A:A,SKU_Master!B:B,"Not on master")</f>
        <v>0</v>
      </c>
      <c r="F2990" cm="1">
        <f t="array" ref="F2990">_xlfn.XLOOKUP(C2990,Account_Master!A:A,Account_Master!B:B,"Not on master")</f>
        <v>0</v>
      </c>
      <c r="G2990" cm="1">
        <f t="array" ref="G2990">_xlfn.XLOOKUP(C2990,Account_Master!A:A,Account_Master!C:C,"Not on master")</f>
        <v>0</v>
      </c>
      <c r="H2990" s="6">
        <v>9</v>
      </c>
      <c r="I2990" s="6">
        <v>9</v>
      </c>
      <c r="J2990" s="6">
        <f>I2990-H2990</f>
        <v>0</v>
      </c>
      <c r="K2990" s="5">
        <f>IF(H2990=0,"",J2990/H2990)</f>
        <v>0</v>
      </c>
      <c r="L2990">
        <f>IF(OR(AND(H2990=0,ABS(J2990)&gt;=0.01),AND(H2990&lt;&gt;0,ABS(K2990)&gt;VarianceThreshold)),"Review","OK")</f>
        <v>0</v>
      </c>
      <c r="M2990" t="s">
        <v>33</v>
      </c>
    </row>
    <row r="2991" spans="1:13">
      <c r="A2991" t="s">
        <v>4</v>
      </c>
      <c r="B2991" t="s">
        <v>765</v>
      </c>
      <c r="C2991" t="s">
        <v>2432</v>
      </c>
      <c r="D2991" t="s">
        <v>2675</v>
      </c>
      <c r="E2991" cm="1">
        <f t="array" ref="E2991">_xlfn.XLOOKUP(D2991,SKU_Master!A:A,SKU_Master!B:B,"Not on master")</f>
        <v>0</v>
      </c>
      <c r="F2991" cm="1">
        <f t="array" ref="F2991">_xlfn.XLOOKUP(C2991,Account_Master!A:A,Account_Master!B:B,"Not on master")</f>
        <v>0</v>
      </c>
      <c r="G2991" cm="1">
        <f t="array" ref="G2991">_xlfn.XLOOKUP(C2991,Account_Master!A:A,Account_Master!C:C,"Not on master")</f>
        <v>0</v>
      </c>
      <c r="H2991" s="6">
        <v>4.5</v>
      </c>
      <c r="I2991" s="6">
        <v>4.5</v>
      </c>
      <c r="J2991" s="6">
        <f>I2991-H2991</f>
        <v>0</v>
      </c>
      <c r="K2991" s="5">
        <f>IF(H2991=0,"",J2991/H2991)</f>
        <v>0</v>
      </c>
      <c r="L2991">
        <f>IF(OR(AND(H2991=0,ABS(J2991)&gt;=0.01),AND(H2991&lt;&gt;0,ABS(K2991)&gt;VarianceThreshold)),"Review","OK")</f>
        <v>0</v>
      </c>
      <c r="M2991" t="s">
        <v>33</v>
      </c>
    </row>
    <row r="2992" spans="1:13">
      <c r="A2992" t="s">
        <v>4</v>
      </c>
      <c r="B2992" t="s">
        <v>765</v>
      </c>
      <c r="C2992" t="s">
        <v>2501</v>
      </c>
      <c r="D2992" t="s">
        <v>766</v>
      </c>
      <c r="E2992" cm="1">
        <f t="array" ref="E2992">_xlfn.XLOOKUP(D2992,SKU_Master!A:A,SKU_Master!B:B,"Not on master")</f>
        <v>0</v>
      </c>
      <c r="F2992" cm="1">
        <f t="array" ref="F2992">_xlfn.XLOOKUP(C2992,Account_Master!A:A,Account_Master!B:B,"Not on master")</f>
        <v>0</v>
      </c>
      <c r="G2992" cm="1">
        <f t="array" ref="G2992">_xlfn.XLOOKUP(C2992,Account_Master!A:A,Account_Master!C:C,"Not on master")</f>
        <v>0</v>
      </c>
      <c r="H2992" s="6">
        <v>42</v>
      </c>
      <c r="I2992" s="6">
        <v>42</v>
      </c>
      <c r="J2992" s="6">
        <f>I2992-H2992</f>
        <v>0</v>
      </c>
      <c r="K2992" s="5">
        <f>IF(H2992=0,"",J2992/H2992)</f>
        <v>0</v>
      </c>
      <c r="L2992">
        <f>IF(OR(AND(H2992=0,ABS(J2992)&gt;=0.01),AND(H2992&lt;&gt;0,ABS(K2992)&gt;VarianceThreshold)),"Review","OK")</f>
        <v>0</v>
      </c>
      <c r="M2992" t="s">
        <v>33</v>
      </c>
    </row>
    <row r="2993" spans="1:13">
      <c r="A2993" t="s">
        <v>4</v>
      </c>
      <c r="B2993" t="s">
        <v>765</v>
      </c>
      <c r="C2993" t="s">
        <v>2418</v>
      </c>
      <c r="D2993" t="s">
        <v>2366</v>
      </c>
      <c r="E2993" cm="1">
        <f t="array" ref="E2993">_xlfn.XLOOKUP(D2993,SKU_Master!A:A,SKU_Master!B:B,"Not on master")</f>
        <v>0</v>
      </c>
      <c r="F2993" cm="1">
        <f t="array" ref="F2993">_xlfn.XLOOKUP(C2993,Account_Master!A:A,Account_Master!B:B,"Not on master")</f>
        <v>0</v>
      </c>
      <c r="G2993" cm="1">
        <f t="array" ref="G2993">_xlfn.XLOOKUP(C2993,Account_Master!A:A,Account_Master!C:C,"Not on master")</f>
        <v>0</v>
      </c>
      <c r="H2993" s="6">
        <v>126</v>
      </c>
      <c r="I2993" s="6">
        <v>126</v>
      </c>
      <c r="J2993" s="6">
        <f>I2993-H2993</f>
        <v>0</v>
      </c>
      <c r="K2993" s="5">
        <f>IF(H2993=0,"",J2993/H2993)</f>
        <v>0</v>
      </c>
      <c r="L2993">
        <f>IF(OR(AND(H2993=0,ABS(J2993)&gt;=0.01),AND(H2993&lt;&gt;0,ABS(K2993)&gt;VarianceThreshold)),"Review","OK")</f>
        <v>0</v>
      </c>
      <c r="M2993" t="s">
        <v>33</v>
      </c>
    </row>
    <row r="2994" spans="1:13">
      <c r="A2994" t="s">
        <v>4</v>
      </c>
      <c r="B2994" t="s">
        <v>765</v>
      </c>
      <c r="C2994" t="s">
        <v>2676</v>
      </c>
      <c r="D2994" t="s">
        <v>2677</v>
      </c>
      <c r="E2994" cm="1">
        <f t="array" ref="E2994">_xlfn.XLOOKUP(D2994,SKU_Master!A:A,SKU_Master!B:B,"Not on master")</f>
        <v>0</v>
      </c>
      <c r="F2994" cm="1">
        <f t="array" ref="F2994">_xlfn.XLOOKUP(C2994,Account_Master!A:A,Account_Master!B:B,"Not on master")</f>
        <v>0</v>
      </c>
      <c r="G2994" cm="1">
        <f t="array" ref="G2994">_xlfn.XLOOKUP(C2994,Account_Master!A:A,Account_Master!C:C,"Not on master")</f>
        <v>0</v>
      </c>
      <c r="H2994" s="6">
        <v>161</v>
      </c>
      <c r="I2994" s="6">
        <v>161</v>
      </c>
      <c r="J2994" s="6">
        <f>I2994-H2994</f>
        <v>0</v>
      </c>
      <c r="K2994" s="5">
        <f>IF(H2994=0,"",J2994/H2994)</f>
        <v>0</v>
      </c>
      <c r="L2994">
        <f>IF(OR(AND(H2994=0,ABS(J2994)&gt;=0.01),AND(H2994&lt;&gt;0,ABS(K2994)&gt;VarianceThreshold)),"Review","OK")</f>
        <v>0</v>
      </c>
      <c r="M2994" t="s">
        <v>33</v>
      </c>
    </row>
    <row r="2995" spans="1:13">
      <c r="A2995" t="s">
        <v>4</v>
      </c>
      <c r="B2995" t="s">
        <v>765</v>
      </c>
      <c r="C2995" t="s">
        <v>2436</v>
      </c>
      <c r="D2995" t="s">
        <v>648</v>
      </c>
      <c r="E2995" cm="1">
        <f t="array" ref="E2995">_xlfn.XLOOKUP(D2995,SKU_Master!A:A,SKU_Master!B:B,"Not on master")</f>
        <v>0</v>
      </c>
      <c r="F2995" cm="1">
        <f t="array" ref="F2995">_xlfn.XLOOKUP(C2995,Account_Master!A:A,Account_Master!B:B,"Not on master")</f>
        <v>0</v>
      </c>
      <c r="G2995" cm="1">
        <f t="array" ref="G2995">_xlfn.XLOOKUP(C2995,Account_Master!A:A,Account_Master!C:C,"Not on master")</f>
        <v>0</v>
      </c>
      <c r="H2995" s="6">
        <v>20.25</v>
      </c>
      <c r="I2995" s="6">
        <v>20.25</v>
      </c>
      <c r="J2995" s="6">
        <f>I2995-H2995</f>
        <v>0</v>
      </c>
      <c r="K2995" s="5">
        <f>IF(H2995=0,"",J2995/H2995)</f>
        <v>0</v>
      </c>
      <c r="L2995">
        <f>IF(OR(AND(H2995=0,ABS(J2995)&gt;=0.01),AND(H2995&lt;&gt;0,ABS(K2995)&gt;VarianceThreshold)),"Review","OK")</f>
        <v>0</v>
      </c>
      <c r="M2995" t="s">
        <v>33</v>
      </c>
    </row>
    <row r="2996" spans="1:13">
      <c r="A2996" t="s">
        <v>4</v>
      </c>
      <c r="B2996" t="s">
        <v>765</v>
      </c>
      <c r="C2996" t="s">
        <v>2488</v>
      </c>
      <c r="D2996" t="s">
        <v>649</v>
      </c>
      <c r="E2996" cm="1">
        <f t="array" ref="E2996">_xlfn.XLOOKUP(D2996,SKU_Master!A:A,SKU_Master!B:B,"Not on master")</f>
        <v>0</v>
      </c>
      <c r="F2996" cm="1">
        <f t="array" ref="F2996">_xlfn.XLOOKUP(C2996,Account_Master!A:A,Account_Master!B:B,"Not on master")</f>
        <v>0</v>
      </c>
      <c r="G2996" cm="1">
        <f t="array" ref="G2996">_xlfn.XLOOKUP(C2996,Account_Master!A:A,Account_Master!C:C,"Not on master")</f>
        <v>0</v>
      </c>
      <c r="H2996" s="6">
        <v>26</v>
      </c>
      <c r="I2996" s="6">
        <v>26</v>
      </c>
      <c r="J2996" s="6">
        <f>I2996-H2996</f>
        <v>0</v>
      </c>
      <c r="K2996" s="5">
        <f>IF(H2996=0,"",J2996/H2996)</f>
        <v>0</v>
      </c>
      <c r="L2996">
        <f>IF(OR(AND(H2996=0,ABS(J2996)&gt;=0.01),AND(H2996&lt;&gt;0,ABS(K2996)&gt;VarianceThreshold)),"Review","OK")</f>
        <v>0</v>
      </c>
      <c r="M2996" t="s">
        <v>33</v>
      </c>
    </row>
    <row r="2997" spans="1:13">
      <c r="A2997" t="s">
        <v>4</v>
      </c>
      <c r="B2997" t="s">
        <v>765</v>
      </c>
      <c r="C2997" t="s">
        <v>2432</v>
      </c>
      <c r="D2997" t="s">
        <v>2678</v>
      </c>
      <c r="E2997" cm="1">
        <f t="array" ref="E2997">_xlfn.XLOOKUP(D2997,SKU_Master!A:A,SKU_Master!B:B,"Not on master")</f>
        <v>0</v>
      </c>
      <c r="F2997" cm="1">
        <f t="array" ref="F2997">_xlfn.XLOOKUP(C2997,Account_Master!A:A,Account_Master!B:B,"Not on master")</f>
        <v>0</v>
      </c>
      <c r="G2997" cm="1">
        <f t="array" ref="G2997">_xlfn.XLOOKUP(C2997,Account_Master!A:A,Account_Master!C:C,"Not on master")</f>
        <v>0</v>
      </c>
      <c r="H2997" s="6">
        <v>1.5</v>
      </c>
      <c r="I2997" s="6">
        <v>1.5</v>
      </c>
      <c r="J2997" s="6">
        <f>I2997-H2997</f>
        <v>0</v>
      </c>
      <c r="K2997" s="5">
        <f>IF(H2997=0,"",J2997/H2997)</f>
        <v>0</v>
      </c>
      <c r="L2997">
        <f>IF(OR(AND(H2997=0,ABS(J2997)&gt;=0.01),AND(H2997&lt;&gt;0,ABS(K2997)&gt;VarianceThreshold)),"Review","OK")</f>
        <v>0</v>
      </c>
      <c r="M2997" t="s">
        <v>33</v>
      </c>
    </row>
    <row r="2998" spans="1:13">
      <c r="A2998" t="s">
        <v>4</v>
      </c>
      <c r="B2998" t="s">
        <v>775</v>
      </c>
      <c r="C2998" t="s">
        <v>2472</v>
      </c>
      <c r="D2998" t="s">
        <v>981</v>
      </c>
      <c r="E2998" cm="1">
        <f t="array" ref="E2998">_xlfn.XLOOKUP(D2998,SKU_Master!A:A,SKU_Master!B:B,"Not on master")</f>
        <v>0</v>
      </c>
      <c r="F2998" cm="1">
        <f t="array" ref="F2998">_xlfn.XLOOKUP(C2998,Account_Master!A:A,Account_Master!B:B,"Not on master")</f>
        <v>0</v>
      </c>
      <c r="G2998" cm="1">
        <f t="array" ref="G2998">_xlfn.XLOOKUP(C2998,Account_Master!A:A,Account_Master!C:C,"Not on master")</f>
        <v>0</v>
      </c>
      <c r="H2998" s="6">
        <v>0.75</v>
      </c>
      <c r="I2998" s="6">
        <v>0.75</v>
      </c>
      <c r="J2998" s="6">
        <f>I2998-H2998</f>
        <v>0</v>
      </c>
      <c r="K2998" s="5">
        <f>IF(H2998=0,"",J2998/H2998)</f>
        <v>0</v>
      </c>
      <c r="L2998">
        <f>IF(OR(AND(H2998=0,ABS(J2998)&gt;=0.01),AND(H2998&lt;&gt;0,ABS(K2998)&gt;VarianceThreshold)),"Review","OK")</f>
        <v>0</v>
      </c>
      <c r="M2998" t="s">
        <v>33</v>
      </c>
    </row>
    <row r="2999" spans="1:13">
      <c r="A2999" t="s">
        <v>4</v>
      </c>
      <c r="B2999" t="s">
        <v>775</v>
      </c>
      <c r="C2999" t="s">
        <v>2432</v>
      </c>
      <c r="D2999" t="s">
        <v>738</v>
      </c>
      <c r="E2999" cm="1">
        <f t="array" ref="E2999">_xlfn.XLOOKUP(D2999,SKU_Master!A:A,SKU_Master!B:B,"Not on master")</f>
        <v>0</v>
      </c>
      <c r="F2999" cm="1">
        <f t="array" ref="F2999">_xlfn.XLOOKUP(C2999,Account_Master!A:A,Account_Master!B:B,"Not on master")</f>
        <v>0</v>
      </c>
      <c r="G2999" cm="1">
        <f t="array" ref="G2999">_xlfn.XLOOKUP(C2999,Account_Master!A:A,Account_Master!C:C,"Not on master")</f>
        <v>0</v>
      </c>
      <c r="H2999" s="6">
        <v>21</v>
      </c>
      <c r="I2999" s="6">
        <v>21</v>
      </c>
      <c r="J2999" s="6">
        <f>I2999-H2999</f>
        <v>0</v>
      </c>
      <c r="K2999" s="5">
        <f>IF(H2999=0,"",J2999/H2999)</f>
        <v>0</v>
      </c>
      <c r="L2999">
        <f>IF(OR(AND(H2999=0,ABS(J2999)&gt;=0.01),AND(H2999&lt;&gt;0,ABS(K2999)&gt;VarianceThreshold)),"Review","OK")</f>
        <v>0</v>
      </c>
      <c r="M2999" t="s">
        <v>33</v>
      </c>
    </row>
    <row r="3000" spans="1:13">
      <c r="A3000" t="s">
        <v>4</v>
      </c>
      <c r="B3000" t="s">
        <v>775</v>
      </c>
      <c r="C3000" t="s">
        <v>2679</v>
      </c>
      <c r="D3000" t="s">
        <v>2680</v>
      </c>
      <c r="E3000" cm="1">
        <f t="array" ref="E3000">_xlfn.XLOOKUP(D3000,SKU_Master!A:A,SKU_Master!B:B,"Not on master")</f>
        <v>0</v>
      </c>
      <c r="F3000" cm="1">
        <f t="array" ref="F3000">_xlfn.XLOOKUP(C3000,Account_Master!A:A,Account_Master!B:B,"Not on master")</f>
        <v>0</v>
      </c>
      <c r="G3000" cm="1">
        <f t="array" ref="G3000">_xlfn.XLOOKUP(C3000,Account_Master!A:A,Account_Master!C:C,"Not on master")</f>
        <v>0</v>
      </c>
      <c r="H3000" s="6">
        <v>24</v>
      </c>
      <c r="I3000" s="6">
        <v>24</v>
      </c>
      <c r="J3000" s="6">
        <f>I3000-H3000</f>
        <v>0</v>
      </c>
      <c r="K3000" s="5">
        <f>IF(H3000=0,"",J3000/H3000)</f>
        <v>0</v>
      </c>
      <c r="L3000">
        <f>IF(OR(AND(H3000=0,ABS(J3000)&gt;=0.01),AND(H3000&lt;&gt;0,ABS(K3000)&gt;VarianceThreshold)),"Review","OK")</f>
        <v>0</v>
      </c>
      <c r="M3000" t="s">
        <v>33</v>
      </c>
    </row>
    <row r="3001" spans="1:13">
      <c r="A3001" t="s">
        <v>4</v>
      </c>
      <c r="B3001" t="s">
        <v>775</v>
      </c>
      <c r="C3001" t="s">
        <v>2548</v>
      </c>
      <c r="D3001" t="s">
        <v>200</v>
      </c>
      <c r="E3001" cm="1">
        <f t="array" ref="E3001">_xlfn.XLOOKUP(D3001,SKU_Master!A:A,SKU_Master!B:B,"Not on master")</f>
        <v>0</v>
      </c>
      <c r="F3001" cm="1">
        <f t="array" ref="F3001">_xlfn.XLOOKUP(C3001,Account_Master!A:A,Account_Master!B:B,"Not on master")</f>
        <v>0</v>
      </c>
      <c r="G3001" cm="1">
        <f t="array" ref="G3001">_xlfn.XLOOKUP(C3001,Account_Master!A:A,Account_Master!C:C,"Not on master")</f>
        <v>0</v>
      </c>
      <c r="H3001" s="6">
        <v>50.4</v>
      </c>
      <c r="I3001" s="6">
        <v>50.4</v>
      </c>
      <c r="J3001" s="6">
        <f>I3001-H3001</f>
        <v>0</v>
      </c>
      <c r="K3001" s="5">
        <f>IF(H3001=0,"",J3001/H3001)</f>
        <v>0</v>
      </c>
      <c r="L3001">
        <f>IF(OR(AND(H3001=0,ABS(J3001)&gt;=0.01),AND(H3001&lt;&gt;0,ABS(K3001)&gt;VarianceThreshold)),"Review","OK")</f>
        <v>0</v>
      </c>
      <c r="M3001" t="s">
        <v>33</v>
      </c>
    </row>
    <row r="3002" spans="1:13">
      <c r="A3002" t="s">
        <v>4</v>
      </c>
      <c r="B3002" t="s">
        <v>775</v>
      </c>
      <c r="C3002" t="s">
        <v>2474</v>
      </c>
      <c r="D3002" t="s">
        <v>2681</v>
      </c>
      <c r="E3002" cm="1">
        <f t="array" ref="E3002">_xlfn.XLOOKUP(D3002,SKU_Master!A:A,SKU_Master!B:B,"Not on master")</f>
        <v>0</v>
      </c>
      <c r="F3002" cm="1">
        <f t="array" ref="F3002">_xlfn.XLOOKUP(C3002,Account_Master!A:A,Account_Master!B:B,"Not on master")</f>
        <v>0</v>
      </c>
      <c r="G3002" cm="1">
        <f t="array" ref="G3002">_xlfn.XLOOKUP(C3002,Account_Master!A:A,Account_Master!C:C,"Not on master")</f>
        <v>0</v>
      </c>
      <c r="H3002" s="6">
        <v>18</v>
      </c>
      <c r="I3002" s="6">
        <v>18</v>
      </c>
      <c r="J3002" s="6">
        <f>I3002-H3002</f>
        <v>0</v>
      </c>
      <c r="K3002" s="5">
        <f>IF(H3002=0,"",J3002/H3002)</f>
        <v>0</v>
      </c>
      <c r="L3002">
        <f>IF(OR(AND(H3002=0,ABS(J3002)&gt;=0.01),AND(H3002&lt;&gt;0,ABS(K3002)&gt;VarianceThreshold)),"Review","OK")</f>
        <v>0</v>
      </c>
      <c r="M3002" t="s">
        <v>33</v>
      </c>
    </row>
    <row r="3003" spans="1:13">
      <c r="A3003" t="s">
        <v>4</v>
      </c>
      <c r="B3003" t="s">
        <v>775</v>
      </c>
      <c r="C3003" t="s">
        <v>2682</v>
      </c>
      <c r="D3003" t="s">
        <v>2391</v>
      </c>
      <c r="E3003" cm="1">
        <f t="array" ref="E3003">_xlfn.XLOOKUP(D3003,SKU_Master!A:A,SKU_Master!B:B,"Not on master")</f>
        <v>0</v>
      </c>
      <c r="F3003" cm="1">
        <f t="array" ref="F3003">_xlfn.XLOOKUP(C3003,Account_Master!A:A,Account_Master!B:B,"Not on master")</f>
        <v>0</v>
      </c>
      <c r="G3003" cm="1">
        <f t="array" ref="G3003">_xlfn.XLOOKUP(C3003,Account_Master!A:A,Account_Master!C:C,"Not on master")</f>
        <v>0</v>
      </c>
      <c r="H3003" s="6">
        <v>1.5</v>
      </c>
      <c r="I3003" s="6">
        <v>1.5</v>
      </c>
      <c r="J3003" s="6">
        <f>I3003-H3003</f>
        <v>0</v>
      </c>
      <c r="K3003" s="5">
        <f>IF(H3003=0,"",J3003/H3003)</f>
        <v>0</v>
      </c>
      <c r="L3003">
        <f>IF(OR(AND(H3003=0,ABS(J3003)&gt;=0.01),AND(H3003&lt;&gt;0,ABS(K3003)&gt;VarianceThreshold)),"Review","OK")</f>
        <v>0</v>
      </c>
      <c r="M3003" t="s">
        <v>33</v>
      </c>
    </row>
    <row r="3004" spans="1:13">
      <c r="A3004" t="s">
        <v>4</v>
      </c>
      <c r="B3004" t="s">
        <v>779</v>
      </c>
      <c r="C3004" t="s">
        <v>2410</v>
      </c>
      <c r="D3004" t="s">
        <v>2683</v>
      </c>
      <c r="E3004" cm="1">
        <f t="array" ref="E3004">_xlfn.XLOOKUP(D3004,SKU_Master!A:A,SKU_Master!B:B,"Not on master")</f>
        <v>0</v>
      </c>
      <c r="F3004" cm="1">
        <f t="array" ref="F3004">_xlfn.XLOOKUP(C3004,Account_Master!A:A,Account_Master!B:B,"Not on master")</f>
        <v>0</v>
      </c>
      <c r="G3004" cm="1">
        <f t="array" ref="G3004">_xlfn.XLOOKUP(C3004,Account_Master!A:A,Account_Master!C:C,"Not on master")</f>
        <v>0</v>
      </c>
      <c r="H3004" s="6">
        <v>0.75</v>
      </c>
      <c r="I3004" s="6">
        <v>0.75</v>
      </c>
      <c r="J3004" s="6">
        <f>I3004-H3004</f>
        <v>0</v>
      </c>
      <c r="K3004" s="5">
        <f>IF(H3004=0,"",J3004/H3004)</f>
        <v>0</v>
      </c>
      <c r="L3004">
        <f>IF(OR(AND(H3004=0,ABS(J3004)&gt;=0.01),AND(H3004&lt;&gt;0,ABS(K3004)&gt;VarianceThreshold)),"Review","OK")</f>
        <v>0</v>
      </c>
      <c r="M3004" t="s">
        <v>33</v>
      </c>
    </row>
    <row r="3005" spans="1:13">
      <c r="A3005" t="s">
        <v>4</v>
      </c>
      <c r="B3005" t="s">
        <v>779</v>
      </c>
      <c r="C3005" t="s">
        <v>2480</v>
      </c>
      <c r="D3005" t="s">
        <v>2128</v>
      </c>
      <c r="E3005" cm="1">
        <f t="array" ref="E3005">_xlfn.XLOOKUP(D3005,SKU_Master!A:A,SKU_Master!B:B,"Not on master")</f>
        <v>0</v>
      </c>
      <c r="F3005" cm="1">
        <f t="array" ref="F3005">_xlfn.XLOOKUP(C3005,Account_Master!A:A,Account_Master!B:B,"Not on master")</f>
        <v>0</v>
      </c>
      <c r="G3005" cm="1">
        <f t="array" ref="G3005">_xlfn.XLOOKUP(C3005,Account_Master!A:A,Account_Master!C:C,"Not on master")</f>
        <v>0</v>
      </c>
      <c r="H3005" s="6">
        <v>9.75</v>
      </c>
      <c r="I3005" s="6">
        <v>9.75</v>
      </c>
      <c r="J3005" s="6">
        <f>I3005-H3005</f>
        <v>0</v>
      </c>
      <c r="K3005" s="5">
        <f>IF(H3005=0,"",J3005/H3005)</f>
        <v>0</v>
      </c>
      <c r="L3005">
        <f>IF(OR(AND(H3005=0,ABS(J3005)&gt;=0.01),AND(H3005&lt;&gt;0,ABS(K3005)&gt;VarianceThreshold)),"Review","OK")</f>
        <v>0</v>
      </c>
      <c r="M3005" t="s">
        <v>33</v>
      </c>
    </row>
    <row r="3006" spans="1:13">
      <c r="A3006" t="s">
        <v>4</v>
      </c>
      <c r="B3006" t="s">
        <v>779</v>
      </c>
      <c r="C3006" t="s">
        <v>2418</v>
      </c>
      <c r="D3006" t="s">
        <v>2684</v>
      </c>
      <c r="E3006" cm="1">
        <f t="array" ref="E3006">_xlfn.XLOOKUP(D3006,SKU_Master!A:A,SKU_Master!B:B,"Not on master")</f>
        <v>0</v>
      </c>
      <c r="F3006" cm="1">
        <f t="array" ref="F3006">_xlfn.XLOOKUP(C3006,Account_Master!A:A,Account_Master!B:B,"Not on master")</f>
        <v>0</v>
      </c>
      <c r="G3006" cm="1">
        <f t="array" ref="G3006">_xlfn.XLOOKUP(C3006,Account_Master!A:A,Account_Master!C:C,"Not on master")</f>
        <v>0</v>
      </c>
      <c r="H3006" s="6">
        <v>36</v>
      </c>
      <c r="I3006" s="6">
        <v>36</v>
      </c>
      <c r="J3006" s="6">
        <f>I3006-H3006</f>
        <v>0</v>
      </c>
      <c r="K3006" s="5">
        <f>IF(H3006=0,"",J3006/H3006)</f>
        <v>0</v>
      </c>
      <c r="L3006">
        <f>IF(OR(AND(H3006=0,ABS(J3006)&gt;=0.01),AND(H3006&lt;&gt;0,ABS(K3006)&gt;VarianceThreshold)),"Review","OK")</f>
        <v>0</v>
      </c>
      <c r="M3006" t="s">
        <v>33</v>
      </c>
    </row>
    <row r="3007" spans="1:13">
      <c r="A3007" t="s">
        <v>4</v>
      </c>
      <c r="B3007" t="s">
        <v>779</v>
      </c>
      <c r="C3007" t="s">
        <v>2447</v>
      </c>
      <c r="D3007" t="s">
        <v>1993</v>
      </c>
      <c r="E3007" cm="1">
        <f t="array" ref="E3007">_xlfn.XLOOKUP(D3007,SKU_Master!A:A,SKU_Master!B:B,"Not on master")</f>
        <v>0</v>
      </c>
      <c r="F3007" cm="1">
        <f t="array" ref="F3007">_xlfn.XLOOKUP(C3007,Account_Master!A:A,Account_Master!B:B,"Not on master")</f>
        <v>0</v>
      </c>
      <c r="G3007" cm="1">
        <f t="array" ref="G3007">_xlfn.XLOOKUP(C3007,Account_Master!A:A,Account_Master!C:C,"Not on master")</f>
        <v>0</v>
      </c>
      <c r="H3007" s="6">
        <v>39</v>
      </c>
      <c r="I3007" s="6">
        <v>39</v>
      </c>
      <c r="J3007" s="6">
        <f>I3007-H3007</f>
        <v>0</v>
      </c>
      <c r="K3007" s="5">
        <f>IF(H3007=0,"",J3007/H3007)</f>
        <v>0</v>
      </c>
      <c r="L3007">
        <f>IF(OR(AND(H3007=0,ABS(J3007)&gt;=0.01),AND(H3007&lt;&gt;0,ABS(K3007)&gt;VarianceThreshold)),"Review","OK")</f>
        <v>0</v>
      </c>
      <c r="M3007" t="s">
        <v>33</v>
      </c>
    </row>
    <row r="3008" spans="1:13">
      <c r="A3008" t="s">
        <v>4</v>
      </c>
      <c r="B3008" t="s">
        <v>779</v>
      </c>
      <c r="C3008" t="s">
        <v>2436</v>
      </c>
      <c r="D3008" t="s">
        <v>2338</v>
      </c>
      <c r="E3008" cm="1">
        <f t="array" ref="E3008">_xlfn.XLOOKUP(D3008,SKU_Master!A:A,SKU_Master!B:B,"Not on master")</f>
        <v>0</v>
      </c>
      <c r="F3008" cm="1">
        <f t="array" ref="F3008">_xlfn.XLOOKUP(C3008,Account_Master!A:A,Account_Master!B:B,"Not on master")</f>
        <v>0</v>
      </c>
      <c r="G3008" cm="1">
        <f t="array" ref="G3008">_xlfn.XLOOKUP(C3008,Account_Master!A:A,Account_Master!C:C,"Not on master")</f>
        <v>0</v>
      </c>
      <c r="H3008" s="6">
        <v>135</v>
      </c>
      <c r="I3008" s="6">
        <v>135</v>
      </c>
      <c r="J3008" s="6">
        <f>I3008-H3008</f>
        <v>0</v>
      </c>
      <c r="K3008" s="5">
        <f>IF(H3008=0,"",J3008/H3008)</f>
        <v>0</v>
      </c>
      <c r="L3008">
        <f>IF(OR(AND(H3008=0,ABS(J3008)&gt;=0.01),AND(H3008&lt;&gt;0,ABS(K3008)&gt;VarianceThreshold)),"Review","OK")</f>
        <v>0</v>
      </c>
      <c r="M3008" t="s">
        <v>33</v>
      </c>
    </row>
    <row r="3009" spans="1:13">
      <c r="A3009" t="s">
        <v>4</v>
      </c>
      <c r="B3009" t="s">
        <v>779</v>
      </c>
      <c r="C3009" t="s">
        <v>2488</v>
      </c>
      <c r="D3009" t="s">
        <v>407</v>
      </c>
      <c r="E3009" cm="1">
        <f t="array" ref="E3009">_xlfn.XLOOKUP(D3009,SKU_Master!A:A,SKU_Master!B:B,"Not on master")</f>
        <v>0</v>
      </c>
      <c r="F3009" cm="1">
        <f t="array" ref="F3009">_xlfn.XLOOKUP(C3009,Account_Master!A:A,Account_Master!B:B,"Not on master")</f>
        <v>0</v>
      </c>
      <c r="G3009" cm="1">
        <f t="array" ref="G3009">_xlfn.XLOOKUP(C3009,Account_Master!A:A,Account_Master!C:C,"Not on master")</f>
        <v>0</v>
      </c>
      <c r="H3009" s="6">
        <v>24</v>
      </c>
      <c r="I3009" s="6">
        <v>24</v>
      </c>
      <c r="J3009" s="6">
        <f>I3009-H3009</f>
        <v>0</v>
      </c>
      <c r="K3009" s="5">
        <f>IF(H3009=0,"",J3009/H3009)</f>
        <v>0</v>
      </c>
      <c r="L3009">
        <f>IF(OR(AND(H3009=0,ABS(J3009)&gt;=0.01),AND(H3009&lt;&gt;0,ABS(K3009)&gt;VarianceThreshold)),"Review","OK")</f>
        <v>0</v>
      </c>
      <c r="M3009" t="s">
        <v>33</v>
      </c>
    </row>
    <row r="3010" spans="1:13">
      <c r="A3010" t="s">
        <v>4</v>
      </c>
      <c r="B3010" t="s">
        <v>779</v>
      </c>
      <c r="C3010" t="s">
        <v>2428</v>
      </c>
      <c r="D3010" t="s">
        <v>130</v>
      </c>
      <c r="E3010" cm="1">
        <f t="array" ref="E3010">_xlfn.XLOOKUP(D3010,SKU_Master!A:A,SKU_Master!B:B,"Not on master")</f>
        <v>0</v>
      </c>
      <c r="F3010" cm="1">
        <f t="array" ref="F3010">_xlfn.XLOOKUP(C3010,Account_Master!A:A,Account_Master!B:B,"Not on master")</f>
        <v>0</v>
      </c>
      <c r="G3010" cm="1">
        <f t="array" ref="G3010">_xlfn.XLOOKUP(C3010,Account_Master!A:A,Account_Master!C:C,"Not on master")</f>
        <v>0</v>
      </c>
      <c r="H3010" s="6">
        <v>4.8</v>
      </c>
      <c r="I3010" s="6">
        <v>4.8</v>
      </c>
      <c r="J3010" s="6">
        <f>I3010-H3010</f>
        <v>0</v>
      </c>
      <c r="K3010" s="5">
        <f>IF(H3010=0,"",J3010/H3010)</f>
        <v>0</v>
      </c>
      <c r="L3010">
        <f>IF(OR(AND(H3010=0,ABS(J3010)&gt;=0.01),AND(H3010&lt;&gt;0,ABS(K3010)&gt;VarianceThreshold)),"Review","OK")</f>
        <v>0</v>
      </c>
      <c r="M3010" t="s">
        <v>33</v>
      </c>
    </row>
    <row r="3011" spans="1:13">
      <c r="A3011" t="s">
        <v>4</v>
      </c>
      <c r="B3011" t="s">
        <v>779</v>
      </c>
      <c r="C3011" t="s">
        <v>2568</v>
      </c>
      <c r="D3011" t="s">
        <v>1972</v>
      </c>
      <c r="E3011" cm="1">
        <f t="array" ref="E3011">_xlfn.XLOOKUP(D3011,SKU_Master!A:A,SKU_Master!B:B,"Not on master")</f>
        <v>0</v>
      </c>
      <c r="F3011" cm="1">
        <f t="array" ref="F3011">_xlfn.XLOOKUP(C3011,Account_Master!A:A,Account_Master!B:B,"Not on master")</f>
        <v>0</v>
      </c>
      <c r="G3011" cm="1">
        <f t="array" ref="G3011">_xlfn.XLOOKUP(C3011,Account_Master!A:A,Account_Master!C:C,"Not on master")</f>
        <v>0</v>
      </c>
      <c r="H3011" s="6">
        <v>28.5</v>
      </c>
      <c r="I3011" s="6">
        <v>28.5</v>
      </c>
      <c r="J3011" s="6">
        <f>I3011-H3011</f>
        <v>0</v>
      </c>
      <c r="K3011" s="5">
        <f>IF(H3011=0,"",J3011/H3011)</f>
        <v>0</v>
      </c>
      <c r="L3011">
        <f>IF(OR(AND(H3011=0,ABS(J3011)&gt;=0.01),AND(H3011&lt;&gt;0,ABS(K3011)&gt;VarianceThreshold)),"Review","OK")</f>
        <v>0</v>
      </c>
      <c r="M3011" t="s">
        <v>33</v>
      </c>
    </row>
    <row r="3012" spans="1:13">
      <c r="A3012" t="s">
        <v>4</v>
      </c>
      <c r="B3012" t="s">
        <v>788</v>
      </c>
      <c r="C3012" t="s">
        <v>2416</v>
      </c>
      <c r="D3012" t="s">
        <v>1419</v>
      </c>
      <c r="E3012" cm="1">
        <f t="array" ref="E3012">_xlfn.XLOOKUP(D3012,SKU_Master!A:A,SKU_Master!B:B,"Not on master")</f>
        <v>0</v>
      </c>
      <c r="F3012" cm="1">
        <f t="array" ref="F3012">_xlfn.XLOOKUP(C3012,Account_Master!A:A,Account_Master!B:B,"Not on master")</f>
        <v>0</v>
      </c>
      <c r="G3012" cm="1">
        <f t="array" ref="G3012">_xlfn.XLOOKUP(C3012,Account_Master!A:A,Account_Master!C:C,"Not on master")</f>
        <v>0</v>
      </c>
      <c r="H3012" s="6">
        <v>1.5</v>
      </c>
      <c r="I3012" s="6">
        <v>1.5</v>
      </c>
      <c r="J3012" s="6">
        <f>I3012-H3012</f>
        <v>0</v>
      </c>
      <c r="K3012" s="5">
        <f>IF(H3012=0,"",J3012/H3012)</f>
        <v>0</v>
      </c>
      <c r="L3012">
        <f>IF(OR(AND(H3012=0,ABS(J3012)&gt;=0.01),AND(H3012&lt;&gt;0,ABS(K3012)&gt;VarianceThreshold)),"Review","OK")</f>
        <v>0</v>
      </c>
      <c r="M3012" t="s">
        <v>33</v>
      </c>
    </row>
    <row r="3013" spans="1:13">
      <c r="A3013" t="s">
        <v>4</v>
      </c>
      <c r="B3013" t="s">
        <v>788</v>
      </c>
      <c r="C3013" t="s">
        <v>2416</v>
      </c>
      <c r="D3013" t="s">
        <v>831</v>
      </c>
      <c r="E3013" cm="1">
        <f t="array" ref="E3013">_xlfn.XLOOKUP(D3013,SKU_Master!A:A,SKU_Master!B:B,"Not on master")</f>
        <v>0</v>
      </c>
      <c r="F3013" cm="1">
        <f t="array" ref="F3013">_xlfn.XLOOKUP(C3013,Account_Master!A:A,Account_Master!B:B,"Not on master")</f>
        <v>0</v>
      </c>
      <c r="G3013" cm="1">
        <f t="array" ref="G3013">_xlfn.XLOOKUP(C3013,Account_Master!A:A,Account_Master!C:C,"Not on master")</f>
        <v>0</v>
      </c>
      <c r="H3013" s="6">
        <v>0.75</v>
      </c>
      <c r="I3013" s="6">
        <v>0.75</v>
      </c>
      <c r="J3013" s="6">
        <f>I3013-H3013</f>
        <v>0</v>
      </c>
      <c r="K3013" s="5">
        <f>IF(H3013=0,"",J3013/H3013)</f>
        <v>0</v>
      </c>
      <c r="L3013">
        <f>IF(OR(AND(H3013=0,ABS(J3013)&gt;=0.01),AND(H3013&lt;&gt;0,ABS(K3013)&gt;VarianceThreshold)),"Review","OK")</f>
        <v>0</v>
      </c>
      <c r="M3013" t="s">
        <v>33</v>
      </c>
    </row>
    <row r="3014" spans="1:13">
      <c r="A3014" t="s">
        <v>4</v>
      </c>
      <c r="B3014" t="s">
        <v>788</v>
      </c>
      <c r="C3014" t="s">
        <v>2411</v>
      </c>
      <c r="D3014" t="s">
        <v>2685</v>
      </c>
      <c r="E3014" cm="1">
        <f t="array" ref="E3014">_xlfn.XLOOKUP(D3014,SKU_Master!A:A,SKU_Master!B:B,"Not on master")</f>
        <v>0</v>
      </c>
      <c r="F3014" cm="1">
        <f t="array" ref="F3014">_xlfn.XLOOKUP(C3014,Account_Master!A:A,Account_Master!B:B,"Not on master")</f>
        <v>0</v>
      </c>
      <c r="G3014" cm="1">
        <f t="array" ref="G3014">_xlfn.XLOOKUP(C3014,Account_Master!A:A,Account_Master!C:C,"Not on master")</f>
        <v>0</v>
      </c>
      <c r="H3014" s="6">
        <v>25</v>
      </c>
      <c r="I3014" s="6">
        <v>25</v>
      </c>
      <c r="J3014" s="6">
        <f>I3014-H3014</f>
        <v>0</v>
      </c>
      <c r="K3014" s="5">
        <f>IF(H3014=0,"",J3014/H3014)</f>
        <v>0</v>
      </c>
      <c r="L3014">
        <f>IF(OR(AND(H3014=0,ABS(J3014)&gt;=0.01),AND(H3014&lt;&gt;0,ABS(K3014)&gt;VarianceThreshold)),"Review","OK")</f>
        <v>0</v>
      </c>
      <c r="M3014" t="s">
        <v>33</v>
      </c>
    </row>
    <row r="3015" spans="1:13">
      <c r="A3015" t="s">
        <v>4</v>
      </c>
      <c r="B3015" t="s">
        <v>788</v>
      </c>
      <c r="C3015" t="s">
        <v>2410</v>
      </c>
      <c r="D3015" t="s">
        <v>2243</v>
      </c>
      <c r="E3015" cm="1">
        <f t="array" ref="E3015">_xlfn.XLOOKUP(D3015,SKU_Master!A:A,SKU_Master!B:B,"Not on master")</f>
        <v>0</v>
      </c>
      <c r="F3015" cm="1">
        <f t="array" ref="F3015">_xlfn.XLOOKUP(C3015,Account_Master!A:A,Account_Master!B:B,"Not on master")</f>
        <v>0</v>
      </c>
      <c r="G3015" cm="1">
        <f t="array" ref="G3015">_xlfn.XLOOKUP(C3015,Account_Master!A:A,Account_Master!C:C,"Not on master")</f>
        <v>0</v>
      </c>
      <c r="H3015" s="6">
        <v>37.5</v>
      </c>
      <c r="I3015" s="6">
        <v>37.5</v>
      </c>
      <c r="J3015" s="6">
        <f>I3015-H3015</f>
        <v>0</v>
      </c>
      <c r="K3015" s="5">
        <f>IF(H3015=0,"",J3015/H3015)</f>
        <v>0</v>
      </c>
      <c r="L3015">
        <f>IF(OR(AND(H3015=0,ABS(J3015)&gt;=0.01),AND(H3015&lt;&gt;0,ABS(K3015)&gt;VarianceThreshold)),"Review","OK")</f>
        <v>0</v>
      </c>
      <c r="M3015" t="s">
        <v>33</v>
      </c>
    </row>
    <row r="3016" spans="1:13">
      <c r="A3016" t="s">
        <v>4</v>
      </c>
      <c r="B3016" t="s">
        <v>799</v>
      </c>
      <c r="C3016" t="s">
        <v>2533</v>
      </c>
      <c r="D3016" t="s">
        <v>1402</v>
      </c>
      <c r="E3016" cm="1">
        <f t="array" ref="E3016">_xlfn.XLOOKUP(D3016,SKU_Master!A:A,SKU_Master!B:B,"Not on master")</f>
        <v>0</v>
      </c>
      <c r="F3016" cm="1">
        <f t="array" ref="F3016">_xlfn.XLOOKUP(C3016,Account_Master!A:A,Account_Master!B:B,"Not on master")</f>
        <v>0</v>
      </c>
      <c r="G3016" cm="1">
        <f t="array" ref="G3016">_xlfn.XLOOKUP(C3016,Account_Master!A:A,Account_Master!C:C,"Not on master")</f>
        <v>0</v>
      </c>
      <c r="H3016" s="6">
        <v>70.59999999999999</v>
      </c>
      <c r="I3016" s="6">
        <v>70.59999999999999</v>
      </c>
      <c r="J3016" s="6">
        <f>I3016-H3016</f>
        <v>0</v>
      </c>
      <c r="K3016" s="5">
        <f>IF(H3016=0,"",J3016/H3016)</f>
        <v>0</v>
      </c>
      <c r="L3016">
        <f>IF(OR(AND(H3016=0,ABS(J3016)&gt;=0.01),AND(H3016&lt;&gt;0,ABS(K3016)&gt;VarianceThreshold)),"Review","OK")</f>
        <v>0</v>
      </c>
      <c r="M3016" t="s">
        <v>33</v>
      </c>
    </row>
    <row r="3017" spans="1:13">
      <c r="A3017" t="s">
        <v>4</v>
      </c>
      <c r="B3017" t="s">
        <v>799</v>
      </c>
      <c r="C3017" t="s">
        <v>2686</v>
      </c>
      <c r="D3017" t="s">
        <v>1404</v>
      </c>
      <c r="E3017" cm="1">
        <f t="array" ref="E3017">_xlfn.XLOOKUP(D3017,SKU_Master!A:A,SKU_Master!B:B,"Not on master")</f>
        <v>0</v>
      </c>
      <c r="F3017" cm="1">
        <f t="array" ref="F3017">_xlfn.XLOOKUP(C3017,Account_Master!A:A,Account_Master!B:B,"Not on master")</f>
        <v>0</v>
      </c>
      <c r="G3017" cm="1">
        <f t="array" ref="G3017">_xlfn.XLOOKUP(C3017,Account_Master!A:A,Account_Master!C:C,"Not on master")</f>
        <v>0</v>
      </c>
      <c r="H3017" s="6">
        <v>2089.5</v>
      </c>
      <c r="I3017" s="6">
        <v>2089.5</v>
      </c>
      <c r="J3017" s="6">
        <f>I3017-H3017</f>
        <v>0</v>
      </c>
      <c r="K3017" s="5">
        <f>IF(H3017=0,"",J3017/H3017)</f>
        <v>0</v>
      </c>
      <c r="L3017">
        <f>IF(OR(AND(H3017=0,ABS(J3017)&gt;=0.01),AND(H3017&lt;&gt;0,ABS(K3017)&gt;VarianceThreshold)),"Review","OK")</f>
        <v>0</v>
      </c>
      <c r="M3017" t="s">
        <v>33</v>
      </c>
    </row>
    <row r="3018" spans="1:13">
      <c r="A3018" t="s">
        <v>4</v>
      </c>
      <c r="B3018" t="s">
        <v>799</v>
      </c>
      <c r="C3018" t="s">
        <v>2416</v>
      </c>
      <c r="D3018" t="s">
        <v>2687</v>
      </c>
      <c r="E3018" cm="1">
        <f t="array" ref="E3018">_xlfn.XLOOKUP(D3018,SKU_Master!A:A,SKU_Master!B:B,"Not on master")</f>
        <v>0</v>
      </c>
      <c r="F3018" cm="1">
        <f t="array" ref="F3018">_xlfn.XLOOKUP(C3018,Account_Master!A:A,Account_Master!B:B,"Not on master")</f>
        <v>0</v>
      </c>
      <c r="G3018" cm="1">
        <f t="array" ref="G3018">_xlfn.XLOOKUP(C3018,Account_Master!A:A,Account_Master!C:C,"Not on master")</f>
        <v>0</v>
      </c>
      <c r="H3018" s="6">
        <v>0.7</v>
      </c>
      <c r="I3018" s="6">
        <v>0.7</v>
      </c>
      <c r="J3018" s="6">
        <f>I3018-H3018</f>
        <v>0</v>
      </c>
      <c r="K3018" s="5">
        <f>IF(H3018=0,"",J3018/H3018)</f>
        <v>0</v>
      </c>
      <c r="L3018">
        <f>IF(OR(AND(H3018=0,ABS(J3018)&gt;=0.01),AND(H3018&lt;&gt;0,ABS(K3018)&gt;VarianceThreshold)),"Review","OK")</f>
        <v>0</v>
      </c>
      <c r="M3018" t="s">
        <v>33</v>
      </c>
    </row>
    <row r="3019" spans="1:13">
      <c r="A3019" t="s">
        <v>4</v>
      </c>
      <c r="B3019" t="s">
        <v>799</v>
      </c>
      <c r="C3019" t="s">
        <v>2448</v>
      </c>
      <c r="D3019" t="s">
        <v>1630</v>
      </c>
      <c r="E3019" cm="1">
        <f t="array" ref="E3019">_xlfn.XLOOKUP(D3019,SKU_Master!A:A,SKU_Master!B:B,"Not on master")</f>
        <v>0</v>
      </c>
      <c r="F3019" cm="1">
        <f t="array" ref="F3019">_xlfn.XLOOKUP(C3019,Account_Master!A:A,Account_Master!B:B,"Not on master")</f>
        <v>0</v>
      </c>
      <c r="G3019" cm="1">
        <f t="array" ref="G3019">_xlfn.XLOOKUP(C3019,Account_Master!A:A,Account_Master!C:C,"Not on master")</f>
        <v>0</v>
      </c>
      <c r="H3019" s="6">
        <v>4.5</v>
      </c>
      <c r="I3019" s="6">
        <v>4.5</v>
      </c>
      <c r="J3019" s="6">
        <f>I3019-H3019</f>
        <v>0</v>
      </c>
      <c r="K3019" s="5">
        <f>IF(H3019=0,"",J3019/H3019)</f>
        <v>0</v>
      </c>
      <c r="L3019">
        <f>IF(OR(AND(H3019=0,ABS(J3019)&gt;=0.01),AND(H3019&lt;&gt;0,ABS(K3019)&gt;VarianceThreshold)),"Review","OK")</f>
        <v>0</v>
      </c>
      <c r="M3019" t="s">
        <v>33</v>
      </c>
    </row>
    <row r="3020" spans="1:13">
      <c r="A3020" t="s">
        <v>4</v>
      </c>
      <c r="B3020" t="s">
        <v>799</v>
      </c>
      <c r="C3020" t="s">
        <v>2455</v>
      </c>
      <c r="D3020" t="s">
        <v>1907</v>
      </c>
      <c r="E3020" cm="1">
        <f t="array" ref="E3020">_xlfn.XLOOKUP(D3020,SKU_Master!A:A,SKU_Master!B:B,"Not on master")</f>
        <v>0</v>
      </c>
      <c r="F3020" cm="1">
        <f t="array" ref="F3020">_xlfn.XLOOKUP(C3020,Account_Master!A:A,Account_Master!B:B,"Not on master")</f>
        <v>0</v>
      </c>
      <c r="G3020" cm="1">
        <f t="array" ref="G3020">_xlfn.XLOOKUP(C3020,Account_Master!A:A,Account_Master!C:C,"Not on master")</f>
        <v>0</v>
      </c>
      <c r="H3020" s="6">
        <v>3</v>
      </c>
      <c r="I3020" s="6">
        <v>3</v>
      </c>
      <c r="J3020" s="6">
        <f>I3020-H3020</f>
        <v>0</v>
      </c>
      <c r="K3020" s="5">
        <f>IF(H3020=0,"",J3020/H3020)</f>
        <v>0</v>
      </c>
      <c r="L3020">
        <f>IF(OR(AND(H3020=0,ABS(J3020)&gt;=0.01),AND(H3020&lt;&gt;0,ABS(K3020)&gt;VarianceThreshold)),"Review","OK")</f>
        <v>0</v>
      </c>
      <c r="M3020" t="s">
        <v>33</v>
      </c>
    </row>
    <row r="3021" spans="1:13">
      <c r="A3021" t="s">
        <v>4</v>
      </c>
      <c r="B3021" t="s">
        <v>799</v>
      </c>
      <c r="C3021" t="s">
        <v>2449</v>
      </c>
      <c r="D3021" t="s">
        <v>2064</v>
      </c>
      <c r="E3021" cm="1">
        <f t="array" ref="E3021">_xlfn.XLOOKUP(D3021,SKU_Master!A:A,SKU_Master!B:B,"Not on master")</f>
        <v>0</v>
      </c>
      <c r="F3021" cm="1">
        <f t="array" ref="F3021">_xlfn.XLOOKUP(C3021,Account_Master!A:A,Account_Master!B:B,"Not on master")</f>
        <v>0</v>
      </c>
      <c r="G3021" cm="1">
        <f t="array" ref="G3021">_xlfn.XLOOKUP(C3021,Account_Master!A:A,Account_Master!C:C,"Not on master")</f>
        <v>0</v>
      </c>
      <c r="H3021" s="6">
        <v>4.8</v>
      </c>
      <c r="I3021" s="6">
        <v>4.8</v>
      </c>
      <c r="J3021" s="6">
        <f>I3021-H3021</f>
        <v>0</v>
      </c>
      <c r="K3021" s="5">
        <f>IF(H3021=0,"",J3021/H3021)</f>
        <v>0</v>
      </c>
      <c r="L3021">
        <f>IF(OR(AND(H3021=0,ABS(J3021)&gt;=0.01),AND(H3021&lt;&gt;0,ABS(K3021)&gt;VarianceThreshold)),"Review","OK")</f>
        <v>0</v>
      </c>
      <c r="M3021" t="s">
        <v>33</v>
      </c>
    </row>
    <row r="3022" spans="1:13">
      <c r="A3022" t="s">
        <v>4</v>
      </c>
      <c r="B3022" t="s">
        <v>799</v>
      </c>
      <c r="C3022" t="s">
        <v>2410</v>
      </c>
      <c r="D3022" t="s">
        <v>310</v>
      </c>
      <c r="E3022" cm="1">
        <f t="array" ref="E3022">_xlfn.XLOOKUP(D3022,SKU_Master!A:A,SKU_Master!B:B,"Not on master")</f>
        <v>0</v>
      </c>
      <c r="F3022" cm="1">
        <f t="array" ref="F3022">_xlfn.XLOOKUP(C3022,Account_Master!A:A,Account_Master!B:B,"Not on master")</f>
        <v>0</v>
      </c>
      <c r="G3022" cm="1">
        <f t="array" ref="G3022">_xlfn.XLOOKUP(C3022,Account_Master!A:A,Account_Master!C:C,"Not on master")</f>
        <v>0</v>
      </c>
      <c r="H3022" s="6">
        <v>16.5</v>
      </c>
      <c r="I3022" s="6">
        <v>16.5</v>
      </c>
      <c r="J3022" s="6">
        <f>I3022-H3022</f>
        <v>0</v>
      </c>
      <c r="K3022" s="5">
        <f>IF(H3022=0,"",J3022/H3022)</f>
        <v>0</v>
      </c>
      <c r="L3022">
        <f>IF(OR(AND(H3022=0,ABS(J3022)&gt;=0.01),AND(H3022&lt;&gt;0,ABS(K3022)&gt;VarianceThreshold)),"Review","OK")</f>
        <v>0</v>
      </c>
      <c r="M3022" t="s">
        <v>33</v>
      </c>
    </row>
    <row r="3023" spans="1:13">
      <c r="A3023" t="s">
        <v>4</v>
      </c>
      <c r="B3023" t="s">
        <v>799</v>
      </c>
      <c r="C3023" t="s">
        <v>2449</v>
      </c>
      <c r="D3023" t="s">
        <v>1260</v>
      </c>
      <c r="E3023" cm="1">
        <f t="array" ref="E3023">_xlfn.XLOOKUP(D3023,SKU_Master!A:A,SKU_Master!B:B,"Not on master")</f>
        <v>0</v>
      </c>
      <c r="F3023" cm="1">
        <f t="array" ref="F3023">_xlfn.XLOOKUP(C3023,Account_Master!A:A,Account_Master!B:B,"Not on master")</f>
        <v>0</v>
      </c>
      <c r="G3023" cm="1">
        <f t="array" ref="G3023">_xlfn.XLOOKUP(C3023,Account_Master!A:A,Account_Master!C:C,"Not on master")</f>
        <v>0</v>
      </c>
      <c r="H3023" s="6">
        <v>1.5</v>
      </c>
      <c r="I3023" s="6">
        <v>1.5</v>
      </c>
      <c r="J3023" s="6">
        <f>I3023-H3023</f>
        <v>0</v>
      </c>
      <c r="K3023" s="5">
        <f>IF(H3023=0,"",J3023/H3023)</f>
        <v>0</v>
      </c>
      <c r="L3023">
        <f>IF(OR(AND(H3023=0,ABS(J3023)&gt;=0.01),AND(H3023&lt;&gt;0,ABS(K3023)&gt;VarianceThreshold)),"Review","OK")</f>
        <v>0</v>
      </c>
      <c r="M3023" t="s">
        <v>33</v>
      </c>
    </row>
    <row r="3024" spans="1:13">
      <c r="A3024" t="s">
        <v>4</v>
      </c>
      <c r="B3024" t="s">
        <v>799</v>
      </c>
      <c r="C3024" t="s">
        <v>2533</v>
      </c>
      <c r="D3024" t="s">
        <v>102</v>
      </c>
      <c r="E3024" cm="1">
        <f t="array" ref="E3024">_xlfn.XLOOKUP(D3024,SKU_Master!A:A,SKU_Master!B:B,"Not on master")</f>
        <v>0</v>
      </c>
      <c r="F3024" cm="1">
        <f t="array" ref="F3024">_xlfn.XLOOKUP(C3024,Account_Master!A:A,Account_Master!B:B,"Not on master")</f>
        <v>0</v>
      </c>
      <c r="G3024" cm="1">
        <f t="array" ref="G3024">_xlfn.XLOOKUP(C3024,Account_Master!A:A,Account_Master!C:C,"Not on master")</f>
        <v>0</v>
      </c>
      <c r="H3024" s="6">
        <v>0.15</v>
      </c>
      <c r="I3024" s="6">
        <v>0.15</v>
      </c>
      <c r="J3024" s="6">
        <f>I3024-H3024</f>
        <v>0</v>
      </c>
      <c r="K3024" s="5">
        <f>IF(H3024=0,"",J3024/H3024)</f>
        <v>0</v>
      </c>
      <c r="L3024">
        <f>IF(OR(AND(H3024=0,ABS(J3024)&gt;=0.01),AND(H3024&lt;&gt;0,ABS(K3024)&gt;VarianceThreshold)),"Review","OK")</f>
        <v>0</v>
      </c>
      <c r="M3024" t="s">
        <v>33</v>
      </c>
    </row>
    <row r="3025" spans="1:13">
      <c r="A3025" t="s">
        <v>4</v>
      </c>
      <c r="B3025" t="s">
        <v>805</v>
      </c>
      <c r="C3025" t="s">
        <v>2490</v>
      </c>
      <c r="D3025" t="s">
        <v>1492</v>
      </c>
      <c r="E3025" cm="1">
        <f t="array" ref="E3025">_xlfn.XLOOKUP(D3025,SKU_Master!A:A,SKU_Master!B:B,"Not on master")</f>
        <v>0</v>
      </c>
      <c r="F3025" cm="1">
        <f t="array" ref="F3025">_xlfn.XLOOKUP(C3025,Account_Master!A:A,Account_Master!B:B,"Not on master")</f>
        <v>0</v>
      </c>
      <c r="G3025" cm="1">
        <f t="array" ref="G3025">_xlfn.XLOOKUP(C3025,Account_Master!A:A,Account_Master!C:C,"Not on master")</f>
        <v>0</v>
      </c>
      <c r="H3025" s="6">
        <v>1.5</v>
      </c>
      <c r="I3025" s="6">
        <v>1.5</v>
      </c>
      <c r="J3025" s="6">
        <f>I3025-H3025</f>
        <v>0</v>
      </c>
      <c r="K3025" s="5">
        <f>IF(H3025=0,"",J3025/H3025)</f>
        <v>0</v>
      </c>
      <c r="L3025">
        <f>IF(OR(AND(H3025=0,ABS(J3025)&gt;=0.01),AND(H3025&lt;&gt;0,ABS(K3025)&gt;VarianceThreshold)),"Review","OK")</f>
        <v>0</v>
      </c>
      <c r="M3025" t="s">
        <v>33</v>
      </c>
    </row>
    <row r="3026" spans="1:13">
      <c r="A3026" t="s">
        <v>4</v>
      </c>
      <c r="B3026" t="s">
        <v>805</v>
      </c>
      <c r="C3026" t="s">
        <v>2414</v>
      </c>
      <c r="D3026" t="s">
        <v>1933</v>
      </c>
      <c r="E3026" cm="1">
        <f t="array" ref="E3026">_xlfn.XLOOKUP(D3026,SKU_Master!A:A,SKU_Master!B:B,"Not on master")</f>
        <v>0</v>
      </c>
      <c r="F3026" cm="1">
        <f t="array" ref="F3026">_xlfn.XLOOKUP(C3026,Account_Master!A:A,Account_Master!B:B,"Not on master")</f>
        <v>0</v>
      </c>
      <c r="G3026" cm="1">
        <f t="array" ref="G3026">_xlfn.XLOOKUP(C3026,Account_Master!A:A,Account_Master!C:C,"Not on master")</f>
        <v>0</v>
      </c>
      <c r="H3026" s="6">
        <v>141.75</v>
      </c>
      <c r="I3026" s="6">
        <v>141.75</v>
      </c>
      <c r="J3026" s="6">
        <f>I3026-H3026</f>
        <v>0</v>
      </c>
      <c r="K3026" s="5">
        <f>IF(H3026=0,"",J3026/H3026)</f>
        <v>0</v>
      </c>
      <c r="L3026">
        <f>IF(OR(AND(H3026=0,ABS(J3026)&gt;=0.01),AND(H3026&lt;&gt;0,ABS(K3026)&gt;VarianceThreshold)),"Review","OK")</f>
        <v>0</v>
      </c>
      <c r="M3026" t="s">
        <v>33</v>
      </c>
    </row>
    <row r="3027" spans="1:13">
      <c r="A3027" t="s">
        <v>4</v>
      </c>
      <c r="B3027" t="s">
        <v>805</v>
      </c>
      <c r="C3027" t="s">
        <v>2432</v>
      </c>
      <c r="D3027" t="s">
        <v>1006</v>
      </c>
      <c r="E3027" cm="1">
        <f t="array" ref="E3027">_xlfn.XLOOKUP(D3027,SKU_Master!A:A,SKU_Master!B:B,"Not on master")</f>
        <v>0</v>
      </c>
      <c r="F3027" cm="1">
        <f t="array" ref="F3027">_xlfn.XLOOKUP(C3027,Account_Master!A:A,Account_Master!B:B,"Not on master")</f>
        <v>0</v>
      </c>
      <c r="G3027" cm="1">
        <f t="array" ref="G3027">_xlfn.XLOOKUP(C3027,Account_Master!A:A,Account_Master!C:C,"Not on master")</f>
        <v>0</v>
      </c>
      <c r="H3027" s="6">
        <v>10.5</v>
      </c>
      <c r="I3027" s="6">
        <v>10.5</v>
      </c>
      <c r="J3027" s="6">
        <f>I3027-H3027</f>
        <v>0</v>
      </c>
      <c r="K3027" s="5">
        <f>IF(H3027=0,"",J3027/H3027)</f>
        <v>0</v>
      </c>
      <c r="L3027">
        <f>IF(OR(AND(H3027=0,ABS(J3027)&gt;=0.01),AND(H3027&lt;&gt;0,ABS(K3027)&gt;VarianceThreshold)),"Review","OK")</f>
        <v>0</v>
      </c>
      <c r="M3027" t="s">
        <v>33</v>
      </c>
    </row>
    <row r="3028" spans="1:13">
      <c r="A3028" t="s">
        <v>4</v>
      </c>
      <c r="B3028" t="s">
        <v>814</v>
      </c>
      <c r="C3028" t="s">
        <v>2593</v>
      </c>
      <c r="D3028" t="s">
        <v>51</v>
      </c>
      <c r="E3028" cm="1">
        <f t="array" ref="E3028">_xlfn.XLOOKUP(D3028,SKU_Master!A:A,SKU_Master!B:B,"Not on master")</f>
        <v>0</v>
      </c>
      <c r="F3028" cm="1">
        <f t="array" ref="F3028">_xlfn.XLOOKUP(C3028,Account_Master!A:A,Account_Master!B:B,"Not on master")</f>
        <v>0</v>
      </c>
      <c r="G3028" cm="1">
        <f t="array" ref="G3028">_xlfn.XLOOKUP(C3028,Account_Master!A:A,Account_Master!C:C,"Not on master")</f>
        <v>0</v>
      </c>
      <c r="H3028" s="6">
        <v>19.5</v>
      </c>
      <c r="I3028" s="6">
        <v>19.5</v>
      </c>
      <c r="J3028" s="6">
        <f>I3028-H3028</f>
        <v>0</v>
      </c>
      <c r="K3028" s="5">
        <f>IF(H3028=0,"",J3028/H3028)</f>
        <v>0</v>
      </c>
      <c r="L3028">
        <f>IF(OR(AND(H3028=0,ABS(J3028)&gt;=0.01),AND(H3028&lt;&gt;0,ABS(K3028)&gt;VarianceThreshold)),"Review","OK")</f>
        <v>0</v>
      </c>
      <c r="M3028" t="s">
        <v>33</v>
      </c>
    </row>
    <row r="3029" spans="1:13">
      <c r="A3029" t="s">
        <v>4</v>
      </c>
      <c r="B3029" t="s">
        <v>814</v>
      </c>
      <c r="C3029" t="s">
        <v>2418</v>
      </c>
      <c r="D3029" t="s">
        <v>652</v>
      </c>
      <c r="E3029" cm="1">
        <f t="array" ref="E3029">_xlfn.XLOOKUP(D3029,SKU_Master!A:A,SKU_Master!B:B,"Not on master")</f>
        <v>0</v>
      </c>
      <c r="F3029" cm="1">
        <f t="array" ref="F3029">_xlfn.XLOOKUP(C3029,Account_Master!A:A,Account_Master!B:B,"Not on master")</f>
        <v>0</v>
      </c>
      <c r="G3029" cm="1">
        <f t="array" ref="G3029">_xlfn.XLOOKUP(C3029,Account_Master!A:A,Account_Master!C:C,"Not on master")</f>
        <v>0</v>
      </c>
      <c r="H3029" s="6">
        <v>25.12</v>
      </c>
      <c r="I3029" s="6">
        <v>25.12</v>
      </c>
      <c r="J3029" s="6">
        <f>I3029-H3029</f>
        <v>0</v>
      </c>
      <c r="K3029" s="5">
        <f>IF(H3029=0,"",J3029/H3029)</f>
        <v>0</v>
      </c>
      <c r="L3029">
        <f>IF(OR(AND(H3029=0,ABS(J3029)&gt;=0.01),AND(H3029&lt;&gt;0,ABS(K3029)&gt;VarianceThreshold)),"Review","OK")</f>
        <v>0</v>
      </c>
      <c r="M3029" t="s">
        <v>33</v>
      </c>
    </row>
    <row r="3030" spans="1:13">
      <c r="A3030" t="s">
        <v>4</v>
      </c>
      <c r="B3030" t="s">
        <v>814</v>
      </c>
      <c r="C3030" t="s">
        <v>2612</v>
      </c>
      <c r="D3030" t="s">
        <v>561</v>
      </c>
      <c r="E3030" cm="1">
        <f t="array" ref="E3030">_xlfn.XLOOKUP(D3030,SKU_Master!A:A,SKU_Master!B:B,"Not on master")</f>
        <v>0</v>
      </c>
      <c r="F3030" cm="1">
        <f t="array" ref="F3030">_xlfn.XLOOKUP(C3030,Account_Master!A:A,Account_Master!B:B,"Not on master")</f>
        <v>0</v>
      </c>
      <c r="G3030" cm="1">
        <f t="array" ref="G3030">_xlfn.XLOOKUP(C3030,Account_Master!A:A,Account_Master!C:C,"Not on master")</f>
        <v>0</v>
      </c>
      <c r="H3030" s="6">
        <v>66.5</v>
      </c>
      <c r="I3030" s="6">
        <v>66.5</v>
      </c>
      <c r="J3030" s="6">
        <f>I3030-H3030</f>
        <v>0</v>
      </c>
      <c r="K3030" s="5">
        <f>IF(H3030=0,"",J3030/H3030)</f>
        <v>0</v>
      </c>
      <c r="L3030">
        <f>IF(OR(AND(H3030=0,ABS(J3030)&gt;=0.01),AND(H3030&lt;&gt;0,ABS(K3030)&gt;VarianceThreshold)),"Review","OK")</f>
        <v>0</v>
      </c>
      <c r="M3030" t="s">
        <v>33</v>
      </c>
    </row>
    <row r="3031" spans="1:13">
      <c r="A3031" t="s">
        <v>4</v>
      </c>
      <c r="B3031" t="s">
        <v>814</v>
      </c>
      <c r="C3031" t="s">
        <v>2688</v>
      </c>
      <c r="D3031" t="s">
        <v>2689</v>
      </c>
      <c r="E3031" cm="1">
        <f t="array" ref="E3031">_xlfn.XLOOKUP(D3031,SKU_Master!A:A,SKU_Master!B:B,"Not on master")</f>
        <v>0</v>
      </c>
      <c r="F3031" cm="1">
        <f t="array" ref="F3031">_xlfn.XLOOKUP(C3031,Account_Master!A:A,Account_Master!B:B,"Not on master")</f>
        <v>0</v>
      </c>
      <c r="G3031" cm="1">
        <f t="array" ref="G3031">_xlfn.XLOOKUP(C3031,Account_Master!A:A,Account_Master!C:C,"Not on master")</f>
        <v>0</v>
      </c>
      <c r="H3031" s="6">
        <v>5.8</v>
      </c>
      <c r="I3031" s="6">
        <v>5.8</v>
      </c>
      <c r="J3031" s="6">
        <f>I3031-H3031</f>
        <v>0</v>
      </c>
      <c r="K3031" s="5">
        <f>IF(H3031=0,"",J3031/H3031)</f>
        <v>0</v>
      </c>
      <c r="L3031">
        <f>IF(OR(AND(H3031=0,ABS(J3031)&gt;=0.01),AND(H3031&lt;&gt;0,ABS(K3031)&gt;VarianceThreshold)),"Review","OK")</f>
        <v>0</v>
      </c>
      <c r="M3031" t="s">
        <v>33</v>
      </c>
    </row>
    <row r="3032" spans="1:13">
      <c r="A3032" t="s">
        <v>4</v>
      </c>
      <c r="B3032" t="s">
        <v>814</v>
      </c>
      <c r="C3032" t="s">
        <v>2472</v>
      </c>
      <c r="D3032" t="s">
        <v>1336</v>
      </c>
      <c r="E3032" cm="1">
        <f t="array" ref="E3032">_xlfn.XLOOKUP(D3032,SKU_Master!A:A,SKU_Master!B:B,"Not on master")</f>
        <v>0</v>
      </c>
      <c r="F3032" cm="1">
        <f t="array" ref="F3032">_xlfn.XLOOKUP(C3032,Account_Master!A:A,Account_Master!B:B,"Not on master")</f>
        <v>0</v>
      </c>
      <c r="G3032" cm="1">
        <f t="array" ref="G3032">_xlfn.XLOOKUP(C3032,Account_Master!A:A,Account_Master!C:C,"Not on master")</f>
        <v>0</v>
      </c>
      <c r="H3032" s="6">
        <v>0.75</v>
      </c>
      <c r="I3032" s="6">
        <v>0.75</v>
      </c>
      <c r="J3032" s="6">
        <f>I3032-H3032</f>
        <v>0</v>
      </c>
      <c r="K3032" s="5">
        <f>IF(H3032=0,"",J3032/H3032)</f>
        <v>0</v>
      </c>
      <c r="L3032">
        <f>IF(OR(AND(H3032=0,ABS(J3032)&gt;=0.01),AND(H3032&lt;&gt;0,ABS(K3032)&gt;VarianceThreshold)),"Review","OK")</f>
        <v>0</v>
      </c>
      <c r="M3032" t="s">
        <v>33</v>
      </c>
    </row>
    <row r="3033" spans="1:13">
      <c r="A3033" t="s">
        <v>4</v>
      </c>
      <c r="B3033" t="s">
        <v>814</v>
      </c>
      <c r="C3033" t="s">
        <v>2476</v>
      </c>
      <c r="D3033" t="s">
        <v>2690</v>
      </c>
      <c r="E3033" cm="1">
        <f t="array" ref="E3033">_xlfn.XLOOKUP(D3033,SKU_Master!A:A,SKU_Master!B:B,"Not on master")</f>
        <v>0</v>
      </c>
      <c r="F3033" cm="1">
        <f t="array" ref="F3033">_xlfn.XLOOKUP(C3033,Account_Master!A:A,Account_Master!B:B,"Not on master")</f>
        <v>0</v>
      </c>
      <c r="G3033" cm="1">
        <f t="array" ref="G3033">_xlfn.XLOOKUP(C3033,Account_Master!A:A,Account_Master!C:C,"Not on master")</f>
        <v>0</v>
      </c>
      <c r="H3033" s="6">
        <v>1.5</v>
      </c>
      <c r="I3033" s="6">
        <v>1.5</v>
      </c>
      <c r="J3033" s="6">
        <f>I3033-H3033</f>
        <v>0</v>
      </c>
      <c r="K3033" s="5">
        <f>IF(H3033=0,"",J3033/H3033)</f>
        <v>0</v>
      </c>
      <c r="L3033">
        <f>IF(OR(AND(H3033=0,ABS(J3033)&gt;=0.01),AND(H3033&lt;&gt;0,ABS(K3033)&gt;VarianceThreshold)),"Review","OK")</f>
        <v>0</v>
      </c>
      <c r="M3033" t="s">
        <v>33</v>
      </c>
    </row>
    <row r="3034" spans="1:13">
      <c r="A3034" t="s">
        <v>4</v>
      </c>
      <c r="B3034" t="s">
        <v>829</v>
      </c>
      <c r="C3034" t="s">
        <v>2691</v>
      </c>
      <c r="D3034" t="s">
        <v>1094</v>
      </c>
      <c r="E3034" cm="1">
        <f t="array" ref="E3034">_xlfn.XLOOKUP(D3034,SKU_Master!A:A,SKU_Master!B:B,"Not on master")</f>
        <v>0</v>
      </c>
      <c r="F3034" cm="1">
        <f t="array" ref="F3034">_xlfn.XLOOKUP(C3034,Account_Master!A:A,Account_Master!B:B,"Not on master")</f>
        <v>0</v>
      </c>
      <c r="G3034" cm="1">
        <f t="array" ref="G3034">_xlfn.XLOOKUP(C3034,Account_Master!A:A,Account_Master!C:C,"Not on master")</f>
        <v>0</v>
      </c>
      <c r="H3034" s="6">
        <v>0.75</v>
      </c>
      <c r="I3034" s="6">
        <v>0.75</v>
      </c>
      <c r="J3034" s="6">
        <f>I3034-H3034</f>
        <v>0</v>
      </c>
      <c r="K3034" s="5">
        <f>IF(H3034=0,"",J3034/H3034)</f>
        <v>0</v>
      </c>
      <c r="L3034">
        <f>IF(OR(AND(H3034=0,ABS(J3034)&gt;=0.01),AND(H3034&lt;&gt;0,ABS(K3034)&gt;VarianceThreshold)),"Review","OK")</f>
        <v>0</v>
      </c>
      <c r="M3034" t="s">
        <v>33</v>
      </c>
    </row>
    <row r="3035" spans="1:13">
      <c r="A3035" t="s">
        <v>4</v>
      </c>
      <c r="B3035" t="s">
        <v>829</v>
      </c>
      <c r="C3035" t="s">
        <v>2515</v>
      </c>
      <c r="D3035" t="s">
        <v>406</v>
      </c>
      <c r="E3035" cm="1">
        <f t="array" ref="E3035">_xlfn.XLOOKUP(D3035,SKU_Master!A:A,SKU_Master!B:B,"Not on master")</f>
        <v>0</v>
      </c>
      <c r="F3035" cm="1">
        <f t="array" ref="F3035">_xlfn.XLOOKUP(C3035,Account_Master!A:A,Account_Master!B:B,"Not on master")</f>
        <v>0</v>
      </c>
      <c r="G3035" cm="1">
        <f t="array" ref="G3035">_xlfn.XLOOKUP(C3035,Account_Master!A:A,Account_Master!C:C,"Not on master")</f>
        <v>0</v>
      </c>
      <c r="H3035" s="6">
        <v>73.5</v>
      </c>
      <c r="I3035" s="6">
        <v>73.5</v>
      </c>
      <c r="J3035" s="6">
        <f>I3035-H3035</f>
        <v>0</v>
      </c>
      <c r="K3035" s="5">
        <f>IF(H3035=0,"",J3035/H3035)</f>
        <v>0</v>
      </c>
      <c r="L3035">
        <f>IF(OR(AND(H3035=0,ABS(J3035)&gt;=0.01),AND(H3035&lt;&gt;0,ABS(K3035)&gt;VarianceThreshold)),"Review","OK")</f>
        <v>0</v>
      </c>
      <c r="M3035" t="s">
        <v>33</v>
      </c>
    </row>
    <row r="3036" spans="1:13">
      <c r="A3036" t="s">
        <v>4</v>
      </c>
      <c r="B3036" t="s">
        <v>829</v>
      </c>
      <c r="C3036" t="s">
        <v>2476</v>
      </c>
      <c r="D3036" t="s">
        <v>733</v>
      </c>
      <c r="E3036" cm="1">
        <f t="array" ref="E3036">_xlfn.XLOOKUP(D3036,SKU_Master!A:A,SKU_Master!B:B,"Not on master")</f>
        <v>0</v>
      </c>
      <c r="F3036" cm="1">
        <f t="array" ref="F3036">_xlfn.XLOOKUP(C3036,Account_Master!A:A,Account_Master!B:B,"Not on master")</f>
        <v>0</v>
      </c>
      <c r="G3036" cm="1">
        <f t="array" ref="G3036">_xlfn.XLOOKUP(C3036,Account_Master!A:A,Account_Master!C:C,"Not on master")</f>
        <v>0</v>
      </c>
      <c r="H3036" s="6">
        <v>11.25</v>
      </c>
      <c r="I3036" s="6">
        <v>11.25</v>
      </c>
      <c r="J3036" s="6">
        <f>I3036-H3036</f>
        <v>0</v>
      </c>
      <c r="K3036" s="5">
        <f>IF(H3036=0,"",J3036/H3036)</f>
        <v>0</v>
      </c>
      <c r="L3036">
        <f>IF(OR(AND(H3036=0,ABS(J3036)&gt;=0.01),AND(H3036&lt;&gt;0,ABS(K3036)&gt;VarianceThreshold)),"Review","OK")</f>
        <v>0</v>
      </c>
      <c r="M3036" t="s">
        <v>33</v>
      </c>
    </row>
    <row r="3037" spans="1:13">
      <c r="A3037" t="s">
        <v>4</v>
      </c>
      <c r="B3037" t="s">
        <v>836</v>
      </c>
      <c r="C3037" t="s">
        <v>2457</v>
      </c>
      <c r="D3037" t="s">
        <v>1351</v>
      </c>
      <c r="E3037" cm="1">
        <f t="array" ref="E3037">_xlfn.XLOOKUP(D3037,SKU_Master!A:A,SKU_Master!B:B,"Not on master")</f>
        <v>0</v>
      </c>
      <c r="F3037" cm="1">
        <f t="array" ref="F3037">_xlfn.XLOOKUP(C3037,Account_Master!A:A,Account_Master!B:B,"Not on master")</f>
        <v>0</v>
      </c>
      <c r="G3037" cm="1">
        <f t="array" ref="G3037">_xlfn.XLOOKUP(C3037,Account_Master!A:A,Account_Master!C:C,"Not on master")</f>
        <v>0</v>
      </c>
      <c r="H3037" s="6">
        <v>15.75</v>
      </c>
      <c r="I3037" s="6">
        <v>15.75</v>
      </c>
      <c r="J3037" s="6">
        <f>I3037-H3037</f>
        <v>0</v>
      </c>
      <c r="K3037" s="5">
        <f>IF(H3037=0,"",J3037/H3037)</f>
        <v>0</v>
      </c>
      <c r="L3037">
        <f>IF(OR(AND(H3037=0,ABS(J3037)&gt;=0.01),AND(H3037&lt;&gt;0,ABS(K3037)&gt;VarianceThreshold)),"Review","OK")</f>
        <v>0</v>
      </c>
      <c r="M3037" t="s">
        <v>33</v>
      </c>
    </row>
    <row r="3038" spans="1:13">
      <c r="A3038" t="s">
        <v>4</v>
      </c>
      <c r="B3038" t="s">
        <v>836</v>
      </c>
      <c r="C3038" t="s">
        <v>2593</v>
      </c>
      <c r="D3038" t="s">
        <v>300</v>
      </c>
      <c r="E3038" cm="1">
        <f t="array" ref="E3038">_xlfn.XLOOKUP(D3038,SKU_Master!A:A,SKU_Master!B:B,"Not on master")</f>
        <v>0</v>
      </c>
      <c r="F3038" cm="1">
        <f t="array" ref="F3038">_xlfn.XLOOKUP(C3038,Account_Master!A:A,Account_Master!B:B,"Not on master")</f>
        <v>0</v>
      </c>
      <c r="G3038" cm="1">
        <f t="array" ref="G3038">_xlfn.XLOOKUP(C3038,Account_Master!A:A,Account_Master!C:C,"Not on master")</f>
        <v>0</v>
      </c>
      <c r="H3038" s="6">
        <v>18</v>
      </c>
      <c r="I3038" s="6">
        <v>18</v>
      </c>
      <c r="J3038" s="6">
        <f>I3038-H3038</f>
        <v>0</v>
      </c>
      <c r="K3038" s="5">
        <f>IF(H3038=0,"",J3038/H3038)</f>
        <v>0</v>
      </c>
      <c r="L3038">
        <f>IF(OR(AND(H3038=0,ABS(J3038)&gt;=0.01),AND(H3038&lt;&gt;0,ABS(K3038)&gt;VarianceThreshold)),"Review","OK")</f>
        <v>0</v>
      </c>
      <c r="M3038" t="s">
        <v>33</v>
      </c>
    </row>
    <row r="3039" spans="1:13">
      <c r="A3039" t="s">
        <v>4</v>
      </c>
      <c r="B3039" t="s">
        <v>836</v>
      </c>
      <c r="C3039" t="s">
        <v>2416</v>
      </c>
      <c r="D3039" t="s">
        <v>2692</v>
      </c>
      <c r="E3039" cm="1">
        <f t="array" ref="E3039">_xlfn.XLOOKUP(D3039,SKU_Master!A:A,SKU_Master!B:B,"Not on master")</f>
        <v>0</v>
      </c>
      <c r="F3039" cm="1">
        <f t="array" ref="F3039">_xlfn.XLOOKUP(C3039,Account_Master!A:A,Account_Master!B:B,"Not on master")</f>
        <v>0</v>
      </c>
      <c r="G3039" cm="1">
        <f t="array" ref="G3039">_xlfn.XLOOKUP(C3039,Account_Master!A:A,Account_Master!C:C,"Not on master")</f>
        <v>0</v>
      </c>
      <c r="H3039" s="6">
        <v>1.5</v>
      </c>
      <c r="I3039" s="6">
        <v>1.5</v>
      </c>
      <c r="J3039" s="6">
        <f>I3039-H3039</f>
        <v>0</v>
      </c>
      <c r="K3039" s="5">
        <f>IF(H3039=0,"",J3039/H3039)</f>
        <v>0</v>
      </c>
      <c r="L3039">
        <f>IF(OR(AND(H3039=0,ABS(J3039)&gt;=0.01),AND(H3039&lt;&gt;0,ABS(K3039)&gt;VarianceThreshold)),"Review","OK")</f>
        <v>0</v>
      </c>
      <c r="M3039" t="s">
        <v>33</v>
      </c>
    </row>
    <row r="3040" spans="1:13">
      <c r="A3040" t="s">
        <v>4</v>
      </c>
      <c r="B3040" t="s">
        <v>836</v>
      </c>
      <c r="C3040" t="s">
        <v>2414</v>
      </c>
      <c r="D3040" t="s">
        <v>1207</v>
      </c>
      <c r="E3040" cm="1">
        <f t="array" ref="E3040">_xlfn.XLOOKUP(D3040,SKU_Master!A:A,SKU_Master!B:B,"Not on master")</f>
        <v>0</v>
      </c>
      <c r="F3040" cm="1">
        <f t="array" ref="F3040">_xlfn.XLOOKUP(C3040,Account_Master!A:A,Account_Master!B:B,"Not on master")</f>
        <v>0</v>
      </c>
      <c r="G3040" cm="1">
        <f t="array" ref="G3040">_xlfn.XLOOKUP(C3040,Account_Master!A:A,Account_Master!C:C,"Not on master")</f>
        <v>0</v>
      </c>
      <c r="H3040" s="6">
        <v>60.75</v>
      </c>
      <c r="I3040" s="6">
        <v>60.75</v>
      </c>
      <c r="J3040" s="6">
        <f>I3040-H3040</f>
        <v>0</v>
      </c>
      <c r="K3040" s="5">
        <f>IF(H3040=0,"",J3040/H3040)</f>
        <v>0</v>
      </c>
      <c r="L3040">
        <f>IF(OR(AND(H3040=0,ABS(J3040)&gt;=0.01),AND(H3040&lt;&gt;0,ABS(K3040)&gt;VarianceThreshold)),"Review","OK")</f>
        <v>0</v>
      </c>
      <c r="M3040" t="s">
        <v>33</v>
      </c>
    </row>
    <row r="3041" spans="1:13">
      <c r="A3041" t="s">
        <v>4</v>
      </c>
      <c r="B3041" t="s">
        <v>836</v>
      </c>
      <c r="C3041" t="s">
        <v>2513</v>
      </c>
      <c r="D3041" t="s">
        <v>864</v>
      </c>
      <c r="E3041" cm="1">
        <f t="array" ref="E3041">_xlfn.XLOOKUP(D3041,SKU_Master!A:A,SKU_Master!B:B,"Not on master")</f>
        <v>0</v>
      </c>
      <c r="F3041" cm="1">
        <f t="array" ref="F3041">_xlfn.XLOOKUP(C3041,Account_Master!A:A,Account_Master!B:B,"Not on master")</f>
        <v>0</v>
      </c>
      <c r="G3041" cm="1">
        <f t="array" ref="G3041">_xlfn.XLOOKUP(C3041,Account_Master!A:A,Account_Master!C:C,"Not on master")</f>
        <v>0</v>
      </c>
      <c r="H3041" s="6">
        <v>1.2</v>
      </c>
      <c r="I3041" s="6">
        <v>1.2</v>
      </c>
      <c r="J3041" s="6">
        <f>I3041-H3041</f>
        <v>0</v>
      </c>
      <c r="K3041" s="5">
        <f>IF(H3041=0,"",J3041/H3041)</f>
        <v>0</v>
      </c>
      <c r="L3041">
        <f>IF(OR(AND(H3041=0,ABS(J3041)&gt;=0.01),AND(H3041&lt;&gt;0,ABS(K3041)&gt;VarianceThreshold)),"Review","OK")</f>
        <v>0</v>
      </c>
      <c r="M3041" t="s">
        <v>33</v>
      </c>
    </row>
    <row r="3042" spans="1:13">
      <c r="A3042" t="s">
        <v>4</v>
      </c>
      <c r="B3042" t="s">
        <v>836</v>
      </c>
      <c r="C3042" t="s">
        <v>2436</v>
      </c>
      <c r="D3042" t="s">
        <v>2154</v>
      </c>
      <c r="E3042" cm="1">
        <f t="array" ref="E3042">_xlfn.XLOOKUP(D3042,SKU_Master!A:A,SKU_Master!B:B,"Not on master")</f>
        <v>0</v>
      </c>
      <c r="F3042" cm="1">
        <f t="array" ref="F3042">_xlfn.XLOOKUP(C3042,Account_Master!A:A,Account_Master!B:B,"Not on master")</f>
        <v>0</v>
      </c>
      <c r="G3042" cm="1">
        <f t="array" ref="G3042">_xlfn.XLOOKUP(C3042,Account_Master!A:A,Account_Master!C:C,"Not on master")</f>
        <v>0</v>
      </c>
      <c r="H3042" s="6">
        <v>4.5</v>
      </c>
      <c r="I3042" s="6">
        <v>4.5</v>
      </c>
      <c r="J3042" s="6">
        <f>I3042-H3042</f>
        <v>0</v>
      </c>
      <c r="K3042" s="5">
        <f>IF(H3042=0,"",J3042/H3042)</f>
        <v>0</v>
      </c>
      <c r="L3042">
        <f>IF(OR(AND(H3042=0,ABS(J3042)&gt;=0.01),AND(H3042&lt;&gt;0,ABS(K3042)&gt;VarianceThreshold)),"Review","OK")</f>
        <v>0</v>
      </c>
      <c r="M3042" t="s">
        <v>33</v>
      </c>
    </row>
    <row r="3043" spans="1:13">
      <c r="A3043" t="s">
        <v>4</v>
      </c>
      <c r="B3043" t="s">
        <v>846</v>
      </c>
      <c r="C3043" t="s">
        <v>2447</v>
      </c>
      <c r="D3043" t="s">
        <v>2693</v>
      </c>
      <c r="E3043" cm="1">
        <f t="array" ref="E3043">_xlfn.XLOOKUP(D3043,SKU_Master!A:A,SKU_Master!B:B,"Not on master")</f>
        <v>0</v>
      </c>
      <c r="F3043" cm="1">
        <f t="array" ref="F3043">_xlfn.XLOOKUP(C3043,Account_Master!A:A,Account_Master!B:B,"Not on master")</f>
        <v>0</v>
      </c>
      <c r="G3043" cm="1">
        <f t="array" ref="G3043">_xlfn.XLOOKUP(C3043,Account_Master!A:A,Account_Master!C:C,"Not on master")</f>
        <v>0</v>
      </c>
      <c r="H3043" s="6">
        <v>18.75</v>
      </c>
      <c r="I3043" s="6">
        <v>18.75</v>
      </c>
      <c r="J3043" s="6">
        <f>I3043-H3043</f>
        <v>0</v>
      </c>
      <c r="K3043" s="5">
        <f>IF(H3043=0,"",J3043/H3043)</f>
        <v>0</v>
      </c>
      <c r="L3043">
        <f>IF(OR(AND(H3043=0,ABS(J3043)&gt;=0.01),AND(H3043&lt;&gt;0,ABS(K3043)&gt;VarianceThreshold)),"Review","OK")</f>
        <v>0</v>
      </c>
      <c r="M3043" t="s">
        <v>33</v>
      </c>
    </row>
    <row r="3044" spans="1:13">
      <c r="A3044" t="s">
        <v>4</v>
      </c>
      <c r="B3044" t="s">
        <v>846</v>
      </c>
      <c r="C3044" t="s">
        <v>2694</v>
      </c>
      <c r="D3044" t="s">
        <v>1974</v>
      </c>
      <c r="E3044" cm="1">
        <f t="array" ref="E3044">_xlfn.XLOOKUP(D3044,SKU_Master!A:A,SKU_Master!B:B,"Not on master")</f>
        <v>0</v>
      </c>
      <c r="F3044" cm="1">
        <f t="array" ref="F3044">_xlfn.XLOOKUP(C3044,Account_Master!A:A,Account_Master!B:B,"Not on master")</f>
        <v>0</v>
      </c>
      <c r="G3044" cm="1">
        <f t="array" ref="G3044">_xlfn.XLOOKUP(C3044,Account_Master!A:A,Account_Master!C:C,"Not on master")</f>
        <v>0</v>
      </c>
      <c r="H3044" s="6">
        <v>11.99</v>
      </c>
      <c r="I3044" s="6">
        <v>11.99</v>
      </c>
      <c r="J3044" s="6">
        <f>I3044-H3044</f>
        <v>0</v>
      </c>
      <c r="K3044" s="5">
        <f>IF(H3044=0,"",J3044/H3044)</f>
        <v>0</v>
      </c>
      <c r="L3044">
        <f>IF(OR(AND(H3044=0,ABS(J3044)&gt;=0.01),AND(H3044&lt;&gt;0,ABS(K3044)&gt;VarianceThreshold)),"Review","OK")</f>
        <v>0</v>
      </c>
      <c r="M3044" t="s">
        <v>33</v>
      </c>
    </row>
    <row r="3045" spans="1:13">
      <c r="A3045" t="s">
        <v>4</v>
      </c>
      <c r="B3045" t="s">
        <v>846</v>
      </c>
      <c r="C3045" t="s">
        <v>2695</v>
      </c>
      <c r="D3045" t="s">
        <v>1095</v>
      </c>
      <c r="E3045" cm="1">
        <f t="array" ref="E3045">_xlfn.XLOOKUP(D3045,SKU_Master!A:A,SKU_Master!B:B,"Not on master")</f>
        <v>0</v>
      </c>
      <c r="F3045" cm="1">
        <f t="array" ref="F3045">_xlfn.XLOOKUP(C3045,Account_Master!A:A,Account_Master!B:B,"Not on master")</f>
        <v>0</v>
      </c>
      <c r="G3045" cm="1">
        <f t="array" ref="G3045">_xlfn.XLOOKUP(C3045,Account_Master!A:A,Account_Master!C:C,"Not on master")</f>
        <v>0</v>
      </c>
      <c r="H3045" s="6">
        <v>10.5</v>
      </c>
      <c r="I3045" s="6">
        <v>10.5</v>
      </c>
      <c r="J3045" s="6">
        <f>I3045-H3045</f>
        <v>0</v>
      </c>
      <c r="K3045" s="5">
        <f>IF(H3045=0,"",J3045/H3045)</f>
        <v>0</v>
      </c>
      <c r="L3045">
        <f>IF(OR(AND(H3045=0,ABS(J3045)&gt;=0.01),AND(H3045&lt;&gt;0,ABS(K3045)&gt;VarianceThreshold)),"Review","OK")</f>
        <v>0</v>
      </c>
      <c r="M3045" t="s">
        <v>33</v>
      </c>
    </row>
    <row r="3046" spans="1:13">
      <c r="A3046" t="s">
        <v>4</v>
      </c>
      <c r="B3046" t="s">
        <v>846</v>
      </c>
      <c r="C3046" t="s">
        <v>2436</v>
      </c>
      <c r="D3046" t="s">
        <v>1556</v>
      </c>
      <c r="E3046" cm="1">
        <f t="array" ref="E3046">_xlfn.XLOOKUP(D3046,SKU_Master!A:A,SKU_Master!B:B,"Not on master")</f>
        <v>0</v>
      </c>
      <c r="F3046" cm="1">
        <f t="array" ref="F3046">_xlfn.XLOOKUP(C3046,Account_Master!A:A,Account_Master!B:B,"Not on master")</f>
        <v>0</v>
      </c>
      <c r="G3046" cm="1">
        <f t="array" ref="G3046">_xlfn.XLOOKUP(C3046,Account_Master!A:A,Account_Master!C:C,"Not on master")</f>
        <v>0</v>
      </c>
      <c r="H3046" s="6">
        <v>6.75</v>
      </c>
      <c r="I3046" s="6">
        <v>6.75</v>
      </c>
      <c r="J3046" s="6">
        <f>I3046-H3046</f>
        <v>0</v>
      </c>
      <c r="K3046" s="5">
        <f>IF(H3046=0,"",J3046/H3046)</f>
        <v>0</v>
      </c>
      <c r="L3046">
        <f>IF(OR(AND(H3046=0,ABS(J3046)&gt;=0.01),AND(H3046&lt;&gt;0,ABS(K3046)&gt;VarianceThreshold)),"Review","OK")</f>
        <v>0</v>
      </c>
      <c r="M3046" t="s">
        <v>33</v>
      </c>
    </row>
    <row r="3047" spans="1:13">
      <c r="A3047" t="s">
        <v>4</v>
      </c>
      <c r="B3047" t="s">
        <v>846</v>
      </c>
      <c r="C3047" t="s">
        <v>2416</v>
      </c>
      <c r="D3047" t="s">
        <v>1637</v>
      </c>
      <c r="E3047" cm="1">
        <f t="array" ref="E3047">_xlfn.XLOOKUP(D3047,SKU_Master!A:A,SKU_Master!B:B,"Not on master")</f>
        <v>0</v>
      </c>
      <c r="F3047" cm="1">
        <f t="array" ref="F3047">_xlfn.XLOOKUP(C3047,Account_Master!A:A,Account_Master!B:B,"Not on master")</f>
        <v>0</v>
      </c>
      <c r="G3047" cm="1">
        <f t="array" ref="G3047">_xlfn.XLOOKUP(C3047,Account_Master!A:A,Account_Master!C:C,"Not on master")</f>
        <v>0</v>
      </c>
      <c r="H3047" s="6">
        <v>6.75</v>
      </c>
      <c r="I3047" s="6">
        <v>6.75</v>
      </c>
      <c r="J3047" s="6">
        <f>I3047-H3047</f>
        <v>0</v>
      </c>
      <c r="K3047" s="5">
        <f>IF(H3047=0,"",J3047/H3047)</f>
        <v>0</v>
      </c>
      <c r="L3047">
        <f>IF(OR(AND(H3047=0,ABS(J3047)&gt;=0.01),AND(H3047&lt;&gt;0,ABS(K3047)&gt;VarianceThreshold)),"Review","OK")</f>
        <v>0</v>
      </c>
      <c r="M3047" t="s">
        <v>33</v>
      </c>
    </row>
    <row r="3048" spans="1:13">
      <c r="A3048" t="s">
        <v>4</v>
      </c>
      <c r="B3048" t="s">
        <v>846</v>
      </c>
      <c r="C3048" t="s">
        <v>2696</v>
      </c>
      <c r="D3048" t="s">
        <v>2697</v>
      </c>
      <c r="E3048" cm="1">
        <f t="array" ref="E3048">_xlfn.XLOOKUP(D3048,SKU_Master!A:A,SKU_Master!B:B,"Not on master")</f>
        <v>0</v>
      </c>
      <c r="F3048" cm="1">
        <f t="array" ref="F3048">_xlfn.XLOOKUP(C3048,Account_Master!A:A,Account_Master!B:B,"Not on master")</f>
        <v>0</v>
      </c>
      <c r="G3048" cm="1">
        <f t="array" ref="G3048">_xlfn.XLOOKUP(C3048,Account_Master!A:A,Account_Master!C:C,"Not on master")</f>
        <v>0</v>
      </c>
      <c r="H3048" s="6">
        <v>1.1</v>
      </c>
      <c r="I3048" s="6">
        <v>1.1</v>
      </c>
      <c r="J3048" s="6">
        <f>I3048-H3048</f>
        <v>0</v>
      </c>
      <c r="K3048" s="5">
        <f>IF(H3048=0,"",J3048/H3048)</f>
        <v>0</v>
      </c>
      <c r="L3048">
        <f>IF(OR(AND(H3048=0,ABS(J3048)&gt;=0.01),AND(H3048&lt;&gt;0,ABS(K3048)&gt;VarianceThreshold)),"Review","OK")</f>
        <v>0</v>
      </c>
      <c r="M3048" t="s">
        <v>33</v>
      </c>
    </row>
    <row r="3049" spans="1:13">
      <c r="A3049" t="s">
        <v>4</v>
      </c>
      <c r="B3049" t="s">
        <v>846</v>
      </c>
      <c r="C3049" t="s">
        <v>2418</v>
      </c>
      <c r="D3049" t="s">
        <v>1998</v>
      </c>
      <c r="E3049" cm="1">
        <f t="array" ref="E3049">_xlfn.XLOOKUP(D3049,SKU_Master!A:A,SKU_Master!B:B,"Not on master")</f>
        <v>0</v>
      </c>
      <c r="F3049" cm="1">
        <f t="array" ref="F3049">_xlfn.XLOOKUP(C3049,Account_Master!A:A,Account_Master!B:B,"Not on master")</f>
        <v>0</v>
      </c>
      <c r="G3049" cm="1">
        <f t="array" ref="G3049">_xlfn.XLOOKUP(C3049,Account_Master!A:A,Account_Master!C:C,"Not on master")</f>
        <v>0</v>
      </c>
      <c r="H3049" s="6">
        <v>115</v>
      </c>
      <c r="I3049" s="6">
        <v>115</v>
      </c>
      <c r="J3049" s="6">
        <f>I3049-H3049</f>
        <v>0</v>
      </c>
      <c r="K3049" s="5">
        <f>IF(H3049=0,"",J3049/H3049)</f>
        <v>0</v>
      </c>
      <c r="L3049">
        <f>IF(OR(AND(H3049=0,ABS(J3049)&gt;=0.01),AND(H3049&lt;&gt;0,ABS(K3049)&gt;VarianceThreshold)),"Review","OK")</f>
        <v>0</v>
      </c>
      <c r="M3049" t="s">
        <v>33</v>
      </c>
    </row>
    <row r="3050" spans="1:13">
      <c r="A3050" t="s">
        <v>4</v>
      </c>
      <c r="B3050" t="s">
        <v>851</v>
      </c>
      <c r="C3050" t="s">
        <v>2457</v>
      </c>
      <c r="D3050" t="s">
        <v>1130</v>
      </c>
      <c r="E3050" cm="1">
        <f t="array" ref="E3050">_xlfn.XLOOKUP(D3050,SKU_Master!A:A,SKU_Master!B:B,"Not on master")</f>
        <v>0</v>
      </c>
      <c r="F3050" cm="1">
        <f t="array" ref="F3050">_xlfn.XLOOKUP(C3050,Account_Master!A:A,Account_Master!B:B,"Not on master")</f>
        <v>0</v>
      </c>
      <c r="G3050" cm="1">
        <f t="array" ref="G3050">_xlfn.XLOOKUP(C3050,Account_Master!A:A,Account_Master!C:C,"Not on master")</f>
        <v>0</v>
      </c>
      <c r="H3050" s="6">
        <v>9</v>
      </c>
      <c r="I3050" s="6">
        <v>9</v>
      </c>
      <c r="J3050" s="6">
        <f>I3050-H3050</f>
        <v>0</v>
      </c>
      <c r="K3050" s="5">
        <f>IF(H3050=0,"",J3050/H3050)</f>
        <v>0</v>
      </c>
      <c r="L3050">
        <f>IF(OR(AND(H3050=0,ABS(J3050)&gt;=0.01),AND(H3050&lt;&gt;0,ABS(K3050)&gt;VarianceThreshold)),"Review","OK")</f>
        <v>0</v>
      </c>
      <c r="M3050" t="s">
        <v>33</v>
      </c>
    </row>
    <row r="3051" spans="1:13">
      <c r="A3051" t="s">
        <v>4</v>
      </c>
      <c r="B3051" t="s">
        <v>851</v>
      </c>
      <c r="C3051" t="s">
        <v>2698</v>
      </c>
      <c r="D3051" t="s">
        <v>2699</v>
      </c>
      <c r="E3051" cm="1">
        <f t="array" ref="E3051">_xlfn.XLOOKUP(D3051,SKU_Master!A:A,SKU_Master!B:B,"Not on master")</f>
        <v>0</v>
      </c>
      <c r="F3051" cm="1">
        <f t="array" ref="F3051">_xlfn.XLOOKUP(C3051,Account_Master!A:A,Account_Master!B:B,"Not on master")</f>
        <v>0</v>
      </c>
      <c r="G3051" cm="1">
        <f t="array" ref="G3051">_xlfn.XLOOKUP(C3051,Account_Master!A:A,Account_Master!C:C,"Not on master")</f>
        <v>0</v>
      </c>
      <c r="H3051" s="6">
        <v>0.75</v>
      </c>
      <c r="I3051" s="6">
        <v>0.75</v>
      </c>
      <c r="J3051" s="6">
        <f>I3051-H3051</f>
        <v>0</v>
      </c>
      <c r="K3051" s="5">
        <f>IF(H3051=0,"",J3051/H3051)</f>
        <v>0</v>
      </c>
      <c r="L3051">
        <f>IF(OR(AND(H3051=0,ABS(J3051)&gt;=0.01),AND(H3051&lt;&gt;0,ABS(K3051)&gt;VarianceThreshold)),"Review","OK")</f>
        <v>0</v>
      </c>
      <c r="M3051" t="s">
        <v>33</v>
      </c>
    </row>
    <row r="3052" spans="1:13">
      <c r="A3052" t="s">
        <v>4</v>
      </c>
      <c r="B3052" t="s">
        <v>851</v>
      </c>
      <c r="C3052" t="s">
        <v>2432</v>
      </c>
      <c r="D3052" t="s">
        <v>2700</v>
      </c>
      <c r="E3052" cm="1">
        <f t="array" ref="E3052">_xlfn.XLOOKUP(D3052,SKU_Master!A:A,SKU_Master!B:B,"Not on master")</f>
        <v>0</v>
      </c>
      <c r="F3052" cm="1">
        <f t="array" ref="F3052">_xlfn.XLOOKUP(C3052,Account_Master!A:A,Account_Master!B:B,"Not on master")</f>
        <v>0</v>
      </c>
      <c r="G3052" cm="1">
        <f t="array" ref="G3052">_xlfn.XLOOKUP(C3052,Account_Master!A:A,Account_Master!C:C,"Not on master")</f>
        <v>0</v>
      </c>
      <c r="H3052" s="6">
        <v>2</v>
      </c>
      <c r="I3052" s="6">
        <v>2</v>
      </c>
      <c r="J3052" s="6">
        <f>I3052-H3052</f>
        <v>0</v>
      </c>
      <c r="K3052" s="5">
        <f>IF(H3052=0,"",J3052/H3052)</f>
        <v>0</v>
      </c>
      <c r="L3052">
        <f>IF(OR(AND(H3052=0,ABS(J3052)&gt;=0.01),AND(H3052&lt;&gt;0,ABS(K3052)&gt;VarianceThreshold)),"Review","OK")</f>
        <v>0</v>
      </c>
      <c r="M3052" t="s">
        <v>33</v>
      </c>
    </row>
    <row r="3053" spans="1:13">
      <c r="A3053" t="s">
        <v>4</v>
      </c>
      <c r="B3053" t="s">
        <v>851</v>
      </c>
      <c r="C3053" t="s">
        <v>2698</v>
      </c>
      <c r="D3053" t="s">
        <v>1787</v>
      </c>
      <c r="E3053" cm="1">
        <f t="array" ref="E3053">_xlfn.XLOOKUP(D3053,SKU_Master!A:A,SKU_Master!B:B,"Not on master")</f>
        <v>0</v>
      </c>
      <c r="F3053" cm="1">
        <f t="array" ref="F3053">_xlfn.XLOOKUP(C3053,Account_Master!A:A,Account_Master!B:B,"Not on master")</f>
        <v>0</v>
      </c>
      <c r="G3053" cm="1">
        <f t="array" ref="G3053">_xlfn.XLOOKUP(C3053,Account_Master!A:A,Account_Master!C:C,"Not on master")</f>
        <v>0</v>
      </c>
      <c r="H3053" s="6">
        <v>0.75</v>
      </c>
      <c r="I3053" s="6">
        <v>0.75</v>
      </c>
      <c r="J3053" s="6">
        <f>I3053-H3053</f>
        <v>0</v>
      </c>
      <c r="K3053" s="5">
        <f>IF(H3053=0,"",J3053/H3053)</f>
        <v>0</v>
      </c>
      <c r="L3053">
        <f>IF(OR(AND(H3053=0,ABS(J3053)&gt;=0.01),AND(H3053&lt;&gt;0,ABS(K3053)&gt;VarianceThreshold)),"Review","OK")</f>
        <v>0</v>
      </c>
      <c r="M3053" t="s">
        <v>33</v>
      </c>
    </row>
    <row r="3054" spans="1:13">
      <c r="A3054" t="s">
        <v>4</v>
      </c>
      <c r="B3054" t="s">
        <v>858</v>
      </c>
      <c r="C3054" t="s">
        <v>2645</v>
      </c>
      <c r="D3054" t="s">
        <v>1285</v>
      </c>
      <c r="E3054" cm="1">
        <f t="array" ref="E3054">_xlfn.XLOOKUP(D3054,SKU_Master!A:A,SKU_Master!B:B,"Not on master")</f>
        <v>0</v>
      </c>
      <c r="F3054" cm="1">
        <f t="array" ref="F3054">_xlfn.XLOOKUP(C3054,Account_Master!A:A,Account_Master!B:B,"Not on master")</f>
        <v>0</v>
      </c>
      <c r="G3054" cm="1">
        <f t="array" ref="G3054">_xlfn.XLOOKUP(C3054,Account_Master!A:A,Account_Master!C:C,"Not on master")</f>
        <v>0</v>
      </c>
      <c r="H3054" s="6">
        <v>78.75</v>
      </c>
      <c r="I3054" s="6">
        <v>78.75</v>
      </c>
      <c r="J3054" s="6">
        <f>I3054-H3054</f>
        <v>0</v>
      </c>
      <c r="K3054" s="5">
        <f>IF(H3054=0,"",J3054/H3054)</f>
        <v>0</v>
      </c>
      <c r="L3054">
        <f>IF(OR(AND(H3054=0,ABS(J3054)&gt;=0.01),AND(H3054&lt;&gt;0,ABS(K3054)&gt;VarianceThreshold)),"Review","OK")</f>
        <v>0</v>
      </c>
      <c r="M3054" t="s">
        <v>33</v>
      </c>
    </row>
    <row r="3055" spans="1:13">
      <c r="A3055" t="s">
        <v>4</v>
      </c>
      <c r="B3055" t="s">
        <v>858</v>
      </c>
      <c r="C3055" t="s">
        <v>2453</v>
      </c>
      <c r="D3055" t="s">
        <v>931</v>
      </c>
      <c r="E3055" cm="1">
        <f t="array" ref="E3055">_xlfn.XLOOKUP(D3055,SKU_Master!A:A,SKU_Master!B:B,"Not on master")</f>
        <v>0</v>
      </c>
      <c r="F3055" cm="1">
        <f t="array" ref="F3055">_xlfn.XLOOKUP(C3055,Account_Master!A:A,Account_Master!B:B,"Not on master")</f>
        <v>0</v>
      </c>
      <c r="G3055" cm="1">
        <f t="array" ref="G3055">_xlfn.XLOOKUP(C3055,Account_Master!A:A,Account_Master!C:C,"Not on master")</f>
        <v>0</v>
      </c>
      <c r="H3055" s="6">
        <v>12</v>
      </c>
      <c r="I3055" s="6">
        <v>12</v>
      </c>
      <c r="J3055" s="6">
        <f>I3055-H3055</f>
        <v>0</v>
      </c>
      <c r="K3055" s="5">
        <f>IF(H3055=0,"",J3055/H3055)</f>
        <v>0</v>
      </c>
      <c r="L3055">
        <f>IF(OR(AND(H3055=0,ABS(J3055)&gt;=0.01),AND(H3055&lt;&gt;0,ABS(K3055)&gt;VarianceThreshold)),"Review","OK")</f>
        <v>0</v>
      </c>
      <c r="M3055" t="s">
        <v>33</v>
      </c>
    </row>
    <row r="3056" spans="1:13">
      <c r="A3056" t="s">
        <v>4</v>
      </c>
      <c r="B3056" t="s">
        <v>858</v>
      </c>
      <c r="C3056" t="s">
        <v>2612</v>
      </c>
      <c r="D3056" t="s">
        <v>2701</v>
      </c>
      <c r="E3056" cm="1">
        <f t="array" ref="E3056">_xlfn.XLOOKUP(D3056,SKU_Master!A:A,SKU_Master!B:B,"Not on master")</f>
        <v>0</v>
      </c>
      <c r="F3056" cm="1">
        <f t="array" ref="F3056">_xlfn.XLOOKUP(C3056,Account_Master!A:A,Account_Master!B:B,"Not on master")</f>
        <v>0</v>
      </c>
      <c r="G3056" cm="1">
        <f t="array" ref="G3056">_xlfn.XLOOKUP(C3056,Account_Master!A:A,Account_Master!C:C,"Not on master")</f>
        <v>0</v>
      </c>
      <c r="H3056" s="6">
        <v>17.25</v>
      </c>
      <c r="I3056" s="6">
        <v>17.25</v>
      </c>
      <c r="J3056" s="6">
        <f>I3056-H3056</f>
        <v>0</v>
      </c>
      <c r="K3056" s="5">
        <f>IF(H3056=0,"",J3056/H3056)</f>
        <v>0</v>
      </c>
      <c r="L3056">
        <f>IF(OR(AND(H3056=0,ABS(J3056)&gt;=0.01),AND(H3056&lt;&gt;0,ABS(K3056)&gt;VarianceThreshold)),"Review","OK")</f>
        <v>0</v>
      </c>
      <c r="M3056" t="s">
        <v>33</v>
      </c>
    </row>
    <row r="3057" spans="1:13">
      <c r="A3057" t="s">
        <v>4</v>
      </c>
      <c r="B3057" t="s">
        <v>858</v>
      </c>
      <c r="C3057" t="s">
        <v>2702</v>
      </c>
      <c r="D3057" t="s">
        <v>990</v>
      </c>
      <c r="E3057" cm="1">
        <f t="array" ref="E3057">_xlfn.XLOOKUP(D3057,SKU_Master!A:A,SKU_Master!B:B,"Not on master")</f>
        <v>0</v>
      </c>
      <c r="F3057" cm="1">
        <f t="array" ref="F3057">_xlfn.XLOOKUP(C3057,Account_Master!A:A,Account_Master!B:B,"Not on master")</f>
        <v>0</v>
      </c>
      <c r="G3057" cm="1">
        <f t="array" ref="G3057">_xlfn.XLOOKUP(C3057,Account_Master!A:A,Account_Master!C:C,"Not on master")</f>
        <v>0</v>
      </c>
      <c r="H3057" s="6">
        <v>11.25</v>
      </c>
      <c r="I3057" s="6">
        <v>11.25</v>
      </c>
      <c r="J3057" s="6">
        <f>I3057-H3057</f>
        <v>0</v>
      </c>
      <c r="K3057" s="5">
        <f>IF(H3057=0,"",J3057/H3057)</f>
        <v>0</v>
      </c>
      <c r="L3057">
        <f>IF(OR(AND(H3057=0,ABS(J3057)&gt;=0.01),AND(H3057&lt;&gt;0,ABS(K3057)&gt;VarianceThreshold)),"Review","OK")</f>
        <v>0</v>
      </c>
      <c r="M3057" t="s">
        <v>33</v>
      </c>
    </row>
    <row r="3058" spans="1:13">
      <c r="A3058" t="s">
        <v>4</v>
      </c>
      <c r="B3058" t="s">
        <v>858</v>
      </c>
      <c r="C3058" t="s">
        <v>2410</v>
      </c>
      <c r="D3058" t="s">
        <v>1000</v>
      </c>
      <c r="E3058" cm="1">
        <f t="array" ref="E3058">_xlfn.XLOOKUP(D3058,SKU_Master!A:A,SKU_Master!B:B,"Not on master")</f>
        <v>0</v>
      </c>
      <c r="F3058" cm="1">
        <f t="array" ref="F3058">_xlfn.XLOOKUP(C3058,Account_Master!A:A,Account_Master!B:B,"Not on master")</f>
        <v>0</v>
      </c>
      <c r="G3058" cm="1">
        <f t="array" ref="G3058">_xlfn.XLOOKUP(C3058,Account_Master!A:A,Account_Master!C:C,"Not on master")</f>
        <v>0</v>
      </c>
      <c r="H3058" s="6">
        <v>97.5</v>
      </c>
      <c r="I3058" s="6">
        <v>97.5</v>
      </c>
      <c r="J3058" s="6">
        <f>I3058-H3058</f>
        <v>0</v>
      </c>
      <c r="K3058" s="5">
        <f>IF(H3058=0,"",J3058/H3058)</f>
        <v>0</v>
      </c>
      <c r="L3058">
        <f>IF(OR(AND(H3058=0,ABS(J3058)&gt;=0.01),AND(H3058&lt;&gt;0,ABS(K3058)&gt;VarianceThreshold)),"Review","OK")</f>
        <v>0</v>
      </c>
      <c r="M3058" t="s">
        <v>33</v>
      </c>
    </row>
    <row r="3059" spans="1:13">
      <c r="A3059" t="s">
        <v>4</v>
      </c>
      <c r="B3059" t="s">
        <v>868</v>
      </c>
      <c r="C3059" t="s">
        <v>2612</v>
      </c>
      <c r="D3059" t="s">
        <v>2358</v>
      </c>
      <c r="E3059" cm="1">
        <f t="array" ref="E3059">_xlfn.XLOOKUP(D3059,SKU_Master!A:A,SKU_Master!B:B,"Not on master")</f>
        <v>0</v>
      </c>
      <c r="F3059" cm="1">
        <f t="array" ref="F3059">_xlfn.XLOOKUP(C3059,Account_Master!A:A,Account_Master!B:B,"Not on master")</f>
        <v>0</v>
      </c>
      <c r="G3059" cm="1">
        <f t="array" ref="G3059">_xlfn.XLOOKUP(C3059,Account_Master!A:A,Account_Master!C:C,"Not on master")</f>
        <v>0</v>
      </c>
      <c r="H3059" s="6">
        <v>1.5</v>
      </c>
      <c r="I3059" s="6">
        <v>1.5</v>
      </c>
      <c r="J3059" s="6">
        <f>I3059-H3059</f>
        <v>0</v>
      </c>
      <c r="K3059" s="5">
        <f>IF(H3059=0,"",J3059/H3059)</f>
        <v>0</v>
      </c>
      <c r="L3059">
        <f>IF(OR(AND(H3059=0,ABS(J3059)&gt;=0.01),AND(H3059&lt;&gt;0,ABS(K3059)&gt;VarianceThreshold)),"Review","OK")</f>
        <v>0</v>
      </c>
      <c r="M3059" t="s">
        <v>33</v>
      </c>
    </row>
    <row r="3060" spans="1:13">
      <c r="A3060" t="s">
        <v>4</v>
      </c>
      <c r="B3060" t="s">
        <v>868</v>
      </c>
      <c r="C3060" t="s">
        <v>2600</v>
      </c>
      <c r="D3060" t="s">
        <v>1850</v>
      </c>
      <c r="E3060" cm="1">
        <f t="array" ref="E3060">_xlfn.XLOOKUP(D3060,SKU_Master!A:A,SKU_Master!B:B,"Not on master")</f>
        <v>0</v>
      </c>
      <c r="F3060" cm="1">
        <f t="array" ref="F3060">_xlfn.XLOOKUP(C3060,Account_Master!A:A,Account_Master!B:B,"Not on master")</f>
        <v>0</v>
      </c>
      <c r="G3060" cm="1">
        <f t="array" ref="G3060">_xlfn.XLOOKUP(C3060,Account_Master!A:A,Account_Master!C:C,"Not on master")</f>
        <v>0</v>
      </c>
      <c r="H3060" s="6">
        <v>4.5</v>
      </c>
      <c r="I3060" s="6">
        <v>4.5</v>
      </c>
      <c r="J3060" s="6">
        <f>I3060-H3060</f>
        <v>0</v>
      </c>
      <c r="K3060" s="5">
        <f>IF(H3060=0,"",J3060/H3060)</f>
        <v>0</v>
      </c>
      <c r="L3060">
        <f>IF(OR(AND(H3060=0,ABS(J3060)&gt;=0.01),AND(H3060&lt;&gt;0,ABS(K3060)&gt;VarianceThreshold)),"Review","OK")</f>
        <v>0</v>
      </c>
      <c r="M3060" t="s">
        <v>33</v>
      </c>
    </row>
    <row r="3061" spans="1:13">
      <c r="A3061" t="s">
        <v>4</v>
      </c>
      <c r="B3061" t="s">
        <v>868</v>
      </c>
      <c r="C3061" t="s">
        <v>2453</v>
      </c>
      <c r="D3061" t="s">
        <v>2703</v>
      </c>
      <c r="E3061" cm="1">
        <f t="array" ref="E3061">_xlfn.XLOOKUP(D3061,SKU_Master!A:A,SKU_Master!B:B,"Not on master")</f>
        <v>0</v>
      </c>
      <c r="F3061" cm="1">
        <f t="array" ref="F3061">_xlfn.XLOOKUP(C3061,Account_Master!A:A,Account_Master!B:B,"Not on master")</f>
        <v>0</v>
      </c>
      <c r="G3061" cm="1">
        <f t="array" ref="G3061">_xlfn.XLOOKUP(C3061,Account_Master!A:A,Account_Master!C:C,"Not on master")</f>
        <v>0</v>
      </c>
      <c r="H3061" s="6">
        <v>6</v>
      </c>
      <c r="I3061" s="6">
        <v>6</v>
      </c>
      <c r="J3061" s="6">
        <f>I3061-H3061</f>
        <v>0</v>
      </c>
      <c r="K3061" s="5">
        <f>IF(H3061=0,"",J3061/H3061)</f>
        <v>0</v>
      </c>
      <c r="L3061">
        <f>IF(OR(AND(H3061=0,ABS(J3061)&gt;=0.01),AND(H3061&lt;&gt;0,ABS(K3061)&gt;VarianceThreshold)),"Review","OK")</f>
        <v>0</v>
      </c>
      <c r="M3061" t="s">
        <v>33</v>
      </c>
    </row>
    <row r="3062" spans="1:13">
      <c r="A3062" t="s">
        <v>4</v>
      </c>
      <c r="B3062" t="s">
        <v>868</v>
      </c>
      <c r="C3062" t="s">
        <v>2414</v>
      </c>
      <c r="D3062" t="s">
        <v>1943</v>
      </c>
      <c r="E3062" cm="1">
        <f t="array" ref="E3062">_xlfn.XLOOKUP(D3062,SKU_Master!A:A,SKU_Master!B:B,"Not on master")</f>
        <v>0</v>
      </c>
      <c r="F3062" cm="1">
        <f t="array" ref="F3062">_xlfn.XLOOKUP(C3062,Account_Master!A:A,Account_Master!B:B,"Not on master")</f>
        <v>0</v>
      </c>
      <c r="G3062" cm="1">
        <f t="array" ref="G3062">_xlfn.XLOOKUP(C3062,Account_Master!A:A,Account_Master!C:C,"Not on master")</f>
        <v>0</v>
      </c>
      <c r="H3062" s="6">
        <v>0.5</v>
      </c>
      <c r="I3062" s="6">
        <v>0.5</v>
      </c>
      <c r="J3062" s="6">
        <f>I3062-H3062</f>
        <v>0</v>
      </c>
      <c r="K3062" s="5">
        <f>IF(H3062=0,"",J3062/H3062)</f>
        <v>0</v>
      </c>
      <c r="L3062">
        <f>IF(OR(AND(H3062=0,ABS(J3062)&gt;=0.01),AND(H3062&lt;&gt;0,ABS(K3062)&gt;VarianceThreshold)),"Review","OK")</f>
        <v>0</v>
      </c>
      <c r="M3062" t="s">
        <v>33</v>
      </c>
    </row>
    <row r="3063" spans="1:13">
      <c r="A3063" t="s">
        <v>4</v>
      </c>
      <c r="B3063" t="s">
        <v>868</v>
      </c>
      <c r="C3063" t="s">
        <v>2410</v>
      </c>
      <c r="D3063" t="s">
        <v>2704</v>
      </c>
      <c r="E3063" cm="1">
        <f t="array" ref="E3063">_xlfn.XLOOKUP(D3063,SKU_Master!A:A,SKU_Master!B:B,"Not on master")</f>
        <v>0</v>
      </c>
      <c r="F3063" cm="1">
        <f t="array" ref="F3063">_xlfn.XLOOKUP(C3063,Account_Master!A:A,Account_Master!B:B,"Not on master")</f>
        <v>0</v>
      </c>
      <c r="G3063" cm="1">
        <f t="array" ref="G3063">_xlfn.XLOOKUP(C3063,Account_Master!A:A,Account_Master!C:C,"Not on master")</f>
        <v>0</v>
      </c>
      <c r="H3063" s="6">
        <v>0.75</v>
      </c>
      <c r="I3063" s="6">
        <v>0.75</v>
      </c>
      <c r="J3063" s="6">
        <f>I3063-H3063</f>
        <v>0</v>
      </c>
      <c r="K3063" s="5">
        <f>IF(H3063=0,"",J3063/H3063)</f>
        <v>0</v>
      </c>
      <c r="L3063">
        <f>IF(OR(AND(H3063=0,ABS(J3063)&gt;=0.01),AND(H3063&lt;&gt;0,ABS(K3063)&gt;VarianceThreshold)),"Review","OK")</f>
        <v>0</v>
      </c>
      <c r="M3063" t="s">
        <v>33</v>
      </c>
    </row>
    <row r="3064" spans="1:13">
      <c r="A3064" t="s">
        <v>4</v>
      </c>
      <c r="B3064" t="s">
        <v>876</v>
      </c>
      <c r="C3064" t="s">
        <v>2447</v>
      </c>
      <c r="D3064" t="s">
        <v>524</v>
      </c>
      <c r="E3064" cm="1">
        <f t="array" ref="E3064">_xlfn.XLOOKUP(D3064,SKU_Master!A:A,SKU_Master!B:B,"Not on master")</f>
        <v>0</v>
      </c>
      <c r="F3064" cm="1">
        <f t="array" ref="F3064">_xlfn.XLOOKUP(C3064,Account_Master!A:A,Account_Master!B:B,"Not on master")</f>
        <v>0</v>
      </c>
      <c r="G3064" cm="1">
        <f t="array" ref="G3064">_xlfn.XLOOKUP(C3064,Account_Master!A:A,Account_Master!C:C,"Not on master")</f>
        <v>0</v>
      </c>
      <c r="H3064" s="6">
        <v>69.75</v>
      </c>
      <c r="I3064" s="6">
        <v>69.75</v>
      </c>
      <c r="J3064" s="6">
        <f>I3064-H3064</f>
        <v>0</v>
      </c>
      <c r="K3064" s="5">
        <f>IF(H3064=0,"",J3064/H3064)</f>
        <v>0</v>
      </c>
      <c r="L3064">
        <f>IF(OR(AND(H3064=0,ABS(J3064)&gt;=0.01),AND(H3064&lt;&gt;0,ABS(K3064)&gt;VarianceThreshold)),"Review","OK")</f>
        <v>0</v>
      </c>
      <c r="M3064" t="s">
        <v>33</v>
      </c>
    </row>
    <row r="3065" spans="1:13">
      <c r="A3065" t="s">
        <v>4</v>
      </c>
      <c r="B3065" t="s">
        <v>876</v>
      </c>
      <c r="C3065" t="s">
        <v>2449</v>
      </c>
      <c r="D3065" t="s">
        <v>482</v>
      </c>
      <c r="E3065" cm="1">
        <f t="array" ref="E3065">_xlfn.XLOOKUP(D3065,SKU_Master!A:A,SKU_Master!B:B,"Not on master")</f>
        <v>0</v>
      </c>
      <c r="F3065" cm="1">
        <f t="array" ref="F3065">_xlfn.XLOOKUP(C3065,Account_Master!A:A,Account_Master!B:B,"Not on master")</f>
        <v>0</v>
      </c>
      <c r="G3065" cm="1">
        <f t="array" ref="G3065">_xlfn.XLOOKUP(C3065,Account_Master!A:A,Account_Master!C:C,"Not on master")</f>
        <v>0</v>
      </c>
      <c r="H3065" s="6">
        <v>9</v>
      </c>
      <c r="I3065" s="6">
        <v>9</v>
      </c>
      <c r="J3065" s="6">
        <f>I3065-H3065</f>
        <v>0</v>
      </c>
      <c r="K3065" s="5">
        <f>IF(H3065=0,"",J3065/H3065)</f>
        <v>0</v>
      </c>
      <c r="L3065">
        <f>IF(OR(AND(H3065=0,ABS(J3065)&gt;=0.01),AND(H3065&lt;&gt;0,ABS(K3065)&gt;VarianceThreshold)),"Review","OK")</f>
        <v>0</v>
      </c>
      <c r="M3065" t="s">
        <v>33</v>
      </c>
    </row>
    <row r="3066" spans="1:13">
      <c r="A3066" t="s">
        <v>4</v>
      </c>
      <c r="B3066" t="s">
        <v>880</v>
      </c>
      <c r="C3066" t="s">
        <v>2436</v>
      </c>
      <c r="D3066" t="s">
        <v>2705</v>
      </c>
      <c r="E3066" cm="1">
        <f t="array" ref="E3066">_xlfn.XLOOKUP(D3066,SKU_Master!A:A,SKU_Master!B:B,"Not on master")</f>
        <v>0</v>
      </c>
      <c r="F3066" cm="1">
        <f t="array" ref="F3066">_xlfn.XLOOKUP(C3066,Account_Master!A:A,Account_Master!B:B,"Not on master")</f>
        <v>0</v>
      </c>
      <c r="G3066" cm="1">
        <f t="array" ref="G3066">_xlfn.XLOOKUP(C3066,Account_Master!A:A,Account_Master!C:C,"Not on master")</f>
        <v>0</v>
      </c>
      <c r="H3066" s="6">
        <v>4.5</v>
      </c>
      <c r="I3066" s="6">
        <v>4.5</v>
      </c>
      <c r="J3066" s="6">
        <f>I3066-H3066</f>
        <v>0</v>
      </c>
      <c r="K3066" s="5">
        <f>IF(H3066=0,"",J3066/H3066)</f>
        <v>0</v>
      </c>
      <c r="L3066">
        <f>IF(OR(AND(H3066=0,ABS(J3066)&gt;=0.01),AND(H3066&lt;&gt;0,ABS(K3066)&gt;VarianceThreshold)),"Review","OK")</f>
        <v>0</v>
      </c>
      <c r="M3066" t="s">
        <v>33</v>
      </c>
    </row>
    <row r="3067" spans="1:13">
      <c r="A3067" t="s">
        <v>4</v>
      </c>
      <c r="B3067" t="s">
        <v>880</v>
      </c>
      <c r="C3067" t="s">
        <v>2443</v>
      </c>
      <c r="D3067" t="s">
        <v>736</v>
      </c>
      <c r="E3067" cm="1">
        <f t="array" ref="E3067">_xlfn.XLOOKUP(D3067,SKU_Master!A:A,SKU_Master!B:B,"Not on master")</f>
        <v>0</v>
      </c>
      <c r="F3067" cm="1">
        <f t="array" ref="F3067">_xlfn.XLOOKUP(C3067,Account_Master!A:A,Account_Master!B:B,"Not on master")</f>
        <v>0</v>
      </c>
      <c r="G3067" cm="1">
        <f t="array" ref="G3067">_xlfn.XLOOKUP(C3067,Account_Master!A:A,Account_Master!C:C,"Not on master")</f>
        <v>0</v>
      </c>
      <c r="H3067" s="6">
        <v>47.25</v>
      </c>
      <c r="I3067" s="6">
        <v>47.25</v>
      </c>
      <c r="J3067" s="6">
        <f>I3067-H3067</f>
        <v>0</v>
      </c>
      <c r="K3067" s="5">
        <f>IF(H3067=0,"",J3067/H3067)</f>
        <v>0</v>
      </c>
      <c r="L3067">
        <f>IF(OR(AND(H3067=0,ABS(J3067)&gt;=0.01),AND(H3067&lt;&gt;0,ABS(K3067)&gt;VarianceThreshold)),"Review","OK")</f>
        <v>0</v>
      </c>
      <c r="M3067" t="s">
        <v>33</v>
      </c>
    </row>
    <row r="3068" spans="1:13">
      <c r="A3068" t="s">
        <v>4</v>
      </c>
      <c r="B3068" t="s">
        <v>880</v>
      </c>
      <c r="C3068" t="s">
        <v>2706</v>
      </c>
      <c r="D3068" t="s">
        <v>2084</v>
      </c>
      <c r="E3068" cm="1">
        <f t="array" ref="E3068">_xlfn.XLOOKUP(D3068,SKU_Master!A:A,SKU_Master!B:B,"Not on master")</f>
        <v>0</v>
      </c>
      <c r="F3068" cm="1">
        <f t="array" ref="F3068">_xlfn.XLOOKUP(C3068,Account_Master!A:A,Account_Master!B:B,"Not on master")</f>
        <v>0</v>
      </c>
      <c r="G3068" cm="1">
        <f t="array" ref="G3068">_xlfn.XLOOKUP(C3068,Account_Master!A:A,Account_Master!C:C,"Not on master")</f>
        <v>0</v>
      </c>
      <c r="H3068" s="6">
        <v>27</v>
      </c>
      <c r="I3068" s="6">
        <v>27</v>
      </c>
      <c r="J3068" s="6">
        <f>I3068-H3068</f>
        <v>0</v>
      </c>
      <c r="K3068" s="5">
        <f>IF(H3068=0,"",J3068/H3068)</f>
        <v>0</v>
      </c>
      <c r="L3068">
        <f>IF(OR(AND(H3068=0,ABS(J3068)&gt;=0.01),AND(H3068&lt;&gt;0,ABS(K3068)&gt;VarianceThreshold)),"Review","OK")</f>
        <v>0</v>
      </c>
      <c r="M3068" t="s">
        <v>33</v>
      </c>
    </row>
    <row r="3069" spans="1:13">
      <c r="A3069" t="s">
        <v>4</v>
      </c>
      <c r="B3069" t="s">
        <v>880</v>
      </c>
      <c r="C3069" t="s">
        <v>2418</v>
      </c>
      <c r="D3069" t="s">
        <v>1237</v>
      </c>
      <c r="E3069" cm="1">
        <f t="array" ref="E3069">_xlfn.XLOOKUP(D3069,SKU_Master!A:A,SKU_Master!B:B,"Not on master")</f>
        <v>0</v>
      </c>
      <c r="F3069" cm="1">
        <f t="array" ref="F3069">_xlfn.XLOOKUP(C3069,Account_Master!A:A,Account_Master!B:B,"Not on master")</f>
        <v>0</v>
      </c>
      <c r="G3069" cm="1">
        <f t="array" ref="G3069">_xlfn.XLOOKUP(C3069,Account_Master!A:A,Account_Master!C:C,"Not on master")</f>
        <v>0</v>
      </c>
      <c r="H3069" s="6">
        <v>31</v>
      </c>
      <c r="I3069" s="6">
        <v>31</v>
      </c>
      <c r="J3069" s="6">
        <f>I3069-H3069</f>
        <v>0</v>
      </c>
      <c r="K3069" s="5">
        <f>IF(H3069=0,"",J3069/H3069)</f>
        <v>0</v>
      </c>
      <c r="L3069">
        <f>IF(OR(AND(H3069=0,ABS(J3069)&gt;=0.01),AND(H3069&lt;&gt;0,ABS(K3069)&gt;VarianceThreshold)),"Review","OK")</f>
        <v>0</v>
      </c>
      <c r="M3069" t="s">
        <v>33</v>
      </c>
    </row>
    <row r="3070" spans="1:13">
      <c r="A3070" t="s">
        <v>4</v>
      </c>
      <c r="B3070" t="s">
        <v>880</v>
      </c>
      <c r="C3070" t="s">
        <v>2453</v>
      </c>
      <c r="D3070" t="s">
        <v>2707</v>
      </c>
      <c r="E3070" cm="1">
        <f t="array" ref="E3070">_xlfn.XLOOKUP(D3070,SKU_Master!A:A,SKU_Master!B:B,"Not on master")</f>
        <v>0</v>
      </c>
      <c r="F3070" cm="1">
        <f t="array" ref="F3070">_xlfn.XLOOKUP(C3070,Account_Master!A:A,Account_Master!B:B,"Not on master")</f>
        <v>0</v>
      </c>
      <c r="G3070" cm="1">
        <f t="array" ref="G3070">_xlfn.XLOOKUP(C3070,Account_Master!A:A,Account_Master!C:C,"Not on master")</f>
        <v>0</v>
      </c>
      <c r="H3070" s="6">
        <v>9</v>
      </c>
      <c r="I3070" s="6">
        <v>9</v>
      </c>
      <c r="J3070" s="6">
        <f>I3070-H3070</f>
        <v>0</v>
      </c>
      <c r="K3070" s="5">
        <f>IF(H3070=0,"",J3070/H3070)</f>
        <v>0</v>
      </c>
      <c r="L3070">
        <f>IF(OR(AND(H3070=0,ABS(J3070)&gt;=0.01),AND(H3070&lt;&gt;0,ABS(K3070)&gt;VarianceThreshold)),"Review","OK")</f>
        <v>0</v>
      </c>
      <c r="M3070" t="s">
        <v>33</v>
      </c>
    </row>
    <row r="3071" spans="1:13">
      <c r="A3071" t="s">
        <v>4</v>
      </c>
      <c r="B3071" t="s">
        <v>880</v>
      </c>
      <c r="C3071" t="s">
        <v>2416</v>
      </c>
      <c r="D3071" t="s">
        <v>707</v>
      </c>
      <c r="E3071" cm="1">
        <f t="array" ref="E3071">_xlfn.XLOOKUP(D3071,SKU_Master!A:A,SKU_Master!B:B,"Not on master")</f>
        <v>0</v>
      </c>
      <c r="F3071" cm="1">
        <f t="array" ref="F3071">_xlfn.XLOOKUP(C3071,Account_Master!A:A,Account_Master!B:B,"Not on master")</f>
        <v>0</v>
      </c>
      <c r="G3071" cm="1">
        <f t="array" ref="G3071">_xlfn.XLOOKUP(C3071,Account_Master!A:A,Account_Master!C:C,"Not on master")</f>
        <v>0</v>
      </c>
      <c r="H3071" s="6">
        <v>18.75</v>
      </c>
      <c r="I3071" s="6">
        <v>18.75</v>
      </c>
      <c r="J3071" s="6">
        <f>I3071-H3071</f>
        <v>0</v>
      </c>
      <c r="K3071" s="5">
        <f>IF(H3071=0,"",J3071/H3071)</f>
        <v>0</v>
      </c>
      <c r="L3071">
        <f>IF(OR(AND(H3071=0,ABS(J3071)&gt;=0.01),AND(H3071&lt;&gt;0,ABS(K3071)&gt;VarianceThreshold)),"Review","OK")</f>
        <v>0</v>
      </c>
      <c r="M3071" t="s">
        <v>33</v>
      </c>
    </row>
    <row r="3072" spans="1:13">
      <c r="A3072" t="s">
        <v>4</v>
      </c>
      <c r="B3072" t="s">
        <v>891</v>
      </c>
      <c r="C3072" t="s">
        <v>2453</v>
      </c>
      <c r="D3072" t="s">
        <v>1038</v>
      </c>
      <c r="E3072" cm="1">
        <f t="array" ref="E3072">_xlfn.XLOOKUP(D3072,SKU_Master!A:A,SKU_Master!B:B,"Not on master")</f>
        <v>0</v>
      </c>
      <c r="F3072" cm="1">
        <f t="array" ref="F3072">_xlfn.XLOOKUP(C3072,Account_Master!A:A,Account_Master!B:B,"Not on master")</f>
        <v>0</v>
      </c>
      <c r="G3072" cm="1">
        <f t="array" ref="G3072">_xlfn.XLOOKUP(C3072,Account_Master!A:A,Account_Master!C:C,"Not on master")</f>
        <v>0</v>
      </c>
      <c r="H3072" s="6">
        <v>181.5</v>
      </c>
      <c r="I3072" s="6">
        <v>181.5</v>
      </c>
      <c r="J3072" s="6">
        <f>I3072-H3072</f>
        <v>0</v>
      </c>
      <c r="K3072" s="5">
        <f>IF(H3072=0,"",J3072/H3072)</f>
        <v>0</v>
      </c>
      <c r="L3072">
        <f>IF(OR(AND(H3072=0,ABS(J3072)&gt;=0.01),AND(H3072&lt;&gt;0,ABS(K3072)&gt;VarianceThreshold)),"Review","OK")</f>
        <v>0</v>
      </c>
      <c r="M3072" t="s">
        <v>33</v>
      </c>
    </row>
    <row r="3073" spans="1:13">
      <c r="A3073" t="s">
        <v>4</v>
      </c>
      <c r="B3073" t="s">
        <v>891</v>
      </c>
      <c r="C3073" t="s">
        <v>2434</v>
      </c>
      <c r="D3073" t="s">
        <v>1879</v>
      </c>
      <c r="E3073" cm="1">
        <f t="array" ref="E3073">_xlfn.XLOOKUP(D3073,SKU_Master!A:A,SKU_Master!B:B,"Not on master")</f>
        <v>0</v>
      </c>
      <c r="F3073" cm="1">
        <f t="array" ref="F3073">_xlfn.XLOOKUP(C3073,Account_Master!A:A,Account_Master!B:B,"Not on master")</f>
        <v>0</v>
      </c>
      <c r="G3073" cm="1">
        <f t="array" ref="G3073">_xlfn.XLOOKUP(C3073,Account_Master!A:A,Account_Master!C:C,"Not on master")</f>
        <v>0</v>
      </c>
      <c r="H3073" s="6">
        <v>3</v>
      </c>
      <c r="I3073" s="6">
        <v>3</v>
      </c>
      <c r="J3073" s="6">
        <f>I3073-H3073</f>
        <v>0</v>
      </c>
      <c r="K3073" s="5">
        <f>IF(H3073=0,"",J3073/H3073)</f>
        <v>0</v>
      </c>
      <c r="L3073">
        <f>IF(OR(AND(H3073=0,ABS(J3073)&gt;=0.01),AND(H3073&lt;&gt;0,ABS(K3073)&gt;VarianceThreshold)),"Review","OK")</f>
        <v>0</v>
      </c>
      <c r="M3073" t="s">
        <v>33</v>
      </c>
    </row>
    <row r="3074" spans="1:13">
      <c r="A3074" t="s">
        <v>4</v>
      </c>
      <c r="B3074" t="s">
        <v>891</v>
      </c>
      <c r="C3074" t="s">
        <v>2433</v>
      </c>
      <c r="D3074" t="s">
        <v>2708</v>
      </c>
      <c r="E3074" cm="1">
        <f t="array" ref="E3074">_xlfn.XLOOKUP(D3074,SKU_Master!A:A,SKU_Master!B:B,"Not on master")</f>
        <v>0</v>
      </c>
      <c r="F3074" cm="1">
        <f t="array" ref="F3074">_xlfn.XLOOKUP(C3074,Account_Master!A:A,Account_Master!B:B,"Not on master")</f>
        <v>0</v>
      </c>
      <c r="G3074" cm="1">
        <f t="array" ref="G3074">_xlfn.XLOOKUP(C3074,Account_Master!A:A,Account_Master!C:C,"Not on master")</f>
        <v>0</v>
      </c>
      <c r="H3074" s="6">
        <v>0.65</v>
      </c>
      <c r="I3074" s="6">
        <v>0.65</v>
      </c>
      <c r="J3074" s="6">
        <f>I3074-H3074</f>
        <v>0</v>
      </c>
      <c r="K3074" s="5">
        <f>IF(H3074=0,"",J3074/H3074)</f>
        <v>0</v>
      </c>
      <c r="L3074">
        <f>IF(OR(AND(H3074=0,ABS(J3074)&gt;=0.01),AND(H3074&lt;&gt;0,ABS(K3074)&gt;VarianceThreshold)),"Review","OK")</f>
        <v>0</v>
      </c>
      <c r="M3074" t="s">
        <v>33</v>
      </c>
    </row>
    <row r="3075" spans="1:13">
      <c r="A3075" t="s">
        <v>4</v>
      </c>
      <c r="B3075" t="s">
        <v>891</v>
      </c>
      <c r="C3075" t="s">
        <v>2449</v>
      </c>
      <c r="D3075" t="s">
        <v>985</v>
      </c>
      <c r="E3075" cm="1">
        <f t="array" ref="E3075">_xlfn.XLOOKUP(D3075,SKU_Master!A:A,SKU_Master!B:B,"Not on master")</f>
        <v>0</v>
      </c>
      <c r="F3075" cm="1">
        <f t="array" ref="F3075">_xlfn.XLOOKUP(C3075,Account_Master!A:A,Account_Master!B:B,"Not on master")</f>
        <v>0</v>
      </c>
      <c r="G3075" cm="1">
        <f t="array" ref="G3075">_xlfn.XLOOKUP(C3075,Account_Master!A:A,Account_Master!C:C,"Not on master")</f>
        <v>0</v>
      </c>
      <c r="H3075" s="6">
        <v>9</v>
      </c>
      <c r="I3075" s="6">
        <v>9</v>
      </c>
      <c r="J3075" s="6">
        <f>I3075-H3075</f>
        <v>0</v>
      </c>
      <c r="K3075" s="5">
        <f>IF(H3075=0,"",J3075/H3075)</f>
        <v>0</v>
      </c>
      <c r="L3075">
        <f>IF(OR(AND(H3075=0,ABS(J3075)&gt;=0.01),AND(H3075&lt;&gt;0,ABS(K3075)&gt;VarianceThreshold)),"Review","OK")</f>
        <v>0</v>
      </c>
      <c r="M3075" t="s">
        <v>33</v>
      </c>
    </row>
    <row r="3076" spans="1:13">
      <c r="A3076" t="s">
        <v>4</v>
      </c>
      <c r="B3076" t="s">
        <v>891</v>
      </c>
      <c r="C3076" t="s">
        <v>2432</v>
      </c>
      <c r="D3076" t="s">
        <v>2709</v>
      </c>
      <c r="E3076" cm="1">
        <f t="array" ref="E3076">_xlfn.XLOOKUP(D3076,SKU_Master!A:A,SKU_Master!B:B,"Not on master")</f>
        <v>0</v>
      </c>
      <c r="F3076" cm="1">
        <f t="array" ref="F3076">_xlfn.XLOOKUP(C3076,Account_Master!A:A,Account_Master!B:B,"Not on master")</f>
        <v>0</v>
      </c>
      <c r="G3076" cm="1">
        <f t="array" ref="G3076">_xlfn.XLOOKUP(C3076,Account_Master!A:A,Account_Master!C:C,"Not on master")</f>
        <v>0</v>
      </c>
      <c r="H3076" s="6">
        <v>4.5</v>
      </c>
      <c r="I3076" s="6">
        <v>4.5</v>
      </c>
      <c r="J3076" s="6">
        <f>I3076-H3076</f>
        <v>0</v>
      </c>
      <c r="K3076" s="5">
        <f>IF(H3076=0,"",J3076/H3076)</f>
        <v>0</v>
      </c>
      <c r="L3076">
        <f>IF(OR(AND(H3076=0,ABS(J3076)&gt;=0.01),AND(H3076&lt;&gt;0,ABS(K3076)&gt;VarianceThreshold)),"Review","OK")</f>
        <v>0</v>
      </c>
      <c r="M3076" t="s">
        <v>33</v>
      </c>
    </row>
    <row r="3077" spans="1:13">
      <c r="A3077" t="s">
        <v>4</v>
      </c>
      <c r="B3077" t="s">
        <v>891</v>
      </c>
      <c r="C3077" t="s">
        <v>2612</v>
      </c>
      <c r="D3077" t="s">
        <v>782</v>
      </c>
      <c r="E3077" cm="1">
        <f t="array" ref="E3077">_xlfn.XLOOKUP(D3077,SKU_Master!A:A,SKU_Master!B:B,"Not on master")</f>
        <v>0</v>
      </c>
      <c r="F3077" cm="1">
        <f t="array" ref="F3077">_xlfn.XLOOKUP(C3077,Account_Master!A:A,Account_Master!B:B,"Not on master")</f>
        <v>0</v>
      </c>
      <c r="G3077" cm="1">
        <f t="array" ref="G3077">_xlfn.XLOOKUP(C3077,Account_Master!A:A,Account_Master!C:C,"Not on master")</f>
        <v>0</v>
      </c>
      <c r="H3077" s="6">
        <v>0.1</v>
      </c>
      <c r="I3077" s="6">
        <v>0.1</v>
      </c>
      <c r="J3077" s="6">
        <f>I3077-H3077</f>
        <v>0</v>
      </c>
      <c r="K3077" s="5">
        <f>IF(H3077=0,"",J3077/H3077)</f>
        <v>0</v>
      </c>
      <c r="L3077">
        <f>IF(OR(AND(H3077=0,ABS(J3077)&gt;=0.01),AND(H3077&lt;&gt;0,ABS(K3077)&gt;VarianceThreshold)),"Review","OK")</f>
        <v>0</v>
      </c>
      <c r="M3077" t="s">
        <v>33</v>
      </c>
    </row>
    <row r="3078" spans="1:13">
      <c r="A3078" t="s">
        <v>4</v>
      </c>
      <c r="B3078" t="s">
        <v>891</v>
      </c>
      <c r="C3078" t="s">
        <v>2710</v>
      </c>
      <c r="D3078" t="s">
        <v>1570</v>
      </c>
      <c r="E3078" cm="1">
        <f t="array" ref="E3078">_xlfn.XLOOKUP(D3078,SKU_Master!A:A,SKU_Master!B:B,"Not on master")</f>
        <v>0</v>
      </c>
      <c r="F3078" cm="1">
        <f t="array" ref="F3078">_xlfn.XLOOKUP(C3078,Account_Master!A:A,Account_Master!B:B,"Not on master")</f>
        <v>0</v>
      </c>
      <c r="G3078" cm="1">
        <f t="array" ref="G3078">_xlfn.XLOOKUP(C3078,Account_Master!A:A,Account_Master!C:C,"Not on master")</f>
        <v>0</v>
      </c>
      <c r="H3078" s="6">
        <v>20.25</v>
      </c>
      <c r="I3078" s="6">
        <v>20.25</v>
      </c>
      <c r="J3078" s="6">
        <f>I3078-H3078</f>
        <v>0</v>
      </c>
      <c r="K3078" s="5">
        <f>IF(H3078=0,"",J3078/H3078)</f>
        <v>0</v>
      </c>
      <c r="L3078">
        <f>IF(OR(AND(H3078=0,ABS(J3078)&gt;=0.01),AND(H3078&lt;&gt;0,ABS(K3078)&gt;VarianceThreshold)),"Review","OK")</f>
        <v>0</v>
      </c>
      <c r="M3078" t="s">
        <v>33</v>
      </c>
    </row>
    <row r="3079" spans="1:13">
      <c r="A3079" t="s">
        <v>4</v>
      </c>
      <c r="B3079" t="s">
        <v>891</v>
      </c>
      <c r="C3079" t="s">
        <v>2426</v>
      </c>
      <c r="D3079" t="s">
        <v>2711</v>
      </c>
      <c r="E3079" cm="1">
        <f t="array" ref="E3079">_xlfn.XLOOKUP(D3079,SKU_Master!A:A,SKU_Master!B:B,"Not on master")</f>
        <v>0</v>
      </c>
      <c r="F3079" cm="1">
        <f t="array" ref="F3079">_xlfn.XLOOKUP(C3079,Account_Master!A:A,Account_Master!B:B,"Not on master")</f>
        <v>0</v>
      </c>
      <c r="G3079" cm="1">
        <f t="array" ref="G3079">_xlfn.XLOOKUP(C3079,Account_Master!A:A,Account_Master!C:C,"Not on master")</f>
        <v>0</v>
      </c>
      <c r="H3079" s="6">
        <v>1.2</v>
      </c>
      <c r="I3079" s="6">
        <v>1.2</v>
      </c>
      <c r="J3079" s="6">
        <f>I3079-H3079</f>
        <v>0</v>
      </c>
      <c r="K3079" s="5">
        <f>IF(H3079=0,"",J3079/H3079)</f>
        <v>0</v>
      </c>
      <c r="L3079">
        <f>IF(OR(AND(H3079=0,ABS(J3079)&gt;=0.01),AND(H3079&lt;&gt;0,ABS(K3079)&gt;VarianceThreshold)),"Review","OK")</f>
        <v>0</v>
      </c>
      <c r="M3079" t="s">
        <v>33</v>
      </c>
    </row>
    <row r="3080" spans="1:13">
      <c r="A3080" t="s">
        <v>4</v>
      </c>
      <c r="B3080" t="s">
        <v>891</v>
      </c>
      <c r="C3080" t="s">
        <v>2410</v>
      </c>
      <c r="D3080" t="s">
        <v>2712</v>
      </c>
      <c r="E3080" cm="1">
        <f t="array" ref="E3080">_xlfn.XLOOKUP(D3080,SKU_Master!A:A,SKU_Master!B:B,"Not on master")</f>
        <v>0</v>
      </c>
      <c r="F3080" cm="1">
        <f t="array" ref="F3080">_xlfn.XLOOKUP(C3080,Account_Master!A:A,Account_Master!B:B,"Not on master")</f>
        <v>0</v>
      </c>
      <c r="G3080" cm="1">
        <f t="array" ref="G3080">_xlfn.XLOOKUP(C3080,Account_Master!A:A,Account_Master!C:C,"Not on master")</f>
        <v>0</v>
      </c>
      <c r="H3080" s="6">
        <v>0.75</v>
      </c>
      <c r="I3080" s="6">
        <v>0.75</v>
      </c>
      <c r="J3080" s="6">
        <f>I3080-H3080</f>
        <v>0</v>
      </c>
      <c r="K3080" s="5">
        <f>IF(H3080=0,"",J3080/H3080)</f>
        <v>0</v>
      </c>
      <c r="L3080">
        <f>IF(OR(AND(H3080=0,ABS(J3080)&gt;=0.01),AND(H3080&lt;&gt;0,ABS(K3080)&gt;VarianceThreshold)),"Review","OK")</f>
        <v>0</v>
      </c>
      <c r="M3080" t="s">
        <v>33</v>
      </c>
    </row>
    <row r="3081" spans="1:13">
      <c r="A3081" t="s">
        <v>4</v>
      </c>
      <c r="B3081" t="s">
        <v>903</v>
      </c>
      <c r="C3081" t="s">
        <v>2612</v>
      </c>
      <c r="D3081" t="s">
        <v>2713</v>
      </c>
      <c r="E3081" cm="1">
        <f t="array" ref="E3081">_xlfn.XLOOKUP(D3081,SKU_Master!A:A,SKU_Master!B:B,"Not on master")</f>
        <v>0</v>
      </c>
      <c r="F3081" cm="1">
        <f t="array" ref="F3081">_xlfn.XLOOKUP(C3081,Account_Master!A:A,Account_Master!B:B,"Not on master")</f>
        <v>0</v>
      </c>
      <c r="G3081" cm="1">
        <f t="array" ref="G3081">_xlfn.XLOOKUP(C3081,Account_Master!A:A,Account_Master!C:C,"Not on master")</f>
        <v>0</v>
      </c>
      <c r="H3081" s="6">
        <v>4.5</v>
      </c>
      <c r="I3081" s="6">
        <v>0</v>
      </c>
      <c r="J3081" s="6">
        <f>I3081-H3081</f>
        <v>0</v>
      </c>
      <c r="K3081" s="5">
        <f>IF(H3081=0,"",J3081/H3081)</f>
        <v>0</v>
      </c>
      <c r="L3081">
        <f>IF(OR(AND(H3081=0,ABS(J3081)&gt;=0.01),AND(H3081&lt;&gt;0,ABS(K3081)&gt;VarianceThreshold)),"Review","OK")</f>
        <v>0</v>
      </c>
      <c r="M3081" t="s">
        <v>1100</v>
      </c>
    </row>
    <row r="3082" spans="1:13">
      <c r="A3082" t="s">
        <v>4</v>
      </c>
      <c r="B3082" t="s">
        <v>903</v>
      </c>
      <c r="C3082" t="s">
        <v>2514</v>
      </c>
      <c r="D3082" t="s">
        <v>927</v>
      </c>
      <c r="E3082" cm="1">
        <f t="array" ref="E3082">_xlfn.XLOOKUP(D3082,SKU_Master!A:A,SKU_Master!B:B,"Not on master")</f>
        <v>0</v>
      </c>
      <c r="F3082" cm="1">
        <f t="array" ref="F3082">_xlfn.XLOOKUP(C3082,Account_Master!A:A,Account_Master!B:B,"Not on master")</f>
        <v>0</v>
      </c>
      <c r="G3082" cm="1">
        <f t="array" ref="G3082">_xlfn.XLOOKUP(C3082,Account_Master!A:A,Account_Master!C:C,"Not on master")</f>
        <v>0</v>
      </c>
      <c r="H3082" s="6">
        <v>147</v>
      </c>
      <c r="I3082" s="6">
        <v>0</v>
      </c>
      <c r="J3082" s="6">
        <f>I3082-H3082</f>
        <v>0</v>
      </c>
      <c r="K3082" s="5">
        <f>IF(H3082=0,"",J3082/H3082)</f>
        <v>0</v>
      </c>
      <c r="L3082">
        <f>IF(OR(AND(H3082=0,ABS(J3082)&gt;=0.01),AND(H3082&lt;&gt;0,ABS(K3082)&gt;VarianceThreshold)),"Review","OK")</f>
        <v>0</v>
      </c>
      <c r="M3082" t="s">
        <v>1100</v>
      </c>
    </row>
    <row r="3083" spans="1:13">
      <c r="A3083" t="s">
        <v>4</v>
      </c>
      <c r="B3083" t="s">
        <v>903</v>
      </c>
      <c r="C3083" t="s">
        <v>2641</v>
      </c>
      <c r="D3083" t="s">
        <v>1096</v>
      </c>
      <c r="E3083" cm="1">
        <f t="array" ref="E3083">_xlfn.XLOOKUP(D3083,SKU_Master!A:A,SKU_Master!B:B,"Not on master")</f>
        <v>0</v>
      </c>
      <c r="F3083" cm="1">
        <f t="array" ref="F3083">_xlfn.XLOOKUP(C3083,Account_Master!A:A,Account_Master!B:B,"Not on master")</f>
        <v>0</v>
      </c>
      <c r="G3083" cm="1">
        <f t="array" ref="G3083">_xlfn.XLOOKUP(C3083,Account_Master!A:A,Account_Master!C:C,"Not on master")</f>
        <v>0</v>
      </c>
      <c r="H3083" s="6">
        <v>2.62</v>
      </c>
      <c r="I3083" s="6">
        <v>0</v>
      </c>
      <c r="J3083" s="6">
        <f>I3083-H3083</f>
        <v>0</v>
      </c>
      <c r="K3083" s="5">
        <f>IF(H3083=0,"",J3083/H3083)</f>
        <v>0</v>
      </c>
      <c r="L3083">
        <f>IF(OR(AND(H3083=0,ABS(J3083)&gt;=0.01),AND(H3083&lt;&gt;0,ABS(K3083)&gt;VarianceThreshold)),"Review","OK")</f>
        <v>0</v>
      </c>
      <c r="M3083" t="s">
        <v>1100</v>
      </c>
    </row>
    <row r="3084" spans="1:13">
      <c r="A3084" t="s">
        <v>4</v>
      </c>
      <c r="B3084" t="s">
        <v>903</v>
      </c>
      <c r="C3084" t="s">
        <v>2433</v>
      </c>
      <c r="D3084" t="s">
        <v>1829</v>
      </c>
      <c r="E3084" cm="1">
        <f t="array" ref="E3084">_xlfn.XLOOKUP(D3084,SKU_Master!A:A,SKU_Master!B:B,"Not on master")</f>
        <v>0</v>
      </c>
      <c r="F3084" cm="1">
        <f t="array" ref="F3084">_xlfn.XLOOKUP(C3084,Account_Master!A:A,Account_Master!B:B,"Not on master")</f>
        <v>0</v>
      </c>
      <c r="G3084" cm="1">
        <f t="array" ref="G3084">_xlfn.XLOOKUP(C3084,Account_Master!A:A,Account_Master!C:C,"Not on master")</f>
        <v>0</v>
      </c>
      <c r="H3084" s="6">
        <v>2.75</v>
      </c>
      <c r="I3084" s="6">
        <v>0</v>
      </c>
      <c r="J3084" s="6">
        <f>I3084-H3084</f>
        <v>0</v>
      </c>
      <c r="K3084" s="5">
        <f>IF(H3084=0,"",J3084/H3084)</f>
        <v>0</v>
      </c>
      <c r="L3084">
        <f>IF(OR(AND(H3084=0,ABS(J3084)&gt;=0.01),AND(H3084&lt;&gt;0,ABS(K3084)&gt;VarianceThreshold)),"Review","OK")</f>
        <v>0</v>
      </c>
      <c r="M3084" t="s">
        <v>1100</v>
      </c>
    </row>
    <row r="3085" spans="1:13">
      <c r="A3085" t="s">
        <v>4</v>
      </c>
      <c r="B3085" t="s">
        <v>903</v>
      </c>
      <c r="C3085" t="s">
        <v>2490</v>
      </c>
      <c r="D3085" t="s">
        <v>2714</v>
      </c>
      <c r="E3085" cm="1">
        <f t="array" ref="E3085">_xlfn.XLOOKUP(D3085,SKU_Master!A:A,SKU_Master!B:B,"Not on master")</f>
        <v>0</v>
      </c>
      <c r="F3085" cm="1">
        <f t="array" ref="F3085">_xlfn.XLOOKUP(C3085,Account_Master!A:A,Account_Master!B:B,"Not on master")</f>
        <v>0</v>
      </c>
      <c r="G3085" cm="1">
        <f t="array" ref="G3085">_xlfn.XLOOKUP(C3085,Account_Master!A:A,Account_Master!C:C,"Not on master")</f>
        <v>0</v>
      </c>
      <c r="H3085" s="6">
        <v>5.25</v>
      </c>
      <c r="I3085" s="6">
        <v>0</v>
      </c>
      <c r="J3085" s="6">
        <f>I3085-H3085</f>
        <v>0</v>
      </c>
      <c r="K3085" s="5">
        <f>IF(H3085=0,"",J3085/H3085)</f>
        <v>0</v>
      </c>
      <c r="L3085">
        <f>IF(OR(AND(H3085=0,ABS(J3085)&gt;=0.01),AND(H3085&lt;&gt;0,ABS(K3085)&gt;VarianceThreshold)),"Review","OK")</f>
        <v>0</v>
      </c>
      <c r="M3085" t="s">
        <v>1100</v>
      </c>
    </row>
    <row r="3086" spans="1:13">
      <c r="A3086" t="s">
        <v>4</v>
      </c>
      <c r="B3086" t="s">
        <v>903</v>
      </c>
      <c r="C3086" t="s">
        <v>2543</v>
      </c>
      <c r="D3086" t="s">
        <v>640</v>
      </c>
      <c r="E3086" cm="1">
        <f t="array" ref="E3086">_xlfn.XLOOKUP(D3086,SKU_Master!A:A,SKU_Master!B:B,"Not on master")</f>
        <v>0</v>
      </c>
      <c r="F3086" cm="1">
        <f t="array" ref="F3086">_xlfn.XLOOKUP(C3086,Account_Master!A:A,Account_Master!B:B,"Not on master")</f>
        <v>0</v>
      </c>
      <c r="G3086" cm="1">
        <f t="array" ref="G3086">_xlfn.XLOOKUP(C3086,Account_Master!A:A,Account_Master!C:C,"Not on master")</f>
        <v>0</v>
      </c>
      <c r="H3086" s="6">
        <v>12.75</v>
      </c>
      <c r="I3086" s="6">
        <v>0</v>
      </c>
      <c r="J3086" s="6">
        <f>I3086-H3086</f>
        <v>0</v>
      </c>
      <c r="K3086" s="5">
        <f>IF(H3086=0,"",J3086/H3086)</f>
        <v>0</v>
      </c>
      <c r="L3086">
        <f>IF(OR(AND(H3086=0,ABS(J3086)&gt;=0.01),AND(H3086&lt;&gt;0,ABS(K3086)&gt;VarianceThreshold)),"Review","OK")</f>
        <v>0</v>
      </c>
      <c r="M3086" t="s">
        <v>1100</v>
      </c>
    </row>
    <row r="3087" spans="1:13">
      <c r="A3087" t="s">
        <v>4</v>
      </c>
      <c r="B3087" t="s">
        <v>903</v>
      </c>
      <c r="C3087" t="s">
        <v>2715</v>
      </c>
      <c r="D3087" t="s">
        <v>550</v>
      </c>
      <c r="E3087" cm="1">
        <f t="array" ref="E3087">_xlfn.XLOOKUP(D3087,SKU_Master!A:A,SKU_Master!B:B,"Not on master")</f>
        <v>0</v>
      </c>
      <c r="F3087" cm="1">
        <f t="array" ref="F3087">_xlfn.XLOOKUP(C3087,Account_Master!A:A,Account_Master!B:B,"Not on master")</f>
        <v>0</v>
      </c>
      <c r="G3087" cm="1">
        <f t="array" ref="G3087">_xlfn.XLOOKUP(C3087,Account_Master!A:A,Account_Master!C:C,"Not on master")</f>
        <v>0</v>
      </c>
      <c r="H3087" s="6">
        <v>1.5</v>
      </c>
      <c r="I3087" s="6">
        <v>0</v>
      </c>
      <c r="J3087" s="6">
        <f>I3087-H3087</f>
        <v>0</v>
      </c>
      <c r="K3087" s="5">
        <f>IF(H3087=0,"",J3087/H3087)</f>
        <v>0</v>
      </c>
      <c r="L3087">
        <f>IF(OR(AND(H3087=0,ABS(J3087)&gt;=0.01),AND(H3087&lt;&gt;0,ABS(K3087)&gt;VarianceThreshold)),"Review","OK")</f>
        <v>0</v>
      </c>
      <c r="M3087" t="s">
        <v>1100</v>
      </c>
    </row>
    <row r="3088" spans="1:13">
      <c r="A3088" t="s">
        <v>4</v>
      </c>
      <c r="B3088" t="s">
        <v>915</v>
      </c>
      <c r="C3088" t="s">
        <v>2432</v>
      </c>
      <c r="D3088" t="s">
        <v>2716</v>
      </c>
      <c r="E3088" cm="1">
        <f t="array" ref="E3088">_xlfn.XLOOKUP(D3088,SKU_Master!A:A,SKU_Master!B:B,"Not on master")</f>
        <v>0</v>
      </c>
      <c r="F3088" cm="1">
        <f t="array" ref="F3088">_xlfn.XLOOKUP(C3088,Account_Master!A:A,Account_Master!B:B,"Not on master")</f>
        <v>0</v>
      </c>
      <c r="G3088" cm="1">
        <f t="array" ref="G3088">_xlfn.XLOOKUP(C3088,Account_Master!A:A,Account_Master!C:C,"Not on master")</f>
        <v>0</v>
      </c>
      <c r="H3088" s="6">
        <v>10.5</v>
      </c>
      <c r="I3088" s="6">
        <v>0</v>
      </c>
      <c r="J3088" s="6">
        <f>I3088-H3088</f>
        <v>0</v>
      </c>
      <c r="K3088" s="5">
        <f>IF(H3088=0,"",J3088/H3088)</f>
        <v>0</v>
      </c>
      <c r="L3088">
        <f>IF(OR(AND(H3088=0,ABS(J3088)&gt;=0.01),AND(H3088&lt;&gt;0,ABS(K3088)&gt;VarianceThreshold)),"Review","OK")</f>
        <v>0</v>
      </c>
      <c r="M3088" t="s">
        <v>1100</v>
      </c>
    </row>
    <row r="3089" spans="1:13">
      <c r="A3089" t="s">
        <v>4</v>
      </c>
      <c r="B3089" t="s">
        <v>915</v>
      </c>
      <c r="C3089" t="s">
        <v>2436</v>
      </c>
      <c r="D3089" t="s">
        <v>1848</v>
      </c>
      <c r="E3089" cm="1">
        <f t="array" ref="E3089">_xlfn.XLOOKUP(D3089,SKU_Master!A:A,SKU_Master!B:B,"Not on master")</f>
        <v>0</v>
      </c>
      <c r="F3089" cm="1">
        <f t="array" ref="F3089">_xlfn.XLOOKUP(C3089,Account_Master!A:A,Account_Master!B:B,"Not on master")</f>
        <v>0</v>
      </c>
      <c r="G3089" cm="1">
        <f t="array" ref="G3089">_xlfn.XLOOKUP(C3089,Account_Master!A:A,Account_Master!C:C,"Not on master")</f>
        <v>0</v>
      </c>
      <c r="H3089" s="6">
        <v>0.35</v>
      </c>
      <c r="I3089" s="6">
        <v>0</v>
      </c>
      <c r="J3089" s="6">
        <f>I3089-H3089</f>
        <v>0</v>
      </c>
      <c r="K3089" s="5">
        <f>IF(H3089=0,"",J3089/H3089)</f>
        <v>0</v>
      </c>
      <c r="L3089">
        <f>IF(OR(AND(H3089=0,ABS(J3089)&gt;=0.01),AND(H3089&lt;&gt;0,ABS(K3089)&gt;VarianceThreshold)),"Review","OK")</f>
        <v>0</v>
      </c>
      <c r="M3089" t="s">
        <v>1100</v>
      </c>
    </row>
    <row r="3090" spans="1:13">
      <c r="A3090" t="s">
        <v>4</v>
      </c>
      <c r="B3090" t="s">
        <v>915</v>
      </c>
      <c r="C3090" t="s">
        <v>2568</v>
      </c>
      <c r="D3090" t="s">
        <v>2717</v>
      </c>
      <c r="E3090" cm="1">
        <f t="array" ref="E3090">_xlfn.XLOOKUP(D3090,SKU_Master!A:A,SKU_Master!B:B,"Not on master")</f>
        <v>0</v>
      </c>
      <c r="F3090" cm="1">
        <f t="array" ref="F3090">_xlfn.XLOOKUP(C3090,Account_Master!A:A,Account_Master!B:B,"Not on master")</f>
        <v>0</v>
      </c>
      <c r="G3090" cm="1">
        <f t="array" ref="G3090">_xlfn.XLOOKUP(C3090,Account_Master!A:A,Account_Master!C:C,"Not on master")</f>
        <v>0</v>
      </c>
      <c r="H3090" s="6">
        <v>6</v>
      </c>
      <c r="I3090" s="6">
        <v>0</v>
      </c>
      <c r="J3090" s="6">
        <f>I3090-H3090</f>
        <v>0</v>
      </c>
      <c r="K3090" s="5">
        <f>IF(H3090=0,"",J3090/H3090)</f>
        <v>0</v>
      </c>
      <c r="L3090">
        <f>IF(OR(AND(H3090=0,ABS(J3090)&gt;=0.01),AND(H3090&lt;&gt;0,ABS(K3090)&gt;VarianceThreshold)),"Review","OK")</f>
        <v>0</v>
      </c>
      <c r="M3090" t="s">
        <v>1100</v>
      </c>
    </row>
    <row r="3091" spans="1:13">
      <c r="A3091" t="s">
        <v>4</v>
      </c>
      <c r="B3091" t="s">
        <v>915</v>
      </c>
      <c r="C3091" t="s">
        <v>2548</v>
      </c>
      <c r="D3091" t="s">
        <v>258</v>
      </c>
      <c r="E3091" cm="1">
        <f t="array" ref="E3091">_xlfn.XLOOKUP(D3091,SKU_Master!A:A,SKU_Master!B:B,"Not on master")</f>
        <v>0</v>
      </c>
      <c r="F3091" cm="1">
        <f t="array" ref="F3091">_xlfn.XLOOKUP(C3091,Account_Master!A:A,Account_Master!B:B,"Not on master")</f>
        <v>0</v>
      </c>
      <c r="G3091" cm="1">
        <f t="array" ref="G3091">_xlfn.XLOOKUP(C3091,Account_Master!A:A,Account_Master!C:C,"Not on master")</f>
        <v>0</v>
      </c>
      <c r="H3091" s="6">
        <v>80.25</v>
      </c>
      <c r="I3091" s="6">
        <v>0</v>
      </c>
      <c r="J3091" s="6">
        <f>I3091-H3091</f>
        <v>0</v>
      </c>
      <c r="K3091" s="5">
        <f>IF(H3091=0,"",J3091/H3091)</f>
        <v>0</v>
      </c>
      <c r="L3091">
        <f>IF(OR(AND(H3091=0,ABS(J3091)&gt;=0.01),AND(H3091&lt;&gt;0,ABS(K3091)&gt;VarianceThreshold)),"Review","OK")</f>
        <v>0</v>
      </c>
      <c r="M3091" t="s">
        <v>1100</v>
      </c>
    </row>
    <row r="3092" spans="1:13">
      <c r="A3092" t="s">
        <v>4</v>
      </c>
      <c r="B3092" t="s">
        <v>915</v>
      </c>
      <c r="C3092" t="s">
        <v>2490</v>
      </c>
      <c r="D3092" t="s">
        <v>2718</v>
      </c>
      <c r="E3092" cm="1">
        <f t="array" ref="E3092">_xlfn.XLOOKUP(D3092,SKU_Master!A:A,SKU_Master!B:B,"Not on master")</f>
        <v>0</v>
      </c>
      <c r="F3092" cm="1">
        <f t="array" ref="F3092">_xlfn.XLOOKUP(C3092,Account_Master!A:A,Account_Master!B:B,"Not on master")</f>
        <v>0</v>
      </c>
      <c r="G3092" cm="1">
        <f t="array" ref="G3092">_xlfn.XLOOKUP(C3092,Account_Master!A:A,Account_Master!C:C,"Not on master")</f>
        <v>0</v>
      </c>
      <c r="H3092" s="6">
        <v>0.75</v>
      </c>
      <c r="I3092" s="6">
        <v>0</v>
      </c>
      <c r="J3092" s="6">
        <f>I3092-H3092</f>
        <v>0</v>
      </c>
      <c r="K3092" s="5">
        <f>IF(H3092=0,"",J3092/H3092)</f>
        <v>0</v>
      </c>
      <c r="L3092">
        <f>IF(OR(AND(H3092=0,ABS(J3092)&gt;=0.01),AND(H3092&lt;&gt;0,ABS(K3092)&gt;VarianceThreshold)),"Review","OK")</f>
        <v>0</v>
      </c>
      <c r="M3092" t="s">
        <v>1100</v>
      </c>
    </row>
    <row r="3093" spans="1:13">
      <c r="A3093" t="s">
        <v>4</v>
      </c>
      <c r="B3093" t="s">
        <v>915</v>
      </c>
      <c r="C3093" t="s">
        <v>2414</v>
      </c>
      <c r="D3093" t="s">
        <v>40</v>
      </c>
      <c r="E3093" cm="1">
        <f t="array" ref="E3093">_xlfn.XLOOKUP(D3093,SKU_Master!A:A,SKU_Master!B:B,"Not on master")</f>
        <v>0</v>
      </c>
      <c r="F3093" cm="1">
        <f t="array" ref="F3093">_xlfn.XLOOKUP(C3093,Account_Master!A:A,Account_Master!B:B,"Not on master")</f>
        <v>0</v>
      </c>
      <c r="G3093" cm="1">
        <f t="array" ref="G3093">_xlfn.XLOOKUP(C3093,Account_Master!A:A,Account_Master!C:C,"Not on master")</f>
        <v>0</v>
      </c>
      <c r="H3093" s="6">
        <v>66.75</v>
      </c>
      <c r="I3093" s="6">
        <v>0</v>
      </c>
      <c r="J3093" s="6">
        <f>I3093-H3093</f>
        <v>0</v>
      </c>
      <c r="K3093" s="5">
        <f>IF(H3093=0,"",J3093/H3093)</f>
        <v>0</v>
      </c>
      <c r="L3093">
        <f>IF(OR(AND(H3093=0,ABS(J3093)&gt;=0.01),AND(H3093&lt;&gt;0,ABS(K3093)&gt;VarianceThreshold)),"Review","OK")</f>
        <v>0</v>
      </c>
      <c r="M3093" t="s">
        <v>1100</v>
      </c>
    </row>
    <row r="3094" spans="1:13">
      <c r="A3094" t="s">
        <v>4</v>
      </c>
      <c r="B3094" t="s">
        <v>915</v>
      </c>
      <c r="C3094" t="s">
        <v>2410</v>
      </c>
      <c r="D3094" t="s">
        <v>1484</v>
      </c>
      <c r="E3094" cm="1">
        <f t="array" ref="E3094">_xlfn.XLOOKUP(D3094,SKU_Master!A:A,SKU_Master!B:B,"Not on master")</f>
        <v>0</v>
      </c>
      <c r="F3094" cm="1">
        <f t="array" ref="F3094">_xlfn.XLOOKUP(C3094,Account_Master!A:A,Account_Master!B:B,"Not on master")</f>
        <v>0</v>
      </c>
      <c r="G3094" cm="1">
        <f t="array" ref="G3094">_xlfn.XLOOKUP(C3094,Account_Master!A:A,Account_Master!C:C,"Not on master")</f>
        <v>0</v>
      </c>
      <c r="H3094" s="6">
        <v>0.75</v>
      </c>
      <c r="I3094" s="6">
        <v>0</v>
      </c>
      <c r="J3094" s="6">
        <f>I3094-H3094</f>
        <v>0</v>
      </c>
      <c r="K3094" s="5">
        <f>IF(H3094=0,"",J3094/H3094)</f>
        <v>0</v>
      </c>
      <c r="L3094">
        <f>IF(OR(AND(H3094=0,ABS(J3094)&gt;=0.01),AND(H3094&lt;&gt;0,ABS(K3094)&gt;VarianceThreshold)),"Review","OK")</f>
        <v>0</v>
      </c>
      <c r="M3094" t="s">
        <v>1100</v>
      </c>
    </row>
    <row r="3095" spans="1:13">
      <c r="A3095" t="s">
        <v>4</v>
      </c>
      <c r="B3095" t="s">
        <v>922</v>
      </c>
      <c r="C3095" t="s">
        <v>2645</v>
      </c>
      <c r="D3095" t="s">
        <v>2719</v>
      </c>
      <c r="E3095" cm="1">
        <f t="array" ref="E3095">_xlfn.XLOOKUP(D3095,SKU_Master!A:A,SKU_Master!B:B,"Not on master")</f>
        <v>0</v>
      </c>
      <c r="F3095" cm="1">
        <f t="array" ref="F3095">_xlfn.XLOOKUP(C3095,Account_Master!A:A,Account_Master!B:B,"Not on master")</f>
        <v>0</v>
      </c>
      <c r="G3095" cm="1">
        <f t="array" ref="G3095">_xlfn.XLOOKUP(C3095,Account_Master!A:A,Account_Master!C:C,"Not on master")</f>
        <v>0</v>
      </c>
      <c r="H3095" s="6">
        <v>21.75</v>
      </c>
      <c r="I3095" s="6">
        <v>0</v>
      </c>
      <c r="J3095" s="6">
        <f>I3095-H3095</f>
        <v>0</v>
      </c>
      <c r="K3095" s="5">
        <f>IF(H3095=0,"",J3095/H3095)</f>
        <v>0</v>
      </c>
      <c r="L3095">
        <f>IF(OR(AND(H3095=0,ABS(J3095)&gt;=0.01),AND(H3095&lt;&gt;0,ABS(K3095)&gt;VarianceThreshold)),"Review","OK")</f>
        <v>0</v>
      </c>
      <c r="M3095" t="s">
        <v>1100</v>
      </c>
    </row>
    <row r="3096" spans="1:13">
      <c r="A3096" t="s">
        <v>4</v>
      </c>
      <c r="B3096" t="s">
        <v>922</v>
      </c>
      <c r="C3096" t="s">
        <v>2410</v>
      </c>
      <c r="D3096" t="s">
        <v>1389</v>
      </c>
      <c r="E3096" cm="1">
        <f t="array" ref="E3096">_xlfn.XLOOKUP(D3096,SKU_Master!A:A,SKU_Master!B:B,"Not on master")</f>
        <v>0</v>
      </c>
      <c r="F3096" cm="1">
        <f t="array" ref="F3096">_xlfn.XLOOKUP(C3096,Account_Master!A:A,Account_Master!B:B,"Not on master")</f>
        <v>0</v>
      </c>
      <c r="G3096" cm="1">
        <f t="array" ref="G3096">_xlfn.XLOOKUP(C3096,Account_Master!A:A,Account_Master!C:C,"Not on master")</f>
        <v>0</v>
      </c>
      <c r="H3096" s="6">
        <v>21</v>
      </c>
      <c r="I3096" s="6">
        <v>0</v>
      </c>
      <c r="J3096" s="6">
        <f>I3096-H3096</f>
        <v>0</v>
      </c>
      <c r="K3096" s="5">
        <f>IF(H3096=0,"",J3096/H3096)</f>
        <v>0</v>
      </c>
      <c r="L3096">
        <f>IF(OR(AND(H3096=0,ABS(J3096)&gt;=0.01),AND(H3096&lt;&gt;0,ABS(K3096)&gt;VarianceThreshold)),"Review","OK")</f>
        <v>0</v>
      </c>
      <c r="M3096" t="s">
        <v>1100</v>
      </c>
    </row>
    <row r="3097" spans="1:13">
      <c r="A3097" t="s">
        <v>4</v>
      </c>
      <c r="B3097" t="s">
        <v>922</v>
      </c>
      <c r="C3097" t="s">
        <v>2416</v>
      </c>
      <c r="D3097" t="s">
        <v>675</v>
      </c>
      <c r="E3097" cm="1">
        <f t="array" ref="E3097">_xlfn.XLOOKUP(D3097,SKU_Master!A:A,SKU_Master!B:B,"Not on master")</f>
        <v>0</v>
      </c>
      <c r="F3097" cm="1">
        <f t="array" ref="F3097">_xlfn.XLOOKUP(C3097,Account_Master!A:A,Account_Master!B:B,"Not on master")</f>
        <v>0</v>
      </c>
      <c r="G3097" cm="1">
        <f t="array" ref="G3097">_xlfn.XLOOKUP(C3097,Account_Master!A:A,Account_Master!C:C,"Not on master")</f>
        <v>0</v>
      </c>
      <c r="H3097" s="6">
        <v>0.75</v>
      </c>
      <c r="I3097" s="6">
        <v>0</v>
      </c>
      <c r="J3097" s="6">
        <f>I3097-H3097</f>
        <v>0</v>
      </c>
      <c r="K3097" s="5">
        <f>IF(H3097=0,"",J3097/H3097)</f>
        <v>0</v>
      </c>
      <c r="L3097">
        <f>IF(OR(AND(H3097=0,ABS(J3097)&gt;=0.01),AND(H3097&lt;&gt;0,ABS(K3097)&gt;VarianceThreshold)),"Review","OK")</f>
        <v>0</v>
      </c>
      <c r="M3097" t="s">
        <v>1100</v>
      </c>
    </row>
    <row r="3098" spans="1:13">
      <c r="A3098" t="s">
        <v>4</v>
      </c>
      <c r="B3098" t="s">
        <v>922</v>
      </c>
      <c r="C3098" t="s">
        <v>2498</v>
      </c>
      <c r="D3098" t="s">
        <v>1931</v>
      </c>
      <c r="E3098" cm="1">
        <f t="array" ref="E3098">_xlfn.XLOOKUP(D3098,SKU_Master!A:A,SKU_Master!B:B,"Not on master")</f>
        <v>0</v>
      </c>
      <c r="F3098" cm="1">
        <f t="array" ref="F3098">_xlfn.XLOOKUP(C3098,Account_Master!A:A,Account_Master!B:B,"Not on master")</f>
        <v>0</v>
      </c>
      <c r="G3098" cm="1">
        <f t="array" ref="G3098">_xlfn.XLOOKUP(C3098,Account_Master!A:A,Account_Master!C:C,"Not on master")</f>
        <v>0</v>
      </c>
      <c r="H3098" s="6">
        <v>12</v>
      </c>
      <c r="I3098" s="6">
        <v>0</v>
      </c>
      <c r="J3098" s="6">
        <f>I3098-H3098</f>
        <v>0</v>
      </c>
      <c r="K3098" s="5">
        <f>IF(H3098=0,"",J3098/H3098)</f>
        <v>0</v>
      </c>
      <c r="L3098">
        <f>IF(OR(AND(H3098=0,ABS(J3098)&gt;=0.01),AND(H3098&lt;&gt;0,ABS(K3098)&gt;VarianceThreshold)),"Review","OK")</f>
        <v>0</v>
      </c>
      <c r="M3098" t="s">
        <v>1100</v>
      </c>
    </row>
    <row r="3099" spans="1:13">
      <c r="A3099" t="s">
        <v>4</v>
      </c>
      <c r="B3099" t="s">
        <v>922</v>
      </c>
      <c r="C3099" t="s">
        <v>2710</v>
      </c>
      <c r="D3099" t="s">
        <v>537</v>
      </c>
      <c r="E3099" cm="1">
        <f t="array" ref="E3099">_xlfn.XLOOKUP(D3099,SKU_Master!A:A,SKU_Master!B:B,"Not on master")</f>
        <v>0</v>
      </c>
      <c r="F3099" cm="1">
        <f t="array" ref="F3099">_xlfn.XLOOKUP(C3099,Account_Master!A:A,Account_Master!B:B,"Not on master")</f>
        <v>0</v>
      </c>
      <c r="G3099" cm="1">
        <f t="array" ref="G3099">_xlfn.XLOOKUP(C3099,Account_Master!A:A,Account_Master!C:C,"Not on master")</f>
        <v>0</v>
      </c>
      <c r="H3099" s="6">
        <v>1.5</v>
      </c>
      <c r="I3099" s="6">
        <v>0</v>
      </c>
      <c r="J3099" s="6">
        <f>I3099-H3099</f>
        <v>0</v>
      </c>
      <c r="K3099" s="5">
        <f>IF(H3099=0,"",J3099/H3099)</f>
        <v>0</v>
      </c>
      <c r="L3099">
        <f>IF(OR(AND(H3099=0,ABS(J3099)&gt;=0.01),AND(H3099&lt;&gt;0,ABS(K3099)&gt;VarianceThreshold)),"Review","OK")</f>
        <v>0</v>
      </c>
      <c r="M3099" t="s">
        <v>1100</v>
      </c>
    </row>
    <row r="3100" spans="1:13">
      <c r="A3100" t="s">
        <v>4</v>
      </c>
      <c r="B3100" t="s">
        <v>922</v>
      </c>
      <c r="C3100" t="s">
        <v>2447</v>
      </c>
      <c r="D3100" t="s">
        <v>901</v>
      </c>
      <c r="E3100" cm="1">
        <f t="array" ref="E3100">_xlfn.XLOOKUP(D3100,SKU_Master!A:A,SKU_Master!B:B,"Not on master")</f>
        <v>0</v>
      </c>
      <c r="F3100" cm="1">
        <f t="array" ref="F3100">_xlfn.XLOOKUP(C3100,Account_Master!A:A,Account_Master!B:B,"Not on master")</f>
        <v>0</v>
      </c>
      <c r="G3100" cm="1">
        <f t="array" ref="G3100">_xlfn.XLOOKUP(C3100,Account_Master!A:A,Account_Master!C:C,"Not on master")</f>
        <v>0</v>
      </c>
      <c r="H3100" s="6">
        <v>193.5</v>
      </c>
      <c r="I3100" s="6">
        <v>0</v>
      </c>
      <c r="J3100" s="6">
        <f>I3100-H3100</f>
        <v>0</v>
      </c>
      <c r="K3100" s="5">
        <f>IF(H3100=0,"",J3100/H3100)</f>
        <v>0</v>
      </c>
      <c r="L3100">
        <f>IF(OR(AND(H3100=0,ABS(J3100)&gt;=0.01),AND(H3100&lt;&gt;0,ABS(K3100)&gt;VarianceThreshold)),"Review","OK")</f>
        <v>0</v>
      </c>
      <c r="M3100" t="s">
        <v>1100</v>
      </c>
    </row>
    <row r="3101" spans="1:13">
      <c r="A3101" t="s">
        <v>4</v>
      </c>
      <c r="B3101" t="s">
        <v>922</v>
      </c>
      <c r="C3101" t="s">
        <v>2411</v>
      </c>
      <c r="D3101" t="s">
        <v>2720</v>
      </c>
      <c r="E3101" cm="1">
        <f t="array" ref="E3101">_xlfn.XLOOKUP(D3101,SKU_Master!A:A,SKU_Master!B:B,"Not on master")</f>
        <v>0</v>
      </c>
      <c r="F3101" cm="1">
        <f t="array" ref="F3101">_xlfn.XLOOKUP(C3101,Account_Master!A:A,Account_Master!B:B,"Not on master")</f>
        <v>0</v>
      </c>
      <c r="G3101" cm="1">
        <f t="array" ref="G3101">_xlfn.XLOOKUP(C3101,Account_Master!A:A,Account_Master!C:C,"Not on master")</f>
        <v>0</v>
      </c>
      <c r="H3101" s="6">
        <v>60</v>
      </c>
      <c r="I3101" s="6">
        <v>0</v>
      </c>
      <c r="J3101" s="6">
        <f>I3101-H3101</f>
        <v>0</v>
      </c>
      <c r="K3101" s="5">
        <f>IF(H3101=0,"",J3101/H3101)</f>
        <v>0</v>
      </c>
      <c r="L3101">
        <f>IF(OR(AND(H3101=0,ABS(J3101)&gt;=0.01),AND(H3101&lt;&gt;0,ABS(K3101)&gt;VarianceThreshold)),"Review","OK")</f>
        <v>0</v>
      </c>
      <c r="M3101" t="s">
        <v>1100</v>
      </c>
    </row>
    <row r="3102" spans="1:13">
      <c r="A3102" t="s">
        <v>4</v>
      </c>
      <c r="B3102" t="s">
        <v>922</v>
      </c>
      <c r="C3102" t="s">
        <v>2428</v>
      </c>
      <c r="D3102" t="s">
        <v>1844</v>
      </c>
      <c r="E3102" cm="1">
        <f t="array" ref="E3102">_xlfn.XLOOKUP(D3102,SKU_Master!A:A,SKU_Master!B:B,"Not on master")</f>
        <v>0</v>
      </c>
      <c r="F3102" cm="1">
        <f t="array" ref="F3102">_xlfn.XLOOKUP(C3102,Account_Master!A:A,Account_Master!B:B,"Not on master")</f>
        <v>0</v>
      </c>
      <c r="G3102" cm="1">
        <f t="array" ref="G3102">_xlfn.XLOOKUP(C3102,Account_Master!A:A,Account_Master!C:C,"Not on master")</f>
        <v>0</v>
      </c>
      <c r="H3102" s="6">
        <v>12.25</v>
      </c>
      <c r="I3102" s="6">
        <v>0</v>
      </c>
      <c r="J3102" s="6">
        <f>I3102-H3102</f>
        <v>0</v>
      </c>
      <c r="K3102" s="5">
        <f>IF(H3102=0,"",J3102/H3102)</f>
        <v>0</v>
      </c>
      <c r="L3102">
        <f>IF(OR(AND(H3102=0,ABS(J3102)&gt;=0.01),AND(H3102&lt;&gt;0,ABS(K3102)&gt;VarianceThreshold)),"Review","OK")</f>
        <v>0</v>
      </c>
      <c r="M3102" t="s">
        <v>1100</v>
      </c>
    </row>
    <row r="3103" spans="1:13">
      <c r="A3103" t="s">
        <v>4</v>
      </c>
      <c r="B3103" t="s">
        <v>934</v>
      </c>
      <c r="C3103" t="s">
        <v>2721</v>
      </c>
      <c r="D3103" t="s">
        <v>2722</v>
      </c>
      <c r="E3103" cm="1">
        <f t="array" ref="E3103">_xlfn.XLOOKUP(D3103,SKU_Master!A:A,SKU_Master!B:B,"Not on master")</f>
        <v>0</v>
      </c>
      <c r="F3103" cm="1">
        <f t="array" ref="F3103">_xlfn.XLOOKUP(C3103,Account_Master!A:A,Account_Master!B:B,"Not on master")</f>
        <v>0</v>
      </c>
      <c r="G3103" cm="1">
        <f t="array" ref="G3103">_xlfn.XLOOKUP(C3103,Account_Master!A:A,Account_Master!C:C,"Not on master")</f>
        <v>0</v>
      </c>
      <c r="H3103" s="6">
        <v>0.1</v>
      </c>
      <c r="I3103" s="6">
        <v>0.1</v>
      </c>
      <c r="J3103" s="6">
        <f>I3103-H3103</f>
        <v>0</v>
      </c>
      <c r="K3103" s="5">
        <f>IF(H3103=0,"",J3103/H3103)</f>
        <v>0</v>
      </c>
      <c r="L3103">
        <f>IF(OR(AND(H3103=0,ABS(J3103)&gt;=0.01),AND(H3103&lt;&gt;0,ABS(K3103)&gt;VarianceThreshold)),"Review","OK")</f>
        <v>0</v>
      </c>
      <c r="M3103" t="s">
        <v>33</v>
      </c>
    </row>
    <row r="3104" spans="1:13">
      <c r="A3104" t="s">
        <v>4</v>
      </c>
      <c r="B3104" t="s">
        <v>934</v>
      </c>
      <c r="C3104" t="s">
        <v>2457</v>
      </c>
      <c r="D3104" t="s">
        <v>2184</v>
      </c>
      <c r="E3104" cm="1">
        <f t="array" ref="E3104">_xlfn.XLOOKUP(D3104,SKU_Master!A:A,SKU_Master!B:B,"Not on master")</f>
        <v>0</v>
      </c>
      <c r="F3104" cm="1">
        <f t="array" ref="F3104">_xlfn.XLOOKUP(C3104,Account_Master!A:A,Account_Master!B:B,"Not on master")</f>
        <v>0</v>
      </c>
      <c r="G3104" cm="1">
        <f t="array" ref="G3104">_xlfn.XLOOKUP(C3104,Account_Master!A:A,Account_Master!C:C,"Not on master")</f>
        <v>0</v>
      </c>
      <c r="H3104" s="6">
        <v>24</v>
      </c>
      <c r="I3104" s="6">
        <v>24</v>
      </c>
      <c r="J3104" s="6">
        <f>I3104-H3104</f>
        <v>0</v>
      </c>
      <c r="K3104" s="5">
        <f>IF(H3104=0,"",J3104/H3104)</f>
        <v>0</v>
      </c>
      <c r="L3104">
        <f>IF(OR(AND(H3104=0,ABS(J3104)&gt;=0.01),AND(H3104&lt;&gt;0,ABS(K3104)&gt;VarianceThreshold)),"Review","OK")</f>
        <v>0</v>
      </c>
      <c r="M3104" t="s">
        <v>33</v>
      </c>
    </row>
    <row r="3105" spans="1:13">
      <c r="A3105" t="s">
        <v>4</v>
      </c>
      <c r="B3105" t="s">
        <v>934</v>
      </c>
      <c r="C3105" t="s">
        <v>2477</v>
      </c>
      <c r="D3105" t="s">
        <v>897</v>
      </c>
      <c r="E3105" cm="1">
        <f t="array" ref="E3105">_xlfn.XLOOKUP(D3105,SKU_Master!A:A,SKU_Master!B:B,"Not on master")</f>
        <v>0</v>
      </c>
      <c r="F3105" cm="1">
        <f t="array" ref="F3105">_xlfn.XLOOKUP(C3105,Account_Master!A:A,Account_Master!B:B,"Not on master")</f>
        <v>0</v>
      </c>
      <c r="G3105" cm="1">
        <f t="array" ref="G3105">_xlfn.XLOOKUP(C3105,Account_Master!A:A,Account_Master!C:C,"Not on master")</f>
        <v>0</v>
      </c>
      <c r="H3105" s="6">
        <v>2.25</v>
      </c>
      <c r="I3105" s="6">
        <v>2.25</v>
      </c>
      <c r="J3105" s="6">
        <f>I3105-H3105</f>
        <v>0</v>
      </c>
      <c r="K3105" s="5">
        <f>IF(H3105=0,"",J3105/H3105)</f>
        <v>0</v>
      </c>
      <c r="L3105">
        <f>IF(OR(AND(H3105=0,ABS(J3105)&gt;=0.01),AND(H3105&lt;&gt;0,ABS(K3105)&gt;VarianceThreshold)),"Review","OK")</f>
        <v>0</v>
      </c>
      <c r="M3105" t="s">
        <v>33</v>
      </c>
    </row>
    <row r="3106" spans="1:13">
      <c r="A3106" t="s">
        <v>4</v>
      </c>
      <c r="B3106" t="s">
        <v>934</v>
      </c>
      <c r="C3106" t="s">
        <v>2416</v>
      </c>
      <c r="D3106" t="s">
        <v>1549</v>
      </c>
      <c r="E3106" cm="1">
        <f t="array" ref="E3106">_xlfn.XLOOKUP(D3106,SKU_Master!A:A,SKU_Master!B:B,"Not on master")</f>
        <v>0</v>
      </c>
      <c r="F3106" cm="1">
        <f t="array" ref="F3106">_xlfn.XLOOKUP(C3106,Account_Master!A:A,Account_Master!B:B,"Not on master")</f>
        <v>0</v>
      </c>
      <c r="G3106" cm="1">
        <f t="array" ref="G3106">_xlfn.XLOOKUP(C3106,Account_Master!A:A,Account_Master!C:C,"Not on master")</f>
        <v>0</v>
      </c>
      <c r="H3106" s="6">
        <v>1.5</v>
      </c>
      <c r="I3106" s="6">
        <v>1.5</v>
      </c>
      <c r="J3106" s="6">
        <f>I3106-H3106</f>
        <v>0</v>
      </c>
      <c r="K3106" s="5">
        <f>IF(H3106=0,"",J3106/H3106)</f>
        <v>0</v>
      </c>
      <c r="L3106">
        <f>IF(OR(AND(H3106=0,ABS(J3106)&gt;=0.01),AND(H3106&lt;&gt;0,ABS(K3106)&gt;VarianceThreshold)),"Review","OK")</f>
        <v>0</v>
      </c>
      <c r="M3106" t="s">
        <v>33</v>
      </c>
    </row>
    <row r="3107" spans="1:13">
      <c r="A3107" t="s">
        <v>4</v>
      </c>
      <c r="B3107" t="s">
        <v>934</v>
      </c>
      <c r="C3107" t="s">
        <v>2658</v>
      </c>
      <c r="D3107" t="s">
        <v>2723</v>
      </c>
      <c r="E3107" cm="1">
        <f t="array" ref="E3107">_xlfn.XLOOKUP(D3107,SKU_Master!A:A,SKU_Master!B:B,"Not on master")</f>
        <v>0</v>
      </c>
      <c r="F3107" cm="1">
        <f t="array" ref="F3107">_xlfn.XLOOKUP(C3107,Account_Master!A:A,Account_Master!B:B,"Not on master")</f>
        <v>0</v>
      </c>
      <c r="G3107" cm="1">
        <f t="array" ref="G3107">_xlfn.XLOOKUP(C3107,Account_Master!A:A,Account_Master!C:C,"Not on master")</f>
        <v>0</v>
      </c>
      <c r="H3107" s="6">
        <v>9.75</v>
      </c>
      <c r="I3107" s="6">
        <v>9.75</v>
      </c>
      <c r="J3107" s="6">
        <f>I3107-H3107</f>
        <v>0</v>
      </c>
      <c r="K3107" s="5">
        <f>IF(H3107=0,"",J3107/H3107)</f>
        <v>0</v>
      </c>
      <c r="L3107">
        <f>IF(OR(AND(H3107=0,ABS(J3107)&gt;=0.01),AND(H3107&lt;&gt;0,ABS(K3107)&gt;VarianceThreshold)),"Review","OK")</f>
        <v>0</v>
      </c>
      <c r="M3107" t="s">
        <v>33</v>
      </c>
    </row>
    <row r="3108" spans="1:13">
      <c r="A3108" t="s">
        <v>4</v>
      </c>
      <c r="B3108" t="s">
        <v>944</v>
      </c>
      <c r="C3108" t="s">
        <v>2414</v>
      </c>
      <c r="D3108" t="s">
        <v>2724</v>
      </c>
      <c r="E3108" cm="1">
        <f t="array" ref="E3108">_xlfn.XLOOKUP(D3108,SKU_Master!A:A,SKU_Master!B:B,"Not on master")</f>
        <v>0</v>
      </c>
      <c r="F3108" cm="1">
        <f t="array" ref="F3108">_xlfn.XLOOKUP(C3108,Account_Master!A:A,Account_Master!B:B,"Not on master")</f>
        <v>0</v>
      </c>
      <c r="G3108" cm="1">
        <f t="array" ref="G3108">_xlfn.XLOOKUP(C3108,Account_Master!A:A,Account_Master!C:C,"Not on master")</f>
        <v>0</v>
      </c>
      <c r="H3108" s="6">
        <v>0.45</v>
      </c>
      <c r="I3108" s="6">
        <v>0.45</v>
      </c>
      <c r="J3108" s="6">
        <f>I3108-H3108</f>
        <v>0</v>
      </c>
      <c r="K3108" s="5">
        <f>IF(H3108=0,"",J3108/H3108)</f>
        <v>0</v>
      </c>
      <c r="L3108">
        <f>IF(OR(AND(H3108=0,ABS(J3108)&gt;=0.01),AND(H3108&lt;&gt;0,ABS(K3108)&gt;VarianceThreshold)),"Review","OK")</f>
        <v>0</v>
      </c>
      <c r="M3108" t="s">
        <v>33</v>
      </c>
    </row>
    <row r="3109" spans="1:13">
      <c r="A3109" t="s">
        <v>4</v>
      </c>
      <c r="B3109" t="s">
        <v>944</v>
      </c>
      <c r="C3109" t="s">
        <v>2493</v>
      </c>
      <c r="D3109" t="s">
        <v>2725</v>
      </c>
      <c r="E3109" cm="1">
        <f t="array" ref="E3109">_xlfn.XLOOKUP(D3109,SKU_Master!A:A,SKU_Master!B:B,"Not on master")</f>
        <v>0</v>
      </c>
      <c r="F3109" cm="1">
        <f t="array" ref="F3109">_xlfn.XLOOKUP(C3109,Account_Master!A:A,Account_Master!B:B,"Not on master")</f>
        <v>0</v>
      </c>
      <c r="G3109" cm="1">
        <f t="array" ref="G3109">_xlfn.XLOOKUP(C3109,Account_Master!A:A,Account_Master!C:C,"Not on master")</f>
        <v>0</v>
      </c>
      <c r="H3109" s="6">
        <v>96</v>
      </c>
      <c r="I3109" s="6">
        <v>96</v>
      </c>
      <c r="J3109" s="6">
        <f>I3109-H3109</f>
        <v>0</v>
      </c>
      <c r="K3109" s="5">
        <f>IF(H3109=0,"",J3109/H3109)</f>
        <v>0</v>
      </c>
      <c r="L3109">
        <f>IF(OR(AND(H3109=0,ABS(J3109)&gt;=0.01),AND(H3109&lt;&gt;0,ABS(K3109)&gt;VarianceThreshold)),"Review","OK")</f>
        <v>0</v>
      </c>
      <c r="M3109" t="s">
        <v>33</v>
      </c>
    </row>
    <row r="3110" spans="1:13">
      <c r="A3110" t="s">
        <v>4</v>
      </c>
      <c r="B3110" t="s">
        <v>944</v>
      </c>
      <c r="C3110" t="s">
        <v>2468</v>
      </c>
      <c r="D3110" t="s">
        <v>2726</v>
      </c>
      <c r="E3110" cm="1">
        <f t="array" ref="E3110">_xlfn.XLOOKUP(D3110,SKU_Master!A:A,SKU_Master!B:B,"Not on master")</f>
        <v>0</v>
      </c>
      <c r="F3110" cm="1">
        <f t="array" ref="F3110">_xlfn.XLOOKUP(C3110,Account_Master!A:A,Account_Master!B:B,"Not on master")</f>
        <v>0</v>
      </c>
      <c r="G3110" cm="1">
        <f t="array" ref="G3110">_xlfn.XLOOKUP(C3110,Account_Master!A:A,Account_Master!C:C,"Not on master")</f>
        <v>0</v>
      </c>
      <c r="H3110" s="6">
        <v>4.2</v>
      </c>
      <c r="I3110" s="6">
        <v>4.2</v>
      </c>
      <c r="J3110" s="6">
        <f>I3110-H3110</f>
        <v>0</v>
      </c>
      <c r="K3110" s="5">
        <f>IF(H3110=0,"",J3110/H3110)</f>
        <v>0</v>
      </c>
      <c r="L3110">
        <f>IF(OR(AND(H3110=0,ABS(J3110)&gt;=0.01),AND(H3110&lt;&gt;0,ABS(K3110)&gt;VarianceThreshold)),"Review","OK")</f>
        <v>0</v>
      </c>
      <c r="M3110" t="s">
        <v>33</v>
      </c>
    </row>
    <row r="3111" spans="1:13">
      <c r="A3111" t="s">
        <v>4</v>
      </c>
      <c r="B3111" t="s">
        <v>944</v>
      </c>
      <c r="C3111" t="s">
        <v>2443</v>
      </c>
      <c r="D3111" t="s">
        <v>2727</v>
      </c>
      <c r="E3111" cm="1">
        <f t="array" ref="E3111">_xlfn.XLOOKUP(D3111,SKU_Master!A:A,SKU_Master!B:B,"Not on master")</f>
        <v>0</v>
      </c>
      <c r="F3111" cm="1">
        <f t="array" ref="F3111">_xlfn.XLOOKUP(C3111,Account_Master!A:A,Account_Master!B:B,"Not on master")</f>
        <v>0</v>
      </c>
      <c r="G3111" cm="1">
        <f t="array" ref="G3111">_xlfn.XLOOKUP(C3111,Account_Master!A:A,Account_Master!C:C,"Not on master")</f>
        <v>0</v>
      </c>
      <c r="H3111" s="6">
        <v>18</v>
      </c>
      <c r="I3111" s="6">
        <v>18</v>
      </c>
      <c r="J3111" s="6">
        <f>I3111-H3111</f>
        <v>0</v>
      </c>
      <c r="K3111" s="5">
        <f>IF(H3111=0,"",J3111/H3111)</f>
        <v>0</v>
      </c>
      <c r="L3111">
        <f>IF(OR(AND(H3111=0,ABS(J3111)&gt;=0.01),AND(H3111&lt;&gt;0,ABS(K3111)&gt;VarianceThreshold)),"Review","OK")</f>
        <v>0</v>
      </c>
      <c r="M3111" t="s">
        <v>33</v>
      </c>
    </row>
    <row r="3112" spans="1:13">
      <c r="A3112" t="s">
        <v>4</v>
      </c>
      <c r="B3112" t="s">
        <v>944</v>
      </c>
      <c r="C3112" t="s">
        <v>2543</v>
      </c>
      <c r="D3112" t="s">
        <v>2728</v>
      </c>
      <c r="E3112" cm="1">
        <f t="array" ref="E3112">_xlfn.XLOOKUP(D3112,SKU_Master!A:A,SKU_Master!B:B,"Not on master")</f>
        <v>0</v>
      </c>
      <c r="F3112" cm="1">
        <f t="array" ref="F3112">_xlfn.XLOOKUP(C3112,Account_Master!A:A,Account_Master!B:B,"Not on master")</f>
        <v>0</v>
      </c>
      <c r="G3112" cm="1">
        <f t="array" ref="G3112">_xlfn.XLOOKUP(C3112,Account_Master!A:A,Account_Master!C:C,"Not on master")</f>
        <v>0</v>
      </c>
      <c r="H3112" s="6">
        <v>9</v>
      </c>
      <c r="I3112" s="6">
        <v>9</v>
      </c>
      <c r="J3112" s="6">
        <f>I3112-H3112</f>
        <v>0</v>
      </c>
      <c r="K3112" s="5">
        <f>IF(H3112=0,"",J3112/H3112)</f>
        <v>0</v>
      </c>
      <c r="L3112">
        <f>IF(OR(AND(H3112=0,ABS(J3112)&gt;=0.01),AND(H3112&lt;&gt;0,ABS(K3112)&gt;VarianceThreshold)),"Review","OK")</f>
        <v>0</v>
      </c>
      <c r="M3112" t="s">
        <v>33</v>
      </c>
    </row>
    <row r="3113" spans="1:13">
      <c r="A3113" t="s">
        <v>4</v>
      </c>
      <c r="B3113" t="s">
        <v>944</v>
      </c>
      <c r="C3113" t="s">
        <v>2729</v>
      </c>
      <c r="D3113" t="s">
        <v>2405</v>
      </c>
      <c r="E3113" cm="1">
        <f t="array" ref="E3113">_xlfn.XLOOKUP(D3113,SKU_Master!A:A,SKU_Master!B:B,"Not on master")</f>
        <v>0</v>
      </c>
      <c r="F3113" cm="1">
        <f t="array" ref="F3113">_xlfn.XLOOKUP(C3113,Account_Master!A:A,Account_Master!B:B,"Not on master")</f>
        <v>0</v>
      </c>
      <c r="G3113" cm="1">
        <f t="array" ref="G3113">_xlfn.XLOOKUP(C3113,Account_Master!A:A,Account_Master!C:C,"Not on master")</f>
        <v>0</v>
      </c>
      <c r="H3113" s="6">
        <v>70.5</v>
      </c>
      <c r="I3113" s="6">
        <v>70.5</v>
      </c>
      <c r="J3113" s="6">
        <f>I3113-H3113</f>
        <v>0</v>
      </c>
      <c r="K3113" s="5">
        <f>IF(H3113=0,"",J3113/H3113)</f>
        <v>0</v>
      </c>
      <c r="L3113">
        <f>IF(OR(AND(H3113=0,ABS(J3113)&gt;=0.01),AND(H3113&lt;&gt;0,ABS(K3113)&gt;VarianceThreshold)),"Review","OK")</f>
        <v>0</v>
      </c>
      <c r="M3113" t="s">
        <v>33</v>
      </c>
    </row>
    <row r="3114" spans="1:13">
      <c r="A3114" t="s">
        <v>4</v>
      </c>
      <c r="B3114" t="s">
        <v>944</v>
      </c>
      <c r="C3114" t="s">
        <v>2490</v>
      </c>
      <c r="D3114" t="s">
        <v>1003</v>
      </c>
      <c r="E3114" cm="1">
        <f t="array" ref="E3114">_xlfn.XLOOKUP(D3114,SKU_Master!A:A,SKU_Master!B:B,"Not on master")</f>
        <v>0</v>
      </c>
      <c r="F3114" cm="1">
        <f t="array" ref="F3114">_xlfn.XLOOKUP(C3114,Account_Master!A:A,Account_Master!B:B,"Not on master")</f>
        <v>0</v>
      </c>
      <c r="G3114" cm="1">
        <f t="array" ref="G3114">_xlfn.XLOOKUP(C3114,Account_Master!A:A,Account_Master!C:C,"Not on master")</f>
        <v>0</v>
      </c>
      <c r="H3114" s="6">
        <v>2.25</v>
      </c>
      <c r="I3114" s="6">
        <v>2.25</v>
      </c>
      <c r="J3114" s="6">
        <f>I3114-H3114</f>
        <v>0</v>
      </c>
      <c r="K3114" s="5">
        <f>IF(H3114=0,"",J3114/H3114)</f>
        <v>0</v>
      </c>
      <c r="L3114">
        <f>IF(OR(AND(H3114=0,ABS(J3114)&gt;=0.01),AND(H3114&lt;&gt;0,ABS(K3114)&gt;VarianceThreshold)),"Review","OK")</f>
        <v>0</v>
      </c>
      <c r="M3114" t="s">
        <v>33</v>
      </c>
    </row>
    <row r="3115" spans="1:13">
      <c r="A3115" t="s">
        <v>4</v>
      </c>
      <c r="B3115" t="s">
        <v>944</v>
      </c>
      <c r="C3115" t="s">
        <v>2730</v>
      </c>
      <c r="D3115" t="s">
        <v>2279</v>
      </c>
      <c r="E3115" cm="1">
        <f t="array" ref="E3115">_xlfn.XLOOKUP(D3115,SKU_Master!A:A,SKU_Master!B:B,"Not on master")</f>
        <v>0</v>
      </c>
      <c r="F3115" cm="1">
        <f t="array" ref="F3115">_xlfn.XLOOKUP(C3115,Account_Master!A:A,Account_Master!B:B,"Not on master")</f>
        <v>0</v>
      </c>
      <c r="G3115" cm="1">
        <f t="array" ref="G3115">_xlfn.XLOOKUP(C3115,Account_Master!A:A,Account_Master!C:C,"Not on master")</f>
        <v>0</v>
      </c>
      <c r="H3115" s="6">
        <v>80.23999999999999</v>
      </c>
      <c r="I3115" s="6">
        <v>80.23999999999999</v>
      </c>
      <c r="J3115" s="6">
        <f>I3115-H3115</f>
        <v>0</v>
      </c>
      <c r="K3115" s="5">
        <f>IF(H3115=0,"",J3115/H3115)</f>
        <v>0</v>
      </c>
      <c r="L3115">
        <f>IF(OR(AND(H3115=0,ABS(J3115)&gt;=0.01),AND(H3115&lt;&gt;0,ABS(K3115)&gt;VarianceThreshold)),"Review","OK")</f>
        <v>0</v>
      </c>
      <c r="M3115" t="s">
        <v>33</v>
      </c>
    </row>
    <row r="3116" spans="1:13">
      <c r="A3116" t="s">
        <v>4</v>
      </c>
      <c r="B3116" t="s">
        <v>944</v>
      </c>
      <c r="C3116" t="s">
        <v>2644</v>
      </c>
      <c r="D3116" t="s">
        <v>1300</v>
      </c>
      <c r="E3116" cm="1">
        <f t="array" ref="E3116">_xlfn.XLOOKUP(D3116,SKU_Master!A:A,SKU_Master!B:B,"Not on master")</f>
        <v>0</v>
      </c>
      <c r="F3116" cm="1">
        <f t="array" ref="F3116">_xlfn.XLOOKUP(C3116,Account_Master!A:A,Account_Master!B:B,"Not on master")</f>
        <v>0</v>
      </c>
      <c r="G3116" cm="1">
        <f t="array" ref="G3116">_xlfn.XLOOKUP(C3116,Account_Master!A:A,Account_Master!C:C,"Not on master")</f>
        <v>0</v>
      </c>
      <c r="H3116" s="6">
        <v>10.5</v>
      </c>
      <c r="I3116" s="6">
        <v>10.5</v>
      </c>
      <c r="J3116" s="6">
        <f>I3116-H3116</f>
        <v>0</v>
      </c>
      <c r="K3116" s="5">
        <f>IF(H3116=0,"",J3116/H3116)</f>
        <v>0</v>
      </c>
      <c r="L3116">
        <f>IF(OR(AND(H3116=0,ABS(J3116)&gt;=0.01),AND(H3116&lt;&gt;0,ABS(K3116)&gt;VarianceThreshold)),"Review","OK")</f>
        <v>0</v>
      </c>
      <c r="M3116" t="s">
        <v>33</v>
      </c>
    </row>
    <row r="3117" spans="1:13">
      <c r="A3117" t="s">
        <v>4</v>
      </c>
      <c r="B3117" t="s">
        <v>944</v>
      </c>
      <c r="C3117" t="s">
        <v>2441</v>
      </c>
      <c r="D3117" t="s">
        <v>1526</v>
      </c>
      <c r="E3117" cm="1">
        <f t="array" ref="E3117">_xlfn.XLOOKUP(D3117,SKU_Master!A:A,SKU_Master!B:B,"Not on master")</f>
        <v>0</v>
      </c>
      <c r="F3117" cm="1">
        <f t="array" ref="F3117">_xlfn.XLOOKUP(C3117,Account_Master!A:A,Account_Master!B:B,"Not on master")</f>
        <v>0</v>
      </c>
      <c r="G3117" cm="1">
        <f t="array" ref="G3117">_xlfn.XLOOKUP(C3117,Account_Master!A:A,Account_Master!C:C,"Not on master")</f>
        <v>0</v>
      </c>
      <c r="H3117" s="6">
        <v>13.5</v>
      </c>
      <c r="I3117" s="6">
        <v>13.5</v>
      </c>
      <c r="J3117" s="6">
        <f>I3117-H3117</f>
        <v>0</v>
      </c>
      <c r="K3117" s="5">
        <f>IF(H3117=0,"",J3117/H3117)</f>
        <v>0</v>
      </c>
      <c r="L3117">
        <f>IF(OR(AND(H3117=0,ABS(J3117)&gt;=0.01),AND(H3117&lt;&gt;0,ABS(K3117)&gt;VarianceThreshold)),"Review","OK")</f>
        <v>0</v>
      </c>
      <c r="M3117" t="s">
        <v>33</v>
      </c>
    </row>
    <row r="3118" spans="1:13">
      <c r="A3118" t="s">
        <v>4</v>
      </c>
      <c r="B3118" t="s">
        <v>944</v>
      </c>
      <c r="C3118" t="s">
        <v>2414</v>
      </c>
      <c r="D3118" t="s">
        <v>2731</v>
      </c>
      <c r="E3118" cm="1">
        <f t="array" ref="E3118">_xlfn.XLOOKUP(D3118,SKU_Master!A:A,SKU_Master!B:B,"Not on master")</f>
        <v>0</v>
      </c>
      <c r="F3118" cm="1">
        <f t="array" ref="F3118">_xlfn.XLOOKUP(C3118,Account_Master!A:A,Account_Master!B:B,"Not on master")</f>
        <v>0</v>
      </c>
      <c r="G3118" cm="1">
        <f t="array" ref="G3118">_xlfn.XLOOKUP(C3118,Account_Master!A:A,Account_Master!C:C,"Not on master")</f>
        <v>0</v>
      </c>
      <c r="H3118" s="6">
        <v>4.5</v>
      </c>
      <c r="I3118" s="6">
        <v>4.5</v>
      </c>
      <c r="J3118" s="6">
        <f>I3118-H3118</f>
        <v>0</v>
      </c>
      <c r="K3118" s="5">
        <f>IF(H3118=0,"",J3118/H3118)</f>
        <v>0</v>
      </c>
      <c r="L3118">
        <f>IF(OR(AND(H3118=0,ABS(J3118)&gt;=0.01),AND(H3118&lt;&gt;0,ABS(K3118)&gt;VarianceThreshold)),"Review","OK")</f>
        <v>0</v>
      </c>
      <c r="M3118" t="s">
        <v>33</v>
      </c>
    </row>
    <row r="3119" spans="1:13">
      <c r="A3119" t="s">
        <v>4</v>
      </c>
      <c r="B3119" t="s">
        <v>952</v>
      </c>
      <c r="C3119" t="s">
        <v>2477</v>
      </c>
      <c r="D3119" t="s">
        <v>2732</v>
      </c>
      <c r="E3119" cm="1">
        <f t="array" ref="E3119">_xlfn.XLOOKUP(D3119,SKU_Master!A:A,SKU_Master!B:B,"Not on master")</f>
        <v>0</v>
      </c>
      <c r="F3119" cm="1">
        <f t="array" ref="F3119">_xlfn.XLOOKUP(C3119,Account_Master!A:A,Account_Master!B:B,"Not on master")</f>
        <v>0</v>
      </c>
      <c r="G3119" cm="1">
        <f t="array" ref="G3119">_xlfn.XLOOKUP(C3119,Account_Master!A:A,Account_Master!C:C,"Not on master")</f>
        <v>0</v>
      </c>
      <c r="H3119" s="6">
        <v>31.5</v>
      </c>
      <c r="I3119" s="6">
        <v>31.5</v>
      </c>
      <c r="J3119" s="6">
        <f>I3119-H3119</f>
        <v>0</v>
      </c>
      <c r="K3119" s="5">
        <f>IF(H3119=0,"",J3119/H3119)</f>
        <v>0</v>
      </c>
      <c r="L3119">
        <f>IF(OR(AND(H3119=0,ABS(J3119)&gt;=0.01),AND(H3119&lt;&gt;0,ABS(K3119)&gt;VarianceThreshold)),"Review","OK")</f>
        <v>0</v>
      </c>
      <c r="M3119" t="s">
        <v>33</v>
      </c>
    </row>
    <row r="3120" spans="1:13">
      <c r="A3120" t="s">
        <v>4</v>
      </c>
      <c r="B3120" t="s">
        <v>952</v>
      </c>
      <c r="C3120" t="s">
        <v>2540</v>
      </c>
      <c r="D3120" t="s">
        <v>1477</v>
      </c>
      <c r="E3120" cm="1">
        <f t="array" ref="E3120">_xlfn.XLOOKUP(D3120,SKU_Master!A:A,SKU_Master!B:B,"Not on master")</f>
        <v>0</v>
      </c>
      <c r="F3120" cm="1">
        <f t="array" ref="F3120">_xlfn.XLOOKUP(C3120,Account_Master!A:A,Account_Master!B:B,"Not on master")</f>
        <v>0</v>
      </c>
      <c r="G3120" cm="1">
        <f t="array" ref="G3120">_xlfn.XLOOKUP(C3120,Account_Master!A:A,Account_Master!C:C,"Not on master")</f>
        <v>0</v>
      </c>
      <c r="H3120" s="6">
        <v>4.5</v>
      </c>
      <c r="I3120" s="6">
        <v>4.5</v>
      </c>
      <c r="J3120" s="6">
        <f>I3120-H3120</f>
        <v>0</v>
      </c>
      <c r="K3120" s="5">
        <f>IF(H3120=0,"",J3120/H3120)</f>
        <v>0</v>
      </c>
      <c r="L3120">
        <f>IF(OR(AND(H3120=0,ABS(J3120)&gt;=0.01),AND(H3120&lt;&gt;0,ABS(K3120)&gt;VarianceThreshold)),"Review","OK")</f>
        <v>0</v>
      </c>
      <c r="M3120" t="s">
        <v>33</v>
      </c>
    </row>
    <row r="3121" spans="1:13">
      <c r="A3121" t="s">
        <v>4</v>
      </c>
      <c r="B3121" t="s">
        <v>952</v>
      </c>
      <c r="C3121" t="s">
        <v>2612</v>
      </c>
      <c r="D3121" t="s">
        <v>1354</v>
      </c>
      <c r="E3121" cm="1">
        <f t="array" ref="E3121">_xlfn.XLOOKUP(D3121,SKU_Master!A:A,SKU_Master!B:B,"Not on master")</f>
        <v>0</v>
      </c>
      <c r="F3121" cm="1">
        <f t="array" ref="F3121">_xlfn.XLOOKUP(C3121,Account_Master!A:A,Account_Master!B:B,"Not on master")</f>
        <v>0</v>
      </c>
      <c r="G3121" cm="1">
        <f t="array" ref="G3121">_xlfn.XLOOKUP(C3121,Account_Master!A:A,Account_Master!C:C,"Not on master")</f>
        <v>0</v>
      </c>
      <c r="H3121" s="6">
        <v>1.5</v>
      </c>
      <c r="I3121" s="6">
        <v>1.5</v>
      </c>
      <c r="J3121" s="6">
        <f>I3121-H3121</f>
        <v>0</v>
      </c>
      <c r="K3121" s="5">
        <f>IF(H3121=0,"",J3121/H3121)</f>
        <v>0</v>
      </c>
      <c r="L3121">
        <f>IF(OR(AND(H3121=0,ABS(J3121)&gt;=0.01),AND(H3121&lt;&gt;0,ABS(K3121)&gt;VarianceThreshold)),"Review","OK")</f>
        <v>0</v>
      </c>
      <c r="M3121" t="s">
        <v>33</v>
      </c>
    </row>
    <row r="3122" spans="1:13">
      <c r="A3122" t="s">
        <v>4</v>
      </c>
      <c r="B3122" t="s">
        <v>952</v>
      </c>
      <c r="C3122" t="s">
        <v>2579</v>
      </c>
      <c r="D3122" t="s">
        <v>315</v>
      </c>
      <c r="E3122" cm="1">
        <f t="array" ref="E3122">_xlfn.XLOOKUP(D3122,SKU_Master!A:A,SKU_Master!B:B,"Not on master")</f>
        <v>0</v>
      </c>
      <c r="F3122" cm="1">
        <f t="array" ref="F3122">_xlfn.XLOOKUP(C3122,Account_Master!A:A,Account_Master!B:B,"Not on master")</f>
        <v>0</v>
      </c>
      <c r="G3122" cm="1">
        <f t="array" ref="G3122">_xlfn.XLOOKUP(C3122,Account_Master!A:A,Account_Master!C:C,"Not on master")</f>
        <v>0</v>
      </c>
      <c r="H3122" s="6">
        <v>71</v>
      </c>
      <c r="I3122" s="6">
        <v>71</v>
      </c>
      <c r="J3122" s="6">
        <f>I3122-H3122</f>
        <v>0</v>
      </c>
      <c r="K3122" s="5">
        <f>IF(H3122=0,"",J3122/H3122)</f>
        <v>0</v>
      </c>
      <c r="L3122">
        <f>IF(OR(AND(H3122=0,ABS(J3122)&gt;=0.01),AND(H3122&lt;&gt;0,ABS(K3122)&gt;VarianceThreshold)),"Review","OK")</f>
        <v>0</v>
      </c>
      <c r="M3122" t="s">
        <v>33</v>
      </c>
    </row>
    <row r="3123" spans="1:13">
      <c r="A3123" t="s">
        <v>4</v>
      </c>
      <c r="B3123" t="s">
        <v>952</v>
      </c>
      <c r="C3123" t="s">
        <v>2480</v>
      </c>
      <c r="D3123" t="s">
        <v>276</v>
      </c>
      <c r="E3123" cm="1">
        <f t="array" ref="E3123">_xlfn.XLOOKUP(D3123,SKU_Master!A:A,SKU_Master!B:B,"Not on master")</f>
        <v>0</v>
      </c>
      <c r="F3123" cm="1">
        <f t="array" ref="F3123">_xlfn.XLOOKUP(C3123,Account_Master!A:A,Account_Master!B:B,"Not on master")</f>
        <v>0</v>
      </c>
      <c r="G3123" cm="1">
        <f t="array" ref="G3123">_xlfn.XLOOKUP(C3123,Account_Master!A:A,Account_Master!C:C,"Not on master")</f>
        <v>0</v>
      </c>
      <c r="H3123" s="6">
        <v>13.5</v>
      </c>
      <c r="I3123" s="6">
        <v>13.5</v>
      </c>
      <c r="J3123" s="6">
        <f>I3123-H3123</f>
        <v>0</v>
      </c>
      <c r="K3123" s="5">
        <f>IF(H3123=0,"",J3123/H3123)</f>
        <v>0</v>
      </c>
      <c r="L3123">
        <f>IF(OR(AND(H3123=0,ABS(J3123)&gt;=0.01),AND(H3123&lt;&gt;0,ABS(K3123)&gt;VarianceThreshold)),"Review","OK")</f>
        <v>0</v>
      </c>
      <c r="M3123" t="s">
        <v>33</v>
      </c>
    </row>
    <row r="3124" spans="1:13">
      <c r="A3124" t="s">
        <v>4</v>
      </c>
      <c r="B3124" t="s">
        <v>952</v>
      </c>
      <c r="C3124" t="s">
        <v>2503</v>
      </c>
      <c r="D3124" t="s">
        <v>1948</v>
      </c>
      <c r="E3124" cm="1">
        <f t="array" ref="E3124">_xlfn.XLOOKUP(D3124,SKU_Master!A:A,SKU_Master!B:B,"Not on master")</f>
        <v>0</v>
      </c>
      <c r="F3124" cm="1">
        <f t="array" ref="F3124">_xlfn.XLOOKUP(C3124,Account_Master!A:A,Account_Master!B:B,"Not on master")</f>
        <v>0</v>
      </c>
      <c r="G3124" cm="1">
        <f t="array" ref="G3124">_xlfn.XLOOKUP(C3124,Account_Master!A:A,Account_Master!C:C,"Not on master")</f>
        <v>0</v>
      </c>
      <c r="H3124" s="6">
        <v>48</v>
      </c>
      <c r="I3124" s="6">
        <v>48</v>
      </c>
      <c r="J3124" s="6">
        <f>I3124-H3124</f>
        <v>0</v>
      </c>
      <c r="K3124" s="5">
        <f>IF(H3124=0,"",J3124/H3124)</f>
        <v>0</v>
      </c>
      <c r="L3124">
        <f>IF(OR(AND(H3124=0,ABS(J3124)&gt;=0.01),AND(H3124&lt;&gt;0,ABS(K3124)&gt;VarianceThreshold)),"Review","OK")</f>
        <v>0</v>
      </c>
      <c r="M3124" t="s">
        <v>33</v>
      </c>
    </row>
    <row r="3125" spans="1:13">
      <c r="A3125" t="s">
        <v>4</v>
      </c>
      <c r="B3125" t="s">
        <v>952</v>
      </c>
      <c r="C3125" t="s">
        <v>2457</v>
      </c>
      <c r="D3125" t="s">
        <v>426</v>
      </c>
      <c r="E3125" cm="1">
        <f t="array" ref="E3125">_xlfn.XLOOKUP(D3125,SKU_Master!A:A,SKU_Master!B:B,"Not on master")</f>
        <v>0</v>
      </c>
      <c r="F3125" cm="1">
        <f t="array" ref="F3125">_xlfn.XLOOKUP(C3125,Account_Master!A:A,Account_Master!B:B,"Not on master")</f>
        <v>0</v>
      </c>
      <c r="G3125" cm="1">
        <f t="array" ref="G3125">_xlfn.XLOOKUP(C3125,Account_Master!A:A,Account_Master!C:C,"Not on master")</f>
        <v>0</v>
      </c>
      <c r="H3125" s="6">
        <v>12</v>
      </c>
      <c r="I3125" s="6">
        <v>12</v>
      </c>
      <c r="J3125" s="6">
        <f>I3125-H3125</f>
        <v>0</v>
      </c>
      <c r="K3125" s="5">
        <f>IF(H3125=0,"",J3125/H3125)</f>
        <v>0</v>
      </c>
      <c r="L3125">
        <f>IF(OR(AND(H3125=0,ABS(J3125)&gt;=0.01),AND(H3125&lt;&gt;0,ABS(K3125)&gt;VarianceThreshold)),"Review","OK")</f>
        <v>0</v>
      </c>
      <c r="M3125" t="s">
        <v>33</v>
      </c>
    </row>
    <row r="3126" spans="1:13">
      <c r="A3126" t="s">
        <v>4</v>
      </c>
      <c r="B3126" t="s">
        <v>952</v>
      </c>
      <c r="C3126" t="s">
        <v>2519</v>
      </c>
      <c r="D3126" t="s">
        <v>1098</v>
      </c>
      <c r="E3126" cm="1">
        <f t="array" ref="E3126">_xlfn.XLOOKUP(D3126,SKU_Master!A:A,SKU_Master!B:B,"Not on master")</f>
        <v>0</v>
      </c>
      <c r="F3126" cm="1">
        <f t="array" ref="F3126">_xlfn.XLOOKUP(C3126,Account_Master!A:A,Account_Master!B:B,"Not on master")</f>
        <v>0</v>
      </c>
      <c r="G3126" cm="1">
        <f t="array" ref="G3126">_xlfn.XLOOKUP(C3126,Account_Master!A:A,Account_Master!C:C,"Not on master")</f>
        <v>0</v>
      </c>
      <c r="H3126" s="6">
        <v>1.5</v>
      </c>
      <c r="I3126" s="6">
        <v>1.5</v>
      </c>
      <c r="J3126" s="6">
        <f>I3126-H3126</f>
        <v>0</v>
      </c>
      <c r="K3126" s="5">
        <f>IF(H3126=0,"",J3126/H3126)</f>
        <v>0</v>
      </c>
      <c r="L3126">
        <f>IF(OR(AND(H3126=0,ABS(J3126)&gt;=0.01),AND(H3126&lt;&gt;0,ABS(K3126)&gt;VarianceThreshold)),"Review","OK")</f>
        <v>0</v>
      </c>
      <c r="M3126" t="s">
        <v>33</v>
      </c>
    </row>
    <row r="3127" spans="1:13">
      <c r="A3127" t="s">
        <v>4</v>
      </c>
      <c r="B3127" t="s">
        <v>961</v>
      </c>
      <c r="C3127" t="s">
        <v>2512</v>
      </c>
      <c r="D3127" t="s">
        <v>373</v>
      </c>
      <c r="E3127" cm="1">
        <f t="array" ref="E3127">_xlfn.XLOOKUP(D3127,SKU_Master!A:A,SKU_Master!B:B,"Not on master")</f>
        <v>0</v>
      </c>
      <c r="F3127" cm="1">
        <f t="array" ref="F3127">_xlfn.XLOOKUP(C3127,Account_Master!A:A,Account_Master!B:B,"Not on master")</f>
        <v>0</v>
      </c>
      <c r="G3127" cm="1">
        <f t="array" ref="G3127">_xlfn.XLOOKUP(C3127,Account_Master!A:A,Account_Master!C:C,"Not on master")</f>
        <v>0</v>
      </c>
      <c r="H3127" s="6">
        <v>3.2</v>
      </c>
      <c r="I3127" s="6">
        <v>3.2</v>
      </c>
      <c r="J3127" s="6">
        <f>I3127-H3127</f>
        <v>0</v>
      </c>
      <c r="K3127" s="5">
        <f>IF(H3127=0,"",J3127/H3127)</f>
        <v>0</v>
      </c>
      <c r="L3127">
        <f>IF(OR(AND(H3127=0,ABS(J3127)&gt;=0.01),AND(H3127&lt;&gt;0,ABS(K3127)&gt;VarianceThreshold)),"Review","OK")</f>
        <v>0</v>
      </c>
      <c r="M3127" t="s">
        <v>33</v>
      </c>
    </row>
    <row r="3128" spans="1:13">
      <c r="A3128" t="s">
        <v>4</v>
      </c>
      <c r="B3128" t="s">
        <v>961</v>
      </c>
      <c r="C3128" t="s">
        <v>2410</v>
      </c>
      <c r="D3128" t="s">
        <v>2733</v>
      </c>
      <c r="E3128" cm="1">
        <f t="array" ref="E3128">_xlfn.XLOOKUP(D3128,SKU_Master!A:A,SKU_Master!B:B,"Not on master")</f>
        <v>0</v>
      </c>
      <c r="F3128" cm="1">
        <f t="array" ref="F3128">_xlfn.XLOOKUP(C3128,Account_Master!A:A,Account_Master!B:B,"Not on master")</f>
        <v>0</v>
      </c>
      <c r="G3128" cm="1">
        <f t="array" ref="G3128">_xlfn.XLOOKUP(C3128,Account_Master!A:A,Account_Master!C:C,"Not on master")</f>
        <v>0</v>
      </c>
      <c r="H3128" s="6">
        <v>0.75</v>
      </c>
      <c r="I3128" s="6">
        <v>0.75</v>
      </c>
      <c r="J3128" s="6">
        <f>I3128-H3128</f>
        <v>0</v>
      </c>
      <c r="K3128" s="5">
        <f>IF(H3128=0,"",J3128/H3128)</f>
        <v>0</v>
      </c>
      <c r="L3128">
        <f>IF(OR(AND(H3128=0,ABS(J3128)&gt;=0.01),AND(H3128&lt;&gt;0,ABS(K3128)&gt;VarianceThreshold)),"Review","OK")</f>
        <v>0</v>
      </c>
      <c r="M3128" t="s">
        <v>33</v>
      </c>
    </row>
    <row r="3129" spans="1:13">
      <c r="A3129" t="s">
        <v>4</v>
      </c>
      <c r="B3129" t="s">
        <v>961</v>
      </c>
      <c r="C3129" t="s">
        <v>2416</v>
      </c>
      <c r="D3129" t="s">
        <v>2734</v>
      </c>
      <c r="E3129" cm="1">
        <f t="array" ref="E3129">_xlfn.XLOOKUP(D3129,SKU_Master!A:A,SKU_Master!B:B,"Not on master")</f>
        <v>0</v>
      </c>
      <c r="F3129" cm="1">
        <f t="array" ref="F3129">_xlfn.XLOOKUP(C3129,Account_Master!A:A,Account_Master!B:B,"Not on master")</f>
        <v>0</v>
      </c>
      <c r="G3129" cm="1">
        <f t="array" ref="G3129">_xlfn.XLOOKUP(C3129,Account_Master!A:A,Account_Master!C:C,"Not on master")</f>
        <v>0</v>
      </c>
      <c r="H3129" s="6">
        <v>0.75</v>
      </c>
      <c r="I3129" s="6">
        <v>0.75</v>
      </c>
      <c r="J3129" s="6">
        <f>I3129-H3129</f>
        <v>0</v>
      </c>
      <c r="K3129" s="5">
        <f>IF(H3129=0,"",J3129/H3129)</f>
        <v>0</v>
      </c>
      <c r="L3129">
        <f>IF(OR(AND(H3129=0,ABS(J3129)&gt;=0.01),AND(H3129&lt;&gt;0,ABS(K3129)&gt;VarianceThreshold)),"Review","OK")</f>
        <v>0</v>
      </c>
      <c r="M3129" t="s">
        <v>33</v>
      </c>
    </row>
    <row r="3130" spans="1:13">
      <c r="A3130" t="s">
        <v>4</v>
      </c>
      <c r="B3130" t="s">
        <v>961</v>
      </c>
      <c r="C3130" t="s">
        <v>2477</v>
      </c>
      <c r="D3130" t="s">
        <v>259</v>
      </c>
      <c r="E3130" cm="1">
        <f t="array" ref="E3130">_xlfn.XLOOKUP(D3130,SKU_Master!A:A,SKU_Master!B:B,"Not on master")</f>
        <v>0</v>
      </c>
      <c r="F3130" cm="1">
        <f t="array" ref="F3130">_xlfn.XLOOKUP(C3130,Account_Master!A:A,Account_Master!B:B,"Not on master")</f>
        <v>0</v>
      </c>
      <c r="G3130" cm="1">
        <f t="array" ref="G3130">_xlfn.XLOOKUP(C3130,Account_Master!A:A,Account_Master!C:C,"Not on master")</f>
        <v>0</v>
      </c>
      <c r="H3130" s="6">
        <v>9</v>
      </c>
      <c r="I3130" s="6">
        <v>9</v>
      </c>
      <c r="J3130" s="6">
        <f>I3130-H3130</f>
        <v>0</v>
      </c>
      <c r="K3130" s="5">
        <f>IF(H3130=0,"",J3130/H3130)</f>
        <v>0</v>
      </c>
      <c r="L3130">
        <f>IF(OR(AND(H3130=0,ABS(J3130)&gt;=0.01),AND(H3130&lt;&gt;0,ABS(K3130)&gt;VarianceThreshold)),"Review","OK")</f>
        <v>0</v>
      </c>
      <c r="M3130" t="s">
        <v>33</v>
      </c>
    </row>
    <row r="3131" spans="1:13">
      <c r="A3131" t="s">
        <v>4</v>
      </c>
      <c r="B3131" t="s">
        <v>961</v>
      </c>
      <c r="C3131" t="s">
        <v>2453</v>
      </c>
      <c r="D3131" t="s">
        <v>951</v>
      </c>
      <c r="E3131" cm="1">
        <f t="array" ref="E3131">_xlfn.XLOOKUP(D3131,SKU_Master!A:A,SKU_Master!B:B,"Not on master")</f>
        <v>0</v>
      </c>
      <c r="F3131" cm="1">
        <f t="array" ref="F3131">_xlfn.XLOOKUP(C3131,Account_Master!A:A,Account_Master!B:B,"Not on master")</f>
        <v>0</v>
      </c>
      <c r="G3131" cm="1">
        <f t="array" ref="G3131">_xlfn.XLOOKUP(C3131,Account_Master!A:A,Account_Master!C:C,"Not on master")</f>
        <v>0</v>
      </c>
      <c r="H3131" s="6">
        <v>30</v>
      </c>
      <c r="I3131" s="6">
        <v>30</v>
      </c>
      <c r="J3131" s="6">
        <f>I3131-H3131</f>
        <v>0</v>
      </c>
      <c r="K3131" s="5">
        <f>IF(H3131=0,"",J3131/H3131)</f>
        <v>0</v>
      </c>
      <c r="L3131">
        <f>IF(OR(AND(H3131=0,ABS(J3131)&gt;=0.01),AND(H3131&lt;&gt;0,ABS(K3131)&gt;VarianceThreshold)),"Review","OK")</f>
        <v>0</v>
      </c>
      <c r="M3131" t="s">
        <v>33</v>
      </c>
    </row>
    <row r="3132" spans="1:13">
      <c r="A3132" t="s">
        <v>4</v>
      </c>
      <c r="B3132" t="s">
        <v>966</v>
      </c>
      <c r="C3132" t="s">
        <v>2480</v>
      </c>
      <c r="D3132" t="s">
        <v>2735</v>
      </c>
      <c r="E3132" cm="1">
        <f t="array" ref="E3132">_xlfn.XLOOKUP(D3132,SKU_Master!A:A,SKU_Master!B:B,"Not on master")</f>
        <v>0</v>
      </c>
      <c r="F3132" cm="1">
        <f t="array" ref="F3132">_xlfn.XLOOKUP(C3132,Account_Master!A:A,Account_Master!B:B,"Not on master")</f>
        <v>0</v>
      </c>
      <c r="G3132" cm="1">
        <f t="array" ref="G3132">_xlfn.XLOOKUP(C3132,Account_Master!A:A,Account_Master!C:C,"Not on master")</f>
        <v>0</v>
      </c>
      <c r="H3132" s="6">
        <v>12</v>
      </c>
      <c r="I3132" s="6">
        <v>12</v>
      </c>
      <c r="J3132" s="6">
        <f>I3132-H3132</f>
        <v>0</v>
      </c>
      <c r="K3132" s="5">
        <f>IF(H3132=0,"",J3132/H3132)</f>
        <v>0</v>
      </c>
      <c r="L3132">
        <f>IF(OR(AND(H3132=0,ABS(J3132)&gt;=0.01),AND(H3132&lt;&gt;0,ABS(K3132)&gt;VarianceThreshold)),"Review","OK")</f>
        <v>0</v>
      </c>
      <c r="M3132" t="s">
        <v>33</v>
      </c>
    </row>
    <row r="3133" spans="1:13">
      <c r="A3133" t="s">
        <v>4</v>
      </c>
      <c r="B3133" t="s">
        <v>966</v>
      </c>
      <c r="C3133" t="s">
        <v>2663</v>
      </c>
      <c r="D3133" t="s">
        <v>1760</v>
      </c>
      <c r="E3133" cm="1">
        <f t="array" ref="E3133">_xlfn.XLOOKUP(D3133,SKU_Master!A:A,SKU_Master!B:B,"Not on master")</f>
        <v>0</v>
      </c>
      <c r="F3133" cm="1">
        <f t="array" ref="F3133">_xlfn.XLOOKUP(C3133,Account_Master!A:A,Account_Master!B:B,"Not on master")</f>
        <v>0</v>
      </c>
      <c r="G3133" cm="1">
        <f t="array" ref="G3133">_xlfn.XLOOKUP(C3133,Account_Master!A:A,Account_Master!C:C,"Not on master")</f>
        <v>0</v>
      </c>
      <c r="H3133" s="6">
        <v>1.75</v>
      </c>
      <c r="I3133" s="6">
        <v>1.75</v>
      </c>
      <c r="J3133" s="6">
        <f>I3133-H3133</f>
        <v>0</v>
      </c>
      <c r="K3133" s="5">
        <f>IF(H3133=0,"",J3133/H3133)</f>
        <v>0</v>
      </c>
      <c r="L3133">
        <f>IF(OR(AND(H3133=0,ABS(J3133)&gt;=0.01),AND(H3133&lt;&gt;0,ABS(K3133)&gt;VarianceThreshold)),"Review","OK")</f>
        <v>0</v>
      </c>
      <c r="M3133" t="s">
        <v>33</v>
      </c>
    </row>
    <row r="3134" spans="1:13">
      <c r="A3134" t="s">
        <v>4</v>
      </c>
      <c r="B3134" t="s">
        <v>966</v>
      </c>
      <c r="C3134" t="s">
        <v>2428</v>
      </c>
      <c r="D3134" t="s">
        <v>1290</v>
      </c>
      <c r="E3134" cm="1">
        <f t="array" ref="E3134">_xlfn.XLOOKUP(D3134,SKU_Master!A:A,SKU_Master!B:B,"Not on master")</f>
        <v>0</v>
      </c>
      <c r="F3134" cm="1">
        <f t="array" ref="F3134">_xlfn.XLOOKUP(C3134,Account_Master!A:A,Account_Master!B:B,"Not on master")</f>
        <v>0</v>
      </c>
      <c r="G3134" cm="1">
        <f t="array" ref="G3134">_xlfn.XLOOKUP(C3134,Account_Master!A:A,Account_Master!C:C,"Not on master")</f>
        <v>0</v>
      </c>
      <c r="H3134" s="6">
        <v>16.5</v>
      </c>
      <c r="I3134" s="6">
        <v>16.5</v>
      </c>
      <c r="J3134" s="6">
        <f>I3134-H3134</f>
        <v>0</v>
      </c>
      <c r="K3134" s="5">
        <f>IF(H3134=0,"",J3134/H3134)</f>
        <v>0</v>
      </c>
      <c r="L3134">
        <f>IF(OR(AND(H3134=0,ABS(J3134)&gt;=0.01),AND(H3134&lt;&gt;0,ABS(K3134)&gt;VarianceThreshold)),"Review","OK")</f>
        <v>0</v>
      </c>
      <c r="M3134" t="s">
        <v>33</v>
      </c>
    </row>
    <row r="3135" spans="1:13">
      <c r="A3135" t="s">
        <v>4</v>
      </c>
      <c r="B3135" t="s">
        <v>966</v>
      </c>
      <c r="C3135" t="s">
        <v>2543</v>
      </c>
      <c r="D3135" t="s">
        <v>1440</v>
      </c>
      <c r="E3135" cm="1">
        <f t="array" ref="E3135">_xlfn.XLOOKUP(D3135,SKU_Master!A:A,SKU_Master!B:B,"Not on master")</f>
        <v>0</v>
      </c>
      <c r="F3135" cm="1">
        <f t="array" ref="F3135">_xlfn.XLOOKUP(C3135,Account_Master!A:A,Account_Master!B:B,"Not on master")</f>
        <v>0</v>
      </c>
      <c r="G3135" cm="1">
        <f t="array" ref="G3135">_xlfn.XLOOKUP(C3135,Account_Master!A:A,Account_Master!C:C,"Not on master")</f>
        <v>0</v>
      </c>
      <c r="H3135" s="6">
        <v>6.75</v>
      </c>
      <c r="I3135" s="6">
        <v>6.75</v>
      </c>
      <c r="J3135" s="6">
        <f>I3135-H3135</f>
        <v>0</v>
      </c>
      <c r="K3135" s="5">
        <f>IF(H3135=0,"",J3135/H3135)</f>
        <v>0</v>
      </c>
      <c r="L3135">
        <f>IF(OR(AND(H3135=0,ABS(J3135)&gt;=0.01),AND(H3135&lt;&gt;0,ABS(K3135)&gt;VarianceThreshold)),"Review","OK")</f>
        <v>0</v>
      </c>
      <c r="M3135" t="s">
        <v>33</v>
      </c>
    </row>
    <row r="3136" spans="1:13">
      <c r="A3136" t="s">
        <v>4</v>
      </c>
      <c r="B3136" t="s">
        <v>966</v>
      </c>
      <c r="C3136" t="s">
        <v>2486</v>
      </c>
      <c r="D3136" t="s">
        <v>1199</v>
      </c>
      <c r="E3136" cm="1">
        <f t="array" ref="E3136">_xlfn.XLOOKUP(D3136,SKU_Master!A:A,SKU_Master!B:B,"Not on master")</f>
        <v>0</v>
      </c>
      <c r="F3136" cm="1">
        <f t="array" ref="F3136">_xlfn.XLOOKUP(C3136,Account_Master!A:A,Account_Master!B:B,"Not on master")</f>
        <v>0</v>
      </c>
      <c r="G3136" cm="1">
        <f t="array" ref="G3136">_xlfn.XLOOKUP(C3136,Account_Master!A:A,Account_Master!C:C,"Not on master")</f>
        <v>0</v>
      </c>
      <c r="H3136" s="6">
        <v>0.55</v>
      </c>
      <c r="I3136" s="6">
        <v>0.55</v>
      </c>
      <c r="J3136" s="6">
        <f>I3136-H3136</f>
        <v>0</v>
      </c>
      <c r="K3136" s="5">
        <f>IF(H3136=0,"",J3136/H3136)</f>
        <v>0</v>
      </c>
      <c r="L3136">
        <f>IF(OR(AND(H3136=0,ABS(J3136)&gt;=0.01),AND(H3136&lt;&gt;0,ABS(K3136)&gt;VarianceThreshold)),"Review","OK")</f>
        <v>0</v>
      </c>
      <c r="M3136" t="s">
        <v>33</v>
      </c>
    </row>
    <row r="3137" spans="1:13">
      <c r="A3137" t="s">
        <v>4</v>
      </c>
      <c r="B3137" t="s">
        <v>966</v>
      </c>
      <c r="C3137" t="s">
        <v>2498</v>
      </c>
      <c r="D3137" t="s">
        <v>449</v>
      </c>
      <c r="E3137" cm="1">
        <f t="array" ref="E3137">_xlfn.XLOOKUP(D3137,SKU_Master!A:A,SKU_Master!B:B,"Not on master")</f>
        <v>0</v>
      </c>
      <c r="F3137" cm="1">
        <f t="array" ref="F3137">_xlfn.XLOOKUP(C3137,Account_Master!A:A,Account_Master!B:B,"Not on master")</f>
        <v>0</v>
      </c>
      <c r="G3137" cm="1">
        <f t="array" ref="G3137">_xlfn.XLOOKUP(C3137,Account_Master!A:A,Account_Master!C:C,"Not on master")</f>
        <v>0</v>
      </c>
      <c r="H3137" s="6">
        <v>11.25</v>
      </c>
      <c r="I3137" s="6">
        <v>11.25</v>
      </c>
      <c r="J3137" s="6">
        <f>I3137-H3137</f>
        <v>0</v>
      </c>
      <c r="K3137" s="5">
        <f>IF(H3137=0,"",J3137/H3137)</f>
        <v>0</v>
      </c>
      <c r="L3137">
        <f>IF(OR(AND(H3137=0,ABS(J3137)&gt;=0.01),AND(H3137&lt;&gt;0,ABS(K3137)&gt;VarianceThreshold)),"Review","OK")</f>
        <v>0</v>
      </c>
      <c r="M3137" t="s">
        <v>33</v>
      </c>
    </row>
    <row r="3138" spans="1:13">
      <c r="A3138" t="s">
        <v>4</v>
      </c>
      <c r="B3138" t="s">
        <v>966</v>
      </c>
      <c r="C3138" t="s">
        <v>2490</v>
      </c>
      <c r="D3138" t="s">
        <v>2736</v>
      </c>
      <c r="E3138" cm="1">
        <f t="array" ref="E3138">_xlfn.XLOOKUP(D3138,SKU_Master!A:A,SKU_Master!B:B,"Not on master")</f>
        <v>0</v>
      </c>
      <c r="F3138" cm="1">
        <f t="array" ref="F3138">_xlfn.XLOOKUP(C3138,Account_Master!A:A,Account_Master!B:B,"Not on master")</f>
        <v>0</v>
      </c>
      <c r="G3138" cm="1">
        <f t="array" ref="G3138">_xlfn.XLOOKUP(C3138,Account_Master!A:A,Account_Master!C:C,"Not on master")</f>
        <v>0</v>
      </c>
      <c r="H3138" s="6">
        <v>0.75</v>
      </c>
      <c r="I3138" s="6">
        <v>0.75</v>
      </c>
      <c r="J3138" s="6">
        <f>I3138-H3138</f>
        <v>0</v>
      </c>
      <c r="K3138" s="5">
        <f>IF(H3138=0,"",J3138/H3138)</f>
        <v>0</v>
      </c>
      <c r="L3138">
        <f>IF(OR(AND(H3138=0,ABS(J3138)&gt;=0.01),AND(H3138&lt;&gt;0,ABS(K3138)&gt;VarianceThreshold)),"Review","OK")</f>
        <v>0</v>
      </c>
      <c r="M3138" t="s">
        <v>33</v>
      </c>
    </row>
    <row r="3139" spans="1:13">
      <c r="A3139" t="s">
        <v>4</v>
      </c>
      <c r="B3139" t="s">
        <v>966</v>
      </c>
      <c r="C3139" t="s">
        <v>2737</v>
      </c>
      <c r="D3139" t="s">
        <v>2738</v>
      </c>
      <c r="E3139" cm="1">
        <f t="array" ref="E3139">_xlfn.XLOOKUP(D3139,SKU_Master!A:A,SKU_Master!B:B,"Not on master")</f>
        <v>0</v>
      </c>
      <c r="F3139" cm="1">
        <f t="array" ref="F3139">_xlfn.XLOOKUP(C3139,Account_Master!A:A,Account_Master!B:B,"Not on master")</f>
        <v>0</v>
      </c>
      <c r="G3139" cm="1">
        <f t="array" ref="G3139">_xlfn.XLOOKUP(C3139,Account_Master!A:A,Account_Master!C:C,"Not on master")</f>
        <v>0</v>
      </c>
      <c r="H3139" s="6">
        <v>0.75</v>
      </c>
      <c r="I3139" s="6">
        <v>0.75</v>
      </c>
      <c r="J3139" s="6">
        <f>I3139-H3139</f>
        <v>0</v>
      </c>
      <c r="K3139" s="5">
        <f>IF(H3139=0,"",J3139/H3139)</f>
        <v>0</v>
      </c>
      <c r="L3139">
        <f>IF(OR(AND(H3139=0,ABS(J3139)&gt;=0.01),AND(H3139&lt;&gt;0,ABS(K3139)&gt;VarianceThreshold)),"Review","OK")</f>
        <v>0</v>
      </c>
      <c r="M3139" t="s">
        <v>33</v>
      </c>
    </row>
    <row r="3140" spans="1:13">
      <c r="A3140" t="s">
        <v>4</v>
      </c>
      <c r="B3140" t="s">
        <v>966</v>
      </c>
      <c r="C3140" t="s">
        <v>2644</v>
      </c>
      <c r="D3140" t="s">
        <v>2739</v>
      </c>
      <c r="E3140" cm="1">
        <f t="array" ref="E3140">_xlfn.XLOOKUP(D3140,SKU_Master!A:A,SKU_Master!B:B,"Not on master")</f>
        <v>0</v>
      </c>
      <c r="F3140" cm="1">
        <f t="array" ref="F3140">_xlfn.XLOOKUP(C3140,Account_Master!A:A,Account_Master!B:B,"Not on master")</f>
        <v>0</v>
      </c>
      <c r="G3140" cm="1">
        <f t="array" ref="G3140">_xlfn.XLOOKUP(C3140,Account_Master!A:A,Account_Master!C:C,"Not on master")</f>
        <v>0</v>
      </c>
      <c r="H3140" s="6">
        <v>10.5</v>
      </c>
      <c r="I3140" s="6">
        <v>10.5</v>
      </c>
      <c r="J3140" s="6">
        <f>I3140-H3140</f>
        <v>0</v>
      </c>
      <c r="K3140" s="5">
        <f>IF(H3140=0,"",J3140/H3140)</f>
        <v>0</v>
      </c>
      <c r="L3140">
        <f>IF(OR(AND(H3140=0,ABS(J3140)&gt;=0.01),AND(H3140&lt;&gt;0,ABS(K3140)&gt;VarianceThreshold)),"Review","OK")</f>
        <v>0</v>
      </c>
      <c r="M3140" t="s">
        <v>33</v>
      </c>
    </row>
    <row r="3141" spans="1:13">
      <c r="A3141" t="s">
        <v>4</v>
      </c>
      <c r="B3141" t="s">
        <v>980</v>
      </c>
      <c r="C3141" t="s">
        <v>2433</v>
      </c>
      <c r="D3141" t="s">
        <v>837</v>
      </c>
      <c r="E3141" cm="1">
        <f t="array" ref="E3141">_xlfn.XLOOKUP(D3141,SKU_Master!A:A,SKU_Master!B:B,"Not on master")</f>
        <v>0</v>
      </c>
      <c r="F3141" cm="1">
        <f t="array" ref="F3141">_xlfn.XLOOKUP(C3141,Account_Master!A:A,Account_Master!B:B,"Not on master")</f>
        <v>0</v>
      </c>
      <c r="G3141" cm="1">
        <f t="array" ref="G3141">_xlfn.XLOOKUP(C3141,Account_Master!A:A,Account_Master!C:C,"Not on master")</f>
        <v>0</v>
      </c>
      <c r="H3141" s="6">
        <v>5.2</v>
      </c>
      <c r="I3141" s="6">
        <v>5.2</v>
      </c>
      <c r="J3141" s="6">
        <f>I3141-H3141</f>
        <v>0</v>
      </c>
      <c r="K3141" s="5">
        <f>IF(H3141=0,"",J3141/H3141)</f>
        <v>0</v>
      </c>
      <c r="L3141">
        <f>IF(OR(AND(H3141=0,ABS(J3141)&gt;=0.01),AND(H3141&lt;&gt;0,ABS(K3141)&gt;VarianceThreshold)),"Review","OK")</f>
        <v>0</v>
      </c>
      <c r="M3141" t="s">
        <v>33</v>
      </c>
    </row>
    <row r="3142" spans="1:13">
      <c r="A3142" t="s">
        <v>4</v>
      </c>
      <c r="B3142" t="s">
        <v>980</v>
      </c>
      <c r="C3142" t="s">
        <v>2479</v>
      </c>
      <c r="D3142" t="s">
        <v>2740</v>
      </c>
      <c r="E3142" cm="1">
        <f t="array" ref="E3142">_xlfn.XLOOKUP(D3142,SKU_Master!A:A,SKU_Master!B:B,"Not on master")</f>
        <v>0</v>
      </c>
      <c r="F3142" cm="1">
        <f t="array" ref="F3142">_xlfn.XLOOKUP(C3142,Account_Master!A:A,Account_Master!B:B,"Not on master")</f>
        <v>0</v>
      </c>
      <c r="G3142" cm="1">
        <f t="array" ref="G3142">_xlfn.XLOOKUP(C3142,Account_Master!A:A,Account_Master!C:C,"Not on master")</f>
        <v>0</v>
      </c>
      <c r="H3142" s="6">
        <v>9.75</v>
      </c>
      <c r="I3142" s="6">
        <v>9.75</v>
      </c>
      <c r="J3142" s="6">
        <f>I3142-H3142</f>
        <v>0</v>
      </c>
      <c r="K3142" s="5">
        <f>IF(H3142=0,"",J3142/H3142)</f>
        <v>0</v>
      </c>
      <c r="L3142">
        <f>IF(OR(AND(H3142=0,ABS(J3142)&gt;=0.01),AND(H3142&lt;&gt;0,ABS(K3142)&gt;VarianceThreshold)),"Review","OK")</f>
        <v>0</v>
      </c>
      <c r="M3142" t="s">
        <v>33</v>
      </c>
    </row>
    <row r="3143" spans="1:13">
      <c r="A3143" t="s">
        <v>4</v>
      </c>
      <c r="B3143" t="s">
        <v>980</v>
      </c>
      <c r="C3143" t="s">
        <v>2612</v>
      </c>
      <c r="D3143" t="s">
        <v>1897</v>
      </c>
      <c r="E3143" cm="1">
        <f t="array" ref="E3143">_xlfn.XLOOKUP(D3143,SKU_Master!A:A,SKU_Master!B:B,"Not on master")</f>
        <v>0</v>
      </c>
      <c r="F3143" cm="1">
        <f t="array" ref="F3143">_xlfn.XLOOKUP(C3143,Account_Master!A:A,Account_Master!B:B,"Not on master")</f>
        <v>0</v>
      </c>
      <c r="G3143" cm="1">
        <f t="array" ref="G3143">_xlfn.XLOOKUP(C3143,Account_Master!A:A,Account_Master!C:C,"Not on master")</f>
        <v>0</v>
      </c>
      <c r="H3143" s="6">
        <v>1.5</v>
      </c>
      <c r="I3143" s="6">
        <v>1.5</v>
      </c>
      <c r="J3143" s="6">
        <f>I3143-H3143</f>
        <v>0</v>
      </c>
      <c r="K3143" s="5">
        <f>IF(H3143=0,"",J3143/H3143)</f>
        <v>0</v>
      </c>
      <c r="L3143">
        <f>IF(OR(AND(H3143=0,ABS(J3143)&gt;=0.01),AND(H3143&lt;&gt;0,ABS(K3143)&gt;VarianceThreshold)),"Review","OK")</f>
        <v>0</v>
      </c>
      <c r="M3143" t="s">
        <v>33</v>
      </c>
    </row>
    <row r="3144" spans="1:13">
      <c r="A3144" t="s">
        <v>4</v>
      </c>
      <c r="B3144" t="s">
        <v>980</v>
      </c>
      <c r="C3144" t="s">
        <v>2741</v>
      </c>
      <c r="D3144" t="s">
        <v>978</v>
      </c>
      <c r="E3144" cm="1">
        <f t="array" ref="E3144">_xlfn.XLOOKUP(D3144,SKU_Master!A:A,SKU_Master!B:B,"Not on master")</f>
        <v>0</v>
      </c>
      <c r="F3144" cm="1">
        <f t="array" ref="F3144">_xlfn.XLOOKUP(C3144,Account_Master!A:A,Account_Master!B:B,"Not on master")</f>
        <v>0</v>
      </c>
      <c r="G3144" cm="1">
        <f t="array" ref="G3144">_xlfn.XLOOKUP(C3144,Account_Master!A:A,Account_Master!C:C,"Not on master")</f>
        <v>0</v>
      </c>
      <c r="H3144" s="6">
        <v>12</v>
      </c>
      <c r="I3144" s="6">
        <v>12</v>
      </c>
      <c r="J3144" s="6">
        <f>I3144-H3144</f>
        <v>0</v>
      </c>
      <c r="K3144" s="5">
        <f>IF(H3144=0,"",J3144/H3144)</f>
        <v>0</v>
      </c>
      <c r="L3144">
        <f>IF(OR(AND(H3144=0,ABS(J3144)&gt;=0.01),AND(H3144&lt;&gt;0,ABS(K3144)&gt;VarianceThreshold)),"Review","OK")</f>
        <v>0</v>
      </c>
      <c r="M3144" t="s">
        <v>33</v>
      </c>
    </row>
    <row r="3145" spans="1:13">
      <c r="A3145" t="s">
        <v>4</v>
      </c>
      <c r="B3145" t="s">
        <v>980</v>
      </c>
      <c r="C3145" t="s">
        <v>2663</v>
      </c>
      <c r="D3145" t="s">
        <v>1319</v>
      </c>
      <c r="E3145" cm="1">
        <f t="array" ref="E3145">_xlfn.XLOOKUP(D3145,SKU_Master!A:A,SKU_Master!B:B,"Not on master")</f>
        <v>0</v>
      </c>
      <c r="F3145" cm="1">
        <f t="array" ref="F3145">_xlfn.XLOOKUP(C3145,Account_Master!A:A,Account_Master!B:B,"Not on master")</f>
        <v>0</v>
      </c>
      <c r="G3145" cm="1">
        <f t="array" ref="G3145">_xlfn.XLOOKUP(C3145,Account_Master!A:A,Account_Master!C:C,"Not on master")</f>
        <v>0</v>
      </c>
      <c r="H3145" s="6">
        <v>0.05</v>
      </c>
      <c r="I3145" s="6">
        <v>0.05</v>
      </c>
      <c r="J3145" s="6">
        <f>I3145-H3145</f>
        <v>0</v>
      </c>
      <c r="K3145" s="5">
        <f>IF(H3145=0,"",J3145/H3145)</f>
        <v>0</v>
      </c>
      <c r="L3145">
        <f>IF(OR(AND(H3145=0,ABS(J3145)&gt;=0.01),AND(H3145&lt;&gt;0,ABS(K3145)&gt;VarianceThreshold)),"Review","OK")</f>
        <v>0</v>
      </c>
      <c r="M3145" t="s">
        <v>33</v>
      </c>
    </row>
    <row r="3146" spans="1:13">
      <c r="A3146" t="s">
        <v>4</v>
      </c>
      <c r="B3146" t="s">
        <v>992</v>
      </c>
      <c r="C3146" t="s">
        <v>2432</v>
      </c>
      <c r="D3146" t="s">
        <v>403</v>
      </c>
      <c r="E3146" cm="1">
        <f t="array" ref="E3146">_xlfn.XLOOKUP(D3146,SKU_Master!A:A,SKU_Master!B:B,"Not on master")</f>
        <v>0</v>
      </c>
      <c r="F3146" cm="1">
        <f t="array" ref="F3146">_xlfn.XLOOKUP(C3146,Account_Master!A:A,Account_Master!B:B,"Not on master")</f>
        <v>0</v>
      </c>
      <c r="G3146" cm="1">
        <f t="array" ref="G3146">_xlfn.XLOOKUP(C3146,Account_Master!A:A,Account_Master!C:C,"Not on master")</f>
        <v>0</v>
      </c>
      <c r="H3146" s="6">
        <v>14.25</v>
      </c>
      <c r="I3146" s="6">
        <v>14.25</v>
      </c>
      <c r="J3146" s="6">
        <f>I3146-H3146</f>
        <v>0</v>
      </c>
      <c r="K3146" s="5">
        <f>IF(H3146=0,"",J3146/H3146)</f>
        <v>0</v>
      </c>
      <c r="L3146">
        <f>IF(OR(AND(H3146=0,ABS(J3146)&gt;=0.01),AND(H3146&lt;&gt;0,ABS(K3146)&gt;VarianceThreshold)),"Review","OK")</f>
        <v>0</v>
      </c>
      <c r="M3146" t="s">
        <v>33</v>
      </c>
    </row>
    <row r="3147" spans="1:13">
      <c r="A3147" t="s">
        <v>4</v>
      </c>
      <c r="B3147" t="s">
        <v>992</v>
      </c>
      <c r="C3147" t="s">
        <v>2614</v>
      </c>
      <c r="D3147" t="s">
        <v>2742</v>
      </c>
      <c r="E3147" cm="1">
        <f t="array" ref="E3147">_xlfn.XLOOKUP(D3147,SKU_Master!A:A,SKU_Master!B:B,"Not on master")</f>
        <v>0</v>
      </c>
      <c r="F3147" cm="1">
        <f t="array" ref="F3147">_xlfn.XLOOKUP(C3147,Account_Master!A:A,Account_Master!B:B,"Not on master")</f>
        <v>0</v>
      </c>
      <c r="G3147" cm="1">
        <f t="array" ref="G3147">_xlfn.XLOOKUP(C3147,Account_Master!A:A,Account_Master!C:C,"Not on master")</f>
        <v>0</v>
      </c>
      <c r="H3147" s="6">
        <v>3.5</v>
      </c>
      <c r="I3147" s="6">
        <v>3.5</v>
      </c>
      <c r="J3147" s="6">
        <f>I3147-H3147</f>
        <v>0</v>
      </c>
      <c r="K3147" s="5">
        <f>IF(H3147=0,"",J3147/H3147)</f>
        <v>0</v>
      </c>
      <c r="L3147">
        <f>IF(OR(AND(H3147=0,ABS(J3147)&gt;=0.01),AND(H3147&lt;&gt;0,ABS(K3147)&gt;VarianceThreshold)),"Review","OK")</f>
        <v>0</v>
      </c>
      <c r="M3147" t="s">
        <v>33</v>
      </c>
    </row>
    <row r="3148" spans="1:13">
      <c r="A3148" t="s">
        <v>4</v>
      </c>
      <c r="B3148" t="s">
        <v>992</v>
      </c>
      <c r="C3148" t="s">
        <v>2477</v>
      </c>
      <c r="D3148" t="s">
        <v>1929</v>
      </c>
      <c r="E3148" cm="1">
        <f t="array" ref="E3148">_xlfn.XLOOKUP(D3148,SKU_Master!A:A,SKU_Master!B:B,"Not on master")</f>
        <v>0</v>
      </c>
      <c r="F3148" cm="1">
        <f t="array" ref="F3148">_xlfn.XLOOKUP(C3148,Account_Master!A:A,Account_Master!B:B,"Not on master")</f>
        <v>0</v>
      </c>
      <c r="G3148" cm="1">
        <f t="array" ref="G3148">_xlfn.XLOOKUP(C3148,Account_Master!A:A,Account_Master!C:C,"Not on master")</f>
        <v>0</v>
      </c>
      <c r="H3148" s="6">
        <v>3.75</v>
      </c>
      <c r="I3148" s="6">
        <v>3.75</v>
      </c>
      <c r="J3148" s="6">
        <f>I3148-H3148</f>
        <v>0</v>
      </c>
      <c r="K3148" s="5">
        <f>IF(H3148=0,"",J3148/H3148)</f>
        <v>0</v>
      </c>
      <c r="L3148">
        <f>IF(OR(AND(H3148=0,ABS(J3148)&gt;=0.01),AND(H3148&lt;&gt;0,ABS(K3148)&gt;VarianceThreshold)),"Review","OK")</f>
        <v>0</v>
      </c>
      <c r="M3148" t="s">
        <v>33</v>
      </c>
    </row>
    <row r="3149" spans="1:13">
      <c r="A3149" t="s">
        <v>4</v>
      </c>
      <c r="B3149" t="s">
        <v>992</v>
      </c>
      <c r="C3149" t="s">
        <v>2428</v>
      </c>
      <c r="D3149" t="s">
        <v>2743</v>
      </c>
      <c r="E3149" cm="1">
        <f t="array" ref="E3149">_xlfn.XLOOKUP(D3149,SKU_Master!A:A,SKU_Master!B:B,"Not on master")</f>
        <v>0</v>
      </c>
      <c r="F3149" cm="1">
        <f t="array" ref="F3149">_xlfn.XLOOKUP(C3149,Account_Master!A:A,Account_Master!B:B,"Not on master")</f>
        <v>0</v>
      </c>
      <c r="G3149" cm="1">
        <f t="array" ref="G3149">_xlfn.XLOOKUP(C3149,Account_Master!A:A,Account_Master!C:C,"Not on master")</f>
        <v>0</v>
      </c>
      <c r="H3149" s="6">
        <v>3.75</v>
      </c>
      <c r="I3149" s="6">
        <v>3.75</v>
      </c>
      <c r="J3149" s="6">
        <f>I3149-H3149</f>
        <v>0</v>
      </c>
      <c r="K3149" s="5">
        <f>IF(H3149=0,"",J3149/H3149)</f>
        <v>0</v>
      </c>
      <c r="L3149">
        <f>IF(OR(AND(H3149=0,ABS(J3149)&gt;=0.01),AND(H3149&lt;&gt;0,ABS(K3149)&gt;VarianceThreshold)),"Review","OK")</f>
        <v>0</v>
      </c>
      <c r="M3149" t="s">
        <v>33</v>
      </c>
    </row>
    <row r="3150" spans="1:13">
      <c r="A3150" t="s">
        <v>4</v>
      </c>
      <c r="B3150" t="s">
        <v>992</v>
      </c>
      <c r="C3150" t="s">
        <v>2414</v>
      </c>
      <c r="D3150" t="s">
        <v>2744</v>
      </c>
      <c r="E3150" cm="1">
        <f t="array" ref="E3150">_xlfn.XLOOKUP(D3150,SKU_Master!A:A,SKU_Master!B:B,"Not on master")</f>
        <v>0</v>
      </c>
      <c r="F3150" cm="1">
        <f t="array" ref="F3150">_xlfn.XLOOKUP(C3150,Account_Master!A:A,Account_Master!B:B,"Not on master")</f>
        <v>0</v>
      </c>
      <c r="G3150" cm="1">
        <f t="array" ref="G3150">_xlfn.XLOOKUP(C3150,Account_Master!A:A,Account_Master!C:C,"Not on master")</f>
        <v>0</v>
      </c>
      <c r="H3150" s="6">
        <v>5.25</v>
      </c>
      <c r="I3150" s="6">
        <v>5.25</v>
      </c>
      <c r="J3150" s="6">
        <f>I3150-H3150</f>
        <v>0</v>
      </c>
      <c r="K3150" s="5">
        <f>IF(H3150=0,"",J3150/H3150)</f>
        <v>0</v>
      </c>
      <c r="L3150">
        <f>IF(OR(AND(H3150=0,ABS(J3150)&gt;=0.01),AND(H3150&lt;&gt;0,ABS(K3150)&gt;VarianceThreshold)),"Review","OK")</f>
        <v>0</v>
      </c>
      <c r="M3150" t="s">
        <v>33</v>
      </c>
    </row>
    <row r="3151" spans="1:13">
      <c r="A3151" t="s">
        <v>4</v>
      </c>
      <c r="B3151" t="s">
        <v>1002</v>
      </c>
      <c r="C3151" t="s">
        <v>2490</v>
      </c>
      <c r="D3151" t="s">
        <v>1870</v>
      </c>
      <c r="E3151" cm="1">
        <f t="array" ref="E3151">_xlfn.XLOOKUP(D3151,SKU_Master!A:A,SKU_Master!B:B,"Not on master")</f>
        <v>0</v>
      </c>
      <c r="F3151" cm="1">
        <f t="array" ref="F3151">_xlfn.XLOOKUP(C3151,Account_Master!A:A,Account_Master!B:B,"Not on master")</f>
        <v>0</v>
      </c>
      <c r="G3151" cm="1">
        <f t="array" ref="G3151">_xlfn.XLOOKUP(C3151,Account_Master!A:A,Account_Master!C:C,"Not on master")</f>
        <v>0</v>
      </c>
      <c r="H3151" s="6">
        <v>3</v>
      </c>
      <c r="I3151" s="6">
        <v>3</v>
      </c>
      <c r="J3151" s="6">
        <f>I3151-H3151</f>
        <v>0</v>
      </c>
      <c r="K3151" s="5">
        <f>IF(H3151=0,"",J3151/H3151)</f>
        <v>0</v>
      </c>
      <c r="L3151">
        <f>IF(OR(AND(H3151=0,ABS(J3151)&gt;=0.01),AND(H3151&lt;&gt;0,ABS(K3151)&gt;VarianceThreshold)),"Review","OK")</f>
        <v>0</v>
      </c>
      <c r="M3151" t="s">
        <v>33</v>
      </c>
    </row>
    <row r="3152" spans="1:13">
      <c r="A3152" t="s">
        <v>4</v>
      </c>
      <c r="B3152" t="s">
        <v>1002</v>
      </c>
      <c r="C3152" t="s">
        <v>2710</v>
      </c>
      <c r="D3152" t="s">
        <v>2745</v>
      </c>
      <c r="E3152" cm="1">
        <f t="array" ref="E3152">_xlfn.XLOOKUP(D3152,SKU_Master!A:A,SKU_Master!B:B,"Not on master")</f>
        <v>0</v>
      </c>
      <c r="F3152" cm="1">
        <f t="array" ref="F3152">_xlfn.XLOOKUP(C3152,Account_Master!A:A,Account_Master!B:B,"Not on master")</f>
        <v>0</v>
      </c>
      <c r="G3152" cm="1">
        <f t="array" ref="G3152">_xlfn.XLOOKUP(C3152,Account_Master!A:A,Account_Master!C:C,"Not on master")</f>
        <v>0</v>
      </c>
      <c r="H3152" s="6">
        <v>0.75</v>
      </c>
      <c r="I3152" s="6">
        <v>0.75</v>
      </c>
      <c r="J3152" s="6">
        <f>I3152-H3152</f>
        <v>0</v>
      </c>
      <c r="K3152" s="5">
        <f>IF(H3152=0,"",J3152/H3152)</f>
        <v>0</v>
      </c>
      <c r="L3152">
        <f>IF(OR(AND(H3152=0,ABS(J3152)&gt;=0.01),AND(H3152&lt;&gt;0,ABS(K3152)&gt;VarianceThreshold)),"Review","OK")</f>
        <v>0</v>
      </c>
      <c r="M3152" t="s">
        <v>33</v>
      </c>
    </row>
    <row r="3153" spans="1:13">
      <c r="A3153" t="s">
        <v>5</v>
      </c>
      <c r="B3153" t="s">
        <v>30</v>
      </c>
      <c r="C3153" t="s">
        <v>2746</v>
      </c>
      <c r="D3153" t="s">
        <v>830</v>
      </c>
      <c r="E3153" cm="1">
        <f t="array" ref="E3153">_xlfn.XLOOKUP(D3153,SKU_Master!A:A,SKU_Master!B:B,"Not on master")</f>
        <v>0</v>
      </c>
      <c r="F3153" cm="1">
        <f t="array" ref="F3153">_xlfn.XLOOKUP(C3153,Account_Master!A:A,Account_Master!B:B,"Not on master")</f>
        <v>0</v>
      </c>
      <c r="G3153" cm="1">
        <f t="array" ref="G3153">_xlfn.XLOOKUP(C3153,Account_Master!A:A,Account_Master!C:C,"Not on master")</f>
        <v>0</v>
      </c>
      <c r="H3153" s="6">
        <v>40.5</v>
      </c>
      <c r="I3153" s="6">
        <v>40.5</v>
      </c>
      <c r="J3153" s="6">
        <f>I3153-H3153</f>
        <v>0</v>
      </c>
      <c r="K3153" s="5">
        <f>IF(H3153=0,"",J3153/H3153)</f>
        <v>0</v>
      </c>
      <c r="L3153">
        <f>IF(OR(AND(H3153=0,ABS(J3153)&gt;=0.01),AND(H3153&lt;&gt;0,ABS(K3153)&gt;VarianceThreshold)),"Review","OK")</f>
        <v>0</v>
      </c>
      <c r="M3153" t="s">
        <v>33</v>
      </c>
    </row>
    <row r="3154" spans="1:13">
      <c r="A3154" t="s">
        <v>5</v>
      </c>
      <c r="B3154" t="s">
        <v>30</v>
      </c>
      <c r="C3154" t="s">
        <v>2747</v>
      </c>
      <c r="D3154" t="s">
        <v>2748</v>
      </c>
      <c r="E3154" cm="1">
        <f t="array" ref="E3154">_xlfn.XLOOKUP(D3154,SKU_Master!A:A,SKU_Master!B:B,"Not on master")</f>
        <v>0</v>
      </c>
      <c r="F3154" cm="1">
        <f t="array" ref="F3154">_xlfn.XLOOKUP(C3154,Account_Master!A:A,Account_Master!B:B,"Not on master")</f>
        <v>0</v>
      </c>
      <c r="G3154" cm="1">
        <f t="array" ref="G3154">_xlfn.XLOOKUP(C3154,Account_Master!A:A,Account_Master!C:C,"Not on master")</f>
        <v>0</v>
      </c>
      <c r="H3154" s="6">
        <v>0.75</v>
      </c>
      <c r="I3154" s="6">
        <v>0.75</v>
      </c>
      <c r="J3154" s="6">
        <f>I3154-H3154</f>
        <v>0</v>
      </c>
      <c r="K3154" s="5">
        <f>IF(H3154=0,"",J3154/H3154)</f>
        <v>0</v>
      </c>
      <c r="L3154">
        <f>IF(OR(AND(H3154=0,ABS(J3154)&gt;=0.01),AND(H3154&lt;&gt;0,ABS(K3154)&gt;VarianceThreshold)),"Review","OK")</f>
        <v>0</v>
      </c>
      <c r="M3154" t="s">
        <v>33</v>
      </c>
    </row>
    <row r="3155" spans="1:13">
      <c r="A3155" t="s">
        <v>5</v>
      </c>
      <c r="B3155" t="s">
        <v>30</v>
      </c>
      <c r="C3155" t="s">
        <v>2749</v>
      </c>
      <c r="D3155" t="s">
        <v>1170</v>
      </c>
      <c r="E3155" cm="1">
        <f t="array" ref="E3155">_xlfn.XLOOKUP(D3155,SKU_Master!A:A,SKU_Master!B:B,"Not on master")</f>
        <v>0</v>
      </c>
      <c r="F3155" cm="1">
        <f t="array" ref="F3155">_xlfn.XLOOKUP(C3155,Account_Master!A:A,Account_Master!B:B,"Not on master")</f>
        <v>0</v>
      </c>
      <c r="G3155" cm="1">
        <f t="array" ref="G3155">_xlfn.XLOOKUP(C3155,Account_Master!A:A,Account_Master!C:C,"Not on master")</f>
        <v>0</v>
      </c>
      <c r="H3155" s="6">
        <v>37.5</v>
      </c>
      <c r="I3155" s="6">
        <v>37.5</v>
      </c>
      <c r="J3155" s="6">
        <f>I3155-H3155</f>
        <v>0</v>
      </c>
      <c r="K3155" s="5">
        <f>IF(H3155=0,"",J3155/H3155)</f>
        <v>0</v>
      </c>
      <c r="L3155">
        <f>IF(OR(AND(H3155=0,ABS(J3155)&gt;=0.01),AND(H3155&lt;&gt;0,ABS(K3155)&gt;VarianceThreshold)),"Review","OK")</f>
        <v>0</v>
      </c>
      <c r="M3155" t="s">
        <v>33</v>
      </c>
    </row>
    <row r="3156" spans="1:13">
      <c r="A3156" t="s">
        <v>5</v>
      </c>
      <c r="B3156" t="s">
        <v>47</v>
      </c>
      <c r="C3156" t="s">
        <v>2750</v>
      </c>
      <c r="D3156" t="s">
        <v>955</v>
      </c>
      <c r="E3156" cm="1">
        <f t="array" ref="E3156">_xlfn.XLOOKUP(D3156,SKU_Master!A:A,SKU_Master!B:B,"Not on master")</f>
        <v>0</v>
      </c>
      <c r="F3156" cm="1">
        <f t="array" ref="F3156">_xlfn.XLOOKUP(C3156,Account_Master!A:A,Account_Master!B:B,"Not on master")</f>
        <v>0</v>
      </c>
      <c r="G3156" cm="1">
        <f t="array" ref="G3156">_xlfn.XLOOKUP(C3156,Account_Master!A:A,Account_Master!C:C,"Not on master")</f>
        <v>0</v>
      </c>
      <c r="H3156" s="6">
        <v>4.5</v>
      </c>
      <c r="I3156" s="6">
        <v>4.5</v>
      </c>
      <c r="J3156" s="6">
        <f>I3156-H3156</f>
        <v>0</v>
      </c>
      <c r="K3156" s="5">
        <f>IF(H3156=0,"",J3156/H3156)</f>
        <v>0</v>
      </c>
      <c r="L3156">
        <f>IF(OR(AND(H3156=0,ABS(J3156)&gt;=0.01),AND(H3156&lt;&gt;0,ABS(K3156)&gt;VarianceThreshold)),"Review","OK")</f>
        <v>0</v>
      </c>
      <c r="M3156" t="s">
        <v>33</v>
      </c>
    </row>
    <row r="3157" spans="1:13">
      <c r="A3157" t="s">
        <v>5</v>
      </c>
      <c r="B3157" t="s">
        <v>47</v>
      </c>
      <c r="C3157" t="s">
        <v>2751</v>
      </c>
      <c r="D3157" t="s">
        <v>233</v>
      </c>
      <c r="E3157" cm="1">
        <f t="array" ref="E3157">_xlfn.XLOOKUP(D3157,SKU_Master!A:A,SKU_Master!B:B,"Not on master")</f>
        <v>0</v>
      </c>
      <c r="F3157" cm="1">
        <f t="array" ref="F3157">_xlfn.XLOOKUP(C3157,Account_Master!A:A,Account_Master!B:B,"Not on master")</f>
        <v>0</v>
      </c>
      <c r="G3157" cm="1">
        <f t="array" ref="G3157">_xlfn.XLOOKUP(C3157,Account_Master!A:A,Account_Master!C:C,"Not on master")</f>
        <v>0</v>
      </c>
      <c r="H3157" s="6">
        <v>18</v>
      </c>
      <c r="I3157" s="6">
        <v>18</v>
      </c>
      <c r="J3157" s="6">
        <f>I3157-H3157</f>
        <v>0</v>
      </c>
      <c r="K3157" s="5">
        <f>IF(H3157=0,"",J3157/H3157)</f>
        <v>0</v>
      </c>
      <c r="L3157">
        <f>IF(OR(AND(H3157=0,ABS(J3157)&gt;=0.01),AND(H3157&lt;&gt;0,ABS(K3157)&gt;VarianceThreshold)),"Review","OK")</f>
        <v>0</v>
      </c>
      <c r="M3157" t="s">
        <v>33</v>
      </c>
    </row>
    <row r="3158" spans="1:13">
      <c r="A3158" t="s">
        <v>5</v>
      </c>
      <c r="B3158" t="s">
        <v>47</v>
      </c>
      <c r="C3158" t="s">
        <v>2752</v>
      </c>
      <c r="D3158" t="s">
        <v>879</v>
      </c>
      <c r="E3158" cm="1">
        <f t="array" ref="E3158">_xlfn.XLOOKUP(D3158,SKU_Master!A:A,SKU_Master!B:B,"Not on master")</f>
        <v>0</v>
      </c>
      <c r="F3158" cm="1">
        <f t="array" ref="F3158">_xlfn.XLOOKUP(C3158,Account_Master!A:A,Account_Master!B:B,"Not on master")</f>
        <v>0</v>
      </c>
      <c r="G3158" cm="1">
        <f t="array" ref="G3158">_xlfn.XLOOKUP(C3158,Account_Master!A:A,Account_Master!C:C,"Not on master")</f>
        <v>0</v>
      </c>
      <c r="H3158" s="6">
        <v>2</v>
      </c>
      <c r="I3158" s="6">
        <v>2</v>
      </c>
      <c r="J3158" s="6">
        <f>I3158-H3158</f>
        <v>0</v>
      </c>
      <c r="K3158" s="5">
        <f>IF(H3158=0,"",J3158/H3158)</f>
        <v>0</v>
      </c>
      <c r="L3158">
        <f>IF(OR(AND(H3158=0,ABS(J3158)&gt;=0.01),AND(H3158&lt;&gt;0,ABS(K3158)&gt;VarianceThreshold)),"Review","OK")</f>
        <v>0</v>
      </c>
      <c r="M3158" t="s">
        <v>33</v>
      </c>
    </row>
    <row r="3159" spans="1:13">
      <c r="A3159" t="s">
        <v>5</v>
      </c>
      <c r="B3159" t="s">
        <v>62</v>
      </c>
      <c r="C3159" t="s">
        <v>2753</v>
      </c>
      <c r="D3159" t="s">
        <v>2192</v>
      </c>
      <c r="E3159" cm="1">
        <f t="array" ref="E3159">_xlfn.XLOOKUP(D3159,SKU_Master!A:A,SKU_Master!B:B,"Not on master")</f>
        <v>0</v>
      </c>
      <c r="F3159" cm="1">
        <f t="array" ref="F3159">_xlfn.XLOOKUP(C3159,Account_Master!A:A,Account_Master!B:B,"Not on master")</f>
        <v>0</v>
      </c>
      <c r="G3159" cm="1">
        <f t="array" ref="G3159">_xlfn.XLOOKUP(C3159,Account_Master!A:A,Account_Master!C:C,"Not on master")</f>
        <v>0</v>
      </c>
      <c r="H3159" s="6">
        <v>9.75</v>
      </c>
      <c r="I3159" s="6">
        <v>9.75</v>
      </c>
      <c r="J3159" s="6">
        <f>I3159-H3159</f>
        <v>0</v>
      </c>
      <c r="K3159" s="5">
        <f>IF(H3159=0,"",J3159/H3159)</f>
        <v>0</v>
      </c>
      <c r="L3159">
        <f>IF(OR(AND(H3159=0,ABS(J3159)&gt;=0.01),AND(H3159&lt;&gt;0,ABS(K3159)&gt;VarianceThreshold)),"Review","OK")</f>
        <v>0</v>
      </c>
      <c r="M3159" t="s">
        <v>33</v>
      </c>
    </row>
    <row r="3160" spans="1:13">
      <c r="A3160" t="s">
        <v>5</v>
      </c>
      <c r="B3160" t="s">
        <v>62</v>
      </c>
      <c r="C3160" t="s">
        <v>2754</v>
      </c>
      <c r="D3160" t="s">
        <v>2755</v>
      </c>
      <c r="E3160" cm="1">
        <f t="array" ref="E3160">_xlfn.XLOOKUP(D3160,SKU_Master!A:A,SKU_Master!B:B,"Not on master")</f>
        <v>0</v>
      </c>
      <c r="F3160" cm="1">
        <f t="array" ref="F3160">_xlfn.XLOOKUP(C3160,Account_Master!A:A,Account_Master!B:B,"Not on master")</f>
        <v>0</v>
      </c>
      <c r="G3160" cm="1">
        <f t="array" ref="G3160">_xlfn.XLOOKUP(C3160,Account_Master!A:A,Account_Master!C:C,"Not on master")</f>
        <v>0</v>
      </c>
      <c r="H3160" s="6">
        <v>29.25</v>
      </c>
      <c r="I3160" s="6">
        <v>29.25</v>
      </c>
      <c r="J3160" s="6">
        <f>I3160-H3160</f>
        <v>0</v>
      </c>
      <c r="K3160" s="5">
        <f>IF(H3160=0,"",J3160/H3160)</f>
        <v>0</v>
      </c>
      <c r="L3160">
        <f>IF(OR(AND(H3160=0,ABS(J3160)&gt;=0.01),AND(H3160&lt;&gt;0,ABS(K3160)&gt;VarianceThreshold)),"Review","OK")</f>
        <v>0</v>
      </c>
      <c r="M3160" t="s">
        <v>33</v>
      </c>
    </row>
    <row r="3161" spans="1:13">
      <c r="A3161" t="s">
        <v>5</v>
      </c>
      <c r="B3161" t="s">
        <v>62</v>
      </c>
      <c r="C3161" t="s">
        <v>2756</v>
      </c>
      <c r="D3161" t="s">
        <v>178</v>
      </c>
      <c r="E3161" cm="1">
        <f t="array" ref="E3161">_xlfn.XLOOKUP(D3161,SKU_Master!A:A,SKU_Master!B:B,"Not on master")</f>
        <v>0</v>
      </c>
      <c r="F3161" cm="1">
        <f t="array" ref="F3161">_xlfn.XLOOKUP(C3161,Account_Master!A:A,Account_Master!B:B,"Not on master")</f>
        <v>0</v>
      </c>
      <c r="G3161" cm="1">
        <f t="array" ref="G3161">_xlfn.XLOOKUP(C3161,Account_Master!A:A,Account_Master!C:C,"Not on master")</f>
        <v>0</v>
      </c>
      <c r="H3161" s="6">
        <v>252</v>
      </c>
      <c r="I3161" s="6">
        <v>252</v>
      </c>
      <c r="J3161" s="6">
        <f>I3161-H3161</f>
        <v>0</v>
      </c>
      <c r="K3161" s="5">
        <f>IF(H3161=0,"",J3161/H3161)</f>
        <v>0</v>
      </c>
      <c r="L3161">
        <f>IF(OR(AND(H3161=0,ABS(J3161)&gt;=0.01),AND(H3161&lt;&gt;0,ABS(K3161)&gt;VarianceThreshold)),"Review","OK")</f>
        <v>0</v>
      </c>
      <c r="M3161" t="s">
        <v>33</v>
      </c>
    </row>
    <row r="3162" spans="1:13">
      <c r="A3162" t="s">
        <v>5</v>
      </c>
      <c r="B3162" t="s">
        <v>62</v>
      </c>
      <c r="C3162" t="s">
        <v>2757</v>
      </c>
      <c r="D3162" t="s">
        <v>2758</v>
      </c>
      <c r="E3162" cm="1">
        <f t="array" ref="E3162">_xlfn.XLOOKUP(D3162,SKU_Master!A:A,SKU_Master!B:B,"Not on master")</f>
        <v>0</v>
      </c>
      <c r="F3162" cm="1">
        <f t="array" ref="F3162">_xlfn.XLOOKUP(C3162,Account_Master!A:A,Account_Master!B:B,"Not on master")</f>
        <v>0</v>
      </c>
      <c r="G3162" cm="1">
        <f t="array" ref="G3162">_xlfn.XLOOKUP(C3162,Account_Master!A:A,Account_Master!C:C,"Not on master")</f>
        <v>0</v>
      </c>
      <c r="H3162" s="6">
        <v>1</v>
      </c>
      <c r="I3162" s="6">
        <v>1</v>
      </c>
      <c r="J3162" s="6">
        <f>I3162-H3162</f>
        <v>0</v>
      </c>
      <c r="K3162" s="5">
        <f>IF(H3162=0,"",J3162/H3162)</f>
        <v>0</v>
      </c>
      <c r="L3162">
        <f>IF(OR(AND(H3162=0,ABS(J3162)&gt;=0.01),AND(H3162&lt;&gt;0,ABS(K3162)&gt;VarianceThreshold)),"Review","OK")</f>
        <v>0</v>
      </c>
      <c r="M3162" t="s">
        <v>33</v>
      </c>
    </row>
    <row r="3163" spans="1:13">
      <c r="A3163" t="s">
        <v>5</v>
      </c>
      <c r="B3163" t="s">
        <v>62</v>
      </c>
      <c r="C3163" t="s">
        <v>2759</v>
      </c>
      <c r="D3163" t="s">
        <v>1064</v>
      </c>
      <c r="E3163" cm="1">
        <f t="array" ref="E3163">_xlfn.XLOOKUP(D3163,SKU_Master!A:A,SKU_Master!B:B,"Not on master")</f>
        <v>0</v>
      </c>
      <c r="F3163" cm="1">
        <f t="array" ref="F3163">_xlfn.XLOOKUP(C3163,Account_Master!A:A,Account_Master!B:B,"Not on master")</f>
        <v>0</v>
      </c>
      <c r="G3163" cm="1">
        <f t="array" ref="G3163">_xlfn.XLOOKUP(C3163,Account_Master!A:A,Account_Master!C:C,"Not on master")</f>
        <v>0</v>
      </c>
      <c r="H3163" s="6">
        <v>0.05</v>
      </c>
      <c r="I3163" s="6">
        <v>0.05</v>
      </c>
      <c r="J3163" s="6">
        <f>I3163-H3163</f>
        <v>0</v>
      </c>
      <c r="K3163" s="5">
        <f>IF(H3163=0,"",J3163/H3163)</f>
        <v>0</v>
      </c>
      <c r="L3163">
        <f>IF(OR(AND(H3163=0,ABS(J3163)&gt;=0.01),AND(H3163&lt;&gt;0,ABS(K3163)&gt;VarianceThreshold)),"Review","OK")</f>
        <v>0</v>
      </c>
      <c r="M3163" t="s">
        <v>33</v>
      </c>
    </row>
    <row r="3164" spans="1:13">
      <c r="A3164" t="s">
        <v>5</v>
      </c>
      <c r="B3164" t="s">
        <v>62</v>
      </c>
      <c r="C3164" t="s">
        <v>2760</v>
      </c>
      <c r="D3164" t="s">
        <v>1385</v>
      </c>
      <c r="E3164" cm="1">
        <f t="array" ref="E3164">_xlfn.XLOOKUP(D3164,SKU_Master!A:A,SKU_Master!B:B,"Not on master")</f>
        <v>0</v>
      </c>
      <c r="F3164" cm="1">
        <f t="array" ref="F3164">_xlfn.XLOOKUP(C3164,Account_Master!A:A,Account_Master!B:B,"Not on master")</f>
        <v>0</v>
      </c>
      <c r="G3164" cm="1">
        <f t="array" ref="G3164">_xlfn.XLOOKUP(C3164,Account_Master!A:A,Account_Master!C:C,"Not on master")</f>
        <v>0</v>
      </c>
      <c r="H3164" s="6">
        <v>0.05</v>
      </c>
      <c r="I3164" s="6">
        <v>0.05</v>
      </c>
      <c r="J3164" s="6">
        <f>I3164-H3164</f>
        <v>0</v>
      </c>
      <c r="K3164" s="5">
        <f>IF(H3164=0,"",J3164/H3164)</f>
        <v>0</v>
      </c>
      <c r="L3164">
        <f>IF(OR(AND(H3164=0,ABS(J3164)&gt;=0.01),AND(H3164&lt;&gt;0,ABS(K3164)&gt;VarianceThreshold)),"Review","OK")</f>
        <v>0</v>
      </c>
      <c r="M3164" t="s">
        <v>33</v>
      </c>
    </row>
    <row r="3165" spans="1:13">
      <c r="A3165" t="s">
        <v>5</v>
      </c>
      <c r="B3165" t="s">
        <v>62</v>
      </c>
      <c r="C3165" t="s">
        <v>2761</v>
      </c>
      <c r="D3165" t="s">
        <v>2762</v>
      </c>
      <c r="E3165" cm="1">
        <f t="array" ref="E3165">_xlfn.XLOOKUP(D3165,SKU_Master!A:A,SKU_Master!B:B,"Not on master")</f>
        <v>0</v>
      </c>
      <c r="F3165" cm="1">
        <f t="array" ref="F3165">_xlfn.XLOOKUP(C3165,Account_Master!A:A,Account_Master!B:B,"Not on master")</f>
        <v>0</v>
      </c>
      <c r="G3165" cm="1">
        <f t="array" ref="G3165">_xlfn.XLOOKUP(C3165,Account_Master!A:A,Account_Master!C:C,"Not on master")</f>
        <v>0</v>
      </c>
      <c r="H3165" s="6">
        <v>0.75</v>
      </c>
      <c r="I3165" s="6">
        <v>0.75</v>
      </c>
      <c r="J3165" s="6">
        <f>I3165-H3165</f>
        <v>0</v>
      </c>
      <c r="K3165" s="5">
        <f>IF(H3165=0,"",J3165/H3165)</f>
        <v>0</v>
      </c>
      <c r="L3165">
        <f>IF(OR(AND(H3165=0,ABS(J3165)&gt;=0.01),AND(H3165&lt;&gt;0,ABS(K3165)&gt;VarianceThreshold)),"Review","OK")</f>
        <v>0</v>
      </c>
      <c r="M3165" t="s">
        <v>33</v>
      </c>
    </row>
    <row r="3166" spans="1:13">
      <c r="A3166" t="s">
        <v>5</v>
      </c>
      <c r="B3166" t="s">
        <v>71</v>
      </c>
      <c r="C3166" t="s">
        <v>2763</v>
      </c>
      <c r="D3166" t="s">
        <v>452</v>
      </c>
      <c r="E3166" cm="1">
        <f t="array" ref="E3166">_xlfn.XLOOKUP(D3166,SKU_Master!A:A,SKU_Master!B:B,"Not on master")</f>
        <v>0</v>
      </c>
      <c r="F3166" cm="1">
        <f t="array" ref="F3166">_xlfn.XLOOKUP(C3166,Account_Master!A:A,Account_Master!B:B,"Not on master")</f>
        <v>0</v>
      </c>
      <c r="G3166" cm="1">
        <f t="array" ref="G3166">_xlfn.XLOOKUP(C3166,Account_Master!A:A,Account_Master!C:C,"Not on master")</f>
        <v>0</v>
      </c>
      <c r="H3166" s="6">
        <v>0.05</v>
      </c>
      <c r="I3166" s="6">
        <v>0.05</v>
      </c>
      <c r="J3166" s="6">
        <f>I3166-H3166</f>
        <v>0</v>
      </c>
      <c r="K3166" s="5">
        <f>IF(H3166=0,"",J3166/H3166)</f>
        <v>0</v>
      </c>
      <c r="L3166">
        <f>IF(OR(AND(H3166=0,ABS(J3166)&gt;=0.01),AND(H3166&lt;&gt;0,ABS(K3166)&gt;VarianceThreshold)),"Review","OK")</f>
        <v>0</v>
      </c>
      <c r="M3166" t="s">
        <v>33</v>
      </c>
    </row>
    <row r="3167" spans="1:13">
      <c r="A3167" t="s">
        <v>5</v>
      </c>
      <c r="B3167" t="s">
        <v>71</v>
      </c>
      <c r="C3167" t="s">
        <v>2764</v>
      </c>
      <c r="D3167" t="s">
        <v>2177</v>
      </c>
      <c r="E3167" cm="1">
        <f t="array" ref="E3167">_xlfn.XLOOKUP(D3167,SKU_Master!A:A,SKU_Master!B:B,"Not on master")</f>
        <v>0</v>
      </c>
      <c r="F3167" cm="1">
        <f t="array" ref="F3167">_xlfn.XLOOKUP(C3167,Account_Master!A:A,Account_Master!B:B,"Not on master")</f>
        <v>0</v>
      </c>
      <c r="G3167" cm="1">
        <f t="array" ref="G3167">_xlfn.XLOOKUP(C3167,Account_Master!A:A,Account_Master!C:C,"Not on master")</f>
        <v>0</v>
      </c>
      <c r="H3167" s="6">
        <v>7</v>
      </c>
      <c r="I3167" s="6">
        <v>7</v>
      </c>
      <c r="J3167" s="6">
        <f>I3167-H3167</f>
        <v>0</v>
      </c>
      <c r="K3167" s="5">
        <f>IF(H3167=0,"",J3167/H3167)</f>
        <v>0</v>
      </c>
      <c r="L3167">
        <f>IF(OR(AND(H3167=0,ABS(J3167)&gt;=0.01),AND(H3167&lt;&gt;0,ABS(K3167)&gt;VarianceThreshold)),"Review","OK")</f>
        <v>0</v>
      </c>
      <c r="M3167" t="s">
        <v>33</v>
      </c>
    </row>
    <row r="3168" spans="1:13">
      <c r="A3168" t="s">
        <v>5</v>
      </c>
      <c r="B3168" t="s">
        <v>71</v>
      </c>
      <c r="C3168" t="s">
        <v>2756</v>
      </c>
      <c r="D3168" t="s">
        <v>1157</v>
      </c>
      <c r="E3168" cm="1">
        <f t="array" ref="E3168">_xlfn.XLOOKUP(D3168,SKU_Master!A:A,SKU_Master!B:B,"Not on master")</f>
        <v>0</v>
      </c>
      <c r="F3168" cm="1">
        <f t="array" ref="F3168">_xlfn.XLOOKUP(C3168,Account_Master!A:A,Account_Master!B:B,"Not on master")</f>
        <v>0</v>
      </c>
      <c r="G3168" cm="1">
        <f t="array" ref="G3168">_xlfn.XLOOKUP(C3168,Account_Master!A:A,Account_Master!C:C,"Not on master")</f>
        <v>0</v>
      </c>
      <c r="H3168" s="6">
        <v>10.5</v>
      </c>
      <c r="I3168" s="6">
        <v>10.5</v>
      </c>
      <c r="J3168" s="6">
        <f>I3168-H3168</f>
        <v>0</v>
      </c>
      <c r="K3168" s="5">
        <f>IF(H3168=0,"",J3168/H3168)</f>
        <v>0</v>
      </c>
      <c r="L3168">
        <f>IF(OR(AND(H3168=0,ABS(J3168)&gt;=0.01),AND(H3168&lt;&gt;0,ABS(K3168)&gt;VarianceThreshold)),"Review","OK")</f>
        <v>0</v>
      </c>
      <c r="M3168" t="s">
        <v>33</v>
      </c>
    </row>
    <row r="3169" spans="1:13">
      <c r="A3169" t="s">
        <v>5</v>
      </c>
      <c r="B3169" t="s">
        <v>71</v>
      </c>
      <c r="C3169" t="s">
        <v>2765</v>
      </c>
      <c r="D3169" t="s">
        <v>2633</v>
      </c>
      <c r="E3169" cm="1">
        <f t="array" ref="E3169">_xlfn.XLOOKUP(D3169,SKU_Master!A:A,SKU_Master!B:B,"Not on master")</f>
        <v>0</v>
      </c>
      <c r="F3169" cm="1">
        <f t="array" ref="F3169">_xlfn.XLOOKUP(C3169,Account_Master!A:A,Account_Master!B:B,"Not on master")</f>
        <v>0</v>
      </c>
      <c r="G3169" cm="1">
        <f t="array" ref="G3169">_xlfn.XLOOKUP(C3169,Account_Master!A:A,Account_Master!C:C,"Not on master")</f>
        <v>0</v>
      </c>
      <c r="H3169" s="6">
        <v>12</v>
      </c>
      <c r="I3169" s="6">
        <v>12</v>
      </c>
      <c r="J3169" s="6">
        <f>I3169-H3169</f>
        <v>0</v>
      </c>
      <c r="K3169" s="5">
        <f>IF(H3169=0,"",J3169/H3169)</f>
        <v>0</v>
      </c>
      <c r="L3169">
        <f>IF(OR(AND(H3169=0,ABS(J3169)&gt;=0.01),AND(H3169&lt;&gt;0,ABS(K3169)&gt;VarianceThreshold)),"Review","OK")</f>
        <v>0</v>
      </c>
      <c r="M3169" t="s">
        <v>33</v>
      </c>
    </row>
    <row r="3170" spans="1:13">
      <c r="A3170" t="s">
        <v>5</v>
      </c>
      <c r="B3170" t="s">
        <v>71</v>
      </c>
      <c r="C3170" t="s">
        <v>2766</v>
      </c>
      <c r="D3170" t="s">
        <v>1893</v>
      </c>
      <c r="E3170" cm="1">
        <f t="array" ref="E3170">_xlfn.XLOOKUP(D3170,SKU_Master!A:A,SKU_Master!B:B,"Not on master")</f>
        <v>0</v>
      </c>
      <c r="F3170" cm="1">
        <f t="array" ref="F3170">_xlfn.XLOOKUP(C3170,Account_Master!A:A,Account_Master!B:B,"Not on master")</f>
        <v>0</v>
      </c>
      <c r="G3170" cm="1">
        <f t="array" ref="G3170">_xlfn.XLOOKUP(C3170,Account_Master!A:A,Account_Master!C:C,"Not on master")</f>
        <v>0</v>
      </c>
      <c r="H3170" s="6">
        <v>3</v>
      </c>
      <c r="I3170" s="6">
        <v>3</v>
      </c>
      <c r="J3170" s="6">
        <f>I3170-H3170</f>
        <v>0</v>
      </c>
      <c r="K3170" s="5">
        <f>IF(H3170=0,"",J3170/H3170)</f>
        <v>0</v>
      </c>
      <c r="L3170">
        <f>IF(OR(AND(H3170=0,ABS(J3170)&gt;=0.01),AND(H3170&lt;&gt;0,ABS(K3170)&gt;VarianceThreshold)),"Review","OK")</f>
        <v>0</v>
      </c>
      <c r="M3170" t="s">
        <v>33</v>
      </c>
    </row>
    <row r="3171" spans="1:13">
      <c r="A3171" t="s">
        <v>5</v>
      </c>
      <c r="B3171" t="s">
        <v>71</v>
      </c>
      <c r="C3171" t="s">
        <v>2767</v>
      </c>
      <c r="D3171" t="s">
        <v>2768</v>
      </c>
      <c r="E3171" cm="1">
        <f t="array" ref="E3171">_xlfn.XLOOKUP(D3171,SKU_Master!A:A,SKU_Master!B:B,"Not on master")</f>
        <v>0</v>
      </c>
      <c r="F3171" cm="1">
        <f t="array" ref="F3171">_xlfn.XLOOKUP(C3171,Account_Master!A:A,Account_Master!B:B,"Not on master")</f>
        <v>0</v>
      </c>
      <c r="G3171" cm="1">
        <f t="array" ref="G3171">_xlfn.XLOOKUP(C3171,Account_Master!A:A,Account_Master!C:C,"Not on master")</f>
        <v>0</v>
      </c>
      <c r="H3171" s="6">
        <v>4.5</v>
      </c>
      <c r="I3171" s="6">
        <v>4.5</v>
      </c>
      <c r="J3171" s="6">
        <f>I3171-H3171</f>
        <v>0</v>
      </c>
      <c r="K3171" s="5">
        <f>IF(H3171=0,"",J3171/H3171)</f>
        <v>0</v>
      </c>
      <c r="L3171">
        <f>IF(OR(AND(H3171=0,ABS(J3171)&gt;=0.01),AND(H3171&lt;&gt;0,ABS(K3171)&gt;VarianceThreshold)),"Review","OK")</f>
        <v>0</v>
      </c>
      <c r="M3171" t="s">
        <v>33</v>
      </c>
    </row>
    <row r="3172" spans="1:13">
      <c r="A3172" t="s">
        <v>5</v>
      </c>
      <c r="B3172" t="s">
        <v>97</v>
      </c>
      <c r="C3172" t="s">
        <v>2769</v>
      </c>
      <c r="D3172" t="s">
        <v>2770</v>
      </c>
      <c r="E3172" cm="1">
        <f t="array" ref="E3172">_xlfn.XLOOKUP(D3172,SKU_Master!A:A,SKU_Master!B:B,"Not on master")</f>
        <v>0</v>
      </c>
      <c r="F3172" cm="1">
        <f t="array" ref="F3172">_xlfn.XLOOKUP(C3172,Account_Master!A:A,Account_Master!B:B,"Not on master")</f>
        <v>0</v>
      </c>
      <c r="G3172" cm="1">
        <f t="array" ref="G3172">_xlfn.XLOOKUP(C3172,Account_Master!A:A,Account_Master!C:C,"Not on master")</f>
        <v>0</v>
      </c>
      <c r="H3172" s="6">
        <v>18.75</v>
      </c>
      <c r="I3172" s="6">
        <v>18.75</v>
      </c>
      <c r="J3172" s="6">
        <f>I3172-H3172</f>
        <v>0</v>
      </c>
      <c r="K3172" s="5">
        <f>IF(H3172=0,"",J3172/H3172)</f>
        <v>0</v>
      </c>
      <c r="L3172">
        <f>IF(OR(AND(H3172=0,ABS(J3172)&gt;=0.01),AND(H3172&lt;&gt;0,ABS(K3172)&gt;VarianceThreshold)),"Review","OK")</f>
        <v>0</v>
      </c>
      <c r="M3172" t="s">
        <v>33</v>
      </c>
    </row>
    <row r="3173" spans="1:13">
      <c r="A3173" t="s">
        <v>5</v>
      </c>
      <c r="B3173" t="s">
        <v>97</v>
      </c>
      <c r="C3173" t="s">
        <v>2771</v>
      </c>
      <c r="D3173" t="s">
        <v>1977</v>
      </c>
      <c r="E3173" cm="1">
        <f t="array" ref="E3173">_xlfn.XLOOKUP(D3173,SKU_Master!A:A,SKU_Master!B:B,"Not on master")</f>
        <v>0</v>
      </c>
      <c r="F3173" cm="1">
        <f t="array" ref="F3173">_xlfn.XLOOKUP(C3173,Account_Master!A:A,Account_Master!B:B,"Not on master")</f>
        <v>0</v>
      </c>
      <c r="G3173" cm="1">
        <f t="array" ref="G3173">_xlfn.XLOOKUP(C3173,Account_Master!A:A,Account_Master!C:C,"Not on master")</f>
        <v>0</v>
      </c>
      <c r="H3173" s="6">
        <v>1.5</v>
      </c>
      <c r="I3173" s="6">
        <v>1.5</v>
      </c>
      <c r="J3173" s="6">
        <f>I3173-H3173</f>
        <v>0</v>
      </c>
      <c r="K3173" s="5">
        <f>IF(H3173=0,"",J3173/H3173)</f>
        <v>0</v>
      </c>
      <c r="L3173">
        <f>IF(OR(AND(H3173=0,ABS(J3173)&gt;=0.01),AND(H3173&lt;&gt;0,ABS(K3173)&gt;VarianceThreshold)),"Review","OK")</f>
        <v>0</v>
      </c>
      <c r="M3173" t="s">
        <v>33</v>
      </c>
    </row>
    <row r="3174" spans="1:13">
      <c r="A3174" t="s">
        <v>5</v>
      </c>
      <c r="B3174" t="s">
        <v>97</v>
      </c>
      <c r="C3174" t="s">
        <v>2769</v>
      </c>
      <c r="D3174" t="s">
        <v>2522</v>
      </c>
      <c r="E3174" cm="1">
        <f t="array" ref="E3174">_xlfn.XLOOKUP(D3174,SKU_Master!A:A,SKU_Master!B:B,"Not on master")</f>
        <v>0</v>
      </c>
      <c r="F3174" cm="1">
        <f t="array" ref="F3174">_xlfn.XLOOKUP(C3174,Account_Master!A:A,Account_Master!B:B,"Not on master")</f>
        <v>0</v>
      </c>
      <c r="G3174" cm="1">
        <f t="array" ref="G3174">_xlfn.XLOOKUP(C3174,Account_Master!A:A,Account_Master!C:C,"Not on master")</f>
        <v>0</v>
      </c>
      <c r="H3174" s="6">
        <v>6</v>
      </c>
      <c r="I3174" s="6">
        <v>6</v>
      </c>
      <c r="J3174" s="6">
        <f>I3174-H3174</f>
        <v>0</v>
      </c>
      <c r="K3174" s="5">
        <f>IF(H3174=0,"",J3174/H3174)</f>
        <v>0</v>
      </c>
      <c r="L3174">
        <f>IF(OR(AND(H3174=0,ABS(J3174)&gt;=0.01),AND(H3174&lt;&gt;0,ABS(K3174)&gt;VarianceThreshold)),"Review","OK")</f>
        <v>0</v>
      </c>
      <c r="M3174" t="s">
        <v>33</v>
      </c>
    </row>
    <row r="3175" spans="1:13">
      <c r="A3175" t="s">
        <v>5</v>
      </c>
      <c r="B3175" t="s">
        <v>97</v>
      </c>
      <c r="C3175" t="s">
        <v>2772</v>
      </c>
      <c r="D3175" t="s">
        <v>120</v>
      </c>
      <c r="E3175" cm="1">
        <f t="array" ref="E3175">_xlfn.XLOOKUP(D3175,SKU_Master!A:A,SKU_Master!B:B,"Not on master")</f>
        <v>0</v>
      </c>
      <c r="F3175" cm="1">
        <f t="array" ref="F3175">_xlfn.XLOOKUP(C3175,Account_Master!A:A,Account_Master!B:B,"Not on master")</f>
        <v>0</v>
      </c>
      <c r="G3175" cm="1">
        <f t="array" ref="G3175">_xlfn.XLOOKUP(C3175,Account_Master!A:A,Account_Master!C:C,"Not on master")</f>
        <v>0</v>
      </c>
      <c r="H3175" s="6">
        <v>12</v>
      </c>
      <c r="I3175" s="6">
        <v>12</v>
      </c>
      <c r="J3175" s="6">
        <f>I3175-H3175</f>
        <v>0</v>
      </c>
      <c r="K3175" s="5">
        <f>IF(H3175=0,"",J3175/H3175)</f>
        <v>0</v>
      </c>
      <c r="L3175">
        <f>IF(OR(AND(H3175=0,ABS(J3175)&gt;=0.01),AND(H3175&lt;&gt;0,ABS(K3175)&gt;VarianceThreshold)),"Review","OK")</f>
        <v>0</v>
      </c>
      <c r="M3175" t="s">
        <v>33</v>
      </c>
    </row>
    <row r="3176" spans="1:13">
      <c r="A3176" t="s">
        <v>5</v>
      </c>
      <c r="B3176" t="s">
        <v>103</v>
      </c>
      <c r="C3176" t="s">
        <v>2767</v>
      </c>
      <c r="D3176" t="s">
        <v>1951</v>
      </c>
      <c r="E3176" cm="1">
        <f t="array" ref="E3176">_xlfn.XLOOKUP(D3176,SKU_Master!A:A,SKU_Master!B:B,"Not on master")</f>
        <v>0</v>
      </c>
      <c r="F3176" cm="1">
        <f t="array" ref="F3176">_xlfn.XLOOKUP(C3176,Account_Master!A:A,Account_Master!B:B,"Not on master")</f>
        <v>0</v>
      </c>
      <c r="G3176" cm="1">
        <f t="array" ref="G3176">_xlfn.XLOOKUP(C3176,Account_Master!A:A,Account_Master!C:C,"Not on master")</f>
        <v>0</v>
      </c>
      <c r="H3176" s="6">
        <v>10.5</v>
      </c>
      <c r="I3176" s="6">
        <v>10.5</v>
      </c>
      <c r="J3176" s="6">
        <f>I3176-H3176</f>
        <v>0</v>
      </c>
      <c r="K3176" s="5">
        <f>IF(H3176=0,"",J3176/H3176)</f>
        <v>0</v>
      </c>
      <c r="L3176">
        <f>IF(OR(AND(H3176=0,ABS(J3176)&gt;=0.01),AND(H3176&lt;&gt;0,ABS(K3176)&gt;VarianceThreshold)),"Review","OK")</f>
        <v>0</v>
      </c>
      <c r="M3176" t="s">
        <v>33</v>
      </c>
    </row>
    <row r="3177" spans="1:13">
      <c r="A3177" t="s">
        <v>5</v>
      </c>
      <c r="B3177" t="s">
        <v>103</v>
      </c>
      <c r="C3177" t="s">
        <v>2773</v>
      </c>
      <c r="D3177" t="s">
        <v>2774</v>
      </c>
      <c r="E3177" cm="1">
        <f t="array" ref="E3177">_xlfn.XLOOKUP(D3177,SKU_Master!A:A,SKU_Master!B:B,"Not on master")</f>
        <v>0</v>
      </c>
      <c r="F3177" cm="1">
        <f t="array" ref="F3177">_xlfn.XLOOKUP(C3177,Account_Master!A:A,Account_Master!B:B,"Not on master")</f>
        <v>0</v>
      </c>
      <c r="G3177" cm="1">
        <f t="array" ref="G3177">_xlfn.XLOOKUP(C3177,Account_Master!A:A,Account_Master!C:C,"Not on master")</f>
        <v>0</v>
      </c>
      <c r="H3177" s="6">
        <v>1.49</v>
      </c>
      <c r="I3177" s="6">
        <v>1.49</v>
      </c>
      <c r="J3177" s="6">
        <f>I3177-H3177</f>
        <v>0</v>
      </c>
      <c r="K3177" s="5">
        <f>IF(H3177=0,"",J3177/H3177)</f>
        <v>0</v>
      </c>
      <c r="L3177">
        <f>IF(OR(AND(H3177=0,ABS(J3177)&gt;=0.01),AND(H3177&lt;&gt;0,ABS(K3177)&gt;VarianceThreshold)),"Review","OK")</f>
        <v>0</v>
      </c>
      <c r="M3177" t="s">
        <v>33</v>
      </c>
    </row>
    <row r="3178" spans="1:13">
      <c r="A3178" t="s">
        <v>5</v>
      </c>
      <c r="B3178" t="s">
        <v>103</v>
      </c>
      <c r="C3178" t="s">
        <v>2767</v>
      </c>
      <c r="D3178" t="s">
        <v>1247</v>
      </c>
      <c r="E3178" cm="1">
        <f t="array" ref="E3178">_xlfn.XLOOKUP(D3178,SKU_Master!A:A,SKU_Master!B:B,"Not on master")</f>
        <v>0</v>
      </c>
      <c r="F3178" cm="1">
        <f t="array" ref="F3178">_xlfn.XLOOKUP(C3178,Account_Master!A:A,Account_Master!B:B,"Not on master")</f>
        <v>0</v>
      </c>
      <c r="G3178" cm="1">
        <f t="array" ref="G3178">_xlfn.XLOOKUP(C3178,Account_Master!A:A,Account_Master!C:C,"Not on master")</f>
        <v>0</v>
      </c>
      <c r="H3178" s="6">
        <v>0.15</v>
      </c>
      <c r="I3178" s="6">
        <v>0.15</v>
      </c>
      <c r="J3178" s="6">
        <f>I3178-H3178</f>
        <v>0</v>
      </c>
      <c r="K3178" s="5">
        <f>IF(H3178=0,"",J3178/H3178)</f>
        <v>0</v>
      </c>
      <c r="L3178">
        <f>IF(OR(AND(H3178=0,ABS(J3178)&gt;=0.01),AND(H3178&lt;&gt;0,ABS(K3178)&gt;VarianceThreshold)),"Review","OK")</f>
        <v>0</v>
      </c>
      <c r="M3178" t="s">
        <v>33</v>
      </c>
    </row>
    <row r="3179" spans="1:13">
      <c r="A3179" t="s">
        <v>5</v>
      </c>
      <c r="B3179" t="s">
        <v>103</v>
      </c>
      <c r="C3179" t="s">
        <v>2775</v>
      </c>
      <c r="D3179" t="s">
        <v>309</v>
      </c>
      <c r="E3179" cm="1">
        <f t="array" ref="E3179">_xlfn.XLOOKUP(D3179,SKU_Master!A:A,SKU_Master!B:B,"Not on master")</f>
        <v>0</v>
      </c>
      <c r="F3179" cm="1">
        <f t="array" ref="F3179">_xlfn.XLOOKUP(C3179,Account_Master!A:A,Account_Master!B:B,"Not on master")</f>
        <v>0</v>
      </c>
      <c r="G3179" cm="1">
        <f t="array" ref="G3179">_xlfn.XLOOKUP(C3179,Account_Master!A:A,Account_Master!C:C,"Not on master")</f>
        <v>0</v>
      </c>
      <c r="H3179" s="6">
        <v>2.25</v>
      </c>
      <c r="I3179" s="6">
        <v>2.25</v>
      </c>
      <c r="J3179" s="6">
        <f>I3179-H3179</f>
        <v>0</v>
      </c>
      <c r="K3179" s="5">
        <f>IF(H3179=0,"",J3179/H3179)</f>
        <v>0</v>
      </c>
      <c r="L3179">
        <f>IF(OR(AND(H3179=0,ABS(J3179)&gt;=0.01),AND(H3179&lt;&gt;0,ABS(K3179)&gt;VarianceThreshold)),"Review","OK")</f>
        <v>0</v>
      </c>
      <c r="M3179" t="s">
        <v>33</v>
      </c>
    </row>
    <row r="3180" spans="1:13">
      <c r="A3180" t="s">
        <v>5</v>
      </c>
      <c r="B3180" t="s">
        <v>103</v>
      </c>
      <c r="C3180" t="s">
        <v>2769</v>
      </c>
      <c r="D3180" t="s">
        <v>66</v>
      </c>
      <c r="E3180" cm="1">
        <f t="array" ref="E3180">_xlfn.XLOOKUP(D3180,SKU_Master!A:A,SKU_Master!B:B,"Not on master")</f>
        <v>0</v>
      </c>
      <c r="F3180" cm="1">
        <f t="array" ref="F3180">_xlfn.XLOOKUP(C3180,Account_Master!A:A,Account_Master!B:B,"Not on master")</f>
        <v>0</v>
      </c>
      <c r="G3180" cm="1">
        <f t="array" ref="G3180">_xlfn.XLOOKUP(C3180,Account_Master!A:A,Account_Master!C:C,"Not on master")</f>
        <v>0</v>
      </c>
      <c r="H3180" s="6">
        <v>26</v>
      </c>
      <c r="I3180" s="6">
        <v>26</v>
      </c>
      <c r="J3180" s="6">
        <f>I3180-H3180</f>
        <v>0</v>
      </c>
      <c r="K3180" s="5">
        <f>IF(H3180=0,"",J3180/H3180)</f>
        <v>0</v>
      </c>
      <c r="L3180">
        <f>IF(OR(AND(H3180=0,ABS(J3180)&gt;=0.01),AND(H3180&lt;&gt;0,ABS(K3180)&gt;VarianceThreshold)),"Review","OK")</f>
        <v>0</v>
      </c>
      <c r="M3180" t="s">
        <v>33</v>
      </c>
    </row>
    <row r="3181" spans="1:13">
      <c r="A3181" t="s">
        <v>5</v>
      </c>
      <c r="B3181" t="s">
        <v>103</v>
      </c>
      <c r="C3181" t="s">
        <v>2763</v>
      </c>
      <c r="D3181" t="s">
        <v>2776</v>
      </c>
      <c r="E3181" cm="1">
        <f t="array" ref="E3181">_xlfn.XLOOKUP(D3181,SKU_Master!A:A,SKU_Master!B:B,"Not on master")</f>
        <v>0</v>
      </c>
      <c r="F3181" cm="1">
        <f t="array" ref="F3181">_xlfn.XLOOKUP(C3181,Account_Master!A:A,Account_Master!B:B,"Not on master")</f>
        <v>0</v>
      </c>
      <c r="G3181" cm="1">
        <f t="array" ref="G3181">_xlfn.XLOOKUP(C3181,Account_Master!A:A,Account_Master!C:C,"Not on master")</f>
        <v>0</v>
      </c>
      <c r="H3181" s="6">
        <v>12</v>
      </c>
      <c r="I3181" s="6">
        <v>12</v>
      </c>
      <c r="J3181" s="6">
        <f>I3181-H3181</f>
        <v>0</v>
      </c>
      <c r="K3181" s="5">
        <f>IF(H3181=0,"",J3181/H3181)</f>
        <v>0</v>
      </c>
      <c r="L3181">
        <f>IF(OR(AND(H3181=0,ABS(J3181)&gt;=0.01),AND(H3181&lt;&gt;0,ABS(K3181)&gt;VarianceThreshold)),"Review","OK")</f>
        <v>0</v>
      </c>
      <c r="M3181" t="s">
        <v>33</v>
      </c>
    </row>
    <row r="3182" spans="1:13">
      <c r="A3182" t="s">
        <v>5</v>
      </c>
      <c r="B3182" t="s">
        <v>121</v>
      </c>
      <c r="C3182" t="s">
        <v>2777</v>
      </c>
      <c r="D3182" t="s">
        <v>652</v>
      </c>
      <c r="E3182" cm="1">
        <f t="array" ref="E3182">_xlfn.XLOOKUP(D3182,SKU_Master!A:A,SKU_Master!B:B,"Not on master")</f>
        <v>0</v>
      </c>
      <c r="F3182" cm="1">
        <f t="array" ref="F3182">_xlfn.XLOOKUP(C3182,Account_Master!A:A,Account_Master!B:B,"Not on master")</f>
        <v>0</v>
      </c>
      <c r="G3182" cm="1">
        <f t="array" ref="G3182">_xlfn.XLOOKUP(C3182,Account_Master!A:A,Account_Master!C:C,"Not on master")</f>
        <v>0</v>
      </c>
      <c r="H3182" s="6">
        <v>30.35</v>
      </c>
      <c r="I3182" s="6">
        <v>30.35</v>
      </c>
      <c r="J3182" s="6">
        <f>I3182-H3182</f>
        <v>0</v>
      </c>
      <c r="K3182" s="5">
        <f>IF(H3182=0,"",J3182/H3182)</f>
        <v>0</v>
      </c>
      <c r="L3182">
        <f>IF(OR(AND(H3182=0,ABS(J3182)&gt;=0.01),AND(H3182&lt;&gt;0,ABS(K3182)&gt;VarianceThreshold)),"Review","OK")</f>
        <v>0</v>
      </c>
      <c r="M3182" t="s">
        <v>33</v>
      </c>
    </row>
    <row r="3183" spans="1:13">
      <c r="A3183" t="s">
        <v>5</v>
      </c>
      <c r="B3183" t="s">
        <v>134</v>
      </c>
      <c r="C3183" t="s">
        <v>2754</v>
      </c>
      <c r="D3183" t="s">
        <v>744</v>
      </c>
      <c r="E3183" cm="1">
        <f t="array" ref="E3183">_xlfn.XLOOKUP(D3183,SKU_Master!A:A,SKU_Master!B:B,"Not on master")</f>
        <v>0</v>
      </c>
      <c r="F3183" cm="1">
        <f t="array" ref="F3183">_xlfn.XLOOKUP(C3183,Account_Master!A:A,Account_Master!B:B,"Not on master")</f>
        <v>0</v>
      </c>
      <c r="G3183" cm="1">
        <f t="array" ref="G3183">_xlfn.XLOOKUP(C3183,Account_Master!A:A,Account_Master!C:C,"Not on master")</f>
        <v>0</v>
      </c>
      <c r="H3183" s="6">
        <v>79.45</v>
      </c>
      <c r="I3183" s="6">
        <v>79.45</v>
      </c>
      <c r="J3183" s="6">
        <f>I3183-H3183</f>
        <v>0</v>
      </c>
      <c r="K3183" s="5">
        <f>IF(H3183=0,"",J3183/H3183)</f>
        <v>0</v>
      </c>
      <c r="L3183">
        <f>IF(OR(AND(H3183=0,ABS(J3183)&gt;=0.01),AND(H3183&lt;&gt;0,ABS(K3183)&gt;VarianceThreshold)),"Review","OK")</f>
        <v>0</v>
      </c>
      <c r="M3183" t="s">
        <v>33</v>
      </c>
    </row>
    <row r="3184" spans="1:13">
      <c r="A3184" t="s">
        <v>5</v>
      </c>
      <c r="B3184" t="s">
        <v>134</v>
      </c>
      <c r="C3184" t="s">
        <v>2778</v>
      </c>
      <c r="D3184" t="s">
        <v>2093</v>
      </c>
      <c r="E3184" cm="1">
        <f t="array" ref="E3184">_xlfn.XLOOKUP(D3184,SKU_Master!A:A,SKU_Master!B:B,"Not on master")</f>
        <v>0</v>
      </c>
      <c r="F3184" cm="1">
        <f t="array" ref="F3184">_xlfn.XLOOKUP(C3184,Account_Master!A:A,Account_Master!B:B,"Not on master")</f>
        <v>0</v>
      </c>
      <c r="G3184" cm="1">
        <f t="array" ref="G3184">_xlfn.XLOOKUP(C3184,Account_Master!A:A,Account_Master!C:C,"Not on master")</f>
        <v>0</v>
      </c>
      <c r="H3184" s="6">
        <v>19.5</v>
      </c>
      <c r="I3184" s="6">
        <v>19.5</v>
      </c>
      <c r="J3184" s="6">
        <f>I3184-H3184</f>
        <v>0</v>
      </c>
      <c r="K3184" s="5">
        <f>IF(H3184=0,"",J3184/H3184)</f>
        <v>0</v>
      </c>
      <c r="L3184">
        <f>IF(OR(AND(H3184=0,ABS(J3184)&gt;=0.01),AND(H3184&lt;&gt;0,ABS(K3184)&gt;VarianceThreshold)),"Review","OK")</f>
        <v>0</v>
      </c>
      <c r="M3184" t="s">
        <v>33</v>
      </c>
    </row>
    <row r="3185" spans="1:13">
      <c r="A3185" t="s">
        <v>5</v>
      </c>
      <c r="B3185" t="s">
        <v>134</v>
      </c>
      <c r="C3185" t="s">
        <v>2779</v>
      </c>
      <c r="D3185" t="s">
        <v>2780</v>
      </c>
      <c r="E3185" cm="1">
        <f t="array" ref="E3185">_xlfn.XLOOKUP(D3185,SKU_Master!A:A,SKU_Master!B:B,"Not on master")</f>
        <v>0</v>
      </c>
      <c r="F3185" cm="1">
        <f t="array" ref="F3185">_xlfn.XLOOKUP(C3185,Account_Master!A:A,Account_Master!B:B,"Not on master")</f>
        <v>0</v>
      </c>
      <c r="G3185" cm="1">
        <f t="array" ref="G3185">_xlfn.XLOOKUP(C3185,Account_Master!A:A,Account_Master!C:C,"Not on master")</f>
        <v>0</v>
      </c>
      <c r="H3185" s="6">
        <v>1.5</v>
      </c>
      <c r="I3185" s="6">
        <v>1.5</v>
      </c>
      <c r="J3185" s="6">
        <f>I3185-H3185</f>
        <v>0</v>
      </c>
      <c r="K3185" s="5">
        <f>IF(H3185=0,"",J3185/H3185)</f>
        <v>0</v>
      </c>
      <c r="L3185">
        <f>IF(OR(AND(H3185=0,ABS(J3185)&gt;=0.01),AND(H3185&lt;&gt;0,ABS(K3185)&gt;VarianceThreshold)),"Review","OK")</f>
        <v>0</v>
      </c>
      <c r="M3185" t="s">
        <v>33</v>
      </c>
    </row>
    <row r="3186" spans="1:13">
      <c r="A3186" t="s">
        <v>5</v>
      </c>
      <c r="B3186" t="s">
        <v>143</v>
      </c>
      <c r="C3186" t="s">
        <v>2781</v>
      </c>
      <c r="D3186" t="s">
        <v>2309</v>
      </c>
      <c r="E3186" cm="1">
        <f t="array" ref="E3186">_xlfn.XLOOKUP(D3186,SKU_Master!A:A,SKU_Master!B:B,"Not on master")</f>
        <v>0</v>
      </c>
      <c r="F3186" cm="1">
        <f t="array" ref="F3186">_xlfn.XLOOKUP(C3186,Account_Master!A:A,Account_Master!B:B,"Not on master")</f>
        <v>0</v>
      </c>
      <c r="G3186" cm="1">
        <f t="array" ref="G3186">_xlfn.XLOOKUP(C3186,Account_Master!A:A,Account_Master!C:C,"Not on master")</f>
        <v>0</v>
      </c>
      <c r="H3186" s="6">
        <v>24</v>
      </c>
      <c r="I3186" s="6">
        <v>24</v>
      </c>
      <c r="J3186" s="6">
        <f>I3186-H3186</f>
        <v>0</v>
      </c>
      <c r="K3186" s="5">
        <f>IF(H3186=0,"",J3186/H3186)</f>
        <v>0</v>
      </c>
      <c r="L3186">
        <f>IF(OR(AND(H3186=0,ABS(J3186)&gt;=0.01),AND(H3186&lt;&gt;0,ABS(K3186)&gt;VarianceThreshold)),"Review","OK")</f>
        <v>0</v>
      </c>
      <c r="M3186" t="s">
        <v>33</v>
      </c>
    </row>
    <row r="3187" spans="1:13">
      <c r="A3187" t="s">
        <v>5</v>
      </c>
      <c r="B3187" t="s">
        <v>143</v>
      </c>
      <c r="C3187" t="s">
        <v>2767</v>
      </c>
      <c r="D3187" t="s">
        <v>2782</v>
      </c>
      <c r="E3187" cm="1">
        <f t="array" ref="E3187">_xlfn.XLOOKUP(D3187,SKU_Master!A:A,SKU_Master!B:B,"Not on master")</f>
        <v>0</v>
      </c>
      <c r="F3187" cm="1">
        <f t="array" ref="F3187">_xlfn.XLOOKUP(C3187,Account_Master!A:A,Account_Master!B:B,"Not on master")</f>
        <v>0</v>
      </c>
      <c r="G3187" cm="1">
        <f t="array" ref="G3187">_xlfn.XLOOKUP(C3187,Account_Master!A:A,Account_Master!C:C,"Not on master")</f>
        <v>0</v>
      </c>
      <c r="H3187" s="6">
        <v>5.25</v>
      </c>
      <c r="I3187" s="6">
        <v>5.25</v>
      </c>
      <c r="J3187" s="6">
        <f>I3187-H3187</f>
        <v>0</v>
      </c>
      <c r="K3187" s="5">
        <f>IF(H3187=0,"",J3187/H3187)</f>
        <v>0</v>
      </c>
      <c r="L3187">
        <f>IF(OR(AND(H3187=0,ABS(J3187)&gt;=0.01),AND(H3187&lt;&gt;0,ABS(K3187)&gt;VarianceThreshold)),"Review","OK")</f>
        <v>0</v>
      </c>
      <c r="M3187" t="s">
        <v>33</v>
      </c>
    </row>
    <row r="3188" spans="1:13">
      <c r="A3188" t="s">
        <v>5</v>
      </c>
      <c r="B3188" t="s">
        <v>143</v>
      </c>
      <c r="C3188" t="s">
        <v>2783</v>
      </c>
      <c r="D3188" t="s">
        <v>926</v>
      </c>
      <c r="E3188" cm="1">
        <f t="array" ref="E3188">_xlfn.XLOOKUP(D3188,SKU_Master!A:A,SKU_Master!B:B,"Not on master")</f>
        <v>0</v>
      </c>
      <c r="F3188" cm="1">
        <f t="array" ref="F3188">_xlfn.XLOOKUP(C3188,Account_Master!A:A,Account_Master!B:B,"Not on master")</f>
        <v>0</v>
      </c>
      <c r="G3188" cm="1">
        <f t="array" ref="G3188">_xlfn.XLOOKUP(C3188,Account_Master!A:A,Account_Master!C:C,"Not on master")</f>
        <v>0</v>
      </c>
      <c r="H3188" s="6">
        <v>4.5</v>
      </c>
      <c r="I3188" s="6">
        <v>4.5</v>
      </c>
      <c r="J3188" s="6">
        <f>I3188-H3188</f>
        <v>0</v>
      </c>
      <c r="K3188" s="5">
        <f>IF(H3188=0,"",J3188/H3188)</f>
        <v>0</v>
      </c>
      <c r="L3188">
        <f>IF(OR(AND(H3188=0,ABS(J3188)&gt;=0.01),AND(H3188&lt;&gt;0,ABS(K3188)&gt;VarianceThreshold)),"Review","OK")</f>
        <v>0</v>
      </c>
      <c r="M3188" t="s">
        <v>33</v>
      </c>
    </row>
    <row r="3189" spans="1:13">
      <c r="A3189" t="s">
        <v>5</v>
      </c>
      <c r="B3189" t="s">
        <v>143</v>
      </c>
      <c r="C3189" t="s">
        <v>2784</v>
      </c>
      <c r="D3189" t="s">
        <v>801</v>
      </c>
      <c r="E3189" cm="1">
        <f t="array" ref="E3189">_xlfn.XLOOKUP(D3189,SKU_Master!A:A,SKU_Master!B:B,"Not on master")</f>
        <v>0</v>
      </c>
      <c r="F3189" cm="1">
        <f t="array" ref="F3189">_xlfn.XLOOKUP(C3189,Account_Master!A:A,Account_Master!B:B,"Not on master")</f>
        <v>0</v>
      </c>
      <c r="G3189" cm="1">
        <f t="array" ref="G3189">_xlfn.XLOOKUP(C3189,Account_Master!A:A,Account_Master!C:C,"Not on master")</f>
        <v>0</v>
      </c>
      <c r="H3189" s="6">
        <v>4.87</v>
      </c>
      <c r="I3189" s="6">
        <v>4.87</v>
      </c>
      <c r="J3189" s="6">
        <f>I3189-H3189</f>
        <v>0</v>
      </c>
      <c r="K3189" s="5">
        <f>IF(H3189=0,"",J3189/H3189)</f>
        <v>0</v>
      </c>
      <c r="L3189">
        <f>IF(OR(AND(H3189=0,ABS(J3189)&gt;=0.01),AND(H3189&lt;&gt;0,ABS(K3189)&gt;VarianceThreshold)),"Review","OK")</f>
        <v>0</v>
      </c>
      <c r="M3189" t="s">
        <v>33</v>
      </c>
    </row>
    <row r="3190" spans="1:13">
      <c r="A3190" t="s">
        <v>5</v>
      </c>
      <c r="B3190" t="s">
        <v>143</v>
      </c>
      <c r="C3190" t="s">
        <v>2785</v>
      </c>
      <c r="D3190" t="s">
        <v>1560</v>
      </c>
      <c r="E3190" cm="1">
        <f t="array" ref="E3190">_xlfn.XLOOKUP(D3190,SKU_Master!A:A,SKU_Master!B:B,"Not on master")</f>
        <v>0</v>
      </c>
      <c r="F3190" cm="1">
        <f t="array" ref="F3190">_xlfn.XLOOKUP(C3190,Account_Master!A:A,Account_Master!B:B,"Not on master")</f>
        <v>0</v>
      </c>
      <c r="G3190" cm="1">
        <f t="array" ref="G3190">_xlfn.XLOOKUP(C3190,Account_Master!A:A,Account_Master!C:C,"Not on master")</f>
        <v>0</v>
      </c>
      <c r="H3190" s="6">
        <v>14.25</v>
      </c>
      <c r="I3190" s="6">
        <v>14.25</v>
      </c>
      <c r="J3190" s="6">
        <f>I3190-H3190</f>
        <v>0</v>
      </c>
      <c r="K3190" s="5">
        <f>IF(H3190=0,"",J3190/H3190)</f>
        <v>0</v>
      </c>
      <c r="L3190">
        <f>IF(OR(AND(H3190=0,ABS(J3190)&gt;=0.01),AND(H3190&lt;&gt;0,ABS(K3190)&gt;VarianceThreshold)),"Review","OK")</f>
        <v>0</v>
      </c>
      <c r="M3190" t="s">
        <v>33</v>
      </c>
    </row>
    <row r="3191" spans="1:13">
      <c r="A3191" t="s">
        <v>5</v>
      </c>
      <c r="B3191" t="s">
        <v>143</v>
      </c>
      <c r="C3191" t="s">
        <v>2786</v>
      </c>
      <c r="D3191" t="s">
        <v>2787</v>
      </c>
      <c r="E3191" cm="1">
        <f t="array" ref="E3191">_xlfn.XLOOKUP(D3191,SKU_Master!A:A,SKU_Master!B:B,"Not on master")</f>
        <v>0</v>
      </c>
      <c r="F3191" cm="1">
        <f t="array" ref="F3191">_xlfn.XLOOKUP(C3191,Account_Master!A:A,Account_Master!B:B,"Not on master")</f>
        <v>0</v>
      </c>
      <c r="G3191" cm="1">
        <f t="array" ref="G3191">_xlfn.XLOOKUP(C3191,Account_Master!A:A,Account_Master!C:C,"Not on master")</f>
        <v>0</v>
      </c>
      <c r="H3191" s="6">
        <v>1.8</v>
      </c>
      <c r="I3191" s="6">
        <v>1.8</v>
      </c>
      <c r="J3191" s="6">
        <f>I3191-H3191</f>
        <v>0</v>
      </c>
      <c r="K3191" s="5">
        <f>IF(H3191=0,"",J3191/H3191)</f>
        <v>0</v>
      </c>
      <c r="L3191">
        <f>IF(OR(AND(H3191=0,ABS(J3191)&gt;=0.01),AND(H3191&lt;&gt;0,ABS(K3191)&gt;VarianceThreshold)),"Review","OK")</f>
        <v>0</v>
      </c>
      <c r="M3191" t="s">
        <v>33</v>
      </c>
    </row>
    <row r="3192" spans="1:13">
      <c r="A3192" t="s">
        <v>5</v>
      </c>
      <c r="B3192" t="s">
        <v>143</v>
      </c>
      <c r="C3192" t="s">
        <v>2756</v>
      </c>
      <c r="D3192" t="s">
        <v>321</v>
      </c>
      <c r="E3192" cm="1">
        <f t="array" ref="E3192">_xlfn.XLOOKUP(D3192,SKU_Master!A:A,SKU_Master!B:B,"Not on master")</f>
        <v>0</v>
      </c>
      <c r="F3192" cm="1">
        <f t="array" ref="F3192">_xlfn.XLOOKUP(C3192,Account_Master!A:A,Account_Master!B:B,"Not on master")</f>
        <v>0</v>
      </c>
      <c r="G3192" cm="1">
        <f t="array" ref="G3192">_xlfn.XLOOKUP(C3192,Account_Master!A:A,Account_Master!C:C,"Not on master")</f>
        <v>0</v>
      </c>
      <c r="H3192" s="6">
        <v>24</v>
      </c>
      <c r="I3192" s="6">
        <v>24</v>
      </c>
      <c r="J3192" s="6">
        <f>I3192-H3192</f>
        <v>0</v>
      </c>
      <c r="K3192" s="5">
        <f>IF(H3192=0,"",J3192/H3192)</f>
        <v>0</v>
      </c>
      <c r="L3192">
        <f>IF(OR(AND(H3192=0,ABS(J3192)&gt;=0.01),AND(H3192&lt;&gt;0,ABS(K3192)&gt;VarianceThreshold)),"Review","OK")</f>
        <v>0</v>
      </c>
      <c r="M3192" t="s">
        <v>33</v>
      </c>
    </row>
    <row r="3193" spans="1:13">
      <c r="A3193" t="s">
        <v>5</v>
      </c>
      <c r="B3193" t="s">
        <v>154</v>
      </c>
      <c r="C3193" t="s">
        <v>2788</v>
      </c>
      <c r="D3193" t="s">
        <v>2789</v>
      </c>
      <c r="E3193" cm="1">
        <f t="array" ref="E3193">_xlfn.XLOOKUP(D3193,SKU_Master!A:A,SKU_Master!B:B,"Not on master")</f>
        <v>0</v>
      </c>
      <c r="F3193" cm="1">
        <f t="array" ref="F3193">_xlfn.XLOOKUP(C3193,Account_Master!A:A,Account_Master!B:B,"Not on master")</f>
        <v>0</v>
      </c>
      <c r="G3193" cm="1">
        <f t="array" ref="G3193">_xlfn.XLOOKUP(C3193,Account_Master!A:A,Account_Master!C:C,"Not on master")</f>
        <v>0</v>
      </c>
      <c r="H3193" s="6">
        <v>4.5</v>
      </c>
      <c r="I3193" s="6">
        <v>4.5</v>
      </c>
      <c r="J3193" s="6">
        <f>I3193-H3193</f>
        <v>0</v>
      </c>
      <c r="K3193" s="5">
        <f>IF(H3193=0,"",J3193/H3193)</f>
        <v>0</v>
      </c>
      <c r="L3193">
        <f>IF(OR(AND(H3193=0,ABS(J3193)&gt;=0.01),AND(H3193&lt;&gt;0,ABS(K3193)&gt;VarianceThreshold)),"Review","OK")</f>
        <v>0</v>
      </c>
      <c r="M3193" t="s">
        <v>33</v>
      </c>
    </row>
    <row r="3194" spans="1:13">
      <c r="A3194" t="s">
        <v>5</v>
      </c>
      <c r="B3194" t="s">
        <v>154</v>
      </c>
      <c r="C3194" t="s">
        <v>2790</v>
      </c>
      <c r="D3194" t="s">
        <v>308</v>
      </c>
      <c r="E3194" cm="1">
        <f t="array" ref="E3194">_xlfn.XLOOKUP(D3194,SKU_Master!A:A,SKU_Master!B:B,"Not on master")</f>
        <v>0</v>
      </c>
      <c r="F3194" cm="1">
        <f t="array" ref="F3194">_xlfn.XLOOKUP(C3194,Account_Master!A:A,Account_Master!B:B,"Not on master")</f>
        <v>0</v>
      </c>
      <c r="G3194" cm="1">
        <f t="array" ref="G3194">_xlfn.XLOOKUP(C3194,Account_Master!A:A,Account_Master!C:C,"Not on master")</f>
        <v>0</v>
      </c>
      <c r="H3194" s="6">
        <v>42</v>
      </c>
      <c r="I3194" s="6">
        <v>42</v>
      </c>
      <c r="J3194" s="6">
        <f>I3194-H3194</f>
        <v>0</v>
      </c>
      <c r="K3194" s="5">
        <f>IF(H3194=0,"",J3194/H3194)</f>
        <v>0</v>
      </c>
      <c r="L3194">
        <f>IF(OR(AND(H3194=0,ABS(J3194)&gt;=0.01),AND(H3194&lt;&gt;0,ABS(K3194)&gt;VarianceThreshold)),"Review","OK")</f>
        <v>0</v>
      </c>
      <c r="M3194" t="s">
        <v>33</v>
      </c>
    </row>
    <row r="3195" spans="1:13">
      <c r="A3195" t="s">
        <v>5</v>
      </c>
      <c r="B3195" t="s">
        <v>154</v>
      </c>
      <c r="C3195" t="s">
        <v>2791</v>
      </c>
      <c r="D3195" t="s">
        <v>2792</v>
      </c>
      <c r="E3195" cm="1">
        <f t="array" ref="E3195">_xlfn.XLOOKUP(D3195,SKU_Master!A:A,SKU_Master!B:B,"Not on master")</f>
        <v>0</v>
      </c>
      <c r="F3195" cm="1">
        <f t="array" ref="F3195">_xlfn.XLOOKUP(C3195,Account_Master!A:A,Account_Master!B:B,"Not on master")</f>
        <v>0</v>
      </c>
      <c r="G3195" cm="1">
        <f t="array" ref="G3195">_xlfn.XLOOKUP(C3195,Account_Master!A:A,Account_Master!C:C,"Not on master")</f>
        <v>0</v>
      </c>
      <c r="H3195" s="6">
        <v>12</v>
      </c>
      <c r="I3195" s="6">
        <v>12</v>
      </c>
      <c r="J3195" s="6">
        <f>I3195-H3195</f>
        <v>0</v>
      </c>
      <c r="K3195" s="5">
        <f>IF(H3195=0,"",J3195/H3195)</f>
        <v>0</v>
      </c>
      <c r="L3195">
        <f>IF(OR(AND(H3195=0,ABS(J3195)&gt;=0.01),AND(H3195&lt;&gt;0,ABS(K3195)&gt;VarianceThreshold)),"Review","OK")</f>
        <v>0</v>
      </c>
      <c r="M3195" t="s">
        <v>33</v>
      </c>
    </row>
    <row r="3196" spans="1:13">
      <c r="A3196" t="s">
        <v>5</v>
      </c>
      <c r="B3196" t="s">
        <v>154</v>
      </c>
      <c r="C3196" t="s">
        <v>2793</v>
      </c>
      <c r="D3196" t="s">
        <v>2794</v>
      </c>
      <c r="E3196" cm="1">
        <f t="array" ref="E3196">_xlfn.XLOOKUP(D3196,SKU_Master!A:A,SKU_Master!B:B,"Not on master")</f>
        <v>0</v>
      </c>
      <c r="F3196" cm="1">
        <f t="array" ref="F3196">_xlfn.XLOOKUP(C3196,Account_Master!A:A,Account_Master!B:B,"Not on master")</f>
        <v>0</v>
      </c>
      <c r="G3196" cm="1">
        <f t="array" ref="G3196">_xlfn.XLOOKUP(C3196,Account_Master!A:A,Account_Master!C:C,"Not on master")</f>
        <v>0</v>
      </c>
      <c r="H3196" s="6">
        <v>4.5</v>
      </c>
      <c r="I3196" s="6">
        <v>4.5</v>
      </c>
      <c r="J3196" s="6">
        <f>I3196-H3196</f>
        <v>0</v>
      </c>
      <c r="K3196" s="5">
        <f>IF(H3196=0,"",J3196/H3196)</f>
        <v>0</v>
      </c>
      <c r="L3196">
        <f>IF(OR(AND(H3196=0,ABS(J3196)&gt;=0.01),AND(H3196&lt;&gt;0,ABS(K3196)&gt;VarianceThreshold)),"Review","OK")</f>
        <v>0</v>
      </c>
      <c r="M3196" t="s">
        <v>33</v>
      </c>
    </row>
    <row r="3197" spans="1:13">
      <c r="A3197" t="s">
        <v>5</v>
      </c>
      <c r="B3197" t="s">
        <v>154</v>
      </c>
      <c r="C3197" t="s">
        <v>2750</v>
      </c>
      <c r="D3197" t="s">
        <v>2795</v>
      </c>
      <c r="E3197" cm="1">
        <f t="array" ref="E3197">_xlfn.XLOOKUP(D3197,SKU_Master!A:A,SKU_Master!B:B,"Not on master")</f>
        <v>0</v>
      </c>
      <c r="F3197" cm="1">
        <f t="array" ref="F3197">_xlfn.XLOOKUP(C3197,Account_Master!A:A,Account_Master!B:B,"Not on master")</f>
        <v>0</v>
      </c>
      <c r="G3197" cm="1">
        <f t="array" ref="G3197">_xlfn.XLOOKUP(C3197,Account_Master!A:A,Account_Master!C:C,"Not on master")</f>
        <v>0</v>
      </c>
      <c r="H3197" s="6">
        <v>91</v>
      </c>
      <c r="I3197" s="6">
        <v>91</v>
      </c>
      <c r="J3197" s="6">
        <f>I3197-H3197</f>
        <v>0</v>
      </c>
      <c r="K3197" s="5">
        <f>IF(H3197=0,"",J3197/H3197)</f>
        <v>0</v>
      </c>
      <c r="L3197">
        <f>IF(OR(AND(H3197=0,ABS(J3197)&gt;=0.01),AND(H3197&lt;&gt;0,ABS(K3197)&gt;VarianceThreshold)),"Review","OK")</f>
        <v>0</v>
      </c>
      <c r="M3197" t="s">
        <v>33</v>
      </c>
    </row>
    <row r="3198" spans="1:13">
      <c r="A3198" t="s">
        <v>5</v>
      </c>
      <c r="B3198" t="s">
        <v>154</v>
      </c>
      <c r="C3198" t="s">
        <v>2750</v>
      </c>
      <c r="D3198" t="s">
        <v>597</v>
      </c>
      <c r="E3198" cm="1">
        <f t="array" ref="E3198">_xlfn.XLOOKUP(D3198,SKU_Master!A:A,SKU_Master!B:B,"Not on master")</f>
        <v>0</v>
      </c>
      <c r="F3198" cm="1">
        <f t="array" ref="F3198">_xlfn.XLOOKUP(C3198,Account_Master!A:A,Account_Master!B:B,"Not on master")</f>
        <v>0</v>
      </c>
      <c r="G3198" cm="1">
        <f t="array" ref="G3198">_xlfn.XLOOKUP(C3198,Account_Master!A:A,Account_Master!C:C,"Not on master")</f>
        <v>0</v>
      </c>
      <c r="H3198" s="6">
        <v>4.5</v>
      </c>
      <c r="I3198" s="6">
        <v>4.5</v>
      </c>
      <c r="J3198" s="6">
        <f>I3198-H3198</f>
        <v>0</v>
      </c>
      <c r="K3198" s="5">
        <f>IF(H3198=0,"",J3198/H3198)</f>
        <v>0</v>
      </c>
      <c r="L3198">
        <f>IF(OR(AND(H3198=0,ABS(J3198)&gt;=0.01),AND(H3198&lt;&gt;0,ABS(K3198)&gt;VarianceThreshold)),"Review","OK")</f>
        <v>0</v>
      </c>
      <c r="M3198" t="s">
        <v>33</v>
      </c>
    </row>
    <row r="3199" spans="1:13">
      <c r="A3199" t="s">
        <v>5</v>
      </c>
      <c r="B3199" t="s">
        <v>154</v>
      </c>
      <c r="C3199" t="s">
        <v>2796</v>
      </c>
      <c r="D3199" t="s">
        <v>2105</v>
      </c>
      <c r="E3199" cm="1">
        <f t="array" ref="E3199">_xlfn.XLOOKUP(D3199,SKU_Master!A:A,SKU_Master!B:B,"Not on master")</f>
        <v>0</v>
      </c>
      <c r="F3199" cm="1">
        <f t="array" ref="F3199">_xlfn.XLOOKUP(C3199,Account_Master!A:A,Account_Master!B:B,"Not on master")</f>
        <v>0</v>
      </c>
      <c r="G3199" cm="1">
        <f t="array" ref="G3199">_xlfn.XLOOKUP(C3199,Account_Master!A:A,Account_Master!C:C,"Not on master")</f>
        <v>0</v>
      </c>
      <c r="H3199" s="6">
        <v>4.5</v>
      </c>
      <c r="I3199" s="6">
        <v>4.5</v>
      </c>
      <c r="J3199" s="6">
        <f>I3199-H3199</f>
        <v>0</v>
      </c>
      <c r="K3199" s="5">
        <f>IF(H3199=0,"",J3199/H3199)</f>
        <v>0</v>
      </c>
      <c r="L3199">
        <f>IF(OR(AND(H3199=0,ABS(J3199)&gt;=0.01),AND(H3199&lt;&gt;0,ABS(K3199)&gt;VarianceThreshold)),"Review","OK")</f>
        <v>0</v>
      </c>
      <c r="M3199" t="s">
        <v>33</v>
      </c>
    </row>
    <row r="3200" spans="1:13">
      <c r="A3200" t="s">
        <v>5</v>
      </c>
      <c r="B3200" t="s">
        <v>154</v>
      </c>
      <c r="C3200" t="s">
        <v>2797</v>
      </c>
      <c r="D3200" t="s">
        <v>2798</v>
      </c>
      <c r="E3200" cm="1">
        <f t="array" ref="E3200">_xlfn.XLOOKUP(D3200,SKU_Master!A:A,SKU_Master!B:B,"Not on master")</f>
        <v>0</v>
      </c>
      <c r="F3200" cm="1">
        <f t="array" ref="F3200">_xlfn.XLOOKUP(C3200,Account_Master!A:A,Account_Master!B:B,"Not on master")</f>
        <v>0</v>
      </c>
      <c r="G3200" cm="1">
        <f t="array" ref="G3200">_xlfn.XLOOKUP(C3200,Account_Master!A:A,Account_Master!C:C,"Not on master")</f>
        <v>0</v>
      </c>
      <c r="H3200" s="6">
        <v>9</v>
      </c>
      <c r="I3200" s="6">
        <v>9</v>
      </c>
      <c r="J3200" s="6">
        <f>I3200-H3200</f>
        <v>0</v>
      </c>
      <c r="K3200" s="5">
        <f>IF(H3200=0,"",J3200/H3200)</f>
        <v>0</v>
      </c>
      <c r="L3200">
        <f>IF(OR(AND(H3200=0,ABS(J3200)&gt;=0.01),AND(H3200&lt;&gt;0,ABS(K3200)&gt;VarianceThreshold)),"Review","OK")</f>
        <v>0</v>
      </c>
      <c r="M3200" t="s">
        <v>33</v>
      </c>
    </row>
    <row r="3201" spans="1:13">
      <c r="A3201" t="s">
        <v>5</v>
      </c>
      <c r="B3201" t="s">
        <v>154</v>
      </c>
      <c r="C3201" t="s">
        <v>2752</v>
      </c>
      <c r="D3201" t="s">
        <v>1950</v>
      </c>
      <c r="E3201" cm="1">
        <f t="array" ref="E3201">_xlfn.XLOOKUP(D3201,SKU_Master!A:A,SKU_Master!B:B,"Not on master")</f>
        <v>0</v>
      </c>
      <c r="F3201" cm="1">
        <f t="array" ref="F3201">_xlfn.XLOOKUP(C3201,Account_Master!A:A,Account_Master!B:B,"Not on master")</f>
        <v>0</v>
      </c>
      <c r="G3201" cm="1">
        <f t="array" ref="G3201">_xlfn.XLOOKUP(C3201,Account_Master!A:A,Account_Master!C:C,"Not on master")</f>
        <v>0</v>
      </c>
      <c r="H3201" s="6">
        <v>24.3</v>
      </c>
      <c r="I3201" s="6">
        <v>24.3</v>
      </c>
      <c r="J3201" s="6">
        <f>I3201-H3201</f>
        <v>0</v>
      </c>
      <c r="K3201" s="5">
        <f>IF(H3201=0,"",J3201/H3201)</f>
        <v>0</v>
      </c>
      <c r="L3201">
        <f>IF(OR(AND(H3201=0,ABS(J3201)&gt;=0.01),AND(H3201&lt;&gt;0,ABS(K3201)&gt;VarianceThreshold)),"Review","OK")</f>
        <v>0</v>
      </c>
      <c r="M3201" t="s">
        <v>33</v>
      </c>
    </row>
    <row r="3202" spans="1:13">
      <c r="A3202" t="s">
        <v>5</v>
      </c>
      <c r="B3202" t="s">
        <v>154</v>
      </c>
      <c r="C3202" t="s">
        <v>2799</v>
      </c>
      <c r="D3202" t="s">
        <v>2255</v>
      </c>
      <c r="E3202" cm="1">
        <f t="array" ref="E3202">_xlfn.XLOOKUP(D3202,SKU_Master!A:A,SKU_Master!B:B,"Not on master")</f>
        <v>0</v>
      </c>
      <c r="F3202" cm="1">
        <f t="array" ref="F3202">_xlfn.XLOOKUP(C3202,Account_Master!A:A,Account_Master!B:B,"Not on master")</f>
        <v>0</v>
      </c>
      <c r="G3202" cm="1">
        <f t="array" ref="G3202">_xlfn.XLOOKUP(C3202,Account_Master!A:A,Account_Master!C:C,"Not on master")</f>
        <v>0</v>
      </c>
      <c r="H3202" s="6">
        <v>2.05</v>
      </c>
      <c r="I3202" s="6">
        <v>2.05</v>
      </c>
      <c r="J3202" s="6">
        <f>I3202-H3202</f>
        <v>0</v>
      </c>
      <c r="K3202" s="5">
        <f>IF(H3202=0,"",J3202/H3202)</f>
        <v>0</v>
      </c>
      <c r="L3202">
        <f>IF(OR(AND(H3202=0,ABS(J3202)&gt;=0.01),AND(H3202&lt;&gt;0,ABS(K3202)&gt;VarianceThreshold)),"Review","OK")</f>
        <v>0</v>
      </c>
      <c r="M3202" t="s">
        <v>33</v>
      </c>
    </row>
    <row r="3203" spans="1:13">
      <c r="A3203" t="s">
        <v>5</v>
      </c>
      <c r="B3203" t="s">
        <v>160</v>
      </c>
      <c r="C3203" t="s">
        <v>2760</v>
      </c>
      <c r="D3203" t="s">
        <v>2044</v>
      </c>
      <c r="E3203" cm="1">
        <f t="array" ref="E3203">_xlfn.XLOOKUP(D3203,SKU_Master!A:A,SKU_Master!B:B,"Not on master")</f>
        <v>0</v>
      </c>
      <c r="F3203" cm="1">
        <f t="array" ref="F3203">_xlfn.XLOOKUP(C3203,Account_Master!A:A,Account_Master!B:B,"Not on master")</f>
        <v>0</v>
      </c>
      <c r="G3203" cm="1">
        <f t="array" ref="G3203">_xlfn.XLOOKUP(C3203,Account_Master!A:A,Account_Master!C:C,"Not on master")</f>
        <v>0</v>
      </c>
      <c r="H3203" s="6">
        <v>7</v>
      </c>
      <c r="I3203" s="6">
        <v>7</v>
      </c>
      <c r="J3203" s="6">
        <f>I3203-H3203</f>
        <v>0</v>
      </c>
      <c r="K3203" s="5">
        <f>IF(H3203=0,"",J3203/H3203)</f>
        <v>0</v>
      </c>
      <c r="L3203">
        <f>IF(OR(AND(H3203=0,ABS(J3203)&gt;=0.01),AND(H3203&lt;&gt;0,ABS(K3203)&gt;VarianceThreshold)),"Review","OK")</f>
        <v>0</v>
      </c>
      <c r="M3203" t="s">
        <v>33</v>
      </c>
    </row>
    <row r="3204" spans="1:13">
      <c r="A3204" t="s">
        <v>5</v>
      </c>
      <c r="B3204" t="s">
        <v>160</v>
      </c>
      <c r="C3204" t="s">
        <v>2769</v>
      </c>
      <c r="D3204" t="s">
        <v>255</v>
      </c>
      <c r="E3204" cm="1">
        <f t="array" ref="E3204">_xlfn.XLOOKUP(D3204,SKU_Master!A:A,SKU_Master!B:B,"Not on master")</f>
        <v>0</v>
      </c>
      <c r="F3204" cm="1">
        <f t="array" ref="F3204">_xlfn.XLOOKUP(C3204,Account_Master!A:A,Account_Master!B:B,"Not on master")</f>
        <v>0</v>
      </c>
      <c r="G3204" cm="1">
        <f t="array" ref="G3204">_xlfn.XLOOKUP(C3204,Account_Master!A:A,Account_Master!C:C,"Not on master")</f>
        <v>0</v>
      </c>
      <c r="H3204" s="6">
        <v>126</v>
      </c>
      <c r="I3204" s="6">
        <v>126</v>
      </c>
      <c r="J3204" s="6">
        <f>I3204-H3204</f>
        <v>0</v>
      </c>
      <c r="K3204" s="5">
        <f>IF(H3204=0,"",J3204/H3204)</f>
        <v>0</v>
      </c>
      <c r="L3204">
        <f>IF(OR(AND(H3204=0,ABS(J3204)&gt;=0.01),AND(H3204&lt;&gt;0,ABS(K3204)&gt;VarianceThreshold)),"Review","OK")</f>
        <v>0</v>
      </c>
      <c r="M3204" t="s">
        <v>33</v>
      </c>
    </row>
    <row r="3205" spans="1:13">
      <c r="A3205" t="s">
        <v>5</v>
      </c>
      <c r="B3205" t="s">
        <v>160</v>
      </c>
      <c r="C3205" t="s">
        <v>2800</v>
      </c>
      <c r="D3205" t="s">
        <v>2677</v>
      </c>
      <c r="E3205" cm="1">
        <f t="array" ref="E3205">_xlfn.XLOOKUP(D3205,SKU_Master!A:A,SKU_Master!B:B,"Not on master")</f>
        <v>0</v>
      </c>
      <c r="F3205" cm="1">
        <f t="array" ref="F3205">_xlfn.XLOOKUP(C3205,Account_Master!A:A,Account_Master!B:B,"Not on master")</f>
        <v>0</v>
      </c>
      <c r="G3205" cm="1">
        <f t="array" ref="G3205">_xlfn.XLOOKUP(C3205,Account_Master!A:A,Account_Master!C:C,"Not on master")</f>
        <v>0</v>
      </c>
      <c r="H3205" s="6">
        <v>94.5</v>
      </c>
      <c r="I3205" s="6">
        <v>94.5</v>
      </c>
      <c r="J3205" s="6">
        <f>I3205-H3205</f>
        <v>0</v>
      </c>
      <c r="K3205" s="5">
        <f>IF(H3205=0,"",J3205/H3205)</f>
        <v>0</v>
      </c>
      <c r="L3205">
        <f>IF(OR(AND(H3205=0,ABS(J3205)&gt;=0.01),AND(H3205&lt;&gt;0,ABS(K3205)&gt;VarianceThreshold)),"Review","OK")</f>
        <v>0</v>
      </c>
      <c r="M3205" t="s">
        <v>33</v>
      </c>
    </row>
    <row r="3206" spans="1:13">
      <c r="A3206" t="s">
        <v>5</v>
      </c>
      <c r="B3206" t="s">
        <v>160</v>
      </c>
      <c r="C3206" t="s">
        <v>2750</v>
      </c>
      <c r="D3206" t="s">
        <v>668</v>
      </c>
      <c r="E3206" cm="1">
        <f t="array" ref="E3206">_xlfn.XLOOKUP(D3206,SKU_Master!A:A,SKU_Master!B:B,"Not on master")</f>
        <v>0</v>
      </c>
      <c r="F3206" cm="1">
        <f t="array" ref="F3206">_xlfn.XLOOKUP(C3206,Account_Master!A:A,Account_Master!B:B,"Not on master")</f>
        <v>0</v>
      </c>
      <c r="G3206" cm="1">
        <f t="array" ref="G3206">_xlfn.XLOOKUP(C3206,Account_Master!A:A,Account_Master!C:C,"Not on master")</f>
        <v>0</v>
      </c>
      <c r="H3206" s="6">
        <v>4.5</v>
      </c>
      <c r="I3206" s="6">
        <v>4.5</v>
      </c>
      <c r="J3206" s="6">
        <f>I3206-H3206</f>
        <v>0</v>
      </c>
      <c r="K3206" s="5">
        <f>IF(H3206=0,"",J3206/H3206)</f>
        <v>0</v>
      </c>
      <c r="L3206">
        <f>IF(OR(AND(H3206=0,ABS(J3206)&gt;=0.01),AND(H3206&lt;&gt;0,ABS(K3206)&gt;VarianceThreshold)),"Review","OK")</f>
        <v>0</v>
      </c>
      <c r="M3206" t="s">
        <v>33</v>
      </c>
    </row>
    <row r="3207" spans="1:13">
      <c r="A3207" t="s">
        <v>5</v>
      </c>
      <c r="B3207" t="s">
        <v>160</v>
      </c>
      <c r="C3207" t="s">
        <v>2761</v>
      </c>
      <c r="D3207" t="s">
        <v>632</v>
      </c>
      <c r="E3207" cm="1">
        <f t="array" ref="E3207">_xlfn.XLOOKUP(D3207,SKU_Master!A:A,SKU_Master!B:B,"Not on master")</f>
        <v>0</v>
      </c>
      <c r="F3207" cm="1">
        <f t="array" ref="F3207">_xlfn.XLOOKUP(C3207,Account_Master!A:A,Account_Master!B:B,"Not on master")</f>
        <v>0</v>
      </c>
      <c r="G3207" cm="1">
        <f t="array" ref="G3207">_xlfn.XLOOKUP(C3207,Account_Master!A:A,Account_Master!C:C,"Not on master")</f>
        <v>0</v>
      </c>
      <c r="H3207" s="6">
        <v>1.8</v>
      </c>
      <c r="I3207" s="6">
        <v>1.8</v>
      </c>
      <c r="J3207" s="6">
        <f>I3207-H3207</f>
        <v>0</v>
      </c>
      <c r="K3207" s="5">
        <f>IF(H3207=0,"",J3207/H3207)</f>
        <v>0</v>
      </c>
      <c r="L3207">
        <f>IF(OR(AND(H3207=0,ABS(J3207)&gt;=0.01),AND(H3207&lt;&gt;0,ABS(K3207)&gt;VarianceThreshold)),"Review","OK")</f>
        <v>0</v>
      </c>
      <c r="M3207" t="s">
        <v>33</v>
      </c>
    </row>
    <row r="3208" spans="1:13">
      <c r="A3208" t="s">
        <v>5</v>
      </c>
      <c r="B3208" t="s">
        <v>160</v>
      </c>
      <c r="C3208" t="s">
        <v>2769</v>
      </c>
      <c r="D3208" t="s">
        <v>835</v>
      </c>
      <c r="E3208" cm="1">
        <f t="array" ref="E3208">_xlfn.XLOOKUP(D3208,SKU_Master!A:A,SKU_Master!B:B,"Not on master")</f>
        <v>0</v>
      </c>
      <c r="F3208" cm="1">
        <f t="array" ref="F3208">_xlfn.XLOOKUP(C3208,Account_Master!A:A,Account_Master!B:B,"Not on master")</f>
        <v>0</v>
      </c>
      <c r="G3208" cm="1">
        <f t="array" ref="G3208">_xlfn.XLOOKUP(C3208,Account_Master!A:A,Account_Master!C:C,"Not on master")</f>
        <v>0</v>
      </c>
      <c r="H3208" s="6">
        <v>24</v>
      </c>
      <c r="I3208" s="6">
        <v>24</v>
      </c>
      <c r="J3208" s="6">
        <f>I3208-H3208</f>
        <v>0</v>
      </c>
      <c r="K3208" s="5">
        <f>IF(H3208=0,"",J3208/H3208)</f>
        <v>0</v>
      </c>
      <c r="L3208">
        <f>IF(OR(AND(H3208=0,ABS(J3208)&gt;=0.01),AND(H3208&lt;&gt;0,ABS(K3208)&gt;VarianceThreshold)),"Review","OK")</f>
        <v>0</v>
      </c>
      <c r="M3208" t="s">
        <v>33</v>
      </c>
    </row>
    <row r="3209" spans="1:13">
      <c r="A3209" t="s">
        <v>5</v>
      </c>
      <c r="B3209" t="s">
        <v>160</v>
      </c>
      <c r="C3209" t="s">
        <v>2801</v>
      </c>
      <c r="D3209" t="s">
        <v>1066</v>
      </c>
      <c r="E3209" cm="1">
        <f t="array" ref="E3209">_xlfn.XLOOKUP(D3209,SKU_Master!A:A,SKU_Master!B:B,"Not on master")</f>
        <v>0</v>
      </c>
      <c r="F3209" cm="1">
        <f t="array" ref="F3209">_xlfn.XLOOKUP(C3209,Account_Master!A:A,Account_Master!B:B,"Not on master")</f>
        <v>0</v>
      </c>
      <c r="G3209" cm="1">
        <f t="array" ref="G3209">_xlfn.XLOOKUP(C3209,Account_Master!A:A,Account_Master!C:C,"Not on master")</f>
        <v>0</v>
      </c>
      <c r="H3209" s="6">
        <v>0.05</v>
      </c>
      <c r="I3209" s="6">
        <v>0.05</v>
      </c>
      <c r="J3209" s="6">
        <f>I3209-H3209</f>
        <v>0</v>
      </c>
      <c r="K3209" s="5">
        <f>IF(H3209=0,"",J3209/H3209)</f>
        <v>0</v>
      </c>
      <c r="L3209">
        <f>IF(OR(AND(H3209=0,ABS(J3209)&gt;=0.01),AND(H3209&lt;&gt;0,ABS(K3209)&gt;VarianceThreshold)),"Review","OK")</f>
        <v>0</v>
      </c>
      <c r="M3209" t="s">
        <v>33</v>
      </c>
    </row>
    <row r="3210" spans="1:13">
      <c r="A3210" t="s">
        <v>5</v>
      </c>
      <c r="B3210" t="s">
        <v>160</v>
      </c>
      <c r="C3210" t="s">
        <v>2750</v>
      </c>
      <c r="D3210" t="s">
        <v>700</v>
      </c>
      <c r="E3210" cm="1">
        <f t="array" ref="E3210">_xlfn.XLOOKUP(D3210,SKU_Master!A:A,SKU_Master!B:B,"Not on master")</f>
        <v>0</v>
      </c>
      <c r="F3210" cm="1">
        <f t="array" ref="F3210">_xlfn.XLOOKUP(C3210,Account_Master!A:A,Account_Master!B:B,"Not on master")</f>
        <v>0</v>
      </c>
      <c r="G3210" cm="1">
        <f t="array" ref="G3210">_xlfn.XLOOKUP(C3210,Account_Master!A:A,Account_Master!C:C,"Not on master")</f>
        <v>0</v>
      </c>
      <c r="H3210" s="6">
        <v>3</v>
      </c>
      <c r="I3210" s="6">
        <v>3</v>
      </c>
      <c r="J3210" s="6">
        <f>I3210-H3210</f>
        <v>0</v>
      </c>
      <c r="K3210" s="5">
        <f>IF(H3210=0,"",J3210/H3210)</f>
        <v>0</v>
      </c>
      <c r="L3210">
        <f>IF(OR(AND(H3210=0,ABS(J3210)&gt;=0.01),AND(H3210&lt;&gt;0,ABS(K3210)&gt;VarianceThreshold)),"Review","OK")</f>
        <v>0</v>
      </c>
      <c r="M3210" t="s">
        <v>33</v>
      </c>
    </row>
    <row r="3211" spans="1:13">
      <c r="A3211" t="s">
        <v>5</v>
      </c>
      <c r="B3211" t="s">
        <v>170</v>
      </c>
      <c r="C3211" t="s">
        <v>2802</v>
      </c>
      <c r="D3211" t="s">
        <v>1713</v>
      </c>
      <c r="E3211" cm="1">
        <f t="array" ref="E3211">_xlfn.XLOOKUP(D3211,SKU_Master!A:A,SKU_Master!B:B,"Not on master")</f>
        <v>0</v>
      </c>
      <c r="F3211" cm="1">
        <f t="array" ref="F3211">_xlfn.XLOOKUP(C3211,Account_Master!A:A,Account_Master!B:B,"Not on master")</f>
        <v>0</v>
      </c>
      <c r="G3211" cm="1">
        <f t="array" ref="G3211">_xlfn.XLOOKUP(C3211,Account_Master!A:A,Account_Master!C:C,"Not on master")</f>
        <v>0</v>
      </c>
      <c r="H3211" s="6">
        <v>42</v>
      </c>
      <c r="I3211" s="6">
        <v>42</v>
      </c>
      <c r="J3211" s="6">
        <f>I3211-H3211</f>
        <v>0</v>
      </c>
      <c r="K3211" s="5">
        <f>IF(H3211=0,"",J3211/H3211)</f>
        <v>0</v>
      </c>
      <c r="L3211">
        <f>IF(OR(AND(H3211=0,ABS(J3211)&gt;=0.01),AND(H3211&lt;&gt;0,ABS(K3211)&gt;VarianceThreshold)),"Review","OK")</f>
        <v>0</v>
      </c>
      <c r="M3211" t="s">
        <v>33</v>
      </c>
    </row>
    <row r="3212" spans="1:13">
      <c r="A3212" t="s">
        <v>5</v>
      </c>
      <c r="B3212" t="s">
        <v>170</v>
      </c>
      <c r="C3212" t="s">
        <v>2803</v>
      </c>
      <c r="D3212" t="s">
        <v>1371</v>
      </c>
      <c r="E3212" cm="1">
        <f t="array" ref="E3212">_xlfn.XLOOKUP(D3212,SKU_Master!A:A,SKU_Master!B:B,"Not on master")</f>
        <v>0</v>
      </c>
      <c r="F3212" cm="1">
        <f t="array" ref="F3212">_xlfn.XLOOKUP(C3212,Account_Master!A:A,Account_Master!B:B,"Not on master")</f>
        <v>0</v>
      </c>
      <c r="G3212" cm="1">
        <f t="array" ref="G3212">_xlfn.XLOOKUP(C3212,Account_Master!A:A,Account_Master!C:C,"Not on master")</f>
        <v>0</v>
      </c>
      <c r="H3212" s="6">
        <v>20.25</v>
      </c>
      <c r="I3212" s="6">
        <v>20.25</v>
      </c>
      <c r="J3212" s="6">
        <f>I3212-H3212</f>
        <v>0</v>
      </c>
      <c r="K3212" s="5">
        <f>IF(H3212=0,"",J3212/H3212)</f>
        <v>0</v>
      </c>
      <c r="L3212">
        <f>IF(OR(AND(H3212=0,ABS(J3212)&gt;=0.01),AND(H3212&lt;&gt;0,ABS(K3212)&gt;VarianceThreshold)),"Review","OK")</f>
        <v>0</v>
      </c>
      <c r="M3212" t="s">
        <v>33</v>
      </c>
    </row>
    <row r="3213" spans="1:13">
      <c r="A3213" t="s">
        <v>5</v>
      </c>
      <c r="B3213" t="s">
        <v>170</v>
      </c>
      <c r="C3213" t="s">
        <v>2767</v>
      </c>
      <c r="D3213" t="s">
        <v>2804</v>
      </c>
      <c r="E3213" cm="1">
        <f t="array" ref="E3213">_xlfn.XLOOKUP(D3213,SKU_Master!A:A,SKU_Master!B:B,"Not on master")</f>
        <v>0</v>
      </c>
      <c r="F3213" cm="1">
        <f t="array" ref="F3213">_xlfn.XLOOKUP(C3213,Account_Master!A:A,Account_Master!B:B,"Not on master")</f>
        <v>0</v>
      </c>
      <c r="G3213" cm="1">
        <f t="array" ref="G3213">_xlfn.XLOOKUP(C3213,Account_Master!A:A,Account_Master!C:C,"Not on master")</f>
        <v>0</v>
      </c>
      <c r="H3213" s="6">
        <v>10.5</v>
      </c>
      <c r="I3213" s="6">
        <v>10.5</v>
      </c>
      <c r="J3213" s="6">
        <f>I3213-H3213</f>
        <v>0</v>
      </c>
      <c r="K3213" s="5">
        <f>IF(H3213=0,"",J3213/H3213)</f>
        <v>0</v>
      </c>
      <c r="L3213">
        <f>IF(OR(AND(H3213=0,ABS(J3213)&gt;=0.01),AND(H3213&lt;&gt;0,ABS(K3213)&gt;VarianceThreshold)),"Review","OK")</f>
        <v>0</v>
      </c>
      <c r="M3213" t="s">
        <v>33</v>
      </c>
    </row>
    <row r="3214" spans="1:13">
      <c r="A3214" t="s">
        <v>5</v>
      </c>
      <c r="B3214" t="s">
        <v>170</v>
      </c>
      <c r="C3214" t="s">
        <v>2767</v>
      </c>
      <c r="D3214" t="s">
        <v>2805</v>
      </c>
      <c r="E3214" cm="1">
        <f t="array" ref="E3214">_xlfn.XLOOKUP(D3214,SKU_Master!A:A,SKU_Master!B:B,"Not on master")</f>
        <v>0</v>
      </c>
      <c r="F3214" cm="1">
        <f t="array" ref="F3214">_xlfn.XLOOKUP(C3214,Account_Master!A:A,Account_Master!B:B,"Not on master")</f>
        <v>0</v>
      </c>
      <c r="G3214" cm="1">
        <f t="array" ref="G3214">_xlfn.XLOOKUP(C3214,Account_Master!A:A,Account_Master!C:C,"Not on master")</f>
        <v>0</v>
      </c>
      <c r="H3214" s="6">
        <v>4.5</v>
      </c>
      <c r="I3214" s="6">
        <v>4.5</v>
      </c>
      <c r="J3214" s="6">
        <f>I3214-H3214</f>
        <v>0</v>
      </c>
      <c r="K3214" s="5">
        <f>IF(H3214=0,"",J3214/H3214)</f>
        <v>0</v>
      </c>
      <c r="L3214">
        <f>IF(OR(AND(H3214=0,ABS(J3214)&gt;=0.01),AND(H3214&lt;&gt;0,ABS(K3214)&gt;VarianceThreshold)),"Review","OK")</f>
        <v>0</v>
      </c>
      <c r="M3214" t="s">
        <v>33</v>
      </c>
    </row>
    <row r="3215" spans="1:13">
      <c r="A3215" t="s">
        <v>5</v>
      </c>
      <c r="B3215" t="s">
        <v>170</v>
      </c>
      <c r="C3215" t="s">
        <v>2764</v>
      </c>
      <c r="D3215" t="s">
        <v>2806</v>
      </c>
      <c r="E3215" cm="1">
        <f t="array" ref="E3215">_xlfn.XLOOKUP(D3215,SKU_Master!A:A,SKU_Master!B:B,"Not on master")</f>
        <v>0</v>
      </c>
      <c r="F3215" cm="1">
        <f t="array" ref="F3215">_xlfn.XLOOKUP(C3215,Account_Master!A:A,Account_Master!B:B,"Not on master")</f>
        <v>0</v>
      </c>
      <c r="G3215" cm="1">
        <f t="array" ref="G3215">_xlfn.XLOOKUP(C3215,Account_Master!A:A,Account_Master!C:C,"Not on master")</f>
        <v>0</v>
      </c>
      <c r="H3215" s="6">
        <v>2.25</v>
      </c>
      <c r="I3215" s="6">
        <v>2.25</v>
      </c>
      <c r="J3215" s="6">
        <f>I3215-H3215</f>
        <v>0</v>
      </c>
      <c r="K3215" s="5">
        <f>IF(H3215=0,"",J3215/H3215)</f>
        <v>0</v>
      </c>
      <c r="L3215">
        <f>IF(OR(AND(H3215=0,ABS(J3215)&gt;=0.01),AND(H3215&lt;&gt;0,ABS(K3215)&gt;VarianceThreshold)),"Review","OK")</f>
        <v>0</v>
      </c>
      <c r="M3215" t="s">
        <v>33</v>
      </c>
    </row>
    <row r="3216" spans="1:13">
      <c r="A3216" t="s">
        <v>5</v>
      </c>
      <c r="B3216" t="s">
        <v>170</v>
      </c>
      <c r="C3216" t="s">
        <v>2785</v>
      </c>
      <c r="D3216" t="s">
        <v>2807</v>
      </c>
      <c r="E3216" cm="1">
        <f t="array" ref="E3216">_xlfn.XLOOKUP(D3216,SKU_Master!A:A,SKU_Master!B:B,"Not on master")</f>
        <v>0</v>
      </c>
      <c r="F3216" cm="1">
        <f t="array" ref="F3216">_xlfn.XLOOKUP(C3216,Account_Master!A:A,Account_Master!B:B,"Not on master")</f>
        <v>0</v>
      </c>
      <c r="G3216" cm="1">
        <f t="array" ref="G3216">_xlfn.XLOOKUP(C3216,Account_Master!A:A,Account_Master!C:C,"Not on master")</f>
        <v>0</v>
      </c>
      <c r="H3216" s="6">
        <v>2.25</v>
      </c>
      <c r="I3216" s="6">
        <v>2.25</v>
      </c>
      <c r="J3216" s="6">
        <f>I3216-H3216</f>
        <v>0</v>
      </c>
      <c r="K3216" s="5">
        <f>IF(H3216=0,"",J3216/H3216)</f>
        <v>0</v>
      </c>
      <c r="L3216">
        <f>IF(OR(AND(H3216=0,ABS(J3216)&gt;=0.01),AND(H3216&lt;&gt;0,ABS(K3216)&gt;VarianceThreshold)),"Review","OK")</f>
        <v>0</v>
      </c>
      <c r="M3216" t="s">
        <v>33</v>
      </c>
    </row>
    <row r="3217" spans="1:13">
      <c r="A3217" t="s">
        <v>5</v>
      </c>
      <c r="B3217" t="s">
        <v>170</v>
      </c>
      <c r="C3217" t="s">
        <v>2778</v>
      </c>
      <c r="D3217" t="s">
        <v>2808</v>
      </c>
      <c r="E3217" cm="1">
        <f t="array" ref="E3217">_xlfn.XLOOKUP(D3217,SKU_Master!A:A,SKU_Master!B:B,"Not on master")</f>
        <v>0</v>
      </c>
      <c r="F3217" cm="1">
        <f t="array" ref="F3217">_xlfn.XLOOKUP(C3217,Account_Master!A:A,Account_Master!B:B,"Not on master")</f>
        <v>0</v>
      </c>
      <c r="G3217" cm="1">
        <f t="array" ref="G3217">_xlfn.XLOOKUP(C3217,Account_Master!A:A,Account_Master!C:C,"Not on master")</f>
        <v>0</v>
      </c>
      <c r="H3217" s="6">
        <v>10.5</v>
      </c>
      <c r="I3217" s="6">
        <v>10.5</v>
      </c>
      <c r="J3217" s="6">
        <f>I3217-H3217</f>
        <v>0</v>
      </c>
      <c r="K3217" s="5">
        <f>IF(H3217=0,"",J3217/H3217)</f>
        <v>0</v>
      </c>
      <c r="L3217">
        <f>IF(OR(AND(H3217=0,ABS(J3217)&gt;=0.01),AND(H3217&lt;&gt;0,ABS(K3217)&gt;VarianceThreshold)),"Review","OK")</f>
        <v>0</v>
      </c>
      <c r="M3217" t="s">
        <v>33</v>
      </c>
    </row>
    <row r="3218" spans="1:13">
      <c r="A3218" t="s">
        <v>5</v>
      </c>
      <c r="B3218" t="s">
        <v>170</v>
      </c>
      <c r="C3218" t="s">
        <v>2785</v>
      </c>
      <c r="D3218" t="s">
        <v>2809</v>
      </c>
      <c r="E3218" cm="1">
        <f t="array" ref="E3218">_xlfn.XLOOKUP(D3218,SKU_Master!A:A,SKU_Master!B:B,"Not on master")</f>
        <v>0</v>
      </c>
      <c r="F3218" cm="1">
        <f t="array" ref="F3218">_xlfn.XLOOKUP(C3218,Account_Master!A:A,Account_Master!B:B,"Not on master")</f>
        <v>0</v>
      </c>
      <c r="G3218" cm="1">
        <f t="array" ref="G3218">_xlfn.XLOOKUP(C3218,Account_Master!A:A,Account_Master!C:C,"Not on master")</f>
        <v>0</v>
      </c>
      <c r="H3218" s="6">
        <v>0.75</v>
      </c>
      <c r="I3218" s="6">
        <v>0.75</v>
      </c>
      <c r="J3218" s="6">
        <f>I3218-H3218</f>
        <v>0</v>
      </c>
      <c r="K3218" s="5">
        <f>IF(H3218=0,"",J3218/H3218)</f>
        <v>0</v>
      </c>
      <c r="L3218">
        <f>IF(OR(AND(H3218=0,ABS(J3218)&gt;=0.01),AND(H3218&lt;&gt;0,ABS(K3218)&gt;VarianceThreshold)),"Review","OK")</f>
        <v>0</v>
      </c>
      <c r="M3218" t="s">
        <v>33</v>
      </c>
    </row>
    <row r="3219" spans="1:13">
      <c r="A3219" t="s">
        <v>5</v>
      </c>
      <c r="B3219" t="s">
        <v>180</v>
      </c>
      <c r="C3219" t="s">
        <v>2756</v>
      </c>
      <c r="D3219" t="s">
        <v>1866</v>
      </c>
      <c r="E3219" cm="1">
        <f t="array" ref="E3219">_xlfn.XLOOKUP(D3219,SKU_Master!A:A,SKU_Master!B:B,"Not on master")</f>
        <v>0</v>
      </c>
      <c r="F3219" cm="1">
        <f t="array" ref="F3219">_xlfn.XLOOKUP(C3219,Account_Master!A:A,Account_Master!B:B,"Not on master")</f>
        <v>0</v>
      </c>
      <c r="G3219" cm="1">
        <f t="array" ref="G3219">_xlfn.XLOOKUP(C3219,Account_Master!A:A,Account_Master!C:C,"Not on master")</f>
        <v>0</v>
      </c>
      <c r="H3219" s="6">
        <v>1.25</v>
      </c>
      <c r="I3219" s="6">
        <v>1.25</v>
      </c>
      <c r="J3219" s="6">
        <f>I3219-H3219</f>
        <v>0</v>
      </c>
      <c r="K3219" s="5">
        <f>IF(H3219=0,"",J3219/H3219)</f>
        <v>0</v>
      </c>
      <c r="L3219">
        <f>IF(OR(AND(H3219=0,ABS(J3219)&gt;=0.01),AND(H3219&lt;&gt;0,ABS(K3219)&gt;VarianceThreshold)),"Review","OK")</f>
        <v>0</v>
      </c>
      <c r="M3219" t="s">
        <v>33</v>
      </c>
    </row>
    <row r="3220" spans="1:13">
      <c r="A3220" t="s">
        <v>5</v>
      </c>
      <c r="B3220" t="s">
        <v>180</v>
      </c>
      <c r="C3220" t="s">
        <v>2810</v>
      </c>
      <c r="D3220" t="s">
        <v>2811</v>
      </c>
      <c r="E3220" cm="1">
        <f t="array" ref="E3220">_xlfn.XLOOKUP(D3220,SKU_Master!A:A,SKU_Master!B:B,"Not on master")</f>
        <v>0</v>
      </c>
      <c r="F3220" cm="1">
        <f t="array" ref="F3220">_xlfn.XLOOKUP(C3220,Account_Master!A:A,Account_Master!B:B,"Not on master")</f>
        <v>0</v>
      </c>
      <c r="G3220" cm="1">
        <f t="array" ref="G3220">_xlfn.XLOOKUP(C3220,Account_Master!A:A,Account_Master!C:C,"Not on master")</f>
        <v>0</v>
      </c>
      <c r="H3220" s="6">
        <v>4.8</v>
      </c>
      <c r="I3220" s="6">
        <v>4.8</v>
      </c>
      <c r="J3220" s="6">
        <f>I3220-H3220</f>
        <v>0</v>
      </c>
      <c r="K3220" s="5">
        <f>IF(H3220=0,"",J3220/H3220)</f>
        <v>0</v>
      </c>
      <c r="L3220">
        <f>IF(OR(AND(H3220=0,ABS(J3220)&gt;=0.01),AND(H3220&lt;&gt;0,ABS(K3220)&gt;VarianceThreshold)),"Review","OK")</f>
        <v>0</v>
      </c>
      <c r="M3220" t="s">
        <v>33</v>
      </c>
    </row>
    <row r="3221" spans="1:13">
      <c r="A3221" t="s">
        <v>5</v>
      </c>
      <c r="B3221" t="s">
        <v>180</v>
      </c>
      <c r="C3221" t="s">
        <v>2812</v>
      </c>
      <c r="D3221" t="s">
        <v>1426</v>
      </c>
      <c r="E3221" cm="1">
        <f t="array" ref="E3221">_xlfn.XLOOKUP(D3221,SKU_Master!A:A,SKU_Master!B:B,"Not on master")</f>
        <v>0</v>
      </c>
      <c r="F3221" cm="1">
        <f t="array" ref="F3221">_xlfn.XLOOKUP(C3221,Account_Master!A:A,Account_Master!B:B,"Not on master")</f>
        <v>0</v>
      </c>
      <c r="G3221" cm="1">
        <f t="array" ref="G3221">_xlfn.XLOOKUP(C3221,Account_Master!A:A,Account_Master!C:C,"Not on master")</f>
        <v>0</v>
      </c>
      <c r="H3221" s="6">
        <v>6</v>
      </c>
      <c r="I3221" s="6">
        <v>6</v>
      </c>
      <c r="J3221" s="6">
        <f>I3221-H3221</f>
        <v>0</v>
      </c>
      <c r="K3221" s="5">
        <f>IF(H3221=0,"",J3221/H3221)</f>
        <v>0</v>
      </c>
      <c r="L3221">
        <f>IF(OR(AND(H3221=0,ABS(J3221)&gt;=0.01),AND(H3221&lt;&gt;0,ABS(K3221)&gt;VarianceThreshold)),"Review","OK")</f>
        <v>0</v>
      </c>
      <c r="M3221" t="s">
        <v>33</v>
      </c>
    </row>
    <row r="3222" spans="1:13">
      <c r="A3222" t="s">
        <v>5</v>
      </c>
      <c r="B3222" t="s">
        <v>193</v>
      </c>
      <c r="C3222" t="s">
        <v>2767</v>
      </c>
      <c r="D3222" t="s">
        <v>467</v>
      </c>
      <c r="E3222" cm="1">
        <f t="array" ref="E3222">_xlfn.XLOOKUP(D3222,SKU_Master!A:A,SKU_Master!B:B,"Not on master")</f>
        <v>0</v>
      </c>
      <c r="F3222" cm="1">
        <f t="array" ref="F3222">_xlfn.XLOOKUP(C3222,Account_Master!A:A,Account_Master!B:B,"Not on master")</f>
        <v>0</v>
      </c>
      <c r="G3222" cm="1">
        <f t="array" ref="G3222">_xlfn.XLOOKUP(C3222,Account_Master!A:A,Account_Master!C:C,"Not on master")</f>
        <v>0</v>
      </c>
      <c r="H3222" s="6">
        <v>2.25</v>
      </c>
      <c r="I3222" s="6">
        <v>2.25</v>
      </c>
      <c r="J3222" s="6">
        <f>I3222-H3222</f>
        <v>0</v>
      </c>
      <c r="K3222" s="5">
        <f>IF(H3222=0,"",J3222/H3222)</f>
        <v>0</v>
      </c>
      <c r="L3222">
        <f>IF(OR(AND(H3222=0,ABS(J3222)&gt;=0.01),AND(H3222&lt;&gt;0,ABS(K3222)&gt;VarianceThreshold)),"Review","OK")</f>
        <v>0</v>
      </c>
      <c r="M3222" t="s">
        <v>33</v>
      </c>
    </row>
    <row r="3223" spans="1:13">
      <c r="A3223" t="s">
        <v>5</v>
      </c>
      <c r="B3223" t="s">
        <v>193</v>
      </c>
      <c r="C3223" t="s">
        <v>2767</v>
      </c>
      <c r="D3223" t="s">
        <v>2813</v>
      </c>
      <c r="E3223" cm="1">
        <f t="array" ref="E3223">_xlfn.XLOOKUP(D3223,SKU_Master!A:A,SKU_Master!B:B,"Not on master")</f>
        <v>0</v>
      </c>
      <c r="F3223" cm="1">
        <f t="array" ref="F3223">_xlfn.XLOOKUP(C3223,Account_Master!A:A,Account_Master!B:B,"Not on master")</f>
        <v>0</v>
      </c>
      <c r="G3223" cm="1">
        <f t="array" ref="G3223">_xlfn.XLOOKUP(C3223,Account_Master!A:A,Account_Master!C:C,"Not on master")</f>
        <v>0</v>
      </c>
      <c r="H3223" s="6">
        <v>5.25</v>
      </c>
      <c r="I3223" s="6">
        <v>5.25</v>
      </c>
      <c r="J3223" s="6">
        <f>I3223-H3223</f>
        <v>0</v>
      </c>
      <c r="K3223" s="5">
        <f>IF(H3223=0,"",J3223/H3223)</f>
        <v>0</v>
      </c>
      <c r="L3223">
        <f>IF(OR(AND(H3223=0,ABS(J3223)&gt;=0.01),AND(H3223&lt;&gt;0,ABS(K3223)&gt;VarianceThreshold)),"Review","OK")</f>
        <v>0</v>
      </c>
      <c r="M3223" t="s">
        <v>33</v>
      </c>
    </row>
    <row r="3224" spans="1:13">
      <c r="A3224" t="s">
        <v>5</v>
      </c>
      <c r="B3224" t="s">
        <v>193</v>
      </c>
      <c r="C3224" t="s">
        <v>2778</v>
      </c>
      <c r="D3224" t="s">
        <v>725</v>
      </c>
      <c r="E3224" cm="1">
        <f t="array" ref="E3224">_xlfn.XLOOKUP(D3224,SKU_Master!A:A,SKU_Master!B:B,"Not on master")</f>
        <v>0</v>
      </c>
      <c r="F3224" cm="1">
        <f t="array" ref="F3224">_xlfn.XLOOKUP(C3224,Account_Master!A:A,Account_Master!B:B,"Not on master")</f>
        <v>0</v>
      </c>
      <c r="G3224" cm="1">
        <f t="array" ref="G3224">_xlfn.XLOOKUP(C3224,Account_Master!A:A,Account_Master!C:C,"Not on master")</f>
        <v>0</v>
      </c>
      <c r="H3224" s="6">
        <v>0.35</v>
      </c>
      <c r="I3224" s="6">
        <v>0.35</v>
      </c>
      <c r="J3224" s="6">
        <f>I3224-H3224</f>
        <v>0</v>
      </c>
      <c r="K3224" s="5">
        <f>IF(H3224=0,"",J3224/H3224)</f>
        <v>0</v>
      </c>
      <c r="L3224">
        <f>IF(OR(AND(H3224=0,ABS(J3224)&gt;=0.01),AND(H3224&lt;&gt;0,ABS(K3224)&gt;VarianceThreshold)),"Review","OK")</f>
        <v>0</v>
      </c>
      <c r="M3224" t="s">
        <v>33</v>
      </c>
    </row>
    <row r="3225" spans="1:13">
      <c r="A3225" t="s">
        <v>5</v>
      </c>
      <c r="B3225" t="s">
        <v>193</v>
      </c>
      <c r="C3225" t="s">
        <v>2814</v>
      </c>
      <c r="D3225" t="s">
        <v>638</v>
      </c>
      <c r="E3225" cm="1">
        <f t="array" ref="E3225">_xlfn.XLOOKUP(D3225,SKU_Master!A:A,SKU_Master!B:B,"Not on master")</f>
        <v>0</v>
      </c>
      <c r="F3225" cm="1">
        <f t="array" ref="F3225">_xlfn.XLOOKUP(C3225,Account_Master!A:A,Account_Master!B:B,"Not on master")</f>
        <v>0</v>
      </c>
      <c r="G3225" cm="1">
        <f t="array" ref="G3225">_xlfn.XLOOKUP(C3225,Account_Master!A:A,Account_Master!C:C,"Not on master")</f>
        <v>0</v>
      </c>
      <c r="H3225" s="6">
        <v>3.75</v>
      </c>
      <c r="I3225" s="6">
        <v>3.75</v>
      </c>
      <c r="J3225" s="6">
        <f>I3225-H3225</f>
        <v>0</v>
      </c>
      <c r="K3225" s="5">
        <f>IF(H3225=0,"",J3225/H3225)</f>
        <v>0</v>
      </c>
      <c r="L3225">
        <f>IF(OR(AND(H3225=0,ABS(J3225)&gt;=0.01),AND(H3225&lt;&gt;0,ABS(K3225)&gt;VarianceThreshold)),"Review","OK")</f>
        <v>0</v>
      </c>
      <c r="M3225" t="s">
        <v>33</v>
      </c>
    </row>
    <row r="3226" spans="1:13">
      <c r="A3226" t="s">
        <v>5</v>
      </c>
      <c r="B3226" t="s">
        <v>193</v>
      </c>
      <c r="C3226" t="s">
        <v>2815</v>
      </c>
      <c r="D3226" t="s">
        <v>2323</v>
      </c>
      <c r="E3226" cm="1">
        <f t="array" ref="E3226">_xlfn.XLOOKUP(D3226,SKU_Master!A:A,SKU_Master!B:B,"Not on master")</f>
        <v>0</v>
      </c>
      <c r="F3226" cm="1">
        <f t="array" ref="F3226">_xlfn.XLOOKUP(C3226,Account_Master!A:A,Account_Master!B:B,"Not on master")</f>
        <v>0</v>
      </c>
      <c r="G3226" cm="1">
        <f t="array" ref="G3226">_xlfn.XLOOKUP(C3226,Account_Master!A:A,Account_Master!C:C,"Not on master")</f>
        <v>0</v>
      </c>
      <c r="H3226" s="6">
        <v>69.75</v>
      </c>
      <c r="I3226" s="6">
        <v>69.75</v>
      </c>
      <c r="J3226" s="6">
        <f>I3226-H3226</f>
        <v>0</v>
      </c>
      <c r="K3226" s="5">
        <f>IF(H3226=0,"",J3226/H3226)</f>
        <v>0</v>
      </c>
      <c r="L3226">
        <f>IF(OR(AND(H3226=0,ABS(J3226)&gt;=0.01),AND(H3226&lt;&gt;0,ABS(K3226)&gt;VarianceThreshold)),"Review","OK")</f>
        <v>0</v>
      </c>
      <c r="M3226" t="s">
        <v>33</v>
      </c>
    </row>
    <row r="3227" spans="1:13">
      <c r="A3227" t="s">
        <v>5</v>
      </c>
      <c r="B3227" t="s">
        <v>193</v>
      </c>
      <c r="C3227" t="s">
        <v>2767</v>
      </c>
      <c r="D3227" t="s">
        <v>311</v>
      </c>
      <c r="E3227" cm="1">
        <f t="array" ref="E3227">_xlfn.XLOOKUP(D3227,SKU_Master!A:A,SKU_Master!B:B,"Not on master")</f>
        <v>0</v>
      </c>
      <c r="F3227" cm="1">
        <f t="array" ref="F3227">_xlfn.XLOOKUP(C3227,Account_Master!A:A,Account_Master!B:B,"Not on master")</f>
        <v>0</v>
      </c>
      <c r="G3227" cm="1">
        <f t="array" ref="G3227">_xlfn.XLOOKUP(C3227,Account_Master!A:A,Account_Master!C:C,"Not on master")</f>
        <v>0</v>
      </c>
      <c r="H3227" s="6">
        <v>0.3</v>
      </c>
      <c r="I3227" s="6">
        <v>0.3</v>
      </c>
      <c r="J3227" s="6">
        <f>I3227-H3227</f>
        <v>0</v>
      </c>
      <c r="K3227" s="5">
        <f>IF(H3227=0,"",J3227/H3227)</f>
        <v>0</v>
      </c>
      <c r="L3227">
        <f>IF(OR(AND(H3227=0,ABS(J3227)&gt;=0.01),AND(H3227&lt;&gt;0,ABS(K3227)&gt;VarianceThreshold)),"Review","OK")</f>
        <v>0</v>
      </c>
      <c r="M3227" t="s">
        <v>33</v>
      </c>
    </row>
    <row r="3228" spans="1:13">
      <c r="A3228" t="s">
        <v>5</v>
      </c>
      <c r="B3228" t="s">
        <v>205</v>
      </c>
      <c r="C3228" t="s">
        <v>2797</v>
      </c>
      <c r="D3228" t="s">
        <v>2393</v>
      </c>
      <c r="E3228" cm="1">
        <f t="array" ref="E3228">_xlfn.XLOOKUP(D3228,SKU_Master!A:A,SKU_Master!B:B,"Not on master")</f>
        <v>0</v>
      </c>
      <c r="F3228" cm="1">
        <f t="array" ref="F3228">_xlfn.XLOOKUP(C3228,Account_Master!A:A,Account_Master!B:B,"Not on master")</f>
        <v>0</v>
      </c>
      <c r="G3228" cm="1">
        <f t="array" ref="G3228">_xlfn.XLOOKUP(C3228,Account_Master!A:A,Account_Master!C:C,"Not on master")</f>
        <v>0</v>
      </c>
      <c r="H3228" s="6">
        <v>18.75</v>
      </c>
      <c r="I3228" s="6">
        <v>18.75</v>
      </c>
      <c r="J3228" s="6">
        <f>I3228-H3228</f>
        <v>0</v>
      </c>
      <c r="K3228" s="5">
        <f>IF(H3228=0,"",J3228/H3228)</f>
        <v>0</v>
      </c>
      <c r="L3228">
        <f>IF(OR(AND(H3228=0,ABS(J3228)&gt;=0.01),AND(H3228&lt;&gt;0,ABS(K3228)&gt;VarianceThreshold)),"Review","OK")</f>
        <v>0</v>
      </c>
      <c r="M3228" t="s">
        <v>33</v>
      </c>
    </row>
    <row r="3229" spans="1:13">
      <c r="A3229" t="s">
        <v>5</v>
      </c>
      <c r="B3229" t="s">
        <v>205</v>
      </c>
      <c r="C3229" t="s">
        <v>2750</v>
      </c>
      <c r="D3229" t="s">
        <v>2816</v>
      </c>
      <c r="E3229" cm="1">
        <f t="array" ref="E3229">_xlfn.XLOOKUP(D3229,SKU_Master!A:A,SKU_Master!B:B,"Not on master")</f>
        <v>0</v>
      </c>
      <c r="F3229" cm="1">
        <f t="array" ref="F3229">_xlfn.XLOOKUP(C3229,Account_Master!A:A,Account_Master!B:B,"Not on master")</f>
        <v>0</v>
      </c>
      <c r="G3229" cm="1">
        <f t="array" ref="G3229">_xlfn.XLOOKUP(C3229,Account_Master!A:A,Account_Master!C:C,"Not on master")</f>
        <v>0</v>
      </c>
      <c r="H3229" s="6">
        <v>41.25</v>
      </c>
      <c r="I3229" s="6">
        <v>41.25</v>
      </c>
      <c r="J3229" s="6">
        <f>I3229-H3229</f>
        <v>0</v>
      </c>
      <c r="K3229" s="5">
        <f>IF(H3229=0,"",J3229/H3229)</f>
        <v>0</v>
      </c>
      <c r="L3229">
        <f>IF(OR(AND(H3229=0,ABS(J3229)&gt;=0.01),AND(H3229&lt;&gt;0,ABS(K3229)&gt;VarianceThreshold)),"Review","OK")</f>
        <v>0</v>
      </c>
      <c r="M3229" t="s">
        <v>33</v>
      </c>
    </row>
    <row r="3230" spans="1:13">
      <c r="A3230" t="s">
        <v>5</v>
      </c>
      <c r="B3230" t="s">
        <v>205</v>
      </c>
      <c r="C3230" t="s">
        <v>2817</v>
      </c>
      <c r="D3230" t="s">
        <v>423</v>
      </c>
      <c r="E3230" cm="1">
        <f t="array" ref="E3230">_xlfn.XLOOKUP(D3230,SKU_Master!A:A,SKU_Master!B:B,"Not on master")</f>
        <v>0</v>
      </c>
      <c r="F3230" cm="1">
        <f t="array" ref="F3230">_xlfn.XLOOKUP(C3230,Account_Master!A:A,Account_Master!B:B,"Not on master")</f>
        <v>0</v>
      </c>
      <c r="G3230" cm="1">
        <f t="array" ref="G3230">_xlfn.XLOOKUP(C3230,Account_Master!A:A,Account_Master!C:C,"Not on master")</f>
        <v>0</v>
      </c>
      <c r="H3230" s="6">
        <v>2.25</v>
      </c>
      <c r="I3230" s="6">
        <v>2.25</v>
      </c>
      <c r="J3230" s="6">
        <f>I3230-H3230</f>
        <v>0</v>
      </c>
      <c r="K3230" s="5">
        <f>IF(H3230=0,"",J3230/H3230)</f>
        <v>0</v>
      </c>
      <c r="L3230">
        <f>IF(OR(AND(H3230=0,ABS(J3230)&gt;=0.01),AND(H3230&lt;&gt;0,ABS(K3230)&gt;VarianceThreshold)),"Review","OK")</f>
        <v>0</v>
      </c>
      <c r="M3230" t="s">
        <v>33</v>
      </c>
    </row>
    <row r="3231" spans="1:13">
      <c r="A3231" t="s">
        <v>5</v>
      </c>
      <c r="B3231" t="s">
        <v>205</v>
      </c>
      <c r="C3231" t="s">
        <v>2818</v>
      </c>
      <c r="D3231" t="s">
        <v>2819</v>
      </c>
      <c r="E3231" cm="1">
        <f t="array" ref="E3231">_xlfn.XLOOKUP(D3231,SKU_Master!A:A,SKU_Master!B:B,"Not on master")</f>
        <v>0</v>
      </c>
      <c r="F3231" cm="1">
        <f t="array" ref="F3231">_xlfn.XLOOKUP(C3231,Account_Master!A:A,Account_Master!B:B,"Not on master")</f>
        <v>0</v>
      </c>
      <c r="G3231" cm="1">
        <f t="array" ref="G3231">_xlfn.XLOOKUP(C3231,Account_Master!A:A,Account_Master!C:C,"Not on master")</f>
        <v>0</v>
      </c>
      <c r="H3231" s="6">
        <v>1.85</v>
      </c>
      <c r="I3231" s="6">
        <v>1.85</v>
      </c>
      <c r="J3231" s="6">
        <f>I3231-H3231</f>
        <v>0</v>
      </c>
      <c r="K3231" s="5">
        <f>IF(H3231=0,"",J3231/H3231)</f>
        <v>0</v>
      </c>
      <c r="L3231">
        <f>IF(OR(AND(H3231=0,ABS(J3231)&gt;=0.01),AND(H3231&lt;&gt;0,ABS(K3231)&gt;VarianceThreshold)),"Review","OK")</f>
        <v>0</v>
      </c>
      <c r="M3231" t="s">
        <v>33</v>
      </c>
    </row>
    <row r="3232" spans="1:13">
      <c r="A3232" t="s">
        <v>5</v>
      </c>
      <c r="B3232" t="s">
        <v>205</v>
      </c>
      <c r="C3232" t="s">
        <v>2814</v>
      </c>
      <c r="D3232" t="s">
        <v>2820</v>
      </c>
      <c r="E3232" cm="1">
        <f t="array" ref="E3232">_xlfn.XLOOKUP(D3232,SKU_Master!A:A,SKU_Master!B:B,"Not on master")</f>
        <v>0</v>
      </c>
      <c r="F3232" cm="1">
        <f t="array" ref="F3232">_xlfn.XLOOKUP(C3232,Account_Master!A:A,Account_Master!B:B,"Not on master")</f>
        <v>0</v>
      </c>
      <c r="G3232" cm="1">
        <f t="array" ref="G3232">_xlfn.XLOOKUP(C3232,Account_Master!A:A,Account_Master!C:C,"Not on master")</f>
        <v>0</v>
      </c>
      <c r="H3232" s="6">
        <v>3</v>
      </c>
      <c r="I3232" s="6">
        <v>3</v>
      </c>
      <c r="J3232" s="6">
        <f>I3232-H3232</f>
        <v>0</v>
      </c>
      <c r="K3232" s="5">
        <f>IF(H3232=0,"",J3232/H3232)</f>
        <v>0</v>
      </c>
      <c r="L3232">
        <f>IF(OR(AND(H3232=0,ABS(J3232)&gt;=0.01),AND(H3232&lt;&gt;0,ABS(K3232)&gt;VarianceThreshold)),"Review","OK")</f>
        <v>0</v>
      </c>
      <c r="M3232" t="s">
        <v>33</v>
      </c>
    </row>
    <row r="3233" spans="1:13">
      <c r="A3233" t="s">
        <v>5</v>
      </c>
      <c r="B3233" t="s">
        <v>205</v>
      </c>
      <c r="C3233" t="s">
        <v>2747</v>
      </c>
      <c r="D3233" t="s">
        <v>1573</v>
      </c>
      <c r="E3233" cm="1">
        <f t="array" ref="E3233">_xlfn.XLOOKUP(D3233,SKU_Master!A:A,SKU_Master!B:B,"Not on master")</f>
        <v>0</v>
      </c>
      <c r="F3233" cm="1">
        <f t="array" ref="F3233">_xlfn.XLOOKUP(C3233,Account_Master!A:A,Account_Master!B:B,"Not on master")</f>
        <v>0</v>
      </c>
      <c r="G3233" cm="1">
        <f t="array" ref="G3233">_xlfn.XLOOKUP(C3233,Account_Master!A:A,Account_Master!C:C,"Not on master")</f>
        <v>0</v>
      </c>
      <c r="H3233" s="6">
        <v>0.75</v>
      </c>
      <c r="I3233" s="6">
        <v>0.75</v>
      </c>
      <c r="J3233" s="6">
        <f>I3233-H3233</f>
        <v>0</v>
      </c>
      <c r="K3233" s="5">
        <f>IF(H3233=0,"",J3233/H3233)</f>
        <v>0</v>
      </c>
      <c r="L3233">
        <f>IF(OR(AND(H3233=0,ABS(J3233)&gt;=0.01),AND(H3233&lt;&gt;0,ABS(K3233)&gt;VarianceThreshold)),"Review","OK")</f>
        <v>0</v>
      </c>
      <c r="M3233" t="s">
        <v>33</v>
      </c>
    </row>
    <row r="3234" spans="1:13">
      <c r="A3234" t="s">
        <v>5</v>
      </c>
      <c r="B3234" t="s">
        <v>216</v>
      </c>
      <c r="C3234" t="s">
        <v>2763</v>
      </c>
      <c r="D3234" t="s">
        <v>2662</v>
      </c>
      <c r="E3234" cm="1">
        <f t="array" ref="E3234">_xlfn.XLOOKUP(D3234,SKU_Master!A:A,SKU_Master!B:B,"Not on master")</f>
        <v>0</v>
      </c>
      <c r="F3234" cm="1">
        <f t="array" ref="F3234">_xlfn.XLOOKUP(C3234,Account_Master!A:A,Account_Master!B:B,"Not on master")</f>
        <v>0</v>
      </c>
      <c r="G3234" cm="1">
        <f t="array" ref="G3234">_xlfn.XLOOKUP(C3234,Account_Master!A:A,Account_Master!C:C,"Not on master")</f>
        <v>0</v>
      </c>
      <c r="H3234" s="6">
        <v>9</v>
      </c>
      <c r="I3234" s="6">
        <v>9</v>
      </c>
      <c r="J3234" s="6">
        <f>I3234-H3234</f>
        <v>0</v>
      </c>
      <c r="K3234" s="5">
        <f>IF(H3234=0,"",J3234/H3234)</f>
        <v>0</v>
      </c>
      <c r="L3234">
        <f>IF(OR(AND(H3234=0,ABS(J3234)&gt;=0.01),AND(H3234&lt;&gt;0,ABS(K3234)&gt;VarianceThreshold)),"Review","OK")</f>
        <v>0</v>
      </c>
      <c r="M3234" t="s">
        <v>33</v>
      </c>
    </row>
    <row r="3235" spans="1:13">
      <c r="A3235" t="s">
        <v>5</v>
      </c>
      <c r="B3235" t="s">
        <v>216</v>
      </c>
      <c r="C3235" t="s">
        <v>2821</v>
      </c>
      <c r="D3235" t="s">
        <v>2822</v>
      </c>
      <c r="E3235" cm="1">
        <f t="array" ref="E3235">_xlfn.XLOOKUP(D3235,SKU_Master!A:A,SKU_Master!B:B,"Not on master")</f>
        <v>0</v>
      </c>
      <c r="F3235" cm="1">
        <f t="array" ref="F3235">_xlfn.XLOOKUP(C3235,Account_Master!A:A,Account_Master!B:B,"Not on master")</f>
        <v>0</v>
      </c>
      <c r="G3235" cm="1">
        <f t="array" ref="G3235">_xlfn.XLOOKUP(C3235,Account_Master!A:A,Account_Master!C:C,"Not on master")</f>
        <v>0</v>
      </c>
      <c r="H3235" s="6">
        <v>0.37</v>
      </c>
      <c r="I3235" s="6">
        <v>0.37</v>
      </c>
      <c r="J3235" s="6">
        <f>I3235-H3235</f>
        <v>0</v>
      </c>
      <c r="K3235" s="5">
        <f>IF(H3235=0,"",J3235/H3235)</f>
        <v>0</v>
      </c>
      <c r="L3235">
        <f>IF(OR(AND(H3235=0,ABS(J3235)&gt;=0.01),AND(H3235&lt;&gt;0,ABS(K3235)&gt;VarianceThreshold)),"Review","OK")</f>
        <v>0</v>
      </c>
      <c r="M3235" t="s">
        <v>33</v>
      </c>
    </row>
    <row r="3236" spans="1:13">
      <c r="A3236" t="s">
        <v>5</v>
      </c>
      <c r="B3236" t="s">
        <v>216</v>
      </c>
      <c r="C3236" t="s">
        <v>2775</v>
      </c>
      <c r="D3236" t="s">
        <v>826</v>
      </c>
      <c r="E3236" cm="1">
        <f t="array" ref="E3236">_xlfn.XLOOKUP(D3236,SKU_Master!A:A,SKU_Master!B:B,"Not on master")</f>
        <v>0</v>
      </c>
      <c r="F3236" cm="1">
        <f t="array" ref="F3236">_xlfn.XLOOKUP(C3236,Account_Master!A:A,Account_Master!B:B,"Not on master")</f>
        <v>0</v>
      </c>
      <c r="G3236" cm="1">
        <f t="array" ref="G3236">_xlfn.XLOOKUP(C3236,Account_Master!A:A,Account_Master!C:C,"Not on master")</f>
        <v>0</v>
      </c>
      <c r="H3236" s="6">
        <v>0.75</v>
      </c>
      <c r="I3236" s="6">
        <v>0.75</v>
      </c>
      <c r="J3236" s="6">
        <f>I3236-H3236</f>
        <v>0</v>
      </c>
      <c r="K3236" s="5">
        <f>IF(H3236=0,"",J3236/H3236)</f>
        <v>0</v>
      </c>
      <c r="L3236">
        <f>IF(OR(AND(H3236=0,ABS(J3236)&gt;=0.01),AND(H3236&lt;&gt;0,ABS(K3236)&gt;VarianceThreshold)),"Review","OK")</f>
        <v>0</v>
      </c>
      <c r="M3236" t="s">
        <v>33</v>
      </c>
    </row>
    <row r="3237" spans="1:13">
      <c r="A3237" t="s">
        <v>5</v>
      </c>
      <c r="B3237" t="s">
        <v>226</v>
      </c>
      <c r="C3237" t="s">
        <v>2786</v>
      </c>
      <c r="D3237" t="s">
        <v>2823</v>
      </c>
      <c r="E3237" cm="1">
        <f t="array" ref="E3237">_xlfn.XLOOKUP(D3237,SKU_Master!A:A,SKU_Master!B:B,"Not on master")</f>
        <v>0</v>
      </c>
      <c r="F3237" cm="1">
        <f t="array" ref="F3237">_xlfn.XLOOKUP(C3237,Account_Master!A:A,Account_Master!B:B,"Not on master")</f>
        <v>0</v>
      </c>
      <c r="G3237" cm="1">
        <f t="array" ref="G3237">_xlfn.XLOOKUP(C3237,Account_Master!A:A,Account_Master!C:C,"Not on master")</f>
        <v>0</v>
      </c>
      <c r="H3237" s="6">
        <v>2.25</v>
      </c>
      <c r="I3237" s="6">
        <v>2.25</v>
      </c>
      <c r="J3237" s="6">
        <f>I3237-H3237</f>
        <v>0</v>
      </c>
      <c r="K3237" s="5">
        <f>IF(H3237=0,"",J3237/H3237)</f>
        <v>0</v>
      </c>
      <c r="L3237">
        <f>IF(OR(AND(H3237=0,ABS(J3237)&gt;=0.01),AND(H3237&lt;&gt;0,ABS(K3237)&gt;VarianceThreshold)),"Review","OK")</f>
        <v>0</v>
      </c>
      <c r="M3237" t="s">
        <v>33</v>
      </c>
    </row>
    <row r="3238" spans="1:13">
      <c r="A3238" t="s">
        <v>5</v>
      </c>
      <c r="B3238" t="s">
        <v>226</v>
      </c>
      <c r="C3238" t="s">
        <v>2824</v>
      </c>
      <c r="D3238" t="s">
        <v>940</v>
      </c>
      <c r="E3238" cm="1">
        <f t="array" ref="E3238">_xlfn.XLOOKUP(D3238,SKU_Master!A:A,SKU_Master!B:B,"Not on master")</f>
        <v>0</v>
      </c>
      <c r="F3238" cm="1">
        <f t="array" ref="F3238">_xlfn.XLOOKUP(C3238,Account_Master!A:A,Account_Master!B:B,"Not on master")</f>
        <v>0</v>
      </c>
      <c r="G3238" cm="1">
        <f t="array" ref="G3238">_xlfn.XLOOKUP(C3238,Account_Master!A:A,Account_Master!C:C,"Not on master")</f>
        <v>0</v>
      </c>
      <c r="H3238" s="6">
        <v>52.5</v>
      </c>
      <c r="I3238" s="6">
        <v>52.5</v>
      </c>
      <c r="J3238" s="6">
        <f>I3238-H3238</f>
        <v>0</v>
      </c>
      <c r="K3238" s="5">
        <f>IF(H3238=0,"",J3238/H3238)</f>
        <v>0</v>
      </c>
      <c r="L3238">
        <f>IF(OR(AND(H3238=0,ABS(J3238)&gt;=0.01),AND(H3238&lt;&gt;0,ABS(K3238)&gt;VarianceThreshold)),"Review","OK")</f>
        <v>0</v>
      </c>
      <c r="M3238" t="s">
        <v>33</v>
      </c>
    </row>
    <row r="3239" spans="1:13">
      <c r="A3239" t="s">
        <v>5</v>
      </c>
      <c r="B3239" t="s">
        <v>226</v>
      </c>
      <c r="C3239" t="s">
        <v>1154</v>
      </c>
      <c r="D3239" t="s">
        <v>246</v>
      </c>
      <c r="E3239" cm="1">
        <f t="array" ref="E3239">_xlfn.XLOOKUP(D3239,SKU_Master!A:A,SKU_Master!B:B,"Not on master")</f>
        <v>0</v>
      </c>
      <c r="F3239" cm="1">
        <f t="array" ref="F3239">_xlfn.XLOOKUP(C3239,Account_Master!A:A,Account_Master!B:B,"Not on master")</f>
        <v>0</v>
      </c>
      <c r="G3239" cm="1">
        <f t="array" ref="G3239">_xlfn.XLOOKUP(C3239,Account_Master!A:A,Account_Master!C:C,"Not on master")</f>
        <v>0</v>
      </c>
      <c r="H3239" s="6">
        <v>10.5</v>
      </c>
      <c r="I3239" s="6">
        <v>10.5</v>
      </c>
      <c r="J3239" s="6">
        <f>I3239-H3239</f>
        <v>0</v>
      </c>
      <c r="K3239" s="5">
        <f>IF(H3239=0,"",J3239/H3239)</f>
        <v>0</v>
      </c>
      <c r="L3239">
        <f>IF(OR(AND(H3239=0,ABS(J3239)&gt;=0.01),AND(H3239&lt;&gt;0,ABS(K3239)&gt;VarianceThreshold)),"Review","OK")</f>
        <v>0</v>
      </c>
      <c r="M3239" t="s">
        <v>33</v>
      </c>
    </row>
    <row r="3240" spans="1:13">
      <c r="A3240" t="s">
        <v>5</v>
      </c>
      <c r="B3240" t="s">
        <v>226</v>
      </c>
      <c r="C3240" t="s">
        <v>2786</v>
      </c>
      <c r="D3240" t="s">
        <v>1918</v>
      </c>
      <c r="E3240" cm="1">
        <f t="array" ref="E3240">_xlfn.XLOOKUP(D3240,SKU_Master!A:A,SKU_Master!B:B,"Not on master")</f>
        <v>0</v>
      </c>
      <c r="F3240" cm="1">
        <f t="array" ref="F3240">_xlfn.XLOOKUP(C3240,Account_Master!A:A,Account_Master!B:B,"Not on master")</f>
        <v>0</v>
      </c>
      <c r="G3240" cm="1">
        <f t="array" ref="G3240">_xlfn.XLOOKUP(C3240,Account_Master!A:A,Account_Master!C:C,"Not on master")</f>
        <v>0</v>
      </c>
      <c r="H3240" s="6">
        <v>38.5</v>
      </c>
      <c r="I3240" s="6">
        <v>38.5</v>
      </c>
      <c r="J3240" s="6">
        <f>I3240-H3240</f>
        <v>0</v>
      </c>
      <c r="K3240" s="5">
        <f>IF(H3240=0,"",J3240/H3240)</f>
        <v>0</v>
      </c>
      <c r="L3240">
        <f>IF(OR(AND(H3240=0,ABS(J3240)&gt;=0.01),AND(H3240&lt;&gt;0,ABS(K3240)&gt;VarianceThreshold)),"Review","OK")</f>
        <v>0</v>
      </c>
      <c r="M3240" t="s">
        <v>33</v>
      </c>
    </row>
    <row r="3241" spans="1:13">
      <c r="A3241" t="s">
        <v>5</v>
      </c>
      <c r="B3241" t="s">
        <v>226</v>
      </c>
      <c r="C3241" t="s">
        <v>2825</v>
      </c>
      <c r="D3241" t="s">
        <v>1871</v>
      </c>
      <c r="E3241" cm="1">
        <f t="array" ref="E3241">_xlfn.XLOOKUP(D3241,SKU_Master!A:A,SKU_Master!B:B,"Not on master")</f>
        <v>0</v>
      </c>
      <c r="F3241" cm="1">
        <f t="array" ref="F3241">_xlfn.XLOOKUP(C3241,Account_Master!A:A,Account_Master!B:B,"Not on master")</f>
        <v>0</v>
      </c>
      <c r="G3241" cm="1">
        <f t="array" ref="G3241">_xlfn.XLOOKUP(C3241,Account_Master!A:A,Account_Master!C:C,"Not on master")</f>
        <v>0</v>
      </c>
      <c r="H3241" s="6">
        <v>11.25</v>
      </c>
      <c r="I3241" s="6">
        <v>11.25</v>
      </c>
      <c r="J3241" s="6">
        <f>I3241-H3241</f>
        <v>0</v>
      </c>
      <c r="K3241" s="5">
        <f>IF(H3241=0,"",J3241/H3241)</f>
        <v>0</v>
      </c>
      <c r="L3241">
        <f>IF(OR(AND(H3241=0,ABS(J3241)&gt;=0.01),AND(H3241&lt;&gt;0,ABS(K3241)&gt;VarianceThreshold)),"Review","OK")</f>
        <v>0</v>
      </c>
      <c r="M3241" t="s">
        <v>33</v>
      </c>
    </row>
    <row r="3242" spans="1:13">
      <c r="A3242" t="s">
        <v>5</v>
      </c>
      <c r="B3242" t="s">
        <v>226</v>
      </c>
      <c r="C3242" t="s">
        <v>2826</v>
      </c>
      <c r="D3242" t="s">
        <v>119</v>
      </c>
      <c r="E3242" cm="1">
        <f t="array" ref="E3242">_xlfn.XLOOKUP(D3242,SKU_Master!A:A,SKU_Master!B:B,"Not on master")</f>
        <v>0</v>
      </c>
      <c r="F3242" cm="1">
        <f t="array" ref="F3242">_xlfn.XLOOKUP(C3242,Account_Master!A:A,Account_Master!B:B,"Not on master")</f>
        <v>0</v>
      </c>
      <c r="G3242" cm="1">
        <f t="array" ref="G3242">_xlfn.XLOOKUP(C3242,Account_Master!A:A,Account_Master!C:C,"Not on master")</f>
        <v>0</v>
      </c>
      <c r="H3242" s="6">
        <v>1.5</v>
      </c>
      <c r="I3242" s="6">
        <v>1.5</v>
      </c>
      <c r="J3242" s="6">
        <f>I3242-H3242</f>
        <v>0</v>
      </c>
      <c r="K3242" s="5">
        <f>IF(H3242=0,"",J3242/H3242)</f>
        <v>0</v>
      </c>
      <c r="L3242">
        <f>IF(OR(AND(H3242=0,ABS(J3242)&gt;=0.01),AND(H3242&lt;&gt;0,ABS(K3242)&gt;VarianceThreshold)),"Review","OK")</f>
        <v>0</v>
      </c>
      <c r="M3242" t="s">
        <v>33</v>
      </c>
    </row>
    <row r="3243" spans="1:13">
      <c r="A3243" t="s">
        <v>5</v>
      </c>
      <c r="B3243" t="s">
        <v>226</v>
      </c>
      <c r="C3243" t="s">
        <v>2818</v>
      </c>
      <c r="D3243" t="s">
        <v>672</v>
      </c>
      <c r="E3243" cm="1">
        <f t="array" ref="E3243">_xlfn.XLOOKUP(D3243,SKU_Master!A:A,SKU_Master!B:B,"Not on master")</f>
        <v>0</v>
      </c>
      <c r="F3243" cm="1">
        <f t="array" ref="F3243">_xlfn.XLOOKUP(C3243,Account_Master!A:A,Account_Master!B:B,"Not on master")</f>
        <v>0</v>
      </c>
      <c r="G3243" cm="1">
        <f t="array" ref="G3243">_xlfn.XLOOKUP(C3243,Account_Master!A:A,Account_Master!C:C,"Not on master")</f>
        <v>0</v>
      </c>
      <c r="H3243" s="6">
        <v>9.75</v>
      </c>
      <c r="I3243" s="6">
        <v>9.75</v>
      </c>
      <c r="J3243" s="6">
        <f>I3243-H3243</f>
        <v>0</v>
      </c>
      <c r="K3243" s="5">
        <f>IF(H3243=0,"",J3243/H3243)</f>
        <v>0</v>
      </c>
      <c r="L3243">
        <f>IF(OR(AND(H3243=0,ABS(J3243)&gt;=0.01),AND(H3243&lt;&gt;0,ABS(K3243)&gt;VarianceThreshold)),"Review","OK")</f>
        <v>0</v>
      </c>
      <c r="M3243" t="s">
        <v>33</v>
      </c>
    </row>
    <row r="3244" spans="1:13">
      <c r="A3244" t="s">
        <v>5</v>
      </c>
      <c r="B3244" t="s">
        <v>231</v>
      </c>
      <c r="C3244" t="s">
        <v>2827</v>
      </c>
      <c r="D3244" t="s">
        <v>2536</v>
      </c>
      <c r="E3244" cm="1">
        <f t="array" ref="E3244">_xlfn.XLOOKUP(D3244,SKU_Master!A:A,SKU_Master!B:B,"Not on master")</f>
        <v>0</v>
      </c>
      <c r="F3244" cm="1">
        <f t="array" ref="F3244">_xlfn.XLOOKUP(C3244,Account_Master!A:A,Account_Master!B:B,"Not on master")</f>
        <v>0</v>
      </c>
      <c r="G3244" cm="1">
        <f t="array" ref="G3244">_xlfn.XLOOKUP(C3244,Account_Master!A:A,Account_Master!C:C,"Not on master")</f>
        <v>0</v>
      </c>
      <c r="H3244" s="6">
        <v>3.7</v>
      </c>
      <c r="I3244" s="6">
        <v>3.7</v>
      </c>
      <c r="J3244" s="6">
        <f>I3244-H3244</f>
        <v>0</v>
      </c>
      <c r="K3244" s="5">
        <f>IF(H3244=0,"",J3244/H3244)</f>
        <v>0</v>
      </c>
      <c r="L3244">
        <f>IF(OR(AND(H3244=0,ABS(J3244)&gt;=0.01),AND(H3244&lt;&gt;0,ABS(K3244)&gt;VarianceThreshold)),"Review","OK")</f>
        <v>0</v>
      </c>
      <c r="M3244" t="s">
        <v>33</v>
      </c>
    </row>
    <row r="3245" spans="1:13">
      <c r="A3245" t="s">
        <v>5</v>
      </c>
      <c r="B3245" t="s">
        <v>231</v>
      </c>
      <c r="C3245" t="s">
        <v>2778</v>
      </c>
      <c r="D3245" t="s">
        <v>496</v>
      </c>
      <c r="E3245" cm="1">
        <f t="array" ref="E3245">_xlfn.XLOOKUP(D3245,SKU_Master!A:A,SKU_Master!B:B,"Not on master")</f>
        <v>0</v>
      </c>
      <c r="F3245" cm="1">
        <f t="array" ref="F3245">_xlfn.XLOOKUP(C3245,Account_Master!A:A,Account_Master!B:B,"Not on master")</f>
        <v>0</v>
      </c>
      <c r="G3245" cm="1">
        <f t="array" ref="G3245">_xlfn.XLOOKUP(C3245,Account_Master!A:A,Account_Master!C:C,"Not on master")</f>
        <v>0</v>
      </c>
      <c r="H3245" s="6">
        <v>9</v>
      </c>
      <c r="I3245" s="6">
        <v>9</v>
      </c>
      <c r="J3245" s="6">
        <f>I3245-H3245</f>
        <v>0</v>
      </c>
      <c r="K3245" s="5">
        <f>IF(H3245=0,"",J3245/H3245)</f>
        <v>0</v>
      </c>
      <c r="L3245">
        <f>IF(OR(AND(H3245=0,ABS(J3245)&gt;=0.01),AND(H3245&lt;&gt;0,ABS(K3245)&gt;VarianceThreshold)),"Review","OK")</f>
        <v>0</v>
      </c>
      <c r="M3245" t="s">
        <v>33</v>
      </c>
    </row>
    <row r="3246" spans="1:13">
      <c r="A3246" t="s">
        <v>5</v>
      </c>
      <c r="B3246" t="s">
        <v>231</v>
      </c>
      <c r="C3246" t="s">
        <v>2763</v>
      </c>
      <c r="D3246" t="s">
        <v>1547</v>
      </c>
      <c r="E3246" cm="1">
        <f t="array" ref="E3246">_xlfn.XLOOKUP(D3246,SKU_Master!A:A,SKU_Master!B:B,"Not on master")</f>
        <v>0</v>
      </c>
      <c r="F3246" cm="1">
        <f t="array" ref="F3246">_xlfn.XLOOKUP(C3246,Account_Master!A:A,Account_Master!B:B,"Not on master")</f>
        <v>0</v>
      </c>
      <c r="G3246" cm="1">
        <f t="array" ref="G3246">_xlfn.XLOOKUP(C3246,Account_Master!A:A,Account_Master!C:C,"Not on master")</f>
        <v>0</v>
      </c>
      <c r="H3246" s="6">
        <v>21</v>
      </c>
      <c r="I3246" s="6">
        <v>21</v>
      </c>
      <c r="J3246" s="6">
        <f>I3246-H3246</f>
        <v>0</v>
      </c>
      <c r="K3246" s="5">
        <f>IF(H3246=0,"",J3246/H3246)</f>
        <v>0</v>
      </c>
      <c r="L3246">
        <f>IF(OR(AND(H3246=0,ABS(J3246)&gt;=0.01),AND(H3246&lt;&gt;0,ABS(K3246)&gt;VarianceThreshold)),"Review","OK")</f>
        <v>0</v>
      </c>
      <c r="M3246" t="s">
        <v>33</v>
      </c>
    </row>
    <row r="3247" spans="1:13">
      <c r="A3247" t="s">
        <v>5</v>
      </c>
      <c r="B3247" t="s">
        <v>231</v>
      </c>
      <c r="C3247" t="s">
        <v>2769</v>
      </c>
      <c r="D3247" t="s">
        <v>1507</v>
      </c>
      <c r="E3247" cm="1">
        <f t="array" ref="E3247">_xlfn.XLOOKUP(D3247,SKU_Master!A:A,SKU_Master!B:B,"Not on master")</f>
        <v>0</v>
      </c>
      <c r="F3247" cm="1">
        <f t="array" ref="F3247">_xlfn.XLOOKUP(C3247,Account_Master!A:A,Account_Master!B:B,"Not on master")</f>
        <v>0</v>
      </c>
      <c r="G3247" cm="1">
        <f t="array" ref="G3247">_xlfn.XLOOKUP(C3247,Account_Master!A:A,Account_Master!C:C,"Not on master")</f>
        <v>0</v>
      </c>
      <c r="H3247" s="6">
        <v>18</v>
      </c>
      <c r="I3247" s="6">
        <v>18</v>
      </c>
      <c r="J3247" s="6">
        <f>I3247-H3247</f>
        <v>0</v>
      </c>
      <c r="K3247" s="5">
        <f>IF(H3247=0,"",J3247/H3247)</f>
        <v>0</v>
      </c>
      <c r="L3247">
        <f>IF(OR(AND(H3247=0,ABS(J3247)&gt;=0.01),AND(H3247&lt;&gt;0,ABS(K3247)&gt;VarianceThreshold)),"Review","OK")</f>
        <v>0</v>
      </c>
      <c r="M3247" t="s">
        <v>33</v>
      </c>
    </row>
    <row r="3248" spans="1:13">
      <c r="A3248" t="s">
        <v>5</v>
      </c>
      <c r="B3248" t="s">
        <v>231</v>
      </c>
      <c r="C3248" t="s">
        <v>2769</v>
      </c>
      <c r="D3248" t="s">
        <v>1699</v>
      </c>
      <c r="E3248" cm="1">
        <f t="array" ref="E3248">_xlfn.XLOOKUP(D3248,SKU_Master!A:A,SKU_Master!B:B,"Not on master")</f>
        <v>0</v>
      </c>
      <c r="F3248" cm="1">
        <f t="array" ref="F3248">_xlfn.XLOOKUP(C3248,Account_Master!A:A,Account_Master!B:B,"Not on master")</f>
        <v>0</v>
      </c>
      <c r="G3248" cm="1">
        <f t="array" ref="G3248">_xlfn.XLOOKUP(C3248,Account_Master!A:A,Account_Master!C:C,"Not on master")</f>
        <v>0</v>
      </c>
      <c r="H3248" s="6">
        <v>56</v>
      </c>
      <c r="I3248" s="6">
        <v>56</v>
      </c>
      <c r="J3248" s="6">
        <f>I3248-H3248</f>
        <v>0</v>
      </c>
      <c r="K3248" s="5">
        <f>IF(H3248=0,"",J3248/H3248)</f>
        <v>0</v>
      </c>
      <c r="L3248">
        <f>IF(OR(AND(H3248=0,ABS(J3248)&gt;=0.01),AND(H3248&lt;&gt;0,ABS(K3248)&gt;VarianceThreshold)),"Review","OK")</f>
        <v>0</v>
      </c>
      <c r="M3248" t="s">
        <v>33</v>
      </c>
    </row>
    <row r="3249" spans="1:13">
      <c r="A3249" t="s">
        <v>5</v>
      </c>
      <c r="B3249" t="s">
        <v>231</v>
      </c>
      <c r="C3249" t="s">
        <v>2790</v>
      </c>
      <c r="D3249" t="s">
        <v>2828</v>
      </c>
      <c r="E3249" cm="1">
        <f t="array" ref="E3249">_xlfn.XLOOKUP(D3249,SKU_Master!A:A,SKU_Master!B:B,"Not on master")</f>
        <v>0</v>
      </c>
      <c r="F3249" cm="1">
        <f t="array" ref="F3249">_xlfn.XLOOKUP(C3249,Account_Master!A:A,Account_Master!B:B,"Not on master")</f>
        <v>0</v>
      </c>
      <c r="G3249" cm="1">
        <f t="array" ref="G3249">_xlfn.XLOOKUP(C3249,Account_Master!A:A,Account_Master!C:C,"Not on master")</f>
        <v>0</v>
      </c>
      <c r="H3249" s="6">
        <v>13.12</v>
      </c>
      <c r="I3249" s="6">
        <v>13.12</v>
      </c>
      <c r="J3249" s="6">
        <f>I3249-H3249</f>
        <v>0</v>
      </c>
      <c r="K3249" s="5">
        <f>IF(H3249=0,"",J3249/H3249)</f>
        <v>0</v>
      </c>
      <c r="L3249">
        <f>IF(OR(AND(H3249=0,ABS(J3249)&gt;=0.01),AND(H3249&lt;&gt;0,ABS(K3249)&gt;VarianceThreshold)),"Review","OK")</f>
        <v>0</v>
      </c>
      <c r="M3249" t="s">
        <v>33</v>
      </c>
    </row>
    <row r="3250" spans="1:13">
      <c r="A3250" t="s">
        <v>5</v>
      </c>
      <c r="B3250" t="s">
        <v>238</v>
      </c>
      <c r="C3250" t="s">
        <v>2802</v>
      </c>
      <c r="D3250" t="s">
        <v>2545</v>
      </c>
      <c r="E3250" cm="1">
        <f t="array" ref="E3250">_xlfn.XLOOKUP(D3250,SKU_Master!A:A,SKU_Master!B:B,"Not on master")</f>
        <v>0</v>
      </c>
      <c r="F3250" cm="1">
        <f t="array" ref="F3250">_xlfn.XLOOKUP(C3250,Account_Master!A:A,Account_Master!B:B,"Not on master")</f>
        <v>0</v>
      </c>
      <c r="G3250" cm="1">
        <f t="array" ref="G3250">_xlfn.XLOOKUP(C3250,Account_Master!A:A,Account_Master!C:C,"Not on master")</f>
        <v>0</v>
      </c>
      <c r="H3250" s="6">
        <v>4.4</v>
      </c>
      <c r="I3250" s="6">
        <v>4.4</v>
      </c>
      <c r="J3250" s="6">
        <f>I3250-H3250</f>
        <v>0</v>
      </c>
      <c r="K3250" s="5">
        <f>IF(H3250=0,"",J3250/H3250)</f>
        <v>0</v>
      </c>
      <c r="L3250">
        <f>IF(OR(AND(H3250=0,ABS(J3250)&gt;=0.01),AND(H3250&lt;&gt;0,ABS(K3250)&gt;VarianceThreshold)),"Review","OK")</f>
        <v>0</v>
      </c>
      <c r="M3250" t="s">
        <v>33</v>
      </c>
    </row>
    <row r="3251" spans="1:13">
      <c r="A3251" t="s">
        <v>5</v>
      </c>
      <c r="B3251" t="s">
        <v>238</v>
      </c>
      <c r="C3251" t="s">
        <v>2829</v>
      </c>
      <c r="D3251" t="s">
        <v>1946</v>
      </c>
      <c r="E3251" cm="1">
        <f t="array" ref="E3251">_xlfn.XLOOKUP(D3251,SKU_Master!A:A,SKU_Master!B:B,"Not on master")</f>
        <v>0</v>
      </c>
      <c r="F3251" cm="1">
        <f t="array" ref="F3251">_xlfn.XLOOKUP(C3251,Account_Master!A:A,Account_Master!B:B,"Not on master")</f>
        <v>0</v>
      </c>
      <c r="G3251" cm="1">
        <f t="array" ref="G3251">_xlfn.XLOOKUP(C3251,Account_Master!A:A,Account_Master!C:C,"Not on master")</f>
        <v>0</v>
      </c>
      <c r="H3251" s="6">
        <v>65.25</v>
      </c>
      <c r="I3251" s="6">
        <v>65.25</v>
      </c>
      <c r="J3251" s="6">
        <f>I3251-H3251</f>
        <v>0</v>
      </c>
      <c r="K3251" s="5">
        <f>IF(H3251=0,"",J3251/H3251)</f>
        <v>0</v>
      </c>
      <c r="L3251">
        <f>IF(OR(AND(H3251=0,ABS(J3251)&gt;=0.01),AND(H3251&lt;&gt;0,ABS(K3251)&gt;VarianceThreshold)),"Review","OK")</f>
        <v>0</v>
      </c>
      <c r="M3251" t="s">
        <v>33</v>
      </c>
    </row>
    <row r="3252" spans="1:13">
      <c r="A3252" t="s">
        <v>5</v>
      </c>
      <c r="B3252" t="s">
        <v>238</v>
      </c>
      <c r="C3252" t="s">
        <v>2797</v>
      </c>
      <c r="D3252" t="s">
        <v>1652</v>
      </c>
      <c r="E3252" cm="1">
        <f t="array" ref="E3252">_xlfn.XLOOKUP(D3252,SKU_Master!A:A,SKU_Master!B:B,"Not on master")</f>
        <v>0</v>
      </c>
      <c r="F3252" cm="1">
        <f t="array" ref="F3252">_xlfn.XLOOKUP(C3252,Account_Master!A:A,Account_Master!B:B,"Not on master")</f>
        <v>0</v>
      </c>
      <c r="G3252" cm="1">
        <f t="array" ref="G3252">_xlfn.XLOOKUP(C3252,Account_Master!A:A,Account_Master!C:C,"Not on master")</f>
        <v>0</v>
      </c>
      <c r="H3252" s="6">
        <v>9</v>
      </c>
      <c r="I3252" s="6">
        <v>9</v>
      </c>
      <c r="J3252" s="6">
        <f>I3252-H3252</f>
        <v>0</v>
      </c>
      <c r="K3252" s="5">
        <f>IF(H3252=0,"",J3252/H3252)</f>
        <v>0</v>
      </c>
      <c r="L3252">
        <f>IF(OR(AND(H3252=0,ABS(J3252)&gt;=0.01),AND(H3252&lt;&gt;0,ABS(K3252)&gt;VarianceThreshold)),"Review","OK")</f>
        <v>0</v>
      </c>
      <c r="M3252" t="s">
        <v>33</v>
      </c>
    </row>
    <row r="3253" spans="1:13">
      <c r="A3253" t="s">
        <v>5</v>
      </c>
      <c r="B3253" t="s">
        <v>238</v>
      </c>
      <c r="C3253" t="s">
        <v>2826</v>
      </c>
      <c r="D3253" t="s">
        <v>2830</v>
      </c>
      <c r="E3253" cm="1">
        <f t="array" ref="E3253">_xlfn.XLOOKUP(D3253,SKU_Master!A:A,SKU_Master!B:B,"Not on master")</f>
        <v>0</v>
      </c>
      <c r="F3253" cm="1">
        <f t="array" ref="F3253">_xlfn.XLOOKUP(C3253,Account_Master!A:A,Account_Master!B:B,"Not on master")</f>
        <v>0</v>
      </c>
      <c r="G3253" cm="1">
        <f t="array" ref="G3253">_xlfn.XLOOKUP(C3253,Account_Master!A:A,Account_Master!C:C,"Not on master")</f>
        <v>0</v>
      </c>
      <c r="H3253" s="6">
        <v>2</v>
      </c>
      <c r="I3253" s="6">
        <v>2</v>
      </c>
      <c r="J3253" s="6">
        <f>I3253-H3253</f>
        <v>0</v>
      </c>
      <c r="K3253" s="5">
        <f>IF(H3253=0,"",J3253/H3253)</f>
        <v>0</v>
      </c>
      <c r="L3253">
        <f>IF(OR(AND(H3253=0,ABS(J3253)&gt;=0.01),AND(H3253&lt;&gt;0,ABS(K3253)&gt;VarianceThreshold)),"Review","OK")</f>
        <v>0</v>
      </c>
      <c r="M3253" t="s">
        <v>33</v>
      </c>
    </row>
    <row r="3254" spans="1:13">
      <c r="A3254" t="s">
        <v>5</v>
      </c>
      <c r="B3254" t="s">
        <v>238</v>
      </c>
      <c r="C3254" t="s">
        <v>2769</v>
      </c>
      <c r="D3254" t="s">
        <v>1487</v>
      </c>
      <c r="E3254" cm="1">
        <f t="array" ref="E3254">_xlfn.XLOOKUP(D3254,SKU_Master!A:A,SKU_Master!B:B,"Not on master")</f>
        <v>0</v>
      </c>
      <c r="F3254" cm="1">
        <f t="array" ref="F3254">_xlfn.XLOOKUP(C3254,Account_Master!A:A,Account_Master!B:B,"Not on master")</f>
        <v>0</v>
      </c>
      <c r="G3254" cm="1">
        <f t="array" ref="G3254">_xlfn.XLOOKUP(C3254,Account_Master!A:A,Account_Master!C:C,"Not on master")</f>
        <v>0</v>
      </c>
      <c r="H3254" s="6">
        <v>51</v>
      </c>
      <c r="I3254" s="6">
        <v>51</v>
      </c>
      <c r="J3254" s="6">
        <f>I3254-H3254</f>
        <v>0</v>
      </c>
      <c r="K3254" s="5">
        <f>IF(H3254=0,"",J3254/H3254)</f>
        <v>0</v>
      </c>
      <c r="L3254">
        <f>IF(OR(AND(H3254=0,ABS(J3254)&gt;=0.01),AND(H3254&lt;&gt;0,ABS(K3254)&gt;VarianceThreshold)),"Review","OK")</f>
        <v>0</v>
      </c>
      <c r="M3254" t="s">
        <v>33</v>
      </c>
    </row>
    <row r="3255" spans="1:13">
      <c r="A3255" t="s">
        <v>5</v>
      </c>
      <c r="B3255" t="s">
        <v>238</v>
      </c>
      <c r="C3255" t="s">
        <v>2763</v>
      </c>
      <c r="D3255" t="s">
        <v>2831</v>
      </c>
      <c r="E3255" cm="1">
        <f t="array" ref="E3255">_xlfn.XLOOKUP(D3255,SKU_Master!A:A,SKU_Master!B:B,"Not on master")</f>
        <v>0</v>
      </c>
      <c r="F3255" cm="1">
        <f t="array" ref="F3255">_xlfn.XLOOKUP(C3255,Account_Master!A:A,Account_Master!B:B,"Not on master")</f>
        <v>0</v>
      </c>
      <c r="G3255" cm="1">
        <f t="array" ref="G3255">_xlfn.XLOOKUP(C3255,Account_Master!A:A,Account_Master!C:C,"Not on master")</f>
        <v>0</v>
      </c>
      <c r="H3255" s="6">
        <v>6</v>
      </c>
      <c r="I3255" s="6">
        <v>6</v>
      </c>
      <c r="J3255" s="6">
        <f>I3255-H3255</f>
        <v>0</v>
      </c>
      <c r="K3255" s="5">
        <f>IF(H3255=0,"",J3255/H3255)</f>
        <v>0</v>
      </c>
      <c r="L3255">
        <f>IF(OR(AND(H3255=0,ABS(J3255)&gt;=0.01),AND(H3255&lt;&gt;0,ABS(K3255)&gt;VarianceThreshold)),"Review","OK")</f>
        <v>0</v>
      </c>
      <c r="M3255" t="s">
        <v>33</v>
      </c>
    </row>
    <row r="3256" spans="1:13">
      <c r="A3256" t="s">
        <v>5</v>
      </c>
      <c r="B3256" t="s">
        <v>251</v>
      </c>
      <c r="C3256" t="s">
        <v>2769</v>
      </c>
      <c r="D3256" t="s">
        <v>2832</v>
      </c>
      <c r="E3256" cm="1">
        <f t="array" ref="E3256">_xlfn.XLOOKUP(D3256,SKU_Master!A:A,SKU_Master!B:B,"Not on master")</f>
        <v>0</v>
      </c>
      <c r="F3256" cm="1">
        <f t="array" ref="F3256">_xlfn.XLOOKUP(C3256,Account_Master!A:A,Account_Master!B:B,"Not on master")</f>
        <v>0</v>
      </c>
      <c r="G3256" cm="1">
        <f t="array" ref="G3256">_xlfn.XLOOKUP(C3256,Account_Master!A:A,Account_Master!C:C,"Not on master")</f>
        <v>0</v>
      </c>
      <c r="H3256" s="6">
        <v>38</v>
      </c>
      <c r="I3256" s="6">
        <v>38</v>
      </c>
      <c r="J3256" s="6">
        <f>I3256-H3256</f>
        <v>0</v>
      </c>
      <c r="K3256" s="5">
        <f>IF(H3256=0,"",J3256/H3256)</f>
        <v>0</v>
      </c>
      <c r="L3256">
        <f>IF(OR(AND(H3256=0,ABS(J3256)&gt;=0.01),AND(H3256&lt;&gt;0,ABS(K3256)&gt;VarianceThreshold)),"Review","OK")</f>
        <v>0</v>
      </c>
      <c r="M3256" t="s">
        <v>33</v>
      </c>
    </row>
    <row r="3257" spans="1:13">
      <c r="A3257" t="s">
        <v>5</v>
      </c>
      <c r="B3257" t="s">
        <v>251</v>
      </c>
      <c r="C3257" t="s">
        <v>2833</v>
      </c>
      <c r="D3257" t="s">
        <v>562</v>
      </c>
      <c r="E3257" cm="1">
        <f t="array" ref="E3257">_xlfn.XLOOKUP(D3257,SKU_Master!A:A,SKU_Master!B:B,"Not on master")</f>
        <v>0</v>
      </c>
      <c r="F3257" cm="1">
        <f t="array" ref="F3257">_xlfn.XLOOKUP(C3257,Account_Master!A:A,Account_Master!B:B,"Not on master")</f>
        <v>0</v>
      </c>
      <c r="G3257" cm="1">
        <f t="array" ref="G3257">_xlfn.XLOOKUP(C3257,Account_Master!A:A,Account_Master!C:C,"Not on master")</f>
        <v>0</v>
      </c>
      <c r="H3257" s="6">
        <v>103.5</v>
      </c>
      <c r="I3257" s="6">
        <v>103.5</v>
      </c>
      <c r="J3257" s="6">
        <f>I3257-H3257</f>
        <v>0</v>
      </c>
      <c r="K3257" s="5">
        <f>IF(H3257=0,"",J3257/H3257)</f>
        <v>0</v>
      </c>
      <c r="L3257">
        <f>IF(OR(AND(H3257=0,ABS(J3257)&gt;=0.01),AND(H3257&lt;&gt;0,ABS(K3257)&gt;VarianceThreshold)),"Review","OK")</f>
        <v>0</v>
      </c>
      <c r="M3257" t="s">
        <v>33</v>
      </c>
    </row>
    <row r="3258" spans="1:13">
      <c r="A3258" t="s">
        <v>5</v>
      </c>
      <c r="B3258" t="s">
        <v>251</v>
      </c>
      <c r="C3258" t="s">
        <v>2766</v>
      </c>
      <c r="D3258" t="s">
        <v>889</v>
      </c>
      <c r="E3258" cm="1">
        <f t="array" ref="E3258">_xlfn.XLOOKUP(D3258,SKU_Master!A:A,SKU_Master!B:B,"Not on master")</f>
        <v>0</v>
      </c>
      <c r="F3258" cm="1">
        <f t="array" ref="F3258">_xlfn.XLOOKUP(C3258,Account_Master!A:A,Account_Master!B:B,"Not on master")</f>
        <v>0</v>
      </c>
      <c r="G3258" cm="1">
        <f t="array" ref="G3258">_xlfn.XLOOKUP(C3258,Account_Master!A:A,Account_Master!C:C,"Not on master")</f>
        <v>0</v>
      </c>
      <c r="H3258" s="6">
        <v>4.5</v>
      </c>
      <c r="I3258" s="6">
        <v>4.5</v>
      </c>
      <c r="J3258" s="6">
        <f>I3258-H3258</f>
        <v>0</v>
      </c>
      <c r="K3258" s="5">
        <f>IF(H3258=0,"",J3258/H3258)</f>
        <v>0</v>
      </c>
      <c r="L3258">
        <f>IF(OR(AND(H3258=0,ABS(J3258)&gt;=0.01),AND(H3258&lt;&gt;0,ABS(K3258)&gt;VarianceThreshold)),"Review","OK")</f>
        <v>0</v>
      </c>
      <c r="M3258" t="s">
        <v>33</v>
      </c>
    </row>
    <row r="3259" spans="1:13">
      <c r="A3259" t="s">
        <v>5</v>
      </c>
      <c r="B3259" t="s">
        <v>254</v>
      </c>
      <c r="C3259" t="s">
        <v>2802</v>
      </c>
      <c r="D3259" t="s">
        <v>2532</v>
      </c>
      <c r="E3259" cm="1">
        <f t="array" ref="E3259">_xlfn.XLOOKUP(D3259,SKU_Master!A:A,SKU_Master!B:B,"Not on master")</f>
        <v>0</v>
      </c>
      <c r="F3259" cm="1">
        <f t="array" ref="F3259">_xlfn.XLOOKUP(C3259,Account_Master!A:A,Account_Master!B:B,"Not on master")</f>
        <v>0</v>
      </c>
      <c r="G3259" cm="1">
        <f t="array" ref="G3259">_xlfn.XLOOKUP(C3259,Account_Master!A:A,Account_Master!C:C,"Not on master")</f>
        <v>0</v>
      </c>
      <c r="H3259" s="6">
        <v>10.5</v>
      </c>
      <c r="I3259" s="6">
        <v>10.5</v>
      </c>
      <c r="J3259" s="6">
        <f>I3259-H3259</f>
        <v>0</v>
      </c>
      <c r="K3259" s="5">
        <f>IF(H3259=0,"",J3259/H3259)</f>
        <v>0</v>
      </c>
      <c r="L3259">
        <f>IF(OR(AND(H3259=0,ABS(J3259)&gt;=0.01),AND(H3259&lt;&gt;0,ABS(K3259)&gt;VarianceThreshold)),"Review","OK")</f>
        <v>0</v>
      </c>
      <c r="M3259" t="s">
        <v>33</v>
      </c>
    </row>
    <row r="3260" spans="1:13">
      <c r="A3260" t="s">
        <v>5</v>
      </c>
      <c r="B3260" t="s">
        <v>254</v>
      </c>
      <c r="C3260" t="s">
        <v>2821</v>
      </c>
      <c r="D3260" t="s">
        <v>1395</v>
      </c>
      <c r="E3260" cm="1">
        <f t="array" ref="E3260">_xlfn.XLOOKUP(D3260,SKU_Master!A:A,SKU_Master!B:B,"Not on master")</f>
        <v>0</v>
      </c>
      <c r="F3260" cm="1">
        <f t="array" ref="F3260">_xlfn.XLOOKUP(C3260,Account_Master!A:A,Account_Master!B:B,"Not on master")</f>
        <v>0</v>
      </c>
      <c r="G3260" cm="1">
        <f t="array" ref="G3260">_xlfn.XLOOKUP(C3260,Account_Master!A:A,Account_Master!C:C,"Not on master")</f>
        <v>0</v>
      </c>
      <c r="H3260" s="6">
        <v>1.12</v>
      </c>
      <c r="I3260" s="6">
        <v>1.12</v>
      </c>
      <c r="J3260" s="6">
        <f>I3260-H3260</f>
        <v>0</v>
      </c>
      <c r="K3260" s="5">
        <f>IF(H3260=0,"",J3260/H3260)</f>
        <v>0</v>
      </c>
      <c r="L3260">
        <f>IF(OR(AND(H3260=0,ABS(J3260)&gt;=0.01),AND(H3260&lt;&gt;0,ABS(K3260)&gt;VarianceThreshold)),"Review","OK")</f>
        <v>0</v>
      </c>
      <c r="M3260" t="s">
        <v>33</v>
      </c>
    </row>
    <row r="3261" spans="1:13">
      <c r="A3261" t="s">
        <v>5</v>
      </c>
      <c r="B3261" t="s">
        <v>254</v>
      </c>
      <c r="C3261" t="s">
        <v>518</v>
      </c>
      <c r="D3261" t="s">
        <v>2246</v>
      </c>
      <c r="E3261" cm="1">
        <f t="array" ref="E3261">_xlfn.XLOOKUP(D3261,SKU_Master!A:A,SKU_Master!B:B,"Not on master")</f>
        <v>0</v>
      </c>
      <c r="F3261" cm="1">
        <f t="array" ref="F3261">_xlfn.XLOOKUP(C3261,Account_Master!A:A,Account_Master!B:B,"Not on master")</f>
        <v>0</v>
      </c>
      <c r="G3261" cm="1">
        <f t="array" ref="G3261">_xlfn.XLOOKUP(C3261,Account_Master!A:A,Account_Master!C:C,"Not on master")</f>
        <v>0</v>
      </c>
      <c r="H3261" s="6">
        <v>0.1</v>
      </c>
      <c r="I3261" s="6">
        <v>0.1</v>
      </c>
      <c r="J3261" s="6">
        <f>I3261-H3261</f>
        <v>0</v>
      </c>
      <c r="K3261" s="5">
        <f>IF(H3261=0,"",J3261/H3261)</f>
        <v>0</v>
      </c>
      <c r="L3261">
        <f>IF(OR(AND(H3261=0,ABS(J3261)&gt;=0.01),AND(H3261&lt;&gt;0,ABS(K3261)&gt;VarianceThreshold)),"Review","OK")</f>
        <v>0</v>
      </c>
      <c r="M3261" t="s">
        <v>33</v>
      </c>
    </row>
    <row r="3262" spans="1:13">
      <c r="A3262" t="s">
        <v>5</v>
      </c>
      <c r="B3262" t="s">
        <v>254</v>
      </c>
      <c r="C3262" t="s">
        <v>2833</v>
      </c>
      <c r="D3262" t="s">
        <v>142</v>
      </c>
      <c r="E3262" cm="1">
        <f t="array" ref="E3262">_xlfn.XLOOKUP(D3262,SKU_Master!A:A,SKU_Master!B:B,"Not on master")</f>
        <v>0</v>
      </c>
      <c r="F3262" cm="1">
        <f t="array" ref="F3262">_xlfn.XLOOKUP(C3262,Account_Master!A:A,Account_Master!B:B,"Not on master")</f>
        <v>0</v>
      </c>
      <c r="G3262" cm="1">
        <f t="array" ref="G3262">_xlfn.XLOOKUP(C3262,Account_Master!A:A,Account_Master!C:C,"Not on master")</f>
        <v>0</v>
      </c>
      <c r="H3262" s="6">
        <v>4.5</v>
      </c>
      <c r="I3262" s="6">
        <v>4.5</v>
      </c>
      <c r="J3262" s="6">
        <f>I3262-H3262</f>
        <v>0</v>
      </c>
      <c r="K3262" s="5">
        <f>IF(H3262=0,"",J3262/H3262)</f>
        <v>0</v>
      </c>
      <c r="L3262">
        <f>IF(OR(AND(H3262=0,ABS(J3262)&gt;=0.01),AND(H3262&lt;&gt;0,ABS(K3262)&gt;VarianceThreshold)),"Review","OK")</f>
        <v>0</v>
      </c>
      <c r="M3262" t="s">
        <v>33</v>
      </c>
    </row>
    <row r="3263" spans="1:13">
      <c r="A3263" t="s">
        <v>5</v>
      </c>
      <c r="B3263" t="s">
        <v>254</v>
      </c>
      <c r="C3263" t="s">
        <v>2834</v>
      </c>
      <c r="D3263" t="s">
        <v>1913</v>
      </c>
      <c r="E3263" cm="1">
        <f t="array" ref="E3263">_xlfn.XLOOKUP(D3263,SKU_Master!A:A,SKU_Master!B:B,"Not on master")</f>
        <v>0</v>
      </c>
      <c r="F3263" cm="1">
        <f t="array" ref="F3263">_xlfn.XLOOKUP(C3263,Account_Master!A:A,Account_Master!B:B,"Not on master")</f>
        <v>0</v>
      </c>
      <c r="G3263" cm="1">
        <f t="array" ref="G3263">_xlfn.XLOOKUP(C3263,Account_Master!A:A,Account_Master!C:C,"Not on master")</f>
        <v>0</v>
      </c>
      <c r="H3263" s="6">
        <v>1.8</v>
      </c>
      <c r="I3263" s="6">
        <v>1.8</v>
      </c>
      <c r="J3263" s="6">
        <f>I3263-H3263</f>
        <v>0</v>
      </c>
      <c r="K3263" s="5">
        <f>IF(H3263=0,"",J3263/H3263)</f>
        <v>0</v>
      </c>
      <c r="L3263">
        <f>IF(OR(AND(H3263=0,ABS(J3263)&gt;=0.01),AND(H3263&lt;&gt;0,ABS(K3263)&gt;VarianceThreshold)),"Review","OK")</f>
        <v>0</v>
      </c>
      <c r="M3263" t="s">
        <v>33</v>
      </c>
    </row>
    <row r="3264" spans="1:13">
      <c r="A3264" t="s">
        <v>5</v>
      </c>
      <c r="B3264" t="s">
        <v>254</v>
      </c>
      <c r="C3264" t="s">
        <v>2759</v>
      </c>
      <c r="D3264" t="s">
        <v>1828</v>
      </c>
      <c r="E3264" cm="1">
        <f t="array" ref="E3264">_xlfn.XLOOKUP(D3264,SKU_Master!A:A,SKU_Master!B:B,"Not on master")</f>
        <v>0</v>
      </c>
      <c r="F3264" cm="1">
        <f t="array" ref="F3264">_xlfn.XLOOKUP(C3264,Account_Master!A:A,Account_Master!B:B,"Not on master")</f>
        <v>0</v>
      </c>
      <c r="G3264" cm="1">
        <f t="array" ref="G3264">_xlfn.XLOOKUP(C3264,Account_Master!A:A,Account_Master!C:C,"Not on master")</f>
        <v>0</v>
      </c>
      <c r="H3264" s="6">
        <v>0.75</v>
      </c>
      <c r="I3264" s="6">
        <v>0.75</v>
      </c>
      <c r="J3264" s="6">
        <f>I3264-H3264</f>
        <v>0</v>
      </c>
      <c r="K3264" s="5">
        <f>IF(H3264=0,"",J3264/H3264)</f>
        <v>0</v>
      </c>
      <c r="L3264">
        <f>IF(OR(AND(H3264=0,ABS(J3264)&gt;=0.01),AND(H3264&lt;&gt;0,ABS(K3264)&gt;VarianceThreshold)),"Review","OK")</f>
        <v>0</v>
      </c>
      <c r="M3264" t="s">
        <v>33</v>
      </c>
    </row>
    <row r="3265" spans="1:13">
      <c r="A3265" t="s">
        <v>5</v>
      </c>
      <c r="B3265" t="s">
        <v>264</v>
      </c>
      <c r="C3265" t="s">
        <v>2793</v>
      </c>
      <c r="D3265" t="s">
        <v>1386</v>
      </c>
      <c r="E3265" cm="1">
        <f t="array" ref="E3265">_xlfn.XLOOKUP(D3265,SKU_Master!A:A,SKU_Master!B:B,"Not on master")</f>
        <v>0</v>
      </c>
      <c r="F3265" cm="1">
        <f t="array" ref="F3265">_xlfn.XLOOKUP(C3265,Account_Master!A:A,Account_Master!B:B,"Not on master")</f>
        <v>0</v>
      </c>
      <c r="G3265" cm="1">
        <f t="array" ref="G3265">_xlfn.XLOOKUP(C3265,Account_Master!A:A,Account_Master!C:C,"Not on master")</f>
        <v>0</v>
      </c>
      <c r="H3265" s="6">
        <v>42</v>
      </c>
      <c r="I3265" s="6">
        <v>42</v>
      </c>
      <c r="J3265" s="6">
        <f>I3265-H3265</f>
        <v>0</v>
      </c>
      <c r="K3265" s="5">
        <f>IF(H3265=0,"",J3265/H3265)</f>
        <v>0</v>
      </c>
      <c r="L3265">
        <f>IF(OR(AND(H3265=0,ABS(J3265)&gt;=0.01),AND(H3265&lt;&gt;0,ABS(K3265)&gt;VarianceThreshold)),"Review","OK")</f>
        <v>0</v>
      </c>
      <c r="M3265" t="s">
        <v>33</v>
      </c>
    </row>
    <row r="3266" spans="1:13">
      <c r="A3266" t="s">
        <v>5</v>
      </c>
      <c r="B3266" t="s">
        <v>264</v>
      </c>
      <c r="C3266" t="s">
        <v>2835</v>
      </c>
      <c r="D3266" t="s">
        <v>382</v>
      </c>
      <c r="E3266" cm="1">
        <f t="array" ref="E3266">_xlfn.XLOOKUP(D3266,SKU_Master!A:A,SKU_Master!B:B,"Not on master")</f>
        <v>0</v>
      </c>
      <c r="F3266" cm="1">
        <f t="array" ref="F3266">_xlfn.XLOOKUP(C3266,Account_Master!A:A,Account_Master!B:B,"Not on master")</f>
        <v>0</v>
      </c>
      <c r="G3266" cm="1">
        <f t="array" ref="G3266">_xlfn.XLOOKUP(C3266,Account_Master!A:A,Account_Master!C:C,"Not on master")</f>
        <v>0</v>
      </c>
      <c r="H3266" s="6">
        <v>4.5</v>
      </c>
      <c r="I3266" s="6">
        <v>4.5</v>
      </c>
      <c r="J3266" s="6">
        <f>I3266-H3266</f>
        <v>0</v>
      </c>
      <c r="K3266" s="5">
        <f>IF(H3266=0,"",J3266/H3266)</f>
        <v>0</v>
      </c>
      <c r="L3266">
        <f>IF(OR(AND(H3266=0,ABS(J3266)&gt;=0.01),AND(H3266&lt;&gt;0,ABS(K3266)&gt;VarianceThreshold)),"Review","OK")</f>
        <v>0</v>
      </c>
      <c r="M3266" t="s">
        <v>33</v>
      </c>
    </row>
    <row r="3267" spans="1:13">
      <c r="A3267" t="s">
        <v>5</v>
      </c>
      <c r="B3267" t="s">
        <v>264</v>
      </c>
      <c r="C3267" t="s">
        <v>2836</v>
      </c>
      <c r="D3267" t="s">
        <v>792</v>
      </c>
      <c r="E3267" cm="1">
        <f t="array" ref="E3267">_xlfn.XLOOKUP(D3267,SKU_Master!A:A,SKU_Master!B:B,"Not on master")</f>
        <v>0</v>
      </c>
      <c r="F3267" cm="1">
        <f t="array" ref="F3267">_xlfn.XLOOKUP(C3267,Account_Master!A:A,Account_Master!B:B,"Not on master")</f>
        <v>0</v>
      </c>
      <c r="G3267" cm="1">
        <f t="array" ref="G3267">_xlfn.XLOOKUP(C3267,Account_Master!A:A,Account_Master!C:C,"Not on master")</f>
        <v>0</v>
      </c>
      <c r="H3267" s="6">
        <v>9</v>
      </c>
      <c r="I3267" s="6">
        <v>9</v>
      </c>
      <c r="J3267" s="6">
        <f>I3267-H3267</f>
        <v>0</v>
      </c>
      <c r="K3267" s="5">
        <f>IF(H3267=0,"",J3267/H3267)</f>
        <v>0</v>
      </c>
      <c r="L3267">
        <f>IF(OR(AND(H3267=0,ABS(J3267)&gt;=0.01),AND(H3267&lt;&gt;0,ABS(K3267)&gt;VarianceThreshold)),"Review","OK")</f>
        <v>0</v>
      </c>
      <c r="M3267" t="s">
        <v>33</v>
      </c>
    </row>
    <row r="3268" spans="1:13">
      <c r="A3268" t="s">
        <v>5</v>
      </c>
      <c r="B3268" t="s">
        <v>264</v>
      </c>
      <c r="C3268" t="s">
        <v>2775</v>
      </c>
      <c r="D3268" t="s">
        <v>2475</v>
      </c>
      <c r="E3268" cm="1">
        <f t="array" ref="E3268">_xlfn.XLOOKUP(D3268,SKU_Master!A:A,SKU_Master!B:B,"Not on master")</f>
        <v>0</v>
      </c>
      <c r="F3268" cm="1">
        <f t="array" ref="F3268">_xlfn.XLOOKUP(C3268,Account_Master!A:A,Account_Master!B:B,"Not on master")</f>
        <v>0</v>
      </c>
      <c r="G3268" cm="1">
        <f t="array" ref="G3268">_xlfn.XLOOKUP(C3268,Account_Master!A:A,Account_Master!C:C,"Not on master")</f>
        <v>0</v>
      </c>
      <c r="H3268" s="6">
        <v>0.75</v>
      </c>
      <c r="I3268" s="6">
        <v>0.75</v>
      </c>
      <c r="J3268" s="6">
        <f>I3268-H3268</f>
        <v>0</v>
      </c>
      <c r="K3268" s="5">
        <f>IF(H3268=0,"",J3268/H3268)</f>
        <v>0</v>
      </c>
      <c r="L3268">
        <f>IF(OR(AND(H3268=0,ABS(J3268)&gt;=0.01),AND(H3268&lt;&gt;0,ABS(K3268)&gt;VarianceThreshold)),"Review","OK")</f>
        <v>0</v>
      </c>
      <c r="M3268" t="s">
        <v>33</v>
      </c>
    </row>
    <row r="3269" spans="1:13">
      <c r="A3269" t="s">
        <v>5</v>
      </c>
      <c r="B3269" t="s">
        <v>264</v>
      </c>
      <c r="C3269" t="s">
        <v>2769</v>
      </c>
      <c r="D3269" t="s">
        <v>2837</v>
      </c>
      <c r="E3269" cm="1">
        <f t="array" ref="E3269">_xlfn.XLOOKUP(D3269,SKU_Master!A:A,SKU_Master!B:B,"Not on master")</f>
        <v>0</v>
      </c>
      <c r="F3269" cm="1">
        <f t="array" ref="F3269">_xlfn.XLOOKUP(C3269,Account_Master!A:A,Account_Master!B:B,"Not on master")</f>
        <v>0</v>
      </c>
      <c r="G3269" cm="1">
        <f t="array" ref="G3269">_xlfn.XLOOKUP(C3269,Account_Master!A:A,Account_Master!C:C,"Not on master")</f>
        <v>0</v>
      </c>
      <c r="H3269" s="6">
        <v>253</v>
      </c>
      <c r="I3269" s="6">
        <v>253</v>
      </c>
      <c r="J3269" s="6">
        <f>I3269-H3269</f>
        <v>0</v>
      </c>
      <c r="K3269" s="5">
        <f>IF(H3269=0,"",J3269/H3269)</f>
        <v>0</v>
      </c>
      <c r="L3269">
        <f>IF(OR(AND(H3269=0,ABS(J3269)&gt;=0.01),AND(H3269&lt;&gt;0,ABS(K3269)&gt;VarianceThreshold)),"Review","OK")</f>
        <v>0</v>
      </c>
      <c r="M3269" t="s">
        <v>33</v>
      </c>
    </row>
    <row r="3270" spans="1:13">
      <c r="A3270" t="s">
        <v>5</v>
      </c>
      <c r="B3270" t="s">
        <v>264</v>
      </c>
      <c r="C3270" t="s">
        <v>2769</v>
      </c>
      <c r="D3270" t="s">
        <v>1271</v>
      </c>
      <c r="E3270" cm="1">
        <f t="array" ref="E3270">_xlfn.XLOOKUP(D3270,SKU_Master!A:A,SKU_Master!B:B,"Not on master")</f>
        <v>0</v>
      </c>
      <c r="F3270" cm="1">
        <f t="array" ref="F3270">_xlfn.XLOOKUP(C3270,Account_Master!A:A,Account_Master!B:B,"Not on master")</f>
        <v>0</v>
      </c>
      <c r="G3270" cm="1">
        <f t="array" ref="G3270">_xlfn.XLOOKUP(C3270,Account_Master!A:A,Account_Master!C:C,"Not on master")</f>
        <v>0</v>
      </c>
      <c r="H3270" s="6">
        <v>12</v>
      </c>
      <c r="I3270" s="6">
        <v>12</v>
      </c>
      <c r="J3270" s="6">
        <f>I3270-H3270</f>
        <v>0</v>
      </c>
      <c r="K3270" s="5">
        <f>IF(H3270=0,"",J3270/H3270)</f>
        <v>0</v>
      </c>
      <c r="L3270">
        <f>IF(OR(AND(H3270=0,ABS(J3270)&gt;=0.01),AND(H3270&lt;&gt;0,ABS(K3270)&gt;VarianceThreshold)),"Review","OK")</f>
        <v>0</v>
      </c>
      <c r="M3270" t="s">
        <v>33</v>
      </c>
    </row>
    <row r="3271" spans="1:13">
      <c r="A3271" t="s">
        <v>5</v>
      </c>
      <c r="B3271" t="s">
        <v>264</v>
      </c>
      <c r="C3271" t="s">
        <v>2814</v>
      </c>
      <c r="D3271" t="s">
        <v>2838</v>
      </c>
      <c r="E3271" cm="1">
        <f t="array" ref="E3271">_xlfn.XLOOKUP(D3271,SKU_Master!A:A,SKU_Master!B:B,"Not on master")</f>
        <v>0</v>
      </c>
      <c r="F3271" cm="1">
        <f t="array" ref="F3271">_xlfn.XLOOKUP(C3271,Account_Master!A:A,Account_Master!B:B,"Not on master")</f>
        <v>0</v>
      </c>
      <c r="G3271" cm="1">
        <f t="array" ref="G3271">_xlfn.XLOOKUP(C3271,Account_Master!A:A,Account_Master!C:C,"Not on master")</f>
        <v>0</v>
      </c>
      <c r="H3271" s="6">
        <v>10.6</v>
      </c>
      <c r="I3271" s="6">
        <v>10.6</v>
      </c>
      <c r="J3271" s="6">
        <f>I3271-H3271</f>
        <v>0</v>
      </c>
      <c r="K3271" s="5">
        <f>IF(H3271=0,"",J3271/H3271)</f>
        <v>0</v>
      </c>
      <c r="L3271">
        <f>IF(OR(AND(H3271=0,ABS(J3271)&gt;=0.01),AND(H3271&lt;&gt;0,ABS(K3271)&gt;VarianceThreshold)),"Review","OK")</f>
        <v>0</v>
      </c>
      <c r="M3271" t="s">
        <v>33</v>
      </c>
    </row>
    <row r="3272" spans="1:13">
      <c r="A3272" t="s">
        <v>5</v>
      </c>
      <c r="B3272" t="s">
        <v>264</v>
      </c>
      <c r="C3272" t="s">
        <v>2760</v>
      </c>
      <c r="D3272" t="s">
        <v>845</v>
      </c>
      <c r="E3272" cm="1">
        <f t="array" ref="E3272">_xlfn.XLOOKUP(D3272,SKU_Master!A:A,SKU_Master!B:B,"Not on master")</f>
        <v>0</v>
      </c>
      <c r="F3272" cm="1">
        <f t="array" ref="F3272">_xlfn.XLOOKUP(C3272,Account_Master!A:A,Account_Master!B:B,"Not on master")</f>
        <v>0</v>
      </c>
      <c r="G3272" cm="1">
        <f t="array" ref="G3272">_xlfn.XLOOKUP(C3272,Account_Master!A:A,Account_Master!C:C,"Not on master")</f>
        <v>0</v>
      </c>
      <c r="H3272" s="6">
        <v>3</v>
      </c>
      <c r="I3272" s="6">
        <v>3</v>
      </c>
      <c r="J3272" s="6">
        <f>I3272-H3272</f>
        <v>0</v>
      </c>
      <c r="K3272" s="5">
        <f>IF(H3272=0,"",J3272/H3272)</f>
        <v>0</v>
      </c>
      <c r="L3272">
        <f>IF(OR(AND(H3272=0,ABS(J3272)&gt;=0.01),AND(H3272&lt;&gt;0,ABS(K3272)&gt;VarianceThreshold)),"Review","OK")</f>
        <v>0</v>
      </c>
      <c r="M3272" t="s">
        <v>33</v>
      </c>
    </row>
    <row r="3273" spans="1:13">
      <c r="A3273" t="s">
        <v>5</v>
      </c>
      <c r="B3273" t="s">
        <v>273</v>
      </c>
      <c r="C3273" t="s">
        <v>2773</v>
      </c>
      <c r="D3273" t="s">
        <v>2640</v>
      </c>
      <c r="E3273" cm="1">
        <f t="array" ref="E3273">_xlfn.XLOOKUP(D3273,SKU_Master!A:A,SKU_Master!B:B,"Not on master")</f>
        <v>0</v>
      </c>
      <c r="F3273" cm="1">
        <f t="array" ref="F3273">_xlfn.XLOOKUP(C3273,Account_Master!A:A,Account_Master!B:B,"Not on master")</f>
        <v>0</v>
      </c>
      <c r="G3273" cm="1">
        <f t="array" ref="G3273">_xlfn.XLOOKUP(C3273,Account_Master!A:A,Account_Master!C:C,"Not on master")</f>
        <v>0</v>
      </c>
      <c r="H3273" s="6">
        <v>1.35</v>
      </c>
      <c r="I3273" s="6">
        <v>1.35</v>
      </c>
      <c r="J3273" s="6">
        <f>I3273-H3273</f>
        <v>0</v>
      </c>
      <c r="K3273" s="5">
        <f>IF(H3273=0,"",J3273/H3273)</f>
        <v>0</v>
      </c>
      <c r="L3273">
        <f>IF(OR(AND(H3273=0,ABS(J3273)&gt;=0.01),AND(H3273&lt;&gt;0,ABS(K3273)&gt;VarianceThreshold)),"Review","OK")</f>
        <v>0</v>
      </c>
      <c r="M3273" t="s">
        <v>33</v>
      </c>
    </row>
    <row r="3274" spans="1:13">
      <c r="A3274" t="s">
        <v>5</v>
      </c>
      <c r="B3274" t="s">
        <v>273</v>
      </c>
      <c r="C3274" t="s">
        <v>2839</v>
      </c>
      <c r="D3274" t="s">
        <v>1422</v>
      </c>
      <c r="E3274" cm="1">
        <f t="array" ref="E3274">_xlfn.XLOOKUP(D3274,SKU_Master!A:A,SKU_Master!B:B,"Not on master")</f>
        <v>0</v>
      </c>
      <c r="F3274" cm="1">
        <f t="array" ref="F3274">_xlfn.XLOOKUP(C3274,Account_Master!A:A,Account_Master!B:B,"Not on master")</f>
        <v>0</v>
      </c>
      <c r="G3274" cm="1">
        <f t="array" ref="G3274">_xlfn.XLOOKUP(C3274,Account_Master!A:A,Account_Master!C:C,"Not on master")</f>
        <v>0</v>
      </c>
      <c r="H3274" s="6">
        <v>42</v>
      </c>
      <c r="I3274" s="6">
        <v>42</v>
      </c>
      <c r="J3274" s="6">
        <f>I3274-H3274</f>
        <v>0</v>
      </c>
      <c r="K3274" s="5">
        <f>IF(H3274=0,"",J3274/H3274)</f>
        <v>0</v>
      </c>
      <c r="L3274">
        <f>IF(OR(AND(H3274=0,ABS(J3274)&gt;=0.01),AND(H3274&lt;&gt;0,ABS(K3274)&gt;VarianceThreshold)),"Review","OK")</f>
        <v>0</v>
      </c>
      <c r="M3274" t="s">
        <v>33</v>
      </c>
    </row>
    <row r="3275" spans="1:13">
      <c r="A3275" t="s">
        <v>5</v>
      </c>
      <c r="B3275" t="s">
        <v>273</v>
      </c>
      <c r="C3275" t="s">
        <v>2840</v>
      </c>
      <c r="D3275" t="s">
        <v>877</v>
      </c>
      <c r="E3275" cm="1">
        <f t="array" ref="E3275">_xlfn.XLOOKUP(D3275,SKU_Master!A:A,SKU_Master!B:B,"Not on master")</f>
        <v>0</v>
      </c>
      <c r="F3275" cm="1">
        <f t="array" ref="F3275">_xlfn.XLOOKUP(C3275,Account_Master!A:A,Account_Master!B:B,"Not on master")</f>
        <v>0</v>
      </c>
      <c r="G3275" cm="1">
        <f t="array" ref="G3275">_xlfn.XLOOKUP(C3275,Account_Master!A:A,Account_Master!C:C,"Not on master")</f>
        <v>0</v>
      </c>
      <c r="H3275" s="6">
        <v>264.25</v>
      </c>
      <c r="I3275" s="6">
        <v>264.25</v>
      </c>
      <c r="J3275" s="6">
        <f>I3275-H3275</f>
        <v>0</v>
      </c>
      <c r="K3275" s="5">
        <f>IF(H3275=0,"",J3275/H3275)</f>
        <v>0</v>
      </c>
      <c r="L3275">
        <f>IF(OR(AND(H3275=0,ABS(J3275)&gt;=0.01),AND(H3275&lt;&gt;0,ABS(K3275)&gt;VarianceThreshold)),"Review","OK")</f>
        <v>0</v>
      </c>
      <c r="M3275" t="s">
        <v>33</v>
      </c>
    </row>
    <row r="3276" spans="1:13">
      <c r="A3276" t="s">
        <v>5</v>
      </c>
      <c r="B3276" t="s">
        <v>273</v>
      </c>
      <c r="C3276" t="s">
        <v>2756</v>
      </c>
      <c r="D3276" t="s">
        <v>1851</v>
      </c>
      <c r="E3276" cm="1">
        <f t="array" ref="E3276">_xlfn.XLOOKUP(D3276,SKU_Master!A:A,SKU_Master!B:B,"Not on master")</f>
        <v>0</v>
      </c>
      <c r="F3276" cm="1">
        <f t="array" ref="F3276">_xlfn.XLOOKUP(C3276,Account_Master!A:A,Account_Master!B:B,"Not on master")</f>
        <v>0</v>
      </c>
      <c r="G3276" cm="1">
        <f t="array" ref="G3276">_xlfn.XLOOKUP(C3276,Account_Master!A:A,Account_Master!C:C,"Not on master")</f>
        <v>0</v>
      </c>
      <c r="H3276" s="6">
        <v>150.75</v>
      </c>
      <c r="I3276" s="6">
        <v>150.75</v>
      </c>
      <c r="J3276" s="6">
        <f>I3276-H3276</f>
        <v>0</v>
      </c>
      <c r="K3276" s="5">
        <f>IF(H3276=0,"",J3276/H3276)</f>
        <v>0</v>
      </c>
      <c r="L3276">
        <f>IF(OR(AND(H3276=0,ABS(J3276)&gt;=0.01),AND(H3276&lt;&gt;0,ABS(K3276)&gt;VarianceThreshold)),"Review","OK")</f>
        <v>0</v>
      </c>
      <c r="M3276" t="s">
        <v>33</v>
      </c>
    </row>
    <row r="3277" spans="1:13">
      <c r="A3277" t="s">
        <v>5</v>
      </c>
      <c r="B3277" t="s">
        <v>273</v>
      </c>
      <c r="C3277" t="s">
        <v>2802</v>
      </c>
      <c r="D3277" t="s">
        <v>2841</v>
      </c>
      <c r="E3277" cm="1">
        <f t="array" ref="E3277">_xlfn.XLOOKUP(D3277,SKU_Master!A:A,SKU_Master!B:B,"Not on master")</f>
        <v>0</v>
      </c>
      <c r="F3277" cm="1">
        <f t="array" ref="F3277">_xlfn.XLOOKUP(C3277,Account_Master!A:A,Account_Master!B:B,"Not on master")</f>
        <v>0</v>
      </c>
      <c r="G3277" cm="1">
        <f t="array" ref="G3277">_xlfn.XLOOKUP(C3277,Account_Master!A:A,Account_Master!C:C,"Not on master")</f>
        <v>0</v>
      </c>
      <c r="H3277" s="6">
        <v>1</v>
      </c>
      <c r="I3277" s="6">
        <v>1</v>
      </c>
      <c r="J3277" s="6">
        <f>I3277-H3277</f>
        <v>0</v>
      </c>
      <c r="K3277" s="5">
        <f>IF(H3277=0,"",J3277/H3277)</f>
        <v>0</v>
      </c>
      <c r="L3277">
        <f>IF(OR(AND(H3277=0,ABS(J3277)&gt;=0.01),AND(H3277&lt;&gt;0,ABS(K3277)&gt;VarianceThreshold)),"Review","OK")</f>
        <v>0</v>
      </c>
      <c r="M3277" t="s">
        <v>33</v>
      </c>
    </row>
    <row r="3278" spans="1:13">
      <c r="A3278" t="s">
        <v>5</v>
      </c>
      <c r="B3278" t="s">
        <v>273</v>
      </c>
      <c r="C3278" t="s">
        <v>2769</v>
      </c>
      <c r="D3278" t="s">
        <v>598</v>
      </c>
      <c r="E3278" cm="1">
        <f t="array" ref="E3278">_xlfn.XLOOKUP(D3278,SKU_Master!A:A,SKU_Master!B:B,"Not on master")</f>
        <v>0</v>
      </c>
      <c r="F3278" cm="1">
        <f t="array" ref="F3278">_xlfn.XLOOKUP(C3278,Account_Master!A:A,Account_Master!B:B,"Not on master")</f>
        <v>0</v>
      </c>
      <c r="G3278" cm="1">
        <f t="array" ref="G3278">_xlfn.XLOOKUP(C3278,Account_Master!A:A,Account_Master!C:C,"Not on master")</f>
        <v>0</v>
      </c>
      <c r="H3278" s="6">
        <v>73.5</v>
      </c>
      <c r="I3278" s="6">
        <v>73.5</v>
      </c>
      <c r="J3278" s="6">
        <f>I3278-H3278</f>
        <v>0</v>
      </c>
      <c r="K3278" s="5">
        <f>IF(H3278=0,"",J3278/H3278)</f>
        <v>0</v>
      </c>
      <c r="L3278">
        <f>IF(OR(AND(H3278=0,ABS(J3278)&gt;=0.01),AND(H3278&lt;&gt;0,ABS(K3278)&gt;VarianceThreshold)),"Review","OK")</f>
        <v>0</v>
      </c>
      <c r="M3278" t="s">
        <v>33</v>
      </c>
    </row>
    <row r="3279" spans="1:13">
      <c r="A3279" t="s">
        <v>5</v>
      </c>
      <c r="B3279" t="s">
        <v>273</v>
      </c>
      <c r="C3279" t="s">
        <v>2842</v>
      </c>
      <c r="D3279" t="s">
        <v>1807</v>
      </c>
      <c r="E3279" cm="1">
        <f t="array" ref="E3279">_xlfn.XLOOKUP(D3279,SKU_Master!A:A,SKU_Master!B:B,"Not on master")</f>
        <v>0</v>
      </c>
      <c r="F3279" cm="1">
        <f t="array" ref="F3279">_xlfn.XLOOKUP(C3279,Account_Master!A:A,Account_Master!B:B,"Not on master")</f>
        <v>0</v>
      </c>
      <c r="G3279" cm="1">
        <f t="array" ref="G3279">_xlfn.XLOOKUP(C3279,Account_Master!A:A,Account_Master!C:C,"Not on master")</f>
        <v>0</v>
      </c>
      <c r="H3279" s="6">
        <v>6</v>
      </c>
      <c r="I3279" s="6">
        <v>6</v>
      </c>
      <c r="J3279" s="6">
        <f>I3279-H3279</f>
        <v>0</v>
      </c>
      <c r="K3279" s="5">
        <f>IF(H3279=0,"",J3279/H3279)</f>
        <v>0</v>
      </c>
      <c r="L3279">
        <f>IF(OR(AND(H3279=0,ABS(J3279)&gt;=0.01),AND(H3279&lt;&gt;0,ABS(K3279)&gt;VarianceThreshold)),"Review","OK")</f>
        <v>0</v>
      </c>
      <c r="M3279" t="s">
        <v>33</v>
      </c>
    </row>
    <row r="3280" spans="1:13">
      <c r="A3280" t="s">
        <v>5</v>
      </c>
      <c r="B3280" t="s">
        <v>273</v>
      </c>
      <c r="C3280" t="s">
        <v>2775</v>
      </c>
      <c r="D3280" t="s">
        <v>2843</v>
      </c>
      <c r="E3280" cm="1">
        <f t="array" ref="E3280">_xlfn.XLOOKUP(D3280,SKU_Master!A:A,SKU_Master!B:B,"Not on master")</f>
        <v>0</v>
      </c>
      <c r="F3280" cm="1">
        <f t="array" ref="F3280">_xlfn.XLOOKUP(C3280,Account_Master!A:A,Account_Master!B:B,"Not on master")</f>
        <v>0</v>
      </c>
      <c r="G3280" cm="1">
        <f t="array" ref="G3280">_xlfn.XLOOKUP(C3280,Account_Master!A:A,Account_Master!C:C,"Not on master")</f>
        <v>0</v>
      </c>
      <c r="H3280" s="6">
        <v>12</v>
      </c>
      <c r="I3280" s="6">
        <v>12</v>
      </c>
      <c r="J3280" s="6">
        <f>I3280-H3280</f>
        <v>0</v>
      </c>
      <c r="K3280" s="5">
        <f>IF(H3280=0,"",J3280/H3280)</f>
        <v>0</v>
      </c>
      <c r="L3280">
        <f>IF(OR(AND(H3280=0,ABS(J3280)&gt;=0.01),AND(H3280&lt;&gt;0,ABS(K3280)&gt;VarianceThreshold)),"Review","OK")</f>
        <v>0</v>
      </c>
      <c r="M3280" t="s">
        <v>33</v>
      </c>
    </row>
    <row r="3281" spans="1:13">
      <c r="A3281" t="s">
        <v>5</v>
      </c>
      <c r="B3281" t="s">
        <v>273</v>
      </c>
      <c r="C3281" t="s">
        <v>2802</v>
      </c>
      <c r="D3281" t="s">
        <v>2844</v>
      </c>
      <c r="E3281" cm="1">
        <f t="array" ref="E3281">_xlfn.XLOOKUP(D3281,SKU_Master!A:A,SKU_Master!B:B,"Not on master")</f>
        <v>0</v>
      </c>
      <c r="F3281" cm="1">
        <f t="array" ref="F3281">_xlfn.XLOOKUP(C3281,Account_Master!A:A,Account_Master!B:B,"Not on master")</f>
        <v>0</v>
      </c>
      <c r="G3281" cm="1">
        <f t="array" ref="G3281">_xlfn.XLOOKUP(C3281,Account_Master!A:A,Account_Master!C:C,"Not on master")</f>
        <v>0</v>
      </c>
      <c r="H3281" s="6">
        <v>12.45</v>
      </c>
      <c r="I3281" s="6">
        <v>12.45</v>
      </c>
      <c r="J3281" s="6">
        <f>I3281-H3281</f>
        <v>0</v>
      </c>
      <c r="K3281" s="5">
        <f>IF(H3281=0,"",J3281/H3281)</f>
        <v>0</v>
      </c>
      <c r="L3281">
        <f>IF(OR(AND(H3281=0,ABS(J3281)&gt;=0.01),AND(H3281&lt;&gt;0,ABS(K3281)&gt;VarianceThreshold)),"Review","OK")</f>
        <v>0</v>
      </c>
      <c r="M3281" t="s">
        <v>33</v>
      </c>
    </row>
    <row r="3282" spans="1:13">
      <c r="A3282" t="s">
        <v>5</v>
      </c>
      <c r="B3282" t="s">
        <v>273</v>
      </c>
      <c r="C3282" t="s">
        <v>2802</v>
      </c>
      <c r="D3282" t="s">
        <v>2845</v>
      </c>
      <c r="E3282" cm="1">
        <f t="array" ref="E3282">_xlfn.XLOOKUP(D3282,SKU_Master!A:A,SKU_Master!B:B,"Not on master")</f>
        <v>0</v>
      </c>
      <c r="F3282" cm="1">
        <f t="array" ref="F3282">_xlfn.XLOOKUP(C3282,Account_Master!A:A,Account_Master!B:B,"Not on master")</f>
        <v>0</v>
      </c>
      <c r="G3282" cm="1">
        <f t="array" ref="G3282">_xlfn.XLOOKUP(C3282,Account_Master!A:A,Account_Master!C:C,"Not on master")</f>
        <v>0</v>
      </c>
      <c r="H3282" s="6">
        <v>47</v>
      </c>
      <c r="I3282" s="6">
        <v>47</v>
      </c>
      <c r="J3282" s="6">
        <f>I3282-H3282</f>
        <v>0</v>
      </c>
      <c r="K3282" s="5">
        <f>IF(H3282=0,"",J3282/H3282)</f>
        <v>0</v>
      </c>
      <c r="L3282">
        <f>IF(OR(AND(H3282=0,ABS(J3282)&gt;=0.01),AND(H3282&lt;&gt;0,ABS(K3282)&gt;VarianceThreshold)),"Review","OK")</f>
        <v>0</v>
      </c>
      <c r="M3282" t="s">
        <v>33</v>
      </c>
    </row>
    <row r="3283" spans="1:13">
      <c r="A3283" t="s">
        <v>5</v>
      </c>
      <c r="B3283" t="s">
        <v>284</v>
      </c>
      <c r="C3283" t="s">
        <v>2763</v>
      </c>
      <c r="D3283" t="s">
        <v>325</v>
      </c>
      <c r="E3283" cm="1">
        <f t="array" ref="E3283">_xlfn.XLOOKUP(D3283,SKU_Master!A:A,SKU_Master!B:B,"Not on master")</f>
        <v>0</v>
      </c>
      <c r="F3283" cm="1">
        <f t="array" ref="F3283">_xlfn.XLOOKUP(C3283,Account_Master!A:A,Account_Master!B:B,"Not on master")</f>
        <v>0</v>
      </c>
      <c r="G3283" cm="1">
        <f t="array" ref="G3283">_xlfn.XLOOKUP(C3283,Account_Master!A:A,Account_Master!C:C,"Not on master")</f>
        <v>0</v>
      </c>
      <c r="H3283" s="6">
        <v>12.75</v>
      </c>
      <c r="I3283" s="6">
        <v>12.75</v>
      </c>
      <c r="J3283" s="6">
        <f>I3283-H3283</f>
        <v>0</v>
      </c>
      <c r="K3283" s="5">
        <f>IF(H3283=0,"",J3283/H3283)</f>
        <v>0</v>
      </c>
      <c r="L3283">
        <f>IF(OR(AND(H3283=0,ABS(J3283)&gt;=0.01),AND(H3283&lt;&gt;0,ABS(K3283)&gt;VarianceThreshold)),"Review","OK")</f>
        <v>0</v>
      </c>
      <c r="M3283" t="s">
        <v>33</v>
      </c>
    </row>
    <row r="3284" spans="1:13">
      <c r="A3284" t="s">
        <v>5</v>
      </c>
      <c r="B3284" t="s">
        <v>284</v>
      </c>
      <c r="C3284" t="s">
        <v>2803</v>
      </c>
      <c r="D3284" t="s">
        <v>807</v>
      </c>
      <c r="E3284" cm="1">
        <f t="array" ref="E3284">_xlfn.XLOOKUP(D3284,SKU_Master!A:A,SKU_Master!B:B,"Not on master")</f>
        <v>0</v>
      </c>
      <c r="F3284" cm="1">
        <f t="array" ref="F3284">_xlfn.XLOOKUP(C3284,Account_Master!A:A,Account_Master!B:B,"Not on master")</f>
        <v>0</v>
      </c>
      <c r="G3284" cm="1">
        <f t="array" ref="G3284">_xlfn.XLOOKUP(C3284,Account_Master!A:A,Account_Master!C:C,"Not on master")</f>
        <v>0</v>
      </c>
      <c r="H3284" s="6">
        <v>43.75</v>
      </c>
      <c r="I3284" s="6">
        <v>43.75</v>
      </c>
      <c r="J3284" s="6">
        <f>I3284-H3284</f>
        <v>0</v>
      </c>
      <c r="K3284" s="5">
        <f>IF(H3284=0,"",J3284/H3284)</f>
        <v>0</v>
      </c>
      <c r="L3284">
        <f>IF(OR(AND(H3284=0,ABS(J3284)&gt;=0.01),AND(H3284&lt;&gt;0,ABS(K3284)&gt;VarianceThreshold)),"Review","OK")</f>
        <v>0</v>
      </c>
      <c r="M3284" t="s">
        <v>33</v>
      </c>
    </row>
    <row r="3285" spans="1:13">
      <c r="A3285" t="s">
        <v>5</v>
      </c>
      <c r="B3285" t="s">
        <v>284</v>
      </c>
      <c r="C3285" t="s">
        <v>2759</v>
      </c>
      <c r="D3285" t="s">
        <v>1334</v>
      </c>
      <c r="E3285" cm="1">
        <f t="array" ref="E3285">_xlfn.XLOOKUP(D3285,SKU_Master!A:A,SKU_Master!B:B,"Not on master")</f>
        <v>0</v>
      </c>
      <c r="F3285" cm="1">
        <f t="array" ref="F3285">_xlfn.XLOOKUP(C3285,Account_Master!A:A,Account_Master!B:B,"Not on master")</f>
        <v>0</v>
      </c>
      <c r="G3285" cm="1">
        <f t="array" ref="G3285">_xlfn.XLOOKUP(C3285,Account_Master!A:A,Account_Master!C:C,"Not on master")</f>
        <v>0</v>
      </c>
      <c r="H3285" s="6">
        <v>0.75</v>
      </c>
      <c r="I3285" s="6">
        <v>0.75</v>
      </c>
      <c r="J3285" s="6">
        <f>I3285-H3285</f>
        <v>0</v>
      </c>
      <c r="K3285" s="5">
        <f>IF(H3285=0,"",J3285/H3285)</f>
        <v>0</v>
      </c>
      <c r="L3285">
        <f>IF(OR(AND(H3285=0,ABS(J3285)&gt;=0.01),AND(H3285&lt;&gt;0,ABS(K3285)&gt;VarianceThreshold)),"Review","OK")</f>
        <v>0</v>
      </c>
      <c r="M3285" t="s">
        <v>33</v>
      </c>
    </row>
    <row r="3286" spans="1:13">
      <c r="A3286" t="s">
        <v>5</v>
      </c>
      <c r="B3286" t="s">
        <v>284</v>
      </c>
      <c r="C3286" t="s">
        <v>2751</v>
      </c>
      <c r="D3286" t="s">
        <v>1868</v>
      </c>
      <c r="E3286" cm="1">
        <f t="array" ref="E3286">_xlfn.XLOOKUP(D3286,SKU_Master!A:A,SKU_Master!B:B,"Not on master")</f>
        <v>0</v>
      </c>
      <c r="F3286" cm="1">
        <f t="array" ref="F3286">_xlfn.XLOOKUP(C3286,Account_Master!A:A,Account_Master!B:B,"Not on master")</f>
        <v>0</v>
      </c>
      <c r="G3286" cm="1">
        <f t="array" ref="G3286">_xlfn.XLOOKUP(C3286,Account_Master!A:A,Account_Master!C:C,"Not on master")</f>
        <v>0</v>
      </c>
      <c r="H3286" s="6">
        <v>9</v>
      </c>
      <c r="I3286" s="6">
        <v>9</v>
      </c>
      <c r="J3286" s="6">
        <f>I3286-H3286</f>
        <v>0</v>
      </c>
      <c r="K3286" s="5">
        <f>IF(H3286=0,"",J3286/H3286)</f>
        <v>0</v>
      </c>
      <c r="L3286">
        <f>IF(OR(AND(H3286=0,ABS(J3286)&gt;=0.01),AND(H3286&lt;&gt;0,ABS(K3286)&gt;VarianceThreshold)),"Review","OK")</f>
        <v>0</v>
      </c>
      <c r="M3286" t="s">
        <v>33</v>
      </c>
    </row>
    <row r="3287" spans="1:13">
      <c r="A3287" t="s">
        <v>5</v>
      </c>
      <c r="B3287" t="s">
        <v>284</v>
      </c>
      <c r="C3287" t="s">
        <v>2790</v>
      </c>
      <c r="D3287" t="s">
        <v>723</v>
      </c>
      <c r="E3287" cm="1">
        <f t="array" ref="E3287">_xlfn.XLOOKUP(D3287,SKU_Master!A:A,SKU_Master!B:B,"Not on master")</f>
        <v>0</v>
      </c>
      <c r="F3287" cm="1">
        <f t="array" ref="F3287">_xlfn.XLOOKUP(C3287,Account_Master!A:A,Account_Master!B:B,"Not on master")</f>
        <v>0</v>
      </c>
      <c r="G3287" cm="1">
        <f t="array" ref="G3287">_xlfn.XLOOKUP(C3287,Account_Master!A:A,Account_Master!C:C,"Not on master")</f>
        <v>0</v>
      </c>
      <c r="H3287" s="6">
        <v>24</v>
      </c>
      <c r="I3287" s="6">
        <v>24</v>
      </c>
      <c r="J3287" s="6">
        <f>I3287-H3287</f>
        <v>0</v>
      </c>
      <c r="K3287" s="5">
        <f>IF(H3287=0,"",J3287/H3287)</f>
        <v>0</v>
      </c>
      <c r="L3287">
        <f>IF(OR(AND(H3287=0,ABS(J3287)&gt;=0.01),AND(H3287&lt;&gt;0,ABS(K3287)&gt;VarianceThreshold)),"Review","OK")</f>
        <v>0</v>
      </c>
      <c r="M3287" t="s">
        <v>33</v>
      </c>
    </row>
    <row r="3288" spans="1:13">
      <c r="A3288" t="s">
        <v>5</v>
      </c>
      <c r="B3288" t="s">
        <v>284</v>
      </c>
      <c r="C3288" t="s">
        <v>2760</v>
      </c>
      <c r="D3288" t="s">
        <v>871</v>
      </c>
      <c r="E3288" cm="1">
        <f t="array" ref="E3288">_xlfn.XLOOKUP(D3288,SKU_Master!A:A,SKU_Master!B:B,"Not on master")</f>
        <v>0</v>
      </c>
      <c r="F3288" cm="1">
        <f t="array" ref="F3288">_xlfn.XLOOKUP(C3288,Account_Master!A:A,Account_Master!B:B,"Not on master")</f>
        <v>0</v>
      </c>
      <c r="G3288" cm="1">
        <f t="array" ref="G3288">_xlfn.XLOOKUP(C3288,Account_Master!A:A,Account_Master!C:C,"Not on master")</f>
        <v>0</v>
      </c>
      <c r="H3288" s="6">
        <v>36</v>
      </c>
      <c r="I3288" s="6">
        <v>36</v>
      </c>
      <c r="J3288" s="6">
        <f>I3288-H3288</f>
        <v>0</v>
      </c>
      <c r="K3288" s="5">
        <f>IF(H3288=0,"",J3288/H3288)</f>
        <v>0</v>
      </c>
      <c r="L3288">
        <f>IF(OR(AND(H3288=0,ABS(J3288)&gt;=0.01),AND(H3288&lt;&gt;0,ABS(K3288)&gt;VarianceThreshold)),"Review","OK")</f>
        <v>0</v>
      </c>
      <c r="M3288" t="s">
        <v>33</v>
      </c>
    </row>
    <row r="3289" spans="1:13">
      <c r="A3289" t="s">
        <v>5</v>
      </c>
      <c r="B3289" t="s">
        <v>284</v>
      </c>
      <c r="C3289" t="s">
        <v>2846</v>
      </c>
      <c r="D3289" t="s">
        <v>396</v>
      </c>
      <c r="E3289" cm="1">
        <f t="array" ref="E3289">_xlfn.XLOOKUP(D3289,SKU_Master!A:A,SKU_Master!B:B,"Not on master")</f>
        <v>0</v>
      </c>
      <c r="F3289" cm="1">
        <f t="array" ref="F3289">_xlfn.XLOOKUP(C3289,Account_Master!A:A,Account_Master!B:B,"Not on master")</f>
        <v>0</v>
      </c>
      <c r="G3289" cm="1">
        <f t="array" ref="G3289">_xlfn.XLOOKUP(C3289,Account_Master!A:A,Account_Master!C:C,"Not on master")</f>
        <v>0</v>
      </c>
      <c r="H3289" s="6">
        <v>21</v>
      </c>
      <c r="I3289" s="6">
        <v>21</v>
      </c>
      <c r="J3289" s="6">
        <f>I3289-H3289</f>
        <v>0</v>
      </c>
      <c r="K3289" s="5">
        <f>IF(H3289=0,"",J3289/H3289)</f>
        <v>0</v>
      </c>
      <c r="L3289">
        <f>IF(OR(AND(H3289=0,ABS(J3289)&gt;=0.01),AND(H3289&lt;&gt;0,ABS(K3289)&gt;VarianceThreshold)),"Review","OK")</f>
        <v>0</v>
      </c>
      <c r="M3289" t="s">
        <v>33</v>
      </c>
    </row>
    <row r="3290" spans="1:13">
      <c r="A3290" t="s">
        <v>5</v>
      </c>
      <c r="B3290" t="s">
        <v>284</v>
      </c>
      <c r="C3290" t="s">
        <v>2847</v>
      </c>
      <c r="D3290" t="s">
        <v>118</v>
      </c>
      <c r="E3290" cm="1">
        <f t="array" ref="E3290">_xlfn.XLOOKUP(D3290,SKU_Master!A:A,SKU_Master!B:B,"Not on master")</f>
        <v>0</v>
      </c>
      <c r="F3290" cm="1">
        <f t="array" ref="F3290">_xlfn.XLOOKUP(C3290,Account_Master!A:A,Account_Master!B:B,"Not on master")</f>
        <v>0</v>
      </c>
      <c r="G3290" cm="1">
        <f t="array" ref="G3290">_xlfn.XLOOKUP(C3290,Account_Master!A:A,Account_Master!C:C,"Not on master")</f>
        <v>0</v>
      </c>
      <c r="H3290" s="6">
        <v>1.7</v>
      </c>
      <c r="I3290" s="6">
        <v>1.7</v>
      </c>
      <c r="J3290" s="6">
        <f>I3290-H3290</f>
        <v>0</v>
      </c>
      <c r="K3290" s="5">
        <f>IF(H3290=0,"",J3290/H3290)</f>
        <v>0</v>
      </c>
      <c r="L3290">
        <f>IF(OR(AND(H3290=0,ABS(J3290)&gt;=0.01),AND(H3290&lt;&gt;0,ABS(K3290)&gt;VarianceThreshold)),"Review","OK")</f>
        <v>0</v>
      </c>
      <c r="M3290" t="s">
        <v>33</v>
      </c>
    </row>
    <row r="3291" spans="1:13">
      <c r="A3291" t="s">
        <v>5</v>
      </c>
      <c r="B3291" t="s">
        <v>284</v>
      </c>
      <c r="C3291" t="s">
        <v>2766</v>
      </c>
      <c r="D3291" t="s">
        <v>2115</v>
      </c>
      <c r="E3291" cm="1">
        <f t="array" ref="E3291">_xlfn.XLOOKUP(D3291,SKU_Master!A:A,SKU_Master!B:B,"Not on master")</f>
        <v>0</v>
      </c>
      <c r="F3291" cm="1">
        <f t="array" ref="F3291">_xlfn.XLOOKUP(C3291,Account_Master!A:A,Account_Master!B:B,"Not on master")</f>
        <v>0</v>
      </c>
      <c r="G3291" cm="1">
        <f t="array" ref="G3291">_xlfn.XLOOKUP(C3291,Account_Master!A:A,Account_Master!C:C,"Not on master")</f>
        <v>0</v>
      </c>
      <c r="H3291" s="6">
        <v>9</v>
      </c>
      <c r="I3291" s="6">
        <v>9</v>
      </c>
      <c r="J3291" s="6">
        <f>I3291-H3291</f>
        <v>0</v>
      </c>
      <c r="K3291" s="5">
        <f>IF(H3291=0,"",J3291/H3291)</f>
        <v>0</v>
      </c>
      <c r="L3291">
        <f>IF(OR(AND(H3291=0,ABS(J3291)&gt;=0.01),AND(H3291&lt;&gt;0,ABS(K3291)&gt;VarianceThreshold)),"Review","OK")</f>
        <v>0</v>
      </c>
      <c r="M3291" t="s">
        <v>33</v>
      </c>
    </row>
    <row r="3292" spans="1:13">
      <c r="A3292" t="s">
        <v>5</v>
      </c>
      <c r="B3292" t="s">
        <v>284</v>
      </c>
      <c r="C3292" t="s">
        <v>2801</v>
      </c>
      <c r="D3292" t="s">
        <v>2848</v>
      </c>
      <c r="E3292" cm="1">
        <f t="array" ref="E3292">_xlfn.XLOOKUP(D3292,SKU_Master!A:A,SKU_Master!B:B,"Not on master")</f>
        <v>0</v>
      </c>
      <c r="F3292" cm="1">
        <f t="array" ref="F3292">_xlfn.XLOOKUP(C3292,Account_Master!A:A,Account_Master!B:B,"Not on master")</f>
        <v>0</v>
      </c>
      <c r="G3292" cm="1">
        <f t="array" ref="G3292">_xlfn.XLOOKUP(C3292,Account_Master!A:A,Account_Master!C:C,"Not on master")</f>
        <v>0</v>
      </c>
      <c r="H3292" s="6">
        <v>6.75</v>
      </c>
      <c r="I3292" s="6">
        <v>6.75</v>
      </c>
      <c r="J3292" s="6">
        <f>I3292-H3292</f>
        <v>0</v>
      </c>
      <c r="K3292" s="5">
        <f>IF(H3292=0,"",J3292/H3292)</f>
        <v>0</v>
      </c>
      <c r="L3292">
        <f>IF(OR(AND(H3292=0,ABS(J3292)&gt;=0.01),AND(H3292&lt;&gt;0,ABS(K3292)&gt;VarianceThreshold)),"Review","OK")</f>
        <v>0</v>
      </c>
      <c r="M3292" t="s">
        <v>33</v>
      </c>
    </row>
    <row r="3293" spans="1:13">
      <c r="A3293" t="s">
        <v>5</v>
      </c>
      <c r="B3293" t="s">
        <v>289</v>
      </c>
      <c r="C3293" t="s">
        <v>2793</v>
      </c>
      <c r="D3293" t="s">
        <v>2405</v>
      </c>
      <c r="E3293" cm="1">
        <f t="array" ref="E3293">_xlfn.XLOOKUP(D3293,SKU_Master!A:A,SKU_Master!B:B,"Not on master")</f>
        <v>0</v>
      </c>
      <c r="F3293" cm="1">
        <f t="array" ref="F3293">_xlfn.XLOOKUP(C3293,Account_Master!A:A,Account_Master!B:B,"Not on master")</f>
        <v>0</v>
      </c>
      <c r="G3293" cm="1">
        <f t="array" ref="G3293">_xlfn.XLOOKUP(C3293,Account_Master!A:A,Account_Master!C:C,"Not on master")</f>
        <v>0</v>
      </c>
      <c r="H3293" s="6">
        <v>95.25</v>
      </c>
      <c r="I3293" s="6">
        <v>95.25</v>
      </c>
      <c r="J3293" s="6">
        <f>I3293-H3293</f>
        <v>0</v>
      </c>
      <c r="K3293" s="5">
        <f>IF(H3293=0,"",J3293/H3293)</f>
        <v>0</v>
      </c>
      <c r="L3293">
        <f>IF(OR(AND(H3293=0,ABS(J3293)&gt;=0.01),AND(H3293&lt;&gt;0,ABS(K3293)&gt;VarianceThreshold)),"Review","OK")</f>
        <v>0</v>
      </c>
      <c r="M3293" t="s">
        <v>33</v>
      </c>
    </row>
    <row r="3294" spans="1:13">
      <c r="A3294" t="s">
        <v>5</v>
      </c>
      <c r="B3294" t="s">
        <v>289</v>
      </c>
      <c r="C3294" t="s">
        <v>518</v>
      </c>
      <c r="D3294" t="s">
        <v>1317</v>
      </c>
      <c r="E3294" cm="1">
        <f t="array" ref="E3294">_xlfn.XLOOKUP(D3294,SKU_Master!A:A,SKU_Master!B:B,"Not on master")</f>
        <v>0</v>
      </c>
      <c r="F3294" cm="1">
        <f t="array" ref="F3294">_xlfn.XLOOKUP(C3294,Account_Master!A:A,Account_Master!B:B,"Not on master")</f>
        <v>0</v>
      </c>
      <c r="G3294" cm="1">
        <f t="array" ref="G3294">_xlfn.XLOOKUP(C3294,Account_Master!A:A,Account_Master!C:C,"Not on master")</f>
        <v>0</v>
      </c>
      <c r="H3294" s="6">
        <v>1.6</v>
      </c>
      <c r="I3294" s="6">
        <v>1.6</v>
      </c>
      <c r="J3294" s="6">
        <f>I3294-H3294</f>
        <v>0</v>
      </c>
      <c r="K3294" s="5">
        <f>IF(H3294=0,"",J3294/H3294)</f>
        <v>0</v>
      </c>
      <c r="L3294">
        <f>IF(OR(AND(H3294=0,ABS(J3294)&gt;=0.01),AND(H3294&lt;&gt;0,ABS(K3294)&gt;VarianceThreshold)),"Review","OK")</f>
        <v>0</v>
      </c>
      <c r="M3294" t="s">
        <v>33</v>
      </c>
    </row>
    <row r="3295" spans="1:13">
      <c r="A3295" t="s">
        <v>5</v>
      </c>
      <c r="B3295" t="s">
        <v>289</v>
      </c>
      <c r="C3295" t="s">
        <v>2849</v>
      </c>
      <c r="D3295" t="s">
        <v>2252</v>
      </c>
      <c r="E3295" cm="1">
        <f t="array" ref="E3295">_xlfn.XLOOKUP(D3295,SKU_Master!A:A,SKU_Master!B:B,"Not on master")</f>
        <v>0</v>
      </c>
      <c r="F3295" cm="1">
        <f t="array" ref="F3295">_xlfn.XLOOKUP(C3295,Account_Master!A:A,Account_Master!B:B,"Not on master")</f>
        <v>0</v>
      </c>
      <c r="G3295" cm="1">
        <f t="array" ref="G3295">_xlfn.XLOOKUP(C3295,Account_Master!A:A,Account_Master!C:C,"Not on master")</f>
        <v>0</v>
      </c>
      <c r="H3295" s="6">
        <v>2.24</v>
      </c>
      <c r="I3295" s="6">
        <v>2.24</v>
      </c>
      <c r="J3295" s="6">
        <f>I3295-H3295</f>
        <v>0</v>
      </c>
      <c r="K3295" s="5">
        <f>IF(H3295=0,"",J3295/H3295)</f>
        <v>0</v>
      </c>
      <c r="L3295">
        <f>IF(OR(AND(H3295=0,ABS(J3295)&gt;=0.01),AND(H3295&lt;&gt;0,ABS(K3295)&gt;VarianceThreshold)),"Review","OK")</f>
        <v>0</v>
      </c>
      <c r="M3295" t="s">
        <v>33</v>
      </c>
    </row>
    <row r="3296" spans="1:13">
      <c r="A3296" t="s">
        <v>5</v>
      </c>
      <c r="B3296" t="s">
        <v>289</v>
      </c>
      <c r="C3296" t="s">
        <v>2817</v>
      </c>
      <c r="D3296" t="s">
        <v>1376</v>
      </c>
      <c r="E3296" cm="1">
        <f t="array" ref="E3296">_xlfn.XLOOKUP(D3296,SKU_Master!A:A,SKU_Master!B:B,"Not on master")</f>
        <v>0</v>
      </c>
      <c r="F3296" cm="1">
        <f t="array" ref="F3296">_xlfn.XLOOKUP(C3296,Account_Master!A:A,Account_Master!B:B,"Not on master")</f>
        <v>0</v>
      </c>
      <c r="G3296" cm="1">
        <f t="array" ref="G3296">_xlfn.XLOOKUP(C3296,Account_Master!A:A,Account_Master!C:C,"Not on master")</f>
        <v>0</v>
      </c>
      <c r="H3296" s="6">
        <v>10.5</v>
      </c>
      <c r="I3296" s="6">
        <v>10.5</v>
      </c>
      <c r="J3296" s="6">
        <f>I3296-H3296</f>
        <v>0</v>
      </c>
      <c r="K3296" s="5">
        <f>IF(H3296=0,"",J3296/H3296)</f>
        <v>0</v>
      </c>
      <c r="L3296">
        <f>IF(OR(AND(H3296=0,ABS(J3296)&gt;=0.01),AND(H3296&lt;&gt;0,ABS(K3296)&gt;VarianceThreshold)),"Review","OK")</f>
        <v>0</v>
      </c>
      <c r="M3296" t="s">
        <v>33</v>
      </c>
    </row>
    <row r="3297" spans="1:13">
      <c r="A3297" t="s">
        <v>5</v>
      </c>
      <c r="B3297" t="s">
        <v>289</v>
      </c>
      <c r="C3297" t="s">
        <v>2836</v>
      </c>
      <c r="D3297" t="s">
        <v>2492</v>
      </c>
      <c r="E3297" cm="1">
        <f t="array" ref="E3297">_xlfn.XLOOKUP(D3297,SKU_Master!A:A,SKU_Master!B:B,"Not on master")</f>
        <v>0</v>
      </c>
      <c r="F3297" cm="1">
        <f t="array" ref="F3297">_xlfn.XLOOKUP(C3297,Account_Master!A:A,Account_Master!B:B,"Not on master")</f>
        <v>0</v>
      </c>
      <c r="G3297" cm="1">
        <f t="array" ref="G3297">_xlfn.XLOOKUP(C3297,Account_Master!A:A,Account_Master!C:C,"Not on master")</f>
        <v>0</v>
      </c>
      <c r="H3297" s="6">
        <v>22.5</v>
      </c>
      <c r="I3297" s="6">
        <v>22.5</v>
      </c>
      <c r="J3297" s="6">
        <f>I3297-H3297</f>
        <v>0</v>
      </c>
      <c r="K3297" s="5">
        <f>IF(H3297=0,"",J3297/H3297)</f>
        <v>0</v>
      </c>
      <c r="L3297">
        <f>IF(OR(AND(H3297=0,ABS(J3297)&gt;=0.01),AND(H3297&lt;&gt;0,ABS(K3297)&gt;VarianceThreshold)),"Review","OK")</f>
        <v>0</v>
      </c>
      <c r="M3297" t="s">
        <v>33</v>
      </c>
    </row>
    <row r="3298" spans="1:13">
      <c r="A3298" t="s">
        <v>5</v>
      </c>
      <c r="B3298" t="s">
        <v>289</v>
      </c>
      <c r="C3298" t="s">
        <v>2756</v>
      </c>
      <c r="D3298" t="s">
        <v>902</v>
      </c>
      <c r="E3298" cm="1">
        <f t="array" ref="E3298">_xlfn.XLOOKUP(D3298,SKU_Master!A:A,SKU_Master!B:B,"Not on master")</f>
        <v>0</v>
      </c>
      <c r="F3298" cm="1">
        <f t="array" ref="F3298">_xlfn.XLOOKUP(C3298,Account_Master!A:A,Account_Master!B:B,"Not on master")</f>
        <v>0</v>
      </c>
      <c r="G3298" cm="1">
        <f t="array" ref="G3298">_xlfn.XLOOKUP(C3298,Account_Master!A:A,Account_Master!C:C,"Not on master")</f>
        <v>0</v>
      </c>
      <c r="H3298" s="6">
        <v>6</v>
      </c>
      <c r="I3298" s="6">
        <v>6</v>
      </c>
      <c r="J3298" s="6">
        <f>I3298-H3298</f>
        <v>0</v>
      </c>
      <c r="K3298" s="5">
        <f>IF(H3298=0,"",J3298/H3298)</f>
        <v>0</v>
      </c>
      <c r="L3298">
        <f>IF(OR(AND(H3298=0,ABS(J3298)&gt;=0.01),AND(H3298&lt;&gt;0,ABS(K3298)&gt;VarianceThreshold)),"Review","OK")</f>
        <v>0</v>
      </c>
      <c r="M3298" t="s">
        <v>33</v>
      </c>
    </row>
    <row r="3299" spans="1:13">
      <c r="A3299" t="s">
        <v>5</v>
      </c>
      <c r="B3299" t="s">
        <v>299</v>
      </c>
      <c r="C3299" t="s">
        <v>2769</v>
      </c>
      <c r="D3299" t="s">
        <v>1114</v>
      </c>
      <c r="E3299" cm="1">
        <f t="array" ref="E3299">_xlfn.XLOOKUP(D3299,SKU_Master!A:A,SKU_Master!B:B,"Not on master")</f>
        <v>0</v>
      </c>
      <c r="F3299" cm="1">
        <f t="array" ref="F3299">_xlfn.XLOOKUP(C3299,Account_Master!A:A,Account_Master!B:B,"Not on master")</f>
        <v>0</v>
      </c>
      <c r="G3299" cm="1">
        <f t="array" ref="G3299">_xlfn.XLOOKUP(C3299,Account_Master!A:A,Account_Master!C:C,"Not on master")</f>
        <v>0</v>
      </c>
      <c r="H3299" s="6">
        <v>187</v>
      </c>
      <c r="I3299" s="6">
        <v>187</v>
      </c>
      <c r="J3299" s="6">
        <f>I3299-H3299</f>
        <v>0</v>
      </c>
      <c r="K3299" s="5">
        <f>IF(H3299=0,"",J3299/H3299)</f>
        <v>0</v>
      </c>
      <c r="L3299">
        <f>IF(OR(AND(H3299=0,ABS(J3299)&gt;=0.01),AND(H3299&lt;&gt;0,ABS(K3299)&gt;VarianceThreshold)),"Review","OK")</f>
        <v>0</v>
      </c>
      <c r="M3299" t="s">
        <v>33</v>
      </c>
    </row>
    <row r="3300" spans="1:13">
      <c r="A3300" t="s">
        <v>5</v>
      </c>
      <c r="B3300" t="s">
        <v>299</v>
      </c>
      <c r="C3300" t="s">
        <v>2750</v>
      </c>
      <c r="D3300" t="s">
        <v>1991</v>
      </c>
      <c r="E3300" cm="1">
        <f t="array" ref="E3300">_xlfn.XLOOKUP(D3300,SKU_Master!A:A,SKU_Master!B:B,"Not on master")</f>
        <v>0</v>
      </c>
      <c r="F3300" cm="1">
        <f t="array" ref="F3300">_xlfn.XLOOKUP(C3300,Account_Master!A:A,Account_Master!B:B,"Not on master")</f>
        <v>0</v>
      </c>
      <c r="G3300" cm="1">
        <f t="array" ref="G3300">_xlfn.XLOOKUP(C3300,Account_Master!A:A,Account_Master!C:C,"Not on master")</f>
        <v>0</v>
      </c>
      <c r="H3300" s="6">
        <v>10.5</v>
      </c>
      <c r="I3300" s="6">
        <v>10.5</v>
      </c>
      <c r="J3300" s="6">
        <f>I3300-H3300</f>
        <v>0</v>
      </c>
      <c r="K3300" s="5">
        <f>IF(H3300=0,"",J3300/H3300)</f>
        <v>0</v>
      </c>
      <c r="L3300">
        <f>IF(OR(AND(H3300=0,ABS(J3300)&gt;=0.01),AND(H3300&lt;&gt;0,ABS(K3300)&gt;VarianceThreshold)),"Review","OK")</f>
        <v>0</v>
      </c>
      <c r="M3300" t="s">
        <v>33</v>
      </c>
    </row>
    <row r="3301" spans="1:13">
      <c r="A3301" t="s">
        <v>5</v>
      </c>
      <c r="B3301" t="s">
        <v>299</v>
      </c>
      <c r="C3301" t="s">
        <v>2850</v>
      </c>
      <c r="D3301" t="s">
        <v>710</v>
      </c>
      <c r="E3301" cm="1">
        <f t="array" ref="E3301">_xlfn.XLOOKUP(D3301,SKU_Master!A:A,SKU_Master!B:B,"Not on master")</f>
        <v>0</v>
      </c>
      <c r="F3301" cm="1">
        <f t="array" ref="F3301">_xlfn.XLOOKUP(C3301,Account_Master!A:A,Account_Master!B:B,"Not on master")</f>
        <v>0</v>
      </c>
      <c r="G3301" cm="1">
        <f t="array" ref="G3301">_xlfn.XLOOKUP(C3301,Account_Master!A:A,Account_Master!C:C,"Not on master")</f>
        <v>0</v>
      </c>
      <c r="H3301" s="6">
        <v>24.5</v>
      </c>
      <c r="I3301" s="6">
        <v>24.5</v>
      </c>
      <c r="J3301" s="6">
        <f>I3301-H3301</f>
        <v>0</v>
      </c>
      <c r="K3301" s="5">
        <f>IF(H3301=0,"",J3301/H3301)</f>
        <v>0</v>
      </c>
      <c r="L3301">
        <f>IF(OR(AND(H3301=0,ABS(J3301)&gt;=0.01),AND(H3301&lt;&gt;0,ABS(K3301)&gt;VarianceThreshold)),"Review","OK")</f>
        <v>0</v>
      </c>
      <c r="M3301" t="s">
        <v>33</v>
      </c>
    </row>
    <row r="3302" spans="1:13">
      <c r="A3302" t="s">
        <v>5</v>
      </c>
      <c r="B3302" t="s">
        <v>299</v>
      </c>
      <c r="C3302" t="s">
        <v>2765</v>
      </c>
      <c r="D3302" t="s">
        <v>2851</v>
      </c>
      <c r="E3302" cm="1">
        <f t="array" ref="E3302">_xlfn.XLOOKUP(D3302,SKU_Master!A:A,SKU_Master!B:B,"Not on master")</f>
        <v>0</v>
      </c>
      <c r="F3302" cm="1">
        <f t="array" ref="F3302">_xlfn.XLOOKUP(C3302,Account_Master!A:A,Account_Master!B:B,"Not on master")</f>
        <v>0</v>
      </c>
      <c r="G3302" cm="1">
        <f t="array" ref="G3302">_xlfn.XLOOKUP(C3302,Account_Master!A:A,Account_Master!C:C,"Not on master")</f>
        <v>0</v>
      </c>
      <c r="H3302" s="6">
        <v>10.5</v>
      </c>
      <c r="I3302" s="6">
        <v>10.5</v>
      </c>
      <c r="J3302" s="6">
        <f>I3302-H3302</f>
        <v>0</v>
      </c>
      <c r="K3302" s="5">
        <f>IF(H3302=0,"",J3302/H3302)</f>
        <v>0</v>
      </c>
      <c r="L3302">
        <f>IF(OR(AND(H3302=0,ABS(J3302)&gt;=0.01),AND(H3302&lt;&gt;0,ABS(K3302)&gt;VarianceThreshold)),"Review","OK")</f>
        <v>0</v>
      </c>
      <c r="M3302" t="s">
        <v>33</v>
      </c>
    </row>
    <row r="3303" spans="1:13">
      <c r="A3303" t="s">
        <v>5</v>
      </c>
      <c r="B3303" t="s">
        <v>299</v>
      </c>
      <c r="C3303" t="s">
        <v>2850</v>
      </c>
      <c r="D3303" t="s">
        <v>1364</v>
      </c>
      <c r="E3303" cm="1">
        <f t="array" ref="E3303">_xlfn.XLOOKUP(D3303,SKU_Master!A:A,SKU_Master!B:B,"Not on master")</f>
        <v>0</v>
      </c>
      <c r="F3303" cm="1">
        <f t="array" ref="F3303">_xlfn.XLOOKUP(C3303,Account_Master!A:A,Account_Master!B:B,"Not on master")</f>
        <v>0</v>
      </c>
      <c r="G3303" cm="1">
        <f t="array" ref="G3303">_xlfn.XLOOKUP(C3303,Account_Master!A:A,Account_Master!C:C,"Not on master")</f>
        <v>0</v>
      </c>
      <c r="H3303" s="6">
        <v>10.5</v>
      </c>
      <c r="I3303" s="6">
        <v>10.5</v>
      </c>
      <c r="J3303" s="6">
        <f>I3303-H3303</f>
        <v>0</v>
      </c>
      <c r="K3303" s="5">
        <f>IF(H3303=0,"",J3303/H3303)</f>
        <v>0</v>
      </c>
      <c r="L3303">
        <f>IF(OR(AND(H3303=0,ABS(J3303)&gt;=0.01),AND(H3303&lt;&gt;0,ABS(K3303)&gt;VarianceThreshold)),"Review","OK")</f>
        <v>0</v>
      </c>
      <c r="M3303" t="s">
        <v>33</v>
      </c>
    </row>
    <row r="3304" spans="1:13">
      <c r="A3304" t="s">
        <v>5</v>
      </c>
      <c r="B3304" t="s">
        <v>299</v>
      </c>
      <c r="C3304" t="s">
        <v>2778</v>
      </c>
      <c r="D3304" t="s">
        <v>2852</v>
      </c>
      <c r="E3304" cm="1">
        <f t="array" ref="E3304">_xlfn.XLOOKUP(D3304,SKU_Master!A:A,SKU_Master!B:B,"Not on master")</f>
        <v>0</v>
      </c>
      <c r="F3304" cm="1">
        <f t="array" ref="F3304">_xlfn.XLOOKUP(C3304,Account_Master!A:A,Account_Master!B:B,"Not on master")</f>
        <v>0</v>
      </c>
      <c r="G3304" cm="1">
        <f t="array" ref="G3304">_xlfn.XLOOKUP(C3304,Account_Master!A:A,Account_Master!C:C,"Not on master")</f>
        <v>0</v>
      </c>
      <c r="H3304" s="6">
        <v>0.05</v>
      </c>
      <c r="I3304" s="6">
        <v>0.05</v>
      </c>
      <c r="J3304" s="6">
        <f>I3304-H3304</f>
        <v>0</v>
      </c>
      <c r="K3304" s="5">
        <f>IF(H3304=0,"",J3304/H3304)</f>
        <v>0</v>
      </c>
      <c r="L3304">
        <f>IF(OR(AND(H3304=0,ABS(J3304)&gt;=0.01),AND(H3304&lt;&gt;0,ABS(K3304)&gt;VarianceThreshold)),"Review","OK")</f>
        <v>0</v>
      </c>
      <c r="M3304" t="s">
        <v>33</v>
      </c>
    </row>
    <row r="3305" spans="1:13">
      <c r="A3305" t="s">
        <v>5</v>
      </c>
      <c r="B3305" t="s">
        <v>306</v>
      </c>
      <c r="C3305" t="s">
        <v>2769</v>
      </c>
      <c r="D3305" t="s">
        <v>541</v>
      </c>
      <c r="E3305" cm="1">
        <f t="array" ref="E3305">_xlfn.XLOOKUP(D3305,SKU_Master!A:A,SKU_Master!B:B,"Not on master")</f>
        <v>0</v>
      </c>
      <c r="F3305" cm="1">
        <f t="array" ref="F3305">_xlfn.XLOOKUP(C3305,Account_Master!A:A,Account_Master!B:B,"Not on master")</f>
        <v>0</v>
      </c>
      <c r="G3305" cm="1">
        <f t="array" ref="G3305">_xlfn.XLOOKUP(C3305,Account_Master!A:A,Account_Master!C:C,"Not on master")</f>
        <v>0</v>
      </c>
      <c r="H3305" s="6">
        <v>272</v>
      </c>
      <c r="I3305" s="6">
        <v>272</v>
      </c>
      <c r="J3305" s="6">
        <f>I3305-H3305</f>
        <v>0</v>
      </c>
      <c r="K3305" s="5">
        <f>IF(H3305=0,"",J3305/H3305)</f>
        <v>0</v>
      </c>
      <c r="L3305">
        <f>IF(OR(AND(H3305=0,ABS(J3305)&gt;=0.01),AND(H3305&lt;&gt;0,ABS(K3305)&gt;VarianceThreshold)),"Review","OK")</f>
        <v>0</v>
      </c>
      <c r="M3305" t="s">
        <v>33</v>
      </c>
    </row>
    <row r="3306" spans="1:13">
      <c r="A3306" t="s">
        <v>5</v>
      </c>
      <c r="B3306" t="s">
        <v>306</v>
      </c>
      <c r="C3306" t="s">
        <v>2853</v>
      </c>
      <c r="D3306" t="s">
        <v>2617</v>
      </c>
      <c r="E3306" cm="1">
        <f t="array" ref="E3306">_xlfn.XLOOKUP(D3306,SKU_Master!A:A,SKU_Master!B:B,"Not on master")</f>
        <v>0</v>
      </c>
      <c r="F3306" cm="1">
        <f t="array" ref="F3306">_xlfn.XLOOKUP(C3306,Account_Master!A:A,Account_Master!B:B,"Not on master")</f>
        <v>0</v>
      </c>
      <c r="G3306" cm="1">
        <f t="array" ref="G3306">_xlfn.XLOOKUP(C3306,Account_Master!A:A,Account_Master!C:C,"Not on master")</f>
        <v>0</v>
      </c>
      <c r="H3306" s="6">
        <v>0.75</v>
      </c>
      <c r="I3306" s="6">
        <v>0.75</v>
      </c>
      <c r="J3306" s="6">
        <f>I3306-H3306</f>
        <v>0</v>
      </c>
      <c r="K3306" s="5">
        <f>IF(H3306=0,"",J3306/H3306)</f>
        <v>0</v>
      </c>
      <c r="L3306">
        <f>IF(OR(AND(H3306=0,ABS(J3306)&gt;=0.01),AND(H3306&lt;&gt;0,ABS(K3306)&gt;VarianceThreshold)),"Review","OK")</f>
        <v>0</v>
      </c>
      <c r="M3306" t="s">
        <v>33</v>
      </c>
    </row>
    <row r="3307" spans="1:13">
      <c r="A3307" t="s">
        <v>5</v>
      </c>
      <c r="B3307" t="s">
        <v>306</v>
      </c>
      <c r="C3307" t="s">
        <v>2785</v>
      </c>
      <c r="D3307" t="s">
        <v>2854</v>
      </c>
      <c r="E3307" cm="1">
        <f t="array" ref="E3307">_xlfn.XLOOKUP(D3307,SKU_Master!A:A,SKU_Master!B:B,"Not on master")</f>
        <v>0</v>
      </c>
      <c r="F3307" cm="1">
        <f t="array" ref="F3307">_xlfn.XLOOKUP(C3307,Account_Master!A:A,Account_Master!B:B,"Not on master")</f>
        <v>0</v>
      </c>
      <c r="G3307" cm="1">
        <f t="array" ref="G3307">_xlfn.XLOOKUP(C3307,Account_Master!A:A,Account_Master!C:C,"Not on master")</f>
        <v>0</v>
      </c>
      <c r="H3307" s="6">
        <v>0.02</v>
      </c>
      <c r="I3307" s="6">
        <v>0.02</v>
      </c>
      <c r="J3307" s="6">
        <f>I3307-H3307</f>
        <v>0</v>
      </c>
      <c r="K3307" s="5">
        <f>IF(H3307=0,"",J3307/H3307)</f>
        <v>0</v>
      </c>
      <c r="L3307">
        <f>IF(OR(AND(H3307=0,ABS(J3307)&gt;=0.01),AND(H3307&lt;&gt;0,ABS(K3307)&gt;VarianceThreshold)),"Review","OK")</f>
        <v>0</v>
      </c>
      <c r="M3307" t="s">
        <v>33</v>
      </c>
    </row>
    <row r="3308" spans="1:13">
      <c r="A3308" t="s">
        <v>5</v>
      </c>
      <c r="B3308" t="s">
        <v>306</v>
      </c>
      <c r="C3308" t="s">
        <v>2769</v>
      </c>
      <c r="D3308" t="s">
        <v>888</v>
      </c>
      <c r="E3308" cm="1">
        <f t="array" ref="E3308">_xlfn.XLOOKUP(D3308,SKU_Master!A:A,SKU_Master!B:B,"Not on master")</f>
        <v>0</v>
      </c>
      <c r="F3308" cm="1">
        <f t="array" ref="F3308">_xlfn.XLOOKUP(C3308,Account_Master!A:A,Account_Master!B:B,"Not on master")</f>
        <v>0</v>
      </c>
      <c r="G3308" cm="1">
        <f t="array" ref="G3308">_xlfn.XLOOKUP(C3308,Account_Master!A:A,Account_Master!C:C,"Not on master")</f>
        <v>0</v>
      </c>
      <c r="H3308" s="6">
        <v>31.5</v>
      </c>
      <c r="I3308" s="6">
        <v>31.5</v>
      </c>
      <c r="J3308" s="6">
        <f>I3308-H3308</f>
        <v>0</v>
      </c>
      <c r="K3308" s="5">
        <f>IF(H3308=0,"",J3308/H3308)</f>
        <v>0</v>
      </c>
      <c r="L3308">
        <f>IF(OR(AND(H3308=0,ABS(J3308)&gt;=0.01),AND(H3308&lt;&gt;0,ABS(K3308)&gt;VarianceThreshold)),"Review","OK")</f>
        <v>0</v>
      </c>
      <c r="M3308" t="s">
        <v>33</v>
      </c>
    </row>
    <row r="3309" spans="1:13">
      <c r="A3309" t="s">
        <v>5</v>
      </c>
      <c r="B3309" t="s">
        <v>306</v>
      </c>
      <c r="C3309" t="s">
        <v>2855</v>
      </c>
      <c r="D3309" t="s">
        <v>2638</v>
      </c>
      <c r="E3309" cm="1">
        <f t="array" ref="E3309">_xlfn.XLOOKUP(D3309,SKU_Master!A:A,SKU_Master!B:B,"Not on master")</f>
        <v>0</v>
      </c>
      <c r="F3309" cm="1">
        <f t="array" ref="F3309">_xlfn.XLOOKUP(C3309,Account_Master!A:A,Account_Master!B:B,"Not on master")</f>
        <v>0</v>
      </c>
      <c r="G3309" cm="1">
        <f t="array" ref="G3309">_xlfn.XLOOKUP(C3309,Account_Master!A:A,Account_Master!C:C,"Not on master")</f>
        <v>0</v>
      </c>
      <c r="H3309" s="6">
        <v>1.95</v>
      </c>
      <c r="I3309" s="6">
        <v>1.95</v>
      </c>
      <c r="J3309" s="6">
        <f>I3309-H3309</f>
        <v>0</v>
      </c>
      <c r="K3309" s="5">
        <f>IF(H3309=0,"",J3309/H3309)</f>
        <v>0</v>
      </c>
      <c r="L3309">
        <f>IF(OR(AND(H3309=0,ABS(J3309)&gt;=0.01),AND(H3309&lt;&gt;0,ABS(K3309)&gt;VarianceThreshold)),"Review","OK")</f>
        <v>0</v>
      </c>
      <c r="M3309" t="s">
        <v>33</v>
      </c>
    </row>
    <row r="3310" spans="1:13">
      <c r="A3310" t="s">
        <v>5</v>
      </c>
      <c r="B3310" t="s">
        <v>313</v>
      </c>
      <c r="C3310" t="s">
        <v>2769</v>
      </c>
      <c r="D3310" t="s">
        <v>2290</v>
      </c>
      <c r="E3310" cm="1">
        <f t="array" ref="E3310">_xlfn.XLOOKUP(D3310,SKU_Master!A:A,SKU_Master!B:B,"Not on master")</f>
        <v>0</v>
      </c>
      <c r="F3310" cm="1">
        <f t="array" ref="F3310">_xlfn.XLOOKUP(C3310,Account_Master!A:A,Account_Master!B:B,"Not on master")</f>
        <v>0</v>
      </c>
      <c r="G3310" cm="1">
        <f t="array" ref="G3310">_xlfn.XLOOKUP(C3310,Account_Master!A:A,Account_Master!C:C,"Not on master")</f>
        <v>0</v>
      </c>
      <c r="H3310" s="6">
        <v>159</v>
      </c>
      <c r="I3310" s="6">
        <v>159</v>
      </c>
      <c r="J3310" s="6">
        <f>I3310-H3310</f>
        <v>0</v>
      </c>
      <c r="K3310" s="5">
        <f>IF(H3310=0,"",J3310/H3310)</f>
        <v>0</v>
      </c>
      <c r="L3310">
        <f>IF(OR(AND(H3310=0,ABS(J3310)&gt;=0.01),AND(H3310&lt;&gt;0,ABS(K3310)&gt;VarianceThreshold)),"Review","OK")</f>
        <v>0</v>
      </c>
      <c r="M3310" t="s">
        <v>33</v>
      </c>
    </row>
    <row r="3311" spans="1:13">
      <c r="A3311" t="s">
        <v>5</v>
      </c>
      <c r="B3311" t="s">
        <v>313</v>
      </c>
      <c r="C3311" t="s">
        <v>2856</v>
      </c>
      <c r="D3311" t="s">
        <v>2538</v>
      </c>
      <c r="E3311" cm="1">
        <f t="array" ref="E3311">_xlfn.XLOOKUP(D3311,SKU_Master!A:A,SKU_Master!B:B,"Not on master")</f>
        <v>0</v>
      </c>
      <c r="F3311" cm="1">
        <f t="array" ref="F3311">_xlfn.XLOOKUP(C3311,Account_Master!A:A,Account_Master!B:B,"Not on master")</f>
        <v>0</v>
      </c>
      <c r="G3311" cm="1">
        <f t="array" ref="G3311">_xlfn.XLOOKUP(C3311,Account_Master!A:A,Account_Master!C:C,"Not on master")</f>
        <v>0</v>
      </c>
      <c r="H3311" s="6">
        <v>0.75</v>
      </c>
      <c r="I3311" s="6">
        <v>0.75</v>
      </c>
      <c r="J3311" s="6">
        <f>I3311-H3311</f>
        <v>0</v>
      </c>
      <c r="K3311" s="5">
        <f>IF(H3311=0,"",J3311/H3311)</f>
        <v>0</v>
      </c>
      <c r="L3311">
        <f>IF(OR(AND(H3311=0,ABS(J3311)&gt;=0.01),AND(H3311&lt;&gt;0,ABS(K3311)&gt;VarianceThreshold)),"Review","OK")</f>
        <v>0</v>
      </c>
      <c r="M3311" t="s">
        <v>33</v>
      </c>
    </row>
    <row r="3312" spans="1:13">
      <c r="A3312" t="s">
        <v>5</v>
      </c>
      <c r="B3312" t="s">
        <v>313</v>
      </c>
      <c r="C3312" t="s">
        <v>2846</v>
      </c>
      <c r="D3312" t="s">
        <v>2716</v>
      </c>
      <c r="E3312" cm="1">
        <f t="array" ref="E3312">_xlfn.XLOOKUP(D3312,SKU_Master!A:A,SKU_Master!B:B,"Not on master")</f>
        <v>0</v>
      </c>
      <c r="F3312" cm="1">
        <f t="array" ref="F3312">_xlfn.XLOOKUP(C3312,Account_Master!A:A,Account_Master!B:B,"Not on master")</f>
        <v>0</v>
      </c>
      <c r="G3312" cm="1">
        <f t="array" ref="G3312">_xlfn.XLOOKUP(C3312,Account_Master!A:A,Account_Master!C:C,"Not on master")</f>
        <v>0</v>
      </c>
      <c r="H3312" s="6">
        <v>10.5</v>
      </c>
      <c r="I3312" s="6">
        <v>10.5</v>
      </c>
      <c r="J3312" s="6">
        <f>I3312-H3312</f>
        <v>0</v>
      </c>
      <c r="K3312" s="5">
        <f>IF(H3312=0,"",J3312/H3312)</f>
        <v>0</v>
      </c>
      <c r="L3312">
        <f>IF(OR(AND(H3312=0,ABS(J3312)&gt;=0.01),AND(H3312&lt;&gt;0,ABS(K3312)&gt;VarianceThreshold)),"Review","OK")</f>
        <v>0</v>
      </c>
      <c r="M3312" t="s">
        <v>33</v>
      </c>
    </row>
    <row r="3313" spans="1:13">
      <c r="A3313" t="s">
        <v>5</v>
      </c>
      <c r="B3313" t="s">
        <v>313</v>
      </c>
      <c r="C3313" t="s">
        <v>2775</v>
      </c>
      <c r="D3313" t="s">
        <v>483</v>
      </c>
      <c r="E3313" cm="1">
        <f t="array" ref="E3313">_xlfn.XLOOKUP(D3313,SKU_Master!A:A,SKU_Master!B:B,"Not on master")</f>
        <v>0</v>
      </c>
      <c r="F3313" cm="1">
        <f t="array" ref="F3313">_xlfn.XLOOKUP(C3313,Account_Master!A:A,Account_Master!B:B,"Not on master")</f>
        <v>0</v>
      </c>
      <c r="G3313" cm="1">
        <f t="array" ref="G3313">_xlfn.XLOOKUP(C3313,Account_Master!A:A,Account_Master!C:C,"Not on master")</f>
        <v>0</v>
      </c>
      <c r="H3313" s="6">
        <v>5.25</v>
      </c>
      <c r="I3313" s="6">
        <v>5.25</v>
      </c>
      <c r="J3313" s="6">
        <f>I3313-H3313</f>
        <v>0</v>
      </c>
      <c r="K3313" s="5">
        <f>IF(H3313=0,"",J3313/H3313)</f>
        <v>0</v>
      </c>
      <c r="L3313">
        <f>IF(OR(AND(H3313=0,ABS(J3313)&gt;=0.01),AND(H3313&lt;&gt;0,ABS(K3313)&gt;VarianceThreshold)),"Review","OK")</f>
        <v>0</v>
      </c>
      <c r="M3313" t="s">
        <v>33</v>
      </c>
    </row>
    <row r="3314" spans="1:13">
      <c r="A3314" t="s">
        <v>5</v>
      </c>
      <c r="B3314" t="s">
        <v>313</v>
      </c>
      <c r="C3314" t="s">
        <v>2778</v>
      </c>
      <c r="D3314" t="s">
        <v>2016</v>
      </c>
      <c r="E3314" cm="1">
        <f t="array" ref="E3314">_xlfn.XLOOKUP(D3314,SKU_Master!A:A,SKU_Master!B:B,"Not on master")</f>
        <v>0</v>
      </c>
      <c r="F3314" cm="1">
        <f t="array" ref="F3314">_xlfn.XLOOKUP(C3314,Account_Master!A:A,Account_Master!B:B,"Not on master")</f>
        <v>0</v>
      </c>
      <c r="G3314" cm="1">
        <f t="array" ref="G3314">_xlfn.XLOOKUP(C3314,Account_Master!A:A,Account_Master!C:C,"Not on master")</f>
        <v>0</v>
      </c>
      <c r="H3314" s="6">
        <v>9</v>
      </c>
      <c r="I3314" s="6">
        <v>9</v>
      </c>
      <c r="J3314" s="6">
        <f>I3314-H3314</f>
        <v>0</v>
      </c>
      <c r="K3314" s="5">
        <f>IF(H3314=0,"",J3314/H3314)</f>
        <v>0</v>
      </c>
      <c r="L3314">
        <f>IF(OR(AND(H3314=0,ABS(J3314)&gt;=0.01),AND(H3314&lt;&gt;0,ABS(K3314)&gt;VarianceThreshold)),"Review","OK")</f>
        <v>0</v>
      </c>
      <c r="M3314" t="s">
        <v>33</v>
      </c>
    </row>
    <row r="3315" spans="1:13">
      <c r="A3315" t="s">
        <v>5</v>
      </c>
      <c r="B3315" t="s">
        <v>313</v>
      </c>
      <c r="C3315" t="s">
        <v>2778</v>
      </c>
      <c r="D3315" t="s">
        <v>441</v>
      </c>
      <c r="E3315" cm="1">
        <f t="array" ref="E3315">_xlfn.XLOOKUP(D3315,SKU_Master!A:A,SKU_Master!B:B,"Not on master")</f>
        <v>0</v>
      </c>
      <c r="F3315" cm="1">
        <f t="array" ref="F3315">_xlfn.XLOOKUP(C3315,Account_Master!A:A,Account_Master!B:B,"Not on master")</f>
        <v>0</v>
      </c>
      <c r="G3315" cm="1">
        <f t="array" ref="G3315">_xlfn.XLOOKUP(C3315,Account_Master!A:A,Account_Master!C:C,"Not on master")</f>
        <v>0</v>
      </c>
      <c r="H3315" s="6">
        <v>6</v>
      </c>
      <c r="I3315" s="6">
        <v>6</v>
      </c>
      <c r="J3315" s="6">
        <f>I3315-H3315</f>
        <v>0</v>
      </c>
      <c r="K3315" s="5">
        <f>IF(H3315=0,"",J3315/H3315)</f>
        <v>0</v>
      </c>
      <c r="L3315">
        <f>IF(OR(AND(H3315=0,ABS(J3315)&gt;=0.01),AND(H3315&lt;&gt;0,ABS(K3315)&gt;VarianceThreshold)),"Review","OK")</f>
        <v>0</v>
      </c>
      <c r="M3315" t="s">
        <v>33</v>
      </c>
    </row>
    <row r="3316" spans="1:13">
      <c r="A3316" t="s">
        <v>5</v>
      </c>
      <c r="B3316" t="s">
        <v>313</v>
      </c>
      <c r="C3316" t="s">
        <v>2769</v>
      </c>
      <c r="D3316" t="s">
        <v>1060</v>
      </c>
      <c r="E3316" cm="1">
        <f t="array" ref="E3316">_xlfn.XLOOKUP(D3316,SKU_Master!A:A,SKU_Master!B:B,"Not on master")</f>
        <v>0</v>
      </c>
      <c r="F3316" cm="1">
        <f t="array" ref="F3316">_xlfn.XLOOKUP(C3316,Account_Master!A:A,Account_Master!B:B,"Not on master")</f>
        <v>0</v>
      </c>
      <c r="G3316" cm="1">
        <f t="array" ref="G3316">_xlfn.XLOOKUP(C3316,Account_Master!A:A,Account_Master!C:C,"Not on master")</f>
        <v>0</v>
      </c>
      <c r="H3316" s="6">
        <v>48</v>
      </c>
      <c r="I3316" s="6">
        <v>48</v>
      </c>
      <c r="J3316" s="6">
        <f>I3316-H3316</f>
        <v>0</v>
      </c>
      <c r="K3316" s="5">
        <f>IF(H3316=0,"",J3316/H3316)</f>
        <v>0</v>
      </c>
      <c r="L3316">
        <f>IF(OR(AND(H3316=0,ABS(J3316)&gt;=0.01),AND(H3316&lt;&gt;0,ABS(K3316)&gt;VarianceThreshold)),"Review","OK")</f>
        <v>0</v>
      </c>
      <c r="M3316" t="s">
        <v>33</v>
      </c>
    </row>
    <row r="3317" spans="1:13">
      <c r="A3317" t="s">
        <v>5</v>
      </c>
      <c r="B3317" t="s">
        <v>324</v>
      </c>
      <c r="C3317" t="s">
        <v>2849</v>
      </c>
      <c r="D3317" t="s">
        <v>2857</v>
      </c>
      <c r="E3317" cm="1">
        <f t="array" ref="E3317">_xlfn.XLOOKUP(D3317,SKU_Master!A:A,SKU_Master!B:B,"Not on master")</f>
        <v>0</v>
      </c>
      <c r="F3317" cm="1">
        <f t="array" ref="F3317">_xlfn.XLOOKUP(C3317,Account_Master!A:A,Account_Master!B:B,"Not on master")</f>
        <v>0</v>
      </c>
      <c r="G3317" cm="1">
        <f t="array" ref="G3317">_xlfn.XLOOKUP(C3317,Account_Master!A:A,Account_Master!C:C,"Not on master")</f>
        <v>0</v>
      </c>
      <c r="H3317" s="6">
        <v>3</v>
      </c>
      <c r="I3317" s="6">
        <v>3</v>
      </c>
      <c r="J3317" s="6">
        <f>I3317-H3317</f>
        <v>0</v>
      </c>
      <c r="K3317" s="5">
        <f>IF(H3317=0,"",J3317/H3317)</f>
        <v>0</v>
      </c>
      <c r="L3317">
        <f>IF(OR(AND(H3317=0,ABS(J3317)&gt;=0.01),AND(H3317&lt;&gt;0,ABS(K3317)&gt;VarianceThreshold)),"Review","OK")</f>
        <v>0</v>
      </c>
      <c r="M3317" t="s">
        <v>33</v>
      </c>
    </row>
    <row r="3318" spans="1:13">
      <c r="A3318" t="s">
        <v>5</v>
      </c>
      <c r="B3318" t="s">
        <v>324</v>
      </c>
      <c r="C3318" t="s">
        <v>2750</v>
      </c>
      <c r="D3318" t="s">
        <v>420</v>
      </c>
      <c r="E3318" cm="1">
        <f t="array" ref="E3318">_xlfn.XLOOKUP(D3318,SKU_Master!A:A,SKU_Master!B:B,"Not on master")</f>
        <v>0</v>
      </c>
      <c r="F3318" cm="1">
        <f t="array" ref="F3318">_xlfn.XLOOKUP(C3318,Account_Master!A:A,Account_Master!B:B,"Not on master")</f>
        <v>0</v>
      </c>
      <c r="G3318" cm="1">
        <f t="array" ref="G3318">_xlfn.XLOOKUP(C3318,Account_Master!A:A,Account_Master!C:C,"Not on master")</f>
        <v>0</v>
      </c>
      <c r="H3318" s="6">
        <v>31.5</v>
      </c>
      <c r="I3318" s="6">
        <v>31.5</v>
      </c>
      <c r="J3318" s="6">
        <f>I3318-H3318</f>
        <v>0</v>
      </c>
      <c r="K3318" s="5">
        <f>IF(H3318=0,"",J3318/H3318)</f>
        <v>0</v>
      </c>
      <c r="L3318">
        <f>IF(OR(AND(H3318=0,ABS(J3318)&gt;=0.01),AND(H3318&lt;&gt;0,ABS(K3318)&gt;VarianceThreshold)),"Review","OK")</f>
        <v>0</v>
      </c>
      <c r="M3318" t="s">
        <v>33</v>
      </c>
    </row>
    <row r="3319" spans="1:13">
      <c r="A3319" t="s">
        <v>5</v>
      </c>
      <c r="B3319" t="s">
        <v>324</v>
      </c>
      <c r="C3319" t="s">
        <v>2858</v>
      </c>
      <c r="D3319" t="s">
        <v>2859</v>
      </c>
      <c r="E3319" cm="1">
        <f t="array" ref="E3319">_xlfn.XLOOKUP(D3319,SKU_Master!A:A,SKU_Master!B:B,"Not on master")</f>
        <v>0</v>
      </c>
      <c r="F3319" cm="1">
        <f t="array" ref="F3319">_xlfn.XLOOKUP(C3319,Account_Master!A:A,Account_Master!B:B,"Not on master")</f>
        <v>0</v>
      </c>
      <c r="G3319" cm="1">
        <f t="array" ref="G3319">_xlfn.XLOOKUP(C3319,Account_Master!A:A,Account_Master!C:C,"Not on master")</f>
        <v>0</v>
      </c>
      <c r="H3319" s="6">
        <v>0.75</v>
      </c>
      <c r="I3319" s="6">
        <v>0.75</v>
      </c>
      <c r="J3319" s="6">
        <f>I3319-H3319</f>
        <v>0</v>
      </c>
      <c r="K3319" s="5">
        <f>IF(H3319=0,"",J3319/H3319)</f>
        <v>0</v>
      </c>
      <c r="L3319">
        <f>IF(OR(AND(H3319=0,ABS(J3319)&gt;=0.01),AND(H3319&lt;&gt;0,ABS(K3319)&gt;VarianceThreshold)),"Review","OK")</f>
        <v>0</v>
      </c>
      <c r="M3319" t="s">
        <v>33</v>
      </c>
    </row>
    <row r="3320" spans="1:13">
      <c r="A3320" t="s">
        <v>5</v>
      </c>
      <c r="B3320" t="s">
        <v>324</v>
      </c>
      <c r="C3320" t="s">
        <v>2752</v>
      </c>
      <c r="D3320" t="s">
        <v>230</v>
      </c>
      <c r="E3320" cm="1">
        <f t="array" ref="E3320">_xlfn.XLOOKUP(D3320,SKU_Master!A:A,SKU_Master!B:B,"Not on master")</f>
        <v>0</v>
      </c>
      <c r="F3320" cm="1">
        <f t="array" ref="F3320">_xlfn.XLOOKUP(C3320,Account_Master!A:A,Account_Master!B:B,"Not on master")</f>
        <v>0</v>
      </c>
      <c r="G3320" cm="1">
        <f t="array" ref="G3320">_xlfn.XLOOKUP(C3320,Account_Master!A:A,Account_Master!C:C,"Not on master")</f>
        <v>0</v>
      </c>
      <c r="H3320" s="6">
        <v>0.7</v>
      </c>
      <c r="I3320" s="6">
        <v>0.7</v>
      </c>
      <c r="J3320" s="6">
        <f>I3320-H3320</f>
        <v>0</v>
      </c>
      <c r="K3320" s="5">
        <f>IF(H3320=0,"",J3320/H3320)</f>
        <v>0</v>
      </c>
      <c r="L3320">
        <f>IF(OR(AND(H3320=0,ABS(J3320)&gt;=0.01),AND(H3320&lt;&gt;0,ABS(K3320)&gt;VarianceThreshold)),"Review","OK")</f>
        <v>0</v>
      </c>
      <c r="M3320" t="s">
        <v>33</v>
      </c>
    </row>
    <row r="3321" spans="1:13">
      <c r="A3321" t="s">
        <v>5</v>
      </c>
      <c r="B3321" t="s">
        <v>324</v>
      </c>
      <c r="C3321" t="s">
        <v>2749</v>
      </c>
      <c r="D3321" t="s">
        <v>68</v>
      </c>
      <c r="E3321" cm="1">
        <f t="array" ref="E3321">_xlfn.XLOOKUP(D3321,SKU_Master!A:A,SKU_Master!B:B,"Not on master")</f>
        <v>0</v>
      </c>
      <c r="F3321" cm="1">
        <f t="array" ref="F3321">_xlfn.XLOOKUP(C3321,Account_Master!A:A,Account_Master!B:B,"Not on master")</f>
        <v>0</v>
      </c>
      <c r="G3321" cm="1">
        <f t="array" ref="G3321">_xlfn.XLOOKUP(C3321,Account_Master!A:A,Account_Master!C:C,"Not on master")</f>
        <v>0</v>
      </c>
      <c r="H3321" s="6">
        <v>9</v>
      </c>
      <c r="I3321" s="6">
        <v>9</v>
      </c>
      <c r="J3321" s="6">
        <f>I3321-H3321</f>
        <v>0</v>
      </c>
      <c r="K3321" s="5">
        <f>IF(H3321=0,"",J3321/H3321)</f>
        <v>0</v>
      </c>
      <c r="L3321">
        <f>IF(OR(AND(H3321=0,ABS(J3321)&gt;=0.01),AND(H3321&lt;&gt;0,ABS(K3321)&gt;VarianceThreshold)),"Review","OK")</f>
        <v>0</v>
      </c>
      <c r="M3321" t="s">
        <v>33</v>
      </c>
    </row>
    <row r="3322" spans="1:13">
      <c r="A3322" t="s">
        <v>5</v>
      </c>
      <c r="B3322" t="s">
        <v>324</v>
      </c>
      <c r="C3322" t="s">
        <v>2860</v>
      </c>
      <c r="D3322" t="s">
        <v>2861</v>
      </c>
      <c r="E3322" cm="1">
        <f t="array" ref="E3322">_xlfn.XLOOKUP(D3322,SKU_Master!A:A,SKU_Master!B:B,"Not on master")</f>
        <v>0</v>
      </c>
      <c r="F3322" cm="1">
        <f t="array" ref="F3322">_xlfn.XLOOKUP(C3322,Account_Master!A:A,Account_Master!B:B,"Not on master")</f>
        <v>0</v>
      </c>
      <c r="G3322" cm="1">
        <f t="array" ref="G3322">_xlfn.XLOOKUP(C3322,Account_Master!A:A,Account_Master!C:C,"Not on master")</f>
        <v>0</v>
      </c>
      <c r="H3322" s="6">
        <v>21.75</v>
      </c>
      <c r="I3322" s="6">
        <v>21.75</v>
      </c>
      <c r="J3322" s="6">
        <f>I3322-H3322</f>
        <v>0</v>
      </c>
      <c r="K3322" s="5">
        <f>IF(H3322=0,"",J3322/H3322)</f>
        <v>0</v>
      </c>
      <c r="L3322">
        <f>IF(OR(AND(H3322=0,ABS(J3322)&gt;=0.01),AND(H3322&lt;&gt;0,ABS(K3322)&gt;VarianceThreshold)),"Review","OK")</f>
        <v>0</v>
      </c>
      <c r="M3322" t="s">
        <v>33</v>
      </c>
    </row>
    <row r="3323" spans="1:13">
      <c r="A3323" t="s">
        <v>5</v>
      </c>
      <c r="B3323" t="s">
        <v>331</v>
      </c>
      <c r="C3323" t="s">
        <v>2769</v>
      </c>
      <c r="D3323" t="s">
        <v>1524</v>
      </c>
      <c r="E3323" cm="1">
        <f t="array" ref="E3323">_xlfn.XLOOKUP(D3323,SKU_Master!A:A,SKU_Master!B:B,"Not on master")</f>
        <v>0</v>
      </c>
      <c r="F3323" cm="1">
        <f t="array" ref="F3323">_xlfn.XLOOKUP(C3323,Account_Master!A:A,Account_Master!B:B,"Not on master")</f>
        <v>0</v>
      </c>
      <c r="G3323" cm="1">
        <f t="array" ref="G3323">_xlfn.XLOOKUP(C3323,Account_Master!A:A,Account_Master!C:C,"Not on master")</f>
        <v>0</v>
      </c>
      <c r="H3323" s="6">
        <v>36</v>
      </c>
      <c r="I3323" s="6">
        <v>36</v>
      </c>
      <c r="J3323" s="6">
        <f>I3323-H3323</f>
        <v>0</v>
      </c>
      <c r="K3323" s="5">
        <f>IF(H3323=0,"",J3323/H3323)</f>
        <v>0</v>
      </c>
      <c r="L3323">
        <f>IF(OR(AND(H3323=0,ABS(J3323)&gt;=0.01),AND(H3323&lt;&gt;0,ABS(K3323)&gt;VarianceThreshold)),"Review","OK")</f>
        <v>0</v>
      </c>
      <c r="M3323" t="s">
        <v>33</v>
      </c>
    </row>
    <row r="3324" spans="1:13">
      <c r="A3324" t="s">
        <v>5</v>
      </c>
      <c r="B3324" t="s">
        <v>331</v>
      </c>
      <c r="C3324" t="s">
        <v>2849</v>
      </c>
      <c r="D3324" t="s">
        <v>737</v>
      </c>
      <c r="E3324" cm="1">
        <f t="array" ref="E3324">_xlfn.XLOOKUP(D3324,SKU_Master!A:A,SKU_Master!B:B,"Not on master")</f>
        <v>0</v>
      </c>
      <c r="F3324" cm="1">
        <f t="array" ref="F3324">_xlfn.XLOOKUP(C3324,Account_Master!A:A,Account_Master!B:B,"Not on master")</f>
        <v>0</v>
      </c>
      <c r="G3324" cm="1">
        <f t="array" ref="G3324">_xlfn.XLOOKUP(C3324,Account_Master!A:A,Account_Master!C:C,"Not on master")</f>
        <v>0</v>
      </c>
      <c r="H3324" s="6">
        <v>682.5</v>
      </c>
      <c r="I3324" s="6">
        <v>682.5</v>
      </c>
      <c r="J3324" s="6">
        <f>I3324-H3324</f>
        <v>0</v>
      </c>
      <c r="K3324" s="5">
        <f>IF(H3324=0,"",J3324/H3324)</f>
        <v>0</v>
      </c>
      <c r="L3324">
        <f>IF(OR(AND(H3324=0,ABS(J3324)&gt;=0.01),AND(H3324&lt;&gt;0,ABS(K3324)&gt;VarianceThreshold)),"Review","OK")</f>
        <v>0</v>
      </c>
      <c r="M3324" t="s">
        <v>33</v>
      </c>
    </row>
    <row r="3325" spans="1:13">
      <c r="A3325" t="s">
        <v>5</v>
      </c>
      <c r="B3325" t="s">
        <v>331</v>
      </c>
      <c r="C3325" t="s">
        <v>2775</v>
      </c>
      <c r="D3325" t="s">
        <v>1607</v>
      </c>
      <c r="E3325" cm="1">
        <f t="array" ref="E3325">_xlfn.XLOOKUP(D3325,SKU_Master!A:A,SKU_Master!B:B,"Not on master")</f>
        <v>0</v>
      </c>
      <c r="F3325" cm="1">
        <f t="array" ref="F3325">_xlfn.XLOOKUP(C3325,Account_Master!A:A,Account_Master!B:B,"Not on master")</f>
        <v>0</v>
      </c>
      <c r="G3325" cm="1">
        <f t="array" ref="G3325">_xlfn.XLOOKUP(C3325,Account_Master!A:A,Account_Master!C:C,"Not on master")</f>
        <v>0</v>
      </c>
      <c r="H3325" s="6">
        <v>0.75</v>
      </c>
      <c r="I3325" s="6">
        <v>0.75</v>
      </c>
      <c r="J3325" s="6">
        <f>I3325-H3325</f>
        <v>0</v>
      </c>
      <c r="K3325" s="5">
        <f>IF(H3325=0,"",J3325/H3325)</f>
        <v>0</v>
      </c>
      <c r="L3325">
        <f>IF(OR(AND(H3325=0,ABS(J3325)&gt;=0.01),AND(H3325&lt;&gt;0,ABS(K3325)&gt;VarianceThreshold)),"Review","OK")</f>
        <v>0</v>
      </c>
      <c r="M3325" t="s">
        <v>33</v>
      </c>
    </row>
    <row r="3326" spans="1:13">
      <c r="A3326" t="s">
        <v>5</v>
      </c>
      <c r="B3326" t="s">
        <v>331</v>
      </c>
      <c r="C3326" t="s">
        <v>2765</v>
      </c>
      <c r="D3326" t="s">
        <v>407</v>
      </c>
      <c r="E3326" cm="1">
        <f t="array" ref="E3326">_xlfn.XLOOKUP(D3326,SKU_Master!A:A,SKU_Master!B:B,"Not on master")</f>
        <v>0</v>
      </c>
      <c r="F3326" cm="1">
        <f t="array" ref="F3326">_xlfn.XLOOKUP(C3326,Account_Master!A:A,Account_Master!B:B,"Not on master")</f>
        <v>0</v>
      </c>
      <c r="G3326" cm="1">
        <f t="array" ref="G3326">_xlfn.XLOOKUP(C3326,Account_Master!A:A,Account_Master!C:C,"Not on master")</f>
        <v>0</v>
      </c>
      <c r="H3326" s="6">
        <v>36</v>
      </c>
      <c r="I3326" s="6">
        <v>36</v>
      </c>
      <c r="J3326" s="6">
        <f>I3326-H3326</f>
        <v>0</v>
      </c>
      <c r="K3326" s="5">
        <f>IF(H3326=0,"",J3326/H3326)</f>
        <v>0</v>
      </c>
      <c r="L3326">
        <f>IF(OR(AND(H3326=0,ABS(J3326)&gt;=0.01),AND(H3326&lt;&gt;0,ABS(K3326)&gt;VarianceThreshold)),"Review","OK")</f>
        <v>0</v>
      </c>
      <c r="M3326" t="s">
        <v>33</v>
      </c>
    </row>
    <row r="3327" spans="1:13">
      <c r="A3327" t="s">
        <v>5</v>
      </c>
      <c r="B3327" t="s">
        <v>331</v>
      </c>
      <c r="C3327" t="s">
        <v>2862</v>
      </c>
      <c r="D3327" t="s">
        <v>1898</v>
      </c>
      <c r="E3327" cm="1">
        <f t="array" ref="E3327">_xlfn.XLOOKUP(D3327,SKU_Master!A:A,SKU_Master!B:B,"Not on master")</f>
        <v>0</v>
      </c>
      <c r="F3327" cm="1">
        <f t="array" ref="F3327">_xlfn.XLOOKUP(C3327,Account_Master!A:A,Account_Master!B:B,"Not on master")</f>
        <v>0</v>
      </c>
      <c r="G3327" cm="1">
        <f t="array" ref="G3327">_xlfn.XLOOKUP(C3327,Account_Master!A:A,Account_Master!C:C,"Not on master")</f>
        <v>0</v>
      </c>
      <c r="H3327" s="6">
        <v>1.5</v>
      </c>
      <c r="I3327" s="6">
        <v>1.5</v>
      </c>
      <c r="J3327" s="6">
        <f>I3327-H3327</f>
        <v>0</v>
      </c>
      <c r="K3327" s="5">
        <f>IF(H3327=0,"",J3327/H3327)</f>
        <v>0</v>
      </c>
      <c r="L3327">
        <f>IF(OR(AND(H3327=0,ABS(J3327)&gt;=0.01),AND(H3327&lt;&gt;0,ABS(K3327)&gt;VarianceThreshold)),"Review","OK")</f>
        <v>0</v>
      </c>
      <c r="M3327" t="s">
        <v>33</v>
      </c>
    </row>
    <row r="3328" spans="1:13">
      <c r="A3328" t="s">
        <v>5</v>
      </c>
      <c r="B3328" t="s">
        <v>335</v>
      </c>
      <c r="C3328" t="s">
        <v>2775</v>
      </c>
      <c r="D3328" t="s">
        <v>1681</v>
      </c>
      <c r="E3328" cm="1">
        <f t="array" ref="E3328">_xlfn.XLOOKUP(D3328,SKU_Master!A:A,SKU_Master!B:B,"Not on master")</f>
        <v>0</v>
      </c>
      <c r="F3328" cm="1">
        <f t="array" ref="F3328">_xlfn.XLOOKUP(C3328,Account_Master!A:A,Account_Master!B:B,"Not on master")</f>
        <v>0</v>
      </c>
      <c r="G3328" cm="1">
        <f t="array" ref="G3328">_xlfn.XLOOKUP(C3328,Account_Master!A:A,Account_Master!C:C,"Not on master")</f>
        <v>0</v>
      </c>
      <c r="H3328" s="6">
        <v>1.5</v>
      </c>
      <c r="I3328" s="6">
        <v>1.5</v>
      </c>
      <c r="J3328" s="6">
        <f>I3328-H3328</f>
        <v>0</v>
      </c>
      <c r="K3328" s="5">
        <f>IF(H3328=0,"",J3328/H3328)</f>
        <v>0</v>
      </c>
      <c r="L3328">
        <f>IF(OR(AND(H3328=0,ABS(J3328)&gt;=0.01),AND(H3328&lt;&gt;0,ABS(K3328)&gt;VarianceThreshold)),"Review","OK")</f>
        <v>0</v>
      </c>
      <c r="M3328" t="s">
        <v>33</v>
      </c>
    </row>
    <row r="3329" spans="1:13">
      <c r="A3329" t="s">
        <v>5</v>
      </c>
      <c r="B3329" t="s">
        <v>335</v>
      </c>
      <c r="C3329" t="s">
        <v>2756</v>
      </c>
      <c r="D3329" t="s">
        <v>2210</v>
      </c>
      <c r="E3329" cm="1">
        <f t="array" ref="E3329">_xlfn.XLOOKUP(D3329,SKU_Master!A:A,SKU_Master!B:B,"Not on master")</f>
        <v>0</v>
      </c>
      <c r="F3329" cm="1">
        <f t="array" ref="F3329">_xlfn.XLOOKUP(C3329,Account_Master!A:A,Account_Master!B:B,"Not on master")</f>
        <v>0</v>
      </c>
      <c r="G3329" cm="1">
        <f t="array" ref="G3329">_xlfn.XLOOKUP(C3329,Account_Master!A:A,Account_Master!C:C,"Not on master")</f>
        <v>0</v>
      </c>
      <c r="H3329" s="6">
        <v>12</v>
      </c>
      <c r="I3329" s="6">
        <v>12</v>
      </c>
      <c r="J3329" s="6">
        <f>I3329-H3329</f>
        <v>0</v>
      </c>
      <c r="K3329" s="5">
        <f>IF(H3329=0,"",J3329/H3329)</f>
        <v>0</v>
      </c>
      <c r="L3329">
        <f>IF(OR(AND(H3329=0,ABS(J3329)&gt;=0.01),AND(H3329&lt;&gt;0,ABS(K3329)&gt;VarianceThreshold)),"Review","OK")</f>
        <v>0</v>
      </c>
      <c r="M3329" t="s">
        <v>33</v>
      </c>
    </row>
    <row r="3330" spans="1:13">
      <c r="A3330" t="s">
        <v>5</v>
      </c>
      <c r="B3330" t="s">
        <v>345</v>
      </c>
      <c r="C3330" t="s">
        <v>2814</v>
      </c>
      <c r="D3330" t="s">
        <v>517</v>
      </c>
      <c r="E3330" cm="1">
        <f t="array" ref="E3330">_xlfn.XLOOKUP(D3330,SKU_Master!A:A,SKU_Master!B:B,"Not on master")</f>
        <v>0</v>
      </c>
      <c r="F3330" cm="1">
        <f t="array" ref="F3330">_xlfn.XLOOKUP(C3330,Account_Master!A:A,Account_Master!B:B,"Not on master")</f>
        <v>0</v>
      </c>
      <c r="G3330" cm="1">
        <f t="array" ref="G3330">_xlfn.XLOOKUP(C3330,Account_Master!A:A,Account_Master!C:C,"Not on master")</f>
        <v>0</v>
      </c>
      <c r="H3330" s="6">
        <v>4.8</v>
      </c>
      <c r="I3330" s="6">
        <v>4.8</v>
      </c>
      <c r="J3330" s="6">
        <f>I3330-H3330</f>
        <v>0</v>
      </c>
      <c r="K3330" s="5">
        <f>IF(H3330=0,"",J3330/H3330)</f>
        <v>0</v>
      </c>
      <c r="L3330">
        <f>IF(OR(AND(H3330=0,ABS(J3330)&gt;=0.01),AND(H3330&lt;&gt;0,ABS(K3330)&gt;VarianceThreshold)),"Review","OK")</f>
        <v>0</v>
      </c>
      <c r="M3330" t="s">
        <v>33</v>
      </c>
    </row>
    <row r="3331" spans="1:13">
      <c r="A3331" t="s">
        <v>5</v>
      </c>
      <c r="B3331" t="s">
        <v>345</v>
      </c>
      <c r="C3331" t="s">
        <v>2803</v>
      </c>
      <c r="D3331" t="s">
        <v>2863</v>
      </c>
      <c r="E3331" cm="1">
        <f t="array" ref="E3331">_xlfn.XLOOKUP(D3331,SKU_Master!A:A,SKU_Master!B:B,"Not on master")</f>
        <v>0</v>
      </c>
      <c r="F3331" cm="1">
        <f t="array" ref="F3331">_xlfn.XLOOKUP(C3331,Account_Master!A:A,Account_Master!B:B,"Not on master")</f>
        <v>0</v>
      </c>
      <c r="G3331" cm="1">
        <f t="array" ref="G3331">_xlfn.XLOOKUP(C3331,Account_Master!A:A,Account_Master!C:C,"Not on master")</f>
        <v>0</v>
      </c>
      <c r="H3331" s="6">
        <v>4.5</v>
      </c>
      <c r="I3331" s="6">
        <v>4.5</v>
      </c>
      <c r="J3331" s="6">
        <f>I3331-H3331</f>
        <v>0</v>
      </c>
      <c r="K3331" s="5">
        <f>IF(H3331=0,"",J3331/H3331)</f>
        <v>0</v>
      </c>
      <c r="L3331">
        <f>IF(OR(AND(H3331=0,ABS(J3331)&gt;=0.01),AND(H3331&lt;&gt;0,ABS(K3331)&gt;VarianceThreshold)),"Review","OK")</f>
        <v>0</v>
      </c>
      <c r="M3331" t="s">
        <v>33</v>
      </c>
    </row>
    <row r="3332" spans="1:13">
      <c r="A3332" t="s">
        <v>5</v>
      </c>
      <c r="B3332" t="s">
        <v>345</v>
      </c>
      <c r="C3332" t="s">
        <v>2760</v>
      </c>
      <c r="D3332" t="s">
        <v>1534</v>
      </c>
      <c r="E3332" cm="1">
        <f t="array" ref="E3332">_xlfn.XLOOKUP(D3332,SKU_Master!A:A,SKU_Master!B:B,"Not on master")</f>
        <v>0</v>
      </c>
      <c r="F3332" cm="1">
        <f t="array" ref="F3332">_xlfn.XLOOKUP(C3332,Account_Master!A:A,Account_Master!B:B,"Not on master")</f>
        <v>0</v>
      </c>
      <c r="G3332" cm="1">
        <f t="array" ref="G3332">_xlfn.XLOOKUP(C3332,Account_Master!A:A,Account_Master!C:C,"Not on master")</f>
        <v>0</v>
      </c>
      <c r="H3332" s="6">
        <v>14.25</v>
      </c>
      <c r="I3332" s="6">
        <v>14.25</v>
      </c>
      <c r="J3332" s="6">
        <f>I3332-H3332</f>
        <v>0</v>
      </c>
      <c r="K3332" s="5">
        <f>IF(H3332=0,"",J3332/H3332)</f>
        <v>0</v>
      </c>
      <c r="L3332">
        <f>IF(OR(AND(H3332=0,ABS(J3332)&gt;=0.01),AND(H3332&lt;&gt;0,ABS(K3332)&gt;VarianceThreshold)),"Review","OK")</f>
        <v>0</v>
      </c>
      <c r="M3332" t="s">
        <v>33</v>
      </c>
    </row>
    <row r="3333" spans="1:13">
      <c r="A3333" t="s">
        <v>5</v>
      </c>
      <c r="B3333" t="s">
        <v>345</v>
      </c>
      <c r="C3333" t="s">
        <v>2785</v>
      </c>
      <c r="D3333" t="s">
        <v>844</v>
      </c>
      <c r="E3333" cm="1">
        <f t="array" ref="E3333">_xlfn.XLOOKUP(D3333,SKU_Master!A:A,SKU_Master!B:B,"Not on master")</f>
        <v>0</v>
      </c>
      <c r="F3333" cm="1">
        <f t="array" ref="F3333">_xlfn.XLOOKUP(C3333,Account_Master!A:A,Account_Master!B:B,"Not on master")</f>
        <v>0</v>
      </c>
      <c r="G3333" cm="1">
        <f t="array" ref="G3333">_xlfn.XLOOKUP(C3333,Account_Master!A:A,Account_Master!C:C,"Not on master")</f>
        <v>0</v>
      </c>
      <c r="H3333" s="6">
        <v>12.2</v>
      </c>
      <c r="I3333" s="6">
        <v>12.2</v>
      </c>
      <c r="J3333" s="6">
        <f>I3333-H3333</f>
        <v>0</v>
      </c>
      <c r="K3333" s="5">
        <f>IF(H3333=0,"",J3333/H3333)</f>
        <v>0</v>
      </c>
      <c r="L3333">
        <f>IF(OR(AND(H3333=0,ABS(J3333)&gt;=0.01),AND(H3333&lt;&gt;0,ABS(K3333)&gt;VarianceThreshold)),"Review","OK")</f>
        <v>0</v>
      </c>
      <c r="M3333" t="s">
        <v>33</v>
      </c>
    </row>
    <row r="3334" spans="1:13">
      <c r="A3334" t="s">
        <v>5</v>
      </c>
      <c r="B3334" t="s">
        <v>357</v>
      </c>
      <c r="C3334" t="s">
        <v>2760</v>
      </c>
      <c r="D3334" t="s">
        <v>704</v>
      </c>
      <c r="E3334" cm="1">
        <f t="array" ref="E3334">_xlfn.XLOOKUP(D3334,SKU_Master!A:A,SKU_Master!B:B,"Not on master")</f>
        <v>0</v>
      </c>
      <c r="F3334" cm="1">
        <f t="array" ref="F3334">_xlfn.XLOOKUP(C3334,Account_Master!A:A,Account_Master!B:B,"Not on master")</f>
        <v>0</v>
      </c>
      <c r="G3334" cm="1">
        <f t="array" ref="G3334">_xlfn.XLOOKUP(C3334,Account_Master!A:A,Account_Master!C:C,"Not on master")</f>
        <v>0</v>
      </c>
      <c r="H3334" s="6">
        <v>304.5</v>
      </c>
      <c r="I3334" s="6">
        <v>304.5</v>
      </c>
      <c r="J3334" s="6">
        <f>I3334-H3334</f>
        <v>0</v>
      </c>
      <c r="K3334" s="5">
        <f>IF(H3334=0,"",J3334/H3334)</f>
        <v>0</v>
      </c>
      <c r="L3334">
        <f>IF(OR(AND(H3334=0,ABS(J3334)&gt;=0.01),AND(H3334&lt;&gt;0,ABS(K3334)&gt;VarianceThreshold)),"Review","OK")</f>
        <v>0</v>
      </c>
      <c r="M3334" t="s">
        <v>33</v>
      </c>
    </row>
    <row r="3335" spans="1:13">
      <c r="A3335" t="s">
        <v>5</v>
      </c>
      <c r="B3335" t="s">
        <v>357</v>
      </c>
      <c r="C3335" t="s">
        <v>2769</v>
      </c>
      <c r="D3335" t="s">
        <v>2204</v>
      </c>
      <c r="E3335" cm="1">
        <f t="array" ref="E3335">_xlfn.XLOOKUP(D3335,SKU_Master!A:A,SKU_Master!B:B,"Not on master")</f>
        <v>0</v>
      </c>
      <c r="F3335" cm="1">
        <f t="array" ref="F3335">_xlfn.XLOOKUP(C3335,Account_Master!A:A,Account_Master!B:B,"Not on master")</f>
        <v>0</v>
      </c>
      <c r="G3335" cm="1">
        <f t="array" ref="G3335">_xlfn.XLOOKUP(C3335,Account_Master!A:A,Account_Master!C:C,"Not on master")</f>
        <v>0</v>
      </c>
      <c r="H3335" s="6">
        <v>1751</v>
      </c>
      <c r="I3335" s="6">
        <v>1751</v>
      </c>
      <c r="J3335" s="6">
        <f>I3335-H3335</f>
        <v>0</v>
      </c>
      <c r="K3335" s="5">
        <f>IF(H3335=0,"",J3335/H3335)</f>
        <v>0</v>
      </c>
      <c r="L3335">
        <f>IF(OR(AND(H3335=0,ABS(J3335)&gt;=0.01),AND(H3335&lt;&gt;0,ABS(K3335)&gt;VarianceThreshold)),"Review","OK")</f>
        <v>0</v>
      </c>
      <c r="M3335" t="s">
        <v>33</v>
      </c>
    </row>
    <row r="3336" spans="1:13">
      <c r="A3336" t="s">
        <v>5</v>
      </c>
      <c r="B3336" t="s">
        <v>357</v>
      </c>
      <c r="C3336" t="s">
        <v>2864</v>
      </c>
      <c r="D3336" t="s">
        <v>1178</v>
      </c>
      <c r="E3336" cm="1">
        <f t="array" ref="E3336">_xlfn.XLOOKUP(D3336,SKU_Master!A:A,SKU_Master!B:B,"Not on master")</f>
        <v>0</v>
      </c>
      <c r="F3336" cm="1">
        <f t="array" ref="F3336">_xlfn.XLOOKUP(C3336,Account_Master!A:A,Account_Master!B:B,"Not on master")</f>
        <v>0</v>
      </c>
      <c r="G3336" cm="1">
        <f t="array" ref="G3336">_xlfn.XLOOKUP(C3336,Account_Master!A:A,Account_Master!C:C,"Not on master")</f>
        <v>0</v>
      </c>
      <c r="H3336" s="6">
        <v>0.1</v>
      </c>
      <c r="I3336" s="6">
        <v>0.1</v>
      </c>
      <c r="J3336" s="6">
        <f>I3336-H3336</f>
        <v>0</v>
      </c>
      <c r="K3336" s="5">
        <f>IF(H3336=0,"",J3336/H3336)</f>
        <v>0</v>
      </c>
      <c r="L3336">
        <f>IF(OR(AND(H3336=0,ABS(J3336)&gt;=0.01),AND(H3336&lt;&gt;0,ABS(K3336)&gt;VarianceThreshold)),"Review","OK")</f>
        <v>0</v>
      </c>
      <c r="M3336" t="s">
        <v>33</v>
      </c>
    </row>
    <row r="3337" spans="1:13">
      <c r="A3337" t="s">
        <v>5</v>
      </c>
      <c r="B3337" t="s">
        <v>357</v>
      </c>
      <c r="C3337" t="s">
        <v>2767</v>
      </c>
      <c r="D3337" t="s">
        <v>2865</v>
      </c>
      <c r="E3337" cm="1">
        <f t="array" ref="E3337">_xlfn.XLOOKUP(D3337,SKU_Master!A:A,SKU_Master!B:B,"Not on master")</f>
        <v>0</v>
      </c>
      <c r="F3337" cm="1">
        <f t="array" ref="F3337">_xlfn.XLOOKUP(C3337,Account_Master!A:A,Account_Master!B:B,"Not on master")</f>
        <v>0</v>
      </c>
      <c r="G3337" cm="1">
        <f t="array" ref="G3337">_xlfn.XLOOKUP(C3337,Account_Master!A:A,Account_Master!C:C,"Not on master")</f>
        <v>0</v>
      </c>
      <c r="H3337" s="6">
        <v>4.5</v>
      </c>
      <c r="I3337" s="6">
        <v>4.5</v>
      </c>
      <c r="J3337" s="6">
        <f>I3337-H3337</f>
        <v>0</v>
      </c>
      <c r="K3337" s="5">
        <f>IF(H3337=0,"",J3337/H3337)</f>
        <v>0</v>
      </c>
      <c r="L3337">
        <f>IF(OR(AND(H3337=0,ABS(J3337)&gt;=0.01),AND(H3337&lt;&gt;0,ABS(K3337)&gt;VarianceThreshold)),"Review","OK")</f>
        <v>0</v>
      </c>
      <c r="M3337" t="s">
        <v>33</v>
      </c>
    </row>
    <row r="3338" spans="1:13">
      <c r="A3338" t="s">
        <v>5</v>
      </c>
      <c r="B3338" t="s">
        <v>357</v>
      </c>
      <c r="C3338" t="s">
        <v>2793</v>
      </c>
      <c r="D3338" t="s">
        <v>116</v>
      </c>
      <c r="E3338" cm="1">
        <f t="array" ref="E3338">_xlfn.XLOOKUP(D3338,SKU_Master!A:A,SKU_Master!B:B,"Not on master")</f>
        <v>0</v>
      </c>
      <c r="F3338" cm="1">
        <f t="array" ref="F3338">_xlfn.XLOOKUP(C3338,Account_Master!A:A,Account_Master!B:B,"Not on master")</f>
        <v>0</v>
      </c>
      <c r="G3338" cm="1">
        <f t="array" ref="G3338">_xlfn.XLOOKUP(C3338,Account_Master!A:A,Account_Master!C:C,"Not on master")</f>
        <v>0</v>
      </c>
      <c r="H3338" s="6">
        <v>19.5</v>
      </c>
      <c r="I3338" s="6">
        <v>19.5</v>
      </c>
      <c r="J3338" s="6">
        <f>I3338-H3338</f>
        <v>0</v>
      </c>
      <c r="K3338" s="5">
        <f>IF(H3338=0,"",J3338/H3338)</f>
        <v>0</v>
      </c>
      <c r="L3338">
        <f>IF(OR(AND(H3338=0,ABS(J3338)&gt;=0.01),AND(H3338&lt;&gt;0,ABS(K3338)&gt;VarianceThreshold)),"Review","OK")</f>
        <v>0</v>
      </c>
      <c r="M3338" t="s">
        <v>33</v>
      </c>
    </row>
    <row r="3339" spans="1:13">
      <c r="A3339" t="s">
        <v>5</v>
      </c>
      <c r="B3339" t="s">
        <v>357</v>
      </c>
      <c r="C3339" t="s">
        <v>2767</v>
      </c>
      <c r="D3339" t="s">
        <v>1527</v>
      </c>
      <c r="E3339" cm="1">
        <f t="array" ref="E3339">_xlfn.XLOOKUP(D3339,SKU_Master!A:A,SKU_Master!B:B,"Not on master")</f>
        <v>0</v>
      </c>
      <c r="F3339" cm="1">
        <f t="array" ref="F3339">_xlfn.XLOOKUP(C3339,Account_Master!A:A,Account_Master!B:B,"Not on master")</f>
        <v>0</v>
      </c>
      <c r="G3339" cm="1">
        <f t="array" ref="G3339">_xlfn.XLOOKUP(C3339,Account_Master!A:A,Account_Master!C:C,"Not on master")</f>
        <v>0</v>
      </c>
      <c r="H3339" s="6">
        <v>0.15</v>
      </c>
      <c r="I3339" s="6">
        <v>0.15</v>
      </c>
      <c r="J3339" s="6">
        <f>I3339-H3339</f>
        <v>0</v>
      </c>
      <c r="K3339" s="5">
        <f>IF(H3339=0,"",J3339/H3339)</f>
        <v>0</v>
      </c>
      <c r="L3339">
        <f>IF(OR(AND(H3339=0,ABS(J3339)&gt;=0.01),AND(H3339&lt;&gt;0,ABS(K3339)&gt;VarianceThreshold)),"Review","OK")</f>
        <v>0</v>
      </c>
      <c r="M3339" t="s">
        <v>33</v>
      </c>
    </row>
    <row r="3340" spans="1:13">
      <c r="A3340" t="s">
        <v>5</v>
      </c>
      <c r="B3340" t="s">
        <v>357</v>
      </c>
      <c r="C3340" t="s">
        <v>2835</v>
      </c>
      <c r="D3340" t="s">
        <v>2866</v>
      </c>
      <c r="E3340" cm="1">
        <f t="array" ref="E3340">_xlfn.XLOOKUP(D3340,SKU_Master!A:A,SKU_Master!B:B,"Not on master")</f>
        <v>0</v>
      </c>
      <c r="F3340" cm="1">
        <f t="array" ref="F3340">_xlfn.XLOOKUP(C3340,Account_Master!A:A,Account_Master!B:B,"Not on master")</f>
        <v>0</v>
      </c>
      <c r="G3340" cm="1">
        <f t="array" ref="G3340">_xlfn.XLOOKUP(C3340,Account_Master!A:A,Account_Master!C:C,"Not on master")</f>
        <v>0</v>
      </c>
      <c r="H3340" s="6">
        <v>30</v>
      </c>
      <c r="I3340" s="6">
        <v>30</v>
      </c>
      <c r="J3340" s="6">
        <f>I3340-H3340</f>
        <v>0</v>
      </c>
      <c r="K3340" s="5">
        <f>IF(H3340=0,"",J3340/H3340)</f>
        <v>0</v>
      </c>
      <c r="L3340">
        <f>IF(OR(AND(H3340=0,ABS(J3340)&gt;=0.01),AND(H3340&lt;&gt;0,ABS(K3340)&gt;VarianceThreshold)),"Review","OK")</f>
        <v>0</v>
      </c>
      <c r="M3340" t="s">
        <v>33</v>
      </c>
    </row>
    <row r="3341" spans="1:13">
      <c r="A3341" t="s">
        <v>5</v>
      </c>
      <c r="B3341" t="s">
        <v>364</v>
      </c>
      <c r="C3341" t="s">
        <v>2766</v>
      </c>
      <c r="D3341" t="s">
        <v>1067</v>
      </c>
      <c r="E3341" cm="1">
        <f t="array" ref="E3341">_xlfn.XLOOKUP(D3341,SKU_Master!A:A,SKU_Master!B:B,"Not on master")</f>
        <v>0</v>
      </c>
      <c r="F3341" cm="1">
        <f t="array" ref="F3341">_xlfn.XLOOKUP(C3341,Account_Master!A:A,Account_Master!B:B,"Not on master")</f>
        <v>0</v>
      </c>
      <c r="G3341" cm="1">
        <f t="array" ref="G3341">_xlfn.XLOOKUP(C3341,Account_Master!A:A,Account_Master!C:C,"Not on master")</f>
        <v>0</v>
      </c>
      <c r="H3341" s="6">
        <v>59.5</v>
      </c>
      <c r="I3341" s="6">
        <v>59.5</v>
      </c>
      <c r="J3341" s="6">
        <f>I3341-H3341</f>
        <v>0</v>
      </c>
      <c r="K3341" s="5">
        <f>IF(H3341=0,"",J3341/H3341)</f>
        <v>0</v>
      </c>
      <c r="L3341">
        <f>IF(OR(AND(H3341=0,ABS(J3341)&gt;=0.01),AND(H3341&lt;&gt;0,ABS(K3341)&gt;VarianceThreshold)),"Review","OK")</f>
        <v>0</v>
      </c>
      <c r="M3341" t="s">
        <v>33</v>
      </c>
    </row>
    <row r="3342" spans="1:13">
      <c r="A3342" t="s">
        <v>5</v>
      </c>
      <c r="B3342" t="s">
        <v>364</v>
      </c>
      <c r="C3342" t="s">
        <v>2775</v>
      </c>
      <c r="D3342" t="s">
        <v>1520</v>
      </c>
      <c r="E3342" cm="1">
        <f t="array" ref="E3342">_xlfn.XLOOKUP(D3342,SKU_Master!A:A,SKU_Master!B:B,"Not on master")</f>
        <v>0</v>
      </c>
      <c r="F3342" cm="1">
        <f t="array" ref="F3342">_xlfn.XLOOKUP(C3342,Account_Master!A:A,Account_Master!B:B,"Not on master")</f>
        <v>0</v>
      </c>
      <c r="G3342" cm="1">
        <f t="array" ref="G3342">_xlfn.XLOOKUP(C3342,Account_Master!A:A,Account_Master!C:C,"Not on master")</f>
        <v>0</v>
      </c>
      <c r="H3342" s="6">
        <v>157.5</v>
      </c>
      <c r="I3342" s="6">
        <v>157.5</v>
      </c>
      <c r="J3342" s="6">
        <f>I3342-H3342</f>
        <v>0</v>
      </c>
      <c r="K3342" s="5">
        <f>IF(H3342=0,"",J3342/H3342)</f>
        <v>0</v>
      </c>
      <c r="L3342">
        <f>IF(OR(AND(H3342=0,ABS(J3342)&gt;=0.01),AND(H3342&lt;&gt;0,ABS(K3342)&gt;VarianceThreshold)),"Review","OK")</f>
        <v>0</v>
      </c>
      <c r="M3342" t="s">
        <v>33</v>
      </c>
    </row>
    <row r="3343" spans="1:13">
      <c r="A3343" t="s">
        <v>5</v>
      </c>
      <c r="B3343" t="s">
        <v>364</v>
      </c>
      <c r="C3343" t="s">
        <v>2775</v>
      </c>
      <c r="D3343" t="s">
        <v>1677</v>
      </c>
      <c r="E3343" cm="1">
        <f t="array" ref="E3343">_xlfn.XLOOKUP(D3343,SKU_Master!A:A,SKU_Master!B:B,"Not on master")</f>
        <v>0</v>
      </c>
      <c r="F3343" cm="1">
        <f t="array" ref="F3343">_xlfn.XLOOKUP(C3343,Account_Master!A:A,Account_Master!B:B,"Not on master")</f>
        <v>0</v>
      </c>
      <c r="G3343" cm="1">
        <f t="array" ref="G3343">_xlfn.XLOOKUP(C3343,Account_Master!A:A,Account_Master!C:C,"Not on master")</f>
        <v>0</v>
      </c>
      <c r="H3343" s="6">
        <v>0.75</v>
      </c>
      <c r="I3343" s="6">
        <v>0.75</v>
      </c>
      <c r="J3343" s="6">
        <f>I3343-H3343</f>
        <v>0</v>
      </c>
      <c r="K3343" s="5">
        <f>IF(H3343=0,"",J3343/H3343)</f>
        <v>0</v>
      </c>
      <c r="L3343">
        <f>IF(OR(AND(H3343=0,ABS(J3343)&gt;=0.01),AND(H3343&lt;&gt;0,ABS(K3343)&gt;VarianceThreshold)),"Review","OK")</f>
        <v>0</v>
      </c>
      <c r="M3343" t="s">
        <v>33</v>
      </c>
    </row>
    <row r="3344" spans="1:13">
      <c r="A3344" t="s">
        <v>5</v>
      </c>
      <c r="B3344" t="s">
        <v>364</v>
      </c>
      <c r="C3344" t="s">
        <v>2850</v>
      </c>
      <c r="D3344" t="s">
        <v>1162</v>
      </c>
      <c r="E3344" cm="1">
        <f t="array" ref="E3344">_xlfn.XLOOKUP(D3344,SKU_Master!A:A,SKU_Master!B:B,"Not on master")</f>
        <v>0</v>
      </c>
      <c r="F3344" cm="1">
        <f t="array" ref="F3344">_xlfn.XLOOKUP(C3344,Account_Master!A:A,Account_Master!B:B,"Not on master")</f>
        <v>0</v>
      </c>
      <c r="G3344" cm="1">
        <f t="array" ref="G3344">_xlfn.XLOOKUP(C3344,Account_Master!A:A,Account_Master!C:C,"Not on master")</f>
        <v>0</v>
      </c>
      <c r="H3344" s="6">
        <v>115.5</v>
      </c>
      <c r="I3344" s="6">
        <v>115.5</v>
      </c>
      <c r="J3344" s="6">
        <f>I3344-H3344</f>
        <v>0</v>
      </c>
      <c r="K3344" s="5">
        <f>IF(H3344=0,"",J3344/H3344)</f>
        <v>0</v>
      </c>
      <c r="L3344">
        <f>IF(OR(AND(H3344=0,ABS(J3344)&gt;=0.01),AND(H3344&lt;&gt;0,ABS(K3344)&gt;VarianceThreshold)),"Review","OK")</f>
        <v>0</v>
      </c>
      <c r="M3344" t="s">
        <v>33</v>
      </c>
    </row>
    <row r="3345" spans="1:13">
      <c r="A3345" t="s">
        <v>5</v>
      </c>
      <c r="B3345" t="s">
        <v>364</v>
      </c>
      <c r="C3345" t="s">
        <v>2767</v>
      </c>
      <c r="D3345" t="s">
        <v>2867</v>
      </c>
      <c r="E3345" cm="1">
        <f t="array" ref="E3345">_xlfn.XLOOKUP(D3345,SKU_Master!A:A,SKU_Master!B:B,"Not on master")</f>
        <v>0</v>
      </c>
      <c r="F3345" cm="1">
        <f t="array" ref="F3345">_xlfn.XLOOKUP(C3345,Account_Master!A:A,Account_Master!B:B,"Not on master")</f>
        <v>0</v>
      </c>
      <c r="G3345" cm="1">
        <f t="array" ref="G3345">_xlfn.XLOOKUP(C3345,Account_Master!A:A,Account_Master!C:C,"Not on master")</f>
        <v>0</v>
      </c>
      <c r="H3345" s="6">
        <v>10.5</v>
      </c>
      <c r="I3345" s="6">
        <v>10.5</v>
      </c>
      <c r="J3345" s="6">
        <f>I3345-H3345</f>
        <v>0</v>
      </c>
      <c r="K3345" s="5">
        <f>IF(H3345=0,"",J3345/H3345)</f>
        <v>0</v>
      </c>
      <c r="L3345">
        <f>IF(OR(AND(H3345=0,ABS(J3345)&gt;=0.01),AND(H3345&lt;&gt;0,ABS(K3345)&gt;VarianceThreshold)),"Review","OK")</f>
        <v>0</v>
      </c>
      <c r="M3345" t="s">
        <v>33</v>
      </c>
    </row>
    <row r="3346" spans="1:13">
      <c r="A3346" t="s">
        <v>5</v>
      </c>
      <c r="B3346" t="s">
        <v>364</v>
      </c>
      <c r="C3346" t="s">
        <v>2775</v>
      </c>
      <c r="D3346" t="s">
        <v>1841</v>
      </c>
      <c r="E3346" cm="1">
        <f t="array" ref="E3346">_xlfn.XLOOKUP(D3346,SKU_Master!A:A,SKU_Master!B:B,"Not on master")</f>
        <v>0</v>
      </c>
      <c r="F3346" cm="1">
        <f t="array" ref="F3346">_xlfn.XLOOKUP(C3346,Account_Master!A:A,Account_Master!B:B,"Not on master")</f>
        <v>0</v>
      </c>
      <c r="G3346" cm="1">
        <f t="array" ref="G3346">_xlfn.XLOOKUP(C3346,Account_Master!A:A,Account_Master!C:C,"Not on master")</f>
        <v>0</v>
      </c>
      <c r="H3346" s="6">
        <v>21</v>
      </c>
      <c r="I3346" s="6">
        <v>21</v>
      </c>
      <c r="J3346" s="6">
        <f>I3346-H3346</f>
        <v>0</v>
      </c>
      <c r="K3346" s="5">
        <f>IF(H3346=0,"",J3346/H3346)</f>
        <v>0</v>
      </c>
      <c r="L3346">
        <f>IF(OR(AND(H3346=0,ABS(J3346)&gt;=0.01),AND(H3346&lt;&gt;0,ABS(K3346)&gt;VarianceThreshold)),"Review","OK")</f>
        <v>0</v>
      </c>
      <c r="M3346" t="s">
        <v>33</v>
      </c>
    </row>
    <row r="3347" spans="1:13">
      <c r="A3347" t="s">
        <v>5</v>
      </c>
      <c r="B3347" t="s">
        <v>364</v>
      </c>
      <c r="C3347" t="s">
        <v>2786</v>
      </c>
      <c r="D3347" t="s">
        <v>1585</v>
      </c>
      <c r="E3347" cm="1">
        <f t="array" ref="E3347">_xlfn.XLOOKUP(D3347,SKU_Master!A:A,SKU_Master!B:B,"Not on master")</f>
        <v>0</v>
      </c>
      <c r="F3347" cm="1">
        <f t="array" ref="F3347">_xlfn.XLOOKUP(C3347,Account_Master!A:A,Account_Master!B:B,"Not on master")</f>
        <v>0</v>
      </c>
      <c r="G3347" cm="1">
        <f t="array" ref="G3347">_xlfn.XLOOKUP(C3347,Account_Master!A:A,Account_Master!C:C,"Not on master")</f>
        <v>0</v>
      </c>
      <c r="H3347" s="6">
        <v>29.75</v>
      </c>
      <c r="I3347" s="6">
        <v>29.75</v>
      </c>
      <c r="J3347" s="6">
        <f>I3347-H3347</f>
        <v>0</v>
      </c>
      <c r="K3347" s="5">
        <f>IF(H3347=0,"",J3347/H3347)</f>
        <v>0</v>
      </c>
      <c r="L3347">
        <f>IF(OR(AND(H3347=0,ABS(J3347)&gt;=0.01),AND(H3347&lt;&gt;0,ABS(K3347)&gt;VarianceThreshold)),"Review","OK")</f>
        <v>0</v>
      </c>
      <c r="M3347" t="s">
        <v>33</v>
      </c>
    </row>
    <row r="3348" spans="1:13">
      <c r="A3348" t="s">
        <v>5</v>
      </c>
      <c r="B3348" t="s">
        <v>371</v>
      </c>
      <c r="C3348" t="s">
        <v>2868</v>
      </c>
      <c r="D3348" t="s">
        <v>1964</v>
      </c>
      <c r="E3348" cm="1">
        <f t="array" ref="E3348">_xlfn.XLOOKUP(D3348,SKU_Master!A:A,SKU_Master!B:B,"Not on master")</f>
        <v>0</v>
      </c>
      <c r="F3348" cm="1">
        <f t="array" ref="F3348">_xlfn.XLOOKUP(C3348,Account_Master!A:A,Account_Master!B:B,"Not on master")</f>
        <v>0</v>
      </c>
      <c r="G3348" cm="1">
        <f t="array" ref="G3348">_xlfn.XLOOKUP(C3348,Account_Master!A:A,Account_Master!C:C,"Not on master")</f>
        <v>0</v>
      </c>
      <c r="H3348" s="6">
        <v>7</v>
      </c>
      <c r="I3348" s="6">
        <v>7</v>
      </c>
      <c r="J3348" s="6">
        <f>I3348-H3348</f>
        <v>0</v>
      </c>
      <c r="K3348" s="5">
        <f>IF(H3348=0,"",J3348/H3348)</f>
        <v>0</v>
      </c>
      <c r="L3348">
        <f>IF(OR(AND(H3348=0,ABS(J3348)&gt;=0.01),AND(H3348&lt;&gt;0,ABS(K3348)&gt;VarianceThreshold)),"Review","OK")</f>
        <v>0</v>
      </c>
      <c r="M3348" t="s">
        <v>33</v>
      </c>
    </row>
    <row r="3349" spans="1:13">
      <c r="A3349" t="s">
        <v>5</v>
      </c>
      <c r="B3349" t="s">
        <v>371</v>
      </c>
      <c r="C3349" t="s">
        <v>2869</v>
      </c>
      <c r="D3349" t="s">
        <v>469</v>
      </c>
      <c r="E3349" cm="1">
        <f t="array" ref="E3349">_xlfn.XLOOKUP(D3349,SKU_Master!A:A,SKU_Master!B:B,"Not on master")</f>
        <v>0</v>
      </c>
      <c r="F3349" cm="1">
        <f t="array" ref="F3349">_xlfn.XLOOKUP(C3349,Account_Master!A:A,Account_Master!B:B,"Not on master")</f>
        <v>0</v>
      </c>
      <c r="G3349" cm="1">
        <f t="array" ref="G3349">_xlfn.XLOOKUP(C3349,Account_Master!A:A,Account_Master!C:C,"Not on master")</f>
        <v>0</v>
      </c>
      <c r="H3349" s="6">
        <v>87.75</v>
      </c>
      <c r="I3349" s="6">
        <v>87.75</v>
      </c>
      <c r="J3349" s="6">
        <f>I3349-H3349</f>
        <v>0</v>
      </c>
      <c r="K3349" s="5">
        <f>IF(H3349=0,"",J3349/H3349)</f>
        <v>0</v>
      </c>
      <c r="L3349">
        <f>IF(OR(AND(H3349=0,ABS(J3349)&gt;=0.01),AND(H3349&lt;&gt;0,ABS(K3349)&gt;VarianceThreshold)),"Review","OK")</f>
        <v>0</v>
      </c>
      <c r="M3349" t="s">
        <v>33</v>
      </c>
    </row>
    <row r="3350" spans="1:13">
      <c r="A3350" t="s">
        <v>5</v>
      </c>
      <c r="B3350" t="s">
        <v>371</v>
      </c>
      <c r="C3350" t="s">
        <v>2849</v>
      </c>
      <c r="D3350" t="s">
        <v>1482</v>
      </c>
      <c r="E3350" cm="1">
        <f t="array" ref="E3350">_xlfn.XLOOKUP(D3350,SKU_Master!A:A,SKU_Master!B:B,"Not on master")</f>
        <v>0</v>
      </c>
      <c r="F3350" cm="1">
        <f t="array" ref="F3350">_xlfn.XLOOKUP(C3350,Account_Master!A:A,Account_Master!B:B,"Not on master")</f>
        <v>0</v>
      </c>
      <c r="G3350" cm="1">
        <f t="array" ref="G3350">_xlfn.XLOOKUP(C3350,Account_Master!A:A,Account_Master!C:C,"Not on master")</f>
        <v>0</v>
      </c>
      <c r="H3350" s="6">
        <v>15</v>
      </c>
      <c r="I3350" s="6">
        <v>15</v>
      </c>
      <c r="J3350" s="6">
        <f>I3350-H3350</f>
        <v>0</v>
      </c>
      <c r="K3350" s="5">
        <f>IF(H3350=0,"",J3350/H3350)</f>
        <v>0</v>
      </c>
      <c r="L3350">
        <f>IF(OR(AND(H3350=0,ABS(J3350)&gt;=0.01),AND(H3350&lt;&gt;0,ABS(K3350)&gt;VarianceThreshold)),"Review","OK")</f>
        <v>0</v>
      </c>
      <c r="M3350" t="s">
        <v>33</v>
      </c>
    </row>
    <row r="3351" spans="1:13">
      <c r="A3351" t="s">
        <v>5</v>
      </c>
      <c r="B3351" t="s">
        <v>371</v>
      </c>
      <c r="C3351" t="s">
        <v>2753</v>
      </c>
      <c r="D3351" t="s">
        <v>1931</v>
      </c>
      <c r="E3351" cm="1">
        <f t="array" ref="E3351">_xlfn.XLOOKUP(D3351,SKU_Master!A:A,SKU_Master!B:B,"Not on master")</f>
        <v>0</v>
      </c>
      <c r="F3351" cm="1">
        <f t="array" ref="F3351">_xlfn.XLOOKUP(C3351,Account_Master!A:A,Account_Master!B:B,"Not on master")</f>
        <v>0</v>
      </c>
      <c r="G3351" cm="1">
        <f t="array" ref="G3351">_xlfn.XLOOKUP(C3351,Account_Master!A:A,Account_Master!C:C,"Not on master")</f>
        <v>0</v>
      </c>
      <c r="H3351" s="6">
        <v>9</v>
      </c>
      <c r="I3351" s="6">
        <v>9</v>
      </c>
      <c r="J3351" s="6">
        <f>I3351-H3351</f>
        <v>0</v>
      </c>
      <c r="K3351" s="5">
        <f>IF(H3351=0,"",J3351/H3351)</f>
        <v>0</v>
      </c>
      <c r="L3351">
        <f>IF(OR(AND(H3351=0,ABS(J3351)&gt;=0.01),AND(H3351&lt;&gt;0,ABS(K3351)&gt;VarianceThreshold)),"Review","OK")</f>
        <v>0</v>
      </c>
      <c r="M3351" t="s">
        <v>33</v>
      </c>
    </row>
    <row r="3352" spans="1:13">
      <c r="A3352" t="s">
        <v>5</v>
      </c>
      <c r="B3352" t="s">
        <v>371</v>
      </c>
      <c r="C3352" t="s">
        <v>2849</v>
      </c>
      <c r="D3352" t="s">
        <v>1432</v>
      </c>
      <c r="E3352" cm="1">
        <f t="array" ref="E3352">_xlfn.XLOOKUP(D3352,SKU_Master!A:A,SKU_Master!B:B,"Not on master")</f>
        <v>0</v>
      </c>
      <c r="F3352" cm="1">
        <f t="array" ref="F3352">_xlfn.XLOOKUP(C3352,Account_Master!A:A,Account_Master!B:B,"Not on master")</f>
        <v>0</v>
      </c>
      <c r="G3352" cm="1">
        <f t="array" ref="G3352">_xlfn.XLOOKUP(C3352,Account_Master!A:A,Account_Master!C:C,"Not on master")</f>
        <v>0</v>
      </c>
      <c r="H3352" s="6">
        <v>1.5</v>
      </c>
      <c r="I3352" s="6">
        <v>1.5</v>
      </c>
      <c r="J3352" s="6">
        <f>I3352-H3352</f>
        <v>0</v>
      </c>
      <c r="K3352" s="5">
        <f>IF(H3352=0,"",J3352/H3352)</f>
        <v>0</v>
      </c>
      <c r="L3352">
        <f>IF(OR(AND(H3352=0,ABS(J3352)&gt;=0.01),AND(H3352&lt;&gt;0,ABS(K3352)&gt;VarianceThreshold)),"Review","OK")</f>
        <v>0</v>
      </c>
      <c r="M3352" t="s">
        <v>33</v>
      </c>
    </row>
    <row r="3353" spans="1:13">
      <c r="A3353" t="s">
        <v>5</v>
      </c>
      <c r="B3353" t="s">
        <v>379</v>
      </c>
      <c r="C3353" t="s">
        <v>2870</v>
      </c>
      <c r="D3353" t="s">
        <v>512</v>
      </c>
      <c r="E3353" cm="1">
        <f t="array" ref="E3353">_xlfn.XLOOKUP(D3353,SKU_Master!A:A,SKU_Master!B:B,"Not on master")</f>
        <v>0</v>
      </c>
      <c r="F3353" cm="1">
        <f t="array" ref="F3353">_xlfn.XLOOKUP(C3353,Account_Master!A:A,Account_Master!B:B,"Not on master")</f>
        <v>0</v>
      </c>
      <c r="G3353" cm="1">
        <f t="array" ref="G3353">_xlfn.XLOOKUP(C3353,Account_Master!A:A,Account_Master!C:C,"Not on master")</f>
        <v>0</v>
      </c>
      <c r="H3353" s="6">
        <v>0.5</v>
      </c>
      <c r="I3353" s="6">
        <v>0.5</v>
      </c>
      <c r="J3353" s="6">
        <f>I3353-H3353</f>
        <v>0</v>
      </c>
      <c r="K3353" s="5">
        <f>IF(H3353=0,"",J3353/H3353)</f>
        <v>0</v>
      </c>
      <c r="L3353">
        <f>IF(OR(AND(H3353=0,ABS(J3353)&gt;=0.01),AND(H3353&lt;&gt;0,ABS(K3353)&gt;VarianceThreshold)),"Review","OK")</f>
        <v>0</v>
      </c>
      <c r="M3353" t="s">
        <v>33</v>
      </c>
    </row>
    <row r="3354" spans="1:13">
      <c r="A3354" t="s">
        <v>5</v>
      </c>
      <c r="B3354" t="s">
        <v>379</v>
      </c>
      <c r="C3354" t="s">
        <v>2769</v>
      </c>
      <c r="D3354" t="s">
        <v>1104</v>
      </c>
      <c r="E3354" cm="1">
        <f t="array" ref="E3354">_xlfn.XLOOKUP(D3354,SKU_Master!A:A,SKU_Master!B:B,"Not on master")</f>
        <v>0</v>
      </c>
      <c r="F3354" cm="1">
        <f t="array" ref="F3354">_xlfn.XLOOKUP(C3354,Account_Master!A:A,Account_Master!B:B,"Not on master")</f>
        <v>0</v>
      </c>
      <c r="G3354" cm="1">
        <f t="array" ref="G3354">_xlfn.XLOOKUP(C3354,Account_Master!A:A,Account_Master!C:C,"Not on master")</f>
        <v>0</v>
      </c>
      <c r="H3354" s="6">
        <v>81</v>
      </c>
      <c r="I3354" s="6">
        <v>81</v>
      </c>
      <c r="J3354" s="6">
        <f>I3354-H3354</f>
        <v>0</v>
      </c>
      <c r="K3354" s="5">
        <f>IF(H3354=0,"",J3354/H3354)</f>
        <v>0</v>
      </c>
      <c r="L3354">
        <f>IF(OR(AND(H3354=0,ABS(J3354)&gt;=0.01),AND(H3354&lt;&gt;0,ABS(K3354)&gt;VarianceThreshold)),"Review","OK")</f>
        <v>0</v>
      </c>
      <c r="M3354" t="s">
        <v>33</v>
      </c>
    </row>
    <row r="3355" spans="1:13">
      <c r="A3355" t="s">
        <v>5</v>
      </c>
      <c r="B3355" t="s">
        <v>379</v>
      </c>
      <c r="C3355" t="s">
        <v>2754</v>
      </c>
      <c r="D3355" t="s">
        <v>695</v>
      </c>
      <c r="E3355" cm="1">
        <f t="array" ref="E3355">_xlfn.XLOOKUP(D3355,SKU_Master!A:A,SKU_Master!B:B,"Not on master")</f>
        <v>0</v>
      </c>
      <c r="F3355" cm="1">
        <f t="array" ref="F3355">_xlfn.XLOOKUP(C3355,Account_Master!A:A,Account_Master!B:B,"Not on master")</f>
        <v>0</v>
      </c>
      <c r="G3355" cm="1">
        <f t="array" ref="G3355">_xlfn.XLOOKUP(C3355,Account_Master!A:A,Account_Master!C:C,"Not on master")</f>
        <v>0</v>
      </c>
      <c r="H3355" s="6">
        <v>87</v>
      </c>
      <c r="I3355" s="6">
        <v>87</v>
      </c>
      <c r="J3355" s="6">
        <f>I3355-H3355</f>
        <v>0</v>
      </c>
      <c r="K3355" s="5">
        <f>IF(H3355=0,"",J3355/H3355)</f>
        <v>0</v>
      </c>
      <c r="L3355">
        <f>IF(OR(AND(H3355=0,ABS(J3355)&gt;=0.01),AND(H3355&lt;&gt;0,ABS(K3355)&gt;VarianceThreshold)),"Review","OK")</f>
        <v>0</v>
      </c>
      <c r="M3355" t="s">
        <v>33</v>
      </c>
    </row>
    <row r="3356" spans="1:13">
      <c r="A3356" t="s">
        <v>5</v>
      </c>
      <c r="B3356" t="s">
        <v>379</v>
      </c>
      <c r="C3356" t="s">
        <v>2803</v>
      </c>
      <c r="D3356" t="s">
        <v>533</v>
      </c>
      <c r="E3356" cm="1">
        <f t="array" ref="E3356">_xlfn.XLOOKUP(D3356,SKU_Master!A:A,SKU_Master!B:B,"Not on master")</f>
        <v>0</v>
      </c>
      <c r="F3356" cm="1">
        <f t="array" ref="F3356">_xlfn.XLOOKUP(C3356,Account_Master!A:A,Account_Master!B:B,"Not on master")</f>
        <v>0</v>
      </c>
      <c r="G3356" cm="1">
        <f t="array" ref="G3356">_xlfn.XLOOKUP(C3356,Account_Master!A:A,Account_Master!C:C,"Not on master")</f>
        <v>0</v>
      </c>
      <c r="H3356" s="6">
        <v>31.5</v>
      </c>
      <c r="I3356" s="6">
        <v>31.5</v>
      </c>
      <c r="J3356" s="6">
        <f>I3356-H3356</f>
        <v>0</v>
      </c>
      <c r="K3356" s="5">
        <f>IF(H3356=0,"",J3356/H3356)</f>
        <v>0</v>
      </c>
      <c r="L3356">
        <f>IF(OR(AND(H3356=0,ABS(J3356)&gt;=0.01),AND(H3356&lt;&gt;0,ABS(K3356)&gt;VarianceThreshold)),"Review","OK")</f>
        <v>0</v>
      </c>
      <c r="M3356" t="s">
        <v>33</v>
      </c>
    </row>
    <row r="3357" spans="1:13">
      <c r="A3357" t="s">
        <v>5</v>
      </c>
      <c r="B3357" t="s">
        <v>379</v>
      </c>
      <c r="C3357" t="s">
        <v>2757</v>
      </c>
      <c r="D3357" t="s">
        <v>1459</v>
      </c>
      <c r="E3357" cm="1">
        <f t="array" ref="E3357">_xlfn.XLOOKUP(D3357,SKU_Master!A:A,SKU_Master!B:B,"Not on master")</f>
        <v>0</v>
      </c>
      <c r="F3357" cm="1">
        <f t="array" ref="F3357">_xlfn.XLOOKUP(C3357,Account_Master!A:A,Account_Master!B:B,"Not on master")</f>
        <v>0</v>
      </c>
      <c r="G3357" cm="1">
        <f t="array" ref="G3357">_xlfn.XLOOKUP(C3357,Account_Master!A:A,Account_Master!C:C,"Not on master")</f>
        <v>0</v>
      </c>
      <c r="H3357" s="6">
        <v>1.95</v>
      </c>
      <c r="I3357" s="6">
        <v>1.95</v>
      </c>
      <c r="J3357" s="6">
        <f>I3357-H3357</f>
        <v>0</v>
      </c>
      <c r="K3357" s="5">
        <f>IF(H3357=0,"",J3357/H3357)</f>
        <v>0</v>
      </c>
      <c r="L3357">
        <f>IF(OR(AND(H3357=0,ABS(J3357)&gt;=0.01),AND(H3357&lt;&gt;0,ABS(K3357)&gt;VarianceThreshold)),"Review","OK")</f>
        <v>0</v>
      </c>
      <c r="M3357" t="s">
        <v>33</v>
      </c>
    </row>
    <row r="3358" spans="1:13">
      <c r="A3358" t="s">
        <v>5</v>
      </c>
      <c r="B3358" t="s">
        <v>392</v>
      </c>
      <c r="C3358" t="s">
        <v>2757</v>
      </c>
      <c r="D3358" t="s">
        <v>2871</v>
      </c>
      <c r="E3358" cm="1">
        <f t="array" ref="E3358">_xlfn.XLOOKUP(D3358,SKU_Master!A:A,SKU_Master!B:B,"Not on master")</f>
        <v>0</v>
      </c>
      <c r="F3358" cm="1">
        <f t="array" ref="F3358">_xlfn.XLOOKUP(C3358,Account_Master!A:A,Account_Master!B:B,"Not on master")</f>
        <v>0</v>
      </c>
      <c r="G3358" cm="1">
        <f t="array" ref="G3358">_xlfn.XLOOKUP(C3358,Account_Master!A:A,Account_Master!C:C,"Not on master")</f>
        <v>0</v>
      </c>
      <c r="H3358" s="6">
        <v>12</v>
      </c>
      <c r="I3358" s="6">
        <v>12</v>
      </c>
      <c r="J3358" s="6">
        <f>I3358-H3358</f>
        <v>0</v>
      </c>
      <c r="K3358" s="5">
        <f>IF(H3358=0,"",J3358/H3358)</f>
        <v>0</v>
      </c>
      <c r="L3358">
        <f>IF(OR(AND(H3358=0,ABS(J3358)&gt;=0.01),AND(H3358&lt;&gt;0,ABS(K3358)&gt;VarianceThreshold)),"Review","OK")</f>
        <v>0</v>
      </c>
      <c r="M3358" t="s">
        <v>33</v>
      </c>
    </row>
    <row r="3359" spans="1:13">
      <c r="A3359" t="s">
        <v>5</v>
      </c>
      <c r="B3359" t="s">
        <v>392</v>
      </c>
      <c r="C3359" t="s">
        <v>2872</v>
      </c>
      <c r="D3359" t="s">
        <v>1850</v>
      </c>
      <c r="E3359" cm="1">
        <f t="array" ref="E3359">_xlfn.XLOOKUP(D3359,SKU_Master!A:A,SKU_Master!B:B,"Not on master")</f>
        <v>0</v>
      </c>
      <c r="F3359" cm="1">
        <f t="array" ref="F3359">_xlfn.XLOOKUP(C3359,Account_Master!A:A,Account_Master!B:B,"Not on master")</f>
        <v>0</v>
      </c>
      <c r="G3359" cm="1">
        <f t="array" ref="G3359">_xlfn.XLOOKUP(C3359,Account_Master!A:A,Account_Master!C:C,"Not on master")</f>
        <v>0</v>
      </c>
      <c r="H3359" s="6">
        <v>6</v>
      </c>
      <c r="I3359" s="6">
        <v>6</v>
      </c>
      <c r="J3359" s="6">
        <f>I3359-H3359</f>
        <v>0</v>
      </c>
      <c r="K3359" s="5">
        <f>IF(H3359=0,"",J3359/H3359)</f>
        <v>0</v>
      </c>
      <c r="L3359">
        <f>IF(OR(AND(H3359=0,ABS(J3359)&gt;=0.01),AND(H3359&lt;&gt;0,ABS(K3359)&gt;VarianceThreshold)),"Review","OK")</f>
        <v>0</v>
      </c>
      <c r="M3359" t="s">
        <v>33</v>
      </c>
    </row>
    <row r="3360" spans="1:13">
      <c r="A3360" t="s">
        <v>5</v>
      </c>
      <c r="B3360" t="s">
        <v>392</v>
      </c>
      <c r="C3360" t="s">
        <v>2750</v>
      </c>
      <c r="D3360" t="s">
        <v>125</v>
      </c>
      <c r="E3360" cm="1">
        <f t="array" ref="E3360">_xlfn.XLOOKUP(D3360,SKU_Master!A:A,SKU_Master!B:B,"Not on master")</f>
        <v>0</v>
      </c>
      <c r="F3360" cm="1">
        <f t="array" ref="F3360">_xlfn.XLOOKUP(C3360,Account_Master!A:A,Account_Master!B:B,"Not on master")</f>
        <v>0</v>
      </c>
      <c r="G3360" cm="1">
        <f t="array" ref="G3360">_xlfn.XLOOKUP(C3360,Account_Master!A:A,Account_Master!C:C,"Not on master")</f>
        <v>0</v>
      </c>
      <c r="H3360" s="6">
        <v>50.75</v>
      </c>
      <c r="I3360" s="6">
        <v>50.75</v>
      </c>
      <c r="J3360" s="6">
        <f>I3360-H3360</f>
        <v>0</v>
      </c>
      <c r="K3360" s="5">
        <f>IF(H3360=0,"",J3360/H3360)</f>
        <v>0</v>
      </c>
      <c r="L3360">
        <f>IF(OR(AND(H3360=0,ABS(J3360)&gt;=0.01),AND(H3360&lt;&gt;0,ABS(K3360)&gt;VarianceThreshold)),"Review","OK")</f>
        <v>0</v>
      </c>
      <c r="M3360" t="s">
        <v>33</v>
      </c>
    </row>
    <row r="3361" spans="1:13">
      <c r="A3361" t="s">
        <v>5</v>
      </c>
      <c r="B3361" t="s">
        <v>392</v>
      </c>
      <c r="C3361" t="s">
        <v>2791</v>
      </c>
      <c r="D3361" t="s">
        <v>2873</v>
      </c>
      <c r="E3361" cm="1">
        <f t="array" ref="E3361">_xlfn.XLOOKUP(D3361,SKU_Master!A:A,SKU_Master!B:B,"Not on master")</f>
        <v>0</v>
      </c>
      <c r="F3361" cm="1">
        <f t="array" ref="F3361">_xlfn.XLOOKUP(C3361,Account_Master!A:A,Account_Master!B:B,"Not on master")</f>
        <v>0</v>
      </c>
      <c r="G3361" cm="1">
        <f t="array" ref="G3361">_xlfn.XLOOKUP(C3361,Account_Master!A:A,Account_Master!C:C,"Not on master")</f>
        <v>0</v>
      </c>
      <c r="H3361" s="6">
        <v>12</v>
      </c>
      <c r="I3361" s="6">
        <v>12</v>
      </c>
      <c r="J3361" s="6">
        <f>I3361-H3361</f>
        <v>0</v>
      </c>
      <c r="K3361" s="5">
        <f>IF(H3361=0,"",J3361/H3361)</f>
        <v>0</v>
      </c>
      <c r="L3361">
        <f>IF(OR(AND(H3361=0,ABS(J3361)&gt;=0.01),AND(H3361&lt;&gt;0,ABS(K3361)&gt;VarianceThreshold)),"Review","OK")</f>
        <v>0</v>
      </c>
      <c r="M3361" t="s">
        <v>33</v>
      </c>
    </row>
    <row r="3362" spans="1:13">
      <c r="A3362" t="s">
        <v>5</v>
      </c>
      <c r="B3362" t="s">
        <v>392</v>
      </c>
      <c r="C3362" t="s">
        <v>2775</v>
      </c>
      <c r="D3362" t="s">
        <v>1686</v>
      </c>
      <c r="E3362" cm="1">
        <f t="array" ref="E3362">_xlfn.XLOOKUP(D3362,SKU_Master!A:A,SKU_Master!B:B,"Not on master")</f>
        <v>0</v>
      </c>
      <c r="F3362" cm="1">
        <f t="array" ref="F3362">_xlfn.XLOOKUP(C3362,Account_Master!A:A,Account_Master!B:B,"Not on master")</f>
        <v>0</v>
      </c>
      <c r="G3362" cm="1">
        <f t="array" ref="G3362">_xlfn.XLOOKUP(C3362,Account_Master!A:A,Account_Master!C:C,"Not on master")</f>
        <v>0</v>
      </c>
      <c r="H3362" s="6">
        <v>1.5</v>
      </c>
      <c r="I3362" s="6">
        <v>1.5</v>
      </c>
      <c r="J3362" s="6">
        <f>I3362-H3362</f>
        <v>0</v>
      </c>
      <c r="K3362" s="5">
        <f>IF(H3362=0,"",J3362/H3362)</f>
        <v>0</v>
      </c>
      <c r="L3362">
        <f>IF(OR(AND(H3362=0,ABS(J3362)&gt;=0.01),AND(H3362&lt;&gt;0,ABS(K3362)&gt;VarianceThreshold)),"Review","OK")</f>
        <v>0</v>
      </c>
      <c r="M3362" t="s">
        <v>33</v>
      </c>
    </row>
    <row r="3363" spans="1:13">
      <c r="A3363" t="s">
        <v>5</v>
      </c>
      <c r="B3363" t="s">
        <v>392</v>
      </c>
      <c r="C3363" t="s">
        <v>2874</v>
      </c>
      <c r="D3363" t="s">
        <v>1903</v>
      </c>
      <c r="E3363" cm="1">
        <f t="array" ref="E3363">_xlfn.XLOOKUP(D3363,SKU_Master!A:A,SKU_Master!B:B,"Not on master")</f>
        <v>0</v>
      </c>
      <c r="F3363" cm="1">
        <f t="array" ref="F3363">_xlfn.XLOOKUP(C3363,Account_Master!A:A,Account_Master!B:B,"Not on master")</f>
        <v>0</v>
      </c>
      <c r="G3363" cm="1">
        <f t="array" ref="G3363">_xlfn.XLOOKUP(C3363,Account_Master!A:A,Account_Master!C:C,"Not on master")</f>
        <v>0</v>
      </c>
      <c r="H3363" s="6">
        <v>24</v>
      </c>
      <c r="I3363" s="6">
        <v>24</v>
      </c>
      <c r="J3363" s="6">
        <f>I3363-H3363</f>
        <v>0</v>
      </c>
      <c r="K3363" s="5">
        <f>IF(H3363=0,"",J3363/H3363)</f>
        <v>0</v>
      </c>
      <c r="L3363">
        <f>IF(OR(AND(H3363=0,ABS(J3363)&gt;=0.01),AND(H3363&lt;&gt;0,ABS(K3363)&gt;VarianceThreshold)),"Review","OK")</f>
        <v>0</v>
      </c>
      <c r="M3363" t="s">
        <v>33</v>
      </c>
    </row>
    <row r="3364" spans="1:13">
      <c r="A3364" t="s">
        <v>5</v>
      </c>
      <c r="B3364" t="s">
        <v>392</v>
      </c>
      <c r="C3364" t="s">
        <v>2793</v>
      </c>
      <c r="D3364" t="s">
        <v>773</v>
      </c>
      <c r="E3364" cm="1">
        <f t="array" ref="E3364">_xlfn.XLOOKUP(D3364,SKU_Master!A:A,SKU_Master!B:B,"Not on master")</f>
        <v>0</v>
      </c>
      <c r="F3364" cm="1">
        <f t="array" ref="F3364">_xlfn.XLOOKUP(C3364,Account_Master!A:A,Account_Master!B:B,"Not on master")</f>
        <v>0</v>
      </c>
      <c r="G3364" cm="1">
        <f t="array" ref="G3364">_xlfn.XLOOKUP(C3364,Account_Master!A:A,Account_Master!C:C,"Not on master")</f>
        <v>0</v>
      </c>
      <c r="H3364" s="6">
        <v>119.25</v>
      </c>
      <c r="I3364" s="6">
        <v>119.25</v>
      </c>
      <c r="J3364" s="6">
        <f>I3364-H3364</f>
        <v>0</v>
      </c>
      <c r="K3364" s="5">
        <f>IF(H3364=0,"",J3364/H3364)</f>
        <v>0</v>
      </c>
      <c r="L3364">
        <f>IF(OR(AND(H3364=0,ABS(J3364)&gt;=0.01),AND(H3364&lt;&gt;0,ABS(K3364)&gt;VarianceThreshold)),"Review","OK")</f>
        <v>0</v>
      </c>
      <c r="M3364" t="s">
        <v>33</v>
      </c>
    </row>
    <row r="3365" spans="1:13">
      <c r="A3365" t="s">
        <v>5</v>
      </c>
      <c r="B3365" t="s">
        <v>402</v>
      </c>
      <c r="C3365" t="s">
        <v>2765</v>
      </c>
      <c r="D3365" t="s">
        <v>2875</v>
      </c>
      <c r="E3365" cm="1">
        <f t="array" ref="E3365">_xlfn.XLOOKUP(D3365,SKU_Master!A:A,SKU_Master!B:B,"Not on master")</f>
        <v>0</v>
      </c>
      <c r="F3365" cm="1">
        <f t="array" ref="F3365">_xlfn.XLOOKUP(C3365,Account_Master!A:A,Account_Master!B:B,"Not on master")</f>
        <v>0</v>
      </c>
      <c r="G3365" cm="1">
        <f t="array" ref="G3365">_xlfn.XLOOKUP(C3365,Account_Master!A:A,Account_Master!C:C,"Not on master")</f>
        <v>0</v>
      </c>
      <c r="H3365" s="6">
        <v>68.25</v>
      </c>
      <c r="I3365" s="6">
        <v>68.25</v>
      </c>
      <c r="J3365" s="6">
        <f>I3365-H3365</f>
        <v>0</v>
      </c>
      <c r="K3365" s="5">
        <f>IF(H3365=0,"",J3365/H3365)</f>
        <v>0</v>
      </c>
      <c r="L3365">
        <f>IF(OR(AND(H3365=0,ABS(J3365)&gt;=0.01),AND(H3365&lt;&gt;0,ABS(K3365)&gt;VarianceThreshold)),"Review","OK")</f>
        <v>0</v>
      </c>
      <c r="M3365" t="s">
        <v>33</v>
      </c>
    </row>
    <row r="3366" spans="1:13">
      <c r="A3366" t="s">
        <v>5</v>
      </c>
      <c r="B3366" t="s">
        <v>402</v>
      </c>
      <c r="C3366" t="s">
        <v>2850</v>
      </c>
      <c r="D3366" t="s">
        <v>2876</v>
      </c>
      <c r="E3366" cm="1">
        <f t="array" ref="E3366">_xlfn.XLOOKUP(D3366,SKU_Master!A:A,SKU_Master!B:B,"Not on master")</f>
        <v>0</v>
      </c>
      <c r="F3366" cm="1">
        <f t="array" ref="F3366">_xlfn.XLOOKUP(C3366,Account_Master!A:A,Account_Master!B:B,"Not on master")</f>
        <v>0</v>
      </c>
      <c r="G3366" cm="1">
        <f t="array" ref="G3366">_xlfn.XLOOKUP(C3366,Account_Master!A:A,Account_Master!C:C,"Not on master")</f>
        <v>0</v>
      </c>
      <c r="H3366" s="6">
        <v>0.25</v>
      </c>
      <c r="I3366" s="6">
        <v>0.25</v>
      </c>
      <c r="J3366" s="6">
        <f>I3366-H3366</f>
        <v>0</v>
      </c>
      <c r="K3366" s="5">
        <f>IF(H3366=0,"",J3366/H3366)</f>
        <v>0</v>
      </c>
      <c r="L3366">
        <f>IF(OR(AND(H3366=0,ABS(J3366)&gt;=0.01),AND(H3366&lt;&gt;0,ABS(K3366)&gt;VarianceThreshold)),"Review","OK")</f>
        <v>0</v>
      </c>
      <c r="M3366" t="s">
        <v>33</v>
      </c>
    </row>
    <row r="3367" spans="1:13">
      <c r="A3367" t="s">
        <v>5</v>
      </c>
      <c r="B3367" t="s">
        <v>402</v>
      </c>
      <c r="C3367" t="s">
        <v>2785</v>
      </c>
      <c r="D3367" t="s">
        <v>2877</v>
      </c>
      <c r="E3367" cm="1">
        <f t="array" ref="E3367">_xlfn.XLOOKUP(D3367,SKU_Master!A:A,SKU_Master!B:B,"Not on master")</f>
        <v>0</v>
      </c>
      <c r="F3367" cm="1">
        <f t="array" ref="F3367">_xlfn.XLOOKUP(C3367,Account_Master!A:A,Account_Master!B:B,"Not on master")</f>
        <v>0</v>
      </c>
      <c r="G3367" cm="1">
        <f t="array" ref="G3367">_xlfn.XLOOKUP(C3367,Account_Master!A:A,Account_Master!C:C,"Not on master")</f>
        <v>0</v>
      </c>
      <c r="H3367" s="6">
        <v>13.5</v>
      </c>
      <c r="I3367" s="6">
        <v>13.5</v>
      </c>
      <c r="J3367" s="6">
        <f>I3367-H3367</f>
        <v>0</v>
      </c>
      <c r="K3367" s="5">
        <f>IF(H3367=0,"",J3367/H3367)</f>
        <v>0</v>
      </c>
      <c r="L3367">
        <f>IF(OR(AND(H3367=0,ABS(J3367)&gt;=0.01),AND(H3367&lt;&gt;0,ABS(K3367)&gt;VarianceThreshold)),"Review","OK")</f>
        <v>0</v>
      </c>
      <c r="M3367" t="s">
        <v>33</v>
      </c>
    </row>
    <row r="3368" spans="1:13">
      <c r="A3368" t="s">
        <v>5</v>
      </c>
      <c r="B3368" t="s">
        <v>410</v>
      </c>
      <c r="C3368" t="s">
        <v>2849</v>
      </c>
      <c r="D3368" t="s">
        <v>1234</v>
      </c>
      <c r="E3368" cm="1">
        <f t="array" ref="E3368">_xlfn.XLOOKUP(D3368,SKU_Master!A:A,SKU_Master!B:B,"Not on master")</f>
        <v>0</v>
      </c>
      <c r="F3368" cm="1">
        <f t="array" ref="F3368">_xlfn.XLOOKUP(C3368,Account_Master!A:A,Account_Master!B:B,"Not on master")</f>
        <v>0</v>
      </c>
      <c r="G3368" cm="1">
        <f t="array" ref="G3368">_xlfn.XLOOKUP(C3368,Account_Master!A:A,Account_Master!C:C,"Not on master")</f>
        <v>0</v>
      </c>
      <c r="H3368" s="6">
        <v>1.5</v>
      </c>
      <c r="I3368" s="6">
        <v>1.5</v>
      </c>
      <c r="J3368" s="6">
        <f>I3368-H3368</f>
        <v>0</v>
      </c>
      <c r="K3368" s="5">
        <f>IF(H3368=0,"",J3368/H3368)</f>
        <v>0</v>
      </c>
      <c r="L3368">
        <f>IF(OR(AND(H3368=0,ABS(J3368)&gt;=0.01),AND(H3368&lt;&gt;0,ABS(K3368)&gt;VarianceThreshold)),"Review","OK")</f>
        <v>0</v>
      </c>
      <c r="M3368" t="s">
        <v>33</v>
      </c>
    </row>
    <row r="3369" spans="1:13">
      <c r="A3369" t="s">
        <v>5</v>
      </c>
      <c r="B3369" t="s">
        <v>410</v>
      </c>
      <c r="C3369" t="s">
        <v>2800</v>
      </c>
      <c r="D3369" t="s">
        <v>2878</v>
      </c>
      <c r="E3369" cm="1">
        <f t="array" ref="E3369">_xlfn.XLOOKUP(D3369,SKU_Master!A:A,SKU_Master!B:B,"Not on master")</f>
        <v>0</v>
      </c>
      <c r="F3369" cm="1">
        <f t="array" ref="F3369">_xlfn.XLOOKUP(C3369,Account_Master!A:A,Account_Master!B:B,"Not on master")</f>
        <v>0</v>
      </c>
      <c r="G3369" cm="1">
        <f t="array" ref="G3369">_xlfn.XLOOKUP(C3369,Account_Master!A:A,Account_Master!C:C,"Not on master")</f>
        <v>0</v>
      </c>
      <c r="H3369" s="6">
        <v>2.05</v>
      </c>
      <c r="I3369" s="6">
        <v>2.05</v>
      </c>
      <c r="J3369" s="6">
        <f>I3369-H3369</f>
        <v>0</v>
      </c>
      <c r="K3369" s="5">
        <f>IF(H3369=0,"",J3369/H3369)</f>
        <v>0</v>
      </c>
      <c r="L3369">
        <f>IF(OR(AND(H3369=0,ABS(J3369)&gt;=0.01),AND(H3369&lt;&gt;0,ABS(K3369)&gt;VarianceThreshold)),"Review","OK")</f>
        <v>0</v>
      </c>
      <c r="M3369" t="s">
        <v>33</v>
      </c>
    </row>
    <row r="3370" spans="1:13">
      <c r="A3370" t="s">
        <v>5</v>
      </c>
      <c r="B3370" t="s">
        <v>410</v>
      </c>
      <c r="C3370" t="s">
        <v>2850</v>
      </c>
      <c r="D3370" t="s">
        <v>1075</v>
      </c>
      <c r="E3370" cm="1">
        <f t="array" ref="E3370">_xlfn.XLOOKUP(D3370,SKU_Master!A:A,SKU_Master!B:B,"Not on master")</f>
        <v>0</v>
      </c>
      <c r="F3370" cm="1">
        <f t="array" ref="F3370">_xlfn.XLOOKUP(C3370,Account_Master!A:A,Account_Master!B:B,"Not on master")</f>
        <v>0</v>
      </c>
      <c r="G3370" cm="1">
        <f t="array" ref="G3370">_xlfn.XLOOKUP(C3370,Account_Master!A:A,Account_Master!C:C,"Not on master")</f>
        <v>0</v>
      </c>
      <c r="H3370" s="6">
        <v>9.75</v>
      </c>
      <c r="I3370" s="6">
        <v>9.75</v>
      </c>
      <c r="J3370" s="6">
        <f>I3370-H3370</f>
        <v>0</v>
      </c>
      <c r="K3370" s="5">
        <f>IF(H3370=0,"",J3370/H3370)</f>
        <v>0</v>
      </c>
      <c r="L3370">
        <f>IF(OR(AND(H3370=0,ABS(J3370)&gt;=0.01),AND(H3370&lt;&gt;0,ABS(K3370)&gt;VarianceThreshold)),"Review","OK")</f>
        <v>0</v>
      </c>
      <c r="M3370" t="s">
        <v>33</v>
      </c>
    </row>
    <row r="3371" spans="1:13">
      <c r="A3371" t="s">
        <v>5</v>
      </c>
      <c r="B3371" t="s">
        <v>416</v>
      </c>
      <c r="C3371" t="s">
        <v>2879</v>
      </c>
      <c r="D3371" t="s">
        <v>1363</v>
      </c>
      <c r="E3371" cm="1">
        <f t="array" ref="E3371">_xlfn.XLOOKUP(D3371,SKU_Master!A:A,SKU_Master!B:B,"Not on master")</f>
        <v>0</v>
      </c>
      <c r="F3371" cm="1">
        <f t="array" ref="F3371">_xlfn.XLOOKUP(C3371,Account_Master!A:A,Account_Master!B:B,"Not on master")</f>
        <v>0</v>
      </c>
      <c r="G3371" cm="1">
        <f t="array" ref="G3371">_xlfn.XLOOKUP(C3371,Account_Master!A:A,Account_Master!C:C,"Not on master")</f>
        <v>0</v>
      </c>
      <c r="H3371" s="6">
        <v>72.75</v>
      </c>
      <c r="I3371" s="6">
        <v>72.75</v>
      </c>
      <c r="J3371" s="6">
        <f>I3371-H3371</f>
        <v>0</v>
      </c>
      <c r="K3371" s="5">
        <f>IF(H3371=0,"",J3371/H3371)</f>
        <v>0</v>
      </c>
      <c r="L3371">
        <f>IF(OR(AND(H3371=0,ABS(J3371)&gt;=0.01),AND(H3371&lt;&gt;0,ABS(K3371)&gt;VarianceThreshold)),"Review","OK")</f>
        <v>0</v>
      </c>
      <c r="M3371" t="s">
        <v>33</v>
      </c>
    </row>
    <row r="3372" spans="1:13">
      <c r="A3372" t="s">
        <v>5</v>
      </c>
      <c r="B3372" t="s">
        <v>416</v>
      </c>
      <c r="C3372" t="s">
        <v>2879</v>
      </c>
      <c r="D3372" t="s">
        <v>2880</v>
      </c>
      <c r="E3372" cm="1">
        <f t="array" ref="E3372">_xlfn.XLOOKUP(D3372,SKU_Master!A:A,SKU_Master!B:B,"Not on master")</f>
        <v>0</v>
      </c>
      <c r="F3372" cm="1">
        <f t="array" ref="F3372">_xlfn.XLOOKUP(C3372,Account_Master!A:A,Account_Master!B:B,"Not on master")</f>
        <v>0</v>
      </c>
      <c r="G3372" cm="1">
        <f t="array" ref="G3372">_xlfn.XLOOKUP(C3372,Account_Master!A:A,Account_Master!C:C,"Not on master")</f>
        <v>0</v>
      </c>
      <c r="H3372" s="6">
        <v>18</v>
      </c>
      <c r="I3372" s="6">
        <v>18</v>
      </c>
      <c r="J3372" s="6">
        <f>I3372-H3372</f>
        <v>0</v>
      </c>
      <c r="K3372" s="5">
        <f>IF(H3372=0,"",J3372/H3372)</f>
        <v>0</v>
      </c>
      <c r="L3372">
        <f>IF(OR(AND(H3372=0,ABS(J3372)&gt;=0.01),AND(H3372&lt;&gt;0,ABS(K3372)&gt;VarianceThreshold)),"Review","OK")</f>
        <v>0</v>
      </c>
      <c r="M3372" t="s">
        <v>33</v>
      </c>
    </row>
    <row r="3373" spans="1:13">
      <c r="A3373" t="s">
        <v>5</v>
      </c>
      <c r="B3373" t="s">
        <v>416</v>
      </c>
      <c r="C3373" t="s">
        <v>2750</v>
      </c>
      <c r="D3373" t="s">
        <v>2108</v>
      </c>
      <c r="E3373" cm="1">
        <f t="array" ref="E3373">_xlfn.XLOOKUP(D3373,SKU_Master!A:A,SKU_Master!B:B,"Not on master")</f>
        <v>0</v>
      </c>
      <c r="F3373" cm="1">
        <f t="array" ref="F3373">_xlfn.XLOOKUP(C3373,Account_Master!A:A,Account_Master!B:B,"Not on master")</f>
        <v>0</v>
      </c>
      <c r="G3373" cm="1">
        <f t="array" ref="G3373">_xlfn.XLOOKUP(C3373,Account_Master!A:A,Account_Master!C:C,"Not on master")</f>
        <v>0</v>
      </c>
      <c r="H3373" s="6">
        <v>9</v>
      </c>
      <c r="I3373" s="6">
        <v>9</v>
      </c>
      <c r="J3373" s="6">
        <f>I3373-H3373</f>
        <v>0</v>
      </c>
      <c r="K3373" s="5">
        <f>IF(H3373=0,"",J3373/H3373)</f>
        <v>0</v>
      </c>
      <c r="L3373">
        <f>IF(OR(AND(H3373=0,ABS(J3373)&gt;=0.01),AND(H3373&lt;&gt;0,ABS(K3373)&gt;VarianceThreshold)),"Review","OK")</f>
        <v>0</v>
      </c>
      <c r="M3373" t="s">
        <v>33</v>
      </c>
    </row>
    <row r="3374" spans="1:13">
      <c r="A3374" t="s">
        <v>5</v>
      </c>
      <c r="B3374" t="s">
        <v>416</v>
      </c>
      <c r="C3374" t="s">
        <v>2881</v>
      </c>
      <c r="D3374" t="s">
        <v>1485</v>
      </c>
      <c r="E3374" cm="1">
        <f t="array" ref="E3374">_xlfn.XLOOKUP(D3374,SKU_Master!A:A,SKU_Master!B:B,"Not on master")</f>
        <v>0</v>
      </c>
      <c r="F3374" cm="1">
        <f t="array" ref="F3374">_xlfn.XLOOKUP(C3374,Account_Master!A:A,Account_Master!B:B,"Not on master")</f>
        <v>0</v>
      </c>
      <c r="G3374" cm="1">
        <f t="array" ref="G3374">_xlfn.XLOOKUP(C3374,Account_Master!A:A,Account_Master!C:C,"Not on master")</f>
        <v>0</v>
      </c>
      <c r="H3374" s="6">
        <v>18</v>
      </c>
      <c r="I3374" s="6">
        <v>18</v>
      </c>
      <c r="J3374" s="6">
        <f>I3374-H3374</f>
        <v>0</v>
      </c>
      <c r="K3374" s="5">
        <f>IF(H3374=0,"",J3374/H3374)</f>
        <v>0</v>
      </c>
      <c r="L3374">
        <f>IF(OR(AND(H3374=0,ABS(J3374)&gt;=0.01),AND(H3374&lt;&gt;0,ABS(K3374)&gt;VarianceThreshold)),"Review","OK")</f>
        <v>0</v>
      </c>
      <c r="M3374" t="s">
        <v>33</v>
      </c>
    </row>
    <row r="3375" spans="1:13">
      <c r="A3375" t="s">
        <v>5</v>
      </c>
      <c r="B3375" t="s">
        <v>416</v>
      </c>
      <c r="C3375" t="s">
        <v>2882</v>
      </c>
      <c r="D3375" t="s">
        <v>1873</v>
      </c>
      <c r="E3375" cm="1">
        <f t="array" ref="E3375">_xlfn.XLOOKUP(D3375,SKU_Master!A:A,SKU_Master!B:B,"Not on master")</f>
        <v>0</v>
      </c>
      <c r="F3375" cm="1">
        <f t="array" ref="F3375">_xlfn.XLOOKUP(C3375,Account_Master!A:A,Account_Master!B:B,"Not on master")</f>
        <v>0</v>
      </c>
      <c r="G3375" cm="1">
        <f t="array" ref="G3375">_xlfn.XLOOKUP(C3375,Account_Master!A:A,Account_Master!C:C,"Not on master")</f>
        <v>0</v>
      </c>
      <c r="H3375" s="6">
        <v>12</v>
      </c>
      <c r="I3375" s="6">
        <v>12</v>
      </c>
      <c r="J3375" s="6">
        <f>I3375-H3375</f>
        <v>0</v>
      </c>
      <c r="K3375" s="5">
        <f>IF(H3375=0,"",J3375/H3375)</f>
        <v>0</v>
      </c>
      <c r="L3375">
        <f>IF(OR(AND(H3375=0,ABS(J3375)&gt;=0.01),AND(H3375&lt;&gt;0,ABS(K3375)&gt;VarianceThreshold)),"Review","OK")</f>
        <v>0</v>
      </c>
      <c r="M3375" t="s">
        <v>33</v>
      </c>
    </row>
    <row r="3376" spans="1:13">
      <c r="A3376" t="s">
        <v>5</v>
      </c>
      <c r="B3376" t="s">
        <v>428</v>
      </c>
      <c r="C3376" t="s">
        <v>2883</v>
      </c>
      <c r="D3376" t="s">
        <v>2884</v>
      </c>
      <c r="E3376" cm="1">
        <f t="array" ref="E3376">_xlfn.XLOOKUP(D3376,SKU_Master!A:A,SKU_Master!B:B,"Not on master")</f>
        <v>0</v>
      </c>
      <c r="F3376" cm="1">
        <f t="array" ref="F3376">_xlfn.XLOOKUP(C3376,Account_Master!A:A,Account_Master!B:B,"Not on master")</f>
        <v>0</v>
      </c>
      <c r="G3376" cm="1">
        <f t="array" ref="G3376">_xlfn.XLOOKUP(C3376,Account_Master!A:A,Account_Master!C:C,"Not on master")</f>
        <v>0</v>
      </c>
      <c r="H3376" s="6">
        <v>4.5</v>
      </c>
      <c r="I3376" s="6">
        <v>4.5</v>
      </c>
      <c r="J3376" s="6">
        <f>I3376-H3376</f>
        <v>0</v>
      </c>
      <c r="K3376" s="5">
        <f>IF(H3376=0,"",J3376/H3376)</f>
        <v>0</v>
      </c>
      <c r="L3376">
        <f>IF(OR(AND(H3376=0,ABS(J3376)&gt;=0.01),AND(H3376&lt;&gt;0,ABS(K3376)&gt;VarianceThreshold)),"Review","OK")</f>
        <v>0</v>
      </c>
      <c r="M3376" t="s">
        <v>33</v>
      </c>
    </row>
    <row r="3377" spans="1:13">
      <c r="A3377" t="s">
        <v>5</v>
      </c>
      <c r="B3377" t="s">
        <v>428</v>
      </c>
      <c r="C3377" t="s">
        <v>2750</v>
      </c>
      <c r="D3377" t="s">
        <v>1172</v>
      </c>
      <c r="E3377" cm="1">
        <f t="array" ref="E3377">_xlfn.XLOOKUP(D3377,SKU_Master!A:A,SKU_Master!B:B,"Not on master")</f>
        <v>0</v>
      </c>
      <c r="F3377" cm="1">
        <f t="array" ref="F3377">_xlfn.XLOOKUP(C3377,Account_Master!A:A,Account_Master!B:B,"Not on master")</f>
        <v>0</v>
      </c>
      <c r="G3377" cm="1">
        <f t="array" ref="G3377">_xlfn.XLOOKUP(C3377,Account_Master!A:A,Account_Master!C:C,"Not on master")</f>
        <v>0</v>
      </c>
      <c r="H3377" s="6">
        <v>22.5</v>
      </c>
      <c r="I3377" s="6">
        <v>22.5</v>
      </c>
      <c r="J3377" s="6">
        <f>I3377-H3377</f>
        <v>0</v>
      </c>
      <c r="K3377" s="5">
        <f>IF(H3377=0,"",J3377/H3377)</f>
        <v>0</v>
      </c>
      <c r="L3377">
        <f>IF(OR(AND(H3377=0,ABS(J3377)&gt;=0.01),AND(H3377&lt;&gt;0,ABS(K3377)&gt;VarianceThreshold)),"Review","OK")</f>
        <v>0</v>
      </c>
      <c r="M3377" t="s">
        <v>33</v>
      </c>
    </row>
    <row r="3378" spans="1:13">
      <c r="A3378" t="s">
        <v>5</v>
      </c>
      <c r="B3378" t="s">
        <v>428</v>
      </c>
      <c r="C3378" t="s">
        <v>2760</v>
      </c>
      <c r="D3378" t="s">
        <v>927</v>
      </c>
      <c r="E3378" cm="1">
        <f t="array" ref="E3378">_xlfn.XLOOKUP(D3378,SKU_Master!A:A,SKU_Master!B:B,"Not on master")</f>
        <v>0</v>
      </c>
      <c r="F3378" cm="1">
        <f t="array" ref="F3378">_xlfn.XLOOKUP(C3378,Account_Master!A:A,Account_Master!B:B,"Not on master")</f>
        <v>0</v>
      </c>
      <c r="G3378" cm="1">
        <f t="array" ref="G3378">_xlfn.XLOOKUP(C3378,Account_Master!A:A,Account_Master!C:C,"Not on master")</f>
        <v>0</v>
      </c>
      <c r="H3378" s="6">
        <v>509.25</v>
      </c>
      <c r="I3378" s="6">
        <v>509.25</v>
      </c>
      <c r="J3378" s="6">
        <f>I3378-H3378</f>
        <v>0</v>
      </c>
      <c r="K3378" s="5">
        <f>IF(H3378=0,"",J3378/H3378)</f>
        <v>0</v>
      </c>
      <c r="L3378">
        <f>IF(OR(AND(H3378=0,ABS(J3378)&gt;=0.01),AND(H3378&lt;&gt;0,ABS(K3378)&gt;VarianceThreshold)),"Review","OK")</f>
        <v>0</v>
      </c>
      <c r="M3378" t="s">
        <v>33</v>
      </c>
    </row>
    <row r="3379" spans="1:13">
      <c r="A3379" t="s">
        <v>5</v>
      </c>
      <c r="B3379" t="s">
        <v>428</v>
      </c>
      <c r="C3379" t="s">
        <v>2778</v>
      </c>
      <c r="D3379" t="s">
        <v>240</v>
      </c>
      <c r="E3379" cm="1">
        <f t="array" ref="E3379">_xlfn.XLOOKUP(D3379,SKU_Master!A:A,SKU_Master!B:B,"Not on master")</f>
        <v>0</v>
      </c>
      <c r="F3379" cm="1">
        <f t="array" ref="F3379">_xlfn.XLOOKUP(C3379,Account_Master!A:A,Account_Master!B:B,"Not on master")</f>
        <v>0</v>
      </c>
      <c r="G3379" cm="1">
        <f t="array" ref="G3379">_xlfn.XLOOKUP(C3379,Account_Master!A:A,Account_Master!C:C,"Not on master")</f>
        <v>0</v>
      </c>
      <c r="H3379" s="6">
        <v>295.75</v>
      </c>
      <c r="I3379" s="6">
        <v>295.75</v>
      </c>
      <c r="J3379" s="6">
        <f>I3379-H3379</f>
        <v>0</v>
      </c>
      <c r="K3379" s="5">
        <f>IF(H3379=0,"",J3379/H3379)</f>
        <v>0</v>
      </c>
      <c r="L3379">
        <f>IF(OR(AND(H3379=0,ABS(J3379)&gt;=0.01),AND(H3379&lt;&gt;0,ABS(K3379)&gt;VarianceThreshold)),"Review","OK")</f>
        <v>0</v>
      </c>
      <c r="M3379" t="s">
        <v>33</v>
      </c>
    </row>
    <row r="3380" spans="1:13">
      <c r="A3380" t="s">
        <v>5</v>
      </c>
      <c r="B3380" t="s">
        <v>428</v>
      </c>
      <c r="C3380" t="s">
        <v>2849</v>
      </c>
      <c r="D3380" t="s">
        <v>36</v>
      </c>
      <c r="E3380" cm="1">
        <f t="array" ref="E3380">_xlfn.XLOOKUP(D3380,SKU_Master!A:A,SKU_Master!B:B,"Not on master")</f>
        <v>0</v>
      </c>
      <c r="F3380" cm="1">
        <f t="array" ref="F3380">_xlfn.XLOOKUP(C3380,Account_Master!A:A,Account_Master!B:B,"Not on master")</f>
        <v>0</v>
      </c>
      <c r="G3380" cm="1">
        <f t="array" ref="G3380">_xlfn.XLOOKUP(C3380,Account_Master!A:A,Account_Master!C:C,"Not on master")</f>
        <v>0</v>
      </c>
      <c r="H3380" s="6">
        <v>2.25</v>
      </c>
      <c r="I3380" s="6">
        <v>2.25</v>
      </c>
      <c r="J3380" s="6">
        <f>I3380-H3380</f>
        <v>0</v>
      </c>
      <c r="K3380" s="5">
        <f>IF(H3380=0,"",J3380/H3380)</f>
        <v>0</v>
      </c>
      <c r="L3380">
        <f>IF(OR(AND(H3380=0,ABS(J3380)&gt;=0.01),AND(H3380&lt;&gt;0,ABS(K3380)&gt;VarianceThreshold)),"Review","OK")</f>
        <v>0</v>
      </c>
      <c r="M3380" t="s">
        <v>33</v>
      </c>
    </row>
    <row r="3381" spans="1:13">
      <c r="A3381" t="s">
        <v>5</v>
      </c>
      <c r="B3381" t="s">
        <v>428</v>
      </c>
      <c r="C3381" t="s">
        <v>2767</v>
      </c>
      <c r="D3381" t="s">
        <v>2885</v>
      </c>
      <c r="E3381" cm="1">
        <f t="array" ref="E3381">_xlfn.XLOOKUP(D3381,SKU_Master!A:A,SKU_Master!B:B,"Not on master")</f>
        <v>0</v>
      </c>
      <c r="F3381" cm="1">
        <f t="array" ref="F3381">_xlfn.XLOOKUP(C3381,Account_Master!A:A,Account_Master!B:B,"Not on master")</f>
        <v>0</v>
      </c>
      <c r="G3381" cm="1">
        <f t="array" ref="G3381">_xlfn.XLOOKUP(C3381,Account_Master!A:A,Account_Master!C:C,"Not on master")</f>
        <v>0</v>
      </c>
      <c r="H3381" s="6">
        <v>2.25</v>
      </c>
      <c r="I3381" s="6">
        <v>2.25</v>
      </c>
      <c r="J3381" s="6">
        <f>I3381-H3381</f>
        <v>0</v>
      </c>
      <c r="K3381" s="5">
        <f>IF(H3381=0,"",J3381/H3381)</f>
        <v>0</v>
      </c>
      <c r="L3381">
        <f>IF(OR(AND(H3381=0,ABS(J3381)&gt;=0.01),AND(H3381&lt;&gt;0,ABS(K3381)&gt;VarianceThreshold)),"Review","OK")</f>
        <v>0</v>
      </c>
      <c r="M3381" t="s">
        <v>33</v>
      </c>
    </row>
    <row r="3382" spans="1:13">
      <c r="A3382" t="s">
        <v>5</v>
      </c>
      <c r="B3382" t="s">
        <v>428</v>
      </c>
      <c r="C3382" t="s">
        <v>2760</v>
      </c>
      <c r="D3382" t="s">
        <v>1656</v>
      </c>
      <c r="E3382" cm="1">
        <f t="array" ref="E3382">_xlfn.XLOOKUP(D3382,SKU_Master!A:A,SKU_Master!B:B,"Not on master")</f>
        <v>0</v>
      </c>
      <c r="F3382" cm="1">
        <f t="array" ref="F3382">_xlfn.XLOOKUP(C3382,Account_Master!A:A,Account_Master!B:B,"Not on master")</f>
        <v>0</v>
      </c>
      <c r="G3382" cm="1">
        <f t="array" ref="G3382">_xlfn.XLOOKUP(C3382,Account_Master!A:A,Account_Master!C:C,"Not on master")</f>
        <v>0</v>
      </c>
      <c r="H3382" s="6">
        <v>1.8</v>
      </c>
      <c r="I3382" s="6">
        <v>1.8</v>
      </c>
      <c r="J3382" s="6">
        <f>I3382-H3382</f>
        <v>0</v>
      </c>
      <c r="K3382" s="5">
        <f>IF(H3382=0,"",J3382/H3382)</f>
        <v>0</v>
      </c>
      <c r="L3382">
        <f>IF(OR(AND(H3382=0,ABS(J3382)&gt;=0.01),AND(H3382&lt;&gt;0,ABS(K3382)&gt;VarianceThreshold)),"Review","OK")</f>
        <v>0</v>
      </c>
      <c r="M3382" t="s">
        <v>33</v>
      </c>
    </row>
    <row r="3383" spans="1:13">
      <c r="A3383" t="s">
        <v>5</v>
      </c>
      <c r="B3383" t="s">
        <v>428</v>
      </c>
      <c r="C3383" t="s">
        <v>2886</v>
      </c>
      <c r="D3383" t="s">
        <v>1839</v>
      </c>
      <c r="E3383" cm="1">
        <f t="array" ref="E3383">_xlfn.XLOOKUP(D3383,SKU_Master!A:A,SKU_Master!B:B,"Not on master")</f>
        <v>0</v>
      </c>
      <c r="F3383" cm="1">
        <f t="array" ref="F3383">_xlfn.XLOOKUP(C3383,Account_Master!A:A,Account_Master!B:B,"Not on master")</f>
        <v>0</v>
      </c>
      <c r="G3383" cm="1">
        <f t="array" ref="G3383">_xlfn.XLOOKUP(C3383,Account_Master!A:A,Account_Master!C:C,"Not on master")</f>
        <v>0</v>
      </c>
      <c r="H3383" s="6">
        <v>18</v>
      </c>
      <c r="I3383" s="6">
        <v>18</v>
      </c>
      <c r="J3383" s="6">
        <f>I3383-H3383</f>
        <v>0</v>
      </c>
      <c r="K3383" s="5">
        <f>IF(H3383=0,"",J3383/H3383)</f>
        <v>0</v>
      </c>
      <c r="L3383">
        <f>IF(OR(AND(H3383=0,ABS(J3383)&gt;=0.01),AND(H3383&lt;&gt;0,ABS(K3383)&gt;VarianceThreshold)),"Review","OK")</f>
        <v>0</v>
      </c>
      <c r="M3383" t="s">
        <v>33</v>
      </c>
    </row>
    <row r="3384" spans="1:13">
      <c r="A3384" t="s">
        <v>5</v>
      </c>
      <c r="B3384" t="s">
        <v>428</v>
      </c>
      <c r="C3384" t="s">
        <v>2757</v>
      </c>
      <c r="D3384" t="s">
        <v>1211</v>
      </c>
      <c r="E3384" cm="1">
        <f t="array" ref="E3384">_xlfn.XLOOKUP(D3384,SKU_Master!A:A,SKU_Master!B:B,"Not on master")</f>
        <v>0</v>
      </c>
      <c r="F3384" cm="1">
        <f t="array" ref="F3384">_xlfn.XLOOKUP(C3384,Account_Master!A:A,Account_Master!B:B,"Not on master")</f>
        <v>0</v>
      </c>
      <c r="G3384" cm="1">
        <f t="array" ref="G3384">_xlfn.XLOOKUP(C3384,Account_Master!A:A,Account_Master!C:C,"Not on master")</f>
        <v>0</v>
      </c>
      <c r="H3384" s="6">
        <v>3.5</v>
      </c>
      <c r="I3384" s="6">
        <v>3.5</v>
      </c>
      <c r="J3384" s="6">
        <f>I3384-H3384</f>
        <v>0</v>
      </c>
      <c r="K3384" s="5">
        <f>IF(H3384=0,"",J3384/H3384)</f>
        <v>0</v>
      </c>
      <c r="L3384">
        <f>IF(OR(AND(H3384=0,ABS(J3384)&gt;=0.01),AND(H3384&lt;&gt;0,ABS(K3384)&gt;VarianceThreshold)),"Review","OK")</f>
        <v>0</v>
      </c>
      <c r="M3384" t="s">
        <v>33</v>
      </c>
    </row>
    <row r="3385" spans="1:13">
      <c r="A3385" t="s">
        <v>5</v>
      </c>
      <c r="B3385" t="s">
        <v>428</v>
      </c>
      <c r="C3385" t="s">
        <v>2887</v>
      </c>
      <c r="D3385" t="s">
        <v>2656</v>
      </c>
      <c r="E3385" cm="1">
        <f t="array" ref="E3385">_xlfn.XLOOKUP(D3385,SKU_Master!A:A,SKU_Master!B:B,"Not on master")</f>
        <v>0</v>
      </c>
      <c r="F3385" cm="1">
        <f t="array" ref="F3385">_xlfn.XLOOKUP(C3385,Account_Master!A:A,Account_Master!B:B,"Not on master")</f>
        <v>0</v>
      </c>
      <c r="G3385" cm="1">
        <f t="array" ref="G3385">_xlfn.XLOOKUP(C3385,Account_Master!A:A,Account_Master!C:C,"Not on master")</f>
        <v>0</v>
      </c>
      <c r="H3385" s="6">
        <v>5.62</v>
      </c>
      <c r="I3385" s="6">
        <v>5.62</v>
      </c>
      <c r="J3385" s="6">
        <f>I3385-H3385</f>
        <v>0</v>
      </c>
      <c r="K3385" s="5">
        <f>IF(H3385=0,"",J3385/H3385)</f>
        <v>0</v>
      </c>
      <c r="L3385">
        <f>IF(OR(AND(H3385=0,ABS(J3385)&gt;=0.01),AND(H3385&lt;&gt;0,ABS(K3385)&gt;VarianceThreshold)),"Review","OK")</f>
        <v>0</v>
      </c>
      <c r="M3385" t="s">
        <v>33</v>
      </c>
    </row>
    <row r="3386" spans="1:13">
      <c r="A3386" t="s">
        <v>5</v>
      </c>
      <c r="B3386" t="s">
        <v>428</v>
      </c>
      <c r="C3386" t="s">
        <v>2764</v>
      </c>
      <c r="D3386" t="s">
        <v>2517</v>
      </c>
      <c r="E3386" cm="1">
        <f t="array" ref="E3386">_xlfn.XLOOKUP(D3386,SKU_Master!A:A,SKU_Master!B:B,"Not on master")</f>
        <v>0</v>
      </c>
      <c r="F3386" cm="1">
        <f t="array" ref="F3386">_xlfn.XLOOKUP(C3386,Account_Master!A:A,Account_Master!B:B,"Not on master")</f>
        <v>0</v>
      </c>
      <c r="G3386" cm="1">
        <f t="array" ref="G3386">_xlfn.XLOOKUP(C3386,Account_Master!A:A,Account_Master!C:C,"Not on master")</f>
        <v>0</v>
      </c>
      <c r="H3386" s="6">
        <v>2.25</v>
      </c>
      <c r="I3386" s="6">
        <v>2.25</v>
      </c>
      <c r="J3386" s="6">
        <f>I3386-H3386</f>
        <v>0</v>
      </c>
      <c r="K3386" s="5">
        <f>IF(H3386=0,"",J3386/H3386)</f>
        <v>0</v>
      </c>
      <c r="L3386">
        <f>IF(OR(AND(H3386=0,ABS(J3386)&gt;=0.01),AND(H3386&lt;&gt;0,ABS(K3386)&gt;VarianceThreshold)),"Review","OK")</f>
        <v>0</v>
      </c>
      <c r="M3386" t="s">
        <v>33</v>
      </c>
    </row>
    <row r="3387" spans="1:13">
      <c r="A3387" t="s">
        <v>5</v>
      </c>
      <c r="B3387" t="s">
        <v>436</v>
      </c>
      <c r="C3387" t="s">
        <v>2888</v>
      </c>
      <c r="D3387" t="s">
        <v>2889</v>
      </c>
      <c r="E3387" cm="1">
        <f t="array" ref="E3387">_xlfn.XLOOKUP(D3387,SKU_Master!A:A,SKU_Master!B:B,"Not on master")</f>
        <v>0</v>
      </c>
      <c r="F3387" cm="1">
        <f t="array" ref="F3387">_xlfn.XLOOKUP(C3387,Account_Master!A:A,Account_Master!B:B,"Not on master")</f>
        <v>0</v>
      </c>
      <c r="G3387" cm="1">
        <f t="array" ref="G3387">_xlfn.XLOOKUP(C3387,Account_Master!A:A,Account_Master!C:C,"Not on master")</f>
        <v>0</v>
      </c>
      <c r="H3387" s="6">
        <v>2.4</v>
      </c>
      <c r="I3387" s="6">
        <v>2.4</v>
      </c>
      <c r="J3387" s="6">
        <f>I3387-H3387</f>
        <v>0</v>
      </c>
      <c r="K3387" s="5">
        <f>IF(H3387=0,"",J3387/H3387)</f>
        <v>0</v>
      </c>
      <c r="L3387">
        <f>IF(OR(AND(H3387=0,ABS(J3387)&gt;=0.01),AND(H3387&lt;&gt;0,ABS(K3387)&gt;VarianceThreshold)),"Review","OK")</f>
        <v>0</v>
      </c>
      <c r="M3387" t="s">
        <v>33</v>
      </c>
    </row>
    <row r="3388" spans="1:13">
      <c r="A3388" t="s">
        <v>5</v>
      </c>
      <c r="B3388" t="s">
        <v>436</v>
      </c>
      <c r="C3388" t="s">
        <v>2775</v>
      </c>
      <c r="D3388" t="s">
        <v>2451</v>
      </c>
      <c r="E3388" cm="1">
        <f t="array" ref="E3388">_xlfn.XLOOKUP(D3388,SKU_Master!A:A,SKU_Master!B:B,"Not on master")</f>
        <v>0</v>
      </c>
      <c r="F3388" cm="1">
        <f t="array" ref="F3388">_xlfn.XLOOKUP(C3388,Account_Master!A:A,Account_Master!B:B,"Not on master")</f>
        <v>0</v>
      </c>
      <c r="G3388" cm="1">
        <f t="array" ref="G3388">_xlfn.XLOOKUP(C3388,Account_Master!A:A,Account_Master!C:C,"Not on master")</f>
        <v>0</v>
      </c>
      <c r="H3388" s="6">
        <v>1.5</v>
      </c>
      <c r="I3388" s="6">
        <v>1.5</v>
      </c>
      <c r="J3388" s="6">
        <f>I3388-H3388</f>
        <v>0</v>
      </c>
      <c r="K3388" s="5">
        <f>IF(H3388=0,"",J3388/H3388)</f>
        <v>0</v>
      </c>
      <c r="L3388">
        <f>IF(OR(AND(H3388=0,ABS(J3388)&gt;=0.01),AND(H3388&lt;&gt;0,ABS(K3388)&gt;VarianceThreshold)),"Review","OK")</f>
        <v>0</v>
      </c>
      <c r="M3388" t="s">
        <v>33</v>
      </c>
    </row>
    <row r="3389" spans="1:13">
      <c r="A3389" t="s">
        <v>5</v>
      </c>
      <c r="B3389" t="s">
        <v>436</v>
      </c>
      <c r="C3389" t="s">
        <v>2890</v>
      </c>
      <c r="D3389" t="s">
        <v>1651</v>
      </c>
      <c r="E3389" cm="1">
        <f t="array" ref="E3389">_xlfn.XLOOKUP(D3389,SKU_Master!A:A,SKU_Master!B:B,"Not on master")</f>
        <v>0</v>
      </c>
      <c r="F3389" cm="1">
        <f t="array" ref="F3389">_xlfn.XLOOKUP(C3389,Account_Master!A:A,Account_Master!B:B,"Not on master")</f>
        <v>0</v>
      </c>
      <c r="G3389" cm="1">
        <f t="array" ref="G3389">_xlfn.XLOOKUP(C3389,Account_Master!A:A,Account_Master!C:C,"Not on master")</f>
        <v>0</v>
      </c>
      <c r="H3389" s="6">
        <v>10.5</v>
      </c>
      <c r="I3389" s="6">
        <v>10.5</v>
      </c>
      <c r="J3389" s="6">
        <f>I3389-H3389</f>
        <v>0</v>
      </c>
      <c r="K3389" s="5">
        <f>IF(H3389=0,"",J3389/H3389)</f>
        <v>0</v>
      </c>
      <c r="L3389">
        <f>IF(OR(AND(H3389=0,ABS(J3389)&gt;=0.01),AND(H3389&lt;&gt;0,ABS(K3389)&gt;VarianceThreshold)),"Review","OK")</f>
        <v>0</v>
      </c>
      <c r="M3389" t="s">
        <v>33</v>
      </c>
    </row>
    <row r="3390" spans="1:13">
      <c r="A3390" t="s">
        <v>5</v>
      </c>
      <c r="B3390" t="s">
        <v>436</v>
      </c>
      <c r="C3390" t="s">
        <v>2891</v>
      </c>
      <c r="D3390" t="s">
        <v>165</v>
      </c>
      <c r="E3390" cm="1">
        <f t="array" ref="E3390">_xlfn.XLOOKUP(D3390,SKU_Master!A:A,SKU_Master!B:B,"Not on master")</f>
        <v>0</v>
      </c>
      <c r="F3390" cm="1">
        <f t="array" ref="F3390">_xlfn.XLOOKUP(C3390,Account_Master!A:A,Account_Master!B:B,"Not on master")</f>
        <v>0</v>
      </c>
      <c r="G3390" cm="1">
        <f t="array" ref="G3390">_xlfn.XLOOKUP(C3390,Account_Master!A:A,Account_Master!C:C,"Not on master")</f>
        <v>0</v>
      </c>
      <c r="H3390" s="6">
        <v>4.8</v>
      </c>
      <c r="I3390" s="6">
        <v>4.8</v>
      </c>
      <c r="J3390" s="6">
        <f>I3390-H3390</f>
        <v>0</v>
      </c>
      <c r="K3390" s="5">
        <f>IF(H3390=0,"",J3390/H3390)</f>
        <v>0</v>
      </c>
      <c r="L3390">
        <f>IF(OR(AND(H3390=0,ABS(J3390)&gt;=0.01),AND(H3390&lt;&gt;0,ABS(K3390)&gt;VarianceThreshold)),"Review","OK")</f>
        <v>0</v>
      </c>
      <c r="M3390" t="s">
        <v>33</v>
      </c>
    </row>
    <row r="3391" spans="1:13">
      <c r="A3391" t="s">
        <v>5</v>
      </c>
      <c r="B3391" t="s">
        <v>436</v>
      </c>
      <c r="C3391" t="s">
        <v>2826</v>
      </c>
      <c r="D3391" t="s">
        <v>1502</v>
      </c>
      <c r="E3391" cm="1">
        <f t="array" ref="E3391">_xlfn.XLOOKUP(D3391,SKU_Master!A:A,SKU_Master!B:B,"Not on master")</f>
        <v>0</v>
      </c>
      <c r="F3391" cm="1">
        <f t="array" ref="F3391">_xlfn.XLOOKUP(C3391,Account_Master!A:A,Account_Master!B:B,"Not on master")</f>
        <v>0</v>
      </c>
      <c r="G3391" cm="1">
        <f t="array" ref="G3391">_xlfn.XLOOKUP(C3391,Account_Master!A:A,Account_Master!C:C,"Not on master")</f>
        <v>0</v>
      </c>
      <c r="H3391" s="6">
        <v>1.12</v>
      </c>
      <c r="I3391" s="6">
        <v>1.12</v>
      </c>
      <c r="J3391" s="6">
        <f>I3391-H3391</f>
        <v>0</v>
      </c>
      <c r="K3391" s="5">
        <f>IF(H3391=0,"",J3391/H3391)</f>
        <v>0</v>
      </c>
      <c r="L3391">
        <f>IF(OR(AND(H3391=0,ABS(J3391)&gt;=0.01),AND(H3391&lt;&gt;0,ABS(K3391)&gt;VarianceThreshold)),"Review","OK")</f>
        <v>0</v>
      </c>
      <c r="M3391" t="s">
        <v>33</v>
      </c>
    </row>
    <row r="3392" spans="1:13">
      <c r="A3392" t="s">
        <v>5</v>
      </c>
      <c r="B3392" t="s">
        <v>436</v>
      </c>
      <c r="C3392" t="s">
        <v>2775</v>
      </c>
      <c r="D3392" t="s">
        <v>1451</v>
      </c>
      <c r="E3392" cm="1">
        <f t="array" ref="E3392">_xlfn.XLOOKUP(D3392,SKU_Master!A:A,SKU_Master!B:B,"Not on master")</f>
        <v>0</v>
      </c>
      <c r="F3392" cm="1">
        <f t="array" ref="F3392">_xlfn.XLOOKUP(C3392,Account_Master!A:A,Account_Master!B:B,"Not on master")</f>
        <v>0</v>
      </c>
      <c r="G3392" cm="1">
        <f t="array" ref="G3392">_xlfn.XLOOKUP(C3392,Account_Master!A:A,Account_Master!C:C,"Not on master")</f>
        <v>0</v>
      </c>
      <c r="H3392" s="6">
        <v>1.5</v>
      </c>
      <c r="I3392" s="6">
        <v>1.5</v>
      </c>
      <c r="J3392" s="6">
        <f>I3392-H3392</f>
        <v>0</v>
      </c>
      <c r="K3392" s="5">
        <f>IF(H3392=0,"",J3392/H3392)</f>
        <v>0</v>
      </c>
      <c r="L3392">
        <f>IF(OR(AND(H3392=0,ABS(J3392)&gt;=0.01),AND(H3392&lt;&gt;0,ABS(K3392)&gt;VarianceThreshold)),"Review","OK")</f>
        <v>0</v>
      </c>
      <c r="M3392" t="s">
        <v>33</v>
      </c>
    </row>
    <row r="3393" spans="1:13">
      <c r="A3393" t="s">
        <v>5</v>
      </c>
      <c r="B3393" t="s">
        <v>447</v>
      </c>
      <c r="C3393" t="s">
        <v>2826</v>
      </c>
      <c r="D3393" t="s">
        <v>2732</v>
      </c>
      <c r="E3393" cm="1">
        <f t="array" ref="E3393">_xlfn.XLOOKUP(D3393,SKU_Master!A:A,SKU_Master!B:B,"Not on master")</f>
        <v>0</v>
      </c>
      <c r="F3393" cm="1">
        <f t="array" ref="F3393">_xlfn.XLOOKUP(C3393,Account_Master!A:A,Account_Master!B:B,"Not on master")</f>
        <v>0</v>
      </c>
      <c r="G3393" cm="1">
        <f t="array" ref="G3393">_xlfn.XLOOKUP(C3393,Account_Master!A:A,Account_Master!C:C,"Not on master")</f>
        <v>0</v>
      </c>
      <c r="H3393" s="6">
        <v>63</v>
      </c>
      <c r="I3393" s="6">
        <v>63</v>
      </c>
      <c r="J3393" s="6">
        <f>I3393-H3393</f>
        <v>0</v>
      </c>
      <c r="K3393" s="5">
        <f>IF(H3393=0,"",J3393/H3393)</f>
        <v>0</v>
      </c>
      <c r="L3393">
        <f>IF(OR(AND(H3393=0,ABS(J3393)&gt;=0.01),AND(H3393&lt;&gt;0,ABS(K3393)&gt;VarianceThreshold)),"Review","OK")</f>
        <v>0</v>
      </c>
      <c r="M3393" t="s">
        <v>33</v>
      </c>
    </row>
    <row r="3394" spans="1:13">
      <c r="A3394" t="s">
        <v>5</v>
      </c>
      <c r="B3394" t="s">
        <v>447</v>
      </c>
      <c r="C3394" t="s">
        <v>2750</v>
      </c>
      <c r="D3394" t="s">
        <v>756</v>
      </c>
      <c r="E3394" cm="1">
        <f t="array" ref="E3394">_xlfn.XLOOKUP(D3394,SKU_Master!A:A,SKU_Master!B:B,"Not on master")</f>
        <v>0</v>
      </c>
      <c r="F3394" cm="1">
        <f t="array" ref="F3394">_xlfn.XLOOKUP(C3394,Account_Master!A:A,Account_Master!B:B,"Not on master")</f>
        <v>0</v>
      </c>
      <c r="G3394" cm="1">
        <f t="array" ref="G3394">_xlfn.XLOOKUP(C3394,Account_Master!A:A,Account_Master!C:C,"Not on master")</f>
        <v>0</v>
      </c>
      <c r="H3394" s="6">
        <v>5.25</v>
      </c>
      <c r="I3394" s="6">
        <v>5.25</v>
      </c>
      <c r="J3394" s="6">
        <f>I3394-H3394</f>
        <v>0</v>
      </c>
      <c r="K3394" s="5">
        <f>IF(H3394=0,"",J3394/H3394)</f>
        <v>0</v>
      </c>
      <c r="L3394">
        <f>IF(OR(AND(H3394=0,ABS(J3394)&gt;=0.01),AND(H3394&lt;&gt;0,ABS(K3394)&gt;VarianceThreshold)),"Review","OK")</f>
        <v>0</v>
      </c>
      <c r="M3394" t="s">
        <v>33</v>
      </c>
    </row>
    <row r="3395" spans="1:13">
      <c r="A3395" t="s">
        <v>5</v>
      </c>
      <c r="B3395" t="s">
        <v>447</v>
      </c>
      <c r="C3395" t="s">
        <v>2846</v>
      </c>
      <c r="D3395" t="s">
        <v>2892</v>
      </c>
      <c r="E3395" cm="1">
        <f t="array" ref="E3395">_xlfn.XLOOKUP(D3395,SKU_Master!A:A,SKU_Master!B:B,"Not on master")</f>
        <v>0</v>
      </c>
      <c r="F3395" cm="1">
        <f t="array" ref="F3395">_xlfn.XLOOKUP(C3395,Account_Master!A:A,Account_Master!B:B,"Not on master")</f>
        <v>0</v>
      </c>
      <c r="G3395" cm="1">
        <f t="array" ref="G3395">_xlfn.XLOOKUP(C3395,Account_Master!A:A,Account_Master!C:C,"Not on master")</f>
        <v>0</v>
      </c>
      <c r="H3395" s="6">
        <v>0.75</v>
      </c>
      <c r="I3395" s="6">
        <v>0.75</v>
      </c>
      <c r="J3395" s="6">
        <f>I3395-H3395</f>
        <v>0</v>
      </c>
      <c r="K3395" s="5">
        <f>IF(H3395=0,"",J3395/H3395)</f>
        <v>0</v>
      </c>
      <c r="L3395">
        <f>IF(OR(AND(H3395=0,ABS(J3395)&gt;=0.01),AND(H3395&lt;&gt;0,ABS(K3395)&gt;VarianceThreshold)),"Review","OK")</f>
        <v>0</v>
      </c>
      <c r="M3395" t="s">
        <v>33</v>
      </c>
    </row>
    <row r="3396" spans="1:13">
      <c r="A3396" t="s">
        <v>5</v>
      </c>
      <c r="B3396" t="s">
        <v>447</v>
      </c>
      <c r="C3396" t="s">
        <v>2760</v>
      </c>
      <c r="D3396" t="s">
        <v>942</v>
      </c>
      <c r="E3396" cm="1">
        <f t="array" ref="E3396">_xlfn.XLOOKUP(D3396,SKU_Master!A:A,SKU_Master!B:B,"Not on master")</f>
        <v>0</v>
      </c>
      <c r="F3396" cm="1">
        <f t="array" ref="F3396">_xlfn.XLOOKUP(C3396,Account_Master!A:A,Account_Master!B:B,"Not on master")</f>
        <v>0</v>
      </c>
      <c r="G3396" cm="1">
        <f t="array" ref="G3396">_xlfn.XLOOKUP(C3396,Account_Master!A:A,Account_Master!C:C,"Not on master")</f>
        <v>0</v>
      </c>
      <c r="H3396" s="6">
        <v>4.5</v>
      </c>
      <c r="I3396" s="6">
        <v>4.5</v>
      </c>
      <c r="J3396" s="6">
        <f>I3396-H3396</f>
        <v>0</v>
      </c>
      <c r="K3396" s="5">
        <f>IF(H3396=0,"",J3396/H3396)</f>
        <v>0</v>
      </c>
      <c r="L3396">
        <f>IF(OR(AND(H3396=0,ABS(J3396)&gt;=0.01),AND(H3396&lt;&gt;0,ABS(K3396)&gt;VarianceThreshold)),"Review","OK")</f>
        <v>0</v>
      </c>
      <c r="M3396" t="s">
        <v>33</v>
      </c>
    </row>
    <row r="3397" spans="1:13">
      <c r="A3397" t="s">
        <v>5</v>
      </c>
      <c r="B3397" t="s">
        <v>1278</v>
      </c>
      <c r="C3397" t="s">
        <v>2829</v>
      </c>
      <c r="D3397" t="s">
        <v>995</v>
      </c>
      <c r="E3397" cm="1">
        <f t="array" ref="E3397">_xlfn.XLOOKUP(D3397,SKU_Master!A:A,SKU_Master!B:B,"Not on master")</f>
        <v>0</v>
      </c>
      <c r="F3397" cm="1">
        <f t="array" ref="F3397">_xlfn.XLOOKUP(C3397,Account_Master!A:A,Account_Master!B:B,"Not on master")</f>
        <v>0</v>
      </c>
      <c r="G3397" cm="1">
        <f t="array" ref="G3397">_xlfn.XLOOKUP(C3397,Account_Master!A:A,Account_Master!C:C,"Not on master")</f>
        <v>0</v>
      </c>
      <c r="H3397" s="6">
        <v>1</v>
      </c>
      <c r="I3397" s="6">
        <v>1</v>
      </c>
      <c r="J3397" s="6">
        <f>I3397-H3397</f>
        <v>0</v>
      </c>
      <c r="K3397" s="5">
        <f>IF(H3397=0,"",J3397/H3397)</f>
        <v>0</v>
      </c>
      <c r="L3397">
        <f>IF(OR(AND(H3397=0,ABS(J3397)&gt;=0.01),AND(H3397&lt;&gt;0,ABS(K3397)&gt;VarianceThreshold)),"Review","OK")</f>
        <v>0</v>
      </c>
      <c r="M3397" t="s">
        <v>33</v>
      </c>
    </row>
    <row r="3398" spans="1:13">
      <c r="A3398" t="s">
        <v>5</v>
      </c>
      <c r="B3398" t="s">
        <v>1278</v>
      </c>
      <c r="C3398" t="s">
        <v>2799</v>
      </c>
      <c r="D3398" t="s">
        <v>1232</v>
      </c>
      <c r="E3398" cm="1">
        <f t="array" ref="E3398">_xlfn.XLOOKUP(D3398,SKU_Master!A:A,SKU_Master!B:B,"Not on master")</f>
        <v>0</v>
      </c>
      <c r="F3398" cm="1">
        <f t="array" ref="F3398">_xlfn.XLOOKUP(C3398,Account_Master!A:A,Account_Master!B:B,"Not on master")</f>
        <v>0</v>
      </c>
      <c r="G3398" cm="1">
        <f t="array" ref="G3398">_xlfn.XLOOKUP(C3398,Account_Master!A:A,Account_Master!C:C,"Not on master")</f>
        <v>0</v>
      </c>
      <c r="H3398" s="6">
        <v>0.35</v>
      </c>
      <c r="I3398" s="6">
        <v>0.35</v>
      </c>
      <c r="J3398" s="6">
        <f>I3398-H3398</f>
        <v>0</v>
      </c>
      <c r="K3398" s="5">
        <f>IF(H3398=0,"",J3398/H3398)</f>
        <v>0</v>
      </c>
      <c r="L3398">
        <f>IF(OR(AND(H3398=0,ABS(J3398)&gt;=0.01),AND(H3398&lt;&gt;0,ABS(K3398)&gt;VarianceThreshold)),"Review","OK")</f>
        <v>0</v>
      </c>
      <c r="M3398" t="s">
        <v>33</v>
      </c>
    </row>
    <row r="3399" spans="1:13">
      <c r="A3399" t="s">
        <v>5</v>
      </c>
      <c r="B3399" t="s">
        <v>1278</v>
      </c>
      <c r="C3399" t="s">
        <v>2802</v>
      </c>
      <c r="D3399" t="s">
        <v>2893</v>
      </c>
      <c r="E3399" cm="1">
        <f t="array" ref="E3399">_xlfn.XLOOKUP(D3399,SKU_Master!A:A,SKU_Master!B:B,"Not on master")</f>
        <v>0</v>
      </c>
      <c r="F3399" cm="1">
        <f t="array" ref="F3399">_xlfn.XLOOKUP(C3399,Account_Master!A:A,Account_Master!B:B,"Not on master")</f>
        <v>0</v>
      </c>
      <c r="G3399" cm="1">
        <f t="array" ref="G3399">_xlfn.XLOOKUP(C3399,Account_Master!A:A,Account_Master!C:C,"Not on master")</f>
        <v>0</v>
      </c>
      <c r="H3399" s="6">
        <v>5.25</v>
      </c>
      <c r="I3399" s="6">
        <v>5.25</v>
      </c>
      <c r="J3399" s="6">
        <f>I3399-H3399</f>
        <v>0</v>
      </c>
      <c r="K3399" s="5">
        <f>IF(H3399=0,"",J3399/H3399)</f>
        <v>0</v>
      </c>
      <c r="L3399">
        <f>IF(OR(AND(H3399=0,ABS(J3399)&gt;=0.01),AND(H3399&lt;&gt;0,ABS(K3399)&gt;VarianceThreshold)),"Review","OK")</f>
        <v>0</v>
      </c>
      <c r="M3399" t="s">
        <v>33</v>
      </c>
    </row>
    <row r="3400" spans="1:13">
      <c r="A3400" t="s">
        <v>5</v>
      </c>
      <c r="B3400" t="s">
        <v>1278</v>
      </c>
      <c r="C3400" t="s">
        <v>2894</v>
      </c>
      <c r="D3400" t="s">
        <v>1637</v>
      </c>
      <c r="E3400" cm="1">
        <f t="array" ref="E3400">_xlfn.XLOOKUP(D3400,SKU_Master!A:A,SKU_Master!B:B,"Not on master")</f>
        <v>0</v>
      </c>
      <c r="F3400" cm="1">
        <f t="array" ref="F3400">_xlfn.XLOOKUP(C3400,Account_Master!A:A,Account_Master!B:B,"Not on master")</f>
        <v>0</v>
      </c>
      <c r="G3400" cm="1">
        <f t="array" ref="G3400">_xlfn.XLOOKUP(C3400,Account_Master!A:A,Account_Master!C:C,"Not on master")</f>
        <v>0</v>
      </c>
      <c r="H3400" s="6">
        <v>3.75</v>
      </c>
      <c r="I3400" s="6">
        <v>3.75</v>
      </c>
      <c r="J3400" s="6">
        <f>I3400-H3400</f>
        <v>0</v>
      </c>
      <c r="K3400" s="5">
        <f>IF(H3400=0,"",J3400/H3400)</f>
        <v>0</v>
      </c>
      <c r="L3400">
        <f>IF(OR(AND(H3400=0,ABS(J3400)&gt;=0.01),AND(H3400&lt;&gt;0,ABS(K3400)&gt;VarianceThreshold)),"Review","OK")</f>
        <v>0</v>
      </c>
      <c r="M3400" t="s">
        <v>33</v>
      </c>
    </row>
    <row r="3401" spans="1:13">
      <c r="A3401" t="s">
        <v>5</v>
      </c>
      <c r="B3401" t="s">
        <v>451</v>
      </c>
      <c r="C3401" t="s">
        <v>2775</v>
      </c>
      <c r="D3401" t="s">
        <v>1408</v>
      </c>
      <c r="E3401" cm="1">
        <f t="array" ref="E3401">_xlfn.XLOOKUP(D3401,SKU_Master!A:A,SKU_Master!B:B,"Not on master")</f>
        <v>0</v>
      </c>
      <c r="F3401" cm="1">
        <f t="array" ref="F3401">_xlfn.XLOOKUP(C3401,Account_Master!A:A,Account_Master!B:B,"Not on master")</f>
        <v>0</v>
      </c>
      <c r="G3401" cm="1">
        <f t="array" ref="G3401">_xlfn.XLOOKUP(C3401,Account_Master!A:A,Account_Master!C:C,"Not on master")</f>
        <v>0</v>
      </c>
      <c r="H3401" s="6">
        <v>6</v>
      </c>
      <c r="I3401" s="6">
        <v>6</v>
      </c>
      <c r="J3401" s="6">
        <f>I3401-H3401</f>
        <v>0</v>
      </c>
      <c r="K3401" s="5">
        <f>IF(H3401=0,"",J3401/H3401)</f>
        <v>0</v>
      </c>
      <c r="L3401">
        <f>IF(OR(AND(H3401=0,ABS(J3401)&gt;=0.01),AND(H3401&lt;&gt;0,ABS(K3401)&gt;VarianceThreshold)),"Review","OK")</f>
        <v>0</v>
      </c>
      <c r="M3401" t="s">
        <v>33</v>
      </c>
    </row>
    <row r="3402" spans="1:13">
      <c r="A3402" t="s">
        <v>5</v>
      </c>
      <c r="B3402" t="s">
        <v>451</v>
      </c>
      <c r="C3402" t="s">
        <v>1154</v>
      </c>
      <c r="D3402" t="s">
        <v>1915</v>
      </c>
      <c r="E3402" cm="1">
        <f t="array" ref="E3402">_xlfn.XLOOKUP(D3402,SKU_Master!A:A,SKU_Master!B:B,"Not on master")</f>
        <v>0</v>
      </c>
      <c r="F3402" cm="1">
        <f t="array" ref="F3402">_xlfn.XLOOKUP(C3402,Account_Master!A:A,Account_Master!B:B,"Not on master")</f>
        <v>0</v>
      </c>
      <c r="G3402" cm="1">
        <f t="array" ref="G3402">_xlfn.XLOOKUP(C3402,Account_Master!A:A,Account_Master!C:C,"Not on master")</f>
        <v>0</v>
      </c>
      <c r="H3402" s="6">
        <v>4.5</v>
      </c>
      <c r="I3402" s="6">
        <v>4.5</v>
      </c>
      <c r="J3402" s="6">
        <f>I3402-H3402</f>
        <v>0</v>
      </c>
      <c r="K3402" s="5">
        <f>IF(H3402=0,"",J3402/H3402)</f>
        <v>0</v>
      </c>
      <c r="L3402">
        <f>IF(OR(AND(H3402=0,ABS(J3402)&gt;=0.01),AND(H3402&lt;&gt;0,ABS(K3402)&gt;VarianceThreshold)),"Review","OK")</f>
        <v>0</v>
      </c>
      <c r="M3402" t="s">
        <v>33</v>
      </c>
    </row>
    <row r="3403" spans="1:13">
      <c r="A3403" t="s">
        <v>5</v>
      </c>
      <c r="B3403" t="s">
        <v>451</v>
      </c>
      <c r="C3403" t="s">
        <v>2769</v>
      </c>
      <c r="D3403" t="s">
        <v>1348</v>
      </c>
      <c r="E3403" cm="1">
        <f t="array" ref="E3403">_xlfn.XLOOKUP(D3403,SKU_Master!A:A,SKU_Master!B:B,"Not on master")</f>
        <v>0</v>
      </c>
      <c r="F3403" cm="1">
        <f t="array" ref="F3403">_xlfn.XLOOKUP(C3403,Account_Master!A:A,Account_Master!B:B,"Not on master")</f>
        <v>0</v>
      </c>
      <c r="G3403" cm="1">
        <f t="array" ref="G3403">_xlfn.XLOOKUP(C3403,Account_Master!A:A,Account_Master!C:C,"Not on master")</f>
        <v>0</v>
      </c>
      <c r="H3403" s="6">
        <v>52</v>
      </c>
      <c r="I3403" s="6">
        <v>52</v>
      </c>
      <c r="J3403" s="6">
        <f>I3403-H3403</f>
        <v>0</v>
      </c>
      <c r="K3403" s="5">
        <f>IF(H3403=0,"",J3403/H3403)</f>
        <v>0</v>
      </c>
      <c r="L3403">
        <f>IF(OR(AND(H3403=0,ABS(J3403)&gt;=0.01),AND(H3403&lt;&gt;0,ABS(K3403)&gt;VarianceThreshold)),"Review","OK")</f>
        <v>0</v>
      </c>
      <c r="M3403" t="s">
        <v>33</v>
      </c>
    </row>
    <row r="3404" spans="1:13">
      <c r="A3404" t="s">
        <v>5</v>
      </c>
      <c r="B3404" t="s">
        <v>464</v>
      </c>
      <c r="C3404" t="s">
        <v>2767</v>
      </c>
      <c r="D3404" t="s">
        <v>2895</v>
      </c>
      <c r="E3404" cm="1">
        <f t="array" ref="E3404">_xlfn.XLOOKUP(D3404,SKU_Master!A:A,SKU_Master!B:B,"Not on master")</f>
        <v>0</v>
      </c>
      <c r="F3404" cm="1">
        <f t="array" ref="F3404">_xlfn.XLOOKUP(C3404,Account_Master!A:A,Account_Master!B:B,"Not on master")</f>
        <v>0</v>
      </c>
      <c r="G3404" cm="1">
        <f t="array" ref="G3404">_xlfn.XLOOKUP(C3404,Account_Master!A:A,Account_Master!C:C,"Not on master")</f>
        <v>0</v>
      </c>
      <c r="H3404" s="6">
        <v>7.5</v>
      </c>
      <c r="I3404" s="6">
        <v>7.5</v>
      </c>
      <c r="J3404" s="6">
        <f>I3404-H3404</f>
        <v>0</v>
      </c>
      <c r="K3404" s="5">
        <f>IF(H3404=0,"",J3404/H3404)</f>
        <v>0</v>
      </c>
      <c r="L3404">
        <f>IF(OR(AND(H3404=0,ABS(J3404)&gt;=0.01),AND(H3404&lt;&gt;0,ABS(K3404)&gt;VarianceThreshold)),"Review","OK")</f>
        <v>0</v>
      </c>
      <c r="M3404" t="s">
        <v>33</v>
      </c>
    </row>
    <row r="3405" spans="1:13">
      <c r="A3405" t="s">
        <v>5</v>
      </c>
      <c r="B3405" t="s">
        <v>464</v>
      </c>
      <c r="C3405" t="s">
        <v>2896</v>
      </c>
      <c r="D3405" t="s">
        <v>651</v>
      </c>
      <c r="E3405" cm="1">
        <f t="array" ref="E3405">_xlfn.XLOOKUP(D3405,SKU_Master!A:A,SKU_Master!B:B,"Not on master")</f>
        <v>0</v>
      </c>
      <c r="F3405" cm="1">
        <f t="array" ref="F3405">_xlfn.XLOOKUP(C3405,Account_Master!A:A,Account_Master!B:B,"Not on master")</f>
        <v>0</v>
      </c>
      <c r="G3405" cm="1">
        <f t="array" ref="G3405">_xlfn.XLOOKUP(C3405,Account_Master!A:A,Account_Master!C:C,"Not on master")</f>
        <v>0</v>
      </c>
      <c r="H3405" s="6">
        <v>177.75</v>
      </c>
      <c r="I3405" s="6">
        <v>177.75</v>
      </c>
      <c r="J3405" s="6">
        <f>I3405-H3405</f>
        <v>0</v>
      </c>
      <c r="K3405" s="5">
        <f>IF(H3405=0,"",J3405/H3405)</f>
        <v>0</v>
      </c>
      <c r="L3405">
        <f>IF(OR(AND(H3405=0,ABS(J3405)&gt;=0.01),AND(H3405&lt;&gt;0,ABS(K3405)&gt;VarianceThreshold)),"Review","OK")</f>
        <v>0</v>
      </c>
      <c r="M3405" t="s">
        <v>33</v>
      </c>
    </row>
    <row r="3406" spans="1:13">
      <c r="A3406" t="s">
        <v>5</v>
      </c>
      <c r="B3406" t="s">
        <v>464</v>
      </c>
      <c r="C3406" t="s">
        <v>2897</v>
      </c>
      <c r="D3406" t="s">
        <v>1805</v>
      </c>
      <c r="E3406" cm="1">
        <f t="array" ref="E3406">_xlfn.XLOOKUP(D3406,SKU_Master!A:A,SKU_Master!B:B,"Not on master")</f>
        <v>0</v>
      </c>
      <c r="F3406" cm="1">
        <f t="array" ref="F3406">_xlfn.XLOOKUP(C3406,Account_Master!A:A,Account_Master!B:B,"Not on master")</f>
        <v>0</v>
      </c>
      <c r="G3406" cm="1">
        <f t="array" ref="G3406">_xlfn.XLOOKUP(C3406,Account_Master!A:A,Account_Master!C:C,"Not on master")</f>
        <v>0</v>
      </c>
      <c r="H3406" s="6">
        <v>6</v>
      </c>
      <c r="I3406" s="6">
        <v>6</v>
      </c>
      <c r="J3406" s="6">
        <f>I3406-H3406</f>
        <v>0</v>
      </c>
      <c r="K3406" s="5">
        <f>IF(H3406=0,"",J3406/H3406)</f>
        <v>0</v>
      </c>
      <c r="L3406">
        <f>IF(OR(AND(H3406=0,ABS(J3406)&gt;=0.01),AND(H3406&lt;&gt;0,ABS(K3406)&gt;VarianceThreshold)),"Review","OK")</f>
        <v>0</v>
      </c>
      <c r="M3406" t="s">
        <v>33</v>
      </c>
    </row>
    <row r="3407" spans="1:13">
      <c r="A3407" t="s">
        <v>5</v>
      </c>
      <c r="B3407" t="s">
        <v>464</v>
      </c>
      <c r="C3407" t="s">
        <v>2825</v>
      </c>
      <c r="D3407" t="s">
        <v>1731</v>
      </c>
      <c r="E3407" cm="1">
        <f t="array" ref="E3407">_xlfn.XLOOKUP(D3407,SKU_Master!A:A,SKU_Master!B:B,"Not on master")</f>
        <v>0</v>
      </c>
      <c r="F3407" cm="1">
        <f t="array" ref="F3407">_xlfn.XLOOKUP(C3407,Account_Master!A:A,Account_Master!B:B,"Not on master")</f>
        <v>0</v>
      </c>
      <c r="G3407" cm="1">
        <f t="array" ref="G3407">_xlfn.XLOOKUP(C3407,Account_Master!A:A,Account_Master!C:C,"Not on master")</f>
        <v>0</v>
      </c>
      <c r="H3407" s="6">
        <v>73.5</v>
      </c>
      <c r="I3407" s="6">
        <v>73.5</v>
      </c>
      <c r="J3407" s="6">
        <f>I3407-H3407</f>
        <v>0</v>
      </c>
      <c r="K3407" s="5">
        <f>IF(H3407=0,"",J3407/H3407)</f>
        <v>0</v>
      </c>
      <c r="L3407">
        <f>IF(OR(AND(H3407=0,ABS(J3407)&gt;=0.01),AND(H3407&lt;&gt;0,ABS(K3407)&gt;VarianceThreshold)),"Review","OK")</f>
        <v>0</v>
      </c>
      <c r="M3407" t="s">
        <v>33</v>
      </c>
    </row>
    <row r="3408" spans="1:13">
      <c r="A3408" t="s">
        <v>5</v>
      </c>
      <c r="B3408" t="s">
        <v>464</v>
      </c>
      <c r="C3408" t="s">
        <v>2769</v>
      </c>
      <c r="D3408" t="s">
        <v>1430</v>
      </c>
      <c r="E3408" cm="1">
        <f t="array" ref="E3408">_xlfn.XLOOKUP(D3408,SKU_Master!A:A,SKU_Master!B:B,"Not on master")</f>
        <v>0</v>
      </c>
      <c r="F3408" cm="1">
        <f t="array" ref="F3408">_xlfn.XLOOKUP(C3408,Account_Master!A:A,Account_Master!B:B,"Not on master")</f>
        <v>0</v>
      </c>
      <c r="G3408" cm="1">
        <f t="array" ref="G3408">_xlfn.XLOOKUP(C3408,Account_Master!A:A,Account_Master!C:C,"Not on master")</f>
        <v>0</v>
      </c>
      <c r="H3408" s="6">
        <v>12</v>
      </c>
      <c r="I3408" s="6">
        <v>12</v>
      </c>
      <c r="J3408" s="6">
        <f>I3408-H3408</f>
        <v>0</v>
      </c>
      <c r="K3408" s="5">
        <f>IF(H3408=0,"",J3408/H3408)</f>
        <v>0</v>
      </c>
      <c r="L3408">
        <f>IF(OR(AND(H3408=0,ABS(J3408)&gt;=0.01),AND(H3408&lt;&gt;0,ABS(K3408)&gt;VarianceThreshold)),"Review","OK")</f>
        <v>0</v>
      </c>
      <c r="M3408" t="s">
        <v>33</v>
      </c>
    </row>
    <row r="3409" spans="1:13">
      <c r="A3409" t="s">
        <v>5</v>
      </c>
      <c r="B3409" t="s">
        <v>464</v>
      </c>
      <c r="C3409" t="s">
        <v>2793</v>
      </c>
      <c r="D3409" t="s">
        <v>1653</v>
      </c>
      <c r="E3409" cm="1">
        <f t="array" ref="E3409">_xlfn.XLOOKUP(D3409,SKU_Master!A:A,SKU_Master!B:B,"Not on master")</f>
        <v>0</v>
      </c>
      <c r="F3409" cm="1">
        <f t="array" ref="F3409">_xlfn.XLOOKUP(C3409,Account_Master!A:A,Account_Master!B:B,"Not on master")</f>
        <v>0</v>
      </c>
      <c r="G3409" cm="1">
        <f t="array" ref="G3409">_xlfn.XLOOKUP(C3409,Account_Master!A:A,Account_Master!C:C,"Not on master")</f>
        <v>0</v>
      </c>
      <c r="H3409" s="6">
        <v>178.5</v>
      </c>
      <c r="I3409" s="6">
        <v>178.5</v>
      </c>
      <c r="J3409" s="6">
        <f>I3409-H3409</f>
        <v>0</v>
      </c>
      <c r="K3409" s="5">
        <f>IF(H3409=0,"",J3409/H3409)</f>
        <v>0</v>
      </c>
      <c r="L3409">
        <f>IF(OR(AND(H3409=0,ABS(J3409)&gt;=0.01),AND(H3409&lt;&gt;0,ABS(K3409)&gt;VarianceThreshold)),"Review","OK")</f>
        <v>0</v>
      </c>
      <c r="M3409" t="s">
        <v>33</v>
      </c>
    </row>
    <row r="3410" spans="1:13">
      <c r="A3410" t="s">
        <v>5</v>
      </c>
      <c r="B3410" t="s">
        <v>464</v>
      </c>
      <c r="C3410" t="s">
        <v>2881</v>
      </c>
      <c r="D3410" t="s">
        <v>2473</v>
      </c>
      <c r="E3410" cm="1">
        <f t="array" ref="E3410">_xlfn.XLOOKUP(D3410,SKU_Master!A:A,SKU_Master!B:B,"Not on master")</f>
        <v>0</v>
      </c>
      <c r="F3410" cm="1">
        <f t="array" ref="F3410">_xlfn.XLOOKUP(C3410,Account_Master!A:A,Account_Master!B:B,"Not on master")</f>
        <v>0</v>
      </c>
      <c r="G3410" cm="1">
        <f t="array" ref="G3410">_xlfn.XLOOKUP(C3410,Account_Master!A:A,Account_Master!C:C,"Not on master")</f>
        <v>0</v>
      </c>
      <c r="H3410" s="6">
        <v>4.5</v>
      </c>
      <c r="I3410" s="6">
        <v>4.5</v>
      </c>
      <c r="J3410" s="6">
        <f>I3410-H3410</f>
        <v>0</v>
      </c>
      <c r="K3410" s="5">
        <f>IF(H3410=0,"",J3410/H3410)</f>
        <v>0</v>
      </c>
      <c r="L3410">
        <f>IF(OR(AND(H3410=0,ABS(J3410)&gt;=0.01),AND(H3410&lt;&gt;0,ABS(K3410)&gt;VarianceThreshold)),"Review","OK")</f>
        <v>0</v>
      </c>
      <c r="M3410" t="s">
        <v>33</v>
      </c>
    </row>
    <row r="3411" spans="1:13">
      <c r="A3411" t="s">
        <v>5</v>
      </c>
      <c r="B3411" t="s">
        <v>464</v>
      </c>
      <c r="C3411" t="s">
        <v>2746</v>
      </c>
      <c r="D3411" t="s">
        <v>456</v>
      </c>
      <c r="E3411" cm="1">
        <f t="array" ref="E3411">_xlfn.XLOOKUP(D3411,SKU_Master!A:A,SKU_Master!B:B,"Not on master")</f>
        <v>0</v>
      </c>
      <c r="F3411" cm="1">
        <f t="array" ref="F3411">_xlfn.XLOOKUP(C3411,Account_Master!A:A,Account_Master!B:B,"Not on master")</f>
        <v>0</v>
      </c>
      <c r="G3411" cm="1">
        <f t="array" ref="G3411">_xlfn.XLOOKUP(C3411,Account_Master!A:A,Account_Master!C:C,"Not on master")</f>
        <v>0</v>
      </c>
      <c r="H3411" s="6">
        <v>27</v>
      </c>
      <c r="I3411" s="6">
        <v>27</v>
      </c>
      <c r="J3411" s="6">
        <f>I3411-H3411</f>
        <v>0</v>
      </c>
      <c r="K3411" s="5">
        <f>IF(H3411=0,"",J3411/H3411)</f>
        <v>0</v>
      </c>
      <c r="L3411">
        <f>IF(OR(AND(H3411=0,ABS(J3411)&gt;=0.01),AND(H3411&lt;&gt;0,ABS(K3411)&gt;VarianceThreshold)),"Review","OK")</f>
        <v>0</v>
      </c>
      <c r="M3411" t="s">
        <v>33</v>
      </c>
    </row>
    <row r="3412" spans="1:13">
      <c r="A3412" t="s">
        <v>5</v>
      </c>
      <c r="B3412" t="s">
        <v>464</v>
      </c>
      <c r="C3412" t="s">
        <v>2898</v>
      </c>
      <c r="D3412" t="s">
        <v>2251</v>
      </c>
      <c r="E3412" cm="1">
        <f t="array" ref="E3412">_xlfn.XLOOKUP(D3412,SKU_Master!A:A,SKU_Master!B:B,"Not on master")</f>
        <v>0</v>
      </c>
      <c r="F3412" cm="1">
        <f t="array" ref="F3412">_xlfn.XLOOKUP(C3412,Account_Master!A:A,Account_Master!B:B,"Not on master")</f>
        <v>0</v>
      </c>
      <c r="G3412" cm="1">
        <f t="array" ref="G3412">_xlfn.XLOOKUP(C3412,Account_Master!A:A,Account_Master!C:C,"Not on master")</f>
        <v>0</v>
      </c>
      <c r="H3412" s="6">
        <v>35</v>
      </c>
      <c r="I3412" s="6">
        <v>35</v>
      </c>
      <c r="J3412" s="6">
        <f>I3412-H3412</f>
        <v>0</v>
      </c>
      <c r="K3412" s="5">
        <f>IF(H3412=0,"",J3412/H3412)</f>
        <v>0</v>
      </c>
      <c r="L3412">
        <f>IF(OR(AND(H3412=0,ABS(J3412)&gt;=0.01),AND(H3412&lt;&gt;0,ABS(K3412)&gt;VarianceThreshold)),"Review","OK")</f>
        <v>0</v>
      </c>
      <c r="M3412" t="s">
        <v>33</v>
      </c>
    </row>
    <row r="3413" spans="1:13">
      <c r="A3413" t="s">
        <v>5</v>
      </c>
      <c r="B3413" t="s">
        <v>464</v>
      </c>
      <c r="C3413" t="s">
        <v>2846</v>
      </c>
      <c r="D3413" t="s">
        <v>2899</v>
      </c>
      <c r="E3413" cm="1">
        <f t="array" ref="E3413">_xlfn.XLOOKUP(D3413,SKU_Master!A:A,SKU_Master!B:B,"Not on master")</f>
        <v>0</v>
      </c>
      <c r="F3413" cm="1">
        <f t="array" ref="F3413">_xlfn.XLOOKUP(C3413,Account_Master!A:A,Account_Master!B:B,"Not on master")</f>
        <v>0</v>
      </c>
      <c r="G3413" cm="1">
        <f t="array" ref="G3413">_xlfn.XLOOKUP(C3413,Account_Master!A:A,Account_Master!C:C,"Not on master")</f>
        <v>0</v>
      </c>
      <c r="H3413" s="6">
        <v>4.5</v>
      </c>
      <c r="I3413" s="6">
        <v>4.5</v>
      </c>
      <c r="J3413" s="6">
        <f>I3413-H3413</f>
        <v>0</v>
      </c>
      <c r="K3413" s="5">
        <f>IF(H3413=0,"",J3413/H3413)</f>
        <v>0</v>
      </c>
      <c r="L3413">
        <f>IF(OR(AND(H3413=0,ABS(J3413)&gt;=0.01),AND(H3413&lt;&gt;0,ABS(K3413)&gt;VarianceThreshold)),"Review","OK")</f>
        <v>0</v>
      </c>
      <c r="M3413" t="s">
        <v>33</v>
      </c>
    </row>
    <row r="3414" spans="1:13">
      <c r="A3414" t="s">
        <v>5</v>
      </c>
      <c r="B3414" t="s">
        <v>464</v>
      </c>
      <c r="C3414" t="s">
        <v>2767</v>
      </c>
      <c r="D3414" t="s">
        <v>2900</v>
      </c>
      <c r="E3414" cm="1">
        <f t="array" ref="E3414">_xlfn.XLOOKUP(D3414,SKU_Master!A:A,SKU_Master!B:B,"Not on master")</f>
        <v>0</v>
      </c>
      <c r="F3414" cm="1">
        <f t="array" ref="F3414">_xlfn.XLOOKUP(C3414,Account_Master!A:A,Account_Master!B:B,"Not on master")</f>
        <v>0</v>
      </c>
      <c r="G3414" cm="1">
        <f t="array" ref="G3414">_xlfn.XLOOKUP(C3414,Account_Master!A:A,Account_Master!C:C,"Not on master")</f>
        <v>0</v>
      </c>
      <c r="H3414" s="6">
        <v>3</v>
      </c>
      <c r="I3414" s="6">
        <v>3</v>
      </c>
      <c r="J3414" s="6">
        <f>I3414-H3414</f>
        <v>0</v>
      </c>
      <c r="K3414" s="5">
        <f>IF(H3414=0,"",J3414/H3414)</f>
        <v>0</v>
      </c>
      <c r="L3414">
        <f>IF(OR(AND(H3414=0,ABS(J3414)&gt;=0.01),AND(H3414&lt;&gt;0,ABS(K3414)&gt;VarianceThreshold)),"Review","OK")</f>
        <v>0</v>
      </c>
      <c r="M3414" t="s">
        <v>33</v>
      </c>
    </row>
    <row r="3415" spans="1:13">
      <c r="A3415" t="s">
        <v>5</v>
      </c>
      <c r="B3415" t="s">
        <v>464</v>
      </c>
      <c r="C3415" t="s">
        <v>2784</v>
      </c>
      <c r="D3415" t="s">
        <v>2901</v>
      </c>
      <c r="E3415" cm="1">
        <f t="array" ref="E3415">_xlfn.XLOOKUP(D3415,SKU_Master!A:A,SKU_Master!B:B,"Not on master")</f>
        <v>0</v>
      </c>
      <c r="F3415" cm="1">
        <f t="array" ref="F3415">_xlfn.XLOOKUP(C3415,Account_Master!A:A,Account_Master!B:B,"Not on master")</f>
        <v>0</v>
      </c>
      <c r="G3415" cm="1">
        <f t="array" ref="G3415">_xlfn.XLOOKUP(C3415,Account_Master!A:A,Account_Master!C:C,"Not on master")</f>
        <v>0</v>
      </c>
      <c r="H3415" s="6">
        <v>0.35</v>
      </c>
      <c r="I3415" s="6">
        <v>0.35</v>
      </c>
      <c r="J3415" s="6">
        <f>I3415-H3415</f>
        <v>0</v>
      </c>
      <c r="K3415" s="5">
        <f>IF(H3415=0,"",J3415/H3415)</f>
        <v>0</v>
      </c>
      <c r="L3415">
        <f>IF(OR(AND(H3415=0,ABS(J3415)&gt;=0.01),AND(H3415&lt;&gt;0,ABS(K3415)&gt;VarianceThreshold)),"Review","OK")</f>
        <v>0</v>
      </c>
      <c r="M3415" t="s">
        <v>33</v>
      </c>
    </row>
    <row r="3416" spans="1:13">
      <c r="A3416" t="s">
        <v>5</v>
      </c>
      <c r="B3416" t="s">
        <v>478</v>
      </c>
      <c r="C3416" t="s">
        <v>2750</v>
      </c>
      <c r="D3416" t="s">
        <v>1960</v>
      </c>
      <c r="E3416" cm="1">
        <f t="array" ref="E3416">_xlfn.XLOOKUP(D3416,SKU_Master!A:A,SKU_Master!B:B,"Not on master")</f>
        <v>0</v>
      </c>
      <c r="F3416" cm="1">
        <f t="array" ref="F3416">_xlfn.XLOOKUP(C3416,Account_Master!A:A,Account_Master!B:B,"Not on master")</f>
        <v>0</v>
      </c>
      <c r="G3416" cm="1">
        <f t="array" ref="G3416">_xlfn.XLOOKUP(C3416,Account_Master!A:A,Account_Master!C:C,"Not on master")</f>
        <v>0</v>
      </c>
      <c r="H3416" s="6">
        <v>56</v>
      </c>
      <c r="I3416" s="6">
        <v>56</v>
      </c>
      <c r="J3416" s="6">
        <f>I3416-H3416</f>
        <v>0</v>
      </c>
      <c r="K3416" s="5">
        <f>IF(H3416=0,"",J3416/H3416)</f>
        <v>0</v>
      </c>
      <c r="L3416">
        <f>IF(OR(AND(H3416=0,ABS(J3416)&gt;=0.01),AND(H3416&lt;&gt;0,ABS(K3416)&gt;VarianceThreshold)),"Review","OK")</f>
        <v>0</v>
      </c>
      <c r="M3416" t="s">
        <v>33</v>
      </c>
    </row>
    <row r="3417" spans="1:13">
      <c r="A3417" t="s">
        <v>5</v>
      </c>
      <c r="B3417" t="s">
        <v>478</v>
      </c>
      <c r="C3417" t="s">
        <v>2853</v>
      </c>
      <c r="D3417" t="s">
        <v>2902</v>
      </c>
      <c r="E3417" cm="1">
        <f t="array" ref="E3417">_xlfn.XLOOKUP(D3417,SKU_Master!A:A,SKU_Master!B:B,"Not on master")</f>
        <v>0</v>
      </c>
      <c r="F3417" cm="1">
        <f t="array" ref="F3417">_xlfn.XLOOKUP(C3417,Account_Master!A:A,Account_Master!B:B,"Not on master")</f>
        <v>0</v>
      </c>
      <c r="G3417" cm="1">
        <f t="array" ref="G3417">_xlfn.XLOOKUP(C3417,Account_Master!A:A,Account_Master!C:C,"Not on master")</f>
        <v>0</v>
      </c>
      <c r="H3417" s="6">
        <v>0.75</v>
      </c>
      <c r="I3417" s="6">
        <v>0.75</v>
      </c>
      <c r="J3417" s="6">
        <f>I3417-H3417</f>
        <v>0</v>
      </c>
      <c r="K3417" s="5">
        <f>IF(H3417=0,"",J3417/H3417)</f>
        <v>0</v>
      </c>
      <c r="L3417">
        <f>IF(OR(AND(H3417=0,ABS(J3417)&gt;=0.01),AND(H3417&lt;&gt;0,ABS(K3417)&gt;VarianceThreshold)),"Review","OK")</f>
        <v>0</v>
      </c>
      <c r="M3417" t="s">
        <v>33</v>
      </c>
    </row>
    <row r="3418" spans="1:13">
      <c r="A3418" t="s">
        <v>5</v>
      </c>
      <c r="B3418" t="s">
        <v>478</v>
      </c>
      <c r="C3418" t="s">
        <v>2802</v>
      </c>
      <c r="D3418" t="s">
        <v>2903</v>
      </c>
      <c r="E3418" cm="1">
        <f t="array" ref="E3418">_xlfn.XLOOKUP(D3418,SKU_Master!A:A,SKU_Master!B:B,"Not on master")</f>
        <v>0</v>
      </c>
      <c r="F3418" cm="1">
        <f t="array" ref="F3418">_xlfn.XLOOKUP(C3418,Account_Master!A:A,Account_Master!B:B,"Not on master")</f>
        <v>0</v>
      </c>
      <c r="G3418" cm="1">
        <f t="array" ref="G3418">_xlfn.XLOOKUP(C3418,Account_Master!A:A,Account_Master!C:C,"Not on master")</f>
        <v>0</v>
      </c>
      <c r="H3418" s="6">
        <v>18</v>
      </c>
      <c r="I3418" s="6">
        <v>18</v>
      </c>
      <c r="J3418" s="6">
        <f>I3418-H3418</f>
        <v>0</v>
      </c>
      <c r="K3418" s="5">
        <f>IF(H3418=0,"",J3418/H3418)</f>
        <v>0</v>
      </c>
      <c r="L3418">
        <f>IF(OR(AND(H3418=0,ABS(J3418)&gt;=0.01),AND(H3418&lt;&gt;0,ABS(K3418)&gt;VarianceThreshold)),"Review","OK")</f>
        <v>0</v>
      </c>
      <c r="M3418" t="s">
        <v>33</v>
      </c>
    </row>
    <row r="3419" spans="1:13">
      <c r="A3419" t="s">
        <v>5</v>
      </c>
      <c r="B3419" t="s">
        <v>478</v>
      </c>
      <c r="C3419" t="s">
        <v>2846</v>
      </c>
      <c r="D3419" t="s">
        <v>2256</v>
      </c>
      <c r="E3419" cm="1">
        <f t="array" ref="E3419">_xlfn.XLOOKUP(D3419,SKU_Master!A:A,SKU_Master!B:B,"Not on master")</f>
        <v>0</v>
      </c>
      <c r="F3419" cm="1">
        <f t="array" ref="F3419">_xlfn.XLOOKUP(C3419,Account_Master!A:A,Account_Master!B:B,"Not on master")</f>
        <v>0</v>
      </c>
      <c r="G3419" cm="1">
        <f t="array" ref="G3419">_xlfn.XLOOKUP(C3419,Account_Master!A:A,Account_Master!C:C,"Not on master")</f>
        <v>0</v>
      </c>
      <c r="H3419" s="6">
        <v>2.25</v>
      </c>
      <c r="I3419" s="6">
        <v>2.25</v>
      </c>
      <c r="J3419" s="6">
        <f>I3419-H3419</f>
        <v>0</v>
      </c>
      <c r="K3419" s="5">
        <f>IF(H3419=0,"",J3419/H3419)</f>
        <v>0</v>
      </c>
      <c r="L3419">
        <f>IF(OR(AND(H3419=0,ABS(J3419)&gt;=0.01),AND(H3419&lt;&gt;0,ABS(K3419)&gt;VarianceThreshold)),"Review","OK")</f>
        <v>0</v>
      </c>
      <c r="M3419" t="s">
        <v>33</v>
      </c>
    </row>
    <row r="3420" spans="1:13">
      <c r="A3420" t="s">
        <v>5</v>
      </c>
      <c r="B3420" t="s">
        <v>478</v>
      </c>
      <c r="C3420" t="s">
        <v>2904</v>
      </c>
      <c r="D3420" t="s">
        <v>434</v>
      </c>
      <c r="E3420" cm="1">
        <f t="array" ref="E3420">_xlfn.XLOOKUP(D3420,SKU_Master!A:A,SKU_Master!B:B,"Not on master")</f>
        <v>0</v>
      </c>
      <c r="F3420" cm="1">
        <f t="array" ref="F3420">_xlfn.XLOOKUP(C3420,Account_Master!A:A,Account_Master!B:B,"Not on master")</f>
        <v>0</v>
      </c>
      <c r="G3420" cm="1">
        <f t="array" ref="G3420">_xlfn.XLOOKUP(C3420,Account_Master!A:A,Account_Master!C:C,"Not on master")</f>
        <v>0</v>
      </c>
      <c r="H3420" s="6">
        <v>9</v>
      </c>
      <c r="I3420" s="6">
        <v>9</v>
      </c>
      <c r="J3420" s="6">
        <f>I3420-H3420</f>
        <v>0</v>
      </c>
      <c r="K3420" s="5">
        <f>IF(H3420=0,"",J3420/H3420)</f>
        <v>0</v>
      </c>
      <c r="L3420">
        <f>IF(OR(AND(H3420=0,ABS(J3420)&gt;=0.01),AND(H3420&lt;&gt;0,ABS(K3420)&gt;VarianceThreshold)),"Review","OK")</f>
        <v>0</v>
      </c>
      <c r="M3420" t="s">
        <v>33</v>
      </c>
    </row>
    <row r="3421" spans="1:13">
      <c r="A3421" t="s">
        <v>5</v>
      </c>
      <c r="B3421" t="s">
        <v>478</v>
      </c>
      <c r="C3421" t="s">
        <v>2750</v>
      </c>
      <c r="D3421" t="s">
        <v>1226</v>
      </c>
      <c r="E3421" cm="1">
        <f t="array" ref="E3421">_xlfn.XLOOKUP(D3421,SKU_Master!A:A,SKU_Master!B:B,"Not on master")</f>
        <v>0</v>
      </c>
      <c r="F3421" cm="1">
        <f t="array" ref="F3421">_xlfn.XLOOKUP(C3421,Account_Master!A:A,Account_Master!B:B,"Not on master")</f>
        <v>0</v>
      </c>
      <c r="G3421" cm="1">
        <f t="array" ref="G3421">_xlfn.XLOOKUP(C3421,Account_Master!A:A,Account_Master!C:C,"Not on master")</f>
        <v>0</v>
      </c>
      <c r="H3421" s="6">
        <v>3</v>
      </c>
      <c r="I3421" s="6">
        <v>3</v>
      </c>
      <c r="J3421" s="6">
        <f>I3421-H3421</f>
        <v>0</v>
      </c>
      <c r="K3421" s="5">
        <f>IF(H3421=0,"",J3421/H3421)</f>
        <v>0</v>
      </c>
      <c r="L3421">
        <f>IF(OR(AND(H3421=0,ABS(J3421)&gt;=0.01),AND(H3421&lt;&gt;0,ABS(K3421)&gt;VarianceThreshold)),"Review","OK")</f>
        <v>0</v>
      </c>
      <c r="M3421" t="s">
        <v>33</v>
      </c>
    </row>
    <row r="3422" spans="1:13">
      <c r="A3422" t="s">
        <v>5</v>
      </c>
      <c r="B3422" t="s">
        <v>492</v>
      </c>
      <c r="C3422" t="s">
        <v>2750</v>
      </c>
      <c r="D3422" t="s">
        <v>747</v>
      </c>
      <c r="E3422" cm="1">
        <f t="array" ref="E3422">_xlfn.XLOOKUP(D3422,SKU_Master!A:A,SKU_Master!B:B,"Not on master")</f>
        <v>0</v>
      </c>
      <c r="F3422" cm="1">
        <f t="array" ref="F3422">_xlfn.XLOOKUP(C3422,Account_Master!A:A,Account_Master!B:B,"Not on master")</f>
        <v>0</v>
      </c>
      <c r="G3422" cm="1">
        <f t="array" ref="G3422">_xlfn.XLOOKUP(C3422,Account_Master!A:A,Account_Master!C:C,"Not on master")</f>
        <v>0</v>
      </c>
      <c r="H3422" s="6">
        <v>9</v>
      </c>
      <c r="I3422" s="6">
        <v>9</v>
      </c>
      <c r="J3422" s="6">
        <f>I3422-H3422</f>
        <v>0</v>
      </c>
      <c r="K3422" s="5">
        <f>IF(H3422=0,"",J3422/H3422)</f>
        <v>0</v>
      </c>
      <c r="L3422">
        <f>IF(OR(AND(H3422=0,ABS(J3422)&gt;=0.01),AND(H3422&lt;&gt;0,ABS(K3422)&gt;VarianceThreshold)),"Review","OK")</f>
        <v>0</v>
      </c>
      <c r="M3422" t="s">
        <v>33</v>
      </c>
    </row>
    <row r="3423" spans="1:13">
      <c r="A3423" t="s">
        <v>5</v>
      </c>
      <c r="B3423" t="s">
        <v>492</v>
      </c>
      <c r="C3423" t="s">
        <v>2850</v>
      </c>
      <c r="D3423" t="s">
        <v>2267</v>
      </c>
      <c r="E3423" cm="1">
        <f t="array" ref="E3423">_xlfn.XLOOKUP(D3423,SKU_Master!A:A,SKU_Master!B:B,"Not on master")</f>
        <v>0</v>
      </c>
      <c r="F3423" cm="1">
        <f t="array" ref="F3423">_xlfn.XLOOKUP(C3423,Account_Master!A:A,Account_Master!B:B,"Not on master")</f>
        <v>0</v>
      </c>
      <c r="G3423" cm="1">
        <f t="array" ref="G3423">_xlfn.XLOOKUP(C3423,Account_Master!A:A,Account_Master!C:C,"Not on master")</f>
        <v>0</v>
      </c>
      <c r="H3423" s="6">
        <v>5.25</v>
      </c>
      <c r="I3423" s="6">
        <v>5.25</v>
      </c>
      <c r="J3423" s="6">
        <f>I3423-H3423</f>
        <v>0</v>
      </c>
      <c r="K3423" s="5">
        <f>IF(H3423=0,"",J3423/H3423)</f>
        <v>0</v>
      </c>
      <c r="L3423">
        <f>IF(OR(AND(H3423=0,ABS(J3423)&gt;=0.01),AND(H3423&lt;&gt;0,ABS(K3423)&gt;VarianceThreshold)),"Review","OK")</f>
        <v>0</v>
      </c>
      <c r="M3423" t="s">
        <v>33</v>
      </c>
    </row>
    <row r="3424" spans="1:13">
      <c r="A3424" t="s">
        <v>5</v>
      </c>
      <c r="B3424" t="s">
        <v>492</v>
      </c>
      <c r="C3424" t="s">
        <v>2775</v>
      </c>
      <c r="D3424" t="s">
        <v>2905</v>
      </c>
      <c r="E3424" cm="1">
        <f t="array" ref="E3424">_xlfn.XLOOKUP(D3424,SKU_Master!A:A,SKU_Master!B:B,"Not on master")</f>
        <v>0</v>
      </c>
      <c r="F3424" cm="1">
        <f t="array" ref="F3424">_xlfn.XLOOKUP(C3424,Account_Master!A:A,Account_Master!B:B,"Not on master")</f>
        <v>0</v>
      </c>
      <c r="G3424" cm="1">
        <f t="array" ref="G3424">_xlfn.XLOOKUP(C3424,Account_Master!A:A,Account_Master!C:C,"Not on master")</f>
        <v>0</v>
      </c>
      <c r="H3424" s="6">
        <v>3</v>
      </c>
      <c r="I3424" s="6">
        <v>3</v>
      </c>
      <c r="J3424" s="6">
        <f>I3424-H3424</f>
        <v>0</v>
      </c>
      <c r="K3424" s="5">
        <f>IF(H3424=0,"",J3424/H3424)</f>
        <v>0</v>
      </c>
      <c r="L3424">
        <f>IF(OR(AND(H3424=0,ABS(J3424)&gt;=0.01),AND(H3424&lt;&gt;0,ABS(K3424)&gt;VarianceThreshold)),"Review","OK")</f>
        <v>0</v>
      </c>
      <c r="M3424" t="s">
        <v>33</v>
      </c>
    </row>
    <row r="3425" spans="1:13">
      <c r="A3425" t="s">
        <v>5</v>
      </c>
      <c r="B3425" t="s">
        <v>492</v>
      </c>
      <c r="C3425" t="s">
        <v>2769</v>
      </c>
      <c r="D3425" t="s">
        <v>2906</v>
      </c>
      <c r="E3425" cm="1">
        <f t="array" ref="E3425">_xlfn.XLOOKUP(D3425,SKU_Master!A:A,SKU_Master!B:B,"Not on master")</f>
        <v>0</v>
      </c>
      <c r="F3425" cm="1">
        <f t="array" ref="F3425">_xlfn.XLOOKUP(C3425,Account_Master!A:A,Account_Master!B:B,"Not on master")</f>
        <v>0</v>
      </c>
      <c r="G3425" cm="1">
        <f t="array" ref="G3425">_xlfn.XLOOKUP(C3425,Account_Master!A:A,Account_Master!C:C,"Not on master")</f>
        <v>0</v>
      </c>
      <c r="H3425" s="6">
        <v>24</v>
      </c>
      <c r="I3425" s="6">
        <v>24</v>
      </c>
      <c r="J3425" s="6">
        <f>I3425-H3425</f>
        <v>0</v>
      </c>
      <c r="K3425" s="5">
        <f>IF(H3425=0,"",J3425/H3425)</f>
        <v>0</v>
      </c>
      <c r="L3425">
        <f>IF(OR(AND(H3425=0,ABS(J3425)&gt;=0.01),AND(H3425&lt;&gt;0,ABS(K3425)&gt;VarianceThreshold)),"Review","OK")</f>
        <v>0</v>
      </c>
      <c r="M3425" t="s">
        <v>33</v>
      </c>
    </row>
    <row r="3426" spans="1:13">
      <c r="A3426" t="s">
        <v>5</v>
      </c>
      <c r="B3426" t="s">
        <v>492</v>
      </c>
      <c r="C3426" t="s">
        <v>2803</v>
      </c>
      <c r="D3426" t="s">
        <v>707</v>
      </c>
      <c r="E3426" cm="1">
        <f t="array" ref="E3426">_xlfn.XLOOKUP(D3426,SKU_Master!A:A,SKU_Master!B:B,"Not on master")</f>
        <v>0</v>
      </c>
      <c r="F3426" cm="1">
        <f t="array" ref="F3426">_xlfn.XLOOKUP(C3426,Account_Master!A:A,Account_Master!B:B,"Not on master")</f>
        <v>0</v>
      </c>
      <c r="G3426" cm="1">
        <f t="array" ref="G3426">_xlfn.XLOOKUP(C3426,Account_Master!A:A,Account_Master!C:C,"Not on master")</f>
        <v>0</v>
      </c>
      <c r="H3426" s="6">
        <v>46.5</v>
      </c>
      <c r="I3426" s="6">
        <v>46.5</v>
      </c>
      <c r="J3426" s="6">
        <f>I3426-H3426</f>
        <v>0</v>
      </c>
      <c r="K3426" s="5">
        <f>IF(H3426=0,"",J3426/H3426)</f>
        <v>0</v>
      </c>
      <c r="L3426">
        <f>IF(OR(AND(H3426=0,ABS(J3426)&gt;=0.01),AND(H3426&lt;&gt;0,ABS(K3426)&gt;VarianceThreshold)),"Review","OK")</f>
        <v>0</v>
      </c>
      <c r="M3426" t="s">
        <v>33</v>
      </c>
    </row>
    <row r="3427" spans="1:13">
      <c r="A3427" t="s">
        <v>5</v>
      </c>
      <c r="B3427" t="s">
        <v>492</v>
      </c>
      <c r="C3427" t="s">
        <v>2775</v>
      </c>
      <c r="D3427" t="s">
        <v>1033</v>
      </c>
      <c r="E3427" cm="1">
        <f t="array" ref="E3427">_xlfn.XLOOKUP(D3427,SKU_Master!A:A,SKU_Master!B:B,"Not on master")</f>
        <v>0</v>
      </c>
      <c r="F3427" cm="1">
        <f t="array" ref="F3427">_xlfn.XLOOKUP(C3427,Account_Master!A:A,Account_Master!B:B,"Not on master")</f>
        <v>0</v>
      </c>
      <c r="G3427" cm="1">
        <f t="array" ref="G3427">_xlfn.XLOOKUP(C3427,Account_Master!A:A,Account_Master!C:C,"Not on master")</f>
        <v>0</v>
      </c>
      <c r="H3427" s="6">
        <v>26</v>
      </c>
      <c r="I3427" s="6">
        <v>26</v>
      </c>
      <c r="J3427" s="6">
        <f>I3427-H3427</f>
        <v>0</v>
      </c>
      <c r="K3427" s="5">
        <f>IF(H3427=0,"",J3427/H3427)</f>
        <v>0</v>
      </c>
      <c r="L3427">
        <f>IF(OR(AND(H3427=0,ABS(J3427)&gt;=0.01),AND(H3427&lt;&gt;0,ABS(K3427)&gt;VarianceThreshold)),"Review","OK")</f>
        <v>0</v>
      </c>
      <c r="M3427" t="s">
        <v>33</v>
      </c>
    </row>
    <row r="3428" spans="1:13">
      <c r="A3428" t="s">
        <v>5</v>
      </c>
      <c r="B3428" t="s">
        <v>501</v>
      </c>
      <c r="C3428" t="s">
        <v>2775</v>
      </c>
      <c r="D3428" t="s">
        <v>540</v>
      </c>
      <c r="E3428" cm="1">
        <f t="array" ref="E3428">_xlfn.XLOOKUP(D3428,SKU_Master!A:A,SKU_Master!B:B,"Not on master")</f>
        <v>0</v>
      </c>
      <c r="F3428" cm="1">
        <f t="array" ref="F3428">_xlfn.XLOOKUP(C3428,Account_Master!A:A,Account_Master!B:B,"Not on master")</f>
        <v>0</v>
      </c>
      <c r="G3428" cm="1">
        <f t="array" ref="G3428">_xlfn.XLOOKUP(C3428,Account_Master!A:A,Account_Master!C:C,"Not on master")</f>
        <v>0</v>
      </c>
      <c r="H3428" s="6">
        <v>0.75</v>
      </c>
      <c r="I3428" s="6">
        <v>0.75</v>
      </c>
      <c r="J3428" s="6">
        <f>I3428-H3428</f>
        <v>0</v>
      </c>
      <c r="K3428" s="5">
        <f>IF(H3428=0,"",J3428/H3428)</f>
        <v>0</v>
      </c>
      <c r="L3428">
        <f>IF(OR(AND(H3428=0,ABS(J3428)&gt;=0.01),AND(H3428&lt;&gt;0,ABS(K3428)&gt;VarianceThreshold)),"Review","OK")</f>
        <v>0</v>
      </c>
      <c r="M3428" t="s">
        <v>33</v>
      </c>
    </row>
    <row r="3429" spans="1:13">
      <c r="A3429" t="s">
        <v>5</v>
      </c>
      <c r="B3429" t="s">
        <v>501</v>
      </c>
      <c r="C3429" t="s">
        <v>2767</v>
      </c>
      <c r="D3429" t="s">
        <v>1279</v>
      </c>
      <c r="E3429" cm="1">
        <f t="array" ref="E3429">_xlfn.XLOOKUP(D3429,SKU_Master!A:A,SKU_Master!B:B,"Not on master")</f>
        <v>0</v>
      </c>
      <c r="F3429" cm="1">
        <f t="array" ref="F3429">_xlfn.XLOOKUP(C3429,Account_Master!A:A,Account_Master!B:B,"Not on master")</f>
        <v>0</v>
      </c>
      <c r="G3429" cm="1">
        <f t="array" ref="G3429">_xlfn.XLOOKUP(C3429,Account_Master!A:A,Account_Master!C:C,"Not on master")</f>
        <v>0</v>
      </c>
      <c r="H3429" s="6">
        <v>0.1</v>
      </c>
      <c r="I3429" s="6">
        <v>0.1</v>
      </c>
      <c r="J3429" s="6">
        <f>I3429-H3429</f>
        <v>0</v>
      </c>
      <c r="K3429" s="5">
        <f>IF(H3429=0,"",J3429/H3429)</f>
        <v>0</v>
      </c>
      <c r="L3429">
        <f>IF(OR(AND(H3429=0,ABS(J3429)&gt;=0.01),AND(H3429&lt;&gt;0,ABS(K3429)&gt;VarianceThreshold)),"Review","OK")</f>
        <v>0</v>
      </c>
      <c r="M3429" t="s">
        <v>33</v>
      </c>
    </row>
    <row r="3430" spans="1:13">
      <c r="A3430" t="s">
        <v>5</v>
      </c>
      <c r="B3430" t="s">
        <v>501</v>
      </c>
      <c r="C3430" t="s">
        <v>2772</v>
      </c>
      <c r="D3430" t="s">
        <v>2907</v>
      </c>
      <c r="E3430" cm="1">
        <f t="array" ref="E3430">_xlfn.XLOOKUP(D3430,SKU_Master!A:A,SKU_Master!B:B,"Not on master")</f>
        <v>0</v>
      </c>
      <c r="F3430" cm="1">
        <f t="array" ref="F3430">_xlfn.XLOOKUP(C3430,Account_Master!A:A,Account_Master!B:B,"Not on master")</f>
        <v>0</v>
      </c>
      <c r="G3430" cm="1">
        <f t="array" ref="G3430">_xlfn.XLOOKUP(C3430,Account_Master!A:A,Account_Master!C:C,"Not on master")</f>
        <v>0</v>
      </c>
      <c r="H3430" s="6">
        <v>4.5</v>
      </c>
      <c r="I3430" s="6">
        <v>4.5</v>
      </c>
      <c r="J3430" s="6">
        <f>I3430-H3430</f>
        <v>0</v>
      </c>
      <c r="K3430" s="5">
        <f>IF(H3430=0,"",J3430/H3430)</f>
        <v>0</v>
      </c>
      <c r="L3430">
        <f>IF(OR(AND(H3430=0,ABS(J3430)&gt;=0.01),AND(H3430&lt;&gt;0,ABS(K3430)&gt;VarianceThreshold)),"Review","OK")</f>
        <v>0</v>
      </c>
      <c r="M3430" t="s">
        <v>33</v>
      </c>
    </row>
    <row r="3431" spans="1:13">
      <c r="A3431" t="s">
        <v>5</v>
      </c>
      <c r="B3431" t="s">
        <v>501</v>
      </c>
      <c r="C3431" t="s">
        <v>2767</v>
      </c>
      <c r="D3431" t="s">
        <v>2908</v>
      </c>
      <c r="E3431" cm="1">
        <f t="array" ref="E3431">_xlfn.XLOOKUP(D3431,SKU_Master!A:A,SKU_Master!B:B,"Not on master")</f>
        <v>0</v>
      </c>
      <c r="F3431" cm="1">
        <f t="array" ref="F3431">_xlfn.XLOOKUP(C3431,Account_Master!A:A,Account_Master!B:B,"Not on master")</f>
        <v>0</v>
      </c>
      <c r="G3431" cm="1">
        <f t="array" ref="G3431">_xlfn.XLOOKUP(C3431,Account_Master!A:A,Account_Master!C:C,"Not on master")</f>
        <v>0</v>
      </c>
      <c r="H3431" s="6">
        <v>2.25</v>
      </c>
      <c r="I3431" s="6">
        <v>2.25</v>
      </c>
      <c r="J3431" s="6">
        <f>I3431-H3431</f>
        <v>0</v>
      </c>
      <c r="K3431" s="5">
        <f>IF(H3431=0,"",J3431/H3431)</f>
        <v>0</v>
      </c>
      <c r="L3431">
        <f>IF(OR(AND(H3431=0,ABS(J3431)&gt;=0.01),AND(H3431&lt;&gt;0,ABS(K3431)&gt;VarianceThreshold)),"Review","OK")</f>
        <v>0</v>
      </c>
      <c r="M3431" t="s">
        <v>33</v>
      </c>
    </row>
    <row r="3432" spans="1:13">
      <c r="A3432" t="s">
        <v>5</v>
      </c>
      <c r="B3432" t="s">
        <v>501</v>
      </c>
      <c r="C3432" t="s">
        <v>2750</v>
      </c>
      <c r="D3432" t="s">
        <v>1071</v>
      </c>
      <c r="E3432" cm="1">
        <f t="array" ref="E3432">_xlfn.XLOOKUP(D3432,SKU_Master!A:A,SKU_Master!B:B,"Not on master")</f>
        <v>0</v>
      </c>
      <c r="F3432" cm="1">
        <f t="array" ref="F3432">_xlfn.XLOOKUP(C3432,Account_Master!A:A,Account_Master!B:B,"Not on master")</f>
        <v>0</v>
      </c>
      <c r="G3432" cm="1">
        <f t="array" ref="G3432">_xlfn.XLOOKUP(C3432,Account_Master!A:A,Account_Master!C:C,"Not on master")</f>
        <v>0</v>
      </c>
      <c r="H3432" s="6">
        <v>84</v>
      </c>
      <c r="I3432" s="6">
        <v>84</v>
      </c>
      <c r="J3432" s="6">
        <f>I3432-H3432</f>
        <v>0</v>
      </c>
      <c r="K3432" s="5">
        <f>IF(H3432=0,"",J3432/H3432)</f>
        <v>0</v>
      </c>
      <c r="L3432">
        <f>IF(OR(AND(H3432=0,ABS(J3432)&gt;=0.01),AND(H3432&lt;&gt;0,ABS(K3432)&gt;VarianceThreshold)),"Review","OK")</f>
        <v>0</v>
      </c>
      <c r="M3432" t="s">
        <v>33</v>
      </c>
    </row>
    <row r="3433" spans="1:13">
      <c r="A3433" t="s">
        <v>5</v>
      </c>
      <c r="B3433" t="s">
        <v>501</v>
      </c>
      <c r="C3433" t="s">
        <v>2775</v>
      </c>
      <c r="D3433" t="s">
        <v>296</v>
      </c>
      <c r="E3433" cm="1">
        <f t="array" ref="E3433">_xlfn.XLOOKUP(D3433,SKU_Master!A:A,SKU_Master!B:B,"Not on master")</f>
        <v>0</v>
      </c>
      <c r="F3433" cm="1">
        <f t="array" ref="F3433">_xlfn.XLOOKUP(C3433,Account_Master!A:A,Account_Master!B:B,"Not on master")</f>
        <v>0</v>
      </c>
      <c r="G3433" cm="1">
        <f t="array" ref="G3433">_xlfn.XLOOKUP(C3433,Account_Master!A:A,Account_Master!C:C,"Not on master")</f>
        <v>0</v>
      </c>
      <c r="H3433" s="6">
        <v>16.5</v>
      </c>
      <c r="I3433" s="6">
        <v>16.5</v>
      </c>
      <c r="J3433" s="6">
        <f>I3433-H3433</f>
        <v>0</v>
      </c>
      <c r="K3433" s="5">
        <f>IF(H3433=0,"",J3433/H3433)</f>
        <v>0</v>
      </c>
      <c r="L3433">
        <f>IF(OR(AND(H3433=0,ABS(J3433)&gt;=0.01),AND(H3433&lt;&gt;0,ABS(K3433)&gt;VarianceThreshold)),"Review","OK")</f>
        <v>0</v>
      </c>
      <c r="M3433" t="s">
        <v>33</v>
      </c>
    </row>
    <row r="3434" spans="1:13">
      <c r="A3434" t="s">
        <v>5</v>
      </c>
      <c r="B3434" t="s">
        <v>501</v>
      </c>
      <c r="C3434" t="s">
        <v>2882</v>
      </c>
      <c r="D3434" t="s">
        <v>1862</v>
      </c>
      <c r="E3434" cm="1">
        <f t="array" ref="E3434">_xlfn.XLOOKUP(D3434,SKU_Master!A:A,SKU_Master!B:B,"Not on master")</f>
        <v>0</v>
      </c>
      <c r="F3434" cm="1">
        <f t="array" ref="F3434">_xlfn.XLOOKUP(C3434,Account_Master!A:A,Account_Master!B:B,"Not on master")</f>
        <v>0</v>
      </c>
      <c r="G3434" cm="1">
        <f t="array" ref="G3434">_xlfn.XLOOKUP(C3434,Account_Master!A:A,Account_Master!C:C,"Not on master")</f>
        <v>0</v>
      </c>
      <c r="H3434" s="6">
        <v>0.15</v>
      </c>
      <c r="I3434" s="6">
        <v>0.15</v>
      </c>
      <c r="J3434" s="6">
        <f>I3434-H3434</f>
        <v>0</v>
      </c>
      <c r="K3434" s="5">
        <f>IF(H3434=0,"",J3434/H3434)</f>
        <v>0</v>
      </c>
      <c r="L3434">
        <f>IF(OR(AND(H3434=0,ABS(J3434)&gt;=0.01),AND(H3434&lt;&gt;0,ABS(K3434)&gt;VarianceThreshold)),"Review","OK")</f>
        <v>0</v>
      </c>
      <c r="M3434" t="s">
        <v>33</v>
      </c>
    </row>
    <row r="3435" spans="1:13">
      <c r="A3435" t="s">
        <v>5</v>
      </c>
      <c r="B3435" t="s">
        <v>501</v>
      </c>
      <c r="C3435" t="s">
        <v>2778</v>
      </c>
      <c r="D3435" t="s">
        <v>2909</v>
      </c>
      <c r="E3435" cm="1">
        <f t="array" ref="E3435">_xlfn.XLOOKUP(D3435,SKU_Master!A:A,SKU_Master!B:B,"Not on master")</f>
        <v>0</v>
      </c>
      <c r="F3435" cm="1">
        <f t="array" ref="F3435">_xlfn.XLOOKUP(C3435,Account_Master!A:A,Account_Master!B:B,"Not on master")</f>
        <v>0</v>
      </c>
      <c r="G3435" cm="1">
        <f t="array" ref="G3435">_xlfn.XLOOKUP(C3435,Account_Master!A:A,Account_Master!C:C,"Not on master")</f>
        <v>0</v>
      </c>
      <c r="H3435" s="6">
        <v>9</v>
      </c>
      <c r="I3435" s="6">
        <v>9</v>
      </c>
      <c r="J3435" s="6">
        <f>I3435-H3435</f>
        <v>0</v>
      </c>
      <c r="K3435" s="5">
        <f>IF(H3435=0,"",J3435/H3435)</f>
        <v>0</v>
      </c>
      <c r="L3435">
        <f>IF(OR(AND(H3435=0,ABS(J3435)&gt;=0.01),AND(H3435&lt;&gt;0,ABS(K3435)&gt;VarianceThreshold)),"Review","OK")</f>
        <v>0</v>
      </c>
      <c r="M3435" t="s">
        <v>33</v>
      </c>
    </row>
    <row r="3436" spans="1:13">
      <c r="A3436" t="s">
        <v>5</v>
      </c>
      <c r="B3436" t="s">
        <v>511</v>
      </c>
      <c r="C3436" t="s">
        <v>2910</v>
      </c>
      <c r="D3436" t="s">
        <v>1134</v>
      </c>
      <c r="E3436" cm="1">
        <f t="array" ref="E3436">_xlfn.XLOOKUP(D3436,SKU_Master!A:A,SKU_Master!B:B,"Not on master")</f>
        <v>0</v>
      </c>
      <c r="F3436" cm="1">
        <f t="array" ref="F3436">_xlfn.XLOOKUP(C3436,Account_Master!A:A,Account_Master!B:B,"Not on master")</f>
        <v>0</v>
      </c>
      <c r="G3436" cm="1">
        <f t="array" ref="G3436">_xlfn.XLOOKUP(C3436,Account_Master!A:A,Account_Master!C:C,"Not on master")</f>
        <v>0</v>
      </c>
      <c r="H3436" s="6">
        <v>221</v>
      </c>
      <c r="I3436" s="6">
        <v>221</v>
      </c>
      <c r="J3436" s="6">
        <f>I3436-H3436</f>
        <v>0</v>
      </c>
      <c r="K3436" s="5">
        <f>IF(H3436=0,"",J3436/H3436)</f>
        <v>0</v>
      </c>
      <c r="L3436">
        <f>IF(OR(AND(H3436=0,ABS(J3436)&gt;=0.01),AND(H3436&lt;&gt;0,ABS(K3436)&gt;VarianceThreshold)),"Review","OK")</f>
        <v>0</v>
      </c>
      <c r="M3436" t="s">
        <v>33</v>
      </c>
    </row>
    <row r="3437" spans="1:13">
      <c r="A3437" t="s">
        <v>5</v>
      </c>
      <c r="B3437" t="s">
        <v>511</v>
      </c>
      <c r="C3437" t="s">
        <v>2868</v>
      </c>
      <c r="D3437" t="s">
        <v>721</v>
      </c>
      <c r="E3437" cm="1">
        <f t="array" ref="E3437">_xlfn.XLOOKUP(D3437,SKU_Master!A:A,SKU_Master!B:B,"Not on master")</f>
        <v>0</v>
      </c>
      <c r="F3437" cm="1">
        <f t="array" ref="F3437">_xlfn.XLOOKUP(C3437,Account_Master!A:A,Account_Master!B:B,"Not on master")</f>
        <v>0</v>
      </c>
      <c r="G3437" cm="1">
        <f t="array" ref="G3437">_xlfn.XLOOKUP(C3437,Account_Master!A:A,Account_Master!C:C,"Not on master")</f>
        <v>0</v>
      </c>
      <c r="H3437" s="6">
        <v>3.3</v>
      </c>
      <c r="I3437" s="6">
        <v>3.3</v>
      </c>
      <c r="J3437" s="6">
        <f>I3437-H3437</f>
        <v>0</v>
      </c>
      <c r="K3437" s="5">
        <f>IF(H3437=0,"",J3437/H3437)</f>
        <v>0</v>
      </c>
      <c r="L3437">
        <f>IF(OR(AND(H3437=0,ABS(J3437)&gt;=0.01),AND(H3437&lt;&gt;0,ABS(K3437)&gt;VarianceThreshold)),"Review","OK")</f>
        <v>0</v>
      </c>
      <c r="M3437" t="s">
        <v>33</v>
      </c>
    </row>
    <row r="3438" spans="1:13">
      <c r="A3438" t="s">
        <v>5</v>
      </c>
      <c r="B3438" t="s">
        <v>511</v>
      </c>
      <c r="C3438" t="s">
        <v>2911</v>
      </c>
      <c r="D3438" t="s">
        <v>2912</v>
      </c>
      <c r="E3438" cm="1">
        <f t="array" ref="E3438">_xlfn.XLOOKUP(D3438,SKU_Master!A:A,SKU_Master!B:B,"Not on master")</f>
        <v>0</v>
      </c>
      <c r="F3438" cm="1">
        <f t="array" ref="F3438">_xlfn.XLOOKUP(C3438,Account_Master!A:A,Account_Master!B:B,"Not on master")</f>
        <v>0</v>
      </c>
      <c r="G3438" cm="1">
        <f t="array" ref="G3438">_xlfn.XLOOKUP(C3438,Account_Master!A:A,Account_Master!C:C,"Not on master")</f>
        <v>0</v>
      </c>
      <c r="H3438" s="6">
        <v>0.75</v>
      </c>
      <c r="I3438" s="6">
        <v>0.75</v>
      </c>
      <c r="J3438" s="6">
        <f>I3438-H3438</f>
        <v>0</v>
      </c>
      <c r="K3438" s="5">
        <f>IF(H3438=0,"",J3438/H3438)</f>
        <v>0</v>
      </c>
      <c r="L3438">
        <f>IF(OR(AND(H3438=0,ABS(J3438)&gt;=0.01),AND(H3438&lt;&gt;0,ABS(K3438)&gt;VarianceThreshold)),"Review","OK")</f>
        <v>0</v>
      </c>
      <c r="M3438" t="s">
        <v>33</v>
      </c>
    </row>
    <row r="3439" spans="1:13">
      <c r="A3439" t="s">
        <v>5</v>
      </c>
      <c r="B3439" t="s">
        <v>511</v>
      </c>
      <c r="C3439" t="s">
        <v>1154</v>
      </c>
      <c r="D3439" t="s">
        <v>583</v>
      </c>
      <c r="E3439" cm="1">
        <f t="array" ref="E3439">_xlfn.XLOOKUP(D3439,SKU_Master!A:A,SKU_Master!B:B,"Not on master")</f>
        <v>0</v>
      </c>
      <c r="F3439" cm="1">
        <f t="array" ref="F3439">_xlfn.XLOOKUP(C3439,Account_Master!A:A,Account_Master!B:B,"Not on master")</f>
        <v>0</v>
      </c>
      <c r="G3439" cm="1">
        <f t="array" ref="G3439">_xlfn.XLOOKUP(C3439,Account_Master!A:A,Account_Master!C:C,"Not on master")</f>
        <v>0</v>
      </c>
      <c r="H3439" s="6">
        <v>1.5</v>
      </c>
      <c r="I3439" s="6">
        <v>1.5</v>
      </c>
      <c r="J3439" s="6">
        <f>I3439-H3439</f>
        <v>0</v>
      </c>
      <c r="K3439" s="5">
        <f>IF(H3439=0,"",J3439/H3439)</f>
        <v>0</v>
      </c>
      <c r="L3439">
        <f>IF(OR(AND(H3439=0,ABS(J3439)&gt;=0.01),AND(H3439&lt;&gt;0,ABS(K3439)&gt;VarianceThreshold)),"Review","OK")</f>
        <v>0</v>
      </c>
      <c r="M3439" t="s">
        <v>33</v>
      </c>
    </row>
    <row r="3440" spans="1:13">
      <c r="A3440" t="s">
        <v>5</v>
      </c>
      <c r="B3440" t="s">
        <v>511</v>
      </c>
      <c r="C3440" t="s">
        <v>2766</v>
      </c>
      <c r="D3440" t="s">
        <v>2288</v>
      </c>
      <c r="E3440" cm="1">
        <f t="array" ref="E3440">_xlfn.XLOOKUP(D3440,SKU_Master!A:A,SKU_Master!B:B,"Not on master")</f>
        <v>0</v>
      </c>
      <c r="F3440" cm="1">
        <f t="array" ref="F3440">_xlfn.XLOOKUP(C3440,Account_Master!A:A,Account_Master!B:B,"Not on master")</f>
        <v>0</v>
      </c>
      <c r="G3440" cm="1">
        <f t="array" ref="G3440">_xlfn.XLOOKUP(C3440,Account_Master!A:A,Account_Master!C:C,"Not on master")</f>
        <v>0</v>
      </c>
      <c r="H3440" s="6">
        <v>18</v>
      </c>
      <c r="I3440" s="6">
        <v>18</v>
      </c>
      <c r="J3440" s="6">
        <f>I3440-H3440</f>
        <v>0</v>
      </c>
      <c r="K3440" s="5">
        <f>IF(H3440=0,"",J3440/H3440)</f>
        <v>0</v>
      </c>
      <c r="L3440">
        <f>IF(OR(AND(H3440=0,ABS(J3440)&gt;=0.01),AND(H3440&lt;&gt;0,ABS(K3440)&gt;VarianceThreshold)),"Review","OK")</f>
        <v>0</v>
      </c>
      <c r="M3440" t="s">
        <v>33</v>
      </c>
    </row>
    <row r="3441" spans="1:13">
      <c r="A3441" t="s">
        <v>5</v>
      </c>
      <c r="B3441" t="s">
        <v>523</v>
      </c>
      <c r="C3441" t="s">
        <v>2750</v>
      </c>
      <c r="D3441" t="s">
        <v>2913</v>
      </c>
      <c r="E3441" cm="1">
        <f t="array" ref="E3441">_xlfn.XLOOKUP(D3441,SKU_Master!A:A,SKU_Master!B:B,"Not on master")</f>
        <v>0</v>
      </c>
      <c r="F3441" cm="1">
        <f t="array" ref="F3441">_xlfn.XLOOKUP(C3441,Account_Master!A:A,Account_Master!B:B,"Not on master")</f>
        <v>0</v>
      </c>
      <c r="G3441" cm="1">
        <f t="array" ref="G3441">_xlfn.XLOOKUP(C3441,Account_Master!A:A,Account_Master!C:C,"Not on master")</f>
        <v>0</v>
      </c>
      <c r="H3441" s="6">
        <v>6.75</v>
      </c>
      <c r="I3441" s="6">
        <v>6.75</v>
      </c>
      <c r="J3441" s="6">
        <f>I3441-H3441</f>
        <v>0</v>
      </c>
      <c r="K3441" s="5">
        <f>IF(H3441=0,"",J3441/H3441)</f>
        <v>0</v>
      </c>
      <c r="L3441">
        <f>IF(OR(AND(H3441=0,ABS(J3441)&gt;=0.01),AND(H3441&lt;&gt;0,ABS(K3441)&gt;VarianceThreshold)),"Review","OK")</f>
        <v>0</v>
      </c>
      <c r="M3441" t="s">
        <v>33</v>
      </c>
    </row>
    <row r="3442" spans="1:13">
      <c r="A3442" t="s">
        <v>5</v>
      </c>
      <c r="B3442" t="s">
        <v>523</v>
      </c>
      <c r="C3442" t="s">
        <v>2769</v>
      </c>
      <c r="D3442" t="s">
        <v>173</v>
      </c>
      <c r="E3442" cm="1">
        <f t="array" ref="E3442">_xlfn.XLOOKUP(D3442,SKU_Master!A:A,SKU_Master!B:B,"Not on master")</f>
        <v>0</v>
      </c>
      <c r="F3442" cm="1">
        <f t="array" ref="F3442">_xlfn.XLOOKUP(C3442,Account_Master!A:A,Account_Master!B:B,"Not on master")</f>
        <v>0</v>
      </c>
      <c r="G3442" cm="1">
        <f t="array" ref="G3442">_xlfn.XLOOKUP(C3442,Account_Master!A:A,Account_Master!C:C,"Not on master")</f>
        <v>0</v>
      </c>
      <c r="H3442" s="6">
        <v>18</v>
      </c>
      <c r="I3442" s="6">
        <v>18</v>
      </c>
      <c r="J3442" s="6">
        <f>I3442-H3442</f>
        <v>0</v>
      </c>
      <c r="K3442" s="5">
        <f>IF(H3442=0,"",J3442/H3442)</f>
        <v>0</v>
      </c>
      <c r="L3442">
        <f>IF(OR(AND(H3442=0,ABS(J3442)&gt;=0.01),AND(H3442&lt;&gt;0,ABS(K3442)&gt;VarianceThreshold)),"Review","OK")</f>
        <v>0</v>
      </c>
      <c r="M3442" t="s">
        <v>33</v>
      </c>
    </row>
    <row r="3443" spans="1:13">
      <c r="A3443" t="s">
        <v>5</v>
      </c>
      <c r="B3443" t="s">
        <v>523</v>
      </c>
      <c r="C3443" t="s">
        <v>2846</v>
      </c>
      <c r="D3443" t="s">
        <v>2261</v>
      </c>
      <c r="E3443" cm="1">
        <f t="array" ref="E3443">_xlfn.XLOOKUP(D3443,SKU_Master!A:A,SKU_Master!B:B,"Not on master")</f>
        <v>0</v>
      </c>
      <c r="F3443" cm="1">
        <f t="array" ref="F3443">_xlfn.XLOOKUP(C3443,Account_Master!A:A,Account_Master!B:B,"Not on master")</f>
        <v>0</v>
      </c>
      <c r="G3443" cm="1">
        <f t="array" ref="G3443">_xlfn.XLOOKUP(C3443,Account_Master!A:A,Account_Master!C:C,"Not on master")</f>
        <v>0</v>
      </c>
      <c r="H3443" s="6">
        <v>0.75</v>
      </c>
      <c r="I3443" s="6">
        <v>0.75</v>
      </c>
      <c r="J3443" s="6">
        <f>I3443-H3443</f>
        <v>0</v>
      </c>
      <c r="K3443" s="5">
        <f>IF(H3443=0,"",J3443/H3443)</f>
        <v>0</v>
      </c>
      <c r="L3443">
        <f>IF(OR(AND(H3443=0,ABS(J3443)&gt;=0.01),AND(H3443&lt;&gt;0,ABS(K3443)&gt;VarianceThreshold)),"Review","OK")</f>
        <v>0</v>
      </c>
      <c r="M3443" t="s">
        <v>33</v>
      </c>
    </row>
    <row r="3444" spans="1:13">
      <c r="A3444" t="s">
        <v>5</v>
      </c>
      <c r="B3444" t="s">
        <v>523</v>
      </c>
      <c r="C3444" t="s">
        <v>1252</v>
      </c>
      <c r="D3444" t="s">
        <v>2914</v>
      </c>
      <c r="E3444" cm="1">
        <f t="array" ref="E3444">_xlfn.XLOOKUP(D3444,SKU_Master!A:A,SKU_Master!B:B,"Not on master")</f>
        <v>0</v>
      </c>
      <c r="F3444" cm="1">
        <f t="array" ref="F3444">_xlfn.XLOOKUP(C3444,Account_Master!A:A,Account_Master!B:B,"Not on master")</f>
        <v>0</v>
      </c>
      <c r="G3444" cm="1">
        <f t="array" ref="G3444">_xlfn.XLOOKUP(C3444,Account_Master!A:A,Account_Master!C:C,"Not on master")</f>
        <v>0</v>
      </c>
      <c r="H3444" s="6">
        <v>9</v>
      </c>
      <c r="I3444" s="6">
        <v>9</v>
      </c>
      <c r="J3444" s="6">
        <f>I3444-H3444</f>
        <v>0</v>
      </c>
      <c r="K3444" s="5">
        <f>IF(H3444=0,"",J3444/H3444)</f>
        <v>0</v>
      </c>
      <c r="L3444">
        <f>IF(OR(AND(H3444=0,ABS(J3444)&gt;=0.01),AND(H3444&lt;&gt;0,ABS(K3444)&gt;VarianceThreshold)),"Review","OK")</f>
        <v>0</v>
      </c>
      <c r="M3444" t="s">
        <v>33</v>
      </c>
    </row>
    <row r="3445" spans="1:13">
      <c r="A3445" t="s">
        <v>5</v>
      </c>
      <c r="B3445" t="s">
        <v>523</v>
      </c>
      <c r="C3445" t="s">
        <v>2769</v>
      </c>
      <c r="D3445" t="s">
        <v>2915</v>
      </c>
      <c r="E3445" cm="1">
        <f t="array" ref="E3445">_xlfn.XLOOKUP(D3445,SKU_Master!A:A,SKU_Master!B:B,"Not on master")</f>
        <v>0</v>
      </c>
      <c r="F3445" cm="1">
        <f t="array" ref="F3445">_xlfn.XLOOKUP(C3445,Account_Master!A:A,Account_Master!B:B,"Not on master")</f>
        <v>0</v>
      </c>
      <c r="G3445" cm="1">
        <f t="array" ref="G3445">_xlfn.XLOOKUP(C3445,Account_Master!A:A,Account_Master!C:C,"Not on master")</f>
        <v>0</v>
      </c>
      <c r="H3445" s="6">
        <v>9</v>
      </c>
      <c r="I3445" s="6">
        <v>9</v>
      </c>
      <c r="J3445" s="6">
        <f>I3445-H3445</f>
        <v>0</v>
      </c>
      <c r="K3445" s="5">
        <f>IF(H3445=0,"",J3445/H3445)</f>
        <v>0</v>
      </c>
      <c r="L3445">
        <f>IF(OR(AND(H3445=0,ABS(J3445)&gt;=0.01),AND(H3445&lt;&gt;0,ABS(K3445)&gt;VarianceThreshold)),"Review","OK")</f>
        <v>0</v>
      </c>
      <c r="M3445" t="s">
        <v>33</v>
      </c>
    </row>
    <row r="3446" spans="1:13">
      <c r="A3446" t="s">
        <v>5</v>
      </c>
      <c r="B3446" t="s">
        <v>523</v>
      </c>
      <c r="C3446" t="s">
        <v>2767</v>
      </c>
      <c r="D3446" t="s">
        <v>795</v>
      </c>
      <c r="E3446" cm="1">
        <f t="array" ref="E3446">_xlfn.XLOOKUP(D3446,SKU_Master!A:A,SKU_Master!B:B,"Not on master")</f>
        <v>0</v>
      </c>
      <c r="F3446" cm="1">
        <f t="array" ref="F3446">_xlfn.XLOOKUP(C3446,Account_Master!A:A,Account_Master!B:B,"Not on master")</f>
        <v>0</v>
      </c>
      <c r="G3446" cm="1">
        <f t="array" ref="G3446">_xlfn.XLOOKUP(C3446,Account_Master!A:A,Account_Master!C:C,"Not on master")</f>
        <v>0</v>
      </c>
      <c r="H3446" s="6">
        <v>39</v>
      </c>
      <c r="I3446" s="6">
        <v>39</v>
      </c>
      <c r="J3446" s="6">
        <f>I3446-H3446</f>
        <v>0</v>
      </c>
      <c r="K3446" s="5">
        <f>IF(H3446=0,"",J3446/H3446)</f>
        <v>0</v>
      </c>
      <c r="L3446">
        <f>IF(OR(AND(H3446=0,ABS(J3446)&gt;=0.01),AND(H3446&lt;&gt;0,ABS(K3446)&gt;VarianceThreshold)),"Review","OK")</f>
        <v>0</v>
      </c>
      <c r="M3446" t="s">
        <v>33</v>
      </c>
    </row>
    <row r="3447" spans="1:13">
      <c r="A3447" t="s">
        <v>5</v>
      </c>
      <c r="B3447" t="s">
        <v>523</v>
      </c>
      <c r="C3447" t="s">
        <v>2849</v>
      </c>
      <c r="D3447" t="s">
        <v>825</v>
      </c>
      <c r="E3447" cm="1">
        <f t="array" ref="E3447">_xlfn.XLOOKUP(D3447,SKU_Master!A:A,SKU_Master!B:B,"Not on master")</f>
        <v>0</v>
      </c>
      <c r="F3447" cm="1">
        <f t="array" ref="F3447">_xlfn.XLOOKUP(C3447,Account_Master!A:A,Account_Master!B:B,"Not on master")</f>
        <v>0</v>
      </c>
      <c r="G3447" cm="1">
        <f t="array" ref="G3447">_xlfn.XLOOKUP(C3447,Account_Master!A:A,Account_Master!C:C,"Not on master")</f>
        <v>0</v>
      </c>
      <c r="H3447" s="6">
        <v>5.25</v>
      </c>
      <c r="I3447" s="6">
        <v>5.25</v>
      </c>
      <c r="J3447" s="6">
        <f>I3447-H3447</f>
        <v>0</v>
      </c>
      <c r="K3447" s="5">
        <f>IF(H3447=0,"",J3447/H3447)</f>
        <v>0</v>
      </c>
      <c r="L3447">
        <f>IF(OR(AND(H3447=0,ABS(J3447)&gt;=0.01),AND(H3447&lt;&gt;0,ABS(K3447)&gt;VarianceThreshold)),"Review","OK")</f>
        <v>0</v>
      </c>
      <c r="M3447" t="s">
        <v>33</v>
      </c>
    </row>
    <row r="3448" spans="1:13">
      <c r="A3448" t="s">
        <v>5</v>
      </c>
      <c r="B3448" t="s">
        <v>528</v>
      </c>
      <c r="C3448" t="s">
        <v>2916</v>
      </c>
      <c r="D3448" t="s">
        <v>2378</v>
      </c>
      <c r="E3448" cm="1">
        <f t="array" ref="E3448">_xlfn.XLOOKUP(D3448,SKU_Master!A:A,SKU_Master!B:B,"Not on master")</f>
        <v>0</v>
      </c>
      <c r="F3448" cm="1">
        <f t="array" ref="F3448">_xlfn.XLOOKUP(C3448,Account_Master!A:A,Account_Master!B:B,"Not on master")</f>
        <v>0</v>
      </c>
      <c r="G3448" cm="1">
        <f t="array" ref="G3448">_xlfn.XLOOKUP(C3448,Account_Master!A:A,Account_Master!C:C,"Not on master")</f>
        <v>0</v>
      </c>
      <c r="H3448" s="6">
        <v>15.75</v>
      </c>
      <c r="I3448" s="6">
        <v>15.75</v>
      </c>
      <c r="J3448" s="6">
        <f>I3448-H3448</f>
        <v>0</v>
      </c>
      <c r="K3448" s="5">
        <f>IF(H3448=0,"",J3448/H3448)</f>
        <v>0</v>
      </c>
      <c r="L3448">
        <f>IF(OR(AND(H3448=0,ABS(J3448)&gt;=0.01),AND(H3448&lt;&gt;0,ABS(K3448)&gt;VarianceThreshold)),"Review","OK")</f>
        <v>0</v>
      </c>
      <c r="M3448" t="s">
        <v>33</v>
      </c>
    </row>
    <row r="3449" spans="1:13">
      <c r="A3449" t="s">
        <v>5</v>
      </c>
      <c r="B3449" t="s">
        <v>528</v>
      </c>
      <c r="C3449" t="s">
        <v>2769</v>
      </c>
      <c r="D3449" t="s">
        <v>1292</v>
      </c>
      <c r="E3449" cm="1">
        <f t="array" ref="E3449">_xlfn.XLOOKUP(D3449,SKU_Master!A:A,SKU_Master!B:B,"Not on master")</f>
        <v>0</v>
      </c>
      <c r="F3449" cm="1">
        <f t="array" ref="F3449">_xlfn.XLOOKUP(C3449,Account_Master!A:A,Account_Master!B:B,"Not on master")</f>
        <v>0</v>
      </c>
      <c r="G3449" cm="1">
        <f t="array" ref="G3449">_xlfn.XLOOKUP(C3449,Account_Master!A:A,Account_Master!C:C,"Not on master")</f>
        <v>0</v>
      </c>
      <c r="H3449" s="6">
        <v>147</v>
      </c>
      <c r="I3449" s="6">
        <v>147</v>
      </c>
      <c r="J3449" s="6">
        <f>I3449-H3449</f>
        <v>0</v>
      </c>
      <c r="K3449" s="5">
        <f>IF(H3449=0,"",J3449/H3449)</f>
        <v>0</v>
      </c>
      <c r="L3449">
        <f>IF(OR(AND(H3449=0,ABS(J3449)&gt;=0.01),AND(H3449&lt;&gt;0,ABS(K3449)&gt;VarianceThreshold)),"Review","OK")</f>
        <v>0</v>
      </c>
      <c r="M3449" t="s">
        <v>33</v>
      </c>
    </row>
    <row r="3450" spans="1:13">
      <c r="A3450" t="s">
        <v>5</v>
      </c>
      <c r="B3450" t="s">
        <v>528</v>
      </c>
      <c r="C3450" t="s">
        <v>2894</v>
      </c>
      <c r="D3450" t="s">
        <v>1355</v>
      </c>
      <c r="E3450" cm="1">
        <f t="array" ref="E3450">_xlfn.XLOOKUP(D3450,SKU_Master!A:A,SKU_Master!B:B,"Not on master")</f>
        <v>0</v>
      </c>
      <c r="F3450" cm="1">
        <f t="array" ref="F3450">_xlfn.XLOOKUP(C3450,Account_Master!A:A,Account_Master!B:B,"Not on master")</f>
        <v>0</v>
      </c>
      <c r="G3450" cm="1">
        <f t="array" ref="G3450">_xlfn.XLOOKUP(C3450,Account_Master!A:A,Account_Master!C:C,"Not on master")</f>
        <v>0</v>
      </c>
      <c r="H3450" s="6">
        <v>1.5</v>
      </c>
      <c r="I3450" s="6">
        <v>1.5</v>
      </c>
      <c r="J3450" s="6">
        <f>I3450-H3450</f>
        <v>0</v>
      </c>
      <c r="K3450" s="5">
        <f>IF(H3450=0,"",J3450/H3450)</f>
        <v>0</v>
      </c>
      <c r="L3450">
        <f>IF(OR(AND(H3450=0,ABS(J3450)&gt;=0.01),AND(H3450&lt;&gt;0,ABS(K3450)&gt;VarianceThreshold)),"Review","OK")</f>
        <v>0</v>
      </c>
      <c r="M3450" t="s">
        <v>33</v>
      </c>
    </row>
    <row r="3451" spans="1:13">
      <c r="A3451" t="s">
        <v>5</v>
      </c>
      <c r="B3451" t="s">
        <v>528</v>
      </c>
      <c r="C3451" t="s">
        <v>2750</v>
      </c>
      <c r="D3451" t="s">
        <v>853</v>
      </c>
      <c r="E3451" cm="1">
        <f t="array" ref="E3451">_xlfn.XLOOKUP(D3451,SKU_Master!A:A,SKU_Master!B:B,"Not on master")</f>
        <v>0</v>
      </c>
      <c r="F3451" cm="1">
        <f t="array" ref="F3451">_xlfn.XLOOKUP(C3451,Account_Master!A:A,Account_Master!B:B,"Not on master")</f>
        <v>0</v>
      </c>
      <c r="G3451" cm="1">
        <f t="array" ref="G3451">_xlfn.XLOOKUP(C3451,Account_Master!A:A,Account_Master!C:C,"Not on master")</f>
        <v>0</v>
      </c>
      <c r="H3451" s="6">
        <v>108.5</v>
      </c>
      <c r="I3451" s="6">
        <v>108.5</v>
      </c>
      <c r="J3451" s="6">
        <f>I3451-H3451</f>
        <v>0</v>
      </c>
      <c r="K3451" s="5">
        <f>IF(H3451=0,"",J3451/H3451)</f>
        <v>0</v>
      </c>
      <c r="L3451">
        <f>IF(OR(AND(H3451=0,ABS(J3451)&gt;=0.01),AND(H3451&lt;&gt;0,ABS(K3451)&gt;VarianceThreshold)),"Review","OK")</f>
        <v>0</v>
      </c>
      <c r="M3451" t="s">
        <v>33</v>
      </c>
    </row>
    <row r="3452" spans="1:13">
      <c r="A3452" t="s">
        <v>5</v>
      </c>
      <c r="B3452" t="s">
        <v>528</v>
      </c>
      <c r="C3452" t="s">
        <v>2786</v>
      </c>
      <c r="D3452" t="s">
        <v>2440</v>
      </c>
      <c r="E3452" cm="1">
        <f t="array" ref="E3452">_xlfn.XLOOKUP(D3452,SKU_Master!A:A,SKU_Master!B:B,"Not on master")</f>
        <v>0</v>
      </c>
      <c r="F3452" cm="1">
        <f t="array" ref="F3452">_xlfn.XLOOKUP(C3452,Account_Master!A:A,Account_Master!B:B,"Not on master")</f>
        <v>0</v>
      </c>
      <c r="G3452" cm="1">
        <f t="array" ref="G3452">_xlfn.XLOOKUP(C3452,Account_Master!A:A,Account_Master!C:C,"Not on master")</f>
        <v>0</v>
      </c>
      <c r="H3452" s="6">
        <v>52.5</v>
      </c>
      <c r="I3452" s="6">
        <v>52.5</v>
      </c>
      <c r="J3452" s="6">
        <f>I3452-H3452</f>
        <v>0</v>
      </c>
      <c r="K3452" s="5">
        <f>IF(H3452=0,"",J3452/H3452)</f>
        <v>0</v>
      </c>
      <c r="L3452">
        <f>IF(OR(AND(H3452=0,ABS(J3452)&gt;=0.01),AND(H3452&lt;&gt;0,ABS(K3452)&gt;VarianceThreshold)),"Review","OK")</f>
        <v>0</v>
      </c>
      <c r="M3452" t="s">
        <v>33</v>
      </c>
    </row>
    <row r="3453" spans="1:13">
      <c r="A3453" t="s">
        <v>5</v>
      </c>
      <c r="B3453" t="s">
        <v>528</v>
      </c>
      <c r="C3453" t="s">
        <v>2802</v>
      </c>
      <c r="D3453" t="s">
        <v>2917</v>
      </c>
      <c r="E3453" cm="1">
        <f t="array" ref="E3453">_xlfn.XLOOKUP(D3453,SKU_Master!A:A,SKU_Master!B:B,"Not on master")</f>
        <v>0</v>
      </c>
      <c r="F3453" cm="1">
        <f t="array" ref="F3453">_xlfn.XLOOKUP(C3453,Account_Master!A:A,Account_Master!B:B,"Not on master")</f>
        <v>0</v>
      </c>
      <c r="G3453" cm="1">
        <f t="array" ref="G3453">_xlfn.XLOOKUP(C3453,Account_Master!A:A,Account_Master!C:C,"Not on master")</f>
        <v>0</v>
      </c>
      <c r="H3453" s="6">
        <v>84</v>
      </c>
      <c r="I3453" s="6">
        <v>84</v>
      </c>
      <c r="J3453" s="6">
        <f>I3453-H3453</f>
        <v>0</v>
      </c>
      <c r="K3453" s="5">
        <f>IF(H3453=0,"",J3453/H3453)</f>
        <v>0</v>
      </c>
      <c r="L3453">
        <f>IF(OR(AND(H3453=0,ABS(J3453)&gt;=0.01),AND(H3453&lt;&gt;0,ABS(K3453)&gt;VarianceThreshold)),"Review","OK")</f>
        <v>0</v>
      </c>
      <c r="M3453" t="s">
        <v>33</v>
      </c>
    </row>
    <row r="3454" spans="1:13">
      <c r="A3454" t="s">
        <v>5</v>
      </c>
      <c r="B3454" t="s">
        <v>528</v>
      </c>
      <c r="C3454" t="s">
        <v>2864</v>
      </c>
      <c r="D3454" t="s">
        <v>1829</v>
      </c>
      <c r="E3454" cm="1">
        <f t="array" ref="E3454">_xlfn.XLOOKUP(D3454,SKU_Master!A:A,SKU_Master!B:B,"Not on master")</f>
        <v>0</v>
      </c>
      <c r="F3454" cm="1">
        <f t="array" ref="F3454">_xlfn.XLOOKUP(C3454,Account_Master!A:A,Account_Master!B:B,"Not on master")</f>
        <v>0</v>
      </c>
      <c r="G3454" cm="1">
        <f t="array" ref="G3454">_xlfn.XLOOKUP(C3454,Account_Master!A:A,Account_Master!C:C,"Not on master")</f>
        <v>0</v>
      </c>
      <c r="H3454" s="6">
        <v>0.25</v>
      </c>
      <c r="I3454" s="6">
        <v>0.25</v>
      </c>
      <c r="J3454" s="6">
        <f>I3454-H3454</f>
        <v>0</v>
      </c>
      <c r="K3454" s="5">
        <f>IF(H3454=0,"",J3454/H3454)</f>
        <v>0</v>
      </c>
      <c r="L3454">
        <f>IF(OR(AND(H3454=0,ABS(J3454)&gt;=0.01),AND(H3454&lt;&gt;0,ABS(K3454)&gt;VarianceThreshold)),"Review","OK")</f>
        <v>0</v>
      </c>
      <c r="M3454" t="s">
        <v>33</v>
      </c>
    </row>
    <row r="3455" spans="1:13">
      <c r="A3455" t="s">
        <v>5</v>
      </c>
      <c r="B3455" t="s">
        <v>528</v>
      </c>
      <c r="C3455" t="s">
        <v>2802</v>
      </c>
      <c r="D3455" t="s">
        <v>1427</v>
      </c>
      <c r="E3455" cm="1">
        <f t="array" ref="E3455">_xlfn.XLOOKUP(D3455,SKU_Master!A:A,SKU_Master!B:B,"Not on master")</f>
        <v>0</v>
      </c>
      <c r="F3455" cm="1">
        <f t="array" ref="F3455">_xlfn.XLOOKUP(C3455,Account_Master!A:A,Account_Master!B:B,"Not on master")</f>
        <v>0</v>
      </c>
      <c r="G3455" cm="1">
        <f t="array" ref="G3455">_xlfn.XLOOKUP(C3455,Account_Master!A:A,Account_Master!C:C,"Not on master")</f>
        <v>0</v>
      </c>
      <c r="H3455" s="6">
        <v>0.05</v>
      </c>
      <c r="I3455" s="6">
        <v>0.05</v>
      </c>
      <c r="J3455" s="6">
        <f>I3455-H3455</f>
        <v>0</v>
      </c>
      <c r="K3455" s="5">
        <f>IF(H3455=0,"",J3455/H3455)</f>
        <v>0</v>
      </c>
      <c r="L3455">
        <f>IF(OR(AND(H3455=0,ABS(J3455)&gt;=0.01),AND(H3455&lt;&gt;0,ABS(K3455)&gt;VarianceThreshold)),"Review","OK")</f>
        <v>0</v>
      </c>
      <c r="M3455" t="s">
        <v>33</v>
      </c>
    </row>
    <row r="3456" spans="1:13">
      <c r="A3456" t="s">
        <v>5</v>
      </c>
      <c r="B3456" t="s">
        <v>538</v>
      </c>
      <c r="C3456" t="s">
        <v>2766</v>
      </c>
      <c r="D3456" t="s">
        <v>2918</v>
      </c>
      <c r="E3456" cm="1">
        <f t="array" ref="E3456">_xlfn.XLOOKUP(D3456,SKU_Master!A:A,SKU_Master!B:B,"Not on master")</f>
        <v>0</v>
      </c>
      <c r="F3456" cm="1">
        <f t="array" ref="F3456">_xlfn.XLOOKUP(C3456,Account_Master!A:A,Account_Master!B:B,"Not on master")</f>
        <v>0</v>
      </c>
      <c r="G3456" cm="1">
        <f t="array" ref="G3456">_xlfn.XLOOKUP(C3456,Account_Master!A:A,Account_Master!C:C,"Not on master")</f>
        <v>0</v>
      </c>
      <c r="H3456" s="6">
        <v>4.5</v>
      </c>
      <c r="I3456" s="6">
        <v>4.5</v>
      </c>
      <c r="J3456" s="6">
        <f>I3456-H3456</f>
        <v>0</v>
      </c>
      <c r="K3456" s="5">
        <f>IF(H3456=0,"",J3456/H3456)</f>
        <v>0</v>
      </c>
      <c r="L3456">
        <f>IF(OR(AND(H3456=0,ABS(J3456)&gt;=0.01),AND(H3456&lt;&gt;0,ABS(K3456)&gt;VarianceThreshold)),"Review","OK")</f>
        <v>0</v>
      </c>
      <c r="M3456" t="s">
        <v>33</v>
      </c>
    </row>
    <row r="3457" spans="1:13">
      <c r="A3457" t="s">
        <v>5</v>
      </c>
      <c r="B3457" t="s">
        <v>538</v>
      </c>
      <c r="C3457" t="s">
        <v>2765</v>
      </c>
      <c r="D3457" t="s">
        <v>1497</v>
      </c>
      <c r="E3457" cm="1">
        <f t="array" ref="E3457">_xlfn.XLOOKUP(D3457,SKU_Master!A:A,SKU_Master!B:B,"Not on master")</f>
        <v>0</v>
      </c>
      <c r="F3457" cm="1">
        <f t="array" ref="F3457">_xlfn.XLOOKUP(C3457,Account_Master!A:A,Account_Master!B:B,"Not on master")</f>
        <v>0</v>
      </c>
      <c r="G3457" cm="1">
        <f t="array" ref="G3457">_xlfn.XLOOKUP(C3457,Account_Master!A:A,Account_Master!C:C,"Not on master")</f>
        <v>0</v>
      </c>
      <c r="H3457" s="6">
        <v>6</v>
      </c>
      <c r="I3457" s="6">
        <v>6</v>
      </c>
      <c r="J3457" s="6">
        <f>I3457-H3457</f>
        <v>0</v>
      </c>
      <c r="K3457" s="5">
        <f>IF(H3457=0,"",J3457/H3457)</f>
        <v>0</v>
      </c>
      <c r="L3457">
        <f>IF(OR(AND(H3457=0,ABS(J3457)&gt;=0.01),AND(H3457&lt;&gt;0,ABS(K3457)&gt;VarianceThreshold)),"Review","OK")</f>
        <v>0</v>
      </c>
      <c r="M3457" t="s">
        <v>33</v>
      </c>
    </row>
    <row r="3458" spans="1:13">
      <c r="A3458" t="s">
        <v>5</v>
      </c>
      <c r="B3458" t="s">
        <v>538</v>
      </c>
      <c r="C3458" t="s">
        <v>2767</v>
      </c>
      <c r="D3458" t="s">
        <v>1825</v>
      </c>
      <c r="E3458" cm="1">
        <f t="array" ref="E3458">_xlfn.XLOOKUP(D3458,SKU_Master!A:A,SKU_Master!B:B,"Not on master")</f>
        <v>0</v>
      </c>
      <c r="F3458" cm="1">
        <f t="array" ref="F3458">_xlfn.XLOOKUP(C3458,Account_Master!A:A,Account_Master!B:B,"Not on master")</f>
        <v>0</v>
      </c>
      <c r="G3458" cm="1">
        <f t="array" ref="G3458">_xlfn.XLOOKUP(C3458,Account_Master!A:A,Account_Master!C:C,"Not on master")</f>
        <v>0</v>
      </c>
      <c r="H3458" s="6">
        <v>8.25</v>
      </c>
      <c r="I3458" s="6">
        <v>8.25</v>
      </c>
      <c r="J3458" s="6">
        <f>I3458-H3458</f>
        <v>0</v>
      </c>
      <c r="K3458" s="5">
        <f>IF(H3458=0,"",J3458/H3458)</f>
        <v>0</v>
      </c>
      <c r="L3458">
        <f>IF(OR(AND(H3458=0,ABS(J3458)&gt;=0.01),AND(H3458&lt;&gt;0,ABS(K3458)&gt;VarianceThreshold)),"Review","OK")</f>
        <v>0</v>
      </c>
      <c r="M3458" t="s">
        <v>33</v>
      </c>
    </row>
    <row r="3459" spans="1:13">
      <c r="A3459" t="s">
        <v>5</v>
      </c>
      <c r="B3459" t="s">
        <v>552</v>
      </c>
      <c r="C3459" t="s">
        <v>2775</v>
      </c>
      <c r="D3459" t="s">
        <v>1176</v>
      </c>
      <c r="E3459" cm="1">
        <f t="array" ref="E3459">_xlfn.XLOOKUP(D3459,SKU_Master!A:A,SKU_Master!B:B,"Not on master")</f>
        <v>0</v>
      </c>
      <c r="F3459" cm="1">
        <f t="array" ref="F3459">_xlfn.XLOOKUP(C3459,Account_Master!A:A,Account_Master!B:B,"Not on master")</f>
        <v>0</v>
      </c>
      <c r="G3459" cm="1">
        <f t="array" ref="G3459">_xlfn.XLOOKUP(C3459,Account_Master!A:A,Account_Master!C:C,"Not on master")</f>
        <v>0</v>
      </c>
      <c r="H3459" s="6">
        <v>54.25</v>
      </c>
      <c r="I3459" s="6">
        <v>54.25</v>
      </c>
      <c r="J3459" s="6">
        <f>I3459-H3459</f>
        <v>0</v>
      </c>
      <c r="K3459" s="5">
        <f>IF(H3459=0,"",J3459/H3459)</f>
        <v>0</v>
      </c>
      <c r="L3459">
        <f>IF(OR(AND(H3459=0,ABS(J3459)&gt;=0.01),AND(H3459&lt;&gt;0,ABS(K3459)&gt;VarianceThreshold)),"Review","OK")</f>
        <v>0</v>
      </c>
      <c r="M3459" t="s">
        <v>33</v>
      </c>
    </row>
    <row r="3460" spans="1:13">
      <c r="A3460" t="s">
        <v>5</v>
      </c>
      <c r="B3460" t="s">
        <v>552</v>
      </c>
      <c r="C3460" t="s">
        <v>2800</v>
      </c>
      <c r="D3460" t="s">
        <v>938</v>
      </c>
      <c r="E3460" cm="1">
        <f t="array" ref="E3460">_xlfn.XLOOKUP(D3460,SKU_Master!A:A,SKU_Master!B:B,"Not on master")</f>
        <v>0</v>
      </c>
      <c r="F3460" cm="1">
        <f t="array" ref="F3460">_xlfn.XLOOKUP(C3460,Account_Master!A:A,Account_Master!B:B,"Not on master")</f>
        <v>0</v>
      </c>
      <c r="G3460" cm="1">
        <f t="array" ref="G3460">_xlfn.XLOOKUP(C3460,Account_Master!A:A,Account_Master!C:C,"Not on master")</f>
        <v>0</v>
      </c>
      <c r="H3460" s="6">
        <v>63</v>
      </c>
      <c r="I3460" s="6">
        <v>63</v>
      </c>
      <c r="J3460" s="6">
        <f>I3460-H3460</f>
        <v>0</v>
      </c>
      <c r="K3460" s="5">
        <f>IF(H3460=0,"",J3460/H3460)</f>
        <v>0</v>
      </c>
      <c r="L3460">
        <f>IF(OR(AND(H3460=0,ABS(J3460)&gt;=0.01),AND(H3460&lt;&gt;0,ABS(K3460)&gt;VarianceThreshold)),"Review","OK")</f>
        <v>0</v>
      </c>
      <c r="M3460" t="s">
        <v>33</v>
      </c>
    </row>
    <row r="3461" spans="1:13">
      <c r="A3461" t="s">
        <v>5</v>
      </c>
      <c r="B3461" t="s">
        <v>552</v>
      </c>
      <c r="C3461" t="s">
        <v>2750</v>
      </c>
      <c r="D3461" t="s">
        <v>1210</v>
      </c>
      <c r="E3461" cm="1">
        <f t="array" ref="E3461">_xlfn.XLOOKUP(D3461,SKU_Master!A:A,SKU_Master!B:B,"Not on master")</f>
        <v>0</v>
      </c>
      <c r="F3461" cm="1">
        <f t="array" ref="F3461">_xlfn.XLOOKUP(C3461,Account_Master!A:A,Account_Master!B:B,"Not on master")</f>
        <v>0</v>
      </c>
      <c r="G3461" cm="1">
        <f t="array" ref="G3461">_xlfn.XLOOKUP(C3461,Account_Master!A:A,Account_Master!C:C,"Not on master")</f>
        <v>0</v>
      </c>
      <c r="H3461" s="6">
        <v>10.5</v>
      </c>
      <c r="I3461" s="6">
        <v>10.5</v>
      </c>
      <c r="J3461" s="6">
        <f>I3461-H3461</f>
        <v>0</v>
      </c>
      <c r="K3461" s="5">
        <f>IF(H3461=0,"",J3461/H3461)</f>
        <v>0</v>
      </c>
      <c r="L3461">
        <f>IF(OR(AND(H3461=0,ABS(J3461)&gt;=0.01),AND(H3461&lt;&gt;0,ABS(K3461)&gt;VarianceThreshold)),"Review","OK")</f>
        <v>0</v>
      </c>
      <c r="M3461" t="s">
        <v>33</v>
      </c>
    </row>
    <row r="3462" spans="1:13">
      <c r="A3462" t="s">
        <v>5</v>
      </c>
      <c r="B3462" t="s">
        <v>552</v>
      </c>
      <c r="C3462" t="s">
        <v>2800</v>
      </c>
      <c r="D3462" t="s">
        <v>258</v>
      </c>
      <c r="E3462" cm="1">
        <f t="array" ref="E3462">_xlfn.XLOOKUP(D3462,SKU_Master!A:A,SKU_Master!B:B,"Not on master")</f>
        <v>0</v>
      </c>
      <c r="F3462" cm="1">
        <f t="array" ref="F3462">_xlfn.XLOOKUP(C3462,Account_Master!A:A,Account_Master!B:B,"Not on master")</f>
        <v>0</v>
      </c>
      <c r="G3462" cm="1">
        <f t="array" ref="G3462">_xlfn.XLOOKUP(C3462,Account_Master!A:A,Account_Master!C:C,"Not on master")</f>
        <v>0</v>
      </c>
      <c r="H3462" s="6">
        <v>73.48999999999999</v>
      </c>
      <c r="I3462" s="6">
        <v>73.48999999999999</v>
      </c>
      <c r="J3462" s="6">
        <f>I3462-H3462</f>
        <v>0</v>
      </c>
      <c r="K3462" s="5">
        <f>IF(H3462=0,"",J3462/H3462)</f>
        <v>0</v>
      </c>
      <c r="L3462">
        <f>IF(OR(AND(H3462=0,ABS(J3462)&gt;=0.01),AND(H3462&lt;&gt;0,ABS(K3462)&gt;VarianceThreshold)),"Review","OK")</f>
        <v>0</v>
      </c>
      <c r="M3462" t="s">
        <v>33</v>
      </c>
    </row>
    <row r="3463" spans="1:13">
      <c r="A3463" t="s">
        <v>5</v>
      </c>
      <c r="B3463" t="s">
        <v>552</v>
      </c>
      <c r="C3463" t="s">
        <v>2919</v>
      </c>
      <c r="D3463" t="s">
        <v>1169</v>
      </c>
      <c r="E3463" cm="1">
        <f t="array" ref="E3463">_xlfn.XLOOKUP(D3463,SKU_Master!A:A,SKU_Master!B:B,"Not on master")</f>
        <v>0</v>
      </c>
      <c r="F3463" cm="1">
        <f t="array" ref="F3463">_xlfn.XLOOKUP(C3463,Account_Master!A:A,Account_Master!B:B,"Not on master")</f>
        <v>0</v>
      </c>
      <c r="G3463" cm="1">
        <f t="array" ref="G3463">_xlfn.XLOOKUP(C3463,Account_Master!A:A,Account_Master!C:C,"Not on master")</f>
        <v>0</v>
      </c>
      <c r="H3463" s="6">
        <v>3.5</v>
      </c>
      <c r="I3463" s="6">
        <v>3.5</v>
      </c>
      <c r="J3463" s="6">
        <f>I3463-H3463</f>
        <v>0</v>
      </c>
      <c r="K3463" s="5">
        <f>IF(H3463=0,"",J3463/H3463)</f>
        <v>0</v>
      </c>
      <c r="L3463">
        <f>IF(OR(AND(H3463=0,ABS(J3463)&gt;=0.01),AND(H3463&lt;&gt;0,ABS(K3463)&gt;VarianceThreshold)),"Review","OK")</f>
        <v>0</v>
      </c>
      <c r="M3463" t="s">
        <v>33</v>
      </c>
    </row>
    <row r="3464" spans="1:13">
      <c r="A3464" t="s">
        <v>5</v>
      </c>
      <c r="B3464" t="s">
        <v>552</v>
      </c>
      <c r="C3464" t="s">
        <v>2860</v>
      </c>
      <c r="D3464" t="s">
        <v>1163</v>
      </c>
      <c r="E3464" cm="1">
        <f t="array" ref="E3464">_xlfn.XLOOKUP(D3464,SKU_Master!A:A,SKU_Master!B:B,"Not on master")</f>
        <v>0</v>
      </c>
      <c r="F3464" cm="1">
        <f t="array" ref="F3464">_xlfn.XLOOKUP(C3464,Account_Master!A:A,Account_Master!B:B,"Not on master")</f>
        <v>0</v>
      </c>
      <c r="G3464" cm="1">
        <f t="array" ref="G3464">_xlfn.XLOOKUP(C3464,Account_Master!A:A,Account_Master!C:C,"Not on master")</f>
        <v>0</v>
      </c>
      <c r="H3464" s="6">
        <v>-27</v>
      </c>
      <c r="I3464" s="6">
        <v>0</v>
      </c>
      <c r="J3464" s="6">
        <f>I3464-H3464</f>
        <v>0</v>
      </c>
      <c r="K3464" s="5">
        <f>IF(H3464=0,"",J3464/H3464)</f>
        <v>0</v>
      </c>
      <c r="L3464">
        <f>IF(OR(AND(H3464=0,ABS(J3464)&gt;=0.01),AND(H3464&lt;&gt;0,ABS(K3464)&gt;VarianceThreshold)),"Review","OK")</f>
        <v>0</v>
      </c>
      <c r="M3464" t="s">
        <v>471</v>
      </c>
    </row>
    <row r="3465" spans="1:13">
      <c r="A3465" t="s">
        <v>5</v>
      </c>
      <c r="B3465" t="s">
        <v>552</v>
      </c>
      <c r="C3465" t="s">
        <v>2765</v>
      </c>
      <c r="D3465" t="s">
        <v>2111</v>
      </c>
      <c r="E3465" cm="1">
        <f t="array" ref="E3465">_xlfn.XLOOKUP(D3465,SKU_Master!A:A,SKU_Master!B:B,"Not on master")</f>
        <v>0</v>
      </c>
      <c r="F3465" cm="1">
        <f t="array" ref="F3465">_xlfn.XLOOKUP(C3465,Account_Master!A:A,Account_Master!B:B,"Not on master")</f>
        <v>0</v>
      </c>
      <c r="G3465" cm="1">
        <f t="array" ref="G3465">_xlfn.XLOOKUP(C3465,Account_Master!A:A,Account_Master!C:C,"Not on master")</f>
        <v>0</v>
      </c>
      <c r="H3465" s="6">
        <v>18</v>
      </c>
      <c r="I3465" s="6">
        <v>18</v>
      </c>
      <c r="J3465" s="6">
        <f>I3465-H3465</f>
        <v>0</v>
      </c>
      <c r="K3465" s="5">
        <f>IF(H3465=0,"",J3465/H3465)</f>
        <v>0</v>
      </c>
      <c r="L3465">
        <f>IF(OR(AND(H3465=0,ABS(J3465)&gt;=0.01),AND(H3465&lt;&gt;0,ABS(K3465)&gt;VarianceThreshold)),"Review","OK")</f>
        <v>0</v>
      </c>
      <c r="M3465" t="s">
        <v>33</v>
      </c>
    </row>
    <row r="3466" spans="1:13">
      <c r="A3466" t="s">
        <v>5</v>
      </c>
      <c r="B3466" t="s">
        <v>558</v>
      </c>
      <c r="C3466" t="s">
        <v>2850</v>
      </c>
      <c r="D3466" t="s">
        <v>554</v>
      </c>
      <c r="E3466" cm="1">
        <f t="array" ref="E3466">_xlfn.XLOOKUP(D3466,SKU_Master!A:A,SKU_Master!B:B,"Not on master")</f>
        <v>0</v>
      </c>
      <c r="F3466" cm="1">
        <f t="array" ref="F3466">_xlfn.XLOOKUP(C3466,Account_Master!A:A,Account_Master!B:B,"Not on master")</f>
        <v>0</v>
      </c>
      <c r="G3466" cm="1">
        <f t="array" ref="G3466">_xlfn.XLOOKUP(C3466,Account_Master!A:A,Account_Master!C:C,"Not on master")</f>
        <v>0</v>
      </c>
      <c r="H3466" s="6">
        <v>4.5</v>
      </c>
      <c r="I3466" s="6">
        <v>4.5</v>
      </c>
      <c r="J3466" s="6">
        <f>I3466-H3466</f>
        <v>0</v>
      </c>
      <c r="K3466" s="5">
        <f>IF(H3466=0,"",J3466/H3466)</f>
        <v>0</v>
      </c>
      <c r="L3466">
        <f>IF(OR(AND(H3466=0,ABS(J3466)&gt;=0.01),AND(H3466&lt;&gt;0,ABS(K3466)&gt;VarianceThreshold)),"Review","OK")</f>
        <v>0</v>
      </c>
      <c r="M3466" t="s">
        <v>33</v>
      </c>
    </row>
    <row r="3467" spans="1:13">
      <c r="A3467" t="s">
        <v>5</v>
      </c>
      <c r="B3467" t="s">
        <v>558</v>
      </c>
      <c r="C3467" t="s">
        <v>2920</v>
      </c>
      <c r="D3467" t="s">
        <v>919</v>
      </c>
      <c r="E3467" cm="1">
        <f t="array" ref="E3467">_xlfn.XLOOKUP(D3467,SKU_Master!A:A,SKU_Master!B:B,"Not on master")</f>
        <v>0</v>
      </c>
      <c r="F3467" cm="1">
        <f t="array" ref="F3467">_xlfn.XLOOKUP(C3467,Account_Master!A:A,Account_Master!B:B,"Not on master")</f>
        <v>0</v>
      </c>
      <c r="G3467" cm="1">
        <f t="array" ref="G3467">_xlfn.XLOOKUP(C3467,Account_Master!A:A,Account_Master!C:C,"Not on master")</f>
        <v>0</v>
      </c>
      <c r="H3467" s="6">
        <v>15.8</v>
      </c>
      <c r="I3467" s="6">
        <v>15.8</v>
      </c>
      <c r="J3467" s="6">
        <f>I3467-H3467</f>
        <v>0</v>
      </c>
      <c r="K3467" s="5">
        <f>IF(H3467=0,"",J3467/H3467)</f>
        <v>0</v>
      </c>
      <c r="L3467">
        <f>IF(OR(AND(H3467=0,ABS(J3467)&gt;=0.01),AND(H3467&lt;&gt;0,ABS(K3467)&gt;VarianceThreshold)),"Review","OK")</f>
        <v>0</v>
      </c>
      <c r="M3467" t="s">
        <v>33</v>
      </c>
    </row>
    <row r="3468" spans="1:13">
      <c r="A3468" t="s">
        <v>5</v>
      </c>
      <c r="B3468" t="s">
        <v>558</v>
      </c>
      <c r="C3468" t="s">
        <v>2769</v>
      </c>
      <c r="D3468" t="s">
        <v>330</v>
      </c>
      <c r="E3468" cm="1">
        <f t="array" ref="E3468">_xlfn.XLOOKUP(D3468,SKU_Master!A:A,SKU_Master!B:B,"Not on master")</f>
        <v>0</v>
      </c>
      <c r="F3468" cm="1">
        <f t="array" ref="F3468">_xlfn.XLOOKUP(C3468,Account_Master!A:A,Account_Master!B:B,"Not on master")</f>
        <v>0</v>
      </c>
      <c r="G3468" cm="1">
        <f t="array" ref="G3468">_xlfn.XLOOKUP(C3468,Account_Master!A:A,Account_Master!C:C,"Not on master")</f>
        <v>0</v>
      </c>
      <c r="H3468" s="6">
        <v>18</v>
      </c>
      <c r="I3468" s="6">
        <v>18</v>
      </c>
      <c r="J3468" s="6">
        <f>I3468-H3468</f>
        <v>0</v>
      </c>
      <c r="K3468" s="5">
        <f>IF(H3468=0,"",J3468/H3468)</f>
        <v>0</v>
      </c>
      <c r="L3468">
        <f>IF(OR(AND(H3468=0,ABS(J3468)&gt;=0.01),AND(H3468&lt;&gt;0,ABS(K3468)&gt;VarianceThreshold)),"Review","OK")</f>
        <v>0</v>
      </c>
      <c r="M3468" t="s">
        <v>33</v>
      </c>
    </row>
    <row r="3469" spans="1:13">
      <c r="A3469" t="s">
        <v>5</v>
      </c>
      <c r="B3469" t="s">
        <v>558</v>
      </c>
      <c r="C3469" t="s">
        <v>2849</v>
      </c>
      <c r="D3469" t="s">
        <v>1787</v>
      </c>
      <c r="E3469" cm="1">
        <f t="array" ref="E3469">_xlfn.XLOOKUP(D3469,SKU_Master!A:A,SKU_Master!B:B,"Not on master")</f>
        <v>0</v>
      </c>
      <c r="F3469" cm="1">
        <f t="array" ref="F3469">_xlfn.XLOOKUP(C3469,Account_Master!A:A,Account_Master!B:B,"Not on master")</f>
        <v>0</v>
      </c>
      <c r="G3469" cm="1">
        <f t="array" ref="G3469">_xlfn.XLOOKUP(C3469,Account_Master!A:A,Account_Master!C:C,"Not on master")</f>
        <v>0</v>
      </c>
      <c r="H3469" s="6">
        <v>2.25</v>
      </c>
      <c r="I3469" s="6">
        <v>2.25</v>
      </c>
      <c r="J3469" s="6">
        <f>I3469-H3469</f>
        <v>0</v>
      </c>
      <c r="K3469" s="5">
        <f>IF(H3469=0,"",J3469/H3469)</f>
        <v>0</v>
      </c>
      <c r="L3469">
        <f>IF(OR(AND(H3469=0,ABS(J3469)&gt;=0.01),AND(H3469&lt;&gt;0,ABS(K3469)&gt;VarianceThreshold)),"Review","OK")</f>
        <v>0</v>
      </c>
      <c r="M3469" t="s">
        <v>33</v>
      </c>
    </row>
    <row r="3470" spans="1:13">
      <c r="A3470" t="s">
        <v>5</v>
      </c>
      <c r="B3470" t="s">
        <v>558</v>
      </c>
      <c r="C3470" t="s">
        <v>2921</v>
      </c>
      <c r="D3470" t="s">
        <v>1413</v>
      </c>
      <c r="E3470" cm="1">
        <f t="array" ref="E3470">_xlfn.XLOOKUP(D3470,SKU_Master!A:A,SKU_Master!B:B,"Not on master")</f>
        <v>0</v>
      </c>
      <c r="F3470" cm="1">
        <f t="array" ref="F3470">_xlfn.XLOOKUP(C3470,Account_Master!A:A,Account_Master!B:B,"Not on master")</f>
        <v>0</v>
      </c>
      <c r="G3470" cm="1">
        <f t="array" ref="G3470">_xlfn.XLOOKUP(C3470,Account_Master!A:A,Account_Master!C:C,"Not on master")</f>
        <v>0</v>
      </c>
      <c r="H3470" s="6">
        <v>1.75</v>
      </c>
      <c r="I3470" s="6">
        <v>1.75</v>
      </c>
      <c r="J3470" s="6">
        <f>I3470-H3470</f>
        <v>0</v>
      </c>
      <c r="K3470" s="5">
        <f>IF(H3470=0,"",J3470/H3470)</f>
        <v>0</v>
      </c>
      <c r="L3470">
        <f>IF(OR(AND(H3470=0,ABS(J3470)&gt;=0.01),AND(H3470&lt;&gt;0,ABS(K3470)&gt;VarianceThreshold)),"Review","OK")</f>
        <v>0</v>
      </c>
      <c r="M3470" t="s">
        <v>33</v>
      </c>
    </row>
    <row r="3471" spans="1:13">
      <c r="A3471" t="s">
        <v>5</v>
      </c>
      <c r="B3471" t="s">
        <v>563</v>
      </c>
      <c r="C3471" t="s">
        <v>2921</v>
      </c>
      <c r="D3471" t="s">
        <v>1792</v>
      </c>
      <c r="E3471" cm="1">
        <f t="array" ref="E3471">_xlfn.XLOOKUP(D3471,SKU_Master!A:A,SKU_Master!B:B,"Not on master")</f>
        <v>0</v>
      </c>
      <c r="F3471" cm="1">
        <f t="array" ref="F3471">_xlfn.XLOOKUP(C3471,Account_Master!A:A,Account_Master!B:B,"Not on master")</f>
        <v>0</v>
      </c>
      <c r="G3471" cm="1">
        <f t="array" ref="G3471">_xlfn.XLOOKUP(C3471,Account_Master!A:A,Account_Master!C:C,"Not on master")</f>
        <v>0</v>
      </c>
      <c r="H3471" s="6">
        <v>0.2</v>
      </c>
      <c r="I3471" s="6">
        <v>0.2</v>
      </c>
      <c r="J3471" s="6">
        <f>I3471-H3471</f>
        <v>0</v>
      </c>
      <c r="K3471" s="5">
        <f>IF(H3471=0,"",J3471/H3471)</f>
        <v>0</v>
      </c>
      <c r="L3471">
        <f>IF(OR(AND(H3471=0,ABS(J3471)&gt;=0.01),AND(H3471&lt;&gt;0,ABS(K3471)&gt;VarianceThreshold)),"Review","OK")</f>
        <v>0</v>
      </c>
      <c r="M3471" t="s">
        <v>33</v>
      </c>
    </row>
    <row r="3472" spans="1:13">
      <c r="A3472" t="s">
        <v>5</v>
      </c>
      <c r="B3472" t="s">
        <v>563</v>
      </c>
      <c r="C3472" t="s">
        <v>2879</v>
      </c>
      <c r="D3472" t="s">
        <v>1506</v>
      </c>
      <c r="E3472" cm="1">
        <f t="array" ref="E3472">_xlfn.XLOOKUP(D3472,SKU_Master!A:A,SKU_Master!B:B,"Not on master")</f>
        <v>0</v>
      </c>
      <c r="F3472" cm="1">
        <f t="array" ref="F3472">_xlfn.XLOOKUP(C3472,Account_Master!A:A,Account_Master!B:B,"Not on master")</f>
        <v>0</v>
      </c>
      <c r="G3472" cm="1">
        <f t="array" ref="G3472">_xlfn.XLOOKUP(C3472,Account_Master!A:A,Account_Master!C:C,"Not on master")</f>
        <v>0</v>
      </c>
      <c r="H3472" s="6">
        <v>60</v>
      </c>
      <c r="I3472" s="6">
        <v>60</v>
      </c>
      <c r="J3472" s="6">
        <f>I3472-H3472</f>
        <v>0</v>
      </c>
      <c r="K3472" s="5">
        <f>IF(H3472=0,"",J3472/H3472)</f>
        <v>0</v>
      </c>
      <c r="L3472">
        <f>IF(OR(AND(H3472=0,ABS(J3472)&gt;=0.01),AND(H3472&lt;&gt;0,ABS(K3472)&gt;VarianceThreshold)),"Review","OK")</f>
        <v>0</v>
      </c>
      <c r="M3472" t="s">
        <v>33</v>
      </c>
    </row>
    <row r="3473" spans="1:13">
      <c r="A3473" t="s">
        <v>5</v>
      </c>
      <c r="B3473" t="s">
        <v>571</v>
      </c>
      <c r="C3473" t="s">
        <v>2818</v>
      </c>
      <c r="D3473" t="s">
        <v>1691</v>
      </c>
      <c r="E3473" cm="1">
        <f t="array" ref="E3473">_xlfn.XLOOKUP(D3473,SKU_Master!A:A,SKU_Master!B:B,"Not on master")</f>
        <v>0</v>
      </c>
      <c r="F3473" cm="1">
        <f t="array" ref="F3473">_xlfn.XLOOKUP(C3473,Account_Master!A:A,Account_Master!B:B,"Not on master")</f>
        <v>0</v>
      </c>
      <c r="G3473" cm="1">
        <f t="array" ref="G3473">_xlfn.XLOOKUP(C3473,Account_Master!A:A,Account_Master!C:C,"Not on master")</f>
        <v>0</v>
      </c>
      <c r="H3473" s="6">
        <v>9</v>
      </c>
      <c r="I3473" s="6">
        <v>9</v>
      </c>
      <c r="J3473" s="6">
        <f>I3473-H3473</f>
        <v>0</v>
      </c>
      <c r="K3473" s="5">
        <f>IF(H3473=0,"",J3473/H3473)</f>
        <v>0</v>
      </c>
      <c r="L3473">
        <f>IF(OR(AND(H3473=0,ABS(J3473)&gt;=0.01),AND(H3473&lt;&gt;0,ABS(K3473)&gt;VarianceThreshold)),"Review","OK")</f>
        <v>0</v>
      </c>
      <c r="M3473" t="s">
        <v>33</v>
      </c>
    </row>
    <row r="3474" spans="1:13">
      <c r="A3474" t="s">
        <v>5</v>
      </c>
      <c r="B3474" t="s">
        <v>571</v>
      </c>
      <c r="C3474" t="s">
        <v>2796</v>
      </c>
      <c r="D3474" t="s">
        <v>2528</v>
      </c>
      <c r="E3474" cm="1">
        <f t="array" ref="E3474">_xlfn.XLOOKUP(D3474,SKU_Master!A:A,SKU_Master!B:B,"Not on master")</f>
        <v>0</v>
      </c>
      <c r="F3474" cm="1">
        <f t="array" ref="F3474">_xlfn.XLOOKUP(C3474,Account_Master!A:A,Account_Master!B:B,"Not on master")</f>
        <v>0</v>
      </c>
      <c r="G3474" cm="1">
        <f t="array" ref="G3474">_xlfn.XLOOKUP(C3474,Account_Master!A:A,Account_Master!C:C,"Not on master")</f>
        <v>0</v>
      </c>
      <c r="H3474" s="6">
        <v>12</v>
      </c>
      <c r="I3474" s="6">
        <v>12</v>
      </c>
      <c r="J3474" s="6">
        <f>I3474-H3474</f>
        <v>0</v>
      </c>
      <c r="K3474" s="5">
        <f>IF(H3474=0,"",J3474/H3474)</f>
        <v>0</v>
      </c>
      <c r="L3474">
        <f>IF(OR(AND(H3474=0,ABS(J3474)&gt;=0.01),AND(H3474&lt;&gt;0,ABS(K3474)&gt;VarianceThreshold)),"Review","OK")</f>
        <v>0</v>
      </c>
      <c r="M3474" t="s">
        <v>33</v>
      </c>
    </row>
    <row r="3475" spans="1:13">
      <c r="A3475" t="s">
        <v>5</v>
      </c>
      <c r="B3475" t="s">
        <v>571</v>
      </c>
      <c r="C3475" t="s">
        <v>2796</v>
      </c>
      <c r="D3475" t="s">
        <v>2922</v>
      </c>
      <c r="E3475" cm="1">
        <f t="array" ref="E3475">_xlfn.XLOOKUP(D3475,SKU_Master!A:A,SKU_Master!B:B,"Not on master")</f>
        <v>0</v>
      </c>
      <c r="F3475" cm="1">
        <f t="array" ref="F3475">_xlfn.XLOOKUP(C3475,Account_Master!A:A,Account_Master!B:B,"Not on master")</f>
        <v>0</v>
      </c>
      <c r="G3475" cm="1">
        <f t="array" ref="G3475">_xlfn.XLOOKUP(C3475,Account_Master!A:A,Account_Master!C:C,"Not on master")</f>
        <v>0</v>
      </c>
      <c r="H3475" s="6">
        <v>18.75</v>
      </c>
      <c r="I3475" s="6">
        <v>18.75</v>
      </c>
      <c r="J3475" s="6">
        <f>I3475-H3475</f>
        <v>0</v>
      </c>
      <c r="K3475" s="5">
        <f>IF(H3475=0,"",J3475/H3475)</f>
        <v>0</v>
      </c>
      <c r="L3475">
        <f>IF(OR(AND(H3475=0,ABS(J3475)&gt;=0.01),AND(H3475&lt;&gt;0,ABS(K3475)&gt;VarianceThreshold)),"Review","OK")</f>
        <v>0</v>
      </c>
      <c r="M3475" t="s">
        <v>33</v>
      </c>
    </row>
    <row r="3476" spans="1:13">
      <c r="A3476" t="s">
        <v>5</v>
      </c>
      <c r="B3476" t="s">
        <v>571</v>
      </c>
      <c r="C3476" t="s">
        <v>2802</v>
      </c>
      <c r="D3476" t="s">
        <v>862</v>
      </c>
      <c r="E3476" cm="1">
        <f t="array" ref="E3476">_xlfn.XLOOKUP(D3476,SKU_Master!A:A,SKU_Master!B:B,"Not on master")</f>
        <v>0</v>
      </c>
      <c r="F3476" cm="1">
        <f t="array" ref="F3476">_xlfn.XLOOKUP(C3476,Account_Master!A:A,Account_Master!B:B,"Not on master")</f>
        <v>0</v>
      </c>
      <c r="G3476" cm="1">
        <f t="array" ref="G3476">_xlfn.XLOOKUP(C3476,Account_Master!A:A,Account_Master!C:C,"Not on master")</f>
        <v>0</v>
      </c>
      <c r="H3476" s="6">
        <v>38.25</v>
      </c>
      <c r="I3476" s="6">
        <v>38.25</v>
      </c>
      <c r="J3476" s="6">
        <f>I3476-H3476</f>
        <v>0</v>
      </c>
      <c r="K3476" s="5">
        <f>IF(H3476=0,"",J3476/H3476)</f>
        <v>0</v>
      </c>
      <c r="L3476">
        <f>IF(OR(AND(H3476=0,ABS(J3476)&gt;=0.01),AND(H3476&lt;&gt;0,ABS(K3476)&gt;VarianceThreshold)),"Review","OK")</f>
        <v>0</v>
      </c>
      <c r="M3476" t="s">
        <v>33</v>
      </c>
    </row>
    <row r="3477" spans="1:13">
      <c r="A3477" t="s">
        <v>5</v>
      </c>
      <c r="B3477" t="s">
        <v>571</v>
      </c>
      <c r="C3477" t="s">
        <v>2821</v>
      </c>
      <c r="D3477" t="s">
        <v>2923</v>
      </c>
      <c r="E3477" cm="1">
        <f t="array" ref="E3477">_xlfn.XLOOKUP(D3477,SKU_Master!A:A,SKU_Master!B:B,"Not on master")</f>
        <v>0</v>
      </c>
      <c r="F3477" cm="1">
        <f t="array" ref="F3477">_xlfn.XLOOKUP(C3477,Account_Master!A:A,Account_Master!B:B,"Not on master")</f>
        <v>0</v>
      </c>
      <c r="G3477" cm="1">
        <f t="array" ref="G3477">_xlfn.XLOOKUP(C3477,Account_Master!A:A,Account_Master!C:C,"Not on master")</f>
        <v>0</v>
      </c>
      <c r="H3477" s="6">
        <v>1.5</v>
      </c>
      <c r="I3477" s="6">
        <v>1.5</v>
      </c>
      <c r="J3477" s="6">
        <f>I3477-H3477</f>
        <v>0</v>
      </c>
      <c r="K3477" s="5">
        <f>IF(H3477=0,"",J3477/H3477)</f>
        <v>0</v>
      </c>
      <c r="L3477">
        <f>IF(OR(AND(H3477=0,ABS(J3477)&gt;=0.01),AND(H3477&lt;&gt;0,ABS(K3477)&gt;VarianceThreshold)),"Review","OK")</f>
        <v>0</v>
      </c>
      <c r="M3477" t="s">
        <v>33</v>
      </c>
    </row>
    <row r="3478" spans="1:13">
      <c r="A3478" t="s">
        <v>5</v>
      </c>
      <c r="B3478" t="s">
        <v>571</v>
      </c>
      <c r="C3478" t="s">
        <v>2924</v>
      </c>
      <c r="D3478" t="s">
        <v>2925</v>
      </c>
      <c r="E3478" cm="1">
        <f t="array" ref="E3478">_xlfn.XLOOKUP(D3478,SKU_Master!A:A,SKU_Master!B:B,"Not on master")</f>
        <v>0</v>
      </c>
      <c r="F3478" cm="1">
        <f t="array" ref="F3478">_xlfn.XLOOKUP(C3478,Account_Master!A:A,Account_Master!B:B,"Not on master")</f>
        <v>0</v>
      </c>
      <c r="G3478" cm="1">
        <f t="array" ref="G3478">_xlfn.XLOOKUP(C3478,Account_Master!A:A,Account_Master!C:C,"Not on master")</f>
        <v>0</v>
      </c>
      <c r="H3478" s="6">
        <v>4.5</v>
      </c>
      <c r="I3478" s="6">
        <v>4.5</v>
      </c>
      <c r="J3478" s="6">
        <f>I3478-H3478</f>
        <v>0</v>
      </c>
      <c r="K3478" s="5">
        <f>IF(H3478=0,"",J3478/H3478)</f>
        <v>0</v>
      </c>
      <c r="L3478">
        <f>IF(OR(AND(H3478=0,ABS(J3478)&gt;=0.01),AND(H3478&lt;&gt;0,ABS(K3478)&gt;VarianceThreshold)),"Review","OK")</f>
        <v>0</v>
      </c>
      <c r="M3478" t="s">
        <v>33</v>
      </c>
    </row>
    <row r="3479" spans="1:13">
      <c r="A3479" t="s">
        <v>5</v>
      </c>
      <c r="B3479" t="s">
        <v>571</v>
      </c>
      <c r="C3479" t="s">
        <v>2926</v>
      </c>
      <c r="D3479" t="s">
        <v>909</v>
      </c>
      <c r="E3479" cm="1">
        <f t="array" ref="E3479">_xlfn.XLOOKUP(D3479,SKU_Master!A:A,SKU_Master!B:B,"Not on master")</f>
        <v>0</v>
      </c>
      <c r="F3479" cm="1">
        <f t="array" ref="F3479">_xlfn.XLOOKUP(C3479,Account_Master!A:A,Account_Master!B:B,"Not on master")</f>
        <v>0</v>
      </c>
      <c r="G3479" cm="1">
        <f t="array" ref="G3479">_xlfn.XLOOKUP(C3479,Account_Master!A:A,Account_Master!C:C,"Not on master")</f>
        <v>0</v>
      </c>
      <c r="H3479" s="6">
        <v>4.5</v>
      </c>
      <c r="I3479" s="6">
        <v>4.5</v>
      </c>
      <c r="J3479" s="6">
        <f>I3479-H3479</f>
        <v>0</v>
      </c>
      <c r="K3479" s="5">
        <f>IF(H3479=0,"",J3479/H3479)</f>
        <v>0</v>
      </c>
      <c r="L3479">
        <f>IF(OR(AND(H3479=0,ABS(J3479)&gt;=0.01),AND(H3479&lt;&gt;0,ABS(K3479)&gt;VarianceThreshold)),"Review","OK")</f>
        <v>0</v>
      </c>
      <c r="M3479" t="s">
        <v>33</v>
      </c>
    </row>
    <row r="3480" spans="1:13">
      <c r="A3480" t="s">
        <v>5</v>
      </c>
      <c r="B3480" t="s">
        <v>574</v>
      </c>
      <c r="C3480" t="s">
        <v>2927</v>
      </c>
      <c r="D3480" t="s">
        <v>1182</v>
      </c>
      <c r="E3480" cm="1">
        <f t="array" ref="E3480">_xlfn.XLOOKUP(D3480,SKU_Master!A:A,SKU_Master!B:B,"Not on master")</f>
        <v>0</v>
      </c>
      <c r="F3480" cm="1">
        <f t="array" ref="F3480">_xlfn.XLOOKUP(C3480,Account_Master!A:A,Account_Master!B:B,"Not on master")</f>
        <v>0</v>
      </c>
      <c r="G3480" cm="1">
        <f t="array" ref="G3480">_xlfn.XLOOKUP(C3480,Account_Master!A:A,Account_Master!C:C,"Not on master")</f>
        <v>0</v>
      </c>
      <c r="H3480" s="6">
        <v>15.75</v>
      </c>
      <c r="I3480" s="6">
        <v>15.75</v>
      </c>
      <c r="J3480" s="6">
        <f>I3480-H3480</f>
        <v>0</v>
      </c>
      <c r="K3480" s="5">
        <f>IF(H3480=0,"",J3480/H3480)</f>
        <v>0</v>
      </c>
      <c r="L3480">
        <f>IF(OR(AND(H3480=0,ABS(J3480)&gt;=0.01),AND(H3480&lt;&gt;0,ABS(K3480)&gt;VarianceThreshold)),"Review","OK")</f>
        <v>0</v>
      </c>
      <c r="M3480" t="s">
        <v>33</v>
      </c>
    </row>
    <row r="3481" spans="1:13">
      <c r="A3481" t="s">
        <v>5</v>
      </c>
      <c r="B3481" t="s">
        <v>574</v>
      </c>
      <c r="C3481" t="s">
        <v>2799</v>
      </c>
      <c r="D3481" t="s">
        <v>2520</v>
      </c>
      <c r="E3481" cm="1">
        <f t="array" ref="E3481">_xlfn.XLOOKUP(D3481,SKU_Master!A:A,SKU_Master!B:B,"Not on master")</f>
        <v>0</v>
      </c>
      <c r="F3481" cm="1">
        <f t="array" ref="F3481">_xlfn.XLOOKUP(C3481,Account_Master!A:A,Account_Master!B:B,"Not on master")</f>
        <v>0</v>
      </c>
      <c r="G3481" cm="1">
        <f t="array" ref="G3481">_xlfn.XLOOKUP(C3481,Account_Master!A:A,Account_Master!C:C,"Not on master")</f>
        <v>0</v>
      </c>
      <c r="H3481" s="6">
        <v>2.35</v>
      </c>
      <c r="I3481" s="6">
        <v>2.35</v>
      </c>
      <c r="J3481" s="6">
        <f>I3481-H3481</f>
        <v>0</v>
      </c>
      <c r="K3481" s="5">
        <f>IF(H3481=0,"",J3481/H3481)</f>
        <v>0</v>
      </c>
      <c r="L3481">
        <f>IF(OR(AND(H3481=0,ABS(J3481)&gt;=0.01),AND(H3481&lt;&gt;0,ABS(K3481)&gt;VarianceThreshold)),"Review","OK")</f>
        <v>0</v>
      </c>
      <c r="M3481" t="s">
        <v>33</v>
      </c>
    </row>
    <row r="3482" spans="1:13">
      <c r="A3482" t="s">
        <v>5</v>
      </c>
      <c r="B3482" t="s">
        <v>574</v>
      </c>
      <c r="C3482" t="s">
        <v>2775</v>
      </c>
      <c r="D3482" t="s">
        <v>2161</v>
      </c>
      <c r="E3482" cm="1">
        <f t="array" ref="E3482">_xlfn.XLOOKUP(D3482,SKU_Master!A:A,SKU_Master!B:B,"Not on master")</f>
        <v>0</v>
      </c>
      <c r="F3482" cm="1">
        <f t="array" ref="F3482">_xlfn.XLOOKUP(C3482,Account_Master!A:A,Account_Master!B:B,"Not on master")</f>
        <v>0</v>
      </c>
      <c r="G3482" cm="1">
        <f t="array" ref="G3482">_xlfn.XLOOKUP(C3482,Account_Master!A:A,Account_Master!C:C,"Not on master")</f>
        <v>0</v>
      </c>
      <c r="H3482" s="6">
        <v>15</v>
      </c>
      <c r="I3482" s="6">
        <v>15</v>
      </c>
      <c r="J3482" s="6">
        <f>I3482-H3482</f>
        <v>0</v>
      </c>
      <c r="K3482" s="5">
        <f>IF(H3482=0,"",J3482/H3482)</f>
        <v>0</v>
      </c>
      <c r="L3482">
        <f>IF(OR(AND(H3482=0,ABS(J3482)&gt;=0.01),AND(H3482&lt;&gt;0,ABS(K3482)&gt;VarianceThreshold)),"Review","OK")</f>
        <v>0</v>
      </c>
      <c r="M3482" t="s">
        <v>33</v>
      </c>
    </row>
    <row r="3483" spans="1:13">
      <c r="A3483" t="s">
        <v>5</v>
      </c>
      <c r="B3483" t="s">
        <v>585</v>
      </c>
      <c r="C3483" t="s">
        <v>2793</v>
      </c>
      <c r="D3483" t="s">
        <v>2928</v>
      </c>
      <c r="E3483" cm="1">
        <f t="array" ref="E3483">_xlfn.XLOOKUP(D3483,SKU_Master!A:A,SKU_Master!B:B,"Not on master")</f>
        <v>0</v>
      </c>
      <c r="F3483" cm="1">
        <f t="array" ref="F3483">_xlfn.XLOOKUP(C3483,Account_Master!A:A,Account_Master!B:B,"Not on master")</f>
        <v>0</v>
      </c>
      <c r="G3483" cm="1">
        <f t="array" ref="G3483">_xlfn.XLOOKUP(C3483,Account_Master!A:A,Account_Master!C:C,"Not on master")</f>
        <v>0</v>
      </c>
      <c r="H3483" s="6">
        <v>29.25</v>
      </c>
      <c r="I3483" s="6">
        <v>29.25</v>
      </c>
      <c r="J3483" s="6">
        <f>I3483-H3483</f>
        <v>0</v>
      </c>
      <c r="K3483" s="5">
        <f>IF(H3483=0,"",J3483/H3483)</f>
        <v>0</v>
      </c>
      <c r="L3483">
        <f>IF(OR(AND(H3483=0,ABS(J3483)&gt;=0.01),AND(H3483&lt;&gt;0,ABS(K3483)&gt;VarianceThreshold)),"Review","OK")</f>
        <v>0</v>
      </c>
      <c r="M3483" t="s">
        <v>33</v>
      </c>
    </row>
    <row r="3484" spans="1:13">
      <c r="A3484" t="s">
        <v>5</v>
      </c>
      <c r="B3484" t="s">
        <v>585</v>
      </c>
      <c r="C3484" t="s">
        <v>2886</v>
      </c>
      <c r="D3484" t="s">
        <v>1300</v>
      </c>
      <c r="E3484" cm="1">
        <f t="array" ref="E3484">_xlfn.XLOOKUP(D3484,SKU_Master!A:A,SKU_Master!B:B,"Not on master")</f>
        <v>0</v>
      </c>
      <c r="F3484" cm="1">
        <f t="array" ref="F3484">_xlfn.XLOOKUP(C3484,Account_Master!A:A,Account_Master!B:B,"Not on master")</f>
        <v>0</v>
      </c>
      <c r="G3484" cm="1">
        <f t="array" ref="G3484">_xlfn.XLOOKUP(C3484,Account_Master!A:A,Account_Master!C:C,"Not on master")</f>
        <v>0</v>
      </c>
      <c r="H3484" s="6">
        <v>10.5</v>
      </c>
      <c r="I3484" s="6">
        <v>10.5</v>
      </c>
      <c r="J3484" s="6">
        <f>I3484-H3484</f>
        <v>0</v>
      </c>
      <c r="K3484" s="5">
        <f>IF(H3484=0,"",J3484/H3484)</f>
        <v>0</v>
      </c>
      <c r="L3484">
        <f>IF(OR(AND(H3484=0,ABS(J3484)&gt;=0.01),AND(H3484&lt;&gt;0,ABS(K3484)&gt;VarianceThreshold)),"Review","OK")</f>
        <v>0</v>
      </c>
      <c r="M3484" t="s">
        <v>33</v>
      </c>
    </row>
    <row r="3485" spans="1:13">
      <c r="A3485" t="s">
        <v>5</v>
      </c>
      <c r="B3485" t="s">
        <v>585</v>
      </c>
      <c r="C3485" t="s">
        <v>2756</v>
      </c>
      <c r="D3485" t="s">
        <v>1569</v>
      </c>
      <c r="E3485" cm="1">
        <f t="array" ref="E3485">_xlfn.XLOOKUP(D3485,SKU_Master!A:A,SKU_Master!B:B,"Not on master")</f>
        <v>0</v>
      </c>
      <c r="F3485" cm="1">
        <f t="array" ref="F3485">_xlfn.XLOOKUP(C3485,Account_Master!A:A,Account_Master!B:B,"Not on master")</f>
        <v>0</v>
      </c>
      <c r="G3485" cm="1">
        <f t="array" ref="G3485">_xlfn.XLOOKUP(C3485,Account_Master!A:A,Account_Master!C:C,"Not on master")</f>
        <v>0</v>
      </c>
      <c r="H3485" s="6">
        <v>20.25</v>
      </c>
      <c r="I3485" s="6">
        <v>20.25</v>
      </c>
      <c r="J3485" s="6">
        <f>I3485-H3485</f>
        <v>0</v>
      </c>
      <c r="K3485" s="5">
        <f>IF(H3485=0,"",J3485/H3485)</f>
        <v>0</v>
      </c>
      <c r="L3485">
        <f>IF(OR(AND(H3485=0,ABS(J3485)&gt;=0.01),AND(H3485&lt;&gt;0,ABS(K3485)&gt;VarianceThreshold)),"Review","OK")</f>
        <v>0</v>
      </c>
      <c r="M3485" t="s">
        <v>33</v>
      </c>
    </row>
    <row r="3486" spans="1:13">
      <c r="A3486" t="s">
        <v>5</v>
      </c>
      <c r="B3486" t="s">
        <v>585</v>
      </c>
      <c r="C3486" t="s">
        <v>2750</v>
      </c>
      <c r="D3486" t="s">
        <v>1483</v>
      </c>
      <c r="E3486" cm="1">
        <f t="array" ref="E3486">_xlfn.XLOOKUP(D3486,SKU_Master!A:A,SKU_Master!B:B,"Not on master")</f>
        <v>0</v>
      </c>
      <c r="F3486" cm="1">
        <f t="array" ref="F3486">_xlfn.XLOOKUP(C3486,Account_Master!A:A,Account_Master!B:B,"Not on master")</f>
        <v>0</v>
      </c>
      <c r="G3486" cm="1">
        <f t="array" ref="G3486">_xlfn.XLOOKUP(C3486,Account_Master!A:A,Account_Master!C:C,"Not on master")</f>
        <v>0</v>
      </c>
      <c r="H3486" s="6">
        <v>9</v>
      </c>
      <c r="I3486" s="6">
        <v>9</v>
      </c>
      <c r="J3486" s="6">
        <f>I3486-H3486</f>
        <v>0</v>
      </c>
      <c r="K3486" s="5">
        <f>IF(H3486=0,"",J3486/H3486)</f>
        <v>0</v>
      </c>
      <c r="L3486">
        <f>IF(OR(AND(H3486=0,ABS(J3486)&gt;=0.01),AND(H3486&lt;&gt;0,ABS(K3486)&gt;VarianceThreshold)),"Review","OK")</f>
        <v>0</v>
      </c>
      <c r="M3486" t="s">
        <v>33</v>
      </c>
    </row>
    <row r="3487" spans="1:13">
      <c r="A3487" t="s">
        <v>5</v>
      </c>
      <c r="B3487" t="s">
        <v>585</v>
      </c>
      <c r="C3487" t="s">
        <v>2769</v>
      </c>
      <c r="D3487" t="s">
        <v>2929</v>
      </c>
      <c r="E3487" cm="1">
        <f t="array" ref="E3487">_xlfn.XLOOKUP(D3487,SKU_Master!A:A,SKU_Master!B:B,"Not on master")</f>
        <v>0</v>
      </c>
      <c r="F3487" cm="1">
        <f t="array" ref="F3487">_xlfn.XLOOKUP(C3487,Account_Master!A:A,Account_Master!B:B,"Not on master")</f>
        <v>0</v>
      </c>
      <c r="G3487" cm="1">
        <f t="array" ref="G3487">_xlfn.XLOOKUP(C3487,Account_Master!A:A,Account_Master!C:C,"Not on master")</f>
        <v>0</v>
      </c>
      <c r="H3487" s="6">
        <v>99</v>
      </c>
      <c r="I3487" s="6">
        <v>99</v>
      </c>
      <c r="J3487" s="6">
        <f>I3487-H3487</f>
        <v>0</v>
      </c>
      <c r="K3487" s="5">
        <f>IF(H3487=0,"",J3487/H3487)</f>
        <v>0</v>
      </c>
      <c r="L3487">
        <f>IF(OR(AND(H3487=0,ABS(J3487)&gt;=0.01),AND(H3487&lt;&gt;0,ABS(K3487)&gt;VarianceThreshold)),"Review","OK")</f>
        <v>0</v>
      </c>
      <c r="M3487" t="s">
        <v>33</v>
      </c>
    </row>
    <row r="3488" spans="1:13">
      <c r="A3488" t="s">
        <v>5</v>
      </c>
      <c r="B3488" t="s">
        <v>594</v>
      </c>
      <c r="C3488" t="s">
        <v>2775</v>
      </c>
      <c r="D3488" t="s">
        <v>2930</v>
      </c>
      <c r="E3488" cm="1">
        <f t="array" ref="E3488">_xlfn.XLOOKUP(D3488,SKU_Master!A:A,SKU_Master!B:B,"Not on master")</f>
        <v>0</v>
      </c>
      <c r="F3488" cm="1">
        <f t="array" ref="F3488">_xlfn.XLOOKUP(C3488,Account_Master!A:A,Account_Master!B:B,"Not on master")</f>
        <v>0</v>
      </c>
      <c r="G3488" cm="1">
        <f t="array" ref="G3488">_xlfn.XLOOKUP(C3488,Account_Master!A:A,Account_Master!C:C,"Not on master")</f>
        <v>0</v>
      </c>
      <c r="H3488" s="6">
        <v>0.75</v>
      </c>
      <c r="I3488" s="6">
        <v>0.75</v>
      </c>
      <c r="J3488" s="6">
        <f>I3488-H3488</f>
        <v>0</v>
      </c>
      <c r="K3488" s="5">
        <f>IF(H3488=0,"",J3488/H3488)</f>
        <v>0</v>
      </c>
      <c r="L3488">
        <f>IF(OR(AND(H3488=0,ABS(J3488)&gt;=0.01),AND(H3488&lt;&gt;0,ABS(K3488)&gt;VarianceThreshold)),"Review","OK")</f>
        <v>0</v>
      </c>
      <c r="M3488" t="s">
        <v>33</v>
      </c>
    </row>
    <row r="3489" spans="1:13">
      <c r="A3489" t="s">
        <v>5</v>
      </c>
      <c r="B3489" t="s">
        <v>594</v>
      </c>
      <c r="C3489" t="s">
        <v>2849</v>
      </c>
      <c r="D3489" t="s">
        <v>2398</v>
      </c>
      <c r="E3489" cm="1">
        <f t="array" ref="E3489">_xlfn.XLOOKUP(D3489,SKU_Master!A:A,SKU_Master!B:B,"Not on master")</f>
        <v>0</v>
      </c>
      <c r="F3489" cm="1">
        <f t="array" ref="F3489">_xlfn.XLOOKUP(C3489,Account_Master!A:A,Account_Master!B:B,"Not on master")</f>
        <v>0</v>
      </c>
      <c r="G3489" cm="1">
        <f t="array" ref="G3489">_xlfn.XLOOKUP(C3489,Account_Master!A:A,Account_Master!C:C,"Not on master")</f>
        <v>0</v>
      </c>
      <c r="H3489" s="6">
        <v>0.75</v>
      </c>
      <c r="I3489" s="6">
        <v>0.75</v>
      </c>
      <c r="J3489" s="6">
        <f>I3489-H3489</f>
        <v>0</v>
      </c>
      <c r="K3489" s="5">
        <f>IF(H3489=0,"",J3489/H3489)</f>
        <v>0</v>
      </c>
      <c r="L3489">
        <f>IF(OR(AND(H3489=0,ABS(J3489)&gt;=0.01),AND(H3489&lt;&gt;0,ABS(K3489)&gt;VarianceThreshold)),"Review","OK")</f>
        <v>0</v>
      </c>
      <c r="M3489" t="s">
        <v>33</v>
      </c>
    </row>
    <row r="3490" spans="1:13">
      <c r="A3490" t="s">
        <v>5</v>
      </c>
      <c r="B3490" t="s">
        <v>594</v>
      </c>
      <c r="C3490" t="s">
        <v>2750</v>
      </c>
      <c r="D3490" t="s">
        <v>256</v>
      </c>
      <c r="E3490" cm="1">
        <f t="array" ref="E3490">_xlfn.XLOOKUP(D3490,SKU_Master!A:A,SKU_Master!B:B,"Not on master")</f>
        <v>0</v>
      </c>
      <c r="F3490" cm="1">
        <f t="array" ref="F3490">_xlfn.XLOOKUP(C3490,Account_Master!A:A,Account_Master!B:B,"Not on master")</f>
        <v>0</v>
      </c>
      <c r="G3490" cm="1">
        <f t="array" ref="G3490">_xlfn.XLOOKUP(C3490,Account_Master!A:A,Account_Master!C:C,"Not on master")</f>
        <v>0</v>
      </c>
      <c r="H3490" s="6">
        <v>4.5</v>
      </c>
      <c r="I3490" s="6">
        <v>4.5</v>
      </c>
      <c r="J3490" s="6">
        <f>I3490-H3490</f>
        <v>0</v>
      </c>
      <c r="K3490" s="5">
        <f>IF(H3490=0,"",J3490/H3490)</f>
        <v>0</v>
      </c>
      <c r="L3490">
        <f>IF(OR(AND(H3490=0,ABS(J3490)&gt;=0.01),AND(H3490&lt;&gt;0,ABS(K3490)&gt;VarianceThreshold)),"Review","OK")</f>
        <v>0</v>
      </c>
      <c r="M3490" t="s">
        <v>33</v>
      </c>
    </row>
    <row r="3491" spans="1:13">
      <c r="A3491" t="s">
        <v>5</v>
      </c>
      <c r="B3491" t="s">
        <v>594</v>
      </c>
      <c r="C3491" t="s">
        <v>2803</v>
      </c>
      <c r="D3491" t="s">
        <v>2931</v>
      </c>
      <c r="E3491" cm="1">
        <f t="array" ref="E3491">_xlfn.XLOOKUP(D3491,SKU_Master!A:A,SKU_Master!B:B,"Not on master")</f>
        <v>0</v>
      </c>
      <c r="F3491" cm="1">
        <f t="array" ref="F3491">_xlfn.XLOOKUP(C3491,Account_Master!A:A,Account_Master!B:B,"Not on master")</f>
        <v>0</v>
      </c>
      <c r="G3491" cm="1">
        <f t="array" ref="G3491">_xlfn.XLOOKUP(C3491,Account_Master!A:A,Account_Master!C:C,"Not on master")</f>
        <v>0</v>
      </c>
      <c r="H3491" s="6">
        <v>63</v>
      </c>
      <c r="I3491" s="6">
        <v>63</v>
      </c>
      <c r="J3491" s="6">
        <f>I3491-H3491</f>
        <v>0</v>
      </c>
      <c r="K3491" s="5">
        <f>IF(H3491=0,"",J3491/H3491)</f>
        <v>0</v>
      </c>
      <c r="L3491">
        <f>IF(OR(AND(H3491=0,ABS(J3491)&gt;=0.01),AND(H3491&lt;&gt;0,ABS(K3491)&gt;VarianceThreshold)),"Review","OK")</f>
        <v>0</v>
      </c>
      <c r="M3491" t="s">
        <v>33</v>
      </c>
    </row>
    <row r="3492" spans="1:13">
      <c r="A3492" t="s">
        <v>5</v>
      </c>
      <c r="B3492" t="s">
        <v>594</v>
      </c>
      <c r="C3492" t="s">
        <v>2767</v>
      </c>
      <c r="D3492" t="s">
        <v>288</v>
      </c>
      <c r="E3492" cm="1">
        <f t="array" ref="E3492">_xlfn.XLOOKUP(D3492,SKU_Master!A:A,SKU_Master!B:B,"Not on master")</f>
        <v>0</v>
      </c>
      <c r="F3492" cm="1">
        <f t="array" ref="F3492">_xlfn.XLOOKUP(C3492,Account_Master!A:A,Account_Master!B:B,"Not on master")</f>
        <v>0</v>
      </c>
      <c r="G3492" cm="1">
        <f t="array" ref="G3492">_xlfn.XLOOKUP(C3492,Account_Master!A:A,Account_Master!C:C,"Not on master")</f>
        <v>0</v>
      </c>
      <c r="H3492" s="6">
        <v>11.25</v>
      </c>
      <c r="I3492" s="6">
        <v>11.25</v>
      </c>
      <c r="J3492" s="6">
        <f>I3492-H3492</f>
        <v>0</v>
      </c>
      <c r="K3492" s="5">
        <f>IF(H3492=0,"",J3492/H3492)</f>
        <v>0</v>
      </c>
      <c r="L3492">
        <f>IF(OR(AND(H3492=0,ABS(J3492)&gt;=0.01),AND(H3492&lt;&gt;0,ABS(K3492)&gt;VarianceThreshold)),"Review","OK")</f>
        <v>0</v>
      </c>
      <c r="M3492" t="s">
        <v>33</v>
      </c>
    </row>
    <row r="3493" spans="1:13">
      <c r="A3493" t="s">
        <v>5</v>
      </c>
      <c r="B3493" t="s">
        <v>594</v>
      </c>
      <c r="C3493" t="s">
        <v>2767</v>
      </c>
      <c r="D3493" t="s">
        <v>1155</v>
      </c>
      <c r="E3493" cm="1">
        <f t="array" ref="E3493">_xlfn.XLOOKUP(D3493,SKU_Master!A:A,SKU_Master!B:B,"Not on master")</f>
        <v>0</v>
      </c>
      <c r="F3493" cm="1">
        <f t="array" ref="F3493">_xlfn.XLOOKUP(C3493,Account_Master!A:A,Account_Master!B:B,"Not on master")</f>
        <v>0</v>
      </c>
      <c r="G3493" cm="1">
        <f t="array" ref="G3493">_xlfn.XLOOKUP(C3493,Account_Master!A:A,Account_Master!C:C,"Not on master")</f>
        <v>0</v>
      </c>
      <c r="H3493" s="6">
        <v>14</v>
      </c>
      <c r="I3493" s="6">
        <v>14</v>
      </c>
      <c r="J3493" s="6">
        <f>I3493-H3493</f>
        <v>0</v>
      </c>
      <c r="K3493" s="5">
        <f>IF(H3493=0,"",J3493/H3493)</f>
        <v>0</v>
      </c>
      <c r="L3493">
        <f>IF(OR(AND(H3493=0,ABS(J3493)&gt;=0.01),AND(H3493&lt;&gt;0,ABS(K3493)&gt;VarianceThreshold)),"Review","OK")</f>
        <v>0</v>
      </c>
      <c r="M3493" t="s">
        <v>33</v>
      </c>
    </row>
    <row r="3494" spans="1:13">
      <c r="A3494" t="s">
        <v>5</v>
      </c>
      <c r="B3494" t="s">
        <v>615</v>
      </c>
      <c r="C3494" t="s">
        <v>2767</v>
      </c>
      <c r="D3494" t="s">
        <v>2932</v>
      </c>
      <c r="E3494" cm="1">
        <f t="array" ref="E3494">_xlfn.XLOOKUP(D3494,SKU_Master!A:A,SKU_Master!B:B,"Not on master")</f>
        <v>0</v>
      </c>
      <c r="F3494" cm="1">
        <f t="array" ref="F3494">_xlfn.XLOOKUP(C3494,Account_Master!A:A,Account_Master!B:B,"Not on master")</f>
        <v>0</v>
      </c>
      <c r="G3494" cm="1">
        <f t="array" ref="G3494">_xlfn.XLOOKUP(C3494,Account_Master!A:A,Account_Master!C:C,"Not on master")</f>
        <v>0</v>
      </c>
      <c r="H3494" s="6">
        <v>13.5</v>
      </c>
      <c r="I3494" s="6">
        <v>13.5</v>
      </c>
      <c r="J3494" s="6">
        <f>I3494-H3494</f>
        <v>0</v>
      </c>
      <c r="K3494" s="5">
        <f>IF(H3494=0,"",J3494/H3494)</f>
        <v>0</v>
      </c>
      <c r="L3494">
        <f>IF(OR(AND(H3494=0,ABS(J3494)&gt;=0.01),AND(H3494&lt;&gt;0,ABS(K3494)&gt;VarianceThreshold)),"Review","OK")</f>
        <v>0</v>
      </c>
      <c r="M3494" t="s">
        <v>33</v>
      </c>
    </row>
    <row r="3495" spans="1:13">
      <c r="A3495" t="s">
        <v>5</v>
      </c>
      <c r="B3495" t="s">
        <v>624</v>
      </c>
      <c r="C3495" t="s">
        <v>2802</v>
      </c>
      <c r="D3495" t="s">
        <v>2103</v>
      </c>
      <c r="E3495" cm="1">
        <f t="array" ref="E3495">_xlfn.XLOOKUP(D3495,SKU_Master!A:A,SKU_Master!B:B,"Not on master")</f>
        <v>0</v>
      </c>
      <c r="F3495" cm="1">
        <f t="array" ref="F3495">_xlfn.XLOOKUP(C3495,Account_Master!A:A,Account_Master!B:B,"Not on master")</f>
        <v>0</v>
      </c>
      <c r="G3495" cm="1">
        <f t="array" ref="G3495">_xlfn.XLOOKUP(C3495,Account_Master!A:A,Account_Master!C:C,"Not on master")</f>
        <v>0</v>
      </c>
      <c r="H3495" s="6">
        <v>35.25</v>
      </c>
      <c r="I3495" s="6">
        <v>35.25</v>
      </c>
      <c r="J3495" s="6">
        <f>I3495-H3495</f>
        <v>0</v>
      </c>
      <c r="K3495" s="5">
        <f>IF(H3495=0,"",J3495/H3495)</f>
        <v>0</v>
      </c>
      <c r="L3495">
        <f>IF(OR(AND(H3495=0,ABS(J3495)&gt;=0.01),AND(H3495&lt;&gt;0,ABS(K3495)&gt;VarianceThreshold)),"Review","OK")</f>
        <v>0</v>
      </c>
      <c r="M3495" t="s">
        <v>33</v>
      </c>
    </row>
    <row r="3496" spans="1:13">
      <c r="A3496" t="s">
        <v>5</v>
      </c>
      <c r="B3496" t="s">
        <v>624</v>
      </c>
      <c r="C3496" t="s">
        <v>2775</v>
      </c>
      <c r="D3496" t="s">
        <v>2632</v>
      </c>
      <c r="E3496" cm="1">
        <f t="array" ref="E3496">_xlfn.XLOOKUP(D3496,SKU_Master!A:A,SKU_Master!B:B,"Not on master")</f>
        <v>0</v>
      </c>
      <c r="F3496" cm="1">
        <f t="array" ref="F3496">_xlfn.XLOOKUP(C3496,Account_Master!A:A,Account_Master!B:B,"Not on master")</f>
        <v>0</v>
      </c>
      <c r="G3496" cm="1">
        <f t="array" ref="G3496">_xlfn.XLOOKUP(C3496,Account_Master!A:A,Account_Master!C:C,"Not on master")</f>
        <v>0</v>
      </c>
      <c r="H3496" s="6">
        <v>1.5</v>
      </c>
      <c r="I3496" s="6">
        <v>1.5</v>
      </c>
      <c r="J3496" s="6">
        <f>I3496-H3496</f>
        <v>0</v>
      </c>
      <c r="K3496" s="5">
        <f>IF(H3496=0,"",J3496/H3496)</f>
        <v>0</v>
      </c>
      <c r="L3496">
        <f>IF(OR(AND(H3496=0,ABS(J3496)&gt;=0.01),AND(H3496&lt;&gt;0,ABS(K3496)&gt;VarianceThreshold)),"Review","OK")</f>
        <v>0</v>
      </c>
      <c r="M3496" t="s">
        <v>33</v>
      </c>
    </row>
    <row r="3497" spans="1:13">
      <c r="A3497" t="s">
        <v>5</v>
      </c>
      <c r="B3497" t="s">
        <v>624</v>
      </c>
      <c r="C3497" t="s">
        <v>2802</v>
      </c>
      <c r="D3497" t="s">
        <v>2933</v>
      </c>
      <c r="E3497" cm="1">
        <f t="array" ref="E3497">_xlfn.XLOOKUP(D3497,SKU_Master!A:A,SKU_Master!B:B,"Not on master")</f>
        <v>0</v>
      </c>
      <c r="F3497" cm="1">
        <f t="array" ref="F3497">_xlfn.XLOOKUP(C3497,Account_Master!A:A,Account_Master!B:B,"Not on master")</f>
        <v>0</v>
      </c>
      <c r="G3497" cm="1">
        <f t="array" ref="G3497">_xlfn.XLOOKUP(C3497,Account_Master!A:A,Account_Master!C:C,"Not on master")</f>
        <v>0</v>
      </c>
      <c r="H3497" s="6">
        <v>10.5</v>
      </c>
      <c r="I3497" s="6">
        <v>10.5</v>
      </c>
      <c r="J3497" s="6">
        <f>I3497-H3497</f>
        <v>0</v>
      </c>
      <c r="K3497" s="5">
        <f>IF(H3497=0,"",J3497/H3497)</f>
        <v>0</v>
      </c>
      <c r="L3497">
        <f>IF(OR(AND(H3497=0,ABS(J3497)&gt;=0.01),AND(H3497&lt;&gt;0,ABS(K3497)&gt;VarianceThreshold)),"Review","OK")</f>
        <v>0</v>
      </c>
      <c r="M3497" t="s">
        <v>33</v>
      </c>
    </row>
    <row r="3498" spans="1:13">
      <c r="A3498" t="s">
        <v>5</v>
      </c>
      <c r="B3498" t="s">
        <v>624</v>
      </c>
      <c r="C3498" t="s">
        <v>2760</v>
      </c>
      <c r="D3498" t="s">
        <v>2934</v>
      </c>
      <c r="E3498" cm="1">
        <f t="array" ref="E3498">_xlfn.XLOOKUP(D3498,SKU_Master!A:A,SKU_Master!B:B,"Not on master")</f>
        <v>0</v>
      </c>
      <c r="F3498" cm="1">
        <f t="array" ref="F3498">_xlfn.XLOOKUP(C3498,Account_Master!A:A,Account_Master!B:B,"Not on master")</f>
        <v>0</v>
      </c>
      <c r="G3498" cm="1">
        <f t="array" ref="G3498">_xlfn.XLOOKUP(C3498,Account_Master!A:A,Account_Master!C:C,"Not on master")</f>
        <v>0</v>
      </c>
      <c r="H3498" s="6">
        <v>114.75</v>
      </c>
      <c r="I3498" s="6">
        <v>114.75</v>
      </c>
      <c r="J3498" s="6">
        <f>I3498-H3498</f>
        <v>0</v>
      </c>
      <c r="K3498" s="5">
        <f>IF(H3498=0,"",J3498/H3498)</f>
        <v>0</v>
      </c>
      <c r="L3498">
        <f>IF(OR(AND(H3498=0,ABS(J3498)&gt;=0.01),AND(H3498&lt;&gt;0,ABS(K3498)&gt;VarianceThreshold)),"Review","OK")</f>
        <v>0</v>
      </c>
      <c r="M3498" t="s">
        <v>33</v>
      </c>
    </row>
    <row r="3499" spans="1:13">
      <c r="A3499" t="s">
        <v>5</v>
      </c>
      <c r="B3499" t="s">
        <v>624</v>
      </c>
      <c r="C3499" t="s">
        <v>2760</v>
      </c>
      <c r="D3499" t="s">
        <v>1600</v>
      </c>
      <c r="E3499" cm="1">
        <f t="array" ref="E3499">_xlfn.XLOOKUP(D3499,SKU_Master!A:A,SKU_Master!B:B,"Not on master")</f>
        <v>0</v>
      </c>
      <c r="F3499" cm="1">
        <f t="array" ref="F3499">_xlfn.XLOOKUP(C3499,Account_Master!A:A,Account_Master!B:B,"Not on master")</f>
        <v>0</v>
      </c>
      <c r="G3499" cm="1">
        <f t="array" ref="G3499">_xlfn.XLOOKUP(C3499,Account_Master!A:A,Account_Master!C:C,"Not on master")</f>
        <v>0</v>
      </c>
      <c r="H3499" s="6">
        <v>0.2</v>
      </c>
      <c r="I3499" s="6">
        <v>0.2</v>
      </c>
      <c r="J3499" s="6">
        <f>I3499-H3499</f>
        <v>0</v>
      </c>
      <c r="K3499" s="5">
        <f>IF(H3499=0,"",J3499/H3499)</f>
        <v>0</v>
      </c>
      <c r="L3499">
        <f>IF(OR(AND(H3499=0,ABS(J3499)&gt;=0.01),AND(H3499&lt;&gt;0,ABS(K3499)&gt;VarianceThreshold)),"Review","OK")</f>
        <v>0</v>
      </c>
      <c r="M3499" t="s">
        <v>33</v>
      </c>
    </row>
    <row r="3500" spans="1:13">
      <c r="A3500" t="s">
        <v>5</v>
      </c>
      <c r="B3500" t="s">
        <v>624</v>
      </c>
      <c r="C3500" t="s">
        <v>2769</v>
      </c>
      <c r="D3500" t="s">
        <v>2935</v>
      </c>
      <c r="E3500" cm="1">
        <f t="array" ref="E3500">_xlfn.XLOOKUP(D3500,SKU_Master!A:A,SKU_Master!B:B,"Not on master")</f>
        <v>0</v>
      </c>
      <c r="F3500" cm="1">
        <f t="array" ref="F3500">_xlfn.XLOOKUP(C3500,Account_Master!A:A,Account_Master!B:B,"Not on master")</f>
        <v>0</v>
      </c>
      <c r="G3500" cm="1">
        <f t="array" ref="G3500">_xlfn.XLOOKUP(C3500,Account_Master!A:A,Account_Master!C:C,"Not on master")</f>
        <v>0</v>
      </c>
      <c r="H3500" s="6">
        <v>10.5</v>
      </c>
      <c r="I3500" s="6">
        <v>10.5</v>
      </c>
      <c r="J3500" s="6">
        <f>I3500-H3500</f>
        <v>0</v>
      </c>
      <c r="K3500" s="5">
        <f>IF(H3500=0,"",J3500/H3500)</f>
        <v>0</v>
      </c>
      <c r="L3500">
        <f>IF(OR(AND(H3500=0,ABS(J3500)&gt;=0.01),AND(H3500&lt;&gt;0,ABS(K3500)&gt;VarianceThreshold)),"Review","OK")</f>
        <v>0</v>
      </c>
      <c r="M3500" t="s">
        <v>33</v>
      </c>
    </row>
    <row r="3501" spans="1:13">
      <c r="A3501" t="s">
        <v>5</v>
      </c>
      <c r="B3501" t="s">
        <v>635</v>
      </c>
      <c r="C3501" t="s">
        <v>2769</v>
      </c>
      <c r="D3501" t="s">
        <v>2936</v>
      </c>
      <c r="E3501" cm="1">
        <f t="array" ref="E3501">_xlfn.XLOOKUP(D3501,SKU_Master!A:A,SKU_Master!B:B,"Not on master")</f>
        <v>0</v>
      </c>
      <c r="F3501" cm="1">
        <f t="array" ref="F3501">_xlfn.XLOOKUP(C3501,Account_Master!A:A,Account_Master!B:B,"Not on master")</f>
        <v>0</v>
      </c>
      <c r="G3501" cm="1">
        <f t="array" ref="G3501">_xlfn.XLOOKUP(C3501,Account_Master!A:A,Account_Master!C:C,"Not on master")</f>
        <v>0</v>
      </c>
      <c r="H3501" s="6">
        <v>7</v>
      </c>
      <c r="I3501" s="6">
        <v>7</v>
      </c>
      <c r="J3501" s="6">
        <f>I3501-H3501</f>
        <v>0</v>
      </c>
      <c r="K3501" s="5">
        <f>IF(H3501=0,"",J3501/H3501)</f>
        <v>0</v>
      </c>
      <c r="L3501">
        <f>IF(OR(AND(H3501=0,ABS(J3501)&gt;=0.01),AND(H3501&lt;&gt;0,ABS(K3501)&gt;VarianceThreshold)),"Review","OK")</f>
        <v>0</v>
      </c>
      <c r="M3501" t="s">
        <v>33</v>
      </c>
    </row>
    <row r="3502" spans="1:13">
      <c r="A3502" t="s">
        <v>5</v>
      </c>
      <c r="B3502" t="s">
        <v>635</v>
      </c>
      <c r="C3502" t="s">
        <v>2846</v>
      </c>
      <c r="D3502" t="s">
        <v>2937</v>
      </c>
      <c r="E3502" cm="1">
        <f t="array" ref="E3502">_xlfn.XLOOKUP(D3502,SKU_Master!A:A,SKU_Master!B:B,"Not on master")</f>
        <v>0</v>
      </c>
      <c r="F3502" cm="1">
        <f t="array" ref="F3502">_xlfn.XLOOKUP(C3502,Account_Master!A:A,Account_Master!B:B,"Not on master")</f>
        <v>0</v>
      </c>
      <c r="G3502" cm="1">
        <f t="array" ref="G3502">_xlfn.XLOOKUP(C3502,Account_Master!A:A,Account_Master!C:C,"Not on master")</f>
        <v>0</v>
      </c>
      <c r="H3502" s="6">
        <v>5.25</v>
      </c>
      <c r="I3502" s="6">
        <v>5.25</v>
      </c>
      <c r="J3502" s="6">
        <f>I3502-H3502</f>
        <v>0</v>
      </c>
      <c r="K3502" s="5">
        <f>IF(H3502=0,"",J3502/H3502)</f>
        <v>0</v>
      </c>
      <c r="L3502">
        <f>IF(OR(AND(H3502=0,ABS(J3502)&gt;=0.01),AND(H3502&lt;&gt;0,ABS(K3502)&gt;VarianceThreshold)),"Review","OK")</f>
        <v>0</v>
      </c>
      <c r="M3502" t="s">
        <v>33</v>
      </c>
    </row>
    <row r="3503" spans="1:13">
      <c r="A3503" t="s">
        <v>5</v>
      </c>
      <c r="B3503" t="s">
        <v>635</v>
      </c>
      <c r="C3503" t="s">
        <v>2766</v>
      </c>
      <c r="D3503" t="s">
        <v>1410</v>
      </c>
      <c r="E3503" cm="1">
        <f t="array" ref="E3503">_xlfn.XLOOKUP(D3503,SKU_Master!A:A,SKU_Master!B:B,"Not on master")</f>
        <v>0</v>
      </c>
      <c r="F3503" cm="1">
        <f t="array" ref="F3503">_xlfn.XLOOKUP(C3503,Account_Master!A:A,Account_Master!B:B,"Not on master")</f>
        <v>0</v>
      </c>
      <c r="G3503" cm="1">
        <f t="array" ref="G3503">_xlfn.XLOOKUP(C3503,Account_Master!A:A,Account_Master!C:C,"Not on master")</f>
        <v>0</v>
      </c>
      <c r="H3503" s="6">
        <v>12</v>
      </c>
      <c r="I3503" s="6">
        <v>12</v>
      </c>
      <c r="J3503" s="6">
        <f>I3503-H3503</f>
        <v>0</v>
      </c>
      <c r="K3503" s="5">
        <f>IF(H3503=0,"",J3503/H3503)</f>
        <v>0</v>
      </c>
      <c r="L3503">
        <f>IF(OR(AND(H3503=0,ABS(J3503)&gt;=0.01),AND(H3503&lt;&gt;0,ABS(K3503)&gt;VarianceThreshold)),"Review","OK")</f>
        <v>0</v>
      </c>
      <c r="M3503" t="s">
        <v>33</v>
      </c>
    </row>
    <row r="3504" spans="1:13">
      <c r="A3504" t="s">
        <v>5</v>
      </c>
      <c r="B3504" t="s">
        <v>635</v>
      </c>
      <c r="C3504" t="s">
        <v>2802</v>
      </c>
      <c r="D3504" t="s">
        <v>2938</v>
      </c>
      <c r="E3504" cm="1">
        <f t="array" ref="E3504">_xlfn.XLOOKUP(D3504,SKU_Master!A:A,SKU_Master!B:B,"Not on master")</f>
        <v>0</v>
      </c>
      <c r="F3504" cm="1">
        <f t="array" ref="F3504">_xlfn.XLOOKUP(C3504,Account_Master!A:A,Account_Master!B:B,"Not on master")</f>
        <v>0</v>
      </c>
      <c r="G3504" cm="1">
        <f t="array" ref="G3504">_xlfn.XLOOKUP(C3504,Account_Master!A:A,Account_Master!C:C,"Not on master")</f>
        <v>0</v>
      </c>
      <c r="H3504" s="6">
        <v>12</v>
      </c>
      <c r="I3504" s="6">
        <v>12</v>
      </c>
      <c r="J3504" s="6">
        <f>I3504-H3504</f>
        <v>0</v>
      </c>
      <c r="K3504" s="5">
        <f>IF(H3504=0,"",J3504/H3504)</f>
        <v>0</v>
      </c>
      <c r="L3504">
        <f>IF(OR(AND(H3504=0,ABS(J3504)&gt;=0.01),AND(H3504&lt;&gt;0,ABS(K3504)&gt;VarianceThreshold)),"Review","OK")</f>
        <v>0</v>
      </c>
      <c r="M3504" t="s">
        <v>33</v>
      </c>
    </row>
    <row r="3505" spans="1:13">
      <c r="A3505" t="s">
        <v>5</v>
      </c>
      <c r="B3505" t="s">
        <v>635</v>
      </c>
      <c r="C3505" t="s">
        <v>2939</v>
      </c>
      <c r="D3505" t="s">
        <v>2720</v>
      </c>
      <c r="E3505" cm="1">
        <f t="array" ref="E3505">_xlfn.XLOOKUP(D3505,SKU_Master!A:A,SKU_Master!B:B,"Not on master")</f>
        <v>0</v>
      </c>
      <c r="F3505" cm="1">
        <f t="array" ref="F3505">_xlfn.XLOOKUP(C3505,Account_Master!A:A,Account_Master!B:B,"Not on master")</f>
        <v>0</v>
      </c>
      <c r="G3505" cm="1">
        <f t="array" ref="G3505">_xlfn.XLOOKUP(C3505,Account_Master!A:A,Account_Master!C:C,"Not on master")</f>
        <v>0</v>
      </c>
      <c r="H3505" s="6">
        <v>168</v>
      </c>
      <c r="I3505" s="6">
        <v>168</v>
      </c>
      <c r="J3505" s="6">
        <f>I3505-H3505</f>
        <v>0</v>
      </c>
      <c r="K3505" s="5">
        <f>IF(H3505=0,"",J3505/H3505)</f>
        <v>0</v>
      </c>
      <c r="L3505">
        <f>IF(OR(AND(H3505=0,ABS(J3505)&gt;=0.01),AND(H3505&lt;&gt;0,ABS(K3505)&gt;VarianceThreshold)),"Review","OK")</f>
        <v>0</v>
      </c>
      <c r="M3505" t="s">
        <v>33</v>
      </c>
    </row>
    <row r="3506" spans="1:13">
      <c r="A3506" t="s">
        <v>5</v>
      </c>
      <c r="B3506" t="s">
        <v>645</v>
      </c>
      <c r="C3506" t="s">
        <v>2765</v>
      </c>
      <c r="D3506" t="s">
        <v>2940</v>
      </c>
      <c r="E3506" cm="1">
        <f t="array" ref="E3506">_xlfn.XLOOKUP(D3506,SKU_Master!A:A,SKU_Master!B:B,"Not on master")</f>
        <v>0</v>
      </c>
      <c r="F3506" cm="1">
        <f t="array" ref="F3506">_xlfn.XLOOKUP(C3506,Account_Master!A:A,Account_Master!B:B,"Not on master")</f>
        <v>0</v>
      </c>
      <c r="G3506" cm="1">
        <f t="array" ref="G3506">_xlfn.XLOOKUP(C3506,Account_Master!A:A,Account_Master!C:C,"Not on master")</f>
        <v>0</v>
      </c>
      <c r="H3506" s="6">
        <v>2.25</v>
      </c>
      <c r="I3506" s="6">
        <v>2.25</v>
      </c>
      <c r="J3506" s="6">
        <f>I3506-H3506</f>
        <v>0</v>
      </c>
      <c r="K3506" s="5">
        <f>IF(H3506=0,"",J3506/H3506)</f>
        <v>0</v>
      </c>
      <c r="L3506">
        <f>IF(OR(AND(H3506=0,ABS(J3506)&gt;=0.01),AND(H3506&lt;&gt;0,ABS(K3506)&gt;VarianceThreshold)),"Review","OK")</f>
        <v>0</v>
      </c>
      <c r="M3506" t="s">
        <v>33</v>
      </c>
    </row>
    <row r="3507" spans="1:13">
      <c r="A3507" t="s">
        <v>5</v>
      </c>
      <c r="B3507" t="s">
        <v>650</v>
      </c>
      <c r="C3507" t="s">
        <v>2849</v>
      </c>
      <c r="D3507" t="s">
        <v>2368</v>
      </c>
      <c r="E3507" cm="1">
        <f t="array" ref="E3507">_xlfn.XLOOKUP(D3507,SKU_Master!A:A,SKU_Master!B:B,"Not on master")</f>
        <v>0</v>
      </c>
      <c r="F3507" cm="1">
        <f t="array" ref="F3507">_xlfn.XLOOKUP(C3507,Account_Master!A:A,Account_Master!B:B,"Not on master")</f>
        <v>0</v>
      </c>
      <c r="G3507" cm="1">
        <f t="array" ref="G3507">_xlfn.XLOOKUP(C3507,Account_Master!A:A,Account_Master!C:C,"Not on master")</f>
        <v>0</v>
      </c>
      <c r="H3507" s="6">
        <v>0.8</v>
      </c>
      <c r="I3507" s="6">
        <v>0.8</v>
      </c>
      <c r="J3507" s="6">
        <f>I3507-H3507</f>
        <v>0</v>
      </c>
      <c r="K3507" s="5">
        <f>IF(H3507=0,"",J3507/H3507)</f>
        <v>0</v>
      </c>
      <c r="L3507">
        <f>IF(OR(AND(H3507=0,ABS(J3507)&gt;=0.01),AND(H3507&lt;&gt;0,ABS(K3507)&gt;VarianceThreshold)),"Review","OK")</f>
        <v>0</v>
      </c>
      <c r="M3507" t="s">
        <v>33</v>
      </c>
    </row>
    <row r="3508" spans="1:13">
      <c r="A3508" t="s">
        <v>5</v>
      </c>
      <c r="B3508" t="s">
        <v>650</v>
      </c>
      <c r="C3508" t="s">
        <v>2775</v>
      </c>
      <c r="D3508" t="s">
        <v>78</v>
      </c>
      <c r="E3508" cm="1">
        <f t="array" ref="E3508">_xlfn.XLOOKUP(D3508,SKU_Master!A:A,SKU_Master!B:B,"Not on master")</f>
        <v>0</v>
      </c>
      <c r="F3508" cm="1">
        <f t="array" ref="F3508">_xlfn.XLOOKUP(C3508,Account_Master!A:A,Account_Master!B:B,"Not on master")</f>
        <v>0</v>
      </c>
      <c r="G3508" cm="1">
        <f t="array" ref="G3508">_xlfn.XLOOKUP(C3508,Account_Master!A:A,Account_Master!C:C,"Not on master")</f>
        <v>0</v>
      </c>
      <c r="H3508" s="6">
        <v>0.75</v>
      </c>
      <c r="I3508" s="6">
        <v>0.75</v>
      </c>
      <c r="J3508" s="6">
        <f>I3508-H3508</f>
        <v>0</v>
      </c>
      <c r="K3508" s="5">
        <f>IF(H3508=0,"",J3508/H3508)</f>
        <v>0</v>
      </c>
      <c r="L3508">
        <f>IF(OR(AND(H3508=0,ABS(J3508)&gt;=0.01),AND(H3508&lt;&gt;0,ABS(K3508)&gt;VarianceThreshold)),"Review","OK")</f>
        <v>0</v>
      </c>
      <c r="M3508" t="s">
        <v>33</v>
      </c>
    </row>
    <row r="3509" spans="1:13">
      <c r="A3509" t="s">
        <v>5</v>
      </c>
      <c r="B3509" t="s">
        <v>650</v>
      </c>
      <c r="C3509" t="s">
        <v>2769</v>
      </c>
      <c r="D3509" t="s">
        <v>1533</v>
      </c>
      <c r="E3509" cm="1">
        <f t="array" ref="E3509">_xlfn.XLOOKUP(D3509,SKU_Master!A:A,SKU_Master!B:B,"Not on master")</f>
        <v>0</v>
      </c>
      <c r="F3509" cm="1">
        <f t="array" ref="F3509">_xlfn.XLOOKUP(C3509,Account_Master!A:A,Account_Master!B:B,"Not on master")</f>
        <v>0</v>
      </c>
      <c r="G3509" cm="1">
        <f t="array" ref="G3509">_xlfn.XLOOKUP(C3509,Account_Master!A:A,Account_Master!C:C,"Not on master")</f>
        <v>0</v>
      </c>
      <c r="H3509" s="6">
        <v>24</v>
      </c>
      <c r="I3509" s="6">
        <v>24</v>
      </c>
      <c r="J3509" s="6">
        <f>I3509-H3509</f>
        <v>0</v>
      </c>
      <c r="K3509" s="5">
        <f>IF(H3509=0,"",J3509/H3509)</f>
        <v>0</v>
      </c>
      <c r="L3509">
        <f>IF(OR(AND(H3509=0,ABS(J3509)&gt;=0.01),AND(H3509&lt;&gt;0,ABS(K3509)&gt;VarianceThreshold)),"Review","OK")</f>
        <v>0</v>
      </c>
      <c r="M3509" t="s">
        <v>33</v>
      </c>
    </row>
    <row r="3510" spans="1:13">
      <c r="A3510" t="s">
        <v>5</v>
      </c>
      <c r="B3510" t="s">
        <v>650</v>
      </c>
      <c r="C3510" t="s">
        <v>2750</v>
      </c>
      <c r="D3510" t="s">
        <v>1770</v>
      </c>
      <c r="E3510" cm="1">
        <f t="array" ref="E3510">_xlfn.XLOOKUP(D3510,SKU_Master!A:A,SKU_Master!B:B,"Not on master")</f>
        <v>0</v>
      </c>
      <c r="F3510" cm="1">
        <f t="array" ref="F3510">_xlfn.XLOOKUP(C3510,Account_Master!A:A,Account_Master!B:B,"Not on master")</f>
        <v>0</v>
      </c>
      <c r="G3510" cm="1">
        <f t="array" ref="G3510">_xlfn.XLOOKUP(C3510,Account_Master!A:A,Account_Master!C:C,"Not on master")</f>
        <v>0</v>
      </c>
      <c r="H3510" s="6">
        <v>27</v>
      </c>
      <c r="I3510" s="6">
        <v>27</v>
      </c>
      <c r="J3510" s="6">
        <f>I3510-H3510</f>
        <v>0</v>
      </c>
      <c r="K3510" s="5">
        <f>IF(H3510=0,"",J3510/H3510)</f>
        <v>0</v>
      </c>
      <c r="L3510">
        <f>IF(OR(AND(H3510=0,ABS(J3510)&gt;=0.01),AND(H3510&lt;&gt;0,ABS(K3510)&gt;VarianceThreshold)),"Review","OK")</f>
        <v>0</v>
      </c>
      <c r="M3510" t="s">
        <v>33</v>
      </c>
    </row>
    <row r="3511" spans="1:13">
      <c r="A3511" t="s">
        <v>5</v>
      </c>
      <c r="B3511" t="s">
        <v>658</v>
      </c>
      <c r="C3511" t="s">
        <v>2767</v>
      </c>
      <c r="D3511" t="s">
        <v>994</v>
      </c>
      <c r="E3511" cm="1">
        <f t="array" ref="E3511">_xlfn.XLOOKUP(D3511,SKU_Master!A:A,SKU_Master!B:B,"Not on master")</f>
        <v>0</v>
      </c>
      <c r="F3511" cm="1">
        <f t="array" ref="F3511">_xlfn.XLOOKUP(C3511,Account_Master!A:A,Account_Master!B:B,"Not on master")</f>
        <v>0</v>
      </c>
      <c r="G3511" cm="1">
        <f t="array" ref="G3511">_xlfn.XLOOKUP(C3511,Account_Master!A:A,Account_Master!C:C,"Not on master")</f>
        <v>0</v>
      </c>
      <c r="H3511" s="6">
        <v>21</v>
      </c>
      <c r="I3511" s="6">
        <v>21</v>
      </c>
      <c r="J3511" s="6">
        <f>I3511-H3511</f>
        <v>0</v>
      </c>
      <c r="K3511" s="5">
        <f>IF(H3511=0,"",J3511/H3511)</f>
        <v>0</v>
      </c>
      <c r="L3511">
        <f>IF(OR(AND(H3511=0,ABS(J3511)&gt;=0.01),AND(H3511&lt;&gt;0,ABS(K3511)&gt;VarianceThreshold)),"Review","OK")</f>
        <v>0</v>
      </c>
      <c r="M3511" t="s">
        <v>33</v>
      </c>
    </row>
    <row r="3512" spans="1:13">
      <c r="A3512" t="s">
        <v>5</v>
      </c>
      <c r="B3512" t="s">
        <v>658</v>
      </c>
      <c r="C3512" t="s">
        <v>2786</v>
      </c>
      <c r="D3512" t="s">
        <v>1456</v>
      </c>
      <c r="E3512" cm="1">
        <f t="array" ref="E3512">_xlfn.XLOOKUP(D3512,SKU_Master!A:A,SKU_Master!B:B,"Not on master")</f>
        <v>0</v>
      </c>
      <c r="F3512" cm="1">
        <f t="array" ref="F3512">_xlfn.XLOOKUP(C3512,Account_Master!A:A,Account_Master!B:B,"Not on master")</f>
        <v>0</v>
      </c>
      <c r="G3512" cm="1">
        <f t="array" ref="G3512">_xlfn.XLOOKUP(C3512,Account_Master!A:A,Account_Master!C:C,"Not on master")</f>
        <v>0</v>
      </c>
      <c r="H3512" s="6">
        <v>21</v>
      </c>
      <c r="I3512" s="6">
        <v>21</v>
      </c>
      <c r="J3512" s="6">
        <f>I3512-H3512</f>
        <v>0</v>
      </c>
      <c r="K3512" s="5">
        <f>IF(H3512=0,"",J3512/H3512)</f>
        <v>0</v>
      </c>
      <c r="L3512">
        <f>IF(OR(AND(H3512=0,ABS(J3512)&gt;=0.01),AND(H3512&lt;&gt;0,ABS(K3512)&gt;VarianceThreshold)),"Review","OK")</f>
        <v>0</v>
      </c>
      <c r="M3512" t="s">
        <v>33</v>
      </c>
    </row>
    <row r="3513" spans="1:13">
      <c r="A3513" t="s">
        <v>5</v>
      </c>
      <c r="B3513" t="s">
        <v>658</v>
      </c>
      <c r="C3513" t="s">
        <v>2941</v>
      </c>
      <c r="D3513" t="s">
        <v>2466</v>
      </c>
      <c r="E3513" cm="1">
        <f t="array" ref="E3513">_xlfn.XLOOKUP(D3513,SKU_Master!A:A,SKU_Master!B:B,"Not on master")</f>
        <v>0</v>
      </c>
      <c r="F3513" cm="1">
        <f t="array" ref="F3513">_xlfn.XLOOKUP(C3513,Account_Master!A:A,Account_Master!B:B,"Not on master")</f>
        <v>0</v>
      </c>
      <c r="G3513" cm="1">
        <f t="array" ref="G3513">_xlfn.XLOOKUP(C3513,Account_Master!A:A,Account_Master!C:C,"Not on master")</f>
        <v>0</v>
      </c>
      <c r="H3513" s="6">
        <v>1.55</v>
      </c>
      <c r="I3513" s="6">
        <v>1.55</v>
      </c>
      <c r="J3513" s="6">
        <f>I3513-H3513</f>
        <v>0</v>
      </c>
      <c r="K3513" s="5">
        <f>IF(H3513=0,"",J3513/H3513)</f>
        <v>0</v>
      </c>
      <c r="L3513">
        <f>IF(OR(AND(H3513=0,ABS(J3513)&gt;=0.01),AND(H3513&lt;&gt;0,ABS(K3513)&gt;VarianceThreshold)),"Review","OK")</f>
        <v>0</v>
      </c>
      <c r="M3513" t="s">
        <v>33</v>
      </c>
    </row>
    <row r="3514" spans="1:13">
      <c r="A3514" t="s">
        <v>5</v>
      </c>
      <c r="B3514" t="s">
        <v>673</v>
      </c>
      <c r="C3514" t="s">
        <v>1042</v>
      </c>
      <c r="D3514" t="s">
        <v>1339</v>
      </c>
      <c r="E3514" cm="1">
        <f t="array" ref="E3514">_xlfn.XLOOKUP(D3514,SKU_Master!A:A,SKU_Master!B:B,"Not on master")</f>
        <v>0</v>
      </c>
      <c r="F3514" cm="1">
        <f t="array" ref="F3514">_xlfn.XLOOKUP(C3514,Account_Master!A:A,Account_Master!B:B,"Not on master")</f>
        <v>0</v>
      </c>
      <c r="G3514" cm="1">
        <f t="array" ref="G3514">_xlfn.XLOOKUP(C3514,Account_Master!A:A,Account_Master!C:C,"Not on master")</f>
        <v>0</v>
      </c>
      <c r="H3514" s="6">
        <v>19.8</v>
      </c>
      <c r="I3514" s="6">
        <v>19.8</v>
      </c>
      <c r="J3514" s="6">
        <f>I3514-H3514</f>
        <v>0</v>
      </c>
      <c r="K3514" s="5">
        <f>IF(H3514=0,"",J3514/H3514)</f>
        <v>0</v>
      </c>
      <c r="L3514">
        <f>IF(OR(AND(H3514=0,ABS(J3514)&gt;=0.01),AND(H3514&lt;&gt;0,ABS(K3514)&gt;VarianceThreshold)),"Review","OK")</f>
        <v>0</v>
      </c>
      <c r="M3514" t="s">
        <v>33</v>
      </c>
    </row>
    <row r="3515" spans="1:13">
      <c r="A3515" t="s">
        <v>5</v>
      </c>
      <c r="B3515" t="s">
        <v>673</v>
      </c>
      <c r="C3515" t="s">
        <v>2763</v>
      </c>
      <c r="D3515" t="s">
        <v>2942</v>
      </c>
      <c r="E3515" cm="1">
        <f t="array" ref="E3515">_xlfn.XLOOKUP(D3515,SKU_Master!A:A,SKU_Master!B:B,"Not on master")</f>
        <v>0</v>
      </c>
      <c r="F3515" cm="1">
        <f t="array" ref="F3515">_xlfn.XLOOKUP(C3515,Account_Master!A:A,Account_Master!B:B,"Not on master")</f>
        <v>0</v>
      </c>
      <c r="G3515" cm="1">
        <f t="array" ref="G3515">_xlfn.XLOOKUP(C3515,Account_Master!A:A,Account_Master!C:C,"Not on master")</f>
        <v>0</v>
      </c>
      <c r="H3515" s="6">
        <v>20.62</v>
      </c>
      <c r="I3515" s="6">
        <v>20.62</v>
      </c>
      <c r="J3515" s="6">
        <f>I3515-H3515</f>
        <v>0</v>
      </c>
      <c r="K3515" s="5">
        <f>IF(H3515=0,"",J3515/H3515)</f>
        <v>0</v>
      </c>
      <c r="L3515">
        <f>IF(OR(AND(H3515=0,ABS(J3515)&gt;=0.01),AND(H3515&lt;&gt;0,ABS(K3515)&gt;VarianceThreshold)),"Review","OK")</f>
        <v>0</v>
      </c>
      <c r="M3515" t="s">
        <v>33</v>
      </c>
    </row>
    <row r="3516" spans="1:13">
      <c r="A3516" t="s">
        <v>5</v>
      </c>
      <c r="B3516" t="s">
        <v>673</v>
      </c>
      <c r="C3516" t="s">
        <v>2943</v>
      </c>
      <c r="D3516" t="s">
        <v>1808</v>
      </c>
      <c r="E3516" cm="1">
        <f t="array" ref="E3516">_xlfn.XLOOKUP(D3516,SKU_Master!A:A,SKU_Master!B:B,"Not on master")</f>
        <v>0</v>
      </c>
      <c r="F3516" cm="1">
        <f t="array" ref="F3516">_xlfn.XLOOKUP(C3516,Account_Master!A:A,Account_Master!B:B,"Not on master")</f>
        <v>0</v>
      </c>
      <c r="G3516" cm="1">
        <f t="array" ref="G3516">_xlfn.XLOOKUP(C3516,Account_Master!A:A,Account_Master!C:C,"Not on master")</f>
        <v>0</v>
      </c>
      <c r="H3516" s="6">
        <v>52.5</v>
      </c>
      <c r="I3516" s="6">
        <v>52.5</v>
      </c>
      <c r="J3516" s="6">
        <f>I3516-H3516</f>
        <v>0</v>
      </c>
      <c r="K3516" s="5">
        <f>IF(H3516=0,"",J3516/H3516)</f>
        <v>0</v>
      </c>
      <c r="L3516">
        <f>IF(OR(AND(H3516=0,ABS(J3516)&gt;=0.01),AND(H3516&lt;&gt;0,ABS(K3516)&gt;VarianceThreshold)),"Review","OK")</f>
        <v>0</v>
      </c>
      <c r="M3516" t="s">
        <v>33</v>
      </c>
    </row>
    <row r="3517" spans="1:13">
      <c r="A3517" t="s">
        <v>5</v>
      </c>
      <c r="B3517" t="s">
        <v>673</v>
      </c>
      <c r="C3517" t="s">
        <v>2767</v>
      </c>
      <c r="D3517" t="s">
        <v>1446</v>
      </c>
      <c r="E3517" cm="1">
        <f t="array" ref="E3517">_xlfn.XLOOKUP(D3517,SKU_Master!A:A,SKU_Master!B:B,"Not on master")</f>
        <v>0</v>
      </c>
      <c r="F3517" cm="1">
        <f t="array" ref="F3517">_xlfn.XLOOKUP(C3517,Account_Master!A:A,Account_Master!B:B,"Not on master")</f>
        <v>0</v>
      </c>
      <c r="G3517" cm="1">
        <f t="array" ref="G3517">_xlfn.XLOOKUP(C3517,Account_Master!A:A,Account_Master!C:C,"Not on master")</f>
        <v>0</v>
      </c>
      <c r="H3517" s="6">
        <v>2.25</v>
      </c>
      <c r="I3517" s="6">
        <v>2.25</v>
      </c>
      <c r="J3517" s="6">
        <f>I3517-H3517</f>
        <v>0</v>
      </c>
      <c r="K3517" s="5">
        <f>IF(H3517=0,"",J3517/H3517)</f>
        <v>0</v>
      </c>
      <c r="L3517">
        <f>IF(OR(AND(H3517=0,ABS(J3517)&gt;=0.01),AND(H3517&lt;&gt;0,ABS(K3517)&gt;VarianceThreshold)),"Review","OK")</f>
        <v>0</v>
      </c>
      <c r="M3517" t="s">
        <v>33</v>
      </c>
    </row>
    <row r="3518" spans="1:13">
      <c r="A3518" t="s">
        <v>5</v>
      </c>
      <c r="B3518" t="s">
        <v>673</v>
      </c>
      <c r="C3518" t="s">
        <v>2944</v>
      </c>
      <c r="D3518" t="s">
        <v>2588</v>
      </c>
      <c r="E3518" cm="1">
        <f t="array" ref="E3518">_xlfn.XLOOKUP(D3518,SKU_Master!A:A,SKU_Master!B:B,"Not on master")</f>
        <v>0</v>
      </c>
      <c r="F3518" cm="1">
        <f t="array" ref="F3518">_xlfn.XLOOKUP(C3518,Account_Master!A:A,Account_Master!B:B,"Not on master")</f>
        <v>0</v>
      </c>
      <c r="G3518" cm="1">
        <f t="array" ref="G3518">_xlfn.XLOOKUP(C3518,Account_Master!A:A,Account_Master!C:C,"Not on master")</f>
        <v>0</v>
      </c>
      <c r="H3518" s="6">
        <v>2.25</v>
      </c>
      <c r="I3518" s="6">
        <v>2.25</v>
      </c>
      <c r="J3518" s="6">
        <f>I3518-H3518</f>
        <v>0</v>
      </c>
      <c r="K3518" s="5">
        <f>IF(H3518=0,"",J3518/H3518)</f>
        <v>0</v>
      </c>
      <c r="L3518">
        <f>IF(OR(AND(H3518=0,ABS(J3518)&gt;=0.01),AND(H3518&lt;&gt;0,ABS(K3518)&gt;VarianceThreshold)),"Review","OK")</f>
        <v>0</v>
      </c>
      <c r="M3518" t="s">
        <v>33</v>
      </c>
    </row>
    <row r="3519" spans="1:13">
      <c r="A3519" t="s">
        <v>5</v>
      </c>
      <c r="B3519" t="s">
        <v>673</v>
      </c>
      <c r="C3519" t="s">
        <v>2802</v>
      </c>
      <c r="D3519" t="s">
        <v>333</v>
      </c>
      <c r="E3519" cm="1">
        <f t="array" ref="E3519">_xlfn.XLOOKUP(D3519,SKU_Master!A:A,SKU_Master!B:B,"Not on master")</f>
        <v>0</v>
      </c>
      <c r="F3519" cm="1">
        <f t="array" ref="F3519">_xlfn.XLOOKUP(C3519,Account_Master!A:A,Account_Master!B:B,"Not on master")</f>
        <v>0</v>
      </c>
      <c r="G3519" cm="1">
        <f t="array" ref="G3519">_xlfn.XLOOKUP(C3519,Account_Master!A:A,Account_Master!C:C,"Not on master")</f>
        <v>0</v>
      </c>
      <c r="H3519" s="6">
        <v>6</v>
      </c>
      <c r="I3519" s="6">
        <v>6</v>
      </c>
      <c r="J3519" s="6">
        <f>I3519-H3519</f>
        <v>0</v>
      </c>
      <c r="K3519" s="5">
        <f>IF(H3519=0,"",J3519/H3519)</f>
        <v>0</v>
      </c>
      <c r="L3519">
        <f>IF(OR(AND(H3519=0,ABS(J3519)&gt;=0.01),AND(H3519&lt;&gt;0,ABS(K3519)&gt;VarianceThreshold)),"Review","OK")</f>
        <v>0</v>
      </c>
      <c r="M3519" t="s">
        <v>33</v>
      </c>
    </row>
    <row r="3520" spans="1:13">
      <c r="A3520" t="s">
        <v>5</v>
      </c>
      <c r="B3520" t="s">
        <v>681</v>
      </c>
      <c r="C3520" t="s">
        <v>2756</v>
      </c>
      <c r="D3520" t="s">
        <v>1196</v>
      </c>
      <c r="E3520" cm="1">
        <f t="array" ref="E3520">_xlfn.XLOOKUP(D3520,SKU_Master!A:A,SKU_Master!B:B,"Not on master")</f>
        <v>0</v>
      </c>
      <c r="F3520" cm="1">
        <f t="array" ref="F3520">_xlfn.XLOOKUP(C3520,Account_Master!A:A,Account_Master!B:B,"Not on master")</f>
        <v>0</v>
      </c>
      <c r="G3520" cm="1">
        <f t="array" ref="G3520">_xlfn.XLOOKUP(C3520,Account_Master!A:A,Account_Master!C:C,"Not on master")</f>
        <v>0</v>
      </c>
      <c r="H3520" s="6">
        <v>38</v>
      </c>
      <c r="I3520" s="6">
        <v>38</v>
      </c>
      <c r="J3520" s="6">
        <f>I3520-H3520</f>
        <v>0</v>
      </c>
      <c r="K3520" s="5">
        <f>IF(H3520=0,"",J3520/H3520)</f>
        <v>0</v>
      </c>
      <c r="L3520">
        <f>IF(OR(AND(H3520=0,ABS(J3520)&gt;=0.01),AND(H3520&lt;&gt;0,ABS(K3520)&gt;VarianceThreshold)),"Review","OK")</f>
        <v>0</v>
      </c>
      <c r="M3520" t="s">
        <v>33</v>
      </c>
    </row>
    <row r="3521" spans="1:13">
      <c r="A3521" t="s">
        <v>5</v>
      </c>
      <c r="B3521" t="s">
        <v>681</v>
      </c>
      <c r="C3521" t="s">
        <v>2858</v>
      </c>
      <c r="D3521" t="s">
        <v>2945</v>
      </c>
      <c r="E3521" cm="1">
        <f t="array" ref="E3521">_xlfn.XLOOKUP(D3521,SKU_Master!A:A,SKU_Master!B:B,"Not on master")</f>
        <v>0</v>
      </c>
      <c r="F3521" cm="1">
        <f t="array" ref="F3521">_xlfn.XLOOKUP(C3521,Account_Master!A:A,Account_Master!B:B,"Not on master")</f>
        <v>0</v>
      </c>
      <c r="G3521" cm="1">
        <f t="array" ref="G3521">_xlfn.XLOOKUP(C3521,Account_Master!A:A,Account_Master!C:C,"Not on master")</f>
        <v>0</v>
      </c>
      <c r="H3521" s="6">
        <v>4.5</v>
      </c>
      <c r="I3521" s="6">
        <v>4.5</v>
      </c>
      <c r="J3521" s="6">
        <f>I3521-H3521</f>
        <v>0</v>
      </c>
      <c r="K3521" s="5">
        <f>IF(H3521=0,"",J3521/H3521)</f>
        <v>0</v>
      </c>
      <c r="L3521">
        <f>IF(OR(AND(H3521=0,ABS(J3521)&gt;=0.01),AND(H3521&lt;&gt;0,ABS(K3521)&gt;VarianceThreshold)),"Review","OK")</f>
        <v>0</v>
      </c>
      <c r="M3521" t="s">
        <v>33</v>
      </c>
    </row>
    <row r="3522" spans="1:13">
      <c r="A3522" t="s">
        <v>5</v>
      </c>
      <c r="B3522" t="s">
        <v>681</v>
      </c>
      <c r="C3522" t="s">
        <v>2778</v>
      </c>
      <c r="D3522" t="s">
        <v>1665</v>
      </c>
      <c r="E3522" cm="1">
        <f t="array" ref="E3522">_xlfn.XLOOKUP(D3522,SKU_Master!A:A,SKU_Master!B:B,"Not on master")</f>
        <v>0</v>
      </c>
      <c r="F3522" cm="1">
        <f t="array" ref="F3522">_xlfn.XLOOKUP(C3522,Account_Master!A:A,Account_Master!B:B,"Not on master")</f>
        <v>0</v>
      </c>
      <c r="G3522" cm="1">
        <f t="array" ref="G3522">_xlfn.XLOOKUP(C3522,Account_Master!A:A,Account_Master!C:C,"Not on master")</f>
        <v>0</v>
      </c>
      <c r="H3522" s="6">
        <v>462</v>
      </c>
      <c r="I3522" s="6">
        <v>462</v>
      </c>
      <c r="J3522" s="6">
        <f>I3522-H3522</f>
        <v>0</v>
      </c>
      <c r="K3522" s="5">
        <f>IF(H3522=0,"",J3522/H3522)</f>
        <v>0</v>
      </c>
      <c r="L3522">
        <f>IF(OR(AND(H3522=0,ABS(J3522)&gt;=0.01),AND(H3522&lt;&gt;0,ABS(K3522)&gt;VarianceThreshold)),"Review","OK")</f>
        <v>0</v>
      </c>
      <c r="M3522" t="s">
        <v>33</v>
      </c>
    </row>
    <row r="3523" spans="1:13">
      <c r="A3523" t="s">
        <v>5</v>
      </c>
      <c r="B3523" t="s">
        <v>681</v>
      </c>
      <c r="C3523" t="s">
        <v>2846</v>
      </c>
      <c r="D3523" t="s">
        <v>395</v>
      </c>
      <c r="E3523" cm="1">
        <f t="array" ref="E3523">_xlfn.XLOOKUP(D3523,SKU_Master!A:A,SKU_Master!B:B,"Not on master")</f>
        <v>0</v>
      </c>
      <c r="F3523" cm="1">
        <f t="array" ref="F3523">_xlfn.XLOOKUP(C3523,Account_Master!A:A,Account_Master!B:B,"Not on master")</f>
        <v>0</v>
      </c>
      <c r="G3523" cm="1">
        <f t="array" ref="G3523">_xlfn.XLOOKUP(C3523,Account_Master!A:A,Account_Master!C:C,"Not on master")</f>
        <v>0</v>
      </c>
      <c r="H3523" s="6">
        <v>2.25</v>
      </c>
      <c r="I3523" s="6">
        <v>2.25</v>
      </c>
      <c r="J3523" s="6">
        <f>I3523-H3523</f>
        <v>0</v>
      </c>
      <c r="K3523" s="5">
        <f>IF(H3523=0,"",J3523/H3523)</f>
        <v>0</v>
      </c>
      <c r="L3523">
        <f>IF(OR(AND(H3523=0,ABS(J3523)&gt;=0.01),AND(H3523&lt;&gt;0,ABS(K3523)&gt;VarianceThreshold)),"Review","OK")</f>
        <v>0</v>
      </c>
      <c r="M3523" t="s">
        <v>33</v>
      </c>
    </row>
    <row r="3524" spans="1:13">
      <c r="A3524" t="s">
        <v>5</v>
      </c>
      <c r="B3524" t="s">
        <v>681</v>
      </c>
      <c r="C3524" t="s">
        <v>2946</v>
      </c>
      <c r="D3524" t="s">
        <v>1944</v>
      </c>
      <c r="E3524" cm="1">
        <f t="array" ref="E3524">_xlfn.XLOOKUP(D3524,SKU_Master!A:A,SKU_Master!B:B,"Not on master")</f>
        <v>0</v>
      </c>
      <c r="F3524" cm="1">
        <f t="array" ref="F3524">_xlfn.XLOOKUP(C3524,Account_Master!A:A,Account_Master!B:B,"Not on master")</f>
        <v>0</v>
      </c>
      <c r="G3524" cm="1">
        <f t="array" ref="G3524">_xlfn.XLOOKUP(C3524,Account_Master!A:A,Account_Master!C:C,"Not on master")</f>
        <v>0</v>
      </c>
      <c r="H3524" s="6">
        <v>5.25</v>
      </c>
      <c r="I3524" s="6">
        <v>5.25</v>
      </c>
      <c r="J3524" s="6">
        <f>I3524-H3524</f>
        <v>0</v>
      </c>
      <c r="K3524" s="5">
        <f>IF(H3524=0,"",J3524/H3524)</f>
        <v>0</v>
      </c>
      <c r="L3524">
        <f>IF(OR(AND(H3524=0,ABS(J3524)&gt;=0.01),AND(H3524&lt;&gt;0,ABS(K3524)&gt;VarianceThreshold)),"Review","OK")</f>
        <v>0</v>
      </c>
      <c r="M3524" t="s">
        <v>33</v>
      </c>
    </row>
    <row r="3525" spans="1:13">
      <c r="A3525" t="s">
        <v>5</v>
      </c>
      <c r="B3525" t="s">
        <v>681</v>
      </c>
      <c r="C3525" t="s">
        <v>2767</v>
      </c>
      <c r="D3525" t="s">
        <v>1444</v>
      </c>
      <c r="E3525" cm="1">
        <f t="array" ref="E3525">_xlfn.XLOOKUP(D3525,SKU_Master!A:A,SKU_Master!B:B,"Not on master")</f>
        <v>0</v>
      </c>
      <c r="F3525" cm="1">
        <f t="array" ref="F3525">_xlfn.XLOOKUP(C3525,Account_Master!A:A,Account_Master!B:B,"Not on master")</f>
        <v>0</v>
      </c>
      <c r="G3525" cm="1">
        <f t="array" ref="G3525">_xlfn.XLOOKUP(C3525,Account_Master!A:A,Account_Master!C:C,"Not on master")</f>
        <v>0</v>
      </c>
      <c r="H3525" s="6">
        <v>0.75</v>
      </c>
      <c r="I3525" s="6">
        <v>0.75</v>
      </c>
      <c r="J3525" s="6">
        <f>I3525-H3525</f>
        <v>0</v>
      </c>
      <c r="K3525" s="5">
        <f>IF(H3525=0,"",J3525/H3525)</f>
        <v>0</v>
      </c>
      <c r="L3525">
        <f>IF(OR(AND(H3525=0,ABS(J3525)&gt;=0.01),AND(H3525&lt;&gt;0,ABS(K3525)&gt;VarianceThreshold)),"Review","OK")</f>
        <v>0</v>
      </c>
      <c r="M3525" t="s">
        <v>33</v>
      </c>
    </row>
    <row r="3526" spans="1:13">
      <c r="A3526" t="s">
        <v>5</v>
      </c>
      <c r="B3526" t="s">
        <v>681</v>
      </c>
      <c r="C3526" t="s">
        <v>2801</v>
      </c>
      <c r="D3526" t="s">
        <v>2947</v>
      </c>
      <c r="E3526" cm="1">
        <f t="array" ref="E3526">_xlfn.XLOOKUP(D3526,SKU_Master!A:A,SKU_Master!B:B,"Not on master")</f>
        <v>0</v>
      </c>
      <c r="F3526" cm="1">
        <f t="array" ref="F3526">_xlfn.XLOOKUP(C3526,Account_Master!A:A,Account_Master!B:B,"Not on master")</f>
        <v>0</v>
      </c>
      <c r="G3526" cm="1">
        <f t="array" ref="G3526">_xlfn.XLOOKUP(C3526,Account_Master!A:A,Account_Master!C:C,"Not on master")</f>
        <v>0</v>
      </c>
      <c r="H3526" s="6">
        <v>4.5</v>
      </c>
      <c r="I3526" s="6">
        <v>4.5</v>
      </c>
      <c r="J3526" s="6">
        <f>I3526-H3526</f>
        <v>0</v>
      </c>
      <c r="K3526" s="5">
        <f>IF(H3526=0,"",J3526/H3526)</f>
        <v>0</v>
      </c>
      <c r="L3526">
        <f>IF(OR(AND(H3526=0,ABS(J3526)&gt;=0.01),AND(H3526&lt;&gt;0,ABS(K3526)&gt;VarianceThreshold)),"Review","OK")</f>
        <v>0</v>
      </c>
      <c r="M3526" t="s">
        <v>33</v>
      </c>
    </row>
    <row r="3527" spans="1:13">
      <c r="A3527" t="s">
        <v>5</v>
      </c>
      <c r="B3527" t="s">
        <v>681</v>
      </c>
      <c r="C3527" t="s">
        <v>2846</v>
      </c>
      <c r="D3527" t="s">
        <v>2948</v>
      </c>
      <c r="E3527" cm="1">
        <f t="array" ref="E3527">_xlfn.XLOOKUP(D3527,SKU_Master!A:A,SKU_Master!B:B,"Not on master")</f>
        <v>0</v>
      </c>
      <c r="F3527" cm="1">
        <f t="array" ref="F3527">_xlfn.XLOOKUP(C3527,Account_Master!A:A,Account_Master!B:B,"Not on master")</f>
        <v>0</v>
      </c>
      <c r="G3527" cm="1">
        <f t="array" ref="G3527">_xlfn.XLOOKUP(C3527,Account_Master!A:A,Account_Master!C:C,"Not on master")</f>
        <v>0</v>
      </c>
      <c r="H3527" s="6">
        <v>0.15</v>
      </c>
      <c r="I3527" s="6">
        <v>0.15</v>
      </c>
      <c r="J3527" s="6">
        <f>I3527-H3527</f>
        <v>0</v>
      </c>
      <c r="K3527" s="5">
        <f>IF(H3527=0,"",J3527/H3527)</f>
        <v>0</v>
      </c>
      <c r="L3527">
        <f>IF(OR(AND(H3527=0,ABS(J3527)&gt;=0.01),AND(H3527&lt;&gt;0,ABS(K3527)&gt;VarianceThreshold)),"Review","OK")</f>
        <v>0</v>
      </c>
      <c r="M3527" t="s">
        <v>33</v>
      </c>
    </row>
    <row r="3528" spans="1:13">
      <c r="A3528" t="s">
        <v>5</v>
      </c>
      <c r="B3528" t="s">
        <v>689</v>
      </c>
      <c r="C3528" t="s">
        <v>518</v>
      </c>
      <c r="D3528" t="s">
        <v>848</v>
      </c>
      <c r="E3528" cm="1">
        <f t="array" ref="E3528">_xlfn.XLOOKUP(D3528,SKU_Master!A:A,SKU_Master!B:B,"Not on master")</f>
        <v>0</v>
      </c>
      <c r="F3528" cm="1">
        <f t="array" ref="F3528">_xlfn.XLOOKUP(C3528,Account_Master!A:A,Account_Master!B:B,"Not on master")</f>
        <v>0</v>
      </c>
      <c r="G3528" cm="1">
        <f t="array" ref="G3528">_xlfn.XLOOKUP(C3528,Account_Master!A:A,Account_Master!C:C,"Not on master")</f>
        <v>0</v>
      </c>
      <c r="H3528" s="6">
        <v>1.87</v>
      </c>
      <c r="I3528" s="6">
        <v>1.87</v>
      </c>
      <c r="J3528" s="6">
        <f>I3528-H3528</f>
        <v>0</v>
      </c>
      <c r="K3528" s="5">
        <f>IF(H3528=0,"",J3528/H3528)</f>
        <v>0</v>
      </c>
      <c r="L3528">
        <f>IF(OR(AND(H3528=0,ABS(J3528)&gt;=0.01),AND(H3528&lt;&gt;0,ABS(K3528)&gt;VarianceThreshold)),"Review","OK")</f>
        <v>0</v>
      </c>
      <c r="M3528" t="s">
        <v>33</v>
      </c>
    </row>
    <row r="3529" spans="1:13">
      <c r="A3529" t="s">
        <v>5</v>
      </c>
      <c r="B3529" t="s">
        <v>689</v>
      </c>
      <c r="C3529" t="s">
        <v>2868</v>
      </c>
      <c r="D3529" t="s">
        <v>2506</v>
      </c>
      <c r="E3529" cm="1">
        <f t="array" ref="E3529">_xlfn.XLOOKUP(D3529,SKU_Master!A:A,SKU_Master!B:B,"Not on master")</f>
        <v>0</v>
      </c>
      <c r="F3529" cm="1">
        <f t="array" ref="F3529">_xlfn.XLOOKUP(C3529,Account_Master!A:A,Account_Master!B:B,"Not on master")</f>
        <v>0</v>
      </c>
      <c r="G3529" cm="1">
        <f t="array" ref="G3529">_xlfn.XLOOKUP(C3529,Account_Master!A:A,Account_Master!C:C,"Not on master")</f>
        <v>0</v>
      </c>
      <c r="H3529" s="6">
        <v>11.8</v>
      </c>
      <c r="I3529" s="6">
        <v>11.8</v>
      </c>
      <c r="J3529" s="6">
        <f>I3529-H3529</f>
        <v>0</v>
      </c>
      <c r="K3529" s="5">
        <f>IF(H3529=0,"",J3529/H3529)</f>
        <v>0</v>
      </c>
      <c r="L3529">
        <f>IF(OR(AND(H3529=0,ABS(J3529)&gt;=0.01),AND(H3529&lt;&gt;0,ABS(K3529)&gt;VarianceThreshold)),"Review","OK")</f>
        <v>0</v>
      </c>
      <c r="M3529" t="s">
        <v>33</v>
      </c>
    </row>
    <row r="3530" spans="1:13">
      <c r="A3530" t="s">
        <v>5</v>
      </c>
      <c r="B3530" t="s">
        <v>689</v>
      </c>
      <c r="C3530" t="s">
        <v>2778</v>
      </c>
      <c r="D3530" t="s">
        <v>2949</v>
      </c>
      <c r="E3530" cm="1">
        <f t="array" ref="E3530">_xlfn.XLOOKUP(D3530,SKU_Master!A:A,SKU_Master!B:B,"Not on master")</f>
        <v>0</v>
      </c>
      <c r="F3530" cm="1">
        <f t="array" ref="F3530">_xlfn.XLOOKUP(C3530,Account_Master!A:A,Account_Master!B:B,"Not on master")</f>
        <v>0</v>
      </c>
      <c r="G3530" cm="1">
        <f t="array" ref="G3530">_xlfn.XLOOKUP(C3530,Account_Master!A:A,Account_Master!C:C,"Not on master")</f>
        <v>0</v>
      </c>
      <c r="H3530" s="6">
        <v>9</v>
      </c>
      <c r="I3530" s="6">
        <v>9</v>
      </c>
      <c r="J3530" s="6">
        <f>I3530-H3530</f>
        <v>0</v>
      </c>
      <c r="K3530" s="5">
        <f>IF(H3530=0,"",J3530/H3530)</f>
        <v>0</v>
      </c>
      <c r="L3530">
        <f>IF(OR(AND(H3530=0,ABS(J3530)&gt;=0.01),AND(H3530&lt;&gt;0,ABS(K3530)&gt;VarianceThreshold)),"Review","OK")</f>
        <v>0</v>
      </c>
      <c r="M3530" t="s">
        <v>33</v>
      </c>
    </row>
    <row r="3531" spans="1:13">
      <c r="A3531" t="s">
        <v>5</v>
      </c>
      <c r="B3531" t="s">
        <v>689</v>
      </c>
      <c r="C3531" t="s">
        <v>2767</v>
      </c>
      <c r="D3531" t="s">
        <v>2950</v>
      </c>
      <c r="E3531" cm="1">
        <f t="array" ref="E3531">_xlfn.XLOOKUP(D3531,SKU_Master!A:A,SKU_Master!B:B,"Not on master")</f>
        <v>0</v>
      </c>
      <c r="F3531" cm="1">
        <f t="array" ref="F3531">_xlfn.XLOOKUP(C3531,Account_Master!A:A,Account_Master!B:B,"Not on master")</f>
        <v>0</v>
      </c>
      <c r="G3531" cm="1">
        <f t="array" ref="G3531">_xlfn.XLOOKUP(C3531,Account_Master!A:A,Account_Master!C:C,"Not on master")</f>
        <v>0</v>
      </c>
      <c r="H3531" s="6">
        <v>10.5</v>
      </c>
      <c r="I3531" s="6">
        <v>10.5</v>
      </c>
      <c r="J3531" s="6">
        <f>I3531-H3531</f>
        <v>0</v>
      </c>
      <c r="K3531" s="5">
        <f>IF(H3531=0,"",J3531/H3531)</f>
        <v>0</v>
      </c>
      <c r="L3531">
        <f>IF(OR(AND(H3531=0,ABS(J3531)&gt;=0.01),AND(H3531&lt;&gt;0,ABS(K3531)&gt;VarianceThreshold)),"Review","OK")</f>
        <v>0</v>
      </c>
      <c r="M3531" t="s">
        <v>33</v>
      </c>
    </row>
    <row r="3532" spans="1:13">
      <c r="A3532" t="s">
        <v>5</v>
      </c>
      <c r="B3532" t="s">
        <v>701</v>
      </c>
      <c r="C3532" t="s">
        <v>2750</v>
      </c>
      <c r="D3532" t="s">
        <v>336</v>
      </c>
      <c r="E3532" cm="1">
        <f t="array" ref="E3532">_xlfn.XLOOKUP(D3532,SKU_Master!A:A,SKU_Master!B:B,"Not on master")</f>
        <v>0</v>
      </c>
      <c r="F3532" cm="1">
        <f t="array" ref="F3532">_xlfn.XLOOKUP(C3532,Account_Master!A:A,Account_Master!B:B,"Not on master")</f>
        <v>0</v>
      </c>
      <c r="G3532" cm="1">
        <f t="array" ref="G3532">_xlfn.XLOOKUP(C3532,Account_Master!A:A,Account_Master!C:C,"Not on master")</f>
        <v>0</v>
      </c>
      <c r="H3532" s="6">
        <v>105.75</v>
      </c>
      <c r="I3532" s="6">
        <v>105.75</v>
      </c>
      <c r="J3532" s="6">
        <f>I3532-H3532</f>
        <v>0</v>
      </c>
      <c r="K3532" s="5">
        <f>IF(H3532=0,"",J3532/H3532)</f>
        <v>0</v>
      </c>
      <c r="L3532">
        <f>IF(OR(AND(H3532=0,ABS(J3532)&gt;=0.01),AND(H3532&lt;&gt;0,ABS(K3532)&gt;VarianceThreshold)),"Review","OK")</f>
        <v>0</v>
      </c>
      <c r="M3532" t="s">
        <v>33</v>
      </c>
    </row>
    <row r="3533" spans="1:13">
      <c r="A3533" t="s">
        <v>5</v>
      </c>
      <c r="B3533" t="s">
        <v>701</v>
      </c>
      <c r="C3533" t="s">
        <v>2868</v>
      </c>
      <c r="D3533" t="s">
        <v>2653</v>
      </c>
      <c r="E3533" cm="1">
        <f t="array" ref="E3533">_xlfn.XLOOKUP(D3533,SKU_Master!A:A,SKU_Master!B:B,"Not on master")</f>
        <v>0</v>
      </c>
      <c r="F3533" cm="1">
        <f t="array" ref="F3533">_xlfn.XLOOKUP(C3533,Account_Master!A:A,Account_Master!B:B,"Not on master")</f>
        <v>0</v>
      </c>
      <c r="G3533" cm="1">
        <f t="array" ref="G3533">_xlfn.XLOOKUP(C3533,Account_Master!A:A,Account_Master!C:C,"Not on master")</f>
        <v>0</v>
      </c>
      <c r="H3533" s="6">
        <v>58.5</v>
      </c>
      <c r="I3533" s="6">
        <v>58.5</v>
      </c>
      <c r="J3533" s="6">
        <f>I3533-H3533</f>
        <v>0</v>
      </c>
      <c r="K3533" s="5">
        <f>IF(H3533=0,"",J3533/H3533)</f>
        <v>0</v>
      </c>
      <c r="L3533">
        <f>IF(OR(AND(H3533=0,ABS(J3533)&gt;=0.01),AND(H3533&lt;&gt;0,ABS(K3533)&gt;VarianceThreshold)),"Review","OK")</f>
        <v>0</v>
      </c>
      <c r="M3533" t="s">
        <v>33</v>
      </c>
    </row>
    <row r="3534" spans="1:13">
      <c r="A3534" t="s">
        <v>5</v>
      </c>
      <c r="B3534" t="s">
        <v>701</v>
      </c>
      <c r="C3534" t="s">
        <v>2760</v>
      </c>
      <c r="D3534" t="s">
        <v>968</v>
      </c>
      <c r="E3534" cm="1">
        <f t="array" ref="E3534">_xlfn.XLOOKUP(D3534,SKU_Master!A:A,SKU_Master!B:B,"Not on master")</f>
        <v>0</v>
      </c>
      <c r="F3534" cm="1">
        <f t="array" ref="F3534">_xlfn.XLOOKUP(C3534,Account_Master!A:A,Account_Master!B:B,"Not on master")</f>
        <v>0</v>
      </c>
      <c r="G3534" cm="1">
        <f t="array" ref="G3534">_xlfn.XLOOKUP(C3534,Account_Master!A:A,Account_Master!C:C,"Not on master")</f>
        <v>0</v>
      </c>
      <c r="H3534" s="6">
        <v>0.45</v>
      </c>
      <c r="I3534" s="6">
        <v>0.45</v>
      </c>
      <c r="J3534" s="6">
        <f>I3534-H3534</f>
        <v>0</v>
      </c>
      <c r="K3534" s="5">
        <f>IF(H3534=0,"",J3534/H3534)</f>
        <v>0</v>
      </c>
      <c r="L3534">
        <f>IF(OR(AND(H3534=0,ABS(J3534)&gt;=0.01),AND(H3534&lt;&gt;0,ABS(K3534)&gt;VarianceThreshold)),"Review","OK")</f>
        <v>0</v>
      </c>
      <c r="M3534" t="s">
        <v>33</v>
      </c>
    </row>
    <row r="3535" spans="1:13">
      <c r="A3535" t="s">
        <v>5</v>
      </c>
      <c r="B3535" t="s">
        <v>701</v>
      </c>
      <c r="C3535" t="s">
        <v>2853</v>
      </c>
      <c r="D3535" t="s">
        <v>2951</v>
      </c>
      <c r="E3535" cm="1">
        <f t="array" ref="E3535">_xlfn.XLOOKUP(D3535,SKU_Master!A:A,SKU_Master!B:B,"Not on master")</f>
        <v>0</v>
      </c>
      <c r="F3535" cm="1">
        <f t="array" ref="F3535">_xlfn.XLOOKUP(C3535,Account_Master!A:A,Account_Master!B:B,"Not on master")</f>
        <v>0</v>
      </c>
      <c r="G3535" cm="1">
        <f t="array" ref="G3535">_xlfn.XLOOKUP(C3535,Account_Master!A:A,Account_Master!C:C,"Not on master")</f>
        <v>0</v>
      </c>
      <c r="H3535" s="6">
        <v>3</v>
      </c>
      <c r="I3535" s="6">
        <v>3</v>
      </c>
      <c r="J3535" s="6">
        <f>I3535-H3535</f>
        <v>0</v>
      </c>
      <c r="K3535" s="5">
        <f>IF(H3535=0,"",J3535/H3535)</f>
        <v>0</v>
      </c>
      <c r="L3535">
        <f>IF(OR(AND(H3535=0,ABS(J3535)&gt;=0.01),AND(H3535&lt;&gt;0,ABS(K3535)&gt;VarianceThreshold)),"Review","OK")</f>
        <v>0</v>
      </c>
      <c r="M3535" t="s">
        <v>33</v>
      </c>
    </row>
    <row r="3536" spans="1:13">
      <c r="A3536" t="s">
        <v>5</v>
      </c>
      <c r="B3536" t="s">
        <v>701</v>
      </c>
      <c r="C3536" t="s">
        <v>2952</v>
      </c>
      <c r="D3536" t="s">
        <v>1205</v>
      </c>
      <c r="E3536" cm="1">
        <f t="array" ref="E3536">_xlfn.XLOOKUP(D3536,SKU_Master!A:A,SKU_Master!B:B,"Not on master")</f>
        <v>0</v>
      </c>
      <c r="F3536" cm="1">
        <f t="array" ref="F3536">_xlfn.XLOOKUP(C3536,Account_Master!A:A,Account_Master!B:B,"Not on master")</f>
        <v>0</v>
      </c>
      <c r="G3536" cm="1">
        <f t="array" ref="G3536">_xlfn.XLOOKUP(C3536,Account_Master!A:A,Account_Master!C:C,"Not on master")</f>
        <v>0</v>
      </c>
      <c r="H3536" s="6">
        <v>2.25</v>
      </c>
      <c r="I3536" s="6">
        <v>2.25</v>
      </c>
      <c r="J3536" s="6">
        <f>I3536-H3536</f>
        <v>0</v>
      </c>
      <c r="K3536" s="5">
        <f>IF(H3536=0,"",J3536/H3536)</f>
        <v>0</v>
      </c>
      <c r="L3536">
        <f>IF(OR(AND(H3536=0,ABS(J3536)&gt;=0.01),AND(H3536&lt;&gt;0,ABS(K3536)&gt;VarianceThreshold)),"Review","OK")</f>
        <v>0</v>
      </c>
      <c r="M3536" t="s">
        <v>33</v>
      </c>
    </row>
    <row r="3537" spans="1:13">
      <c r="A3537" t="s">
        <v>5</v>
      </c>
      <c r="B3537" t="s">
        <v>701</v>
      </c>
      <c r="C3537" t="s">
        <v>2765</v>
      </c>
      <c r="D3537" t="s">
        <v>1708</v>
      </c>
      <c r="E3537" cm="1">
        <f t="array" ref="E3537">_xlfn.XLOOKUP(D3537,SKU_Master!A:A,SKU_Master!B:B,"Not on master")</f>
        <v>0</v>
      </c>
      <c r="F3537" cm="1">
        <f t="array" ref="F3537">_xlfn.XLOOKUP(C3537,Account_Master!A:A,Account_Master!B:B,"Not on master")</f>
        <v>0</v>
      </c>
      <c r="G3537" cm="1">
        <f t="array" ref="G3537">_xlfn.XLOOKUP(C3537,Account_Master!A:A,Account_Master!C:C,"Not on master")</f>
        <v>0</v>
      </c>
      <c r="H3537" s="6">
        <v>24</v>
      </c>
      <c r="I3537" s="6">
        <v>24</v>
      </c>
      <c r="J3537" s="6">
        <f>I3537-H3537</f>
        <v>0</v>
      </c>
      <c r="K3537" s="5">
        <f>IF(H3537=0,"",J3537/H3537)</f>
        <v>0</v>
      </c>
      <c r="L3537">
        <f>IF(OR(AND(H3537=0,ABS(J3537)&gt;=0.01),AND(H3537&lt;&gt;0,ABS(K3537)&gt;VarianceThreshold)),"Review","OK")</f>
        <v>0</v>
      </c>
      <c r="M3537" t="s">
        <v>33</v>
      </c>
    </row>
    <row r="3538" spans="1:13">
      <c r="A3538" t="s">
        <v>5</v>
      </c>
      <c r="B3538" t="s">
        <v>701</v>
      </c>
      <c r="C3538" t="s">
        <v>2858</v>
      </c>
      <c r="D3538" t="s">
        <v>670</v>
      </c>
      <c r="E3538" cm="1">
        <f t="array" ref="E3538">_xlfn.XLOOKUP(D3538,SKU_Master!A:A,SKU_Master!B:B,"Not on master")</f>
        <v>0</v>
      </c>
      <c r="F3538" cm="1">
        <f t="array" ref="F3538">_xlfn.XLOOKUP(C3538,Account_Master!A:A,Account_Master!B:B,"Not on master")</f>
        <v>0</v>
      </c>
      <c r="G3538" cm="1">
        <f t="array" ref="G3538">_xlfn.XLOOKUP(C3538,Account_Master!A:A,Account_Master!C:C,"Not on master")</f>
        <v>0</v>
      </c>
      <c r="H3538" s="6">
        <v>0.75</v>
      </c>
      <c r="I3538" s="6">
        <v>0.75</v>
      </c>
      <c r="J3538" s="6">
        <f>I3538-H3538</f>
        <v>0</v>
      </c>
      <c r="K3538" s="5">
        <f>IF(H3538=0,"",J3538/H3538)</f>
        <v>0</v>
      </c>
      <c r="L3538">
        <f>IF(OR(AND(H3538=0,ABS(J3538)&gt;=0.01),AND(H3538&lt;&gt;0,ABS(K3538)&gt;VarianceThreshold)),"Review","OK")</f>
        <v>0</v>
      </c>
      <c r="M3538" t="s">
        <v>33</v>
      </c>
    </row>
    <row r="3539" spans="1:13">
      <c r="A3539" t="s">
        <v>5</v>
      </c>
      <c r="B3539" t="s">
        <v>701</v>
      </c>
      <c r="C3539" t="s">
        <v>2858</v>
      </c>
      <c r="D3539" t="s">
        <v>2953</v>
      </c>
      <c r="E3539" cm="1">
        <f t="array" ref="E3539">_xlfn.XLOOKUP(D3539,SKU_Master!A:A,SKU_Master!B:B,"Not on master")</f>
        <v>0</v>
      </c>
      <c r="F3539" cm="1">
        <f t="array" ref="F3539">_xlfn.XLOOKUP(C3539,Account_Master!A:A,Account_Master!B:B,"Not on master")</f>
        <v>0</v>
      </c>
      <c r="G3539" cm="1">
        <f t="array" ref="G3539">_xlfn.XLOOKUP(C3539,Account_Master!A:A,Account_Master!C:C,"Not on master")</f>
        <v>0</v>
      </c>
      <c r="H3539" s="6">
        <v>0.75</v>
      </c>
      <c r="I3539" s="6">
        <v>0.75</v>
      </c>
      <c r="J3539" s="6">
        <f>I3539-H3539</f>
        <v>0</v>
      </c>
      <c r="K3539" s="5">
        <f>IF(H3539=0,"",J3539/H3539)</f>
        <v>0</v>
      </c>
      <c r="L3539">
        <f>IF(OR(AND(H3539=0,ABS(J3539)&gt;=0.01),AND(H3539&lt;&gt;0,ABS(K3539)&gt;VarianceThreshold)),"Review","OK")</f>
        <v>0</v>
      </c>
      <c r="M3539" t="s">
        <v>33</v>
      </c>
    </row>
    <row r="3540" spans="1:13">
      <c r="A3540" t="s">
        <v>5</v>
      </c>
      <c r="B3540" t="s">
        <v>701</v>
      </c>
      <c r="C3540" t="s">
        <v>2778</v>
      </c>
      <c r="D3540" t="s">
        <v>2415</v>
      </c>
      <c r="E3540" cm="1">
        <f t="array" ref="E3540">_xlfn.XLOOKUP(D3540,SKU_Master!A:A,SKU_Master!B:B,"Not on master")</f>
        <v>0</v>
      </c>
      <c r="F3540" cm="1">
        <f t="array" ref="F3540">_xlfn.XLOOKUP(C3540,Account_Master!A:A,Account_Master!B:B,"Not on master")</f>
        <v>0</v>
      </c>
      <c r="G3540" cm="1">
        <f t="array" ref="G3540">_xlfn.XLOOKUP(C3540,Account_Master!A:A,Account_Master!C:C,"Not on master")</f>
        <v>0</v>
      </c>
      <c r="H3540" s="6">
        <v>6</v>
      </c>
      <c r="I3540" s="6">
        <v>6</v>
      </c>
      <c r="J3540" s="6">
        <f>I3540-H3540</f>
        <v>0</v>
      </c>
      <c r="K3540" s="5">
        <f>IF(H3540=0,"",J3540/H3540)</f>
        <v>0</v>
      </c>
      <c r="L3540">
        <f>IF(OR(AND(H3540=0,ABS(J3540)&gt;=0.01),AND(H3540&lt;&gt;0,ABS(K3540)&gt;VarianceThreshold)),"Review","OK")</f>
        <v>0</v>
      </c>
      <c r="M3540" t="s">
        <v>33</v>
      </c>
    </row>
    <row r="3541" spans="1:13">
      <c r="A3541" t="s">
        <v>5</v>
      </c>
      <c r="B3541" t="s">
        <v>708</v>
      </c>
      <c r="C3541" t="s">
        <v>2916</v>
      </c>
      <c r="D3541" t="s">
        <v>1285</v>
      </c>
      <c r="E3541" cm="1">
        <f t="array" ref="E3541">_xlfn.XLOOKUP(D3541,SKU_Master!A:A,SKU_Master!B:B,"Not on master")</f>
        <v>0</v>
      </c>
      <c r="F3541" cm="1">
        <f t="array" ref="F3541">_xlfn.XLOOKUP(C3541,Account_Master!A:A,Account_Master!B:B,"Not on master")</f>
        <v>0</v>
      </c>
      <c r="G3541" cm="1">
        <f t="array" ref="G3541">_xlfn.XLOOKUP(C3541,Account_Master!A:A,Account_Master!C:C,"Not on master")</f>
        <v>0</v>
      </c>
      <c r="H3541" s="6">
        <v>88.5</v>
      </c>
      <c r="I3541" s="6">
        <v>88.5</v>
      </c>
      <c r="J3541" s="6">
        <f>I3541-H3541</f>
        <v>0</v>
      </c>
      <c r="K3541" s="5">
        <f>IF(H3541=0,"",J3541/H3541)</f>
        <v>0</v>
      </c>
      <c r="L3541">
        <f>IF(OR(AND(H3541=0,ABS(J3541)&gt;=0.01),AND(H3541&lt;&gt;0,ABS(K3541)&gt;VarianceThreshold)),"Review","OK")</f>
        <v>0</v>
      </c>
      <c r="M3541" t="s">
        <v>33</v>
      </c>
    </row>
    <row r="3542" spans="1:13">
      <c r="A3542" t="s">
        <v>5</v>
      </c>
      <c r="B3542" t="s">
        <v>708</v>
      </c>
      <c r="C3542" t="s">
        <v>2767</v>
      </c>
      <c r="D3542" t="s">
        <v>1231</v>
      </c>
      <c r="E3542" cm="1">
        <f t="array" ref="E3542">_xlfn.XLOOKUP(D3542,SKU_Master!A:A,SKU_Master!B:B,"Not on master")</f>
        <v>0</v>
      </c>
      <c r="F3542" cm="1">
        <f t="array" ref="F3542">_xlfn.XLOOKUP(C3542,Account_Master!A:A,Account_Master!B:B,"Not on master")</f>
        <v>0</v>
      </c>
      <c r="G3542" cm="1">
        <f t="array" ref="G3542">_xlfn.XLOOKUP(C3542,Account_Master!A:A,Account_Master!C:C,"Not on master")</f>
        <v>0</v>
      </c>
      <c r="H3542" s="6">
        <v>3.2</v>
      </c>
      <c r="I3542" s="6">
        <v>3.2</v>
      </c>
      <c r="J3542" s="6">
        <f>I3542-H3542</f>
        <v>0</v>
      </c>
      <c r="K3542" s="5">
        <f>IF(H3542=0,"",J3542/H3542)</f>
        <v>0</v>
      </c>
      <c r="L3542">
        <f>IF(OR(AND(H3542=0,ABS(J3542)&gt;=0.01),AND(H3542&lt;&gt;0,ABS(K3542)&gt;VarianceThreshold)),"Review","OK")</f>
        <v>0</v>
      </c>
      <c r="M3542" t="s">
        <v>33</v>
      </c>
    </row>
    <row r="3543" spans="1:13">
      <c r="A3543" t="s">
        <v>5</v>
      </c>
      <c r="B3543" t="s">
        <v>708</v>
      </c>
      <c r="C3543" t="s">
        <v>2954</v>
      </c>
      <c r="D3543" t="s">
        <v>1094</v>
      </c>
      <c r="E3543" cm="1">
        <f t="array" ref="E3543">_xlfn.XLOOKUP(D3543,SKU_Master!A:A,SKU_Master!B:B,"Not on master")</f>
        <v>0</v>
      </c>
      <c r="F3543" cm="1">
        <f t="array" ref="F3543">_xlfn.XLOOKUP(C3543,Account_Master!A:A,Account_Master!B:B,"Not on master")</f>
        <v>0</v>
      </c>
      <c r="G3543" cm="1">
        <f t="array" ref="G3543">_xlfn.XLOOKUP(C3543,Account_Master!A:A,Account_Master!C:C,"Not on master")</f>
        <v>0</v>
      </c>
      <c r="H3543" s="6">
        <v>2.25</v>
      </c>
      <c r="I3543" s="6">
        <v>2.25</v>
      </c>
      <c r="J3543" s="6">
        <f>I3543-H3543</f>
        <v>0</v>
      </c>
      <c r="K3543" s="5">
        <f>IF(H3543=0,"",J3543/H3543)</f>
        <v>0</v>
      </c>
      <c r="L3543">
        <f>IF(OR(AND(H3543=0,ABS(J3543)&gt;=0.01),AND(H3543&lt;&gt;0,ABS(K3543)&gt;VarianceThreshold)),"Review","OK")</f>
        <v>0</v>
      </c>
      <c r="M3543" t="s">
        <v>33</v>
      </c>
    </row>
    <row r="3544" spans="1:13">
      <c r="A3544" t="s">
        <v>5</v>
      </c>
      <c r="B3544" t="s">
        <v>708</v>
      </c>
      <c r="C3544" t="s">
        <v>2778</v>
      </c>
      <c r="D3544" t="s">
        <v>1933</v>
      </c>
      <c r="E3544" cm="1">
        <f t="array" ref="E3544">_xlfn.XLOOKUP(D3544,SKU_Master!A:A,SKU_Master!B:B,"Not on master")</f>
        <v>0</v>
      </c>
      <c r="F3544" cm="1">
        <f t="array" ref="F3544">_xlfn.XLOOKUP(C3544,Account_Master!A:A,Account_Master!B:B,"Not on master")</f>
        <v>0</v>
      </c>
      <c r="G3544" cm="1">
        <f t="array" ref="G3544">_xlfn.XLOOKUP(C3544,Account_Master!A:A,Account_Master!C:C,"Not on master")</f>
        <v>0</v>
      </c>
      <c r="H3544" s="6">
        <v>42</v>
      </c>
      <c r="I3544" s="6">
        <v>42</v>
      </c>
      <c r="J3544" s="6">
        <f>I3544-H3544</f>
        <v>0</v>
      </c>
      <c r="K3544" s="5">
        <f>IF(H3544=0,"",J3544/H3544)</f>
        <v>0</v>
      </c>
      <c r="L3544">
        <f>IF(OR(AND(H3544=0,ABS(J3544)&gt;=0.01),AND(H3544&lt;&gt;0,ABS(K3544)&gt;VarianceThreshold)),"Review","OK")</f>
        <v>0</v>
      </c>
      <c r="M3544" t="s">
        <v>33</v>
      </c>
    </row>
    <row r="3545" spans="1:13">
      <c r="A3545" t="s">
        <v>5</v>
      </c>
      <c r="B3545" t="s">
        <v>719</v>
      </c>
      <c r="C3545" t="s">
        <v>2869</v>
      </c>
      <c r="D3545" t="s">
        <v>1298</v>
      </c>
      <c r="E3545" cm="1">
        <f t="array" ref="E3545">_xlfn.XLOOKUP(D3545,SKU_Master!A:A,SKU_Master!B:B,"Not on master")</f>
        <v>0</v>
      </c>
      <c r="F3545" cm="1">
        <f t="array" ref="F3545">_xlfn.XLOOKUP(C3545,Account_Master!A:A,Account_Master!B:B,"Not on master")</f>
        <v>0</v>
      </c>
      <c r="G3545" cm="1">
        <f t="array" ref="G3545">_xlfn.XLOOKUP(C3545,Account_Master!A:A,Account_Master!C:C,"Not on master")</f>
        <v>0</v>
      </c>
      <c r="H3545" s="6">
        <v>41.23</v>
      </c>
      <c r="I3545" s="6">
        <v>41.23</v>
      </c>
      <c r="J3545" s="6">
        <f>I3545-H3545</f>
        <v>0</v>
      </c>
      <c r="K3545" s="5">
        <f>IF(H3545=0,"",J3545/H3545)</f>
        <v>0</v>
      </c>
      <c r="L3545">
        <f>IF(OR(AND(H3545=0,ABS(J3545)&gt;=0.01),AND(H3545&lt;&gt;0,ABS(K3545)&gt;VarianceThreshold)),"Review","OK")</f>
        <v>0</v>
      </c>
      <c r="M3545" t="s">
        <v>33</v>
      </c>
    </row>
    <row r="3546" spans="1:13">
      <c r="A3546" t="s">
        <v>5</v>
      </c>
      <c r="B3546" t="s">
        <v>719</v>
      </c>
      <c r="C3546" t="s">
        <v>2799</v>
      </c>
      <c r="D3546" t="s">
        <v>2628</v>
      </c>
      <c r="E3546" cm="1">
        <f t="array" ref="E3546">_xlfn.XLOOKUP(D3546,SKU_Master!A:A,SKU_Master!B:B,"Not on master")</f>
        <v>0</v>
      </c>
      <c r="F3546" cm="1">
        <f t="array" ref="F3546">_xlfn.XLOOKUP(C3546,Account_Master!A:A,Account_Master!B:B,"Not on master")</f>
        <v>0</v>
      </c>
      <c r="G3546" cm="1">
        <f t="array" ref="G3546">_xlfn.XLOOKUP(C3546,Account_Master!A:A,Account_Master!C:C,"Not on master")</f>
        <v>0</v>
      </c>
      <c r="H3546" s="6">
        <v>2225.25</v>
      </c>
      <c r="I3546" s="6">
        <v>2225.25</v>
      </c>
      <c r="J3546" s="6">
        <f>I3546-H3546</f>
        <v>0</v>
      </c>
      <c r="K3546" s="5">
        <f>IF(H3546=0,"",J3546/H3546)</f>
        <v>0</v>
      </c>
      <c r="L3546">
        <f>IF(OR(AND(H3546=0,ABS(J3546)&gt;=0.01),AND(H3546&lt;&gt;0,ABS(K3546)&gt;VarianceThreshold)),"Review","OK")</f>
        <v>0</v>
      </c>
      <c r="M3546" t="s">
        <v>33</v>
      </c>
    </row>
    <row r="3547" spans="1:13">
      <c r="A3547" t="s">
        <v>5</v>
      </c>
      <c r="B3547" t="s">
        <v>719</v>
      </c>
      <c r="C3547" t="s">
        <v>2750</v>
      </c>
      <c r="D3547" t="s">
        <v>2955</v>
      </c>
      <c r="E3547" cm="1">
        <f t="array" ref="E3547">_xlfn.XLOOKUP(D3547,SKU_Master!A:A,SKU_Master!B:B,"Not on master")</f>
        <v>0</v>
      </c>
      <c r="F3547" cm="1">
        <f t="array" ref="F3547">_xlfn.XLOOKUP(C3547,Account_Master!A:A,Account_Master!B:B,"Not on master")</f>
        <v>0</v>
      </c>
      <c r="G3547" cm="1">
        <f t="array" ref="G3547">_xlfn.XLOOKUP(C3547,Account_Master!A:A,Account_Master!C:C,"Not on master")</f>
        <v>0</v>
      </c>
      <c r="H3547" s="6">
        <v>9</v>
      </c>
      <c r="I3547" s="6">
        <v>9</v>
      </c>
      <c r="J3547" s="6">
        <f>I3547-H3547</f>
        <v>0</v>
      </c>
      <c r="K3547" s="5">
        <f>IF(H3547=0,"",J3547/H3547)</f>
        <v>0</v>
      </c>
      <c r="L3547">
        <f>IF(OR(AND(H3547=0,ABS(J3547)&gt;=0.01),AND(H3547&lt;&gt;0,ABS(K3547)&gt;VarianceThreshold)),"Review","OK")</f>
        <v>0</v>
      </c>
      <c r="M3547" t="s">
        <v>33</v>
      </c>
    </row>
    <row r="3548" spans="1:13">
      <c r="A3548" t="s">
        <v>5</v>
      </c>
      <c r="B3548" t="s">
        <v>719</v>
      </c>
      <c r="C3548" t="s">
        <v>2760</v>
      </c>
      <c r="D3548" t="s">
        <v>2339</v>
      </c>
      <c r="E3548" cm="1">
        <f t="array" ref="E3548">_xlfn.XLOOKUP(D3548,SKU_Master!A:A,SKU_Master!B:B,"Not on master")</f>
        <v>0</v>
      </c>
      <c r="F3548" cm="1">
        <f t="array" ref="F3548">_xlfn.XLOOKUP(C3548,Account_Master!A:A,Account_Master!B:B,"Not on master")</f>
        <v>0</v>
      </c>
      <c r="G3548" cm="1">
        <f t="array" ref="G3548">_xlfn.XLOOKUP(C3548,Account_Master!A:A,Account_Master!C:C,"Not on master")</f>
        <v>0</v>
      </c>
      <c r="H3548" s="6">
        <v>20.25</v>
      </c>
      <c r="I3548" s="6">
        <v>20.25</v>
      </c>
      <c r="J3548" s="6">
        <f>I3548-H3548</f>
        <v>0</v>
      </c>
      <c r="K3548" s="5">
        <f>IF(H3548=0,"",J3548/H3548)</f>
        <v>0</v>
      </c>
      <c r="L3548">
        <f>IF(OR(AND(H3548=0,ABS(J3548)&gt;=0.01),AND(H3548&lt;&gt;0,ABS(K3548)&gt;VarianceThreshold)),"Review","OK")</f>
        <v>0</v>
      </c>
      <c r="M3548" t="s">
        <v>33</v>
      </c>
    </row>
    <row r="3549" spans="1:13">
      <c r="A3549" t="s">
        <v>5</v>
      </c>
      <c r="B3549" t="s">
        <v>727</v>
      </c>
      <c r="C3549" t="s">
        <v>2939</v>
      </c>
      <c r="D3549" t="s">
        <v>1038</v>
      </c>
      <c r="E3549" cm="1">
        <f t="array" ref="E3549">_xlfn.XLOOKUP(D3549,SKU_Master!A:A,SKU_Master!B:B,"Not on master")</f>
        <v>0</v>
      </c>
      <c r="F3549" cm="1">
        <f t="array" ref="F3549">_xlfn.XLOOKUP(C3549,Account_Master!A:A,Account_Master!B:B,"Not on master")</f>
        <v>0</v>
      </c>
      <c r="G3549" cm="1">
        <f t="array" ref="G3549">_xlfn.XLOOKUP(C3549,Account_Master!A:A,Account_Master!C:C,"Not on master")</f>
        <v>0</v>
      </c>
      <c r="H3549" s="6">
        <v>147</v>
      </c>
      <c r="I3549" s="6">
        <v>147</v>
      </c>
      <c r="J3549" s="6">
        <f>I3549-H3549</f>
        <v>0</v>
      </c>
      <c r="K3549" s="5">
        <f>IF(H3549=0,"",J3549/H3549)</f>
        <v>0</v>
      </c>
      <c r="L3549">
        <f>IF(OR(AND(H3549=0,ABS(J3549)&gt;=0.01),AND(H3549&lt;&gt;0,ABS(K3549)&gt;VarianceThreshold)),"Review","OK")</f>
        <v>0</v>
      </c>
      <c r="M3549" t="s">
        <v>33</v>
      </c>
    </row>
    <row r="3550" spans="1:13">
      <c r="A3550" t="s">
        <v>5</v>
      </c>
      <c r="B3550" t="s">
        <v>727</v>
      </c>
      <c r="C3550" t="s">
        <v>2894</v>
      </c>
      <c r="D3550" t="s">
        <v>2727</v>
      </c>
      <c r="E3550" cm="1">
        <f t="array" ref="E3550">_xlfn.XLOOKUP(D3550,SKU_Master!A:A,SKU_Master!B:B,"Not on master")</f>
        <v>0</v>
      </c>
      <c r="F3550" cm="1">
        <f t="array" ref="F3550">_xlfn.XLOOKUP(C3550,Account_Master!A:A,Account_Master!B:B,"Not on master")</f>
        <v>0</v>
      </c>
      <c r="G3550" cm="1">
        <f t="array" ref="G3550">_xlfn.XLOOKUP(C3550,Account_Master!A:A,Account_Master!C:C,"Not on master")</f>
        <v>0</v>
      </c>
      <c r="H3550" s="6">
        <v>1.5</v>
      </c>
      <c r="I3550" s="6">
        <v>1.5</v>
      </c>
      <c r="J3550" s="6">
        <f>I3550-H3550</f>
        <v>0</v>
      </c>
      <c r="K3550" s="5">
        <f>IF(H3550=0,"",J3550/H3550)</f>
        <v>0</v>
      </c>
      <c r="L3550">
        <f>IF(OR(AND(H3550=0,ABS(J3550)&gt;=0.01),AND(H3550&lt;&gt;0,ABS(K3550)&gt;VarianceThreshold)),"Review","OK")</f>
        <v>0</v>
      </c>
      <c r="M3550" t="s">
        <v>33</v>
      </c>
    </row>
    <row r="3551" spans="1:13">
      <c r="A3551" t="s">
        <v>5</v>
      </c>
      <c r="B3551" t="s">
        <v>727</v>
      </c>
      <c r="C3551" t="s">
        <v>2760</v>
      </c>
      <c r="D3551" t="s">
        <v>2956</v>
      </c>
      <c r="E3551" cm="1">
        <f t="array" ref="E3551">_xlfn.XLOOKUP(D3551,SKU_Master!A:A,SKU_Master!B:B,"Not on master")</f>
        <v>0</v>
      </c>
      <c r="F3551" cm="1">
        <f t="array" ref="F3551">_xlfn.XLOOKUP(C3551,Account_Master!A:A,Account_Master!B:B,"Not on master")</f>
        <v>0</v>
      </c>
      <c r="G3551" cm="1">
        <f t="array" ref="G3551">_xlfn.XLOOKUP(C3551,Account_Master!A:A,Account_Master!C:C,"Not on master")</f>
        <v>0</v>
      </c>
      <c r="H3551" s="6">
        <v>2.4</v>
      </c>
      <c r="I3551" s="6">
        <v>2.4</v>
      </c>
      <c r="J3551" s="6">
        <f>I3551-H3551</f>
        <v>0</v>
      </c>
      <c r="K3551" s="5">
        <f>IF(H3551=0,"",J3551/H3551)</f>
        <v>0</v>
      </c>
      <c r="L3551">
        <f>IF(OR(AND(H3551=0,ABS(J3551)&gt;=0.01),AND(H3551&lt;&gt;0,ABS(K3551)&gt;VarianceThreshold)),"Review","OK")</f>
        <v>0</v>
      </c>
      <c r="M3551" t="s">
        <v>33</v>
      </c>
    </row>
    <row r="3552" spans="1:13">
      <c r="A3552" t="s">
        <v>5</v>
      </c>
      <c r="B3552" t="s">
        <v>727</v>
      </c>
      <c r="C3552" t="s">
        <v>2920</v>
      </c>
      <c r="D3552" t="s">
        <v>1461</v>
      </c>
      <c r="E3552" cm="1">
        <f t="array" ref="E3552">_xlfn.XLOOKUP(D3552,SKU_Master!A:A,SKU_Master!B:B,"Not on master")</f>
        <v>0</v>
      </c>
      <c r="F3552" cm="1">
        <f t="array" ref="F3552">_xlfn.XLOOKUP(C3552,Account_Master!A:A,Account_Master!B:B,"Not on master")</f>
        <v>0</v>
      </c>
      <c r="G3552" cm="1">
        <f t="array" ref="G3552">_xlfn.XLOOKUP(C3552,Account_Master!A:A,Account_Master!C:C,"Not on master")</f>
        <v>0</v>
      </c>
      <c r="H3552" s="6">
        <v>4.45</v>
      </c>
      <c r="I3552" s="6">
        <v>4.45</v>
      </c>
      <c r="J3552" s="6">
        <f>I3552-H3552</f>
        <v>0</v>
      </c>
      <c r="K3552" s="5">
        <f>IF(H3552=0,"",J3552/H3552)</f>
        <v>0</v>
      </c>
      <c r="L3552">
        <f>IF(OR(AND(H3552=0,ABS(J3552)&gt;=0.01),AND(H3552&lt;&gt;0,ABS(K3552)&gt;VarianceThreshold)),"Review","OK")</f>
        <v>0</v>
      </c>
      <c r="M3552" t="s">
        <v>33</v>
      </c>
    </row>
    <row r="3553" spans="1:13">
      <c r="A3553" t="s">
        <v>5</v>
      </c>
      <c r="B3553" t="s">
        <v>727</v>
      </c>
      <c r="C3553" t="s">
        <v>2750</v>
      </c>
      <c r="D3553" t="s">
        <v>1455</v>
      </c>
      <c r="E3553" cm="1">
        <f t="array" ref="E3553">_xlfn.XLOOKUP(D3553,SKU_Master!A:A,SKU_Master!B:B,"Not on master")</f>
        <v>0</v>
      </c>
      <c r="F3553" cm="1">
        <f t="array" ref="F3553">_xlfn.XLOOKUP(C3553,Account_Master!A:A,Account_Master!B:B,"Not on master")</f>
        <v>0</v>
      </c>
      <c r="G3553" cm="1">
        <f t="array" ref="G3553">_xlfn.XLOOKUP(C3553,Account_Master!A:A,Account_Master!C:C,"Not on master")</f>
        <v>0</v>
      </c>
      <c r="H3553" s="6">
        <v>49.5</v>
      </c>
      <c r="I3553" s="6">
        <v>49.5</v>
      </c>
      <c r="J3553" s="6">
        <f>I3553-H3553</f>
        <v>0</v>
      </c>
      <c r="K3553" s="5">
        <f>IF(H3553=0,"",J3553/H3553)</f>
        <v>0</v>
      </c>
      <c r="L3553">
        <f>IF(OR(AND(H3553=0,ABS(J3553)&gt;=0.01),AND(H3553&lt;&gt;0,ABS(K3553)&gt;VarianceThreshold)),"Review","OK")</f>
        <v>0</v>
      </c>
      <c r="M3553" t="s">
        <v>33</v>
      </c>
    </row>
    <row r="3554" spans="1:13">
      <c r="A3554" t="s">
        <v>5</v>
      </c>
      <c r="B3554" t="s">
        <v>727</v>
      </c>
      <c r="C3554" t="s">
        <v>2784</v>
      </c>
      <c r="D3554" t="s">
        <v>1728</v>
      </c>
      <c r="E3554" cm="1">
        <f t="array" ref="E3554">_xlfn.XLOOKUP(D3554,SKU_Master!A:A,SKU_Master!B:B,"Not on master")</f>
        <v>0</v>
      </c>
      <c r="F3554" cm="1">
        <f t="array" ref="F3554">_xlfn.XLOOKUP(C3554,Account_Master!A:A,Account_Master!B:B,"Not on master")</f>
        <v>0</v>
      </c>
      <c r="G3554" cm="1">
        <f t="array" ref="G3554">_xlfn.XLOOKUP(C3554,Account_Master!A:A,Account_Master!C:C,"Not on master")</f>
        <v>0</v>
      </c>
      <c r="H3554" s="6">
        <v>524.4</v>
      </c>
      <c r="I3554" s="6">
        <v>524.4</v>
      </c>
      <c r="J3554" s="6">
        <f>I3554-H3554</f>
        <v>0</v>
      </c>
      <c r="K3554" s="5">
        <f>IF(H3554=0,"",J3554/H3554)</f>
        <v>0</v>
      </c>
      <c r="L3554">
        <f>IF(OR(AND(H3554=0,ABS(J3554)&gt;=0.01),AND(H3554&lt;&gt;0,ABS(K3554)&gt;VarianceThreshold)),"Review","OK")</f>
        <v>0</v>
      </c>
      <c r="M3554" t="s">
        <v>33</v>
      </c>
    </row>
    <row r="3555" spans="1:13">
      <c r="A3555" t="s">
        <v>5</v>
      </c>
      <c r="B3555" t="s">
        <v>727</v>
      </c>
      <c r="C3555" t="s">
        <v>2769</v>
      </c>
      <c r="D3555" t="s">
        <v>947</v>
      </c>
      <c r="E3555" cm="1">
        <f t="array" ref="E3555">_xlfn.XLOOKUP(D3555,SKU_Master!A:A,SKU_Master!B:B,"Not on master")</f>
        <v>0</v>
      </c>
      <c r="F3555" cm="1">
        <f t="array" ref="F3555">_xlfn.XLOOKUP(C3555,Account_Master!A:A,Account_Master!B:B,"Not on master")</f>
        <v>0</v>
      </c>
      <c r="G3555" cm="1">
        <f t="array" ref="G3555">_xlfn.XLOOKUP(C3555,Account_Master!A:A,Account_Master!C:C,"Not on master")</f>
        <v>0</v>
      </c>
      <c r="H3555" s="6">
        <v>6</v>
      </c>
      <c r="I3555" s="6">
        <v>6</v>
      </c>
      <c r="J3555" s="6">
        <f>I3555-H3555</f>
        <v>0</v>
      </c>
      <c r="K3555" s="5">
        <f>IF(H3555=0,"",J3555/H3555)</f>
        <v>0</v>
      </c>
      <c r="L3555">
        <f>IF(OR(AND(H3555=0,ABS(J3555)&gt;=0.01),AND(H3555&lt;&gt;0,ABS(K3555)&gt;VarianceThreshold)),"Review","OK")</f>
        <v>0</v>
      </c>
      <c r="M3555" t="s">
        <v>33</v>
      </c>
    </row>
    <row r="3556" spans="1:13">
      <c r="A3556" t="s">
        <v>5</v>
      </c>
      <c r="B3556" t="s">
        <v>727</v>
      </c>
      <c r="C3556" t="s">
        <v>2760</v>
      </c>
      <c r="D3556" t="s">
        <v>2957</v>
      </c>
      <c r="E3556" cm="1">
        <f t="array" ref="E3556">_xlfn.XLOOKUP(D3556,SKU_Master!A:A,SKU_Master!B:B,"Not on master")</f>
        <v>0</v>
      </c>
      <c r="F3556" cm="1">
        <f t="array" ref="F3556">_xlfn.XLOOKUP(C3556,Account_Master!A:A,Account_Master!B:B,"Not on master")</f>
        <v>0</v>
      </c>
      <c r="G3556" cm="1">
        <f t="array" ref="G3556">_xlfn.XLOOKUP(C3556,Account_Master!A:A,Account_Master!C:C,"Not on master")</f>
        <v>0</v>
      </c>
      <c r="H3556" s="6">
        <v>15</v>
      </c>
      <c r="I3556" s="6">
        <v>15</v>
      </c>
      <c r="J3556" s="6">
        <f>I3556-H3556</f>
        <v>0</v>
      </c>
      <c r="K3556" s="5">
        <f>IF(H3556=0,"",J3556/H3556)</f>
        <v>0</v>
      </c>
      <c r="L3556">
        <f>IF(OR(AND(H3556=0,ABS(J3556)&gt;=0.01),AND(H3556&lt;&gt;0,ABS(K3556)&gt;VarianceThreshold)),"Review","OK")</f>
        <v>0</v>
      </c>
      <c r="M3556" t="s">
        <v>33</v>
      </c>
    </row>
    <row r="3557" spans="1:13">
      <c r="A3557" t="s">
        <v>5</v>
      </c>
      <c r="B3557" t="s">
        <v>727</v>
      </c>
      <c r="C3557" t="s">
        <v>2850</v>
      </c>
      <c r="D3557" t="s">
        <v>833</v>
      </c>
      <c r="E3557" cm="1">
        <f t="array" ref="E3557">_xlfn.XLOOKUP(D3557,SKU_Master!A:A,SKU_Master!B:B,"Not on master")</f>
        <v>0</v>
      </c>
      <c r="F3557" cm="1">
        <f t="array" ref="F3557">_xlfn.XLOOKUP(C3557,Account_Master!A:A,Account_Master!B:B,"Not on master")</f>
        <v>0</v>
      </c>
      <c r="G3557" cm="1">
        <f t="array" ref="G3557">_xlfn.XLOOKUP(C3557,Account_Master!A:A,Account_Master!C:C,"Not on master")</f>
        <v>0</v>
      </c>
      <c r="H3557" s="6">
        <v>9</v>
      </c>
      <c r="I3557" s="6">
        <v>9</v>
      </c>
      <c r="J3557" s="6">
        <f>I3557-H3557</f>
        <v>0</v>
      </c>
      <c r="K3557" s="5">
        <f>IF(H3557=0,"",J3557/H3557)</f>
        <v>0</v>
      </c>
      <c r="L3557">
        <f>IF(OR(AND(H3557=0,ABS(J3557)&gt;=0.01),AND(H3557&lt;&gt;0,ABS(K3557)&gt;VarianceThreshold)),"Review","OK")</f>
        <v>0</v>
      </c>
      <c r="M3557" t="s">
        <v>33</v>
      </c>
    </row>
    <row r="3558" spans="1:13">
      <c r="A3558" t="s">
        <v>5</v>
      </c>
      <c r="B3558" t="s">
        <v>727</v>
      </c>
      <c r="C3558" t="s">
        <v>2775</v>
      </c>
      <c r="D3558" t="s">
        <v>1303</v>
      </c>
      <c r="E3558" cm="1">
        <f t="array" ref="E3558">_xlfn.XLOOKUP(D3558,SKU_Master!A:A,SKU_Master!B:B,"Not on master")</f>
        <v>0</v>
      </c>
      <c r="F3558" cm="1">
        <f t="array" ref="F3558">_xlfn.XLOOKUP(C3558,Account_Master!A:A,Account_Master!B:B,"Not on master")</f>
        <v>0</v>
      </c>
      <c r="G3558" cm="1">
        <f t="array" ref="G3558">_xlfn.XLOOKUP(C3558,Account_Master!A:A,Account_Master!C:C,"Not on master")</f>
        <v>0</v>
      </c>
      <c r="H3558" s="6">
        <v>11.25</v>
      </c>
      <c r="I3558" s="6">
        <v>11.25</v>
      </c>
      <c r="J3558" s="6">
        <f>I3558-H3558</f>
        <v>0</v>
      </c>
      <c r="K3558" s="5">
        <f>IF(H3558=0,"",J3558/H3558)</f>
        <v>0</v>
      </c>
      <c r="L3558">
        <f>IF(OR(AND(H3558=0,ABS(J3558)&gt;=0.01),AND(H3558&lt;&gt;0,ABS(K3558)&gt;VarianceThreshold)),"Review","OK")</f>
        <v>0</v>
      </c>
      <c r="M3558" t="s">
        <v>33</v>
      </c>
    </row>
    <row r="3559" spans="1:13">
      <c r="A3559" t="s">
        <v>5</v>
      </c>
      <c r="B3559" t="s">
        <v>727</v>
      </c>
      <c r="C3559" t="s">
        <v>2769</v>
      </c>
      <c r="D3559" t="s">
        <v>951</v>
      </c>
      <c r="E3559" cm="1">
        <f t="array" ref="E3559">_xlfn.XLOOKUP(D3559,SKU_Master!A:A,SKU_Master!B:B,"Not on master")</f>
        <v>0</v>
      </c>
      <c r="F3559" cm="1">
        <f t="array" ref="F3559">_xlfn.XLOOKUP(C3559,Account_Master!A:A,Account_Master!B:B,"Not on master")</f>
        <v>0</v>
      </c>
      <c r="G3559" cm="1">
        <f t="array" ref="G3559">_xlfn.XLOOKUP(C3559,Account_Master!A:A,Account_Master!C:C,"Not on master")</f>
        <v>0</v>
      </c>
      <c r="H3559" s="6">
        <v>97</v>
      </c>
      <c r="I3559" s="6">
        <v>97</v>
      </c>
      <c r="J3559" s="6">
        <f>I3559-H3559</f>
        <v>0</v>
      </c>
      <c r="K3559" s="5">
        <f>IF(H3559=0,"",J3559/H3559)</f>
        <v>0</v>
      </c>
      <c r="L3559">
        <f>IF(OR(AND(H3559=0,ABS(J3559)&gt;=0.01),AND(H3559&lt;&gt;0,ABS(K3559)&gt;VarianceThreshold)),"Review","OK")</f>
        <v>0</v>
      </c>
      <c r="M3559" t="s">
        <v>33</v>
      </c>
    </row>
    <row r="3560" spans="1:13">
      <c r="A3560" t="s">
        <v>5</v>
      </c>
      <c r="B3560" t="s">
        <v>727</v>
      </c>
      <c r="C3560" t="s">
        <v>2835</v>
      </c>
      <c r="D3560" t="s">
        <v>2958</v>
      </c>
      <c r="E3560" cm="1">
        <f t="array" ref="E3560">_xlfn.XLOOKUP(D3560,SKU_Master!A:A,SKU_Master!B:B,"Not on master")</f>
        <v>0</v>
      </c>
      <c r="F3560" cm="1">
        <f t="array" ref="F3560">_xlfn.XLOOKUP(C3560,Account_Master!A:A,Account_Master!B:B,"Not on master")</f>
        <v>0</v>
      </c>
      <c r="G3560" cm="1">
        <f t="array" ref="G3560">_xlfn.XLOOKUP(C3560,Account_Master!A:A,Account_Master!C:C,"Not on master")</f>
        <v>0</v>
      </c>
      <c r="H3560" s="6">
        <v>4.5</v>
      </c>
      <c r="I3560" s="6">
        <v>4.5</v>
      </c>
      <c r="J3560" s="6">
        <f>I3560-H3560</f>
        <v>0</v>
      </c>
      <c r="K3560" s="5">
        <f>IF(H3560=0,"",J3560/H3560)</f>
        <v>0</v>
      </c>
      <c r="L3560">
        <f>IF(OR(AND(H3560=0,ABS(J3560)&gt;=0.01),AND(H3560&lt;&gt;0,ABS(K3560)&gt;VarianceThreshold)),"Review","OK")</f>
        <v>0</v>
      </c>
      <c r="M3560" t="s">
        <v>33</v>
      </c>
    </row>
    <row r="3561" spans="1:13">
      <c r="A3561" t="s">
        <v>5</v>
      </c>
      <c r="B3561" t="s">
        <v>727</v>
      </c>
      <c r="C3561" t="s">
        <v>2757</v>
      </c>
      <c r="D3561" t="s">
        <v>462</v>
      </c>
      <c r="E3561" cm="1">
        <f t="array" ref="E3561">_xlfn.XLOOKUP(D3561,SKU_Master!A:A,SKU_Master!B:B,"Not on master")</f>
        <v>0</v>
      </c>
      <c r="F3561" cm="1">
        <f t="array" ref="F3561">_xlfn.XLOOKUP(C3561,Account_Master!A:A,Account_Master!B:B,"Not on master")</f>
        <v>0</v>
      </c>
      <c r="G3561" cm="1">
        <f t="array" ref="G3561">_xlfn.XLOOKUP(C3561,Account_Master!A:A,Account_Master!C:C,"Not on master")</f>
        <v>0</v>
      </c>
      <c r="H3561" s="6">
        <v>24</v>
      </c>
      <c r="I3561" s="6">
        <v>24</v>
      </c>
      <c r="J3561" s="6">
        <f>I3561-H3561</f>
        <v>0</v>
      </c>
      <c r="K3561" s="5">
        <f>IF(H3561=0,"",J3561/H3561)</f>
        <v>0</v>
      </c>
      <c r="L3561">
        <f>IF(OR(AND(H3561=0,ABS(J3561)&gt;=0.01),AND(H3561&lt;&gt;0,ABS(K3561)&gt;VarianceThreshold)),"Review","OK")</f>
        <v>0</v>
      </c>
      <c r="M3561" t="s">
        <v>33</v>
      </c>
    </row>
    <row r="3562" spans="1:13">
      <c r="A3562" t="s">
        <v>5</v>
      </c>
      <c r="B3562" t="s">
        <v>734</v>
      </c>
      <c r="C3562" t="s">
        <v>2796</v>
      </c>
      <c r="D3562" t="s">
        <v>2157</v>
      </c>
      <c r="E3562" cm="1">
        <f t="array" ref="E3562">_xlfn.XLOOKUP(D3562,SKU_Master!A:A,SKU_Master!B:B,"Not on master")</f>
        <v>0</v>
      </c>
      <c r="F3562" cm="1">
        <f t="array" ref="F3562">_xlfn.XLOOKUP(C3562,Account_Master!A:A,Account_Master!B:B,"Not on master")</f>
        <v>0</v>
      </c>
      <c r="G3562" cm="1">
        <f t="array" ref="G3562">_xlfn.XLOOKUP(C3562,Account_Master!A:A,Account_Master!C:C,"Not on master")</f>
        <v>0</v>
      </c>
      <c r="H3562" s="6">
        <v>9</v>
      </c>
      <c r="I3562" s="6">
        <v>9</v>
      </c>
      <c r="J3562" s="6">
        <f>I3562-H3562</f>
        <v>0</v>
      </c>
      <c r="K3562" s="5">
        <f>IF(H3562=0,"",J3562/H3562)</f>
        <v>0</v>
      </c>
      <c r="L3562">
        <f>IF(OR(AND(H3562=0,ABS(J3562)&gt;=0.01),AND(H3562&lt;&gt;0,ABS(K3562)&gt;VarianceThreshold)),"Review","OK")</f>
        <v>0</v>
      </c>
      <c r="M3562" t="s">
        <v>33</v>
      </c>
    </row>
    <row r="3563" spans="1:13">
      <c r="A3563" t="s">
        <v>5</v>
      </c>
      <c r="B3563" t="s">
        <v>734</v>
      </c>
      <c r="C3563" t="s">
        <v>2786</v>
      </c>
      <c r="D3563" t="s">
        <v>740</v>
      </c>
      <c r="E3563" cm="1">
        <f t="array" ref="E3563">_xlfn.XLOOKUP(D3563,SKU_Master!A:A,SKU_Master!B:B,"Not on master")</f>
        <v>0</v>
      </c>
      <c r="F3563" cm="1">
        <f t="array" ref="F3563">_xlfn.XLOOKUP(C3563,Account_Master!A:A,Account_Master!B:B,"Not on master")</f>
        <v>0</v>
      </c>
      <c r="G3563" cm="1">
        <f t="array" ref="G3563">_xlfn.XLOOKUP(C3563,Account_Master!A:A,Account_Master!C:C,"Not on master")</f>
        <v>0</v>
      </c>
      <c r="H3563" s="6">
        <v>25.5</v>
      </c>
      <c r="I3563" s="6">
        <v>25.5</v>
      </c>
      <c r="J3563" s="6">
        <f>I3563-H3563</f>
        <v>0</v>
      </c>
      <c r="K3563" s="5">
        <f>IF(H3563=0,"",J3563/H3563)</f>
        <v>0</v>
      </c>
      <c r="L3563">
        <f>IF(OR(AND(H3563=0,ABS(J3563)&gt;=0.01),AND(H3563&lt;&gt;0,ABS(K3563)&gt;VarianceThreshold)),"Review","OK")</f>
        <v>0</v>
      </c>
      <c r="M3563" t="s">
        <v>33</v>
      </c>
    </row>
    <row r="3564" spans="1:13">
      <c r="A3564" t="s">
        <v>5</v>
      </c>
      <c r="B3564" t="s">
        <v>734</v>
      </c>
      <c r="C3564" t="s">
        <v>2849</v>
      </c>
      <c r="D3564" t="s">
        <v>1191</v>
      </c>
      <c r="E3564" cm="1">
        <f t="array" ref="E3564">_xlfn.XLOOKUP(D3564,SKU_Master!A:A,SKU_Master!B:B,"Not on master")</f>
        <v>0</v>
      </c>
      <c r="F3564" cm="1">
        <f t="array" ref="F3564">_xlfn.XLOOKUP(C3564,Account_Master!A:A,Account_Master!B:B,"Not on master")</f>
        <v>0</v>
      </c>
      <c r="G3564" cm="1">
        <f t="array" ref="G3564">_xlfn.XLOOKUP(C3564,Account_Master!A:A,Account_Master!C:C,"Not on master")</f>
        <v>0</v>
      </c>
      <c r="H3564" s="6">
        <v>2.25</v>
      </c>
      <c r="I3564" s="6">
        <v>2.25</v>
      </c>
      <c r="J3564" s="6">
        <f>I3564-H3564</f>
        <v>0</v>
      </c>
      <c r="K3564" s="5">
        <f>IF(H3564=0,"",J3564/H3564)</f>
        <v>0</v>
      </c>
      <c r="L3564">
        <f>IF(OR(AND(H3564=0,ABS(J3564)&gt;=0.01),AND(H3564&lt;&gt;0,ABS(K3564)&gt;VarianceThreshold)),"Review","OK")</f>
        <v>0</v>
      </c>
      <c r="M3564" t="s">
        <v>33</v>
      </c>
    </row>
    <row r="3565" spans="1:13">
      <c r="A3565" t="s">
        <v>5</v>
      </c>
      <c r="B3565" t="s">
        <v>734</v>
      </c>
      <c r="C3565" t="s">
        <v>2869</v>
      </c>
      <c r="D3565" t="s">
        <v>1736</v>
      </c>
      <c r="E3565" cm="1">
        <f t="array" ref="E3565">_xlfn.XLOOKUP(D3565,SKU_Master!A:A,SKU_Master!B:B,"Not on master")</f>
        <v>0</v>
      </c>
      <c r="F3565" cm="1">
        <f t="array" ref="F3565">_xlfn.XLOOKUP(C3565,Account_Master!A:A,Account_Master!B:B,"Not on master")</f>
        <v>0</v>
      </c>
      <c r="G3565" cm="1">
        <f t="array" ref="G3565">_xlfn.XLOOKUP(C3565,Account_Master!A:A,Account_Master!C:C,"Not on master")</f>
        <v>0</v>
      </c>
      <c r="H3565" s="6">
        <v>344.98</v>
      </c>
      <c r="I3565" s="6">
        <v>344.98</v>
      </c>
      <c r="J3565" s="6">
        <f>I3565-H3565</f>
        <v>0</v>
      </c>
      <c r="K3565" s="5">
        <f>IF(H3565=0,"",J3565/H3565)</f>
        <v>0</v>
      </c>
      <c r="L3565">
        <f>IF(OR(AND(H3565=0,ABS(J3565)&gt;=0.01),AND(H3565&lt;&gt;0,ABS(K3565)&gt;VarianceThreshold)),"Review","OK")</f>
        <v>0</v>
      </c>
      <c r="M3565" t="s">
        <v>33</v>
      </c>
    </row>
    <row r="3566" spans="1:13">
      <c r="A3566" t="s">
        <v>5</v>
      </c>
      <c r="B3566" t="s">
        <v>734</v>
      </c>
      <c r="C3566" t="s">
        <v>2921</v>
      </c>
      <c r="D3566" t="s">
        <v>1932</v>
      </c>
      <c r="E3566" cm="1">
        <f t="array" ref="E3566">_xlfn.XLOOKUP(D3566,SKU_Master!A:A,SKU_Master!B:B,"Not on master")</f>
        <v>0</v>
      </c>
      <c r="F3566" cm="1">
        <f t="array" ref="F3566">_xlfn.XLOOKUP(C3566,Account_Master!A:A,Account_Master!B:B,"Not on master")</f>
        <v>0</v>
      </c>
      <c r="G3566" cm="1">
        <f t="array" ref="G3566">_xlfn.XLOOKUP(C3566,Account_Master!A:A,Account_Master!C:C,"Not on master")</f>
        <v>0</v>
      </c>
      <c r="H3566" s="6">
        <v>0.05</v>
      </c>
      <c r="I3566" s="6">
        <v>0.05</v>
      </c>
      <c r="J3566" s="6">
        <f>I3566-H3566</f>
        <v>0</v>
      </c>
      <c r="K3566" s="5">
        <f>IF(H3566=0,"",J3566/H3566)</f>
        <v>0</v>
      </c>
      <c r="L3566">
        <f>IF(OR(AND(H3566=0,ABS(J3566)&gt;=0.01),AND(H3566&lt;&gt;0,ABS(K3566)&gt;VarianceThreshold)),"Review","OK")</f>
        <v>0</v>
      </c>
      <c r="M3566" t="s">
        <v>33</v>
      </c>
    </row>
    <row r="3567" spans="1:13">
      <c r="A3567" t="s">
        <v>5</v>
      </c>
      <c r="B3567" t="s">
        <v>746</v>
      </c>
      <c r="C3567" t="s">
        <v>2946</v>
      </c>
      <c r="D3567" t="s">
        <v>1370</v>
      </c>
      <c r="E3567" cm="1">
        <f t="array" ref="E3567">_xlfn.XLOOKUP(D3567,SKU_Master!A:A,SKU_Master!B:B,"Not on master")</f>
        <v>0</v>
      </c>
      <c r="F3567" cm="1">
        <f t="array" ref="F3567">_xlfn.XLOOKUP(C3567,Account_Master!A:A,Account_Master!B:B,"Not on master")</f>
        <v>0</v>
      </c>
      <c r="G3567" cm="1">
        <f t="array" ref="G3567">_xlfn.XLOOKUP(C3567,Account_Master!A:A,Account_Master!C:C,"Not on master")</f>
        <v>0</v>
      </c>
      <c r="H3567" s="6">
        <v>9</v>
      </c>
      <c r="I3567" s="6">
        <v>9</v>
      </c>
      <c r="J3567" s="6">
        <f>I3567-H3567</f>
        <v>0</v>
      </c>
      <c r="K3567" s="5">
        <f>IF(H3567=0,"",J3567/H3567)</f>
        <v>0</v>
      </c>
      <c r="L3567">
        <f>IF(OR(AND(H3567=0,ABS(J3567)&gt;=0.01),AND(H3567&lt;&gt;0,ABS(K3567)&gt;VarianceThreshold)),"Review","OK")</f>
        <v>0</v>
      </c>
      <c r="M3567" t="s">
        <v>33</v>
      </c>
    </row>
    <row r="3568" spans="1:13">
      <c r="A3568" t="s">
        <v>5</v>
      </c>
      <c r="B3568" t="s">
        <v>746</v>
      </c>
      <c r="C3568" t="s">
        <v>2785</v>
      </c>
      <c r="D3568" t="s">
        <v>2959</v>
      </c>
      <c r="E3568" cm="1">
        <f t="array" ref="E3568">_xlfn.XLOOKUP(D3568,SKU_Master!A:A,SKU_Master!B:B,"Not on master")</f>
        <v>0</v>
      </c>
      <c r="F3568" cm="1">
        <f t="array" ref="F3568">_xlfn.XLOOKUP(C3568,Account_Master!A:A,Account_Master!B:B,"Not on master")</f>
        <v>0</v>
      </c>
      <c r="G3568" cm="1">
        <f t="array" ref="G3568">_xlfn.XLOOKUP(C3568,Account_Master!A:A,Account_Master!C:C,"Not on master")</f>
        <v>0</v>
      </c>
      <c r="H3568" s="6">
        <v>1.5</v>
      </c>
      <c r="I3568" s="6">
        <v>1.5</v>
      </c>
      <c r="J3568" s="6">
        <f>I3568-H3568</f>
        <v>0</v>
      </c>
      <c r="K3568" s="5">
        <f>IF(H3568=0,"",J3568/H3568)</f>
        <v>0</v>
      </c>
      <c r="L3568">
        <f>IF(OR(AND(H3568=0,ABS(J3568)&gt;=0.01),AND(H3568&lt;&gt;0,ABS(K3568)&gt;VarianceThreshold)),"Review","OK")</f>
        <v>0</v>
      </c>
      <c r="M3568" t="s">
        <v>33</v>
      </c>
    </row>
    <row r="3569" spans="1:13">
      <c r="A3569" t="s">
        <v>5</v>
      </c>
      <c r="B3569" t="s">
        <v>746</v>
      </c>
      <c r="C3569" t="s">
        <v>2796</v>
      </c>
      <c r="D3569" t="s">
        <v>2376</v>
      </c>
      <c r="E3569" cm="1">
        <f t="array" ref="E3569">_xlfn.XLOOKUP(D3569,SKU_Master!A:A,SKU_Master!B:B,"Not on master")</f>
        <v>0</v>
      </c>
      <c r="F3569" cm="1">
        <f t="array" ref="F3569">_xlfn.XLOOKUP(C3569,Account_Master!A:A,Account_Master!B:B,"Not on master")</f>
        <v>0</v>
      </c>
      <c r="G3569" cm="1">
        <f t="array" ref="G3569">_xlfn.XLOOKUP(C3569,Account_Master!A:A,Account_Master!C:C,"Not on master")</f>
        <v>0</v>
      </c>
      <c r="H3569" s="6">
        <v>4.5</v>
      </c>
      <c r="I3569" s="6">
        <v>4.5</v>
      </c>
      <c r="J3569" s="6">
        <f>I3569-H3569</f>
        <v>0</v>
      </c>
      <c r="K3569" s="5">
        <f>IF(H3569=0,"",J3569/H3569)</f>
        <v>0</v>
      </c>
      <c r="L3569">
        <f>IF(OR(AND(H3569=0,ABS(J3569)&gt;=0.01),AND(H3569&lt;&gt;0,ABS(K3569)&gt;VarianceThreshold)),"Review","OK")</f>
        <v>0</v>
      </c>
      <c r="M3569" t="s">
        <v>33</v>
      </c>
    </row>
    <row r="3570" spans="1:13">
      <c r="A3570" t="s">
        <v>5</v>
      </c>
      <c r="B3570" t="s">
        <v>746</v>
      </c>
      <c r="C3570" t="s">
        <v>2769</v>
      </c>
      <c r="D3570" t="s">
        <v>1452</v>
      </c>
      <c r="E3570" cm="1">
        <f t="array" ref="E3570">_xlfn.XLOOKUP(D3570,SKU_Master!A:A,SKU_Master!B:B,"Not on master")</f>
        <v>0</v>
      </c>
      <c r="F3570" cm="1">
        <f t="array" ref="F3570">_xlfn.XLOOKUP(C3570,Account_Master!A:A,Account_Master!B:B,"Not on master")</f>
        <v>0</v>
      </c>
      <c r="G3570" cm="1">
        <f t="array" ref="G3570">_xlfn.XLOOKUP(C3570,Account_Master!A:A,Account_Master!C:C,"Not on master")</f>
        <v>0</v>
      </c>
      <c r="H3570" s="6">
        <v>42</v>
      </c>
      <c r="I3570" s="6">
        <v>42</v>
      </c>
      <c r="J3570" s="6">
        <f>I3570-H3570</f>
        <v>0</v>
      </c>
      <c r="K3570" s="5">
        <f>IF(H3570=0,"",J3570/H3570)</f>
        <v>0</v>
      </c>
      <c r="L3570">
        <f>IF(OR(AND(H3570=0,ABS(J3570)&gt;=0.01),AND(H3570&lt;&gt;0,ABS(K3570)&gt;VarianceThreshold)),"Review","OK")</f>
        <v>0</v>
      </c>
      <c r="M3570" t="s">
        <v>33</v>
      </c>
    </row>
    <row r="3571" spans="1:13">
      <c r="A3571" t="s">
        <v>5</v>
      </c>
      <c r="B3571" t="s">
        <v>746</v>
      </c>
      <c r="C3571" t="s">
        <v>2897</v>
      </c>
      <c r="D3571" t="s">
        <v>1264</v>
      </c>
      <c r="E3571" cm="1">
        <f t="array" ref="E3571">_xlfn.XLOOKUP(D3571,SKU_Master!A:A,SKU_Master!B:B,"Not on master")</f>
        <v>0</v>
      </c>
      <c r="F3571" cm="1">
        <f t="array" ref="F3571">_xlfn.XLOOKUP(C3571,Account_Master!A:A,Account_Master!B:B,"Not on master")</f>
        <v>0</v>
      </c>
      <c r="G3571" cm="1">
        <f t="array" ref="G3571">_xlfn.XLOOKUP(C3571,Account_Master!A:A,Account_Master!C:C,"Not on master")</f>
        <v>0</v>
      </c>
      <c r="H3571" s="6">
        <v>2</v>
      </c>
      <c r="I3571" s="6">
        <v>2</v>
      </c>
      <c r="J3571" s="6">
        <f>I3571-H3571</f>
        <v>0</v>
      </c>
      <c r="K3571" s="5">
        <f>IF(H3571=0,"",J3571/H3571)</f>
        <v>0</v>
      </c>
      <c r="L3571">
        <f>IF(OR(AND(H3571=0,ABS(J3571)&gt;=0.01),AND(H3571&lt;&gt;0,ABS(K3571)&gt;VarianceThreshold)),"Review","OK")</f>
        <v>0</v>
      </c>
      <c r="M3571" t="s">
        <v>33</v>
      </c>
    </row>
    <row r="3572" spans="1:13">
      <c r="A3572" t="s">
        <v>5</v>
      </c>
      <c r="B3572" t="s">
        <v>746</v>
      </c>
      <c r="C3572" t="s">
        <v>2760</v>
      </c>
      <c r="D3572" t="s">
        <v>2960</v>
      </c>
      <c r="E3572" cm="1">
        <f t="array" ref="E3572">_xlfn.XLOOKUP(D3572,SKU_Master!A:A,SKU_Master!B:B,"Not on master")</f>
        <v>0</v>
      </c>
      <c r="F3572" cm="1">
        <f t="array" ref="F3572">_xlfn.XLOOKUP(C3572,Account_Master!A:A,Account_Master!B:B,"Not on master")</f>
        <v>0</v>
      </c>
      <c r="G3572" cm="1">
        <f t="array" ref="G3572">_xlfn.XLOOKUP(C3572,Account_Master!A:A,Account_Master!C:C,"Not on master")</f>
        <v>0</v>
      </c>
      <c r="H3572" s="6">
        <v>4.5</v>
      </c>
      <c r="I3572" s="6">
        <v>4.5</v>
      </c>
      <c r="J3572" s="6">
        <f>I3572-H3572</f>
        <v>0</v>
      </c>
      <c r="K3572" s="5">
        <f>IF(H3572=0,"",J3572/H3572)</f>
        <v>0</v>
      </c>
      <c r="L3572">
        <f>IF(OR(AND(H3572=0,ABS(J3572)&gt;=0.01),AND(H3572&lt;&gt;0,ABS(K3572)&gt;VarianceThreshold)),"Review","OK")</f>
        <v>0</v>
      </c>
      <c r="M3572" t="s">
        <v>33</v>
      </c>
    </row>
    <row r="3573" spans="1:13">
      <c r="A3573" t="s">
        <v>5</v>
      </c>
      <c r="B3573" t="s">
        <v>746</v>
      </c>
      <c r="C3573" t="s">
        <v>2862</v>
      </c>
      <c r="D3573" t="s">
        <v>510</v>
      </c>
      <c r="E3573" cm="1">
        <f t="array" ref="E3573">_xlfn.XLOOKUP(D3573,SKU_Master!A:A,SKU_Master!B:B,"Not on master")</f>
        <v>0</v>
      </c>
      <c r="F3573" cm="1">
        <f t="array" ref="F3573">_xlfn.XLOOKUP(C3573,Account_Master!A:A,Account_Master!B:B,"Not on master")</f>
        <v>0</v>
      </c>
      <c r="G3573" cm="1">
        <f t="array" ref="G3573">_xlfn.XLOOKUP(C3573,Account_Master!A:A,Account_Master!C:C,"Not on master")</f>
        <v>0</v>
      </c>
      <c r="H3573" s="6">
        <v>2.25</v>
      </c>
      <c r="I3573" s="6">
        <v>2.25</v>
      </c>
      <c r="J3573" s="6">
        <f>I3573-H3573</f>
        <v>0</v>
      </c>
      <c r="K3573" s="5">
        <f>IF(H3573=0,"",J3573/H3573)</f>
        <v>0</v>
      </c>
      <c r="L3573">
        <f>IF(OR(AND(H3573=0,ABS(J3573)&gt;=0.01),AND(H3573&lt;&gt;0,ABS(K3573)&gt;VarianceThreshold)),"Review","OK")</f>
        <v>0</v>
      </c>
      <c r="M3573" t="s">
        <v>33</v>
      </c>
    </row>
    <row r="3574" spans="1:13">
      <c r="A3574" t="s">
        <v>5</v>
      </c>
      <c r="B3574" t="s">
        <v>755</v>
      </c>
      <c r="C3574" t="s">
        <v>1954</v>
      </c>
      <c r="D3574" t="s">
        <v>2961</v>
      </c>
      <c r="E3574" cm="1">
        <f t="array" ref="E3574">_xlfn.XLOOKUP(D3574,SKU_Master!A:A,SKU_Master!B:B,"Not on master")</f>
        <v>0</v>
      </c>
      <c r="F3574" cm="1">
        <f t="array" ref="F3574">_xlfn.XLOOKUP(C3574,Account_Master!A:A,Account_Master!B:B,"Not on master")</f>
        <v>0</v>
      </c>
      <c r="G3574" cm="1">
        <f t="array" ref="G3574">_xlfn.XLOOKUP(C3574,Account_Master!A:A,Account_Master!C:C,"Not on master")</f>
        <v>0</v>
      </c>
      <c r="H3574" s="6">
        <v>0.6</v>
      </c>
      <c r="I3574" s="6">
        <v>0.6</v>
      </c>
      <c r="J3574" s="6">
        <f>I3574-H3574</f>
        <v>0</v>
      </c>
      <c r="K3574" s="5">
        <f>IF(H3574=0,"",J3574/H3574)</f>
        <v>0</v>
      </c>
      <c r="L3574">
        <f>IF(OR(AND(H3574=0,ABS(J3574)&gt;=0.01),AND(H3574&lt;&gt;0,ABS(K3574)&gt;VarianceThreshold)),"Review","OK")</f>
        <v>0</v>
      </c>
      <c r="M3574" t="s">
        <v>33</v>
      </c>
    </row>
    <row r="3575" spans="1:13">
      <c r="A3575" t="s">
        <v>5</v>
      </c>
      <c r="B3575" t="s">
        <v>755</v>
      </c>
      <c r="C3575" t="s">
        <v>2814</v>
      </c>
      <c r="D3575" t="s">
        <v>42</v>
      </c>
      <c r="E3575" cm="1">
        <f t="array" ref="E3575">_xlfn.XLOOKUP(D3575,SKU_Master!A:A,SKU_Master!B:B,"Not on master")</f>
        <v>0</v>
      </c>
      <c r="F3575" cm="1">
        <f t="array" ref="F3575">_xlfn.XLOOKUP(C3575,Account_Master!A:A,Account_Master!B:B,"Not on master")</f>
        <v>0</v>
      </c>
      <c r="G3575" cm="1">
        <f t="array" ref="G3575">_xlfn.XLOOKUP(C3575,Account_Master!A:A,Account_Master!C:C,"Not on master")</f>
        <v>0</v>
      </c>
      <c r="H3575" s="6">
        <v>2.25</v>
      </c>
      <c r="I3575" s="6">
        <v>2.25</v>
      </c>
      <c r="J3575" s="6">
        <f>I3575-H3575</f>
        <v>0</v>
      </c>
      <c r="K3575" s="5">
        <f>IF(H3575=0,"",J3575/H3575)</f>
        <v>0</v>
      </c>
      <c r="L3575">
        <f>IF(OR(AND(H3575=0,ABS(J3575)&gt;=0.01),AND(H3575&lt;&gt;0,ABS(K3575)&gt;VarianceThreshold)),"Review","OK")</f>
        <v>0</v>
      </c>
      <c r="M3575" t="s">
        <v>33</v>
      </c>
    </row>
    <row r="3576" spans="1:13">
      <c r="A3576" t="s">
        <v>5</v>
      </c>
      <c r="B3576" t="s">
        <v>765</v>
      </c>
      <c r="C3576" t="s">
        <v>2778</v>
      </c>
      <c r="D3576" t="s">
        <v>2962</v>
      </c>
      <c r="E3576" cm="1">
        <f t="array" ref="E3576">_xlfn.XLOOKUP(D3576,SKU_Master!A:A,SKU_Master!B:B,"Not on master")</f>
        <v>0</v>
      </c>
      <c r="F3576" cm="1">
        <f t="array" ref="F3576">_xlfn.XLOOKUP(C3576,Account_Master!A:A,Account_Master!B:B,"Not on master")</f>
        <v>0</v>
      </c>
      <c r="G3576" cm="1">
        <f t="array" ref="G3576">_xlfn.XLOOKUP(C3576,Account_Master!A:A,Account_Master!C:C,"Not on master")</f>
        <v>0</v>
      </c>
      <c r="H3576" s="6">
        <v>6.75</v>
      </c>
      <c r="I3576" s="6">
        <v>6.75</v>
      </c>
      <c r="J3576" s="6">
        <f>I3576-H3576</f>
        <v>0</v>
      </c>
      <c r="K3576" s="5">
        <f>IF(H3576=0,"",J3576/H3576)</f>
        <v>0</v>
      </c>
      <c r="L3576">
        <f>IF(OR(AND(H3576=0,ABS(J3576)&gt;=0.01),AND(H3576&lt;&gt;0,ABS(K3576)&gt;VarianceThreshold)),"Review","OK")</f>
        <v>0</v>
      </c>
      <c r="M3576" t="s">
        <v>33</v>
      </c>
    </row>
    <row r="3577" spans="1:13">
      <c r="A3577" t="s">
        <v>5</v>
      </c>
      <c r="B3577" t="s">
        <v>765</v>
      </c>
      <c r="C3577" t="s">
        <v>2868</v>
      </c>
      <c r="D3577" t="s">
        <v>1966</v>
      </c>
      <c r="E3577" cm="1">
        <f t="array" ref="E3577">_xlfn.XLOOKUP(D3577,SKU_Master!A:A,SKU_Master!B:B,"Not on master")</f>
        <v>0</v>
      </c>
      <c r="F3577" cm="1">
        <f t="array" ref="F3577">_xlfn.XLOOKUP(C3577,Account_Master!A:A,Account_Master!B:B,"Not on master")</f>
        <v>0</v>
      </c>
      <c r="G3577" cm="1">
        <f t="array" ref="G3577">_xlfn.XLOOKUP(C3577,Account_Master!A:A,Account_Master!C:C,"Not on master")</f>
        <v>0</v>
      </c>
      <c r="H3577" s="6">
        <v>27.6</v>
      </c>
      <c r="I3577" s="6">
        <v>27.6</v>
      </c>
      <c r="J3577" s="6">
        <f>I3577-H3577</f>
        <v>0</v>
      </c>
      <c r="K3577" s="5">
        <f>IF(H3577=0,"",J3577/H3577)</f>
        <v>0</v>
      </c>
      <c r="L3577">
        <f>IF(OR(AND(H3577=0,ABS(J3577)&gt;=0.01),AND(H3577&lt;&gt;0,ABS(K3577)&gt;VarianceThreshold)),"Review","OK")</f>
        <v>0</v>
      </c>
      <c r="M3577" t="s">
        <v>33</v>
      </c>
    </row>
    <row r="3578" spans="1:13">
      <c r="A3578" t="s">
        <v>5</v>
      </c>
      <c r="B3578" t="s">
        <v>765</v>
      </c>
      <c r="C3578" t="s">
        <v>2963</v>
      </c>
      <c r="D3578" t="s">
        <v>360</v>
      </c>
      <c r="E3578" cm="1">
        <f t="array" ref="E3578">_xlfn.XLOOKUP(D3578,SKU_Master!A:A,SKU_Master!B:B,"Not on master")</f>
        <v>0</v>
      </c>
      <c r="F3578" cm="1">
        <f t="array" ref="F3578">_xlfn.XLOOKUP(C3578,Account_Master!A:A,Account_Master!B:B,"Not on master")</f>
        <v>0</v>
      </c>
      <c r="G3578" cm="1">
        <f t="array" ref="G3578">_xlfn.XLOOKUP(C3578,Account_Master!A:A,Account_Master!C:C,"Not on master")</f>
        <v>0</v>
      </c>
      <c r="H3578" s="6">
        <v>3</v>
      </c>
      <c r="I3578" s="6">
        <v>3</v>
      </c>
      <c r="J3578" s="6">
        <f>I3578-H3578</f>
        <v>0</v>
      </c>
      <c r="K3578" s="5">
        <f>IF(H3578=0,"",J3578/H3578)</f>
        <v>0</v>
      </c>
      <c r="L3578">
        <f>IF(OR(AND(H3578=0,ABS(J3578)&gt;=0.01),AND(H3578&lt;&gt;0,ABS(K3578)&gt;VarianceThreshold)),"Review","OK")</f>
        <v>0</v>
      </c>
      <c r="M3578" t="s">
        <v>33</v>
      </c>
    </row>
    <row r="3579" spans="1:13">
      <c r="A3579" t="s">
        <v>5</v>
      </c>
      <c r="B3579" t="s">
        <v>765</v>
      </c>
      <c r="C3579" t="s">
        <v>2769</v>
      </c>
      <c r="D3579" t="s">
        <v>1336</v>
      </c>
      <c r="E3579" cm="1">
        <f t="array" ref="E3579">_xlfn.XLOOKUP(D3579,SKU_Master!A:A,SKU_Master!B:B,"Not on master")</f>
        <v>0</v>
      </c>
      <c r="F3579" cm="1">
        <f t="array" ref="F3579">_xlfn.XLOOKUP(C3579,Account_Master!A:A,Account_Master!B:B,"Not on master")</f>
        <v>0</v>
      </c>
      <c r="G3579" cm="1">
        <f t="array" ref="G3579">_xlfn.XLOOKUP(C3579,Account_Master!A:A,Account_Master!C:C,"Not on master")</f>
        <v>0</v>
      </c>
      <c r="H3579" s="6">
        <v>10.5</v>
      </c>
      <c r="I3579" s="6">
        <v>10.5</v>
      </c>
      <c r="J3579" s="6">
        <f>I3579-H3579</f>
        <v>0</v>
      </c>
      <c r="K3579" s="5">
        <f>IF(H3579=0,"",J3579/H3579)</f>
        <v>0</v>
      </c>
      <c r="L3579">
        <f>IF(OR(AND(H3579=0,ABS(J3579)&gt;=0.01),AND(H3579&lt;&gt;0,ABS(K3579)&gt;VarianceThreshold)),"Review","OK")</f>
        <v>0</v>
      </c>
      <c r="M3579" t="s">
        <v>33</v>
      </c>
    </row>
    <row r="3580" spans="1:13">
      <c r="A3580" t="s">
        <v>5</v>
      </c>
      <c r="B3580" t="s">
        <v>765</v>
      </c>
      <c r="C3580" t="s">
        <v>2800</v>
      </c>
      <c r="D3580" t="s">
        <v>2964</v>
      </c>
      <c r="E3580" cm="1">
        <f t="array" ref="E3580">_xlfn.XLOOKUP(D3580,SKU_Master!A:A,SKU_Master!B:B,"Not on master")</f>
        <v>0</v>
      </c>
      <c r="F3580" cm="1">
        <f t="array" ref="F3580">_xlfn.XLOOKUP(C3580,Account_Master!A:A,Account_Master!B:B,"Not on master")</f>
        <v>0</v>
      </c>
      <c r="G3580" cm="1">
        <f t="array" ref="G3580">_xlfn.XLOOKUP(C3580,Account_Master!A:A,Account_Master!C:C,"Not on master")</f>
        <v>0</v>
      </c>
      <c r="H3580" s="6">
        <v>4.5</v>
      </c>
      <c r="I3580" s="6">
        <v>4.5</v>
      </c>
      <c r="J3580" s="6">
        <f>I3580-H3580</f>
        <v>0</v>
      </c>
      <c r="K3580" s="5">
        <f>IF(H3580=0,"",J3580/H3580)</f>
        <v>0</v>
      </c>
      <c r="L3580">
        <f>IF(OR(AND(H3580=0,ABS(J3580)&gt;=0.01),AND(H3580&lt;&gt;0,ABS(K3580)&gt;VarianceThreshold)),"Review","OK")</f>
        <v>0</v>
      </c>
      <c r="M3580" t="s">
        <v>33</v>
      </c>
    </row>
    <row r="3581" spans="1:13">
      <c r="A3581" t="s">
        <v>5</v>
      </c>
      <c r="B3581" t="s">
        <v>775</v>
      </c>
      <c r="C3581" t="s">
        <v>2763</v>
      </c>
      <c r="D3581" t="s">
        <v>2965</v>
      </c>
      <c r="E3581" cm="1">
        <f t="array" ref="E3581">_xlfn.XLOOKUP(D3581,SKU_Master!A:A,SKU_Master!B:B,"Not on master")</f>
        <v>0</v>
      </c>
      <c r="F3581" cm="1">
        <f t="array" ref="F3581">_xlfn.XLOOKUP(C3581,Account_Master!A:A,Account_Master!B:B,"Not on master")</f>
        <v>0</v>
      </c>
      <c r="G3581" cm="1">
        <f t="array" ref="G3581">_xlfn.XLOOKUP(C3581,Account_Master!A:A,Account_Master!C:C,"Not on master")</f>
        <v>0</v>
      </c>
      <c r="H3581" s="6">
        <v>0.75</v>
      </c>
      <c r="I3581" s="6">
        <v>0.75</v>
      </c>
      <c r="J3581" s="6">
        <f>I3581-H3581</f>
        <v>0</v>
      </c>
      <c r="K3581" s="5">
        <f>IF(H3581=0,"",J3581/H3581)</f>
        <v>0</v>
      </c>
      <c r="L3581">
        <f>IF(OR(AND(H3581=0,ABS(J3581)&gt;=0.01),AND(H3581&lt;&gt;0,ABS(K3581)&gt;VarianceThreshold)),"Review","OK")</f>
        <v>0</v>
      </c>
      <c r="M3581" t="s">
        <v>33</v>
      </c>
    </row>
    <row r="3582" spans="1:13">
      <c r="A3582" t="s">
        <v>5</v>
      </c>
      <c r="B3582" t="s">
        <v>775</v>
      </c>
      <c r="C3582" t="s">
        <v>2966</v>
      </c>
      <c r="D3582" t="s">
        <v>626</v>
      </c>
      <c r="E3582" cm="1">
        <f t="array" ref="E3582">_xlfn.XLOOKUP(D3582,SKU_Master!A:A,SKU_Master!B:B,"Not on master")</f>
        <v>0</v>
      </c>
      <c r="F3582" cm="1">
        <f t="array" ref="F3582">_xlfn.XLOOKUP(C3582,Account_Master!A:A,Account_Master!B:B,"Not on master")</f>
        <v>0</v>
      </c>
      <c r="G3582" cm="1">
        <f t="array" ref="G3582">_xlfn.XLOOKUP(C3582,Account_Master!A:A,Account_Master!C:C,"Not on master")</f>
        <v>0</v>
      </c>
      <c r="H3582" s="6">
        <v>19.5</v>
      </c>
      <c r="I3582" s="6">
        <v>19.5</v>
      </c>
      <c r="J3582" s="6">
        <f>I3582-H3582</f>
        <v>0</v>
      </c>
      <c r="K3582" s="5">
        <f>IF(H3582=0,"",J3582/H3582)</f>
        <v>0</v>
      </c>
      <c r="L3582">
        <f>IF(OR(AND(H3582=0,ABS(J3582)&gt;=0.01),AND(H3582&lt;&gt;0,ABS(K3582)&gt;VarianceThreshold)),"Review","OK")</f>
        <v>0</v>
      </c>
      <c r="M3582" t="s">
        <v>33</v>
      </c>
    </row>
    <row r="3583" spans="1:13">
      <c r="A3583" t="s">
        <v>5</v>
      </c>
      <c r="B3583" t="s">
        <v>775</v>
      </c>
      <c r="C3583" t="s">
        <v>2750</v>
      </c>
      <c r="D3583" t="s">
        <v>2002</v>
      </c>
      <c r="E3583" cm="1">
        <f t="array" ref="E3583">_xlfn.XLOOKUP(D3583,SKU_Master!A:A,SKU_Master!B:B,"Not on master")</f>
        <v>0</v>
      </c>
      <c r="F3583" cm="1">
        <f t="array" ref="F3583">_xlfn.XLOOKUP(C3583,Account_Master!A:A,Account_Master!B:B,"Not on master")</f>
        <v>0</v>
      </c>
      <c r="G3583" cm="1">
        <f t="array" ref="G3583">_xlfn.XLOOKUP(C3583,Account_Master!A:A,Account_Master!C:C,"Not on master")</f>
        <v>0</v>
      </c>
      <c r="H3583" s="6">
        <v>11.25</v>
      </c>
      <c r="I3583" s="6">
        <v>11.25</v>
      </c>
      <c r="J3583" s="6">
        <f>I3583-H3583</f>
        <v>0</v>
      </c>
      <c r="K3583" s="5">
        <f>IF(H3583=0,"",J3583/H3583)</f>
        <v>0</v>
      </c>
      <c r="L3583">
        <f>IF(OR(AND(H3583=0,ABS(J3583)&gt;=0.01),AND(H3583&lt;&gt;0,ABS(K3583)&gt;VarianceThreshold)),"Review","OK")</f>
        <v>0</v>
      </c>
      <c r="M3583" t="s">
        <v>33</v>
      </c>
    </row>
    <row r="3584" spans="1:13">
      <c r="A3584" t="s">
        <v>5</v>
      </c>
      <c r="B3584" t="s">
        <v>775</v>
      </c>
      <c r="C3584" t="s">
        <v>2799</v>
      </c>
      <c r="D3584" t="s">
        <v>736</v>
      </c>
      <c r="E3584" cm="1">
        <f t="array" ref="E3584">_xlfn.XLOOKUP(D3584,SKU_Master!A:A,SKU_Master!B:B,"Not on master")</f>
        <v>0</v>
      </c>
      <c r="F3584" cm="1">
        <f t="array" ref="F3584">_xlfn.XLOOKUP(C3584,Account_Master!A:A,Account_Master!B:B,"Not on master")</f>
        <v>0</v>
      </c>
      <c r="G3584" cm="1">
        <f t="array" ref="G3584">_xlfn.XLOOKUP(C3584,Account_Master!A:A,Account_Master!C:C,"Not on master")</f>
        <v>0</v>
      </c>
      <c r="H3584" s="6">
        <v>19.25</v>
      </c>
      <c r="I3584" s="6">
        <v>19.25</v>
      </c>
      <c r="J3584" s="6">
        <f>I3584-H3584</f>
        <v>0</v>
      </c>
      <c r="K3584" s="5">
        <f>IF(H3584=0,"",J3584/H3584)</f>
        <v>0</v>
      </c>
      <c r="L3584">
        <f>IF(OR(AND(H3584=0,ABS(J3584)&gt;=0.01),AND(H3584&lt;&gt;0,ABS(K3584)&gt;VarianceThreshold)),"Review","OK")</f>
        <v>0</v>
      </c>
      <c r="M3584" t="s">
        <v>33</v>
      </c>
    </row>
    <row r="3585" spans="1:13">
      <c r="A3585" t="s">
        <v>5</v>
      </c>
      <c r="B3585" t="s">
        <v>779</v>
      </c>
      <c r="C3585" t="s">
        <v>2911</v>
      </c>
      <c r="D3585" t="s">
        <v>1494</v>
      </c>
      <c r="E3585" cm="1">
        <f t="array" ref="E3585">_xlfn.XLOOKUP(D3585,SKU_Master!A:A,SKU_Master!B:B,"Not on master")</f>
        <v>0</v>
      </c>
      <c r="F3585" cm="1">
        <f t="array" ref="F3585">_xlfn.XLOOKUP(C3585,Account_Master!A:A,Account_Master!B:B,"Not on master")</f>
        <v>0</v>
      </c>
      <c r="G3585" cm="1">
        <f t="array" ref="G3585">_xlfn.XLOOKUP(C3585,Account_Master!A:A,Account_Master!C:C,"Not on master")</f>
        <v>0</v>
      </c>
      <c r="H3585" s="6">
        <v>17.5</v>
      </c>
      <c r="I3585" s="6">
        <v>17.5</v>
      </c>
      <c r="J3585" s="6">
        <f>I3585-H3585</f>
        <v>0</v>
      </c>
      <c r="K3585" s="5">
        <f>IF(H3585=0,"",J3585/H3585)</f>
        <v>0</v>
      </c>
      <c r="L3585">
        <f>IF(OR(AND(H3585=0,ABS(J3585)&gt;=0.01),AND(H3585&lt;&gt;0,ABS(K3585)&gt;VarianceThreshold)),"Review","OK")</f>
        <v>0</v>
      </c>
      <c r="M3585" t="s">
        <v>33</v>
      </c>
    </row>
    <row r="3586" spans="1:13">
      <c r="A3586" t="s">
        <v>5</v>
      </c>
      <c r="B3586" t="s">
        <v>779</v>
      </c>
      <c r="C3586" t="s">
        <v>2746</v>
      </c>
      <c r="D3586" t="s">
        <v>1342</v>
      </c>
      <c r="E3586" cm="1">
        <f t="array" ref="E3586">_xlfn.XLOOKUP(D3586,SKU_Master!A:A,SKU_Master!B:B,"Not on master")</f>
        <v>0</v>
      </c>
      <c r="F3586" cm="1">
        <f t="array" ref="F3586">_xlfn.XLOOKUP(C3586,Account_Master!A:A,Account_Master!B:B,"Not on master")</f>
        <v>0</v>
      </c>
      <c r="G3586" cm="1">
        <f t="array" ref="G3586">_xlfn.XLOOKUP(C3586,Account_Master!A:A,Account_Master!C:C,"Not on master")</f>
        <v>0</v>
      </c>
      <c r="H3586" s="6">
        <v>47.25</v>
      </c>
      <c r="I3586" s="6">
        <v>47.25</v>
      </c>
      <c r="J3586" s="6">
        <f>I3586-H3586</f>
        <v>0</v>
      </c>
      <c r="K3586" s="5">
        <f>IF(H3586=0,"",J3586/H3586)</f>
        <v>0</v>
      </c>
      <c r="L3586">
        <f>IF(OR(AND(H3586=0,ABS(J3586)&gt;=0.01),AND(H3586&lt;&gt;0,ABS(K3586)&gt;VarianceThreshold)),"Review","OK")</f>
        <v>0</v>
      </c>
      <c r="M3586" t="s">
        <v>33</v>
      </c>
    </row>
    <row r="3587" spans="1:13">
      <c r="A3587" t="s">
        <v>5</v>
      </c>
      <c r="B3587" t="s">
        <v>779</v>
      </c>
      <c r="C3587" t="s">
        <v>2763</v>
      </c>
      <c r="D3587" t="s">
        <v>884</v>
      </c>
      <c r="E3587" cm="1">
        <f t="array" ref="E3587">_xlfn.XLOOKUP(D3587,SKU_Master!A:A,SKU_Master!B:B,"Not on master")</f>
        <v>0</v>
      </c>
      <c r="F3587" cm="1">
        <f t="array" ref="F3587">_xlfn.XLOOKUP(C3587,Account_Master!A:A,Account_Master!B:B,"Not on master")</f>
        <v>0</v>
      </c>
      <c r="G3587" cm="1">
        <f t="array" ref="G3587">_xlfn.XLOOKUP(C3587,Account_Master!A:A,Account_Master!C:C,"Not on master")</f>
        <v>0</v>
      </c>
      <c r="H3587" s="6">
        <v>9</v>
      </c>
      <c r="I3587" s="6">
        <v>9</v>
      </c>
      <c r="J3587" s="6">
        <f>I3587-H3587</f>
        <v>0</v>
      </c>
      <c r="K3587" s="5">
        <f>IF(H3587=0,"",J3587/H3587)</f>
        <v>0</v>
      </c>
      <c r="L3587">
        <f>IF(OR(AND(H3587=0,ABS(J3587)&gt;=0.01),AND(H3587&lt;&gt;0,ABS(K3587)&gt;VarianceThreshold)),"Review","OK")</f>
        <v>0</v>
      </c>
      <c r="M3587" t="s">
        <v>33</v>
      </c>
    </row>
    <row r="3588" spans="1:13">
      <c r="A3588" t="s">
        <v>5</v>
      </c>
      <c r="B3588" t="s">
        <v>779</v>
      </c>
      <c r="C3588" t="s">
        <v>2765</v>
      </c>
      <c r="D3588" t="s">
        <v>2967</v>
      </c>
      <c r="E3588" cm="1">
        <f t="array" ref="E3588">_xlfn.XLOOKUP(D3588,SKU_Master!A:A,SKU_Master!B:B,"Not on master")</f>
        <v>0</v>
      </c>
      <c r="F3588" cm="1">
        <f t="array" ref="F3588">_xlfn.XLOOKUP(C3588,Account_Master!A:A,Account_Master!B:B,"Not on master")</f>
        <v>0</v>
      </c>
      <c r="G3588" cm="1">
        <f t="array" ref="G3588">_xlfn.XLOOKUP(C3588,Account_Master!A:A,Account_Master!C:C,"Not on master")</f>
        <v>0</v>
      </c>
      <c r="H3588" s="6">
        <v>1.5</v>
      </c>
      <c r="I3588" s="6">
        <v>1.5</v>
      </c>
      <c r="J3588" s="6">
        <f>I3588-H3588</f>
        <v>0</v>
      </c>
      <c r="K3588" s="5">
        <f>IF(H3588=0,"",J3588/H3588)</f>
        <v>0</v>
      </c>
      <c r="L3588">
        <f>IF(OR(AND(H3588=0,ABS(J3588)&gt;=0.01),AND(H3588&lt;&gt;0,ABS(K3588)&gt;VarianceThreshold)),"Review","OK")</f>
        <v>0</v>
      </c>
      <c r="M3588" t="s">
        <v>33</v>
      </c>
    </row>
    <row r="3589" spans="1:13">
      <c r="A3589" t="s">
        <v>5</v>
      </c>
      <c r="B3589" t="s">
        <v>779</v>
      </c>
      <c r="C3589" t="s">
        <v>2754</v>
      </c>
      <c r="D3589" t="s">
        <v>2407</v>
      </c>
      <c r="E3589" cm="1">
        <f t="array" ref="E3589">_xlfn.XLOOKUP(D3589,SKU_Master!A:A,SKU_Master!B:B,"Not on master")</f>
        <v>0</v>
      </c>
      <c r="F3589" cm="1">
        <f t="array" ref="F3589">_xlfn.XLOOKUP(C3589,Account_Master!A:A,Account_Master!B:B,"Not on master")</f>
        <v>0</v>
      </c>
      <c r="G3589" cm="1">
        <f t="array" ref="G3589">_xlfn.XLOOKUP(C3589,Account_Master!A:A,Account_Master!C:C,"Not on master")</f>
        <v>0</v>
      </c>
      <c r="H3589" s="6">
        <v>15.75</v>
      </c>
      <c r="I3589" s="6">
        <v>15.75</v>
      </c>
      <c r="J3589" s="6">
        <f>I3589-H3589</f>
        <v>0</v>
      </c>
      <c r="K3589" s="5">
        <f>IF(H3589=0,"",J3589/H3589)</f>
        <v>0</v>
      </c>
      <c r="L3589">
        <f>IF(OR(AND(H3589=0,ABS(J3589)&gt;=0.01),AND(H3589&lt;&gt;0,ABS(K3589)&gt;VarianceThreshold)),"Review","OK")</f>
        <v>0</v>
      </c>
      <c r="M3589" t="s">
        <v>33</v>
      </c>
    </row>
    <row r="3590" spans="1:13">
      <c r="A3590" t="s">
        <v>5</v>
      </c>
      <c r="B3590" t="s">
        <v>779</v>
      </c>
      <c r="C3590" t="s">
        <v>2769</v>
      </c>
      <c r="D3590" t="s">
        <v>965</v>
      </c>
      <c r="E3590" cm="1">
        <f t="array" ref="E3590">_xlfn.XLOOKUP(D3590,SKU_Master!A:A,SKU_Master!B:B,"Not on master")</f>
        <v>0</v>
      </c>
      <c r="F3590" cm="1">
        <f t="array" ref="F3590">_xlfn.XLOOKUP(C3590,Account_Master!A:A,Account_Master!B:B,"Not on master")</f>
        <v>0</v>
      </c>
      <c r="G3590" cm="1">
        <f t="array" ref="G3590">_xlfn.XLOOKUP(C3590,Account_Master!A:A,Account_Master!C:C,"Not on master")</f>
        <v>0</v>
      </c>
      <c r="H3590" s="6">
        <v>33</v>
      </c>
      <c r="I3590" s="6">
        <v>33</v>
      </c>
      <c r="J3590" s="6">
        <f>I3590-H3590</f>
        <v>0</v>
      </c>
      <c r="K3590" s="5">
        <f>IF(H3590=0,"",J3590/H3590)</f>
        <v>0</v>
      </c>
      <c r="L3590">
        <f>IF(OR(AND(H3590=0,ABS(J3590)&gt;=0.01),AND(H3590&lt;&gt;0,ABS(K3590)&gt;VarianceThreshold)),"Review","OK")</f>
        <v>0</v>
      </c>
      <c r="M3590" t="s">
        <v>33</v>
      </c>
    </row>
    <row r="3591" spans="1:13">
      <c r="A3591" t="s">
        <v>5</v>
      </c>
      <c r="B3591" t="s">
        <v>788</v>
      </c>
      <c r="C3591" t="s">
        <v>2796</v>
      </c>
      <c r="D3591" t="s">
        <v>405</v>
      </c>
      <c r="E3591" cm="1">
        <f t="array" ref="E3591">_xlfn.XLOOKUP(D3591,SKU_Master!A:A,SKU_Master!B:B,"Not on master")</f>
        <v>0</v>
      </c>
      <c r="F3591" cm="1">
        <f t="array" ref="F3591">_xlfn.XLOOKUP(C3591,Account_Master!A:A,Account_Master!B:B,"Not on master")</f>
        <v>0</v>
      </c>
      <c r="G3591" cm="1">
        <f t="array" ref="G3591">_xlfn.XLOOKUP(C3591,Account_Master!A:A,Account_Master!C:C,"Not on master")</f>
        <v>0</v>
      </c>
      <c r="H3591" s="6">
        <v>9</v>
      </c>
      <c r="I3591" s="6">
        <v>9</v>
      </c>
      <c r="J3591" s="6">
        <f>I3591-H3591</f>
        <v>0</v>
      </c>
      <c r="K3591" s="5">
        <f>IF(H3591=0,"",J3591/H3591)</f>
        <v>0</v>
      </c>
      <c r="L3591">
        <f>IF(OR(AND(H3591=0,ABS(J3591)&gt;=0.01),AND(H3591&lt;&gt;0,ABS(K3591)&gt;VarianceThreshold)),"Review","OK")</f>
        <v>0</v>
      </c>
      <c r="M3591" t="s">
        <v>33</v>
      </c>
    </row>
    <row r="3592" spans="1:13">
      <c r="A3592" t="s">
        <v>5</v>
      </c>
      <c r="B3592" t="s">
        <v>788</v>
      </c>
      <c r="C3592" t="s">
        <v>2968</v>
      </c>
      <c r="D3592" t="s">
        <v>1886</v>
      </c>
      <c r="E3592" cm="1">
        <f t="array" ref="E3592">_xlfn.XLOOKUP(D3592,SKU_Master!A:A,SKU_Master!B:B,"Not on master")</f>
        <v>0</v>
      </c>
      <c r="F3592" cm="1">
        <f t="array" ref="F3592">_xlfn.XLOOKUP(C3592,Account_Master!A:A,Account_Master!B:B,"Not on master")</f>
        <v>0</v>
      </c>
      <c r="G3592" cm="1">
        <f t="array" ref="G3592">_xlfn.XLOOKUP(C3592,Account_Master!A:A,Account_Master!C:C,"Not on master")</f>
        <v>0</v>
      </c>
      <c r="H3592" s="6">
        <v>53.25</v>
      </c>
      <c r="I3592" s="6">
        <v>53.25</v>
      </c>
      <c r="J3592" s="6">
        <f>I3592-H3592</f>
        <v>0</v>
      </c>
      <c r="K3592" s="5">
        <f>IF(H3592=0,"",J3592/H3592)</f>
        <v>0</v>
      </c>
      <c r="L3592">
        <f>IF(OR(AND(H3592=0,ABS(J3592)&gt;=0.01),AND(H3592&lt;&gt;0,ABS(K3592)&gt;VarianceThreshold)),"Review","OK")</f>
        <v>0</v>
      </c>
      <c r="M3592" t="s">
        <v>33</v>
      </c>
    </row>
    <row r="3593" spans="1:13">
      <c r="A3593" t="s">
        <v>5</v>
      </c>
      <c r="B3593" t="s">
        <v>788</v>
      </c>
      <c r="C3593" t="s">
        <v>2769</v>
      </c>
      <c r="D3593" t="s">
        <v>141</v>
      </c>
      <c r="E3593" cm="1">
        <f t="array" ref="E3593">_xlfn.XLOOKUP(D3593,SKU_Master!A:A,SKU_Master!B:B,"Not on master")</f>
        <v>0</v>
      </c>
      <c r="F3593" cm="1">
        <f t="array" ref="F3593">_xlfn.XLOOKUP(C3593,Account_Master!A:A,Account_Master!B:B,"Not on master")</f>
        <v>0</v>
      </c>
      <c r="G3593" cm="1">
        <f t="array" ref="G3593">_xlfn.XLOOKUP(C3593,Account_Master!A:A,Account_Master!C:C,"Not on master")</f>
        <v>0</v>
      </c>
      <c r="H3593" s="6">
        <v>4.5</v>
      </c>
      <c r="I3593" s="6">
        <v>4.5</v>
      </c>
      <c r="J3593" s="6">
        <f>I3593-H3593</f>
        <v>0</v>
      </c>
      <c r="K3593" s="5">
        <f>IF(H3593=0,"",J3593/H3593)</f>
        <v>0</v>
      </c>
      <c r="L3593">
        <f>IF(OR(AND(H3593=0,ABS(J3593)&gt;=0.01),AND(H3593&lt;&gt;0,ABS(K3593)&gt;VarianceThreshold)),"Review","OK")</f>
        <v>0</v>
      </c>
      <c r="M3593" t="s">
        <v>33</v>
      </c>
    </row>
    <row r="3594" spans="1:13">
      <c r="A3594" t="s">
        <v>5</v>
      </c>
      <c r="B3594" t="s">
        <v>799</v>
      </c>
      <c r="C3594" t="s">
        <v>2818</v>
      </c>
      <c r="D3594" t="s">
        <v>2969</v>
      </c>
      <c r="E3594" cm="1">
        <f t="array" ref="E3594">_xlfn.XLOOKUP(D3594,SKU_Master!A:A,SKU_Master!B:B,"Not on master")</f>
        <v>0</v>
      </c>
      <c r="F3594" cm="1">
        <f t="array" ref="F3594">_xlfn.XLOOKUP(C3594,Account_Master!A:A,Account_Master!B:B,"Not on master")</f>
        <v>0</v>
      </c>
      <c r="G3594" cm="1">
        <f t="array" ref="G3594">_xlfn.XLOOKUP(C3594,Account_Master!A:A,Account_Master!C:C,"Not on master")</f>
        <v>0</v>
      </c>
      <c r="H3594" s="6">
        <v>1.5</v>
      </c>
      <c r="I3594" s="6">
        <v>1.5</v>
      </c>
      <c r="J3594" s="6">
        <f>I3594-H3594</f>
        <v>0</v>
      </c>
      <c r="K3594" s="5">
        <f>IF(H3594=0,"",J3594/H3594)</f>
        <v>0</v>
      </c>
      <c r="L3594">
        <f>IF(OR(AND(H3594=0,ABS(J3594)&gt;=0.01),AND(H3594&lt;&gt;0,ABS(K3594)&gt;VarianceThreshold)),"Review","OK")</f>
        <v>0</v>
      </c>
      <c r="M3594" t="s">
        <v>33</v>
      </c>
    </row>
    <row r="3595" spans="1:13">
      <c r="A3595" t="s">
        <v>5</v>
      </c>
      <c r="B3595" t="s">
        <v>799</v>
      </c>
      <c r="C3595" t="s">
        <v>2802</v>
      </c>
      <c r="D3595" t="s">
        <v>417</v>
      </c>
      <c r="E3595" cm="1">
        <f t="array" ref="E3595">_xlfn.XLOOKUP(D3595,SKU_Master!A:A,SKU_Master!B:B,"Not on master")</f>
        <v>0</v>
      </c>
      <c r="F3595" cm="1">
        <f t="array" ref="F3595">_xlfn.XLOOKUP(C3595,Account_Master!A:A,Account_Master!B:B,"Not on master")</f>
        <v>0</v>
      </c>
      <c r="G3595" cm="1">
        <f t="array" ref="G3595">_xlfn.XLOOKUP(C3595,Account_Master!A:A,Account_Master!C:C,"Not on master")</f>
        <v>0</v>
      </c>
      <c r="H3595" s="6">
        <v>9</v>
      </c>
      <c r="I3595" s="6">
        <v>9</v>
      </c>
      <c r="J3595" s="6">
        <f>I3595-H3595</f>
        <v>0</v>
      </c>
      <c r="K3595" s="5">
        <f>IF(H3595=0,"",J3595/H3595)</f>
        <v>0</v>
      </c>
      <c r="L3595">
        <f>IF(OR(AND(H3595=0,ABS(J3595)&gt;=0.01),AND(H3595&lt;&gt;0,ABS(K3595)&gt;VarianceThreshold)),"Review","OK")</f>
        <v>0</v>
      </c>
      <c r="M3595" t="s">
        <v>33</v>
      </c>
    </row>
    <row r="3596" spans="1:13">
      <c r="A3596" t="s">
        <v>5</v>
      </c>
      <c r="B3596" t="s">
        <v>799</v>
      </c>
      <c r="C3596" t="s">
        <v>2797</v>
      </c>
      <c r="D3596" t="s">
        <v>58</v>
      </c>
      <c r="E3596" cm="1">
        <f t="array" ref="E3596">_xlfn.XLOOKUP(D3596,SKU_Master!A:A,SKU_Master!B:B,"Not on master")</f>
        <v>0</v>
      </c>
      <c r="F3596" cm="1">
        <f t="array" ref="F3596">_xlfn.XLOOKUP(C3596,Account_Master!A:A,Account_Master!B:B,"Not on master")</f>
        <v>0</v>
      </c>
      <c r="G3596" cm="1">
        <f t="array" ref="G3596">_xlfn.XLOOKUP(C3596,Account_Master!A:A,Account_Master!C:C,"Not on master")</f>
        <v>0</v>
      </c>
      <c r="H3596" s="6">
        <v>9</v>
      </c>
      <c r="I3596" s="6">
        <v>9</v>
      </c>
      <c r="J3596" s="6">
        <f>I3596-H3596</f>
        <v>0</v>
      </c>
      <c r="K3596" s="5">
        <f>IF(H3596=0,"",J3596/H3596)</f>
        <v>0</v>
      </c>
      <c r="L3596">
        <f>IF(OR(AND(H3596=0,ABS(J3596)&gt;=0.01),AND(H3596&lt;&gt;0,ABS(K3596)&gt;VarianceThreshold)),"Review","OK")</f>
        <v>0</v>
      </c>
      <c r="M3596" t="s">
        <v>33</v>
      </c>
    </row>
    <row r="3597" spans="1:13">
      <c r="A3597" t="s">
        <v>5</v>
      </c>
      <c r="B3597" t="s">
        <v>799</v>
      </c>
      <c r="C3597" t="s">
        <v>2840</v>
      </c>
      <c r="D3597" t="s">
        <v>767</v>
      </c>
      <c r="E3597" cm="1">
        <f t="array" ref="E3597">_xlfn.XLOOKUP(D3597,SKU_Master!A:A,SKU_Master!B:B,"Not on master")</f>
        <v>0</v>
      </c>
      <c r="F3597" cm="1">
        <f t="array" ref="F3597">_xlfn.XLOOKUP(C3597,Account_Master!A:A,Account_Master!B:B,"Not on master")</f>
        <v>0</v>
      </c>
      <c r="G3597" cm="1">
        <f t="array" ref="G3597">_xlfn.XLOOKUP(C3597,Account_Master!A:A,Account_Master!C:C,"Not on master")</f>
        <v>0</v>
      </c>
      <c r="H3597" s="6">
        <v>9</v>
      </c>
      <c r="I3597" s="6">
        <v>9</v>
      </c>
      <c r="J3597" s="6">
        <f>I3597-H3597</f>
        <v>0</v>
      </c>
      <c r="K3597" s="5">
        <f>IF(H3597=0,"",J3597/H3597)</f>
        <v>0</v>
      </c>
      <c r="L3597">
        <f>IF(OR(AND(H3597=0,ABS(J3597)&gt;=0.01),AND(H3597&lt;&gt;0,ABS(K3597)&gt;VarianceThreshold)),"Review","OK")</f>
        <v>0</v>
      </c>
      <c r="M3597" t="s">
        <v>33</v>
      </c>
    </row>
    <row r="3598" spans="1:13">
      <c r="A3598" t="s">
        <v>5</v>
      </c>
      <c r="B3598" t="s">
        <v>799</v>
      </c>
      <c r="C3598" t="s">
        <v>2775</v>
      </c>
      <c r="D3598" t="s">
        <v>525</v>
      </c>
      <c r="E3598" cm="1">
        <f t="array" ref="E3598">_xlfn.XLOOKUP(D3598,SKU_Master!A:A,SKU_Master!B:B,"Not on master")</f>
        <v>0</v>
      </c>
      <c r="F3598" cm="1">
        <f t="array" ref="F3598">_xlfn.XLOOKUP(C3598,Account_Master!A:A,Account_Master!B:B,"Not on master")</f>
        <v>0</v>
      </c>
      <c r="G3598" cm="1">
        <f t="array" ref="G3598">_xlfn.XLOOKUP(C3598,Account_Master!A:A,Account_Master!C:C,"Not on master")</f>
        <v>0</v>
      </c>
      <c r="H3598" s="6">
        <v>33.25</v>
      </c>
      <c r="I3598" s="6">
        <v>33.25</v>
      </c>
      <c r="J3598" s="6">
        <f>I3598-H3598</f>
        <v>0</v>
      </c>
      <c r="K3598" s="5">
        <f>IF(H3598=0,"",J3598/H3598)</f>
        <v>0</v>
      </c>
      <c r="L3598">
        <f>IF(OR(AND(H3598=0,ABS(J3598)&gt;=0.01),AND(H3598&lt;&gt;0,ABS(K3598)&gt;VarianceThreshold)),"Review","OK")</f>
        <v>0</v>
      </c>
      <c r="M3598" t="s">
        <v>33</v>
      </c>
    </row>
    <row r="3599" spans="1:13">
      <c r="A3599" t="s">
        <v>5</v>
      </c>
      <c r="B3599" t="s">
        <v>799</v>
      </c>
      <c r="C3599" t="s">
        <v>2756</v>
      </c>
      <c r="D3599" t="s">
        <v>2685</v>
      </c>
      <c r="E3599" cm="1">
        <f t="array" ref="E3599">_xlfn.XLOOKUP(D3599,SKU_Master!A:A,SKU_Master!B:B,"Not on master")</f>
        <v>0</v>
      </c>
      <c r="F3599" cm="1">
        <f t="array" ref="F3599">_xlfn.XLOOKUP(C3599,Account_Master!A:A,Account_Master!B:B,"Not on master")</f>
        <v>0</v>
      </c>
      <c r="G3599" cm="1">
        <f t="array" ref="G3599">_xlfn.XLOOKUP(C3599,Account_Master!A:A,Account_Master!C:C,"Not on master")</f>
        <v>0</v>
      </c>
      <c r="H3599" s="6">
        <v>192</v>
      </c>
      <c r="I3599" s="6">
        <v>192</v>
      </c>
      <c r="J3599" s="6">
        <f>I3599-H3599</f>
        <v>0</v>
      </c>
      <c r="K3599" s="5">
        <f>IF(H3599=0,"",J3599/H3599)</f>
        <v>0</v>
      </c>
      <c r="L3599">
        <f>IF(OR(AND(H3599=0,ABS(J3599)&gt;=0.01),AND(H3599&lt;&gt;0,ABS(K3599)&gt;VarianceThreshold)),"Review","OK")</f>
        <v>0</v>
      </c>
      <c r="M3599" t="s">
        <v>33</v>
      </c>
    </row>
    <row r="3600" spans="1:13">
      <c r="A3600" t="s">
        <v>5</v>
      </c>
      <c r="B3600" t="s">
        <v>805</v>
      </c>
      <c r="C3600" t="s">
        <v>2882</v>
      </c>
      <c r="D3600" t="s">
        <v>2684</v>
      </c>
      <c r="E3600" cm="1">
        <f t="array" ref="E3600">_xlfn.XLOOKUP(D3600,SKU_Master!A:A,SKU_Master!B:B,"Not on master")</f>
        <v>0</v>
      </c>
      <c r="F3600" cm="1">
        <f t="array" ref="F3600">_xlfn.XLOOKUP(C3600,Account_Master!A:A,Account_Master!B:B,"Not on master")</f>
        <v>0</v>
      </c>
      <c r="G3600" cm="1">
        <f t="array" ref="G3600">_xlfn.XLOOKUP(C3600,Account_Master!A:A,Account_Master!C:C,"Not on master")</f>
        <v>0</v>
      </c>
      <c r="H3600" s="6">
        <v>19.87</v>
      </c>
      <c r="I3600" s="6">
        <v>19.87</v>
      </c>
      <c r="J3600" s="6">
        <f>I3600-H3600</f>
        <v>0</v>
      </c>
      <c r="K3600" s="5">
        <f>IF(H3600=0,"",J3600/H3600)</f>
        <v>0</v>
      </c>
      <c r="L3600">
        <f>IF(OR(AND(H3600=0,ABS(J3600)&gt;=0.01),AND(H3600&lt;&gt;0,ABS(K3600)&gt;VarianceThreshold)),"Review","OK")</f>
        <v>0</v>
      </c>
      <c r="M3600" t="s">
        <v>33</v>
      </c>
    </row>
    <row r="3601" spans="1:13">
      <c r="A3601" t="s">
        <v>5</v>
      </c>
      <c r="B3601" t="s">
        <v>805</v>
      </c>
      <c r="C3601" t="s">
        <v>2970</v>
      </c>
      <c r="D3601" t="s">
        <v>1329</v>
      </c>
      <c r="E3601" cm="1">
        <f t="array" ref="E3601">_xlfn.XLOOKUP(D3601,SKU_Master!A:A,SKU_Master!B:B,"Not on master")</f>
        <v>0</v>
      </c>
      <c r="F3601" cm="1">
        <f t="array" ref="F3601">_xlfn.XLOOKUP(C3601,Account_Master!A:A,Account_Master!B:B,"Not on master")</f>
        <v>0</v>
      </c>
      <c r="G3601" cm="1">
        <f t="array" ref="G3601">_xlfn.XLOOKUP(C3601,Account_Master!A:A,Account_Master!C:C,"Not on master")</f>
        <v>0</v>
      </c>
      <c r="H3601" s="6">
        <v>237.75</v>
      </c>
      <c r="I3601" s="6">
        <v>237.75</v>
      </c>
      <c r="J3601" s="6">
        <f>I3601-H3601</f>
        <v>0</v>
      </c>
      <c r="K3601" s="5">
        <f>IF(H3601=0,"",J3601/H3601)</f>
        <v>0</v>
      </c>
      <c r="L3601">
        <f>IF(OR(AND(H3601=0,ABS(J3601)&gt;=0.01),AND(H3601&lt;&gt;0,ABS(K3601)&gt;VarianceThreshold)),"Review","OK")</f>
        <v>0</v>
      </c>
      <c r="M3601" t="s">
        <v>33</v>
      </c>
    </row>
    <row r="3602" spans="1:13">
      <c r="A3602" t="s">
        <v>5</v>
      </c>
      <c r="B3602" t="s">
        <v>805</v>
      </c>
      <c r="C3602" t="s">
        <v>2757</v>
      </c>
      <c r="D3602" t="s">
        <v>2680</v>
      </c>
      <c r="E3602" cm="1">
        <f t="array" ref="E3602">_xlfn.XLOOKUP(D3602,SKU_Master!A:A,SKU_Master!B:B,"Not on master")</f>
        <v>0</v>
      </c>
      <c r="F3602" cm="1">
        <f t="array" ref="F3602">_xlfn.XLOOKUP(C3602,Account_Master!A:A,Account_Master!B:B,"Not on master")</f>
        <v>0</v>
      </c>
      <c r="G3602" cm="1">
        <f t="array" ref="G3602">_xlfn.XLOOKUP(C3602,Account_Master!A:A,Account_Master!C:C,"Not on master")</f>
        <v>0</v>
      </c>
      <c r="H3602" s="6">
        <v>12</v>
      </c>
      <c r="I3602" s="6">
        <v>12</v>
      </c>
      <c r="J3602" s="6">
        <f>I3602-H3602</f>
        <v>0</v>
      </c>
      <c r="K3602" s="5">
        <f>IF(H3602=0,"",J3602/H3602)</f>
        <v>0</v>
      </c>
      <c r="L3602">
        <f>IF(OR(AND(H3602=0,ABS(J3602)&gt;=0.01),AND(H3602&lt;&gt;0,ABS(K3602)&gt;VarianceThreshold)),"Review","OK")</f>
        <v>0</v>
      </c>
      <c r="M3602" t="s">
        <v>33</v>
      </c>
    </row>
    <row r="3603" spans="1:13">
      <c r="A3603" t="s">
        <v>5</v>
      </c>
      <c r="B3603" t="s">
        <v>805</v>
      </c>
      <c r="C3603" t="s">
        <v>2778</v>
      </c>
      <c r="D3603" t="s">
        <v>96</v>
      </c>
      <c r="E3603" cm="1">
        <f t="array" ref="E3603">_xlfn.XLOOKUP(D3603,SKU_Master!A:A,SKU_Master!B:B,"Not on master")</f>
        <v>0</v>
      </c>
      <c r="F3603" cm="1">
        <f t="array" ref="F3603">_xlfn.XLOOKUP(C3603,Account_Master!A:A,Account_Master!B:B,"Not on master")</f>
        <v>0</v>
      </c>
      <c r="G3603" cm="1">
        <f t="array" ref="G3603">_xlfn.XLOOKUP(C3603,Account_Master!A:A,Account_Master!C:C,"Not on master")</f>
        <v>0</v>
      </c>
      <c r="H3603" s="6">
        <v>6</v>
      </c>
      <c r="I3603" s="6">
        <v>6</v>
      </c>
      <c r="J3603" s="6">
        <f>I3603-H3603</f>
        <v>0</v>
      </c>
      <c r="K3603" s="5">
        <f>IF(H3603=0,"",J3603/H3603)</f>
        <v>0</v>
      </c>
      <c r="L3603">
        <f>IF(OR(AND(H3603=0,ABS(J3603)&gt;=0.01),AND(H3603&lt;&gt;0,ABS(K3603)&gt;VarianceThreshold)),"Review","OK")</f>
        <v>0</v>
      </c>
      <c r="M3603" t="s">
        <v>33</v>
      </c>
    </row>
    <row r="3604" spans="1:13">
      <c r="A3604" t="s">
        <v>5</v>
      </c>
      <c r="B3604" t="s">
        <v>805</v>
      </c>
      <c r="C3604" t="s">
        <v>2775</v>
      </c>
      <c r="D3604" t="s">
        <v>2971</v>
      </c>
      <c r="E3604" cm="1">
        <f t="array" ref="E3604">_xlfn.XLOOKUP(D3604,SKU_Master!A:A,SKU_Master!B:B,"Not on master")</f>
        <v>0</v>
      </c>
      <c r="F3604" cm="1">
        <f t="array" ref="F3604">_xlfn.XLOOKUP(C3604,Account_Master!A:A,Account_Master!B:B,"Not on master")</f>
        <v>0</v>
      </c>
      <c r="G3604" cm="1">
        <f t="array" ref="G3604">_xlfn.XLOOKUP(C3604,Account_Master!A:A,Account_Master!C:C,"Not on master")</f>
        <v>0</v>
      </c>
      <c r="H3604" s="6">
        <v>4.5</v>
      </c>
      <c r="I3604" s="6">
        <v>4.5</v>
      </c>
      <c r="J3604" s="6">
        <f>I3604-H3604</f>
        <v>0</v>
      </c>
      <c r="K3604" s="5">
        <f>IF(H3604=0,"",J3604/H3604)</f>
        <v>0</v>
      </c>
      <c r="L3604">
        <f>IF(OR(AND(H3604=0,ABS(J3604)&gt;=0.01),AND(H3604&lt;&gt;0,ABS(K3604)&gt;VarianceThreshold)),"Review","OK")</f>
        <v>0</v>
      </c>
      <c r="M3604" t="s">
        <v>33</v>
      </c>
    </row>
    <row r="3605" spans="1:13">
      <c r="A3605" t="s">
        <v>5</v>
      </c>
      <c r="B3605" t="s">
        <v>805</v>
      </c>
      <c r="C3605" t="s">
        <v>2972</v>
      </c>
      <c r="D3605" t="s">
        <v>2738</v>
      </c>
      <c r="E3605" cm="1">
        <f t="array" ref="E3605">_xlfn.XLOOKUP(D3605,SKU_Master!A:A,SKU_Master!B:B,"Not on master")</f>
        <v>0</v>
      </c>
      <c r="F3605" cm="1">
        <f t="array" ref="F3605">_xlfn.XLOOKUP(C3605,Account_Master!A:A,Account_Master!B:B,"Not on master")</f>
        <v>0</v>
      </c>
      <c r="G3605" cm="1">
        <f t="array" ref="G3605">_xlfn.XLOOKUP(C3605,Account_Master!A:A,Account_Master!C:C,"Not on master")</f>
        <v>0</v>
      </c>
      <c r="H3605" s="6">
        <v>5.25</v>
      </c>
      <c r="I3605" s="6">
        <v>5.25</v>
      </c>
      <c r="J3605" s="6">
        <f>I3605-H3605</f>
        <v>0</v>
      </c>
      <c r="K3605" s="5">
        <f>IF(H3605=0,"",J3605/H3605)</f>
        <v>0</v>
      </c>
      <c r="L3605">
        <f>IF(OR(AND(H3605=0,ABS(J3605)&gt;=0.01),AND(H3605&lt;&gt;0,ABS(K3605)&gt;VarianceThreshold)),"Review","OK")</f>
        <v>0</v>
      </c>
      <c r="M3605" t="s">
        <v>33</v>
      </c>
    </row>
    <row r="3606" spans="1:13">
      <c r="A3606" t="s">
        <v>5</v>
      </c>
      <c r="B3606" t="s">
        <v>805</v>
      </c>
      <c r="C3606" t="s">
        <v>2818</v>
      </c>
      <c r="D3606" t="s">
        <v>1550</v>
      </c>
      <c r="E3606" cm="1">
        <f t="array" ref="E3606">_xlfn.XLOOKUP(D3606,SKU_Master!A:A,SKU_Master!B:B,"Not on master")</f>
        <v>0</v>
      </c>
      <c r="F3606" cm="1">
        <f t="array" ref="F3606">_xlfn.XLOOKUP(C3606,Account_Master!A:A,Account_Master!B:B,"Not on master")</f>
        <v>0</v>
      </c>
      <c r="G3606" cm="1">
        <f t="array" ref="G3606">_xlfn.XLOOKUP(C3606,Account_Master!A:A,Account_Master!C:C,"Not on master")</f>
        <v>0</v>
      </c>
      <c r="H3606" s="6">
        <v>1.5</v>
      </c>
      <c r="I3606" s="6">
        <v>1.5</v>
      </c>
      <c r="J3606" s="6">
        <f>I3606-H3606</f>
        <v>0</v>
      </c>
      <c r="K3606" s="5">
        <f>IF(H3606=0,"",J3606/H3606)</f>
        <v>0</v>
      </c>
      <c r="L3606">
        <f>IF(OR(AND(H3606=0,ABS(J3606)&gt;=0.01),AND(H3606&lt;&gt;0,ABS(K3606)&gt;VarianceThreshold)),"Review","OK")</f>
        <v>0</v>
      </c>
      <c r="M3606" t="s">
        <v>33</v>
      </c>
    </row>
    <row r="3607" spans="1:13">
      <c r="A3607" t="s">
        <v>5</v>
      </c>
      <c r="B3607" t="s">
        <v>814</v>
      </c>
      <c r="C3607" t="s">
        <v>2778</v>
      </c>
      <c r="D3607" t="s">
        <v>1616</v>
      </c>
      <c r="E3607" cm="1">
        <f t="array" ref="E3607">_xlfn.XLOOKUP(D3607,SKU_Master!A:A,SKU_Master!B:B,"Not on master")</f>
        <v>0</v>
      </c>
      <c r="F3607" cm="1">
        <f t="array" ref="F3607">_xlfn.XLOOKUP(C3607,Account_Master!A:A,Account_Master!B:B,"Not on master")</f>
        <v>0</v>
      </c>
      <c r="G3607" cm="1">
        <f t="array" ref="G3607">_xlfn.XLOOKUP(C3607,Account_Master!A:A,Account_Master!C:C,"Not on master")</f>
        <v>0</v>
      </c>
      <c r="H3607" s="6">
        <v>4.5</v>
      </c>
      <c r="I3607" s="6">
        <v>4.5</v>
      </c>
      <c r="J3607" s="6">
        <f>I3607-H3607</f>
        <v>0</v>
      </c>
      <c r="K3607" s="5">
        <f>IF(H3607=0,"",J3607/H3607)</f>
        <v>0</v>
      </c>
      <c r="L3607">
        <f>IF(OR(AND(H3607=0,ABS(J3607)&gt;=0.01),AND(H3607&lt;&gt;0,ABS(K3607)&gt;VarianceThreshold)),"Review","OK")</f>
        <v>0</v>
      </c>
      <c r="M3607" t="s">
        <v>33</v>
      </c>
    </row>
    <row r="3608" spans="1:13">
      <c r="A3608" t="s">
        <v>5</v>
      </c>
      <c r="B3608" t="s">
        <v>814</v>
      </c>
      <c r="C3608" t="s">
        <v>2767</v>
      </c>
      <c r="D3608" t="s">
        <v>1394</v>
      </c>
      <c r="E3608" cm="1">
        <f t="array" ref="E3608">_xlfn.XLOOKUP(D3608,SKU_Master!A:A,SKU_Master!B:B,"Not on master")</f>
        <v>0</v>
      </c>
      <c r="F3608" cm="1">
        <f t="array" ref="F3608">_xlfn.XLOOKUP(C3608,Account_Master!A:A,Account_Master!B:B,"Not on master")</f>
        <v>0</v>
      </c>
      <c r="G3608" cm="1">
        <f t="array" ref="G3608">_xlfn.XLOOKUP(C3608,Account_Master!A:A,Account_Master!C:C,"Not on master")</f>
        <v>0</v>
      </c>
      <c r="H3608" s="6">
        <v>4.5</v>
      </c>
      <c r="I3608" s="6">
        <v>4.5</v>
      </c>
      <c r="J3608" s="6">
        <f>I3608-H3608</f>
        <v>0</v>
      </c>
      <c r="K3608" s="5">
        <f>IF(H3608=0,"",J3608/H3608)</f>
        <v>0</v>
      </c>
      <c r="L3608">
        <f>IF(OR(AND(H3608=0,ABS(J3608)&gt;=0.01),AND(H3608&lt;&gt;0,ABS(K3608)&gt;VarianceThreshold)),"Review","OK")</f>
        <v>0</v>
      </c>
      <c r="M3608" t="s">
        <v>33</v>
      </c>
    </row>
    <row r="3609" spans="1:13">
      <c r="A3609" t="s">
        <v>5</v>
      </c>
      <c r="B3609" t="s">
        <v>814</v>
      </c>
      <c r="C3609" t="s">
        <v>2856</v>
      </c>
      <c r="D3609" t="s">
        <v>1930</v>
      </c>
      <c r="E3609" cm="1">
        <f t="array" ref="E3609">_xlfn.XLOOKUP(D3609,SKU_Master!A:A,SKU_Master!B:B,"Not on master")</f>
        <v>0</v>
      </c>
      <c r="F3609" cm="1">
        <f t="array" ref="F3609">_xlfn.XLOOKUP(C3609,Account_Master!A:A,Account_Master!B:B,"Not on master")</f>
        <v>0</v>
      </c>
      <c r="G3609" cm="1">
        <f t="array" ref="G3609">_xlfn.XLOOKUP(C3609,Account_Master!A:A,Account_Master!C:C,"Not on master")</f>
        <v>0</v>
      </c>
      <c r="H3609" s="6">
        <v>0.2</v>
      </c>
      <c r="I3609" s="6">
        <v>0.2</v>
      </c>
      <c r="J3609" s="6">
        <f>I3609-H3609</f>
        <v>0</v>
      </c>
      <c r="K3609" s="5">
        <f>IF(H3609=0,"",J3609/H3609)</f>
        <v>0</v>
      </c>
      <c r="L3609">
        <f>IF(OR(AND(H3609=0,ABS(J3609)&gt;=0.01),AND(H3609&lt;&gt;0,ABS(K3609)&gt;VarianceThreshold)),"Review","OK")</f>
        <v>0</v>
      </c>
      <c r="M3609" t="s">
        <v>33</v>
      </c>
    </row>
    <row r="3610" spans="1:13">
      <c r="A3610" t="s">
        <v>5</v>
      </c>
      <c r="B3610" t="s">
        <v>814</v>
      </c>
      <c r="C3610" t="s">
        <v>2973</v>
      </c>
      <c r="D3610" t="s">
        <v>1987</v>
      </c>
      <c r="E3610" cm="1">
        <f t="array" ref="E3610">_xlfn.XLOOKUP(D3610,SKU_Master!A:A,SKU_Master!B:B,"Not on master")</f>
        <v>0</v>
      </c>
      <c r="F3610" cm="1">
        <f t="array" ref="F3610">_xlfn.XLOOKUP(C3610,Account_Master!A:A,Account_Master!B:B,"Not on master")</f>
        <v>0</v>
      </c>
      <c r="G3610" cm="1">
        <f t="array" ref="G3610">_xlfn.XLOOKUP(C3610,Account_Master!A:A,Account_Master!C:C,"Not on master")</f>
        <v>0</v>
      </c>
      <c r="H3610" s="6">
        <v>8.65</v>
      </c>
      <c r="I3610" s="6">
        <v>8.65</v>
      </c>
      <c r="J3610" s="6">
        <f>I3610-H3610</f>
        <v>0</v>
      </c>
      <c r="K3610" s="5">
        <f>IF(H3610=0,"",J3610/H3610)</f>
        <v>0</v>
      </c>
      <c r="L3610">
        <f>IF(OR(AND(H3610=0,ABS(J3610)&gt;=0.01),AND(H3610&lt;&gt;0,ABS(K3610)&gt;VarianceThreshold)),"Review","OK")</f>
        <v>0</v>
      </c>
      <c r="M3610" t="s">
        <v>33</v>
      </c>
    </row>
    <row r="3611" spans="1:13">
      <c r="A3611" t="s">
        <v>5</v>
      </c>
      <c r="B3611" t="s">
        <v>829</v>
      </c>
      <c r="C3611" t="s">
        <v>2766</v>
      </c>
      <c r="D3611" t="s">
        <v>1764</v>
      </c>
      <c r="E3611" cm="1">
        <f t="array" ref="E3611">_xlfn.XLOOKUP(D3611,SKU_Master!A:A,SKU_Master!B:B,"Not on master")</f>
        <v>0</v>
      </c>
      <c r="F3611" cm="1">
        <f t="array" ref="F3611">_xlfn.XLOOKUP(C3611,Account_Master!A:A,Account_Master!B:B,"Not on master")</f>
        <v>0</v>
      </c>
      <c r="G3611" cm="1">
        <f t="array" ref="G3611">_xlfn.XLOOKUP(C3611,Account_Master!A:A,Account_Master!C:C,"Not on master")</f>
        <v>0</v>
      </c>
      <c r="H3611" s="6">
        <v>9</v>
      </c>
      <c r="I3611" s="6">
        <v>9</v>
      </c>
      <c r="J3611" s="6">
        <f>I3611-H3611</f>
        <v>0</v>
      </c>
      <c r="K3611" s="5">
        <f>IF(H3611=0,"",J3611/H3611)</f>
        <v>0</v>
      </c>
      <c r="L3611">
        <f>IF(OR(AND(H3611=0,ABS(J3611)&gt;=0.01),AND(H3611&lt;&gt;0,ABS(K3611)&gt;VarianceThreshold)),"Review","OK")</f>
        <v>0</v>
      </c>
      <c r="M3611" t="s">
        <v>33</v>
      </c>
    </row>
    <row r="3612" spans="1:13">
      <c r="A3612" t="s">
        <v>5</v>
      </c>
      <c r="B3612" t="s">
        <v>829</v>
      </c>
      <c r="C3612" t="s">
        <v>2778</v>
      </c>
      <c r="D3612" t="s">
        <v>1074</v>
      </c>
      <c r="E3612" cm="1">
        <f t="array" ref="E3612">_xlfn.XLOOKUP(D3612,SKU_Master!A:A,SKU_Master!B:B,"Not on master")</f>
        <v>0</v>
      </c>
      <c r="F3612" cm="1">
        <f t="array" ref="F3612">_xlfn.XLOOKUP(C3612,Account_Master!A:A,Account_Master!B:B,"Not on master")</f>
        <v>0</v>
      </c>
      <c r="G3612" cm="1">
        <f t="array" ref="G3612">_xlfn.XLOOKUP(C3612,Account_Master!A:A,Account_Master!C:C,"Not on master")</f>
        <v>0</v>
      </c>
      <c r="H3612" s="6">
        <v>12</v>
      </c>
      <c r="I3612" s="6">
        <v>12</v>
      </c>
      <c r="J3612" s="6">
        <f>I3612-H3612</f>
        <v>0</v>
      </c>
      <c r="K3612" s="5">
        <f>IF(H3612=0,"",J3612/H3612)</f>
        <v>0</v>
      </c>
      <c r="L3612">
        <f>IF(OR(AND(H3612=0,ABS(J3612)&gt;=0.01),AND(H3612&lt;&gt;0,ABS(K3612)&gt;VarianceThreshold)),"Review","OK")</f>
        <v>0</v>
      </c>
      <c r="M3612" t="s">
        <v>33</v>
      </c>
    </row>
    <row r="3613" spans="1:13">
      <c r="A3613" t="s">
        <v>5</v>
      </c>
      <c r="B3613" t="s">
        <v>829</v>
      </c>
      <c r="C3613" t="s">
        <v>2879</v>
      </c>
      <c r="D3613" t="s">
        <v>1229</v>
      </c>
      <c r="E3613" cm="1">
        <f t="array" ref="E3613">_xlfn.XLOOKUP(D3613,SKU_Master!A:A,SKU_Master!B:B,"Not on master")</f>
        <v>0</v>
      </c>
      <c r="F3613" cm="1">
        <f t="array" ref="F3613">_xlfn.XLOOKUP(C3613,Account_Master!A:A,Account_Master!B:B,"Not on master")</f>
        <v>0</v>
      </c>
      <c r="G3613" cm="1">
        <f t="array" ref="G3613">_xlfn.XLOOKUP(C3613,Account_Master!A:A,Account_Master!C:C,"Not on master")</f>
        <v>0</v>
      </c>
      <c r="H3613" s="6">
        <v>0.9</v>
      </c>
      <c r="I3613" s="6">
        <v>0.9</v>
      </c>
      <c r="J3613" s="6">
        <f>I3613-H3613</f>
        <v>0</v>
      </c>
      <c r="K3613" s="5">
        <f>IF(H3613=0,"",J3613/H3613)</f>
        <v>0</v>
      </c>
      <c r="L3613">
        <f>IF(OR(AND(H3613=0,ABS(J3613)&gt;=0.01),AND(H3613&lt;&gt;0,ABS(K3613)&gt;VarianceThreshold)),"Review","OK")</f>
        <v>0</v>
      </c>
      <c r="M3613" t="s">
        <v>33</v>
      </c>
    </row>
    <row r="3614" spans="1:13">
      <c r="A3614" t="s">
        <v>5</v>
      </c>
      <c r="B3614" t="s">
        <v>829</v>
      </c>
      <c r="C3614" t="s">
        <v>2879</v>
      </c>
      <c r="D3614" t="s">
        <v>200</v>
      </c>
      <c r="E3614" cm="1">
        <f t="array" ref="E3614">_xlfn.XLOOKUP(D3614,SKU_Master!A:A,SKU_Master!B:B,"Not on master")</f>
        <v>0</v>
      </c>
      <c r="F3614" cm="1">
        <f t="array" ref="F3614">_xlfn.XLOOKUP(C3614,Account_Master!A:A,Account_Master!B:B,"Not on master")</f>
        <v>0</v>
      </c>
      <c r="G3614" cm="1">
        <f t="array" ref="G3614">_xlfn.XLOOKUP(C3614,Account_Master!A:A,Account_Master!C:C,"Not on master")</f>
        <v>0</v>
      </c>
      <c r="H3614" s="6">
        <v>23</v>
      </c>
      <c r="I3614" s="6">
        <v>23</v>
      </c>
      <c r="J3614" s="6">
        <f>I3614-H3614</f>
        <v>0</v>
      </c>
      <c r="K3614" s="5">
        <f>IF(H3614=0,"",J3614/H3614)</f>
        <v>0</v>
      </c>
      <c r="L3614">
        <f>IF(OR(AND(H3614=0,ABS(J3614)&gt;=0.01),AND(H3614&lt;&gt;0,ABS(K3614)&gt;VarianceThreshold)),"Review","OK")</f>
        <v>0</v>
      </c>
      <c r="M3614" t="s">
        <v>33</v>
      </c>
    </row>
    <row r="3615" spans="1:13">
      <c r="A3615" t="s">
        <v>5</v>
      </c>
      <c r="B3615" t="s">
        <v>829</v>
      </c>
      <c r="C3615" t="s">
        <v>2756</v>
      </c>
      <c r="D3615" t="s">
        <v>998</v>
      </c>
      <c r="E3615" cm="1">
        <f t="array" ref="E3615">_xlfn.XLOOKUP(D3615,SKU_Master!A:A,SKU_Master!B:B,"Not on master")</f>
        <v>0</v>
      </c>
      <c r="F3615" cm="1">
        <f t="array" ref="F3615">_xlfn.XLOOKUP(C3615,Account_Master!A:A,Account_Master!B:B,"Not on master")</f>
        <v>0</v>
      </c>
      <c r="G3615" cm="1">
        <f t="array" ref="G3615">_xlfn.XLOOKUP(C3615,Account_Master!A:A,Account_Master!C:C,"Not on master")</f>
        <v>0</v>
      </c>
      <c r="H3615" s="6">
        <v>46.5</v>
      </c>
      <c r="I3615" s="6">
        <v>46.5</v>
      </c>
      <c r="J3615" s="6">
        <f>I3615-H3615</f>
        <v>0</v>
      </c>
      <c r="K3615" s="5">
        <f>IF(H3615=0,"",J3615/H3615)</f>
        <v>0</v>
      </c>
      <c r="L3615">
        <f>IF(OR(AND(H3615=0,ABS(J3615)&gt;=0.01),AND(H3615&lt;&gt;0,ABS(K3615)&gt;VarianceThreshold)),"Review","OK")</f>
        <v>0</v>
      </c>
      <c r="M3615" t="s">
        <v>33</v>
      </c>
    </row>
    <row r="3616" spans="1:13">
      <c r="A3616" t="s">
        <v>5</v>
      </c>
      <c r="B3616" t="s">
        <v>829</v>
      </c>
      <c r="C3616" t="s">
        <v>2769</v>
      </c>
      <c r="D3616" t="s">
        <v>900</v>
      </c>
      <c r="E3616" cm="1">
        <f t="array" ref="E3616">_xlfn.XLOOKUP(D3616,SKU_Master!A:A,SKU_Master!B:B,"Not on master")</f>
        <v>0</v>
      </c>
      <c r="F3616" cm="1">
        <f t="array" ref="F3616">_xlfn.XLOOKUP(C3616,Account_Master!A:A,Account_Master!B:B,"Not on master")</f>
        <v>0</v>
      </c>
      <c r="G3616" cm="1">
        <f t="array" ref="G3616">_xlfn.XLOOKUP(C3616,Account_Master!A:A,Account_Master!C:C,"Not on master")</f>
        <v>0</v>
      </c>
      <c r="H3616" s="6">
        <v>12</v>
      </c>
      <c r="I3616" s="6">
        <v>12</v>
      </c>
      <c r="J3616" s="6">
        <f>I3616-H3616</f>
        <v>0</v>
      </c>
      <c r="K3616" s="5">
        <f>IF(H3616=0,"",J3616/H3616)</f>
        <v>0</v>
      </c>
      <c r="L3616">
        <f>IF(OR(AND(H3616=0,ABS(J3616)&gt;=0.01),AND(H3616&lt;&gt;0,ABS(K3616)&gt;VarianceThreshold)),"Review","OK")</f>
        <v>0</v>
      </c>
      <c r="M3616" t="s">
        <v>33</v>
      </c>
    </row>
    <row r="3617" spans="1:13">
      <c r="A3617" t="s">
        <v>5</v>
      </c>
      <c r="B3617" t="s">
        <v>829</v>
      </c>
      <c r="C3617" t="s">
        <v>2974</v>
      </c>
      <c r="D3617" t="s">
        <v>2975</v>
      </c>
      <c r="E3617" cm="1">
        <f t="array" ref="E3617">_xlfn.XLOOKUP(D3617,SKU_Master!A:A,SKU_Master!B:B,"Not on master")</f>
        <v>0</v>
      </c>
      <c r="F3617" cm="1">
        <f t="array" ref="F3617">_xlfn.XLOOKUP(C3617,Account_Master!A:A,Account_Master!B:B,"Not on master")</f>
        <v>0</v>
      </c>
      <c r="G3617" cm="1">
        <f t="array" ref="G3617">_xlfn.XLOOKUP(C3617,Account_Master!A:A,Account_Master!C:C,"Not on master")</f>
        <v>0</v>
      </c>
      <c r="H3617" s="6">
        <v>4.5</v>
      </c>
      <c r="I3617" s="6">
        <v>4.5</v>
      </c>
      <c r="J3617" s="6">
        <f>I3617-H3617</f>
        <v>0</v>
      </c>
      <c r="K3617" s="5">
        <f>IF(H3617=0,"",J3617/H3617)</f>
        <v>0</v>
      </c>
      <c r="L3617">
        <f>IF(OR(AND(H3617=0,ABS(J3617)&gt;=0.01),AND(H3617&lt;&gt;0,ABS(K3617)&gt;VarianceThreshold)),"Review","OK")</f>
        <v>0</v>
      </c>
      <c r="M3617" t="s">
        <v>33</v>
      </c>
    </row>
    <row r="3618" spans="1:13">
      <c r="A3618" t="s">
        <v>5</v>
      </c>
      <c r="B3618" t="s">
        <v>829</v>
      </c>
      <c r="C3618" t="s">
        <v>2976</v>
      </c>
      <c r="D3618" t="s">
        <v>1515</v>
      </c>
      <c r="E3618" cm="1">
        <f t="array" ref="E3618">_xlfn.XLOOKUP(D3618,SKU_Master!A:A,SKU_Master!B:B,"Not on master")</f>
        <v>0</v>
      </c>
      <c r="F3618" cm="1">
        <f t="array" ref="F3618">_xlfn.XLOOKUP(C3618,Account_Master!A:A,Account_Master!B:B,"Not on master")</f>
        <v>0</v>
      </c>
      <c r="G3618" cm="1">
        <f t="array" ref="G3618">_xlfn.XLOOKUP(C3618,Account_Master!A:A,Account_Master!C:C,"Not on master")</f>
        <v>0</v>
      </c>
      <c r="H3618" s="6">
        <v>1.25</v>
      </c>
      <c r="I3618" s="6">
        <v>1.25</v>
      </c>
      <c r="J3618" s="6">
        <f>I3618-H3618</f>
        <v>0</v>
      </c>
      <c r="K3618" s="5">
        <f>IF(H3618=0,"",J3618/H3618)</f>
        <v>0</v>
      </c>
      <c r="L3618">
        <f>IF(OR(AND(H3618=0,ABS(J3618)&gt;=0.01),AND(H3618&lt;&gt;0,ABS(K3618)&gt;VarianceThreshold)),"Review","OK")</f>
        <v>0</v>
      </c>
      <c r="M3618" t="s">
        <v>33</v>
      </c>
    </row>
    <row r="3619" spans="1:13">
      <c r="A3619" t="s">
        <v>5</v>
      </c>
      <c r="B3619" t="s">
        <v>829</v>
      </c>
      <c r="C3619" t="s">
        <v>2974</v>
      </c>
      <c r="D3619" t="s">
        <v>2977</v>
      </c>
      <c r="E3619" cm="1">
        <f t="array" ref="E3619">_xlfn.XLOOKUP(D3619,SKU_Master!A:A,SKU_Master!B:B,"Not on master")</f>
        <v>0</v>
      </c>
      <c r="F3619" cm="1">
        <f t="array" ref="F3619">_xlfn.XLOOKUP(C3619,Account_Master!A:A,Account_Master!B:B,"Not on master")</f>
        <v>0</v>
      </c>
      <c r="G3619" cm="1">
        <f t="array" ref="G3619">_xlfn.XLOOKUP(C3619,Account_Master!A:A,Account_Master!C:C,"Not on master")</f>
        <v>0</v>
      </c>
      <c r="H3619" s="6">
        <v>9.75</v>
      </c>
      <c r="I3619" s="6">
        <v>9.75</v>
      </c>
      <c r="J3619" s="6">
        <f>I3619-H3619</f>
        <v>0</v>
      </c>
      <c r="K3619" s="5">
        <f>IF(H3619=0,"",J3619/H3619)</f>
        <v>0</v>
      </c>
      <c r="L3619">
        <f>IF(OR(AND(H3619=0,ABS(J3619)&gt;=0.01),AND(H3619&lt;&gt;0,ABS(K3619)&gt;VarianceThreshold)),"Review","OK")</f>
        <v>0</v>
      </c>
      <c r="M3619" t="s">
        <v>33</v>
      </c>
    </row>
    <row r="3620" spans="1:13">
      <c r="A3620" t="s">
        <v>5</v>
      </c>
      <c r="B3620" t="s">
        <v>836</v>
      </c>
      <c r="C3620" t="s">
        <v>2769</v>
      </c>
      <c r="D3620" t="s">
        <v>962</v>
      </c>
      <c r="E3620" cm="1">
        <f t="array" ref="E3620">_xlfn.XLOOKUP(D3620,SKU_Master!A:A,SKU_Master!B:B,"Not on master")</f>
        <v>0</v>
      </c>
      <c r="F3620" cm="1">
        <f t="array" ref="F3620">_xlfn.XLOOKUP(C3620,Account_Master!A:A,Account_Master!B:B,"Not on master")</f>
        <v>0</v>
      </c>
      <c r="G3620" cm="1">
        <f t="array" ref="G3620">_xlfn.XLOOKUP(C3620,Account_Master!A:A,Account_Master!C:C,"Not on master")</f>
        <v>0</v>
      </c>
      <c r="H3620" s="6">
        <v>44.25</v>
      </c>
      <c r="I3620" s="6">
        <v>44.25</v>
      </c>
      <c r="J3620" s="6">
        <f>I3620-H3620</f>
        <v>0</v>
      </c>
      <c r="K3620" s="5">
        <f>IF(H3620=0,"",J3620/H3620)</f>
        <v>0</v>
      </c>
      <c r="L3620">
        <f>IF(OR(AND(H3620=0,ABS(J3620)&gt;=0.01),AND(H3620&lt;&gt;0,ABS(K3620)&gt;VarianceThreshold)),"Review","OK")</f>
        <v>0</v>
      </c>
      <c r="M3620" t="s">
        <v>33</v>
      </c>
    </row>
    <row r="3621" spans="1:13">
      <c r="A3621" t="s">
        <v>5</v>
      </c>
      <c r="B3621" t="s">
        <v>836</v>
      </c>
      <c r="C3621" t="s">
        <v>2978</v>
      </c>
      <c r="D3621" t="s">
        <v>2979</v>
      </c>
      <c r="E3621" cm="1">
        <f t="array" ref="E3621">_xlfn.XLOOKUP(D3621,SKU_Master!A:A,SKU_Master!B:B,"Not on master")</f>
        <v>0</v>
      </c>
      <c r="F3621" cm="1">
        <f t="array" ref="F3621">_xlfn.XLOOKUP(C3621,Account_Master!A:A,Account_Master!B:B,"Not on master")</f>
        <v>0</v>
      </c>
      <c r="G3621" cm="1">
        <f t="array" ref="G3621">_xlfn.XLOOKUP(C3621,Account_Master!A:A,Account_Master!C:C,"Not on master")</f>
        <v>0</v>
      </c>
      <c r="H3621" s="6">
        <v>0.05</v>
      </c>
      <c r="I3621" s="6">
        <v>0.05</v>
      </c>
      <c r="J3621" s="6">
        <f>I3621-H3621</f>
        <v>0</v>
      </c>
      <c r="K3621" s="5">
        <f>IF(H3621=0,"",J3621/H3621)</f>
        <v>0</v>
      </c>
      <c r="L3621">
        <f>IF(OR(AND(H3621=0,ABS(J3621)&gt;=0.01),AND(H3621&lt;&gt;0,ABS(K3621)&gt;VarianceThreshold)),"Review","OK")</f>
        <v>0</v>
      </c>
      <c r="M3621" t="s">
        <v>33</v>
      </c>
    </row>
    <row r="3622" spans="1:13">
      <c r="A3622" t="s">
        <v>5</v>
      </c>
      <c r="B3622" t="s">
        <v>836</v>
      </c>
      <c r="C3622" t="s">
        <v>2769</v>
      </c>
      <c r="D3622" t="s">
        <v>600</v>
      </c>
      <c r="E3622" cm="1">
        <f t="array" ref="E3622">_xlfn.XLOOKUP(D3622,SKU_Master!A:A,SKU_Master!B:B,"Not on master")</f>
        <v>0</v>
      </c>
      <c r="F3622" cm="1">
        <f t="array" ref="F3622">_xlfn.XLOOKUP(C3622,Account_Master!A:A,Account_Master!B:B,"Not on master")</f>
        <v>0</v>
      </c>
      <c r="G3622" cm="1">
        <f t="array" ref="G3622">_xlfn.XLOOKUP(C3622,Account_Master!A:A,Account_Master!C:C,"Not on master")</f>
        <v>0</v>
      </c>
      <c r="H3622" s="6">
        <v>252</v>
      </c>
      <c r="I3622" s="6">
        <v>252</v>
      </c>
      <c r="J3622" s="6">
        <f>I3622-H3622</f>
        <v>0</v>
      </c>
      <c r="K3622" s="5">
        <f>IF(H3622=0,"",J3622/H3622)</f>
        <v>0</v>
      </c>
      <c r="L3622">
        <f>IF(OR(AND(H3622=0,ABS(J3622)&gt;=0.01),AND(H3622&lt;&gt;0,ABS(K3622)&gt;VarianceThreshold)),"Review","OK")</f>
        <v>0</v>
      </c>
      <c r="M3622" t="s">
        <v>33</v>
      </c>
    </row>
    <row r="3623" spans="1:13">
      <c r="A3623" t="s">
        <v>5</v>
      </c>
      <c r="B3623" t="s">
        <v>836</v>
      </c>
      <c r="C3623" t="s">
        <v>2800</v>
      </c>
      <c r="D3623" t="s">
        <v>685</v>
      </c>
      <c r="E3623" cm="1">
        <f t="array" ref="E3623">_xlfn.XLOOKUP(D3623,SKU_Master!A:A,SKU_Master!B:B,"Not on master")</f>
        <v>0</v>
      </c>
      <c r="F3623" cm="1">
        <f t="array" ref="F3623">_xlfn.XLOOKUP(C3623,Account_Master!A:A,Account_Master!B:B,"Not on master")</f>
        <v>0</v>
      </c>
      <c r="G3623" cm="1">
        <f t="array" ref="G3623">_xlfn.XLOOKUP(C3623,Account_Master!A:A,Account_Master!C:C,"Not on master")</f>
        <v>0</v>
      </c>
      <c r="H3623" s="6">
        <v>77.98999999999999</v>
      </c>
      <c r="I3623" s="6">
        <v>77.98999999999999</v>
      </c>
      <c r="J3623" s="6">
        <f>I3623-H3623</f>
        <v>0</v>
      </c>
      <c r="K3623" s="5">
        <f>IF(H3623=0,"",J3623/H3623)</f>
        <v>0</v>
      </c>
      <c r="L3623">
        <f>IF(OR(AND(H3623=0,ABS(J3623)&gt;=0.01),AND(H3623&lt;&gt;0,ABS(K3623)&gt;VarianceThreshold)),"Review","OK")</f>
        <v>0</v>
      </c>
      <c r="M3623" t="s">
        <v>33</v>
      </c>
    </row>
    <row r="3624" spans="1:13">
      <c r="A3624" t="s">
        <v>5</v>
      </c>
      <c r="B3624" t="s">
        <v>836</v>
      </c>
      <c r="C3624" t="s">
        <v>2750</v>
      </c>
      <c r="D3624" t="s">
        <v>520</v>
      </c>
      <c r="E3624" cm="1">
        <f t="array" ref="E3624">_xlfn.XLOOKUP(D3624,SKU_Master!A:A,SKU_Master!B:B,"Not on master")</f>
        <v>0</v>
      </c>
      <c r="F3624" cm="1">
        <f t="array" ref="F3624">_xlfn.XLOOKUP(C3624,Account_Master!A:A,Account_Master!B:B,"Not on master")</f>
        <v>0</v>
      </c>
      <c r="G3624" cm="1">
        <f t="array" ref="G3624">_xlfn.XLOOKUP(C3624,Account_Master!A:A,Account_Master!C:C,"Not on master")</f>
        <v>0</v>
      </c>
      <c r="H3624" s="6">
        <v>9</v>
      </c>
      <c r="I3624" s="6">
        <v>9</v>
      </c>
      <c r="J3624" s="6">
        <f>I3624-H3624</f>
        <v>0</v>
      </c>
      <c r="K3624" s="5">
        <f>IF(H3624=0,"",J3624/H3624)</f>
        <v>0</v>
      </c>
      <c r="L3624">
        <f>IF(OR(AND(H3624=0,ABS(J3624)&gt;=0.01),AND(H3624&lt;&gt;0,ABS(K3624)&gt;VarianceThreshold)),"Review","OK")</f>
        <v>0</v>
      </c>
      <c r="M3624" t="s">
        <v>33</v>
      </c>
    </row>
    <row r="3625" spans="1:13">
      <c r="A3625" t="s">
        <v>5</v>
      </c>
      <c r="B3625" t="s">
        <v>836</v>
      </c>
      <c r="C3625" t="s">
        <v>2769</v>
      </c>
      <c r="D3625" t="s">
        <v>2980</v>
      </c>
      <c r="E3625" cm="1">
        <f t="array" ref="E3625">_xlfn.XLOOKUP(D3625,SKU_Master!A:A,SKU_Master!B:B,"Not on master")</f>
        <v>0</v>
      </c>
      <c r="F3625" cm="1">
        <f t="array" ref="F3625">_xlfn.XLOOKUP(C3625,Account_Master!A:A,Account_Master!B:B,"Not on master")</f>
        <v>0</v>
      </c>
      <c r="G3625" cm="1">
        <f t="array" ref="G3625">_xlfn.XLOOKUP(C3625,Account_Master!A:A,Account_Master!C:C,"Not on master")</f>
        <v>0</v>
      </c>
      <c r="H3625" s="6">
        <v>27.75</v>
      </c>
      <c r="I3625" s="6">
        <v>27.75</v>
      </c>
      <c r="J3625" s="6">
        <f>I3625-H3625</f>
        <v>0</v>
      </c>
      <c r="K3625" s="5">
        <f>IF(H3625=0,"",J3625/H3625)</f>
        <v>0</v>
      </c>
      <c r="L3625">
        <f>IF(OR(AND(H3625=0,ABS(J3625)&gt;=0.01),AND(H3625&lt;&gt;0,ABS(K3625)&gt;VarianceThreshold)),"Review","OK")</f>
        <v>0</v>
      </c>
      <c r="M3625" t="s">
        <v>33</v>
      </c>
    </row>
    <row r="3626" spans="1:13">
      <c r="A3626" t="s">
        <v>5</v>
      </c>
      <c r="B3626" t="s">
        <v>846</v>
      </c>
      <c r="C3626" t="s">
        <v>2981</v>
      </c>
      <c r="D3626" t="s">
        <v>2982</v>
      </c>
      <c r="E3626" cm="1">
        <f t="array" ref="E3626">_xlfn.XLOOKUP(D3626,SKU_Master!A:A,SKU_Master!B:B,"Not on master")</f>
        <v>0</v>
      </c>
      <c r="F3626" cm="1">
        <f t="array" ref="F3626">_xlfn.XLOOKUP(C3626,Account_Master!A:A,Account_Master!B:B,"Not on master")</f>
        <v>0</v>
      </c>
      <c r="G3626" cm="1">
        <f t="array" ref="G3626">_xlfn.XLOOKUP(C3626,Account_Master!A:A,Account_Master!C:C,"Not on master")</f>
        <v>0</v>
      </c>
      <c r="H3626" s="6">
        <v>2.1</v>
      </c>
      <c r="I3626" s="6">
        <v>2.1</v>
      </c>
      <c r="J3626" s="6">
        <f>I3626-H3626</f>
        <v>0</v>
      </c>
      <c r="K3626" s="5">
        <f>IF(H3626=0,"",J3626/H3626)</f>
        <v>0</v>
      </c>
      <c r="L3626">
        <f>IF(OR(AND(H3626=0,ABS(J3626)&gt;=0.01),AND(H3626&lt;&gt;0,ABS(K3626)&gt;VarianceThreshold)),"Review","OK")</f>
        <v>0</v>
      </c>
      <c r="M3626" t="s">
        <v>33</v>
      </c>
    </row>
    <row r="3627" spans="1:13">
      <c r="A3627" t="s">
        <v>5</v>
      </c>
      <c r="B3627" t="s">
        <v>846</v>
      </c>
      <c r="C3627" t="s">
        <v>2769</v>
      </c>
      <c r="D3627" t="s">
        <v>1080</v>
      </c>
      <c r="E3627" cm="1">
        <f t="array" ref="E3627">_xlfn.XLOOKUP(D3627,SKU_Master!A:A,SKU_Master!B:B,"Not on master")</f>
        <v>0</v>
      </c>
      <c r="F3627" cm="1">
        <f t="array" ref="F3627">_xlfn.XLOOKUP(C3627,Account_Master!A:A,Account_Master!B:B,"Not on master")</f>
        <v>0</v>
      </c>
      <c r="G3627" cm="1">
        <f t="array" ref="G3627">_xlfn.XLOOKUP(C3627,Account_Master!A:A,Account_Master!C:C,"Not on master")</f>
        <v>0</v>
      </c>
      <c r="H3627" s="6">
        <v>4.5</v>
      </c>
      <c r="I3627" s="6">
        <v>4.5</v>
      </c>
      <c r="J3627" s="6">
        <f>I3627-H3627</f>
        <v>0</v>
      </c>
      <c r="K3627" s="5">
        <f>IF(H3627=0,"",J3627/H3627)</f>
        <v>0</v>
      </c>
      <c r="L3627">
        <f>IF(OR(AND(H3627=0,ABS(J3627)&gt;=0.01),AND(H3627&lt;&gt;0,ABS(K3627)&gt;VarianceThreshold)),"Review","OK")</f>
        <v>0</v>
      </c>
      <c r="M3627" t="s">
        <v>33</v>
      </c>
    </row>
    <row r="3628" spans="1:13">
      <c r="A3628" t="s">
        <v>5</v>
      </c>
      <c r="B3628" t="s">
        <v>846</v>
      </c>
      <c r="C3628" t="s">
        <v>2764</v>
      </c>
      <c r="D3628" t="s">
        <v>1856</v>
      </c>
      <c r="E3628" cm="1">
        <f t="array" ref="E3628">_xlfn.XLOOKUP(D3628,SKU_Master!A:A,SKU_Master!B:B,"Not on master")</f>
        <v>0</v>
      </c>
      <c r="F3628" cm="1">
        <f t="array" ref="F3628">_xlfn.XLOOKUP(C3628,Account_Master!A:A,Account_Master!B:B,"Not on master")</f>
        <v>0</v>
      </c>
      <c r="G3628" cm="1">
        <f t="array" ref="G3628">_xlfn.XLOOKUP(C3628,Account_Master!A:A,Account_Master!C:C,"Not on master")</f>
        <v>0</v>
      </c>
      <c r="H3628" s="6">
        <v>13.5</v>
      </c>
      <c r="I3628" s="6">
        <v>13.5</v>
      </c>
      <c r="J3628" s="6">
        <f>I3628-H3628</f>
        <v>0</v>
      </c>
      <c r="K3628" s="5">
        <f>IF(H3628=0,"",J3628/H3628)</f>
        <v>0</v>
      </c>
      <c r="L3628">
        <f>IF(OR(AND(H3628=0,ABS(J3628)&gt;=0.01),AND(H3628&lt;&gt;0,ABS(K3628)&gt;VarianceThreshold)),"Review","OK")</f>
        <v>0</v>
      </c>
      <c r="M3628" t="s">
        <v>33</v>
      </c>
    </row>
    <row r="3629" spans="1:13">
      <c r="A3629" t="s">
        <v>5</v>
      </c>
      <c r="B3629" t="s">
        <v>846</v>
      </c>
      <c r="C3629" t="s">
        <v>2769</v>
      </c>
      <c r="D3629" t="s">
        <v>1982</v>
      </c>
      <c r="E3629" cm="1">
        <f t="array" ref="E3629">_xlfn.XLOOKUP(D3629,SKU_Master!A:A,SKU_Master!B:B,"Not on master")</f>
        <v>0</v>
      </c>
      <c r="F3629" cm="1">
        <f t="array" ref="F3629">_xlfn.XLOOKUP(C3629,Account_Master!A:A,Account_Master!B:B,"Not on master")</f>
        <v>0</v>
      </c>
      <c r="G3629" cm="1">
        <f t="array" ref="G3629">_xlfn.XLOOKUP(C3629,Account_Master!A:A,Account_Master!C:C,"Not on master")</f>
        <v>0</v>
      </c>
      <c r="H3629" s="6">
        <v>4.5</v>
      </c>
      <c r="I3629" s="6">
        <v>4.5</v>
      </c>
      <c r="J3629" s="6">
        <f>I3629-H3629</f>
        <v>0</v>
      </c>
      <c r="K3629" s="5">
        <f>IF(H3629=0,"",J3629/H3629)</f>
        <v>0</v>
      </c>
      <c r="L3629">
        <f>IF(OR(AND(H3629=0,ABS(J3629)&gt;=0.01),AND(H3629&lt;&gt;0,ABS(K3629)&gt;VarianceThreshold)),"Review","OK")</f>
        <v>0</v>
      </c>
      <c r="M3629" t="s">
        <v>33</v>
      </c>
    </row>
    <row r="3630" spans="1:13">
      <c r="A3630" t="s">
        <v>5</v>
      </c>
      <c r="B3630" t="s">
        <v>846</v>
      </c>
      <c r="C3630" t="s">
        <v>2842</v>
      </c>
      <c r="D3630" t="s">
        <v>1505</v>
      </c>
      <c r="E3630" cm="1">
        <f t="array" ref="E3630">_xlfn.XLOOKUP(D3630,SKU_Master!A:A,SKU_Master!B:B,"Not on master")</f>
        <v>0</v>
      </c>
      <c r="F3630" cm="1">
        <f t="array" ref="F3630">_xlfn.XLOOKUP(C3630,Account_Master!A:A,Account_Master!B:B,"Not on master")</f>
        <v>0</v>
      </c>
      <c r="G3630" cm="1">
        <f t="array" ref="G3630">_xlfn.XLOOKUP(C3630,Account_Master!A:A,Account_Master!C:C,"Not on master")</f>
        <v>0</v>
      </c>
      <c r="H3630" s="6">
        <v>3.25</v>
      </c>
      <c r="I3630" s="6">
        <v>3.25</v>
      </c>
      <c r="J3630" s="6">
        <f>I3630-H3630</f>
        <v>0</v>
      </c>
      <c r="K3630" s="5">
        <f>IF(H3630=0,"",J3630/H3630)</f>
        <v>0</v>
      </c>
      <c r="L3630">
        <f>IF(OR(AND(H3630=0,ABS(J3630)&gt;=0.01),AND(H3630&lt;&gt;0,ABS(K3630)&gt;VarianceThreshold)),"Review","OK")</f>
        <v>0</v>
      </c>
      <c r="M3630" t="s">
        <v>33</v>
      </c>
    </row>
    <row r="3631" spans="1:13">
      <c r="A3631" t="s">
        <v>5</v>
      </c>
      <c r="B3631" t="s">
        <v>846</v>
      </c>
      <c r="C3631" t="s">
        <v>2756</v>
      </c>
      <c r="D3631" t="s">
        <v>2983</v>
      </c>
      <c r="E3631" cm="1">
        <f t="array" ref="E3631">_xlfn.XLOOKUP(D3631,SKU_Master!A:A,SKU_Master!B:B,"Not on master")</f>
        <v>0</v>
      </c>
      <c r="F3631" cm="1">
        <f t="array" ref="F3631">_xlfn.XLOOKUP(C3631,Account_Master!A:A,Account_Master!B:B,"Not on master")</f>
        <v>0</v>
      </c>
      <c r="G3631" cm="1">
        <f t="array" ref="G3631">_xlfn.XLOOKUP(C3631,Account_Master!A:A,Account_Master!C:C,"Not on master")</f>
        <v>0</v>
      </c>
      <c r="H3631" s="6">
        <v>12</v>
      </c>
      <c r="I3631" s="6">
        <v>12</v>
      </c>
      <c r="J3631" s="6">
        <f>I3631-H3631</f>
        <v>0</v>
      </c>
      <c r="K3631" s="5">
        <f>IF(H3631=0,"",J3631/H3631)</f>
        <v>0</v>
      </c>
      <c r="L3631">
        <f>IF(OR(AND(H3631=0,ABS(J3631)&gt;=0.01),AND(H3631&lt;&gt;0,ABS(K3631)&gt;VarianceThreshold)),"Review","OK")</f>
        <v>0</v>
      </c>
      <c r="M3631" t="s">
        <v>33</v>
      </c>
    </row>
    <row r="3632" spans="1:13">
      <c r="A3632" t="s">
        <v>5</v>
      </c>
      <c r="B3632" t="s">
        <v>846</v>
      </c>
      <c r="C3632" t="s">
        <v>2984</v>
      </c>
      <c r="D3632" t="s">
        <v>192</v>
      </c>
      <c r="E3632" cm="1">
        <f t="array" ref="E3632">_xlfn.XLOOKUP(D3632,SKU_Master!A:A,SKU_Master!B:B,"Not on master")</f>
        <v>0</v>
      </c>
      <c r="F3632" cm="1">
        <f t="array" ref="F3632">_xlfn.XLOOKUP(C3632,Account_Master!A:A,Account_Master!B:B,"Not on master")</f>
        <v>0</v>
      </c>
      <c r="G3632" cm="1">
        <f t="array" ref="G3632">_xlfn.XLOOKUP(C3632,Account_Master!A:A,Account_Master!C:C,"Not on master")</f>
        <v>0</v>
      </c>
      <c r="H3632" s="6">
        <v>2.25</v>
      </c>
      <c r="I3632" s="6">
        <v>2.25</v>
      </c>
      <c r="J3632" s="6">
        <f>I3632-H3632</f>
        <v>0</v>
      </c>
      <c r="K3632" s="5">
        <f>IF(H3632=0,"",J3632/H3632)</f>
        <v>0</v>
      </c>
      <c r="L3632">
        <f>IF(OR(AND(H3632=0,ABS(J3632)&gt;=0.01),AND(H3632&lt;&gt;0,ABS(K3632)&gt;VarianceThreshold)),"Review","OK")</f>
        <v>0</v>
      </c>
      <c r="M3632" t="s">
        <v>33</v>
      </c>
    </row>
    <row r="3633" spans="1:13">
      <c r="A3633" t="s">
        <v>5</v>
      </c>
      <c r="B3633" t="s">
        <v>851</v>
      </c>
      <c r="C3633" t="s">
        <v>2898</v>
      </c>
      <c r="D3633" t="s">
        <v>2358</v>
      </c>
      <c r="E3633" cm="1">
        <f t="array" ref="E3633">_xlfn.XLOOKUP(D3633,SKU_Master!A:A,SKU_Master!B:B,"Not on master")</f>
        <v>0</v>
      </c>
      <c r="F3633" cm="1">
        <f t="array" ref="F3633">_xlfn.XLOOKUP(C3633,Account_Master!A:A,Account_Master!B:B,"Not on master")</f>
        <v>0</v>
      </c>
      <c r="G3633" cm="1">
        <f t="array" ref="G3633">_xlfn.XLOOKUP(C3633,Account_Master!A:A,Account_Master!C:C,"Not on master")</f>
        <v>0</v>
      </c>
      <c r="H3633" s="6">
        <v>9</v>
      </c>
      <c r="I3633" s="6">
        <v>9</v>
      </c>
      <c r="J3633" s="6">
        <f>I3633-H3633</f>
        <v>0</v>
      </c>
      <c r="K3633" s="5">
        <f>IF(H3633=0,"",J3633/H3633)</f>
        <v>0</v>
      </c>
      <c r="L3633">
        <f>IF(OR(AND(H3633=0,ABS(J3633)&gt;=0.01),AND(H3633&lt;&gt;0,ABS(K3633)&gt;VarianceThreshold)),"Review","OK")</f>
        <v>0</v>
      </c>
      <c r="M3633" t="s">
        <v>33</v>
      </c>
    </row>
    <row r="3634" spans="1:13">
      <c r="A3634" t="s">
        <v>5</v>
      </c>
      <c r="B3634" t="s">
        <v>851</v>
      </c>
      <c r="C3634" t="s">
        <v>2760</v>
      </c>
      <c r="D3634" t="s">
        <v>2985</v>
      </c>
      <c r="E3634" cm="1">
        <f t="array" ref="E3634">_xlfn.XLOOKUP(D3634,SKU_Master!A:A,SKU_Master!B:B,"Not on master")</f>
        <v>0</v>
      </c>
      <c r="F3634" cm="1">
        <f t="array" ref="F3634">_xlfn.XLOOKUP(C3634,Account_Master!A:A,Account_Master!B:B,"Not on master")</f>
        <v>0</v>
      </c>
      <c r="G3634" cm="1">
        <f t="array" ref="G3634">_xlfn.XLOOKUP(C3634,Account_Master!A:A,Account_Master!C:C,"Not on master")</f>
        <v>0</v>
      </c>
      <c r="H3634" s="6">
        <v>10.5</v>
      </c>
      <c r="I3634" s="6">
        <v>10.5</v>
      </c>
      <c r="J3634" s="6">
        <f>I3634-H3634</f>
        <v>0</v>
      </c>
      <c r="K3634" s="5">
        <f>IF(H3634=0,"",J3634/H3634)</f>
        <v>0</v>
      </c>
      <c r="L3634">
        <f>IF(OR(AND(H3634=0,ABS(J3634)&gt;=0.01),AND(H3634&lt;&gt;0,ABS(K3634)&gt;VarianceThreshold)),"Review","OK")</f>
        <v>0</v>
      </c>
      <c r="M3634" t="s">
        <v>33</v>
      </c>
    </row>
    <row r="3635" spans="1:13">
      <c r="A3635" t="s">
        <v>5</v>
      </c>
      <c r="B3635" t="s">
        <v>851</v>
      </c>
      <c r="C3635" t="s">
        <v>2633</v>
      </c>
      <c r="D3635" t="s">
        <v>738</v>
      </c>
      <c r="E3635" cm="1">
        <f t="array" ref="E3635">_xlfn.XLOOKUP(D3635,SKU_Master!A:A,SKU_Master!B:B,"Not on master")</f>
        <v>0</v>
      </c>
      <c r="F3635" cm="1">
        <f t="array" ref="F3635">_xlfn.XLOOKUP(C3635,Account_Master!A:A,Account_Master!B:B,"Not on master")</f>
        <v>0</v>
      </c>
      <c r="G3635" cm="1">
        <f t="array" ref="G3635">_xlfn.XLOOKUP(C3635,Account_Master!A:A,Account_Master!C:C,"Not on master")</f>
        <v>0</v>
      </c>
      <c r="H3635" s="6">
        <v>2.25</v>
      </c>
      <c r="I3635" s="6">
        <v>2.25</v>
      </c>
      <c r="J3635" s="6">
        <f>I3635-H3635</f>
        <v>0</v>
      </c>
      <c r="K3635" s="5">
        <f>IF(H3635=0,"",J3635/H3635)</f>
        <v>0</v>
      </c>
      <c r="L3635">
        <f>IF(OR(AND(H3635=0,ABS(J3635)&gt;=0.01),AND(H3635&lt;&gt;0,ABS(K3635)&gt;VarianceThreshold)),"Review","OK")</f>
        <v>0</v>
      </c>
      <c r="M3635" t="s">
        <v>33</v>
      </c>
    </row>
    <row r="3636" spans="1:13">
      <c r="A3636" t="s">
        <v>5</v>
      </c>
      <c r="B3636" t="s">
        <v>851</v>
      </c>
      <c r="C3636" t="s">
        <v>2769</v>
      </c>
      <c r="D3636" t="s">
        <v>963</v>
      </c>
      <c r="E3636" cm="1">
        <f t="array" ref="E3636">_xlfn.XLOOKUP(D3636,SKU_Master!A:A,SKU_Master!B:B,"Not on master")</f>
        <v>0</v>
      </c>
      <c r="F3636" cm="1">
        <f t="array" ref="F3636">_xlfn.XLOOKUP(C3636,Account_Master!A:A,Account_Master!B:B,"Not on master")</f>
        <v>0</v>
      </c>
      <c r="G3636" cm="1">
        <f t="array" ref="G3636">_xlfn.XLOOKUP(C3636,Account_Master!A:A,Account_Master!C:C,"Not on master")</f>
        <v>0</v>
      </c>
      <c r="H3636" s="6">
        <v>470</v>
      </c>
      <c r="I3636" s="6">
        <v>470</v>
      </c>
      <c r="J3636" s="6">
        <f>I3636-H3636</f>
        <v>0</v>
      </c>
      <c r="K3636" s="5">
        <f>IF(H3636=0,"",J3636/H3636)</f>
        <v>0</v>
      </c>
      <c r="L3636">
        <f>IF(OR(AND(H3636=0,ABS(J3636)&gt;=0.01),AND(H3636&lt;&gt;0,ABS(K3636)&gt;VarianceThreshold)),"Review","OK")</f>
        <v>0</v>
      </c>
      <c r="M3636" t="s">
        <v>33</v>
      </c>
    </row>
    <row r="3637" spans="1:13">
      <c r="A3637" t="s">
        <v>5</v>
      </c>
      <c r="B3637" t="s">
        <v>851</v>
      </c>
      <c r="C3637" t="s">
        <v>2986</v>
      </c>
      <c r="D3637" t="s">
        <v>2523</v>
      </c>
      <c r="E3637" cm="1">
        <f t="array" ref="E3637">_xlfn.XLOOKUP(D3637,SKU_Master!A:A,SKU_Master!B:B,"Not on master")</f>
        <v>0</v>
      </c>
      <c r="F3637" cm="1">
        <f t="array" ref="F3637">_xlfn.XLOOKUP(C3637,Account_Master!A:A,Account_Master!B:B,"Not on master")</f>
        <v>0</v>
      </c>
      <c r="G3637" cm="1">
        <f t="array" ref="G3637">_xlfn.XLOOKUP(C3637,Account_Master!A:A,Account_Master!C:C,"Not on master")</f>
        <v>0</v>
      </c>
      <c r="H3637" s="6">
        <v>9.6</v>
      </c>
      <c r="I3637" s="6">
        <v>9.6</v>
      </c>
      <c r="J3637" s="6">
        <f>I3637-H3637</f>
        <v>0</v>
      </c>
      <c r="K3637" s="5">
        <f>IF(H3637=0,"",J3637/H3637)</f>
        <v>0</v>
      </c>
      <c r="L3637">
        <f>IF(OR(AND(H3637=0,ABS(J3637)&gt;=0.01),AND(H3637&lt;&gt;0,ABS(K3637)&gt;VarianceThreshold)),"Review","OK")</f>
        <v>0</v>
      </c>
      <c r="M3637" t="s">
        <v>33</v>
      </c>
    </row>
    <row r="3638" spans="1:13">
      <c r="A3638" t="s">
        <v>5</v>
      </c>
      <c r="B3638" t="s">
        <v>851</v>
      </c>
      <c r="C3638" t="s">
        <v>2894</v>
      </c>
      <c r="D3638" t="s">
        <v>979</v>
      </c>
      <c r="E3638" cm="1">
        <f t="array" ref="E3638">_xlfn.XLOOKUP(D3638,SKU_Master!A:A,SKU_Master!B:B,"Not on master")</f>
        <v>0</v>
      </c>
      <c r="F3638" cm="1">
        <f t="array" ref="F3638">_xlfn.XLOOKUP(C3638,Account_Master!A:A,Account_Master!B:B,"Not on master")</f>
        <v>0</v>
      </c>
      <c r="G3638" cm="1">
        <f t="array" ref="G3638">_xlfn.XLOOKUP(C3638,Account_Master!A:A,Account_Master!C:C,"Not on master")</f>
        <v>0</v>
      </c>
      <c r="H3638" s="6">
        <v>3</v>
      </c>
      <c r="I3638" s="6">
        <v>3</v>
      </c>
      <c r="J3638" s="6">
        <f>I3638-H3638</f>
        <v>0</v>
      </c>
      <c r="K3638" s="5">
        <f>IF(H3638=0,"",J3638/H3638)</f>
        <v>0</v>
      </c>
      <c r="L3638">
        <f>IF(OR(AND(H3638=0,ABS(J3638)&gt;=0.01),AND(H3638&lt;&gt;0,ABS(K3638)&gt;VarianceThreshold)),"Review","OK")</f>
        <v>0</v>
      </c>
      <c r="M3638" t="s">
        <v>33</v>
      </c>
    </row>
    <row r="3639" spans="1:13">
      <c r="A3639" t="s">
        <v>5</v>
      </c>
      <c r="B3639" t="s">
        <v>858</v>
      </c>
      <c r="C3639" t="s">
        <v>2872</v>
      </c>
      <c r="D3639" t="s">
        <v>1269</v>
      </c>
      <c r="E3639" cm="1">
        <f t="array" ref="E3639">_xlfn.XLOOKUP(D3639,SKU_Master!A:A,SKU_Master!B:B,"Not on master")</f>
        <v>0</v>
      </c>
      <c r="F3639" cm="1">
        <f t="array" ref="F3639">_xlfn.XLOOKUP(C3639,Account_Master!A:A,Account_Master!B:B,"Not on master")</f>
        <v>0</v>
      </c>
      <c r="G3639" cm="1">
        <f t="array" ref="G3639">_xlfn.XLOOKUP(C3639,Account_Master!A:A,Account_Master!C:C,"Not on master")</f>
        <v>0</v>
      </c>
      <c r="H3639" s="6">
        <v>126</v>
      </c>
      <c r="I3639" s="6">
        <v>126</v>
      </c>
      <c r="J3639" s="6">
        <f>I3639-H3639</f>
        <v>0</v>
      </c>
      <c r="K3639" s="5">
        <f>IF(H3639=0,"",J3639/H3639)</f>
        <v>0</v>
      </c>
      <c r="L3639">
        <f>IF(OR(AND(H3639=0,ABS(J3639)&gt;=0.01),AND(H3639&lt;&gt;0,ABS(K3639)&gt;VarianceThreshold)),"Review","OK")</f>
        <v>0</v>
      </c>
      <c r="M3639" t="s">
        <v>33</v>
      </c>
    </row>
    <row r="3640" spans="1:13">
      <c r="A3640" t="s">
        <v>5</v>
      </c>
      <c r="B3640" t="s">
        <v>858</v>
      </c>
      <c r="C3640" t="s">
        <v>2987</v>
      </c>
      <c r="D3640" t="s">
        <v>1141</v>
      </c>
      <c r="E3640" cm="1">
        <f t="array" ref="E3640">_xlfn.XLOOKUP(D3640,SKU_Master!A:A,SKU_Master!B:B,"Not on master")</f>
        <v>0</v>
      </c>
      <c r="F3640" cm="1">
        <f t="array" ref="F3640">_xlfn.XLOOKUP(C3640,Account_Master!A:A,Account_Master!B:B,"Not on master")</f>
        <v>0</v>
      </c>
      <c r="G3640" cm="1">
        <f t="array" ref="G3640">_xlfn.XLOOKUP(C3640,Account_Master!A:A,Account_Master!C:C,"Not on master")</f>
        <v>0</v>
      </c>
      <c r="H3640" s="6">
        <v>0.05</v>
      </c>
      <c r="I3640" s="6">
        <v>0.05</v>
      </c>
      <c r="J3640" s="6">
        <f>I3640-H3640</f>
        <v>0</v>
      </c>
      <c r="K3640" s="5">
        <f>IF(H3640=0,"",J3640/H3640)</f>
        <v>0</v>
      </c>
      <c r="L3640">
        <f>IF(OR(AND(H3640=0,ABS(J3640)&gt;=0.01),AND(H3640&lt;&gt;0,ABS(K3640)&gt;VarianceThreshold)),"Review","OK")</f>
        <v>0</v>
      </c>
      <c r="M3640" t="s">
        <v>33</v>
      </c>
    </row>
    <row r="3641" spans="1:13">
      <c r="A3641" t="s">
        <v>5</v>
      </c>
      <c r="B3641" t="s">
        <v>858</v>
      </c>
      <c r="C3641" t="s">
        <v>2766</v>
      </c>
      <c r="D3641" t="s">
        <v>2988</v>
      </c>
      <c r="E3641" cm="1">
        <f t="array" ref="E3641">_xlfn.XLOOKUP(D3641,SKU_Master!A:A,SKU_Master!B:B,"Not on master")</f>
        <v>0</v>
      </c>
      <c r="F3641" cm="1">
        <f t="array" ref="F3641">_xlfn.XLOOKUP(C3641,Account_Master!A:A,Account_Master!B:B,"Not on master")</f>
        <v>0</v>
      </c>
      <c r="G3641" cm="1">
        <f t="array" ref="G3641">_xlfn.XLOOKUP(C3641,Account_Master!A:A,Account_Master!C:C,"Not on master")</f>
        <v>0</v>
      </c>
      <c r="H3641" s="6">
        <v>12.25</v>
      </c>
      <c r="I3641" s="6">
        <v>12.25</v>
      </c>
      <c r="J3641" s="6">
        <f>I3641-H3641</f>
        <v>0</v>
      </c>
      <c r="K3641" s="5">
        <f>IF(H3641=0,"",J3641/H3641)</f>
        <v>0</v>
      </c>
      <c r="L3641">
        <f>IF(OR(AND(H3641=0,ABS(J3641)&gt;=0.01),AND(H3641&lt;&gt;0,ABS(K3641)&gt;VarianceThreshold)),"Review","OK")</f>
        <v>0</v>
      </c>
      <c r="M3641" t="s">
        <v>33</v>
      </c>
    </row>
    <row r="3642" spans="1:13">
      <c r="A3642" t="s">
        <v>5</v>
      </c>
      <c r="B3642" t="s">
        <v>858</v>
      </c>
      <c r="C3642" t="s">
        <v>2989</v>
      </c>
      <c r="D3642" t="s">
        <v>824</v>
      </c>
      <c r="E3642" cm="1">
        <f t="array" ref="E3642">_xlfn.XLOOKUP(D3642,SKU_Master!A:A,SKU_Master!B:B,"Not on master")</f>
        <v>0</v>
      </c>
      <c r="F3642" cm="1">
        <f t="array" ref="F3642">_xlfn.XLOOKUP(C3642,Account_Master!A:A,Account_Master!B:B,"Not on master")</f>
        <v>0</v>
      </c>
      <c r="G3642" cm="1">
        <f t="array" ref="G3642">_xlfn.XLOOKUP(C3642,Account_Master!A:A,Account_Master!C:C,"Not on master")</f>
        <v>0</v>
      </c>
      <c r="H3642" s="6">
        <v>7.12</v>
      </c>
      <c r="I3642" s="6">
        <v>7.12</v>
      </c>
      <c r="J3642" s="6">
        <f>I3642-H3642</f>
        <v>0</v>
      </c>
      <c r="K3642" s="5">
        <f>IF(H3642=0,"",J3642/H3642)</f>
        <v>0</v>
      </c>
      <c r="L3642">
        <f>IF(OR(AND(H3642=0,ABS(J3642)&gt;=0.01),AND(H3642&lt;&gt;0,ABS(K3642)&gt;VarianceThreshold)),"Review","OK")</f>
        <v>0</v>
      </c>
      <c r="M3642" t="s">
        <v>33</v>
      </c>
    </row>
    <row r="3643" spans="1:13">
      <c r="A3643" t="s">
        <v>5</v>
      </c>
      <c r="B3643" t="s">
        <v>858</v>
      </c>
      <c r="C3643" t="s">
        <v>2759</v>
      </c>
      <c r="D3643" t="s">
        <v>1529</v>
      </c>
      <c r="E3643" cm="1">
        <f t="array" ref="E3643">_xlfn.XLOOKUP(D3643,SKU_Master!A:A,SKU_Master!B:B,"Not on master")</f>
        <v>0</v>
      </c>
      <c r="F3643" cm="1">
        <f t="array" ref="F3643">_xlfn.XLOOKUP(C3643,Account_Master!A:A,Account_Master!B:B,"Not on master")</f>
        <v>0</v>
      </c>
      <c r="G3643" cm="1">
        <f t="array" ref="G3643">_xlfn.XLOOKUP(C3643,Account_Master!A:A,Account_Master!C:C,"Not on master")</f>
        <v>0</v>
      </c>
      <c r="H3643" s="6">
        <v>73.5</v>
      </c>
      <c r="I3643" s="6">
        <v>73.5</v>
      </c>
      <c r="J3643" s="6">
        <f>I3643-H3643</f>
        <v>0</v>
      </c>
      <c r="K3643" s="5">
        <f>IF(H3643=0,"",J3643/H3643)</f>
        <v>0</v>
      </c>
      <c r="L3643">
        <f>IF(OR(AND(H3643=0,ABS(J3643)&gt;=0.01),AND(H3643&lt;&gt;0,ABS(K3643)&gt;VarianceThreshold)),"Review","OK")</f>
        <v>0</v>
      </c>
      <c r="M3643" t="s">
        <v>33</v>
      </c>
    </row>
    <row r="3644" spans="1:13">
      <c r="A3644" t="s">
        <v>5</v>
      </c>
      <c r="B3644" t="s">
        <v>868</v>
      </c>
      <c r="C3644" t="s">
        <v>2760</v>
      </c>
      <c r="D3644" t="s">
        <v>2990</v>
      </c>
      <c r="E3644" cm="1">
        <f t="array" ref="E3644">_xlfn.XLOOKUP(D3644,SKU_Master!A:A,SKU_Master!B:B,"Not on master")</f>
        <v>0</v>
      </c>
      <c r="F3644" cm="1">
        <f t="array" ref="F3644">_xlfn.XLOOKUP(C3644,Account_Master!A:A,Account_Master!B:B,"Not on master")</f>
        <v>0</v>
      </c>
      <c r="G3644" cm="1">
        <f t="array" ref="G3644">_xlfn.XLOOKUP(C3644,Account_Master!A:A,Account_Master!C:C,"Not on master")</f>
        <v>0</v>
      </c>
      <c r="H3644" s="6">
        <v>52.5</v>
      </c>
      <c r="I3644" s="6">
        <v>52.5</v>
      </c>
      <c r="J3644" s="6">
        <f>I3644-H3644</f>
        <v>0</v>
      </c>
      <c r="K3644" s="5">
        <f>IF(H3644=0,"",J3644/H3644)</f>
        <v>0</v>
      </c>
      <c r="L3644">
        <f>IF(OR(AND(H3644=0,ABS(J3644)&gt;=0.01),AND(H3644&lt;&gt;0,ABS(K3644)&gt;VarianceThreshold)),"Review","OK")</f>
        <v>0</v>
      </c>
      <c r="M3644" t="s">
        <v>33</v>
      </c>
    </row>
    <row r="3645" spans="1:13">
      <c r="A3645" t="s">
        <v>5</v>
      </c>
      <c r="B3645" t="s">
        <v>868</v>
      </c>
      <c r="C3645" t="s">
        <v>2769</v>
      </c>
      <c r="D3645" t="s">
        <v>697</v>
      </c>
      <c r="E3645" cm="1">
        <f t="array" ref="E3645">_xlfn.XLOOKUP(D3645,SKU_Master!A:A,SKU_Master!B:B,"Not on master")</f>
        <v>0</v>
      </c>
      <c r="F3645" cm="1">
        <f t="array" ref="F3645">_xlfn.XLOOKUP(C3645,Account_Master!A:A,Account_Master!B:B,"Not on master")</f>
        <v>0</v>
      </c>
      <c r="G3645" cm="1">
        <f t="array" ref="G3645">_xlfn.XLOOKUP(C3645,Account_Master!A:A,Account_Master!C:C,"Not on master")</f>
        <v>0</v>
      </c>
      <c r="H3645" s="6">
        <v>9</v>
      </c>
      <c r="I3645" s="6">
        <v>9</v>
      </c>
      <c r="J3645" s="6">
        <f>I3645-H3645</f>
        <v>0</v>
      </c>
      <c r="K3645" s="5">
        <f>IF(H3645=0,"",J3645/H3645)</f>
        <v>0</v>
      </c>
      <c r="L3645">
        <f>IF(OR(AND(H3645=0,ABS(J3645)&gt;=0.01),AND(H3645&lt;&gt;0,ABS(K3645)&gt;VarianceThreshold)),"Review","OK")</f>
        <v>0</v>
      </c>
      <c r="M3645" t="s">
        <v>33</v>
      </c>
    </row>
    <row r="3646" spans="1:13">
      <c r="A3646" t="s">
        <v>5</v>
      </c>
      <c r="B3646" t="s">
        <v>868</v>
      </c>
      <c r="C3646" t="s">
        <v>1954</v>
      </c>
      <c r="D3646" t="s">
        <v>2991</v>
      </c>
      <c r="E3646" cm="1">
        <f t="array" ref="E3646">_xlfn.XLOOKUP(D3646,SKU_Master!A:A,SKU_Master!B:B,"Not on master")</f>
        <v>0</v>
      </c>
      <c r="F3646" cm="1">
        <f t="array" ref="F3646">_xlfn.XLOOKUP(C3646,Account_Master!A:A,Account_Master!B:B,"Not on master")</f>
        <v>0</v>
      </c>
      <c r="G3646" cm="1">
        <f t="array" ref="G3646">_xlfn.XLOOKUP(C3646,Account_Master!A:A,Account_Master!C:C,"Not on master")</f>
        <v>0</v>
      </c>
      <c r="H3646" s="6">
        <v>0.75</v>
      </c>
      <c r="I3646" s="6">
        <v>0.75</v>
      </c>
      <c r="J3646" s="6">
        <f>I3646-H3646</f>
        <v>0</v>
      </c>
      <c r="K3646" s="5">
        <f>IF(H3646=0,"",J3646/H3646)</f>
        <v>0</v>
      </c>
      <c r="L3646">
        <f>IF(OR(AND(H3646=0,ABS(J3646)&gt;=0.01),AND(H3646&lt;&gt;0,ABS(K3646)&gt;VarianceThreshold)),"Review","OK")</f>
        <v>0</v>
      </c>
      <c r="M3646" t="s">
        <v>33</v>
      </c>
    </row>
    <row r="3647" spans="1:13">
      <c r="A3647" t="s">
        <v>5</v>
      </c>
      <c r="B3647" t="s">
        <v>876</v>
      </c>
      <c r="C3647" t="s">
        <v>2765</v>
      </c>
      <c r="D3647" t="s">
        <v>837</v>
      </c>
      <c r="E3647" cm="1">
        <f t="array" ref="E3647">_xlfn.XLOOKUP(D3647,SKU_Master!A:A,SKU_Master!B:B,"Not on master")</f>
        <v>0</v>
      </c>
      <c r="F3647" cm="1">
        <f t="array" ref="F3647">_xlfn.XLOOKUP(C3647,Account_Master!A:A,Account_Master!B:B,"Not on master")</f>
        <v>0</v>
      </c>
      <c r="G3647" cm="1">
        <f t="array" ref="G3647">_xlfn.XLOOKUP(C3647,Account_Master!A:A,Account_Master!C:C,"Not on master")</f>
        <v>0</v>
      </c>
      <c r="H3647" s="6">
        <v>1.25</v>
      </c>
      <c r="I3647" s="6">
        <v>1.25</v>
      </c>
      <c r="J3647" s="6">
        <f>I3647-H3647</f>
        <v>0</v>
      </c>
      <c r="K3647" s="5">
        <f>IF(H3647=0,"",J3647/H3647)</f>
        <v>0</v>
      </c>
      <c r="L3647">
        <f>IF(OR(AND(H3647=0,ABS(J3647)&gt;=0.01),AND(H3647&lt;&gt;0,ABS(K3647)&gt;VarianceThreshold)),"Review","OK")</f>
        <v>0</v>
      </c>
      <c r="M3647" t="s">
        <v>33</v>
      </c>
    </row>
    <row r="3648" spans="1:13">
      <c r="A3648" t="s">
        <v>5</v>
      </c>
      <c r="B3648" t="s">
        <v>876</v>
      </c>
      <c r="C3648" t="s">
        <v>2881</v>
      </c>
      <c r="D3648" t="s">
        <v>2992</v>
      </c>
      <c r="E3648" cm="1">
        <f t="array" ref="E3648">_xlfn.XLOOKUP(D3648,SKU_Master!A:A,SKU_Master!B:B,"Not on master")</f>
        <v>0</v>
      </c>
      <c r="F3648" cm="1">
        <f t="array" ref="F3648">_xlfn.XLOOKUP(C3648,Account_Master!A:A,Account_Master!B:B,"Not on master")</f>
        <v>0</v>
      </c>
      <c r="G3648" cm="1">
        <f t="array" ref="G3648">_xlfn.XLOOKUP(C3648,Account_Master!A:A,Account_Master!C:C,"Not on master")</f>
        <v>0</v>
      </c>
      <c r="H3648" s="6">
        <v>12.25</v>
      </c>
      <c r="I3648" s="6">
        <v>12.25</v>
      </c>
      <c r="J3648" s="6">
        <f>I3648-H3648</f>
        <v>0</v>
      </c>
      <c r="K3648" s="5">
        <f>IF(H3648=0,"",J3648/H3648)</f>
        <v>0</v>
      </c>
      <c r="L3648">
        <f>IF(OR(AND(H3648=0,ABS(J3648)&gt;=0.01),AND(H3648&lt;&gt;0,ABS(K3648)&gt;VarianceThreshold)),"Review","OK")</f>
        <v>0</v>
      </c>
      <c r="M3648" t="s">
        <v>33</v>
      </c>
    </row>
    <row r="3649" spans="1:13">
      <c r="A3649" t="s">
        <v>5</v>
      </c>
      <c r="B3649" t="s">
        <v>876</v>
      </c>
      <c r="C3649" t="s">
        <v>2894</v>
      </c>
      <c r="D3649" t="s">
        <v>137</v>
      </c>
      <c r="E3649" cm="1">
        <f t="array" ref="E3649">_xlfn.XLOOKUP(D3649,SKU_Master!A:A,SKU_Master!B:B,"Not on master")</f>
        <v>0</v>
      </c>
      <c r="F3649" cm="1">
        <f t="array" ref="F3649">_xlfn.XLOOKUP(C3649,Account_Master!A:A,Account_Master!B:B,"Not on master")</f>
        <v>0</v>
      </c>
      <c r="G3649" cm="1">
        <f t="array" ref="G3649">_xlfn.XLOOKUP(C3649,Account_Master!A:A,Account_Master!C:C,"Not on master")</f>
        <v>0</v>
      </c>
      <c r="H3649" s="6">
        <v>3</v>
      </c>
      <c r="I3649" s="6">
        <v>3</v>
      </c>
      <c r="J3649" s="6">
        <f>I3649-H3649</f>
        <v>0</v>
      </c>
      <c r="K3649" s="5">
        <f>IF(H3649=0,"",J3649/H3649)</f>
        <v>0</v>
      </c>
      <c r="L3649">
        <f>IF(OR(AND(H3649=0,ABS(J3649)&gt;=0.01),AND(H3649&lt;&gt;0,ABS(K3649)&gt;VarianceThreshold)),"Review","OK")</f>
        <v>0</v>
      </c>
      <c r="M3649" t="s">
        <v>33</v>
      </c>
    </row>
    <row r="3650" spans="1:13">
      <c r="A3650" t="s">
        <v>5</v>
      </c>
      <c r="B3650" t="s">
        <v>876</v>
      </c>
      <c r="C3650" t="s">
        <v>2963</v>
      </c>
      <c r="D3650" t="s">
        <v>2672</v>
      </c>
      <c r="E3650" cm="1">
        <f t="array" ref="E3650">_xlfn.XLOOKUP(D3650,SKU_Master!A:A,SKU_Master!B:B,"Not on master")</f>
        <v>0</v>
      </c>
      <c r="F3650" cm="1">
        <f t="array" ref="F3650">_xlfn.XLOOKUP(C3650,Account_Master!A:A,Account_Master!B:B,"Not on master")</f>
        <v>0</v>
      </c>
      <c r="G3650" cm="1">
        <f t="array" ref="G3650">_xlfn.XLOOKUP(C3650,Account_Master!A:A,Account_Master!C:C,"Not on master")</f>
        <v>0</v>
      </c>
      <c r="H3650" s="6">
        <v>1.5</v>
      </c>
      <c r="I3650" s="6">
        <v>1.5</v>
      </c>
      <c r="J3650" s="6">
        <f>I3650-H3650</f>
        <v>0</v>
      </c>
      <c r="K3650" s="5">
        <f>IF(H3650=0,"",J3650/H3650)</f>
        <v>0</v>
      </c>
      <c r="L3650">
        <f>IF(OR(AND(H3650=0,ABS(J3650)&gt;=0.01),AND(H3650&lt;&gt;0,ABS(K3650)&gt;VarianceThreshold)),"Review","OK")</f>
        <v>0</v>
      </c>
      <c r="M3650" t="s">
        <v>33</v>
      </c>
    </row>
    <row r="3651" spans="1:13">
      <c r="A3651" t="s">
        <v>5</v>
      </c>
      <c r="B3651" t="s">
        <v>876</v>
      </c>
      <c r="C3651" t="s">
        <v>2752</v>
      </c>
      <c r="D3651" t="s">
        <v>223</v>
      </c>
      <c r="E3651" cm="1">
        <f t="array" ref="E3651">_xlfn.XLOOKUP(D3651,SKU_Master!A:A,SKU_Master!B:B,"Not on master")</f>
        <v>0</v>
      </c>
      <c r="F3651" cm="1">
        <f t="array" ref="F3651">_xlfn.XLOOKUP(C3651,Account_Master!A:A,Account_Master!B:B,"Not on master")</f>
        <v>0</v>
      </c>
      <c r="G3651" cm="1">
        <f t="array" ref="G3651">_xlfn.XLOOKUP(C3651,Account_Master!A:A,Account_Master!C:C,"Not on master")</f>
        <v>0</v>
      </c>
      <c r="H3651" s="6">
        <v>1.5</v>
      </c>
      <c r="I3651" s="6">
        <v>1.5</v>
      </c>
      <c r="J3651" s="6">
        <f>I3651-H3651</f>
        <v>0</v>
      </c>
      <c r="K3651" s="5">
        <f>IF(H3651=0,"",J3651/H3651)</f>
        <v>0</v>
      </c>
      <c r="L3651">
        <f>IF(OR(AND(H3651=0,ABS(J3651)&gt;=0.01),AND(H3651&lt;&gt;0,ABS(K3651)&gt;VarianceThreshold)),"Review","OK")</f>
        <v>0</v>
      </c>
      <c r="M3651" t="s">
        <v>33</v>
      </c>
    </row>
    <row r="3652" spans="1:13">
      <c r="A3652" t="s">
        <v>5</v>
      </c>
      <c r="B3652" t="s">
        <v>880</v>
      </c>
      <c r="C3652" t="s">
        <v>2846</v>
      </c>
      <c r="D3652" t="s">
        <v>2993</v>
      </c>
      <c r="E3652" cm="1">
        <f t="array" ref="E3652">_xlfn.XLOOKUP(D3652,SKU_Master!A:A,SKU_Master!B:B,"Not on master")</f>
        <v>0</v>
      </c>
      <c r="F3652" cm="1">
        <f t="array" ref="F3652">_xlfn.XLOOKUP(C3652,Account_Master!A:A,Account_Master!B:B,"Not on master")</f>
        <v>0</v>
      </c>
      <c r="G3652" cm="1">
        <f t="array" ref="G3652">_xlfn.XLOOKUP(C3652,Account_Master!A:A,Account_Master!C:C,"Not on master")</f>
        <v>0</v>
      </c>
      <c r="H3652" s="6">
        <v>2.25</v>
      </c>
      <c r="I3652" s="6">
        <v>2.25</v>
      </c>
      <c r="J3652" s="6">
        <f>I3652-H3652</f>
        <v>0</v>
      </c>
      <c r="K3652" s="5">
        <f>IF(H3652=0,"",J3652/H3652)</f>
        <v>0</v>
      </c>
      <c r="L3652">
        <f>IF(OR(AND(H3652=0,ABS(J3652)&gt;=0.01),AND(H3652&lt;&gt;0,ABS(K3652)&gt;VarianceThreshold)),"Review","OK")</f>
        <v>0</v>
      </c>
      <c r="M3652" t="s">
        <v>33</v>
      </c>
    </row>
    <row r="3653" spans="1:13">
      <c r="A3653" t="s">
        <v>5</v>
      </c>
      <c r="B3653" t="s">
        <v>880</v>
      </c>
      <c r="C3653" t="s">
        <v>2994</v>
      </c>
      <c r="D3653" t="s">
        <v>1322</v>
      </c>
      <c r="E3653" cm="1">
        <f t="array" ref="E3653">_xlfn.XLOOKUP(D3653,SKU_Master!A:A,SKU_Master!B:B,"Not on master")</f>
        <v>0</v>
      </c>
      <c r="F3653" cm="1">
        <f t="array" ref="F3653">_xlfn.XLOOKUP(C3653,Account_Master!A:A,Account_Master!B:B,"Not on master")</f>
        <v>0</v>
      </c>
      <c r="G3653" cm="1">
        <f t="array" ref="G3653">_xlfn.XLOOKUP(C3653,Account_Master!A:A,Account_Master!C:C,"Not on master")</f>
        <v>0</v>
      </c>
      <c r="H3653" s="6">
        <v>6</v>
      </c>
      <c r="I3653" s="6">
        <v>6</v>
      </c>
      <c r="J3653" s="6">
        <f>I3653-H3653</f>
        <v>0</v>
      </c>
      <c r="K3653" s="5">
        <f>IF(H3653=0,"",J3653/H3653)</f>
        <v>0</v>
      </c>
      <c r="L3653">
        <f>IF(OR(AND(H3653=0,ABS(J3653)&gt;=0.01),AND(H3653&lt;&gt;0,ABS(K3653)&gt;VarianceThreshold)),"Review","OK")</f>
        <v>0</v>
      </c>
      <c r="M3653" t="s">
        <v>33</v>
      </c>
    </row>
    <row r="3654" spans="1:13">
      <c r="A3654" t="s">
        <v>5</v>
      </c>
      <c r="B3654" t="s">
        <v>880</v>
      </c>
      <c r="C3654" t="s">
        <v>2767</v>
      </c>
      <c r="D3654" t="s">
        <v>2995</v>
      </c>
      <c r="E3654" cm="1">
        <f t="array" ref="E3654">_xlfn.XLOOKUP(D3654,SKU_Master!A:A,SKU_Master!B:B,"Not on master")</f>
        <v>0</v>
      </c>
      <c r="F3654" cm="1">
        <f t="array" ref="F3654">_xlfn.XLOOKUP(C3654,Account_Master!A:A,Account_Master!B:B,"Not on master")</f>
        <v>0</v>
      </c>
      <c r="G3654" cm="1">
        <f t="array" ref="G3654">_xlfn.XLOOKUP(C3654,Account_Master!A:A,Account_Master!C:C,"Not on master")</f>
        <v>0</v>
      </c>
      <c r="H3654" s="6">
        <v>24.75</v>
      </c>
      <c r="I3654" s="6">
        <v>24.75</v>
      </c>
      <c r="J3654" s="6">
        <f>I3654-H3654</f>
        <v>0</v>
      </c>
      <c r="K3654" s="5">
        <f>IF(H3654=0,"",J3654/H3654)</f>
        <v>0</v>
      </c>
      <c r="L3654">
        <f>IF(OR(AND(H3654=0,ABS(J3654)&gt;=0.01),AND(H3654&lt;&gt;0,ABS(K3654)&gt;VarianceThreshold)),"Review","OK")</f>
        <v>0</v>
      </c>
      <c r="M3654" t="s">
        <v>33</v>
      </c>
    </row>
    <row r="3655" spans="1:13">
      <c r="A3655" t="s">
        <v>5</v>
      </c>
      <c r="B3655" t="s">
        <v>880</v>
      </c>
      <c r="C3655" t="s">
        <v>2769</v>
      </c>
      <c r="D3655" t="s">
        <v>1436</v>
      </c>
      <c r="E3655" cm="1">
        <f t="array" ref="E3655">_xlfn.XLOOKUP(D3655,SKU_Master!A:A,SKU_Master!B:B,"Not on master")</f>
        <v>0</v>
      </c>
      <c r="F3655" cm="1">
        <f t="array" ref="F3655">_xlfn.XLOOKUP(C3655,Account_Master!A:A,Account_Master!B:B,"Not on master")</f>
        <v>0</v>
      </c>
      <c r="G3655" cm="1">
        <f t="array" ref="G3655">_xlfn.XLOOKUP(C3655,Account_Master!A:A,Account_Master!C:C,"Not on master")</f>
        <v>0</v>
      </c>
      <c r="H3655" s="6">
        <v>120</v>
      </c>
      <c r="I3655" s="6">
        <v>120</v>
      </c>
      <c r="J3655" s="6">
        <f>I3655-H3655</f>
        <v>0</v>
      </c>
      <c r="K3655" s="5">
        <f>IF(H3655=0,"",J3655/H3655)</f>
        <v>0</v>
      </c>
      <c r="L3655">
        <f>IF(OR(AND(H3655=0,ABS(J3655)&gt;=0.01),AND(H3655&lt;&gt;0,ABS(K3655)&gt;VarianceThreshold)),"Review","OK")</f>
        <v>0</v>
      </c>
      <c r="M3655" t="s">
        <v>33</v>
      </c>
    </row>
    <row r="3656" spans="1:13">
      <c r="A3656" t="s">
        <v>5</v>
      </c>
      <c r="B3656" t="s">
        <v>880</v>
      </c>
      <c r="C3656" t="s">
        <v>2750</v>
      </c>
      <c r="D3656" t="s">
        <v>2344</v>
      </c>
      <c r="E3656" cm="1">
        <f t="array" ref="E3656">_xlfn.XLOOKUP(D3656,SKU_Master!A:A,SKU_Master!B:B,"Not on master")</f>
        <v>0</v>
      </c>
      <c r="F3656" cm="1">
        <f t="array" ref="F3656">_xlfn.XLOOKUP(C3656,Account_Master!A:A,Account_Master!B:B,"Not on master")</f>
        <v>0</v>
      </c>
      <c r="G3656" cm="1">
        <f t="array" ref="G3656">_xlfn.XLOOKUP(C3656,Account_Master!A:A,Account_Master!C:C,"Not on master")</f>
        <v>0</v>
      </c>
      <c r="H3656" s="6">
        <v>9</v>
      </c>
      <c r="I3656" s="6">
        <v>9</v>
      </c>
      <c r="J3656" s="6">
        <f>I3656-H3656</f>
        <v>0</v>
      </c>
      <c r="K3656" s="5">
        <f>IF(H3656=0,"",J3656/H3656)</f>
        <v>0</v>
      </c>
      <c r="L3656">
        <f>IF(OR(AND(H3656=0,ABS(J3656)&gt;=0.01),AND(H3656&lt;&gt;0,ABS(K3656)&gt;VarianceThreshold)),"Review","OK")</f>
        <v>0</v>
      </c>
      <c r="M3656" t="s">
        <v>33</v>
      </c>
    </row>
    <row r="3657" spans="1:13">
      <c r="A3657" t="s">
        <v>5</v>
      </c>
      <c r="B3657" t="s">
        <v>891</v>
      </c>
      <c r="C3657" t="s">
        <v>2775</v>
      </c>
      <c r="D3657" t="s">
        <v>1428</v>
      </c>
      <c r="E3657" cm="1">
        <f t="array" ref="E3657">_xlfn.XLOOKUP(D3657,SKU_Master!A:A,SKU_Master!B:B,"Not on master")</f>
        <v>0</v>
      </c>
      <c r="F3657" cm="1">
        <f t="array" ref="F3657">_xlfn.XLOOKUP(C3657,Account_Master!A:A,Account_Master!B:B,"Not on master")</f>
        <v>0</v>
      </c>
      <c r="G3657" cm="1">
        <f t="array" ref="G3657">_xlfn.XLOOKUP(C3657,Account_Master!A:A,Account_Master!C:C,"Not on master")</f>
        <v>0</v>
      </c>
      <c r="H3657" s="6">
        <v>1.5</v>
      </c>
      <c r="I3657" s="6">
        <v>1.5</v>
      </c>
      <c r="J3657" s="6">
        <f>I3657-H3657</f>
        <v>0</v>
      </c>
      <c r="K3657" s="5">
        <f>IF(H3657=0,"",J3657/H3657)</f>
        <v>0</v>
      </c>
      <c r="L3657">
        <f>IF(OR(AND(H3657=0,ABS(J3657)&gt;=0.01),AND(H3657&lt;&gt;0,ABS(K3657)&gt;VarianceThreshold)),"Review","OK")</f>
        <v>0</v>
      </c>
      <c r="M3657" t="s">
        <v>33</v>
      </c>
    </row>
    <row r="3658" spans="1:13">
      <c r="A3658" t="s">
        <v>5</v>
      </c>
      <c r="B3658" t="s">
        <v>891</v>
      </c>
      <c r="C3658" t="s">
        <v>2996</v>
      </c>
      <c r="D3658" t="s">
        <v>342</v>
      </c>
      <c r="E3658" cm="1">
        <f t="array" ref="E3658">_xlfn.XLOOKUP(D3658,SKU_Master!A:A,SKU_Master!B:B,"Not on master")</f>
        <v>0</v>
      </c>
      <c r="F3658" cm="1">
        <f t="array" ref="F3658">_xlfn.XLOOKUP(C3658,Account_Master!A:A,Account_Master!B:B,"Not on master")</f>
        <v>0</v>
      </c>
      <c r="G3658" cm="1">
        <f t="array" ref="G3658">_xlfn.XLOOKUP(C3658,Account_Master!A:A,Account_Master!C:C,"Not on master")</f>
        <v>0</v>
      </c>
      <c r="H3658" s="6">
        <v>5.62</v>
      </c>
      <c r="I3658" s="6">
        <v>5.62</v>
      </c>
      <c r="J3658" s="6">
        <f>I3658-H3658</f>
        <v>0</v>
      </c>
      <c r="K3658" s="5">
        <f>IF(H3658=0,"",J3658/H3658)</f>
        <v>0</v>
      </c>
      <c r="L3658">
        <f>IF(OR(AND(H3658=0,ABS(J3658)&gt;=0.01),AND(H3658&lt;&gt;0,ABS(K3658)&gt;VarianceThreshold)),"Review","OK")</f>
        <v>0</v>
      </c>
      <c r="M3658" t="s">
        <v>33</v>
      </c>
    </row>
    <row r="3659" spans="1:13">
      <c r="A3659" t="s">
        <v>5</v>
      </c>
      <c r="B3659" t="s">
        <v>891</v>
      </c>
      <c r="C3659" t="s">
        <v>2767</v>
      </c>
      <c r="D3659" t="s">
        <v>1383</v>
      </c>
      <c r="E3659" cm="1">
        <f t="array" ref="E3659">_xlfn.XLOOKUP(D3659,SKU_Master!A:A,SKU_Master!B:B,"Not on master")</f>
        <v>0</v>
      </c>
      <c r="F3659" cm="1">
        <f t="array" ref="F3659">_xlfn.XLOOKUP(C3659,Account_Master!A:A,Account_Master!B:B,"Not on master")</f>
        <v>0</v>
      </c>
      <c r="G3659" cm="1">
        <f t="array" ref="G3659">_xlfn.XLOOKUP(C3659,Account_Master!A:A,Account_Master!C:C,"Not on master")</f>
        <v>0</v>
      </c>
      <c r="H3659" s="6">
        <v>18</v>
      </c>
      <c r="I3659" s="6">
        <v>18</v>
      </c>
      <c r="J3659" s="6">
        <f>I3659-H3659</f>
        <v>0</v>
      </c>
      <c r="K3659" s="5">
        <f>IF(H3659=0,"",J3659/H3659)</f>
        <v>0</v>
      </c>
      <c r="L3659">
        <f>IF(OR(AND(H3659=0,ABS(J3659)&gt;=0.01),AND(H3659&lt;&gt;0,ABS(K3659)&gt;VarianceThreshold)),"Review","OK")</f>
        <v>0</v>
      </c>
      <c r="M3659" t="s">
        <v>33</v>
      </c>
    </row>
    <row r="3660" spans="1:13">
      <c r="A3660" t="s">
        <v>5</v>
      </c>
      <c r="B3660" t="s">
        <v>891</v>
      </c>
      <c r="C3660" t="s">
        <v>2766</v>
      </c>
      <c r="D3660" t="s">
        <v>2997</v>
      </c>
      <c r="E3660" cm="1">
        <f t="array" ref="E3660">_xlfn.XLOOKUP(D3660,SKU_Master!A:A,SKU_Master!B:B,"Not on master")</f>
        <v>0</v>
      </c>
      <c r="F3660" cm="1">
        <f t="array" ref="F3660">_xlfn.XLOOKUP(C3660,Account_Master!A:A,Account_Master!B:B,"Not on master")</f>
        <v>0</v>
      </c>
      <c r="G3660" cm="1">
        <f t="array" ref="G3660">_xlfn.XLOOKUP(C3660,Account_Master!A:A,Account_Master!C:C,"Not on master")</f>
        <v>0</v>
      </c>
      <c r="H3660" s="6">
        <v>0.65</v>
      </c>
      <c r="I3660" s="6">
        <v>0.65</v>
      </c>
      <c r="J3660" s="6">
        <f>I3660-H3660</f>
        <v>0</v>
      </c>
      <c r="K3660" s="5">
        <f>IF(H3660=0,"",J3660/H3660)</f>
        <v>0</v>
      </c>
      <c r="L3660">
        <f>IF(OR(AND(H3660=0,ABS(J3660)&gt;=0.01),AND(H3660&lt;&gt;0,ABS(K3660)&gt;VarianceThreshold)),"Review","OK")</f>
        <v>0</v>
      </c>
      <c r="M3660" t="s">
        <v>33</v>
      </c>
    </row>
    <row r="3661" spans="1:13">
      <c r="A3661" t="s">
        <v>5</v>
      </c>
      <c r="B3661" t="s">
        <v>903</v>
      </c>
      <c r="C3661" t="s">
        <v>2998</v>
      </c>
      <c r="D3661" t="s">
        <v>1989</v>
      </c>
      <c r="E3661" cm="1">
        <f t="array" ref="E3661">_xlfn.XLOOKUP(D3661,SKU_Master!A:A,SKU_Master!B:B,"Not on master")</f>
        <v>0</v>
      </c>
      <c r="F3661" cm="1">
        <f t="array" ref="F3661">_xlfn.XLOOKUP(C3661,Account_Master!A:A,Account_Master!B:B,"Not on master")</f>
        <v>0</v>
      </c>
      <c r="G3661" cm="1">
        <f t="array" ref="G3661">_xlfn.XLOOKUP(C3661,Account_Master!A:A,Account_Master!C:C,"Not on master")</f>
        <v>0</v>
      </c>
      <c r="H3661" s="6">
        <v>0.75</v>
      </c>
      <c r="I3661" s="6">
        <v>0.75</v>
      </c>
      <c r="J3661" s="6">
        <f>I3661-H3661</f>
        <v>0</v>
      </c>
      <c r="K3661" s="5">
        <f>IF(H3661=0,"",J3661/H3661)</f>
        <v>0</v>
      </c>
      <c r="L3661">
        <f>IF(OR(AND(H3661=0,ABS(J3661)&gt;=0.01),AND(H3661&lt;&gt;0,ABS(K3661)&gt;VarianceThreshold)),"Review","OK")</f>
        <v>0</v>
      </c>
      <c r="M3661" t="s">
        <v>33</v>
      </c>
    </row>
    <row r="3662" spans="1:13">
      <c r="A3662" t="s">
        <v>5</v>
      </c>
      <c r="B3662" t="s">
        <v>903</v>
      </c>
      <c r="C3662" t="s">
        <v>2999</v>
      </c>
      <c r="D3662" t="s">
        <v>1324</v>
      </c>
      <c r="E3662" cm="1">
        <f t="array" ref="E3662">_xlfn.XLOOKUP(D3662,SKU_Master!A:A,SKU_Master!B:B,"Not on master")</f>
        <v>0</v>
      </c>
      <c r="F3662" cm="1">
        <f t="array" ref="F3662">_xlfn.XLOOKUP(C3662,Account_Master!A:A,Account_Master!B:B,"Not on master")</f>
        <v>0</v>
      </c>
      <c r="G3662" cm="1">
        <f t="array" ref="G3662">_xlfn.XLOOKUP(C3662,Account_Master!A:A,Account_Master!C:C,"Not on master")</f>
        <v>0</v>
      </c>
      <c r="H3662" s="6">
        <v>90.75</v>
      </c>
      <c r="I3662" s="6">
        <v>90.75</v>
      </c>
      <c r="J3662" s="6">
        <f>I3662-H3662</f>
        <v>0</v>
      </c>
      <c r="K3662" s="5">
        <f>IF(H3662=0,"",J3662/H3662)</f>
        <v>0</v>
      </c>
      <c r="L3662">
        <f>IF(OR(AND(H3662=0,ABS(J3662)&gt;=0.01),AND(H3662&lt;&gt;0,ABS(K3662)&gt;VarianceThreshold)),"Review","OK")</f>
        <v>0</v>
      </c>
      <c r="M3662" t="s">
        <v>33</v>
      </c>
    </row>
    <row r="3663" spans="1:13">
      <c r="A3663" t="s">
        <v>5</v>
      </c>
      <c r="B3663" t="s">
        <v>903</v>
      </c>
      <c r="C3663" t="s">
        <v>2849</v>
      </c>
      <c r="D3663" t="s">
        <v>1273</v>
      </c>
      <c r="E3663" cm="1">
        <f t="array" ref="E3663">_xlfn.XLOOKUP(D3663,SKU_Master!A:A,SKU_Master!B:B,"Not on master")</f>
        <v>0</v>
      </c>
      <c r="F3663" cm="1">
        <f t="array" ref="F3663">_xlfn.XLOOKUP(C3663,Account_Master!A:A,Account_Master!B:B,"Not on master")</f>
        <v>0</v>
      </c>
      <c r="G3663" cm="1">
        <f t="array" ref="G3663">_xlfn.XLOOKUP(C3663,Account_Master!A:A,Account_Master!C:C,"Not on master")</f>
        <v>0</v>
      </c>
      <c r="H3663" s="6">
        <v>2.25</v>
      </c>
      <c r="I3663" s="6">
        <v>2.25</v>
      </c>
      <c r="J3663" s="6">
        <f>I3663-H3663</f>
        <v>0</v>
      </c>
      <c r="K3663" s="5">
        <f>IF(H3663=0,"",J3663/H3663)</f>
        <v>0</v>
      </c>
      <c r="L3663">
        <f>IF(OR(AND(H3663=0,ABS(J3663)&gt;=0.01),AND(H3663&lt;&gt;0,ABS(K3663)&gt;VarianceThreshold)),"Review","OK")</f>
        <v>0</v>
      </c>
      <c r="M3663" t="s">
        <v>33</v>
      </c>
    </row>
    <row r="3664" spans="1:13">
      <c r="A3664" t="s">
        <v>5</v>
      </c>
      <c r="B3664" t="s">
        <v>903</v>
      </c>
      <c r="C3664" t="s">
        <v>2757</v>
      </c>
      <c r="D3664" t="s">
        <v>2328</v>
      </c>
      <c r="E3664" cm="1">
        <f t="array" ref="E3664">_xlfn.XLOOKUP(D3664,SKU_Master!A:A,SKU_Master!B:B,"Not on master")</f>
        <v>0</v>
      </c>
      <c r="F3664" cm="1">
        <f t="array" ref="F3664">_xlfn.XLOOKUP(C3664,Account_Master!A:A,Account_Master!B:B,"Not on master")</f>
        <v>0</v>
      </c>
      <c r="G3664" cm="1">
        <f t="array" ref="G3664">_xlfn.XLOOKUP(C3664,Account_Master!A:A,Account_Master!C:C,"Not on master")</f>
        <v>0</v>
      </c>
      <c r="H3664" s="6">
        <v>5</v>
      </c>
      <c r="I3664" s="6">
        <v>5</v>
      </c>
      <c r="J3664" s="6">
        <f>I3664-H3664</f>
        <v>0</v>
      </c>
      <c r="K3664" s="5">
        <f>IF(H3664=0,"",J3664/H3664)</f>
        <v>0</v>
      </c>
      <c r="L3664">
        <f>IF(OR(AND(H3664=0,ABS(J3664)&gt;=0.01),AND(H3664&lt;&gt;0,ABS(K3664)&gt;VarianceThreshold)),"Review","OK")</f>
        <v>0</v>
      </c>
      <c r="M3664" t="s">
        <v>33</v>
      </c>
    </row>
    <row r="3665" spans="1:13">
      <c r="A3665" t="s">
        <v>5</v>
      </c>
      <c r="B3665" t="s">
        <v>903</v>
      </c>
      <c r="C3665" t="s">
        <v>2750</v>
      </c>
      <c r="D3665" t="s">
        <v>406</v>
      </c>
      <c r="E3665" cm="1">
        <f t="array" ref="E3665">_xlfn.XLOOKUP(D3665,SKU_Master!A:A,SKU_Master!B:B,"Not on master")</f>
        <v>0</v>
      </c>
      <c r="F3665" cm="1">
        <f t="array" ref="F3665">_xlfn.XLOOKUP(C3665,Account_Master!A:A,Account_Master!B:B,"Not on master")</f>
        <v>0</v>
      </c>
      <c r="G3665" cm="1">
        <f t="array" ref="G3665">_xlfn.XLOOKUP(C3665,Account_Master!A:A,Account_Master!C:C,"Not on master")</f>
        <v>0</v>
      </c>
      <c r="H3665" s="6">
        <v>31.5</v>
      </c>
      <c r="I3665" s="6">
        <v>31.5</v>
      </c>
      <c r="J3665" s="6">
        <f>I3665-H3665</f>
        <v>0</v>
      </c>
      <c r="K3665" s="5">
        <f>IF(H3665=0,"",J3665/H3665)</f>
        <v>0</v>
      </c>
      <c r="L3665">
        <f>IF(OR(AND(H3665=0,ABS(J3665)&gt;=0.01),AND(H3665&lt;&gt;0,ABS(K3665)&gt;VarianceThreshold)),"Review","OK")</f>
        <v>0</v>
      </c>
      <c r="M3665" t="s">
        <v>33</v>
      </c>
    </row>
    <row r="3666" spans="1:13">
      <c r="A3666" t="s">
        <v>5</v>
      </c>
      <c r="B3666" t="s">
        <v>915</v>
      </c>
      <c r="C3666" t="s">
        <v>2763</v>
      </c>
      <c r="D3666" t="s">
        <v>1190</v>
      </c>
      <c r="E3666" cm="1">
        <f t="array" ref="E3666">_xlfn.XLOOKUP(D3666,SKU_Master!A:A,SKU_Master!B:B,"Not on master")</f>
        <v>0</v>
      </c>
      <c r="F3666" cm="1">
        <f t="array" ref="F3666">_xlfn.XLOOKUP(C3666,Account_Master!A:A,Account_Master!B:B,"Not on master")</f>
        <v>0</v>
      </c>
      <c r="G3666" cm="1">
        <f t="array" ref="G3666">_xlfn.XLOOKUP(C3666,Account_Master!A:A,Account_Master!C:C,"Not on master")</f>
        <v>0</v>
      </c>
      <c r="H3666" s="6">
        <v>73.5</v>
      </c>
      <c r="I3666" s="6">
        <v>73.5</v>
      </c>
      <c r="J3666" s="6">
        <f>I3666-H3666</f>
        <v>0</v>
      </c>
      <c r="K3666" s="5">
        <f>IF(H3666=0,"",J3666/H3666)</f>
        <v>0</v>
      </c>
      <c r="L3666">
        <f>IF(OR(AND(H3666=0,ABS(J3666)&gt;=0.01),AND(H3666&lt;&gt;0,ABS(K3666)&gt;VarianceThreshold)),"Review","OK")</f>
        <v>0</v>
      </c>
      <c r="M3666" t="s">
        <v>33</v>
      </c>
    </row>
    <row r="3667" spans="1:13">
      <c r="A3667" t="s">
        <v>5</v>
      </c>
      <c r="B3667" t="s">
        <v>915</v>
      </c>
      <c r="C3667" t="s">
        <v>2763</v>
      </c>
      <c r="D3667" t="s">
        <v>3000</v>
      </c>
      <c r="E3667" cm="1">
        <f t="array" ref="E3667">_xlfn.XLOOKUP(D3667,SKU_Master!A:A,SKU_Master!B:B,"Not on master")</f>
        <v>0</v>
      </c>
      <c r="F3667" cm="1">
        <f t="array" ref="F3667">_xlfn.XLOOKUP(C3667,Account_Master!A:A,Account_Master!B:B,"Not on master")</f>
        <v>0</v>
      </c>
      <c r="G3667" cm="1">
        <f t="array" ref="G3667">_xlfn.XLOOKUP(C3667,Account_Master!A:A,Account_Master!C:C,"Not on master")</f>
        <v>0</v>
      </c>
      <c r="H3667" s="6">
        <v>9</v>
      </c>
      <c r="I3667" s="6">
        <v>9</v>
      </c>
      <c r="J3667" s="6">
        <f>I3667-H3667</f>
        <v>0</v>
      </c>
      <c r="K3667" s="5">
        <f>IF(H3667=0,"",J3667/H3667)</f>
        <v>0</v>
      </c>
      <c r="L3667">
        <f>IF(OR(AND(H3667=0,ABS(J3667)&gt;=0.01),AND(H3667&lt;&gt;0,ABS(K3667)&gt;VarianceThreshold)),"Review","OK")</f>
        <v>0</v>
      </c>
      <c r="M3667" t="s">
        <v>33</v>
      </c>
    </row>
    <row r="3668" spans="1:13">
      <c r="A3668" t="s">
        <v>5</v>
      </c>
      <c r="B3668" t="s">
        <v>915</v>
      </c>
      <c r="C3668" t="s">
        <v>2769</v>
      </c>
      <c r="D3668" t="s">
        <v>978</v>
      </c>
      <c r="E3668" cm="1">
        <f t="array" ref="E3668">_xlfn.XLOOKUP(D3668,SKU_Master!A:A,SKU_Master!B:B,"Not on master")</f>
        <v>0</v>
      </c>
      <c r="F3668" cm="1">
        <f t="array" ref="F3668">_xlfn.XLOOKUP(C3668,Account_Master!A:A,Account_Master!B:B,"Not on master")</f>
        <v>0</v>
      </c>
      <c r="G3668" cm="1">
        <f t="array" ref="G3668">_xlfn.XLOOKUP(C3668,Account_Master!A:A,Account_Master!C:C,"Not on master")</f>
        <v>0</v>
      </c>
      <c r="H3668" s="6">
        <v>24</v>
      </c>
      <c r="I3668" s="6">
        <v>24</v>
      </c>
      <c r="J3668" s="6">
        <f>I3668-H3668</f>
        <v>0</v>
      </c>
      <c r="K3668" s="5">
        <f>IF(H3668=0,"",J3668/H3668)</f>
        <v>0</v>
      </c>
      <c r="L3668">
        <f>IF(OR(AND(H3668=0,ABS(J3668)&gt;=0.01),AND(H3668&lt;&gt;0,ABS(K3668)&gt;VarianceThreshold)),"Review","OK")</f>
        <v>0</v>
      </c>
      <c r="M3668" t="s">
        <v>33</v>
      </c>
    </row>
    <row r="3669" spans="1:13">
      <c r="A3669" t="s">
        <v>5</v>
      </c>
      <c r="B3669" t="s">
        <v>915</v>
      </c>
      <c r="C3669" t="s">
        <v>2846</v>
      </c>
      <c r="D3669" t="s">
        <v>3001</v>
      </c>
      <c r="E3669" cm="1">
        <f t="array" ref="E3669">_xlfn.XLOOKUP(D3669,SKU_Master!A:A,SKU_Master!B:B,"Not on master")</f>
        <v>0</v>
      </c>
      <c r="F3669" cm="1">
        <f t="array" ref="F3669">_xlfn.XLOOKUP(C3669,Account_Master!A:A,Account_Master!B:B,"Not on master")</f>
        <v>0</v>
      </c>
      <c r="G3669" cm="1">
        <f t="array" ref="G3669">_xlfn.XLOOKUP(C3669,Account_Master!A:A,Account_Master!C:C,"Not on master")</f>
        <v>0</v>
      </c>
      <c r="H3669" s="6">
        <v>1.5</v>
      </c>
      <c r="I3669" s="6">
        <v>1.5</v>
      </c>
      <c r="J3669" s="6">
        <f>I3669-H3669</f>
        <v>0</v>
      </c>
      <c r="K3669" s="5">
        <f>IF(H3669=0,"",J3669/H3669)</f>
        <v>0</v>
      </c>
      <c r="L3669">
        <f>IF(OR(AND(H3669=0,ABS(J3669)&gt;=0.01),AND(H3669&lt;&gt;0,ABS(K3669)&gt;VarianceThreshold)),"Review","OK")</f>
        <v>0</v>
      </c>
      <c r="M3669" t="s">
        <v>33</v>
      </c>
    </row>
    <row r="3670" spans="1:13">
      <c r="A3670" t="s">
        <v>5</v>
      </c>
      <c r="B3670" t="s">
        <v>922</v>
      </c>
      <c r="C3670" t="s">
        <v>2911</v>
      </c>
      <c r="D3670" t="s">
        <v>1553</v>
      </c>
      <c r="E3670" cm="1">
        <f t="array" ref="E3670">_xlfn.XLOOKUP(D3670,SKU_Master!A:A,SKU_Master!B:B,"Not on master")</f>
        <v>0</v>
      </c>
      <c r="F3670" cm="1">
        <f t="array" ref="F3670">_xlfn.XLOOKUP(C3670,Account_Master!A:A,Account_Master!B:B,"Not on master")</f>
        <v>0</v>
      </c>
      <c r="G3670" cm="1">
        <f t="array" ref="G3670">_xlfn.XLOOKUP(C3670,Account_Master!A:A,Account_Master!C:C,"Not on master")</f>
        <v>0</v>
      </c>
      <c r="H3670" s="6">
        <v>9</v>
      </c>
      <c r="I3670" s="6">
        <v>9</v>
      </c>
      <c r="J3670" s="6">
        <f>I3670-H3670</f>
        <v>0</v>
      </c>
      <c r="K3670" s="5">
        <f>IF(H3670=0,"",J3670/H3670)</f>
        <v>0</v>
      </c>
      <c r="L3670">
        <f>IF(OR(AND(H3670=0,ABS(J3670)&gt;=0.01),AND(H3670&lt;&gt;0,ABS(K3670)&gt;VarianceThreshold)),"Review","OK")</f>
        <v>0</v>
      </c>
      <c r="M3670" t="s">
        <v>33</v>
      </c>
    </row>
    <row r="3671" spans="1:13">
      <c r="A3671" t="s">
        <v>5</v>
      </c>
      <c r="B3671" t="s">
        <v>922</v>
      </c>
      <c r="C3671" t="s">
        <v>1252</v>
      </c>
      <c r="D3671" t="s">
        <v>3002</v>
      </c>
      <c r="E3671" cm="1">
        <f t="array" ref="E3671">_xlfn.XLOOKUP(D3671,SKU_Master!A:A,SKU_Master!B:B,"Not on master")</f>
        <v>0</v>
      </c>
      <c r="F3671" cm="1">
        <f t="array" ref="F3671">_xlfn.XLOOKUP(C3671,Account_Master!A:A,Account_Master!B:B,"Not on master")</f>
        <v>0</v>
      </c>
      <c r="G3671" cm="1">
        <f t="array" ref="G3671">_xlfn.XLOOKUP(C3671,Account_Master!A:A,Account_Master!C:C,"Not on master")</f>
        <v>0</v>
      </c>
      <c r="H3671" s="6">
        <v>21.6</v>
      </c>
      <c r="I3671" s="6">
        <v>21.6</v>
      </c>
      <c r="J3671" s="6">
        <f>I3671-H3671</f>
        <v>0</v>
      </c>
      <c r="K3671" s="5">
        <f>IF(H3671=0,"",J3671/H3671)</f>
        <v>0</v>
      </c>
      <c r="L3671">
        <f>IF(OR(AND(H3671=0,ABS(J3671)&gt;=0.01),AND(H3671&lt;&gt;0,ABS(K3671)&gt;VarianceThreshold)),"Review","OK")</f>
        <v>0</v>
      </c>
      <c r="M3671" t="s">
        <v>33</v>
      </c>
    </row>
    <row r="3672" spans="1:13">
      <c r="A3672" t="s">
        <v>5</v>
      </c>
      <c r="B3672" t="s">
        <v>922</v>
      </c>
      <c r="C3672" t="s">
        <v>2802</v>
      </c>
      <c r="D3672" t="s">
        <v>581</v>
      </c>
      <c r="E3672" cm="1">
        <f t="array" ref="E3672">_xlfn.XLOOKUP(D3672,SKU_Master!A:A,SKU_Master!B:B,"Not on master")</f>
        <v>0</v>
      </c>
      <c r="F3672" cm="1">
        <f t="array" ref="F3672">_xlfn.XLOOKUP(C3672,Account_Master!A:A,Account_Master!B:B,"Not on master")</f>
        <v>0</v>
      </c>
      <c r="G3672" cm="1">
        <f t="array" ref="G3672">_xlfn.XLOOKUP(C3672,Account_Master!A:A,Account_Master!C:C,"Not on master")</f>
        <v>0</v>
      </c>
      <c r="H3672" s="6">
        <v>27.75</v>
      </c>
      <c r="I3672" s="6">
        <v>27.75</v>
      </c>
      <c r="J3672" s="6">
        <f>I3672-H3672</f>
        <v>0</v>
      </c>
      <c r="K3672" s="5">
        <f>IF(H3672=0,"",J3672/H3672)</f>
        <v>0</v>
      </c>
      <c r="L3672">
        <f>IF(OR(AND(H3672=0,ABS(J3672)&gt;=0.01),AND(H3672&lt;&gt;0,ABS(K3672)&gt;VarianceThreshold)),"Review","OK")</f>
        <v>0</v>
      </c>
      <c r="M3672" t="s">
        <v>33</v>
      </c>
    </row>
    <row r="3673" spans="1:13">
      <c r="A3673" t="s">
        <v>5</v>
      </c>
      <c r="B3673" t="s">
        <v>922</v>
      </c>
      <c r="C3673" t="s">
        <v>2824</v>
      </c>
      <c r="D3673" t="s">
        <v>2173</v>
      </c>
      <c r="E3673" cm="1">
        <f t="array" ref="E3673">_xlfn.XLOOKUP(D3673,SKU_Master!A:A,SKU_Master!B:B,"Not on master")</f>
        <v>0</v>
      </c>
      <c r="F3673" cm="1">
        <f t="array" ref="F3673">_xlfn.XLOOKUP(C3673,Account_Master!A:A,Account_Master!B:B,"Not on master")</f>
        <v>0</v>
      </c>
      <c r="G3673" cm="1">
        <f t="array" ref="G3673">_xlfn.XLOOKUP(C3673,Account_Master!A:A,Account_Master!C:C,"Not on master")</f>
        <v>0</v>
      </c>
      <c r="H3673" s="6">
        <v>10.5</v>
      </c>
      <c r="I3673" s="6">
        <v>10.5</v>
      </c>
      <c r="J3673" s="6">
        <f>I3673-H3673</f>
        <v>0</v>
      </c>
      <c r="K3673" s="5">
        <f>IF(H3673=0,"",J3673/H3673)</f>
        <v>0</v>
      </c>
      <c r="L3673">
        <f>IF(OR(AND(H3673=0,ABS(J3673)&gt;=0.01),AND(H3673&lt;&gt;0,ABS(K3673)&gt;VarianceThreshold)),"Review","OK")</f>
        <v>0</v>
      </c>
      <c r="M3673" t="s">
        <v>33</v>
      </c>
    </row>
    <row r="3674" spans="1:13">
      <c r="A3674" t="s">
        <v>5</v>
      </c>
      <c r="B3674" t="s">
        <v>922</v>
      </c>
      <c r="C3674" t="s">
        <v>2778</v>
      </c>
      <c r="D3674" t="s">
        <v>522</v>
      </c>
      <c r="E3674" cm="1">
        <f t="array" ref="E3674">_xlfn.XLOOKUP(D3674,SKU_Master!A:A,SKU_Master!B:B,"Not on master")</f>
        <v>0</v>
      </c>
      <c r="F3674" cm="1">
        <f t="array" ref="F3674">_xlfn.XLOOKUP(C3674,Account_Master!A:A,Account_Master!B:B,"Not on master")</f>
        <v>0</v>
      </c>
      <c r="G3674" cm="1">
        <f t="array" ref="G3674">_xlfn.XLOOKUP(C3674,Account_Master!A:A,Account_Master!C:C,"Not on master")</f>
        <v>0</v>
      </c>
      <c r="H3674" s="6">
        <v>18.75</v>
      </c>
      <c r="I3674" s="6">
        <v>18.75</v>
      </c>
      <c r="J3674" s="6">
        <f>I3674-H3674</f>
        <v>0</v>
      </c>
      <c r="K3674" s="5">
        <f>IF(H3674=0,"",J3674/H3674)</f>
        <v>0</v>
      </c>
      <c r="L3674">
        <f>IF(OR(AND(H3674=0,ABS(J3674)&gt;=0.01),AND(H3674&lt;&gt;0,ABS(K3674)&gt;VarianceThreshold)),"Review","OK")</f>
        <v>0</v>
      </c>
      <c r="M3674" t="s">
        <v>33</v>
      </c>
    </row>
    <row r="3675" spans="1:13">
      <c r="A3675" t="s">
        <v>5</v>
      </c>
      <c r="B3675" t="s">
        <v>922</v>
      </c>
      <c r="C3675" t="s">
        <v>2802</v>
      </c>
      <c r="D3675" t="s">
        <v>1997</v>
      </c>
      <c r="E3675" cm="1">
        <f t="array" ref="E3675">_xlfn.XLOOKUP(D3675,SKU_Master!A:A,SKU_Master!B:B,"Not on master")</f>
        <v>0</v>
      </c>
      <c r="F3675" cm="1">
        <f t="array" ref="F3675">_xlfn.XLOOKUP(C3675,Account_Master!A:A,Account_Master!B:B,"Not on master")</f>
        <v>0</v>
      </c>
      <c r="G3675" cm="1">
        <f t="array" ref="G3675">_xlfn.XLOOKUP(C3675,Account_Master!A:A,Account_Master!C:C,"Not on master")</f>
        <v>0</v>
      </c>
      <c r="H3675" s="6">
        <v>24</v>
      </c>
      <c r="I3675" s="6">
        <v>24</v>
      </c>
      <c r="J3675" s="6">
        <f>I3675-H3675</f>
        <v>0</v>
      </c>
      <c r="K3675" s="5">
        <f>IF(H3675=0,"",J3675/H3675)</f>
        <v>0</v>
      </c>
      <c r="L3675">
        <f>IF(OR(AND(H3675=0,ABS(J3675)&gt;=0.01),AND(H3675&lt;&gt;0,ABS(K3675)&gt;VarianceThreshold)),"Review","OK")</f>
        <v>0</v>
      </c>
      <c r="M3675" t="s">
        <v>33</v>
      </c>
    </row>
    <row r="3676" spans="1:13">
      <c r="A3676" t="s">
        <v>5</v>
      </c>
      <c r="B3676" t="s">
        <v>934</v>
      </c>
      <c r="C3676" t="s">
        <v>2766</v>
      </c>
      <c r="D3676" t="s">
        <v>3003</v>
      </c>
      <c r="E3676" cm="1">
        <f t="array" ref="E3676">_xlfn.XLOOKUP(D3676,SKU_Master!A:A,SKU_Master!B:B,"Not on master")</f>
        <v>0</v>
      </c>
      <c r="F3676" cm="1">
        <f t="array" ref="F3676">_xlfn.XLOOKUP(C3676,Account_Master!A:A,Account_Master!B:B,"Not on master")</f>
        <v>0</v>
      </c>
      <c r="G3676" cm="1">
        <f t="array" ref="G3676">_xlfn.XLOOKUP(C3676,Account_Master!A:A,Account_Master!C:C,"Not on master")</f>
        <v>0</v>
      </c>
      <c r="H3676" s="6">
        <v>3</v>
      </c>
      <c r="I3676" s="6">
        <v>3</v>
      </c>
      <c r="J3676" s="6">
        <f>I3676-H3676</f>
        <v>0</v>
      </c>
      <c r="K3676" s="5">
        <f>IF(H3676=0,"",J3676/H3676)</f>
        <v>0</v>
      </c>
      <c r="L3676">
        <f>IF(OR(AND(H3676=0,ABS(J3676)&gt;=0.01),AND(H3676&lt;&gt;0,ABS(K3676)&gt;VarianceThreshold)),"Review","OK")</f>
        <v>0</v>
      </c>
      <c r="M3676" t="s">
        <v>33</v>
      </c>
    </row>
    <row r="3677" spans="1:13">
      <c r="A3677" t="s">
        <v>5</v>
      </c>
      <c r="B3677" t="s">
        <v>934</v>
      </c>
      <c r="C3677" t="s">
        <v>1252</v>
      </c>
      <c r="D3677" t="s">
        <v>2726</v>
      </c>
      <c r="E3677" cm="1">
        <f t="array" ref="E3677">_xlfn.XLOOKUP(D3677,SKU_Master!A:A,SKU_Master!B:B,"Not on master")</f>
        <v>0</v>
      </c>
      <c r="F3677" cm="1">
        <f t="array" ref="F3677">_xlfn.XLOOKUP(C3677,Account_Master!A:A,Account_Master!B:B,"Not on master")</f>
        <v>0</v>
      </c>
      <c r="G3677" cm="1">
        <f t="array" ref="G3677">_xlfn.XLOOKUP(C3677,Account_Master!A:A,Account_Master!C:C,"Not on master")</f>
        <v>0</v>
      </c>
      <c r="H3677" s="6">
        <v>4.2</v>
      </c>
      <c r="I3677" s="6">
        <v>4.2</v>
      </c>
      <c r="J3677" s="6">
        <f>I3677-H3677</f>
        <v>0</v>
      </c>
      <c r="K3677" s="5">
        <f>IF(H3677=0,"",J3677/H3677)</f>
        <v>0</v>
      </c>
      <c r="L3677">
        <f>IF(OR(AND(H3677=0,ABS(J3677)&gt;=0.01),AND(H3677&lt;&gt;0,ABS(K3677)&gt;VarianceThreshold)),"Review","OK")</f>
        <v>0</v>
      </c>
      <c r="M3677" t="s">
        <v>33</v>
      </c>
    </row>
    <row r="3678" spans="1:13">
      <c r="A3678" t="s">
        <v>5</v>
      </c>
      <c r="B3678" t="s">
        <v>934</v>
      </c>
      <c r="C3678" t="s">
        <v>2766</v>
      </c>
      <c r="D3678" t="s">
        <v>766</v>
      </c>
      <c r="E3678" cm="1">
        <f t="array" ref="E3678">_xlfn.XLOOKUP(D3678,SKU_Master!A:A,SKU_Master!B:B,"Not on master")</f>
        <v>0</v>
      </c>
      <c r="F3678" cm="1">
        <f t="array" ref="F3678">_xlfn.XLOOKUP(C3678,Account_Master!A:A,Account_Master!B:B,"Not on master")</f>
        <v>0</v>
      </c>
      <c r="G3678" cm="1">
        <f t="array" ref="G3678">_xlfn.XLOOKUP(C3678,Account_Master!A:A,Account_Master!C:C,"Not on master")</f>
        <v>0</v>
      </c>
      <c r="H3678" s="6">
        <v>42</v>
      </c>
      <c r="I3678" s="6">
        <v>42</v>
      </c>
      <c r="J3678" s="6">
        <f>I3678-H3678</f>
        <v>0</v>
      </c>
      <c r="K3678" s="5">
        <f>IF(H3678=0,"",J3678/H3678)</f>
        <v>0</v>
      </c>
      <c r="L3678">
        <f>IF(OR(AND(H3678=0,ABS(J3678)&gt;=0.01),AND(H3678&lt;&gt;0,ABS(K3678)&gt;VarianceThreshold)),"Review","OK")</f>
        <v>0</v>
      </c>
      <c r="M3678" t="s">
        <v>33</v>
      </c>
    </row>
    <row r="3679" spans="1:13">
      <c r="A3679" t="s">
        <v>5</v>
      </c>
      <c r="B3679" t="s">
        <v>934</v>
      </c>
      <c r="C3679" t="s">
        <v>2767</v>
      </c>
      <c r="D3679" t="s">
        <v>111</v>
      </c>
      <c r="E3679" cm="1">
        <f t="array" ref="E3679">_xlfn.XLOOKUP(D3679,SKU_Master!A:A,SKU_Master!B:B,"Not on master")</f>
        <v>0</v>
      </c>
      <c r="F3679" cm="1">
        <f t="array" ref="F3679">_xlfn.XLOOKUP(C3679,Account_Master!A:A,Account_Master!B:B,"Not on master")</f>
        <v>0</v>
      </c>
      <c r="G3679" cm="1">
        <f t="array" ref="G3679">_xlfn.XLOOKUP(C3679,Account_Master!A:A,Account_Master!C:C,"Not on master")</f>
        <v>0</v>
      </c>
      <c r="H3679" s="6">
        <v>9</v>
      </c>
      <c r="I3679" s="6">
        <v>9</v>
      </c>
      <c r="J3679" s="6">
        <f>I3679-H3679</f>
        <v>0</v>
      </c>
      <c r="K3679" s="5">
        <f>IF(H3679=0,"",J3679/H3679)</f>
        <v>0</v>
      </c>
      <c r="L3679">
        <f>IF(OR(AND(H3679=0,ABS(J3679)&gt;=0.01),AND(H3679&lt;&gt;0,ABS(K3679)&gt;VarianceThreshold)),"Review","OK")</f>
        <v>0</v>
      </c>
      <c r="M3679" t="s">
        <v>33</v>
      </c>
    </row>
    <row r="3680" spans="1:13">
      <c r="A3680" t="s">
        <v>5</v>
      </c>
      <c r="B3680" t="s">
        <v>934</v>
      </c>
      <c r="C3680" t="s">
        <v>2769</v>
      </c>
      <c r="D3680" t="s">
        <v>1282</v>
      </c>
      <c r="E3680" cm="1">
        <f t="array" ref="E3680">_xlfn.XLOOKUP(D3680,SKU_Master!A:A,SKU_Master!B:B,"Not on master")</f>
        <v>0</v>
      </c>
      <c r="F3680" cm="1">
        <f t="array" ref="F3680">_xlfn.XLOOKUP(C3680,Account_Master!A:A,Account_Master!B:B,"Not on master")</f>
        <v>0</v>
      </c>
      <c r="G3680" cm="1">
        <f t="array" ref="G3680">_xlfn.XLOOKUP(C3680,Account_Master!A:A,Account_Master!C:C,"Not on master")</f>
        <v>0</v>
      </c>
      <c r="H3680" s="6">
        <v>119</v>
      </c>
      <c r="I3680" s="6">
        <v>119</v>
      </c>
      <c r="J3680" s="6">
        <f>I3680-H3680</f>
        <v>0</v>
      </c>
      <c r="K3680" s="5">
        <f>IF(H3680=0,"",J3680/H3680)</f>
        <v>0</v>
      </c>
      <c r="L3680">
        <f>IF(OR(AND(H3680=0,ABS(J3680)&gt;=0.01),AND(H3680&lt;&gt;0,ABS(K3680)&gt;VarianceThreshold)),"Review","OK")</f>
        <v>0</v>
      </c>
      <c r="M3680" t="s">
        <v>33</v>
      </c>
    </row>
    <row r="3681" spans="1:13">
      <c r="A3681" t="s">
        <v>5</v>
      </c>
      <c r="B3681" t="s">
        <v>934</v>
      </c>
      <c r="C3681" t="s">
        <v>2778</v>
      </c>
      <c r="D3681" t="s">
        <v>883</v>
      </c>
      <c r="E3681" cm="1">
        <f t="array" ref="E3681">_xlfn.XLOOKUP(D3681,SKU_Master!A:A,SKU_Master!B:B,"Not on master")</f>
        <v>0</v>
      </c>
      <c r="F3681" cm="1">
        <f t="array" ref="F3681">_xlfn.XLOOKUP(C3681,Account_Master!A:A,Account_Master!B:B,"Not on master")</f>
        <v>0</v>
      </c>
      <c r="G3681" cm="1">
        <f t="array" ref="G3681">_xlfn.XLOOKUP(C3681,Account_Master!A:A,Account_Master!C:C,"Not on master")</f>
        <v>0</v>
      </c>
      <c r="H3681" s="6">
        <v>42</v>
      </c>
      <c r="I3681" s="6">
        <v>42</v>
      </c>
      <c r="J3681" s="6">
        <f>I3681-H3681</f>
        <v>0</v>
      </c>
      <c r="K3681" s="5">
        <f>IF(H3681=0,"",J3681/H3681)</f>
        <v>0</v>
      </c>
      <c r="L3681">
        <f>IF(OR(AND(H3681=0,ABS(J3681)&gt;=0.01),AND(H3681&lt;&gt;0,ABS(K3681)&gt;VarianceThreshold)),"Review","OK")</f>
        <v>0</v>
      </c>
      <c r="M3681" t="s">
        <v>33</v>
      </c>
    </row>
    <row r="3682" spans="1:13">
      <c r="A3682" t="s">
        <v>5</v>
      </c>
      <c r="B3682" t="s">
        <v>934</v>
      </c>
      <c r="C3682" t="s">
        <v>3004</v>
      </c>
      <c r="D3682" t="s">
        <v>369</v>
      </c>
      <c r="E3682" cm="1">
        <f t="array" ref="E3682">_xlfn.XLOOKUP(D3682,SKU_Master!A:A,SKU_Master!B:B,"Not on master")</f>
        <v>0</v>
      </c>
      <c r="F3682" cm="1">
        <f t="array" ref="F3682">_xlfn.XLOOKUP(C3682,Account_Master!A:A,Account_Master!B:B,"Not on master")</f>
        <v>0</v>
      </c>
      <c r="G3682" cm="1">
        <f t="array" ref="G3682">_xlfn.XLOOKUP(C3682,Account_Master!A:A,Account_Master!C:C,"Not on master")</f>
        <v>0</v>
      </c>
      <c r="H3682" s="6">
        <v>10.5</v>
      </c>
      <c r="I3682" s="6">
        <v>10.5</v>
      </c>
      <c r="J3682" s="6">
        <f>I3682-H3682</f>
        <v>0</v>
      </c>
      <c r="K3682" s="5">
        <f>IF(H3682=0,"",J3682/H3682)</f>
        <v>0</v>
      </c>
      <c r="L3682">
        <f>IF(OR(AND(H3682=0,ABS(J3682)&gt;=0.01),AND(H3682&lt;&gt;0,ABS(K3682)&gt;VarianceThreshold)),"Review","OK")</f>
        <v>0</v>
      </c>
      <c r="M3682" t="s">
        <v>33</v>
      </c>
    </row>
    <row r="3683" spans="1:13">
      <c r="A3683" t="s">
        <v>5</v>
      </c>
      <c r="B3683" t="s">
        <v>934</v>
      </c>
      <c r="C3683" t="s">
        <v>2767</v>
      </c>
      <c r="D3683" t="s">
        <v>1301</v>
      </c>
      <c r="E3683" cm="1">
        <f t="array" ref="E3683">_xlfn.XLOOKUP(D3683,SKU_Master!A:A,SKU_Master!B:B,"Not on master")</f>
        <v>0</v>
      </c>
      <c r="F3683" cm="1">
        <f t="array" ref="F3683">_xlfn.XLOOKUP(C3683,Account_Master!A:A,Account_Master!B:B,"Not on master")</f>
        <v>0</v>
      </c>
      <c r="G3683" cm="1">
        <f t="array" ref="G3683">_xlfn.XLOOKUP(C3683,Account_Master!A:A,Account_Master!C:C,"Not on master")</f>
        <v>0</v>
      </c>
      <c r="H3683" s="6">
        <v>9.6</v>
      </c>
      <c r="I3683" s="6">
        <v>9.6</v>
      </c>
      <c r="J3683" s="6">
        <f>I3683-H3683</f>
        <v>0</v>
      </c>
      <c r="K3683" s="5">
        <f>IF(H3683=0,"",J3683/H3683)</f>
        <v>0</v>
      </c>
      <c r="L3683">
        <f>IF(OR(AND(H3683=0,ABS(J3683)&gt;=0.01),AND(H3683&lt;&gt;0,ABS(K3683)&gt;VarianceThreshold)),"Review","OK")</f>
        <v>0</v>
      </c>
      <c r="M3683" t="s">
        <v>33</v>
      </c>
    </row>
    <row r="3684" spans="1:13">
      <c r="A3684" t="s">
        <v>5</v>
      </c>
      <c r="B3684" t="s">
        <v>934</v>
      </c>
      <c r="C3684" t="s">
        <v>2818</v>
      </c>
      <c r="D3684" t="s">
        <v>3005</v>
      </c>
      <c r="E3684" cm="1">
        <f t="array" ref="E3684">_xlfn.XLOOKUP(D3684,SKU_Master!A:A,SKU_Master!B:B,"Not on master")</f>
        <v>0</v>
      </c>
      <c r="F3684" cm="1">
        <f t="array" ref="F3684">_xlfn.XLOOKUP(C3684,Account_Master!A:A,Account_Master!B:B,"Not on master")</f>
        <v>0</v>
      </c>
      <c r="G3684" cm="1">
        <f t="array" ref="G3684">_xlfn.XLOOKUP(C3684,Account_Master!A:A,Account_Master!C:C,"Not on master")</f>
        <v>0</v>
      </c>
      <c r="H3684" s="6">
        <v>10.5</v>
      </c>
      <c r="I3684" s="6">
        <v>10.5</v>
      </c>
      <c r="J3684" s="6">
        <f>I3684-H3684</f>
        <v>0</v>
      </c>
      <c r="K3684" s="5">
        <f>IF(H3684=0,"",J3684/H3684)</f>
        <v>0</v>
      </c>
      <c r="L3684">
        <f>IF(OR(AND(H3684=0,ABS(J3684)&gt;=0.01),AND(H3684&lt;&gt;0,ABS(K3684)&gt;VarianceThreshold)),"Review","OK")</f>
        <v>0</v>
      </c>
      <c r="M3684" t="s">
        <v>33</v>
      </c>
    </row>
    <row r="3685" spans="1:13">
      <c r="A3685" t="s">
        <v>5</v>
      </c>
      <c r="B3685" t="s">
        <v>934</v>
      </c>
      <c r="C3685" t="s">
        <v>2869</v>
      </c>
      <c r="D3685" t="s">
        <v>857</v>
      </c>
      <c r="E3685" cm="1">
        <f t="array" ref="E3685">_xlfn.XLOOKUP(D3685,SKU_Master!A:A,SKU_Master!B:B,"Not on master")</f>
        <v>0</v>
      </c>
      <c r="F3685" cm="1">
        <f t="array" ref="F3685">_xlfn.XLOOKUP(C3685,Account_Master!A:A,Account_Master!B:B,"Not on master")</f>
        <v>0</v>
      </c>
      <c r="G3685" cm="1">
        <f t="array" ref="G3685">_xlfn.XLOOKUP(C3685,Account_Master!A:A,Account_Master!C:C,"Not on master")</f>
        <v>0</v>
      </c>
      <c r="H3685" s="6">
        <v>0.1</v>
      </c>
      <c r="I3685" s="6">
        <v>0.1</v>
      </c>
      <c r="J3685" s="6">
        <f>I3685-H3685</f>
        <v>0</v>
      </c>
      <c r="K3685" s="5">
        <f>IF(H3685=0,"",J3685/H3685)</f>
        <v>0</v>
      </c>
      <c r="L3685">
        <f>IF(OR(AND(H3685=0,ABS(J3685)&gt;=0.01),AND(H3685&lt;&gt;0,ABS(K3685)&gt;VarianceThreshold)),"Review","OK")</f>
        <v>0</v>
      </c>
      <c r="M3685" t="s">
        <v>33</v>
      </c>
    </row>
    <row r="3686" spans="1:13">
      <c r="A3686" t="s">
        <v>5</v>
      </c>
      <c r="B3686" t="s">
        <v>934</v>
      </c>
      <c r="C3686" t="s">
        <v>2818</v>
      </c>
      <c r="D3686" t="s">
        <v>2061</v>
      </c>
      <c r="E3686" cm="1">
        <f t="array" ref="E3686">_xlfn.XLOOKUP(D3686,SKU_Master!A:A,SKU_Master!B:B,"Not on master")</f>
        <v>0</v>
      </c>
      <c r="F3686" cm="1">
        <f t="array" ref="F3686">_xlfn.XLOOKUP(C3686,Account_Master!A:A,Account_Master!B:B,"Not on master")</f>
        <v>0</v>
      </c>
      <c r="G3686" cm="1">
        <f t="array" ref="G3686">_xlfn.XLOOKUP(C3686,Account_Master!A:A,Account_Master!C:C,"Not on master")</f>
        <v>0</v>
      </c>
      <c r="H3686" s="6">
        <v>3.75</v>
      </c>
      <c r="I3686" s="6">
        <v>3.75</v>
      </c>
      <c r="J3686" s="6">
        <f>I3686-H3686</f>
        <v>0</v>
      </c>
      <c r="K3686" s="5">
        <f>IF(H3686=0,"",J3686/H3686)</f>
        <v>0</v>
      </c>
      <c r="L3686">
        <f>IF(OR(AND(H3686=0,ABS(J3686)&gt;=0.01),AND(H3686&lt;&gt;0,ABS(K3686)&gt;VarianceThreshold)),"Review","OK")</f>
        <v>0</v>
      </c>
      <c r="M3686" t="s">
        <v>33</v>
      </c>
    </row>
    <row r="3687" spans="1:13">
      <c r="A3687" t="s">
        <v>5</v>
      </c>
      <c r="B3687" t="s">
        <v>944</v>
      </c>
      <c r="C3687" t="s">
        <v>2879</v>
      </c>
      <c r="D3687" t="s">
        <v>1406</v>
      </c>
      <c r="E3687" cm="1">
        <f t="array" ref="E3687">_xlfn.XLOOKUP(D3687,SKU_Master!A:A,SKU_Master!B:B,"Not on master")</f>
        <v>0</v>
      </c>
      <c r="F3687" cm="1">
        <f t="array" ref="F3687">_xlfn.XLOOKUP(C3687,Account_Master!A:A,Account_Master!B:B,"Not on master")</f>
        <v>0</v>
      </c>
      <c r="G3687" cm="1">
        <f t="array" ref="G3687">_xlfn.XLOOKUP(C3687,Account_Master!A:A,Account_Master!C:C,"Not on master")</f>
        <v>0</v>
      </c>
      <c r="H3687" s="6">
        <v>19.2</v>
      </c>
      <c r="I3687" s="6">
        <v>19.2</v>
      </c>
      <c r="J3687" s="6">
        <f>I3687-H3687</f>
        <v>0</v>
      </c>
      <c r="K3687" s="5">
        <f>IF(H3687=0,"",J3687/H3687)</f>
        <v>0</v>
      </c>
      <c r="L3687">
        <f>IF(OR(AND(H3687=0,ABS(J3687)&gt;=0.01),AND(H3687&lt;&gt;0,ABS(K3687)&gt;VarianceThreshold)),"Review","OK")</f>
        <v>0</v>
      </c>
      <c r="M3687" t="s">
        <v>33</v>
      </c>
    </row>
    <row r="3688" spans="1:13">
      <c r="A3688" t="s">
        <v>5</v>
      </c>
      <c r="B3688" t="s">
        <v>944</v>
      </c>
      <c r="C3688" t="s">
        <v>2767</v>
      </c>
      <c r="D3688" t="s">
        <v>3006</v>
      </c>
      <c r="E3688" cm="1">
        <f t="array" ref="E3688">_xlfn.XLOOKUP(D3688,SKU_Master!A:A,SKU_Master!B:B,"Not on master")</f>
        <v>0</v>
      </c>
      <c r="F3688" cm="1">
        <f t="array" ref="F3688">_xlfn.XLOOKUP(C3688,Account_Master!A:A,Account_Master!B:B,"Not on master")</f>
        <v>0</v>
      </c>
      <c r="G3688" cm="1">
        <f t="array" ref="G3688">_xlfn.XLOOKUP(C3688,Account_Master!A:A,Account_Master!C:C,"Not on master")</f>
        <v>0</v>
      </c>
      <c r="H3688" s="6">
        <v>11.25</v>
      </c>
      <c r="I3688" s="6">
        <v>11.25</v>
      </c>
      <c r="J3688" s="6">
        <f>I3688-H3688</f>
        <v>0</v>
      </c>
      <c r="K3688" s="5">
        <f>IF(H3688=0,"",J3688/H3688)</f>
        <v>0</v>
      </c>
      <c r="L3688">
        <f>IF(OR(AND(H3688=0,ABS(J3688)&gt;=0.01),AND(H3688&lt;&gt;0,ABS(K3688)&gt;VarianceThreshold)),"Review","OK")</f>
        <v>0</v>
      </c>
      <c r="M3688" t="s">
        <v>33</v>
      </c>
    </row>
    <row r="3689" spans="1:13">
      <c r="A3689" t="s">
        <v>5</v>
      </c>
      <c r="B3689" t="s">
        <v>944</v>
      </c>
      <c r="C3689" t="s">
        <v>3007</v>
      </c>
      <c r="D3689" t="s">
        <v>1407</v>
      </c>
      <c r="E3689" cm="1">
        <f t="array" ref="E3689">_xlfn.XLOOKUP(D3689,SKU_Master!A:A,SKU_Master!B:B,"Not on master")</f>
        <v>0</v>
      </c>
      <c r="F3689" cm="1">
        <f t="array" ref="F3689">_xlfn.XLOOKUP(C3689,Account_Master!A:A,Account_Master!B:B,"Not on master")</f>
        <v>0</v>
      </c>
      <c r="G3689" cm="1">
        <f t="array" ref="G3689">_xlfn.XLOOKUP(C3689,Account_Master!A:A,Account_Master!C:C,"Not on master")</f>
        <v>0</v>
      </c>
      <c r="H3689" s="6">
        <v>10.5</v>
      </c>
      <c r="I3689" s="6">
        <v>10.5</v>
      </c>
      <c r="J3689" s="6">
        <f>I3689-H3689</f>
        <v>0</v>
      </c>
      <c r="K3689" s="5">
        <f>IF(H3689=0,"",J3689/H3689)</f>
        <v>0</v>
      </c>
      <c r="L3689">
        <f>IF(OR(AND(H3689=0,ABS(J3689)&gt;=0.01),AND(H3689&lt;&gt;0,ABS(K3689)&gt;VarianceThreshold)),"Review","OK")</f>
        <v>0</v>
      </c>
      <c r="M3689" t="s">
        <v>33</v>
      </c>
    </row>
    <row r="3690" spans="1:13">
      <c r="A3690" t="s">
        <v>5</v>
      </c>
      <c r="B3690" t="s">
        <v>944</v>
      </c>
      <c r="C3690" t="s">
        <v>2793</v>
      </c>
      <c r="D3690" t="s">
        <v>90</v>
      </c>
      <c r="E3690" cm="1">
        <f t="array" ref="E3690">_xlfn.XLOOKUP(D3690,SKU_Master!A:A,SKU_Master!B:B,"Not on master")</f>
        <v>0</v>
      </c>
      <c r="F3690" cm="1">
        <f t="array" ref="F3690">_xlfn.XLOOKUP(C3690,Account_Master!A:A,Account_Master!B:B,"Not on master")</f>
        <v>0</v>
      </c>
      <c r="G3690" cm="1">
        <f t="array" ref="G3690">_xlfn.XLOOKUP(C3690,Account_Master!A:A,Account_Master!C:C,"Not on master")</f>
        <v>0</v>
      </c>
      <c r="H3690" s="6">
        <v>36.75</v>
      </c>
      <c r="I3690" s="6">
        <v>36.75</v>
      </c>
      <c r="J3690" s="6">
        <f>I3690-H3690</f>
        <v>0</v>
      </c>
      <c r="K3690" s="5">
        <f>IF(H3690=0,"",J3690/H3690)</f>
        <v>0</v>
      </c>
      <c r="L3690">
        <f>IF(OR(AND(H3690=0,ABS(J3690)&gt;=0.01),AND(H3690&lt;&gt;0,ABS(K3690)&gt;VarianceThreshold)),"Review","OK")</f>
        <v>0</v>
      </c>
      <c r="M3690" t="s">
        <v>33</v>
      </c>
    </row>
    <row r="3691" spans="1:13">
      <c r="A3691" t="s">
        <v>5</v>
      </c>
      <c r="B3691" t="s">
        <v>944</v>
      </c>
      <c r="C3691" t="s">
        <v>2825</v>
      </c>
      <c r="D3691" t="s">
        <v>3008</v>
      </c>
      <c r="E3691" cm="1">
        <f t="array" ref="E3691">_xlfn.XLOOKUP(D3691,SKU_Master!A:A,SKU_Master!B:B,"Not on master")</f>
        <v>0</v>
      </c>
      <c r="F3691" cm="1">
        <f t="array" ref="F3691">_xlfn.XLOOKUP(C3691,Account_Master!A:A,Account_Master!B:B,"Not on master")</f>
        <v>0</v>
      </c>
      <c r="G3691" cm="1">
        <f t="array" ref="G3691">_xlfn.XLOOKUP(C3691,Account_Master!A:A,Account_Master!C:C,"Not on master")</f>
        <v>0</v>
      </c>
      <c r="H3691" s="6">
        <v>24</v>
      </c>
      <c r="I3691" s="6">
        <v>24</v>
      </c>
      <c r="J3691" s="6">
        <f>I3691-H3691</f>
        <v>0</v>
      </c>
      <c r="K3691" s="5">
        <f>IF(H3691=0,"",J3691/H3691)</f>
        <v>0</v>
      </c>
      <c r="L3691">
        <f>IF(OR(AND(H3691=0,ABS(J3691)&gt;=0.01),AND(H3691&lt;&gt;0,ABS(K3691)&gt;VarianceThreshold)),"Review","OK")</f>
        <v>0</v>
      </c>
      <c r="M3691" t="s">
        <v>33</v>
      </c>
    </row>
    <row r="3692" spans="1:13">
      <c r="A3692" t="s">
        <v>5</v>
      </c>
      <c r="B3692" t="s">
        <v>944</v>
      </c>
      <c r="C3692" t="s">
        <v>2759</v>
      </c>
      <c r="D3692" t="s">
        <v>3009</v>
      </c>
      <c r="E3692" cm="1">
        <f t="array" ref="E3692">_xlfn.XLOOKUP(D3692,SKU_Master!A:A,SKU_Master!B:B,"Not on master")</f>
        <v>0</v>
      </c>
      <c r="F3692" cm="1">
        <f t="array" ref="F3692">_xlfn.XLOOKUP(C3692,Account_Master!A:A,Account_Master!B:B,"Not on master")</f>
        <v>0</v>
      </c>
      <c r="G3692" cm="1">
        <f t="array" ref="G3692">_xlfn.XLOOKUP(C3692,Account_Master!A:A,Account_Master!C:C,"Not on master")</f>
        <v>0</v>
      </c>
      <c r="H3692" s="6">
        <v>1</v>
      </c>
      <c r="I3692" s="6">
        <v>1</v>
      </c>
      <c r="J3692" s="6">
        <f>I3692-H3692</f>
        <v>0</v>
      </c>
      <c r="K3692" s="5">
        <f>IF(H3692=0,"",J3692/H3692)</f>
        <v>0</v>
      </c>
      <c r="L3692">
        <f>IF(OR(AND(H3692=0,ABS(J3692)&gt;=0.01),AND(H3692&lt;&gt;0,ABS(K3692)&gt;VarianceThreshold)),"Review","OK")</f>
        <v>0</v>
      </c>
      <c r="M3692" t="s">
        <v>33</v>
      </c>
    </row>
    <row r="3693" spans="1:13">
      <c r="A3693" t="s">
        <v>5</v>
      </c>
      <c r="B3693" t="s">
        <v>944</v>
      </c>
      <c r="C3693" t="s">
        <v>2994</v>
      </c>
      <c r="D3693" t="s">
        <v>1972</v>
      </c>
      <c r="E3693" cm="1">
        <f t="array" ref="E3693">_xlfn.XLOOKUP(D3693,SKU_Master!A:A,SKU_Master!B:B,"Not on master")</f>
        <v>0</v>
      </c>
      <c r="F3693" cm="1">
        <f t="array" ref="F3693">_xlfn.XLOOKUP(C3693,Account_Master!A:A,Account_Master!B:B,"Not on master")</f>
        <v>0</v>
      </c>
      <c r="G3693" cm="1">
        <f t="array" ref="G3693">_xlfn.XLOOKUP(C3693,Account_Master!A:A,Account_Master!C:C,"Not on master")</f>
        <v>0</v>
      </c>
      <c r="H3693" s="6">
        <v>25.5</v>
      </c>
      <c r="I3693" s="6">
        <v>25.5</v>
      </c>
      <c r="J3693" s="6">
        <f>I3693-H3693</f>
        <v>0</v>
      </c>
      <c r="K3693" s="5">
        <f>IF(H3693=0,"",J3693/H3693)</f>
        <v>0</v>
      </c>
      <c r="L3693">
        <f>IF(OR(AND(H3693=0,ABS(J3693)&gt;=0.01),AND(H3693&lt;&gt;0,ABS(K3693)&gt;VarianceThreshold)),"Review","OK")</f>
        <v>0</v>
      </c>
      <c r="M3693" t="s">
        <v>33</v>
      </c>
    </row>
    <row r="3694" spans="1:13">
      <c r="A3694" t="s">
        <v>5</v>
      </c>
      <c r="B3694" t="s">
        <v>944</v>
      </c>
      <c r="C3694" t="s">
        <v>2799</v>
      </c>
      <c r="D3694" t="s">
        <v>3010</v>
      </c>
      <c r="E3694" cm="1">
        <f t="array" ref="E3694">_xlfn.XLOOKUP(D3694,SKU_Master!A:A,SKU_Master!B:B,"Not on master")</f>
        <v>0</v>
      </c>
      <c r="F3694" cm="1">
        <f t="array" ref="F3694">_xlfn.XLOOKUP(C3694,Account_Master!A:A,Account_Master!B:B,"Not on master")</f>
        <v>0</v>
      </c>
      <c r="G3694" cm="1">
        <f t="array" ref="G3694">_xlfn.XLOOKUP(C3694,Account_Master!A:A,Account_Master!C:C,"Not on master")</f>
        <v>0</v>
      </c>
      <c r="H3694" s="6">
        <v>15.75</v>
      </c>
      <c r="I3694" s="6">
        <v>15.75</v>
      </c>
      <c r="J3694" s="6">
        <f>I3694-H3694</f>
        <v>0</v>
      </c>
      <c r="K3694" s="5">
        <f>IF(H3694=0,"",J3694/H3694)</f>
        <v>0</v>
      </c>
      <c r="L3694">
        <f>IF(OR(AND(H3694=0,ABS(J3694)&gt;=0.01),AND(H3694&lt;&gt;0,ABS(K3694)&gt;VarianceThreshold)),"Review","OK")</f>
        <v>0</v>
      </c>
      <c r="M3694" t="s">
        <v>33</v>
      </c>
    </row>
    <row r="3695" spans="1:13">
      <c r="A3695" t="s">
        <v>5</v>
      </c>
      <c r="B3695" t="s">
        <v>952</v>
      </c>
      <c r="C3695" t="s">
        <v>2835</v>
      </c>
      <c r="D3695" t="s">
        <v>1281</v>
      </c>
      <c r="E3695" cm="1">
        <f t="array" ref="E3695">_xlfn.XLOOKUP(D3695,SKU_Master!A:A,SKU_Master!B:B,"Not on master")</f>
        <v>0</v>
      </c>
      <c r="F3695" cm="1">
        <f t="array" ref="F3695">_xlfn.XLOOKUP(C3695,Account_Master!A:A,Account_Master!B:B,"Not on master")</f>
        <v>0</v>
      </c>
      <c r="G3695" cm="1">
        <f t="array" ref="G3695">_xlfn.XLOOKUP(C3695,Account_Master!A:A,Account_Master!C:C,"Not on master")</f>
        <v>0</v>
      </c>
      <c r="H3695" s="6">
        <v>20.25</v>
      </c>
      <c r="I3695" s="6">
        <v>20.25</v>
      </c>
      <c r="J3695" s="6">
        <f>I3695-H3695</f>
        <v>0</v>
      </c>
      <c r="K3695" s="5">
        <f>IF(H3695=0,"",J3695/H3695)</f>
        <v>0</v>
      </c>
      <c r="L3695">
        <f>IF(OR(AND(H3695=0,ABS(J3695)&gt;=0.01),AND(H3695&lt;&gt;0,ABS(K3695)&gt;VarianceThreshold)),"Review","OK")</f>
        <v>0</v>
      </c>
      <c r="M3695" t="s">
        <v>33</v>
      </c>
    </row>
    <row r="3696" spans="1:13">
      <c r="A3696" t="s">
        <v>5</v>
      </c>
      <c r="B3696" t="s">
        <v>952</v>
      </c>
      <c r="C3696" t="s">
        <v>2750</v>
      </c>
      <c r="D3696" t="s">
        <v>1853</v>
      </c>
      <c r="E3696" cm="1">
        <f t="array" ref="E3696">_xlfn.XLOOKUP(D3696,SKU_Master!A:A,SKU_Master!B:B,"Not on master")</f>
        <v>0</v>
      </c>
      <c r="F3696" cm="1">
        <f t="array" ref="F3696">_xlfn.XLOOKUP(C3696,Account_Master!A:A,Account_Master!B:B,"Not on master")</f>
        <v>0</v>
      </c>
      <c r="G3696" cm="1">
        <f t="array" ref="G3696">_xlfn.XLOOKUP(C3696,Account_Master!A:A,Account_Master!C:C,"Not on master")</f>
        <v>0</v>
      </c>
      <c r="H3696" s="6">
        <v>36</v>
      </c>
      <c r="I3696" s="6">
        <v>36</v>
      </c>
      <c r="J3696" s="6">
        <f>I3696-H3696</f>
        <v>0</v>
      </c>
      <c r="K3696" s="5">
        <f>IF(H3696=0,"",J3696/H3696)</f>
        <v>0</v>
      </c>
      <c r="L3696">
        <f>IF(OR(AND(H3696=0,ABS(J3696)&gt;=0.01),AND(H3696&lt;&gt;0,ABS(K3696)&gt;VarianceThreshold)),"Review","OK")</f>
        <v>0</v>
      </c>
      <c r="M3696" t="s">
        <v>33</v>
      </c>
    </row>
    <row r="3697" spans="1:13">
      <c r="A3697" t="s">
        <v>5</v>
      </c>
      <c r="B3697" t="s">
        <v>952</v>
      </c>
      <c r="C3697" t="s">
        <v>3011</v>
      </c>
      <c r="D3697" t="s">
        <v>1131</v>
      </c>
      <c r="E3697" cm="1">
        <f t="array" ref="E3697">_xlfn.XLOOKUP(D3697,SKU_Master!A:A,SKU_Master!B:B,"Not on master")</f>
        <v>0</v>
      </c>
      <c r="F3697" cm="1">
        <f t="array" ref="F3697">_xlfn.XLOOKUP(C3697,Account_Master!A:A,Account_Master!B:B,"Not on master")</f>
        <v>0</v>
      </c>
      <c r="G3697" cm="1">
        <f t="array" ref="G3697">_xlfn.XLOOKUP(C3697,Account_Master!A:A,Account_Master!C:C,"Not on master")</f>
        <v>0</v>
      </c>
      <c r="H3697" s="6">
        <v>2.25</v>
      </c>
      <c r="I3697" s="6">
        <v>2.25</v>
      </c>
      <c r="J3697" s="6">
        <f>I3697-H3697</f>
        <v>0</v>
      </c>
      <c r="K3697" s="5">
        <f>IF(H3697=0,"",J3697/H3697)</f>
        <v>0</v>
      </c>
      <c r="L3697">
        <f>IF(OR(AND(H3697=0,ABS(J3697)&gt;=0.01),AND(H3697&lt;&gt;0,ABS(K3697)&gt;VarianceThreshold)),"Review","OK")</f>
        <v>0</v>
      </c>
      <c r="M3697" t="s">
        <v>33</v>
      </c>
    </row>
    <row r="3698" spans="1:13">
      <c r="A3698" t="s">
        <v>5</v>
      </c>
      <c r="B3698" t="s">
        <v>952</v>
      </c>
      <c r="C3698" t="s">
        <v>2760</v>
      </c>
      <c r="D3698" t="s">
        <v>933</v>
      </c>
      <c r="E3698" cm="1">
        <f t="array" ref="E3698">_xlfn.XLOOKUP(D3698,SKU_Master!A:A,SKU_Master!B:B,"Not on master")</f>
        <v>0</v>
      </c>
      <c r="F3698" cm="1">
        <f t="array" ref="F3698">_xlfn.XLOOKUP(C3698,Account_Master!A:A,Account_Master!B:B,"Not on master")</f>
        <v>0</v>
      </c>
      <c r="G3698" cm="1">
        <f t="array" ref="G3698">_xlfn.XLOOKUP(C3698,Account_Master!A:A,Account_Master!C:C,"Not on master")</f>
        <v>0</v>
      </c>
      <c r="H3698" s="6">
        <v>10.5</v>
      </c>
      <c r="I3698" s="6">
        <v>10.5</v>
      </c>
      <c r="J3698" s="6">
        <f>I3698-H3698</f>
        <v>0</v>
      </c>
      <c r="K3698" s="5">
        <f>IF(H3698=0,"",J3698/H3698)</f>
        <v>0</v>
      </c>
      <c r="L3698">
        <f>IF(OR(AND(H3698=0,ABS(J3698)&gt;=0.01),AND(H3698&lt;&gt;0,ABS(K3698)&gt;VarianceThreshold)),"Review","OK")</f>
        <v>0</v>
      </c>
      <c r="M3698" t="s">
        <v>33</v>
      </c>
    </row>
    <row r="3699" spans="1:13">
      <c r="A3699" t="s">
        <v>5</v>
      </c>
      <c r="B3699" t="s">
        <v>961</v>
      </c>
      <c r="C3699" t="s">
        <v>2764</v>
      </c>
      <c r="D3699" t="s">
        <v>1449</v>
      </c>
      <c r="E3699" cm="1">
        <f t="array" ref="E3699">_xlfn.XLOOKUP(D3699,SKU_Master!A:A,SKU_Master!B:B,"Not on master")</f>
        <v>0</v>
      </c>
      <c r="F3699" cm="1">
        <f t="array" ref="F3699">_xlfn.XLOOKUP(C3699,Account_Master!A:A,Account_Master!B:B,"Not on master")</f>
        <v>0</v>
      </c>
      <c r="G3699" cm="1">
        <f t="array" ref="G3699">_xlfn.XLOOKUP(C3699,Account_Master!A:A,Account_Master!C:C,"Not on master")</f>
        <v>0</v>
      </c>
      <c r="H3699" s="6">
        <v>63</v>
      </c>
      <c r="I3699" s="6">
        <v>63</v>
      </c>
      <c r="J3699" s="6">
        <f>I3699-H3699</f>
        <v>0</v>
      </c>
      <c r="K3699" s="5">
        <f>IF(H3699=0,"",J3699/H3699)</f>
        <v>0</v>
      </c>
      <c r="L3699">
        <f>IF(OR(AND(H3699=0,ABS(J3699)&gt;=0.01),AND(H3699&lt;&gt;0,ABS(K3699)&gt;VarianceThreshold)),"Review","OK")</f>
        <v>0</v>
      </c>
      <c r="M3699" t="s">
        <v>33</v>
      </c>
    </row>
    <row r="3700" spans="1:13">
      <c r="A3700" t="s">
        <v>5</v>
      </c>
      <c r="B3700" t="s">
        <v>961</v>
      </c>
      <c r="C3700" t="s">
        <v>2881</v>
      </c>
      <c r="D3700" t="s">
        <v>1402</v>
      </c>
      <c r="E3700" cm="1">
        <f t="array" ref="E3700">_xlfn.XLOOKUP(D3700,SKU_Master!A:A,SKU_Master!B:B,"Not on master")</f>
        <v>0</v>
      </c>
      <c r="F3700" cm="1">
        <f t="array" ref="F3700">_xlfn.XLOOKUP(C3700,Account_Master!A:A,Account_Master!B:B,"Not on master")</f>
        <v>0</v>
      </c>
      <c r="G3700" cm="1">
        <f t="array" ref="G3700">_xlfn.XLOOKUP(C3700,Account_Master!A:A,Account_Master!C:C,"Not on master")</f>
        <v>0</v>
      </c>
      <c r="H3700" s="6">
        <v>13.6</v>
      </c>
      <c r="I3700" s="6">
        <v>13.6</v>
      </c>
      <c r="J3700" s="6">
        <f>I3700-H3700</f>
        <v>0</v>
      </c>
      <c r="K3700" s="5">
        <f>IF(H3700=0,"",J3700/H3700)</f>
        <v>0</v>
      </c>
      <c r="L3700">
        <f>IF(OR(AND(H3700=0,ABS(J3700)&gt;=0.01),AND(H3700&lt;&gt;0,ABS(K3700)&gt;VarianceThreshold)),"Review","OK")</f>
        <v>0</v>
      </c>
      <c r="M3700" t="s">
        <v>33</v>
      </c>
    </row>
    <row r="3701" spans="1:13">
      <c r="A3701" t="s">
        <v>5</v>
      </c>
      <c r="B3701" t="s">
        <v>961</v>
      </c>
      <c r="C3701" t="s">
        <v>2874</v>
      </c>
      <c r="D3701" t="s">
        <v>1468</v>
      </c>
      <c r="E3701" cm="1">
        <f t="array" ref="E3701">_xlfn.XLOOKUP(D3701,SKU_Master!A:A,SKU_Master!B:B,"Not on master")</f>
        <v>0</v>
      </c>
      <c r="F3701" cm="1">
        <f t="array" ref="F3701">_xlfn.XLOOKUP(C3701,Account_Master!A:A,Account_Master!B:B,"Not on master")</f>
        <v>0</v>
      </c>
      <c r="G3701" cm="1">
        <f t="array" ref="G3701">_xlfn.XLOOKUP(C3701,Account_Master!A:A,Account_Master!C:C,"Not on master")</f>
        <v>0</v>
      </c>
      <c r="H3701" s="6">
        <v>661.5</v>
      </c>
      <c r="I3701" s="6">
        <v>661.5</v>
      </c>
      <c r="J3701" s="6">
        <f>I3701-H3701</f>
        <v>0</v>
      </c>
      <c r="K3701" s="5">
        <f>IF(H3701=0,"",J3701/H3701)</f>
        <v>0</v>
      </c>
      <c r="L3701">
        <f>IF(OR(AND(H3701=0,ABS(J3701)&gt;=0.01),AND(H3701&lt;&gt;0,ABS(K3701)&gt;VarianceThreshold)),"Review","OK")</f>
        <v>0</v>
      </c>
      <c r="M3701" t="s">
        <v>33</v>
      </c>
    </row>
    <row r="3702" spans="1:13">
      <c r="A3702" t="s">
        <v>5</v>
      </c>
      <c r="B3702" t="s">
        <v>961</v>
      </c>
      <c r="C3702" t="s">
        <v>2818</v>
      </c>
      <c r="D3702" t="s">
        <v>1921</v>
      </c>
      <c r="E3702" cm="1">
        <f t="array" ref="E3702">_xlfn.XLOOKUP(D3702,SKU_Master!A:A,SKU_Master!B:B,"Not on master")</f>
        <v>0</v>
      </c>
      <c r="F3702" cm="1">
        <f t="array" ref="F3702">_xlfn.XLOOKUP(C3702,Account_Master!A:A,Account_Master!B:B,"Not on master")</f>
        <v>0</v>
      </c>
      <c r="G3702" cm="1">
        <f t="array" ref="G3702">_xlfn.XLOOKUP(C3702,Account_Master!A:A,Account_Master!C:C,"Not on master")</f>
        <v>0</v>
      </c>
      <c r="H3702" s="6">
        <v>0.75</v>
      </c>
      <c r="I3702" s="6">
        <v>0.75</v>
      </c>
      <c r="J3702" s="6">
        <f>I3702-H3702</f>
        <v>0</v>
      </c>
      <c r="K3702" s="5">
        <f>IF(H3702=0,"",J3702/H3702)</f>
        <v>0</v>
      </c>
      <c r="L3702">
        <f>IF(OR(AND(H3702=0,ABS(J3702)&gt;=0.01),AND(H3702&lt;&gt;0,ABS(K3702)&gt;VarianceThreshold)),"Review","OK")</f>
        <v>0</v>
      </c>
      <c r="M3702" t="s">
        <v>33</v>
      </c>
    </row>
    <row r="3703" spans="1:13">
      <c r="A3703" t="s">
        <v>5</v>
      </c>
      <c r="B3703" t="s">
        <v>961</v>
      </c>
      <c r="C3703" t="s">
        <v>2926</v>
      </c>
      <c r="D3703" t="s">
        <v>654</v>
      </c>
      <c r="E3703" cm="1">
        <f t="array" ref="E3703">_xlfn.XLOOKUP(D3703,SKU_Master!A:A,SKU_Master!B:B,"Not on master")</f>
        <v>0</v>
      </c>
      <c r="F3703" cm="1">
        <f t="array" ref="F3703">_xlfn.XLOOKUP(C3703,Account_Master!A:A,Account_Master!B:B,"Not on master")</f>
        <v>0</v>
      </c>
      <c r="G3703" cm="1">
        <f t="array" ref="G3703">_xlfn.XLOOKUP(C3703,Account_Master!A:A,Account_Master!C:C,"Not on master")</f>
        <v>0</v>
      </c>
      <c r="H3703" s="6">
        <v>9</v>
      </c>
      <c r="I3703" s="6">
        <v>9</v>
      </c>
      <c r="J3703" s="6">
        <f>I3703-H3703</f>
        <v>0</v>
      </c>
      <c r="K3703" s="5">
        <f>IF(H3703=0,"",J3703/H3703)</f>
        <v>0</v>
      </c>
      <c r="L3703">
        <f>IF(OR(AND(H3703=0,ABS(J3703)&gt;=0.01),AND(H3703&lt;&gt;0,ABS(K3703)&gt;VarianceThreshold)),"Review","OK")</f>
        <v>0</v>
      </c>
      <c r="M3703" t="s">
        <v>33</v>
      </c>
    </row>
    <row r="3704" spans="1:13">
      <c r="A3704" t="s">
        <v>5</v>
      </c>
      <c r="B3704" t="s">
        <v>961</v>
      </c>
      <c r="C3704" t="s">
        <v>3012</v>
      </c>
      <c r="D3704" t="s">
        <v>2282</v>
      </c>
      <c r="E3704" cm="1">
        <f t="array" ref="E3704">_xlfn.XLOOKUP(D3704,SKU_Master!A:A,SKU_Master!B:B,"Not on master")</f>
        <v>0</v>
      </c>
      <c r="F3704" cm="1">
        <f t="array" ref="F3704">_xlfn.XLOOKUP(C3704,Account_Master!A:A,Account_Master!B:B,"Not on master")</f>
        <v>0</v>
      </c>
      <c r="G3704" cm="1">
        <f t="array" ref="G3704">_xlfn.XLOOKUP(C3704,Account_Master!A:A,Account_Master!C:C,"Not on master")</f>
        <v>0</v>
      </c>
      <c r="H3704" s="6">
        <v>4.5</v>
      </c>
      <c r="I3704" s="6">
        <v>4.5</v>
      </c>
      <c r="J3704" s="6">
        <f>I3704-H3704</f>
        <v>0</v>
      </c>
      <c r="K3704" s="5">
        <f>IF(H3704=0,"",J3704/H3704)</f>
        <v>0</v>
      </c>
      <c r="L3704">
        <f>IF(OR(AND(H3704=0,ABS(J3704)&gt;=0.01),AND(H3704&lt;&gt;0,ABS(K3704)&gt;VarianceThreshold)),"Review","OK")</f>
        <v>0</v>
      </c>
      <c r="M3704" t="s">
        <v>33</v>
      </c>
    </row>
    <row r="3705" spans="1:13">
      <c r="A3705" t="s">
        <v>5</v>
      </c>
      <c r="B3705" t="s">
        <v>961</v>
      </c>
      <c r="C3705" t="s">
        <v>2761</v>
      </c>
      <c r="D3705" t="s">
        <v>3013</v>
      </c>
      <c r="E3705" cm="1">
        <f t="array" ref="E3705">_xlfn.XLOOKUP(D3705,SKU_Master!A:A,SKU_Master!B:B,"Not on master")</f>
        <v>0</v>
      </c>
      <c r="F3705" cm="1">
        <f t="array" ref="F3705">_xlfn.XLOOKUP(C3705,Account_Master!A:A,Account_Master!B:B,"Not on master")</f>
        <v>0</v>
      </c>
      <c r="G3705" cm="1">
        <f t="array" ref="G3705">_xlfn.XLOOKUP(C3705,Account_Master!A:A,Account_Master!C:C,"Not on master")</f>
        <v>0</v>
      </c>
      <c r="H3705" s="6">
        <v>6</v>
      </c>
      <c r="I3705" s="6">
        <v>6</v>
      </c>
      <c r="J3705" s="6">
        <f>I3705-H3705</f>
        <v>0</v>
      </c>
      <c r="K3705" s="5">
        <f>IF(H3705=0,"",J3705/H3705)</f>
        <v>0</v>
      </c>
      <c r="L3705">
        <f>IF(OR(AND(H3705=0,ABS(J3705)&gt;=0.01),AND(H3705&lt;&gt;0,ABS(K3705)&gt;VarianceThreshold)),"Review","OK")</f>
        <v>0</v>
      </c>
      <c r="M3705" t="s">
        <v>33</v>
      </c>
    </row>
    <row r="3706" spans="1:13">
      <c r="A3706" t="s">
        <v>5</v>
      </c>
      <c r="B3706" t="s">
        <v>966</v>
      </c>
      <c r="C3706" t="s">
        <v>2920</v>
      </c>
      <c r="D3706" t="s">
        <v>290</v>
      </c>
      <c r="E3706" cm="1">
        <f t="array" ref="E3706">_xlfn.XLOOKUP(D3706,SKU_Master!A:A,SKU_Master!B:B,"Not on master")</f>
        <v>0</v>
      </c>
      <c r="F3706" cm="1">
        <f t="array" ref="F3706">_xlfn.XLOOKUP(C3706,Account_Master!A:A,Account_Master!B:B,"Not on master")</f>
        <v>0</v>
      </c>
      <c r="G3706" cm="1">
        <f t="array" ref="G3706">_xlfn.XLOOKUP(C3706,Account_Master!A:A,Account_Master!C:C,"Not on master")</f>
        <v>0</v>
      </c>
      <c r="H3706" s="6">
        <v>0.1</v>
      </c>
      <c r="I3706" s="6">
        <v>0.1</v>
      </c>
      <c r="J3706" s="6">
        <f>I3706-H3706</f>
        <v>0</v>
      </c>
      <c r="K3706" s="5">
        <f>IF(H3706=0,"",J3706/H3706)</f>
        <v>0</v>
      </c>
      <c r="L3706">
        <f>IF(OR(AND(H3706=0,ABS(J3706)&gt;=0.01),AND(H3706&lt;&gt;0,ABS(K3706)&gt;VarianceThreshold)),"Review","OK")</f>
        <v>0</v>
      </c>
      <c r="M3706" t="s">
        <v>33</v>
      </c>
    </row>
    <row r="3707" spans="1:13">
      <c r="A3707" t="s">
        <v>5</v>
      </c>
      <c r="B3707" t="s">
        <v>966</v>
      </c>
      <c r="C3707" t="s">
        <v>2886</v>
      </c>
      <c r="D3707" t="s">
        <v>2460</v>
      </c>
      <c r="E3707" cm="1">
        <f t="array" ref="E3707">_xlfn.XLOOKUP(D3707,SKU_Master!A:A,SKU_Master!B:B,"Not on master")</f>
        <v>0</v>
      </c>
      <c r="F3707" cm="1">
        <f t="array" ref="F3707">_xlfn.XLOOKUP(C3707,Account_Master!A:A,Account_Master!B:B,"Not on master")</f>
        <v>0</v>
      </c>
      <c r="G3707" cm="1">
        <f t="array" ref="G3707">_xlfn.XLOOKUP(C3707,Account_Master!A:A,Account_Master!C:C,"Not on master")</f>
        <v>0</v>
      </c>
      <c r="H3707" s="6">
        <v>64.75</v>
      </c>
      <c r="I3707" s="6">
        <v>64.75</v>
      </c>
      <c r="J3707" s="6">
        <f>I3707-H3707</f>
        <v>0</v>
      </c>
      <c r="K3707" s="5">
        <f>IF(H3707=0,"",J3707/H3707)</f>
        <v>0</v>
      </c>
      <c r="L3707">
        <f>IF(OR(AND(H3707=0,ABS(J3707)&gt;=0.01),AND(H3707&lt;&gt;0,ABS(K3707)&gt;VarianceThreshold)),"Review","OK")</f>
        <v>0</v>
      </c>
      <c r="M3707" t="s">
        <v>33</v>
      </c>
    </row>
    <row r="3708" spans="1:13">
      <c r="A3708" t="s">
        <v>5</v>
      </c>
      <c r="B3708" t="s">
        <v>966</v>
      </c>
      <c r="C3708" t="s">
        <v>2802</v>
      </c>
      <c r="D3708" t="s">
        <v>3014</v>
      </c>
      <c r="E3708" cm="1">
        <f t="array" ref="E3708">_xlfn.XLOOKUP(D3708,SKU_Master!A:A,SKU_Master!B:B,"Not on master")</f>
        <v>0</v>
      </c>
      <c r="F3708" cm="1">
        <f t="array" ref="F3708">_xlfn.XLOOKUP(C3708,Account_Master!A:A,Account_Master!B:B,"Not on master")</f>
        <v>0</v>
      </c>
      <c r="G3708" cm="1">
        <f t="array" ref="G3708">_xlfn.XLOOKUP(C3708,Account_Master!A:A,Account_Master!C:C,"Not on master")</f>
        <v>0</v>
      </c>
      <c r="H3708" s="6">
        <v>3.75</v>
      </c>
      <c r="I3708" s="6">
        <v>3.75</v>
      </c>
      <c r="J3708" s="6">
        <f>I3708-H3708</f>
        <v>0</v>
      </c>
      <c r="K3708" s="5">
        <f>IF(H3708=0,"",J3708/H3708)</f>
        <v>0</v>
      </c>
      <c r="L3708">
        <f>IF(OR(AND(H3708=0,ABS(J3708)&gt;=0.01),AND(H3708&lt;&gt;0,ABS(K3708)&gt;VarianceThreshold)),"Review","OK")</f>
        <v>0</v>
      </c>
      <c r="M3708" t="s">
        <v>33</v>
      </c>
    </row>
    <row r="3709" spans="1:13">
      <c r="A3709" t="s">
        <v>5</v>
      </c>
      <c r="B3709" t="s">
        <v>966</v>
      </c>
      <c r="C3709" t="s">
        <v>2756</v>
      </c>
      <c r="D3709" t="s">
        <v>3015</v>
      </c>
      <c r="E3709" cm="1">
        <f t="array" ref="E3709">_xlfn.XLOOKUP(D3709,SKU_Master!A:A,SKU_Master!B:B,"Not on master")</f>
        <v>0</v>
      </c>
      <c r="F3709" cm="1">
        <f t="array" ref="F3709">_xlfn.XLOOKUP(C3709,Account_Master!A:A,Account_Master!B:B,"Not on master")</f>
        <v>0</v>
      </c>
      <c r="G3709" cm="1">
        <f t="array" ref="G3709">_xlfn.XLOOKUP(C3709,Account_Master!A:A,Account_Master!C:C,"Not on master")</f>
        <v>0</v>
      </c>
      <c r="H3709" s="6">
        <v>15</v>
      </c>
      <c r="I3709" s="6">
        <v>15</v>
      </c>
      <c r="J3709" s="6">
        <f>I3709-H3709</f>
        <v>0</v>
      </c>
      <c r="K3709" s="5">
        <f>IF(H3709=0,"",J3709/H3709)</f>
        <v>0</v>
      </c>
      <c r="L3709">
        <f>IF(OR(AND(H3709=0,ABS(J3709)&gt;=0.01),AND(H3709&lt;&gt;0,ABS(K3709)&gt;VarianceThreshold)),"Review","OK")</f>
        <v>0</v>
      </c>
      <c r="M3709" t="s">
        <v>33</v>
      </c>
    </row>
    <row r="3710" spans="1:13">
      <c r="A3710" t="s">
        <v>5</v>
      </c>
      <c r="B3710" t="s">
        <v>966</v>
      </c>
      <c r="C3710" t="s">
        <v>2802</v>
      </c>
      <c r="D3710" t="s">
        <v>470</v>
      </c>
      <c r="E3710" cm="1">
        <f t="array" ref="E3710">_xlfn.XLOOKUP(D3710,SKU_Master!A:A,SKU_Master!B:B,"Not on master")</f>
        <v>0</v>
      </c>
      <c r="F3710" cm="1">
        <f t="array" ref="F3710">_xlfn.XLOOKUP(C3710,Account_Master!A:A,Account_Master!B:B,"Not on master")</f>
        <v>0</v>
      </c>
      <c r="G3710" cm="1">
        <f t="array" ref="G3710">_xlfn.XLOOKUP(C3710,Account_Master!A:A,Account_Master!C:C,"Not on master")</f>
        <v>0</v>
      </c>
      <c r="H3710" s="6">
        <v>0.05</v>
      </c>
      <c r="I3710" s="6">
        <v>0.05</v>
      </c>
      <c r="J3710" s="6">
        <f>I3710-H3710</f>
        <v>0</v>
      </c>
      <c r="K3710" s="5">
        <f>IF(H3710=0,"",J3710/H3710)</f>
        <v>0</v>
      </c>
      <c r="L3710">
        <f>IF(OR(AND(H3710=0,ABS(J3710)&gt;=0.01),AND(H3710&lt;&gt;0,ABS(K3710)&gt;VarianceThreshold)),"Review","OK")</f>
        <v>0</v>
      </c>
      <c r="M3710" t="s">
        <v>33</v>
      </c>
    </row>
    <row r="3711" spans="1:13">
      <c r="A3711" t="s">
        <v>5</v>
      </c>
      <c r="B3711" t="s">
        <v>966</v>
      </c>
      <c r="C3711" t="s">
        <v>2756</v>
      </c>
      <c r="D3711" t="s">
        <v>3016</v>
      </c>
      <c r="E3711" cm="1">
        <f t="array" ref="E3711">_xlfn.XLOOKUP(D3711,SKU_Master!A:A,SKU_Master!B:B,"Not on master")</f>
        <v>0</v>
      </c>
      <c r="F3711" cm="1">
        <f t="array" ref="F3711">_xlfn.XLOOKUP(C3711,Account_Master!A:A,Account_Master!B:B,"Not on master")</f>
        <v>0</v>
      </c>
      <c r="G3711" cm="1">
        <f t="array" ref="G3711">_xlfn.XLOOKUP(C3711,Account_Master!A:A,Account_Master!C:C,"Not on master")</f>
        <v>0</v>
      </c>
      <c r="H3711" s="6">
        <v>5.25</v>
      </c>
      <c r="I3711" s="6">
        <v>5.25</v>
      </c>
      <c r="J3711" s="6">
        <f>I3711-H3711</f>
        <v>0</v>
      </c>
      <c r="K3711" s="5">
        <f>IF(H3711=0,"",J3711/H3711)</f>
        <v>0</v>
      </c>
      <c r="L3711">
        <f>IF(OR(AND(H3711=0,ABS(J3711)&gt;=0.01),AND(H3711&lt;&gt;0,ABS(K3711)&gt;VarianceThreshold)),"Review","OK")</f>
        <v>0</v>
      </c>
      <c r="M3711" t="s">
        <v>33</v>
      </c>
    </row>
    <row r="3712" spans="1:13">
      <c r="A3712" t="s">
        <v>5</v>
      </c>
      <c r="B3712" t="s">
        <v>980</v>
      </c>
      <c r="C3712" t="s">
        <v>2786</v>
      </c>
      <c r="D3712" t="s">
        <v>1404</v>
      </c>
      <c r="E3712" cm="1">
        <f t="array" ref="E3712">_xlfn.XLOOKUP(D3712,SKU_Master!A:A,SKU_Master!B:B,"Not on master")</f>
        <v>0</v>
      </c>
      <c r="F3712" cm="1">
        <f t="array" ref="F3712">_xlfn.XLOOKUP(C3712,Account_Master!A:A,Account_Master!B:B,"Not on master")</f>
        <v>0</v>
      </c>
      <c r="G3712" cm="1">
        <f t="array" ref="G3712">_xlfn.XLOOKUP(C3712,Account_Master!A:A,Account_Master!C:C,"Not on master")</f>
        <v>0</v>
      </c>
      <c r="H3712" s="6">
        <v>3225.25</v>
      </c>
      <c r="I3712" s="6">
        <v>3225.25</v>
      </c>
      <c r="J3712" s="6">
        <f>I3712-H3712</f>
        <v>0</v>
      </c>
      <c r="K3712" s="5">
        <f>IF(H3712=0,"",J3712/H3712)</f>
        <v>0</v>
      </c>
      <c r="L3712">
        <f>IF(OR(AND(H3712=0,ABS(J3712)&gt;=0.01),AND(H3712&lt;&gt;0,ABS(K3712)&gt;VarianceThreshold)),"Review","OK")</f>
        <v>0</v>
      </c>
      <c r="M3712" t="s">
        <v>33</v>
      </c>
    </row>
    <row r="3713" spans="1:13">
      <c r="A3713" t="s">
        <v>5</v>
      </c>
      <c r="B3713" t="s">
        <v>980</v>
      </c>
      <c r="C3713" t="s">
        <v>2767</v>
      </c>
      <c r="D3713" t="s">
        <v>720</v>
      </c>
      <c r="E3713" cm="1">
        <f t="array" ref="E3713">_xlfn.XLOOKUP(D3713,SKU_Master!A:A,SKU_Master!B:B,"Not on master")</f>
        <v>0</v>
      </c>
      <c r="F3713" cm="1">
        <f t="array" ref="F3713">_xlfn.XLOOKUP(C3713,Account_Master!A:A,Account_Master!B:B,"Not on master")</f>
        <v>0</v>
      </c>
      <c r="G3713" cm="1">
        <f t="array" ref="G3713">_xlfn.XLOOKUP(C3713,Account_Master!A:A,Account_Master!C:C,"Not on master")</f>
        <v>0</v>
      </c>
      <c r="H3713" s="6">
        <v>13.5</v>
      </c>
      <c r="I3713" s="6">
        <v>13.5</v>
      </c>
      <c r="J3713" s="6">
        <f>I3713-H3713</f>
        <v>0</v>
      </c>
      <c r="K3713" s="5">
        <f>IF(H3713=0,"",J3713/H3713)</f>
        <v>0</v>
      </c>
      <c r="L3713">
        <f>IF(OR(AND(H3713=0,ABS(J3713)&gt;=0.01),AND(H3713&lt;&gt;0,ABS(K3713)&gt;VarianceThreshold)),"Review","OK")</f>
        <v>0</v>
      </c>
      <c r="M3713" t="s">
        <v>33</v>
      </c>
    </row>
    <row r="3714" spans="1:13">
      <c r="A3714" t="s">
        <v>5</v>
      </c>
      <c r="B3714" t="s">
        <v>980</v>
      </c>
      <c r="C3714" t="s">
        <v>2775</v>
      </c>
      <c r="D3714" t="s">
        <v>1823</v>
      </c>
      <c r="E3714" cm="1">
        <f t="array" ref="E3714">_xlfn.XLOOKUP(D3714,SKU_Master!A:A,SKU_Master!B:B,"Not on master")</f>
        <v>0</v>
      </c>
      <c r="F3714" cm="1">
        <f t="array" ref="F3714">_xlfn.XLOOKUP(C3714,Account_Master!A:A,Account_Master!B:B,"Not on master")</f>
        <v>0</v>
      </c>
      <c r="G3714" cm="1">
        <f t="array" ref="G3714">_xlfn.XLOOKUP(C3714,Account_Master!A:A,Account_Master!C:C,"Not on master")</f>
        <v>0</v>
      </c>
      <c r="H3714" s="6">
        <v>1.5</v>
      </c>
      <c r="I3714" s="6">
        <v>1.5</v>
      </c>
      <c r="J3714" s="6">
        <f>I3714-H3714</f>
        <v>0</v>
      </c>
      <c r="K3714" s="5">
        <f>IF(H3714=0,"",J3714/H3714)</f>
        <v>0</v>
      </c>
      <c r="L3714">
        <f>IF(OR(AND(H3714=0,ABS(J3714)&gt;=0.01),AND(H3714&lt;&gt;0,ABS(K3714)&gt;VarianceThreshold)),"Review","OK")</f>
        <v>0</v>
      </c>
      <c r="M3714" t="s">
        <v>33</v>
      </c>
    </row>
    <row r="3715" spans="1:13">
      <c r="A3715" t="s">
        <v>5</v>
      </c>
      <c r="B3715" t="s">
        <v>980</v>
      </c>
      <c r="C3715" t="s">
        <v>2746</v>
      </c>
      <c r="D3715" t="s">
        <v>3017</v>
      </c>
      <c r="E3715" cm="1">
        <f t="array" ref="E3715">_xlfn.XLOOKUP(D3715,SKU_Master!A:A,SKU_Master!B:B,"Not on master")</f>
        <v>0</v>
      </c>
      <c r="F3715" cm="1">
        <f t="array" ref="F3715">_xlfn.XLOOKUP(C3715,Account_Master!A:A,Account_Master!B:B,"Not on master")</f>
        <v>0</v>
      </c>
      <c r="G3715" cm="1">
        <f t="array" ref="G3715">_xlfn.XLOOKUP(C3715,Account_Master!A:A,Account_Master!C:C,"Not on master")</f>
        <v>0</v>
      </c>
      <c r="H3715" s="6">
        <v>36</v>
      </c>
      <c r="I3715" s="6">
        <v>36</v>
      </c>
      <c r="J3715" s="6">
        <f>I3715-H3715</f>
        <v>0</v>
      </c>
      <c r="K3715" s="5">
        <f>IF(H3715=0,"",J3715/H3715)</f>
        <v>0</v>
      </c>
      <c r="L3715">
        <f>IF(OR(AND(H3715=0,ABS(J3715)&gt;=0.01),AND(H3715&lt;&gt;0,ABS(K3715)&gt;VarianceThreshold)),"Review","OK")</f>
        <v>0</v>
      </c>
      <c r="M3715" t="s">
        <v>33</v>
      </c>
    </row>
    <row r="3716" spans="1:13">
      <c r="A3716" t="s">
        <v>5</v>
      </c>
      <c r="B3716" t="s">
        <v>980</v>
      </c>
      <c r="C3716" t="s">
        <v>3018</v>
      </c>
      <c r="D3716" t="s">
        <v>712</v>
      </c>
      <c r="E3716" cm="1">
        <f t="array" ref="E3716">_xlfn.XLOOKUP(D3716,SKU_Master!A:A,SKU_Master!B:B,"Not on master")</f>
        <v>0</v>
      </c>
      <c r="F3716" cm="1">
        <f t="array" ref="F3716">_xlfn.XLOOKUP(C3716,Account_Master!A:A,Account_Master!B:B,"Not on master")</f>
        <v>0</v>
      </c>
      <c r="G3716" cm="1">
        <f t="array" ref="G3716">_xlfn.XLOOKUP(C3716,Account_Master!A:A,Account_Master!C:C,"Not on master")</f>
        <v>0</v>
      </c>
      <c r="H3716" s="6">
        <v>3.2</v>
      </c>
      <c r="I3716" s="6">
        <v>3.2</v>
      </c>
      <c r="J3716" s="6">
        <f>I3716-H3716</f>
        <v>0</v>
      </c>
      <c r="K3716" s="5">
        <f>IF(H3716=0,"",J3716/H3716)</f>
        <v>0</v>
      </c>
      <c r="L3716">
        <f>IF(OR(AND(H3716=0,ABS(J3716)&gt;=0.01),AND(H3716&lt;&gt;0,ABS(K3716)&gt;VarianceThreshold)),"Review","OK")</f>
        <v>0</v>
      </c>
      <c r="M3716" t="s">
        <v>33</v>
      </c>
    </row>
    <row r="3717" spans="1:13">
      <c r="A3717" t="s">
        <v>5</v>
      </c>
      <c r="B3717" t="s">
        <v>992</v>
      </c>
      <c r="C3717" t="s">
        <v>2796</v>
      </c>
      <c r="D3717" t="s">
        <v>376</v>
      </c>
      <c r="E3717" cm="1">
        <f t="array" ref="E3717">_xlfn.XLOOKUP(D3717,SKU_Master!A:A,SKU_Master!B:B,"Not on master")</f>
        <v>0</v>
      </c>
      <c r="F3717" cm="1">
        <f t="array" ref="F3717">_xlfn.XLOOKUP(C3717,Account_Master!A:A,Account_Master!B:B,"Not on master")</f>
        <v>0</v>
      </c>
      <c r="G3717" cm="1">
        <f t="array" ref="G3717">_xlfn.XLOOKUP(C3717,Account_Master!A:A,Account_Master!C:C,"Not on master")</f>
        <v>0</v>
      </c>
      <c r="H3717" s="6">
        <v>12</v>
      </c>
      <c r="I3717" s="6">
        <v>12</v>
      </c>
      <c r="J3717" s="6">
        <f>I3717-H3717</f>
        <v>0</v>
      </c>
      <c r="K3717" s="5">
        <f>IF(H3717=0,"",J3717/H3717)</f>
        <v>0</v>
      </c>
      <c r="L3717">
        <f>IF(OR(AND(H3717=0,ABS(J3717)&gt;=0.01),AND(H3717&lt;&gt;0,ABS(K3717)&gt;VarianceThreshold)),"Review","OK")</f>
        <v>0</v>
      </c>
      <c r="M3717" t="s">
        <v>33</v>
      </c>
    </row>
    <row r="3718" spans="1:13">
      <c r="A3718" t="s">
        <v>5</v>
      </c>
      <c r="B3718" t="s">
        <v>992</v>
      </c>
      <c r="C3718" t="s">
        <v>2763</v>
      </c>
      <c r="D3718" t="s">
        <v>2567</v>
      </c>
      <c r="E3718" cm="1">
        <f t="array" ref="E3718">_xlfn.XLOOKUP(D3718,SKU_Master!A:A,SKU_Master!B:B,"Not on master")</f>
        <v>0</v>
      </c>
      <c r="F3718" cm="1">
        <f t="array" ref="F3718">_xlfn.XLOOKUP(C3718,Account_Master!A:A,Account_Master!B:B,"Not on master")</f>
        <v>0</v>
      </c>
      <c r="G3718" cm="1">
        <f t="array" ref="G3718">_xlfn.XLOOKUP(C3718,Account_Master!A:A,Account_Master!C:C,"Not on master")</f>
        <v>0</v>
      </c>
      <c r="H3718" s="6">
        <v>24</v>
      </c>
      <c r="I3718" s="6">
        <v>24</v>
      </c>
      <c r="J3718" s="6">
        <f>I3718-H3718</f>
        <v>0</v>
      </c>
      <c r="K3718" s="5">
        <f>IF(H3718=0,"",J3718/H3718)</f>
        <v>0</v>
      </c>
      <c r="L3718">
        <f>IF(OR(AND(H3718=0,ABS(J3718)&gt;=0.01),AND(H3718&lt;&gt;0,ABS(K3718)&gt;VarianceThreshold)),"Review","OK")</f>
        <v>0</v>
      </c>
      <c r="M3718" t="s">
        <v>33</v>
      </c>
    </row>
    <row r="3719" spans="1:13">
      <c r="A3719" t="s">
        <v>5</v>
      </c>
      <c r="B3719" t="s">
        <v>992</v>
      </c>
      <c r="C3719" t="s">
        <v>2799</v>
      </c>
      <c r="D3719" t="s">
        <v>1362</v>
      </c>
      <c r="E3719" cm="1">
        <f t="array" ref="E3719">_xlfn.XLOOKUP(D3719,SKU_Master!A:A,SKU_Master!B:B,"Not on master")</f>
        <v>0</v>
      </c>
      <c r="F3719" cm="1">
        <f t="array" ref="F3719">_xlfn.XLOOKUP(C3719,Account_Master!A:A,Account_Master!B:B,"Not on master")</f>
        <v>0</v>
      </c>
      <c r="G3719" cm="1">
        <f t="array" ref="G3719">_xlfn.XLOOKUP(C3719,Account_Master!A:A,Account_Master!C:C,"Not on master")</f>
        <v>0</v>
      </c>
      <c r="H3719" s="6">
        <v>30.73</v>
      </c>
      <c r="I3719" s="6">
        <v>30.73</v>
      </c>
      <c r="J3719" s="6">
        <f>I3719-H3719</f>
        <v>0</v>
      </c>
      <c r="K3719" s="5">
        <f>IF(H3719=0,"",J3719/H3719)</f>
        <v>0</v>
      </c>
      <c r="L3719">
        <f>IF(OR(AND(H3719=0,ABS(J3719)&gt;=0.01),AND(H3719&lt;&gt;0,ABS(K3719)&gt;VarianceThreshold)),"Review","OK")</f>
        <v>0</v>
      </c>
      <c r="M3719" t="s">
        <v>33</v>
      </c>
    </row>
    <row r="3720" spans="1:13">
      <c r="A3720" t="s">
        <v>5</v>
      </c>
      <c r="B3720" t="s">
        <v>1002</v>
      </c>
      <c r="C3720" t="s">
        <v>3019</v>
      </c>
      <c r="D3720" t="s">
        <v>2258</v>
      </c>
      <c r="E3720" cm="1">
        <f t="array" ref="E3720">_xlfn.XLOOKUP(D3720,SKU_Master!A:A,SKU_Master!B:B,"Not on master")</f>
        <v>0</v>
      </c>
      <c r="F3720" cm="1">
        <f t="array" ref="F3720">_xlfn.XLOOKUP(C3720,Account_Master!A:A,Account_Master!B:B,"Not on master")</f>
        <v>0</v>
      </c>
      <c r="G3720" cm="1">
        <f t="array" ref="G3720">_xlfn.XLOOKUP(C3720,Account_Master!A:A,Account_Master!C:C,"Not on master")</f>
        <v>0</v>
      </c>
      <c r="H3720" s="6">
        <v>5.25</v>
      </c>
      <c r="I3720" s="6">
        <v>5.25</v>
      </c>
      <c r="J3720" s="6">
        <f>I3720-H3720</f>
        <v>0</v>
      </c>
      <c r="K3720" s="5">
        <f>IF(H3720=0,"",J3720/H3720)</f>
        <v>0</v>
      </c>
      <c r="L3720">
        <f>IF(OR(AND(H3720=0,ABS(J3720)&gt;=0.01),AND(H3720&lt;&gt;0,ABS(K3720)&gt;VarianceThreshold)),"Review","OK")</f>
        <v>0</v>
      </c>
      <c r="M3720" t="s">
        <v>33</v>
      </c>
    </row>
    <row r="3721" spans="1:13">
      <c r="A3721" t="s">
        <v>5</v>
      </c>
      <c r="B3721" t="s">
        <v>1002</v>
      </c>
      <c r="C3721" t="s">
        <v>3020</v>
      </c>
      <c r="D3721" t="s">
        <v>70</v>
      </c>
      <c r="E3721" cm="1">
        <f t="array" ref="E3721">_xlfn.XLOOKUP(D3721,SKU_Master!A:A,SKU_Master!B:B,"Not on master")</f>
        <v>0</v>
      </c>
      <c r="F3721" cm="1">
        <f t="array" ref="F3721">_xlfn.XLOOKUP(C3721,Account_Master!A:A,Account_Master!B:B,"Not on master")</f>
        <v>0</v>
      </c>
      <c r="G3721" cm="1">
        <f t="array" ref="G3721">_xlfn.XLOOKUP(C3721,Account_Master!A:A,Account_Master!C:C,"Not on master")</f>
        <v>0</v>
      </c>
      <c r="H3721" s="6">
        <v>0.15</v>
      </c>
      <c r="I3721" s="6">
        <v>0.15</v>
      </c>
      <c r="J3721" s="6">
        <f>I3721-H3721</f>
        <v>0</v>
      </c>
      <c r="K3721" s="5">
        <f>IF(H3721=0,"",J3721/H3721)</f>
        <v>0</v>
      </c>
      <c r="L3721">
        <f>IF(OR(AND(H3721=0,ABS(J3721)&gt;=0.01),AND(H3721&lt;&gt;0,ABS(K3721)&gt;VarianceThreshold)),"Review","OK")</f>
        <v>0</v>
      </c>
      <c r="M3721" t="s">
        <v>33</v>
      </c>
    </row>
    <row r="3722" spans="1:13">
      <c r="A3722" t="s">
        <v>6</v>
      </c>
      <c r="B3722" t="s">
        <v>30</v>
      </c>
      <c r="C3722" t="s">
        <v>3021</v>
      </c>
      <c r="D3722" t="s">
        <v>1486</v>
      </c>
      <c r="E3722" cm="1">
        <f t="array" ref="E3722">_xlfn.XLOOKUP(D3722,SKU_Master!A:A,SKU_Master!B:B,"Not on master")</f>
        <v>0</v>
      </c>
      <c r="F3722" cm="1">
        <f t="array" ref="F3722">_xlfn.XLOOKUP(C3722,Account_Master!A:A,Account_Master!B:B,"Not on master")</f>
        <v>0</v>
      </c>
      <c r="G3722" cm="1">
        <f t="array" ref="G3722">_xlfn.XLOOKUP(C3722,Account_Master!A:A,Account_Master!C:C,"Not on master")</f>
        <v>0</v>
      </c>
      <c r="H3722" s="6">
        <v>18.75</v>
      </c>
      <c r="I3722" s="6">
        <v>18.75</v>
      </c>
      <c r="J3722" s="6">
        <f>I3722-H3722</f>
        <v>0</v>
      </c>
      <c r="K3722" s="5">
        <f>IF(H3722=0,"",J3722/H3722)</f>
        <v>0</v>
      </c>
      <c r="L3722">
        <f>IF(OR(AND(H3722=0,ABS(J3722)&gt;=0.01),AND(H3722&lt;&gt;0,ABS(K3722)&gt;VarianceThreshold)),"Review","OK")</f>
        <v>0</v>
      </c>
      <c r="M3722" t="s">
        <v>33</v>
      </c>
    </row>
    <row r="3723" spans="1:13">
      <c r="A3723" t="s">
        <v>6</v>
      </c>
      <c r="B3723" t="s">
        <v>30</v>
      </c>
      <c r="C3723" t="s">
        <v>3022</v>
      </c>
      <c r="D3723" t="s">
        <v>646</v>
      </c>
      <c r="E3723" cm="1">
        <f t="array" ref="E3723">_xlfn.XLOOKUP(D3723,SKU_Master!A:A,SKU_Master!B:B,"Not on master")</f>
        <v>0</v>
      </c>
      <c r="F3723" cm="1">
        <f t="array" ref="F3723">_xlfn.XLOOKUP(C3723,Account_Master!A:A,Account_Master!B:B,"Not on master")</f>
        <v>0</v>
      </c>
      <c r="G3723" cm="1">
        <f t="array" ref="G3723">_xlfn.XLOOKUP(C3723,Account_Master!A:A,Account_Master!C:C,"Not on master")</f>
        <v>0</v>
      </c>
      <c r="H3723" s="6">
        <v>10.5</v>
      </c>
      <c r="I3723" s="6">
        <v>10.5</v>
      </c>
      <c r="J3723" s="6">
        <f>I3723-H3723</f>
        <v>0</v>
      </c>
      <c r="K3723" s="5">
        <f>IF(H3723=0,"",J3723/H3723)</f>
        <v>0</v>
      </c>
      <c r="L3723">
        <f>IF(OR(AND(H3723=0,ABS(J3723)&gt;=0.01),AND(H3723&lt;&gt;0,ABS(K3723)&gt;VarianceThreshold)),"Review","OK")</f>
        <v>0</v>
      </c>
      <c r="M3723" t="s">
        <v>33</v>
      </c>
    </row>
    <row r="3724" spans="1:13">
      <c r="A3724" t="s">
        <v>6</v>
      </c>
      <c r="B3724" t="s">
        <v>30</v>
      </c>
      <c r="C3724" t="s">
        <v>3023</v>
      </c>
      <c r="D3724" t="s">
        <v>2165</v>
      </c>
      <c r="E3724" cm="1">
        <f t="array" ref="E3724">_xlfn.XLOOKUP(D3724,SKU_Master!A:A,SKU_Master!B:B,"Not on master")</f>
        <v>0</v>
      </c>
      <c r="F3724" cm="1">
        <f t="array" ref="F3724">_xlfn.XLOOKUP(C3724,Account_Master!A:A,Account_Master!B:B,"Not on master")</f>
        <v>0</v>
      </c>
      <c r="G3724" cm="1">
        <f t="array" ref="G3724">_xlfn.XLOOKUP(C3724,Account_Master!A:A,Account_Master!C:C,"Not on master")</f>
        <v>0</v>
      </c>
      <c r="H3724" s="6">
        <v>26</v>
      </c>
      <c r="I3724" s="6">
        <v>26</v>
      </c>
      <c r="J3724" s="6">
        <f>I3724-H3724</f>
        <v>0</v>
      </c>
      <c r="K3724" s="5">
        <f>IF(H3724=0,"",J3724/H3724)</f>
        <v>0</v>
      </c>
      <c r="L3724">
        <f>IF(OR(AND(H3724=0,ABS(J3724)&gt;=0.01),AND(H3724&lt;&gt;0,ABS(K3724)&gt;VarianceThreshold)),"Review","OK")</f>
        <v>0</v>
      </c>
      <c r="M3724" t="s">
        <v>33</v>
      </c>
    </row>
    <row r="3725" spans="1:13">
      <c r="A3725" t="s">
        <v>6</v>
      </c>
      <c r="B3725" t="s">
        <v>30</v>
      </c>
      <c r="C3725" t="s">
        <v>3024</v>
      </c>
      <c r="D3725" t="s">
        <v>1398</v>
      </c>
      <c r="E3725" cm="1">
        <f t="array" ref="E3725">_xlfn.XLOOKUP(D3725,SKU_Master!A:A,SKU_Master!B:B,"Not on master")</f>
        <v>0</v>
      </c>
      <c r="F3725" cm="1">
        <f t="array" ref="F3725">_xlfn.XLOOKUP(C3725,Account_Master!A:A,Account_Master!B:B,"Not on master")</f>
        <v>0</v>
      </c>
      <c r="G3725" cm="1">
        <f t="array" ref="G3725">_xlfn.XLOOKUP(C3725,Account_Master!A:A,Account_Master!C:C,"Not on master")</f>
        <v>0</v>
      </c>
      <c r="H3725" s="6">
        <v>2</v>
      </c>
      <c r="I3725" s="6">
        <v>2</v>
      </c>
      <c r="J3725" s="6">
        <f>I3725-H3725</f>
        <v>0</v>
      </c>
      <c r="K3725" s="5">
        <f>IF(H3725=0,"",J3725/H3725)</f>
        <v>0</v>
      </c>
      <c r="L3725">
        <f>IF(OR(AND(H3725=0,ABS(J3725)&gt;=0.01),AND(H3725&lt;&gt;0,ABS(K3725)&gt;VarianceThreshold)),"Review","OK")</f>
        <v>0</v>
      </c>
      <c r="M3725" t="s">
        <v>33</v>
      </c>
    </row>
    <row r="3726" spans="1:13">
      <c r="A3726" t="s">
        <v>6</v>
      </c>
      <c r="B3726" t="s">
        <v>30</v>
      </c>
      <c r="C3726" t="s">
        <v>3021</v>
      </c>
      <c r="D3726" t="s">
        <v>1547</v>
      </c>
      <c r="E3726" cm="1">
        <f t="array" ref="E3726">_xlfn.XLOOKUP(D3726,SKU_Master!A:A,SKU_Master!B:B,"Not on master")</f>
        <v>0</v>
      </c>
      <c r="F3726" cm="1">
        <f t="array" ref="F3726">_xlfn.XLOOKUP(C3726,Account_Master!A:A,Account_Master!B:B,"Not on master")</f>
        <v>0</v>
      </c>
      <c r="G3726" cm="1">
        <f t="array" ref="G3726">_xlfn.XLOOKUP(C3726,Account_Master!A:A,Account_Master!C:C,"Not on master")</f>
        <v>0</v>
      </c>
      <c r="H3726" s="6">
        <v>24.5</v>
      </c>
      <c r="I3726" s="6">
        <v>24.5</v>
      </c>
      <c r="J3726" s="6">
        <f>I3726-H3726</f>
        <v>0</v>
      </c>
      <c r="K3726" s="5">
        <f>IF(H3726=0,"",J3726/H3726)</f>
        <v>0</v>
      </c>
      <c r="L3726">
        <f>IF(OR(AND(H3726=0,ABS(J3726)&gt;=0.01),AND(H3726&lt;&gt;0,ABS(K3726)&gt;VarianceThreshold)),"Review","OK")</f>
        <v>0</v>
      </c>
      <c r="M3726" t="s">
        <v>33</v>
      </c>
    </row>
    <row r="3727" spans="1:13">
      <c r="A3727" t="s">
        <v>6</v>
      </c>
      <c r="B3727" t="s">
        <v>30</v>
      </c>
      <c r="C3727" t="s">
        <v>3025</v>
      </c>
      <c r="D3727" t="s">
        <v>3026</v>
      </c>
      <c r="E3727" cm="1">
        <f t="array" ref="E3727">_xlfn.XLOOKUP(D3727,SKU_Master!A:A,SKU_Master!B:B,"Not on master")</f>
        <v>0</v>
      </c>
      <c r="F3727" cm="1">
        <f t="array" ref="F3727">_xlfn.XLOOKUP(C3727,Account_Master!A:A,Account_Master!B:B,"Not on master")</f>
        <v>0</v>
      </c>
      <c r="G3727" cm="1">
        <f t="array" ref="G3727">_xlfn.XLOOKUP(C3727,Account_Master!A:A,Account_Master!C:C,"Not on master")</f>
        <v>0</v>
      </c>
      <c r="H3727" s="6">
        <v>4.5</v>
      </c>
      <c r="I3727" s="6">
        <v>4.5</v>
      </c>
      <c r="J3727" s="6">
        <f>I3727-H3727</f>
        <v>0</v>
      </c>
      <c r="K3727" s="5">
        <f>IF(H3727=0,"",J3727/H3727)</f>
        <v>0</v>
      </c>
      <c r="L3727">
        <f>IF(OR(AND(H3727=0,ABS(J3727)&gt;=0.01),AND(H3727&lt;&gt;0,ABS(K3727)&gt;VarianceThreshold)),"Review","OK")</f>
        <v>0</v>
      </c>
      <c r="M3727" t="s">
        <v>33</v>
      </c>
    </row>
    <row r="3728" spans="1:13">
      <c r="A3728" t="s">
        <v>6</v>
      </c>
      <c r="B3728" t="s">
        <v>30</v>
      </c>
      <c r="C3728" t="s">
        <v>3027</v>
      </c>
      <c r="D3728" t="s">
        <v>3028</v>
      </c>
      <c r="E3728" cm="1">
        <f t="array" ref="E3728">_xlfn.XLOOKUP(D3728,SKU_Master!A:A,SKU_Master!B:B,"Not on master")</f>
        <v>0</v>
      </c>
      <c r="F3728" cm="1">
        <f t="array" ref="F3728">_xlfn.XLOOKUP(C3728,Account_Master!A:A,Account_Master!B:B,"Not on master")</f>
        <v>0</v>
      </c>
      <c r="G3728" cm="1">
        <f t="array" ref="G3728">_xlfn.XLOOKUP(C3728,Account_Master!A:A,Account_Master!C:C,"Not on master")</f>
        <v>0</v>
      </c>
      <c r="H3728" s="6">
        <v>13</v>
      </c>
      <c r="I3728" s="6">
        <v>13</v>
      </c>
      <c r="J3728" s="6">
        <f>I3728-H3728</f>
        <v>0</v>
      </c>
      <c r="K3728" s="5">
        <f>IF(H3728=0,"",J3728/H3728)</f>
        <v>0</v>
      </c>
      <c r="L3728">
        <f>IF(OR(AND(H3728=0,ABS(J3728)&gt;=0.01),AND(H3728&lt;&gt;0,ABS(K3728)&gt;VarianceThreshold)),"Review","OK")</f>
        <v>0</v>
      </c>
      <c r="M3728" t="s">
        <v>33</v>
      </c>
    </row>
    <row r="3729" spans="1:13">
      <c r="A3729" t="s">
        <v>6</v>
      </c>
      <c r="B3729" t="s">
        <v>47</v>
      </c>
      <c r="C3729" t="s">
        <v>3029</v>
      </c>
      <c r="D3729" t="s">
        <v>936</v>
      </c>
      <c r="E3729" cm="1">
        <f t="array" ref="E3729">_xlfn.XLOOKUP(D3729,SKU_Master!A:A,SKU_Master!B:B,"Not on master")</f>
        <v>0</v>
      </c>
      <c r="F3729" cm="1">
        <f t="array" ref="F3729">_xlfn.XLOOKUP(C3729,Account_Master!A:A,Account_Master!B:B,"Not on master")</f>
        <v>0</v>
      </c>
      <c r="G3729" cm="1">
        <f t="array" ref="G3729">_xlfn.XLOOKUP(C3729,Account_Master!A:A,Account_Master!C:C,"Not on master")</f>
        <v>0</v>
      </c>
      <c r="H3729" s="6">
        <v>10.5</v>
      </c>
      <c r="I3729" s="6">
        <v>10.5</v>
      </c>
      <c r="J3729" s="6">
        <f>I3729-H3729</f>
        <v>0</v>
      </c>
      <c r="K3729" s="5">
        <f>IF(H3729=0,"",J3729/H3729)</f>
        <v>0</v>
      </c>
      <c r="L3729">
        <f>IF(OR(AND(H3729=0,ABS(J3729)&gt;=0.01),AND(H3729&lt;&gt;0,ABS(K3729)&gt;VarianceThreshold)),"Review","OK")</f>
        <v>0</v>
      </c>
      <c r="M3729" t="s">
        <v>33</v>
      </c>
    </row>
    <row r="3730" spans="1:13">
      <c r="A3730" t="s">
        <v>6</v>
      </c>
      <c r="B3730" t="s">
        <v>47</v>
      </c>
      <c r="C3730" t="s">
        <v>3030</v>
      </c>
      <c r="D3730" t="s">
        <v>1411</v>
      </c>
      <c r="E3730" cm="1">
        <f t="array" ref="E3730">_xlfn.XLOOKUP(D3730,SKU_Master!A:A,SKU_Master!B:B,"Not on master")</f>
        <v>0</v>
      </c>
      <c r="F3730" cm="1">
        <f t="array" ref="F3730">_xlfn.XLOOKUP(C3730,Account_Master!A:A,Account_Master!B:B,"Not on master")</f>
        <v>0</v>
      </c>
      <c r="G3730" cm="1">
        <f t="array" ref="G3730">_xlfn.XLOOKUP(C3730,Account_Master!A:A,Account_Master!C:C,"Not on master")</f>
        <v>0</v>
      </c>
      <c r="H3730" s="6">
        <v>16</v>
      </c>
      <c r="I3730" s="6">
        <v>16</v>
      </c>
      <c r="J3730" s="6">
        <f>I3730-H3730</f>
        <v>0</v>
      </c>
      <c r="K3730" s="5">
        <f>IF(H3730=0,"",J3730/H3730)</f>
        <v>0</v>
      </c>
      <c r="L3730">
        <f>IF(OR(AND(H3730=0,ABS(J3730)&gt;=0.01),AND(H3730&lt;&gt;0,ABS(K3730)&gt;VarianceThreshold)),"Review","OK")</f>
        <v>0</v>
      </c>
      <c r="M3730" t="s">
        <v>33</v>
      </c>
    </row>
    <row r="3731" spans="1:13">
      <c r="A3731" t="s">
        <v>6</v>
      </c>
      <c r="B3731" t="s">
        <v>47</v>
      </c>
      <c r="C3731" t="s">
        <v>3031</v>
      </c>
      <c r="D3731" t="s">
        <v>406</v>
      </c>
      <c r="E3731" cm="1">
        <f t="array" ref="E3731">_xlfn.XLOOKUP(D3731,SKU_Master!A:A,SKU_Master!B:B,"Not on master")</f>
        <v>0</v>
      </c>
      <c r="F3731" cm="1">
        <f t="array" ref="F3731">_xlfn.XLOOKUP(C3731,Account_Master!A:A,Account_Master!B:B,"Not on master")</f>
        <v>0</v>
      </c>
      <c r="G3731" cm="1">
        <f t="array" ref="G3731">_xlfn.XLOOKUP(C3731,Account_Master!A:A,Account_Master!C:C,"Not on master")</f>
        <v>0</v>
      </c>
      <c r="H3731" s="6">
        <v>21</v>
      </c>
      <c r="I3731" s="6">
        <v>21</v>
      </c>
      <c r="J3731" s="6">
        <f>I3731-H3731</f>
        <v>0</v>
      </c>
      <c r="K3731" s="5">
        <f>IF(H3731=0,"",J3731/H3731)</f>
        <v>0</v>
      </c>
      <c r="L3731">
        <f>IF(OR(AND(H3731=0,ABS(J3731)&gt;=0.01),AND(H3731&lt;&gt;0,ABS(K3731)&gt;VarianceThreshold)),"Review","OK")</f>
        <v>0</v>
      </c>
      <c r="M3731" t="s">
        <v>33</v>
      </c>
    </row>
    <row r="3732" spans="1:13">
      <c r="A3732" t="s">
        <v>6</v>
      </c>
      <c r="B3732" t="s">
        <v>47</v>
      </c>
      <c r="C3732" t="s">
        <v>3032</v>
      </c>
      <c r="D3732" t="s">
        <v>3033</v>
      </c>
      <c r="E3732" cm="1">
        <f t="array" ref="E3732">_xlfn.XLOOKUP(D3732,SKU_Master!A:A,SKU_Master!B:B,"Not on master")</f>
        <v>0</v>
      </c>
      <c r="F3732" cm="1">
        <f t="array" ref="F3732">_xlfn.XLOOKUP(C3732,Account_Master!A:A,Account_Master!B:B,"Not on master")</f>
        <v>0</v>
      </c>
      <c r="G3732" cm="1">
        <f t="array" ref="G3732">_xlfn.XLOOKUP(C3732,Account_Master!A:A,Account_Master!C:C,"Not on master")</f>
        <v>0</v>
      </c>
      <c r="H3732" s="6">
        <v>1.5</v>
      </c>
      <c r="I3732" s="6">
        <v>1.5</v>
      </c>
      <c r="J3732" s="6">
        <f>I3732-H3732</f>
        <v>0</v>
      </c>
      <c r="K3732" s="5">
        <f>IF(H3732=0,"",J3732/H3732)</f>
        <v>0</v>
      </c>
      <c r="L3732">
        <f>IF(OR(AND(H3732=0,ABS(J3732)&gt;=0.01),AND(H3732&lt;&gt;0,ABS(K3732)&gt;VarianceThreshold)),"Review","OK")</f>
        <v>0</v>
      </c>
      <c r="M3732" t="s">
        <v>33</v>
      </c>
    </row>
    <row r="3733" spans="1:13">
      <c r="A3733" t="s">
        <v>6</v>
      </c>
      <c r="B3733" t="s">
        <v>62</v>
      </c>
      <c r="C3733" t="s">
        <v>3034</v>
      </c>
      <c r="D3733" t="s">
        <v>869</v>
      </c>
      <c r="E3733" cm="1">
        <f t="array" ref="E3733">_xlfn.XLOOKUP(D3733,SKU_Master!A:A,SKU_Master!B:B,"Not on master")</f>
        <v>0</v>
      </c>
      <c r="F3733" cm="1">
        <f t="array" ref="F3733">_xlfn.XLOOKUP(C3733,Account_Master!A:A,Account_Master!B:B,"Not on master")</f>
        <v>0</v>
      </c>
      <c r="G3733" cm="1">
        <f t="array" ref="G3733">_xlfn.XLOOKUP(C3733,Account_Master!A:A,Account_Master!C:C,"Not on master")</f>
        <v>0</v>
      </c>
      <c r="H3733" s="6">
        <v>14</v>
      </c>
      <c r="I3733" s="6">
        <v>14</v>
      </c>
      <c r="J3733" s="6">
        <f>I3733-H3733</f>
        <v>0</v>
      </c>
      <c r="K3733" s="5">
        <f>IF(H3733=0,"",J3733/H3733)</f>
        <v>0</v>
      </c>
      <c r="L3733">
        <f>IF(OR(AND(H3733=0,ABS(J3733)&gt;=0.01),AND(H3733&lt;&gt;0,ABS(K3733)&gt;VarianceThreshold)),"Review","OK")</f>
        <v>0</v>
      </c>
      <c r="M3733" t="s">
        <v>33</v>
      </c>
    </row>
    <row r="3734" spans="1:13">
      <c r="A3734" t="s">
        <v>6</v>
      </c>
      <c r="B3734" t="s">
        <v>62</v>
      </c>
      <c r="C3734" t="s">
        <v>3035</v>
      </c>
      <c r="D3734" t="s">
        <v>1817</v>
      </c>
      <c r="E3734" cm="1">
        <f t="array" ref="E3734">_xlfn.XLOOKUP(D3734,SKU_Master!A:A,SKU_Master!B:B,"Not on master")</f>
        <v>0</v>
      </c>
      <c r="F3734" cm="1">
        <f t="array" ref="F3734">_xlfn.XLOOKUP(C3734,Account_Master!A:A,Account_Master!B:B,"Not on master")</f>
        <v>0</v>
      </c>
      <c r="G3734" cm="1">
        <f t="array" ref="G3734">_xlfn.XLOOKUP(C3734,Account_Master!A:A,Account_Master!C:C,"Not on master")</f>
        <v>0</v>
      </c>
      <c r="H3734" s="6">
        <v>2.25</v>
      </c>
      <c r="I3734" s="6">
        <v>2.25</v>
      </c>
      <c r="J3734" s="6">
        <f>I3734-H3734</f>
        <v>0</v>
      </c>
      <c r="K3734" s="5">
        <f>IF(H3734=0,"",J3734/H3734)</f>
        <v>0</v>
      </c>
      <c r="L3734">
        <f>IF(OR(AND(H3734=0,ABS(J3734)&gt;=0.01),AND(H3734&lt;&gt;0,ABS(K3734)&gt;VarianceThreshold)),"Review","OK")</f>
        <v>0</v>
      </c>
      <c r="M3734" t="s">
        <v>33</v>
      </c>
    </row>
    <row r="3735" spans="1:13">
      <c r="A3735" t="s">
        <v>6</v>
      </c>
      <c r="B3735" t="s">
        <v>62</v>
      </c>
      <c r="C3735" t="s">
        <v>3036</v>
      </c>
      <c r="D3735" t="s">
        <v>3037</v>
      </c>
      <c r="E3735" cm="1">
        <f t="array" ref="E3735">_xlfn.XLOOKUP(D3735,SKU_Master!A:A,SKU_Master!B:B,"Not on master")</f>
        <v>0</v>
      </c>
      <c r="F3735" cm="1">
        <f t="array" ref="F3735">_xlfn.XLOOKUP(C3735,Account_Master!A:A,Account_Master!B:B,"Not on master")</f>
        <v>0</v>
      </c>
      <c r="G3735" cm="1">
        <f t="array" ref="G3735">_xlfn.XLOOKUP(C3735,Account_Master!A:A,Account_Master!C:C,"Not on master")</f>
        <v>0</v>
      </c>
      <c r="H3735" s="6">
        <v>4.5</v>
      </c>
      <c r="I3735" s="6">
        <v>0</v>
      </c>
      <c r="J3735" s="6">
        <f>I3735-H3735</f>
        <v>0</v>
      </c>
      <c r="K3735" s="5">
        <f>IF(H3735=0,"",J3735/H3735)</f>
        <v>0</v>
      </c>
      <c r="L3735">
        <f>IF(OR(AND(H3735=0,ABS(J3735)&gt;=0.01),AND(H3735&lt;&gt;0,ABS(K3735)&gt;VarianceThreshold)),"Review","OK")</f>
        <v>0</v>
      </c>
      <c r="M3735" t="s">
        <v>3038</v>
      </c>
    </row>
    <row r="3736" spans="1:13">
      <c r="A3736" t="s">
        <v>6</v>
      </c>
      <c r="B3736" t="s">
        <v>62</v>
      </c>
      <c r="C3736" t="s">
        <v>3039</v>
      </c>
      <c r="D3736" t="s">
        <v>1417</v>
      </c>
      <c r="E3736" cm="1">
        <f t="array" ref="E3736">_xlfn.XLOOKUP(D3736,SKU_Master!A:A,SKU_Master!B:B,"Not on master")</f>
        <v>0</v>
      </c>
      <c r="F3736" cm="1">
        <f t="array" ref="F3736">_xlfn.XLOOKUP(C3736,Account_Master!A:A,Account_Master!B:B,"Not on master")</f>
        <v>0</v>
      </c>
      <c r="G3736" cm="1">
        <f t="array" ref="G3736">_xlfn.XLOOKUP(C3736,Account_Master!A:A,Account_Master!C:C,"Not on master")</f>
        <v>0</v>
      </c>
      <c r="H3736" s="6">
        <v>79.5</v>
      </c>
      <c r="I3736" s="6">
        <v>61.5</v>
      </c>
      <c r="J3736" s="6">
        <f>I3736-H3736</f>
        <v>0</v>
      </c>
      <c r="K3736" s="5">
        <f>IF(H3736=0,"",J3736/H3736)</f>
        <v>0</v>
      </c>
      <c r="L3736">
        <f>IF(OR(AND(H3736=0,ABS(J3736)&gt;=0.01),AND(H3736&lt;&gt;0,ABS(K3736)&gt;VarianceThreshold)),"Review","OK")</f>
        <v>0</v>
      </c>
      <c r="M3736" t="s">
        <v>3038</v>
      </c>
    </row>
    <row r="3737" spans="1:13">
      <c r="A3737" t="s">
        <v>6</v>
      </c>
      <c r="B3737" t="s">
        <v>62</v>
      </c>
      <c r="C3737" t="s">
        <v>3040</v>
      </c>
      <c r="D3737" t="s">
        <v>303</v>
      </c>
      <c r="E3737" cm="1">
        <f t="array" ref="E3737">_xlfn.XLOOKUP(D3737,SKU_Master!A:A,SKU_Master!B:B,"Not on master")</f>
        <v>0</v>
      </c>
      <c r="F3737" cm="1">
        <f t="array" ref="F3737">_xlfn.XLOOKUP(C3737,Account_Master!A:A,Account_Master!B:B,"Not on master")</f>
        <v>0</v>
      </c>
      <c r="G3737" cm="1">
        <f t="array" ref="G3737">_xlfn.XLOOKUP(C3737,Account_Master!A:A,Account_Master!C:C,"Not on master")</f>
        <v>0</v>
      </c>
      <c r="H3737" s="6">
        <v>1.7</v>
      </c>
      <c r="I3737" s="6">
        <v>1.7</v>
      </c>
      <c r="J3737" s="6">
        <f>I3737-H3737</f>
        <v>0</v>
      </c>
      <c r="K3737" s="5">
        <f>IF(H3737=0,"",J3737/H3737)</f>
        <v>0</v>
      </c>
      <c r="L3737">
        <f>IF(OR(AND(H3737=0,ABS(J3737)&gt;=0.01),AND(H3737&lt;&gt;0,ABS(K3737)&gt;VarianceThreshold)),"Review","OK")</f>
        <v>0</v>
      </c>
      <c r="M3737" t="s">
        <v>33</v>
      </c>
    </row>
    <row r="3738" spans="1:13">
      <c r="A3738" t="s">
        <v>6</v>
      </c>
      <c r="B3738" t="s">
        <v>71</v>
      </c>
      <c r="C3738" t="s">
        <v>3041</v>
      </c>
      <c r="D3738" t="s">
        <v>3042</v>
      </c>
      <c r="E3738" cm="1">
        <f t="array" ref="E3738">_xlfn.XLOOKUP(D3738,SKU_Master!A:A,SKU_Master!B:B,"Not on master")</f>
        <v>0</v>
      </c>
      <c r="F3738" cm="1">
        <f t="array" ref="F3738">_xlfn.XLOOKUP(C3738,Account_Master!A:A,Account_Master!B:B,"Not on master")</f>
        <v>0</v>
      </c>
      <c r="G3738" cm="1">
        <f t="array" ref="G3738">_xlfn.XLOOKUP(C3738,Account_Master!A:A,Account_Master!C:C,"Not on master")</f>
        <v>0</v>
      </c>
      <c r="H3738" s="6">
        <v>1.5</v>
      </c>
      <c r="I3738" s="6">
        <v>1.5</v>
      </c>
      <c r="J3738" s="6">
        <f>I3738-H3738</f>
        <v>0</v>
      </c>
      <c r="K3738" s="5">
        <f>IF(H3738=0,"",J3738/H3738)</f>
        <v>0</v>
      </c>
      <c r="L3738">
        <f>IF(OR(AND(H3738=0,ABS(J3738)&gt;=0.01),AND(H3738&lt;&gt;0,ABS(K3738)&gt;VarianceThreshold)),"Review","OK")</f>
        <v>0</v>
      </c>
      <c r="M3738" t="s">
        <v>33</v>
      </c>
    </row>
    <row r="3739" spans="1:13">
      <c r="A3739" t="s">
        <v>6</v>
      </c>
      <c r="B3739" t="s">
        <v>71</v>
      </c>
      <c r="C3739" t="s">
        <v>3043</v>
      </c>
      <c r="D3739" t="s">
        <v>2128</v>
      </c>
      <c r="E3739" cm="1">
        <f t="array" ref="E3739">_xlfn.XLOOKUP(D3739,SKU_Master!A:A,SKU_Master!B:B,"Not on master")</f>
        <v>0</v>
      </c>
      <c r="F3739" cm="1">
        <f t="array" ref="F3739">_xlfn.XLOOKUP(C3739,Account_Master!A:A,Account_Master!B:B,"Not on master")</f>
        <v>0</v>
      </c>
      <c r="G3739" cm="1">
        <f t="array" ref="G3739">_xlfn.XLOOKUP(C3739,Account_Master!A:A,Account_Master!C:C,"Not on master")</f>
        <v>0</v>
      </c>
      <c r="H3739" s="6">
        <v>1.5</v>
      </c>
      <c r="I3739" s="6">
        <v>1.5</v>
      </c>
      <c r="J3739" s="6">
        <f>I3739-H3739</f>
        <v>0</v>
      </c>
      <c r="K3739" s="5">
        <f>IF(H3739=0,"",J3739/H3739)</f>
        <v>0</v>
      </c>
      <c r="L3739">
        <f>IF(OR(AND(H3739=0,ABS(J3739)&gt;=0.01),AND(H3739&lt;&gt;0,ABS(K3739)&gt;VarianceThreshold)),"Review","OK")</f>
        <v>0</v>
      </c>
      <c r="M3739" t="s">
        <v>33</v>
      </c>
    </row>
    <row r="3740" spans="1:13">
      <c r="A3740" t="s">
        <v>6</v>
      </c>
      <c r="B3740" t="s">
        <v>71</v>
      </c>
      <c r="C3740" t="s">
        <v>3031</v>
      </c>
      <c r="D3740" t="s">
        <v>1342</v>
      </c>
      <c r="E3740" cm="1">
        <f t="array" ref="E3740">_xlfn.XLOOKUP(D3740,SKU_Master!A:A,SKU_Master!B:B,"Not on master")</f>
        <v>0</v>
      </c>
      <c r="F3740" cm="1">
        <f t="array" ref="F3740">_xlfn.XLOOKUP(C3740,Account_Master!A:A,Account_Master!B:B,"Not on master")</f>
        <v>0</v>
      </c>
      <c r="G3740" cm="1">
        <f t="array" ref="G3740">_xlfn.XLOOKUP(C3740,Account_Master!A:A,Account_Master!C:C,"Not on master")</f>
        <v>0</v>
      </c>
      <c r="H3740" s="6">
        <v>31.5</v>
      </c>
      <c r="I3740" s="6">
        <v>31.5</v>
      </c>
      <c r="J3740" s="6">
        <f>I3740-H3740</f>
        <v>0</v>
      </c>
      <c r="K3740" s="5">
        <f>IF(H3740=0,"",J3740/H3740)</f>
        <v>0</v>
      </c>
      <c r="L3740">
        <f>IF(OR(AND(H3740=0,ABS(J3740)&gt;=0.01),AND(H3740&lt;&gt;0,ABS(K3740)&gt;VarianceThreshold)),"Review","OK")</f>
        <v>0</v>
      </c>
      <c r="M3740" t="s">
        <v>33</v>
      </c>
    </row>
    <row r="3741" spans="1:13">
      <c r="A3741" t="s">
        <v>6</v>
      </c>
      <c r="B3741" t="s">
        <v>71</v>
      </c>
      <c r="C3741" t="s">
        <v>3030</v>
      </c>
      <c r="D3741" t="s">
        <v>3044</v>
      </c>
      <c r="E3741" cm="1">
        <f t="array" ref="E3741">_xlfn.XLOOKUP(D3741,SKU_Master!A:A,SKU_Master!B:B,"Not on master")</f>
        <v>0</v>
      </c>
      <c r="F3741" cm="1">
        <f t="array" ref="F3741">_xlfn.XLOOKUP(C3741,Account_Master!A:A,Account_Master!B:B,"Not on master")</f>
        <v>0</v>
      </c>
      <c r="G3741" cm="1">
        <f t="array" ref="G3741">_xlfn.XLOOKUP(C3741,Account_Master!A:A,Account_Master!C:C,"Not on master")</f>
        <v>0</v>
      </c>
      <c r="H3741" s="6">
        <v>12</v>
      </c>
      <c r="I3741" s="6">
        <v>0</v>
      </c>
      <c r="J3741" s="6">
        <f>I3741-H3741</f>
        <v>0</v>
      </c>
      <c r="K3741" s="5">
        <f>IF(H3741=0,"",J3741/H3741)</f>
        <v>0</v>
      </c>
      <c r="L3741">
        <f>IF(OR(AND(H3741=0,ABS(J3741)&gt;=0.01),AND(H3741&lt;&gt;0,ABS(K3741)&gt;VarianceThreshold)),"Review","OK")</f>
        <v>0</v>
      </c>
      <c r="M3741" t="s">
        <v>3038</v>
      </c>
    </row>
    <row r="3742" spans="1:13">
      <c r="A3742" t="s">
        <v>6</v>
      </c>
      <c r="B3742" t="s">
        <v>71</v>
      </c>
      <c r="C3742" t="s">
        <v>3021</v>
      </c>
      <c r="D3742" t="s">
        <v>1963</v>
      </c>
      <c r="E3742" cm="1">
        <f t="array" ref="E3742">_xlfn.XLOOKUP(D3742,SKU_Master!A:A,SKU_Master!B:B,"Not on master")</f>
        <v>0</v>
      </c>
      <c r="F3742" cm="1">
        <f t="array" ref="F3742">_xlfn.XLOOKUP(C3742,Account_Master!A:A,Account_Master!B:B,"Not on master")</f>
        <v>0</v>
      </c>
      <c r="G3742" cm="1">
        <f t="array" ref="G3742">_xlfn.XLOOKUP(C3742,Account_Master!A:A,Account_Master!C:C,"Not on master")</f>
        <v>0</v>
      </c>
      <c r="H3742" s="6">
        <v>102.73</v>
      </c>
      <c r="I3742" s="6">
        <v>100.48</v>
      </c>
      <c r="J3742" s="6">
        <f>I3742-H3742</f>
        <v>0</v>
      </c>
      <c r="K3742" s="5">
        <f>IF(H3742=0,"",J3742/H3742)</f>
        <v>0</v>
      </c>
      <c r="L3742">
        <f>IF(OR(AND(H3742=0,ABS(J3742)&gt;=0.01),AND(H3742&lt;&gt;0,ABS(K3742)&gt;VarianceThreshold)),"Review","OK")</f>
        <v>0</v>
      </c>
      <c r="M3742" t="s">
        <v>33</v>
      </c>
    </row>
    <row r="3743" spans="1:13">
      <c r="A3743" t="s">
        <v>6</v>
      </c>
      <c r="B3743" t="s">
        <v>71</v>
      </c>
      <c r="C3743" t="s">
        <v>3045</v>
      </c>
      <c r="D3743" t="s">
        <v>2150</v>
      </c>
      <c r="E3743" cm="1">
        <f t="array" ref="E3743">_xlfn.XLOOKUP(D3743,SKU_Master!A:A,SKU_Master!B:B,"Not on master")</f>
        <v>0</v>
      </c>
      <c r="F3743" cm="1">
        <f t="array" ref="F3743">_xlfn.XLOOKUP(C3743,Account_Master!A:A,Account_Master!B:B,"Not on master")</f>
        <v>0</v>
      </c>
      <c r="G3743" cm="1">
        <f t="array" ref="G3743">_xlfn.XLOOKUP(C3743,Account_Master!A:A,Account_Master!C:C,"Not on master")</f>
        <v>0</v>
      </c>
      <c r="H3743" s="6">
        <v>7.5</v>
      </c>
      <c r="I3743" s="6">
        <v>7.5</v>
      </c>
      <c r="J3743" s="6">
        <f>I3743-H3743</f>
        <v>0</v>
      </c>
      <c r="K3743" s="5">
        <f>IF(H3743=0,"",J3743/H3743)</f>
        <v>0</v>
      </c>
      <c r="L3743">
        <f>IF(OR(AND(H3743=0,ABS(J3743)&gt;=0.01),AND(H3743&lt;&gt;0,ABS(K3743)&gt;VarianceThreshold)),"Review","OK")</f>
        <v>0</v>
      </c>
      <c r="M3743" t="s">
        <v>33</v>
      </c>
    </row>
    <row r="3744" spans="1:13">
      <c r="A3744" t="s">
        <v>6</v>
      </c>
      <c r="B3744" t="s">
        <v>86</v>
      </c>
      <c r="C3744" t="s">
        <v>3031</v>
      </c>
      <c r="D3744" t="s">
        <v>266</v>
      </c>
      <c r="E3744" cm="1">
        <f t="array" ref="E3744">_xlfn.XLOOKUP(D3744,SKU_Master!A:A,SKU_Master!B:B,"Not on master")</f>
        <v>0</v>
      </c>
      <c r="F3744" cm="1">
        <f t="array" ref="F3744">_xlfn.XLOOKUP(C3744,Account_Master!A:A,Account_Master!B:B,"Not on master")</f>
        <v>0</v>
      </c>
      <c r="G3744" cm="1">
        <f t="array" ref="G3744">_xlfn.XLOOKUP(C3744,Account_Master!A:A,Account_Master!C:C,"Not on master")</f>
        <v>0</v>
      </c>
      <c r="H3744" s="6">
        <v>33</v>
      </c>
      <c r="I3744" s="6">
        <v>33</v>
      </c>
      <c r="J3744" s="6">
        <f>I3744-H3744</f>
        <v>0</v>
      </c>
      <c r="K3744" s="5">
        <f>IF(H3744=0,"",J3744/H3744)</f>
        <v>0</v>
      </c>
      <c r="L3744">
        <f>IF(OR(AND(H3744=0,ABS(J3744)&gt;=0.01),AND(H3744&lt;&gt;0,ABS(K3744)&gt;VarianceThreshold)),"Review","OK")</f>
        <v>0</v>
      </c>
      <c r="M3744" t="s">
        <v>33</v>
      </c>
    </row>
    <row r="3745" spans="1:13">
      <c r="A3745" t="s">
        <v>6</v>
      </c>
      <c r="B3745" t="s">
        <v>86</v>
      </c>
      <c r="C3745" t="s">
        <v>3039</v>
      </c>
      <c r="D3745" t="s">
        <v>986</v>
      </c>
      <c r="E3745" cm="1">
        <f t="array" ref="E3745">_xlfn.XLOOKUP(D3745,SKU_Master!A:A,SKU_Master!B:B,"Not on master")</f>
        <v>0</v>
      </c>
      <c r="F3745" cm="1">
        <f t="array" ref="F3745">_xlfn.XLOOKUP(C3745,Account_Master!A:A,Account_Master!B:B,"Not on master")</f>
        <v>0</v>
      </c>
      <c r="G3745" cm="1">
        <f t="array" ref="G3745">_xlfn.XLOOKUP(C3745,Account_Master!A:A,Account_Master!C:C,"Not on master")</f>
        <v>0</v>
      </c>
      <c r="H3745" s="6">
        <v>10.5</v>
      </c>
      <c r="I3745" s="6">
        <v>10.5</v>
      </c>
      <c r="J3745" s="6">
        <f>I3745-H3745</f>
        <v>0</v>
      </c>
      <c r="K3745" s="5">
        <f>IF(H3745=0,"",J3745/H3745)</f>
        <v>0</v>
      </c>
      <c r="L3745">
        <f>IF(OR(AND(H3745=0,ABS(J3745)&gt;=0.01),AND(H3745&lt;&gt;0,ABS(K3745)&gt;VarianceThreshold)),"Review","OK")</f>
        <v>0</v>
      </c>
      <c r="M3745" t="s">
        <v>33</v>
      </c>
    </row>
    <row r="3746" spans="1:13">
      <c r="A3746" t="s">
        <v>6</v>
      </c>
      <c r="B3746" t="s">
        <v>86</v>
      </c>
      <c r="C3746" t="s">
        <v>3046</v>
      </c>
      <c r="D3746" t="s">
        <v>3047</v>
      </c>
      <c r="E3746" cm="1">
        <f t="array" ref="E3746">_xlfn.XLOOKUP(D3746,SKU_Master!A:A,SKU_Master!B:B,"Not on master")</f>
        <v>0</v>
      </c>
      <c r="F3746" cm="1">
        <f t="array" ref="F3746">_xlfn.XLOOKUP(C3746,Account_Master!A:A,Account_Master!B:B,"Not on master")</f>
        <v>0</v>
      </c>
      <c r="G3746" cm="1">
        <f t="array" ref="G3746">_xlfn.XLOOKUP(C3746,Account_Master!A:A,Account_Master!C:C,"Not on master")</f>
        <v>0</v>
      </c>
      <c r="H3746" s="6">
        <v>1.8</v>
      </c>
      <c r="I3746" s="6">
        <v>1.8</v>
      </c>
      <c r="J3746" s="6">
        <f>I3746-H3746</f>
        <v>0</v>
      </c>
      <c r="K3746" s="5">
        <f>IF(H3746=0,"",J3746/H3746)</f>
        <v>0</v>
      </c>
      <c r="L3746">
        <f>IF(OR(AND(H3746=0,ABS(J3746)&gt;=0.01),AND(H3746&lt;&gt;0,ABS(K3746)&gt;VarianceThreshold)),"Review","OK")</f>
        <v>0</v>
      </c>
      <c r="M3746" t="s">
        <v>33</v>
      </c>
    </row>
    <row r="3747" spans="1:13">
      <c r="A3747" t="s">
        <v>6</v>
      </c>
      <c r="B3747" t="s">
        <v>86</v>
      </c>
      <c r="C3747" t="s">
        <v>3048</v>
      </c>
      <c r="D3747" t="s">
        <v>795</v>
      </c>
      <c r="E3747" cm="1">
        <f t="array" ref="E3747">_xlfn.XLOOKUP(D3747,SKU_Master!A:A,SKU_Master!B:B,"Not on master")</f>
        <v>0</v>
      </c>
      <c r="F3747" cm="1">
        <f t="array" ref="F3747">_xlfn.XLOOKUP(C3747,Account_Master!A:A,Account_Master!B:B,"Not on master")</f>
        <v>0</v>
      </c>
      <c r="G3747" cm="1">
        <f t="array" ref="G3747">_xlfn.XLOOKUP(C3747,Account_Master!A:A,Account_Master!C:C,"Not on master")</f>
        <v>0</v>
      </c>
      <c r="H3747" s="6">
        <v>6.75</v>
      </c>
      <c r="I3747" s="6">
        <v>6.75</v>
      </c>
      <c r="J3747" s="6">
        <f>I3747-H3747</f>
        <v>0</v>
      </c>
      <c r="K3747" s="5">
        <f>IF(H3747=0,"",J3747/H3747)</f>
        <v>0</v>
      </c>
      <c r="L3747">
        <f>IF(OR(AND(H3747=0,ABS(J3747)&gt;=0.01),AND(H3747&lt;&gt;0,ABS(K3747)&gt;VarianceThreshold)),"Review","OK")</f>
        <v>0</v>
      </c>
      <c r="M3747" t="s">
        <v>33</v>
      </c>
    </row>
    <row r="3748" spans="1:13">
      <c r="A3748" t="s">
        <v>6</v>
      </c>
      <c r="B3748" t="s">
        <v>86</v>
      </c>
      <c r="C3748" t="s">
        <v>3049</v>
      </c>
      <c r="D3748" t="s">
        <v>1725</v>
      </c>
      <c r="E3748" cm="1">
        <f t="array" ref="E3748">_xlfn.XLOOKUP(D3748,SKU_Master!A:A,SKU_Master!B:B,"Not on master")</f>
        <v>0</v>
      </c>
      <c r="F3748" cm="1">
        <f t="array" ref="F3748">_xlfn.XLOOKUP(C3748,Account_Master!A:A,Account_Master!B:B,"Not on master")</f>
        <v>0</v>
      </c>
      <c r="G3748" cm="1">
        <f t="array" ref="G3748">_xlfn.XLOOKUP(C3748,Account_Master!A:A,Account_Master!C:C,"Not on master")</f>
        <v>0</v>
      </c>
      <c r="H3748" s="6">
        <v>0.15</v>
      </c>
      <c r="I3748" s="6">
        <v>0.15</v>
      </c>
      <c r="J3748" s="6">
        <f>I3748-H3748</f>
        <v>0</v>
      </c>
      <c r="K3748" s="5">
        <f>IF(H3748=0,"",J3748/H3748)</f>
        <v>0</v>
      </c>
      <c r="L3748">
        <f>IF(OR(AND(H3748=0,ABS(J3748)&gt;=0.01),AND(H3748&lt;&gt;0,ABS(K3748)&gt;VarianceThreshold)),"Review","OK")</f>
        <v>0</v>
      </c>
      <c r="M3748" t="s">
        <v>33</v>
      </c>
    </row>
    <row r="3749" spans="1:13">
      <c r="A3749" t="s">
        <v>6</v>
      </c>
      <c r="B3749" t="s">
        <v>86</v>
      </c>
      <c r="C3749" t="s">
        <v>33</v>
      </c>
      <c r="D3749" t="s">
        <v>3050</v>
      </c>
      <c r="E3749" cm="1">
        <f t="array" ref="E3749">_xlfn.XLOOKUP(D3749,SKU_Master!A:A,SKU_Master!B:B,"Not on master")</f>
        <v>0</v>
      </c>
      <c r="F3749" cm="1">
        <f t="array" ref="F3749">_xlfn.XLOOKUP(C3749,Account_Master!A:A,Account_Master!B:B,"Not on master")</f>
        <v>0</v>
      </c>
      <c r="G3749" cm="1">
        <f t="array" ref="G3749">_xlfn.XLOOKUP(C3749,Account_Master!A:A,Account_Master!C:C,"Not on master")</f>
        <v>0</v>
      </c>
      <c r="H3749" s="6">
        <v>0</v>
      </c>
      <c r="I3749" s="6">
        <v>24</v>
      </c>
      <c r="J3749" s="6">
        <f>I3749-H3749</f>
        <v>0</v>
      </c>
      <c r="K3749" s="5">
        <f>IF(H3749=0,"",J3749/H3749)</f>
        <v>0</v>
      </c>
      <c r="L3749">
        <f>IF(OR(AND(H3749=0,ABS(J3749)&gt;=0.01),AND(H3749&lt;&gt;0,ABS(K3749)&gt;VarianceThreshold)),"Review","OK")</f>
        <v>0</v>
      </c>
      <c r="M3749" t="s">
        <v>3038</v>
      </c>
    </row>
    <row r="3750" spans="1:13">
      <c r="A3750" t="s">
        <v>6</v>
      </c>
      <c r="B3750" t="s">
        <v>97</v>
      </c>
      <c r="C3750" t="s">
        <v>3021</v>
      </c>
      <c r="D3750" t="s">
        <v>3051</v>
      </c>
      <c r="E3750" cm="1">
        <f t="array" ref="E3750">_xlfn.XLOOKUP(D3750,SKU_Master!A:A,SKU_Master!B:B,"Not on master")</f>
        <v>0</v>
      </c>
      <c r="F3750" cm="1">
        <f t="array" ref="F3750">_xlfn.XLOOKUP(C3750,Account_Master!A:A,Account_Master!B:B,"Not on master")</f>
        <v>0</v>
      </c>
      <c r="G3750" cm="1">
        <f t="array" ref="G3750">_xlfn.XLOOKUP(C3750,Account_Master!A:A,Account_Master!C:C,"Not on master")</f>
        <v>0</v>
      </c>
      <c r="H3750" s="6">
        <v>2.25</v>
      </c>
      <c r="I3750" s="6">
        <v>2.25</v>
      </c>
      <c r="J3750" s="6">
        <f>I3750-H3750</f>
        <v>0</v>
      </c>
      <c r="K3750" s="5">
        <f>IF(H3750=0,"",J3750/H3750)</f>
        <v>0</v>
      </c>
      <c r="L3750">
        <f>IF(OR(AND(H3750=0,ABS(J3750)&gt;=0.01),AND(H3750&lt;&gt;0,ABS(K3750)&gt;VarianceThreshold)),"Review","OK")</f>
        <v>0</v>
      </c>
      <c r="M3750" t="s">
        <v>33</v>
      </c>
    </row>
    <row r="3751" spans="1:13">
      <c r="A3751" t="s">
        <v>6</v>
      </c>
      <c r="B3751" t="s">
        <v>97</v>
      </c>
      <c r="C3751" t="s">
        <v>3025</v>
      </c>
      <c r="D3751" t="s">
        <v>3052</v>
      </c>
      <c r="E3751" cm="1">
        <f t="array" ref="E3751">_xlfn.XLOOKUP(D3751,SKU_Master!A:A,SKU_Master!B:B,"Not on master")</f>
        <v>0</v>
      </c>
      <c r="F3751" cm="1">
        <f t="array" ref="F3751">_xlfn.XLOOKUP(C3751,Account_Master!A:A,Account_Master!B:B,"Not on master")</f>
        <v>0</v>
      </c>
      <c r="G3751" cm="1">
        <f t="array" ref="G3751">_xlfn.XLOOKUP(C3751,Account_Master!A:A,Account_Master!C:C,"Not on master")</f>
        <v>0</v>
      </c>
      <c r="H3751" s="6">
        <v>9</v>
      </c>
      <c r="I3751" s="6">
        <v>9</v>
      </c>
      <c r="J3751" s="6">
        <f>I3751-H3751</f>
        <v>0</v>
      </c>
      <c r="K3751" s="5">
        <f>IF(H3751=0,"",J3751/H3751)</f>
        <v>0</v>
      </c>
      <c r="L3751">
        <f>IF(OR(AND(H3751=0,ABS(J3751)&gt;=0.01),AND(H3751&lt;&gt;0,ABS(K3751)&gt;VarianceThreshold)),"Review","OK")</f>
        <v>0</v>
      </c>
      <c r="M3751" t="s">
        <v>33</v>
      </c>
    </row>
    <row r="3752" spans="1:13">
      <c r="A3752" t="s">
        <v>6</v>
      </c>
      <c r="B3752" t="s">
        <v>97</v>
      </c>
      <c r="C3752" t="s">
        <v>3041</v>
      </c>
      <c r="D3752" t="s">
        <v>1546</v>
      </c>
      <c r="E3752" cm="1">
        <f t="array" ref="E3752">_xlfn.XLOOKUP(D3752,SKU_Master!A:A,SKU_Master!B:B,"Not on master")</f>
        <v>0</v>
      </c>
      <c r="F3752" cm="1">
        <f t="array" ref="F3752">_xlfn.XLOOKUP(C3752,Account_Master!A:A,Account_Master!B:B,"Not on master")</f>
        <v>0</v>
      </c>
      <c r="G3752" cm="1">
        <f t="array" ref="G3752">_xlfn.XLOOKUP(C3752,Account_Master!A:A,Account_Master!C:C,"Not on master")</f>
        <v>0</v>
      </c>
      <c r="H3752" s="6">
        <v>8.800000000000001</v>
      </c>
      <c r="I3752" s="6">
        <v>8.800000000000001</v>
      </c>
      <c r="J3752" s="6">
        <f>I3752-H3752</f>
        <v>0</v>
      </c>
      <c r="K3752" s="5">
        <f>IF(H3752=0,"",J3752/H3752)</f>
        <v>0</v>
      </c>
      <c r="L3752">
        <f>IF(OR(AND(H3752=0,ABS(J3752)&gt;=0.01),AND(H3752&lt;&gt;0,ABS(K3752)&gt;VarianceThreshold)),"Review","OK")</f>
        <v>0</v>
      </c>
      <c r="M3752" t="s">
        <v>33</v>
      </c>
    </row>
    <row r="3753" spans="1:13">
      <c r="A3753" t="s">
        <v>6</v>
      </c>
      <c r="B3753" t="s">
        <v>97</v>
      </c>
      <c r="C3753" t="s">
        <v>3023</v>
      </c>
      <c r="D3753" t="s">
        <v>2166</v>
      </c>
      <c r="E3753" cm="1">
        <f t="array" ref="E3753">_xlfn.XLOOKUP(D3753,SKU_Master!A:A,SKU_Master!B:B,"Not on master")</f>
        <v>0</v>
      </c>
      <c r="F3753" cm="1">
        <f t="array" ref="F3753">_xlfn.XLOOKUP(C3753,Account_Master!A:A,Account_Master!B:B,"Not on master")</f>
        <v>0</v>
      </c>
      <c r="G3753" cm="1">
        <f t="array" ref="G3753">_xlfn.XLOOKUP(C3753,Account_Master!A:A,Account_Master!C:C,"Not on master")</f>
        <v>0</v>
      </c>
      <c r="H3753" s="6">
        <v>9</v>
      </c>
      <c r="I3753" s="6">
        <v>9</v>
      </c>
      <c r="J3753" s="6">
        <f>I3753-H3753</f>
        <v>0</v>
      </c>
      <c r="K3753" s="5">
        <f>IF(H3753=0,"",J3753/H3753)</f>
        <v>0</v>
      </c>
      <c r="L3753">
        <f>IF(OR(AND(H3753=0,ABS(J3753)&gt;=0.01),AND(H3753&lt;&gt;0,ABS(K3753)&gt;VarianceThreshold)),"Review","OK")</f>
        <v>0</v>
      </c>
      <c r="M3753" t="s">
        <v>33</v>
      </c>
    </row>
    <row r="3754" spans="1:13">
      <c r="A3754" t="s">
        <v>6</v>
      </c>
      <c r="B3754" t="s">
        <v>97</v>
      </c>
      <c r="C3754" t="s">
        <v>3041</v>
      </c>
      <c r="D3754" t="s">
        <v>3053</v>
      </c>
      <c r="E3754" cm="1">
        <f t="array" ref="E3754">_xlfn.XLOOKUP(D3754,SKU_Master!A:A,SKU_Master!B:B,"Not on master")</f>
        <v>0</v>
      </c>
      <c r="F3754" cm="1">
        <f t="array" ref="F3754">_xlfn.XLOOKUP(C3754,Account_Master!A:A,Account_Master!B:B,"Not on master")</f>
        <v>0</v>
      </c>
      <c r="G3754" cm="1">
        <f t="array" ref="G3754">_xlfn.XLOOKUP(C3754,Account_Master!A:A,Account_Master!C:C,"Not on master")</f>
        <v>0</v>
      </c>
      <c r="H3754" s="6">
        <v>9</v>
      </c>
      <c r="I3754" s="6">
        <v>9</v>
      </c>
      <c r="J3754" s="6">
        <f>I3754-H3754</f>
        <v>0</v>
      </c>
      <c r="K3754" s="5">
        <f>IF(H3754=0,"",J3754/H3754)</f>
        <v>0</v>
      </c>
      <c r="L3754">
        <f>IF(OR(AND(H3754=0,ABS(J3754)&gt;=0.01),AND(H3754&lt;&gt;0,ABS(K3754)&gt;VarianceThreshold)),"Review","OK")</f>
        <v>0</v>
      </c>
      <c r="M3754" t="s">
        <v>33</v>
      </c>
    </row>
    <row r="3755" spans="1:13">
      <c r="A3755" t="s">
        <v>6</v>
      </c>
      <c r="B3755" t="s">
        <v>97</v>
      </c>
      <c r="C3755" t="s">
        <v>3054</v>
      </c>
      <c r="D3755" t="s">
        <v>1627</v>
      </c>
      <c r="E3755" cm="1">
        <f t="array" ref="E3755">_xlfn.XLOOKUP(D3755,SKU_Master!A:A,SKU_Master!B:B,"Not on master")</f>
        <v>0</v>
      </c>
      <c r="F3755" cm="1">
        <f t="array" ref="F3755">_xlfn.XLOOKUP(C3755,Account_Master!A:A,Account_Master!B:B,"Not on master")</f>
        <v>0</v>
      </c>
      <c r="G3755" cm="1">
        <f t="array" ref="G3755">_xlfn.XLOOKUP(C3755,Account_Master!A:A,Account_Master!C:C,"Not on master")</f>
        <v>0</v>
      </c>
      <c r="H3755" s="6">
        <v>10.5</v>
      </c>
      <c r="I3755" s="6">
        <v>10.5</v>
      </c>
      <c r="J3755" s="6">
        <f>I3755-H3755</f>
        <v>0</v>
      </c>
      <c r="K3755" s="5">
        <f>IF(H3755=0,"",J3755/H3755)</f>
        <v>0</v>
      </c>
      <c r="L3755">
        <f>IF(OR(AND(H3755=0,ABS(J3755)&gt;=0.01),AND(H3755&lt;&gt;0,ABS(K3755)&gt;VarianceThreshold)),"Review","OK")</f>
        <v>0</v>
      </c>
      <c r="M3755" t="s">
        <v>33</v>
      </c>
    </row>
    <row r="3756" spans="1:13">
      <c r="A3756" t="s">
        <v>6</v>
      </c>
      <c r="B3756" t="s">
        <v>97</v>
      </c>
      <c r="C3756" t="s">
        <v>33</v>
      </c>
      <c r="D3756" t="s">
        <v>3055</v>
      </c>
      <c r="E3756" cm="1">
        <f t="array" ref="E3756">_xlfn.XLOOKUP(D3756,SKU_Master!A:A,SKU_Master!B:B,"Not on master")</f>
        <v>0</v>
      </c>
      <c r="F3756" cm="1">
        <f t="array" ref="F3756">_xlfn.XLOOKUP(C3756,Account_Master!A:A,Account_Master!B:B,"Not on master")</f>
        <v>0</v>
      </c>
      <c r="G3756" cm="1">
        <f t="array" ref="G3756">_xlfn.XLOOKUP(C3756,Account_Master!A:A,Account_Master!C:C,"Not on master")</f>
        <v>0</v>
      </c>
      <c r="H3756" s="6">
        <v>0</v>
      </c>
      <c r="I3756" s="6">
        <v>2.25</v>
      </c>
      <c r="J3756" s="6">
        <f>I3756-H3756</f>
        <v>0</v>
      </c>
      <c r="K3756" s="5">
        <f>IF(H3756=0,"",J3756/H3756)</f>
        <v>0</v>
      </c>
      <c r="L3756">
        <f>IF(OR(AND(H3756=0,ABS(J3756)&gt;=0.01),AND(H3756&lt;&gt;0,ABS(K3756)&gt;VarianceThreshold)),"Review","OK")</f>
        <v>0</v>
      </c>
      <c r="M3756" t="s">
        <v>3038</v>
      </c>
    </row>
    <row r="3757" spans="1:13">
      <c r="A3757" t="s">
        <v>6</v>
      </c>
      <c r="B3757" t="s">
        <v>103</v>
      </c>
      <c r="C3757" t="s">
        <v>3041</v>
      </c>
      <c r="D3757" t="s">
        <v>540</v>
      </c>
      <c r="E3757" cm="1">
        <f t="array" ref="E3757">_xlfn.XLOOKUP(D3757,SKU_Master!A:A,SKU_Master!B:B,"Not on master")</f>
        <v>0</v>
      </c>
      <c r="F3757" cm="1">
        <f t="array" ref="F3757">_xlfn.XLOOKUP(C3757,Account_Master!A:A,Account_Master!B:B,"Not on master")</f>
        <v>0</v>
      </c>
      <c r="G3757" cm="1">
        <f t="array" ref="G3757">_xlfn.XLOOKUP(C3757,Account_Master!A:A,Account_Master!C:C,"Not on master")</f>
        <v>0</v>
      </c>
      <c r="H3757" s="6">
        <v>9</v>
      </c>
      <c r="I3757" s="6">
        <v>9</v>
      </c>
      <c r="J3757" s="6">
        <f>I3757-H3757</f>
        <v>0</v>
      </c>
      <c r="K3757" s="5">
        <f>IF(H3757=0,"",J3757/H3757)</f>
        <v>0</v>
      </c>
      <c r="L3757">
        <f>IF(OR(AND(H3757=0,ABS(J3757)&gt;=0.01),AND(H3757&lt;&gt;0,ABS(K3757)&gt;VarianceThreshold)),"Review","OK")</f>
        <v>0</v>
      </c>
      <c r="M3757" t="s">
        <v>33</v>
      </c>
    </row>
    <row r="3758" spans="1:13">
      <c r="A3758" t="s">
        <v>6</v>
      </c>
      <c r="B3758" t="s">
        <v>103</v>
      </c>
      <c r="C3758" t="s">
        <v>3056</v>
      </c>
      <c r="D3758" t="s">
        <v>3057</v>
      </c>
      <c r="E3758" cm="1">
        <f t="array" ref="E3758">_xlfn.XLOOKUP(D3758,SKU_Master!A:A,SKU_Master!B:B,"Not on master")</f>
        <v>0</v>
      </c>
      <c r="F3758" cm="1">
        <f t="array" ref="F3758">_xlfn.XLOOKUP(C3758,Account_Master!A:A,Account_Master!B:B,"Not on master")</f>
        <v>0</v>
      </c>
      <c r="G3758" cm="1">
        <f t="array" ref="G3758">_xlfn.XLOOKUP(C3758,Account_Master!A:A,Account_Master!C:C,"Not on master")</f>
        <v>0</v>
      </c>
      <c r="H3758" s="6">
        <v>10.5</v>
      </c>
      <c r="I3758" s="6">
        <v>10.5</v>
      </c>
      <c r="J3758" s="6">
        <f>I3758-H3758</f>
        <v>0</v>
      </c>
      <c r="K3758" s="5">
        <f>IF(H3758=0,"",J3758/H3758)</f>
        <v>0</v>
      </c>
      <c r="L3758">
        <f>IF(OR(AND(H3758=0,ABS(J3758)&gt;=0.01),AND(H3758&lt;&gt;0,ABS(K3758)&gt;VarianceThreshold)),"Review","OK")</f>
        <v>0</v>
      </c>
      <c r="M3758" t="s">
        <v>33</v>
      </c>
    </row>
    <row r="3759" spans="1:13">
      <c r="A3759" t="s">
        <v>6</v>
      </c>
      <c r="B3759" t="s">
        <v>103</v>
      </c>
      <c r="C3759" t="s">
        <v>3046</v>
      </c>
      <c r="D3759" t="s">
        <v>1077</v>
      </c>
      <c r="E3759" cm="1">
        <f t="array" ref="E3759">_xlfn.XLOOKUP(D3759,SKU_Master!A:A,SKU_Master!B:B,"Not on master")</f>
        <v>0</v>
      </c>
      <c r="F3759" cm="1">
        <f t="array" ref="F3759">_xlfn.XLOOKUP(C3759,Account_Master!A:A,Account_Master!B:B,"Not on master")</f>
        <v>0</v>
      </c>
      <c r="G3759" cm="1">
        <f t="array" ref="G3759">_xlfn.XLOOKUP(C3759,Account_Master!A:A,Account_Master!C:C,"Not on master")</f>
        <v>0</v>
      </c>
      <c r="H3759" s="6">
        <v>9</v>
      </c>
      <c r="I3759" s="6">
        <v>9</v>
      </c>
      <c r="J3759" s="6">
        <f>I3759-H3759</f>
        <v>0</v>
      </c>
      <c r="K3759" s="5">
        <f>IF(H3759=0,"",J3759/H3759)</f>
        <v>0</v>
      </c>
      <c r="L3759">
        <f>IF(OR(AND(H3759=0,ABS(J3759)&gt;=0.01),AND(H3759&lt;&gt;0,ABS(K3759)&gt;VarianceThreshold)),"Review","OK")</f>
        <v>0</v>
      </c>
      <c r="M3759" t="s">
        <v>33</v>
      </c>
    </row>
    <row r="3760" spans="1:13">
      <c r="A3760" t="s">
        <v>6</v>
      </c>
      <c r="B3760" t="s">
        <v>103</v>
      </c>
      <c r="C3760" t="s">
        <v>3058</v>
      </c>
      <c r="D3760" t="s">
        <v>1669</v>
      </c>
      <c r="E3760" cm="1">
        <f t="array" ref="E3760">_xlfn.XLOOKUP(D3760,SKU_Master!A:A,SKU_Master!B:B,"Not on master")</f>
        <v>0</v>
      </c>
      <c r="F3760" cm="1">
        <f t="array" ref="F3760">_xlfn.XLOOKUP(C3760,Account_Master!A:A,Account_Master!B:B,"Not on master")</f>
        <v>0</v>
      </c>
      <c r="G3760" cm="1">
        <f t="array" ref="G3760">_xlfn.XLOOKUP(C3760,Account_Master!A:A,Account_Master!C:C,"Not on master")</f>
        <v>0</v>
      </c>
      <c r="H3760" s="6">
        <v>9</v>
      </c>
      <c r="I3760" s="6">
        <v>9</v>
      </c>
      <c r="J3760" s="6">
        <f>I3760-H3760</f>
        <v>0</v>
      </c>
      <c r="K3760" s="5">
        <f>IF(H3760=0,"",J3760/H3760)</f>
        <v>0</v>
      </c>
      <c r="L3760">
        <f>IF(OR(AND(H3760=0,ABS(J3760)&gt;=0.01),AND(H3760&lt;&gt;0,ABS(K3760)&gt;VarianceThreshold)),"Review","OK")</f>
        <v>0</v>
      </c>
      <c r="M3760" t="s">
        <v>33</v>
      </c>
    </row>
    <row r="3761" spans="1:13">
      <c r="A3761" t="s">
        <v>6</v>
      </c>
      <c r="B3761" t="s">
        <v>103</v>
      </c>
      <c r="C3761" t="s">
        <v>3059</v>
      </c>
      <c r="D3761" t="s">
        <v>1333</v>
      </c>
      <c r="E3761" cm="1">
        <f t="array" ref="E3761">_xlfn.XLOOKUP(D3761,SKU_Master!A:A,SKU_Master!B:B,"Not on master")</f>
        <v>0</v>
      </c>
      <c r="F3761" cm="1">
        <f t="array" ref="F3761">_xlfn.XLOOKUP(C3761,Account_Master!A:A,Account_Master!B:B,"Not on master")</f>
        <v>0</v>
      </c>
      <c r="G3761" cm="1">
        <f t="array" ref="G3761">_xlfn.XLOOKUP(C3761,Account_Master!A:A,Account_Master!C:C,"Not on master")</f>
        <v>0</v>
      </c>
      <c r="H3761" s="6">
        <v>3</v>
      </c>
      <c r="I3761" s="6">
        <v>3</v>
      </c>
      <c r="J3761" s="6">
        <f>I3761-H3761</f>
        <v>0</v>
      </c>
      <c r="K3761" s="5">
        <f>IF(H3761=0,"",J3761/H3761)</f>
        <v>0</v>
      </c>
      <c r="L3761">
        <f>IF(OR(AND(H3761=0,ABS(J3761)&gt;=0.01),AND(H3761&lt;&gt;0,ABS(K3761)&gt;VarianceThreshold)),"Review","OK")</f>
        <v>0</v>
      </c>
      <c r="M3761" t="s">
        <v>33</v>
      </c>
    </row>
    <row r="3762" spans="1:13">
      <c r="A3762" t="s">
        <v>6</v>
      </c>
      <c r="B3762" t="s">
        <v>103</v>
      </c>
      <c r="C3762" t="s">
        <v>3039</v>
      </c>
      <c r="D3762" t="s">
        <v>797</v>
      </c>
      <c r="E3762" cm="1">
        <f t="array" ref="E3762">_xlfn.XLOOKUP(D3762,SKU_Master!A:A,SKU_Master!B:B,"Not on master")</f>
        <v>0</v>
      </c>
      <c r="F3762" cm="1">
        <f t="array" ref="F3762">_xlfn.XLOOKUP(C3762,Account_Master!A:A,Account_Master!B:B,"Not on master")</f>
        <v>0</v>
      </c>
      <c r="G3762" cm="1">
        <f t="array" ref="G3762">_xlfn.XLOOKUP(C3762,Account_Master!A:A,Account_Master!C:C,"Not on master")</f>
        <v>0</v>
      </c>
      <c r="H3762" s="6">
        <v>9</v>
      </c>
      <c r="I3762" s="6">
        <v>7.5</v>
      </c>
      <c r="J3762" s="6">
        <f>I3762-H3762</f>
        <v>0</v>
      </c>
      <c r="K3762" s="5">
        <f>IF(H3762=0,"",J3762/H3762)</f>
        <v>0</v>
      </c>
      <c r="L3762">
        <f>IF(OR(AND(H3762=0,ABS(J3762)&gt;=0.01),AND(H3762&lt;&gt;0,ABS(K3762)&gt;VarianceThreshold)),"Review","OK")</f>
        <v>0</v>
      </c>
      <c r="M3762" t="s">
        <v>3038</v>
      </c>
    </row>
    <row r="3763" spans="1:13">
      <c r="A3763" t="s">
        <v>6</v>
      </c>
      <c r="B3763" t="s">
        <v>121</v>
      </c>
      <c r="C3763" t="s">
        <v>3029</v>
      </c>
      <c r="D3763" t="s">
        <v>3060</v>
      </c>
      <c r="E3763" cm="1">
        <f t="array" ref="E3763">_xlfn.XLOOKUP(D3763,SKU_Master!A:A,SKU_Master!B:B,"Not on master")</f>
        <v>0</v>
      </c>
      <c r="F3763" cm="1">
        <f t="array" ref="F3763">_xlfn.XLOOKUP(C3763,Account_Master!A:A,Account_Master!B:B,"Not on master")</f>
        <v>0</v>
      </c>
      <c r="G3763" cm="1">
        <f t="array" ref="G3763">_xlfn.XLOOKUP(C3763,Account_Master!A:A,Account_Master!C:C,"Not on master")</f>
        <v>0</v>
      </c>
      <c r="H3763" s="6">
        <v>9</v>
      </c>
      <c r="I3763" s="6">
        <v>9</v>
      </c>
      <c r="J3763" s="6">
        <f>I3763-H3763</f>
        <v>0</v>
      </c>
      <c r="K3763" s="5">
        <f>IF(H3763=0,"",J3763/H3763)</f>
        <v>0</v>
      </c>
      <c r="L3763">
        <f>IF(OR(AND(H3763=0,ABS(J3763)&gt;=0.01),AND(H3763&lt;&gt;0,ABS(K3763)&gt;VarianceThreshold)),"Review","OK")</f>
        <v>0</v>
      </c>
      <c r="M3763" t="s">
        <v>33</v>
      </c>
    </row>
    <row r="3764" spans="1:13">
      <c r="A3764" t="s">
        <v>6</v>
      </c>
      <c r="B3764" t="s">
        <v>121</v>
      </c>
      <c r="C3764" t="s">
        <v>3031</v>
      </c>
      <c r="D3764" t="s">
        <v>278</v>
      </c>
      <c r="E3764" cm="1">
        <f t="array" ref="E3764">_xlfn.XLOOKUP(D3764,SKU_Master!A:A,SKU_Master!B:B,"Not on master")</f>
        <v>0</v>
      </c>
      <c r="F3764" cm="1">
        <f t="array" ref="F3764">_xlfn.XLOOKUP(C3764,Account_Master!A:A,Account_Master!B:B,"Not on master")</f>
        <v>0</v>
      </c>
      <c r="G3764" cm="1">
        <f t="array" ref="G3764">_xlfn.XLOOKUP(C3764,Account_Master!A:A,Account_Master!C:C,"Not on master")</f>
        <v>0</v>
      </c>
      <c r="H3764" s="6">
        <v>150</v>
      </c>
      <c r="I3764" s="6">
        <v>150</v>
      </c>
      <c r="J3764" s="6">
        <f>I3764-H3764</f>
        <v>0</v>
      </c>
      <c r="K3764" s="5">
        <f>IF(H3764=0,"",J3764/H3764)</f>
        <v>0</v>
      </c>
      <c r="L3764">
        <f>IF(OR(AND(H3764=0,ABS(J3764)&gt;=0.01),AND(H3764&lt;&gt;0,ABS(K3764)&gt;VarianceThreshold)),"Review","OK")</f>
        <v>0</v>
      </c>
      <c r="M3764" t="s">
        <v>33</v>
      </c>
    </row>
    <row r="3765" spans="1:13">
      <c r="A3765" t="s">
        <v>6</v>
      </c>
      <c r="B3765" t="s">
        <v>121</v>
      </c>
      <c r="C3765" t="s">
        <v>3061</v>
      </c>
      <c r="D3765" t="s">
        <v>2316</v>
      </c>
      <c r="E3765" cm="1">
        <f t="array" ref="E3765">_xlfn.XLOOKUP(D3765,SKU_Master!A:A,SKU_Master!B:B,"Not on master")</f>
        <v>0</v>
      </c>
      <c r="F3765" cm="1">
        <f t="array" ref="F3765">_xlfn.XLOOKUP(C3765,Account_Master!A:A,Account_Master!B:B,"Not on master")</f>
        <v>0</v>
      </c>
      <c r="G3765" cm="1">
        <f t="array" ref="G3765">_xlfn.XLOOKUP(C3765,Account_Master!A:A,Account_Master!C:C,"Not on master")</f>
        <v>0</v>
      </c>
      <c r="H3765" s="6">
        <v>72</v>
      </c>
      <c r="I3765" s="6">
        <v>72</v>
      </c>
      <c r="J3765" s="6">
        <f>I3765-H3765</f>
        <v>0</v>
      </c>
      <c r="K3765" s="5">
        <f>IF(H3765=0,"",J3765/H3765)</f>
        <v>0</v>
      </c>
      <c r="L3765">
        <f>IF(OR(AND(H3765=0,ABS(J3765)&gt;=0.01),AND(H3765&lt;&gt;0,ABS(K3765)&gt;VarianceThreshold)),"Review","OK")</f>
        <v>0</v>
      </c>
      <c r="M3765" t="s">
        <v>33</v>
      </c>
    </row>
    <row r="3766" spans="1:13">
      <c r="A3766" t="s">
        <v>6</v>
      </c>
      <c r="B3766" t="s">
        <v>121</v>
      </c>
      <c r="C3766" t="s">
        <v>3062</v>
      </c>
      <c r="D3766" t="s">
        <v>767</v>
      </c>
      <c r="E3766" cm="1">
        <f t="array" ref="E3766">_xlfn.XLOOKUP(D3766,SKU_Master!A:A,SKU_Master!B:B,"Not on master")</f>
        <v>0</v>
      </c>
      <c r="F3766" cm="1">
        <f t="array" ref="F3766">_xlfn.XLOOKUP(C3766,Account_Master!A:A,Account_Master!B:B,"Not on master")</f>
        <v>0</v>
      </c>
      <c r="G3766" cm="1">
        <f t="array" ref="G3766">_xlfn.XLOOKUP(C3766,Account_Master!A:A,Account_Master!C:C,"Not on master")</f>
        <v>0</v>
      </c>
      <c r="H3766" s="6">
        <v>2.25</v>
      </c>
      <c r="I3766" s="6">
        <v>2.25</v>
      </c>
      <c r="J3766" s="6">
        <f>I3766-H3766</f>
        <v>0</v>
      </c>
      <c r="K3766" s="5">
        <f>IF(H3766=0,"",J3766/H3766)</f>
        <v>0</v>
      </c>
      <c r="L3766">
        <f>IF(OR(AND(H3766=0,ABS(J3766)&gt;=0.01),AND(H3766&lt;&gt;0,ABS(K3766)&gt;VarianceThreshold)),"Review","OK")</f>
        <v>0</v>
      </c>
      <c r="M3766" t="s">
        <v>33</v>
      </c>
    </row>
    <row r="3767" spans="1:13">
      <c r="A3767" t="s">
        <v>6</v>
      </c>
      <c r="B3767" t="s">
        <v>121</v>
      </c>
      <c r="C3767" t="s">
        <v>3039</v>
      </c>
      <c r="D3767" t="s">
        <v>3063</v>
      </c>
      <c r="E3767" cm="1">
        <f t="array" ref="E3767">_xlfn.XLOOKUP(D3767,SKU_Master!A:A,SKU_Master!B:B,"Not on master")</f>
        <v>0</v>
      </c>
      <c r="F3767" cm="1">
        <f t="array" ref="F3767">_xlfn.XLOOKUP(C3767,Account_Master!A:A,Account_Master!B:B,"Not on master")</f>
        <v>0</v>
      </c>
      <c r="G3767" cm="1">
        <f t="array" ref="G3767">_xlfn.XLOOKUP(C3767,Account_Master!A:A,Account_Master!C:C,"Not on master")</f>
        <v>0</v>
      </c>
      <c r="H3767" s="6">
        <v>18</v>
      </c>
      <c r="I3767" s="6">
        <v>18</v>
      </c>
      <c r="J3767" s="6">
        <f>I3767-H3767</f>
        <v>0</v>
      </c>
      <c r="K3767" s="5">
        <f>IF(H3767=0,"",J3767/H3767)</f>
        <v>0</v>
      </c>
      <c r="L3767">
        <f>IF(OR(AND(H3767=0,ABS(J3767)&gt;=0.01),AND(H3767&lt;&gt;0,ABS(K3767)&gt;VarianceThreshold)),"Review","OK")</f>
        <v>0</v>
      </c>
      <c r="M3767" t="s">
        <v>33</v>
      </c>
    </row>
    <row r="3768" spans="1:13">
      <c r="A3768" t="s">
        <v>6</v>
      </c>
      <c r="B3768" t="s">
        <v>121</v>
      </c>
      <c r="C3768" t="s">
        <v>3029</v>
      </c>
      <c r="D3768" t="s">
        <v>649</v>
      </c>
      <c r="E3768" cm="1">
        <f t="array" ref="E3768">_xlfn.XLOOKUP(D3768,SKU_Master!A:A,SKU_Master!B:B,"Not on master")</f>
        <v>0</v>
      </c>
      <c r="F3768" cm="1">
        <f t="array" ref="F3768">_xlfn.XLOOKUP(C3768,Account_Master!A:A,Account_Master!B:B,"Not on master")</f>
        <v>0</v>
      </c>
      <c r="G3768" cm="1">
        <f t="array" ref="G3768">_xlfn.XLOOKUP(C3768,Account_Master!A:A,Account_Master!C:C,"Not on master")</f>
        <v>0</v>
      </c>
      <c r="H3768" s="6">
        <v>36</v>
      </c>
      <c r="I3768" s="6">
        <v>24</v>
      </c>
      <c r="J3768" s="6">
        <f>I3768-H3768</f>
        <v>0</v>
      </c>
      <c r="K3768" s="5">
        <f>IF(H3768=0,"",J3768/H3768)</f>
        <v>0</v>
      </c>
      <c r="L3768">
        <f>IF(OR(AND(H3768=0,ABS(J3768)&gt;=0.01),AND(H3768&lt;&gt;0,ABS(K3768)&gt;VarianceThreshold)),"Review","OK")</f>
        <v>0</v>
      </c>
      <c r="M3768" t="s">
        <v>3038</v>
      </c>
    </row>
    <row r="3769" spans="1:13">
      <c r="A3769" t="s">
        <v>6</v>
      </c>
      <c r="B3769" t="s">
        <v>121</v>
      </c>
      <c r="C3769" t="s">
        <v>3032</v>
      </c>
      <c r="D3769" t="s">
        <v>1132</v>
      </c>
      <c r="E3769" cm="1">
        <f t="array" ref="E3769">_xlfn.XLOOKUP(D3769,SKU_Master!A:A,SKU_Master!B:B,"Not on master")</f>
        <v>0</v>
      </c>
      <c r="F3769" cm="1">
        <f t="array" ref="F3769">_xlfn.XLOOKUP(C3769,Account_Master!A:A,Account_Master!B:B,"Not on master")</f>
        <v>0</v>
      </c>
      <c r="G3769" cm="1">
        <f t="array" ref="G3769">_xlfn.XLOOKUP(C3769,Account_Master!A:A,Account_Master!C:C,"Not on master")</f>
        <v>0</v>
      </c>
      <c r="H3769" s="6">
        <v>0.1</v>
      </c>
      <c r="I3769" s="6">
        <v>0.1</v>
      </c>
      <c r="J3769" s="6">
        <f>I3769-H3769</f>
        <v>0</v>
      </c>
      <c r="K3769" s="5">
        <f>IF(H3769=0,"",J3769/H3769)</f>
        <v>0</v>
      </c>
      <c r="L3769">
        <f>IF(OR(AND(H3769=0,ABS(J3769)&gt;=0.01),AND(H3769&lt;&gt;0,ABS(K3769)&gt;VarianceThreshold)),"Review","OK")</f>
        <v>0</v>
      </c>
      <c r="M3769" t="s">
        <v>33</v>
      </c>
    </row>
    <row r="3770" spans="1:13">
      <c r="A3770" t="s">
        <v>6</v>
      </c>
      <c r="B3770" t="s">
        <v>134</v>
      </c>
      <c r="C3770" t="s">
        <v>3064</v>
      </c>
      <c r="D3770" t="s">
        <v>3065</v>
      </c>
      <c r="E3770" cm="1">
        <f t="array" ref="E3770">_xlfn.XLOOKUP(D3770,SKU_Master!A:A,SKU_Master!B:B,"Not on master")</f>
        <v>0</v>
      </c>
      <c r="F3770" cm="1">
        <f t="array" ref="F3770">_xlfn.XLOOKUP(C3770,Account_Master!A:A,Account_Master!B:B,"Not on master")</f>
        <v>0</v>
      </c>
      <c r="G3770" cm="1">
        <f t="array" ref="G3770">_xlfn.XLOOKUP(C3770,Account_Master!A:A,Account_Master!C:C,"Not on master")</f>
        <v>0</v>
      </c>
      <c r="H3770" s="6">
        <v>1.5</v>
      </c>
      <c r="I3770" s="6">
        <v>1.5</v>
      </c>
      <c r="J3770" s="6">
        <f>I3770-H3770</f>
        <v>0</v>
      </c>
      <c r="K3770" s="5">
        <f>IF(H3770=0,"",J3770/H3770)</f>
        <v>0</v>
      </c>
      <c r="L3770">
        <f>IF(OR(AND(H3770=0,ABS(J3770)&gt;=0.01),AND(H3770&lt;&gt;0,ABS(K3770)&gt;VarianceThreshold)),"Review","OK")</f>
        <v>0</v>
      </c>
      <c r="M3770" t="s">
        <v>33</v>
      </c>
    </row>
    <row r="3771" spans="1:13">
      <c r="A3771" t="s">
        <v>6</v>
      </c>
      <c r="B3771" t="s">
        <v>134</v>
      </c>
      <c r="C3771" t="s">
        <v>3066</v>
      </c>
      <c r="D3771" t="s">
        <v>3067</v>
      </c>
      <c r="E3771" cm="1">
        <f t="array" ref="E3771">_xlfn.XLOOKUP(D3771,SKU_Master!A:A,SKU_Master!B:B,"Not on master")</f>
        <v>0</v>
      </c>
      <c r="F3771" cm="1">
        <f t="array" ref="F3771">_xlfn.XLOOKUP(C3771,Account_Master!A:A,Account_Master!B:B,"Not on master")</f>
        <v>0</v>
      </c>
      <c r="G3771" cm="1">
        <f t="array" ref="G3771">_xlfn.XLOOKUP(C3771,Account_Master!A:A,Account_Master!C:C,"Not on master")</f>
        <v>0</v>
      </c>
      <c r="H3771" s="6">
        <v>105</v>
      </c>
      <c r="I3771" s="6">
        <v>105</v>
      </c>
      <c r="J3771" s="6">
        <f>I3771-H3771</f>
        <v>0</v>
      </c>
      <c r="K3771" s="5">
        <f>IF(H3771=0,"",J3771/H3771)</f>
        <v>0</v>
      </c>
      <c r="L3771">
        <f>IF(OR(AND(H3771=0,ABS(J3771)&gt;=0.01),AND(H3771&lt;&gt;0,ABS(K3771)&gt;VarianceThreshold)),"Review","OK")</f>
        <v>0</v>
      </c>
      <c r="M3771" t="s">
        <v>33</v>
      </c>
    </row>
    <row r="3772" spans="1:13">
      <c r="A3772" t="s">
        <v>6</v>
      </c>
      <c r="B3772" t="s">
        <v>134</v>
      </c>
      <c r="C3772" t="s">
        <v>3031</v>
      </c>
      <c r="D3772" t="s">
        <v>1344</v>
      </c>
      <c r="E3772" cm="1">
        <f t="array" ref="E3772">_xlfn.XLOOKUP(D3772,SKU_Master!A:A,SKU_Master!B:B,"Not on master")</f>
        <v>0</v>
      </c>
      <c r="F3772" cm="1">
        <f t="array" ref="F3772">_xlfn.XLOOKUP(C3772,Account_Master!A:A,Account_Master!B:B,"Not on master")</f>
        <v>0</v>
      </c>
      <c r="G3772" cm="1">
        <f t="array" ref="G3772">_xlfn.XLOOKUP(C3772,Account_Master!A:A,Account_Master!C:C,"Not on master")</f>
        <v>0</v>
      </c>
      <c r="H3772" s="6">
        <v>73.5</v>
      </c>
      <c r="I3772" s="6">
        <v>63</v>
      </c>
      <c r="J3772" s="6">
        <f>I3772-H3772</f>
        <v>0</v>
      </c>
      <c r="K3772" s="5">
        <f>IF(H3772=0,"",J3772/H3772)</f>
        <v>0</v>
      </c>
      <c r="L3772">
        <f>IF(OR(AND(H3772=0,ABS(J3772)&gt;=0.01),AND(H3772&lt;&gt;0,ABS(K3772)&gt;VarianceThreshold)),"Review","OK")</f>
        <v>0</v>
      </c>
      <c r="M3772" t="s">
        <v>3038</v>
      </c>
    </row>
    <row r="3773" spans="1:13">
      <c r="A3773" t="s">
        <v>6</v>
      </c>
      <c r="B3773" t="s">
        <v>134</v>
      </c>
      <c r="C3773" t="s">
        <v>3039</v>
      </c>
      <c r="D3773" t="s">
        <v>3068</v>
      </c>
      <c r="E3773" cm="1">
        <f t="array" ref="E3773">_xlfn.XLOOKUP(D3773,SKU_Master!A:A,SKU_Master!B:B,"Not on master")</f>
        <v>0</v>
      </c>
      <c r="F3773" cm="1">
        <f t="array" ref="F3773">_xlfn.XLOOKUP(C3773,Account_Master!A:A,Account_Master!B:B,"Not on master")</f>
        <v>0</v>
      </c>
      <c r="G3773" cm="1">
        <f t="array" ref="G3773">_xlfn.XLOOKUP(C3773,Account_Master!A:A,Account_Master!C:C,"Not on master")</f>
        <v>0</v>
      </c>
      <c r="H3773" s="6">
        <v>49.5</v>
      </c>
      <c r="I3773" s="6">
        <v>49.5</v>
      </c>
      <c r="J3773" s="6">
        <f>I3773-H3773</f>
        <v>0</v>
      </c>
      <c r="K3773" s="5">
        <f>IF(H3773=0,"",J3773/H3773)</f>
        <v>0</v>
      </c>
      <c r="L3773">
        <f>IF(OR(AND(H3773=0,ABS(J3773)&gt;=0.01),AND(H3773&lt;&gt;0,ABS(K3773)&gt;VarianceThreshold)),"Review","OK")</f>
        <v>0</v>
      </c>
      <c r="M3773" t="s">
        <v>33</v>
      </c>
    </row>
    <row r="3774" spans="1:13">
      <c r="A3774" t="s">
        <v>6</v>
      </c>
      <c r="B3774" t="s">
        <v>134</v>
      </c>
      <c r="C3774" t="s">
        <v>1893</v>
      </c>
      <c r="D3774" t="s">
        <v>342</v>
      </c>
      <c r="E3774" cm="1">
        <f t="array" ref="E3774">_xlfn.XLOOKUP(D3774,SKU_Master!A:A,SKU_Master!B:B,"Not on master")</f>
        <v>0</v>
      </c>
      <c r="F3774" cm="1">
        <f t="array" ref="F3774">_xlfn.XLOOKUP(C3774,Account_Master!A:A,Account_Master!B:B,"Not on master")</f>
        <v>0</v>
      </c>
      <c r="G3774" cm="1">
        <f t="array" ref="G3774">_xlfn.XLOOKUP(C3774,Account_Master!A:A,Account_Master!C:C,"Not on master")</f>
        <v>0</v>
      </c>
      <c r="H3774" s="6">
        <v>13.5</v>
      </c>
      <c r="I3774" s="6">
        <v>13.5</v>
      </c>
      <c r="J3774" s="6">
        <f>I3774-H3774</f>
        <v>0</v>
      </c>
      <c r="K3774" s="5">
        <f>IF(H3774=0,"",J3774/H3774)</f>
        <v>0</v>
      </c>
      <c r="L3774">
        <f>IF(OR(AND(H3774=0,ABS(J3774)&gt;=0.01),AND(H3774&lt;&gt;0,ABS(K3774)&gt;VarianceThreshold)),"Review","OK")</f>
        <v>0</v>
      </c>
      <c r="M3774" t="s">
        <v>33</v>
      </c>
    </row>
    <row r="3775" spans="1:13">
      <c r="A3775" t="s">
        <v>6</v>
      </c>
      <c r="B3775" t="s">
        <v>134</v>
      </c>
      <c r="C3775" t="s">
        <v>3032</v>
      </c>
      <c r="D3775" t="s">
        <v>1507</v>
      </c>
      <c r="E3775" cm="1">
        <f t="array" ref="E3775">_xlfn.XLOOKUP(D3775,SKU_Master!A:A,SKU_Master!B:B,"Not on master")</f>
        <v>0</v>
      </c>
      <c r="F3775" cm="1">
        <f t="array" ref="F3775">_xlfn.XLOOKUP(C3775,Account_Master!A:A,Account_Master!B:B,"Not on master")</f>
        <v>0</v>
      </c>
      <c r="G3775" cm="1">
        <f t="array" ref="G3775">_xlfn.XLOOKUP(C3775,Account_Master!A:A,Account_Master!C:C,"Not on master")</f>
        <v>0</v>
      </c>
      <c r="H3775" s="6">
        <v>2.25</v>
      </c>
      <c r="I3775" s="6">
        <v>2.25</v>
      </c>
      <c r="J3775" s="6">
        <f>I3775-H3775</f>
        <v>0</v>
      </c>
      <c r="K3775" s="5">
        <f>IF(H3775=0,"",J3775/H3775)</f>
        <v>0</v>
      </c>
      <c r="L3775">
        <f>IF(OR(AND(H3775=0,ABS(J3775)&gt;=0.01),AND(H3775&lt;&gt;0,ABS(K3775)&gt;VarianceThreshold)),"Review","OK")</f>
        <v>0</v>
      </c>
      <c r="M3775" t="s">
        <v>33</v>
      </c>
    </row>
    <row r="3776" spans="1:13">
      <c r="A3776" t="s">
        <v>6</v>
      </c>
      <c r="B3776" t="s">
        <v>134</v>
      </c>
      <c r="C3776" t="s">
        <v>3069</v>
      </c>
      <c r="D3776" t="s">
        <v>2798</v>
      </c>
      <c r="E3776" cm="1">
        <f t="array" ref="E3776">_xlfn.XLOOKUP(D3776,SKU_Master!A:A,SKU_Master!B:B,"Not on master")</f>
        <v>0</v>
      </c>
      <c r="F3776" cm="1">
        <f t="array" ref="F3776">_xlfn.XLOOKUP(C3776,Account_Master!A:A,Account_Master!B:B,"Not on master")</f>
        <v>0</v>
      </c>
      <c r="G3776" cm="1">
        <f t="array" ref="G3776">_xlfn.XLOOKUP(C3776,Account_Master!A:A,Account_Master!C:C,"Not on master")</f>
        <v>0</v>
      </c>
      <c r="H3776" s="6">
        <v>1.5</v>
      </c>
      <c r="I3776" s="6">
        <v>1.5</v>
      </c>
      <c r="J3776" s="6">
        <f>I3776-H3776</f>
        <v>0</v>
      </c>
      <c r="K3776" s="5">
        <f>IF(H3776=0,"",J3776/H3776)</f>
        <v>0</v>
      </c>
      <c r="L3776">
        <f>IF(OR(AND(H3776=0,ABS(J3776)&gt;=0.01),AND(H3776&lt;&gt;0,ABS(K3776)&gt;VarianceThreshold)),"Review","OK")</f>
        <v>0</v>
      </c>
      <c r="M3776" t="s">
        <v>33</v>
      </c>
    </row>
    <row r="3777" spans="1:13">
      <c r="A3777" t="s">
        <v>6</v>
      </c>
      <c r="B3777" t="s">
        <v>143</v>
      </c>
      <c r="C3777" t="s">
        <v>3070</v>
      </c>
      <c r="D3777" t="s">
        <v>800</v>
      </c>
      <c r="E3777" cm="1">
        <f t="array" ref="E3777">_xlfn.XLOOKUP(D3777,SKU_Master!A:A,SKU_Master!B:B,"Not on master")</f>
        <v>0</v>
      </c>
      <c r="F3777" cm="1">
        <f t="array" ref="F3777">_xlfn.XLOOKUP(C3777,Account_Master!A:A,Account_Master!B:B,"Not on master")</f>
        <v>0</v>
      </c>
      <c r="G3777" cm="1">
        <f t="array" ref="G3777">_xlfn.XLOOKUP(C3777,Account_Master!A:A,Account_Master!C:C,"Not on master")</f>
        <v>0</v>
      </c>
      <c r="H3777" s="6">
        <v>8.9</v>
      </c>
      <c r="I3777" s="6">
        <v>8.4</v>
      </c>
      <c r="J3777" s="6">
        <f>I3777-H3777</f>
        <v>0</v>
      </c>
      <c r="K3777" s="5">
        <f>IF(H3777=0,"",J3777/H3777)</f>
        <v>0</v>
      </c>
      <c r="L3777">
        <f>IF(OR(AND(H3777=0,ABS(J3777)&gt;=0.01),AND(H3777&lt;&gt;0,ABS(K3777)&gt;VarianceThreshold)),"Review","OK")</f>
        <v>0</v>
      </c>
      <c r="M3777" t="s">
        <v>3038</v>
      </c>
    </row>
    <row r="3778" spans="1:13">
      <c r="A3778" t="s">
        <v>6</v>
      </c>
      <c r="B3778" t="s">
        <v>143</v>
      </c>
      <c r="C3778" t="s">
        <v>3032</v>
      </c>
      <c r="D3778" t="s">
        <v>1614</v>
      </c>
      <c r="E3778" cm="1">
        <f t="array" ref="E3778">_xlfn.XLOOKUP(D3778,SKU_Master!A:A,SKU_Master!B:B,"Not on master")</f>
        <v>0</v>
      </c>
      <c r="F3778" cm="1">
        <f t="array" ref="F3778">_xlfn.XLOOKUP(C3778,Account_Master!A:A,Account_Master!B:B,"Not on master")</f>
        <v>0</v>
      </c>
      <c r="G3778" cm="1">
        <f t="array" ref="G3778">_xlfn.XLOOKUP(C3778,Account_Master!A:A,Account_Master!C:C,"Not on master")</f>
        <v>0</v>
      </c>
      <c r="H3778" s="6">
        <v>8.25</v>
      </c>
      <c r="I3778" s="6">
        <v>8.25</v>
      </c>
      <c r="J3778" s="6">
        <f>I3778-H3778</f>
        <v>0</v>
      </c>
      <c r="K3778" s="5">
        <f>IF(H3778=0,"",J3778/H3778)</f>
        <v>0</v>
      </c>
      <c r="L3778">
        <f>IF(OR(AND(H3778=0,ABS(J3778)&gt;=0.01),AND(H3778&lt;&gt;0,ABS(K3778)&gt;VarianceThreshold)),"Review","OK")</f>
        <v>0</v>
      </c>
      <c r="M3778" t="s">
        <v>33</v>
      </c>
    </row>
    <row r="3779" spans="1:13">
      <c r="A3779" t="s">
        <v>6</v>
      </c>
      <c r="B3779" t="s">
        <v>143</v>
      </c>
      <c r="C3779" t="s">
        <v>3032</v>
      </c>
      <c r="D3779" t="s">
        <v>2808</v>
      </c>
      <c r="E3779" cm="1">
        <f t="array" ref="E3779">_xlfn.XLOOKUP(D3779,SKU_Master!A:A,SKU_Master!B:B,"Not on master")</f>
        <v>0</v>
      </c>
      <c r="F3779" cm="1">
        <f t="array" ref="F3779">_xlfn.XLOOKUP(C3779,Account_Master!A:A,Account_Master!B:B,"Not on master")</f>
        <v>0</v>
      </c>
      <c r="G3779" cm="1">
        <f t="array" ref="G3779">_xlfn.XLOOKUP(C3779,Account_Master!A:A,Account_Master!C:C,"Not on master")</f>
        <v>0</v>
      </c>
      <c r="H3779" s="6">
        <v>10.5</v>
      </c>
      <c r="I3779" s="6">
        <v>10.5</v>
      </c>
      <c r="J3779" s="6">
        <f>I3779-H3779</f>
        <v>0</v>
      </c>
      <c r="K3779" s="5">
        <f>IF(H3779=0,"",J3779/H3779)</f>
        <v>0</v>
      </c>
      <c r="L3779">
        <f>IF(OR(AND(H3779=0,ABS(J3779)&gt;=0.01),AND(H3779&lt;&gt;0,ABS(K3779)&gt;VarianceThreshold)),"Review","OK")</f>
        <v>0</v>
      </c>
      <c r="M3779" t="s">
        <v>33</v>
      </c>
    </row>
    <row r="3780" spans="1:13">
      <c r="A3780" t="s">
        <v>6</v>
      </c>
      <c r="B3780" t="s">
        <v>154</v>
      </c>
      <c r="C3780" t="s">
        <v>3071</v>
      </c>
      <c r="D3780" t="s">
        <v>1152</v>
      </c>
      <c r="E3780" cm="1">
        <f t="array" ref="E3780">_xlfn.XLOOKUP(D3780,SKU_Master!A:A,SKU_Master!B:B,"Not on master")</f>
        <v>0</v>
      </c>
      <c r="F3780" cm="1">
        <f t="array" ref="F3780">_xlfn.XLOOKUP(C3780,Account_Master!A:A,Account_Master!B:B,"Not on master")</f>
        <v>0</v>
      </c>
      <c r="G3780" cm="1">
        <f t="array" ref="G3780">_xlfn.XLOOKUP(C3780,Account_Master!A:A,Account_Master!C:C,"Not on master")</f>
        <v>0</v>
      </c>
      <c r="H3780" s="6">
        <v>1.75</v>
      </c>
      <c r="I3780" s="6">
        <v>0</v>
      </c>
      <c r="J3780" s="6">
        <f>I3780-H3780</f>
        <v>0</v>
      </c>
      <c r="K3780" s="5">
        <f>IF(H3780=0,"",J3780/H3780)</f>
        <v>0</v>
      </c>
      <c r="L3780">
        <f>IF(OR(AND(H3780=0,ABS(J3780)&gt;=0.01),AND(H3780&lt;&gt;0,ABS(K3780)&gt;VarianceThreshold)),"Review","OK")</f>
        <v>0</v>
      </c>
      <c r="M3780" t="s">
        <v>3038</v>
      </c>
    </row>
    <row r="3781" spans="1:13">
      <c r="A3781" t="s">
        <v>6</v>
      </c>
      <c r="B3781" t="s">
        <v>154</v>
      </c>
      <c r="C3781" t="s">
        <v>3048</v>
      </c>
      <c r="D3781" t="s">
        <v>1525</v>
      </c>
      <c r="E3781" cm="1">
        <f t="array" ref="E3781">_xlfn.XLOOKUP(D3781,SKU_Master!A:A,SKU_Master!B:B,"Not on master")</f>
        <v>0</v>
      </c>
      <c r="F3781" cm="1">
        <f t="array" ref="F3781">_xlfn.XLOOKUP(C3781,Account_Master!A:A,Account_Master!B:B,"Not on master")</f>
        <v>0</v>
      </c>
      <c r="G3781" cm="1">
        <f t="array" ref="G3781">_xlfn.XLOOKUP(C3781,Account_Master!A:A,Account_Master!C:C,"Not on master")</f>
        <v>0</v>
      </c>
      <c r="H3781" s="6">
        <v>8.25</v>
      </c>
      <c r="I3781" s="6">
        <v>8.25</v>
      </c>
      <c r="J3781" s="6">
        <f>I3781-H3781</f>
        <v>0</v>
      </c>
      <c r="K3781" s="5">
        <f>IF(H3781=0,"",J3781/H3781)</f>
        <v>0</v>
      </c>
      <c r="L3781">
        <f>IF(OR(AND(H3781=0,ABS(J3781)&gt;=0.01),AND(H3781&lt;&gt;0,ABS(K3781)&gt;VarianceThreshold)),"Review","OK")</f>
        <v>0</v>
      </c>
      <c r="M3781" t="s">
        <v>33</v>
      </c>
    </row>
    <row r="3782" spans="1:13">
      <c r="A3782" t="s">
        <v>6</v>
      </c>
      <c r="B3782" t="s">
        <v>154</v>
      </c>
      <c r="C3782" t="s">
        <v>3041</v>
      </c>
      <c r="D3782" t="s">
        <v>1426</v>
      </c>
      <c r="E3782" cm="1">
        <f t="array" ref="E3782">_xlfn.XLOOKUP(D3782,SKU_Master!A:A,SKU_Master!B:B,"Not on master")</f>
        <v>0</v>
      </c>
      <c r="F3782" cm="1">
        <f t="array" ref="F3782">_xlfn.XLOOKUP(C3782,Account_Master!A:A,Account_Master!B:B,"Not on master")</f>
        <v>0</v>
      </c>
      <c r="G3782" cm="1">
        <f t="array" ref="G3782">_xlfn.XLOOKUP(C3782,Account_Master!A:A,Account_Master!C:C,"Not on master")</f>
        <v>0</v>
      </c>
      <c r="H3782" s="6">
        <v>4.5</v>
      </c>
      <c r="I3782" s="6">
        <v>4.5</v>
      </c>
      <c r="J3782" s="6">
        <f>I3782-H3782</f>
        <v>0</v>
      </c>
      <c r="K3782" s="5">
        <f>IF(H3782=0,"",J3782/H3782)</f>
        <v>0</v>
      </c>
      <c r="L3782">
        <f>IF(OR(AND(H3782=0,ABS(J3782)&gt;=0.01),AND(H3782&lt;&gt;0,ABS(K3782)&gt;VarianceThreshold)),"Review","OK")</f>
        <v>0</v>
      </c>
      <c r="M3782" t="s">
        <v>33</v>
      </c>
    </row>
    <row r="3783" spans="1:13">
      <c r="A3783" t="s">
        <v>6</v>
      </c>
      <c r="B3783" t="s">
        <v>154</v>
      </c>
      <c r="C3783" t="s">
        <v>3032</v>
      </c>
      <c r="D3783" t="s">
        <v>3072</v>
      </c>
      <c r="E3783" cm="1">
        <f t="array" ref="E3783">_xlfn.XLOOKUP(D3783,SKU_Master!A:A,SKU_Master!B:B,"Not on master")</f>
        <v>0</v>
      </c>
      <c r="F3783" cm="1">
        <f t="array" ref="F3783">_xlfn.XLOOKUP(C3783,Account_Master!A:A,Account_Master!B:B,"Not on master")</f>
        <v>0</v>
      </c>
      <c r="G3783" cm="1">
        <f t="array" ref="G3783">_xlfn.XLOOKUP(C3783,Account_Master!A:A,Account_Master!C:C,"Not on master")</f>
        <v>0</v>
      </c>
      <c r="H3783" s="6">
        <v>3</v>
      </c>
      <c r="I3783" s="6">
        <v>3</v>
      </c>
      <c r="J3783" s="6">
        <f>I3783-H3783</f>
        <v>0</v>
      </c>
      <c r="K3783" s="5">
        <f>IF(H3783=0,"",J3783/H3783)</f>
        <v>0</v>
      </c>
      <c r="L3783">
        <f>IF(OR(AND(H3783=0,ABS(J3783)&gt;=0.01),AND(H3783&lt;&gt;0,ABS(K3783)&gt;VarianceThreshold)),"Review","OK")</f>
        <v>0</v>
      </c>
      <c r="M3783" t="s">
        <v>33</v>
      </c>
    </row>
    <row r="3784" spans="1:13">
      <c r="A3784" t="s">
        <v>6</v>
      </c>
      <c r="B3784" t="s">
        <v>160</v>
      </c>
      <c r="C3784" t="s">
        <v>3071</v>
      </c>
      <c r="D3784" t="s">
        <v>290</v>
      </c>
      <c r="E3784" cm="1">
        <f t="array" ref="E3784">_xlfn.XLOOKUP(D3784,SKU_Master!A:A,SKU_Master!B:B,"Not on master")</f>
        <v>0</v>
      </c>
      <c r="F3784" cm="1">
        <f t="array" ref="F3784">_xlfn.XLOOKUP(C3784,Account_Master!A:A,Account_Master!B:B,"Not on master")</f>
        <v>0</v>
      </c>
      <c r="G3784" cm="1">
        <f t="array" ref="G3784">_xlfn.XLOOKUP(C3784,Account_Master!A:A,Account_Master!C:C,"Not on master")</f>
        <v>0</v>
      </c>
      <c r="H3784" s="6">
        <v>0.05</v>
      </c>
      <c r="I3784" s="6">
        <v>0.05</v>
      </c>
      <c r="J3784" s="6">
        <f>I3784-H3784</f>
        <v>0</v>
      </c>
      <c r="K3784" s="5">
        <f>IF(H3784=0,"",J3784/H3784)</f>
        <v>0</v>
      </c>
      <c r="L3784">
        <f>IF(OR(AND(H3784=0,ABS(J3784)&gt;=0.01),AND(H3784&lt;&gt;0,ABS(K3784)&gt;VarianceThreshold)),"Review","OK")</f>
        <v>0</v>
      </c>
      <c r="M3784" t="s">
        <v>33</v>
      </c>
    </row>
    <row r="3785" spans="1:13">
      <c r="A3785" t="s">
        <v>6</v>
      </c>
      <c r="B3785" t="s">
        <v>160</v>
      </c>
      <c r="C3785" t="s">
        <v>3023</v>
      </c>
      <c r="D3785" t="s">
        <v>1172</v>
      </c>
      <c r="E3785" cm="1">
        <f t="array" ref="E3785">_xlfn.XLOOKUP(D3785,SKU_Master!A:A,SKU_Master!B:B,"Not on master")</f>
        <v>0</v>
      </c>
      <c r="F3785" cm="1">
        <f t="array" ref="F3785">_xlfn.XLOOKUP(C3785,Account_Master!A:A,Account_Master!B:B,"Not on master")</f>
        <v>0</v>
      </c>
      <c r="G3785" cm="1">
        <f t="array" ref="G3785">_xlfn.XLOOKUP(C3785,Account_Master!A:A,Account_Master!C:C,"Not on master")</f>
        <v>0</v>
      </c>
      <c r="H3785" s="6">
        <v>16.5</v>
      </c>
      <c r="I3785" s="6">
        <v>16.5</v>
      </c>
      <c r="J3785" s="6">
        <f>I3785-H3785</f>
        <v>0</v>
      </c>
      <c r="K3785" s="5">
        <f>IF(H3785=0,"",J3785/H3785)</f>
        <v>0</v>
      </c>
      <c r="L3785">
        <f>IF(OR(AND(H3785=0,ABS(J3785)&gt;=0.01),AND(H3785&lt;&gt;0,ABS(K3785)&gt;VarianceThreshold)),"Review","OK")</f>
        <v>0</v>
      </c>
      <c r="M3785" t="s">
        <v>33</v>
      </c>
    </row>
    <row r="3786" spans="1:13">
      <c r="A3786" t="s">
        <v>6</v>
      </c>
      <c r="B3786" t="s">
        <v>160</v>
      </c>
      <c r="C3786" t="s">
        <v>3073</v>
      </c>
      <c r="D3786" t="s">
        <v>3074</v>
      </c>
      <c r="E3786" cm="1">
        <f t="array" ref="E3786">_xlfn.XLOOKUP(D3786,SKU_Master!A:A,SKU_Master!B:B,"Not on master")</f>
        <v>0</v>
      </c>
      <c r="F3786" cm="1">
        <f t="array" ref="F3786">_xlfn.XLOOKUP(C3786,Account_Master!A:A,Account_Master!B:B,"Not on master")</f>
        <v>0</v>
      </c>
      <c r="G3786" cm="1">
        <f t="array" ref="G3786">_xlfn.XLOOKUP(C3786,Account_Master!A:A,Account_Master!C:C,"Not on master")</f>
        <v>0</v>
      </c>
      <c r="H3786" s="6">
        <v>0.75</v>
      </c>
      <c r="I3786" s="6">
        <v>0.75</v>
      </c>
      <c r="J3786" s="6">
        <f>I3786-H3786</f>
        <v>0</v>
      </c>
      <c r="K3786" s="5">
        <f>IF(H3786=0,"",J3786/H3786)</f>
        <v>0</v>
      </c>
      <c r="L3786">
        <f>IF(OR(AND(H3786=0,ABS(J3786)&gt;=0.01),AND(H3786&lt;&gt;0,ABS(K3786)&gt;VarianceThreshold)),"Review","OK")</f>
        <v>0</v>
      </c>
      <c r="M3786" t="s">
        <v>33</v>
      </c>
    </row>
    <row r="3787" spans="1:13">
      <c r="A3787" t="s">
        <v>6</v>
      </c>
      <c r="B3787" t="s">
        <v>160</v>
      </c>
      <c r="C3787" t="s">
        <v>3029</v>
      </c>
      <c r="D3787" t="s">
        <v>354</v>
      </c>
      <c r="E3787" cm="1">
        <f t="array" ref="E3787">_xlfn.XLOOKUP(D3787,SKU_Master!A:A,SKU_Master!B:B,"Not on master")</f>
        <v>0</v>
      </c>
      <c r="F3787" cm="1">
        <f t="array" ref="F3787">_xlfn.XLOOKUP(C3787,Account_Master!A:A,Account_Master!B:B,"Not on master")</f>
        <v>0</v>
      </c>
      <c r="G3787" cm="1">
        <f t="array" ref="G3787">_xlfn.XLOOKUP(C3787,Account_Master!A:A,Account_Master!C:C,"Not on master")</f>
        <v>0</v>
      </c>
      <c r="H3787" s="6">
        <v>1.15</v>
      </c>
      <c r="I3787" s="6">
        <v>1.15</v>
      </c>
      <c r="J3787" s="6">
        <f>I3787-H3787</f>
        <v>0</v>
      </c>
      <c r="K3787" s="5">
        <f>IF(H3787=0,"",J3787/H3787)</f>
        <v>0</v>
      </c>
      <c r="L3787">
        <f>IF(OR(AND(H3787=0,ABS(J3787)&gt;=0.01),AND(H3787&lt;&gt;0,ABS(K3787)&gt;VarianceThreshold)),"Review","OK")</f>
        <v>0</v>
      </c>
      <c r="M3787" t="s">
        <v>33</v>
      </c>
    </row>
    <row r="3788" spans="1:13">
      <c r="A3788" t="s">
        <v>6</v>
      </c>
      <c r="B3788" t="s">
        <v>160</v>
      </c>
      <c r="C3788" t="s">
        <v>33</v>
      </c>
      <c r="D3788" t="s">
        <v>3075</v>
      </c>
      <c r="E3788" cm="1">
        <f t="array" ref="E3788">_xlfn.XLOOKUP(D3788,SKU_Master!A:A,SKU_Master!B:B,"Not on master")</f>
        <v>0</v>
      </c>
      <c r="F3788" cm="1">
        <f t="array" ref="F3788">_xlfn.XLOOKUP(C3788,Account_Master!A:A,Account_Master!B:B,"Not on master")</f>
        <v>0</v>
      </c>
      <c r="G3788" cm="1">
        <f t="array" ref="G3788">_xlfn.XLOOKUP(C3788,Account_Master!A:A,Account_Master!C:C,"Not on master")</f>
        <v>0</v>
      </c>
      <c r="H3788" s="6">
        <v>0</v>
      </c>
      <c r="I3788" s="6">
        <v>4.5</v>
      </c>
      <c r="J3788" s="6">
        <f>I3788-H3788</f>
        <v>0</v>
      </c>
      <c r="K3788" s="5">
        <f>IF(H3788=0,"",J3788/H3788)</f>
        <v>0</v>
      </c>
      <c r="L3788">
        <f>IF(OR(AND(H3788=0,ABS(J3788)&gt;=0.01),AND(H3788&lt;&gt;0,ABS(K3788)&gt;VarianceThreshold)),"Review","OK")</f>
        <v>0</v>
      </c>
      <c r="M3788" t="s">
        <v>3038</v>
      </c>
    </row>
    <row r="3789" spans="1:13">
      <c r="A3789" t="s">
        <v>6</v>
      </c>
      <c r="B3789" t="s">
        <v>170</v>
      </c>
      <c r="C3789" t="s">
        <v>3076</v>
      </c>
      <c r="D3789" t="s">
        <v>206</v>
      </c>
      <c r="E3789" cm="1">
        <f t="array" ref="E3789">_xlfn.XLOOKUP(D3789,SKU_Master!A:A,SKU_Master!B:B,"Not on master")</f>
        <v>0</v>
      </c>
      <c r="F3789" cm="1">
        <f t="array" ref="F3789">_xlfn.XLOOKUP(C3789,Account_Master!A:A,Account_Master!B:B,"Not on master")</f>
        <v>0</v>
      </c>
      <c r="G3789" cm="1">
        <f t="array" ref="G3789">_xlfn.XLOOKUP(C3789,Account_Master!A:A,Account_Master!C:C,"Not on master")</f>
        <v>0</v>
      </c>
      <c r="H3789" s="6">
        <v>258</v>
      </c>
      <c r="I3789" s="6">
        <v>244.5</v>
      </c>
      <c r="J3789" s="6">
        <f>I3789-H3789</f>
        <v>0</v>
      </c>
      <c r="K3789" s="5">
        <f>IF(H3789=0,"",J3789/H3789)</f>
        <v>0</v>
      </c>
      <c r="L3789">
        <f>IF(OR(AND(H3789=0,ABS(J3789)&gt;=0.01),AND(H3789&lt;&gt;0,ABS(K3789)&gt;VarianceThreshold)),"Review","OK")</f>
        <v>0</v>
      </c>
      <c r="M3789" t="s">
        <v>3038</v>
      </c>
    </row>
    <row r="3790" spans="1:13">
      <c r="A3790" t="s">
        <v>6</v>
      </c>
      <c r="B3790" t="s">
        <v>170</v>
      </c>
      <c r="C3790" t="s">
        <v>3039</v>
      </c>
      <c r="D3790" t="s">
        <v>174</v>
      </c>
      <c r="E3790" cm="1">
        <f t="array" ref="E3790">_xlfn.XLOOKUP(D3790,SKU_Master!A:A,SKU_Master!B:B,"Not on master")</f>
        <v>0</v>
      </c>
      <c r="F3790" cm="1">
        <f t="array" ref="F3790">_xlfn.XLOOKUP(C3790,Account_Master!A:A,Account_Master!B:B,"Not on master")</f>
        <v>0</v>
      </c>
      <c r="G3790" cm="1">
        <f t="array" ref="G3790">_xlfn.XLOOKUP(C3790,Account_Master!A:A,Account_Master!C:C,"Not on master")</f>
        <v>0</v>
      </c>
      <c r="H3790" s="6">
        <v>4.5</v>
      </c>
      <c r="I3790" s="6">
        <v>4.5</v>
      </c>
      <c r="J3790" s="6">
        <f>I3790-H3790</f>
        <v>0</v>
      </c>
      <c r="K3790" s="5">
        <f>IF(H3790=0,"",J3790/H3790)</f>
        <v>0</v>
      </c>
      <c r="L3790">
        <f>IF(OR(AND(H3790=0,ABS(J3790)&gt;=0.01),AND(H3790&lt;&gt;0,ABS(K3790)&gt;VarianceThreshold)),"Review","OK")</f>
        <v>0</v>
      </c>
      <c r="M3790" t="s">
        <v>33</v>
      </c>
    </row>
    <row r="3791" spans="1:13">
      <c r="A3791" t="s">
        <v>6</v>
      </c>
      <c r="B3791" t="s">
        <v>170</v>
      </c>
      <c r="C3791" t="s">
        <v>3076</v>
      </c>
      <c r="D3791" t="s">
        <v>1399</v>
      </c>
      <c r="E3791" cm="1">
        <f t="array" ref="E3791">_xlfn.XLOOKUP(D3791,SKU_Master!A:A,SKU_Master!B:B,"Not on master")</f>
        <v>0</v>
      </c>
      <c r="F3791" cm="1">
        <f t="array" ref="F3791">_xlfn.XLOOKUP(C3791,Account_Master!A:A,Account_Master!B:B,"Not on master")</f>
        <v>0</v>
      </c>
      <c r="G3791" cm="1">
        <f t="array" ref="G3791">_xlfn.XLOOKUP(C3791,Account_Master!A:A,Account_Master!C:C,"Not on master")</f>
        <v>0</v>
      </c>
      <c r="H3791" s="6">
        <v>36.75</v>
      </c>
      <c r="I3791" s="6">
        <v>24.75</v>
      </c>
      <c r="J3791" s="6">
        <f>I3791-H3791</f>
        <v>0</v>
      </c>
      <c r="K3791" s="5">
        <f>IF(H3791=0,"",J3791/H3791)</f>
        <v>0</v>
      </c>
      <c r="L3791">
        <f>IF(OR(AND(H3791=0,ABS(J3791)&gt;=0.01),AND(H3791&lt;&gt;0,ABS(K3791)&gt;VarianceThreshold)),"Review","OK")</f>
        <v>0</v>
      </c>
      <c r="M3791" t="s">
        <v>3038</v>
      </c>
    </row>
    <row r="3792" spans="1:13">
      <c r="A3792" t="s">
        <v>6</v>
      </c>
      <c r="B3792" t="s">
        <v>170</v>
      </c>
      <c r="C3792" t="s">
        <v>3077</v>
      </c>
      <c r="D3792" t="s">
        <v>855</v>
      </c>
      <c r="E3792" cm="1">
        <f t="array" ref="E3792">_xlfn.XLOOKUP(D3792,SKU_Master!A:A,SKU_Master!B:B,"Not on master")</f>
        <v>0</v>
      </c>
      <c r="F3792" cm="1">
        <f t="array" ref="F3792">_xlfn.XLOOKUP(C3792,Account_Master!A:A,Account_Master!B:B,"Not on master")</f>
        <v>0</v>
      </c>
      <c r="G3792" cm="1">
        <f t="array" ref="G3792">_xlfn.XLOOKUP(C3792,Account_Master!A:A,Account_Master!C:C,"Not on master")</f>
        <v>0</v>
      </c>
      <c r="H3792" s="6">
        <v>6</v>
      </c>
      <c r="I3792" s="6">
        <v>4.5</v>
      </c>
      <c r="J3792" s="6">
        <f>I3792-H3792</f>
        <v>0</v>
      </c>
      <c r="K3792" s="5">
        <f>IF(H3792=0,"",J3792/H3792)</f>
        <v>0</v>
      </c>
      <c r="L3792">
        <f>IF(OR(AND(H3792=0,ABS(J3792)&gt;=0.01),AND(H3792&lt;&gt;0,ABS(K3792)&gt;VarianceThreshold)),"Review","OK")</f>
        <v>0</v>
      </c>
      <c r="M3792" t="s">
        <v>3038</v>
      </c>
    </row>
    <row r="3793" spans="1:13">
      <c r="A3793" t="s">
        <v>6</v>
      </c>
      <c r="B3793" t="s">
        <v>170</v>
      </c>
      <c r="C3793" t="s">
        <v>3078</v>
      </c>
      <c r="D3793" t="s">
        <v>1236</v>
      </c>
      <c r="E3793" cm="1">
        <f t="array" ref="E3793">_xlfn.XLOOKUP(D3793,SKU_Master!A:A,SKU_Master!B:B,"Not on master")</f>
        <v>0</v>
      </c>
      <c r="F3793" cm="1">
        <f t="array" ref="F3793">_xlfn.XLOOKUP(C3793,Account_Master!A:A,Account_Master!B:B,"Not on master")</f>
        <v>0</v>
      </c>
      <c r="G3793" cm="1">
        <f t="array" ref="G3793">_xlfn.XLOOKUP(C3793,Account_Master!A:A,Account_Master!C:C,"Not on master")</f>
        <v>0</v>
      </c>
      <c r="H3793" s="6">
        <v>1.5</v>
      </c>
      <c r="I3793" s="6">
        <v>1.5</v>
      </c>
      <c r="J3793" s="6">
        <f>I3793-H3793</f>
        <v>0</v>
      </c>
      <c r="K3793" s="5">
        <f>IF(H3793=0,"",J3793/H3793)</f>
        <v>0</v>
      </c>
      <c r="L3793">
        <f>IF(OR(AND(H3793=0,ABS(J3793)&gt;=0.01),AND(H3793&lt;&gt;0,ABS(K3793)&gt;VarianceThreshold)),"Review","OK")</f>
        <v>0</v>
      </c>
      <c r="M3793" t="s">
        <v>33</v>
      </c>
    </row>
    <row r="3794" spans="1:13">
      <c r="A3794" t="s">
        <v>6</v>
      </c>
      <c r="B3794" t="s">
        <v>170</v>
      </c>
      <c r="C3794" t="s">
        <v>3032</v>
      </c>
      <c r="D3794" t="s">
        <v>2584</v>
      </c>
      <c r="E3794" cm="1">
        <f t="array" ref="E3794">_xlfn.XLOOKUP(D3794,SKU_Master!A:A,SKU_Master!B:B,"Not on master")</f>
        <v>0</v>
      </c>
      <c r="F3794" cm="1">
        <f t="array" ref="F3794">_xlfn.XLOOKUP(C3794,Account_Master!A:A,Account_Master!B:B,"Not on master")</f>
        <v>0</v>
      </c>
      <c r="G3794" cm="1">
        <f t="array" ref="G3794">_xlfn.XLOOKUP(C3794,Account_Master!A:A,Account_Master!C:C,"Not on master")</f>
        <v>0</v>
      </c>
      <c r="H3794" s="6">
        <v>14</v>
      </c>
      <c r="I3794" s="6">
        <v>14</v>
      </c>
      <c r="J3794" s="6">
        <f>I3794-H3794</f>
        <v>0</v>
      </c>
      <c r="K3794" s="5">
        <f>IF(H3794=0,"",J3794/H3794)</f>
        <v>0</v>
      </c>
      <c r="L3794">
        <f>IF(OR(AND(H3794=0,ABS(J3794)&gt;=0.01),AND(H3794&lt;&gt;0,ABS(K3794)&gt;VarianceThreshold)),"Review","OK")</f>
        <v>0</v>
      </c>
      <c r="M3794" t="s">
        <v>33</v>
      </c>
    </row>
    <row r="3795" spans="1:13">
      <c r="A3795" t="s">
        <v>6</v>
      </c>
      <c r="B3795" t="s">
        <v>170</v>
      </c>
      <c r="C3795" t="s">
        <v>3079</v>
      </c>
      <c r="D3795" t="s">
        <v>1487</v>
      </c>
      <c r="E3795" cm="1">
        <f t="array" ref="E3795">_xlfn.XLOOKUP(D3795,SKU_Master!A:A,SKU_Master!B:B,"Not on master")</f>
        <v>0</v>
      </c>
      <c r="F3795" cm="1">
        <f t="array" ref="F3795">_xlfn.XLOOKUP(C3795,Account_Master!A:A,Account_Master!B:B,"Not on master")</f>
        <v>0</v>
      </c>
      <c r="G3795" cm="1">
        <f t="array" ref="G3795">_xlfn.XLOOKUP(C3795,Account_Master!A:A,Account_Master!C:C,"Not on master")</f>
        <v>0</v>
      </c>
      <c r="H3795" s="6">
        <v>26.25</v>
      </c>
      <c r="I3795" s="6">
        <v>21.75</v>
      </c>
      <c r="J3795" s="6">
        <f>I3795-H3795</f>
        <v>0</v>
      </c>
      <c r="K3795" s="5">
        <f>IF(H3795=0,"",J3795/H3795)</f>
        <v>0</v>
      </c>
      <c r="L3795">
        <f>IF(OR(AND(H3795=0,ABS(J3795)&gt;=0.01),AND(H3795&lt;&gt;0,ABS(K3795)&gt;VarianceThreshold)),"Review","OK")</f>
        <v>0</v>
      </c>
      <c r="M3795" t="s">
        <v>3038</v>
      </c>
    </row>
    <row r="3796" spans="1:13">
      <c r="A3796" t="s">
        <v>6</v>
      </c>
      <c r="B3796" t="s">
        <v>170</v>
      </c>
      <c r="C3796" t="s">
        <v>3031</v>
      </c>
      <c r="D3796" t="s">
        <v>3080</v>
      </c>
      <c r="E3796" cm="1">
        <f t="array" ref="E3796">_xlfn.XLOOKUP(D3796,SKU_Master!A:A,SKU_Master!B:B,"Not on master")</f>
        <v>0</v>
      </c>
      <c r="F3796" cm="1">
        <f t="array" ref="F3796">_xlfn.XLOOKUP(C3796,Account_Master!A:A,Account_Master!B:B,"Not on master")</f>
        <v>0</v>
      </c>
      <c r="G3796" cm="1">
        <f t="array" ref="G3796">_xlfn.XLOOKUP(C3796,Account_Master!A:A,Account_Master!C:C,"Not on master")</f>
        <v>0</v>
      </c>
      <c r="H3796" s="6">
        <v>18</v>
      </c>
      <c r="I3796" s="6">
        <v>18</v>
      </c>
      <c r="J3796" s="6">
        <f>I3796-H3796</f>
        <v>0</v>
      </c>
      <c r="K3796" s="5">
        <f>IF(H3796=0,"",J3796/H3796)</f>
        <v>0</v>
      </c>
      <c r="L3796">
        <f>IF(OR(AND(H3796=0,ABS(J3796)&gt;=0.01),AND(H3796&lt;&gt;0,ABS(K3796)&gt;VarianceThreshold)),"Review","OK")</f>
        <v>0</v>
      </c>
      <c r="M3796" t="s">
        <v>33</v>
      </c>
    </row>
    <row r="3797" spans="1:13">
      <c r="A3797" t="s">
        <v>6</v>
      </c>
      <c r="B3797" t="s">
        <v>170</v>
      </c>
      <c r="C3797" t="s">
        <v>33</v>
      </c>
      <c r="D3797" t="s">
        <v>3081</v>
      </c>
      <c r="E3797" cm="1">
        <f t="array" ref="E3797">_xlfn.XLOOKUP(D3797,SKU_Master!A:A,SKU_Master!B:B,"Not on master")</f>
        <v>0</v>
      </c>
      <c r="F3797" cm="1">
        <f t="array" ref="F3797">_xlfn.XLOOKUP(C3797,Account_Master!A:A,Account_Master!B:B,"Not on master")</f>
        <v>0</v>
      </c>
      <c r="G3797" cm="1">
        <f t="array" ref="G3797">_xlfn.XLOOKUP(C3797,Account_Master!A:A,Account_Master!C:C,"Not on master")</f>
        <v>0</v>
      </c>
      <c r="H3797" s="6">
        <v>0</v>
      </c>
      <c r="I3797" s="6">
        <v>2.25</v>
      </c>
      <c r="J3797" s="6">
        <f>I3797-H3797</f>
        <v>0</v>
      </c>
      <c r="K3797" s="5">
        <f>IF(H3797=0,"",J3797/H3797)</f>
        <v>0</v>
      </c>
      <c r="L3797">
        <f>IF(OR(AND(H3797=0,ABS(J3797)&gt;=0.01),AND(H3797&lt;&gt;0,ABS(K3797)&gt;VarianceThreshold)),"Review","OK")</f>
        <v>0</v>
      </c>
      <c r="M3797" t="s">
        <v>3038</v>
      </c>
    </row>
    <row r="3798" spans="1:13">
      <c r="A3798" t="s">
        <v>6</v>
      </c>
      <c r="B3798" t="s">
        <v>170</v>
      </c>
      <c r="C3798" t="s">
        <v>33</v>
      </c>
      <c r="D3798" t="s">
        <v>3082</v>
      </c>
      <c r="E3798" cm="1">
        <f t="array" ref="E3798">_xlfn.XLOOKUP(D3798,SKU_Master!A:A,SKU_Master!B:B,"Not on master")</f>
        <v>0</v>
      </c>
      <c r="F3798" cm="1">
        <f t="array" ref="F3798">_xlfn.XLOOKUP(C3798,Account_Master!A:A,Account_Master!B:B,"Not on master")</f>
        <v>0</v>
      </c>
      <c r="G3798" cm="1">
        <f t="array" ref="G3798">_xlfn.XLOOKUP(C3798,Account_Master!A:A,Account_Master!C:C,"Not on master")</f>
        <v>0</v>
      </c>
      <c r="H3798" s="6">
        <v>0</v>
      </c>
      <c r="I3798" s="6">
        <v>12</v>
      </c>
      <c r="J3798" s="6">
        <f>I3798-H3798</f>
        <v>0</v>
      </c>
      <c r="K3798" s="5">
        <f>IF(H3798=0,"",J3798/H3798)</f>
        <v>0</v>
      </c>
      <c r="L3798">
        <f>IF(OR(AND(H3798=0,ABS(J3798)&gt;=0.01),AND(H3798&lt;&gt;0,ABS(K3798)&gt;VarianceThreshold)),"Review","OK")</f>
        <v>0</v>
      </c>
      <c r="M3798" t="s">
        <v>3038</v>
      </c>
    </row>
    <row r="3799" spans="1:13">
      <c r="A3799" t="s">
        <v>6</v>
      </c>
      <c r="B3799" t="s">
        <v>180</v>
      </c>
      <c r="C3799" t="s">
        <v>3083</v>
      </c>
      <c r="D3799" t="s">
        <v>308</v>
      </c>
      <c r="E3799" cm="1">
        <f t="array" ref="E3799">_xlfn.XLOOKUP(D3799,SKU_Master!A:A,SKU_Master!B:B,"Not on master")</f>
        <v>0</v>
      </c>
      <c r="F3799" cm="1">
        <f t="array" ref="F3799">_xlfn.XLOOKUP(C3799,Account_Master!A:A,Account_Master!B:B,"Not on master")</f>
        <v>0</v>
      </c>
      <c r="G3799" cm="1">
        <f t="array" ref="G3799">_xlfn.XLOOKUP(C3799,Account_Master!A:A,Account_Master!C:C,"Not on master")</f>
        <v>0</v>
      </c>
      <c r="H3799" s="6">
        <v>28.5</v>
      </c>
      <c r="I3799" s="6">
        <v>28.5</v>
      </c>
      <c r="J3799" s="6">
        <f>I3799-H3799</f>
        <v>0</v>
      </c>
      <c r="K3799" s="5">
        <f>IF(H3799=0,"",J3799/H3799)</f>
        <v>0</v>
      </c>
      <c r="L3799">
        <f>IF(OR(AND(H3799=0,ABS(J3799)&gt;=0.01),AND(H3799&lt;&gt;0,ABS(K3799)&gt;VarianceThreshold)),"Review","OK")</f>
        <v>0</v>
      </c>
      <c r="M3799" t="s">
        <v>33</v>
      </c>
    </row>
    <row r="3800" spans="1:13">
      <c r="A3800" t="s">
        <v>6</v>
      </c>
      <c r="B3800" t="s">
        <v>180</v>
      </c>
      <c r="C3800" t="s">
        <v>3084</v>
      </c>
      <c r="D3800" t="s">
        <v>3085</v>
      </c>
      <c r="E3800" cm="1">
        <f t="array" ref="E3800">_xlfn.XLOOKUP(D3800,SKU_Master!A:A,SKU_Master!B:B,"Not on master")</f>
        <v>0</v>
      </c>
      <c r="F3800" cm="1">
        <f t="array" ref="F3800">_xlfn.XLOOKUP(C3800,Account_Master!A:A,Account_Master!B:B,"Not on master")</f>
        <v>0</v>
      </c>
      <c r="G3800" cm="1">
        <f t="array" ref="G3800">_xlfn.XLOOKUP(C3800,Account_Master!A:A,Account_Master!C:C,"Not on master")</f>
        <v>0</v>
      </c>
      <c r="H3800" s="6">
        <v>24</v>
      </c>
      <c r="I3800" s="6">
        <v>24</v>
      </c>
      <c r="J3800" s="6">
        <f>I3800-H3800</f>
        <v>0</v>
      </c>
      <c r="K3800" s="5">
        <f>IF(H3800=0,"",J3800/H3800)</f>
        <v>0</v>
      </c>
      <c r="L3800">
        <f>IF(OR(AND(H3800=0,ABS(J3800)&gt;=0.01),AND(H3800&lt;&gt;0,ABS(K3800)&gt;VarianceThreshold)),"Review","OK")</f>
        <v>0</v>
      </c>
      <c r="M3800" t="s">
        <v>33</v>
      </c>
    </row>
    <row r="3801" spans="1:13">
      <c r="A3801" t="s">
        <v>6</v>
      </c>
      <c r="B3801" t="s">
        <v>180</v>
      </c>
      <c r="C3801" t="s">
        <v>3073</v>
      </c>
      <c r="D3801" t="s">
        <v>677</v>
      </c>
      <c r="E3801" cm="1">
        <f t="array" ref="E3801">_xlfn.XLOOKUP(D3801,SKU_Master!A:A,SKU_Master!B:B,"Not on master")</f>
        <v>0</v>
      </c>
      <c r="F3801" cm="1">
        <f t="array" ref="F3801">_xlfn.XLOOKUP(C3801,Account_Master!A:A,Account_Master!B:B,"Not on master")</f>
        <v>0</v>
      </c>
      <c r="G3801" cm="1">
        <f t="array" ref="G3801">_xlfn.XLOOKUP(C3801,Account_Master!A:A,Account_Master!C:C,"Not on master")</f>
        <v>0</v>
      </c>
      <c r="H3801" s="6">
        <v>12</v>
      </c>
      <c r="I3801" s="6">
        <v>12</v>
      </c>
      <c r="J3801" s="6">
        <f>I3801-H3801</f>
        <v>0</v>
      </c>
      <c r="K3801" s="5">
        <f>IF(H3801=0,"",J3801/H3801)</f>
        <v>0</v>
      </c>
      <c r="L3801">
        <f>IF(OR(AND(H3801=0,ABS(J3801)&gt;=0.01),AND(H3801&lt;&gt;0,ABS(K3801)&gt;VarianceThreshold)),"Review","OK")</f>
        <v>0</v>
      </c>
      <c r="M3801" t="s">
        <v>33</v>
      </c>
    </row>
    <row r="3802" spans="1:13">
      <c r="A3802" t="s">
        <v>6</v>
      </c>
      <c r="B3802" t="s">
        <v>180</v>
      </c>
      <c r="C3802" t="s">
        <v>3046</v>
      </c>
      <c r="D3802" t="s">
        <v>1633</v>
      </c>
      <c r="E3802" cm="1">
        <f t="array" ref="E3802">_xlfn.XLOOKUP(D3802,SKU_Master!A:A,SKU_Master!B:B,"Not on master")</f>
        <v>0</v>
      </c>
      <c r="F3802" cm="1">
        <f t="array" ref="F3802">_xlfn.XLOOKUP(C3802,Account_Master!A:A,Account_Master!B:B,"Not on master")</f>
        <v>0</v>
      </c>
      <c r="G3802" cm="1">
        <f t="array" ref="G3802">_xlfn.XLOOKUP(C3802,Account_Master!A:A,Account_Master!C:C,"Not on master")</f>
        <v>0</v>
      </c>
      <c r="H3802" s="6">
        <v>1.12</v>
      </c>
      <c r="I3802" s="6">
        <v>1.12</v>
      </c>
      <c r="J3802" s="6">
        <f>I3802-H3802</f>
        <v>0</v>
      </c>
      <c r="K3802" s="5">
        <f>IF(H3802=0,"",J3802/H3802)</f>
        <v>0</v>
      </c>
      <c r="L3802">
        <f>IF(OR(AND(H3802=0,ABS(J3802)&gt;=0.01),AND(H3802&lt;&gt;0,ABS(K3802)&gt;VarianceThreshold)),"Review","OK")</f>
        <v>0</v>
      </c>
      <c r="M3802" t="s">
        <v>33</v>
      </c>
    </row>
    <row r="3803" spans="1:13">
      <c r="A3803" t="s">
        <v>6</v>
      </c>
      <c r="B3803" t="s">
        <v>180</v>
      </c>
      <c r="C3803" t="s">
        <v>3039</v>
      </c>
      <c r="D3803" t="s">
        <v>237</v>
      </c>
      <c r="E3803" cm="1">
        <f t="array" ref="E3803">_xlfn.XLOOKUP(D3803,SKU_Master!A:A,SKU_Master!B:B,"Not on master")</f>
        <v>0</v>
      </c>
      <c r="F3803" cm="1">
        <f t="array" ref="F3803">_xlfn.XLOOKUP(C3803,Account_Master!A:A,Account_Master!B:B,"Not on master")</f>
        <v>0</v>
      </c>
      <c r="G3803" cm="1">
        <f t="array" ref="G3803">_xlfn.XLOOKUP(C3803,Account_Master!A:A,Account_Master!C:C,"Not on master")</f>
        <v>0</v>
      </c>
      <c r="H3803" s="6">
        <v>35.25</v>
      </c>
      <c r="I3803" s="6">
        <v>26.25</v>
      </c>
      <c r="J3803" s="6">
        <f>I3803-H3803</f>
        <v>0</v>
      </c>
      <c r="K3803" s="5">
        <f>IF(H3803=0,"",J3803/H3803)</f>
        <v>0</v>
      </c>
      <c r="L3803">
        <f>IF(OR(AND(H3803=0,ABS(J3803)&gt;=0.01),AND(H3803&lt;&gt;0,ABS(K3803)&gt;VarianceThreshold)),"Review","OK")</f>
        <v>0</v>
      </c>
      <c r="M3803" t="s">
        <v>3038</v>
      </c>
    </row>
    <row r="3804" spans="1:13">
      <c r="A3804" t="s">
        <v>6</v>
      </c>
      <c r="B3804" t="s">
        <v>180</v>
      </c>
      <c r="C3804" t="s">
        <v>3086</v>
      </c>
      <c r="D3804" t="s">
        <v>1771</v>
      </c>
      <c r="E3804" cm="1">
        <f t="array" ref="E3804">_xlfn.XLOOKUP(D3804,SKU_Master!A:A,SKU_Master!B:B,"Not on master")</f>
        <v>0</v>
      </c>
      <c r="F3804" cm="1">
        <f t="array" ref="F3804">_xlfn.XLOOKUP(C3804,Account_Master!A:A,Account_Master!B:B,"Not on master")</f>
        <v>0</v>
      </c>
      <c r="G3804" cm="1">
        <f t="array" ref="G3804">_xlfn.XLOOKUP(C3804,Account_Master!A:A,Account_Master!C:C,"Not on master")</f>
        <v>0</v>
      </c>
      <c r="H3804" s="6">
        <v>7</v>
      </c>
      <c r="I3804" s="6">
        <v>7</v>
      </c>
      <c r="J3804" s="6">
        <f>I3804-H3804</f>
        <v>0</v>
      </c>
      <c r="K3804" s="5">
        <f>IF(H3804=0,"",J3804/H3804)</f>
        <v>0</v>
      </c>
      <c r="L3804">
        <f>IF(OR(AND(H3804=0,ABS(J3804)&gt;=0.01),AND(H3804&lt;&gt;0,ABS(K3804)&gt;VarianceThreshold)),"Review","OK")</f>
        <v>0</v>
      </c>
      <c r="M3804" t="s">
        <v>33</v>
      </c>
    </row>
    <row r="3805" spans="1:13">
      <c r="A3805" t="s">
        <v>6</v>
      </c>
      <c r="B3805" t="s">
        <v>180</v>
      </c>
      <c r="C3805" t="s">
        <v>3043</v>
      </c>
      <c r="D3805" t="s">
        <v>1490</v>
      </c>
      <c r="E3805" cm="1">
        <f t="array" ref="E3805">_xlfn.XLOOKUP(D3805,SKU_Master!A:A,SKU_Master!B:B,"Not on master")</f>
        <v>0</v>
      </c>
      <c r="F3805" cm="1">
        <f t="array" ref="F3805">_xlfn.XLOOKUP(C3805,Account_Master!A:A,Account_Master!B:B,"Not on master")</f>
        <v>0</v>
      </c>
      <c r="G3805" cm="1">
        <f t="array" ref="G3805">_xlfn.XLOOKUP(C3805,Account_Master!A:A,Account_Master!C:C,"Not on master")</f>
        <v>0</v>
      </c>
      <c r="H3805" s="6">
        <v>21.75</v>
      </c>
      <c r="I3805" s="6">
        <v>21.75</v>
      </c>
      <c r="J3805" s="6">
        <f>I3805-H3805</f>
        <v>0</v>
      </c>
      <c r="K3805" s="5">
        <f>IF(H3805=0,"",J3805/H3805)</f>
        <v>0</v>
      </c>
      <c r="L3805">
        <f>IF(OR(AND(H3805=0,ABS(J3805)&gt;=0.01),AND(H3805&lt;&gt;0,ABS(K3805)&gt;VarianceThreshold)),"Review","OK")</f>
        <v>0</v>
      </c>
      <c r="M3805" t="s">
        <v>33</v>
      </c>
    </row>
    <row r="3806" spans="1:13">
      <c r="A3806" t="s">
        <v>6</v>
      </c>
      <c r="B3806" t="s">
        <v>180</v>
      </c>
      <c r="C3806" t="s">
        <v>3039</v>
      </c>
      <c r="D3806" t="s">
        <v>764</v>
      </c>
      <c r="E3806" cm="1">
        <f t="array" ref="E3806">_xlfn.XLOOKUP(D3806,SKU_Master!A:A,SKU_Master!B:B,"Not on master")</f>
        <v>0</v>
      </c>
      <c r="F3806" cm="1">
        <f t="array" ref="F3806">_xlfn.XLOOKUP(C3806,Account_Master!A:A,Account_Master!B:B,"Not on master")</f>
        <v>0</v>
      </c>
      <c r="G3806" cm="1">
        <f t="array" ref="G3806">_xlfn.XLOOKUP(C3806,Account_Master!A:A,Account_Master!C:C,"Not on master")</f>
        <v>0</v>
      </c>
      <c r="H3806" s="6">
        <v>2.25</v>
      </c>
      <c r="I3806" s="6">
        <v>2.25</v>
      </c>
      <c r="J3806" s="6">
        <f>I3806-H3806</f>
        <v>0</v>
      </c>
      <c r="K3806" s="5">
        <f>IF(H3806=0,"",J3806/H3806)</f>
        <v>0</v>
      </c>
      <c r="L3806">
        <f>IF(OR(AND(H3806=0,ABS(J3806)&gt;=0.01),AND(H3806&lt;&gt;0,ABS(K3806)&gt;VarianceThreshold)),"Review","OK")</f>
        <v>0</v>
      </c>
      <c r="M3806" t="s">
        <v>33</v>
      </c>
    </row>
    <row r="3807" spans="1:13">
      <c r="A3807" t="s">
        <v>6</v>
      </c>
      <c r="B3807" t="s">
        <v>193</v>
      </c>
      <c r="C3807" t="s">
        <v>3062</v>
      </c>
      <c r="D3807" t="s">
        <v>228</v>
      </c>
      <c r="E3807" cm="1">
        <f t="array" ref="E3807">_xlfn.XLOOKUP(D3807,SKU_Master!A:A,SKU_Master!B:B,"Not on master")</f>
        <v>0</v>
      </c>
      <c r="F3807" cm="1">
        <f t="array" ref="F3807">_xlfn.XLOOKUP(C3807,Account_Master!A:A,Account_Master!B:B,"Not on master")</f>
        <v>0</v>
      </c>
      <c r="G3807" cm="1">
        <f t="array" ref="G3807">_xlfn.XLOOKUP(C3807,Account_Master!A:A,Account_Master!C:C,"Not on master")</f>
        <v>0</v>
      </c>
      <c r="H3807" s="6">
        <v>10.5</v>
      </c>
      <c r="I3807" s="6">
        <v>10.5</v>
      </c>
      <c r="J3807" s="6">
        <f>I3807-H3807</f>
        <v>0</v>
      </c>
      <c r="K3807" s="5">
        <f>IF(H3807=0,"",J3807/H3807)</f>
        <v>0</v>
      </c>
      <c r="L3807">
        <f>IF(OR(AND(H3807=0,ABS(J3807)&gt;=0.01),AND(H3807&lt;&gt;0,ABS(K3807)&gt;VarianceThreshold)),"Review","OK")</f>
        <v>0</v>
      </c>
      <c r="M3807" t="s">
        <v>33</v>
      </c>
    </row>
    <row r="3808" spans="1:13">
      <c r="A3808" t="s">
        <v>6</v>
      </c>
      <c r="B3808" t="s">
        <v>193</v>
      </c>
      <c r="C3808" t="s">
        <v>3039</v>
      </c>
      <c r="D3808" t="s">
        <v>736</v>
      </c>
      <c r="E3808" cm="1">
        <f t="array" ref="E3808">_xlfn.XLOOKUP(D3808,SKU_Master!A:A,SKU_Master!B:B,"Not on master")</f>
        <v>0</v>
      </c>
      <c r="F3808" cm="1">
        <f t="array" ref="F3808">_xlfn.XLOOKUP(C3808,Account_Master!A:A,Account_Master!B:B,"Not on master")</f>
        <v>0</v>
      </c>
      <c r="G3808" cm="1">
        <f t="array" ref="G3808">_xlfn.XLOOKUP(C3808,Account_Master!A:A,Account_Master!C:C,"Not on master")</f>
        <v>0</v>
      </c>
      <c r="H3808" s="6">
        <v>31.5</v>
      </c>
      <c r="I3808" s="6">
        <v>31.5</v>
      </c>
      <c r="J3808" s="6">
        <f>I3808-H3808</f>
        <v>0</v>
      </c>
      <c r="K3808" s="5">
        <f>IF(H3808=0,"",J3808/H3808)</f>
        <v>0</v>
      </c>
      <c r="L3808">
        <f>IF(OR(AND(H3808=0,ABS(J3808)&gt;=0.01),AND(H3808&lt;&gt;0,ABS(K3808)&gt;VarianceThreshold)),"Review","OK")</f>
        <v>0</v>
      </c>
      <c r="M3808" t="s">
        <v>33</v>
      </c>
    </row>
    <row r="3809" spans="1:13">
      <c r="A3809" t="s">
        <v>6</v>
      </c>
      <c r="B3809" t="s">
        <v>193</v>
      </c>
      <c r="C3809" t="s">
        <v>33</v>
      </c>
      <c r="D3809" t="s">
        <v>3087</v>
      </c>
      <c r="E3809" cm="1">
        <f t="array" ref="E3809">_xlfn.XLOOKUP(D3809,SKU_Master!A:A,SKU_Master!B:B,"Not on master")</f>
        <v>0</v>
      </c>
      <c r="F3809" cm="1">
        <f t="array" ref="F3809">_xlfn.XLOOKUP(C3809,Account_Master!A:A,Account_Master!B:B,"Not on master")</f>
        <v>0</v>
      </c>
      <c r="G3809" cm="1">
        <f t="array" ref="G3809">_xlfn.XLOOKUP(C3809,Account_Master!A:A,Account_Master!C:C,"Not on master")</f>
        <v>0</v>
      </c>
      <c r="H3809" s="6">
        <v>0</v>
      </c>
      <c r="I3809" s="6">
        <v>9</v>
      </c>
      <c r="J3809" s="6">
        <f>I3809-H3809</f>
        <v>0</v>
      </c>
      <c r="K3809" s="5">
        <f>IF(H3809=0,"",J3809/H3809)</f>
        <v>0</v>
      </c>
      <c r="L3809">
        <f>IF(OR(AND(H3809=0,ABS(J3809)&gt;=0.01),AND(H3809&lt;&gt;0,ABS(K3809)&gt;VarianceThreshold)),"Review","OK")</f>
        <v>0</v>
      </c>
      <c r="M3809" t="s">
        <v>3038</v>
      </c>
    </row>
    <row r="3810" spans="1:13">
      <c r="A3810" t="s">
        <v>6</v>
      </c>
      <c r="B3810" t="s">
        <v>205</v>
      </c>
      <c r="C3810" t="s">
        <v>3039</v>
      </c>
      <c r="D3810" t="s">
        <v>1290</v>
      </c>
      <c r="E3810" cm="1">
        <f t="array" ref="E3810">_xlfn.XLOOKUP(D3810,SKU_Master!A:A,SKU_Master!B:B,"Not on master")</f>
        <v>0</v>
      </c>
      <c r="F3810" cm="1">
        <f t="array" ref="F3810">_xlfn.XLOOKUP(C3810,Account_Master!A:A,Account_Master!B:B,"Not on master")</f>
        <v>0</v>
      </c>
      <c r="G3810" cm="1">
        <f t="array" ref="G3810">_xlfn.XLOOKUP(C3810,Account_Master!A:A,Account_Master!C:C,"Not on master")</f>
        <v>0</v>
      </c>
      <c r="H3810" s="6">
        <v>16.5</v>
      </c>
      <c r="I3810" s="6">
        <v>16.5</v>
      </c>
      <c r="J3810" s="6">
        <f>I3810-H3810</f>
        <v>0</v>
      </c>
      <c r="K3810" s="5">
        <f>IF(H3810=0,"",J3810/H3810)</f>
        <v>0</v>
      </c>
      <c r="L3810">
        <f>IF(OR(AND(H3810=0,ABS(J3810)&gt;=0.01),AND(H3810&lt;&gt;0,ABS(K3810)&gt;VarianceThreshold)),"Review","OK")</f>
        <v>0</v>
      </c>
      <c r="M3810" t="s">
        <v>33</v>
      </c>
    </row>
    <row r="3811" spans="1:13">
      <c r="A3811" t="s">
        <v>6</v>
      </c>
      <c r="B3811" t="s">
        <v>205</v>
      </c>
      <c r="C3811" t="s">
        <v>3088</v>
      </c>
      <c r="D3811" t="s">
        <v>1292</v>
      </c>
      <c r="E3811" cm="1">
        <f t="array" ref="E3811">_xlfn.XLOOKUP(D3811,SKU_Master!A:A,SKU_Master!B:B,"Not on master")</f>
        <v>0</v>
      </c>
      <c r="F3811" cm="1">
        <f t="array" ref="F3811">_xlfn.XLOOKUP(C3811,Account_Master!A:A,Account_Master!B:B,"Not on master")</f>
        <v>0</v>
      </c>
      <c r="G3811" cm="1">
        <f t="array" ref="G3811">_xlfn.XLOOKUP(C3811,Account_Master!A:A,Account_Master!C:C,"Not on master")</f>
        <v>0</v>
      </c>
      <c r="H3811" s="6">
        <v>3</v>
      </c>
      <c r="I3811" s="6">
        <v>3</v>
      </c>
      <c r="J3811" s="6">
        <f>I3811-H3811</f>
        <v>0</v>
      </c>
      <c r="K3811" s="5">
        <f>IF(H3811=0,"",J3811/H3811)</f>
        <v>0</v>
      </c>
      <c r="L3811">
        <f>IF(OR(AND(H3811=0,ABS(J3811)&gt;=0.01),AND(H3811&lt;&gt;0,ABS(K3811)&gt;VarianceThreshold)),"Review","OK")</f>
        <v>0</v>
      </c>
      <c r="M3811" t="s">
        <v>33</v>
      </c>
    </row>
    <row r="3812" spans="1:13">
      <c r="A3812" t="s">
        <v>6</v>
      </c>
      <c r="B3812" t="s">
        <v>205</v>
      </c>
      <c r="C3812" t="s">
        <v>3023</v>
      </c>
      <c r="D3812" t="s">
        <v>2583</v>
      </c>
      <c r="E3812" cm="1">
        <f t="array" ref="E3812">_xlfn.XLOOKUP(D3812,SKU_Master!A:A,SKU_Master!B:B,"Not on master")</f>
        <v>0</v>
      </c>
      <c r="F3812" cm="1">
        <f t="array" ref="F3812">_xlfn.XLOOKUP(C3812,Account_Master!A:A,Account_Master!B:B,"Not on master")</f>
        <v>0</v>
      </c>
      <c r="G3812" cm="1">
        <f t="array" ref="G3812">_xlfn.XLOOKUP(C3812,Account_Master!A:A,Account_Master!C:C,"Not on master")</f>
        <v>0</v>
      </c>
      <c r="H3812" s="6">
        <v>13</v>
      </c>
      <c r="I3812" s="6">
        <v>13</v>
      </c>
      <c r="J3812" s="6">
        <f>I3812-H3812</f>
        <v>0</v>
      </c>
      <c r="K3812" s="5">
        <f>IF(H3812=0,"",J3812/H3812)</f>
        <v>0</v>
      </c>
      <c r="L3812">
        <f>IF(OR(AND(H3812=0,ABS(J3812)&gt;=0.01),AND(H3812&lt;&gt;0,ABS(K3812)&gt;VarianceThreshold)),"Review","OK")</f>
        <v>0</v>
      </c>
      <c r="M3812" t="s">
        <v>33</v>
      </c>
    </row>
    <row r="3813" spans="1:13">
      <c r="A3813" t="s">
        <v>6</v>
      </c>
      <c r="B3813" t="s">
        <v>205</v>
      </c>
      <c r="C3813" t="s">
        <v>3029</v>
      </c>
      <c r="D3813" t="s">
        <v>294</v>
      </c>
      <c r="E3813" cm="1">
        <f t="array" ref="E3813">_xlfn.XLOOKUP(D3813,SKU_Master!A:A,SKU_Master!B:B,"Not on master")</f>
        <v>0</v>
      </c>
      <c r="F3813" cm="1">
        <f t="array" ref="F3813">_xlfn.XLOOKUP(C3813,Account_Master!A:A,Account_Master!B:B,"Not on master")</f>
        <v>0</v>
      </c>
      <c r="G3813" cm="1">
        <f t="array" ref="G3813">_xlfn.XLOOKUP(C3813,Account_Master!A:A,Account_Master!C:C,"Not on master")</f>
        <v>0</v>
      </c>
      <c r="H3813" s="6">
        <v>48</v>
      </c>
      <c r="I3813" s="6">
        <v>48</v>
      </c>
      <c r="J3813" s="6">
        <f>I3813-H3813</f>
        <v>0</v>
      </c>
      <c r="K3813" s="5">
        <f>IF(H3813=0,"",J3813/H3813)</f>
        <v>0</v>
      </c>
      <c r="L3813">
        <f>IF(OR(AND(H3813=0,ABS(J3813)&gt;=0.01),AND(H3813&lt;&gt;0,ABS(K3813)&gt;VarianceThreshold)),"Review","OK")</f>
        <v>0</v>
      </c>
      <c r="M3813" t="s">
        <v>33</v>
      </c>
    </row>
    <row r="3814" spans="1:13">
      <c r="A3814" t="s">
        <v>6</v>
      </c>
      <c r="B3814" t="s">
        <v>205</v>
      </c>
      <c r="C3814" t="s">
        <v>3029</v>
      </c>
      <c r="D3814" t="s">
        <v>1928</v>
      </c>
      <c r="E3814" cm="1">
        <f t="array" ref="E3814">_xlfn.XLOOKUP(D3814,SKU_Master!A:A,SKU_Master!B:B,"Not on master")</f>
        <v>0</v>
      </c>
      <c r="F3814" cm="1">
        <f t="array" ref="F3814">_xlfn.XLOOKUP(C3814,Account_Master!A:A,Account_Master!B:B,"Not on master")</f>
        <v>0</v>
      </c>
      <c r="G3814" cm="1">
        <f t="array" ref="G3814">_xlfn.XLOOKUP(C3814,Account_Master!A:A,Account_Master!C:C,"Not on master")</f>
        <v>0</v>
      </c>
      <c r="H3814" s="6">
        <v>4.5</v>
      </c>
      <c r="I3814" s="6">
        <v>4.5</v>
      </c>
      <c r="J3814" s="6">
        <f>I3814-H3814</f>
        <v>0</v>
      </c>
      <c r="K3814" s="5">
        <f>IF(H3814=0,"",J3814/H3814)</f>
        <v>0</v>
      </c>
      <c r="L3814">
        <f>IF(OR(AND(H3814=0,ABS(J3814)&gt;=0.01),AND(H3814&lt;&gt;0,ABS(K3814)&gt;VarianceThreshold)),"Review","OK")</f>
        <v>0</v>
      </c>
      <c r="M3814" t="s">
        <v>33</v>
      </c>
    </row>
    <row r="3815" spans="1:13">
      <c r="A3815" t="s">
        <v>6</v>
      </c>
      <c r="B3815" t="s">
        <v>205</v>
      </c>
      <c r="C3815" t="s">
        <v>3066</v>
      </c>
      <c r="D3815" t="s">
        <v>81</v>
      </c>
      <c r="E3815" cm="1">
        <f t="array" ref="E3815">_xlfn.XLOOKUP(D3815,SKU_Master!A:A,SKU_Master!B:B,"Not on master")</f>
        <v>0</v>
      </c>
      <c r="F3815" cm="1">
        <f t="array" ref="F3815">_xlfn.XLOOKUP(C3815,Account_Master!A:A,Account_Master!B:B,"Not on master")</f>
        <v>0</v>
      </c>
      <c r="G3815" cm="1">
        <f t="array" ref="G3815">_xlfn.XLOOKUP(C3815,Account_Master!A:A,Account_Master!C:C,"Not on master")</f>
        <v>0</v>
      </c>
      <c r="H3815" s="6">
        <v>36</v>
      </c>
      <c r="I3815" s="6">
        <v>27</v>
      </c>
      <c r="J3815" s="6">
        <f>I3815-H3815</f>
        <v>0</v>
      </c>
      <c r="K3815" s="5">
        <f>IF(H3815=0,"",J3815/H3815)</f>
        <v>0</v>
      </c>
      <c r="L3815">
        <f>IF(OR(AND(H3815=0,ABS(J3815)&gt;=0.01),AND(H3815&lt;&gt;0,ABS(K3815)&gt;VarianceThreshold)),"Review","OK")</f>
        <v>0</v>
      </c>
      <c r="M3815" t="s">
        <v>3038</v>
      </c>
    </row>
    <row r="3816" spans="1:13">
      <c r="A3816" t="s">
        <v>6</v>
      </c>
      <c r="B3816" t="s">
        <v>205</v>
      </c>
      <c r="C3816" t="s">
        <v>3089</v>
      </c>
      <c r="D3816" t="s">
        <v>459</v>
      </c>
      <c r="E3816" cm="1">
        <f t="array" ref="E3816">_xlfn.XLOOKUP(D3816,SKU_Master!A:A,SKU_Master!B:B,"Not on master")</f>
        <v>0</v>
      </c>
      <c r="F3816" cm="1">
        <f t="array" ref="F3816">_xlfn.XLOOKUP(C3816,Account_Master!A:A,Account_Master!B:B,"Not on master")</f>
        <v>0</v>
      </c>
      <c r="G3816" cm="1">
        <f t="array" ref="G3816">_xlfn.XLOOKUP(C3816,Account_Master!A:A,Account_Master!C:C,"Not on master")</f>
        <v>0</v>
      </c>
      <c r="H3816" s="6">
        <v>4.5</v>
      </c>
      <c r="I3816" s="6">
        <v>4.5</v>
      </c>
      <c r="J3816" s="6">
        <f>I3816-H3816</f>
        <v>0</v>
      </c>
      <c r="K3816" s="5">
        <f>IF(H3816=0,"",J3816/H3816)</f>
        <v>0</v>
      </c>
      <c r="L3816">
        <f>IF(OR(AND(H3816=0,ABS(J3816)&gt;=0.01),AND(H3816&lt;&gt;0,ABS(K3816)&gt;VarianceThreshold)),"Review","OK")</f>
        <v>0</v>
      </c>
      <c r="M3816" t="s">
        <v>33</v>
      </c>
    </row>
    <row r="3817" spans="1:13">
      <c r="A3817" t="s">
        <v>6</v>
      </c>
      <c r="B3817" t="s">
        <v>205</v>
      </c>
      <c r="C3817" t="s">
        <v>3023</v>
      </c>
      <c r="D3817" t="s">
        <v>2949</v>
      </c>
      <c r="E3817" cm="1">
        <f t="array" ref="E3817">_xlfn.XLOOKUP(D3817,SKU_Master!A:A,SKU_Master!B:B,"Not on master")</f>
        <v>0</v>
      </c>
      <c r="F3817" cm="1">
        <f t="array" ref="F3817">_xlfn.XLOOKUP(C3817,Account_Master!A:A,Account_Master!B:B,"Not on master")</f>
        <v>0</v>
      </c>
      <c r="G3817" cm="1">
        <f t="array" ref="G3817">_xlfn.XLOOKUP(C3817,Account_Master!A:A,Account_Master!C:C,"Not on master")</f>
        <v>0</v>
      </c>
      <c r="H3817" s="6">
        <v>9</v>
      </c>
      <c r="I3817" s="6">
        <v>9</v>
      </c>
      <c r="J3817" s="6">
        <f>I3817-H3817</f>
        <v>0</v>
      </c>
      <c r="K3817" s="5">
        <f>IF(H3817=0,"",J3817/H3817)</f>
        <v>0</v>
      </c>
      <c r="L3817">
        <f>IF(OR(AND(H3817=0,ABS(J3817)&gt;=0.01),AND(H3817&lt;&gt;0,ABS(K3817)&gt;VarianceThreshold)),"Review","OK")</f>
        <v>0</v>
      </c>
      <c r="M3817" t="s">
        <v>33</v>
      </c>
    </row>
    <row r="3818" spans="1:13">
      <c r="A3818" t="s">
        <v>6</v>
      </c>
      <c r="B3818" t="s">
        <v>205</v>
      </c>
      <c r="C3818" t="s">
        <v>3090</v>
      </c>
      <c r="D3818" t="s">
        <v>1349</v>
      </c>
      <c r="E3818" cm="1">
        <f t="array" ref="E3818">_xlfn.XLOOKUP(D3818,SKU_Master!A:A,SKU_Master!B:B,"Not on master")</f>
        <v>0</v>
      </c>
      <c r="F3818" cm="1">
        <f t="array" ref="F3818">_xlfn.XLOOKUP(C3818,Account_Master!A:A,Account_Master!B:B,"Not on master")</f>
        <v>0</v>
      </c>
      <c r="G3818" cm="1">
        <f t="array" ref="G3818">_xlfn.XLOOKUP(C3818,Account_Master!A:A,Account_Master!C:C,"Not on master")</f>
        <v>0</v>
      </c>
      <c r="H3818" s="6">
        <v>46.5</v>
      </c>
      <c r="I3818" s="6">
        <v>45</v>
      </c>
      <c r="J3818" s="6">
        <f>I3818-H3818</f>
        <v>0</v>
      </c>
      <c r="K3818" s="5">
        <f>IF(H3818=0,"",J3818/H3818)</f>
        <v>0</v>
      </c>
      <c r="L3818">
        <f>IF(OR(AND(H3818=0,ABS(J3818)&gt;=0.01),AND(H3818&lt;&gt;0,ABS(K3818)&gt;VarianceThreshold)),"Review","OK")</f>
        <v>0</v>
      </c>
      <c r="M3818" t="s">
        <v>33</v>
      </c>
    </row>
    <row r="3819" spans="1:13">
      <c r="A3819" t="s">
        <v>6</v>
      </c>
      <c r="B3819" t="s">
        <v>205</v>
      </c>
      <c r="C3819" t="s">
        <v>33</v>
      </c>
      <c r="D3819" t="s">
        <v>3091</v>
      </c>
      <c r="E3819" cm="1">
        <f t="array" ref="E3819">_xlfn.XLOOKUP(D3819,SKU_Master!A:A,SKU_Master!B:B,"Not on master")</f>
        <v>0</v>
      </c>
      <c r="F3819" cm="1">
        <f t="array" ref="F3819">_xlfn.XLOOKUP(C3819,Account_Master!A:A,Account_Master!B:B,"Not on master")</f>
        <v>0</v>
      </c>
      <c r="G3819" cm="1">
        <f t="array" ref="G3819">_xlfn.XLOOKUP(C3819,Account_Master!A:A,Account_Master!C:C,"Not on master")</f>
        <v>0</v>
      </c>
      <c r="H3819" s="6">
        <v>0</v>
      </c>
      <c r="I3819" s="6">
        <v>1.5</v>
      </c>
      <c r="J3819" s="6">
        <f>I3819-H3819</f>
        <v>0</v>
      </c>
      <c r="K3819" s="5">
        <f>IF(H3819=0,"",J3819/H3819)</f>
        <v>0</v>
      </c>
      <c r="L3819">
        <f>IF(OR(AND(H3819=0,ABS(J3819)&gt;=0.01),AND(H3819&lt;&gt;0,ABS(K3819)&gt;VarianceThreshold)),"Review","OK")</f>
        <v>0</v>
      </c>
      <c r="M3819" t="s">
        <v>3038</v>
      </c>
    </row>
    <row r="3820" spans="1:13">
      <c r="A3820" t="s">
        <v>6</v>
      </c>
      <c r="B3820" t="s">
        <v>216</v>
      </c>
      <c r="C3820" t="s">
        <v>3073</v>
      </c>
      <c r="D3820" t="s">
        <v>1477</v>
      </c>
      <c r="E3820" cm="1">
        <f t="array" ref="E3820">_xlfn.XLOOKUP(D3820,SKU_Master!A:A,SKU_Master!B:B,"Not on master")</f>
        <v>0</v>
      </c>
      <c r="F3820" cm="1">
        <f t="array" ref="F3820">_xlfn.XLOOKUP(C3820,Account_Master!A:A,Account_Master!B:B,"Not on master")</f>
        <v>0</v>
      </c>
      <c r="G3820" cm="1">
        <f t="array" ref="G3820">_xlfn.XLOOKUP(C3820,Account_Master!A:A,Account_Master!C:C,"Not on master")</f>
        <v>0</v>
      </c>
      <c r="H3820" s="6">
        <v>2.25</v>
      </c>
      <c r="I3820" s="6">
        <v>2.25</v>
      </c>
      <c r="J3820" s="6">
        <f>I3820-H3820</f>
        <v>0</v>
      </c>
      <c r="K3820" s="5">
        <f>IF(H3820=0,"",J3820/H3820)</f>
        <v>0</v>
      </c>
      <c r="L3820">
        <f>IF(OR(AND(H3820=0,ABS(J3820)&gt;=0.01),AND(H3820&lt;&gt;0,ABS(K3820)&gt;VarianceThreshold)),"Review","OK")</f>
        <v>0</v>
      </c>
      <c r="M3820" t="s">
        <v>33</v>
      </c>
    </row>
    <row r="3821" spans="1:13">
      <c r="A3821" t="s">
        <v>6</v>
      </c>
      <c r="B3821" t="s">
        <v>216</v>
      </c>
      <c r="C3821" t="s">
        <v>3092</v>
      </c>
      <c r="D3821" t="s">
        <v>2684</v>
      </c>
      <c r="E3821" cm="1">
        <f t="array" ref="E3821">_xlfn.XLOOKUP(D3821,SKU_Master!A:A,SKU_Master!B:B,"Not on master")</f>
        <v>0</v>
      </c>
      <c r="F3821" cm="1">
        <f t="array" ref="F3821">_xlfn.XLOOKUP(C3821,Account_Master!A:A,Account_Master!B:B,"Not on master")</f>
        <v>0</v>
      </c>
      <c r="G3821" cm="1">
        <f t="array" ref="G3821">_xlfn.XLOOKUP(C3821,Account_Master!A:A,Account_Master!C:C,"Not on master")</f>
        <v>0</v>
      </c>
      <c r="H3821" s="6">
        <v>3</v>
      </c>
      <c r="I3821" s="6">
        <v>3</v>
      </c>
      <c r="J3821" s="6">
        <f>I3821-H3821</f>
        <v>0</v>
      </c>
      <c r="K3821" s="5">
        <f>IF(H3821=0,"",J3821/H3821)</f>
        <v>0</v>
      </c>
      <c r="L3821">
        <f>IF(OR(AND(H3821=0,ABS(J3821)&gt;=0.01),AND(H3821&lt;&gt;0,ABS(K3821)&gt;VarianceThreshold)),"Review","OK")</f>
        <v>0</v>
      </c>
      <c r="M3821" t="s">
        <v>33</v>
      </c>
    </row>
    <row r="3822" spans="1:13">
      <c r="A3822" t="s">
        <v>6</v>
      </c>
      <c r="B3822" t="s">
        <v>216</v>
      </c>
      <c r="C3822" t="s">
        <v>3039</v>
      </c>
      <c r="D3822" t="s">
        <v>602</v>
      </c>
      <c r="E3822" cm="1">
        <f t="array" ref="E3822">_xlfn.XLOOKUP(D3822,SKU_Master!A:A,SKU_Master!B:B,"Not on master")</f>
        <v>0</v>
      </c>
      <c r="F3822" cm="1">
        <f t="array" ref="F3822">_xlfn.XLOOKUP(C3822,Account_Master!A:A,Account_Master!B:B,"Not on master")</f>
        <v>0</v>
      </c>
      <c r="G3822" cm="1">
        <f t="array" ref="G3822">_xlfn.XLOOKUP(C3822,Account_Master!A:A,Account_Master!C:C,"Not on master")</f>
        <v>0</v>
      </c>
      <c r="H3822" s="6">
        <v>0.75</v>
      </c>
      <c r="I3822" s="6">
        <v>0</v>
      </c>
      <c r="J3822" s="6">
        <f>I3822-H3822</f>
        <v>0</v>
      </c>
      <c r="K3822" s="5">
        <f>IF(H3822=0,"",J3822/H3822)</f>
        <v>0</v>
      </c>
      <c r="L3822">
        <f>IF(OR(AND(H3822=0,ABS(J3822)&gt;=0.01),AND(H3822&lt;&gt;0,ABS(K3822)&gt;VarianceThreshold)),"Review","OK")</f>
        <v>0</v>
      </c>
      <c r="M3822" t="s">
        <v>3038</v>
      </c>
    </row>
    <row r="3823" spans="1:13">
      <c r="A3823" t="s">
        <v>6</v>
      </c>
      <c r="B3823" t="s">
        <v>216</v>
      </c>
      <c r="C3823" t="s">
        <v>3062</v>
      </c>
      <c r="D3823" t="s">
        <v>332</v>
      </c>
      <c r="E3823" cm="1">
        <f t="array" ref="E3823">_xlfn.XLOOKUP(D3823,SKU_Master!A:A,SKU_Master!B:B,"Not on master")</f>
        <v>0</v>
      </c>
      <c r="F3823" cm="1">
        <f t="array" ref="F3823">_xlfn.XLOOKUP(C3823,Account_Master!A:A,Account_Master!B:B,"Not on master")</f>
        <v>0</v>
      </c>
      <c r="G3823" cm="1">
        <f t="array" ref="G3823">_xlfn.XLOOKUP(C3823,Account_Master!A:A,Account_Master!C:C,"Not on master")</f>
        <v>0</v>
      </c>
      <c r="H3823" s="6">
        <v>0.75</v>
      </c>
      <c r="I3823" s="6">
        <v>0.75</v>
      </c>
      <c r="J3823" s="6">
        <f>I3823-H3823</f>
        <v>0</v>
      </c>
      <c r="K3823" s="5">
        <f>IF(H3823=0,"",J3823/H3823)</f>
        <v>0</v>
      </c>
      <c r="L3823">
        <f>IF(OR(AND(H3823=0,ABS(J3823)&gt;=0.01),AND(H3823&lt;&gt;0,ABS(K3823)&gt;VarianceThreshold)),"Review","OK")</f>
        <v>0</v>
      </c>
      <c r="M3823" t="s">
        <v>33</v>
      </c>
    </row>
    <row r="3824" spans="1:13">
      <c r="A3824" t="s">
        <v>6</v>
      </c>
      <c r="B3824" t="s">
        <v>216</v>
      </c>
      <c r="C3824" t="s">
        <v>3093</v>
      </c>
      <c r="D3824" t="s">
        <v>2339</v>
      </c>
      <c r="E3824" cm="1">
        <f t="array" ref="E3824">_xlfn.XLOOKUP(D3824,SKU_Master!A:A,SKU_Master!B:B,"Not on master")</f>
        <v>0</v>
      </c>
      <c r="F3824" cm="1">
        <f t="array" ref="F3824">_xlfn.XLOOKUP(C3824,Account_Master!A:A,Account_Master!B:B,"Not on master")</f>
        <v>0</v>
      </c>
      <c r="G3824" cm="1">
        <f t="array" ref="G3824">_xlfn.XLOOKUP(C3824,Account_Master!A:A,Account_Master!C:C,"Not on master")</f>
        <v>0</v>
      </c>
      <c r="H3824" s="6">
        <v>2.25</v>
      </c>
      <c r="I3824" s="6">
        <v>2.25</v>
      </c>
      <c r="J3824" s="6">
        <f>I3824-H3824</f>
        <v>0</v>
      </c>
      <c r="K3824" s="5">
        <f>IF(H3824=0,"",J3824/H3824)</f>
        <v>0</v>
      </c>
      <c r="L3824">
        <f>IF(OR(AND(H3824=0,ABS(J3824)&gt;=0.01),AND(H3824&lt;&gt;0,ABS(K3824)&gt;VarianceThreshold)),"Review","OK")</f>
        <v>0</v>
      </c>
      <c r="M3824" t="s">
        <v>33</v>
      </c>
    </row>
    <row r="3825" spans="1:13">
      <c r="A3825" t="s">
        <v>6</v>
      </c>
      <c r="B3825" t="s">
        <v>226</v>
      </c>
      <c r="C3825" t="s">
        <v>3079</v>
      </c>
      <c r="D3825" t="s">
        <v>853</v>
      </c>
      <c r="E3825" cm="1">
        <f t="array" ref="E3825">_xlfn.XLOOKUP(D3825,SKU_Master!A:A,SKU_Master!B:B,"Not on master")</f>
        <v>0</v>
      </c>
      <c r="F3825" cm="1">
        <f t="array" ref="F3825">_xlfn.XLOOKUP(C3825,Account_Master!A:A,Account_Master!B:B,"Not on master")</f>
        <v>0</v>
      </c>
      <c r="G3825" cm="1">
        <f t="array" ref="G3825">_xlfn.XLOOKUP(C3825,Account_Master!A:A,Account_Master!C:C,"Not on master")</f>
        <v>0</v>
      </c>
      <c r="H3825" s="6">
        <v>873.25</v>
      </c>
      <c r="I3825" s="6">
        <v>852.25</v>
      </c>
      <c r="J3825" s="6">
        <f>I3825-H3825</f>
        <v>0</v>
      </c>
      <c r="K3825" s="5">
        <f>IF(H3825=0,"",J3825/H3825)</f>
        <v>0</v>
      </c>
      <c r="L3825">
        <f>IF(OR(AND(H3825=0,ABS(J3825)&gt;=0.01),AND(H3825&lt;&gt;0,ABS(K3825)&gt;VarianceThreshold)),"Review","OK")</f>
        <v>0</v>
      </c>
      <c r="M3825" t="s">
        <v>33</v>
      </c>
    </row>
    <row r="3826" spans="1:13">
      <c r="A3826" t="s">
        <v>6</v>
      </c>
      <c r="B3826" t="s">
        <v>226</v>
      </c>
      <c r="C3826" t="s">
        <v>1893</v>
      </c>
      <c r="D3826" t="s">
        <v>2184</v>
      </c>
      <c r="E3826" cm="1">
        <f t="array" ref="E3826">_xlfn.XLOOKUP(D3826,SKU_Master!A:A,SKU_Master!B:B,"Not on master")</f>
        <v>0</v>
      </c>
      <c r="F3826" cm="1">
        <f t="array" ref="F3826">_xlfn.XLOOKUP(C3826,Account_Master!A:A,Account_Master!B:B,"Not on master")</f>
        <v>0</v>
      </c>
      <c r="G3826" cm="1">
        <f t="array" ref="G3826">_xlfn.XLOOKUP(C3826,Account_Master!A:A,Account_Master!C:C,"Not on master")</f>
        <v>0</v>
      </c>
      <c r="H3826" s="6">
        <v>4</v>
      </c>
      <c r="I3826" s="6">
        <v>0</v>
      </c>
      <c r="J3826" s="6">
        <f>I3826-H3826</f>
        <v>0</v>
      </c>
      <c r="K3826" s="5">
        <f>IF(H3826=0,"",J3826/H3826)</f>
        <v>0</v>
      </c>
      <c r="L3826">
        <f>IF(OR(AND(H3826=0,ABS(J3826)&gt;=0.01),AND(H3826&lt;&gt;0,ABS(K3826)&gt;VarianceThreshold)),"Review","OK")</f>
        <v>0</v>
      </c>
      <c r="M3826" t="s">
        <v>3038</v>
      </c>
    </row>
    <row r="3827" spans="1:13">
      <c r="A3827" t="s">
        <v>6</v>
      </c>
      <c r="B3827" t="s">
        <v>226</v>
      </c>
      <c r="C3827" t="s">
        <v>3039</v>
      </c>
      <c r="D3827" t="s">
        <v>1785</v>
      </c>
      <c r="E3827" cm="1">
        <f t="array" ref="E3827">_xlfn.XLOOKUP(D3827,SKU_Master!A:A,SKU_Master!B:B,"Not on master")</f>
        <v>0</v>
      </c>
      <c r="F3827" cm="1">
        <f t="array" ref="F3827">_xlfn.XLOOKUP(C3827,Account_Master!A:A,Account_Master!B:B,"Not on master")</f>
        <v>0</v>
      </c>
      <c r="G3827" cm="1">
        <f t="array" ref="G3827">_xlfn.XLOOKUP(C3827,Account_Master!A:A,Account_Master!C:C,"Not on master")</f>
        <v>0</v>
      </c>
      <c r="H3827" s="6">
        <v>47.25</v>
      </c>
      <c r="I3827" s="6">
        <v>47.25</v>
      </c>
      <c r="J3827" s="6">
        <f>I3827-H3827</f>
        <v>0</v>
      </c>
      <c r="K3827" s="5">
        <f>IF(H3827=0,"",J3827/H3827)</f>
        <v>0</v>
      </c>
      <c r="L3827">
        <f>IF(OR(AND(H3827=0,ABS(J3827)&gt;=0.01),AND(H3827&lt;&gt;0,ABS(K3827)&gt;VarianceThreshold)),"Review","OK")</f>
        <v>0</v>
      </c>
      <c r="M3827" t="s">
        <v>33</v>
      </c>
    </row>
    <row r="3828" spans="1:13">
      <c r="A3828" t="s">
        <v>6</v>
      </c>
      <c r="B3828" t="s">
        <v>226</v>
      </c>
      <c r="C3828" t="s">
        <v>3094</v>
      </c>
      <c r="D3828" t="s">
        <v>947</v>
      </c>
      <c r="E3828" cm="1">
        <f t="array" ref="E3828">_xlfn.XLOOKUP(D3828,SKU_Master!A:A,SKU_Master!B:B,"Not on master")</f>
        <v>0</v>
      </c>
      <c r="F3828" cm="1">
        <f t="array" ref="F3828">_xlfn.XLOOKUP(C3828,Account_Master!A:A,Account_Master!B:B,"Not on master")</f>
        <v>0</v>
      </c>
      <c r="G3828" cm="1">
        <f t="array" ref="G3828">_xlfn.XLOOKUP(C3828,Account_Master!A:A,Account_Master!C:C,"Not on master")</f>
        <v>0</v>
      </c>
      <c r="H3828" s="6">
        <v>21</v>
      </c>
      <c r="I3828" s="6">
        <v>21</v>
      </c>
      <c r="J3828" s="6">
        <f>I3828-H3828</f>
        <v>0</v>
      </c>
      <c r="K3828" s="5">
        <f>IF(H3828=0,"",J3828/H3828)</f>
        <v>0</v>
      </c>
      <c r="L3828">
        <f>IF(OR(AND(H3828=0,ABS(J3828)&gt;=0.01),AND(H3828&lt;&gt;0,ABS(K3828)&gt;VarianceThreshold)),"Review","OK")</f>
        <v>0</v>
      </c>
      <c r="M3828" t="s">
        <v>33</v>
      </c>
    </row>
    <row r="3829" spans="1:13">
      <c r="A3829" t="s">
        <v>6</v>
      </c>
      <c r="B3829" t="s">
        <v>226</v>
      </c>
      <c r="C3829" t="s">
        <v>3062</v>
      </c>
      <c r="D3829" t="s">
        <v>3095</v>
      </c>
      <c r="E3829" cm="1">
        <f t="array" ref="E3829">_xlfn.XLOOKUP(D3829,SKU_Master!A:A,SKU_Master!B:B,"Not on master")</f>
        <v>0</v>
      </c>
      <c r="F3829" cm="1">
        <f t="array" ref="F3829">_xlfn.XLOOKUP(C3829,Account_Master!A:A,Account_Master!B:B,"Not on master")</f>
        <v>0</v>
      </c>
      <c r="G3829" cm="1">
        <f t="array" ref="G3829">_xlfn.XLOOKUP(C3829,Account_Master!A:A,Account_Master!C:C,"Not on master")</f>
        <v>0</v>
      </c>
      <c r="H3829" s="6">
        <v>0.75</v>
      </c>
      <c r="I3829" s="6">
        <v>0.75</v>
      </c>
      <c r="J3829" s="6">
        <f>I3829-H3829</f>
        <v>0</v>
      </c>
      <c r="K3829" s="5">
        <f>IF(H3829=0,"",J3829/H3829)</f>
        <v>0</v>
      </c>
      <c r="L3829">
        <f>IF(OR(AND(H3829=0,ABS(J3829)&gt;=0.01),AND(H3829&lt;&gt;0,ABS(K3829)&gt;VarianceThreshold)),"Review","OK")</f>
        <v>0</v>
      </c>
      <c r="M3829" t="s">
        <v>33</v>
      </c>
    </row>
    <row r="3830" spans="1:13">
      <c r="A3830" t="s">
        <v>6</v>
      </c>
      <c r="B3830" t="s">
        <v>226</v>
      </c>
      <c r="C3830" t="s">
        <v>33</v>
      </c>
      <c r="D3830" t="s">
        <v>3096</v>
      </c>
      <c r="E3830" cm="1">
        <f t="array" ref="E3830">_xlfn.XLOOKUP(D3830,SKU_Master!A:A,SKU_Master!B:B,"Not on master")</f>
        <v>0</v>
      </c>
      <c r="F3830" cm="1">
        <f t="array" ref="F3830">_xlfn.XLOOKUP(C3830,Account_Master!A:A,Account_Master!B:B,"Not on master")</f>
        <v>0</v>
      </c>
      <c r="G3830" cm="1">
        <f t="array" ref="G3830">_xlfn.XLOOKUP(C3830,Account_Master!A:A,Account_Master!C:C,"Not on master")</f>
        <v>0</v>
      </c>
      <c r="H3830" s="6">
        <v>0</v>
      </c>
      <c r="I3830" s="6">
        <v>10.5</v>
      </c>
      <c r="J3830" s="6">
        <f>I3830-H3830</f>
        <v>0</v>
      </c>
      <c r="K3830" s="5">
        <f>IF(H3830=0,"",J3830/H3830)</f>
        <v>0</v>
      </c>
      <c r="L3830">
        <f>IF(OR(AND(H3830=0,ABS(J3830)&gt;=0.01),AND(H3830&lt;&gt;0,ABS(K3830)&gt;VarianceThreshold)),"Review","OK")</f>
        <v>0</v>
      </c>
      <c r="M3830" t="s">
        <v>3038</v>
      </c>
    </row>
    <row r="3831" spans="1:13">
      <c r="A3831" t="s">
        <v>6</v>
      </c>
      <c r="B3831" t="s">
        <v>231</v>
      </c>
      <c r="C3831" t="s">
        <v>3059</v>
      </c>
      <c r="D3831" t="s">
        <v>702</v>
      </c>
      <c r="E3831" cm="1">
        <f t="array" ref="E3831">_xlfn.XLOOKUP(D3831,SKU_Master!A:A,SKU_Master!B:B,"Not on master")</f>
        <v>0</v>
      </c>
      <c r="F3831" cm="1">
        <f t="array" ref="F3831">_xlfn.XLOOKUP(C3831,Account_Master!A:A,Account_Master!B:B,"Not on master")</f>
        <v>0</v>
      </c>
      <c r="G3831" cm="1">
        <f t="array" ref="G3831">_xlfn.XLOOKUP(C3831,Account_Master!A:A,Account_Master!C:C,"Not on master")</f>
        <v>0</v>
      </c>
      <c r="H3831" s="6">
        <v>248.5</v>
      </c>
      <c r="I3831" s="6">
        <v>143.5</v>
      </c>
      <c r="J3831" s="6">
        <f>I3831-H3831</f>
        <v>0</v>
      </c>
      <c r="K3831" s="5">
        <f>IF(H3831=0,"",J3831/H3831)</f>
        <v>0</v>
      </c>
      <c r="L3831">
        <f>IF(OR(AND(H3831=0,ABS(J3831)&gt;=0.01),AND(H3831&lt;&gt;0,ABS(K3831)&gt;VarianceThreshold)),"Review","OK")</f>
        <v>0</v>
      </c>
      <c r="M3831" t="s">
        <v>3038</v>
      </c>
    </row>
    <row r="3832" spans="1:13">
      <c r="A3832" t="s">
        <v>6</v>
      </c>
      <c r="B3832" t="s">
        <v>231</v>
      </c>
      <c r="C3832" t="s">
        <v>3036</v>
      </c>
      <c r="D3832" t="s">
        <v>1286</v>
      </c>
      <c r="E3832" cm="1">
        <f t="array" ref="E3832">_xlfn.XLOOKUP(D3832,SKU_Master!A:A,SKU_Master!B:B,"Not on master")</f>
        <v>0</v>
      </c>
      <c r="F3832" cm="1">
        <f t="array" ref="F3832">_xlfn.XLOOKUP(C3832,Account_Master!A:A,Account_Master!B:B,"Not on master")</f>
        <v>0</v>
      </c>
      <c r="G3832" cm="1">
        <f t="array" ref="G3832">_xlfn.XLOOKUP(C3832,Account_Master!A:A,Account_Master!C:C,"Not on master")</f>
        <v>0</v>
      </c>
      <c r="H3832" s="6">
        <v>48</v>
      </c>
      <c r="I3832" s="6">
        <v>48</v>
      </c>
      <c r="J3832" s="6">
        <f>I3832-H3832</f>
        <v>0</v>
      </c>
      <c r="K3832" s="5">
        <f>IF(H3832=0,"",J3832/H3832)</f>
        <v>0</v>
      </c>
      <c r="L3832">
        <f>IF(OR(AND(H3832=0,ABS(J3832)&gt;=0.01),AND(H3832&lt;&gt;0,ABS(K3832)&gt;VarianceThreshold)),"Review","OK")</f>
        <v>0</v>
      </c>
      <c r="M3832" t="s">
        <v>33</v>
      </c>
    </row>
    <row r="3833" spans="1:13">
      <c r="A3833" t="s">
        <v>6</v>
      </c>
      <c r="B3833" t="s">
        <v>231</v>
      </c>
      <c r="C3833" t="s">
        <v>3031</v>
      </c>
      <c r="D3833" t="s">
        <v>1512</v>
      </c>
      <c r="E3833" cm="1">
        <f t="array" ref="E3833">_xlfn.XLOOKUP(D3833,SKU_Master!A:A,SKU_Master!B:B,"Not on master")</f>
        <v>0</v>
      </c>
      <c r="F3833" cm="1">
        <f t="array" ref="F3833">_xlfn.XLOOKUP(C3833,Account_Master!A:A,Account_Master!B:B,"Not on master")</f>
        <v>0</v>
      </c>
      <c r="G3833" cm="1">
        <f t="array" ref="G3833">_xlfn.XLOOKUP(C3833,Account_Master!A:A,Account_Master!C:C,"Not on master")</f>
        <v>0</v>
      </c>
      <c r="H3833" s="6">
        <v>0.25</v>
      </c>
      <c r="I3833" s="6">
        <v>0.25</v>
      </c>
      <c r="J3833" s="6">
        <f>I3833-H3833</f>
        <v>0</v>
      </c>
      <c r="K3833" s="5">
        <f>IF(H3833=0,"",J3833/H3833)</f>
        <v>0</v>
      </c>
      <c r="L3833">
        <f>IF(OR(AND(H3833=0,ABS(J3833)&gt;=0.01),AND(H3833&lt;&gt;0,ABS(K3833)&gt;VarianceThreshold)),"Review","OK")</f>
        <v>0</v>
      </c>
      <c r="M3833" t="s">
        <v>33</v>
      </c>
    </row>
    <row r="3834" spans="1:13">
      <c r="A3834" t="s">
        <v>6</v>
      </c>
      <c r="B3834" t="s">
        <v>231</v>
      </c>
      <c r="C3834" t="s">
        <v>3088</v>
      </c>
      <c r="D3834" t="s">
        <v>341</v>
      </c>
      <c r="E3834" cm="1">
        <f t="array" ref="E3834">_xlfn.XLOOKUP(D3834,SKU_Master!A:A,SKU_Master!B:B,"Not on master")</f>
        <v>0</v>
      </c>
      <c r="F3834" cm="1">
        <f t="array" ref="F3834">_xlfn.XLOOKUP(C3834,Account_Master!A:A,Account_Master!B:B,"Not on master")</f>
        <v>0</v>
      </c>
      <c r="G3834" cm="1">
        <f t="array" ref="G3834">_xlfn.XLOOKUP(C3834,Account_Master!A:A,Account_Master!C:C,"Not on master")</f>
        <v>0</v>
      </c>
      <c r="H3834" s="6">
        <v>8</v>
      </c>
      <c r="I3834" s="6">
        <v>8</v>
      </c>
      <c r="J3834" s="6">
        <f>I3834-H3834</f>
        <v>0</v>
      </c>
      <c r="K3834" s="5">
        <f>IF(H3834=0,"",J3834/H3834)</f>
        <v>0</v>
      </c>
      <c r="L3834">
        <f>IF(OR(AND(H3834=0,ABS(J3834)&gt;=0.01),AND(H3834&lt;&gt;0,ABS(K3834)&gt;VarianceThreshold)),"Review","OK")</f>
        <v>0</v>
      </c>
      <c r="M3834" t="s">
        <v>33</v>
      </c>
    </row>
    <row r="3835" spans="1:13">
      <c r="A3835" t="s">
        <v>6</v>
      </c>
      <c r="B3835" t="s">
        <v>231</v>
      </c>
      <c r="C3835" t="s">
        <v>3021</v>
      </c>
      <c r="D3835" t="s">
        <v>1207</v>
      </c>
      <c r="E3835" cm="1">
        <f t="array" ref="E3835">_xlfn.XLOOKUP(D3835,SKU_Master!A:A,SKU_Master!B:B,"Not on master")</f>
        <v>0</v>
      </c>
      <c r="F3835" cm="1">
        <f t="array" ref="F3835">_xlfn.XLOOKUP(C3835,Account_Master!A:A,Account_Master!B:B,"Not on master")</f>
        <v>0</v>
      </c>
      <c r="G3835" cm="1">
        <f t="array" ref="G3835">_xlfn.XLOOKUP(C3835,Account_Master!A:A,Account_Master!C:C,"Not on master")</f>
        <v>0</v>
      </c>
      <c r="H3835" s="6">
        <v>32.25</v>
      </c>
      <c r="I3835" s="6">
        <v>32.25</v>
      </c>
      <c r="J3835" s="6">
        <f>I3835-H3835</f>
        <v>0</v>
      </c>
      <c r="K3835" s="5">
        <f>IF(H3835=0,"",J3835/H3835)</f>
        <v>0</v>
      </c>
      <c r="L3835">
        <f>IF(OR(AND(H3835=0,ABS(J3835)&gt;=0.01),AND(H3835&lt;&gt;0,ABS(K3835)&gt;VarianceThreshold)),"Review","OK")</f>
        <v>0</v>
      </c>
      <c r="M3835" t="s">
        <v>33</v>
      </c>
    </row>
    <row r="3836" spans="1:13">
      <c r="A3836" t="s">
        <v>6</v>
      </c>
      <c r="B3836" t="s">
        <v>231</v>
      </c>
      <c r="C3836" t="s">
        <v>3097</v>
      </c>
      <c r="D3836" t="s">
        <v>1258</v>
      </c>
      <c r="E3836" cm="1">
        <f t="array" ref="E3836">_xlfn.XLOOKUP(D3836,SKU_Master!A:A,SKU_Master!B:B,"Not on master")</f>
        <v>0</v>
      </c>
      <c r="F3836" cm="1">
        <f t="array" ref="F3836">_xlfn.XLOOKUP(C3836,Account_Master!A:A,Account_Master!B:B,"Not on master")</f>
        <v>0</v>
      </c>
      <c r="G3836" cm="1">
        <f t="array" ref="G3836">_xlfn.XLOOKUP(C3836,Account_Master!A:A,Account_Master!C:C,"Not on master")</f>
        <v>0</v>
      </c>
      <c r="H3836" s="6">
        <v>1.5</v>
      </c>
      <c r="I3836" s="6">
        <v>1.5</v>
      </c>
      <c r="J3836" s="6">
        <f>I3836-H3836</f>
        <v>0</v>
      </c>
      <c r="K3836" s="5">
        <f>IF(H3836=0,"",J3836/H3836)</f>
        <v>0</v>
      </c>
      <c r="L3836">
        <f>IF(OR(AND(H3836=0,ABS(J3836)&gt;=0.01),AND(H3836&lt;&gt;0,ABS(K3836)&gt;VarianceThreshold)),"Review","OK")</f>
        <v>0</v>
      </c>
      <c r="M3836" t="s">
        <v>33</v>
      </c>
    </row>
    <row r="3837" spans="1:13">
      <c r="A3837" t="s">
        <v>6</v>
      </c>
      <c r="B3837" t="s">
        <v>231</v>
      </c>
      <c r="C3837" t="s">
        <v>3054</v>
      </c>
      <c r="D3837" t="s">
        <v>699</v>
      </c>
      <c r="E3837" cm="1">
        <f t="array" ref="E3837">_xlfn.XLOOKUP(D3837,SKU_Master!A:A,SKU_Master!B:B,"Not on master")</f>
        <v>0</v>
      </c>
      <c r="F3837" cm="1">
        <f t="array" ref="F3837">_xlfn.XLOOKUP(C3837,Account_Master!A:A,Account_Master!B:B,"Not on master")</f>
        <v>0</v>
      </c>
      <c r="G3837" cm="1">
        <f t="array" ref="G3837">_xlfn.XLOOKUP(C3837,Account_Master!A:A,Account_Master!C:C,"Not on master")</f>
        <v>0</v>
      </c>
      <c r="H3837" s="6">
        <v>15.75</v>
      </c>
      <c r="I3837" s="6">
        <v>11.25</v>
      </c>
      <c r="J3837" s="6">
        <f>I3837-H3837</f>
        <v>0</v>
      </c>
      <c r="K3837" s="5">
        <f>IF(H3837=0,"",J3837/H3837)</f>
        <v>0</v>
      </c>
      <c r="L3837">
        <f>IF(OR(AND(H3837=0,ABS(J3837)&gt;=0.01),AND(H3837&lt;&gt;0,ABS(K3837)&gt;VarianceThreshold)),"Review","OK")</f>
        <v>0</v>
      </c>
      <c r="M3837" t="s">
        <v>3038</v>
      </c>
    </row>
    <row r="3838" spans="1:13">
      <c r="A3838" t="s">
        <v>6</v>
      </c>
      <c r="B3838" t="s">
        <v>231</v>
      </c>
      <c r="C3838" t="s">
        <v>3062</v>
      </c>
      <c r="D3838" t="s">
        <v>499</v>
      </c>
      <c r="E3838" cm="1">
        <f t="array" ref="E3838">_xlfn.XLOOKUP(D3838,SKU_Master!A:A,SKU_Master!B:B,"Not on master")</f>
        <v>0</v>
      </c>
      <c r="F3838" cm="1">
        <f t="array" ref="F3838">_xlfn.XLOOKUP(C3838,Account_Master!A:A,Account_Master!B:B,"Not on master")</f>
        <v>0</v>
      </c>
      <c r="G3838" cm="1">
        <f t="array" ref="G3838">_xlfn.XLOOKUP(C3838,Account_Master!A:A,Account_Master!C:C,"Not on master")</f>
        <v>0</v>
      </c>
      <c r="H3838" s="6">
        <v>9</v>
      </c>
      <c r="I3838" s="6">
        <v>9</v>
      </c>
      <c r="J3838" s="6">
        <f>I3838-H3838</f>
        <v>0</v>
      </c>
      <c r="K3838" s="5">
        <f>IF(H3838=0,"",J3838/H3838)</f>
        <v>0</v>
      </c>
      <c r="L3838">
        <f>IF(OR(AND(H3838=0,ABS(J3838)&gt;=0.01),AND(H3838&lt;&gt;0,ABS(K3838)&gt;VarianceThreshold)),"Review","OK")</f>
        <v>0</v>
      </c>
      <c r="M3838" t="s">
        <v>33</v>
      </c>
    </row>
    <row r="3839" spans="1:13">
      <c r="A3839" t="s">
        <v>6</v>
      </c>
      <c r="B3839" t="s">
        <v>238</v>
      </c>
      <c r="C3839" t="s">
        <v>3056</v>
      </c>
      <c r="D3839" t="s">
        <v>1184</v>
      </c>
      <c r="E3839" cm="1">
        <f t="array" ref="E3839">_xlfn.XLOOKUP(D3839,SKU_Master!A:A,SKU_Master!B:B,"Not on master")</f>
        <v>0</v>
      </c>
      <c r="F3839" cm="1">
        <f t="array" ref="F3839">_xlfn.XLOOKUP(C3839,Account_Master!A:A,Account_Master!B:B,"Not on master")</f>
        <v>0</v>
      </c>
      <c r="G3839" cm="1">
        <f t="array" ref="G3839">_xlfn.XLOOKUP(C3839,Account_Master!A:A,Account_Master!C:C,"Not on master")</f>
        <v>0</v>
      </c>
      <c r="H3839" s="6">
        <v>13.5</v>
      </c>
      <c r="I3839" s="6">
        <v>13.5</v>
      </c>
      <c r="J3839" s="6">
        <f>I3839-H3839</f>
        <v>0</v>
      </c>
      <c r="K3839" s="5">
        <f>IF(H3839=0,"",J3839/H3839)</f>
        <v>0</v>
      </c>
      <c r="L3839">
        <f>IF(OR(AND(H3839=0,ABS(J3839)&gt;=0.01),AND(H3839&lt;&gt;0,ABS(K3839)&gt;VarianceThreshold)),"Review","OK")</f>
        <v>0</v>
      </c>
      <c r="M3839" t="s">
        <v>33</v>
      </c>
    </row>
    <row r="3840" spans="1:13">
      <c r="A3840" t="s">
        <v>6</v>
      </c>
      <c r="B3840" t="s">
        <v>238</v>
      </c>
      <c r="C3840" t="s">
        <v>3071</v>
      </c>
      <c r="D3840" t="s">
        <v>1559</v>
      </c>
      <c r="E3840" cm="1">
        <f t="array" ref="E3840">_xlfn.XLOOKUP(D3840,SKU_Master!A:A,SKU_Master!B:B,"Not on master")</f>
        <v>0</v>
      </c>
      <c r="F3840" cm="1">
        <f t="array" ref="F3840">_xlfn.XLOOKUP(C3840,Account_Master!A:A,Account_Master!B:B,"Not on master")</f>
        <v>0</v>
      </c>
      <c r="G3840" cm="1">
        <f t="array" ref="G3840">_xlfn.XLOOKUP(C3840,Account_Master!A:A,Account_Master!C:C,"Not on master")</f>
        <v>0</v>
      </c>
      <c r="H3840" s="6">
        <v>0.75</v>
      </c>
      <c r="I3840" s="6">
        <v>0.75</v>
      </c>
      <c r="J3840" s="6">
        <f>I3840-H3840</f>
        <v>0</v>
      </c>
      <c r="K3840" s="5">
        <f>IF(H3840=0,"",J3840/H3840)</f>
        <v>0</v>
      </c>
      <c r="L3840">
        <f>IF(OR(AND(H3840=0,ABS(J3840)&gt;=0.01),AND(H3840&lt;&gt;0,ABS(K3840)&gt;VarianceThreshold)),"Review","OK")</f>
        <v>0</v>
      </c>
      <c r="M3840" t="s">
        <v>33</v>
      </c>
    </row>
    <row r="3841" spans="1:13">
      <c r="A3841" t="s">
        <v>6</v>
      </c>
      <c r="B3841" t="s">
        <v>238</v>
      </c>
      <c r="C3841" t="s">
        <v>3029</v>
      </c>
      <c r="D3841" t="s">
        <v>1095</v>
      </c>
      <c r="E3841" cm="1">
        <f t="array" ref="E3841">_xlfn.XLOOKUP(D3841,SKU_Master!A:A,SKU_Master!B:B,"Not on master")</f>
        <v>0</v>
      </c>
      <c r="F3841" cm="1">
        <f t="array" ref="F3841">_xlfn.XLOOKUP(C3841,Account_Master!A:A,Account_Master!B:B,"Not on master")</f>
        <v>0</v>
      </c>
      <c r="G3841" cm="1">
        <f t="array" ref="G3841">_xlfn.XLOOKUP(C3841,Account_Master!A:A,Account_Master!C:C,"Not on master")</f>
        <v>0</v>
      </c>
      <c r="H3841" s="6">
        <v>13.5</v>
      </c>
      <c r="I3841" s="6">
        <v>12.75</v>
      </c>
      <c r="J3841" s="6">
        <f>I3841-H3841</f>
        <v>0</v>
      </c>
      <c r="K3841" s="5">
        <f>IF(H3841=0,"",J3841/H3841)</f>
        <v>0</v>
      </c>
      <c r="L3841">
        <f>IF(OR(AND(H3841=0,ABS(J3841)&gt;=0.01),AND(H3841&lt;&gt;0,ABS(K3841)&gt;VarianceThreshold)),"Review","OK")</f>
        <v>0</v>
      </c>
      <c r="M3841" t="s">
        <v>3038</v>
      </c>
    </row>
    <row r="3842" spans="1:13">
      <c r="A3842" t="s">
        <v>6</v>
      </c>
      <c r="B3842" t="s">
        <v>238</v>
      </c>
      <c r="C3842" t="s">
        <v>3039</v>
      </c>
      <c r="D3842" t="s">
        <v>1081</v>
      </c>
      <c r="E3842" cm="1">
        <f t="array" ref="E3842">_xlfn.XLOOKUP(D3842,SKU_Master!A:A,SKU_Master!B:B,"Not on master")</f>
        <v>0</v>
      </c>
      <c r="F3842" cm="1">
        <f t="array" ref="F3842">_xlfn.XLOOKUP(C3842,Account_Master!A:A,Account_Master!B:B,"Not on master")</f>
        <v>0</v>
      </c>
      <c r="G3842" cm="1">
        <f t="array" ref="G3842">_xlfn.XLOOKUP(C3842,Account_Master!A:A,Account_Master!C:C,"Not on master")</f>
        <v>0</v>
      </c>
      <c r="H3842" s="6">
        <v>24</v>
      </c>
      <c r="I3842" s="6">
        <v>24</v>
      </c>
      <c r="J3842" s="6">
        <f>I3842-H3842</f>
        <v>0</v>
      </c>
      <c r="K3842" s="5">
        <f>IF(H3842=0,"",J3842/H3842)</f>
        <v>0</v>
      </c>
      <c r="L3842">
        <f>IF(OR(AND(H3842=0,ABS(J3842)&gt;=0.01),AND(H3842&lt;&gt;0,ABS(K3842)&gt;VarianceThreshold)),"Review","OK")</f>
        <v>0</v>
      </c>
      <c r="M3842" t="s">
        <v>33</v>
      </c>
    </row>
    <row r="3843" spans="1:13">
      <c r="A3843" t="s">
        <v>6</v>
      </c>
      <c r="B3843" t="s">
        <v>238</v>
      </c>
      <c r="C3843" t="s">
        <v>3098</v>
      </c>
      <c r="D3843" t="s">
        <v>213</v>
      </c>
      <c r="E3843" cm="1">
        <f t="array" ref="E3843">_xlfn.XLOOKUP(D3843,SKU_Master!A:A,SKU_Master!B:B,"Not on master")</f>
        <v>0</v>
      </c>
      <c r="F3843" cm="1">
        <f t="array" ref="F3843">_xlfn.XLOOKUP(C3843,Account_Master!A:A,Account_Master!B:B,"Not on master")</f>
        <v>0</v>
      </c>
      <c r="G3843" cm="1">
        <f t="array" ref="G3843">_xlfn.XLOOKUP(C3843,Account_Master!A:A,Account_Master!C:C,"Not on master")</f>
        <v>0</v>
      </c>
      <c r="H3843" s="6">
        <v>3.74</v>
      </c>
      <c r="I3843" s="6">
        <v>3.74</v>
      </c>
      <c r="J3843" s="6">
        <f>I3843-H3843</f>
        <v>0</v>
      </c>
      <c r="K3843" s="5">
        <f>IF(H3843=0,"",J3843/H3843)</f>
        <v>0</v>
      </c>
      <c r="L3843">
        <f>IF(OR(AND(H3843=0,ABS(J3843)&gt;=0.01),AND(H3843&lt;&gt;0,ABS(K3843)&gt;VarianceThreshold)),"Review","OK")</f>
        <v>0</v>
      </c>
      <c r="M3843" t="s">
        <v>33</v>
      </c>
    </row>
    <row r="3844" spans="1:13">
      <c r="A3844" t="s">
        <v>6</v>
      </c>
      <c r="B3844" t="s">
        <v>238</v>
      </c>
      <c r="C3844" t="s">
        <v>3039</v>
      </c>
      <c r="D3844" t="s">
        <v>387</v>
      </c>
      <c r="E3844" cm="1">
        <f t="array" ref="E3844">_xlfn.XLOOKUP(D3844,SKU_Master!A:A,SKU_Master!B:B,"Not on master")</f>
        <v>0</v>
      </c>
      <c r="F3844" cm="1">
        <f t="array" ref="F3844">_xlfn.XLOOKUP(C3844,Account_Master!A:A,Account_Master!B:B,"Not on master")</f>
        <v>0</v>
      </c>
      <c r="G3844" cm="1">
        <f t="array" ref="G3844">_xlfn.XLOOKUP(C3844,Account_Master!A:A,Account_Master!C:C,"Not on master")</f>
        <v>0</v>
      </c>
      <c r="H3844" s="6">
        <v>1.5</v>
      </c>
      <c r="I3844" s="6">
        <v>1.5</v>
      </c>
      <c r="J3844" s="6">
        <f>I3844-H3844</f>
        <v>0</v>
      </c>
      <c r="K3844" s="5">
        <f>IF(H3844=0,"",J3844/H3844)</f>
        <v>0</v>
      </c>
      <c r="L3844">
        <f>IF(OR(AND(H3844=0,ABS(J3844)&gt;=0.01),AND(H3844&lt;&gt;0,ABS(K3844)&gt;VarianceThreshold)),"Review","OK")</f>
        <v>0</v>
      </c>
      <c r="M3844" t="s">
        <v>33</v>
      </c>
    </row>
    <row r="3845" spans="1:13">
      <c r="A3845" t="s">
        <v>6</v>
      </c>
      <c r="B3845" t="s">
        <v>238</v>
      </c>
      <c r="C3845" t="s">
        <v>3099</v>
      </c>
      <c r="D3845" t="s">
        <v>784</v>
      </c>
      <c r="E3845" cm="1">
        <f t="array" ref="E3845">_xlfn.XLOOKUP(D3845,SKU_Master!A:A,SKU_Master!B:B,"Not on master")</f>
        <v>0</v>
      </c>
      <c r="F3845" cm="1">
        <f t="array" ref="F3845">_xlfn.XLOOKUP(C3845,Account_Master!A:A,Account_Master!B:B,"Not on master")</f>
        <v>0</v>
      </c>
      <c r="G3845" cm="1">
        <f t="array" ref="G3845">_xlfn.XLOOKUP(C3845,Account_Master!A:A,Account_Master!C:C,"Not on master")</f>
        <v>0</v>
      </c>
      <c r="H3845" s="6">
        <v>0.1</v>
      </c>
      <c r="I3845" s="6">
        <v>0.1</v>
      </c>
      <c r="J3845" s="6">
        <f>I3845-H3845</f>
        <v>0</v>
      </c>
      <c r="K3845" s="5">
        <f>IF(H3845=0,"",J3845/H3845)</f>
        <v>0</v>
      </c>
      <c r="L3845">
        <f>IF(OR(AND(H3845=0,ABS(J3845)&gt;=0.01),AND(H3845&lt;&gt;0,ABS(K3845)&gt;VarianceThreshold)),"Review","OK")</f>
        <v>0</v>
      </c>
      <c r="M3845" t="s">
        <v>33</v>
      </c>
    </row>
    <row r="3846" spans="1:13">
      <c r="A3846" t="s">
        <v>6</v>
      </c>
      <c r="B3846" t="s">
        <v>238</v>
      </c>
      <c r="C3846" t="s">
        <v>3041</v>
      </c>
      <c r="D3846" t="s">
        <v>3100</v>
      </c>
      <c r="E3846" cm="1">
        <f t="array" ref="E3846">_xlfn.XLOOKUP(D3846,SKU_Master!A:A,SKU_Master!B:B,"Not on master")</f>
        <v>0</v>
      </c>
      <c r="F3846" cm="1">
        <f t="array" ref="F3846">_xlfn.XLOOKUP(C3846,Account_Master!A:A,Account_Master!B:B,"Not on master")</f>
        <v>0</v>
      </c>
      <c r="G3846" cm="1">
        <f t="array" ref="G3846">_xlfn.XLOOKUP(C3846,Account_Master!A:A,Account_Master!C:C,"Not on master")</f>
        <v>0</v>
      </c>
      <c r="H3846" s="6">
        <v>4.5</v>
      </c>
      <c r="I3846" s="6">
        <v>4.5</v>
      </c>
      <c r="J3846" s="6">
        <f>I3846-H3846</f>
        <v>0</v>
      </c>
      <c r="K3846" s="5">
        <f>IF(H3846=0,"",J3846/H3846)</f>
        <v>0</v>
      </c>
      <c r="L3846">
        <f>IF(OR(AND(H3846=0,ABS(J3846)&gt;=0.01),AND(H3846&lt;&gt;0,ABS(K3846)&gt;VarianceThreshold)),"Review","OK")</f>
        <v>0</v>
      </c>
      <c r="M3846" t="s">
        <v>33</v>
      </c>
    </row>
    <row r="3847" spans="1:13">
      <c r="A3847" t="s">
        <v>6</v>
      </c>
      <c r="B3847" t="s">
        <v>238</v>
      </c>
      <c r="C3847" t="s">
        <v>33</v>
      </c>
      <c r="D3847" t="s">
        <v>3101</v>
      </c>
      <c r="E3847" cm="1">
        <f t="array" ref="E3847">_xlfn.XLOOKUP(D3847,SKU_Master!A:A,SKU_Master!B:B,"Not on master")</f>
        <v>0</v>
      </c>
      <c r="F3847" cm="1">
        <f t="array" ref="F3847">_xlfn.XLOOKUP(C3847,Account_Master!A:A,Account_Master!B:B,"Not on master")</f>
        <v>0</v>
      </c>
      <c r="G3847" cm="1">
        <f t="array" ref="G3847">_xlfn.XLOOKUP(C3847,Account_Master!A:A,Account_Master!C:C,"Not on master")</f>
        <v>0</v>
      </c>
      <c r="H3847" s="6">
        <v>0</v>
      </c>
      <c r="I3847" s="6">
        <v>1.5</v>
      </c>
      <c r="J3847" s="6">
        <f>I3847-H3847</f>
        <v>0</v>
      </c>
      <c r="K3847" s="5">
        <f>IF(H3847=0,"",J3847/H3847)</f>
        <v>0</v>
      </c>
      <c r="L3847">
        <f>IF(OR(AND(H3847=0,ABS(J3847)&gt;=0.01),AND(H3847&lt;&gt;0,ABS(K3847)&gt;VarianceThreshold)),"Review","OK")</f>
        <v>0</v>
      </c>
      <c r="M3847" t="s">
        <v>3038</v>
      </c>
    </row>
    <row r="3848" spans="1:13">
      <c r="A3848" t="s">
        <v>6</v>
      </c>
      <c r="B3848" t="s">
        <v>251</v>
      </c>
      <c r="C3848" t="s">
        <v>3054</v>
      </c>
      <c r="D3848" t="s">
        <v>1652</v>
      </c>
      <c r="E3848" cm="1">
        <f t="array" ref="E3848">_xlfn.XLOOKUP(D3848,SKU_Master!A:A,SKU_Master!B:B,"Not on master")</f>
        <v>0</v>
      </c>
      <c r="F3848" cm="1">
        <f t="array" ref="F3848">_xlfn.XLOOKUP(C3848,Account_Master!A:A,Account_Master!B:B,"Not on master")</f>
        <v>0</v>
      </c>
      <c r="G3848" cm="1">
        <f t="array" ref="G3848">_xlfn.XLOOKUP(C3848,Account_Master!A:A,Account_Master!C:C,"Not on master")</f>
        <v>0</v>
      </c>
      <c r="H3848" s="6">
        <v>3</v>
      </c>
      <c r="I3848" s="6">
        <v>3</v>
      </c>
      <c r="J3848" s="6">
        <f>I3848-H3848</f>
        <v>0</v>
      </c>
      <c r="K3848" s="5">
        <f>IF(H3848=0,"",J3848/H3848)</f>
        <v>0</v>
      </c>
      <c r="L3848">
        <f>IF(OR(AND(H3848=0,ABS(J3848)&gt;=0.01),AND(H3848&lt;&gt;0,ABS(K3848)&gt;VarianceThreshold)),"Review","OK")</f>
        <v>0</v>
      </c>
      <c r="M3848" t="s">
        <v>33</v>
      </c>
    </row>
    <row r="3849" spans="1:13">
      <c r="A3849" t="s">
        <v>6</v>
      </c>
      <c r="B3849" t="s">
        <v>251</v>
      </c>
      <c r="C3849" t="s">
        <v>3102</v>
      </c>
      <c r="D3849" t="s">
        <v>2662</v>
      </c>
      <c r="E3849" cm="1">
        <f t="array" ref="E3849">_xlfn.XLOOKUP(D3849,SKU_Master!A:A,SKU_Master!B:B,"Not on master")</f>
        <v>0</v>
      </c>
      <c r="F3849" cm="1">
        <f t="array" ref="F3849">_xlfn.XLOOKUP(C3849,Account_Master!A:A,Account_Master!B:B,"Not on master")</f>
        <v>0</v>
      </c>
      <c r="G3849" cm="1">
        <f t="array" ref="G3849">_xlfn.XLOOKUP(C3849,Account_Master!A:A,Account_Master!C:C,"Not on master")</f>
        <v>0</v>
      </c>
      <c r="H3849" s="6">
        <v>21.75</v>
      </c>
      <c r="I3849" s="6">
        <v>21.75</v>
      </c>
      <c r="J3849" s="6">
        <f>I3849-H3849</f>
        <v>0</v>
      </c>
      <c r="K3849" s="5">
        <f>IF(H3849=0,"",J3849/H3849)</f>
        <v>0</v>
      </c>
      <c r="L3849">
        <f>IF(OR(AND(H3849=0,ABS(J3849)&gt;=0.01),AND(H3849&lt;&gt;0,ABS(K3849)&gt;VarianceThreshold)),"Review","OK")</f>
        <v>0</v>
      </c>
      <c r="M3849" t="s">
        <v>33</v>
      </c>
    </row>
    <row r="3850" spans="1:13">
      <c r="A3850" t="s">
        <v>6</v>
      </c>
      <c r="B3850" t="s">
        <v>251</v>
      </c>
      <c r="C3850" t="s">
        <v>3029</v>
      </c>
      <c r="D3850" t="s">
        <v>1763</v>
      </c>
      <c r="E3850" cm="1">
        <f t="array" ref="E3850">_xlfn.XLOOKUP(D3850,SKU_Master!A:A,SKU_Master!B:B,"Not on master")</f>
        <v>0</v>
      </c>
      <c r="F3850" cm="1">
        <f t="array" ref="F3850">_xlfn.XLOOKUP(C3850,Account_Master!A:A,Account_Master!B:B,"Not on master")</f>
        <v>0</v>
      </c>
      <c r="G3850" cm="1">
        <f t="array" ref="G3850">_xlfn.XLOOKUP(C3850,Account_Master!A:A,Account_Master!C:C,"Not on master")</f>
        <v>0</v>
      </c>
      <c r="H3850" s="6">
        <v>10.5</v>
      </c>
      <c r="I3850" s="6">
        <v>10.5</v>
      </c>
      <c r="J3850" s="6">
        <f>I3850-H3850</f>
        <v>0</v>
      </c>
      <c r="K3850" s="5">
        <f>IF(H3850=0,"",J3850/H3850)</f>
        <v>0</v>
      </c>
      <c r="L3850">
        <f>IF(OR(AND(H3850=0,ABS(J3850)&gt;=0.01),AND(H3850&lt;&gt;0,ABS(K3850)&gt;VarianceThreshold)),"Review","OK")</f>
        <v>0</v>
      </c>
      <c r="M3850" t="s">
        <v>33</v>
      </c>
    </row>
    <row r="3851" spans="1:13">
      <c r="A3851" t="s">
        <v>6</v>
      </c>
      <c r="B3851" t="s">
        <v>251</v>
      </c>
      <c r="C3851" t="s">
        <v>3103</v>
      </c>
      <c r="D3851" t="s">
        <v>907</v>
      </c>
      <c r="E3851" cm="1">
        <f t="array" ref="E3851">_xlfn.XLOOKUP(D3851,SKU_Master!A:A,SKU_Master!B:B,"Not on master")</f>
        <v>0</v>
      </c>
      <c r="F3851" cm="1">
        <f t="array" ref="F3851">_xlfn.XLOOKUP(C3851,Account_Master!A:A,Account_Master!B:B,"Not on master")</f>
        <v>0</v>
      </c>
      <c r="G3851" cm="1">
        <f t="array" ref="G3851">_xlfn.XLOOKUP(C3851,Account_Master!A:A,Account_Master!C:C,"Not on master")</f>
        <v>0</v>
      </c>
      <c r="H3851" s="6">
        <v>0.75</v>
      </c>
      <c r="I3851" s="6">
        <v>0.75</v>
      </c>
      <c r="J3851" s="6">
        <f>I3851-H3851</f>
        <v>0</v>
      </c>
      <c r="K3851" s="5">
        <f>IF(H3851=0,"",J3851/H3851)</f>
        <v>0</v>
      </c>
      <c r="L3851">
        <f>IF(OR(AND(H3851=0,ABS(J3851)&gt;=0.01),AND(H3851&lt;&gt;0,ABS(K3851)&gt;VarianceThreshold)),"Review","OK")</f>
        <v>0</v>
      </c>
      <c r="M3851" t="s">
        <v>33</v>
      </c>
    </row>
    <row r="3852" spans="1:13">
      <c r="A3852" t="s">
        <v>6</v>
      </c>
      <c r="B3852" t="s">
        <v>251</v>
      </c>
      <c r="C3852" t="s">
        <v>3104</v>
      </c>
      <c r="D3852" t="s">
        <v>2239</v>
      </c>
      <c r="E3852" cm="1">
        <f t="array" ref="E3852">_xlfn.XLOOKUP(D3852,SKU_Master!A:A,SKU_Master!B:B,"Not on master")</f>
        <v>0</v>
      </c>
      <c r="F3852" cm="1">
        <f t="array" ref="F3852">_xlfn.XLOOKUP(C3852,Account_Master!A:A,Account_Master!B:B,"Not on master")</f>
        <v>0</v>
      </c>
      <c r="G3852" cm="1">
        <f t="array" ref="G3852">_xlfn.XLOOKUP(C3852,Account_Master!A:A,Account_Master!C:C,"Not on master")</f>
        <v>0</v>
      </c>
      <c r="H3852" s="6">
        <v>227.5</v>
      </c>
      <c r="I3852" s="6">
        <v>196</v>
      </c>
      <c r="J3852" s="6">
        <f>I3852-H3852</f>
        <v>0</v>
      </c>
      <c r="K3852" s="5">
        <f>IF(H3852=0,"",J3852/H3852)</f>
        <v>0</v>
      </c>
      <c r="L3852">
        <f>IF(OR(AND(H3852=0,ABS(J3852)&gt;=0.01),AND(H3852&lt;&gt;0,ABS(K3852)&gt;VarianceThreshold)),"Review","OK")</f>
        <v>0</v>
      </c>
      <c r="M3852" t="s">
        <v>3038</v>
      </c>
    </row>
    <row r="3853" spans="1:13">
      <c r="A3853" t="s">
        <v>6</v>
      </c>
      <c r="B3853" t="s">
        <v>251</v>
      </c>
      <c r="C3853" t="s">
        <v>3073</v>
      </c>
      <c r="D3853" t="s">
        <v>3105</v>
      </c>
      <c r="E3853" cm="1">
        <f t="array" ref="E3853">_xlfn.XLOOKUP(D3853,SKU_Master!A:A,SKU_Master!B:B,"Not on master")</f>
        <v>0</v>
      </c>
      <c r="F3853" cm="1">
        <f t="array" ref="F3853">_xlfn.XLOOKUP(C3853,Account_Master!A:A,Account_Master!B:B,"Not on master")</f>
        <v>0</v>
      </c>
      <c r="G3853" cm="1">
        <f t="array" ref="G3853">_xlfn.XLOOKUP(C3853,Account_Master!A:A,Account_Master!C:C,"Not on master")</f>
        <v>0</v>
      </c>
      <c r="H3853" s="6">
        <v>3.75</v>
      </c>
      <c r="I3853" s="6">
        <v>3.75</v>
      </c>
      <c r="J3853" s="6">
        <f>I3853-H3853</f>
        <v>0</v>
      </c>
      <c r="K3853" s="5">
        <f>IF(H3853=0,"",J3853/H3853)</f>
        <v>0</v>
      </c>
      <c r="L3853">
        <f>IF(OR(AND(H3853=0,ABS(J3853)&gt;=0.01),AND(H3853&lt;&gt;0,ABS(K3853)&gt;VarianceThreshold)),"Review","OK")</f>
        <v>0</v>
      </c>
      <c r="M3853" t="s">
        <v>33</v>
      </c>
    </row>
    <row r="3854" spans="1:13">
      <c r="A3854" t="s">
        <v>6</v>
      </c>
      <c r="B3854" t="s">
        <v>251</v>
      </c>
      <c r="C3854" t="s">
        <v>3106</v>
      </c>
      <c r="D3854" t="s">
        <v>1950</v>
      </c>
      <c r="E3854" cm="1">
        <f t="array" ref="E3854">_xlfn.XLOOKUP(D3854,SKU_Master!A:A,SKU_Master!B:B,"Not on master")</f>
        <v>0</v>
      </c>
      <c r="F3854" cm="1">
        <f t="array" ref="F3854">_xlfn.XLOOKUP(C3854,Account_Master!A:A,Account_Master!B:B,"Not on master")</f>
        <v>0</v>
      </c>
      <c r="G3854" cm="1">
        <f t="array" ref="G3854">_xlfn.XLOOKUP(C3854,Account_Master!A:A,Account_Master!C:C,"Not on master")</f>
        <v>0</v>
      </c>
      <c r="H3854" s="6">
        <v>43.2</v>
      </c>
      <c r="I3854" s="6">
        <v>43.2</v>
      </c>
      <c r="J3854" s="6">
        <f>I3854-H3854</f>
        <v>0</v>
      </c>
      <c r="K3854" s="5">
        <f>IF(H3854=0,"",J3854/H3854)</f>
        <v>0</v>
      </c>
      <c r="L3854">
        <f>IF(OR(AND(H3854=0,ABS(J3854)&gt;=0.01),AND(H3854&lt;&gt;0,ABS(K3854)&gt;VarianceThreshold)),"Review","OK")</f>
        <v>0</v>
      </c>
      <c r="M3854" t="s">
        <v>33</v>
      </c>
    </row>
    <row r="3855" spans="1:13">
      <c r="A3855" t="s">
        <v>6</v>
      </c>
      <c r="B3855" t="s">
        <v>251</v>
      </c>
      <c r="C3855" t="s">
        <v>3054</v>
      </c>
      <c r="D3855" t="s">
        <v>1348</v>
      </c>
      <c r="E3855" cm="1">
        <f t="array" ref="E3855">_xlfn.XLOOKUP(D3855,SKU_Master!A:A,SKU_Master!B:B,"Not on master")</f>
        <v>0</v>
      </c>
      <c r="F3855" cm="1">
        <f t="array" ref="F3855">_xlfn.XLOOKUP(C3855,Account_Master!A:A,Account_Master!B:B,"Not on master")</f>
        <v>0</v>
      </c>
      <c r="G3855" cm="1">
        <f t="array" ref="G3855">_xlfn.XLOOKUP(C3855,Account_Master!A:A,Account_Master!C:C,"Not on master")</f>
        <v>0</v>
      </c>
      <c r="H3855" s="6">
        <v>25</v>
      </c>
      <c r="I3855" s="6">
        <v>25</v>
      </c>
      <c r="J3855" s="6">
        <f>I3855-H3855</f>
        <v>0</v>
      </c>
      <c r="K3855" s="5">
        <f>IF(H3855=0,"",J3855/H3855)</f>
        <v>0</v>
      </c>
      <c r="L3855">
        <f>IF(OR(AND(H3855=0,ABS(J3855)&gt;=0.01),AND(H3855&lt;&gt;0,ABS(K3855)&gt;VarianceThreshold)),"Review","OK")</f>
        <v>0</v>
      </c>
      <c r="M3855" t="s">
        <v>33</v>
      </c>
    </row>
    <row r="3856" spans="1:13">
      <c r="A3856" t="s">
        <v>6</v>
      </c>
      <c r="B3856" t="s">
        <v>251</v>
      </c>
      <c r="C3856" t="s">
        <v>3021</v>
      </c>
      <c r="D3856" t="s">
        <v>773</v>
      </c>
      <c r="E3856" cm="1">
        <f t="array" ref="E3856">_xlfn.XLOOKUP(D3856,SKU_Master!A:A,SKU_Master!B:B,"Not on master")</f>
        <v>0</v>
      </c>
      <c r="F3856" cm="1">
        <f t="array" ref="F3856">_xlfn.XLOOKUP(C3856,Account_Master!A:A,Account_Master!B:B,"Not on master")</f>
        <v>0</v>
      </c>
      <c r="G3856" cm="1">
        <f t="array" ref="G3856">_xlfn.XLOOKUP(C3856,Account_Master!A:A,Account_Master!C:C,"Not on master")</f>
        <v>0</v>
      </c>
      <c r="H3856" s="6">
        <v>118.5</v>
      </c>
      <c r="I3856" s="6">
        <v>118.5</v>
      </c>
      <c r="J3856" s="6">
        <f>I3856-H3856</f>
        <v>0</v>
      </c>
      <c r="K3856" s="5">
        <f>IF(H3856=0,"",J3856/H3856)</f>
        <v>0</v>
      </c>
      <c r="L3856">
        <f>IF(OR(AND(H3856=0,ABS(J3856)&gt;=0.01),AND(H3856&lt;&gt;0,ABS(K3856)&gt;VarianceThreshold)),"Review","OK")</f>
        <v>0</v>
      </c>
      <c r="M3856" t="s">
        <v>33</v>
      </c>
    </row>
    <row r="3857" spans="1:13">
      <c r="A3857" t="s">
        <v>6</v>
      </c>
      <c r="B3857" t="s">
        <v>254</v>
      </c>
      <c r="C3857" t="s">
        <v>3023</v>
      </c>
      <c r="D3857" t="s">
        <v>1629</v>
      </c>
      <c r="E3857" cm="1">
        <f t="array" ref="E3857">_xlfn.XLOOKUP(D3857,SKU_Master!A:A,SKU_Master!B:B,"Not on master")</f>
        <v>0</v>
      </c>
      <c r="F3857" cm="1">
        <f t="array" ref="F3857">_xlfn.XLOOKUP(C3857,Account_Master!A:A,Account_Master!B:B,"Not on master")</f>
        <v>0</v>
      </c>
      <c r="G3857" cm="1">
        <f t="array" ref="G3857">_xlfn.XLOOKUP(C3857,Account_Master!A:A,Account_Master!C:C,"Not on master")</f>
        <v>0</v>
      </c>
      <c r="H3857" s="6">
        <v>101.5</v>
      </c>
      <c r="I3857" s="6">
        <v>101.5</v>
      </c>
      <c r="J3857" s="6">
        <f>I3857-H3857</f>
        <v>0</v>
      </c>
      <c r="K3857" s="5">
        <f>IF(H3857=0,"",J3857/H3857)</f>
        <v>0</v>
      </c>
      <c r="L3857">
        <f>IF(OR(AND(H3857=0,ABS(J3857)&gt;=0.01),AND(H3857&lt;&gt;0,ABS(K3857)&gt;VarianceThreshold)),"Review","OK")</f>
        <v>0</v>
      </c>
      <c r="M3857" t="s">
        <v>33</v>
      </c>
    </row>
    <row r="3858" spans="1:13">
      <c r="A3858" t="s">
        <v>6</v>
      </c>
      <c r="B3858" t="s">
        <v>254</v>
      </c>
      <c r="C3858" t="s">
        <v>3031</v>
      </c>
      <c r="D3858" t="s">
        <v>1916</v>
      </c>
      <c r="E3858" cm="1">
        <f t="array" ref="E3858">_xlfn.XLOOKUP(D3858,SKU_Master!A:A,SKU_Master!B:B,"Not on master")</f>
        <v>0</v>
      </c>
      <c r="F3858" cm="1">
        <f t="array" ref="F3858">_xlfn.XLOOKUP(C3858,Account_Master!A:A,Account_Master!B:B,"Not on master")</f>
        <v>0</v>
      </c>
      <c r="G3858" cm="1">
        <f t="array" ref="G3858">_xlfn.XLOOKUP(C3858,Account_Master!A:A,Account_Master!C:C,"Not on master")</f>
        <v>0</v>
      </c>
      <c r="H3858" s="6">
        <v>24.75</v>
      </c>
      <c r="I3858" s="6">
        <v>24.75</v>
      </c>
      <c r="J3858" s="6">
        <f>I3858-H3858</f>
        <v>0</v>
      </c>
      <c r="K3858" s="5">
        <f>IF(H3858=0,"",J3858/H3858)</f>
        <v>0</v>
      </c>
      <c r="L3858">
        <f>IF(OR(AND(H3858=0,ABS(J3858)&gt;=0.01),AND(H3858&lt;&gt;0,ABS(K3858)&gt;VarianceThreshold)),"Review","OK")</f>
        <v>0</v>
      </c>
      <c r="M3858" t="s">
        <v>33</v>
      </c>
    </row>
    <row r="3859" spans="1:13">
      <c r="A3859" t="s">
        <v>6</v>
      </c>
      <c r="B3859" t="s">
        <v>254</v>
      </c>
      <c r="C3859" t="s">
        <v>3041</v>
      </c>
      <c r="D3859" t="s">
        <v>3107</v>
      </c>
      <c r="E3859" cm="1">
        <f t="array" ref="E3859">_xlfn.XLOOKUP(D3859,SKU_Master!A:A,SKU_Master!B:B,"Not on master")</f>
        <v>0</v>
      </c>
      <c r="F3859" cm="1">
        <f t="array" ref="F3859">_xlfn.XLOOKUP(C3859,Account_Master!A:A,Account_Master!B:B,"Not on master")</f>
        <v>0</v>
      </c>
      <c r="G3859" cm="1">
        <f t="array" ref="G3859">_xlfn.XLOOKUP(C3859,Account_Master!A:A,Account_Master!C:C,"Not on master")</f>
        <v>0</v>
      </c>
      <c r="H3859" s="6">
        <v>4.5</v>
      </c>
      <c r="I3859" s="6">
        <v>4.5</v>
      </c>
      <c r="J3859" s="6">
        <f>I3859-H3859</f>
        <v>0</v>
      </c>
      <c r="K3859" s="5">
        <f>IF(H3859=0,"",J3859/H3859)</f>
        <v>0</v>
      </c>
      <c r="L3859">
        <f>IF(OR(AND(H3859=0,ABS(J3859)&gt;=0.01),AND(H3859&lt;&gt;0,ABS(K3859)&gt;VarianceThreshold)),"Review","OK")</f>
        <v>0</v>
      </c>
      <c r="M3859" t="s">
        <v>33</v>
      </c>
    </row>
    <row r="3860" spans="1:13">
      <c r="A3860" t="s">
        <v>6</v>
      </c>
      <c r="B3860" t="s">
        <v>264</v>
      </c>
      <c r="C3860" t="s">
        <v>3032</v>
      </c>
      <c r="D3860" t="s">
        <v>931</v>
      </c>
      <c r="E3860" cm="1">
        <f t="array" ref="E3860">_xlfn.XLOOKUP(D3860,SKU_Master!A:A,SKU_Master!B:B,"Not on master")</f>
        <v>0</v>
      </c>
      <c r="F3860" cm="1">
        <f t="array" ref="F3860">_xlfn.XLOOKUP(C3860,Account_Master!A:A,Account_Master!B:B,"Not on master")</f>
        <v>0</v>
      </c>
      <c r="G3860" cm="1">
        <f t="array" ref="G3860">_xlfn.XLOOKUP(C3860,Account_Master!A:A,Account_Master!C:C,"Not on master")</f>
        <v>0</v>
      </c>
      <c r="H3860" s="6">
        <v>6</v>
      </c>
      <c r="I3860" s="6">
        <v>6</v>
      </c>
      <c r="J3860" s="6">
        <f>I3860-H3860</f>
        <v>0</v>
      </c>
      <c r="K3860" s="5">
        <f>IF(H3860=0,"",J3860/H3860)</f>
        <v>0</v>
      </c>
      <c r="L3860">
        <f>IF(OR(AND(H3860=0,ABS(J3860)&gt;=0.01),AND(H3860&lt;&gt;0,ABS(K3860)&gt;VarianceThreshold)),"Review","OK")</f>
        <v>0</v>
      </c>
      <c r="M3860" t="s">
        <v>33</v>
      </c>
    </row>
    <row r="3861" spans="1:13">
      <c r="A3861" t="s">
        <v>6</v>
      </c>
      <c r="B3861" t="s">
        <v>264</v>
      </c>
      <c r="C3861" t="s">
        <v>3108</v>
      </c>
      <c r="D3861" t="s">
        <v>469</v>
      </c>
      <c r="E3861" cm="1">
        <f t="array" ref="E3861">_xlfn.XLOOKUP(D3861,SKU_Master!A:A,SKU_Master!B:B,"Not on master")</f>
        <v>0</v>
      </c>
      <c r="F3861" cm="1">
        <f t="array" ref="F3861">_xlfn.XLOOKUP(C3861,Account_Master!A:A,Account_Master!B:B,"Not on master")</f>
        <v>0</v>
      </c>
      <c r="G3861" cm="1">
        <f t="array" ref="G3861">_xlfn.XLOOKUP(C3861,Account_Master!A:A,Account_Master!C:C,"Not on master")</f>
        <v>0</v>
      </c>
      <c r="H3861" s="6">
        <v>172.48</v>
      </c>
      <c r="I3861" s="6">
        <v>172.48</v>
      </c>
      <c r="J3861" s="6">
        <f>I3861-H3861</f>
        <v>0</v>
      </c>
      <c r="K3861" s="5">
        <f>IF(H3861=0,"",J3861/H3861)</f>
        <v>0</v>
      </c>
      <c r="L3861">
        <f>IF(OR(AND(H3861=0,ABS(J3861)&gt;=0.01),AND(H3861&lt;&gt;0,ABS(K3861)&gt;VarianceThreshold)),"Review","OK")</f>
        <v>0</v>
      </c>
      <c r="M3861" t="s">
        <v>33</v>
      </c>
    </row>
    <row r="3862" spans="1:13">
      <c r="A3862" t="s">
        <v>6</v>
      </c>
      <c r="B3862" t="s">
        <v>264</v>
      </c>
      <c r="C3862" t="s">
        <v>3059</v>
      </c>
      <c r="D3862" t="s">
        <v>350</v>
      </c>
      <c r="E3862" cm="1">
        <f t="array" ref="E3862">_xlfn.XLOOKUP(D3862,SKU_Master!A:A,SKU_Master!B:B,"Not on master")</f>
        <v>0</v>
      </c>
      <c r="F3862" cm="1">
        <f t="array" ref="F3862">_xlfn.XLOOKUP(C3862,Account_Master!A:A,Account_Master!B:B,"Not on master")</f>
        <v>0</v>
      </c>
      <c r="G3862" cm="1">
        <f t="array" ref="G3862">_xlfn.XLOOKUP(C3862,Account_Master!A:A,Account_Master!C:C,"Not on master")</f>
        <v>0</v>
      </c>
      <c r="H3862" s="6">
        <v>9</v>
      </c>
      <c r="I3862" s="6">
        <v>9</v>
      </c>
      <c r="J3862" s="6">
        <f>I3862-H3862</f>
        <v>0</v>
      </c>
      <c r="K3862" s="5">
        <f>IF(H3862=0,"",J3862/H3862)</f>
        <v>0</v>
      </c>
      <c r="L3862">
        <f>IF(OR(AND(H3862=0,ABS(J3862)&gt;=0.01),AND(H3862&lt;&gt;0,ABS(K3862)&gt;VarianceThreshold)),"Review","OK")</f>
        <v>0</v>
      </c>
      <c r="M3862" t="s">
        <v>33</v>
      </c>
    </row>
    <row r="3863" spans="1:13">
      <c r="A3863" t="s">
        <v>6</v>
      </c>
      <c r="B3863" t="s">
        <v>264</v>
      </c>
      <c r="C3863" t="s">
        <v>3056</v>
      </c>
      <c r="D3863" t="s">
        <v>561</v>
      </c>
      <c r="E3863" cm="1">
        <f t="array" ref="E3863">_xlfn.XLOOKUP(D3863,SKU_Master!A:A,SKU_Master!B:B,"Not on master")</f>
        <v>0</v>
      </c>
      <c r="F3863" cm="1">
        <f t="array" ref="F3863">_xlfn.XLOOKUP(C3863,Account_Master!A:A,Account_Master!B:B,"Not on master")</f>
        <v>0</v>
      </c>
      <c r="G3863" cm="1">
        <f t="array" ref="G3863">_xlfn.XLOOKUP(C3863,Account_Master!A:A,Account_Master!C:C,"Not on master")</f>
        <v>0</v>
      </c>
      <c r="H3863" s="6">
        <v>24.5</v>
      </c>
      <c r="I3863" s="6">
        <v>24.5</v>
      </c>
      <c r="J3863" s="6">
        <f>I3863-H3863</f>
        <v>0</v>
      </c>
      <c r="K3863" s="5">
        <f>IF(H3863=0,"",J3863/H3863)</f>
        <v>0</v>
      </c>
      <c r="L3863">
        <f>IF(OR(AND(H3863=0,ABS(J3863)&gt;=0.01),AND(H3863&lt;&gt;0,ABS(K3863)&gt;VarianceThreshold)),"Review","OK")</f>
        <v>0</v>
      </c>
      <c r="M3863" t="s">
        <v>33</v>
      </c>
    </row>
    <row r="3864" spans="1:13">
      <c r="A3864" t="s">
        <v>6</v>
      </c>
      <c r="B3864" t="s">
        <v>264</v>
      </c>
      <c r="C3864" t="s">
        <v>3109</v>
      </c>
      <c r="D3864" t="s">
        <v>1451</v>
      </c>
      <c r="E3864" cm="1">
        <f t="array" ref="E3864">_xlfn.XLOOKUP(D3864,SKU_Master!A:A,SKU_Master!B:B,"Not on master")</f>
        <v>0</v>
      </c>
      <c r="F3864" cm="1">
        <f t="array" ref="F3864">_xlfn.XLOOKUP(C3864,Account_Master!A:A,Account_Master!B:B,"Not on master")</f>
        <v>0</v>
      </c>
      <c r="G3864" cm="1">
        <f t="array" ref="G3864">_xlfn.XLOOKUP(C3864,Account_Master!A:A,Account_Master!C:C,"Not on master")</f>
        <v>0</v>
      </c>
      <c r="H3864" s="6">
        <v>2.25</v>
      </c>
      <c r="I3864" s="6">
        <v>2.25</v>
      </c>
      <c r="J3864" s="6">
        <f>I3864-H3864</f>
        <v>0</v>
      </c>
      <c r="K3864" s="5">
        <f>IF(H3864=0,"",J3864/H3864)</f>
        <v>0</v>
      </c>
      <c r="L3864">
        <f>IF(OR(AND(H3864=0,ABS(J3864)&gt;=0.01),AND(H3864&lt;&gt;0,ABS(K3864)&gt;VarianceThreshold)),"Review","OK")</f>
        <v>0</v>
      </c>
      <c r="M3864" t="s">
        <v>33</v>
      </c>
    </row>
    <row r="3865" spans="1:13">
      <c r="A3865" t="s">
        <v>6</v>
      </c>
      <c r="B3865" t="s">
        <v>264</v>
      </c>
      <c r="C3865" t="s">
        <v>33</v>
      </c>
      <c r="D3865" t="s">
        <v>3110</v>
      </c>
      <c r="E3865" cm="1">
        <f t="array" ref="E3865">_xlfn.XLOOKUP(D3865,SKU_Master!A:A,SKU_Master!B:B,"Not on master")</f>
        <v>0</v>
      </c>
      <c r="F3865" cm="1">
        <f t="array" ref="F3865">_xlfn.XLOOKUP(C3865,Account_Master!A:A,Account_Master!B:B,"Not on master")</f>
        <v>0</v>
      </c>
      <c r="G3865" cm="1">
        <f t="array" ref="G3865">_xlfn.XLOOKUP(C3865,Account_Master!A:A,Account_Master!C:C,"Not on master")</f>
        <v>0</v>
      </c>
      <c r="H3865" s="6">
        <v>0</v>
      </c>
      <c r="I3865" s="6">
        <v>12</v>
      </c>
      <c r="J3865" s="6">
        <f>I3865-H3865</f>
        <v>0</v>
      </c>
      <c r="K3865" s="5">
        <f>IF(H3865=0,"",J3865/H3865)</f>
        <v>0</v>
      </c>
      <c r="L3865">
        <f>IF(OR(AND(H3865=0,ABS(J3865)&gt;=0.01),AND(H3865&lt;&gt;0,ABS(K3865)&gt;VarianceThreshold)),"Review","OK")</f>
        <v>0</v>
      </c>
      <c r="M3865" t="s">
        <v>3038</v>
      </c>
    </row>
    <row r="3866" spans="1:13">
      <c r="A3866" t="s">
        <v>6</v>
      </c>
      <c r="B3866" t="s">
        <v>264</v>
      </c>
      <c r="C3866" t="s">
        <v>33</v>
      </c>
      <c r="D3866" t="s">
        <v>3111</v>
      </c>
      <c r="E3866" cm="1">
        <f t="array" ref="E3866">_xlfn.XLOOKUP(D3866,SKU_Master!A:A,SKU_Master!B:B,"Not on master")</f>
        <v>0</v>
      </c>
      <c r="F3866" cm="1">
        <f t="array" ref="F3866">_xlfn.XLOOKUP(C3866,Account_Master!A:A,Account_Master!B:B,"Not on master")</f>
        <v>0</v>
      </c>
      <c r="G3866" cm="1">
        <f t="array" ref="G3866">_xlfn.XLOOKUP(C3866,Account_Master!A:A,Account_Master!C:C,"Not on master")</f>
        <v>0</v>
      </c>
      <c r="H3866" s="6">
        <v>0</v>
      </c>
      <c r="I3866" s="6">
        <v>1.8</v>
      </c>
      <c r="J3866" s="6">
        <f>I3866-H3866</f>
        <v>0</v>
      </c>
      <c r="K3866" s="5">
        <f>IF(H3866=0,"",J3866/H3866)</f>
        <v>0</v>
      </c>
      <c r="L3866">
        <f>IF(OR(AND(H3866=0,ABS(J3866)&gt;=0.01),AND(H3866&lt;&gt;0,ABS(K3866)&gt;VarianceThreshold)),"Review","OK")</f>
        <v>0</v>
      </c>
      <c r="M3866" t="s">
        <v>3038</v>
      </c>
    </row>
    <row r="3867" spans="1:13">
      <c r="A3867" t="s">
        <v>6</v>
      </c>
      <c r="B3867" t="s">
        <v>273</v>
      </c>
      <c r="C3867" t="s">
        <v>3064</v>
      </c>
      <c r="D3867" t="s">
        <v>2351</v>
      </c>
      <c r="E3867" cm="1">
        <f t="array" ref="E3867">_xlfn.XLOOKUP(D3867,SKU_Master!A:A,SKU_Master!B:B,"Not on master")</f>
        <v>0</v>
      </c>
      <c r="F3867" cm="1">
        <f t="array" ref="F3867">_xlfn.XLOOKUP(C3867,Account_Master!A:A,Account_Master!B:B,"Not on master")</f>
        <v>0</v>
      </c>
      <c r="G3867" cm="1">
        <f t="array" ref="G3867">_xlfn.XLOOKUP(C3867,Account_Master!A:A,Account_Master!C:C,"Not on master")</f>
        <v>0</v>
      </c>
      <c r="H3867" s="6">
        <v>2.25</v>
      </c>
      <c r="I3867" s="6">
        <v>2.25</v>
      </c>
      <c r="J3867" s="6">
        <f>I3867-H3867</f>
        <v>0</v>
      </c>
      <c r="K3867" s="5">
        <f>IF(H3867=0,"",J3867/H3867)</f>
        <v>0</v>
      </c>
      <c r="L3867">
        <f>IF(OR(AND(H3867=0,ABS(J3867)&gt;=0.01),AND(H3867&lt;&gt;0,ABS(K3867)&gt;VarianceThreshold)),"Review","OK")</f>
        <v>0</v>
      </c>
      <c r="M3867" t="s">
        <v>33</v>
      </c>
    </row>
    <row r="3868" spans="1:13">
      <c r="A3868" t="s">
        <v>6</v>
      </c>
      <c r="B3868" t="s">
        <v>273</v>
      </c>
      <c r="C3868" t="s">
        <v>3059</v>
      </c>
      <c r="D3868" t="s">
        <v>2905</v>
      </c>
      <c r="E3868" cm="1">
        <f t="array" ref="E3868">_xlfn.XLOOKUP(D3868,SKU_Master!A:A,SKU_Master!B:B,"Not on master")</f>
        <v>0</v>
      </c>
      <c r="F3868" cm="1">
        <f t="array" ref="F3868">_xlfn.XLOOKUP(C3868,Account_Master!A:A,Account_Master!B:B,"Not on master")</f>
        <v>0</v>
      </c>
      <c r="G3868" cm="1">
        <f t="array" ref="G3868">_xlfn.XLOOKUP(C3868,Account_Master!A:A,Account_Master!C:C,"Not on master")</f>
        <v>0</v>
      </c>
      <c r="H3868" s="6">
        <v>4.5</v>
      </c>
      <c r="I3868" s="6">
        <v>4.5</v>
      </c>
      <c r="J3868" s="6">
        <f>I3868-H3868</f>
        <v>0</v>
      </c>
      <c r="K3868" s="5">
        <f>IF(H3868=0,"",J3868/H3868)</f>
        <v>0</v>
      </c>
      <c r="L3868">
        <f>IF(OR(AND(H3868=0,ABS(J3868)&gt;=0.01),AND(H3868&lt;&gt;0,ABS(K3868)&gt;VarianceThreshold)),"Review","OK")</f>
        <v>0</v>
      </c>
      <c r="M3868" t="s">
        <v>33</v>
      </c>
    </row>
    <row r="3869" spans="1:13">
      <c r="A3869" t="s">
        <v>6</v>
      </c>
      <c r="B3869" t="s">
        <v>273</v>
      </c>
      <c r="C3869" t="s">
        <v>3089</v>
      </c>
      <c r="D3869" t="s">
        <v>2770</v>
      </c>
      <c r="E3869" cm="1">
        <f t="array" ref="E3869">_xlfn.XLOOKUP(D3869,SKU_Master!A:A,SKU_Master!B:B,"Not on master")</f>
        <v>0</v>
      </c>
      <c r="F3869" cm="1">
        <f t="array" ref="F3869">_xlfn.XLOOKUP(C3869,Account_Master!A:A,Account_Master!B:B,"Not on master")</f>
        <v>0</v>
      </c>
      <c r="G3869" cm="1">
        <f t="array" ref="G3869">_xlfn.XLOOKUP(C3869,Account_Master!A:A,Account_Master!C:C,"Not on master")</f>
        <v>0</v>
      </c>
      <c r="H3869" s="6">
        <v>2.25</v>
      </c>
      <c r="I3869" s="6">
        <v>2.25</v>
      </c>
      <c r="J3869" s="6">
        <f>I3869-H3869</f>
        <v>0</v>
      </c>
      <c r="K3869" s="5">
        <f>IF(H3869=0,"",J3869/H3869)</f>
        <v>0</v>
      </c>
      <c r="L3869">
        <f>IF(OR(AND(H3869=0,ABS(J3869)&gt;=0.01),AND(H3869&lt;&gt;0,ABS(K3869)&gt;VarianceThreshold)),"Review","OK")</f>
        <v>0</v>
      </c>
      <c r="M3869" t="s">
        <v>33</v>
      </c>
    </row>
    <row r="3870" spans="1:13">
      <c r="A3870" t="s">
        <v>6</v>
      </c>
      <c r="B3870" t="s">
        <v>273</v>
      </c>
      <c r="C3870" t="s">
        <v>3054</v>
      </c>
      <c r="D3870" t="s">
        <v>2805</v>
      </c>
      <c r="E3870" cm="1">
        <f t="array" ref="E3870">_xlfn.XLOOKUP(D3870,SKU_Master!A:A,SKU_Master!B:B,"Not on master")</f>
        <v>0</v>
      </c>
      <c r="F3870" cm="1">
        <f t="array" ref="F3870">_xlfn.XLOOKUP(C3870,Account_Master!A:A,Account_Master!B:B,"Not on master")</f>
        <v>0</v>
      </c>
      <c r="G3870" cm="1">
        <f t="array" ref="G3870">_xlfn.XLOOKUP(C3870,Account_Master!A:A,Account_Master!C:C,"Not on master")</f>
        <v>0</v>
      </c>
      <c r="H3870" s="6">
        <v>4.5</v>
      </c>
      <c r="I3870" s="6">
        <v>4.5</v>
      </c>
      <c r="J3870" s="6">
        <f>I3870-H3870</f>
        <v>0</v>
      </c>
      <c r="K3870" s="5">
        <f>IF(H3870=0,"",J3870/H3870)</f>
        <v>0</v>
      </c>
      <c r="L3870">
        <f>IF(OR(AND(H3870=0,ABS(J3870)&gt;=0.01),AND(H3870&lt;&gt;0,ABS(K3870)&gt;VarianceThreshold)),"Review","OK")</f>
        <v>0</v>
      </c>
      <c r="M3870" t="s">
        <v>33</v>
      </c>
    </row>
    <row r="3871" spans="1:13">
      <c r="A3871" t="s">
        <v>6</v>
      </c>
      <c r="B3871" t="s">
        <v>273</v>
      </c>
      <c r="C3871" t="s">
        <v>3036</v>
      </c>
      <c r="D3871" t="s">
        <v>831</v>
      </c>
      <c r="E3871" cm="1">
        <f t="array" ref="E3871">_xlfn.XLOOKUP(D3871,SKU_Master!A:A,SKU_Master!B:B,"Not on master")</f>
        <v>0</v>
      </c>
      <c r="F3871" cm="1">
        <f t="array" ref="F3871">_xlfn.XLOOKUP(C3871,Account_Master!A:A,Account_Master!B:B,"Not on master")</f>
        <v>0</v>
      </c>
      <c r="G3871" cm="1">
        <f t="array" ref="G3871">_xlfn.XLOOKUP(C3871,Account_Master!A:A,Account_Master!C:C,"Not on master")</f>
        <v>0</v>
      </c>
      <c r="H3871" s="6">
        <v>81.75</v>
      </c>
      <c r="I3871" s="6">
        <v>81.75</v>
      </c>
      <c r="J3871" s="6">
        <f>I3871-H3871</f>
        <v>0</v>
      </c>
      <c r="K3871" s="5">
        <f>IF(H3871=0,"",J3871/H3871)</f>
        <v>0</v>
      </c>
      <c r="L3871">
        <f>IF(OR(AND(H3871=0,ABS(J3871)&gt;=0.01),AND(H3871&lt;&gt;0,ABS(K3871)&gt;VarianceThreshold)),"Review","OK")</f>
        <v>0</v>
      </c>
      <c r="M3871" t="s">
        <v>33</v>
      </c>
    </row>
    <row r="3872" spans="1:13">
      <c r="A3872" t="s">
        <v>6</v>
      </c>
      <c r="B3872" t="s">
        <v>273</v>
      </c>
      <c r="C3872" t="s">
        <v>3025</v>
      </c>
      <c r="D3872" t="s">
        <v>1607</v>
      </c>
      <c r="E3872" cm="1">
        <f t="array" ref="E3872">_xlfn.XLOOKUP(D3872,SKU_Master!A:A,SKU_Master!B:B,"Not on master")</f>
        <v>0</v>
      </c>
      <c r="F3872" cm="1">
        <f t="array" ref="F3872">_xlfn.XLOOKUP(C3872,Account_Master!A:A,Account_Master!B:B,"Not on master")</f>
        <v>0</v>
      </c>
      <c r="G3872" cm="1">
        <f t="array" ref="G3872">_xlfn.XLOOKUP(C3872,Account_Master!A:A,Account_Master!C:C,"Not on master")</f>
        <v>0</v>
      </c>
      <c r="H3872" s="6">
        <v>3.75</v>
      </c>
      <c r="I3872" s="6">
        <v>3.75</v>
      </c>
      <c r="J3872" s="6">
        <f>I3872-H3872</f>
        <v>0</v>
      </c>
      <c r="K3872" s="5">
        <f>IF(H3872=0,"",J3872/H3872)</f>
        <v>0</v>
      </c>
      <c r="L3872">
        <f>IF(OR(AND(H3872=0,ABS(J3872)&gt;=0.01),AND(H3872&lt;&gt;0,ABS(K3872)&gt;VarianceThreshold)),"Review","OK")</f>
        <v>0</v>
      </c>
      <c r="M3872" t="s">
        <v>33</v>
      </c>
    </row>
    <row r="3873" spans="1:13">
      <c r="A3873" t="s">
        <v>6</v>
      </c>
      <c r="B3873" t="s">
        <v>273</v>
      </c>
      <c r="C3873" t="s">
        <v>3021</v>
      </c>
      <c r="D3873" t="s">
        <v>1962</v>
      </c>
      <c r="E3873" cm="1">
        <f t="array" ref="E3873">_xlfn.XLOOKUP(D3873,SKU_Master!A:A,SKU_Master!B:B,"Not on master")</f>
        <v>0</v>
      </c>
      <c r="F3873" cm="1">
        <f t="array" ref="F3873">_xlfn.XLOOKUP(C3873,Account_Master!A:A,Account_Master!B:B,"Not on master")</f>
        <v>0</v>
      </c>
      <c r="G3873" cm="1">
        <f t="array" ref="G3873">_xlfn.XLOOKUP(C3873,Account_Master!A:A,Account_Master!C:C,"Not on master")</f>
        <v>0</v>
      </c>
      <c r="H3873" s="6">
        <v>0.6</v>
      </c>
      <c r="I3873" s="6">
        <v>0.6</v>
      </c>
      <c r="J3873" s="6">
        <f>I3873-H3873</f>
        <v>0</v>
      </c>
      <c r="K3873" s="5">
        <f>IF(H3873=0,"",J3873/H3873)</f>
        <v>0</v>
      </c>
      <c r="L3873">
        <f>IF(OR(AND(H3873=0,ABS(J3873)&gt;=0.01),AND(H3873&lt;&gt;0,ABS(K3873)&gt;VarianceThreshold)),"Review","OK")</f>
        <v>0</v>
      </c>
      <c r="M3873" t="s">
        <v>33</v>
      </c>
    </row>
    <row r="3874" spans="1:13">
      <c r="A3874" t="s">
        <v>6</v>
      </c>
      <c r="B3874" t="s">
        <v>273</v>
      </c>
      <c r="C3874" t="s">
        <v>3073</v>
      </c>
      <c r="D3874" t="s">
        <v>909</v>
      </c>
      <c r="E3874" cm="1">
        <f t="array" ref="E3874">_xlfn.XLOOKUP(D3874,SKU_Master!A:A,SKU_Master!B:B,"Not on master")</f>
        <v>0</v>
      </c>
      <c r="F3874" cm="1">
        <f t="array" ref="F3874">_xlfn.XLOOKUP(C3874,Account_Master!A:A,Account_Master!B:B,"Not on master")</f>
        <v>0</v>
      </c>
      <c r="G3874" cm="1">
        <f t="array" ref="G3874">_xlfn.XLOOKUP(C3874,Account_Master!A:A,Account_Master!C:C,"Not on master")</f>
        <v>0</v>
      </c>
      <c r="H3874" s="6">
        <v>9</v>
      </c>
      <c r="I3874" s="6">
        <v>9</v>
      </c>
      <c r="J3874" s="6">
        <f>I3874-H3874</f>
        <v>0</v>
      </c>
      <c r="K3874" s="5">
        <f>IF(H3874=0,"",J3874/H3874)</f>
        <v>0</v>
      </c>
      <c r="L3874">
        <f>IF(OR(AND(H3874=0,ABS(J3874)&gt;=0.01),AND(H3874&lt;&gt;0,ABS(K3874)&gt;VarianceThreshold)),"Review","OK")</f>
        <v>0</v>
      </c>
      <c r="M3874" t="s">
        <v>33</v>
      </c>
    </row>
    <row r="3875" spans="1:13">
      <c r="A3875" t="s">
        <v>6</v>
      </c>
      <c r="B3875" t="s">
        <v>273</v>
      </c>
      <c r="C3875" t="s">
        <v>3054</v>
      </c>
      <c r="D3875" t="s">
        <v>3112</v>
      </c>
      <c r="E3875" cm="1">
        <f t="array" ref="E3875">_xlfn.XLOOKUP(D3875,SKU_Master!A:A,SKU_Master!B:B,"Not on master")</f>
        <v>0</v>
      </c>
      <c r="F3875" cm="1">
        <f t="array" ref="F3875">_xlfn.XLOOKUP(C3875,Account_Master!A:A,Account_Master!B:B,"Not on master")</f>
        <v>0</v>
      </c>
      <c r="G3875" cm="1">
        <f t="array" ref="G3875">_xlfn.XLOOKUP(C3875,Account_Master!A:A,Account_Master!C:C,"Not on master")</f>
        <v>0</v>
      </c>
      <c r="H3875" s="6">
        <v>19.5</v>
      </c>
      <c r="I3875" s="6">
        <v>19.5</v>
      </c>
      <c r="J3875" s="6">
        <f>I3875-H3875</f>
        <v>0</v>
      </c>
      <c r="K3875" s="5">
        <f>IF(H3875=0,"",J3875/H3875)</f>
        <v>0</v>
      </c>
      <c r="L3875">
        <f>IF(OR(AND(H3875=0,ABS(J3875)&gt;=0.01),AND(H3875&lt;&gt;0,ABS(K3875)&gt;VarianceThreshold)),"Review","OK")</f>
        <v>0</v>
      </c>
      <c r="M3875" t="s">
        <v>33</v>
      </c>
    </row>
    <row r="3876" spans="1:13">
      <c r="A3876" t="s">
        <v>6</v>
      </c>
      <c r="B3876" t="s">
        <v>273</v>
      </c>
      <c r="C3876" t="s">
        <v>3113</v>
      </c>
      <c r="D3876" t="s">
        <v>2111</v>
      </c>
      <c r="E3876" cm="1">
        <f t="array" ref="E3876">_xlfn.XLOOKUP(D3876,SKU_Master!A:A,SKU_Master!B:B,"Not on master")</f>
        <v>0</v>
      </c>
      <c r="F3876" cm="1">
        <f t="array" ref="F3876">_xlfn.XLOOKUP(C3876,Account_Master!A:A,Account_Master!B:B,"Not on master")</f>
        <v>0</v>
      </c>
      <c r="G3876" cm="1">
        <f t="array" ref="G3876">_xlfn.XLOOKUP(C3876,Account_Master!A:A,Account_Master!C:C,"Not on master")</f>
        <v>0</v>
      </c>
      <c r="H3876" s="6">
        <v>11.25</v>
      </c>
      <c r="I3876" s="6">
        <v>9</v>
      </c>
      <c r="J3876" s="6">
        <f>I3876-H3876</f>
        <v>0</v>
      </c>
      <c r="K3876" s="5">
        <f>IF(H3876=0,"",J3876/H3876)</f>
        <v>0</v>
      </c>
      <c r="L3876">
        <f>IF(OR(AND(H3876=0,ABS(J3876)&gt;=0.01),AND(H3876&lt;&gt;0,ABS(K3876)&gt;VarianceThreshold)),"Review","OK")</f>
        <v>0</v>
      </c>
      <c r="M3876" t="s">
        <v>3038</v>
      </c>
    </row>
    <row r="3877" spans="1:13">
      <c r="A3877" t="s">
        <v>6</v>
      </c>
      <c r="B3877" t="s">
        <v>284</v>
      </c>
      <c r="C3877" t="s">
        <v>3039</v>
      </c>
      <c r="D3877" t="s">
        <v>198</v>
      </c>
      <c r="E3877" cm="1">
        <f t="array" ref="E3877">_xlfn.XLOOKUP(D3877,SKU_Master!A:A,SKU_Master!B:B,"Not on master")</f>
        <v>0</v>
      </c>
      <c r="F3877" cm="1">
        <f t="array" ref="F3877">_xlfn.XLOOKUP(C3877,Account_Master!A:A,Account_Master!B:B,"Not on master")</f>
        <v>0</v>
      </c>
      <c r="G3877" cm="1">
        <f t="array" ref="G3877">_xlfn.XLOOKUP(C3877,Account_Master!A:A,Account_Master!C:C,"Not on master")</f>
        <v>0</v>
      </c>
      <c r="H3877" s="6">
        <v>18</v>
      </c>
      <c r="I3877" s="6">
        <v>18</v>
      </c>
      <c r="J3877" s="6">
        <f>I3877-H3877</f>
        <v>0</v>
      </c>
      <c r="K3877" s="5">
        <f>IF(H3877=0,"",J3877/H3877)</f>
        <v>0</v>
      </c>
      <c r="L3877">
        <f>IF(OR(AND(H3877=0,ABS(J3877)&gt;=0.01),AND(H3877&lt;&gt;0,ABS(K3877)&gt;VarianceThreshold)),"Review","OK")</f>
        <v>0</v>
      </c>
      <c r="M3877" t="s">
        <v>33</v>
      </c>
    </row>
    <row r="3878" spans="1:13">
      <c r="A3878" t="s">
        <v>6</v>
      </c>
      <c r="B3878" t="s">
        <v>284</v>
      </c>
      <c r="C3878" t="s">
        <v>3077</v>
      </c>
      <c r="D3878" t="s">
        <v>621</v>
      </c>
      <c r="E3878" cm="1">
        <f t="array" ref="E3878">_xlfn.XLOOKUP(D3878,SKU_Master!A:A,SKU_Master!B:B,"Not on master")</f>
        <v>0</v>
      </c>
      <c r="F3878" cm="1">
        <f t="array" ref="F3878">_xlfn.XLOOKUP(C3878,Account_Master!A:A,Account_Master!B:B,"Not on master")</f>
        <v>0</v>
      </c>
      <c r="G3878" cm="1">
        <f t="array" ref="G3878">_xlfn.XLOOKUP(C3878,Account_Master!A:A,Account_Master!C:C,"Not on master")</f>
        <v>0</v>
      </c>
      <c r="H3878" s="6">
        <v>15</v>
      </c>
      <c r="I3878" s="6">
        <v>15</v>
      </c>
      <c r="J3878" s="6">
        <f>I3878-H3878</f>
        <v>0</v>
      </c>
      <c r="K3878" s="5">
        <f>IF(H3878=0,"",J3878/H3878)</f>
        <v>0</v>
      </c>
      <c r="L3878">
        <f>IF(OR(AND(H3878=0,ABS(J3878)&gt;=0.01),AND(H3878&lt;&gt;0,ABS(K3878)&gt;VarianceThreshold)),"Review","OK")</f>
        <v>0</v>
      </c>
      <c r="M3878" t="s">
        <v>33</v>
      </c>
    </row>
    <row r="3879" spans="1:13">
      <c r="A3879" t="s">
        <v>6</v>
      </c>
      <c r="B3879" t="s">
        <v>284</v>
      </c>
      <c r="C3879" t="s">
        <v>3114</v>
      </c>
      <c r="D3879" t="s">
        <v>1964</v>
      </c>
      <c r="E3879" cm="1">
        <f t="array" ref="E3879">_xlfn.XLOOKUP(D3879,SKU_Master!A:A,SKU_Master!B:B,"Not on master")</f>
        <v>0</v>
      </c>
      <c r="F3879" cm="1">
        <f t="array" ref="F3879">_xlfn.XLOOKUP(C3879,Account_Master!A:A,Account_Master!B:B,"Not on master")</f>
        <v>0</v>
      </c>
      <c r="G3879" cm="1">
        <f t="array" ref="G3879">_xlfn.XLOOKUP(C3879,Account_Master!A:A,Account_Master!C:C,"Not on master")</f>
        <v>0</v>
      </c>
      <c r="H3879" s="6">
        <v>1.2</v>
      </c>
      <c r="I3879" s="6">
        <v>1.2</v>
      </c>
      <c r="J3879" s="6">
        <f>I3879-H3879</f>
        <v>0</v>
      </c>
      <c r="K3879" s="5">
        <f>IF(H3879=0,"",J3879/H3879)</f>
        <v>0</v>
      </c>
      <c r="L3879">
        <f>IF(OR(AND(H3879=0,ABS(J3879)&gt;=0.01),AND(H3879&lt;&gt;0,ABS(K3879)&gt;VarianceThreshold)),"Review","OK")</f>
        <v>0</v>
      </c>
      <c r="M3879" t="s">
        <v>33</v>
      </c>
    </row>
    <row r="3880" spans="1:13">
      <c r="A3880" t="s">
        <v>6</v>
      </c>
      <c r="B3880" t="s">
        <v>284</v>
      </c>
      <c r="C3880" t="s">
        <v>3090</v>
      </c>
      <c r="D3880" t="s">
        <v>1560</v>
      </c>
      <c r="E3880" cm="1">
        <f t="array" ref="E3880">_xlfn.XLOOKUP(D3880,SKU_Master!A:A,SKU_Master!B:B,"Not on master")</f>
        <v>0</v>
      </c>
      <c r="F3880" cm="1">
        <f t="array" ref="F3880">_xlfn.XLOOKUP(C3880,Account_Master!A:A,Account_Master!B:B,"Not on master")</f>
        <v>0</v>
      </c>
      <c r="G3880" cm="1">
        <f t="array" ref="G3880">_xlfn.XLOOKUP(C3880,Account_Master!A:A,Account_Master!C:C,"Not on master")</f>
        <v>0</v>
      </c>
      <c r="H3880" s="6">
        <v>10.87</v>
      </c>
      <c r="I3880" s="6">
        <v>10.87</v>
      </c>
      <c r="J3880" s="6">
        <f>I3880-H3880</f>
        <v>0</v>
      </c>
      <c r="K3880" s="5">
        <f>IF(H3880=0,"",J3880/H3880)</f>
        <v>0</v>
      </c>
      <c r="L3880">
        <f>IF(OR(AND(H3880=0,ABS(J3880)&gt;=0.01),AND(H3880&lt;&gt;0,ABS(K3880)&gt;VarianceThreshold)),"Review","OK")</f>
        <v>0</v>
      </c>
      <c r="M3880" t="s">
        <v>33</v>
      </c>
    </row>
    <row r="3881" spans="1:13">
      <c r="A3881" t="s">
        <v>6</v>
      </c>
      <c r="B3881" t="s">
        <v>284</v>
      </c>
      <c r="C3881" t="s">
        <v>3089</v>
      </c>
      <c r="D3881" t="s">
        <v>1446</v>
      </c>
      <c r="E3881" cm="1">
        <f t="array" ref="E3881">_xlfn.XLOOKUP(D3881,SKU_Master!A:A,SKU_Master!B:B,"Not on master")</f>
        <v>0</v>
      </c>
      <c r="F3881" cm="1">
        <f t="array" ref="F3881">_xlfn.XLOOKUP(C3881,Account_Master!A:A,Account_Master!B:B,"Not on master")</f>
        <v>0</v>
      </c>
      <c r="G3881" cm="1">
        <f t="array" ref="G3881">_xlfn.XLOOKUP(C3881,Account_Master!A:A,Account_Master!C:C,"Not on master")</f>
        <v>0</v>
      </c>
      <c r="H3881" s="6">
        <v>3</v>
      </c>
      <c r="I3881" s="6">
        <v>3</v>
      </c>
      <c r="J3881" s="6">
        <f>I3881-H3881</f>
        <v>0</v>
      </c>
      <c r="K3881" s="5">
        <f>IF(H3881=0,"",J3881/H3881)</f>
        <v>0</v>
      </c>
      <c r="L3881">
        <f>IF(OR(AND(H3881=0,ABS(J3881)&gt;=0.01),AND(H3881&lt;&gt;0,ABS(K3881)&gt;VarianceThreshold)),"Review","OK")</f>
        <v>0</v>
      </c>
      <c r="M3881" t="s">
        <v>33</v>
      </c>
    </row>
    <row r="3882" spans="1:13">
      <c r="A3882" t="s">
        <v>6</v>
      </c>
      <c r="B3882" t="s">
        <v>284</v>
      </c>
      <c r="C3882" t="s">
        <v>3029</v>
      </c>
      <c r="D3882" t="s">
        <v>116</v>
      </c>
      <c r="E3882" cm="1">
        <f t="array" ref="E3882">_xlfn.XLOOKUP(D3882,SKU_Master!A:A,SKU_Master!B:B,"Not on master")</f>
        <v>0</v>
      </c>
      <c r="F3882" cm="1">
        <f t="array" ref="F3882">_xlfn.XLOOKUP(C3882,Account_Master!A:A,Account_Master!B:B,"Not on master")</f>
        <v>0</v>
      </c>
      <c r="G3882" cm="1">
        <f t="array" ref="G3882">_xlfn.XLOOKUP(C3882,Account_Master!A:A,Account_Master!C:C,"Not on master")</f>
        <v>0</v>
      </c>
      <c r="H3882" s="6">
        <v>19.5</v>
      </c>
      <c r="I3882" s="6">
        <v>19.5</v>
      </c>
      <c r="J3882" s="6">
        <f>I3882-H3882</f>
        <v>0</v>
      </c>
      <c r="K3882" s="5">
        <f>IF(H3882=0,"",J3882/H3882)</f>
        <v>0</v>
      </c>
      <c r="L3882">
        <f>IF(OR(AND(H3882=0,ABS(J3882)&gt;=0.01),AND(H3882&lt;&gt;0,ABS(K3882)&gt;VarianceThreshold)),"Review","OK")</f>
        <v>0</v>
      </c>
      <c r="M3882" t="s">
        <v>33</v>
      </c>
    </row>
    <row r="3883" spans="1:13">
      <c r="A3883" t="s">
        <v>6</v>
      </c>
      <c r="B3883" t="s">
        <v>284</v>
      </c>
      <c r="C3883" t="s">
        <v>3039</v>
      </c>
      <c r="D3883" t="s">
        <v>1571</v>
      </c>
      <c r="E3883" cm="1">
        <f t="array" ref="E3883">_xlfn.XLOOKUP(D3883,SKU_Master!A:A,SKU_Master!B:B,"Not on master")</f>
        <v>0</v>
      </c>
      <c r="F3883" cm="1">
        <f t="array" ref="F3883">_xlfn.XLOOKUP(C3883,Account_Master!A:A,Account_Master!B:B,"Not on master")</f>
        <v>0</v>
      </c>
      <c r="G3883" cm="1">
        <f t="array" ref="G3883">_xlfn.XLOOKUP(C3883,Account_Master!A:A,Account_Master!C:C,"Not on master")</f>
        <v>0</v>
      </c>
      <c r="H3883" s="6">
        <v>24</v>
      </c>
      <c r="I3883" s="6">
        <v>24</v>
      </c>
      <c r="J3883" s="6">
        <f>I3883-H3883</f>
        <v>0</v>
      </c>
      <c r="K3883" s="5">
        <f>IF(H3883=0,"",J3883/H3883)</f>
        <v>0</v>
      </c>
      <c r="L3883">
        <f>IF(OR(AND(H3883=0,ABS(J3883)&gt;=0.01),AND(H3883&lt;&gt;0,ABS(K3883)&gt;VarianceThreshold)),"Review","OK")</f>
        <v>0</v>
      </c>
      <c r="M3883" t="s">
        <v>33</v>
      </c>
    </row>
    <row r="3884" spans="1:13">
      <c r="A3884" t="s">
        <v>6</v>
      </c>
      <c r="B3884" t="s">
        <v>284</v>
      </c>
      <c r="C3884" t="s">
        <v>33</v>
      </c>
      <c r="D3884" t="s">
        <v>3115</v>
      </c>
      <c r="E3884" cm="1">
        <f t="array" ref="E3884">_xlfn.XLOOKUP(D3884,SKU_Master!A:A,SKU_Master!B:B,"Not on master")</f>
        <v>0</v>
      </c>
      <c r="F3884" cm="1">
        <f t="array" ref="F3884">_xlfn.XLOOKUP(C3884,Account_Master!A:A,Account_Master!B:B,"Not on master")</f>
        <v>0</v>
      </c>
      <c r="G3884" cm="1">
        <f t="array" ref="G3884">_xlfn.XLOOKUP(C3884,Account_Master!A:A,Account_Master!C:C,"Not on master")</f>
        <v>0</v>
      </c>
      <c r="H3884" s="6">
        <v>0</v>
      </c>
      <c r="I3884" s="6">
        <v>9</v>
      </c>
      <c r="J3884" s="6">
        <f>I3884-H3884</f>
        <v>0</v>
      </c>
      <c r="K3884" s="5">
        <f>IF(H3884=0,"",J3884/H3884)</f>
        <v>0</v>
      </c>
      <c r="L3884">
        <f>IF(OR(AND(H3884=0,ABS(J3884)&gt;=0.01),AND(H3884&lt;&gt;0,ABS(K3884)&gt;VarianceThreshold)),"Review","OK")</f>
        <v>0</v>
      </c>
      <c r="M3884" t="s">
        <v>3038</v>
      </c>
    </row>
    <row r="3885" spans="1:13">
      <c r="A3885" t="s">
        <v>6</v>
      </c>
      <c r="B3885" t="s">
        <v>284</v>
      </c>
      <c r="C3885" t="s">
        <v>33</v>
      </c>
      <c r="D3885" t="s">
        <v>3116</v>
      </c>
      <c r="E3885" cm="1">
        <f t="array" ref="E3885">_xlfn.XLOOKUP(D3885,SKU_Master!A:A,SKU_Master!B:B,"Not on master")</f>
        <v>0</v>
      </c>
      <c r="F3885" cm="1">
        <f t="array" ref="F3885">_xlfn.XLOOKUP(C3885,Account_Master!A:A,Account_Master!B:B,"Not on master")</f>
        <v>0</v>
      </c>
      <c r="G3885" cm="1">
        <f t="array" ref="G3885">_xlfn.XLOOKUP(C3885,Account_Master!A:A,Account_Master!C:C,"Not on master")</f>
        <v>0</v>
      </c>
      <c r="H3885" s="6">
        <v>0</v>
      </c>
      <c r="I3885" s="6">
        <v>2.25</v>
      </c>
      <c r="J3885" s="6">
        <f>I3885-H3885</f>
        <v>0</v>
      </c>
      <c r="K3885" s="5">
        <f>IF(H3885=0,"",J3885/H3885)</f>
        <v>0</v>
      </c>
      <c r="L3885">
        <f>IF(OR(AND(H3885=0,ABS(J3885)&gt;=0.01),AND(H3885&lt;&gt;0,ABS(K3885)&gt;VarianceThreshold)),"Review","OK")</f>
        <v>0</v>
      </c>
      <c r="M3885" t="s">
        <v>3038</v>
      </c>
    </row>
    <row r="3886" spans="1:13">
      <c r="A3886" t="s">
        <v>6</v>
      </c>
      <c r="B3886" t="s">
        <v>289</v>
      </c>
      <c r="C3886" t="s">
        <v>3117</v>
      </c>
      <c r="D3886" t="s">
        <v>587</v>
      </c>
      <c r="E3886" cm="1">
        <f t="array" ref="E3886">_xlfn.XLOOKUP(D3886,SKU_Master!A:A,SKU_Master!B:B,"Not on master")</f>
        <v>0</v>
      </c>
      <c r="F3886" cm="1">
        <f t="array" ref="F3886">_xlfn.XLOOKUP(C3886,Account_Master!A:A,Account_Master!B:B,"Not on master")</f>
        <v>0</v>
      </c>
      <c r="G3886" cm="1">
        <f t="array" ref="G3886">_xlfn.XLOOKUP(C3886,Account_Master!A:A,Account_Master!C:C,"Not on master")</f>
        <v>0</v>
      </c>
      <c r="H3886" s="6">
        <v>106.11</v>
      </c>
      <c r="I3886" s="6">
        <v>104.61</v>
      </c>
      <c r="J3886" s="6">
        <f>I3886-H3886</f>
        <v>0</v>
      </c>
      <c r="K3886" s="5">
        <f>IF(H3886=0,"",J3886/H3886)</f>
        <v>0</v>
      </c>
      <c r="L3886">
        <f>IF(OR(AND(H3886=0,ABS(J3886)&gt;=0.01),AND(H3886&lt;&gt;0,ABS(K3886)&gt;VarianceThreshold)),"Review","OK")</f>
        <v>0</v>
      </c>
      <c r="M3886" t="s">
        <v>33</v>
      </c>
    </row>
    <row r="3887" spans="1:13">
      <c r="A3887" t="s">
        <v>6</v>
      </c>
      <c r="B3887" t="s">
        <v>289</v>
      </c>
      <c r="C3887" t="s">
        <v>3118</v>
      </c>
      <c r="D3887" t="s">
        <v>1530</v>
      </c>
      <c r="E3887" cm="1">
        <f t="array" ref="E3887">_xlfn.XLOOKUP(D3887,SKU_Master!A:A,SKU_Master!B:B,"Not on master")</f>
        <v>0</v>
      </c>
      <c r="F3887" cm="1">
        <f t="array" ref="F3887">_xlfn.XLOOKUP(C3887,Account_Master!A:A,Account_Master!B:B,"Not on master")</f>
        <v>0</v>
      </c>
      <c r="G3887" cm="1">
        <f t="array" ref="G3887">_xlfn.XLOOKUP(C3887,Account_Master!A:A,Account_Master!C:C,"Not on master")</f>
        <v>0</v>
      </c>
      <c r="H3887" s="6">
        <v>60.75</v>
      </c>
      <c r="I3887" s="6">
        <v>60.75</v>
      </c>
      <c r="J3887" s="6">
        <f>I3887-H3887</f>
        <v>0</v>
      </c>
      <c r="K3887" s="5">
        <f>IF(H3887=0,"",J3887/H3887)</f>
        <v>0</v>
      </c>
      <c r="L3887">
        <f>IF(OR(AND(H3887=0,ABS(J3887)&gt;=0.01),AND(H3887&lt;&gt;0,ABS(K3887)&gt;VarianceThreshold)),"Review","OK")</f>
        <v>0</v>
      </c>
      <c r="M3887" t="s">
        <v>33</v>
      </c>
    </row>
    <row r="3888" spans="1:13">
      <c r="A3888" t="s">
        <v>6</v>
      </c>
      <c r="B3888" t="s">
        <v>289</v>
      </c>
      <c r="C3888" t="s">
        <v>3119</v>
      </c>
      <c r="D3888" t="s">
        <v>242</v>
      </c>
      <c r="E3888" cm="1">
        <f t="array" ref="E3888">_xlfn.XLOOKUP(D3888,SKU_Master!A:A,SKU_Master!B:B,"Not on master")</f>
        <v>0</v>
      </c>
      <c r="F3888" cm="1">
        <f t="array" ref="F3888">_xlfn.XLOOKUP(C3888,Account_Master!A:A,Account_Master!B:B,"Not on master")</f>
        <v>0</v>
      </c>
      <c r="G3888" cm="1">
        <f t="array" ref="G3888">_xlfn.XLOOKUP(C3888,Account_Master!A:A,Account_Master!C:C,"Not on master")</f>
        <v>0</v>
      </c>
      <c r="H3888" s="6">
        <v>70.2</v>
      </c>
      <c r="I3888" s="6">
        <v>70.2</v>
      </c>
      <c r="J3888" s="6">
        <f>I3888-H3888</f>
        <v>0</v>
      </c>
      <c r="K3888" s="5">
        <f>IF(H3888=0,"",J3888/H3888)</f>
        <v>0</v>
      </c>
      <c r="L3888">
        <f>IF(OR(AND(H3888=0,ABS(J3888)&gt;=0.01),AND(H3888&lt;&gt;0,ABS(K3888)&gt;VarianceThreshold)),"Review","OK")</f>
        <v>0</v>
      </c>
      <c r="M3888" t="s">
        <v>33</v>
      </c>
    </row>
    <row r="3889" spans="1:13">
      <c r="A3889" t="s">
        <v>6</v>
      </c>
      <c r="B3889" t="s">
        <v>289</v>
      </c>
      <c r="C3889" t="s">
        <v>3039</v>
      </c>
      <c r="D3889" t="s">
        <v>3120</v>
      </c>
      <c r="E3889" cm="1">
        <f t="array" ref="E3889">_xlfn.XLOOKUP(D3889,SKU_Master!A:A,SKU_Master!B:B,"Not on master")</f>
        <v>0</v>
      </c>
      <c r="F3889" cm="1">
        <f t="array" ref="F3889">_xlfn.XLOOKUP(C3889,Account_Master!A:A,Account_Master!B:B,"Not on master")</f>
        <v>0</v>
      </c>
      <c r="G3889" cm="1">
        <f t="array" ref="G3889">_xlfn.XLOOKUP(C3889,Account_Master!A:A,Account_Master!C:C,"Not on master")</f>
        <v>0</v>
      </c>
      <c r="H3889" s="6">
        <v>0.15</v>
      </c>
      <c r="I3889" s="6">
        <v>0.15</v>
      </c>
      <c r="J3889" s="6">
        <f>I3889-H3889</f>
        <v>0</v>
      </c>
      <c r="K3889" s="5">
        <f>IF(H3889=0,"",J3889/H3889)</f>
        <v>0</v>
      </c>
      <c r="L3889">
        <f>IF(OR(AND(H3889=0,ABS(J3889)&gt;=0.01),AND(H3889&lt;&gt;0,ABS(K3889)&gt;VarianceThreshold)),"Review","OK")</f>
        <v>0</v>
      </c>
      <c r="M3889" t="s">
        <v>33</v>
      </c>
    </row>
    <row r="3890" spans="1:13">
      <c r="A3890" t="s">
        <v>6</v>
      </c>
      <c r="B3890" t="s">
        <v>289</v>
      </c>
      <c r="C3890" t="s">
        <v>3032</v>
      </c>
      <c r="D3890" t="s">
        <v>1837</v>
      </c>
      <c r="E3890" cm="1">
        <f t="array" ref="E3890">_xlfn.XLOOKUP(D3890,SKU_Master!A:A,SKU_Master!B:B,"Not on master")</f>
        <v>0</v>
      </c>
      <c r="F3890" cm="1">
        <f t="array" ref="F3890">_xlfn.XLOOKUP(C3890,Account_Master!A:A,Account_Master!B:B,"Not on master")</f>
        <v>0</v>
      </c>
      <c r="G3890" cm="1">
        <f t="array" ref="G3890">_xlfn.XLOOKUP(C3890,Account_Master!A:A,Account_Master!C:C,"Not on master")</f>
        <v>0</v>
      </c>
      <c r="H3890" s="6">
        <v>1.5</v>
      </c>
      <c r="I3890" s="6">
        <v>1.5</v>
      </c>
      <c r="J3890" s="6">
        <f>I3890-H3890</f>
        <v>0</v>
      </c>
      <c r="K3890" s="5">
        <f>IF(H3890=0,"",J3890/H3890)</f>
        <v>0</v>
      </c>
      <c r="L3890">
        <f>IF(OR(AND(H3890=0,ABS(J3890)&gt;=0.01),AND(H3890&lt;&gt;0,ABS(K3890)&gt;VarianceThreshold)),"Review","OK")</f>
        <v>0</v>
      </c>
      <c r="M3890" t="s">
        <v>33</v>
      </c>
    </row>
    <row r="3891" spans="1:13">
      <c r="A3891" t="s">
        <v>6</v>
      </c>
      <c r="B3891" t="s">
        <v>289</v>
      </c>
      <c r="C3891" t="s">
        <v>3121</v>
      </c>
      <c r="D3891" t="s">
        <v>1820</v>
      </c>
      <c r="E3891" cm="1">
        <f t="array" ref="E3891">_xlfn.XLOOKUP(D3891,SKU_Master!A:A,SKU_Master!B:B,"Not on master")</f>
        <v>0</v>
      </c>
      <c r="F3891" cm="1">
        <f t="array" ref="F3891">_xlfn.XLOOKUP(C3891,Account_Master!A:A,Account_Master!B:B,"Not on master")</f>
        <v>0</v>
      </c>
      <c r="G3891" cm="1">
        <f t="array" ref="G3891">_xlfn.XLOOKUP(C3891,Account_Master!A:A,Account_Master!C:C,"Not on master")</f>
        <v>0</v>
      </c>
      <c r="H3891" s="6">
        <v>0.05</v>
      </c>
      <c r="I3891" s="6">
        <v>0.05</v>
      </c>
      <c r="J3891" s="6">
        <f>I3891-H3891</f>
        <v>0</v>
      </c>
      <c r="K3891" s="5">
        <f>IF(H3891=0,"",J3891/H3891)</f>
        <v>0</v>
      </c>
      <c r="L3891">
        <f>IF(OR(AND(H3891=0,ABS(J3891)&gt;=0.01),AND(H3891&lt;&gt;0,ABS(K3891)&gt;VarianceThreshold)),"Review","OK")</f>
        <v>0</v>
      </c>
      <c r="M3891" t="s">
        <v>33</v>
      </c>
    </row>
    <row r="3892" spans="1:13">
      <c r="A3892" t="s">
        <v>6</v>
      </c>
      <c r="B3892" t="s">
        <v>289</v>
      </c>
      <c r="C3892" t="s">
        <v>3122</v>
      </c>
      <c r="D3892" t="s">
        <v>1447</v>
      </c>
      <c r="E3892" cm="1">
        <f t="array" ref="E3892">_xlfn.XLOOKUP(D3892,SKU_Master!A:A,SKU_Master!B:B,"Not on master")</f>
        <v>0</v>
      </c>
      <c r="F3892" cm="1">
        <f t="array" ref="F3892">_xlfn.XLOOKUP(C3892,Account_Master!A:A,Account_Master!B:B,"Not on master")</f>
        <v>0</v>
      </c>
      <c r="G3892" cm="1">
        <f t="array" ref="G3892">_xlfn.XLOOKUP(C3892,Account_Master!A:A,Account_Master!C:C,"Not on master")</f>
        <v>0</v>
      </c>
      <c r="H3892" s="6">
        <v>166.25</v>
      </c>
      <c r="I3892" s="6">
        <v>161</v>
      </c>
      <c r="J3892" s="6">
        <f>I3892-H3892</f>
        <v>0</v>
      </c>
      <c r="K3892" s="5">
        <f>IF(H3892=0,"",J3892/H3892)</f>
        <v>0</v>
      </c>
      <c r="L3892">
        <f>IF(OR(AND(H3892=0,ABS(J3892)&gt;=0.01),AND(H3892&lt;&gt;0,ABS(K3892)&gt;VarianceThreshold)),"Review","OK")</f>
        <v>0</v>
      </c>
      <c r="M3892" t="s">
        <v>33</v>
      </c>
    </row>
    <row r="3893" spans="1:13">
      <c r="A3893" t="s">
        <v>6</v>
      </c>
      <c r="B3893" t="s">
        <v>289</v>
      </c>
      <c r="C3893" t="s">
        <v>3089</v>
      </c>
      <c r="D3893" t="s">
        <v>3123</v>
      </c>
      <c r="E3893" cm="1">
        <f t="array" ref="E3893">_xlfn.XLOOKUP(D3893,SKU_Master!A:A,SKU_Master!B:B,"Not on master")</f>
        <v>0</v>
      </c>
      <c r="F3893" cm="1">
        <f t="array" ref="F3893">_xlfn.XLOOKUP(C3893,Account_Master!A:A,Account_Master!B:B,"Not on master")</f>
        <v>0</v>
      </c>
      <c r="G3893" cm="1">
        <f t="array" ref="G3893">_xlfn.XLOOKUP(C3893,Account_Master!A:A,Account_Master!C:C,"Not on master")</f>
        <v>0</v>
      </c>
      <c r="H3893" s="6">
        <v>3.75</v>
      </c>
      <c r="I3893" s="6">
        <v>3.75</v>
      </c>
      <c r="J3893" s="6">
        <f>I3893-H3893</f>
        <v>0</v>
      </c>
      <c r="K3893" s="5">
        <f>IF(H3893=0,"",J3893/H3893)</f>
        <v>0</v>
      </c>
      <c r="L3893">
        <f>IF(OR(AND(H3893=0,ABS(J3893)&gt;=0.01),AND(H3893&lt;&gt;0,ABS(K3893)&gt;VarianceThreshold)),"Review","OK")</f>
        <v>0</v>
      </c>
      <c r="M3893" t="s">
        <v>33</v>
      </c>
    </row>
    <row r="3894" spans="1:13">
      <c r="A3894" t="s">
        <v>6</v>
      </c>
      <c r="B3894" t="s">
        <v>289</v>
      </c>
      <c r="C3894" t="s">
        <v>33</v>
      </c>
      <c r="D3894" t="s">
        <v>3124</v>
      </c>
      <c r="E3894" cm="1">
        <f t="array" ref="E3894">_xlfn.XLOOKUP(D3894,SKU_Master!A:A,SKU_Master!B:B,"Not on master")</f>
        <v>0</v>
      </c>
      <c r="F3894" cm="1">
        <f t="array" ref="F3894">_xlfn.XLOOKUP(C3894,Account_Master!A:A,Account_Master!B:B,"Not on master")</f>
        <v>0</v>
      </c>
      <c r="G3894" cm="1">
        <f t="array" ref="G3894">_xlfn.XLOOKUP(C3894,Account_Master!A:A,Account_Master!C:C,"Not on master")</f>
        <v>0</v>
      </c>
      <c r="H3894" s="6">
        <v>0</v>
      </c>
      <c r="I3894" s="6">
        <v>5.25</v>
      </c>
      <c r="J3894" s="6">
        <f>I3894-H3894</f>
        <v>0</v>
      </c>
      <c r="K3894" s="5">
        <f>IF(H3894=0,"",J3894/H3894)</f>
        <v>0</v>
      </c>
      <c r="L3894">
        <f>IF(OR(AND(H3894=0,ABS(J3894)&gt;=0.01),AND(H3894&lt;&gt;0,ABS(K3894)&gt;VarianceThreshold)),"Review","OK")</f>
        <v>0</v>
      </c>
      <c r="M3894" t="s">
        <v>3038</v>
      </c>
    </row>
    <row r="3895" spans="1:13">
      <c r="A3895" t="s">
        <v>6</v>
      </c>
      <c r="B3895" t="s">
        <v>299</v>
      </c>
      <c r="C3895" t="s">
        <v>3084</v>
      </c>
      <c r="D3895" t="s">
        <v>373</v>
      </c>
      <c r="E3895" cm="1">
        <f t="array" ref="E3895">_xlfn.XLOOKUP(D3895,SKU_Master!A:A,SKU_Master!B:B,"Not on master")</f>
        <v>0</v>
      </c>
      <c r="F3895" cm="1">
        <f t="array" ref="F3895">_xlfn.XLOOKUP(C3895,Account_Master!A:A,Account_Master!B:B,"Not on master")</f>
        <v>0</v>
      </c>
      <c r="G3895" cm="1">
        <f t="array" ref="G3895">_xlfn.XLOOKUP(C3895,Account_Master!A:A,Account_Master!C:C,"Not on master")</f>
        <v>0</v>
      </c>
      <c r="H3895" s="6">
        <v>4.3</v>
      </c>
      <c r="I3895" s="6">
        <v>4.3</v>
      </c>
      <c r="J3895" s="6">
        <f>I3895-H3895</f>
        <v>0</v>
      </c>
      <c r="K3895" s="5">
        <f>IF(H3895=0,"",J3895/H3895)</f>
        <v>0</v>
      </c>
      <c r="L3895">
        <f>IF(OR(AND(H3895=0,ABS(J3895)&gt;=0.01),AND(H3895&lt;&gt;0,ABS(K3895)&gt;VarianceThreshold)),"Review","OK")</f>
        <v>0</v>
      </c>
      <c r="M3895" t="s">
        <v>33</v>
      </c>
    </row>
    <row r="3896" spans="1:13">
      <c r="A3896" t="s">
        <v>6</v>
      </c>
      <c r="B3896" t="s">
        <v>299</v>
      </c>
      <c r="C3896" t="s">
        <v>3062</v>
      </c>
      <c r="D3896" t="s">
        <v>2362</v>
      </c>
      <c r="E3896" cm="1">
        <f t="array" ref="E3896">_xlfn.XLOOKUP(D3896,SKU_Master!A:A,SKU_Master!B:B,"Not on master")</f>
        <v>0</v>
      </c>
      <c r="F3896" cm="1">
        <f t="array" ref="F3896">_xlfn.XLOOKUP(C3896,Account_Master!A:A,Account_Master!B:B,"Not on master")</f>
        <v>0</v>
      </c>
      <c r="G3896" cm="1">
        <f t="array" ref="G3896">_xlfn.XLOOKUP(C3896,Account_Master!A:A,Account_Master!C:C,"Not on master")</f>
        <v>0</v>
      </c>
      <c r="H3896" s="6">
        <v>28</v>
      </c>
      <c r="I3896" s="6">
        <v>28</v>
      </c>
      <c r="J3896" s="6">
        <f>I3896-H3896</f>
        <v>0</v>
      </c>
      <c r="K3896" s="5">
        <f>IF(H3896=0,"",J3896/H3896)</f>
        <v>0</v>
      </c>
      <c r="L3896">
        <f>IF(OR(AND(H3896=0,ABS(J3896)&gt;=0.01),AND(H3896&lt;&gt;0,ABS(K3896)&gt;VarianceThreshold)),"Review","OK")</f>
        <v>0</v>
      </c>
      <c r="M3896" t="s">
        <v>33</v>
      </c>
    </row>
    <row r="3897" spans="1:13">
      <c r="A3897" t="s">
        <v>6</v>
      </c>
      <c r="B3897" t="s">
        <v>299</v>
      </c>
      <c r="C3897" t="s">
        <v>3097</v>
      </c>
      <c r="D3897" t="s">
        <v>2178</v>
      </c>
      <c r="E3897" cm="1">
        <f t="array" ref="E3897">_xlfn.XLOOKUP(D3897,SKU_Master!A:A,SKU_Master!B:B,"Not on master")</f>
        <v>0</v>
      </c>
      <c r="F3897" cm="1">
        <f t="array" ref="F3897">_xlfn.XLOOKUP(C3897,Account_Master!A:A,Account_Master!B:B,"Not on master")</f>
        <v>0</v>
      </c>
      <c r="G3897" cm="1">
        <f t="array" ref="G3897">_xlfn.XLOOKUP(C3897,Account_Master!A:A,Account_Master!C:C,"Not on master")</f>
        <v>0</v>
      </c>
      <c r="H3897" s="6">
        <v>10.5</v>
      </c>
      <c r="I3897" s="6">
        <v>10.5</v>
      </c>
      <c r="J3897" s="6">
        <f>I3897-H3897</f>
        <v>0</v>
      </c>
      <c r="K3897" s="5">
        <f>IF(H3897=0,"",J3897/H3897)</f>
        <v>0</v>
      </c>
      <c r="L3897">
        <f>IF(OR(AND(H3897=0,ABS(J3897)&gt;=0.01),AND(H3897&lt;&gt;0,ABS(K3897)&gt;VarianceThreshold)),"Review","OK")</f>
        <v>0</v>
      </c>
      <c r="M3897" t="s">
        <v>33</v>
      </c>
    </row>
    <row r="3898" spans="1:13">
      <c r="A3898" t="s">
        <v>6</v>
      </c>
      <c r="B3898" t="s">
        <v>299</v>
      </c>
      <c r="C3898" t="s">
        <v>3054</v>
      </c>
      <c r="D3898" t="s">
        <v>1452</v>
      </c>
      <c r="E3898" cm="1">
        <f t="array" ref="E3898">_xlfn.XLOOKUP(D3898,SKU_Master!A:A,SKU_Master!B:B,"Not on master")</f>
        <v>0</v>
      </c>
      <c r="F3898" cm="1">
        <f t="array" ref="F3898">_xlfn.XLOOKUP(C3898,Account_Master!A:A,Account_Master!B:B,"Not on master")</f>
        <v>0</v>
      </c>
      <c r="G3898" cm="1">
        <f t="array" ref="G3898">_xlfn.XLOOKUP(C3898,Account_Master!A:A,Account_Master!C:C,"Not on master")</f>
        <v>0</v>
      </c>
      <c r="H3898" s="6">
        <v>3</v>
      </c>
      <c r="I3898" s="6">
        <v>3</v>
      </c>
      <c r="J3898" s="6">
        <f>I3898-H3898</f>
        <v>0</v>
      </c>
      <c r="K3898" s="5">
        <f>IF(H3898=0,"",J3898/H3898)</f>
        <v>0</v>
      </c>
      <c r="L3898">
        <f>IF(OR(AND(H3898=0,ABS(J3898)&gt;=0.01),AND(H3898&lt;&gt;0,ABS(K3898)&gt;VarianceThreshold)),"Review","OK")</f>
        <v>0</v>
      </c>
      <c r="M3898" t="s">
        <v>33</v>
      </c>
    </row>
    <row r="3899" spans="1:13">
      <c r="A3899" t="s">
        <v>6</v>
      </c>
      <c r="B3899" t="s">
        <v>299</v>
      </c>
      <c r="C3899" t="s">
        <v>3071</v>
      </c>
      <c r="D3899" t="s">
        <v>1933</v>
      </c>
      <c r="E3899" cm="1">
        <f t="array" ref="E3899">_xlfn.XLOOKUP(D3899,SKU_Master!A:A,SKU_Master!B:B,"Not on master")</f>
        <v>0</v>
      </c>
      <c r="F3899" cm="1">
        <f t="array" ref="F3899">_xlfn.XLOOKUP(C3899,Account_Master!A:A,Account_Master!B:B,"Not on master")</f>
        <v>0</v>
      </c>
      <c r="G3899" cm="1">
        <f t="array" ref="G3899">_xlfn.XLOOKUP(C3899,Account_Master!A:A,Account_Master!C:C,"Not on master")</f>
        <v>0</v>
      </c>
      <c r="H3899" s="6">
        <v>161</v>
      </c>
      <c r="I3899" s="6">
        <v>161</v>
      </c>
      <c r="J3899" s="6">
        <f>I3899-H3899</f>
        <v>0</v>
      </c>
      <c r="K3899" s="5">
        <f>IF(H3899=0,"",J3899/H3899)</f>
        <v>0</v>
      </c>
      <c r="L3899">
        <f>IF(OR(AND(H3899=0,ABS(J3899)&gt;=0.01),AND(H3899&lt;&gt;0,ABS(K3899)&gt;VarianceThreshold)),"Review","OK")</f>
        <v>0</v>
      </c>
      <c r="M3899" t="s">
        <v>33</v>
      </c>
    </row>
    <row r="3900" spans="1:13">
      <c r="A3900" t="s">
        <v>6</v>
      </c>
      <c r="B3900" t="s">
        <v>299</v>
      </c>
      <c r="C3900" t="s">
        <v>33</v>
      </c>
      <c r="D3900" t="s">
        <v>3125</v>
      </c>
      <c r="E3900" cm="1">
        <f t="array" ref="E3900">_xlfn.XLOOKUP(D3900,SKU_Master!A:A,SKU_Master!B:B,"Not on master")</f>
        <v>0</v>
      </c>
      <c r="F3900" cm="1">
        <f t="array" ref="F3900">_xlfn.XLOOKUP(C3900,Account_Master!A:A,Account_Master!B:B,"Not on master")</f>
        <v>0</v>
      </c>
      <c r="G3900" cm="1">
        <f t="array" ref="G3900">_xlfn.XLOOKUP(C3900,Account_Master!A:A,Account_Master!C:C,"Not on master")</f>
        <v>0</v>
      </c>
      <c r="H3900" s="6">
        <v>0</v>
      </c>
      <c r="I3900" s="6">
        <v>4.5</v>
      </c>
      <c r="J3900" s="6">
        <f>I3900-H3900</f>
        <v>0</v>
      </c>
      <c r="K3900" s="5">
        <f>IF(H3900=0,"",J3900/H3900)</f>
        <v>0</v>
      </c>
      <c r="L3900">
        <f>IF(OR(AND(H3900=0,ABS(J3900)&gt;=0.01),AND(H3900&lt;&gt;0,ABS(K3900)&gt;VarianceThreshold)),"Review","OK")</f>
        <v>0</v>
      </c>
      <c r="M3900" t="s">
        <v>3038</v>
      </c>
    </row>
    <row r="3901" spans="1:13">
      <c r="A3901" t="s">
        <v>6</v>
      </c>
      <c r="B3901" t="s">
        <v>299</v>
      </c>
      <c r="C3901" t="s">
        <v>33</v>
      </c>
      <c r="D3901" t="s">
        <v>3126</v>
      </c>
      <c r="E3901" cm="1">
        <f t="array" ref="E3901">_xlfn.XLOOKUP(D3901,SKU_Master!A:A,SKU_Master!B:B,"Not on master")</f>
        <v>0</v>
      </c>
      <c r="F3901" cm="1">
        <f t="array" ref="F3901">_xlfn.XLOOKUP(C3901,Account_Master!A:A,Account_Master!B:B,"Not on master")</f>
        <v>0</v>
      </c>
      <c r="G3901" cm="1">
        <f t="array" ref="G3901">_xlfn.XLOOKUP(C3901,Account_Master!A:A,Account_Master!C:C,"Not on master")</f>
        <v>0</v>
      </c>
      <c r="H3901" s="6">
        <v>0</v>
      </c>
      <c r="I3901" s="6">
        <v>1.5</v>
      </c>
      <c r="J3901" s="6">
        <f>I3901-H3901</f>
        <v>0</v>
      </c>
      <c r="K3901" s="5">
        <f>IF(H3901=0,"",J3901/H3901)</f>
        <v>0</v>
      </c>
      <c r="L3901">
        <f>IF(OR(AND(H3901=0,ABS(J3901)&gt;=0.01),AND(H3901&lt;&gt;0,ABS(K3901)&gt;VarianceThreshold)),"Review","OK")</f>
        <v>0</v>
      </c>
      <c r="M3901" t="s">
        <v>3038</v>
      </c>
    </row>
    <row r="3902" spans="1:13">
      <c r="A3902" t="s">
        <v>6</v>
      </c>
      <c r="B3902" t="s">
        <v>306</v>
      </c>
      <c r="C3902" t="s">
        <v>3078</v>
      </c>
      <c r="D3902" t="s">
        <v>1198</v>
      </c>
      <c r="E3902" cm="1">
        <f t="array" ref="E3902">_xlfn.XLOOKUP(D3902,SKU_Master!A:A,SKU_Master!B:B,"Not on master")</f>
        <v>0</v>
      </c>
      <c r="F3902" cm="1">
        <f t="array" ref="F3902">_xlfn.XLOOKUP(C3902,Account_Master!A:A,Account_Master!B:B,"Not on master")</f>
        <v>0</v>
      </c>
      <c r="G3902" cm="1">
        <f t="array" ref="G3902">_xlfn.XLOOKUP(C3902,Account_Master!A:A,Account_Master!C:C,"Not on master")</f>
        <v>0</v>
      </c>
      <c r="H3902" s="6">
        <v>48</v>
      </c>
      <c r="I3902" s="6">
        <v>48</v>
      </c>
      <c r="J3902" s="6">
        <f>I3902-H3902</f>
        <v>0</v>
      </c>
      <c r="K3902" s="5">
        <f>IF(H3902=0,"",J3902/H3902)</f>
        <v>0</v>
      </c>
      <c r="L3902">
        <f>IF(OR(AND(H3902=0,ABS(J3902)&gt;=0.01),AND(H3902&lt;&gt;0,ABS(K3902)&gt;VarianceThreshold)),"Review","OK")</f>
        <v>0</v>
      </c>
      <c r="M3902" t="s">
        <v>33</v>
      </c>
    </row>
    <row r="3903" spans="1:13">
      <c r="A3903" t="s">
        <v>6</v>
      </c>
      <c r="B3903" t="s">
        <v>306</v>
      </c>
      <c r="C3903" t="s">
        <v>3089</v>
      </c>
      <c r="D3903" t="s">
        <v>2135</v>
      </c>
      <c r="E3903" cm="1">
        <f t="array" ref="E3903">_xlfn.XLOOKUP(D3903,SKU_Master!A:A,SKU_Master!B:B,"Not on master")</f>
        <v>0</v>
      </c>
      <c r="F3903" cm="1">
        <f t="array" ref="F3903">_xlfn.XLOOKUP(C3903,Account_Master!A:A,Account_Master!B:B,"Not on master")</f>
        <v>0</v>
      </c>
      <c r="G3903" cm="1">
        <f t="array" ref="G3903">_xlfn.XLOOKUP(C3903,Account_Master!A:A,Account_Master!C:C,"Not on master")</f>
        <v>0</v>
      </c>
      <c r="H3903" s="6">
        <v>2.25</v>
      </c>
      <c r="I3903" s="6">
        <v>2.25</v>
      </c>
      <c r="J3903" s="6">
        <f>I3903-H3903</f>
        <v>0</v>
      </c>
      <c r="K3903" s="5">
        <f>IF(H3903=0,"",J3903/H3903)</f>
        <v>0</v>
      </c>
      <c r="L3903">
        <f>IF(OR(AND(H3903=0,ABS(J3903)&gt;=0.01),AND(H3903&lt;&gt;0,ABS(K3903)&gt;VarianceThreshold)),"Review","OK")</f>
        <v>0</v>
      </c>
      <c r="M3903" t="s">
        <v>33</v>
      </c>
    </row>
    <row r="3904" spans="1:13">
      <c r="A3904" t="s">
        <v>6</v>
      </c>
      <c r="B3904" t="s">
        <v>306</v>
      </c>
      <c r="C3904" t="s">
        <v>3127</v>
      </c>
      <c r="D3904" t="s">
        <v>825</v>
      </c>
      <c r="E3904" cm="1">
        <f t="array" ref="E3904">_xlfn.XLOOKUP(D3904,SKU_Master!A:A,SKU_Master!B:B,"Not on master")</f>
        <v>0</v>
      </c>
      <c r="F3904" cm="1">
        <f t="array" ref="F3904">_xlfn.XLOOKUP(C3904,Account_Master!A:A,Account_Master!B:B,"Not on master")</f>
        <v>0</v>
      </c>
      <c r="G3904" cm="1">
        <f t="array" ref="G3904">_xlfn.XLOOKUP(C3904,Account_Master!A:A,Account_Master!C:C,"Not on master")</f>
        <v>0</v>
      </c>
      <c r="H3904" s="6">
        <v>8.25</v>
      </c>
      <c r="I3904" s="6">
        <v>8.25</v>
      </c>
      <c r="J3904" s="6">
        <f>I3904-H3904</f>
        <v>0</v>
      </c>
      <c r="K3904" s="5">
        <f>IF(H3904=0,"",J3904/H3904)</f>
        <v>0</v>
      </c>
      <c r="L3904">
        <f>IF(OR(AND(H3904=0,ABS(J3904)&gt;=0.01),AND(H3904&lt;&gt;0,ABS(K3904)&gt;VarianceThreshold)),"Review","OK")</f>
        <v>0</v>
      </c>
      <c r="M3904" t="s">
        <v>33</v>
      </c>
    </row>
    <row r="3905" spans="1:13">
      <c r="A3905" t="s">
        <v>6</v>
      </c>
      <c r="B3905" t="s">
        <v>306</v>
      </c>
      <c r="C3905" t="s">
        <v>3128</v>
      </c>
      <c r="D3905" t="s">
        <v>192</v>
      </c>
      <c r="E3905" cm="1">
        <f t="array" ref="E3905">_xlfn.XLOOKUP(D3905,SKU_Master!A:A,SKU_Master!B:B,"Not on master")</f>
        <v>0</v>
      </c>
      <c r="F3905" cm="1">
        <f t="array" ref="F3905">_xlfn.XLOOKUP(C3905,Account_Master!A:A,Account_Master!B:B,"Not on master")</f>
        <v>0</v>
      </c>
      <c r="G3905" cm="1">
        <f t="array" ref="G3905">_xlfn.XLOOKUP(C3905,Account_Master!A:A,Account_Master!C:C,"Not on master")</f>
        <v>0</v>
      </c>
      <c r="H3905" s="6">
        <v>9.75</v>
      </c>
      <c r="I3905" s="6">
        <v>9</v>
      </c>
      <c r="J3905" s="6">
        <f>I3905-H3905</f>
        <v>0</v>
      </c>
      <c r="K3905" s="5">
        <f>IF(H3905=0,"",J3905/H3905)</f>
        <v>0</v>
      </c>
      <c r="L3905">
        <f>IF(OR(AND(H3905=0,ABS(J3905)&gt;=0.01),AND(H3905&lt;&gt;0,ABS(K3905)&gt;VarianceThreshold)),"Review","OK")</f>
        <v>0</v>
      </c>
      <c r="M3905" t="s">
        <v>3038</v>
      </c>
    </row>
    <row r="3906" spans="1:13">
      <c r="A3906" t="s">
        <v>6</v>
      </c>
      <c r="B3906" t="s">
        <v>313</v>
      </c>
      <c r="C3906" t="s">
        <v>3021</v>
      </c>
      <c r="D3906" t="s">
        <v>3129</v>
      </c>
      <c r="E3906" cm="1">
        <f t="array" ref="E3906">_xlfn.XLOOKUP(D3906,SKU_Master!A:A,SKU_Master!B:B,"Not on master")</f>
        <v>0</v>
      </c>
      <c r="F3906" cm="1">
        <f t="array" ref="F3906">_xlfn.XLOOKUP(C3906,Account_Master!A:A,Account_Master!B:B,"Not on master")</f>
        <v>0</v>
      </c>
      <c r="G3906" cm="1">
        <f t="array" ref="G3906">_xlfn.XLOOKUP(C3906,Account_Master!A:A,Account_Master!C:C,"Not on master")</f>
        <v>0</v>
      </c>
      <c r="H3906" s="6">
        <v>69</v>
      </c>
      <c r="I3906" s="6">
        <v>69</v>
      </c>
      <c r="J3906" s="6">
        <f>I3906-H3906</f>
        <v>0</v>
      </c>
      <c r="K3906" s="5">
        <f>IF(H3906=0,"",J3906/H3906)</f>
        <v>0</v>
      </c>
      <c r="L3906">
        <f>IF(OR(AND(H3906=0,ABS(J3906)&gt;=0.01),AND(H3906&lt;&gt;0,ABS(K3906)&gt;VarianceThreshold)),"Review","OK")</f>
        <v>0</v>
      </c>
      <c r="M3906" t="s">
        <v>33</v>
      </c>
    </row>
    <row r="3907" spans="1:13">
      <c r="A3907" t="s">
        <v>6</v>
      </c>
      <c r="B3907" t="s">
        <v>313</v>
      </c>
      <c r="C3907" t="s">
        <v>3046</v>
      </c>
      <c r="D3907" t="s">
        <v>351</v>
      </c>
      <c r="E3907" cm="1">
        <f t="array" ref="E3907">_xlfn.XLOOKUP(D3907,SKU_Master!A:A,SKU_Master!B:B,"Not on master")</f>
        <v>0</v>
      </c>
      <c r="F3907" cm="1">
        <f t="array" ref="F3907">_xlfn.XLOOKUP(C3907,Account_Master!A:A,Account_Master!B:B,"Not on master")</f>
        <v>0</v>
      </c>
      <c r="G3907" cm="1">
        <f t="array" ref="G3907">_xlfn.XLOOKUP(C3907,Account_Master!A:A,Account_Master!C:C,"Not on master")</f>
        <v>0</v>
      </c>
      <c r="H3907" s="6">
        <v>10.5</v>
      </c>
      <c r="I3907" s="6">
        <v>10.5</v>
      </c>
      <c r="J3907" s="6">
        <f>I3907-H3907</f>
        <v>0</v>
      </c>
      <c r="K3907" s="5">
        <f>IF(H3907=0,"",J3907/H3907)</f>
        <v>0</v>
      </c>
      <c r="L3907">
        <f>IF(OR(AND(H3907=0,ABS(J3907)&gt;=0.01),AND(H3907&lt;&gt;0,ABS(K3907)&gt;VarianceThreshold)),"Review","OK")</f>
        <v>0</v>
      </c>
      <c r="M3907" t="s">
        <v>33</v>
      </c>
    </row>
    <row r="3908" spans="1:13">
      <c r="A3908" t="s">
        <v>6</v>
      </c>
      <c r="B3908" t="s">
        <v>313</v>
      </c>
      <c r="C3908" t="s">
        <v>3029</v>
      </c>
      <c r="D3908" t="s">
        <v>1218</v>
      </c>
      <c r="E3908" cm="1">
        <f t="array" ref="E3908">_xlfn.XLOOKUP(D3908,SKU_Master!A:A,SKU_Master!B:B,"Not on master")</f>
        <v>0</v>
      </c>
      <c r="F3908" cm="1">
        <f t="array" ref="F3908">_xlfn.XLOOKUP(C3908,Account_Master!A:A,Account_Master!B:B,"Not on master")</f>
        <v>0</v>
      </c>
      <c r="G3908" cm="1">
        <f t="array" ref="G3908">_xlfn.XLOOKUP(C3908,Account_Master!A:A,Account_Master!C:C,"Not on master")</f>
        <v>0</v>
      </c>
      <c r="H3908" s="6">
        <v>21</v>
      </c>
      <c r="I3908" s="6">
        <v>21</v>
      </c>
      <c r="J3908" s="6">
        <f>I3908-H3908</f>
        <v>0</v>
      </c>
      <c r="K3908" s="5">
        <f>IF(H3908=0,"",J3908/H3908)</f>
        <v>0</v>
      </c>
      <c r="L3908">
        <f>IF(OR(AND(H3908=0,ABS(J3908)&gt;=0.01),AND(H3908&lt;&gt;0,ABS(K3908)&gt;VarianceThreshold)),"Review","OK")</f>
        <v>0</v>
      </c>
      <c r="M3908" t="s">
        <v>33</v>
      </c>
    </row>
    <row r="3909" spans="1:13">
      <c r="A3909" t="s">
        <v>6</v>
      </c>
      <c r="B3909" t="s">
        <v>313</v>
      </c>
      <c r="C3909" t="s">
        <v>3090</v>
      </c>
      <c r="D3909" t="s">
        <v>3130</v>
      </c>
      <c r="E3909" cm="1">
        <f t="array" ref="E3909">_xlfn.XLOOKUP(D3909,SKU_Master!A:A,SKU_Master!B:B,"Not on master")</f>
        <v>0</v>
      </c>
      <c r="F3909" cm="1">
        <f t="array" ref="F3909">_xlfn.XLOOKUP(C3909,Account_Master!A:A,Account_Master!B:B,"Not on master")</f>
        <v>0</v>
      </c>
      <c r="G3909" cm="1">
        <f t="array" ref="G3909">_xlfn.XLOOKUP(C3909,Account_Master!A:A,Account_Master!C:C,"Not on master")</f>
        <v>0</v>
      </c>
      <c r="H3909" s="6">
        <v>0.15</v>
      </c>
      <c r="I3909" s="6">
        <v>0.15</v>
      </c>
      <c r="J3909" s="6">
        <f>I3909-H3909</f>
        <v>0</v>
      </c>
      <c r="K3909" s="5">
        <f>IF(H3909=0,"",J3909/H3909)</f>
        <v>0</v>
      </c>
      <c r="L3909">
        <f>IF(OR(AND(H3909=0,ABS(J3909)&gt;=0.01),AND(H3909&lt;&gt;0,ABS(K3909)&gt;VarianceThreshold)),"Review","OK")</f>
        <v>0</v>
      </c>
      <c r="M3909" t="s">
        <v>33</v>
      </c>
    </row>
    <row r="3910" spans="1:13">
      <c r="A3910" t="s">
        <v>6</v>
      </c>
      <c r="B3910" t="s">
        <v>313</v>
      </c>
      <c r="C3910" t="s">
        <v>3066</v>
      </c>
      <c r="D3910" t="s">
        <v>1534</v>
      </c>
      <c r="E3910" cm="1">
        <f t="array" ref="E3910">_xlfn.XLOOKUP(D3910,SKU_Master!A:A,SKU_Master!B:B,"Not on master")</f>
        <v>0</v>
      </c>
      <c r="F3910" cm="1">
        <f t="array" ref="F3910">_xlfn.XLOOKUP(C3910,Account_Master!A:A,Account_Master!B:B,"Not on master")</f>
        <v>0</v>
      </c>
      <c r="G3910" cm="1">
        <f t="array" ref="G3910">_xlfn.XLOOKUP(C3910,Account_Master!A:A,Account_Master!C:C,"Not on master")</f>
        <v>0</v>
      </c>
      <c r="H3910" s="6">
        <v>9.75</v>
      </c>
      <c r="I3910" s="6">
        <v>9.75</v>
      </c>
      <c r="J3910" s="6">
        <f>I3910-H3910</f>
        <v>0</v>
      </c>
      <c r="K3910" s="5">
        <f>IF(H3910=0,"",J3910/H3910)</f>
        <v>0</v>
      </c>
      <c r="L3910">
        <f>IF(OR(AND(H3910=0,ABS(J3910)&gt;=0.01),AND(H3910&lt;&gt;0,ABS(K3910)&gt;VarianceThreshold)),"Review","OK")</f>
        <v>0</v>
      </c>
      <c r="M3910" t="s">
        <v>33</v>
      </c>
    </row>
    <row r="3911" spans="1:13">
      <c r="A3911" t="s">
        <v>6</v>
      </c>
      <c r="B3911" t="s">
        <v>313</v>
      </c>
      <c r="C3911" t="s">
        <v>33</v>
      </c>
      <c r="D3911" t="s">
        <v>3131</v>
      </c>
      <c r="E3911" cm="1">
        <f t="array" ref="E3911">_xlfn.XLOOKUP(D3911,SKU_Master!A:A,SKU_Master!B:B,"Not on master")</f>
        <v>0</v>
      </c>
      <c r="F3911" cm="1">
        <f t="array" ref="F3911">_xlfn.XLOOKUP(C3911,Account_Master!A:A,Account_Master!B:B,"Not on master")</f>
        <v>0</v>
      </c>
      <c r="G3911" cm="1">
        <f t="array" ref="G3911">_xlfn.XLOOKUP(C3911,Account_Master!A:A,Account_Master!C:C,"Not on master")</f>
        <v>0</v>
      </c>
      <c r="H3911" s="6">
        <v>0</v>
      </c>
      <c r="I3911" s="6">
        <v>0.4</v>
      </c>
      <c r="J3911" s="6">
        <f>I3911-H3911</f>
        <v>0</v>
      </c>
      <c r="K3911" s="5">
        <f>IF(H3911=0,"",J3911/H3911)</f>
        <v>0</v>
      </c>
      <c r="L3911">
        <f>IF(OR(AND(H3911=0,ABS(J3911)&gt;=0.01),AND(H3911&lt;&gt;0,ABS(K3911)&gt;VarianceThreshold)),"Review","OK")</f>
        <v>0</v>
      </c>
      <c r="M3911" t="s">
        <v>3038</v>
      </c>
    </row>
    <row r="3912" spans="1:13">
      <c r="A3912" t="s">
        <v>6</v>
      </c>
      <c r="B3912" t="s">
        <v>313</v>
      </c>
      <c r="C3912" t="s">
        <v>33</v>
      </c>
      <c r="D3912" t="s">
        <v>3132</v>
      </c>
      <c r="E3912" cm="1">
        <f t="array" ref="E3912">_xlfn.XLOOKUP(D3912,SKU_Master!A:A,SKU_Master!B:B,"Not on master")</f>
        <v>0</v>
      </c>
      <c r="F3912" cm="1">
        <f t="array" ref="F3912">_xlfn.XLOOKUP(C3912,Account_Master!A:A,Account_Master!B:B,"Not on master")</f>
        <v>0</v>
      </c>
      <c r="G3912" cm="1">
        <f t="array" ref="G3912">_xlfn.XLOOKUP(C3912,Account_Master!A:A,Account_Master!C:C,"Not on master")</f>
        <v>0</v>
      </c>
      <c r="H3912" s="6">
        <v>0</v>
      </c>
      <c r="I3912" s="6">
        <v>9</v>
      </c>
      <c r="J3912" s="6">
        <f>I3912-H3912</f>
        <v>0</v>
      </c>
      <c r="K3912" s="5">
        <f>IF(H3912=0,"",J3912/H3912)</f>
        <v>0</v>
      </c>
      <c r="L3912">
        <f>IF(OR(AND(H3912=0,ABS(J3912)&gt;=0.01),AND(H3912&lt;&gt;0,ABS(K3912)&gt;VarianceThreshold)),"Review","OK")</f>
        <v>0</v>
      </c>
      <c r="M3912" t="s">
        <v>3038</v>
      </c>
    </row>
    <row r="3913" spans="1:13">
      <c r="A3913" t="s">
        <v>6</v>
      </c>
      <c r="B3913" t="s">
        <v>313</v>
      </c>
      <c r="C3913" t="s">
        <v>33</v>
      </c>
      <c r="D3913" t="s">
        <v>3133</v>
      </c>
      <c r="E3913" cm="1">
        <f t="array" ref="E3913">_xlfn.XLOOKUP(D3913,SKU_Master!A:A,SKU_Master!B:B,"Not on master")</f>
        <v>0</v>
      </c>
      <c r="F3913" cm="1">
        <f t="array" ref="F3913">_xlfn.XLOOKUP(C3913,Account_Master!A:A,Account_Master!B:B,"Not on master")</f>
        <v>0</v>
      </c>
      <c r="G3913" cm="1">
        <f t="array" ref="G3913">_xlfn.XLOOKUP(C3913,Account_Master!A:A,Account_Master!C:C,"Not on master")</f>
        <v>0</v>
      </c>
      <c r="H3913" s="6">
        <v>0</v>
      </c>
      <c r="I3913" s="6">
        <v>9</v>
      </c>
      <c r="J3913" s="6">
        <f>I3913-H3913</f>
        <v>0</v>
      </c>
      <c r="K3913" s="5">
        <f>IF(H3913=0,"",J3913/H3913)</f>
        <v>0</v>
      </c>
      <c r="L3913">
        <f>IF(OR(AND(H3913=0,ABS(J3913)&gt;=0.01),AND(H3913&lt;&gt;0,ABS(K3913)&gt;VarianceThreshold)),"Review","OK")</f>
        <v>0</v>
      </c>
      <c r="M3913" t="s">
        <v>3038</v>
      </c>
    </row>
    <row r="3914" spans="1:13">
      <c r="A3914" t="s">
        <v>6</v>
      </c>
      <c r="B3914" t="s">
        <v>324</v>
      </c>
      <c r="C3914" t="s">
        <v>3076</v>
      </c>
      <c r="D3914" t="s">
        <v>51</v>
      </c>
      <c r="E3914" cm="1">
        <f t="array" ref="E3914">_xlfn.XLOOKUP(D3914,SKU_Master!A:A,SKU_Master!B:B,"Not on master")</f>
        <v>0</v>
      </c>
      <c r="F3914" cm="1">
        <f t="array" ref="F3914">_xlfn.XLOOKUP(C3914,Account_Master!A:A,Account_Master!B:B,"Not on master")</f>
        <v>0</v>
      </c>
      <c r="G3914" cm="1">
        <f t="array" ref="G3914">_xlfn.XLOOKUP(C3914,Account_Master!A:A,Account_Master!C:C,"Not on master")</f>
        <v>0</v>
      </c>
      <c r="H3914" s="6">
        <v>34.87</v>
      </c>
      <c r="I3914" s="6">
        <v>34.87</v>
      </c>
      <c r="J3914" s="6">
        <f>I3914-H3914</f>
        <v>0</v>
      </c>
      <c r="K3914" s="5">
        <f>IF(H3914=0,"",J3914/H3914)</f>
        <v>0</v>
      </c>
      <c r="L3914">
        <f>IF(OR(AND(H3914=0,ABS(J3914)&gt;=0.01),AND(H3914&lt;&gt;0,ABS(K3914)&gt;VarianceThreshold)),"Review","OK")</f>
        <v>0</v>
      </c>
      <c r="M3914" t="s">
        <v>33</v>
      </c>
    </row>
    <row r="3915" spans="1:13">
      <c r="A3915" t="s">
        <v>6</v>
      </c>
      <c r="B3915" t="s">
        <v>324</v>
      </c>
      <c r="C3915" t="s">
        <v>3041</v>
      </c>
      <c r="D3915" t="s">
        <v>3134</v>
      </c>
      <c r="E3915" cm="1">
        <f t="array" ref="E3915">_xlfn.XLOOKUP(D3915,SKU_Master!A:A,SKU_Master!B:B,"Not on master")</f>
        <v>0</v>
      </c>
      <c r="F3915" cm="1">
        <f t="array" ref="F3915">_xlfn.XLOOKUP(C3915,Account_Master!A:A,Account_Master!B:B,"Not on master")</f>
        <v>0</v>
      </c>
      <c r="G3915" cm="1">
        <f t="array" ref="G3915">_xlfn.XLOOKUP(C3915,Account_Master!A:A,Account_Master!C:C,"Not on master")</f>
        <v>0</v>
      </c>
      <c r="H3915" s="6">
        <v>42</v>
      </c>
      <c r="I3915" s="6">
        <v>10.5</v>
      </c>
      <c r="J3915" s="6">
        <f>I3915-H3915</f>
        <v>0</v>
      </c>
      <c r="K3915" s="5">
        <f>IF(H3915=0,"",J3915/H3915)</f>
        <v>0</v>
      </c>
      <c r="L3915">
        <f>IF(OR(AND(H3915=0,ABS(J3915)&gt;=0.01),AND(H3915&lt;&gt;0,ABS(K3915)&gt;VarianceThreshold)),"Review","OK")</f>
        <v>0</v>
      </c>
      <c r="M3915" t="s">
        <v>3038</v>
      </c>
    </row>
    <row r="3916" spans="1:13">
      <c r="A3916" t="s">
        <v>6</v>
      </c>
      <c r="B3916" t="s">
        <v>324</v>
      </c>
      <c r="C3916" t="s">
        <v>3135</v>
      </c>
      <c r="D3916" t="s">
        <v>3136</v>
      </c>
      <c r="E3916" cm="1">
        <f t="array" ref="E3916">_xlfn.XLOOKUP(D3916,SKU_Master!A:A,SKU_Master!B:B,"Not on master")</f>
        <v>0</v>
      </c>
      <c r="F3916" cm="1">
        <f t="array" ref="F3916">_xlfn.XLOOKUP(C3916,Account_Master!A:A,Account_Master!B:B,"Not on master")</f>
        <v>0</v>
      </c>
      <c r="G3916" cm="1">
        <f t="array" ref="G3916">_xlfn.XLOOKUP(C3916,Account_Master!A:A,Account_Master!C:C,"Not on master")</f>
        <v>0</v>
      </c>
      <c r="H3916" s="6">
        <v>0.75</v>
      </c>
      <c r="I3916" s="6">
        <v>0.75</v>
      </c>
      <c r="J3916" s="6">
        <f>I3916-H3916</f>
        <v>0</v>
      </c>
      <c r="K3916" s="5">
        <f>IF(H3916=0,"",J3916/H3916)</f>
        <v>0</v>
      </c>
      <c r="L3916">
        <f>IF(OR(AND(H3916=0,ABS(J3916)&gt;=0.01),AND(H3916&lt;&gt;0,ABS(K3916)&gt;VarianceThreshold)),"Review","OK")</f>
        <v>0</v>
      </c>
      <c r="M3916" t="s">
        <v>33</v>
      </c>
    </row>
    <row r="3917" spans="1:13">
      <c r="A3917" t="s">
        <v>6</v>
      </c>
      <c r="B3917" t="s">
        <v>324</v>
      </c>
      <c r="C3917" t="s">
        <v>33</v>
      </c>
      <c r="D3917" t="s">
        <v>3137</v>
      </c>
      <c r="E3917" cm="1">
        <f t="array" ref="E3917">_xlfn.XLOOKUP(D3917,SKU_Master!A:A,SKU_Master!B:B,"Not on master")</f>
        <v>0</v>
      </c>
      <c r="F3917" cm="1">
        <f t="array" ref="F3917">_xlfn.XLOOKUP(C3917,Account_Master!A:A,Account_Master!B:B,"Not on master")</f>
        <v>0</v>
      </c>
      <c r="G3917" cm="1">
        <f t="array" ref="G3917">_xlfn.XLOOKUP(C3917,Account_Master!A:A,Account_Master!C:C,"Not on master")</f>
        <v>0</v>
      </c>
      <c r="H3917" s="6">
        <v>0</v>
      </c>
      <c r="I3917" s="6">
        <v>0.75</v>
      </c>
      <c r="J3917" s="6">
        <f>I3917-H3917</f>
        <v>0</v>
      </c>
      <c r="K3917" s="5">
        <f>IF(H3917=0,"",J3917/H3917)</f>
        <v>0</v>
      </c>
      <c r="L3917">
        <f>IF(OR(AND(H3917=0,ABS(J3917)&gt;=0.01),AND(H3917&lt;&gt;0,ABS(K3917)&gt;VarianceThreshold)),"Review","OK")</f>
        <v>0</v>
      </c>
      <c r="M3917" t="s">
        <v>3038</v>
      </c>
    </row>
    <row r="3918" spans="1:13">
      <c r="A3918" t="s">
        <v>6</v>
      </c>
      <c r="B3918" t="s">
        <v>331</v>
      </c>
      <c r="C3918" t="s">
        <v>3024</v>
      </c>
      <c r="D3918" t="s">
        <v>3138</v>
      </c>
      <c r="E3918" cm="1">
        <f t="array" ref="E3918">_xlfn.XLOOKUP(D3918,SKU_Master!A:A,SKU_Master!B:B,"Not on master")</f>
        <v>0</v>
      </c>
      <c r="F3918" cm="1">
        <f t="array" ref="F3918">_xlfn.XLOOKUP(C3918,Account_Master!A:A,Account_Master!B:B,"Not on master")</f>
        <v>0</v>
      </c>
      <c r="G3918" cm="1">
        <f t="array" ref="G3918">_xlfn.XLOOKUP(C3918,Account_Master!A:A,Account_Master!C:C,"Not on master")</f>
        <v>0</v>
      </c>
      <c r="H3918" s="6">
        <v>0.15</v>
      </c>
      <c r="I3918" s="6">
        <v>0.15</v>
      </c>
      <c r="J3918" s="6">
        <f>I3918-H3918</f>
        <v>0</v>
      </c>
      <c r="K3918" s="5">
        <f>IF(H3918=0,"",J3918/H3918)</f>
        <v>0</v>
      </c>
      <c r="L3918">
        <f>IF(OR(AND(H3918=0,ABS(J3918)&gt;=0.01),AND(H3918&lt;&gt;0,ABS(K3918)&gt;VarianceThreshold)),"Review","OK")</f>
        <v>0</v>
      </c>
      <c r="M3918" t="s">
        <v>33</v>
      </c>
    </row>
    <row r="3919" spans="1:13">
      <c r="A3919" t="s">
        <v>6</v>
      </c>
      <c r="B3919" t="s">
        <v>331</v>
      </c>
      <c r="C3919" t="s">
        <v>3046</v>
      </c>
      <c r="D3919" t="s">
        <v>3139</v>
      </c>
      <c r="E3919" cm="1">
        <f t="array" ref="E3919">_xlfn.XLOOKUP(D3919,SKU_Master!A:A,SKU_Master!B:B,"Not on master")</f>
        <v>0</v>
      </c>
      <c r="F3919" cm="1">
        <f t="array" ref="F3919">_xlfn.XLOOKUP(C3919,Account_Master!A:A,Account_Master!B:B,"Not on master")</f>
        <v>0</v>
      </c>
      <c r="G3919" cm="1">
        <f t="array" ref="G3919">_xlfn.XLOOKUP(C3919,Account_Master!A:A,Account_Master!C:C,"Not on master")</f>
        <v>0</v>
      </c>
      <c r="H3919" s="6">
        <v>2.25</v>
      </c>
      <c r="I3919" s="6">
        <v>2.25</v>
      </c>
      <c r="J3919" s="6">
        <f>I3919-H3919</f>
        <v>0</v>
      </c>
      <c r="K3919" s="5">
        <f>IF(H3919=0,"",J3919/H3919)</f>
        <v>0</v>
      </c>
      <c r="L3919">
        <f>IF(OR(AND(H3919=0,ABS(J3919)&gt;=0.01),AND(H3919&lt;&gt;0,ABS(K3919)&gt;VarianceThreshold)),"Review","OK")</f>
        <v>0</v>
      </c>
      <c r="M3919" t="s">
        <v>33</v>
      </c>
    </row>
    <row r="3920" spans="1:13">
      <c r="A3920" t="s">
        <v>6</v>
      </c>
      <c r="B3920" t="s">
        <v>331</v>
      </c>
      <c r="C3920" t="s">
        <v>3140</v>
      </c>
      <c r="D3920" t="s">
        <v>1807</v>
      </c>
      <c r="E3920" cm="1">
        <f t="array" ref="E3920">_xlfn.XLOOKUP(D3920,SKU_Master!A:A,SKU_Master!B:B,"Not on master")</f>
        <v>0</v>
      </c>
      <c r="F3920" cm="1">
        <f t="array" ref="F3920">_xlfn.XLOOKUP(C3920,Account_Master!A:A,Account_Master!B:B,"Not on master")</f>
        <v>0</v>
      </c>
      <c r="G3920" cm="1">
        <f t="array" ref="G3920">_xlfn.XLOOKUP(C3920,Account_Master!A:A,Account_Master!C:C,"Not on master")</f>
        <v>0</v>
      </c>
      <c r="H3920" s="6">
        <v>72</v>
      </c>
      <c r="I3920" s="6">
        <v>72</v>
      </c>
      <c r="J3920" s="6">
        <f>I3920-H3920</f>
        <v>0</v>
      </c>
      <c r="K3920" s="5">
        <f>IF(H3920=0,"",J3920/H3920)</f>
        <v>0</v>
      </c>
      <c r="L3920">
        <f>IF(OR(AND(H3920=0,ABS(J3920)&gt;=0.01),AND(H3920&lt;&gt;0,ABS(K3920)&gt;VarianceThreshold)),"Review","OK")</f>
        <v>0</v>
      </c>
      <c r="M3920" t="s">
        <v>33</v>
      </c>
    </row>
    <row r="3921" spans="1:13">
      <c r="A3921" t="s">
        <v>6</v>
      </c>
      <c r="B3921" t="s">
        <v>331</v>
      </c>
      <c r="C3921" t="s">
        <v>3021</v>
      </c>
      <c r="D3921" t="s">
        <v>1569</v>
      </c>
      <c r="E3921" cm="1">
        <f t="array" ref="E3921">_xlfn.XLOOKUP(D3921,SKU_Master!A:A,SKU_Master!B:B,"Not on master")</f>
        <v>0</v>
      </c>
      <c r="F3921" cm="1">
        <f t="array" ref="F3921">_xlfn.XLOOKUP(C3921,Account_Master!A:A,Account_Master!B:B,"Not on master")</f>
        <v>0</v>
      </c>
      <c r="G3921" cm="1">
        <f t="array" ref="G3921">_xlfn.XLOOKUP(C3921,Account_Master!A:A,Account_Master!C:C,"Not on master")</f>
        <v>0</v>
      </c>
      <c r="H3921" s="6">
        <v>13.5</v>
      </c>
      <c r="I3921" s="6">
        <v>4.5</v>
      </c>
      <c r="J3921" s="6">
        <f>I3921-H3921</f>
        <v>0</v>
      </c>
      <c r="K3921" s="5">
        <f>IF(H3921=0,"",J3921/H3921)</f>
        <v>0</v>
      </c>
      <c r="L3921">
        <f>IF(OR(AND(H3921=0,ABS(J3921)&gt;=0.01),AND(H3921&lt;&gt;0,ABS(K3921)&gt;VarianceThreshold)),"Review","OK")</f>
        <v>0</v>
      </c>
      <c r="M3921" t="s">
        <v>3038</v>
      </c>
    </row>
    <row r="3922" spans="1:13">
      <c r="A3922" t="s">
        <v>6</v>
      </c>
      <c r="B3922" t="s">
        <v>331</v>
      </c>
      <c r="C3922" t="s">
        <v>3039</v>
      </c>
      <c r="D3922" t="s">
        <v>1445</v>
      </c>
      <c r="E3922" cm="1">
        <f t="array" ref="E3922">_xlfn.XLOOKUP(D3922,SKU_Master!A:A,SKU_Master!B:B,"Not on master")</f>
        <v>0</v>
      </c>
      <c r="F3922" cm="1">
        <f t="array" ref="F3922">_xlfn.XLOOKUP(C3922,Account_Master!A:A,Account_Master!B:B,"Not on master")</f>
        <v>0</v>
      </c>
      <c r="G3922" cm="1">
        <f t="array" ref="G3922">_xlfn.XLOOKUP(C3922,Account_Master!A:A,Account_Master!C:C,"Not on master")</f>
        <v>0</v>
      </c>
      <c r="H3922" s="6">
        <v>46.5</v>
      </c>
      <c r="I3922" s="6">
        <v>46.5</v>
      </c>
      <c r="J3922" s="6">
        <f>I3922-H3922</f>
        <v>0</v>
      </c>
      <c r="K3922" s="5">
        <f>IF(H3922=0,"",J3922/H3922)</f>
        <v>0</v>
      </c>
      <c r="L3922">
        <f>IF(OR(AND(H3922=0,ABS(J3922)&gt;=0.01),AND(H3922&lt;&gt;0,ABS(K3922)&gt;VarianceThreshold)),"Review","OK")</f>
        <v>0</v>
      </c>
      <c r="M3922" t="s">
        <v>33</v>
      </c>
    </row>
    <row r="3923" spans="1:13">
      <c r="A3923" t="s">
        <v>6</v>
      </c>
      <c r="B3923" t="s">
        <v>331</v>
      </c>
      <c r="C3923" t="s">
        <v>3061</v>
      </c>
      <c r="D3923" t="s">
        <v>605</v>
      </c>
      <c r="E3923" cm="1">
        <f t="array" ref="E3923">_xlfn.XLOOKUP(D3923,SKU_Master!A:A,SKU_Master!B:B,"Not on master")</f>
        <v>0</v>
      </c>
      <c r="F3923" cm="1">
        <f t="array" ref="F3923">_xlfn.XLOOKUP(C3923,Account_Master!A:A,Account_Master!B:B,"Not on master")</f>
        <v>0</v>
      </c>
      <c r="G3923" cm="1">
        <f t="array" ref="G3923">_xlfn.XLOOKUP(C3923,Account_Master!A:A,Account_Master!C:C,"Not on master")</f>
        <v>0</v>
      </c>
      <c r="H3923" s="6">
        <v>0.4</v>
      </c>
      <c r="I3923" s="6">
        <v>0.4</v>
      </c>
      <c r="J3923" s="6">
        <f>I3923-H3923</f>
        <v>0</v>
      </c>
      <c r="K3923" s="5">
        <f>IF(H3923=0,"",J3923/H3923)</f>
        <v>0</v>
      </c>
      <c r="L3923">
        <f>IF(OR(AND(H3923=0,ABS(J3923)&gt;=0.01),AND(H3923&lt;&gt;0,ABS(K3923)&gt;VarianceThreshold)),"Review","OK")</f>
        <v>0</v>
      </c>
      <c r="M3923" t="s">
        <v>33</v>
      </c>
    </row>
    <row r="3924" spans="1:13">
      <c r="A3924" t="s">
        <v>6</v>
      </c>
      <c r="B3924" t="s">
        <v>331</v>
      </c>
      <c r="C3924" t="s">
        <v>33</v>
      </c>
      <c r="D3924" t="s">
        <v>3141</v>
      </c>
      <c r="E3924" cm="1">
        <f t="array" ref="E3924">_xlfn.XLOOKUP(D3924,SKU_Master!A:A,SKU_Master!B:B,"Not on master")</f>
        <v>0</v>
      </c>
      <c r="F3924" cm="1">
        <f t="array" ref="F3924">_xlfn.XLOOKUP(C3924,Account_Master!A:A,Account_Master!B:B,"Not on master")</f>
        <v>0</v>
      </c>
      <c r="G3924" cm="1">
        <f t="array" ref="G3924">_xlfn.XLOOKUP(C3924,Account_Master!A:A,Account_Master!C:C,"Not on master")</f>
        <v>0</v>
      </c>
      <c r="H3924" s="6">
        <v>0</v>
      </c>
      <c r="I3924" s="6">
        <v>2.25</v>
      </c>
      <c r="J3924" s="6">
        <f>I3924-H3924</f>
        <v>0</v>
      </c>
      <c r="K3924" s="5">
        <f>IF(H3924=0,"",J3924/H3924)</f>
        <v>0</v>
      </c>
      <c r="L3924">
        <f>IF(OR(AND(H3924=0,ABS(J3924)&gt;=0.01),AND(H3924&lt;&gt;0,ABS(K3924)&gt;VarianceThreshold)),"Review","OK")</f>
        <v>0</v>
      </c>
      <c r="M3924" t="s">
        <v>3038</v>
      </c>
    </row>
    <row r="3925" spans="1:13">
      <c r="A3925" t="s">
        <v>6</v>
      </c>
      <c r="B3925" t="s">
        <v>335</v>
      </c>
      <c r="C3925" t="s">
        <v>3029</v>
      </c>
      <c r="D3925" t="s">
        <v>455</v>
      </c>
      <c r="E3925" cm="1">
        <f t="array" ref="E3925">_xlfn.XLOOKUP(D3925,SKU_Master!A:A,SKU_Master!B:B,"Not on master")</f>
        <v>0</v>
      </c>
      <c r="F3925" cm="1">
        <f t="array" ref="F3925">_xlfn.XLOOKUP(C3925,Account_Master!A:A,Account_Master!B:B,"Not on master")</f>
        <v>0</v>
      </c>
      <c r="G3925" cm="1">
        <f t="array" ref="G3925">_xlfn.XLOOKUP(C3925,Account_Master!A:A,Account_Master!C:C,"Not on master")</f>
        <v>0</v>
      </c>
      <c r="H3925" s="6">
        <v>12</v>
      </c>
      <c r="I3925" s="6">
        <v>12</v>
      </c>
      <c r="J3925" s="6">
        <f>I3925-H3925</f>
        <v>0</v>
      </c>
      <c r="K3925" s="5">
        <f>IF(H3925=0,"",J3925/H3925)</f>
        <v>0</v>
      </c>
      <c r="L3925">
        <f>IF(OR(AND(H3925=0,ABS(J3925)&gt;=0.01),AND(H3925&lt;&gt;0,ABS(K3925)&gt;VarianceThreshold)),"Review","OK")</f>
        <v>0</v>
      </c>
      <c r="M3925" t="s">
        <v>33</v>
      </c>
    </row>
    <row r="3926" spans="1:13">
      <c r="A3926" t="s">
        <v>6</v>
      </c>
      <c r="B3926" t="s">
        <v>335</v>
      </c>
      <c r="C3926" t="s">
        <v>3142</v>
      </c>
      <c r="D3926" t="s">
        <v>2755</v>
      </c>
      <c r="E3926" cm="1">
        <f t="array" ref="E3926">_xlfn.XLOOKUP(D3926,SKU_Master!A:A,SKU_Master!B:B,"Not on master")</f>
        <v>0</v>
      </c>
      <c r="F3926" cm="1">
        <f t="array" ref="F3926">_xlfn.XLOOKUP(C3926,Account_Master!A:A,Account_Master!B:B,"Not on master")</f>
        <v>0</v>
      </c>
      <c r="G3926" cm="1">
        <f t="array" ref="G3926">_xlfn.XLOOKUP(C3926,Account_Master!A:A,Account_Master!C:C,"Not on master")</f>
        <v>0</v>
      </c>
      <c r="H3926" s="6">
        <v>10.5</v>
      </c>
      <c r="I3926" s="6">
        <v>10.5</v>
      </c>
      <c r="J3926" s="6">
        <f>I3926-H3926</f>
        <v>0</v>
      </c>
      <c r="K3926" s="5">
        <f>IF(H3926=0,"",J3926/H3926)</f>
        <v>0</v>
      </c>
      <c r="L3926">
        <f>IF(OR(AND(H3926=0,ABS(J3926)&gt;=0.01),AND(H3926&lt;&gt;0,ABS(K3926)&gt;VarianceThreshold)),"Review","OK")</f>
        <v>0</v>
      </c>
      <c r="M3926" t="s">
        <v>33</v>
      </c>
    </row>
    <row r="3927" spans="1:13">
      <c r="A3927" t="s">
        <v>6</v>
      </c>
      <c r="B3927" t="s">
        <v>335</v>
      </c>
      <c r="C3927" t="s">
        <v>3114</v>
      </c>
      <c r="D3927" t="s">
        <v>1593</v>
      </c>
      <c r="E3927" cm="1">
        <f t="array" ref="E3927">_xlfn.XLOOKUP(D3927,SKU_Master!A:A,SKU_Master!B:B,"Not on master")</f>
        <v>0</v>
      </c>
      <c r="F3927" cm="1">
        <f t="array" ref="F3927">_xlfn.XLOOKUP(C3927,Account_Master!A:A,Account_Master!B:B,"Not on master")</f>
        <v>0</v>
      </c>
      <c r="G3927" cm="1">
        <f t="array" ref="G3927">_xlfn.XLOOKUP(C3927,Account_Master!A:A,Account_Master!C:C,"Not on master")</f>
        <v>0</v>
      </c>
      <c r="H3927" s="6">
        <v>7.12</v>
      </c>
      <c r="I3927" s="6">
        <v>7.12</v>
      </c>
      <c r="J3927" s="6">
        <f>I3927-H3927</f>
        <v>0</v>
      </c>
      <c r="K3927" s="5">
        <f>IF(H3927=0,"",J3927/H3927)</f>
        <v>0</v>
      </c>
      <c r="L3927">
        <f>IF(OR(AND(H3927=0,ABS(J3927)&gt;=0.01),AND(H3927&lt;&gt;0,ABS(K3927)&gt;VarianceThreshold)),"Review","OK")</f>
        <v>0</v>
      </c>
      <c r="M3927" t="s">
        <v>33</v>
      </c>
    </row>
    <row r="3928" spans="1:13">
      <c r="A3928" t="s">
        <v>6</v>
      </c>
      <c r="B3928" t="s">
        <v>335</v>
      </c>
      <c r="C3928" t="s">
        <v>3143</v>
      </c>
      <c r="D3928" t="s">
        <v>678</v>
      </c>
      <c r="E3928" cm="1">
        <f t="array" ref="E3928">_xlfn.XLOOKUP(D3928,SKU_Master!A:A,SKU_Master!B:B,"Not on master")</f>
        <v>0</v>
      </c>
      <c r="F3928" cm="1">
        <f t="array" ref="F3928">_xlfn.XLOOKUP(C3928,Account_Master!A:A,Account_Master!B:B,"Not on master")</f>
        <v>0</v>
      </c>
      <c r="G3928" cm="1">
        <f t="array" ref="G3928">_xlfn.XLOOKUP(C3928,Account_Master!A:A,Account_Master!C:C,"Not on master")</f>
        <v>0</v>
      </c>
      <c r="H3928" s="6">
        <v>10.5</v>
      </c>
      <c r="I3928" s="6">
        <v>10.5</v>
      </c>
      <c r="J3928" s="6">
        <f>I3928-H3928</f>
        <v>0</v>
      </c>
      <c r="K3928" s="5">
        <f>IF(H3928=0,"",J3928/H3928)</f>
        <v>0</v>
      </c>
      <c r="L3928">
        <f>IF(OR(AND(H3928=0,ABS(J3928)&gt;=0.01),AND(H3928&lt;&gt;0,ABS(K3928)&gt;VarianceThreshold)),"Review","OK")</f>
        <v>0</v>
      </c>
      <c r="M3928" t="s">
        <v>33</v>
      </c>
    </row>
    <row r="3929" spans="1:13">
      <c r="A3929" t="s">
        <v>6</v>
      </c>
      <c r="B3929" t="s">
        <v>335</v>
      </c>
      <c r="C3929" t="s">
        <v>33</v>
      </c>
      <c r="D3929" t="s">
        <v>3144</v>
      </c>
      <c r="E3929" cm="1">
        <f t="array" ref="E3929">_xlfn.XLOOKUP(D3929,SKU_Master!A:A,SKU_Master!B:B,"Not on master")</f>
        <v>0</v>
      </c>
      <c r="F3929" cm="1">
        <f t="array" ref="F3929">_xlfn.XLOOKUP(C3929,Account_Master!A:A,Account_Master!B:B,"Not on master")</f>
        <v>0</v>
      </c>
      <c r="G3929" cm="1">
        <f t="array" ref="G3929">_xlfn.XLOOKUP(C3929,Account_Master!A:A,Account_Master!C:C,"Not on master")</f>
        <v>0</v>
      </c>
      <c r="H3929" s="6">
        <v>0</v>
      </c>
      <c r="I3929" s="6">
        <v>0.75</v>
      </c>
      <c r="J3929" s="6">
        <f>I3929-H3929</f>
        <v>0</v>
      </c>
      <c r="K3929" s="5">
        <f>IF(H3929=0,"",J3929/H3929)</f>
        <v>0</v>
      </c>
      <c r="L3929">
        <f>IF(OR(AND(H3929=0,ABS(J3929)&gt;=0.01),AND(H3929&lt;&gt;0,ABS(K3929)&gt;VarianceThreshold)),"Review","OK")</f>
        <v>0</v>
      </c>
      <c r="M3929" t="s">
        <v>3038</v>
      </c>
    </row>
    <row r="3930" spans="1:13">
      <c r="A3930" t="s">
        <v>6</v>
      </c>
      <c r="B3930" t="s">
        <v>345</v>
      </c>
      <c r="C3930" t="s">
        <v>3073</v>
      </c>
      <c r="D3930" t="s">
        <v>368</v>
      </c>
      <c r="E3930" cm="1">
        <f t="array" ref="E3930">_xlfn.XLOOKUP(D3930,SKU_Master!A:A,SKU_Master!B:B,"Not on master")</f>
        <v>0</v>
      </c>
      <c r="F3930" cm="1">
        <f t="array" ref="F3930">_xlfn.XLOOKUP(C3930,Account_Master!A:A,Account_Master!B:B,"Not on master")</f>
        <v>0</v>
      </c>
      <c r="G3930" cm="1">
        <f t="array" ref="G3930">_xlfn.XLOOKUP(C3930,Account_Master!A:A,Account_Master!C:C,"Not on master")</f>
        <v>0</v>
      </c>
      <c r="H3930" s="6">
        <v>1.5</v>
      </c>
      <c r="I3930" s="6">
        <v>1.5</v>
      </c>
      <c r="J3930" s="6">
        <f>I3930-H3930</f>
        <v>0</v>
      </c>
      <c r="K3930" s="5">
        <f>IF(H3930=0,"",J3930/H3930)</f>
        <v>0</v>
      </c>
      <c r="L3930">
        <f>IF(OR(AND(H3930=0,ABS(J3930)&gt;=0.01),AND(H3930&lt;&gt;0,ABS(K3930)&gt;VarianceThreshold)),"Review","OK")</f>
        <v>0</v>
      </c>
      <c r="M3930" t="s">
        <v>33</v>
      </c>
    </row>
    <row r="3931" spans="1:13">
      <c r="A3931" t="s">
        <v>6</v>
      </c>
      <c r="B3931" t="s">
        <v>345</v>
      </c>
      <c r="C3931" t="s">
        <v>3121</v>
      </c>
      <c r="D3931" t="s">
        <v>638</v>
      </c>
      <c r="E3931" cm="1">
        <f t="array" ref="E3931">_xlfn.XLOOKUP(D3931,SKU_Master!A:A,SKU_Master!B:B,"Not on master")</f>
        <v>0</v>
      </c>
      <c r="F3931" cm="1">
        <f t="array" ref="F3931">_xlfn.XLOOKUP(C3931,Account_Master!A:A,Account_Master!B:B,"Not on master")</f>
        <v>0</v>
      </c>
      <c r="G3931" cm="1">
        <f t="array" ref="G3931">_xlfn.XLOOKUP(C3931,Account_Master!A:A,Account_Master!C:C,"Not on master")</f>
        <v>0</v>
      </c>
      <c r="H3931" s="6">
        <v>0.37</v>
      </c>
      <c r="I3931" s="6">
        <v>0.37</v>
      </c>
      <c r="J3931" s="6">
        <f>I3931-H3931</f>
        <v>0</v>
      </c>
      <c r="K3931" s="5">
        <f>IF(H3931=0,"",J3931/H3931)</f>
        <v>0</v>
      </c>
      <c r="L3931">
        <f>IF(OR(AND(H3931=0,ABS(J3931)&gt;=0.01),AND(H3931&lt;&gt;0,ABS(K3931)&gt;VarianceThreshold)),"Review","OK")</f>
        <v>0</v>
      </c>
      <c r="M3931" t="s">
        <v>33</v>
      </c>
    </row>
    <row r="3932" spans="1:13">
      <c r="A3932" t="s">
        <v>6</v>
      </c>
      <c r="B3932" t="s">
        <v>345</v>
      </c>
      <c r="C3932" t="s">
        <v>3039</v>
      </c>
      <c r="D3932" t="s">
        <v>1918</v>
      </c>
      <c r="E3932" cm="1">
        <f t="array" ref="E3932">_xlfn.XLOOKUP(D3932,SKU_Master!A:A,SKU_Master!B:B,"Not on master")</f>
        <v>0</v>
      </c>
      <c r="F3932" cm="1">
        <f t="array" ref="F3932">_xlfn.XLOOKUP(C3932,Account_Master!A:A,Account_Master!B:B,"Not on master")</f>
        <v>0</v>
      </c>
      <c r="G3932" cm="1">
        <f t="array" ref="G3932">_xlfn.XLOOKUP(C3932,Account_Master!A:A,Account_Master!C:C,"Not on master")</f>
        <v>0</v>
      </c>
      <c r="H3932" s="6">
        <v>89.25</v>
      </c>
      <c r="I3932" s="6">
        <v>89.25</v>
      </c>
      <c r="J3932" s="6">
        <f>I3932-H3932</f>
        <v>0</v>
      </c>
      <c r="K3932" s="5">
        <f>IF(H3932=0,"",J3932/H3932)</f>
        <v>0</v>
      </c>
      <c r="L3932">
        <f>IF(OR(AND(H3932=0,ABS(J3932)&gt;=0.01),AND(H3932&lt;&gt;0,ABS(K3932)&gt;VarianceThreshold)),"Review","OK")</f>
        <v>0</v>
      </c>
      <c r="M3932" t="s">
        <v>33</v>
      </c>
    </row>
    <row r="3933" spans="1:13">
      <c r="A3933" t="s">
        <v>6</v>
      </c>
      <c r="B3933" t="s">
        <v>345</v>
      </c>
      <c r="C3933" t="s">
        <v>3102</v>
      </c>
      <c r="D3933" t="s">
        <v>2608</v>
      </c>
      <c r="E3933" cm="1">
        <f t="array" ref="E3933">_xlfn.XLOOKUP(D3933,SKU_Master!A:A,SKU_Master!B:B,"Not on master")</f>
        <v>0</v>
      </c>
      <c r="F3933" cm="1">
        <f t="array" ref="F3933">_xlfn.XLOOKUP(C3933,Account_Master!A:A,Account_Master!B:B,"Not on master")</f>
        <v>0</v>
      </c>
      <c r="G3933" cm="1">
        <f t="array" ref="G3933">_xlfn.XLOOKUP(C3933,Account_Master!A:A,Account_Master!C:C,"Not on master")</f>
        <v>0</v>
      </c>
      <c r="H3933" s="6">
        <v>169.5</v>
      </c>
      <c r="I3933" s="6">
        <v>160.5</v>
      </c>
      <c r="J3933" s="6">
        <f>I3933-H3933</f>
        <v>0</v>
      </c>
      <c r="K3933" s="5">
        <f>IF(H3933=0,"",J3933/H3933)</f>
        <v>0</v>
      </c>
      <c r="L3933">
        <f>IF(OR(AND(H3933=0,ABS(J3933)&gt;=0.01),AND(H3933&lt;&gt;0,ABS(K3933)&gt;VarianceThreshold)),"Review","OK")</f>
        <v>0</v>
      </c>
      <c r="M3933" t="s">
        <v>3038</v>
      </c>
    </row>
    <row r="3934" spans="1:13">
      <c r="A3934" t="s">
        <v>6</v>
      </c>
      <c r="B3934" t="s">
        <v>345</v>
      </c>
      <c r="C3934" t="s">
        <v>3145</v>
      </c>
      <c r="D3934" t="s">
        <v>1045</v>
      </c>
      <c r="E3934" cm="1">
        <f t="array" ref="E3934">_xlfn.XLOOKUP(D3934,SKU_Master!A:A,SKU_Master!B:B,"Not on master")</f>
        <v>0</v>
      </c>
      <c r="F3934" cm="1">
        <f t="array" ref="F3934">_xlfn.XLOOKUP(C3934,Account_Master!A:A,Account_Master!B:B,"Not on master")</f>
        <v>0</v>
      </c>
      <c r="G3934" cm="1">
        <f t="array" ref="G3934">_xlfn.XLOOKUP(C3934,Account_Master!A:A,Account_Master!C:C,"Not on master")</f>
        <v>0</v>
      </c>
      <c r="H3934" s="6">
        <v>14</v>
      </c>
      <c r="I3934" s="6">
        <v>14</v>
      </c>
      <c r="J3934" s="6">
        <f>I3934-H3934</f>
        <v>0</v>
      </c>
      <c r="K3934" s="5">
        <f>IF(H3934=0,"",J3934/H3934)</f>
        <v>0</v>
      </c>
      <c r="L3934">
        <f>IF(OR(AND(H3934=0,ABS(J3934)&gt;=0.01),AND(H3934&lt;&gt;0,ABS(K3934)&gt;VarianceThreshold)),"Review","OK")</f>
        <v>0</v>
      </c>
      <c r="M3934" t="s">
        <v>33</v>
      </c>
    </row>
    <row r="3935" spans="1:13">
      <c r="A3935" t="s">
        <v>6</v>
      </c>
      <c r="B3935" t="s">
        <v>345</v>
      </c>
      <c r="C3935" t="s">
        <v>3031</v>
      </c>
      <c r="D3935" t="s">
        <v>1720</v>
      </c>
      <c r="E3935" cm="1">
        <f t="array" ref="E3935">_xlfn.XLOOKUP(D3935,SKU_Master!A:A,SKU_Master!B:B,"Not on master")</f>
        <v>0</v>
      </c>
      <c r="F3935" cm="1">
        <f t="array" ref="F3935">_xlfn.XLOOKUP(C3935,Account_Master!A:A,Account_Master!B:B,"Not on master")</f>
        <v>0</v>
      </c>
      <c r="G3935" cm="1">
        <f t="array" ref="G3935">_xlfn.XLOOKUP(C3935,Account_Master!A:A,Account_Master!C:C,"Not on master")</f>
        <v>0</v>
      </c>
      <c r="H3935" s="6">
        <v>4.5</v>
      </c>
      <c r="I3935" s="6">
        <v>4.5</v>
      </c>
      <c r="J3935" s="6">
        <f>I3935-H3935</f>
        <v>0</v>
      </c>
      <c r="K3935" s="5">
        <f>IF(H3935=0,"",J3935/H3935)</f>
        <v>0</v>
      </c>
      <c r="L3935">
        <f>IF(OR(AND(H3935=0,ABS(J3935)&gt;=0.01),AND(H3935&lt;&gt;0,ABS(K3935)&gt;VarianceThreshold)),"Review","OK")</f>
        <v>0</v>
      </c>
      <c r="M3935" t="s">
        <v>33</v>
      </c>
    </row>
    <row r="3936" spans="1:13">
      <c r="A3936" t="s">
        <v>6</v>
      </c>
      <c r="B3936" t="s">
        <v>345</v>
      </c>
      <c r="C3936" t="s">
        <v>33</v>
      </c>
      <c r="D3936" t="s">
        <v>3146</v>
      </c>
      <c r="E3936" cm="1">
        <f t="array" ref="E3936">_xlfn.XLOOKUP(D3936,SKU_Master!A:A,SKU_Master!B:B,"Not on master")</f>
        <v>0</v>
      </c>
      <c r="F3936" cm="1">
        <f t="array" ref="F3936">_xlfn.XLOOKUP(C3936,Account_Master!A:A,Account_Master!B:B,"Not on master")</f>
        <v>0</v>
      </c>
      <c r="G3936" cm="1">
        <f t="array" ref="G3936">_xlfn.XLOOKUP(C3936,Account_Master!A:A,Account_Master!C:C,"Not on master")</f>
        <v>0</v>
      </c>
      <c r="H3936" s="6">
        <v>0</v>
      </c>
      <c r="I3936" s="6">
        <v>4.5</v>
      </c>
      <c r="J3936" s="6">
        <f>I3936-H3936</f>
        <v>0</v>
      </c>
      <c r="K3936" s="5">
        <f>IF(H3936=0,"",J3936/H3936)</f>
        <v>0</v>
      </c>
      <c r="L3936">
        <f>IF(OR(AND(H3936=0,ABS(J3936)&gt;=0.01),AND(H3936&lt;&gt;0,ABS(K3936)&gt;VarianceThreshold)),"Review","OK")</f>
        <v>0</v>
      </c>
      <c r="M3936" t="s">
        <v>3038</v>
      </c>
    </row>
    <row r="3937" spans="1:13">
      <c r="A3937" t="s">
        <v>6</v>
      </c>
      <c r="B3937" t="s">
        <v>345</v>
      </c>
      <c r="C3937" t="s">
        <v>33</v>
      </c>
      <c r="D3937" t="s">
        <v>3147</v>
      </c>
      <c r="E3937" cm="1">
        <f t="array" ref="E3937">_xlfn.XLOOKUP(D3937,SKU_Master!A:A,SKU_Master!B:B,"Not on master")</f>
        <v>0</v>
      </c>
      <c r="F3937" cm="1">
        <f t="array" ref="F3937">_xlfn.XLOOKUP(C3937,Account_Master!A:A,Account_Master!B:B,"Not on master")</f>
        <v>0</v>
      </c>
      <c r="G3937" cm="1">
        <f t="array" ref="G3937">_xlfn.XLOOKUP(C3937,Account_Master!A:A,Account_Master!C:C,"Not on master")</f>
        <v>0</v>
      </c>
      <c r="H3937" s="6">
        <v>0</v>
      </c>
      <c r="I3937" s="6">
        <v>1.5</v>
      </c>
      <c r="J3937" s="6">
        <f>I3937-H3937</f>
        <v>0</v>
      </c>
      <c r="K3937" s="5">
        <f>IF(H3937=0,"",J3937/H3937)</f>
        <v>0</v>
      </c>
      <c r="L3937">
        <f>IF(OR(AND(H3937=0,ABS(J3937)&gt;=0.01),AND(H3937&lt;&gt;0,ABS(K3937)&gt;VarianceThreshold)),"Review","OK")</f>
        <v>0</v>
      </c>
      <c r="M3937" t="s">
        <v>3038</v>
      </c>
    </row>
    <row r="3938" spans="1:13">
      <c r="A3938" t="s">
        <v>6</v>
      </c>
      <c r="B3938" t="s">
        <v>345</v>
      </c>
      <c r="C3938" t="s">
        <v>33</v>
      </c>
      <c r="D3938" t="s">
        <v>3148</v>
      </c>
      <c r="E3938" cm="1">
        <f t="array" ref="E3938">_xlfn.XLOOKUP(D3938,SKU_Master!A:A,SKU_Master!B:B,"Not on master")</f>
        <v>0</v>
      </c>
      <c r="F3938" cm="1">
        <f t="array" ref="F3938">_xlfn.XLOOKUP(C3938,Account_Master!A:A,Account_Master!B:B,"Not on master")</f>
        <v>0</v>
      </c>
      <c r="G3938" cm="1">
        <f t="array" ref="G3938">_xlfn.XLOOKUP(C3938,Account_Master!A:A,Account_Master!C:C,"Not on master")</f>
        <v>0</v>
      </c>
      <c r="H3938" s="6">
        <v>0</v>
      </c>
      <c r="I3938" s="6">
        <v>0.05</v>
      </c>
      <c r="J3938" s="6">
        <f>I3938-H3938</f>
        <v>0</v>
      </c>
      <c r="K3938" s="5">
        <f>IF(H3938=0,"",J3938/H3938)</f>
        <v>0</v>
      </c>
      <c r="L3938">
        <f>IF(OR(AND(H3938=0,ABS(J3938)&gt;=0.01),AND(H3938&lt;&gt;0,ABS(K3938)&gt;VarianceThreshold)),"Review","OK")</f>
        <v>0</v>
      </c>
      <c r="M3938" t="s">
        <v>3038</v>
      </c>
    </row>
    <row r="3939" spans="1:13">
      <c r="A3939" t="s">
        <v>6</v>
      </c>
      <c r="B3939" t="s">
        <v>357</v>
      </c>
      <c r="C3939" t="s">
        <v>3070</v>
      </c>
      <c r="D3939" t="s">
        <v>2354</v>
      </c>
      <c r="E3939" cm="1">
        <f t="array" ref="E3939">_xlfn.XLOOKUP(D3939,SKU_Master!A:A,SKU_Master!B:B,"Not on master")</f>
        <v>0</v>
      </c>
      <c r="F3939" cm="1">
        <f t="array" ref="F3939">_xlfn.XLOOKUP(C3939,Account_Master!A:A,Account_Master!B:B,"Not on master")</f>
        <v>0</v>
      </c>
      <c r="G3939" cm="1">
        <f t="array" ref="G3939">_xlfn.XLOOKUP(C3939,Account_Master!A:A,Account_Master!C:C,"Not on master")</f>
        <v>0</v>
      </c>
      <c r="H3939" s="6">
        <v>57.74</v>
      </c>
      <c r="I3939" s="6">
        <v>57.74</v>
      </c>
      <c r="J3939" s="6">
        <f>I3939-H3939</f>
        <v>0</v>
      </c>
      <c r="K3939" s="5">
        <f>IF(H3939=0,"",J3939/H3939)</f>
        <v>0</v>
      </c>
      <c r="L3939">
        <f>IF(OR(AND(H3939=0,ABS(J3939)&gt;=0.01),AND(H3939&lt;&gt;0,ABS(K3939)&gt;VarianceThreshold)),"Review","OK")</f>
        <v>0</v>
      </c>
      <c r="M3939" t="s">
        <v>33</v>
      </c>
    </row>
    <row r="3940" spans="1:13">
      <c r="A3940" t="s">
        <v>6</v>
      </c>
      <c r="B3940" t="s">
        <v>357</v>
      </c>
      <c r="C3940" t="s">
        <v>3149</v>
      </c>
      <c r="D3940" t="s">
        <v>3150</v>
      </c>
      <c r="E3940" cm="1">
        <f t="array" ref="E3940">_xlfn.XLOOKUP(D3940,SKU_Master!A:A,SKU_Master!B:B,"Not on master")</f>
        <v>0</v>
      </c>
      <c r="F3940" cm="1">
        <f t="array" ref="F3940">_xlfn.XLOOKUP(C3940,Account_Master!A:A,Account_Master!B:B,"Not on master")</f>
        <v>0</v>
      </c>
      <c r="G3940" cm="1">
        <f t="array" ref="G3940">_xlfn.XLOOKUP(C3940,Account_Master!A:A,Account_Master!C:C,"Not on master")</f>
        <v>0</v>
      </c>
      <c r="H3940" s="6">
        <v>6.75</v>
      </c>
      <c r="I3940" s="6">
        <v>6.75</v>
      </c>
      <c r="J3940" s="6">
        <f>I3940-H3940</f>
        <v>0</v>
      </c>
      <c r="K3940" s="5">
        <f>IF(H3940=0,"",J3940/H3940)</f>
        <v>0</v>
      </c>
      <c r="L3940">
        <f>IF(OR(AND(H3940=0,ABS(J3940)&gt;=0.01),AND(H3940&lt;&gt;0,ABS(K3940)&gt;VarianceThreshold)),"Review","OK")</f>
        <v>0</v>
      </c>
      <c r="M3940" t="s">
        <v>33</v>
      </c>
    </row>
    <row r="3941" spans="1:13">
      <c r="A3941" t="s">
        <v>6</v>
      </c>
      <c r="B3941" t="s">
        <v>357</v>
      </c>
      <c r="C3941" t="s">
        <v>3143</v>
      </c>
      <c r="D3941" t="s">
        <v>124</v>
      </c>
      <c r="E3941" cm="1">
        <f t="array" ref="E3941">_xlfn.XLOOKUP(D3941,SKU_Master!A:A,SKU_Master!B:B,"Not on master")</f>
        <v>0</v>
      </c>
      <c r="F3941" cm="1">
        <f t="array" ref="F3941">_xlfn.XLOOKUP(C3941,Account_Master!A:A,Account_Master!B:B,"Not on master")</f>
        <v>0</v>
      </c>
      <c r="G3941" cm="1">
        <f t="array" ref="G3941">_xlfn.XLOOKUP(C3941,Account_Master!A:A,Account_Master!C:C,"Not on master")</f>
        <v>0</v>
      </c>
      <c r="H3941" s="6">
        <v>9</v>
      </c>
      <c r="I3941" s="6">
        <v>9</v>
      </c>
      <c r="J3941" s="6">
        <f>I3941-H3941</f>
        <v>0</v>
      </c>
      <c r="K3941" s="5">
        <f>IF(H3941=0,"",J3941/H3941)</f>
        <v>0</v>
      </c>
      <c r="L3941">
        <f>IF(OR(AND(H3941=0,ABS(J3941)&gt;=0.01),AND(H3941&lt;&gt;0,ABS(K3941)&gt;VarianceThreshold)),"Review","OK")</f>
        <v>0</v>
      </c>
      <c r="M3941" t="s">
        <v>33</v>
      </c>
    </row>
    <row r="3942" spans="1:13">
      <c r="A3942" t="s">
        <v>6</v>
      </c>
      <c r="B3942" t="s">
        <v>357</v>
      </c>
      <c r="C3942" t="s">
        <v>3039</v>
      </c>
      <c r="D3942" t="s">
        <v>697</v>
      </c>
      <c r="E3942" cm="1">
        <f t="array" ref="E3942">_xlfn.XLOOKUP(D3942,SKU_Master!A:A,SKU_Master!B:B,"Not on master")</f>
        <v>0</v>
      </c>
      <c r="F3942" cm="1">
        <f t="array" ref="F3942">_xlfn.XLOOKUP(C3942,Account_Master!A:A,Account_Master!B:B,"Not on master")</f>
        <v>0</v>
      </c>
      <c r="G3942" cm="1">
        <f t="array" ref="G3942">_xlfn.XLOOKUP(C3942,Account_Master!A:A,Account_Master!C:C,"Not on master")</f>
        <v>0</v>
      </c>
      <c r="H3942" s="6">
        <v>27</v>
      </c>
      <c r="I3942" s="6">
        <v>27</v>
      </c>
      <c r="J3942" s="6">
        <f>I3942-H3942</f>
        <v>0</v>
      </c>
      <c r="K3942" s="5">
        <f>IF(H3942=0,"",J3942/H3942)</f>
        <v>0</v>
      </c>
      <c r="L3942">
        <f>IF(OR(AND(H3942=0,ABS(J3942)&gt;=0.01),AND(H3942&lt;&gt;0,ABS(K3942)&gt;VarianceThreshold)),"Review","OK")</f>
        <v>0</v>
      </c>
      <c r="M3942" t="s">
        <v>33</v>
      </c>
    </row>
    <row r="3943" spans="1:13">
      <c r="A3943" t="s">
        <v>6</v>
      </c>
      <c r="B3943" t="s">
        <v>357</v>
      </c>
      <c r="C3943" t="s">
        <v>3140</v>
      </c>
      <c r="D3943" t="s">
        <v>311</v>
      </c>
      <c r="E3943" cm="1">
        <f t="array" ref="E3943">_xlfn.XLOOKUP(D3943,SKU_Master!A:A,SKU_Master!B:B,"Not on master")</f>
        <v>0</v>
      </c>
      <c r="F3943" cm="1">
        <f t="array" ref="F3943">_xlfn.XLOOKUP(C3943,Account_Master!A:A,Account_Master!B:B,"Not on master")</f>
        <v>0</v>
      </c>
      <c r="G3943" cm="1">
        <f t="array" ref="G3943">_xlfn.XLOOKUP(C3943,Account_Master!A:A,Account_Master!C:C,"Not on master")</f>
        <v>0</v>
      </c>
      <c r="H3943" s="6">
        <v>0.75</v>
      </c>
      <c r="I3943" s="6">
        <v>0.75</v>
      </c>
      <c r="J3943" s="6">
        <f>I3943-H3943</f>
        <v>0</v>
      </c>
      <c r="K3943" s="5">
        <f>IF(H3943=0,"",J3943/H3943)</f>
        <v>0</v>
      </c>
      <c r="L3943">
        <f>IF(OR(AND(H3943=0,ABS(J3943)&gt;=0.01),AND(H3943&lt;&gt;0,ABS(K3943)&gt;VarianceThreshold)),"Review","OK")</f>
        <v>0</v>
      </c>
      <c r="M3943" t="s">
        <v>33</v>
      </c>
    </row>
    <row r="3944" spans="1:13">
      <c r="A3944" t="s">
        <v>6</v>
      </c>
      <c r="B3944" t="s">
        <v>357</v>
      </c>
      <c r="C3944" t="s">
        <v>3151</v>
      </c>
      <c r="D3944" t="s">
        <v>1543</v>
      </c>
      <c r="E3944" cm="1">
        <f t="array" ref="E3944">_xlfn.XLOOKUP(D3944,SKU_Master!A:A,SKU_Master!B:B,"Not on master")</f>
        <v>0</v>
      </c>
      <c r="F3944" cm="1">
        <f t="array" ref="F3944">_xlfn.XLOOKUP(C3944,Account_Master!A:A,Account_Master!B:B,"Not on master")</f>
        <v>0</v>
      </c>
      <c r="G3944" cm="1">
        <f t="array" ref="G3944">_xlfn.XLOOKUP(C3944,Account_Master!A:A,Account_Master!C:C,"Not on master")</f>
        <v>0</v>
      </c>
      <c r="H3944" s="6">
        <v>11.25</v>
      </c>
      <c r="I3944" s="6">
        <v>11.25</v>
      </c>
      <c r="J3944" s="6">
        <f>I3944-H3944</f>
        <v>0</v>
      </c>
      <c r="K3944" s="5">
        <f>IF(H3944=0,"",J3944/H3944)</f>
        <v>0</v>
      </c>
      <c r="L3944">
        <f>IF(OR(AND(H3944=0,ABS(J3944)&gt;=0.01),AND(H3944&lt;&gt;0,ABS(K3944)&gt;VarianceThreshold)),"Review","OK")</f>
        <v>0</v>
      </c>
      <c r="M3944" t="s">
        <v>33</v>
      </c>
    </row>
    <row r="3945" spans="1:13">
      <c r="A3945" t="s">
        <v>6</v>
      </c>
      <c r="B3945" t="s">
        <v>357</v>
      </c>
      <c r="C3945" t="s">
        <v>3152</v>
      </c>
      <c r="D3945" t="s">
        <v>1319</v>
      </c>
      <c r="E3945" cm="1">
        <f t="array" ref="E3945">_xlfn.XLOOKUP(D3945,SKU_Master!A:A,SKU_Master!B:B,"Not on master")</f>
        <v>0</v>
      </c>
      <c r="F3945" cm="1">
        <f t="array" ref="F3945">_xlfn.XLOOKUP(C3945,Account_Master!A:A,Account_Master!B:B,"Not on master")</f>
        <v>0</v>
      </c>
      <c r="G3945" cm="1">
        <f t="array" ref="G3945">_xlfn.XLOOKUP(C3945,Account_Master!A:A,Account_Master!C:C,"Not on master")</f>
        <v>0</v>
      </c>
      <c r="H3945" s="6">
        <v>0.05</v>
      </c>
      <c r="I3945" s="6">
        <v>0.05</v>
      </c>
      <c r="J3945" s="6">
        <f>I3945-H3945</f>
        <v>0</v>
      </c>
      <c r="K3945" s="5">
        <f>IF(H3945=0,"",J3945/H3945)</f>
        <v>0</v>
      </c>
      <c r="L3945">
        <f>IF(OR(AND(H3945=0,ABS(J3945)&gt;=0.01),AND(H3945&lt;&gt;0,ABS(K3945)&gt;VarianceThreshold)),"Review","OK")</f>
        <v>0</v>
      </c>
      <c r="M3945" t="s">
        <v>33</v>
      </c>
    </row>
    <row r="3946" spans="1:13">
      <c r="A3946" t="s">
        <v>6</v>
      </c>
      <c r="B3946" t="s">
        <v>357</v>
      </c>
      <c r="C3946" t="s">
        <v>33</v>
      </c>
      <c r="D3946" t="s">
        <v>3153</v>
      </c>
      <c r="E3946" cm="1">
        <f t="array" ref="E3946">_xlfn.XLOOKUP(D3946,SKU_Master!A:A,SKU_Master!B:B,"Not on master")</f>
        <v>0</v>
      </c>
      <c r="F3946" cm="1">
        <f t="array" ref="F3946">_xlfn.XLOOKUP(C3946,Account_Master!A:A,Account_Master!B:B,"Not on master")</f>
        <v>0</v>
      </c>
      <c r="G3946" cm="1">
        <f t="array" ref="G3946">_xlfn.XLOOKUP(C3946,Account_Master!A:A,Account_Master!C:C,"Not on master")</f>
        <v>0</v>
      </c>
      <c r="H3946" s="6">
        <v>0</v>
      </c>
      <c r="I3946" s="6">
        <v>9</v>
      </c>
      <c r="J3946" s="6">
        <f>I3946-H3946</f>
        <v>0</v>
      </c>
      <c r="K3946" s="5">
        <f>IF(H3946=0,"",J3946/H3946)</f>
        <v>0</v>
      </c>
      <c r="L3946">
        <f>IF(OR(AND(H3946=0,ABS(J3946)&gt;=0.01),AND(H3946&lt;&gt;0,ABS(K3946)&gt;VarianceThreshold)),"Review","OK")</f>
        <v>0</v>
      </c>
      <c r="M3946" t="s">
        <v>3038</v>
      </c>
    </row>
    <row r="3947" spans="1:13">
      <c r="A3947" t="s">
        <v>6</v>
      </c>
      <c r="B3947" t="s">
        <v>364</v>
      </c>
      <c r="C3947" t="s">
        <v>3154</v>
      </c>
      <c r="D3947" t="s">
        <v>3155</v>
      </c>
      <c r="E3947" cm="1">
        <f t="array" ref="E3947">_xlfn.XLOOKUP(D3947,SKU_Master!A:A,SKU_Master!B:B,"Not on master")</f>
        <v>0</v>
      </c>
      <c r="F3947" cm="1">
        <f t="array" ref="F3947">_xlfn.XLOOKUP(C3947,Account_Master!A:A,Account_Master!B:B,"Not on master")</f>
        <v>0</v>
      </c>
      <c r="G3947" cm="1">
        <f t="array" ref="G3947">_xlfn.XLOOKUP(C3947,Account_Master!A:A,Account_Master!C:C,"Not on master")</f>
        <v>0</v>
      </c>
      <c r="H3947" s="6">
        <v>0.6</v>
      </c>
      <c r="I3947" s="6">
        <v>0.6</v>
      </c>
      <c r="J3947" s="6">
        <f>I3947-H3947</f>
        <v>0</v>
      </c>
      <c r="K3947" s="5">
        <f>IF(H3947=0,"",J3947/H3947)</f>
        <v>0</v>
      </c>
      <c r="L3947">
        <f>IF(OR(AND(H3947=0,ABS(J3947)&gt;=0.01),AND(H3947&lt;&gt;0,ABS(K3947)&gt;VarianceThreshold)),"Review","OK")</f>
        <v>0</v>
      </c>
      <c r="M3947" t="s">
        <v>33</v>
      </c>
    </row>
    <row r="3948" spans="1:13">
      <c r="A3948" t="s">
        <v>6</v>
      </c>
      <c r="B3948" t="s">
        <v>364</v>
      </c>
      <c r="C3948" t="s">
        <v>3098</v>
      </c>
      <c r="D3948" t="s">
        <v>2192</v>
      </c>
      <c r="E3948" cm="1">
        <f t="array" ref="E3948">_xlfn.XLOOKUP(D3948,SKU_Master!A:A,SKU_Master!B:B,"Not on master")</f>
        <v>0</v>
      </c>
      <c r="F3948" cm="1">
        <f t="array" ref="F3948">_xlfn.XLOOKUP(C3948,Account_Master!A:A,Account_Master!B:B,"Not on master")</f>
        <v>0</v>
      </c>
      <c r="G3948" cm="1">
        <f t="array" ref="G3948">_xlfn.XLOOKUP(C3948,Account_Master!A:A,Account_Master!C:C,"Not on master")</f>
        <v>0</v>
      </c>
      <c r="H3948" s="6">
        <v>22.5</v>
      </c>
      <c r="I3948" s="6">
        <v>22.5</v>
      </c>
      <c r="J3948" s="6">
        <f>I3948-H3948</f>
        <v>0</v>
      </c>
      <c r="K3948" s="5">
        <f>IF(H3948=0,"",J3948/H3948)</f>
        <v>0</v>
      </c>
      <c r="L3948">
        <f>IF(OR(AND(H3948=0,ABS(J3948)&gt;=0.01),AND(H3948&lt;&gt;0,ABS(K3948)&gt;VarianceThreshold)),"Review","OK")</f>
        <v>0</v>
      </c>
      <c r="M3948" t="s">
        <v>33</v>
      </c>
    </row>
    <row r="3949" spans="1:13">
      <c r="A3949" t="s">
        <v>6</v>
      </c>
      <c r="B3949" t="s">
        <v>364</v>
      </c>
      <c r="C3949" t="s">
        <v>3021</v>
      </c>
      <c r="D3949" t="s">
        <v>2072</v>
      </c>
      <c r="E3949" cm="1">
        <f t="array" ref="E3949">_xlfn.XLOOKUP(D3949,SKU_Master!A:A,SKU_Master!B:B,"Not on master")</f>
        <v>0</v>
      </c>
      <c r="F3949" cm="1">
        <f t="array" ref="F3949">_xlfn.XLOOKUP(C3949,Account_Master!A:A,Account_Master!B:B,"Not on master")</f>
        <v>0</v>
      </c>
      <c r="G3949" cm="1">
        <f t="array" ref="G3949">_xlfn.XLOOKUP(C3949,Account_Master!A:A,Account_Master!C:C,"Not on master")</f>
        <v>0</v>
      </c>
      <c r="H3949" s="6">
        <v>1.4</v>
      </c>
      <c r="I3949" s="6">
        <v>1.4</v>
      </c>
      <c r="J3949" s="6">
        <f>I3949-H3949</f>
        <v>0</v>
      </c>
      <c r="K3949" s="5">
        <f>IF(H3949=0,"",J3949/H3949)</f>
        <v>0</v>
      </c>
      <c r="L3949">
        <f>IF(OR(AND(H3949=0,ABS(J3949)&gt;=0.01),AND(H3949&lt;&gt;0,ABS(K3949)&gt;VarianceThreshold)),"Review","OK")</f>
        <v>0</v>
      </c>
      <c r="M3949" t="s">
        <v>33</v>
      </c>
    </row>
    <row r="3950" spans="1:13">
      <c r="A3950" t="s">
        <v>6</v>
      </c>
      <c r="B3950" t="s">
        <v>364</v>
      </c>
      <c r="C3950" t="s">
        <v>3059</v>
      </c>
      <c r="D3950" t="s">
        <v>75</v>
      </c>
      <c r="E3950" cm="1">
        <f t="array" ref="E3950">_xlfn.XLOOKUP(D3950,SKU_Master!A:A,SKU_Master!B:B,"Not on master")</f>
        <v>0</v>
      </c>
      <c r="F3950" cm="1">
        <f t="array" ref="F3950">_xlfn.XLOOKUP(C3950,Account_Master!A:A,Account_Master!B:B,"Not on master")</f>
        <v>0</v>
      </c>
      <c r="G3950" cm="1">
        <f t="array" ref="G3950">_xlfn.XLOOKUP(C3950,Account_Master!A:A,Account_Master!C:C,"Not on master")</f>
        <v>0</v>
      </c>
      <c r="H3950" s="6">
        <v>274.75</v>
      </c>
      <c r="I3950" s="6">
        <v>274.75</v>
      </c>
      <c r="J3950" s="6">
        <f>I3950-H3950</f>
        <v>0</v>
      </c>
      <c r="K3950" s="5">
        <f>IF(H3950=0,"",J3950/H3950)</f>
        <v>0</v>
      </c>
      <c r="L3950">
        <f>IF(OR(AND(H3950=0,ABS(J3950)&gt;=0.01),AND(H3950&lt;&gt;0,ABS(K3950)&gt;VarianceThreshold)),"Review","OK")</f>
        <v>0</v>
      </c>
      <c r="M3950" t="s">
        <v>33</v>
      </c>
    </row>
    <row r="3951" spans="1:13">
      <c r="A3951" t="s">
        <v>6</v>
      </c>
      <c r="B3951" t="s">
        <v>364</v>
      </c>
      <c r="C3951" t="s">
        <v>3031</v>
      </c>
      <c r="D3951" t="s">
        <v>310</v>
      </c>
      <c r="E3951" cm="1">
        <f t="array" ref="E3951">_xlfn.XLOOKUP(D3951,SKU_Master!A:A,SKU_Master!B:B,"Not on master")</f>
        <v>0</v>
      </c>
      <c r="F3951" cm="1">
        <f t="array" ref="F3951">_xlfn.XLOOKUP(C3951,Account_Master!A:A,Account_Master!B:B,"Not on master")</f>
        <v>0</v>
      </c>
      <c r="G3951" cm="1">
        <f t="array" ref="G3951">_xlfn.XLOOKUP(C3951,Account_Master!A:A,Account_Master!C:C,"Not on master")</f>
        <v>0</v>
      </c>
      <c r="H3951" s="6">
        <v>10.5</v>
      </c>
      <c r="I3951" s="6">
        <v>10.5</v>
      </c>
      <c r="J3951" s="6">
        <f>I3951-H3951</f>
        <v>0</v>
      </c>
      <c r="K3951" s="5">
        <f>IF(H3951=0,"",J3951/H3951)</f>
        <v>0</v>
      </c>
      <c r="L3951">
        <f>IF(OR(AND(H3951=0,ABS(J3951)&gt;=0.01),AND(H3951&lt;&gt;0,ABS(K3951)&gt;VarianceThreshold)),"Review","OK")</f>
        <v>0</v>
      </c>
      <c r="M3951" t="s">
        <v>33</v>
      </c>
    </row>
    <row r="3952" spans="1:13">
      <c r="A3952" t="s">
        <v>6</v>
      </c>
      <c r="B3952" t="s">
        <v>364</v>
      </c>
      <c r="C3952" t="s">
        <v>3062</v>
      </c>
      <c r="D3952" t="s">
        <v>3156</v>
      </c>
      <c r="E3952" cm="1">
        <f t="array" ref="E3952">_xlfn.XLOOKUP(D3952,SKU_Master!A:A,SKU_Master!B:B,"Not on master")</f>
        <v>0</v>
      </c>
      <c r="F3952" cm="1">
        <f t="array" ref="F3952">_xlfn.XLOOKUP(C3952,Account_Master!A:A,Account_Master!B:B,"Not on master")</f>
        <v>0</v>
      </c>
      <c r="G3952" cm="1">
        <f t="array" ref="G3952">_xlfn.XLOOKUP(C3952,Account_Master!A:A,Account_Master!C:C,"Not on master")</f>
        <v>0</v>
      </c>
      <c r="H3952" s="6">
        <v>0.75</v>
      </c>
      <c r="I3952" s="6">
        <v>0.75</v>
      </c>
      <c r="J3952" s="6">
        <f>I3952-H3952</f>
        <v>0</v>
      </c>
      <c r="K3952" s="5">
        <f>IF(H3952=0,"",J3952/H3952)</f>
        <v>0</v>
      </c>
      <c r="L3952">
        <f>IF(OR(AND(H3952=0,ABS(J3952)&gt;=0.01),AND(H3952&lt;&gt;0,ABS(K3952)&gt;VarianceThreshold)),"Review","OK")</f>
        <v>0</v>
      </c>
      <c r="M3952" t="s">
        <v>33</v>
      </c>
    </row>
    <row r="3953" spans="1:13">
      <c r="A3953" t="s">
        <v>6</v>
      </c>
      <c r="B3953" t="s">
        <v>364</v>
      </c>
      <c r="C3953" t="s">
        <v>3062</v>
      </c>
      <c r="D3953" t="s">
        <v>3157</v>
      </c>
      <c r="E3953" cm="1">
        <f t="array" ref="E3953">_xlfn.XLOOKUP(D3953,SKU_Master!A:A,SKU_Master!B:B,"Not on master")</f>
        <v>0</v>
      </c>
      <c r="F3953" cm="1">
        <f t="array" ref="F3953">_xlfn.XLOOKUP(C3953,Account_Master!A:A,Account_Master!B:B,"Not on master")</f>
        <v>0</v>
      </c>
      <c r="G3953" cm="1">
        <f t="array" ref="G3953">_xlfn.XLOOKUP(C3953,Account_Master!A:A,Account_Master!C:C,"Not on master")</f>
        <v>0</v>
      </c>
      <c r="H3953" s="6">
        <v>3</v>
      </c>
      <c r="I3953" s="6">
        <v>3</v>
      </c>
      <c r="J3953" s="6">
        <f>I3953-H3953</f>
        <v>0</v>
      </c>
      <c r="K3953" s="5">
        <f>IF(H3953=0,"",J3953/H3953)</f>
        <v>0</v>
      </c>
      <c r="L3953">
        <f>IF(OR(AND(H3953=0,ABS(J3953)&gt;=0.01),AND(H3953&lt;&gt;0,ABS(K3953)&gt;VarianceThreshold)),"Review","OK")</f>
        <v>0</v>
      </c>
      <c r="M3953" t="s">
        <v>33</v>
      </c>
    </row>
    <row r="3954" spans="1:13">
      <c r="A3954" t="s">
        <v>6</v>
      </c>
      <c r="B3954" t="s">
        <v>364</v>
      </c>
      <c r="C3954" t="s">
        <v>33</v>
      </c>
      <c r="D3954" t="s">
        <v>3158</v>
      </c>
      <c r="E3954" cm="1">
        <f t="array" ref="E3954">_xlfn.XLOOKUP(D3954,SKU_Master!A:A,SKU_Master!B:B,"Not on master")</f>
        <v>0</v>
      </c>
      <c r="F3954" cm="1">
        <f t="array" ref="F3954">_xlfn.XLOOKUP(C3954,Account_Master!A:A,Account_Master!B:B,"Not on master")</f>
        <v>0</v>
      </c>
      <c r="G3954" cm="1">
        <f t="array" ref="G3954">_xlfn.XLOOKUP(C3954,Account_Master!A:A,Account_Master!C:C,"Not on master")</f>
        <v>0</v>
      </c>
      <c r="H3954" s="6">
        <v>0</v>
      </c>
      <c r="I3954" s="6">
        <v>3</v>
      </c>
      <c r="J3954" s="6">
        <f>I3954-H3954</f>
        <v>0</v>
      </c>
      <c r="K3954" s="5">
        <f>IF(H3954=0,"",J3954/H3954)</f>
        <v>0</v>
      </c>
      <c r="L3954">
        <f>IF(OR(AND(H3954=0,ABS(J3954)&gt;=0.01),AND(H3954&lt;&gt;0,ABS(K3954)&gt;VarianceThreshold)),"Review","OK")</f>
        <v>0</v>
      </c>
      <c r="M3954" t="s">
        <v>3038</v>
      </c>
    </row>
    <row r="3955" spans="1:13">
      <c r="A3955" t="s">
        <v>6</v>
      </c>
      <c r="B3955" t="s">
        <v>364</v>
      </c>
      <c r="C3955" t="s">
        <v>33</v>
      </c>
      <c r="D3955" t="s">
        <v>3159</v>
      </c>
      <c r="E3955" cm="1">
        <f t="array" ref="E3955">_xlfn.XLOOKUP(D3955,SKU_Master!A:A,SKU_Master!B:B,"Not on master")</f>
        <v>0</v>
      </c>
      <c r="F3955" cm="1">
        <f t="array" ref="F3955">_xlfn.XLOOKUP(C3955,Account_Master!A:A,Account_Master!B:B,"Not on master")</f>
        <v>0</v>
      </c>
      <c r="G3955" cm="1">
        <f t="array" ref="G3955">_xlfn.XLOOKUP(C3955,Account_Master!A:A,Account_Master!C:C,"Not on master")</f>
        <v>0</v>
      </c>
      <c r="H3955" s="6">
        <v>0</v>
      </c>
      <c r="I3955" s="6">
        <v>5.25</v>
      </c>
      <c r="J3955" s="6">
        <f>I3955-H3955</f>
        <v>0</v>
      </c>
      <c r="K3955" s="5">
        <f>IF(H3955=0,"",J3955/H3955)</f>
        <v>0</v>
      </c>
      <c r="L3955">
        <f>IF(OR(AND(H3955=0,ABS(J3955)&gt;=0.01),AND(H3955&lt;&gt;0,ABS(K3955)&gt;VarianceThreshold)),"Review","OK")</f>
        <v>0</v>
      </c>
      <c r="M3955" t="s">
        <v>3038</v>
      </c>
    </row>
    <row r="3956" spans="1:13">
      <c r="A3956" t="s">
        <v>6</v>
      </c>
      <c r="B3956" t="s">
        <v>371</v>
      </c>
      <c r="C3956" t="s">
        <v>3089</v>
      </c>
      <c r="D3956" t="s">
        <v>553</v>
      </c>
      <c r="E3956" cm="1">
        <f t="array" ref="E3956">_xlfn.XLOOKUP(D3956,SKU_Master!A:A,SKU_Master!B:B,"Not on master")</f>
        <v>0</v>
      </c>
      <c r="F3956" cm="1">
        <f t="array" ref="F3956">_xlfn.XLOOKUP(C3956,Account_Master!A:A,Account_Master!B:B,"Not on master")</f>
        <v>0</v>
      </c>
      <c r="G3956" cm="1">
        <f t="array" ref="G3956">_xlfn.XLOOKUP(C3956,Account_Master!A:A,Account_Master!C:C,"Not on master")</f>
        <v>0</v>
      </c>
      <c r="H3956" s="6">
        <v>2.25</v>
      </c>
      <c r="I3956" s="6">
        <v>2.25</v>
      </c>
      <c r="J3956" s="6">
        <f>I3956-H3956</f>
        <v>0</v>
      </c>
      <c r="K3956" s="5">
        <f>IF(H3956=0,"",J3956/H3956)</f>
        <v>0</v>
      </c>
      <c r="L3956">
        <f>IF(OR(AND(H3956=0,ABS(J3956)&gt;=0.01),AND(H3956&lt;&gt;0,ABS(K3956)&gt;VarianceThreshold)),"Review","OK")</f>
        <v>0</v>
      </c>
      <c r="M3956" t="s">
        <v>33</v>
      </c>
    </row>
    <row r="3957" spans="1:13">
      <c r="A3957" t="s">
        <v>6</v>
      </c>
      <c r="B3957" t="s">
        <v>371</v>
      </c>
      <c r="C3957" t="s">
        <v>3032</v>
      </c>
      <c r="D3957" t="s">
        <v>2530</v>
      </c>
      <c r="E3957" cm="1">
        <f t="array" ref="E3957">_xlfn.XLOOKUP(D3957,SKU_Master!A:A,SKU_Master!B:B,"Not on master")</f>
        <v>0</v>
      </c>
      <c r="F3957" cm="1">
        <f t="array" ref="F3957">_xlfn.XLOOKUP(C3957,Account_Master!A:A,Account_Master!B:B,"Not on master")</f>
        <v>0</v>
      </c>
      <c r="G3957" cm="1">
        <f t="array" ref="G3957">_xlfn.XLOOKUP(C3957,Account_Master!A:A,Account_Master!C:C,"Not on master")</f>
        <v>0</v>
      </c>
      <c r="H3957" s="6">
        <v>21</v>
      </c>
      <c r="I3957" s="6">
        <v>21</v>
      </c>
      <c r="J3957" s="6">
        <f>I3957-H3957</f>
        <v>0</v>
      </c>
      <c r="K3957" s="5">
        <f>IF(H3957=0,"",J3957/H3957)</f>
        <v>0</v>
      </c>
      <c r="L3957">
        <f>IF(OR(AND(H3957=0,ABS(J3957)&gt;=0.01),AND(H3957&lt;&gt;0,ABS(K3957)&gt;VarianceThreshold)),"Review","OK")</f>
        <v>0</v>
      </c>
      <c r="M3957" t="s">
        <v>33</v>
      </c>
    </row>
    <row r="3958" spans="1:13">
      <c r="A3958" t="s">
        <v>6</v>
      </c>
      <c r="B3958" t="s">
        <v>371</v>
      </c>
      <c r="C3958" t="s">
        <v>3089</v>
      </c>
      <c r="D3958" t="s">
        <v>1911</v>
      </c>
      <c r="E3958" cm="1">
        <f t="array" ref="E3958">_xlfn.XLOOKUP(D3958,SKU_Master!A:A,SKU_Master!B:B,"Not on master")</f>
        <v>0</v>
      </c>
      <c r="F3958" cm="1">
        <f t="array" ref="F3958">_xlfn.XLOOKUP(C3958,Account_Master!A:A,Account_Master!B:B,"Not on master")</f>
        <v>0</v>
      </c>
      <c r="G3958" cm="1">
        <f t="array" ref="G3958">_xlfn.XLOOKUP(C3958,Account_Master!A:A,Account_Master!C:C,"Not on master")</f>
        <v>0</v>
      </c>
      <c r="H3958" s="6">
        <v>3.5</v>
      </c>
      <c r="I3958" s="6">
        <v>3.5</v>
      </c>
      <c r="J3958" s="6">
        <f>I3958-H3958</f>
        <v>0</v>
      </c>
      <c r="K3958" s="5">
        <f>IF(H3958=0,"",J3958/H3958)</f>
        <v>0</v>
      </c>
      <c r="L3958">
        <f>IF(OR(AND(H3958=0,ABS(J3958)&gt;=0.01),AND(H3958&lt;&gt;0,ABS(K3958)&gt;VarianceThreshold)),"Review","OK")</f>
        <v>0</v>
      </c>
      <c r="M3958" t="s">
        <v>33</v>
      </c>
    </row>
    <row r="3959" spans="1:13">
      <c r="A3959" t="s">
        <v>6</v>
      </c>
      <c r="B3959" t="s">
        <v>371</v>
      </c>
      <c r="C3959" t="s">
        <v>3089</v>
      </c>
      <c r="D3959" t="s">
        <v>1283</v>
      </c>
      <c r="E3959" cm="1">
        <f t="array" ref="E3959">_xlfn.XLOOKUP(D3959,SKU_Master!A:A,SKU_Master!B:B,"Not on master")</f>
        <v>0</v>
      </c>
      <c r="F3959" cm="1">
        <f t="array" ref="F3959">_xlfn.XLOOKUP(C3959,Account_Master!A:A,Account_Master!B:B,"Not on master")</f>
        <v>0</v>
      </c>
      <c r="G3959" cm="1">
        <f t="array" ref="G3959">_xlfn.XLOOKUP(C3959,Account_Master!A:A,Account_Master!C:C,"Not on master")</f>
        <v>0</v>
      </c>
      <c r="H3959" s="6">
        <v>6.75</v>
      </c>
      <c r="I3959" s="6">
        <v>6.75</v>
      </c>
      <c r="J3959" s="6">
        <f>I3959-H3959</f>
        <v>0</v>
      </c>
      <c r="K3959" s="5">
        <f>IF(H3959=0,"",J3959/H3959)</f>
        <v>0</v>
      </c>
      <c r="L3959">
        <f>IF(OR(AND(H3959=0,ABS(J3959)&gt;=0.01),AND(H3959&lt;&gt;0,ABS(K3959)&gt;VarianceThreshold)),"Review","OK")</f>
        <v>0</v>
      </c>
      <c r="M3959" t="s">
        <v>33</v>
      </c>
    </row>
    <row r="3960" spans="1:13">
      <c r="A3960" t="s">
        <v>6</v>
      </c>
      <c r="B3960" t="s">
        <v>371</v>
      </c>
      <c r="C3960" t="s">
        <v>3089</v>
      </c>
      <c r="D3960" t="s">
        <v>3160</v>
      </c>
      <c r="E3960" cm="1">
        <f t="array" ref="E3960">_xlfn.XLOOKUP(D3960,SKU_Master!A:A,SKU_Master!B:B,"Not on master")</f>
        <v>0</v>
      </c>
      <c r="F3960" cm="1">
        <f t="array" ref="F3960">_xlfn.XLOOKUP(C3960,Account_Master!A:A,Account_Master!B:B,"Not on master")</f>
        <v>0</v>
      </c>
      <c r="G3960" cm="1">
        <f t="array" ref="G3960">_xlfn.XLOOKUP(C3960,Account_Master!A:A,Account_Master!C:C,"Not on master")</f>
        <v>0</v>
      </c>
      <c r="H3960" s="6">
        <v>1.5</v>
      </c>
      <c r="I3960" s="6">
        <v>1.5</v>
      </c>
      <c r="J3960" s="6">
        <f>I3960-H3960</f>
        <v>0</v>
      </c>
      <c r="K3960" s="5">
        <f>IF(H3960=0,"",J3960/H3960)</f>
        <v>0</v>
      </c>
      <c r="L3960">
        <f>IF(OR(AND(H3960=0,ABS(J3960)&gt;=0.01),AND(H3960&lt;&gt;0,ABS(K3960)&gt;VarianceThreshold)),"Review","OK")</f>
        <v>0</v>
      </c>
      <c r="M3960" t="s">
        <v>33</v>
      </c>
    </row>
    <row r="3961" spans="1:13">
      <c r="A3961" t="s">
        <v>6</v>
      </c>
      <c r="B3961" t="s">
        <v>379</v>
      </c>
      <c r="C3961" t="s">
        <v>3161</v>
      </c>
      <c r="D3961" t="s">
        <v>1756</v>
      </c>
      <c r="E3961" cm="1">
        <f t="array" ref="E3961">_xlfn.XLOOKUP(D3961,SKU_Master!A:A,SKU_Master!B:B,"Not on master")</f>
        <v>0</v>
      </c>
      <c r="F3961" cm="1">
        <f t="array" ref="F3961">_xlfn.XLOOKUP(C3961,Account_Master!A:A,Account_Master!B:B,"Not on master")</f>
        <v>0</v>
      </c>
      <c r="G3961" cm="1">
        <f t="array" ref="G3961">_xlfn.XLOOKUP(C3961,Account_Master!A:A,Account_Master!C:C,"Not on master")</f>
        <v>0</v>
      </c>
      <c r="H3961" s="6">
        <v>57.75</v>
      </c>
      <c r="I3961" s="6">
        <v>54.25</v>
      </c>
      <c r="J3961" s="6">
        <f>I3961-H3961</f>
        <v>0</v>
      </c>
      <c r="K3961" s="5">
        <f>IF(H3961=0,"",J3961/H3961)</f>
        <v>0</v>
      </c>
      <c r="L3961">
        <f>IF(OR(AND(H3961=0,ABS(J3961)&gt;=0.01),AND(H3961&lt;&gt;0,ABS(K3961)&gt;VarianceThreshold)),"Review","OK")</f>
        <v>0</v>
      </c>
      <c r="M3961" t="s">
        <v>3038</v>
      </c>
    </row>
    <row r="3962" spans="1:13">
      <c r="A3962" t="s">
        <v>6</v>
      </c>
      <c r="B3962" t="s">
        <v>379</v>
      </c>
      <c r="C3962" t="s">
        <v>3089</v>
      </c>
      <c r="D3962" t="s">
        <v>664</v>
      </c>
      <c r="E3962" cm="1">
        <f t="array" ref="E3962">_xlfn.XLOOKUP(D3962,SKU_Master!A:A,SKU_Master!B:B,"Not on master")</f>
        <v>0</v>
      </c>
      <c r="F3962" cm="1">
        <f t="array" ref="F3962">_xlfn.XLOOKUP(C3962,Account_Master!A:A,Account_Master!B:B,"Not on master")</f>
        <v>0</v>
      </c>
      <c r="G3962" cm="1">
        <f t="array" ref="G3962">_xlfn.XLOOKUP(C3962,Account_Master!A:A,Account_Master!C:C,"Not on master")</f>
        <v>0</v>
      </c>
      <c r="H3962" s="6">
        <v>2.25</v>
      </c>
      <c r="I3962" s="6">
        <v>2.25</v>
      </c>
      <c r="J3962" s="6">
        <f>I3962-H3962</f>
        <v>0</v>
      </c>
      <c r="K3962" s="5">
        <f>IF(H3962=0,"",J3962/H3962)</f>
        <v>0</v>
      </c>
      <c r="L3962">
        <f>IF(OR(AND(H3962=0,ABS(J3962)&gt;=0.01),AND(H3962&lt;&gt;0,ABS(K3962)&gt;VarianceThreshold)),"Review","OK")</f>
        <v>0</v>
      </c>
      <c r="M3962" t="s">
        <v>33</v>
      </c>
    </row>
    <row r="3963" spans="1:13">
      <c r="A3963" t="s">
        <v>6</v>
      </c>
      <c r="B3963" t="s">
        <v>379</v>
      </c>
      <c r="C3963" t="s">
        <v>3094</v>
      </c>
      <c r="D3963" t="s">
        <v>630</v>
      </c>
      <c r="E3963" cm="1">
        <f t="array" ref="E3963">_xlfn.XLOOKUP(D3963,SKU_Master!A:A,SKU_Master!B:B,"Not on master")</f>
        <v>0</v>
      </c>
      <c r="F3963" cm="1">
        <f t="array" ref="F3963">_xlfn.XLOOKUP(C3963,Account_Master!A:A,Account_Master!B:B,"Not on master")</f>
        <v>0</v>
      </c>
      <c r="G3963" cm="1">
        <f t="array" ref="G3963">_xlfn.XLOOKUP(C3963,Account_Master!A:A,Account_Master!C:C,"Not on master")</f>
        <v>0</v>
      </c>
      <c r="H3963" s="6">
        <v>84.75</v>
      </c>
      <c r="I3963" s="6">
        <v>84.75</v>
      </c>
      <c r="J3963" s="6">
        <f>I3963-H3963</f>
        <v>0</v>
      </c>
      <c r="K3963" s="5">
        <f>IF(H3963=0,"",J3963/H3963)</f>
        <v>0</v>
      </c>
      <c r="L3963">
        <f>IF(OR(AND(H3963=0,ABS(J3963)&gt;=0.01),AND(H3963&lt;&gt;0,ABS(K3963)&gt;VarianceThreshold)),"Review","OK")</f>
        <v>0</v>
      </c>
      <c r="M3963" t="s">
        <v>33</v>
      </c>
    </row>
    <row r="3964" spans="1:13">
      <c r="A3964" t="s">
        <v>6</v>
      </c>
      <c r="B3964" t="s">
        <v>379</v>
      </c>
      <c r="C3964" t="s">
        <v>3024</v>
      </c>
      <c r="D3964" t="s">
        <v>900</v>
      </c>
      <c r="E3964" cm="1">
        <f t="array" ref="E3964">_xlfn.XLOOKUP(D3964,SKU_Master!A:A,SKU_Master!B:B,"Not on master")</f>
        <v>0</v>
      </c>
      <c r="F3964" cm="1">
        <f t="array" ref="F3964">_xlfn.XLOOKUP(C3964,Account_Master!A:A,Account_Master!B:B,"Not on master")</f>
        <v>0</v>
      </c>
      <c r="G3964" cm="1">
        <f t="array" ref="G3964">_xlfn.XLOOKUP(C3964,Account_Master!A:A,Account_Master!C:C,"Not on master")</f>
        <v>0</v>
      </c>
      <c r="H3964" s="6">
        <v>12</v>
      </c>
      <c r="I3964" s="6">
        <v>12</v>
      </c>
      <c r="J3964" s="6">
        <f>I3964-H3964</f>
        <v>0</v>
      </c>
      <c r="K3964" s="5">
        <f>IF(H3964=0,"",J3964/H3964)</f>
        <v>0</v>
      </c>
      <c r="L3964">
        <f>IF(OR(AND(H3964=0,ABS(J3964)&gt;=0.01),AND(H3964&lt;&gt;0,ABS(K3964)&gt;VarianceThreshold)),"Review","OK")</f>
        <v>0</v>
      </c>
      <c r="M3964" t="s">
        <v>33</v>
      </c>
    </row>
    <row r="3965" spans="1:13">
      <c r="A3965" t="s">
        <v>6</v>
      </c>
      <c r="B3965" t="s">
        <v>379</v>
      </c>
      <c r="C3965" t="s">
        <v>33</v>
      </c>
      <c r="D3965" t="s">
        <v>3162</v>
      </c>
      <c r="E3965" cm="1">
        <f t="array" ref="E3965">_xlfn.XLOOKUP(D3965,SKU_Master!A:A,SKU_Master!B:B,"Not on master")</f>
        <v>0</v>
      </c>
      <c r="F3965" cm="1">
        <f t="array" ref="F3965">_xlfn.XLOOKUP(C3965,Account_Master!A:A,Account_Master!B:B,"Not on master")</f>
        <v>0</v>
      </c>
      <c r="G3965" cm="1">
        <f t="array" ref="G3965">_xlfn.XLOOKUP(C3965,Account_Master!A:A,Account_Master!C:C,"Not on master")</f>
        <v>0</v>
      </c>
      <c r="H3965" s="6">
        <v>0</v>
      </c>
      <c r="I3965" s="6">
        <v>0.37</v>
      </c>
      <c r="J3965" s="6">
        <f>I3965-H3965</f>
        <v>0</v>
      </c>
      <c r="K3965" s="5">
        <f>IF(H3965=0,"",J3965/H3965)</f>
        <v>0</v>
      </c>
      <c r="L3965">
        <f>IF(OR(AND(H3965=0,ABS(J3965)&gt;=0.01),AND(H3965&lt;&gt;0,ABS(K3965)&gt;VarianceThreshold)),"Review","OK")</f>
        <v>0</v>
      </c>
      <c r="M3965" t="s">
        <v>3038</v>
      </c>
    </row>
    <row r="3966" spans="1:13">
      <c r="A3966" t="s">
        <v>6</v>
      </c>
      <c r="B3966" t="s">
        <v>392</v>
      </c>
      <c r="C3966" t="s">
        <v>3023</v>
      </c>
      <c r="D3966" t="s">
        <v>576</v>
      </c>
      <c r="E3966" cm="1">
        <f t="array" ref="E3966">_xlfn.XLOOKUP(D3966,SKU_Master!A:A,SKU_Master!B:B,"Not on master")</f>
        <v>0</v>
      </c>
      <c r="F3966" cm="1">
        <f t="array" ref="F3966">_xlfn.XLOOKUP(C3966,Account_Master!A:A,Account_Master!B:B,"Not on master")</f>
        <v>0</v>
      </c>
      <c r="G3966" cm="1">
        <f t="array" ref="G3966">_xlfn.XLOOKUP(C3966,Account_Master!A:A,Account_Master!C:C,"Not on master")</f>
        <v>0</v>
      </c>
      <c r="H3966" s="6">
        <v>4.5</v>
      </c>
      <c r="I3966" s="6">
        <v>4.5</v>
      </c>
      <c r="J3966" s="6">
        <f>I3966-H3966</f>
        <v>0</v>
      </c>
      <c r="K3966" s="5">
        <f>IF(H3966=0,"",J3966/H3966)</f>
        <v>0</v>
      </c>
      <c r="L3966">
        <f>IF(OR(AND(H3966=0,ABS(J3966)&gt;=0.01),AND(H3966&lt;&gt;0,ABS(K3966)&gt;VarianceThreshold)),"Review","OK")</f>
        <v>0</v>
      </c>
      <c r="M3966" t="s">
        <v>33</v>
      </c>
    </row>
    <row r="3967" spans="1:13">
      <c r="A3967" t="s">
        <v>6</v>
      </c>
      <c r="B3967" t="s">
        <v>392</v>
      </c>
      <c r="C3967" t="s">
        <v>3163</v>
      </c>
      <c r="D3967" t="s">
        <v>3164</v>
      </c>
      <c r="E3967" cm="1">
        <f t="array" ref="E3967">_xlfn.XLOOKUP(D3967,SKU_Master!A:A,SKU_Master!B:B,"Not on master")</f>
        <v>0</v>
      </c>
      <c r="F3967" cm="1">
        <f t="array" ref="F3967">_xlfn.XLOOKUP(C3967,Account_Master!A:A,Account_Master!B:B,"Not on master")</f>
        <v>0</v>
      </c>
      <c r="G3967" cm="1">
        <f t="array" ref="G3967">_xlfn.XLOOKUP(C3967,Account_Master!A:A,Account_Master!C:C,"Not on master")</f>
        <v>0</v>
      </c>
      <c r="H3967" s="6">
        <v>9</v>
      </c>
      <c r="I3967" s="6">
        <v>0</v>
      </c>
      <c r="J3967" s="6">
        <f>I3967-H3967</f>
        <v>0</v>
      </c>
      <c r="K3967" s="5">
        <f>IF(H3967=0,"",J3967/H3967)</f>
        <v>0</v>
      </c>
      <c r="L3967">
        <f>IF(OR(AND(H3967=0,ABS(J3967)&gt;=0.01),AND(H3967&lt;&gt;0,ABS(K3967)&gt;VarianceThreshold)),"Review","OK")</f>
        <v>0</v>
      </c>
      <c r="M3967" t="s">
        <v>3038</v>
      </c>
    </row>
    <row r="3968" spans="1:13">
      <c r="A3968" t="s">
        <v>6</v>
      </c>
      <c r="B3968" t="s">
        <v>392</v>
      </c>
      <c r="C3968" t="s">
        <v>3140</v>
      </c>
      <c r="D3968" t="s">
        <v>268</v>
      </c>
      <c r="E3968" cm="1">
        <f t="array" ref="E3968">_xlfn.XLOOKUP(D3968,SKU_Master!A:A,SKU_Master!B:B,"Not on master")</f>
        <v>0</v>
      </c>
      <c r="F3968" cm="1">
        <f t="array" ref="F3968">_xlfn.XLOOKUP(C3968,Account_Master!A:A,Account_Master!B:B,"Not on master")</f>
        <v>0</v>
      </c>
      <c r="G3968" cm="1">
        <f t="array" ref="G3968">_xlfn.XLOOKUP(C3968,Account_Master!A:A,Account_Master!C:C,"Not on master")</f>
        <v>0</v>
      </c>
      <c r="H3968" s="6">
        <v>189</v>
      </c>
      <c r="I3968" s="6">
        <v>189</v>
      </c>
      <c r="J3968" s="6">
        <f>I3968-H3968</f>
        <v>0</v>
      </c>
      <c r="K3968" s="5">
        <f>IF(H3968=0,"",J3968/H3968)</f>
        <v>0</v>
      </c>
      <c r="L3968">
        <f>IF(OR(AND(H3968=0,ABS(J3968)&gt;=0.01),AND(H3968&lt;&gt;0,ABS(K3968)&gt;VarianceThreshold)),"Review","OK")</f>
        <v>0</v>
      </c>
      <c r="M3968" t="s">
        <v>33</v>
      </c>
    </row>
    <row r="3969" spans="1:13">
      <c r="A3969" t="s">
        <v>6</v>
      </c>
      <c r="B3969" t="s">
        <v>392</v>
      </c>
      <c r="C3969" t="s">
        <v>3021</v>
      </c>
      <c r="D3969" t="s">
        <v>2597</v>
      </c>
      <c r="E3969" cm="1">
        <f t="array" ref="E3969">_xlfn.XLOOKUP(D3969,SKU_Master!A:A,SKU_Master!B:B,"Not on master")</f>
        <v>0</v>
      </c>
      <c r="F3969" cm="1">
        <f t="array" ref="F3969">_xlfn.XLOOKUP(C3969,Account_Master!A:A,Account_Master!B:B,"Not on master")</f>
        <v>0</v>
      </c>
      <c r="G3969" cm="1">
        <f t="array" ref="G3969">_xlfn.XLOOKUP(C3969,Account_Master!A:A,Account_Master!C:C,"Not on master")</f>
        <v>0</v>
      </c>
      <c r="H3969" s="6">
        <v>45</v>
      </c>
      <c r="I3969" s="6">
        <v>45</v>
      </c>
      <c r="J3969" s="6">
        <f>I3969-H3969</f>
        <v>0</v>
      </c>
      <c r="K3969" s="5">
        <f>IF(H3969=0,"",J3969/H3969)</f>
        <v>0</v>
      </c>
      <c r="L3969">
        <f>IF(OR(AND(H3969=0,ABS(J3969)&gt;=0.01),AND(H3969&lt;&gt;0,ABS(K3969)&gt;VarianceThreshold)),"Review","OK")</f>
        <v>0</v>
      </c>
      <c r="M3969" t="s">
        <v>33</v>
      </c>
    </row>
    <row r="3970" spans="1:13">
      <c r="A3970" t="s">
        <v>6</v>
      </c>
      <c r="B3970" t="s">
        <v>392</v>
      </c>
      <c r="C3970" t="s">
        <v>3165</v>
      </c>
      <c r="D3970" t="s">
        <v>42</v>
      </c>
      <c r="E3970" cm="1">
        <f t="array" ref="E3970">_xlfn.XLOOKUP(D3970,SKU_Master!A:A,SKU_Master!B:B,"Not on master")</f>
        <v>0</v>
      </c>
      <c r="F3970" cm="1">
        <f t="array" ref="F3970">_xlfn.XLOOKUP(C3970,Account_Master!A:A,Account_Master!B:B,"Not on master")</f>
        <v>0</v>
      </c>
      <c r="G3970" cm="1">
        <f t="array" ref="G3970">_xlfn.XLOOKUP(C3970,Account_Master!A:A,Account_Master!C:C,"Not on master")</f>
        <v>0</v>
      </c>
      <c r="H3970" s="6">
        <v>3</v>
      </c>
      <c r="I3970" s="6">
        <v>3</v>
      </c>
      <c r="J3970" s="6">
        <f>I3970-H3970</f>
        <v>0</v>
      </c>
      <c r="K3970" s="5">
        <f>IF(H3970=0,"",J3970/H3970)</f>
        <v>0</v>
      </c>
      <c r="L3970">
        <f>IF(OR(AND(H3970=0,ABS(J3970)&gt;=0.01),AND(H3970&lt;&gt;0,ABS(K3970)&gt;VarianceThreshold)),"Review","OK")</f>
        <v>0</v>
      </c>
      <c r="M3970" t="s">
        <v>33</v>
      </c>
    </row>
    <row r="3971" spans="1:13">
      <c r="A3971" t="s">
        <v>6</v>
      </c>
      <c r="B3971" t="s">
        <v>392</v>
      </c>
      <c r="C3971" t="s">
        <v>3166</v>
      </c>
      <c r="D3971" t="s">
        <v>3167</v>
      </c>
      <c r="E3971" cm="1">
        <f t="array" ref="E3971">_xlfn.XLOOKUP(D3971,SKU_Master!A:A,SKU_Master!B:B,"Not on master")</f>
        <v>0</v>
      </c>
      <c r="F3971" cm="1">
        <f t="array" ref="F3971">_xlfn.XLOOKUP(C3971,Account_Master!A:A,Account_Master!B:B,"Not on master")</f>
        <v>0</v>
      </c>
      <c r="G3971" cm="1">
        <f t="array" ref="G3971">_xlfn.XLOOKUP(C3971,Account_Master!A:A,Account_Master!C:C,"Not on master")</f>
        <v>0</v>
      </c>
      <c r="H3971" s="6">
        <v>0.15</v>
      </c>
      <c r="I3971" s="6">
        <v>0.15</v>
      </c>
      <c r="J3971" s="6">
        <f>I3971-H3971</f>
        <v>0</v>
      </c>
      <c r="K3971" s="5">
        <f>IF(H3971=0,"",J3971/H3971)</f>
        <v>0</v>
      </c>
      <c r="L3971">
        <f>IF(OR(AND(H3971=0,ABS(J3971)&gt;=0.01),AND(H3971&lt;&gt;0,ABS(K3971)&gt;VarianceThreshold)),"Review","OK")</f>
        <v>0</v>
      </c>
      <c r="M3971" t="s">
        <v>33</v>
      </c>
    </row>
    <row r="3972" spans="1:13">
      <c r="A3972" t="s">
        <v>6</v>
      </c>
      <c r="B3972" t="s">
        <v>392</v>
      </c>
      <c r="C3972" t="s">
        <v>3114</v>
      </c>
      <c r="D3972" t="s">
        <v>2293</v>
      </c>
      <c r="E3972" cm="1">
        <f t="array" ref="E3972">_xlfn.XLOOKUP(D3972,SKU_Master!A:A,SKU_Master!B:B,"Not on master")</f>
        <v>0</v>
      </c>
      <c r="F3972" cm="1">
        <f t="array" ref="F3972">_xlfn.XLOOKUP(C3972,Account_Master!A:A,Account_Master!B:B,"Not on master")</f>
        <v>0</v>
      </c>
      <c r="G3972" cm="1">
        <f t="array" ref="G3972">_xlfn.XLOOKUP(C3972,Account_Master!A:A,Account_Master!C:C,"Not on master")</f>
        <v>0</v>
      </c>
      <c r="H3972" s="6">
        <v>1.12</v>
      </c>
      <c r="I3972" s="6">
        <v>1.12</v>
      </c>
      <c r="J3972" s="6">
        <f>I3972-H3972</f>
        <v>0</v>
      </c>
      <c r="K3972" s="5">
        <f>IF(H3972=0,"",J3972/H3972)</f>
        <v>0</v>
      </c>
      <c r="L3972">
        <f>IF(OR(AND(H3972=0,ABS(J3972)&gt;=0.01),AND(H3972&lt;&gt;0,ABS(K3972)&gt;VarianceThreshold)),"Review","OK")</f>
        <v>0</v>
      </c>
      <c r="M3972" t="s">
        <v>33</v>
      </c>
    </row>
    <row r="3973" spans="1:13">
      <c r="A3973" t="s">
        <v>6</v>
      </c>
      <c r="B3973" t="s">
        <v>402</v>
      </c>
      <c r="C3973" t="s">
        <v>3168</v>
      </c>
      <c r="D3973" t="s">
        <v>2591</v>
      </c>
      <c r="E3973" cm="1">
        <f t="array" ref="E3973">_xlfn.XLOOKUP(D3973,SKU_Master!A:A,SKU_Master!B:B,"Not on master")</f>
        <v>0</v>
      </c>
      <c r="F3973" cm="1">
        <f t="array" ref="F3973">_xlfn.XLOOKUP(C3973,Account_Master!A:A,Account_Master!B:B,"Not on master")</f>
        <v>0</v>
      </c>
      <c r="G3973" cm="1">
        <f t="array" ref="G3973">_xlfn.XLOOKUP(C3973,Account_Master!A:A,Account_Master!C:C,"Not on master")</f>
        <v>0</v>
      </c>
      <c r="H3973" s="6">
        <v>10.5</v>
      </c>
      <c r="I3973" s="6">
        <v>10.5</v>
      </c>
      <c r="J3973" s="6">
        <f>I3973-H3973</f>
        <v>0</v>
      </c>
      <c r="K3973" s="5">
        <f>IF(H3973=0,"",J3973/H3973)</f>
        <v>0</v>
      </c>
      <c r="L3973">
        <f>IF(OR(AND(H3973=0,ABS(J3973)&gt;=0.01),AND(H3973&lt;&gt;0,ABS(K3973)&gt;VarianceThreshold)),"Review","OK")</f>
        <v>0</v>
      </c>
      <c r="M3973" t="s">
        <v>33</v>
      </c>
    </row>
    <row r="3974" spans="1:13">
      <c r="A3974" t="s">
        <v>6</v>
      </c>
      <c r="B3974" t="s">
        <v>402</v>
      </c>
      <c r="C3974" t="s">
        <v>3039</v>
      </c>
      <c r="D3974" t="s">
        <v>3169</v>
      </c>
      <c r="E3974" cm="1">
        <f t="array" ref="E3974">_xlfn.XLOOKUP(D3974,SKU_Master!A:A,SKU_Master!B:B,"Not on master")</f>
        <v>0</v>
      </c>
      <c r="F3974" cm="1">
        <f t="array" ref="F3974">_xlfn.XLOOKUP(C3974,Account_Master!A:A,Account_Master!B:B,"Not on master")</f>
        <v>0</v>
      </c>
      <c r="G3974" cm="1">
        <f t="array" ref="G3974">_xlfn.XLOOKUP(C3974,Account_Master!A:A,Account_Master!C:C,"Not on master")</f>
        <v>0</v>
      </c>
      <c r="H3974" s="6">
        <v>9</v>
      </c>
      <c r="I3974" s="6">
        <v>9</v>
      </c>
      <c r="J3974" s="6">
        <f>I3974-H3974</f>
        <v>0</v>
      </c>
      <c r="K3974" s="5">
        <f>IF(H3974=0,"",J3974/H3974)</f>
        <v>0</v>
      </c>
      <c r="L3974">
        <f>IF(OR(AND(H3974=0,ABS(J3974)&gt;=0.01),AND(H3974&lt;&gt;0,ABS(K3974)&gt;VarianceThreshold)),"Review","OK")</f>
        <v>0</v>
      </c>
      <c r="M3974" t="s">
        <v>33</v>
      </c>
    </row>
    <row r="3975" spans="1:13">
      <c r="A3975" t="s">
        <v>6</v>
      </c>
      <c r="B3975" t="s">
        <v>402</v>
      </c>
      <c r="C3975" t="s">
        <v>3059</v>
      </c>
      <c r="D3975" t="s">
        <v>1429</v>
      </c>
      <c r="E3975" cm="1">
        <f t="array" ref="E3975">_xlfn.XLOOKUP(D3975,SKU_Master!A:A,SKU_Master!B:B,"Not on master")</f>
        <v>0</v>
      </c>
      <c r="F3975" cm="1">
        <f t="array" ref="F3975">_xlfn.XLOOKUP(C3975,Account_Master!A:A,Account_Master!B:B,"Not on master")</f>
        <v>0</v>
      </c>
      <c r="G3975" cm="1">
        <f t="array" ref="G3975">_xlfn.XLOOKUP(C3975,Account_Master!A:A,Account_Master!C:C,"Not on master")</f>
        <v>0</v>
      </c>
      <c r="H3975" s="6">
        <v>122.25</v>
      </c>
      <c r="I3975" s="6">
        <v>113.25</v>
      </c>
      <c r="J3975" s="6">
        <f>I3975-H3975</f>
        <v>0</v>
      </c>
      <c r="K3975" s="5">
        <f>IF(H3975=0,"",J3975/H3975)</f>
        <v>0</v>
      </c>
      <c r="L3975">
        <f>IF(OR(AND(H3975=0,ABS(J3975)&gt;=0.01),AND(H3975&lt;&gt;0,ABS(K3975)&gt;VarianceThreshold)),"Review","OK")</f>
        <v>0</v>
      </c>
      <c r="M3975" t="s">
        <v>3038</v>
      </c>
    </row>
    <row r="3976" spans="1:13">
      <c r="A3976" t="s">
        <v>6</v>
      </c>
      <c r="B3976" t="s">
        <v>402</v>
      </c>
      <c r="C3976" t="s">
        <v>3021</v>
      </c>
      <c r="D3976" t="s">
        <v>759</v>
      </c>
      <c r="E3976" cm="1">
        <f t="array" ref="E3976">_xlfn.XLOOKUP(D3976,SKU_Master!A:A,SKU_Master!B:B,"Not on master")</f>
        <v>0</v>
      </c>
      <c r="F3976" cm="1">
        <f t="array" ref="F3976">_xlfn.XLOOKUP(C3976,Account_Master!A:A,Account_Master!B:B,"Not on master")</f>
        <v>0</v>
      </c>
      <c r="G3976" cm="1">
        <f t="array" ref="G3976">_xlfn.XLOOKUP(C3976,Account_Master!A:A,Account_Master!C:C,"Not on master")</f>
        <v>0</v>
      </c>
      <c r="H3976" s="6">
        <v>10.5</v>
      </c>
      <c r="I3976" s="6">
        <v>10.5</v>
      </c>
      <c r="J3976" s="6">
        <f>I3976-H3976</f>
        <v>0</v>
      </c>
      <c r="K3976" s="5">
        <f>IF(H3976=0,"",J3976/H3976)</f>
        <v>0</v>
      </c>
      <c r="L3976">
        <f>IF(OR(AND(H3976=0,ABS(J3976)&gt;=0.01),AND(H3976&lt;&gt;0,ABS(K3976)&gt;VarianceThreshold)),"Review","OK")</f>
        <v>0</v>
      </c>
      <c r="M3976" t="s">
        <v>33</v>
      </c>
    </row>
    <row r="3977" spans="1:13">
      <c r="A3977" t="s">
        <v>6</v>
      </c>
      <c r="B3977" t="s">
        <v>402</v>
      </c>
      <c r="C3977" t="s">
        <v>3170</v>
      </c>
      <c r="D3977" t="s">
        <v>3171</v>
      </c>
      <c r="E3977" cm="1">
        <f t="array" ref="E3977">_xlfn.XLOOKUP(D3977,SKU_Master!A:A,SKU_Master!B:B,"Not on master")</f>
        <v>0</v>
      </c>
      <c r="F3977" cm="1">
        <f t="array" ref="F3977">_xlfn.XLOOKUP(C3977,Account_Master!A:A,Account_Master!B:B,"Not on master")</f>
        <v>0</v>
      </c>
      <c r="G3977" cm="1">
        <f t="array" ref="G3977">_xlfn.XLOOKUP(C3977,Account_Master!A:A,Account_Master!C:C,"Not on master")</f>
        <v>0</v>
      </c>
      <c r="H3977" s="6">
        <v>27</v>
      </c>
      <c r="I3977" s="6">
        <v>22.5</v>
      </c>
      <c r="J3977" s="6">
        <f>I3977-H3977</f>
        <v>0</v>
      </c>
      <c r="K3977" s="5">
        <f>IF(H3977=0,"",J3977/H3977)</f>
        <v>0</v>
      </c>
      <c r="L3977">
        <f>IF(OR(AND(H3977=0,ABS(J3977)&gt;=0.01),AND(H3977&lt;&gt;0,ABS(K3977)&gt;VarianceThreshold)),"Review","OK")</f>
        <v>0</v>
      </c>
      <c r="M3977" t="s">
        <v>3038</v>
      </c>
    </row>
    <row r="3978" spans="1:13">
      <c r="A3978" t="s">
        <v>6</v>
      </c>
      <c r="B3978" t="s">
        <v>402</v>
      </c>
      <c r="C3978" t="s">
        <v>3143</v>
      </c>
      <c r="D3978" t="s">
        <v>2563</v>
      </c>
      <c r="E3978" cm="1">
        <f t="array" ref="E3978">_xlfn.XLOOKUP(D3978,SKU_Master!A:A,SKU_Master!B:B,"Not on master")</f>
        <v>0</v>
      </c>
      <c r="F3978" cm="1">
        <f t="array" ref="F3978">_xlfn.XLOOKUP(C3978,Account_Master!A:A,Account_Master!B:B,"Not on master")</f>
        <v>0</v>
      </c>
      <c r="G3978" cm="1">
        <f t="array" ref="G3978">_xlfn.XLOOKUP(C3978,Account_Master!A:A,Account_Master!C:C,"Not on master")</f>
        <v>0</v>
      </c>
      <c r="H3978" s="6">
        <v>4.5</v>
      </c>
      <c r="I3978" s="6">
        <v>4.5</v>
      </c>
      <c r="J3978" s="6">
        <f>I3978-H3978</f>
        <v>0</v>
      </c>
      <c r="K3978" s="5">
        <f>IF(H3978=0,"",J3978/H3978)</f>
        <v>0</v>
      </c>
      <c r="L3978">
        <f>IF(OR(AND(H3978=0,ABS(J3978)&gt;=0.01),AND(H3978&lt;&gt;0,ABS(K3978)&gt;VarianceThreshold)),"Review","OK")</f>
        <v>0</v>
      </c>
      <c r="M3978" t="s">
        <v>33</v>
      </c>
    </row>
    <row r="3979" spans="1:13">
      <c r="A3979" t="s">
        <v>6</v>
      </c>
      <c r="B3979" t="s">
        <v>402</v>
      </c>
      <c r="C3979" t="s">
        <v>3172</v>
      </c>
      <c r="D3979" t="s">
        <v>1459</v>
      </c>
      <c r="E3979" cm="1">
        <f t="array" ref="E3979">_xlfn.XLOOKUP(D3979,SKU_Master!A:A,SKU_Master!B:B,"Not on master")</f>
        <v>0</v>
      </c>
      <c r="F3979" cm="1">
        <f t="array" ref="F3979">_xlfn.XLOOKUP(C3979,Account_Master!A:A,Account_Master!B:B,"Not on master")</f>
        <v>0</v>
      </c>
      <c r="G3979" cm="1">
        <f t="array" ref="G3979">_xlfn.XLOOKUP(C3979,Account_Master!A:A,Account_Master!C:C,"Not on master")</f>
        <v>0</v>
      </c>
      <c r="H3979" s="6">
        <v>1.4</v>
      </c>
      <c r="I3979" s="6">
        <v>1.4</v>
      </c>
      <c r="J3979" s="6">
        <f>I3979-H3979</f>
        <v>0</v>
      </c>
      <c r="K3979" s="5">
        <f>IF(H3979=0,"",J3979/H3979)</f>
        <v>0</v>
      </c>
      <c r="L3979">
        <f>IF(OR(AND(H3979=0,ABS(J3979)&gt;=0.01),AND(H3979&lt;&gt;0,ABS(K3979)&gt;VarianceThreshold)),"Review","OK")</f>
        <v>0</v>
      </c>
      <c r="M3979" t="s">
        <v>33</v>
      </c>
    </row>
    <row r="3980" spans="1:13">
      <c r="A3980" t="s">
        <v>6</v>
      </c>
      <c r="B3980" t="s">
        <v>402</v>
      </c>
      <c r="C3980" t="s">
        <v>3089</v>
      </c>
      <c r="D3980" t="s">
        <v>3173</v>
      </c>
      <c r="E3980" cm="1">
        <f t="array" ref="E3980">_xlfn.XLOOKUP(D3980,SKU_Master!A:A,SKU_Master!B:B,"Not on master")</f>
        <v>0</v>
      </c>
      <c r="F3980" cm="1">
        <f t="array" ref="F3980">_xlfn.XLOOKUP(C3980,Account_Master!A:A,Account_Master!B:B,"Not on master")</f>
        <v>0</v>
      </c>
      <c r="G3980" cm="1">
        <f t="array" ref="G3980">_xlfn.XLOOKUP(C3980,Account_Master!A:A,Account_Master!C:C,"Not on master")</f>
        <v>0</v>
      </c>
      <c r="H3980" s="6">
        <v>9</v>
      </c>
      <c r="I3980" s="6">
        <v>9</v>
      </c>
      <c r="J3980" s="6">
        <f>I3980-H3980</f>
        <v>0</v>
      </c>
      <c r="K3980" s="5">
        <f>IF(H3980=0,"",J3980/H3980)</f>
        <v>0</v>
      </c>
      <c r="L3980">
        <f>IF(OR(AND(H3980=0,ABS(J3980)&gt;=0.01),AND(H3980&lt;&gt;0,ABS(K3980)&gt;VarianceThreshold)),"Review","OK")</f>
        <v>0</v>
      </c>
      <c r="M3980" t="s">
        <v>33</v>
      </c>
    </row>
    <row r="3981" spans="1:13">
      <c r="A3981" t="s">
        <v>6</v>
      </c>
      <c r="B3981" t="s">
        <v>410</v>
      </c>
      <c r="C3981" t="s">
        <v>3071</v>
      </c>
      <c r="D3981" t="s">
        <v>49</v>
      </c>
      <c r="E3981" cm="1">
        <f t="array" ref="E3981">_xlfn.XLOOKUP(D3981,SKU_Master!A:A,SKU_Master!B:B,"Not on master")</f>
        <v>0</v>
      </c>
      <c r="F3981" cm="1">
        <f t="array" ref="F3981">_xlfn.XLOOKUP(C3981,Account_Master!A:A,Account_Master!B:B,"Not on master")</f>
        <v>0</v>
      </c>
      <c r="G3981" cm="1">
        <f t="array" ref="G3981">_xlfn.XLOOKUP(C3981,Account_Master!A:A,Account_Master!C:C,"Not on master")</f>
        <v>0</v>
      </c>
      <c r="H3981" s="6">
        <v>12</v>
      </c>
      <c r="I3981" s="6">
        <v>12</v>
      </c>
      <c r="J3981" s="6">
        <f>I3981-H3981</f>
        <v>0</v>
      </c>
      <c r="K3981" s="5">
        <f>IF(H3981=0,"",J3981/H3981)</f>
        <v>0</v>
      </c>
      <c r="L3981">
        <f>IF(OR(AND(H3981=0,ABS(J3981)&gt;=0.01),AND(H3981&lt;&gt;0,ABS(K3981)&gt;VarianceThreshold)),"Review","OK")</f>
        <v>0</v>
      </c>
      <c r="M3981" t="s">
        <v>33</v>
      </c>
    </row>
    <row r="3982" spans="1:13">
      <c r="A3982" t="s">
        <v>6</v>
      </c>
      <c r="B3982" t="s">
        <v>410</v>
      </c>
      <c r="C3982" t="s">
        <v>3174</v>
      </c>
      <c r="D3982" t="s">
        <v>1375</v>
      </c>
      <c r="E3982" cm="1">
        <f t="array" ref="E3982">_xlfn.XLOOKUP(D3982,SKU_Master!A:A,SKU_Master!B:B,"Not on master")</f>
        <v>0</v>
      </c>
      <c r="F3982" cm="1">
        <f t="array" ref="F3982">_xlfn.XLOOKUP(C3982,Account_Master!A:A,Account_Master!B:B,"Not on master")</f>
        <v>0</v>
      </c>
      <c r="G3982" cm="1">
        <f t="array" ref="G3982">_xlfn.XLOOKUP(C3982,Account_Master!A:A,Account_Master!C:C,"Not on master")</f>
        <v>0</v>
      </c>
      <c r="H3982" s="6">
        <v>12.75</v>
      </c>
      <c r="I3982" s="6">
        <v>12.75</v>
      </c>
      <c r="J3982" s="6">
        <f>I3982-H3982</f>
        <v>0</v>
      </c>
      <c r="K3982" s="5">
        <f>IF(H3982=0,"",J3982/H3982)</f>
        <v>0</v>
      </c>
      <c r="L3982">
        <f>IF(OR(AND(H3982=0,ABS(J3982)&gt;=0.01),AND(H3982&lt;&gt;0,ABS(K3982)&gt;VarianceThreshold)),"Review","OK")</f>
        <v>0</v>
      </c>
      <c r="M3982" t="s">
        <v>33</v>
      </c>
    </row>
    <row r="3983" spans="1:13">
      <c r="A3983" t="s">
        <v>6</v>
      </c>
      <c r="B3983" t="s">
        <v>410</v>
      </c>
      <c r="C3983" t="s">
        <v>3031</v>
      </c>
      <c r="D3983" t="s">
        <v>3175</v>
      </c>
      <c r="E3983" cm="1">
        <f t="array" ref="E3983">_xlfn.XLOOKUP(D3983,SKU_Master!A:A,SKU_Master!B:B,"Not on master")</f>
        <v>0</v>
      </c>
      <c r="F3983" cm="1">
        <f t="array" ref="F3983">_xlfn.XLOOKUP(C3983,Account_Master!A:A,Account_Master!B:B,"Not on master")</f>
        <v>0</v>
      </c>
      <c r="G3983" cm="1">
        <f t="array" ref="G3983">_xlfn.XLOOKUP(C3983,Account_Master!A:A,Account_Master!C:C,"Not on master")</f>
        <v>0</v>
      </c>
      <c r="H3983" s="6">
        <v>4.5</v>
      </c>
      <c r="I3983" s="6">
        <v>4.5</v>
      </c>
      <c r="J3983" s="6">
        <f>I3983-H3983</f>
        <v>0</v>
      </c>
      <c r="K3983" s="5">
        <f>IF(H3983=0,"",J3983/H3983)</f>
        <v>0</v>
      </c>
      <c r="L3983">
        <f>IF(OR(AND(H3983=0,ABS(J3983)&gt;=0.01),AND(H3983&lt;&gt;0,ABS(K3983)&gt;VarianceThreshold)),"Review","OK")</f>
        <v>0</v>
      </c>
      <c r="M3983" t="s">
        <v>33</v>
      </c>
    </row>
    <row r="3984" spans="1:13">
      <c r="A3984" t="s">
        <v>6</v>
      </c>
      <c r="B3984" t="s">
        <v>410</v>
      </c>
      <c r="C3984" t="s">
        <v>1893</v>
      </c>
      <c r="D3984" t="s">
        <v>1469</v>
      </c>
      <c r="E3984" cm="1">
        <f t="array" ref="E3984">_xlfn.XLOOKUP(D3984,SKU_Master!A:A,SKU_Master!B:B,"Not on master")</f>
        <v>0</v>
      </c>
      <c r="F3984" cm="1">
        <f t="array" ref="F3984">_xlfn.XLOOKUP(C3984,Account_Master!A:A,Account_Master!B:B,"Not on master")</f>
        <v>0</v>
      </c>
      <c r="G3984" cm="1">
        <f t="array" ref="G3984">_xlfn.XLOOKUP(C3984,Account_Master!A:A,Account_Master!C:C,"Not on master")</f>
        <v>0</v>
      </c>
      <c r="H3984" s="6">
        <v>3</v>
      </c>
      <c r="I3984" s="6">
        <v>3</v>
      </c>
      <c r="J3984" s="6">
        <f>I3984-H3984</f>
        <v>0</v>
      </c>
      <c r="K3984" s="5">
        <f>IF(H3984=0,"",J3984/H3984)</f>
        <v>0</v>
      </c>
      <c r="L3984">
        <f>IF(OR(AND(H3984=0,ABS(J3984)&gt;=0.01),AND(H3984&lt;&gt;0,ABS(K3984)&gt;VarianceThreshold)),"Review","OK")</f>
        <v>0</v>
      </c>
      <c r="M3984" t="s">
        <v>33</v>
      </c>
    </row>
    <row r="3985" spans="1:13">
      <c r="A3985" t="s">
        <v>6</v>
      </c>
      <c r="B3985" t="s">
        <v>410</v>
      </c>
      <c r="C3985" t="s">
        <v>3089</v>
      </c>
      <c r="D3985" t="s">
        <v>3176</v>
      </c>
      <c r="E3985" cm="1">
        <f t="array" ref="E3985">_xlfn.XLOOKUP(D3985,SKU_Master!A:A,SKU_Master!B:B,"Not on master")</f>
        <v>0</v>
      </c>
      <c r="F3985" cm="1">
        <f t="array" ref="F3985">_xlfn.XLOOKUP(C3985,Account_Master!A:A,Account_Master!B:B,"Not on master")</f>
        <v>0</v>
      </c>
      <c r="G3985" cm="1">
        <f t="array" ref="G3985">_xlfn.XLOOKUP(C3985,Account_Master!A:A,Account_Master!C:C,"Not on master")</f>
        <v>0</v>
      </c>
      <c r="H3985" s="6">
        <v>4.5</v>
      </c>
      <c r="I3985" s="6">
        <v>4.5</v>
      </c>
      <c r="J3985" s="6">
        <f>I3985-H3985</f>
        <v>0</v>
      </c>
      <c r="K3985" s="5">
        <f>IF(H3985=0,"",J3985/H3985)</f>
        <v>0</v>
      </c>
      <c r="L3985">
        <f>IF(OR(AND(H3985=0,ABS(J3985)&gt;=0.01),AND(H3985&lt;&gt;0,ABS(K3985)&gt;VarianceThreshold)),"Review","OK")</f>
        <v>0</v>
      </c>
      <c r="M3985" t="s">
        <v>33</v>
      </c>
    </row>
    <row r="3986" spans="1:13">
      <c r="A3986" t="s">
        <v>6</v>
      </c>
      <c r="B3986" t="s">
        <v>410</v>
      </c>
      <c r="C3986" t="s">
        <v>3062</v>
      </c>
      <c r="D3986" t="s">
        <v>176</v>
      </c>
      <c r="E3986" cm="1">
        <f t="array" ref="E3986">_xlfn.XLOOKUP(D3986,SKU_Master!A:A,SKU_Master!B:B,"Not on master")</f>
        <v>0</v>
      </c>
      <c r="F3986" cm="1">
        <f t="array" ref="F3986">_xlfn.XLOOKUP(C3986,Account_Master!A:A,Account_Master!B:B,"Not on master")</f>
        <v>0</v>
      </c>
      <c r="G3986" cm="1">
        <f t="array" ref="G3986">_xlfn.XLOOKUP(C3986,Account_Master!A:A,Account_Master!C:C,"Not on master")</f>
        <v>0</v>
      </c>
      <c r="H3986" s="6">
        <v>28.8</v>
      </c>
      <c r="I3986" s="6">
        <v>28.8</v>
      </c>
      <c r="J3986" s="6">
        <f>I3986-H3986</f>
        <v>0</v>
      </c>
      <c r="K3986" s="5">
        <f>IF(H3986=0,"",J3986/H3986)</f>
        <v>0</v>
      </c>
      <c r="L3986">
        <f>IF(OR(AND(H3986=0,ABS(J3986)&gt;=0.01),AND(H3986&lt;&gt;0,ABS(K3986)&gt;VarianceThreshold)),"Review","OK")</f>
        <v>0</v>
      </c>
      <c r="M3986" t="s">
        <v>33</v>
      </c>
    </row>
    <row r="3987" spans="1:13">
      <c r="A3987" t="s">
        <v>6</v>
      </c>
      <c r="B3987" t="s">
        <v>410</v>
      </c>
      <c r="C3987" t="s">
        <v>3089</v>
      </c>
      <c r="D3987" t="s">
        <v>996</v>
      </c>
      <c r="E3987" cm="1">
        <f t="array" ref="E3987">_xlfn.XLOOKUP(D3987,SKU_Master!A:A,SKU_Master!B:B,"Not on master")</f>
        <v>0</v>
      </c>
      <c r="F3987" cm="1">
        <f t="array" ref="F3987">_xlfn.XLOOKUP(C3987,Account_Master!A:A,Account_Master!B:B,"Not on master")</f>
        <v>0</v>
      </c>
      <c r="G3987" cm="1">
        <f t="array" ref="G3987">_xlfn.XLOOKUP(C3987,Account_Master!A:A,Account_Master!C:C,"Not on master")</f>
        <v>0</v>
      </c>
      <c r="H3987" s="6">
        <v>2.25</v>
      </c>
      <c r="I3987" s="6">
        <v>2.25</v>
      </c>
      <c r="J3987" s="6">
        <f>I3987-H3987</f>
        <v>0</v>
      </c>
      <c r="K3987" s="5">
        <f>IF(H3987=0,"",J3987/H3987)</f>
        <v>0</v>
      </c>
      <c r="L3987">
        <f>IF(OR(AND(H3987=0,ABS(J3987)&gt;=0.01),AND(H3987&lt;&gt;0,ABS(K3987)&gt;VarianceThreshold)),"Review","OK")</f>
        <v>0</v>
      </c>
      <c r="M3987" t="s">
        <v>33</v>
      </c>
    </row>
    <row r="3988" spans="1:13">
      <c r="A3988" t="s">
        <v>6</v>
      </c>
      <c r="B3988" t="s">
        <v>410</v>
      </c>
      <c r="C3988" t="s">
        <v>3079</v>
      </c>
      <c r="D3988" t="s">
        <v>1052</v>
      </c>
      <c r="E3988" cm="1">
        <f t="array" ref="E3988">_xlfn.XLOOKUP(D3988,SKU_Master!A:A,SKU_Master!B:B,"Not on master")</f>
        <v>0</v>
      </c>
      <c r="F3988" cm="1">
        <f t="array" ref="F3988">_xlfn.XLOOKUP(C3988,Account_Master!A:A,Account_Master!B:B,"Not on master")</f>
        <v>0</v>
      </c>
      <c r="G3988" cm="1">
        <f t="array" ref="G3988">_xlfn.XLOOKUP(C3988,Account_Master!A:A,Account_Master!C:C,"Not on master")</f>
        <v>0</v>
      </c>
      <c r="H3988" s="6">
        <v>228</v>
      </c>
      <c r="I3988" s="6">
        <v>60</v>
      </c>
      <c r="J3988" s="6">
        <f>I3988-H3988</f>
        <v>0</v>
      </c>
      <c r="K3988" s="5">
        <f>IF(H3988=0,"",J3988/H3988)</f>
        <v>0</v>
      </c>
      <c r="L3988">
        <f>IF(OR(AND(H3988=0,ABS(J3988)&gt;=0.01),AND(H3988&lt;&gt;0,ABS(K3988)&gt;VarianceThreshold)),"Review","OK")</f>
        <v>0</v>
      </c>
      <c r="M3988" t="s">
        <v>3038</v>
      </c>
    </row>
    <row r="3989" spans="1:13">
      <c r="A3989" t="s">
        <v>6</v>
      </c>
      <c r="B3989" t="s">
        <v>410</v>
      </c>
      <c r="C3989" t="s">
        <v>3021</v>
      </c>
      <c r="D3989" t="s">
        <v>1361</v>
      </c>
      <c r="E3989" cm="1">
        <f t="array" ref="E3989">_xlfn.XLOOKUP(D3989,SKU_Master!A:A,SKU_Master!B:B,"Not on master")</f>
        <v>0</v>
      </c>
      <c r="F3989" cm="1">
        <f t="array" ref="F3989">_xlfn.XLOOKUP(C3989,Account_Master!A:A,Account_Master!B:B,"Not on master")</f>
        <v>0</v>
      </c>
      <c r="G3989" cm="1">
        <f t="array" ref="G3989">_xlfn.XLOOKUP(C3989,Account_Master!A:A,Account_Master!C:C,"Not on master")</f>
        <v>0</v>
      </c>
      <c r="H3989" s="6">
        <v>4.5</v>
      </c>
      <c r="I3989" s="6">
        <v>4.5</v>
      </c>
      <c r="J3989" s="6">
        <f>I3989-H3989</f>
        <v>0</v>
      </c>
      <c r="K3989" s="5">
        <f>IF(H3989=0,"",J3989/H3989)</f>
        <v>0</v>
      </c>
      <c r="L3989">
        <f>IF(OR(AND(H3989=0,ABS(J3989)&gt;=0.01),AND(H3989&lt;&gt;0,ABS(K3989)&gt;VarianceThreshold)),"Review","OK")</f>
        <v>0</v>
      </c>
      <c r="M3989" t="s">
        <v>33</v>
      </c>
    </row>
    <row r="3990" spans="1:13">
      <c r="A3990" t="s">
        <v>6</v>
      </c>
      <c r="B3990" t="s">
        <v>410</v>
      </c>
      <c r="C3990" t="s">
        <v>33</v>
      </c>
      <c r="D3990" t="s">
        <v>3177</v>
      </c>
      <c r="E3990" cm="1">
        <f t="array" ref="E3990">_xlfn.XLOOKUP(D3990,SKU_Master!A:A,SKU_Master!B:B,"Not on master")</f>
        <v>0</v>
      </c>
      <c r="F3990" cm="1">
        <f t="array" ref="F3990">_xlfn.XLOOKUP(C3990,Account_Master!A:A,Account_Master!B:B,"Not on master")</f>
        <v>0</v>
      </c>
      <c r="G3990" cm="1">
        <f t="array" ref="G3990">_xlfn.XLOOKUP(C3990,Account_Master!A:A,Account_Master!C:C,"Not on master")</f>
        <v>0</v>
      </c>
      <c r="H3990" s="6">
        <v>0</v>
      </c>
      <c r="I3990" s="6">
        <v>9</v>
      </c>
      <c r="J3990" s="6">
        <f>I3990-H3990</f>
        <v>0</v>
      </c>
      <c r="K3990" s="5">
        <f>IF(H3990=0,"",J3990/H3990)</f>
        <v>0</v>
      </c>
      <c r="L3990">
        <f>IF(OR(AND(H3990=0,ABS(J3990)&gt;=0.01),AND(H3990&lt;&gt;0,ABS(K3990)&gt;VarianceThreshold)),"Review","OK")</f>
        <v>0</v>
      </c>
      <c r="M3990" t="s">
        <v>3038</v>
      </c>
    </row>
    <row r="3991" spans="1:13">
      <c r="A3991" t="s">
        <v>6</v>
      </c>
      <c r="B3991" t="s">
        <v>416</v>
      </c>
      <c r="C3991" t="s">
        <v>3036</v>
      </c>
      <c r="D3991" t="s">
        <v>3178</v>
      </c>
      <c r="E3991" cm="1">
        <f t="array" ref="E3991">_xlfn.XLOOKUP(D3991,SKU_Master!A:A,SKU_Master!B:B,"Not on master")</f>
        <v>0</v>
      </c>
      <c r="F3991" cm="1">
        <f t="array" ref="F3991">_xlfn.XLOOKUP(C3991,Account_Master!A:A,Account_Master!B:B,"Not on master")</f>
        <v>0</v>
      </c>
      <c r="G3991" cm="1">
        <f t="array" ref="G3991">_xlfn.XLOOKUP(C3991,Account_Master!A:A,Account_Master!C:C,"Not on master")</f>
        <v>0</v>
      </c>
      <c r="H3991" s="6">
        <v>36</v>
      </c>
      <c r="I3991" s="6">
        <v>36</v>
      </c>
      <c r="J3991" s="6">
        <f>I3991-H3991</f>
        <v>0</v>
      </c>
      <c r="K3991" s="5">
        <f>IF(H3991=0,"",J3991/H3991)</f>
        <v>0</v>
      </c>
      <c r="L3991">
        <f>IF(OR(AND(H3991=0,ABS(J3991)&gt;=0.01),AND(H3991&lt;&gt;0,ABS(K3991)&gt;VarianceThreshold)),"Review","OK")</f>
        <v>0</v>
      </c>
      <c r="M3991" t="s">
        <v>33</v>
      </c>
    </row>
    <row r="3992" spans="1:13">
      <c r="A3992" t="s">
        <v>6</v>
      </c>
      <c r="B3992" t="s">
        <v>416</v>
      </c>
      <c r="C3992" t="s">
        <v>3179</v>
      </c>
      <c r="D3992" t="s">
        <v>1476</v>
      </c>
      <c r="E3992" cm="1">
        <f t="array" ref="E3992">_xlfn.XLOOKUP(D3992,SKU_Master!A:A,SKU_Master!B:B,"Not on master")</f>
        <v>0</v>
      </c>
      <c r="F3992" cm="1">
        <f t="array" ref="F3992">_xlfn.XLOOKUP(C3992,Account_Master!A:A,Account_Master!B:B,"Not on master")</f>
        <v>0</v>
      </c>
      <c r="G3992" cm="1">
        <f t="array" ref="G3992">_xlfn.XLOOKUP(C3992,Account_Master!A:A,Account_Master!C:C,"Not on master")</f>
        <v>0</v>
      </c>
      <c r="H3992" s="6">
        <v>17</v>
      </c>
      <c r="I3992" s="6">
        <v>17</v>
      </c>
      <c r="J3992" s="6">
        <f>I3992-H3992</f>
        <v>0</v>
      </c>
      <c r="K3992" s="5">
        <f>IF(H3992=0,"",J3992/H3992)</f>
        <v>0</v>
      </c>
      <c r="L3992">
        <f>IF(OR(AND(H3992=0,ABS(J3992)&gt;=0.01),AND(H3992&lt;&gt;0,ABS(K3992)&gt;VarianceThreshold)),"Review","OK")</f>
        <v>0</v>
      </c>
      <c r="M3992" t="s">
        <v>33</v>
      </c>
    </row>
    <row r="3993" spans="1:13">
      <c r="A3993" t="s">
        <v>6</v>
      </c>
      <c r="B3993" t="s">
        <v>416</v>
      </c>
      <c r="C3993" t="s">
        <v>3179</v>
      </c>
      <c r="D3993" t="s">
        <v>1946</v>
      </c>
      <c r="E3993" cm="1">
        <f t="array" ref="E3993">_xlfn.XLOOKUP(D3993,SKU_Master!A:A,SKU_Master!B:B,"Not on master")</f>
        <v>0</v>
      </c>
      <c r="F3993" cm="1">
        <f t="array" ref="F3993">_xlfn.XLOOKUP(C3993,Account_Master!A:A,Account_Master!B:B,"Not on master")</f>
        <v>0</v>
      </c>
      <c r="G3993" cm="1">
        <f t="array" ref="G3993">_xlfn.XLOOKUP(C3993,Account_Master!A:A,Account_Master!C:C,"Not on master")</f>
        <v>0</v>
      </c>
      <c r="H3993" s="6">
        <v>62.25</v>
      </c>
      <c r="I3993" s="6">
        <v>62.25</v>
      </c>
      <c r="J3993" s="6">
        <f>I3993-H3993</f>
        <v>0</v>
      </c>
      <c r="K3993" s="5">
        <f>IF(H3993=0,"",J3993/H3993)</f>
        <v>0</v>
      </c>
      <c r="L3993">
        <f>IF(OR(AND(H3993=0,ABS(J3993)&gt;=0.01),AND(H3993&lt;&gt;0,ABS(K3993)&gt;VarianceThreshold)),"Review","OK")</f>
        <v>0</v>
      </c>
      <c r="M3993" t="s">
        <v>33</v>
      </c>
    </row>
    <row r="3994" spans="1:13">
      <c r="A3994" t="s">
        <v>6</v>
      </c>
      <c r="B3994" t="s">
        <v>416</v>
      </c>
      <c r="C3994" t="s">
        <v>3127</v>
      </c>
      <c r="D3994" t="s">
        <v>741</v>
      </c>
      <c r="E3994" cm="1">
        <f t="array" ref="E3994">_xlfn.XLOOKUP(D3994,SKU_Master!A:A,SKU_Master!B:B,"Not on master")</f>
        <v>0</v>
      </c>
      <c r="F3994" cm="1">
        <f t="array" ref="F3994">_xlfn.XLOOKUP(C3994,Account_Master!A:A,Account_Master!B:B,"Not on master")</f>
        <v>0</v>
      </c>
      <c r="G3994" cm="1">
        <f t="array" ref="G3994">_xlfn.XLOOKUP(C3994,Account_Master!A:A,Account_Master!C:C,"Not on master")</f>
        <v>0</v>
      </c>
      <c r="H3994" s="6">
        <v>6.75</v>
      </c>
      <c r="I3994" s="6">
        <v>6.75</v>
      </c>
      <c r="J3994" s="6">
        <f>I3994-H3994</f>
        <v>0</v>
      </c>
      <c r="K3994" s="5">
        <f>IF(H3994=0,"",J3994/H3994)</f>
        <v>0</v>
      </c>
      <c r="L3994">
        <f>IF(OR(AND(H3994=0,ABS(J3994)&gt;=0.01),AND(H3994&lt;&gt;0,ABS(K3994)&gt;VarianceThreshold)),"Review","OK")</f>
        <v>0</v>
      </c>
      <c r="M3994" t="s">
        <v>33</v>
      </c>
    </row>
    <row r="3995" spans="1:13">
      <c r="A3995" t="s">
        <v>6</v>
      </c>
      <c r="B3995" t="s">
        <v>416</v>
      </c>
      <c r="C3995" t="s">
        <v>3039</v>
      </c>
      <c r="D3995" t="s">
        <v>590</v>
      </c>
      <c r="E3995" cm="1">
        <f t="array" ref="E3995">_xlfn.XLOOKUP(D3995,SKU_Master!A:A,SKU_Master!B:B,"Not on master")</f>
        <v>0</v>
      </c>
      <c r="F3995" cm="1">
        <f t="array" ref="F3995">_xlfn.XLOOKUP(C3995,Account_Master!A:A,Account_Master!B:B,"Not on master")</f>
        <v>0</v>
      </c>
      <c r="G3995" cm="1">
        <f t="array" ref="G3995">_xlfn.XLOOKUP(C3995,Account_Master!A:A,Account_Master!C:C,"Not on master")</f>
        <v>0</v>
      </c>
      <c r="H3995" s="6">
        <v>9.75</v>
      </c>
      <c r="I3995" s="6">
        <v>9.75</v>
      </c>
      <c r="J3995" s="6">
        <f>I3995-H3995</f>
        <v>0</v>
      </c>
      <c r="K3995" s="5">
        <f>IF(H3995=0,"",J3995/H3995)</f>
        <v>0</v>
      </c>
      <c r="L3995">
        <f>IF(OR(AND(H3995=0,ABS(J3995)&gt;=0.01),AND(H3995&lt;&gt;0,ABS(K3995)&gt;VarianceThreshold)),"Review","OK")</f>
        <v>0</v>
      </c>
      <c r="M3995" t="s">
        <v>33</v>
      </c>
    </row>
    <row r="3996" spans="1:13">
      <c r="A3996" t="s">
        <v>6</v>
      </c>
      <c r="B3996" t="s">
        <v>416</v>
      </c>
      <c r="C3996" t="s">
        <v>33</v>
      </c>
      <c r="D3996" t="s">
        <v>3180</v>
      </c>
      <c r="E3996" cm="1">
        <f t="array" ref="E3996">_xlfn.XLOOKUP(D3996,SKU_Master!A:A,SKU_Master!B:B,"Not on master")</f>
        <v>0</v>
      </c>
      <c r="F3996" cm="1">
        <f t="array" ref="F3996">_xlfn.XLOOKUP(C3996,Account_Master!A:A,Account_Master!B:B,"Not on master")</f>
        <v>0</v>
      </c>
      <c r="G3996" cm="1">
        <f t="array" ref="G3996">_xlfn.XLOOKUP(C3996,Account_Master!A:A,Account_Master!C:C,"Not on master")</f>
        <v>0</v>
      </c>
      <c r="H3996" s="6">
        <v>0</v>
      </c>
      <c r="I3996" s="6">
        <v>2.25</v>
      </c>
      <c r="J3996" s="6">
        <f>I3996-H3996</f>
        <v>0</v>
      </c>
      <c r="K3996" s="5">
        <f>IF(H3996=0,"",J3996/H3996)</f>
        <v>0</v>
      </c>
      <c r="L3996">
        <f>IF(OR(AND(H3996=0,ABS(J3996)&gt;=0.01),AND(H3996&lt;&gt;0,ABS(K3996)&gt;VarianceThreshold)),"Review","OK")</f>
        <v>0</v>
      </c>
      <c r="M3996" t="s">
        <v>3038</v>
      </c>
    </row>
    <row r="3997" spans="1:13">
      <c r="A3997" t="s">
        <v>6</v>
      </c>
      <c r="B3997" t="s">
        <v>416</v>
      </c>
      <c r="C3997" t="s">
        <v>33</v>
      </c>
      <c r="D3997" t="s">
        <v>3181</v>
      </c>
      <c r="E3997" cm="1">
        <f t="array" ref="E3997">_xlfn.XLOOKUP(D3997,SKU_Master!A:A,SKU_Master!B:B,"Not on master")</f>
        <v>0</v>
      </c>
      <c r="F3997" cm="1">
        <f t="array" ref="F3997">_xlfn.XLOOKUP(C3997,Account_Master!A:A,Account_Master!B:B,"Not on master")</f>
        <v>0</v>
      </c>
      <c r="G3997" cm="1">
        <f t="array" ref="G3997">_xlfn.XLOOKUP(C3997,Account_Master!A:A,Account_Master!C:C,"Not on master")</f>
        <v>0</v>
      </c>
      <c r="H3997" s="6">
        <v>0</v>
      </c>
      <c r="I3997" s="6">
        <v>0.6</v>
      </c>
      <c r="J3997" s="6">
        <f>I3997-H3997</f>
        <v>0</v>
      </c>
      <c r="K3997" s="5">
        <f>IF(H3997=0,"",J3997/H3997)</f>
        <v>0</v>
      </c>
      <c r="L3997">
        <f>IF(OR(AND(H3997=0,ABS(J3997)&gt;=0.01),AND(H3997&lt;&gt;0,ABS(K3997)&gt;VarianceThreshold)),"Review","OK")</f>
        <v>0</v>
      </c>
      <c r="M3997" t="s">
        <v>3038</v>
      </c>
    </row>
    <row r="3998" spans="1:13">
      <c r="A3998" t="s">
        <v>6</v>
      </c>
      <c r="B3998" t="s">
        <v>428</v>
      </c>
      <c r="C3998" t="s">
        <v>3032</v>
      </c>
      <c r="D3998" t="s">
        <v>3182</v>
      </c>
      <c r="E3998" cm="1">
        <f t="array" ref="E3998">_xlfn.XLOOKUP(D3998,SKU_Master!A:A,SKU_Master!B:B,"Not on master")</f>
        <v>0</v>
      </c>
      <c r="F3998" cm="1">
        <f t="array" ref="F3998">_xlfn.XLOOKUP(C3998,Account_Master!A:A,Account_Master!B:B,"Not on master")</f>
        <v>0</v>
      </c>
      <c r="G3998" cm="1">
        <f t="array" ref="G3998">_xlfn.XLOOKUP(C3998,Account_Master!A:A,Account_Master!C:C,"Not on master")</f>
        <v>0</v>
      </c>
      <c r="H3998" s="6">
        <v>2.25</v>
      </c>
      <c r="I3998" s="6">
        <v>2.25</v>
      </c>
      <c r="J3998" s="6">
        <f>I3998-H3998</f>
        <v>0</v>
      </c>
      <c r="K3998" s="5">
        <f>IF(H3998=0,"",J3998/H3998)</f>
        <v>0</v>
      </c>
      <c r="L3998">
        <f>IF(OR(AND(H3998=0,ABS(J3998)&gt;=0.01),AND(H3998&lt;&gt;0,ABS(K3998)&gt;VarianceThreshold)),"Review","OK")</f>
        <v>0</v>
      </c>
      <c r="M3998" t="s">
        <v>33</v>
      </c>
    </row>
    <row r="3999" spans="1:13">
      <c r="A3999" t="s">
        <v>6</v>
      </c>
      <c r="B3999" t="s">
        <v>428</v>
      </c>
      <c r="C3999" t="s">
        <v>3104</v>
      </c>
      <c r="D3999" t="s">
        <v>2352</v>
      </c>
      <c r="E3999" cm="1">
        <f t="array" ref="E3999">_xlfn.XLOOKUP(D3999,SKU_Master!A:A,SKU_Master!B:B,"Not on master")</f>
        <v>0</v>
      </c>
      <c r="F3999" cm="1">
        <f t="array" ref="F3999">_xlfn.XLOOKUP(C3999,Account_Master!A:A,Account_Master!B:B,"Not on master")</f>
        <v>0</v>
      </c>
      <c r="G3999" cm="1">
        <f t="array" ref="G3999">_xlfn.XLOOKUP(C3999,Account_Master!A:A,Account_Master!C:C,"Not on master")</f>
        <v>0</v>
      </c>
      <c r="H3999" s="6">
        <v>21</v>
      </c>
      <c r="I3999" s="6">
        <v>10.5</v>
      </c>
      <c r="J3999" s="6">
        <f>I3999-H3999</f>
        <v>0</v>
      </c>
      <c r="K3999" s="5">
        <f>IF(H3999=0,"",J3999/H3999)</f>
        <v>0</v>
      </c>
      <c r="L3999">
        <f>IF(OR(AND(H3999=0,ABS(J3999)&gt;=0.01),AND(H3999&lt;&gt;0,ABS(K3999)&gt;VarianceThreshold)),"Review","OK")</f>
        <v>0</v>
      </c>
      <c r="M3999" t="s">
        <v>3038</v>
      </c>
    </row>
    <row r="4000" spans="1:13">
      <c r="A4000" t="s">
        <v>6</v>
      </c>
      <c r="B4000" t="s">
        <v>428</v>
      </c>
      <c r="C4000" t="s">
        <v>3183</v>
      </c>
      <c r="D4000" t="s">
        <v>2159</v>
      </c>
      <c r="E4000" cm="1">
        <f t="array" ref="E4000">_xlfn.XLOOKUP(D4000,SKU_Master!A:A,SKU_Master!B:B,"Not on master")</f>
        <v>0</v>
      </c>
      <c r="F4000" cm="1">
        <f t="array" ref="F4000">_xlfn.XLOOKUP(C4000,Account_Master!A:A,Account_Master!B:B,"Not on master")</f>
        <v>0</v>
      </c>
      <c r="G4000" cm="1">
        <f t="array" ref="G4000">_xlfn.XLOOKUP(C4000,Account_Master!A:A,Account_Master!C:C,"Not on master")</f>
        <v>0</v>
      </c>
      <c r="H4000" s="6">
        <v>0.65</v>
      </c>
      <c r="I4000" s="6">
        <v>0.65</v>
      </c>
      <c r="J4000" s="6">
        <f>I4000-H4000</f>
        <v>0</v>
      </c>
      <c r="K4000" s="5">
        <f>IF(H4000=0,"",J4000/H4000)</f>
        <v>0</v>
      </c>
      <c r="L4000">
        <f>IF(OR(AND(H4000=0,ABS(J4000)&gt;=0.01),AND(H4000&lt;&gt;0,ABS(K4000)&gt;VarianceThreshold)),"Review","OK")</f>
        <v>0</v>
      </c>
      <c r="M4000" t="s">
        <v>33</v>
      </c>
    </row>
    <row r="4001" spans="1:13">
      <c r="A4001" t="s">
        <v>6</v>
      </c>
      <c r="B4001" t="s">
        <v>428</v>
      </c>
      <c r="C4001" t="s">
        <v>3056</v>
      </c>
      <c r="D4001" t="s">
        <v>1870</v>
      </c>
      <c r="E4001" cm="1">
        <f t="array" ref="E4001">_xlfn.XLOOKUP(D4001,SKU_Master!A:A,SKU_Master!B:B,"Not on master")</f>
        <v>0</v>
      </c>
      <c r="F4001" cm="1">
        <f t="array" ref="F4001">_xlfn.XLOOKUP(C4001,Account_Master!A:A,Account_Master!B:B,"Not on master")</f>
        <v>0</v>
      </c>
      <c r="G4001" cm="1">
        <f t="array" ref="G4001">_xlfn.XLOOKUP(C4001,Account_Master!A:A,Account_Master!C:C,"Not on master")</f>
        <v>0</v>
      </c>
      <c r="H4001" s="6">
        <v>10.5</v>
      </c>
      <c r="I4001" s="6">
        <v>10.5</v>
      </c>
      <c r="J4001" s="6">
        <f>I4001-H4001</f>
        <v>0</v>
      </c>
      <c r="K4001" s="5">
        <f>IF(H4001=0,"",J4001/H4001)</f>
        <v>0</v>
      </c>
      <c r="L4001">
        <f>IF(OR(AND(H4001=0,ABS(J4001)&gt;=0.01),AND(H4001&lt;&gt;0,ABS(K4001)&gt;VarianceThreshold)),"Review","OK")</f>
        <v>0</v>
      </c>
      <c r="M4001" t="s">
        <v>33</v>
      </c>
    </row>
    <row r="4002" spans="1:13">
      <c r="A4002" t="s">
        <v>6</v>
      </c>
      <c r="B4002" t="s">
        <v>428</v>
      </c>
      <c r="C4002" t="s">
        <v>3089</v>
      </c>
      <c r="D4002" t="s">
        <v>3184</v>
      </c>
      <c r="E4002" cm="1">
        <f t="array" ref="E4002">_xlfn.XLOOKUP(D4002,SKU_Master!A:A,SKU_Master!B:B,"Not on master")</f>
        <v>0</v>
      </c>
      <c r="F4002" cm="1">
        <f t="array" ref="F4002">_xlfn.XLOOKUP(C4002,Account_Master!A:A,Account_Master!B:B,"Not on master")</f>
        <v>0</v>
      </c>
      <c r="G4002" cm="1">
        <f t="array" ref="G4002">_xlfn.XLOOKUP(C4002,Account_Master!A:A,Account_Master!C:C,"Not on master")</f>
        <v>0</v>
      </c>
      <c r="H4002" s="6">
        <v>9</v>
      </c>
      <c r="I4002" s="6">
        <v>9</v>
      </c>
      <c r="J4002" s="6">
        <f>I4002-H4002</f>
        <v>0</v>
      </c>
      <c r="K4002" s="5">
        <f>IF(H4002=0,"",J4002/H4002)</f>
        <v>0</v>
      </c>
      <c r="L4002">
        <f>IF(OR(AND(H4002=0,ABS(J4002)&gt;=0.01),AND(H4002&lt;&gt;0,ABS(K4002)&gt;VarianceThreshold)),"Review","OK")</f>
        <v>0</v>
      </c>
      <c r="M4002" t="s">
        <v>33</v>
      </c>
    </row>
    <row r="4003" spans="1:13">
      <c r="A4003" t="s">
        <v>6</v>
      </c>
      <c r="B4003" t="s">
        <v>428</v>
      </c>
      <c r="C4003" t="s">
        <v>3043</v>
      </c>
      <c r="D4003" t="s">
        <v>1439</v>
      </c>
      <c r="E4003" cm="1">
        <f t="array" ref="E4003">_xlfn.XLOOKUP(D4003,SKU_Master!A:A,SKU_Master!B:B,"Not on master")</f>
        <v>0</v>
      </c>
      <c r="F4003" cm="1">
        <f t="array" ref="F4003">_xlfn.XLOOKUP(C4003,Account_Master!A:A,Account_Master!B:B,"Not on master")</f>
        <v>0</v>
      </c>
      <c r="G4003" cm="1">
        <f t="array" ref="G4003">_xlfn.XLOOKUP(C4003,Account_Master!A:A,Account_Master!C:C,"Not on master")</f>
        <v>0</v>
      </c>
      <c r="H4003" s="6">
        <v>9</v>
      </c>
      <c r="I4003" s="6">
        <v>9</v>
      </c>
      <c r="J4003" s="6">
        <f>I4003-H4003</f>
        <v>0</v>
      </c>
      <c r="K4003" s="5">
        <f>IF(H4003=0,"",J4003/H4003)</f>
        <v>0</v>
      </c>
      <c r="L4003">
        <f>IF(OR(AND(H4003=0,ABS(J4003)&gt;=0.01),AND(H4003&lt;&gt;0,ABS(K4003)&gt;VarianceThreshold)),"Review","OK")</f>
        <v>0</v>
      </c>
      <c r="M4003" t="s">
        <v>33</v>
      </c>
    </row>
    <row r="4004" spans="1:13">
      <c r="A4004" t="s">
        <v>6</v>
      </c>
      <c r="B4004" t="s">
        <v>428</v>
      </c>
      <c r="C4004" t="s">
        <v>3059</v>
      </c>
      <c r="D4004" t="s">
        <v>975</v>
      </c>
      <c r="E4004" cm="1">
        <f t="array" ref="E4004">_xlfn.XLOOKUP(D4004,SKU_Master!A:A,SKU_Master!B:B,"Not on master")</f>
        <v>0</v>
      </c>
      <c r="F4004" cm="1">
        <f t="array" ref="F4004">_xlfn.XLOOKUP(C4004,Account_Master!A:A,Account_Master!B:B,"Not on master")</f>
        <v>0</v>
      </c>
      <c r="G4004" cm="1">
        <f t="array" ref="G4004">_xlfn.XLOOKUP(C4004,Account_Master!A:A,Account_Master!C:C,"Not on master")</f>
        <v>0</v>
      </c>
      <c r="H4004" s="6">
        <v>11.25</v>
      </c>
      <c r="I4004" s="6">
        <v>11.25</v>
      </c>
      <c r="J4004" s="6">
        <f>I4004-H4004</f>
        <v>0</v>
      </c>
      <c r="K4004" s="5">
        <f>IF(H4004=0,"",J4004/H4004)</f>
        <v>0</v>
      </c>
      <c r="L4004">
        <f>IF(OR(AND(H4004=0,ABS(J4004)&gt;=0.01),AND(H4004&lt;&gt;0,ABS(K4004)&gt;VarianceThreshold)),"Review","OK")</f>
        <v>0</v>
      </c>
      <c r="M4004" t="s">
        <v>33</v>
      </c>
    </row>
    <row r="4005" spans="1:13">
      <c r="A4005" t="s">
        <v>6</v>
      </c>
      <c r="B4005" t="s">
        <v>428</v>
      </c>
      <c r="C4005" t="s">
        <v>3089</v>
      </c>
      <c r="D4005" t="s">
        <v>3185</v>
      </c>
      <c r="E4005" cm="1">
        <f t="array" ref="E4005">_xlfn.XLOOKUP(D4005,SKU_Master!A:A,SKU_Master!B:B,"Not on master")</f>
        <v>0</v>
      </c>
      <c r="F4005" cm="1">
        <f t="array" ref="F4005">_xlfn.XLOOKUP(C4005,Account_Master!A:A,Account_Master!B:B,"Not on master")</f>
        <v>0</v>
      </c>
      <c r="G4005" cm="1">
        <f t="array" ref="G4005">_xlfn.XLOOKUP(C4005,Account_Master!A:A,Account_Master!C:C,"Not on master")</f>
        <v>0</v>
      </c>
      <c r="H4005" s="6">
        <v>4.5</v>
      </c>
      <c r="I4005" s="6">
        <v>4.5</v>
      </c>
      <c r="J4005" s="6">
        <f>I4005-H4005</f>
        <v>0</v>
      </c>
      <c r="K4005" s="5">
        <f>IF(H4005=0,"",J4005/H4005)</f>
        <v>0</v>
      </c>
      <c r="L4005">
        <f>IF(OR(AND(H4005=0,ABS(J4005)&gt;=0.01),AND(H4005&lt;&gt;0,ABS(K4005)&gt;VarianceThreshold)),"Review","OK")</f>
        <v>0</v>
      </c>
      <c r="M4005" t="s">
        <v>33</v>
      </c>
    </row>
    <row r="4006" spans="1:13">
      <c r="A4006" t="s">
        <v>6</v>
      </c>
      <c r="B4006" t="s">
        <v>428</v>
      </c>
      <c r="C4006" t="s">
        <v>3152</v>
      </c>
      <c r="D4006" t="s">
        <v>2255</v>
      </c>
      <c r="E4006" cm="1">
        <f t="array" ref="E4006">_xlfn.XLOOKUP(D4006,SKU_Master!A:A,SKU_Master!B:B,"Not on master")</f>
        <v>0</v>
      </c>
      <c r="F4006" cm="1">
        <f t="array" ref="F4006">_xlfn.XLOOKUP(C4006,Account_Master!A:A,Account_Master!B:B,"Not on master")</f>
        <v>0</v>
      </c>
      <c r="G4006" cm="1">
        <f t="array" ref="G4006">_xlfn.XLOOKUP(C4006,Account_Master!A:A,Account_Master!C:C,"Not on master")</f>
        <v>0</v>
      </c>
      <c r="H4006" s="6">
        <v>0.05</v>
      </c>
      <c r="I4006" s="6">
        <v>0.05</v>
      </c>
      <c r="J4006" s="6">
        <f>I4006-H4006</f>
        <v>0</v>
      </c>
      <c r="K4006" s="5">
        <f>IF(H4006=0,"",J4006/H4006)</f>
        <v>0</v>
      </c>
      <c r="L4006">
        <f>IF(OR(AND(H4006=0,ABS(J4006)&gt;=0.01),AND(H4006&lt;&gt;0,ABS(K4006)&gt;VarianceThreshold)),"Review","OK")</f>
        <v>0</v>
      </c>
      <c r="M4006" t="s">
        <v>33</v>
      </c>
    </row>
    <row r="4007" spans="1:13">
      <c r="A4007" t="s">
        <v>6</v>
      </c>
      <c r="B4007" t="s">
        <v>428</v>
      </c>
      <c r="C4007" t="s">
        <v>33</v>
      </c>
      <c r="D4007" t="s">
        <v>3186</v>
      </c>
      <c r="E4007" cm="1">
        <f t="array" ref="E4007">_xlfn.XLOOKUP(D4007,SKU_Master!A:A,SKU_Master!B:B,"Not on master")</f>
        <v>0</v>
      </c>
      <c r="F4007" cm="1">
        <f t="array" ref="F4007">_xlfn.XLOOKUP(C4007,Account_Master!A:A,Account_Master!B:B,"Not on master")</f>
        <v>0</v>
      </c>
      <c r="G4007" cm="1">
        <f t="array" ref="G4007">_xlfn.XLOOKUP(C4007,Account_Master!A:A,Account_Master!C:C,"Not on master")</f>
        <v>0</v>
      </c>
      <c r="H4007" s="6">
        <v>0</v>
      </c>
      <c r="I4007" s="6">
        <v>4.5</v>
      </c>
      <c r="J4007" s="6">
        <f>I4007-H4007</f>
        <v>0</v>
      </c>
      <c r="K4007" s="5">
        <f>IF(H4007=0,"",J4007/H4007)</f>
        <v>0</v>
      </c>
      <c r="L4007">
        <f>IF(OR(AND(H4007=0,ABS(J4007)&gt;=0.01),AND(H4007&lt;&gt;0,ABS(K4007)&gt;VarianceThreshold)),"Review","OK")</f>
        <v>0</v>
      </c>
      <c r="M4007" t="s">
        <v>3038</v>
      </c>
    </row>
    <row r="4008" spans="1:13">
      <c r="A4008" t="s">
        <v>6</v>
      </c>
      <c r="B4008" t="s">
        <v>436</v>
      </c>
      <c r="C4008" t="s">
        <v>3143</v>
      </c>
      <c r="D4008" t="s">
        <v>792</v>
      </c>
      <c r="E4008" cm="1">
        <f t="array" ref="E4008">_xlfn.XLOOKUP(D4008,SKU_Master!A:A,SKU_Master!B:B,"Not on master")</f>
        <v>0</v>
      </c>
      <c r="F4008" cm="1">
        <f t="array" ref="F4008">_xlfn.XLOOKUP(C4008,Account_Master!A:A,Account_Master!B:B,"Not on master")</f>
        <v>0</v>
      </c>
      <c r="G4008" cm="1">
        <f t="array" ref="G4008">_xlfn.XLOOKUP(C4008,Account_Master!A:A,Account_Master!C:C,"Not on master")</f>
        <v>0</v>
      </c>
      <c r="H4008" s="6">
        <v>9</v>
      </c>
      <c r="I4008" s="6">
        <v>9</v>
      </c>
      <c r="J4008" s="6">
        <f>I4008-H4008</f>
        <v>0</v>
      </c>
      <c r="K4008" s="5">
        <f>IF(H4008=0,"",J4008/H4008)</f>
        <v>0</v>
      </c>
      <c r="L4008">
        <f>IF(OR(AND(H4008=0,ABS(J4008)&gt;=0.01),AND(H4008&lt;&gt;0,ABS(K4008)&gt;VarianceThreshold)),"Review","OK")</f>
        <v>0</v>
      </c>
      <c r="M4008" t="s">
        <v>33</v>
      </c>
    </row>
    <row r="4009" spans="1:13">
      <c r="A4009" t="s">
        <v>6</v>
      </c>
      <c r="B4009" t="s">
        <v>436</v>
      </c>
      <c r="C4009" t="s">
        <v>3143</v>
      </c>
      <c r="D4009" t="s">
        <v>2280</v>
      </c>
      <c r="E4009" cm="1">
        <f t="array" ref="E4009">_xlfn.XLOOKUP(D4009,SKU_Master!A:A,SKU_Master!B:B,"Not on master")</f>
        <v>0</v>
      </c>
      <c r="F4009" cm="1">
        <f t="array" ref="F4009">_xlfn.XLOOKUP(C4009,Account_Master!A:A,Account_Master!B:B,"Not on master")</f>
        <v>0</v>
      </c>
      <c r="G4009" cm="1">
        <f t="array" ref="G4009">_xlfn.XLOOKUP(C4009,Account_Master!A:A,Account_Master!C:C,"Not on master")</f>
        <v>0</v>
      </c>
      <c r="H4009" s="6">
        <v>18</v>
      </c>
      <c r="I4009" s="6">
        <v>18</v>
      </c>
      <c r="J4009" s="6">
        <f>I4009-H4009</f>
        <v>0</v>
      </c>
      <c r="K4009" s="5">
        <f>IF(H4009=0,"",J4009/H4009)</f>
        <v>0</v>
      </c>
      <c r="L4009">
        <f>IF(OR(AND(H4009=0,ABS(J4009)&gt;=0.01),AND(H4009&lt;&gt;0,ABS(K4009)&gt;VarianceThreshold)),"Review","OK")</f>
        <v>0</v>
      </c>
      <c r="M4009" t="s">
        <v>33</v>
      </c>
    </row>
    <row r="4010" spans="1:13">
      <c r="A4010" t="s">
        <v>6</v>
      </c>
      <c r="B4010" t="s">
        <v>436</v>
      </c>
      <c r="C4010" t="s">
        <v>3032</v>
      </c>
      <c r="D4010" t="s">
        <v>860</v>
      </c>
      <c r="E4010" cm="1">
        <f t="array" ref="E4010">_xlfn.XLOOKUP(D4010,SKU_Master!A:A,SKU_Master!B:B,"Not on master")</f>
        <v>0</v>
      </c>
      <c r="F4010" cm="1">
        <f t="array" ref="F4010">_xlfn.XLOOKUP(C4010,Account_Master!A:A,Account_Master!B:B,"Not on master")</f>
        <v>0</v>
      </c>
      <c r="G4010" cm="1">
        <f t="array" ref="G4010">_xlfn.XLOOKUP(C4010,Account_Master!A:A,Account_Master!C:C,"Not on master")</f>
        <v>0</v>
      </c>
      <c r="H4010" s="6">
        <v>3.75</v>
      </c>
      <c r="I4010" s="6">
        <v>3.75</v>
      </c>
      <c r="J4010" s="6">
        <f>I4010-H4010</f>
        <v>0</v>
      </c>
      <c r="K4010" s="5">
        <f>IF(H4010=0,"",J4010/H4010)</f>
        <v>0</v>
      </c>
      <c r="L4010">
        <f>IF(OR(AND(H4010=0,ABS(J4010)&gt;=0.01),AND(H4010&lt;&gt;0,ABS(K4010)&gt;VarianceThreshold)),"Review","OK")</f>
        <v>0</v>
      </c>
      <c r="M4010" t="s">
        <v>33</v>
      </c>
    </row>
    <row r="4011" spans="1:13">
      <c r="A4011" t="s">
        <v>6</v>
      </c>
      <c r="B4011" t="s">
        <v>436</v>
      </c>
      <c r="C4011" t="s">
        <v>3187</v>
      </c>
      <c r="D4011" t="s">
        <v>1761</v>
      </c>
      <c r="E4011" cm="1">
        <f t="array" ref="E4011">_xlfn.XLOOKUP(D4011,SKU_Master!A:A,SKU_Master!B:B,"Not on master")</f>
        <v>0</v>
      </c>
      <c r="F4011" cm="1">
        <f t="array" ref="F4011">_xlfn.XLOOKUP(C4011,Account_Master!A:A,Account_Master!B:B,"Not on master")</f>
        <v>0</v>
      </c>
      <c r="G4011" cm="1">
        <f t="array" ref="G4011">_xlfn.XLOOKUP(C4011,Account_Master!A:A,Account_Master!C:C,"Not on master")</f>
        <v>0</v>
      </c>
      <c r="H4011" s="6">
        <v>10.5</v>
      </c>
      <c r="I4011" s="6">
        <v>10.5</v>
      </c>
      <c r="J4011" s="6">
        <f>I4011-H4011</f>
        <v>0</v>
      </c>
      <c r="K4011" s="5">
        <f>IF(H4011=0,"",J4011/H4011)</f>
        <v>0</v>
      </c>
      <c r="L4011">
        <f>IF(OR(AND(H4011=0,ABS(J4011)&gt;=0.01),AND(H4011&lt;&gt;0,ABS(K4011)&gt;VarianceThreshold)),"Review","OK")</f>
        <v>0</v>
      </c>
      <c r="M4011" t="s">
        <v>33</v>
      </c>
    </row>
    <row r="4012" spans="1:13">
      <c r="A4012" t="s">
        <v>6</v>
      </c>
      <c r="B4012" t="s">
        <v>436</v>
      </c>
      <c r="C4012" t="s">
        <v>3071</v>
      </c>
      <c r="D4012" t="s">
        <v>2180</v>
      </c>
      <c r="E4012" cm="1">
        <f t="array" ref="E4012">_xlfn.XLOOKUP(D4012,SKU_Master!A:A,SKU_Master!B:B,"Not on master")</f>
        <v>0</v>
      </c>
      <c r="F4012" cm="1">
        <f t="array" ref="F4012">_xlfn.XLOOKUP(C4012,Account_Master!A:A,Account_Master!B:B,"Not on master")</f>
        <v>0</v>
      </c>
      <c r="G4012" cm="1">
        <f t="array" ref="G4012">_xlfn.XLOOKUP(C4012,Account_Master!A:A,Account_Master!C:C,"Not on master")</f>
        <v>0</v>
      </c>
      <c r="H4012" s="6">
        <v>1.5</v>
      </c>
      <c r="I4012" s="6">
        <v>1.5</v>
      </c>
      <c r="J4012" s="6">
        <f>I4012-H4012</f>
        <v>0</v>
      </c>
      <c r="K4012" s="5">
        <f>IF(H4012=0,"",J4012/H4012)</f>
        <v>0</v>
      </c>
      <c r="L4012">
        <f>IF(OR(AND(H4012=0,ABS(J4012)&gt;=0.01),AND(H4012&lt;&gt;0,ABS(K4012)&gt;VarianceThreshold)),"Review","OK")</f>
        <v>0</v>
      </c>
      <c r="M4012" t="s">
        <v>33</v>
      </c>
    </row>
    <row r="4013" spans="1:13">
      <c r="A4013" t="s">
        <v>6</v>
      </c>
      <c r="B4013" t="s">
        <v>436</v>
      </c>
      <c r="C4013" t="s">
        <v>33</v>
      </c>
      <c r="D4013" t="s">
        <v>3188</v>
      </c>
      <c r="E4013" cm="1">
        <f t="array" ref="E4013">_xlfn.XLOOKUP(D4013,SKU_Master!A:A,SKU_Master!B:B,"Not on master")</f>
        <v>0</v>
      </c>
      <c r="F4013" cm="1">
        <f t="array" ref="F4013">_xlfn.XLOOKUP(C4013,Account_Master!A:A,Account_Master!B:B,"Not on master")</f>
        <v>0</v>
      </c>
      <c r="G4013" cm="1">
        <f t="array" ref="G4013">_xlfn.XLOOKUP(C4013,Account_Master!A:A,Account_Master!C:C,"Not on master")</f>
        <v>0</v>
      </c>
      <c r="H4013" s="6">
        <v>0</v>
      </c>
      <c r="I4013" s="6">
        <v>0.05</v>
      </c>
      <c r="J4013" s="6">
        <f>I4013-H4013</f>
        <v>0</v>
      </c>
      <c r="K4013" s="5">
        <f>IF(H4013=0,"",J4013/H4013)</f>
        <v>0</v>
      </c>
      <c r="L4013">
        <f>IF(OR(AND(H4013=0,ABS(J4013)&gt;=0.01),AND(H4013&lt;&gt;0,ABS(K4013)&gt;VarianceThreshold)),"Review","OK")</f>
        <v>0</v>
      </c>
      <c r="M4013" t="s">
        <v>3038</v>
      </c>
    </row>
    <row r="4014" spans="1:13">
      <c r="A4014" t="s">
        <v>6</v>
      </c>
      <c r="B4014" t="s">
        <v>447</v>
      </c>
      <c r="C4014" t="s">
        <v>3098</v>
      </c>
      <c r="D4014" t="s">
        <v>2713</v>
      </c>
      <c r="E4014" cm="1">
        <f t="array" ref="E4014">_xlfn.XLOOKUP(D4014,SKU_Master!A:A,SKU_Master!B:B,"Not on master")</f>
        <v>0</v>
      </c>
      <c r="F4014" cm="1">
        <f t="array" ref="F4014">_xlfn.XLOOKUP(C4014,Account_Master!A:A,Account_Master!B:B,"Not on master")</f>
        <v>0</v>
      </c>
      <c r="G4014" cm="1">
        <f t="array" ref="G4014">_xlfn.XLOOKUP(C4014,Account_Master!A:A,Account_Master!C:C,"Not on master")</f>
        <v>0</v>
      </c>
      <c r="H4014" s="6">
        <v>5.25</v>
      </c>
      <c r="I4014" s="6">
        <v>5.25</v>
      </c>
      <c r="J4014" s="6">
        <f>I4014-H4014</f>
        <v>0</v>
      </c>
      <c r="K4014" s="5">
        <f>IF(H4014=0,"",J4014/H4014)</f>
        <v>0</v>
      </c>
      <c r="L4014">
        <f>IF(OR(AND(H4014=0,ABS(J4014)&gt;=0.01),AND(H4014&lt;&gt;0,ABS(K4014)&gt;VarianceThreshold)),"Review","OK")</f>
        <v>0</v>
      </c>
      <c r="M4014" t="s">
        <v>33</v>
      </c>
    </row>
    <row r="4015" spans="1:13">
      <c r="A4015" t="s">
        <v>6</v>
      </c>
      <c r="B4015" t="s">
        <v>447</v>
      </c>
      <c r="C4015" t="s">
        <v>3079</v>
      </c>
      <c r="D4015" t="s">
        <v>1351</v>
      </c>
      <c r="E4015" cm="1">
        <f t="array" ref="E4015">_xlfn.XLOOKUP(D4015,SKU_Master!A:A,SKU_Master!B:B,"Not on master")</f>
        <v>0</v>
      </c>
      <c r="F4015" cm="1">
        <f t="array" ref="F4015">_xlfn.XLOOKUP(C4015,Account_Master!A:A,Account_Master!B:B,"Not on master")</f>
        <v>0</v>
      </c>
      <c r="G4015" cm="1">
        <f t="array" ref="G4015">_xlfn.XLOOKUP(C4015,Account_Master!A:A,Account_Master!C:C,"Not on master")</f>
        <v>0</v>
      </c>
      <c r="H4015" s="6">
        <v>18</v>
      </c>
      <c r="I4015" s="6">
        <v>18</v>
      </c>
      <c r="J4015" s="6">
        <f>I4015-H4015</f>
        <v>0</v>
      </c>
      <c r="K4015" s="5">
        <f>IF(H4015=0,"",J4015/H4015)</f>
        <v>0</v>
      </c>
      <c r="L4015">
        <f>IF(OR(AND(H4015=0,ABS(J4015)&gt;=0.01),AND(H4015&lt;&gt;0,ABS(K4015)&gt;VarianceThreshold)),"Review","OK")</f>
        <v>0</v>
      </c>
      <c r="M4015" t="s">
        <v>33</v>
      </c>
    </row>
    <row r="4016" spans="1:13">
      <c r="A4016" t="s">
        <v>6</v>
      </c>
      <c r="B4016" t="s">
        <v>447</v>
      </c>
      <c r="C4016" t="s">
        <v>3189</v>
      </c>
      <c r="D4016" t="s">
        <v>611</v>
      </c>
      <c r="E4016" cm="1">
        <f t="array" ref="E4016">_xlfn.XLOOKUP(D4016,SKU_Master!A:A,SKU_Master!B:B,"Not on master")</f>
        <v>0</v>
      </c>
      <c r="F4016" cm="1">
        <f t="array" ref="F4016">_xlfn.XLOOKUP(C4016,Account_Master!A:A,Account_Master!B:B,"Not on master")</f>
        <v>0</v>
      </c>
      <c r="G4016" cm="1">
        <f t="array" ref="G4016">_xlfn.XLOOKUP(C4016,Account_Master!A:A,Account_Master!C:C,"Not on master")</f>
        <v>0</v>
      </c>
      <c r="H4016" s="6">
        <v>12</v>
      </c>
      <c r="I4016" s="6">
        <v>12</v>
      </c>
      <c r="J4016" s="6">
        <f>I4016-H4016</f>
        <v>0</v>
      </c>
      <c r="K4016" s="5">
        <f>IF(H4016=0,"",J4016/H4016)</f>
        <v>0</v>
      </c>
      <c r="L4016">
        <f>IF(OR(AND(H4016=0,ABS(J4016)&gt;=0.01),AND(H4016&lt;&gt;0,ABS(K4016)&gt;VarianceThreshold)),"Review","OK")</f>
        <v>0</v>
      </c>
      <c r="M4016" t="s">
        <v>33</v>
      </c>
    </row>
    <row r="4017" spans="1:13">
      <c r="A4017" t="s">
        <v>6</v>
      </c>
      <c r="B4017" t="s">
        <v>447</v>
      </c>
      <c r="C4017" t="s">
        <v>3190</v>
      </c>
      <c r="D4017" t="s">
        <v>3191</v>
      </c>
      <c r="E4017" cm="1">
        <f t="array" ref="E4017">_xlfn.XLOOKUP(D4017,SKU_Master!A:A,SKU_Master!B:B,"Not on master")</f>
        <v>0</v>
      </c>
      <c r="F4017" cm="1">
        <f t="array" ref="F4017">_xlfn.XLOOKUP(C4017,Account_Master!A:A,Account_Master!B:B,"Not on master")</f>
        <v>0</v>
      </c>
      <c r="G4017" cm="1">
        <f t="array" ref="G4017">_xlfn.XLOOKUP(C4017,Account_Master!A:A,Account_Master!C:C,"Not on master")</f>
        <v>0</v>
      </c>
      <c r="H4017" s="6">
        <v>9.75</v>
      </c>
      <c r="I4017" s="6">
        <v>9.75</v>
      </c>
      <c r="J4017" s="6">
        <f>I4017-H4017</f>
        <v>0</v>
      </c>
      <c r="K4017" s="5">
        <f>IF(H4017=0,"",J4017/H4017)</f>
        <v>0</v>
      </c>
      <c r="L4017">
        <f>IF(OR(AND(H4017=0,ABS(J4017)&gt;=0.01),AND(H4017&lt;&gt;0,ABS(K4017)&gt;VarianceThreshold)),"Review","OK")</f>
        <v>0</v>
      </c>
      <c r="M4017" t="s">
        <v>33</v>
      </c>
    </row>
    <row r="4018" spans="1:13">
      <c r="A4018" t="s">
        <v>6</v>
      </c>
      <c r="B4018" t="s">
        <v>447</v>
      </c>
      <c r="C4018" t="s">
        <v>3022</v>
      </c>
      <c r="D4018" t="s">
        <v>3192</v>
      </c>
      <c r="E4018" cm="1">
        <f t="array" ref="E4018">_xlfn.XLOOKUP(D4018,SKU_Master!A:A,SKU_Master!B:B,"Not on master")</f>
        <v>0</v>
      </c>
      <c r="F4018" cm="1">
        <f t="array" ref="F4018">_xlfn.XLOOKUP(C4018,Account_Master!A:A,Account_Master!B:B,"Not on master")</f>
        <v>0</v>
      </c>
      <c r="G4018" cm="1">
        <f t="array" ref="G4018">_xlfn.XLOOKUP(C4018,Account_Master!A:A,Account_Master!C:C,"Not on master")</f>
        <v>0</v>
      </c>
      <c r="H4018" s="6">
        <v>12</v>
      </c>
      <c r="I4018" s="6">
        <v>12</v>
      </c>
      <c r="J4018" s="6">
        <f>I4018-H4018</f>
        <v>0</v>
      </c>
      <c r="K4018" s="5">
        <f>IF(H4018=0,"",J4018/H4018)</f>
        <v>0</v>
      </c>
      <c r="L4018">
        <f>IF(OR(AND(H4018=0,ABS(J4018)&gt;=0.01),AND(H4018&lt;&gt;0,ABS(K4018)&gt;VarianceThreshold)),"Review","OK")</f>
        <v>0</v>
      </c>
      <c r="M4018" t="s">
        <v>33</v>
      </c>
    </row>
    <row r="4019" spans="1:13">
      <c r="A4019" t="s">
        <v>6</v>
      </c>
      <c r="B4019" t="s">
        <v>447</v>
      </c>
      <c r="C4019" t="s">
        <v>3031</v>
      </c>
      <c r="D4019" t="s">
        <v>1551</v>
      </c>
      <c r="E4019" cm="1">
        <f t="array" ref="E4019">_xlfn.XLOOKUP(D4019,SKU_Master!A:A,SKU_Master!B:B,"Not on master")</f>
        <v>0</v>
      </c>
      <c r="F4019" cm="1">
        <f t="array" ref="F4019">_xlfn.XLOOKUP(C4019,Account_Master!A:A,Account_Master!B:B,"Not on master")</f>
        <v>0</v>
      </c>
      <c r="G4019" cm="1">
        <f t="array" ref="G4019">_xlfn.XLOOKUP(C4019,Account_Master!A:A,Account_Master!C:C,"Not on master")</f>
        <v>0</v>
      </c>
      <c r="H4019" s="6">
        <v>28.5</v>
      </c>
      <c r="I4019" s="6">
        <v>28.5</v>
      </c>
      <c r="J4019" s="6">
        <f>I4019-H4019</f>
        <v>0</v>
      </c>
      <c r="K4019" s="5">
        <f>IF(H4019=0,"",J4019/H4019)</f>
        <v>0</v>
      </c>
      <c r="L4019">
        <f>IF(OR(AND(H4019=0,ABS(J4019)&gt;=0.01),AND(H4019&lt;&gt;0,ABS(K4019)&gt;VarianceThreshold)),"Review","OK")</f>
        <v>0</v>
      </c>
      <c r="M4019" t="s">
        <v>33</v>
      </c>
    </row>
    <row r="4020" spans="1:13">
      <c r="A4020" t="s">
        <v>6</v>
      </c>
      <c r="B4020" t="s">
        <v>447</v>
      </c>
      <c r="C4020" t="s">
        <v>1481</v>
      </c>
      <c r="D4020" t="s">
        <v>999</v>
      </c>
      <c r="E4020" cm="1">
        <f t="array" ref="E4020">_xlfn.XLOOKUP(D4020,SKU_Master!A:A,SKU_Master!B:B,"Not on master")</f>
        <v>0</v>
      </c>
      <c r="F4020" cm="1">
        <f t="array" ref="F4020">_xlfn.XLOOKUP(C4020,Account_Master!A:A,Account_Master!B:B,"Not on master")</f>
        <v>0</v>
      </c>
      <c r="G4020" cm="1">
        <f t="array" ref="G4020">_xlfn.XLOOKUP(C4020,Account_Master!A:A,Account_Master!C:C,"Not on master")</f>
        <v>0</v>
      </c>
      <c r="H4020" s="6">
        <v>4.8</v>
      </c>
      <c r="I4020" s="6">
        <v>4.8</v>
      </c>
      <c r="J4020" s="6">
        <f>I4020-H4020</f>
        <v>0</v>
      </c>
      <c r="K4020" s="5">
        <f>IF(H4020=0,"",J4020/H4020)</f>
        <v>0</v>
      </c>
      <c r="L4020">
        <f>IF(OR(AND(H4020=0,ABS(J4020)&gt;=0.01),AND(H4020&lt;&gt;0,ABS(K4020)&gt;VarianceThreshold)),"Review","OK")</f>
        <v>0</v>
      </c>
      <c r="M4020" t="s">
        <v>33</v>
      </c>
    </row>
    <row r="4021" spans="1:13">
      <c r="A4021" t="s">
        <v>6</v>
      </c>
      <c r="B4021" t="s">
        <v>447</v>
      </c>
      <c r="C4021" t="s">
        <v>33</v>
      </c>
      <c r="D4021" t="s">
        <v>3193</v>
      </c>
      <c r="E4021" cm="1">
        <f t="array" ref="E4021">_xlfn.XLOOKUP(D4021,SKU_Master!A:A,SKU_Master!B:B,"Not on master")</f>
        <v>0</v>
      </c>
      <c r="F4021" cm="1">
        <f t="array" ref="F4021">_xlfn.XLOOKUP(C4021,Account_Master!A:A,Account_Master!B:B,"Not on master")</f>
        <v>0</v>
      </c>
      <c r="G4021" cm="1">
        <f t="array" ref="G4021">_xlfn.XLOOKUP(C4021,Account_Master!A:A,Account_Master!C:C,"Not on master")</f>
        <v>0</v>
      </c>
      <c r="H4021" s="6">
        <v>0</v>
      </c>
      <c r="I4021" s="6">
        <v>9</v>
      </c>
      <c r="J4021" s="6">
        <f>I4021-H4021</f>
        <v>0</v>
      </c>
      <c r="K4021" s="5">
        <f>IF(H4021=0,"",J4021/H4021)</f>
        <v>0</v>
      </c>
      <c r="L4021">
        <f>IF(OR(AND(H4021=0,ABS(J4021)&gt;=0.01),AND(H4021&lt;&gt;0,ABS(K4021)&gt;VarianceThreshold)),"Review","OK")</f>
        <v>0</v>
      </c>
      <c r="M4021" t="s">
        <v>3038</v>
      </c>
    </row>
    <row r="4022" spans="1:13">
      <c r="A4022" t="s">
        <v>6</v>
      </c>
      <c r="B4022" t="s">
        <v>1278</v>
      </c>
      <c r="C4022" t="s">
        <v>3128</v>
      </c>
      <c r="D4022" t="s">
        <v>380</v>
      </c>
      <c r="E4022" cm="1">
        <f t="array" ref="E4022">_xlfn.XLOOKUP(D4022,SKU_Master!A:A,SKU_Master!B:B,"Not on master")</f>
        <v>0</v>
      </c>
      <c r="F4022" cm="1">
        <f t="array" ref="F4022">_xlfn.XLOOKUP(C4022,Account_Master!A:A,Account_Master!B:B,"Not on master")</f>
        <v>0</v>
      </c>
      <c r="G4022" cm="1">
        <f t="array" ref="G4022">_xlfn.XLOOKUP(C4022,Account_Master!A:A,Account_Master!C:C,"Not on master")</f>
        <v>0</v>
      </c>
      <c r="H4022" s="6">
        <v>15</v>
      </c>
      <c r="I4022" s="6">
        <v>15</v>
      </c>
      <c r="J4022" s="6">
        <f>I4022-H4022</f>
        <v>0</v>
      </c>
      <c r="K4022" s="5">
        <f>IF(H4022=0,"",J4022/H4022)</f>
        <v>0</v>
      </c>
      <c r="L4022">
        <f>IF(OR(AND(H4022=0,ABS(J4022)&gt;=0.01),AND(H4022&lt;&gt;0,ABS(K4022)&gt;VarianceThreshold)),"Review","OK")</f>
        <v>0</v>
      </c>
      <c r="M4022" t="s">
        <v>33</v>
      </c>
    </row>
    <row r="4023" spans="1:13">
      <c r="A4023" t="s">
        <v>6</v>
      </c>
      <c r="B4023" t="s">
        <v>1278</v>
      </c>
      <c r="C4023" t="s">
        <v>3073</v>
      </c>
      <c r="D4023" t="s">
        <v>1220</v>
      </c>
      <c r="E4023" cm="1">
        <f t="array" ref="E4023">_xlfn.XLOOKUP(D4023,SKU_Master!A:A,SKU_Master!B:B,"Not on master")</f>
        <v>0</v>
      </c>
      <c r="F4023" cm="1">
        <f t="array" ref="F4023">_xlfn.XLOOKUP(C4023,Account_Master!A:A,Account_Master!B:B,"Not on master")</f>
        <v>0</v>
      </c>
      <c r="G4023" cm="1">
        <f t="array" ref="G4023">_xlfn.XLOOKUP(C4023,Account_Master!A:A,Account_Master!C:C,"Not on master")</f>
        <v>0</v>
      </c>
      <c r="H4023" s="6">
        <v>3.5</v>
      </c>
      <c r="I4023" s="6">
        <v>3.5</v>
      </c>
      <c r="J4023" s="6">
        <f>I4023-H4023</f>
        <v>0</v>
      </c>
      <c r="K4023" s="5">
        <f>IF(H4023=0,"",J4023/H4023)</f>
        <v>0</v>
      </c>
      <c r="L4023">
        <f>IF(OR(AND(H4023=0,ABS(J4023)&gt;=0.01),AND(H4023&lt;&gt;0,ABS(K4023)&gt;VarianceThreshold)),"Review","OK")</f>
        <v>0</v>
      </c>
      <c r="M4023" t="s">
        <v>33</v>
      </c>
    </row>
    <row r="4024" spans="1:13">
      <c r="A4024" t="s">
        <v>6</v>
      </c>
      <c r="B4024" t="s">
        <v>1278</v>
      </c>
      <c r="C4024" t="s">
        <v>3062</v>
      </c>
      <c r="D4024" t="s">
        <v>1428</v>
      </c>
      <c r="E4024" cm="1">
        <f t="array" ref="E4024">_xlfn.XLOOKUP(D4024,SKU_Master!A:A,SKU_Master!B:B,"Not on master")</f>
        <v>0</v>
      </c>
      <c r="F4024" cm="1">
        <f t="array" ref="F4024">_xlfn.XLOOKUP(C4024,Account_Master!A:A,Account_Master!B:B,"Not on master")</f>
        <v>0</v>
      </c>
      <c r="G4024" cm="1">
        <f t="array" ref="G4024">_xlfn.XLOOKUP(C4024,Account_Master!A:A,Account_Master!C:C,"Not on master")</f>
        <v>0</v>
      </c>
      <c r="H4024" s="6">
        <v>0.75</v>
      </c>
      <c r="I4024" s="6">
        <v>0.75</v>
      </c>
      <c r="J4024" s="6">
        <f>I4024-H4024</f>
        <v>0</v>
      </c>
      <c r="K4024" s="5">
        <f>IF(H4024=0,"",J4024/H4024)</f>
        <v>0</v>
      </c>
      <c r="L4024">
        <f>IF(OR(AND(H4024=0,ABS(J4024)&gt;=0.01),AND(H4024&lt;&gt;0,ABS(K4024)&gt;VarianceThreshold)),"Review","OK")</f>
        <v>0</v>
      </c>
      <c r="M4024" t="s">
        <v>33</v>
      </c>
    </row>
    <row r="4025" spans="1:13">
      <c r="A4025" t="s">
        <v>6</v>
      </c>
      <c r="B4025" t="s">
        <v>1278</v>
      </c>
      <c r="C4025" t="s">
        <v>3029</v>
      </c>
      <c r="D4025" t="s">
        <v>2393</v>
      </c>
      <c r="E4025" cm="1">
        <f t="array" ref="E4025">_xlfn.XLOOKUP(D4025,SKU_Master!A:A,SKU_Master!B:B,"Not on master")</f>
        <v>0</v>
      </c>
      <c r="F4025" cm="1">
        <f t="array" ref="F4025">_xlfn.XLOOKUP(C4025,Account_Master!A:A,Account_Master!B:B,"Not on master")</f>
        <v>0</v>
      </c>
      <c r="G4025" cm="1">
        <f t="array" ref="G4025">_xlfn.XLOOKUP(C4025,Account_Master!A:A,Account_Master!C:C,"Not on master")</f>
        <v>0</v>
      </c>
      <c r="H4025" s="6">
        <v>45</v>
      </c>
      <c r="I4025" s="6">
        <v>45</v>
      </c>
      <c r="J4025" s="6">
        <f>I4025-H4025</f>
        <v>0</v>
      </c>
      <c r="K4025" s="5">
        <f>IF(H4025=0,"",J4025/H4025)</f>
        <v>0</v>
      </c>
      <c r="L4025">
        <f>IF(OR(AND(H4025=0,ABS(J4025)&gt;=0.01),AND(H4025&lt;&gt;0,ABS(K4025)&gt;VarianceThreshold)),"Review","OK")</f>
        <v>0</v>
      </c>
      <c r="M4025" t="s">
        <v>33</v>
      </c>
    </row>
    <row r="4026" spans="1:13">
      <c r="A4026" t="s">
        <v>6</v>
      </c>
      <c r="B4026" t="s">
        <v>1278</v>
      </c>
      <c r="C4026" t="s">
        <v>3079</v>
      </c>
      <c r="D4026" t="s">
        <v>1360</v>
      </c>
      <c r="E4026" cm="1">
        <f t="array" ref="E4026">_xlfn.XLOOKUP(D4026,SKU_Master!A:A,SKU_Master!B:B,"Not on master")</f>
        <v>0</v>
      </c>
      <c r="F4026" cm="1">
        <f t="array" ref="F4026">_xlfn.XLOOKUP(C4026,Account_Master!A:A,Account_Master!B:B,"Not on master")</f>
        <v>0</v>
      </c>
      <c r="G4026" cm="1">
        <f t="array" ref="G4026">_xlfn.XLOOKUP(C4026,Account_Master!A:A,Account_Master!C:C,"Not on master")</f>
        <v>0</v>
      </c>
      <c r="H4026" s="6">
        <v>325.5</v>
      </c>
      <c r="I4026" s="6">
        <v>325.5</v>
      </c>
      <c r="J4026" s="6">
        <f>I4026-H4026</f>
        <v>0</v>
      </c>
      <c r="K4026" s="5">
        <f>IF(H4026=0,"",J4026/H4026)</f>
        <v>0</v>
      </c>
      <c r="L4026">
        <f>IF(OR(AND(H4026=0,ABS(J4026)&gt;=0.01),AND(H4026&lt;&gt;0,ABS(K4026)&gt;VarianceThreshold)),"Review","OK")</f>
        <v>0</v>
      </c>
      <c r="M4026" t="s">
        <v>33</v>
      </c>
    </row>
    <row r="4027" spans="1:13">
      <c r="A4027" t="s">
        <v>6</v>
      </c>
      <c r="B4027" t="s">
        <v>1278</v>
      </c>
      <c r="C4027" t="s">
        <v>3194</v>
      </c>
      <c r="D4027" t="s">
        <v>66</v>
      </c>
      <c r="E4027" cm="1">
        <f t="array" ref="E4027">_xlfn.XLOOKUP(D4027,SKU_Master!A:A,SKU_Master!B:B,"Not on master")</f>
        <v>0</v>
      </c>
      <c r="F4027" cm="1">
        <f t="array" ref="F4027">_xlfn.XLOOKUP(C4027,Account_Master!A:A,Account_Master!B:B,"Not on master")</f>
        <v>0</v>
      </c>
      <c r="G4027" cm="1">
        <f t="array" ref="G4027">_xlfn.XLOOKUP(C4027,Account_Master!A:A,Account_Master!C:C,"Not on master")</f>
        <v>0</v>
      </c>
      <c r="H4027" s="6">
        <v>21</v>
      </c>
      <c r="I4027" s="6">
        <v>21</v>
      </c>
      <c r="J4027" s="6">
        <f>I4027-H4027</f>
        <v>0</v>
      </c>
      <c r="K4027" s="5">
        <f>IF(H4027=0,"",J4027/H4027)</f>
        <v>0</v>
      </c>
      <c r="L4027">
        <f>IF(OR(AND(H4027=0,ABS(J4027)&gt;=0.01),AND(H4027&lt;&gt;0,ABS(K4027)&gt;VarianceThreshold)),"Review","OK")</f>
        <v>0</v>
      </c>
      <c r="M4027" t="s">
        <v>33</v>
      </c>
    </row>
    <row r="4028" spans="1:13">
      <c r="A4028" t="s">
        <v>6</v>
      </c>
      <c r="B4028" t="s">
        <v>1278</v>
      </c>
      <c r="C4028" t="s">
        <v>3031</v>
      </c>
      <c r="D4028" t="s">
        <v>2093</v>
      </c>
      <c r="E4028" cm="1">
        <f t="array" ref="E4028">_xlfn.XLOOKUP(D4028,SKU_Master!A:A,SKU_Master!B:B,"Not on master")</f>
        <v>0</v>
      </c>
      <c r="F4028" cm="1">
        <f t="array" ref="F4028">_xlfn.XLOOKUP(C4028,Account_Master!A:A,Account_Master!B:B,"Not on master")</f>
        <v>0</v>
      </c>
      <c r="G4028" cm="1">
        <f t="array" ref="G4028">_xlfn.XLOOKUP(C4028,Account_Master!A:A,Account_Master!C:C,"Not on master")</f>
        <v>0</v>
      </c>
      <c r="H4028" s="6">
        <v>23.25</v>
      </c>
      <c r="I4028" s="6">
        <v>23.25</v>
      </c>
      <c r="J4028" s="6">
        <f>I4028-H4028</f>
        <v>0</v>
      </c>
      <c r="K4028" s="5">
        <f>IF(H4028=0,"",J4028/H4028)</f>
        <v>0</v>
      </c>
      <c r="L4028">
        <f>IF(OR(AND(H4028=0,ABS(J4028)&gt;=0.01),AND(H4028&lt;&gt;0,ABS(K4028)&gt;VarianceThreshold)),"Review","OK")</f>
        <v>0</v>
      </c>
      <c r="M4028" t="s">
        <v>33</v>
      </c>
    </row>
    <row r="4029" spans="1:13">
      <c r="A4029" t="s">
        <v>6</v>
      </c>
      <c r="B4029" t="s">
        <v>1278</v>
      </c>
      <c r="C4029" t="s">
        <v>3090</v>
      </c>
      <c r="D4029" t="s">
        <v>2307</v>
      </c>
      <c r="E4029" cm="1">
        <f t="array" ref="E4029">_xlfn.XLOOKUP(D4029,SKU_Master!A:A,SKU_Master!B:B,"Not on master")</f>
        <v>0</v>
      </c>
      <c r="F4029" cm="1">
        <f t="array" ref="F4029">_xlfn.XLOOKUP(C4029,Account_Master!A:A,Account_Master!B:B,"Not on master")</f>
        <v>0</v>
      </c>
      <c r="G4029" cm="1">
        <f t="array" ref="G4029">_xlfn.XLOOKUP(C4029,Account_Master!A:A,Account_Master!C:C,"Not on master")</f>
        <v>0</v>
      </c>
      <c r="H4029" s="6">
        <v>4.8</v>
      </c>
      <c r="I4029" s="6">
        <v>4.8</v>
      </c>
      <c r="J4029" s="6">
        <f>I4029-H4029</f>
        <v>0</v>
      </c>
      <c r="K4029" s="5">
        <f>IF(H4029=0,"",J4029/H4029)</f>
        <v>0</v>
      </c>
      <c r="L4029">
        <f>IF(OR(AND(H4029=0,ABS(J4029)&gt;=0.01),AND(H4029&lt;&gt;0,ABS(K4029)&gt;VarianceThreshold)),"Review","OK")</f>
        <v>0</v>
      </c>
      <c r="M4029" t="s">
        <v>33</v>
      </c>
    </row>
    <row r="4030" spans="1:13">
      <c r="A4030" t="s">
        <v>6</v>
      </c>
      <c r="B4030" t="s">
        <v>1278</v>
      </c>
      <c r="C4030" t="s">
        <v>3024</v>
      </c>
      <c r="D4030" t="s">
        <v>445</v>
      </c>
      <c r="E4030" cm="1">
        <f t="array" ref="E4030">_xlfn.XLOOKUP(D4030,SKU_Master!A:A,SKU_Master!B:B,"Not on master")</f>
        <v>0</v>
      </c>
      <c r="F4030" cm="1">
        <f t="array" ref="F4030">_xlfn.XLOOKUP(C4030,Account_Master!A:A,Account_Master!B:B,"Not on master")</f>
        <v>0</v>
      </c>
      <c r="G4030" cm="1">
        <f t="array" ref="G4030">_xlfn.XLOOKUP(C4030,Account_Master!A:A,Account_Master!C:C,"Not on master")</f>
        <v>0</v>
      </c>
      <c r="H4030" s="6">
        <v>3.75</v>
      </c>
      <c r="I4030" s="6">
        <v>3.75</v>
      </c>
      <c r="J4030" s="6">
        <f>I4030-H4030</f>
        <v>0</v>
      </c>
      <c r="K4030" s="5">
        <f>IF(H4030=0,"",J4030/H4030)</f>
        <v>0</v>
      </c>
      <c r="L4030">
        <f>IF(OR(AND(H4030=0,ABS(J4030)&gt;=0.01),AND(H4030&lt;&gt;0,ABS(K4030)&gt;VarianceThreshold)),"Review","OK")</f>
        <v>0</v>
      </c>
      <c r="M4030" t="s">
        <v>33</v>
      </c>
    </row>
    <row r="4031" spans="1:13">
      <c r="A4031" t="s">
        <v>6</v>
      </c>
      <c r="B4031" t="s">
        <v>1278</v>
      </c>
      <c r="C4031" t="s">
        <v>3151</v>
      </c>
      <c r="D4031" t="s">
        <v>2504</v>
      </c>
      <c r="E4031" cm="1">
        <f t="array" ref="E4031">_xlfn.XLOOKUP(D4031,SKU_Master!A:A,SKU_Master!B:B,"Not on master")</f>
        <v>0</v>
      </c>
      <c r="F4031" cm="1">
        <f t="array" ref="F4031">_xlfn.XLOOKUP(C4031,Account_Master!A:A,Account_Master!B:B,"Not on master")</f>
        <v>0</v>
      </c>
      <c r="G4031" cm="1">
        <f t="array" ref="G4031">_xlfn.XLOOKUP(C4031,Account_Master!A:A,Account_Master!C:C,"Not on master")</f>
        <v>0</v>
      </c>
      <c r="H4031" s="6">
        <v>11.25</v>
      </c>
      <c r="I4031" s="6">
        <v>11.25</v>
      </c>
      <c r="J4031" s="6">
        <f>I4031-H4031</f>
        <v>0</v>
      </c>
      <c r="K4031" s="5">
        <f>IF(H4031=0,"",J4031/H4031)</f>
        <v>0</v>
      </c>
      <c r="L4031">
        <f>IF(OR(AND(H4031=0,ABS(J4031)&gt;=0.01),AND(H4031&lt;&gt;0,ABS(K4031)&gt;VarianceThreshold)),"Review","OK")</f>
        <v>0</v>
      </c>
      <c r="M4031" t="s">
        <v>33</v>
      </c>
    </row>
    <row r="4032" spans="1:13">
      <c r="A4032" t="s">
        <v>6</v>
      </c>
      <c r="B4032" t="s">
        <v>1278</v>
      </c>
      <c r="C4032" t="s">
        <v>3089</v>
      </c>
      <c r="D4032" t="s">
        <v>3195</v>
      </c>
      <c r="E4032" cm="1">
        <f t="array" ref="E4032">_xlfn.XLOOKUP(D4032,SKU_Master!A:A,SKU_Master!B:B,"Not on master")</f>
        <v>0</v>
      </c>
      <c r="F4032" cm="1">
        <f t="array" ref="F4032">_xlfn.XLOOKUP(C4032,Account_Master!A:A,Account_Master!B:B,"Not on master")</f>
        <v>0</v>
      </c>
      <c r="G4032" cm="1">
        <f t="array" ref="G4032">_xlfn.XLOOKUP(C4032,Account_Master!A:A,Account_Master!C:C,"Not on master")</f>
        <v>0</v>
      </c>
      <c r="H4032" s="6">
        <v>4</v>
      </c>
      <c r="I4032" s="6">
        <v>4</v>
      </c>
      <c r="J4032" s="6">
        <f>I4032-H4032</f>
        <v>0</v>
      </c>
      <c r="K4032" s="5">
        <f>IF(H4032=0,"",J4032/H4032)</f>
        <v>0</v>
      </c>
      <c r="L4032">
        <f>IF(OR(AND(H4032=0,ABS(J4032)&gt;=0.01),AND(H4032&lt;&gt;0,ABS(K4032)&gt;VarianceThreshold)),"Review","OK")</f>
        <v>0</v>
      </c>
      <c r="M4032" t="s">
        <v>33</v>
      </c>
    </row>
    <row r="4033" spans="1:13">
      <c r="A4033" t="s">
        <v>6</v>
      </c>
      <c r="B4033" t="s">
        <v>1278</v>
      </c>
      <c r="C4033" t="s">
        <v>3196</v>
      </c>
      <c r="D4033" t="s">
        <v>889</v>
      </c>
      <c r="E4033" cm="1">
        <f t="array" ref="E4033">_xlfn.XLOOKUP(D4033,SKU_Master!A:A,SKU_Master!B:B,"Not on master")</f>
        <v>0</v>
      </c>
      <c r="F4033" cm="1">
        <f t="array" ref="F4033">_xlfn.XLOOKUP(C4033,Account_Master!A:A,Account_Master!B:B,"Not on master")</f>
        <v>0</v>
      </c>
      <c r="G4033" cm="1">
        <f t="array" ref="G4033">_xlfn.XLOOKUP(C4033,Account_Master!A:A,Account_Master!C:C,"Not on master")</f>
        <v>0</v>
      </c>
      <c r="H4033" s="6">
        <v>4.5</v>
      </c>
      <c r="I4033" s="6">
        <v>4.5</v>
      </c>
      <c r="J4033" s="6">
        <f>I4033-H4033</f>
        <v>0</v>
      </c>
      <c r="K4033" s="5">
        <f>IF(H4033=0,"",J4033/H4033)</f>
        <v>0</v>
      </c>
      <c r="L4033">
        <f>IF(OR(AND(H4033=0,ABS(J4033)&gt;=0.01),AND(H4033&lt;&gt;0,ABS(K4033)&gt;VarianceThreshold)),"Review","OK")</f>
        <v>0</v>
      </c>
      <c r="M4033" t="s">
        <v>33</v>
      </c>
    </row>
    <row r="4034" spans="1:13">
      <c r="A4034" t="s">
        <v>6</v>
      </c>
      <c r="B4034" t="s">
        <v>1278</v>
      </c>
      <c r="C4034" t="s">
        <v>3197</v>
      </c>
      <c r="D4034" t="s">
        <v>425</v>
      </c>
      <c r="E4034" cm="1">
        <f t="array" ref="E4034">_xlfn.XLOOKUP(D4034,SKU_Master!A:A,SKU_Master!B:B,"Not on master")</f>
        <v>0</v>
      </c>
      <c r="F4034" cm="1">
        <f t="array" ref="F4034">_xlfn.XLOOKUP(C4034,Account_Master!A:A,Account_Master!B:B,"Not on master")</f>
        <v>0</v>
      </c>
      <c r="G4034" cm="1">
        <f t="array" ref="G4034">_xlfn.XLOOKUP(C4034,Account_Master!A:A,Account_Master!C:C,"Not on master")</f>
        <v>0</v>
      </c>
      <c r="H4034" s="6">
        <v>14.25</v>
      </c>
      <c r="I4034" s="6">
        <v>9.75</v>
      </c>
      <c r="J4034" s="6">
        <f>I4034-H4034</f>
        <v>0</v>
      </c>
      <c r="K4034" s="5">
        <f>IF(H4034=0,"",J4034/H4034)</f>
        <v>0</v>
      </c>
      <c r="L4034">
        <f>IF(OR(AND(H4034=0,ABS(J4034)&gt;=0.01),AND(H4034&lt;&gt;0,ABS(K4034)&gt;VarianceThreshold)),"Review","OK")</f>
        <v>0</v>
      </c>
      <c r="M4034" t="s">
        <v>3038</v>
      </c>
    </row>
    <row r="4035" spans="1:13">
      <c r="A4035" t="s">
        <v>6</v>
      </c>
      <c r="B4035" t="s">
        <v>1278</v>
      </c>
      <c r="C4035" t="s">
        <v>3032</v>
      </c>
      <c r="D4035" t="s">
        <v>1683</v>
      </c>
      <c r="E4035" cm="1">
        <f t="array" ref="E4035">_xlfn.XLOOKUP(D4035,SKU_Master!A:A,SKU_Master!B:B,"Not on master")</f>
        <v>0</v>
      </c>
      <c r="F4035" cm="1">
        <f t="array" ref="F4035">_xlfn.XLOOKUP(C4035,Account_Master!A:A,Account_Master!B:B,"Not on master")</f>
        <v>0</v>
      </c>
      <c r="G4035" cm="1">
        <f t="array" ref="G4035">_xlfn.XLOOKUP(C4035,Account_Master!A:A,Account_Master!C:C,"Not on master")</f>
        <v>0</v>
      </c>
      <c r="H4035" s="6">
        <v>2.25</v>
      </c>
      <c r="I4035" s="6">
        <v>2.25</v>
      </c>
      <c r="J4035" s="6">
        <f>I4035-H4035</f>
        <v>0</v>
      </c>
      <c r="K4035" s="5">
        <f>IF(H4035=0,"",J4035/H4035)</f>
        <v>0</v>
      </c>
      <c r="L4035">
        <f>IF(OR(AND(H4035=0,ABS(J4035)&gt;=0.01),AND(H4035&lt;&gt;0,ABS(K4035)&gt;VarianceThreshold)),"Review","OK")</f>
        <v>0</v>
      </c>
      <c r="M4035" t="s">
        <v>33</v>
      </c>
    </row>
    <row r="4036" spans="1:13">
      <c r="A4036" t="s">
        <v>6</v>
      </c>
      <c r="B4036" t="s">
        <v>1278</v>
      </c>
      <c r="C4036" t="s">
        <v>33</v>
      </c>
      <c r="D4036" t="s">
        <v>3198</v>
      </c>
      <c r="E4036" cm="1">
        <f t="array" ref="E4036">_xlfn.XLOOKUP(D4036,SKU_Master!A:A,SKU_Master!B:B,"Not on master")</f>
        <v>0</v>
      </c>
      <c r="F4036" cm="1">
        <f t="array" ref="F4036">_xlfn.XLOOKUP(C4036,Account_Master!A:A,Account_Master!B:B,"Not on master")</f>
        <v>0</v>
      </c>
      <c r="G4036" cm="1">
        <f t="array" ref="G4036">_xlfn.XLOOKUP(C4036,Account_Master!A:A,Account_Master!C:C,"Not on master")</f>
        <v>0</v>
      </c>
      <c r="H4036" s="6">
        <v>0</v>
      </c>
      <c r="I4036" s="6">
        <v>10.5</v>
      </c>
      <c r="J4036" s="6">
        <f>I4036-H4036</f>
        <v>0</v>
      </c>
      <c r="K4036" s="5">
        <f>IF(H4036=0,"",J4036/H4036)</f>
        <v>0</v>
      </c>
      <c r="L4036">
        <f>IF(OR(AND(H4036=0,ABS(J4036)&gt;=0.01),AND(H4036&lt;&gt;0,ABS(K4036)&gt;VarianceThreshold)),"Review","OK")</f>
        <v>0</v>
      </c>
      <c r="M4036" t="s">
        <v>3038</v>
      </c>
    </row>
    <row r="4037" spans="1:13">
      <c r="A4037" t="s">
        <v>6</v>
      </c>
      <c r="B4037" t="s">
        <v>451</v>
      </c>
      <c r="C4037" t="s">
        <v>3199</v>
      </c>
      <c r="D4037" t="s">
        <v>2397</v>
      </c>
      <c r="E4037" cm="1">
        <f t="array" ref="E4037">_xlfn.XLOOKUP(D4037,SKU_Master!A:A,SKU_Master!B:B,"Not on master")</f>
        <v>0</v>
      </c>
      <c r="F4037" cm="1">
        <f t="array" ref="F4037">_xlfn.XLOOKUP(C4037,Account_Master!A:A,Account_Master!B:B,"Not on master")</f>
        <v>0</v>
      </c>
      <c r="G4037" cm="1">
        <f t="array" ref="G4037">_xlfn.XLOOKUP(C4037,Account_Master!A:A,Account_Master!C:C,"Not on master")</f>
        <v>0</v>
      </c>
      <c r="H4037" s="6">
        <v>40.5</v>
      </c>
      <c r="I4037" s="6">
        <v>40.5</v>
      </c>
      <c r="J4037" s="6">
        <f>I4037-H4037</f>
        <v>0</v>
      </c>
      <c r="K4037" s="5">
        <f>IF(H4037=0,"",J4037/H4037)</f>
        <v>0</v>
      </c>
      <c r="L4037">
        <f>IF(OR(AND(H4037=0,ABS(J4037)&gt;=0.01),AND(H4037&lt;&gt;0,ABS(K4037)&gt;VarianceThreshold)),"Review","OK")</f>
        <v>0</v>
      </c>
      <c r="M4037" t="s">
        <v>33</v>
      </c>
    </row>
    <row r="4038" spans="1:13">
      <c r="A4038" t="s">
        <v>6</v>
      </c>
      <c r="B4038" t="s">
        <v>451</v>
      </c>
      <c r="C4038" t="s">
        <v>3200</v>
      </c>
      <c r="D4038" t="s">
        <v>3201</v>
      </c>
      <c r="E4038" cm="1">
        <f t="array" ref="E4038">_xlfn.XLOOKUP(D4038,SKU_Master!A:A,SKU_Master!B:B,"Not on master")</f>
        <v>0</v>
      </c>
      <c r="F4038" cm="1">
        <f t="array" ref="F4038">_xlfn.XLOOKUP(C4038,Account_Master!A:A,Account_Master!B:B,"Not on master")</f>
        <v>0</v>
      </c>
      <c r="G4038" cm="1">
        <f t="array" ref="G4038">_xlfn.XLOOKUP(C4038,Account_Master!A:A,Account_Master!C:C,"Not on master")</f>
        <v>0</v>
      </c>
      <c r="H4038" s="6">
        <v>4.5</v>
      </c>
      <c r="I4038" s="6">
        <v>4.5</v>
      </c>
      <c r="J4038" s="6">
        <f>I4038-H4038</f>
        <v>0</v>
      </c>
      <c r="K4038" s="5">
        <f>IF(H4038=0,"",J4038/H4038)</f>
        <v>0</v>
      </c>
      <c r="L4038">
        <f>IF(OR(AND(H4038=0,ABS(J4038)&gt;=0.01),AND(H4038&lt;&gt;0,ABS(K4038)&gt;VarianceThreshold)),"Review","OK")</f>
        <v>0</v>
      </c>
      <c r="M4038" t="s">
        <v>33</v>
      </c>
    </row>
    <row r="4039" spans="1:13">
      <c r="A4039" t="s">
        <v>6</v>
      </c>
      <c r="B4039" t="s">
        <v>451</v>
      </c>
      <c r="C4039" t="s">
        <v>3089</v>
      </c>
      <c r="D4039" t="s">
        <v>2650</v>
      </c>
      <c r="E4039" cm="1">
        <f t="array" ref="E4039">_xlfn.XLOOKUP(D4039,SKU_Master!A:A,SKU_Master!B:B,"Not on master")</f>
        <v>0</v>
      </c>
      <c r="F4039" cm="1">
        <f t="array" ref="F4039">_xlfn.XLOOKUP(C4039,Account_Master!A:A,Account_Master!B:B,"Not on master")</f>
        <v>0</v>
      </c>
      <c r="G4039" cm="1">
        <f t="array" ref="G4039">_xlfn.XLOOKUP(C4039,Account_Master!A:A,Account_Master!C:C,"Not on master")</f>
        <v>0</v>
      </c>
      <c r="H4039" s="6">
        <v>2.25</v>
      </c>
      <c r="I4039" s="6">
        <v>2.25</v>
      </c>
      <c r="J4039" s="6">
        <f>I4039-H4039</f>
        <v>0</v>
      </c>
      <c r="K4039" s="5">
        <f>IF(H4039=0,"",J4039/H4039)</f>
        <v>0</v>
      </c>
      <c r="L4039">
        <f>IF(OR(AND(H4039=0,ABS(J4039)&gt;=0.01),AND(H4039&lt;&gt;0,ABS(K4039)&gt;VarianceThreshold)),"Review","OK")</f>
        <v>0</v>
      </c>
      <c r="M4039" t="s">
        <v>33</v>
      </c>
    </row>
    <row r="4040" spans="1:13">
      <c r="A4040" t="s">
        <v>6</v>
      </c>
      <c r="B4040" t="s">
        <v>451</v>
      </c>
      <c r="C4040" t="s">
        <v>3039</v>
      </c>
      <c r="D4040" t="s">
        <v>3202</v>
      </c>
      <c r="E4040" cm="1">
        <f t="array" ref="E4040">_xlfn.XLOOKUP(D4040,SKU_Master!A:A,SKU_Master!B:B,"Not on master")</f>
        <v>0</v>
      </c>
      <c r="F4040" cm="1">
        <f t="array" ref="F4040">_xlfn.XLOOKUP(C4040,Account_Master!A:A,Account_Master!B:B,"Not on master")</f>
        <v>0</v>
      </c>
      <c r="G4040" cm="1">
        <f t="array" ref="G4040">_xlfn.XLOOKUP(C4040,Account_Master!A:A,Account_Master!C:C,"Not on master")</f>
        <v>0</v>
      </c>
      <c r="H4040" s="6">
        <v>39.75</v>
      </c>
      <c r="I4040" s="6">
        <v>39.75</v>
      </c>
      <c r="J4040" s="6">
        <f>I4040-H4040</f>
        <v>0</v>
      </c>
      <c r="K4040" s="5">
        <f>IF(H4040=0,"",J4040/H4040)</f>
        <v>0</v>
      </c>
      <c r="L4040">
        <f>IF(OR(AND(H4040=0,ABS(J4040)&gt;=0.01),AND(H4040&lt;&gt;0,ABS(K4040)&gt;VarianceThreshold)),"Review","OK")</f>
        <v>0</v>
      </c>
      <c r="M4040" t="s">
        <v>33</v>
      </c>
    </row>
    <row r="4041" spans="1:13">
      <c r="A4041" t="s">
        <v>6</v>
      </c>
      <c r="B4041" t="s">
        <v>451</v>
      </c>
      <c r="C4041" t="s">
        <v>3070</v>
      </c>
      <c r="D4041" t="s">
        <v>2942</v>
      </c>
      <c r="E4041" cm="1">
        <f t="array" ref="E4041">_xlfn.XLOOKUP(D4041,SKU_Master!A:A,SKU_Master!B:B,"Not on master")</f>
        <v>0</v>
      </c>
      <c r="F4041" cm="1">
        <f t="array" ref="F4041">_xlfn.XLOOKUP(C4041,Account_Master!A:A,Account_Master!B:B,"Not on master")</f>
        <v>0</v>
      </c>
      <c r="G4041" cm="1">
        <f t="array" ref="G4041">_xlfn.XLOOKUP(C4041,Account_Master!A:A,Account_Master!C:C,"Not on master")</f>
        <v>0</v>
      </c>
      <c r="H4041" s="6">
        <v>49.12</v>
      </c>
      <c r="I4041" s="6">
        <v>49.12</v>
      </c>
      <c r="J4041" s="6">
        <f>I4041-H4041</f>
        <v>0</v>
      </c>
      <c r="K4041" s="5">
        <f>IF(H4041=0,"",J4041/H4041)</f>
        <v>0</v>
      </c>
      <c r="L4041">
        <f>IF(OR(AND(H4041=0,ABS(J4041)&gt;=0.01),AND(H4041&lt;&gt;0,ABS(K4041)&gt;VarianceThreshold)),"Review","OK")</f>
        <v>0</v>
      </c>
      <c r="M4041" t="s">
        <v>33</v>
      </c>
    </row>
    <row r="4042" spans="1:13">
      <c r="A4042" t="s">
        <v>6</v>
      </c>
      <c r="B4042" t="s">
        <v>451</v>
      </c>
      <c r="C4042" t="s">
        <v>3039</v>
      </c>
      <c r="D4042" t="s">
        <v>1838</v>
      </c>
      <c r="E4042" cm="1">
        <f t="array" ref="E4042">_xlfn.XLOOKUP(D4042,SKU_Master!A:A,SKU_Master!B:B,"Not on master")</f>
        <v>0</v>
      </c>
      <c r="F4042" cm="1">
        <f t="array" ref="F4042">_xlfn.XLOOKUP(C4042,Account_Master!A:A,Account_Master!B:B,"Not on master")</f>
        <v>0</v>
      </c>
      <c r="G4042" cm="1">
        <f t="array" ref="G4042">_xlfn.XLOOKUP(C4042,Account_Master!A:A,Account_Master!C:C,"Not on master")</f>
        <v>0</v>
      </c>
      <c r="H4042" s="6">
        <v>35</v>
      </c>
      <c r="I4042" s="6">
        <v>35</v>
      </c>
      <c r="J4042" s="6">
        <f>I4042-H4042</f>
        <v>0</v>
      </c>
      <c r="K4042" s="5">
        <f>IF(H4042=0,"",J4042/H4042)</f>
        <v>0</v>
      </c>
      <c r="L4042">
        <f>IF(OR(AND(H4042=0,ABS(J4042)&gt;=0.01),AND(H4042&lt;&gt;0,ABS(K4042)&gt;VarianceThreshold)),"Review","OK")</f>
        <v>0</v>
      </c>
      <c r="M4042" t="s">
        <v>33</v>
      </c>
    </row>
    <row r="4043" spans="1:13">
      <c r="A4043" t="s">
        <v>6</v>
      </c>
      <c r="B4043" t="s">
        <v>451</v>
      </c>
      <c r="C4043" t="s">
        <v>3039</v>
      </c>
      <c r="D4043" t="s">
        <v>1498</v>
      </c>
      <c r="E4043" cm="1">
        <f t="array" ref="E4043">_xlfn.XLOOKUP(D4043,SKU_Master!A:A,SKU_Master!B:B,"Not on master")</f>
        <v>0</v>
      </c>
      <c r="F4043" cm="1">
        <f t="array" ref="F4043">_xlfn.XLOOKUP(C4043,Account_Master!A:A,Account_Master!B:B,"Not on master")</f>
        <v>0</v>
      </c>
      <c r="G4043" cm="1">
        <f t="array" ref="G4043">_xlfn.XLOOKUP(C4043,Account_Master!A:A,Account_Master!C:C,"Not on master")</f>
        <v>0</v>
      </c>
      <c r="H4043" s="6">
        <v>21</v>
      </c>
      <c r="I4043" s="6">
        <v>21</v>
      </c>
      <c r="J4043" s="6">
        <f>I4043-H4043</f>
        <v>0</v>
      </c>
      <c r="K4043" s="5">
        <f>IF(H4043=0,"",J4043/H4043)</f>
        <v>0</v>
      </c>
      <c r="L4043">
        <f>IF(OR(AND(H4043=0,ABS(J4043)&gt;=0.01),AND(H4043&lt;&gt;0,ABS(K4043)&gt;VarianceThreshold)),"Review","OK")</f>
        <v>0</v>
      </c>
      <c r="M4043" t="s">
        <v>33</v>
      </c>
    </row>
    <row r="4044" spans="1:13">
      <c r="A4044" t="s">
        <v>6</v>
      </c>
      <c r="B4044" t="s">
        <v>451</v>
      </c>
      <c r="C4044" t="s">
        <v>3032</v>
      </c>
      <c r="D4044" t="s">
        <v>1174</v>
      </c>
      <c r="E4044" cm="1">
        <f t="array" ref="E4044">_xlfn.XLOOKUP(D4044,SKU_Master!A:A,SKU_Master!B:B,"Not on master")</f>
        <v>0</v>
      </c>
      <c r="F4044" cm="1">
        <f t="array" ref="F4044">_xlfn.XLOOKUP(C4044,Account_Master!A:A,Account_Master!B:B,"Not on master")</f>
        <v>0</v>
      </c>
      <c r="G4044" cm="1">
        <f t="array" ref="G4044">_xlfn.XLOOKUP(C4044,Account_Master!A:A,Account_Master!C:C,"Not on master")</f>
        <v>0</v>
      </c>
      <c r="H4044" s="6">
        <v>4.5</v>
      </c>
      <c r="I4044" s="6">
        <v>4.5</v>
      </c>
      <c r="J4044" s="6">
        <f>I4044-H4044</f>
        <v>0</v>
      </c>
      <c r="K4044" s="5">
        <f>IF(H4044=0,"",J4044/H4044)</f>
        <v>0</v>
      </c>
      <c r="L4044">
        <f>IF(OR(AND(H4044=0,ABS(J4044)&gt;=0.01),AND(H4044&lt;&gt;0,ABS(K4044)&gt;VarianceThreshold)),"Review","OK")</f>
        <v>0</v>
      </c>
      <c r="M4044" t="s">
        <v>33</v>
      </c>
    </row>
    <row r="4045" spans="1:13">
      <c r="A4045" t="s">
        <v>6</v>
      </c>
      <c r="B4045" t="s">
        <v>451</v>
      </c>
      <c r="C4045" t="s">
        <v>3098</v>
      </c>
      <c r="D4045" t="s">
        <v>3203</v>
      </c>
      <c r="E4045" cm="1">
        <f t="array" ref="E4045">_xlfn.XLOOKUP(D4045,SKU_Master!A:A,SKU_Master!B:B,"Not on master")</f>
        <v>0</v>
      </c>
      <c r="F4045" cm="1">
        <f t="array" ref="F4045">_xlfn.XLOOKUP(C4045,Account_Master!A:A,Account_Master!B:B,"Not on master")</f>
        <v>0</v>
      </c>
      <c r="G4045" cm="1">
        <f t="array" ref="G4045">_xlfn.XLOOKUP(C4045,Account_Master!A:A,Account_Master!C:C,"Not on master")</f>
        <v>0</v>
      </c>
      <c r="H4045" s="6">
        <v>4.5</v>
      </c>
      <c r="I4045" s="6">
        <v>4.5</v>
      </c>
      <c r="J4045" s="6">
        <f>I4045-H4045</f>
        <v>0</v>
      </c>
      <c r="K4045" s="5">
        <f>IF(H4045=0,"",J4045/H4045)</f>
        <v>0</v>
      </c>
      <c r="L4045">
        <f>IF(OR(AND(H4045=0,ABS(J4045)&gt;=0.01),AND(H4045&lt;&gt;0,ABS(K4045)&gt;VarianceThreshold)),"Review","OK")</f>
        <v>0</v>
      </c>
      <c r="M4045" t="s">
        <v>33</v>
      </c>
    </row>
    <row r="4046" spans="1:13">
      <c r="A4046" t="s">
        <v>6</v>
      </c>
      <c r="B4046" t="s">
        <v>451</v>
      </c>
      <c r="C4046" t="s">
        <v>3140</v>
      </c>
      <c r="D4046" t="s">
        <v>446</v>
      </c>
      <c r="E4046" cm="1">
        <f t="array" ref="E4046">_xlfn.XLOOKUP(D4046,SKU_Master!A:A,SKU_Master!B:B,"Not on master")</f>
        <v>0</v>
      </c>
      <c r="F4046" cm="1">
        <f t="array" ref="F4046">_xlfn.XLOOKUP(C4046,Account_Master!A:A,Account_Master!B:B,"Not on master")</f>
        <v>0</v>
      </c>
      <c r="G4046" cm="1">
        <f t="array" ref="G4046">_xlfn.XLOOKUP(C4046,Account_Master!A:A,Account_Master!C:C,"Not on master")</f>
        <v>0</v>
      </c>
      <c r="H4046" s="6">
        <v>3</v>
      </c>
      <c r="I4046" s="6">
        <v>3</v>
      </c>
      <c r="J4046" s="6">
        <f>I4046-H4046</f>
        <v>0</v>
      </c>
      <c r="K4046" s="5">
        <f>IF(H4046=0,"",J4046/H4046)</f>
        <v>0</v>
      </c>
      <c r="L4046">
        <f>IF(OR(AND(H4046=0,ABS(J4046)&gt;=0.01),AND(H4046&lt;&gt;0,ABS(K4046)&gt;VarianceThreshold)),"Review","OK")</f>
        <v>0</v>
      </c>
      <c r="M4046" t="s">
        <v>33</v>
      </c>
    </row>
    <row r="4047" spans="1:13">
      <c r="A4047" t="s">
        <v>6</v>
      </c>
      <c r="B4047" t="s">
        <v>451</v>
      </c>
      <c r="C4047" t="s">
        <v>3062</v>
      </c>
      <c r="D4047" t="s">
        <v>1573</v>
      </c>
      <c r="E4047" cm="1">
        <f t="array" ref="E4047">_xlfn.XLOOKUP(D4047,SKU_Master!A:A,SKU_Master!B:B,"Not on master")</f>
        <v>0</v>
      </c>
      <c r="F4047" cm="1">
        <f t="array" ref="F4047">_xlfn.XLOOKUP(C4047,Account_Master!A:A,Account_Master!B:B,"Not on master")</f>
        <v>0</v>
      </c>
      <c r="G4047" cm="1">
        <f t="array" ref="G4047">_xlfn.XLOOKUP(C4047,Account_Master!A:A,Account_Master!C:C,"Not on master")</f>
        <v>0</v>
      </c>
      <c r="H4047" s="6">
        <v>0.75</v>
      </c>
      <c r="I4047" s="6">
        <v>0.75</v>
      </c>
      <c r="J4047" s="6">
        <f>I4047-H4047</f>
        <v>0</v>
      </c>
      <c r="K4047" s="5">
        <f>IF(H4047=0,"",J4047/H4047)</f>
        <v>0</v>
      </c>
      <c r="L4047">
        <f>IF(OR(AND(H4047=0,ABS(J4047)&gt;=0.01),AND(H4047&lt;&gt;0,ABS(K4047)&gt;VarianceThreshold)),"Review","OK")</f>
        <v>0</v>
      </c>
      <c r="M4047" t="s">
        <v>33</v>
      </c>
    </row>
    <row r="4048" spans="1:13">
      <c r="A4048" t="s">
        <v>6</v>
      </c>
      <c r="B4048" t="s">
        <v>464</v>
      </c>
      <c r="C4048" t="s">
        <v>3062</v>
      </c>
      <c r="D4048" t="s">
        <v>2318</v>
      </c>
      <c r="E4048" cm="1">
        <f t="array" ref="E4048">_xlfn.XLOOKUP(D4048,SKU_Master!A:A,SKU_Master!B:B,"Not on master")</f>
        <v>0</v>
      </c>
      <c r="F4048" cm="1">
        <f t="array" ref="F4048">_xlfn.XLOOKUP(C4048,Account_Master!A:A,Account_Master!B:B,"Not on master")</f>
        <v>0</v>
      </c>
      <c r="G4048" cm="1">
        <f t="array" ref="G4048">_xlfn.XLOOKUP(C4048,Account_Master!A:A,Account_Master!C:C,"Not on master")</f>
        <v>0</v>
      </c>
      <c r="H4048" s="6">
        <v>31.5</v>
      </c>
      <c r="I4048" s="6">
        <v>31.5</v>
      </c>
      <c r="J4048" s="6">
        <f>I4048-H4048</f>
        <v>0</v>
      </c>
      <c r="K4048" s="5">
        <f>IF(H4048=0,"",J4048/H4048)</f>
        <v>0</v>
      </c>
      <c r="L4048">
        <f>IF(OR(AND(H4048=0,ABS(J4048)&gt;=0.01),AND(H4048&lt;&gt;0,ABS(K4048)&gt;VarianceThreshold)),"Review","OK")</f>
        <v>0</v>
      </c>
      <c r="M4048" t="s">
        <v>33</v>
      </c>
    </row>
    <row r="4049" spans="1:13">
      <c r="A4049" t="s">
        <v>6</v>
      </c>
      <c r="B4049" t="s">
        <v>464</v>
      </c>
      <c r="C4049" t="s">
        <v>3084</v>
      </c>
      <c r="D4049" t="s">
        <v>244</v>
      </c>
      <c r="E4049" cm="1">
        <f t="array" ref="E4049">_xlfn.XLOOKUP(D4049,SKU_Master!A:A,SKU_Master!B:B,"Not on master")</f>
        <v>0</v>
      </c>
      <c r="F4049" cm="1">
        <f t="array" ref="F4049">_xlfn.XLOOKUP(C4049,Account_Master!A:A,Account_Master!B:B,"Not on master")</f>
        <v>0</v>
      </c>
      <c r="G4049" cm="1">
        <f t="array" ref="G4049">_xlfn.XLOOKUP(C4049,Account_Master!A:A,Account_Master!C:C,"Not on master")</f>
        <v>0</v>
      </c>
      <c r="H4049" s="6">
        <v>0.4</v>
      </c>
      <c r="I4049" s="6">
        <v>0</v>
      </c>
      <c r="J4049" s="6">
        <f>I4049-H4049</f>
        <v>0</v>
      </c>
      <c r="K4049" s="5">
        <f>IF(H4049=0,"",J4049/H4049)</f>
        <v>0</v>
      </c>
      <c r="L4049">
        <f>IF(OR(AND(H4049=0,ABS(J4049)&gt;=0.01),AND(H4049&lt;&gt;0,ABS(K4049)&gt;VarianceThreshold)),"Review","OK")</f>
        <v>0</v>
      </c>
      <c r="M4049" t="s">
        <v>3038</v>
      </c>
    </row>
    <row r="4050" spans="1:13">
      <c r="A4050" t="s">
        <v>6</v>
      </c>
      <c r="B4050" t="s">
        <v>464</v>
      </c>
      <c r="C4050" t="s">
        <v>3041</v>
      </c>
      <c r="D4050" t="s">
        <v>835</v>
      </c>
      <c r="E4050" cm="1">
        <f t="array" ref="E4050">_xlfn.XLOOKUP(D4050,SKU_Master!A:A,SKU_Master!B:B,"Not on master")</f>
        <v>0</v>
      </c>
      <c r="F4050" cm="1">
        <f t="array" ref="F4050">_xlfn.XLOOKUP(C4050,Account_Master!A:A,Account_Master!B:B,"Not on master")</f>
        <v>0</v>
      </c>
      <c r="G4050" cm="1">
        <f t="array" ref="G4050">_xlfn.XLOOKUP(C4050,Account_Master!A:A,Account_Master!C:C,"Not on master")</f>
        <v>0</v>
      </c>
      <c r="H4050" s="6">
        <v>2</v>
      </c>
      <c r="I4050" s="6">
        <v>2</v>
      </c>
      <c r="J4050" s="6">
        <f>I4050-H4050</f>
        <v>0</v>
      </c>
      <c r="K4050" s="5">
        <f>IF(H4050=0,"",J4050/H4050)</f>
        <v>0</v>
      </c>
      <c r="L4050">
        <f>IF(OR(AND(H4050=0,ABS(J4050)&gt;=0.01),AND(H4050&lt;&gt;0,ABS(K4050)&gt;VarianceThreshold)),"Review","OK")</f>
        <v>0</v>
      </c>
      <c r="M4050" t="s">
        <v>33</v>
      </c>
    </row>
    <row r="4051" spans="1:13">
      <c r="A4051" t="s">
        <v>6</v>
      </c>
      <c r="B4051" t="s">
        <v>464</v>
      </c>
      <c r="C4051" t="s">
        <v>33</v>
      </c>
      <c r="D4051" t="s">
        <v>3204</v>
      </c>
      <c r="E4051" cm="1">
        <f t="array" ref="E4051">_xlfn.XLOOKUP(D4051,SKU_Master!A:A,SKU_Master!B:B,"Not on master")</f>
        <v>0</v>
      </c>
      <c r="F4051" cm="1">
        <f t="array" ref="F4051">_xlfn.XLOOKUP(C4051,Account_Master!A:A,Account_Master!B:B,"Not on master")</f>
        <v>0</v>
      </c>
      <c r="G4051" cm="1">
        <f t="array" ref="G4051">_xlfn.XLOOKUP(C4051,Account_Master!A:A,Account_Master!C:C,"Not on master")</f>
        <v>0</v>
      </c>
      <c r="H4051" s="6">
        <v>0</v>
      </c>
      <c r="I4051" s="6">
        <v>2.25</v>
      </c>
      <c r="J4051" s="6">
        <f>I4051-H4051</f>
        <v>0</v>
      </c>
      <c r="K4051" s="5">
        <f>IF(H4051=0,"",J4051/H4051)</f>
        <v>0</v>
      </c>
      <c r="L4051">
        <f>IF(OR(AND(H4051=0,ABS(J4051)&gt;=0.01),AND(H4051&lt;&gt;0,ABS(K4051)&gt;VarianceThreshold)),"Review","OK")</f>
        <v>0</v>
      </c>
      <c r="M4051" t="s">
        <v>3038</v>
      </c>
    </row>
    <row r="4052" spans="1:13">
      <c r="A4052" t="s">
        <v>6</v>
      </c>
      <c r="B4052" t="s">
        <v>478</v>
      </c>
      <c r="C4052" t="s">
        <v>3036</v>
      </c>
      <c r="D4052" t="s">
        <v>2683</v>
      </c>
      <c r="E4052" cm="1">
        <f t="array" ref="E4052">_xlfn.XLOOKUP(D4052,SKU_Master!A:A,SKU_Master!B:B,"Not on master")</f>
        <v>0</v>
      </c>
      <c r="F4052" cm="1">
        <f t="array" ref="F4052">_xlfn.XLOOKUP(C4052,Account_Master!A:A,Account_Master!B:B,"Not on master")</f>
        <v>0</v>
      </c>
      <c r="G4052" cm="1">
        <f t="array" ref="G4052">_xlfn.XLOOKUP(C4052,Account_Master!A:A,Account_Master!C:C,"Not on master")</f>
        <v>0</v>
      </c>
      <c r="H4052" s="6">
        <v>0.75</v>
      </c>
      <c r="I4052" s="6">
        <v>0.75</v>
      </c>
      <c r="J4052" s="6">
        <f>I4052-H4052</f>
        <v>0</v>
      </c>
      <c r="K4052" s="5">
        <f>IF(H4052=0,"",J4052/H4052)</f>
        <v>0</v>
      </c>
      <c r="L4052">
        <f>IF(OR(AND(H4052=0,ABS(J4052)&gt;=0.01),AND(H4052&lt;&gt;0,ABS(K4052)&gt;VarianceThreshold)),"Review","OK")</f>
        <v>0</v>
      </c>
      <c r="M4052" t="s">
        <v>33</v>
      </c>
    </row>
    <row r="4053" spans="1:13">
      <c r="A4053" t="s">
        <v>6</v>
      </c>
      <c r="B4053" t="s">
        <v>478</v>
      </c>
      <c r="C4053" t="s">
        <v>3205</v>
      </c>
      <c r="D4053" t="s">
        <v>1572</v>
      </c>
      <c r="E4053" cm="1">
        <f t="array" ref="E4053">_xlfn.XLOOKUP(D4053,SKU_Master!A:A,SKU_Master!B:B,"Not on master")</f>
        <v>0</v>
      </c>
      <c r="F4053" cm="1">
        <f t="array" ref="F4053">_xlfn.XLOOKUP(C4053,Account_Master!A:A,Account_Master!B:B,"Not on master")</f>
        <v>0</v>
      </c>
      <c r="G4053" cm="1">
        <f t="array" ref="G4053">_xlfn.XLOOKUP(C4053,Account_Master!A:A,Account_Master!C:C,"Not on master")</f>
        <v>0</v>
      </c>
      <c r="H4053" s="6">
        <v>43.5</v>
      </c>
      <c r="I4053" s="6">
        <v>43.5</v>
      </c>
      <c r="J4053" s="6">
        <f>I4053-H4053</f>
        <v>0</v>
      </c>
      <c r="K4053" s="5">
        <f>IF(H4053=0,"",J4053/H4053)</f>
        <v>0</v>
      </c>
      <c r="L4053">
        <f>IF(OR(AND(H4053=0,ABS(J4053)&gt;=0.01),AND(H4053&lt;&gt;0,ABS(K4053)&gt;VarianceThreshold)),"Review","OK")</f>
        <v>0</v>
      </c>
      <c r="M4053" t="s">
        <v>33</v>
      </c>
    </row>
    <row r="4054" spans="1:13">
      <c r="A4054" t="s">
        <v>6</v>
      </c>
      <c r="B4054" t="s">
        <v>478</v>
      </c>
      <c r="C4054" t="s">
        <v>3128</v>
      </c>
      <c r="D4054" t="s">
        <v>1250</v>
      </c>
      <c r="E4054" cm="1">
        <f t="array" ref="E4054">_xlfn.XLOOKUP(D4054,SKU_Master!A:A,SKU_Master!B:B,"Not on master")</f>
        <v>0</v>
      </c>
      <c r="F4054" cm="1">
        <f t="array" ref="F4054">_xlfn.XLOOKUP(C4054,Account_Master!A:A,Account_Master!B:B,"Not on master")</f>
        <v>0</v>
      </c>
      <c r="G4054" cm="1">
        <f t="array" ref="G4054">_xlfn.XLOOKUP(C4054,Account_Master!A:A,Account_Master!C:C,"Not on master")</f>
        <v>0</v>
      </c>
      <c r="H4054" s="6">
        <v>21</v>
      </c>
      <c r="I4054" s="6">
        <v>10.5</v>
      </c>
      <c r="J4054" s="6">
        <f>I4054-H4054</f>
        <v>0</v>
      </c>
      <c r="K4054" s="5">
        <f>IF(H4054=0,"",J4054/H4054)</f>
        <v>0</v>
      </c>
      <c r="L4054">
        <f>IF(OR(AND(H4054=0,ABS(J4054)&gt;=0.01),AND(H4054&lt;&gt;0,ABS(K4054)&gt;VarianceThreshold)),"Review","OK")</f>
        <v>0</v>
      </c>
      <c r="M4054" t="s">
        <v>3038</v>
      </c>
    </row>
    <row r="4055" spans="1:13">
      <c r="A4055" t="s">
        <v>6</v>
      </c>
      <c r="B4055" t="s">
        <v>492</v>
      </c>
      <c r="C4055" t="s">
        <v>3031</v>
      </c>
      <c r="D4055" t="s">
        <v>3206</v>
      </c>
      <c r="E4055" cm="1">
        <f t="array" ref="E4055">_xlfn.XLOOKUP(D4055,SKU_Master!A:A,SKU_Master!B:B,"Not on master")</f>
        <v>0</v>
      </c>
      <c r="F4055" cm="1">
        <f t="array" ref="F4055">_xlfn.XLOOKUP(C4055,Account_Master!A:A,Account_Master!B:B,"Not on master")</f>
        <v>0</v>
      </c>
      <c r="G4055" cm="1">
        <f t="array" ref="G4055">_xlfn.XLOOKUP(C4055,Account_Master!A:A,Account_Master!C:C,"Not on master")</f>
        <v>0</v>
      </c>
      <c r="H4055" s="6">
        <v>10.5</v>
      </c>
      <c r="I4055" s="6">
        <v>10.5</v>
      </c>
      <c r="J4055" s="6">
        <f>I4055-H4055</f>
        <v>0</v>
      </c>
      <c r="K4055" s="5">
        <f>IF(H4055=0,"",J4055/H4055)</f>
        <v>0</v>
      </c>
      <c r="L4055">
        <f>IF(OR(AND(H4055=0,ABS(J4055)&gt;=0.01),AND(H4055&lt;&gt;0,ABS(K4055)&gt;VarianceThreshold)),"Review","OK")</f>
        <v>0</v>
      </c>
      <c r="M4055" t="s">
        <v>33</v>
      </c>
    </row>
    <row r="4056" spans="1:13">
      <c r="A4056" t="s">
        <v>6</v>
      </c>
      <c r="B4056" t="s">
        <v>492</v>
      </c>
      <c r="C4056" t="s">
        <v>3207</v>
      </c>
      <c r="D4056" t="s">
        <v>2380</v>
      </c>
      <c r="E4056" cm="1">
        <f t="array" ref="E4056">_xlfn.XLOOKUP(D4056,SKU_Master!A:A,SKU_Master!B:B,"Not on master")</f>
        <v>0</v>
      </c>
      <c r="F4056" cm="1">
        <f t="array" ref="F4056">_xlfn.XLOOKUP(C4056,Account_Master!A:A,Account_Master!B:B,"Not on master")</f>
        <v>0</v>
      </c>
      <c r="G4056" cm="1">
        <f t="array" ref="G4056">_xlfn.XLOOKUP(C4056,Account_Master!A:A,Account_Master!C:C,"Not on master")</f>
        <v>0</v>
      </c>
      <c r="H4056" s="6">
        <v>4.1</v>
      </c>
      <c r="I4056" s="6">
        <v>3.8</v>
      </c>
      <c r="J4056" s="6">
        <f>I4056-H4056</f>
        <v>0</v>
      </c>
      <c r="K4056" s="5">
        <f>IF(H4056=0,"",J4056/H4056)</f>
        <v>0</v>
      </c>
      <c r="L4056">
        <f>IF(OR(AND(H4056=0,ABS(J4056)&gt;=0.01),AND(H4056&lt;&gt;0,ABS(K4056)&gt;VarianceThreshold)),"Review","OK")</f>
        <v>0</v>
      </c>
      <c r="M4056" t="s">
        <v>3038</v>
      </c>
    </row>
    <row r="4057" spans="1:13">
      <c r="A4057" t="s">
        <v>6</v>
      </c>
      <c r="B4057" t="s">
        <v>492</v>
      </c>
      <c r="C4057" t="s">
        <v>3208</v>
      </c>
      <c r="D4057" t="s">
        <v>285</v>
      </c>
      <c r="E4057" cm="1">
        <f t="array" ref="E4057">_xlfn.XLOOKUP(D4057,SKU_Master!A:A,SKU_Master!B:B,"Not on master")</f>
        <v>0</v>
      </c>
      <c r="F4057" cm="1">
        <f t="array" ref="F4057">_xlfn.XLOOKUP(C4057,Account_Master!A:A,Account_Master!B:B,"Not on master")</f>
        <v>0</v>
      </c>
      <c r="G4057" cm="1">
        <f t="array" ref="G4057">_xlfn.XLOOKUP(C4057,Account_Master!A:A,Account_Master!C:C,"Not on master")</f>
        <v>0</v>
      </c>
      <c r="H4057" s="6">
        <v>18.75</v>
      </c>
      <c r="I4057" s="6">
        <v>18.75</v>
      </c>
      <c r="J4057" s="6">
        <f>I4057-H4057</f>
        <v>0</v>
      </c>
      <c r="K4057" s="5">
        <f>IF(H4057=0,"",J4057/H4057)</f>
        <v>0</v>
      </c>
      <c r="L4057">
        <f>IF(OR(AND(H4057=0,ABS(J4057)&gt;=0.01),AND(H4057&lt;&gt;0,ABS(K4057)&gt;VarianceThreshold)),"Review","OK")</f>
        <v>0</v>
      </c>
      <c r="M4057" t="s">
        <v>33</v>
      </c>
    </row>
    <row r="4058" spans="1:13">
      <c r="A4058" t="s">
        <v>6</v>
      </c>
      <c r="B4058" t="s">
        <v>492</v>
      </c>
      <c r="C4058" t="s">
        <v>3079</v>
      </c>
      <c r="D4058" t="s">
        <v>2151</v>
      </c>
      <c r="E4058" cm="1">
        <f t="array" ref="E4058">_xlfn.XLOOKUP(D4058,SKU_Master!A:A,SKU_Master!B:B,"Not on master")</f>
        <v>0</v>
      </c>
      <c r="F4058" cm="1">
        <f t="array" ref="F4058">_xlfn.XLOOKUP(C4058,Account_Master!A:A,Account_Master!B:B,"Not on master")</f>
        <v>0</v>
      </c>
      <c r="G4058" cm="1">
        <f t="array" ref="G4058">_xlfn.XLOOKUP(C4058,Account_Master!A:A,Account_Master!C:C,"Not on master")</f>
        <v>0</v>
      </c>
      <c r="H4058" s="6">
        <v>252</v>
      </c>
      <c r="I4058" s="6">
        <v>252</v>
      </c>
      <c r="J4058" s="6">
        <f>I4058-H4058</f>
        <v>0</v>
      </c>
      <c r="K4058" s="5">
        <f>IF(H4058=0,"",J4058/H4058)</f>
        <v>0</v>
      </c>
      <c r="L4058">
        <f>IF(OR(AND(H4058=0,ABS(J4058)&gt;=0.01),AND(H4058&lt;&gt;0,ABS(K4058)&gt;VarianceThreshold)),"Review","OK")</f>
        <v>0</v>
      </c>
      <c r="M4058" t="s">
        <v>33</v>
      </c>
    </row>
    <row r="4059" spans="1:13">
      <c r="A4059" t="s">
        <v>6</v>
      </c>
      <c r="B4059" t="s">
        <v>492</v>
      </c>
      <c r="C4059" t="s">
        <v>3032</v>
      </c>
      <c r="D4059" t="s">
        <v>1908</v>
      </c>
      <c r="E4059" cm="1">
        <f t="array" ref="E4059">_xlfn.XLOOKUP(D4059,SKU_Master!A:A,SKU_Master!B:B,"Not on master")</f>
        <v>0</v>
      </c>
      <c r="F4059" cm="1">
        <f t="array" ref="F4059">_xlfn.XLOOKUP(C4059,Account_Master!A:A,Account_Master!B:B,"Not on master")</f>
        <v>0</v>
      </c>
      <c r="G4059" cm="1">
        <f t="array" ref="G4059">_xlfn.XLOOKUP(C4059,Account_Master!A:A,Account_Master!C:C,"Not on master")</f>
        <v>0</v>
      </c>
      <c r="H4059" s="6">
        <v>3.75</v>
      </c>
      <c r="I4059" s="6">
        <v>3.75</v>
      </c>
      <c r="J4059" s="6">
        <f>I4059-H4059</f>
        <v>0</v>
      </c>
      <c r="K4059" s="5">
        <f>IF(H4059=0,"",J4059/H4059)</f>
        <v>0</v>
      </c>
      <c r="L4059">
        <f>IF(OR(AND(H4059=0,ABS(J4059)&gt;=0.01),AND(H4059&lt;&gt;0,ABS(K4059)&gt;VarianceThreshold)),"Review","OK")</f>
        <v>0</v>
      </c>
      <c r="M4059" t="s">
        <v>33</v>
      </c>
    </row>
    <row r="4060" spans="1:13">
      <c r="A4060" t="s">
        <v>6</v>
      </c>
      <c r="B4060" t="s">
        <v>492</v>
      </c>
      <c r="C4060" t="s">
        <v>3209</v>
      </c>
      <c r="D4060" t="s">
        <v>2745</v>
      </c>
      <c r="E4060" cm="1">
        <f t="array" ref="E4060">_xlfn.XLOOKUP(D4060,SKU_Master!A:A,SKU_Master!B:B,"Not on master")</f>
        <v>0</v>
      </c>
      <c r="F4060" cm="1">
        <f t="array" ref="F4060">_xlfn.XLOOKUP(C4060,Account_Master!A:A,Account_Master!B:B,"Not on master")</f>
        <v>0</v>
      </c>
      <c r="G4060" cm="1">
        <f t="array" ref="G4060">_xlfn.XLOOKUP(C4060,Account_Master!A:A,Account_Master!C:C,"Not on master")</f>
        <v>0</v>
      </c>
      <c r="H4060" s="6">
        <v>9</v>
      </c>
      <c r="I4060" s="6">
        <v>9</v>
      </c>
      <c r="J4060" s="6">
        <f>I4060-H4060</f>
        <v>0</v>
      </c>
      <c r="K4060" s="5">
        <f>IF(H4060=0,"",J4060/H4060)</f>
        <v>0</v>
      </c>
      <c r="L4060">
        <f>IF(OR(AND(H4060=0,ABS(J4060)&gt;=0.01),AND(H4060&lt;&gt;0,ABS(K4060)&gt;VarianceThreshold)),"Review","OK")</f>
        <v>0</v>
      </c>
      <c r="M4060" t="s">
        <v>33</v>
      </c>
    </row>
    <row r="4061" spans="1:13">
      <c r="A4061" t="s">
        <v>6</v>
      </c>
      <c r="B4061" t="s">
        <v>501</v>
      </c>
      <c r="C4061" t="s">
        <v>3090</v>
      </c>
      <c r="D4061" t="s">
        <v>2956</v>
      </c>
      <c r="E4061" cm="1">
        <f t="array" ref="E4061">_xlfn.XLOOKUP(D4061,SKU_Master!A:A,SKU_Master!B:B,"Not on master")</f>
        <v>0</v>
      </c>
      <c r="F4061" cm="1">
        <f t="array" ref="F4061">_xlfn.XLOOKUP(C4061,Account_Master!A:A,Account_Master!B:B,"Not on master")</f>
        <v>0</v>
      </c>
      <c r="G4061" cm="1">
        <f t="array" ref="G4061">_xlfn.XLOOKUP(C4061,Account_Master!A:A,Account_Master!C:C,"Not on master")</f>
        <v>0</v>
      </c>
      <c r="H4061" s="6">
        <v>4.6</v>
      </c>
      <c r="I4061" s="6">
        <v>4.6</v>
      </c>
      <c r="J4061" s="6">
        <f>I4061-H4061</f>
        <v>0</v>
      </c>
      <c r="K4061" s="5">
        <f>IF(H4061=0,"",J4061/H4061)</f>
        <v>0</v>
      </c>
      <c r="L4061">
        <f>IF(OR(AND(H4061=0,ABS(J4061)&gt;=0.01),AND(H4061&lt;&gt;0,ABS(K4061)&gt;VarianceThreshold)),"Review","OK")</f>
        <v>0</v>
      </c>
      <c r="M4061" t="s">
        <v>33</v>
      </c>
    </row>
    <row r="4062" spans="1:13">
      <c r="A4062" t="s">
        <v>6</v>
      </c>
      <c r="B4062" t="s">
        <v>501</v>
      </c>
      <c r="C4062" t="s">
        <v>3205</v>
      </c>
      <c r="D4062" t="s">
        <v>920</v>
      </c>
      <c r="E4062" cm="1">
        <f t="array" ref="E4062">_xlfn.XLOOKUP(D4062,SKU_Master!A:A,SKU_Master!B:B,"Not on master")</f>
        <v>0</v>
      </c>
      <c r="F4062" cm="1">
        <f t="array" ref="F4062">_xlfn.XLOOKUP(C4062,Account_Master!A:A,Account_Master!B:B,"Not on master")</f>
        <v>0</v>
      </c>
      <c r="G4062" cm="1">
        <f t="array" ref="G4062">_xlfn.XLOOKUP(C4062,Account_Master!A:A,Account_Master!C:C,"Not on master")</f>
        <v>0</v>
      </c>
      <c r="H4062" s="6">
        <v>9</v>
      </c>
      <c r="I4062" s="6">
        <v>9</v>
      </c>
      <c r="J4062" s="6">
        <f>I4062-H4062</f>
        <v>0</v>
      </c>
      <c r="K4062" s="5">
        <f>IF(H4062=0,"",J4062/H4062)</f>
        <v>0</v>
      </c>
      <c r="L4062">
        <f>IF(OR(AND(H4062=0,ABS(J4062)&gt;=0.01),AND(H4062&lt;&gt;0,ABS(K4062)&gt;VarianceThreshold)),"Review","OK")</f>
        <v>0</v>
      </c>
      <c r="M4062" t="s">
        <v>33</v>
      </c>
    </row>
    <row r="4063" spans="1:13">
      <c r="A4063" t="s">
        <v>6</v>
      </c>
      <c r="B4063" t="s">
        <v>501</v>
      </c>
      <c r="C4063" t="s">
        <v>3021</v>
      </c>
      <c r="D4063" t="s">
        <v>1845</v>
      </c>
      <c r="E4063" cm="1">
        <f t="array" ref="E4063">_xlfn.XLOOKUP(D4063,SKU_Master!A:A,SKU_Master!B:B,"Not on master")</f>
        <v>0</v>
      </c>
      <c r="F4063" cm="1">
        <f t="array" ref="F4063">_xlfn.XLOOKUP(C4063,Account_Master!A:A,Account_Master!B:B,"Not on master")</f>
        <v>0</v>
      </c>
      <c r="G4063" cm="1">
        <f t="array" ref="G4063">_xlfn.XLOOKUP(C4063,Account_Master!A:A,Account_Master!C:C,"Not on master")</f>
        <v>0</v>
      </c>
      <c r="H4063" s="6">
        <v>8.25</v>
      </c>
      <c r="I4063" s="6">
        <v>8.25</v>
      </c>
      <c r="J4063" s="6">
        <f>I4063-H4063</f>
        <v>0</v>
      </c>
      <c r="K4063" s="5">
        <f>IF(H4063=0,"",J4063/H4063)</f>
        <v>0</v>
      </c>
      <c r="L4063">
        <f>IF(OR(AND(H4063=0,ABS(J4063)&gt;=0.01),AND(H4063&lt;&gt;0,ABS(K4063)&gt;VarianceThreshold)),"Review","OK")</f>
        <v>0</v>
      </c>
      <c r="M4063" t="s">
        <v>33</v>
      </c>
    </row>
    <row r="4064" spans="1:13">
      <c r="A4064" t="s">
        <v>6</v>
      </c>
      <c r="B4064" t="s">
        <v>501</v>
      </c>
      <c r="C4064" t="s">
        <v>3041</v>
      </c>
      <c r="D4064" t="s">
        <v>3210</v>
      </c>
      <c r="E4064" cm="1">
        <f t="array" ref="E4064">_xlfn.XLOOKUP(D4064,SKU_Master!A:A,SKU_Master!B:B,"Not on master")</f>
        <v>0</v>
      </c>
      <c r="F4064" cm="1">
        <f t="array" ref="F4064">_xlfn.XLOOKUP(C4064,Account_Master!A:A,Account_Master!B:B,"Not on master")</f>
        <v>0</v>
      </c>
      <c r="G4064" cm="1">
        <f t="array" ref="G4064">_xlfn.XLOOKUP(C4064,Account_Master!A:A,Account_Master!C:C,"Not on master")</f>
        <v>0</v>
      </c>
      <c r="H4064" s="6">
        <v>52.5</v>
      </c>
      <c r="I4064" s="6">
        <v>52.5</v>
      </c>
      <c r="J4064" s="6">
        <f>I4064-H4064</f>
        <v>0</v>
      </c>
      <c r="K4064" s="5">
        <f>IF(H4064=0,"",J4064/H4064)</f>
        <v>0</v>
      </c>
      <c r="L4064">
        <f>IF(OR(AND(H4064=0,ABS(J4064)&gt;=0.01),AND(H4064&lt;&gt;0,ABS(K4064)&gt;VarianceThreshold)),"Review","OK")</f>
        <v>0</v>
      </c>
      <c r="M4064" t="s">
        <v>33</v>
      </c>
    </row>
    <row r="4065" spans="1:13">
      <c r="A4065" t="s">
        <v>6</v>
      </c>
      <c r="B4065" t="s">
        <v>501</v>
      </c>
      <c r="C4065" t="s">
        <v>33</v>
      </c>
      <c r="D4065" t="s">
        <v>3211</v>
      </c>
      <c r="E4065" cm="1">
        <f t="array" ref="E4065">_xlfn.XLOOKUP(D4065,SKU_Master!A:A,SKU_Master!B:B,"Not on master")</f>
        <v>0</v>
      </c>
      <c r="F4065" cm="1">
        <f t="array" ref="F4065">_xlfn.XLOOKUP(C4065,Account_Master!A:A,Account_Master!B:B,"Not on master")</f>
        <v>0</v>
      </c>
      <c r="G4065" cm="1">
        <f t="array" ref="G4065">_xlfn.XLOOKUP(C4065,Account_Master!A:A,Account_Master!C:C,"Not on master")</f>
        <v>0</v>
      </c>
      <c r="H4065" s="6">
        <v>0</v>
      </c>
      <c r="I4065" s="6">
        <v>9</v>
      </c>
      <c r="J4065" s="6">
        <f>I4065-H4065</f>
        <v>0</v>
      </c>
      <c r="K4065" s="5">
        <f>IF(H4065=0,"",J4065/H4065)</f>
        <v>0</v>
      </c>
      <c r="L4065">
        <f>IF(OR(AND(H4065=0,ABS(J4065)&gt;=0.01),AND(H4065&lt;&gt;0,ABS(K4065)&gt;VarianceThreshold)),"Review","OK")</f>
        <v>0</v>
      </c>
      <c r="M4065" t="s">
        <v>3038</v>
      </c>
    </row>
    <row r="4066" spans="1:13">
      <c r="A4066" t="s">
        <v>6</v>
      </c>
      <c r="B4066" t="s">
        <v>511</v>
      </c>
      <c r="C4066" t="s">
        <v>3212</v>
      </c>
      <c r="D4066" t="s">
        <v>1690</v>
      </c>
      <c r="E4066" cm="1">
        <f t="array" ref="E4066">_xlfn.XLOOKUP(D4066,SKU_Master!A:A,SKU_Master!B:B,"Not on master")</f>
        <v>0</v>
      </c>
      <c r="F4066" cm="1">
        <f t="array" ref="F4066">_xlfn.XLOOKUP(C4066,Account_Master!A:A,Account_Master!B:B,"Not on master")</f>
        <v>0</v>
      </c>
      <c r="G4066" cm="1">
        <f t="array" ref="G4066">_xlfn.XLOOKUP(C4066,Account_Master!A:A,Account_Master!C:C,"Not on master")</f>
        <v>0</v>
      </c>
      <c r="H4066" s="6">
        <v>3.75</v>
      </c>
      <c r="I4066" s="6">
        <v>1.5</v>
      </c>
      <c r="J4066" s="6">
        <f>I4066-H4066</f>
        <v>0</v>
      </c>
      <c r="K4066" s="5">
        <f>IF(H4066=0,"",J4066/H4066)</f>
        <v>0</v>
      </c>
      <c r="L4066">
        <f>IF(OR(AND(H4066=0,ABS(J4066)&gt;=0.01),AND(H4066&lt;&gt;0,ABS(K4066)&gt;VarianceThreshold)),"Review","OK")</f>
        <v>0</v>
      </c>
      <c r="M4066" t="s">
        <v>3038</v>
      </c>
    </row>
    <row r="4067" spans="1:13">
      <c r="A4067" t="s">
        <v>6</v>
      </c>
      <c r="B4067" t="s">
        <v>511</v>
      </c>
      <c r="C4067" t="s">
        <v>3040</v>
      </c>
      <c r="D4067" t="s">
        <v>1958</v>
      </c>
      <c r="E4067" cm="1">
        <f t="array" ref="E4067">_xlfn.XLOOKUP(D4067,SKU_Master!A:A,SKU_Master!B:B,"Not on master")</f>
        <v>0</v>
      </c>
      <c r="F4067" cm="1">
        <f t="array" ref="F4067">_xlfn.XLOOKUP(C4067,Account_Master!A:A,Account_Master!B:B,"Not on master")</f>
        <v>0</v>
      </c>
      <c r="G4067" cm="1">
        <f t="array" ref="G4067">_xlfn.XLOOKUP(C4067,Account_Master!A:A,Account_Master!C:C,"Not on master")</f>
        <v>0</v>
      </c>
      <c r="H4067" s="6">
        <v>0.4</v>
      </c>
      <c r="I4067" s="6">
        <v>0.4</v>
      </c>
      <c r="J4067" s="6">
        <f>I4067-H4067</f>
        <v>0</v>
      </c>
      <c r="K4067" s="5">
        <f>IF(H4067=0,"",J4067/H4067)</f>
        <v>0</v>
      </c>
      <c r="L4067">
        <f>IF(OR(AND(H4067=0,ABS(J4067)&gt;=0.01),AND(H4067&lt;&gt;0,ABS(K4067)&gt;VarianceThreshold)),"Review","OK")</f>
        <v>0</v>
      </c>
      <c r="M4067" t="s">
        <v>33</v>
      </c>
    </row>
    <row r="4068" spans="1:13">
      <c r="A4068" t="s">
        <v>6</v>
      </c>
      <c r="B4068" t="s">
        <v>511</v>
      </c>
      <c r="C4068" t="s">
        <v>3143</v>
      </c>
      <c r="D4068" t="s">
        <v>3213</v>
      </c>
      <c r="E4068" cm="1">
        <f t="array" ref="E4068">_xlfn.XLOOKUP(D4068,SKU_Master!A:A,SKU_Master!B:B,"Not on master")</f>
        <v>0</v>
      </c>
      <c r="F4068" cm="1">
        <f t="array" ref="F4068">_xlfn.XLOOKUP(C4068,Account_Master!A:A,Account_Master!B:B,"Not on master")</f>
        <v>0</v>
      </c>
      <c r="G4068" cm="1">
        <f t="array" ref="G4068">_xlfn.XLOOKUP(C4068,Account_Master!A:A,Account_Master!C:C,"Not on master")</f>
        <v>0</v>
      </c>
      <c r="H4068" s="6">
        <v>9</v>
      </c>
      <c r="I4068" s="6">
        <v>9</v>
      </c>
      <c r="J4068" s="6">
        <f>I4068-H4068</f>
        <v>0</v>
      </c>
      <c r="K4068" s="5">
        <f>IF(H4068=0,"",J4068/H4068)</f>
        <v>0</v>
      </c>
      <c r="L4068">
        <f>IF(OR(AND(H4068=0,ABS(J4068)&gt;=0.01),AND(H4068&lt;&gt;0,ABS(K4068)&gt;VarianceThreshold)),"Review","OK")</f>
        <v>0</v>
      </c>
      <c r="M4068" t="s">
        <v>33</v>
      </c>
    </row>
    <row r="4069" spans="1:13">
      <c r="A4069" t="s">
        <v>6</v>
      </c>
      <c r="B4069" t="s">
        <v>511</v>
      </c>
      <c r="C4069" t="s">
        <v>3090</v>
      </c>
      <c r="D4069" t="s">
        <v>1378</v>
      </c>
      <c r="E4069" cm="1">
        <f t="array" ref="E4069">_xlfn.XLOOKUP(D4069,SKU_Master!A:A,SKU_Master!B:B,"Not on master")</f>
        <v>0</v>
      </c>
      <c r="F4069" cm="1">
        <f t="array" ref="F4069">_xlfn.XLOOKUP(C4069,Account_Master!A:A,Account_Master!B:B,"Not on master")</f>
        <v>0</v>
      </c>
      <c r="G4069" cm="1">
        <f t="array" ref="G4069">_xlfn.XLOOKUP(C4069,Account_Master!A:A,Account_Master!C:C,"Not on master")</f>
        <v>0</v>
      </c>
      <c r="H4069" s="6">
        <v>19.2</v>
      </c>
      <c r="I4069" s="6">
        <v>19.2</v>
      </c>
      <c r="J4069" s="6">
        <f>I4069-H4069</f>
        <v>0</v>
      </c>
      <c r="K4069" s="5">
        <f>IF(H4069=0,"",J4069/H4069)</f>
        <v>0</v>
      </c>
      <c r="L4069">
        <f>IF(OR(AND(H4069=0,ABS(J4069)&gt;=0.01),AND(H4069&lt;&gt;0,ABS(K4069)&gt;VarianceThreshold)),"Review","OK")</f>
        <v>0</v>
      </c>
      <c r="M4069" t="s">
        <v>33</v>
      </c>
    </row>
    <row r="4070" spans="1:13">
      <c r="A4070" t="s">
        <v>6</v>
      </c>
      <c r="B4070" t="s">
        <v>511</v>
      </c>
      <c r="C4070" t="s">
        <v>3098</v>
      </c>
      <c r="D4070" t="s">
        <v>913</v>
      </c>
      <c r="E4070" cm="1">
        <f t="array" ref="E4070">_xlfn.XLOOKUP(D4070,SKU_Master!A:A,SKU_Master!B:B,"Not on master")</f>
        <v>0</v>
      </c>
      <c r="F4070" cm="1">
        <f t="array" ref="F4070">_xlfn.XLOOKUP(C4070,Account_Master!A:A,Account_Master!B:B,"Not on master")</f>
        <v>0</v>
      </c>
      <c r="G4070" cm="1">
        <f t="array" ref="G4070">_xlfn.XLOOKUP(C4070,Account_Master!A:A,Account_Master!C:C,"Not on master")</f>
        <v>0</v>
      </c>
      <c r="H4070" s="6">
        <v>4.5</v>
      </c>
      <c r="I4070" s="6">
        <v>4.5</v>
      </c>
      <c r="J4070" s="6">
        <f>I4070-H4070</f>
        <v>0</v>
      </c>
      <c r="K4070" s="5">
        <f>IF(H4070=0,"",J4070/H4070)</f>
        <v>0</v>
      </c>
      <c r="L4070">
        <f>IF(OR(AND(H4070=0,ABS(J4070)&gt;=0.01),AND(H4070&lt;&gt;0,ABS(K4070)&gt;VarianceThreshold)),"Review","OK")</f>
        <v>0</v>
      </c>
      <c r="M4070" t="s">
        <v>33</v>
      </c>
    </row>
    <row r="4071" spans="1:13">
      <c r="A4071" t="s">
        <v>6</v>
      </c>
      <c r="B4071" t="s">
        <v>511</v>
      </c>
      <c r="C4071" t="s">
        <v>3056</v>
      </c>
      <c r="D4071" t="s">
        <v>3013</v>
      </c>
      <c r="E4071" cm="1">
        <f t="array" ref="E4071">_xlfn.XLOOKUP(D4071,SKU_Master!A:A,SKU_Master!B:B,"Not on master")</f>
        <v>0</v>
      </c>
      <c r="F4071" cm="1">
        <f t="array" ref="F4071">_xlfn.XLOOKUP(C4071,Account_Master!A:A,Account_Master!B:B,"Not on master")</f>
        <v>0</v>
      </c>
      <c r="G4071" cm="1">
        <f t="array" ref="G4071">_xlfn.XLOOKUP(C4071,Account_Master!A:A,Account_Master!C:C,"Not on master")</f>
        <v>0</v>
      </c>
      <c r="H4071" s="6">
        <v>4.5</v>
      </c>
      <c r="I4071" s="6">
        <v>4.5</v>
      </c>
      <c r="J4071" s="6">
        <f>I4071-H4071</f>
        <v>0</v>
      </c>
      <c r="K4071" s="5">
        <f>IF(H4071=0,"",J4071/H4071)</f>
        <v>0</v>
      </c>
      <c r="L4071">
        <f>IF(OR(AND(H4071=0,ABS(J4071)&gt;=0.01),AND(H4071&lt;&gt;0,ABS(K4071)&gt;VarianceThreshold)),"Review","OK")</f>
        <v>0</v>
      </c>
      <c r="M4071" t="s">
        <v>33</v>
      </c>
    </row>
    <row r="4072" spans="1:13">
      <c r="A4072" t="s">
        <v>6</v>
      </c>
      <c r="B4072" t="s">
        <v>523</v>
      </c>
      <c r="C4072" t="s">
        <v>3024</v>
      </c>
      <c r="D4072" t="s">
        <v>815</v>
      </c>
      <c r="E4072" cm="1">
        <f t="array" ref="E4072">_xlfn.XLOOKUP(D4072,SKU_Master!A:A,SKU_Master!B:B,"Not on master")</f>
        <v>0</v>
      </c>
      <c r="F4072" cm="1">
        <f t="array" ref="F4072">_xlfn.XLOOKUP(C4072,Account_Master!A:A,Account_Master!B:B,"Not on master")</f>
        <v>0</v>
      </c>
      <c r="G4072" cm="1">
        <f t="array" ref="G4072">_xlfn.XLOOKUP(C4072,Account_Master!A:A,Account_Master!C:C,"Not on master")</f>
        <v>0</v>
      </c>
      <c r="H4072" s="6">
        <v>1.5</v>
      </c>
      <c r="I4072" s="6">
        <v>1.5</v>
      </c>
      <c r="J4072" s="6">
        <f>I4072-H4072</f>
        <v>0</v>
      </c>
      <c r="K4072" s="5">
        <f>IF(H4072=0,"",J4072/H4072)</f>
        <v>0</v>
      </c>
      <c r="L4072">
        <f>IF(OR(AND(H4072=0,ABS(J4072)&gt;=0.01),AND(H4072&lt;&gt;0,ABS(K4072)&gt;VarianceThreshold)),"Review","OK")</f>
        <v>0</v>
      </c>
      <c r="M4072" t="s">
        <v>33</v>
      </c>
    </row>
    <row r="4073" spans="1:13">
      <c r="A4073" t="s">
        <v>6</v>
      </c>
      <c r="B4073" t="s">
        <v>523</v>
      </c>
      <c r="C4073" t="s">
        <v>3041</v>
      </c>
      <c r="D4073" t="s">
        <v>3214</v>
      </c>
      <c r="E4073" cm="1">
        <f t="array" ref="E4073">_xlfn.XLOOKUP(D4073,SKU_Master!A:A,SKU_Master!B:B,"Not on master")</f>
        <v>0</v>
      </c>
      <c r="F4073" cm="1">
        <f t="array" ref="F4073">_xlfn.XLOOKUP(C4073,Account_Master!A:A,Account_Master!B:B,"Not on master")</f>
        <v>0</v>
      </c>
      <c r="G4073" cm="1">
        <f t="array" ref="G4073">_xlfn.XLOOKUP(C4073,Account_Master!A:A,Account_Master!C:C,"Not on master")</f>
        <v>0</v>
      </c>
      <c r="H4073" s="6">
        <v>0.75</v>
      </c>
      <c r="I4073" s="6">
        <v>0.75</v>
      </c>
      <c r="J4073" s="6">
        <f>I4073-H4073</f>
        <v>0</v>
      </c>
      <c r="K4073" s="5">
        <f>IF(H4073=0,"",J4073/H4073)</f>
        <v>0</v>
      </c>
      <c r="L4073">
        <f>IF(OR(AND(H4073=0,ABS(J4073)&gt;=0.01),AND(H4073&lt;&gt;0,ABS(K4073)&gt;VarianceThreshold)),"Review","OK")</f>
        <v>0</v>
      </c>
      <c r="M4073" t="s">
        <v>33</v>
      </c>
    </row>
    <row r="4074" spans="1:13">
      <c r="A4074" t="s">
        <v>6</v>
      </c>
      <c r="B4074" t="s">
        <v>523</v>
      </c>
      <c r="C4074" t="s">
        <v>3062</v>
      </c>
      <c r="D4074" t="s">
        <v>1033</v>
      </c>
      <c r="E4074" cm="1">
        <f t="array" ref="E4074">_xlfn.XLOOKUP(D4074,SKU_Master!A:A,SKU_Master!B:B,"Not on master")</f>
        <v>0</v>
      </c>
      <c r="F4074" cm="1">
        <f t="array" ref="F4074">_xlfn.XLOOKUP(C4074,Account_Master!A:A,Account_Master!B:B,"Not on master")</f>
        <v>0</v>
      </c>
      <c r="G4074" cm="1">
        <f t="array" ref="G4074">_xlfn.XLOOKUP(C4074,Account_Master!A:A,Account_Master!C:C,"Not on master")</f>
        <v>0</v>
      </c>
      <c r="H4074" s="6">
        <v>34</v>
      </c>
      <c r="I4074" s="6">
        <v>31</v>
      </c>
      <c r="J4074" s="6">
        <f>I4074-H4074</f>
        <v>0</v>
      </c>
      <c r="K4074" s="5">
        <f>IF(H4074=0,"",J4074/H4074)</f>
        <v>0</v>
      </c>
      <c r="L4074">
        <f>IF(OR(AND(H4074=0,ABS(J4074)&gt;=0.01),AND(H4074&lt;&gt;0,ABS(K4074)&gt;VarianceThreshold)),"Review","OK")</f>
        <v>0</v>
      </c>
      <c r="M4074" t="s">
        <v>3038</v>
      </c>
    </row>
    <row r="4075" spans="1:13">
      <c r="A4075" t="s">
        <v>6</v>
      </c>
      <c r="B4075" t="s">
        <v>523</v>
      </c>
      <c r="C4075" t="s">
        <v>3024</v>
      </c>
      <c r="D4075" t="s">
        <v>3215</v>
      </c>
      <c r="E4075" cm="1">
        <f t="array" ref="E4075">_xlfn.XLOOKUP(D4075,SKU_Master!A:A,SKU_Master!B:B,"Not on master")</f>
        <v>0</v>
      </c>
      <c r="F4075" cm="1">
        <f t="array" ref="F4075">_xlfn.XLOOKUP(C4075,Account_Master!A:A,Account_Master!B:B,"Not on master")</f>
        <v>0</v>
      </c>
      <c r="G4075" cm="1">
        <f t="array" ref="G4075">_xlfn.XLOOKUP(C4075,Account_Master!A:A,Account_Master!C:C,"Not on master")</f>
        <v>0</v>
      </c>
      <c r="H4075" s="6">
        <v>3</v>
      </c>
      <c r="I4075" s="6">
        <v>3</v>
      </c>
      <c r="J4075" s="6">
        <f>I4075-H4075</f>
        <v>0</v>
      </c>
      <c r="K4075" s="5">
        <f>IF(H4075=0,"",J4075/H4075)</f>
        <v>0</v>
      </c>
      <c r="L4075">
        <f>IF(OR(AND(H4075=0,ABS(J4075)&gt;=0.01),AND(H4075&lt;&gt;0,ABS(K4075)&gt;VarianceThreshold)),"Review","OK")</f>
        <v>0</v>
      </c>
      <c r="M4075" t="s">
        <v>33</v>
      </c>
    </row>
    <row r="4076" spans="1:13">
      <c r="A4076" t="s">
        <v>6</v>
      </c>
      <c r="B4076" t="s">
        <v>523</v>
      </c>
      <c r="C4076" t="s">
        <v>3032</v>
      </c>
      <c r="D4076" t="s">
        <v>2935</v>
      </c>
      <c r="E4076" cm="1">
        <f t="array" ref="E4076">_xlfn.XLOOKUP(D4076,SKU_Master!A:A,SKU_Master!B:B,"Not on master")</f>
        <v>0</v>
      </c>
      <c r="F4076" cm="1">
        <f t="array" ref="F4076">_xlfn.XLOOKUP(C4076,Account_Master!A:A,Account_Master!B:B,"Not on master")</f>
        <v>0</v>
      </c>
      <c r="G4076" cm="1">
        <f t="array" ref="G4076">_xlfn.XLOOKUP(C4076,Account_Master!A:A,Account_Master!C:C,"Not on master")</f>
        <v>0</v>
      </c>
      <c r="H4076" s="6">
        <v>21</v>
      </c>
      <c r="I4076" s="6">
        <v>21</v>
      </c>
      <c r="J4076" s="6">
        <f>I4076-H4076</f>
        <v>0</v>
      </c>
      <c r="K4076" s="5">
        <f>IF(H4076=0,"",J4076/H4076)</f>
        <v>0</v>
      </c>
      <c r="L4076">
        <f>IF(OR(AND(H4076=0,ABS(J4076)&gt;=0.01),AND(H4076&lt;&gt;0,ABS(K4076)&gt;VarianceThreshold)),"Review","OK")</f>
        <v>0</v>
      </c>
      <c r="M4076" t="s">
        <v>33</v>
      </c>
    </row>
    <row r="4077" spans="1:13">
      <c r="A4077" t="s">
        <v>6</v>
      </c>
      <c r="B4077" t="s">
        <v>523</v>
      </c>
      <c r="C4077" t="s">
        <v>33</v>
      </c>
      <c r="D4077" t="s">
        <v>3216</v>
      </c>
      <c r="E4077" cm="1">
        <f t="array" ref="E4077">_xlfn.XLOOKUP(D4077,SKU_Master!A:A,SKU_Master!B:B,"Not on master")</f>
        <v>0</v>
      </c>
      <c r="F4077" cm="1">
        <f t="array" ref="F4077">_xlfn.XLOOKUP(C4077,Account_Master!A:A,Account_Master!B:B,"Not on master")</f>
        <v>0</v>
      </c>
      <c r="G4077" cm="1">
        <f t="array" ref="G4077">_xlfn.XLOOKUP(C4077,Account_Master!A:A,Account_Master!C:C,"Not on master")</f>
        <v>0</v>
      </c>
      <c r="H4077" s="6">
        <v>0</v>
      </c>
      <c r="I4077" s="6">
        <v>4.5</v>
      </c>
      <c r="J4077" s="6">
        <f>I4077-H4077</f>
        <v>0</v>
      </c>
      <c r="K4077" s="5">
        <f>IF(H4077=0,"",J4077/H4077)</f>
        <v>0</v>
      </c>
      <c r="L4077">
        <f>IF(OR(AND(H4077=0,ABS(J4077)&gt;=0.01),AND(H4077&lt;&gt;0,ABS(K4077)&gt;VarianceThreshold)),"Review","OK")</f>
        <v>0</v>
      </c>
      <c r="M4077" t="s">
        <v>3038</v>
      </c>
    </row>
    <row r="4078" spans="1:13">
      <c r="A4078" t="s">
        <v>6</v>
      </c>
      <c r="B4078" t="s">
        <v>528</v>
      </c>
      <c r="C4078" t="s">
        <v>3030</v>
      </c>
      <c r="D4078" t="s">
        <v>2582</v>
      </c>
      <c r="E4078" cm="1">
        <f t="array" ref="E4078">_xlfn.XLOOKUP(D4078,SKU_Master!A:A,SKU_Master!B:B,"Not on master")</f>
        <v>0</v>
      </c>
      <c r="F4078" cm="1">
        <f t="array" ref="F4078">_xlfn.XLOOKUP(C4078,Account_Master!A:A,Account_Master!B:B,"Not on master")</f>
        <v>0</v>
      </c>
      <c r="G4078" cm="1">
        <f t="array" ref="G4078">_xlfn.XLOOKUP(C4078,Account_Master!A:A,Account_Master!C:C,"Not on master")</f>
        <v>0</v>
      </c>
      <c r="H4078" s="6">
        <v>2.25</v>
      </c>
      <c r="I4078" s="6">
        <v>2.25</v>
      </c>
      <c r="J4078" s="6">
        <f>I4078-H4078</f>
        <v>0</v>
      </c>
      <c r="K4078" s="5">
        <f>IF(H4078=0,"",J4078/H4078)</f>
        <v>0</v>
      </c>
      <c r="L4078">
        <f>IF(OR(AND(H4078=0,ABS(J4078)&gt;=0.01),AND(H4078&lt;&gt;0,ABS(K4078)&gt;VarianceThreshold)),"Review","OK")</f>
        <v>0</v>
      </c>
      <c r="M4078" t="s">
        <v>33</v>
      </c>
    </row>
    <row r="4079" spans="1:13">
      <c r="A4079" t="s">
        <v>6</v>
      </c>
      <c r="B4079" t="s">
        <v>528</v>
      </c>
      <c r="C4079" t="s">
        <v>3039</v>
      </c>
      <c r="D4079" t="s">
        <v>2288</v>
      </c>
      <c r="E4079" cm="1">
        <f t="array" ref="E4079">_xlfn.XLOOKUP(D4079,SKU_Master!A:A,SKU_Master!B:B,"Not on master")</f>
        <v>0</v>
      </c>
      <c r="F4079" cm="1">
        <f t="array" ref="F4079">_xlfn.XLOOKUP(C4079,Account_Master!A:A,Account_Master!B:B,"Not on master")</f>
        <v>0</v>
      </c>
      <c r="G4079" cm="1">
        <f t="array" ref="G4079">_xlfn.XLOOKUP(C4079,Account_Master!A:A,Account_Master!C:C,"Not on master")</f>
        <v>0</v>
      </c>
      <c r="H4079" s="6">
        <v>3</v>
      </c>
      <c r="I4079" s="6">
        <v>3</v>
      </c>
      <c r="J4079" s="6">
        <f>I4079-H4079</f>
        <v>0</v>
      </c>
      <c r="K4079" s="5">
        <f>IF(H4079=0,"",J4079/H4079)</f>
        <v>0</v>
      </c>
      <c r="L4079">
        <f>IF(OR(AND(H4079=0,ABS(J4079)&gt;=0.01),AND(H4079&lt;&gt;0,ABS(K4079)&gt;VarianceThreshold)),"Review","OK")</f>
        <v>0</v>
      </c>
      <c r="M4079" t="s">
        <v>33</v>
      </c>
    </row>
    <row r="4080" spans="1:13">
      <c r="A4080" t="s">
        <v>6</v>
      </c>
      <c r="B4080" t="s">
        <v>528</v>
      </c>
      <c r="C4080" t="s">
        <v>33</v>
      </c>
      <c r="D4080" t="s">
        <v>3217</v>
      </c>
      <c r="E4080" cm="1">
        <f t="array" ref="E4080">_xlfn.XLOOKUP(D4080,SKU_Master!A:A,SKU_Master!B:B,"Not on master")</f>
        <v>0</v>
      </c>
      <c r="F4080" cm="1">
        <f t="array" ref="F4080">_xlfn.XLOOKUP(C4080,Account_Master!A:A,Account_Master!B:B,"Not on master")</f>
        <v>0</v>
      </c>
      <c r="G4080" cm="1">
        <f t="array" ref="G4080">_xlfn.XLOOKUP(C4080,Account_Master!A:A,Account_Master!C:C,"Not on master")</f>
        <v>0</v>
      </c>
      <c r="H4080" s="6">
        <v>0</v>
      </c>
      <c r="I4080" s="6">
        <v>4.5</v>
      </c>
      <c r="J4080" s="6">
        <f>I4080-H4080</f>
        <v>0</v>
      </c>
      <c r="K4080" s="5">
        <f>IF(H4080=0,"",J4080/H4080)</f>
        <v>0</v>
      </c>
      <c r="L4080">
        <f>IF(OR(AND(H4080=0,ABS(J4080)&gt;=0.01),AND(H4080&lt;&gt;0,ABS(K4080)&gt;VarianceThreshold)),"Review","OK")</f>
        <v>0</v>
      </c>
      <c r="M4080" t="s">
        <v>3038</v>
      </c>
    </row>
    <row r="4081" spans="1:13">
      <c r="A4081" t="s">
        <v>6</v>
      </c>
      <c r="B4081" t="s">
        <v>538</v>
      </c>
      <c r="C4081" t="s">
        <v>3122</v>
      </c>
      <c r="D4081" t="s">
        <v>816</v>
      </c>
      <c r="E4081" cm="1">
        <f t="array" ref="E4081">_xlfn.XLOOKUP(D4081,SKU_Master!A:A,SKU_Master!B:B,"Not on master")</f>
        <v>0</v>
      </c>
      <c r="F4081" cm="1">
        <f t="array" ref="F4081">_xlfn.XLOOKUP(C4081,Account_Master!A:A,Account_Master!B:B,"Not on master")</f>
        <v>0</v>
      </c>
      <c r="G4081" cm="1">
        <f t="array" ref="G4081">_xlfn.XLOOKUP(C4081,Account_Master!A:A,Account_Master!C:C,"Not on master")</f>
        <v>0</v>
      </c>
      <c r="H4081" s="6">
        <v>31.5</v>
      </c>
      <c r="I4081" s="6">
        <v>31.5</v>
      </c>
      <c r="J4081" s="6">
        <f>I4081-H4081</f>
        <v>0</v>
      </c>
      <c r="K4081" s="5">
        <f>IF(H4081=0,"",J4081/H4081)</f>
        <v>0</v>
      </c>
      <c r="L4081">
        <f>IF(OR(AND(H4081=0,ABS(J4081)&gt;=0.01),AND(H4081&lt;&gt;0,ABS(K4081)&gt;VarianceThreshold)),"Review","OK")</f>
        <v>0</v>
      </c>
      <c r="M4081" t="s">
        <v>33</v>
      </c>
    </row>
    <row r="4082" spans="1:13">
      <c r="A4082" t="s">
        <v>6</v>
      </c>
      <c r="B4082" t="s">
        <v>538</v>
      </c>
      <c r="C4082" t="s">
        <v>3054</v>
      </c>
      <c r="D4082" t="s">
        <v>3218</v>
      </c>
      <c r="E4082" cm="1">
        <f t="array" ref="E4082">_xlfn.XLOOKUP(D4082,SKU_Master!A:A,SKU_Master!B:B,"Not on master")</f>
        <v>0</v>
      </c>
      <c r="F4082" cm="1">
        <f t="array" ref="F4082">_xlfn.XLOOKUP(C4082,Account_Master!A:A,Account_Master!B:B,"Not on master")</f>
        <v>0</v>
      </c>
      <c r="G4082" cm="1">
        <f t="array" ref="G4082">_xlfn.XLOOKUP(C4082,Account_Master!A:A,Account_Master!C:C,"Not on master")</f>
        <v>0</v>
      </c>
      <c r="H4082" s="6">
        <v>5.25</v>
      </c>
      <c r="I4082" s="6">
        <v>5.25</v>
      </c>
      <c r="J4082" s="6">
        <f>I4082-H4082</f>
        <v>0</v>
      </c>
      <c r="K4082" s="5">
        <f>IF(H4082=0,"",J4082/H4082)</f>
        <v>0</v>
      </c>
      <c r="L4082">
        <f>IF(OR(AND(H4082=0,ABS(J4082)&gt;=0.01),AND(H4082&lt;&gt;0,ABS(K4082)&gt;VarianceThreshold)),"Review","OK")</f>
        <v>0</v>
      </c>
      <c r="M4082" t="s">
        <v>33</v>
      </c>
    </row>
    <row r="4083" spans="1:13">
      <c r="A4083" t="s">
        <v>6</v>
      </c>
      <c r="B4083" t="s">
        <v>538</v>
      </c>
      <c r="C4083" t="s">
        <v>3088</v>
      </c>
      <c r="D4083" t="s">
        <v>1355</v>
      </c>
      <c r="E4083" cm="1">
        <f t="array" ref="E4083">_xlfn.XLOOKUP(D4083,SKU_Master!A:A,SKU_Master!B:B,"Not on master")</f>
        <v>0</v>
      </c>
      <c r="F4083" cm="1">
        <f t="array" ref="F4083">_xlfn.XLOOKUP(C4083,Account_Master!A:A,Account_Master!B:B,"Not on master")</f>
        <v>0</v>
      </c>
      <c r="G4083" cm="1">
        <f t="array" ref="G4083">_xlfn.XLOOKUP(C4083,Account_Master!A:A,Account_Master!C:C,"Not on master")</f>
        <v>0</v>
      </c>
      <c r="H4083" s="6">
        <v>0.75</v>
      </c>
      <c r="I4083" s="6">
        <v>0.75</v>
      </c>
      <c r="J4083" s="6">
        <f>I4083-H4083</f>
        <v>0</v>
      </c>
      <c r="K4083" s="5">
        <f>IF(H4083=0,"",J4083/H4083)</f>
        <v>0</v>
      </c>
      <c r="L4083">
        <f>IF(OR(AND(H4083=0,ABS(J4083)&gt;=0.01),AND(H4083&lt;&gt;0,ABS(K4083)&gt;VarianceThreshold)),"Review","OK")</f>
        <v>0</v>
      </c>
      <c r="M4083" t="s">
        <v>33</v>
      </c>
    </row>
    <row r="4084" spans="1:13">
      <c r="A4084" t="s">
        <v>6</v>
      </c>
      <c r="B4084" t="s">
        <v>538</v>
      </c>
      <c r="C4084" t="s">
        <v>3041</v>
      </c>
      <c r="D4084" t="s">
        <v>3219</v>
      </c>
      <c r="E4084" cm="1">
        <f t="array" ref="E4084">_xlfn.XLOOKUP(D4084,SKU_Master!A:A,SKU_Master!B:B,"Not on master")</f>
        <v>0</v>
      </c>
      <c r="F4084" cm="1">
        <f t="array" ref="F4084">_xlfn.XLOOKUP(C4084,Account_Master!A:A,Account_Master!B:B,"Not on master")</f>
        <v>0</v>
      </c>
      <c r="G4084" cm="1">
        <f t="array" ref="G4084">_xlfn.XLOOKUP(C4084,Account_Master!A:A,Account_Master!C:C,"Not on master")</f>
        <v>0</v>
      </c>
      <c r="H4084" s="6">
        <v>12</v>
      </c>
      <c r="I4084" s="6">
        <v>12</v>
      </c>
      <c r="J4084" s="6">
        <f>I4084-H4084</f>
        <v>0</v>
      </c>
      <c r="K4084" s="5">
        <f>IF(H4084=0,"",J4084/H4084)</f>
        <v>0</v>
      </c>
      <c r="L4084">
        <f>IF(OR(AND(H4084=0,ABS(J4084)&gt;=0.01),AND(H4084&lt;&gt;0,ABS(K4084)&gt;VarianceThreshold)),"Review","OK")</f>
        <v>0</v>
      </c>
      <c r="M4084" t="s">
        <v>33</v>
      </c>
    </row>
    <row r="4085" spans="1:13">
      <c r="A4085" t="s">
        <v>6</v>
      </c>
      <c r="B4085" t="s">
        <v>538</v>
      </c>
      <c r="C4085" t="s">
        <v>3056</v>
      </c>
      <c r="D4085" t="s">
        <v>1416</v>
      </c>
      <c r="E4085" cm="1">
        <f t="array" ref="E4085">_xlfn.XLOOKUP(D4085,SKU_Master!A:A,SKU_Master!B:B,"Not on master")</f>
        <v>0</v>
      </c>
      <c r="F4085" cm="1">
        <f t="array" ref="F4085">_xlfn.XLOOKUP(C4085,Account_Master!A:A,Account_Master!B:B,"Not on master")</f>
        <v>0</v>
      </c>
      <c r="G4085" cm="1">
        <f t="array" ref="G4085">_xlfn.XLOOKUP(C4085,Account_Master!A:A,Account_Master!C:C,"Not on master")</f>
        <v>0</v>
      </c>
      <c r="H4085" s="6">
        <v>14.25</v>
      </c>
      <c r="I4085" s="6">
        <v>14.25</v>
      </c>
      <c r="J4085" s="6">
        <f>I4085-H4085</f>
        <v>0</v>
      </c>
      <c r="K4085" s="5">
        <f>IF(H4085=0,"",J4085/H4085)</f>
        <v>0</v>
      </c>
      <c r="L4085">
        <f>IF(OR(AND(H4085=0,ABS(J4085)&gt;=0.01),AND(H4085&lt;&gt;0,ABS(K4085)&gt;VarianceThreshold)),"Review","OK")</f>
        <v>0</v>
      </c>
      <c r="M4085" t="s">
        <v>33</v>
      </c>
    </row>
    <row r="4086" spans="1:13">
      <c r="A4086" t="s">
        <v>6</v>
      </c>
      <c r="B4086" t="s">
        <v>538</v>
      </c>
      <c r="C4086" t="s">
        <v>3059</v>
      </c>
      <c r="D4086" t="s">
        <v>94</v>
      </c>
      <c r="E4086" cm="1">
        <f t="array" ref="E4086">_xlfn.XLOOKUP(D4086,SKU_Master!A:A,SKU_Master!B:B,"Not on master")</f>
        <v>0</v>
      </c>
      <c r="F4086" cm="1">
        <f t="array" ref="F4086">_xlfn.XLOOKUP(C4086,Account_Master!A:A,Account_Master!B:B,"Not on master")</f>
        <v>0</v>
      </c>
      <c r="G4086" cm="1">
        <f t="array" ref="G4086">_xlfn.XLOOKUP(C4086,Account_Master!A:A,Account_Master!C:C,"Not on master")</f>
        <v>0</v>
      </c>
      <c r="H4086" s="6">
        <v>150.5</v>
      </c>
      <c r="I4086" s="6">
        <v>150.5</v>
      </c>
      <c r="J4086" s="6">
        <f>I4086-H4086</f>
        <v>0</v>
      </c>
      <c r="K4086" s="5">
        <f>IF(H4086=0,"",J4086/H4086)</f>
        <v>0</v>
      </c>
      <c r="L4086">
        <f>IF(OR(AND(H4086=0,ABS(J4086)&gt;=0.01),AND(H4086&lt;&gt;0,ABS(K4086)&gt;VarianceThreshold)),"Review","OK")</f>
        <v>0</v>
      </c>
      <c r="M4086" t="s">
        <v>33</v>
      </c>
    </row>
    <row r="4087" spans="1:13">
      <c r="A4087" t="s">
        <v>6</v>
      </c>
      <c r="B4087" t="s">
        <v>538</v>
      </c>
      <c r="C4087" t="s">
        <v>3041</v>
      </c>
      <c r="D4087" t="s">
        <v>2667</v>
      </c>
      <c r="E4087" cm="1">
        <f t="array" ref="E4087">_xlfn.XLOOKUP(D4087,SKU_Master!A:A,SKU_Master!B:B,"Not on master")</f>
        <v>0</v>
      </c>
      <c r="F4087" cm="1">
        <f t="array" ref="F4087">_xlfn.XLOOKUP(C4087,Account_Master!A:A,Account_Master!B:B,"Not on master")</f>
        <v>0</v>
      </c>
      <c r="G4087" cm="1">
        <f t="array" ref="G4087">_xlfn.XLOOKUP(C4087,Account_Master!A:A,Account_Master!C:C,"Not on master")</f>
        <v>0</v>
      </c>
      <c r="H4087" s="6">
        <v>0.75</v>
      </c>
      <c r="I4087" s="6">
        <v>0.75</v>
      </c>
      <c r="J4087" s="6">
        <f>I4087-H4087</f>
        <v>0</v>
      </c>
      <c r="K4087" s="5">
        <f>IF(H4087=0,"",J4087/H4087)</f>
        <v>0</v>
      </c>
      <c r="L4087">
        <f>IF(OR(AND(H4087=0,ABS(J4087)&gt;=0.01),AND(H4087&lt;&gt;0,ABS(K4087)&gt;VarianceThreshold)),"Review","OK")</f>
        <v>0</v>
      </c>
      <c r="M4087" t="s">
        <v>33</v>
      </c>
    </row>
    <row r="4088" spans="1:13">
      <c r="A4088" t="s">
        <v>6</v>
      </c>
      <c r="B4088" t="s">
        <v>538</v>
      </c>
      <c r="C4088" t="s">
        <v>3054</v>
      </c>
      <c r="D4088" t="s">
        <v>132</v>
      </c>
      <c r="E4088" cm="1">
        <f t="array" ref="E4088">_xlfn.XLOOKUP(D4088,SKU_Master!A:A,SKU_Master!B:B,"Not on master")</f>
        <v>0</v>
      </c>
      <c r="F4088" cm="1">
        <f t="array" ref="F4088">_xlfn.XLOOKUP(C4088,Account_Master!A:A,Account_Master!B:B,"Not on master")</f>
        <v>0</v>
      </c>
      <c r="G4088" cm="1">
        <f t="array" ref="G4088">_xlfn.XLOOKUP(C4088,Account_Master!A:A,Account_Master!C:C,"Not on master")</f>
        <v>0</v>
      </c>
      <c r="H4088" s="6">
        <v>38</v>
      </c>
      <c r="I4088" s="6">
        <v>26</v>
      </c>
      <c r="J4088" s="6">
        <f>I4088-H4088</f>
        <v>0</v>
      </c>
      <c r="K4088" s="5">
        <f>IF(H4088=0,"",J4088/H4088)</f>
        <v>0</v>
      </c>
      <c r="L4088">
        <f>IF(OR(AND(H4088=0,ABS(J4088)&gt;=0.01),AND(H4088&lt;&gt;0,ABS(K4088)&gt;VarianceThreshold)),"Review","OK")</f>
        <v>0</v>
      </c>
      <c r="M4088" t="s">
        <v>3038</v>
      </c>
    </row>
    <row r="4089" spans="1:13">
      <c r="A4089" t="s">
        <v>6</v>
      </c>
      <c r="B4089" t="s">
        <v>538</v>
      </c>
      <c r="C4089" t="s">
        <v>3041</v>
      </c>
      <c r="D4089" t="s">
        <v>3220</v>
      </c>
      <c r="E4089" cm="1">
        <f t="array" ref="E4089">_xlfn.XLOOKUP(D4089,SKU_Master!A:A,SKU_Master!B:B,"Not on master")</f>
        <v>0</v>
      </c>
      <c r="F4089" cm="1">
        <f t="array" ref="F4089">_xlfn.XLOOKUP(C4089,Account_Master!A:A,Account_Master!B:B,"Not on master")</f>
        <v>0</v>
      </c>
      <c r="G4089" cm="1">
        <f t="array" ref="G4089">_xlfn.XLOOKUP(C4089,Account_Master!A:A,Account_Master!C:C,"Not on master")</f>
        <v>0</v>
      </c>
      <c r="H4089" s="6">
        <v>2.25</v>
      </c>
      <c r="I4089" s="6">
        <v>2.25</v>
      </c>
      <c r="J4089" s="6">
        <f>I4089-H4089</f>
        <v>0</v>
      </c>
      <c r="K4089" s="5">
        <f>IF(H4089=0,"",J4089/H4089)</f>
        <v>0</v>
      </c>
      <c r="L4089">
        <f>IF(OR(AND(H4089=0,ABS(J4089)&gt;=0.01),AND(H4089&lt;&gt;0,ABS(K4089)&gt;VarianceThreshold)),"Review","OK")</f>
        <v>0</v>
      </c>
      <c r="M4089" t="s">
        <v>33</v>
      </c>
    </row>
    <row r="4090" spans="1:13">
      <c r="A4090" t="s">
        <v>6</v>
      </c>
      <c r="B4090" t="s">
        <v>538</v>
      </c>
      <c r="C4090" t="s">
        <v>33</v>
      </c>
      <c r="D4090" t="s">
        <v>3221</v>
      </c>
      <c r="E4090" cm="1">
        <f t="array" ref="E4090">_xlfn.XLOOKUP(D4090,SKU_Master!A:A,SKU_Master!B:B,"Not on master")</f>
        <v>0</v>
      </c>
      <c r="F4090" cm="1">
        <f t="array" ref="F4090">_xlfn.XLOOKUP(C4090,Account_Master!A:A,Account_Master!B:B,"Not on master")</f>
        <v>0</v>
      </c>
      <c r="G4090" cm="1">
        <f t="array" ref="G4090">_xlfn.XLOOKUP(C4090,Account_Master!A:A,Account_Master!C:C,"Not on master")</f>
        <v>0</v>
      </c>
      <c r="H4090" s="6">
        <v>0</v>
      </c>
      <c r="I4090" s="6">
        <v>2.25</v>
      </c>
      <c r="J4090" s="6">
        <f>I4090-H4090</f>
        <v>0</v>
      </c>
      <c r="K4090" s="5">
        <f>IF(H4090=0,"",J4090/H4090)</f>
        <v>0</v>
      </c>
      <c r="L4090">
        <f>IF(OR(AND(H4090=0,ABS(J4090)&gt;=0.01),AND(H4090&lt;&gt;0,ABS(K4090)&gt;VarianceThreshold)),"Review","OK")</f>
        <v>0</v>
      </c>
      <c r="M4090" t="s">
        <v>3038</v>
      </c>
    </row>
    <row r="4091" spans="1:13">
      <c r="A4091" t="s">
        <v>6</v>
      </c>
      <c r="B4091" t="s">
        <v>538</v>
      </c>
      <c r="C4091" t="s">
        <v>33</v>
      </c>
      <c r="D4091" t="s">
        <v>3222</v>
      </c>
      <c r="E4091" cm="1">
        <f t="array" ref="E4091">_xlfn.XLOOKUP(D4091,SKU_Master!A:A,SKU_Master!B:B,"Not on master")</f>
        <v>0</v>
      </c>
      <c r="F4091" cm="1">
        <f t="array" ref="F4091">_xlfn.XLOOKUP(C4091,Account_Master!A:A,Account_Master!B:B,"Not on master")</f>
        <v>0</v>
      </c>
      <c r="G4091" cm="1">
        <f t="array" ref="G4091">_xlfn.XLOOKUP(C4091,Account_Master!A:A,Account_Master!C:C,"Not on master")</f>
        <v>0</v>
      </c>
      <c r="H4091" s="6">
        <v>0</v>
      </c>
      <c r="I4091" s="6">
        <v>10.5</v>
      </c>
      <c r="J4091" s="6">
        <f>I4091-H4091</f>
        <v>0</v>
      </c>
      <c r="K4091" s="5">
        <f>IF(H4091=0,"",J4091/H4091)</f>
        <v>0</v>
      </c>
      <c r="L4091">
        <f>IF(OR(AND(H4091=0,ABS(J4091)&gt;=0.01),AND(H4091&lt;&gt;0,ABS(K4091)&gt;VarianceThreshold)),"Review","OK")</f>
        <v>0</v>
      </c>
      <c r="M4091" t="s">
        <v>3038</v>
      </c>
    </row>
    <row r="4092" spans="1:13">
      <c r="A4092" t="s">
        <v>6</v>
      </c>
      <c r="B4092" t="s">
        <v>552</v>
      </c>
      <c r="C4092" t="s">
        <v>3223</v>
      </c>
      <c r="D4092" t="s">
        <v>723</v>
      </c>
      <c r="E4092" cm="1">
        <f t="array" ref="E4092">_xlfn.XLOOKUP(D4092,SKU_Master!A:A,SKU_Master!B:B,"Not on master")</f>
        <v>0</v>
      </c>
      <c r="F4092" cm="1">
        <f t="array" ref="F4092">_xlfn.XLOOKUP(C4092,Account_Master!A:A,Account_Master!B:B,"Not on master")</f>
        <v>0</v>
      </c>
      <c r="G4092" cm="1">
        <f t="array" ref="G4092">_xlfn.XLOOKUP(C4092,Account_Master!A:A,Account_Master!C:C,"Not on master")</f>
        <v>0</v>
      </c>
      <c r="H4092" s="6">
        <v>1</v>
      </c>
      <c r="I4092" s="6">
        <v>1</v>
      </c>
      <c r="J4092" s="6">
        <f>I4092-H4092</f>
        <v>0</v>
      </c>
      <c r="K4092" s="5">
        <f>IF(H4092=0,"",J4092/H4092)</f>
        <v>0</v>
      </c>
      <c r="L4092">
        <f>IF(OR(AND(H4092=0,ABS(J4092)&gt;=0.01),AND(H4092&lt;&gt;0,ABS(K4092)&gt;VarianceThreshold)),"Review","OK")</f>
        <v>0</v>
      </c>
      <c r="M4092" t="s">
        <v>33</v>
      </c>
    </row>
    <row r="4093" spans="1:13">
      <c r="A4093" t="s">
        <v>6</v>
      </c>
      <c r="B4093" t="s">
        <v>552</v>
      </c>
      <c r="C4093" t="s">
        <v>3024</v>
      </c>
      <c r="D4093" t="s">
        <v>1391</v>
      </c>
      <c r="E4093" cm="1">
        <f t="array" ref="E4093">_xlfn.XLOOKUP(D4093,SKU_Master!A:A,SKU_Master!B:B,"Not on master")</f>
        <v>0</v>
      </c>
      <c r="F4093" cm="1">
        <f t="array" ref="F4093">_xlfn.XLOOKUP(C4093,Account_Master!A:A,Account_Master!B:B,"Not on master")</f>
        <v>0</v>
      </c>
      <c r="G4093" cm="1">
        <f t="array" ref="G4093">_xlfn.XLOOKUP(C4093,Account_Master!A:A,Account_Master!C:C,"Not on master")</f>
        <v>0</v>
      </c>
      <c r="H4093" s="6">
        <v>2</v>
      </c>
      <c r="I4093" s="6">
        <v>2</v>
      </c>
      <c r="J4093" s="6">
        <f>I4093-H4093</f>
        <v>0</v>
      </c>
      <c r="K4093" s="5">
        <f>IF(H4093=0,"",J4093/H4093)</f>
        <v>0</v>
      </c>
      <c r="L4093">
        <f>IF(OR(AND(H4093=0,ABS(J4093)&gt;=0.01),AND(H4093&lt;&gt;0,ABS(K4093)&gt;VarianceThreshold)),"Review","OK")</f>
        <v>0</v>
      </c>
      <c r="M4093" t="s">
        <v>33</v>
      </c>
    </row>
    <row r="4094" spans="1:13">
      <c r="A4094" t="s">
        <v>6</v>
      </c>
      <c r="B4094" t="s">
        <v>558</v>
      </c>
      <c r="C4094" t="s">
        <v>3224</v>
      </c>
      <c r="D4094" t="s">
        <v>728</v>
      </c>
      <c r="E4094" cm="1">
        <f t="array" ref="E4094">_xlfn.XLOOKUP(D4094,SKU_Master!A:A,SKU_Master!B:B,"Not on master")</f>
        <v>0</v>
      </c>
      <c r="F4094" cm="1">
        <f t="array" ref="F4094">_xlfn.XLOOKUP(C4094,Account_Master!A:A,Account_Master!B:B,"Not on master")</f>
        <v>0</v>
      </c>
      <c r="G4094" cm="1">
        <f t="array" ref="G4094">_xlfn.XLOOKUP(C4094,Account_Master!A:A,Account_Master!C:C,"Not on master")</f>
        <v>0</v>
      </c>
      <c r="H4094" s="6">
        <v>0.75</v>
      </c>
      <c r="I4094" s="6">
        <v>0.75</v>
      </c>
      <c r="J4094" s="6">
        <f>I4094-H4094</f>
        <v>0</v>
      </c>
      <c r="K4094" s="5">
        <f>IF(H4094=0,"",J4094/H4094)</f>
        <v>0</v>
      </c>
      <c r="L4094">
        <f>IF(OR(AND(H4094=0,ABS(J4094)&gt;=0.01),AND(H4094&lt;&gt;0,ABS(K4094)&gt;VarianceThreshold)),"Review","OK")</f>
        <v>0</v>
      </c>
      <c r="M4094" t="s">
        <v>33</v>
      </c>
    </row>
    <row r="4095" spans="1:13">
      <c r="A4095" t="s">
        <v>6</v>
      </c>
      <c r="B4095" t="s">
        <v>558</v>
      </c>
      <c r="C4095" t="s">
        <v>3225</v>
      </c>
      <c r="D4095" t="s">
        <v>172</v>
      </c>
      <c r="E4095" cm="1">
        <f t="array" ref="E4095">_xlfn.XLOOKUP(D4095,SKU_Master!A:A,SKU_Master!B:B,"Not on master")</f>
        <v>0</v>
      </c>
      <c r="F4095" cm="1">
        <f t="array" ref="F4095">_xlfn.XLOOKUP(C4095,Account_Master!A:A,Account_Master!B:B,"Not on master")</f>
        <v>0</v>
      </c>
      <c r="G4095" cm="1">
        <f t="array" ref="G4095">_xlfn.XLOOKUP(C4095,Account_Master!A:A,Account_Master!C:C,"Not on master")</f>
        <v>0</v>
      </c>
      <c r="H4095" s="6">
        <v>92.25</v>
      </c>
      <c r="I4095" s="6">
        <v>92.25</v>
      </c>
      <c r="J4095" s="6">
        <f>I4095-H4095</f>
        <v>0</v>
      </c>
      <c r="K4095" s="5">
        <f>IF(H4095=0,"",J4095/H4095)</f>
        <v>0</v>
      </c>
      <c r="L4095">
        <f>IF(OR(AND(H4095=0,ABS(J4095)&gt;=0.01),AND(H4095&lt;&gt;0,ABS(K4095)&gt;VarianceThreshold)),"Review","OK")</f>
        <v>0</v>
      </c>
      <c r="M4095" t="s">
        <v>33</v>
      </c>
    </row>
    <row r="4096" spans="1:13">
      <c r="A4096" t="s">
        <v>6</v>
      </c>
      <c r="B4096" t="s">
        <v>558</v>
      </c>
      <c r="C4096" t="s">
        <v>3224</v>
      </c>
      <c r="D4096" t="s">
        <v>1388</v>
      </c>
      <c r="E4096" cm="1">
        <f t="array" ref="E4096">_xlfn.XLOOKUP(D4096,SKU_Master!A:A,SKU_Master!B:B,"Not on master")</f>
        <v>0</v>
      </c>
      <c r="F4096" cm="1">
        <f t="array" ref="F4096">_xlfn.XLOOKUP(C4096,Account_Master!A:A,Account_Master!B:B,"Not on master")</f>
        <v>0</v>
      </c>
      <c r="G4096" cm="1">
        <f t="array" ref="G4096">_xlfn.XLOOKUP(C4096,Account_Master!A:A,Account_Master!C:C,"Not on master")</f>
        <v>0</v>
      </c>
      <c r="H4096" s="6">
        <v>4.86</v>
      </c>
      <c r="I4096" s="6">
        <v>4.86</v>
      </c>
      <c r="J4096" s="6">
        <f>I4096-H4096</f>
        <v>0</v>
      </c>
      <c r="K4096" s="5">
        <f>IF(H4096=0,"",J4096/H4096)</f>
        <v>0</v>
      </c>
      <c r="L4096">
        <f>IF(OR(AND(H4096=0,ABS(J4096)&gt;=0.01),AND(H4096&lt;&gt;0,ABS(K4096)&gt;VarianceThreshold)),"Review","OK")</f>
        <v>0</v>
      </c>
      <c r="M4096" t="s">
        <v>33</v>
      </c>
    </row>
    <row r="4097" spans="1:13">
      <c r="A4097" t="s">
        <v>6</v>
      </c>
      <c r="B4097" t="s">
        <v>558</v>
      </c>
      <c r="C4097" t="s">
        <v>3226</v>
      </c>
      <c r="D4097" t="s">
        <v>2204</v>
      </c>
      <c r="E4097" cm="1">
        <f t="array" ref="E4097">_xlfn.XLOOKUP(D4097,SKU_Master!A:A,SKU_Master!B:B,"Not on master")</f>
        <v>0</v>
      </c>
      <c r="F4097" cm="1">
        <f t="array" ref="F4097">_xlfn.XLOOKUP(C4097,Account_Master!A:A,Account_Master!B:B,"Not on master")</f>
        <v>0</v>
      </c>
      <c r="G4097" cm="1">
        <f t="array" ref="G4097">_xlfn.XLOOKUP(C4097,Account_Master!A:A,Account_Master!C:C,"Not on master")</f>
        <v>0</v>
      </c>
      <c r="H4097" s="6">
        <v>644</v>
      </c>
      <c r="I4097" s="6">
        <v>572</v>
      </c>
      <c r="J4097" s="6">
        <f>I4097-H4097</f>
        <v>0</v>
      </c>
      <c r="K4097" s="5">
        <f>IF(H4097=0,"",J4097/H4097)</f>
        <v>0</v>
      </c>
      <c r="L4097">
        <f>IF(OR(AND(H4097=0,ABS(J4097)&gt;=0.01),AND(H4097&lt;&gt;0,ABS(K4097)&gt;VarianceThreshold)),"Review","OK")</f>
        <v>0</v>
      </c>
      <c r="M4097" t="s">
        <v>3038</v>
      </c>
    </row>
    <row r="4098" spans="1:13">
      <c r="A4098" t="s">
        <v>6</v>
      </c>
      <c r="B4098" t="s">
        <v>558</v>
      </c>
      <c r="C4098" t="s">
        <v>3174</v>
      </c>
      <c r="D4098" t="s">
        <v>1886</v>
      </c>
      <c r="E4098" cm="1">
        <f t="array" ref="E4098">_xlfn.XLOOKUP(D4098,SKU_Master!A:A,SKU_Master!B:B,"Not on master")</f>
        <v>0</v>
      </c>
      <c r="F4098" cm="1">
        <f t="array" ref="F4098">_xlfn.XLOOKUP(C4098,Account_Master!A:A,Account_Master!B:B,"Not on master")</f>
        <v>0</v>
      </c>
      <c r="G4098" cm="1">
        <f t="array" ref="G4098">_xlfn.XLOOKUP(C4098,Account_Master!A:A,Account_Master!C:C,"Not on master")</f>
        <v>0</v>
      </c>
      <c r="H4098" s="6">
        <v>65.25</v>
      </c>
      <c r="I4098" s="6">
        <v>62.25</v>
      </c>
      <c r="J4098" s="6">
        <f>I4098-H4098</f>
        <v>0</v>
      </c>
      <c r="K4098" s="5">
        <f>IF(H4098=0,"",J4098/H4098)</f>
        <v>0</v>
      </c>
      <c r="L4098">
        <f>IF(OR(AND(H4098=0,ABS(J4098)&gt;=0.01),AND(H4098&lt;&gt;0,ABS(K4098)&gt;VarianceThreshold)),"Review","OK")</f>
        <v>0</v>
      </c>
      <c r="M4098" t="s">
        <v>33</v>
      </c>
    </row>
    <row r="4099" spans="1:13">
      <c r="A4099" t="s">
        <v>6</v>
      </c>
      <c r="B4099" t="s">
        <v>558</v>
      </c>
      <c r="C4099" t="s">
        <v>3223</v>
      </c>
      <c r="D4099" t="s">
        <v>1249</v>
      </c>
      <c r="E4099" cm="1">
        <f t="array" ref="E4099">_xlfn.XLOOKUP(D4099,SKU_Master!A:A,SKU_Master!B:B,"Not on master")</f>
        <v>0</v>
      </c>
      <c r="F4099" cm="1">
        <f t="array" ref="F4099">_xlfn.XLOOKUP(C4099,Account_Master!A:A,Account_Master!B:B,"Not on master")</f>
        <v>0</v>
      </c>
      <c r="G4099" cm="1">
        <f t="array" ref="G4099">_xlfn.XLOOKUP(C4099,Account_Master!A:A,Account_Master!C:C,"Not on master")</f>
        <v>0</v>
      </c>
      <c r="H4099" s="6">
        <v>1</v>
      </c>
      <c r="I4099" s="6">
        <v>1</v>
      </c>
      <c r="J4099" s="6">
        <f>I4099-H4099</f>
        <v>0</v>
      </c>
      <c r="K4099" s="5">
        <f>IF(H4099=0,"",J4099/H4099)</f>
        <v>0</v>
      </c>
      <c r="L4099">
        <f>IF(OR(AND(H4099=0,ABS(J4099)&gt;=0.01),AND(H4099&lt;&gt;0,ABS(K4099)&gt;VarianceThreshold)),"Review","OK")</f>
        <v>0</v>
      </c>
      <c r="M4099" t="s">
        <v>33</v>
      </c>
    </row>
    <row r="4100" spans="1:13">
      <c r="A4100" t="s">
        <v>6</v>
      </c>
      <c r="B4100" t="s">
        <v>558</v>
      </c>
      <c r="C4100" t="s">
        <v>3054</v>
      </c>
      <c r="D4100" t="s">
        <v>2559</v>
      </c>
      <c r="E4100" cm="1">
        <f t="array" ref="E4100">_xlfn.XLOOKUP(D4100,SKU_Master!A:A,SKU_Master!B:B,"Not on master")</f>
        <v>0</v>
      </c>
      <c r="F4100" cm="1">
        <f t="array" ref="F4100">_xlfn.XLOOKUP(C4100,Account_Master!A:A,Account_Master!B:B,"Not on master")</f>
        <v>0</v>
      </c>
      <c r="G4100" cm="1">
        <f t="array" ref="G4100">_xlfn.XLOOKUP(C4100,Account_Master!A:A,Account_Master!C:C,"Not on master")</f>
        <v>0</v>
      </c>
      <c r="H4100" s="6">
        <v>4.5</v>
      </c>
      <c r="I4100" s="6">
        <v>4.5</v>
      </c>
      <c r="J4100" s="6">
        <f>I4100-H4100</f>
        <v>0</v>
      </c>
      <c r="K4100" s="5">
        <f>IF(H4100=0,"",J4100/H4100)</f>
        <v>0</v>
      </c>
      <c r="L4100">
        <f>IF(OR(AND(H4100=0,ABS(J4100)&gt;=0.01),AND(H4100&lt;&gt;0,ABS(K4100)&gt;VarianceThreshold)),"Review","OK")</f>
        <v>0</v>
      </c>
      <c r="M4100" t="s">
        <v>33</v>
      </c>
    </row>
    <row r="4101" spans="1:13">
      <c r="A4101" t="s">
        <v>6</v>
      </c>
      <c r="B4101" t="s">
        <v>558</v>
      </c>
      <c r="C4101" t="s">
        <v>3145</v>
      </c>
      <c r="D4101" t="s">
        <v>2950</v>
      </c>
      <c r="E4101" cm="1">
        <f t="array" ref="E4101">_xlfn.XLOOKUP(D4101,SKU_Master!A:A,SKU_Master!B:B,"Not on master")</f>
        <v>0</v>
      </c>
      <c r="F4101" cm="1">
        <f t="array" ref="F4101">_xlfn.XLOOKUP(C4101,Account_Master!A:A,Account_Master!B:B,"Not on master")</f>
        <v>0</v>
      </c>
      <c r="G4101" cm="1">
        <f t="array" ref="G4101">_xlfn.XLOOKUP(C4101,Account_Master!A:A,Account_Master!C:C,"Not on master")</f>
        <v>0</v>
      </c>
      <c r="H4101" s="6">
        <v>10.5</v>
      </c>
      <c r="I4101" s="6">
        <v>10.5</v>
      </c>
      <c r="J4101" s="6">
        <f>I4101-H4101</f>
        <v>0</v>
      </c>
      <c r="K4101" s="5">
        <f>IF(H4101=0,"",J4101/H4101)</f>
        <v>0</v>
      </c>
      <c r="L4101">
        <f>IF(OR(AND(H4101=0,ABS(J4101)&gt;=0.01),AND(H4101&lt;&gt;0,ABS(K4101)&gt;VarianceThreshold)),"Review","OK")</f>
        <v>0</v>
      </c>
      <c r="M4101" t="s">
        <v>33</v>
      </c>
    </row>
    <row r="4102" spans="1:13">
      <c r="A4102" t="s">
        <v>6</v>
      </c>
      <c r="B4102" t="s">
        <v>558</v>
      </c>
      <c r="C4102" t="s">
        <v>3079</v>
      </c>
      <c r="D4102" t="s">
        <v>3227</v>
      </c>
      <c r="E4102" cm="1">
        <f t="array" ref="E4102">_xlfn.XLOOKUP(D4102,SKU_Master!A:A,SKU_Master!B:B,"Not on master")</f>
        <v>0</v>
      </c>
      <c r="F4102" cm="1">
        <f t="array" ref="F4102">_xlfn.XLOOKUP(C4102,Account_Master!A:A,Account_Master!B:B,"Not on master")</f>
        <v>0</v>
      </c>
      <c r="G4102" cm="1">
        <f t="array" ref="G4102">_xlfn.XLOOKUP(C4102,Account_Master!A:A,Account_Master!C:C,"Not on master")</f>
        <v>0</v>
      </c>
      <c r="H4102" s="6">
        <v>1344</v>
      </c>
      <c r="I4102" s="6">
        <v>1344</v>
      </c>
      <c r="J4102" s="6">
        <f>I4102-H4102</f>
        <v>0</v>
      </c>
      <c r="K4102" s="5">
        <f>IF(H4102=0,"",J4102/H4102)</f>
        <v>0</v>
      </c>
      <c r="L4102">
        <f>IF(OR(AND(H4102=0,ABS(J4102)&gt;=0.01),AND(H4102&lt;&gt;0,ABS(K4102)&gt;VarianceThreshold)),"Review","OK")</f>
        <v>0</v>
      </c>
      <c r="M4102" t="s">
        <v>33</v>
      </c>
    </row>
    <row r="4103" spans="1:13">
      <c r="A4103" t="s">
        <v>6</v>
      </c>
      <c r="B4103" t="s">
        <v>558</v>
      </c>
      <c r="C4103" t="s">
        <v>33</v>
      </c>
      <c r="D4103" t="s">
        <v>3228</v>
      </c>
      <c r="E4103" cm="1">
        <f t="array" ref="E4103">_xlfn.XLOOKUP(D4103,SKU_Master!A:A,SKU_Master!B:B,"Not on master")</f>
        <v>0</v>
      </c>
      <c r="F4103" cm="1">
        <f t="array" ref="F4103">_xlfn.XLOOKUP(C4103,Account_Master!A:A,Account_Master!B:B,"Not on master")</f>
        <v>0</v>
      </c>
      <c r="G4103" cm="1">
        <f t="array" ref="G4103">_xlfn.XLOOKUP(C4103,Account_Master!A:A,Account_Master!C:C,"Not on master")</f>
        <v>0</v>
      </c>
      <c r="H4103" s="6">
        <v>0</v>
      </c>
      <c r="I4103" s="6">
        <v>2.25</v>
      </c>
      <c r="J4103" s="6">
        <f>I4103-H4103</f>
        <v>0</v>
      </c>
      <c r="K4103" s="5">
        <f>IF(H4103=0,"",J4103/H4103)</f>
        <v>0</v>
      </c>
      <c r="L4103">
        <f>IF(OR(AND(H4103=0,ABS(J4103)&gt;=0.01),AND(H4103&lt;&gt;0,ABS(K4103)&gt;VarianceThreshold)),"Review","OK")</f>
        <v>0</v>
      </c>
      <c r="M4103" t="s">
        <v>3038</v>
      </c>
    </row>
    <row r="4104" spans="1:13">
      <c r="A4104" t="s">
        <v>6</v>
      </c>
      <c r="B4104" t="s">
        <v>558</v>
      </c>
      <c r="C4104" t="s">
        <v>33</v>
      </c>
      <c r="D4104" t="s">
        <v>3229</v>
      </c>
      <c r="E4104" cm="1">
        <f t="array" ref="E4104">_xlfn.XLOOKUP(D4104,SKU_Master!A:A,SKU_Master!B:B,"Not on master")</f>
        <v>0</v>
      </c>
      <c r="F4104" cm="1">
        <f t="array" ref="F4104">_xlfn.XLOOKUP(C4104,Account_Master!A:A,Account_Master!B:B,"Not on master")</f>
        <v>0</v>
      </c>
      <c r="G4104" cm="1">
        <f t="array" ref="G4104">_xlfn.XLOOKUP(C4104,Account_Master!A:A,Account_Master!C:C,"Not on master")</f>
        <v>0</v>
      </c>
      <c r="H4104" s="6">
        <v>0</v>
      </c>
      <c r="I4104" s="6">
        <v>1.5</v>
      </c>
      <c r="J4104" s="6">
        <f>I4104-H4104</f>
        <v>0</v>
      </c>
      <c r="K4104" s="5">
        <f>IF(H4104=0,"",J4104/H4104)</f>
        <v>0</v>
      </c>
      <c r="L4104">
        <f>IF(OR(AND(H4104=0,ABS(J4104)&gt;=0.01),AND(H4104&lt;&gt;0,ABS(K4104)&gt;VarianceThreshold)),"Review","OK")</f>
        <v>0</v>
      </c>
      <c r="M4104" t="s">
        <v>3038</v>
      </c>
    </row>
    <row r="4105" spans="1:13">
      <c r="A4105" t="s">
        <v>6</v>
      </c>
      <c r="B4105" t="s">
        <v>563</v>
      </c>
      <c r="C4105" t="s">
        <v>3029</v>
      </c>
      <c r="D4105" t="s">
        <v>2304</v>
      </c>
      <c r="E4105" cm="1">
        <f t="array" ref="E4105">_xlfn.XLOOKUP(D4105,SKU_Master!A:A,SKU_Master!B:B,"Not on master")</f>
        <v>0</v>
      </c>
      <c r="F4105" cm="1">
        <f t="array" ref="F4105">_xlfn.XLOOKUP(C4105,Account_Master!A:A,Account_Master!B:B,"Not on master")</f>
        <v>0</v>
      </c>
      <c r="G4105" cm="1">
        <f t="array" ref="G4105">_xlfn.XLOOKUP(C4105,Account_Master!A:A,Account_Master!C:C,"Not on master")</f>
        <v>0</v>
      </c>
      <c r="H4105" s="6">
        <v>2.25</v>
      </c>
      <c r="I4105" s="6">
        <v>2.25</v>
      </c>
      <c r="J4105" s="6">
        <f>I4105-H4105</f>
        <v>0</v>
      </c>
      <c r="K4105" s="5">
        <f>IF(H4105=0,"",J4105/H4105)</f>
        <v>0</v>
      </c>
      <c r="L4105">
        <f>IF(OR(AND(H4105=0,ABS(J4105)&gt;=0.01),AND(H4105&lt;&gt;0,ABS(K4105)&gt;VarianceThreshold)),"Review","OK")</f>
        <v>0</v>
      </c>
      <c r="M4105" t="s">
        <v>33</v>
      </c>
    </row>
    <row r="4106" spans="1:13">
      <c r="A4106" t="s">
        <v>6</v>
      </c>
      <c r="B4106" t="s">
        <v>563</v>
      </c>
      <c r="C4106" t="s">
        <v>3039</v>
      </c>
      <c r="D4106" t="s">
        <v>2726</v>
      </c>
      <c r="E4106" cm="1">
        <f t="array" ref="E4106">_xlfn.XLOOKUP(D4106,SKU_Master!A:A,SKU_Master!B:B,"Not on master")</f>
        <v>0</v>
      </c>
      <c r="F4106" cm="1">
        <f t="array" ref="F4106">_xlfn.XLOOKUP(C4106,Account_Master!A:A,Account_Master!B:B,"Not on master")</f>
        <v>0</v>
      </c>
      <c r="G4106" cm="1">
        <f t="array" ref="G4106">_xlfn.XLOOKUP(C4106,Account_Master!A:A,Account_Master!C:C,"Not on master")</f>
        <v>0</v>
      </c>
      <c r="H4106" s="6">
        <v>4.2</v>
      </c>
      <c r="I4106" s="6">
        <v>4.2</v>
      </c>
      <c r="J4106" s="6">
        <f>I4106-H4106</f>
        <v>0</v>
      </c>
      <c r="K4106" s="5">
        <f>IF(H4106=0,"",J4106/H4106)</f>
        <v>0</v>
      </c>
      <c r="L4106">
        <f>IF(OR(AND(H4106=0,ABS(J4106)&gt;=0.01),AND(H4106&lt;&gt;0,ABS(K4106)&gt;VarianceThreshold)),"Review","OK")</f>
        <v>0</v>
      </c>
      <c r="M4106" t="s">
        <v>33</v>
      </c>
    </row>
    <row r="4107" spans="1:13">
      <c r="A4107" t="s">
        <v>6</v>
      </c>
      <c r="B4107" t="s">
        <v>563</v>
      </c>
      <c r="C4107" t="s">
        <v>3039</v>
      </c>
      <c r="D4107" t="s">
        <v>3230</v>
      </c>
      <c r="E4107" cm="1">
        <f t="array" ref="E4107">_xlfn.XLOOKUP(D4107,SKU_Master!A:A,SKU_Master!B:B,"Not on master")</f>
        <v>0</v>
      </c>
      <c r="F4107" cm="1">
        <f t="array" ref="F4107">_xlfn.XLOOKUP(C4107,Account_Master!A:A,Account_Master!B:B,"Not on master")</f>
        <v>0</v>
      </c>
      <c r="G4107" cm="1">
        <f t="array" ref="G4107">_xlfn.XLOOKUP(C4107,Account_Master!A:A,Account_Master!C:C,"Not on master")</f>
        <v>0</v>
      </c>
      <c r="H4107" s="6">
        <v>20.25</v>
      </c>
      <c r="I4107" s="6">
        <v>20.25</v>
      </c>
      <c r="J4107" s="6">
        <f>I4107-H4107</f>
        <v>0</v>
      </c>
      <c r="K4107" s="5">
        <f>IF(H4107=0,"",J4107/H4107)</f>
        <v>0</v>
      </c>
      <c r="L4107">
        <f>IF(OR(AND(H4107=0,ABS(J4107)&gt;=0.01),AND(H4107&lt;&gt;0,ABS(K4107)&gt;VarianceThreshold)),"Review","OK")</f>
        <v>0</v>
      </c>
      <c r="M4107" t="s">
        <v>33</v>
      </c>
    </row>
    <row r="4108" spans="1:13">
      <c r="A4108" t="s">
        <v>6</v>
      </c>
      <c r="B4108" t="s">
        <v>563</v>
      </c>
      <c r="C4108" t="s">
        <v>3059</v>
      </c>
      <c r="D4108" t="s">
        <v>3231</v>
      </c>
      <c r="E4108" cm="1">
        <f t="array" ref="E4108">_xlfn.XLOOKUP(D4108,SKU_Master!A:A,SKU_Master!B:B,"Not on master")</f>
        <v>0</v>
      </c>
      <c r="F4108" cm="1">
        <f t="array" ref="F4108">_xlfn.XLOOKUP(C4108,Account_Master!A:A,Account_Master!B:B,"Not on master")</f>
        <v>0</v>
      </c>
      <c r="G4108" cm="1">
        <f t="array" ref="G4108">_xlfn.XLOOKUP(C4108,Account_Master!A:A,Account_Master!C:C,"Not on master")</f>
        <v>0</v>
      </c>
      <c r="H4108" s="6">
        <v>0.75</v>
      </c>
      <c r="I4108" s="6">
        <v>0.75</v>
      </c>
      <c r="J4108" s="6">
        <f>I4108-H4108</f>
        <v>0</v>
      </c>
      <c r="K4108" s="5">
        <f>IF(H4108=0,"",J4108/H4108)</f>
        <v>0</v>
      </c>
      <c r="L4108">
        <f>IF(OR(AND(H4108=0,ABS(J4108)&gt;=0.01),AND(H4108&lt;&gt;0,ABS(K4108)&gt;VarianceThreshold)),"Review","OK")</f>
        <v>0</v>
      </c>
      <c r="M4108" t="s">
        <v>33</v>
      </c>
    </row>
    <row r="4109" spans="1:13">
      <c r="A4109" t="s">
        <v>6</v>
      </c>
      <c r="B4109" t="s">
        <v>563</v>
      </c>
      <c r="C4109" t="s">
        <v>3056</v>
      </c>
      <c r="D4109" t="s">
        <v>904</v>
      </c>
      <c r="E4109" cm="1">
        <f t="array" ref="E4109">_xlfn.XLOOKUP(D4109,SKU_Master!A:A,SKU_Master!B:B,"Not on master")</f>
        <v>0</v>
      </c>
      <c r="F4109" cm="1">
        <f t="array" ref="F4109">_xlfn.XLOOKUP(C4109,Account_Master!A:A,Account_Master!B:B,"Not on master")</f>
        <v>0</v>
      </c>
      <c r="G4109" cm="1">
        <f t="array" ref="G4109">_xlfn.XLOOKUP(C4109,Account_Master!A:A,Account_Master!C:C,"Not on master")</f>
        <v>0</v>
      </c>
      <c r="H4109" s="6">
        <v>9</v>
      </c>
      <c r="I4109" s="6">
        <v>9</v>
      </c>
      <c r="J4109" s="6">
        <f>I4109-H4109</f>
        <v>0</v>
      </c>
      <c r="K4109" s="5">
        <f>IF(H4109=0,"",J4109/H4109)</f>
        <v>0</v>
      </c>
      <c r="L4109">
        <f>IF(OR(AND(H4109=0,ABS(J4109)&gt;=0.01),AND(H4109&lt;&gt;0,ABS(K4109)&gt;VarianceThreshold)),"Review","OK")</f>
        <v>0</v>
      </c>
      <c r="M4109" t="s">
        <v>33</v>
      </c>
    </row>
    <row r="4110" spans="1:13">
      <c r="A4110" t="s">
        <v>6</v>
      </c>
      <c r="B4110" t="s">
        <v>563</v>
      </c>
      <c r="C4110" t="s">
        <v>3194</v>
      </c>
      <c r="D4110" t="s">
        <v>2224</v>
      </c>
      <c r="E4110" cm="1">
        <f t="array" ref="E4110">_xlfn.XLOOKUP(D4110,SKU_Master!A:A,SKU_Master!B:B,"Not on master")</f>
        <v>0</v>
      </c>
      <c r="F4110" cm="1">
        <f t="array" ref="F4110">_xlfn.XLOOKUP(C4110,Account_Master!A:A,Account_Master!B:B,"Not on master")</f>
        <v>0</v>
      </c>
      <c r="G4110" cm="1">
        <f t="array" ref="G4110">_xlfn.XLOOKUP(C4110,Account_Master!A:A,Account_Master!C:C,"Not on master")</f>
        <v>0</v>
      </c>
      <c r="H4110" s="6">
        <v>6.75</v>
      </c>
      <c r="I4110" s="6">
        <v>6.75</v>
      </c>
      <c r="J4110" s="6">
        <f>I4110-H4110</f>
        <v>0</v>
      </c>
      <c r="K4110" s="5">
        <f>IF(H4110=0,"",J4110/H4110)</f>
        <v>0</v>
      </c>
      <c r="L4110">
        <f>IF(OR(AND(H4110=0,ABS(J4110)&gt;=0.01),AND(H4110&lt;&gt;0,ABS(K4110)&gt;VarianceThreshold)),"Review","OK")</f>
        <v>0</v>
      </c>
      <c r="M4110" t="s">
        <v>33</v>
      </c>
    </row>
    <row r="4111" spans="1:13">
      <c r="A4111" t="s">
        <v>6</v>
      </c>
      <c r="B4111" t="s">
        <v>563</v>
      </c>
      <c r="C4111" t="s">
        <v>3041</v>
      </c>
      <c r="D4111" t="s">
        <v>3232</v>
      </c>
      <c r="E4111" cm="1">
        <f t="array" ref="E4111">_xlfn.XLOOKUP(D4111,SKU_Master!A:A,SKU_Master!B:B,"Not on master")</f>
        <v>0</v>
      </c>
      <c r="F4111" cm="1">
        <f t="array" ref="F4111">_xlfn.XLOOKUP(C4111,Account_Master!A:A,Account_Master!B:B,"Not on master")</f>
        <v>0</v>
      </c>
      <c r="G4111" cm="1">
        <f t="array" ref="G4111">_xlfn.XLOOKUP(C4111,Account_Master!A:A,Account_Master!C:C,"Not on master")</f>
        <v>0</v>
      </c>
      <c r="H4111" s="6">
        <v>4.5</v>
      </c>
      <c r="I4111" s="6">
        <v>4.5</v>
      </c>
      <c r="J4111" s="6">
        <f>I4111-H4111</f>
        <v>0</v>
      </c>
      <c r="K4111" s="5">
        <f>IF(H4111=0,"",J4111/H4111)</f>
        <v>0</v>
      </c>
      <c r="L4111">
        <f>IF(OR(AND(H4111=0,ABS(J4111)&gt;=0.01),AND(H4111&lt;&gt;0,ABS(K4111)&gt;VarianceThreshold)),"Review","OK")</f>
        <v>0</v>
      </c>
      <c r="M4111" t="s">
        <v>33</v>
      </c>
    </row>
    <row r="4112" spans="1:13">
      <c r="A4112" t="s">
        <v>6</v>
      </c>
      <c r="B4112" t="s">
        <v>563</v>
      </c>
      <c r="C4112" t="s">
        <v>33</v>
      </c>
      <c r="D4112" t="s">
        <v>3233</v>
      </c>
      <c r="E4112" cm="1">
        <f t="array" ref="E4112">_xlfn.XLOOKUP(D4112,SKU_Master!A:A,SKU_Master!B:B,"Not on master")</f>
        <v>0</v>
      </c>
      <c r="F4112" cm="1">
        <f t="array" ref="F4112">_xlfn.XLOOKUP(C4112,Account_Master!A:A,Account_Master!B:B,"Not on master")</f>
        <v>0</v>
      </c>
      <c r="G4112" cm="1">
        <f t="array" ref="G4112">_xlfn.XLOOKUP(C4112,Account_Master!A:A,Account_Master!C:C,"Not on master")</f>
        <v>0</v>
      </c>
      <c r="H4112" s="6">
        <v>0</v>
      </c>
      <c r="I4112" s="6">
        <v>315</v>
      </c>
      <c r="J4112" s="6">
        <f>I4112-H4112</f>
        <v>0</v>
      </c>
      <c r="K4112" s="5">
        <f>IF(H4112=0,"",J4112/H4112)</f>
        <v>0</v>
      </c>
      <c r="L4112">
        <f>IF(OR(AND(H4112=0,ABS(J4112)&gt;=0.01),AND(H4112&lt;&gt;0,ABS(K4112)&gt;VarianceThreshold)),"Review","OK")</f>
        <v>0</v>
      </c>
      <c r="M4112" t="s">
        <v>3038</v>
      </c>
    </row>
    <row r="4113" spans="1:13">
      <c r="A4113" t="s">
        <v>6</v>
      </c>
      <c r="B4113" t="s">
        <v>571</v>
      </c>
      <c r="C4113" t="s">
        <v>3059</v>
      </c>
      <c r="D4113" t="s">
        <v>626</v>
      </c>
      <c r="E4113" cm="1">
        <f t="array" ref="E4113">_xlfn.XLOOKUP(D4113,SKU_Master!A:A,SKU_Master!B:B,"Not on master")</f>
        <v>0</v>
      </c>
      <c r="F4113" cm="1">
        <f t="array" ref="F4113">_xlfn.XLOOKUP(C4113,Account_Master!A:A,Account_Master!B:B,"Not on master")</f>
        <v>0</v>
      </c>
      <c r="G4113" cm="1">
        <f t="array" ref="G4113">_xlfn.XLOOKUP(C4113,Account_Master!A:A,Account_Master!C:C,"Not on master")</f>
        <v>0</v>
      </c>
      <c r="H4113" s="6">
        <v>6.75</v>
      </c>
      <c r="I4113" s="6">
        <v>6.75</v>
      </c>
      <c r="J4113" s="6">
        <f>I4113-H4113</f>
        <v>0</v>
      </c>
      <c r="K4113" s="5">
        <f>IF(H4113=0,"",J4113/H4113)</f>
        <v>0</v>
      </c>
      <c r="L4113">
        <f>IF(OR(AND(H4113=0,ABS(J4113)&gt;=0.01),AND(H4113&lt;&gt;0,ABS(K4113)&gt;VarianceThreshold)),"Review","OK")</f>
        <v>0</v>
      </c>
      <c r="M4113" t="s">
        <v>33</v>
      </c>
    </row>
    <row r="4114" spans="1:13">
      <c r="A4114" t="s">
        <v>6</v>
      </c>
      <c r="B4114" t="s">
        <v>571</v>
      </c>
      <c r="C4114" t="s">
        <v>3234</v>
      </c>
      <c r="D4114" t="s">
        <v>2084</v>
      </c>
      <c r="E4114" cm="1">
        <f t="array" ref="E4114">_xlfn.XLOOKUP(D4114,SKU_Master!A:A,SKU_Master!B:B,"Not on master")</f>
        <v>0</v>
      </c>
      <c r="F4114" cm="1">
        <f t="array" ref="F4114">_xlfn.XLOOKUP(C4114,Account_Master!A:A,Account_Master!B:B,"Not on master")</f>
        <v>0</v>
      </c>
      <c r="G4114" cm="1">
        <f t="array" ref="G4114">_xlfn.XLOOKUP(C4114,Account_Master!A:A,Account_Master!C:C,"Not on master")</f>
        <v>0</v>
      </c>
      <c r="H4114" s="6">
        <v>148.5</v>
      </c>
      <c r="I4114" s="6">
        <v>148.5</v>
      </c>
      <c r="J4114" s="6">
        <f>I4114-H4114</f>
        <v>0</v>
      </c>
      <c r="K4114" s="5">
        <f>IF(H4114=0,"",J4114/H4114)</f>
        <v>0</v>
      </c>
      <c r="L4114">
        <f>IF(OR(AND(H4114=0,ABS(J4114)&gt;=0.01),AND(H4114&lt;&gt;0,ABS(K4114)&gt;VarianceThreshold)),"Review","OK")</f>
        <v>0</v>
      </c>
      <c r="M4114" t="s">
        <v>33</v>
      </c>
    </row>
    <row r="4115" spans="1:13">
      <c r="A4115" t="s">
        <v>6</v>
      </c>
      <c r="B4115" t="s">
        <v>571</v>
      </c>
      <c r="C4115" t="s">
        <v>3025</v>
      </c>
      <c r="D4115" t="s">
        <v>2373</v>
      </c>
      <c r="E4115" cm="1">
        <f t="array" ref="E4115">_xlfn.XLOOKUP(D4115,SKU_Master!A:A,SKU_Master!B:B,"Not on master")</f>
        <v>0</v>
      </c>
      <c r="F4115" cm="1">
        <f t="array" ref="F4115">_xlfn.XLOOKUP(C4115,Account_Master!A:A,Account_Master!B:B,"Not on master")</f>
        <v>0</v>
      </c>
      <c r="G4115" cm="1">
        <f t="array" ref="G4115">_xlfn.XLOOKUP(C4115,Account_Master!A:A,Account_Master!C:C,"Not on master")</f>
        <v>0</v>
      </c>
      <c r="H4115" s="6">
        <v>3.5</v>
      </c>
      <c r="I4115" s="6">
        <v>3.5</v>
      </c>
      <c r="J4115" s="6">
        <f>I4115-H4115</f>
        <v>0</v>
      </c>
      <c r="K4115" s="5">
        <f>IF(H4115=0,"",J4115/H4115)</f>
        <v>0</v>
      </c>
      <c r="L4115">
        <f>IF(OR(AND(H4115=0,ABS(J4115)&gt;=0.01),AND(H4115&lt;&gt;0,ABS(K4115)&gt;VarianceThreshold)),"Review","OK")</f>
        <v>0</v>
      </c>
      <c r="M4115" t="s">
        <v>33</v>
      </c>
    </row>
    <row r="4116" spans="1:13">
      <c r="A4116" t="s">
        <v>6</v>
      </c>
      <c r="B4116" t="s">
        <v>571</v>
      </c>
      <c r="C4116" t="s">
        <v>33</v>
      </c>
      <c r="D4116" t="s">
        <v>3235</v>
      </c>
      <c r="E4116" cm="1">
        <f t="array" ref="E4116">_xlfn.XLOOKUP(D4116,SKU_Master!A:A,SKU_Master!B:B,"Not on master")</f>
        <v>0</v>
      </c>
      <c r="F4116" cm="1">
        <f t="array" ref="F4116">_xlfn.XLOOKUP(C4116,Account_Master!A:A,Account_Master!B:B,"Not on master")</f>
        <v>0</v>
      </c>
      <c r="G4116" cm="1">
        <f t="array" ref="G4116">_xlfn.XLOOKUP(C4116,Account_Master!A:A,Account_Master!C:C,"Not on master")</f>
        <v>0</v>
      </c>
      <c r="H4116" s="6">
        <v>0</v>
      </c>
      <c r="I4116" s="6">
        <v>0.75</v>
      </c>
      <c r="J4116" s="6">
        <f>I4116-H4116</f>
        <v>0</v>
      </c>
      <c r="K4116" s="5">
        <f>IF(H4116=0,"",J4116/H4116)</f>
        <v>0</v>
      </c>
      <c r="L4116">
        <f>IF(OR(AND(H4116=0,ABS(J4116)&gt;=0.01),AND(H4116&lt;&gt;0,ABS(K4116)&gt;VarianceThreshold)),"Review","OK")</f>
        <v>0</v>
      </c>
      <c r="M4116" t="s">
        <v>3038</v>
      </c>
    </row>
    <row r="4117" spans="1:13">
      <c r="A4117" t="s">
        <v>6</v>
      </c>
      <c r="B4117" t="s">
        <v>574</v>
      </c>
      <c r="C4117" t="s">
        <v>3236</v>
      </c>
      <c r="D4117" t="s">
        <v>187</v>
      </c>
      <c r="E4117" cm="1">
        <f t="array" ref="E4117">_xlfn.XLOOKUP(D4117,SKU_Master!A:A,SKU_Master!B:B,"Not on master")</f>
        <v>0</v>
      </c>
      <c r="F4117" cm="1">
        <f t="array" ref="F4117">_xlfn.XLOOKUP(C4117,Account_Master!A:A,Account_Master!B:B,"Not on master")</f>
        <v>0</v>
      </c>
      <c r="G4117" cm="1">
        <f t="array" ref="G4117">_xlfn.XLOOKUP(C4117,Account_Master!A:A,Account_Master!C:C,"Not on master")</f>
        <v>0</v>
      </c>
      <c r="H4117" s="6">
        <v>22.5</v>
      </c>
      <c r="I4117" s="6">
        <v>22.5</v>
      </c>
      <c r="J4117" s="6">
        <f>I4117-H4117</f>
        <v>0</v>
      </c>
      <c r="K4117" s="5">
        <f>IF(H4117=0,"",J4117/H4117)</f>
        <v>0</v>
      </c>
      <c r="L4117">
        <f>IF(OR(AND(H4117=0,ABS(J4117)&gt;=0.01),AND(H4117&lt;&gt;0,ABS(K4117)&gt;VarianceThreshold)),"Review","OK")</f>
        <v>0</v>
      </c>
      <c r="M4117" t="s">
        <v>33</v>
      </c>
    </row>
    <row r="4118" spans="1:13">
      <c r="A4118" t="s">
        <v>6</v>
      </c>
      <c r="B4118" t="s">
        <v>574</v>
      </c>
      <c r="C4118" t="s">
        <v>3117</v>
      </c>
      <c r="D4118" t="s">
        <v>3237</v>
      </c>
      <c r="E4118" cm="1">
        <f t="array" ref="E4118">_xlfn.XLOOKUP(D4118,SKU_Master!A:A,SKU_Master!B:B,"Not on master")</f>
        <v>0</v>
      </c>
      <c r="F4118" cm="1">
        <f t="array" ref="F4118">_xlfn.XLOOKUP(C4118,Account_Master!A:A,Account_Master!B:B,"Not on master")</f>
        <v>0</v>
      </c>
      <c r="G4118" cm="1">
        <f t="array" ref="G4118">_xlfn.XLOOKUP(C4118,Account_Master!A:A,Account_Master!C:C,"Not on master")</f>
        <v>0</v>
      </c>
      <c r="H4118" s="6">
        <v>0.15</v>
      </c>
      <c r="I4118" s="6">
        <v>0.15</v>
      </c>
      <c r="J4118" s="6">
        <f>I4118-H4118</f>
        <v>0</v>
      </c>
      <c r="K4118" s="5">
        <f>IF(H4118=0,"",J4118/H4118)</f>
        <v>0</v>
      </c>
      <c r="L4118">
        <f>IF(OR(AND(H4118=0,ABS(J4118)&gt;=0.01),AND(H4118&lt;&gt;0,ABS(K4118)&gt;VarianceThreshold)),"Review","OK")</f>
        <v>0</v>
      </c>
      <c r="M4118" t="s">
        <v>33</v>
      </c>
    </row>
    <row r="4119" spans="1:13">
      <c r="A4119" t="s">
        <v>6</v>
      </c>
      <c r="B4119" t="s">
        <v>574</v>
      </c>
      <c r="C4119" t="s">
        <v>33</v>
      </c>
      <c r="D4119" t="s">
        <v>3238</v>
      </c>
      <c r="E4119" cm="1">
        <f t="array" ref="E4119">_xlfn.XLOOKUP(D4119,SKU_Master!A:A,SKU_Master!B:B,"Not on master")</f>
        <v>0</v>
      </c>
      <c r="F4119" cm="1">
        <f t="array" ref="F4119">_xlfn.XLOOKUP(C4119,Account_Master!A:A,Account_Master!B:B,"Not on master")</f>
        <v>0</v>
      </c>
      <c r="G4119" cm="1">
        <f t="array" ref="G4119">_xlfn.XLOOKUP(C4119,Account_Master!A:A,Account_Master!C:C,"Not on master")</f>
        <v>0</v>
      </c>
      <c r="H4119" s="6">
        <v>0</v>
      </c>
      <c r="I4119" s="6">
        <v>9</v>
      </c>
      <c r="J4119" s="6">
        <f>I4119-H4119</f>
        <v>0</v>
      </c>
      <c r="K4119" s="5">
        <f>IF(H4119=0,"",J4119/H4119)</f>
        <v>0</v>
      </c>
      <c r="L4119">
        <f>IF(OR(AND(H4119=0,ABS(J4119)&gt;=0.01),AND(H4119&lt;&gt;0,ABS(K4119)&gt;VarianceThreshold)),"Review","OK")</f>
        <v>0</v>
      </c>
      <c r="M4119" t="s">
        <v>3038</v>
      </c>
    </row>
    <row r="4120" spans="1:13">
      <c r="A4120" t="s">
        <v>6</v>
      </c>
      <c r="B4120" t="s">
        <v>585</v>
      </c>
      <c r="C4120" t="s">
        <v>1893</v>
      </c>
      <c r="D4120" t="s">
        <v>737</v>
      </c>
      <c r="E4120" cm="1">
        <f t="array" ref="E4120">_xlfn.XLOOKUP(D4120,SKU_Master!A:A,SKU_Master!B:B,"Not on master")</f>
        <v>0</v>
      </c>
      <c r="F4120" cm="1">
        <f t="array" ref="F4120">_xlfn.XLOOKUP(C4120,Account_Master!A:A,Account_Master!B:B,"Not on master")</f>
        <v>0</v>
      </c>
      <c r="G4120" cm="1">
        <f t="array" ref="G4120">_xlfn.XLOOKUP(C4120,Account_Master!A:A,Account_Master!C:C,"Not on master")</f>
        <v>0</v>
      </c>
      <c r="H4120" s="6">
        <v>1167.25</v>
      </c>
      <c r="I4120" s="6">
        <v>1156.75</v>
      </c>
      <c r="J4120" s="6">
        <f>I4120-H4120</f>
        <v>0</v>
      </c>
      <c r="K4120" s="5">
        <f>IF(H4120=0,"",J4120/H4120)</f>
        <v>0</v>
      </c>
      <c r="L4120">
        <f>IF(OR(AND(H4120=0,ABS(J4120)&gt;=0.01),AND(H4120&lt;&gt;0,ABS(K4120)&gt;VarianceThreshold)),"Review","OK")</f>
        <v>0</v>
      </c>
      <c r="M4120" t="s">
        <v>33</v>
      </c>
    </row>
    <row r="4121" spans="1:13">
      <c r="A4121" t="s">
        <v>6</v>
      </c>
      <c r="B4121" t="s">
        <v>585</v>
      </c>
      <c r="C4121" t="s">
        <v>3031</v>
      </c>
      <c r="D4121" t="s">
        <v>884</v>
      </c>
      <c r="E4121" cm="1">
        <f t="array" ref="E4121">_xlfn.XLOOKUP(D4121,SKU_Master!A:A,SKU_Master!B:B,"Not on master")</f>
        <v>0</v>
      </c>
      <c r="F4121" cm="1">
        <f t="array" ref="F4121">_xlfn.XLOOKUP(C4121,Account_Master!A:A,Account_Master!B:B,"Not on master")</f>
        <v>0</v>
      </c>
      <c r="G4121" cm="1">
        <f t="array" ref="G4121">_xlfn.XLOOKUP(C4121,Account_Master!A:A,Account_Master!C:C,"Not on master")</f>
        <v>0</v>
      </c>
      <c r="H4121" s="6">
        <v>22.5</v>
      </c>
      <c r="I4121" s="6">
        <v>22.5</v>
      </c>
      <c r="J4121" s="6">
        <f>I4121-H4121</f>
        <v>0</v>
      </c>
      <c r="K4121" s="5">
        <f>IF(H4121=0,"",J4121/H4121)</f>
        <v>0</v>
      </c>
      <c r="L4121">
        <f>IF(OR(AND(H4121=0,ABS(J4121)&gt;=0.01),AND(H4121&lt;&gt;0,ABS(K4121)&gt;VarianceThreshold)),"Review","OK")</f>
        <v>0</v>
      </c>
      <c r="M4121" t="s">
        <v>33</v>
      </c>
    </row>
    <row r="4122" spans="1:13">
      <c r="A4122" t="s">
        <v>6</v>
      </c>
      <c r="B4122" t="s">
        <v>585</v>
      </c>
      <c r="C4122" t="s">
        <v>3161</v>
      </c>
      <c r="D4122" t="s">
        <v>1893</v>
      </c>
      <c r="E4122" cm="1">
        <f t="array" ref="E4122">_xlfn.XLOOKUP(D4122,SKU_Master!A:A,SKU_Master!B:B,"Not on master")</f>
        <v>0</v>
      </c>
      <c r="F4122" cm="1">
        <f t="array" ref="F4122">_xlfn.XLOOKUP(C4122,Account_Master!A:A,Account_Master!B:B,"Not on master")</f>
        <v>0</v>
      </c>
      <c r="G4122" cm="1">
        <f t="array" ref="G4122">_xlfn.XLOOKUP(C4122,Account_Master!A:A,Account_Master!C:C,"Not on master")</f>
        <v>0</v>
      </c>
      <c r="H4122" s="6">
        <v>23.25</v>
      </c>
      <c r="I4122" s="6">
        <v>22.5</v>
      </c>
      <c r="J4122" s="6">
        <f>I4122-H4122</f>
        <v>0</v>
      </c>
      <c r="K4122" s="5">
        <f>IF(H4122=0,"",J4122/H4122)</f>
        <v>0</v>
      </c>
      <c r="L4122">
        <f>IF(OR(AND(H4122=0,ABS(J4122)&gt;=0.01),AND(H4122&lt;&gt;0,ABS(K4122)&gt;VarianceThreshold)),"Review","OK")</f>
        <v>0</v>
      </c>
      <c r="M4122" t="s">
        <v>33</v>
      </c>
    </row>
    <row r="4123" spans="1:13">
      <c r="A4123" t="s">
        <v>6</v>
      </c>
      <c r="B4123" t="s">
        <v>585</v>
      </c>
      <c r="C4123" t="s">
        <v>3108</v>
      </c>
      <c r="D4123" t="s">
        <v>3239</v>
      </c>
      <c r="E4123" cm="1">
        <f t="array" ref="E4123">_xlfn.XLOOKUP(D4123,SKU_Master!A:A,SKU_Master!B:B,"Not on master")</f>
        <v>0</v>
      </c>
      <c r="F4123" cm="1">
        <f t="array" ref="F4123">_xlfn.XLOOKUP(C4123,Account_Master!A:A,Account_Master!B:B,"Not on master")</f>
        <v>0</v>
      </c>
      <c r="G4123" cm="1">
        <f t="array" ref="G4123">_xlfn.XLOOKUP(C4123,Account_Master!A:A,Account_Master!C:C,"Not on master")</f>
        <v>0</v>
      </c>
      <c r="H4123" s="6">
        <v>9</v>
      </c>
      <c r="I4123" s="6">
        <v>9</v>
      </c>
      <c r="J4123" s="6">
        <f>I4123-H4123</f>
        <v>0</v>
      </c>
      <c r="K4123" s="5">
        <f>IF(H4123=0,"",J4123/H4123)</f>
        <v>0</v>
      </c>
      <c r="L4123">
        <f>IF(OR(AND(H4123=0,ABS(J4123)&gt;=0.01),AND(H4123&lt;&gt;0,ABS(K4123)&gt;VarianceThreshold)),"Review","OK")</f>
        <v>0</v>
      </c>
      <c r="M4123" t="s">
        <v>33</v>
      </c>
    </row>
    <row r="4124" spans="1:13">
      <c r="A4124" t="s">
        <v>6</v>
      </c>
      <c r="B4124" t="s">
        <v>585</v>
      </c>
      <c r="C4124" t="s">
        <v>3090</v>
      </c>
      <c r="D4124" t="s">
        <v>3240</v>
      </c>
      <c r="E4124" cm="1">
        <f t="array" ref="E4124">_xlfn.XLOOKUP(D4124,SKU_Master!A:A,SKU_Master!B:B,"Not on master")</f>
        <v>0</v>
      </c>
      <c r="F4124" cm="1">
        <f t="array" ref="F4124">_xlfn.XLOOKUP(C4124,Account_Master!A:A,Account_Master!B:B,"Not on master")</f>
        <v>0</v>
      </c>
      <c r="G4124" cm="1">
        <f t="array" ref="G4124">_xlfn.XLOOKUP(C4124,Account_Master!A:A,Account_Master!C:C,"Not on master")</f>
        <v>0</v>
      </c>
      <c r="H4124" s="6">
        <v>120.75</v>
      </c>
      <c r="I4124" s="6">
        <v>120.75</v>
      </c>
      <c r="J4124" s="6">
        <f>I4124-H4124</f>
        <v>0</v>
      </c>
      <c r="K4124" s="5">
        <f>IF(H4124=0,"",J4124/H4124)</f>
        <v>0</v>
      </c>
      <c r="L4124">
        <f>IF(OR(AND(H4124=0,ABS(J4124)&gt;=0.01),AND(H4124&lt;&gt;0,ABS(K4124)&gt;VarianceThreshold)),"Review","OK")</f>
        <v>0</v>
      </c>
      <c r="M4124" t="s">
        <v>33</v>
      </c>
    </row>
    <row r="4125" spans="1:13">
      <c r="A4125" t="s">
        <v>6</v>
      </c>
      <c r="B4125" t="s">
        <v>585</v>
      </c>
      <c r="C4125" t="s">
        <v>33</v>
      </c>
      <c r="D4125" t="s">
        <v>3241</v>
      </c>
      <c r="E4125" cm="1">
        <f t="array" ref="E4125">_xlfn.XLOOKUP(D4125,SKU_Master!A:A,SKU_Master!B:B,"Not on master")</f>
        <v>0</v>
      </c>
      <c r="F4125" cm="1">
        <f t="array" ref="F4125">_xlfn.XLOOKUP(C4125,Account_Master!A:A,Account_Master!B:B,"Not on master")</f>
        <v>0</v>
      </c>
      <c r="G4125" cm="1">
        <f t="array" ref="G4125">_xlfn.XLOOKUP(C4125,Account_Master!A:A,Account_Master!C:C,"Not on master")</f>
        <v>0</v>
      </c>
      <c r="H4125" s="6">
        <v>0</v>
      </c>
      <c r="I4125" s="6">
        <v>1.5</v>
      </c>
      <c r="J4125" s="6">
        <f>I4125-H4125</f>
        <v>0</v>
      </c>
      <c r="K4125" s="5">
        <f>IF(H4125=0,"",J4125/H4125)</f>
        <v>0</v>
      </c>
      <c r="L4125">
        <f>IF(OR(AND(H4125=0,ABS(J4125)&gt;=0.01),AND(H4125&lt;&gt;0,ABS(K4125)&gt;VarianceThreshold)),"Review","OK")</f>
        <v>0</v>
      </c>
      <c r="M4125" t="s">
        <v>3038</v>
      </c>
    </row>
    <row r="4126" spans="1:13">
      <c r="A4126" t="s">
        <v>6</v>
      </c>
      <c r="B4126" t="s">
        <v>594</v>
      </c>
      <c r="C4126" t="s">
        <v>3054</v>
      </c>
      <c r="D4126" t="s">
        <v>1244</v>
      </c>
      <c r="E4126" cm="1">
        <f t="array" ref="E4126">_xlfn.XLOOKUP(D4126,SKU_Master!A:A,SKU_Master!B:B,"Not on master")</f>
        <v>0</v>
      </c>
      <c r="F4126" cm="1">
        <f t="array" ref="F4126">_xlfn.XLOOKUP(C4126,Account_Master!A:A,Account_Master!B:B,"Not on master")</f>
        <v>0</v>
      </c>
      <c r="G4126" cm="1">
        <f t="array" ref="G4126">_xlfn.XLOOKUP(C4126,Account_Master!A:A,Account_Master!C:C,"Not on master")</f>
        <v>0</v>
      </c>
      <c r="H4126" s="6">
        <v>0.25</v>
      </c>
      <c r="I4126" s="6">
        <v>0.25</v>
      </c>
      <c r="J4126" s="6">
        <f>I4126-H4126</f>
        <v>0</v>
      </c>
      <c r="K4126" s="5">
        <f>IF(H4126=0,"",J4126/H4126)</f>
        <v>0</v>
      </c>
      <c r="L4126">
        <f>IF(OR(AND(H4126=0,ABS(J4126)&gt;=0.01),AND(H4126&lt;&gt;0,ABS(K4126)&gt;VarianceThreshold)),"Review","OK")</f>
        <v>0</v>
      </c>
      <c r="M4126" t="s">
        <v>33</v>
      </c>
    </row>
    <row r="4127" spans="1:13">
      <c r="A4127" t="s">
        <v>6</v>
      </c>
      <c r="B4127" t="s">
        <v>594</v>
      </c>
      <c r="C4127" t="s">
        <v>3041</v>
      </c>
      <c r="D4127" t="s">
        <v>1676</v>
      </c>
      <c r="E4127" cm="1">
        <f t="array" ref="E4127">_xlfn.XLOOKUP(D4127,SKU_Master!A:A,SKU_Master!B:B,"Not on master")</f>
        <v>0</v>
      </c>
      <c r="F4127" cm="1">
        <f t="array" ref="F4127">_xlfn.XLOOKUP(C4127,Account_Master!A:A,Account_Master!B:B,"Not on master")</f>
        <v>0</v>
      </c>
      <c r="G4127" cm="1">
        <f t="array" ref="G4127">_xlfn.XLOOKUP(C4127,Account_Master!A:A,Account_Master!C:C,"Not on master")</f>
        <v>0</v>
      </c>
      <c r="H4127" s="6">
        <v>0.75</v>
      </c>
      <c r="I4127" s="6">
        <v>0</v>
      </c>
      <c r="J4127" s="6">
        <f>I4127-H4127</f>
        <v>0</v>
      </c>
      <c r="K4127" s="5">
        <f>IF(H4127=0,"",J4127/H4127)</f>
        <v>0</v>
      </c>
      <c r="L4127">
        <f>IF(OR(AND(H4127=0,ABS(J4127)&gt;=0.01),AND(H4127&lt;&gt;0,ABS(K4127)&gt;VarianceThreshold)),"Review","OK")</f>
        <v>0</v>
      </c>
      <c r="M4127" t="s">
        <v>3038</v>
      </c>
    </row>
    <row r="4128" spans="1:13">
      <c r="A4128" t="s">
        <v>6</v>
      </c>
      <c r="B4128" t="s">
        <v>594</v>
      </c>
      <c r="C4128" t="s">
        <v>3089</v>
      </c>
      <c r="D4128" t="s">
        <v>3242</v>
      </c>
      <c r="E4128" cm="1">
        <f t="array" ref="E4128">_xlfn.XLOOKUP(D4128,SKU_Master!A:A,SKU_Master!B:B,"Not on master")</f>
        <v>0</v>
      </c>
      <c r="F4128" cm="1">
        <f t="array" ref="F4128">_xlfn.XLOOKUP(C4128,Account_Master!A:A,Account_Master!B:B,"Not on master")</f>
        <v>0</v>
      </c>
      <c r="G4128" cm="1">
        <f t="array" ref="G4128">_xlfn.XLOOKUP(C4128,Account_Master!A:A,Account_Master!C:C,"Not on master")</f>
        <v>0</v>
      </c>
      <c r="H4128" s="6">
        <v>2.25</v>
      </c>
      <c r="I4128" s="6">
        <v>2.25</v>
      </c>
      <c r="J4128" s="6">
        <f>I4128-H4128</f>
        <v>0</v>
      </c>
      <c r="K4128" s="5">
        <f>IF(H4128=0,"",J4128/H4128)</f>
        <v>0</v>
      </c>
      <c r="L4128">
        <f>IF(OR(AND(H4128=0,ABS(J4128)&gt;=0.01),AND(H4128&lt;&gt;0,ABS(K4128)&gt;VarianceThreshold)),"Review","OK")</f>
        <v>0</v>
      </c>
      <c r="M4128" t="s">
        <v>33</v>
      </c>
    </row>
    <row r="4129" spans="1:13">
      <c r="A4129" t="s">
        <v>6</v>
      </c>
      <c r="B4129" t="s">
        <v>594</v>
      </c>
      <c r="C4129" t="s">
        <v>3039</v>
      </c>
      <c r="D4129" t="s">
        <v>1011</v>
      </c>
      <c r="E4129" cm="1">
        <f t="array" ref="E4129">_xlfn.XLOOKUP(D4129,SKU_Master!A:A,SKU_Master!B:B,"Not on master")</f>
        <v>0</v>
      </c>
      <c r="F4129" cm="1">
        <f t="array" ref="F4129">_xlfn.XLOOKUP(C4129,Account_Master!A:A,Account_Master!B:B,"Not on master")</f>
        <v>0</v>
      </c>
      <c r="G4129" cm="1">
        <f t="array" ref="G4129">_xlfn.XLOOKUP(C4129,Account_Master!A:A,Account_Master!C:C,"Not on master")</f>
        <v>0</v>
      </c>
      <c r="H4129" s="6">
        <v>48</v>
      </c>
      <c r="I4129" s="6">
        <v>48</v>
      </c>
      <c r="J4129" s="6">
        <f>I4129-H4129</f>
        <v>0</v>
      </c>
      <c r="K4129" s="5">
        <f>IF(H4129=0,"",J4129/H4129)</f>
        <v>0</v>
      </c>
      <c r="L4129">
        <f>IF(OR(AND(H4129=0,ABS(J4129)&gt;=0.01),AND(H4129&lt;&gt;0,ABS(K4129)&gt;VarianceThreshold)),"Review","OK")</f>
        <v>0</v>
      </c>
      <c r="M4129" t="s">
        <v>33</v>
      </c>
    </row>
    <row r="4130" spans="1:13">
      <c r="A4130" t="s">
        <v>6</v>
      </c>
      <c r="B4130" t="s">
        <v>594</v>
      </c>
      <c r="C4130" t="s">
        <v>3023</v>
      </c>
      <c r="D4130" t="s">
        <v>3243</v>
      </c>
      <c r="E4130" cm="1">
        <f t="array" ref="E4130">_xlfn.XLOOKUP(D4130,SKU_Master!A:A,SKU_Master!B:B,"Not on master")</f>
        <v>0</v>
      </c>
      <c r="F4130" cm="1">
        <f t="array" ref="F4130">_xlfn.XLOOKUP(C4130,Account_Master!A:A,Account_Master!B:B,"Not on master")</f>
        <v>0</v>
      </c>
      <c r="G4130" cm="1">
        <f t="array" ref="G4130">_xlfn.XLOOKUP(C4130,Account_Master!A:A,Account_Master!C:C,"Not on master")</f>
        <v>0</v>
      </c>
      <c r="H4130" s="6">
        <v>3</v>
      </c>
      <c r="I4130" s="6">
        <v>3</v>
      </c>
      <c r="J4130" s="6">
        <f>I4130-H4130</f>
        <v>0</v>
      </c>
      <c r="K4130" s="5">
        <f>IF(H4130=0,"",J4130/H4130)</f>
        <v>0</v>
      </c>
      <c r="L4130">
        <f>IF(OR(AND(H4130=0,ABS(J4130)&gt;=0.01),AND(H4130&lt;&gt;0,ABS(K4130)&gt;VarianceThreshold)),"Review","OK")</f>
        <v>0</v>
      </c>
      <c r="M4130" t="s">
        <v>33</v>
      </c>
    </row>
    <row r="4131" spans="1:13">
      <c r="A4131" t="s">
        <v>6</v>
      </c>
      <c r="B4131" t="s">
        <v>607</v>
      </c>
      <c r="C4131" t="s">
        <v>3084</v>
      </c>
      <c r="D4131" t="s">
        <v>3244</v>
      </c>
      <c r="E4131" cm="1">
        <f t="array" ref="E4131">_xlfn.XLOOKUP(D4131,SKU_Master!A:A,SKU_Master!B:B,"Not on master")</f>
        <v>0</v>
      </c>
      <c r="F4131" cm="1">
        <f t="array" ref="F4131">_xlfn.XLOOKUP(C4131,Account_Master!A:A,Account_Master!B:B,"Not on master")</f>
        <v>0</v>
      </c>
      <c r="G4131" cm="1">
        <f t="array" ref="G4131">_xlfn.XLOOKUP(C4131,Account_Master!A:A,Account_Master!C:C,"Not on master")</f>
        <v>0</v>
      </c>
      <c r="H4131" s="6">
        <v>515.25</v>
      </c>
      <c r="I4131" s="6">
        <v>515.25</v>
      </c>
      <c r="J4131" s="6">
        <f>I4131-H4131</f>
        <v>0</v>
      </c>
      <c r="K4131" s="5">
        <f>IF(H4131=0,"",J4131/H4131)</f>
        <v>0</v>
      </c>
      <c r="L4131">
        <f>IF(OR(AND(H4131=0,ABS(J4131)&gt;=0.01),AND(H4131&lt;&gt;0,ABS(K4131)&gt;VarianceThreshold)),"Review","OK")</f>
        <v>0</v>
      </c>
      <c r="M4131" t="s">
        <v>33</v>
      </c>
    </row>
    <row r="4132" spans="1:13">
      <c r="A4132" t="s">
        <v>6</v>
      </c>
      <c r="B4132" t="s">
        <v>607</v>
      </c>
      <c r="C4132" t="s">
        <v>3245</v>
      </c>
      <c r="D4132" t="s">
        <v>265</v>
      </c>
      <c r="E4132" cm="1">
        <f t="array" ref="E4132">_xlfn.XLOOKUP(D4132,SKU_Master!A:A,SKU_Master!B:B,"Not on master")</f>
        <v>0</v>
      </c>
      <c r="F4132" cm="1">
        <f t="array" ref="F4132">_xlfn.XLOOKUP(C4132,Account_Master!A:A,Account_Master!B:B,"Not on master")</f>
        <v>0</v>
      </c>
      <c r="G4132" cm="1">
        <f t="array" ref="G4132">_xlfn.XLOOKUP(C4132,Account_Master!A:A,Account_Master!C:C,"Not on master")</f>
        <v>0</v>
      </c>
      <c r="H4132" s="6">
        <v>4.5</v>
      </c>
      <c r="I4132" s="6">
        <v>4.5</v>
      </c>
      <c r="J4132" s="6">
        <f>I4132-H4132</f>
        <v>0</v>
      </c>
      <c r="K4132" s="5">
        <f>IF(H4132=0,"",J4132/H4132)</f>
        <v>0</v>
      </c>
      <c r="L4132">
        <f>IF(OR(AND(H4132=0,ABS(J4132)&gt;=0.01),AND(H4132&lt;&gt;0,ABS(K4132)&gt;VarianceThreshold)),"Review","OK")</f>
        <v>0</v>
      </c>
      <c r="M4132" t="s">
        <v>33</v>
      </c>
    </row>
    <row r="4133" spans="1:13">
      <c r="A4133" t="s">
        <v>6</v>
      </c>
      <c r="B4133" t="s">
        <v>607</v>
      </c>
      <c r="C4133" t="s">
        <v>3046</v>
      </c>
      <c r="D4133" t="s">
        <v>918</v>
      </c>
      <c r="E4133" cm="1">
        <f t="array" ref="E4133">_xlfn.XLOOKUP(D4133,SKU_Master!A:A,SKU_Master!B:B,"Not on master")</f>
        <v>0</v>
      </c>
      <c r="F4133" cm="1">
        <f t="array" ref="F4133">_xlfn.XLOOKUP(C4133,Account_Master!A:A,Account_Master!B:B,"Not on master")</f>
        <v>0</v>
      </c>
      <c r="G4133" cm="1">
        <f t="array" ref="G4133">_xlfn.XLOOKUP(C4133,Account_Master!A:A,Account_Master!C:C,"Not on master")</f>
        <v>0</v>
      </c>
      <c r="H4133" s="6">
        <v>9.75</v>
      </c>
      <c r="I4133" s="6">
        <v>9.75</v>
      </c>
      <c r="J4133" s="6">
        <f>I4133-H4133</f>
        <v>0</v>
      </c>
      <c r="K4133" s="5">
        <f>IF(H4133=0,"",J4133/H4133)</f>
        <v>0</v>
      </c>
      <c r="L4133">
        <f>IF(OR(AND(H4133=0,ABS(J4133)&gt;=0.01),AND(H4133&lt;&gt;0,ABS(K4133)&gt;VarianceThreshold)),"Review","OK")</f>
        <v>0</v>
      </c>
      <c r="M4133" t="s">
        <v>33</v>
      </c>
    </row>
    <row r="4134" spans="1:13">
      <c r="A4134" t="s">
        <v>6</v>
      </c>
      <c r="B4134" t="s">
        <v>607</v>
      </c>
      <c r="C4134" t="s">
        <v>3246</v>
      </c>
      <c r="D4134" t="s">
        <v>1148</v>
      </c>
      <c r="E4134" cm="1">
        <f t="array" ref="E4134">_xlfn.XLOOKUP(D4134,SKU_Master!A:A,SKU_Master!B:B,"Not on master")</f>
        <v>0</v>
      </c>
      <c r="F4134" cm="1">
        <f t="array" ref="F4134">_xlfn.XLOOKUP(C4134,Account_Master!A:A,Account_Master!B:B,"Not on master")</f>
        <v>0</v>
      </c>
      <c r="G4134" cm="1">
        <f t="array" ref="G4134">_xlfn.XLOOKUP(C4134,Account_Master!A:A,Account_Master!C:C,"Not on master")</f>
        <v>0</v>
      </c>
      <c r="H4134" s="6">
        <v>11.25</v>
      </c>
      <c r="I4134" s="6">
        <v>11.25</v>
      </c>
      <c r="J4134" s="6">
        <f>I4134-H4134</f>
        <v>0</v>
      </c>
      <c r="K4134" s="5">
        <f>IF(H4134=0,"",J4134/H4134)</f>
        <v>0</v>
      </c>
      <c r="L4134">
        <f>IF(OR(AND(H4134=0,ABS(J4134)&gt;=0.01),AND(H4134&lt;&gt;0,ABS(K4134)&gt;VarianceThreshold)),"Review","OK")</f>
        <v>0</v>
      </c>
      <c r="M4134" t="s">
        <v>33</v>
      </c>
    </row>
    <row r="4135" spans="1:13">
      <c r="A4135" t="s">
        <v>6</v>
      </c>
      <c r="B4135" t="s">
        <v>607</v>
      </c>
      <c r="C4135" t="s">
        <v>3059</v>
      </c>
      <c r="D4135" t="s">
        <v>2820</v>
      </c>
      <c r="E4135" cm="1">
        <f t="array" ref="E4135">_xlfn.XLOOKUP(D4135,SKU_Master!A:A,SKU_Master!B:B,"Not on master")</f>
        <v>0</v>
      </c>
      <c r="F4135" cm="1">
        <f t="array" ref="F4135">_xlfn.XLOOKUP(C4135,Account_Master!A:A,Account_Master!B:B,"Not on master")</f>
        <v>0</v>
      </c>
      <c r="G4135" cm="1">
        <f t="array" ref="G4135">_xlfn.XLOOKUP(C4135,Account_Master!A:A,Account_Master!C:C,"Not on master")</f>
        <v>0</v>
      </c>
      <c r="H4135" s="6">
        <v>15</v>
      </c>
      <c r="I4135" s="6">
        <v>15</v>
      </c>
      <c r="J4135" s="6">
        <f>I4135-H4135</f>
        <v>0</v>
      </c>
      <c r="K4135" s="5">
        <f>IF(H4135=0,"",J4135/H4135)</f>
        <v>0</v>
      </c>
      <c r="L4135">
        <f>IF(OR(AND(H4135=0,ABS(J4135)&gt;=0.01),AND(H4135&lt;&gt;0,ABS(K4135)&gt;VarianceThreshold)),"Review","OK")</f>
        <v>0</v>
      </c>
      <c r="M4135" t="s">
        <v>33</v>
      </c>
    </row>
    <row r="4136" spans="1:13">
      <c r="A4136" t="s">
        <v>6</v>
      </c>
      <c r="B4136" t="s">
        <v>615</v>
      </c>
      <c r="C4136" t="s">
        <v>3089</v>
      </c>
      <c r="D4136" t="s">
        <v>291</v>
      </c>
      <c r="E4136" cm="1">
        <f t="array" ref="E4136">_xlfn.XLOOKUP(D4136,SKU_Master!A:A,SKU_Master!B:B,"Not on master")</f>
        <v>0</v>
      </c>
      <c r="F4136" cm="1">
        <f t="array" ref="F4136">_xlfn.XLOOKUP(C4136,Account_Master!A:A,Account_Master!B:B,"Not on master")</f>
        <v>0</v>
      </c>
      <c r="G4136" cm="1">
        <f t="array" ref="G4136">_xlfn.XLOOKUP(C4136,Account_Master!A:A,Account_Master!C:C,"Not on master")</f>
        <v>0</v>
      </c>
      <c r="H4136" s="6">
        <v>3</v>
      </c>
      <c r="I4136" s="6">
        <v>3</v>
      </c>
      <c r="J4136" s="6">
        <f>I4136-H4136</f>
        <v>0</v>
      </c>
      <c r="K4136" s="5">
        <f>IF(H4136=0,"",J4136/H4136)</f>
        <v>0</v>
      </c>
      <c r="L4136">
        <f>IF(OR(AND(H4136=0,ABS(J4136)&gt;=0.01),AND(H4136&lt;&gt;0,ABS(K4136)&gt;VarianceThreshold)),"Review","OK")</f>
        <v>0</v>
      </c>
      <c r="M4136" t="s">
        <v>33</v>
      </c>
    </row>
    <row r="4137" spans="1:13">
      <c r="A4137" t="s">
        <v>6</v>
      </c>
      <c r="B4137" t="s">
        <v>615</v>
      </c>
      <c r="C4137" t="s">
        <v>3114</v>
      </c>
      <c r="D4137" t="s">
        <v>1818</v>
      </c>
      <c r="E4137" cm="1">
        <f t="array" ref="E4137">_xlfn.XLOOKUP(D4137,SKU_Master!A:A,SKU_Master!B:B,"Not on master")</f>
        <v>0</v>
      </c>
      <c r="F4137" cm="1">
        <f t="array" ref="F4137">_xlfn.XLOOKUP(C4137,Account_Master!A:A,Account_Master!B:B,"Not on master")</f>
        <v>0</v>
      </c>
      <c r="G4137" cm="1">
        <f t="array" ref="G4137">_xlfn.XLOOKUP(C4137,Account_Master!A:A,Account_Master!C:C,"Not on master")</f>
        <v>0</v>
      </c>
      <c r="H4137" s="6">
        <v>4.5</v>
      </c>
      <c r="I4137" s="6">
        <v>4.5</v>
      </c>
      <c r="J4137" s="6">
        <f>I4137-H4137</f>
        <v>0</v>
      </c>
      <c r="K4137" s="5">
        <f>IF(H4137=0,"",J4137/H4137)</f>
        <v>0</v>
      </c>
      <c r="L4137">
        <f>IF(OR(AND(H4137=0,ABS(J4137)&gt;=0.01),AND(H4137&lt;&gt;0,ABS(K4137)&gt;VarianceThreshold)),"Review","OK")</f>
        <v>0</v>
      </c>
      <c r="M4137" t="s">
        <v>33</v>
      </c>
    </row>
    <row r="4138" spans="1:13">
      <c r="A4138" t="s">
        <v>6</v>
      </c>
      <c r="B4138" t="s">
        <v>615</v>
      </c>
      <c r="C4138" t="s">
        <v>3094</v>
      </c>
      <c r="D4138" t="s">
        <v>1948</v>
      </c>
      <c r="E4138" cm="1">
        <f t="array" ref="E4138">_xlfn.XLOOKUP(D4138,SKU_Master!A:A,SKU_Master!B:B,"Not on master")</f>
        <v>0</v>
      </c>
      <c r="F4138" cm="1">
        <f t="array" ref="F4138">_xlfn.XLOOKUP(C4138,Account_Master!A:A,Account_Master!B:B,"Not on master")</f>
        <v>0</v>
      </c>
      <c r="G4138" cm="1">
        <f t="array" ref="G4138">_xlfn.XLOOKUP(C4138,Account_Master!A:A,Account_Master!C:C,"Not on master")</f>
        <v>0</v>
      </c>
      <c r="H4138" s="6">
        <v>17</v>
      </c>
      <c r="I4138" s="6">
        <v>17</v>
      </c>
      <c r="J4138" s="6">
        <f>I4138-H4138</f>
        <v>0</v>
      </c>
      <c r="K4138" s="5">
        <f>IF(H4138=0,"",J4138/H4138)</f>
        <v>0</v>
      </c>
      <c r="L4138">
        <f>IF(OR(AND(H4138=0,ABS(J4138)&gt;=0.01),AND(H4138&lt;&gt;0,ABS(K4138)&gt;VarianceThreshold)),"Review","OK")</f>
        <v>0</v>
      </c>
      <c r="M4138" t="s">
        <v>33</v>
      </c>
    </row>
    <row r="4139" spans="1:13">
      <c r="A4139" t="s">
        <v>6</v>
      </c>
      <c r="B4139" t="s">
        <v>615</v>
      </c>
      <c r="C4139" t="s">
        <v>3247</v>
      </c>
      <c r="D4139" t="s">
        <v>3248</v>
      </c>
      <c r="E4139" cm="1">
        <f t="array" ref="E4139">_xlfn.XLOOKUP(D4139,SKU_Master!A:A,SKU_Master!B:B,"Not on master")</f>
        <v>0</v>
      </c>
      <c r="F4139" cm="1">
        <f t="array" ref="F4139">_xlfn.XLOOKUP(C4139,Account_Master!A:A,Account_Master!B:B,"Not on master")</f>
        <v>0</v>
      </c>
      <c r="G4139" cm="1">
        <f t="array" ref="G4139">_xlfn.XLOOKUP(C4139,Account_Master!A:A,Account_Master!C:C,"Not on master")</f>
        <v>0</v>
      </c>
      <c r="H4139" s="6">
        <v>4.5</v>
      </c>
      <c r="I4139" s="6">
        <v>4.5</v>
      </c>
      <c r="J4139" s="6">
        <f>I4139-H4139</f>
        <v>0</v>
      </c>
      <c r="K4139" s="5">
        <f>IF(H4139=0,"",J4139/H4139)</f>
        <v>0</v>
      </c>
      <c r="L4139">
        <f>IF(OR(AND(H4139=0,ABS(J4139)&gt;=0.01),AND(H4139&lt;&gt;0,ABS(K4139)&gt;VarianceThreshold)),"Review","OK")</f>
        <v>0</v>
      </c>
      <c r="M4139" t="s">
        <v>33</v>
      </c>
    </row>
    <row r="4140" spans="1:13">
      <c r="A4140" t="s">
        <v>6</v>
      </c>
      <c r="B4140" t="s">
        <v>615</v>
      </c>
      <c r="C4140" t="s">
        <v>3226</v>
      </c>
      <c r="D4140" t="s">
        <v>3249</v>
      </c>
      <c r="E4140" cm="1">
        <f t="array" ref="E4140">_xlfn.XLOOKUP(D4140,SKU_Master!A:A,SKU_Master!B:B,"Not on master")</f>
        <v>0</v>
      </c>
      <c r="F4140" cm="1">
        <f t="array" ref="F4140">_xlfn.XLOOKUP(C4140,Account_Master!A:A,Account_Master!B:B,"Not on master")</f>
        <v>0</v>
      </c>
      <c r="G4140" cm="1">
        <f t="array" ref="G4140">_xlfn.XLOOKUP(C4140,Account_Master!A:A,Account_Master!C:C,"Not on master")</f>
        <v>0</v>
      </c>
      <c r="H4140" s="6">
        <v>3.75</v>
      </c>
      <c r="I4140" s="6">
        <v>3.75</v>
      </c>
      <c r="J4140" s="6">
        <f>I4140-H4140</f>
        <v>0</v>
      </c>
      <c r="K4140" s="5">
        <f>IF(H4140=0,"",J4140/H4140)</f>
        <v>0</v>
      </c>
      <c r="L4140">
        <f>IF(OR(AND(H4140=0,ABS(J4140)&gt;=0.01),AND(H4140&lt;&gt;0,ABS(K4140)&gt;VarianceThreshold)),"Review","OK")</f>
        <v>0</v>
      </c>
      <c r="M4140" t="s">
        <v>33</v>
      </c>
    </row>
    <row r="4141" spans="1:13">
      <c r="A4141" t="s">
        <v>6</v>
      </c>
      <c r="B4141" t="s">
        <v>615</v>
      </c>
      <c r="C4141" t="s">
        <v>3102</v>
      </c>
      <c r="D4141" t="s">
        <v>3250</v>
      </c>
      <c r="E4141" cm="1">
        <f t="array" ref="E4141">_xlfn.XLOOKUP(D4141,SKU_Master!A:A,SKU_Master!B:B,"Not on master")</f>
        <v>0</v>
      </c>
      <c r="F4141" cm="1">
        <f t="array" ref="F4141">_xlfn.XLOOKUP(C4141,Account_Master!A:A,Account_Master!B:B,"Not on master")</f>
        <v>0</v>
      </c>
      <c r="G4141" cm="1">
        <f t="array" ref="G4141">_xlfn.XLOOKUP(C4141,Account_Master!A:A,Account_Master!C:C,"Not on master")</f>
        <v>0</v>
      </c>
      <c r="H4141" s="6">
        <v>9</v>
      </c>
      <c r="I4141" s="6">
        <v>9</v>
      </c>
      <c r="J4141" s="6">
        <f>I4141-H4141</f>
        <v>0</v>
      </c>
      <c r="K4141" s="5">
        <f>IF(H4141=0,"",J4141/H4141)</f>
        <v>0</v>
      </c>
      <c r="L4141">
        <f>IF(OR(AND(H4141=0,ABS(J4141)&gt;=0.01),AND(H4141&lt;&gt;0,ABS(K4141)&gt;VarianceThreshold)),"Review","OK")</f>
        <v>0</v>
      </c>
      <c r="M4141" t="s">
        <v>33</v>
      </c>
    </row>
    <row r="4142" spans="1:13">
      <c r="A4142" t="s">
        <v>6</v>
      </c>
      <c r="B4142" t="s">
        <v>615</v>
      </c>
      <c r="C4142" t="s">
        <v>3154</v>
      </c>
      <c r="D4142" t="s">
        <v>1139</v>
      </c>
      <c r="E4142" cm="1">
        <f t="array" ref="E4142">_xlfn.XLOOKUP(D4142,SKU_Master!A:A,SKU_Master!B:B,"Not on master")</f>
        <v>0</v>
      </c>
      <c r="F4142" cm="1">
        <f t="array" ref="F4142">_xlfn.XLOOKUP(C4142,Account_Master!A:A,Account_Master!B:B,"Not on master")</f>
        <v>0</v>
      </c>
      <c r="G4142" cm="1">
        <f t="array" ref="G4142">_xlfn.XLOOKUP(C4142,Account_Master!A:A,Account_Master!C:C,"Not on master")</f>
        <v>0</v>
      </c>
      <c r="H4142" s="6">
        <v>9</v>
      </c>
      <c r="I4142" s="6">
        <v>9</v>
      </c>
      <c r="J4142" s="6">
        <f>I4142-H4142</f>
        <v>0</v>
      </c>
      <c r="K4142" s="5">
        <f>IF(H4142=0,"",J4142/H4142)</f>
        <v>0</v>
      </c>
      <c r="L4142">
        <f>IF(OR(AND(H4142=0,ABS(J4142)&gt;=0.01),AND(H4142&lt;&gt;0,ABS(K4142)&gt;VarianceThreshold)),"Review","OK")</f>
        <v>0</v>
      </c>
      <c r="M4142" t="s">
        <v>33</v>
      </c>
    </row>
    <row r="4143" spans="1:13">
      <c r="A4143" t="s">
        <v>6</v>
      </c>
      <c r="B4143" t="s">
        <v>615</v>
      </c>
      <c r="C4143" t="s">
        <v>3090</v>
      </c>
      <c r="D4143" t="s">
        <v>3251</v>
      </c>
      <c r="E4143" cm="1">
        <f t="array" ref="E4143">_xlfn.XLOOKUP(D4143,SKU_Master!A:A,SKU_Master!B:B,"Not on master")</f>
        <v>0</v>
      </c>
      <c r="F4143" cm="1">
        <f t="array" ref="F4143">_xlfn.XLOOKUP(C4143,Account_Master!A:A,Account_Master!B:B,"Not on master")</f>
        <v>0</v>
      </c>
      <c r="G4143" cm="1">
        <f t="array" ref="G4143">_xlfn.XLOOKUP(C4143,Account_Master!A:A,Account_Master!C:C,"Not on master")</f>
        <v>0</v>
      </c>
      <c r="H4143" s="6">
        <v>9.6</v>
      </c>
      <c r="I4143" s="6">
        <v>9.6</v>
      </c>
      <c r="J4143" s="6">
        <f>I4143-H4143</f>
        <v>0</v>
      </c>
      <c r="K4143" s="5">
        <f>IF(H4143=0,"",J4143/H4143)</f>
        <v>0</v>
      </c>
      <c r="L4143">
        <f>IF(OR(AND(H4143=0,ABS(J4143)&gt;=0.01),AND(H4143&lt;&gt;0,ABS(K4143)&gt;VarianceThreshold)),"Review","OK")</f>
        <v>0</v>
      </c>
      <c r="M4143" t="s">
        <v>33</v>
      </c>
    </row>
    <row r="4144" spans="1:13">
      <c r="A4144" t="s">
        <v>6</v>
      </c>
      <c r="B4144" t="s">
        <v>615</v>
      </c>
      <c r="C4144" t="s">
        <v>3252</v>
      </c>
      <c r="D4144" t="s">
        <v>3253</v>
      </c>
      <c r="E4144" cm="1">
        <f t="array" ref="E4144">_xlfn.XLOOKUP(D4144,SKU_Master!A:A,SKU_Master!B:B,"Not on master")</f>
        <v>0</v>
      </c>
      <c r="F4144" cm="1">
        <f t="array" ref="F4144">_xlfn.XLOOKUP(C4144,Account_Master!A:A,Account_Master!B:B,"Not on master")</f>
        <v>0</v>
      </c>
      <c r="G4144" cm="1">
        <f t="array" ref="G4144">_xlfn.XLOOKUP(C4144,Account_Master!A:A,Account_Master!C:C,"Not on master")</f>
        <v>0</v>
      </c>
      <c r="H4144" s="6">
        <v>0.05</v>
      </c>
      <c r="I4144" s="6">
        <v>0.05</v>
      </c>
      <c r="J4144" s="6">
        <f>I4144-H4144</f>
        <v>0</v>
      </c>
      <c r="K4144" s="5">
        <f>IF(H4144=0,"",J4144/H4144)</f>
        <v>0</v>
      </c>
      <c r="L4144">
        <f>IF(OR(AND(H4144=0,ABS(J4144)&gt;=0.01),AND(H4144&lt;&gt;0,ABS(K4144)&gt;VarianceThreshold)),"Review","OK")</f>
        <v>0</v>
      </c>
      <c r="M4144" t="s">
        <v>33</v>
      </c>
    </row>
    <row r="4145" spans="1:13">
      <c r="A4145" t="s">
        <v>6</v>
      </c>
      <c r="B4145" t="s">
        <v>615</v>
      </c>
      <c r="C4145" t="s">
        <v>3145</v>
      </c>
      <c r="D4145" t="s">
        <v>434</v>
      </c>
      <c r="E4145" cm="1">
        <f t="array" ref="E4145">_xlfn.XLOOKUP(D4145,SKU_Master!A:A,SKU_Master!B:B,"Not on master")</f>
        <v>0</v>
      </c>
      <c r="F4145" cm="1">
        <f t="array" ref="F4145">_xlfn.XLOOKUP(C4145,Account_Master!A:A,Account_Master!B:B,"Not on master")</f>
        <v>0</v>
      </c>
      <c r="G4145" cm="1">
        <f t="array" ref="G4145">_xlfn.XLOOKUP(C4145,Account_Master!A:A,Account_Master!C:C,"Not on master")</f>
        <v>0</v>
      </c>
      <c r="H4145" s="6">
        <v>9</v>
      </c>
      <c r="I4145" s="6">
        <v>9</v>
      </c>
      <c r="J4145" s="6">
        <f>I4145-H4145</f>
        <v>0</v>
      </c>
      <c r="K4145" s="5">
        <f>IF(H4145=0,"",J4145/H4145)</f>
        <v>0</v>
      </c>
      <c r="L4145">
        <f>IF(OR(AND(H4145=0,ABS(J4145)&gt;=0.01),AND(H4145&lt;&gt;0,ABS(K4145)&gt;VarianceThreshold)),"Review","OK")</f>
        <v>0</v>
      </c>
      <c r="M4145" t="s">
        <v>33</v>
      </c>
    </row>
    <row r="4146" spans="1:13">
      <c r="A4146" t="s">
        <v>6</v>
      </c>
      <c r="B4146" t="s">
        <v>615</v>
      </c>
      <c r="C4146" t="s">
        <v>3032</v>
      </c>
      <c r="D4146" t="s">
        <v>1874</v>
      </c>
      <c r="E4146" cm="1">
        <f t="array" ref="E4146">_xlfn.XLOOKUP(D4146,SKU_Master!A:A,SKU_Master!B:B,"Not on master")</f>
        <v>0</v>
      </c>
      <c r="F4146" cm="1">
        <f t="array" ref="F4146">_xlfn.XLOOKUP(C4146,Account_Master!A:A,Account_Master!B:B,"Not on master")</f>
        <v>0</v>
      </c>
      <c r="G4146" cm="1">
        <f t="array" ref="G4146">_xlfn.XLOOKUP(C4146,Account_Master!A:A,Account_Master!C:C,"Not on master")</f>
        <v>0</v>
      </c>
      <c r="H4146" s="6">
        <v>1.12</v>
      </c>
      <c r="I4146" s="6">
        <v>1.12</v>
      </c>
      <c r="J4146" s="6">
        <f>I4146-H4146</f>
        <v>0</v>
      </c>
      <c r="K4146" s="5">
        <f>IF(H4146=0,"",J4146/H4146)</f>
        <v>0</v>
      </c>
      <c r="L4146">
        <f>IF(OR(AND(H4146=0,ABS(J4146)&gt;=0.01),AND(H4146&lt;&gt;0,ABS(K4146)&gt;VarianceThreshold)),"Review","OK")</f>
        <v>0</v>
      </c>
      <c r="M4146" t="s">
        <v>33</v>
      </c>
    </row>
    <row r="4147" spans="1:13">
      <c r="A4147" t="s">
        <v>6</v>
      </c>
      <c r="B4147" t="s">
        <v>615</v>
      </c>
      <c r="C4147" t="s">
        <v>33</v>
      </c>
      <c r="D4147" t="s">
        <v>3254</v>
      </c>
      <c r="E4147" cm="1">
        <f t="array" ref="E4147">_xlfn.XLOOKUP(D4147,SKU_Master!A:A,SKU_Master!B:B,"Not on master")</f>
        <v>0</v>
      </c>
      <c r="F4147" cm="1">
        <f t="array" ref="F4147">_xlfn.XLOOKUP(C4147,Account_Master!A:A,Account_Master!B:B,"Not on master")</f>
        <v>0</v>
      </c>
      <c r="G4147" cm="1">
        <f t="array" ref="G4147">_xlfn.XLOOKUP(C4147,Account_Master!A:A,Account_Master!C:C,"Not on master")</f>
        <v>0</v>
      </c>
      <c r="H4147" s="6">
        <v>0</v>
      </c>
      <c r="I4147" s="6">
        <v>10.5</v>
      </c>
      <c r="J4147" s="6">
        <f>I4147-H4147</f>
        <v>0</v>
      </c>
      <c r="K4147" s="5">
        <f>IF(H4147=0,"",J4147/H4147)</f>
        <v>0</v>
      </c>
      <c r="L4147">
        <f>IF(OR(AND(H4147=0,ABS(J4147)&gt;=0.01),AND(H4147&lt;&gt;0,ABS(K4147)&gt;VarianceThreshold)),"Review","OK")</f>
        <v>0</v>
      </c>
      <c r="M4147" t="s">
        <v>3038</v>
      </c>
    </row>
    <row r="4148" spans="1:13">
      <c r="A4148" t="s">
        <v>6</v>
      </c>
      <c r="B4148" t="s">
        <v>624</v>
      </c>
      <c r="C4148" t="s">
        <v>3054</v>
      </c>
      <c r="D4148" t="s">
        <v>1813</v>
      </c>
      <c r="E4148" cm="1">
        <f t="array" ref="E4148">_xlfn.XLOOKUP(D4148,SKU_Master!A:A,SKU_Master!B:B,"Not on master")</f>
        <v>0</v>
      </c>
      <c r="F4148" cm="1">
        <f t="array" ref="F4148">_xlfn.XLOOKUP(C4148,Account_Master!A:A,Account_Master!B:B,"Not on master")</f>
        <v>0</v>
      </c>
      <c r="G4148" cm="1">
        <f t="array" ref="G4148">_xlfn.XLOOKUP(C4148,Account_Master!A:A,Account_Master!C:C,"Not on master")</f>
        <v>0</v>
      </c>
      <c r="H4148" s="6">
        <v>76</v>
      </c>
      <c r="I4148" s="6">
        <v>76</v>
      </c>
      <c r="J4148" s="6">
        <f>I4148-H4148</f>
        <v>0</v>
      </c>
      <c r="K4148" s="5">
        <f>IF(H4148=0,"",J4148/H4148)</f>
        <v>0</v>
      </c>
      <c r="L4148">
        <f>IF(OR(AND(H4148=0,ABS(J4148)&gt;=0.01),AND(H4148&lt;&gt;0,ABS(K4148)&gt;VarianceThreshold)),"Review","OK")</f>
        <v>0</v>
      </c>
      <c r="M4148" t="s">
        <v>33</v>
      </c>
    </row>
    <row r="4149" spans="1:13">
      <c r="A4149" t="s">
        <v>6</v>
      </c>
      <c r="B4149" t="s">
        <v>624</v>
      </c>
      <c r="C4149" t="s">
        <v>3039</v>
      </c>
      <c r="D4149" t="s">
        <v>618</v>
      </c>
      <c r="E4149" cm="1">
        <f t="array" ref="E4149">_xlfn.XLOOKUP(D4149,SKU_Master!A:A,SKU_Master!B:B,"Not on master")</f>
        <v>0</v>
      </c>
      <c r="F4149" cm="1">
        <f t="array" ref="F4149">_xlfn.XLOOKUP(C4149,Account_Master!A:A,Account_Master!B:B,"Not on master")</f>
        <v>0</v>
      </c>
      <c r="G4149" cm="1">
        <f t="array" ref="G4149">_xlfn.XLOOKUP(C4149,Account_Master!A:A,Account_Master!C:C,"Not on master")</f>
        <v>0</v>
      </c>
      <c r="H4149" s="6">
        <v>9</v>
      </c>
      <c r="I4149" s="6">
        <v>9</v>
      </c>
      <c r="J4149" s="6">
        <f>I4149-H4149</f>
        <v>0</v>
      </c>
      <c r="K4149" s="5">
        <f>IF(H4149=0,"",J4149/H4149)</f>
        <v>0</v>
      </c>
      <c r="L4149">
        <f>IF(OR(AND(H4149=0,ABS(J4149)&gt;=0.01),AND(H4149&lt;&gt;0,ABS(K4149)&gt;VarianceThreshold)),"Review","OK")</f>
        <v>0</v>
      </c>
      <c r="M4149" t="s">
        <v>33</v>
      </c>
    </row>
    <row r="4150" spans="1:13">
      <c r="A4150" t="s">
        <v>6</v>
      </c>
      <c r="B4150" t="s">
        <v>624</v>
      </c>
      <c r="C4150" t="s">
        <v>3255</v>
      </c>
      <c r="D4150" t="s">
        <v>2725</v>
      </c>
      <c r="E4150" cm="1">
        <f t="array" ref="E4150">_xlfn.XLOOKUP(D4150,SKU_Master!A:A,SKU_Master!B:B,"Not on master")</f>
        <v>0</v>
      </c>
      <c r="F4150" cm="1">
        <f t="array" ref="F4150">_xlfn.XLOOKUP(C4150,Account_Master!A:A,Account_Master!B:B,"Not on master")</f>
        <v>0</v>
      </c>
      <c r="G4150" cm="1">
        <f t="array" ref="G4150">_xlfn.XLOOKUP(C4150,Account_Master!A:A,Account_Master!C:C,"Not on master")</f>
        <v>0</v>
      </c>
      <c r="H4150" s="6">
        <v>104.25</v>
      </c>
      <c r="I4150" s="6">
        <v>104.25</v>
      </c>
      <c r="J4150" s="6">
        <f>I4150-H4150</f>
        <v>0</v>
      </c>
      <c r="K4150" s="5">
        <f>IF(H4150=0,"",J4150/H4150)</f>
        <v>0</v>
      </c>
      <c r="L4150">
        <f>IF(OR(AND(H4150=0,ABS(J4150)&gt;=0.01),AND(H4150&lt;&gt;0,ABS(K4150)&gt;VarianceThreshold)),"Review","OK")</f>
        <v>0</v>
      </c>
      <c r="M4150" t="s">
        <v>33</v>
      </c>
    </row>
    <row r="4151" spans="1:13">
      <c r="A4151" t="s">
        <v>6</v>
      </c>
      <c r="B4151" t="s">
        <v>624</v>
      </c>
      <c r="C4151" t="s">
        <v>3256</v>
      </c>
      <c r="D4151" t="s">
        <v>3257</v>
      </c>
      <c r="E4151" cm="1">
        <f t="array" ref="E4151">_xlfn.XLOOKUP(D4151,SKU_Master!A:A,SKU_Master!B:B,"Not on master")</f>
        <v>0</v>
      </c>
      <c r="F4151" cm="1">
        <f t="array" ref="F4151">_xlfn.XLOOKUP(C4151,Account_Master!A:A,Account_Master!B:B,"Not on master")</f>
        <v>0</v>
      </c>
      <c r="G4151" cm="1">
        <f t="array" ref="G4151">_xlfn.XLOOKUP(C4151,Account_Master!A:A,Account_Master!C:C,"Not on master")</f>
        <v>0</v>
      </c>
      <c r="H4151" s="6">
        <v>20.25</v>
      </c>
      <c r="I4151" s="6">
        <v>20.25</v>
      </c>
      <c r="J4151" s="6">
        <f>I4151-H4151</f>
        <v>0</v>
      </c>
      <c r="K4151" s="5">
        <f>IF(H4151=0,"",J4151/H4151)</f>
        <v>0</v>
      </c>
      <c r="L4151">
        <f>IF(OR(AND(H4151=0,ABS(J4151)&gt;=0.01),AND(H4151&lt;&gt;0,ABS(K4151)&gt;VarianceThreshold)),"Review","OK")</f>
        <v>0</v>
      </c>
      <c r="M4151" t="s">
        <v>33</v>
      </c>
    </row>
    <row r="4152" spans="1:13">
      <c r="A4152" t="s">
        <v>6</v>
      </c>
      <c r="B4152" t="s">
        <v>624</v>
      </c>
      <c r="C4152" t="s">
        <v>3103</v>
      </c>
      <c r="D4152" t="s">
        <v>2344</v>
      </c>
      <c r="E4152" cm="1">
        <f t="array" ref="E4152">_xlfn.XLOOKUP(D4152,SKU_Master!A:A,SKU_Master!B:B,"Not on master")</f>
        <v>0</v>
      </c>
      <c r="F4152" cm="1">
        <f t="array" ref="F4152">_xlfn.XLOOKUP(C4152,Account_Master!A:A,Account_Master!B:B,"Not on master")</f>
        <v>0</v>
      </c>
      <c r="G4152" cm="1">
        <f t="array" ref="G4152">_xlfn.XLOOKUP(C4152,Account_Master!A:A,Account_Master!C:C,"Not on master")</f>
        <v>0</v>
      </c>
      <c r="H4152" s="6">
        <v>0.75</v>
      </c>
      <c r="I4152" s="6">
        <v>0.75</v>
      </c>
      <c r="J4152" s="6">
        <f>I4152-H4152</f>
        <v>0</v>
      </c>
      <c r="K4152" s="5">
        <f>IF(H4152=0,"",J4152/H4152)</f>
        <v>0</v>
      </c>
      <c r="L4152">
        <f>IF(OR(AND(H4152=0,ABS(J4152)&gt;=0.01),AND(H4152&lt;&gt;0,ABS(K4152)&gt;VarianceThreshold)),"Review","OK")</f>
        <v>0</v>
      </c>
      <c r="M4152" t="s">
        <v>33</v>
      </c>
    </row>
    <row r="4153" spans="1:13">
      <c r="A4153" t="s">
        <v>6</v>
      </c>
      <c r="B4153" t="s">
        <v>624</v>
      </c>
      <c r="C4153" t="s">
        <v>33</v>
      </c>
      <c r="D4153" t="s">
        <v>3258</v>
      </c>
      <c r="E4153" cm="1">
        <f t="array" ref="E4153">_xlfn.XLOOKUP(D4153,SKU_Master!A:A,SKU_Master!B:B,"Not on master")</f>
        <v>0</v>
      </c>
      <c r="F4153" cm="1">
        <f t="array" ref="F4153">_xlfn.XLOOKUP(C4153,Account_Master!A:A,Account_Master!B:B,"Not on master")</f>
        <v>0</v>
      </c>
      <c r="G4153" cm="1">
        <f t="array" ref="G4153">_xlfn.XLOOKUP(C4153,Account_Master!A:A,Account_Master!C:C,"Not on master")</f>
        <v>0</v>
      </c>
      <c r="H4153" s="6">
        <v>0</v>
      </c>
      <c r="I4153" s="6">
        <v>9</v>
      </c>
      <c r="J4153" s="6">
        <f>I4153-H4153</f>
        <v>0</v>
      </c>
      <c r="K4153" s="5">
        <f>IF(H4153=0,"",J4153/H4153)</f>
        <v>0</v>
      </c>
      <c r="L4153">
        <f>IF(OR(AND(H4153=0,ABS(J4153)&gt;=0.01),AND(H4153&lt;&gt;0,ABS(K4153)&gt;VarianceThreshold)),"Review","OK")</f>
        <v>0</v>
      </c>
      <c r="M4153" t="s">
        <v>3038</v>
      </c>
    </row>
    <row r="4154" spans="1:13">
      <c r="A4154" t="s">
        <v>6</v>
      </c>
      <c r="B4154" t="s">
        <v>635</v>
      </c>
      <c r="C4154" t="s">
        <v>3039</v>
      </c>
      <c r="D4154" t="s">
        <v>660</v>
      </c>
      <c r="E4154" cm="1">
        <f t="array" ref="E4154">_xlfn.XLOOKUP(D4154,SKU_Master!A:A,SKU_Master!B:B,"Not on master")</f>
        <v>0</v>
      </c>
      <c r="F4154" cm="1">
        <f t="array" ref="F4154">_xlfn.XLOOKUP(C4154,Account_Master!A:A,Account_Master!B:B,"Not on master")</f>
        <v>0</v>
      </c>
      <c r="G4154" cm="1">
        <f t="array" ref="G4154">_xlfn.XLOOKUP(C4154,Account_Master!A:A,Account_Master!C:C,"Not on master")</f>
        <v>0</v>
      </c>
      <c r="H4154" s="6">
        <v>0.85</v>
      </c>
      <c r="I4154" s="6">
        <v>0.45</v>
      </c>
      <c r="J4154" s="6">
        <f>I4154-H4154</f>
        <v>0</v>
      </c>
      <c r="K4154" s="5">
        <f>IF(H4154=0,"",J4154/H4154)</f>
        <v>0</v>
      </c>
      <c r="L4154">
        <f>IF(OR(AND(H4154=0,ABS(J4154)&gt;=0.01),AND(H4154&lt;&gt;0,ABS(K4154)&gt;VarianceThreshold)),"Review","OK")</f>
        <v>0</v>
      </c>
      <c r="M4154" t="s">
        <v>3038</v>
      </c>
    </row>
    <row r="4155" spans="1:13">
      <c r="A4155" t="s">
        <v>6</v>
      </c>
      <c r="B4155" t="s">
        <v>635</v>
      </c>
      <c r="C4155" t="s">
        <v>3259</v>
      </c>
      <c r="D4155" t="s">
        <v>661</v>
      </c>
      <c r="E4155" cm="1">
        <f t="array" ref="E4155">_xlfn.XLOOKUP(D4155,SKU_Master!A:A,SKU_Master!B:B,"Not on master")</f>
        <v>0</v>
      </c>
      <c r="F4155" cm="1">
        <f t="array" ref="F4155">_xlfn.XLOOKUP(C4155,Account_Master!A:A,Account_Master!B:B,"Not on master")</f>
        <v>0</v>
      </c>
      <c r="G4155" cm="1">
        <f t="array" ref="G4155">_xlfn.XLOOKUP(C4155,Account_Master!A:A,Account_Master!C:C,"Not on master")</f>
        <v>0</v>
      </c>
      <c r="H4155" s="6">
        <v>108</v>
      </c>
      <c r="I4155" s="6">
        <v>108</v>
      </c>
      <c r="J4155" s="6">
        <f>I4155-H4155</f>
        <v>0</v>
      </c>
      <c r="K4155" s="5">
        <f>IF(H4155=0,"",J4155/H4155)</f>
        <v>0</v>
      </c>
      <c r="L4155">
        <f>IF(OR(AND(H4155=0,ABS(J4155)&gt;=0.01),AND(H4155&lt;&gt;0,ABS(K4155)&gt;VarianceThreshold)),"Review","OK")</f>
        <v>0</v>
      </c>
      <c r="M4155" t="s">
        <v>33</v>
      </c>
    </row>
    <row r="4156" spans="1:13">
      <c r="A4156" t="s">
        <v>6</v>
      </c>
      <c r="B4156" t="s">
        <v>635</v>
      </c>
      <c r="C4156" t="s">
        <v>3140</v>
      </c>
      <c r="D4156" t="s">
        <v>3260</v>
      </c>
      <c r="E4156" cm="1">
        <f t="array" ref="E4156">_xlfn.XLOOKUP(D4156,SKU_Master!A:A,SKU_Master!B:B,"Not on master")</f>
        <v>0</v>
      </c>
      <c r="F4156" cm="1">
        <f t="array" ref="F4156">_xlfn.XLOOKUP(C4156,Account_Master!A:A,Account_Master!B:B,"Not on master")</f>
        <v>0</v>
      </c>
      <c r="G4156" cm="1">
        <f t="array" ref="G4156">_xlfn.XLOOKUP(C4156,Account_Master!A:A,Account_Master!C:C,"Not on master")</f>
        <v>0</v>
      </c>
      <c r="H4156" s="6">
        <v>2.25</v>
      </c>
      <c r="I4156" s="6">
        <v>2.25</v>
      </c>
      <c r="J4156" s="6">
        <f>I4156-H4156</f>
        <v>0</v>
      </c>
      <c r="K4156" s="5">
        <f>IF(H4156=0,"",J4156/H4156)</f>
        <v>0</v>
      </c>
      <c r="L4156">
        <f>IF(OR(AND(H4156=0,ABS(J4156)&gt;=0.01),AND(H4156&lt;&gt;0,ABS(K4156)&gt;VarianceThreshold)),"Review","OK")</f>
        <v>0</v>
      </c>
      <c r="M4156" t="s">
        <v>33</v>
      </c>
    </row>
    <row r="4157" spans="1:13">
      <c r="A4157" t="s">
        <v>6</v>
      </c>
      <c r="B4157" t="s">
        <v>635</v>
      </c>
      <c r="C4157" t="s">
        <v>3029</v>
      </c>
      <c r="D4157" t="s">
        <v>3261</v>
      </c>
      <c r="E4157" cm="1">
        <f t="array" ref="E4157">_xlfn.XLOOKUP(D4157,SKU_Master!A:A,SKU_Master!B:B,"Not on master")</f>
        <v>0</v>
      </c>
      <c r="F4157" cm="1">
        <f t="array" ref="F4157">_xlfn.XLOOKUP(C4157,Account_Master!A:A,Account_Master!B:B,"Not on master")</f>
        <v>0</v>
      </c>
      <c r="G4157" cm="1">
        <f t="array" ref="G4157">_xlfn.XLOOKUP(C4157,Account_Master!A:A,Account_Master!C:C,"Not on master")</f>
        <v>0</v>
      </c>
      <c r="H4157" s="6">
        <v>36.75</v>
      </c>
      <c r="I4157" s="6">
        <v>27.75</v>
      </c>
      <c r="J4157" s="6">
        <f>I4157-H4157</f>
        <v>0</v>
      </c>
      <c r="K4157" s="5">
        <f>IF(H4157=0,"",J4157/H4157)</f>
        <v>0</v>
      </c>
      <c r="L4157">
        <f>IF(OR(AND(H4157=0,ABS(J4157)&gt;=0.01),AND(H4157&lt;&gt;0,ABS(K4157)&gt;VarianceThreshold)),"Review","OK")</f>
        <v>0</v>
      </c>
      <c r="M4157" t="s">
        <v>3038</v>
      </c>
    </row>
    <row r="4158" spans="1:13">
      <c r="A4158" t="s">
        <v>6</v>
      </c>
      <c r="B4158" t="s">
        <v>635</v>
      </c>
      <c r="C4158" t="s">
        <v>3088</v>
      </c>
      <c r="D4158" t="s">
        <v>1853</v>
      </c>
      <c r="E4158" cm="1">
        <f t="array" ref="E4158">_xlfn.XLOOKUP(D4158,SKU_Master!A:A,SKU_Master!B:B,"Not on master")</f>
        <v>0</v>
      </c>
      <c r="F4158" cm="1">
        <f t="array" ref="F4158">_xlfn.XLOOKUP(C4158,Account_Master!A:A,Account_Master!B:B,"Not on master")</f>
        <v>0</v>
      </c>
      <c r="G4158" cm="1">
        <f t="array" ref="G4158">_xlfn.XLOOKUP(C4158,Account_Master!A:A,Account_Master!C:C,"Not on master")</f>
        <v>0</v>
      </c>
      <c r="H4158" s="6">
        <v>3</v>
      </c>
      <c r="I4158" s="6">
        <v>3</v>
      </c>
      <c r="J4158" s="6">
        <f>I4158-H4158</f>
        <v>0</v>
      </c>
      <c r="K4158" s="5">
        <f>IF(H4158=0,"",J4158/H4158)</f>
        <v>0</v>
      </c>
      <c r="L4158">
        <f>IF(OR(AND(H4158=0,ABS(J4158)&gt;=0.01),AND(H4158&lt;&gt;0,ABS(K4158)&gt;VarianceThreshold)),"Review","OK")</f>
        <v>0</v>
      </c>
      <c r="M4158" t="s">
        <v>33</v>
      </c>
    </row>
    <row r="4159" spans="1:13">
      <c r="A4159" t="s">
        <v>6</v>
      </c>
      <c r="B4159" t="s">
        <v>635</v>
      </c>
      <c r="C4159" t="s">
        <v>3062</v>
      </c>
      <c r="D4159" t="s">
        <v>3262</v>
      </c>
      <c r="E4159" cm="1">
        <f t="array" ref="E4159">_xlfn.XLOOKUP(D4159,SKU_Master!A:A,SKU_Master!B:B,"Not on master")</f>
        <v>0</v>
      </c>
      <c r="F4159" cm="1">
        <f t="array" ref="F4159">_xlfn.XLOOKUP(C4159,Account_Master!A:A,Account_Master!B:B,"Not on master")</f>
        <v>0</v>
      </c>
      <c r="G4159" cm="1">
        <f t="array" ref="G4159">_xlfn.XLOOKUP(C4159,Account_Master!A:A,Account_Master!C:C,"Not on master")</f>
        <v>0</v>
      </c>
      <c r="H4159" s="6">
        <v>0.75</v>
      </c>
      <c r="I4159" s="6">
        <v>0.75</v>
      </c>
      <c r="J4159" s="6">
        <f>I4159-H4159</f>
        <v>0</v>
      </c>
      <c r="K4159" s="5">
        <f>IF(H4159=0,"",J4159/H4159)</f>
        <v>0</v>
      </c>
      <c r="L4159">
        <f>IF(OR(AND(H4159=0,ABS(J4159)&gt;=0.01),AND(H4159&lt;&gt;0,ABS(K4159)&gt;VarianceThreshold)),"Review","OK")</f>
        <v>0</v>
      </c>
      <c r="M4159" t="s">
        <v>33</v>
      </c>
    </row>
    <row r="4160" spans="1:13">
      <c r="A4160" t="s">
        <v>6</v>
      </c>
      <c r="B4160" t="s">
        <v>635</v>
      </c>
      <c r="C4160" t="s">
        <v>3094</v>
      </c>
      <c r="D4160" t="s">
        <v>1271</v>
      </c>
      <c r="E4160" cm="1">
        <f t="array" ref="E4160">_xlfn.XLOOKUP(D4160,SKU_Master!A:A,SKU_Master!B:B,"Not on master")</f>
        <v>0</v>
      </c>
      <c r="F4160" cm="1">
        <f t="array" ref="F4160">_xlfn.XLOOKUP(C4160,Account_Master!A:A,Account_Master!B:B,"Not on master")</f>
        <v>0</v>
      </c>
      <c r="G4160" cm="1">
        <f t="array" ref="G4160">_xlfn.XLOOKUP(C4160,Account_Master!A:A,Account_Master!C:C,"Not on master")</f>
        <v>0</v>
      </c>
      <c r="H4160" s="6">
        <v>193</v>
      </c>
      <c r="I4160" s="6">
        <v>193</v>
      </c>
      <c r="J4160" s="6">
        <f>I4160-H4160</f>
        <v>0</v>
      </c>
      <c r="K4160" s="5">
        <f>IF(H4160=0,"",J4160/H4160)</f>
        <v>0</v>
      </c>
      <c r="L4160">
        <f>IF(OR(AND(H4160=0,ABS(J4160)&gt;=0.01),AND(H4160&lt;&gt;0,ABS(K4160)&gt;VarianceThreshold)),"Review","OK")</f>
        <v>0</v>
      </c>
      <c r="M4160" t="s">
        <v>33</v>
      </c>
    </row>
    <row r="4161" spans="1:13">
      <c r="A4161" t="s">
        <v>6</v>
      </c>
      <c r="B4161" t="s">
        <v>635</v>
      </c>
      <c r="C4161" t="s">
        <v>3073</v>
      </c>
      <c r="D4161" t="s">
        <v>3263</v>
      </c>
      <c r="E4161" cm="1">
        <f t="array" ref="E4161">_xlfn.XLOOKUP(D4161,SKU_Master!A:A,SKU_Master!B:B,"Not on master")</f>
        <v>0</v>
      </c>
      <c r="F4161" cm="1">
        <f t="array" ref="F4161">_xlfn.XLOOKUP(C4161,Account_Master!A:A,Account_Master!B:B,"Not on master")</f>
        <v>0</v>
      </c>
      <c r="G4161" cm="1">
        <f t="array" ref="G4161">_xlfn.XLOOKUP(C4161,Account_Master!A:A,Account_Master!C:C,"Not on master")</f>
        <v>0</v>
      </c>
      <c r="H4161" s="6">
        <v>0.75</v>
      </c>
      <c r="I4161" s="6">
        <v>0.75</v>
      </c>
      <c r="J4161" s="6">
        <f>I4161-H4161</f>
        <v>0</v>
      </c>
      <c r="K4161" s="5">
        <f>IF(H4161=0,"",J4161/H4161)</f>
        <v>0</v>
      </c>
      <c r="L4161">
        <f>IF(OR(AND(H4161=0,ABS(J4161)&gt;=0.01),AND(H4161&lt;&gt;0,ABS(K4161)&gt;VarianceThreshold)),"Review","OK")</f>
        <v>0</v>
      </c>
      <c r="M4161" t="s">
        <v>33</v>
      </c>
    </row>
    <row r="4162" spans="1:13">
      <c r="A4162" t="s">
        <v>6</v>
      </c>
      <c r="B4162" t="s">
        <v>635</v>
      </c>
      <c r="C4162" t="s">
        <v>3090</v>
      </c>
      <c r="D4162" t="s">
        <v>1214</v>
      </c>
      <c r="E4162" cm="1">
        <f t="array" ref="E4162">_xlfn.XLOOKUP(D4162,SKU_Master!A:A,SKU_Master!B:B,"Not on master")</f>
        <v>0</v>
      </c>
      <c r="F4162" cm="1">
        <f t="array" ref="F4162">_xlfn.XLOOKUP(C4162,Account_Master!A:A,Account_Master!B:B,"Not on master")</f>
        <v>0</v>
      </c>
      <c r="G4162" cm="1">
        <f t="array" ref="G4162">_xlfn.XLOOKUP(C4162,Account_Master!A:A,Account_Master!C:C,"Not on master")</f>
        <v>0</v>
      </c>
      <c r="H4162" s="6">
        <v>9.73</v>
      </c>
      <c r="I4162" s="6">
        <v>9.73</v>
      </c>
      <c r="J4162" s="6">
        <f>I4162-H4162</f>
        <v>0</v>
      </c>
      <c r="K4162" s="5">
        <f>IF(H4162=0,"",J4162/H4162)</f>
        <v>0</v>
      </c>
      <c r="L4162">
        <f>IF(OR(AND(H4162=0,ABS(J4162)&gt;=0.01),AND(H4162&lt;&gt;0,ABS(K4162)&gt;VarianceThreshold)),"Review","OK")</f>
        <v>0</v>
      </c>
      <c r="M4162" t="s">
        <v>33</v>
      </c>
    </row>
    <row r="4163" spans="1:13">
      <c r="A4163" t="s">
        <v>6</v>
      </c>
      <c r="B4163" t="s">
        <v>635</v>
      </c>
      <c r="C4163" t="s">
        <v>33</v>
      </c>
      <c r="D4163" t="s">
        <v>3264</v>
      </c>
      <c r="E4163" cm="1">
        <f t="array" ref="E4163">_xlfn.XLOOKUP(D4163,SKU_Master!A:A,SKU_Master!B:B,"Not on master")</f>
        <v>0</v>
      </c>
      <c r="F4163" cm="1">
        <f t="array" ref="F4163">_xlfn.XLOOKUP(C4163,Account_Master!A:A,Account_Master!B:B,"Not on master")</f>
        <v>0</v>
      </c>
      <c r="G4163" cm="1">
        <f t="array" ref="G4163">_xlfn.XLOOKUP(C4163,Account_Master!A:A,Account_Master!C:C,"Not on master")</f>
        <v>0</v>
      </c>
      <c r="H4163" s="6">
        <v>0</v>
      </c>
      <c r="I4163" s="6">
        <v>9</v>
      </c>
      <c r="J4163" s="6">
        <f>I4163-H4163</f>
        <v>0</v>
      </c>
      <c r="K4163" s="5">
        <f>IF(H4163=0,"",J4163/H4163)</f>
        <v>0</v>
      </c>
      <c r="L4163">
        <f>IF(OR(AND(H4163=0,ABS(J4163)&gt;=0.01),AND(H4163&lt;&gt;0,ABS(K4163)&gt;VarianceThreshold)),"Review","OK")</f>
        <v>0</v>
      </c>
      <c r="M4163" t="s">
        <v>3038</v>
      </c>
    </row>
    <row r="4164" spans="1:13">
      <c r="A4164" t="s">
        <v>6</v>
      </c>
      <c r="B4164" t="s">
        <v>645</v>
      </c>
      <c r="C4164" t="s">
        <v>3265</v>
      </c>
      <c r="D4164" t="s">
        <v>1368</v>
      </c>
      <c r="E4164" cm="1">
        <f t="array" ref="E4164">_xlfn.XLOOKUP(D4164,SKU_Master!A:A,SKU_Master!B:B,"Not on master")</f>
        <v>0</v>
      </c>
      <c r="F4164" cm="1">
        <f t="array" ref="F4164">_xlfn.XLOOKUP(C4164,Account_Master!A:A,Account_Master!B:B,"Not on master")</f>
        <v>0</v>
      </c>
      <c r="G4164" cm="1">
        <f t="array" ref="G4164">_xlfn.XLOOKUP(C4164,Account_Master!A:A,Account_Master!C:C,"Not on master")</f>
        <v>0</v>
      </c>
      <c r="H4164" s="6">
        <v>0.05</v>
      </c>
      <c r="I4164" s="6">
        <v>0.05</v>
      </c>
      <c r="J4164" s="6">
        <f>I4164-H4164</f>
        <v>0</v>
      </c>
      <c r="K4164" s="5">
        <f>IF(H4164=0,"",J4164/H4164)</f>
        <v>0</v>
      </c>
      <c r="L4164">
        <f>IF(OR(AND(H4164=0,ABS(J4164)&gt;=0.01),AND(H4164&lt;&gt;0,ABS(K4164)&gt;VarianceThreshold)),"Review","OK")</f>
        <v>0</v>
      </c>
      <c r="M4164" t="s">
        <v>33</v>
      </c>
    </row>
    <row r="4165" spans="1:13">
      <c r="A4165" t="s">
        <v>6</v>
      </c>
      <c r="B4165" t="s">
        <v>645</v>
      </c>
      <c r="C4165" t="s">
        <v>3090</v>
      </c>
      <c r="D4165" t="s">
        <v>1704</v>
      </c>
      <c r="E4165" cm="1">
        <f t="array" ref="E4165">_xlfn.XLOOKUP(D4165,SKU_Master!A:A,SKU_Master!B:B,"Not on master")</f>
        <v>0</v>
      </c>
      <c r="F4165" cm="1">
        <f t="array" ref="F4165">_xlfn.XLOOKUP(C4165,Account_Master!A:A,Account_Master!B:B,"Not on master")</f>
        <v>0</v>
      </c>
      <c r="G4165" cm="1">
        <f t="array" ref="G4165">_xlfn.XLOOKUP(C4165,Account_Master!A:A,Account_Master!C:C,"Not on master")</f>
        <v>0</v>
      </c>
      <c r="H4165" s="6">
        <v>9</v>
      </c>
      <c r="I4165" s="6">
        <v>9</v>
      </c>
      <c r="J4165" s="6">
        <f>I4165-H4165</f>
        <v>0</v>
      </c>
      <c r="K4165" s="5">
        <f>IF(H4165=0,"",J4165/H4165)</f>
        <v>0</v>
      </c>
      <c r="L4165">
        <f>IF(OR(AND(H4165=0,ABS(J4165)&gt;=0.01),AND(H4165&lt;&gt;0,ABS(K4165)&gt;VarianceThreshold)),"Review","OK")</f>
        <v>0</v>
      </c>
      <c r="M4165" t="s">
        <v>33</v>
      </c>
    </row>
    <row r="4166" spans="1:13">
      <c r="A4166" t="s">
        <v>6</v>
      </c>
      <c r="B4166" t="s">
        <v>645</v>
      </c>
      <c r="C4166" t="s">
        <v>3062</v>
      </c>
      <c r="D4166" t="s">
        <v>185</v>
      </c>
      <c r="E4166" cm="1">
        <f t="array" ref="E4166">_xlfn.XLOOKUP(D4166,SKU_Master!A:A,SKU_Master!B:B,"Not on master")</f>
        <v>0</v>
      </c>
      <c r="F4166" cm="1">
        <f t="array" ref="F4166">_xlfn.XLOOKUP(C4166,Account_Master!A:A,Account_Master!B:B,"Not on master")</f>
        <v>0</v>
      </c>
      <c r="G4166" cm="1">
        <f t="array" ref="G4166">_xlfn.XLOOKUP(C4166,Account_Master!A:A,Account_Master!C:C,"Not on master")</f>
        <v>0</v>
      </c>
      <c r="H4166" s="6">
        <v>177</v>
      </c>
      <c r="I4166" s="6">
        <v>177</v>
      </c>
      <c r="J4166" s="6">
        <f>I4166-H4166</f>
        <v>0</v>
      </c>
      <c r="K4166" s="5">
        <f>IF(H4166=0,"",J4166/H4166)</f>
        <v>0</v>
      </c>
      <c r="L4166">
        <f>IF(OR(AND(H4166=0,ABS(J4166)&gt;=0.01),AND(H4166&lt;&gt;0,ABS(K4166)&gt;VarianceThreshold)),"Review","OK")</f>
        <v>0</v>
      </c>
      <c r="M4166" t="s">
        <v>33</v>
      </c>
    </row>
    <row r="4167" spans="1:13">
      <c r="A4167" t="s">
        <v>6</v>
      </c>
      <c r="B4167" t="s">
        <v>645</v>
      </c>
      <c r="C4167" t="s">
        <v>3025</v>
      </c>
      <c r="D4167" t="s">
        <v>246</v>
      </c>
      <c r="E4167" cm="1">
        <f t="array" ref="E4167">_xlfn.XLOOKUP(D4167,SKU_Master!A:A,SKU_Master!B:B,"Not on master")</f>
        <v>0</v>
      </c>
      <c r="F4167" cm="1">
        <f t="array" ref="F4167">_xlfn.XLOOKUP(C4167,Account_Master!A:A,Account_Master!B:B,"Not on master")</f>
        <v>0</v>
      </c>
      <c r="G4167" cm="1">
        <f t="array" ref="G4167">_xlfn.XLOOKUP(C4167,Account_Master!A:A,Account_Master!C:C,"Not on master")</f>
        <v>0</v>
      </c>
      <c r="H4167" s="6">
        <v>73.5</v>
      </c>
      <c r="I4167" s="6">
        <v>73.5</v>
      </c>
      <c r="J4167" s="6">
        <f>I4167-H4167</f>
        <v>0</v>
      </c>
      <c r="K4167" s="5">
        <f>IF(H4167=0,"",J4167/H4167)</f>
        <v>0</v>
      </c>
      <c r="L4167">
        <f>IF(OR(AND(H4167=0,ABS(J4167)&gt;=0.01),AND(H4167&lt;&gt;0,ABS(K4167)&gt;VarianceThreshold)),"Review","OK")</f>
        <v>0</v>
      </c>
      <c r="M4167" t="s">
        <v>33</v>
      </c>
    </row>
    <row r="4168" spans="1:13">
      <c r="A4168" t="s">
        <v>6</v>
      </c>
      <c r="B4168" t="s">
        <v>645</v>
      </c>
      <c r="C4168" t="s">
        <v>3266</v>
      </c>
      <c r="D4168" t="s">
        <v>2838</v>
      </c>
      <c r="E4168" cm="1">
        <f t="array" ref="E4168">_xlfn.XLOOKUP(D4168,SKU_Master!A:A,SKU_Master!B:B,"Not on master")</f>
        <v>0</v>
      </c>
      <c r="F4168" cm="1">
        <f t="array" ref="F4168">_xlfn.XLOOKUP(C4168,Account_Master!A:A,Account_Master!B:B,"Not on master")</f>
        <v>0</v>
      </c>
      <c r="G4168" cm="1">
        <f t="array" ref="G4168">_xlfn.XLOOKUP(C4168,Account_Master!A:A,Account_Master!C:C,"Not on master")</f>
        <v>0</v>
      </c>
      <c r="H4168" s="6">
        <v>4.8</v>
      </c>
      <c r="I4168" s="6">
        <v>4.8</v>
      </c>
      <c r="J4168" s="6">
        <f>I4168-H4168</f>
        <v>0</v>
      </c>
      <c r="K4168" s="5">
        <f>IF(H4168=0,"",J4168/H4168)</f>
        <v>0</v>
      </c>
      <c r="L4168">
        <f>IF(OR(AND(H4168=0,ABS(J4168)&gt;=0.01),AND(H4168&lt;&gt;0,ABS(K4168)&gt;VarianceThreshold)),"Review","OK")</f>
        <v>0</v>
      </c>
      <c r="M4168" t="s">
        <v>33</v>
      </c>
    </row>
    <row r="4169" spans="1:13">
      <c r="A4169" t="s">
        <v>6</v>
      </c>
      <c r="B4169" t="s">
        <v>650</v>
      </c>
      <c r="C4169" t="s">
        <v>3267</v>
      </c>
      <c r="D4169" t="s">
        <v>1865</v>
      </c>
      <c r="E4169" cm="1">
        <f t="array" ref="E4169">_xlfn.XLOOKUP(D4169,SKU_Master!A:A,SKU_Master!B:B,"Not on master")</f>
        <v>0</v>
      </c>
      <c r="F4169" cm="1">
        <f t="array" ref="F4169">_xlfn.XLOOKUP(C4169,Account_Master!A:A,Account_Master!B:B,"Not on master")</f>
        <v>0</v>
      </c>
      <c r="G4169" cm="1">
        <f t="array" ref="G4169">_xlfn.XLOOKUP(C4169,Account_Master!A:A,Account_Master!C:C,"Not on master")</f>
        <v>0</v>
      </c>
      <c r="H4169" s="6">
        <v>0.85</v>
      </c>
      <c r="I4169" s="6">
        <v>0.85</v>
      </c>
      <c r="J4169" s="6">
        <f>I4169-H4169</f>
        <v>0</v>
      </c>
      <c r="K4169" s="5">
        <f>IF(H4169=0,"",J4169/H4169)</f>
        <v>0</v>
      </c>
      <c r="L4169">
        <f>IF(OR(AND(H4169=0,ABS(J4169)&gt;=0.01),AND(H4169&lt;&gt;0,ABS(K4169)&gt;VarianceThreshold)),"Review","OK")</f>
        <v>0</v>
      </c>
      <c r="M4169" t="s">
        <v>33</v>
      </c>
    </row>
    <row r="4170" spans="1:13">
      <c r="A4170" t="s">
        <v>6</v>
      </c>
      <c r="B4170" t="s">
        <v>650</v>
      </c>
      <c r="C4170" t="s">
        <v>3089</v>
      </c>
      <c r="D4170" t="s">
        <v>139</v>
      </c>
      <c r="E4170" cm="1">
        <f t="array" ref="E4170">_xlfn.XLOOKUP(D4170,SKU_Master!A:A,SKU_Master!B:B,"Not on master")</f>
        <v>0</v>
      </c>
      <c r="F4170" cm="1">
        <f t="array" ref="F4170">_xlfn.XLOOKUP(C4170,Account_Master!A:A,Account_Master!B:B,"Not on master")</f>
        <v>0</v>
      </c>
      <c r="G4170" cm="1">
        <f t="array" ref="G4170">_xlfn.XLOOKUP(C4170,Account_Master!A:A,Account_Master!C:C,"Not on master")</f>
        <v>0</v>
      </c>
      <c r="H4170" s="6">
        <v>2.25</v>
      </c>
      <c r="I4170" s="6">
        <v>2.25</v>
      </c>
      <c r="J4170" s="6">
        <f>I4170-H4170</f>
        <v>0</v>
      </c>
      <c r="K4170" s="5">
        <f>IF(H4170=0,"",J4170/H4170)</f>
        <v>0</v>
      </c>
      <c r="L4170">
        <f>IF(OR(AND(H4170=0,ABS(J4170)&gt;=0.01),AND(H4170&lt;&gt;0,ABS(K4170)&gt;VarianceThreshold)),"Review","OK")</f>
        <v>0</v>
      </c>
      <c r="M4170" t="s">
        <v>33</v>
      </c>
    </row>
    <row r="4171" spans="1:13">
      <c r="A4171" t="s">
        <v>6</v>
      </c>
      <c r="B4171" t="s">
        <v>650</v>
      </c>
      <c r="C4171" t="s">
        <v>3114</v>
      </c>
      <c r="D4171" t="s">
        <v>1297</v>
      </c>
      <c r="E4171" cm="1">
        <f t="array" ref="E4171">_xlfn.XLOOKUP(D4171,SKU_Master!A:A,SKU_Master!B:B,"Not on master")</f>
        <v>0</v>
      </c>
      <c r="F4171" cm="1">
        <f t="array" ref="F4171">_xlfn.XLOOKUP(C4171,Account_Master!A:A,Account_Master!B:B,"Not on master")</f>
        <v>0</v>
      </c>
      <c r="G4171" cm="1">
        <f t="array" ref="G4171">_xlfn.XLOOKUP(C4171,Account_Master!A:A,Account_Master!C:C,"Not on master")</f>
        <v>0</v>
      </c>
      <c r="H4171" s="6">
        <v>4.5</v>
      </c>
      <c r="I4171" s="6">
        <v>4.5</v>
      </c>
      <c r="J4171" s="6">
        <f>I4171-H4171</f>
        <v>0</v>
      </c>
      <c r="K4171" s="5">
        <f>IF(H4171=0,"",J4171/H4171)</f>
        <v>0</v>
      </c>
      <c r="L4171">
        <f>IF(OR(AND(H4171=0,ABS(J4171)&gt;=0.01),AND(H4171&lt;&gt;0,ABS(K4171)&gt;VarianceThreshold)),"Review","OK")</f>
        <v>0</v>
      </c>
      <c r="M4171" t="s">
        <v>33</v>
      </c>
    </row>
    <row r="4172" spans="1:13">
      <c r="A4172" t="s">
        <v>6</v>
      </c>
      <c r="B4172" t="s">
        <v>658</v>
      </c>
      <c r="C4172" t="s">
        <v>3041</v>
      </c>
      <c r="D4172" t="s">
        <v>1769</v>
      </c>
      <c r="E4172" cm="1">
        <f t="array" ref="E4172">_xlfn.XLOOKUP(D4172,SKU_Master!A:A,SKU_Master!B:B,"Not on master")</f>
        <v>0</v>
      </c>
      <c r="F4172" cm="1">
        <f t="array" ref="F4172">_xlfn.XLOOKUP(C4172,Account_Master!A:A,Account_Master!B:B,"Not on master")</f>
        <v>0</v>
      </c>
      <c r="G4172" cm="1">
        <f t="array" ref="G4172">_xlfn.XLOOKUP(C4172,Account_Master!A:A,Account_Master!C:C,"Not on master")</f>
        <v>0</v>
      </c>
      <c r="H4172" s="6">
        <v>189</v>
      </c>
      <c r="I4172" s="6">
        <v>165</v>
      </c>
      <c r="J4172" s="6">
        <f>I4172-H4172</f>
        <v>0</v>
      </c>
      <c r="K4172" s="5">
        <f>IF(H4172=0,"",J4172/H4172)</f>
        <v>0</v>
      </c>
      <c r="L4172">
        <f>IF(OR(AND(H4172=0,ABS(J4172)&gt;=0.01),AND(H4172&lt;&gt;0,ABS(K4172)&gt;VarianceThreshold)),"Review","OK")</f>
        <v>0</v>
      </c>
      <c r="M4172" t="s">
        <v>3038</v>
      </c>
    </row>
    <row r="4173" spans="1:13">
      <c r="A4173" t="s">
        <v>6</v>
      </c>
      <c r="B4173" t="s">
        <v>658</v>
      </c>
      <c r="C4173" t="s">
        <v>3097</v>
      </c>
      <c r="D4173" t="s">
        <v>365</v>
      </c>
      <c r="E4173" cm="1">
        <f t="array" ref="E4173">_xlfn.XLOOKUP(D4173,SKU_Master!A:A,SKU_Master!B:B,"Not on master")</f>
        <v>0</v>
      </c>
      <c r="F4173" cm="1">
        <f t="array" ref="F4173">_xlfn.XLOOKUP(C4173,Account_Master!A:A,Account_Master!B:B,"Not on master")</f>
        <v>0</v>
      </c>
      <c r="G4173" cm="1">
        <f t="array" ref="G4173">_xlfn.XLOOKUP(C4173,Account_Master!A:A,Account_Master!C:C,"Not on master")</f>
        <v>0</v>
      </c>
      <c r="H4173" s="6">
        <v>23.25</v>
      </c>
      <c r="I4173" s="6">
        <v>23.25</v>
      </c>
      <c r="J4173" s="6">
        <f>I4173-H4173</f>
        <v>0</v>
      </c>
      <c r="K4173" s="5">
        <f>IF(H4173=0,"",J4173/H4173)</f>
        <v>0</v>
      </c>
      <c r="L4173">
        <f>IF(OR(AND(H4173=0,ABS(J4173)&gt;=0.01),AND(H4173&lt;&gt;0,ABS(K4173)&gt;VarianceThreshold)),"Review","OK")</f>
        <v>0</v>
      </c>
      <c r="M4173" t="s">
        <v>33</v>
      </c>
    </row>
    <row r="4174" spans="1:13">
      <c r="A4174" t="s">
        <v>6</v>
      </c>
      <c r="B4174" t="s">
        <v>658</v>
      </c>
      <c r="C4174" t="s">
        <v>3089</v>
      </c>
      <c r="D4174" t="s">
        <v>3268</v>
      </c>
      <c r="E4174" cm="1">
        <f t="array" ref="E4174">_xlfn.XLOOKUP(D4174,SKU_Master!A:A,SKU_Master!B:B,"Not on master")</f>
        <v>0</v>
      </c>
      <c r="F4174" cm="1">
        <f t="array" ref="F4174">_xlfn.XLOOKUP(C4174,Account_Master!A:A,Account_Master!B:B,"Not on master")</f>
        <v>0</v>
      </c>
      <c r="G4174" cm="1">
        <f t="array" ref="G4174">_xlfn.XLOOKUP(C4174,Account_Master!A:A,Account_Master!C:C,"Not on master")</f>
        <v>0</v>
      </c>
      <c r="H4174" s="6">
        <v>2.25</v>
      </c>
      <c r="I4174" s="6">
        <v>2.25</v>
      </c>
      <c r="J4174" s="6">
        <f>I4174-H4174</f>
        <v>0</v>
      </c>
      <c r="K4174" s="5">
        <f>IF(H4174=0,"",J4174/H4174)</f>
        <v>0</v>
      </c>
      <c r="L4174">
        <f>IF(OR(AND(H4174=0,ABS(J4174)&gt;=0.01),AND(H4174&lt;&gt;0,ABS(K4174)&gt;VarianceThreshold)),"Review","OK")</f>
        <v>0</v>
      </c>
      <c r="M4174" t="s">
        <v>33</v>
      </c>
    </row>
    <row r="4175" spans="1:13">
      <c r="A4175" t="s">
        <v>6</v>
      </c>
      <c r="B4175" t="s">
        <v>658</v>
      </c>
      <c r="C4175" t="s">
        <v>3269</v>
      </c>
      <c r="D4175" t="s">
        <v>3270</v>
      </c>
      <c r="E4175" cm="1">
        <f t="array" ref="E4175">_xlfn.XLOOKUP(D4175,SKU_Master!A:A,SKU_Master!B:B,"Not on master")</f>
        <v>0</v>
      </c>
      <c r="F4175" cm="1">
        <f t="array" ref="F4175">_xlfn.XLOOKUP(C4175,Account_Master!A:A,Account_Master!B:B,"Not on master")</f>
        <v>0</v>
      </c>
      <c r="G4175" cm="1">
        <f t="array" ref="G4175">_xlfn.XLOOKUP(C4175,Account_Master!A:A,Account_Master!C:C,"Not on master")</f>
        <v>0</v>
      </c>
      <c r="H4175" s="6">
        <v>2.25</v>
      </c>
      <c r="I4175" s="6">
        <v>2.25</v>
      </c>
      <c r="J4175" s="6">
        <f>I4175-H4175</f>
        <v>0</v>
      </c>
      <c r="K4175" s="5">
        <f>IF(H4175=0,"",J4175/H4175)</f>
        <v>0</v>
      </c>
      <c r="L4175">
        <f>IF(OR(AND(H4175=0,ABS(J4175)&gt;=0.01),AND(H4175&lt;&gt;0,ABS(K4175)&gt;VarianceThreshold)),"Review","OK")</f>
        <v>0</v>
      </c>
      <c r="M4175" t="s">
        <v>33</v>
      </c>
    </row>
    <row r="4176" spans="1:13">
      <c r="A4176" t="s">
        <v>6</v>
      </c>
      <c r="B4176" t="s">
        <v>658</v>
      </c>
      <c r="C4176" t="s">
        <v>3088</v>
      </c>
      <c r="D4176" t="s">
        <v>2988</v>
      </c>
      <c r="E4176" cm="1">
        <f t="array" ref="E4176">_xlfn.XLOOKUP(D4176,SKU_Master!A:A,SKU_Master!B:B,"Not on master")</f>
        <v>0</v>
      </c>
      <c r="F4176" cm="1">
        <f t="array" ref="F4176">_xlfn.XLOOKUP(C4176,Account_Master!A:A,Account_Master!B:B,"Not on master")</f>
        <v>0</v>
      </c>
      <c r="G4176" cm="1">
        <f t="array" ref="G4176">_xlfn.XLOOKUP(C4176,Account_Master!A:A,Account_Master!C:C,"Not on master")</f>
        <v>0</v>
      </c>
      <c r="H4176" s="6">
        <v>1.75</v>
      </c>
      <c r="I4176" s="6">
        <v>1.75</v>
      </c>
      <c r="J4176" s="6">
        <f>I4176-H4176</f>
        <v>0</v>
      </c>
      <c r="K4176" s="5">
        <f>IF(H4176=0,"",J4176/H4176)</f>
        <v>0</v>
      </c>
      <c r="L4176">
        <f>IF(OR(AND(H4176=0,ABS(J4176)&gt;=0.01),AND(H4176&lt;&gt;0,ABS(K4176)&gt;VarianceThreshold)),"Review","OK")</f>
        <v>0</v>
      </c>
      <c r="M4176" t="s">
        <v>33</v>
      </c>
    </row>
    <row r="4177" spans="1:13">
      <c r="A4177" t="s">
        <v>6</v>
      </c>
      <c r="B4177" t="s">
        <v>658</v>
      </c>
      <c r="C4177" t="s">
        <v>3041</v>
      </c>
      <c r="D4177" t="s">
        <v>1656</v>
      </c>
      <c r="E4177" cm="1">
        <f t="array" ref="E4177">_xlfn.XLOOKUP(D4177,SKU_Master!A:A,SKU_Master!B:B,"Not on master")</f>
        <v>0</v>
      </c>
      <c r="F4177" cm="1">
        <f t="array" ref="F4177">_xlfn.XLOOKUP(C4177,Account_Master!A:A,Account_Master!B:B,"Not on master")</f>
        <v>0</v>
      </c>
      <c r="G4177" cm="1">
        <f t="array" ref="G4177">_xlfn.XLOOKUP(C4177,Account_Master!A:A,Account_Master!C:C,"Not on master")</f>
        <v>0</v>
      </c>
      <c r="H4177" s="6">
        <v>1.8</v>
      </c>
      <c r="I4177" s="6">
        <v>1.8</v>
      </c>
      <c r="J4177" s="6">
        <f>I4177-H4177</f>
        <v>0</v>
      </c>
      <c r="K4177" s="5">
        <f>IF(H4177=0,"",J4177/H4177)</f>
        <v>0</v>
      </c>
      <c r="L4177">
        <f>IF(OR(AND(H4177=0,ABS(J4177)&gt;=0.01),AND(H4177&lt;&gt;0,ABS(K4177)&gt;VarianceThreshold)),"Review","OK")</f>
        <v>0</v>
      </c>
      <c r="M4177" t="s">
        <v>33</v>
      </c>
    </row>
    <row r="4178" spans="1:13">
      <c r="A4178" t="s">
        <v>6</v>
      </c>
      <c r="B4178" t="s">
        <v>658</v>
      </c>
      <c r="C4178" t="s">
        <v>3271</v>
      </c>
      <c r="D4178" t="s">
        <v>604</v>
      </c>
      <c r="E4178" cm="1">
        <f t="array" ref="E4178">_xlfn.XLOOKUP(D4178,SKU_Master!A:A,SKU_Master!B:B,"Not on master")</f>
        <v>0</v>
      </c>
      <c r="F4178" cm="1">
        <f t="array" ref="F4178">_xlfn.XLOOKUP(C4178,Account_Master!A:A,Account_Master!B:B,"Not on master")</f>
        <v>0</v>
      </c>
      <c r="G4178" cm="1">
        <f t="array" ref="G4178">_xlfn.XLOOKUP(C4178,Account_Master!A:A,Account_Master!C:C,"Not on master")</f>
        <v>0</v>
      </c>
      <c r="H4178" s="6">
        <v>0.3</v>
      </c>
      <c r="I4178" s="6">
        <v>0.3</v>
      </c>
      <c r="J4178" s="6">
        <f>I4178-H4178</f>
        <v>0</v>
      </c>
      <c r="K4178" s="5">
        <f>IF(H4178=0,"",J4178/H4178)</f>
        <v>0</v>
      </c>
      <c r="L4178">
        <f>IF(OR(AND(H4178=0,ABS(J4178)&gt;=0.01),AND(H4178&lt;&gt;0,ABS(K4178)&gt;VarianceThreshold)),"Review","OK")</f>
        <v>0</v>
      </c>
      <c r="M4178" t="s">
        <v>33</v>
      </c>
    </row>
    <row r="4179" spans="1:13">
      <c r="A4179" t="s">
        <v>6</v>
      </c>
      <c r="B4179" t="s">
        <v>658</v>
      </c>
      <c r="C4179" t="s">
        <v>3054</v>
      </c>
      <c r="D4179" t="s">
        <v>1089</v>
      </c>
      <c r="E4179" cm="1">
        <f t="array" ref="E4179">_xlfn.XLOOKUP(D4179,SKU_Master!A:A,SKU_Master!B:B,"Not on master")</f>
        <v>0</v>
      </c>
      <c r="F4179" cm="1">
        <f t="array" ref="F4179">_xlfn.XLOOKUP(C4179,Account_Master!A:A,Account_Master!B:B,"Not on master")</f>
        <v>0</v>
      </c>
      <c r="G4179" cm="1">
        <f t="array" ref="G4179">_xlfn.XLOOKUP(C4179,Account_Master!A:A,Account_Master!C:C,"Not on master")</f>
        <v>0</v>
      </c>
      <c r="H4179" s="6">
        <v>4.5</v>
      </c>
      <c r="I4179" s="6">
        <v>4.5</v>
      </c>
      <c r="J4179" s="6">
        <f>I4179-H4179</f>
        <v>0</v>
      </c>
      <c r="K4179" s="5">
        <f>IF(H4179=0,"",J4179/H4179)</f>
        <v>0</v>
      </c>
      <c r="L4179">
        <f>IF(OR(AND(H4179=0,ABS(J4179)&gt;=0.01),AND(H4179&lt;&gt;0,ABS(K4179)&gt;VarianceThreshold)),"Review","OK")</f>
        <v>0</v>
      </c>
      <c r="M4179" t="s">
        <v>33</v>
      </c>
    </row>
    <row r="4180" spans="1:13">
      <c r="A4180" t="s">
        <v>6</v>
      </c>
      <c r="B4180" t="s">
        <v>658</v>
      </c>
      <c r="C4180" t="s">
        <v>3114</v>
      </c>
      <c r="D4180" t="s">
        <v>1226</v>
      </c>
      <c r="E4180" cm="1">
        <f t="array" ref="E4180">_xlfn.XLOOKUP(D4180,SKU_Master!A:A,SKU_Master!B:B,"Not on master")</f>
        <v>0</v>
      </c>
      <c r="F4180" cm="1">
        <f t="array" ref="F4180">_xlfn.XLOOKUP(C4180,Account_Master!A:A,Account_Master!B:B,"Not on master")</f>
        <v>0</v>
      </c>
      <c r="G4180" cm="1">
        <f t="array" ref="G4180">_xlfn.XLOOKUP(C4180,Account_Master!A:A,Account_Master!C:C,"Not on master")</f>
        <v>0</v>
      </c>
      <c r="H4180" s="6">
        <v>1.5</v>
      </c>
      <c r="I4180" s="6">
        <v>1.5</v>
      </c>
      <c r="J4180" s="6">
        <f>I4180-H4180</f>
        <v>0</v>
      </c>
      <c r="K4180" s="5">
        <f>IF(H4180=0,"",J4180/H4180)</f>
        <v>0</v>
      </c>
      <c r="L4180">
        <f>IF(OR(AND(H4180=0,ABS(J4180)&gt;=0.01),AND(H4180&lt;&gt;0,ABS(K4180)&gt;VarianceThreshold)),"Review","OK")</f>
        <v>0</v>
      </c>
      <c r="M4180" t="s">
        <v>33</v>
      </c>
    </row>
    <row r="4181" spans="1:13">
      <c r="A4181" t="s">
        <v>6</v>
      </c>
      <c r="B4181" t="s">
        <v>673</v>
      </c>
      <c r="C4181" t="s">
        <v>3036</v>
      </c>
      <c r="D4181" t="s">
        <v>953</v>
      </c>
      <c r="E4181" cm="1">
        <f t="array" ref="E4181">_xlfn.XLOOKUP(D4181,SKU_Master!A:A,SKU_Master!B:B,"Not on master")</f>
        <v>0</v>
      </c>
      <c r="F4181" cm="1">
        <f t="array" ref="F4181">_xlfn.XLOOKUP(C4181,Account_Master!A:A,Account_Master!B:B,"Not on master")</f>
        <v>0</v>
      </c>
      <c r="G4181" cm="1">
        <f t="array" ref="G4181">_xlfn.XLOOKUP(C4181,Account_Master!A:A,Account_Master!C:C,"Not on master")</f>
        <v>0</v>
      </c>
      <c r="H4181" s="6">
        <v>10.5</v>
      </c>
      <c r="I4181" s="6">
        <v>10.5</v>
      </c>
      <c r="J4181" s="6">
        <f>I4181-H4181</f>
        <v>0</v>
      </c>
      <c r="K4181" s="5">
        <f>IF(H4181=0,"",J4181/H4181)</f>
        <v>0</v>
      </c>
      <c r="L4181">
        <f>IF(OR(AND(H4181=0,ABS(J4181)&gt;=0.01),AND(H4181&lt;&gt;0,ABS(K4181)&gt;VarianceThreshold)),"Review","OK")</f>
        <v>0</v>
      </c>
      <c r="M4181" t="s">
        <v>33</v>
      </c>
    </row>
    <row r="4182" spans="1:13">
      <c r="A4182" t="s">
        <v>6</v>
      </c>
      <c r="B4182" t="s">
        <v>673</v>
      </c>
      <c r="C4182" t="s">
        <v>3090</v>
      </c>
      <c r="D4182" t="s">
        <v>3272</v>
      </c>
      <c r="E4182" cm="1">
        <f t="array" ref="E4182">_xlfn.XLOOKUP(D4182,SKU_Master!A:A,SKU_Master!B:B,"Not on master")</f>
        <v>0</v>
      </c>
      <c r="F4182" cm="1">
        <f t="array" ref="F4182">_xlfn.XLOOKUP(C4182,Account_Master!A:A,Account_Master!B:B,"Not on master")</f>
        <v>0</v>
      </c>
      <c r="G4182" cm="1">
        <f t="array" ref="G4182">_xlfn.XLOOKUP(C4182,Account_Master!A:A,Account_Master!C:C,"Not on master")</f>
        <v>0</v>
      </c>
      <c r="H4182" s="6">
        <v>105</v>
      </c>
      <c r="I4182" s="6">
        <v>105</v>
      </c>
      <c r="J4182" s="6">
        <f>I4182-H4182</f>
        <v>0</v>
      </c>
      <c r="K4182" s="5">
        <f>IF(H4182=0,"",J4182/H4182)</f>
        <v>0</v>
      </c>
      <c r="L4182">
        <f>IF(OR(AND(H4182=0,ABS(J4182)&gt;=0.01),AND(H4182&lt;&gt;0,ABS(K4182)&gt;VarianceThreshold)),"Review","OK")</f>
        <v>0</v>
      </c>
      <c r="M4182" t="s">
        <v>33</v>
      </c>
    </row>
    <row r="4183" spans="1:13">
      <c r="A4183" t="s">
        <v>6</v>
      </c>
      <c r="B4183" t="s">
        <v>673</v>
      </c>
      <c r="C4183" t="s">
        <v>3273</v>
      </c>
      <c r="D4183" t="s">
        <v>1977</v>
      </c>
      <c r="E4183" cm="1">
        <f t="array" ref="E4183">_xlfn.XLOOKUP(D4183,SKU_Master!A:A,SKU_Master!B:B,"Not on master")</f>
        <v>0</v>
      </c>
      <c r="F4183" cm="1">
        <f t="array" ref="F4183">_xlfn.XLOOKUP(C4183,Account_Master!A:A,Account_Master!B:B,"Not on master")</f>
        <v>0</v>
      </c>
      <c r="G4183" cm="1">
        <f t="array" ref="G4183">_xlfn.XLOOKUP(C4183,Account_Master!A:A,Account_Master!C:C,"Not on master")</f>
        <v>0</v>
      </c>
      <c r="H4183" s="6">
        <v>1.9</v>
      </c>
      <c r="I4183" s="6">
        <v>1.9</v>
      </c>
      <c r="J4183" s="6">
        <f>I4183-H4183</f>
        <v>0</v>
      </c>
      <c r="K4183" s="5">
        <f>IF(H4183=0,"",J4183/H4183)</f>
        <v>0</v>
      </c>
      <c r="L4183">
        <f>IF(OR(AND(H4183=0,ABS(J4183)&gt;=0.01),AND(H4183&lt;&gt;0,ABS(K4183)&gt;VarianceThreshold)),"Review","OK")</f>
        <v>0</v>
      </c>
      <c r="M4183" t="s">
        <v>33</v>
      </c>
    </row>
    <row r="4184" spans="1:13">
      <c r="A4184" t="s">
        <v>6</v>
      </c>
      <c r="B4184" t="s">
        <v>673</v>
      </c>
      <c r="C4184" t="s">
        <v>3274</v>
      </c>
      <c r="D4184" t="s">
        <v>973</v>
      </c>
      <c r="E4184" cm="1">
        <f t="array" ref="E4184">_xlfn.XLOOKUP(D4184,SKU_Master!A:A,SKU_Master!B:B,"Not on master")</f>
        <v>0</v>
      </c>
      <c r="F4184" cm="1">
        <f t="array" ref="F4184">_xlfn.XLOOKUP(C4184,Account_Master!A:A,Account_Master!B:B,"Not on master")</f>
        <v>0</v>
      </c>
      <c r="G4184" cm="1">
        <f t="array" ref="G4184">_xlfn.XLOOKUP(C4184,Account_Master!A:A,Account_Master!C:C,"Not on master")</f>
        <v>0</v>
      </c>
      <c r="H4184" s="6">
        <v>11.25</v>
      </c>
      <c r="I4184" s="6">
        <v>11.25</v>
      </c>
      <c r="J4184" s="6">
        <f>I4184-H4184</f>
        <v>0</v>
      </c>
      <c r="K4184" s="5">
        <f>IF(H4184=0,"",J4184/H4184)</f>
        <v>0</v>
      </c>
      <c r="L4184">
        <f>IF(OR(AND(H4184=0,ABS(J4184)&gt;=0.01),AND(H4184&lt;&gt;0,ABS(K4184)&gt;VarianceThreshold)),"Review","OK")</f>
        <v>0</v>
      </c>
      <c r="M4184" t="s">
        <v>33</v>
      </c>
    </row>
    <row r="4185" spans="1:13">
      <c r="A4185" t="s">
        <v>6</v>
      </c>
      <c r="B4185" t="s">
        <v>673</v>
      </c>
      <c r="C4185" t="s">
        <v>3275</v>
      </c>
      <c r="D4185" t="s">
        <v>1505</v>
      </c>
      <c r="E4185" cm="1">
        <f t="array" ref="E4185">_xlfn.XLOOKUP(D4185,SKU_Master!A:A,SKU_Master!B:B,"Not on master")</f>
        <v>0</v>
      </c>
      <c r="F4185" cm="1">
        <f t="array" ref="F4185">_xlfn.XLOOKUP(C4185,Account_Master!A:A,Account_Master!B:B,"Not on master")</f>
        <v>0</v>
      </c>
      <c r="G4185" cm="1">
        <f t="array" ref="G4185">_xlfn.XLOOKUP(C4185,Account_Master!A:A,Account_Master!C:C,"Not on master")</f>
        <v>0</v>
      </c>
      <c r="H4185" s="6">
        <v>4.3</v>
      </c>
      <c r="I4185" s="6">
        <v>4.3</v>
      </c>
      <c r="J4185" s="6">
        <f>I4185-H4185</f>
        <v>0</v>
      </c>
      <c r="K4185" s="5">
        <f>IF(H4185=0,"",J4185/H4185)</f>
        <v>0</v>
      </c>
      <c r="L4185">
        <f>IF(OR(AND(H4185=0,ABS(J4185)&gt;=0.01),AND(H4185&lt;&gt;0,ABS(K4185)&gt;VarianceThreshold)),"Review","OK")</f>
        <v>0</v>
      </c>
      <c r="M4185" t="s">
        <v>33</v>
      </c>
    </row>
    <row r="4186" spans="1:13">
      <c r="A4186" t="s">
        <v>6</v>
      </c>
      <c r="B4186" t="s">
        <v>673</v>
      </c>
      <c r="C4186" t="s">
        <v>33</v>
      </c>
      <c r="D4186" t="s">
        <v>3276</v>
      </c>
      <c r="E4186" cm="1">
        <f t="array" ref="E4186">_xlfn.XLOOKUP(D4186,SKU_Master!A:A,SKU_Master!B:B,"Not on master")</f>
        <v>0</v>
      </c>
      <c r="F4186" cm="1">
        <f t="array" ref="F4186">_xlfn.XLOOKUP(C4186,Account_Master!A:A,Account_Master!B:B,"Not on master")</f>
        <v>0</v>
      </c>
      <c r="G4186" cm="1">
        <f t="array" ref="G4186">_xlfn.XLOOKUP(C4186,Account_Master!A:A,Account_Master!C:C,"Not on master")</f>
        <v>0</v>
      </c>
      <c r="H4186" s="6">
        <v>0</v>
      </c>
      <c r="I4186" s="6">
        <v>0.05</v>
      </c>
      <c r="J4186" s="6">
        <f>I4186-H4186</f>
        <v>0</v>
      </c>
      <c r="K4186" s="5">
        <f>IF(H4186=0,"",J4186/H4186)</f>
        <v>0</v>
      </c>
      <c r="L4186">
        <f>IF(OR(AND(H4186=0,ABS(J4186)&gt;=0.01),AND(H4186&lt;&gt;0,ABS(K4186)&gt;VarianceThreshold)),"Review","OK")</f>
        <v>0</v>
      </c>
      <c r="M4186" t="s">
        <v>3038</v>
      </c>
    </row>
    <row r="4187" spans="1:13">
      <c r="A4187" t="s">
        <v>6</v>
      </c>
      <c r="B4187" t="s">
        <v>681</v>
      </c>
      <c r="C4187" t="s">
        <v>3277</v>
      </c>
      <c r="D4187" t="s">
        <v>1955</v>
      </c>
      <c r="E4187" cm="1">
        <f t="array" ref="E4187">_xlfn.XLOOKUP(D4187,SKU_Master!A:A,SKU_Master!B:B,"Not on master")</f>
        <v>0</v>
      </c>
      <c r="F4187" cm="1">
        <f t="array" ref="F4187">_xlfn.XLOOKUP(C4187,Account_Master!A:A,Account_Master!B:B,"Not on master")</f>
        <v>0</v>
      </c>
      <c r="G4187" cm="1">
        <f t="array" ref="G4187">_xlfn.XLOOKUP(C4187,Account_Master!A:A,Account_Master!C:C,"Not on master")</f>
        <v>0</v>
      </c>
      <c r="H4187" s="6">
        <v>9</v>
      </c>
      <c r="I4187" s="6">
        <v>9</v>
      </c>
      <c r="J4187" s="6">
        <f>I4187-H4187</f>
        <v>0</v>
      </c>
      <c r="K4187" s="5">
        <f>IF(H4187=0,"",J4187/H4187)</f>
        <v>0</v>
      </c>
      <c r="L4187">
        <f>IF(OR(AND(H4187=0,ABS(J4187)&gt;=0.01),AND(H4187&lt;&gt;0,ABS(K4187)&gt;VarianceThreshold)),"Review","OK")</f>
        <v>0</v>
      </c>
      <c r="M4187" t="s">
        <v>33</v>
      </c>
    </row>
    <row r="4188" spans="1:13">
      <c r="A4188" t="s">
        <v>6</v>
      </c>
      <c r="B4188" t="s">
        <v>681</v>
      </c>
      <c r="C4188" t="s">
        <v>3024</v>
      </c>
      <c r="D4188" t="s">
        <v>1524</v>
      </c>
      <c r="E4188" cm="1">
        <f t="array" ref="E4188">_xlfn.XLOOKUP(D4188,SKU_Master!A:A,SKU_Master!B:B,"Not on master")</f>
        <v>0</v>
      </c>
      <c r="F4188" cm="1">
        <f t="array" ref="F4188">_xlfn.XLOOKUP(C4188,Account_Master!A:A,Account_Master!B:B,"Not on master")</f>
        <v>0</v>
      </c>
      <c r="G4188" cm="1">
        <f t="array" ref="G4188">_xlfn.XLOOKUP(C4188,Account_Master!A:A,Account_Master!C:C,"Not on master")</f>
        <v>0</v>
      </c>
      <c r="H4188" s="6">
        <v>2</v>
      </c>
      <c r="I4188" s="6">
        <v>2</v>
      </c>
      <c r="J4188" s="6">
        <f>I4188-H4188</f>
        <v>0</v>
      </c>
      <c r="K4188" s="5">
        <f>IF(H4188=0,"",J4188/H4188)</f>
        <v>0</v>
      </c>
      <c r="L4188">
        <f>IF(OR(AND(H4188=0,ABS(J4188)&gt;=0.01),AND(H4188&lt;&gt;0,ABS(K4188)&gt;VarianceThreshold)),"Review","OK")</f>
        <v>0</v>
      </c>
      <c r="M4188" t="s">
        <v>33</v>
      </c>
    </row>
    <row r="4189" spans="1:13">
      <c r="A4189" t="s">
        <v>6</v>
      </c>
      <c r="B4189" t="s">
        <v>681</v>
      </c>
      <c r="C4189" t="s">
        <v>3029</v>
      </c>
      <c r="D4189" t="s">
        <v>3278</v>
      </c>
      <c r="E4189" cm="1">
        <f t="array" ref="E4189">_xlfn.XLOOKUP(D4189,SKU_Master!A:A,SKU_Master!B:B,"Not on master")</f>
        <v>0</v>
      </c>
      <c r="F4189" cm="1">
        <f t="array" ref="F4189">_xlfn.XLOOKUP(C4189,Account_Master!A:A,Account_Master!B:B,"Not on master")</f>
        <v>0</v>
      </c>
      <c r="G4189" cm="1">
        <f t="array" ref="G4189">_xlfn.XLOOKUP(C4189,Account_Master!A:A,Account_Master!C:C,"Not on master")</f>
        <v>0</v>
      </c>
      <c r="H4189" s="6">
        <v>10.5</v>
      </c>
      <c r="I4189" s="6">
        <v>10.5</v>
      </c>
      <c r="J4189" s="6">
        <f>I4189-H4189</f>
        <v>0</v>
      </c>
      <c r="K4189" s="5">
        <f>IF(H4189=0,"",J4189/H4189)</f>
        <v>0</v>
      </c>
      <c r="L4189">
        <f>IF(OR(AND(H4189=0,ABS(J4189)&gt;=0.01),AND(H4189&lt;&gt;0,ABS(K4189)&gt;VarianceThreshold)),"Review","OK")</f>
        <v>0</v>
      </c>
      <c r="M4189" t="s">
        <v>33</v>
      </c>
    </row>
    <row r="4190" spans="1:13">
      <c r="A4190" t="s">
        <v>6</v>
      </c>
      <c r="B4190" t="s">
        <v>681</v>
      </c>
      <c r="C4190" t="s">
        <v>3089</v>
      </c>
      <c r="D4190" t="s">
        <v>1191</v>
      </c>
      <c r="E4190" cm="1">
        <f t="array" ref="E4190">_xlfn.XLOOKUP(D4190,SKU_Master!A:A,SKU_Master!B:B,"Not on master")</f>
        <v>0</v>
      </c>
      <c r="F4190" cm="1">
        <f t="array" ref="F4190">_xlfn.XLOOKUP(C4190,Account_Master!A:A,Account_Master!B:B,"Not on master")</f>
        <v>0</v>
      </c>
      <c r="G4190" cm="1">
        <f t="array" ref="G4190">_xlfn.XLOOKUP(C4190,Account_Master!A:A,Account_Master!C:C,"Not on master")</f>
        <v>0</v>
      </c>
      <c r="H4190" s="6">
        <v>2.25</v>
      </c>
      <c r="I4190" s="6">
        <v>2.25</v>
      </c>
      <c r="J4190" s="6">
        <f>I4190-H4190</f>
        <v>0</v>
      </c>
      <c r="K4190" s="5">
        <f>IF(H4190=0,"",J4190/H4190)</f>
        <v>0</v>
      </c>
      <c r="L4190">
        <f>IF(OR(AND(H4190=0,ABS(J4190)&gt;=0.01),AND(H4190&lt;&gt;0,ABS(K4190)&gt;VarianceThreshold)),"Review","OK")</f>
        <v>0</v>
      </c>
      <c r="M4190" t="s">
        <v>33</v>
      </c>
    </row>
    <row r="4191" spans="1:13">
      <c r="A4191" t="s">
        <v>6</v>
      </c>
      <c r="B4191" t="s">
        <v>681</v>
      </c>
      <c r="C4191" t="s">
        <v>3089</v>
      </c>
      <c r="D4191" t="s">
        <v>1140</v>
      </c>
      <c r="E4191" cm="1">
        <f t="array" ref="E4191">_xlfn.XLOOKUP(D4191,SKU_Master!A:A,SKU_Master!B:B,"Not on master")</f>
        <v>0</v>
      </c>
      <c r="F4191" cm="1">
        <f t="array" ref="F4191">_xlfn.XLOOKUP(C4191,Account_Master!A:A,Account_Master!B:B,"Not on master")</f>
        <v>0</v>
      </c>
      <c r="G4191" cm="1">
        <f t="array" ref="G4191">_xlfn.XLOOKUP(C4191,Account_Master!A:A,Account_Master!C:C,"Not on master")</f>
        <v>0</v>
      </c>
      <c r="H4191" s="6">
        <v>2.25</v>
      </c>
      <c r="I4191" s="6">
        <v>2.25</v>
      </c>
      <c r="J4191" s="6">
        <f>I4191-H4191</f>
        <v>0</v>
      </c>
      <c r="K4191" s="5">
        <f>IF(H4191=0,"",J4191/H4191)</f>
        <v>0</v>
      </c>
      <c r="L4191">
        <f>IF(OR(AND(H4191=0,ABS(J4191)&gt;=0.01),AND(H4191&lt;&gt;0,ABS(K4191)&gt;VarianceThreshold)),"Review","OK")</f>
        <v>0</v>
      </c>
      <c r="M4191" t="s">
        <v>33</v>
      </c>
    </row>
    <row r="4192" spans="1:13">
      <c r="A4192" t="s">
        <v>6</v>
      </c>
      <c r="B4192" t="s">
        <v>681</v>
      </c>
      <c r="C4192" t="s">
        <v>3154</v>
      </c>
      <c r="D4192" t="s">
        <v>2977</v>
      </c>
      <c r="E4192" cm="1">
        <f t="array" ref="E4192">_xlfn.XLOOKUP(D4192,SKU_Master!A:A,SKU_Master!B:B,"Not on master")</f>
        <v>0</v>
      </c>
      <c r="F4192" cm="1">
        <f t="array" ref="F4192">_xlfn.XLOOKUP(C4192,Account_Master!A:A,Account_Master!B:B,"Not on master")</f>
        <v>0</v>
      </c>
      <c r="G4192" cm="1">
        <f t="array" ref="G4192">_xlfn.XLOOKUP(C4192,Account_Master!A:A,Account_Master!C:C,"Not on master")</f>
        <v>0</v>
      </c>
      <c r="H4192" s="6">
        <v>8.25</v>
      </c>
      <c r="I4192" s="6">
        <v>8.25</v>
      </c>
      <c r="J4192" s="6">
        <f>I4192-H4192</f>
        <v>0</v>
      </c>
      <c r="K4192" s="5">
        <f>IF(H4192=0,"",J4192/H4192)</f>
        <v>0</v>
      </c>
      <c r="L4192">
        <f>IF(OR(AND(H4192=0,ABS(J4192)&gt;=0.01),AND(H4192&lt;&gt;0,ABS(K4192)&gt;VarianceThreshold)),"Review","OK")</f>
        <v>0</v>
      </c>
      <c r="M4192" t="s">
        <v>33</v>
      </c>
    </row>
    <row r="4193" spans="1:13">
      <c r="A4193" t="s">
        <v>6</v>
      </c>
      <c r="B4193" t="s">
        <v>689</v>
      </c>
      <c r="C4193" t="s">
        <v>3084</v>
      </c>
      <c r="D4193" t="s">
        <v>1028</v>
      </c>
      <c r="E4193" cm="1">
        <f t="array" ref="E4193">_xlfn.XLOOKUP(D4193,SKU_Master!A:A,SKU_Master!B:B,"Not on master")</f>
        <v>0</v>
      </c>
      <c r="F4193" cm="1">
        <f t="array" ref="F4193">_xlfn.XLOOKUP(C4193,Account_Master!A:A,Account_Master!B:B,"Not on master")</f>
        <v>0</v>
      </c>
      <c r="G4193" cm="1">
        <f t="array" ref="G4193">_xlfn.XLOOKUP(C4193,Account_Master!A:A,Account_Master!C:C,"Not on master")</f>
        <v>0</v>
      </c>
      <c r="H4193" s="6">
        <v>21</v>
      </c>
      <c r="I4193" s="6">
        <v>21</v>
      </c>
      <c r="J4193" s="6">
        <f>I4193-H4193</f>
        <v>0</v>
      </c>
      <c r="K4193" s="5">
        <f>IF(H4193=0,"",J4193/H4193)</f>
        <v>0</v>
      </c>
      <c r="L4193">
        <f>IF(OR(AND(H4193=0,ABS(J4193)&gt;=0.01),AND(H4193&lt;&gt;0,ABS(K4193)&gt;VarianceThreshold)),"Review","OK")</f>
        <v>0</v>
      </c>
      <c r="M4193" t="s">
        <v>33</v>
      </c>
    </row>
    <row r="4194" spans="1:13">
      <c r="A4194" t="s">
        <v>6</v>
      </c>
      <c r="B4194" t="s">
        <v>689</v>
      </c>
      <c r="C4194" t="s">
        <v>3127</v>
      </c>
      <c r="D4194" t="s">
        <v>1545</v>
      </c>
      <c r="E4194" cm="1">
        <f t="array" ref="E4194">_xlfn.XLOOKUP(D4194,SKU_Master!A:A,SKU_Master!B:B,"Not on master")</f>
        <v>0</v>
      </c>
      <c r="F4194" cm="1">
        <f t="array" ref="F4194">_xlfn.XLOOKUP(C4194,Account_Master!A:A,Account_Master!B:B,"Not on master")</f>
        <v>0</v>
      </c>
      <c r="G4194" cm="1">
        <f t="array" ref="G4194">_xlfn.XLOOKUP(C4194,Account_Master!A:A,Account_Master!C:C,"Not on master")</f>
        <v>0</v>
      </c>
      <c r="H4194" s="6">
        <v>0.3</v>
      </c>
      <c r="I4194" s="6">
        <v>0.3</v>
      </c>
      <c r="J4194" s="6">
        <f>I4194-H4194</f>
        <v>0</v>
      </c>
      <c r="K4194" s="5">
        <f>IF(H4194=0,"",J4194/H4194)</f>
        <v>0</v>
      </c>
      <c r="L4194">
        <f>IF(OR(AND(H4194=0,ABS(J4194)&gt;=0.01),AND(H4194&lt;&gt;0,ABS(K4194)&gt;VarianceThreshold)),"Review","OK")</f>
        <v>0</v>
      </c>
      <c r="M4194" t="s">
        <v>33</v>
      </c>
    </row>
    <row r="4195" spans="1:13">
      <c r="A4195" t="s">
        <v>6</v>
      </c>
      <c r="B4195" t="s">
        <v>689</v>
      </c>
      <c r="C4195" t="s">
        <v>3029</v>
      </c>
      <c r="D4195" t="s">
        <v>256</v>
      </c>
      <c r="E4195" cm="1">
        <f t="array" ref="E4195">_xlfn.XLOOKUP(D4195,SKU_Master!A:A,SKU_Master!B:B,"Not on master")</f>
        <v>0</v>
      </c>
      <c r="F4195" cm="1">
        <f t="array" ref="F4195">_xlfn.XLOOKUP(C4195,Account_Master!A:A,Account_Master!B:B,"Not on master")</f>
        <v>0</v>
      </c>
      <c r="G4195" cm="1">
        <f t="array" ref="G4195">_xlfn.XLOOKUP(C4195,Account_Master!A:A,Account_Master!C:C,"Not on master")</f>
        <v>0</v>
      </c>
      <c r="H4195" s="6">
        <v>1.5</v>
      </c>
      <c r="I4195" s="6">
        <v>1.5</v>
      </c>
      <c r="J4195" s="6">
        <f>I4195-H4195</f>
        <v>0</v>
      </c>
      <c r="K4195" s="5">
        <f>IF(H4195=0,"",J4195/H4195)</f>
        <v>0</v>
      </c>
      <c r="L4195">
        <f>IF(OR(AND(H4195=0,ABS(J4195)&gt;=0.01),AND(H4195&lt;&gt;0,ABS(K4195)&gt;VarianceThreshold)),"Review","OK")</f>
        <v>0</v>
      </c>
      <c r="M4195" t="s">
        <v>33</v>
      </c>
    </row>
    <row r="4196" spans="1:13">
      <c r="A4196" t="s">
        <v>6</v>
      </c>
      <c r="B4196" t="s">
        <v>689</v>
      </c>
      <c r="C4196" t="s">
        <v>3043</v>
      </c>
      <c r="D4196" t="s">
        <v>1623</v>
      </c>
      <c r="E4196" cm="1">
        <f t="array" ref="E4196">_xlfn.XLOOKUP(D4196,SKU_Master!A:A,SKU_Master!B:B,"Not on master")</f>
        <v>0</v>
      </c>
      <c r="F4196" cm="1">
        <f t="array" ref="F4196">_xlfn.XLOOKUP(C4196,Account_Master!A:A,Account_Master!B:B,"Not on master")</f>
        <v>0</v>
      </c>
      <c r="G4196" cm="1">
        <f t="array" ref="G4196">_xlfn.XLOOKUP(C4196,Account_Master!A:A,Account_Master!C:C,"Not on master")</f>
        <v>0</v>
      </c>
      <c r="H4196" s="6">
        <v>42.75</v>
      </c>
      <c r="I4196" s="6">
        <v>42.75</v>
      </c>
      <c r="J4196" s="6">
        <f>I4196-H4196</f>
        <v>0</v>
      </c>
      <c r="K4196" s="5">
        <f>IF(H4196=0,"",J4196/H4196)</f>
        <v>0</v>
      </c>
      <c r="L4196">
        <f>IF(OR(AND(H4196=0,ABS(J4196)&gt;=0.01),AND(H4196&lt;&gt;0,ABS(K4196)&gt;VarianceThreshold)),"Review","OK")</f>
        <v>0</v>
      </c>
      <c r="M4196" t="s">
        <v>33</v>
      </c>
    </row>
    <row r="4197" spans="1:13">
      <c r="A4197" t="s">
        <v>6</v>
      </c>
      <c r="B4197" t="s">
        <v>689</v>
      </c>
      <c r="C4197" t="s">
        <v>3089</v>
      </c>
      <c r="D4197" t="s">
        <v>1981</v>
      </c>
      <c r="E4197" cm="1">
        <f t="array" ref="E4197">_xlfn.XLOOKUP(D4197,SKU_Master!A:A,SKU_Master!B:B,"Not on master")</f>
        <v>0</v>
      </c>
      <c r="F4197" cm="1">
        <f t="array" ref="F4197">_xlfn.XLOOKUP(C4197,Account_Master!A:A,Account_Master!B:B,"Not on master")</f>
        <v>0</v>
      </c>
      <c r="G4197" cm="1">
        <f t="array" ref="G4197">_xlfn.XLOOKUP(C4197,Account_Master!A:A,Account_Master!C:C,"Not on master")</f>
        <v>0</v>
      </c>
      <c r="H4197" s="6">
        <v>4.5</v>
      </c>
      <c r="I4197" s="6">
        <v>4.5</v>
      </c>
      <c r="J4197" s="6">
        <f>I4197-H4197</f>
        <v>0</v>
      </c>
      <c r="K4197" s="5">
        <f>IF(H4197=0,"",J4197/H4197)</f>
        <v>0</v>
      </c>
      <c r="L4197">
        <f>IF(OR(AND(H4197=0,ABS(J4197)&gt;=0.01),AND(H4197&lt;&gt;0,ABS(K4197)&gt;VarianceThreshold)),"Review","OK")</f>
        <v>0</v>
      </c>
      <c r="M4197" t="s">
        <v>33</v>
      </c>
    </row>
    <row r="4198" spans="1:13">
      <c r="A4198" t="s">
        <v>6</v>
      </c>
      <c r="B4198" t="s">
        <v>689</v>
      </c>
      <c r="C4198" t="s">
        <v>3062</v>
      </c>
      <c r="D4198" t="s">
        <v>1264</v>
      </c>
      <c r="E4198" cm="1">
        <f t="array" ref="E4198">_xlfn.XLOOKUP(D4198,SKU_Master!A:A,SKU_Master!B:B,"Not on master")</f>
        <v>0</v>
      </c>
      <c r="F4198" cm="1">
        <f t="array" ref="F4198">_xlfn.XLOOKUP(C4198,Account_Master!A:A,Account_Master!B:B,"Not on master")</f>
        <v>0</v>
      </c>
      <c r="G4198" cm="1">
        <f t="array" ref="G4198">_xlfn.XLOOKUP(C4198,Account_Master!A:A,Account_Master!C:C,"Not on master")</f>
        <v>0</v>
      </c>
      <c r="H4198" s="6">
        <v>12</v>
      </c>
      <c r="I4198" s="6">
        <v>12</v>
      </c>
      <c r="J4198" s="6">
        <f>I4198-H4198</f>
        <v>0</v>
      </c>
      <c r="K4198" s="5">
        <f>IF(H4198=0,"",J4198/H4198)</f>
        <v>0</v>
      </c>
      <c r="L4198">
        <f>IF(OR(AND(H4198=0,ABS(J4198)&gt;=0.01),AND(H4198&lt;&gt;0,ABS(K4198)&gt;VarianceThreshold)),"Review","OK")</f>
        <v>0</v>
      </c>
      <c r="M4198" t="s">
        <v>33</v>
      </c>
    </row>
    <row r="4199" spans="1:13">
      <c r="A4199" t="s">
        <v>6</v>
      </c>
      <c r="B4199" t="s">
        <v>689</v>
      </c>
      <c r="C4199" t="s">
        <v>3046</v>
      </c>
      <c r="D4199" t="s">
        <v>1312</v>
      </c>
      <c r="E4199" cm="1">
        <f t="array" ref="E4199">_xlfn.XLOOKUP(D4199,SKU_Master!A:A,SKU_Master!B:B,"Not on master")</f>
        <v>0</v>
      </c>
      <c r="F4199" cm="1">
        <f t="array" ref="F4199">_xlfn.XLOOKUP(C4199,Account_Master!A:A,Account_Master!B:B,"Not on master")</f>
        <v>0</v>
      </c>
      <c r="G4199" cm="1">
        <f t="array" ref="G4199">_xlfn.XLOOKUP(C4199,Account_Master!A:A,Account_Master!C:C,"Not on master")</f>
        <v>0</v>
      </c>
      <c r="H4199" s="6">
        <v>23.62</v>
      </c>
      <c r="I4199" s="6">
        <v>23.62</v>
      </c>
      <c r="J4199" s="6">
        <f>I4199-H4199</f>
        <v>0</v>
      </c>
      <c r="K4199" s="5">
        <f>IF(H4199=0,"",J4199/H4199)</f>
        <v>0</v>
      </c>
      <c r="L4199">
        <f>IF(OR(AND(H4199=0,ABS(J4199)&gt;=0.01),AND(H4199&lt;&gt;0,ABS(K4199)&gt;VarianceThreshold)),"Review","OK")</f>
        <v>0</v>
      </c>
      <c r="M4199" t="s">
        <v>33</v>
      </c>
    </row>
    <row r="4200" spans="1:13">
      <c r="A4200" t="s">
        <v>6</v>
      </c>
      <c r="B4200" t="s">
        <v>689</v>
      </c>
      <c r="C4200" t="s">
        <v>33</v>
      </c>
      <c r="D4200" t="s">
        <v>3279</v>
      </c>
      <c r="E4200" cm="1">
        <f t="array" ref="E4200">_xlfn.XLOOKUP(D4200,SKU_Master!A:A,SKU_Master!B:B,"Not on master")</f>
        <v>0</v>
      </c>
      <c r="F4200" cm="1">
        <f t="array" ref="F4200">_xlfn.XLOOKUP(C4200,Account_Master!A:A,Account_Master!B:B,"Not on master")</f>
        <v>0</v>
      </c>
      <c r="G4200" cm="1">
        <f t="array" ref="G4200">_xlfn.XLOOKUP(C4200,Account_Master!A:A,Account_Master!C:C,"Not on master")</f>
        <v>0</v>
      </c>
      <c r="H4200" s="6">
        <v>0</v>
      </c>
      <c r="I4200" s="6">
        <v>2.1</v>
      </c>
      <c r="J4200" s="6">
        <f>I4200-H4200</f>
        <v>0</v>
      </c>
      <c r="K4200" s="5">
        <f>IF(H4200=0,"",J4200/H4200)</f>
        <v>0</v>
      </c>
      <c r="L4200">
        <f>IF(OR(AND(H4200=0,ABS(J4200)&gt;=0.01),AND(H4200&lt;&gt;0,ABS(K4200)&gt;VarianceThreshold)),"Review","OK")</f>
        <v>0</v>
      </c>
      <c r="M4200" t="s">
        <v>3038</v>
      </c>
    </row>
    <row r="4201" spans="1:13">
      <c r="A4201" t="s">
        <v>6</v>
      </c>
      <c r="B4201" t="s">
        <v>689</v>
      </c>
      <c r="C4201" t="s">
        <v>33</v>
      </c>
      <c r="D4201" t="s">
        <v>3280</v>
      </c>
      <c r="E4201" cm="1">
        <f t="array" ref="E4201">_xlfn.XLOOKUP(D4201,SKU_Master!A:A,SKU_Master!B:B,"Not on master")</f>
        <v>0</v>
      </c>
      <c r="F4201" cm="1">
        <f t="array" ref="F4201">_xlfn.XLOOKUP(C4201,Account_Master!A:A,Account_Master!B:B,"Not on master")</f>
        <v>0</v>
      </c>
      <c r="G4201" cm="1">
        <f t="array" ref="G4201">_xlfn.XLOOKUP(C4201,Account_Master!A:A,Account_Master!C:C,"Not on master")</f>
        <v>0</v>
      </c>
      <c r="H4201" s="6">
        <v>0</v>
      </c>
      <c r="I4201" s="6">
        <v>9</v>
      </c>
      <c r="J4201" s="6">
        <f>I4201-H4201</f>
        <v>0</v>
      </c>
      <c r="K4201" s="5">
        <f>IF(H4201=0,"",J4201/H4201)</f>
        <v>0</v>
      </c>
      <c r="L4201">
        <f>IF(OR(AND(H4201=0,ABS(J4201)&gt;=0.01),AND(H4201&lt;&gt;0,ABS(K4201)&gt;VarianceThreshold)),"Review","OK")</f>
        <v>0</v>
      </c>
      <c r="M4201" t="s">
        <v>3038</v>
      </c>
    </row>
    <row r="4202" spans="1:13">
      <c r="A4202" t="s">
        <v>6</v>
      </c>
      <c r="B4202" t="s">
        <v>701</v>
      </c>
      <c r="C4202" t="s">
        <v>3036</v>
      </c>
      <c r="D4202" t="s">
        <v>2286</v>
      </c>
      <c r="E4202" cm="1">
        <f t="array" ref="E4202">_xlfn.XLOOKUP(D4202,SKU_Master!A:A,SKU_Master!B:B,"Not on master")</f>
        <v>0</v>
      </c>
      <c r="F4202" cm="1">
        <f t="array" ref="F4202">_xlfn.XLOOKUP(C4202,Account_Master!A:A,Account_Master!B:B,"Not on master")</f>
        <v>0</v>
      </c>
      <c r="G4202" cm="1">
        <f t="array" ref="G4202">_xlfn.XLOOKUP(C4202,Account_Master!A:A,Account_Master!C:C,"Not on master")</f>
        <v>0</v>
      </c>
      <c r="H4202" s="6">
        <v>29.25</v>
      </c>
      <c r="I4202" s="6">
        <v>27.75</v>
      </c>
      <c r="J4202" s="6">
        <f>I4202-H4202</f>
        <v>0</v>
      </c>
      <c r="K4202" s="5">
        <f>IF(H4202=0,"",J4202/H4202)</f>
        <v>0</v>
      </c>
      <c r="L4202">
        <f>IF(OR(AND(H4202=0,ABS(J4202)&gt;=0.01),AND(H4202&lt;&gt;0,ABS(K4202)&gt;VarianceThreshold)),"Review","OK")</f>
        <v>0</v>
      </c>
      <c r="M4202" t="s">
        <v>3038</v>
      </c>
    </row>
    <row r="4203" spans="1:13">
      <c r="A4203" t="s">
        <v>6</v>
      </c>
      <c r="B4203" t="s">
        <v>701</v>
      </c>
      <c r="C4203" t="s">
        <v>3224</v>
      </c>
      <c r="D4203" t="s">
        <v>340</v>
      </c>
      <c r="E4203" cm="1">
        <f t="array" ref="E4203">_xlfn.XLOOKUP(D4203,SKU_Master!A:A,SKU_Master!B:B,"Not on master")</f>
        <v>0</v>
      </c>
      <c r="F4203" cm="1">
        <f t="array" ref="F4203">_xlfn.XLOOKUP(C4203,Account_Master!A:A,Account_Master!B:B,"Not on master")</f>
        <v>0</v>
      </c>
      <c r="G4203" cm="1">
        <f t="array" ref="G4203">_xlfn.XLOOKUP(C4203,Account_Master!A:A,Account_Master!C:C,"Not on master")</f>
        <v>0</v>
      </c>
      <c r="H4203" s="6">
        <v>22.75</v>
      </c>
      <c r="I4203" s="6">
        <v>22.75</v>
      </c>
      <c r="J4203" s="6">
        <f>I4203-H4203</f>
        <v>0</v>
      </c>
      <c r="K4203" s="5">
        <f>IF(H4203=0,"",J4203/H4203)</f>
        <v>0</v>
      </c>
      <c r="L4203">
        <f>IF(OR(AND(H4203=0,ABS(J4203)&gt;=0.01),AND(H4203&lt;&gt;0,ABS(K4203)&gt;VarianceThreshold)),"Review","OK")</f>
        <v>0</v>
      </c>
      <c r="M4203" t="s">
        <v>33</v>
      </c>
    </row>
    <row r="4204" spans="1:13">
      <c r="A4204" t="s">
        <v>6</v>
      </c>
      <c r="B4204" t="s">
        <v>701</v>
      </c>
      <c r="C4204" t="s">
        <v>3073</v>
      </c>
      <c r="D4204" t="s">
        <v>2938</v>
      </c>
      <c r="E4204" cm="1">
        <f t="array" ref="E4204">_xlfn.XLOOKUP(D4204,SKU_Master!A:A,SKU_Master!B:B,"Not on master")</f>
        <v>0</v>
      </c>
      <c r="F4204" cm="1">
        <f t="array" ref="F4204">_xlfn.XLOOKUP(C4204,Account_Master!A:A,Account_Master!B:B,"Not on master")</f>
        <v>0</v>
      </c>
      <c r="G4204" cm="1">
        <f t="array" ref="G4204">_xlfn.XLOOKUP(C4204,Account_Master!A:A,Account_Master!C:C,"Not on master")</f>
        <v>0</v>
      </c>
      <c r="H4204" s="6">
        <v>12</v>
      </c>
      <c r="I4204" s="6">
        <v>12</v>
      </c>
      <c r="J4204" s="6">
        <f>I4204-H4204</f>
        <v>0</v>
      </c>
      <c r="K4204" s="5">
        <f>IF(H4204=0,"",J4204/H4204)</f>
        <v>0</v>
      </c>
      <c r="L4204">
        <f>IF(OR(AND(H4204=0,ABS(J4204)&gt;=0.01),AND(H4204&lt;&gt;0,ABS(K4204)&gt;VarianceThreshold)),"Review","OK")</f>
        <v>0</v>
      </c>
      <c r="M4204" t="s">
        <v>33</v>
      </c>
    </row>
    <row r="4205" spans="1:13">
      <c r="A4205" t="s">
        <v>6</v>
      </c>
      <c r="B4205" t="s">
        <v>701</v>
      </c>
      <c r="C4205" t="s">
        <v>33</v>
      </c>
      <c r="D4205" t="s">
        <v>3281</v>
      </c>
      <c r="E4205" cm="1">
        <f t="array" ref="E4205">_xlfn.XLOOKUP(D4205,SKU_Master!A:A,SKU_Master!B:B,"Not on master")</f>
        <v>0</v>
      </c>
      <c r="F4205" cm="1">
        <f t="array" ref="F4205">_xlfn.XLOOKUP(C4205,Account_Master!A:A,Account_Master!B:B,"Not on master")</f>
        <v>0</v>
      </c>
      <c r="G4205" cm="1">
        <f t="array" ref="G4205">_xlfn.XLOOKUP(C4205,Account_Master!A:A,Account_Master!C:C,"Not on master")</f>
        <v>0</v>
      </c>
      <c r="H4205" s="6">
        <v>0</v>
      </c>
      <c r="I4205" s="6">
        <v>9</v>
      </c>
      <c r="J4205" s="6">
        <f>I4205-H4205</f>
        <v>0</v>
      </c>
      <c r="K4205" s="5">
        <f>IF(H4205=0,"",J4205/H4205)</f>
        <v>0</v>
      </c>
      <c r="L4205">
        <f>IF(OR(AND(H4205=0,ABS(J4205)&gt;=0.01),AND(H4205&lt;&gt;0,ABS(K4205)&gt;VarianceThreshold)),"Review","OK")</f>
        <v>0</v>
      </c>
      <c r="M4205" t="s">
        <v>3038</v>
      </c>
    </row>
    <row r="4206" spans="1:13">
      <c r="A4206" t="s">
        <v>6</v>
      </c>
      <c r="B4206" t="s">
        <v>708</v>
      </c>
      <c r="C4206" t="s">
        <v>3275</v>
      </c>
      <c r="D4206" t="s">
        <v>3282</v>
      </c>
      <c r="E4206" cm="1">
        <f t="array" ref="E4206">_xlfn.XLOOKUP(D4206,SKU_Master!A:A,SKU_Master!B:B,"Not on master")</f>
        <v>0</v>
      </c>
      <c r="F4206" cm="1">
        <f t="array" ref="F4206">_xlfn.XLOOKUP(C4206,Account_Master!A:A,Account_Master!B:B,"Not on master")</f>
        <v>0</v>
      </c>
      <c r="G4206" cm="1">
        <f t="array" ref="G4206">_xlfn.XLOOKUP(C4206,Account_Master!A:A,Account_Master!C:C,"Not on master")</f>
        <v>0</v>
      </c>
      <c r="H4206" s="6">
        <v>2.15</v>
      </c>
      <c r="I4206" s="6">
        <v>2.15</v>
      </c>
      <c r="J4206" s="6">
        <f>I4206-H4206</f>
        <v>0</v>
      </c>
      <c r="K4206" s="5">
        <f>IF(H4206=0,"",J4206/H4206)</f>
        <v>0</v>
      </c>
      <c r="L4206">
        <f>IF(OR(AND(H4206=0,ABS(J4206)&gt;=0.01),AND(H4206&lt;&gt;0,ABS(K4206)&gt;VarianceThreshold)),"Review","OK")</f>
        <v>0</v>
      </c>
      <c r="M4206" t="s">
        <v>33</v>
      </c>
    </row>
    <row r="4207" spans="1:13">
      <c r="A4207" t="s">
        <v>6</v>
      </c>
      <c r="B4207" t="s">
        <v>708</v>
      </c>
      <c r="C4207" t="s">
        <v>3029</v>
      </c>
      <c r="D4207" t="s">
        <v>1157</v>
      </c>
      <c r="E4207" cm="1">
        <f t="array" ref="E4207">_xlfn.XLOOKUP(D4207,SKU_Master!A:A,SKU_Master!B:B,"Not on master")</f>
        <v>0</v>
      </c>
      <c r="F4207" cm="1">
        <f t="array" ref="F4207">_xlfn.XLOOKUP(C4207,Account_Master!A:A,Account_Master!B:B,"Not on master")</f>
        <v>0</v>
      </c>
      <c r="G4207" cm="1">
        <f t="array" ref="G4207">_xlfn.XLOOKUP(C4207,Account_Master!A:A,Account_Master!C:C,"Not on master")</f>
        <v>0</v>
      </c>
      <c r="H4207" s="6">
        <v>10.5</v>
      </c>
      <c r="I4207" s="6">
        <v>10.5</v>
      </c>
      <c r="J4207" s="6">
        <f>I4207-H4207</f>
        <v>0</v>
      </c>
      <c r="K4207" s="5">
        <f>IF(H4207=0,"",J4207/H4207)</f>
        <v>0</v>
      </c>
      <c r="L4207">
        <f>IF(OR(AND(H4207=0,ABS(J4207)&gt;=0.01),AND(H4207&lt;&gt;0,ABS(K4207)&gt;VarianceThreshold)),"Review","OK")</f>
        <v>0</v>
      </c>
      <c r="M4207" t="s">
        <v>33</v>
      </c>
    </row>
    <row r="4208" spans="1:13">
      <c r="A4208" t="s">
        <v>6</v>
      </c>
      <c r="B4208" t="s">
        <v>708</v>
      </c>
      <c r="C4208" t="s">
        <v>3039</v>
      </c>
      <c r="D4208" t="s">
        <v>3283</v>
      </c>
      <c r="E4208" cm="1">
        <f t="array" ref="E4208">_xlfn.XLOOKUP(D4208,SKU_Master!A:A,SKU_Master!B:B,"Not on master")</f>
        <v>0</v>
      </c>
      <c r="F4208" cm="1">
        <f t="array" ref="F4208">_xlfn.XLOOKUP(C4208,Account_Master!A:A,Account_Master!B:B,"Not on master")</f>
        <v>0</v>
      </c>
      <c r="G4208" cm="1">
        <f t="array" ref="G4208">_xlfn.XLOOKUP(C4208,Account_Master!A:A,Account_Master!C:C,"Not on master")</f>
        <v>0</v>
      </c>
      <c r="H4208" s="6">
        <v>6</v>
      </c>
      <c r="I4208" s="6">
        <v>6</v>
      </c>
      <c r="J4208" s="6">
        <f>I4208-H4208</f>
        <v>0</v>
      </c>
      <c r="K4208" s="5">
        <f>IF(H4208=0,"",J4208/H4208)</f>
        <v>0</v>
      </c>
      <c r="L4208">
        <f>IF(OR(AND(H4208=0,ABS(J4208)&gt;=0.01),AND(H4208&lt;&gt;0,ABS(K4208)&gt;VarianceThreshold)),"Review","OK")</f>
        <v>0</v>
      </c>
      <c r="M4208" t="s">
        <v>33</v>
      </c>
    </row>
    <row r="4209" spans="1:13">
      <c r="A4209" t="s">
        <v>6</v>
      </c>
      <c r="B4209" t="s">
        <v>708</v>
      </c>
      <c r="C4209" t="s">
        <v>3039</v>
      </c>
      <c r="D4209" t="s">
        <v>3284</v>
      </c>
      <c r="E4209" cm="1">
        <f t="array" ref="E4209">_xlfn.XLOOKUP(D4209,SKU_Master!A:A,SKU_Master!B:B,"Not on master")</f>
        <v>0</v>
      </c>
      <c r="F4209" cm="1">
        <f t="array" ref="F4209">_xlfn.XLOOKUP(C4209,Account_Master!A:A,Account_Master!B:B,"Not on master")</f>
        <v>0</v>
      </c>
      <c r="G4209" cm="1">
        <f t="array" ref="G4209">_xlfn.XLOOKUP(C4209,Account_Master!A:A,Account_Master!C:C,"Not on master")</f>
        <v>0</v>
      </c>
      <c r="H4209" s="6">
        <v>4.5</v>
      </c>
      <c r="I4209" s="6">
        <v>4.5</v>
      </c>
      <c r="J4209" s="6">
        <f>I4209-H4209</f>
        <v>0</v>
      </c>
      <c r="K4209" s="5">
        <f>IF(H4209=0,"",J4209/H4209)</f>
        <v>0</v>
      </c>
      <c r="L4209">
        <f>IF(OR(AND(H4209=0,ABS(J4209)&gt;=0.01),AND(H4209&lt;&gt;0,ABS(K4209)&gt;VarianceThreshold)),"Review","OK")</f>
        <v>0</v>
      </c>
      <c r="M4209" t="s">
        <v>33</v>
      </c>
    </row>
    <row r="4210" spans="1:13">
      <c r="A4210" t="s">
        <v>6</v>
      </c>
      <c r="B4210" t="s">
        <v>708</v>
      </c>
      <c r="C4210" t="s">
        <v>3032</v>
      </c>
      <c r="D4210" t="s">
        <v>526</v>
      </c>
      <c r="E4210" cm="1">
        <f t="array" ref="E4210">_xlfn.XLOOKUP(D4210,SKU_Master!A:A,SKU_Master!B:B,"Not on master")</f>
        <v>0</v>
      </c>
      <c r="F4210" cm="1">
        <f t="array" ref="F4210">_xlfn.XLOOKUP(C4210,Account_Master!A:A,Account_Master!B:B,"Not on master")</f>
        <v>0</v>
      </c>
      <c r="G4210" cm="1">
        <f t="array" ref="G4210">_xlfn.XLOOKUP(C4210,Account_Master!A:A,Account_Master!C:C,"Not on master")</f>
        <v>0</v>
      </c>
      <c r="H4210" s="6">
        <v>2.25</v>
      </c>
      <c r="I4210" s="6">
        <v>2.25</v>
      </c>
      <c r="J4210" s="6">
        <f>I4210-H4210</f>
        <v>0</v>
      </c>
      <c r="K4210" s="5">
        <f>IF(H4210=0,"",J4210/H4210)</f>
        <v>0</v>
      </c>
      <c r="L4210">
        <f>IF(OR(AND(H4210=0,ABS(J4210)&gt;=0.01),AND(H4210&lt;&gt;0,ABS(K4210)&gt;VarianceThreshold)),"Review","OK")</f>
        <v>0</v>
      </c>
      <c r="M4210" t="s">
        <v>33</v>
      </c>
    </row>
    <row r="4211" spans="1:13">
      <c r="A4211" t="s">
        <v>6</v>
      </c>
      <c r="B4211" t="s">
        <v>708</v>
      </c>
      <c r="C4211" t="s">
        <v>3021</v>
      </c>
      <c r="D4211" t="s">
        <v>1232</v>
      </c>
      <c r="E4211" cm="1">
        <f t="array" ref="E4211">_xlfn.XLOOKUP(D4211,SKU_Master!A:A,SKU_Master!B:B,"Not on master")</f>
        <v>0</v>
      </c>
      <c r="F4211" cm="1">
        <f t="array" ref="F4211">_xlfn.XLOOKUP(C4211,Account_Master!A:A,Account_Master!B:B,"Not on master")</f>
        <v>0</v>
      </c>
      <c r="G4211" cm="1">
        <f t="array" ref="G4211">_xlfn.XLOOKUP(C4211,Account_Master!A:A,Account_Master!C:C,"Not on master")</f>
        <v>0</v>
      </c>
      <c r="H4211" s="6">
        <v>0.25</v>
      </c>
      <c r="I4211" s="6">
        <v>0.25</v>
      </c>
      <c r="J4211" s="6">
        <f>I4211-H4211</f>
        <v>0</v>
      </c>
      <c r="K4211" s="5">
        <f>IF(H4211=0,"",J4211/H4211)</f>
        <v>0</v>
      </c>
      <c r="L4211">
        <f>IF(OR(AND(H4211=0,ABS(J4211)&gt;=0.01),AND(H4211&lt;&gt;0,ABS(K4211)&gt;VarianceThreshold)),"Review","OK")</f>
        <v>0</v>
      </c>
      <c r="M4211" t="s">
        <v>33</v>
      </c>
    </row>
    <row r="4212" spans="1:13">
      <c r="A4212" t="s">
        <v>6</v>
      </c>
      <c r="B4212" t="s">
        <v>708</v>
      </c>
      <c r="C4212" t="s">
        <v>3041</v>
      </c>
      <c r="D4212" t="s">
        <v>3285</v>
      </c>
      <c r="E4212" cm="1">
        <f t="array" ref="E4212">_xlfn.XLOOKUP(D4212,SKU_Master!A:A,SKU_Master!B:B,"Not on master")</f>
        <v>0</v>
      </c>
      <c r="F4212" cm="1">
        <f t="array" ref="F4212">_xlfn.XLOOKUP(C4212,Account_Master!A:A,Account_Master!B:B,"Not on master")</f>
        <v>0</v>
      </c>
      <c r="G4212" cm="1">
        <f t="array" ref="G4212">_xlfn.XLOOKUP(C4212,Account_Master!A:A,Account_Master!C:C,"Not on master")</f>
        <v>0</v>
      </c>
      <c r="H4212" s="6">
        <v>1.75</v>
      </c>
      <c r="I4212" s="6">
        <v>1.75</v>
      </c>
      <c r="J4212" s="6">
        <f>I4212-H4212</f>
        <v>0</v>
      </c>
      <c r="K4212" s="5">
        <f>IF(H4212=0,"",J4212/H4212)</f>
        <v>0</v>
      </c>
      <c r="L4212">
        <f>IF(OR(AND(H4212=0,ABS(J4212)&gt;=0.01),AND(H4212&lt;&gt;0,ABS(K4212)&gt;VarianceThreshold)),"Review","OK")</f>
        <v>0</v>
      </c>
      <c r="M4212" t="s">
        <v>33</v>
      </c>
    </row>
    <row r="4213" spans="1:13">
      <c r="A4213" t="s">
        <v>6</v>
      </c>
      <c r="B4213" t="s">
        <v>708</v>
      </c>
      <c r="C4213" t="s">
        <v>3039</v>
      </c>
      <c r="D4213" t="s">
        <v>1529</v>
      </c>
      <c r="E4213" cm="1">
        <f t="array" ref="E4213">_xlfn.XLOOKUP(D4213,SKU_Master!A:A,SKU_Master!B:B,"Not on master")</f>
        <v>0</v>
      </c>
      <c r="F4213" cm="1">
        <f t="array" ref="F4213">_xlfn.XLOOKUP(C4213,Account_Master!A:A,Account_Master!B:B,"Not on master")</f>
        <v>0</v>
      </c>
      <c r="G4213" cm="1">
        <f t="array" ref="G4213">_xlfn.XLOOKUP(C4213,Account_Master!A:A,Account_Master!C:C,"Not on master")</f>
        <v>0</v>
      </c>
      <c r="H4213" s="6">
        <v>50.75</v>
      </c>
      <c r="I4213" s="6">
        <v>45.5</v>
      </c>
      <c r="J4213" s="6">
        <f>I4213-H4213</f>
        <v>0</v>
      </c>
      <c r="K4213" s="5">
        <f>IF(H4213=0,"",J4213/H4213)</f>
        <v>0</v>
      </c>
      <c r="L4213">
        <f>IF(OR(AND(H4213=0,ABS(J4213)&gt;=0.01),AND(H4213&lt;&gt;0,ABS(K4213)&gt;VarianceThreshold)),"Review","OK")</f>
        <v>0</v>
      </c>
      <c r="M4213" t="s">
        <v>3038</v>
      </c>
    </row>
    <row r="4214" spans="1:13">
      <c r="A4214" t="s">
        <v>6</v>
      </c>
      <c r="B4214" t="s">
        <v>719</v>
      </c>
      <c r="C4214" t="s">
        <v>3277</v>
      </c>
      <c r="D4214" t="s">
        <v>483</v>
      </c>
      <c r="E4214" cm="1">
        <f t="array" ref="E4214">_xlfn.XLOOKUP(D4214,SKU_Master!A:A,SKU_Master!B:B,"Not on master")</f>
        <v>0</v>
      </c>
      <c r="F4214" cm="1">
        <f t="array" ref="F4214">_xlfn.XLOOKUP(C4214,Account_Master!A:A,Account_Master!B:B,"Not on master")</f>
        <v>0</v>
      </c>
      <c r="G4214" cm="1">
        <f t="array" ref="G4214">_xlfn.XLOOKUP(C4214,Account_Master!A:A,Account_Master!C:C,"Not on master")</f>
        <v>0</v>
      </c>
      <c r="H4214" s="6">
        <v>9</v>
      </c>
      <c r="I4214" s="6">
        <v>9</v>
      </c>
      <c r="J4214" s="6">
        <f>I4214-H4214</f>
        <v>0</v>
      </c>
      <c r="K4214" s="5">
        <f>IF(H4214=0,"",J4214/H4214)</f>
        <v>0</v>
      </c>
      <c r="L4214">
        <f>IF(OR(AND(H4214=0,ABS(J4214)&gt;=0.01),AND(H4214&lt;&gt;0,ABS(K4214)&gt;VarianceThreshold)),"Review","OK")</f>
        <v>0</v>
      </c>
      <c r="M4214" t="s">
        <v>33</v>
      </c>
    </row>
    <row r="4215" spans="1:13">
      <c r="A4215" t="s">
        <v>6</v>
      </c>
      <c r="B4215" t="s">
        <v>719</v>
      </c>
      <c r="C4215" t="s">
        <v>3154</v>
      </c>
      <c r="D4215" t="s">
        <v>2923</v>
      </c>
      <c r="E4215" cm="1">
        <f t="array" ref="E4215">_xlfn.XLOOKUP(D4215,SKU_Master!A:A,SKU_Master!B:B,"Not on master")</f>
        <v>0</v>
      </c>
      <c r="F4215" cm="1">
        <f t="array" ref="F4215">_xlfn.XLOOKUP(C4215,Account_Master!A:A,Account_Master!B:B,"Not on master")</f>
        <v>0</v>
      </c>
      <c r="G4215" cm="1">
        <f t="array" ref="G4215">_xlfn.XLOOKUP(C4215,Account_Master!A:A,Account_Master!C:C,"Not on master")</f>
        <v>0</v>
      </c>
      <c r="H4215" s="6">
        <v>13.5</v>
      </c>
      <c r="I4215" s="6">
        <v>13.5</v>
      </c>
      <c r="J4215" s="6">
        <f>I4215-H4215</f>
        <v>0</v>
      </c>
      <c r="K4215" s="5">
        <f>IF(H4215=0,"",J4215/H4215)</f>
        <v>0</v>
      </c>
      <c r="L4215">
        <f>IF(OR(AND(H4215=0,ABS(J4215)&gt;=0.01),AND(H4215&lt;&gt;0,ABS(K4215)&gt;VarianceThreshold)),"Review","OK")</f>
        <v>0</v>
      </c>
      <c r="M4215" t="s">
        <v>33</v>
      </c>
    </row>
    <row r="4216" spans="1:13">
      <c r="A4216" t="s">
        <v>6</v>
      </c>
      <c r="B4216" t="s">
        <v>719</v>
      </c>
      <c r="C4216" t="s">
        <v>33</v>
      </c>
      <c r="D4216" t="s">
        <v>3286</v>
      </c>
      <c r="E4216" cm="1">
        <f t="array" ref="E4216">_xlfn.XLOOKUP(D4216,SKU_Master!A:A,SKU_Master!B:B,"Not on master")</f>
        <v>0</v>
      </c>
      <c r="F4216" cm="1">
        <f t="array" ref="F4216">_xlfn.XLOOKUP(C4216,Account_Master!A:A,Account_Master!B:B,"Not on master")</f>
        <v>0</v>
      </c>
      <c r="G4216" cm="1">
        <f t="array" ref="G4216">_xlfn.XLOOKUP(C4216,Account_Master!A:A,Account_Master!C:C,"Not on master")</f>
        <v>0</v>
      </c>
      <c r="H4216" s="6">
        <v>0</v>
      </c>
      <c r="I4216" s="6">
        <v>1.2</v>
      </c>
      <c r="J4216" s="6">
        <f>I4216-H4216</f>
        <v>0</v>
      </c>
      <c r="K4216" s="5">
        <f>IF(H4216=0,"",J4216/H4216)</f>
        <v>0</v>
      </c>
      <c r="L4216">
        <f>IF(OR(AND(H4216=0,ABS(J4216)&gt;=0.01),AND(H4216&lt;&gt;0,ABS(K4216)&gt;VarianceThreshold)),"Review","OK")</f>
        <v>0</v>
      </c>
      <c r="M4216" t="s">
        <v>3038</v>
      </c>
    </row>
    <row r="4217" spans="1:13">
      <c r="A4217" t="s">
        <v>6</v>
      </c>
      <c r="B4217" t="s">
        <v>727</v>
      </c>
      <c r="C4217" t="s">
        <v>3084</v>
      </c>
      <c r="D4217" t="s">
        <v>2161</v>
      </c>
      <c r="E4217" cm="1">
        <f t="array" ref="E4217">_xlfn.XLOOKUP(D4217,SKU_Master!A:A,SKU_Master!B:B,"Not on master")</f>
        <v>0</v>
      </c>
      <c r="F4217" cm="1">
        <f t="array" ref="F4217">_xlfn.XLOOKUP(C4217,Account_Master!A:A,Account_Master!B:B,"Not on master")</f>
        <v>0</v>
      </c>
      <c r="G4217" cm="1">
        <f t="array" ref="G4217">_xlfn.XLOOKUP(C4217,Account_Master!A:A,Account_Master!C:C,"Not on master")</f>
        <v>0</v>
      </c>
      <c r="H4217" s="6">
        <v>4.5</v>
      </c>
      <c r="I4217" s="6">
        <v>4.5</v>
      </c>
      <c r="J4217" s="6">
        <f>I4217-H4217</f>
        <v>0</v>
      </c>
      <c r="K4217" s="5">
        <f>IF(H4217=0,"",J4217/H4217)</f>
        <v>0</v>
      </c>
      <c r="L4217">
        <f>IF(OR(AND(H4217=0,ABS(J4217)&gt;=0.01),AND(H4217&lt;&gt;0,ABS(K4217)&gt;VarianceThreshold)),"Review","OK")</f>
        <v>0</v>
      </c>
      <c r="M4217" t="s">
        <v>33</v>
      </c>
    </row>
    <row r="4218" spans="1:13">
      <c r="A4218" t="s">
        <v>6</v>
      </c>
      <c r="B4218" t="s">
        <v>727</v>
      </c>
      <c r="C4218" t="s">
        <v>33</v>
      </c>
      <c r="D4218" t="s">
        <v>3287</v>
      </c>
      <c r="E4218" cm="1">
        <f t="array" ref="E4218">_xlfn.XLOOKUP(D4218,SKU_Master!A:A,SKU_Master!B:B,"Not on master")</f>
        <v>0</v>
      </c>
      <c r="F4218" cm="1">
        <f t="array" ref="F4218">_xlfn.XLOOKUP(C4218,Account_Master!A:A,Account_Master!B:B,"Not on master")</f>
        <v>0</v>
      </c>
      <c r="G4218" cm="1">
        <f t="array" ref="G4218">_xlfn.XLOOKUP(C4218,Account_Master!A:A,Account_Master!C:C,"Not on master")</f>
        <v>0</v>
      </c>
      <c r="H4218" s="6">
        <v>0</v>
      </c>
      <c r="I4218" s="6">
        <v>0.75</v>
      </c>
      <c r="J4218" s="6">
        <f>I4218-H4218</f>
        <v>0</v>
      </c>
      <c r="K4218" s="5">
        <f>IF(H4218=0,"",J4218/H4218)</f>
        <v>0</v>
      </c>
      <c r="L4218">
        <f>IF(OR(AND(H4218=0,ABS(J4218)&gt;=0.01),AND(H4218&lt;&gt;0,ABS(K4218)&gt;VarianceThreshold)),"Review","OK")</f>
        <v>0</v>
      </c>
      <c r="M4218" t="s">
        <v>3038</v>
      </c>
    </row>
    <row r="4219" spans="1:13">
      <c r="A4219" t="s">
        <v>6</v>
      </c>
      <c r="B4219" t="s">
        <v>727</v>
      </c>
      <c r="C4219" t="s">
        <v>33</v>
      </c>
      <c r="D4219" t="s">
        <v>3288</v>
      </c>
      <c r="E4219" cm="1">
        <f t="array" ref="E4219">_xlfn.XLOOKUP(D4219,SKU_Master!A:A,SKU_Master!B:B,"Not on master")</f>
        <v>0</v>
      </c>
      <c r="F4219" cm="1">
        <f t="array" ref="F4219">_xlfn.XLOOKUP(C4219,Account_Master!A:A,Account_Master!B:B,"Not on master")</f>
        <v>0</v>
      </c>
      <c r="G4219" cm="1">
        <f t="array" ref="G4219">_xlfn.XLOOKUP(C4219,Account_Master!A:A,Account_Master!C:C,"Not on master")</f>
        <v>0</v>
      </c>
      <c r="H4219" s="6">
        <v>0</v>
      </c>
      <c r="I4219" s="6">
        <v>10.5</v>
      </c>
      <c r="J4219" s="6">
        <f>I4219-H4219</f>
        <v>0</v>
      </c>
      <c r="K4219" s="5">
        <f>IF(H4219=0,"",J4219/H4219)</f>
        <v>0</v>
      </c>
      <c r="L4219">
        <f>IF(OR(AND(H4219=0,ABS(J4219)&gt;=0.01),AND(H4219&lt;&gt;0,ABS(K4219)&gt;VarianceThreshold)),"Review","OK")</f>
        <v>0</v>
      </c>
      <c r="M4219" t="s">
        <v>3038</v>
      </c>
    </row>
    <row r="4220" spans="1:13">
      <c r="A4220" t="s">
        <v>6</v>
      </c>
      <c r="B4220" t="s">
        <v>727</v>
      </c>
      <c r="C4220" t="s">
        <v>33</v>
      </c>
      <c r="D4220" t="s">
        <v>3289</v>
      </c>
      <c r="E4220" cm="1">
        <f t="array" ref="E4220">_xlfn.XLOOKUP(D4220,SKU_Master!A:A,SKU_Master!B:B,"Not on master")</f>
        <v>0</v>
      </c>
      <c r="F4220" cm="1">
        <f t="array" ref="F4220">_xlfn.XLOOKUP(C4220,Account_Master!A:A,Account_Master!B:B,"Not on master")</f>
        <v>0</v>
      </c>
      <c r="G4220" cm="1">
        <f t="array" ref="G4220">_xlfn.XLOOKUP(C4220,Account_Master!A:A,Account_Master!C:C,"Not on master")</f>
        <v>0</v>
      </c>
      <c r="H4220" s="6">
        <v>0</v>
      </c>
      <c r="I4220" s="6">
        <v>4.5</v>
      </c>
      <c r="J4220" s="6">
        <f>I4220-H4220</f>
        <v>0</v>
      </c>
      <c r="K4220" s="5">
        <f>IF(H4220=0,"",J4220/H4220)</f>
        <v>0</v>
      </c>
      <c r="L4220">
        <f>IF(OR(AND(H4220=0,ABS(J4220)&gt;=0.01),AND(H4220&lt;&gt;0,ABS(K4220)&gt;VarianceThreshold)),"Review","OK")</f>
        <v>0</v>
      </c>
      <c r="M4220" t="s">
        <v>3038</v>
      </c>
    </row>
    <row r="4221" spans="1:13">
      <c r="A4221" t="s">
        <v>6</v>
      </c>
      <c r="B4221" t="s">
        <v>734</v>
      </c>
      <c r="C4221" t="s">
        <v>3054</v>
      </c>
      <c r="D4221" t="s">
        <v>683</v>
      </c>
      <c r="E4221" cm="1">
        <f t="array" ref="E4221">_xlfn.XLOOKUP(D4221,SKU_Master!A:A,SKU_Master!B:B,"Not on master")</f>
        <v>0</v>
      </c>
      <c r="F4221" cm="1">
        <f t="array" ref="F4221">_xlfn.XLOOKUP(C4221,Account_Master!A:A,Account_Master!B:B,"Not on master")</f>
        <v>0</v>
      </c>
      <c r="G4221" cm="1">
        <f t="array" ref="G4221">_xlfn.XLOOKUP(C4221,Account_Master!A:A,Account_Master!C:C,"Not on master")</f>
        <v>0</v>
      </c>
      <c r="H4221" s="6">
        <v>1.6</v>
      </c>
      <c r="I4221" s="6">
        <v>1.6</v>
      </c>
      <c r="J4221" s="6">
        <f>I4221-H4221</f>
        <v>0</v>
      </c>
      <c r="K4221" s="5">
        <f>IF(H4221=0,"",J4221/H4221)</f>
        <v>0</v>
      </c>
      <c r="L4221">
        <f>IF(OR(AND(H4221=0,ABS(J4221)&gt;=0.01),AND(H4221&lt;&gt;0,ABS(K4221)&gt;VarianceThreshold)),"Review","OK")</f>
        <v>0</v>
      </c>
      <c r="M4221" t="s">
        <v>33</v>
      </c>
    </row>
    <row r="4222" spans="1:13">
      <c r="A4222" t="s">
        <v>6</v>
      </c>
      <c r="B4222" t="s">
        <v>734</v>
      </c>
      <c r="C4222" t="s">
        <v>3092</v>
      </c>
      <c r="D4222" t="s">
        <v>837</v>
      </c>
      <c r="E4222" cm="1">
        <f t="array" ref="E4222">_xlfn.XLOOKUP(D4222,SKU_Master!A:A,SKU_Master!B:B,"Not on master")</f>
        <v>0</v>
      </c>
      <c r="F4222" cm="1">
        <f t="array" ref="F4222">_xlfn.XLOOKUP(C4222,Account_Master!A:A,Account_Master!B:B,"Not on master")</f>
        <v>0</v>
      </c>
      <c r="G4222" cm="1">
        <f t="array" ref="G4222">_xlfn.XLOOKUP(C4222,Account_Master!A:A,Account_Master!C:C,"Not on master")</f>
        <v>0</v>
      </c>
      <c r="H4222" s="6">
        <v>0.65</v>
      </c>
      <c r="I4222" s="6">
        <v>0.65</v>
      </c>
      <c r="J4222" s="6">
        <f>I4222-H4222</f>
        <v>0</v>
      </c>
      <c r="K4222" s="5">
        <f>IF(H4222=0,"",J4222/H4222)</f>
        <v>0</v>
      </c>
      <c r="L4222">
        <f>IF(OR(AND(H4222=0,ABS(J4222)&gt;=0.01),AND(H4222&lt;&gt;0,ABS(K4222)&gt;VarianceThreshold)),"Review","OK")</f>
        <v>0</v>
      </c>
      <c r="M4222" t="s">
        <v>33</v>
      </c>
    </row>
    <row r="4223" spans="1:13">
      <c r="A4223" t="s">
        <v>6</v>
      </c>
      <c r="B4223" t="s">
        <v>734</v>
      </c>
      <c r="C4223" t="s">
        <v>3226</v>
      </c>
      <c r="D4223" t="s">
        <v>963</v>
      </c>
      <c r="E4223" cm="1">
        <f t="array" ref="E4223">_xlfn.XLOOKUP(D4223,SKU_Master!A:A,SKU_Master!B:B,"Not on master")</f>
        <v>0</v>
      </c>
      <c r="F4223" cm="1">
        <f t="array" ref="F4223">_xlfn.XLOOKUP(C4223,Account_Master!A:A,Account_Master!B:B,"Not on master")</f>
        <v>0</v>
      </c>
      <c r="G4223" cm="1">
        <f t="array" ref="G4223">_xlfn.XLOOKUP(C4223,Account_Master!A:A,Account_Master!C:C,"Not on master")</f>
        <v>0</v>
      </c>
      <c r="H4223" s="6">
        <v>272</v>
      </c>
      <c r="I4223" s="6">
        <v>236</v>
      </c>
      <c r="J4223" s="6">
        <f>I4223-H4223</f>
        <v>0</v>
      </c>
      <c r="K4223" s="5">
        <f>IF(H4223=0,"",J4223/H4223)</f>
        <v>0</v>
      </c>
      <c r="L4223">
        <f>IF(OR(AND(H4223=0,ABS(J4223)&gt;=0.01),AND(H4223&lt;&gt;0,ABS(K4223)&gt;VarianceThreshold)),"Review","OK")</f>
        <v>0</v>
      </c>
      <c r="M4223" t="s">
        <v>3038</v>
      </c>
    </row>
    <row r="4224" spans="1:13">
      <c r="A4224" t="s">
        <v>6</v>
      </c>
      <c r="B4224" t="s">
        <v>734</v>
      </c>
      <c r="C4224" t="s">
        <v>3021</v>
      </c>
      <c r="D4224" t="s">
        <v>2606</v>
      </c>
      <c r="E4224" cm="1">
        <f t="array" ref="E4224">_xlfn.XLOOKUP(D4224,SKU_Master!A:A,SKU_Master!B:B,"Not on master")</f>
        <v>0</v>
      </c>
      <c r="F4224" cm="1">
        <f t="array" ref="F4224">_xlfn.XLOOKUP(C4224,Account_Master!A:A,Account_Master!B:B,"Not on master")</f>
        <v>0</v>
      </c>
      <c r="G4224" cm="1">
        <f t="array" ref="G4224">_xlfn.XLOOKUP(C4224,Account_Master!A:A,Account_Master!C:C,"Not on master")</f>
        <v>0</v>
      </c>
      <c r="H4224" s="6">
        <v>12</v>
      </c>
      <c r="I4224" s="6">
        <v>12</v>
      </c>
      <c r="J4224" s="6">
        <f>I4224-H4224</f>
        <v>0</v>
      </c>
      <c r="K4224" s="5">
        <f>IF(H4224=0,"",J4224/H4224)</f>
        <v>0</v>
      </c>
      <c r="L4224">
        <f>IF(OR(AND(H4224=0,ABS(J4224)&gt;=0.01),AND(H4224&lt;&gt;0,ABS(K4224)&gt;VarianceThreshold)),"Review","OK")</f>
        <v>0</v>
      </c>
      <c r="M4224" t="s">
        <v>33</v>
      </c>
    </row>
    <row r="4225" spans="1:13">
      <c r="A4225" t="s">
        <v>6</v>
      </c>
      <c r="B4225" t="s">
        <v>734</v>
      </c>
      <c r="C4225" t="s">
        <v>3054</v>
      </c>
      <c r="D4225" t="s">
        <v>3290</v>
      </c>
      <c r="E4225" cm="1">
        <f t="array" ref="E4225">_xlfn.XLOOKUP(D4225,SKU_Master!A:A,SKU_Master!B:B,"Not on master")</f>
        <v>0</v>
      </c>
      <c r="F4225" cm="1">
        <f t="array" ref="F4225">_xlfn.XLOOKUP(C4225,Account_Master!A:A,Account_Master!B:B,"Not on master")</f>
        <v>0</v>
      </c>
      <c r="G4225" cm="1">
        <f t="array" ref="G4225">_xlfn.XLOOKUP(C4225,Account_Master!A:A,Account_Master!C:C,"Not on master")</f>
        <v>0</v>
      </c>
      <c r="H4225" s="6">
        <v>4.5</v>
      </c>
      <c r="I4225" s="6">
        <v>4.5</v>
      </c>
      <c r="J4225" s="6">
        <f>I4225-H4225</f>
        <v>0</v>
      </c>
      <c r="K4225" s="5">
        <f>IF(H4225=0,"",J4225/H4225)</f>
        <v>0</v>
      </c>
      <c r="L4225">
        <f>IF(OR(AND(H4225=0,ABS(J4225)&gt;=0.01),AND(H4225&lt;&gt;0,ABS(K4225)&gt;VarianceThreshold)),"Review","OK")</f>
        <v>0</v>
      </c>
      <c r="M4225" t="s">
        <v>33</v>
      </c>
    </row>
    <row r="4226" spans="1:13">
      <c r="A4226" t="s">
        <v>6</v>
      </c>
      <c r="B4226" t="s">
        <v>734</v>
      </c>
      <c r="C4226" t="s">
        <v>3021</v>
      </c>
      <c r="D4226" t="s">
        <v>3291</v>
      </c>
      <c r="E4226" cm="1">
        <f t="array" ref="E4226">_xlfn.XLOOKUP(D4226,SKU_Master!A:A,SKU_Master!B:B,"Not on master")</f>
        <v>0</v>
      </c>
      <c r="F4226" cm="1">
        <f t="array" ref="F4226">_xlfn.XLOOKUP(C4226,Account_Master!A:A,Account_Master!B:B,"Not on master")</f>
        <v>0</v>
      </c>
      <c r="G4226" cm="1">
        <f t="array" ref="G4226">_xlfn.XLOOKUP(C4226,Account_Master!A:A,Account_Master!C:C,"Not on master")</f>
        <v>0</v>
      </c>
      <c r="H4226" s="6">
        <v>13.5</v>
      </c>
      <c r="I4226" s="6">
        <v>13.5</v>
      </c>
      <c r="J4226" s="6">
        <f>I4226-H4226</f>
        <v>0</v>
      </c>
      <c r="K4226" s="5">
        <f>IF(H4226=0,"",J4226/H4226)</f>
        <v>0</v>
      </c>
      <c r="L4226">
        <f>IF(OR(AND(H4226=0,ABS(J4226)&gt;=0.01),AND(H4226&lt;&gt;0,ABS(K4226)&gt;VarianceThreshold)),"Review","OK")</f>
        <v>0</v>
      </c>
      <c r="M4226" t="s">
        <v>33</v>
      </c>
    </row>
    <row r="4227" spans="1:13">
      <c r="A4227" t="s">
        <v>6</v>
      </c>
      <c r="B4227" t="s">
        <v>734</v>
      </c>
      <c r="C4227" t="s">
        <v>3292</v>
      </c>
      <c r="D4227" t="s">
        <v>3293</v>
      </c>
      <c r="E4227" cm="1">
        <f t="array" ref="E4227">_xlfn.XLOOKUP(D4227,SKU_Master!A:A,SKU_Master!B:B,"Not on master")</f>
        <v>0</v>
      </c>
      <c r="F4227" cm="1">
        <f t="array" ref="F4227">_xlfn.XLOOKUP(C4227,Account_Master!A:A,Account_Master!B:B,"Not on master")</f>
        <v>0</v>
      </c>
      <c r="G4227" cm="1">
        <f t="array" ref="G4227">_xlfn.XLOOKUP(C4227,Account_Master!A:A,Account_Master!C:C,"Not on master")</f>
        <v>0</v>
      </c>
      <c r="H4227" s="6">
        <v>1.12</v>
      </c>
      <c r="I4227" s="6">
        <v>1.12</v>
      </c>
      <c r="J4227" s="6">
        <f>I4227-H4227</f>
        <v>0</v>
      </c>
      <c r="K4227" s="5">
        <f>IF(H4227=0,"",J4227/H4227)</f>
        <v>0</v>
      </c>
      <c r="L4227">
        <f>IF(OR(AND(H4227=0,ABS(J4227)&gt;=0.01),AND(H4227&lt;&gt;0,ABS(K4227)&gt;VarianceThreshold)),"Review","OK")</f>
        <v>0</v>
      </c>
      <c r="M4227" t="s">
        <v>33</v>
      </c>
    </row>
    <row r="4228" spans="1:13">
      <c r="A4228" t="s">
        <v>6</v>
      </c>
      <c r="B4228" t="s">
        <v>734</v>
      </c>
      <c r="C4228" t="s">
        <v>3032</v>
      </c>
      <c r="D4228" t="s">
        <v>3294</v>
      </c>
      <c r="E4228" cm="1">
        <f t="array" ref="E4228">_xlfn.XLOOKUP(D4228,SKU_Master!A:A,SKU_Master!B:B,"Not on master")</f>
        <v>0</v>
      </c>
      <c r="F4228" cm="1">
        <f t="array" ref="F4228">_xlfn.XLOOKUP(C4228,Account_Master!A:A,Account_Master!B:B,"Not on master")</f>
        <v>0</v>
      </c>
      <c r="G4228" cm="1">
        <f t="array" ref="G4228">_xlfn.XLOOKUP(C4228,Account_Master!A:A,Account_Master!C:C,"Not on master")</f>
        <v>0</v>
      </c>
      <c r="H4228" s="6">
        <v>16.5</v>
      </c>
      <c r="I4228" s="6">
        <v>16.5</v>
      </c>
      <c r="J4228" s="6">
        <f>I4228-H4228</f>
        <v>0</v>
      </c>
      <c r="K4228" s="5">
        <f>IF(H4228=0,"",J4228/H4228)</f>
        <v>0</v>
      </c>
      <c r="L4228">
        <f>IF(OR(AND(H4228=0,ABS(J4228)&gt;=0.01),AND(H4228&lt;&gt;0,ABS(K4228)&gt;VarianceThreshold)),"Review","OK")</f>
        <v>0</v>
      </c>
      <c r="M4228" t="s">
        <v>33</v>
      </c>
    </row>
    <row r="4229" spans="1:13">
      <c r="A4229" t="s">
        <v>6</v>
      </c>
      <c r="B4229" t="s">
        <v>734</v>
      </c>
      <c r="C4229" t="s">
        <v>3128</v>
      </c>
      <c r="D4229" t="s">
        <v>2050</v>
      </c>
      <c r="E4229" cm="1">
        <f t="array" ref="E4229">_xlfn.XLOOKUP(D4229,SKU_Master!A:A,SKU_Master!B:B,"Not on master")</f>
        <v>0</v>
      </c>
      <c r="F4229" cm="1">
        <f t="array" ref="F4229">_xlfn.XLOOKUP(C4229,Account_Master!A:A,Account_Master!B:B,"Not on master")</f>
        <v>0</v>
      </c>
      <c r="G4229" cm="1">
        <f t="array" ref="G4229">_xlfn.XLOOKUP(C4229,Account_Master!A:A,Account_Master!C:C,"Not on master")</f>
        <v>0</v>
      </c>
      <c r="H4229" s="6">
        <v>27</v>
      </c>
      <c r="I4229" s="6">
        <v>27</v>
      </c>
      <c r="J4229" s="6">
        <f>I4229-H4229</f>
        <v>0</v>
      </c>
      <c r="K4229" s="5">
        <f>IF(H4229=0,"",J4229/H4229)</f>
        <v>0</v>
      </c>
      <c r="L4229">
        <f>IF(OR(AND(H4229=0,ABS(J4229)&gt;=0.01),AND(H4229&lt;&gt;0,ABS(K4229)&gt;VarianceThreshold)),"Review","OK")</f>
        <v>0</v>
      </c>
      <c r="M4229" t="s">
        <v>33</v>
      </c>
    </row>
    <row r="4230" spans="1:13">
      <c r="A4230" t="s">
        <v>6</v>
      </c>
      <c r="B4230" t="s">
        <v>734</v>
      </c>
      <c r="C4230" t="s">
        <v>33</v>
      </c>
      <c r="D4230" t="s">
        <v>3295</v>
      </c>
      <c r="E4230" cm="1">
        <f t="array" ref="E4230">_xlfn.XLOOKUP(D4230,SKU_Master!A:A,SKU_Master!B:B,"Not on master")</f>
        <v>0</v>
      </c>
      <c r="F4230" cm="1">
        <f t="array" ref="F4230">_xlfn.XLOOKUP(C4230,Account_Master!A:A,Account_Master!B:B,"Not on master")</f>
        <v>0</v>
      </c>
      <c r="G4230" cm="1">
        <f t="array" ref="G4230">_xlfn.XLOOKUP(C4230,Account_Master!A:A,Account_Master!C:C,"Not on master")</f>
        <v>0</v>
      </c>
      <c r="H4230" s="6">
        <v>0</v>
      </c>
      <c r="I4230" s="6">
        <v>9</v>
      </c>
      <c r="J4230" s="6">
        <f>I4230-H4230</f>
        <v>0</v>
      </c>
      <c r="K4230" s="5">
        <f>IF(H4230=0,"",J4230/H4230)</f>
        <v>0</v>
      </c>
      <c r="L4230">
        <f>IF(OR(AND(H4230=0,ABS(J4230)&gt;=0.01),AND(H4230&lt;&gt;0,ABS(K4230)&gt;VarianceThreshold)),"Review","OK")</f>
        <v>0</v>
      </c>
      <c r="M4230" t="s">
        <v>3038</v>
      </c>
    </row>
    <row r="4231" spans="1:13">
      <c r="A4231" t="s">
        <v>6</v>
      </c>
      <c r="B4231" t="s">
        <v>734</v>
      </c>
      <c r="C4231" t="s">
        <v>33</v>
      </c>
      <c r="D4231" t="s">
        <v>3296</v>
      </c>
      <c r="E4231" cm="1">
        <f t="array" ref="E4231">_xlfn.XLOOKUP(D4231,SKU_Master!A:A,SKU_Master!B:B,"Not on master")</f>
        <v>0</v>
      </c>
      <c r="F4231" cm="1">
        <f t="array" ref="F4231">_xlfn.XLOOKUP(C4231,Account_Master!A:A,Account_Master!B:B,"Not on master")</f>
        <v>0</v>
      </c>
      <c r="G4231" cm="1">
        <f t="array" ref="G4231">_xlfn.XLOOKUP(C4231,Account_Master!A:A,Account_Master!C:C,"Not on master")</f>
        <v>0</v>
      </c>
      <c r="H4231" s="6">
        <v>0</v>
      </c>
      <c r="I4231" s="6">
        <v>2.25</v>
      </c>
      <c r="J4231" s="6">
        <f>I4231-H4231</f>
        <v>0</v>
      </c>
      <c r="K4231" s="5">
        <f>IF(H4231=0,"",J4231/H4231)</f>
        <v>0</v>
      </c>
      <c r="L4231">
        <f>IF(OR(AND(H4231=0,ABS(J4231)&gt;=0.01),AND(H4231&lt;&gt;0,ABS(K4231)&gt;VarianceThreshold)),"Review","OK")</f>
        <v>0</v>
      </c>
      <c r="M4231" t="s">
        <v>3038</v>
      </c>
    </row>
    <row r="4232" spans="1:13">
      <c r="A4232" t="s">
        <v>6</v>
      </c>
      <c r="B4232" t="s">
        <v>746</v>
      </c>
      <c r="C4232" t="s">
        <v>3297</v>
      </c>
      <c r="D4232" t="s">
        <v>1372</v>
      </c>
      <c r="E4232" cm="1">
        <f t="array" ref="E4232">_xlfn.XLOOKUP(D4232,SKU_Master!A:A,SKU_Master!B:B,"Not on master")</f>
        <v>0</v>
      </c>
      <c r="F4232" cm="1">
        <f t="array" ref="F4232">_xlfn.XLOOKUP(C4232,Account_Master!A:A,Account_Master!B:B,"Not on master")</f>
        <v>0</v>
      </c>
      <c r="G4232" cm="1">
        <f t="array" ref="G4232">_xlfn.XLOOKUP(C4232,Account_Master!A:A,Account_Master!C:C,"Not on master")</f>
        <v>0</v>
      </c>
      <c r="H4232" s="6">
        <v>4.8</v>
      </c>
      <c r="I4232" s="6">
        <v>4.8</v>
      </c>
      <c r="J4232" s="6">
        <f>I4232-H4232</f>
        <v>0</v>
      </c>
      <c r="K4232" s="5">
        <f>IF(H4232=0,"",J4232/H4232)</f>
        <v>0</v>
      </c>
      <c r="L4232">
        <f>IF(OR(AND(H4232=0,ABS(J4232)&gt;=0.01),AND(H4232&lt;&gt;0,ABS(K4232)&gt;VarianceThreshold)),"Review","OK")</f>
        <v>0</v>
      </c>
      <c r="M4232" t="s">
        <v>33</v>
      </c>
    </row>
    <row r="4233" spans="1:13">
      <c r="A4233" t="s">
        <v>6</v>
      </c>
      <c r="B4233" t="s">
        <v>746</v>
      </c>
      <c r="C4233" t="s">
        <v>3145</v>
      </c>
      <c r="D4233" t="s">
        <v>888</v>
      </c>
      <c r="E4233" cm="1">
        <f t="array" ref="E4233">_xlfn.XLOOKUP(D4233,SKU_Master!A:A,SKU_Master!B:B,"Not on master")</f>
        <v>0</v>
      </c>
      <c r="F4233" cm="1">
        <f t="array" ref="F4233">_xlfn.XLOOKUP(C4233,Account_Master!A:A,Account_Master!B:B,"Not on master")</f>
        <v>0</v>
      </c>
      <c r="G4233" cm="1">
        <f t="array" ref="G4233">_xlfn.XLOOKUP(C4233,Account_Master!A:A,Account_Master!C:C,"Not on master")</f>
        <v>0</v>
      </c>
      <c r="H4233" s="6">
        <v>4.5</v>
      </c>
      <c r="I4233" s="6">
        <v>4.5</v>
      </c>
      <c r="J4233" s="6">
        <f>I4233-H4233</f>
        <v>0</v>
      </c>
      <c r="K4233" s="5">
        <f>IF(H4233=0,"",J4233/H4233)</f>
        <v>0</v>
      </c>
      <c r="L4233">
        <f>IF(OR(AND(H4233=0,ABS(J4233)&gt;=0.01),AND(H4233&lt;&gt;0,ABS(K4233)&gt;VarianceThreshold)),"Review","OK")</f>
        <v>0</v>
      </c>
      <c r="M4233" t="s">
        <v>33</v>
      </c>
    </row>
    <row r="4234" spans="1:13">
      <c r="A4234" t="s">
        <v>6</v>
      </c>
      <c r="B4234" t="s">
        <v>746</v>
      </c>
      <c r="C4234" t="s">
        <v>3225</v>
      </c>
      <c r="D4234" t="s">
        <v>2901</v>
      </c>
      <c r="E4234" cm="1">
        <f t="array" ref="E4234">_xlfn.XLOOKUP(D4234,SKU_Master!A:A,SKU_Master!B:B,"Not on master")</f>
        <v>0</v>
      </c>
      <c r="F4234" cm="1">
        <f t="array" ref="F4234">_xlfn.XLOOKUP(C4234,Account_Master!A:A,Account_Master!B:B,"Not on master")</f>
        <v>0</v>
      </c>
      <c r="G4234" cm="1">
        <f t="array" ref="G4234">_xlfn.XLOOKUP(C4234,Account_Master!A:A,Account_Master!C:C,"Not on master")</f>
        <v>0</v>
      </c>
      <c r="H4234" s="6">
        <v>0.25</v>
      </c>
      <c r="I4234" s="6">
        <v>0.25</v>
      </c>
      <c r="J4234" s="6">
        <f>I4234-H4234</f>
        <v>0</v>
      </c>
      <c r="K4234" s="5">
        <f>IF(H4234=0,"",J4234/H4234)</f>
        <v>0</v>
      </c>
      <c r="L4234">
        <f>IF(OR(AND(H4234=0,ABS(J4234)&gt;=0.01),AND(H4234&lt;&gt;0,ABS(K4234)&gt;VarianceThreshold)),"Review","OK")</f>
        <v>0</v>
      </c>
      <c r="M4234" t="s">
        <v>33</v>
      </c>
    </row>
    <row r="4235" spans="1:13">
      <c r="A4235" t="s">
        <v>6</v>
      </c>
      <c r="B4235" t="s">
        <v>746</v>
      </c>
      <c r="C4235" t="s">
        <v>3039</v>
      </c>
      <c r="D4235" t="s">
        <v>1287</v>
      </c>
      <c r="E4235" cm="1">
        <f t="array" ref="E4235">_xlfn.XLOOKUP(D4235,SKU_Master!A:A,SKU_Master!B:B,"Not on master")</f>
        <v>0</v>
      </c>
      <c r="F4235" cm="1">
        <f t="array" ref="F4235">_xlfn.XLOOKUP(C4235,Account_Master!A:A,Account_Master!B:B,"Not on master")</f>
        <v>0</v>
      </c>
      <c r="G4235" cm="1">
        <f t="array" ref="G4235">_xlfn.XLOOKUP(C4235,Account_Master!A:A,Account_Master!C:C,"Not on master")</f>
        <v>0</v>
      </c>
      <c r="H4235" s="6">
        <v>31.5</v>
      </c>
      <c r="I4235" s="6">
        <v>31.5</v>
      </c>
      <c r="J4235" s="6">
        <f>I4235-H4235</f>
        <v>0</v>
      </c>
      <c r="K4235" s="5">
        <f>IF(H4235=0,"",J4235/H4235)</f>
        <v>0</v>
      </c>
      <c r="L4235">
        <f>IF(OR(AND(H4235=0,ABS(J4235)&gt;=0.01),AND(H4235&lt;&gt;0,ABS(K4235)&gt;VarianceThreshold)),"Review","OK")</f>
        <v>0</v>
      </c>
      <c r="M4235" t="s">
        <v>33</v>
      </c>
    </row>
    <row r="4236" spans="1:13">
      <c r="A4236" t="s">
        <v>6</v>
      </c>
      <c r="B4236" t="s">
        <v>746</v>
      </c>
      <c r="C4236" t="s">
        <v>3089</v>
      </c>
      <c r="D4236" t="s">
        <v>3298</v>
      </c>
      <c r="E4236" cm="1">
        <f t="array" ref="E4236">_xlfn.XLOOKUP(D4236,SKU_Master!A:A,SKU_Master!B:B,"Not on master")</f>
        <v>0</v>
      </c>
      <c r="F4236" cm="1">
        <f t="array" ref="F4236">_xlfn.XLOOKUP(C4236,Account_Master!A:A,Account_Master!B:B,"Not on master")</f>
        <v>0</v>
      </c>
      <c r="G4236" cm="1">
        <f t="array" ref="G4236">_xlfn.XLOOKUP(C4236,Account_Master!A:A,Account_Master!C:C,"Not on master")</f>
        <v>0</v>
      </c>
      <c r="H4236" s="6">
        <v>2.25</v>
      </c>
      <c r="I4236" s="6">
        <v>2.25</v>
      </c>
      <c r="J4236" s="6">
        <f>I4236-H4236</f>
        <v>0</v>
      </c>
      <c r="K4236" s="5">
        <f>IF(H4236=0,"",J4236/H4236)</f>
        <v>0</v>
      </c>
      <c r="L4236">
        <f>IF(OR(AND(H4236=0,ABS(J4236)&gt;=0.01),AND(H4236&lt;&gt;0,ABS(K4236)&gt;VarianceThreshold)),"Review","OK")</f>
        <v>0</v>
      </c>
      <c r="M4236" t="s">
        <v>33</v>
      </c>
    </row>
    <row r="4237" spans="1:13">
      <c r="A4237" t="s">
        <v>6</v>
      </c>
      <c r="B4237" t="s">
        <v>746</v>
      </c>
      <c r="C4237" t="s">
        <v>33</v>
      </c>
      <c r="D4237" t="s">
        <v>3299</v>
      </c>
      <c r="E4237" cm="1">
        <f t="array" ref="E4237">_xlfn.XLOOKUP(D4237,SKU_Master!A:A,SKU_Master!B:B,"Not on master")</f>
        <v>0</v>
      </c>
      <c r="F4237" cm="1">
        <f t="array" ref="F4237">_xlfn.XLOOKUP(C4237,Account_Master!A:A,Account_Master!B:B,"Not on master")</f>
        <v>0</v>
      </c>
      <c r="G4237" cm="1">
        <f t="array" ref="G4237">_xlfn.XLOOKUP(C4237,Account_Master!A:A,Account_Master!C:C,"Not on master")</f>
        <v>0</v>
      </c>
      <c r="H4237" s="6">
        <v>0</v>
      </c>
      <c r="I4237" s="6">
        <v>10.5</v>
      </c>
      <c r="J4237" s="6">
        <f>I4237-H4237</f>
        <v>0</v>
      </c>
      <c r="K4237" s="5">
        <f>IF(H4237=0,"",J4237/H4237)</f>
        <v>0</v>
      </c>
      <c r="L4237">
        <f>IF(OR(AND(H4237=0,ABS(J4237)&gt;=0.01),AND(H4237&lt;&gt;0,ABS(K4237)&gt;VarianceThreshold)),"Review","OK")</f>
        <v>0</v>
      </c>
      <c r="M4237" t="s">
        <v>3038</v>
      </c>
    </row>
    <row r="4238" spans="1:13">
      <c r="A4238" t="s">
        <v>6</v>
      </c>
      <c r="B4238" t="s">
        <v>755</v>
      </c>
      <c r="C4238" t="s">
        <v>3039</v>
      </c>
      <c r="D4238" t="s">
        <v>1141</v>
      </c>
      <c r="E4238" cm="1">
        <f t="array" ref="E4238">_xlfn.XLOOKUP(D4238,SKU_Master!A:A,SKU_Master!B:B,"Not on master")</f>
        <v>0</v>
      </c>
      <c r="F4238" cm="1">
        <f t="array" ref="F4238">_xlfn.XLOOKUP(C4238,Account_Master!A:A,Account_Master!B:B,"Not on master")</f>
        <v>0</v>
      </c>
      <c r="G4238" cm="1">
        <f t="array" ref="G4238">_xlfn.XLOOKUP(C4238,Account_Master!A:A,Account_Master!C:C,"Not on master")</f>
        <v>0</v>
      </c>
      <c r="H4238" s="6">
        <v>0.05</v>
      </c>
      <c r="I4238" s="6">
        <v>0.05</v>
      </c>
      <c r="J4238" s="6">
        <f>I4238-H4238</f>
        <v>0</v>
      </c>
      <c r="K4238" s="5">
        <f>IF(H4238=0,"",J4238/H4238)</f>
        <v>0</v>
      </c>
      <c r="L4238">
        <f>IF(OR(AND(H4238=0,ABS(J4238)&gt;=0.01),AND(H4238&lt;&gt;0,ABS(K4238)&gt;VarianceThreshold)),"Review","OK")</f>
        <v>0</v>
      </c>
      <c r="M4238" t="s">
        <v>33</v>
      </c>
    </row>
    <row r="4239" spans="1:13">
      <c r="A4239" t="s">
        <v>6</v>
      </c>
      <c r="B4239" t="s">
        <v>755</v>
      </c>
      <c r="C4239" t="s">
        <v>3054</v>
      </c>
      <c r="D4239" t="s">
        <v>704</v>
      </c>
      <c r="E4239" cm="1">
        <f t="array" ref="E4239">_xlfn.XLOOKUP(D4239,SKU_Master!A:A,SKU_Master!B:B,"Not on master")</f>
        <v>0</v>
      </c>
      <c r="F4239" cm="1">
        <f t="array" ref="F4239">_xlfn.XLOOKUP(C4239,Account_Master!A:A,Account_Master!B:B,"Not on master")</f>
        <v>0</v>
      </c>
      <c r="G4239" cm="1">
        <f t="array" ref="G4239">_xlfn.XLOOKUP(C4239,Account_Master!A:A,Account_Master!C:C,"Not on master")</f>
        <v>0</v>
      </c>
      <c r="H4239" s="6">
        <v>220.5</v>
      </c>
      <c r="I4239" s="6">
        <v>220.5</v>
      </c>
      <c r="J4239" s="6">
        <f>I4239-H4239</f>
        <v>0</v>
      </c>
      <c r="K4239" s="5">
        <f>IF(H4239=0,"",J4239/H4239)</f>
        <v>0</v>
      </c>
      <c r="L4239">
        <f>IF(OR(AND(H4239=0,ABS(J4239)&gt;=0.01),AND(H4239&lt;&gt;0,ABS(K4239)&gt;VarianceThreshold)),"Review","OK")</f>
        <v>0</v>
      </c>
      <c r="M4239" t="s">
        <v>33</v>
      </c>
    </row>
    <row r="4240" spans="1:13">
      <c r="A4240" t="s">
        <v>6</v>
      </c>
      <c r="B4240" t="s">
        <v>755</v>
      </c>
      <c r="C4240" t="s">
        <v>3031</v>
      </c>
      <c r="D4240" t="s">
        <v>2405</v>
      </c>
      <c r="E4240" cm="1">
        <f t="array" ref="E4240">_xlfn.XLOOKUP(D4240,SKU_Master!A:A,SKU_Master!B:B,"Not on master")</f>
        <v>0</v>
      </c>
      <c r="F4240" cm="1">
        <f t="array" ref="F4240">_xlfn.XLOOKUP(C4240,Account_Master!A:A,Account_Master!B:B,"Not on master")</f>
        <v>0</v>
      </c>
      <c r="G4240" cm="1">
        <f t="array" ref="G4240">_xlfn.XLOOKUP(C4240,Account_Master!A:A,Account_Master!C:C,"Not on master")</f>
        <v>0</v>
      </c>
      <c r="H4240" s="6">
        <v>87</v>
      </c>
      <c r="I4240" s="6">
        <v>87</v>
      </c>
      <c r="J4240" s="6">
        <f>I4240-H4240</f>
        <v>0</v>
      </c>
      <c r="K4240" s="5">
        <f>IF(H4240=0,"",J4240/H4240)</f>
        <v>0</v>
      </c>
      <c r="L4240">
        <f>IF(OR(AND(H4240=0,ABS(J4240)&gt;=0.01),AND(H4240&lt;&gt;0,ABS(K4240)&gt;VarianceThreshold)),"Review","OK")</f>
        <v>0</v>
      </c>
      <c r="M4240" t="s">
        <v>33</v>
      </c>
    </row>
    <row r="4241" spans="1:13">
      <c r="A4241" t="s">
        <v>6</v>
      </c>
      <c r="B4241" t="s">
        <v>755</v>
      </c>
      <c r="C4241" t="s">
        <v>3039</v>
      </c>
      <c r="D4241" t="s">
        <v>2024</v>
      </c>
      <c r="E4241" cm="1">
        <f t="array" ref="E4241">_xlfn.XLOOKUP(D4241,SKU_Master!A:A,SKU_Master!B:B,"Not on master")</f>
        <v>0</v>
      </c>
      <c r="F4241" cm="1">
        <f t="array" ref="F4241">_xlfn.XLOOKUP(C4241,Account_Master!A:A,Account_Master!B:B,"Not on master")</f>
        <v>0</v>
      </c>
      <c r="G4241" cm="1">
        <f t="array" ref="G4241">_xlfn.XLOOKUP(C4241,Account_Master!A:A,Account_Master!C:C,"Not on master")</f>
        <v>0</v>
      </c>
      <c r="H4241" s="6">
        <v>36</v>
      </c>
      <c r="I4241" s="6">
        <v>36</v>
      </c>
      <c r="J4241" s="6">
        <f>I4241-H4241</f>
        <v>0</v>
      </c>
      <c r="K4241" s="5">
        <f>IF(H4241=0,"",J4241/H4241)</f>
        <v>0</v>
      </c>
      <c r="L4241">
        <f>IF(OR(AND(H4241=0,ABS(J4241)&gt;=0.01),AND(H4241&lt;&gt;0,ABS(K4241)&gt;VarianceThreshold)),"Review","OK")</f>
        <v>0</v>
      </c>
      <c r="M4241" t="s">
        <v>33</v>
      </c>
    </row>
    <row r="4242" spans="1:13">
      <c r="A4242" t="s">
        <v>6</v>
      </c>
      <c r="B4242" t="s">
        <v>755</v>
      </c>
      <c r="C4242" t="s">
        <v>3041</v>
      </c>
      <c r="D4242" t="s">
        <v>1133</v>
      </c>
      <c r="E4242" cm="1">
        <f t="array" ref="E4242">_xlfn.XLOOKUP(D4242,SKU_Master!A:A,SKU_Master!B:B,"Not on master")</f>
        <v>0</v>
      </c>
      <c r="F4242" cm="1">
        <f t="array" ref="F4242">_xlfn.XLOOKUP(C4242,Account_Master!A:A,Account_Master!B:B,"Not on master")</f>
        <v>0</v>
      </c>
      <c r="G4242" cm="1">
        <f t="array" ref="G4242">_xlfn.XLOOKUP(C4242,Account_Master!A:A,Account_Master!C:C,"Not on master")</f>
        <v>0</v>
      </c>
      <c r="H4242" s="6">
        <v>36</v>
      </c>
      <c r="I4242" s="6">
        <v>36</v>
      </c>
      <c r="J4242" s="6">
        <f>I4242-H4242</f>
        <v>0</v>
      </c>
      <c r="K4242" s="5">
        <f>IF(H4242=0,"",J4242/H4242)</f>
        <v>0</v>
      </c>
      <c r="L4242">
        <f>IF(OR(AND(H4242=0,ABS(J4242)&gt;=0.01),AND(H4242&lt;&gt;0,ABS(K4242)&gt;VarianceThreshold)),"Review","OK")</f>
        <v>0</v>
      </c>
      <c r="M4242" t="s">
        <v>33</v>
      </c>
    </row>
    <row r="4243" spans="1:13">
      <c r="A4243" t="s">
        <v>6</v>
      </c>
      <c r="B4243" t="s">
        <v>755</v>
      </c>
      <c r="C4243" t="s">
        <v>3255</v>
      </c>
      <c r="D4243" t="s">
        <v>1163</v>
      </c>
      <c r="E4243" cm="1">
        <f t="array" ref="E4243">_xlfn.XLOOKUP(D4243,SKU_Master!A:A,SKU_Master!B:B,"Not on master")</f>
        <v>0</v>
      </c>
      <c r="F4243" cm="1">
        <f t="array" ref="F4243">_xlfn.XLOOKUP(C4243,Account_Master!A:A,Account_Master!B:B,"Not on master")</f>
        <v>0</v>
      </c>
      <c r="G4243" cm="1">
        <f t="array" ref="G4243">_xlfn.XLOOKUP(C4243,Account_Master!A:A,Account_Master!C:C,"Not on master")</f>
        <v>0</v>
      </c>
      <c r="H4243" s="6">
        <v>9</v>
      </c>
      <c r="I4243" s="6">
        <v>9</v>
      </c>
      <c r="J4243" s="6">
        <f>I4243-H4243</f>
        <v>0</v>
      </c>
      <c r="K4243" s="5">
        <f>IF(H4243=0,"",J4243/H4243)</f>
        <v>0</v>
      </c>
      <c r="L4243">
        <f>IF(OR(AND(H4243=0,ABS(J4243)&gt;=0.01),AND(H4243&lt;&gt;0,ABS(K4243)&gt;VarianceThreshold)),"Review","OK")</f>
        <v>0</v>
      </c>
      <c r="M4243" t="s">
        <v>33</v>
      </c>
    </row>
    <row r="4244" spans="1:13">
      <c r="A4244" t="s">
        <v>6</v>
      </c>
      <c r="B4244" t="s">
        <v>765</v>
      </c>
      <c r="C4244" t="s">
        <v>3023</v>
      </c>
      <c r="D4244" t="s">
        <v>2044</v>
      </c>
      <c r="E4244" cm="1">
        <f t="array" ref="E4244">_xlfn.XLOOKUP(D4244,SKU_Master!A:A,SKU_Master!B:B,"Not on master")</f>
        <v>0</v>
      </c>
      <c r="F4244" cm="1">
        <f t="array" ref="F4244">_xlfn.XLOOKUP(C4244,Account_Master!A:A,Account_Master!B:B,"Not on master")</f>
        <v>0</v>
      </c>
      <c r="G4244" cm="1">
        <f t="array" ref="G4244">_xlfn.XLOOKUP(C4244,Account_Master!A:A,Account_Master!C:C,"Not on master")</f>
        <v>0</v>
      </c>
      <c r="H4244" s="6">
        <v>10.5</v>
      </c>
      <c r="I4244" s="6">
        <v>10.5</v>
      </c>
      <c r="J4244" s="6">
        <f>I4244-H4244</f>
        <v>0</v>
      </c>
      <c r="K4244" s="5">
        <f>IF(H4244=0,"",J4244/H4244)</f>
        <v>0</v>
      </c>
      <c r="L4244">
        <f>IF(OR(AND(H4244=0,ABS(J4244)&gt;=0.01),AND(H4244&lt;&gt;0,ABS(K4244)&gt;VarianceThreshold)),"Review","OK")</f>
        <v>0</v>
      </c>
      <c r="M4244" t="s">
        <v>33</v>
      </c>
    </row>
    <row r="4245" spans="1:13">
      <c r="A4245" t="s">
        <v>6</v>
      </c>
      <c r="B4245" t="s">
        <v>765</v>
      </c>
      <c r="C4245" t="s">
        <v>3092</v>
      </c>
      <c r="D4245" t="s">
        <v>738</v>
      </c>
      <c r="E4245" cm="1">
        <f t="array" ref="E4245">_xlfn.XLOOKUP(D4245,SKU_Master!A:A,SKU_Master!B:B,"Not on master")</f>
        <v>0</v>
      </c>
      <c r="F4245" cm="1">
        <f t="array" ref="F4245">_xlfn.XLOOKUP(C4245,Account_Master!A:A,Account_Master!B:B,"Not on master")</f>
        <v>0</v>
      </c>
      <c r="G4245" cm="1">
        <f t="array" ref="G4245">_xlfn.XLOOKUP(C4245,Account_Master!A:A,Account_Master!C:C,"Not on master")</f>
        <v>0</v>
      </c>
      <c r="H4245" s="6">
        <v>3</v>
      </c>
      <c r="I4245" s="6">
        <v>3</v>
      </c>
      <c r="J4245" s="6">
        <f>I4245-H4245</f>
        <v>0</v>
      </c>
      <c r="K4245" s="5">
        <f>IF(H4245=0,"",J4245/H4245)</f>
        <v>0</v>
      </c>
      <c r="L4245">
        <f>IF(OR(AND(H4245=0,ABS(J4245)&gt;=0.01),AND(H4245&lt;&gt;0,ABS(K4245)&gt;VarianceThreshold)),"Review","OK")</f>
        <v>0</v>
      </c>
      <c r="M4245" t="s">
        <v>33</v>
      </c>
    </row>
    <row r="4246" spans="1:13">
      <c r="A4246" t="s">
        <v>6</v>
      </c>
      <c r="B4246" t="s">
        <v>765</v>
      </c>
      <c r="C4246" t="s">
        <v>3062</v>
      </c>
      <c r="D4246" t="s">
        <v>1189</v>
      </c>
      <c r="E4246" cm="1">
        <f t="array" ref="E4246">_xlfn.XLOOKUP(D4246,SKU_Master!A:A,SKU_Master!B:B,"Not on master")</f>
        <v>0</v>
      </c>
      <c r="F4246" cm="1">
        <f t="array" ref="F4246">_xlfn.XLOOKUP(C4246,Account_Master!A:A,Account_Master!B:B,"Not on master")</f>
        <v>0</v>
      </c>
      <c r="G4246" cm="1">
        <f t="array" ref="G4246">_xlfn.XLOOKUP(C4246,Account_Master!A:A,Account_Master!C:C,"Not on master")</f>
        <v>0</v>
      </c>
      <c r="H4246" s="6">
        <v>14</v>
      </c>
      <c r="I4246" s="6">
        <v>14</v>
      </c>
      <c r="J4246" s="6">
        <f>I4246-H4246</f>
        <v>0</v>
      </c>
      <c r="K4246" s="5">
        <f>IF(H4246=0,"",J4246/H4246)</f>
        <v>0</v>
      </c>
      <c r="L4246">
        <f>IF(OR(AND(H4246=0,ABS(J4246)&gt;=0.01),AND(H4246&lt;&gt;0,ABS(K4246)&gt;VarianceThreshold)),"Review","OK")</f>
        <v>0</v>
      </c>
      <c r="M4246" t="s">
        <v>33</v>
      </c>
    </row>
    <row r="4247" spans="1:13">
      <c r="A4247" t="s">
        <v>6</v>
      </c>
      <c r="B4247" t="s">
        <v>765</v>
      </c>
      <c r="C4247" t="s">
        <v>3090</v>
      </c>
      <c r="D4247" t="s">
        <v>1310</v>
      </c>
      <c r="E4247" cm="1">
        <f t="array" ref="E4247">_xlfn.XLOOKUP(D4247,SKU_Master!A:A,SKU_Master!B:B,"Not on master")</f>
        <v>0</v>
      </c>
      <c r="F4247" cm="1">
        <f t="array" ref="F4247">_xlfn.XLOOKUP(C4247,Account_Master!A:A,Account_Master!B:B,"Not on master")</f>
        <v>0</v>
      </c>
      <c r="G4247" cm="1">
        <f t="array" ref="G4247">_xlfn.XLOOKUP(C4247,Account_Master!A:A,Account_Master!C:C,"Not on master")</f>
        <v>0</v>
      </c>
      <c r="H4247" s="6">
        <v>32.62</v>
      </c>
      <c r="I4247" s="6">
        <v>32.62</v>
      </c>
      <c r="J4247" s="6">
        <f>I4247-H4247</f>
        <v>0</v>
      </c>
      <c r="K4247" s="5">
        <f>IF(H4247=0,"",J4247/H4247)</f>
        <v>0</v>
      </c>
      <c r="L4247">
        <f>IF(OR(AND(H4247=0,ABS(J4247)&gt;=0.01),AND(H4247&lt;&gt;0,ABS(K4247)&gt;VarianceThreshold)),"Review","OK")</f>
        <v>0</v>
      </c>
      <c r="M4247" t="s">
        <v>33</v>
      </c>
    </row>
    <row r="4248" spans="1:13">
      <c r="A4248" t="s">
        <v>6</v>
      </c>
      <c r="B4248" t="s">
        <v>765</v>
      </c>
      <c r="C4248" t="s">
        <v>3039</v>
      </c>
      <c r="D4248" t="s">
        <v>3300</v>
      </c>
      <c r="E4248" cm="1">
        <f t="array" ref="E4248">_xlfn.XLOOKUP(D4248,SKU_Master!A:A,SKU_Master!B:B,"Not on master")</f>
        <v>0</v>
      </c>
      <c r="F4248" cm="1">
        <f t="array" ref="F4248">_xlfn.XLOOKUP(C4248,Account_Master!A:A,Account_Master!B:B,"Not on master")</f>
        <v>0</v>
      </c>
      <c r="G4248" cm="1">
        <f t="array" ref="G4248">_xlfn.XLOOKUP(C4248,Account_Master!A:A,Account_Master!C:C,"Not on master")</f>
        <v>0</v>
      </c>
      <c r="H4248" s="6">
        <v>9.75</v>
      </c>
      <c r="I4248" s="6">
        <v>9.75</v>
      </c>
      <c r="J4248" s="6">
        <f>I4248-H4248</f>
        <v>0</v>
      </c>
      <c r="K4248" s="5">
        <f>IF(H4248=0,"",J4248/H4248)</f>
        <v>0</v>
      </c>
      <c r="L4248">
        <f>IF(OR(AND(H4248=0,ABS(J4248)&gt;=0.01),AND(H4248&lt;&gt;0,ABS(K4248)&gt;VarianceThreshold)),"Review","OK")</f>
        <v>0</v>
      </c>
      <c r="M4248" t="s">
        <v>33</v>
      </c>
    </row>
    <row r="4249" spans="1:13">
      <c r="A4249" t="s">
        <v>6</v>
      </c>
      <c r="B4249" t="s">
        <v>765</v>
      </c>
      <c r="C4249" t="s">
        <v>3024</v>
      </c>
      <c r="D4249" t="s">
        <v>733</v>
      </c>
      <c r="E4249" cm="1">
        <f t="array" ref="E4249">_xlfn.XLOOKUP(D4249,SKU_Master!A:A,SKU_Master!B:B,"Not on master")</f>
        <v>0</v>
      </c>
      <c r="F4249" cm="1">
        <f t="array" ref="F4249">_xlfn.XLOOKUP(C4249,Account_Master!A:A,Account_Master!B:B,"Not on master")</f>
        <v>0</v>
      </c>
      <c r="G4249" cm="1">
        <f t="array" ref="G4249">_xlfn.XLOOKUP(C4249,Account_Master!A:A,Account_Master!C:C,"Not on master")</f>
        <v>0</v>
      </c>
      <c r="H4249" s="6">
        <v>3</v>
      </c>
      <c r="I4249" s="6">
        <v>3</v>
      </c>
      <c r="J4249" s="6">
        <f>I4249-H4249</f>
        <v>0</v>
      </c>
      <c r="K4249" s="5">
        <f>IF(H4249=0,"",J4249/H4249)</f>
        <v>0</v>
      </c>
      <c r="L4249">
        <f>IF(OR(AND(H4249=0,ABS(J4249)&gt;=0.01),AND(H4249&lt;&gt;0,ABS(K4249)&gt;VarianceThreshold)),"Review","OK")</f>
        <v>0</v>
      </c>
      <c r="M4249" t="s">
        <v>33</v>
      </c>
    </row>
    <row r="4250" spans="1:13">
      <c r="A4250" t="s">
        <v>6</v>
      </c>
      <c r="B4250" t="s">
        <v>775</v>
      </c>
      <c r="C4250" t="s">
        <v>3226</v>
      </c>
      <c r="D4250" t="s">
        <v>2326</v>
      </c>
      <c r="E4250" cm="1">
        <f t="array" ref="E4250">_xlfn.XLOOKUP(D4250,SKU_Master!A:A,SKU_Master!B:B,"Not on master")</f>
        <v>0</v>
      </c>
      <c r="F4250" cm="1">
        <f t="array" ref="F4250">_xlfn.XLOOKUP(C4250,Account_Master!A:A,Account_Master!B:B,"Not on master")</f>
        <v>0</v>
      </c>
      <c r="G4250" cm="1">
        <f t="array" ref="G4250">_xlfn.XLOOKUP(C4250,Account_Master!A:A,Account_Master!C:C,"Not on master")</f>
        <v>0</v>
      </c>
      <c r="H4250" s="6">
        <v>219</v>
      </c>
      <c r="I4250" s="6">
        <v>219</v>
      </c>
      <c r="J4250" s="6">
        <f>I4250-H4250</f>
        <v>0</v>
      </c>
      <c r="K4250" s="5">
        <f>IF(H4250=0,"",J4250/H4250)</f>
        <v>0</v>
      </c>
      <c r="L4250">
        <f>IF(OR(AND(H4250=0,ABS(J4250)&gt;=0.01),AND(H4250&lt;&gt;0,ABS(K4250)&gt;VarianceThreshold)),"Review","OK")</f>
        <v>0</v>
      </c>
      <c r="M4250" t="s">
        <v>33</v>
      </c>
    </row>
    <row r="4251" spans="1:13">
      <c r="A4251" t="s">
        <v>6</v>
      </c>
      <c r="B4251" t="s">
        <v>775</v>
      </c>
      <c r="C4251" t="s">
        <v>3039</v>
      </c>
      <c r="D4251" t="s">
        <v>3301</v>
      </c>
      <c r="E4251" cm="1">
        <f t="array" ref="E4251">_xlfn.XLOOKUP(D4251,SKU_Master!A:A,SKU_Master!B:B,"Not on master")</f>
        <v>0</v>
      </c>
      <c r="F4251" cm="1">
        <f t="array" ref="F4251">_xlfn.XLOOKUP(C4251,Account_Master!A:A,Account_Master!B:B,"Not on master")</f>
        <v>0</v>
      </c>
      <c r="G4251" cm="1">
        <f t="array" ref="G4251">_xlfn.XLOOKUP(C4251,Account_Master!A:A,Account_Master!C:C,"Not on master")</f>
        <v>0</v>
      </c>
      <c r="H4251" s="6">
        <v>1.5</v>
      </c>
      <c r="I4251" s="6">
        <v>1.5</v>
      </c>
      <c r="J4251" s="6">
        <f>I4251-H4251</f>
        <v>0</v>
      </c>
      <c r="K4251" s="5">
        <f>IF(H4251=0,"",J4251/H4251)</f>
        <v>0</v>
      </c>
      <c r="L4251">
        <f>IF(OR(AND(H4251=0,ABS(J4251)&gt;=0.01),AND(H4251&lt;&gt;0,ABS(K4251)&gt;VarianceThreshold)),"Review","OK")</f>
        <v>0</v>
      </c>
      <c r="M4251" t="s">
        <v>33</v>
      </c>
    </row>
    <row r="4252" spans="1:13">
      <c r="A4252" t="s">
        <v>6</v>
      </c>
      <c r="B4252" t="s">
        <v>775</v>
      </c>
      <c r="C4252" t="s">
        <v>3032</v>
      </c>
      <c r="D4252" t="s">
        <v>1509</v>
      </c>
      <c r="E4252" cm="1">
        <f t="array" ref="E4252">_xlfn.XLOOKUP(D4252,SKU_Master!A:A,SKU_Master!B:B,"Not on master")</f>
        <v>0</v>
      </c>
      <c r="F4252" cm="1">
        <f t="array" ref="F4252">_xlfn.XLOOKUP(C4252,Account_Master!A:A,Account_Master!B:B,"Not on master")</f>
        <v>0</v>
      </c>
      <c r="G4252" cm="1">
        <f t="array" ref="G4252">_xlfn.XLOOKUP(C4252,Account_Master!A:A,Account_Master!C:C,"Not on master")</f>
        <v>0</v>
      </c>
      <c r="H4252" s="6">
        <v>1.5</v>
      </c>
      <c r="I4252" s="6">
        <v>1.5</v>
      </c>
      <c r="J4252" s="6">
        <f>I4252-H4252</f>
        <v>0</v>
      </c>
      <c r="K4252" s="5">
        <f>IF(H4252=0,"",J4252/H4252)</f>
        <v>0</v>
      </c>
      <c r="L4252">
        <f>IF(OR(AND(H4252=0,ABS(J4252)&gt;=0.01),AND(H4252&lt;&gt;0,ABS(K4252)&gt;VarianceThreshold)),"Review","OK")</f>
        <v>0</v>
      </c>
      <c r="M4252" t="s">
        <v>33</v>
      </c>
    </row>
    <row r="4253" spans="1:13">
      <c r="A4253" t="s">
        <v>6</v>
      </c>
      <c r="B4253" t="s">
        <v>775</v>
      </c>
      <c r="C4253" t="s">
        <v>3054</v>
      </c>
      <c r="D4253" t="s">
        <v>639</v>
      </c>
      <c r="E4253" cm="1">
        <f t="array" ref="E4253">_xlfn.XLOOKUP(D4253,SKU_Master!A:A,SKU_Master!B:B,"Not on master")</f>
        <v>0</v>
      </c>
      <c r="F4253" cm="1">
        <f t="array" ref="F4253">_xlfn.XLOOKUP(C4253,Account_Master!A:A,Account_Master!B:B,"Not on master")</f>
        <v>0</v>
      </c>
      <c r="G4253" cm="1">
        <f t="array" ref="G4253">_xlfn.XLOOKUP(C4253,Account_Master!A:A,Account_Master!C:C,"Not on master")</f>
        <v>0</v>
      </c>
      <c r="H4253" s="6">
        <v>30.75</v>
      </c>
      <c r="I4253" s="6">
        <v>30.75</v>
      </c>
      <c r="J4253" s="6">
        <f>I4253-H4253</f>
        <v>0</v>
      </c>
      <c r="K4253" s="5">
        <f>IF(H4253=0,"",J4253/H4253)</f>
        <v>0</v>
      </c>
      <c r="L4253">
        <f>IF(OR(AND(H4253=0,ABS(J4253)&gt;=0.01),AND(H4253&lt;&gt;0,ABS(K4253)&gt;VarianceThreshold)),"Review","OK")</f>
        <v>0</v>
      </c>
      <c r="M4253" t="s">
        <v>33</v>
      </c>
    </row>
    <row r="4254" spans="1:13">
      <c r="A4254" t="s">
        <v>6</v>
      </c>
      <c r="B4254" t="s">
        <v>775</v>
      </c>
      <c r="C4254" t="s">
        <v>3021</v>
      </c>
      <c r="D4254" t="s">
        <v>1209</v>
      </c>
      <c r="E4254" cm="1">
        <f t="array" ref="E4254">_xlfn.XLOOKUP(D4254,SKU_Master!A:A,SKU_Master!B:B,"Not on master")</f>
        <v>0</v>
      </c>
      <c r="F4254" cm="1">
        <f t="array" ref="F4254">_xlfn.XLOOKUP(C4254,Account_Master!A:A,Account_Master!B:B,"Not on master")</f>
        <v>0</v>
      </c>
      <c r="G4254" cm="1">
        <f t="array" ref="G4254">_xlfn.XLOOKUP(C4254,Account_Master!A:A,Account_Master!C:C,"Not on master")</f>
        <v>0</v>
      </c>
      <c r="H4254" s="6">
        <v>42</v>
      </c>
      <c r="I4254" s="6">
        <v>42</v>
      </c>
      <c r="J4254" s="6">
        <f>I4254-H4254</f>
        <v>0</v>
      </c>
      <c r="K4254" s="5">
        <f>IF(H4254=0,"",J4254/H4254)</f>
        <v>0</v>
      </c>
      <c r="L4254">
        <f>IF(OR(AND(H4254=0,ABS(J4254)&gt;=0.01),AND(H4254&lt;&gt;0,ABS(K4254)&gt;VarianceThreshold)),"Review","OK")</f>
        <v>0</v>
      </c>
      <c r="M4254" t="s">
        <v>33</v>
      </c>
    </row>
    <row r="4255" spans="1:13">
      <c r="A4255" t="s">
        <v>6</v>
      </c>
      <c r="B4255" t="s">
        <v>775</v>
      </c>
      <c r="C4255" t="s">
        <v>3059</v>
      </c>
      <c r="D4255" t="s">
        <v>3302</v>
      </c>
      <c r="E4255" cm="1">
        <f t="array" ref="E4255">_xlfn.XLOOKUP(D4255,SKU_Master!A:A,SKU_Master!B:B,"Not on master")</f>
        <v>0</v>
      </c>
      <c r="F4255" cm="1">
        <f t="array" ref="F4255">_xlfn.XLOOKUP(C4255,Account_Master!A:A,Account_Master!B:B,"Not on master")</f>
        <v>0</v>
      </c>
      <c r="G4255" cm="1">
        <f t="array" ref="G4255">_xlfn.XLOOKUP(C4255,Account_Master!A:A,Account_Master!C:C,"Not on master")</f>
        <v>0</v>
      </c>
      <c r="H4255" s="6">
        <v>4.5</v>
      </c>
      <c r="I4255" s="6">
        <v>4.5</v>
      </c>
      <c r="J4255" s="6">
        <f>I4255-H4255</f>
        <v>0</v>
      </c>
      <c r="K4255" s="5">
        <f>IF(H4255=0,"",J4255/H4255)</f>
        <v>0</v>
      </c>
      <c r="L4255">
        <f>IF(OR(AND(H4255=0,ABS(J4255)&gt;=0.01),AND(H4255&lt;&gt;0,ABS(K4255)&gt;VarianceThreshold)),"Review","OK")</f>
        <v>0</v>
      </c>
      <c r="M4255" t="s">
        <v>33</v>
      </c>
    </row>
    <row r="4256" spans="1:13">
      <c r="A4256" t="s">
        <v>6</v>
      </c>
      <c r="B4256" t="s">
        <v>779</v>
      </c>
      <c r="C4256" t="s">
        <v>3245</v>
      </c>
      <c r="D4256" t="s">
        <v>2792</v>
      </c>
      <c r="E4256" cm="1">
        <f t="array" ref="E4256">_xlfn.XLOOKUP(D4256,SKU_Master!A:A,SKU_Master!B:B,"Not on master")</f>
        <v>0</v>
      </c>
      <c r="F4256" cm="1">
        <f t="array" ref="F4256">_xlfn.XLOOKUP(C4256,Account_Master!A:A,Account_Master!B:B,"Not on master")</f>
        <v>0</v>
      </c>
      <c r="G4256" cm="1">
        <f t="array" ref="G4256">_xlfn.XLOOKUP(C4256,Account_Master!A:A,Account_Master!C:C,"Not on master")</f>
        <v>0</v>
      </c>
      <c r="H4256" s="6">
        <v>12</v>
      </c>
      <c r="I4256" s="6">
        <v>12</v>
      </c>
      <c r="J4256" s="6">
        <f>I4256-H4256</f>
        <v>0</v>
      </c>
      <c r="K4256" s="5">
        <f>IF(H4256=0,"",J4256/H4256)</f>
        <v>0</v>
      </c>
      <c r="L4256">
        <f>IF(OR(AND(H4256=0,ABS(J4256)&gt;=0.01),AND(H4256&lt;&gt;0,ABS(K4256)&gt;VarianceThreshold)),"Review","OK")</f>
        <v>0</v>
      </c>
      <c r="M4256" t="s">
        <v>33</v>
      </c>
    </row>
    <row r="4257" spans="1:13">
      <c r="A4257" t="s">
        <v>6</v>
      </c>
      <c r="B4257" t="s">
        <v>779</v>
      </c>
      <c r="C4257" t="s">
        <v>3190</v>
      </c>
      <c r="D4257" t="s">
        <v>506</v>
      </c>
      <c r="E4257" cm="1">
        <f t="array" ref="E4257">_xlfn.XLOOKUP(D4257,SKU_Master!A:A,SKU_Master!B:B,"Not on master")</f>
        <v>0</v>
      </c>
      <c r="F4257" cm="1">
        <f t="array" ref="F4257">_xlfn.XLOOKUP(C4257,Account_Master!A:A,Account_Master!B:B,"Not on master")</f>
        <v>0</v>
      </c>
      <c r="G4257" cm="1">
        <f t="array" ref="G4257">_xlfn.XLOOKUP(C4257,Account_Master!A:A,Account_Master!C:C,"Not on master")</f>
        <v>0</v>
      </c>
      <c r="H4257" s="6">
        <v>3</v>
      </c>
      <c r="I4257" s="6">
        <v>3</v>
      </c>
      <c r="J4257" s="6">
        <f>I4257-H4257</f>
        <v>0</v>
      </c>
      <c r="K4257" s="5">
        <f>IF(H4257=0,"",J4257/H4257)</f>
        <v>0</v>
      </c>
      <c r="L4257">
        <f>IF(OR(AND(H4257=0,ABS(J4257)&gt;=0.01),AND(H4257&lt;&gt;0,ABS(K4257)&gt;VarianceThreshold)),"Review","OK")</f>
        <v>0</v>
      </c>
      <c r="M4257" t="s">
        <v>33</v>
      </c>
    </row>
    <row r="4258" spans="1:13">
      <c r="A4258" t="s">
        <v>6</v>
      </c>
      <c r="B4258" t="s">
        <v>779</v>
      </c>
      <c r="C4258" t="s">
        <v>3073</v>
      </c>
      <c r="D4258" t="s">
        <v>3303</v>
      </c>
      <c r="E4258" cm="1">
        <f t="array" ref="E4258">_xlfn.XLOOKUP(D4258,SKU_Master!A:A,SKU_Master!B:B,"Not on master")</f>
        <v>0</v>
      </c>
      <c r="F4258" cm="1">
        <f t="array" ref="F4258">_xlfn.XLOOKUP(C4258,Account_Master!A:A,Account_Master!B:B,"Not on master")</f>
        <v>0</v>
      </c>
      <c r="G4258" cm="1">
        <f t="array" ref="G4258">_xlfn.XLOOKUP(C4258,Account_Master!A:A,Account_Master!C:C,"Not on master")</f>
        <v>0</v>
      </c>
      <c r="H4258" s="6">
        <v>3</v>
      </c>
      <c r="I4258" s="6">
        <v>3</v>
      </c>
      <c r="J4258" s="6">
        <f>I4258-H4258</f>
        <v>0</v>
      </c>
      <c r="K4258" s="5">
        <f>IF(H4258=0,"",J4258/H4258)</f>
        <v>0</v>
      </c>
      <c r="L4258">
        <f>IF(OR(AND(H4258=0,ABS(J4258)&gt;=0.01),AND(H4258&lt;&gt;0,ABS(K4258)&gt;VarianceThreshold)),"Review","OK")</f>
        <v>0</v>
      </c>
      <c r="M4258" t="s">
        <v>33</v>
      </c>
    </row>
    <row r="4259" spans="1:13">
      <c r="A4259" t="s">
        <v>6</v>
      </c>
      <c r="B4259" t="s">
        <v>779</v>
      </c>
      <c r="C4259" t="s">
        <v>3304</v>
      </c>
      <c r="D4259" t="s">
        <v>1954</v>
      </c>
      <c r="E4259" cm="1">
        <f t="array" ref="E4259">_xlfn.XLOOKUP(D4259,SKU_Master!A:A,SKU_Master!B:B,"Not on master")</f>
        <v>0</v>
      </c>
      <c r="F4259" cm="1">
        <f t="array" ref="F4259">_xlfn.XLOOKUP(C4259,Account_Master!A:A,Account_Master!B:B,"Not on master")</f>
        <v>0</v>
      </c>
      <c r="G4259" cm="1">
        <f t="array" ref="G4259">_xlfn.XLOOKUP(C4259,Account_Master!A:A,Account_Master!C:C,"Not on master")</f>
        <v>0</v>
      </c>
      <c r="H4259" s="6">
        <v>2.25</v>
      </c>
      <c r="I4259" s="6">
        <v>2.25</v>
      </c>
      <c r="J4259" s="6">
        <f>I4259-H4259</f>
        <v>0</v>
      </c>
      <c r="K4259" s="5">
        <f>IF(H4259=0,"",J4259/H4259)</f>
        <v>0</v>
      </c>
      <c r="L4259">
        <f>IF(OR(AND(H4259=0,ABS(J4259)&gt;=0.01),AND(H4259&lt;&gt;0,ABS(K4259)&gt;VarianceThreshold)),"Review","OK")</f>
        <v>0</v>
      </c>
      <c r="M4259" t="s">
        <v>33</v>
      </c>
    </row>
    <row r="4260" spans="1:13">
      <c r="A4260" t="s">
        <v>6</v>
      </c>
      <c r="B4260" t="s">
        <v>779</v>
      </c>
      <c r="C4260" t="s">
        <v>3024</v>
      </c>
      <c r="D4260" t="s">
        <v>2383</v>
      </c>
      <c r="E4260" cm="1">
        <f t="array" ref="E4260">_xlfn.XLOOKUP(D4260,SKU_Master!A:A,SKU_Master!B:B,"Not on master")</f>
        <v>0</v>
      </c>
      <c r="F4260" cm="1">
        <f t="array" ref="F4260">_xlfn.XLOOKUP(C4260,Account_Master!A:A,Account_Master!B:B,"Not on master")</f>
        <v>0</v>
      </c>
      <c r="G4260" cm="1">
        <f t="array" ref="G4260">_xlfn.XLOOKUP(C4260,Account_Master!A:A,Account_Master!C:C,"Not on master")</f>
        <v>0</v>
      </c>
      <c r="H4260" s="6">
        <v>3.5</v>
      </c>
      <c r="I4260" s="6">
        <v>3.5</v>
      </c>
      <c r="J4260" s="6">
        <f>I4260-H4260</f>
        <v>0</v>
      </c>
      <c r="K4260" s="5">
        <f>IF(H4260=0,"",J4260/H4260)</f>
        <v>0</v>
      </c>
      <c r="L4260">
        <f>IF(OR(AND(H4260=0,ABS(J4260)&gt;=0.01),AND(H4260&lt;&gt;0,ABS(K4260)&gt;VarianceThreshold)),"Review","OK")</f>
        <v>0</v>
      </c>
      <c r="M4260" t="s">
        <v>33</v>
      </c>
    </row>
    <row r="4261" spans="1:13">
      <c r="A4261" t="s">
        <v>6</v>
      </c>
      <c r="B4261" t="s">
        <v>779</v>
      </c>
      <c r="C4261" t="s">
        <v>3226</v>
      </c>
      <c r="D4261" t="s">
        <v>1827</v>
      </c>
      <c r="E4261" cm="1">
        <f t="array" ref="E4261">_xlfn.XLOOKUP(D4261,SKU_Master!A:A,SKU_Master!B:B,"Not on master")</f>
        <v>0</v>
      </c>
      <c r="F4261" cm="1">
        <f t="array" ref="F4261">_xlfn.XLOOKUP(C4261,Account_Master!A:A,Account_Master!B:B,"Not on master")</f>
        <v>0</v>
      </c>
      <c r="G4261" cm="1">
        <f t="array" ref="G4261">_xlfn.XLOOKUP(C4261,Account_Master!A:A,Account_Master!C:C,"Not on master")</f>
        <v>0</v>
      </c>
      <c r="H4261" s="6">
        <v>9</v>
      </c>
      <c r="I4261" s="6">
        <v>9</v>
      </c>
      <c r="J4261" s="6">
        <f>I4261-H4261</f>
        <v>0</v>
      </c>
      <c r="K4261" s="5">
        <f>IF(H4261=0,"",J4261/H4261)</f>
        <v>0</v>
      </c>
      <c r="L4261">
        <f>IF(OR(AND(H4261=0,ABS(J4261)&gt;=0.01),AND(H4261&lt;&gt;0,ABS(K4261)&gt;VarianceThreshold)),"Review","OK")</f>
        <v>0</v>
      </c>
      <c r="M4261" t="s">
        <v>33</v>
      </c>
    </row>
    <row r="4262" spans="1:13">
      <c r="A4262" t="s">
        <v>6</v>
      </c>
      <c r="B4262" t="s">
        <v>779</v>
      </c>
      <c r="C4262" t="s">
        <v>3073</v>
      </c>
      <c r="D4262" t="s">
        <v>3305</v>
      </c>
      <c r="E4262" cm="1">
        <f t="array" ref="E4262">_xlfn.XLOOKUP(D4262,SKU_Master!A:A,SKU_Master!B:B,"Not on master")</f>
        <v>0</v>
      </c>
      <c r="F4262" cm="1">
        <f t="array" ref="F4262">_xlfn.XLOOKUP(C4262,Account_Master!A:A,Account_Master!B:B,"Not on master")</f>
        <v>0</v>
      </c>
      <c r="G4262" cm="1">
        <f t="array" ref="G4262">_xlfn.XLOOKUP(C4262,Account_Master!A:A,Account_Master!C:C,"Not on master")</f>
        <v>0</v>
      </c>
      <c r="H4262" s="6">
        <v>3</v>
      </c>
      <c r="I4262" s="6">
        <v>3</v>
      </c>
      <c r="J4262" s="6">
        <f>I4262-H4262</f>
        <v>0</v>
      </c>
      <c r="K4262" s="5">
        <f>IF(H4262=0,"",J4262/H4262)</f>
        <v>0</v>
      </c>
      <c r="L4262">
        <f>IF(OR(AND(H4262=0,ABS(J4262)&gt;=0.01),AND(H4262&lt;&gt;0,ABS(K4262)&gt;VarianceThreshold)),"Review","OK")</f>
        <v>0</v>
      </c>
      <c r="M4262" t="s">
        <v>33</v>
      </c>
    </row>
    <row r="4263" spans="1:13">
      <c r="A4263" t="s">
        <v>6</v>
      </c>
      <c r="B4263" t="s">
        <v>788</v>
      </c>
      <c r="C4263" t="s">
        <v>3062</v>
      </c>
      <c r="D4263" t="s">
        <v>541</v>
      </c>
      <c r="E4263" cm="1">
        <f t="array" ref="E4263">_xlfn.XLOOKUP(D4263,SKU_Master!A:A,SKU_Master!B:B,"Not on master")</f>
        <v>0</v>
      </c>
      <c r="F4263" cm="1">
        <f t="array" ref="F4263">_xlfn.XLOOKUP(C4263,Account_Master!A:A,Account_Master!B:B,"Not on master")</f>
        <v>0</v>
      </c>
      <c r="G4263" cm="1">
        <f t="array" ref="G4263">_xlfn.XLOOKUP(C4263,Account_Master!A:A,Account_Master!C:C,"Not on master")</f>
        <v>0</v>
      </c>
      <c r="H4263" s="6">
        <v>279</v>
      </c>
      <c r="I4263" s="6">
        <v>279</v>
      </c>
      <c r="J4263" s="6">
        <f>I4263-H4263</f>
        <v>0</v>
      </c>
      <c r="K4263" s="5">
        <f>IF(H4263=0,"",J4263/H4263)</f>
        <v>0</v>
      </c>
      <c r="L4263">
        <f>IF(OR(AND(H4263=0,ABS(J4263)&gt;=0.01),AND(H4263&lt;&gt;0,ABS(K4263)&gt;VarianceThreshold)),"Review","OK")</f>
        <v>0</v>
      </c>
      <c r="M4263" t="s">
        <v>33</v>
      </c>
    </row>
    <row r="4264" spans="1:13">
      <c r="A4264" t="s">
        <v>6</v>
      </c>
      <c r="B4264" t="s">
        <v>788</v>
      </c>
      <c r="C4264" t="s">
        <v>3089</v>
      </c>
      <c r="D4264" t="s">
        <v>3306</v>
      </c>
      <c r="E4264" cm="1">
        <f t="array" ref="E4264">_xlfn.XLOOKUP(D4264,SKU_Master!A:A,SKU_Master!B:B,"Not on master")</f>
        <v>0</v>
      </c>
      <c r="F4264" cm="1">
        <f t="array" ref="F4264">_xlfn.XLOOKUP(C4264,Account_Master!A:A,Account_Master!B:B,"Not on master")</f>
        <v>0</v>
      </c>
      <c r="G4264" cm="1">
        <f t="array" ref="G4264">_xlfn.XLOOKUP(C4264,Account_Master!A:A,Account_Master!C:C,"Not on master")</f>
        <v>0</v>
      </c>
      <c r="H4264" s="6">
        <v>1.5</v>
      </c>
      <c r="I4264" s="6">
        <v>1.5</v>
      </c>
      <c r="J4264" s="6">
        <f>I4264-H4264</f>
        <v>0</v>
      </c>
      <c r="K4264" s="5">
        <f>IF(H4264=0,"",J4264/H4264)</f>
        <v>0</v>
      </c>
      <c r="L4264">
        <f>IF(OR(AND(H4264=0,ABS(J4264)&gt;=0.01),AND(H4264&lt;&gt;0,ABS(K4264)&gt;VarianceThreshold)),"Review","OK")</f>
        <v>0</v>
      </c>
      <c r="M4264" t="s">
        <v>33</v>
      </c>
    </row>
    <row r="4265" spans="1:13">
      <c r="A4265" t="s">
        <v>6</v>
      </c>
      <c r="B4265" t="s">
        <v>788</v>
      </c>
      <c r="C4265" t="s">
        <v>3226</v>
      </c>
      <c r="D4265" t="s">
        <v>2852</v>
      </c>
      <c r="E4265" cm="1">
        <f t="array" ref="E4265">_xlfn.XLOOKUP(D4265,SKU_Master!A:A,SKU_Master!B:B,"Not on master")</f>
        <v>0</v>
      </c>
      <c r="F4265" cm="1">
        <f t="array" ref="F4265">_xlfn.XLOOKUP(C4265,Account_Master!A:A,Account_Master!B:B,"Not on master")</f>
        <v>0</v>
      </c>
      <c r="G4265" cm="1">
        <f t="array" ref="G4265">_xlfn.XLOOKUP(C4265,Account_Master!A:A,Account_Master!C:C,"Not on master")</f>
        <v>0</v>
      </c>
      <c r="H4265" s="6">
        <v>0.1</v>
      </c>
      <c r="I4265" s="6">
        <v>0.1</v>
      </c>
      <c r="J4265" s="6">
        <f>I4265-H4265</f>
        <v>0</v>
      </c>
      <c r="K4265" s="5">
        <f>IF(H4265=0,"",J4265/H4265)</f>
        <v>0</v>
      </c>
      <c r="L4265">
        <f>IF(OR(AND(H4265=0,ABS(J4265)&gt;=0.01),AND(H4265&lt;&gt;0,ABS(K4265)&gt;VarianceThreshold)),"Review","OK")</f>
        <v>0</v>
      </c>
      <c r="M4265" t="s">
        <v>33</v>
      </c>
    </row>
    <row r="4266" spans="1:13">
      <c r="A4266" t="s">
        <v>6</v>
      </c>
      <c r="B4266" t="s">
        <v>799</v>
      </c>
      <c r="C4266" t="s">
        <v>3090</v>
      </c>
      <c r="D4266" t="s">
        <v>1904</v>
      </c>
      <c r="E4266" cm="1">
        <f t="array" ref="E4266">_xlfn.XLOOKUP(D4266,SKU_Master!A:A,SKU_Master!B:B,"Not on master")</f>
        <v>0</v>
      </c>
      <c r="F4266" cm="1">
        <f t="array" ref="F4266">_xlfn.XLOOKUP(C4266,Account_Master!A:A,Account_Master!B:B,"Not on master")</f>
        <v>0</v>
      </c>
      <c r="G4266" cm="1">
        <f t="array" ref="G4266">_xlfn.XLOOKUP(C4266,Account_Master!A:A,Account_Master!C:C,"Not on master")</f>
        <v>0</v>
      </c>
      <c r="H4266" s="6">
        <v>91.5</v>
      </c>
      <c r="I4266" s="6">
        <v>82.5</v>
      </c>
      <c r="J4266" s="6">
        <f>I4266-H4266</f>
        <v>0</v>
      </c>
      <c r="K4266" s="5">
        <f>IF(H4266=0,"",J4266/H4266)</f>
        <v>0</v>
      </c>
      <c r="L4266">
        <f>IF(OR(AND(H4266=0,ABS(J4266)&gt;=0.01),AND(H4266&lt;&gt;0,ABS(K4266)&gt;VarianceThreshold)),"Review","OK")</f>
        <v>0</v>
      </c>
      <c r="M4266" t="s">
        <v>3038</v>
      </c>
    </row>
    <row r="4267" spans="1:13">
      <c r="A4267" t="s">
        <v>6</v>
      </c>
      <c r="B4267" t="s">
        <v>799</v>
      </c>
      <c r="C4267" t="s">
        <v>3022</v>
      </c>
      <c r="D4267" t="s">
        <v>1815</v>
      </c>
      <c r="E4267" cm="1">
        <f t="array" ref="E4267">_xlfn.XLOOKUP(D4267,SKU_Master!A:A,SKU_Master!B:B,"Not on master")</f>
        <v>0</v>
      </c>
      <c r="F4267" cm="1">
        <f t="array" ref="F4267">_xlfn.XLOOKUP(C4267,Account_Master!A:A,Account_Master!B:B,"Not on master")</f>
        <v>0</v>
      </c>
      <c r="G4267" cm="1">
        <f t="array" ref="G4267">_xlfn.XLOOKUP(C4267,Account_Master!A:A,Account_Master!C:C,"Not on master")</f>
        <v>0</v>
      </c>
      <c r="H4267" s="6">
        <v>16.5</v>
      </c>
      <c r="I4267" s="6">
        <v>16.5</v>
      </c>
      <c r="J4267" s="6">
        <f>I4267-H4267</f>
        <v>0</v>
      </c>
      <c r="K4267" s="5">
        <f>IF(H4267=0,"",J4267/H4267)</f>
        <v>0</v>
      </c>
      <c r="L4267">
        <f>IF(OR(AND(H4267=0,ABS(J4267)&gt;=0.01),AND(H4267&lt;&gt;0,ABS(K4267)&gt;VarianceThreshold)),"Review","OK")</f>
        <v>0</v>
      </c>
      <c r="M4267" t="s">
        <v>33</v>
      </c>
    </row>
    <row r="4268" spans="1:13">
      <c r="A4268" t="s">
        <v>6</v>
      </c>
      <c r="B4268" t="s">
        <v>799</v>
      </c>
      <c r="C4268" t="s">
        <v>3307</v>
      </c>
      <c r="D4268" t="s">
        <v>789</v>
      </c>
      <c r="E4268" cm="1">
        <f t="array" ref="E4268">_xlfn.XLOOKUP(D4268,SKU_Master!A:A,SKU_Master!B:B,"Not on master")</f>
        <v>0</v>
      </c>
      <c r="F4268" cm="1">
        <f t="array" ref="F4268">_xlfn.XLOOKUP(C4268,Account_Master!A:A,Account_Master!B:B,"Not on master")</f>
        <v>0</v>
      </c>
      <c r="G4268" cm="1">
        <f t="array" ref="G4268">_xlfn.XLOOKUP(C4268,Account_Master!A:A,Account_Master!C:C,"Not on master")</f>
        <v>0</v>
      </c>
      <c r="H4268" s="6">
        <v>2.25</v>
      </c>
      <c r="I4268" s="6">
        <v>2.25</v>
      </c>
      <c r="J4268" s="6">
        <f>I4268-H4268</f>
        <v>0</v>
      </c>
      <c r="K4268" s="5">
        <f>IF(H4268=0,"",J4268/H4268)</f>
        <v>0</v>
      </c>
      <c r="L4268">
        <f>IF(OR(AND(H4268=0,ABS(J4268)&gt;=0.01),AND(H4268&lt;&gt;0,ABS(K4268)&gt;VarianceThreshold)),"Review","OK")</f>
        <v>0</v>
      </c>
      <c r="M4268" t="s">
        <v>33</v>
      </c>
    </row>
    <row r="4269" spans="1:13">
      <c r="A4269" t="s">
        <v>6</v>
      </c>
      <c r="B4269" t="s">
        <v>799</v>
      </c>
      <c r="C4269" t="s">
        <v>3039</v>
      </c>
      <c r="D4269" t="s">
        <v>496</v>
      </c>
      <c r="E4269" cm="1">
        <f t="array" ref="E4269">_xlfn.XLOOKUP(D4269,SKU_Master!A:A,SKU_Master!B:B,"Not on master")</f>
        <v>0</v>
      </c>
      <c r="F4269" cm="1">
        <f t="array" ref="F4269">_xlfn.XLOOKUP(C4269,Account_Master!A:A,Account_Master!B:B,"Not on master")</f>
        <v>0</v>
      </c>
      <c r="G4269" cm="1">
        <f t="array" ref="G4269">_xlfn.XLOOKUP(C4269,Account_Master!A:A,Account_Master!C:C,"Not on master")</f>
        <v>0</v>
      </c>
      <c r="H4269" s="6">
        <v>13.5</v>
      </c>
      <c r="I4269" s="6">
        <v>13.5</v>
      </c>
      <c r="J4269" s="6">
        <f>I4269-H4269</f>
        <v>0</v>
      </c>
      <c r="K4269" s="5">
        <f>IF(H4269=0,"",J4269/H4269)</f>
        <v>0</v>
      </c>
      <c r="L4269">
        <f>IF(OR(AND(H4269=0,ABS(J4269)&gt;=0.01),AND(H4269&lt;&gt;0,ABS(K4269)&gt;VarianceThreshold)),"Review","OK")</f>
        <v>0</v>
      </c>
      <c r="M4269" t="s">
        <v>33</v>
      </c>
    </row>
    <row r="4270" spans="1:13">
      <c r="A4270" t="s">
        <v>6</v>
      </c>
      <c r="B4270" t="s">
        <v>799</v>
      </c>
      <c r="C4270" t="s">
        <v>3099</v>
      </c>
      <c r="D4270" t="s">
        <v>2599</v>
      </c>
      <c r="E4270" cm="1">
        <f t="array" ref="E4270">_xlfn.XLOOKUP(D4270,SKU_Master!A:A,SKU_Master!B:B,"Not on master")</f>
        <v>0</v>
      </c>
      <c r="F4270" cm="1">
        <f t="array" ref="F4270">_xlfn.XLOOKUP(C4270,Account_Master!A:A,Account_Master!B:B,"Not on master")</f>
        <v>0</v>
      </c>
      <c r="G4270" cm="1">
        <f t="array" ref="G4270">_xlfn.XLOOKUP(C4270,Account_Master!A:A,Account_Master!C:C,"Not on master")</f>
        <v>0</v>
      </c>
      <c r="H4270" s="6">
        <v>3</v>
      </c>
      <c r="I4270" s="6">
        <v>3</v>
      </c>
      <c r="J4270" s="6">
        <f>I4270-H4270</f>
        <v>0</v>
      </c>
      <c r="K4270" s="5">
        <f>IF(H4270=0,"",J4270/H4270)</f>
        <v>0</v>
      </c>
      <c r="L4270">
        <f>IF(OR(AND(H4270=0,ABS(J4270)&gt;=0.01),AND(H4270&lt;&gt;0,ABS(K4270)&gt;VarianceThreshold)),"Review","OK")</f>
        <v>0</v>
      </c>
      <c r="M4270" t="s">
        <v>33</v>
      </c>
    </row>
    <row r="4271" spans="1:13">
      <c r="A4271" t="s">
        <v>6</v>
      </c>
      <c r="B4271" t="s">
        <v>799</v>
      </c>
      <c r="C4271" t="s">
        <v>3140</v>
      </c>
      <c r="D4271" t="s">
        <v>612</v>
      </c>
      <c r="E4271" cm="1">
        <f t="array" ref="E4271">_xlfn.XLOOKUP(D4271,SKU_Master!A:A,SKU_Master!B:B,"Not on master")</f>
        <v>0</v>
      </c>
      <c r="F4271" cm="1">
        <f t="array" ref="F4271">_xlfn.XLOOKUP(C4271,Account_Master!A:A,Account_Master!B:B,"Not on master")</f>
        <v>0</v>
      </c>
      <c r="G4271" cm="1">
        <f t="array" ref="G4271">_xlfn.XLOOKUP(C4271,Account_Master!A:A,Account_Master!C:C,"Not on master")</f>
        <v>0</v>
      </c>
      <c r="H4271" s="6">
        <v>3.75</v>
      </c>
      <c r="I4271" s="6">
        <v>3.75</v>
      </c>
      <c r="J4271" s="6">
        <f>I4271-H4271</f>
        <v>0</v>
      </c>
      <c r="K4271" s="5">
        <f>IF(H4271=0,"",J4271/H4271)</f>
        <v>0</v>
      </c>
      <c r="L4271">
        <f>IF(OR(AND(H4271=0,ABS(J4271)&gt;=0.01),AND(H4271&lt;&gt;0,ABS(K4271)&gt;VarianceThreshold)),"Review","OK")</f>
        <v>0</v>
      </c>
      <c r="M4271" t="s">
        <v>33</v>
      </c>
    </row>
    <row r="4272" spans="1:13">
      <c r="A4272" t="s">
        <v>6</v>
      </c>
      <c r="B4272" t="s">
        <v>805</v>
      </c>
      <c r="C4272" t="s">
        <v>3083</v>
      </c>
      <c r="D4272" t="s">
        <v>194</v>
      </c>
      <c r="E4272" cm="1">
        <f t="array" ref="E4272">_xlfn.XLOOKUP(D4272,SKU_Master!A:A,SKU_Master!B:B,"Not on master")</f>
        <v>0</v>
      </c>
      <c r="F4272" cm="1">
        <f t="array" ref="F4272">_xlfn.XLOOKUP(C4272,Account_Master!A:A,Account_Master!B:B,"Not on master")</f>
        <v>0</v>
      </c>
      <c r="G4272" cm="1">
        <f t="array" ref="G4272">_xlfn.XLOOKUP(C4272,Account_Master!A:A,Account_Master!C:C,"Not on master")</f>
        <v>0</v>
      </c>
      <c r="H4272" s="6">
        <v>4.5</v>
      </c>
      <c r="I4272" s="6">
        <v>4.5</v>
      </c>
      <c r="J4272" s="6">
        <f>I4272-H4272</f>
        <v>0</v>
      </c>
      <c r="K4272" s="5">
        <f>IF(H4272=0,"",J4272/H4272)</f>
        <v>0</v>
      </c>
      <c r="L4272">
        <f>IF(OR(AND(H4272=0,ABS(J4272)&gt;=0.01),AND(H4272&lt;&gt;0,ABS(K4272)&gt;VarianceThreshold)),"Review","OK")</f>
        <v>0</v>
      </c>
      <c r="M4272" t="s">
        <v>33</v>
      </c>
    </row>
    <row r="4273" spans="1:13">
      <c r="A4273" t="s">
        <v>6</v>
      </c>
      <c r="B4273" t="s">
        <v>805</v>
      </c>
      <c r="C4273" t="s">
        <v>3084</v>
      </c>
      <c r="D4273" t="s">
        <v>53</v>
      </c>
      <c r="E4273" cm="1">
        <f t="array" ref="E4273">_xlfn.XLOOKUP(D4273,SKU_Master!A:A,SKU_Master!B:B,"Not on master")</f>
        <v>0</v>
      </c>
      <c r="F4273" cm="1">
        <f t="array" ref="F4273">_xlfn.XLOOKUP(C4273,Account_Master!A:A,Account_Master!B:B,"Not on master")</f>
        <v>0</v>
      </c>
      <c r="G4273" cm="1">
        <f t="array" ref="G4273">_xlfn.XLOOKUP(C4273,Account_Master!A:A,Account_Master!C:C,"Not on master")</f>
        <v>0</v>
      </c>
      <c r="H4273" s="6">
        <v>4.8</v>
      </c>
      <c r="I4273" s="6">
        <v>0</v>
      </c>
      <c r="J4273" s="6">
        <f>I4273-H4273</f>
        <v>0</v>
      </c>
      <c r="K4273" s="5">
        <f>IF(H4273=0,"",J4273/H4273)</f>
        <v>0</v>
      </c>
      <c r="L4273">
        <f>IF(OR(AND(H4273=0,ABS(J4273)&gt;=0.01),AND(H4273&lt;&gt;0,ABS(K4273)&gt;VarianceThreshold)),"Review","OK")</f>
        <v>0</v>
      </c>
      <c r="M4273" t="s">
        <v>3038</v>
      </c>
    </row>
    <row r="4274" spans="1:13">
      <c r="A4274" t="s">
        <v>6</v>
      </c>
      <c r="B4274" t="s">
        <v>805</v>
      </c>
      <c r="C4274" t="s">
        <v>3308</v>
      </c>
      <c r="D4274" t="s">
        <v>3309</v>
      </c>
      <c r="E4274" cm="1">
        <f t="array" ref="E4274">_xlfn.XLOOKUP(D4274,SKU_Master!A:A,SKU_Master!B:B,"Not on master")</f>
        <v>0</v>
      </c>
      <c r="F4274" cm="1">
        <f t="array" ref="F4274">_xlfn.XLOOKUP(C4274,Account_Master!A:A,Account_Master!B:B,"Not on master")</f>
        <v>0</v>
      </c>
      <c r="G4274" cm="1">
        <f t="array" ref="G4274">_xlfn.XLOOKUP(C4274,Account_Master!A:A,Account_Master!C:C,"Not on master")</f>
        <v>0</v>
      </c>
      <c r="H4274" s="6">
        <v>2.25</v>
      </c>
      <c r="I4274" s="6">
        <v>2.25</v>
      </c>
      <c r="J4274" s="6">
        <f>I4274-H4274</f>
        <v>0</v>
      </c>
      <c r="K4274" s="5">
        <f>IF(H4274=0,"",J4274/H4274)</f>
        <v>0</v>
      </c>
      <c r="L4274">
        <f>IF(OR(AND(H4274=0,ABS(J4274)&gt;=0.01),AND(H4274&lt;&gt;0,ABS(K4274)&gt;VarianceThreshold)),"Review","OK")</f>
        <v>0</v>
      </c>
      <c r="M4274" t="s">
        <v>33</v>
      </c>
    </row>
    <row r="4275" spans="1:13">
      <c r="A4275" t="s">
        <v>6</v>
      </c>
      <c r="B4275" t="s">
        <v>805</v>
      </c>
      <c r="C4275" t="s">
        <v>3308</v>
      </c>
      <c r="D4275" t="s">
        <v>1844</v>
      </c>
      <c r="E4275" cm="1">
        <f t="array" ref="E4275">_xlfn.XLOOKUP(D4275,SKU_Master!A:A,SKU_Master!B:B,"Not on master")</f>
        <v>0</v>
      </c>
      <c r="F4275" cm="1">
        <f t="array" ref="F4275">_xlfn.XLOOKUP(C4275,Account_Master!A:A,Account_Master!B:B,"Not on master")</f>
        <v>0</v>
      </c>
      <c r="G4275" cm="1">
        <f t="array" ref="G4275">_xlfn.XLOOKUP(C4275,Account_Master!A:A,Account_Master!C:C,"Not on master")</f>
        <v>0</v>
      </c>
      <c r="H4275" s="6">
        <v>5.25</v>
      </c>
      <c r="I4275" s="6">
        <v>5.25</v>
      </c>
      <c r="J4275" s="6">
        <f>I4275-H4275</f>
        <v>0</v>
      </c>
      <c r="K4275" s="5">
        <f>IF(H4275=0,"",J4275/H4275)</f>
        <v>0</v>
      </c>
      <c r="L4275">
        <f>IF(OR(AND(H4275=0,ABS(J4275)&gt;=0.01),AND(H4275&lt;&gt;0,ABS(K4275)&gt;VarianceThreshold)),"Review","OK")</f>
        <v>0</v>
      </c>
      <c r="M4275" t="s">
        <v>33</v>
      </c>
    </row>
    <row r="4276" spans="1:13">
      <c r="A4276" t="s">
        <v>6</v>
      </c>
      <c r="B4276" t="s">
        <v>814</v>
      </c>
      <c r="C4276" t="s">
        <v>3310</v>
      </c>
      <c r="D4276" t="s">
        <v>3311</v>
      </c>
      <c r="E4276" cm="1">
        <f t="array" ref="E4276">_xlfn.XLOOKUP(D4276,SKU_Master!A:A,SKU_Master!B:B,"Not on master")</f>
        <v>0</v>
      </c>
      <c r="F4276" cm="1">
        <f t="array" ref="F4276">_xlfn.XLOOKUP(C4276,Account_Master!A:A,Account_Master!B:B,"Not on master")</f>
        <v>0</v>
      </c>
      <c r="G4276" cm="1">
        <f t="array" ref="G4276">_xlfn.XLOOKUP(C4276,Account_Master!A:A,Account_Master!C:C,"Not on master")</f>
        <v>0</v>
      </c>
      <c r="H4276" s="6">
        <v>77</v>
      </c>
      <c r="I4276" s="6">
        <v>77</v>
      </c>
      <c r="J4276" s="6">
        <f>I4276-H4276</f>
        <v>0</v>
      </c>
      <c r="K4276" s="5">
        <f>IF(H4276=0,"",J4276/H4276)</f>
        <v>0</v>
      </c>
      <c r="L4276">
        <f>IF(OR(AND(H4276=0,ABS(J4276)&gt;=0.01),AND(H4276&lt;&gt;0,ABS(K4276)&gt;VarianceThreshold)),"Review","OK")</f>
        <v>0</v>
      </c>
      <c r="M4276" t="s">
        <v>33</v>
      </c>
    </row>
    <row r="4277" spans="1:13">
      <c r="A4277" t="s">
        <v>6</v>
      </c>
      <c r="B4277" t="s">
        <v>814</v>
      </c>
      <c r="C4277" t="s">
        <v>3062</v>
      </c>
      <c r="D4277" t="s">
        <v>2837</v>
      </c>
      <c r="E4277" cm="1">
        <f t="array" ref="E4277">_xlfn.XLOOKUP(D4277,SKU_Master!A:A,SKU_Master!B:B,"Not on master")</f>
        <v>0</v>
      </c>
      <c r="F4277" cm="1">
        <f t="array" ref="F4277">_xlfn.XLOOKUP(C4277,Account_Master!A:A,Account_Master!B:B,"Not on master")</f>
        <v>0</v>
      </c>
      <c r="G4277" cm="1">
        <f t="array" ref="G4277">_xlfn.XLOOKUP(C4277,Account_Master!A:A,Account_Master!C:C,"Not on master")</f>
        <v>0</v>
      </c>
      <c r="H4277" s="6">
        <v>124</v>
      </c>
      <c r="I4277" s="6">
        <v>124</v>
      </c>
      <c r="J4277" s="6">
        <f>I4277-H4277</f>
        <v>0</v>
      </c>
      <c r="K4277" s="5">
        <f>IF(H4277=0,"",J4277/H4277)</f>
        <v>0</v>
      </c>
      <c r="L4277">
        <f>IF(OR(AND(H4277=0,ABS(J4277)&gt;=0.01),AND(H4277&lt;&gt;0,ABS(K4277)&gt;VarianceThreshold)),"Review","OK")</f>
        <v>0</v>
      </c>
      <c r="M4277" t="s">
        <v>33</v>
      </c>
    </row>
    <row r="4278" spans="1:13">
      <c r="A4278" t="s">
        <v>6</v>
      </c>
      <c r="B4278" t="s">
        <v>829</v>
      </c>
      <c r="C4278" t="s">
        <v>3032</v>
      </c>
      <c r="D4278" t="s">
        <v>2223</v>
      </c>
      <c r="E4278" cm="1">
        <f t="array" ref="E4278">_xlfn.XLOOKUP(D4278,SKU_Master!A:A,SKU_Master!B:B,"Not on master")</f>
        <v>0</v>
      </c>
      <c r="F4278" cm="1">
        <f t="array" ref="F4278">_xlfn.XLOOKUP(C4278,Account_Master!A:A,Account_Master!B:B,"Not on master")</f>
        <v>0</v>
      </c>
      <c r="G4278" cm="1">
        <f t="array" ref="G4278">_xlfn.XLOOKUP(C4278,Account_Master!A:A,Account_Master!C:C,"Not on master")</f>
        <v>0</v>
      </c>
      <c r="H4278" s="6">
        <v>3</v>
      </c>
      <c r="I4278" s="6">
        <v>3</v>
      </c>
      <c r="J4278" s="6">
        <f>I4278-H4278</f>
        <v>0</v>
      </c>
      <c r="K4278" s="5">
        <f>IF(H4278=0,"",J4278/H4278)</f>
        <v>0</v>
      </c>
      <c r="L4278">
        <f>IF(OR(AND(H4278=0,ABS(J4278)&gt;=0.01),AND(H4278&lt;&gt;0,ABS(K4278)&gt;VarianceThreshold)),"Review","OK")</f>
        <v>0</v>
      </c>
      <c r="M4278" t="s">
        <v>33</v>
      </c>
    </row>
    <row r="4279" spans="1:13">
      <c r="A4279" t="s">
        <v>6</v>
      </c>
      <c r="B4279" t="s">
        <v>829</v>
      </c>
      <c r="C4279" t="s">
        <v>3039</v>
      </c>
      <c r="D4279" t="s">
        <v>2317</v>
      </c>
      <c r="E4279" cm="1">
        <f t="array" ref="E4279">_xlfn.XLOOKUP(D4279,SKU_Master!A:A,SKU_Master!B:B,"Not on master")</f>
        <v>0</v>
      </c>
      <c r="F4279" cm="1">
        <f t="array" ref="F4279">_xlfn.XLOOKUP(C4279,Account_Master!A:A,Account_Master!B:B,"Not on master")</f>
        <v>0</v>
      </c>
      <c r="G4279" cm="1">
        <f t="array" ref="G4279">_xlfn.XLOOKUP(C4279,Account_Master!A:A,Account_Master!C:C,"Not on master")</f>
        <v>0</v>
      </c>
      <c r="H4279" s="6">
        <v>31.5</v>
      </c>
      <c r="I4279" s="6">
        <v>31.5</v>
      </c>
      <c r="J4279" s="6">
        <f>I4279-H4279</f>
        <v>0</v>
      </c>
      <c r="K4279" s="5">
        <f>IF(H4279=0,"",J4279/H4279)</f>
        <v>0</v>
      </c>
      <c r="L4279">
        <f>IF(OR(AND(H4279=0,ABS(J4279)&gt;=0.01),AND(H4279&lt;&gt;0,ABS(K4279)&gt;VarianceThreshold)),"Review","OK")</f>
        <v>0</v>
      </c>
      <c r="M4279" t="s">
        <v>33</v>
      </c>
    </row>
    <row r="4280" spans="1:13">
      <c r="A4280" t="s">
        <v>6</v>
      </c>
      <c r="B4280" t="s">
        <v>829</v>
      </c>
      <c r="C4280" t="s">
        <v>3054</v>
      </c>
      <c r="D4280" t="s">
        <v>843</v>
      </c>
      <c r="E4280" cm="1">
        <f t="array" ref="E4280">_xlfn.XLOOKUP(D4280,SKU_Master!A:A,SKU_Master!B:B,"Not on master")</f>
        <v>0</v>
      </c>
      <c r="F4280" cm="1">
        <f t="array" ref="F4280">_xlfn.XLOOKUP(C4280,Account_Master!A:A,Account_Master!B:B,"Not on master")</f>
        <v>0</v>
      </c>
      <c r="G4280" cm="1">
        <f t="array" ref="G4280">_xlfn.XLOOKUP(C4280,Account_Master!A:A,Account_Master!C:C,"Not on master")</f>
        <v>0</v>
      </c>
      <c r="H4280" s="6">
        <v>3.75</v>
      </c>
      <c r="I4280" s="6">
        <v>3.75</v>
      </c>
      <c r="J4280" s="6">
        <f>I4280-H4280</f>
        <v>0</v>
      </c>
      <c r="K4280" s="5">
        <f>IF(H4280=0,"",J4280/H4280)</f>
        <v>0</v>
      </c>
      <c r="L4280">
        <f>IF(OR(AND(H4280=0,ABS(J4280)&gt;=0.01),AND(H4280&lt;&gt;0,ABS(K4280)&gt;VarianceThreshold)),"Review","OK")</f>
        <v>0</v>
      </c>
      <c r="M4280" t="s">
        <v>33</v>
      </c>
    </row>
    <row r="4281" spans="1:13">
      <c r="A4281" t="s">
        <v>6</v>
      </c>
      <c r="B4281" t="s">
        <v>829</v>
      </c>
      <c r="C4281" t="s">
        <v>3062</v>
      </c>
      <c r="D4281" t="s">
        <v>2844</v>
      </c>
      <c r="E4281" cm="1">
        <f t="array" ref="E4281">_xlfn.XLOOKUP(D4281,SKU_Master!A:A,SKU_Master!B:B,"Not on master")</f>
        <v>0</v>
      </c>
      <c r="F4281" cm="1">
        <f t="array" ref="F4281">_xlfn.XLOOKUP(C4281,Account_Master!A:A,Account_Master!B:B,"Not on master")</f>
        <v>0</v>
      </c>
      <c r="G4281" cm="1">
        <f t="array" ref="G4281">_xlfn.XLOOKUP(C4281,Account_Master!A:A,Account_Master!C:C,"Not on master")</f>
        <v>0</v>
      </c>
      <c r="H4281" s="6">
        <v>5.5</v>
      </c>
      <c r="I4281" s="6">
        <v>5.15</v>
      </c>
      <c r="J4281" s="6">
        <f>I4281-H4281</f>
        <v>0</v>
      </c>
      <c r="K4281" s="5">
        <f>IF(H4281=0,"",J4281/H4281)</f>
        <v>0</v>
      </c>
      <c r="L4281">
        <f>IF(OR(AND(H4281=0,ABS(J4281)&gt;=0.01),AND(H4281&lt;&gt;0,ABS(K4281)&gt;VarianceThreshold)),"Review","OK")</f>
        <v>0</v>
      </c>
      <c r="M4281" t="s">
        <v>3038</v>
      </c>
    </row>
    <row r="4282" spans="1:13">
      <c r="A4282" t="s">
        <v>6</v>
      </c>
      <c r="B4282" t="s">
        <v>829</v>
      </c>
      <c r="C4282" t="s">
        <v>3312</v>
      </c>
      <c r="D4282" t="s">
        <v>3313</v>
      </c>
      <c r="E4282" cm="1">
        <f t="array" ref="E4282">_xlfn.XLOOKUP(D4282,SKU_Master!A:A,SKU_Master!B:B,"Not on master")</f>
        <v>0</v>
      </c>
      <c r="F4282" cm="1">
        <f t="array" ref="F4282">_xlfn.XLOOKUP(C4282,Account_Master!A:A,Account_Master!B:B,"Not on master")</f>
        <v>0</v>
      </c>
      <c r="G4282" cm="1">
        <f t="array" ref="G4282">_xlfn.XLOOKUP(C4282,Account_Master!A:A,Account_Master!C:C,"Not on master")</f>
        <v>0</v>
      </c>
      <c r="H4282" s="6">
        <v>0.95</v>
      </c>
      <c r="I4282" s="6">
        <v>0.95</v>
      </c>
      <c r="J4282" s="6">
        <f>I4282-H4282</f>
        <v>0</v>
      </c>
      <c r="K4282" s="5">
        <f>IF(H4282=0,"",J4282/H4282)</f>
        <v>0</v>
      </c>
      <c r="L4282">
        <f>IF(OR(AND(H4282=0,ABS(J4282)&gt;=0.01),AND(H4282&lt;&gt;0,ABS(K4282)&gt;VarianceThreshold)),"Review","OK")</f>
        <v>0</v>
      </c>
      <c r="M4282" t="s">
        <v>33</v>
      </c>
    </row>
    <row r="4283" spans="1:13">
      <c r="A4283" t="s">
        <v>6</v>
      </c>
      <c r="B4283" t="s">
        <v>829</v>
      </c>
      <c r="C4283" t="s">
        <v>3062</v>
      </c>
      <c r="D4283" t="s">
        <v>2845</v>
      </c>
      <c r="E4283" cm="1">
        <f t="array" ref="E4283">_xlfn.XLOOKUP(D4283,SKU_Master!A:A,SKU_Master!B:B,"Not on master")</f>
        <v>0</v>
      </c>
      <c r="F4283" cm="1">
        <f t="array" ref="F4283">_xlfn.XLOOKUP(C4283,Account_Master!A:A,Account_Master!B:B,"Not on master")</f>
        <v>0</v>
      </c>
      <c r="G4283" cm="1">
        <f t="array" ref="G4283">_xlfn.XLOOKUP(C4283,Account_Master!A:A,Account_Master!C:C,"Not on master")</f>
        <v>0</v>
      </c>
      <c r="H4283" s="6">
        <v>21</v>
      </c>
      <c r="I4283" s="6">
        <v>21</v>
      </c>
      <c r="J4283" s="6">
        <f>I4283-H4283</f>
        <v>0</v>
      </c>
      <c r="K4283" s="5">
        <f>IF(H4283=0,"",J4283/H4283)</f>
        <v>0</v>
      </c>
      <c r="L4283">
        <f>IF(OR(AND(H4283=0,ABS(J4283)&gt;=0.01),AND(H4283&lt;&gt;0,ABS(K4283)&gt;VarianceThreshold)),"Review","OK")</f>
        <v>0</v>
      </c>
      <c r="M4283" t="s">
        <v>33</v>
      </c>
    </row>
    <row r="4284" spans="1:13">
      <c r="A4284" t="s">
        <v>6</v>
      </c>
      <c r="B4284" t="s">
        <v>836</v>
      </c>
      <c r="C4284" t="s">
        <v>3226</v>
      </c>
      <c r="D4284" t="s">
        <v>3314</v>
      </c>
      <c r="E4284" cm="1">
        <f t="array" ref="E4284">_xlfn.XLOOKUP(D4284,SKU_Master!A:A,SKU_Master!B:B,"Not on master")</f>
        <v>0</v>
      </c>
      <c r="F4284" cm="1">
        <f t="array" ref="F4284">_xlfn.XLOOKUP(C4284,Account_Master!A:A,Account_Master!B:B,"Not on master")</f>
        <v>0</v>
      </c>
      <c r="G4284" cm="1">
        <f t="array" ref="G4284">_xlfn.XLOOKUP(C4284,Account_Master!A:A,Account_Master!C:C,"Not on master")</f>
        <v>0</v>
      </c>
      <c r="H4284" s="6">
        <v>3</v>
      </c>
      <c r="I4284" s="6">
        <v>3</v>
      </c>
      <c r="J4284" s="6">
        <f>I4284-H4284</f>
        <v>0</v>
      </c>
      <c r="K4284" s="5">
        <f>IF(H4284=0,"",J4284/H4284)</f>
        <v>0</v>
      </c>
      <c r="L4284">
        <f>IF(OR(AND(H4284=0,ABS(J4284)&gt;=0.01),AND(H4284&lt;&gt;0,ABS(K4284)&gt;VarianceThreshold)),"Review","OK")</f>
        <v>0</v>
      </c>
      <c r="M4284" t="s">
        <v>33</v>
      </c>
    </row>
    <row r="4285" spans="1:13">
      <c r="A4285" t="s">
        <v>6</v>
      </c>
      <c r="B4285" t="s">
        <v>836</v>
      </c>
      <c r="C4285" t="s">
        <v>3032</v>
      </c>
      <c r="D4285" t="s">
        <v>288</v>
      </c>
      <c r="E4285" cm="1">
        <f t="array" ref="E4285">_xlfn.XLOOKUP(D4285,SKU_Master!A:A,SKU_Master!B:B,"Not on master")</f>
        <v>0</v>
      </c>
      <c r="F4285" cm="1">
        <f t="array" ref="F4285">_xlfn.XLOOKUP(C4285,Account_Master!A:A,Account_Master!B:B,"Not on master")</f>
        <v>0</v>
      </c>
      <c r="G4285" cm="1">
        <f t="array" ref="G4285">_xlfn.XLOOKUP(C4285,Account_Master!A:A,Account_Master!C:C,"Not on master")</f>
        <v>0</v>
      </c>
      <c r="H4285" s="6">
        <v>2.25</v>
      </c>
      <c r="I4285" s="6">
        <v>2.25</v>
      </c>
      <c r="J4285" s="6">
        <f>I4285-H4285</f>
        <v>0</v>
      </c>
      <c r="K4285" s="5">
        <f>IF(H4285=0,"",J4285/H4285)</f>
        <v>0</v>
      </c>
      <c r="L4285">
        <f>IF(OR(AND(H4285=0,ABS(J4285)&gt;=0.01),AND(H4285&lt;&gt;0,ABS(K4285)&gt;VarianceThreshold)),"Review","OK")</f>
        <v>0</v>
      </c>
      <c r="M4285" t="s">
        <v>33</v>
      </c>
    </row>
    <row r="4286" spans="1:13">
      <c r="A4286" t="s">
        <v>6</v>
      </c>
      <c r="B4286" t="s">
        <v>836</v>
      </c>
      <c r="C4286" t="s">
        <v>3039</v>
      </c>
      <c r="D4286" t="s">
        <v>3315</v>
      </c>
      <c r="E4286" cm="1">
        <f t="array" ref="E4286">_xlfn.XLOOKUP(D4286,SKU_Master!A:A,SKU_Master!B:B,"Not on master")</f>
        <v>0</v>
      </c>
      <c r="F4286" cm="1">
        <f t="array" ref="F4286">_xlfn.XLOOKUP(C4286,Account_Master!A:A,Account_Master!B:B,"Not on master")</f>
        <v>0</v>
      </c>
      <c r="G4286" cm="1">
        <f t="array" ref="G4286">_xlfn.XLOOKUP(C4286,Account_Master!A:A,Account_Master!C:C,"Not on master")</f>
        <v>0</v>
      </c>
      <c r="H4286" s="6">
        <v>9</v>
      </c>
      <c r="I4286" s="6">
        <v>9</v>
      </c>
      <c r="J4286" s="6">
        <f>I4286-H4286</f>
        <v>0</v>
      </c>
      <c r="K4286" s="5">
        <f>IF(H4286=0,"",J4286/H4286)</f>
        <v>0</v>
      </c>
      <c r="L4286">
        <f>IF(OR(AND(H4286=0,ABS(J4286)&gt;=0.01),AND(H4286&lt;&gt;0,ABS(K4286)&gt;VarianceThreshold)),"Review","OK")</f>
        <v>0</v>
      </c>
      <c r="M4286" t="s">
        <v>33</v>
      </c>
    </row>
    <row r="4287" spans="1:13">
      <c r="A4287" t="s">
        <v>6</v>
      </c>
      <c r="B4287" t="s">
        <v>846</v>
      </c>
      <c r="C4287" t="s">
        <v>3023</v>
      </c>
      <c r="D4287" t="s">
        <v>3316</v>
      </c>
      <c r="E4287" cm="1">
        <f t="array" ref="E4287">_xlfn.XLOOKUP(D4287,SKU_Master!A:A,SKU_Master!B:B,"Not on master")</f>
        <v>0</v>
      </c>
      <c r="F4287" cm="1">
        <f t="array" ref="F4287">_xlfn.XLOOKUP(C4287,Account_Master!A:A,Account_Master!B:B,"Not on master")</f>
        <v>0</v>
      </c>
      <c r="G4287" cm="1">
        <f t="array" ref="G4287">_xlfn.XLOOKUP(C4287,Account_Master!A:A,Account_Master!C:C,"Not on master")</f>
        <v>0</v>
      </c>
      <c r="H4287" s="6">
        <v>0.05</v>
      </c>
      <c r="I4287" s="6">
        <v>0.05</v>
      </c>
      <c r="J4287" s="6">
        <f>I4287-H4287</f>
        <v>0</v>
      </c>
      <c r="K4287" s="5">
        <f>IF(H4287=0,"",J4287/H4287)</f>
        <v>0</v>
      </c>
      <c r="L4287">
        <f>IF(OR(AND(H4287=0,ABS(J4287)&gt;=0.01),AND(H4287&lt;&gt;0,ABS(K4287)&gt;VarianceThreshold)),"Review","OK")</f>
        <v>0</v>
      </c>
      <c r="M4287" t="s">
        <v>33</v>
      </c>
    </row>
    <row r="4288" spans="1:13">
      <c r="A4288" t="s">
        <v>6</v>
      </c>
      <c r="B4288" t="s">
        <v>846</v>
      </c>
      <c r="C4288" t="s">
        <v>3317</v>
      </c>
      <c r="D4288" t="s">
        <v>3318</v>
      </c>
      <c r="E4288" cm="1">
        <f t="array" ref="E4288">_xlfn.XLOOKUP(D4288,SKU_Master!A:A,SKU_Master!B:B,"Not on master")</f>
        <v>0</v>
      </c>
      <c r="F4288" cm="1">
        <f t="array" ref="F4288">_xlfn.XLOOKUP(C4288,Account_Master!A:A,Account_Master!B:B,"Not on master")</f>
        <v>0</v>
      </c>
      <c r="G4288" cm="1">
        <f t="array" ref="G4288">_xlfn.XLOOKUP(C4288,Account_Master!A:A,Account_Master!C:C,"Not on master")</f>
        <v>0</v>
      </c>
      <c r="H4288" s="6">
        <v>30</v>
      </c>
      <c r="I4288" s="6">
        <v>30</v>
      </c>
      <c r="J4288" s="6">
        <f>I4288-H4288</f>
        <v>0</v>
      </c>
      <c r="K4288" s="5">
        <f>IF(H4288=0,"",J4288/H4288)</f>
        <v>0</v>
      </c>
      <c r="L4288">
        <f>IF(OR(AND(H4288=0,ABS(J4288)&gt;=0.01),AND(H4288&lt;&gt;0,ABS(K4288)&gt;VarianceThreshold)),"Review","OK")</f>
        <v>0</v>
      </c>
      <c r="M4288" t="s">
        <v>33</v>
      </c>
    </row>
    <row r="4289" spans="1:13">
      <c r="A4289" t="s">
        <v>6</v>
      </c>
      <c r="B4289" t="s">
        <v>846</v>
      </c>
      <c r="C4289" t="s">
        <v>3099</v>
      </c>
      <c r="D4289" t="s">
        <v>1793</v>
      </c>
      <c r="E4289" cm="1">
        <f t="array" ref="E4289">_xlfn.XLOOKUP(D4289,SKU_Master!A:A,SKU_Master!B:B,"Not on master")</f>
        <v>0</v>
      </c>
      <c r="F4289" cm="1">
        <f t="array" ref="F4289">_xlfn.XLOOKUP(C4289,Account_Master!A:A,Account_Master!B:B,"Not on master")</f>
        <v>0</v>
      </c>
      <c r="G4289" cm="1">
        <f t="array" ref="G4289">_xlfn.XLOOKUP(C4289,Account_Master!A:A,Account_Master!C:C,"Not on master")</f>
        <v>0</v>
      </c>
      <c r="H4289" s="6">
        <v>199.5</v>
      </c>
      <c r="I4289" s="6">
        <v>199.5</v>
      </c>
      <c r="J4289" s="6">
        <f>I4289-H4289</f>
        <v>0</v>
      </c>
      <c r="K4289" s="5">
        <f>IF(H4289=0,"",J4289/H4289)</f>
        <v>0</v>
      </c>
      <c r="L4289">
        <f>IF(OR(AND(H4289=0,ABS(J4289)&gt;=0.01),AND(H4289&lt;&gt;0,ABS(K4289)&gt;VarianceThreshold)),"Review","OK")</f>
        <v>0</v>
      </c>
      <c r="M4289" t="s">
        <v>33</v>
      </c>
    </row>
    <row r="4290" spans="1:13">
      <c r="A4290" t="s">
        <v>6</v>
      </c>
      <c r="B4290" t="s">
        <v>846</v>
      </c>
      <c r="C4290" t="s">
        <v>33</v>
      </c>
      <c r="D4290" t="s">
        <v>3319</v>
      </c>
      <c r="E4290" cm="1">
        <f t="array" ref="E4290">_xlfn.XLOOKUP(D4290,SKU_Master!A:A,SKU_Master!B:B,"Not on master")</f>
        <v>0</v>
      </c>
      <c r="F4290" cm="1">
        <f t="array" ref="F4290">_xlfn.XLOOKUP(C4290,Account_Master!A:A,Account_Master!B:B,"Not on master")</f>
        <v>0</v>
      </c>
      <c r="G4290" cm="1">
        <f t="array" ref="G4290">_xlfn.XLOOKUP(C4290,Account_Master!A:A,Account_Master!C:C,"Not on master")</f>
        <v>0</v>
      </c>
      <c r="H4290" s="6">
        <v>0</v>
      </c>
      <c r="I4290" s="6">
        <v>21</v>
      </c>
      <c r="J4290" s="6">
        <f>I4290-H4290</f>
        <v>0</v>
      </c>
      <c r="K4290" s="5">
        <f>IF(H4290=0,"",J4290/H4290)</f>
        <v>0</v>
      </c>
      <c r="L4290">
        <f>IF(OR(AND(H4290=0,ABS(J4290)&gt;=0.01),AND(H4290&lt;&gt;0,ABS(K4290)&gt;VarianceThreshold)),"Review","OK")</f>
        <v>0</v>
      </c>
      <c r="M4290" t="s">
        <v>3038</v>
      </c>
    </row>
    <row r="4291" spans="1:13">
      <c r="A4291" t="s">
        <v>6</v>
      </c>
      <c r="B4291" t="s">
        <v>851</v>
      </c>
      <c r="C4291" t="s">
        <v>3151</v>
      </c>
      <c r="D4291" t="s">
        <v>144</v>
      </c>
      <c r="E4291" cm="1">
        <f t="array" ref="E4291">_xlfn.XLOOKUP(D4291,SKU_Master!A:A,SKU_Master!B:B,"Not on master")</f>
        <v>0</v>
      </c>
      <c r="F4291" cm="1">
        <f t="array" ref="F4291">_xlfn.XLOOKUP(C4291,Account_Master!A:A,Account_Master!B:B,"Not on master")</f>
        <v>0</v>
      </c>
      <c r="G4291" cm="1">
        <f t="array" ref="G4291">_xlfn.XLOOKUP(C4291,Account_Master!A:A,Account_Master!C:C,"Not on master")</f>
        <v>0</v>
      </c>
      <c r="H4291" s="6">
        <v>11.25</v>
      </c>
      <c r="I4291" s="6">
        <v>11.25</v>
      </c>
      <c r="J4291" s="6">
        <f>I4291-H4291</f>
        <v>0</v>
      </c>
      <c r="K4291" s="5">
        <f>IF(H4291=0,"",J4291/H4291)</f>
        <v>0</v>
      </c>
      <c r="L4291">
        <f>IF(OR(AND(H4291=0,ABS(J4291)&gt;=0.01),AND(H4291&lt;&gt;0,ABS(K4291)&gt;VarianceThreshold)),"Review","OK")</f>
        <v>0</v>
      </c>
      <c r="M4291" t="s">
        <v>33</v>
      </c>
    </row>
    <row r="4292" spans="1:13">
      <c r="A4292" t="s">
        <v>6</v>
      </c>
      <c r="B4292" t="s">
        <v>851</v>
      </c>
      <c r="C4292" t="s">
        <v>3023</v>
      </c>
      <c r="D4292" t="s">
        <v>2062</v>
      </c>
      <c r="E4292" cm="1">
        <f t="array" ref="E4292">_xlfn.XLOOKUP(D4292,SKU_Master!A:A,SKU_Master!B:B,"Not on master")</f>
        <v>0</v>
      </c>
      <c r="F4292" cm="1">
        <f t="array" ref="F4292">_xlfn.XLOOKUP(C4292,Account_Master!A:A,Account_Master!B:B,"Not on master")</f>
        <v>0</v>
      </c>
      <c r="G4292" cm="1">
        <f t="array" ref="G4292">_xlfn.XLOOKUP(C4292,Account_Master!A:A,Account_Master!C:C,"Not on master")</f>
        <v>0</v>
      </c>
      <c r="H4292" s="6">
        <v>4.5</v>
      </c>
      <c r="I4292" s="6">
        <v>4.5</v>
      </c>
      <c r="J4292" s="6">
        <f>I4292-H4292</f>
        <v>0</v>
      </c>
      <c r="K4292" s="5">
        <f>IF(H4292=0,"",J4292/H4292)</f>
        <v>0</v>
      </c>
      <c r="L4292">
        <f>IF(OR(AND(H4292=0,ABS(J4292)&gt;=0.01),AND(H4292&lt;&gt;0,ABS(K4292)&gt;VarianceThreshold)),"Review","OK")</f>
        <v>0</v>
      </c>
      <c r="M4292" t="s">
        <v>33</v>
      </c>
    </row>
    <row r="4293" spans="1:13">
      <c r="A4293" t="s">
        <v>6</v>
      </c>
      <c r="B4293" t="s">
        <v>851</v>
      </c>
      <c r="C4293" t="s">
        <v>3021</v>
      </c>
      <c r="D4293" t="s">
        <v>3320</v>
      </c>
      <c r="E4293" cm="1">
        <f t="array" ref="E4293">_xlfn.XLOOKUP(D4293,SKU_Master!A:A,SKU_Master!B:B,"Not on master")</f>
        <v>0</v>
      </c>
      <c r="F4293" cm="1">
        <f t="array" ref="F4293">_xlfn.XLOOKUP(C4293,Account_Master!A:A,Account_Master!B:B,"Not on master")</f>
        <v>0</v>
      </c>
      <c r="G4293" cm="1">
        <f t="array" ref="G4293">_xlfn.XLOOKUP(C4293,Account_Master!A:A,Account_Master!C:C,"Not on master")</f>
        <v>0</v>
      </c>
      <c r="H4293" s="6">
        <v>4.2</v>
      </c>
      <c r="I4293" s="6">
        <v>4.2</v>
      </c>
      <c r="J4293" s="6">
        <f>I4293-H4293</f>
        <v>0</v>
      </c>
      <c r="K4293" s="5">
        <f>IF(H4293=0,"",J4293/H4293)</f>
        <v>0</v>
      </c>
      <c r="L4293">
        <f>IF(OR(AND(H4293=0,ABS(J4293)&gt;=0.01),AND(H4293&lt;&gt;0,ABS(K4293)&gt;VarianceThreshold)),"Review","OK")</f>
        <v>0</v>
      </c>
      <c r="M4293" t="s">
        <v>33</v>
      </c>
    </row>
    <row r="4294" spans="1:13">
      <c r="A4294" t="s">
        <v>6</v>
      </c>
      <c r="B4294" t="s">
        <v>851</v>
      </c>
      <c r="C4294" t="s">
        <v>3059</v>
      </c>
      <c r="D4294" t="s">
        <v>199</v>
      </c>
      <c r="E4294" cm="1">
        <f t="array" ref="E4294">_xlfn.XLOOKUP(D4294,SKU_Master!A:A,SKU_Master!B:B,"Not on master")</f>
        <v>0</v>
      </c>
      <c r="F4294" cm="1">
        <f t="array" ref="F4294">_xlfn.XLOOKUP(C4294,Account_Master!A:A,Account_Master!B:B,"Not on master")</f>
        <v>0</v>
      </c>
      <c r="G4294" cm="1">
        <f t="array" ref="G4294">_xlfn.XLOOKUP(C4294,Account_Master!A:A,Account_Master!C:C,"Not on master")</f>
        <v>0</v>
      </c>
      <c r="H4294" s="6">
        <v>45</v>
      </c>
      <c r="I4294" s="6">
        <v>45</v>
      </c>
      <c r="J4294" s="6">
        <f>I4294-H4294</f>
        <v>0</v>
      </c>
      <c r="K4294" s="5">
        <f>IF(H4294=0,"",J4294/H4294)</f>
        <v>0</v>
      </c>
      <c r="L4294">
        <f>IF(OR(AND(H4294=0,ABS(J4294)&gt;=0.01),AND(H4294&lt;&gt;0,ABS(K4294)&gt;VarianceThreshold)),"Review","OK")</f>
        <v>0</v>
      </c>
      <c r="M4294" t="s">
        <v>33</v>
      </c>
    </row>
    <row r="4295" spans="1:13">
      <c r="A4295" t="s">
        <v>6</v>
      </c>
      <c r="B4295" t="s">
        <v>851</v>
      </c>
      <c r="C4295" t="s">
        <v>3084</v>
      </c>
      <c r="D4295" t="s">
        <v>2242</v>
      </c>
      <c r="E4295" cm="1">
        <f t="array" ref="E4295">_xlfn.XLOOKUP(D4295,SKU_Master!A:A,SKU_Master!B:B,"Not on master")</f>
        <v>0</v>
      </c>
      <c r="F4295" cm="1">
        <f t="array" ref="F4295">_xlfn.XLOOKUP(C4295,Account_Master!A:A,Account_Master!B:B,"Not on master")</f>
        <v>0</v>
      </c>
      <c r="G4295" cm="1">
        <f t="array" ref="G4295">_xlfn.XLOOKUP(C4295,Account_Master!A:A,Account_Master!C:C,"Not on master")</f>
        <v>0</v>
      </c>
      <c r="H4295" s="6">
        <v>54.75</v>
      </c>
      <c r="I4295" s="6">
        <v>54.75</v>
      </c>
      <c r="J4295" s="6">
        <f>I4295-H4295</f>
        <v>0</v>
      </c>
      <c r="K4295" s="5">
        <f>IF(H4295=0,"",J4295/H4295)</f>
        <v>0</v>
      </c>
      <c r="L4295">
        <f>IF(OR(AND(H4295=0,ABS(J4295)&gt;=0.01),AND(H4295&lt;&gt;0,ABS(K4295)&gt;VarianceThreshold)),"Review","OK")</f>
        <v>0</v>
      </c>
      <c r="M4295" t="s">
        <v>33</v>
      </c>
    </row>
    <row r="4296" spans="1:13">
      <c r="A4296" t="s">
        <v>6</v>
      </c>
      <c r="B4296" t="s">
        <v>851</v>
      </c>
      <c r="C4296" t="s">
        <v>3021</v>
      </c>
      <c r="D4296" t="s">
        <v>3321</v>
      </c>
      <c r="E4296" cm="1">
        <f t="array" ref="E4296">_xlfn.XLOOKUP(D4296,SKU_Master!A:A,SKU_Master!B:B,"Not on master")</f>
        <v>0</v>
      </c>
      <c r="F4296" cm="1">
        <f t="array" ref="F4296">_xlfn.XLOOKUP(C4296,Account_Master!A:A,Account_Master!B:B,"Not on master")</f>
        <v>0</v>
      </c>
      <c r="G4296" cm="1">
        <f t="array" ref="G4296">_xlfn.XLOOKUP(C4296,Account_Master!A:A,Account_Master!C:C,"Not on master")</f>
        <v>0</v>
      </c>
      <c r="H4296" s="6">
        <v>14</v>
      </c>
      <c r="I4296" s="6">
        <v>14</v>
      </c>
      <c r="J4296" s="6">
        <f>I4296-H4296</f>
        <v>0</v>
      </c>
      <c r="K4296" s="5">
        <f>IF(H4296=0,"",J4296/H4296)</f>
        <v>0</v>
      </c>
      <c r="L4296">
        <f>IF(OR(AND(H4296=0,ABS(J4296)&gt;=0.01),AND(H4296&lt;&gt;0,ABS(K4296)&gt;VarianceThreshold)),"Review","OK")</f>
        <v>0</v>
      </c>
      <c r="M4296" t="s">
        <v>33</v>
      </c>
    </row>
    <row r="4297" spans="1:13">
      <c r="A4297" t="s">
        <v>6</v>
      </c>
      <c r="B4297" t="s">
        <v>851</v>
      </c>
      <c r="C4297" t="s">
        <v>3322</v>
      </c>
      <c r="D4297" t="s">
        <v>1047</v>
      </c>
      <c r="E4297" cm="1">
        <f t="array" ref="E4297">_xlfn.XLOOKUP(D4297,SKU_Master!A:A,SKU_Master!B:B,"Not on master")</f>
        <v>0</v>
      </c>
      <c r="F4297" cm="1">
        <f t="array" ref="F4297">_xlfn.XLOOKUP(C4297,Account_Master!A:A,Account_Master!B:B,"Not on master")</f>
        <v>0</v>
      </c>
      <c r="G4297" cm="1">
        <f t="array" ref="G4297">_xlfn.XLOOKUP(C4297,Account_Master!A:A,Account_Master!C:C,"Not on master")</f>
        <v>0</v>
      </c>
      <c r="H4297" s="6">
        <v>9</v>
      </c>
      <c r="I4297" s="6">
        <v>9</v>
      </c>
      <c r="J4297" s="6">
        <f>I4297-H4297</f>
        <v>0</v>
      </c>
      <c r="K4297" s="5">
        <f>IF(H4297=0,"",J4297/H4297)</f>
        <v>0</v>
      </c>
      <c r="L4297">
        <f>IF(OR(AND(H4297=0,ABS(J4297)&gt;=0.01),AND(H4297&lt;&gt;0,ABS(K4297)&gt;VarianceThreshold)),"Review","OK")</f>
        <v>0</v>
      </c>
      <c r="M4297" t="s">
        <v>33</v>
      </c>
    </row>
    <row r="4298" spans="1:13">
      <c r="A4298" t="s">
        <v>6</v>
      </c>
      <c r="B4298" t="s">
        <v>851</v>
      </c>
      <c r="C4298" t="s">
        <v>3323</v>
      </c>
      <c r="D4298" t="s">
        <v>333</v>
      </c>
      <c r="E4298" cm="1">
        <f t="array" ref="E4298">_xlfn.XLOOKUP(D4298,SKU_Master!A:A,SKU_Master!B:B,"Not on master")</f>
        <v>0</v>
      </c>
      <c r="F4298" cm="1">
        <f t="array" ref="F4298">_xlfn.XLOOKUP(C4298,Account_Master!A:A,Account_Master!B:B,"Not on master")</f>
        <v>0</v>
      </c>
      <c r="G4298" cm="1">
        <f t="array" ref="G4298">_xlfn.XLOOKUP(C4298,Account_Master!A:A,Account_Master!C:C,"Not on master")</f>
        <v>0</v>
      </c>
      <c r="H4298" s="6">
        <v>2.25</v>
      </c>
      <c r="I4298" s="6">
        <v>2.25</v>
      </c>
      <c r="J4298" s="6">
        <f>I4298-H4298</f>
        <v>0</v>
      </c>
      <c r="K4298" s="5">
        <f>IF(H4298=0,"",J4298/H4298)</f>
        <v>0</v>
      </c>
      <c r="L4298">
        <f>IF(OR(AND(H4298=0,ABS(J4298)&gt;=0.01),AND(H4298&lt;&gt;0,ABS(K4298)&gt;VarianceThreshold)),"Review","OK")</f>
        <v>0</v>
      </c>
      <c r="M4298" t="s">
        <v>33</v>
      </c>
    </row>
    <row r="4299" spans="1:13">
      <c r="A4299" t="s">
        <v>6</v>
      </c>
      <c r="B4299" t="s">
        <v>858</v>
      </c>
      <c r="C4299" t="s">
        <v>3062</v>
      </c>
      <c r="D4299" t="s">
        <v>938</v>
      </c>
      <c r="E4299" cm="1">
        <f t="array" ref="E4299">_xlfn.XLOOKUP(D4299,SKU_Master!A:A,SKU_Master!B:B,"Not on master")</f>
        <v>0</v>
      </c>
      <c r="F4299" cm="1">
        <f t="array" ref="F4299">_xlfn.XLOOKUP(C4299,Account_Master!A:A,Account_Master!B:B,"Not on master")</f>
        <v>0</v>
      </c>
      <c r="G4299" cm="1">
        <f t="array" ref="G4299">_xlfn.XLOOKUP(C4299,Account_Master!A:A,Account_Master!C:C,"Not on master")</f>
        <v>0</v>
      </c>
      <c r="H4299" s="6">
        <v>9</v>
      </c>
      <c r="I4299" s="6">
        <v>9</v>
      </c>
      <c r="J4299" s="6">
        <f>I4299-H4299</f>
        <v>0</v>
      </c>
      <c r="K4299" s="5">
        <f>IF(H4299=0,"",J4299/H4299)</f>
        <v>0</v>
      </c>
      <c r="L4299">
        <f>IF(OR(AND(H4299=0,ABS(J4299)&gt;=0.01),AND(H4299&lt;&gt;0,ABS(K4299)&gt;VarianceThreshold)),"Review","OK")</f>
        <v>0</v>
      </c>
      <c r="M4299" t="s">
        <v>33</v>
      </c>
    </row>
    <row r="4300" spans="1:13">
      <c r="A4300" t="s">
        <v>6</v>
      </c>
      <c r="B4300" t="s">
        <v>858</v>
      </c>
      <c r="C4300" t="s">
        <v>3145</v>
      </c>
      <c r="D4300" t="s">
        <v>731</v>
      </c>
      <c r="E4300" cm="1">
        <f t="array" ref="E4300">_xlfn.XLOOKUP(D4300,SKU_Master!A:A,SKU_Master!B:B,"Not on master")</f>
        <v>0</v>
      </c>
      <c r="F4300" cm="1">
        <f t="array" ref="F4300">_xlfn.XLOOKUP(C4300,Account_Master!A:A,Account_Master!B:B,"Not on master")</f>
        <v>0</v>
      </c>
      <c r="G4300" cm="1">
        <f t="array" ref="G4300">_xlfn.XLOOKUP(C4300,Account_Master!A:A,Account_Master!C:C,"Not on master")</f>
        <v>0</v>
      </c>
      <c r="H4300" s="6">
        <v>73.5</v>
      </c>
      <c r="I4300" s="6">
        <v>73.5</v>
      </c>
      <c r="J4300" s="6">
        <f>I4300-H4300</f>
        <v>0</v>
      </c>
      <c r="K4300" s="5">
        <f>IF(H4300=0,"",J4300/H4300)</f>
        <v>0</v>
      </c>
      <c r="L4300">
        <f>IF(OR(AND(H4300=0,ABS(J4300)&gt;=0.01),AND(H4300&lt;&gt;0,ABS(K4300)&gt;VarianceThreshold)),"Review","OK")</f>
        <v>0</v>
      </c>
      <c r="M4300" t="s">
        <v>33</v>
      </c>
    </row>
    <row r="4301" spans="1:13">
      <c r="A4301" t="s">
        <v>6</v>
      </c>
      <c r="B4301" t="s">
        <v>858</v>
      </c>
      <c r="C4301" t="s">
        <v>3223</v>
      </c>
      <c r="D4301" t="s">
        <v>1154</v>
      </c>
      <c r="E4301" cm="1">
        <f t="array" ref="E4301">_xlfn.XLOOKUP(D4301,SKU_Master!A:A,SKU_Master!B:B,"Not on master")</f>
        <v>0</v>
      </c>
      <c r="F4301" cm="1">
        <f t="array" ref="F4301">_xlfn.XLOOKUP(C4301,Account_Master!A:A,Account_Master!B:B,"Not on master")</f>
        <v>0</v>
      </c>
      <c r="G4301" cm="1">
        <f t="array" ref="G4301">_xlfn.XLOOKUP(C4301,Account_Master!A:A,Account_Master!C:C,"Not on master")</f>
        <v>0</v>
      </c>
      <c r="H4301" s="6">
        <v>1.5</v>
      </c>
      <c r="I4301" s="6">
        <v>1.5</v>
      </c>
      <c r="J4301" s="6">
        <f>I4301-H4301</f>
        <v>0</v>
      </c>
      <c r="K4301" s="5">
        <f>IF(H4301=0,"",J4301/H4301)</f>
        <v>0</v>
      </c>
      <c r="L4301">
        <f>IF(OR(AND(H4301=0,ABS(J4301)&gt;=0.01),AND(H4301&lt;&gt;0,ABS(K4301)&gt;VarianceThreshold)),"Review","OK")</f>
        <v>0</v>
      </c>
      <c r="M4301" t="s">
        <v>33</v>
      </c>
    </row>
    <row r="4302" spans="1:13">
      <c r="A4302" t="s">
        <v>6</v>
      </c>
      <c r="B4302" t="s">
        <v>858</v>
      </c>
      <c r="C4302" t="s">
        <v>3089</v>
      </c>
      <c r="D4302" t="s">
        <v>3324</v>
      </c>
      <c r="E4302" cm="1">
        <f t="array" ref="E4302">_xlfn.XLOOKUP(D4302,SKU_Master!A:A,SKU_Master!B:B,"Not on master")</f>
        <v>0</v>
      </c>
      <c r="F4302" cm="1">
        <f t="array" ref="F4302">_xlfn.XLOOKUP(C4302,Account_Master!A:A,Account_Master!B:B,"Not on master")</f>
        <v>0</v>
      </c>
      <c r="G4302" cm="1">
        <f t="array" ref="G4302">_xlfn.XLOOKUP(C4302,Account_Master!A:A,Account_Master!C:C,"Not on master")</f>
        <v>0</v>
      </c>
      <c r="H4302" s="6">
        <v>0.6</v>
      </c>
      <c r="I4302" s="6">
        <v>0.6</v>
      </c>
      <c r="J4302" s="6">
        <f>I4302-H4302</f>
        <v>0</v>
      </c>
      <c r="K4302" s="5">
        <f>IF(H4302=0,"",J4302/H4302)</f>
        <v>0</v>
      </c>
      <c r="L4302">
        <f>IF(OR(AND(H4302=0,ABS(J4302)&gt;=0.01),AND(H4302&lt;&gt;0,ABS(K4302)&gt;VarianceThreshold)),"Review","OK")</f>
        <v>0</v>
      </c>
      <c r="M4302" t="s">
        <v>33</v>
      </c>
    </row>
    <row r="4303" spans="1:13">
      <c r="A4303" t="s">
        <v>6</v>
      </c>
      <c r="B4303" t="s">
        <v>858</v>
      </c>
      <c r="C4303" t="s">
        <v>3025</v>
      </c>
      <c r="D4303" t="s">
        <v>1179</v>
      </c>
      <c r="E4303" cm="1">
        <f t="array" ref="E4303">_xlfn.XLOOKUP(D4303,SKU_Master!A:A,SKU_Master!B:B,"Not on master")</f>
        <v>0</v>
      </c>
      <c r="F4303" cm="1">
        <f t="array" ref="F4303">_xlfn.XLOOKUP(C4303,Account_Master!A:A,Account_Master!B:B,"Not on master")</f>
        <v>0</v>
      </c>
      <c r="G4303" cm="1">
        <f t="array" ref="G4303">_xlfn.XLOOKUP(C4303,Account_Master!A:A,Account_Master!C:C,"Not on master")</f>
        <v>0</v>
      </c>
      <c r="H4303" s="6">
        <v>2.25</v>
      </c>
      <c r="I4303" s="6">
        <v>2.25</v>
      </c>
      <c r="J4303" s="6">
        <f>I4303-H4303</f>
        <v>0</v>
      </c>
      <c r="K4303" s="5">
        <f>IF(H4303=0,"",J4303/H4303)</f>
        <v>0</v>
      </c>
      <c r="L4303">
        <f>IF(OR(AND(H4303=0,ABS(J4303)&gt;=0.01),AND(H4303&lt;&gt;0,ABS(K4303)&gt;VarianceThreshold)),"Review","OK")</f>
        <v>0</v>
      </c>
      <c r="M4303" t="s">
        <v>33</v>
      </c>
    </row>
    <row r="4304" spans="1:13">
      <c r="A4304" t="s">
        <v>6</v>
      </c>
      <c r="B4304" t="s">
        <v>858</v>
      </c>
      <c r="C4304" t="s">
        <v>3029</v>
      </c>
      <c r="D4304" t="s">
        <v>1383</v>
      </c>
      <c r="E4304" cm="1">
        <f t="array" ref="E4304">_xlfn.XLOOKUP(D4304,SKU_Master!A:A,SKU_Master!B:B,"Not on master")</f>
        <v>0</v>
      </c>
      <c r="F4304" cm="1">
        <f t="array" ref="F4304">_xlfn.XLOOKUP(C4304,Account_Master!A:A,Account_Master!B:B,"Not on master")</f>
        <v>0</v>
      </c>
      <c r="G4304" cm="1">
        <f t="array" ref="G4304">_xlfn.XLOOKUP(C4304,Account_Master!A:A,Account_Master!C:C,"Not on master")</f>
        <v>0</v>
      </c>
      <c r="H4304" s="6">
        <v>25.5</v>
      </c>
      <c r="I4304" s="6">
        <v>25.5</v>
      </c>
      <c r="J4304" s="6">
        <f>I4304-H4304</f>
        <v>0</v>
      </c>
      <c r="K4304" s="5">
        <f>IF(H4304=0,"",J4304/H4304)</f>
        <v>0</v>
      </c>
      <c r="L4304">
        <f>IF(OR(AND(H4304=0,ABS(J4304)&gt;=0.01),AND(H4304&lt;&gt;0,ABS(K4304)&gt;VarianceThreshold)),"Review","OK")</f>
        <v>0</v>
      </c>
      <c r="M4304" t="s">
        <v>33</v>
      </c>
    </row>
    <row r="4305" spans="1:13">
      <c r="A4305" t="s">
        <v>6</v>
      </c>
      <c r="B4305" t="s">
        <v>858</v>
      </c>
      <c r="C4305" t="s">
        <v>3089</v>
      </c>
      <c r="D4305" t="s">
        <v>3325</v>
      </c>
      <c r="E4305" cm="1">
        <f t="array" ref="E4305">_xlfn.XLOOKUP(D4305,SKU_Master!A:A,SKU_Master!B:B,"Not on master")</f>
        <v>0</v>
      </c>
      <c r="F4305" cm="1">
        <f t="array" ref="F4305">_xlfn.XLOOKUP(C4305,Account_Master!A:A,Account_Master!B:B,"Not on master")</f>
        <v>0</v>
      </c>
      <c r="G4305" cm="1">
        <f t="array" ref="G4305">_xlfn.XLOOKUP(C4305,Account_Master!A:A,Account_Master!C:C,"Not on master")</f>
        <v>0</v>
      </c>
      <c r="H4305" s="6">
        <v>3</v>
      </c>
      <c r="I4305" s="6">
        <v>3</v>
      </c>
      <c r="J4305" s="6">
        <f>I4305-H4305</f>
        <v>0</v>
      </c>
      <c r="K4305" s="5">
        <f>IF(H4305=0,"",J4305/H4305)</f>
        <v>0</v>
      </c>
      <c r="L4305">
        <f>IF(OR(AND(H4305=0,ABS(J4305)&gt;=0.01),AND(H4305&lt;&gt;0,ABS(K4305)&gt;VarianceThreshold)),"Review","OK")</f>
        <v>0</v>
      </c>
      <c r="M4305" t="s">
        <v>33</v>
      </c>
    </row>
    <row r="4306" spans="1:13">
      <c r="A4306" t="s">
        <v>6</v>
      </c>
      <c r="B4306" t="s">
        <v>858</v>
      </c>
      <c r="C4306" t="s">
        <v>3277</v>
      </c>
      <c r="D4306" t="s">
        <v>1982</v>
      </c>
      <c r="E4306" cm="1">
        <f t="array" ref="E4306">_xlfn.XLOOKUP(D4306,SKU_Master!A:A,SKU_Master!B:B,"Not on master")</f>
        <v>0</v>
      </c>
      <c r="F4306" cm="1">
        <f t="array" ref="F4306">_xlfn.XLOOKUP(C4306,Account_Master!A:A,Account_Master!B:B,"Not on master")</f>
        <v>0</v>
      </c>
      <c r="G4306" cm="1">
        <f t="array" ref="G4306">_xlfn.XLOOKUP(C4306,Account_Master!A:A,Account_Master!C:C,"Not on master")</f>
        <v>0</v>
      </c>
      <c r="H4306" s="6">
        <v>13.5</v>
      </c>
      <c r="I4306" s="6">
        <v>13.5</v>
      </c>
      <c r="J4306" s="6">
        <f>I4306-H4306</f>
        <v>0</v>
      </c>
      <c r="K4306" s="5">
        <f>IF(H4306=0,"",J4306/H4306)</f>
        <v>0</v>
      </c>
      <c r="L4306">
        <f>IF(OR(AND(H4306=0,ABS(J4306)&gt;=0.01),AND(H4306&lt;&gt;0,ABS(K4306)&gt;VarianceThreshold)),"Review","OK")</f>
        <v>0</v>
      </c>
      <c r="M4306" t="s">
        <v>33</v>
      </c>
    </row>
    <row r="4307" spans="1:13">
      <c r="A4307" t="s">
        <v>6</v>
      </c>
      <c r="B4307" t="s">
        <v>858</v>
      </c>
      <c r="C4307" t="s">
        <v>3122</v>
      </c>
      <c r="D4307" t="s">
        <v>550</v>
      </c>
      <c r="E4307" cm="1">
        <f t="array" ref="E4307">_xlfn.XLOOKUP(D4307,SKU_Master!A:A,SKU_Master!B:B,"Not on master")</f>
        <v>0</v>
      </c>
      <c r="F4307" cm="1">
        <f t="array" ref="F4307">_xlfn.XLOOKUP(C4307,Account_Master!A:A,Account_Master!B:B,"Not on master")</f>
        <v>0</v>
      </c>
      <c r="G4307" cm="1">
        <f t="array" ref="G4307">_xlfn.XLOOKUP(C4307,Account_Master!A:A,Account_Master!C:C,"Not on master")</f>
        <v>0</v>
      </c>
      <c r="H4307" s="6">
        <v>11.25</v>
      </c>
      <c r="I4307" s="6">
        <v>9</v>
      </c>
      <c r="J4307" s="6">
        <f>I4307-H4307</f>
        <v>0</v>
      </c>
      <c r="K4307" s="5">
        <f>IF(H4307=0,"",J4307/H4307)</f>
        <v>0</v>
      </c>
      <c r="L4307">
        <f>IF(OR(AND(H4307=0,ABS(J4307)&gt;=0.01),AND(H4307&lt;&gt;0,ABS(K4307)&gt;VarianceThreshold)),"Review","OK")</f>
        <v>0</v>
      </c>
      <c r="M4307" t="s">
        <v>3038</v>
      </c>
    </row>
    <row r="4308" spans="1:13">
      <c r="A4308" t="s">
        <v>6</v>
      </c>
      <c r="B4308" t="s">
        <v>858</v>
      </c>
      <c r="C4308" t="s">
        <v>3094</v>
      </c>
      <c r="D4308" t="s">
        <v>3326</v>
      </c>
      <c r="E4308" cm="1">
        <f t="array" ref="E4308">_xlfn.XLOOKUP(D4308,SKU_Master!A:A,SKU_Master!B:B,"Not on master")</f>
        <v>0</v>
      </c>
      <c r="F4308" cm="1">
        <f t="array" ref="F4308">_xlfn.XLOOKUP(C4308,Account_Master!A:A,Account_Master!B:B,"Not on master")</f>
        <v>0</v>
      </c>
      <c r="G4308" cm="1">
        <f t="array" ref="G4308">_xlfn.XLOOKUP(C4308,Account_Master!A:A,Account_Master!C:C,"Not on master")</f>
        <v>0</v>
      </c>
      <c r="H4308" s="6">
        <v>168</v>
      </c>
      <c r="I4308" s="6">
        <v>168</v>
      </c>
      <c r="J4308" s="6">
        <f>I4308-H4308</f>
        <v>0</v>
      </c>
      <c r="K4308" s="5">
        <f>IF(H4308=0,"",J4308/H4308)</f>
        <v>0</v>
      </c>
      <c r="L4308">
        <f>IF(OR(AND(H4308=0,ABS(J4308)&gt;=0.01),AND(H4308&lt;&gt;0,ABS(K4308)&gt;VarianceThreshold)),"Review","OK")</f>
        <v>0</v>
      </c>
      <c r="M4308" t="s">
        <v>33</v>
      </c>
    </row>
    <row r="4309" spans="1:13">
      <c r="A4309" t="s">
        <v>6</v>
      </c>
      <c r="B4309" t="s">
        <v>858</v>
      </c>
      <c r="C4309" t="s">
        <v>3089</v>
      </c>
      <c r="D4309" t="s">
        <v>3327</v>
      </c>
      <c r="E4309" cm="1">
        <f t="array" ref="E4309">_xlfn.XLOOKUP(D4309,SKU_Master!A:A,SKU_Master!B:B,"Not on master")</f>
        <v>0</v>
      </c>
      <c r="F4309" cm="1">
        <f t="array" ref="F4309">_xlfn.XLOOKUP(C4309,Account_Master!A:A,Account_Master!B:B,"Not on master")</f>
        <v>0</v>
      </c>
      <c r="G4309" cm="1">
        <f t="array" ref="G4309">_xlfn.XLOOKUP(C4309,Account_Master!A:A,Account_Master!C:C,"Not on master")</f>
        <v>0</v>
      </c>
      <c r="H4309" s="6">
        <v>2.25</v>
      </c>
      <c r="I4309" s="6">
        <v>2.25</v>
      </c>
      <c r="J4309" s="6">
        <f>I4309-H4309</f>
        <v>0</v>
      </c>
      <c r="K4309" s="5">
        <f>IF(H4309=0,"",J4309/H4309)</f>
        <v>0</v>
      </c>
      <c r="L4309">
        <f>IF(OR(AND(H4309=0,ABS(J4309)&gt;=0.01),AND(H4309&lt;&gt;0,ABS(K4309)&gt;VarianceThreshold)),"Review","OK")</f>
        <v>0</v>
      </c>
      <c r="M4309" t="s">
        <v>33</v>
      </c>
    </row>
    <row r="4310" spans="1:13">
      <c r="A4310" t="s">
        <v>6</v>
      </c>
      <c r="B4310" t="s">
        <v>858</v>
      </c>
      <c r="C4310" t="s">
        <v>33</v>
      </c>
      <c r="D4310" t="s">
        <v>3328</v>
      </c>
      <c r="E4310" cm="1">
        <f t="array" ref="E4310">_xlfn.XLOOKUP(D4310,SKU_Master!A:A,SKU_Master!B:B,"Not on master")</f>
        <v>0</v>
      </c>
      <c r="F4310" cm="1">
        <f t="array" ref="F4310">_xlfn.XLOOKUP(C4310,Account_Master!A:A,Account_Master!B:B,"Not on master")</f>
        <v>0</v>
      </c>
      <c r="G4310" cm="1">
        <f t="array" ref="G4310">_xlfn.XLOOKUP(C4310,Account_Master!A:A,Account_Master!C:C,"Not on master")</f>
        <v>0</v>
      </c>
      <c r="H4310" s="6">
        <v>0</v>
      </c>
      <c r="I4310" s="6">
        <v>10.5</v>
      </c>
      <c r="J4310" s="6">
        <f>I4310-H4310</f>
        <v>0</v>
      </c>
      <c r="K4310" s="5">
        <f>IF(H4310=0,"",J4310/H4310)</f>
        <v>0</v>
      </c>
      <c r="L4310">
        <f>IF(OR(AND(H4310=0,ABS(J4310)&gt;=0.01),AND(H4310&lt;&gt;0,ABS(K4310)&gt;VarianceThreshold)),"Review","OK")</f>
        <v>0</v>
      </c>
      <c r="M4310" t="s">
        <v>3038</v>
      </c>
    </row>
    <row r="4311" spans="1:13">
      <c r="A4311" t="s">
        <v>6</v>
      </c>
      <c r="B4311" t="s">
        <v>868</v>
      </c>
      <c r="C4311" t="s">
        <v>3329</v>
      </c>
      <c r="D4311" t="s">
        <v>1934</v>
      </c>
      <c r="E4311" cm="1">
        <f t="array" ref="E4311">_xlfn.XLOOKUP(D4311,SKU_Master!A:A,SKU_Master!B:B,"Not on master")</f>
        <v>0</v>
      </c>
      <c r="F4311" cm="1">
        <f t="array" ref="F4311">_xlfn.XLOOKUP(C4311,Account_Master!A:A,Account_Master!B:B,"Not on master")</f>
        <v>0</v>
      </c>
      <c r="G4311" cm="1">
        <f t="array" ref="G4311">_xlfn.XLOOKUP(C4311,Account_Master!A:A,Account_Master!C:C,"Not on master")</f>
        <v>0</v>
      </c>
      <c r="H4311" s="6">
        <v>0.15</v>
      </c>
      <c r="I4311" s="6">
        <v>0.15</v>
      </c>
      <c r="J4311" s="6">
        <f>I4311-H4311</f>
        <v>0</v>
      </c>
      <c r="K4311" s="5">
        <f>IF(H4311=0,"",J4311/H4311)</f>
        <v>0</v>
      </c>
      <c r="L4311">
        <f>IF(OR(AND(H4311=0,ABS(J4311)&gt;=0.01),AND(H4311&lt;&gt;0,ABS(K4311)&gt;VarianceThreshold)),"Review","OK")</f>
        <v>0</v>
      </c>
      <c r="M4311" t="s">
        <v>33</v>
      </c>
    </row>
    <row r="4312" spans="1:13">
      <c r="A4312" t="s">
        <v>6</v>
      </c>
      <c r="B4312" t="s">
        <v>868</v>
      </c>
      <c r="C4312" t="s">
        <v>3154</v>
      </c>
      <c r="D4312" t="s">
        <v>2795</v>
      </c>
      <c r="E4312" cm="1">
        <f t="array" ref="E4312">_xlfn.XLOOKUP(D4312,SKU_Master!A:A,SKU_Master!B:B,"Not on master")</f>
        <v>0</v>
      </c>
      <c r="F4312" cm="1">
        <f t="array" ref="F4312">_xlfn.XLOOKUP(C4312,Account_Master!A:A,Account_Master!B:B,"Not on master")</f>
        <v>0</v>
      </c>
      <c r="G4312" cm="1">
        <f t="array" ref="G4312">_xlfn.XLOOKUP(C4312,Account_Master!A:A,Account_Master!C:C,"Not on master")</f>
        <v>0</v>
      </c>
      <c r="H4312" s="6">
        <v>82.25</v>
      </c>
      <c r="I4312" s="6">
        <v>71.75</v>
      </c>
      <c r="J4312" s="6">
        <f>I4312-H4312</f>
        <v>0</v>
      </c>
      <c r="K4312" s="5">
        <f>IF(H4312=0,"",J4312/H4312)</f>
        <v>0</v>
      </c>
      <c r="L4312">
        <f>IF(OR(AND(H4312=0,ABS(J4312)&gt;=0.01),AND(H4312&lt;&gt;0,ABS(K4312)&gt;VarianceThreshold)),"Review","OK")</f>
        <v>0</v>
      </c>
      <c r="M4312" t="s">
        <v>3038</v>
      </c>
    </row>
    <row r="4313" spans="1:13">
      <c r="A4313" t="s">
        <v>6</v>
      </c>
      <c r="B4313" t="s">
        <v>868</v>
      </c>
      <c r="C4313" t="s">
        <v>3039</v>
      </c>
      <c r="D4313" t="s">
        <v>2401</v>
      </c>
      <c r="E4313" cm="1">
        <f t="array" ref="E4313">_xlfn.XLOOKUP(D4313,SKU_Master!A:A,SKU_Master!B:B,"Not on master")</f>
        <v>0</v>
      </c>
      <c r="F4313" cm="1">
        <f t="array" ref="F4313">_xlfn.XLOOKUP(C4313,Account_Master!A:A,Account_Master!B:B,"Not on master")</f>
        <v>0</v>
      </c>
      <c r="G4313" cm="1">
        <f t="array" ref="G4313">_xlfn.XLOOKUP(C4313,Account_Master!A:A,Account_Master!C:C,"Not on master")</f>
        <v>0</v>
      </c>
      <c r="H4313" s="6">
        <v>84</v>
      </c>
      <c r="I4313" s="6">
        <v>84</v>
      </c>
      <c r="J4313" s="6">
        <f>I4313-H4313</f>
        <v>0</v>
      </c>
      <c r="K4313" s="5">
        <f>IF(H4313=0,"",J4313/H4313)</f>
        <v>0</v>
      </c>
      <c r="L4313">
        <f>IF(OR(AND(H4313=0,ABS(J4313)&gt;=0.01),AND(H4313&lt;&gt;0,ABS(K4313)&gt;VarianceThreshold)),"Review","OK")</f>
        <v>0</v>
      </c>
      <c r="M4313" t="s">
        <v>33</v>
      </c>
    </row>
    <row r="4314" spans="1:13">
      <c r="A4314" t="s">
        <v>6</v>
      </c>
      <c r="B4314" t="s">
        <v>868</v>
      </c>
      <c r="C4314" t="s">
        <v>3102</v>
      </c>
      <c r="D4314" t="s">
        <v>2338</v>
      </c>
      <c r="E4314" cm="1">
        <f t="array" ref="E4314">_xlfn.XLOOKUP(D4314,SKU_Master!A:A,SKU_Master!B:B,"Not on master")</f>
        <v>0</v>
      </c>
      <c r="F4314" cm="1">
        <f t="array" ref="F4314">_xlfn.XLOOKUP(C4314,Account_Master!A:A,Account_Master!B:B,"Not on master")</f>
        <v>0</v>
      </c>
      <c r="G4314" cm="1">
        <f t="array" ref="G4314">_xlfn.XLOOKUP(C4314,Account_Master!A:A,Account_Master!C:C,"Not on master")</f>
        <v>0</v>
      </c>
      <c r="H4314" s="6">
        <v>46.5</v>
      </c>
      <c r="I4314" s="6">
        <v>46.5</v>
      </c>
      <c r="J4314" s="6">
        <f>I4314-H4314</f>
        <v>0</v>
      </c>
      <c r="K4314" s="5">
        <f>IF(H4314=0,"",J4314/H4314)</f>
        <v>0</v>
      </c>
      <c r="L4314">
        <f>IF(OR(AND(H4314=0,ABS(J4314)&gt;=0.01),AND(H4314&lt;&gt;0,ABS(K4314)&gt;VarianceThreshold)),"Review","OK")</f>
        <v>0</v>
      </c>
      <c r="M4314" t="s">
        <v>33</v>
      </c>
    </row>
    <row r="4315" spans="1:13">
      <c r="A4315" t="s">
        <v>6</v>
      </c>
      <c r="B4315" t="s">
        <v>868</v>
      </c>
      <c r="C4315" t="s">
        <v>3127</v>
      </c>
      <c r="D4315" t="s">
        <v>1485</v>
      </c>
      <c r="E4315" cm="1">
        <f t="array" ref="E4315">_xlfn.XLOOKUP(D4315,SKU_Master!A:A,SKU_Master!B:B,"Not on master")</f>
        <v>0</v>
      </c>
      <c r="F4315" cm="1">
        <f t="array" ref="F4315">_xlfn.XLOOKUP(C4315,Account_Master!A:A,Account_Master!B:B,"Not on master")</f>
        <v>0</v>
      </c>
      <c r="G4315" cm="1">
        <f t="array" ref="G4315">_xlfn.XLOOKUP(C4315,Account_Master!A:A,Account_Master!C:C,"Not on master")</f>
        <v>0</v>
      </c>
      <c r="H4315" s="6">
        <v>9</v>
      </c>
      <c r="I4315" s="6">
        <v>9</v>
      </c>
      <c r="J4315" s="6">
        <f>I4315-H4315</f>
        <v>0</v>
      </c>
      <c r="K4315" s="5">
        <f>IF(H4315=0,"",J4315/H4315)</f>
        <v>0</v>
      </c>
      <c r="L4315">
        <f>IF(OR(AND(H4315=0,ABS(J4315)&gt;=0.01),AND(H4315&lt;&gt;0,ABS(K4315)&gt;VarianceThreshold)),"Review","OK")</f>
        <v>0</v>
      </c>
      <c r="M4315" t="s">
        <v>33</v>
      </c>
    </row>
    <row r="4316" spans="1:13">
      <c r="A4316" t="s">
        <v>6</v>
      </c>
      <c r="B4316" t="s">
        <v>868</v>
      </c>
      <c r="C4316" t="s">
        <v>3304</v>
      </c>
      <c r="D4316" t="s">
        <v>1937</v>
      </c>
      <c r="E4316" cm="1">
        <f t="array" ref="E4316">_xlfn.XLOOKUP(D4316,SKU_Master!A:A,SKU_Master!B:B,"Not on master")</f>
        <v>0</v>
      </c>
      <c r="F4316" cm="1">
        <f t="array" ref="F4316">_xlfn.XLOOKUP(C4316,Account_Master!A:A,Account_Master!B:B,"Not on master")</f>
        <v>0</v>
      </c>
      <c r="G4316" cm="1">
        <f t="array" ref="G4316">_xlfn.XLOOKUP(C4316,Account_Master!A:A,Account_Master!C:C,"Not on master")</f>
        <v>0</v>
      </c>
      <c r="H4316" s="6">
        <v>9</v>
      </c>
      <c r="I4316" s="6">
        <v>9</v>
      </c>
      <c r="J4316" s="6">
        <f>I4316-H4316</f>
        <v>0</v>
      </c>
      <c r="K4316" s="5">
        <f>IF(H4316=0,"",J4316/H4316)</f>
        <v>0</v>
      </c>
      <c r="L4316">
        <f>IF(OR(AND(H4316=0,ABS(J4316)&gt;=0.01),AND(H4316&lt;&gt;0,ABS(K4316)&gt;VarianceThreshold)),"Review","OK")</f>
        <v>0</v>
      </c>
      <c r="M4316" t="s">
        <v>33</v>
      </c>
    </row>
    <row r="4317" spans="1:13">
      <c r="A4317" t="s">
        <v>6</v>
      </c>
      <c r="B4317" t="s">
        <v>868</v>
      </c>
      <c r="C4317" t="s">
        <v>33</v>
      </c>
      <c r="D4317" t="s">
        <v>3330</v>
      </c>
      <c r="E4317" cm="1">
        <f t="array" ref="E4317">_xlfn.XLOOKUP(D4317,SKU_Master!A:A,SKU_Master!B:B,"Not on master")</f>
        <v>0</v>
      </c>
      <c r="F4317" cm="1">
        <f t="array" ref="F4317">_xlfn.XLOOKUP(C4317,Account_Master!A:A,Account_Master!B:B,"Not on master")</f>
        <v>0</v>
      </c>
      <c r="G4317" cm="1">
        <f t="array" ref="G4317">_xlfn.XLOOKUP(C4317,Account_Master!A:A,Account_Master!C:C,"Not on master")</f>
        <v>0</v>
      </c>
      <c r="H4317" s="6">
        <v>0</v>
      </c>
      <c r="I4317" s="6">
        <v>4.5</v>
      </c>
      <c r="J4317" s="6">
        <f>I4317-H4317</f>
        <v>0</v>
      </c>
      <c r="K4317" s="5">
        <f>IF(H4317=0,"",J4317/H4317)</f>
        <v>0</v>
      </c>
      <c r="L4317">
        <f>IF(OR(AND(H4317=0,ABS(J4317)&gt;=0.01),AND(H4317&lt;&gt;0,ABS(K4317)&gt;VarianceThreshold)),"Review","OK")</f>
        <v>0</v>
      </c>
      <c r="M4317" t="s">
        <v>3038</v>
      </c>
    </row>
    <row r="4318" spans="1:13">
      <c r="A4318" t="s">
        <v>6</v>
      </c>
      <c r="B4318" t="s">
        <v>876</v>
      </c>
      <c r="C4318" t="s">
        <v>3021</v>
      </c>
      <c r="D4318" t="s">
        <v>524</v>
      </c>
      <c r="E4318" cm="1">
        <f t="array" ref="E4318">_xlfn.XLOOKUP(D4318,SKU_Master!A:A,SKU_Master!B:B,"Not on master")</f>
        <v>0</v>
      </c>
      <c r="F4318" cm="1">
        <f t="array" ref="F4318">_xlfn.XLOOKUP(C4318,Account_Master!A:A,Account_Master!B:B,"Not on master")</f>
        <v>0</v>
      </c>
      <c r="G4318" cm="1">
        <f t="array" ref="G4318">_xlfn.XLOOKUP(C4318,Account_Master!A:A,Account_Master!C:C,"Not on master")</f>
        <v>0</v>
      </c>
      <c r="H4318" s="6">
        <v>50.25</v>
      </c>
      <c r="I4318" s="6">
        <v>50.25</v>
      </c>
      <c r="J4318" s="6">
        <f>I4318-H4318</f>
        <v>0</v>
      </c>
      <c r="K4318" s="5">
        <f>IF(H4318=0,"",J4318/H4318)</f>
        <v>0</v>
      </c>
      <c r="L4318">
        <f>IF(OR(AND(H4318=0,ABS(J4318)&gt;=0.01),AND(H4318&lt;&gt;0,ABS(K4318)&gt;VarianceThreshold)),"Review","OK")</f>
        <v>0</v>
      </c>
      <c r="M4318" t="s">
        <v>33</v>
      </c>
    </row>
    <row r="4319" spans="1:13">
      <c r="A4319" t="s">
        <v>6</v>
      </c>
      <c r="B4319" t="s">
        <v>876</v>
      </c>
      <c r="C4319" t="s">
        <v>3094</v>
      </c>
      <c r="D4319" t="s">
        <v>1343</v>
      </c>
      <c r="E4319" cm="1">
        <f t="array" ref="E4319">_xlfn.XLOOKUP(D4319,SKU_Master!A:A,SKU_Master!B:B,"Not on master")</f>
        <v>0</v>
      </c>
      <c r="F4319" cm="1">
        <f t="array" ref="F4319">_xlfn.XLOOKUP(C4319,Account_Master!A:A,Account_Master!B:B,"Not on master")</f>
        <v>0</v>
      </c>
      <c r="G4319" cm="1">
        <f t="array" ref="G4319">_xlfn.XLOOKUP(C4319,Account_Master!A:A,Account_Master!C:C,"Not on master")</f>
        <v>0</v>
      </c>
      <c r="H4319" s="6">
        <v>480</v>
      </c>
      <c r="I4319" s="6">
        <v>480</v>
      </c>
      <c r="J4319" s="6">
        <f>I4319-H4319</f>
        <v>0</v>
      </c>
      <c r="K4319" s="5">
        <f>IF(H4319=0,"",J4319/H4319)</f>
        <v>0</v>
      </c>
      <c r="L4319">
        <f>IF(OR(AND(H4319=0,ABS(J4319)&gt;=0.01),AND(H4319&lt;&gt;0,ABS(K4319)&gt;VarianceThreshold)),"Review","OK")</f>
        <v>0</v>
      </c>
      <c r="M4319" t="s">
        <v>33</v>
      </c>
    </row>
    <row r="4320" spans="1:13">
      <c r="A4320" t="s">
        <v>6</v>
      </c>
      <c r="B4320" t="s">
        <v>876</v>
      </c>
      <c r="C4320" t="s">
        <v>3073</v>
      </c>
      <c r="D4320" t="s">
        <v>3331</v>
      </c>
      <c r="E4320" cm="1">
        <f t="array" ref="E4320">_xlfn.XLOOKUP(D4320,SKU_Master!A:A,SKU_Master!B:B,"Not on master")</f>
        <v>0</v>
      </c>
      <c r="F4320" cm="1">
        <f t="array" ref="F4320">_xlfn.XLOOKUP(C4320,Account_Master!A:A,Account_Master!B:B,"Not on master")</f>
        <v>0</v>
      </c>
      <c r="G4320" cm="1">
        <f t="array" ref="G4320">_xlfn.XLOOKUP(C4320,Account_Master!A:A,Account_Master!C:C,"Not on master")</f>
        <v>0</v>
      </c>
      <c r="H4320" s="6">
        <v>0.1</v>
      </c>
      <c r="I4320" s="6">
        <v>0.1</v>
      </c>
      <c r="J4320" s="6">
        <f>I4320-H4320</f>
        <v>0</v>
      </c>
      <c r="K4320" s="5">
        <f>IF(H4320=0,"",J4320/H4320)</f>
        <v>0</v>
      </c>
      <c r="L4320">
        <f>IF(OR(AND(H4320=0,ABS(J4320)&gt;=0.01),AND(H4320&lt;&gt;0,ABS(K4320)&gt;VarianceThreshold)),"Review","OK")</f>
        <v>0</v>
      </c>
      <c r="M4320" t="s">
        <v>33</v>
      </c>
    </row>
    <row r="4321" spans="1:13">
      <c r="A4321" t="s">
        <v>6</v>
      </c>
      <c r="B4321" t="s">
        <v>876</v>
      </c>
      <c r="C4321" t="s">
        <v>3041</v>
      </c>
      <c r="D4321" t="s">
        <v>1180</v>
      </c>
      <c r="E4321" cm="1">
        <f t="array" ref="E4321">_xlfn.XLOOKUP(D4321,SKU_Master!A:A,SKU_Master!B:B,"Not on master")</f>
        <v>0</v>
      </c>
      <c r="F4321" cm="1">
        <f t="array" ref="F4321">_xlfn.XLOOKUP(C4321,Account_Master!A:A,Account_Master!B:B,"Not on master")</f>
        <v>0</v>
      </c>
      <c r="G4321" cm="1">
        <f t="array" ref="G4321">_xlfn.XLOOKUP(C4321,Account_Master!A:A,Account_Master!C:C,"Not on master")</f>
        <v>0</v>
      </c>
      <c r="H4321" s="6">
        <v>1.5</v>
      </c>
      <c r="I4321" s="6">
        <v>1.5</v>
      </c>
      <c r="J4321" s="6">
        <f>I4321-H4321</f>
        <v>0</v>
      </c>
      <c r="K4321" s="5">
        <f>IF(H4321=0,"",J4321/H4321)</f>
        <v>0</v>
      </c>
      <c r="L4321">
        <f>IF(OR(AND(H4321=0,ABS(J4321)&gt;=0.01),AND(H4321&lt;&gt;0,ABS(K4321)&gt;VarianceThreshold)),"Review","OK")</f>
        <v>0</v>
      </c>
      <c r="M4321" t="s">
        <v>33</v>
      </c>
    </row>
    <row r="4322" spans="1:13">
      <c r="A4322" t="s">
        <v>6</v>
      </c>
      <c r="B4322" t="s">
        <v>876</v>
      </c>
      <c r="C4322" t="s">
        <v>1893</v>
      </c>
      <c r="D4322" t="s">
        <v>3332</v>
      </c>
      <c r="E4322" cm="1">
        <f t="array" ref="E4322">_xlfn.XLOOKUP(D4322,SKU_Master!A:A,SKU_Master!B:B,"Not on master")</f>
        <v>0</v>
      </c>
      <c r="F4322" cm="1">
        <f t="array" ref="F4322">_xlfn.XLOOKUP(C4322,Account_Master!A:A,Account_Master!B:B,"Not on master")</f>
        <v>0</v>
      </c>
      <c r="G4322" cm="1">
        <f t="array" ref="G4322">_xlfn.XLOOKUP(C4322,Account_Master!A:A,Account_Master!C:C,"Not on master")</f>
        <v>0</v>
      </c>
      <c r="H4322" s="6">
        <v>2.25</v>
      </c>
      <c r="I4322" s="6">
        <v>0</v>
      </c>
      <c r="J4322" s="6">
        <f>I4322-H4322</f>
        <v>0</v>
      </c>
      <c r="K4322" s="5">
        <f>IF(H4322=0,"",J4322/H4322)</f>
        <v>0</v>
      </c>
      <c r="L4322">
        <f>IF(OR(AND(H4322=0,ABS(J4322)&gt;=0.01),AND(H4322&lt;&gt;0,ABS(K4322)&gt;VarianceThreshold)),"Review","OK")</f>
        <v>0</v>
      </c>
      <c r="M4322" t="s">
        <v>3038</v>
      </c>
    </row>
    <row r="4323" spans="1:13">
      <c r="A4323" t="s">
        <v>6</v>
      </c>
      <c r="B4323" t="s">
        <v>876</v>
      </c>
      <c r="C4323" t="s">
        <v>3024</v>
      </c>
      <c r="D4323" t="s">
        <v>415</v>
      </c>
      <c r="E4323" cm="1">
        <f t="array" ref="E4323">_xlfn.XLOOKUP(D4323,SKU_Master!A:A,SKU_Master!B:B,"Not on master")</f>
        <v>0</v>
      </c>
      <c r="F4323" cm="1">
        <f t="array" ref="F4323">_xlfn.XLOOKUP(C4323,Account_Master!A:A,Account_Master!B:B,"Not on master")</f>
        <v>0</v>
      </c>
      <c r="G4323" cm="1">
        <f t="array" ref="G4323">_xlfn.XLOOKUP(C4323,Account_Master!A:A,Account_Master!C:C,"Not on master")</f>
        <v>0</v>
      </c>
      <c r="H4323" s="6">
        <v>12</v>
      </c>
      <c r="I4323" s="6">
        <v>12</v>
      </c>
      <c r="J4323" s="6">
        <f>I4323-H4323</f>
        <v>0</v>
      </c>
      <c r="K4323" s="5">
        <f>IF(H4323=0,"",J4323/H4323)</f>
        <v>0</v>
      </c>
      <c r="L4323">
        <f>IF(OR(AND(H4323=0,ABS(J4323)&gt;=0.01),AND(H4323&lt;&gt;0,ABS(K4323)&gt;VarianceThreshold)),"Review","OK")</f>
        <v>0</v>
      </c>
      <c r="M4323" t="s">
        <v>33</v>
      </c>
    </row>
    <row r="4324" spans="1:13">
      <c r="A4324" t="s">
        <v>6</v>
      </c>
      <c r="B4324" t="s">
        <v>876</v>
      </c>
      <c r="C4324" t="s">
        <v>33</v>
      </c>
      <c r="D4324" t="s">
        <v>3333</v>
      </c>
      <c r="E4324" cm="1">
        <f t="array" ref="E4324">_xlfn.XLOOKUP(D4324,SKU_Master!A:A,SKU_Master!B:B,"Not on master")</f>
        <v>0</v>
      </c>
      <c r="F4324" cm="1">
        <f t="array" ref="F4324">_xlfn.XLOOKUP(C4324,Account_Master!A:A,Account_Master!B:B,"Not on master")</f>
        <v>0</v>
      </c>
      <c r="G4324" cm="1">
        <f t="array" ref="G4324">_xlfn.XLOOKUP(C4324,Account_Master!A:A,Account_Master!C:C,"Not on master")</f>
        <v>0</v>
      </c>
      <c r="H4324" s="6">
        <v>0</v>
      </c>
      <c r="I4324" s="6">
        <v>0.75</v>
      </c>
      <c r="J4324" s="6">
        <f>I4324-H4324</f>
        <v>0</v>
      </c>
      <c r="K4324" s="5">
        <f>IF(H4324=0,"",J4324/H4324)</f>
        <v>0</v>
      </c>
      <c r="L4324">
        <f>IF(OR(AND(H4324=0,ABS(J4324)&gt;=0.01),AND(H4324&lt;&gt;0,ABS(K4324)&gt;VarianceThreshold)),"Review","OK")</f>
        <v>0</v>
      </c>
      <c r="M4324" t="s">
        <v>3038</v>
      </c>
    </row>
    <row r="4325" spans="1:13">
      <c r="A4325" t="s">
        <v>6</v>
      </c>
      <c r="B4325" t="s">
        <v>880</v>
      </c>
      <c r="C4325" t="s">
        <v>3029</v>
      </c>
      <c r="D4325" t="s">
        <v>2478</v>
      </c>
      <c r="E4325" cm="1">
        <f t="array" ref="E4325">_xlfn.XLOOKUP(D4325,SKU_Master!A:A,SKU_Master!B:B,"Not on master")</f>
        <v>0</v>
      </c>
      <c r="F4325" cm="1">
        <f t="array" ref="F4325">_xlfn.XLOOKUP(C4325,Account_Master!A:A,Account_Master!B:B,"Not on master")</f>
        <v>0</v>
      </c>
      <c r="G4325" cm="1">
        <f t="array" ref="G4325">_xlfn.XLOOKUP(C4325,Account_Master!A:A,Account_Master!C:C,"Not on master")</f>
        <v>0</v>
      </c>
      <c r="H4325" s="6">
        <v>12.25</v>
      </c>
      <c r="I4325" s="6">
        <v>12.25</v>
      </c>
      <c r="J4325" s="6">
        <f>I4325-H4325</f>
        <v>0</v>
      </c>
      <c r="K4325" s="5">
        <f>IF(H4325=0,"",J4325/H4325)</f>
        <v>0</v>
      </c>
      <c r="L4325">
        <f>IF(OR(AND(H4325=0,ABS(J4325)&gt;=0.01),AND(H4325&lt;&gt;0,ABS(K4325)&gt;VarianceThreshold)),"Review","OK")</f>
        <v>0</v>
      </c>
      <c r="M4325" t="s">
        <v>33</v>
      </c>
    </row>
    <row r="4326" spans="1:13">
      <c r="A4326" t="s">
        <v>6</v>
      </c>
      <c r="B4326" t="s">
        <v>880</v>
      </c>
      <c r="C4326" t="s">
        <v>3071</v>
      </c>
      <c r="D4326" t="s">
        <v>964</v>
      </c>
      <c r="E4326" cm="1">
        <f t="array" ref="E4326">_xlfn.XLOOKUP(D4326,SKU_Master!A:A,SKU_Master!B:B,"Not on master")</f>
        <v>0</v>
      </c>
      <c r="F4326" cm="1">
        <f t="array" ref="F4326">_xlfn.XLOOKUP(C4326,Account_Master!A:A,Account_Master!B:B,"Not on master")</f>
        <v>0</v>
      </c>
      <c r="G4326" cm="1">
        <f t="array" ref="G4326">_xlfn.XLOOKUP(C4326,Account_Master!A:A,Account_Master!C:C,"Not on master")</f>
        <v>0</v>
      </c>
      <c r="H4326" s="6">
        <v>0.6</v>
      </c>
      <c r="I4326" s="6">
        <v>0.6</v>
      </c>
      <c r="J4326" s="6">
        <f>I4326-H4326</f>
        <v>0</v>
      </c>
      <c r="K4326" s="5">
        <f>IF(H4326=0,"",J4326/H4326)</f>
        <v>0</v>
      </c>
      <c r="L4326">
        <f>IF(OR(AND(H4326=0,ABS(J4326)&gt;=0.01),AND(H4326&lt;&gt;0,ABS(K4326)&gt;VarianceThreshold)),"Review","OK")</f>
        <v>0</v>
      </c>
      <c r="M4326" t="s">
        <v>33</v>
      </c>
    </row>
    <row r="4327" spans="1:13">
      <c r="A4327" t="s">
        <v>6</v>
      </c>
      <c r="B4327" t="s">
        <v>880</v>
      </c>
      <c r="C4327" t="s">
        <v>3035</v>
      </c>
      <c r="D4327" t="s">
        <v>2738</v>
      </c>
      <c r="E4327" cm="1">
        <f t="array" ref="E4327">_xlfn.XLOOKUP(D4327,SKU_Master!A:A,SKU_Master!B:B,"Not on master")</f>
        <v>0</v>
      </c>
      <c r="F4327" cm="1">
        <f t="array" ref="F4327">_xlfn.XLOOKUP(C4327,Account_Master!A:A,Account_Master!B:B,"Not on master")</f>
        <v>0</v>
      </c>
      <c r="G4327" cm="1">
        <f t="array" ref="G4327">_xlfn.XLOOKUP(C4327,Account_Master!A:A,Account_Master!C:C,"Not on master")</f>
        <v>0</v>
      </c>
      <c r="H4327" s="6">
        <v>2.25</v>
      </c>
      <c r="I4327" s="6">
        <v>2.25</v>
      </c>
      <c r="J4327" s="6">
        <f>I4327-H4327</f>
        <v>0</v>
      </c>
      <c r="K4327" s="5">
        <f>IF(H4327=0,"",J4327/H4327)</f>
        <v>0</v>
      </c>
      <c r="L4327">
        <f>IF(OR(AND(H4327=0,ABS(J4327)&gt;=0.01),AND(H4327&lt;&gt;0,ABS(K4327)&gt;VarianceThreshold)),"Review","OK")</f>
        <v>0</v>
      </c>
      <c r="M4327" t="s">
        <v>33</v>
      </c>
    </row>
    <row r="4328" spans="1:13">
      <c r="A4328" t="s">
        <v>6</v>
      </c>
      <c r="B4328" t="s">
        <v>880</v>
      </c>
      <c r="C4328" t="s">
        <v>3226</v>
      </c>
      <c r="D4328" t="s">
        <v>2861</v>
      </c>
      <c r="E4328" cm="1">
        <f t="array" ref="E4328">_xlfn.XLOOKUP(D4328,SKU_Master!A:A,SKU_Master!B:B,"Not on master")</f>
        <v>0</v>
      </c>
      <c r="F4328" cm="1">
        <f t="array" ref="F4328">_xlfn.XLOOKUP(C4328,Account_Master!A:A,Account_Master!B:B,"Not on master")</f>
        <v>0</v>
      </c>
      <c r="G4328" cm="1">
        <f t="array" ref="G4328">_xlfn.XLOOKUP(C4328,Account_Master!A:A,Account_Master!C:C,"Not on master")</f>
        <v>0</v>
      </c>
      <c r="H4328" s="6">
        <v>9</v>
      </c>
      <c r="I4328" s="6">
        <v>9</v>
      </c>
      <c r="J4328" s="6">
        <f>I4328-H4328</f>
        <v>0</v>
      </c>
      <c r="K4328" s="5">
        <f>IF(H4328=0,"",J4328/H4328)</f>
        <v>0</v>
      </c>
      <c r="L4328">
        <f>IF(OR(AND(H4328=0,ABS(J4328)&gt;=0.01),AND(H4328&lt;&gt;0,ABS(K4328)&gt;VarianceThreshold)),"Review","OK")</f>
        <v>0</v>
      </c>
      <c r="M4328" t="s">
        <v>33</v>
      </c>
    </row>
    <row r="4329" spans="1:13">
      <c r="A4329" t="s">
        <v>6</v>
      </c>
      <c r="B4329" t="s">
        <v>880</v>
      </c>
      <c r="C4329" t="s">
        <v>33</v>
      </c>
      <c r="D4329" t="s">
        <v>3334</v>
      </c>
      <c r="E4329" cm="1">
        <f t="array" ref="E4329">_xlfn.XLOOKUP(D4329,SKU_Master!A:A,SKU_Master!B:B,"Not on master")</f>
        <v>0</v>
      </c>
      <c r="F4329" cm="1">
        <f t="array" ref="F4329">_xlfn.XLOOKUP(C4329,Account_Master!A:A,Account_Master!B:B,"Not on master")</f>
        <v>0</v>
      </c>
      <c r="G4329" cm="1">
        <f t="array" ref="G4329">_xlfn.XLOOKUP(C4329,Account_Master!A:A,Account_Master!C:C,"Not on master")</f>
        <v>0</v>
      </c>
      <c r="H4329" s="6">
        <v>0</v>
      </c>
      <c r="I4329" s="6">
        <v>4.5</v>
      </c>
      <c r="J4329" s="6">
        <f>I4329-H4329</f>
        <v>0</v>
      </c>
      <c r="K4329" s="5">
        <f>IF(H4329=0,"",J4329/H4329)</f>
        <v>0</v>
      </c>
      <c r="L4329">
        <f>IF(OR(AND(H4329=0,ABS(J4329)&gt;=0.01),AND(H4329&lt;&gt;0,ABS(K4329)&gt;VarianceThreshold)),"Review","OK")</f>
        <v>0</v>
      </c>
      <c r="M4329" t="s">
        <v>3038</v>
      </c>
    </row>
    <row r="4330" spans="1:13">
      <c r="A4330" t="s">
        <v>6</v>
      </c>
      <c r="B4330" t="s">
        <v>880</v>
      </c>
      <c r="C4330" t="s">
        <v>33</v>
      </c>
      <c r="D4330" t="s">
        <v>3335</v>
      </c>
      <c r="E4330" cm="1">
        <f t="array" ref="E4330">_xlfn.XLOOKUP(D4330,SKU_Master!A:A,SKU_Master!B:B,"Not on master")</f>
        <v>0</v>
      </c>
      <c r="F4330" cm="1">
        <f t="array" ref="F4330">_xlfn.XLOOKUP(C4330,Account_Master!A:A,Account_Master!B:B,"Not on master")</f>
        <v>0</v>
      </c>
      <c r="G4330" cm="1">
        <f t="array" ref="G4330">_xlfn.XLOOKUP(C4330,Account_Master!A:A,Account_Master!C:C,"Not on master")</f>
        <v>0</v>
      </c>
      <c r="H4330" s="6">
        <v>0</v>
      </c>
      <c r="I4330" s="6">
        <v>2.25</v>
      </c>
      <c r="J4330" s="6">
        <f>I4330-H4330</f>
        <v>0</v>
      </c>
      <c r="K4330" s="5">
        <f>IF(H4330=0,"",J4330/H4330)</f>
        <v>0</v>
      </c>
      <c r="L4330">
        <f>IF(OR(AND(H4330=0,ABS(J4330)&gt;=0.01),AND(H4330&lt;&gt;0,ABS(K4330)&gt;VarianceThreshold)),"Review","OK")</f>
        <v>0</v>
      </c>
      <c r="M4330" t="s">
        <v>3038</v>
      </c>
    </row>
    <row r="4331" spans="1:13">
      <c r="A4331" t="s">
        <v>6</v>
      </c>
      <c r="B4331" t="s">
        <v>891</v>
      </c>
      <c r="C4331" t="s">
        <v>3099</v>
      </c>
      <c r="D4331" t="s">
        <v>1267</v>
      </c>
      <c r="E4331" cm="1">
        <f t="array" ref="E4331">_xlfn.XLOOKUP(D4331,SKU_Master!A:A,SKU_Master!B:B,"Not on master")</f>
        <v>0</v>
      </c>
      <c r="F4331" cm="1">
        <f t="array" ref="F4331">_xlfn.XLOOKUP(C4331,Account_Master!A:A,Account_Master!B:B,"Not on master")</f>
        <v>0</v>
      </c>
      <c r="G4331" cm="1">
        <f t="array" ref="G4331">_xlfn.XLOOKUP(C4331,Account_Master!A:A,Account_Master!C:C,"Not on master")</f>
        <v>0</v>
      </c>
      <c r="H4331" s="6">
        <v>9</v>
      </c>
      <c r="I4331" s="6">
        <v>9</v>
      </c>
      <c r="J4331" s="6">
        <f>I4331-H4331</f>
        <v>0</v>
      </c>
      <c r="K4331" s="5">
        <f>IF(H4331=0,"",J4331/H4331)</f>
        <v>0</v>
      </c>
      <c r="L4331">
        <f>IF(OR(AND(H4331=0,ABS(J4331)&gt;=0.01),AND(H4331&lt;&gt;0,ABS(K4331)&gt;VarianceThreshold)),"Review","OK")</f>
        <v>0</v>
      </c>
      <c r="M4331" t="s">
        <v>33</v>
      </c>
    </row>
    <row r="4332" spans="1:13">
      <c r="A4332" t="s">
        <v>6</v>
      </c>
      <c r="B4332" t="s">
        <v>891</v>
      </c>
      <c r="C4332" t="s">
        <v>3140</v>
      </c>
      <c r="D4332" t="s">
        <v>487</v>
      </c>
      <c r="E4332" cm="1">
        <f t="array" ref="E4332">_xlfn.XLOOKUP(D4332,SKU_Master!A:A,SKU_Master!B:B,"Not on master")</f>
        <v>0</v>
      </c>
      <c r="F4332" cm="1">
        <f t="array" ref="F4332">_xlfn.XLOOKUP(C4332,Account_Master!A:A,Account_Master!B:B,"Not on master")</f>
        <v>0</v>
      </c>
      <c r="G4332" cm="1">
        <f t="array" ref="G4332">_xlfn.XLOOKUP(C4332,Account_Master!A:A,Account_Master!C:C,"Not on master")</f>
        <v>0</v>
      </c>
      <c r="H4332" s="6">
        <v>10.5</v>
      </c>
      <c r="I4332" s="6">
        <v>10.5</v>
      </c>
      <c r="J4332" s="6">
        <f>I4332-H4332</f>
        <v>0</v>
      </c>
      <c r="K4332" s="5">
        <f>IF(H4332=0,"",J4332/H4332)</f>
        <v>0</v>
      </c>
      <c r="L4332">
        <f>IF(OR(AND(H4332=0,ABS(J4332)&gt;=0.01),AND(H4332&lt;&gt;0,ABS(K4332)&gt;VarianceThreshold)),"Review","OK")</f>
        <v>0</v>
      </c>
      <c r="M4332" t="s">
        <v>33</v>
      </c>
    </row>
    <row r="4333" spans="1:13">
      <c r="A4333" t="s">
        <v>6</v>
      </c>
      <c r="B4333" t="s">
        <v>891</v>
      </c>
      <c r="C4333" t="s">
        <v>3023</v>
      </c>
      <c r="D4333" t="s">
        <v>510</v>
      </c>
      <c r="E4333" cm="1">
        <f t="array" ref="E4333">_xlfn.XLOOKUP(D4333,SKU_Master!A:A,SKU_Master!B:B,"Not on master")</f>
        <v>0</v>
      </c>
      <c r="F4333" cm="1">
        <f t="array" ref="F4333">_xlfn.XLOOKUP(C4333,Account_Master!A:A,Account_Master!B:B,"Not on master")</f>
        <v>0</v>
      </c>
      <c r="G4333" cm="1">
        <f t="array" ref="G4333">_xlfn.XLOOKUP(C4333,Account_Master!A:A,Account_Master!C:C,"Not on master")</f>
        <v>0</v>
      </c>
      <c r="H4333" s="6">
        <v>1.5</v>
      </c>
      <c r="I4333" s="6">
        <v>1.5</v>
      </c>
      <c r="J4333" s="6">
        <f>I4333-H4333</f>
        <v>0</v>
      </c>
      <c r="K4333" s="5">
        <f>IF(H4333=0,"",J4333/H4333)</f>
        <v>0</v>
      </c>
      <c r="L4333">
        <f>IF(OR(AND(H4333=0,ABS(J4333)&gt;=0.01),AND(H4333&lt;&gt;0,ABS(K4333)&gt;VarianceThreshold)),"Review","OK")</f>
        <v>0</v>
      </c>
      <c r="M4333" t="s">
        <v>33</v>
      </c>
    </row>
    <row r="4334" spans="1:13">
      <c r="A4334" t="s">
        <v>6</v>
      </c>
      <c r="B4334" t="s">
        <v>891</v>
      </c>
      <c r="C4334" t="s">
        <v>33</v>
      </c>
      <c r="D4334" t="s">
        <v>3336</v>
      </c>
      <c r="E4334" cm="1">
        <f t="array" ref="E4334">_xlfn.XLOOKUP(D4334,SKU_Master!A:A,SKU_Master!B:B,"Not on master")</f>
        <v>0</v>
      </c>
      <c r="F4334" cm="1">
        <f t="array" ref="F4334">_xlfn.XLOOKUP(C4334,Account_Master!A:A,Account_Master!B:B,"Not on master")</f>
        <v>0</v>
      </c>
      <c r="G4334" cm="1">
        <f t="array" ref="G4334">_xlfn.XLOOKUP(C4334,Account_Master!A:A,Account_Master!C:C,"Not on master")</f>
        <v>0</v>
      </c>
      <c r="H4334" s="6">
        <v>0</v>
      </c>
      <c r="I4334" s="6">
        <v>9</v>
      </c>
      <c r="J4334" s="6">
        <f>I4334-H4334</f>
        <v>0</v>
      </c>
      <c r="K4334" s="5">
        <f>IF(H4334=0,"",J4334/H4334)</f>
        <v>0</v>
      </c>
      <c r="L4334">
        <f>IF(OR(AND(H4334=0,ABS(J4334)&gt;=0.01),AND(H4334&lt;&gt;0,ABS(K4334)&gt;VarianceThreshold)),"Review","OK")</f>
        <v>0</v>
      </c>
      <c r="M4334" t="s">
        <v>3038</v>
      </c>
    </row>
    <row r="4335" spans="1:13">
      <c r="A4335" t="s">
        <v>6</v>
      </c>
      <c r="B4335" t="s">
        <v>903</v>
      </c>
      <c r="C4335" t="s">
        <v>3271</v>
      </c>
      <c r="D4335" t="s">
        <v>3337</v>
      </c>
      <c r="E4335" cm="1">
        <f t="array" ref="E4335">_xlfn.XLOOKUP(D4335,SKU_Master!A:A,SKU_Master!B:B,"Not on master")</f>
        <v>0</v>
      </c>
      <c r="F4335" cm="1">
        <f t="array" ref="F4335">_xlfn.XLOOKUP(C4335,Account_Master!A:A,Account_Master!B:B,"Not on master")</f>
        <v>0</v>
      </c>
      <c r="G4335" cm="1">
        <f t="array" ref="G4335">_xlfn.XLOOKUP(C4335,Account_Master!A:A,Account_Master!C:C,"Not on master")</f>
        <v>0</v>
      </c>
      <c r="H4335" s="6">
        <v>9</v>
      </c>
      <c r="I4335" s="6">
        <v>9</v>
      </c>
      <c r="J4335" s="6">
        <f>I4335-H4335</f>
        <v>0</v>
      </c>
      <c r="K4335" s="5">
        <f>IF(H4335=0,"",J4335/H4335)</f>
        <v>0</v>
      </c>
      <c r="L4335">
        <f>IF(OR(AND(H4335=0,ABS(J4335)&gt;=0.01),AND(H4335&lt;&gt;0,ABS(K4335)&gt;VarianceThreshold)),"Review","OK")</f>
        <v>0</v>
      </c>
      <c r="M4335" t="s">
        <v>33</v>
      </c>
    </row>
    <row r="4336" spans="1:13">
      <c r="A4336" t="s">
        <v>6</v>
      </c>
      <c r="B4336" t="s">
        <v>903</v>
      </c>
      <c r="C4336" t="s">
        <v>3032</v>
      </c>
      <c r="D4336" t="s">
        <v>581</v>
      </c>
      <c r="E4336" cm="1">
        <f t="array" ref="E4336">_xlfn.XLOOKUP(D4336,SKU_Master!A:A,SKU_Master!B:B,"Not on master")</f>
        <v>0</v>
      </c>
      <c r="F4336" cm="1">
        <f t="array" ref="F4336">_xlfn.XLOOKUP(C4336,Account_Master!A:A,Account_Master!B:B,"Not on master")</f>
        <v>0</v>
      </c>
      <c r="G4336" cm="1">
        <f t="array" ref="G4336">_xlfn.XLOOKUP(C4336,Account_Master!A:A,Account_Master!C:C,"Not on master")</f>
        <v>0</v>
      </c>
      <c r="H4336" s="6">
        <v>1.5</v>
      </c>
      <c r="I4336" s="6">
        <v>1.5</v>
      </c>
      <c r="J4336" s="6">
        <f>I4336-H4336</f>
        <v>0</v>
      </c>
      <c r="K4336" s="5">
        <f>IF(H4336=0,"",J4336/H4336)</f>
        <v>0</v>
      </c>
      <c r="L4336">
        <f>IF(OR(AND(H4336=0,ABS(J4336)&gt;=0.01),AND(H4336&lt;&gt;0,ABS(K4336)&gt;VarianceThreshold)),"Review","OK")</f>
        <v>0</v>
      </c>
      <c r="M4336" t="s">
        <v>33</v>
      </c>
    </row>
    <row r="4337" spans="1:13">
      <c r="A4337" t="s">
        <v>6</v>
      </c>
      <c r="B4337" t="s">
        <v>903</v>
      </c>
      <c r="C4337" t="s">
        <v>3089</v>
      </c>
      <c r="D4337" t="s">
        <v>1311</v>
      </c>
      <c r="E4337" cm="1">
        <f t="array" ref="E4337">_xlfn.XLOOKUP(D4337,SKU_Master!A:A,SKU_Master!B:B,"Not on master")</f>
        <v>0</v>
      </c>
      <c r="F4337" cm="1">
        <f t="array" ref="F4337">_xlfn.XLOOKUP(C4337,Account_Master!A:A,Account_Master!B:B,"Not on master")</f>
        <v>0</v>
      </c>
      <c r="G4337" cm="1">
        <f t="array" ref="G4337">_xlfn.XLOOKUP(C4337,Account_Master!A:A,Account_Master!C:C,"Not on master")</f>
        <v>0</v>
      </c>
      <c r="H4337" s="6">
        <v>2.25</v>
      </c>
      <c r="I4337" s="6">
        <v>2.25</v>
      </c>
      <c r="J4337" s="6">
        <f>I4337-H4337</f>
        <v>0</v>
      </c>
      <c r="K4337" s="5">
        <f>IF(H4337=0,"",J4337/H4337)</f>
        <v>0</v>
      </c>
      <c r="L4337">
        <f>IF(OR(AND(H4337=0,ABS(J4337)&gt;=0.01),AND(H4337&lt;&gt;0,ABS(K4337)&gt;VarianceThreshold)),"Review","OK")</f>
        <v>0</v>
      </c>
      <c r="M4337" t="s">
        <v>33</v>
      </c>
    </row>
    <row r="4338" spans="1:13">
      <c r="A4338" t="s">
        <v>6</v>
      </c>
      <c r="B4338" t="s">
        <v>915</v>
      </c>
      <c r="C4338" t="s">
        <v>3031</v>
      </c>
      <c r="D4338" t="s">
        <v>2222</v>
      </c>
      <c r="E4338" cm="1">
        <f t="array" ref="E4338">_xlfn.XLOOKUP(D4338,SKU_Master!A:A,SKU_Master!B:B,"Not on master")</f>
        <v>0</v>
      </c>
      <c r="F4338" cm="1">
        <f t="array" ref="F4338">_xlfn.XLOOKUP(C4338,Account_Master!A:A,Account_Master!B:B,"Not on master")</f>
        <v>0</v>
      </c>
      <c r="G4338" cm="1">
        <f t="array" ref="G4338">_xlfn.XLOOKUP(C4338,Account_Master!A:A,Account_Master!C:C,"Not on master")</f>
        <v>0</v>
      </c>
      <c r="H4338" s="6">
        <v>9</v>
      </c>
      <c r="I4338" s="6">
        <v>9</v>
      </c>
      <c r="J4338" s="6">
        <f>I4338-H4338</f>
        <v>0</v>
      </c>
      <c r="K4338" s="5">
        <f>IF(H4338=0,"",J4338/H4338)</f>
        <v>0</v>
      </c>
      <c r="L4338">
        <f>IF(OR(AND(H4338=0,ABS(J4338)&gt;=0.01),AND(H4338&lt;&gt;0,ABS(K4338)&gt;VarianceThreshold)),"Review","OK")</f>
        <v>0</v>
      </c>
      <c r="M4338" t="s">
        <v>33</v>
      </c>
    </row>
    <row r="4339" spans="1:13">
      <c r="A4339" t="s">
        <v>6</v>
      </c>
      <c r="B4339" t="s">
        <v>915</v>
      </c>
      <c r="C4339" t="s">
        <v>3140</v>
      </c>
      <c r="D4339" t="s">
        <v>2092</v>
      </c>
      <c r="E4339" cm="1">
        <f t="array" ref="E4339">_xlfn.XLOOKUP(D4339,SKU_Master!A:A,SKU_Master!B:B,"Not on master")</f>
        <v>0</v>
      </c>
      <c r="F4339" cm="1">
        <f t="array" ref="F4339">_xlfn.XLOOKUP(C4339,Account_Master!A:A,Account_Master!B:B,"Not on master")</f>
        <v>0</v>
      </c>
      <c r="G4339" cm="1">
        <f t="array" ref="G4339">_xlfn.XLOOKUP(C4339,Account_Master!A:A,Account_Master!C:C,"Not on master")</f>
        <v>0</v>
      </c>
      <c r="H4339" s="6">
        <v>18</v>
      </c>
      <c r="I4339" s="6">
        <v>18</v>
      </c>
      <c r="J4339" s="6">
        <f>I4339-H4339</f>
        <v>0</v>
      </c>
      <c r="K4339" s="5">
        <f>IF(H4339=0,"",J4339/H4339)</f>
        <v>0</v>
      </c>
      <c r="L4339">
        <f>IF(OR(AND(H4339=0,ABS(J4339)&gt;=0.01),AND(H4339&lt;&gt;0,ABS(K4339)&gt;VarianceThreshold)),"Review","OK")</f>
        <v>0</v>
      </c>
      <c r="M4339" t="s">
        <v>33</v>
      </c>
    </row>
    <row r="4340" spans="1:13">
      <c r="A4340" t="s">
        <v>6</v>
      </c>
      <c r="B4340" t="s">
        <v>915</v>
      </c>
      <c r="C4340" t="s">
        <v>3056</v>
      </c>
      <c r="D4340" t="s">
        <v>3338</v>
      </c>
      <c r="E4340" cm="1">
        <f t="array" ref="E4340">_xlfn.XLOOKUP(D4340,SKU_Master!A:A,SKU_Master!B:B,"Not on master")</f>
        <v>0</v>
      </c>
      <c r="F4340" cm="1">
        <f t="array" ref="F4340">_xlfn.XLOOKUP(C4340,Account_Master!A:A,Account_Master!B:B,"Not on master")</f>
        <v>0</v>
      </c>
      <c r="G4340" cm="1">
        <f t="array" ref="G4340">_xlfn.XLOOKUP(C4340,Account_Master!A:A,Account_Master!C:C,"Not on master")</f>
        <v>0</v>
      </c>
      <c r="H4340" s="6">
        <v>19.5</v>
      </c>
      <c r="I4340" s="6">
        <v>19.5</v>
      </c>
      <c r="J4340" s="6">
        <f>I4340-H4340</f>
        <v>0</v>
      </c>
      <c r="K4340" s="5">
        <f>IF(H4340=0,"",J4340/H4340)</f>
        <v>0</v>
      </c>
      <c r="L4340">
        <f>IF(OR(AND(H4340=0,ABS(J4340)&gt;=0.01),AND(H4340&lt;&gt;0,ABS(K4340)&gt;VarianceThreshold)),"Review","OK")</f>
        <v>0</v>
      </c>
      <c r="M4340" t="s">
        <v>33</v>
      </c>
    </row>
    <row r="4341" spans="1:13">
      <c r="A4341" t="s">
        <v>6</v>
      </c>
      <c r="B4341" t="s">
        <v>915</v>
      </c>
      <c r="C4341" t="s">
        <v>3122</v>
      </c>
      <c r="D4341" t="s">
        <v>583</v>
      </c>
      <c r="E4341" cm="1">
        <f t="array" ref="E4341">_xlfn.XLOOKUP(D4341,SKU_Master!A:A,SKU_Master!B:B,"Not on master")</f>
        <v>0</v>
      </c>
      <c r="F4341" cm="1">
        <f t="array" ref="F4341">_xlfn.XLOOKUP(C4341,Account_Master!A:A,Account_Master!B:B,"Not on master")</f>
        <v>0</v>
      </c>
      <c r="G4341" cm="1">
        <f t="array" ref="G4341">_xlfn.XLOOKUP(C4341,Account_Master!A:A,Account_Master!C:C,"Not on master")</f>
        <v>0</v>
      </c>
      <c r="H4341" s="6">
        <v>33.75</v>
      </c>
      <c r="I4341" s="6">
        <v>33.75</v>
      </c>
      <c r="J4341" s="6">
        <f>I4341-H4341</f>
        <v>0</v>
      </c>
      <c r="K4341" s="5">
        <f>IF(H4341=0,"",J4341/H4341)</f>
        <v>0</v>
      </c>
      <c r="L4341">
        <f>IF(OR(AND(H4341=0,ABS(J4341)&gt;=0.01),AND(H4341&lt;&gt;0,ABS(K4341)&gt;VarianceThreshold)),"Review","OK")</f>
        <v>0</v>
      </c>
      <c r="M4341" t="s">
        <v>33</v>
      </c>
    </row>
    <row r="4342" spans="1:13">
      <c r="A4342" t="s">
        <v>6</v>
      </c>
      <c r="B4342" t="s">
        <v>915</v>
      </c>
      <c r="C4342" t="s">
        <v>3161</v>
      </c>
      <c r="D4342" t="s">
        <v>1362</v>
      </c>
      <c r="E4342" cm="1">
        <f t="array" ref="E4342">_xlfn.XLOOKUP(D4342,SKU_Master!A:A,SKU_Master!B:B,"Not on master")</f>
        <v>0</v>
      </c>
      <c r="F4342" cm="1">
        <f t="array" ref="F4342">_xlfn.XLOOKUP(C4342,Account_Master!A:A,Account_Master!B:B,"Not on master")</f>
        <v>0</v>
      </c>
      <c r="G4342" cm="1">
        <f t="array" ref="G4342">_xlfn.XLOOKUP(C4342,Account_Master!A:A,Account_Master!C:C,"Not on master")</f>
        <v>0</v>
      </c>
      <c r="H4342" s="6">
        <v>47.98</v>
      </c>
      <c r="I4342" s="6">
        <v>47.98</v>
      </c>
      <c r="J4342" s="6">
        <f>I4342-H4342</f>
        <v>0</v>
      </c>
      <c r="K4342" s="5">
        <f>IF(H4342=0,"",J4342/H4342)</f>
        <v>0</v>
      </c>
      <c r="L4342">
        <f>IF(OR(AND(H4342=0,ABS(J4342)&gt;=0.01),AND(H4342&lt;&gt;0,ABS(K4342)&gt;VarianceThreshold)),"Review","OK")</f>
        <v>0</v>
      </c>
      <c r="M4342" t="s">
        <v>33</v>
      </c>
    </row>
    <row r="4343" spans="1:13">
      <c r="A4343" t="s">
        <v>6</v>
      </c>
      <c r="B4343" t="s">
        <v>915</v>
      </c>
      <c r="C4343" t="s">
        <v>3161</v>
      </c>
      <c r="D4343" t="s">
        <v>824</v>
      </c>
      <c r="E4343" cm="1">
        <f t="array" ref="E4343">_xlfn.XLOOKUP(D4343,SKU_Master!A:A,SKU_Master!B:B,"Not on master")</f>
        <v>0</v>
      </c>
      <c r="F4343" cm="1">
        <f t="array" ref="F4343">_xlfn.XLOOKUP(C4343,Account_Master!A:A,Account_Master!B:B,"Not on master")</f>
        <v>0</v>
      </c>
      <c r="G4343" cm="1">
        <f t="array" ref="G4343">_xlfn.XLOOKUP(C4343,Account_Master!A:A,Account_Master!C:C,"Not on master")</f>
        <v>0</v>
      </c>
      <c r="H4343" s="6">
        <v>6</v>
      </c>
      <c r="I4343" s="6">
        <v>6</v>
      </c>
      <c r="J4343" s="6">
        <f>I4343-H4343</f>
        <v>0</v>
      </c>
      <c r="K4343" s="5">
        <f>IF(H4343=0,"",J4343/H4343)</f>
        <v>0</v>
      </c>
      <c r="L4343">
        <f>IF(OR(AND(H4343=0,ABS(J4343)&gt;=0.01),AND(H4343&lt;&gt;0,ABS(K4343)&gt;VarianceThreshold)),"Review","OK")</f>
        <v>0</v>
      </c>
      <c r="M4343" t="s">
        <v>33</v>
      </c>
    </row>
    <row r="4344" spans="1:13">
      <c r="A4344" t="s">
        <v>6</v>
      </c>
      <c r="B4344" t="s">
        <v>915</v>
      </c>
      <c r="C4344" t="s">
        <v>3089</v>
      </c>
      <c r="D4344" t="s">
        <v>3339</v>
      </c>
      <c r="E4344" cm="1">
        <f t="array" ref="E4344">_xlfn.XLOOKUP(D4344,SKU_Master!A:A,SKU_Master!B:B,"Not on master")</f>
        <v>0</v>
      </c>
      <c r="F4344" cm="1">
        <f t="array" ref="F4344">_xlfn.XLOOKUP(C4344,Account_Master!A:A,Account_Master!B:B,"Not on master")</f>
        <v>0</v>
      </c>
      <c r="G4344" cm="1">
        <f t="array" ref="G4344">_xlfn.XLOOKUP(C4344,Account_Master!A:A,Account_Master!C:C,"Not on master")</f>
        <v>0</v>
      </c>
      <c r="H4344" s="6">
        <v>3.5</v>
      </c>
      <c r="I4344" s="6">
        <v>3.5</v>
      </c>
      <c r="J4344" s="6">
        <f>I4344-H4344</f>
        <v>0</v>
      </c>
      <c r="K4344" s="5">
        <f>IF(H4344=0,"",J4344/H4344)</f>
        <v>0</v>
      </c>
      <c r="L4344">
        <f>IF(OR(AND(H4344=0,ABS(J4344)&gt;=0.01),AND(H4344&lt;&gt;0,ABS(K4344)&gt;VarianceThreshold)),"Review","OK")</f>
        <v>0</v>
      </c>
      <c r="M4344" t="s">
        <v>33</v>
      </c>
    </row>
    <row r="4345" spans="1:13">
      <c r="A4345" t="s">
        <v>6</v>
      </c>
      <c r="B4345" t="s">
        <v>922</v>
      </c>
      <c r="C4345" t="s">
        <v>3277</v>
      </c>
      <c r="D4345" t="s">
        <v>1828</v>
      </c>
      <c r="E4345" cm="1">
        <f t="array" ref="E4345">_xlfn.XLOOKUP(D4345,SKU_Master!A:A,SKU_Master!B:B,"Not on master")</f>
        <v>0</v>
      </c>
      <c r="F4345" cm="1">
        <f t="array" ref="F4345">_xlfn.XLOOKUP(C4345,Account_Master!A:A,Account_Master!B:B,"Not on master")</f>
        <v>0</v>
      </c>
      <c r="G4345" cm="1">
        <f t="array" ref="G4345">_xlfn.XLOOKUP(C4345,Account_Master!A:A,Account_Master!C:C,"Not on master")</f>
        <v>0</v>
      </c>
      <c r="H4345" s="6">
        <v>52.5</v>
      </c>
      <c r="I4345" s="6">
        <v>52.5</v>
      </c>
      <c r="J4345" s="6">
        <f>I4345-H4345</f>
        <v>0</v>
      </c>
      <c r="K4345" s="5">
        <f>IF(H4345=0,"",J4345/H4345)</f>
        <v>0</v>
      </c>
      <c r="L4345">
        <f>IF(OR(AND(H4345=0,ABS(J4345)&gt;=0.01),AND(H4345&lt;&gt;0,ABS(K4345)&gt;VarianceThreshold)),"Review","OK")</f>
        <v>0</v>
      </c>
      <c r="M4345" t="s">
        <v>33</v>
      </c>
    </row>
    <row r="4346" spans="1:13">
      <c r="A4346" t="s">
        <v>6</v>
      </c>
      <c r="B4346" t="s">
        <v>922</v>
      </c>
      <c r="C4346" t="s">
        <v>33</v>
      </c>
      <c r="D4346" t="s">
        <v>3340</v>
      </c>
      <c r="E4346" cm="1">
        <f t="array" ref="E4346">_xlfn.XLOOKUP(D4346,SKU_Master!A:A,SKU_Master!B:B,"Not on master")</f>
        <v>0</v>
      </c>
      <c r="F4346" cm="1">
        <f t="array" ref="F4346">_xlfn.XLOOKUP(C4346,Account_Master!A:A,Account_Master!B:B,"Not on master")</f>
        <v>0</v>
      </c>
      <c r="G4346" cm="1">
        <f t="array" ref="G4346">_xlfn.XLOOKUP(C4346,Account_Master!A:A,Account_Master!C:C,"Not on master")</f>
        <v>0</v>
      </c>
      <c r="H4346" s="6">
        <v>0</v>
      </c>
      <c r="I4346" s="6">
        <v>0.7</v>
      </c>
      <c r="J4346" s="6">
        <f>I4346-H4346</f>
        <v>0</v>
      </c>
      <c r="K4346" s="5">
        <f>IF(H4346=0,"",J4346/H4346)</f>
        <v>0</v>
      </c>
      <c r="L4346">
        <f>IF(OR(AND(H4346=0,ABS(J4346)&gt;=0.01),AND(H4346&lt;&gt;0,ABS(K4346)&gt;VarianceThreshold)),"Review","OK")</f>
        <v>0</v>
      </c>
      <c r="M4346" t="s">
        <v>3038</v>
      </c>
    </row>
    <row r="4347" spans="1:13">
      <c r="A4347" t="s">
        <v>6</v>
      </c>
      <c r="B4347" t="s">
        <v>922</v>
      </c>
      <c r="C4347" t="s">
        <v>33</v>
      </c>
      <c r="D4347" t="s">
        <v>3341</v>
      </c>
      <c r="E4347" cm="1">
        <f t="array" ref="E4347">_xlfn.XLOOKUP(D4347,SKU_Master!A:A,SKU_Master!B:B,"Not on master")</f>
        <v>0</v>
      </c>
      <c r="F4347" cm="1">
        <f t="array" ref="F4347">_xlfn.XLOOKUP(C4347,Account_Master!A:A,Account_Master!B:B,"Not on master")</f>
        <v>0</v>
      </c>
      <c r="G4347" cm="1">
        <f t="array" ref="G4347">_xlfn.XLOOKUP(C4347,Account_Master!A:A,Account_Master!C:C,"Not on master")</f>
        <v>0</v>
      </c>
      <c r="H4347" s="6">
        <v>0</v>
      </c>
      <c r="I4347" s="6">
        <v>9</v>
      </c>
      <c r="J4347" s="6">
        <f>I4347-H4347</f>
        <v>0</v>
      </c>
      <c r="K4347" s="5">
        <f>IF(H4347=0,"",J4347/H4347)</f>
        <v>0</v>
      </c>
      <c r="L4347">
        <f>IF(OR(AND(H4347=0,ABS(J4347)&gt;=0.01),AND(H4347&lt;&gt;0,ABS(K4347)&gt;VarianceThreshold)),"Review","OK")</f>
        <v>0</v>
      </c>
      <c r="M4347" t="s">
        <v>3038</v>
      </c>
    </row>
    <row r="4348" spans="1:13">
      <c r="A4348" t="s">
        <v>6</v>
      </c>
      <c r="B4348" t="s">
        <v>944</v>
      </c>
      <c r="C4348" t="s">
        <v>3032</v>
      </c>
      <c r="D4348" t="s">
        <v>3342</v>
      </c>
      <c r="E4348" cm="1">
        <f t="array" ref="E4348">_xlfn.XLOOKUP(D4348,SKU_Master!A:A,SKU_Master!B:B,"Not on master")</f>
        <v>0</v>
      </c>
      <c r="F4348" cm="1">
        <f t="array" ref="F4348">_xlfn.XLOOKUP(C4348,Account_Master!A:A,Account_Master!B:B,"Not on master")</f>
        <v>0</v>
      </c>
      <c r="G4348" cm="1">
        <f t="array" ref="G4348">_xlfn.XLOOKUP(C4348,Account_Master!A:A,Account_Master!C:C,"Not on master")</f>
        <v>0</v>
      </c>
      <c r="H4348" s="6">
        <v>4.5</v>
      </c>
      <c r="I4348" s="6">
        <v>4.5</v>
      </c>
      <c r="J4348" s="6">
        <f>I4348-H4348</f>
        <v>0</v>
      </c>
      <c r="K4348" s="5">
        <f>IF(H4348=0,"",J4348/H4348)</f>
        <v>0</v>
      </c>
      <c r="L4348">
        <f>IF(OR(AND(H4348=0,ABS(J4348)&gt;=0.01),AND(H4348&lt;&gt;0,ABS(K4348)&gt;VarianceThreshold)),"Review","OK")</f>
        <v>0</v>
      </c>
      <c r="M4348" t="s">
        <v>33</v>
      </c>
    </row>
    <row r="4349" spans="1:13">
      <c r="A4349" t="s">
        <v>6</v>
      </c>
      <c r="B4349" t="s">
        <v>944</v>
      </c>
      <c r="C4349" t="s">
        <v>3343</v>
      </c>
      <c r="D4349" t="s">
        <v>1358</v>
      </c>
      <c r="E4349" cm="1">
        <f t="array" ref="E4349">_xlfn.XLOOKUP(D4349,SKU_Master!A:A,SKU_Master!B:B,"Not on master")</f>
        <v>0</v>
      </c>
      <c r="F4349" cm="1">
        <f t="array" ref="F4349">_xlfn.XLOOKUP(C4349,Account_Master!A:A,Account_Master!B:B,"Not on master")</f>
        <v>0</v>
      </c>
      <c r="G4349" cm="1">
        <f t="array" ref="G4349">_xlfn.XLOOKUP(C4349,Account_Master!A:A,Account_Master!C:C,"Not on master")</f>
        <v>0</v>
      </c>
      <c r="H4349" s="6">
        <v>88.5</v>
      </c>
      <c r="I4349" s="6">
        <v>88.5</v>
      </c>
      <c r="J4349" s="6">
        <f>I4349-H4349</f>
        <v>0</v>
      </c>
      <c r="K4349" s="5">
        <f>IF(H4349=0,"",J4349/H4349)</f>
        <v>0</v>
      </c>
      <c r="L4349">
        <f>IF(OR(AND(H4349=0,ABS(J4349)&gt;=0.01),AND(H4349&lt;&gt;0,ABS(K4349)&gt;VarianceThreshold)),"Review","OK")</f>
        <v>0</v>
      </c>
      <c r="M4349" t="s">
        <v>33</v>
      </c>
    </row>
    <row r="4350" spans="1:13">
      <c r="A4350" t="s">
        <v>6</v>
      </c>
      <c r="B4350" t="s">
        <v>944</v>
      </c>
      <c r="C4350" t="s">
        <v>3022</v>
      </c>
      <c r="D4350" t="s">
        <v>1653</v>
      </c>
      <c r="E4350" cm="1">
        <f t="array" ref="E4350">_xlfn.XLOOKUP(D4350,SKU_Master!A:A,SKU_Master!B:B,"Not on master")</f>
        <v>0</v>
      </c>
      <c r="F4350" cm="1">
        <f t="array" ref="F4350">_xlfn.XLOOKUP(C4350,Account_Master!A:A,Account_Master!B:B,"Not on master")</f>
        <v>0</v>
      </c>
      <c r="G4350" cm="1">
        <f t="array" ref="G4350">_xlfn.XLOOKUP(C4350,Account_Master!A:A,Account_Master!C:C,"Not on master")</f>
        <v>0</v>
      </c>
      <c r="H4350" s="6">
        <v>474.25</v>
      </c>
      <c r="I4350" s="6">
        <v>463.75</v>
      </c>
      <c r="J4350" s="6">
        <f>I4350-H4350</f>
        <v>0</v>
      </c>
      <c r="K4350" s="5">
        <f>IF(H4350=0,"",J4350/H4350)</f>
        <v>0</v>
      </c>
      <c r="L4350">
        <f>IF(OR(AND(H4350=0,ABS(J4350)&gt;=0.01),AND(H4350&lt;&gt;0,ABS(K4350)&gt;VarianceThreshold)),"Review","OK")</f>
        <v>0</v>
      </c>
      <c r="M4350" t="s">
        <v>33</v>
      </c>
    </row>
    <row r="4351" spans="1:13">
      <c r="A4351" t="s">
        <v>6</v>
      </c>
      <c r="B4351" t="s">
        <v>944</v>
      </c>
      <c r="C4351" t="s">
        <v>3039</v>
      </c>
      <c r="D4351" t="s">
        <v>997</v>
      </c>
      <c r="E4351" cm="1">
        <f t="array" ref="E4351">_xlfn.XLOOKUP(D4351,SKU_Master!A:A,SKU_Master!B:B,"Not on master")</f>
        <v>0</v>
      </c>
      <c r="F4351" cm="1">
        <f t="array" ref="F4351">_xlfn.XLOOKUP(C4351,Account_Master!A:A,Account_Master!B:B,"Not on master")</f>
        <v>0</v>
      </c>
      <c r="G4351" cm="1">
        <f t="array" ref="G4351">_xlfn.XLOOKUP(C4351,Account_Master!A:A,Account_Master!C:C,"Not on master")</f>
        <v>0</v>
      </c>
      <c r="H4351" s="6">
        <v>1.5</v>
      </c>
      <c r="I4351" s="6">
        <v>1.5</v>
      </c>
      <c r="J4351" s="6">
        <f>I4351-H4351</f>
        <v>0</v>
      </c>
      <c r="K4351" s="5">
        <f>IF(H4351=0,"",J4351/H4351)</f>
        <v>0</v>
      </c>
      <c r="L4351">
        <f>IF(OR(AND(H4351=0,ABS(J4351)&gt;=0.01),AND(H4351&lt;&gt;0,ABS(K4351)&gt;VarianceThreshold)),"Review","OK")</f>
        <v>0</v>
      </c>
      <c r="M4351" t="s">
        <v>33</v>
      </c>
    </row>
    <row r="4352" spans="1:13">
      <c r="A4352" t="s">
        <v>6</v>
      </c>
      <c r="B4352" t="s">
        <v>944</v>
      </c>
      <c r="C4352" t="s">
        <v>3041</v>
      </c>
      <c r="D4352" t="s">
        <v>812</v>
      </c>
      <c r="E4352" cm="1">
        <f t="array" ref="E4352">_xlfn.XLOOKUP(D4352,SKU_Master!A:A,SKU_Master!B:B,"Not on master")</f>
        <v>0</v>
      </c>
      <c r="F4352" cm="1">
        <f t="array" ref="F4352">_xlfn.XLOOKUP(C4352,Account_Master!A:A,Account_Master!B:B,"Not on master")</f>
        <v>0</v>
      </c>
      <c r="G4352" cm="1">
        <f t="array" ref="G4352">_xlfn.XLOOKUP(C4352,Account_Master!A:A,Account_Master!C:C,"Not on master")</f>
        <v>0</v>
      </c>
      <c r="H4352" s="6">
        <v>178.5</v>
      </c>
      <c r="I4352" s="6">
        <v>178.5</v>
      </c>
      <c r="J4352" s="6">
        <f>I4352-H4352</f>
        <v>0</v>
      </c>
      <c r="K4352" s="5">
        <f>IF(H4352=0,"",J4352/H4352)</f>
        <v>0</v>
      </c>
      <c r="L4352">
        <f>IF(OR(AND(H4352=0,ABS(J4352)&gt;=0.01),AND(H4352&lt;&gt;0,ABS(K4352)&gt;VarianceThreshold)),"Review","OK")</f>
        <v>0</v>
      </c>
      <c r="M4352" t="s">
        <v>33</v>
      </c>
    </row>
    <row r="4353" spans="1:13">
      <c r="A4353" t="s">
        <v>6</v>
      </c>
      <c r="B4353" t="s">
        <v>944</v>
      </c>
      <c r="C4353" t="s">
        <v>3089</v>
      </c>
      <c r="D4353" t="s">
        <v>1770</v>
      </c>
      <c r="E4353" cm="1">
        <f t="array" ref="E4353">_xlfn.XLOOKUP(D4353,SKU_Master!A:A,SKU_Master!B:B,"Not on master")</f>
        <v>0</v>
      </c>
      <c r="F4353" cm="1">
        <f t="array" ref="F4353">_xlfn.XLOOKUP(C4353,Account_Master!A:A,Account_Master!B:B,"Not on master")</f>
        <v>0</v>
      </c>
      <c r="G4353" cm="1">
        <f t="array" ref="G4353">_xlfn.XLOOKUP(C4353,Account_Master!A:A,Account_Master!C:C,"Not on master")</f>
        <v>0</v>
      </c>
      <c r="H4353" s="6">
        <v>2.25</v>
      </c>
      <c r="I4353" s="6">
        <v>2.25</v>
      </c>
      <c r="J4353" s="6">
        <f>I4353-H4353</f>
        <v>0</v>
      </c>
      <c r="K4353" s="5">
        <f>IF(H4353=0,"",J4353/H4353)</f>
        <v>0</v>
      </c>
      <c r="L4353">
        <f>IF(OR(AND(H4353=0,ABS(J4353)&gt;=0.01),AND(H4353&lt;&gt;0,ABS(K4353)&gt;VarianceThreshold)),"Review","OK")</f>
        <v>0</v>
      </c>
      <c r="M4353" t="s">
        <v>33</v>
      </c>
    </row>
    <row r="4354" spans="1:13">
      <c r="A4354" t="s">
        <v>6</v>
      </c>
      <c r="B4354" t="s">
        <v>944</v>
      </c>
      <c r="C4354" t="s">
        <v>3066</v>
      </c>
      <c r="D4354" t="s">
        <v>732</v>
      </c>
      <c r="E4354" cm="1">
        <f t="array" ref="E4354">_xlfn.XLOOKUP(D4354,SKU_Master!A:A,SKU_Master!B:B,"Not on master")</f>
        <v>0</v>
      </c>
      <c r="F4354" cm="1">
        <f t="array" ref="F4354">_xlfn.XLOOKUP(C4354,Account_Master!A:A,Account_Master!B:B,"Not on master")</f>
        <v>0</v>
      </c>
      <c r="G4354" cm="1">
        <f t="array" ref="G4354">_xlfn.XLOOKUP(C4354,Account_Master!A:A,Account_Master!C:C,"Not on master")</f>
        <v>0</v>
      </c>
      <c r="H4354" s="6">
        <v>4.5</v>
      </c>
      <c r="I4354" s="6">
        <v>4.5</v>
      </c>
      <c r="J4354" s="6">
        <f>I4354-H4354</f>
        <v>0</v>
      </c>
      <c r="K4354" s="5">
        <f>IF(H4354=0,"",J4354/H4354)</f>
        <v>0</v>
      </c>
      <c r="L4354">
        <f>IF(OR(AND(H4354=0,ABS(J4354)&gt;=0.01),AND(H4354&lt;&gt;0,ABS(K4354)&gt;VarianceThreshold)),"Review","OK")</f>
        <v>0</v>
      </c>
      <c r="M4354" t="s">
        <v>33</v>
      </c>
    </row>
    <row r="4355" spans="1:13">
      <c r="A4355" t="s">
        <v>6</v>
      </c>
      <c r="B4355" t="s">
        <v>944</v>
      </c>
      <c r="C4355" t="s">
        <v>3029</v>
      </c>
      <c r="D4355" t="s">
        <v>593</v>
      </c>
      <c r="E4355" cm="1">
        <f t="array" ref="E4355">_xlfn.XLOOKUP(D4355,SKU_Master!A:A,SKU_Master!B:B,"Not on master")</f>
        <v>0</v>
      </c>
      <c r="F4355" cm="1">
        <f t="array" ref="F4355">_xlfn.XLOOKUP(C4355,Account_Master!A:A,Account_Master!B:B,"Not on master")</f>
        <v>0</v>
      </c>
      <c r="G4355" cm="1">
        <f t="array" ref="G4355">_xlfn.XLOOKUP(C4355,Account_Master!A:A,Account_Master!C:C,"Not on master")</f>
        <v>0</v>
      </c>
      <c r="H4355" s="6">
        <v>8</v>
      </c>
      <c r="I4355" s="6">
        <v>8</v>
      </c>
      <c r="J4355" s="6">
        <f>I4355-H4355</f>
        <v>0</v>
      </c>
      <c r="K4355" s="5">
        <f>IF(H4355=0,"",J4355/H4355)</f>
        <v>0</v>
      </c>
      <c r="L4355">
        <f>IF(OR(AND(H4355=0,ABS(J4355)&gt;=0.01),AND(H4355&lt;&gt;0,ABS(K4355)&gt;VarianceThreshold)),"Review","OK")</f>
        <v>0</v>
      </c>
      <c r="M4355" t="s">
        <v>33</v>
      </c>
    </row>
    <row r="4356" spans="1:13">
      <c r="A4356" t="s">
        <v>6</v>
      </c>
      <c r="B4356" t="s">
        <v>952</v>
      </c>
      <c r="C4356" t="s">
        <v>3344</v>
      </c>
      <c r="D4356" t="s">
        <v>2195</v>
      </c>
      <c r="E4356" cm="1">
        <f t="array" ref="E4356">_xlfn.XLOOKUP(D4356,SKU_Master!A:A,SKU_Master!B:B,"Not on master")</f>
        <v>0</v>
      </c>
      <c r="F4356" cm="1">
        <f t="array" ref="F4356">_xlfn.XLOOKUP(C4356,Account_Master!A:A,Account_Master!B:B,"Not on master")</f>
        <v>0</v>
      </c>
      <c r="G4356" cm="1">
        <f t="array" ref="G4356">_xlfn.XLOOKUP(C4356,Account_Master!A:A,Account_Master!C:C,"Not on master")</f>
        <v>0</v>
      </c>
      <c r="H4356" s="6">
        <v>0.75</v>
      </c>
      <c r="I4356" s="6">
        <v>0.75</v>
      </c>
      <c r="J4356" s="6">
        <f>I4356-H4356</f>
        <v>0</v>
      </c>
      <c r="K4356" s="5">
        <f>IF(H4356=0,"",J4356/H4356)</f>
        <v>0</v>
      </c>
      <c r="L4356">
        <f>IF(OR(AND(H4356=0,ABS(J4356)&gt;=0.01),AND(H4356&lt;&gt;0,ABS(K4356)&gt;VarianceThreshold)),"Review","OK")</f>
        <v>0</v>
      </c>
      <c r="M4356" t="s">
        <v>33</v>
      </c>
    </row>
    <row r="4357" spans="1:13">
      <c r="A4357" t="s">
        <v>6</v>
      </c>
      <c r="B4357" t="s">
        <v>952</v>
      </c>
      <c r="C4357" t="s">
        <v>3277</v>
      </c>
      <c r="D4357" t="s">
        <v>1939</v>
      </c>
      <c r="E4357" cm="1">
        <f t="array" ref="E4357">_xlfn.XLOOKUP(D4357,SKU_Master!A:A,SKU_Master!B:B,"Not on master")</f>
        <v>0</v>
      </c>
      <c r="F4357" cm="1">
        <f t="array" ref="F4357">_xlfn.XLOOKUP(C4357,Account_Master!A:A,Account_Master!B:B,"Not on master")</f>
        <v>0</v>
      </c>
      <c r="G4357" cm="1">
        <f t="array" ref="G4357">_xlfn.XLOOKUP(C4357,Account_Master!A:A,Account_Master!C:C,"Not on master")</f>
        <v>0</v>
      </c>
      <c r="H4357" s="6">
        <v>3.75</v>
      </c>
      <c r="I4357" s="6">
        <v>3.75</v>
      </c>
      <c r="J4357" s="6">
        <f>I4357-H4357</f>
        <v>0</v>
      </c>
      <c r="K4357" s="5">
        <f>IF(H4357=0,"",J4357/H4357)</f>
        <v>0</v>
      </c>
      <c r="L4357">
        <f>IF(OR(AND(H4357=0,ABS(J4357)&gt;=0.01),AND(H4357&lt;&gt;0,ABS(K4357)&gt;VarianceThreshold)),"Review","OK")</f>
        <v>0</v>
      </c>
      <c r="M4357" t="s">
        <v>33</v>
      </c>
    </row>
    <row r="4358" spans="1:13">
      <c r="A4358" t="s">
        <v>6</v>
      </c>
      <c r="B4358" t="s">
        <v>952</v>
      </c>
      <c r="C4358" t="s">
        <v>3345</v>
      </c>
      <c r="D4358" t="s">
        <v>326</v>
      </c>
      <c r="E4358" cm="1">
        <f t="array" ref="E4358">_xlfn.XLOOKUP(D4358,SKU_Master!A:A,SKU_Master!B:B,"Not on master")</f>
        <v>0</v>
      </c>
      <c r="F4358" cm="1">
        <f t="array" ref="F4358">_xlfn.XLOOKUP(C4358,Account_Master!A:A,Account_Master!B:B,"Not on master")</f>
        <v>0</v>
      </c>
      <c r="G4358" cm="1">
        <f t="array" ref="G4358">_xlfn.XLOOKUP(C4358,Account_Master!A:A,Account_Master!C:C,"Not on master")</f>
        <v>0</v>
      </c>
      <c r="H4358" s="6">
        <v>1.5</v>
      </c>
      <c r="I4358" s="6">
        <v>1.5</v>
      </c>
      <c r="J4358" s="6">
        <f>I4358-H4358</f>
        <v>0</v>
      </c>
      <c r="K4358" s="5">
        <f>IF(H4358=0,"",J4358/H4358)</f>
        <v>0</v>
      </c>
      <c r="L4358">
        <f>IF(OR(AND(H4358=0,ABS(J4358)&gt;=0.01),AND(H4358&lt;&gt;0,ABS(K4358)&gt;VarianceThreshold)),"Review","OK")</f>
        <v>0</v>
      </c>
      <c r="M4358" t="s">
        <v>33</v>
      </c>
    </row>
    <row r="4359" spans="1:13">
      <c r="A4359" t="s">
        <v>6</v>
      </c>
      <c r="B4359" t="s">
        <v>952</v>
      </c>
      <c r="C4359" t="s">
        <v>3322</v>
      </c>
      <c r="D4359" t="s">
        <v>962</v>
      </c>
      <c r="E4359" cm="1">
        <f t="array" ref="E4359">_xlfn.XLOOKUP(D4359,SKU_Master!A:A,SKU_Master!B:B,"Not on master")</f>
        <v>0</v>
      </c>
      <c r="F4359" cm="1">
        <f t="array" ref="F4359">_xlfn.XLOOKUP(C4359,Account_Master!A:A,Account_Master!B:B,"Not on master")</f>
        <v>0</v>
      </c>
      <c r="G4359" cm="1">
        <f t="array" ref="G4359">_xlfn.XLOOKUP(C4359,Account_Master!A:A,Account_Master!C:C,"Not on master")</f>
        <v>0</v>
      </c>
      <c r="H4359" s="6">
        <v>6.75</v>
      </c>
      <c r="I4359" s="6">
        <v>6.75</v>
      </c>
      <c r="J4359" s="6">
        <f>I4359-H4359</f>
        <v>0</v>
      </c>
      <c r="K4359" s="5">
        <f>IF(H4359=0,"",J4359/H4359)</f>
        <v>0</v>
      </c>
      <c r="L4359">
        <f>IF(OR(AND(H4359=0,ABS(J4359)&gt;=0.01),AND(H4359&lt;&gt;0,ABS(K4359)&gt;VarianceThreshold)),"Review","OK")</f>
        <v>0</v>
      </c>
      <c r="M4359" t="s">
        <v>33</v>
      </c>
    </row>
    <row r="4360" spans="1:13">
      <c r="A4360" t="s">
        <v>6</v>
      </c>
      <c r="B4360" t="s">
        <v>952</v>
      </c>
      <c r="C4360" t="s">
        <v>3032</v>
      </c>
      <c r="D4360" t="s">
        <v>1075</v>
      </c>
      <c r="E4360" cm="1">
        <f t="array" ref="E4360">_xlfn.XLOOKUP(D4360,SKU_Master!A:A,SKU_Master!B:B,"Not on master")</f>
        <v>0</v>
      </c>
      <c r="F4360" cm="1">
        <f t="array" ref="F4360">_xlfn.XLOOKUP(C4360,Account_Master!A:A,Account_Master!B:B,"Not on master")</f>
        <v>0</v>
      </c>
      <c r="G4360" cm="1">
        <f t="array" ref="G4360">_xlfn.XLOOKUP(C4360,Account_Master!A:A,Account_Master!C:C,"Not on master")</f>
        <v>0</v>
      </c>
      <c r="H4360" s="6">
        <v>1.5</v>
      </c>
      <c r="I4360" s="6">
        <v>1.5</v>
      </c>
      <c r="J4360" s="6">
        <f>I4360-H4360</f>
        <v>0</v>
      </c>
      <c r="K4360" s="5">
        <f>IF(H4360=0,"",J4360/H4360)</f>
        <v>0</v>
      </c>
      <c r="L4360">
        <f>IF(OR(AND(H4360=0,ABS(J4360)&gt;=0.01),AND(H4360&lt;&gt;0,ABS(K4360)&gt;VarianceThreshold)),"Review","OK")</f>
        <v>0</v>
      </c>
      <c r="M4360" t="s">
        <v>33</v>
      </c>
    </row>
    <row r="4361" spans="1:13">
      <c r="A4361" t="s">
        <v>6</v>
      </c>
      <c r="B4361" t="s">
        <v>952</v>
      </c>
      <c r="C4361" t="s">
        <v>3346</v>
      </c>
      <c r="D4361" t="s">
        <v>848</v>
      </c>
      <c r="E4361" cm="1">
        <f t="array" ref="E4361">_xlfn.XLOOKUP(D4361,SKU_Master!A:A,SKU_Master!B:B,"Not on master")</f>
        <v>0</v>
      </c>
      <c r="F4361" cm="1">
        <f t="array" ref="F4361">_xlfn.XLOOKUP(C4361,Account_Master!A:A,Account_Master!B:B,"Not on master")</f>
        <v>0</v>
      </c>
      <c r="G4361" cm="1">
        <f t="array" ref="G4361">_xlfn.XLOOKUP(C4361,Account_Master!A:A,Account_Master!C:C,"Not on master")</f>
        <v>0</v>
      </c>
      <c r="H4361" s="6">
        <v>2.25</v>
      </c>
      <c r="I4361" s="6">
        <v>2.25</v>
      </c>
      <c r="J4361" s="6">
        <f>I4361-H4361</f>
        <v>0</v>
      </c>
      <c r="K4361" s="5">
        <f>IF(H4361=0,"",J4361/H4361)</f>
        <v>0</v>
      </c>
      <c r="L4361">
        <f>IF(OR(AND(H4361=0,ABS(J4361)&gt;=0.01),AND(H4361&lt;&gt;0,ABS(K4361)&gt;VarianceThreshold)),"Review","OK")</f>
        <v>0</v>
      </c>
      <c r="M4361" t="s">
        <v>33</v>
      </c>
    </row>
    <row r="4362" spans="1:13">
      <c r="A4362" t="s">
        <v>6</v>
      </c>
      <c r="B4362" t="s">
        <v>952</v>
      </c>
      <c r="C4362" t="s">
        <v>3269</v>
      </c>
      <c r="D4362" t="s">
        <v>782</v>
      </c>
      <c r="E4362" cm="1">
        <f t="array" ref="E4362">_xlfn.XLOOKUP(D4362,SKU_Master!A:A,SKU_Master!B:B,"Not on master")</f>
        <v>0</v>
      </c>
      <c r="F4362" cm="1">
        <f t="array" ref="F4362">_xlfn.XLOOKUP(C4362,Account_Master!A:A,Account_Master!B:B,"Not on master")</f>
        <v>0</v>
      </c>
      <c r="G4362" cm="1">
        <f t="array" ref="G4362">_xlfn.XLOOKUP(C4362,Account_Master!A:A,Account_Master!C:C,"Not on master")</f>
        <v>0</v>
      </c>
      <c r="H4362" s="6">
        <v>0.05</v>
      </c>
      <c r="I4362" s="6">
        <v>0.05</v>
      </c>
      <c r="J4362" s="6">
        <f>I4362-H4362</f>
        <v>0</v>
      </c>
      <c r="K4362" s="5">
        <f>IF(H4362=0,"",J4362/H4362)</f>
        <v>0</v>
      </c>
      <c r="L4362">
        <f>IF(OR(AND(H4362=0,ABS(J4362)&gt;=0.01),AND(H4362&lt;&gt;0,ABS(K4362)&gt;VarianceThreshold)),"Review","OK")</f>
        <v>0</v>
      </c>
      <c r="M4362" t="s">
        <v>33</v>
      </c>
    </row>
    <row r="4363" spans="1:13">
      <c r="A4363" t="s">
        <v>6</v>
      </c>
      <c r="B4363" t="s">
        <v>961</v>
      </c>
      <c r="C4363" t="s">
        <v>3079</v>
      </c>
      <c r="D4363" t="s">
        <v>877</v>
      </c>
      <c r="E4363" cm="1">
        <f t="array" ref="E4363">_xlfn.XLOOKUP(D4363,SKU_Master!A:A,SKU_Master!B:B,"Not on master")</f>
        <v>0</v>
      </c>
      <c r="F4363" cm="1">
        <f t="array" ref="F4363">_xlfn.XLOOKUP(C4363,Account_Master!A:A,Account_Master!B:B,"Not on master")</f>
        <v>0</v>
      </c>
      <c r="G4363" cm="1">
        <f t="array" ref="G4363">_xlfn.XLOOKUP(C4363,Account_Master!A:A,Account_Master!C:C,"Not on master")</f>
        <v>0</v>
      </c>
      <c r="H4363" s="6">
        <v>189</v>
      </c>
      <c r="I4363" s="6">
        <v>189</v>
      </c>
      <c r="J4363" s="6">
        <f>I4363-H4363</f>
        <v>0</v>
      </c>
      <c r="K4363" s="5">
        <f>IF(H4363=0,"",J4363/H4363)</f>
        <v>0</v>
      </c>
      <c r="L4363">
        <f>IF(OR(AND(H4363=0,ABS(J4363)&gt;=0.01),AND(H4363&lt;&gt;0,ABS(K4363)&gt;VarianceThreshold)),"Review","OK")</f>
        <v>0</v>
      </c>
      <c r="M4363" t="s">
        <v>33</v>
      </c>
    </row>
    <row r="4364" spans="1:13">
      <c r="A4364" t="s">
        <v>6</v>
      </c>
      <c r="B4364" t="s">
        <v>961</v>
      </c>
      <c r="C4364" t="s">
        <v>3029</v>
      </c>
      <c r="D4364" t="s">
        <v>485</v>
      </c>
      <c r="E4364" cm="1">
        <f t="array" ref="E4364">_xlfn.XLOOKUP(D4364,SKU_Master!A:A,SKU_Master!B:B,"Not on master")</f>
        <v>0</v>
      </c>
      <c r="F4364" cm="1">
        <f t="array" ref="F4364">_xlfn.XLOOKUP(C4364,Account_Master!A:A,Account_Master!B:B,"Not on master")</f>
        <v>0</v>
      </c>
      <c r="G4364" cm="1">
        <f t="array" ref="G4364">_xlfn.XLOOKUP(C4364,Account_Master!A:A,Account_Master!C:C,"Not on master")</f>
        <v>0</v>
      </c>
      <c r="H4364" s="6">
        <v>4.5</v>
      </c>
      <c r="I4364" s="6">
        <v>4.5</v>
      </c>
      <c r="J4364" s="6">
        <f>I4364-H4364</f>
        <v>0</v>
      </c>
      <c r="K4364" s="5">
        <f>IF(H4364=0,"",J4364/H4364)</f>
        <v>0</v>
      </c>
      <c r="L4364">
        <f>IF(OR(AND(H4364=0,ABS(J4364)&gt;=0.01),AND(H4364&lt;&gt;0,ABS(K4364)&gt;VarianceThreshold)),"Review","OK")</f>
        <v>0</v>
      </c>
      <c r="M4364" t="s">
        <v>33</v>
      </c>
    </row>
    <row r="4365" spans="1:13">
      <c r="A4365" t="s">
        <v>6</v>
      </c>
      <c r="B4365" t="s">
        <v>966</v>
      </c>
      <c r="C4365" t="s">
        <v>3071</v>
      </c>
      <c r="D4365" t="s">
        <v>3347</v>
      </c>
      <c r="E4365" cm="1">
        <f t="array" ref="E4365">_xlfn.XLOOKUP(D4365,SKU_Master!A:A,SKU_Master!B:B,"Not on master")</f>
        <v>0</v>
      </c>
      <c r="F4365" cm="1">
        <f t="array" ref="F4365">_xlfn.XLOOKUP(C4365,Account_Master!A:A,Account_Master!B:B,"Not on master")</f>
        <v>0</v>
      </c>
      <c r="G4365" cm="1">
        <f t="array" ref="G4365">_xlfn.XLOOKUP(C4365,Account_Master!A:A,Account_Master!C:C,"Not on master")</f>
        <v>0</v>
      </c>
      <c r="H4365" s="6">
        <v>0.75</v>
      </c>
      <c r="I4365" s="6">
        <v>0.75</v>
      </c>
      <c r="J4365" s="6">
        <f>I4365-H4365</f>
        <v>0</v>
      </c>
      <c r="K4365" s="5">
        <f>IF(H4365=0,"",J4365/H4365)</f>
        <v>0</v>
      </c>
      <c r="L4365">
        <f>IF(OR(AND(H4365=0,ABS(J4365)&gt;=0.01),AND(H4365&lt;&gt;0,ABS(K4365)&gt;VarianceThreshold)),"Review","OK")</f>
        <v>0</v>
      </c>
      <c r="M4365" t="s">
        <v>33</v>
      </c>
    </row>
    <row r="4366" spans="1:13">
      <c r="A4366" t="s">
        <v>6</v>
      </c>
      <c r="B4366" t="s">
        <v>966</v>
      </c>
      <c r="C4366" t="s">
        <v>3122</v>
      </c>
      <c r="D4366" t="s">
        <v>1146</v>
      </c>
      <c r="E4366" cm="1">
        <f t="array" ref="E4366">_xlfn.XLOOKUP(D4366,SKU_Master!A:A,SKU_Master!B:B,"Not on master")</f>
        <v>0</v>
      </c>
      <c r="F4366" cm="1">
        <f t="array" ref="F4366">_xlfn.XLOOKUP(C4366,Account_Master!A:A,Account_Master!B:B,"Not on master")</f>
        <v>0</v>
      </c>
      <c r="G4366" cm="1">
        <f t="array" ref="G4366">_xlfn.XLOOKUP(C4366,Account_Master!A:A,Account_Master!C:C,"Not on master")</f>
        <v>0</v>
      </c>
      <c r="H4366" s="6">
        <v>9</v>
      </c>
      <c r="I4366" s="6">
        <v>9</v>
      </c>
      <c r="J4366" s="6">
        <f>I4366-H4366</f>
        <v>0</v>
      </c>
      <c r="K4366" s="5">
        <f>IF(H4366=0,"",J4366/H4366)</f>
        <v>0</v>
      </c>
      <c r="L4366">
        <f>IF(OR(AND(H4366=0,ABS(J4366)&gt;=0.01),AND(H4366&lt;&gt;0,ABS(K4366)&gt;VarianceThreshold)),"Review","OK")</f>
        <v>0</v>
      </c>
      <c r="M4366" t="s">
        <v>33</v>
      </c>
    </row>
    <row r="4367" spans="1:13">
      <c r="A4367" t="s">
        <v>6</v>
      </c>
      <c r="B4367" t="s">
        <v>966</v>
      </c>
      <c r="C4367" t="s">
        <v>3059</v>
      </c>
      <c r="D4367" t="s">
        <v>1497</v>
      </c>
      <c r="E4367" cm="1">
        <f t="array" ref="E4367">_xlfn.XLOOKUP(D4367,SKU_Master!A:A,SKU_Master!B:B,"Not on master")</f>
        <v>0</v>
      </c>
      <c r="F4367" cm="1">
        <f t="array" ref="F4367">_xlfn.XLOOKUP(C4367,Account_Master!A:A,Account_Master!B:B,"Not on master")</f>
        <v>0</v>
      </c>
      <c r="G4367" cm="1">
        <f t="array" ref="G4367">_xlfn.XLOOKUP(C4367,Account_Master!A:A,Account_Master!C:C,"Not on master")</f>
        <v>0</v>
      </c>
      <c r="H4367" s="6">
        <v>4.5</v>
      </c>
      <c r="I4367" s="6">
        <v>4.5</v>
      </c>
      <c r="J4367" s="6">
        <f>I4367-H4367</f>
        <v>0</v>
      </c>
      <c r="K4367" s="5">
        <f>IF(H4367=0,"",J4367/H4367)</f>
        <v>0</v>
      </c>
      <c r="L4367">
        <f>IF(OR(AND(H4367=0,ABS(J4367)&gt;=0.01),AND(H4367&lt;&gt;0,ABS(K4367)&gt;VarianceThreshold)),"Review","OK")</f>
        <v>0</v>
      </c>
      <c r="M4367" t="s">
        <v>33</v>
      </c>
    </row>
    <row r="4368" spans="1:13">
      <c r="A4368" t="s">
        <v>6</v>
      </c>
      <c r="B4368" t="s">
        <v>966</v>
      </c>
      <c r="C4368" t="s">
        <v>3348</v>
      </c>
      <c r="D4368" t="s">
        <v>2118</v>
      </c>
      <c r="E4368" cm="1">
        <f t="array" ref="E4368">_xlfn.XLOOKUP(D4368,SKU_Master!A:A,SKU_Master!B:B,"Not on master")</f>
        <v>0</v>
      </c>
      <c r="F4368" cm="1">
        <f t="array" ref="F4368">_xlfn.XLOOKUP(C4368,Account_Master!A:A,Account_Master!B:B,"Not on master")</f>
        <v>0</v>
      </c>
      <c r="G4368" cm="1">
        <f t="array" ref="G4368">_xlfn.XLOOKUP(C4368,Account_Master!A:A,Account_Master!C:C,"Not on master")</f>
        <v>0</v>
      </c>
      <c r="H4368" s="6">
        <v>24</v>
      </c>
      <c r="I4368" s="6">
        <v>24</v>
      </c>
      <c r="J4368" s="6">
        <f>I4368-H4368</f>
        <v>0</v>
      </c>
      <c r="K4368" s="5">
        <f>IF(H4368=0,"",J4368/H4368)</f>
        <v>0</v>
      </c>
      <c r="L4368">
        <f>IF(OR(AND(H4368=0,ABS(J4368)&gt;=0.01),AND(H4368&lt;&gt;0,ABS(K4368)&gt;VarianceThreshold)),"Review","OK")</f>
        <v>0</v>
      </c>
      <c r="M4368" t="s">
        <v>33</v>
      </c>
    </row>
    <row r="4369" spans="1:13">
      <c r="A4369" t="s">
        <v>6</v>
      </c>
      <c r="B4369" t="s">
        <v>966</v>
      </c>
      <c r="C4369" t="s">
        <v>3224</v>
      </c>
      <c r="D4369" t="s">
        <v>1707</v>
      </c>
      <c r="E4369" cm="1">
        <f t="array" ref="E4369">_xlfn.XLOOKUP(D4369,SKU_Master!A:A,SKU_Master!B:B,"Not on master")</f>
        <v>0</v>
      </c>
      <c r="F4369" cm="1">
        <f t="array" ref="F4369">_xlfn.XLOOKUP(C4369,Account_Master!A:A,Account_Master!B:B,"Not on master")</f>
        <v>0</v>
      </c>
      <c r="G4369" cm="1">
        <f t="array" ref="G4369">_xlfn.XLOOKUP(C4369,Account_Master!A:A,Account_Master!C:C,"Not on master")</f>
        <v>0</v>
      </c>
      <c r="H4369" s="6">
        <v>21.75</v>
      </c>
      <c r="I4369" s="6">
        <v>21.75</v>
      </c>
      <c r="J4369" s="6">
        <f>I4369-H4369</f>
        <v>0</v>
      </c>
      <c r="K4369" s="5">
        <f>IF(H4369=0,"",J4369/H4369)</f>
        <v>0</v>
      </c>
      <c r="L4369">
        <f>IF(OR(AND(H4369=0,ABS(J4369)&gt;=0.01),AND(H4369&lt;&gt;0,ABS(K4369)&gt;VarianceThreshold)),"Review","OK")</f>
        <v>0</v>
      </c>
      <c r="M4369" t="s">
        <v>33</v>
      </c>
    </row>
    <row r="4370" spans="1:13">
      <c r="A4370" t="s">
        <v>6</v>
      </c>
      <c r="B4370" t="s">
        <v>980</v>
      </c>
      <c r="C4370" t="s">
        <v>3023</v>
      </c>
      <c r="D4370" t="s">
        <v>2509</v>
      </c>
      <c r="E4370" cm="1">
        <f t="array" ref="E4370">_xlfn.XLOOKUP(D4370,SKU_Master!A:A,SKU_Master!B:B,"Not on master")</f>
        <v>0</v>
      </c>
      <c r="F4370" cm="1">
        <f t="array" ref="F4370">_xlfn.XLOOKUP(C4370,Account_Master!A:A,Account_Master!B:B,"Not on master")</f>
        <v>0</v>
      </c>
      <c r="G4370" cm="1">
        <f t="array" ref="G4370">_xlfn.XLOOKUP(C4370,Account_Master!A:A,Account_Master!C:C,"Not on master")</f>
        <v>0</v>
      </c>
      <c r="H4370" s="6">
        <v>220.5</v>
      </c>
      <c r="I4370" s="6">
        <v>220.5</v>
      </c>
      <c r="J4370" s="6">
        <f>I4370-H4370</f>
        <v>0</v>
      </c>
      <c r="K4370" s="5">
        <f>IF(H4370=0,"",J4370/H4370)</f>
        <v>0</v>
      </c>
      <c r="L4370">
        <f>IF(OR(AND(H4370=0,ABS(J4370)&gt;=0.01),AND(H4370&lt;&gt;0,ABS(K4370)&gt;VarianceThreshold)),"Review","OK")</f>
        <v>0</v>
      </c>
      <c r="M4370" t="s">
        <v>33</v>
      </c>
    </row>
    <row r="4371" spans="1:13">
      <c r="A4371" t="s">
        <v>6</v>
      </c>
      <c r="B4371" t="s">
        <v>980</v>
      </c>
      <c r="C4371" t="s">
        <v>3058</v>
      </c>
      <c r="D4371" t="s">
        <v>2945</v>
      </c>
      <c r="E4371" cm="1">
        <f t="array" ref="E4371">_xlfn.XLOOKUP(D4371,SKU_Master!A:A,SKU_Master!B:B,"Not on master")</f>
        <v>0</v>
      </c>
      <c r="F4371" cm="1">
        <f t="array" ref="F4371">_xlfn.XLOOKUP(C4371,Account_Master!A:A,Account_Master!B:B,"Not on master")</f>
        <v>0</v>
      </c>
      <c r="G4371" cm="1">
        <f t="array" ref="G4371">_xlfn.XLOOKUP(C4371,Account_Master!A:A,Account_Master!C:C,"Not on master")</f>
        <v>0</v>
      </c>
      <c r="H4371" s="6">
        <v>4.5</v>
      </c>
      <c r="I4371" s="6">
        <v>4.5</v>
      </c>
      <c r="J4371" s="6">
        <f>I4371-H4371</f>
        <v>0</v>
      </c>
      <c r="K4371" s="5">
        <f>IF(H4371=0,"",J4371/H4371)</f>
        <v>0</v>
      </c>
      <c r="L4371">
        <f>IF(OR(AND(H4371=0,ABS(J4371)&gt;=0.01),AND(H4371&lt;&gt;0,ABS(K4371)&gt;VarianceThreshold)),"Review","OK")</f>
        <v>0</v>
      </c>
      <c r="M4371" t="s">
        <v>33</v>
      </c>
    </row>
    <row r="4372" spans="1:13">
      <c r="A4372" t="s">
        <v>6</v>
      </c>
      <c r="B4372" t="s">
        <v>980</v>
      </c>
      <c r="C4372" t="s">
        <v>3031</v>
      </c>
      <c r="D4372" t="s">
        <v>695</v>
      </c>
      <c r="E4372" cm="1">
        <f t="array" ref="E4372">_xlfn.XLOOKUP(D4372,SKU_Master!A:A,SKU_Master!B:B,"Not on master")</f>
        <v>0</v>
      </c>
      <c r="F4372" cm="1">
        <f t="array" ref="F4372">_xlfn.XLOOKUP(C4372,Account_Master!A:A,Account_Master!B:B,"Not on master")</f>
        <v>0</v>
      </c>
      <c r="G4372" cm="1">
        <f t="array" ref="G4372">_xlfn.XLOOKUP(C4372,Account_Master!A:A,Account_Master!C:C,"Not on master")</f>
        <v>0</v>
      </c>
      <c r="H4372" s="6">
        <v>162</v>
      </c>
      <c r="I4372" s="6">
        <v>153</v>
      </c>
      <c r="J4372" s="6">
        <f>I4372-H4372</f>
        <v>0</v>
      </c>
      <c r="K4372" s="5">
        <f>IF(H4372=0,"",J4372/H4372)</f>
        <v>0</v>
      </c>
      <c r="L4372">
        <f>IF(OR(AND(H4372=0,ABS(J4372)&gt;=0.01),AND(H4372&lt;&gt;0,ABS(K4372)&gt;VarianceThreshold)),"Review","OK")</f>
        <v>0</v>
      </c>
      <c r="M4372" t="s">
        <v>3038</v>
      </c>
    </row>
    <row r="4373" spans="1:13">
      <c r="A4373" t="s">
        <v>6</v>
      </c>
      <c r="B4373" t="s">
        <v>980</v>
      </c>
      <c r="C4373" t="s">
        <v>3089</v>
      </c>
      <c r="D4373" t="s">
        <v>269</v>
      </c>
      <c r="E4373" cm="1">
        <f t="array" ref="E4373">_xlfn.XLOOKUP(D4373,SKU_Master!A:A,SKU_Master!B:B,"Not on master")</f>
        <v>0</v>
      </c>
      <c r="F4373" cm="1">
        <f t="array" ref="F4373">_xlfn.XLOOKUP(C4373,Account_Master!A:A,Account_Master!B:B,"Not on master")</f>
        <v>0</v>
      </c>
      <c r="G4373" cm="1">
        <f t="array" ref="G4373">_xlfn.XLOOKUP(C4373,Account_Master!A:A,Account_Master!C:C,"Not on master")</f>
        <v>0</v>
      </c>
      <c r="H4373" s="6">
        <v>5.25</v>
      </c>
      <c r="I4373" s="6">
        <v>3.75</v>
      </c>
      <c r="J4373" s="6">
        <f>I4373-H4373</f>
        <v>0</v>
      </c>
      <c r="K4373" s="5">
        <f>IF(H4373=0,"",J4373/H4373)</f>
        <v>0</v>
      </c>
      <c r="L4373">
        <f>IF(OR(AND(H4373=0,ABS(J4373)&gt;=0.01),AND(H4373&lt;&gt;0,ABS(K4373)&gt;VarianceThreshold)),"Review","OK")</f>
        <v>0</v>
      </c>
      <c r="M4373" t="s">
        <v>3038</v>
      </c>
    </row>
    <row r="4374" spans="1:13">
      <c r="A4374" t="s">
        <v>6</v>
      </c>
      <c r="B4374" t="s">
        <v>980</v>
      </c>
      <c r="C4374" t="s">
        <v>3021</v>
      </c>
      <c r="D4374" t="s">
        <v>1483</v>
      </c>
      <c r="E4374" cm="1">
        <f t="array" ref="E4374">_xlfn.XLOOKUP(D4374,SKU_Master!A:A,SKU_Master!B:B,"Not on master")</f>
        <v>0</v>
      </c>
      <c r="F4374" cm="1">
        <f t="array" ref="F4374">_xlfn.XLOOKUP(C4374,Account_Master!A:A,Account_Master!B:B,"Not on master")</f>
        <v>0</v>
      </c>
      <c r="G4374" cm="1">
        <f t="array" ref="G4374">_xlfn.XLOOKUP(C4374,Account_Master!A:A,Account_Master!C:C,"Not on master")</f>
        <v>0</v>
      </c>
      <c r="H4374" s="6">
        <v>25.5</v>
      </c>
      <c r="I4374" s="6">
        <v>25.5</v>
      </c>
      <c r="J4374" s="6">
        <f>I4374-H4374</f>
        <v>0</v>
      </c>
      <c r="K4374" s="5">
        <f>IF(H4374=0,"",J4374/H4374)</f>
        <v>0</v>
      </c>
      <c r="L4374">
        <f>IF(OR(AND(H4374=0,ABS(J4374)&gt;=0.01),AND(H4374&lt;&gt;0,ABS(K4374)&gt;VarianceThreshold)),"Review","OK")</f>
        <v>0</v>
      </c>
      <c r="M4374" t="s">
        <v>33</v>
      </c>
    </row>
    <row r="4375" spans="1:13">
      <c r="A4375" t="s">
        <v>6</v>
      </c>
      <c r="B4375" t="s">
        <v>980</v>
      </c>
      <c r="C4375" t="s">
        <v>3349</v>
      </c>
      <c r="D4375" t="s">
        <v>3350</v>
      </c>
      <c r="E4375" cm="1">
        <f t="array" ref="E4375">_xlfn.XLOOKUP(D4375,SKU_Master!A:A,SKU_Master!B:B,"Not on master")</f>
        <v>0</v>
      </c>
      <c r="F4375" cm="1">
        <f t="array" ref="F4375">_xlfn.XLOOKUP(C4375,Account_Master!A:A,Account_Master!B:B,"Not on master")</f>
        <v>0</v>
      </c>
      <c r="G4375" cm="1">
        <f t="array" ref="G4375">_xlfn.XLOOKUP(C4375,Account_Master!A:A,Account_Master!C:C,"Not on master")</f>
        <v>0</v>
      </c>
      <c r="H4375" s="6">
        <v>12</v>
      </c>
      <c r="I4375" s="6">
        <v>12</v>
      </c>
      <c r="J4375" s="6">
        <f>I4375-H4375</f>
        <v>0</v>
      </c>
      <c r="K4375" s="5">
        <f>IF(H4375=0,"",J4375/H4375)</f>
        <v>0</v>
      </c>
      <c r="L4375">
        <f>IF(OR(AND(H4375=0,ABS(J4375)&gt;=0.01),AND(H4375&lt;&gt;0,ABS(K4375)&gt;VarianceThreshold)),"Review","OK")</f>
        <v>0</v>
      </c>
      <c r="M4375" t="s">
        <v>33</v>
      </c>
    </row>
    <row r="4376" spans="1:13">
      <c r="A4376" t="s">
        <v>6</v>
      </c>
      <c r="B4376" t="s">
        <v>992</v>
      </c>
      <c r="C4376" t="s">
        <v>3208</v>
      </c>
      <c r="D4376" t="s">
        <v>3351</v>
      </c>
      <c r="E4376" cm="1">
        <f t="array" ref="E4376">_xlfn.XLOOKUP(D4376,SKU_Master!A:A,SKU_Master!B:B,"Not on master")</f>
        <v>0</v>
      </c>
      <c r="F4376" cm="1">
        <f t="array" ref="F4376">_xlfn.XLOOKUP(C4376,Account_Master!A:A,Account_Master!B:B,"Not on master")</f>
        <v>0</v>
      </c>
      <c r="G4376" cm="1">
        <f t="array" ref="G4376">_xlfn.XLOOKUP(C4376,Account_Master!A:A,Account_Master!C:C,"Not on master")</f>
        <v>0</v>
      </c>
      <c r="H4376" s="6">
        <v>0.65</v>
      </c>
      <c r="I4376" s="6">
        <v>0.65</v>
      </c>
      <c r="J4376" s="6">
        <f>I4376-H4376</f>
        <v>0</v>
      </c>
      <c r="K4376" s="5">
        <f>IF(H4376=0,"",J4376/H4376)</f>
        <v>0</v>
      </c>
      <c r="L4376">
        <f>IF(OR(AND(H4376=0,ABS(J4376)&gt;=0.01),AND(H4376&lt;&gt;0,ABS(K4376)&gt;VarianceThreshold)),"Review","OK")</f>
        <v>0</v>
      </c>
      <c r="M4376" t="s">
        <v>33</v>
      </c>
    </row>
    <row r="4377" spans="1:13">
      <c r="A4377" t="s">
        <v>6</v>
      </c>
      <c r="B4377" t="s">
        <v>992</v>
      </c>
      <c r="C4377" t="s">
        <v>3090</v>
      </c>
      <c r="D4377" t="s">
        <v>1987</v>
      </c>
      <c r="E4377" cm="1">
        <f t="array" ref="E4377">_xlfn.XLOOKUP(D4377,SKU_Master!A:A,SKU_Master!B:B,"Not on master")</f>
        <v>0</v>
      </c>
      <c r="F4377" cm="1">
        <f t="array" ref="F4377">_xlfn.XLOOKUP(C4377,Account_Master!A:A,Account_Master!B:B,"Not on master")</f>
        <v>0</v>
      </c>
      <c r="G4377" cm="1">
        <f t="array" ref="G4377">_xlfn.XLOOKUP(C4377,Account_Master!A:A,Account_Master!C:C,"Not on master")</f>
        <v>0</v>
      </c>
      <c r="H4377" s="6">
        <v>3.8</v>
      </c>
      <c r="I4377" s="6">
        <v>3.3</v>
      </c>
      <c r="J4377" s="6">
        <f>I4377-H4377</f>
        <v>0</v>
      </c>
      <c r="K4377" s="5">
        <f>IF(H4377=0,"",J4377/H4377)</f>
        <v>0</v>
      </c>
      <c r="L4377">
        <f>IF(OR(AND(H4377=0,ABS(J4377)&gt;=0.01),AND(H4377&lt;&gt;0,ABS(K4377)&gt;VarianceThreshold)),"Review","OK")</f>
        <v>0</v>
      </c>
      <c r="M4377" t="s">
        <v>3038</v>
      </c>
    </row>
    <row r="4378" spans="1:13">
      <c r="A4378" t="s">
        <v>6</v>
      </c>
      <c r="B4378" t="s">
        <v>1002</v>
      </c>
      <c r="C4378" t="s">
        <v>3032</v>
      </c>
      <c r="D4378" t="s">
        <v>777</v>
      </c>
      <c r="E4378" cm="1">
        <f t="array" ref="E4378">_xlfn.XLOOKUP(D4378,SKU_Master!A:A,SKU_Master!B:B,"Not on master")</f>
        <v>0</v>
      </c>
      <c r="F4378" cm="1">
        <f t="array" ref="F4378">_xlfn.XLOOKUP(C4378,Account_Master!A:A,Account_Master!B:B,"Not on master")</f>
        <v>0</v>
      </c>
      <c r="G4378" cm="1">
        <f t="array" ref="G4378">_xlfn.XLOOKUP(C4378,Account_Master!A:A,Account_Master!C:C,"Not on master")</f>
        <v>0</v>
      </c>
      <c r="H4378" s="6">
        <v>7.5</v>
      </c>
      <c r="I4378" s="6">
        <v>7.5</v>
      </c>
      <c r="J4378" s="6">
        <f>I4378-H4378</f>
        <v>0</v>
      </c>
      <c r="K4378" s="5">
        <f>IF(H4378=0,"",J4378/H4378)</f>
        <v>0</v>
      </c>
      <c r="L4378">
        <f>IF(OR(AND(H4378=0,ABS(J4378)&gt;=0.01),AND(H4378&lt;&gt;0,ABS(K4378)&gt;VarianceThreshold)),"Review","OK")</f>
        <v>0</v>
      </c>
      <c r="M4378" t="s">
        <v>33</v>
      </c>
    </row>
    <row r="4379" spans="1:13">
      <c r="A4379" t="s">
        <v>6</v>
      </c>
      <c r="B4379" t="s">
        <v>1002</v>
      </c>
      <c r="C4379" t="s">
        <v>3352</v>
      </c>
      <c r="D4379" t="s">
        <v>3353</v>
      </c>
      <c r="E4379" cm="1">
        <f t="array" ref="E4379">_xlfn.XLOOKUP(D4379,SKU_Master!A:A,SKU_Master!B:B,"Not on master")</f>
        <v>0</v>
      </c>
      <c r="F4379" cm="1">
        <f t="array" ref="F4379">_xlfn.XLOOKUP(C4379,Account_Master!A:A,Account_Master!B:B,"Not on master")</f>
        <v>0</v>
      </c>
      <c r="G4379" cm="1">
        <f t="array" ref="G4379">_xlfn.XLOOKUP(C4379,Account_Master!A:A,Account_Master!C:C,"Not on master")</f>
        <v>0</v>
      </c>
      <c r="H4379" s="6">
        <v>0.6</v>
      </c>
      <c r="I4379" s="6">
        <v>0.5</v>
      </c>
      <c r="J4379" s="6">
        <f>I4379-H4379</f>
        <v>0</v>
      </c>
      <c r="K4379" s="5">
        <f>IF(H4379=0,"",J4379/H4379)</f>
        <v>0</v>
      </c>
      <c r="L4379">
        <f>IF(OR(AND(H4379=0,ABS(J4379)&gt;=0.01),AND(H4379&lt;&gt;0,ABS(K4379)&gt;VarianceThreshold)),"Review","OK")</f>
        <v>0</v>
      </c>
      <c r="M4379" t="s">
        <v>3038</v>
      </c>
    </row>
    <row r="4380" spans="1:13">
      <c r="A4380" t="s">
        <v>6</v>
      </c>
      <c r="B4380" t="s">
        <v>1002</v>
      </c>
      <c r="C4380" t="s">
        <v>3032</v>
      </c>
      <c r="D4380" t="s">
        <v>1535</v>
      </c>
      <c r="E4380" cm="1">
        <f t="array" ref="E4380">_xlfn.XLOOKUP(D4380,SKU_Master!A:A,SKU_Master!B:B,"Not on master")</f>
        <v>0</v>
      </c>
      <c r="F4380" cm="1">
        <f t="array" ref="F4380">_xlfn.XLOOKUP(C4380,Account_Master!A:A,Account_Master!B:B,"Not on master")</f>
        <v>0</v>
      </c>
      <c r="G4380" cm="1">
        <f t="array" ref="G4380">_xlfn.XLOOKUP(C4380,Account_Master!A:A,Account_Master!C:C,"Not on master")</f>
        <v>0</v>
      </c>
      <c r="H4380" s="6">
        <v>0.6</v>
      </c>
      <c r="I4380" s="6">
        <v>0.6</v>
      </c>
      <c r="J4380" s="6">
        <f>I4380-H4380</f>
        <v>0</v>
      </c>
      <c r="K4380" s="5">
        <f>IF(H4380=0,"",J4380/H4380)</f>
        <v>0</v>
      </c>
      <c r="L4380">
        <f>IF(OR(AND(H4380=0,ABS(J4380)&gt;=0.01),AND(H4380&lt;&gt;0,ABS(K4380)&gt;VarianceThreshold)),"Review","OK")</f>
        <v>0</v>
      </c>
      <c r="M4380" t="s">
        <v>33</v>
      </c>
    </row>
    <row r="4381" spans="1:13">
      <c r="A4381" t="s">
        <v>7</v>
      </c>
      <c r="B4381" t="s">
        <v>30</v>
      </c>
      <c r="C4381" t="s">
        <v>3354</v>
      </c>
      <c r="D4381" t="s">
        <v>1715</v>
      </c>
      <c r="E4381" cm="1">
        <f t="array" ref="E4381">_xlfn.XLOOKUP(D4381,SKU_Master!A:A,SKU_Master!B:B,"Not on master")</f>
        <v>0</v>
      </c>
      <c r="F4381" cm="1">
        <f t="array" ref="F4381">_xlfn.XLOOKUP(C4381,Account_Master!A:A,Account_Master!B:B,"Not on master")</f>
        <v>0</v>
      </c>
      <c r="G4381" cm="1">
        <f t="array" ref="G4381">_xlfn.XLOOKUP(C4381,Account_Master!A:A,Account_Master!C:C,"Not on master")</f>
        <v>0</v>
      </c>
      <c r="H4381" s="6">
        <v>0.2</v>
      </c>
      <c r="I4381" s="6">
        <v>0.2</v>
      </c>
      <c r="J4381" s="6">
        <f>I4381-H4381</f>
        <v>0</v>
      </c>
      <c r="K4381" s="5">
        <f>IF(H4381=0,"",J4381/H4381)</f>
        <v>0</v>
      </c>
      <c r="L4381">
        <f>IF(OR(AND(H4381=0,ABS(J4381)&gt;=0.01),AND(H4381&lt;&gt;0,ABS(K4381)&gt;VarianceThreshold)),"Review","OK")</f>
        <v>0</v>
      </c>
      <c r="M4381" t="s">
        <v>33</v>
      </c>
    </row>
    <row r="4382" spans="1:13">
      <c r="A4382" t="s">
        <v>7</v>
      </c>
      <c r="B4382" t="s">
        <v>30</v>
      </c>
      <c r="C4382" t="s">
        <v>3355</v>
      </c>
      <c r="D4382" t="s">
        <v>207</v>
      </c>
      <c r="E4382" cm="1">
        <f t="array" ref="E4382">_xlfn.XLOOKUP(D4382,SKU_Master!A:A,SKU_Master!B:B,"Not on master")</f>
        <v>0</v>
      </c>
      <c r="F4382" cm="1">
        <f t="array" ref="F4382">_xlfn.XLOOKUP(C4382,Account_Master!A:A,Account_Master!B:B,"Not on master")</f>
        <v>0</v>
      </c>
      <c r="G4382" cm="1">
        <f t="array" ref="G4382">_xlfn.XLOOKUP(C4382,Account_Master!A:A,Account_Master!C:C,"Not on master")</f>
        <v>0</v>
      </c>
      <c r="H4382" s="6">
        <v>10.5</v>
      </c>
      <c r="I4382" s="6">
        <v>10.5</v>
      </c>
      <c r="J4382" s="6">
        <f>I4382-H4382</f>
        <v>0</v>
      </c>
      <c r="K4382" s="5">
        <f>IF(H4382=0,"",J4382/H4382)</f>
        <v>0</v>
      </c>
      <c r="L4382">
        <f>IF(OR(AND(H4382=0,ABS(J4382)&gt;=0.01),AND(H4382&lt;&gt;0,ABS(K4382)&gt;VarianceThreshold)),"Review","OK")</f>
        <v>0</v>
      </c>
      <c r="M4382" t="s">
        <v>33</v>
      </c>
    </row>
    <row r="4383" spans="1:13">
      <c r="A4383" t="s">
        <v>7</v>
      </c>
      <c r="B4383" t="s">
        <v>30</v>
      </c>
      <c r="C4383" t="s">
        <v>3356</v>
      </c>
      <c r="D4383" t="s">
        <v>2460</v>
      </c>
      <c r="E4383" cm="1">
        <f t="array" ref="E4383">_xlfn.XLOOKUP(D4383,SKU_Master!A:A,SKU_Master!B:B,"Not on master")</f>
        <v>0</v>
      </c>
      <c r="F4383" cm="1">
        <f t="array" ref="F4383">_xlfn.XLOOKUP(C4383,Account_Master!A:A,Account_Master!B:B,"Not on master")</f>
        <v>0</v>
      </c>
      <c r="G4383" cm="1">
        <f t="array" ref="G4383">_xlfn.XLOOKUP(C4383,Account_Master!A:A,Account_Master!C:C,"Not on master")</f>
        <v>0</v>
      </c>
      <c r="H4383" s="6">
        <v>21</v>
      </c>
      <c r="I4383" s="6">
        <v>21</v>
      </c>
      <c r="J4383" s="6">
        <f>I4383-H4383</f>
        <v>0</v>
      </c>
      <c r="K4383" s="5">
        <f>IF(H4383=0,"",J4383/H4383)</f>
        <v>0</v>
      </c>
      <c r="L4383">
        <f>IF(OR(AND(H4383=0,ABS(J4383)&gt;=0.01),AND(H4383&lt;&gt;0,ABS(K4383)&gt;VarianceThreshold)),"Review","OK")</f>
        <v>0</v>
      </c>
      <c r="M4383" t="s">
        <v>33</v>
      </c>
    </row>
    <row r="4384" spans="1:13">
      <c r="A4384" t="s">
        <v>7</v>
      </c>
      <c r="B4384" t="s">
        <v>30</v>
      </c>
      <c r="C4384" t="s">
        <v>3357</v>
      </c>
      <c r="D4384" t="s">
        <v>1088</v>
      </c>
      <c r="E4384" cm="1">
        <f t="array" ref="E4384">_xlfn.XLOOKUP(D4384,SKU_Master!A:A,SKU_Master!B:B,"Not on master")</f>
        <v>0</v>
      </c>
      <c r="F4384" cm="1">
        <f t="array" ref="F4384">_xlfn.XLOOKUP(C4384,Account_Master!A:A,Account_Master!B:B,"Not on master")</f>
        <v>0</v>
      </c>
      <c r="G4384" cm="1">
        <f t="array" ref="G4384">_xlfn.XLOOKUP(C4384,Account_Master!A:A,Account_Master!C:C,"Not on master")</f>
        <v>0</v>
      </c>
      <c r="H4384" s="6">
        <v>63</v>
      </c>
      <c r="I4384" s="6">
        <v>63</v>
      </c>
      <c r="J4384" s="6">
        <f>I4384-H4384</f>
        <v>0</v>
      </c>
      <c r="K4384" s="5">
        <f>IF(H4384=0,"",J4384/H4384)</f>
        <v>0</v>
      </c>
      <c r="L4384">
        <f>IF(OR(AND(H4384=0,ABS(J4384)&gt;=0.01),AND(H4384&lt;&gt;0,ABS(K4384)&gt;VarianceThreshold)),"Review","OK")</f>
        <v>0</v>
      </c>
      <c r="M4384" t="s">
        <v>33</v>
      </c>
    </row>
    <row r="4385" spans="1:13">
      <c r="A4385" t="s">
        <v>7</v>
      </c>
      <c r="B4385" t="s">
        <v>30</v>
      </c>
      <c r="C4385" t="s">
        <v>3358</v>
      </c>
      <c r="D4385" t="s">
        <v>888</v>
      </c>
      <c r="E4385" cm="1">
        <f t="array" ref="E4385">_xlfn.XLOOKUP(D4385,SKU_Master!A:A,SKU_Master!B:B,"Not on master")</f>
        <v>0</v>
      </c>
      <c r="F4385" cm="1">
        <f t="array" ref="F4385">_xlfn.XLOOKUP(C4385,Account_Master!A:A,Account_Master!B:B,"Not on master")</f>
        <v>0</v>
      </c>
      <c r="G4385" cm="1">
        <f t="array" ref="G4385">_xlfn.XLOOKUP(C4385,Account_Master!A:A,Account_Master!C:C,"Not on master")</f>
        <v>0</v>
      </c>
      <c r="H4385" s="6">
        <v>18</v>
      </c>
      <c r="I4385" s="6">
        <v>18</v>
      </c>
      <c r="J4385" s="6">
        <f>I4385-H4385</f>
        <v>0</v>
      </c>
      <c r="K4385" s="5">
        <f>IF(H4385=0,"",J4385/H4385)</f>
        <v>0</v>
      </c>
      <c r="L4385">
        <f>IF(OR(AND(H4385=0,ABS(J4385)&gt;=0.01),AND(H4385&lt;&gt;0,ABS(K4385)&gt;VarianceThreshold)),"Review","OK")</f>
        <v>0</v>
      </c>
      <c r="M4385" t="s">
        <v>33</v>
      </c>
    </row>
    <row r="4386" spans="1:13">
      <c r="A4386" t="s">
        <v>7</v>
      </c>
      <c r="B4386" t="s">
        <v>30</v>
      </c>
      <c r="C4386" t="s">
        <v>3359</v>
      </c>
      <c r="D4386" t="s">
        <v>3360</v>
      </c>
      <c r="E4386" cm="1">
        <f t="array" ref="E4386">_xlfn.XLOOKUP(D4386,SKU_Master!A:A,SKU_Master!B:B,"Not on master")</f>
        <v>0</v>
      </c>
      <c r="F4386" cm="1">
        <f t="array" ref="F4386">_xlfn.XLOOKUP(C4386,Account_Master!A:A,Account_Master!B:B,"Not on master")</f>
        <v>0</v>
      </c>
      <c r="G4386" cm="1">
        <f t="array" ref="G4386">_xlfn.XLOOKUP(C4386,Account_Master!A:A,Account_Master!C:C,"Not on master")</f>
        <v>0</v>
      </c>
      <c r="H4386" s="6">
        <v>14.25</v>
      </c>
      <c r="I4386" s="6">
        <v>14.25</v>
      </c>
      <c r="J4386" s="6">
        <f>I4386-H4386</f>
        <v>0</v>
      </c>
      <c r="K4386" s="5">
        <f>IF(H4386=0,"",J4386/H4386)</f>
        <v>0</v>
      </c>
      <c r="L4386">
        <f>IF(OR(AND(H4386=0,ABS(J4386)&gt;=0.01),AND(H4386&lt;&gt;0,ABS(K4386)&gt;VarianceThreshold)),"Review","OK")</f>
        <v>0</v>
      </c>
      <c r="M4386" t="s">
        <v>33</v>
      </c>
    </row>
    <row r="4387" spans="1:13">
      <c r="A4387" t="s">
        <v>7</v>
      </c>
      <c r="B4387" t="s">
        <v>30</v>
      </c>
      <c r="C4387" t="s">
        <v>3361</v>
      </c>
      <c r="D4387" t="s">
        <v>1464</v>
      </c>
      <c r="E4387" cm="1">
        <f t="array" ref="E4387">_xlfn.XLOOKUP(D4387,SKU_Master!A:A,SKU_Master!B:B,"Not on master")</f>
        <v>0</v>
      </c>
      <c r="F4387" cm="1">
        <f t="array" ref="F4387">_xlfn.XLOOKUP(C4387,Account_Master!A:A,Account_Master!B:B,"Not on master")</f>
        <v>0</v>
      </c>
      <c r="G4387" cm="1">
        <f t="array" ref="G4387">_xlfn.XLOOKUP(C4387,Account_Master!A:A,Account_Master!C:C,"Not on master")</f>
        <v>0</v>
      </c>
      <c r="H4387" s="6">
        <v>4</v>
      </c>
      <c r="I4387" s="6">
        <v>4</v>
      </c>
      <c r="J4387" s="6">
        <f>I4387-H4387</f>
        <v>0</v>
      </c>
      <c r="K4387" s="5">
        <f>IF(H4387=0,"",J4387/H4387)</f>
        <v>0</v>
      </c>
      <c r="L4387">
        <f>IF(OR(AND(H4387=0,ABS(J4387)&gt;=0.01),AND(H4387&lt;&gt;0,ABS(K4387)&gt;VarianceThreshold)),"Review","OK")</f>
        <v>0</v>
      </c>
      <c r="M4387" t="s">
        <v>33</v>
      </c>
    </row>
    <row r="4388" spans="1:13">
      <c r="A4388" t="s">
        <v>7</v>
      </c>
      <c r="B4388" t="s">
        <v>30</v>
      </c>
      <c r="C4388" t="s">
        <v>3362</v>
      </c>
      <c r="D4388" t="s">
        <v>2901</v>
      </c>
      <c r="E4388" cm="1">
        <f t="array" ref="E4388">_xlfn.XLOOKUP(D4388,SKU_Master!A:A,SKU_Master!B:B,"Not on master")</f>
        <v>0</v>
      </c>
      <c r="F4388" cm="1">
        <f t="array" ref="F4388">_xlfn.XLOOKUP(C4388,Account_Master!A:A,Account_Master!B:B,"Not on master")</f>
        <v>0</v>
      </c>
      <c r="G4388" cm="1">
        <f t="array" ref="G4388">_xlfn.XLOOKUP(C4388,Account_Master!A:A,Account_Master!C:C,"Not on master")</f>
        <v>0</v>
      </c>
      <c r="H4388" s="6">
        <v>0.05</v>
      </c>
      <c r="I4388" s="6">
        <v>0.05</v>
      </c>
      <c r="J4388" s="6">
        <f>I4388-H4388</f>
        <v>0</v>
      </c>
      <c r="K4388" s="5">
        <f>IF(H4388=0,"",J4388/H4388)</f>
        <v>0</v>
      </c>
      <c r="L4388">
        <f>IF(OR(AND(H4388=0,ABS(J4388)&gt;=0.01),AND(H4388&lt;&gt;0,ABS(K4388)&gt;VarianceThreshold)),"Review","OK")</f>
        <v>0</v>
      </c>
      <c r="M4388" t="s">
        <v>33</v>
      </c>
    </row>
    <row r="4389" spans="1:13">
      <c r="A4389" t="s">
        <v>7</v>
      </c>
      <c r="B4389" t="s">
        <v>30</v>
      </c>
      <c r="C4389" t="s">
        <v>3363</v>
      </c>
      <c r="D4389" t="s">
        <v>408</v>
      </c>
      <c r="E4389" cm="1">
        <f t="array" ref="E4389">_xlfn.XLOOKUP(D4389,SKU_Master!A:A,SKU_Master!B:B,"Not on master")</f>
        <v>0</v>
      </c>
      <c r="F4389" cm="1">
        <f t="array" ref="F4389">_xlfn.XLOOKUP(C4389,Account_Master!A:A,Account_Master!B:B,"Not on master")</f>
        <v>0</v>
      </c>
      <c r="G4389" cm="1">
        <f t="array" ref="G4389">_xlfn.XLOOKUP(C4389,Account_Master!A:A,Account_Master!C:C,"Not on master")</f>
        <v>0</v>
      </c>
      <c r="H4389" s="6">
        <v>3</v>
      </c>
      <c r="I4389" s="6">
        <v>3</v>
      </c>
      <c r="J4389" s="6">
        <f>I4389-H4389</f>
        <v>0</v>
      </c>
      <c r="K4389" s="5">
        <f>IF(H4389=0,"",J4389/H4389)</f>
        <v>0</v>
      </c>
      <c r="L4389">
        <f>IF(OR(AND(H4389=0,ABS(J4389)&gt;=0.01),AND(H4389&lt;&gt;0,ABS(K4389)&gt;VarianceThreshold)),"Review","OK")</f>
        <v>0</v>
      </c>
      <c r="M4389" t="s">
        <v>33</v>
      </c>
    </row>
    <row r="4390" spans="1:13">
      <c r="A4390" t="s">
        <v>7</v>
      </c>
      <c r="B4390" t="s">
        <v>30</v>
      </c>
      <c r="C4390" t="s">
        <v>3364</v>
      </c>
      <c r="D4390" t="s">
        <v>2828</v>
      </c>
      <c r="E4390" cm="1">
        <f t="array" ref="E4390">_xlfn.XLOOKUP(D4390,SKU_Master!A:A,SKU_Master!B:B,"Not on master")</f>
        <v>0</v>
      </c>
      <c r="F4390" cm="1">
        <f t="array" ref="F4390">_xlfn.XLOOKUP(C4390,Account_Master!A:A,Account_Master!B:B,"Not on master")</f>
        <v>0</v>
      </c>
      <c r="G4390" cm="1">
        <f t="array" ref="G4390">_xlfn.XLOOKUP(C4390,Account_Master!A:A,Account_Master!C:C,"Not on master")</f>
        <v>0</v>
      </c>
      <c r="H4390" s="6">
        <v>0.75</v>
      </c>
      <c r="I4390" s="6">
        <v>0.75</v>
      </c>
      <c r="J4390" s="6">
        <f>I4390-H4390</f>
        <v>0</v>
      </c>
      <c r="K4390" s="5">
        <f>IF(H4390=0,"",J4390/H4390)</f>
        <v>0</v>
      </c>
      <c r="L4390">
        <f>IF(OR(AND(H4390=0,ABS(J4390)&gt;=0.01),AND(H4390&lt;&gt;0,ABS(K4390)&gt;VarianceThreshold)),"Review","OK")</f>
        <v>0</v>
      </c>
      <c r="M4390" t="s">
        <v>33</v>
      </c>
    </row>
    <row r="4391" spans="1:13">
      <c r="A4391" t="s">
        <v>7</v>
      </c>
      <c r="B4391" t="s">
        <v>30</v>
      </c>
      <c r="C4391" t="s">
        <v>33</v>
      </c>
      <c r="D4391" t="s">
        <v>3365</v>
      </c>
      <c r="E4391" cm="1">
        <f t="array" ref="E4391">_xlfn.XLOOKUP(D4391,SKU_Master!A:A,SKU_Master!B:B,"Not on master")</f>
        <v>0</v>
      </c>
      <c r="F4391" cm="1">
        <f t="array" ref="F4391">_xlfn.XLOOKUP(C4391,Account_Master!A:A,Account_Master!B:B,"Not on master")</f>
        <v>0</v>
      </c>
      <c r="G4391" cm="1">
        <f t="array" ref="G4391">_xlfn.XLOOKUP(C4391,Account_Master!A:A,Account_Master!C:C,"Not on master")</f>
        <v>0</v>
      </c>
      <c r="H4391" s="6">
        <v>0</v>
      </c>
      <c r="I4391" s="6">
        <v>4.5</v>
      </c>
      <c r="J4391" s="6">
        <f>I4391-H4391</f>
        <v>0</v>
      </c>
      <c r="K4391" s="5">
        <f>IF(H4391=0,"",J4391/H4391)</f>
        <v>0</v>
      </c>
      <c r="L4391">
        <f>IF(OR(AND(H4391=0,ABS(J4391)&gt;=0.01),AND(H4391&lt;&gt;0,ABS(K4391)&gt;VarianceThreshold)),"Review","OK")</f>
        <v>0</v>
      </c>
      <c r="M4391" t="s">
        <v>3038</v>
      </c>
    </row>
    <row r="4392" spans="1:13">
      <c r="A4392" t="s">
        <v>7</v>
      </c>
      <c r="B4392" t="s">
        <v>30</v>
      </c>
      <c r="C4392" t="s">
        <v>33</v>
      </c>
      <c r="D4392" t="s">
        <v>3366</v>
      </c>
      <c r="E4392" cm="1">
        <f t="array" ref="E4392">_xlfn.XLOOKUP(D4392,SKU_Master!A:A,SKU_Master!B:B,"Not on master")</f>
        <v>0</v>
      </c>
      <c r="F4392" cm="1">
        <f t="array" ref="F4392">_xlfn.XLOOKUP(C4392,Account_Master!A:A,Account_Master!B:B,"Not on master")</f>
        <v>0</v>
      </c>
      <c r="G4392" cm="1">
        <f t="array" ref="G4392">_xlfn.XLOOKUP(C4392,Account_Master!A:A,Account_Master!C:C,"Not on master")</f>
        <v>0</v>
      </c>
      <c r="H4392" s="6">
        <v>0</v>
      </c>
      <c r="I4392" s="6">
        <v>9</v>
      </c>
      <c r="J4392" s="6">
        <f>I4392-H4392</f>
        <v>0</v>
      </c>
      <c r="K4392" s="5">
        <f>IF(H4392=0,"",J4392/H4392)</f>
        <v>0</v>
      </c>
      <c r="L4392">
        <f>IF(OR(AND(H4392=0,ABS(J4392)&gt;=0.01),AND(H4392&lt;&gt;0,ABS(K4392)&gt;VarianceThreshold)),"Review","OK")</f>
        <v>0</v>
      </c>
      <c r="M4392" t="s">
        <v>3038</v>
      </c>
    </row>
    <row r="4393" spans="1:13">
      <c r="A4393" t="s">
        <v>7</v>
      </c>
      <c r="B4393" t="s">
        <v>47</v>
      </c>
      <c r="C4393" t="s">
        <v>3367</v>
      </c>
      <c r="D4393" t="s">
        <v>531</v>
      </c>
      <c r="E4393" cm="1">
        <f t="array" ref="E4393">_xlfn.XLOOKUP(D4393,SKU_Master!A:A,SKU_Master!B:B,"Not on master")</f>
        <v>0</v>
      </c>
      <c r="F4393" cm="1">
        <f t="array" ref="F4393">_xlfn.XLOOKUP(C4393,Account_Master!A:A,Account_Master!B:B,"Not on master")</f>
        <v>0</v>
      </c>
      <c r="G4393" cm="1">
        <f t="array" ref="G4393">_xlfn.XLOOKUP(C4393,Account_Master!A:A,Account_Master!C:C,"Not on master")</f>
        <v>0</v>
      </c>
      <c r="H4393" s="6">
        <v>12</v>
      </c>
      <c r="I4393" s="6">
        <v>12</v>
      </c>
      <c r="J4393" s="6">
        <f>I4393-H4393</f>
        <v>0</v>
      </c>
      <c r="K4393" s="5">
        <f>IF(H4393=0,"",J4393/H4393)</f>
        <v>0</v>
      </c>
      <c r="L4393">
        <f>IF(OR(AND(H4393=0,ABS(J4393)&gt;=0.01),AND(H4393&lt;&gt;0,ABS(K4393)&gt;VarianceThreshold)),"Review","OK")</f>
        <v>0</v>
      </c>
      <c r="M4393" t="s">
        <v>33</v>
      </c>
    </row>
    <row r="4394" spans="1:13">
      <c r="A4394" t="s">
        <v>7</v>
      </c>
      <c r="B4394" t="s">
        <v>47</v>
      </c>
      <c r="C4394" t="s">
        <v>3356</v>
      </c>
      <c r="D4394" t="s">
        <v>1887</v>
      </c>
      <c r="E4394" cm="1">
        <f t="array" ref="E4394">_xlfn.XLOOKUP(D4394,SKU_Master!A:A,SKU_Master!B:B,"Not on master")</f>
        <v>0</v>
      </c>
      <c r="F4394" cm="1">
        <f t="array" ref="F4394">_xlfn.XLOOKUP(C4394,Account_Master!A:A,Account_Master!B:B,"Not on master")</f>
        <v>0</v>
      </c>
      <c r="G4394" cm="1">
        <f t="array" ref="G4394">_xlfn.XLOOKUP(C4394,Account_Master!A:A,Account_Master!C:C,"Not on master")</f>
        <v>0</v>
      </c>
      <c r="H4394" s="6">
        <v>109</v>
      </c>
      <c r="I4394" s="6">
        <v>109</v>
      </c>
      <c r="J4394" s="6">
        <f>I4394-H4394</f>
        <v>0</v>
      </c>
      <c r="K4394" s="5">
        <f>IF(H4394=0,"",J4394/H4394)</f>
        <v>0</v>
      </c>
      <c r="L4394">
        <f>IF(OR(AND(H4394=0,ABS(J4394)&gt;=0.01),AND(H4394&lt;&gt;0,ABS(K4394)&gt;VarianceThreshold)),"Review","OK")</f>
        <v>0</v>
      </c>
      <c r="M4394" t="s">
        <v>33</v>
      </c>
    </row>
    <row r="4395" spans="1:13">
      <c r="A4395" t="s">
        <v>7</v>
      </c>
      <c r="B4395" t="s">
        <v>47</v>
      </c>
      <c r="C4395" t="s">
        <v>3368</v>
      </c>
      <c r="D4395" t="s">
        <v>852</v>
      </c>
      <c r="E4395" cm="1">
        <f t="array" ref="E4395">_xlfn.XLOOKUP(D4395,SKU_Master!A:A,SKU_Master!B:B,"Not on master")</f>
        <v>0</v>
      </c>
      <c r="F4395" cm="1">
        <f t="array" ref="F4395">_xlfn.XLOOKUP(C4395,Account_Master!A:A,Account_Master!B:B,"Not on master")</f>
        <v>0</v>
      </c>
      <c r="G4395" cm="1">
        <f t="array" ref="G4395">_xlfn.XLOOKUP(C4395,Account_Master!A:A,Account_Master!C:C,"Not on master")</f>
        <v>0</v>
      </c>
      <c r="H4395" s="6">
        <v>9</v>
      </c>
      <c r="I4395" s="6">
        <v>9</v>
      </c>
      <c r="J4395" s="6">
        <f>I4395-H4395</f>
        <v>0</v>
      </c>
      <c r="K4395" s="5">
        <f>IF(H4395=0,"",J4395/H4395)</f>
        <v>0</v>
      </c>
      <c r="L4395">
        <f>IF(OR(AND(H4395=0,ABS(J4395)&gt;=0.01),AND(H4395&lt;&gt;0,ABS(K4395)&gt;VarianceThreshold)),"Review","OK")</f>
        <v>0</v>
      </c>
      <c r="M4395" t="s">
        <v>33</v>
      </c>
    </row>
    <row r="4396" spans="1:13">
      <c r="A4396" t="s">
        <v>7</v>
      </c>
      <c r="B4396" t="s">
        <v>47</v>
      </c>
      <c r="C4396" t="s">
        <v>3369</v>
      </c>
      <c r="D4396" t="s">
        <v>2816</v>
      </c>
      <c r="E4396" cm="1">
        <f t="array" ref="E4396">_xlfn.XLOOKUP(D4396,SKU_Master!A:A,SKU_Master!B:B,"Not on master")</f>
        <v>0</v>
      </c>
      <c r="F4396" cm="1">
        <f t="array" ref="F4396">_xlfn.XLOOKUP(C4396,Account_Master!A:A,Account_Master!B:B,"Not on master")</f>
        <v>0</v>
      </c>
      <c r="G4396" cm="1">
        <f t="array" ref="G4396">_xlfn.XLOOKUP(C4396,Account_Master!A:A,Account_Master!C:C,"Not on master")</f>
        <v>0</v>
      </c>
      <c r="H4396" s="6">
        <v>17.25</v>
      </c>
      <c r="I4396" s="6">
        <v>17.25</v>
      </c>
      <c r="J4396" s="6">
        <f>I4396-H4396</f>
        <v>0</v>
      </c>
      <c r="K4396" s="5">
        <f>IF(H4396=0,"",J4396/H4396)</f>
        <v>0</v>
      </c>
      <c r="L4396">
        <f>IF(OR(AND(H4396=0,ABS(J4396)&gt;=0.01),AND(H4396&lt;&gt;0,ABS(K4396)&gt;VarianceThreshold)),"Review","OK")</f>
        <v>0</v>
      </c>
      <c r="M4396" t="s">
        <v>33</v>
      </c>
    </row>
    <row r="4397" spans="1:13">
      <c r="A4397" t="s">
        <v>7</v>
      </c>
      <c r="B4397" t="s">
        <v>47</v>
      </c>
      <c r="C4397" t="s">
        <v>3368</v>
      </c>
      <c r="D4397" t="s">
        <v>1438</v>
      </c>
      <c r="E4397" cm="1">
        <f t="array" ref="E4397">_xlfn.XLOOKUP(D4397,SKU_Master!A:A,SKU_Master!B:B,"Not on master")</f>
        <v>0</v>
      </c>
      <c r="F4397" cm="1">
        <f t="array" ref="F4397">_xlfn.XLOOKUP(C4397,Account_Master!A:A,Account_Master!B:B,"Not on master")</f>
        <v>0</v>
      </c>
      <c r="G4397" cm="1">
        <f t="array" ref="G4397">_xlfn.XLOOKUP(C4397,Account_Master!A:A,Account_Master!C:C,"Not on master")</f>
        <v>0</v>
      </c>
      <c r="H4397" s="6">
        <v>4.5</v>
      </c>
      <c r="I4397" s="6">
        <v>4.5</v>
      </c>
      <c r="J4397" s="6">
        <f>I4397-H4397</f>
        <v>0</v>
      </c>
      <c r="K4397" s="5">
        <f>IF(H4397=0,"",J4397/H4397)</f>
        <v>0</v>
      </c>
      <c r="L4397">
        <f>IF(OR(AND(H4397=0,ABS(J4397)&gt;=0.01),AND(H4397&lt;&gt;0,ABS(K4397)&gt;VarianceThreshold)),"Review","OK")</f>
        <v>0</v>
      </c>
      <c r="M4397" t="s">
        <v>33</v>
      </c>
    </row>
    <row r="4398" spans="1:13">
      <c r="A4398" t="s">
        <v>7</v>
      </c>
      <c r="B4398" t="s">
        <v>47</v>
      </c>
      <c r="C4398" t="s">
        <v>3370</v>
      </c>
      <c r="D4398" t="s">
        <v>3371</v>
      </c>
      <c r="E4398" cm="1">
        <f t="array" ref="E4398">_xlfn.XLOOKUP(D4398,SKU_Master!A:A,SKU_Master!B:B,"Not on master")</f>
        <v>0</v>
      </c>
      <c r="F4398" cm="1">
        <f t="array" ref="F4398">_xlfn.XLOOKUP(C4398,Account_Master!A:A,Account_Master!B:B,"Not on master")</f>
        <v>0</v>
      </c>
      <c r="G4398" cm="1">
        <f t="array" ref="G4398">_xlfn.XLOOKUP(C4398,Account_Master!A:A,Account_Master!C:C,"Not on master")</f>
        <v>0</v>
      </c>
      <c r="H4398" s="6">
        <v>5.25</v>
      </c>
      <c r="I4398" s="6">
        <v>5.25</v>
      </c>
      <c r="J4398" s="6">
        <f>I4398-H4398</f>
        <v>0</v>
      </c>
      <c r="K4398" s="5">
        <f>IF(H4398=0,"",J4398/H4398)</f>
        <v>0</v>
      </c>
      <c r="L4398">
        <f>IF(OR(AND(H4398=0,ABS(J4398)&gt;=0.01),AND(H4398&lt;&gt;0,ABS(K4398)&gt;VarianceThreshold)),"Review","OK")</f>
        <v>0</v>
      </c>
      <c r="M4398" t="s">
        <v>33</v>
      </c>
    </row>
    <row r="4399" spans="1:13">
      <c r="A4399" t="s">
        <v>7</v>
      </c>
      <c r="B4399" t="s">
        <v>47</v>
      </c>
      <c r="C4399" t="s">
        <v>3358</v>
      </c>
      <c r="D4399" t="s">
        <v>3372</v>
      </c>
      <c r="E4399" cm="1">
        <f t="array" ref="E4399">_xlfn.XLOOKUP(D4399,SKU_Master!A:A,SKU_Master!B:B,"Not on master")</f>
        <v>0</v>
      </c>
      <c r="F4399" cm="1">
        <f t="array" ref="F4399">_xlfn.XLOOKUP(C4399,Account_Master!A:A,Account_Master!B:B,"Not on master")</f>
        <v>0</v>
      </c>
      <c r="G4399" cm="1">
        <f t="array" ref="G4399">_xlfn.XLOOKUP(C4399,Account_Master!A:A,Account_Master!C:C,"Not on master")</f>
        <v>0</v>
      </c>
      <c r="H4399" s="6">
        <v>0.85</v>
      </c>
      <c r="I4399" s="6">
        <v>0.75</v>
      </c>
      <c r="J4399" s="6">
        <f>I4399-H4399</f>
        <v>0</v>
      </c>
      <c r="K4399" s="5">
        <f>IF(H4399=0,"",J4399/H4399)</f>
        <v>0</v>
      </c>
      <c r="L4399">
        <f>IF(OR(AND(H4399=0,ABS(J4399)&gt;=0.01),AND(H4399&lt;&gt;0,ABS(K4399)&gt;VarianceThreshold)),"Review","OK")</f>
        <v>0</v>
      </c>
      <c r="M4399" t="s">
        <v>3038</v>
      </c>
    </row>
    <row r="4400" spans="1:13">
      <c r="A4400" t="s">
        <v>7</v>
      </c>
      <c r="B4400" t="s">
        <v>62</v>
      </c>
      <c r="C4400" t="s">
        <v>3373</v>
      </c>
      <c r="D4400" t="s">
        <v>2654</v>
      </c>
      <c r="E4400" cm="1">
        <f t="array" ref="E4400">_xlfn.XLOOKUP(D4400,SKU_Master!A:A,SKU_Master!B:B,"Not on master")</f>
        <v>0</v>
      </c>
      <c r="F4400" cm="1">
        <f t="array" ref="F4400">_xlfn.XLOOKUP(C4400,Account_Master!A:A,Account_Master!B:B,"Not on master")</f>
        <v>0</v>
      </c>
      <c r="G4400" cm="1">
        <f t="array" ref="G4400">_xlfn.XLOOKUP(C4400,Account_Master!A:A,Account_Master!C:C,"Not on master")</f>
        <v>0</v>
      </c>
      <c r="H4400" s="6">
        <v>19.5</v>
      </c>
      <c r="I4400" s="6">
        <v>19.5</v>
      </c>
      <c r="J4400" s="6">
        <f>I4400-H4400</f>
        <v>0</v>
      </c>
      <c r="K4400" s="5">
        <f>IF(H4400=0,"",J4400/H4400)</f>
        <v>0</v>
      </c>
      <c r="L4400">
        <f>IF(OR(AND(H4400=0,ABS(J4400)&gt;=0.01),AND(H4400&lt;&gt;0,ABS(K4400)&gt;VarianceThreshold)),"Review","OK")</f>
        <v>0</v>
      </c>
      <c r="M4400" t="s">
        <v>33</v>
      </c>
    </row>
    <row r="4401" spans="1:13">
      <c r="A4401" t="s">
        <v>7</v>
      </c>
      <c r="B4401" t="s">
        <v>62</v>
      </c>
      <c r="C4401" t="s">
        <v>33</v>
      </c>
      <c r="D4401" t="s">
        <v>3374</v>
      </c>
      <c r="E4401" cm="1">
        <f t="array" ref="E4401">_xlfn.XLOOKUP(D4401,SKU_Master!A:A,SKU_Master!B:B,"Not on master")</f>
        <v>0</v>
      </c>
      <c r="F4401" cm="1">
        <f t="array" ref="F4401">_xlfn.XLOOKUP(C4401,Account_Master!A:A,Account_Master!B:B,"Not on master")</f>
        <v>0</v>
      </c>
      <c r="G4401" cm="1">
        <f t="array" ref="G4401">_xlfn.XLOOKUP(C4401,Account_Master!A:A,Account_Master!C:C,"Not on master")</f>
        <v>0</v>
      </c>
      <c r="H4401" s="6">
        <v>0</v>
      </c>
      <c r="I4401" s="6">
        <v>3.75</v>
      </c>
      <c r="J4401" s="6">
        <f>I4401-H4401</f>
        <v>0</v>
      </c>
      <c r="K4401" s="5">
        <f>IF(H4401=0,"",J4401/H4401)</f>
        <v>0</v>
      </c>
      <c r="L4401">
        <f>IF(OR(AND(H4401=0,ABS(J4401)&gt;=0.01),AND(H4401&lt;&gt;0,ABS(K4401)&gt;VarianceThreshold)),"Review","OK")</f>
        <v>0</v>
      </c>
      <c r="M4401" t="s">
        <v>3038</v>
      </c>
    </row>
    <row r="4402" spans="1:13">
      <c r="A4402" t="s">
        <v>7</v>
      </c>
      <c r="B4402" t="s">
        <v>62</v>
      </c>
      <c r="C4402" t="s">
        <v>33</v>
      </c>
      <c r="D4402" t="s">
        <v>3375</v>
      </c>
      <c r="E4402" cm="1">
        <f t="array" ref="E4402">_xlfn.XLOOKUP(D4402,SKU_Master!A:A,SKU_Master!B:B,"Not on master")</f>
        <v>0</v>
      </c>
      <c r="F4402" cm="1">
        <f t="array" ref="F4402">_xlfn.XLOOKUP(C4402,Account_Master!A:A,Account_Master!B:B,"Not on master")</f>
        <v>0</v>
      </c>
      <c r="G4402" cm="1">
        <f t="array" ref="G4402">_xlfn.XLOOKUP(C4402,Account_Master!A:A,Account_Master!C:C,"Not on master")</f>
        <v>0</v>
      </c>
      <c r="H4402" s="6">
        <v>0</v>
      </c>
      <c r="I4402" s="6">
        <v>9</v>
      </c>
      <c r="J4402" s="6">
        <f>I4402-H4402</f>
        <v>0</v>
      </c>
      <c r="K4402" s="5">
        <f>IF(H4402=0,"",J4402/H4402)</f>
        <v>0</v>
      </c>
      <c r="L4402">
        <f>IF(OR(AND(H4402=0,ABS(J4402)&gt;=0.01),AND(H4402&lt;&gt;0,ABS(K4402)&gt;VarianceThreshold)),"Review","OK")</f>
        <v>0</v>
      </c>
      <c r="M4402" t="s">
        <v>3038</v>
      </c>
    </row>
    <row r="4403" spans="1:13">
      <c r="A4403" t="s">
        <v>7</v>
      </c>
      <c r="B4403" t="s">
        <v>71</v>
      </c>
      <c r="C4403" t="s">
        <v>3376</v>
      </c>
      <c r="D4403" t="s">
        <v>1424</v>
      </c>
      <c r="E4403" cm="1">
        <f t="array" ref="E4403">_xlfn.XLOOKUP(D4403,SKU_Master!A:A,SKU_Master!B:B,"Not on master")</f>
        <v>0</v>
      </c>
      <c r="F4403" cm="1">
        <f t="array" ref="F4403">_xlfn.XLOOKUP(C4403,Account_Master!A:A,Account_Master!B:B,"Not on master")</f>
        <v>0</v>
      </c>
      <c r="G4403" cm="1">
        <f t="array" ref="G4403">_xlfn.XLOOKUP(C4403,Account_Master!A:A,Account_Master!C:C,"Not on master")</f>
        <v>0</v>
      </c>
      <c r="H4403" s="6">
        <v>40.49</v>
      </c>
      <c r="I4403" s="6">
        <v>35.99</v>
      </c>
      <c r="J4403" s="6">
        <f>I4403-H4403</f>
        <v>0</v>
      </c>
      <c r="K4403" s="5">
        <f>IF(H4403=0,"",J4403/H4403)</f>
        <v>0</v>
      </c>
      <c r="L4403">
        <f>IF(OR(AND(H4403=0,ABS(J4403)&gt;=0.01),AND(H4403&lt;&gt;0,ABS(K4403)&gt;VarianceThreshold)),"Review","OK")</f>
        <v>0</v>
      </c>
      <c r="M4403" t="s">
        <v>3038</v>
      </c>
    </row>
    <row r="4404" spans="1:13">
      <c r="A4404" t="s">
        <v>7</v>
      </c>
      <c r="B4404" t="s">
        <v>71</v>
      </c>
      <c r="C4404" t="s">
        <v>3377</v>
      </c>
      <c r="D4404" t="s">
        <v>455</v>
      </c>
      <c r="E4404" cm="1">
        <f t="array" ref="E4404">_xlfn.XLOOKUP(D4404,SKU_Master!A:A,SKU_Master!B:B,"Not on master")</f>
        <v>0</v>
      </c>
      <c r="F4404" cm="1">
        <f t="array" ref="F4404">_xlfn.XLOOKUP(C4404,Account_Master!A:A,Account_Master!B:B,"Not on master")</f>
        <v>0</v>
      </c>
      <c r="G4404" cm="1">
        <f t="array" ref="G4404">_xlfn.XLOOKUP(C4404,Account_Master!A:A,Account_Master!C:C,"Not on master")</f>
        <v>0</v>
      </c>
      <c r="H4404" s="6">
        <v>4</v>
      </c>
      <c r="I4404" s="6">
        <v>4</v>
      </c>
      <c r="J4404" s="6">
        <f>I4404-H4404</f>
        <v>0</v>
      </c>
      <c r="K4404" s="5">
        <f>IF(H4404=0,"",J4404/H4404)</f>
        <v>0</v>
      </c>
      <c r="L4404">
        <f>IF(OR(AND(H4404=0,ABS(J4404)&gt;=0.01),AND(H4404&lt;&gt;0,ABS(K4404)&gt;VarianceThreshold)),"Review","OK")</f>
        <v>0</v>
      </c>
      <c r="M4404" t="s">
        <v>33</v>
      </c>
    </row>
    <row r="4405" spans="1:13">
      <c r="A4405" t="s">
        <v>7</v>
      </c>
      <c r="B4405" t="s">
        <v>71</v>
      </c>
      <c r="C4405" t="s">
        <v>3363</v>
      </c>
      <c r="D4405" t="s">
        <v>711</v>
      </c>
      <c r="E4405" cm="1">
        <f t="array" ref="E4405">_xlfn.XLOOKUP(D4405,SKU_Master!A:A,SKU_Master!B:B,"Not on master")</f>
        <v>0</v>
      </c>
      <c r="F4405" cm="1">
        <f t="array" ref="F4405">_xlfn.XLOOKUP(C4405,Account_Master!A:A,Account_Master!B:B,"Not on master")</f>
        <v>0</v>
      </c>
      <c r="G4405" cm="1">
        <f t="array" ref="G4405">_xlfn.XLOOKUP(C4405,Account_Master!A:A,Account_Master!C:C,"Not on master")</f>
        <v>0</v>
      </c>
      <c r="H4405" s="6">
        <v>13</v>
      </c>
      <c r="I4405" s="6">
        <v>13</v>
      </c>
      <c r="J4405" s="6">
        <f>I4405-H4405</f>
        <v>0</v>
      </c>
      <c r="K4405" s="5">
        <f>IF(H4405=0,"",J4405/H4405)</f>
        <v>0</v>
      </c>
      <c r="L4405">
        <f>IF(OR(AND(H4405=0,ABS(J4405)&gt;=0.01),AND(H4405&lt;&gt;0,ABS(K4405)&gt;VarianceThreshold)),"Review","OK")</f>
        <v>0</v>
      </c>
      <c r="M4405" t="s">
        <v>33</v>
      </c>
    </row>
    <row r="4406" spans="1:13">
      <c r="A4406" t="s">
        <v>7</v>
      </c>
      <c r="B4406" t="s">
        <v>71</v>
      </c>
      <c r="C4406" t="s">
        <v>3378</v>
      </c>
      <c r="D4406" t="s">
        <v>1062</v>
      </c>
      <c r="E4406" cm="1">
        <f t="array" ref="E4406">_xlfn.XLOOKUP(D4406,SKU_Master!A:A,SKU_Master!B:B,"Not on master")</f>
        <v>0</v>
      </c>
      <c r="F4406" cm="1">
        <f t="array" ref="F4406">_xlfn.XLOOKUP(C4406,Account_Master!A:A,Account_Master!B:B,"Not on master")</f>
        <v>0</v>
      </c>
      <c r="G4406" cm="1">
        <f t="array" ref="G4406">_xlfn.XLOOKUP(C4406,Account_Master!A:A,Account_Master!C:C,"Not on master")</f>
        <v>0</v>
      </c>
      <c r="H4406" s="6">
        <v>3</v>
      </c>
      <c r="I4406" s="6">
        <v>3</v>
      </c>
      <c r="J4406" s="6">
        <f>I4406-H4406</f>
        <v>0</v>
      </c>
      <c r="K4406" s="5">
        <f>IF(H4406=0,"",J4406/H4406)</f>
        <v>0</v>
      </c>
      <c r="L4406">
        <f>IF(OR(AND(H4406=0,ABS(J4406)&gt;=0.01),AND(H4406&lt;&gt;0,ABS(K4406)&gt;VarianceThreshold)),"Review","OK")</f>
        <v>0</v>
      </c>
      <c r="M4406" t="s">
        <v>33</v>
      </c>
    </row>
    <row r="4407" spans="1:13">
      <c r="A4407" t="s">
        <v>7</v>
      </c>
      <c r="B4407" t="s">
        <v>71</v>
      </c>
      <c r="C4407" t="s">
        <v>3368</v>
      </c>
      <c r="D4407" t="s">
        <v>3379</v>
      </c>
      <c r="E4407" cm="1">
        <f t="array" ref="E4407">_xlfn.XLOOKUP(D4407,SKU_Master!A:A,SKU_Master!B:B,"Not on master")</f>
        <v>0</v>
      </c>
      <c r="F4407" cm="1">
        <f t="array" ref="F4407">_xlfn.XLOOKUP(C4407,Account_Master!A:A,Account_Master!B:B,"Not on master")</f>
        <v>0</v>
      </c>
      <c r="G4407" cm="1">
        <f t="array" ref="G4407">_xlfn.XLOOKUP(C4407,Account_Master!A:A,Account_Master!C:C,"Not on master")</f>
        <v>0</v>
      </c>
      <c r="H4407" s="6">
        <v>9</v>
      </c>
      <c r="I4407" s="6">
        <v>9</v>
      </c>
      <c r="J4407" s="6">
        <f>I4407-H4407</f>
        <v>0</v>
      </c>
      <c r="K4407" s="5">
        <f>IF(H4407=0,"",J4407/H4407)</f>
        <v>0</v>
      </c>
      <c r="L4407">
        <f>IF(OR(AND(H4407=0,ABS(J4407)&gt;=0.01),AND(H4407&lt;&gt;0,ABS(K4407)&gt;VarianceThreshold)),"Review","OK")</f>
        <v>0</v>
      </c>
      <c r="M4407" t="s">
        <v>33</v>
      </c>
    </row>
    <row r="4408" spans="1:13">
      <c r="A4408" t="s">
        <v>7</v>
      </c>
      <c r="B4408" t="s">
        <v>71</v>
      </c>
      <c r="C4408" t="s">
        <v>33</v>
      </c>
      <c r="D4408" t="s">
        <v>3380</v>
      </c>
      <c r="E4408" cm="1">
        <f t="array" ref="E4408">_xlfn.XLOOKUP(D4408,SKU_Master!A:A,SKU_Master!B:B,"Not on master")</f>
        <v>0</v>
      </c>
      <c r="F4408" cm="1">
        <f t="array" ref="F4408">_xlfn.XLOOKUP(C4408,Account_Master!A:A,Account_Master!B:B,"Not on master")</f>
        <v>0</v>
      </c>
      <c r="G4408" cm="1">
        <f t="array" ref="G4408">_xlfn.XLOOKUP(C4408,Account_Master!A:A,Account_Master!C:C,"Not on master")</f>
        <v>0</v>
      </c>
      <c r="H4408" s="6">
        <v>0</v>
      </c>
      <c r="I4408" s="6">
        <v>0.75</v>
      </c>
      <c r="J4408" s="6">
        <f>I4408-H4408</f>
        <v>0</v>
      </c>
      <c r="K4408" s="5">
        <f>IF(H4408=0,"",J4408/H4408)</f>
        <v>0</v>
      </c>
      <c r="L4408">
        <f>IF(OR(AND(H4408=0,ABS(J4408)&gt;=0.01),AND(H4408&lt;&gt;0,ABS(K4408)&gt;VarianceThreshold)),"Review","OK")</f>
        <v>0</v>
      </c>
      <c r="M4408" t="s">
        <v>3038</v>
      </c>
    </row>
    <row r="4409" spans="1:13">
      <c r="A4409" t="s">
        <v>7</v>
      </c>
      <c r="B4409" t="s">
        <v>86</v>
      </c>
      <c r="C4409" t="s">
        <v>3381</v>
      </c>
      <c r="D4409" t="s">
        <v>935</v>
      </c>
      <c r="E4409" cm="1">
        <f t="array" ref="E4409">_xlfn.XLOOKUP(D4409,SKU_Master!A:A,SKU_Master!B:B,"Not on master")</f>
        <v>0</v>
      </c>
      <c r="F4409" cm="1">
        <f t="array" ref="F4409">_xlfn.XLOOKUP(C4409,Account_Master!A:A,Account_Master!B:B,"Not on master")</f>
        <v>0</v>
      </c>
      <c r="G4409" cm="1">
        <f t="array" ref="G4409">_xlfn.XLOOKUP(C4409,Account_Master!A:A,Account_Master!C:C,"Not on master")</f>
        <v>0</v>
      </c>
      <c r="H4409" s="6">
        <v>1.2</v>
      </c>
      <c r="I4409" s="6">
        <v>1.2</v>
      </c>
      <c r="J4409" s="6">
        <f>I4409-H4409</f>
        <v>0</v>
      </c>
      <c r="K4409" s="5">
        <f>IF(H4409=0,"",J4409/H4409)</f>
        <v>0</v>
      </c>
      <c r="L4409">
        <f>IF(OR(AND(H4409=0,ABS(J4409)&gt;=0.01),AND(H4409&lt;&gt;0,ABS(K4409)&gt;VarianceThreshold)),"Review","OK")</f>
        <v>0</v>
      </c>
      <c r="M4409" t="s">
        <v>33</v>
      </c>
    </row>
    <row r="4410" spans="1:13">
      <c r="A4410" t="s">
        <v>7</v>
      </c>
      <c r="B4410" t="s">
        <v>86</v>
      </c>
      <c r="C4410" t="s">
        <v>3382</v>
      </c>
      <c r="D4410" t="s">
        <v>1184</v>
      </c>
      <c r="E4410" cm="1">
        <f t="array" ref="E4410">_xlfn.XLOOKUP(D4410,SKU_Master!A:A,SKU_Master!B:B,"Not on master")</f>
        <v>0</v>
      </c>
      <c r="F4410" cm="1">
        <f t="array" ref="F4410">_xlfn.XLOOKUP(C4410,Account_Master!A:A,Account_Master!B:B,"Not on master")</f>
        <v>0</v>
      </c>
      <c r="G4410" cm="1">
        <f t="array" ref="G4410">_xlfn.XLOOKUP(C4410,Account_Master!A:A,Account_Master!C:C,"Not on master")</f>
        <v>0</v>
      </c>
      <c r="H4410" s="6">
        <v>27</v>
      </c>
      <c r="I4410" s="6">
        <v>27</v>
      </c>
      <c r="J4410" s="6">
        <f>I4410-H4410</f>
        <v>0</v>
      </c>
      <c r="K4410" s="5">
        <f>IF(H4410=0,"",J4410/H4410)</f>
        <v>0</v>
      </c>
      <c r="L4410">
        <f>IF(OR(AND(H4410=0,ABS(J4410)&gt;=0.01),AND(H4410&lt;&gt;0,ABS(K4410)&gt;VarianceThreshold)),"Review","OK")</f>
        <v>0</v>
      </c>
      <c r="M4410" t="s">
        <v>33</v>
      </c>
    </row>
    <row r="4411" spans="1:13">
      <c r="A4411" t="s">
        <v>7</v>
      </c>
      <c r="B4411" t="s">
        <v>86</v>
      </c>
      <c r="C4411" t="s">
        <v>3383</v>
      </c>
      <c r="D4411" t="s">
        <v>1696</v>
      </c>
      <c r="E4411" cm="1">
        <f t="array" ref="E4411">_xlfn.XLOOKUP(D4411,SKU_Master!A:A,SKU_Master!B:B,"Not on master")</f>
        <v>0</v>
      </c>
      <c r="F4411" cm="1">
        <f t="array" ref="F4411">_xlfn.XLOOKUP(C4411,Account_Master!A:A,Account_Master!B:B,"Not on master")</f>
        <v>0</v>
      </c>
      <c r="G4411" cm="1">
        <f t="array" ref="G4411">_xlfn.XLOOKUP(C4411,Account_Master!A:A,Account_Master!C:C,"Not on master")</f>
        <v>0</v>
      </c>
      <c r="H4411" s="6">
        <v>36</v>
      </c>
      <c r="I4411" s="6">
        <v>36</v>
      </c>
      <c r="J4411" s="6">
        <f>I4411-H4411</f>
        <v>0</v>
      </c>
      <c r="K4411" s="5">
        <f>IF(H4411=0,"",J4411/H4411)</f>
        <v>0</v>
      </c>
      <c r="L4411">
        <f>IF(OR(AND(H4411=0,ABS(J4411)&gt;=0.01),AND(H4411&lt;&gt;0,ABS(K4411)&gt;VarianceThreshold)),"Review","OK")</f>
        <v>0</v>
      </c>
      <c r="M4411" t="s">
        <v>33</v>
      </c>
    </row>
    <row r="4412" spans="1:13">
      <c r="A4412" t="s">
        <v>7</v>
      </c>
      <c r="B4412" t="s">
        <v>86</v>
      </c>
      <c r="C4412" t="s">
        <v>3358</v>
      </c>
      <c r="D4412" t="s">
        <v>1077</v>
      </c>
      <c r="E4412" cm="1">
        <f t="array" ref="E4412">_xlfn.XLOOKUP(D4412,SKU_Master!A:A,SKU_Master!B:B,"Not on master")</f>
        <v>0</v>
      </c>
      <c r="F4412" cm="1">
        <f t="array" ref="F4412">_xlfn.XLOOKUP(C4412,Account_Master!A:A,Account_Master!B:B,"Not on master")</f>
        <v>0</v>
      </c>
      <c r="G4412" cm="1">
        <f t="array" ref="G4412">_xlfn.XLOOKUP(C4412,Account_Master!A:A,Account_Master!C:C,"Not on master")</f>
        <v>0</v>
      </c>
      <c r="H4412" s="6">
        <v>24.75</v>
      </c>
      <c r="I4412" s="6">
        <v>24.75</v>
      </c>
      <c r="J4412" s="6">
        <f>I4412-H4412</f>
        <v>0</v>
      </c>
      <c r="K4412" s="5">
        <f>IF(H4412=0,"",J4412/H4412)</f>
        <v>0</v>
      </c>
      <c r="L4412">
        <f>IF(OR(AND(H4412=0,ABS(J4412)&gt;=0.01),AND(H4412&lt;&gt;0,ABS(K4412)&gt;VarianceThreshold)),"Review","OK")</f>
        <v>0</v>
      </c>
      <c r="M4412" t="s">
        <v>33</v>
      </c>
    </row>
    <row r="4413" spans="1:13">
      <c r="A4413" t="s">
        <v>7</v>
      </c>
      <c r="B4413" t="s">
        <v>86</v>
      </c>
      <c r="C4413" t="s">
        <v>33</v>
      </c>
      <c r="D4413" t="s">
        <v>3384</v>
      </c>
      <c r="E4413" cm="1">
        <f t="array" ref="E4413">_xlfn.XLOOKUP(D4413,SKU_Master!A:A,SKU_Master!B:B,"Not on master")</f>
        <v>0</v>
      </c>
      <c r="F4413" cm="1">
        <f t="array" ref="F4413">_xlfn.XLOOKUP(C4413,Account_Master!A:A,Account_Master!B:B,"Not on master")</f>
        <v>0</v>
      </c>
      <c r="G4413" cm="1">
        <f t="array" ref="G4413">_xlfn.XLOOKUP(C4413,Account_Master!A:A,Account_Master!C:C,"Not on master")</f>
        <v>0</v>
      </c>
      <c r="H4413" s="6">
        <v>0</v>
      </c>
      <c r="I4413" s="6">
        <v>0.05</v>
      </c>
      <c r="J4413" s="6">
        <f>I4413-H4413</f>
        <v>0</v>
      </c>
      <c r="K4413" s="5">
        <f>IF(H4413=0,"",J4413/H4413)</f>
        <v>0</v>
      </c>
      <c r="L4413">
        <f>IF(OR(AND(H4413=0,ABS(J4413)&gt;=0.01),AND(H4413&lt;&gt;0,ABS(K4413)&gt;VarianceThreshold)),"Review","OK")</f>
        <v>0</v>
      </c>
      <c r="M4413" t="s">
        <v>3038</v>
      </c>
    </row>
    <row r="4414" spans="1:13">
      <c r="A4414" t="s">
        <v>7</v>
      </c>
      <c r="B4414" t="s">
        <v>86</v>
      </c>
      <c r="C4414" t="s">
        <v>33</v>
      </c>
      <c r="D4414" t="s">
        <v>3385</v>
      </c>
      <c r="E4414" cm="1">
        <f t="array" ref="E4414">_xlfn.XLOOKUP(D4414,SKU_Master!A:A,SKU_Master!B:B,"Not on master")</f>
        <v>0</v>
      </c>
      <c r="F4414" cm="1">
        <f t="array" ref="F4414">_xlfn.XLOOKUP(C4414,Account_Master!A:A,Account_Master!B:B,"Not on master")</f>
        <v>0</v>
      </c>
      <c r="G4414" cm="1">
        <f t="array" ref="G4414">_xlfn.XLOOKUP(C4414,Account_Master!A:A,Account_Master!C:C,"Not on master")</f>
        <v>0</v>
      </c>
      <c r="H4414" s="6">
        <v>0</v>
      </c>
      <c r="I4414" s="6">
        <v>9</v>
      </c>
      <c r="J4414" s="6">
        <f>I4414-H4414</f>
        <v>0</v>
      </c>
      <c r="K4414" s="5">
        <f>IF(H4414=0,"",J4414/H4414)</f>
        <v>0</v>
      </c>
      <c r="L4414">
        <f>IF(OR(AND(H4414=0,ABS(J4414)&gt;=0.01),AND(H4414&lt;&gt;0,ABS(K4414)&gt;VarianceThreshold)),"Review","OK")</f>
        <v>0</v>
      </c>
      <c r="M4414" t="s">
        <v>3038</v>
      </c>
    </row>
    <row r="4415" spans="1:13">
      <c r="A4415" t="s">
        <v>7</v>
      </c>
      <c r="B4415" t="s">
        <v>97</v>
      </c>
      <c r="C4415" t="s">
        <v>3386</v>
      </c>
      <c r="D4415" t="s">
        <v>1899</v>
      </c>
      <c r="E4415" cm="1">
        <f t="array" ref="E4415">_xlfn.XLOOKUP(D4415,SKU_Master!A:A,SKU_Master!B:B,"Not on master")</f>
        <v>0</v>
      </c>
      <c r="F4415" cm="1">
        <f t="array" ref="F4415">_xlfn.XLOOKUP(C4415,Account_Master!A:A,Account_Master!B:B,"Not on master")</f>
        <v>0</v>
      </c>
      <c r="G4415" cm="1">
        <f t="array" ref="G4415">_xlfn.XLOOKUP(C4415,Account_Master!A:A,Account_Master!C:C,"Not on master")</f>
        <v>0</v>
      </c>
      <c r="H4415" s="6">
        <v>84.75</v>
      </c>
      <c r="I4415" s="6">
        <v>84.75</v>
      </c>
      <c r="J4415" s="6">
        <f>I4415-H4415</f>
        <v>0</v>
      </c>
      <c r="K4415" s="5">
        <f>IF(H4415=0,"",J4415/H4415)</f>
        <v>0</v>
      </c>
      <c r="L4415">
        <f>IF(OR(AND(H4415=0,ABS(J4415)&gt;=0.01),AND(H4415&lt;&gt;0,ABS(K4415)&gt;VarianceThreshold)),"Review","OK")</f>
        <v>0</v>
      </c>
      <c r="M4415" t="s">
        <v>33</v>
      </c>
    </row>
    <row r="4416" spans="1:13">
      <c r="A4416" t="s">
        <v>7</v>
      </c>
      <c r="B4416" t="s">
        <v>97</v>
      </c>
      <c r="C4416" t="s">
        <v>3368</v>
      </c>
      <c r="D4416" t="s">
        <v>1673</v>
      </c>
      <c r="E4416" cm="1">
        <f t="array" ref="E4416">_xlfn.XLOOKUP(D4416,SKU_Master!A:A,SKU_Master!B:B,"Not on master")</f>
        <v>0</v>
      </c>
      <c r="F4416" cm="1">
        <f t="array" ref="F4416">_xlfn.XLOOKUP(C4416,Account_Master!A:A,Account_Master!B:B,"Not on master")</f>
        <v>0</v>
      </c>
      <c r="G4416" cm="1">
        <f t="array" ref="G4416">_xlfn.XLOOKUP(C4416,Account_Master!A:A,Account_Master!C:C,"Not on master")</f>
        <v>0</v>
      </c>
      <c r="H4416" s="6">
        <v>139.5</v>
      </c>
      <c r="I4416" s="6">
        <v>139.5</v>
      </c>
      <c r="J4416" s="6">
        <f>I4416-H4416</f>
        <v>0</v>
      </c>
      <c r="K4416" s="5">
        <f>IF(H4416=0,"",J4416/H4416)</f>
        <v>0</v>
      </c>
      <c r="L4416">
        <f>IF(OR(AND(H4416=0,ABS(J4416)&gt;=0.01),AND(H4416&lt;&gt;0,ABS(K4416)&gt;VarianceThreshold)),"Review","OK")</f>
        <v>0</v>
      </c>
      <c r="M4416" t="s">
        <v>33</v>
      </c>
    </row>
    <row r="4417" spans="1:13">
      <c r="A4417" t="s">
        <v>7</v>
      </c>
      <c r="B4417" t="s">
        <v>97</v>
      </c>
      <c r="C4417" t="s">
        <v>3356</v>
      </c>
      <c r="D4417" t="s">
        <v>2566</v>
      </c>
      <c r="E4417" cm="1">
        <f t="array" ref="E4417">_xlfn.XLOOKUP(D4417,SKU_Master!A:A,SKU_Master!B:B,"Not on master")</f>
        <v>0</v>
      </c>
      <c r="F4417" cm="1">
        <f t="array" ref="F4417">_xlfn.XLOOKUP(C4417,Account_Master!A:A,Account_Master!B:B,"Not on master")</f>
        <v>0</v>
      </c>
      <c r="G4417" cm="1">
        <f t="array" ref="G4417">_xlfn.XLOOKUP(C4417,Account_Master!A:A,Account_Master!C:C,"Not on master")</f>
        <v>0</v>
      </c>
      <c r="H4417" s="6">
        <v>1</v>
      </c>
      <c r="I4417" s="6">
        <v>0</v>
      </c>
      <c r="J4417" s="6">
        <f>I4417-H4417</f>
        <v>0</v>
      </c>
      <c r="K4417" s="5">
        <f>IF(H4417=0,"",J4417/H4417)</f>
        <v>0</v>
      </c>
      <c r="L4417">
        <f>IF(OR(AND(H4417=0,ABS(J4417)&gt;=0.01),AND(H4417&lt;&gt;0,ABS(K4417)&gt;VarianceThreshold)),"Review","OK")</f>
        <v>0</v>
      </c>
      <c r="M4417" t="s">
        <v>3038</v>
      </c>
    </row>
    <row r="4418" spans="1:13">
      <c r="A4418" t="s">
        <v>7</v>
      </c>
      <c r="B4418" t="s">
        <v>97</v>
      </c>
      <c r="C4418" t="s">
        <v>3359</v>
      </c>
      <c r="D4418" t="s">
        <v>556</v>
      </c>
      <c r="E4418" cm="1">
        <f t="array" ref="E4418">_xlfn.XLOOKUP(D4418,SKU_Master!A:A,SKU_Master!B:B,"Not on master")</f>
        <v>0</v>
      </c>
      <c r="F4418" cm="1">
        <f t="array" ref="F4418">_xlfn.XLOOKUP(C4418,Account_Master!A:A,Account_Master!B:B,"Not on master")</f>
        <v>0</v>
      </c>
      <c r="G4418" cm="1">
        <f t="array" ref="G4418">_xlfn.XLOOKUP(C4418,Account_Master!A:A,Account_Master!C:C,"Not on master")</f>
        <v>0</v>
      </c>
      <c r="H4418" s="6">
        <v>18</v>
      </c>
      <c r="I4418" s="6">
        <v>18</v>
      </c>
      <c r="J4418" s="6">
        <f>I4418-H4418</f>
        <v>0</v>
      </c>
      <c r="K4418" s="5">
        <f>IF(H4418=0,"",J4418/H4418)</f>
        <v>0</v>
      </c>
      <c r="L4418">
        <f>IF(OR(AND(H4418=0,ABS(J4418)&gt;=0.01),AND(H4418&lt;&gt;0,ABS(K4418)&gt;VarianceThreshold)),"Review","OK")</f>
        <v>0</v>
      </c>
      <c r="M4418" t="s">
        <v>33</v>
      </c>
    </row>
    <row r="4419" spans="1:13">
      <c r="A4419" t="s">
        <v>7</v>
      </c>
      <c r="B4419" t="s">
        <v>103</v>
      </c>
      <c r="C4419" t="s">
        <v>3377</v>
      </c>
      <c r="D4419" t="s">
        <v>541</v>
      </c>
      <c r="E4419" cm="1">
        <f t="array" ref="E4419">_xlfn.XLOOKUP(D4419,SKU_Master!A:A,SKU_Master!B:B,"Not on master")</f>
        <v>0</v>
      </c>
      <c r="F4419" cm="1">
        <f t="array" ref="F4419">_xlfn.XLOOKUP(C4419,Account_Master!A:A,Account_Master!B:B,"Not on master")</f>
        <v>0</v>
      </c>
      <c r="G4419" cm="1">
        <f t="array" ref="G4419">_xlfn.XLOOKUP(C4419,Account_Master!A:A,Account_Master!C:C,"Not on master")</f>
        <v>0</v>
      </c>
      <c r="H4419" s="6">
        <v>124</v>
      </c>
      <c r="I4419" s="6">
        <v>124</v>
      </c>
      <c r="J4419" s="6">
        <f>I4419-H4419</f>
        <v>0</v>
      </c>
      <c r="K4419" s="5">
        <f>IF(H4419=0,"",J4419/H4419)</f>
        <v>0</v>
      </c>
      <c r="L4419">
        <f>IF(OR(AND(H4419=0,ABS(J4419)&gt;=0.01),AND(H4419&lt;&gt;0,ABS(K4419)&gt;VarianceThreshold)),"Review","OK")</f>
        <v>0</v>
      </c>
      <c r="M4419" t="s">
        <v>33</v>
      </c>
    </row>
    <row r="4420" spans="1:13">
      <c r="A4420" t="s">
        <v>7</v>
      </c>
      <c r="B4420" t="s">
        <v>103</v>
      </c>
      <c r="C4420" t="s">
        <v>3387</v>
      </c>
      <c r="D4420" t="s">
        <v>1429</v>
      </c>
      <c r="E4420" cm="1">
        <f t="array" ref="E4420">_xlfn.XLOOKUP(D4420,SKU_Master!A:A,SKU_Master!B:B,"Not on master")</f>
        <v>0</v>
      </c>
      <c r="F4420" cm="1">
        <f t="array" ref="F4420">_xlfn.XLOOKUP(C4420,Account_Master!A:A,Account_Master!B:B,"Not on master")</f>
        <v>0</v>
      </c>
      <c r="G4420" cm="1">
        <f t="array" ref="G4420">_xlfn.XLOOKUP(C4420,Account_Master!A:A,Account_Master!C:C,"Not on master")</f>
        <v>0</v>
      </c>
      <c r="H4420" s="6">
        <v>341.25</v>
      </c>
      <c r="I4420" s="6">
        <v>339</v>
      </c>
      <c r="J4420" s="6">
        <f>I4420-H4420</f>
        <v>0</v>
      </c>
      <c r="K4420" s="5">
        <f>IF(H4420=0,"",J4420/H4420)</f>
        <v>0</v>
      </c>
      <c r="L4420">
        <f>IF(OR(AND(H4420=0,ABS(J4420)&gt;=0.01),AND(H4420&lt;&gt;0,ABS(K4420)&gt;VarianceThreshold)),"Review","OK")</f>
        <v>0</v>
      </c>
      <c r="M4420" t="s">
        <v>33</v>
      </c>
    </row>
    <row r="4421" spans="1:13">
      <c r="A4421" t="s">
        <v>7</v>
      </c>
      <c r="B4421" t="s">
        <v>103</v>
      </c>
      <c r="C4421" t="s">
        <v>3369</v>
      </c>
      <c r="D4421" t="s">
        <v>507</v>
      </c>
      <c r="E4421" cm="1">
        <f t="array" ref="E4421">_xlfn.XLOOKUP(D4421,SKU_Master!A:A,SKU_Master!B:B,"Not on master")</f>
        <v>0</v>
      </c>
      <c r="F4421" cm="1">
        <f t="array" ref="F4421">_xlfn.XLOOKUP(C4421,Account_Master!A:A,Account_Master!B:B,"Not on master")</f>
        <v>0</v>
      </c>
      <c r="G4421" cm="1">
        <f t="array" ref="G4421">_xlfn.XLOOKUP(C4421,Account_Master!A:A,Account_Master!C:C,"Not on master")</f>
        <v>0</v>
      </c>
      <c r="H4421" s="6">
        <v>18.75</v>
      </c>
      <c r="I4421" s="6">
        <v>18.75</v>
      </c>
      <c r="J4421" s="6">
        <f>I4421-H4421</f>
        <v>0</v>
      </c>
      <c r="K4421" s="5">
        <f>IF(H4421=0,"",J4421/H4421)</f>
        <v>0</v>
      </c>
      <c r="L4421">
        <f>IF(OR(AND(H4421=0,ABS(J4421)&gt;=0.01),AND(H4421&lt;&gt;0,ABS(K4421)&gt;VarianceThreshold)),"Review","OK")</f>
        <v>0</v>
      </c>
      <c r="M4421" t="s">
        <v>33</v>
      </c>
    </row>
    <row r="4422" spans="1:13">
      <c r="A4422" t="s">
        <v>7</v>
      </c>
      <c r="B4422" t="s">
        <v>103</v>
      </c>
      <c r="C4422" t="s">
        <v>3378</v>
      </c>
      <c r="D4422" t="s">
        <v>2377</v>
      </c>
      <c r="E4422" cm="1">
        <f t="array" ref="E4422">_xlfn.XLOOKUP(D4422,SKU_Master!A:A,SKU_Master!B:B,"Not on master")</f>
        <v>0</v>
      </c>
      <c r="F4422" cm="1">
        <f t="array" ref="F4422">_xlfn.XLOOKUP(C4422,Account_Master!A:A,Account_Master!B:B,"Not on master")</f>
        <v>0</v>
      </c>
      <c r="G4422" cm="1">
        <f t="array" ref="G4422">_xlfn.XLOOKUP(C4422,Account_Master!A:A,Account_Master!C:C,"Not on master")</f>
        <v>0</v>
      </c>
      <c r="H4422" s="6">
        <v>1.05</v>
      </c>
      <c r="I4422" s="6">
        <v>1.05</v>
      </c>
      <c r="J4422" s="6">
        <f>I4422-H4422</f>
        <v>0</v>
      </c>
      <c r="K4422" s="5">
        <f>IF(H4422=0,"",J4422/H4422)</f>
        <v>0</v>
      </c>
      <c r="L4422">
        <f>IF(OR(AND(H4422=0,ABS(J4422)&gt;=0.01),AND(H4422&lt;&gt;0,ABS(K4422)&gt;VarianceThreshold)),"Review","OK")</f>
        <v>0</v>
      </c>
      <c r="M4422" t="s">
        <v>33</v>
      </c>
    </row>
    <row r="4423" spans="1:13">
      <c r="A4423" t="s">
        <v>7</v>
      </c>
      <c r="B4423" t="s">
        <v>103</v>
      </c>
      <c r="C4423" t="s">
        <v>3388</v>
      </c>
      <c r="D4423" t="s">
        <v>3389</v>
      </c>
      <c r="E4423" cm="1">
        <f t="array" ref="E4423">_xlfn.XLOOKUP(D4423,SKU_Master!A:A,SKU_Master!B:B,"Not on master")</f>
        <v>0</v>
      </c>
      <c r="F4423" cm="1">
        <f t="array" ref="F4423">_xlfn.XLOOKUP(C4423,Account_Master!A:A,Account_Master!B:B,"Not on master")</f>
        <v>0</v>
      </c>
      <c r="G4423" cm="1">
        <f t="array" ref="G4423">_xlfn.XLOOKUP(C4423,Account_Master!A:A,Account_Master!C:C,"Not on master")</f>
        <v>0</v>
      </c>
      <c r="H4423" s="6">
        <v>0.75</v>
      </c>
      <c r="I4423" s="6">
        <v>0.75</v>
      </c>
      <c r="J4423" s="6">
        <f>I4423-H4423</f>
        <v>0</v>
      </c>
      <c r="K4423" s="5">
        <f>IF(H4423=0,"",J4423/H4423)</f>
        <v>0</v>
      </c>
      <c r="L4423">
        <f>IF(OR(AND(H4423=0,ABS(J4423)&gt;=0.01),AND(H4423&lt;&gt;0,ABS(K4423)&gt;VarianceThreshold)),"Review","OK")</f>
        <v>0</v>
      </c>
      <c r="M4423" t="s">
        <v>33</v>
      </c>
    </row>
    <row r="4424" spans="1:13">
      <c r="A4424" t="s">
        <v>7</v>
      </c>
      <c r="B4424" t="s">
        <v>103</v>
      </c>
      <c r="C4424" t="s">
        <v>33</v>
      </c>
      <c r="D4424" t="s">
        <v>3390</v>
      </c>
      <c r="E4424" cm="1">
        <f t="array" ref="E4424">_xlfn.XLOOKUP(D4424,SKU_Master!A:A,SKU_Master!B:B,"Not on master")</f>
        <v>0</v>
      </c>
      <c r="F4424" cm="1">
        <f t="array" ref="F4424">_xlfn.XLOOKUP(C4424,Account_Master!A:A,Account_Master!B:B,"Not on master")</f>
        <v>0</v>
      </c>
      <c r="G4424" cm="1">
        <f t="array" ref="G4424">_xlfn.XLOOKUP(C4424,Account_Master!A:A,Account_Master!C:C,"Not on master")</f>
        <v>0</v>
      </c>
      <c r="H4424" s="6">
        <v>0</v>
      </c>
      <c r="I4424" s="6">
        <v>1.75</v>
      </c>
      <c r="J4424" s="6">
        <f>I4424-H4424</f>
        <v>0</v>
      </c>
      <c r="K4424" s="5">
        <f>IF(H4424=0,"",J4424/H4424)</f>
        <v>0</v>
      </c>
      <c r="L4424">
        <f>IF(OR(AND(H4424=0,ABS(J4424)&gt;=0.01),AND(H4424&lt;&gt;0,ABS(K4424)&gt;VarianceThreshold)),"Review","OK")</f>
        <v>0</v>
      </c>
      <c r="M4424" t="s">
        <v>3038</v>
      </c>
    </row>
    <row r="4425" spans="1:13">
      <c r="A4425" t="s">
        <v>7</v>
      </c>
      <c r="B4425" t="s">
        <v>121</v>
      </c>
      <c r="C4425" t="s">
        <v>3391</v>
      </c>
      <c r="D4425" t="s">
        <v>2653</v>
      </c>
      <c r="E4425" cm="1">
        <f t="array" ref="E4425">_xlfn.XLOOKUP(D4425,SKU_Master!A:A,SKU_Master!B:B,"Not on master")</f>
        <v>0</v>
      </c>
      <c r="F4425" cm="1">
        <f t="array" ref="F4425">_xlfn.XLOOKUP(C4425,Account_Master!A:A,Account_Master!B:B,"Not on master")</f>
        <v>0</v>
      </c>
      <c r="G4425" cm="1">
        <f t="array" ref="G4425">_xlfn.XLOOKUP(C4425,Account_Master!A:A,Account_Master!C:C,"Not on master")</f>
        <v>0</v>
      </c>
      <c r="H4425" s="6">
        <v>45</v>
      </c>
      <c r="I4425" s="6">
        <v>45</v>
      </c>
      <c r="J4425" s="6">
        <f>I4425-H4425</f>
        <v>0</v>
      </c>
      <c r="K4425" s="5">
        <f>IF(H4425=0,"",J4425/H4425)</f>
        <v>0</v>
      </c>
      <c r="L4425">
        <f>IF(OR(AND(H4425=0,ABS(J4425)&gt;=0.01),AND(H4425&lt;&gt;0,ABS(K4425)&gt;VarianceThreshold)),"Review","OK")</f>
        <v>0</v>
      </c>
      <c r="M4425" t="s">
        <v>33</v>
      </c>
    </row>
    <row r="4426" spans="1:13">
      <c r="A4426" t="s">
        <v>7</v>
      </c>
      <c r="B4426" t="s">
        <v>121</v>
      </c>
      <c r="C4426" t="s">
        <v>3392</v>
      </c>
      <c r="D4426" t="s">
        <v>2405</v>
      </c>
      <c r="E4426" cm="1">
        <f t="array" ref="E4426">_xlfn.XLOOKUP(D4426,SKU_Master!A:A,SKU_Master!B:B,"Not on master")</f>
        <v>0</v>
      </c>
      <c r="F4426" cm="1">
        <f t="array" ref="F4426">_xlfn.XLOOKUP(C4426,Account_Master!A:A,Account_Master!B:B,"Not on master")</f>
        <v>0</v>
      </c>
      <c r="G4426" cm="1">
        <f t="array" ref="G4426">_xlfn.XLOOKUP(C4426,Account_Master!A:A,Account_Master!C:C,"Not on master")</f>
        <v>0</v>
      </c>
      <c r="H4426" s="6">
        <v>56.25</v>
      </c>
      <c r="I4426" s="6">
        <v>56.25</v>
      </c>
      <c r="J4426" s="6">
        <f>I4426-H4426</f>
        <v>0</v>
      </c>
      <c r="K4426" s="5">
        <f>IF(H4426=0,"",J4426/H4426)</f>
        <v>0</v>
      </c>
      <c r="L4426">
        <f>IF(OR(AND(H4426=0,ABS(J4426)&gt;=0.01),AND(H4426&lt;&gt;0,ABS(K4426)&gt;VarianceThreshold)),"Review","OK")</f>
        <v>0</v>
      </c>
      <c r="M4426" t="s">
        <v>33</v>
      </c>
    </row>
    <row r="4427" spans="1:13">
      <c r="A4427" t="s">
        <v>7</v>
      </c>
      <c r="B4427" t="s">
        <v>121</v>
      </c>
      <c r="C4427" t="s">
        <v>3393</v>
      </c>
      <c r="D4427" t="s">
        <v>884</v>
      </c>
      <c r="E4427" cm="1">
        <f t="array" ref="E4427">_xlfn.XLOOKUP(D4427,SKU_Master!A:A,SKU_Master!B:B,"Not on master")</f>
        <v>0</v>
      </c>
      <c r="F4427" cm="1">
        <f t="array" ref="F4427">_xlfn.XLOOKUP(C4427,Account_Master!A:A,Account_Master!B:B,"Not on master")</f>
        <v>0</v>
      </c>
      <c r="G4427" cm="1">
        <f t="array" ref="G4427">_xlfn.XLOOKUP(C4427,Account_Master!A:A,Account_Master!C:C,"Not on master")</f>
        <v>0</v>
      </c>
      <c r="H4427" s="6">
        <v>9</v>
      </c>
      <c r="I4427" s="6">
        <v>9</v>
      </c>
      <c r="J4427" s="6">
        <f>I4427-H4427</f>
        <v>0</v>
      </c>
      <c r="K4427" s="5">
        <f>IF(H4427=0,"",J4427/H4427)</f>
        <v>0</v>
      </c>
      <c r="L4427">
        <f>IF(OR(AND(H4427=0,ABS(J4427)&gt;=0.01),AND(H4427&lt;&gt;0,ABS(K4427)&gt;VarianceThreshold)),"Review","OK")</f>
        <v>0</v>
      </c>
      <c r="M4427" t="s">
        <v>33</v>
      </c>
    </row>
    <row r="4428" spans="1:13">
      <c r="A4428" t="s">
        <v>7</v>
      </c>
      <c r="B4428" t="s">
        <v>121</v>
      </c>
      <c r="C4428" t="s">
        <v>3394</v>
      </c>
      <c r="D4428" t="s">
        <v>1412</v>
      </c>
      <c r="E4428" cm="1">
        <f t="array" ref="E4428">_xlfn.XLOOKUP(D4428,SKU_Master!A:A,SKU_Master!B:B,"Not on master")</f>
        <v>0</v>
      </c>
      <c r="F4428" cm="1">
        <f t="array" ref="F4428">_xlfn.XLOOKUP(C4428,Account_Master!A:A,Account_Master!B:B,"Not on master")</f>
        <v>0</v>
      </c>
      <c r="G4428" cm="1">
        <f t="array" ref="G4428">_xlfn.XLOOKUP(C4428,Account_Master!A:A,Account_Master!C:C,"Not on master")</f>
        <v>0</v>
      </c>
      <c r="H4428" s="6">
        <v>5.25</v>
      </c>
      <c r="I4428" s="6">
        <v>5.25</v>
      </c>
      <c r="J4428" s="6">
        <f>I4428-H4428</f>
        <v>0</v>
      </c>
      <c r="K4428" s="5">
        <f>IF(H4428=0,"",J4428/H4428)</f>
        <v>0</v>
      </c>
      <c r="L4428">
        <f>IF(OR(AND(H4428=0,ABS(J4428)&gt;=0.01),AND(H4428&lt;&gt;0,ABS(K4428)&gt;VarianceThreshold)),"Review","OK")</f>
        <v>0</v>
      </c>
      <c r="M4428" t="s">
        <v>33</v>
      </c>
    </row>
    <row r="4429" spans="1:13">
      <c r="A4429" t="s">
        <v>7</v>
      </c>
      <c r="B4429" t="s">
        <v>121</v>
      </c>
      <c r="C4429" t="s">
        <v>3395</v>
      </c>
      <c r="D4429" t="s">
        <v>562</v>
      </c>
      <c r="E4429" cm="1">
        <f t="array" ref="E4429">_xlfn.XLOOKUP(D4429,SKU_Master!A:A,SKU_Master!B:B,"Not on master")</f>
        <v>0</v>
      </c>
      <c r="F4429" cm="1">
        <f t="array" ref="F4429">_xlfn.XLOOKUP(C4429,Account_Master!A:A,Account_Master!B:B,"Not on master")</f>
        <v>0</v>
      </c>
      <c r="G4429" cm="1">
        <f t="array" ref="G4429">_xlfn.XLOOKUP(C4429,Account_Master!A:A,Account_Master!C:C,"Not on master")</f>
        <v>0</v>
      </c>
      <c r="H4429" s="6">
        <v>81</v>
      </c>
      <c r="I4429" s="6">
        <v>81</v>
      </c>
      <c r="J4429" s="6">
        <f>I4429-H4429</f>
        <v>0</v>
      </c>
      <c r="K4429" s="5">
        <f>IF(H4429=0,"",J4429/H4429)</f>
        <v>0</v>
      </c>
      <c r="L4429">
        <f>IF(OR(AND(H4429=0,ABS(J4429)&gt;=0.01),AND(H4429&lt;&gt;0,ABS(K4429)&gt;VarianceThreshold)),"Review","OK")</f>
        <v>0</v>
      </c>
      <c r="M4429" t="s">
        <v>33</v>
      </c>
    </row>
    <row r="4430" spans="1:13">
      <c r="A4430" t="s">
        <v>7</v>
      </c>
      <c r="B4430" t="s">
        <v>121</v>
      </c>
      <c r="C4430" t="s">
        <v>33</v>
      </c>
      <c r="D4430" t="s">
        <v>3396</v>
      </c>
      <c r="E4430" cm="1">
        <f t="array" ref="E4430">_xlfn.XLOOKUP(D4430,SKU_Master!A:A,SKU_Master!B:B,"Not on master")</f>
        <v>0</v>
      </c>
      <c r="F4430" cm="1">
        <f t="array" ref="F4430">_xlfn.XLOOKUP(C4430,Account_Master!A:A,Account_Master!B:B,"Not on master")</f>
        <v>0</v>
      </c>
      <c r="G4430" cm="1">
        <f t="array" ref="G4430">_xlfn.XLOOKUP(C4430,Account_Master!A:A,Account_Master!C:C,"Not on master")</f>
        <v>0</v>
      </c>
      <c r="H4430" s="6">
        <v>0</v>
      </c>
      <c r="I4430" s="6">
        <v>0.05</v>
      </c>
      <c r="J4430" s="6">
        <f>I4430-H4430</f>
        <v>0</v>
      </c>
      <c r="K4430" s="5">
        <f>IF(H4430=0,"",J4430/H4430)</f>
        <v>0</v>
      </c>
      <c r="L4430">
        <f>IF(OR(AND(H4430=0,ABS(J4430)&gt;=0.01),AND(H4430&lt;&gt;0,ABS(K4430)&gt;VarianceThreshold)),"Review","OK")</f>
        <v>0</v>
      </c>
      <c r="M4430" t="s">
        <v>3038</v>
      </c>
    </row>
    <row r="4431" spans="1:13">
      <c r="A4431" t="s">
        <v>7</v>
      </c>
      <c r="B4431" t="s">
        <v>134</v>
      </c>
      <c r="C4431" t="s">
        <v>3387</v>
      </c>
      <c r="D4431" t="s">
        <v>2536</v>
      </c>
      <c r="E4431" cm="1">
        <f t="array" ref="E4431">_xlfn.XLOOKUP(D4431,SKU_Master!A:A,SKU_Master!B:B,"Not on master")</f>
        <v>0</v>
      </c>
      <c r="F4431" cm="1">
        <f t="array" ref="F4431">_xlfn.XLOOKUP(C4431,Account_Master!A:A,Account_Master!B:B,"Not on master")</f>
        <v>0</v>
      </c>
      <c r="G4431" cm="1">
        <f t="array" ref="G4431">_xlfn.XLOOKUP(C4431,Account_Master!A:A,Account_Master!C:C,"Not on master")</f>
        <v>0</v>
      </c>
      <c r="H4431" s="6">
        <v>4.3</v>
      </c>
      <c r="I4431" s="6">
        <v>4.3</v>
      </c>
      <c r="J4431" s="6">
        <f>I4431-H4431</f>
        <v>0</v>
      </c>
      <c r="K4431" s="5">
        <f>IF(H4431=0,"",J4431/H4431)</f>
        <v>0</v>
      </c>
      <c r="L4431">
        <f>IF(OR(AND(H4431=0,ABS(J4431)&gt;=0.01),AND(H4431&lt;&gt;0,ABS(K4431)&gt;VarianceThreshold)),"Review","OK")</f>
        <v>0</v>
      </c>
      <c r="M4431" t="s">
        <v>33</v>
      </c>
    </row>
    <row r="4432" spans="1:13">
      <c r="A4432" t="s">
        <v>7</v>
      </c>
      <c r="B4432" t="s">
        <v>134</v>
      </c>
      <c r="C4432" t="s">
        <v>3393</v>
      </c>
      <c r="D4432" t="s">
        <v>513</v>
      </c>
      <c r="E4432" cm="1">
        <f t="array" ref="E4432">_xlfn.XLOOKUP(D4432,SKU_Master!A:A,SKU_Master!B:B,"Not on master")</f>
        <v>0</v>
      </c>
      <c r="F4432" cm="1">
        <f t="array" ref="F4432">_xlfn.XLOOKUP(C4432,Account_Master!A:A,Account_Master!B:B,"Not on master")</f>
        <v>0</v>
      </c>
      <c r="G4432" cm="1">
        <f t="array" ref="G4432">_xlfn.XLOOKUP(C4432,Account_Master!A:A,Account_Master!C:C,"Not on master")</f>
        <v>0</v>
      </c>
      <c r="H4432" s="6">
        <v>7.5</v>
      </c>
      <c r="I4432" s="6">
        <v>7.5</v>
      </c>
      <c r="J4432" s="6">
        <f>I4432-H4432</f>
        <v>0</v>
      </c>
      <c r="K4432" s="5">
        <f>IF(H4432=0,"",J4432/H4432)</f>
        <v>0</v>
      </c>
      <c r="L4432">
        <f>IF(OR(AND(H4432=0,ABS(J4432)&gt;=0.01),AND(H4432&lt;&gt;0,ABS(K4432)&gt;VarianceThreshold)),"Review","OK")</f>
        <v>0</v>
      </c>
      <c r="M4432" t="s">
        <v>33</v>
      </c>
    </row>
    <row r="4433" spans="1:13">
      <c r="A4433" t="s">
        <v>7</v>
      </c>
      <c r="B4433" t="s">
        <v>134</v>
      </c>
      <c r="C4433" t="s">
        <v>3397</v>
      </c>
      <c r="D4433" t="s">
        <v>938</v>
      </c>
      <c r="E4433" cm="1">
        <f t="array" ref="E4433">_xlfn.XLOOKUP(D4433,SKU_Master!A:A,SKU_Master!B:B,"Not on master")</f>
        <v>0</v>
      </c>
      <c r="F4433" cm="1">
        <f t="array" ref="F4433">_xlfn.XLOOKUP(C4433,Account_Master!A:A,Account_Master!B:B,"Not on master")</f>
        <v>0</v>
      </c>
      <c r="G4433" cm="1">
        <f t="array" ref="G4433">_xlfn.XLOOKUP(C4433,Account_Master!A:A,Account_Master!C:C,"Not on master")</f>
        <v>0</v>
      </c>
      <c r="H4433" s="6">
        <v>63</v>
      </c>
      <c r="I4433" s="6">
        <v>63</v>
      </c>
      <c r="J4433" s="6">
        <f>I4433-H4433</f>
        <v>0</v>
      </c>
      <c r="K4433" s="5">
        <f>IF(H4433=0,"",J4433/H4433)</f>
        <v>0</v>
      </c>
      <c r="L4433">
        <f>IF(OR(AND(H4433=0,ABS(J4433)&gt;=0.01),AND(H4433&lt;&gt;0,ABS(K4433)&gt;VarianceThreshold)),"Review","OK")</f>
        <v>0</v>
      </c>
      <c r="M4433" t="s">
        <v>33</v>
      </c>
    </row>
    <row r="4434" spans="1:13">
      <c r="A4434" t="s">
        <v>7</v>
      </c>
      <c r="B4434" t="s">
        <v>134</v>
      </c>
      <c r="C4434" t="s">
        <v>3398</v>
      </c>
      <c r="D4434" t="s">
        <v>316</v>
      </c>
      <c r="E4434" cm="1">
        <f t="array" ref="E4434">_xlfn.XLOOKUP(D4434,SKU_Master!A:A,SKU_Master!B:B,"Not on master")</f>
        <v>0</v>
      </c>
      <c r="F4434" cm="1">
        <f t="array" ref="F4434">_xlfn.XLOOKUP(C4434,Account_Master!A:A,Account_Master!B:B,"Not on master")</f>
        <v>0</v>
      </c>
      <c r="G4434" cm="1">
        <f t="array" ref="G4434">_xlfn.XLOOKUP(C4434,Account_Master!A:A,Account_Master!C:C,"Not on master")</f>
        <v>0</v>
      </c>
      <c r="H4434" s="6">
        <v>31.5</v>
      </c>
      <c r="I4434" s="6">
        <v>31.5</v>
      </c>
      <c r="J4434" s="6">
        <f>I4434-H4434</f>
        <v>0</v>
      </c>
      <c r="K4434" s="5">
        <f>IF(H4434=0,"",J4434/H4434)</f>
        <v>0</v>
      </c>
      <c r="L4434">
        <f>IF(OR(AND(H4434=0,ABS(J4434)&gt;=0.01),AND(H4434&lt;&gt;0,ABS(K4434)&gt;VarianceThreshold)),"Review","OK")</f>
        <v>0</v>
      </c>
      <c r="M4434" t="s">
        <v>33</v>
      </c>
    </row>
    <row r="4435" spans="1:13">
      <c r="A4435" t="s">
        <v>7</v>
      </c>
      <c r="B4435" t="s">
        <v>134</v>
      </c>
      <c r="C4435" t="s">
        <v>3394</v>
      </c>
      <c r="D4435" t="s">
        <v>107</v>
      </c>
      <c r="E4435" cm="1">
        <f t="array" ref="E4435">_xlfn.XLOOKUP(D4435,SKU_Master!A:A,SKU_Master!B:B,"Not on master")</f>
        <v>0</v>
      </c>
      <c r="F4435" cm="1">
        <f t="array" ref="F4435">_xlfn.XLOOKUP(C4435,Account_Master!A:A,Account_Master!B:B,"Not on master")</f>
        <v>0</v>
      </c>
      <c r="G4435" cm="1">
        <f t="array" ref="G4435">_xlfn.XLOOKUP(C4435,Account_Master!A:A,Account_Master!C:C,"Not on master")</f>
        <v>0</v>
      </c>
      <c r="H4435" s="6">
        <v>0.1</v>
      </c>
      <c r="I4435" s="6">
        <v>0.1</v>
      </c>
      <c r="J4435" s="6">
        <f>I4435-H4435</f>
        <v>0</v>
      </c>
      <c r="K4435" s="5">
        <f>IF(H4435=0,"",J4435/H4435)</f>
        <v>0</v>
      </c>
      <c r="L4435">
        <f>IF(OR(AND(H4435=0,ABS(J4435)&gt;=0.01),AND(H4435&lt;&gt;0,ABS(K4435)&gt;VarianceThreshold)),"Review","OK")</f>
        <v>0</v>
      </c>
      <c r="M4435" t="s">
        <v>33</v>
      </c>
    </row>
    <row r="4436" spans="1:13">
      <c r="A4436" t="s">
        <v>7</v>
      </c>
      <c r="B4436" t="s">
        <v>134</v>
      </c>
      <c r="C4436" t="s">
        <v>3398</v>
      </c>
      <c r="D4436" t="s">
        <v>1247</v>
      </c>
      <c r="E4436" cm="1">
        <f t="array" ref="E4436">_xlfn.XLOOKUP(D4436,SKU_Master!A:A,SKU_Master!B:B,"Not on master")</f>
        <v>0</v>
      </c>
      <c r="F4436" cm="1">
        <f t="array" ref="F4436">_xlfn.XLOOKUP(C4436,Account_Master!A:A,Account_Master!B:B,"Not on master")</f>
        <v>0</v>
      </c>
      <c r="G4436" cm="1">
        <f t="array" ref="G4436">_xlfn.XLOOKUP(C4436,Account_Master!A:A,Account_Master!C:C,"Not on master")</f>
        <v>0</v>
      </c>
      <c r="H4436" s="6">
        <v>0.05</v>
      </c>
      <c r="I4436" s="6">
        <v>0.05</v>
      </c>
      <c r="J4436" s="6">
        <f>I4436-H4436</f>
        <v>0</v>
      </c>
      <c r="K4436" s="5">
        <f>IF(H4436=0,"",J4436/H4436)</f>
        <v>0</v>
      </c>
      <c r="L4436">
        <f>IF(OR(AND(H4436=0,ABS(J4436)&gt;=0.01),AND(H4436&lt;&gt;0,ABS(K4436)&gt;VarianceThreshold)),"Review","OK")</f>
        <v>0</v>
      </c>
      <c r="M4436" t="s">
        <v>33</v>
      </c>
    </row>
    <row r="4437" spans="1:13">
      <c r="A4437" t="s">
        <v>7</v>
      </c>
      <c r="B4437" t="s">
        <v>134</v>
      </c>
      <c r="C4437" t="s">
        <v>3399</v>
      </c>
      <c r="D4437" t="s">
        <v>758</v>
      </c>
      <c r="E4437" cm="1">
        <f t="array" ref="E4437">_xlfn.XLOOKUP(D4437,SKU_Master!A:A,SKU_Master!B:B,"Not on master")</f>
        <v>0</v>
      </c>
      <c r="F4437" cm="1">
        <f t="array" ref="F4437">_xlfn.XLOOKUP(C4437,Account_Master!A:A,Account_Master!B:B,"Not on master")</f>
        <v>0</v>
      </c>
      <c r="G4437" cm="1">
        <f t="array" ref="G4437">_xlfn.XLOOKUP(C4437,Account_Master!A:A,Account_Master!C:C,"Not on master")</f>
        <v>0</v>
      </c>
      <c r="H4437" s="6">
        <v>3</v>
      </c>
      <c r="I4437" s="6">
        <v>3</v>
      </c>
      <c r="J4437" s="6">
        <f>I4437-H4437</f>
        <v>0</v>
      </c>
      <c r="K4437" s="5">
        <f>IF(H4437=0,"",J4437/H4437)</f>
        <v>0</v>
      </c>
      <c r="L4437">
        <f>IF(OR(AND(H4437=0,ABS(J4437)&gt;=0.01),AND(H4437&lt;&gt;0,ABS(K4437)&gt;VarianceThreshold)),"Review","OK")</f>
        <v>0</v>
      </c>
      <c r="M4437" t="s">
        <v>33</v>
      </c>
    </row>
    <row r="4438" spans="1:13">
      <c r="A4438" t="s">
        <v>7</v>
      </c>
      <c r="B4438" t="s">
        <v>134</v>
      </c>
      <c r="C4438" t="s">
        <v>3400</v>
      </c>
      <c r="D4438" t="s">
        <v>352</v>
      </c>
      <c r="E4438" cm="1">
        <f t="array" ref="E4438">_xlfn.XLOOKUP(D4438,SKU_Master!A:A,SKU_Master!B:B,"Not on master")</f>
        <v>0</v>
      </c>
      <c r="F4438" cm="1">
        <f t="array" ref="F4438">_xlfn.XLOOKUP(C4438,Account_Master!A:A,Account_Master!B:B,"Not on master")</f>
        <v>0</v>
      </c>
      <c r="G4438" cm="1">
        <f t="array" ref="G4438">_xlfn.XLOOKUP(C4438,Account_Master!A:A,Account_Master!C:C,"Not on master")</f>
        <v>0</v>
      </c>
      <c r="H4438" s="6">
        <v>3.5</v>
      </c>
      <c r="I4438" s="6">
        <v>3.5</v>
      </c>
      <c r="J4438" s="6">
        <f>I4438-H4438</f>
        <v>0</v>
      </c>
      <c r="K4438" s="5">
        <f>IF(H4438=0,"",J4438/H4438)</f>
        <v>0</v>
      </c>
      <c r="L4438">
        <f>IF(OR(AND(H4438=0,ABS(J4438)&gt;=0.01),AND(H4438&lt;&gt;0,ABS(K4438)&gt;VarianceThreshold)),"Review","OK")</f>
        <v>0</v>
      </c>
      <c r="M4438" t="s">
        <v>33</v>
      </c>
    </row>
    <row r="4439" spans="1:13">
      <c r="A4439" t="s">
        <v>7</v>
      </c>
      <c r="B4439" t="s">
        <v>134</v>
      </c>
      <c r="C4439" t="s">
        <v>3355</v>
      </c>
      <c r="D4439" t="s">
        <v>3401</v>
      </c>
      <c r="E4439" cm="1">
        <f t="array" ref="E4439">_xlfn.XLOOKUP(D4439,SKU_Master!A:A,SKU_Master!B:B,"Not on master")</f>
        <v>0</v>
      </c>
      <c r="F4439" cm="1">
        <f t="array" ref="F4439">_xlfn.XLOOKUP(C4439,Account_Master!A:A,Account_Master!B:B,"Not on master")</f>
        <v>0</v>
      </c>
      <c r="G4439" cm="1">
        <f t="array" ref="G4439">_xlfn.XLOOKUP(C4439,Account_Master!A:A,Account_Master!C:C,"Not on master")</f>
        <v>0</v>
      </c>
      <c r="H4439" s="6">
        <v>4.8</v>
      </c>
      <c r="I4439" s="6">
        <v>4.8</v>
      </c>
      <c r="J4439" s="6">
        <f>I4439-H4439</f>
        <v>0</v>
      </c>
      <c r="K4439" s="5">
        <f>IF(H4439=0,"",J4439/H4439)</f>
        <v>0</v>
      </c>
      <c r="L4439">
        <f>IF(OR(AND(H4439=0,ABS(J4439)&gt;=0.01),AND(H4439&lt;&gt;0,ABS(K4439)&gt;VarianceThreshold)),"Review","OK")</f>
        <v>0</v>
      </c>
      <c r="M4439" t="s">
        <v>33</v>
      </c>
    </row>
    <row r="4440" spans="1:13">
      <c r="A4440" t="s">
        <v>7</v>
      </c>
      <c r="B4440" t="s">
        <v>143</v>
      </c>
      <c r="C4440" t="s">
        <v>3368</v>
      </c>
      <c r="D4440" t="s">
        <v>2049</v>
      </c>
      <c r="E4440" cm="1">
        <f t="array" ref="E4440">_xlfn.XLOOKUP(D4440,SKU_Master!A:A,SKU_Master!B:B,"Not on master")</f>
        <v>0</v>
      </c>
      <c r="F4440" cm="1">
        <f t="array" ref="F4440">_xlfn.XLOOKUP(C4440,Account_Master!A:A,Account_Master!B:B,"Not on master")</f>
        <v>0</v>
      </c>
      <c r="G4440" cm="1">
        <f t="array" ref="G4440">_xlfn.XLOOKUP(C4440,Account_Master!A:A,Account_Master!C:C,"Not on master")</f>
        <v>0</v>
      </c>
      <c r="H4440" s="6">
        <v>18</v>
      </c>
      <c r="I4440" s="6">
        <v>18</v>
      </c>
      <c r="J4440" s="6">
        <f>I4440-H4440</f>
        <v>0</v>
      </c>
      <c r="K4440" s="5">
        <f>IF(H4440=0,"",J4440/H4440)</f>
        <v>0</v>
      </c>
      <c r="L4440">
        <f>IF(OR(AND(H4440=0,ABS(J4440)&gt;=0.01),AND(H4440&lt;&gt;0,ABS(K4440)&gt;VarianceThreshold)),"Review","OK")</f>
        <v>0</v>
      </c>
      <c r="M4440" t="s">
        <v>33</v>
      </c>
    </row>
    <row r="4441" spans="1:13">
      <c r="A4441" t="s">
        <v>7</v>
      </c>
      <c r="B4441" t="s">
        <v>154</v>
      </c>
      <c r="C4441" t="s">
        <v>3357</v>
      </c>
      <c r="D4441" t="s">
        <v>2545</v>
      </c>
      <c r="E4441" cm="1">
        <f t="array" ref="E4441">_xlfn.XLOOKUP(D4441,SKU_Master!A:A,SKU_Master!B:B,"Not on master")</f>
        <v>0</v>
      </c>
      <c r="F4441" cm="1">
        <f t="array" ref="F4441">_xlfn.XLOOKUP(C4441,Account_Master!A:A,Account_Master!B:B,"Not on master")</f>
        <v>0</v>
      </c>
      <c r="G4441" cm="1">
        <f t="array" ref="G4441">_xlfn.XLOOKUP(C4441,Account_Master!A:A,Account_Master!C:C,"Not on master")</f>
        <v>0</v>
      </c>
      <c r="H4441" s="6">
        <v>2</v>
      </c>
      <c r="I4441" s="6">
        <v>2</v>
      </c>
      <c r="J4441" s="6">
        <f>I4441-H4441</f>
        <v>0</v>
      </c>
      <c r="K4441" s="5">
        <f>IF(H4441=0,"",J4441/H4441)</f>
        <v>0</v>
      </c>
      <c r="L4441">
        <f>IF(OR(AND(H4441=0,ABS(J4441)&gt;=0.01),AND(H4441&lt;&gt;0,ABS(K4441)&gt;VarianceThreshold)),"Review","OK")</f>
        <v>0</v>
      </c>
      <c r="M4441" t="s">
        <v>33</v>
      </c>
    </row>
    <row r="4442" spans="1:13">
      <c r="A4442" t="s">
        <v>7</v>
      </c>
      <c r="B4442" t="s">
        <v>154</v>
      </c>
      <c r="C4442" t="s">
        <v>3402</v>
      </c>
      <c r="D4442" t="s">
        <v>2101</v>
      </c>
      <c r="E4442" cm="1">
        <f t="array" ref="E4442">_xlfn.XLOOKUP(D4442,SKU_Master!A:A,SKU_Master!B:B,"Not on master")</f>
        <v>0</v>
      </c>
      <c r="F4442" cm="1">
        <f t="array" ref="F4442">_xlfn.XLOOKUP(C4442,Account_Master!A:A,Account_Master!B:B,"Not on master")</f>
        <v>0</v>
      </c>
      <c r="G4442" cm="1">
        <f t="array" ref="G4442">_xlfn.XLOOKUP(C4442,Account_Master!A:A,Account_Master!C:C,"Not on master")</f>
        <v>0</v>
      </c>
      <c r="H4442" s="6">
        <v>0.75</v>
      </c>
      <c r="I4442" s="6">
        <v>0.75</v>
      </c>
      <c r="J4442" s="6">
        <f>I4442-H4442</f>
        <v>0</v>
      </c>
      <c r="K4442" s="5">
        <f>IF(H4442=0,"",J4442/H4442)</f>
        <v>0</v>
      </c>
      <c r="L4442">
        <f>IF(OR(AND(H4442=0,ABS(J4442)&gt;=0.01),AND(H4442&lt;&gt;0,ABS(K4442)&gt;VarianceThreshold)),"Review","OK")</f>
        <v>0</v>
      </c>
      <c r="M4442" t="s">
        <v>33</v>
      </c>
    </row>
    <row r="4443" spans="1:13">
      <c r="A4443" t="s">
        <v>7</v>
      </c>
      <c r="B4443" t="s">
        <v>154</v>
      </c>
      <c r="C4443" t="s">
        <v>3391</v>
      </c>
      <c r="D4443" t="s">
        <v>3403</v>
      </c>
      <c r="E4443" cm="1">
        <f t="array" ref="E4443">_xlfn.XLOOKUP(D4443,SKU_Master!A:A,SKU_Master!B:B,"Not on master")</f>
        <v>0</v>
      </c>
      <c r="F4443" cm="1">
        <f t="array" ref="F4443">_xlfn.XLOOKUP(C4443,Account_Master!A:A,Account_Master!B:B,"Not on master")</f>
        <v>0</v>
      </c>
      <c r="G4443" cm="1">
        <f t="array" ref="G4443">_xlfn.XLOOKUP(C4443,Account_Master!A:A,Account_Master!C:C,"Not on master")</f>
        <v>0</v>
      </c>
      <c r="H4443" s="6">
        <v>0.75</v>
      </c>
      <c r="I4443" s="6">
        <v>0.75</v>
      </c>
      <c r="J4443" s="6">
        <f>I4443-H4443</f>
        <v>0</v>
      </c>
      <c r="K4443" s="5">
        <f>IF(H4443=0,"",J4443/H4443)</f>
        <v>0</v>
      </c>
      <c r="L4443">
        <f>IF(OR(AND(H4443=0,ABS(J4443)&gt;=0.01),AND(H4443&lt;&gt;0,ABS(K4443)&gt;VarianceThreshold)),"Review","OK")</f>
        <v>0</v>
      </c>
      <c r="M4443" t="s">
        <v>33</v>
      </c>
    </row>
    <row r="4444" spans="1:13">
      <c r="A4444" t="s">
        <v>7</v>
      </c>
      <c r="B4444" t="s">
        <v>154</v>
      </c>
      <c r="C4444" t="s">
        <v>3404</v>
      </c>
      <c r="D4444" t="s">
        <v>1481</v>
      </c>
      <c r="E4444" cm="1">
        <f t="array" ref="E4444">_xlfn.XLOOKUP(D4444,SKU_Master!A:A,SKU_Master!B:B,"Not on master")</f>
        <v>0</v>
      </c>
      <c r="F4444" cm="1">
        <f t="array" ref="F4444">_xlfn.XLOOKUP(C4444,Account_Master!A:A,Account_Master!B:B,"Not on master")</f>
        <v>0</v>
      </c>
      <c r="G4444" cm="1">
        <f t="array" ref="G4444">_xlfn.XLOOKUP(C4444,Account_Master!A:A,Account_Master!C:C,"Not on master")</f>
        <v>0</v>
      </c>
      <c r="H4444" s="6">
        <v>2.25</v>
      </c>
      <c r="I4444" s="6">
        <v>2.25</v>
      </c>
      <c r="J4444" s="6">
        <f>I4444-H4444</f>
        <v>0</v>
      </c>
      <c r="K4444" s="5">
        <f>IF(H4444=0,"",J4444/H4444)</f>
        <v>0</v>
      </c>
      <c r="L4444">
        <f>IF(OR(AND(H4444=0,ABS(J4444)&gt;=0.01),AND(H4444&lt;&gt;0,ABS(K4444)&gt;VarianceThreshold)),"Review","OK")</f>
        <v>0</v>
      </c>
      <c r="M4444" t="s">
        <v>33</v>
      </c>
    </row>
    <row r="4445" spans="1:13">
      <c r="A4445" t="s">
        <v>7</v>
      </c>
      <c r="B4445" t="s">
        <v>154</v>
      </c>
      <c r="C4445" t="s">
        <v>3405</v>
      </c>
      <c r="D4445" t="s">
        <v>2925</v>
      </c>
      <c r="E4445" cm="1">
        <f t="array" ref="E4445">_xlfn.XLOOKUP(D4445,SKU_Master!A:A,SKU_Master!B:B,"Not on master")</f>
        <v>0</v>
      </c>
      <c r="F4445" cm="1">
        <f t="array" ref="F4445">_xlfn.XLOOKUP(C4445,Account_Master!A:A,Account_Master!B:B,"Not on master")</f>
        <v>0</v>
      </c>
      <c r="G4445" cm="1">
        <f t="array" ref="G4445">_xlfn.XLOOKUP(C4445,Account_Master!A:A,Account_Master!C:C,"Not on master")</f>
        <v>0</v>
      </c>
      <c r="H4445" s="6">
        <v>5.25</v>
      </c>
      <c r="I4445" s="6">
        <v>5.25</v>
      </c>
      <c r="J4445" s="6">
        <f>I4445-H4445</f>
        <v>0</v>
      </c>
      <c r="K4445" s="5">
        <f>IF(H4445=0,"",J4445/H4445)</f>
        <v>0</v>
      </c>
      <c r="L4445">
        <f>IF(OR(AND(H4445=0,ABS(J4445)&gt;=0.01),AND(H4445&lt;&gt;0,ABS(K4445)&gt;VarianceThreshold)),"Review","OK")</f>
        <v>0</v>
      </c>
      <c r="M4445" t="s">
        <v>33</v>
      </c>
    </row>
    <row r="4446" spans="1:13">
      <c r="A4446" t="s">
        <v>7</v>
      </c>
      <c r="B4446" t="s">
        <v>154</v>
      </c>
      <c r="C4446" t="s">
        <v>3406</v>
      </c>
      <c r="D4446" t="s">
        <v>153</v>
      </c>
      <c r="E4446" cm="1">
        <f t="array" ref="E4446">_xlfn.XLOOKUP(D4446,SKU_Master!A:A,SKU_Master!B:B,"Not on master")</f>
        <v>0</v>
      </c>
      <c r="F4446" cm="1">
        <f t="array" ref="F4446">_xlfn.XLOOKUP(C4446,Account_Master!A:A,Account_Master!B:B,"Not on master")</f>
        <v>0</v>
      </c>
      <c r="G4446" cm="1">
        <f t="array" ref="G4446">_xlfn.XLOOKUP(C4446,Account_Master!A:A,Account_Master!C:C,"Not on master")</f>
        <v>0</v>
      </c>
      <c r="H4446" s="6">
        <v>78.75</v>
      </c>
      <c r="I4446" s="6">
        <v>78.75</v>
      </c>
      <c r="J4446" s="6">
        <f>I4446-H4446</f>
        <v>0</v>
      </c>
      <c r="K4446" s="5">
        <f>IF(H4446=0,"",J4446/H4446)</f>
        <v>0</v>
      </c>
      <c r="L4446">
        <f>IF(OR(AND(H4446=0,ABS(J4446)&gt;=0.01),AND(H4446&lt;&gt;0,ABS(K4446)&gt;VarianceThreshold)),"Review","OK")</f>
        <v>0</v>
      </c>
      <c r="M4446" t="s">
        <v>33</v>
      </c>
    </row>
    <row r="4447" spans="1:13">
      <c r="A4447" t="s">
        <v>7</v>
      </c>
      <c r="B4447" t="s">
        <v>154</v>
      </c>
      <c r="C4447" t="s">
        <v>33</v>
      </c>
      <c r="D4447" t="s">
        <v>3407</v>
      </c>
      <c r="E4447" cm="1">
        <f t="array" ref="E4447">_xlfn.XLOOKUP(D4447,SKU_Master!A:A,SKU_Master!B:B,"Not on master")</f>
        <v>0</v>
      </c>
      <c r="F4447" cm="1">
        <f t="array" ref="F4447">_xlfn.XLOOKUP(C4447,Account_Master!A:A,Account_Master!B:B,"Not on master")</f>
        <v>0</v>
      </c>
      <c r="G4447" cm="1">
        <f t="array" ref="G4447">_xlfn.XLOOKUP(C4447,Account_Master!A:A,Account_Master!C:C,"Not on master")</f>
        <v>0</v>
      </c>
      <c r="H4447" s="6">
        <v>0</v>
      </c>
      <c r="I4447" s="6">
        <v>0.05</v>
      </c>
      <c r="J4447" s="6">
        <f>I4447-H4447</f>
        <v>0</v>
      </c>
      <c r="K4447" s="5">
        <f>IF(H4447=0,"",J4447/H4447)</f>
        <v>0</v>
      </c>
      <c r="L4447">
        <f>IF(OR(AND(H4447=0,ABS(J4447)&gt;=0.01),AND(H4447&lt;&gt;0,ABS(K4447)&gt;VarianceThreshold)),"Review","OK")</f>
        <v>0</v>
      </c>
      <c r="M4447" t="s">
        <v>3038</v>
      </c>
    </row>
    <row r="4448" spans="1:13">
      <c r="A4448" t="s">
        <v>7</v>
      </c>
      <c r="B4448" t="s">
        <v>160</v>
      </c>
      <c r="C4448" t="s">
        <v>3408</v>
      </c>
      <c r="D4448" t="s">
        <v>368</v>
      </c>
      <c r="E4448" cm="1">
        <f t="array" ref="E4448">_xlfn.XLOOKUP(D4448,SKU_Master!A:A,SKU_Master!B:B,"Not on master")</f>
        <v>0</v>
      </c>
      <c r="F4448" cm="1">
        <f t="array" ref="F4448">_xlfn.XLOOKUP(C4448,Account_Master!A:A,Account_Master!B:B,"Not on master")</f>
        <v>0</v>
      </c>
      <c r="G4448" cm="1">
        <f t="array" ref="G4448">_xlfn.XLOOKUP(C4448,Account_Master!A:A,Account_Master!C:C,"Not on master")</f>
        <v>0</v>
      </c>
      <c r="H4448" s="6">
        <v>27</v>
      </c>
      <c r="I4448" s="6">
        <v>27</v>
      </c>
      <c r="J4448" s="6">
        <f>I4448-H4448</f>
        <v>0</v>
      </c>
      <c r="K4448" s="5">
        <f>IF(H4448=0,"",J4448/H4448)</f>
        <v>0</v>
      </c>
      <c r="L4448">
        <f>IF(OR(AND(H4448=0,ABS(J4448)&gt;=0.01),AND(H4448&lt;&gt;0,ABS(K4448)&gt;VarianceThreshold)),"Review","OK")</f>
        <v>0</v>
      </c>
      <c r="M4448" t="s">
        <v>33</v>
      </c>
    </row>
    <row r="4449" spans="1:13">
      <c r="A4449" t="s">
        <v>7</v>
      </c>
      <c r="B4449" t="s">
        <v>160</v>
      </c>
      <c r="C4449" t="s">
        <v>3398</v>
      </c>
      <c r="D4449" t="s">
        <v>3409</v>
      </c>
      <c r="E4449" cm="1">
        <f t="array" ref="E4449">_xlfn.XLOOKUP(D4449,SKU_Master!A:A,SKU_Master!B:B,"Not on master")</f>
        <v>0</v>
      </c>
      <c r="F4449" cm="1">
        <f t="array" ref="F4449">_xlfn.XLOOKUP(C4449,Account_Master!A:A,Account_Master!B:B,"Not on master")</f>
        <v>0</v>
      </c>
      <c r="G4449" cm="1">
        <f t="array" ref="G4449">_xlfn.XLOOKUP(C4449,Account_Master!A:A,Account_Master!C:C,"Not on master")</f>
        <v>0</v>
      </c>
      <c r="H4449" s="6">
        <v>9</v>
      </c>
      <c r="I4449" s="6">
        <v>9</v>
      </c>
      <c r="J4449" s="6">
        <f>I4449-H4449</f>
        <v>0</v>
      </c>
      <c r="K4449" s="5">
        <f>IF(H4449=0,"",J4449/H4449)</f>
        <v>0</v>
      </c>
      <c r="L4449">
        <f>IF(OR(AND(H4449=0,ABS(J4449)&gt;=0.01),AND(H4449&lt;&gt;0,ABS(K4449)&gt;VarianceThreshold)),"Review","OK")</f>
        <v>0</v>
      </c>
      <c r="M4449" t="s">
        <v>33</v>
      </c>
    </row>
    <row r="4450" spans="1:13">
      <c r="A4450" t="s">
        <v>7</v>
      </c>
      <c r="B4450" t="s">
        <v>160</v>
      </c>
      <c r="C4450" t="s">
        <v>3391</v>
      </c>
      <c r="D4450" t="s">
        <v>1123</v>
      </c>
      <c r="E4450" cm="1">
        <f t="array" ref="E4450">_xlfn.XLOOKUP(D4450,SKU_Master!A:A,SKU_Master!B:B,"Not on master")</f>
        <v>0</v>
      </c>
      <c r="F4450" cm="1">
        <f t="array" ref="F4450">_xlfn.XLOOKUP(C4450,Account_Master!A:A,Account_Master!B:B,"Not on master")</f>
        <v>0</v>
      </c>
      <c r="G4450" cm="1">
        <f t="array" ref="G4450">_xlfn.XLOOKUP(C4450,Account_Master!A:A,Account_Master!C:C,"Not on master")</f>
        <v>0</v>
      </c>
      <c r="H4450" s="6">
        <v>0.8</v>
      </c>
      <c r="I4450" s="6">
        <v>0.8</v>
      </c>
      <c r="J4450" s="6">
        <f>I4450-H4450</f>
        <v>0</v>
      </c>
      <c r="K4450" s="5">
        <f>IF(H4450=0,"",J4450/H4450)</f>
        <v>0</v>
      </c>
      <c r="L4450">
        <f>IF(OR(AND(H4450=0,ABS(J4450)&gt;=0.01),AND(H4450&lt;&gt;0,ABS(K4450)&gt;VarianceThreshold)),"Review","OK")</f>
        <v>0</v>
      </c>
      <c r="M4450" t="s">
        <v>33</v>
      </c>
    </row>
    <row r="4451" spans="1:13">
      <c r="A4451" t="s">
        <v>7</v>
      </c>
      <c r="B4451" t="s">
        <v>160</v>
      </c>
      <c r="C4451" t="s">
        <v>3369</v>
      </c>
      <c r="D4451" t="s">
        <v>525</v>
      </c>
      <c r="E4451" cm="1">
        <f t="array" ref="E4451">_xlfn.XLOOKUP(D4451,SKU_Master!A:A,SKU_Master!B:B,"Not on master")</f>
        <v>0</v>
      </c>
      <c r="F4451" cm="1">
        <f t="array" ref="F4451">_xlfn.XLOOKUP(C4451,Account_Master!A:A,Account_Master!B:B,"Not on master")</f>
        <v>0</v>
      </c>
      <c r="G4451" cm="1">
        <f t="array" ref="G4451">_xlfn.XLOOKUP(C4451,Account_Master!A:A,Account_Master!C:C,"Not on master")</f>
        <v>0</v>
      </c>
      <c r="H4451" s="6">
        <v>31.5</v>
      </c>
      <c r="I4451" s="6">
        <v>31.5</v>
      </c>
      <c r="J4451" s="6">
        <f>I4451-H4451</f>
        <v>0</v>
      </c>
      <c r="K4451" s="5">
        <f>IF(H4451=0,"",J4451/H4451)</f>
        <v>0</v>
      </c>
      <c r="L4451">
        <f>IF(OR(AND(H4451=0,ABS(J4451)&gt;=0.01),AND(H4451&lt;&gt;0,ABS(K4451)&gt;VarianceThreshold)),"Review","OK")</f>
        <v>0</v>
      </c>
      <c r="M4451" t="s">
        <v>33</v>
      </c>
    </row>
    <row r="4452" spans="1:13">
      <c r="A4452" t="s">
        <v>7</v>
      </c>
      <c r="B4452" t="s">
        <v>160</v>
      </c>
      <c r="C4452" t="s">
        <v>3410</v>
      </c>
      <c r="D4452" t="s">
        <v>2588</v>
      </c>
      <c r="E4452" cm="1">
        <f t="array" ref="E4452">_xlfn.XLOOKUP(D4452,SKU_Master!A:A,SKU_Master!B:B,"Not on master")</f>
        <v>0</v>
      </c>
      <c r="F4452" cm="1">
        <f t="array" ref="F4452">_xlfn.XLOOKUP(C4452,Account_Master!A:A,Account_Master!B:B,"Not on master")</f>
        <v>0</v>
      </c>
      <c r="G4452" cm="1">
        <f t="array" ref="G4452">_xlfn.XLOOKUP(C4452,Account_Master!A:A,Account_Master!C:C,"Not on master")</f>
        <v>0</v>
      </c>
      <c r="H4452" s="6">
        <v>6</v>
      </c>
      <c r="I4452" s="6">
        <v>6</v>
      </c>
      <c r="J4452" s="6">
        <f>I4452-H4452</f>
        <v>0</v>
      </c>
      <c r="K4452" s="5">
        <f>IF(H4452=0,"",J4452/H4452)</f>
        <v>0</v>
      </c>
      <c r="L4452">
        <f>IF(OR(AND(H4452=0,ABS(J4452)&gt;=0.01),AND(H4452&lt;&gt;0,ABS(K4452)&gt;VarianceThreshold)),"Review","OK")</f>
        <v>0</v>
      </c>
      <c r="M4452" t="s">
        <v>33</v>
      </c>
    </row>
    <row r="4453" spans="1:13">
      <c r="A4453" t="s">
        <v>7</v>
      </c>
      <c r="B4453" t="s">
        <v>160</v>
      </c>
      <c r="C4453" t="s">
        <v>3377</v>
      </c>
      <c r="D4453" t="s">
        <v>978</v>
      </c>
      <c r="E4453" cm="1">
        <f t="array" ref="E4453">_xlfn.XLOOKUP(D4453,SKU_Master!A:A,SKU_Master!B:B,"Not on master")</f>
        <v>0</v>
      </c>
      <c r="F4453" cm="1">
        <f t="array" ref="F4453">_xlfn.XLOOKUP(C4453,Account_Master!A:A,Account_Master!B:B,"Not on master")</f>
        <v>0</v>
      </c>
      <c r="G4453" cm="1">
        <f t="array" ref="G4453">_xlfn.XLOOKUP(C4453,Account_Master!A:A,Account_Master!C:C,"Not on master")</f>
        <v>0</v>
      </c>
      <c r="H4453" s="6">
        <v>60</v>
      </c>
      <c r="I4453" s="6">
        <v>60</v>
      </c>
      <c r="J4453" s="6">
        <f>I4453-H4453</f>
        <v>0</v>
      </c>
      <c r="K4453" s="5">
        <f>IF(H4453=0,"",J4453/H4453)</f>
        <v>0</v>
      </c>
      <c r="L4453">
        <f>IF(OR(AND(H4453=0,ABS(J4453)&gt;=0.01),AND(H4453&lt;&gt;0,ABS(K4453)&gt;VarianceThreshold)),"Review","OK")</f>
        <v>0</v>
      </c>
      <c r="M4453" t="s">
        <v>33</v>
      </c>
    </row>
    <row r="4454" spans="1:13">
      <c r="A4454" t="s">
        <v>7</v>
      </c>
      <c r="B4454" t="s">
        <v>170</v>
      </c>
      <c r="C4454" t="s">
        <v>3411</v>
      </c>
      <c r="D4454" t="s">
        <v>646</v>
      </c>
      <c r="E4454" cm="1">
        <f t="array" ref="E4454">_xlfn.XLOOKUP(D4454,SKU_Master!A:A,SKU_Master!B:B,"Not on master")</f>
        <v>0</v>
      </c>
      <c r="F4454" cm="1">
        <f t="array" ref="F4454">_xlfn.XLOOKUP(C4454,Account_Master!A:A,Account_Master!B:B,"Not on master")</f>
        <v>0</v>
      </c>
      <c r="G4454" cm="1">
        <f t="array" ref="G4454">_xlfn.XLOOKUP(C4454,Account_Master!A:A,Account_Master!C:C,"Not on master")</f>
        <v>0</v>
      </c>
      <c r="H4454" s="6">
        <v>10.5</v>
      </c>
      <c r="I4454" s="6">
        <v>10.5</v>
      </c>
      <c r="J4454" s="6">
        <f>I4454-H4454</f>
        <v>0</v>
      </c>
      <c r="K4454" s="5">
        <f>IF(H4454=0,"",J4454/H4454)</f>
        <v>0</v>
      </c>
      <c r="L4454">
        <f>IF(OR(AND(H4454=0,ABS(J4454)&gt;=0.01),AND(H4454&lt;&gt;0,ABS(K4454)&gt;VarianceThreshold)),"Review","OK")</f>
        <v>0</v>
      </c>
      <c r="M4454" t="s">
        <v>33</v>
      </c>
    </row>
    <row r="4455" spans="1:13">
      <c r="A4455" t="s">
        <v>7</v>
      </c>
      <c r="B4455" t="s">
        <v>170</v>
      </c>
      <c r="C4455" t="s">
        <v>3412</v>
      </c>
      <c r="D4455" t="s">
        <v>1198</v>
      </c>
      <c r="E4455" cm="1">
        <f t="array" ref="E4455">_xlfn.XLOOKUP(D4455,SKU_Master!A:A,SKU_Master!B:B,"Not on master")</f>
        <v>0</v>
      </c>
      <c r="F4455" cm="1">
        <f t="array" ref="F4455">_xlfn.XLOOKUP(C4455,Account_Master!A:A,Account_Master!B:B,"Not on master")</f>
        <v>0</v>
      </c>
      <c r="G4455" cm="1">
        <f t="array" ref="G4455">_xlfn.XLOOKUP(C4455,Account_Master!A:A,Account_Master!C:C,"Not on master")</f>
        <v>0</v>
      </c>
      <c r="H4455" s="6">
        <v>20</v>
      </c>
      <c r="I4455" s="6">
        <v>8</v>
      </c>
      <c r="J4455" s="6">
        <f>I4455-H4455</f>
        <v>0</v>
      </c>
      <c r="K4455" s="5">
        <f>IF(H4455=0,"",J4455/H4455)</f>
        <v>0</v>
      </c>
      <c r="L4455">
        <f>IF(OR(AND(H4455=0,ABS(J4455)&gt;=0.01),AND(H4455&lt;&gt;0,ABS(K4455)&gt;VarianceThreshold)),"Review","OK")</f>
        <v>0</v>
      </c>
      <c r="M4455" t="s">
        <v>3038</v>
      </c>
    </row>
    <row r="4456" spans="1:13">
      <c r="A4456" t="s">
        <v>7</v>
      </c>
      <c r="B4456" t="s">
        <v>170</v>
      </c>
      <c r="C4456" t="s">
        <v>3413</v>
      </c>
      <c r="D4456" t="s">
        <v>1643</v>
      </c>
      <c r="E4456" cm="1">
        <f t="array" ref="E4456">_xlfn.XLOOKUP(D4456,SKU_Master!A:A,SKU_Master!B:B,"Not on master")</f>
        <v>0</v>
      </c>
      <c r="F4456" cm="1">
        <f t="array" ref="F4456">_xlfn.XLOOKUP(C4456,Account_Master!A:A,Account_Master!B:B,"Not on master")</f>
        <v>0</v>
      </c>
      <c r="G4456" cm="1">
        <f t="array" ref="G4456">_xlfn.XLOOKUP(C4456,Account_Master!A:A,Account_Master!C:C,"Not on master")</f>
        <v>0</v>
      </c>
      <c r="H4456" s="6">
        <v>42</v>
      </c>
      <c r="I4456" s="6">
        <v>42</v>
      </c>
      <c r="J4456" s="6">
        <f>I4456-H4456</f>
        <v>0</v>
      </c>
      <c r="K4456" s="5">
        <f>IF(H4456=0,"",J4456/H4456)</f>
        <v>0</v>
      </c>
      <c r="L4456">
        <f>IF(OR(AND(H4456=0,ABS(J4456)&gt;=0.01),AND(H4456&lt;&gt;0,ABS(K4456)&gt;VarianceThreshold)),"Review","OK")</f>
        <v>0</v>
      </c>
      <c r="M4456" t="s">
        <v>33</v>
      </c>
    </row>
    <row r="4457" spans="1:13">
      <c r="A4457" t="s">
        <v>7</v>
      </c>
      <c r="B4457" t="s">
        <v>170</v>
      </c>
      <c r="C4457" t="s">
        <v>3414</v>
      </c>
      <c r="D4457" t="s">
        <v>2005</v>
      </c>
      <c r="E4457" cm="1">
        <f t="array" ref="E4457">_xlfn.XLOOKUP(D4457,SKU_Master!A:A,SKU_Master!B:B,"Not on master")</f>
        <v>0</v>
      </c>
      <c r="F4457" cm="1">
        <f t="array" ref="F4457">_xlfn.XLOOKUP(C4457,Account_Master!A:A,Account_Master!B:B,"Not on master")</f>
        <v>0</v>
      </c>
      <c r="G4457" cm="1">
        <f t="array" ref="G4457">_xlfn.XLOOKUP(C4457,Account_Master!A:A,Account_Master!C:C,"Not on master")</f>
        <v>0</v>
      </c>
      <c r="H4457" s="6">
        <v>1.5</v>
      </c>
      <c r="I4457" s="6">
        <v>1.5</v>
      </c>
      <c r="J4457" s="6">
        <f>I4457-H4457</f>
        <v>0</v>
      </c>
      <c r="K4457" s="5">
        <f>IF(H4457=0,"",J4457/H4457)</f>
        <v>0</v>
      </c>
      <c r="L4457">
        <f>IF(OR(AND(H4457=0,ABS(J4457)&gt;=0.01),AND(H4457&lt;&gt;0,ABS(K4457)&gt;VarianceThreshold)),"Review","OK")</f>
        <v>0</v>
      </c>
      <c r="M4457" t="s">
        <v>33</v>
      </c>
    </row>
    <row r="4458" spans="1:13">
      <c r="A4458" t="s">
        <v>7</v>
      </c>
      <c r="B4458" t="s">
        <v>170</v>
      </c>
      <c r="C4458" t="s">
        <v>3368</v>
      </c>
      <c r="D4458" t="s">
        <v>1007</v>
      </c>
      <c r="E4458" cm="1">
        <f t="array" ref="E4458">_xlfn.XLOOKUP(D4458,SKU_Master!A:A,SKU_Master!B:B,"Not on master")</f>
        <v>0</v>
      </c>
      <c r="F4458" cm="1">
        <f t="array" ref="F4458">_xlfn.XLOOKUP(C4458,Account_Master!A:A,Account_Master!B:B,"Not on master")</f>
        <v>0</v>
      </c>
      <c r="G4458" cm="1">
        <f t="array" ref="G4458">_xlfn.XLOOKUP(C4458,Account_Master!A:A,Account_Master!C:C,"Not on master")</f>
        <v>0</v>
      </c>
      <c r="H4458" s="6">
        <v>9</v>
      </c>
      <c r="I4458" s="6">
        <v>9</v>
      </c>
      <c r="J4458" s="6">
        <f>I4458-H4458</f>
        <v>0</v>
      </c>
      <c r="K4458" s="5">
        <f>IF(H4458=0,"",J4458/H4458)</f>
        <v>0</v>
      </c>
      <c r="L4458">
        <f>IF(OR(AND(H4458=0,ABS(J4458)&gt;=0.01),AND(H4458&lt;&gt;0,ABS(K4458)&gt;VarianceThreshold)),"Review","OK")</f>
        <v>0</v>
      </c>
      <c r="M4458" t="s">
        <v>33</v>
      </c>
    </row>
    <row r="4459" spans="1:13">
      <c r="A4459" t="s">
        <v>7</v>
      </c>
      <c r="B4459" t="s">
        <v>170</v>
      </c>
      <c r="C4459" t="s">
        <v>33</v>
      </c>
      <c r="D4459" t="s">
        <v>3415</v>
      </c>
      <c r="E4459" cm="1">
        <f t="array" ref="E4459">_xlfn.XLOOKUP(D4459,SKU_Master!A:A,SKU_Master!B:B,"Not on master")</f>
        <v>0</v>
      </c>
      <c r="F4459" cm="1">
        <f t="array" ref="F4459">_xlfn.XLOOKUP(C4459,Account_Master!A:A,Account_Master!B:B,"Not on master")</f>
        <v>0</v>
      </c>
      <c r="G4459" cm="1">
        <f t="array" ref="G4459">_xlfn.XLOOKUP(C4459,Account_Master!A:A,Account_Master!C:C,"Not on master")</f>
        <v>0</v>
      </c>
      <c r="H4459" s="6">
        <v>0</v>
      </c>
      <c r="I4459" s="6">
        <v>2.25</v>
      </c>
      <c r="J4459" s="6">
        <f>I4459-H4459</f>
        <v>0</v>
      </c>
      <c r="K4459" s="5">
        <f>IF(H4459=0,"",J4459/H4459)</f>
        <v>0</v>
      </c>
      <c r="L4459">
        <f>IF(OR(AND(H4459=0,ABS(J4459)&gt;=0.01),AND(H4459&lt;&gt;0,ABS(K4459)&gt;VarianceThreshold)),"Review","OK")</f>
        <v>0</v>
      </c>
      <c r="M4459" t="s">
        <v>3038</v>
      </c>
    </row>
    <row r="4460" spans="1:13">
      <c r="A4460" t="s">
        <v>7</v>
      </c>
      <c r="B4460" t="s">
        <v>170</v>
      </c>
      <c r="C4460" t="s">
        <v>33</v>
      </c>
      <c r="D4460" t="s">
        <v>3416</v>
      </c>
      <c r="E4460" cm="1">
        <f t="array" ref="E4460">_xlfn.XLOOKUP(D4460,SKU_Master!A:A,SKU_Master!B:B,"Not on master")</f>
        <v>0</v>
      </c>
      <c r="F4460" cm="1">
        <f t="array" ref="F4460">_xlfn.XLOOKUP(C4460,Account_Master!A:A,Account_Master!B:B,"Not on master")</f>
        <v>0</v>
      </c>
      <c r="G4460" cm="1">
        <f t="array" ref="G4460">_xlfn.XLOOKUP(C4460,Account_Master!A:A,Account_Master!C:C,"Not on master")</f>
        <v>0</v>
      </c>
      <c r="H4460" s="6">
        <v>0</v>
      </c>
      <c r="I4460" s="6">
        <v>10.5</v>
      </c>
      <c r="J4460" s="6">
        <f>I4460-H4460</f>
        <v>0</v>
      </c>
      <c r="K4460" s="5">
        <f>IF(H4460=0,"",J4460/H4460)</f>
        <v>0</v>
      </c>
      <c r="L4460">
        <f>IF(OR(AND(H4460=0,ABS(J4460)&gt;=0.01),AND(H4460&lt;&gt;0,ABS(K4460)&gt;VarianceThreshold)),"Review","OK")</f>
        <v>0</v>
      </c>
      <c r="M4460" t="s">
        <v>3038</v>
      </c>
    </row>
    <row r="4461" spans="1:13">
      <c r="A4461" t="s">
        <v>7</v>
      </c>
      <c r="B4461" t="s">
        <v>170</v>
      </c>
      <c r="C4461" t="s">
        <v>33</v>
      </c>
      <c r="D4461" t="s">
        <v>3417</v>
      </c>
      <c r="E4461" cm="1">
        <f t="array" ref="E4461">_xlfn.XLOOKUP(D4461,SKU_Master!A:A,SKU_Master!B:B,"Not on master")</f>
        <v>0</v>
      </c>
      <c r="F4461" cm="1">
        <f t="array" ref="F4461">_xlfn.XLOOKUP(C4461,Account_Master!A:A,Account_Master!B:B,"Not on master")</f>
        <v>0</v>
      </c>
      <c r="G4461" cm="1">
        <f t="array" ref="G4461">_xlfn.XLOOKUP(C4461,Account_Master!A:A,Account_Master!C:C,"Not on master")</f>
        <v>0</v>
      </c>
      <c r="H4461" s="6">
        <v>0</v>
      </c>
      <c r="I4461" s="6">
        <v>0.05</v>
      </c>
      <c r="J4461" s="6">
        <f>I4461-H4461</f>
        <v>0</v>
      </c>
      <c r="K4461" s="5">
        <f>IF(H4461=0,"",J4461/H4461)</f>
        <v>0</v>
      </c>
      <c r="L4461">
        <f>IF(OR(AND(H4461=0,ABS(J4461)&gt;=0.01),AND(H4461&lt;&gt;0,ABS(K4461)&gt;VarianceThreshold)),"Review","OK")</f>
        <v>0</v>
      </c>
      <c r="M4461" t="s">
        <v>3038</v>
      </c>
    </row>
    <row r="4462" spans="1:13">
      <c r="A4462" t="s">
        <v>7</v>
      </c>
      <c r="B4462" t="s">
        <v>180</v>
      </c>
      <c r="C4462" t="s">
        <v>3414</v>
      </c>
      <c r="D4462" t="s">
        <v>3418</v>
      </c>
      <c r="E4462" cm="1">
        <f t="array" ref="E4462">_xlfn.XLOOKUP(D4462,SKU_Master!A:A,SKU_Master!B:B,"Not on master")</f>
        <v>0</v>
      </c>
      <c r="F4462" cm="1">
        <f t="array" ref="F4462">_xlfn.XLOOKUP(C4462,Account_Master!A:A,Account_Master!B:B,"Not on master")</f>
        <v>0</v>
      </c>
      <c r="G4462" cm="1">
        <f t="array" ref="G4462">_xlfn.XLOOKUP(C4462,Account_Master!A:A,Account_Master!C:C,"Not on master")</f>
        <v>0</v>
      </c>
      <c r="H4462" s="6">
        <v>0.4</v>
      </c>
      <c r="I4462" s="6">
        <v>0.4</v>
      </c>
      <c r="J4462" s="6">
        <f>I4462-H4462</f>
        <v>0</v>
      </c>
      <c r="K4462" s="5">
        <f>IF(H4462=0,"",J4462/H4462)</f>
        <v>0</v>
      </c>
      <c r="L4462">
        <f>IF(OR(AND(H4462=0,ABS(J4462)&gt;=0.01),AND(H4462&lt;&gt;0,ABS(K4462)&gt;VarianceThreshold)),"Review","OK")</f>
        <v>0</v>
      </c>
      <c r="M4462" t="s">
        <v>33</v>
      </c>
    </row>
    <row r="4463" spans="1:13">
      <c r="A4463" t="s">
        <v>7</v>
      </c>
      <c r="B4463" t="s">
        <v>180</v>
      </c>
      <c r="C4463" t="s">
        <v>3369</v>
      </c>
      <c r="D4463" t="s">
        <v>1486</v>
      </c>
      <c r="E4463" cm="1">
        <f t="array" ref="E4463">_xlfn.XLOOKUP(D4463,SKU_Master!A:A,SKU_Master!B:B,"Not on master")</f>
        <v>0</v>
      </c>
      <c r="F4463" cm="1">
        <f t="array" ref="F4463">_xlfn.XLOOKUP(C4463,Account_Master!A:A,Account_Master!B:B,"Not on master")</f>
        <v>0</v>
      </c>
      <c r="G4463" cm="1">
        <f t="array" ref="G4463">_xlfn.XLOOKUP(C4463,Account_Master!A:A,Account_Master!C:C,"Not on master")</f>
        <v>0</v>
      </c>
      <c r="H4463" s="6">
        <v>10.5</v>
      </c>
      <c r="I4463" s="6">
        <v>10.5</v>
      </c>
      <c r="J4463" s="6">
        <f>I4463-H4463</f>
        <v>0</v>
      </c>
      <c r="K4463" s="5">
        <f>IF(H4463=0,"",J4463/H4463)</f>
        <v>0</v>
      </c>
      <c r="L4463">
        <f>IF(OR(AND(H4463=0,ABS(J4463)&gt;=0.01),AND(H4463&lt;&gt;0,ABS(K4463)&gt;VarianceThreshold)),"Review","OK")</f>
        <v>0</v>
      </c>
      <c r="M4463" t="s">
        <v>33</v>
      </c>
    </row>
    <row r="4464" spans="1:13">
      <c r="A4464" t="s">
        <v>7</v>
      </c>
      <c r="B4464" t="s">
        <v>180</v>
      </c>
      <c r="C4464" t="s">
        <v>3419</v>
      </c>
      <c r="D4464" t="s">
        <v>834</v>
      </c>
      <c r="E4464" cm="1">
        <f t="array" ref="E4464">_xlfn.XLOOKUP(D4464,SKU_Master!A:A,SKU_Master!B:B,"Not on master")</f>
        <v>0</v>
      </c>
      <c r="F4464" cm="1">
        <f t="array" ref="F4464">_xlfn.XLOOKUP(C4464,Account_Master!A:A,Account_Master!B:B,"Not on master")</f>
        <v>0</v>
      </c>
      <c r="G4464" cm="1">
        <f t="array" ref="G4464">_xlfn.XLOOKUP(C4464,Account_Master!A:A,Account_Master!C:C,"Not on master")</f>
        <v>0</v>
      </c>
      <c r="H4464" s="6">
        <v>23.25</v>
      </c>
      <c r="I4464" s="6">
        <v>23.25</v>
      </c>
      <c r="J4464" s="6">
        <f>I4464-H4464</f>
        <v>0</v>
      </c>
      <c r="K4464" s="5">
        <f>IF(H4464=0,"",J4464/H4464)</f>
        <v>0</v>
      </c>
      <c r="L4464">
        <f>IF(OR(AND(H4464=0,ABS(J4464)&gt;=0.01),AND(H4464&lt;&gt;0,ABS(K4464)&gt;VarianceThreshold)),"Review","OK")</f>
        <v>0</v>
      </c>
      <c r="M4464" t="s">
        <v>33</v>
      </c>
    </row>
    <row r="4465" spans="1:13">
      <c r="A4465" t="s">
        <v>7</v>
      </c>
      <c r="B4465" t="s">
        <v>193</v>
      </c>
      <c r="C4465" t="s">
        <v>3358</v>
      </c>
      <c r="D4465" t="s">
        <v>2509</v>
      </c>
      <c r="E4465" cm="1">
        <f t="array" ref="E4465">_xlfn.XLOOKUP(D4465,SKU_Master!A:A,SKU_Master!B:B,"Not on master")</f>
        <v>0</v>
      </c>
      <c r="F4465" cm="1">
        <f t="array" ref="F4465">_xlfn.XLOOKUP(C4465,Account_Master!A:A,Account_Master!B:B,"Not on master")</f>
        <v>0</v>
      </c>
      <c r="G4465" cm="1">
        <f t="array" ref="G4465">_xlfn.XLOOKUP(C4465,Account_Master!A:A,Account_Master!C:C,"Not on master")</f>
        <v>0</v>
      </c>
      <c r="H4465" s="6">
        <v>127.75</v>
      </c>
      <c r="I4465" s="6">
        <v>127.75</v>
      </c>
      <c r="J4465" s="6">
        <f>I4465-H4465</f>
        <v>0</v>
      </c>
      <c r="K4465" s="5">
        <f>IF(H4465=0,"",J4465/H4465)</f>
        <v>0</v>
      </c>
      <c r="L4465">
        <f>IF(OR(AND(H4465=0,ABS(J4465)&gt;=0.01),AND(H4465&lt;&gt;0,ABS(K4465)&gt;VarianceThreshold)),"Review","OK")</f>
        <v>0</v>
      </c>
      <c r="M4465" t="s">
        <v>33</v>
      </c>
    </row>
    <row r="4466" spans="1:13">
      <c r="A4466" t="s">
        <v>7</v>
      </c>
      <c r="B4466" t="s">
        <v>193</v>
      </c>
      <c r="C4466" t="s">
        <v>3420</v>
      </c>
      <c r="D4466" t="s">
        <v>3002</v>
      </c>
      <c r="E4466" cm="1">
        <f t="array" ref="E4466">_xlfn.XLOOKUP(D4466,SKU_Master!A:A,SKU_Master!B:B,"Not on master")</f>
        <v>0</v>
      </c>
      <c r="F4466" cm="1">
        <f t="array" ref="F4466">_xlfn.XLOOKUP(C4466,Account_Master!A:A,Account_Master!B:B,"Not on master")</f>
        <v>0</v>
      </c>
      <c r="G4466" cm="1">
        <f t="array" ref="G4466">_xlfn.XLOOKUP(C4466,Account_Master!A:A,Account_Master!C:C,"Not on master")</f>
        <v>0</v>
      </c>
      <c r="H4466" s="6">
        <v>1.2</v>
      </c>
      <c r="I4466" s="6">
        <v>0.6</v>
      </c>
      <c r="J4466" s="6">
        <f>I4466-H4466</f>
        <v>0</v>
      </c>
      <c r="K4466" s="5">
        <f>IF(H4466=0,"",J4466/H4466)</f>
        <v>0</v>
      </c>
      <c r="L4466">
        <f>IF(OR(AND(H4466=0,ABS(J4466)&gt;=0.01),AND(H4466&lt;&gt;0,ABS(K4466)&gt;VarianceThreshold)),"Review","OK")</f>
        <v>0</v>
      </c>
      <c r="M4466" t="s">
        <v>3038</v>
      </c>
    </row>
    <row r="4467" spans="1:13">
      <c r="A4467" t="s">
        <v>7</v>
      </c>
      <c r="B4467" t="s">
        <v>193</v>
      </c>
      <c r="C4467" t="s">
        <v>3377</v>
      </c>
      <c r="D4467" t="s">
        <v>1021</v>
      </c>
      <c r="E4467" cm="1">
        <f t="array" ref="E4467">_xlfn.XLOOKUP(D4467,SKU_Master!A:A,SKU_Master!B:B,"Not on master")</f>
        <v>0</v>
      </c>
      <c r="F4467" cm="1">
        <f t="array" ref="F4467">_xlfn.XLOOKUP(C4467,Account_Master!A:A,Account_Master!B:B,"Not on master")</f>
        <v>0</v>
      </c>
      <c r="G4467" cm="1">
        <f t="array" ref="G4467">_xlfn.XLOOKUP(C4467,Account_Master!A:A,Account_Master!C:C,"Not on master")</f>
        <v>0</v>
      </c>
      <c r="H4467" s="6">
        <v>3</v>
      </c>
      <c r="I4467" s="6">
        <v>3</v>
      </c>
      <c r="J4467" s="6">
        <f>I4467-H4467</f>
        <v>0</v>
      </c>
      <c r="K4467" s="5">
        <f>IF(H4467=0,"",J4467/H4467)</f>
        <v>0</v>
      </c>
      <c r="L4467">
        <f>IF(OR(AND(H4467=0,ABS(J4467)&gt;=0.01),AND(H4467&lt;&gt;0,ABS(K4467)&gt;VarianceThreshold)),"Review","OK")</f>
        <v>0</v>
      </c>
      <c r="M4467" t="s">
        <v>33</v>
      </c>
    </row>
    <row r="4468" spans="1:13">
      <c r="A4468" t="s">
        <v>7</v>
      </c>
      <c r="B4468" t="s">
        <v>193</v>
      </c>
      <c r="C4468" t="s">
        <v>3421</v>
      </c>
      <c r="D4468" t="s">
        <v>3422</v>
      </c>
      <c r="E4468" cm="1">
        <f t="array" ref="E4468">_xlfn.XLOOKUP(D4468,SKU_Master!A:A,SKU_Master!B:B,"Not on master")</f>
        <v>0</v>
      </c>
      <c r="F4468" cm="1">
        <f t="array" ref="F4468">_xlfn.XLOOKUP(C4468,Account_Master!A:A,Account_Master!B:B,"Not on master")</f>
        <v>0</v>
      </c>
      <c r="G4468" cm="1">
        <f t="array" ref="G4468">_xlfn.XLOOKUP(C4468,Account_Master!A:A,Account_Master!C:C,"Not on master")</f>
        <v>0</v>
      </c>
      <c r="H4468" s="6">
        <v>11.25</v>
      </c>
      <c r="I4468" s="6">
        <v>11.25</v>
      </c>
      <c r="J4468" s="6">
        <f>I4468-H4468</f>
        <v>0</v>
      </c>
      <c r="K4468" s="5">
        <f>IF(H4468=0,"",J4468/H4468)</f>
        <v>0</v>
      </c>
      <c r="L4468">
        <f>IF(OR(AND(H4468=0,ABS(J4468)&gt;=0.01),AND(H4468&lt;&gt;0,ABS(K4468)&gt;VarianceThreshold)),"Review","OK")</f>
        <v>0</v>
      </c>
      <c r="M4468" t="s">
        <v>33</v>
      </c>
    </row>
    <row r="4469" spans="1:13">
      <c r="A4469" t="s">
        <v>7</v>
      </c>
      <c r="B4469" t="s">
        <v>193</v>
      </c>
      <c r="C4469" t="s">
        <v>3388</v>
      </c>
      <c r="D4469" t="s">
        <v>590</v>
      </c>
      <c r="E4469" cm="1">
        <f t="array" ref="E4469">_xlfn.XLOOKUP(D4469,SKU_Master!A:A,SKU_Master!B:B,"Not on master")</f>
        <v>0</v>
      </c>
      <c r="F4469" cm="1">
        <f t="array" ref="F4469">_xlfn.XLOOKUP(C4469,Account_Master!A:A,Account_Master!B:B,"Not on master")</f>
        <v>0</v>
      </c>
      <c r="G4469" cm="1">
        <f t="array" ref="G4469">_xlfn.XLOOKUP(C4469,Account_Master!A:A,Account_Master!C:C,"Not on master")</f>
        <v>0</v>
      </c>
      <c r="H4469" s="6">
        <v>12</v>
      </c>
      <c r="I4469" s="6">
        <v>12</v>
      </c>
      <c r="J4469" s="6">
        <f>I4469-H4469</f>
        <v>0</v>
      </c>
      <c r="K4469" s="5">
        <f>IF(H4469=0,"",J4469/H4469)</f>
        <v>0</v>
      </c>
      <c r="L4469">
        <f>IF(OR(AND(H4469=0,ABS(J4469)&gt;=0.01),AND(H4469&lt;&gt;0,ABS(K4469)&gt;VarianceThreshold)),"Review","OK")</f>
        <v>0</v>
      </c>
      <c r="M4469" t="s">
        <v>33</v>
      </c>
    </row>
    <row r="4470" spans="1:13">
      <c r="A4470" t="s">
        <v>7</v>
      </c>
      <c r="B4470" t="s">
        <v>193</v>
      </c>
      <c r="C4470" t="s">
        <v>33</v>
      </c>
      <c r="D4470" t="s">
        <v>3423</v>
      </c>
      <c r="E4470" cm="1">
        <f t="array" ref="E4470">_xlfn.XLOOKUP(D4470,SKU_Master!A:A,SKU_Master!B:B,"Not on master")</f>
        <v>0</v>
      </c>
      <c r="F4470" cm="1">
        <f t="array" ref="F4470">_xlfn.XLOOKUP(C4470,Account_Master!A:A,Account_Master!B:B,"Not on master")</f>
        <v>0</v>
      </c>
      <c r="G4470" cm="1">
        <f t="array" ref="G4470">_xlfn.XLOOKUP(C4470,Account_Master!A:A,Account_Master!C:C,"Not on master")</f>
        <v>0</v>
      </c>
      <c r="H4470" s="6">
        <v>0</v>
      </c>
      <c r="I4470" s="6">
        <v>1.5</v>
      </c>
      <c r="J4470" s="6">
        <f>I4470-H4470</f>
        <v>0</v>
      </c>
      <c r="K4470" s="5">
        <f>IF(H4470=0,"",J4470/H4470)</f>
        <v>0</v>
      </c>
      <c r="L4470">
        <f>IF(OR(AND(H4470=0,ABS(J4470)&gt;=0.01),AND(H4470&lt;&gt;0,ABS(K4470)&gt;VarianceThreshold)),"Review","OK")</f>
        <v>0</v>
      </c>
      <c r="M4470" t="s">
        <v>3038</v>
      </c>
    </row>
    <row r="4471" spans="1:13">
      <c r="A4471" t="s">
        <v>7</v>
      </c>
      <c r="B4471" t="s">
        <v>205</v>
      </c>
      <c r="C4471" t="s">
        <v>3424</v>
      </c>
      <c r="D4471" t="s">
        <v>1713</v>
      </c>
      <c r="E4471" cm="1">
        <f t="array" ref="E4471">_xlfn.XLOOKUP(D4471,SKU_Master!A:A,SKU_Master!B:B,"Not on master")</f>
        <v>0</v>
      </c>
      <c r="F4471" cm="1">
        <f t="array" ref="F4471">_xlfn.XLOOKUP(C4471,Account_Master!A:A,Account_Master!B:B,"Not on master")</f>
        <v>0</v>
      </c>
      <c r="G4471" cm="1">
        <f t="array" ref="G4471">_xlfn.XLOOKUP(C4471,Account_Master!A:A,Account_Master!C:C,"Not on master")</f>
        <v>0</v>
      </c>
      <c r="H4471" s="6">
        <v>84</v>
      </c>
      <c r="I4471" s="6">
        <v>84</v>
      </c>
      <c r="J4471" s="6">
        <f>I4471-H4471</f>
        <v>0</v>
      </c>
      <c r="K4471" s="5">
        <f>IF(H4471=0,"",J4471/H4471)</f>
        <v>0</v>
      </c>
      <c r="L4471">
        <f>IF(OR(AND(H4471=0,ABS(J4471)&gt;=0.01),AND(H4471&lt;&gt;0,ABS(K4471)&gt;VarianceThreshold)),"Review","OK")</f>
        <v>0</v>
      </c>
      <c r="M4471" t="s">
        <v>33</v>
      </c>
    </row>
    <row r="4472" spans="1:13">
      <c r="A4472" t="s">
        <v>7</v>
      </c>
      <c r="B4472" t="s">
        <v>205</v>
      </c>
      <c r="C4472" t="s">
        <v>3398</v>
      </c>
      <c r="D4472" t="s">
        <v>702</v>
      </c>
      <c r="E4472" cm="1">
        <f t="array" ref="E4472">_xlfn.XLOOKUP(D4472,SKU_Master!A:A,SKU_Master!B:B,"Not on master")</f>
        <v>0</v>
      </c>
      <c r="F4472" cm="1">
        <f t="array" ref="F4472">_xlfn.XLOOKUP(C4472,Account_Master!A:A,Account_Master!B:B,"Not on master")</f>
        <v>0</v>
      </c>
      <c r="G4472" cm="1">
        <f t="array" ref="G4472">_xlfn.XLOOKUP(C4472,Account_Master!A:A,Account_Master!C:C,"Not on master")</f>
        <v>0</v>
      </c>
      <c r="H4472" s="6">
        <v>94.5</v>
      </c>
      <c r="I4472" s="6">
        <v>94.5</v>
      </c>
      <c r="J4472" s="6">
        <f>I4472-H4472</f>
        <v>0</v>
      </c>
      <c r="K4472" s="5">
        <f>IF(H4472=0,"",J4472/H4472)</f>
        <v>0</v>
      </c>
      <c r="L4472">
        <f>IF(OR(AND(H4472=0,ABS(J4472)&gt;=0.01),AND(H4472&lt;&gt;0,ABS(K4472)&gt;VarianceThreshold)),"Review","OK")</f>
        <v>0</v>
      </c>
      <c r="M4472" t="s">
        <v>33</v>
      </c>
    </row>
    <row r="4473" spans="1:13">
      <c r="A4473" t="s">
        <v>7</v>
      </c>
      <c r="B4473" t="s">
        <v>205</v>
      </c>
      <c r="C4473" t="s">
        <v>3425</v>
      </c>
      <c r="D4473" t="s">
        <v>1103</v>
      </c>
      <c r="E4473" cm="1">
        <f t="array" ref="E4473">_xlfn.XLOOKUP(D4473,SKU_Master!A:A,SKU_Master!B:B,"Not on master")</f>
        <v>0</v>
      </c>
      <c r="F4473" cm="1">
        <f t="array" ref="F4473">_xlfn.XLOOKUP(C4473,Account_Master!A:A,Account_Master!B:B,"Not on master")</f>
        <v>0</v>
      </c>
      <c r="G4473" cm="1">
        <f t="array" ref="G4473">_xlfn.XLOOKUP(C4473,Account_Master!A:A,Account_Master!C:C,"Not on master")</f>
        <v>0</v>
      </c>
      <c r="H4473" s="6">
        <v>0.1</v>
      </c>
      <c r="I4473" s="6">
        <v>0.1</v>
      </c>
      <c r="J4473" s="6">
        <f>I4473-H4473</f>
        <v>0</v>
      </c>
      <c r="K4473" s="5">
        <f>IF(H4473=0,"",J4473/H4473)</f>
        <v>0</v>
      </c>
      <c r="L4473">
        <f>IF(OR(AND(H4473=0,ABS(J4473)&gt;=0.01),AND(H4473&lt;&gt;0,ABS(K4473)&gt;VarianceThreshold)),"Review","OK")</f>
        <v>0</v>
      </c>
      <c r="M4473" t="s">
        <v>33</v>
      </c>
    </row>
    <row r="4474" spans="1:13">
      <c r="A4474" t="s">
        <v>7</v>
      </c>
      <c r="B4474" t="s">
        <v>205</v>
      </c>
      <c r="C4474" t="s">
        <v>3368</v>
      </c>
      <c r="D4474" t="s">
        <v>2956</v>
      </c>
      <c r="E4474" cm="1">
        <f t="array" ref="E4474">_xlfn.XLOOKUP(D4474,SKU_Master!A:A,SKU_Master!B:B,"Not on master")</f>
        <v>0</v>
      </c>
      <c r="F4474" cm="1">
        <f t="array" ref="F4474">_xlfn.XLOOKUP(C4474,Account_Master!A:A,Account_Master!B:B,"Not on master")</f>
        <v>0</v>
      </c>
      <c r="G4474" cm="1">
        <f t="array" ref="G4474">_xlfn.XLOOKUP(C4474,Account_Master!A:A,Account_Master!C:C,"Not on master")</f>
        <v>0</v>
      </c>
      <c r="H4474" s="6">
        <v>3</v>
      </c>
      <c r="I4474" s="6">
        <v>2.4</v>
      </c>
      <c r="J4474" s="6">
        <f>I4474-H4474</f>
        <v>0</v>
      </c>
      <c r="K4474" s="5">
        <f>IF(H4474=0,"",J4474/H4474)</f>
        <v>0</v>
      </c>
      <c r="L4474">
        <f>IF(OR(AND(H4474=0,ABS(J4474)&gt;=0.01),AND(H4474&lt;&gt;0,ABS(K4474)&gt;VarianceThreshold)),"Review","OK")</f>
        <v>0</v>
      </c>
      <c r="M4474" t="s">
        <v>3038</v>
      </c>
    </row>
    <row r="4475" spans="1:13">
      <c r="A4475" t="s">
        <v>7</v>
      </c>
      <c r="B4475" t="s">
        <v>205</v>
      </c>
      <c r="C4475" t="s">
        <v>3393</v>
      </c>
      <c r="D4475" t="s">
        <v>3057</v>
      </c>
      <c r="E4475" cm="1">
        <f t="array" ref="E4475">_xlfn.XLOOKUP(D4475,SKU_Master!A:A,SKU_Master!B:B,"Not on master")</f>
        <v>0</v>
      </c>
      <c r="F4475" cm="1">
        <f t="array" ref="F4475">_xlfn.XLOOKUP(C4475,Account_Master!A:A,Account_Master!B:B,"Not on master")</f>
        <v>0</v>
      </c>
      <c r="G4475" cm="1">
        <f t="array" ref="G4475">_xlfn.XLOOKUP(C4475,Account_Master!A:A,Account_Master!C:C,"Not on master")</f>
        <v>0</v>
      </c>
      <c r="H4475" s="6">
        <v>10.5</v>
      </c>
      <c r="I4475" s="6">
        <v>10.5</v>
      </c>
      <c r="J4475" s="6">
        <f>I4475-H4475</f>
        <v>0</v>
      </c>
      <c r="K4475" s="5">
        <f>IF(H4475=0,"",J4475/H4475)</f>
        <v>0</v>
      </c>
      <c r="L4475">
        <f>IF(OR(AND(H4475=0,ABS(J4475)&gt;=0.01),AND(H4475&lt;&gt;0,ABS(K4475)&gt;VarianceThreshold)),"Review","OK")</f>
        <v>0</v>
      </c>
      <c r="M4475" t="s">
        <v>33</v>
      </c>
    </row>
    <row r="4476" spans="1:13">
      <c r="A4476" t="s">
        <v>7</v>
      </c>
      <c r="B4476" t="s">
        <v>205</v>
      </c>
      <c r="C4476" t="s">
        <v>33</v>
      </c>
      <c r="D4476" t="s">
        <v>3426</v>
      </c>
      <c r="E4476" cm="1">
        <f t="array" ref="E4476">_xlfn.XLOOKUP(D4476,SKU_Master!A:A,SKU_Master!B:B,"Not on master")</f>
        <v>0</v>
      </c>
      <c r="F4476" cm="1">
        <f t="array" ref="F4476">_xlfn.XLOOKUP(C4476,Account_Master!A:A,Account_Master!B:B,"Not on master")</f>
        <v>0</v>
      </c>
      <c r="G4476" cm="1">
        <f t="array" ref="G4476">_xlfn.XLOOKUP(C4476,Account_Master!A:A,Account_Master!C:C,"Not on master")</f>
        <v>0</v>
      </c>
      <c r="H4476" s="6">
        <v>0</v>
      </c>
      <c r="I4476" s="6">
        <v>4.8</v>
      </c>
      <c r="J4476" s="6">
        <f>I4476-H4476</f>
        <v>0</v>
      </c>
      <c r="K4476" s="5">
        <f>IF(H4476=0,"",J4476/H4476)</f>
        <v>0</v>
      </c>
      <c r="L4476">
        <f>IF(OR(AND(H4476=0,ABS(J4476)&gt;=0.01),AND(H4476&lt;&gt;0,ABS(K4476)&gt;VarianceThreshold)),"Review","OK")</f>
        <v>0</v>
      </c>
      <c r="M4476" t="s">
        <v>3038</v>
      </c>
    </row>
    <row r="4477" spans="1:13">
      <c r="A4477" t="s">
        <v>7</v>
      </c>
      <c r="B4477" t="s">
        <v>216</v>
      </c>
      <c r="C4477" t="s">
        <v>3427</v>
      </c>
      <c r="D4477" t="s">
        <v>503</v>
      </c>
      <c r="E4477" cm="1">
        <f t="array" ref="E4477">_xlfn.XLOOKUP(D4477,SKU_Master!A:A,SKU_Master!B:B,"Not on master")</f>
        <v>0</v>
      </c>
      <c r="F4477" cm="1">
        <f t="array" ref="F4477">_xlfn.XLOOKUP(C4477,Account_Master!A:A,Account_Master!B:B,"Not on master")</f>
        <v>0</v>
      </c>
      <c r="G4477" cm="1">
        <f t="array" ref="G4477">_xlfn.XLOOKUP(C4477,Account_Master!A:A,Account_Master!C:C,"Not on master")</f>
        <v>0</v>
      </c>
      <c r="H4477" s="6">
        <v>81</v>
      </c>
      <c r="I4477" s="6">
        <v>81</v>
      </c>
      <c r="J4477" s="6">
        <f>I4477-H4477</f>
        <v>0</v>
      </c>
      <c r="K4477" s="5">
        <f>IF(H4477=0,"",J4477/H4477)</f>
        <v>0</v>
      </c>
      <c r="L4477">
        <f>IF(OR(AND(H4477=0,ABS(J4477)&gt;=0.01),AND(H4477&lt;&gt;0,ABS(K4477)&gt;VarianceThreshold)),"Review","OK")</f>
        <v>0</v>
      </c>
      <c r="M4477" t="s">
        <v>33</v>
      </c>
    </row>
    <row r="4478" spans="1:13">
      <c r="A4478" t="s">
        <v>7</v>
      </c>
      <c r="B4478" t="s">
        <v>216</v>
      </c>
      <c r="C4478" t="s">
        <v>3428</v>
      </c>
      <c r="D4478" t="s">
        <v>2516</v>
      </c>
      <c r="E4478" cm="1">
        <f t="array" ref="E4478">_xlfn.XLOOKUP(D4478,SKU_Master!A:A,SKU_Master!B:B,"Not on master")</f>
        <v>0</v>
      </c>
      <c r="F4478" cm="1">
        <f t="array" ref="F4478">_xlfn.XLOOKUP(C4478,Account_Master!A:A,Account_Master!B:B,"Not on master")</f>
        <v>0</v>
      </c>
      <c r="G4478" cm="1">
        <f t="array" ref="G4478">_xlfn.XLOOKUP(C4478,Account_Master!A:A,Account_Master!C:C,"Not on master")</f>
        <v>0</v>
      </c>
      <c r="H4478" s="6">
        <v>15.37</v>
      </c>
      <c r="I4478" s="6">
        <v>15.37</v>
      </c>
      <c r="J4478" s="6">
        <f>I4478-H4478</f>
        <v>0</v>
      </c>
      <c r="K4478" s="5">
        <f>IF(H4478=0,"",J4478/H4478)</f>
        <v>0</v>
      </c>
      <c r="L4478">
        <f>IF(OR(AND(H4478=0,ABS(J4478)&gt;=0.01),AND(H4478&lt;&gt;0,ABS(K4478)&gt;VarianceThreshold)),"Review","OK")</f>
        <v>0</v>
      </c>
      <c r="M4478" t="s">
        <v>33</v>
      </c>
    </row>
    <row r="4479" spans="1:13">
      <c r="A4479" t="s">
        <v>7</v>
      </c>
      <c r="B4479" t="s">
        <v>216</v>
      </c>
      <c r="C4479" t="s">
        <v>3357</v>
      </c>
      <c r="D4479" t="s">
        <v>561</v>
      </c>
      <c r="E4479" cm="1">
        <f t="array" ref="E4479">_xlfn.XLOOKUP(D4479,SKU_Master!A:A,SKU_Master!B:B,"Not on master")</f>
        <v>0</v>
      </c>
      <c r="F4479" cm="1">
        <f t="array" ref="F4479">_xlfn.XLOOKUP(C4479,Account_Master!A:A,Account_Master!B:B,"Not on master")</f>
        <v>0</v>
      </c>
      <c r="G4479" cm="1">
        <f t="array" ref="G4479">_xlfn.XLOOKUP(C4479,Account_Master!A:A,Account_Master!C:C,"Not on master")</f>
        <v>0</v>
      </c>
      <c r="H4479" s="6">
        <v>24.5</v>
      </c>
      <c r="I4479" s="6">
        <v>24.5</v>
      </c>
      <c r="J4479" s="6">
        <f>I4479-H4479</f>
        <v>0</v>
      </c>
      <c r="K4479" s="5">
        <f>IF(H4479=0,"",J4479/H4479)</f>
        <v>0</v>
      </c>
      <c r="L4479">
        <f>IF(OR(AND(H4479=0,ABS(J4479)&gt;=0.01),AND(H4479&lt;&gt;0,ABS(K4479)&gt;VarianceThreshold)),"Review","OK")</f>
        <v>0</v>
      </c>
      <c r="M4479" t="s">
        <v>33</v>
      </c>
    </row>
    <row r="4480" spans="1:13">
      <c r="A4480" t="s">
        <v>7</v>
      </c>
      <c r="B4480" t="s">
        <v>216</v>
      </c>
      <c r="C4480" t="s">
        <v>3397</v>
      </c>
      <c r="D4480" t="s">
        <v>1763</v>
      </c>
      <c r="E4480" cm="1">
        <f t="array" ref="E4480">_xlfn.XLOOKUP(D4480,SKU_Master!A:A,SKU_Master!B:B,"Not on master")</f>
        <v>0</v>
      </c>
      <c r="F4480" cm="1">
        <f t="array" ref="F4480">_xlfn.XLOOKUP(C4480,Account_Master!A:A,Account_Master!B:B,"Not on master")</f>
        <v>0</v>
      </c>
      <c r="G4480" cm="1">
        <f t="array" ref="G4480">_xlfn.XLOOKUP(C4480,Account_Master!A:A,Account_Master!C:C,"Not on master")</f>
        <v>0</v>
      </c>
      <c r="H4480" s="6">
        <v>27</v>
      </c>
      <c r="I4480" s="6">
        <v>27</v>
      </c>
      <c r="J4480" s="6">
        <f>I4480-H4480</f>
        <v>0</v>
      </c>
      <c r="K4480" s="5">
        <f>IF(H4480=0,"",J4480/H4480)</f>
        <v>0</v>
      </c>
      <c r="L4480">
        <f>IF(OR(AND(H4480=0,ABS(J4480)&gt;=0.01),AND(H4480&lt;&gt;0,ABS(K4480)&gt;VarianceThreshold)),"Review","OK")</f>
        <v>0</v>
      </c>
      <c r="M4480" t="s">
        <v>33</v>
      </c>
    </row>
    <row r="4481" spans="1:13">
      <c r="A4481" t="s">
        <v>7</v>
      </c>
      <c r="B4481" t="s">
        <v>216</v>
      </c>
      <c r="C4481" t="s">
        <v>3429</v>
      </c>
      <c r="D4481" t="s">
        <v>3430</v>
      </c>
      <c r="E4481" cm="1">
        <f t="array" ref="E4481">_xlfn.XLOOKUP(D4481,SKU_Master!A:A,SKU_Master!B:B,"Not on master")</f>
        <v>0</v>
      </c>
      <c r="F4481" cm="1">
        <f t="array" ref="F4481">_xlfn.XLOOKUP(C4481,Account_Master!A:A,Account_Master!B:B,"Not on master")</f>
        <v>0</v>
      </c>
      <c r="G4481" cm="1">
        <f t="array" ref="G4481">_xlfn.XLOOKUP(C4481,Account_Master!A:A,Account_Master!C:C,"Not on master")</f>
        <v>0</v>
      </c>
      <c r="H4481" s="6">
        <v>1.5</v>
      </c>
      <c r="I4481" s="6">
        <v>1.5</v>
      </c>
      <c r="J4481" s="6">
        <f>I4481-H4481</f>
        <v>0</v>
      </c>
      <c r="K4481" s="5">
        <f>IF(H4481=0,"",J4481/H4481)</f>
        <v>0</v>
      </c>
      <c r="L4481">
        <f>IF(OR(AND(H4481=0,ABS(J4481)&gt;=0.01),AND(H4481&lt;&gt;0,ABS(K4481)&gt;VarianceThreshold)),"Review","OK")</f>
        <v>0</v>
      </c>
      <c r="M4481" t="s">
        <v>33</v>
      </c>
    </row>
    <row r="4482" spans="1:13">
      <c r="A4482" t="s">
        <v>7</v>
      </c>
      <c r="B4482" t="s">
        <v>216</v>
      </c>
      <c r="C4482" t="s">
        <v>3431</v>
      </c>
      <c r="D4482" t="s">
        <v>2625</v>
      </c>
      <c r="E4482" cm="1">
        <f t="array" ref="E4482">_xlfn.XLOOKUP(D4482,SKU_Master!A:A,SKU_Master!B:B,"Not on master")</f>
        <v>0</v>
      </c>
      <c r="F4482" cm="1">
        <f t="array" ref="F4482">_xlfn.XLOOKUP(C4482,Account_Master!A:A,Account_Master!B:B,"Not on master")</f>
        <v>0</v>
      </c>
      <c r="G4482" cm="1">
        <f t="array" ref="G4482">_xlfn.XLOOKUP(C4482,Account_Master!A:A,Account_Master!C:C,"Not on master")</f>
        <v>0</v>
      </c>
      <c r="H4482" s="6">
        <v>0.75</v>
      </c>
      <c r="I4482" s="6">
        <v>0.75</v>
      </c>
      <c r="J4482" s="6">
        <f>I4482-H4482</f>
        <v>0</v>
      </c>
      <c r="K4482" s="5">
        <f>IF(H4482=0,"",J4482/H4482)</f>
        <v>0</v>
      </c>
      <c r="L4482">
        <f>IF(OR(AND(H4482=0,ABS(J4482)&gt;=0.01),AND(H4482&lt;&gt;0,ABS(K4482)&gt;VarianceThreshold)),"Review","OK")</f>
        <v>0</v>
      </c>
      <c r="M4482" t="s">
        <v>33</v>
      </c>
    </row>
    <row r="4483" spans="1:13">
      <c r="A4483" t="s">
        <v>7</v>
      </c>
      <c r="B4483" t="s">
        <v>226</v>
      </c>
      <c r="C4483" t="s">
        <v>3432</v>
      </c>
      <c r="D4483" t="s">
        <v>419</v>
      </c>
      <c r="E4483" cm="1">
        <f t="array" ref="E4483">_xlfn.XLOOKUP(D4483,SKU_Master!A:A,SKU_Master!B:B,"Not on master")</f>
        <v>0</v>
      </c>
      <c r="F4483" cm="1">
        <f t="array" ref="F4483">_xlfn.XLOOKUP(C4483,Account_Master!A:A,Account_Master!B:B,"Not on master")</f>
        <v>0</v>
      </c>
      <c r="G4483" cm="1">
        <f t="array" ref="G4483">_xlfn.XLOOKUP(C4483,Account_Master!A:A,Account_Master!C:C,"Not on master")</f>
        <v>0</v>
      </c>
      <c r="H4483" s="6">
        <v>1.05</v>
      </c>
      <c r="I4483" s="6">
        <v>1.05</v>
      </c>
      <c r="J4483" s="6">
        <f>I4483-H4483</f>
        <v>0</v>
      </c>
      <c r="K4483" s="5">
        <f>IF(H4483=0,"",J4483/H4483)</f>
        <v>0</v>
      </c>
      <c r="L4483">
        <f>IF(OR(AND(H4483=0,ABS(J4483)&gt;=0.01),AND(H4483&lt;&gt;0,ABS(K4483)&gt;VarianceThreshold)),"Review","OK")</f>
        <v>0</v>
      </c>
      <c r="M4483" t="s">
        <v>33</v>
      </c>
    </row>
    <row r="4484" spans="1:13">
      <c r="A4484" t="s">
        <v>7</v>
      </c>
      <c r="B4484" t="s">
        <v>226</v>
      </c>
      <c r="C4484" t="s">
        <v>3433</v>
      </c>
      <c r="D4484" t="s">
        <v>2000</v>
      </c>
      <c r="E4484" cm="1">
        <f t="array" ref="E4484">_xlfn.XLOOKUP(D4484,SKU_Master!A:A,SKU_Master!B:B,"Not on master")</f>
        <v>0</v>
      </c>
      <c r="F4484" cm="1">
        <f t="array" ref="F4484">_xlfn.XLOOKUP(C4484,Account_Master!A:A,Account_Master!B:B,"Not on master")</f>
        <v>0</v>
      </c>
      <c r="G4484" cm="1">
        <f t="array" ref="G4484">_xlfn.XLOOKUP(C4484,Account_Master!A:A,Account_Master!C:C,"Not on master")</f>
        <v>0</v>
      </c>
      <c r="H4484" s="6">
        <v>4.5</v>
      </c>
      <c r="I4484" s="6">
        <v>4.5</v>
      </c>
      <c r="J4484" s="6">
        <f>I4484-H4484</f>
        <v>0</v>
      </c>
      <c r="K4484" s="5">
        <f>IF(H4484=0,"",J4484/H4484)</f>
        <v>0</v>
      </c>
      <c r="L4484">
        <f>IF(OR(AND(H4484=0,ABS(J4484)&gt;=0.01),AND(H4484&lt;&gt;0,ABS(K4484)&gt;VarianceThreshold)),"Review","OK")</f>
        <v>0</v>
      </c>
      <c r="M4484" t="s">
        <v>33</v>
      </c>
    </row>
    <row r="4485" spans="1:13">
      <c r="A4485" t="s">
        <v>7</v>
      </c>
      <c r="B4485" t="s">
        <v>226</v>
      </c>
      <c r="C4485" t="s">
        <v>3393</v>
      </c>
      <c r="D4485" t="s">
        <v>1990</v>
      </c>
      <c r="E4485" cm="1">
        <f t="array" ref="E4485">_xlfn.XLOOKUP(D4485,SKU_Master!A:A,SKU_Master!B:B,"Not on master")</f>
        <v>0</v>
      </c>
      <c r="F4485" cm="1">
        <f t="array" ref="F4485">_xlfn.XLOOKUP(C4485,Account_Master!A:A,Account_Master!B:B,"Not on master")</f>
        <v>0</v>
      </c>
      <c r="G4485" cm="1">
        <f t="array" ref="G4485">_xlfn.XLOOKUP(C4485,Account_Master!A:A,Account_Master!C:C,"Not on master")</f>
        <v>0</v>
      </c>
      <c r="H4485" s="6">
        <v>7.5</v>
      </c>
      <c r="I4485" s="6">
        <v>7.5</v>
      </c>
      <c r="J4485" s="6">
        <f>I4485-H4485</f>
        <v>0</v>
      </c>
      <c r="K4485" s="5">
        <f>IF(H4485=0,"",J4485/H4485)</f>
        <v>0</v>
      </c>
      <c r="L4485">
        <f>IF(OR(AND(H4485=0,ABS(J4485)&gt;=0.01),AND(H4485&lt;&gt;0,ABS(K4485)&gt;VarianceThreshold)),"Review","OK")</f>
        <v>0</v>
      </c>
      <c r="M4485" t="s">
        <v>33</v>
      </c>
    </row>
    <row r="4486" spans="1:13">
      <c r="A4486" t="s">
        <v>7</v>
      </c>
      <c r="B4486" t="s">
        <v>226</v>
      </c>
      <c r="C4486" t="s">
        <v>38</v>
      </c>
      <c r="D4486" t="s">
        <v>983</v>
      </c>
      <c r="E4486" cm="1">
        <f t="array" ref="E4486">_xlfn.XLOOKUP(D4486,SKU_Master!A:A,SKU_Master!B:B,"Not on master")</f>
        <v>0</v>
      </c>
      <c r="F4486" cm="1">
        <f t="array" ref="F4486">_xlfn.XLOOKUP(C4486,Account_Master!A:A,Account_Master!B:B,"Not on master")</f>
        <v>0</v>
      </c>
      <c r="G4486" cm="1">
        <f t="array" ref="G4486">_xlfn.XLOOKUP(C4486,Account_Master!A:A,Account_Master!C:C,"Not on master")</f>
        <v>0</v>
      </c>
      <c r="H4486" s="6">
        <v>0.75</v>
      </c>
      <c r="I4486" s="6">
        <v>0.75</v>
      </c>
      <c r="J4486" s="6">
        <f>I4486-H4486</f>
        <v>0</v>
      </c>
      <c r="K4486" s="5">
        <f>IF(H4486=0,"",J4486/H4486)</f>
        <v>0</v>
      </c>
      <c r="L4486">
        <f>IF(OR(AND(H4486=0,ABS(J4486)&gt;=0.01),AND(H4486&lt;&gt;0,ABS(K4486)&gt;VarianceThreshold)),"Review","OK")</f>
        <v>0</v>
      </c>
      <c r="M4486" t="s">
        <v>33</v>
      </c>
    </row>
    <row r="4487" spans="1:13">
      <c r="A4487" t="s">
        <v>7</v>
      </c>
      <c r="B4487" t="s">
        <v>226</v>
      </c>
      <c r="C4487" t="s">
        <v>3355</v>
      </c>
      <c r="D4487" t="s">
        <v>2250</v>
      </c>
      <c r="E4487" cm="1">
        <f t="array" ref="E4487">_xlfn.XLOOKUP(D4487,SKU_Master!A:A,SKU_Master!B:B,"Not on master")</f>
        <v>0</v>
      </c>
      <c r="F4487" cm="1">
        <f t="array" ref="F4487">_xlfn.XLOOKUP(C4487,Account_Master!A:A,Account_Master!B:B,"Not on master")</f>
        <v>0</v>
      </c>
      <c r="G4487" cm="1">
        <f t="array" ref="G4487">_xlfn.XLOOKUP(C4487,Account_Master!A:A,Account_Master!C:C,"Not on master")</f>
        <v>0</v>
      </c>
      <c r="H4487" s="6">
        <v>14.25</v>
      </c>
      <c r="I4487" s="6">
        <v>14.25</v>
      </c>
      <c r="J4487" s="6">
        <f>I4487-H4487</f>
        <v>0</v>
      </c>
      <c r="K4487" s="5">
        <f>IF(H4487=0,"",J4487/H4487)</f>
        <v>0</v>
      </c>
      <c r="L4487">
        <f>IF(OR(AND(H4487=0,ABS(J4487)&gt;=0.01),AND(H4487&lt;&gt;0,ABS(K4487)&gt;VarianceThreshold)),"Review","OK")</f>
        <v>0</v>
      </c>
      <c r="M4487" t="s">
        <v>33</v>
      </c>
    </row>
    <row r="4488" spans="1:13">
      <c r="A4488" t="s">
        <v>7</v>
      </c>
      <c r="B4488" t="s">
        <v>226</v>
      </c>
      <c r="C4488" t="s">
        <v>3369</v>
      </c>
      <c r="D4488" t="s">
        <v>2988</v>
      </c>
      <c r="E4488" cm="1">
        <f t="array" ref="E4488">_xlfn.XLOOKUP(D4488,SKU_Master!A:A,SKU_Master!B:B,"Not on master")</f>
        <v>0</v>
      </c>
      <c r="F4488" cm="1">
        <f t="array" ref="F4488">_xlfn.XLOOKUP(C4488,Account_Master!A:A,Account_Master!B:B,"Not on master")</f>
        <v>0</v>
      </c>
      <c r="G4488" cm="1">
        <f t="array" ref="G4488">_xlfn.XLOOKUP(C4488,Account_Master!A:A,Account_Master!C:C,"Not on master")</f>
        <v>0</v>
      </c>
      <c r="H4488" s="6">
        <v>10.5</v>
      </c>
      <c r="I4488" s="6">
        <v>10.5</v>
      </c>
      <c r="J4488" s="6">
        <f>I4488-H4488</f>
        <v>0</v>
      </c>
      <c r="K4488" s="5">
        <f>IF(H4488=0,"",J4488/H4488)</f>
        <v>0</v>
      </c>
      <c r="L4488">
        <f>IF(OR(AND(H4488=0,ABS(J4488)&gt;=0.01),AND(H4488&lt;&gt;0,ABS(K4488)&gt;VarianceThreshold)),"Review","OK")</f>
        <v>0</v>
      </c>
      <c r="M4488" t="s">
        <v>33</v>
      </c>
    </row>
    <row r="4489" spans="1:13">
      <c r="A4489" t="s">
        <v>7</v>
      </c>
      <c r="B4489" t="s">
        <v>226</v>
      </c>
      <c r="C4489" t="s">
        <v>3434</v>
      </c>
      <c r="D4489" t="s">
        <v>1596</v>
      </c>
      <c r="E4489" cm="1">
        <f t="array" ref="E4489">_xlfn.XLOOKUP(D4489,SKU_Master!A:A,SKU_Master!B:B,"Not on master")</f>
        <v>0</v>
      </c>
      <c r="F4489" cm="1">
        <f t="array" ref="F4489">_xlfn.XLOOKUP(C4489,Account_Master!A:A,Account_Master!B:B,"Not on master")</f>
        <v>0</v>
      </c>
      <c r="G4489" cm="1">
        <f t="array" ref="G4489">_xlfn.XLOOKUP(C4489,Account_Master!A:A,Account_Master!C:C,"Not on master")</f>
        <v>0</v>
      </c>
      <c r="H4489" s="6">
        <v>0.85</v>
      </c>
      <c r="I4489" s="6">
        <v>0.8</v>
      </c>
      <c r="J4489" s="6">
        <f>I4489-H4489</f>
        <v>0</v>
      </c>
      <c r="K4489" s="5">
        <f>IF(H4489=0,"",J4489/H4489)</f>
        <v>0</v>
      </c>
      <c r="L4489">
        <f>IF(OR(AND(H4489=0,ABS(J4489)&gt;=0.01),AND(H4489&lt;&gt;0,ABS(K4489)&gt;VarianceThreshold)),"Review","OK")</f>
        <v>0</v>
      </c>
      <c r="M4489" t="s">
        <v>3038</v>
      </c>
    </row>
    <row r="4490" spans="1:13">
      <c r="A4490" t="s">
        <v>7</v>
      </c>
      <c r="B4490" t="s">
        <v>226</v>
      </c>
      <c r="C4490" t="s">
        <v>3358</v>
      </c>
      <c r="D4490" t="s">
        <v>1538</v>
      </c>
      <c r="E4490" cm="1">
        <f t="array" ref="E4490">_xlfn.XLOOKUP(D4490,SKU_Master!A:A,SKU_Master!B:B,"Not on master")</f>
        <v>0</v>
      </c>
      <c r="F4490" cm="1">
        <f t="array" ref="F4490">_xlfn.XLOOKUP(C4490,Account_Master!A:A,Account_Master!B:B,"Not on master")</f>
        <v>0</v>
      </c>
      <c r="G4490" cm="1">
        <f t="array" ref="G4490">_xlfn.XLOOKUP(C4490,Account_Master!A:A,Account_Master!C:C,"Not on master")</f>
        <v>0</v>
      </c>
      <c r="H4490" s="6">
        <v>2.25</v>
      </c>
      <c r="I4490" s="6">
        <v>2.25</v>
      </c>
      <c r="J4490" s="6">
        <f>I4490-H4490</f>
        <v>0</v>
      </c>
      <c r="K4490" s="5">
        <f>IF(H4490=0,"",J4490/H4490)</f>
        <v>0</v>
      </c>
      <c r="L4490">
        <f>IF(OR(AND(H4490=0,ABS(J4490)&gt;=0.01),AND(H4490&lt;&gt;0,ABS(K4490)&gt;VarianceThreshold)),"Review","OK")</f>
        <v>0</v>
      </c>
      <c r="M4490" t="s">
        <v>33</v>
      </c>
    </row>
    <row r="4491" spans="1:13">
      <c r="A4491" t="s">
        <v>7</v>
      </c>
      <c r="B4491" t="s">
        <v>231</v>
      </c>
      <c r="C4491" t="s">
        <v>3435</v>
      </c>
      <c r="D4491" t="s">
        <v>3436</v>
      </c>
      <c r="E4491" cm="1">
        <f t="array" ref="E4491">_xlfn.XLOOKUP(D4491,SKU_Master!A:A,SKU_Master!B:B,"Not on master")</f>
        <v>0</v>
      </c>
      <c r="F4491" cm="1">
        <f t="array" ref="F4491">_xlfn.XLOOKUP(C4491,Account_Master!A:A,Account_Master!B:B,"Not on master")</f>
        <v>0</v>
      </c>
      <c r="G4491" cm="1">
        <f t="array" ref="G4491">_xlfn.XLOOKUP(C4491,Account_Master!A:A,Account_Master!C:C,"Not on master")</f>
        <v>0</v>
      </c>
      <c r="H4491" s="6">
        <v>0.75</v>
      </c>
      <c r="I4491" s="6">
        <v>0.75</v>
      </c>
      <c r="J4491" s="6">
        <f>I4491-H4491</f>
        <v>0</v>
      </c>
      <c r="K4491" s="5">
        <f>IF(H4491=0,"",J4491/H4491)</f>
        <v>0</v>
      </c>
      <c r="L4491">
        <f>IF(OR(AND(H4491=0,ABS(J4491)&gt;=0.01),AND(H4491&lt;&gt;0,ABS(K4491)&gt;VarianceThreshold)),"Review","OK")</f>
        <v>0</v>
      </c>
      <c r="M4491" t="s">
        <v>33</v>
      </c>
    </row>
    <row r="4492" spans="1:13">
      <c r="A4492" t="s">
        <v>7</v>
      </c>
      <c r="B4492" t="s">
        <v>231</v>
      </c>
      <c r="C4492" t="s">
        <v>3358</v>
      </c>
      <c r="D4492" t="s">
        <v>2675</v>
      </c>
      <c r="E4492" cm="1">
        <f t="array" ref="E4492">_xlfn.XLOOKUP(D4492,SKU_Master!A:A,SKU_Master!B:B,"Not on master")</f>
        <v>0</v>
      </c>
      <c r="F4492" cm="1">
        <f t="array" ref="F4492">_xlfn.XLOOKUP(C4492,Account_Master!A:A,Account_Master!B:B,"Not on master")</f>
        <v>0</v>
      </c>
      <c r="G4492" cm="1">
        <f t="array" ref="G4492">_xlfn.XLOOKUP(C4492,Account_Master!A:A,Account_Master!C:C,"Not on master")</f>
        <v>0</v>
      </c>
      <c r="H4492" s="6">
        <v>4.5</v>
      </c>
      <c r="I4492" s="6">
        <v>4.5</v>
      </c>
      <c r="J4492" s="6">
        <f>I4492-H4492</f>
        <v>0</v>
      </c>
      <c r="K4492" s="5">
        <f>IF(H4492=0,"",J4492/H4492)</f>
        <v>0</v>
      </c>
      <c r="L4492">
        <f>IF(OR(AND(H4492=0,ABS(J4492)&gt;=0.01),AND(H4492&lt;&gt;0,ABS(K4492)&gt;VarianceThreshold)),"Review","OK")</f>
        <v>0</v>
      </c>
      <c r="M4492" t="s">
        <v>33</v>
      </c>
    </row>
    <row r="4493" spans="1:13">
      <c r="A4493" t="s">
        <v>7</v>
      </c>
      <c r="B4493" t="s">
        <v>231</v>
      </c>
      <c r="C4493" t="s">
        <v>3408</v>
      </c>
      <c r="D4493" t="s">
        <v>3437</v>
      </c>
      <c r="E4493" cm="1">
        <f t="array" ref="E4493">_xlfn.XLOOKUP(D4493,SKU_Master!A:A,SKU_Master!B:B,"Not on master")</f>
        <v>0</v>
      </c>
      <c r="F4493" cm="1">
        <f t="array" ref="F4493">_xlfn.XLOOKUP(C4493,Account_Master!A:A,Account_Master!B:B,"Not on master")</f>
        <v>0</v>
      </c>
      <c r="G4493" cm="1">
        <f t="array" ref="G4493">_xlfn.XLOOKUP(C4493,Account_Master!A:A,Account_Master!C:C,"Not on master")</f>
        <v>0</v>
      </c>
      <c r="H4493" s="6">
        <v>9</v>
      </c>
      <c r="I4493" s="6">
        <v>9</v>
      </c>
      <c r="J4493" s="6">
        <f>I4493-H4493</f>
        <v>0</v>
      </c>
      <c r="K4493" s="5">
        <f>IF(H4493=0,"",J4493/H4493)</f>
        <v>0</v>
      </c>
      <c r="L4493">
        <f>IF(OR(AND(H4493=0,ABS(J4493)&gt;=0.01),AND(H4493&lt;&gt;0,ABS(K4493)&gt;VarianceThreshold)),"Review","OK")</f>
        <v>0</v>
      </c>
      <c r="M4493" t="s">
        <v>33</v>
      </c>
    </row>
    <row r="4494" spans="1:13">
      <c r="A4494" t="s">
        <v>7</v>
      </c>
      <c r="B4494" t="s">
        <v>231</v>
      </c>
      <c r="C4494" t="s">
        <v>33</v>
      </c>
      <c r="D4494" t="s">
        <v>3438</v>
      </c>
      <c r="E4494" cm="1">
        <f t="array" ref="E4494">_xlfn.XLOOKUP(D4494,SKU_Master!A:A,SKU_Master!B:B,"Not on master")</f>
        <v>0</v>
      </c>
      <c r="F4494" cm="1">
        <f t="array" ref="F4494">_xlfn.XLOOKUP(C4494,Account_Master!A:A,Account_Master!B:B,"Not on master")</f>
        <v>0</v>
      </c>
      <c r="G4494" cm="1">
        <f t="array" ref="G4494">_xlfn.XLOOKUP(C4494,Account_Master!A:A,Account_Master!C:C,"Not on master")</f>
        <v>0</v>
      </c>
      <c r="H4494" s="6">
        <v>0</v>
      </c>
      <c r="I4494" s="6">
        <v>4.8</v>
      </c>
      <c r="J4494" s="6">
        <f>I4494-H4494</f>
        <v>0</v>
      </c>
      <c r="K4494" s="5">
        <f>IF(H4494=0,"",J4494/H4494)</f>
        <v>0</v>
      </c>
      <c r="L4494">
        <f>IF(OR(AND(H4494=0,ABS(J4494)&gt;=0.01),AND(H4494&lt;&gt;0,ABS(K4494)&gt;VarianceThreshold)),"Review","OK")</f>
        <v>0</v>
      </c>
      <c r="M4494" t="s">
        <v>3038</v>
      </c>
    </row>
    <row r="4495" spans="1:13">
      <c r="A4495" t="s">
        <v>7</v>
      </c>
      <c r="B4495" t="s">
        <v>238</v>
      </c>
      <c r="C4495" t="s">
        <v>3439</v>
      </c>
      <c r="D4495" t="s">
        <v>487</v>
      </c>
      <c r="E4495" cm="1">
        <f t="array" ref="E4495">_xlfn.XLOOKUP(D4495,SKU_Master!A:A,SKU_Master!B:B,"Not on master")</f>
        <v>0</v>
      </c>
      <c r="F4495" cm="1">
        <f t="array" ref="F4495">_xlfn.XLOOKUP(C4495,Account_Master!A:A,Account_Master!B:B,"Not on master")</f>
        <v>0</v>
      </c>
      <c r="G4495" cm="1">
        <f t="array" ref="G4495">_xlfn.XLOOKUP(C4495,Account_Master!A:A,Account_Master!C:C,"Not on master")</f>
        <v>0</v>
      </c>
      <c r="H4495" s="6">
        <v>33</v>
      </c>
      <c r="I4495" s="6">
        <v>21.75</v>
      </c>
      <c r="J4495" s="6">
        <f>I4495-H4495</f>
        <v>0</v>
      </c>
      <c r="K4495" s="5">
        <f>IF(H4495=0,"",J4495/H4495)</f>
        <v>0</v>
      </c>
      <c r="L4495">
        <f>IF(OR(AND(H4495=0,ABS(J4495)&gt;=0.01),AND(H4495&lt;&gt;0,ABS(K4495)&gt;VarianceThreshold)),"Review","OK")</f>
        <v>0</v>
      </c>
      <c r="M4495" t="s">
        <v>3038</v>
      </c>
    </row>
    <row r="4496" spans="1:13">
      <c r="A4496" t="s">
        <v>7</v>
      </c>
      <c r="B4496" t="s">
        <v>238</v>
      </c>
      <c r="C4496" t="s">
        <v>3386</v>
      </c>
      <c r="D4496" t="s">
        <v>1095</v>
      </c>
      <c r="E4496" cm="1">
        <f t="array" ref="E4496">_xlfn.XLOOKUP(D4496,SKU_Master!A:A,SKU_Master!B:B,"Not on master")</f>
        <v>0</v>
      </c>
      <c r="F4496" cm="1">
        <f t="array" ref="F4496">_xlfn.XLOOKUP(C4496,Account_Master!A:A,Account_Master!B:B,"Not on master")</f>
        <v>0</v>
      </c>
      <c r="G4496" cm="1">
        <f t="array" ref="G4496">_xlfn.XLOOKUP(C4496,Account_Master!A:A,Account_Master!C:C,"Not on master")</f>
        <v>0</v>
      </c>
      <c r="H4496" s="6">
        <v>31.5</v>
      </c>
      <c r="I4496" s="6">
        <v>31.5</v>
      </c>
      <c r="J4496" s="6">
        <f>I4496-H4496</f>
        <v>0</v>
      </c>
      <c r="K4496" s="5">
        <f>IF(H4496=0,"",J4496/H4496)</f>
        <v>0</v>
      </c>
      <c r="L4496">
        <f>IF(OR(AND(H4496=0,ABS(J4496)&gt;=0.01),AND(H4496&lt;&gt;0,ABS(K4496)&gt;VarianceThreshold)),"Review","OK")</f>
        <v>0</v>
      </c>
      <c r="M4496" t="s">
        <v>33</v>
      </c>
    </row>
    <row r="4497" spans="1:13">
      <c r="A4497" t="s">
        <v>7</v>
      </c>
      <c r="B4497" t="s">
        <v>238</v>
      </c>
      <c r="C4497" t="s">
        <v>3440</v>
      </c>
      <c r="D4497" t="s">
        <v>3441</v>
      </c>
      <c r="E4497" cm="1">
        <f t="array" ref="E4497">_xlfn.XLOOKUP(D4497,SKU_Master!A:A,SKU_Master!B:B,"Not on master")</f>
        <v>0</v>
      </c>
      <c r="F4497" cm="1">
        <f t="array" ref="F4497">_xlfn.XLOOKUP(C4497,Account_Master!A:A,Account_Master!B:B,"Not on master")</f>
        <v>0</v>
      </c>
      <c r="G4497" cm="1">
        <f t="array" ref="G4497">_xlfn.XLOOKUP(C4497,Account_Master!A:A,Account_Master!C:C,"Not on master")</f>
        <v>0</v>
      </c>
      <c r="H4497" s="6">
        <v>0.15</v>
      </c>
      <c r="I4497" s="6">
        <v>0.15</v>
      </c>
      <c r="J4497" s="6">
        <f>I4497-H4497</f>
        <v>0</v>
      </c>
      <c r="K4497" s="5">
        <f>IF(H4497=0,"",J4497/H4497)</f>
        <v>0</v>
      </c>
      <c r="L4497">
        <f>IF(OR(AND(H4497=0,ABS(J4497)&gt;=0.01),AND(H4497&lt;&gt;0,ABS(K4497)&gt;VarianceThreshold)),"Review","OK")</f>
        <v>0</v>
      </c>
      <c r="M4497" t="s">
        <v>33</v>
      </c>
    </row>
    <row r="4498" spans="1:13">
      <c r="A4498" t="s">
        <v>7</v>
      </c>
      <c r="B4498" t="s">
        <v>238</v>
      </c>
      <c r="C4498" t="s">
        <v>3368</v>
      </c>
      <c r="D4498" t="s">
        <v>2219</v>
      </c>
      <c r="E4498" cm="1">
        <f t="array" ref="E4498">_xlfn.XLOOKUP(D4498,SKU_Master!A:A,SKU_Master!B:B,"Not on master")</f>
        <v>0</v>
      </c>
      <c r="F4498" cm="1">
        <f t="array" ref="F4498">_xlfn.XLOOKUP(C4498,Account_Master!A:A,Account_Master!B:B,"Not on master")</f>
        <v>0</v>
      </c>
      <c r="G4498" cm="1">
        <f t="array" ref="G4498">_xlfn.XLOOKUP(C4498,Account_Master!A:A,Account_Master!C:C,"Not on master")</f>
        <v>0</v>
      </c>
      <c r="H4498" s="6">
        <v>15</v>
      </c>
      <c r="I4498" s="6">
        <v>15</v>
      </c>
      <c r="J4498" s="6">
        <f>I4498-H4498</f>
        <v>0</v>
      </c>
      <c r="K4498" s="5">
        <f>IF(H4498=0,"",J4498/H4498)</f>
        <v>0</v>
      </c>
      <c r="L4498">
        <f>IF(OR(AND(H4498=0,ABS(J4498)&gt;=0.01),AND(H4498&lt;&gt;0,ABS(K4498)&gt;VarianceThreshold)),"Review","OK")</f>
        <v>0</v>
      </c>
      <c r="M4498" t="s">
        <v>33</v>
      </c>
    </row>
    <row r="4499" spans="1:13">
      <c r="A4499" t="s">
        <v>7</v>
      </c>
      <c r="B4499" t="s">
        <v>238</v>
      </c>
      <c r="C4499" t="s">
        <v>3432</v>
      </c>
      <c r="D4499" t="s">
        <v>1129</v>
      </c>
      <c r="E4499" cm="1">
        <f t="array" ref="E4499">_xlfn.XLOOKUP(D4499,SKU_Master!A:A,SKU_Master!B:B,"Not on master")</f>
        <v>0</v>
      </c>
      <c r="F4499" cm="1">
        <f t="array" ref="F4499">_xlfn.XLOOKUP(C4499,Account_Master!A:A,Account_Master!B:B,"Not on master")</f>
        <v>0</v>
      </c>
      <c r="G4499" cm="1">
        <f t="array" ref="G4499">_xlfn.XLOOKUP(C4499,Account_Master!A:A,Account_Master!C:C,"Not on master")</f>
        <v>0</v>
      </c>
      <c r="H4499" s="6">
        <v>4.5</v>
      </c>
      <c r="I4499" s="6">
        <v>4.5</v>
      </c>
      <c r="J4499" s="6">
        <f>I4499-H4499</f>
        <v>0</v>
      </c>
      <c r="K4499" s="5">
        <f>IF(H4499=0,"",J4499/H4499)</f>
        <v>0</v>
      </c>
      <c r="L4499">
        <f>IF(OR(AND(H4499=0,ABS(J4499)&gt;=0.01),AND(H4499&lt;&gt;0,ABS(K4499)&gt;VarianceThreshold)),"Review","OK")</f>
        <v>0</v>
      </c>
      <c r="M4499" t="s">
        <v>33</v>
      </c>
    </row>
    <row r="4500" spans="1:13">
      <c r="A4500" t="s">
        <v>7</v>
      </c>
      <c r="B4500" t="s">
        <v>251</v>
      </c>
      <c r="C4500" t="s">
        <v>3369</v>
      </c>
      <c r="D4500" t="s">
        <v>530</v>
      </c>
      <c r="E4500" cm="1">
        <f t="array" ref="E4500">_xlfn.XLOOKUP(D4500,SKU_Master!A:A,SKU_Master!B:B,"Not on master")</f>
        <v>0</v>
      </c>
      <c r="F4500" cm="1">
        <f t="array" ref="F4500">_xlfn.XLOOKUP(C4500,Account_Master!A:A,Account_Master!B:B,"Not on master")</f>
        <v>0</v>
      </c>
      <c r="G4500" cm="1">
        <f t="array" ref="G4500">_xlfn.XLOOKUP(C4500,Account_Master!A:A,Account_Master!C:C,"Not on master")</f>
        <v>0</v>
      </c>
      <c r="H4500" s="6">
        <v>280.5</v>
      </c>
      <c r="I4500" s="6">
        <v>271.5</v>
      </c>
      <c r="J4500" s="6">
        <f>I4500-H4500</f>
        <v>0</v>
      </c>
      <c r="K4500" s="5">
        <f>IF(H4500=0,"",J4500/H4500)</f>
        <v>0</v>
      </c>
      <c r="L4500">
        <f>IF(OR(AND(H4500=0,ABS(J4500)&gt;=0.01),AND(H4500&lt;&gt;0,ABS(K4500)&gt;VarianceThreshold)),"Review","OK")</f>
        <v>0</v>
      </c>
      <c r="M4500" t="s">
        <v>33</v>
      </c>
    </row>
    <row r="4501" spans="1:13">
      <c r="A4501" t="s">
        <v>7</v>
      </c>
      <c r="B4501" t="s">
        <v>251</v>
      </c>
      <c r="C4501" t="s">
        <v>3393</v>
      </c>
      <c r="D4501" t="s">
        <v>291</v>
      </c>
      <c r="E4501" cm="1">
        <f t="array" ref="E4501">_xlfn.XLOOKUP(D4501,SKU_Master!A:A,SKU_Master!B:B,"Not on master")</f>
        <v>0</v>
      </c>
      <c r="F4501" cm="1">
        <f t="array" ref="F4501">_xlfn.XLOOKUP(C4501,Account_Master!A:A,Account_Master!B:B,"Not on master")</f>
        <v>0</v>
      </c>
      <c r="G4501" cm="1">
        <f t="array" ref="G4501">_xlfn.XLOOKUP(C4501,Account_Master!A:A,Account_Master!C:C,"Not on master")</f>
        <v>0</v>
      </c>
      <c r="H4501" s="6">
        <v>4.5</v>
      </c>
      <c r="I4501" s="6">
        <v>4.5</v>
      </c>
      <c r="J4501" s="6">
        <f>I4501-H4501</f>
        <v>0</v>
      </c>
      <c r="K4501" s="5">
        <f>IF(H4501=0,"",J4501/H4501)</f>
        <v>0</v>
      </c>
      <c r="L4501">
        <f>IF(OR(AND(H4501=0,ABS(J4501)&gt;=0.01),AND(H4501&lt;&gt;0,ABS(K4501)&gt;VarianceThreshold)),"Review","OK")</f>
        <v>0</v>
      </c>
      <c r="M4501" t="s">
        <v>33</v>
      </c>
    </row>
    <row r="4502" spans="1:13">
      <c r="A4502" t="s">
        <v>7</v>
      </c>
      <c r="B4502" t="s">
        <v>251</v>
      </c>
      <c r="C4502" t="s">
        <v>3420</v>
      </c>
      <c r="D4502" t="s">
        <v>1547</v>
      </c>
      <c r="E4502" cm="1">
        <f t="array" ref="E4502">_xlfn.XLOOKUP(D4502,SKU_Master!A:A,SKU_Master!B:B,"Not on master")</f>
        <v>0</v>
      </c>
      <c r="F4502" cm="1">
        <f t="array" ref="F4502">_xlfn.XLOOKUP(C4502,Account_Master!A:A,Account_Master!B:B,"Not on master")</f>
        <v>0</v>
      </c>
      <c r="G4502" cm="1">
        <f t="array" ref="G4502">_xlfn.XLOOKUP(C4502,Account_Master!A:A,Account_Master!C:C,"Not on master")</f>
        <v>0</v>
      </c>
      <c r="H4502" s="6">
        <v>10.5</v>
      </c>
      <c r="I4502" s="6">
        <v>0</v>
      </c>
      <c r="J4502" s="6">
        <f>I4502-H4502</f>
        <v>0</v>
      </c>
      <c r="K4502" s="5">
        <f>IF(H4502=0,"",J4502/H4502)</f>
        <v>0</v>
      </c>
      <c r="L4502">
        <f>IF(OR(AND(H4502=0,ABS(J4502)&gt;=0.01),AND(H4502&lt;&gt;0,ABS(K4502)&gt;VarianceThreshold)),"Review","OK")</f>
        <v>0</v>
      </c>
      <c r="M4502" t="s">
        <v>3038</v>
      </c>
    </row>
    <row r="4503" spans="1:13">
      <c r="A4503" t="s">
        <v>7</v>
      </c>
      <c r="B4503" t="s">
        <v>251</v>
      </c>
      <c r="C4503" t="s">
        <v>3442</v>
      </c>
      <c r="D4503" t="s">
        <v>127</v>
      </c>
      <c r="E4503" cm="1">
        <f t="array" ref="E4503">_xlfn.XLOOKUP(D4503,SKU_Master!A:A,SKU_Master!B:B,"Not on master")</f>
        <v>0</v>
      </c>
      <c r="F4503" cm="1">
        <f t="array" ref="F4503">_xlfn.XLOOKUP(C4503,Account_Master!A:A,Account_Master!B:B,"Not on master")</f>
        <v>0</v>
      </c>
      <c r="G4503" cm="1">
        <f t="array" ref="G4503">_xlfn.XLOOKUP(C4503,Account_Master!A:A,Account_Master!C:C,"Not on master")</f>
        <v>0</v>
      </c>
      <c r="H4503" s="6">
        <v>256.5</v>
      </c>
      <c r="I4503" s="6">
        <v>256.5</v>
      </c>
      <c r="J4503" s="6">
        <f>I4503-H4503</f>
        <v>0</v>
      </c>
      <c r="K4503" s="5">
        <f>IF(H4503=0,"",J4503/H4503)</f>
        <v>0</v>
      </c>
      <c r="L4503">
        <f>IF(OR(AND(H4503=0,ABS(J4503)&gt;=0.01),AND(H4503&lt;&gt;0,ABS(K4503)&gt;VarianceThreshold)),"Review","OK")</f>
        <v>0</v>
      </c>
      <c r="M4503" t="s">
        <v>33</v>
      </c>
    </row>
    <row r="4504" spans="1:13">
      <c r="A4504" t="s">
        <v>7</v>
      </c>
      <c r="B4504" t="s">
        <v>251</v>
      </c>
      <c r="C4504" t="s">
        <v>3363</v>
      </c>
      <c r="D4504" t="s">
        <v>132</v>
      </c>
      <c r="E4504" cm="1">
        <f t="array" ref="E4504">_xlfn.XLOOKUP(D4504,SKU_Master!A:A,SKU_Master!B:B,"Not on master")</f>
        <v>0</v>
      </c>
      <c r="F4504" cm="1">
        <f t="array" ref="F4504">_xlfn.XLOOKUP(C4504,Account_Master!A:A,Account_Master!B:B,"Not on master")</f>
        <v>0</v>
      </c>
      <c r="G4504" cm="1">
        <f t="array" ref="G4504">_xlfn.XLOOKUP(C4504,Account_Master!A:A,Account_Master!C:C,"Not on master")</f>
        <v>0</v>
      </c>
      <c r="H4504" s="6">
        <v>16</v>
      </c>
      <c r="I4504" s="6">
        <v>16</v>
      </c>
      <c r="J4504" s="6">
        <f>I4504-H4504</f>
        <v>0</v>
      </c>
      <c r="K4504" s="5">
        <f>IF(H4504=0,"",J4504/H4504)</f>
        <v>0</v>
      </c>
      <c r="L4504">
        <f>IF(OR(AND(H4504=0,ABS(J4504)&gt;=0.01),AND(H4504&lt;&gt;0,ABS(K4504)&gt;VarianceThreshold)),"Review","OK")</f>
        <v>0</v>
      </c>
      <c r="M4504" t="s">
        <v>33</v>
      </c>
    </row>
    <row r="4505" spans="1:13">
      <c r="A4505" t="s">
        <v>7</v>
      </c>
      <c r="B4505" t="s">
        <v>251</v>
      </c>
      <c r="C4505" t="s">
        <v>33</v>
      </c>
      <c r="D4505" t="s">
        <v>3443</v>
      </c>
      <c r="E4505" cm="1">
        <f t="array" ref="E4505">_xlfn.XLOOKUP(D4505,SKU_Master!A:A,SKU_Master!B:B,"Not on master")</f>
        <v>0</v>
      </c>
      <c r="F4505" cm="1">
        <f t="array" ref="F4505">_xlfn.XLOOKUP(C4505,Account_Master!A:A,Account_Master!B:B,"Not on master")</f>
        <v>0</v>
      </c>
      <c r="G4505" cm="1">
        <f t="array" ref="G4505">_xlfn.XLOOKUP(C4505,Account_Master!A:A,Account_Master!C:C,"Not on master")</f>
        <v>0</v>
      </c>
      <c r="H4505" s="6">
        <v>0</v>
      </c>
      <c r="I4505" s="6">
        <v>0.2</v>
      </c>
      <c r="J4505" s="6">
        <f>I4505-H4505</f>
        <v>0</v>
      </c>
      <c r="K4505" s="5">
        <f>IF(H4505=0,"",J4505/H4505)</f>
        <v>0</v>
      </c>
      <c r="L4505">
        <f>IF(OR(AND(H4505=0,ABS(J4505)&gt;=0.01),AND(H4505&lt;&gt;0,ABS(K4505)&gt;VarianceThreshold)),"Review","OK")</f>
        <v>0</v>
      </c>
      <c r="M4505" t="s">
        <v>3038</v>
      </c>
    </row>
    <row r="4506" spans="1:13">
      <c r="A4506" t="s">
        <v>7</v>
      </c>
      <c r="B4506" t="s">
        <v>251</v>
      </c>
      <c r="C4506" t="s">
        <v>33</v>
      </c>
      <c r="D4506" t="s">
        <v>3444</v>
      </c>
      <c r="E4506" cm="1">
        <f t="array" ref="E4506">_xlfn.XLOOKUP(D4506,SKU_Master!A:A,SKU_Master!B:B,"Not on master")</f>
        <v>0</v>
      </c>
      <c r="F4506" cm="1">
        <f t="array" ref="F4506">_xlfn.XLOOKUP(C4506,Account_Master!A:A,Account_Master!B:B,"Not on master")</f>
        <v>0</v>
      </c>
      <c r="G4506" cm="1">
        <f t="array" ref="G4506">_xlfn.XLOOKUP(C4506,Account_Master!A:A,Account_Master!C:C,"Not on master")</f>
        <v>0</v>
      </c>
      <c r="H4506" s="6">
        <v>0</v>
      </c>
      <c r="I4506" s="6">
        <v>9</v>
      </c>
      <c r="J4506" s="6">
        <f>I4506-H4506</f>
        <v>0</v>
      </c>
      <c r="K4506" s="5">
        <f>IF(H4506=0,"",J4506/H4506)</f>
        <v>0</v>
      </c>
      <c r="L4506">
        <f>IF(OR(AND(H4506=0,ABS(J4506)&gt;=0.01),AND(H4506&lt;&gt;0,ABS(K4506)&gt;VarianceThreshold)),"Review","OK")</f>
        <v>0</v>
      </c>
      <c r="M4506" t="s">
        <v>3038</v>
      </c>
    </row>
    <row r="4507" spans="1:13">
      <c r="A4507" t="s">
        <v>7</v>
      </c>
      <c r="B4507" t="s">
        <v>251</v>
      </c>
      <c r="C4507" t="s">
        <v>33</v>
      </c>
      <c r="D4507" t="s">
        <v>3445</v>
      </c>
      <c r="E4507" cm="1">
        <f t="array" ref="E4507">_xlfn.XLOOKUP(D4507,SKU_Master!A:A,SKU_Master!B:B,"Not on master")</f>
        <v>0</v>
      </c>
      <c r="F4507" cm="1">
        <f t="array" ref="F4507">_xlfn.XLOOKUP(C4507,Account_Master!A:A,Account_Master!B:B,"Not on master")</f>
        <v>0</v>
      </c>
      <c r="G4507" cm="1">
        <f t="array" ref="G4507">_xlfn.XLOOKUP(C4507,Account_Master!A:A,Account_Master!C:C,"Not on master")</f>
        <v>0</v>
      </c>
      <c r="H4507" s="6">
        <v>0</v>
      </c>
      <c r="I4507" s="6">
        <v>9</v>
      </c>
      <c r="J4507" s="6">
        <f>I4507-H4507</f>
        <v>0</v>
      </c>
      <c r="K4507" s="5">
        <f>IF(H4507=0,"",J4507/H4507)</f>
        <v>0</v>
      </c>
      <c r="L4507">
        <f>IF(OR(AND(H4507=0,ABS(J4507)&gt;=0.01),AND(H4507&lt;&gt;0,ABS(K4507)&gt;VarianceThreshold)),"Review","OK")</f>
        <v>0</v>
      </c>
      <c r="M4507" t="s">
        <v>3038</v>
      </c>
    </row>
    <row r="4508" spans="1:13">
      <c r="A4508" t="s">
        <v>7</v>
      </c>
      <c r="B4508" t="s">
        <v>254</v>
      </c>
      <c r="C4508" t="s">
        <v>3446</v>
      </c>
      <c r="D4508" t="s">
        <v>3447</v>
      </c>
      <c r="E4508" cm="1">
        <f t="array" ref="E4508">_xlfn.XLOOKUP(D4508,SKU_Master!A:A,SKU_Master!B:B,"Not on master")</f>
        <v>0</v>
      </c>
      <c r="F4508" cm="1">
        <f t="array" ref="F4508">_xlfn.XLOOKUP(C4508,Account_Master!A:A,Account_Master!B:B,"Not on master")</f>
        <v>0</v>
      </c>
      <c r="G4508" cm="1">
        <f t="array" ref="G4508">_xlfn.XLOOKUP(C4508,Account_Master!A:A,Account_Master!C:C,"Not on master")</f>
        <v>0</v>
      </c>
      <c r="H4508" s="6">
        <v>2.25</v>
      </c>
      <c r="I4508" s="6">
        <v>2.25</v>
      </c>
      <c r="J4508" s="6">
        <f>I4508-H4508</f>
        <v>0</v>
      </c>
      <c r="K4508" s="5">
        <f>IF(H4508=0,"",J4508/H4508)</f>
        <v>0</v>
      </c>
      <c r="L4508">
        <f>IF(OR(AND(H4508=0,ABS(J4508)&gt;=0.01),AND(H4508&lt;&gt;0,ABS(K4508)&gt;VarianceThreshold)),"Review","OK")</f>
        <v>0</v>
      </c>
      <c r="M4508" t="s">
        <v>33</v>
      </c>
    </row>
    <row r="4509" spans="1:13">
      <c r="A4509" t="s">
        <v>7</v>
      </c>
      <c r="B4509" t="s">
        <v>254</v>
      </c>
      <c r="C4509" t="s">
        <v>3448</v>
      </c>
      <c r="D4509" t="s">
        <v>2992</v>
      </c>
      <c r="E4509" cm="1">
        <f t="array" ref="E4509">_xlfn.XLOOKUP(D4509,SKU_Master!A:A,SKU_Master!B:B,"Not on master")</f>
        <v>0</v>
      </c>
      <c r="F4509" cm="1">
        <f t="array" ref="F4509">_xlfn.XLOOKUP(C4509,Account_Master!A:A,Account_Master!B:B,"Not on master")</f>
        <v>0</v>
      </c>
      <c r="G4509" cm="1">
        <f t="array" ref="G4509">_xlfn.XLOOKUP(C4509,Account_Master!A:A,Account_Master!C:C,"Not on master")</f>
        <v>0</v>
      </c>
      <c r="H4509" s="6">
        <v>10.5</v>
      </c>
      <c r="I4509" s="6">
        <v>10.5</v>
      </c>
      <c r="J4509" s="6">
        <f>I4509-H4509</f>
        <v>0</v>
      </c>
      <c r="K4509" s="5">
        <f>IF(H4509=0,"",J4509/H4509)</f>
        <v>0</v>
      </c>
      <c r="L4509">
        <f>IF(OR(AND(H4509=0,ABS(J4509)&gt;=0.01),AND(H4509&lt;&gt;0,ABS(K4509)&gt;VarianceThreshold)),"Review","OK")</f>
        <v>0</v>
      </c>
      <c r="M4509" t="s">
        <v>33</v>
      </c>
    </row>
    <row r="4510" spans="1:13">
      <c r="A4510" t="s">
        <v>7</v>
      </c>
      <c r="B4510" t="s">
        <v>254</v>
      </c>
      <c r="C4510" t="s">
        <v>3356</v>
      </c>
      <c r="D4510" t="s">
        <v>620</v>
      </c>
      <c r="E4510" cm="1">
        <f t="array" ref="E4510">_xlfn.XLOOKUP(D4510,SKU_Master!A:A,SKU_Master!B:B,"Not on master")</f>
        <v>0</v>
      </c>
      <c r="F4510" cm="1">
        <f t="array" ref="F4510">_xlfn.XLOOKUP(C4510,Account_Master!A:A,Account_Master!B:B,"Not on master")</f>
        <v>0</v>
      </c>
      <c r="G4510" cm="1">
        <f t="array" ref="G4510">_xlfn.XLOOKUP(C4510,Account_Master!A:A,Account_Master!C:C,"Not on master")</f>
        <v>0</v>
      </c>
      <c r="H4510" s="6">
        <v>2</v>
      </c>
      <c r="I4510" s="6">
        <v>2</v>
      </c>
      <c r="J4510" s="6">
        <f>I4510-H4510</f>
        <v>0</v>
      </c>
      <c r="K4510" s="5">
        <f>IF(H4510=0,"",J4510/H4510)</f>
        <v>0</v>
      </c>
      <c r="L4510">
        <f>IF(OR(AND(H4510=0,ABS(J4510)&gt;=0.01),AND(H4510&lt;&gt;0,ABS(K4510)&gt;VarianceThreshold)),"Review","OK")</f>
        <v>0</v>
      </c>
      <c r="M4510" t="s">
        <v>33</v>
      </c>
    </row>
    <row r="4511" spans="1:13">
      <c r="A4511" t="s">
        <v>7</v>
      </c>
      <c r="B4511" t="s">
        <v>254</v>
      </c>
      <c r="C4511" t="s">
        <v>3356</v>
      </c>
      <c r="D4511" t="s">
        <v>1343</v>
      </c>
      <c r="E4511" cm="1">
        <f t="array" ref="E4511">_xlfn.XLOOKUP(D4511,SKU_Master!A:A,SKU_Master!B:B,"Not on master")</f>
        <v>0</v>
      </c>
      <c r="F4511" cm="1">
        <f t="array" ref="F4511">_xlfn.XLOOKUP(C4511,Account_Master!A:A,Account_Master!B:B,"Not on master")</f>
        <v>0</v>
      </c>
      <c r="G4511" cm="1">
        <f t="array" ref="G4511">_xlfn.XLOOKUP(C4511,Account_Master!A:A,Account_Master!C:C,"Not on master")</f>
        <v>0</v>
      </c>
      <c r="H4511" s="6">
        <v>60</v>
      </c>
      <c r="I4511" s="6">
        <v>60</v>
      </c>
      <c r="J4511" s="6">
        <f>I4511-H4511</f>
        <v>0</v>
      </c>
      <c r="K4511" s="5">
        <f>IF(H4511=0,"",J4511/H4511)</f>
        <v>0</v>
      </c>
      <c r="L4511">
        <f>IF(OR(AND(H4511=0,ABS(J4511)&gt;=0.01),AND(H4511&lt;&gt;0,ABS(K4511)&gt;VarianceThreshold)),"Review","OK")</f>
        <v>0</v>
      </c>
      <c r="M4511" t="s">
        <v>33</v>
      </c>
    </row>
    <row r="4512" spans="1:13">
      <c r="A4512" t="s">
        <v>7</v>
      </c>
      <c r="B4512" t="s">
        <v>254</v>
      </c>
      <c r="C4512" t="s">
        <v>3449</v>
      </c>
      <c r="D4512" t="s">
        <v>2880</v>
      </c>
      <c r="E4512" cm="1">
        <f t="array" ref="E4512">_xlfn.XLOOKUP(D4512,SKU_Master!A:A,SKU_Master!B:B,"Not on master")</f>
        <v>0</v>
      </c>
      <c r="F4512" cm="1">
        <f t="array" ref="F4512">_xlfn.XLOOKUP(C4512,Account_Master!A:A,Account_Master!B:B,"Not on master")</f>
        <v>0</v>
      </c>
      <c r="G4512" cm="1">
        <f t="array" ref="G4512">_xlfn.XLOOKUP(C4512,Account_Master!A:A,Account_Master!C:C,"Not on master")</f>
        <v>0</v>
      </c>
      <c r="H4512" s="6">
        <v>27</v>
      </c>
      <c r="I4512" s="6">
        <v>18</v>
      </c>
      <c r="J4512" s="6">
        <f>I4512-H4512</f>
        <v>0</v>
      </c>
      <c r="K4512" s="5">
        <f>IF(H4512=0,"",J4512/H4512)</f>
        <v>0</v>
      </c>
      <c r="L4512">
        <f>IF(OR(AND(H4512=0,ABS(J4512)&gt;=0.01),AND(H4512&lt;&gt;0,ABS(K4512)&gt;VarianceThreshold)),"Review","OK")</f>
        <v>0</v>
      </c>
      <c r="M4512" t="s">
        <v>3038</v>
      </c>
    </row>
    <row r="4513" spans="1:13">
      <c r="A4513" t="s">
        <v>7</v>
      </c>
      <c r="B4513" t="s">
        <v>254</v>
      </c>
      <c r="C4513" t="s">
        <v>3449</v>
      </c>
      <c r="D4513" t="s">
        <v>2632</v>
      </c>
      <c r="E4513" cm="1">
        <f t="array" ref="E4513">_xlfn.XLOOKUP(D4513,SKU_Master!A:A,SKU_Master!B:B,"Not on master")</f>
        <v>0</v>
      </c>
      <c r="F4513" cm="1">
        <f t="array" ref="F4513">_xlfn.XLOOKUP(C4513,Account_Master!A:A,Account_Master!B:B,"Not on master")</f>
        <v>0</v>
      </c>
      <c r="G4513" cm="1">
        <f t="array" ref="G4513">_xlfn.XLOOKUP(C4513,Account_Master!A:A,Account_Master!C:C,"Not on master")</f>
        <v>0</v>
      </c>
      <c r="H4513" s="6">
        <v>9</v>
      </c>
      <c r="I4513" s="6">
        <v>9</v>
      </c>
      <c r="J4513" s="6">
        <f>I4513-H4513</f>
        <v>0</v>
      </c>
      <c r="K4513" s="5">
        <f>IF(H4513=0,"",J4513/H4513)</f>
        <v>0</v>
      </c>
      <c r="L4513">
        <f>IF(OR(AND(H4513=0,ABS(J4513)&gt;=0.01),AND(H4513&lt;&gt;0,ABS(K4513)&gt;VarianceThreshold)),"Review","OK")</f>
        <v>0</v>
      </c>
      <c r="M4513" t="s">
        <v>33</v>
      </c>
    </row>
    <row r="4514" spans="1:13">
      <c r="A4514" t="s">
        <v>7</v>
      </c>
      <c r="B4514" t="s">
        <v>254</v>
      </c>
      <c r="C4514" t="s">
        <v>3448</v>
      </c>
      <c r="D4514" t="s">
        <v>604</v>
      </c>
      <c r="E4514" cm="1">
        <f t="array" ref="E4514">_xlfn.XLOOKUP(D4514,SKU_Master!A:A,SKU_Master!B:B,"Not on master")</f>
        <v>0</v>
      </c>
      <c r="F4514" cm="1">
        <f t="array" ref="F4514">_xlfn.XLOOKUP(C4514,Account_Master!A:A,Account_Master!B:B,"Not on master")</f>
        <v>0</v>
      </c>
      <c r="G4514" cm="1">
        <f t="array" ref="G4514">_xlfn.XLOOKUP(C4514,Account_Master!A:A,Account_Master!C:C,"Not on master")</f>
        <v>0</v>
      </c>
      <c r="H4514" s="6">
        <v>0.95</v>
      </c>
      <c r="I4514" s="6">
        <v>0.9</v>
      </c>
      <c r="J4514" s="6">
        <f>I4514-H4514</f>
        <v>0</v>
      </c>
      <c r="K4514" s="5">
        <f>IF(H4514=0,"",J4514/H4514)</f>
        <v>0</v>
      </c>
      <c r="L4514">
        <f>IF(OR(AND(H4514=0,ABS(J4514)&gt;=0.01),AND(H4514&lt;&gt;0,ABS(K4514)&gt;VarianceThreshold)),"Review","OK")</f>
        <v>0</v>
      </c>
      <c r="M4514" t="s">
        <v>3038</v>
      </c>
    </row>
    <row r="4515" spans="1:13">
      <c r="A4515" t="s">
        <v>7</v>
      </c>
      <c r="B4515" t="s">
        <v>254</v>
      </c>
      <c r="C4515" t="s">
        <v>3378</v>
      </c>
      <c r="D4515" t="s">
        <v>282</v>
      </c>
      <c r="E4515" cm="1">
        <f t="array" ref="E4515">_xlfn.XLOOKUP(D4515,SKU_Master!A:A,SKU_Master!B:B,"Not on master")</f>
        <v>0</v>
      </c>
      <c r="F4515" cm="1">
        <f t="array" ref="F4515">_xlfn.XLOOKUP(C4515,Account_Master!A:A,Account_Master!B:B,"Not on master")</f>
        <v>0</v>
      </c>
      <c r="G4515" cm="1">
        <f t="array" ref="G4515">_xlfn.XLOOKUP(C4515,Account_Master!A:A,Account_Master!C:C,"Not on master")</f>
        <v>0</v>
      </c>
      <c r="H4515" s="6">
        <v>2.25</v>
      </c>
      <c r="I4515" s="6">
        <v>2.25</v>
      </c>
      <c r="J4515" s="6">
        <f>I4515-H4515</f>
        <v>0</v>
      </c>
      <c r="K4515" s="5">
        <f>IF(H4515=0,"",J4515/H4515)</f>
        <v>0</v>
      </c>
      <c r="L4515">
        <f>IF(OR(AND(H4515=0,ABS(J4515)&gt;=0.01),AND(H4515&lt;&gt;0,ABS(K4515)&gt;VarianceThreshold)),"Review","OK")</f>
        <v>0</v>
      </c>
      <c r="M4515" t="s">
        <v>33</v>
      </c>
    </row>
    <row r="4516" spans="1:13">
      <c r="A4516" t="s">
        <v>7</v>
      </c>
      <c r="B4516" t="s">
        <v>254</v>
      </c>
      <c r="C4516" t="s">
        <v>3450</v>
      </c>
      <c r="D4516" t="s">
        <v>2964</v>
      </c>
      <c r="E4516" cm="1">
        <f t="array" ref="E4516">_xlfn.XLOOKUP(D4516,SKU_Master!A:A,SKU_Master!B:B,"Not on master")</f>
        <v>0</v>
      </c>
      <c r="F4516" cm="1">
        <f t="array" ref="F4516">_xlfn.XLOOKUP(C4516,Account_Master!A:A,Account_Master!B:B,"Not on master")</f>
        <v>0</v>
      </c>
      <c r="G4516" cm="1">
        <f t="array" ref="G4516">_xlfn.XLOOKUP(C4516,Account_Master!A:A,Account_Master!C:C,"Not on master")</f>
        <v>0</v>
      </c>
      <c r="H4516" s="6">
        <v>0.75</v>
      </c>
      <c r="I4516" s="6">
        <v>0.75</v>
      </c>
      <c r="J4516" s="6">
        <f>I4516-H4516</f>
        <v>0</v>
      </c>
      <c r="K4516" s="5">
        <f>IF(H4516=0,"",J4516/H4516)</f>
        <v>0</v>
      </c>
      <c r="L4516">
        <f>IF(OR(AND(H4516=0,ABS(J4516)&gt;=0.01),AND(H4516&lt;&gt;0,ABS(K4516)&gt;VarianceThreshold)),"Review","OK")</f>
        <v>0</v>
      </c>
      <c r="M4516" t="s">
        <v>33</v>
      </c>
    </row>
    <row r="4517" spans="1:13">
      <c r="A4517" t="s">
        <v>7</v>
      </c>
      <c r="B4517" t="s">
        <v>264</v>
      </c>
      <c r="C4517" t="s">
        <v>3451</v>
      </c>
      <c r="D4517" t="s">
        <v>3452</v>
      </c>
      <c r="E4517" cm="1">
        <f t="array" ref="E4517">_xlfn.XLOOKUP(D4517,SKU_Master!A:A,SKU_Master!B:B,"Not on master")</f>
        <v>0</v>
      </c>
      <c r="F4517" cm="1">
        <f t="array" ref="F4517">_xlfn.XLOOKUP(C4517,Account_Master!A:A,Account_Master!B:B,"Not on master")</f>
        <v>0</v>
      </c>
      <c r="G4517" cm="1">
        <f t="array" ref="G4517">_xlfn.XLOOKUP(C4517,Account_Master!A:A,Account_Master!C:C,"Not on master")</f>
        <v>0</v>
      </c>
      <c r="H4517" s="6">
        <v>0.75</v>
      </c>
      <c r="I4517" s="6">
        <v>0.75</v>
      </c>
      <c r="J4517" s="6">
        <f>I4517-H4517</f>
        <v>0</v>
      </c>
      <c r="K4517" s="5">
        <f>IF(H4517=0,"",J4517/H4517)</f>
        <v>0</v>
      </c>
      <c r="L4517">
        <f>IF(OR(AND(H4517=0,ABS(J4517)&gt;=0.01),AND(H4517&lt;&gt;0,ABS(K4517)&gt;VarianceThreshold)),"Review","OK")</f>
        <v>0</v>
      </c>
      <c r="M4517" t="s">
        <v>33</v>
      </c>
    </row>
    <row r="4518" spans="1:13">
      <c r="A4518" t="s">
        <v>7</v>
      </c>
      <c r="B4518" t="s">
        <v>264</v>
      </c>
      <c r="C4518" t="s">
        <v>3368</v>
      </c>
      <c r="D4518" t="s">
        <v>340</v>
      </c>
      <c r="E4518" cm="1">
        <f t="array" ref="E4518">_xlfn.XLOOKUP(D4518,SKU_Master!A:A,SKU_Master!B:B,"Not on master")</f>
        <v>0</v>
      </c>
      <c r="F4518" cm="1">
        <f t="array" ref="F4518">_xlfn.XLOOKUP(C4518,Account_Master!A:A,Account_Master!B:B,"Not on master")</f>
        <v>0</v>
      </c>
      <c r="G4518" cm="1">
        <f t="array" ref="G4518">_xlfn.XLOOKUP(C4518,Account_Master!A:A,Account_Master!C:C,"Not on master")</f>
        <v>0</v>
      </c>
      <c r="H4518" s="6">
        <v>84</v>
      </c>
      <c r="I4518" s="6">
        <v>73.5</v>
      </c>
      <c r="J4518" s="6">
        <f>I4518-H4518</f>
        <v>0</v>
      </c>
      <c r="K4518" s="5">
        <f>IF(H4518=0,"",J4518/H4518)</f>
        <v>0</v>
      </c>
      <c r="L4518">
        <f>IF(OR(AND(H4518=0,ABS(J4518)&gt;=0.01),AND(H4518&lt;&gt;0,ABS(K4518)&gt;VarianceThreshold)),"Review","OK")</f>
        <v>0</v>
      </c>
      <c r="M4518" t="s">
        <v>3038</v>
      </c>
    </row>
    <row r="4519" spans="1:13">
      <c r="A4519" t="s">
        <v>7</v>
      </c>
      <c r="B4519" t="s">
        <v>264</v>
      </c>
      <c r="C4519" t="s">
        <v>3369</v>
      </c>
      <c r="D4519" t="s">
        <v>1891</v>
      </c>
      <c r="E4519" cm="1">
        <f t="array" ref="E4519">_xlfn.XLOOKUP(D4519,SKU_Master!A:A,SKU_Master!B:B,"Not on master")</f>
        <v>0</v>
      </c>
      <c r="F4519" cm="1">
        <f t="array" ref="F4519">_xlfn.XLOOKUP(C4519,Account_Master!A:A,Account_Master!B:B,"Not on master")</f>
        <v>0</v>
      </c>
      <c r="G4519" cm="1">
        <f t="array" ref="G4519">_xlfn.XLOOKUP(C4519,Account_Master!A:A,Account_Master!C:C,"Not on master")</f>
        <v>0</v>
      </c>
      <c r="H4519" s="6">
        <v>10.5</v>
      </c>
      <c r="I4519" s="6">
        <v>10.5</v>
      </c>
      <c r="J4519" s="6">
        <f>I4519-H4519</f>
        <v>0</v>
      </c>
      <c r="K4519" s="5">
        <f>IF(H4519=0,"",J4519/H4519)</f>
        <v>0</v>
      </c>
      <c r="L4519">
        <f>IF(OR(AND(H4519=0,ABS(J4519)&gt;=0.01),AND(H4519&lt;&gt;0,ABS(K4519)&gt;VarianceThreshold)),"Review","OK")</f>
        <v>0</v>
      </c>
      <c r="M4519" t="s">
        <v>33</v>
      </c>
    </row>
    <row r="4520" spans="1:13">
      <c r="A4520" t="s">
        <v>7</v>
      </c>
      <c r="B4520" t="s">
        <v>264</v>
      </c>
      <c r="C4520" t="s">
        <v>3448</v>
      </c>
      <c r="D4520" t="s">
        <v>3453</v>
      </c>
      <c r="E4520" cm="1">
        <f t="array" ref="E4520">_xlfn.XLOOKUP(D4520,SKU_Master!A:A,SKU_Master!B:B,"Not on master")</f>
        <v>0</v>
      </c>
      <c r="F4520" cm="1">
        <f t="array" ref="F4520">_xlfn.XLOOKUP(C4520,Account_Master!A:A,Account_Master!B:B,"Not on master")</f>
        <v>0</v>
      </c>
      <c r="G4520" cm="1">
        <f t="array" ref="G4520">_xlfn.XLOOKUP(C4520,Account_Master!A:A,Account_Master!C:C,"Not on master")</f>
        <v>0</v>
      </c>
      <c r="H4520" s="6">
        <v>2.25</v>
      </c>
      <c r="I4520" s="6">
        <v>2.25</v>
      </c>
      <c r="J4520" s="6">
        <f>I4520-H4520</f>
        <v>0</v>
      </c>
      <c r="K4520" s="5">
        <f>IF(H4520=0,"",J4520/H4520)</f>
        <v>0</v>
      </c>
      <c r="L4520">
        <f>IF(OR(AND(H4520=0,ABS(J4520)&gt;=0.01),AND(H4520&lt;&gt;0,ABS(K4520)&gt;VarianceThreshold)),"Review","OK")</f>
        <v>0</v>
      </c>
      <c r="M4520" t="s">
        <v>33</v>
      </c>
    </row>
    <row r="4521" spans="1:13">
      <c r="A4521" t="s">
        <v>7</v>
      </c>
      <c r="B4521" t="s">
        <v>264</v>
      </c>
      <c r="C4521" t="s">
        <v>3369</v>
      </c>
      <c r="D4521" t="s">
        <v>1301</v>
      </c>
      <c r="E4521" cm="1">
        <f t="array" ref="E4521">_xlfn.XLOOKUP(D4521,SKU_Master!A:A,SKU_Master!B:B,"Not on master")</f>
        <v>0</v>
      </c>
      <c r="F4521" cm="1">
        <f t="array" ref="F4521">_xlfn.XLOOKUP(C4521,Account_Master!A:A,Account_Master!B:B,"Not on master")</f>
        <v>0</v>
      </c>
      <c r="G4521" cm="1">
        <f t="array" ref="G4521">_xlfn.XLOOKUP(C4521,Account_Master!A:A,Account_Master!C:C,"Not on master")</f>
        <v>0</v>
      </c>
      <c r="H4521" s="6">
        <v>24</v>
      </c>
      <c r="I4521" s="6">
        <v>24</v>
      </c>
      <c r="J4521" s="6">
        <f>I4521-H4521</f>
        <v>0</v>
      </c>
      <c r="K4521" s="5">
        <f>IF(H4521=0,"",J4521/H4521)</f>
        <v>0</v>
      </c>
      <c r="L4521">
        <f>IF(OR(AND(H4521=0,ABS(J4521)&gt;=0.01),AND(H4521&lt;&gt;0,ABS(K4521)&gt;VarianceThreshold)),"Review","OK")</f>
        <v>0</v>
      </c>
      <c r="M4521" t="s">
        <v>33</v>
      </c>
    </row>
    <row r="4522" spans="1:13">
      <c r="A4522" t="s">
        <v>7</v>
      </c>
      <c r="B4522" t="s">
        <v>264</v>
      </c>
      <c r="C4522" t="s">
        <v>3420</v>
      </c>
      <c r="D4522" t="s">
        <v>3454</v>
      </c>
      <c r="E4522" cm="1">
        <f t="array" ref="E4522">_xlfn.XLOOKUP(D4522,SKU_Master!A:A,SKU_Master!B:B,"Not on master")</f>
        <v>0</v>
      </c>
      <c r="F4522" cm="1">
        <f t="array" ref="F4522">_xlfn.XLOOKUP(C4522,Account_Master!A:A,Account_Master!B:B,"Not on master")</f>
        <v>0</v>
      </c>
      <c r="G4522" cm="1">
        <f t="array" ref="G4522">_xlfn.XLOOKUP(C4522,Account_Master!A:A,Account_Master!C:C,"Not on master")</f>
        <v>0</v>
      </c>
      <c r="H4522" s="6">
        <v>1.5</v>
      </c>
      <c r="I4522" s="6">
        <v>1.5</v>
      </c>
      <c r="J4522" s="6">
        <f>I4522-H4522</f>
        <v>0</v>
      </c>
      <c r="K4522" s="5">
        <f>IF(H4522=0,"",J4522/H4522)</f>
        <v>0</v>
      </c>
      <c r="L4522">
        <f>IF(OR(AND(H4522=0,ABS(J4522)&gt;=0.01),AND(H4522&lt;&gt;0,ABS(K4522)&gt;VarianceThreshold)),"Review","OK")</f>
        <v>0</v>
      </c>
      <c r="M4522" t="s">
        <v>33</v>
      </c>
    </row>
    <row r="4523" spans="1:13">
      <c r="A4523" t="s">
        <v>7</v>
      </c>
      <c r="B4523" t="s">
        <v>264</v>
      </c>
      <c r="C4523" t="s">
        <v>3363</v>
      </c>
      <c r="D4523" t="s">
        <v>3455</v>
      </c>
      <c r="E4523" cm="1">
        <f t="array" ref="E4523">_xlfn.XLOOKUP(D4523,SKU_Master!A:A,SKU_Master!B:B,"Not on master")</f>
        <v>0</v>
      </c>
      <c r="F4523" cm="1">
        <f t="array" ref="F4523">_xlfn.XLOOKUP(C4523,Account_Master!A:A,Account_Master!B:B,"Not on master")</f>
        <v>0</v>
      </c>
      <c r="G4523" cm="1">
        <f t="array" ref="G4523">_xlfn.XLOOKUP(C4523,Account_Master!A:A,Account_Master!C:C,"Not on master")</f>
        <v>0</v>
      </c>
      <c r="H4523" s="6">
        <v>0.3</v>
      </c>
      <c r="I4523" s="6">
        <v>0.3</v>
      </c>
      <c r="J4523" s="6">
        <f>I4523-H4523</f>
        <v>0</v>
      </c>
      <c r="K4523" s="5">
        <f>IF(H4523=0,"",J4523/H4523)</f>
        <v>0</v>
      </c>
      <c r="L4523">
        <f>IF(OR(AND(H4523=0,ABS(J4523)&gt;=0.01),AND(H4523&lt;&gt;0,ABS(K4523)&gt;VarianceThreshold)),"Review","OK")</f>
        <v>0</v>
      </c>
      <c r="M4523" t="s">
        <v>33</v>
      </c>
    </row>
    <row r="4524" spans="1:13">
      <c r="A4524" t="s">
        <v>7</v>
      </c>
      <c r="B4524" t="s">
        <v>264</v>
      </c>
      <c r="C4524" t="s">
        <v>3456</v>
      </c>
      <c r="D4524" t="s">
        <v>3457</v>
      </c>
      <c r="E4524" cm="1">
        <f t="array" ref="E4524">_xlfn.XLOOKUP(D4524,SKU_Master!A:A,SKU_Master!B:B,"Not on master")</f>
        <v>0</v>
      </c>
      <c r="F4524" cm="1">
        <f t="array" ref="F4524">_xlfn.XLOOKUP(C4524,Account_Master!A:A,Account_Master!B:B,"Not on master")</f>
        <v>0</v>
      </c>
      <c r="G4524" cm="1">
        <f t="array" ref="G4524">_xlfn.XLOOKUP(C4524,Account_Master!A:A,Account_Master!C:C,"Not on master")</f>
        <v>0</v>
      </c>
      <c r="H4524" s="6">
        <v>11.25</v>
      </c>
      <c r="I4524" s="6">
        <v>6.75</v>
      </c>
      <c r="J4524" s="6">
        <f>I4524-H4524</f>
        <v>0</v>
      </c>
      <c r="K4524" s="5">
        <f>IF(H4524=0,"",J4524/H4524)</f>
        <v>0</v>
      </c>
      <c r="L4524">
        <f>IF(OR(AND(H4524=0,ABS(J4524)&gt;=0.01),AND(H4524&lt;&gt;0,ABS(K4524)&gt;VarianceThreshold)),"Review","OK")</f>
        <v>0</v>
      </c>
      <c r="M4524" t="s">
        <v>3038</v>
      </c>
    </row>
    <row r="4525" spans="1:13">
      <c r="A4525" t="s">
        <v>7</v>
      </c>
      <c r="B4525" t="s">
        <v>264</v>
      </c>
      <c r="C4525" t="s">
        <v>3386</v>
      </c>
      <c r="D4525" t="s">
        <v>3458</v>
      </c>
      <c r="E4525" cm="1">
        <f t="array" ref="E4525">_xlfn.XLOOKUP(D4525,SKU_Master!A:A,SKU_Master!B:B,"Not on master")</f>
        <v>0</v>
      </c>
      <c r="F4525" cm="1">
        <f t="array" ref="F4525">_xlfn.XLOOKUP(C4525,Account_Master!A:A,Account_Master!B:B,"Not on master")</f>
        <v>0</v>
      </c>
      <c r="G4525" cm="1">
        <f t="array" ref="G4525">_xlfn.XLOOKUP(C4525,Account_Master!A:A,Account_Master!C:C,"Not on master")</f>
        <v>0</v>
      </c>
      <c r="H4525" s="6">
        <v>504</v>
      </c>
      <c r="I4525" s="6">
        <v>504</v>
      </c>
      <c r="J4525" s="6">
        <f>I4525-H4525</f>
        <v>0</v>
      </c>
      <c r="K4525" s="5">
        <f>IF(H4525=0,"",J4525/H4525)</f>
        <v>0</v>
      </c>
      <c r="L4525">
        <f>IF(OR(AND(H4525=0,ABS(J4525)&gt;=0.01),AND(H4525&lt;&gt;0,ABS(K4525)&gt;VarianceThreshold)),"Review","OK")</f>
        <v>0</v>
      </c>
      <c r="M4525" t="s">
        <v>33</v>
      </c>
    </row>
    <row r="4526" spans="1:13">
      <c r="A4526" t="s">
        <v>7</v>
      </c>
      <c r="B4526" t="s">
        <v>264</v>
      </c>
      <c r="C4526" t="s">
        <v>3368</v>
      </c>
      <c r="D4526" t="s">
        <v>3459</v>
      </c>
      <c r="E4526" cm="1">
        <f t="array" ref="E4526">_xlfn.XLOOKUP(D4526,SKU_Master!A:A,SKU_Master!B:B,"Not on master")</f>
        <v>0</v>
      </c>
      <c r="F4526" cm="1">
        <f t="array" ref="F4526">_xlfn.XLOOKUP(C4526,Account_Master!A:A,Account_Master!B:B,"Not on master")</f>
        <v>0</v>
      </c>
      <c r="G4526" cm="1">
        <f t="array" ref="G4526">_xlfn.XLOOKUP(C4526,Account_Master!A:A,Account_Master!C:C,"Not on master")</f>
        <v>0</v>
      </c>
      <c r="H4526" s="6">
        <v>9</v>
      </c>
      <c r="I4526" s="6">
        <v>9</v>
      </c>
      <c r="J4526" s="6">
        <f>I4526-H4526</f>
        <v>0</v>
      </c>
      <c r="K4526" s="5">
        <f>IF(H4526=0,"",J4526/H4526)</f>
        <v>0</v>
      </c>
      <c r="L4526">
        <f>IF(OR(AND(H4526=0,ABS(J4526)&gt;=0.01),AND(H4526&lt;&gt;0,ABS(K4526)&gt;VarianceThreshold)),"Review","OK")</f>
        <v>0</v>
      </c>
      <c r="M4526" t="s">
        <v>33</v>
      </c>
    </row>
    <row r="4527" spans="1:13">
      <c r="A4527" t="s">
        <v>7</v>
      </c>
      <c r="B4527" t="s">
        <v>264</v>
      </c>
      <c r="C4527" t="s">
        <v>33</v>
      </c>
      <c r="D4527" t="s">
        <v>3460</v>
      </c>
      <c r="E4527" cm="1">
        <f t="array" ref="E4527">_xlfn.XLOOKUP(D4527,SKU_Master!A:A,SKU_Master!B:B,"Not on master")</f>
        <v>0</v>
      </c>
      <c r="F4527" cm="1">
        <f t="array" ref="F4527">_xlfn.XLOOKUP(C4527,Account_Master!A:A,Account_Master!B:B,"Not on master")</f>
        <v>0</v>
      </c>
      <c r="G4527" cm="1">
        <f t="array" ref="G4527">_xlfn.XLOOKUP(C4527,Account_Master!A:A,Account_Master!C:C,"Not on master")</f>
        <v>0</v>
      </c>
      <c r="H4527" s="6">
        <v>0</v>
      </c>
      <c r="I4527" s="6">
        <v>9.6</v>
      </c>
      <c r="J4527" s="6">
        <f>I4527-H4527</f>
        <v>0</v>
      </c>
      <c r="K4527" s="5">
        <f>IF(H4527=0,"",J4527/H4527)</f>
        <v>0</v>
      </c>
      <c r="L4527">
        <f>IF(OR(AND(H4527=0,ABS(J4527)&gt;=0.01),AND(H4527&lt;&gt;0,ABS(K4527)&gt;VarianceThreshold)),"Review","OK")</f>
        <v>0</v>
      </c>
      <c r="M4527" t="s">
        <v>3038</v>
      </c>
    </row>
    <row r="4528" spans="1:13">
      <c r="A4528" t="s">
        <v>7</v>
      </c>
      <c r="B4528" t="s">
        <v>273</v>
      </c>
      <c r="C4528" t="s">
        <v>3461</v>
      </c>
      <c r="D4528" t="s">
        <v>704</v>
      </c>
      <c r="E4528" cm="1">
        <f t="array" ref="E4528">_xlfn.XLOOKUP(D4528,SKU_Master!A:A,SKU_Master!B:B,"Not on master")</f>
        <v>0</v>
      </c>
      <c r="F4528" cm="1">
        <f t="array" ref="F4528">_xlfn.XLOOKUP(C4528,Account_Master!A:A,Account_Master!B:B,"Not on master")</f>
        <v>0</v>
      </c>
      <c r="G4528" cm="1">
        <f t="array" ref="G4528">_xlfn.XLOOKUP(C4528,Account_Master!A:A,Account_Master!C:C,"Not on master")</f>
        <v>0</v>
      </c>
      <c r="H4528" s="6">
        <v>231</v>
      </c>
      <c r="I4528" s="6">
        <v>231</v>
      </c>
      <c r="J4528" s="6">
        <f>I4528-H4528</f>
        <v>0</v>
      </c>
      <c r="K4528" s="5">
        <f>IF(H4528=0,"",J4528/H4528)</f>
        <v>0</v>
      </c>
      <c r="L4528">
        <f>IF(OR(AND(H4528=0,ABS(J4528)&gt;=0.01),AND(H4528&lt;&gt;0,ABS(K4528)&gt;VarianceThreshold)),"Review","OK")</f>
        <v>0</v>
      </c>
      <c r="M4528" t="s">
        <v>33</v>
      </c>
    </row>
    <row r="4529" spans="1:13">
      <c r="A4529" t="s">
        <v>7</v>
      </c>
      <c r="B4529" t="s">
        <v>273</v>
      </c>
      <c r="C4529" t="s">
        <v>3462</v>
      </c>
      <c r="D4529" t="s">
        <v>861</v>
      </c>
      <c r="E4529" cm="1">
        <f t="array" ref="E4529">_xlfn.XLOOKUP(D4529,SKU_Master!A:A,SKU_Master!B:B,"Not on master")</f>
        <v>0</v>
      </c>
      <c r="F4529" cm="1">
        <f t="array" ref="F4529">_xlfn.XLOOKUP(C4529,Account_Master!A:A,Account_Master!B:B,"Not on master")</f>
        <v>0</v>
      </c>
      <c r="G4529" cm="1">
        <f t="array" ref="G4529">_xlfn.XLOOKUP(C4529,Account_Master!A:A,Account_Master!C:C,"Not on master")</f>
        <v>0</v>
      </c>
      <c r="H4529" s="6">
        <v>0.75</v>
      </c>
      <c r="I4529" s="6">
        <v>0.75</v>
      </c>
      <c r="J4529" s="6">
        <f>I4529-H4529</f>
        <v>0</v>
      </c>
      <c r="K4529" s="5">
        <f>IF(H4529=0,"",J4529/H4529)</f>
        <v>0</v>
      </c>
      <c r="L4529">
        <f>IF(OR(AND(H4529=0,ABS(J4529)&gt;=0.01),AND(H4529&lt;&gt;0,ABS(K4529)&gt;VarianceThreshold)),"Review","OK")</f>
        <v>0</v>
      </c>
      <c r="M4529" t="s">
        <v>33</v>
      </c>
    </row>
    <row r="4530" spans="1:13">
      <c r="A4530" t="s">
        <v>7</v>
      </c>
      <c r="B4530" t="s">
        <v>273</v>
      </c>
      <c r="C4530" t="s">
        <v>3448</v>
      </c>
      <c r="D4530" t="s">
        <v>406</v>
      </c>
      <c r="E4530" cm="1">
        <f t="array" ref="E4530">_xlfn.XLOOKUP(D4530,SKU_Master!A:A,SKU_Master!B:B,"Not on master")</f>
        <v>0</v>
      </c>
      <c r="F4530" cm="1">
        <f t="array" ref="F4530">_xlfn.XLOOKUP(C4530,Account_Master!A:A,Account_Master!B:B,"Not on master")</f>
        <v>0</v>
      </c>
      <c r="G4530" cm="1">
        <f t="array" ref="G4530">_xlfn.XLOOKUP(C4530,Account_Master!A:A,Account_Master!C:C,"Not on master")</f>
        <v>0</v>
      </c>
      <c r="H4530" s="6">
        <v>21</v>
      </c>
      <c r="I4530" s="6">
        <v>21</v>
      </c>
      <c r="J4530" s="6">
        <f>I4530-H4530</f>
        <v>0</v>
      </c>
      <c r="K4530" s="5">
        <f>IF(H4530=0,"",J4530/H4530)</f>
        <v>0</v>
      </c>
      <c r="L4530">
        <f>IF(OR(AND(H4530=0,ABS(J4530)&gt;=0.01),AND(H4530&lt;&gt;0,ABS(K4530)&gt;VarianceThreshold)),"Review","OK")</f>
        <v>0</v>
      </c>
      <c r="M4530" t="s">
        <v>33</v>
      </c>
    </row>
    <row r="4531" spans="1:13">
      <c r="A4531" t="s">
        <v>7</v>
      </c>
      <c r="B4531" t="s">
        <v>273</v>
      </c>
      <c r="C4531" t="s">
        <v>3463</v>
      </c>
      <c r="D4531" t="s">
        <v>3171</v>
      </c>
      <c r="E4531" cm="1">
        <f t="array" ref="E4531">_xlfn.XLOOKUP(D4531,SKU_Master!A:A,SKU_Master!B:B,"Not on master")</f>
        <v>0</v>
      </c>
      <c r="F4531" cm="1">
        <f t="array" ref="F4531">_xlfn.XLOOKUP(C4531,Account_Master!A:A,Account_Master!B:B,"Not on master")</f>
        <v>0</v>
      </c>
      <c r="G4531" cm="1">
        <f t="array" ref="G4531">_xlfn.XLOOKUP(C4531,Account_Master!A:A,Account_Master!C:C,"Not on master")</f>
        <v>0</v>
      </c>
      <c r="H4531" s="6">
        <v>6.75</v>
      </c>
      <c r="I4531" s="6">
        <v>6.75</v>
      </c>
      <c r="J4531" s="6">
        <f>I4531-H4531</f>
        <v>0</v>
      </c>
      <c r="K4531" s="5">
        <f>IF(H4531=0,"",J4531/H4531)</f>
        <v>0</v>
      </c>
      <c r="L4531">
        <f>IF(OR(AND(H4531=0,ABS(J4531)&gt;=0.01),AND(H4531&lt;&gt;0,ABS(K4531)&gt;VarianceThreshold)),"Review","OK")</f>
        <v>0</v>
      </c>
      <c r="M4531" t="s">
        <v>33</v>
      </c>
    </row>
    <row r="4532" spans="1:13">
      <c r="A4532" t="s">
        <v>7</v>
      </c>
      <c r="B4532" t="s">
        <v>273</v>
      </c>
      <c r="C4532" t="s">
        <v>33</v>
      </c>
      <c r="D4532" t="s">
        <v>3464</v>
      </c>
      <c r="E4532" cm="1">
        <f t="array" ref="E4532">_xlfn.XLOOKUP(D4532,SKU_Master!A:A,SKU_Master!B:B,"Not on master")</f>
        <v>0</v>
      </c>
      <c r="F4532" cm="1">
        <f t="array" ref="F4532">_xlfn.XLOOKUP(C4532,Account_Master!A:A,Account_Master!B:B,"Not on master")</f>
        <v>0</v>
      </c>
      <c r="G4532" cm="1">
        <f t="array" ref="G4532">_xlfn.XLOOKUP(C4532,Account_Master!A:A,Account_Master!C:C,"Not on master")</f>
        <v>0</v>
      </c>
      <c r="H4532" s="6">
        <v>0</v>
      </c>
      <c r="I4532" s="6">
        <v>10.5</v>
      </c>
      <c r="J4532" s="6">
        <f>I4532-H4532</f>
        <v>0</v>
      </c>
      <c r="K4532" s="5">
        <f>IF(H4532=0,"",J4532/H4532)</f>
        <v>0</v>
      </c>
      <c r="L4532">
        <f>IF(OR(AND(H4532=0,ABS(J4532)&gt;=0.01),AND(H4532&lt;&gt;0,ABS(K4532)&gt;VarianceThreshold)),"Review","OK")</f>
        <v>0</v>
      </c>
      <c r="M4532" t="s">
        <v>3038</v>
      </c>
    </row>
    <row r="4533" spans="1:13">
      <c r="A4533" t="s">
        <v>7</v>
      </c>
      <c r="B4533" t="s">
        <v>284</v>
      </c>
      <c r="C4533" t="s">
        <v>3465</v>
      </c>
      <c r="D4533" t="s">
        <v>1919</v>
      </c>
      <c r="E4533" cm="1">
        <f t="array" ref="E4533">_xlfn.XLOOKUP(D4533,SKU_Master!A:A,SKU_Master!B:B,"Not on master")</f>
        <v>0</v>
      </c>
      <c r="F4533" cm="1">
        <f t="array" ref="F4533">_xlfn.XLOOKUP(C4533,Account_Master!A:A,Account_Master!B:B,"Not on master")</f>
        <v>0</v>
      </c>
      <c r="G4533" cm="1">
        <f t="array" ref="G4533">_xlfn.XLOOKUP(C4533,Account_Master!A:A,Account_Master!C:C,"Not on master")</f>
        <v>0</v>
      </c>
      <c r="H4533" s="6">
        <v>0.85</v>
      </c>
      <c r="I4533" s="6">
        <v>0.85</v>
      </c>
      <c r="J4533" s="6">
        <f>I4533-H4533</f>
        <v>0</v>
      </c>
      <c r="K4533" s="5">
        <f>IF(H4533=0,"",J4533/H4533)</f>
        <v>0</v>
      </c>
      <c r="L4533">
        <f>IF(OR(AND(H4533=0,ABS(J4533)&gt;=0.01),AND(H4533&lt;&gt;0,ABS(K4533)&gt;VarianceThreshold)),"Review","OK")</f>
        <v>0</v>
      </c>
      <c r="M4533" t="s">
        <v>33</v>
      </c>
    </row>
    <row r="4534" spans="1:13">
      <c r="A4534" t="s">
        <v>7</v>
      </c>
      <c r="B4534" t="s">
        <v>284</v>
      </c>
      <c r="C4534" t="s">
        <v>3367</v>
      </c>
      <c r="D4534" t="s">
        <v>1731</v>
      </c>
      <c r="E4534" cm="1">
        <f t="array" ref="E4534">_xlfn.XLOOKUP(D4534,SKU_Master!A:A,SKU_Master!B:B,"Not on master")</f>
        <v>0</v>
      </c>
      <c r="F4534" cm="1">
        <f t="array" ref="F4534">_xlfn.XLOOKUP(C4534,Account_Master!A:A,Account_Master!B:B,"Not on master")</f>
        <v>0</v>
      </c>
      <c r="G4534" cm="1">
        <f t="array" ref="G4534">_xlfn.XLOOKUP(C4534,Account_Master!A:A,Account_Master!C:C,"Not on master")</f>
        <v>0</v>
      </c>
      <c r="H4534" s="6">
        <v>63</v>
      </c>
      <c r="I4534" s="6">
        <v>52.5</v>
      </c>
      <c r="J4534" s="6">
        <f>I4534-H4534</f>
        <v>0</v>
      </c>
      <c r="K4534" s="5">
        <f>IF(H4534=0,"",J4534/H4534)</f>
        <v>0</v>
      </c>
      <c r="L4534">
        <f>IF(OR(AND(H4534=0,ABS(J4534)&gt;=0.01),AND(H4534&lt;&gt;0,ABS(K4534)&gt;VarianceThreshold)),"Review","OK")</f>
        <v>0</v>
      </c>
      <c r="M4534" t="s">
        <v>3038</v>
      </c>
    </row>
    <row r="4535" spans="1:13">
      <c r="A4535" t="s">
        <v>7</v>
      </c>
      <c r="B4535" t="s">
        <v>284</v>
      </c>
      <c r="C4535" t="s">
        <v>3357</v>
      </c>
      <c r="D4535" t="s">
        <v>3466</v>
      </c>
      <c r="E4535" cm="1">
        <f t="array" ref="E4535">_xlfn.XLOOKUP(D4535,SKU_Master!A:A,SKU_Master!B:B,"Not on master")</f>
        <v>0</v>
      </c>
      <c r="F4535" cm="1">
        <f t="array" ref="F4535">_xlfn.XLOOKUP(C4535,Account_Master!A:A,Account_Master!B:B,"Not on master")</f>
        <v>0</v>
      </c>
      <c r="G4535" cm="1">
        <f t="array" ref="G4535">_xlfn.XLOOKUP(C4535,Account_Master!A:A,Account_Master!C:C,"Not on master")</f>
        <v>0</v>
      </c>
      <c r="H4535" s="6">
        <v>56.25</v>
      </c>
      <c r="I4535" s="6">
        <v>56.25</v>
      </c>
      <c r="J4535" s="6">
        <f>I4535-H4535</f>
        <v>0</v>
      </c>
      <c r="K4535" s="5">
        <f>IF(H4535=0,"",J4535/H4535)</f>
        <v>0</v>
      </c>
      <c r="L4535">
        <f>IF(OR(AND(H4535=0,ABS(J4535)&gt;=0.01),AND(H4535&lt;&gt;0,ABS(K4535)&gt;VarianceThreshold)),"Review","OK")</f>
        <v>0</v>
      </c>
      <c r="M4535" t="s">
        <v>33</v>
      </c>
    </row>
    <row r="4536" spans="1:13">
      <c r="A4536" t="s">
        <v>7</v>
      </c>
      <c r="B4536" t="s">
        <v>284</v>
      </c>
      <c r="C4536" t="s">
        <v>3467</v>
      </c>
      <c r="D4536" t="s">
        <v>543</v>
      </c>
      <c r="E4536" cm="1">
        <f t="array" ref="E4536">_xlfn.XLOOKUP(D4536,SKU_Master!A:A,SKU_Master!B:B,"Not on master")</f>
        <v>0</v>
      </c>
      <c r="F4536" cm="1">
        <f t="array" ref="F4536">_xlfn.XLOOKUP(C4536,Account_Master!A:A,Account_Master!B:B,"Not on master")</f>
        <v>0</v>
      </c>
      <c r="G4536" cm="1">
        <f t="array" ref="G4536">_xlfn.XLOOKUP(C4536,Account_Master!A:A,Account_Master!C:C,"Not on master")</f>
        <v>0</v>
      </c>
      <c r="H4536" s="6">
        <v>6</v>
      </c>
      <c r="I4536" s="6">
        <v>6</v>
      </c>
      <c r="J4536" s="6">
        <f>I4536-H4536</f>
        <v>0</v>
      </c>
      <c r="K4536" s="5">
        <f>IF(H4536=0,"",J4536/H4536)</f>
        <v>0</v>
      </c>
      <c r="L4536">
        <f>IF(OR(AND(H4536=0,ABS(J4536)&gt;=0.01),AND(H4536&lt;&gt;0,ABS(K4536)&gt;VarianceThreshold)),"Review","OK")</f>
        <v>0</v>
      </c>
      <c r="M4536" t="s">
        <v>33</v>
      </c>
    </row>
    <row r="4537" spans="1:13">
      <c r="A4537" t="s">
        <v>7</v>
      </c>
      <c r="B4537" t="s">
        <v>284</v>
      </c>
      <c r="C4537" t="s">
        <v>3398</v>
      </c>
      <c r="D4537" t="s">
        <v>3468</v>
      </c>
      <c r="E4537" cm="1">
        <f t="array" ref="E4537">_xlfn.XLOOKUP(D4537,SKU_Master!A:A,SKU_Master!B:B,"Not on master")</f>
        <v>0</v>
      </c>
      <c r="F4537" cm="1">
        <f t="array" ref="F4537">_xlfn.XLOOKUP(C4537,Account_Master!A:A,Account_Master!B:B,"Not on master")</f>
        <v>0</v>
      </c>
      <c r="G4537" cm="1">
        <f t="array" ref="G4537">_xlfn.XLOOKUP(C4537,Account_Master!A:A,Account_Master!C:C,"Not on master")</f>
        <v>0</v>
      </c>
      <c r="H4537" s="6">
        <v>9.75</v>
      </c>
      <c r="I4537" s="6">
        <v>9.75</v>
      </c>
      <c r="J4537" s="6">
        <f>I4537-H4537</f>
        <v>0</v>
      </c>
      <c r="K4537" s="5">
        <f>IF(H4537=0,"",J4537/H4537)</f>
        <v>0</v>
      </c>
      <c r="L4537">
        <f>IF(OR(AND(H4537=0,ABS(J4537)&gt;=0.01),AND(H4537&lt;&gt;0,ABS(K4537)&gt;VarianceThreshold)),"Review","OK")</f>
        <v>0</v>
      </c>
      <c r="M4537" t="s">
        <v>33</v>
      </c>
    </row>
    <row r="4538" spans="1:13">
      <c r="A4538" t="s">
        <v>7</v>
      </c>
      <c r="B4538" t="s">
        <v>284</v>
      </c>
      <c r="C4538" t="s">
        <v>3368</v>
      </c>
      <c r="D4538" t="s">
        <v>3469</v>
      </c>
      <c r="E4538" cm="1">
        <f t="array" ref="E4538">_xlfn.XLOOKUP(D4538,SKU_Master!A:A,SKU_Master!B:B,"Not on master")</f>
        <v>0</v>
      </c>
      <c r="F4538" cm="1">
        <f t="array" ref="F4538">_xlfn.XLOOKUP(C4538,Account_Master!A:A,Account_Master!B:B,"Not on master")</f>
        <v>0</v>
      </c>
      <c r="G4538" cm="1">
        <f t="array" ref="G4538">_xlfn.XLOOKUP(C4538,Account_Master!A:A,Account_Master!C:C,"Not on master")</f>
        <v>0</v>
      </c>
      <c r="H4538" s="6">
        <v>4.5</v>
      </c>
      <c r="I4538" s="6">
        <v>4.5</v>
      </c>
      <c r="J4538" s="6">
        <f>I4538-H4538</f>
        <v>0</v>
      </c>
      <c r="K4538" s="5">
        <f>IF(H4538=0,"",J4538/H4538)</f>
        <v>0</v>
      </c>
      <c r="L4538">
        <f>IF(OR(AND(H4538=0,ABS(J4538)&gt;=0.01),AND(H4538&lt;&gt;0,ABS(K4538)&gt;VarianceThreshold)),"Review","OK")</f>
        <v>0</v>
      </c>
      <c r="M4538" t="s">
        <v>33</v>
      </c>
    </row>
    <row r="4539" spans="1:13">
      <c r="A4539" t="s">
        <v>7</v>
      </c>
      <c r="B4539" t="s">
        <v>284</v>
      </c>
      <c r="C4539" t="s">
        <v>3434</v>
      </c>
      <c r="D4539" t="s">
        <v>537</v>
      </c>
      <c r="E4539" cm="1">
        <f t="array" ref="E4539">_xlfn.XLOOKUP(D4539,SKU_Master!A:A,SKU_Master!B:B,"Not on master")</f>
        <v>0</v>
      </c>
      <c r="F4539" cm="1">
        <f t="array" ref="F4539">_xlfn.XLOOKUP(C4539,Account_Master!A:A,Account_Master!B:B,"Not on master")</f>
        <v>0</v>
      </c>
      <c r="G4539" cm="1">
        <f t="array" ref="G4539">_xlfn.XLOOKUP(C4539,Account_Master!A:A,Account_Master!C:C,"Not on master")</f>
        <v>0</v>
      </c>
      <c r="H4539" s="6">
        <v>15.75</v>
      </c>
      <c r="I4539" s="6">
        <v>15.75</v>
      </c>
      <c r="J4539" s="6">
        <f>I4539-H4539</f>
        <v>0</v>
      </c>
      <c r="K4539" s="5">
        <f>IF(H4539=0,"",J4539/H4539)</f>
        <v>0</v>
      </c>
      <c r="L4539">
        <f>IF(OR(AND(H4539=0,ABS(J4539)&gt;=0.01),AND(H4539&lt;&gt;0,ABS(K4539)&gt;VarianceThreshold)),"Review","OK")</f>
        <v>0</v>
      </c>
      <c r="M4539" t="s">
        <v>33</v>
      </c>
    </row>
    <row r="4540" spans="1:13">
      <c r="A4540" t="s">
        <v>7</v>
      </c>
      <c r="B4540" t="s">
        <v>289</v>
      </c>
      <c r="C4540" t="s">
        <v>3369</v>
      </c>
      <c r="D4540" t="s">
        <v>2555</v>
      </c>
      <c r="E4540" cm="1">
        <f t="array" ref="E4540">_xlfn.XLOOKUP(D4540,SKU_Master!A:A,SKU_Master!B:B,"Not on master")</f>
        <v>0</v>
      </c>
      <c r="F4540" cm="1">
        <f t="array" ref="F4540">_xlfn.XLOOKUP(C4540,Account_Master!A:A,Account_Master!B:B,"Not on master")</f>
        <v>0</v>
      </c>
      <c r="G4540" cm="1">
        <f t="array" ref="G4540">_xlfn.XLOOKUP(C4540,Account_Master!A:A,Account_Master!C:C,"Not on master")</f>
        <v>0</v>
      </c>
      <c r="H4540" s="6">
        <v>4.5</v>
      </c>
      <c r="I4540" s="6">
        <v>4.5</v>
      </c>
      <c r="J4540" s="6">
        <f>I4540-H4540</f>
        <v>0</v>
      </c>
      <c r="K4540" s="5">
        <f>IF(H4540=0,"",J4540/H4540)</f>
        <v>0</v>
      </c>
      <c r="L4540">
        <f>IF(OR(AND(H4540=0,ABS(J4540)&gt;=0.01),AND(H4540&lt;&gt;0,ABS(K4540)&gt;VarianceThreshold)),"Review","OK")</f>
        <v>0</v>
      </c>
      <c r="M4540" t="s">
        <v>33</v>
      </c>
    </row>
    <row r="4541" spans="1:13">
      <c r="A4541" t="s">
        <v>7</v>
      </c>
      <c r="B4541" t="s">
        <v>289</v>
      </c>
      <c r="C4541" t="s">
        <v>3440</v>
      </c>
      <c r="D4541" t="s">
        <v>869</v>
      </c>
      <c r="E4541" cm="1">
        <f t="array" ref="E4541">_xlfn.XLOOKUP(D4541,SKU_Master!A:A,SKU_Master!B:B,"Not on master")</f>
        <v>0</v>
      </c>
      <c r="F4541" cm="1">
        <f t="array" ref="F4541">_xlfn.XLOOKUP(C4541,Account_Master!A:A,Account_Master!B:B,"Not on master")</f>
        <v>0</v>
      </c>
      <c r="G4541" cm="1">
        <f t="array" ref="G4541">_xlfn.XLOOKUP(C4541,Account_Master!A:A,Account_Master!C:C,"Not on master")</f>
        <v>0</v>
      </c>
      <c r="H4541" s="6">
        <v>4</v>
      </c>
      <c r="I4541" s="6">
        <v>4</v>
      </c>
      <c r="J4541" s="6">
        <f>I4541-H4541</f>
        <v>0</v>
      </c>
      <c r="K4541" s="5">
        <f>IF(H4541=0,"",J4541/H4541)</f>
        <v>0</v>
      </c>
      <c r="L4541">
        <f>IF(OR(AND(H4541=0,ABS(J4541)&gt;=0.01),AND(H4541&lt;&gt;0,ABS(K4541)&gt;VarianceThreshold)),"Review","OK")</f>
        <v>0</v>
      </c>
      <c r="M4541" t="s">
        <v>33</v>
      </c>
    </row>
    <row r="4542" spans="1:13">
      <c r="A4542" t="s">
        <v>7</v>
      </c>
      <c r="B4542" t="s">
        <v>289</v>
      </c>
      <c r="C4542" t="s">
        <v>3470</v>
      </c>
      <c r="D4542" t="s">
        <v>930</v>
      </c>
      <c r="E4542" cm="1">
        <f t="array" ref="E4542">_xlfn.XLOOKUP(D4542,SKU_Master!A:A,SKU_Master!B:B,"Not on master")</f>
        <v>0</v>
      </c>
      <c r="F4542" cm="1">
        <f t="array" ref="F4542">_xlfn.XLOOKUP(C4542,Account_Master!A:A,Account_Master!B:B,"Not on master")</f>
        <v>0</v>
      </c>
      <c r="G4542" cm="1">
        <f t="array" ref="G4542">_xlfn.XLOOKUP(C4542,Account_Master!A:A,Account_Master!C:C,"Not on master")</f>
        <v>0</v>
      </c>
      <c r="H4542" s="6">
        <v>27</v>
      </c>
      <c r="I4542" s="6">
        <v>27</v>
      </c>
      <c r="J4542" s="6">
        <f>I4542-H4542</f>
        <v>0</v>
      </c>
      <c r="K4542" s="5">
        <f>IF(H4542=0,"",J4542/H4542)</f>
        <v>0</v>
      </c>
      <c r="L4542">
        <f>IF(OR(AND(H4542=0,ABS(J4542)&gt;=0.01),AND(H4542&lt;&gt;0,ABS(K4542)&gt;VarianceThreshold)),"Review","OK")</f>
        <v>0</v>
      </c>
      <c r="M4542" t="s">
        <v>33</v>
      </c>
    </row>
    <row r="4543" spans="1:13">
      <c r="A4543" t="s">
        <v>7</v>
      </c>
      <c r="B4543" t="s">
        <v>289</v>
      </c>
      <c r="C4543" t="s">
        <v>3398</v>
      </c>
      <c r="D4543" t="s">
        <v>2607</v>
      </c>
      <c r="E4543" cm="1">
        <f t="array" ref="E4543">_xlfn.XLOOKUP(D4543,SKU_Master!A:A,SKU_Master!B:B,"Not on master")</f>
        <v>0</v>
      </c>
      <c r="F4543" cm="1">
        <f t="array" ref="F4543">_xlfn.XLOOKUP(C4543,Account_Master!A:A,Account_Master!B:B,"Not on master")</f>
        <v>0</v>
      </c>
      <c r="G4543" cm="1">
        <f t="array" ref="G4543">_xlfn.XLOOKUP(C4543,Account_Master!A:A,Account_Master!C:C,"Not on master")</f>
        <v>0</v>
      </c>
      <c r="H4543" s="6">
        <v>4.5</v>
      </c>
      <c r="I4543" s="6">
        <v>4.5</v>
      </c>
      <c r="J4543" s="6">
        <f>I4543-H4543</f>
        <v>0</v>
      </c>
      <c r="K4543" s="5">
        <f>IF(H4543=0,"",J4543/H4543)</f>
        <v>0</v>
      </c>
      <c r="L4543">
        <f>IF(OR(AND(H4543=0,ABS(J4543)&gt;=0.01),AND(H4543&lt;&gt;0,ABS(K4543)&gt;VarianceThreshold)),"Review","OK")</f>
        <v>0</v>
      </c>
      <c r="M4543" t="s">
        <v>33</v>
      </c>
    </row>
    <row r="4544" spans="1:13">
      <c r="A4544" t="s">
        <v>7</v>
      </c>
      <c r="B4544" t="s">
        <v>289</v>
      </c>
      <c r="C4544" t="s">
        <v>3377</v>
      </c>
      <c r="D4544" t="s">
        <v>1699</v>
      </c>
      <c r="E4544" cm="1">
        <f t="array" ref="E4544">_xlfn.XLOOKUP(D4544,SKU_Master!A:A,SKU_Master!B:B,"Not on master")</f>
        <v>0</v>
      </c>
      <c r="F4544" cm="1">
        <f t="array" ref="F4544">_xlfn.XLOOKUP(C4544,Account_Master!A:A,Account_Master!B:B,"Not on master")</f>
        <v>0</v>
      </c>
      <c r="G4544" cm="1">
        <f t="array" ref="G4544">_xlfn.XLOOKUP(C4544,Account_Master!A:A,Account_Master!C:C,"Not on master")</f>
        <v>0</v>
      </c>
      <c r="H4544" s="6">
        <v>21</v>
      </c>
      <c r="I4544" s="6">
        <v>21</v>
      </c>
      <c r="J4544" s="6">
        <f>I4544-H4544</f>
        <v>0</v>
      </c>
      <c r="K4544" s="5">
        <f>IF(H4544=0,"",J4544/H4544)</f>
        <v>0</v>
      </c>
      <c r="L4544">
        <f>IF(OR(AND(H4544=0,ABS(J4544)&gt;=0.01),AND(H4544&lt;&gt;0,ABS(K4544)&gt;VarianceThreshold)),"Review","OK")</f>
        <v>0</v>
      </c>
      <c r="M4544" t="s">
        <v>33</v>
      </c>
    </row>
    <row r="4545" spans="1:13">
      <c r="A4545" t="s">
        <v>7</v>
      </c>
      <c r="B4545" t="s">
        <v>289</v>
      </c>
      <c r="C4545" t="s">
        <v>3471</v>
      </c>
      <c r="D4545" t="s">
        <v>2105</v>
      </c>
      <c r="E4545" cm="1">
        <f t="array" ref="E4545">_xlfn.XLOOKUP(D4545,SKU_Master!A:A,SKU_Master!B:B,"Not on master")</f>
        <v>0</v>
      </c>
      <c r="F4545" cm="1">
        <f t="array" ref="F4545">_xlfn.XLOOKUP(C4545,Account_Master!A:A,Account_Master!B:B,"Not on master")</f>
        <v>0</v>
      </c>
      <c r="G4545" cm="1">
        <f t="array" ref="G4545">_xlfn.XLOOKUP(C4545,Account_Master!A:A,Account_Master!C:C,"Not on master")</f>
        <v>0</v>
      </c>
      <c r="H4545" s="6">
        <v>19.5</v>
      </c>
      <c r="I4545" s="6">
        <v>19.5</v>
      </c>
      <c r="J4545" s="6">
        <f>I4545-H4545</f>
        <v>0</v>
      </c>
      <c r="K4545" s="5">
        <f>IF(H4545=0,"",J4545/H4545)</f>
        <v>0</v>
      </c>
      <c r="L4545">
        <f>IF(OR(AND(H4545=0,ABS(J4545)&gt;=0.01),AND(H4545&lt;&gt;0,ABS(K4545)&gt;VarianceThreshold)),"Review","OK")</f>
        <v>0</v>
      </c>
      <c r="M4545" t="s">
        <v>33</v>
      </c>
    </row>
    <row r="4546" spans="1:13">
      <c r="A4546" t="s">
        <v>7</v>
      </c>
      <c r="B4546" t="s">
        <v>289</v>
      </c>
      <c r="C4546" t="s">
        <v>33</v>
      </c>
      <c r="D4546" t="s">
        <v>3472</v>
      </c>
      <c r="E4546" cm="1">
        <f t="array" ref="E4546">_xlfn.XLOOKUP(D4546,SKU_Master!A:A,SKU_Master!B:B,"Not on master")</f>
        <v>0</v>
      </c>
      <c r="F4546" cm="1">
        <f t="array" ref="F4546">_xlfn.XLOOKUP(C4546,Account_Master!A:A,Account_Master!B:B,"Not on master")</f>
        <v>0</v>
      </c>
      <c r="G4546" cm="1">
        <f t="array" ref="G4546">_xlfn.XLOOKUP(C4546,Account_Master!A:A,Account_Master!C:C,"Not on master")</f>
        <v>0</v>
      </c>
      <c r="H4546" s="6">
        <v>0</v>
      </c>
      <c r="I4546" s="6">
        <v>12</v>
      </c>
      <c r="J4546" s="6">
        <f>I4546-H4546</f>
        <v>0</v>
      </c>
      <c r="K4546" s="5">
        <f>IF(H4546=0,"",J4546/H4546)</f>
        <v>0</v>
      </c>
      <c r="L4546">
        <f>IF(OR(AND(H4546=0,ABS(J4546)&gt;=0.01),AND(H4546&lt;&gt;0,ABS(K4546)&gt;VarianceThreshold)),"Review","OK")</f>
        <v>0</v>
      </c>
      <c r="M4546" t="s">
        <v>3038</v>
      </c>
    </row>
    <row r="4547" spans="1:13">
      <c r="A4547" t="s">
        <v>7</v>
      </c>
      <c r="B4547" t="s">
        <v>299</v>
      </c>
      <c r="C4547" t="s">
        <v>3473</v>
      </c>
      <c r="D4547" t="s">
        <v>454</v>
      </c>
      <c r="E4547" cm="1">
        <f t="array" ref="E4547">_xlfn.XLOOKUP(D4547,SKU_Master!A:A,SKU_Master!B:B,"Not on master")</f>
        <v>0</v>
      </c>
      <c r="F4547" cm="1">
        <f t="array" ref="F4547">_xlfn.XLOOKUP(C4547,Account_Master!A:A,Account_Master!B:B,"Not on master")</f>
        <v>0</v>
      </c>
      <c r="G4547" cm="1">
        <f t="array" ref="G4547">_xlfn.XLOOKUP(C4547,Account_Master!A:A,Account_Master!C:C,"Not on master")</f>
        <v>0</v>
      </c>
      <c r="H4547" s="6">
        <v>2.25</v>
      </c>
      <c r="I4547" s="6">
        <v>2.25</v>
      </c>
      <c r="J4547" s="6">
        <f>I4547-H4547</f>
        <v>0</v>
      </c>
      <c r="K4547" s="5">
        <f>IF(H4547=0,"",J4547/H4547)</f>
        <v>0</v>
      </c>
      <c r="L4547">
        <f>IF(OR(AND(H4547=0,ABS(J4547)&gt;=0.01),AND(H4547&lt;&gt;0,ABS(K4547)&gt;VarianceThreshold)),"Review","OK")</f>
        <v>0</v>
      </c>
      <c r="M4547" t="s">
        <v>33</v>
      </c>
    </row>
    <row r="4548" spans="1:13">
      <c r="A4548" t="s">
        <v>7</v>
      </c>
      <c r="B4548" t="s">
        <v>299</v>
      </c>
      <c r="C4548" t="s">
        <v>3388</v>
      </c>
      <c r="D4548" t="s">
        <v>1666</v>
      </c>
      <c r="E4548" cm="1">
        <f t="array" ref="E4548">_xlfn.XLOOKUP(D4548,SKU_Master!A:A,SKU_Master!B:B,"Not on master")</f>
        <v>0</v>
      </c>
      <c r="F4548" cm="1">
        <f t="array" ref="F4548">_xlfn.XLOOKUP(C4548,Account_Master!A:A,Account_Master!B:B,"Not on master")</f>
        <v>0</v>
      </c>
      <c r="G4548" cm="1">
        <f t="array" ref="G4548">_xlfn.XLOOKUP(C4548,Account_Master!A:A,Account_Master!C:C,"Not on master")</f>
        <v>0</v>
      </c>
      <c r="H4548" s="6">
        <v>25</v>
      </c>
      <c r="I4548" s="6">
        <v>25</v>
      </c>
      <c r="J4548" s="6">
        <f>I4548-H4548</f>
        <v>0</v>
      </c>
      <c r="K4548" s="5">
        <f>IF(H4548=0,"",J4548/H4548)</f>
        <v>0</v>
      </c>
      <c r="L4548">
        <f>IF(OR(AND(H4548=0,ABS(J4548)&gt;=0.01),AND(H4548&lt;&gt;0,ABS(K4548)&gt;VarianceThreshold)),"Review","OK")</f>
        <v>0</v>
      </c>
      <c r="M4548" t="s">
        <v>33</v>
      </c>
    </row>
    <row r="4549" spans="1:13">
      <c r="A4549" t="s">
        <v>7</v>
      </c>
      <c r="B4549" t="s">
        <v>299</v>
      </c>
      <c r="C4549" t="s">
        <v>3368</v>
      </c>
      <c r="D4549" t="s">
        <v>1277</v>
      </c>
      <c r="E4549" cm="1">
        <f t="array" ref="E4549">_xlfn.XLOOKUP(D4549,SKU_Master!A:A,SKU_Master!B:B,"Not on master")</f>
        <v>0</v>
      </c>
      <c r="F4549" cm="1">
        <f t="array" ref="F4549">_xlfn.XLOOKUP(C4549,Account_Master!A:A,Account_Master!B:B,"Not on master")</f>
        <v>0</v>
      </c>
      <c r="G4549" cm="1">
        <f t="array" ref="G4549">_xlfn.XLOOKUP(C4549,Account_Master!A:A,Account_Master!C:C,"Not on master")</f>
        <v>0</v>
      </c>
      <c r="H4549" s="6">
        <v>9</v>
      </c>
      <c r="I4549" s="6">
        <v>9</v>
      </c>
      <c r="J4549" s="6">
        <f>I4549-H4549</f>
        <v>0</v>
      </c>
      <c r="K4549" s="5">
        <f>IF(H4549=0,"",J4549/H4549)</f>
        <v>0</v>
      </c>
      <c r="L4549">
        <f>IF(OR(AND(H4549=0,ABS(J4549)&gt;=0.01),AND(H4549&lt;&gt;0,ABS(K4549)&gt;VarianceThreshold)),"Review","OK")</f>
        <v>0</v>
      </c>
      <c r="M4549" t="s">
        <v>33</v>
      </c>
    </row>
    <row r="4550" spans="1:13">
      <c r="A4550" t="s">
        <v>7</v>
      </c>
      <c r="B4550" t="s">
        <v>299</v>
      </c>
      <c r="C4550" t="s">
        <v>3368</v>
      </c>
      <c r="D4550" t="s">
        <v>3474</v>
      </c>
      <c r="E4550" cm="1">
        <f t="array" ref="E4550">_xlfn.XLOOKUP(D4550,SKU_Master!A:A,SKU_Master!B:B,"Not on master")</f>
        <v>0</v>
      </c>
      <c r="F4550" cm="1">
        <f t="array" ref="F4550">_xlfn.XLOOKUP(C4550,Account_Master!A:A,Account_Master!B:B,"Not on master")</f>
        <v>0</v>
      </c>
      <c r="G4550" cm="1">
        <f t="array" ref="G4550">_xlfn.XLOOKUP(C4550,Account_Master!A:A,Account_Master!C:C,"Not on master")</f>
        <v>0</v>
      </c>
      <c r="H4550" s="6">
        <v>4.5</v>
      </c>
      <c r="I4550" s="6">
        <v>4.5</v>
      </c>
      <c r="J4550" s="6">
        <f>I4550-H4550</f>
        <v>0</v>
      </c>
      <c r="K4550" s="5">
        <f>IF(H4550=0,"",J4550/H4550)</f>
        <v>0</v>
      </c>
      <c r="L4550">
        <f>IF(OR(AND(H4550=0,ABS(J4550)&gt;=0.01),AND(H4550&lt;&gt;0,ABS(K4550)&gt;VarianceThreshold)),"Review","OK")</f>
        <v>0</v>
      </c>
      <c r="M4550" t="s">
        <v>33</v>
      </c>
    </row>
    <row r="4551" spans="1:13">
      <c r="A4551" t="s">
        <v>7</v>
      </c>
      <c r="B4551" t="s">
        <v>299</v>
      </c>
      <c r="C4551" t="s">
        <v>3440</v>
      </c>
      <c r="D4551" t="s">
        <v>3475</v>
      </c>
      <c r="E4551" cm="1">
        <f t="array" ref="E4551">_xlfn.XLOOKUP(D4551,SKU_Master!A:A,SKU_Master!B:B,"Not on master")</f>
        <v>0</v>
      </c>
      <c r="F4551" cm="1">
        <f t="array" ref="F4551">_xlfn.XLOOKUP(C4551,Account_Master!A:A,Account_Master!B:B,"Not on master")</f>
        <v>0</v>
      </c>
      <c r="G4551" cm="1">
        <f t="array" ref="G4551">_xlfn.XLOOKUP(C4551,Account_Master!A:A,Account_Master!C:C,"Not on master")</f>
        <v>0</v>
      </c>
      <c r="H4551" s="6">
        <v>5.25</v>
      </c>
      <c r="I4551" s="6">
        <v>5.25</v>
      </c>
      <c r="J4551" s="6">
        <f>I4551-H4551</f>
        <v>0</v>
      </c>
      <c r="K4551" s="5">
        <f>IF(H4551=0,"",J4551/H4551)</f>
        <v>0</v>
      </c>
      <c r="L4551">
        <f>IF(OR(AND(H4551=0,ABS(J4551)&gt;=0.01),AND(H4551&lt;&gt;0,ABS(K4551)&gt;VarianceThreshold)),"Review","OK")</f>
        <v>0</v>
      </c>
      <c r="M4551" t="s">
        <v>33</v>
      </c>
    </row>
    <row r="4552" spans="1:13">
      <c r="A4552" t="s">
        <v>7</v>
      </c>
      <c r="B4552" t="s">
        <v>306</v>
      </c>
      <c r="C4552" t="s">
        <v>3476</v>
      </c>
      <c r="D4552" t="s">
        <v>2755</v>
      </c>
      <c r="E4552" cm="1">
        <f t="array" ref="E4552">_xlfn.XLOOKUP(D4552,SKU_Master!A:A,SKU_Master!B:B,"Not on master")</f>
        <v>0</v>
      </c>
      <c r="F4552" cm="1">
        <f t="array" ref="F4552">_xlfn.XLOOKUP(C4552,Account_Master!A:A,Account_Master!B:B,"Not on master")</f>
        <v>0</v>
      </c>
      <c r="G4552" cm="1">
        <f t="array" ref="G4552">_xlfn.XLOOKUP(C4552,Account_Master!A:A,Account_Master!C:C,"Not on master")</f>
        <v>0</v>
      </c>
      <c r="H4552" s="6">
        <v>13.5</v>
      </c>
      <c r="I4552" s="6">
        <v>13.5</v>
      </c>
      <c r="J4552" s="6">
        <f>I4552-H4552</f>
        <v>0</v>
      </c>
      <c r="K4552" s="5">
        <f>IF(H4552=0,"",J4552/H4552)</f>
        <v>0</v>
      </c>
      <c r="L4552">
        <f>IF(OR(AND(H4552=0,ABS(J4552)&gt;=0.01),AND(H4552&lt;&gt;0,ABS(K4552)&gt;VarianceThreshold)),"Review","OK")</f>
        <v>0</v>
      </c>
      <c r="M4552" t="s">
        <v>33</v>
      </c>
    </row>
    <row r="4553" spans="1:13">
      <c r="A4553" t="s">
        <v>7</v>
      </c>
      <c r="B4553" t="s">
        <v>306</v>
      </c>
      <c r="C4553" t="s">
        <v>3477</v>
      </c>
      <c r="D4553" t="s">
        <v>1838</v>
      </c>
      <c r="E4553" cm="1">
        <f t="array" ref="E4553">_xlfn.XLOOKUP(D4553,SKU_Master!A:A,SKU_Master!B:B,"Not on master")</f>
        <v>0</v>
      </c>
      <c r="F4553" cm="1">
        <f t="array" ref="F4553">_xlfn.XLOOKUP(C4553,Account_Master!A:A,Account_Master!B:B,"Not on master")</f>
        <v>0</v>
      </c>
      <c r="G4553" cm="1">
        <f t="array" ref="G4553">_xlfn.XLOOKUP(C4553,Account_Master!A:A,Account_Master!C:C,"Not on master")</f>
        <v>0</v>
      </c>
      <c r="H4553" s="6">
        <v>42</v>
      </c>
      <c r="I4553" s="6">
        <v>31.5</v>
      </c>
      <c r="J4553" s="6">
        <f>I4553-H4553</f>
        <v>0</v>
      </c>
      <c r="K4553" s="5">
        <f>IF(H4553=0,"",J4553/H4553)</f>
        <v>0</v>
      </c>
      <c r="L4553">
        <f>IF(OR(AND(H4553=0,ABS(J4553)&gt;=0.01),AND(H4553&lt;&gt;0,ABS(K4553)&gt;VarianceThreshold)),"Review","OK")</f>
        <v>0</v>
      </c>
      <c r="M4553" t="s">
        <v>3038</v>
      </c>
    </row>
    <row r="4554" spans="1:13">
      <c r="A4554" t="s">
        <v>7</v>
      </c>
      <c r="B4554" t="s">
        <v>306</v>
      </c>
      <c r="C4554" t="s">
        <v>3363</v>
      </c>
      <c r="D4554" t="s">
        <v>1283</v>
      </c>
      <c r="E4554" cm="1">
        <f t="array" ref="E4554">_xlfn.XLOOKUP(D4554,SKU_Master!A:A,SKU_Master!B:B,"Not on master")</f>
        <v>0</v>
      </c>
      <c r="F4554" cm="1">
        <f t="array" ref="F4554">_xlfn.XLOOKUP(C4554,Account_Master!A:A,Account_Master!B:B,"Not on master")</f>
        <v>0</v>
      </c>
      <c r="G4554" cm="1">
        <f t="array" ref="G4554">_xlfn.XLOOKUP(C4554,Account_Master!A:A,Account_Master!C:C,"Not on master")</f>
        <v>0</v>
      </c>
      <c r="H4554" s="6">
        <v>4.5</v>
      </c>
      <c r="I4554" s="6">
        <v>4.5</v>
      </c>
      <c r="J4554" s="6">
        <f>I4554-H4554</f>
        <v>0</v>
      </c>
      <c r="K4554" s="5">
        <f>IF(H4554=0,"",J4554/H4554)</f>
        <v>0</v>
      </c>
      <c r="L4554">
        <f>IF(OR(AND(H4554=0,ABS(J4554)&gt;=0.01),AND(H4554&lt;&gt;0,ABS(K4554)&gt;VarianceThreshold)),"Review","OK")</f>
        <v>0</v>
      </c>
      <c r="M4554" t="s">
        <v>33</v>
      </c>
    </row>
    <row r="4555" spans="1:13">
      <c r="A4555" t="s">
        <v>7</v>
      </c>
      <c r="B4555" t="s">
        <v>306</v>
      </c>
      <c r="C4555" t="s">
        <v>3440</v>
      </c>
      <c r="D4555" t="s">
        <v>630</v>
      </c>
      <c r="E4555" cm="1">
        <f t="array" ref="E4555">_xlfn.XLOOKUP(D4555,SKU_Master!A:A,SKU_Master!B:B,"Not on master")</f>
        <v>0</v>
      </c>
      <c r="F4555" cm="1">
        <f t="array" ref="F4555">_xlfn.XLOOKUP(C4555,Account_Master!A:A,Account_Master!B:B,"Not on master")</f>
        <v>0</v>
      </c>
      <c r="G4555" cm="1">
        <f t="array" ref="G4555">_xlfn.XLOOKUP(C4555,Account_Master!A:A,Account_Master!C:C,"Not on master")</f>
        <v>0</v>
      </c>
      <c r="H4555" s="6">
        <v>3.75</v>
      </c>
      <c r="I4555" s="6">
        <v>3.75</v>
      </c>
      <c r="J4555" s="6">
        <f>I4555-H4555</f>
        <v>0</v>
      </c>
      <c r="K4555" s="5">
        <f>IF(H4555=0,"",J4555/H4555)</f>
        <v>0</v>
      </c>
      <c r="L4555">
        <f>IF(OR(AND(H4555=0,ABS(J4555)&gt;=0.01),AND(H4555&lt;&gt;0,ABS(K4555)&gt;VarianceThreshold)),"Review","OK")</f>
        <v>0</v>
      </c>
      <c r="M4555" t="s">
        <v>33</v>
      </c>
    </row>
    <row r="4556" spans="1:13">
      <c r="A4556" t="s">
        <v>7</v>
      </c>
      <c r="B4556" t="s">
        <v>313</v>
      </c>
      <c r="C4556" t="s">
        <v>3400</v>
      </c>
      <c r="D4556" t="s">
        <v>1711</v>
      </c>
      <c r="E4556" cm="1">
        <f t="array" ref="E4556">_xlfn.XLOOKUP(D4556,SKU_Master!A:A,SKU_Master!B:B,"Not on master")</f>
        <v>0</v>
      </c>
      <c r="F4556" cm="1">
        <f t="array" ref="F4556">_xlfn.XLOOKUP(C4556,Account_Master!A:A,Account_Master!B:B,"Not on master")</f>
        <v>0</v>
      </c>
      <c r="G4556" cm="1">
        <f t="array" ref="G4556">_xlfn.XLOOKUP(C4556,Account_Master!A:A,Account_Master!C:C,"Not on master")</f>
        <v>0</v>
      </c>
      <c r="H4556" s="6">
        <v>6</v>
      </c>
      <c r="I4556" s="6">
        <v>6</v>
      </c>
      <c r="J4556" s="6">
        <f>I4556-H4556</f>
        <v>0</v>
      </c>
      <c r="K4556" s="5">
        <f>IF(H4556=0,"",J4556/H4556)</f>
        <v>0</v>
      </c>
      <c r="L4556">
        <f>IF(OR(AND(H4556=0,ABS(J4556)&gt;=0.01),AND(H4556&lt;&gt;0,ABS(K4556)&gt;VarianceThreshold)),"Review","OK")</f>
        <v>0</v>
      </c>
      <c r="M4556" t="s">
        <v>33</v>
      </c>
    </row>
    <row r="4557" spans="1:13">
      <c r="A4557" t="s">
        <v>7</v>
      </c>
      <c r="B4557" t="s">
        <v>313</v>
      </c>
      <c r="C4557" t="s">
        <v>3393</v>
      </c>
      <c r="D4557" t="s">
        <v>965</v>
      </c>
      <c r="E4557" cm="1">
        <f t="array" ref="E4557">_xlfn.XLOOKUP(D4557,SKU_Master!A:A,SKU_Master!B:B,"Not on master")</f>
        <v>0</v>
      </c>
      <c r="F4557" cm="1">
        <f t="array" ref="F4557">_xlfn.XLOOKUP(C4557,Account_Master!A:A,Account_Master!B:B,"Not on master")</f>
        <v>0</v>
      </c>
      <c r="G4557" cm="1">
        <f t="array" ref="G4557">_xlfn.XLOOKUP(C4557,Account_Master!A:A,Account_Master!C:C,"Not on master")</f>
        <v>0</v>
      </c>
      <c r="H4557" s="6">
        <v>32</v>
      </c>
      <c r="I4557" s="6">
        <v>20</v>
      </c>
      <c r="J4557" s="6">
        <f>I4557-H4557</f>
        <v>0</v>
      </c>
      <c r="K4557" s="5">
        <f>IF(H4557=0,"",J4557/H4557)</f>
        <v>0</v>
      </c>
      <c r="L4557">
        <f>IF(OR(AND(H4557=0,ABS(J4557)&gt;=0.01),AND(H4557&lt;&gt;0,ABS(K4557)&gt;VarianceThreshold)),"Review","OK")</f>
        <v>0</v>
      </c>
      <c r="M4557" t="s">
        <v>3038</v>
      </c>
    </row>
    <row r="4558" spans="1:13">
      <c r="A4558" t="s">
        <v>7</v>
      </c>
      <c r="B4558" t="s">
        <v>313</v>
      </c>
      <c r="C4558" t="s">
        <v>3368</v>
      </c>
      <c r="D4558" t="s">
        <v>1915</v>
      </c>
      <c r="E4558" cm="1">
        <f t="array" ref="E4558">_xlfn.XLOOKUP(D4558,SKU_Master!A:A,SKU_Master!B:B,"Not on master")</f>
        <v>0</v>
      </c>
      <c r="F4558" cm="1">
        <f t="array" ref="F4558">_xlfn.XLOOKUP(C4558,Account_Master!A:A,Account_Master!B:B,"Not on master")</f>
        <v>0</v>
      </c>
      <c r="G4558" cm="1">
        <f t="array" ref="G4558">_xlfn.XLOOKUP(C4558,Account_Master!A:A,Account_Master!C:C,"Not on master")</f>
        <v>0</v>
      </c>
      <c r="H4558" s="6">
        <v>6.75</v>
      </c>
      <c r="I4558" s="6">
        <v>6.75</v>
      </c>
      <c r="J4558" s="6">
        <f>I4558-H4558</f>
        <v>0</v>
      </c>
      <c r="K4558" s="5">
        <f>IF(H4558=0,"",J4558/H4558)</f>
        <v>0</v>
      </c>
      <c r="L4558">
        <f>IF(OR(AND(H4558=0,ABS(J4558)&gt;=0.01),AND(H4558&lt;&gt;0,ABS(K4558)&gt;VarianceThreshold)),"Review","OK")</f>
        <v>0</v>
      </c>
      <c r="M4558" t="s">
        <v>33</v>
      </c>
    </row>
    <row r="4559" spans="1:13">
      <c r="A4559" t="s">
        <v>7</v>
      </c>
      <c r="B4559" t="s">
        <v>324</v>
      </c>
      <c r="C4559" t="s">
        <v>3478</v>
      </c>
      <c r="D4559" t="s">
        <v>2238</v>
      </c>
      <c r="E4559" cm="1">
        <f t="array" ref="E4559">_xlfn.XLOOKUP(D4559,SKU_Master!A:A,SKU_Master!B:B,"Not on master")</f>
        <v>0</v>
      </c>
      <c r="F4559" cm="1">
        <f t="array" ref="F4559">_xlfn.XLOOKUP(C4559,Account_Master!A:A,Account_Master!B:B,"Not on master")</f>
        <v>0</v>
      </c>
      <c r="G4559" cm="1">
        <f t="array" ref="G4559">_xlfn.XLOOKUP(C4559,Account_Master!A:A,Account_Master!C:C,"Not on master")</f>
        <v>0</v>
      </c>
      <c r="H4559" s="6">
        <v>18</v>
      </c>
      <c r="I4559" s="6">
        <v>18</v>
      </c>
      <c r="J4559" s="6">
        <f>I4559-H4559</f>
        <v>0</v>
      </c>
      <c r="K4559" s="5">
        <f>IF(H4559=0,"",J4559/H4559)</f>
        <v>0</v>
      </c>
      <c r="L4559">
        <f>IF(OR(AND(H4559=0,ABS(J4559)&gt;=0.01),AND(H4559&lt;&gt;0,ABS(K4559)&gt;VarianceThreshold)),"Review","OK")</f>
        <v>0</v>
      </c>
      <c r="M4559" t="s">
        <v>33</v>
      </c>
    </row>
    <row r="4560" spans="1:13">
      <c r="A4560" t="s">
        <v>7</v>
      </c>
      <c r="B4560" t="s">
        <v>324</v>
      </c>
      <c r="C4560" t="s">
        <v>3377</v>
      </c>
      <c r="D4560" t="s">
        <v>628</v>
      </c>
      <c r="E4560" cm="1">
        <f t="array" ref="E4560">_xlfn.XLOOKUP(D4560,SKU_Master!A:A,SKU_Master!B:B,"Not on master")</f>
        <v>0</v>
      </c>
      <c r="F4560" cm="1">
        <f t="array" ref="F4560">_xlfn.XLOOKUP(C4560,Account_Master!A:A,Account_Master!B:B,"Not on master")</f>
        <v>0</v>
      </c>
      <c r="G4560" cm="1">
        <f t="array" ref="G4560">_xlfn.XLOOKUP(C4560,Account_Master!A:A,Account_Master!C:C,"Not on master")</f>
        <v>0</v>
      </c>
      <c r="H4560" s="6">
        <v>4</v>
      </c>
      <c r="I4560" s="6">
        <v>4</v>
      </c>
      <c r="J4560" s="6">
        <f>I4560-H4560</f>
        <v>0</v>
      </c>
      <c r="K4560" s="5">
        <f>IF(H4560=0,"",J4560/H4560)</f>
        <v>0</v>
      </c>
      <c r="L4560">
        <f>IF(OR(AND(H4560=0,ABS(J4560)&gt;=0.01),AND(H4560&lt;&gt;0,ABS(K4560)&gt;VarianceThreshold)),"Review","OK")</f>
        <v>0</v>
      </c>
      <c r="M4560" t="s">
        <v>33</v>
      </c>
    </row>
    <row r="4561" spans="1:13">
      <c r="A4561" t="s">
        <v>7</v>
      </c>
      <c r="B4561" t="s">
        <v>324</v>
      </c>
      <c r="C4561" t="s">
        <v>3369</v>
      </c>
      <c r="D4561" t="s">
        <v>3479</v>
      </c>
      <c r="E4561" cm="1">
        <f t="array" ref="E4561">_xlfn.XLOOKUP(D4561,SKU_Master!A:A,SKU_Master!B:B,"Not on master")</f>
        <v>0</v>
      </c>
      <c r="F4561" cm="1">
        <f t="array" ref="F4561">_xlfn.XLOOKUP(C4561,Account_Master!A:A,Account_Master!B:B,"Not on master")</f>
        <v>0</v>
      </c>
      <c r="G4561" cm="1">
        <f t="array" ref="G4561">_xlfn.XLOOKUP(C4561,Account_Master!A:A,Account_Master!C:C,"Not on master")</f>
        <v>0</v>
      </c>
      <c r="H4561" s="6">
        <v>13.5</v>
      </c>
      <c r="I4561" s="6">
        <v>13.5</v>
      </c>
      <c r="J4561" s="6">
        <f>I4561-H4561</f>
        <v>0</v>
      </c>
      <c r="K4561" s="5">
        <f>IF(H4561=0,"",J4561/H4561)</f>
        <v>0</v>
      </c>
      <c r="L4561">
        <f>IF(OR(AND(H4561=0,ABS(J4561)&gt;=0.01),AND(H4561&lt;&gt;0,ABS(K4561)&gt;VarianceThreshold)),"Review","OK")</f>
        <v>0</v>
      </c>
      <c r="M4561" t="s">
        <v>33</v>
      </c>
    </row>
    <row r="4562" spans="1:13">
      <c r="A4562" t="s">
        <v>7</v>
      </c>
      <c r="B4562" t="s">
        <v>331</v>
      </c>
      <c r="C4562" t="s">
        <v>3357</v>
      </c>
      <c r="D4562" t="s">
        <v>1358</v>
      </c>
      <c r="E4562" cm="1">
        <f t="array" ref="E4562">_xlfn.XLOOKUP(D4562,SKU_Master!A:A,SKU_Master!B:B,"Not on master")</f>
        <v>0</v>
      </c>
      <c r="F4562" cm="1">
        <f t="array" ref="F4562">_xlfn.XLOOKUP(C4562,Account_Master!A:A,Account_Master!B:B,"Not on master")</f>
        <v>0</v>
      </c>
      <c r="G4562" cm="1">
        <f t="array" ref="G4562">_xlfn.XLOOKUP(C4562,Account_Master!A:A,Account_Master!C:C,"Not on master")</f>
        <v>0</v>
      </c>
      <c r="H4562" s="6">
        <v>26.25</v>
      </c>
      <c r="I4562" s="6">
        <v>15</v>
      </c>
      <c r="J4562" s="6">
        <f>I4562-H4562</f>
        <v>0</v>
      </c>
      <c r="K4562" s="5">
        <f>IF(H4562=0,"",J4562/H4562)</f>
        <v>0</v>
      </c>
      <c r="L4562">
        <f>IF(OR(AND(H4562=0,ABS(J4562)&gt;=0.01),AND(H4562&lt;&gt;0,ABS(K4562)&gt;VarianceThreshold)),"Review","OK")</f>
        <v>0</v>
      </c>
      <c r="M4562" t="s">
        <v>3038</v>
      </c>
    </row>
    <row r="4563" spans="1:13">
      <c r="A4563" t="s">
        <v>7</v>
      </c>
      <c r="B4563" t="s">
        <v>331</v>
      </c>
      <c r="C4563" t="s">
        <v>3480</v>
      </c>
      <c r="D4563" t="s">
        <v>240</v>
      </c>
      <c r="E4563" cm="1">
        <f t="array" ref="E4563">_xlfn.XLOOKUP(D4563,SKU_Master!A:A,SKU_Master!B:B,"Not on master")</f>
        <v>0</v>
      </c>
      <c r="F4563" cm="1">
        <f t="array" ref="F4563">_xlfn.XLOOKUP(C4563,Account_Master!A:A,Account_Master!B:B,"Not on master")</f>
        <v>0</v>
      </c>
      <c r="G4563" cm="1">
        <f t="array" ref="G4563">_xlfn.XLOOKUP(C4563,Account_Master!A:A,Account_Master!C:C,"Not on master")</f>
        <v>0</v>
      </c>
      <c r="H4563" s="6">
        <v>157.5</v>
      </c>
      <c r="I4563" s="6">
        <v>157.5</v>
      </c>
      <c r="J4563" s="6">
        <f>I4563-H4563</f>
        <v>0</v>
      </c>
      <c r="K4563" s="5">
        <f>IF(H4563=0,"",J4563/H4563)</f>
        <v>0</v>
      </c>
      <c r="L4563">
        <f>IF(OR(AND(H4563=0,ABS(J4563)&gt;=0.01),AND(H4563&lt;&gt;0,ABS(K4563)&gt;VarianceThreshold)),"Review","OK")</f>
        <v>0</v>
      </c>
      <c r="M4563" t="s">
        <v>33</v>
      </c>
    </row>
    <row r="4564" spans="1:13">
      <c r="A4564" t="s">
        <v>7</v>
      </c>
      <c r="B4564" t="s">
        <v>331</v>
      </c>
      <c r="C4564" t="s">
        <v>3481</v>
      </c>
      <c r="D4564" t="s">
        <v>810</v>
      </c>
      <c r="E4564" cm="1">
        <f t="array" ref="E4564">_xlfn.XLOOKUP(D4564,SKU_Master!A:A,SKU_Master!B:B,"Not on master")</f>
        <v>0</v>
      </c>
      <c r="F4564" cm="1">
        <f t="array" ref="F4564">_xlfn.XLOOKUP(C4564,Account_Master!A:A,Account_Master!B:B,"Not on master")</f>
        <v>0</v>
      </c>
      <c r="G4564" cm="1">
        <f t="array" ref="G4564">_xlfn.XLOOKUP(C4564,Account_Master!A:A,Account_Master!C:C,"Not on master")</f>
        <v>0</v>
      </c>
      <c r="H4564" s="6">
        <v>9</v>
      </c>
      <c r="I4564" s="6">
        <v>9</v>
      </c>
      <c r="J4564" s="6">
        <f>I4564-H4564</f>
        <v>0</v>
      </c>
      <c r="K4564" s="5">
        <f>IF(H4564=0,"",J4564/H4564)</f>
        <v>0</v>
      </c>
      <c r="L4564">
        <f>IF(OR(AND(H4564=0,ABS(J4564)&gt;=0.01),AND(H4564&lt;&gt;0,ABS(K4564)&gt;VarianceThreshold)),"Review","OK")</f>
        <v>0</v>
      </c>
      <c r="M4564" t="s">
        <v>33</v>
      </c>
    </row>
    <row r="4565" spans="1:13">
      <c r="A4565" t="s">
        <v>7</v>
      </c>
      <c r="B4565" t="s">
        <v>331</v>
      </c>
      <c r="C4565" t="s">
        <v>3358</v>
      </c>
      <c r="D4565" t="s">
        <v>882</v>
      </c>
      <c r="E4565" cm="1">
        <f t="array" ref="E4565">_xlfn.XLOOKUP(D4565,SKU_Master!A:A,SKU_Master!B:B,"Not on master")</f>
        <v>0</v>
      </c>
      <c r="F4565" cm="1">
        <f t="array" ref="F4565">_xlfn.XLOOKUP(C4565,Account_Master!A:A,Account_Master!B:B,"Not on master")</f>
        <v>0</v>
      </c>
      <c r="G4565" cm="1">
        <f t="array" ref="G4565">_xlfn.XLOOKUP(C4565,Account_Master!A:A,Account_Master!C:C,"Not on master")</f>
        <v>0</v>
      </c>
      <c r="H4565" s="6">
        <v>9</v>
      </c>
      <c r="I4565" s="6">
        <v>9</v>
      </c>
      <c r="J4565" s="6">
        <f>I4565-H4565</f>
        <v>0</v>
      </c>
      <c r="K4565" s="5">
        <f>IF(H4565=0,"",J4565/H4565)</f>
        <v>0</v>
      </c>
      <c r="L4565">
        <f>IF(OR(AND(H4565=0,ABS(J4565)&gt;=0.01),AND(H4565&lt;&gt;0,ABS(K4565)&gt;VarianceThreshold)),"Review","OK")</f>
        <v>0</v>
      </c>
      <c r="M4565" t="s">
        <v>33</v>
      </c>
    </row>
    <row r="4566" spans="1:13">
      <c r="A4566" t="s">
        <v>7</v>
      </c>
      <c r="B4566" t="s">
        <v>331</v>
      </c>
      <c r="C4566" t="s">
        <v>3482</v>
      </c>
      <c r="D4566" t="s">
        <v>1310</v>
      </c>
      <c r="E4566" cm="1">
        <f t="array" ref="E4566">_xlfn.XLOOKUP(D4566,SKU_Master!A:A,SKU_Master!B:B,"Not on master")</f>
        <v>0</v>
      </c>
      <c r="F4566" cm="1">
        <f t="array" ref="F4566">_xlfn.XLOOKUP(C4566,Account_Master!A:A,Account_Master!B:B,"Not on master")</f>
        <v>0</v>
      </c>
      <c r="G4566" cm="1">
        <f t="array" ref="G4566">_xlfn.XLOOKUP(C4566,Account_Master!A:A,Account_Master!C:C,"Not on master")</f>
        <v>0</v>
      </c>
      <c r="H4566" s="6">
        <v>11.98</v>
      </c>
      <c r="I4566" s="6">
        <v>11.98</v>
      </c>
      <c r="J4566" s="6">
        <f>I4566-H4566</f>
        <v>0</v>
      </c>
      <c r="K4566" s="5">
        <f>IF(H4566=0,"",J4566/H4566)</f>
        <v>0</v>
      </c>
      <c r="L4566">
        <f>IF(OR(AND(H4566=0,ABS(J4566)&gt;=0.01),AND(H4566&lt;&gt;0,ABS(K4566)&gt;VarianceThreshold)),"Review","OK")</f>
        <v>0</v>
      </c>
      <c r="M4566" t="s">
        <v>33</v>
      </c>
    </row>
    <row r="4567" spans="1:13">
      <c r="A4567" t="s">
        <v>7</v>
      </c>
      <c r="B4567" t="s">
        <v>331</v>
      </c>
      <c r="C4567" t="s">
        <v>3356</v>
      </c>
      <c r="D4567" t="s">
        <v>1139</v>
      </c>
      <c r="E4567" cm="1">
        <f t="array" ref="E4567">_xlfn.XLOOKUP(D4567,SKU_Master!A:A,SKU_Master!B:B,"Not on master")</f>
        <v>0</v>
      </c>
      <c r="F4567" cm="1">
        <f t="array" ref="F4567">_xlfn.XLOOKUP(C4567,Account_Master!A:A,Account_Master!B:B,"Not on master")</f>
        <v>0</v>
      </c>
      <c r="G4567" cm="1">
        <f t="array" ref="G4567">_xlfn.XLOOKUP(C4567,Account_Master!A:A,Account_Master!C:C,"Not on master")</f>
        <v>0</v>
      </c>
      <c r="H4567" s="6">
        <v>11.25</v>
      </c>
      <c r="I4567" s="6">
        <v>11.25</v>
      </c>
      <c r="J4567" s="6">
        <f>I4567-H4567</f>
        <v>0</v>
      </c>
      <c r="K4567" s="5">
        <f>IF(H4567=0,"",J4567/H4567)</f>
        <v>0</v>
      </c>
      <c r="L4567">
        <f>IF(OR(AND(H4567=0,ABS(J4567)&gt;=0.01),AND(H4567&lt;&gt;0,ABS(K4567)&gt;VarianceThreshold)),"Review","OK")</f>
        <v>0</v>
      </c>
      <c r="M4567" t="s">
        <v>33</v>
      </c>
    </row>
    <row r="4568" spans="1:13">
      <c r="A4568" t="s">
        <v>7</v>
      </c>
      <c r="B4568" t="s">
        <v>331</v>
      </c>
      <c r="C4568" t="s">
        <v>3431</v>
      </c>
      <c r="D4568" t="s">
        <v>433</v>
      </c>
      <c r="E4568" cm="1">
        <f t="array" ref="E4568">_xlfn.XLOOKUP(D4568,SKU_Master!A:A,SKU_Master!B:B,"Not on master")</f>
        <v>0</v>
      </c>
      <c r="F4568" cm="1">
        <f t="array" ref="F4568">_xlfn.XLOOKUP(C4568,Account_Master!A:A,Account_Master!B:B,"Not on master")</f>
        <v>0</v>
      </c>
      <c r="G4568" cm="1">
        <f t="array" ref="G4568">_xlfn.XLOOKUP(C4568,Account_Master!A:A,Account_Master!C:C,"Not on master")</f>
        <v>0</v>
      </c>
      <c r="H4568" s="6">
        <v>26.25</v>
      </c>
      <c r="I4568" s="6">
        <v>26.25</v>
      </c>
      <c r="J4568" s="6">
        <f>I4568-H4568</f>
        <v>0</v>
      </c>
      <c r="K4568" s="5">
        <f>IF(H4568=0,"",J4568/H4568)</f>
        <v>0</v>
      </c>
      <c r="L4568">
        <f>IF(OR(AND(H4568=0,ABS(J4568)&gt;=0.01),AND(H4568&lt;&gt;0,ABS(K4568)&gt;VarianceThreshold)),"Review","OK")</f>
        <v>0</v>
      </c>
      <c r="M4568" t="s">
        <v>33</v>
      </c>
    </row>
    <row r="4569" spans="1:13">
      <c r="A4569" t="s">
        <v>7</v>
      </c>
      <c r="B4569" t="s">
        <v>331</v>
      </c>
      <c r="C4569" t="s">
        <v>3368</v>
      </c>
      <c r="D4569" t="s">
        <v>399</v>
      </c>
      <c r="E4569" cm="1">
        <f t="array" ref="E4569">_xlfn.XLOOKUP(D4569,SKU_Master!A:A,SKU_Master!B:B,"Not on master")</f>
        <v>0</v>
      </c>
      <c r="F4569" cm="1">
        <f t="array" ref="F4569">_xlfn.XLOOKUP(C4569,Account_Master!A:A,Account_Master!B:B,"Not on master")</f>
        <v>0</v>
      </c>
      <c r="G4569" cm="1">
        <f t="array" ref="G4569">_xlfn.XLOOKUP(C4569,Account_Master!A:A,Account_Master!C:C,"Not on master")</f>
        <v>0</v>
      </c>
      <c r="H4569" s="6">
        <v>0.05</v>
      </c>
      <c r="I4569" s="6">
        <v>0.05</v>
      </c>
      <c r="J4569" s="6">
        <f>I4569-H4569</f>
        <v>0</v>
      </c>
      <c r="K4569" s="5">
        <f>IF(H4569=0,"",J4569/H4569)</f>
        <v>0</v>
      </c>
      <c r="L4569">
        <f>IF(OR(AND(H4569=0,ABS(J4569)&gt;=0.01),AND(H4569&lt;&gt;0,ABS(K4569)&gt;VarianceThreshold)),"Review","OK")</f>
        <v>0</v>
      </c>
      <c r="M4569" t="s">
        <v>33</v>
      </c>
    </row>
    <row r="4570" spans="1:13">
      <c r="A4570" t="s">
        <v>7</v>
      </c>
      <c r="B4570" t="s">
        <v>331</v>
      </c>
      <c r="C4570" t="s">
        <v>3354</v>
      </c>
      <c r="D4570" t="s">
        <v>1558</v>
      </c>
      <c r="E4570" cm="1">
        <f t="array" ref="E4570">_xlfn.XLOOKUP(D4570,SKU_Master!A:A,SKU_Master!B:B,"Not on master")</f>
        <v>0</v>
      </c>
      <c r="F4570" cm="1">
        <f t="array" ref="F4570">_xlfn.XLOOKUP(C4570,Account_Master!A:A,Account_Master!B:B,"Not on master")</f>
        <v>0</v>
      </c>
      <c r="G4570" cm="1">
        <f t="array" ref="G4570">_xlfn.XLOOKUP(C4570,Account_Master!A:A,Account_Master!C:C,"Not on master")</f>
        <v>0</v>
      </c>
      <c r="H4570" s="6">
        <v>1.5</v>
      </c>
      <c r="I4570" s="6">
        <v>1.5</v>
      </c>
      <c r="J4570" s="6">
        <f>I4570-H4570</f>
        <v>0</v>
      </c>
      <c r="K4570" s="5">
        <f>IF(H4570=0,"",J4570/H4570)</f>
        <v>0</v>
      </c>
      <c r="L4570">
        <f>IF(OR(AND(H4570=0,ABS(J4570)&gt;=0.01),AND(H4570&lt;&gt;0,ABS(K4570)&gt;VarianceThreshold)),"Review","OK")</f>
        <v>0</v>
      </c>
      <c r="M4570" t="s">
        <v>33</v>
      </c>
    </row>
    <row r="4571" spans="1:13">
      <c r="A4571" t="s">
        <v>7</v>
      </c>
      <c r="B4571" t="s">
        <v>331</v>
      </c>
      <c r="C4571" t="s">
        <v>33</v>
      </c>
      <c r="D4571" t="s">
        <v>3483</v>
      </c>
      <c r="E4571" cm="1">
        <f t="array" ref="E4571">_xlfn.XLOOKUP(D4571,SKU_Master!A:A,SKU_Master!B:B,"Not on master")</f>
        <v>0</v>
      </c>
      <c r="F4571" cm="1">
        <f t="array" ref="F4571">_xlfn.XLOOKUP(C4571,Account_Master!A:A,Account_Master!B:B,"Not on master")</f>
        <v>0</v>
      </c>
      <c r="G4571" cm="1">
        <f t="array" ref="G4571">_xlfn.XLOOKUP(C4571,Account_Master!A:A,Account_Master!C:C,"Not on master")</f>
        <v>0</v>
      </c>
      <c r="H4571" s="6">
        <v>0</v>
      </c>
      <c r="I4571" s="6">
        <v>10.5</v>
      </c>
      <c r="J4571" s="6">
        <f>I4571-H4571</f>
        <v>0</v>
      </c>
      <c r="K4571" s="5">
        <f>IF(H4571=0,"",J4571/H4571)</f>
        <v>0</v>
      </c>
      <c r="L4571">
        <f>IF(OR(AND(H4571=0,ABS(J4571)&gt;=0.01),AND(H4571&lt;&gt;0,ABS(K4571)&gt;VarianceThreshold)),"Review","OK")</f>
        <v>0</v>
      </c>
      <c r="M4571" t="s">
        <v>3038</v>
      </c>
    </row>
    <row r="4572" spans="1:13">
      <c r="A4572" t="s">
        <v>7</v>
      </c>
      <c r="B4572" t="s">
        <v>335</v>
      </c>
      <c r="C4572" t="s">
        <v>3393</v>
      </c>
      <c r="D4572" t="s">
        <v>963</v>
      </c>
      <c r="E4572" cm="1">
        <f t="array" ref="E4572">_xlfn.XLOOKUP(D4572,SKU_Master!A:A,SKU_Master!B:B,"Not on master")</f>
        <v>0</v>
      </c>
      <c r="F4572" cm="1">
        <f t="array" ref="F4572">_xlfn.XLOOKUP(C4572,Account_Master!A:A,Account_Master!B:B,"Not on master")</f>
        <v>0</v>
      </c>
      <c r="G4572" cm="1">
        <f t="array" ref="G4572">_xlfn.XLOOKUP(C4572,Account_Master!A:A,Account_Master!C:C,"Not on master")</f>
        <v>0</v>
      </c>
      <c r="H4572" s="6">
        <v>415</v>
      </c>
      <c r="I4572" s="6">
        <v>415</v>
      </c>
      <c r="J4572" s="6">
        <f>I4572-H4572</f>
        <v>0</v>
      </c>
      <c r="K4572" s="5">
        <f>IF(H4572=0,"",J4572/H4572)</f>
        <v>0</v>
      </c>
      <c r="L4572">
        <f>IF(OR(AND(H4572=0,ABS(J4572)&gt;=0.01),AND(H4572&lt;&gt;0,ABS(K4572)&gt;VarianceThreshold)),"Review","OK")</f>
        <v>0</v>
      </c>
      <c r="M4572" t="s">
        <v>33</v>
      </c>
    </row>
    <row r="4573" spans="1:13">
      <c r="A4573" t="s">
        <v>7</v>
      </c>
      <c r="B4573" t="s">
        <v>335</v>
      </c>
      <c r="C4573" t="s">
        <v>3456</v>
      </c>
      <c r="D4573" t="s">
        <v>1560</v>
      </c>
      <c r="E4573" cm="1">
        <f t="array" ref="E4573">_xlfn.XLOOKUP(D4573,SKU_Master!A:A,SKU_Master!B:B,"Not on master")</f>
        <v>0</v>
      </c>
      <c r="F4573" cm="1">
        <f t="array" ref="F4573">_xlfn.XLOOKUP(C4573,Account_Master!A:A,Account_Master!B:B,"Not on master")</f>
        <v>0</v>
      </c>
      <c r="G4573" cm="1">
        <f t="array" ref="G4573">_xlfn.XLOOKUP(C4573,Account_Master!A:A,Account_Master!C:C,"Not on master")</f>
        <v>0</v>
      </c>
      <c r="H4573" s="6">
        <v>6.37</v>
      </c>
      <c r="I4573" s="6">
        <v>6.37</v>
      </c>
      <c r="J4573" s="6">
        <f>I4573-H4573</f>
        <v>0</v>
      </c>
      <c r="K4573" s="5">
        <f>IF(H4573=0,"",J4573/H4573)</f>
        <v>0</v>
      </c>
      <c r="L4573">
        <f>IF(OR(AND(H4573=0,ABS(J4573)&gt;=0.01),AND(H4573&lt;&gt;0,ABS(K4573)&gt;VarianceThreshold)),"Review","OK")</f>
        <v>0</v>
      </c>
      <c r="M4573" t="s">
        <v>33</v>
      </c>
    </row>
    <row r="4574" spans="1:13">
      <c r="A4574" t="s">
        <v>7</v>
      </c>
      <c r="B4574" t="s">
        <v>345</v>
      </c>
      <c r="C4574" t="s">
        <v>3484</v>
      </c>
      <c r="D4574" t="s">
        <v>512</v>
      </c>
      <c r="E4574" cm="1">
        <f t="array" ref="E4574">_xlfn.XLOOKUP(D4574,SKU_Master!A:A,SKU_Master!B:B,"Not on master")</f>
        <v>0</v>
      </c>
      <c r="F4574" cm="1">
        <f t="array" ref="F4574">_xlfn.XLOOKUP(C4574,Account_Master!A:A,Account_Master!B:B,"Not on master")</f>
        <v>0</v>
      </c>
      <c r="G4574" cm="1">
        <f t="array" ref="G4574">_xlfn.XLOOKUP(C4574,Account_Master!A:A,Account_Master!C:C,"Not on master")</f>
        <v>0</v>
      </c>
      <c r="H4574" s="6">
        <v>0.35</v>
      </c>
      <c r="I4574" s="6">
        <v>0.35</v>
      </c>
      <c r="J4574" s="6">
        <f>I4574-H4574</f>
        <v>0</v>
      </c>
      <c r="K4574" s="5">
        <f>IF(H4574=0,"",J4574/H4574)</f>
        <v>0</v>
      </c>
      <c r="L4574">
        <f>IF(OR(AND(H4574=0,ABS(J4574)&gt;=0.01),AND(H4574&lt;&gt;0,ABS(K4574)&gt;VarianceThreshold)),"Review","OK")</f>
        <v>0</v>
      </c>
      <c r="M4574" t="s">
        <v>33</v>
      </c>
    </row>
    <row r="4575" spans="1:13">
      <c r="A4575" t="s">
        <v>7</v>
      </c>
      <c r="B4575" t="s">
        <v>345</v>
      </c>
      <c r="C4575" t="s">
        <v>3449</v>
      </c>
      <c r="D4575" t="s">
        <v>1281</v>
      </c>
      <c r="E4575" cm="1">
        <f t="array" ref="E4575">_xlfn.XLOOKUP(D4575,SKU_Master!A:A,SKU_Master!B:B,"Not on master")</f>
        <v>0</v>
      </c>
      <c r="F4575" cm="1">
        <f t="array" ref="F4575">_xlfn.XLOOKUP(C4575,Account_Master!A:A,Account_Master!B:B,"Not on master")</f>
        <v>0</v>
      </c>
      <c r="G4575" cm="1">
        <f t="array" ref="G4575">_xlfn.XLOOKUP(C4575,Account_Master!A:A,Account_Master!C:C,"Not on master")</f>
        <v>0</v>
      </c>
      <c r="H4575" s="6">
        <v>6</v>
      </c>
      <c r="I4575" s="6">
        <v>6</v>
      </c>
      <c r="J4575" s="6">
        <f>I4575-H4575</f>
        <v>0</v>
      </c>
      <c r="K4575" s="5">
        <f>IF(H4575=0,"",J4575/H4575)</f>
        <v>0</v>
      </c>
      <c r="L4575">
        <f>IF(OR(AND(H4575=0,ABS(J4575)&gt;=0.01),AND(H4575&lt;&gt;0,ABS(K4575)&gt;VarianceThreshold)),"Review","OK")</f>
        <v>0</v>
      </c>
      <c r="M4575" t="s">
        <v>33</v>
      </c>
    </row>
    <row r="4576" spans="1:13">
      <c r="A4576" t="s">
        <v>7</v>
      </c>
      <c r="B4576" t="s">
        <v>345</v>
      </c>
      <c r="C4576" t="s">
        <v>3446</v>
      </c>
      <c r="D4576" t="s">
        <v>515</v>
      </c>
      <c r="E4576" cm="1">
        <f t="array" ref="E4576">_xlfn.XLOOKUP(D4576,SKU_Master!A:A,SKU_Master!B:B,"Not on master")</f>
        <v>0</v>
      </c>
      <c r="F4576" cm="1">
        <f t="array" ref="F4576">_xlfn.XLOOKUP(C4576,Account_Master!A:A,Account_Master!B:B,"Not on master")</f>
        <v>0</v>
      </c>
      <c r="G4576" cm="1">
        <f t="array" ref="G4576">_xlfn.XLOOKUP(C4576,Account_Master!A:A,Account_Master!C:C,"Not on master")</f>
        <v>0</v>
      </c>
      <c r="H4576" s="6">
        <v>15</v>
      </c>
      <c r="I4576" s="6">
        <v>15</v>
      </c>
      <c r="J4576" s="6">
        <f>I4576-H4576</f>
        <v>0</v>
      </c>
      <c r="K4576" s="5">
        <f>IF(H4576=0,"",J4576/H4576)</f>
        <v>0</v>
      </c>
      <c r="L4576">
        <f>IF(OR(AND(H4576=0,ABS(J4576)&gt;=0.01),AND(H4576&lt;&gt;0,ABS(K4576)&gt;VarianceThreshold)),"Review","OK")</f>
        <v>0</v>
      </c>
      <c r="M4576" t="s">
        <v>33</v>
      </c>
    </row>
    <row r="4577" spans="1:13">
      <c r="A4577" t="s">
        <v>7</v>
      </c>
      <c r="B4577" t="s">
        <v>345</v>
      </c>
      <c r="C4577" t="s">
        <v>3368</v>
      </c>
      <c r="D4577" t="s">
        <v>3485</v>
      </c>
      <c r="E4577" cm="1">
        <f t="array" ref="E4577">_xlfn.XLOOKUP(D4577,SKU_Master!A:A,SKU_Master!B:B,"Not on master")</f>
        <v>0</v>
      </c>
      <c r="F4577" cm="1">
        <f t="array" ref="F4577">_xlfn.XLOOKUP(C4577,Account_Master!A:A,Account_Master!B:B,"Not on master")</f>
        <v>0</v>
      </c>
      <c r="G4577" cm="1">
        <f t="array" ref="G4577">_xlfn.XLOOKUP(C4577,Account_Master!A:A,Account_Master!C:C,"Not on master")</f>
        <v>0</v>
      </c>
      <c r="H4577" s="6">
        <v>9</v>
      </c>
      <c r="I4577" s="6">
        <v>9</v>
      </c>
      <c r="J4577" s="6">
        <f>I4577-H4577</f>
        <v>0</v>
      </c>
      <c r="K4577" s="5">
        <f>IF(H4577=0,"",J4577/H4577)</f>
        <v>0</v>
      </c>
      <c r="L4577">
        <f>IF(OR(AND(H4577=0,ABS(J4577)&gt;=0.01),AND(H4577&lt;&gt;0,ABS(K4577)&gt;VarianceThreshold)),"Review","OK")</f>
        <v>0</v>
      </c>
      <c r="M4577" t="s">
        <v>33</v>
      </c>
    </row>
    <row r="4578" spans="1:13">
      <c r="A4578" t="s">
        <v>7</v>
      </c>
      <c r="B4578" t="s">
        <v>345</v>
      </c>
      <c r="C4578" t="s">
        <v>33</v>
      </c>
      <c r="D4578" t="s">
        <v>3486</v>
      </c>
      <c r="E4578" cm="1">
        <f t="array" ref="E4578">_xlfn.XLOOKUP(D4578,SKU_Master!A:A,SKU_Master!B:B,"Not on master")</f>
        <v>0</v>
      </c>
      <c r="F4578" cm="1">
        <f t="array" ref="F4578">_xlfn.XLOOKUP(C4578,Account_Master!A:A,Account_Master!B:B,"Not on master")</f>
        <v>0</v>
      </c>
      <c r="G4578" cm="1">
        <f t="array" ref="G4578">_xlfn.XLOOKUP(C4578,Account_Master!A:A,Account_Master!C:C,"Not on master")</f>
        <v>0</v>
      </c>
      <c r="H4578" s="6">
        <v>0</v>
      </c>
      <c r="I4578" s="6">
        <v>9</v>
      </c>
      <c r="J4578" s="6">
        <f>I4578-H4578</f>
        <v>0</v>
      </c>
      <c r="K4578" s="5">
        <f>IF(H4578=0,"",J4578/H4578)</f>
        <v>0</v>
      </c>
      <c r="L4578">
        <f>IF(OR(AND(H4578=0,ABS(J4578)&gt;=0.01),AND(H4578&lt;&gt;0,ABS(K4578)&gt;VarianceThreshold)),"Review","OK")</f>
        <v>0</v>
      </c>
      <c r="M4578" t="s">
        <v>3038</v>
      </c>
    </row>
    <row r="4579" spans="1:13">
      <c r="A4579" t="s">
        <v>7</v>
      </c>
      <c r="B4579" t="s">
        <v>357</v>
      </c>
      <c r="C4579" t="s">
        <v>3420</v>
      </c>
      <c r="D4579" t="s">
        <v>684</v>
      </c>
      <c r="E4579" cm="1">
        <f t="array" ref="E4579">_xlfn.XLOOKUP(D4579,SKU_Master!A:A,SKU_Master!B:B,"Not on master")</f>
        <v>0</v>
      </c>
      <c r="F4579" cm="1">
        <f t="array" ref="F4579">_xlfn.XLOOKUP(C4579,Account_Master!A:A,Account_Master!B:B,"Not on master")</f>
        <v>0</v>
      </c>
      <c r="G4579" cm="1">
        <f t="array" ref="G4579">_xlfn.XLOOKUP(C4579,Account_Master!A:A,Account_Master!C:C,"Not on master")</f>
        <v>0</v>
      </c>
      <c r="H4579" s="6">
        <v>6</v>
      </c>
      <c r="I4579" s="6">
        <v>6</v>
      </c>
      <c r="J4579" s="6">
        <f>I4579-H4579</f>
        <v>0</v>
      </c>
      <c r="K4579" s="5">
        <f>IF(H4579=0,"",J4579/H4579)</f>
        <v>0</v>
      </c>
      <c r="L4579">
        <f>IF(OR(AND(H4579=0,ABS(J4579)&gt;=0.01),AND(H4579&lt;&gt;0,ABS(K4579)&gt;VarianceThreshold)),"Review","OK")</f>
        <v>0</v>
      </c>
      <c r="M4579" t="s">
        <v>33</v>
      </c>
    </row>
    <row r="4580" spans="1:13">
      <c r="A4580" t="s">
        <v>7</v>
      </c>
      <c r="B4580" t="s">
        <v>357</v>
      </c>
      <c r="C4580" t="s">
        <v>3414</v>
      </c>
      <c r="D4580" t="s">
        <v>3487</v>
      </c>
      <c r="E4580" cm="1">
        <f t="array" ref="E4580">_xlfn.XLOOKUP(D4580,SKU_Master!A:A,SKU_Master!B:B,"Not on master")</f>
        <v>0</v>
      </c>
      <c r="F4580" cm="1">
        <f t="array" ref="F4580">_xlfn.XLOOKUP(C4580,Account_Master!A:A,Account_Master!B:B,"Not on master")</f>
        <v>0</v>
      </c>
      <c r="G4580" cm="1">
        <f t="array" ref="G4580">_xlfn.XLOOKUP(C4580,Account_Master!A:A,Account_Master!C:C,"Not on master")</f>
        <v>0</v>
      </c>
      <c r="H4580" s="6">
        <v>4.5</v>
      </c>
      <c r="I4580" s="6">
        <v>4.5</v>
      </c>
      <c r="J4580" s="6">
        <f>I4580-H4580</f>
        <v>0</v>
      </c>
      <c r="K4580" s="5">
        <f>IF(H4580=0,"",J4580/H4580)</f>
        <v>0</v>
      </c>
      <c r="L4580">
        <f>IF(OR(AND(H4580=0,ABS(J4580)&gt;=0.01),AND(H4580&lt;&gt;0,ABS(K4580)&gt;VarianceThreshold)),"Review","OK")</f>
        <v>0</v>
      </c>
      <c r="M4580" t="s">
        <v>33</v>
      </c>
    </row>
    <row r="4581" spans="1:13">
      <c r="A4581" t="s">
        <v>7</v>
      </c>
      <c r="B4581" t="s">
        <v>357</v>
      </c>
      <c r="C4581" t="s">
        <v>3357</v>
      </c>
      <c r="D4581" t="s">
        <v>1504</v>
      </c>
      <c r="E4581" cm="1">
        <f t="array" ref="E4581">_xlfn.XLOOKUP(D4581,SKU_Master!A:A,SKU_Master!B:B,"Not on master")</f>
        <v>0</v>
      </c>
      <c r="F4581" cm="1">
        <f t="array" ref="F4581">_xlfn.XLOOKUP(C4581,Account_Master!A:A,Account_Master!B:B,"Not on master")</f>
        <v>0</v>
      </c>
      <c r="G4581" cm="1">
        <f t="array" ref="G4581">_xlfn.XLOOKUP(C4581,Account_Master!A:A,Account_Master!C:C,"Not on master")</f>
        <v>0</v>
      </c>
      <c r="H4581" s="6">
        <v>1249.5</v>
      </c>
      <c r="I4581" s="6">
        <v>1249.5</v>
      </c>
      <c r="J4581" s="6">
        <f>I4581-H4581</f>
        <v>0</v>
      </c>
      <c r="K4581" s="5">
        <f>IF(H4581=0,"",J4581/H4581)</f>
        <v>0</v>
      </c>
      <c r="L4581">
        <f>IF(OR(AND(H4581=0,ABS(J4581)&gt;=0.01),AND(H4581&lt;&gt;0,ABS(K4581)&gt;VarianceThreshold)),"Review","OK")</f>
        <v>0</v>
      </c>
      <c r="M4581" t="s">
        <v>33</v>
      </c>
    </row>
    <row r="4582" spans="1:13">
      <c r="A4582" t="s">
        <v>7</v>
      </c>
      <c r="B4582" t="s">
        <v>357</v>
      </c>
      <c r="C4582" t="s">
        <v>3357</v>
      </c>
      <c r="D4582" t="s">
        <v>1373</v>
      </c>
      <c r="E4582" cm="1">
        <f t="array" ref="E4582">_xlfn.XLOOKUP(D4582,SKU_Master!A:A,SKU_Master!B:B,"Not on master")</f>
        <v>0</v>
      </c>
      <c r="F4582" cm="1">
        <f t="array" ref="F4582">_xlfn.XLOOKUP(C4582,Account_Master!A:A,Account_Master!B:B,"Not on master")</f>
        <v>0</v>
      </c>
      <c r="G4582" cm="1">
        <f t="array" ref="G4582">_xlfn.XLOOKUP(C4582,Account_Master!A:A,Account_Master!C:C,"Not on master")</f>
        <v>0</v>
      </c>
      <c r="H4582" s="6">
        <v>2478</v>
      </c>
      <c r="I4582" s="6">
        <v>2465.75</v>
      </c>
      <c r="J4582" s="6">
        <f>I4582-H4582</f>
        <v>0</v>
      </c>
      <c r="K4582" s="5">
        <f>IF(H4582=0,"",J4582/H4582)</f>
        <v>0</v>
      </c>
      <c r="L4582">
        <f>IF(OR(AND(H4582=0,ABS(J4582)&gt;=0.01),AND(H4582&lt;&gt;0,ABS(K4582)&gt;VarianceThreshold)),"Review","OK")</f>
        <v>0</v>
      </c>
      <c r="M4582" t="s">
        <v>33</v>
      </c>
    </row>
    <row r="4583" spans="1:13">
      <c r="A4583" t="s">
        <v>7</v>
      </c>
      <c r="B4583" t="s">
        <v>357</v>
      </c>
      <c r="C4583" t="s">
        <v>3488</v>
      </c>
      <c r="D4583" t="s">
        <v>3331</v>
      </c>
      <c r="E4583" cm="1">
        <f t="array" ref="E4583">_xlfn.XLOOKUP(D4583,SKU_Master!A:A,SKU_Master!B:B,"Not on master")</f>
        <v>0</v>
      </c>
      <c r="F4583" cm="1">
        <f t="array" ref="F4583">_xlfn.XLOOKUP(C4583,Account_Master!A:A,Account_Master!B:B,"Not on master")</f>
        <v>0</v>
      </c>
      <c r="G4583" cm="1">
        <f t="array" ref="G4583">_xlfn.XLOOKUP(C4583,Account_Master!A:A,Account_Master!C:C,"Not on master")</f>
        <v>0</v>
      </c>
      <c r="H4583" s="6">
        <v>0.3</v>
      </c>
      <c r="I4583" s="6">
        <v>0.3</v>
      </c>
      <c r="J4583" s="6">
        <f>I4583-H4583</f>
        <v>0</v>
      </c>
      <c r="K4583" s="5">
        <f>IF(H4583=0,"",J4583/H4583)</f>
        <v>0</v>
      </c>
      <c r="L4583">
        <f>IF(OR(AND(H4583=0,ABS(J4583)&gt;=0.01),AND(H4583&lt;&gt;0,ABS(K4583)&gt;VarianceThreshold)),"Review","OK")</f>
        <v>0</v>
      </c>
      <c r="M4583" t="s">
        <v>33</v>
      </c>
    </row>
    <row r="4584" spans="1:13">
      <c r="A4584" t="s">
        <v>7</v>
      </c>
      <c r="B4584" t="s">
        <v>357</v>
      </c>
      <c r="C4584" t="s">
        <v>33</v>
      </c>
      <c r="D4584" t="s">
        <v>3489</v>
      </c>
      <c r="E4584" cm="1">
        <f t="array" ref="E4584">_xlfn.XLOOKUP(D4584,SKU_Master!A:A,SKU_Master!B:B,"Not on master")</f>
        <v>0</v>
      </c>
      <c r="F4584" cm="1">
        <f t="array" ref="F4584">_xlfn.XLOOKUP(C4584,Account_Master!A:A,Account_Master!B:B,"Not on master")</f>
        <v>0</v>
      </c>
      <c r="G4584" cm="1">
        <f t="array" ref="G4584">_xlfn.XLOOKUP(C4584,Account_Master!A:A,Account_Master!C:C,"Not on master")</f>
        <v>0</v>
      </c>
      <c r="H4584" s="6">
        <v>0</v>
      </c>
      <c r="I4584" s="6">
        <v>4.8</v>
      </c>
      <c r="J4584" s="6">
        <f>I4584-H4584</f>
        <v>0</v>
      </c>
      <c r="K4584" s="5">
        <f>IF(H4584=0,"",J4584/H4584)</f>
        <v>0</v>
      </c>
      <c r="L4584">
        <f>IF(OR(AND(H4584=0,ABS(J4584)&gt;=0.01),AND(H4584&lt;&gt;0,ABS(K4584)&gt;VarianceThreshold)),"Review","OK")</f>
        <v>0</v>
      </c>
      <c r="M4584" t="s">
        <v>3038</v>
      </c>
    </row>
    <row r="4585" spans="1:13">
      <c r="A4585" t="s">
        <v>7</v>
      </c>
      <c r="B4585" t="s">
        <v>364</v>
      </c>
      <c r="C4585" t="s">
        <v>3357</v>
      </c>
      <c r="D4585" t="s">
        <v>1134</v>
      </c>
      <c r="E4585" cm="1">
        <f t="array" ref="E4585">_xlfn.XLOOKUP(D4585,SKU_Master!A:A,SKU_Master!B:B,"Not on master")</f>
        <v>0</v>
      </c>
      <c r="F4585" cm="1">
        <f t="array" ref="F4585">_xlfn.XLOOKUP(C4585,Account_Master!A:A,Account_Master!B:B,"Not on master")</f>
        <v>0</v>
      </c>
      <c r="G4585" cm="1">
        <f t="array" ref="G4585">_xlfn.XLOOKUP(C4585,Account_Master!A:A,Account_Master!C:C,"Not on master")</f>
        <v>0</v>
      </c>
      <c r="H4585" s="6">
        <v>190</v>
      </c>
      <c r="I4585" s="6">
        <v>190</v>
      </c>
      <c r="J4585" s="6">
        <f>I4585-H4585</f>
        <v>0</v>
      </c>
      <c r="K4585" s="5">
        <f>IF(H4585=0,"",J4585/H4585)</f>
        <v>0</v>
      </c>
      <c r="L4585">
        <f>IF(OR(AND(H4585=0,ABS(J4585)&gt;=0.01),AND(H4585&lt;&gt;0,ABS(K4585)&gt;VarianceThreshold)),"Review","OK")</f>
        <v>0</v>
      </c>
      <c r="M4585" t="s">
        <v>33</v>
      </c>
    </row>
    <row r="4586" spans="1:13">
      <c r="A4586" t="s">
        <v>7</v>
      </c>
      <c r="B4586" t="s">
        <v>364</v>
      </c>
      <c r="C4586" t="s">
        <v>3490</v>
      </c>
      <c r="D4586" t="s">
        <v>3491</v>
      </c>
      <c r="E4586" cm="1">
        <f t="array" ref="E4586">_xlfn.XLOOKUP(D4586,SKU_Master!A:A,SKU_Master!B:B,"Not on master")</f>
        <v>0</v>
      </c>
      <c r="F4586" cm="1">
        <f t="array" ref="F4586">_xlfn.XLOOKUP(C4586,Account_Master!A:A,Account_Master!B:B,"Not on master")</f>
        <v>0</v>
      </c>
      <c r="G4586" cm="1">
        <f t="array" ref="G4586">_xlfn.XLOOKUP(C4586,Account_Master!A:A,Account_Master!C:C,"Not on master")</f>
        <v>0</v>
      </c>
      <c r="H4586" s="6">
        <v>0.05</v>
      </c>
      <c r="I4586" s="6">
        <v>0.05</v>
      </c>
      <c r="J4586" s="6">
        <f>I4586-H4586</f>
        <v>0</v>
      </c>
      <c r="K4586" s="5">
        <f>IF(H4586=0,"",J4586/H4586)</f>
        <v>0</v>
      </c>
      <c r="L4586">
        <f>IF(OR(AND(H4586=0,ABS(J4586)&gt;=0.01),AND(H4586&lt;&gt;0,ABS(K4586)&gt;VarianceThreshold)),"Review","OK")</f>
        <v>0</v>
      </c>
      <c r="M4586" t="s">
        <v>33</v>
      </c>
    </row>
    <row r="4587" spans="1:13">
      <c r="A4587" t="s">
        <v>7</v>
      </c>
      <c r="B4587" t="s">
        <v>364</v>
      </c>
      <c r="C4587" t="s">
        <v>3477</v>
      </c>
      <c r="D4587" t="s">
        <v>1360</v>
      </c>
      <c r="E4587" cm="1">
        <f t="array" ref="E4587">_xlfn.XLOOKUP(D4587,SKU_Master!A:A,SKU_Master!B:B,"Not on master")</f>
        <v>0</v>
      </c>
      <c r="F4587" cm="1">
        <f t="array" ref="F4587">_xlfn.XLOOKUP(C4587,Account_Master!A:A,Account_Master!B:B,"Not on master")</f>
        <v>0</v>
      </c>
      <c r="G4587" cm="1">
        <f t="array" ref="G4587">_xlfn.XLOOKUP(C4587,Account_Master!A:A,Account_Master!C:C,"Not on master")</f>
        <v>0</v>
      </c>
      <c r="H4587" s="6">
        <v>62.25</v>
      </c>
      <c r="I4587" s="6">
        <v>62.25</v>
      </c>
      <c r="J4587" s="6">
        <f>I4587-H4587</f>
        <v>0</v>
      </c>
      <c r="K4587" s="5">
        <f>IF(H4587=0,"",J4587/H4587)</f>
        <v>0</v>
      </c>
      <c r="L4587">
        <f>IF(OR(AND(H4587=0,ABS(J4587)&gt;=0.01),AND(H4587&lt;&gt;0,ABS(K4587)&gt;VarianceThreshold)),"Review","OK")</f>
        <v>0</v>
      </c>
      <c r="M4587" t="s">
        <v>33</v>
      </c>
    </row>
    <row r="4588" spans="1:13">
      <c r="A4588" t="s">
        <v>7</v>
      </c>
      <c r="B4588" t="s">
        <v>364</v>
      </c>
      <c r="C4588" t="s">
        <v>3450</v>
      </c>
      <c r="D4588" t="s">
        <v>3492</v>
      </c>
      <c r="E4588" cm="1">
        <f t="array" ref="E4588">_xlfn.XLOOKUP(D4588,SKU_Master!A:A,SKU_Master!B:B,"Not on master")</f>
        <v>0</v>
      </c>
      <c r="F4588" cm="1">
        <f t="array" ref="F4588">_xlfn.XLOOKUP(C4588,Account_Master!A:A,Account_Master!B:B,"Not on master")</f>
        <v>0</v>
      </c>
      <c r="G4588" cm="1">
        <f t="array" ref="G4588">_xlfn.XLOOKUP(C4588,Account_Master!A:A,Account_Master!C:C,"Not on master")</f>
        <v>0</v>
      </c>
      <c r="H4588" s="6">
        <v>0.75</v>
      </c>
      <c r="I4588" s="6">
        <v>0.75</v>
      </c>
      <c r="J4588" s="6">
        <f>I4588-H4588</f>
        <v>0</v>
      </c>
      <c r="K4588" s="5">
        <f>IF(H4588=0,"",J4588/H4588)</f>
        <v>0</v>
      </c>
      <c r="L4588">
        <f>IF(OR(AND(H4588=0,ABS(J4588)&gt;=0.01),AND(H4588&lt;&gt;0,ABS(K4588)&gt;VarianceThreshold)),"Review","OK")</f>
        <v>0</v>
      </c>
      <c r="M4588" t="s">
        <v>33</v>
      </c>
    </row>
    <row r="4589" spans="1:13">
      <c r="A4589" t="s">
        <v>7</v>
      </c>
      <c r="B4589" t="s">
        <v>371</v>
      </c>
      <c r="C4589" t="s">
        <v>3493</v>
      </c>
      <c r="D4589" t="s">
        <v>617</v>
      </c>
      <c r="E4589" cm="1">
        <f t="array" ref="E4589">_xlfn.XLOOKUP(D4589,SKU_Master!A:A,SKU_Master!B:B,"Not on master")</f>
        <v>0</v>
      </c>
      <c r="F4589" cm="1">
        <f t="array" ref="F4589">_xlfn.XLOOKUP(C4589,Account_Master!A:A,Account_Master!B:B,"Not on master")</f>
        <v>0</v>
      </c>
      <c r="G4589" cm="1">
        <f t="array" ref="G4589">_xlfn.XLOOKUP(C4589,Account_Master!A:A,Account_Master!C:C,"Not on master")</f>
        <v>0</v>
      </c>
      <c r="H4589" s="6">
        <v>309.75</v>
      </c>
      <c r="I4589" s="6">
        <v>304.5</v>
      </c>
      <c r="J4589" s="6">
        <f>I4589-H4589</f>
        <v>0</v>
      </c>
      <c r="K4589" s="5">
        <f>IF(H4589=0,"",J4589/H4589)</f>
        <v>0</v>
      </c>
      <c r="L4589">
        <f>IF(OR(AND(H4589=0,ABS(J4589)&gt;=0.01),AND(H4589&lt;&gt;0,ABS(K4589)&gt;VarianceThreshold)),"Review","OK")</f>
        <v>0</v>
      </c>
      <c r="M4589" t="s">
        <v>33</v>
      </c>
    </row>
    <row r="4590" spans="1:13">
      <c r="A4590" t="s">
        <v>7</v>
      </c>
      <c r="B4590" t="s">
        <v>371</v>
      </c>
      <c r="C4590" t="s">
        <v>3494</v>
      </c>
      <c r="D4590" t="s">
        <v>1817</v>
      </c>
      <c r="E4590" cm="1">
        <f t="array" ref="E4590">_xlfn.XLOOKUP(D4590,SKU_Master!A:A,SKU_Master!B:B,"Not on master")</f>
        <v>0</v>
      </c>
      <c r="F4590" cm="1">
        <f t="array" ref="F4590">_xlfn.XLOOKUP(C4590,Account_Master!A:A,Account_Master!B:B,"Not on master")</f>
        <v>0</v>
      </c>
      <c r="G4590" cm="1">
        <f t="array" ref="G4590">_xlfn.XLOOKUP(C4590,Account_Master!A:A,Account_Master!C:C,"Not on master")</f>
        <v>0</v>
      </c>
      <c r="H4590" s="6">
        <v>12.75</v>
      </c>
      <c r="I4590" s="6">
        <v>12.75</v>
      </c>
      <c r="J4590" s="6">
        <f>I4590-H4590</f>
        <v>0</v>
      </c>
      <c r="K4590" s="5">
        <f>IF(H4590=0,"",J4590/H4590)</f>
        <v>0</v>
      </c>
      <c r="L4590">
        <f>IF(OR(AND(H4590=0,ABS(J4590)&gt;=0.01),AND(H4590&lt;&gt;0,ABS(K4590)&gt;VarianceThreshold)),"Review","OK")</f>
        <v>0</v>
      </c>
      <c r="M4590" t="s">
        <v>33</v>
      </c>
    </row>
    <row r="4591" spans="1:13">
      <c r="A4591" t="s">
        <v>7</v>
      </c>
      <c r="B4591" t="s">
        <v>371</v>
      </c>
      <c r="C4591" t="s">
        <v>3364</v>
      </c>
      <c r="D4591" t="s">
        <v>2230</v>
      </c>
      <c r="E4591" cm="1">
        <f t="array" ref="E4591">_xlfn.XLOOKUP(D4591,SKU_Master!A:A,SKU_Master!B:B,"Not on master")</f>
        <v>0</v>
      </c>
      <c r="F4591" cm="1">
        <f t="array" ref="F4591">_xlfn.XLOOKUP(C4591,Account_Master!A:A,Account_Master!B:B,"Not on master")</f>
        <v>0</v>
      </c>
      <c r="G4591" cm="1">
        <f t="array" ref="G4591">_xlfn.XLOOKUP(C4591,Account_Master!A:A,Account_Master!C:C,"Not on master")</f>
        <v>0</v>
      </c>
      <c r="H4591" s="6">
        <v>11.2</v>
      </c>
      <c r="I4591" s="6">
        <v>11.2</v>
      </c>
      <c r="J4591" s="6">
        <f>I4591-H4591</f>
        <v>0</v>
      </c>
      <c r="K4591" s="5">
        <f>IF(H4591=0,"",J4591/H4591)</f>
        <v>0</v>
      </c>
      <c r="L4591">
        <f>IF(OR(AND(H4591=0,ABS(J4591)&gt;=0.01),AND(H4591&lt;&gt;0,ABS(K4591)&gt;VarianceThreshold)),"Review","OK")</f>
        <v>0</v>
      </c>
      <c r="M4591" t="s">
        <v>33</v>
      </c>
    </row>
    <row r="4592" spans="1:13">
      <c r="A4592" t="s">
        <v>7</v>
      </c>
      <c r="B4592" t="s">
        <v>371</v>
      </c>
      <c r="C4592" t="s">
        <v>3357</v>
      </c>
      <c r="D4592" t="s">
        <v>1074</v>
      </c>
      <c r="E4592" cm="1">
        <f t="array" ref="E4592">_xlfn.XLOOKUP(D4592,SKU_Master!A:A,SKU_Master!B:B,"Not on master")</f>
        <v>0</v>
      </c>
      <c r="F4592" cm="1">
        <f t="array" ref="F4592">_xlfn.XLOOKUP(C4592,Account_Master!A:A,Account_Master!B:B,"Not on master")</f>
        <v>0</v>
      </c>
      <c r="G4592" cm="1">
        <f t="array" ref="G4592">_xlfn.XLOOKUP(C4592,Account_Master!A:A,Account_Master!C:C,"Not on master")</f>
        <v>0</v>
      </c>
      <c r="H4592" s="6">
        <v>63</v>
      </c>
      <c r="I4592" s="6">
        <v>63</v>
      </c>
      <c r="J4592" s="6">
        <f>I4592-H4592</f>
        <v>0</v>
      </c>
      <c r="K4592" s="5">
        <f>IF(H4592=0,"",J4592/H4592)</f>
        <v>0</v>
      </c>
      <c r="L4592">
        <f>IF(OR(AND(H4592=0,ABS(J4592)&gt;=0.01),AND(H4592&lt;&gt;0,ABS(K4592)&gt;VarianceThreshold)),"Review","OK")</f>
        <v>0</v>
      </c>
      <c r="M4592" t="s">
        <v>33</v>
      </c>
    </row>
    <row r="4593" spans="1:13">
      <c r="A4593" t="s">
        <v>7</v>
      </c>
      <c r="B4593" t="s">
        <v>371</v>
      </c>
      <c r="C4593" t="s">
        <v>3400</v>
      </c>
      <c r="D4593" t="s">
        <v>2438</v>
      </c>
      <c r="E4593" cm="1">
        <f t="array" ref="E4593">_xlfn.XLOOKUP(D4593,SKU_Master!A:A,SKU_Master!B:B,"Not on master")</f>
        <v>0</v>
      </c>
      <c r="F4593" cm="1">
        <f t="array" ref="F4593">_xlfn.XLOOKUP(C4593,Account_Master!A:A,Account_Master!B:B,"Not on master")</f>
        <v>0</v>
      </c>
      <c r="G4593" cm="1">
        <f t="array" ref="G4593">_xlfn.XLOOKUP(C4593,Account_Master!A:A,Account_Master!C:C,"Not on master")</f>
        <v>0</v>
      </c>
      <c r="H4593" s="6">
        <v>10.5</v>
      </c>
      <c r="I4593" s="6">
        <v>10.5</v>
      </c>
      <c r="J4593" s="6">
        <f>I4593-H4593</f>
        <v>0</v>
      </c>
      <c r="K4593" s="5">
        <f>IF(H4593=0,"",J4593/H4593)</f>
        <v>0</v>
      </c>
      <c r="L4593">
        <f>IF(OR(AND(H4593=0,ABS(J4593)&gt;=0.01),AND(H4593&lt;&gt;0,ABS(K4593)&gt;VarianceThreshold)),"Review","OK")</f>
        <v>0</v>
      </c>
      <c r="M4593" t="s">
        <v>33</v>
      </c>
    </row>
    <row r="4594" spans="1:13">
      <c r="A4594" t="s">
        <v>7</v>
      </c>
      <c r="B4594" t="s">
        <v>371</v>
      </c>
      <c r="C4594" t="s">
        <v>3471</v>
      </c>
      <c r="D4594" t="s">
        <v>1207</v>
      </c>
      <c r="E4594" cm="1">
        <f t="array" ref="E4594">_xlfn.XLOOKUP(D4594,SKU_Master!A:A,SKU_Master!B:B,"Not on master")</f>
        <v>0</v>
      </c>
      <c r="F4594" cm="1">
        <f t="array" ref="F4594">_xlfn.XLOOKUP(C4594,Account_Master!A:A,Account_Master!B:B,"Not on master")</f>
        <v>0</v>
      </c>
      <c r="G4594" cm="1">
        <f t="array" ref="G4594">_xlfn.XLOOKUP(C4594,Account_Master!A:A,Account_Master!C:C,"Not on master")</f>
        <v>0</v>
      </c>
      <c r="H4594" s="6">
        <v>19.5</v>
      </c>
      <c r="I4594" s="6">
        <v>19.5</v>
      </c>
      <c r="J4594" s="6">
        <f>I4594-H4594</f>
        <v>0</v>
      </c>
      <c r="K4594" s="5">
        <f>IF(H4594=0,"",J4594/H4594)</f>
        <v>0</v>
      </c>
      <c r="L4594">
        <f>IF(OR(AND(H4594=0,ABS(J4594)&gt;=0.01),AND(H4594&lt;&gt;0,ABS(K4594)&gt;VarianceThreshold)),"Review","OK")</f>
        <v>0</v>
      </c>
      <c r="M4594" t="s">
        <v>33</v>
      </c>
    </row>
    <row r="4595" spans="1:13">
      <c r="A4595" t="s">
        <v>7</v>
      </c>
      <c r="B4595" t="s">
        <v>371</v>
      </c>
      <c r="C4595" t="s">
        <v>3363</v>
      </c>
      <c r="D4595" t="s">
        <v>2160</v>
      </c>
      <c r="E4595" cm="1">
        <f t="array" ref="E4595">_xlfn.XLOOKUP(D4595,SKU_Master!A:A,SKU_Master!B:B,"Not on master")</f>
        <v>0</v>
      </c>
      <c r="F4595" cm="1">
        <f t="array" ref="F4595">_xlfn.XLOOKUP(C4595,Account_Master!A:A,Account_Master!B:B,"Not on master")</f>
        <v>0</v>
      </c>
      <c r="G4595" cm="1">
        <f t="array" ref="G4595">_xlfn.XLOOKUP(C4595,Account_Master!A:A,Account_Master!C:C,"Not on master")</f>
        <v>0</v>
      </c>
      <c r="H4595" s="6">
        <v>3</v>
      </c>
      <c r="I4595" s="6">
        <v>3</v>
      </c>
      <c r="J4595" s="6">
        <f>I4595-H4595</f>
        <v>0</v>
      </c>
      <c r="K4595" s="5">
        <f>IF(H4595=0,"",J4595/H4595)</f>
        <v>0</v>
      </c>
      <c r="L4595">
        <f>IF(OR(AND(H4595=0,ABS(J4595)&gt;=0.01),AND(H4595&lt;&gt;0,ABS(K4595)&gt;VarianceThreshold)),"Review","OK")</f>
        <v>0</v>
      </c>
      <c r="M4595" t="s">
        <v>33</v>
      </c>
    </row>
    <row r="4596" spans="1:13">
      <c r="A4596" t="s">
        <v>7</v>
      </c>
      <c r="B4596" t="s">
        <v>371</v>
      </c>
      <c r="C4596" t="s">
        <v>3410</v>
      </c>
      <c r="D4596" t="s">
        <v>1214</v>
      </c>
      <c r="E4596" cm="1">
        <f t="array" ref="E4596">_xlfn.XLOOKUP(D4596,SKU_Master!A:A,SKU_Master!B:B,"Not on master")</f>
        <v>0</v>
      </c>
      <c r="F4596" cm="1">
        <f t="array" ref="F4596">_xlfn.XLOOKUP(C4596,Account_Master!A:A,Account_Master!B:B,"Not on master")</f>
        <v>0</v>
      </c>
      <c r="G4596" cm="1">
        <f t="array" ref="G4596">_xlfn.XLOOKUP(C4596,Account_Master!A:A,Account_Master!C:C,"Not on master")</f>
        <v>0</v>
      </c>
      <c r="H4596" s="6">
        <v>6.37</v>
      </c>
      <c r="I4596" s="6">
        <v>6.37</v>
      </c>
      <c r="J4596" s="6">
        <f>I4596-H4596</f>
        <v>0</v>
      </c>
      <c r="K4596" s="5">
        <f>IF(H4596=0,"",J4596/H4596)</f>
        <v>0</v>
      </c>
      <c r="L4596">
        <f>IF(OR(AND(H4596=0,ABS(J4596)&gt;=0.01),AND(H4596&lt;&gt;0,ABS(K4596)&gt;VarianceThreshold)),"Review","OK")</f>
        <v>0</v>
      </c>
      <c r="M4596" t="s">
        <v>33</v>
      </c>
    </row>
    <row r="4597" spans="1:13">
      <c r="A4597" t="s">
        <v>7</v>
      </c>
      <c r="B4597" t="s">
        <v>371</v>
      </c>
      <c r="C4597" t="s">
        <v>3490</v>
      </c>
      <c r="D4597" t="s">
        <v>3495</v>
      </c>
      <c r="E4597" cm="1">
        <f t="array" ref="E4597">_xlfn.XLOOKUP(D4597,SKU_Master!A:A,SKU_Master!B:B,"Not on master")</f>
        <v>0</v>
      </c>
      <c r="F4597" cm="1">
        <f t="array" ref="F4597">_xlfn.XLOOKUP(C4597,Account_Master!A:A,Account_Master!B:B,"Not on master")</f>
        <v>0</v>
      </c>
      <c r="G4597" cm="1">
        <f t="array" ref="G4597">_xlfn.XLOOKUP(C4597,Account_Master!A:A,Account_Master!C:C,"Not on master")</f>
        <v>0</v>
      </c>
      <c r="H4597" s="6">
        <v>3</v>
      </c>
      <c r="I4597" s="6">
        <v>3</v>
      </c>
      <c r="J4597" s="6">
        <f>I4597-H4597</f>
        <v>0</v>
      </c>
      <c r="K4597" s="5">
        <f>IF(H4597=0,"",J4597/H4597)</f>
        <v>0</v>
      </c>
      <c r="L4597">
        <f>IF(OR(AND(H4597=0,ABS(J4597)&gt;=0.01),AND(H4597&lt;&gt;0,ABS(K4597)&gt;VarianceThreshold)),"Review","OK")</f>
        <v>0</v>
      </c>
      <c r="M4597" t="s">
        <v>33</v>
      </c>
    </row>
    <row r="4598" spans="1:13">
      <c r="A4598" t="s">
        <v>7</v>
      </c>
      <c r="B4598" t="s">
        <v>371</v>
      </c>
      <c r="C4598" t="s">
        <v>3378</v>
      </c>
      <c r="D4598" t="s">
        <v>657</v>
      </c>
      <c r="E4598" cm="1">
        <f t="array" ref="E4598">_xlfn.XLOOKUP(D4598,SKU_Master!A:A,SKU_Master!B:B,"Not on master")</f>
        <v>0</v>
      </c>
      <c r="F4598" cm="1">
        <f t="array" ref="F4598">_xlfn.XLOOKUP(C4598,Account_Master!A:A,Account_Master!B:B,"Not on master")</f>
        <v>0</v>
      </c>
      <c r="G4598" cm="1">
        <f t="array" ref="G4598">_xlfn.XLOOKUP(C4598,Account_Master!A:A,Account_Master!C:C,"Not on master")</f>
        <v>0</v>
      </c>
      <c r="H4598" s="6">
        <v>9</v>
      </c>
      <c r="I4598" s="6">
        <v>9</v>
      </c>
      <c r="J4598" s="6">
        <f>I4598-H4598</f>
        <v>0</v>
      </c>
      <c r="K4598" s="5">
        <f>IF(H4598=0,"",J4598/H4598)</f>
        <v>0</v>
      </c>
      <c r="L4598">
        <f>IF(OR(AND(H4598=0,ABS(J4598)&gt;=0.01),AND(H4598&lt;&gt;0,ABS(K4598)&gt;VarianceThreshold)),"Review","OK")</f>
        <v>0</v>
      </c>
      <c r="M4598" t="s">
        <v>33</v>
      </c>
    </row>
    <row r="4599" spans="1:13">
      <c r="A4599" t="s">
        <v>7</v>
      </c>
      <c r="B4599" t="s">
        <v>379</v>
      </c>
      <c r="C4599" t="s">
        <v>3496</v>
      </c>
      <c r="D4599" t="s">
        <v>1176</v>
      </c>
      <c r="E4599" cm="1">
        <f t="array" ref="E4599">_xlfn.XLOOKUP(D4599,SKU_Master!A:A,SKU_Master!B:B,"Not on master")</f>
        <v>0</v>
      </c>
      <c r="F4599" cm="1">
        <f t="array" ref="F4599">_xlfn.XLOOKUP(C4599,Account_Master!A:A,Account_Master!B:B,"Not on master")</f>
        <v>0</v>
      </c>
      <c r="G4599" cm="1">
        <f t="array" ref="G4599">_xlfn.XLOOKUP(C4599,Account_Master!A:A,Account_Master!C:C,"Not on master")</f>
        <v>0</v>
      </c>
      <c r="H4599" s="6">
        <v>63</v>
      </c>
      <c r="I4599" s="6">
        <v>63</v>
      </c>
      <c r="J4599" s="6">
        <f>I4599-H4599</f>
        <v>0</v>
      </c>
      <c r="K4599" s="5">
        <f>IF(H4599=0,"",J4599/H4599)</f>
        <v>0</v>
      </c>
      <c r="L4599">
        <f>IF(OR(AND(H4599=0,ABS(J4599)&gt;=0.01),AND(H4599&lt;&gt;0,ABS(K4599)&gt;VarianceThreshold)),"Review","OK")</f>
        <v>0</v>
      </c>
      <c r="M4599" t="s">
        <v>33</v>
      </c>
    </row>
    <row r="4600" spans="1:13">
      <c r="A4600" t="s">
        <v>7</v>
      </c>
      <c r="B4600" t="s">
        <v>379</v>
      </c>
      <c r="C4600" t="s">
        <v>3369</v>
      </c>
      <c r="D4600" t="s">
        <v>597</v>
      </c>
      <c r="E4600" cm="1">
        <f t="array" ref="E4600">_xlfn.XLOOKUP(D4600,SKU_Master!A:A,SKU_Master!B:B,"Not on master")</f>
        <v>0</v>
      </c>
      <c r="F4600" cm="1">
        <f t="array" ref="F4600">_xlfn.XLOOKUP(C4600,Account_Master!A:A,Account_Master!B:B,"Not on master")</f>
        <v>0</v>
      </c>
      <c r="G4600" cm="1">
        <f t="array" ref="G4600">_xlfn.XLOOKUP(C4600,Account_Master!A:A,Account_Master!C:C,"Not on master")</f>
        <v>0</v>
      </c>
      <c r="H4600" s="6">
        <v>9.75</v>
      </c>
      <c r="I4600" s="6">
        <v>9.75</v>
      </c>
      <c r="J4600" s="6">
        <f>I4600-H4600</f>
        <v>0</v>
      </c>
      <c r="K4600" s="5">
        <f>IF(H4600=0,"",J4600/H4600)</f>
        <v>0</v>
      </c>
      <c r="L4600">
        <f>IF(OR(AND(H4600=0,ABS(J4600)&gt;=0.01),AND(H4600&lt;&gt;0,ABS(K4600)&gt;VarianceThreshold)),"Review","OK")</f>
        <v>0</v>
      </c>
      <c r="M4600" t="s">
        <v>33</v>
      </c>
    </row>
    <row r="4601" spans="1:13">
      <c r="A4601" t="s">
        <v>7</v>
      </c>
      <c r="B4601" t="s">
        <v>379</v>
      </c>
      <c r="C4601" t="s">
        <v>3496</v>
      </c>
      <c r="D4601" t="s">
        <v>731</v>
      </c>
      <c r="E4601" cm="1">
        <f t="array" ref="E4601">_xlfn.XLOOKUP(D4601,SKU_Master!A:A,SKU_Master!B:B,"Not on master")</f>
        <v>0</v>
      </c>
      <c r="F4601" cm="1">
        <f t="array" ref="F4601">_xlfn.XLOOKUP(C4601,Account_Master!A:A,Account_Master!B:B,"Not on master")</f>
        <v>0</v>
      </c>
      <c r="G4601" cm="1">
        <f t="array" ref="G4601">_xlfn.XLOOKUP(C4601,Account_Master!A:A,Account_Master!C:C,"Not on master")</f>
        <v>0</v>
      </c>
      <c r="H4601" s="6">
        <v>101.5</v>
      </c>
      <c r="I4601" s="6">
        <v>87.5</v>
      </c>
      <c r="J4601" s="6">
        <f>I4601-H4601</f>
        <v>0</v>
      </c>
      <c r="K4601" s="5">
        <f>IF(H4601=0,"",J4601/H4601)</f>
        <v>0</v>
      </c>
      <c r="L4601">
        <f>IF(OR(AND(H4601=0,ABS(J4601)&gt;=0.01),AND(H4601&lt;&gt;0,ABS(K4601)&gt;VarianceThreshold)),"Review","OK")</f>
        <v>0</v>
      </c>
      <c r="M4601" t="s">
        <v>3038</v>
      </c>
    </row>
    <row r="4602" spans="1:13">
      <c r="A4602" t="s">
        <v>7</v>
      </c>
      <c r="B4602" t="s">
        <v>379</v>
      </c>
      <c r="C4602" t="s">
        <v>3461</v>
      </c>
      <c r="D4602" t="s">
        <v>1107</v>
      </c>
      <c r="E4602" cm="1">
        <f t="array" ref="E4602">_xlfn.XLOOKUP(D4602,SKU_Master!A:A,SKU_Master!B:B,"Not on master")</f>
        <v>0</v>
      </c>
      <c r="F4602" cm="1">
        <f t="array" ref="F4602">_xlfn.XLOOKUP(C4602,Account_Master!A:A,Account_Master!B:B,"Not on master")</f>
        <v>0</v>
      </c>
      <c r="G4602" cm="1">
        <f t="array" ref="G4602">_xlfn.XLOOKUP(C4602,Account_Master!A:A,Account_Master!C:C,"Not on master")</f>
        <v>0</v>
      </c>
      <c r="H4602" s="6">
        <v>0.7</v>
      </c>
      <c r="I4602" s="6">
        <v>0.7</v>
      </c>
      <c r="J4602" s="6">
        <f>I4602-H4602</f>
        <v>0</v>
      </c>
      <c r="K4602" s="5">
        <f>IF(H4602=0,"",J4602/H4602)</f>
        <v>0</v>
      </c>
      <c r="L4602">
        <f>IF(OR(AND(H4602=0,ABS(J4602)&gt;=0.01),AND(H4602&lt;&gt;0,ABS(K4602)&gt;VarianceThreshold)),"Review","OK")</f>
        <v>0</v>
      </c>
      <c r="M4602" t="s">
        <v>33</v>
      </c>
    </row>
    <row r="4603" spans="1:13">
      <c r="A4603" t="s">
        <v>7</v>
      </c>
      <c r="B4603" t="s">
        <v>379</v>
      </c>
      <c r="C4603" t="s">
        <v>3357</v>
      </c>
      <c r="D4603" t="s">
        <v>3497</v>
      </c>
      <c r="E4603" cm="1">
        <f t="array" ref="E4603">_xlfn.XLOOKUP(D4603,SKU_Master!A:A,SKU_Master!B:B,"Not on master")</f>
        <v>0</v>
      </c>
      <c r="F4603" cm="1">
        <f t="array" ref="F4603">_xlfn.XLOOKUP(C4603,Account_Master!A:A,Account_Master!B:B,"Not on master")</f>
        <v>0</v>
      </c>
      <c r="G4603" cm="1">
        <f t="array" ref="G4603">_xlfn.XLOOKUP(C4603,Account_Master!A:A,Account_Master!C:C,"Not on master")</f>
        <v>0</v>
      </c>
      <c r="H4603" s="6">
        <v>20.25</v>
      </c>
      <c r="I4603" s="6">
        <v>20.25</v>
      </c>
      <c r="J4603" s="6">
        <f>I4603-H4603</f>
        <v>0</v>
      </c>
      <c r="K4603" s="5">
        <f>IF(H4603=0,"",J4603/H4603)</f>
        <v>0</v>
      </c>
      <c r="L4603">
        <f>IF(OR(AND(H4603=0,ABS(J4603)&gt;=0.01),AND(H4603&lt;&gt;0,ABS(K4603)&gt;VarianceThreshold)),"Review","OK")</f>
        <v>0</v>
      </c>
      <c r="M4603" t="s">
        <v>33</v>
      </c>
    </row>
    <row r="4604" spans="1:13">
      <c r="A4604" t="s">
        <v>7</v>
      </c>
      <c r="B4604" t="s">
        <v>379</v>
      </c>
      <c r="C4604" t="s">
        <v>3498</v>
      </c>
      <c r="D4604" t="s">
        <v>3184</v>
      </c>
      <c r="E4604" cm="1">
        <f t="array" ref="E4604">_xlfn.XLOOKUP(D4604,SKU_Master!A:A,SKU_Master!B:B,"Not on master")</f>
        <v>0</v>
      </c>
      <c r="F4604" cm="1">
        <f t="array" ref="F4604">_xlfn.XLOOKUP(C4604,Account_Master!A:A,Account_Master!B:B,"Not on master")</f>
        <v>0</v>
      </c>
      <c r="G4604" cm="1">
        <f t="array" ref="G4604">_xlfn.XLOOKUP(C4604,Account_Master!A:A,Account_Master!C:C,"Not on master")</f>
        <v>0</v>
      </c>
      <c r="H4604" s="6">
        <v>1.5</v>
      </c>
      <c r="I4604" s="6">
        <v>1.5</v>
      </c>
      <c r="J4604" s="6">
        <f>I4604-H4604</f>
        <v>0</v>
      </c>
      <c r="K4604" s="5">
        <f>IF(H4604=0,"",J4604/H4604)</f>
        <v>0</v>
      </c>
      <c r="L4604">
        <f>IF(OR(AND(H4604=0,ABS(J4604)&gt;=0.01),AND(H4604&lt;&gt;0,ABS(K4604)&gt;VarianceThreshold)),"Review","OK")</f>
        <v>0</v>
      </c>
      <c r="M4604" t="s">
        <v>33</v>
      </c>
    </row>
    <row r="4605" spans="1:13">
      <c r="A4605" t="s">
        <v>7</v>
      </c>
      <c r="B4605" t="s">
        <v>379</v>
      </c>
      <c r="C4605" t="s">
        <v>3368</v>
      </c>
      <c r="D4605" t="s">
        <v>3499</v>
      </c>
      <c r="E4605" cm="1">
        <f t="array" ref="E4605">_xlfn.XLOOKUP(D4605,SKU_Master!A:A,SKU_Master!B:B,"Not on master")</f>
        <v>0</v>
      </c>
      <c r="F4605" cm="1">
        <f t="array" ref="F4605">_xlfn.XLOOKUP(C4605,Account_Master!A:A,Account_Master!B:B,"Not on master")</f>
        <v>0</v>
      </c>
      <c r="G4605" cm="1">
        <f t="array" ref="G4605">_xlfn.XLOOKUP(C4605,Account_Master!A:A,Account_Master!C:C,"Not on master")</f>
        <v>0</v>
      </c>
      <c r="H4605" s="6">
        <v>175.5</v>
      </c>
      <c r="I4605" s="6">
        <v>175.5</v>
      </c>
      <c r="J4605" s="6">
        <f>I4605-H4605</f>
        <v>0</v>
      </c>
      <c r="K4605" s="5">
        <f>IF(H4605=0,"",J4605/H4605)</f>
        <v>0</v>
      </c>
      <c r="L4605">
        <f>IF(OR(AND(H4605=0,ABS(J4605)&gt;=0.01),AND(H4605&lt;&gt;0,ABS(K4605)&gt;VarianceThreshold)),"Review","OK")</f>
        <v>0</v>
      </c>
      <c r="M4605" t="s">
        <v>33</v>
      </c>
    </row>
    <row r="4606" spans="1:13">
      <c r="A4606" t="s">
        <v>7</v>
      </c>
      <c r="B4606" t="s">
        <v>392</v>
      </c>
      <c r="C4606" t="s">
        <v>3369</v>
      </c>
      <c r="D4606" t="s">
        <v>807</v>
      </c>
      <c r="E4606" cm="1">
        <f t="array" ref="E4606">_xlfn.XLOOKUP(D4606,SKU_Master!A:A,SKU_Master!B:B,"Not on master")</f>
        <v>0</v>
      </c>
      <c r="F4606" cm="1">
        <f t="array" ref="F4606">_xlfn.XLOOKUP(C4606,Account_Master!A:A,Account_Master!B:B,"Not on master")</f>
        <v>0</v>
      </c>
      <c r="G4606" cm="1">
        <f t="array" ref="G4606">_xlfn.XLOOKUP(C4606,Account_Master!A:A,Account_Master!C:C,"Not on master")</f>
        <v>0</v>
      </c>
      <c r="H4606" s="6">
        <v>64.75</v>
      </c>
      <c r="I4606" s="6">
        <v>64.75</v>
      </c>
      <c r="J4606" s="6">
        <f>I4606-H4606</f>
        <v>0</v>
      </c>
      <c r="K4606" s="5">
        <f>IF(H4606=0,"",J4606/H4606)</f>
        <v>0</v>
      </c>
      <c r="L4606">
        <f>IF(OR(AND(H4606=0,ABS(J4606)&gt;=0.01),AND(H4606&lt;&gt;0,ABS(K4606)&gt;VarianceThreshold)),"Review","OK")</f>
        <v>0</v>
      </c>
      <c r="M4606" t="s">
        <v>33</v>
      </c>
    </row>
    <row r="4607" spans="1:13">
      <c r="A4607" t="s">
        <v>7</v>
      </c>
      <c r="B4607" t="s">
        <v>392</v>
      </c>
      <c r="C4607" t="s">
        <v>3456</v>
      </c>
      <c r="D4607" t="s">
        <v>1406</v>
      </c>
      <c r="E4607" cm="1">
        <f t="array" ref="E4607">_xlfn.XLOOKUP(D4607,SKU_Master!A:A,SKU_Master!B:B,"Not on master")</f>
        <v>0</v>
      </c>
      <c r="F4607" cm="1">
        <f t="array" ref="F4607">_xlfn.XLOOKUP(C4607,Account_Master!A:A,Account_Master!B:B,"Not on master")</f>
        <v>0</v>
      </c>
      <c r="G4607" cm="1">
        <f t="array" ref="G4607">_xlfn.XLOOKUP(C4607,Account_Master!A:A,Account_Master!C:C,"Not on master")</f>
        <v>0</v>
      </c>
      <c r="H4607" s="6">
        <v>4.8</v>
      </c>
      <c r="I4607" s="6">
        <v>4.8</v>
      </c>
      <c r="J4607" s="6">
        <f>I4607-H4607</f>
        <v>0</v>
      </c>
      <c r="K4607" s="5">
        <f>IF(H4607=0,"",J4607/H4607)</f>
        <v>0</v>
      </c>
      <c r="L4607">
        <f>IF(OR(AND(H4607=0,ABS(J4607)&gt;=0.01),AND(H4607&lt;&gt;0,ABS(K4607)&gt;VarianceThreshold)),"Review","OK")</f>
        <v>0</v>
      </c>
      <c r="M4607" t="s">
        <v>33</v>
      </c>
    </row>
    <row r="4608" spans="1:13">
      <c r="A4608" t="s">
        <v>7</v>
      </c>
      <c r="B4608" t="s">
        <v>392</v>
      </c>
      <c r="C4608" t="s">
        <v>3368</v>
      </c>
      <c r="D4608" t="s">
        <v>3500</v>
      </c>
      <c r="E4608" cm="1">
        <f t="array" ref="E4608">_xlfn.XLOOKUP(D4608,SKU_Master!A:A,SKU_Master!B:B,"Not on master")</f>
        <v>0</v>
      </c>
      <c r="F4608" cm="1">
        <f t="array" ref="F4608">_xlfn.XLOOKUP(C4608,Account_Master!A:A,Account_Master!B:B,"Not on master")</f>
        <v>0</v>
      </c>
      <c r="G4608" cm="1">
        <f t="array" ref="G4608">_xlfn.XLOOKUP(C4608,Account_Master!A:A,Account_Master!C:C,"Not on master")</f>
        <v>0</v>
      </c>
      <c r="H4608" s="6">
        <v>8.25</v>
      </c>
      <c r="I4608" s="6">
        <v>8.25</v>
      </c>
      <c r="J4608" s="6">
        <f>I4608-H4608</f>
        <v>0</v>
      </c>
      <c r="K4608" s="5">
        <f>IF(H4608=0,"",J4608/H4608)</f>
        <v>0</v>
      </c>
      <c r="L4608">
        <f>IF(OR(AND(H4608=0,ABS(J4608)&gt;=0.01),AND(H4608&lt;&gt;0,ABS(K4608)&gt;VarianceThreshold)),"Review","OK")</f>
        <v>0</v>
      </c>
      <c r="M4608" t="s">
        <v>33</v>
      </c>
    </row>
    <row r="4609" spans="1:13">
      <c r="A4609" t="s">
        <v>7</v>
      </c>
      <c r="B4609" t="s">
        <v>392</v>
      </c>
      <c r="C4609" t="s">
        <v>3431</v>
      </c>
      <c r="D4609" t="s">
        <v>3501</v>
      </c>
      <c r="E4609" cm="1">
        <f t="array" ref="E4609">_xlfn.XLOOKUP(D4609,SKU_Master!A:A,SKU_Master!B:B,"Not on master")</f>
        <v>0</v>
      </c>
      <c r="F4609" cm="1">
        <f t="array" ref="F4609">_xlfn.XLOOKUP(C4609,Account_Master!A:A,Account_Master!B:B,"Not on master")</f>
        <v>0</v>
      </c>
      <c r="G4609" cm="1">
        <f t="array" ref="G4609">_xlfn.XLOOKUP(C4609,Account_Master!A:A,Account_Master!C:C,"Not on master")</f>
        <v>0</v>
      </c>
      <c r="H4609" s="6">
        <v>0.3</v>
      </c>
      <c r="I4609" s="6">
        <v>0.3</v>
      </c>
      <c r="J4609" s="6">
        <f>I4609-H4609</f>
        <v>0</v>
      </c>
      <c r="K4609" s="5">
        <f>IF(H4609=0,"",J4609/H4609)</f>
        <v>0</v>
      </c>
      <c r="L4609">
        <f>IF(OR(AND(H4609=0,ABS(J4609)&gt;=0.01),AND(H4609&lt;&gt;0,ABS(K4609)&gt;VarianceThreshold)),"Review","OK")</f>
        <v>0</v>
      </c>
      <c r="M4609" t="s">
        <v>33</v>
      </c>
    </row>
    <row r="4610" spans="1:13">
      <c r="A4610" t="s">
        <v>7</v>
      </c>
      <c r="B4610" t="s">
        <v>392</v>
      </c>
      <c r="C4610" t="s">
        <v>3357</v>
      </c>
      <c r="D4610" t="s">
        <v>1886</v>
      </c>
      <c r="E4610" cm="1">
        <f t="array" ref="E4610">_xlfn.XLOOKUP(D4610,SKU_Master!A:A,SKU_Master!B:B,"Not on master")</f>
        <v>0</v>
      </c>
      <c r="F4610" cm="1">
        <f t="array" ref="F4610">_xlfn.XLOOKUP(C4610,Account_Master!A:A,Account_Master!B:B,"Not on master")</f>
        <v>0</v>
      </c>
      <c r="G4610" cm="1">
        <f t="array" ref="G4610">_xlfn.XLOOKUP(C4610,Account_Master!A:A,Account_Master!C:C,"Not on master")</f>
        <v>0</v>
      </c>
      <c r="H4610" s="6">
        <v>98.25</v>
      </c>
      <c r="I4610" s="6">
        <v>89.25</v>
      </c>
      <c r="J4610" s="6">
        <f>I4610-H4610</f>
        <v>0</v>
      </c>
      <c r="K4610" s="5">
        <f>IF(H4610=0,"",J4610/H4610)</f>
        <v>0</v>
      </c>
      <c r="L4610">
        <f>IF(OR(AND(H4610=0,ABS(J4610)&gt;=0.01),AND(H4610&lt;&gt;0,ABS(K4610)&gt;VarianceThreshold)),"Review","OK")</f>
        <v>0</v>
      </c>
      <c r="M4610" t="s">
        <v>3038</v>
      </c>
    </row>
    <row r="4611" spans="1:13">
      <c r="A4611" t="s">
        <v>7</v>
      </c>
      <c r="B4611" t="s">
        <v>392</v>
      </c>
      <c r="C4611" t="s">
        <v>3369</v>
      </c>
      <c r="D4611" t="s">
        <v>2254</v>
      </c>
      <c r="E4611" cm="1">
        <f t="array" ref="E4611">_xlfn.XLOOKUP(D4611,SKU_Master!A:A,SKU_Master!B:B,"Not on master")</f>
        <v>0</v>
      </c>
      <c r="F4611" cm="1">
        <f t="array" ref="F4611">_xlfn.XLOOKUP(C4611,Account_Master!A:A,Account_Master!B:B,"Not on master")</f>
        <v>0</v>
      </c>
      <c r="G4611" cm="1">
        <f t="array" ref="G4611">_xlfn.XLOOKUP(C4611,Account_Master!A:A,Account_Master!C:C,"Not on master")</f>
        <v>0</v>
      </c>
      <c r="H4611" s="6">
        <v>0.7</v>
      </c>
      <c r="I4611" s="6">
        <v>0.7</v>
      </c>
      <c r="J4611" s="6">
        <f>I4611-H4611</f>
        <v>0</v>
      </c>
      <c r="K4611" s="5">
        <f>IF(H4611=0,"",J4611/H4611)</f>
        <v>0</v>
      </c>
      <c r="L4611">
        <f>IF(OR(AND(H4611=0,ABS(J4611)&gt;=0.01),AND(H4611&lt;&gt;0,ABS(K4611)&gt;VarianceThreshold)),"Review","OK")</f>
        <v>0</v>
      </c>
      <c r="M4611" t="s">
        <v>33</v>
      </c>
    </row>
    <row r="4612" spans="1:13">
      <c r="A4612" t="s">
        <v>7</v>
      </c>
      <c r="B4612" t="s">
        <v>392</v>
      </c>
      <c r="C4612" t="s">
        <v>3393</v>
      </c>
      <c r="D4612" t="s">
        <v>312</v>
      </c>
      <c r="E4612" cm="1">
        <f t="array" ref="E4612">_xlfn.XLOOKUP(D4612,SKU_Master!A:A,SKU_Master!B:B,"Not on master")</f>
        <v>0</v>
      </c>
      <c r="F4612" cm="1">
        <f t="array" ref="F4612">_xlfn.XLOOKUP(C4612,Account_Master!A:A,Account_Master!B:B,"Not on master")</f>
        <v>0</v>
      </c>
      <c r="G4612" cm="1">
        <f t="array" ref="G4612">_xlfn.XLOOKUP(C4612,Account_Master!A:A,Account_Master!C:C,"Not on master")</f>
        <v>0</v>
      </c>
      <c r="H4612" s="6">
        <v>18</v>
      </c>
      <c r="I4612" s="6">
        <v>18</v>
      </c>
      <c r="J4612" s="6">
        <f>I4612-H4612</f>
        <v>0</v>
      </c>
      <c r="K4612" s="5">
        <f>IF(H4612=0,"",J4612/H4612)</f>
        <v>0</v>
      </c>
      <c r="L4612">
        <f>IF(OR(AND(H4612=0,ABS(J4612)&gt;=0.01),AND(H4612&lt;&gt;0,ABS(K4612)&gt;VarianceThreshold)),"Review","OK")</f>
        <v>0</v>
      </c>
      <c r="M4612" t="s">
        <v>33</v>
      </c>
    </row>
    <row r="4613" spans="1:13">
      <c r="A4613" t="s">
        <v>7</v>
      </c>
      <c r="B4613" t="s">
        <v>392</v>
      </c>
      <c r="C4613" t="s">
        <v>3413</v>
      </c>
      <c r="D4613" t="s">
        <v>1863</v>
      </c>
      <c r="E4613" cm="1">
        <f t="array" ref="E4613">_xlfn.XLOOKUP(D4613,SKU_Master!A:A,SKU_Master!B:B,"Not on master")</f>
        <v>0</v>
      </c>
      <c r="F4613" cm="1">
        <f t="array" ref="F4613">_xlfn.XLOOKUP(C4613,Account_Master!A:A,Account_Master!B:B,"Not on master")</f>
        <v>0</v>
      </c>
      <c r="G4613" cm="1">
        <f t="array" ref="G4613">_xlfn.XLOOKUP(C4613,Account_Master!A:A,Account_Master!C:C,"Not on master")</f>
        <v>0</v>
      </c>
      <c r="H4613" s="6">
        <v>4.5</v>
      </c>
      <c r="I4613" s="6">
        <v>4.5</v>
      </c>
      <c r="J4613" s="6">
        <f>I4613-H4613</f>
        <v>0</v>
      </c>
      <c r="K4613" s="5">
        <f>IF(H4613=0,"",J4613/H4613)</f>
        <v>0</v>
      </c>
      <c r="L4613">
        <f>IF(OR(AND(H4613=0,ABS(J4613)&gt;=0.01),AND(H4613&lt;&gt;0,ABS(K4613)&gt;VarianceThreshold)),"Review","OK")</f>
        <v>0</v>
      </c>
      <c r="M4613" t="s">
        <v>33</v>
      </c>
    </row>
    <row r="4614" spans="1:13">
      <c r="A4614" t="s">
        <v>7</v>
      </c>
      <c r="B4614" t="s">
        <v>402</v>
      </c>
      <c r="C4614" t="s">
        <v>3363</v>
      </c>
      <c r="D4614" t="s">
        <v>2962</v>
      </c>
      <c r="E4614" cm="1">
        <f t="array" ref="E4614">_xlfn.XLOOKUP(D4614,SKU_Master!A:A,SKU_Master!B:B,"Not on master")</f>
        <v>0</v>
      </c>
      <c r="F4614" cm="1">
        <f t="array" ref="F4614">_xlfn.XLOOKUP(C4614,Account_Master!A:A,Account_Master!B:B,"Not on master")</f>
        <v>0</v>
      </c>
      <c r="G4614" cm="1">
        <f t="array" ref="G4614">_xlfn.XLOOKUP(C4614,Account_Master!A:A,Account_Master!C:C,"Not on master")</f>
        <v>0</v>
      </c>
      <c r="H4614" s="6">
        <v>2.25</v>
      </c>
      <c r="I4614" s="6">
        <v>2.25</v>
      </c>
      <c r="J4614" s="6">
        <f>I4614-H4614</f>
        <v>0</v>
      </c>
      <c r="K4614" s="5">
        <f>IF(H4614=0,"",J4614/H4614)</f>
        <v>0</v>
      </c>
      <c r="L4614">
        <f>IF(OR(AND(H4614=0,ABS(J4614)&gt;=0.01),AND(H4614&lt;&gt;0,ABS(K4614)&gt;VarianceThreshold)),"Review","OK")</f>
        <v>0</v>
      </c>
      <c r="M4614" t="s">
        <v>33</v>
      </c>
    </row>
    <row r="4615" spans="1:13">
      <c r="A4615" t="s">
        <v>7</v>
      </c>
      <c r="B4615" t="s">
        <v>402</v>
      </c>
      <c r="C4615" t="s">
        <v>3369</v>
      </c>
      <c r="D4615" t="s">
        <v>3502</v>
      </c>
      <c r="E4615" cm="1">
        <f t="array" ref="E4615">_xlfn.XLOOKUP(D4615,SKU_Master!A:A,SKU_Master!B:B,"Not on master")</f>
        <v>0</v>
      </c>
      <c r="F4615" cm="1">
        <f t="array" ref="F4615">_xlfn.XLOOKUP(C4615,Account_Master!A:A,Account_Master!B:B,"Not on master")</f>
        <v>0</v>
      </c>
      <c r="G4615" cm="1">
        <f t="array" ref="G4615">_xlfn.XLOOKUP(C4615,Account_Master!A:A,Account_Master!C:C,"Not on master")</f>
        <v>0</v>
      </c>
      <c r="H4615" s="6">
        <v>168</v>
      </c>
      <c r="I4615" s="6">
        <v>168</v>
      </c>
      <c r="J4615" s="6">
        <f>I4615-H4615</f>
        <v>0</v>
      </c>
      <c r="K4615" s="5">
        <f>IF(H4615=0,"",J4615/H4615)</f>
        <v>0</v>
      </c>
      <c r="L4615">
        <f>IF(OR(AND(H4615=0,ABS(J4615)&gt;=0.01),AND(H4615&lt;&gt;0,ABS(K4615)&gt;VarianceThreshold)),"Review","OK")</f>
        <v>0</v>
      </c>
      <c r="M4615" t="s">
        <v>33</v>
      </c>
    </row>
    <row r="4616" spans="1:13">
      <c r="A4616" t="s">
        <v>7</v>
      </c>
      <c r="B4616" t="s">
        <v>402</v>
      </c>
      <c r="C4616" t="s">
        <v>3393</v>
      </c>
      <c r="D4616" t="s">
        <v>3503</v>
      </c>
      <c r="E4616" cm="1">
        <f t="array" ref="E4616">_xlfn.XLOOKUP(D4616,SKU_Master!A:A,SKU_Master!B:B,"Not on master")</f>
        <v>0</v>
      </c>
      <c r="F4616" cm="1">
        <f t="array" ref="F4616">_xlfn.XLOOKUP(C4616,Account_Master!A:A,Account_Master!B:B,"Not on master")</f>
        <v>0</v>
      </c>
      <c r="G4616" cm="1">
        <f t="array" ref="G4616">_xlfn.XLOOKUP(C4616,Account_Master!A:A,Account_Master!C:C,"Not on master")</f>
        <v>0</v>
      </c>
      <c r="H4616" s="6">
        <v>0.3</v>
      </c>
      <c r="I4616" s="6">
        <v>0.3</v>
      </c>
      <c r="J4616" s="6">
        <f>I4616-H4616</f>
        <v>0</v>
      </c>
      <c r="K4616" s="5">
        <f>IF(H4616=0,"",J4616/H4616)</f>
        <v>0</v>
      </c>
      <c r="L4616">
        <f>IF(OR(AND(H4616=0,ABS(J4616)&gt;=0.01),AND(H4616&lt;&gt;0,ABS(K4616)&gt;VarianceThreshold)),"Review","OK")</f>
        <v>0</v>
      </c>
      <c r="M4616" t="s">
        <v>33</v>
      </c>
    </row>
    <row r="4617" spans="1:13">
      <c r="A4617" t="s">
        <v>7</v>
      </c>
      <c r="B4617" t="s">
        <v>402</v>
      </c>
      <c r="C4617" t="s">
        <v>3504</v>
      </c>
      <c r="D4617" t="s">
        <v>1378</v>
      </c>
      <c r="E4617" cm="1">
        <f t="array" ref="E4617">_xlfn.XLOOKUP(D4617,SKU_Master!A:A,SKU_Master!B:B,"Not on master")</f>
        <v>0</v>
      </c>
      <c r="F4617" cm="1">
        <f t="array" ref="F4617">_xlfn.XLOOKUP(C4617,Account_Master!A:A,Account_Master!B:B,"Not on master")</f>
        <v>0</v>
      </c>
      <c r="G4617" cm="1">
        <f t="array" ref="G4617">_xlfn.XLOOKUP(C4617,Account_Master!A:A,Account_Master!C:C,"Not on master")</f>
        <v>0</v>
      </c>
      <c r="H4617" s="6">
        <v>9.6</v>
      </c>
      <c r="I4617" s="6">
        <v>9.6</v>
      </c>
      <c r="J4617" s="6">
        <f>I4617-H4617</f>
        <v>0</v>
      </c>
      <c r="K4617" s="5">
        <f>IF(H4617=0,"",J4617/H4617)</f>
        <v>0</v>
      </c>
      <c r="L4617">
        <f>IF(OR(AND(H4617=0,ABS(J4617)&gt;=0.01),AND(H4617&lt;&gt;0,ABS(K4617)&gt;VarianceThreshold)),"Review","OK")</f>
        <v>0</v>
      </c>
      <c r="M4617" t="s">
        <v>33</v>
      </c>
    </row>
    <row r="4618" spans="1:13">
      <c r="A4618" t="s">
        <v>7</v>
      </c>
      <c r="B4618" t="s">
        <v>402</v>
      </c>
      <c r="C4618" t="s">
        <v>3368</v>
      </c>
      <c r="D4618" t="s">
        <v>3505</v>
      </c>
      <c r="E4618" cm="1">
        <f t="array" ref="E4618">_xlfn.XLOOKUP(D4618,SKU_Master!A:A,SKU_Master!B:B,"Not on master")</f>
        <v>0</v>
      </c>
      <c r="F4618" cm="1">
        <f t="array" ref="F4618">_xlfn.XLOOKUP(C4618,Account_Master!A:A,Account_Master!B:B,"Not on master")</f>
        <v>0</v>
      </c>
      <c r="G4618" cm="1">
        <f t="array" ref="G4618">_xlfn.XLOOKUP(C4618,Account_Master!A:A,Account_Master!C:C,"Not on master")</f>
        <v>0</v>
      </c>
      <c r="H4618" s="6">
        <v>117</v>
      </c>
      <c r="I4618" s="6">
        <v>117</v>
      </c>
      <c r="J4618" s="6">
        <f>I4618-H4618</f>
        <v>0</v>
      </c>
      <c r="K4618" s="5">
        <f>IF(H4618=0,"",J4618/H4618)</f>
        <v>0</v>
      </c>
      <c r="L4618">
        <f>IF(OR(AND(H4618=0,ABS(J4618)&gt;=0.01),AND(H4618&lt;&gt;0,ABS(K4618)&gt;VarianceThreshold)),"Review","OK")</f>
        <v>0</v>
      </c>
      <c r="M4618" t="s">
        <v>33</v>
      </c>
    </row>
    <row r="4619" spans="1:13">
      <c r="A4619" t="s">
        <v>7</v>
      </c>
      <c r="B4619" t="s">
        <v>402</v>
      </c>
      <c r="C4619" t="s">
        <v>33</v>
      </c>
      <c r="D4619" t="s">
        <v>3506</v>
      </c>
      <c r="E4619" cm="1">
        <f t="array" ref="E4619">_xlfn.XLOOKUP(D4619,SKU_Master!A:A,SKU_Master!B:B,"Not on master")</f>
        <v>0</v>
      </c>
      <c r="F4619" cm="1">
        <f t="array" ref="F4619">_xlfn.XLOOKUP(C4619,Account_Master!A:A,Account_Master!B:B,"Not on master")</f>
        <v>0</v>
      </c>
      <c r="G4619" cm="1">
        <f t="array" ref="G4619">_xlfn.XLOOKUP(C4619,Account_Master!A:A,Account_Master!C:C,"Not on master")</f>
        <v>0</v>
      </c>
      <c r="H4619" s="6">
        <v>0</v>
      </c>
      <c r="I4619" s="6">
        <v>9</v>
      </c>
      <c r="J4619" s="6">
        <f>I4619-H4619</f>
        <v>0</v>
      </c>
      <c r="K4619" s="5">
        <f>IF(H4619=0,"",J4619/H4619)</f>
        <v>0</v>
      </c>
      <c r="L4619">
        <f>IF(OR(AND(H4619=0,ABS(J4619)&gt;=0.01),AND(H4619&lt;&gt;0,ABS(K4619)&gt;VarianceThreshold)),"Review","OK")</f>
        <v>0</v>
      </c>
      <c r="M4619" t="s">
        <v>3038</v>
      </c>
    </row>
    <row r="4620" spans="1:13">
      <c r="A4620" t="s">
        <v>7</v>
      </c>
      <c r="B4620" t="s">
        <v>410</v>
      </c>
      <c r="C4620" t="s">
        <v>3414</v>
      </c>
      <c r="D4620" t="s">
        <v>3507</v>
      </c>
      <c r="E4620" cm="1">
        <f t="array" ref="E4620">_xlfn.XLOOKUP(D4620,SKU_Master!A:A,SKU_Master!B:B,"Not on master")</f>
        <v>0</v>
      </c>
      <c r="F4620" cm="1">
        <f t="array" ref="F4620">_xlfn.XLOOKUP(C4620,Account_Master!A:A,Account_Master!B:B,"Not on master")</f>
        <v>0</v>
      </c>
      <c r="G4620" cm="1">
        <f t="array" ref="G4620">_xlfn.XLOOKUP(C4620,Account_Master!A:A,Account_Master!C:C,"Not on master")</f>
        <v>0</v>
      </c>
      <c r="H4620" s="6">
        <v>9</v>
      </c>
      <c r="I4620" s="6">
        <v>9</v>
      </c>
      <c r="J4620" s="6">
        <f>I4620-H4620</f>
        <v>0</v>
      </c>
      <c r="K4620" s="5">
        <f>IF(H4620=0,"",J4620/H4620)</f>
        <v>0</v>
      </c>
      <c r="L4620">
        <f>IF(OR(AND(H4620=0,ABS(J4620)&gt;=0.01),AND(H4620&lt;&gt;0,ABS(K4620)&gt;VarianceThreshold)),"Review","OK")</f>
        <v>0</v>
      </c>
      <c r="M4620" t="s">
        <v>33</v>
      </c>
    </row>
    <row r="4621" spans="1:13">
      <c r="A4621" t="s">
        <v>7</v>
      </c>
      <c r="B4621" t="s">
        <v>410</v>
      </c>
      <c r="C4621" t="s">
        <v>3481</v>
      </c>
      <c r="D4621" t="s">
        <v>53</v>
      </c>
      <c r="E4621" cm="1">
        <f t="array" ref="E4621">_xlfn.XLOOKUP(D4621,SKU_Master!A:A,SKU_Master!B:B,"Not on master")</f>
        <v>0</v>
      </c>
      <c r="F4621" cm="1">
        <f t="array" ref="F4621">_xlfn.XLOOKUP(C4621,Account_Master!A:A,Account_Master!B:B,"Not on master")</f>
        <v>0</v>
      </c>
      <c r="G4621" cm="1">
        <f t="array" ref="G4621">_xlfn.XLOOKUP(C4621,Account_Master!A:A,Account_Master!C:C,"Not on master")</f>
        <v>0</v>
      </c>
      <c r="H4621" s="6">
        <v>10.2</v>
      </c>
      <c r="I4621" s="6">
        <v>10.2</v>
      </c>
      <c r="J4621" s="6">
        <f>I4621-H4621</f>
        <v>0</v>
      </c>
      <c r="K4621" s="5">
        <f>IF(H4621=0,"",J4621/H4621)</f>
        <v>0</v>
      </c>
      <c r="L4621">
        <f>IF(OR(AND(H4621=0,ABS(J4621)&gt;=0.01),AND(H4621&lt;&gt;0,ABS(K4621)&gt;VarianceThreshold)),"Review","OK")</f>
        <v>0</v>
      </c>
      <c r="M4621" t="s">
        <v>33</v>
      </c>
    </row>
    <row r="4622" spans="1:13">
      <c r="A4622" t="s">
        <v>7</v>
      </c>
      <c r="B4622" t="s">
        <v>410</v>
      </c>
      <c r="C4622" t="s">
        <v>3508</v>
      </c>
      <c r="D4622" t="s">
        <v>1943</v>
      </c>
      <c r="E4622" cm="1">
        <f t="array" ref="E4622">_xlfn.XLOOKUP(D4622,SKU_Master!A:A,SKU_Master!B:B,"Not on master")</f>
        <v>0</v>
      </c>
      <c r="F4622" cm="1">
        <f t="array" ref="F4622">_xlfn.XLOOKUP(C4622,Account_Master!A:A,Account_Master!B:B,"Not on master")</f>
        <v>0</v>
      </c>
      <c r="G4622" cm="1">
        <f t="array" ref="G4622">_xlfn.XLOOKUP(C4622,Account_Master!A:A,Account_Master!C:C,"Not on master")</f>
        <v>0</v>
      </c>
      <c r="H4622" s="6">
        <v>0.65</v>
      </c>
      <c r="I4622" s="6">
        <v>0.65</v>
      </c>
      <c r="J4622" s="6">
        <f>I4622-H4622</f>
        <v>0</v>
      </c>
      <c r="K4622" s="5">
        <f>IF(H4622=0,"",J4622/H4622)</f>
        <v>0</v>
      </c>
      <c r="L4622">
        <f>IF(OR(AND(H4622=0,ABS(J4622)&gt;=0.01),AND(H4622&lt;&gt;0,ABS(K4622)&gt;VarianceThreshold)),"Review","OK")</f>
        <v>0</v>
      </c>
      <c r="M4622" t="s">
        <v>33</v>
      </c>
    </row>
    <row r="4623" spans="1:13">
      <c r="A4623" t="s">
        <v>7</v>
      </c>
      <c r="B4623" t="s">
        <v>410</v>
      </c>
      <c r="C4623" t="s">
        <v>3368</v>
      </c>
      <c r="D4623" t="s">
        <v>3509</v>
      </c>
      <c r="E4623" cm="1">
        <f t="array" ref="E4623">_xlfn.XLOOKUP(D4623,SKU_Master!A:A,SKU_Master!B:B,"Not on master")</f>
        <v>0</v>
      </c>
      <c r="F4623" cm="1">
        <f t="array" ref="F4623">_xlfn.XLOOKUP(C4623,Account_Master!A:A,Account_Master!B:B,"Not on master")</f>
        <v>0</v>
      </c>
      <c r="G4623" cm="1">
        <f t="array" ref="G4623">_xlfn.XLOOKUP(C4623,Account_Master!A:A,Account_Master!C:C,"Not on master")</f>
        <v>0</v>
      </c>
      <c r="H4623" s="6">
        <v>9</v>
      </c>
      <c r="I4623" s="6">
        <v>9</v>
      </c>
      <c r="J4623" s="6">
        <f>I4623-H4623</f>
        <v>0</v>
      </c>
      <c r="K4623" s="5">
        <f>IF(H4623=0,"",J4623/H4623)</f>
        <v>0</v>
      </c>
      <c r="L4623">
        <f>IF(OR(AND(H4623=0,ABS(J4623)&gt;=0.01),AND(H4623&lt;&gt;0,ABS(K4623)&gt;VarianceThreshold)),"Review","OK")</f>
        <v>0</v>
      </c>
      <c r="M4623" t="s">
        <v>33</v>
      </c>
    </row>
    <row r="4624" spans="1:13">
      <c r="A4624" t="s">
        <v>7</v>
      </c>
      <c r="B4624" t="s">
        <v>410</v>
      </c>
      <c r="C4624" t="s">
        <v>3440</v>
      </c>
      <c r="D4624" t="s">
        <v>1701</v>
      </c>
      <c r="E4624" cm="1">
        <f t="array" ref="E4624">_xlfn.XLOOKUP(D4624,SKU_Master!A:A,SKU_Master!B:B,"Not on master")</f>
        <v>0</v>
      </c>
      <c r="F4624" cm="1">
        <f t="array" ref="F4624">_xlfn.XLOOKUP(C4624,Account_Master!A:A,Account_Master!B:B,"Not on master")</f>
        <v>0</v>
      </c>
      <c r="G4624" cm="1">
        <f t="array" ref="G4624">_xlfn.XLOOKUP(C4624,Account_Master!A:A,Account_Master!C:C,"Not on master")</f>
        <v>0</v>
      </c>
      <c r="H4624" s="6">
        <v>0.3</v>
      </c>
      <c r="I4624" s="6">
        <v>0.25</v>
      </c>
      <c r="J4624" s="6">
        <f>I4624-H4624</f>
        <v>0</v>
      </c>
      <c r="K4624" s="5">
        <f>IF(H4624=0,"",J4624/H4624)</f>
        <v>0</v>
      </c>
      <c r="L4624">
        <f>IF(OR(AND(H4624=0,ABS(J4624)&gt;=0.01),AND(H4624&lt;&gt;0,ABS(K4624)&gt;VarianceThreshold)),"Review","OK")</f>
        <v>0</v>
      </c>
      <c r="M4624" t="s">
        <v>3038</v>
      </c>
    </row>
    <row r="4625" spans="1:13">
      <c r="A4625" t="s">
        <v>7</v>
      </c>
      <c r="B4625" t="s">
        <v>410</v>
      </c>
      <c r="C4625" t="s">
        <v>3510</v>
      </c>
      <c r="D4625" t="s">
        <v>1014</v>
      </c>
      <c r="E4625" cm="1">
        <f t="array" ref="E4625">_xlfn.XLOOKUP(D4625,SKU_Master!A:A,SKU_Master!B:B,"Not on master")</f>
        <v>0</v>
      </c>
      <c r="F4625" cm="1">
        <f t="array" ref="F4625">_xlfn.XLOOKUP(C4625,Account_Master!A:A,Account_Master!B:B,"Not on master")</f>
        <v>0</v>
      </c>
      <c r="G4625" cm="1">
        <f t="array" ref="G4625">_xlfn.XLOOKUP(C4625,Account_Master!A:A,Account_Master!C:C,"Not on master")</f>
        <v>0</v>
      </c>
      <c r="H4625" s="6">
        <v>0.75</v>
      </c>
      <c r="I4625" s="6">
        <v>0.75</v>
      </c>
      <c r="J4625" s="6">
        <f>I4625-H4625</f>
        <v>0</v>
      </c>
      <c r="K4625" s="5">
        <f>IF(H4625=0,"",J4625/H4625)</f>
        <v>0</v>
      </c>
      <c r="L4625">
        <f>IF(OR(AND(H4625=0,ABS(J4625)&gt;=0.01),AND(H4625&lt;&gt;0,ABS(K4625)&gt;VarianceThreshold)),"Review","OK")</f>
        <v>0</v>
      </c>
      <c r="M4625" t="s">
        <v>33</v>
      </c>
    </row>
    <row r="4626" spans="1:13">
      <c r="A4626" t="s">
        <v>7</v>
      </c>
      <c r="B4626" t="s">
        <v>410</v>
      </c>
      <c r="C4626" t="s">
        <v>3450</v>
      </c>
      <c r="D4626" t="s">
        <v>2089</v>
      </c>
      <c r="E4626" cm="1">
        <f t="array" ref="E4626">_xlfn.XLOOKUP(D4626,SKU_Master!A:A,SKU_Master!B:B,"Not on master")</f>
        <v>0</v>
      </c>
      <c r="F4626" cm="1">
        <f t="array" ref="F4626">_xlfn.XLOOKUP(C4626,Account_Master!A:A,Account_Master!B:B,"Not on master")</f>
        <v>0</v>
      </c>
      <c r="G4626" cm="1">
        <f t="array" ref="G4626">_xlfn.XLOOKUP(C4626,Account_Master!A:A,Account_Master!C:C,"Not on master")</f>
        <v>0</v>
      </c>
      <c r="H4626" s="6">
        <v>6</v>
      </c>
      <c r="I4626" s="6">
        <v>6</v>
      </c>
      <c r="J4626" s="6">
        <f>I4626-H4626</f>
        <v>0</v>
      </c>
      <c r="K4626" s="5">
        <f>IF(H4626=0,"",J4626/H4626)</f>
        <v>0</v>
      </c>
      <c r="L4626">
        <f>IF(OR(AND(H4626=0,ABS(J4626)&gt;=0.01),AND(H4626&lt;&gt;0,ABS(K4626)&gt;VarianceThreshold)),"Review","OK")</f>
        <v>0</v>
      </c>
      <c r="M4626" t="s">
        <v>33</v>
      </c>
    </row>
    <row r="4627" spans="1:13">
      <c r="A4627" t="s">
        <v>7</v>
      </c>
      <c r="B4627" t="s">
        <v>410</v>
      </c>
      <c r="C4627" t="s">
        <v>3368</v>
      </c>
      <c r="D4627" t="s">
        <v>3511</v>
      </c>
      <c r="E4627" cm="1">
        <f t="array" ref="E4627">_xlfn.XLOOKUP(D4627,SKU_Master!A:A,SKU_Master!B:B,"Not on master")</f>
        <v>0</v>
      </c>
      <c r="F4627" cm="1">
        <f t="array" ref="F4627">_xlfn.XLOOKUP(C4627,Account_Master!A:A,Account_Master!B:B,"Not on master")</f>
        <v>0</v>
      </c>
      <c r="G4627" cm="1">
        <f t="array" ref="G4627">_xlfn.XLOOKUP(C4627,Account_Master!A:A,Account_Master!C:C,"Not on master")</f>
        <v>0</v>
      </c>
      <c r="H4627" s="6">
        <v>4.5</v>
      </c>
      <c r="I4627" s="6">
        <v>4.5</v>
      </c>
      <c r="J4627" s="6">
        <f>I4627-H4627</f>
        <v>0</v>
      </c>
      <c r="K4627" s="5">
        <f>IF(H4627=0,"",J4627/H4627)</f>
        <v>0</v>
      </c>
      <c r="L4627">
        <f>IF(OR(AND(H4627=0,ABS(J4627)&gt;=0.01),AND(H4627&lt;&gt;0,ABS(K4627)&gt;VarianceThreshold)),"Review","OK")</f>
        <v>0</v>
      </c>
      <c r="M4627" t="s">
        <v>33</v>
      </c>
    </row>
    <row r="4628" spans="1:13">
      <c r="A4628" t="s">
        <v>7</v>
      </c>
      <c r="B4628" t="s">
        <v>410</v>
      </c>
      <c r="C4628" t="s">
        <v>3368</v>
      </c>
      <c r="D4628" t="s">
        <v>3512</v>
      </c>
      <c r="E4628" cm="1">
        <f t="array" ref="E4628">_xlfn.XLOOKUP(D4628,SKU_Master!A:A,SKU_Master!B:B,"Not on master")</f>
        <v>0</v>
      </c>
      <c r="F4628" cm="1">
        <f t="array" ref="F4628">_xlfn.XLOOKUP(C4628,Account_Master!A:A,Account_Master!B:B,"Not on master")</f>
        <v>0</v>
      </c>
      <c r="G4628" cm="1">
        <f t="array" ref="G4628">_xlfn.XLOOKUP(C4628,Account_Master!A:A,Account_Master!C:C,"Not on master")</f>
        <v>0</v>
      </c>
      <c r="H4628" s="6">
        <v>4.5</v>
      </c>
      <c r="I4628" s="6">
        <v>4.5</v>
      </c>
      <c r="J4628" s="6">
        <f>I4628-H4628</f>
        <v>0</v>
      </c>
      <c r="K4628" s="5">
        <f>IF(H4628=0,"",J4628/H4628)</f>
        <v>0</v>
      </c>
      <c r="L4628">
        <f>IF(OR(AND(H4628=0,ABS(J4628)&gt;=0.01),AND(H4628&lt;&gt;0,ABS(K4628)&gt;VarianceThreshold)),"Review","OK")</f>
        <v>0</v>
      </c>
      <c r="M4628" t="s">
        <v>33</v>
      </c>
    </row>
    <row r="4629" spans="1:13">
      <c r="A4629" t="s">
        <v>7</v>
      </c>
      <c r="B4629" t="s">
        <v>416</v>
      </c>
      <c r="C4629" t="s">
        <v>3513</v>
      </c>
      <c r="D4629" t="s">
        <v>1119</v>
      </c>
      <c r="E4629" cm="1">
        <f t="array" ref="E4629">_xlfn.XLOOKUP(D4629,SKU_Master!A:A,SKU_Master!B:B,"Not on master")</f>
        <v>0</v>
      </c>
      <c r="F4629" cm="1">
        <f t="array" ref="F4629">_xlfn.XLOOKUP(C4629,Account_Master!A:A,Account_Master!B:B,"Not on master")</f>
        <v>0</v>
      </c>
      <c r="G4629" cm="1">
        <f t="array" ref="G4629">_xlfn.XLOOKUP(C4629,Account_Master!A:A,Account_Master!C:C,"Not on master")</f>
        <v>0</v>
      </c>
      <c r="H4629" s="6">
        <v>42</v>
      </c>
      <c r="I4629" s="6">
        <v>42</v>
      </c>
      <c r="J4629" s="6">
        <f>I4629-H4629</f>
        <v>0</v>
      </c>
      <c r="K4629" s="5">
        <f>IF(H4629=0,"",J4629/H4629)</f>
        <v>0</v>
      </c>
      <c r="L4629">
        <f>IF(OR(AND(H4629=0,ABS(J4629)&gt;=0.01),AND(H4629&lt;&gt;0,ABS(K4629)&gt;VarianceThreshold)),"Review","OK")</f>
        <v>0</v>
      </c>
      <c r="M4629" t="s">
        <v>33</v>
      </c>
    </row>
    <row r="4630" spans="1:13">
      <c r="A4630" t="s">
        <v>7</v>
      </c>
      <c r="B4630" t="s">
        <v>416</v>
      </c>
      <c r="C4630" t="s">
        <v>3369</v>
      </c>
      <c r="D4630" t="s">
        <v>3514</v>
      </c>
      <c r="E4630" cm="1">
        <f t="array" ref="E4630">_xlfn.XLOOKUP(D4630,SKU_Master!A:A,SKU_Master!B:B,"Not on master")</f>
        <v>0</v>
      </c>
      <c r="F4630" cm="1">
        <f t="array" ref="F4630">_xlfn.XLOOKUP(C4630,Account_Master!A:A,Account_Master!B:B,"Not on master")</f>
        <v>0</v>
      </c>
      <c r="G4630" cm="1">
        <f t="array" ref="G4630">_xlfn.XLOOKUP(C4630,Account_Master!A:A,Account_Master!C:C,"Not on master")</f>
        <v>0</v>
      </c>
      <c r="H4630" s="6">
        <v>4.5</v>
      </c>
      <c r="I4630" s="6">
        <v>4.5</v>
      </c>
      <c r="J4630" s="6">
        <f>I4630-H4630</f>
        <v>0</v>
      </c>
      <c r="K4630" s="5">
        <f>IF(H4630=0,"",J4630/H4630)</f>
        <v>0</v>
      </c>
      <c r="L4630">
        <f>IF(OR(AND(H4630=0,ABS(J4630)&gt;=0.01),AND(H4630&lt;&gt;0,ABS(K4630)&gt;VarianceThreshold)),"Review","OK")</f>
        <v>0</v>
      </c>
      <c r="M4630" t="s">
        <v>33</v>
      </c>
    </row>
    <row r="4631" spans="1:13">
      <c r="A4631" t="s">
        <v>7</v>
      </c>
      <c r="B4631" t="s">
        <v>416</v>
      </c>
      <c r="C4631" t="s">
        <v>3461</v>
      </c>
      <c r="D4631" t="s">
        <v>1450</v>
      </c>
      <c r="E4631" cm="1">
        <f t="array" ref="E4631">_xlfn.XLOOKUP(D4631,SKU_Master!A:A,SKU_Master!B:B,"Not on master")</f>
        <v>0</v>
      </c>
      <c r="F4631" cm="1">
        <f t="array" ref="F4631">_xlfn.XLOOKUP(C4631,Account_Master!A:A,Account_Master!B:B,"Not on master")</f>
        <v>0</v>
      </c>
      <c r="G4631" cm="1">
        <f t="array" ref="G4631">_xlfn.XLOOKUP(C4631,Account_Master!A:A,Account_Master!C:C,"Not on master")</f>
        <v>0</v>
      </c>
      <c r="H4631" s="6">
        <v>10.5</v>
      </c>
      <c r="I4631" s="6">
        <v>10.5</v>
      </c>
      <c r="J4631" s="6">
        <f>I4631-H4631</f>
        <v>0</v>
      </c>
      <c r="K4631" s="5">
        <f>IF(H4631=0,"",J4631/H4631)</f>
        <v>0</v>
      </c>
      <c r="L4631">
        <f>IF(OR(AND(H4631=0,ABS(J4631)&gt;=0.01),AND(H4631&lt;&gt;0,ABS(K4631)&gt;VarianceThreshold)),"Review","OK")</f>
        <v>0</v>
      </c>
      <c r="M4631" t="s">
        <v>33</v>
      </c>
    </row>
    <row r="4632" spans="1:13">
      <c r="A4632" t="s">
        <v>7</v>
      </c>
      <c r="B4632" t="s">
        <v>416</v>
      </c>
      <c r="C4632" t="s">
        <v>3515</v>
      </c>
      <c r="D4632" t="s">
        <v>1839</v>
      </c>
      <c r="E4632" cm="1">
        <f t="array" ref="E4632">_xlfn.XLOOKUP(D4632,SKU_Master!A:A,SKU_Master!B:B,"Not on master")</f>
        <v>0</v>
      </c>
      <c r="F4632" cm="1">
        <f t="array" ref="F4632">_xlfn.XLOOKUP(C4632,Account_Master!A:A,Account_Master!B:B,"Not on master")</f>
        <v>0</v>
      </c>
      <c r="G4632" cm="1">
        <f t="array" ref="G4632">_xlfn.XLOOKUP(C4632,Account_Master!A:A,Account_Master!C:C,"Not on master")</f>
        <v>0</v>
      </c>
      <c r="H4632" s="6">
        <v>3</v>
      </c>
      <c r="I4632" s="6">
        <v>3</v>
      </c>
      <c r="J4632" s="6">
        <f>I4632-H4632</f>
        <v>0</v>
      </c>
      <c r="K4632" s="5">
        <f>IF(H4632=0,"",J4632/H4632)</f>
        <v>0</v>
      </c>
      <c r="L4632">
        <f>IF(OR(AND(H4632=0,ABS(J4632)&gt;=0.01),AND(H4632&lt;&gt;0,ABS(K4632)&gt;VarianceThreshold)),"Review","OK")</f>
        <v>0</v>
      </c>
      <c r="M4632" t="s">
        <v>33</v>
      </c>
    </row>
    <row r="4633" spans="1:13">
      <c r="A4633" t="s">
        <v>7</v>
      </c>
      <c r="B4633" t="s">
        <v>416</v>
      </c>
      <c r="C4633" t="s">
        <v>3516</v>
      </c>
      <c r="D4633" t="s">
        <v>1133</v>
      </c>
      <c r="E4633" cm="1">
        <f t="array" ref="E4633">_xlfn.XLOOKUP(D4633,SKU_Master!A:A,SKU_Master!B:B,"Not on master")</f>
        <v>0</v>
      </c>
      <c r="F4633" cm="1">
        <f t="array" ref="F4633">_xlfn.XLOOKUP(C4633,Account_Master!A:A,Account_Master!B:B,"Not on master")</f>
        <v>0</v>
      </c>
      <c r="G4633" cm="1">
        <f t="array" ref="G4633">_xlfn.XLOOKUP(C4633,Account_Master!A:A,Account_Master!C:C,"Not on master")</f>
        <v>0</v>
      </c>
      <c r="H4633" s="6">
        <v>7.5</v>
      </c>
      <c r="I4633" s="6">
        <v>7.5</v>
      </c>
      <c r="J4633" s="6">
        <f>I4633-H4633</f>
        <v>0</v>
      </c>
      <c r="K4633" s="5">
        <f>IF(H4633=0,"",J4633/H4633)</f>
        <v>0</v>
      </c>
      <c r="L4633">
        <f>IF(OR(AND(H4633=0,ABS(J4633)&gt;=0.01),AND(H4633&lt;&gt;0,ABS(K4633)&gt;VarianceThreshold)),"Review","OK")</f>
        <v>0</v>
      </c>
      <c r="M4633" t="s">
        <v>33</v>
      </c>
    </row>
    <row r="4634" spans="1:13">
      <c r="A4634" t="s">
        <v>7</v>
      </c>
      <c r="B4634" t="s">
        <v>428</v>
      </c>
      <c r="C4634" t="s">
        <v>3368</v>
      </c>
      <c r="D4634" t="s">
        <v>3517</v>
      </c>
      <c r="E4634" cm="1">
        <f t="array" ref="E4634">_xlfn.XLOOKUP(D4634,SKU_Master!A:A,SKU_Master!B:B,"Not on master")</f>
        <v>0</v>
      </c>
      <c r="F4634" cm="1">
        <f t="array" ref="F4634">_xlfn.XLOOKUP(C4634,Account_Master!A:A,Account_Master!B:B,"Not on master")</f>
        <v>0</v>
      </c>
      <c r="G4634" cm="1">
        <f t="array" ref="G4634">_xlfn.XLOOKUP(C4634,Account_Master!A:A,Account_Master!C:C,"Not on master")</f>
        <v>0</v>
      </c>
      <c r="H4634" s="6">
        <v>5</v>
      </c>
      <c r="I4634" s="6">
        <v>5</v>
      </c>
      <c r="J4634" s="6">
        <f>I4634-H4634</f>
        <v>0</v>
      </c>
      <c r="K4634" s="5">
        <f>IF(H4634=0,"",J4634/H4634)</f>
        <v>0</v>
      </c>
      <c r="L4634">
        <f>IF(OR(AND(H4634=0,ABS(J4634)&gt;=0.01),AND(H4634&lt;&gt;0,ABS(K4634)&gt;VarianceThreshold)),"Review","OK")</f>
        <v>0</v>
      </c>
      <c r="M4634" t="s">
        <v>33</v>
      </c>
    </row>
    <row r="4635" spans="1:13">
      <c r="A4635" t="s">
        <v>7</v>
      </c>
      <c r="B4635" t="s">
        <v>428</v>
      </c>
      <c r="C4635" t="s">
        <v>3399</v>
      </c>
      <c r="D4635" t="s">
        <v>3518</v>
      </c>
      <c r="E4635" cm="1">
        <f t="array" ref="E4635">_xlfn.XLOOKUP(D4635,SKU_Master!A:A,SKU_Master!B:B,"Not on master")</f>
        <v>0</v>
      </c>
      <c r="F4635" cm="1">
        <f t="array" ref="F4635">_xlfn.XLOOKUP(C4635,Account_Master!A:A,Account_Master!B:B,"Not on master")</f>
        <v>0</v>
      </c>
      <c r="G4635" cm="1">
        <f t="array" ref="G4635">_xlfn.XLOOKUP(C4635,Account_Master!A:A,Account_Master!C:C,"Not on master")</f>
        <v>0</v>
      </c>
      <c r="H4635" s="6">
        <v>0.6</v>
      </c>
      <c r="I4635" s="6">
        <v>0.6</v>
      </c>
      <c r="J4635" s="6">
        <f>I4635-H4635</f>
        <v>0</v>
      </c>
      <c r="K4635" s="5">
        <f>IF(H4635=0,"",J4635/H4635)</f>
        <v>0</v>
      </c>
      <c r="L4635">
        <f>IF(OR(AND(H4635=0,ABS(J4635)&gt;=0.01),AND(H4635&lt;&gt;0,ABS(K4635)&gt;VarianceThreshold)),"Review","OK")</f>
        <v>0</v>
      </c>
      <c r="M4635" t="s">
        <v>33</v>
      </c>
    </row>
    <row r="4636" spans="1:13">
      <c r="A4636" t="s">
        <v>7</v>
      </c>
      <c r="B4636" t="s">
        <v>428</v>
      </c>
      <c r="C4636" t="s">
        <v>3432</v>
      </c>
      <c r="D4636" t="s">
        <v>3519</v>
      </c>
      <c r="E4636" cm="1">
        <f t="array" ref="E4636">_xlfn.XLOOKUP(D4636,SKU_Master!A:A,SKU_Master!B:B,"Not on master")</f>
        <v>0</v>
      </c>
      <c r="F4636" cm="1">
        <f t="array" ref="F4636">_xlfn.XLOOKUP(C4636,Account_Master!A:A,Account_Master!B:B,"Not on master")</f>
        <v>0</v>
      </c>
      <c r="G4636" cm="1">
        <f t="array" ref="G4636">_xlfn.XLOOKUP(C4636,Account_Master!A:A,Account_Master!C:C,"Not on master")</f>
        <v>0</v>
      </c>
      <c r="H4636" s="6">
        <v>18</v>
      </c>
      <c r="I4636" s="6">
        <v>18</v>
      </c>
      <c r="J4636" s="6">
        <f>I4636-H4636</f>
        <v>0</v>
      </c>
      <c r="K4636" s="5">
        <f>IF(H4636=0,"",J4636/H4636)</f>
        <v>0</v>
      </c>
      <c r="L4636">
        <f>IF(OR(AND(H4636=0,ABS(J4636)&gt;=0.01),AND(H4636&lt;&gt;0,ABS(K4636)&gt;VarianceThreshold)),"Review","OK")</f>
        <v>0</v>
      </c>
      <c r="M4636" t="s">
        <v>33</v>
      </c>
    </row>
    <row r="4637" spans="1:13">
      <c r="A4637" t="s">
        <v>7</v>
      </c>
      <c r="B4637" t="s">
        <v>428</v>
      </c>
      <c r="C4637" t="s">
        <v>3400</v>
      </c>
      <c r="D4637" t="s">
        <v>1356</v>
      </c>
      <c r="E4637" cm="1">
        <f t="array" ref="E4637">_xlfn.XLOOKUP(D4637,SKU_Master!A:A,SKU_Master!B:B,"Not on master")</f>
        <v>0</v>
      </c>
      <c r="F4637" cm="1">
        <f t="array" ref="F4637">_xlfn.XLOOKUP(C4637,Account_Master!A:A,Account_Master!B:B,"Not on master")</f>
        <v>0</v>
      </c>
      <c r="G4637" cm="1">
        <f t="array" ref="G4637">_xlfn.XLOOKUP(C4637,Account_Master!A:A,Account_Master!C:C,"Not on master")</f>
        <v>0</v>
      </c>
      <c r="H4637" s="6">
        <v>0.75</v>
      </c>
      <c r="I4637" s="6">
        <v>0.75</v>
      </c>
      <c r="J4637" s="6">
        <f>I4637-H4637</f>
        <v>0</v>
      </c>
      <c r="K4637" s="5">
        <f>IF(H4637=0,"",J4637/H4637)</f>
        <v>0</v>
      </c>
      <c r="L4637">
        <f>IF(OR(AND(H4637=0,ABS(J4637)&gt;=0.01),AND(H4637&lt;&gt;0,ABS(K4637)&gt;VarianceThreshold)),"Review","OK")</f>
        <v>0</v>
      </c>
      <c r="M4637" t="s">
        <v>33</v>
      </c>
    </row>
    <row r="4638" spans="1:13">
      <c r="A4638" t="s">
        <v>7</v>
      </c>
      <c r="B4638" t="s">
        <v>428</v>
      </c>
      <c r="C4638" t="s">
        <v>3357</v>
      </c>
      <c r="D4638" t="s">
        <v>1411</v>
      </c>
      <c r="E4638" cm="1">
        <f t="array" ref="E4638">_xlfn.XLOOKUP(D4638,SKU_Master!A:A,SKU_Master!B:B,"Not on master")</f>
        <v>0</v>
      </c>
      <c r="F4638" cm="1">
        <f t="array" ref="F4638">_xlfn.XLOOKUP(C4638,Account_Master!A:A,Account_Master!B:B,"Not on master")</f>
        <v>0</v>
      </c>
      <c r="G4638" cm="1">
        <f t="array" ref="G4638">_xlfn.XLOOKUP(C4638,Account_Master!A:A,Account_Master!C:C,"Not on master")</f>
        <v>0</v>
      </c>
      <c r="H4638" s="6">
        <v>18</v>
      </c>
      <c r="I4638" s="6">
        <v>18</v>
      </c>
      <c r="J4638" s="6">
        <f>I4638-H4638</f>
        <v>0</v>
      </c>
      <c r="K4638" s="5">
        <f>IF(H4638=0,"",J4638/H4638)</f>
        <v>0</v>
      </c>
      <c r="L4638">
        <f>IF(OR(AND(H4638=0,ABS(J4638)&gt;=0.01),AND(H4638&lt;&gt;0,ABS(K4638)&gt;VarianceThreshold)),"Review","OK")</f>
        <v>0</v>
      </c>
      <c r="M4638" t="s">
        <v>33</v>
      </c>
    </row>
    <row r="4639" spans="1:13">
      <c r="A4639" t="s">
        <v>7</v>
      </c>
      <c r="B4639" t="s">
        <v>428</v>
      </c>
      <c r="C4639" t="s">
        <v>3402</v>
      </c>
      <c r="D4639" t="s">
        <v>3520</v>
      </c>
      <c r="E4639" cm="1">
        <f t="array" ref="E4639">_xlfn.XLOOKUP(D4639,SKU_Master!A:A,SKU_Master!B:B,"Not on master")</f>
        <v>0</v>
      </c>
      <c r="F4639" cm="1">
        <f t="array" ref="F4639">_xlfn.XLOOKUP(C4639,Account_Master!A:A,Account_Master!B:B,"Not on master")</f>
        <v>0</v>
      </c>
      <c r="G4639" cm="1">
        <f t="array" ref="G4639">_xlfn.XLOOKUP(C4639,Account_Master!A:A,Account_Master!C:C,"Not on master")</f>
        <v>0</v>
      </c>
      <c r="H4639" s="6">
        <v>1.5</v>
      </c>
      <c r="I4639" s="6">
        <v>1.5</v>
      </c>
      <c r="J4639" s="6">
        <f>I4639-H4639</f>
        <v>0</v>
      </c>
      <c r="K4639" s="5">
        <f>IF(H4639=0,"",J4639/H4639)</f>
        <v>0</v>
      </c>
      <c r="L4639">
        <f>IF(OR(AND(H4639=0,ABS(J4639)&gt;=0.01),AND(H4639&lt;&gt;0,ABS(K4639)&gt;VarianceThreshold)),"Review","OK")</f>
        <v>0</v>
      </c>
      <c r="M4639" t="s">
        <v>33</v>
      </c>
    </row>
    <row r="4640" spans="1:13">
      <c r="A4640" t="s">
        <v>7</v>
      </c>
      <c r="B4640" t="s">
        <v>436</v>
      </c>
      <c r="C4640" t="s">
        <v>3521</v>
      </c>
      <c r="D4640" t="s">
        <v>1953</v>
      </c>
      <c r="E4640" cm="1">
        <f t="array" ref="E4640">_xlfn.XLOOKUP(D4640,SKU_Master!A:A,SKU_Master!B:B,"Not on master")</f>
        <v>0</v>
      </c>
      <c r="F4640" cm="1">
        <f t="array" ref="F4640">_xlfn.XLOOKUP(C4640,Account_Master!A:A,Account_Master!B:B,"Not on master")</f>
        <v>0</v>
      </c>
      <c r="G4640" cm="1">
        <f t="array" ref="G4640">_xlfn.XLOOKUP(C4640,Account_Master!A:A,Account_Master!C:C,"Not on master")</f>
        <v>0</v>
      </c>
      <c r="H4640" s="6">
        <v>6.1</v>
      </c>
      <c r="I4640" s="6">
        <v>5.5</v>
      </c>
      <c r="J4640" s="6">
        <f>I4640-H4640</f>
        <v>0</v>
      </c>
      <c r="K4640" s="5">
        <f>IF(H4640=0,"",J4640/H4640)</f>
        <v>0</v>
      </c>
      <c r="L4640">
        <f>IF(OR(AND(H4640=0,ABS(J4640)&gt;=0.01),AND(H4640&lt;&gt;0,ABS(K4640)&gt;VarianceThreshold)),"Review","OK")</f>
        <v>0</v>
      </c>
      <c r="M4640" t="s">
        <v>3038</v>
      </c>
    </row>
    <row r="4641" spans="1:13">
      <c r="A4641" t="s">
        <v>7</v>
      </c>
      <c r="B4641" t="s">
        <v>436</v>
      </c>
      <c r="C4641" t="s">
        <v>3522</v>
      </c>
      <c r="D4641" t="s">
        <v>2207</v>
      </c>
      <c r="E4641" cm="1">
        <f t="array" ref="E4641">_xlfn.XLOOKUP(D4641,SKU_Master!A:A,SKU_Master!B:B,"Not on master")</f>
        <v>0</v>
      </c>
      <c r="F4641" cm="1">
        <f t="array" ref="F4641">_xlfn.XLOOKUP(C4641,Account_Master!A:A,Account_Master!B:B,"Not on master")</f>
        <v>0</v>
      </c>
      <c r="G4641" cm="1">
        <f t="array" ref="G4641">_xlfn.XLOOKUP(C4641,Account_Master!A:A,Account_Master!C:C,"Not on master")</f>
        <v>0</v>
      </c>
      <c r="H4641" s="6">
        <v>4.5</v>
      </c>
      <c r="I4641" s="6">
        <v>4.5</v>
      </c>
      <c r="J4641" s="6">
        <f>I4641-H4641</f>
        <v>0</v>
      </c>
      <c r="K4641" s="5">
        <f>IF(H4641=0,"",J4641/H4641)</f>
        <v>0</v>
      </c>
      <c r="L4641">
        <f>IF(OR(AND(H4641=0,ABS(J4641)&gt;=0.01),AND(H4641&lt;&gt;0,ABS(K4641)&gt;VarianceThreshold)),"Review","OK")</f>
        <v>0</v>
      </c>
      <c r="M4641" t="s">
        <v>33</v>
      </c>
    </row>
    <row r="4642" spans="1:13">
      <c r="A4642" t="s">
        <v>7</v>
      </c>
      <c r="B4642" t="s">
        <v>436</v>
      </c>
      <c r="C4642" t="s">
        <v>3484</v>
      </c>
      <c r="D4642" t="s">
        <v>1829</v>
      </c>
      <c r="E4642" cm="1">
        <f t="array" ref="E4642">_xlfn.XLOOKUP(D4642,SKU_Master!A:A,SKU_Master!B:B,"Not on master")</f>
        <v>0</v>
      </c>
      <c r="F4642" cm="1">
        <f t="array" ref="F4642">_xlfn.XLOOKUP(C4642,Account_Master!A:A,Account_Master!B:B,"Not on master")</f>
        <v>0</v>
      </c>
      <c r="G4642" cm="1">
        <f t="array" ref="G4642">_xlfn.XLOOKUP(C4642,Account_Master!A:A,Account_Master!C:C,"Not on master")</f>
        <v>0</v>
      </c>
      <c r="H4642" s="6">
        <v>0.35</v>
      </c>
      <c r="I4642" s="6">
        <v>0.35</v>
      </c>
      <c r="J4642" s="6">
        <f>I4642-H4642</f>
        <v>0</v>
      </c>
      <c r="K4642" s="5">
        <f>IF(H4642=0,"",J4642/H4642)</f>
        <v>0</v>
      </c>
      <c r="L4642">
        <f>IF(OR(AND(H4642=0,ABS(J4642)&gt;=0.01),AND(H4642&lt;&gt;0,ABS(K4642)&gt;VarianceThreshold)),"Review","OK")</f>
        <v>0</v>
      </c>
      <c r="M4642" t="s">
        <v>33</v>
      </c>
    </row>
    <row r="4643" spans="1:13">
      <c r="A4643" t="s">
        <v>7</v>
      </c>
      <c r="B4643" t="s">
        <v>436</v>
      </c>
      <c r="C4643" t="s">
        <v>3523</v>
      </c>
      <c r="D4643" t="s">
        <v>1392</v>
      </c>
      <c r="E4643" cm="1">
        <f t="array" ref="E4643">_xlfn.XLOOKUP(D4643,SKU_Master!A:A,SKU_Master!B:B,"Not on master")</f>
        <v>0</v>
      </c>
      <c r="F4643" cm="1">
        <f t="array" ref="F4643">_xlfn.XLOOKUP(C4643,Account_Master!A:A,Account_Master!B:B,"Not on master")</f>
        <v>0</v>
      </c>
      <c r="G4643" cm="1">
        <f t="array" ref="G4643">_xlfn.XLOOKUP(C4643,Account_Master!A:A,Account_Master!C:C,"Not on master")</f>
        <v>0</v>
      </c>
      <c r="H4643" s="6">
        <v>0.75</v>
      </c>
      <c r="I4643" s="6">
        <v>0.75</v>
      </c>
      <c r="J4643" s="6">
        <f>I4643-H4643</f>
        <v>0</v>
      </c>
      <c r="K4643" s="5">
        <f>IF(H4643=0,"",J4643/H4643)</f>
        <v>0</v>
      </c>
      <c r="L4643">
        <f>IF(OR(AND(H4643=0,ABS(J4643)&gt;=0.01),AND(H4643&lt;&gt;0,ABS(K4643)&gt;VarianceThreshold)),"Review","OK")</f>
        <v>0</v>
      </c>
      <c r="M4643" t="s">
        <v>33</v>
      </c>
    </row>
    <row r="4644" spans="1:13">
      <c r="A4644" t="s">
        <v>7</v>
      </c>
      <c r="B4644" t="s">
        <v>436</v>
      </c>
      <c r="C4644" t="s">
        <v>3471</v>
      </c>
      <c r="D4644" t="s">
        <v>3285</v>
      </c>
      <c r="E4644" cm="1">
        <f t="array" ref="E4644">_xlfn.XLOOKUP(D4644,SKU_Master!A:A,SKU_Master!B:B,"Not on master")</f>
        <v>0</v>
      </c>
      <c r="F4644" cm="1">
        <f t="array" ref="F4644">_xlfn.XLOOKUP(C4644,Account_Master!A:A,Account_Master!B:B,"Not on master")</f>
        <v>0</v>
      </c>
      <c r="G4644" cm="1">
        <f t="array" ref="G4644">_xlfn.XLOOKUP(C4644,Account_Master!A:A,Account_Master!C:C,"Not on master")</f>
        <v>0</v>
      </c>
      <c r="H4644" s="6">
        <v>1.75</v>
      </c>
      <c r="I4644" s="6">
        <v>1.75</v>
      </c>
      <c r="J4644" s="6">
        <f>I4644-H4644</f>
        <v>0</v>
      </c>
      <c r="K4644" s="5">
        <f>IF(H4644=0,"",J4644/H4644)</f>
        <v>0</v>
      </c>
      <c r="L4644">
        <f>IF(OR(AND(H4644=0,ABS(J4644)&gt;=0.01),AND(H4644&lt;&gt;0,ABS(K4644)&gt;VarianceThreshold)),"Review","OK")</f>
        <v>0</v>
      </c>
      <c r="M4644" t="s">
        <v>33</v>
      </c>
    </row>
    <row r="4645" spans="1:13">
      <c r="A4645" t="s">
        <v>7</v>
      </c>
      <c r="B4645" t="s">
        <v>447</v>
      </c>
      <c r="C4645" t="s">
        <v>3524</v>
      </c>
      <c r="D4645" t="s">
        <v>1489</v>
      </c>
      <c r="E4645" cm="1">
        <f t="array" ref="E4645">_xlfn.XLOOKUP(D4645,SKU_Master!A:A,SKU_Master!B:B,"Not on master")</f>
        <v>0</v>
      </c>
      <c r="F4645" cm="1">
        <f t="array" ref="F4645">_xlfn.XLOOKUP(C4645,Account_Master!A:A,Account_Master!B:B,"Not on master")</f>
        <v>0</v>
      </c>
      <c r="G4645" cm="1">
        <f t="array" ref="G4645">_xlfn.XLOOKUP(C4645,Account_Master!A:A,Account_Master!C:C,"Not on master")</f>
        <v>0</v>
      </c>
      <c r="H4645" s="6">
        <v>0.75</v>
      </c>
      <c r="I4645" s="6">
        <v>0.75</v>
      </c>
      <c r="J4645" s="6">
        <f>I4645-H4645</f>
        <v>0</v>
      </c>
      <c r="K4645" s="5">
        <f>IF(H4645=0,"",J4645/H4645)</f>
        <v>0</v>
      </c>
      <c r="L4645">
        <f>IF(OR(AND(H4645=0,ABS(J4645)&gt;=0.01),AND(H4645&lt;&gt;0,ABS(K4645)&gt;VarianceThreshold)),"Review","OK")</f>
        <v>0</v>
      </c>
      <c r="M4645" t="s">
        <v>33</v>
      </c>
    </row>
    <row r="4646" spans="1:13">
      <c r="A4646" t="s">
        <v>7</v>
      </c>
      <c r="B4646" t="s">
        <v>447</v>
      </c>
      <c r="C4646" t="s">
        <v>3377</v>
      </c>
      <c r="D4646" t="s">
        <v>3150</v>
      </c>
      <c r="E4646" cm="1">
        <f t="array" ref="E4646">_xlfn.XLOOKUP(D4646,SKU_Master!A:A,SKU_Master!B:B,"Not on master")</f>
        <v>0</v>
      </c>
      <c r="F4646" cm="1">
        <f t="array" ref="F4646">_xlfn.XLOOKUP(C4646,Account_Master!A:A,Account_Master!B:B,"Not on master")</f>
        <v>0</v>
      </c>
      <c r="G4646" cm="1">
        <f t="array" ref="G4646">_xlfn.XLOOKUP(C4646,Account_Master!A:A,Account_Master!C:C,"Not on master")</f>
        <v>0</v>
      </c>
      <c r="H4646" s="6">
        <v>4.5</v>
      </c>
      <c r="I4646" s="6">
        <v>4.5</v>
      </c>
      <c r="J4646" s="6">
        <f>I4646-H4646</f>
        <v>0</v>
      </c>
      <c r="K4646" s="5">
        <f>IF(H4646=0,"",J4646/H4646)</f>
        <v>0</v>
      </c>
      <c r="L4646">
        <f>IF(OR(AND(H4646=0,ABS(J4646)&gt;=0.01),AND(H4646&lt;&gt;0,ABS(K4646)&gt;VarianceThreshold)),"Review","OK")</f>
        <v>0</v>
      </c>
      <c r="M4646" t="s">
        <v>33</v>
      </c>
    </row>
    <row r="4647" spans="1:13">
      <c r="A4647" t="s">
        <v>7</v>
      </c>
      <c r="B4647" t="s">
        <v>447</v>
      </c>
      <c r="C4647" t="s">
        <v>3420</v>
      </c>
      <c r="D4647" t="s">
        <v>2151</v>
      </c>
      <c r="E4647" cm="1">
        <f t="array" ref="E4647">_xlfn.XLOOKUP(D4647,SKU_Master!A:A,SKU_Master!B:B,"Not on master")</f>
        <v>0</v>
      </c>
      <c r="F4647" cm="1">
        <f t="array" ref="F4647">_xlfn.XLOOKUP(C4647,Account_Master!A:A,Account_Master!B:B,"Not on master")</f>
        <v>0</v>
      </c>
      <c r="G4647" cm="1">
        <f t="array" ref="G4647">_xlfn.XLOOKUP(C4647,Account_Master!A:A,Account_Master!C:C,"Not on master")</f>
        <v>0</v>
      </c>
      <c r="H4647" s="6">
        <v>10.5</v>
      </c>
      <c r="I4647" s="6">
        <v>10.5</v>
      </c>
      <c r="J4647" s="6">
        <f>I4647-H4647</f>
        <v>0</v>
      </c>
      <c r="K4647" s="5">
        <f>IF(H4647=0,"",J4647/H4647)</f>
        <v>0</v>
      </c>
      <c r="L4647">
        <f>IF(OR(AND(H4647=0,ABS(J4647)&gt;=0.01),AND(H4647&lt;&gt;0,ABS(K4647)&gt;VarianceThreshold)),"Review","OK")</f>
        <v>0</v>
      </c>
      <c r="M4647" t="s">
        <v>33</v>
      </c>
    </row>
    <row r="4648" spans="1:13">
      <c r="A4648" t="s">
        <v>7</v>
      </c>
      <c r="B4648" t="s">
        <v>447</v>
      </c>
      <c r="C4648" t="s">
        <v>3356</v>
      </c>
      <c r="D4648" t="s">
        <v>2260</v>
      </c>
      <c r="E4648" cm="1">
        <f t="array" ref="E4648">_xlfn.XLOOKUP(D4648,SKU_Master!A:A,SKU_Master!B:B,"Not on master")</f>
        <v>0</v>
      </c>
      <c r="F4648" cm="1">
        <f t="array" ref="F4648">_xlfn.XLOOKUP(C4648,Account_Master!A:A,Account_Master!B:B,"Not on master")</f>
        <v>0</v>
      </c>
      <c r="G4648" cm="1">
        <f t="array" ref="G4648">_xlfn.XLOOKUP(C4648,Account_Master!A:A,Account_Master!C:C,"Not on master")</f>
        <v>0</v>
      </c>
      <c r="H4648" s="6">
        <v>14.25</v>
      </c>
      <c r="I4648" s="6">
        <v>14.25</v>
      </c>
      <c r="J4648" s="6">
        <f>I4648-H4648</f>
        <v>0</v>
      </c>
      <c r="K4648" s="5">
        <f>IF(H4648=0,"",J4648/H4648)</f>
        <v>0</v>
      </c>
      <c r="L4648">
        <f>IF(OR(AND(H4648=0,ABS(J4648)&gt;=0.01),AND(H4648&lt;&gt;0,ABS(K4648)&gt;VarianceThreshold)),"Review","OK")</f>
        <v>0</v>
      </c>
      <c r="M4648" t="s">
        <v>33</v>
      </c>
    </row>
    <row r="4649" spans="1:13">
      <c r="A4649" t="s">
        <v>7</v>
      </c>
      <c r="B4649" t="s">
        <v>447</v>
      </c>
      <c r="C4649" t="s">
        <v>3504</v>
      </c>
      <c r="D4649" t="s">
        <v>1977</v>
      </c>
      <c r="E4649" cm="1">
        <f t="array" ref="E4649">_xlfn.XLOOKUP(D4649,SKU_Master!A:A,SKU_Master!B:B,"Not on master")</f>
        <v>0</v>
      </c>
      <c r="F4649" cm="1">
        <f t="array" ref="F4649">_xlfn.XLOOKUP(C4649,Account_Master!A:A,Account_Master!B:B,"Not on master")</f>
        <v>0</v>
      </c>
      <c r="G4649" cm="1">
        <f t="array" ref="G4649">_xlfn.XLOOKUP(C4649,Account_Master!A:A,Account_Master!C:C,"Not on master")</f>
        <v>0</v>
      </c>
      <c r="H4649" s="6">
        <v>1.55</v>
      </c>
      <c r="I4649" s="6">
        <v>1.05</v>
      </c>
      <c r="J4649" s="6">
        <f>I4649-H4649</f>
        <v>0</v>
      </c>
      <c r="K4649" s="5">
        <f>IF(H4649=0,"",J4649/H4649)</f>
        <v>0</v>
      </c>
      <c r="L4649">
        <f>IF(OR(AND(H4649=0,ABS(J4649)&gt;=0.01),AND(H4649&lt;&gt;0,ABS(K4649)&gt;VarianceThreshold)),"Review","OK")</f>
        <v>0</v>
      </c>
      <c r="M4649" t="s">
        <v>3038</v>
      </c>
    </row>
    <row r="4650" spans="1:13">
      <c r="A4650" t="s">
        <v>7</v>
      </c>
      <c r="B4650" t="s">
        <v>447</v>
      </c>
      <c r="C4650" t="s">
        <v>3525</v>
      </c>
      <c r="D4650" t="s">
        <v>3053</v>
      </c>
      <c r="E4650" cm="1">
        <f t="array" ref="E4650">_xlfn.XLOOKUP(D4650,SKU_Master!A:A,SKU_Master!B:B,"Not on master")</f>
        <v>0</v>
      </c>
      <c r="F4650" cm="1">
        <f t="array" ref="F4650">_xlfn.XLOOKUP(C4650,Account_Master!A:A,Account_Master!B:B,"Not on master")</f>
        <v>0</v>
      </c>
      <c r="G4650" cm="1">
        <f t="array" ref="G4650">_xlfn.XLOOKUP(C4650,Account_Master!A:A,Account_Master!C:C,"Not on master")</f>
        <v>0</v>
      </c>
      <c r="H4650" s="6">
        <v>9</v>
      </c>
      <c r="I4650" s="6">
        <v>9</v>
      </c>
      <c r="J4650" s="6">
        <f>I4650-H4650</f>
        <v>0</v>
      </c>
      <c r="K4650" s="5">
        <f>IF(H4650=0,"",J4650/H4650)</f>
        <v>0</v>
      </c>
      <c r="L4650">
        <f>IF(OR(AND(H4650=0,ABS(J4650)&gt;=0.01),AND(H4650&lt;&gt;0,ABS(K4650)&gt;VarianceThreshold)),"Review","OK")</f>
        <v>0</v>
      </c>
      <c r="M4650" t="s">
        <v>33</v>
      </c>
    </row>
    <row r="4651" spans="1:13">
      <c r="A4651" t="s">
        <v>7</v>
      </c>
      <c r="B4651" t="s">
        <v>447</v>
      </c>
      <c r="C4651" t="s">
        <v>3448</v>
      </c>
      <c r="D4651" t="s">
        <v>850</v>
      </c>
      <c r="E4651" cm="1">
        <f t="array" ref="E4651">_xlfn.XLOOKUP(D4651,SKU_Master!A:A,SKU_Master!B:B,"Not on master")</f>
        <v>0</v>
      </c>
      <c r="F4651" cm="1">
        <f t="array" ref="F4651">_xlfn.XLOOKUP(C4651,Account_Master!A:A,Account_Master!B:B,"Not on master")</f>
        <v>0</v>
      </c>
      <c r="G4651" cm="1">
        <f t="array" ref="G4651">_xlfn.XLOOKUP(C4651,Account_Master!A:A,Account_Master!C:C,"Not on master")</f>
        <v>0</v>
      </c>
      <c r="H4651" s="6">
        <v>0.45</v>
      </c>
      <c r="I4651" s="6">
        <v>0.45</v>
      </c>
      <c r="J4651" s="6">
        <f>I4651-H4651</f>
        <v>0</v>
      </c>
      <c r="K4651" s="5">
        <f>IF(H4651=0,"",J4651/H4651)</f>
        <v>0</v>
      </c>
      <c r="L4651">
        <f>IF(OR(AND(H4651=0,ABS(J4651)&gt;=0.01),AND(H4651&lt;&gt;0,ABS(K4651)&gt;VarianceThreshold)),"Review","OK")</f>
        <v>0</v>
      </c>
      <c r="M4651" t="s">
        <v>33</v>
      </c>
    </row>
    <row r="4652" spans="1:13">
      <c r="A4652" t="s">
        <v>7</v>
      </c>
      <c r="B4652" t="s">
        <v>447</v>
      </c>
      <c r="C4652" t="s">
        <v>3393</v>
      </c>
      <c r="D4652" t="s">
        <v>1487</v>
      </c>
      <c r="E4652" cm="1">
        <f t="array" ref="E4652">_xlfn.XLOOKUP(D4652,SKU_Master!A:A,SKU_Master!B:B,"Not on master")</f>
        <v>0</v>
      </c>
      <c r="F4652" cm="1">
        <f t="array" ref="F4652">_xlfn.XLOOKUP(C4652,Account_Master!A:A,Account_Master!B:B,"Not on master")</f>
        <v>0</v>
      </c>
      <c r="G4652" cm="1">
        <f t="array" ref="G4652">_xlfn.XLOOKUP(C4652,Account_Master!A:A,Account_Master!C:C,"Not on master")</f>
        <v>0</v>
      </c>
      <c r="H4652" s="6">
        <v>10.5</v>
      </c>
      <c r="I4652" s="6">
        <v>10.5</v>
      </c>
      <c r="J4652" s="6">
        <f>I4652-H4652</f>
        <v>0</v>
      </c>
      <c r="K4652" s="5">
        <f>IF(H4652=0,"",J4652/H4652)</f>
        <v>0</v>
      </c>
      <c r="L4652">
        <f>IF(OR(AND(H4652=0,ABS(J4652)&gt;=0.01),AND(H4652&lt;&gt;0,ABS(K4652)&gt;VarianceThreshold)),"Review","OK")</f>
        <v>0</v>
      </c>
      <c r="M4652" t="s">
        <v>33</v>
      </c>
    </row>
    <row r="4653" spans="1:13">
      <c r="A4653" t="s">
        <v>7</v>
      </c>
      <c r="B4653" t="s">
        <v>447</v>
      </c>
      <c r="C4653" t="s">
        <v>33</v>
      </c>
      <c r="D4653" t="s">
        <v>3526</v>
      </c>
      <c r="E4653" cm="1">
        <f t="array" ref="E4653">_xlfn.XLOOKUP(D4653,SKU_Master!A:A,SKU_Master!B:B,"Not on master")</f>
        <v>0</v>
      </c>
      <c r="F4653" cm="1">
        <f t="array" ref="F4653">_xlfn.XLOOKUP(C4653,Account_Master!A:A,Account_Master!B:B,"Not on master")</f>
        <v>0</v>
      </c>
      <c r="G4653" cm="1">
        <f t="array" ref="G4653">_xlfn.XLOOKUP(C4653,Account_Master!A:A,Account_Master!C:C,"Not on master")</f>
        <v>0</v>
      </c>
      <c r="H4653" s="6">
        <v>0</v>
      </c>
      <c r="I4653" s="6">
        <v>6</v>
      </c>
      <c r="J4653" s="6">
        <f>I4653-H4653</f>
        <v>0</v>
      </c>
      <c r="K4653" s="5">
        <f>IF(H4653=0,"",J4653/H4653)</f>
        <v>0</v>
      </c>
      <c r="L4653">
        <f>IF(OR(AND(H4653=0,ABS(J4653)&gt;=0.01),AND(H4653&lt;&gt;0,ABS(K4653)&gt;VarianceThreshold)),"Review","OK")</f>
        <v>0</v>
      </c>
      <c r="M4653" t="s">
        <v>3038</v>
      </c>
    </row>
    <row r="4654" spans="1:13">
      <c r="A4654" t="s">
        <v>7</v>
      </c>
      <c r="B4654" t="s">
        <v>447</v>
      </c>
      <c r="C4654" t="s">
        <v>33</v>
      </c>
      <c r="D4654" t="s">
        <v>3527</v>
      </c>
      <c r="E4654" cm="1">
        <f t="array" ref="E4654">_xlfn.XLOOKUP(D4654,SKU_Master!A:A,SKU_Master!B:B,"Not on master")</f>
        <v>0</v>
      </c>
      <c r="F4654" cm="1">
        <f t="array" ref="F4654">_xlfn.XLOOKUP(C4654,Account_Master!A:A,Account_Master!B:B,"Not on master")</f>
        <v>0</v>
      </c>
      <c r="G4654" cm="1">
        <f t="array" ref="G4654">_xlfn.XLOOKUP(C4654,Account_Master!A:A,Account_Master!C:C,"Not on master")</f>
        <v>0</v>
      </c>
      <c r="H4654" s="6">
        <v>0</v>
      </c>
      <c r="I4654" s="6">
        <v>7.2</v>
      </c>
      <c r="J4654" s="6">
        <f>I4654-H4654</f>
        <v>0</v>
      </c>
      <c r="K4654" s="5">
        <f>IF(H4654=0,"",J4654/H4654)</f>
        <v>0</v>
      </c>
      <c r="L4654">
        <f>IF(OR(AND(H4654=0,ABS(J4654)&gt;=0.01),AND(H4654&lt;&gt;0,ABS(K4654)&gt;VarianceThreshold)),"Review","OK")</f>
        <v>0</v>
      </c>
      <c r="M4654" t="s">
        <v>3038</v>
      </c>
    </row>
    <row r="4655" spans="1:13">
      <c r="A4655" t="s">
        <v>7</v>
      </c>
      <c r="B4655" t="s">
        <v>1278</v>
      </c>
      <c r="C4655" t="s">
        <v>3528</v>
      </c>
      <c r="D4655" t="s">
        <v>729</v>
      </c>
      <c r="E4655" cm="1">
        <f t="array" ref="E4655">_xlfn.XLOOKUP(D4655,SKU_Master!A:A,SKU_Master!B:B,"Not on master")</f>
        <v>0</v>
      </c>
      <c r="F4655" cm="1">
        <f t="array" ref="F4655">_xlfn.XLOOKUP(C4655,Account_Master!A:A,Account_Master!B:B,"Not on master")</f>
        <v>0</v>
      </c>
      <c r="G4655" cm="1">
        <f t="array" ref="G4655">_xlfn.XLOOKUP(C4655,Account_Master!A:A,Account_Master!C:C,"Not on master")</f>
        <v>0</v>
      </c>
      <c r="H4655" s="6">
        <v>6.75</v>
      </c>
      <c r="I4655" s="6">
        <v>4.5</v>
      </c>
      <c r="J4655" s="6">
        <f>I4655-H4655</f>
        <v>0</v>
      </c>
      <c r="K4655" s="5">
        <f>IF(H4655=0,"",J4655/H4655)</f>
        <v>0</v>
      </c>
      <c r="L4655">
        <f>IF(OR(AND(H4655=0,ABS(J4655)&gt;=0.01),AND(H4655&lt;&gt;0,ABS(K4655)&gt;VarianceThreshold)),"Review","OK")</f>
        <v>0</v>
      </c>
      <c r="M4655" t="s">
        <v>3038</v>
      </c>
    </row>
    <row r="4656" spans="1:13">
      <c r="A4656" t="s">
        <v>7</v>
      </c>
      <c r="B4656" t="s">
        <v>1278</v>
      </c>
      <c r="C4656" t="s">
        <v>3391</v>
      </c>
      <c r="D4656" t="s">
        <v>2234</v>
      </c>
      <c r="E4656" cm="1">
        <f t="array" ref="E4656">_xlfn.XLOOKUP(D4656,SKU_Master!A:A,SKU_Master!B:B,"Not on master")</f>
        <v>0</v>
      </c>
      <c r="F4656" cm="1">
        <f t="array" ref="F4656">_xlfn.XLOOKUP(C4656,Account_Master!A:A,Account_Master!B:B,"Not on master")</f>
        <v>0</v>
      </c>
      <c r="G4656" cm="1">
        <f t="array" ref="G4656">_xlfn.XLOOKUP(C4656,Account_Master!A:A,Account_Master!C:C,"Not on master")</f>
        <v>0</v>
      </c>
      <c r="H4656" s="6">
        <v>3</v>
      </c>
      <c r="I4656" s="6">
        <v>3</v>
      </c>
      <c r="J4656" s="6">
        <f>I4656-H4656</f>
        <v>0</v>
      </c>
      <c r="K4656" s="5">
        <f>IF(H4656=0,"",J4656/H4656)</f>
        <v>0</v>
      </c>
      <c r="L4656">
        <f>IF(OR(AND(H4656=0,ABS(J4656)&gt;=0.01),AND(H4656&lt;&gt;0,ABS(K4656)&gt;VarianceThreshold)),"Review","OK")</f>
        <v>0</v>
      </c>
      <c r="M4656" t="s">
        <v>33</v>
      </c>
    </row>
    <row r="4657" spans="1:13">
      <c r="A4657" t="s">
        <v>7</v>
      </c>
      <c r="B4657" t="s">
        <v>1278</v>
      </c>
      <c r="C4657" t="s">
        <v>3394</v>
      </c>
      <c r="D4657" t="s">
        <v>458</v>
      </c>
      <c r="E4657" cm="1">
        <f t="array" ref="E4657">_xlfn.XLOOKUP(D4657,SKU_Master!A:A,SKU_Master!B:B,"Not on master")</f>
        <v>0</v>
      </c>
      <c r="F4657" cm="1">
        <f t="array" ref="F4657">_xlfn.XLOOKUP(C4657,Account_Master!A:A,Account_Master!B:B,"Not on master")</f>
        <v>0</v>
      </c>
      <c r="G4657" cm="1">
        <f t="array" ref="G4657">_xlfn.XLOOKUP(C4657,Account_Master!A:A,Account_Master!C:C,"Not on master")</f>
        <v>0</v>
      </c>
      <c r="H4657" s="6">
        <v>4.5</v>
      </c>
      <c r="I4657" s="6">
        <v>4.5</v>
      </c>
      <c r="J4657" s="6">
        <f>I4657-H4657</f>
        <v>0</v>
      </c>
      <c r="K4657" s="5">
        <f>IF(H4657=0,"",J4657/H4657)</f>
        <v>0</v>
      </c>
      <c r="L4657">
        <f>IF(OR(AND(H4657=0,ABS(J4657)&gt;=0.01),AND(H4657&lt;&gt;0,ABS(K4657)&gt;VarianceThreshold)),"Review","OK")</f>
        <v>0</v>
      </c>
      <c r="M4657" t="s">
        <v>33</v>
      </c>
    </row>
    <row r="4658" spans="1:13">
      <c r="A4658" t="s">
        <v>7</v>
      </c>
      <c r="B4658" t="s">
        <v>1278</v>
      </c>
      <c r="C4658" t="s">
        <v>3529</v>
      </c>
      <c r="D4658" t="s">
        <v>3530</v>
      </c>
      <c r="E4658" cm="1">
        <f t="array" ref="E4658">_xlfn.XLOOKUP(D4658,SKU_Master!A:A,SKU_Master!B:B,"Not on master")</f>
        <v>0</v>
      </c>
      <c r="F4658" cm="1">
        <f t="array" ref="F4658">_xlfn.XLOOKUP(C4658,Account_Master!A:A,Account_Master!B:B,"Not on master")</f>
        <v>0</v>
      </c>
      <c r="G4658" cm="1">
        <f t="array" ref="G4658">_xlfn.XLOOKUP(C4658,Account_Master!A:A,Account_Master!C:C,"Not on master")</f>
        <v>0</v>
      </c>
      <c r="H4658" s="6">
        <v>3.5</v>
      </c>
      <c r="I4658" s="6">
        <v>3.5</v>
      </c>
      <c r="J4658" s="6">
        <f>I4658-H4658</f>
        <v>0</v>
      </c>
      <c r="K4658" s="5">
        <f>IF(H4658=0,"",J4658/H4658)</f>
        <v>0</v>
      </c>
      <c r="L4658">
        <f>IF(OR(AND(H4658=0,ABS(J4658)&gt;=0.01),AND(H4658&lt;&gt;0,ABS(K4658)&gt;VarianceThreshold)),"Review","OK")</f>
        <v>0</v>
      </c>
      <c r="M4658" t="s">
        <v>33</v>
      </c>
    </row>
    <row r="4659" spans="1:13">
      <c r="A4659" t="s">
        <v>7</v>
      </c>
      <c r="B4659" t="s">
        <v>451</v>
      </c>
      <c r="C4659" t="s">
        <v>3524</v>
      </c>
      <c r="D4659" t="s">
        <v>1196</v>
      </c>
      <c r="E4659" cm="1">
        <f t="array" ref="E4659">_xlfn.XLOOKUP(D4659,SKU_Master!A:A,SKU_Master!B:B,"Not on master")</f>
        <v>0</v>
      </c>
      <c r="F4659" cm="1">
        <f t="array" ref="F4659">_xlfn.XLOOKUP(C4659,Account_Master!A:A,Account_Master!B:B,"Not on master")</f>
        <v>0</v>
      </c>
      <c r="G4659" cm="1">
        <f t="array" ref="G4659">_xlfn.XLOOKUP(C4659,Account_Master!A:A,Account_Master!C:C,"Not on master")</f>
        <v>0</v>
      </c>
      <c r="H4659" s="6">
        <v>8</v>
      </c>
      <c r="I4659" s="6">
        <v>8</v>
      </c>
      <c r="J4659" s="6">
        <f>I4659-H4659</f>
        <v>0</v>
      </c>
      <c r="K4659" s="5">
        <f>IF(H4659=0,"",J4659/H4659)</f>
        <v>0</v>
      </c>
      <c r="L4659">
        <f>IF(OR(AND(H4659=0,ABS(J4659)&gt;=0.01),AND(H4659&lt;&gt;0,ABS(K4659)&gt;VarianceThreshold)),"Review","OK")</f>
        <v>0</v>
      </c>
      <c r="M4659" t="s">
        <v>33</v>
      </c>
    </row>
    <row r="4660" spans="1:13">
      <c r="A4660" t="s">
        <v>7</v>
      </c>
      <c r="B4660" t="s">
        <v>451</v>
      </c>
      <c r="C4660" t="s">
        <v>3531</v>
      </c>
      <c r="D4660" t="s">
        <v>2191</v>
      </c>
      <c r="E4660" cm="1">
        <f t="array" ref="E4660">_xlfn.XLOOKUP(D4660,SKU_Master!A:A,SKU_Master!B:B,"Not on master")</f>
        <v>0</v>
      </c>
      <c r="F4660" cm="1">
        <f t="array" ref="F4660">_xlfn.XLOOKUP(C4660,Account_Master!A:A,Account_Master!B:B,"Not on master")</f>
        <v>0</v>
      </c>
      <c r="G4660" cm="1">
        <f t="array" ref="G4660">_xlfn.XLOOKUP(C4660,Account_Master!A:A,Account_Master!C:C,"Not on master")</f>
        <v>0</v>
      </c>
      <c r="H4660" s="6">
        <v>4.5</v>
      </c>
      <c r="I4660" s="6">
        <v>4.5</v>
      </c>
      <c r="J4660" s="6">
        <f>I4660-H4660</f>
        <v>0</v>
      </c>
      <c r="K4660" s="5">
        <f>IF(H4660=0,"",J4660/H4660)</f>
        <v>0</v>
      </c>
      <c r="L4660">
        <f>IF(OR(AND(H4660=0,ABS(J4660)&gt;=0.01),AND(H4660&lt;&gt;0,ABS(K4660)&gt;VarianceThreshold)),"Review","OK")</f>
        <v>0</v>
      </c>
      <c r="M4660" t="s">
        <v>33</v>
      </c>
    </row>
    <row r="4661" spans="1:13">
      <c r="A4661" t="s">
        <v>7</v>
      </c>
      <c r="B4661" t="s">
        <v>451</v>
      </c>
      <c r="C4661" t="s">
        <v>3377</v>
      </c>
      <c r="D4661" t="s">
        <v>2362</v>
      </c>
      <c r="E4661" cm="1">
        <f t="array" ref="E4661">_xlfn.XLOOKUP(D4661,SKU_Master!A:A,SKU_Master!B:B,"Not on master")</f>
        <v>0</v>
      </c>
      <c r="F4661" cm="1">
        <f t="array" ref="F4661">_xlfn.XLOOKUP(C4661,Account_Master!A:A,Account_Master!B:B,"Not on master")</f>
        <v>0</v>
      </c>
      <c r="G4661" cm="1">
        <f t="array" ref="G4661">_xlfn.XLOOKUP(C4661,Account_Master!A:A,Account_Master!C:C,"Not on master")</f>
        <v>0</v>
      </c>
      <c r="H4661" s="6">
        <v>26</v>
      </c>
      <c r="I4661" s="6">
        <v>26</v>
      </c>
      <c r="J4661" s="6">
        <f>I4661-H4661</f>
        <v>0</v>
      </c>
      <c r="K4661" s="5">
        <f>IF(H4661=0,"",J4661/H4661)</f>
        <v>0</v>
      </c>
      <c r="L4661">
        <f>IF(OR(AND(H4661=0,ABS(J4661)&gt;=0.01),AND(H4661&lt;&gt;0,ABS(K4661)&gt;VarianceThreshold)),"Review","OK")</f>
        <v>0</v>
      </c>
      <c r="M4661" t="s">
        <v>33</v>
      </c>
    </row>
    <row r="4662" spans="1:13">
      <c r="A4662" t="s">
        <v>7</v>
      </c>
      <c r="B4662" t="s">
        <v>451</v>
      </c>
      <c r="C4662" t="s">
        <v>3471</v>
      </c>
      <c r="D4662" t="s">
        <v>2808</v>
      </c>
      <c r="E4662" cm="1">
        <f t="array" ref="E4662">_xlfn.XLOOKUP(D4662,SKU_Master!A:A,SKU_Master!B:B,"Not on master")</f>
        <v>0</v>
      </c>
      <c r="F4662" cm="1">
        <f t="array" ref="F4662">_xlfn.XLOOKUP(C4662,Account_Master!A:A,Account_Master!B:B,"Not on master")</f>
        <v>0</v>
      </c>
      <c r="G4662" cm="1">
        <f t="array" ref="G4662">_xlfn.XLOOKUP(C4662,Account_Master!A:A,Account_Master!C:C,"Not on master")</f>
        <v>0</v>
      </c>
      <c r="H4662" s="6">
        <v>21</v>
      </c>
      <c r="I4662" s="6">
        <v>21</v>
      </c>
      <c r="J4662" s="6">
        <f>I4662-H4662</f>
        <v>0</v>
      </c>
      <c r="K4662" s="5">
        <f>IF(H4662=0,"",J4662/H4662)</f>
        <v>0</v>
      </c>
      <c r="L4662">
        <f>IF(OR(AND(H4662=0,ABS(J4662)&gt;=0.01),AND(H4662&lt;&gt;0,ABS(K4662)&gt;VarianceThreshold)),"Review","OK")</f>
        <v>0</v>
      </c>
      <c r="M4662" t="s">
        <v>33</v>
      </c>
    </row>
    <row r="4663" spans="1:13">
      <c r="A4663" t="s">
        <v>7</v>
      </c>
      <c r="B4663" t="s">
        <v>451</v>
      </c>
      <c r="C4663" t="s">
        <v>3532</v>
      </c>
      <c r="D4663" t="s">
        <v>1525</v>
      </c>
      <c r="E4663" cm="1">
        <f t="array" ref="E4663">_xlfn.XLOOKUP(D4663,SKU_Master!A:A,SKU_Master!B:B,"Not on master")</f>
        <v>0</v>
      </c>
      <c r="F4663" cm="1">
        <f t="array" ref="F4663">_xlfn.XLOOKUP(C4663,Account_Master!A:A,Account_Master!B:B,"Not on master")</f>
        <v>0</v>
      </c>
      <c r="G4663" cm="1">
        <f t="array" ref="G4663">_xlfn.XLOOKUP(C4663,Account_Master!A:A,Account_Master!C:C,"Not on master")</f>
        <v>0</v>
      </c>
      <c r="H4663" s="6">
        <v>11.25</v>
      </c>
      <c r="I4663" s="6">
        <v>11.25</v>
      </c>
      <c r="J4663" s="6">
        <f>I4663-H4663</f>
        <v>0</v>
      </c>
      <c r="K4663" s="5">
        <f>IF(H4663=0,"",J4663/H4663)</f>
        <v>0</v>
      </c>
      <c r="L4663">
        <f>IF(OR(AND(H4663=0,ABS(J4663)&gt;=0.01),AND(H4663&lt;&gt;0,ABS(K4663)&gt;VarianceThreshold)),"Review","OK")</f>
        <v>0</v>
      </c>
      <c r="M4663" t="s">
        <v>33</v>
      </c>
    </row>
    <row r="4664" spans="1:13">
      <c r="A4664" t="s">
        <v>7</v>
      </c>
      <c r="B4664" t="s">
        <v>451</v>
      </c>
      <c r="C4664" t="s">
        <v>3493</v>
      </c>
      <c r="D4664" t="s">
        <v>841</v>
      </c>
      <c r="E4664" cm="1">
        <f t="array" ref="E4664">_xlfn.XLOOKUP(D4664,SKU_Master!A:A,SKU_Master!B:B,"Not on master")</f>
        <v>0</v>
      </c>
      <c r="F4664" cm="1">
        <f t="array" ref="F4664">_xlfn.XLOOKUP(C4664,Account_Master!A:A,Account_Master!B:B,"Not on master")</f>
        <v>0</v>
      </c>
      <c r="G4664" cm="1">
        <f t="array" ref="G4664">_xlfn.XLOOKUP(C4664,Account_Master!A:A,Account_Master!C:C,"Not on master")</f>
        <v>0</v>
      </c>
      <c r="H4664" s="6">
        <v>42</v>
      </c>
      <c r="I4664" s="6">
        <v>31.5</v>
      </c>
      <c r="J4664" s="6">
        <f>I4664-H4664</f>
        <v>0</v>
      </c>
      <c r="K4664" s="5">
        <f>IF(H4664=0,"",J4664/H4664)</f>
        <v>0</v>
      </c>
      <c r="L4664">
        <f>IF(OR(AND(H4664=0,ABS(J4664)&gt;=0.01),AND(H4664&lt;&gt;0,ABS(K4664)&gt;VarianceThreshold)),"Review","OK")</f>
        <v>0</v>
      </c>
      <c r="M4664" t="s">
        <v>3038</v>
      </c>
    </row>
    <row r="4665" spans="1:13">
      <c r="A4665" t="s">
        <v>7</v>
      </c>
      <c r="B4665" t="s">
        <v>451</v>
      </c>
      <c r="C4665" t="s">
        <v>3449</v>
      </c>
      <c r="D4665" t="s">
        <v>3533</v>
      </c>
      <c r="E4665" cm="1">
        <f t="array" ref="E4665">_xlfn.XLOOKUP(D4665,SKU_Master!A:A,SKU_Master!B:B,"Not on master")</f>
        <v>0</v>
      </c>
      <c r="F4665" cm="1">
        <f t="array" ref="F4665">_xlfn.XLOOKUP(C4665,Account_Master!A:A,Account_Master!B:B,"Not on master")</f>
        <v>0</v>
      </c>
      <c r="G4665" cm="1">
        <f t="array" ref="G4665">_xlfn.XLOOKUP(C4665,Account_Master!A:A,Account_Master!C:C,"Not on master")</f>
        <v>0</v>
      </c>
      <c r="H4665" s="6">
        <v>1.2</v>
      </c>
      <c r="I4665" s="6">
        <v>1.2</v>
      </c>
      <c r="J4665" s="6">
        <f>I4665-H4665</f>
        <v>0</v>
      </c>
      <c r="K4665" s="5">
        <f>IF(H4665=0,"",J4665/H4665)</f>
        <v>0</v>
      </c>
      <c r="L4665">
        <f>IF(OR(AND(H4665=0,ABS(J4665)&gt;=0.01),AND(H4665&lt;&gt;0,ABS(K4665)&gt;VarianceThreshold)),"Review","OK")</f>
        <v>0</v>
      </c>
      <c r="M4665" t="s">
        <v>33</v>
      </c>
    </row>
    <row r="4666" spans="1:13">
      <c r="A4666" t="s">
        <v>7</v>
      </c>
      <c r="B4666" t="s">
        <v>451</v>
      </c>
      <c r="C4666" t="s">
        <v>33</v>
      </c>
      <c r="D4666" t="s">
        <v>3534</v>
      </c>
      <c r="E4666" cm="1">
        <f t="array" ref="E4666">_xlfn.XLOOKUP(D4666,SKU_Master!A:A,SKU_Master!B:B,"Not on master")</f>
        <v>0</v>
      </c>
      <c r="F4666" cm="1">
        <f t="array" ref="F4666">_xlfn.XLOOKUP(C4666,Account_Master!A:A,Account_Master!B:B,"Not on master")</f>
        <v>0</v>
      </c>
      <c r="G4666" cm="1">
        <f t="array" ref="G4666">_xlfn.XLOOKUP(C4666,Account_Master!A:A,Account_Master!C:C,"Not on master")</f>
        <v>0</v>
      </c>
      <c r="H4666" s="6">
        <v>0</v>
      </c>
      <c r="I4666" s="6">
        <v>9</v>
      </c>
      <c r="J4666" s="6">
        <f>I4666-H4666</f>
        <v>0</v>
      </c>
      <c r="K4666" s="5">
        <f>IF(H4666=0,"",J4666/H4666)</f>
        <v>0</v>
      </c>
      <c r="L4666">
        <f>IF(OR(AND(H4666=0,ABS(J4666)&gt;=0.01),AND(H4666&lt;&gt;0,ABS(K4666)&gt;VarianceThreshold)),"Review","OK")</f>
        <v>0</v>
      </c>
      <c r="M4666" t="s">
        <v>3038</v>
      </c>
    </row>
    <row r="4667" spans="1:13">
      <c r="A4667" t="s">
        <v>7</v>
      </c>
      <c r="B4667" t="s">
        <v>464</v>
      </c>
      <c r="C4667" t="s">
        <v>3359</v>
      </c>
      <c r="D4667" t="s">
        <v>89</v>
      </c>
      <c r="E4667" cm="1">
        <f t="array" ref="E4667">_xlfn.XLOOKUP(D4667,SKU_Master!A:A,SKU_Master!B:B,"Not on master")</f>
        <v>0</v>
      </c>
      <c r="F4667" cm="1">
        <f t="array" ref="F4667">_xlfn.XLOOKUP(C4667,Account_Master!A:A,Account_Master!B:B,"Not on master")</f>
        <v>0</v>
      </c>
      <c r="G4667" cm="1">
        <f t="array" ref="G4667">_xlfn.XLOOKUP(C4667,Account_Master!A:A,Account_Master!C:C,"Not on master")</f>
        <v>0</v>
      </c>
      <c r="H4667" s="6">
        <v>3</v>
      </c>
      <c r="I4667" s="6">
        <v>3</v>
      </c>
      <c r="J4667" s="6">
        <f>I4667-H4667</f>
        <v>0</v>
      </c>
      <c r="K4667" s="5">
        <f>IF(H4667=0,"",J4667/H4667)</f>
        <v>0</v>
      </c>
      <c r="L4667">
        <f>IF(OR(AND(H4667=0,ABS(J4667)&gt;=0.01),AND(H4667&lt;&gt;0,ABS(K4667)&gt;VarianceThreshold)),"Review","OK")</f>
        <v>0</v>
      </c>
      <c r="M4667" t="s">
        <v>33</v>
      </c>
    </row>
    <row r="4668" spans="1:13">
      <c r="A4668" t="s">
        <v>7</v>
      </c>
      <c r="B4668" t="s">
        <v>464</v>
      </c>
      <c r="C4668" t="s">
        <v>3408</v>
      </c>
      <c r="D4668" t="s">
        <v>178</v>
      </c>
      <c r="E4668" cm="1">
        <f t="array" ref="E4668">_xlfn.XLOOKUP(D4668,SKU_Master!A:A,SKU_Master!B:B,"Not on master")</f>
        <v>0</v>
      </c>
      <c r="F4668" cm="1">
        <f t="array" ref="F4668">_xlfn.XLOOKUP(C4668,Account_Master!A:A,Account_Master!B:B,"Not on master")</f>
        <v>0</v>
      </c>
      <c r="G4668" cm="1">
        <f t="array" ref="G4668">_xlfn.XLOOKUP(C4668,Account_Master!A:A,Account_Master!C:C,"Not on master")</f>
        <v>0</v>
      </c>
      <c r="H4668" s="6">
        <v>343</v>
      </c>
      <c r="I4668" s="6">
        <v>322</v>
      </c>
      <c r="J4668" s="6">
        <f>I4668-H4668</f>
        <v>0</v>
      </c>
      <c r="K4668" s="5">
        <f>IF(H4668=0,"",J4668/H4668)</f>
        <v>0</v>
      </c>
      <c r="L4668">
        <f>IF(OR(AND(H4668=0,ABS(J4668)&gt;=0.01),AND(H4668&lt;&gt;0,ABS(K4668)&gt;VarianceThreshold)),"Review","OK")</f>
        <v>0</v>
      </c>
      <c r="M4668" t="s">
        <v>3038</v>
      </c>
    </row>
    <row r="4669" spans="1:13">
      <c r="A4669" t="s">
        <v>7</v>
      </c>
      <c r="B4669" t="s">
        <v>464</v>
      </c>
      <c r="C4669" t="s">
        <v>3449</v>
      </c>
      <c r="D4669" t="s">
        <v>519</v>
      </c>
      <c r="E4669" cm="1">
        <f t="array" ref="E4669">_xlfn.XLOOKUP(D4669,SKU_Master!A:A,SKU_Master!B:B,"Not on master")</f>
        <v>0</v>
      </c>
      <c r="F4669" cm="1">
        <f t="array" ref="F4669">_xlfn.XLOOKUP(C4669,Account_Master!A:A,Account_Master!B:B,"Not on master")</f>
        <v>0</v>
      </c>
      <c r="G4669" cm="1">
        <f t="array" ref="G4669">_xlfn.XLOOKUP(C4669,Account_Master!A:A,Account_Master!C:C,"Not on master")</f>
        <v>0</v>
      </c>
      <c r="H4669" s="6">
        <v>14</v>
      </c>
      <c r="I4669" s="6">
        <v>14</v>
      </c>
      <c r="J4669" s="6">
        <f>I4669-H4669</f>
        <v>0</v>
      </c>
      <c r="K4669" s="5">
        <f>IF(H4669=0,"",J4669/H4669)</f>
        <v>0</v>
      </c>
      <c r="L4669">
        <f>IF(OR(AND(H4669=0,ABS(J4669)&gt;=0.01),AND(H4669&lt;&gt;0,ABS(K4669)&gt;VarianceThreshold)),"Review","OK")</f>
        <v>0</v>
      </c>
      <c r="M4669" t="s">
        <v>33</v>
      </c>
    </row>
    <row r="4670" spans="1:13">
      <c r="A4670" t="s">
        <v>7</v>
      </c>
      <c r="B4670" t="s">
        <v>464</v>
      </c>
      <c r="C4670" t="s">
        <v>3393</v>
      </c>
      <c r="D4670" t="s">
        <v>781</v>
      </c>
      <c r="E4670" cm="1">
        <f t="array" ref="E4670">_xlfn.XLOOKUP(D4670,SKU_Master!A:A,SKU_Master!B:B,"Not on master")</f>
        <v>0</v>
      </c>
      <c r="F4670" cm="1">
        <f t="array" ref="F4670">_xlfn.XLOOKUP(C4670,Account_Master!A:A,Account_Master!B:B,"Not on master")</f>
        <v>0</v>
      </c>
      <c r="G4670" cm="1">
        <f t="array" ref="G4670">_xlfn.XLOOKUP(C4670,Account_Master!A:A,Account_Master!C:C,"Not on master")</f>
        <v>0</v>
      </c>
      <c r="H4670" s="6">
        <v>4.5</v>
      </c>
      <c r="I4670" s="6">
        <v>4.5</v>
      </c>
      <c r="J4670" s="6">
        <f>I4670-H4670</f>
        <v>0</v>
      </c>
      <c r="K4670" s="5">
        <f>IF(H4670=0,"",J4670/H4670)</f>
        <v>0</v>
      </c>
      <c r="L4670">
        <f>IF(OR(AND(H4670=0,ABS(J4670)&gt;=0.01),AND(H4670&lt;&gt;0,ABS(K4670)&gt;VarianceThreshold)),"Review","OK")</f>
        <v>0</v>
      </c>
      <c r="M4670" t="s">
        <v>33</v>
      </c>
    </row>
    <row r="4671" spans="1:13">
      <c r="A4671" t="s">
        <v>7</v>
      </c>
      <c r="B4671" t="s">
        <v>464</v>
      </c>
      <c r="C4671" t="s">
        <v>3368</v>
      </c>
      <c r="D4671" t="s">
        <v>3535</v>
      </c>
      <c r="E4671" cm="1">
        <f t="array" ref="E4671">_xlfn.XLOOKUP(D4671,SKU_Master!A:A,SKU_Master!B:B,"Not on master")</f>
        <v>0</v>
      </c>
      <c r="F4671" cm="1">
        <f t="array" ref="F4671">_xlfn.XLOOKUP(C4671,Account_Master!A:A,Account_Master!B:B,"Not on master")</f>
        <v>0</v>
      </c>
      <c r="G4671" cm="1">
        <f t="array" ref="G4671">_xlfn.XLOOKUP(C4671,Account_Master!A:A,Account_Master!C:C,"Not on master")</f>
        <v>0</v>
      </c>
      <c r="H4671" s="6">
        <v>9</v>
      </c>
      <c r="I4671" s="6">
        <v>9</v>
      </c>
      <c r="J4671" s="6">
        <f>I4671-H4671</f>
        <v>0</v>
      </c>
      <c r="K4671" s="5">
        <f>IF(H4671=0,"",J4671/H4671)</f>
        <v>0</v>
      </c>
      <c r="L4671">
        <f>IF(OR(AND(H4671=0,ABS(J4671)&gt;=0.01),AND(H4671&lt;&gt;0,ABS(K4671)&gt;VarianceThreshold)),"Review","OK")</f>
        <v>0</v>
      </c>
      <c r="M4671" t="s">
        <v>33</v>
      </c>
    </row>
    <row r="4672" spans="1:13">
      <c r="A4672" t="s">
        <v>7</v>
      </c>
      <c r="B4672" t="s">
        <v>464</v>
      </c>
      <c r="C4672" t="s">
        <v>33</v>
      </c>
      <c r="D4672" t="s">
        <v>3536</v>
      </c>
      <c r="E4672" cm="1">
        <f t="array" ref="E4672">_xlfn.XLOOKUP(D4672,SKU_Master!A:A,SKU_Master!B:B,"Not on master")</f>
        <v>0</v>
      </c>
      <c r="F4672" cm="1">
        <f t="array" ref="F4672">_xlfn.XLOOKUP(C4672,Account_Master!A:A,Account_Master!B:B,"Not on master")</f>
        <v>0</v>
      </c>
      <c r="G4672" cm="1">
        <f t="array" ref="G4672">_xlfn.XLOOKUP(C4672,Account_Master!A:A,Account_Master!C:C,"Not on master")</f>
        <v>0</v>
      </c>
      <c r="H4672" s="6">
        <v>0</v>
      </c>
      <c r="I4672" s="6">
        <v>4.5</v>
      </c>
      <c r="J4672" s="6">
        <f>I4672-H4672</f>
        <v>0</v>
      </c>
      <c r="K4672" s="5">
        <f>IF(H4672=0,"",J4672/H4672)</f>
        <v>0</v>
      </c>
      <c r="L4672">
        <f>IF(OR(AND(H4672=0,ABS(J4672)&gt;=0.01),AND(H4672&lt;&gt;0,ABS(K4672)&gt;VarianceThreshold)),"Review","OK")</f>
        <v>0</v>
      </c>
      <c r="M4672" t="s">
        <v>3038</v>
      </c>
    </row>
    <row r="4673" spans="1:13">
      <c r="A4673" t="s">
        <v>7</v>
      </c>
      <c r="B4673" t="s">
        <v>478</v>
      </c>
      <c r="C4673" t="s">
        <v>3531</v>
      </c>
      <c r="D4673" t="s">
        <v>800</v>
      </c>
      <c r="E4673" cm="1">
        <f t="array" ref="E4673">_xlfn.XLOOKUP(D4673,SKU_Master!A:A,SKU_Master!B:B,"Not on master")</f>
        <v>0</v>
      </c>
      <c r="F4673" cm="1">
        <f t="array" ref="F4673">_xlfn.XLOOKUP(C4673,Account_Master!A:A,Account_Master!B:B,"Not on master")</f>
        <v>0</v>
      </c>
      <c r="G4673" cm="1">
        <f t="array" ref="G4673">_xlfn.XLOOKUP(C4673,Account_Master!A:A,Account_Master!C:C,"Not on master")</f>
        <v>0</v>
      </c>
      <c r="H4673" s="6">
        <v>5.1</v>
      </c>
      <c r="I4673" s="6">
        <v>4.6</v>
      </c>
      <c r="J4673" s="6">
        <f>I4673-H4673</f>
        <v>0</v>
      </c>
      <c r="K4673" s="5">
        <f>IF(H4673=0,"",J4673/H4673)</f>
        <v>0</v>
      </c>
      <c r="L4673">
        <f>IF(OR(AND(H4673=0,ABS(J4673)&gt;=0.01),AND(H4673&lt;&gt;0,ABS(K4673)&gt;VarianceThreshold)),"Review","OK")</f>
        <v>0</v>
      </c>
      <c r="M4673" t="s">
        <v>3038</v>
      </c>
    </row>
    <row r="4674" spans="1:13">
      <c r="A4674" t="s">
        <v>7</v>
      </c>
      <c r="B4674" t="s">
        <v>478</v>
      </c>
      <c r="C4674" t="s">
        <v>3525</v>
      </c>
      <c r="D4674" t="s">
        <v>380</v>
      </c>
      <c r="E4674" cm="1">
        <f t="array" ref="E4674">_xlfn.XLOOKUP(D4674,SKU_Master!A:A,SKU_Master!B:B,"Not on master")</f>
        <v>0</v>
      </c>
      <c r="F4674" cm="1">
        <f t="array" ref="F4674">_xlfn.XLOOKUP(C4674,Account_Master!A:A,Account_Master!B:B,"Not on master")</f>
        <v>0</v>
      </c>
      <c r="G4674" cm="1">
        <f t="array" ref="G4674">_xlfn.XLOOKUP(C4674,Account_Master!A:A,Account_Master!C:C,"Not on master")</f>
        <v>0</v>
      </c>
      <c r="H4674" s="6">
        <v>11.25</v>
      </c>
      <c r="I4674" s="6">
        <v>11.25</v>
      </c>
      <c r="J4674" s="6">
        <f>I4674-H4674</f>
        <v>0</v>
      </c>
      <c r="K4674" s="5">
        <f>IF(H4674=0,"",J4674/H4674)</f>
        <v>0</v>
      </c>
      <c r="L4674">
        <f>IF(OR(AND(H4674=0,ABS(J4674)&gt;=0.01),AND(H4674&lt;&gt;0,ABS(K4674)&gt;VarianceThreshold)),"Review","OK")</f>
        <v>0</v>
      </c>
      <c r="M4674" t="s">
        <v>33</v>
      </c>
    </row>
    <row r="4675" spans="1:13">
      <c r="A4675" t="s">
        <v>7</v>
      </c>
      <c r="B4675" t="s">
        <v>478</v>
      </c>
      <c r="C4675" t="s">
        <v>3537</v>
      </c>
      <c r="D4675" t="s">
        <v>2008</v>
      </c>
      <c r="E4675" cm="1">
        <f t="array" ref="E4675">_xlfn.XLOOKUP(D4675,SKU_Master!A:A,SKU_Master!B:B,"Not on master")</f>
        <v>0</v>
      </c>
      <c r="F4675" cm="1">
        <f t="array" ref="F4675">_xlfn.XLOOKUP(C4675,Account_Master!A:A,Account_Master!B:B,"Not on master")</f>
        <v>0</v>
      </c>
      <c r="G4675" cm="1">
        <f t="array" ref="G4675">_xlfn.XLOOKUP(C4675,Account_Master!A:A,Account_Master!C:C,"Not on master")</f>
        <v>0</v>
      </c>
      <c r="H4675" s="6">
        <v>1.12</v>
      </c>
      <c r="I4675" s="6">
        <v>1.12</v>
      </c>
      <c r="J4675" s="6">
        <f>I4675-H4675</f>
        <v>0</v>
      </c>
      <c r="K4675" s="5">
        <f>IF(H4675=0,"",J4675/H4675)</f>
        <v>0</v>
      </c>
      <c r="L4675">
        <f>IF(OR(AND(H4675=0,ABS(J4675)&gt;=0.01),AND(H4675&lt;&gt;0,ABS(K4675)&gt;VarianceThreshold)),"Review","OK")</f>
        <v>0</v>
      </c>
      <c r="M4675" t="s">
        <v>33</v>
      </c>
    </row>
    <row r="4676" spans="1:13">
      <c r="A4676" t="s">
        <v>7</v>
      </c>
      <c r="B4676" t="s">
        <v>478</v>
      </c>
      <c r="C4676" t="s">
        <v>3538</v>
      </c>
      <c r="D4676" t="s">
        <v>3539</v>
      </c>
      <c r="E4676" cm="1">
        <f t="array" ref="E4676">_xlfn.XLOOKUP(D4676,SKU_Master!A:A,SKU_Master!B:B,"Not on master")</f>
        <v>0</v>
      </c>
      <c r="F4676" cm="1">
        <f t="array" ref="F4676">_xlfn.XLOOKUP(C4676,Account_Master!A:A,Account_Master!B:B,"Not on master")</f>
        <v>0</v>
      </c>
      <c r="G4676" cm="1">
        <f t="array" ref="G4676">_xlfn.XLOOKUP(C4676,Account_Master!A:A,Account_Master!C:C,"Not on master")</f>
        <v>0</v>
      </c>
      <c r="H4676" s="6">
        <v>0.6</v>
      </c>
      <c r="I4676" s="6">
        <v>0.6</v>
      </c>
      <c r="J4676" s="6">
        <f>I4676-H4676</f>
        <v>0</v>
      </c>
      <c r="K4676" s="5">
        <f>IF(H4676=0,"",J4676/H4676)</f>
        <v>0</v>
      </c>
      <c r="L4676">
        <f>IF(OR(AND(H4676=0,ABS(J4676)&gt;=0.01),AND(H4676&lt;&gt;0,ABS(K4676)&gt;VarianceThreshold)),"Review","OK")</f>
        <v>0</v>
      </c>
      <c r="M4676" t="s">
        <v>33</v>
      </c>
    </row>
    <row r="4677" spans="1:13">
      <c r="A4677" t="s">
        <v>7</v>
      </c>
      <c r="B4677" t="s">
        <v>478</v>
      </c>
      <c r="C4677" t="s">
        <v>3368</v>
      </c>
      <c r="D4677" t="s">
        <v>535</v>
      </c>
      <c r="E4677" cm="1">
        <f t="array" ref="E4677">_xlfn.XLOOKUP(D4677,SKU_Master!A:A,SKU_Master!B:B,"Not on master")</f>
        <v>0</v>
      </c>
      <c r="F4677" cm="1">
        <f t="array" ref="F4677">_xlfn.XLOOKUP(C4677,Account_Master!A:A,Account_Master!B:B,"Not on master")</f>
        <v>0</v>
      </c>
      <c r="G4677" cm="1">
        <f t="array" ref="G4677">_xlfn.XLOOKUP(C4677,Account_Master!A:A,Account_Master!C:C,"Not on master")</f>
        <v>0</v>
      </c>
      <c r="H4677" s="6">
        <v>9</v>
      </c>
      <c r="I4677" s="6">
        <v>9</v>
      </c>
      <c r="J4677" s="6">
        <f>I4677-H4677</f>
        <v>0</v>
      </c>
      <c r="K4677" s="5">
        <f>IF(H4677=0,"",J4677/H4677)</f>
        <v>0</v>
      </c>
      <c r="L4677">
        <f>IF(OR(AND(H4677=0,ABS(J4677)&gt;=0.01),AND(H4677&lt;&gt;0,ABS(K4677)&gt;VarianceThreshold)),"Review","OK")</f>
        <v>0</v>
      </c>
      <c r="M4677" t="s">
        <v>33</v>
      </c>
    </row>
    <row r="4678" spans="1:13">
      <c r="A4678" t="s">
        <v>7</v>
      </c>
      <c r="B4678" t="s">
        <v>478</v>
      </c>
      <c r="C4678" t="s">
        <v>3540</v>
      </c>
      <c r="D4678" t="s">
        <v>2214</v>
      </c>
      <c r="E4678" cm="1">
        <f t="array" ref="E4678">_xlfn.XLOOKUP(D4678,SKU_Master!A:A,SKU_Master!B:B,"Not on master")</f>
        <v>0</v>
      </c>
      <c r="F4678" cm="1">
        <f t="array" ref="F4678">_xlfn.XLOOKUP(C4678,Account_Master!A:A,Account_Master!B:B,"Not on master")</f>
        <v>0</v>
      </c>
      <c r="G4678" cm="1">
        <f t="array" ref="G4678">_xlfn.XLOOKUP(C4678,Account_Master!A:A,Account_Master!C:C,"Not on master")</f>
        <v>0</v>
      </c>
      <c r="H4678" s="6">
        <v>0.2</v>
      </c>
      <c r="I4678" s="6">
        <v>0.2</v>
      </c>
      <c r="J4678" s="6">
        <f>I4678-H4678</f>
        <v>0</v>
      </c>
      <c r="K4678" s="5">
        <f>IF(H4678=0,"",J4678/H4678)</f>
        <v>0</v>
      </c>
      <c r="L4678">
        <f>IF(OR(AND(H4678=0,ABS(J4678)&gt;=0.01),AND(H4678&lt;&gt;0,ABS(K4678)&gt;VarianceThreshold)),"Review","OK")</f>
        <v>0</v>
      </c>
      <c r="M4678" t="s">
        <v>33</v>
      </c>
    </row>
    <row r="4679" spans="1:13">
      <c r="A4679" t="s">
        <v>7</v>
      </c>
      <c r="B4679" t="s">
        <v>478</v>
      </c>
      <c r="C4679" t="s">
        <v>33</v>
      </c>
      <c r="D4679" t="s">
        <v>3541</v>
      </c>
      <c r="E4679" cm="1">
        <f t="array" ref="E4679">_xlfn.XLOOKUP(D4679,SKU_Master!A:A,SKU_Master!B:B,"Not on master")</f>
        <v>0</v>
      </c>
      <c r="F4679" cm="1">
        <f t="array" ref="F4679">_xlfn.XLOOKUP(C4679,Account_Master!A:A,Account_Master!B:B,"Not on master")</f>
        <v>0</v>
      </c>
      <c r="G4679" cm="1">
        <f t="array" ref="G4679">_xlfn.XLOOKUP(C4679,Account_Master!A:A,Account_Master!C:C,"Not on master")</f>
        <v>0</v>
      </c>
      <c r="H4679" s="6">
        <v>0</v>
      </c>
      <c r="I4679" s="6">
        <v>9</v>
      </c>
      <c r="J4679" s="6">
        <f>I4679-H4679</f>
        <v>0</v>
      </c>
      <c r="K4679" s="5">
        <f>IF(H4679=0,"",J4679/H4679)</f>
        <v>0</v>
      </c>
      <c r="L4679">
        <f>IF(OR(AND(H4679=0,ABS(J4679)&gt;=0.01),AND(H4679&lt;&gt;0,ABS(K4679)&gt;VarianceThreshold)),"Review","OK")</f>
        <v>0</v>
      </c>
      <c r="M4679" t="s">
        <v>3038</v>
      </c>
    </row>
    <row r="4680" spans="1:13">
      <c r="A4680" t="s">
        <v>7</v>
      </c>
      <c r="B4680" t="s">
        <v>492</v>
      </c>
      <c r="C4680" t="s">
        <v>3424</v>
      </c>
      <c r="D4680" t="s">
        <v>2724</v>
      </c>
      <c r="E4680" cm="1">
        <f t="array" ref="E4680">_xlfn.XLOOKUP(D4680,SKU_Master!A:A,SKU_Master!B:B,"Not on master")</f>
        <v>0</v>
      </c>
      <c r="F4680" cm="1">
        <f t="array" ref="F4680">_xlfn.XLOOKUP(C4680,Account_Master!A:A,Account_Master!B:B,"Not on master")</f>
        <v>0</v>
      </c>
      <c r="G4680" cm="1">
        <f t="array" ref="G4680">_xlfn.XLOOKUP(C4680,Account_Master!A:A,Account_Master!C:C,"Not on master")</f>
        <v>0</v>
      </c>
      <c r="H4680" s="6">
        <v>1</v>
      </c>
      <c r="I4680" s="6">
        <v>1</v>
      </c>
      <c r="J4680" s="6">
        <f>I4680-H4680</f>
        <v>0</v>
      </c>
      <c r="K4680" s="5">
        <f>IF(H4680=0,"",J4680/H4680)</f>
        <v>0</v>
      </c>
      <c r="L4680">
        <f>IF(OR(AND(H4680=0,ABS(J4680)&gt;=0.01),AND(H4680&lt;&gt;0,ABS(K4680)&gt;VarianceThreshold)),"Review","OK")</f>
        <v>0</v>
      </c>
      <c r="M4680" t="s">
        <v>33</v>
      </c>
    </row>
    <row r="4681" spans="1:13">
      <c r="A4681" t="s">
        <v>7</v>
      </c>
      <c r="B4681" t="s">
        <v>492</v>
      </c>
      <c r="C4681" t="s">
        <v>3358</v>
      </c>
      <c r="D4681" t="s">
        <v>366</v>
      </c>
      <c r="E4681" cm="1">
        <f t="array" ref="E4681">_xlfn.XLOOKUP(D4681,SKU_Master!A:A,SKU_Master!B:B,"Not on master")</f>
        <v>0</v>
      </c>
      <c r="F4681" cm="1">
        <f t="array" ref="F4681">_xlfn.XLOOKUP(C4681,Account_Master!A:A,Account_Master!B:B,"Not on master")</f>
        <v>0</v>
      </c>
      <c r="G4681" cm="1">
        <f t="array" ref="G4681">_xlfn.XLOOKUP(C4681,Account_Master!A:A,Account_Master!C:C,"Not on master")</f>
        <v>0</v>
      </c>
      <c r="H4681" s="6">
        <v>6.75</v>
      </c>
      <c r="I4681" s="6">
        <v>6.75</v>
      </c>
      <c r="J4681" s="6">
        <f>I4681-H4681</f>
        <v>0</v>
      </c>
      <c r="K4681" s="5">
        <f>IF(H4681=0,"",J4681/H4681)</f>
        <v>0</v>
      </c>
      <c r="L4681">
        <f>IF(OR(AND(H4681=0,ABS(J4681)&gt;=0.01),AND(H4681&lt;&gt;0,ABS(K4681)&gt;VarianceThreshold)),"Review","OK")</f>
        <v>0</v>
      </c>
      <c r="M4681" t="s">
        <v>33</v>
      </c>
    </row>
    <row r="4682" spans="1:13">
      <c r="A4682" t="s">
        <v>7</v>
      </c>
      <c r="B4682" t="s">
        <v>492</v>
      </c>
      <c r="C4682" t="s">
        <v>3357</v>
      </c>
      <c r="D4682" t="s">
        <v>3542</v>
      </c>
      <c r="E4682" cm="1">
        <f t="array" ref="E4682">_xlfn.XLOOKUP(D4682,SKU_Master!A:A,SKU_Master!B:B,"Not on master")</f>
        <v>0</v>
      </c>
      <c r="F4682" cm="1">
        <f t="array" ref="F4682">_xlfn.XLOOKUP(C4682,Account_Master!A:A,Account_Master!B:B,"Not on master")</f>
        <v>0</v>
      </c>
      <c r="G4682" cm="1">
        <f t="array" ref="G4682">_xlfn.XLOOKUP(C4682,Account_Master!A:A,Account_Master!C:C,"Not on master")</f>
        <v>0</v>
      </c>
      <c r="H4682" s="6">
        <v>18</v>
      </c>
      <c r="I4682" s="6">
        <v>18</v>
      </c>
      <c r="J4682" s="6">
        <f>I4682-H4682</f>
        <v>0</v>
      </c>
      <c r="K4682" s="5">
        <f>IF(H4682=0,"",J4682/H4682)</f>
        <v>0</v>
      </c>
      <c r="L4682">
        <f>IF(OR(AND(H4682=0,ABS(J4682)&gt;=0.01),AND(H4682&lt;&gt;0,ABS(K4682)&gt;VarianceThreshold)),"Review","OK")</f>
        <v>0</v>
      </c>
      <c r="M4682" t="s">
        <v>33</v>
      </c>
    </row>
    <row r="4683" spans="1:13">
      <c r="A4683" t="s">
        <v>7</v>
      </c>
      <c r="B4683" t="s">
        <v>492</v>
      </c>
      <c r="C4683" t="s">
        <v>3368</v>
      </c>
      <c r="D4683" t="s">
        <v>532</v>
      </c>
      <c r="E4683" cm="1">
        <f t="array" ref="E4683">_xlfn.XLOOKUP(D4683,SKU_Master!A:A,SKU_Master!B:B,"Not on master")</f>
        <v>0</v>
      </c>
      <c r="F4683" cm="1">
        <f t="array" ref="F4683">_xlfn.XLOOKUP(C4683,Account_Master!A:A,Account_Master!B:B,"Not on master")</f>
        <v>0</v>
      </c>
      <c r="G4683" cm="1">
        <f t="array" ref="G4683">_xlfn.XLOOKUP(C4683,Account_Master!A:A,Account_Master!C:C,"Not on master")</f>
        <v>0</v>
      </c>
      <c r="H4683" s="6">
        <v>9</v>
      </c>
      <c r="I4683" s="6">
        <v>0</v>
      </c>
      <c r="J4683" s="6">
        <f>I4683-H4683</f>
        <v>0</v>
      </c>
      <c r="K4683" s="5">
        <f>IF(H4683=0,"",J4683/H4683)</f>
        <v>0</v>
      </c>
      <c r="L4683">
        <f>IF(OR(AND(H4683=0,ABS(J4683)&gt;=0.01),AND(H4683&lt;&gt;0,ABS(K4683)&gt;VarianceThreshold)),"Review","OK")</f>
        <v>0</v>
      </c>
      <c r="M4683" t="s">
        <v>3038</v>
      </c>
    </row>
    <row r="4684" spans="1:13">
      <c r="A4684" t="s">
        <v>7</v>
      </c>
      <c r="B4684" t="s">
        <v>492</v>
      </c>
      <c r="C4684" t="s">
        <v>3358</v>
      </c>
      <c r="D4684" t="s">
        <v>1346</v>
      </c>
      <c r="E4684" cm="1">
        <f t="array" ref="E4684">_xlfn.XLOOKUP(D4684,SKU_Master!A:A,SKU_Master!B:B,"Not on master")</f>
        <v>0</v>
      </c>
      <c r="F4684" cm="1">
        <f t="array" ref="F4684">_xlfn.XLOOKUP(C4684,Account_Master!A:A,Account_Master!B:B,"Not on master")</f>
        <v>0</v>
      </c>
      <c r="G4684" cm="1">
        <f t="array" ref="G4684">_xlfn.XLOOKUP(C4684,Account_Master!A:A,Account_Master!C:C,"Not on master")</f>
        <v>0</v>
      </c>
      <c r="H4684" s="6">
        <v>9</v>
      </c>
      <c r="I4684" s="6">
        <v>9</v>
      </c>
      <c r="J4684" s="6">
        <f>I4684-H4684</f>
        <v>0</v>
      </c>
      <c r="K4684" s="5">
        <f>IF(H4684=0,"",J4684/H4684)</f>
        <v>0</v>
      </c>
      <c r="L4684">
        <f>IF(OR(AND(H4684=0,ABS(J4684)&gt;=0.01),AND(H4684&lt;&gt;0,ABS(K4684)&gt;VarianceThreshold)),"Review","OK")</f>
        <v>0</v>
      </c>
      <c r="M4684" t="s">
        <v>33</v>
      </c>
    </row>
    <row r="4685" spans="1:13">
      <c r="A4685" t="s">
        <v>7</v>
      </c>
      <c r="B4685" t="s">
        <v>492</v>
      </c>
      <c r="C4685" t="s">
        <v>3504</v>
      </c>
      <c r="D4685" t="s">
        <v>2678</v>
      </c>
      <c r="E4685" cm="1">
        <f t="array" ref="E4685">_xlfn.XLOOKUP(D4685,SKU_Master!A:A,SKU_Master!B:B,"Not on master")</f>
        <v>0</v>
      </c>
      <c r="F4685" cm="1">
        <f t="array" ref="F4685">_xlfn.XLOOKUP(C4685,Account_Master!A:A,Account_Master!B:B,"Not on master")</f>
        <v>0</v>
      </c>
      <c r="G4685" cm="1">
        <f t="array" ref="G4685">_xlfn.XLOOKUP(C4685,Account_Master!A:A,Account_Master!C:C,"Not on master")</f>
        <v>0</v>
      </c>
      <c r="H4685" s="6">
        <v>1.5</v>
      </c>
      <c r="I4685" s="6">
        <v>1.5</v>
      </c>
      <c r="J4685" s="6">
        <f>I4685-H4685</f>
        <v>0</v>
      </c>
      <c r="K4685" s="5">
        <f>IF(H4685=0,"",J4685/H4685)</f>
        <v>0</v>
      </c>
      <c r="L4685">
        <f>IF(OR(AND(H4685=0,ABS(J4685)&gt;=0.01),AND(H4685&lt;&gt;0,ABS(K4685)&gt;VarianceThreshold)),"Review","OK")</f>
        <v>0</v>
      </c>
      <c r="M4685" t="s">
        <v>33</v>
      </c>
    </row>
    <row r="4686" spans="1:13">
      <c r="A4686" t="s">
        <v>7</v>
      </c>
      <c r="B4686" t="s">
        <v>501</v>
      </c>
      <c r="C4686" t="s">
        <v>3408</v>
      </c>
      <c r="D4686" t="s">
        <v>1629</v>
      </c>
      <c r="E4686" cm="1">
        <f t="array" ref="E4686">_xlfn.XLOOKUP(D4686,SKU_Master!A:A,SKU_Master!B:B,"Not on master")</f>
        <v>0</v>
      </c>
      <c r="F4686" cm="1">
        <f t="array" ref="F4686">_xlfn.XLOOKUP(C4686,Account_Master!A:A,Account_Master!B:B,"Not on master")</f>
        <v>0</v>
      </c>
      <c r="G4686" cm="1">
        <f t="array" ref="G4686">_xlfn.XLOOKUP(C4686,Account_Master!A:A,Account_Master!C:C,"Not on master")</f>
        <v>0</v>
      </c>
      <c r="H4686" s="6">
        <v>108.5</v>
      </c>
      <c r="I4686" s="6">
        <v>108.5</v>
      </c>
      <c r="J4686" s="6">
        <f>I4686-H4686</f>
        <v>0</v>
      </c>
      <c r="K4686" s="5">
        <f>IF(H4686=0,"",J4686/H4686)</f>
        <v>0</v>
      </c>
      <c r="L4686">
        <f>IF(OR(AND(H4686=0,ABS(J4686)&gt;=0.01),AND(H4686&lt;&gt;0,ABS(K4686)&gt;VarianceThreshold)),"Review","OK")</f>
        <v>0</v>
      </c>
      <c r="M4686" t="s">
        <v>33</v>
      </c>
    </row>
    <row r="4687" spans="1:13">
      <c r="A4687" t="s">
        <v>7</v>
      </c>
      <c r="B4687" t="s">
        <v>501</v>
      </c>
      <c r="C4687" t="s">
        <v>3477</v>
      </c>
      <c r="D4687" t="s">
        <v>2170</v>
      </c>
      <c r="E4687" cm="1">
        <f t="array" ref="E4687">_xlfn.XLOOKUP(D4687,SKU_Master!A:A,SKU_Master!B:B,"Not on master")</f>
        <v>0</v>
      </c>
      <c r="F4687" cm="1">
        <f t="array" ref="F4687">_xlfn.XLOOKUP(C4687,Account_Master!A:A,Account_Master!B:B,"Not on master")</f>
        <v>0</v>
      </c>
      <c r="G4687" cm="1">
        <f t="array" ref="G4687">_xlfn.XLOOKUP(C4687,Account_Master!A:A,Account_Master!C:C,"Not on master")</f>
        <v>0</v>
      </c>
      <c r="H4687" s="6">
        <v>41.25</v>
      </c>
      <c r="I4687" s="6">
        <v>41.25</v>
      </c>
      <c r="J4687" s="6">
        <f>I4687-H4687</f>
        <v>0</v>
      </c>
      <c r="K4687" s="5">
        <f>IF(H4687=0,"",J4687/H4687)</f>
        <v>0</v>
      </c>
      <c r="L4687">
        <f>IF(OR(AND(H4687=0,ABS(J4687)&gt;=0.01),AND(H4687&lt;&gt;0,ABS(K4687)&gt;VarianceThreshold)),"Review","OK")</f>
        <v>0</v>
      </c>
      <c r="M4687" t="s">
        <v>33</v>
      </c>
    </row>
    <row r="4688" spans="1:13">
      <c r="A4688" t="s">
        <v>7</v>
      </c>
      <c r="B4688" t="s">
        <v>511</v>
      </c>
      <c r="C4688" t="s">
        <v>3402</v>
      </c>
      <c r="D4688" t="s">
        <v>3543</v>
      </c>
      <c r="E4688" cm="1">
        <f t="array" ref="E4688">_xlfn.XLOOKUP(D4688,SKU_Master!A:A,SKU_Master!B:B,"Not on master")</f>
        <v>0</v>
      </c>
      <c r="F4688" cm="1">
        <f t="array" ref="F4688">_xlfn.XLOOKUP(C4688,Account_Master!A:A,Account_Master!B:B,"Not on master")</f>
        <v>0</v>
      </c>
      <c r="G4688" cm="1">
        <f t="array" ref="G4688">_xlfn.XLOOKUP(C4688,Account_Master!A:A,Account_Master!C:C,"Not on master")</f>
        <v>0</v>
      </c>
      <c r="H4688" s="6">
        <v>2.25</v>
      </c>
      <c r="I4688" s="6">
        <v>2.25</v>
      </c>
      <c r="J4688" s="6">
        <f>I4688-H4688</f>
        <v>0</v>
      </c>
      <c r="K4688" s="5">
        <f>IF(H4688=0,"",J4688/H4688)</f>
        <v>0</v>
      </c>
      <c r="L4688">
        <f>IF(OR(AND(H4688=0,ABS(J4688)&gt;=0.01),AND(H4688&lt;&gt;0,ABS(K4688)&gt;VarianceThreshold)),"Review","OK")</f>
        <v>0</v>
      </c>
      <c r="M4688" t="s">
        <v>33</v>
      </c>
    </row>
    <row r="4689" spans="1:13">
      <c r="A4689" t="s">
        <v>7</v>
      </c>
      <c r="B4689" t="s">
        <v>511</v>
      </c>
      <c r="C4689" t="s">
        <v>3525</v>
      </c>
      <c r="D4689" t="s">
        <v>651</v>
      </c>
      <c r="E4689" cm="1">
        <f t="array" ref="E4689">_xlfn.XLOOKUP(D4689,SKU_Master!A:A,SKU_Master!B:B,"Not on master")</f>
        <v>0</v>
      </c>
      <c r="F4689" cm="1">
        <f t="array" ref="F4689">_xlfn.XLOOKUP(C4689,Account_Master!A:A,Account_Master!B:B,"Not on master")</f>
        <v>0</v>
      </c>
      <c r="G4689" cm="1">
        <f t="array" ref="G4689">_xlfn.XLOOKUP(C4689,Account_Master!A:A,Account_Master!C:C,"Not on master")</f>
        <v>0</v>
      </c>
      <c r="H4689" s="6">
        <v>191.25</v>
      </c>
      <c r="I4689" s="6">
        <v>182.25</v>
      </c>
      <c r="J4689" s="6">
        <f>I4689-H4689</f>
        <v>0</v>
      </c>
      <c r="K4689" s="5">
        <f>IF(H4689=0,"",J4689/H4689)</f>
        <v>0</v>
      </c>
      <c r="L4689">
        <f>IF(OR(AND(H4689=0,ABS(J4689)&gt;=0.01),AND(H4689&lt;&gt;0,ABS(K4689)&gt;VarianceThreshold)),"Review","OK")</f>
        <v>0</v>
      </c>
      <c r="M4689" t="s">
        <v>33</v>
      </c>
    </row>
    <row r="4690" spans="1:13">
      <c r="A4690" t="s">
        <v>7</v>
      </c>
      <c r="B4690" t="s">
        <v>511</v>
      </c>
      <c r="C4690" t="s">
        <v>3368</v>
      </c>
      <c r="D4690" t="s">
        <v>3544</v>
      </c>
      <c r="E4690" cm="1">
        <f t="array" ref="E4690">_xlfn.XLOOKUP(D4690,SKU_Master!A:A,SKU_Master!B:B,"Not on master")</f>
        <v>0</v>
      </c>
      <c r="F4690" cm="1">
        <f t="array" ref="F4690">_xlfn.XLOOKUP(C4690,Account_Master!A:A,Account_Master!B:B,"Not on master")</f>
        <v>0</v>
      </c>
      <c r="G4690" cm="1">
        <f t="array" ref="G4690">_xlfn.XLOOKUP(C4690,Account_Master!A:A,Account_Master!C:C,"Not on master")</f>
        <v>0</v>
      </c>
      <c r="H4690" s="6">
        <v>18</v>
      </c>
      <c r="I4690" s="6">
        <v>18</v>
      </c>
      <c r="J4690" s="6">
        <f>I4690-H4690</f>
        <v>0</v>
      </c>
      <c r="K4690" s="5">
        <f>IF(H4690=0,"",J4690/H4690)</f>
        <v>0</v>
      </c>
      <c r="L4690">
        <f>IF(OR(AND(H4690=0,ABS(J4690)&gt;=0.01),AND(H4690&lt;&gt;0,ABS(K4690)&gt;VarianceThreshold)),"Review","OK")</f>
        <v>0</v>
      </c>
      <c r="M4690" t="s">
        <v>33</v>
      </c>
    </row>
    <row r="4691" spans="1:13">
      <c r="A4691" t="s">
        <v>7</v>
      </c>
      <c r="B4691" t="s">
        <v>511</v>
      </c>
      <c r="C4691" t="s">
        <v>3545</v>
      </c>
      <c r="D4691" t="s">
        <v>773</v>
      </c>
      <c r="E4691" cm="1">
        <f t="array" ref="E4691">_xlfn.XLOOKUP(D4691,SKU_Master!A:A,SKU_Master!B:B,"Not on master")</f>
        <v>0</v>
      </c>
      <c r="F4691" cm="1">
        <f t="array" ref="F4691">_xlfn.XLOOKUP(C4691,Account_Master!A:A,Account_Master!B:B,"Not on master")</f>
        <v>0</v>
      </c>
      <c r="G4691" cm="1">
        <f t="array" ref="G4691">_xlfn.XLOOKUP(C4691,Account_Master!A:A,Account_Master!C:C,"Not on master")</f>
        <v>0</v>
      </c>
      <c r="H4691" s="6">
        <v>101.25</v>
      </c>
      <c r="I4691" s="6">
        <v>101.25</v>
      </c>
      <c r="J4691" s="6">
        <f>I4691-H4691</f>
        <v>0</v>
      </c>
      <c r="K4691" s="5">
        <f>IF(H4691=0,"",J4691/H4691)</f>
        <v>0</v>
      </c>
      <c r="L4691">
        <f>IF(OR(AND(H4691=0,ABS(J4691)&gt;=0.01),AND(H4691&lt;&gt;0,ABS(K4691)&gt;VarianceThreshold)),"Review","OK")</f>
        <v>0</v>
      </c>
      <c r="M4691" t="s">
        <v>33</v>
      </c>
    </row>
    <row r="4692" spans="1:13">
      <c r="A4692" t="s">
        <v>7</v>
      </c>
      <c r="B4692" t="s">
        <v>511</v>
      </c>
      <c r="C4692" t="s">
        <v>33</v>
      </c>
      <c r="D4692" t="s">
        <v>3546</v>
      </c>
      <c r="E4692" cm="1">
        <f t="array" ref="E4692">_xlfn.XLOOKUP(D4692,SKU_Master!A:A,SKU_Master!B:B,"Not on master")</f>
        <v>0</v>
      </c>
      <c r="F4692" cm="1">
        <f t="array" ref="F4692">_xlfn.XLOOKUP(C4692,Account_Master!A:A,Account_Master!B:B,"Not on master")</f>
        <v>0</v>
      </c>
      <c r="G4692" cm="1">
        <f t="array" ref="G4692">_xlfn.XLOOKUP(C4692,Account_Master!A:A,Account_Master!C:C,"Not on master")</f>
        <v>0</v>
      </c>
      <c r="H4692" s="6">
        <v>0</v>
      </c>
      <c r="I4692" s="6">
        <v>0.05</v>
      </c>
      <c r="J4692" s="6">
        <f>I4692-H4692</f>
        <v>0</v>
      </c>
      <c r="K4692" s="5">
        <f>IF(H4692=0,"",J4692/H4692)</f>
        <v>0</v>
      </c>
      <c r="L4692">
        <f>IF(OR(AND(H4692=0,ABS(J4692)&gt;=0.01),AND(H4692&lt;&gt;0,ABS(K4692)&gt;VarianceThreshold)),"Review","OK")</f>
        <v>0</v>
      </c>
      <c r="M4692" t="s">
        <v>3038</v>
      </c>
    </row>
    <row r="4693" spans="1:13">
      <c r="A4693" t="s">
        <v>7</v>
      </c>
      <c r="B4693" t="s">
        <v>523</v>
      </c>
      <c r="C4693" t="s">
        <v>3357</v>
      </c>
      <c r="D4693" t="s">
        <v>3547</v>
      </c>
      <c r="E4693" cm="1">
        <f t="array" ref="E4693">_xlfn.XLOOKUP(D4693,SKU_Master!A:A,SKU_Master!B:B,"Not on master")</f>
        <v>0</v>
      </c>
      <c r="F4693" cm="1">
        <f t="array" ref="F4693">_xlfn.XLOOKUP(C4693,Account_Master!A:A,Account_Master!B:B,"Not on master")</f>
        <v>0</v>
      </c>
      <c r="G4693" cm="1">
        <f t="array" ref="G4693">_xlfn.XLOOKUP(C4693,Account_Master!A:A,Account_Master!C:C,"Not on master")</f>
        <v>0</v>
      </c>
      <c r="H4693" s="6">
        <v>112</v>
      </c>
      <c r="I4693" s="6">
        <v>112</v>
      </c>
      <c r="J4693" s="6">
        <f>I4693-H4693</f>
        <v>0</v>
      </c>
      <c r="K4693" s="5">
        <f>IF(H4693=0,"",J4693/H4693)</f>
        <v>0</v>
      </c>
      <c r="L4693">
        <f>IF(OR(AND(H4693=0,ABS(J4693)&gt;=0.01),AND(H4693&lt;&gt;0,ABS(K4693)&gt;VarianceThreshold)),"Review","OK")</f>
        <v>0</v>
      </c>
      <c r="M4693" t="s">
        <v>33</v>
      </c>
    </row>
    <row r="4694" spans="1:13">
      <c r="A4694" t="s">
        <v>7</v>
      </c>
      <c r="B4694" t="s">
        <v>523</v>
      </c>
      <c r="C4694" t="s">
        <v>33</v>
      </c>
      <c r="D4694" t="s">
        <v>3548</v>
      </c>
      <c r="E4694" cm="1">
        <f t="array" ref="E4694">_xlfn.XLOOKUP(D4694,SKU_Master!A:A,SKU_Master!B:B,"Not on master")</f>
        <v>0</v>
      </c>
      <c r="F4694" cm="1">
        <f t="array" ref="F4694">_xlfn.XLOOKUP(C4694,Account_Master!A:A,Account_Master!B:B,"Not on master")</f>
        <v>0</v>
      </c>
      <c r="G4694" cm="1">
        <f t="array" ref="G4694">_xlfn.XLOOKUP(C4694,Account_Master!A:A,Account_Master!C:C,"Not on master")</f>
        <v>0</v>
      </c>
      <c r="H4694" s="6">
        <v>0</v>
      </c>
      <c r="I4694" s="6">
        <v>12</v>
      </c>
      <c r="J4694" s="6">
        <f>I4694-H4694</f>
        <v>0</v>
      </c>
      <c r="K4694" s="5">
        <f>IF(H4694=0,"",J4694/H4694)</f>
        <v>0</v>
      </c>
      <c r="L4694">
        <f>IF(OR(AND(H4694=0,ABS(J4694)&gt;=0.01),AND(H4694&lt;&gt;0,ABS(K4694)&gt;VarianceThreshold)),"Review","OK")</f>
        <v>0</v>
      </c>
      <c r="M4694" t="s">
        <v>3038</v>
      </c>
    </row>
    <row r="4695" spans="1:13">
      <c r="A4695" t="s">
        <v>7</v>
      </c>
      <c r="B4695" t="s">
        <v>528</v>
      </c>
      <c r="C4695" t="s">
        <v>3368</v>
      </c>
      <c r="D4695" t="s">
        <v>619</v>
      </c>
      <c r="E4695" cm="1">
        <f t="array" ref="E4695">_xlfn.XLOOKUP(D4695,SKU_Master!A:A,SKU_Master!B:B,"Not on master")</f>
        <v>0</v>
      </c>
      <c r="F4695" cm="1">
        <f t="array" ref="F4695">_xlfn.XLOOKUP(C4695,Account_Master!A:A,Account_Master!B:B,"Not on master")</f>
        <v>0</v>
      </c>
      <c r="G4695" cm="1">
        <f t="array" ref="G4695">_xlfn.XLOOKUP(C4695,Account_Master!A:A,Account_Master!C:C,"Not on master")</f>
        <v>0</v>
      </c>
      <c r="H4695" s="6">
        <v>13.5</v>
      </c>
      <c r="I4695" s="6">
        <v>13.5</v>
      </c>
      <c r="J4695" s="6">
        <f>I4695-H4695</f>
        <v>0</v>
      </c>
      <c r="K4695" s="5">
        <f>IF(H4695=0,"",J4695/H4695)</f>
        <v>0</v>
      </c>
      <c r="L4695">
        <f>IF(OR(AND(H4695=0,ABS(J4695)&gt;=0.01),AND(H4695&lt;&gt;0,ABS(K4695)&gt;VarianceThreshold)),"Review","OK")</f>
        <v>0</v>
      </c>
      <c r="M4695" t="s">
        <v>33</v>
      </c>
    </row>
    <row r="4696" spans="1:13">
      <c r="A4696" t="s">
        <v>7</v>
      </c>
      <c r="B4696" t="s">
        <v>528</v>
      </c>
      <c r="C4696" t="s">
        <v>3355</v>
      </c>
      <c r="D4696" t="s">
        <v>760</v>
      </c>
      <c r="E4696" cm="1">
        <f t="array" ref="E4696">_xlfn.XLOOKUP(D4696,SKU_Master!A:A,SKU_Master!B:B,"Not on master")</f>
        <v>0</v>
      </c>
      <c r="F4696" cm="1">
        <f t="array" ref="F4696">_xlfn.XLOOKUP(C4696,Account_Master!A:A,Account_Master!B:B,"Not on master")</f>
        <v>0</v>
      </c>
      <c r="G4696" cm="1">
        <f t="array" ref="G4696">_xlfn.XLOOKUP(C4696,Account_Master!A:A,Account_Master!C:C,"Not on master")</f>
        <v>0</v>
      </c>
      <c r="H4696" s="6">
        <v>4.5</v>
      </c>
      <c r="I4696" s="6">
        <v>4.5</v>
      </c>
      <c r="J4696" s="6">
        <f>I4696-H4696</f>
        <v>0</v>
      </c>
      <c r="K4696" s="5">
        <f>IF(H4696=0,"",J4696/H4696)</f>
        <v>0</v>
      </c>
      <c r="L4696">
        <f>IF(OR(AND(H4696=0,ABS(J4696)&gt;=0.01),AND(H4696&lt;&gt;0,ABS(K4696)&gt;VarianceThreshold)),"Review","OK")</f>
        <v>0</v>
      </c>
      <c r="M4696" t="s">
        <v>33</v>
      </c>
    </row>
    <row r="4697" spans="1:13">
      <c r="A4697" t="s">
        <v>7</v>
      </c>
      <c r="B4697" t="s">
        <v>528</v>
      </c>
      <c r="C4697" t="s">
        <v>3368</v>
      </c>
      <c r="D4697" t="s">
        <v>3549</v>
      </c>
      <c r="E4697" cm="1">
        <f t="array" ref="E4697">_xlfn.XLOOKUP(D4697,SKU_Master!A:A,SKU_Master!B:B,"Not on master")</f>
        <v>0</v>
      </c>
      <c r="F4697" cm="1">
        <f t="array" ref="F4697">_xlfn.XLOOKUP(C4697,Account_Master!A:A,Account_Master!B:B,"Not on master")</f>
        <v>0</v>
      </c>
      <c r="G4697" cm="1">
        <f t="array" ref="G4697">_xlfn.XLOOKUP(C4697,Account_Master!A:A,Account_Master!C:C,"Not on master")</f>
        <v>0</v>
      </c>
      <c r="H4697" s="6">
        <v>45</v>
      </c>
      <c r="I4697" s="6">
        <v>45</v>
      </c>
      <c r="J4697" s="6">
        <f>I4697-H4697</f>
        <v>0</v>
      </c>
      <c r="K4697" s="5">
        <f>IF(H4697=0,"",J4697/H4697)</f>
        <v>0</v>
      </c>
      <c r="L4697">
        <f>IF(OR(AND(H4697=0,ABS(J4697)&gt;=0.01),AND(H4697&lt;&gt;0,ABS(K4697)&gt;VarianceThreshold)),"Review","OK")</f>
        <v>0</v>
      </c>
      <c r="M4697" t="s">
        <v>33</v>
      </c>
    </row>
    <row r="4698" spans="1:13">
      <c r="A4698" t="s">
        <v>7</v>
      </c>
      <c r="B4698" t="s">
        <v>528</v>
      </c>
      <c r="C4698" t="s">
        <v>3383</v>
      </c>
      <c r="D4698" t="s">
        <v>1873</v>
      </c>
      <c r="E4698" cm="1">
        <f t="array" ref="E4698">_xlfn.XLOOKUP(D4698,SKU_Master!A:A,SKU_Master!B:B,"Not on master")</f>
        <v>0</v>
      </c>
      <c r="F4698" cm="1">
        <f t="array" ref="F4698">_xlfn.XLOOKUP(C4698,Account_Master!A:A,Account_Master!B:B,"Not on master")</f>
        <v>0</v>
      </c>
      <c r="G4698" cm="1">
        <f t="array" ref="G4698">_xlfn.XLOOKUP(C4698,Account_Master!A:A,Account_Master!C:C,"Not on master")</f>
        <v>0</v>
      </c>
      <c r="H4698" s="6">
        <v>12</v>
      </c>
      <c r="I4698" s="6">
        <v>12</v>
      </c>
      <c r="J4698" s="6">
        <f>I4698-H4698</f>
        <v>0</v>
      </c>
      <c r="K4698" s="5">
        <f>IF(H4698=0,"",J4698/H4698)</f>
        <v>0</v>
      </c>
      <c r="L4698">
        <f>IF(OR(AND(H4698=0,ABS(J4698)&gt;=0.01),AND(H4698&lt;&gt;0,ABS(K4698)&gt;VarianceThreshold)),"Review","OK")</f>
        <v>0</v>
      </c>
      <c r="M4698" t="s">
        <v>33</v>
      </c>
    </row>
    <row r="4699" spans="1:13">
      <c r="A4699" t="s">
        <v>7</v>
      </c>
      <c r="B4699" t="s">
        <v>528</v>
      </c>
      <c r="C4699" t="s">
        <v>33</v>
      </c>
      <c r="D4699" t="s">
        <v>3550</v>
      </c>
      <c r="E4699" cm="1">
        <f t="array" ref="E4699">_xlfn.XLOOKUP(D4699,SKU_Master!A:A,SKU_Master!B:B,"Not on master")</f>
        <v>0</v>
      </c>
      <c r="F4699" cm="1">
        <f t="array" ref="F4699">_xlfn.XLOOKUP(C4699,Account_Master!A:A,Account_Master!B:B,"Not on master")</f>
        <v>0</v>
      </c>
      <c r="G4699" cm="1">
        <f t="array" ref="G4699">_xlfn.XLOOKUP(C4699,Account_Master!A:A,Account_Master!C:C,"Not on master")</f>
        <v>0</v>
      </c>
      <c r="H4699" s="6">
        <v>0</v>
      </c>
      <c r="I4699" s="6">
        <v>12</v>
      </c>
      <c r="J4699" s="6">
        <f>I4699-H4699</f>
        <v>0</v>
      </c>
      <c r="K4699" s="5">
        <f>IF(H4699=0,"",J4699/H4699)</f>
        <v>0</v>
      </c>
      <c r="L4699">
        <f>IF(OR(AND(H4699=0,ABS(J4699)&gt;=0.01),AND(H4699&lt;&gt;0,ABS(K4699)&gt;VarianceThreshold)),"Review","OK")</f>
        <v>0</v>
      </c>
      <c r="M4699" t="s">
        <v>3038</v>
      </c>
    </row>
    <row r="4700" spans="1:13">
      <c r="A4700" t="s">
        <v>7</v>
      </c>
      <c r="B4700" t="s">
        <v>538</v>
      </c>
      <c r="C4700" t="s">
        <v>3551</v>
      </c>
      <c r="D4700" t="s">
        <v>481</v>
      </c>
      <c r="E4700" cm="1">
        <f t="array" ref="E4700">_xlfn.XLOOKUP(D4700,SKU_Master!A:A,SKU_Master!B:B,"Not on master")</f>
        <v>0</v>
      </c>
      <c r="F4700" cm="1">
        <f t="array" ref="F4700">_xlfn.XLOOKUP(C4700,Account_Master!A:A,Account_Master!B:B,"Not on master")</f>
        <v>0</v>
      </c>
      <c r="G4700" cm="1">
        <f t="array" ref="G4700">_xlfn.XLOOKUP(C4700,Account_Master!A:A,Account_Master!C:C,"Not on master")</f>
        <v>0</v>
      </c>
      <c r="H4700" s="6">
        <v>1.5</v>
      </c>
      <c r="I4700" s="6">
        <v>1.5</v>
      </c>
      <c r="J4700" s="6">
        <f>I4700-H4700</f>
        <v>0</v>
      </c>
      <c r="K4700" s="5">
        <f>IF(H4700=0,"",J4700/H4700)</f>
        <v>0</v>
      </c>
      <c r="L4700">
        <f>IF(OR(AND(H4700=0,ABS(J4700)&gt;=0.01),AND(H4700&lt;&gt;0,ABS(K4700)&gt;VarianceThreshold)),"Review","OK")</f>
        <v>0</v>
      </c>
      <c r="M4700" t="s">
        <v>33</v>
      </c>
    </row>
    <row r="4701" spans="1:13">
      <c r="A4701" t="s">
        <v>7</v>
      </c>
      <c r="B4701" t="s">
        <v>538</v>
      </c>
      <c r="C4701" t="s">
        <v>3377</v>
      </c>
      <c r="D4701" t="s">
        <v>3552</v>
      </c>
      <c r="E4701" cm="1">
        <f t="array" ref="E4701">_xlfn.XLOOKUP(D4701,SKU_Master!A:A,SKU_Master!B:B,"Not on master")</f>
        <v>0</v>
      </c>
      <c r="F4701" cm="1">
        <f t="array" ref="F4701">_xlfn.XLOOKUP(C4701,Account_Master!A:A,Account_Master!B:B,"Not on master")</f>
        <v>0</v>
      </c>
      <c r="G4701" cm="1">
        <f t="array" ref="G4701">_xlfn.XLOOKUP(C4701,Account_Master!A:A,Account_Master!C:C,"Not on master")</f>
        <v>0</v>
      </c>
      <c r="H4701" s="6">
        <v>9</v>
      </c>
      <c r="I4701" s="6">
        <v>9</v>
      </c>
      <c r="J4701" s="6">
        <f>I4701-H4701</f>
        <v>0</v>
      </c>
      <c r="K4701" s="5">
        <f>IF(H4701=0,"",J4701/H4701)</f>
        <v>0</v>
      </c>
      <c r="L4701">
        <f>IF(OR(AND(H4701=0,ABS(J4701)&gt;=0.01),AND(H4701&lt;&gt;0,ABS(K4701)&gt;VarianceThreshold)),"Review","OK")</f>
        <v>0</v>
      </c>
      <c r="M4701" t="s">
        <v>33</v>
      </c>
    </row>
    <row r="4702" spans="1:13">
      <c r="A4702" t="s">
        <v>7</v>
      </c>
      <c r="B4702" t="s">
        <v>538</v>
      </c>
      <c r="C4702" t="s">
        <v>33</v>
      </c>
      <c r="D4702" t="s">
        <v>3553</v>
      </c>
      <c r="E4702" cm="1">
        <f t="array" ref="E4702">_xlfn.XLOOKUP(D4702,SKU_Master!A:A,SKU_Master!B:B,"Not on master")</f>
        <v>0</v>
      </c>
      <c r="F4702" cm="1">
        <f t="array" ref="F4702">_xlfn.XLOOKUP(C4702,Account_Master!A:A,Account_Master!B:B,"Not on master")</f>
        <v>0</v>
      </c>
      <c r="G4702" cm="1">
        <f t="array" ref="G4702">_xlfn.XLOOKUP(C4702,Account_Master!A:A,Account_Master!C:C,"Not on master")</f>
        <v>0</v>
      </c>
      <c r="H4702" s="6">
        <v>0</v>
      </c>
      <c r="I4702" s="6">
        <v>12</v>
      </c>
      <c r="J4702" s="6">
        <f>I4702-H4702</f>
        <v>0</v>
      </c>
      <c r="K4702" s="5">
        <f>IF(H4702=0,"",J4702/H4702)</f>
        <v>0</v>
      </c>
      <c r="L4702">
        <f>IF(OR(AND(H4702=0,ABS(J4702)&gt;=0.01),AND(H4702&lt;&gt;0,ABS(K4702)&gt;VarianceThreshold)),"Review","OK")</f>
        <v>0</v>
      </c>
      <c r="M4702" t="s">
        <v>3038</v>
      </c>
    </row>
    <row r="4703" spans="1:13">
      <c r="A4703" t="s">
        <v>7</v>
      </c>
      <c r="B4703" t="s">
        <v>552</v>
      </c>
      <c r="C4703" t="s">
        <v>3367</v>
      </c>
      <c r="D4703" t="s">
        <v>358</v>
      </c>
      <c r="E4703" cm="1">
        <f t="array" ref="E4703">_xlfn.XLOOKUP(D4703,SKU_Master!A:A,SKU_Master!B:B,"Not on master")</f>
        <v>0</v>
      </c>
      <c r="F4703" cm="1">
        <f t="array" ref="F4703">_xlfn.XLOOKUP(C4703,Account_Master!A:A,Account_Master!B:B,"Not on master")</f>
        <v>0</v>
      </c>
      <c r="G4703" cm="1">
        <f t="array" ref="G4703">_xlfn.XLOOKUP(C4703,Account_Master!A:A,Account_Master!C:C,"Not on master")</f>
        <v>0</v>
      </c>
      <c r="H4703" s="6">
        <v>8.4</v>
      </c>
      <c r="I4703" s="6">
        <v>8.4</v>
      </c>
      <c r="J4703" s="6">
        <f>I4703-H4703</f>
        <v>0</v>
      </c>
      <c r="K4703" s="5">
        <f>IF(H4703=0,"",J4703/H4703)</f>
        <v>0</v>
      </c>
      <c r="L4703">
        <f>IF(OR(AND(H4703=0,ABS(J4703)&gt;=0.01),AND(H4703&lt;&gt;0,ABS(K4703)&gt;VarianceThreshold)),"Review","OK")</f>
        <v>0</v>
      </c>
      <c r="M4703" t="s">
        <v>33</v>
      </c>
    </row>
    <row r="4704" spans="1:13">
      <c r="A4704" t="s">
        <v>7</v>
      </c>
      <c r="B4704" t="s">
        <v>552</v>
      </c>
      <c r="C4704" t="s">
        <v>3554</v>
      </c>
      <c r="D4704" t="s">
        <v>1462</v>
      </c>
      <c r="E4704" cm="1">
        <f t="array" ref="E4704">_xlfn.XLOOKUP(D4704,SKU_Master!A:A,SKU_Master!B:B,"Not on master")</f>
        <v>0</v>
      </c>
      <c r="F4704" cm="1">
        <f t="array" ref="F4704">_xlfn.XLOOKUP(C4704,Account_Master!A:A,Account_Master!B:B,"Not on master")</f>
        <v>0</v>
      </c>
      <c r="G4704" cm="1">
        <f t="array" ref="G4704">_xlfn.XLOOKUP(C4704,Account_Master!A:A,Account_Master!C:C,"Not on master")</f>
        <v>0</v>
      </c>
      <c r="H4704" s="6">
        <v>3.25</v>
      </c>
      <c r="I4704" s="6">
        <v>3.25</v>
      </c>
      <c r="J4704" s="6">
        <f>I4704-H4704</f>
        <v>0</v>
      </c>
      <c r="K4704" s="5">
        <f>IF(H4704=0,"",J4704/H4704)</f>
        <v>0</v>
      </c>
      <c r="L4704">
        <f>IF(OR(AND(H4704=0,ABS(J4704)&gt;=0.01),AND(H4704&lt;&gt;0,ABS(K4704)&gt;VarianceThreshold)),"Review","OK")</f>
        <v>0</v>
      </c>
      <c r="M4704" t="s">
        <v>33</v>
      </c>
    </row>
    <row r="4705" spans="1:13">
      <c r="A4705" t="s">
        <v>7</v>
      </c>
      <c r="B4705" t="s">
        <v>552</v>
      </c>
      <c r="C4705" t="s">
        <v>3470</v>
      </c>
      <c r="D4705" t="s">
        <v>472</v>
      </c>
      <c r="E4705" cm="1">
        <f t="array" ref="E4705">_xlfn.XLOOKUP(D4705,SKU_Master!A:A,SKU_Master!B:B,"Not on master")</f>
        <v>0</v>
      </c>
      <c r="F4705" cm="1">
        <f t="array" ref="F4705">_xlfn.XLOOKUP(C4705,Account_Master!A:A,Account_Master!B:B,"Not on master")</f>
        <v>0</v>
      </c>
      <c r="G4705" cm="1">
        <f t="array" ref="G4705">_xlfn.XLOOKUP(C4705,Account_Master!A:A,Account_Master!C:C,"Not on master")</f>
        <v>0</v>
      </c>
      <c r="H4705" s="6">
        <v>24.5</v>
      </c>
      <c r="I4705" s="6">
        <v>24.5</v>
      </c>
      <c r="J4705" s="6">
        <f>I4705-H4705</f>
        <v>0</v>
      </c>
      <c r="K4705" s="5">
        <f>IF(H4705=0,"",J4705/H4705)</f>
        <v>0</v>
      </c>
      <c r="L4705">
        <f>IF(OR(AND(H4705=0,ABS(J4705)&gt;=0.01),AND(H4705&lt;&gt;0,ABS(K4705)&gt;VarianceThreshold)),"Review","OK")</f>
        <v>0</v>
      </c>
      <c r="M4705" t="s">
        <v>33</v>
      </c>
    </row>
    <row r="4706" spans="1:13">
      <c r="A4706" t="s">
        <v>7</v>
      </c>
      <c r="B4706" t="s">
        <v>552</v>
      </c>
      <c r="C4706" t="s">
        <v>3433</v>
      </c>
      <c r="D4706" t="s">
        <v>1209</v>
      </c>
      <c r="E4706" cm="1">
        <f t="array" ref="E4706">_xlfn.XLOOKUP(D4706,SKU_Master!A:A,SKU_Master!B:B,"Not on master")</f>
        <v>0</v>
      </c>
      <c r="F4706" cm="1">
        <f t="array" ref="F4706">_xlfn.XLOOKUP(C4706,Account_Master!A:A,Account_Master!B:B,"Not on master")</f>
        <v>0</v>
      </c>
      <c r="G4706" cm="1">
        <f t="array" ref="G4706">_xlfn.XLOOKUP(C4706,Account_Master!A:A,Account_Master!C:C,"Not on master")</f>
        <v>0</v>
      </c>
      <c r="H4706" s="6">
        <v>15</v>
      </c>
      <c r="I4706" s="6">
        <v>15</v>
      </c>
      <c r="J4706" s="6">
        <f>I4706-H4706</f>
        <v>0</v>
      </c>
      <c r="K4706" s="5">
        <f>IF(H4706=0,"",J4706/H4706)</f>
        <v>0</v>
      </c>
      <c r="L4706">
        <f>IF(OR(AND(H4706=0,ABS(J4706)&gt;=0.01),AND(H4706&lt;&gt;0,ABS(K4706)&gt;VarianceThreshold)),"Review","OK")</f>
        <v>0</v>
      </c>
      <c r="M4706" t="s">
        <v>33</v>
      </c>
    </row>
    <row r="4707" spans="1:13">
      <c r="A4707" t="s">
        <v>7</v>
      </c>
      <c r="B4707" t="s">
        <v>552</v>
      </c>
      <c r="C4707" t="s">
        <v>33</v>
      </c>
      <c r="D4707" t="s">
        <v>3555</v>
      </c>
      <c r="E4707" cm="1">
        <f t="array" ref="E4707">_xlfn.XLOOKUP(D4707,SKU_Master!A:A,SKU_Master!B:B,"Not on master")</f>
        <v>0</v>
      </c>
      <c r="F4707" cm="1">
        <f t="array" ref="F4707">_xlfn.XLOOKUP(C4707,Account_Master!A:A,Account_Master!B:B,"Not on master")</f>
        <v>0</v>
      </c>
      <c r="G4707" cm="1">
        <f t="array" ref="G4707">_xlfn.XLOOKUP(C4707,Account_Master!A:A,Account_Master!C:C,"Not on master")</f>
        <v>0</v>
      </c>
      <c r="H4707" s="6">
        <v>0</v>
      </c>
      <c r="I4707" s="6">
        <v>2.25</v>
      </c>
      <c r="J4707" s="6">
        <f>I4707-H4707</f>
        <v>0</v>
      </c>
      <c r="K4707" s="5">
        <f>IF(H4707=0,"",J4707/H4707)</f>
        <v>0</v>
      </c>
      <c r="L4707">
        <f>IF(OR(AND(H4707=0,ABS(J4707)&gt;=0.01),AND(H4707&lt;&gt;0,ABS(K4707)&gt;VarianceThreshold)),"Review","OK")</f>
        <v>0</v>
      </c>
      <c r="M4707" t="s">
        <v>3038</v>
      </c>
    </row>
    <row r="4708" spans="1:13">
      <c r="A4708" t="s">
        <v>7</v>
      </c>
      <c r="B4708" t="s">
        <v>558</v>
      </c>
      <c r="C4708" t="s">
        <v>3440</v>
      </c>
      <c r="D4708" t="s">
        <v>756</v>
      </c>
      <c r="E4708" cm="1">
        <f t="array" ref="E4708">_xlfn.XLOOKUP(D4708,SKU_Master!A:A,SKU_Master!B:B,"Not on master")</f>
        <v>0</v>
      </c>
      <c r="F4708" cm="1">
        <f t="array" ref="F4708">_xlfn.XLOOKUP(C4708,Account_Master!A:A,Account_Master!B:B,"Not on master")</f>
        <v>0</v>
      </c>
      <c r="G4708" cm="1">
        <f t="array" ref="G4708">_xlfn.XLOOKUP(C4708,Account_Master!A:A,Account_Master!C:C,"Not on master")</f>
        <v>0</v>
      </c>
      <c r="H4708" s="6">
        <v>4.5</v>
      </c>
      <c r="I4708" s="6">
        <v>4.5</v>
      </c>
      <c r="J4708" s="6">
        <f>I4708-H4708</f>
        <v>0</v>
      </c>
      <c r="K4708" s="5">
        <f>IF(H4708=0,"",J4708/H4708)</f>
        <v>0</v>
      </c>
      <c r="L4708">
        <f>IF(OR(AND(H4708=0,ABS(J4708)&gt;=0.01),AND(H4708&lt;&gt;0,ABS(K4708)&gt;VarianceThreshold)),"Review","OK")</f>
        <v>0</v>
      </c>
      <c r="M4708" t="s">
        <v>33</v>
      </c>
    </row>
    <row r="4709" spans="1:13">
      <c r="A4709" t="s">
        <v>7</v>
      </c>
      <c r="B4709" t="s">
        <v>558</v>
      </c>
      <c r="C4709" t="s">
        <v>3358</v>
      </c>
      <c r="D4709" t="s">
        <v>3556</v>
      </c>
      <c r="E4709" cm="1">
        <f t="array" ref="E4709">_xlfn.XLOOKUP(D4709,SKU_Master!A:A,SKU_Master!B:B,"Not on master")</f>
        <v>0</v>
      </c>
      <c r="F4709" cm="1">
        <f t="array" ref="F4709">_xlfn.XLOOKUP(C4709,Account_Master!A:A,Account_Master!B:B,"Not on master")</f>
        <v>0</v>
      </c>
      <c r="G4709" cm="1">
        <f t="array" ref="G4709">_xlfn.XLOOKUP(C4709,Account_Master!A:A,Account_Master!C:C,"Not on master")</f>
        <v>0</v>
      </c>
      <c r="H4709" s="6">
        <v>7.5</v>
      </c>
      <c r="I4709" s="6">
        <v>7.5</v>
      </c>
      <c r="J4709" s="6">
        <f>I4709-H4709</f>
        <v>0</v>
      </c>
      <c r="K4709" s="5">
        <f>IF(H4709=0,"",J4709/H4709)</f>
        <v>0</v>
      </c>
      <c r="L4709">
        <f>IF(OR(AND(H4709=0,ABS(J4709)&gt;=0.01),AND(H4709&lt;&gt;0,ABS(K4709)&gt;VarianceThreshold)),"Review","OK")</f>
        <v>0</v>
      </c>
      <c r="M4709" t="s">
        <v>33</v>
      </c>
    </row>
    <row r="4710" spans="1:13">
      <c r="A4710" t="s">
        <v>7</v>
      </c>
      <c r="B4710" t="s">
        <v>558</v>
      </c>
      <c r="C4710" t="s">
        <v>3356</v>
      </c>
      <c r="D4710" t="s">
        <v>752</v>
      </c>
      <c r="E4710" cm="1">
        <f t="array" ref="E4710">_xlfn.XLOOKUP(D4710,SKU_Master!A:A,SKU_Master!B:B,"Not on master")</f>
        <v>0</v>
      </c>
      <c r="F4710" cm="1">
        <f t="array" ref="F4710">_xlfn.XLOOKUP(C4710,Account_Master!A:A,Account_Master!B:B,"Not on master")</f>
        <v>0</v>
      </c>
      <c r="G4710" cm="1">
        <f t="array" ref="G4710">_xlfn.XLOOKUP(C4710,Account_Master!A:A,Account_Master!C:C,"Not on master")</f>
        <v>0</v>
      </c>
      <c r="H4710" s="6">
        <v>26</v>
      </c>
      <c r="I4710" s="6">
        <v>14</v>
      </c>
      <c r="J4710" s="6">
        <f>I4710-H4710</f>
        <v>0</v>
      </c>
      <c r="K4710" s="5">
        <f>IF(H4710=0,"",J4710/H4710)</f>
        <v>0</v>
      </c>
      <c r="L4710">
        <f>IF(OR(AND(H4710=0,ABS(J4710)&gt;=0.01),AND(H4710&lt;&gt;0,ABS(K4710)&gt;VarianceThreshold)),"Review","OK")</f>
        <v>0</v>
      </c>
      <c r="M4710" t="s">
        <v>3038</v>
      </c>
    </row>
    <row r="4711" spans="1:13">
      <c r="A4711" t="s">
        <v>7</v>
      </c>
      <c r="B4711" t="s">
        <v>558</v>
      </c>
      <c r="C4711" t="s">
        <v>33</v>
      </c>
      <c r="D4711" t="s">
        <v>3557</v>
      </c>
      <c r="E4711" cm="1">
        <f t="array" ref="E4711">_xlfn.XLOOKUP(D4711,SKU_Master!A:A,SKU_Master!B:B,"Not on master")</f>
        <v>0</v>
      </c>
      <c r="F4711" cm="1">
        <f t="array" ref="F4711">_xlfn.XLOOKUP(C4711,Account_Master!A:A,Account_Master!B:B,"Not on master")</f>
        <v>0</v>
      </c>
      <c r="G4711" cm="1">
        <f t="array" ref="G4711">_xlfn.XLOOKUP(C4711,Account_Master!A:A,Account_Master!C:C,"Not on master")</f>
        <v>0</v>
      </c>
      <c r="H4711" s="6">
        <v>0</v>
      </c>
      <c r="I4711" s="6">
        <v>10.5</v>
      </c>
      <c r="J4711" s="6">
        <f>I4711-H4711</f>
        <v>0</v>
      </c>
      <c r="K4711" s="5">
        <f>IF(H4711=0,"",J4711/H4711)</f>
        <v>0</v>
      </c>
      <c r="L4711">
        <f>IF(OR(AND(H4711=0,ABS(J4711)&gt;=0.01),AND(H4711&lt;&gt;0,ABS(K4711)&gt;VarianceThreshold)),"Review","OK")</f>
        <v>0</v>
      </c>
      <c r="M4711" t="s">
        <v>3038</v>
      </c>
    </row>
    <row r="4712" spans="1:13">
      <c r="A4712" t="s">
        <v>7</v>
      </c>
      <c r="B4712" t="s">
        <v>563</v>
      </c>
      <c r="C4712" t="s">
        <v>3368</v>
      </c>
      <c r="D4712" t="s">
        <v>554</v>
      </c>
      <c r="E4712" cm="1">
        <f t="array" ref="E4712">_xlfn.XLOOKUP(D4712,SKU_Master!A:A,SKU_Master!B:B,"Not on master")</f>
        <v>0</v>
      </c>
      <c r="F4712" cm="1">
        <f t="array" ref="F4712">_xlfn.XLOOKUP(C4712,Account_Master!A:A,Account_Master!B:B,"Not on master")</f>
        <v>0</v>
      </c>
      <c r="G4712" cm="1">
        <f t="array" ref="G4712">_xlfn.XLOOKUP(C4712,Account_Master!A:A,Account_Master!C:C,"Not on master")</f>
        <v>0</v>
      </c>
      <c r="H4712" s="6">
        <v>9</v>
      </c>
      <c r="I4712" s="6">
        <v>9</v>
      </c>
      <c r="J4712" s="6">
        <f>I4712-H4712</f>
        <v>0</v>
      </c>
      <c r="K4712" s="5">
        <f>IF(H4712=0,"",J4712/H4712)</f>
        <v>0</v>
      </c>
      <c r="L4712">
        <f>IF(OR(AND(H4712=0,ABS(J4712)&gt;=0.01),AND(H4712&lt;&gt;0,ABS(K4712)&gt;VarianceThreshold)),"Review","OK")</f>
        <v>0</v>
      </c>
      <c r="M4712" t="s">
        <v>33</v>
      </c>
    </row>
    <row r="4713" spans="1:13">
      <c r="A4713" t="s">
        <v>7</v>
      </c>
      <c r="B4713" t="s">
        <v>563</v>
      </c>
      <c r="C4713" t="s">
        <v>3523</v>
      </c>
      <c r="D4713" t="s">
        <v>893</v>
      </c>
      <c r="E4713" cm="1">
        <f t="array" ref="E4713">_xlfn.XLOOKUP(D4713,SKU_Master!A:A,SKU_Master!B:B,"Not on master")</f>
        <v>0</v>
      </c>
      <c r="F4713" cm="1">
        <f t="array" ref="F4713">_xlfn.XLOOKUP(C4713,Account_Master!A:A,Account_Master!B:B,"Not on master")</f>
        <v>0</v>
      </c>
      <c r="G4713" cm="1">
        <f t="array" ref="G4713">_xlfn.XLOOKUP(C4713,Account_Master!A:A,Account_Master!C:C,"Not on master")</f>
        <v>0</v>
      </c>
      <c r="H4713" s="6">
        <v>1.5</v>
      </c>
      <c r="I4713" s="6">
        <v>1.5</v>
      </c>
      <c r="J4713" s="6">
        <f>I4713-H4713</f>
        <v>0</v>
      </c>
      <c r="K4713" s="5">
        <f>IF(H4713=0,"",J4713/H4713)</f>
        <v>0</v>
      </c>
      <c r="L4713">
        <f>IF(OR(AND(H4713=0,ABS(J4713)&gt;=0.01),AND(H4713&lt;&gt;0,ABS(K4713)&gt;VarianceThreshold)),"Review","OK")</f>
        <v>0</v>
      </c>
      <c r="M4713" t="s">
        <v>33</v>
      </c>
    </row>
    <row r="4714" spans="1:13">
      <c r="A4714" t="s">
        <v>7</v>
      </c>
      <c r="B4714" t="s">
        <v>563</v>
      </c>
      <c r="C4714" t="s">
        <v>3356</v>
      </c>
      <c r="D4714" t="s">
        <v>1524</v>
      </c>
      <c r="E4714" cm="1">
        <f t="array" ref="E4714">_xlfn.XLOOKUP(D4714,SKU_Master!A:A,SKU_Master!B:B,"Not on master")</f>
        <v>0</v>
      </c>
      <c r="F4714" cm="1">
        <f t="array" ref="F4714">_xlfn.XLOOKUP(C4714,Account_Master!A:A,Account_Master!B:B,"Not on master")</f>
        <v>0</v>
      </c>
      <c r="G4714" cm="1">
        <f t="array" ref="G4714">_xlfn.XLOOKUP(C4714,Account_Master!A:A,Account_Master!C:C,"Not on master")</f>
        <v>0</v>
      </c>
      <c r="H4714" s="6">
        <v>15</v>
      </c>
      <c r="I4714" s="6">
        <v>15</v>
      </c>
      <c r="J4714" s="6">
        <f>I4714-H4714</f>
        <v>0</v>
      </c>
      <c r="K4714" s="5">
        <f>IF(H4714=0,"",J4714/H4714)</f>
        <v>0</v>
      </c>
      <c r="L4714">
        <f>IF(OR(AND(H4714=0,ABS(J4714)&gt;=0.01),AND(H4714&lt;&gt;0,ABS(K4714)&gt;VarianceThreshold)),"Review","OK")</f>
        <v>0</v>
      </c>
      <c r="M4714" t="s">
        <v>33</v>
      </c>
    </row>
    <row r="4715" spans="1:13">
      <c r="A4715" t="s">
        <v>7</v>
      </c>
      <c r="B4715" t="s">
        <v>563</v>
      </c>
      <c r="C4715" t="s">
        <v>3397</v>
      </c>
      <c r="D4715" t="s">
        <v>1958</v>
      </c>
      <c r="E4715" cm="1">
        <f t="array" ref="E4715">_xlfn.XLOOKUP(D4715,SKU_Master!A:A,SKU_Master!B:B,"Not on master")</f>
        <v>0</v>
      </c>
      <c r="F4715" cm="1">
        <f t="array" ref="F4715">_xlfn.XLOOKUP(C4715,Account_Master!A:A,Account_Master!B:B,"Not on master")</f>
        <v>0</v>
      </c>
      <c r="G4715" cm="1">
        <f t="array" ref="G4715">_xlfn.XLOOKUP(C4715,Account_Master!A:A,Account_Master!C:C,"Not on master")</f>
        <v>0</v>
      </c>
      <c r="H4715" s="6">
        <v>0.1</v>
      </c>
      <c r="I4715" s="6">
        <v>0.1</v>
      </c>
      <c r="J4715" s="6">
        <f>I4715-H4715</f>
        <v>0</v>
      </c>
      <c r="K4715" s="5">
        <f>IF(H4715=0,"",J4715/H4715)</f>
        <v>0</v>
      </c>
      <c r="L4715">
        <f>IF(OR(AND(H4715=0,ABS(J4715)&gt;=0.01),AND(H4715&lt;&gt;0,ABS(K4715)&gt;VarianceThreshold)),"Review","OK")</f>
        <v>0</v>
      </c>
      <c r="M4715" t="s">
        <v>33</v>
      </c>
    </row>
    <row r="4716" spans="1:13">
      <c r="A4716" t="s">
        <v>7</v>
      </c>
      <c r="B4716" t="s">
        <v>563</v>
      </c>
      <c r="C4716" t="s">
        <v>3369</v>
      </c>
      <c r="D4716" t="s">
        <v>759</v>
      </c>
      <c r="E4716" cm="1">
        <f t="array" ref="E4716">_xlfn.XLOOKUP(D4716,SKU_Master!A:A,SKU_Master!B:B,"Not on master")</f>
        <v>0</v>
      </c>
      <c r="F4716" cm="1">
        <f t="array" ref="F4716">_xlfn.XLOOKUP(C4716,Account_Master!A:A,Account_Master!B:B,"Not on master")</f>
        <v>0</v>
      </c>
      <c r="G4716" cm="1">
        <f t="array" ref="G4716">_xlfn.XLOOKUP(C4716,Account_Master!A:A,Account_Master!C:C,"Not on master")</f>
        <v>0</v>
      </c>
      <c r="H4716" s="6">
        <v>10.5</v>
      </c>
      <c r="I4716" s="6">
        <v>10.5</v>
      </c>
      <c r="J4716" s="6">
        <f>I4716-H4716</f>
        <v>0</v>
      </c>
      <c r="K4716" s="5">
        <f>IF(H4716=0,"",J4716/H4716)</f>
        <v>0</v>
      </c>
      <c r="L4716">
        <f>IF(OR(AND(H4716=0,ABS(J4716)&gt;=0.01),AND(H4716&lt;&gt;0,ABS(K4716)&gt;VarianceThreshold)),"Review","OK")</f>
        <v>0</v>
      </c>
      <c r="M4716" t="s">
        <v>33</v>
      </c>
    </row>
    <row r="4717" spans="1:13">
      <c r="A4717" t="s">
        <v>7</v>
      </c>
      <c r="B4717" t="s">
        <v>563</v>
      </c>
      <c r="C4717" t="s">
        <v>3369</v>
      </c>
      <c r="D4717" t="s">
        <v>2407</v>
      </c>
      <c r="E4717" cm="1">
        <f t="array" ref="E4717">_xlfn.XLOOKUP(D4717,SKU_Master!A:A,SKU_Master!B:B,"Not on master")</f>
        <v>0</v>
      </c>
      <c r="F4717" cm="1">
        <f t="array" ref="F4717">_xlfn.XLOOKUP(C4717,Account_Master!A:A,Account_Master!B:B,"Not on master")</f>
        <v>0</v>
      </c>
      <c r="G4717" cm="1">
        <f t="array" ref="G4717">_xlfn.XLOOKUP(C4717,Account_Master!A:A,Account_Master!C:C,"Not on master")</f>
        <v>0</v>
      </c>
      <c r="H4717" s="6">
        <v>22.5</v>
      </c>
      <c r="I4717" s="6">
        <v>22.5</v>
      </c>
      <c r="J4717" s="6">
        <f>I4717-H4717</f>
        <v>0</v>
      </c>
      <c r="K4717" s="5">
        <f>IF(H4717=0,"",J4717/H4717)</f>
        <v>0</v>
      </c>
      <c r="L4717">
        <f>IF(OR(AND(H4717=0,ABS(J4717)&gt;=0.01),AND(H4717&lt;&gt;0,ABS(K4717)&gt;VarianceThreshold)),"Review","OK")</f>
        <v>0</v>
      </c>
      <c r="M4717" t="s">
        <v>33</v>
      </c>
    </row>
    <row r="4718" spans="1:13">
      <c r="A4718" t="s">
        <v>7</v>
      </c>
      <c r="B4718" t="s">
        <v>563</v>
      </c>
      <c r="C4718" t="s">
        <v>3414</v>
      </c>
      <c r="D4718" t="s">
        <v>957</v>
      </c>
      <c r="E4718" cm="1">
        <f t="array" ref="E4718">_xlfn.XLOOKUP(D4718,SKU_Master!A:A,SKU_Master!B:B,"Not on master")</f>
        <v>0</v>
      </c>
      <c r="F4718" cm="1">
        <f t="array" ref="F4718">_xlfn.XLOOKUP(C4718,Account_Master!A:A,Account_Master!B:B,"Not on master")</f>
        <v>0</v>
      </c>
      <c r="G4718" cm="1">
        <f t="array" ref="G4718">_xlfn.XLOOKUP(C4718,Account_Master!A:A,Account_Master!C:C,"Not on master")</f>
        <v>0</v>
      </c>
      <c r="H4718" s="6">
        <v>4.5</v>
      </c>
      <c r="I4718" s="6">
        <v>4.5</v>
      </c>
      <c r="J4718" s="6">
        <f>I4718-H4718</f>
        <v>0</v>
      </c>
      <c r="K4718" s="5">
        <f>IF(H4718=0,"",J4718/H4718)</f>
        <v>0</v>
      </c>
      <c r="L4718">
        <f>IF(OR(AND(H4718=0,ABS(J4718)&gt;=0.01),AND(H4718&lt;&gt;0,ABS(K4718)&gt;VarianceThreshold)),"Review","OK")</f>
        <v>0</v>
      </c>
      <c r="M4718" t="s">
        <v>33</v>
      </c>
    </row>
    <row r="4719" spans="1:13">
      <c r="A4719" t="s">
        <v>7</v>
      </c>
      <c r="B4719" t="s">
        <v>563</v>
      </c>
      <c r="C4719" t="s">
        <v>3400</v>
      </c>
      <c r="D4719" t="s">
        <v>1001</v>
      </c>
      <c r="E4719" cm="1">
        <f t="array" ref="E4719">_xlfn.XLOOKUP(D4719,SKU_Master!A:A,SKU_Master!B:B,"Not on master")</f>
        <v>0</v>
      </c>
      <c r="F4719" cm="1">
        <f t="array" ref="F4719">_xlfn.XLOOKUP(C4719,Account_Master!A:A,Account_Master!B:B,"Not on master")</f>
        <v>0</v>
      </c>
      <c r="G4719" cm="1">
        <f t="array" ref="G4719">_xlfn.XLOOKUP(C4719,Account_Master!A:A,Account_Master!C:C,"Not on master")</f>
        <v>0</v>
      </c>
      <c r="H4719" s="6">
        <v>4.5</v>
      </c>
      <c r="I4719" s="6">
        <v>4.5</v>
      </c>
      <c r="J4719" s="6">
        <f>I4719-H4719</f>
        <v>0</v>
      </c>
      <c r="K4719" s="5">
        <f>IF(H4719=0,"",J4719/H4719)</f>
        <v>0</v>
      </c>
      <c r="L4719">
        <f>IF(OR(AND(H4719=0,ABS(J4719)&gt;=0.01),AND(H4719&lt;&gt;0,ABS(K4719)&gt;VarianceThreshold)),"Review","OK")</f>
        <v>0</v>
      </c>
      <c r="M4719" t="s">
        <v>33</v>
      </c>
    </row>
    <row r="4720" spans="1:13">
      <c r="A4720" t="s">
        <v>7</v>
      </c>
      <c r="B4720" t="s">
        <v>571</v>
      </c>
      <c r="C4720" t="s">
        <v>3369</v>
      </c>
      <c r="D4720" t="s">
        <v>3558</v>
      </c>
      <c r="E4720" cm="1">
        <f t="array" ref="E4720">_xlfn.XLOOKUP(D4720,SKU_Master!A:A,SKU_Master!B:B,"Not on master")</f>
        <v>0</v>
      </c>
      <c r="F4720" cm="1">
        <f t="array" ref="F4720">_xlfn.XLOOKUP(C4720,Account_Master!A:A,Account_Master!B:B,"Not on master")</f>
        <v>0</v>
      </c>
      <c r="G4720" cm="1">
        <f t="array" ref="G4720">_xlfn.XLOOKUP(C4720,Account_Master!A:A,Account_Master!C:C,"Not on master")</f>
        <v>0</v>
      </c>
      <c r="H4720" s="6">
        <v>4.5</v>
      </c>
      <c r="I4720" s="6">
        <v>4.5</v>
      </c>
      <c r="J4720" s="6">
        <f>I4720-H4720</f>
        <v>0</v>
      </c>
      <c r="K4720" s="5">
        <f>IF(H4720=0,"",J4720/H4720)</f>
        <v>0</v>
      </c>
      <c r="L4720">
        <f>IF(OR(AND(H4720=0,ABS(J4720)&gt;=0.01),AND(H4720&lt;&gt;0,ABS(K4720)&gt;VarianceThreshold)),"Review","OK")</f>
        <v>0</v>
      </c>
      <c r="M4720" t="s">
        <v>33</v>
      </c>
    </row>
    <row r="4721" spans="1:13">
      <c r="A4721" t="s">
        <v>7</v>
      </c>
      <c r="B4721" t="s">
        <v>571</v>
      </c>
      <c r="C4721" t="s">
        <v>3504</v>
      </c>
      <c r="D4721" t="s">
        <v>1966</v>
      </c>
      <c r="E4721" cm="1">
        <f t="array" ref="E4721">_xlfn.XLOOKUP(D4721,SKU_Master!A:A,SKU_Master!B:B,"Not on master")</f>
        <v>0</v>
      </c>
      <c r="F4721" cm="1">
        <f t="array" ref="F4721">_xlfn.XLOOKUP(C4721,Account_Master!A:A,Account_Master!B:B,"Not on master")</f>
        <v>0</v>
      </c>
      <c r="G4721" cm="1">
        <f t="array" ref="G4721">_xlfn.XLOOKUP(C4721,Account_Master!A:A,Account_Master!C:C,"Not on master")</f>
        <v>0</v>
      </c>
      <c r="H4721" s="6">
        <v>39.6</v>
      </c>
      <c r="I4721" s="6">
        <v>39.6</v>
      </c>
      <c r="J4721" s="6">
        <f>I4721-H4721</f>
        <v>0</v>
      </c>
      <c r="K4721" s="5">
        <f>IF(H4721=0,"",J4721/H4721)</f>
        <v>0</v>
      </c>
      <c r="L4721">
        <f>IF(OR(AND(H4721=0,ABS(J4721)&gt;=0.01),AND(H4721&lt;&gt;0,ABS(K4721)&gt;VarianceThreshold)),"Review","OK")</f>
        <v>0</v>
      </c>
      <c r="M4721" t="s">
        <v>33</v>
      </c>
    </row>
    <row r="4722" spans="1:13">
      <c r="A4722" t="s">
        <v>7</v>
      </c>
      <c r="B4722" t="s">
        <v>571</v>
      </c>
      <c r="C4722" t="s">
        <v>3359</v>
      </c>
      <c r="D4722" t="s">
        <v>1118</v>
      </c>
      <c r="E4722" cm="1">
        <f t="array" ref="E4722">_xlfn.XLOOKUP(D4722,SKU_Master!A:A,SKU_Master!B:B,"Not on master")</f>
        <v>0</v>
      </c>
      <c r="F4722" cm="1">
        <f t="array" ref="F4722">_xlfn.XLOOKUP(C4722,Account_Master!A:A,Account_Master!B:B,"Not on master")</f>
        <v>0</v>
      </c>
      <c r="G4722" cm="1">
        <f t="array" ref="G4722">_xlfn.XLOOKUP(C4722,Account_Master!A:A,Account_Master!C:C,"Not on master")</f>
        <v>0</v>
      </c>
      <c r="H4722" s="6">
        <v>27</v>
      </c>
      <c r="I4722" s="6">
        <v>27</v>
      </c>
      <c r="J4722" s="6">
        <f>I4722-H4722</f>
        <v>0</v>
      </c>
      <c r="K4722" s="5">
        <f>IF(H4722=0,"",J4722/H4722)</f>
        <v>0</v>
      </c>
      <c r="L4722">
        <f>IF(OR(AND(H4722=0,ABS(J4722)&gt;=0.01),AND(H4722&lt;&gt;0,ABS(K4722)&gt;VarianceThreshold)),"Review","OK")</f>
        <v>0</v>
      </c>
      <c r="M4722" t="s">
        <v>33</v>
      </c>
    </row>
    <row r="4723" spans="1:13">
      <c r="A4723" t="s">
        <v>7</v>
      </c>
      <c r="B4723" t="s">
        <v>571</v>
      </c>
      <c r="C4723" t="s">
        <v>3355</v>
      </c>
      <c r="D4723" t="s">
        <v>3559</v>
      </c>
      <c r="E4723" cm="1">
        <f t="array" ref="E4723">_xlfn.XLOOKUP(D4723,SKU_Master!A:A,SKU_Master!B:B,"Not on master")</f>
        <v>0</v>
      </c>
      <c r="F4723" cm="1">
        <f t="array" ref="F4723">_xlfn.XLOOKUP(C4723,Account_Master!A:A,Account_Master!B:B,"Not on master")</f>
        <v>0</v>
      </c>
      <c r="G4723" cm="1">
        <f t="array" ref="G4723">_xlfn.XLOOKUP(C4723,Account_Master!A:A,Account_Master!C:C,"Not on master")</f>
        <v>0</v>
      </c>
      <c r="H4723" s="6">
        <v>18</v>
      </c>
      <c r="I4723" s="6">
        <v>18</v>
      </c>
      <c r="J4723" s="6">
        <f>I4723-H4723</f>
        <v>0</v>
      </c>
      <c r="K4723" s="5">
        <f>IF(H4723=0,"",J4723/H4723)</f>
        <v>0</v>
      </c>
      <c r="L4723">
        <f>IF(OR(AND(H4723=0,ABS(J4723)&gt;=0.01),AND(H4723&lt;&gt;0,ABS(K4723)&gt;VarianceThreshold)),"Review","OK")</f>
        <v>0</v>
      </c>
      <c r="M4723" t="s">
        <v>33</v>
      </c>
    </row>
    <row r="4724" spans="1:13">
      <c r="A4724" t="s">
        <v>7</v>
      </c>
      <c r="B4724" t="s">
        <v>571</v>
      </c>
      <c r="C4724" t="s">
        <v>3532</v>
      </c>
      <c r="D4724" t="s">
        <v>1635</v>
      </c>
      <c r="E4724" cm="1">
        <f t="array" ref="E4724">_xlfn.XLOOKUP(D4724,SKU_Master!A:A,SKU_Master!B:B,"Not on master")</f>
        <v>0</v>
      </c>
      <c r="F4724" cm="1">
        <f t="array" ref="F4724">_xlfn.XLOOKUP(C4724,Account_Master!A:A,Account_Master!B:B,"Not on master")</f>
        <v>0</v>
      </c>
      <c r="G4724" cm="1">
        <f t="array" ref="G4724">_xlfn.XLOOKUP(C4724,Account_Master!A:A,Account_Master!C:C,"Not on master")</f>
        <v>0</v>
      </c>
      <c r="H4724" s="6">
        <v>11.25</v>
      </c>
      <c r="I4724" s="6">
        <v>11.25</v>
      </c>
      <c r="J4724" s="6">
        <f>I4724-H4724</f>
        <v>0</v>
      </c>
      <c r="K4724" s="5">
        <f>IF(H4724=0,"",J4724/H4724)</f>
        <v>0</v>
      </c>
      <c r="L4724">
        <f>IF(OR(AND(H4724=0,ABS(J4724)&gt;=0.01),AND(H4724&lt;&gt;0,ABS(K4724)&gt;VarianceThreshold)),"Review","OK")</f>
        <v>0</v>
      </c>
      <c r="M4724" t="s">
        <v>33</v>
      </c>
    </row>
    <row r="4725" spans="1:13">
      <c r="A4725" t="s">
        <v>7</v>
      </c>
      <c r="B4725" t="s">
        <v>571</v>
      </c>
      <c r="C4725" t="s">
        <v>3368</v>
      </c>
      <c r="D4725" t="s">
        <v>3560</v>
      </c>
      <c r="E4725" cm="1">
        <f t="array" ref="E4725">_xlfn.XLOOKUP(D4725,SKU_Master!A:A,SKU_Master!B:B,"Not on master")</f>
        <v>0</v>
      </c>
      <c r="F4725" cm="1">
        <f t="array" ref="F4725">_xlfn.XLOOKUP(C4725,Account_Master!A:A,Account_Master!B:B,"Not on master")</f>
        <v>0</v>
      </c>
      <c r="G4725" cm="1">
        <f t="array" ref="G4725">_xlfn.XLOOKUP(C4725,Account_Master!A:A,Account_Master!C:C,"Not on master")</f>
        <v>0</v>
      </c>
      <c r="H4725" s="6">
        <v>7.5</v>
      </c>
      <c r="I4725" s="6">
        <v>7.5</v>
      </c>
      <c r="J4725" s="6">
        <f>I4725-H4725</f>
        <v>0</v>
      </c>
      <c r="K4725" s="5">
        <f>IF(H4725=0,"",J4725/H4725)</f>
        <v>0</v>
      </c>
      <c r="L4725">
        <f>IF(OR(AND(H4725=0,ABS(J4725)&gt;=0.01),AND(H4725&lt;&gt;0,ABS(K4725)&gt;VarianceThreshold)),"Review","OK")</f>
        <v>0</v>
      </c>
      <c r="M4725" t="s">
        <v>33</v>
      </c>
    </row>
    <row r="4726" spans="1:13">
      <c r="A4726" t="s">
        <v>7</v>
      </c>
      <c r="B4726" t="s">
        <v>571</v>
      </c>
      <c r="C4726" t="s">
        <v>3561</v>
      </c>
      <c r="D4726" t="s">
        <v>477</v>
      </c>
      <c r="E4726" cm="1">
        <f t="array" ref="E4726">_xlfn.XLOOKUP(D4726,SKU_Master!A:A,SKU_Master!B:B,"Not on master")</f>
        <v>0</v>
      </c>
      <c r="F4726" cm="1">
        <f t="array" ref="F4726">_xlfn.XLOOKUP(C4726,Account_Master!A:A,Account_Master!B:B,"Not on master")</f>
        <v>0</v>
      </c>
      <c r="G4726" cm="1">
        <f t="array" ref="G4726">_xlfn.XLOOKUP(C4726,Account_Master!A:A,Account_Master!C:C,"Not on master")</f>
        <v>0</v>
      </c>
      <c r="H4726" s="6">
        <v>18</v>
      </c>
      <c r="I4726" s="6">
        <v>18</v>
      </c>
      <c r="J4726" s="6">
        <f>I4726-H4726</f>
        <v>0</v>
      </c>
      <c r="K4726" s="5">
        <f>IF(H4726=0,"",J4726/H4726)</f>
        <v>0</v>
      </c>
      <c r="L4726">
        <f>IF(OR(AND(H4726=0,ABS(J4726)&gt;=0.01),AND(H4726&lt;&gt;0,ABS(K4726)&gt;VarianceThreshold)),"Review","OK")</f>
        <v>0</v>
      </c>
      <c r="M4726" t="s">
        <v>33</v>
      </c>
    </row>
    <row r="4727" spans="1:13">
      <c r="A4727" t="s">
        <v>7</v>
      </c>
      <c r="B4727" t="s">
        <v>574</v>
      </c>
      <c r="C4727" t="s">
        <v>3368</v>
      </c>
      <c r="D4727" t="s">
        <v>2595</v>
      </c>
      <c r="E4727" cm="1">
        <f t="array" ref="E4727">_xlfn.XLOOKUP(D4727,SKU_Master!A:A,SKU_Master!B:B,"Not on master")</f>
        <v>0</v>
      </c>
      <c r="F4727" cm="1">
        <f t="array" ref="F4727">_xlfn.XLOOKUP(C4727,Account_Master!A:A,Account_Master!B:B,"Not on master")</f>
        <v>0</v>
      </c>
      <c r="G4727" cm="1">
        <f t="array" ref="G4727">_xlfn.XLOOKUP(C4727,Account_Master!A:A,Account_Master!C:C,"Not on master")</f>
        <v>0</v>
      </c>
      <c r="H4727" s="6">
        <v>667.5</v>
      </c>
      <c r="I4727" s="6">
        <v>628.5</v>
      </c>
      <c r="J4727" s="6">
        <f>I4727-H4727</f>
        <v>0</v>
      </c>
      <c r="K4727" s="5">
        <f>IF(H4727=0,"",J4727/H4727)</f>
        <v>0</v>
      </c>
      <c r="L4727">
        <f>IF(OR(AND(H4727=0,ABS(J4727)&gt;=0.01),AND(H4727&lt;&gt;0,ABS(K4727)&gt;VarianceThreshold)),"Review","OK")</f>
        <v>0</v>
      </c>
      <c r="M4727" t="s">
        <v>3038</v>
      </c>
    </row>
    <row r="4728" spans="1:13">
      <c r="A4728" t="s">
        <v>7</v>
      </c>
      <c r="B4728" t="s">
        <v>574</v>
      </c>
      <c r="C4728" t="s">
        <v>3496</v>
      </c>
      <c r="D4728" t="s">
        <v>833</v>
      </c>
      <c r="E4728" cm="1">
        <f t="array" ref="E4728">_xlfn.XLOOKUP(D4728,SKU_Master!A:A,SKU_Master!B:B,"Not on master")</f>
        <v>0</v>
      </c>
      <c r="F4728" cm="1">
        <f t="array" ref="F4728">_xlfn.XLOOKUP(C4728,Account_Master!A:A,Account_Master!B:B,"Not on master")</f>
        <v>0</v>
      </c>
      <c r="G4728" cm="1">
        <f t="array" ref="G4728">_xlfn.XLOOKUP(C4728,Account_Master!A:A,Account_Master!C:C,"Not on master")</f>
        <v>0</v>
      </c>
      <c r="H4728" s="6">
        <v>18</v>
      </c>
      <c r="I4728" s="6">
        <v>18</v>
      </c>
      <c r="J4728" s="6">
        <f>I4728-H4728</f>
        <v>0</v>
      </c>
      <c r="K4728" s="5">
        <f>IF(H4728=0,"",J4728/H4728)</f>
        <v>0</v>
      </c>
      <c r="L4728">
        <f>IF(OR(AND(H4728=0,ABS(J4728)&gt;=0.01),AND(H4728&lt;&gt;0,ABS(K4728)&gt;VarianceThreshold)),"Review","OK")</f>
        <v>0</v>
      </c>
      <c r="M4728" t="s">
        <v>33</v>
      </c>
    </row>
    <row r="4729" spans="1:13">
      <c r="A4729" t="s">
        <v>7</v>
      </c>
      <c r="B4729" t="s">
        <v>574</v>
      </c>
      <c r="C4729" t="s">
        <v>3356</v>
      </c>
      <c r="D4729" t="s">
        <v>671</v>
      </c>
      <c r="E4729" cm="1">
        <f t="array" ref="E4729">_xlfn.XLOOKUP(D4729,SKU_Master!A:A,SKU_Master!B:B,"Not on master")</f>
        <v>0</v>
      </c>
      <c r="F4729" cm="1">
        <f t="array" ref="F4729">_xlfn.XLOOKUP(C4729,Account_Master!A:A,Account_Master!B:B,"Not on master")</f>
        <v>0</v>
      </c>
      <c r="G4729" cm="1">
        <f t="array" ref="G4729">_xlfn.XLOOKUP(C4729,Account_Master!A:A,Account_Master!C:C,"Not on master")</f>
        <v>0</v>
      </c>
      <c r="H4729" s="6">
        <v>36</v>
      </c>
      <c r="I4729" s="6">
        <v>36</v>
      </c>
      <c r="J4729" s="6">
        <f>I4729-H4729</f>
        <v>0</v>
      </c>
      <c r="K4729" s="5">
        <f>IF(H4729=0,"",J4729/H4729)</f>
        <v>0</v>
      </c>
      <c r="L4729">
        <f>IF(OR(AND(H4729=0,ABS(J4729)&gt;=0.01),AND(H4729&lt;&gt;0,ABS(K4729)&gt;VarianceThreshold)),"Review","OK")</f>
        <v>0</v>
      </c>
      <c r="M4729" t="s">
        <v>33</v>
      </c>
    </row>
    <row r="4730" spans="1:13">
      <c r="A4730" t="s">
        <v>7</v>
      </c>
      <c r="B4730" t="s">
        <v>574</v>
      </c>
      <c r="C4730" t="s">
        <v>33</v>
      </c>
      <c r="D4730" t="s">
        <v>3562</v>
      </c>
      <c r="E4730" cm="1">
        <f t="array" ref="E4730">_xlfn.XLOOKUP(D4730,SKU_Master!A:A,SKU_Master!B:B,"Not on master")</f>
        <v>0</v>
      </c>
      <c r="F4730" cm="1">
        <f t="array" ref="F4730">_xlfn.XLOOKUP(C4730,Account_Master!A:A,Account_Master!B:B,"Not on master")</f>
        <v>0</v>
      </c>
      <c r="G4730" cm="1">
        <f t="array" ref="G4730">_xlfn.XLOOKUP(C4730,Account_Master!A:A,Account_Master!C:C,"Not on master")</f>
        <v>0</v>
      </c>
      <c r="H4730" s="6">
        <v>0</v>
      </c>
      <c r="I4730" s="6">
        <v>3</v>
      </c>
      <c r="J4730" s="6">
        <f>I4730-H4730</f>
        <v>0</v>
      </c>
      <c r="K4730" s="5">
        <f>IF(H4730=0,"",J4730/H4730)</f>
        <v>0</v>
      </c>
      <c r="L4730">
        <f>IF(OR(AND(H4730=0,ABS(J4730)&gt;=0.01),AND(H4730&lt;&gt;0,ABS(K4730)&gt;VarianceThreshold)),"Review","OK")</f>
        <v>0</v>
      </c>
      <c r="M4730" t="s">
        <v>3038</v>
      </c>
    </row>
    <row r="4731" spans="1:13">
      <c r="A4731" t="s">
        <v>7</v>
      </c>
      <c r="B4731" t="s">
        <v>574</v>
      </c>
      <c r="C4731" t="s">
        <v>33</v>
      </c>
      <c r="D4731" t="s">
        <v>3563</v>
      </c>
      <c r="E4731" cm="1">
        <f t="array" ref="E4731">_xlfn.XLOOKUP(D4731,SKU_Master!A:A,SKU_Master!B:B,"Not on master")</f>
        <v>0</v>
      </c>
      <c r="F4731" cm="1">
        <f t="array" ref="F4731">_xlfn.XLOOKUP(C4731,Account_Master!A:A,Account_Master!B:B,"Not on master")</f>
        <v>0</v>
      </c>
      <c r="G4731" cm="1">
        <f t="array" ref="G4731">_xlfn.XLOOKUP(C4731,Account_Master!A:A,Account_Master!C:C,"Not on master")</f>
        <v>0</v>
      </c>
      <c r="H4731" s="6">
        <v>0</v>
      </c>
      <c r="I4731" s="6">
        <v>2.25</v>
      </c>
      <c r="J4731" s="6">
        <f>I4731-H4731</f>
        <v>0</v>
      </c>
      <c r="K4731" s="5">
        <f>IF(H4731=0,"",J4731/H4731)</f>
        <v>0</v>
      </c>
      <c r="L4731">
        <f>IF(OR(AND(H4731=0,ABS(J4731)&gt;=0.01),AND(H4731&lt;&gt;0,ABS(K4731)&gt;VarianceThreshold)),"Review","OK")</f>
        <v>0</v>
      </c>
      <c r="M4731" t="s">
        <v>3038</v>
      </c>
    </row>
    <row r="4732" spans="1:13">
      <c r="A4732" t="s">
        <v>7</v>
      </c>
      <c r="B4732" t="s">
        <v>585</v>
      </c>
      <c r="C4732" t="s">
        <v>3414</v>
      </c>
      <c r="D4732" t="s">
        <v>1460</v>
      </c>
      <c r="E4732" cm="1">
        <f t="array" ref="E4732">_xlfn.XLOOKUP(D4732,SKU_Master!A:A,SKU_Master!B:B,"Not on master")</f>
        <v>0</v>
      </c>
      <c r="F4732" cm="1">
        <f t="array" ref="F4732">_xlfn.XLOOKUP(C4732,Account_Master!A:A,Account_Master!B:B,"Not on master")</f>
        <v>0</v>
      </c>
      <c r="G4732" cm="1">
        <f t="array" ref="G4732">_xlfn.XLOOKUP(C4732,Account_Master!A:A,Account_Master!C:C,"Not on master")</f>
        <v>0</v>
      </c>
      <c r="H4732" s="6">
        <v>3.75</v>
      </c>
      <c r="I4732" s="6">
        <v>3.75</v>
      </c>
      <c r="J4732" s="6">
        <f>I4732-H4732</f>
        <v>0</v>
      </c>
      <c r="K4732" s="5">
        <f>IF(H4732=0,"",J4732/H4732)</f>
        <v>0</v>
      </c>
      <c r="L4732">
        <f>IF(OR(AND(H4732=0,ABS(J4732)&gt;=0.01),AND(H4732&lt;&gt;0,ABS(K4732)&gt;VarianceThreshold)),"Review","OK")</f>
        <v>0</v>
      </c>
      <c r="M4732" t="s">
        <v>33</v>
      </c>
    </row>
    <row r="4733" spans="1:13">
      <c r="A4733" t="s">
        <v>7</v>
      </c>
      <c r="B4733" t="s">
        <v>585</v>
      </c>
      <c r="C4733" t="s">
        <v>3411</v>
      </c>
      <c r="D4733" t="s">
        <v>2795</v>
      </c>
      <c r="E4733" cm="1">
        <f t="array" ref="E4733">_xlfn.XLOOKUP(D4733,SKU_Master!A:A,SKU_Master!B:B,"Not on master")</f>
        <v>0</v>
      </c>
      <c r="F4733" cm="1">
        <f t="array" ref="F4733">_xlfn.XLOOKUP(C4733,Account_Master!A:A,Account_Master!B:B,"Not on master")</f>
        <v>0</v>
      </c>
      <c r="G4733" cm="1">
        <f t="array" ref="G4733">_xlfn.XLOOKUP(C4733,Account_Master!A:A,Account_Master!C:C,"Not on master")</f>
        <v>0</v>
      </c>
      <c r="H4733" s="6">
        <v>35</v>
      </c>
      <c r="I4733" s="6">
        <v>35</v>
      </c>
      <c r="J4733" s="6">
        <f>I4733-H4733</f>
        <v>0</v>
      </c>
      <c r="K4733" s="5">
        <f>IF(H4733=0,"",J4733/H4733)</f>
        <v>0</v>
      </c>
      <c r="L4733">
        <f>IF(OR(AND(H4733=0,ABS(J4733)&gt;=0.01),AND(H4733&lt;&gt;0,ABS(K4733)&gt;VarianceThreshold)),"Review","OK")</f>
        <v>0</v>
      </c>
      <c r="M4733" t="s">
        <v>33</v>
      </c>
    </row>
    <row r="4734" spans="1:13">
      <c r="A4734" t="s">
        <v>7</v>
      </c>
      <c r="B4734" t="s">
        <v>585</v>
      </c>
      <c r="C4734" t="s">
        <v>3368</v>
      </c>
      <c r="D4734" t="s">
        <v>820</v>
      </c>
      <c r="E4734" cm="1">
        <f t="array" ref="E4734">_xlfn.XLOOKUP(D4734,SKU_Master!A:A,SKU_Master!B:B,"Not on master")</f>
        <v>0</v>
      </c>
      <c r="F4734" cm="1">
        <f t="array" ref="F4734">_xlfn.XLOOKUP(C4734,Account_Master!A:A,Account_Master!B:B,"Not on master")</f>
        <v>0</v>
      </c>
      <c r="G4734" cm="1">
        <f t="array" ref="G4734">_xlfn.XLOOKUP(C4734,Account_Master!A:A,Account_Master!C:C,"Not on master")</f>
        <v>0</v>
      </c>
      <c r="H4734" s="6">
        <v>9</v>
      </c>
      <c r="I4734" s="6">
        <v>9</v>
      </c>
      <c r="J4734" s="6">
        <f>I4734-H4734</f>
        <v>0</v>
      </c>
      <c r="K4734" s="5">
        <f>IF(H4734=0,"",J4734/H4734)</f>
        <v>0</v>
      </c>
      <c r="L4734">
        <f>IF(OR(AND(H4734=0,ABS(J4734)&gt;=0.01),AND(H4734&lt;&gt;0,ABS(K4734)&gt;VarianceThreshold)),"Review","OK")</f>
        <v>0</v>
      </c>
      <c r="M4734" t="s">
        <v>33</v>
      </c>
    </row>
    <row r="4735" spans="1:13">
      <c r="A4735" t="s">
        <v>7</v>
      </c>
      <c r="B4735" t="s">
        <v>585</v>
      </c>
      <c r="C4735" t="s">
        <v>3564</v>
      </c>
      <c r="D4735" t="s">
        <v>1785</v>
      </c>
      <c r="E4735" cm="1">
        <f t="array" ref="E4735">_xlfn.XLOOKUP(D4735,SKU_Master!A:A,SKU_Master!B:B,"Not on master")</f>
        <v>0</v>
      </c>
      <c r="F4735" cm="1">
        <f t="array" ref="F4735">_xlfn.XLOOKUP(C4735,Account_Master!A:A,Account_Master!B:B,"Not on master")</f>
        <v>0</v>
      </c>
      <c r="G4735" cm="1">
        <f t="array" ref="G4735">_xlfn.XLOOKUP(C4735,Account_Master!A:A,Account_Master!C:C,"Not on master")</f>
        <v>0</v>
      </c>
      <c r="H4735" s="6">
        <v>3.5</v>
      </c>
      <c r="I4735" s="6">
        <v>3.5</v>
      </c>
      <c r="J4735" s="6">
        <f>I4735-H4735</f>
        <v>0</v>
      </c>
      <c r="K4735" s="5">
        <f>IF(H4735=0,"",J4735/H4735)</f>
        <v>0</v>
      </c>
      <c r="L4735">
        <f>IF(OR(AND(H4735=0,ABS(J4735)&gt;=0.01),AND(H4735&lt;&gt;0,ABS(K4735)&gt;VarianceThreshold)),"Review","OK")</f>
        <v>0</v>
      </c>
      <c r="M4735" t="s">
        <v>33</v>
      </c>
    </row>
    <row r="4736" spans="1:13">
      <c r="A4736" t="s">
        <v>7</v>
      </c>
      <c r="B4736" t="s">
        <v>594</v>
      </c>
      <c r="C4736" t="s">
        <v>3358</v>
      </c>
      <c r="D4736" t="s">
        <v>3565</v>
      </c>
      <c r="E4736" cm="1">
        <f t="array" ref="E4736">_xlfn.XLOOKUP(D4736,SKU_Master!A:A,SKU_Master!B:B,"Not on master")</f>
        <v>0</v>
      </c>
      <c r="F4736" cm="1">
        <f t="array" ref="F4736">_xlfn.XLOOKUP(C4736,Account_Master!A:A,Account_Master!B:B,"Not on master")</f>
        <v>0</v>
      </c>
      <c r="G4736" cm="1">
        <f t="array" ref="G4736">_xlfn.XLOOKUP(C4736,Account_Master!A:A,Account_Master!C:C,"Not on master")</f>
        <v>0</v>
      </c>
      <c r="H4736" s="6">
        <v>10.5</v>
      </c>
      <c r="I4736" s="6">
        <v>10.5</v>
      </c>
      <c r="J4736" s="6">
        <f>I4736-H4736</f>
        <v>0</v>
      </c>
      <c r="K4736" s="5">
        <f>IF(H4736=0,"",J4736/H4736)</f>
        <v>0</v>
      </c>
      <c r="L4736">
        <f>IF(OR(AND(H4736=0,ABS(J4736)&gt;=0.01),AND(H4736&lt;&gt;0,ABS(K4736)&gt;VarianceThreshold)),"Review","OK")</f>
        <v>0</v>
      </c>
      <c r="M4736" t="s">
        <v>33</v>
      </c>
    </row>
    <row r="4737" spans="1:13">
      <c r="A4737" t="s">
        <v>7</v>
      </c>
      <c r="B4737" t="s">
        <v>594</v>
      </c>
      <c r="C4737" t="s">
        <v>3524</v>
      </c>
      <c r="D4737" t="s">
        <v>3566</v>
      </c>
      <c r="E4737" cm="1">
        <f t="array" ref="E4737">_xlfn.XLOOKUP(D4737,SKU_Master!A:A,SKU_Master!B:B,"Not on master")</f>
        <v>0</v>
      </c>
      <c r="F4737" cm="1">
        <f t="array" ref="F4737">_xlfn.XLOOKUP(C4737,Account_Master!A:A,Account_Master!B:B,"Not on master")</f>
        <v>0</v>
      </c>
      <c r="G4737" cm="1">
        <f t="array" ref="G4737">_xlfn.XLOOKUP(C4737,Account_Master!A:A,Account_Master!C:C,"Not on master")</f>
        <v>0</v>
      </c>
      <c r="H4737" s="6">
        <v>2.25</v>
      </c>
      <c r="I4737" s="6">
        <v>2.25</v>
      </c>
      <c r="J4737" s="6">
        <f>I4737-H4737</f>
        <v>0</v>
      </c>
      <c r="K4737" s="5">
        <f>IF(H4737=0,"",J4737/H4737)</f>
        <v>0</v>
      </c>
      <c r="L4737">
        <f>IF(OR(AND(H4737=0,ABS(J4737)&gt;=0.01),AND(H4737&lt;&gt;0,ABS(K4737)&gt;VarianceThreshold)),"Review","OK")</f>
        <v>0</v>
      </c>
      <c r="M4737" t="s">
        <v>33</v>
      </c>
    </row>
    <row r="4738" spans="1:13">
      <c r="A4738" t="s">
        <v>7</v>
      </c>
      <c r="B4738" t="s">
        <v>594</v>
      </c>
      <c r="C4738" t="s">
        <v>3368</v>
      </c>
      <c r="D4738" t="s">
        <v>901</v>
      </c>
      <c r="E4738" cm="1">
        <f t="array" ref="E4738">_xlfn.XLOOKUP(D4738,SKU_Master!A:A,SKU_Master!B:B,"Not on master")</f>
        <v>0</v>
      </c>
      <c r="F4738" cm="1">
        <f t="array" ref="F4738">_xlfn.XLOOKUP(C4738,Account_Master!A:A,Account_Master!B:B,"Not on master")</f>
        <v>0</v>
      </c>
      <c r="G4738" cm="1">
        <f t="array" ref="G4738">_xlfn.XLOOKUP(C4738,Account_Master!A:A,Account_Master!C:C,"Not on master")</f>
        <v>0</v>
      </c>
      <c r="H4738" s="6">
        <v>53.25</v>
      </c>
      <c r="I4738" s="6">
        <v>48.75</v>
      </c>
      <c r="J4738" s="6">
        <f>I4738-H4738</f>
        <v>0</v>
      </c>
      <c r="K4738" s="5">
        <f>IF(H4738=0,"",J4738/H4738)</f>
        <v>0</v>
      </c>
      <c r="L4738">
        <f>IF(OR(AND(H4738=0,ABS(J4738)&gt;=0.01),AND(H4738&lt;&gt;0,ABS(K4738)&gt;VarianceThreshold)),"Review","OK")</f>
        <v>0</v>
      </c>
      <c r="M4738" t="s">
        <v>3038</v>
      </c>
    </row>
    <row r="4739" spans="1:13">
      <c r="A4739" t="s">
        <v>7</v>
      </c>
      <c r="B4739" t="s">
        <v>594</v>
      </c>
      <c r="C4739" t="s">
        <v>3567</v>
      </c>
      <c r="D4739" t="s">
        <v>632</v>
      </c>
      <c r="E4739" cm="1">
        <f t="array" ref="E4739">_xlfn.XLOOKUP(D4739,SKU_Master!A:A,SKU_Master!B:B,"Not on master")</f>
        <v>0</v>
      </c>
      <c r="F4739" cm="1">
        <f t="array" ref="F4739">_xlfn.XLOOKUP(C4739,Account_Master!A:A,Account_Master!B:B,"Not on master")</f>
        <v>0</v>
      </c>
      <c r="G4739" cm="1">
        <f t="array" ref="G4739">_xlfn.XLOOKUP(C4739,Account_Master!A:A,Account_Master!C:C,"Not on master")</f>
        <v>0</v>
      </c>
      <c r="H4739" s="6">
        <v>19.2</v>
      </c>
      <c r="I4739" s="6">
        <v>9.6</v>
      </c>
      <c r="J4739" s="6">
        <f>I4739-H4739</f>
        <v>0</v>
      </c>
      <c r="K4739" s="5">
        <f>IF(H4739=0,"",J4739/H4739)</f>
        <v>0</v>
      </c>
      <c r="L4739">
        <f>IF(OR(AND(H4739=0,ABS(J4739)&gt;=0.01),AND(H4739&lt;&gt;0,ABS(K4739)&gt;VarianceThreshold)),"Review","OK")</f>
        <v>0</v>
      </c>
      <c r="M4739" t="s">
        <v>3038</v>
      </c>
    </row>
    <row r="4740" spans="1:13">
      <c r="A4740" t="s">
        <v>7</v>
      </c>
      <c r="B4740" t="s">
        <v>594</v>
      </c>
      <c r="C4740" t="s">
        <v>3568</v>
      </c>
      <c r="D4740" t="s">
        <v>2424</v>
      </c>
      <c r="E4740" cm="1">
        <f t="array" ref="E4740">_xlfn.XLOOKUP(D4740,SKU_Master!A:A,SKU_Master!B:B,"Not on master")</f>
        <v>0</v>
      </c>
      <c r="F4740" cm="1">
        <f t="array" ref="F4740">_xlfn.XLOOKUP(C4740,Account_Master!A:A,Account_Master!B:B,"Not on master")</f>
        <v>0</v>
      </c>
      <c r="G4740" cm="1">
        <f t="array" ref="G4740">_xlfn.XLOOKUP(C4740,Account_Master!A:A,Account_Master!C:C,"Not on master")</f>
        <v>0</v>
      </c>
      <c r="H4740" s="6">
        <v>1.15</v>
      </c>
      <c r="I4740" s="6">
        <v>1.15</v>
      </c>
      <c r="J4740" s="6">
        <f>I4740-H4740</f>
        <v>0</v>
      </c>
      <c r="K4740" s="5">
        <f>IF(H4740=0,"",J4740/H4740)</f>
        <v>0</v>
      </c>
      <c r="L4740">
        <f>IF(OR(AND(H4740=0,ABS(J4740)&gt;=0.01),AND(H4740&lt;&gt;0,ABS(K4740)&gt;VarianceThreshold)),"Review","OK")</f>
        <v>0</v>
      </c>
      <c r="M4740" t="s">
        <v>33</v>
      </c>
    </row>
    <row r="4741" spans="1:13">
      <c r="A4741" t="s">
        <v>7</v>
      </c>
      <c r="B4741" t="s">
        <v>607</v>
      </c>
      <c r="C4741" t="s">
        <v>3377</v>
      </c>
      <c r="D4741" t="s">
        <v>2918</v>
      </c>
      <c r="E4741" cm="1">
        <f t="array" ref="E4741">_xlfn.XLOOKUP(D4741,SKU_Master!A:A,SKU_Master!B:B,"Not on master")</f>
        <v>0</v>
      </c>
      <c r="F4741" cm="1">
        <f t="array" ref="F4741">_xlfn.XLOOKUP(C4741,Account_Master!A:A,Account_Master!B:B,"Not on master")</f>
        <v>0</v>
      </c>
      <c r="G4741" cm="1">
        <f t="array" ref="G4741">_xlfn.XLOOKUP(C4741,Account_Master!A:A,Account_Master!C:C,"Not on master")</f>
        <v>0</v>
      </c>
      <c r="H4741" s="6">
        <v>2.25</v>
      </c>
      <c r="I4741" s="6">
        <v>2.25</v>
      </c>
      <c r="J4741" s="6">
        <f>I4741-H4741</f>
        <v>0</v>
      </c>
      <c r="K4741" s="5">
        <f>IF(H4741=0,"",J4741/H4741)</f>
        <v>0</v>
      </c>
      <c r="L4741">
        <f>IF(OR(AND(H4741=0,ABS(J4741)&gt;=0.01),AND(H4741&lt;&gt;0,ABS(K4741)&gt;VarianceThreshold)),"Review","OK")</f>
        <v>0</v>
      </c>
      <c r="M4741" t="s">
        <v>33</v>
      </c>
    </row>
    <row r="4742" spans="1:13">
      <c r="A4742" t="s">
        <v>7</v>
      </c>
      <c r="B4742" t="s">
        <v>607</v>
      </c>
      <c r="C4742" t="s">
        <v>3383</v>
      </c>
      <c r="D4742" t="s">
        <v>1086</v>
      </c>
      <c r="E4742" cm="1">
        <f t="array" ref="E4742">_xlfn.XLOOKUP(D4742,SKU_Master!A:A,SKU_Master!B:B,"Not on master")</f>
        <v>0</v>
      </c>
      <c r="F4742" cm="1">
        <f t="array" ref="F4742">_xlfn.XLOOKUP(C4742,Account_Master!A:A,Account_Master!B:B,"Not on master")</f>
        <v>0</v>
      </c>
      <c r="G4742" cm="1">
        <f t="array" ref="G4742">_xlfn.XLOOKUP(C4742,Account_Master!A:A,Account_Master!C:C,"Not on master")</f>
        <v>0</v>
      </c>
      <c r="H4742" s="6">
        <v>60</v>
      </c>
      <c r="I4742" s="6">
        <v>60</v>
      </c>
      <c r="J4742" s="6">
        <f>I4742-H4742</f>
        <v>0</v>
      </c>
      <c r="K4742" s="5">
        <f>IF(H4742=0,"",J4742/H4742)</f>
        <v>0</v>
      </c>
      <c r="L4742">
        <f>IF(OR(AND(H4742=0,ABS(J4742)&gt;=0.01),AND(H4742&lt;&gt;0,ABS(K4742)&gt;VarianceThreshold)),"Review","OK")</f>
        <v>0</v>
      </c>
      <c r="M4742" t="s">
        <v>33</v>
      </c>
    </row>
    <row r="4743" spans="1:13">
      <c r="A4743" t="s">
        <v>7</v>
      </c>
      <c r="B4743" t="s">
        <v>607</v>
      </c>
      <c r="C4743" t="s">
        <v>3504</v>
      </c>
      <c r="D4743" t="s">
        <v>2469</v>
      </c>
      <c r="E4743" cm="1">
        <f t="array" ref="E4743">_xlfn.XLOOKUP(D4743,SKU_Master!A:A,SKU_Master!B:B,"Not on master")</f>
        <v>0</v>
      </c>
      <c r="F4743" cm="1">
        <f t="array" ref="F4743">_xlfn.XLOOKUP(C4743,Account_Master!A:A,Account_Master!B:B,"Not on master")</f>
        <v>0</v>
      </c>
      <c r="G4743" cm="1">
        <f t="array" ref="G4743">_xlfn.XLOOKUP(C4743,Account_Master!A:A,Account_Master!C:C,"Not on master")</f>
        <v>0</v>
      </c>
      <c r="H4743" s="6">
        <v>9</v>
      </c>
      <c r="I4743" s="6">
        <v>9</v>
      </c>
      <c r="J4743" s="6">
        <f>I4743-H4743</f>
        <v>0</v>
      </c>
      <c r="K4743" s="5">
        <f>IF(H4743=0,"",J4743/H4743)</f>
        <v>0</v>
      </c>
      <c r="L4743">
        <f>IF(OR(AND(H4743=0,ABS(J4743)&gt;=0.01),AND(H4743&lt;&gt;0,ABS(K4743)&gt;VarianceThreshold)),"Review","OK")</f>
        <v>0</v>
      </c>
      <c r="M4743" t="s">
        <v>33</v>
      </c>
    </row>
    <row r="4744" spans="1:13">
      <c r="A4744" t="s">
        <v>7</v>
      </c>
      <c r="B4744" t="s">
        <v>607</v>
      </c>
      <c r="C4744" t="s">
        <v>3356</v>
      </c>
      <c r="D4744" t="s">
        <v>2328</v>
      </c>
      <c r="E4744" cm="1">
        <f t="array" ref="E4744">_xlfn.XLOOKUP(D4744,SKU_Master!A:A,SKU_Master!B:B,"Not on master")</f>
        <v>0</v>
      </c>
      <c r="F4744" cm="1">
        <f t="array" ref="F4744">_xlfn.XLOOKUP(C4744,Account_Master!A:A,Account_Master!B:B,"Not on master")</f>
        <v>0</v>
      </c>
      <c r="G4744" cm="1">
        <f t="array" ref="G4744">_xlfn.XLOOKUP(C4744,Account_Master!A:A,Account_Master!C:C,"Not on master")</f>
        <v>0</v>
      </c>
      <c r="H4744" s="6">
        <v>96</v>
      </c>
      <c r="I4744" s="6">
        <v>96</v>
      </c>
      <c r="J4744" s="6">
        <f>I4744-H4744</f>
        <v>0</v>
      </c>
      <c r="K4744" s="5">
        <f>IF(H4744=0,"",J4744/H4744)</f>
        <v>0</v>
      </c>
      <c r="L4744">
        <f>IF(OR(AND(H4744=0,ABS(J4744)&gt;=0.01),AND(H4744&lt;&gt;0,ABS(K4744)&gt;VarianceThreshold)),"Review","OK")</f>
        <v>0</v>
      </c>
      <c r="M4744" t="s">
        <v>33</v>
      </c>
    </row>
    <row r="4745" spans="1:13">
      <c r="A4745" t="s">
        <v>7</v>
      </c>
      <c r="B4745" t="s">
        <v>607</v>
      </c>
      <c r="C4745" t="s">
        <v>3368</v>
      </c>
      <c r="D4745" t="s">
        <v>3569</v>
      </c>
      <c r="E4745" cm="1">
        <f t="array" ref="E4745">_xlfn.XLOOKUP(D4745,SKU_Master!A:A,SKU_Master!B:B,"Not on master")</f>
        <v>0</v>
      </c>
      <c r="F4745" cm="1">
        <f t="array" ref="F4745">_xlfn.XLOOKUP(C4745,Account_Master!A:A,Account_Master!B:B,"Not on master")</f>
        <v>0</v>
      </c>
      <c r="G4745" cm="1">
        <f t="array" ref="G4745">_xlfn.XLOOKUP(C4745,Account_Master!A:A,Account_Master!C:C,"Not on master")</f>
        <v>0</v>
      </c>
      <c r="H4745" s="6">
        <v>9</v>
      </c>
      <c r="I4745" s="6">
        <v>9</v>
      </c>
      <c r="J4745" s="6">
        <f>I4745-H4745</f>
        <v>0</v>
      </c>
      <c r="K4745" s="5">
        <f>IF(H4745=0,"",J4745/H4745)</f>
        <v>0</v>
      </c>
      <c r="L4745">
        <f>IF(OR(AND(H4745=0,ABS(J4745)&gt;=0.01),AND(H4745&lt;&gt;0,ABS(K4745)&gt;VarianceThreshold)),"Review","OK")</f>
        <v>0</v>
      </c>
      <c r="M4745" t="s">
        <v>33</v>
      </c>
    </row>
    <row r="4746" spans="1:13">
      <c r="A4746" t="s">
        <v>7</v>
      </c>
      <c r="B4746" t="s">
        <v>607</v>
      </c>
      <c r="C4746" t="s">
        <v>3429</v>
      </c>
      <c r="D4746" t="s">
        <v>1933</v>
      </c>
      <c r="E4746" cm="1">
        <f t="array" ref="E4746">_xlfn.XLOOKUP(D4746,SKU_Master!A:A,SKU_Master!B:B,"Not on master")</f>
        <v>0</v>
      </c>
      <c r="F4746" cm="1">
        <f t="array" ref="F4746">_xlfn.XLOOKUP(C4746,Account_Master!A:A,Account_Master!B:B,"Not on master")</f>
        <v>0</v>
      </c>
      <c r="G4746" cm="1">
        <f t="array" ref="G4746">_xlfn.XLOOKUP(C4746,Account_Master!A:A,Account_Master!C:C,"Not on master")</f>
        <v>0</v>
      </c>
      <c r="H4746" s="6">
        <v>84</v>
      </c>
      <c r="I4746" s="6">
        <v>84</v>
      </c>
      <c r="J4746" s="6">
        <f>I4746-H4746</f>
        <v>0</v>
      </c>
      <c r="K4746" s="5">
        <f>IF(H4746=0,"",J4746/H4746)</f>
        <v>0</v>
      </c>
      <c r="L4746">
        <f>IF(OR(AND(H4746=0,ABS(J4746)&gt;=0.01),AND(H4746&lt;&gt;0,ABS(K4746)&gt;VarianceThreshold)),"Review","OK")</f>
        <v>0</v>
      </c>
      <c r="M4746" t="s">
        <v>33</v>
      </c>
    </row>
    <row r="4747" spans="1:13">
      <c r="A4747" t="s">
        <v>7</v>
      </c>
      <c r="B4747" t="s">
        <v>607</v>
      </c>
      <c r="C4747" t="s">
        <v>3448</v>
      </c>
      <c r="D4747" t="s">
        <v>1825</v>
      </c>
      <c r="E4747" cm="1">
        <f t="array" ref="E4747">_xlfn.XLOOKUP(D4747,SKU_Master!A:A,SKU_Master!B:B,"Not on master")</f>
        <v>0</v>
      </c>
      <c r="F4747" cm="1">
        <f t="array" ref="F4747">_xlfn.XLOOKUP(C4747,Account_Master!A:A,Account_Master!B:B,"Not on master")</f>
        <v>0</v>
      </c>
      <c r="G4747" cm="1">
        <f t="array" ref="G4747">_xlfn.XLOOKUP(C4747,Account_Master!A:A,Account_Master!C:C,"Not on master")</f>
        <v>0</v>
      </c>
      <c r="H4747" s="6">
        <v>3.75</v>
      </c>
      <c r="I4747" s="6">
        <v>3.75</v>
      </c>
      <c r="J4747" s="6">
        <f>I4747-H4747</f>
        <v>0</v>
      </c>
      <c r="K4747" s="5">
        <f>IF(H4747=0,"",J4747/H4747)</f>
        <v>0</v>
      </c>
      <c r="L4747">
        <f>IF(OR(AND(H4747=0,ABS(J4747)&gt;=0.01),AND(H4747&lt;&gt;0,ABS(K4747)&gt;VarianceThreshold)),"Review","OK")</f>
        <v>0</v>
      </c>
      <c r="M4747" t="s">
        <v>33</v>
      </c>
    </row>
    <row r="4748" spans="1:13">
      <c r="A4748" t="s">
        <v>7</v>
      </c>
      <c r="B4748" t="s">
        <v>607</v>
      </c>
      <c r="C4748" t="s">
        <v>3456</v>
      </c>
      <c r="D4748" t="s">
        <v>1914</v>
      </c>
      <c r="E4748" cm="1">
        <f t="array" ref="E4748">_xlfn.XLOOKUP(D4748,SKU_Master!A:A,SKU_Master!B:B,"Not on master")</f>
        <v>0</v>
      </c>
      <c r="F4748" cm="1">
        <f t="array" ref="F4748">_xlfn.XLOOKUP(C4748,Account_Master!A:A,Account_Master!B:B,"Not on master")</f>
        <v>0</v>
      </c>
      <c r="G4748" cm="1">
        <f t="array" ref="G4748">_xlfn.XLOOKUP(C4748,Account_Master!A:A,Account_Master!C:C,"Not on master")</f>
        <v>0</v>
      </c>
      <c r="H4748" s="6">
        <v>15.75</v>
      </c>
      <c r="I4748" s="6">
        <v>15.75</v>
      </c>
      <c r="J4748" s="6">
        <f>I4748-H4748</f>
        <v>0</v>
      </c>
      <c r="K4748" s="5">
        <f>IF(H4748=0,"",J4748/H4748)</f>
        <v>0</v>
      </c>
      <c r="L4748">
        <f>IF(OR(AND(H4748=0,ABS(J4748)&gt;=0.01),AND(H4748&lt;&gt;0,ABS(K4748)&gt;VarianceThreshold)),"Review","OK")</f>
        <v>0</v>
      </c>
      <c r="M4748" t="s">
        <v>33</v>
      </c>
    </row>
    <row r="4749" spans="1:13">
      <c r="A4749" t="s">
        <v>7</v>
      </c>
      <c r="B4749" t="s">
        <v>607</v>
      </c>
      <c r="C4749" t="s">
        <v>3369</v>
      </c>
      <c r="D4749" t="s">
        <v>1376</v>
      </c>
      <c r="E4749" cm="1">
        <f t="array" ref="E4749">_xlfn.XLOOKUP(D4749,SKU_Master!A:A,SKU_Master!B:B,"Not on master")</f>
        <v>0</v>
      </c>
      <c r="F4749" cm="1">
        <f t="array" ref="F4749">_xlfn.XLOOKUP(C4749,Account_Master!A:A,Account_Master!B:B,"Not on master")</f>
        <v>0</v>
      </c>
      <c r="G4749" cm="1">
        <f t="array" ref="G4749">_xlfn.XLOOKUP(C4749,Account_Master!A:A,Account_Master!C:C,"Not on master")</f>
        <v>0</v>
      </c>
      <c r="H4749" s="6">
        <v>20.25</v>
      </c>
      <c r="I4749" s="6">
        <v>20.25</v>
      </c>
      <c r="J4749" s="6">
        <f>I4749-H4749</f>
        <v>0</v>
      </c>
      <c r="K4749" s="5">
        <f>IF(H4749=0,"",J4749/H4749)</f>
        <v>0</v>
      </c>
      <c r="L4749">
        <f>IF(OR(AND(H4749=0,ABS(J4749)&gt;=0.01),AND(H4749&lt;&gt;0,ABS(K4749)&gt;VarianceThreshold)),"Review","OK")</f>
        <v>0</v>
      </c>
      <c r="M4749" t="s">
        <v>33</v>
      </c>
    </row>
    <row r="4750" spans="1:13">
      <c r="A4750" t="s">
        <v>7</v>
      </c>
      <c r="B4750" t="s">
        <v>607</v>
      </c>
      <c r="C4750" t="s">
        <v>3570</v>
      </c>
      <c r="D4750" t="s">
        <v>1213</v>
      </c>
      <c r="E4750" cm="1">
        <f t="array" ref="E4750">_xlfn.XLOOKUP(D4750,SKU_Master!A:A,SKU_Master!B:B,"Not on master")</f>
        <v>0</v>
      </c>
      <c r="F4750" cm="1">
        <f t="array" ref="F4750">_xlfn.XLOOKUP(C4750,Account_Master!A:A,Account_Master!B:B,"Not on master")</f>
        <v>0</v>
      </c>
      <c r="G4750" cm="1">
        <f t="array" ref="G4750">_xlfn.XLOOKUP(C4750,Account_Master!A:A,Account_Master!C:C,"Not on master")</f>
        <v>0</v>
      </c>
      <c r="H4750" s="6">
        <v>2.25</v>
      </c>
      <c r="I4750" s="6">
        <v>2.25</v>
      </c>
      <c r="J4750" s="6">
        <f>I4750-H4750</f>
        <v>0</v>
      </c>
      <c r="K4750" s="5">
        <f>IF(H4750=0,"",J4750/H4750)</f>
        <v>0</v>
      </c>
      <c r="L4750">
        <f>IF(OR(AND(H4750=0,ABS(J4750)&gt;=0.01),AND(H4750&lt;&gt;0,ABS(K4750)&gt;VarianceThreshold)),"Review","OK")</f>
        <v>0</v>
      </c>
      <c r="M4750" t="s">
        <v>33</v>
      </c>
    </row>
    <row r="4751" spans="1:13">
      <c r="A4751" t="s">
        <v>7</v>
      </c>
      <c r="B4751" t="s">
        <v>615</v>
      </c>
      <c r="C4751" t="s">
        <v>3571</v>
      </c>
      <c r="D4751" t="s">
        <v>1285</v>
      </c>
      <c r="E4751" cm="1">
        <f t="array" ref="E4751">_xlfn.XLOOKUP(D4751,SKU_Master!A:A,SKU_Master!B:B,"Not on master")</f>
        <v>0</v>
      </c>
      <c r="F4751" cm="1">
        <f t="array" ref="F4751">_xlfn.XLOOKUP(C4751,Account_Master!A:A,Account_Master!B:B,"Not on master")</f>
        <v>0</v>
      </c>
      <c r="G4751" cm="1">
        <f t="array" ref="G4751">_xlfn.XLOOKUP(C4751,Account_Master!A:A,Account_Master!C:C,"Not on master")</f>
        <v>0</v>
      </c>
      <c r="H4751" s="6">
        <v>65.25</v>
      </c>
      <c r="I4751" s="6">
        <v>65.25</v>
      </c>
      <c r="J4751" s="6">
        <f>I4751-H4751</f>
        <v>0</v>
      </c>
      <c r="K4751" s="5">
        <f>IF(H4751=0,"",J4751/H4751)</f>
        <v>0</v>
      </c>
      <c r="L4751">
        <f>IF(OR(AND(H4751=0,ABS(J4751)&gt;=0.01),AND(H4751&lt;&gt;0,ABS(K4751)&gt;VarianceThreshold)),"Review","OK")</f>
        <v>0</v>
      </c>
      <c r="M4751" t="s">
        <v>33</v>
      </c>
    </row>
    <row r="4752" spans="1:13">
      <c r="A4752" t="s">
        <v>7</v>
      </c>
      <c r="B4752" t="s">
        <v>615</v>
      </c>
      <c r="C4752" t="s">
        <v>3410</v>
      </c>
      <c r="D4752" t="s">
        <v>1371</v>
      </c>
      <c r="E4752" cm="1">
        <f t="array" ref="E4752">_xlfn.XLOOKUP(D4752,SKU_Master!A:A,SKU_Master!B:B,"Not on master")</f>
        <v>0</v>
      </c>
      <c r="F4752" cm="1">
        <f t="array" ref="F4752">_xlfn.XLOOKUP(C4752,Account_Master!A:A,Account_Master!B:B,"Not on master")</f>
        <v>0</v>
      </c>
      <c r="G4752" cm="1">
        <f t="array" ref="G4752">_xlfn.XLOOKUP(C4752,Account_Master!A:A,Account_Master!C:C,"Not on master")</f>
        <v>0</v>
      </c>
      <c r="H4752" s="6">
        <v>4.5</v>
      </c>
      <c r="I4752" s="6">
        <v>4.5</v>
      </c>
      <c r="J4752" s="6">
        <f>I4752-H4752</f>
        <v>0</v>
      </c>
      <c r="K4752" s="5">
        <f>IF(H4752=0,"",J4752/H4752)</f>
        <v>0</v>
      </c>
      <c r="L4752">
        <f>IF(OR(AND(H4752=0,ABS(J4752)&gt;=0.01),AND(H4752&lt;&gt;0,ABS(K4752)&gt;VarianceThreshold)),"Review","OK")</f>
        <v>0</v>
      </c>
      <c r="M4752" t="s">
        <v>33</v>
      </c>
    </row>
    <row r="4753" spans="1:13">
      <c r="A4753" t="s">
        <v>7</v>
      </c>
      <c r="B4753" t="s">
        <v>615</v>
      </c>
      <c r="C4753" t="s">
        <v>3572</v>
      </c>
      <c r="D4753" t="s">
        <v>2258</v>
      </c>
      <c r="E4753" cm="1">
        <f t="array" ref="E4753">_xlfn.XLOOKUP(D4753,SKU_Master!A:A,SKU_Master!B:B,"Not on master")</f>
        <v>0</v>
      </c>
      <c r="F4753" cm="1">
        <f t="array" ref="F4753">_xlfn.XLOOKUP(C4753,Account_Master!A:A,Account_Master!B:B,"Not on master")</f>
        <v>0</v>
      </c>
      <c r="G4753" cm="1">
        <f t="array" ref="G4753">_xlfn.XLOOKUP(C4753,Account_Master!A:A,Account_Master!C:C,"Not on master")</f>
        <v>0</v>
      </c>
      <c r="H4753" s="6">
        <v>79.87</v>
      </c>
      <c r="I4753" s="6">
        <v>79.87</v>
      </c>
      <c r="J4753" s="6">
        <f>I4753-H4753</f>
        <v>0</v>
      </c>
      <c r="K4753" s="5">
        <f>IF(H4753=0,"",J4753/H4753)</f>
        <v>0</v>
      </c>
      <c r="L4753">
        <f>IF(OR(AND(H4753=0,ABS(J4753)&gt;=0.01),AND(H4753&lt;&gt;0,ABS(K4753)&gt;VarianceThreshold)),"Review","OK")</f>
        <v>0</v>
      </c>
      <c r="M4753" t="s">
        <v>33</v>
      </c>
    </row>
    <row r="4754" spans="1:13">
      <c r="A4754" t="s">
        <v>7</v>
      </c>
      <c r="B4754" t="s">
        <v>615</v>
      </c>
      <c r="C4754" t="s">
        <v>3369</v>
      </c>
      <c r="D4754" t="s">
        <v>3072</v>
      </c>
      <c r="E4754" cm="1">
        <f t="array" ref="E4754">_xlfn.XLOOKUP(D4754,SKU_Master!A:A,SKU_Master!B:B,"Not on master")</f>
        <v>0</v>
      </c>
      <c r="F4754" cm="1">
        <f t="array" ref="F4754">_xlfn.XLOOKUP(C4754,Account_Master!A:A,Account_Master!B:B,"Not on master")</f>
        <v>0</v>
      </c>
      <c r="G4754" cm="1">
        <f t="array" ref="G4754">_xlfn.XLOOKUP(C4754,Account_Master!A:A,Account_Master!C:C,"Not on master")</f>
        <v>0</v>
      </c>
      <c r="H4754" s="6">
        <v>2.25</v>
      </c>
      <c r="I4754" s="6">
        <v>2.25</v>
      </c>
      <c r="J4754" s="6">
        <f>I4754-H4754</f>
        <v>0</v>
      </c>
      <c r="K4754" s="5">
        <f>IF(H4754=0,"",J4754/H4754)</f>
        <v>0</v>
      </c>
      <c r="L4754">
        <f>IF(OR(AND(H4754=0,ABS(J4754)&gt;=0.01),AND(H4754&lt;&gt;0,ABS(K4754)&gt;VarianceThreshold)),"Review","OK")</f>
        <v>0</v>
      </c>
      <c r="M4754" t="s">
        <v>33</v>
      </c>
    </row>
    <row r="4755" spans="1:13">
      <c r="A4755" t="s">
        <v>7</v>
      </c>
      <c r="B4755" t="s">
        <v>615</v>
      </c>
      <c r="C4755" t="s">
        <v>33</v>
      </c>
      <c r="D4755" t="s">
        <v>3573</v>
      </c>
      <c r="E4755" cm="1">
        <f t="array" ref="E4755">_xlfn.XLOOKUP(D4755,SKU_Master!A:A,SKU_Master!B:B,"Not on master")</f>
        <v>0</v>
      </c>
      <c r="F4755" cm="1">
        <f t="array" ref="F4755">_xlfn.XLOOKUP(C4755,Account_Master!A:A,Account_Master!B:B,"Not on master")</f>
        <v>0</v>
      </c>
      <c r="G4755" cm="1">
        <f t="array" ref="G4755">_xlfn.XLOOKUP(C4755,Account_Master!A:A,Account_Master!C:C,"Not on master")</f>
        <v>0</v>
      </c>
      <c r="H4755" s="6">
        <v>0</v>
      </c>
      <c r="I4755" s="6">
        <v>4.5</v>
      </c>
      <c r="J4755" s="6">
        <f>I4755-H4755</f>
        <v>0</v>
      </c>
      <c r="K4755" s="5">
        <f>IF(H4755=0,"",J4755/H4755)</f>
        <v>0</v>
      </c>
      <c r="L4755">
        <f>IF(OR(AND(H4755=0,ABS(J4755)&gt;=0.01),AND(H4755&lt;&gt;0,ABS(K4755)&gt;VarianceThreshold)),"Review","OK")</f>
        <v>0</v>
      </c>
      <c r="M4755" t="s">
        <v>3038</v>
      </c>
    </row>
    <row r="4756" spans="1:13">
      <c r="A4756" t="s">
        <v>7</v>
      </c>
      <c r="B4756" t="s">
        <v>624</v>
      </c>
      <c r="C4756" t="s">
        <v>3358</v>
      </c>
      <c r="D4756" t="s">
        <v>3574</v>
      </c>
      <c r="E4756" cm="1">
        <f t="array" ref="E4756">_xlfn.XLOOKUP(D4756,SKU_Master!A:A,SKU_Master!B:B,"Not on master")</f>
        <v>0</v>
      </c>
      <c r="F4756" cm="1">
        <f t="array" ref="F4756">_xlfn.XLOOKUP(C4756,Account_Master!A:A,Account_Master!B:B,"Not on master")</f>
        <v>0</v>
      </c>
      <c r="G4756" cm="1">
        <f t="array" ref="G4756">_xlfn.XLOOKUP(C4756,Account_Master!A:A,Account_Master!C:C,"Not on master")</f>
        <v>0</v>
      </c>
      <c r="H4756" s="6">
        <v>6</v>
      </c>
      <c r="I4756" s="6">
        <v>6</v>
      </c>
      <c r="J4756" s="6">
        <f>I4756-H4756</f>
        <v>0</v>
      </c>
      <c r="K4756" s="5">
        <f>IF(H4756=0,"",J4756/H4756)</f>
        <v>0</v>
      </c>
      <c r="L4756">
        <f>IF(OR(AND(H4756=0,ABS(J4756)&gt;=0.01),AND(H4756&lt;&gt;0,ABS(K4756)&gt;VarianceThreshold)),"Review","OK")</f>
        <v>0</v>
      </c>
      <c r="M4756" t="s">
        <v>33</v>
      </c>
    </row>
    <row r="4757" spans="1:13">
      <c r="A4757" t="s">
        <v>7</v>
      </c>
      <c r="B4757" t="s">
        <v>624</v>
      </c>
      <c r="C4757" t="s">
        <v>3373</v>
      </c>
      <c r="D4757" t="s">
        <v>1465</v>
      </c>
      <c r="E4757" cm="1">
        <f t="array" ref="E4757">_xlfn.XLOOKUP(D4757,SKU_Master!A:A,SKU_Master!B:B,"Not on master")</f>
        <v>0</v>
      </c>
      <c r="F4757" cm="1">
        <f t="array" ref="F4757">_xlfn.XLOOKUP(C4757,Account_Master!A:A,Account_Master!B:B,"Not on master")</f>
        <v>0</v>
      </c>
      <c r="G4757" cm="1">
        <f t="array" ref="G4757">_xlfn.XLOOKUP(C4757,Account_Master!A:A,Account_Master!C:C,"Not on master")</f>
        <v>0</v>
      </c>
      <c r="H4757" s="6">
        <v>36.75</v>
      </c>
      <c r="I4757" s="6">
        <v>27.75</v>
      </c>
      <c r="J4757" s="6">
        <f>I4757-H4757</f>
        <v>0</v>
      </c>
      <c r="K4757" s="5">
        <f>IF(H4757=0,"",J4757/H4757)</f>
        <v>0</v>
      </c>
      <c r="L4757">
        <f>IF(OR(AND(H4757=0,ABS(J4757)&gt;=0.01),AND(H4757&lt;&gt;0,ABS(K4757)&gt;VarianceThreshold)),"Review","OK")</f>
        <v>0</v>
      </c>
      <c r="M4757" t="s">
        <v>3038</v>
      </c>
    </row>
    <row r="4758" spans="1:13">
      <c r="A4758" t="s">
        <v>7</v>
      </c>
      <c r="B4758" t="s">
        <v>624</v>
      </c>
      <c r="C4758" t="s">
        <v>3387</v>
      </c>
      <c r="D4758" t="s">
        <v>3575</v>
      </c>
      <c r="E4758" cm="1">
        <f t="array" ref="E4758">_xlfn.XLOOKUP(D4758,SKU_Master!A:A,SKU_Master!B:B,"Not on master")</f>
        <v>0</v>
      </c>
      <c r="F4758" cm="1">
        <f t="array" ref="F4758">_xlfn.XLOOKUP(C4758,Account_Master!A:A,Account_Master!B:B,"Not on master")</f>
        <v>0</v>
      </c>
      <c r="G4758" cm="1">
        <f t="array" ref="G4758">_xlfn.XLOOKUP(C4758,Account_Master!A:A,Account_Master!C:C,"Not on master")</f>
        <v>0</v>
      </c>
      <c r="H4758" s="6">
        <v>12</v>
      </c>
      <c r="I4758" s="6">
        <v>12</v>
      </c>
      <c r="J4758" s="6">
        <f>I4758-H4758</f>
        <v>0</v>
      </c>
      <c r="K4758" s="5">
        <f>IF(H4758=0,"",J4758/H4758)</f>
        <v>0</v>
      </c>
      <c r="L4758">
        <f>IF(OR(AND(H4758=0,ABS(J4758)&gt;=0.01),AND(H4758&lt;&gt;0,ABS(K4758)&gt;VarianceThreshold)),"Review","OK")</f>
        <v>0</v>
      </c>
      <c r="M4758" t="s">
        <v>33</v>
      </c>
    </row>
    <row r="4759" spans="1:13">
      <c r="A4759" t="s">
        <v>7</v>
      </c>
      <c r="B4759" t="s">
        <v>624</v>
      </c>
      <c r="C4759" t="s">
        <v>33</v>
      </c>
      <c r="D4759" t="s">
        <v>3576</v>
      </c>
      <c r="E4759" cm="1">
        <f t="array" ref="E4759">_xlfn.XLOOKUP(D4759,SKU_Master!A:A,SKU_Master!B:B,"Not on master")</f>
        <v>0</v>
      </c>
      <c r="F4759" cm="1">
        <f t="array" ref="F4759">_xlfn.XLOOKUP(C4759,Account_Master!A:A,Account_Master!B:B,"Not on master")</f>
        <v>0</v>
      </c>
      <c r="G4759" cm="1">
        <f t="array" ref="G4759">_xlfn.XLOOKUP(C4759,Account_Master!A:A,Account_Master!C:C,"Not on master")</f>
        <v>0</v>
      </c>
      <c r="H4759" s="6">
        <v>0</v>
      </c>
      <c r="I4759" s="6">
        <v>0.2</v>
      </c>
      <c r="J4759" s="6">
        <f>I4759-H4759</f>
        <v>0</v>
      </c>
      <c r="K4759" s="5">
        <f>IF(H4759=0,"",J4759/H4759)</f>
        <v>0</v>
      </c>
      <c r="L4759">
        <f>IF(OR(AND(H4759=0,ABS(J4759)&gt;=0.01),AND(H4759&lt;&gt;0,ABS(K4759)&gt;VarianceThreshold)),"Review","OK")</f>
        <v>0</v>
      </c>
      <c r="M4759" t="s">
        <v>3038</v>
      </c>
    </row>
    <row r="4760" spans="1:13">
      <c r="A4760" t="s">
        <v>7</v>
      </c>
      <c r="B4760" t="s">
        <v>635</v>
      </c>
      <c r="C4760" t="s">
        <v>3368</v>
      </c>
      <c r="D4760" t="s">
        <v>1684</v>
      </c>
      <c r="E4760" cm="1">
        <f t="array" ref="E4760">_xlfn.XLOOKUP(D4760,SKU_Master!A:A,SKU_Master!B:B,"Not on master")</f>
        <v>0</v>
      </c>
      <c r="F4760" cm="1">
        <f t="array" ref="F4760">_xlfn.XLOOKUP(C4760,Account_Master!A:A,Account_Master!B:B,"Not on master")</f>
        <v>0</v>
      </c>
      <c r="G4760" cm="1">
        <f t="array" ref="G4760">_xlfn.XLOOKUP(C4760,Account_Master!A:A,Account_Master!C:C,"Not on master")</f>
        <v>0</v>
      </c>
      <c r="H4760" s="6">
        <v>9</v>
      </c>
      <c r="I4760" s="6">
        <v>9</v>
      </c>
      <c r="J4760" s="6">
        <f>I4760-H4760</f>
        <v>0</v>
      </c>
      <c r="K4760" s="5">
        <f>IF(H4760=0,"",J4760/H4760)</f>
        <v>0</v>
      </c>
      <c r="L4760">
        <f>IF(OR(AND(H4760=0,ABS(J4760)&gt;=0.01),AND(H4760&lt;&gt;0,ABS(K4760)&gt;VarianceThreshold)),"Review","OK")</f>
        <v>0</v>
      </c>
      <c r="M4760" t="s">
        <v>33</v>
      </c>
    </row>
    <row r="4761" spans="1:13">
      <c r="A4761" t="s">
        <v>7</v>
      </c>
      <c r="B4761" t="s">
        <v>635</v>
      </c>
      <c r="C4761" t="s">
        <v>3477</v>
      </c>
      <c r="D4761" t="s">
        <v>577</v>
      </c>
      <c r="E4761" cm="1">
        <f t="array" ref="E4761">_xlfn.XLOOKUP(D4761,SKU_Master!A:A,SKU_Master!B:B,"Not on master")</f>
        <v>0</v>
      </c>
      <c r="F4761" cm="1">
        <f t="array" ref="F4761">_xlfn.XLOOKUP(C4761,Account_Master!A:A,Account_Master!B:B,"Not on master")</f>
        <v>0</v>
      </c>
      <c r="G4761" cm="1">
        <f t="array" ref="G4761">_xlfn.XLOOKUP(C4761,Account_Master!A:A,Account_Master!C:C,"Not on master")</f>
        <v>0</v>
      </c>
      <c r="H4761" s="6">
        <v>22.5</v>
      </c>
      <c r="I4761" s="6">
        <v>22.5</v>
      </c>
      <c r="J4761" s="6">
        <f>I4761-H4761</f>
        <v>0</v>
      </c>
      <c r="K4761" s="5">
        <f>IF(H4761=0,"",J4761/H4761)</f>
        <v>0</v>
      </c>
      <c r="L4761">
        <f>IF(OR(AND(H4761=0,ABS(J4761)&gt;=0.01),AND(H4761&lt;&gt;0,ABS(K4761)&gt;VarianceThreshold)),"Review","OK")</f>
        <v>0</v>
      </c>
      <c r="M4761" t="s">
        <v>33</v>
      </c>
    </row>
    <row r="4762" spans="1:13">
      <c r="A4762" t="s">
        <v>7</v>
      </c>
      <c r="B4762" t="s">
        <v>635</v>
      </c>
      <c r="C4762" t="s">
        <v>3461</v>
      </c>
      <c r="D4762" t="s">
        <v>741</v>
      </c>
      <c r="E4762" cm="1">
        <f t="array" ref="E4762">_xlfn.XLOOKUP(D4762,SKU_Master!A:A,SKU_Master!B:B,"Not on master")</f>
        <v>0</v>
      </c>
      <c r="F4762" cm="1">
        <f t="array" ref="F4762">_xlfn.XLOOKUP(C4762,Account_Master!A:A,Account_Master!B:B,"Not on master")</f>
        <v>0</v>
      </c>
      <c r="G4762" cm="1">
        <f t="array" ref="G4762">_xlfn.XLOOKUP(C4762,Account_Master!A:A,Account_Master!C:C,"Not on master")</f>
        <v>0</v>
      </c>
      <c r="H4762" s="6">
        <v>4.5</v>
      </c>
      <c r="I4762" s="6">
        <v>4.5</v>
      </c>
      <c r="J4762" s="6">
        <f>I4762-H4762</f>
        <v>0</v>
      </c>
      <c r="K4762" s="5">
        <f>IF(H4762=0,"",J4762/H4762)</f>
        <v>0</v>
      </c>
      <c r="L4762">
        <f>IF(OR(AND(H4762=0,ABS(J4762)&gt;=0.01),AND(H4762&lt;&gt;0,ABS(K4762)&gt;VarianceThreshold)),"Review","OK")</f>
        <v>0</v>
      </c>
      <c r="M4762" t="s">
        <v>33</v>
      </c>
    </row>
    <row r="4763" spans="1:13">
      <c r="A4763" t="s">
        <v>7</v>
      </c>
      <c r="B4763" t="s">
        <v>635</v>
      </c>
      <c r="C4763" t="s">
        <v>3577</v>
      </c>
      <c r="D4763" t="s">
        <v>1548</v>
      </c>
      <c r="E4763" cm="1">
        <f t="array" ref="E4763">_xlfn.XLOOKUP(D4763,SKU_Master!A:A,SKU_Master!B:B,"Not on master")</f>
        <v>0</v>
      </c>
      <c r="F4763" cm="1">
        <f t="array" ref="F4763">_xlfn.XLOOKUP(C4763,Account_Master!A:A,Account_Master!B:B,"Not on master")</f>
        <v>0</v>
      </c>
      <c r="G4763" cm="1">
        <f t="array" ref="G4763">_xlfn.XLOOKUP(C4763,Account_Master!A:A,Account_Master!C:C,"Not on master")</f>
        <v>0</v>
      </c>
      <c r="H4763" s="6">
        <v>18</v>
      </c>
      <c r="I4763" s="6">
        <v>18</v>
      </c>
      <c r="J4763" s="6">
        <f>I4763-H4763</f>
        <v>0</v>
      </c>
      <c r="K4763" s="5">
        <f>IF(H4763=0,"",J4763/H4763)</f>
        <v>0</v>
      </c>
      <c r="L4763">
        <f>IF(OR(AND(H4763=0,ABS(J4763)&gt;=0.01),AND(H4763&lt;&gt;0,ABS(K4763)&gt;VarianceThreshold)),"Review","OK")</f>
        <v>0</v>
      </c>
      <c r="M4763" t="s">
        <v>33</v>
      </c>
    </row>
    <row r="4764" spans="1:13">
      <c r="A4764" t="s">
        <v>7</v>
      </c>
      <c r="B4764" t="s">
        <v>635</v>
      </c>
      <c r="C4764" t="s">
        <v>3578</v>
      </c>
      <c r="D4764" t="s">
        <v>1212</v>
      </c>
      <c r="E4764" cm="1">
        <f t="array" ref="E4764">_xlfn.XLOOKUP(D4764,SKU_Master!A:A,SKU_Master!B:B,"Not on master")</f>
        <v>0</v>
      </c>
      <c r="F4764" cm="1">
        <f t="array" ref="F4764">_xlfn.XLOOKUP(C4764,Account_Master!A:A,Account_Master!B:B,"Not on master")</f>
        <v>0</v>
      </c>
      <c r="G4764" cm="1">
        <f t="array" ref="G4764">_xlfn.XLOOKUP(C4764,Account_Master!A:A,Account_Master!C:C,"Not on master")</f>
        <v>0</v>
      </c>
      <c r="H4764" s="6">
        <v>3</v>
      </c>
      <c r="I4764" s="6">
        <v>3</v>
      </c>
      <c r="J4764" s="6">
        <f>I4764-H4764</f>
        <v>0</v>
      </c>
      <c r="K4764" s="5">
        <f>IF(H4764=0,"",J4764/H4764)</f>
        <v>0</v>
      </c>
      <c r="L4764">
        <f>IF(OR(AND(H4764=0,ABS(J4764)&gt;=0.01),AND(H4764&lt;&gt;0,ABS(K4764)&gt;VarianceThreshold)),"Review","OK")</f>
        <v>0</v>
      </c>
      <c r="M4764" t="s">
        <v>33</v>
      </c>
    </row>
    <row r="4765" spans="1:13">
      <c r="A4765" t="s">
        <v>7</v>
      </c>
      <c r="B4765" t="s">
        <v>635</v>
      </c>
      <c r="C4765" t="s">
        <v>3424</v>
      </c>
      <c r="D4765" t="s">
        <v>874</v>
      </c>
      <c r="E4765" cm="1">
        <f t="array" ref="E4765">_xlfn.XLOOKUP(D4765,SKU_Master!A:A,SKU_Master!B:B,"Not on master")</f>
        <v>0</v>
      </c>
      <c r="F4765" cm="1">
        <f t="array" ref="F4765">_xlfn.XLOOKUP(C4765,Account_Master!A:A,Account_Master!B:B,"Not on master")</f>
        <v>0</v>
      </c>
      <c r="G4765" cm="1">
        <f t="array" ref="G4765">_xlfn.XLOOKUP(C4765,Account_Master!A:A,Account_Master!C:C,"Not on master")</f>
        <v>0</v>
      </c>
      <c r="H4765" s="6">
        <v>19.5</v>
      </c>
      <c r="I4765" s="6">
        <v>15</v>
      </c>
      <c r="J4765" s="6">
        <f>I4765-H4765</f>
        <v>0</v>
      </c>
      <c r="K4765" s="5">
        <f>IF(H4765=0,"",J4765/H4765)</f>
        <v>0</v>
      </c>
      <c r="L4765">
        <f>IF(OR(AND(H4765=0,ABS(J4765)&gt;=0.01),AND(H4765&lt;&gt;0,ABS(K4765)&gt;VarianceThreshold)),"Review","OK")</f>
        <v>0</v>
      </c>
      <c r="M4765" t="s">
        <v>3038</v>
      </c>
    </row>
    <row r="4766" spans="1:13">
      <c r="A4766" t="s">
        <v>7</v>
      </c>
      <c r="B4766" t="s">
        <v>635</v>
      </c>
      <c r="C4766" t="s">
        <v>3356</v>
      </c>
      <c r="D4766" t="s">
        <v>2950</v>
      </c>
      <c r="E4766" cm="1">
        <f t="array" ref="E4766">_xlfn.XLOOKUP(D4766,SKU_Master!A:A,SKU_Master!B:B,"Not on master")</f>
        <v>0</v>
      </c>
      <c r="F4766" cm="1">
        <f t="array" ref="F4766">_xlfn.XLOOKUP(C4766,Account_Master!A:A,Account_Master!B:B,"Not on master")</f>
        <v>0</v>
      </c>
      <c r="G4766" cm="1">
        <f t="array" ref="G4766">_xlfn.XLOOKUP(C4766,Account_Master!A:A,Account_Master!C:C,"Not on master")</f>
        <v>0</v>
      </c>
      <c r="H4766" s="6">
        <v>10.5</v>
      </c>
      <c r="I4766" s="6">
        <v>10.5</v>
      </c>
      <c r="J4766" s="6">
        <f>I4766-H4766</f>
        <v>0</v>
      </c>
      <c r="K4766" s="5">
        <f>IF(H4766=0,"",J4766/H4766)</f>
        <v>0</v>
      </c>
      <c r="L4766">
        <f>IF(OR(AND(H4766=0,ABS(J4766)&gt;=0.01),AND(H4766&lt;&gt;0,ABS(K4766)&gt;VarianceThreshold)),"Review","OK")</f>
        <v>0</v>
      </c>
      <c r="M4766" t="s">
        <v>33</v>
      </c>
    </row>
    <row r="4767" spans="1:13">
      <c r="A4767" t="s">
        <v>7</v>
      </c>
      <c r="B4767" t="s">
        <v>645</v>
      </c>
      <c r="C4767" t="s">
        <v>3545</v>
      </c>
      <c r="D4767" t="s">
        <v>747</v>
      </c>
      <c r="E4767" cm="1">
        <f t="array" ref="E4767">_xlfn.XLOOKUP(D4767,SKU_Master!A:A,SKU_Master!B:B,"Not on master")</f>
        <v>0</v>
      </c>
      <c r="F4767" cm="1">
        <f t="array" ref="F4767">_xlfn.XLOOKUP(C4767,Account_Master!A:A,Account_Master!B:B,"Not on master")</f>
        <v>0</v>
      </c>
      <c r="G4767" cm="1">
        <f t="array" ref="G4767">_xlfn.XLOOKUP(C4767,Account_Master!A:A,Account_Master!C:C,"Not on master")</f>
        <v>0</v>
      </c>
      <c r="H4767" s="6">
        <v>10.5</v>
      </c>
      <c r="I4767" s="6">
        <v>10.5</v>
      </c>
      <c r="J4767" s="6">
        <f>I4767-H4767</f>
        <v>0</v>
      </c>
      <c r="K4767" s="5">
        <f>IF(H4767=0,"",J4767/H4767)</f>
        <v>0</v>
      </c>
      <c r="L4767">
        <f>IF(OR(AND(H4767=0,ABS(J4767)&gt;=0.01),AND(H4767&lt;&gt;0,ABS(K4767)&gt;VarianceThreshold)),"Review","OK")</f>
        <v>0</v>
      </c>
      <c r="M4767" t="s">
        <v>33</v>
      </c>
    </row>
    <row r="4768" spans="1:13">
      <c r="A4768" t="s">
        <v>7</v>
      </c>
      <c r="B4768" t="s">
        <v>645</v>
      </c>
      <c r="C4768" t="s">
        <v>3579</v>
      </c>
      <c r="D4768" t="s">
        <v>2599</v>
      </c>
      <c r="E4768" cm="1">
        <f t="array" ref="E4768">_xlfn.XLOOKUP(D4768,SKU_Master!A:A,SKU_Master!B:B,"Not on master")</f>
        <v>0</v>
      </c>
      <c r="F4768" cm="1">
        <f t="array" ref="F4768">_xlfn.XLOOKUP(C4768,Account_Master!A:A,Account_Master!B:B,"Not on master")</f>
        <v>0</v>
      </c>
      <c r="G4768" cm="1">
        <f t="array" ref="G4768">_xlfn.XLOOKUP(C4768,Account_Master!A:A,Account_Master!C:C,"Not on master")</f>
        <v>0</v>
      </c>
      <c r="H4768" s="6">
        <v>11.25</v>
      </c>
      <c r="I4768" s="6">
        <v>11.25</v>
      </c>
      <c r="J4768" s="6">
        <f>I4768-H4768</f>
        <v>0</v>
      </c>
      <c r="K4768" s="5">
        <f>IF(H4768=0,"",J4768/H4768)</f>
        <v>0</v>
      </c>
      <c r="L4768">
        <f>IF(OR(AND(H4768=0,ABS(J4768)&gt;=0.01),AND(H4768&lt;&gt;0,ABS(K4768)&gt;VarianceThreshold)),"Review","OK")</f>
        <v>0</v>
      </c>
      <c r="M4768" t="s">
        <v>33</v>
      </c>
    </row>
    <row r="4769" spans="1:13">
      <c r="A4769" t="s">
        <v>7</v>
      </c>
      <c r="B4769" t="s">
        <v>645</v>
      </c>
      <c r="C4769" t="s">
        <v>3393</v>
      </c>
      <c r="D4769" t="s">
        <v>3580</v>
      </c>
      <c r="E4769" cm="1">
        <f t="array" ref="E4769">_xlfn.XLOOKUP(D4769,SKU_Master!A:A,SKU_Master!B:B,"Not on master")</f>
        <v>0</v>
      </c>
      <c r="F4769" cm="1">
        <f t="array" ref="F4769">_xlfn.XLOOKUP(C4769,Account_Master!A:A,Account_Master!B:B,"Not on master")</f>
        <v>0</v>
      </c>
      <c r="G4769" cm="1">
        <f t="array" ref="G4769">_xlfn.XLOOKUP(C4769,Account_Master!A:A,Account_Master!C:C,"Not on master")</f>
        <v>0</v>
      </c>
      <c r="H4769" s="6">
        <v>7.87</v>
      </c>
      <c r="I4769" s="6">
        <v>7.87</v>
      </c>
      <c r="J4769" s="6">
        <f>I4769-H4769</f>
        <v>0</v>
      </c>
      <c r="K4769" s="5">
        <f>IF(H4769=0,"",J4769/H4769)</f>
        <v>0</v>
      </c>
      <c r="L4769">
        <f>IF(OR(AND(H4769=0,ABS(J4769)&gt;=0.01),AND(H4769&lt;&gt;0,ABS(K4769)&gt;VarianceThreshold)),"Review","OK")</f>
        <v>0</v>
      </c>
      <c r="M4769" t="s">
        <v>33</v>
      </c>
    </row>
    <row r="4770" spans="1:13">
      <c r="A4770" t="s">
        <v>7</v>
      </c>
      <c r="B4770" t="s">
        <v>645</v>
      </c>
      <c r="C4770" t="s">
        <v>3400</v>
      </c>
      <c r="D4770" t="s">
        <v>1218</v>
      </c>
      <c r="E4770" cm="1">
        <f t="array" ref="E4770">_xlfn.XLOOKUP(D4770,SKU_Master!A:A,SKU_Master!B:B,"Not on master")</f>
        <v>0</v>
      </c>
      <c r="F4770" cm="1">
        <f t="array" ref="F4770">_xlfn.XLOOKUP(C4770,Account_Master!A:A,Account_Master!B:B,"Not on master")</f>
        <v>0</v>
      </c>
      <c r="G4770" cm="1">
        <f t="array" ref="G4770">_xlfn.XLOOKUP(C4770,Account_Master!A:A,Account_Master!C:C,"Not on master")</f>
        <v>0</v>
      </c>
      <c r="H4770" s="6">
        <v>3.5</v>
      </c>
      <c r="I4770" s="6">
        <v>3.5</v>
      </c>
      <c r="J4770" s="6">
        <f>I4770-H4770</f>
        <v>0</v>
      </c>
      <c r="K4770" s="5">
        <f>IF(H4770=0,"",J4770/H4770)</f>
        <v>0</v>
      </c>
      <c r="L4770">
        <f>IF(OR(AND(H4770=0,ABS(J4770)&gt;=0.01),AND(H4770&lt;&gt;0,ABS(K4770)&gt;VarianceThreshold)),"Review","OK")</f>
        <v>0</v>
      </c>
      <c r="M4770" t="s">
        <v>33</v>
      </c>
    </row>
    <row r="4771" spans="1:13">
      <c r="A4771" t="s">
        <v>7</v>
      </c>
      <c r="B4771" t="s">
        <v>645</v>
      </c>
      <c r="C4771" t="s">
        <v>3448</v>
      </c>
      <c r="D4771" t="s">
        <v>2957</v>
      </c>
      <c r="E4771" cm="1">
        <f t="array" ref="E4771">_xlfn.XLOOKUP(D4771,SKU_Master!A:A,SKU_Master!B:B,"Not on master")</f>
        <v>0</v>
      </c>
      <c r="F4771" cm="1">
        <f t="array" ref="F4771">_xlfn.XLOOKUP(C4771,Account_Master!A:A,Account_Master!B:B,"Not on master")</f>
        <v>0</v>
      </c>
      <c r="G4771" cm="1">
        <f t="array" ref="G4771">_xlfn.XLOOKUP(C4771,Account_Master!A:A,Account_Master!C:C,"Not on master")</f>
        <v>0</v>
      </c>
      <c r="H4771" s="6">
        <v>6</v>
      </c>
      <c r="I4771" s="6">
        <v>6</v>
      </c>
      <c r="J4771" s="6">
        <f>I4771-H4771</f>
        <v>0</v>
      </c>
      <c r="K4771" s="5">
        <f>IF(H4771=0,"",J4771/H4771)</f>
        <v>0</v>
      </c>
      <c r="L4771">
        <f>IF(OR(AND(H4771=0,ABS(J4771)&gt;=0.01),AND(H4771&lt;&gt;0,ABS(K4771)&gt;VarianceThreshold)),"Review","OK")</f>
        <v>0</v>
      </c>
      <c r="M4771" t="s">
        <v>33</v>
      </c>
    </row>
    <row r="4772" spans="1:13">
      <c r="A4772" t="s">
        <v>7</v>
      </c>
      <c r="B4772" t="s">
        <v>645</v>
      </c>
      <c r="C4772" t="s">
        <v>3414</v>
      </c>
      <c r="D4772" t="s">
        <v>605</v>
      </c>
      <c r="E4772" cm="1">
        <f t="array" ref="E4772">_xlfn.XLOOKUP(D4772,SKU_Master!A:A,SKU_Master!B:B,"Not on master")</f>
        <v>0</v>
      </c>
      <c r="F4772" cm="1">
        <f t="array" ref="F4772">_xlfn.XLOOKUP(C4772,Account_Master!A:A,Account_Master!B:B,"Not on master")</f>
        <v>0</v>
      </c>
      <c r="G4772" cm="1">
        <f t="array" ref="G4772">_xlfn.XLOOKUP(C4772,Account_Master!A:A,Account_Master!C:C,"Not on master")</f>
        <v>0</v>
      </c>
      <c r="H4772" s="6">
        <v>0.2</v>
      </c>
      <c r="I4772" s="6">
        <v>0.2</v>
      </c>
      <c r="J4772" s="6">
        <f>I4772-H4772</f>
        <v>0</v>
      </c>
      <c r="K4772" s="5">
        <f>IF(H4772=0,"",J4772/H4772)</f>
        <v>0</v>
      </c>
      <c r="L4772">
        <f>IF(OR(AND(H4772=0,ABS(J4772)&gt;=0.01),AND(H4772&lt;&gt;0,ABS(K4772)&gt;VarianceThreshold)),"Review","OK")</f>
        <v>0</v>
      </c>
      <c r="M4772" t="s">
        <v>33</v>
      </c>
    </row>
    <row r="4773" spans="1:13">
      <c r="A4773" t="s">
        <v>7</v>
      </c>
      <c r="B4773" t="s">
        <v>645</v>
      </c>
      <c r="C4773" t="s">
        <v>3359</v>
      </c>
      <c r="D4773" t="s">
        <v>3581</v>
      </c>
      <c r="E4773" cm="1">
        <f t="array" ref="E4773">_xlfn.XLOOKUP(D4773,SKU_Master!A:A,SKU_Master!B:B,"Not on master")</f>
        <v>0</v>
      </c>
      <c r="F4773" cm="1">
        <f t="array" ref="F4773">_xlfn.XLOOKUP(C4773,Account_Master!A:A,Account_Master!B:B,"Not on master")</f>
        <v>0</v>
      </c>
      <c r="G4773" cm="1">
        <f t="array" ref="G4773">_xlfn.XLOOKUP(C4773,Account_Master!A:A,Account_Master!C:C,"Not on master")</f>
        <v>0</v>
      </c>
      <c r="H4773" s="6">
        <v>10.5</v>
      </c>
      <c r="I4773" s="6">
        <v>10.5</v>
      </c>
      <c r="J4773" s="6">
        <f>I4773-H4773</f>
        <v>0</v>
      </c>
      <c r="K4773" s="5">
        <f>IF(H4773=0,"",J4773/H4773)</f>
        <v>0</v>
      </c>
      <c r="L4773">
        <f>IF(OR(AND(H4773=0,ABS(J4773)&gt;=0.01),AND(H4773&lt;&gt;0,ABS(K4773)&gt;VarianceThreshold)),"Review","OK")</f>
        <v>0</v>
      </c>
      <c r="M4773" t="s">
        <v>33</v>
      </c>
    </row>
    <row r="4774" spans="1:13">
      <c r="A4774" t="s">
        <v>7</v>
      </c>
      <c r="B4774" t="s">
        <v>645</v>
      </c>
      <c r="C4774" t="s">
        <v>3465</v>
      </c>
      <c r="D4774" t="s">
        <v>3582</v>
      </c>
      <c r="E4774" cm="1">
        <f t="array" ref="E4774">_xlfn.XLOOKUP(D4774,SKU_Master!A:A,SKU_Master!B:B,"Not on master")</f>
        <v>0</v>
      </c>
      <c r="F4774" cm="1">
        <f t="array" ref="F4774">_xlfn.XLOOKUP(C4774,Account_Master!A:A,Account_Master!B:B,"Not on master")</f>
        <v>0</v>
      </c>
      <c r="G4774" cm="1">
        <f t="array" ref="G4774">_xlfn.XLOOKUP(C4774,Account_Master!A:A,Account_Master!C:C,"Not on master")</f>
        <v>0</v>
      </c>
      <c r="H4774" s="6">
        <v>0.05</v>
      </c>
      <c r="I4774" s="6">
        <v>0.05</v>
      </c>
      <c r="J4774" s="6">
        <f>I4774-H4774</f>
        <v>0</v>
      </c>
      <c r="K4774" s="5">
        <f>IF(H4774=0,"",J4774/H4774)</f>
        <v>0</v>
      </c>
      <c r="L4774">
        <f>IF(OR(AND(H4774=0,ABS(J4774)&gt;=0.01),AND(H4774&lt;&gt;0,ABS(K4774)&gt;VarianceThreshold)),"Review","OK")</f>
        <v>0</v>
      </c>
      <c r="M4774" t="s">
        <v>33</v>
      </c>
    </row>
    <row r="4775" spans="1:13">
      <c r="A4775" t="s">
        <v>7</v>
      </c>
      <c r="B4775" t="s">
        <v>650</v>
      </c>
      <c r="C4775" t="s">
        <v>3358</v>
      </c>
      <c r="D4775" t="s">
        <v>1189</v>
      </c>
      <c r="E4775" cm="1">
        <f t="array" ref="E4775">_xlfn.XLOOKUP(D4775,SKU_Master!A:A,SKU_Master!B:B,"Not on master")</f>
        <v>0</v>
      </c>
      <c r="F4775" cm="1">
        <f t="array" ref="F4775">_xlfn.XLOOKUP(C4775,Account_Master!A:A,Account_Master!B:B,"Not on master")</f>
        <v>0</v>
      </c>
      <c r="G4775" cm="1">
        <f t="array" ref="G4775">_xlfn.XLOOKUP(C4775,Account_Master!A:A,Account_Master!C:C,"Not on master")</f>
        <v>0</v>
      </c>
      <c r="H4775" s="6">
        <v>57.75</v>
      </c>
      <c r="I4775" s="6">
        <v>57.75</v>
      </c>
      <c r="J4775" s="6">
        <f>I4775-H4775</f>
        <v>0</v>
      </c>
      <c r="K4775" s="5">
        <f>IF(H4775=0,"",J4775/H4775)</f>
        <v>0</v>
      </c>
      <c r="L4775">
        <f>IF(OR(AND(H4775=0,ABS(J4775)&gt;=0.01),AND(H4775&lt;&gt;0,ABS(K4775)&gt;VarianceThreshold)),"Review","OK")</f>
        <v>0</v>
      </c>
      <c r="M4775" t="s">
        <v>33</v>
      </c>
    </row>
    <row r="4776" spans="1:13">
      <c r="A4776" t="s">
        <v>7</v>
      </c>
      <c r="B4776" t="s">
        <v>650</v>
      </c>
      <c r="C4776" t="s">
        <v>3515</v>
      </c>
      <c r="D4776" t="s">
        <v>75</v>
      </c>
      <c r="E4776" cm="1">
        <f t="array" ref="E4776">_xlfn.XLOOKUP(D4776,SKU_Master!A:A,SKU_Master!B:B,"Not on master")</f>
        <v>0</v>
      </c>
      <c r="F4776" cm="1">
        <f t="array" ref="F4776">_xlfn.XLOOKUP(C4776,Account_Master!A:A,Account_Master!B:B,"Not on master")</f>
        <v>0</v>
      </c>
      <c r="G4776" cm="1">
        <f t="array" ref="G4776">_xlfn.XLOOKUP(C4776,Account_Master!A:A,Account_Master!C:C,"Not on master")</f>
        <v>0</v>
      </c>
      <c r="H4776" s="6">
        <v>145.25</v>
      </c>
      <c r="I4776" s="6">
        <v>134.75</v>
      </c>
      <c r="J4776" s="6">
        <f>I4776-H4776</f>
        <v>0</v>
      </c>
      <c r="K4776" s="5">
        <f>IF(H4776=0,"",J4776/H4776)</f>
        <v>0</v>
      </c>
      <c r="L4776">
        <f>IF(OR(AND(H4776=0,ABS(J4776)&gt;=0.01),AND(H4776&lt;&gt;0,ABS(K4776)&gt;VarianceThreshold)),"Review","OK")</f>
        <v>0</v>
      </c>
      <c r="M4776" t="s">
        <v>3038</v>
      </c>
    </row>
    <row r="4777" spans="1:13">
      <c r="A4777" t="s">
        <v>7</v>
      </c>
      <c r="B4777" t="s">
        <v>650</v>
      </c>
      <c r="C4777" t="s">
        <v>3357</v>
      </c>
      <c r="D4777" t="s">
        <v>900</v>
      </c>
      <c r="E4777" cm="1">
        <f t="array" ref="E4777">_xlfn.XLOOKUP(D4777,SKU_Master!A:A,SKU_Master!B:B,"Not on master")</f>
        <v>0</v>
      </c>
      <c r="F4777" cm="1">
        <f t="array" ref="F4777">_xlfn.XLOOKUP(C4777,Account_Master!A:A,Account_Master!B:B,"Not on master")</f>
        <v>0</v>
      </c>
      <c r="G4777" cm="1">
        <f t="array" ref="G4777">_xlfn.XLOOKUP(C4777,Account_Master!A:A,Account_Master!C:C,"Not on master")</f>
        <v>0</v>
      </c>
      <c r="H4777" s="6">
        <v>37</v>
      </c>
      <c r="I4777" s="6">
        <v>37</v>
      </c>
      <c r="J4777" s="6">
        <f>I4777-H4777</f>
        <v>0</v>
      </c>
      <c r="K4777" s="5">
        <f>IF(H4777=0,"",J4777/H4777)</f>
        <v>0</v>
      </c>
      <c r="L4777">
        <f>IF(OR(AND(H4777=0,ABS(J4777)&gt;=0.01),AND(H4777&lt;&gt;0,ABS(K4777)&gt;VarianceThreshold)),"Review","OK")</f>
        <v>0</v>
      </c>
      <c r="M4777" t="s">
        <v>33</v>
      </c>
    </row>
    <row r="4778" spans="1:13">
      <c r="A4778" t="s">
        <v>7</v>
      </c>
      <c r="B4778" t="s">
        <v>650</v>
      </c>
      <c r="C4778" t="s">
        <v>33</v>
      </c>
      <c r="D4778" t="s">
        <v>3583</v>
      </c>
      <c r="E4778" cm="1">
        <f t="array" ref="E4778">_xlfn.XLOOKUP(D4778,SKU_Master!A:A,SKU_Master!B:B,"Not on master")</f>
        <v>0</v>
      </c>
      <c r="F4778" cm="1">
        <f t="array" ref="F4778">_xlfn.XLOOKUP(C4778,Account_Master!A:A,Account_Master!B:B,"Not on master")</f>
        <v>0</v>
      </c>
      <c r="G4778" cm="1">
        <f t="array" ref="G4778">_xlfn.XLOOKUP(C4778,Account_Master!A:A,Account_Master!C:C,"Not on master")</f>
        <v>0</v>
      </c>
      <c r="H4778" s="6">
        <v>0</v>
      </c>
      <c r="I4778" s="6">
        <v>0.6</v>
      </c>
      <c r="J4778" s="6">
        <f>I4778-H4778</f>
        <v>0</v>
      </c>
      <c r="K4778" s="5">
        <f>IF(H4778=0,"",J4778/H4778)</f>
        <v>0</v>
      </c>
      <c r="L4778">
        <f>IF(OR(AND(H4778=0,ABS(J4778)&gt;=0.01),AND(H4778&lt;&gt;0,ABS(K4778)&gt;VarianceThreshold)),"Review","OK")</f>
        <v>0</v>
      </c>
      <c r="M4778" t="s">
        <v>3038</v>
      </c>
    </row>
    <row r="4779" spans="1:13">
      <c r="A4779" t="s">
        <v>7</v>
      </c>
      <c r="B4779" t="s">
        <v>658</v>
      </c>
      <c r="C4779" t="s">
        <v>3449</v>
      </c>
      <c r="D4779" t="s">
        <v>3584</v>
      </c>
      <c r="E4779" cm="1">
        <f t="array" ref="E4779">_xlfn.XLOOKUP(D4779,SKU_Master!A:A,SKU_Master!B:B,"Not on master")</f>
        <v>0</v>
      </c>
      <c r="F4779" cm="1">
        <f t="array" ref="F4779">_xlfn.XLOOKUP(C4779,Account_Master!A:A,Account_Master!B:B,"Not on master")</f>
        <v>0</v>
      </c>
      <c r="G4779" cm="1">
        <f t="array" ref="G4779">_xlfn.XLOOKUP(C4779,Account_Master!A:A,Account_Master!C:C,"Not on master")</f>
        <v>0</v>
      </c>
      <c r="H4779" s="6">
        <v>18</v>
      </c>
      <c r="I4779" s="6">
        <v>18</v>
      </c>
      <c r="J4779" s="6">
        <f>I4779-H4779</f>
        <v>0</v>
      </c>
      <c r="K4779" s="5">
        <f>IF(H4779=0,"",J4779/H4779)</f>
        <v>0</v>
      </c>
      <c r="L4779">
        <f>IF(OR(AND(H4779=0,ABS(J4779)&gt;=0.01),AND(H4779&lt;&gt;0,ABS(K4779)&gt;VarianceThreshold)),"Review","OK")</f>
        <v>0</v>
      </c>
      <c r="M4779" t="s">
        <v>33</v>
      </c>
    </row>
    <row r="4780" spans="1:13">
      <c r="A4780" t="s">
        <v>7</v>
      </c>
      <c r="B4780" t="s">
        <v>658</v>
      </c>
      <c r="C4780" t="s">
        <v>3470</v>
      </c>
      <c r="D4780" t="s">
        <v>1500</v>
      </c>
      <c r="E4780" cm="1">
        <f t="array" ref="E4780">_xlfn.XLOOKUP(D4780,SKU_Master!A:A,SKU_Master!B:B,"Not on master")</f>
        <v>0</v>
      </c>
      <c r="F4780" cm="1">
        <f t="array" ref="F4780">_xlfn.XLOOKUP(C4780,Account_Master!A:A,Account_Master!B:B,"Not on master")</f>
        <v>0</v>
      </c>
      <c r="G4780" cm="1">
        <f t="array" ref="G4780">_xlfn.XLOOKUP(C4780,Account_Master!A:A,Account_Master!C:C,"Not on master")</f>
        <v>0</v>
      </c>
      <c r="H4780" s="6">
        <v>21</v>
      </c>
      <c r="I4780" s="6">
        <v>21</v>
      </c>
      <c r="J4780" s="6">
        <f>I4780-H4780</f>
        <v>0</v>
      </c>
      <c r="K4780" s="5">
        <f>IF(H4780=0,"",J4780/H4780)</f>
        <v>0</v>
      </c>
      <c r="L4780">
        <f>IF(OR(AND(H4780=0,ABS(J4780)&gt;=0.01),AND(H4780&lt;&gt;0,ABS(K4780)&gt;VarianceThreshold)),"Review","OK")</f>
        <v>0</v>
      </c>
      <c r="M4780" t="s">
        <v>33</v>
      </c>
    </row>
    <row r="4781" spans="1:13">
      <c r="A4781" t="s">
        <v>7</v>
      </c>
      <c r="B4781" t="s">
        <v>658</v>
      </c>
      <c r="C4781" t="s">
        <v>3585</v>
      </c>
      <c r="D4781" t="s">
        <v>2294</v>
      </c>
      <c r="E4781" cm="1">
        <f t="array" ref="E4781">_xlfn.XLOOKUP(D4781,SKU_Master!A:A,SKU_Master!B:B,"Not on master")</f>
        <v>0</v>
      </c>
      <c r="F4781" cm="1">
        <f t="array" ref="F4781">_xlfn.XLOOKUP(C4781,Account_Master!A:A,Account_Master!B:B,"Not on master")</f>
        <v>0</v>
      </c>
      <c r="G4781" cm="1">
        <f t="array" ref="G4781">_xlfn.XLOOKUP(C4781,Account_Master!A:A,Account_Master!C:C,"Not on master")</f>
        <v>0</v>
      </c>
      <c r="H4781" s="6">
        <v>4.5</v>
      </c>
      <c r="I4781" s="6">
        <v>4.5</v>
      </c>
      <c r="J4781" s="6">
        <f>I4781-H4781</f>
        <v>0</v>
      </c>
      <c r="K4781" s="5">
        <f>IF(H4781=0,"",J4781/H4781)</f>
        <v>0</v>
      </c>
      <c r="L4781">
        <f>IF(OR(AND(H4781=0,ABS(J4781)&gt;=0.01),AND(H4781&lt;&gt;0,ABS(K4781)&gt;VarianceThreshold)),"Review","OK")</f>
        <v>0</v>
      </c>
      <c r="M4781" t="s">
        <v>33</v>
      </c>
    </row>
    <row r="4782" spans="1:13">
      <c r="A4782" t="s">
        <v>7</v>
      </c>
      <c r="B4782" t="s">
        <v>673</v>
      </c>
      <c r="C4782" t="s">
        <v>3585</v>
      </c>
      <c r="D4782" t="s">
        <v>3586</v>
      </c>
      <c r="E4782" cm="1">
        <f t="array" ref="E4782">_xlfn.XLOOKUP(D4782,SKU_Master!A:A,SKU_Master!B:B,"Not on master")</f>
        <v>0</v>
      </c>
      <c r="F4782" cm="1">
        <f t="array" ref="F4782">_xlfn.XLOOKUP(C4782,Account_Master!A:A,Account_Master!B:B,"Not on master")</f>
        <v>0</v>
      </c>
      <c r="G4782" cm="1">
        <f t="array" ref="G4782">_xlfn.XLOOKUP(C4782,Account_Master!A:A,Account_Master!C:C,"Not on master")</f>
        <v>0</v>
      </c>
      <c r="H4782" s="6">
        <v>6.75</v>
      </c>
      <c r="I4782" s="6">
        <v>6.75</v>
      </c>
      <c r="J4782" s="6">
        <f>I4782-H4782</f>
        <v>0</v>
      </c>
      <c r="K4782" s="5">
        <f>IF(H4782=0,"",J4782/H4782)</f>
        <v>0</v>
      </c>
      <c r="L4782">
        <f>IF(OR(AND(H4782=0,ABS(J4782)&gt;=0.01),AND(H4782&lt;&gt;0,ABS(K4782)&gt;VarianceThreshold)),"Review","OK")</f>
        <v>0</v>
      </c>
      <c r="M4782" t="s">
        <v>33</v>
      </c>
    </row>
    <row r="4783" spans="1:13">
      <c r="A4783" t="s">
        <v>7</v>
      </c>
      <c r="B4783" t="s">
        <v>673</v>
      </c>
      <c r="C4783" t="s">
        <v>3587</v>
      </c>
      <c r="D4783" t="s">
        <v>2043</v>
      </c>
      <c r="E4783" cm="1">
        <f t="array" ref="E4783">_xlfn.XLOOKUP(D4783,SKU_Master!A:A,SKU_Master!B:B,"Not on master")</f>
        <v>0</v>
      </c>
      <c r="F4783" cm="1">
        <f t="array" ref="F4783">_xlfn.XLOOKUP(C4783,Account_Master!A:A,Account_Master!B:B,"Not on master")</f>
        <v>0</v>
      </c>
      <c r="G4783" cm="1">
        <f t="array" ref="G4783">_xlfn.XLOOKUP(C4783,Account_Master!A:A,Account_Master!C:C,"Not on master")</f>
        <v>0</v>
      </c>
      <c r="H4783" s="6">
        <v>24</v>
      </c>
      <c r="I4783" s="6">
        <v>24</v>
      </c>
      <c r="J4783" s="6">
        <f>I4783-H4783</f>
        <v>0</v>
      </c>
      <c r="K4783" s="5">
        <f>IF(H4783=0,"",J4783/H4783)</f>
        <v>0</v>
      </c>
      <c r="L4783">
        <f>IF(OR(AND(H4783=0,ABS(J4783)&gt;=0.01),AND(H4783&lt;&gt;0,ABS(K4783)&gt;VarianceThreshold)),"Review","OK")</f>
        <v>0</v>
      </c>
      <c r="M4783" t="s">
        <v>33</v>
      </c>
    </row>
    <row r="4784" spans="1:13">
      <c r="A4784" t="s">
        <v>7</v>
      </c>
      <c r="B4784" t="s">
        <v>673</v>
      </c>
      <c r="C4784" t="s">
        <v>3470</v>
      </c>
      <c r="D4784" t="s">
        <v>1880</v>
      </c>
      <c r="E4784" cm="1">
        <f t="array" ref="E4784">_xlfn.XLOOKUP(D4784,SKU_Master!A:A,SKU_Master!B:B,"Not on master")</f>
        <v>0</v>
      </c>
      <c r="F4784" cm="1">
        <f t="array" ref="F4784">_xlfn.XLOOKUP(C4784,Account_Master!A:A,Account_Master!B:B,"Not on master")</f>
        <v>0</v>
      </c>
      <c r="G4784" cm="1">
        <f t="array" ref="G4784">_xlfn.XLOOKUP(C4784,Account_Master!A:A,Account_Master!C:C,"Not on master")</f>
        <v>0</v>
      </c>
      <c r="H4784" s="6">
        <v>115.5</v>
      </c>
      <c r="I4784" s="6">
        <v>115.5</v>
      </c>
      <c r="J4784" s="6">
        <f>I4784-H4784</f>
        <v>0</v>
      </c>
      <c r="K4784" s="5">
        <f>IF(H4784=0,"",J4784/H4784)</f>
        <v>0</v>
      </c>
      <c r="L4784">
        <f>IF(OR(AND(H4784=0,ABS(J4784)&gt;=0.01),AND(H4784&lt;&gt;0,ABS(K4784)&gt;VarianceThreshold)),"Review","OK")</f>
        <v>0</v>
      </c>
      <c r="M4784" t="s">
        <v>33</v>
      </c>
    </row>
    <row r="4785" spans="1:13">
      <c r="A4785" t="s">
        <v>7</v>
      </c>
      <c r="B4785" t="s">
        <v>673</v>
      </c>
      <c r="C4785" t="s">
        <v>3386</v>
      </c>
      <c r="D4785" t="s">
        <v>3588</v>
      </c>
      <c r="E4785" cm="1">
        <f t="array" ref="E4785">_xlfn.XLOOKUP(D4785,SKU_Master!A:A,SKU_Master!B:B,"Not on master")</f>
        <v>0</v>
      </c>
      <c r="F4785" cm="1">
        <f t="array" ref="F4785">_xlfn.XLOOKUP(C4785,Account_Master!A:A,Account_Master!B:B,"Not on master")</f>
        <v>0</v>
      </c>
      <c r="G4785" cm="1">
        <f t="array" ref="G4785">_xlfn.XLOOKUP(C4785,Account_Master!A:A,Account_Master!C:C,"Not on master")</f>
        <v>0</v>
      </c>
      <c r="H4785" s="6">
        <v>21</v>
      </c>
      <c r="I4785" s="6">
        <v>21</v>
      </c>
      <c r="J4785" s="6">
        <f>I4785-H4785</f>
        <v>0</v>
      </c>
      <c r="K4785" s="5">
        <f>IF(H4785=0,"",J4785/H4785)</f>
        <v>0</v>
      </c>
      <c r="L4785">
        <f>IF(OR(AND(H4785=0,ABS(J4785)&gt;=0.01),AND(H4785&lt;&gt;0,ABS(K4785)&gt;VarianceThreshold)),"Review","OK")</f>
        <v>0</v>
      </c>
      <c r="M4785" t="s">
        <v>33</v>
      </c>
    </row>
    <row r="4786" spans="1:13">
      <c r="A4786" t="s">
        <v>7</v>
      </c>
      <c r="B4786" t="s">
        <v>681</v>
      </c>
      <c r="C4786" t="s">
        <v>3358</v>
      </c>
      <c r="D4786" t="s">
        <v>1992</v>
      </c>
      <c r="E4786" cm="1">
        <f t="array" ref="E4786">_xlfn.XLOOKUP(D4786,SKU_Master!A:A,SKU_Master!B:B,"Not on master")</f>
        <v>0</v>
      </c>
      <c r="F4786" cm="1">
        <f t="array" ref="F4786">_xlfn.XLOOKUP(C4786,Account_Master!A:A,Account_Master!B:B,"Not on master")</f>
        <v>0</v>
      </c>
      <c r="G4786" cm="1">
        <f t="array" ref="G4786">_xlfn.XLOOKUP(C4786,Account_Master!A:A,Account_Master!C:C,"Not on master")</f>
        <v>0</v>
      </c>
      <c r="H4786" s="6">
        <v>13.5</v>
      </c>
      <c r="I4786" s="6">
        <v>13.5</v>
      </c>
      <c r="J4786" s="6">
        <f>I4786-H4786</f>
        <v>0</v>
      </c>
      <c r="K4786" s="5">
        <f>IF(H4786=0,"",J4786/H4786)</f>
        <v>0</v>
      </c>
      <c r="L4786">
        <f>IF(OR(AND(H4786=0,ABS(J4786)&gt;=0.01),AND(H4786&lt;&gt;0,ABS(K4786)&gt;VarianceThreshold)),"Review","OK")</f>
        <v>0</v>
      </c>
      <c r="M4786" t="s">
        <v>33</v>
      </c>
    </row>
    <row r="4787" spans="1:13">
      <c r="A4787" t="s">
        <v>7</v>
      </c>
      <c r="B4787" t="s">
        <v>681</v>
      </c>
      <c r="C4787" t="s">
        <v>3589</v>
      </c>
      <c r="D4787" t="s">
        <v>1388</v>
      </c>
      <c r="E4787" cm="1">
        <f t="array" ref="E4787">_xlfn.XLOOKUP(D4787,SKU_Master!A:A,SKU_Master!B:B,"Not on master")</f>
        <v>0</v>
      </c>
      <c r="F4787" cm="1">
        <f t="array" ref="F4787">_xlfn.XLOOKUP(C4787,Account_Master!A:A,Account_Master!B:B,"Not on master")</f>
        <v>0</v>
      </c>
      <c r="G4787" cm="1">
        <f t="array" ref="G4787">_xlfn.XLOOKUP(C4787,Account_Master!A:A,Account_Master!C:C,"Not on master")</f>
        <v>0</v>
      </c>
      <c r="H4787" s="6">
        <v>1.12</v>
      </c>
      <c r="I4787" s="6">
        <v>1.12</v>
      </c>
      <c r="J4787" s="6">
        <f>I4787-H4787</f>
        <v>0</v>
      </c>
      <c r="K4787" s="5">
        <f>IF(H4787=0,"",J4787/H4787)</f>
        <v>0</v>
      </c>
      <c r="L4787">
        <f>IF(OR(AND(H4787=0,ABS(J4787)&gt;=0.01),AND(H4787&lt;&gt;0,ABS(K4787)&gt;VarianceThreshold)),"Review","OK")</f>
        <v>0</v>
      </c>
      <c r="M4787" t="s">
        <v>33</v>
      </c>
    </row>
    <row r="4788" spans="1:13">
      <c r="A4788" t="s">
        <v>7</v>
      </c>
      <c r="B4788" t="s">
        <v>681</v>
      </c>
      <c r="C4788" t="s">
        <v>3377</v>
      </c>
      <c r="D4788" t="s">
        <v>488</v>
      </c>
      <c r="E4788" cm="1">
        <f t="array" ref="E4788">_xlfn.XLOOKUP(D4788,SKU_Master!A:A,SKU_Master!B:B,"Not on master")</f>
        <v>0</v>
      </c>
      <c r="F4788" cm="1">
        <f t="array" ref="F4788">_xlfn.XLOOKUP(C4788,Account_Master!A:A,Account_Master!B:B,"Not on master")</f>
        <v>0</v>
      </c>
      <c r="G4788" cm="1">
        <f t="array" ref="G4788">_xlfn.XLOOKUP(C4788,Account_Master!A:A,Account_Master!C:C,"Not on master")</f>
        <v>0</v>
      </c>
      <c r="H4788" s="6">
        <v>3</v>
      </c>
      <c r="I4788" s="6">
        <v>3</v>
      </c>
      <c r="J4788" s="6">
        <f>I4788-H4788</f>
        <v>0</v>
      </c>
      <c r="K4788" s="5">
        <f>IF(H4788=0,"",J4788/H4788)</f>
        <v>0</v>
      </c>
      <c r="L4788">
        <f>IF(OR(AND(H4788=0,ABS(J4788)&gt;=0.01),AND(H4788&lt;&gt;0,ABS(K4788)&gt;VarianceThreshold)),"Review","OK")</f>
        <v>0</v>
      </c>
      <c r="M4788" t="s">
        <v>33</v>
      </c>
    </row>
    <row r="4789" spans="1:13">
      <c r="A4789" t="s">
        <v>7</v>
      </c>
      <c r="B4789" t="s">
        <v>681</v>
      </c>
      <c r="C4789" t="s">
        <v>3421</v>
      </c>
      <c r="D4789" t="s">
        <v>1190</v>
      </c>
      <c r="E4789" cm="1">
        <f t="array" ref="E4789">_xlfn.XLOOKUP(D4789,SKU_Master!A:A,SKU_Master!B:B,"Not on master")</f>
        <v>0</v>
      </c>
      <c r="F4789" cm="1">
        <f t="array" ref="F4789">_xlfn.XLOOKUP(C4789,Account_Master!A:A,Account_Master!B:B,"Not on master")</f>
        <v>0</v>
      </c>
      <c r="G4789" cm="1">
        <f t="array" ref="G4789">_xlfn.XLOOKUP(C4789,Account_Master!A:A,Account_Master!C:C,"Not on master")</f>
        <v>0</v>
      </c>
      <c r="H4789" s="6">
        <v>98</v>
      </c>
      <c r="I4789" s="6">
        <v>87.5</v>
      </c>
      <c r="J4789" s="6">
        <f>I4789-H4789</f>
        <v>0</v>
      </c>
      <c r="K4789" s="5">
        <f>IF(H4789=0,"",J4789/H4789)</f>
        <v>0</v>
      </c>
      <c r="L4789">
        <f>IF(OR(AND(H4789=0,ABS(J4789)&gt;=0.01),AND(H4789&lt;&gt;0,ABS(K4789)&gt;VarianceThreshold)),"Review","OK")</f>
        <v>0</v>
      </c>
      <c r="M4789" t="s">
        <v>3038</v>
      </c>
    </row>
    <row r="4790" spans="1:13">
      <c r="A4790" t="s">
        <v>7</v>
      </c>
      <c r="B4790" t="s">
        <v>681</v>
      </c>
      <c r="C4790" t="s">
        <v>3368</v>
      </c>
      <c r="D4790" t="s">
        <v>1325</v>
      </c>
      <c r="E4790" cm="1">
        <f t="array" ref="E4790">_xlfn.XLOOKUP(D4790,SKU_Master!A:A,SKU_Master!B:B,"Not on master")</f>
        <v>0</v>
      </c>
      <c r="F4790" cm="1">
        <f t="array" ref="F4790">_xlfn.XLOOKUP(C4790,Account_Master!A:A,Account_Master!B:B,"Not on master")</f>
        <v>0</v>
      </c>
      <c r="G4790" cm="1">
        <f t="array" ref="G4790">_xlfn.XLOOKUP(C4790,Account_Master!A:A,Account_Master!C:C,"Not on master")</f>
        <v>0</v>
      </c>
      <c r="H4790" s="6">
        <v>9</v>
      </c>
      <c r="I4790" s="6">
        <v>9</v>
      </c>
      <c r="J4790" s="6">
        <f>I4790-H4790</f>
        <v>0</v>
      </c>
      <c r="K4790" s="5">
        <f>IF(H4790=0,"",J4790/H4790)</f>
        <v>0</v>
      </c>
      <c r="L4790">
        <f>IF(OR(AND(H4790=0,ABS(J4790)&gt;=0.01),AND(H4790&lt;&gt;0,ABS(K4790)&gt;VarianceThreshold)),"Review","OK")</f>
        <v>0</v>
      </c>
      <c r="M4790" t="s">
        <v>33</v>
      </c>
    </row>
    <row r="4791" spans="1:13">
      <c r="A4791" t="s">
        <v>7</v>
      </c>
      <c r="B4791" t="s">
        <v>681</v>
      </c>
      <c r="C4791" t="s">
        <v>3590</v>
      </c>
      <c r="D4791" t="s">
        <v>1793</v>
      </c>
      <c r="E4791" cm="1">
        <f t="array" ref="E4791">_xlfn.XLOOKUP(D4791,SKU_Master!A:A,SKU_Master!B:B,"Not on master")</f>
        <v>0</v>
      </c>
      <c r="F4791" cm="1">
        <f t="array" ref="F4791">_xlfn.XLOOKUP(C4791,Account_Master!A:A,Account_Master!B:B,"Not on master")</f>
        <v>0</v>
      </c>
      <c r="G4791" cm="1">
        <f t="array" ref="G4791">_xlfn.XLOOKUP(C4791,Account_Master!A:A,Account_Master!C:C,"Not on master")</f>
        <v>0</v>
      </c>
      <c r="H4791" s="6">
        <v>211.75</v>
      </c>
      <c r="I4791" s="6">
        <v>206.5</v>
      </c>
      <c r="J4791" s="6">
        <f>I4791-H4791</f>
        <v>0</v>
      </c>
      <c r="K4791" s="5">
        <f>IF(H4791=0,"",J4791/H4791)</f>
        <v>0</v>
      </c>
      <c r="L4791">
        <f>IF(OR(AND(H4791=0,ABS(J4791)&gt;=0.01),AND(H4791&lt;&gt;0,ABS(K4791)&gt;VarianceThreshold)),"Review","OK")</f>
        <v>0</v>
      </c>
      <c r="M4791" t="s">
        <v>33</v>
      </c>
    </row>
    <row r="4792" spans="1:13">
      <c r="A4792" t="s">
        <v>7</v>
      </c>
      <c r="B4792" t="s">
        <v>681</v>
      </c>
      <c r="C4792" t="s">
        <v>3510</v>
      </c>
      <c r="D4792" t="s">
        <v>990</v>
      </c>
      <c r="E4792" cm="1">
        <f t="array" ref="E4792">_xlfn.XLOOKUP(D4792,SKU_Master!A:A,SKU_Master!B:B,"Not on master")</f>
        <v>0</v>
      </c>
      <c r="F4792" cm="1">
        <f t="array" ref="F4792">_xlfn.XLOOKUP(C4792,Account_Master!A:A,Account_Master!B:B,"Not on master")</f>
        <v>0</v>
      </c>
      <c r="G4792" cm="1">
        <f t="array" ref="G4792">_xlfn.XLOOKUP(C4792,Account_Master!A:A,Account_Master!C:C,"Not on master")</f>
        <v>0</v>
      </c>
      <c r="H4792" s="6">
        <v>20.25</v>
      </c>
      <c r="I4792" s="6">
        <v>20.25</v>
      </c>
      <c r="J4792" s="6">
        <f>I4792-H4792</f>
        <v>0</v>
      </c>
      <c r="K4792" s="5">
        <f>IF(H4792=0,"",J4792/H4792)</f>
        <v>0</v>
      </c>
      <c r="L4792">
        <f>IF(OR(AND(H4792=0,ABS(J4792)&gt;=0.01),AND(H4792&lt;&gt;0,ABS(K4792)&gt;VarianceThreshold)),"Review","OK")</f>
        <v>0</v>
      </c>
      <c r="M4792" t="s">
        <v>33</v>
      </c>
    </row>
    <row r="4793" spans="1:13">
      <c r="A4793" t="s">
        <v>7</v>
      </c>
      <c r="B4793" t="s">
        <v>681</v>
      </c>
      <c r="C4793" t="s">
        <v>3393</v>
      </c>
      <c r="D4793" t="s">
        <v>3591</v>
      </c>
      <c r="E4793" cm="1">
        <f t="array" ref="E4793">_xlfn.XLOOKUP(D4793,SKU_Master!A:A,SKU_Master!B:B,"Not on master")</f>
        <v>0</v>
      </c>
      <c r="F4793" cm="1">
        <f t="array" ref="F4793">_xlfn.XLOOKUP(C4793,Account_Master!A:A,Account_Master!B:B,"Not on master")</f>
        <v>0</v>
      </c>
      <c r="G4793" cm="1">
        <f t="array" ref="G4793">_xlfn.XLOOKUP(C4793,Account_Master!A:A,Account_Master!C:C,"Not on master")</f>
        <v>0</v>
      </c>
      <c r="H4793" s="6">
        <v>7.5</v>
      </c>
      <c r="I4793" s="6">
        <v>7.5</v>
      </c>
      <c r="J4793" s="6">
        <f>I4793-H4793</f>
        <v>0</v>
      </c>
      <c r="K4793" s="5">
        <f>IF(H4793=0,"",J4793/H4793)</f>
        <v>0</v>
      </c>
      <c r="L4793">
        <f>IF(OR(AND(H4793=0,ABS(J4793)&gt;=0.01),AND(H4793&lt;&gt;0,ABS(K4793)&gt;VarianceThreshold)),"Review","OK")</f>
        <v>0</v>
      </c>
      <c r="M4793" t="s">
        <v>33</v>
      </c>
    </row>
    <row r="4794" spans="1:13">
      <c r="A4794" t="s">
        <v>7</v>
      </c>
      <c r="B4794" t="s">
        <v>689</v>
      </c>
      <c r="C4794" t="s">
        <v>3434</v>
      </c>
      <c r="D4794" t="s">
        <v>3592</v>
      </c>
      <c r="E4794" cm="1">
        <f t="array" ref="E4794">_xlfn.XLOOKUP(D4794,SKU_Master!A:A,SKU_Master!B:B,"Not on master")</f>
        <v>0</v>
      </c>
      <c r="F4794" cm="1">
        <f t="array" ref="F4794">_xlfn.XLOOKUP(C4794,Account_Master!A:A,Account_Master!B:B,"Not on master")</f>
        <v>0</v>
      </c>
      <c r="G4794" cm="1">
        <f t="array" ref="G4794">_xlfn.XLOOKUP(C4794,Account_Master!A:A,Account_Master!C:C,"Not on master")</f>
        <v>0</v>
      </c>
      <c r="H4794" s="6">
        <v>15</v>
      </c>
      <c r="I4794" s="6">
        <v>15</v>
      </c>
      <c r="J4794" s="6">
        <f>I4794-H4794</f>
        <v>0</v>
      </c>
      <c r="K4794" s="5">
        <f>IF(H4794=0,"",J4794/H4794)</f>
        <v>0</v>
      </c>
      <c r="L4794">
        <f>IF(OR(AND(H4794=0,ABS(J4794)&gt;=0.01),AND(H4794&lt;&gt;0,ABS(K4794)&gt;VarianceThreshold)),"Review","OK")</f>
        <v>0</v>
      </c>
      <c r="M4794" t="s">
        <v>33</v>
      </c>
    </row>
    <row r="4795" spans="1:13">
      <c r="A4795" t="s">
        <v>7</v>
      </c>
      <c r="B4795" t="s">
        <v>689</v>
      </c>
      <c r="C4795" t="s">
        <v>3368</v>
      </c>
      <c r="D4795" t="s">
        <v>3593</v>
      </c>
      <c r="E4795" cm="1">
        <f t="array" ref="E4795">_xlfn.XLOOKUP(D4795,SKU_Master!A:A,SKU_Master!B:B,"Not on master")</f>
        <v>0</v>
      </c>
      <c r="F4795" cm="1">
        <f t="array" ref="F4795">_xlfn.XLOOKUP(C4795,Account_Master!A:A,Account_Master!B:B,"Not on master")</f>
        <v>0</v>
      </c>
      <c r="G4795" cm="1">
        <f t="array" ref="G4795">_xlfn.XLOOKUP(C4795,Account_Master!A:A,Account_Master!C:C,"Not on master")</f>
        <v>0</v>
      </c>
      <c r="H4795" s="6">
        <v>108</v>
      </c>
      <c r="I4795" s="6">
        <v>108</v>
      </c>
      <c r="J4795" s="6">
        <f>I4795-H4795</f>
        <v>0</v>
      </c>
      <c r="K4795" s="5">
        <f>IF(H4795=0,"",J4795/H4795)</f>
        <v>0</v>
      </c>
      <c r="L4795">
        <f>IF(OR(AND(H4795=0,ABS(J4795)&gt;=0.01),AND(H4795&lt;&gt;0,ABS(K4795)&gt;VarianceThreshold)),"Review","OK")</f>
        <v>0</v>
      </c>
      <c r="M4795" t="s">
        <v>33</v>
      </c>
    </row>
    <row r="4796" spans="1:13">
      <c r="A4796" t="s">
        <v>7</v>
      </c>
      <c r="B4796" t="s">
        <v>689</v>
      </c>
      <c r="C4796" t="s">
        <v>3358</v>
      </c>
      <c r="D4796" t="s">
        <v>766</v>
      </c>
      <c r="E4796" cm="1">
        <f t="array" ref="E4796">_xlfn.XLOOKUP(D4796,SKU_Master!A:A,SKU_Master!B:B,"Not on master")</f>
        <v>0</v>
      </c>
      <c r="F4796" cm="1">
        <f t="array" ref="F4796">_xlfn.XLOOKUP(C4796,Account_Master!A:A,Account_Master!B:B,"Not on master")</f>
        <v>0</v>
      </c>
      <c r="G4796" cm="1">
        <f t="array" ref="G4796">_xlfn.XLOOKUP(C4796,Account_Master!A:A,Account_Master!C:C,"Not on master")</f>
        <v>0</v>
      </c>
      <c r="H4796" s="6">
        <v>21</v>
      </c>
      <c r="I4796" s="6">
        <v>21</v>
      </c>
      <c r="J4796" s="6">
        <f>I4796-H4796</f>
        <v>0</v>
      </c>
      <c r="K4796" s="5">
        <f>IF(H4796=0,"",J4796/H4796)</f>
        <v>0</v>
      </c>
      <c r="L4796">
        <f>IF(OR(AND(H4796=0,ABS(J4796)&gt;=0.01),AND(H4796&lt;&gt;0,ABS(K4796)&gt;VarianceThreshold)),"Review","OK")</f>
        <v>0</v>
      </c>
      <c r="M4796" t="s">
        <v>33</v>
      </c>
    </row>
    <row r="4797" spans="1:13">
      <c r="A4797" t="s">
        <v>7</v>
      </c>
      <c r="B4797" t="s">
        <v>689</v>
      </c>
      <c r="C4797" t="s">
        <v>3387</v>
      </c>
      <c r="D4797" t="s">
        <v>294</v>
      </c>
      <c r="E4797" cm="1">
        <f t="array" ref="E4797">_xlfn.XLOOKUP(D4797,SKU_Master!A:A,SKU_Master!B:B,"Not on master")</f>
        <v>0</v>
      </c>
      <c r="F4797" cm="1">
        <f t="array" ref="F4797">_xlfn.XLOOKUP(C4797,Account_Master!A:A,Account_Master!B:B,"Not on master")</f>
        <v>0</v>
      </c>
      <c r="G4797" cm="1">
        <f t="array" ref="G4797">_xlfn.XLOOKUP(C4797,Account_Master!A:A,Account_Master!C:C,"Not on master")</f>
        <v>0</v>
      </c>
      <c r="H4797" s="6">
        <v>43.5</v>
      </c>
      <c r="I4797" s="6">
        <v>43.5</v>
      </c>
      <c r="J4797" s="6">
        <f>I4797-H4797</f>
        <v>0</v>
      </c>
      <c r="K4797" s="5">
        <f>IF(H4797=0,"",J4797/H4797)</f>
        <v>0</v>
      </c>
      <c r="L4797">
        <f>IF(OR(AND(H4797=0,ABS(J4797)&gt;=0.01),AND(H4797&lt;&gt;0,ABS(K4797)&gt;VarianceThreshold)),"Review","OK")</f>
        <v>0</v>
      </c>
      <c r="M4797" t="s">
        <v>33</v>
      </c>
    </row>
    <row r="4798" spans="1:13">
      <c r="A4798" t="s">
        <v>7</v>
      </c>
      <c r="B4798" t="s">
        <v>689</v>
      </c>
      <c r="C4798" t="s">
        <v>3571</v>
      </c>
      <c r="D4798" t="s">
        <v>842</v>
      </c>
      <c r="E4798" cm="1">
        <f t="array" ref="E4798">_xlfn.XLOOKUP(D4798,SKU_Master!A:A,SKU_Master!B:B,"Not on master")</f>
        <v>0</v>
      </c>
      <c r="F4798" cm="1">
        <f t="array" ref="F4798">_xlfn.XLOOKUP(C4798,Account_Master!A:A,Account_Master!B:B,"Not on master")</f>
        <v>0</v>
      </c>
      <c r="G4798" cm="1">
        <f t="array" ref="G4798">_xlfn.XLOOKUP(C4798,Account_Master!A:A,Account_Master!C:C,"Not on master")</f>
        <v>0</v>
      </c>
      <c r="H4798" s="6">
        <v>105</v>
      </c>
      <c r="I4798" s="6">
        <v>94.5</v>
      </c>
      <c r="J4798" s="6">
        <f>I4798-H4798</f>
        <v>0</v>
      </c>
      <c r="K4798" s="5">
        <f>IF(H4798=0,"",J4798/H4798)</f>
        <v>0</v>
      </c>
      <c r="L4798">
        <f>IF(OR(AND(H4798=0,ABS(J4798)&gt;=0.01),AND(H4798&lt;&gt;0,ABS(K4798)&gt;VarianceThreshold)),"Review","OK")</f>
        <v>0</v>
      </c>
      <c r="M4798" t="s">
        <v>3038</v>
      </c>
    </row>
    <row r="4799" spans="1:13">
      <c r="A4799" t="s">
        <v>7</v>
      </c>
      <c r="B4799" t="s">
        <v>689</v>
      </c>
      <c r="C4799" t="s">
        <v>3356</v>
      </c>
      <c r="D4799" t="s">
        <v>237</v>
      </c>
      <c r="E4799" cm="1">
        <f t="array" ref="E4799">_xlfn.XLOOKUP(D4799,SKU_Master!A:A,SKU_Master!B:B,"Not on master")</f>
        <v>0</v>
      </c>
      <c r="F4799" cm="1">
        <f t="array" ref="F4799">_xlfn.XLOOKUP(C4799,Account_Master!A:A,Account_Master!B:B,"Not on master")</f>
        <v>0</v>
      </c>
      <c r="G4799" cm="1">
        <f t="array" ref="G4799">_xlfn.XLOOKUP(C4799,Account_Master!A:A,Account_Master!C:C,"Not on master")</f>
        <v>0</v>
      </c>
      <c r="H4799" s="6">
        <v>29.25</v>
      </c>
      <c r="I4799" s="6">
        <v>29.25</v>
      </c>
      <c r="J4799" s="6">
        <f>I4799-H4799</f>
        <v>0</v>
      </c>
      <c r="K4799" s="5">
        <f>IF(H4799=0,"",J4799/H4799)</f>
        <v>0</v>
      </c>
      <c r="L4799">
        <f>IF(OR(AND(H4799=0,ABS(J4799)&gt;=0.01),AND(H4799&lt;&gt;0,ABS(K4799)&gt;VarianceThreshold)),"Review","OK")</f>
        <v>0</v>
      </c>
      <c r="M4799" t="s">
        <v>33</v>
      </c>
    </row>
    <row r="4800" spans="1:13">
      <c r="A4800" t="s">
        <v>7</v>
      </c>
      <c r="B4800" t="s">
        <v>689</v>
      </c>
      <c r="C4800" t="s">
        <v>3414</v>
      </c>
      <c r="D4800" t="s">
        <v>303</v>
      </c>
      <c r="E4800" cm="1">
        <f t="array" ref="E4800">_xlfn.XLOOKUP(D4800,SKU_Master!A:A,SKU_Master!B:B,"Not on master")</f>
        <v>0</v>
      </c>
      <c r="F4800" cm="1">
        <f t="array" ref="F4800">_xlfn.XLOOKUP(C4800,Account_Master!A:A,Account_Master!B:B,"Not on master")</f>
        <v>0</v>
      </c>
      <c r="G4800" cm="1">
        <f t="array" ref="G4800">_xlfn.XLOOKUP(C4800,Account_Master!A:A,Account_Master!C:C,"Not on master")</f>
        <v>0</v>
      </c>
      <c r="H4800" s="6">
        <v>0.55</v>
      </c>
      <c r="I4800" s="6">
        <v>0.55</v>
      </c>
      <c r="J4800" s="6">
        <f>I4800-H4800</f>
        <v>0</v>
      </c>
      <c r="K4800" s="5">
        <f>IF(H4800=0,"",J4800/H4800)</f>
        <v>0</v>
      </c>
      <c r="L4800">
        <f>IF(OR(AND(H4800=0,ABS(J4800)&gt;=0.01),AND(H4800&lt;&gt;0,ABS(K4800)&gt;VarianceThreshold)),"Review","OK")</f>
        <v>0</v>
      </c>
      <c r="M4800" t="s">
        <v>33</v>
      </c>
    </row>
    <row r="4801" spans="1:13">
      <c r="A4801" t="s">
        <v>7</v>
      </c>
      <c r="B4801" t="s">
        <v>701</v>
      </c>
      <c r="C4801" t="s">
        <v>3431</v>
      </c>
      <c r="D4801" t="s">
        <v>668</v>
      </c>
      <c r="E4801" cm="1">
        <f t="array" ref="E4801">_xlfn.XLOOKUP(D4801,SKU_Master!A:A,SKU_Master!B:B,"Not on master")</f>
        <v>0</v>
      </c>
      <c r="F4801" cm="1">
        <f t="array" ref="F4801">_xlfn.XLOOKUP(C4801,Account_Master!A:A,Account_Master!B:B,"Not on master")</f>
        <v>0</v>
      </c>
      <c r="G4801" cm="1">
        <f t="array" ref="G4801">_xlfn.XLOOKUP(C4801,Account_Master!A:A,Account_Master!C:C,"Not on master")</f>
        <v>0</v>
      </c>
      <c r="H4801" s="6">
        <v>23.25</v>
      </c>
      <c r="I4801" s="6">
        <v>23.25</v>
      </c>
      <c r="J4801" s="6">
        <f>I4801-H4801</f>
        <v>0</v>
      </c>
      <c r="K4801" s="5">
        <f>IF(H4801=0,"",J4801/H4801)</f>
        <v>0</v>
      </c>
      <c r="L4801">
        <f>IF(OR(AND(H4801=0,ABS(J4801)&gt;=0.01),AND(H4801&lt;&gt;0,ABS(K4801)&gt;VarianceThreshold)),"Review","OK")</f>
        <v>0</v>
      </c>
      <c r="M4801" t="s">
        <v>33</v>
      </c>
    </row>
    <row r="4802" spans="1:13">
      <c r="A4802" t="s">
        <v>7</v>
      </c>
      <c r="B4802" t="s">
        <v>701</v>
      </c>
      <c r="C4802" t="s">
        <v>3369</v>
      </c>
      <c r="D4802" t="s">
        <v>1556</v>
      </c>
      <c r="E4802" cm="1">
        <f t="array" ref="E4802">_xlfn.XLOOKUP(D4802,SKU_Master!A:A,SKU_Master!B:B,"Not on master")</f>
        <v>0</v>
      </c>
      <c r="F4802" cm="1">
        <f t="array" ref="F4802">_xlfn.XLOOKUP(C4802,Account_Master!A:A,Account_Master!B:B,"Not on master")</f>
        <v>0</v>
      </c>
      <c r="G4802" cm="1">
        <f t="array" ref="G4802">_xlfn.XLOOKUP(C4802,Account_Master!A:A,Account_Master!C:C,"Not on master")</f>
        <v>0</v>
      </c>
      <c r="H4802" s="6">
        <v>1.5</v>
      </c>
      <c r="I4802" s="6">
        <v>1.5</v>
      </c>
      <c r="J4802" s="6">
        <f>I4802-H4802</f>
        <v>0</v>
      </c>
      <c r="K4802" s="5">
        <f>IF(H4802=0,"",J4802/H4802)</f>
        <v>0</v>
      </c>
      <c r="L4802">
        <f>IF(OR(AND(H4802=0,ABS(J4802)&gt;=0.01),AND(H4802&lt;&gt;0,ABS(K4802)&gt;VarianceThreshold)),"Review","OK")</f>
        <v>0</v>
      </c>
      <c r="M4802" t="s">
        <v>33</v>
      </c>
    </row>
    <row r="4803" spans="1:13">
      <c r="A4803" t="s">
        <v>7</v>
      </c>
      <c r="B4803" t="s">
        <v>701</v>
      </c>
      <c r="C4803" t="s">
        <v>3368</v>
      </c>
      <c r="D4803" t="s">
        <v>745</v>
      </c>
      <c r="E4803" cm="1">
        <f t="array" ref="E4803">_xlfn.XLOOKUP(D4803,SKU_Master!A:A,SKU_Master!B:B,"Not on master")</f>
        <v>0</v>
      </c>
      <c r="F4803" cm="1">
        <f t="array" ref="F4803">_xlfn.XLOOKUP(C4803,Account_Master!A:A,Account_Master!B:B,"Not on master")</f>
        <v>0</v>
      </c>
      <c r="G4803" cm="1">
        <f t="array" ref="G4803">_xlfn.XLOOKUP(C4803,Account_Master!A:A,Account_Master!C:C,"Not on master")</f>
        <v>0</v>
      </c>
      <c r="H4803" s="6">
        <v>7.87</v>
      </c>
      <c r="I4803" s="6">
        <v>7.87</v>
      </c>
      <c r="J4803" s="6">
        <f>I4803-H4803</f>
        <v>0</v>
      </c>
      <c r="K4803" s="5">
        <f>IF(H4803=0,"",J4803/H4803)</f>
        <v>0</v>
      </c>
      <c r="L4803">
        <f>IF(OR(AND(H4803=0,ABS(J4803)&gt;=0.01),AND(H4803&lt;&gt;0,ABS(K4803)&gt;VarianceThreshold)),"Review","OK")</f>
        <v>0</v>
      </c>
      <c r="M4803" t="s">
        <v>33</v>
      </c>
    </row>
    <row r="4804" spans="1:13">
      <c r="A4804" t="s">
        <v>7</v>
      </c>
      <c r="B4804" t="s">
        <v>701</v>
      </c>
      <c r="C4804" t="s">
        <v>3368</v>
      </c>
      <c r="D4804" t="s">
        <v>899</v>
      </c>
      <c r="E4804" cm="1">
        <f t="array" ref="E4804">_xlfn.XLOOKUP(D4804,SKU_Master!A:A,SKU_Master!B:B,"Not on master")</f>
        <v>0</v>
      </c>
      <c r="F4804" cm="1">
        <f t="array" ref="F4804">_xlfn.XLOOKUP(C4804,Account_Master!A:A,Account_Master!B:B,"Not on master")</f>
        <v>0</v>
      </c>
      <c r="G4804" cm="1">
        <f t="array" ref="G4804">_xlfn.XLOOKUP(C4804,Account_Master!A:A,Account_Master!C:C,"Not on master")</f>
        <v>0</v>
      </c>
      <c r="H4804" s="6">
        <v>9</v>
      </c>
      <c r="I4804" s="6">
        <v>9</v>
      </c>
      <c r="J4804" s="6">
        <f>I4804-H4804</f>
        <v>0</v>
      </c>
      <c r="K4804" s="5">
        <f>IF(H4804=0,"",J4804/H4804)</f>
        <v>0</v>
      </c>
      <c r="L4804">
        <f>IF(OR(AND(H4804=0,ABS(J4804)&gt;=0.01),AND(H4804&lt;&gt;0,ABS(K4804)&gt;VarianceThreshold)),"Review","OK")</f>
        <v>0</v>
      </c>
      <c r="M4804" t="s">
        <v>33</v>
      </c>
    </row>
    <row r="4805" spans="1:13">
      <c r="A4805" t="s">
        <v>7</v>
      </c>
      <c r="B4805" t="s">
        <v>701</v>
      </c>
      <c r="C4805" t="s">
        <v>3361</v>
      </c>
      <c r="D4805" t="s">
        <v>280</v>
      </c>
      <c r="E4805" cm="1">
        <f t="array" ref="E4805">_xlfn.XLOOKUP(D4805,SKU_Master!A:A,SKU_Master!B:B,"Not on master")</f>
        <v>0</v>
      </c>
      <c r="F4805" cm="1">
        <f t="array" ref="F4805">_xlfn.XLOOKUP(C4805,Account_Master!A:A,Account_Master!B:B,"Not on master")</f>
        <v>0</v>
      </c>
      <c r="G4805" cm="1">
        <f t="array" ref="G4805">_xlfn.XLOOKUP(C4805,Account_Master!A:A,Account_Master!C:C,"Not on master")</f>
        <v>0</v>
      </c>
      <c r="H4805" s="6">
        <v>1.5</v>
      </c>
      <c r="I4805" s="6">
        <v>1.5</v>
      </c>
      <c r="J4805" s="6">
        <f>I4805-H4805</f>
        <v>0</v>
      </c>
      <c r="K4805" s="5">
        <f>IF(H4805=0,"",J4805/H4805)</f>
        <v>0</v>
      </c>
      <c r="L4805">
        <f>IF(OR(AND(H4805=0,ABS(J4805)&gt;=0.01),AND(H4805&lt;&gt;0,ABS(K4805)&gt;VarianceThreshold)),"Review","OK")</f>
        <v>0</v>
      </c>
      <c r="M4805" t="s">
        <v>33</v>
      </c>
    </row>
    <row r="4806" spans="1:13">
      <c r="A4806" t="s">
        <v>7</v>
      </c>
      <c r="B4806" t="s">
        <v>701</v>
      </c>
      <c r="C4806" t="s">
        <v>3373</v>
      </c>
      <c r="D4806" t="s">
        <v>1484</v>
      </c>
      <c r="E4806" cm="1">
        <f t="array" ref="E4806">_xlfn.XLOOKUP(D4806,SKU_Master!A:A,SKU_Master!B:B,"Not on master")</f>
        <v>0</v>
      </c>
      <c r="F4806" cm="1">
        <f t="array" ref="F4806">_xlfn.XLOOKUP(C4806,Account_Master!A:A,Account_Master!B:B,"Not on master")</f>
        <v>0</v>
      </c>
      <c r="G4806" cm="1">
        <f t="array" ref="G4806">_xlfn.XLOOKUP(C4806,Account_Master!A:A,Account_Master!C:C,"Not on master")</f>
        <v>0</v>
      </c>
      <c r="H4806" s="6">
        <v>1.5</v>
      </c>
      <c r="I4806" s="6">
        <v>1.5</v>
      </c>
      <c r="J4806" s="6">
        <f>I4806-H4806</f>
        <v>0</v>
      </c>
      <c r="K4806" s="5">
        <f>IF(H4806=0,"",J4806/H4806)</f>
        <v>0</v>
      </c>
      <c r="L4806">
        <f>IF(OR(AND(H4806=0,ABS(J4806)&gt;=0.01),AND(H4806&lt;&gt;0,ABS(K4806)&gt;VarianceThreshold)),"Review","OK")</f>
        <v>0</v>
      </c>
      <c r="M4806" t="s">
        <v>33</v>
      </c>
    </row>
    <row r="4807" spans="1:13">
      <c r="A4807" t="s">
        <v>7</v>
      </c>
      <c r="B4807" t="s">
        <v>701</v>
      </c>
      <c r="C4807" t="s">
        <v>3477</v>
      </c>
      <c r="D4807" t="s">
        <v>2866</v>
      </c>
      <c r="E4807" cm="1">
        <f t="array" ref="E4807">_xlfn.XLOOKUP(D4807,SKU_Master!A:A,SKU_Master!B:B,"Not on master")</f>
        <v>0</v>
      </c>
      <c r="F4807" cm="1">
        <f t="array" ref="F4807">_xlfn.XLOOKUP(C4807,Account_Master!A:A,Account_Master!B:B,"Not on master")</f>
        <v>0</v>
      </c>
      <c r="G4807" cm="1">
        <f t="array" ref="G4807">_xlfn.XLOOKUP(C4807,Account_Master!A:A,Account_Master!C:C,"Not on master")</f>
        <v>0</v>
      </c>
      <c r="H4807" s="6">
        <v>18</v>
      </c>
      <c r="I4807" s="6">
        <v>18</v>
      </c>
      <c r="J4807" s="6">
        <f>I4807-H4807</f>
        <v>0</v>
      </c>
      <c r="K4807" s="5">
        <f>IF(H4807=0,"",J4807/H4807)</f>
        <v>0</v>
      </c>
      <c r="L4807">
        <f>IF(OR(AND(H4807=0,ABS(J4807)&gt;=0.01),AND(H4807&lt;&gt;0,ABS(K4807)&gt;VarianceThreshold)),"Review","OK")</f>
        <v>0</v>
      </c>
      <c r="M4807" t="s">
        <v>33</v>
      </c>
    </row>
    <row r="4808" spans="1:13">
      <c r="A4808" t="s">
        <v>7</v>
      </c>
      <c r="B4808" t="s">
        <v>701</v>
      </c>
      <c r="C4808" t="s">
        <v>3355</v>
      </c>
      <c r="D4808" t="s">
        <v>2745</v>
      </c>
      <c r="E4808" cm="1">
        <f t="array" ref="E4808">_xlfn.XLOOKUP(D4808,SKU_Master!A:A,SKU_Master!B:B,"Not on master")</f>
        <v>0</v>
      </c>
      <c r="F4808" cm="1">
        <f t="array" ref="F4808">_xlfn.XLOOKUP(C4808,Account_Master!A:A,Account_Master!B:B,"Not on master")</f>
        <v>0</v>
      </c>
      <c r="G4808" cm="1">
        <f t="array" ref="G4808">_xlfn.XLOOKUP(C4808,Account_Master!A:A,Account_Master!C:C,"Not on master")</f>
        <v>0</v>
      </c>
      <c r="H4808" s="6">
        <v>9</v>
      </c>
      <c r="I4808" s="6">
        <v>9</v>
      </c>
      <c r="J4808" s="6">
        <f>I4808-H4808</f>
        <v>0</v>
      </c>
      <c r="K4808" s="5">
        <f>IF(H4808=0,"",J4808/H4808)</f>
        <v>0</v>
      </c>
      <c r="L4808">
        <f>IF(OR(AND(H4808=0,ABS(J4808)&gt;=0.01),AND(H4808&lt;&gt;0,ABS(K4808)&gt;VarianceThreshold)),"Review","OK")</f>
        <v>0</v>
      </c>
      <c r="M4808" t="s">
        <v>33</v>
      </c>
    </row>
    <row r="4809" spans="1:13">
      <c r="A4809" t="s">
        <v>7</v>
      </c>
      <c r="B4809" t="s">
        <v>701</v>
      </c>
      <c r="C4809" t="s">
        <v>3393</v>
      </c>
      <c r="D4809" t="s">
        <v>3594</v>
      </c>
      <c r="E4809" cm="1">
        <f t="array" ref="E4809">_xlfn.XLOOKUP(D4809,SKU_Master!A:A,SKU_Master!B:B,"Not on master")</f>
        <v>0</v>
      </c>
      <c r="F4809" cm="1">
        <f t="array" ref="F4809">_xlfn.XLOOKUP(C4809,Account_Master!A:A,Account_Master!B:B,"Not on master")</f>
        <v>0</v>
      </c>
      <c r="G4809" cm="1">
        <f t="array" ref="G4809">_xlfn.XLOOKUP(C4809,Account_Master!A:A,Account_Master!C:C,"Not on master")</f>
        <v>0</v>
      </c>
      <c r="H4809" s="6">
        <v>1.4</v>
      </c>
      <c r="I4809" s="6">
        <v>1.4</v>
      </c>
      <c r="J4809" s="6">
        <f>I4809-H4809</f>
        <v>0</v>
      </c>
      <c r="K4809" s="5">
        <f>IF(H4809=0,"",J4809/H4809)</f>
        <v>0</v>
      </c>
      <c r="L4809">
        <f>IF(OR(AND(H4809=0,ABS(J4809)&gt;=0.01),AND(H4809&lt;&gt;0,ABS(K4809)&gt;VarianceThreshold)),"Review","OK")</f>
        <v>0</v>
      </c>
      <c r="M4809" t="s">
        <v>33</v>
      </c>
    </row>
    <row r="4810" spans="1:13">
      <c r="A4810" t="s">
        <v>7</v>
      </c>
      <c r="B4810" t="s">
        <v>701</v>
      </c>
      <c r="C4810" t="s">
        <v>33</v>
      </c>
      <c r="D4810" t="s">
        <v>3595</v>
      </c>
      <c r="E4810" cm="1">
        <f t="array" ref="E4810">_xlfn.XLOOKUP(D4810,SKU_Master!A:A,SKU_Master!B:B,"Not on master")</f>
        <v>0</v>
      </c>
      <c r="F4810" cm="1">
        <f t="array" ref="F4810">_xlfn.XLOOKUP(C4810,Account_Master!A:A,Account_Master!B:B,"Not on master")</f>
        <v>0</v>
      </c>
      <c r="G4810" cm="1">
        <f t="array" ref="G4810">_xlfn.XLOOKUP(C4810,Account_Master!A:A,Account_Master!C:C,"Not on master")</f>
        <v>0</v>
      </c>
      <c r="H4810" s="6">
        <v>0</v>
      </c>
      <c r="I4810" s="6">
        <v>1.5</v>
      </c>
      <c r="J4810" s="6">
        <f>I4810-H4810</f>
        <v>0</v>
      </c>
      <c r="K4810" s="5">
        <f>IF(H4810=0,"",J4810/H4810)</f>
        <v>0</v>
      </c>
      <c r="L4810">
        <f>IF(OR(AND(H4810=0,ABS(J4810)&gt;=0.01),AND(H4810&lt;&gt;0,ABS(K4810)&gt;VarianceThreshold)),"Review","OK")</f>
        <v>0</v>
      </c>
      <c r="M4810" t="s">
        <v>3038</v>
      </c>
    </row>
    <row r="4811" spans="1:13">
      <c r="A4811" t="s">
        <v>7</v>
      </c>
      <c r="B4811" t="s">
        <v>701</v>
      </c>
      <c r="C4811" t="s">
        <v>33</v>
      </c>
      <c r="D4811" t="s">
        <v>3596</v>
      </c>
      <c r="E4811" cm="1">
        <f t="array" ref="E4811">_xlfn.XLOOKUP(D4811,SKU_Master!A:A,SKU_Master!B:B,"Not on master")</f>
        <v>0</v>
      </c>
      <c r="F4811" cm="1">
        <f t="array" ref="F4811">_xlfn.XLOOKUP(C4811,Account_Master!A:A,Account_Master!B:B,"Not on master")</f>
        <v>0</v>
      </c>
      <c r="G4811" cm="1">
        <f t="array" ref="G4811">_xlfn.XLOOKUP(C4811,Account_Master!A:A,Account_Master!C:C,"Not on master")</f>
        <v>0</v>
      </c>
      <c r="H4811" s="6">
        <v>0</v>
      </c>
      <c r="I4811" s="6">
        <v>0.75</v>
      </c>
      <c r="J4811" s="6">
        <f>I4811-H4811</f>
        <v>0</v>
      </c>
      <c r="K4811" s="5">
        <f>IF(H4811=0,"",J4811/H4811)</f>
        <v>0</v>
      </c>
      <c r="L4811">
        <f>IF(OR(AND(H4811=0,ABS(J4811)&gt;=0.01),AND(H4811&lt;&gt;0,ABS(K4811)&gt;VarianceThreshold)),"Review","OK")</f>
        <v>0</v>
      </c>
      <c r="M4811" t="s">
        <v>3038</v>
      </c>
    </row>
    <row r="4812" spans="1:13">
      <c r="A4812" t="s">
        <v>7</v>
      </c>
      <c r="B4812" t="s">
        <v>708</v>
      </c>
      <c r="C4812" t="s">
        <v>3402</v>
      </c>
      <c r="D4812" t="s">
        <v>3597</v>
      </c>
      <c r="E4812" cm="1">
        <f t="array" ref="E4812">_xlfn.XLOOKUP(D4812,SKU_Master!A:A,SKU_Master!B:B,"Not on master")</f>
        <v>0</v>
      </c>
      <c r="F4812" cm="1">
        <f t="array" ref="F4812">_xlfn.XLOOKUP(C4812,Account_Master!A:A,Account_Master!B:B,"Not on master")</f>
        <v>0</v>
      </c>
      <c r="G4812" cm="1">
        <f t="array" ref="G4812">_xlfn.XLOOKUP(C4812,Account_Master!A:A,Account_Master!C:C,"Not on master")</f>
        <v>0</v>
      </c>
      <c r="H4812" s="6">
        <v>37.5</v>
      </c>
      <c r="I4812" s="6">
        <v>33</v>
      </c>
      <c r="J4812" s="6">
        <f>I4812-H4812</f>
        <v>0</v>
      </c>
      <c r="K4812" s="5">
        <f>IF(H4812=0,"",J4812/H4812)</f>
        <v>0</v>
      </c>
      <c r="L4812">
        <f>IF(OR(AND(H4812=0,ABS(J4812)&gt;=0.01),AND(H4812&lt;&gt;0,ABS(K4812)&gt;VarianceThreshold)),"Review","OK")</f>
        <v>0</v>
      </c>
      <c r="M4812" t="s">
        <v>3038</v>
      </c>
    </row>
    <row r="4813" spans="1:13">
      <c r="A4813" t="s">
        <v>7</v>
      </c>
      <c r="B4813" t="s">
        <v>708</v>
      </c>
      <c r="C4813" t="s">
        <v>3377</v>
      </c>
      <c r="D4813" t="s">
        <v>1152</v>
      </c>
      <c r="E4813" cm="1">
        <f t="array" ref="E4813">_xlfn.XLOOKUP(D4813,SKU_Master!A:A,SKU_Master!B:B,"Not on master")</f>
        <v>0</v>
      </c>
      <c r="F4813" cm="1">
        <f t="array" ref="F4813">_xlfn.XLOOKUP(C4813,Account_Master!A:A,Account_Master!B:B,"Not on master")</f>
        <v>0</v>
      </c>
      <c r="G4813" cm="1">
        <f t="array" ref="G4813">_xlfn.XLOOKUP(C4813,Account_Master!A:A,Account_Master!C:C,"Not on master")</f>
        <v>0</v>
      </c>
      <c r="H4813" s="6">
        <v>5.25</v>
      </c>
      <c r="I4813" s="6">
        <v>5.25</v>
      </c>
      <c r="J4813" s="6">
        <f>I4813-H4813</f>
        <v>0</v>
      </c>
      <c r="K4813" s="5">
        <f>IF(H4813=0,"",J4813/H4813)</f>
        <v>0</v>
      </c>
      <c r="L4813">
        <f>IF(OR(AND(H4813=0,ABS(J4813)&gt;=0.01),AND(H4813&lt;&gt;0,ABS(K4813)&gt;VarianceThreshold)),"Review","OK")</f>
        <v>0</v>
      </c>
      <c r="M4813" t="s">
        <v>33</v>
      </c>
    </row>
    <row r="4814" spans="1:13">
      <c r="A4814" t="s">
        <v>7</v>
      </c>
      <c r="B4814" t="s">
        <v>708</v>
      </c>
      <c r="C4814" t="s">
        <v>3369</v>
      </c>
      <c r="D4814" t="s">
        <v>176</v>
      </c>
      <c r="E4814" cm="1">
        <f t="array" ref="E4814">_xlfn.XLOOKUP(D4814,SKU_Master!A:A,SKU_Master!B:B,"Not on master")</f>
        <v>0</v>
      </c>
      <c r="F4814" cm="1">
        <f t="array" ref="F4814">_xlfn.XLOOKUP(C4814,Account_Master!A:A,Account_Master!B:B,"Not on master")</f>
        <v>0</v>
      </c>
      <c r="G4814" cm="1">
        <f t="array" ref="G4814">_xlfn.XLOOKUP(C4814,Account_Master!A:A,Account_Master!C:C,"Not on master")</f>
        <v>0</v>
      </c>
      <c r="H4814" s="6">
        <v>32.8</v>
      </c>
      <c r="I4814" s="6">
        <v>32.8</v>
      </c>
      <c r="J4814" s="6">
        <f>I4814-H4814</f>
        <v>0</v>
      </c>
      <c r="K4814" s="5">
        <f>IF(H4814=0,"",J4814/H4814)</f>
        <v>0</v>
      </c>
      <c r="L4814">
        <f>IF(OR(AND(H4814=0,ABS(J4814)&gt;=0.01),AND(H4814&lt;&gt;0,ABS(K4814)&gt;VarianceThreshold)),"Review","OK")</f>
        <v>0</v>
      </c>
      <c r="M4814" t="s">
        <v>33</v>
      </c>
    </row>
    <row r="4815" spans="1:13">
      <c r="A4815" t="s">
        <v>7</v>
      </c>
      <c r="B4815" t="s">
        <v>708</v>
      </c>
      <c r="C4815" t="s">
        <v>3369</v>
      </c>
      <c r="D4815" t="s">
        <v>431</v>
      </c>
      <c r="E4815" cm="1">
        <f t="array" ref="E4815">_xlfn.XLOOKUP(D4815,SKU_Master!A:A,SKU_Master!B:B,"Not on master")</f>
        <v>0</v>
      </c>
      <c r="F4815" cm="1">
        <f t="array" ref="F4815">_xlfn.XLOOKUP(C4815,Account_Master!A:A,Account_Master!B:B,"Not on master")</f>
        <v>0</v>
      </c>
      <c r="G4815" cm="1">
        <f t="array" ref="G4815">_xlfn.XLOOKUP(C4815,Account_Master!A:A,Account_Master!C:C,"Not on master")</f>
        <v>0</v>
      </c>
      <c r="H4815" s="6">
        <v>9</v>
      </c>
      <c r="I4815" s="6">
        <v>9</v>
      </c>
      <c r="J4815" s="6">
        <f>I4815-H4815</f>
        <v>0</v>
      </c>
      <c r="K4815" s="5">
        <f>IF(H4815=0,"",J4815/H4815)</f>
        <v>0</v>
      </c>
      <c r="L4815">
        <f>IF(OR(AND(H4815=0,ABS(J4815)&gt;=0.01),AND(H4815&lt;&gt;0,ABS(K4815)&gt;VarianceThreshold)),"Review","OK")</f>
        <v>0</v>
      </c>
      <c r="M4815" t="s">
        <v>33</v>
      </c>
    </row>
    <row r="4816" spans="1:13">
      <c r="A4816" t="s">
        <v>7</v>
      </c>
      <c r="B4816" t="s">
        <v>708</v>
      </c>
      <c r="C4816" t="s">
        <v>3355</v>
      </c>
      <c r="D4816" t="s">
        <v>3134</v>
      </c>
      <c r="E4816" cm="1">
        <f t="array" ref="E4816">_xlfn.XLOOKUP(D4816,SKU_Master!A:A,SKU_Master!B:B,"Not on master")</f>
        <v>0</v>
      </c>
      <c r="F4816" cm="1">
        <f t="array" ref="F4816">_xlfn.XLOOKUP(C4816,Account_Master!A:A,Account_Master!B:B,"Not on master")</f>
        <v>0</v>
      </c>
      <c r="G4816" cm="1">
        <f t="array" ref="G4816">_xlfn.XLOOKUP(C4816,Account_Master!A:A,Account_Master!C:C,"Not on master")</f>
        <v>0</v>
      </c>
      <c r="H4816" s="6">
        <v>35</v>
      </c>
      <c r="I4816" s="6">
        <v>35</v>
      </c>
      <c r="J4816" s="6">
        <f>I4816-H4816</f>
        <v>0</v>
      </c>
      <c r="K4816" s="5">
        <f>IF(H4816=0,"",J4816/H4816)</f>
        <v>0</v>
      </c>
      <c r="L4816">
        <f>IF(OR(AND(H4816=0,ABS(J4816)&gt;=0.01),AND(H4816&lt;&gt;0,ABS(K4816)&gt;VarianceThreshold)),"Review","OK")</f>
        <v>0</v>
      </c>
      <c r="M4816" t="s">
        <v>33</v>
      </c>
    </row>
    <row r="4817" spans="1:13">
      <c r="A4817" t="s">
        <v>7</v>
      </c>
      <c r="B4817" t="s">
        <v>708</v>
      </c>
      <c r="C4817" t="s">
        <v>3513</v>
      </c>
      <c r="D4817" t="s">
        <v>1808</v>
      </c>
      <c r="E4817" cm="1">
        <f t="array" ref="E4817">_xlfn.XLOOKUP(D4817,SKU_Master!A:A,SKU_Master!B:B,"Not on master")</f>
        <v>0</v>
      </c>
      <c r="F4817" cm="1">
        <f t="array" ref="F4817">_xlfn.XLOOKUP(C4817,Account_Master!A:A,Account_Master!B:B,"Not on master")</f>
        <v>0</v>
      </c>
      <c r="G4817" cm="1">
        <f t="array" ref="G4817">_xlfn.XLOOKUP(C4817,Account_Master!A:A,Account_Master!C:C,"Not on master")</f>
        <v>0</v>
      </c>
      <c r="H4817" s="6">
        <v>21</v>
      </c>
      <c r="I4817" s="6">
        <v>21</v>
      </c>
      <c r="J4817" s="6">
        <f>I4817-H4817</f>
        <v>0</v>
      </c>
      <c r="K4817" s="5">
        <f>IF(H4817=0,"",J4817/H4817)</f>
        <v>0</v>
      </c>
      <c r="L4817">
        <f>IF(OR(AND(H4817=0,ABS(J4817)&gt;=0.01),AND(H4817&lt;&gt;0,ABS(K4817)&gt;VarianceThreshold)),"Review","OK")</f>
        <v>0</v>
      </c>
      <c r="M4817" t="s">
        <v>33</v>
      </c>
    </row>
    <row r="4818" spans="1:13">
      <c r="A4818" t="s">
        <v>7</v>
      </c>
      <c r="B4818" t="s">
        <v>708</v>
      </c>
      <c r="C4818" t="s">
        <v>3369</v>
      </c>
      <c r="D4818" t="s">
        <v>3598</v>
      </c>
      <c r="E4818" cm="1">
        <f t="array" ref="E4818">_xlfn.XLOOKUP(D4818,SKU_Master!A:A,SKU_Master!B:B,"Not on master")</f>
        <v>0</v>
      </c>
      <c r="F4818" cm="1">
        <f t="array" ref="F4818">_xlfn.XLOOKUP(C4818,Account_Master!A:A,Account_Master!B:B,"Not on master")</f>
        <v>0</v>
      </c>
      <c r="G4818" cm="1">
        <f t="array" ref="G4818">_xlfn.XLOOKUP(C4818,Account_Master!A:A,Account_Master!C:C,"Not on master")</f>
        <v>0</v>
      </c>
      <c r="H4818" s="6">
        <v>31.5</v>
      </c>
      <c r="I4818" s="6">
        <v>31.5</v>
      </c>
      <c r="J4818" s="6">
        <f>I4818-H4818</f>
        <v>0</v>
      </c>
      <c r="K4818" s="5">
        <f>IF(H4818=0,"",J4818/H4818)</f>
        <v>0</v>
      </c>
      <c r="L4818">
        <f>IF(OR(AND(H4818=0,ABS(J4818)&gt;=0.01),AND(H4818&lt;&gt;0,ABS(K4818)&gt;VarianceThreshold)),"Review","OK")</f>
        <v>0</v>
      </c>
      <c r="M4818" t="s">
        <v>33</v>
      </c>
    </row>
    <row r="4819" spans="1:13">
      <c r="A4819" t="s">
        <v>7</v>
      </c>
      <c r="B4819" t="s">
        <v>708</v>
      </c>
      <c r="C4819" t="s">
        <v>3471</v>
      </c>
      <c r="D4819" t="s">
        <v>591</v>
      </c>
      <c r="E4819" cm="1">
        <f t="array" ref="E4819">_xlfn.XLOOKUP(D4819,SKU_Master!A:A,SKU_Master!B:B,"Not on master")</f>
        <v>0</v>
      </c>
      <c r="F4819" cm="1">
        <f t="array" ref="F4819">_xlfn.XLOOKUP(C4819,Account_Master!A:A,Account_Master!B:B,"Not on master")</f>
        <v>0</v>
      </c>
      <c r="G4819" cm="1">
        <f t="array" ref="G4819">_xlfn.XLOOKUP(C4819,Account_Master!A:A,Account_Master!C:C,"Not on master")</f>
        <v>0</v>
      </c>
      <c r="H4819" s="6">
        <v>112</v>
      </c>
      <c r="I4819" s="6">
        <v>112</v>
      </c>
      <c r="J4819" s="6">
        <f>I4819-H4819</f>
        <v>0</v>
      </c>
      <c r="K4819" s="5">
        <f>IF(H4819=0,"",J4819/H4819)</f>
        <v>0</v>
      </c>
      <c r="L4819">
        <f>IF(OR(AND(H4819=0,ABS(J4819)&gt;=0.01),AND(H4819&lt;&gt;0,ABS(K4819)&gt;VarianceThreshold)),"Review","OK")</f>
        <v>0</v>
      </c>
      <c r="M4819" t="s">
        <v>33</v>
      </c>
    </row>
    <row r="4820" spans="1:13">
      <c r="A4820" t="s">
        <v>7</v>
      </c>
      <c r="B4820" t="s">
        <v>708</v>
      </c>
      <c r="C4820" t="s">
        <v>3355</v>
      </c>
      <c r="D4820" t="s">
        <v>718</v>
      </c>
      <c r="E4820" cm="1">
        <f t="array" ref="E4820">_xlfn.XLOOKUP(D4820,SKU_Master!A:A,SKU_Master!B:B,"Not on master")</f>
        <v>0</v>
      </c>
      <c r="F4820" cm="1">
        <f t="array" ref="F4820">_xlfn.XLOOKUP(C4820,Account_Master!A:A,Account_Master!B:B,"Not on master")</f>
        <v>0</v>
      </c>
      <c r="G4820" cm="1">
        <f t="array" ref="G4820">_xlfn.XLOOKUP(C4820,Account_Master!A:A,Account_Master!C:C,"Not on master")</f>
        <v>0</v>
      </c>
      <c r="H4820" s="6">
        <v>36</v>
      </c>
      <c r="I4820" s="6">
        <v>36</v>
      </c>
      <c r="J4820" s="6">
        <f>I4820-H4820</f>
        <v>0</v>
      </c>
      <c r="K4820" s="5">
        <f>IF(H4820=0,"",J4820/H4820)</f>
        <v>0</v>
      </c>
      <c r="L4820">
        <f>IF(OR(AND(H4820=0,ABS(J4820)&gt;=0.01),AND(H4820&lt;&gt;0,ABS(K4820)&gt;VarianceThreshold)),"Review","OK")</f>
        <v>0</v>
      </c>
      <c r="M4820" t="s">
        <v>33</v>
      </c>
    </row>
    <row r="4821" spans="1:13">
      <c r="A4821" t="s">
        <v>7</v>
      </c>
      <c r="B4821" t="s">
        <v>708</v>
      </c>
      <c r="C4821" t="s">
        <v>3387</v>
      </c>
      <c r="D4821" t="s">
        <v>2685</v>
      </c>
      <c r="E4821" cm="1">
        <f t="array" ref="E4821">_xlfn.XLOOKUP(D4821,SKU_Master!A:A,SKU_Master!B:B,"Not on master")</f>
        <v>0</v>
      </c>
      <c r="F4821" cm="1">
        <f t="array" ref="F4821">_xlfn.XLOOKUP(C4821,Account_Master!A:A,Account_Master!B:B,"Not on master")</f>
        <v>0</v>
      </c>
      <c r="G4821" cm="1">
        <f t="array" ref="G4821">_xlfn.XLOOKUP(C4821,Account_Master!A:A,Account_Master!C:C,"Not on master")</f>
        <v>0</v>
      </c>
      <c r="H4821" s="6">
        <v>24</v>
      </c>
      <c r="I4821" s="6">
        <v>24</v>
      </c>
      <c r="J4821" s="6">
        <f>I4821-H4821</f>
        <v>0</v>
      </c>
      <c r="K4821" s="5">
        <f>IF(H4821=0,"",J4821/H4821)</f>
        <v>0</v>
      </c>
      <c r="L4821">
        <f>IF(OR(AND(H4821=0,ABS(J4821)&gt;=0.01),AND(H4821&lt;&gt;0,ABS(K4821)&gt;VarianceThreshold)),"Review","OK")</f>
        <v>0</v>
      </c>
      <c r="M4821" t="s">
        <v>33</v>
      </c>
    </row>
    <row r="4822" spans="1:13">
      <c r="A4822" t="s">
        <v>7</v>
      </c>
      <c r="B4822" t="s">
        <v>708</v>
      </c>
      <c r="C4822" t="s">
        <v>33</v>
      </c>
      <c r="D4822" t="s">
        <v>3599</v>
      </c>
      <c r="E4822" cm="1">
        <f t="array" ref="E4822">_xlfn.XLOOKUP(D4822,SKU_Master!A:A,SKU_Master!B:B,"Not on master")</f>
        <v>0</v>
      </c>
      <c r="F4822" cm="1">
        <f t="array" ref="F4822">_xlfn.XLOOKUP(C4822,Account_Master!A:A,Account_Master!B:B,"Not on master")</f>
        <v>0</v>
      </c>
      <c r="G4822" cm="1">
        <f t="array" ref="G4822">_xlfn.XLOOKUP(C4822,Account_Master!A:A,Account_Master!C:C,"Not on master")</f>
        <v>0</v>
      </c>
      <c r="H4822" s="6">
        <v>0</v>
      </c>
      <c r="I4822" s="6">
        <v>0.75</v>
      </c>
      <c r="J4822" s="6">
        <f>I4822-H4822</f>
        <v>0</v>
      </c>
      <c r="K4822" s="5">
        <f>IF(H4822=0,"",J4822/H4822)</f>
        <v>0</v>
      </c>
      <c r="L4822">
        <f>IF(OR(AND(H4822=0,ABS(J4822)&gt;=0.01),AND(H4822&lt;&gt;0,ABS(K4822)&gt;VarianceThreshold)),"Review","OK")</f>
        <v>0</v>
      </c>
      <c r="M4822" t="s">
        <v>3038</v>
      </c>
    </row>
    <row r="4823" spans="1:13">
      <c r="A4823" t="s">
        <v>7</v>
      </c>
      <c r="B4823" t="s">
        <v>719</v>
      </c>
      <c r="C4823" t="s">
        <v>3420</v>
      </c>
      <c r="D4823" t="s">
        <v>3600</v>
      </c>
      <c r="E4823" cm="1">
        <f t="array" ref="E4823">_xlfn.XLOOKUP(D4823,SKU_Master!A:A,SKU_Master!B:B,"Not on master")</f>
        <v>0</v>
      </c>
      <c r="F4823" cm="1">
        <f t="array" ref="F4823">_xlfn.XLOOKUP(C4823,Account_Master!A:A,Account_Master!B:B,"Not on master")</f>
        <v>0</v>
      </c>
      <c r="G4823" cm="1">
        <f t="array" ref="G4823">_xlfn.XLOOKUP(C4823,Account_Master!A:A,Account_Master!C:C,"Not on master")</f>
        <v>0</v>
      </c>
      <c r="H4823" s="6">
        <v>3.75</v>
      </c>
      <c r="I4823" s="6">
        <v>3.75</v>
      </c>
      <c r="J4823" s="6">
        <f>I4823-H4823</f>
        <v>0</v>
      </c>
      <c r="K4823" s="5">
        <f>IF(H4823=0,"",J4823/H4823)</f>
        <v>0</v>
      </c>
      <c r="L4823">
        <f>IF(OR(AND(H4823=0,ABS(J4823)&gt;=0.01),AND(H4823&lt;&gt;0,ABS(K4823)&gt;VarianceThreshold)),"Review","OK")</f>
        <v>0</v>
      </c>
      <c r="M4823" t="s">
        <v>33</v>
      </c>
    </row>
    <row r="4824" spans="1:13">
      <c r="A4824" t="s">
        <v>7</v>
      </c>
      <c r="B4824" t="s">
        <v>719</v>
      </c>
      <c r="C4824" t="s">
        <v>3414</v>
      </c>
      <c r="D4824" t="s">
        <v>1419</v>
      </c>
      <c r="E4824" cm="1">
        <f t="array" ref="E4824">_xlfn.XLOOKUP(D4824,SKU_Master!A:A,SKU_Master!B:B,"Not on master")</f>
        <v>0</v>
      </c>
      <c r="F4824" cm="1">
        <f t="array" ref="F4824">_xlfn.XLOOKUP(C4824,Account_Master!A:A,Account_Master!B:B,"Not on master")</f>
        <v>0</v>
      </c>
      <c r="G4824" cm="1">
        <f t="array" ref="G4824">_xlfn.XLOOKUP(C4824,Account_Master!A:A,Account_Master!C:C,"Not on master")</f>
        <v>0</v>
      </c>
      <c r="H4824" s="6">
        <v>0.75</v>
      </c>
      <c r="I4824" s="6">
        <v>0.75</v>
      </c>
      <c r="J4824" s="6">
        <f>I4824-H4824</f>
        <v>0</v>
      </c>
      <c r="K4824" s="5">
        <f>IF(H4824=0,"",J4824/H4824)</f>
        <v>0</v>
      </c>
      <c r="L4824">
        <f>IF(OR(AND(H4824=0,ABS(J4824)&gt;=0.01),AND(H4824&lt;&gt;0,ABS(K4824)&gt;VarianceThreshold)),"Review","OK")</f>
        <v>0</v>
      </c>
      <c r="M4824" t="s">
        <v>33</v>
      </c>
    </row>
    <row r="4825" spans="1:13">
      <c r="A4825" t="s">
        <v>7</v>
      </c>
      <c r="B4825" t="s">
        <v>719</v>
      </c>
      <c r="C4825" t="s">
        <v>3601</v>
      </c>
      <c r="D4825" t="s">
        <v>1630</v>
      </c>
      <c r="E4825" cm="1">
        <f t="array" ref="E4825">_xlfn.XLOOKUP(D4825,SKU_Master!A:A,SKU_Master!B:B,"Not on master")</f>
        <v>0</v>
      </c>
      <c r="F4825" cm="1">
        <f t="array" ref="F4825">_xlfn.XLOOKUP(C4825,Account_Master!A:A,Account_Master!B:B,"Not on master")</f>
        <v>0</v>
      </c>
      <c r="G4825" cm="1">
        <f t="array" ref="G4825">_xlfn.XLOOKUP(C4825,Account_Master!A:A,Account_Master!C:C,"Not on master")</f>
        <v>0</v>
      </c>
      <c r="H4825" s="6">
        <v>4.5</v>
      </c>
      <c r="I4825" s="6">
        <v>4.5</v>
      </c>
      <c r="J4825" s="6">
        <f>I4825-H4825</f>
        <v>0</v>
      </c>
      <c r="K4825" s="5">
        <f>IF(H4825=0,"",J4825/H4825)</f>
        <v>0</v>
      </c>
      <c r="L4825">
        <f>IF(OR(AND(H4825=0,ABS(J4825)&gt;=0.01),AND(H4825&lt;&gt;0,ABS(K4825)&gt;VarianceThreshold)),"Review","OK")</f>
        <v>0</v>
      </c>
      <c r="M4825" t="s">
        <v>33</v>
      </c>
    </row>
    <row r="4826" spans="1:13">
      <c r="A4826" t="s">
        <v>7</v>
      </c>
      <c r="B4826" t="s">
        <v>719</v>
      </c>
      <c r="C4826" t="s">
        <v>3354</v>
      </c>
      <c r="D4826" t="s">
        <v>3169</v>
      </c>
      <c r="E4826" cm="1">
        <f t="array" ref="E4826">_xlfn.XLOOKUP(D4826,SKU_Master!A:A,SKU_Master!B:B,"Not on master")</f>
        <v>0</v>
      </c>
      <c r="F4826" cm="1">
        <f t="array" ref="F4826">_xlfn.XLOOKUP(C4826,Account_Master!A:A,Account_Master!B:B,"Not on master")</f>
        <v>0</v>
      </c>
      <c r="G4826" cm="1">
        <f t="array" ref="G4826">_xlfn.XLOOKUP(C4826,Account_Master!A:A,Account_Master!C:C,"Not on master")</f>
        <v>0</v>
      </c>
      <c r="H4826" s="6">
        <v>4.5</v>
      </c>
      <c r="I4826" s="6">
        <v>4.5</v>
      </c>
      <c r="J4826" s="6">
        <f>I4826-H4826</f>
        <v>0</v>
      </c>
      <c r="K4826" s="5">
        <f>IF(H4826=0,"",J4826/H4826)</f>
        <v>0</v>
      </c>
      <c r="L4826">
        <f>IF(OR(AND(H4826=0,ABS(J4826)&gt;=0.01),AND(H4826&lt;&gt;0,ABS(K4826)&gt;VarianceThreshold)),"Review","OK")</f>
        <v>0</v>
      </c>
      <c r="M4826" t="s">
        <v>33</v>
      </c>
    </row>
    <row r="4827" spans="1:13">
      <c r="A4827" t="s">
        <v>7</v>
      </c>
      <c r="B4827" t="s">
        <v>719</v>
      </c>
      <c r="C4827" t="s">
        <v>3545</v>
      </c>
      <c r="D4827" t="s">
        <v>383</v>
      </c>
      <c r="E4827" cm="1">
        <f t="array" ref="E4827">_xlfn.XLOOKUP(D4827,SKU_Master!A:A,SKU_Master!B:B,"Not on master")</f>
        <v>0</v>
      </c>
      <c r="F4827" cm="1">
        <f t="array" ref="F4827">_xlfn.XLOOKUP(C4827,Account_Master!A:A,Account_Master!B:B,"Not on master")</f>
        <v>0</v>
      </c>
      <c r="G4827" cm="1">
        <f t="array" ref="G4827">_xlfn.XLOOKUP(C4827,Account_Master!A:A,Account_Master!C:C,"Not on master")</f>
        <v>0</v>
      </c>
      <c r="H4827" s="6">
        <v>9</v>
      </c>
      <c r="I4827" s="6">
        <v>9</v>
      </c>
      <c r="J4827" s="6">
        <f>I4827-H4827</f>
        <v>0</v>
      </c>
      <c r="K4827" s="5">
        <f>IF(H4827=0,"",J4827/H4827)</f>
        <v>0</v>
      </c>
      <c r="L4827">
        <f>IF(OR(AND(H4827=0,ABS(J4827)&gt;=0.01),AND(H4827&lt;&gt;0,ABS(K4827)&gt;VarianceThreshold)),"Review","OK")</f>
        <v>0</v>
      </c>
      <c r="M4827" t="s">
        <v>33</v>
      </c>
    </row>
    <row r="4828" spans="1:13">
      <c r="A4828" t="s">
        <v>7</v>
      </c>
      <c r="B4828" t="s">
        <v>719</v>
      </c>
      <c r="C4828" t="s">
        <v>3387</v>
      </c>
      <c r="D4828" t="s">
        <v>832</v>
      </c>
      <c r="E4828" cm="1">
        <f t="array" ref="E4828">_xlfn.XLOOKUP(D4828,SKU_Master!A:A,SKU_Master!B:B,"Not on master")</f>
        <v>0</v>
      </c>
      <c r="F4828" cm="1">
        <f t="array" ref="F4828">_xlfn.XLOOKUP(C4828,Account_Master!A:A,Account_Master!B:B,"Not on master")</f>
        <v>0</v>
      </c>
      <c r="G4828" cm="1">
        <f t="array" ref="G4828">_xlfn.XLOOKUP(C4828,Account_Master!A:A,Account_Master!C:C,"Not on master")</f>
        <v>0</v>
      </c>
      <c r="H4828" s="6">
        <v>42</v>
      </c>
      <c r="I4828" s="6">
        <v>42</v>
      </c>
      <c r="J4828" s="6">
        <f>I4828-H4828</f>
        <v>0</v>
      </c>
      <c r="K4828" s="5">
        <f>IF(H4828=0,"",J4828/H4828)</f>
        <v>0</v>
      </c>
      <c r="L4828">
        <f>IF(OR(AND(H4828=0,ABS(J4828)&gt;=0.01),AND(H4828&lt;&gt;0,ABS(K4828)&gt;VarianceThreshold)),"Review","OK")</f>
        <v>0</v>
      </c>
      <c r="M4828" t="s">
        <v>33</v>
      </c>
    </row>
    <row r="4829" spans="1:13">
      <c r="A4829" t="s">
        <v>7</v>
      </c>
      <c r="B4829" t="s">
        <v>719</v>
      </c>
      <c r="C4829" t="s">
        <v>3356</v>
      </c>
      <c r="D4829" t="s">
        <v>150</v>
      </c>
      <c r="E4829" cm="1">
        <f t="array" ref="E4829">_xlfn.XLOOKUP(D4829,SKU_Master!A:A,SKU_Master!B:B,"Not on master")</f>
        <v>0</v>
      </c>
      <c r="F4829" cm="1">
        <f t="array" ref="F4829">_xlfn.XLOOKUP(C4829,Account_Master!A:A,Account_Master!B:B,"Not on master")</f>
        <v>0</v>
      </c>
      <c r="G4829" cm="1">
        <f t="array" ref="G4829">_xlfn.XLOOKUP(C4829,Account_Master!A:A,Account_Master!C:C,"Not on master")</f>
        <v>0</v>
      </c>
      <c r="H4829" s="6">
        <v>1.5</v>
      </c>
      <c r="I4829" s="6">
        <v>1.5</v>
      </c>
      <c r="J4829" s="6">
        <f>I4829-H4829</f>
        <v>0</v>
      </c>
      <c r="K4829" s="5">
        <f>IF(H4829=0,"",J4829/H4829)</f>
        <v>0</v>
      </c>
      <c r="L4829">
        <f>IF(OR(AND(H4829=0,ABS(J4829)&gt;=0.01),AND(H4829&lt;&gt;0,ABS(K4829)&gt;VarianceThreshold)),"Review","OK")</f>
        <v>0</v>
      </c>
      <c r="M4829" t="s">
        <v>33</v>
      </c>
    </row>
    <row r="4830" spans="1:13">
      <c r="A4830" t="s">
        <v>7</v>
      </c>
      <c r="B4830" t="s">
        <v>719</v>
      </c>
      <c r="C4830" t="s">
        <v>3431</v>
      </c>
      <c r="D4830" t="s">
        <v>603</v>
      </c>
      <c r="E4830" cm="1">
        <f t="array" ref="E4830">_xlfn.XLOOKUP(D4830,SKU_Master!A:A,SKU_Master!B:B,"Not on master")</f>
        <v>0</v>
      </c>
      <c r="F4830" cm="1">
        <f t="array" ref="F4830">_xlfn.XLOOKUP(C4830,Account_Master!A:A,Account_Master!B:B,"Not on master")</f>
        <v>0</v>
      </c>
      <c r="G4830" cm="1">
        <f t="array" ref="G4830">_xlfn.XLOOKUP(C4830,Account_Master!A:A,Account_Master!C:C,"Not on master")</f>
        <v>0</v>
      </c>
      <c r="H4830" s="6">
        <v>30.8</v>
      </c>
      <c r="I4830" s="6">
        <v>30.8</v>
      </c>
      <c r="J4830" s="6">
        <f>I4830-H4830</f>
        <v>0</v>
      </c>
      <c r="K4830" s="5">
        <f>IF(H4830=0,"",J4830/H4830)</f>
        <v>0</v>
      </c>
      <c r="L4830">
        <f>IF(OR(AND(H4830=0,ABS(J4830)&gt;=0.01),AND(H4830&lt;&gt;0,ABS(K4830)&gt;VarianceThreshold)),"Review","OK")</f>
        <v>0</v>
      </c>
      <c r="M4830" t="s">
        <v>33</v>
      </c>
    </row>
    <row r="4831" spans="1:13">
      <c r="A4831" t="s">
        <v>7</v>
      </c>
      <c r="B4831" t="s">
        <v>727</v>
      </c>
      <c r="C4831" t="s">
        <v>3368</v>
      </c>
      <c r="D4831" t="s">
        <v>2734</v>
      </c>
      <c r="E4831" cm="1">
        <f t="array" ref="E4831">_xlfn.XLOOKUP(D4831,SKU_Master!A:A,SKU_Master!B:B,"Not on master")</f>
        <v>0</v>
      </c>
      <c r="F4831" cm="1">
        <f t="array" ref="F4831">_xlfn.XLOOKUP(C4831,Account_Master!A:A,Account_Master!B:B,"Not on master")</f>
        <v>0</v>
      </c>
      <c r="G4831" cm="1">
        <f t="array" ref="G4831">_xlfn.XLOOKUP(C4831,Account_Master!A:A,Account_Master!C:C,"Not on master")</f>
        <v>0</v>
      </c>
      <c r="H4831" s="6">
        <v>13.5</v>
      </c>
      <c r="I4831" s="6">
        <v>13.5</v>
      </c>
      <c r="J4831" s="6">
        <f>I4831-H4831</f>
        <v>0</v>
      </c>
      <c r="K4831" s="5">
        <f>IF(H4831=0,"",J4831/H4831)</f>
        <v>0</v>
      </c>
      <c r="L4831">
        <f>IF(OR(AND(H4831=0,ABS(J4831)&gt;=0.01),AND(H4831&lt;&gt;0,ABS(K4831)&gt;VarianceThreshold)),"Review","OK")</f>
        <v>0</v>
      </c>
      <c r="M4831" t="s">
        <v>33</v>
      </c>
    </row>
    <row r="4832" spans="1:13">
      <c r="A4832" t="s">
        <v>7</v>
      </c>
      <c r="B4832" t="s">
        <v>727</v>
      </c>
      <c r="C4832" t="s">
        <v>3421</v>
      </c>
      <c r="D4832" t="s">
        <v>490</v>
      </c>
      <c r="E4832" cm="1">
        <f t="array" ref="E4832">_xlfn.XLOOKUP(D4832,SKU_Master!A:A,SKU_Master!B:B,"Not on master")</f>
        <v>0</v>
      </c>
      <c r="F4832" cm="1">
        <f t="array" ref="F4832">_xlfn.XLOOKUP(C4832,Account_Master!A:A,Account_Master!B:B,"Not on master")</f>
        <v>0</v>
      </c>
      <c r="G4832" cm="1">
        <f t="array" ref="G4832">_xlfn.XLOOKUP(C4832,Account_Master!A:A,Account_Master!C:C,"Not on master")</f>
        <v>0</v>
      </c>
      <c r="H4832" s="6">
        <v>2.25</v>
      </c>
      <c r="I4832" s="6">
        <v>2.25</v>
      </c>
      <c r="J4832" s="6">
        <f>I4832-H4832</f>
        <v>0</v>
      </c>
      <c r="K4832" s="5">
        <f>IF(H4832=0,"",J4832/H4832)</f>
        <v>0</v>
      </c>
      <c r="L4832">
        <f>IF(OR(AND(H4832=0,ABS(J4832)&gt;=0.01),AND(H4832&lt;&gt;0,ABS(K4832)&gt;VarianceThreshold)),"Review","OK")</f>
        <v>0</v>
      </c>
      <c r="M4832" t="s">
        <v>33</v>
      </c>
    </row>
    <row r="4833" spans="1:13">
      <c r="A4833" t="s">
        <v>7</v>
      </c>
      <c r="B4833" t="s">
        <v>727</v>
      </c>
      <c r="C4833" t="s">
        <v>3393</v>
      </c>
      <c r="D4833" t="s">
        <v>295</v>
      </c>
      <c r="E4833" cm="1">
        <f t="array" ref="E4833">_xlfn.XLOOKUP(D4833,SKU_Master!A:A,SKU_Master!B:B,"Not on master")</f>
        <v>0</v>
      </c>
      <c r="F4833" cm="1">
        <f t="array" ref="F4833">_xlfn.XLOOKUP(C4833,Account_Master!A:A,Account_Master!B:B,"Not on master")</f>
        <v>0</v>
      </c>
      <c r="G4833" cm="1">
        <f t="array" ref="G4833">_xlfn.XLOOKUP(C4833,Account_Master!A:A,Account_Master!C:C,"Not on master")</f>
        <v>0</v>
      </c>
      <c r="H4833" s="6">
        <v>9</v>
      </c>
      <c r="I4833" s="6">
        <v>9</v>
      </c>
      <c r="J4833" s="6">
        <f>I4833-H4833</f>
        <v>0</v>
      </c>
      <c r="K4833" s="5">
        <f>IF(H4833=0,"",J4833/H4833)</f>
        <v>0</v>
      </c>
      <c r="L4833">
        <f>IF(OR(AND(H4833=0,ABS(J4833)&gt;=0.01),AND(H4833&lt;&gt;0,ABS(K4833)&gt;VarianceThreshold)),"Review","OK")</f>
        <v>0</v>
      </c>
      <c r="M4833" t="s">
        <v>33</v>
      </c>
    </row>
    <row r="4834" spans="1:13">
      <c r="A4834" t="s">
        <v>7</v>
      </c>
      <c r="B4834" t="s">
        <v>734</v>
      </c>
      <c r="C4834" t="s">
        <v>3368</v>
      </c>
      <c r="D4834" t="s">
        <v>1756</v>
      </c>
      <c r="E4834" cm="1">
        <f t="array" ref="E4834">_xlfn.XLOOKUP(D4834,SKU_Master!A:A,SKU_Master!B:B,"Not on master")</f>
        <v>0</v>
      </c>
      <c r="F4834" cm="1">
        <f t="array" ref="F4834">_xlfn.XLOOKUP(C4834,Account_Master!A:A,Account_Master!B:B,"Not on master")</f>
        <v>0</v>
      </c>
      <c r="G4834" cm="1">
        <f t="array" ref="G4834">_xlfn.XLOOKUP(C4834,Account_Master!A:A,Account_Master!C:C,"Not on master")</f>
        <v>0</v>
      </c>
      <c r="H4834" s="6">
        <v>43.75</v>
      </c>
      <c r="I4834" s="6">
        <v>43.75</v>
      </c>
      <c r="J4834" s="6">
        <f>I4834-H4834</f>
        <v>0</v>
      </c>
      <c r="K4834" s="5">
        <f>IF(H4834=0,"",J4834/H4834)</f>
        <v>0</v>
      </c>
      <c r="L4834">
        <f>IF(OR(AND(H4834=0,ABS(J4834)&gt;=0.01),AND(H4834&lt;&gt;0,ABS(K4834)&gt;VarianceThreshold)),"Review","OK")</f>
        <v>0</v>
      </c>
      <c r="M4834" t="s">
        <v>33</v>
      </c>
    </row>
    <row r="4835" spans="1:13">
      <c r="A4835" t="s">
        <v>7</v>
      </c>
      <c r="B4835" t="s">
        <v>734</v>
      </c>
      <c r="C4835" t="s">
        <v>3402</v>
      </c>
      <c r="D4835" t="s">
        <v>2159</v>
      </c>
      <c r="E4835" cm="1">
        <f t="array" ref="E4835">_xlfn.XLOOKUP(D4835,SKU_Master!A:A,SKU_Master!B:B,"Not on master")</f>
        <v>0</v>
      </c>
      <c r="F4835" cm="1">
        <f t="array" ref="F4835">_xlfn.XLOOKUP(C4835,Account_Master!A:A,Account_Master!B:B,"Not on master")</f>
        <v>0</v>
      </c>
      <c r="G4835" cm="1">
        <f t="array" ref="G4835">_xlfn.XLOOKUP(C4835,Account_Master!A:A,Account_Master!C:C,"Not on master")</f>
        <v>0</v>
      </c>
      <c r="H4835" s="6">
        <v>0.15</v>
      </c>
      <c r="I4835" s="6">
        <v>0.15</v>
      </c>
      <c r="J4835" s="6">
        <f>I4835-H4835</f>
        <v>0</v>
      </c>
      <c r="K4835" s="5">
        <f>IF(H4835=0,"",J4835/H4835)</f>
        <v>0</v>
      </c>
      <c r="L4835">
        <f>IF(OR(AND(H4835=0,ABS(J4835)&gt;=0.01),AND(H4835&lt;&gt;0,ABS(K4835)&gt;VarianceThreshold)),"Review","OK")</f>
        <v>0</v>
      </c>
      <c r="M4835" t="s">
        <v>33</v>
      </c>
    </row>
    <row r="4836" spans="1:13">
      <c r="A4836" t="s">
        <v>7</v>
      </c>
      <c r="B4836" t="s">
        <v>734</v>
      </c>
      <c r="C4836" t="s">
        <v>3358</v>
      </c>
      <c r="D4836" t="s">
        <v>2980</v>
      </c>
      <c r="E4836" cm="1">
        <f t="array" ref="E4836">_xlfn.XLOOKUP(D4836,SKU_Master!A:A,SKU_Master!B:B,"Not on master")</f>
        <v>0</v>
      </c>
      <c r="F4836" cm="1">
        <f t="array" ref="F4836">_xlfn.XLOOKUP(C4836,Account_Master!A:A,Account_Master!B:B,"Not on master")</f>
        <v>0</v>
      </c>
      <c r="G4836" cm="1">
        <f t="array" ref="G4836">_xlfn.XLOOKUP(C4836,Account_Master!A:A,Account_Master!C:C,"Not on master")</f>
        <v>0</v>
      </c>
      <c r="H4836" s="6">
        <v>4.5</v>
      </c>
      <c r="I4836" s="6">
        <v>4.5</v>
      </c>
      <c r="J4836" s="6">
        <f>I4836-H4836</f>
        <v>0</v>
      </c>
      <c r="K4836" s="5">
        <f>IF(H4836=0,"",J4836/H4836)</f>
        <v>0</v>
      </c>
      <c r="L4836">
        <f>IF(OR(AND(H4836=0,ABS(J4836)&gt;=0.01),AND(H4836&lt;&gt;0,ABS(K4836)&gt;VarianceThreshold)),"Review","OK")</f>
        <v>0</v>
      </c>
      <c r="M4836" t="s">
        <v>33</v>
      </c>
    </row>
    <row r="4837" spans="1:13">
      <c r="A4837" t="s">
        <v>7</v>
      </c>
      <c r="B4837" t="s">
        <v>734</v>
      </c>
      <c r="C4837" t="s">
        <v>3602</v>
      </c>
      <c r="D4837" t="s">
        <v>1266</v>
      </c>
      <c r="E4837" cm="1">
        <f t="array" ref="E4837">_xlfn.XLOOKUP(D4837,SKU_Master!A:A,SKU_Master!B:B,"Not on master")</f>
        <v>0</v>
      </c>
      <c r="F4837" cm="1">
        <f t="array" ref="F4837">_xlfn.XLOOKUP(C4837,Account_Master!A:A,Account_Master!B:B,"Not on master")</f>
        <v>0</v>
      </c>
      <c r="G4837" cm="1">
        <f t="array" ref="G4837">_xlfn.XLOOKUP(C4837,Account_Master!A:A,Account_Master!C:C,"Not on master")</f>
        <v>0</v>
      </c>
      <c r="H4837" s="6">
        <v>0.4</v>
      </c>
      <c r="I4837" s="6">
        <v>0.4</v>
      </c>
      <c r="J4837" s="6">
        <f>I4837-H4837</f>
        <v>0</v>
      </c>
      <c r="K4837" s="5">
        <f>IF(H4837=0,"",J4837/H4837)</f>
        <v>0</v>
      </c>
      <c r="L4837">
        <f>IF(OR(AND(H4837=0,ABS(J4837)&gt;=0.01),AND(H4837&lt;&gt;0,ABS(K4837)&gt;VarianceThreshold)),"Review","OK")</f>
        <v>0</v>
      </c>
      <c r="M4837" t="s">
        <v>33</v>
      </c>
    </row>
    <row r="4838" spans="1:13">
      <c r="A4838" t="s">
        <v>7</v>
      </c>
      <c r="B4838" t="s">
        <v>734</v>
      </c>
      <c r="C4838" t="s">
        <v>3368</v>
      </c>
      <c r="D4838" t="s">
        <v>3603</v>
      </c>
      <c r="E4838" cm="1">
        <f t="array" ref="E4838">_xlfn.XLOOKUP(D4838,SKU_Master!A:A,SKU_Master!B:B,"Not on master")</f>
        <v>0</v>
      </c>
      <c r="F4838" cm="1">
        <f t="array" ref="F4838">_xlfn.XLOOKUP(C4838,Account_Master!A:A,Account_Master!B:B,"Not on master")</f>
        <v>0</v>
      </c>
      <c r="G4838" cm="1">
        <f t="array" ref="G4838">_xlfn.XLOOKUP(C4838,Account_Master!A:A,Account_Master!C:C,"Not on master")</f>
        <v>0</v>
      </c>
      <c r="H4838" s="6">
        <v>10.5</v>
      </c>
      <c r="I4838" s="6">
        <v>10.5</v>
      </c>
      <c r="J4838" s="6">
        <f>I4838-H4838</f>
        <v>0</v>
      </c>
      <c r="K4838" s="5">
        <f>IF(H4838=0,"",J4838/H4838)</f>
        <v>0</v>
      </c>
      <c r="L4838">
        <f>IF(OR(AND(H4838=0,ABS(J4838)&gt;=0.01),AND(H4838&lt;&gt;0,ABS(K4838)&gt;VarianceThreshold)),"Review","OK")</f>
        <v>0</v>
      </c>
      <c r="M4838" t="s">
        <v>33</v>
      </c>
    </row>
    <row r="4839" spans="1:13">
      <c r="A4839" t="s">
        <v>7</v>
      </c>
      <c r="B4839" t="s">
        <v>734</v>
      </c>
      <c r="C4839" t="s">
        <v>3357</v>
      </c>
      <c r="D4839" t="s">
        <v>261</v>
      </c>
      <c r="E4839" cm="1">
        <f t="array" ref="E4839">_xlfn.XLOOKUP(D4839,SKU_Master!A:A,SKU_Master!B:B,"Not on master")</f>
        <v>0</v>
      </c>
      <c r="F4839" cm="1">
        <f t="array" ref="F4839">_xlfn.XLOOKUP(C4839,Account_Master!A:A,Account_Master!B:B,"Not on master")</f>
        <v>0</v>
      </c>
      <c r="G4839" cm="1">
        <f t="array" ref="G4839">_xlfn.XLOOKUP(C4839,Account_Master!A:A,Account_Master!C:C,"Not on master")</f>
        <v>0</v>
      </c>
      <c r="H4839" s="6">
        <v>56</v>
      </c>
      <c r="I4839" s="6">
        <v>56</v>
      </c>
      <c r="J4839" s="6">
        <f>I4839-H4839</f>
        <v>0</v>
      </c>
      <c r="K4839" s="5">
        <f>IF(H4839=0,"",J4839/H4839)</f>
        <v>0</v>
      </c>
      <c r="L4839">
        <f>IF(OR(AND(H4839=0,ABS(J4839)&gt;=0.01),AND(H4839&lt;&gt;0,ABS(K4839)&gt;VarianceThreshold)),"Review","OK")</f>
        <v>0</v>
      </c>
      <c r="M4839" t="s">
        <v>33</v>
      </c>
    </row>
    <row r="4840" spans="1:13">
      <c r="A4840" t="s">
        <v>7</v>
      </c>
      <c r="B4840" t="s">
        <v>734</v>
      </c>
      <c r="C4840" t="s">
        <v>3386</v>
      </c>
      <c r="D4840" t="s">
        <v>390</v>
      </c>
      <c r="E4840" cm="1">
        <f t="array" ref="E4840">_xlfn.XLOOKUP(D4840,SKU_Master!A:A,SKU_Master!B:B,"Not on master")</f>
        <v>0</v>
      </c>
      <c r="F4840" cm="1">
        <f t="array" ref="F4840">_xlfn.XLOOKUP(C4840,Account_Master!A:A,Account_Master!B:B,"Not on master")</f>
        <v>0</v>
      </c>
      <c r="G4840" cm="1">
        <f t="array" ref="G4840">_xlfn.XLOOKUP(C4840,Account_Master!A:A,Account_Master!C:C,"Not on master")</f>
        <v>0</v>
      </c>
      <c r="H4840" s="6">
        <v>2520</v>
      </c>
      <c r="I4840" s="6">
        <v>2520</v>
      </c>
      <c r="J4840" s="6">
        <f>I4840-H4840</f>
        <v>0</v>
      </c>
      <c r="K4840" s="5">
        <f>IF(H4840=0,"",J4840/H4840)</f>
        <v>0</v>
      </c>
      <c r="L4840">
        <f>IF(OR(AND(H4840=0,ABS(J4840)&gt;=0.01),AND(H4840&lt;&gt;0,ABS(K4840)&gt;VarianceThreshold)),"Review","OK")</f>
        <v>0</v>
      </c>
      <c r="M4840" t="s">
        <v>33</v>
      </c>
    </row>
    <row r="4841" spans="1:13">
      <c r="A4841" t="s">
        <v>7</v>
      </c>
      <c r="B4841" t="s">
        <v>746</v>
      </c>
      <c r="C4841" t="s">
        <v>3504</v>
      </c>
      <c r="D4841" t="s">
        <v>1229</v>
      </c>
      <c r="E4841" cm="1">
        <f t="array" ref="E4841">_xlfn.XLOOKUP(D4841,SKU_Master!A:A,SKU_Master!B:B,"Not on master")</f>
        <v>0</v>
      </c>
      <c r="F4841" cm="1">
        <f t="array" ref="F4841">_xlfn.XLOOKUP(C4841,Account_Master!A:A,Account_Master!B:B,"Not on master")</f>
        <v>0</v>
      </c>
      <c r="G4841" cm="1">
        <f t="array" ref="G4841">_xlfn.XLOOKUP(C4841,Account_Master!A:A,Account_Master!C:C,"Not on master")</f>
        <v>0</v>
      </c>
      <c r="H4841" s="6">
        <v>0.75</v>
      </c>
      <c r="I4841" s="6">
        <v>0.75</v>
      </c>
      <c r="J4841" s="6">
        <f>I4841-H4841</f>
        <v>0</v>
      </c>
      <c r="K4841" s="5">
        <f>IF(H4841=0,"",J4841/H4841)</f>
        <v>0</v>
      </c>
      <c r="L4841">
        <f>IF(OR(AND(H4841=0,ABS(J4841)&gt;=0.01),AND(H4841&lt;&gt;0,ABS(K4841)&gt;VarianceThreshold)),"Review","OK")</f>
        <v>0</v>
      </c>
      <c r="M4841" t="s">
        <v>33</v>
      </c>
    </row>
    <row r="4842" spans="1:13">
      <c r="A4842" t="s">
        <v>7</v>
      </c>
      <c r="B4842" t="s">
        <v>746</v>
      </c>
      <c r="C4842" t="s">
        <v>3358</v>
      </c>
      <c r="D4842" t="s">
        <v>3604</v>
      </c>
      <c r="E4842" cm="1">
        <f t="array" ref="E4842">_xlfn.XLOOKUP(D4842,SKU_Master!A:A,SKU_Master!B:B,"Not on master")</f>
        <v>0</v>
      </c>
      <c r="F4842" cm="1">
        <f t="array" ref="F4842">_xlfn.XLOOKUP(C4842,Account_Master!A:A,Account_Master!B:B,"Not on master")</f>
        <v>0</v>
      </c>
      <c r="G4842" cm="1">
        <f t="array" ref="G4842">_xlfn.XLOOKUP(C4842,Account_Master!A:A,Account_Master!C:C,"Not on master")</f>
        <v>0</v>
      </c>
      <c r="H4842" s="6">
        <v>63</v>
      </c>
      <c r="I4842" s="6">
        <v>63</v>
      </c>
      <c r="J4842" s="6">
        <f>I4842-H4842</f>
        <v>0</v>
      </c>
      <c r="K4842" s="5">
        <f>IF(H4842=0,"",J4842/H4842)</f>
        <v>0</v>
      </c>
      <c r="L4842">
        <f>IF(OR(AND(H4842=0,ABS(J4842)&gt;=0.01),AND(H4842&lt;&gt;0,ABS(K4842)&gt;VarianceThreshold)),"Review","OK")</f>
        <v>0</v>
      </c>
      <c r="M4842" t="s">
        <v>33</v>
      </c>
    </row>
    <row r="4843" spans="1:13">
      <c r="A4843" t="s">
        <v>7</v>
      </c>
      <c r="B4843" t="s">
        <v>746</v>
      </c>
      <c r="C4843" t="s">
        <v>3448</v>
      </c>
      <c r="D4843" t="s">
        <v>235</v>
      </c>
      <c r="E4843" cm="1">
        <f t="array" ref="E4843">_xlfn.XLOOKUP(D4843,SKU_Master!A:A,SKU_Master!B:B,"Not on master")</f>
        <v>0</v>
      </c>
      <c r="F4843" cm="1">
        <f t="array" ref="F4843">_xlfn.XLOOKUP(C4843,Account_Master!A:A,Account_Master!B:B,"Not on master")</f>
        <v>0</v>
      </c>
      <c r="G4843" cm="1">
        <f t="array" ref="G4843">_xlfn.XLOOKUP(C4843,Account_Master!A:A,Account_Master!C:C,"Not on master")</f>
        <v>0</v>
      </c>
      <c r="H4843" s="6">
        <v>9</v>
      </c>
      <c r="I4843" s="6">
        <v>9</v>
      </c>
      <c r="J4843" s="6">
        <f>I4843-H4843</f>
        <v>0</v>
      </c>
      <c r="K4843" s="5">
        <f>IF(H4843=0,"",J4843/H4843)</f>
        <v>0</v>
      </c>
      <c r="L4843">
        <f>IF(OR(AND(H4843=0,ABS(J4843)&gt;=0.01),AND(H4843&lt;&gt;0,ABS(K4843)&gt;VarianceThreshold)),"Review","OK")</f>
        <v>0</v>
      </c>
      <c r="M4843" t="s">
        <v>33</v>
      </c>
    </row>
    <row r="4844" spans="1:13">
      <c r="A4844" t="s">
        <v>7</v>
      </c>
      <c r="B4844" t="s">
        <v>746</v>
      </c>
      <c r="C4844" t="s">
        <v>3356</v>
      </c>
      <c r="D4844" t="s">
        <v>714</v>
      </c>
      <c r="E4844" cm="1">
        <f t="array" ref="E4844">_xlfn.XLOOKUP(D4844,SKU_Master!A:A,SKU_Master!B:B,"Not on master")</f>
        <v>0</v>
      </c>
      <c r="F4844" cm="1">
        <f t="array" ref="F4844">_xlfn.XLOOKUP(C4844,Account_Master!A:A,Account_Master!B:B,"Not on master")</f>
        <v>0</v>
      </c>
      <c r="G4844" cm="1">
        <f t="array" ref="G4844">_xlfn.XLOOKUP(C4844,Account_Master!A:A,Account_Master!C:C,"Not on master")</f>
        <v>0</v>
      </c>
      <c r="H4844" s="6">
        <v>4.5</v>
      </c>
      <c r="I4844" s="6">
        <v>4.5</v>
      </c>
      <c r="J4844" s="6">
        <f>I4844-H4844</f>
        <v>0</v>
      </c>
      <c r="K4844" s="5">
        <f>IF(H4844=0,"",J4844/H4844)</f>
        <v>0</v>
      </c>
      <c r="L4844">
        <f>IF(OR(AND(H4844=0,ABS(J4844)&gt;=0.01),AND(H4844&lt;&gt;0,ABS(K4844)&gt;VarianceThreshold)),"Review","OK")</f>
        <v>0</v>
      </c>
      <c r="M4844" t="s">
        <v>33</v>
      </c>
    </row>
    <row r="4845" spans="1:13">
      <c r="A4845" t="s">
        <v>7</v>
      </c>
      <c r="B4845" t="s">
        <v>746</v>
      </c>
      <c r="C4845" t="s">
        <v>3408</v>
      </c>
      <c r="D4845" t="s">
        <v>40</v>
      </c>
      <c r="E4845" cm="1">
        <f t="array" ref="E4845">_xlfn.XLOOKUP(D4845,SKU_Master!A:A,SKU_Master!B:B,"Not on master")</f>
        <v>0</v>
      </c>
      <c r="F4845" cm="1">
        <f t="array" ref="F4845">_xlfn.XLOOKUP(C4845,Account_Master!A:A,Account_Master!B:B,"Not on master")</f>
        <v>0</v>
      </c>
      <c r="G4845" cm="1">
        <f t="array" ref="G4845">_xlfn.XLOOKUP(C4845,Account_Master!A:A,Account_Master!C:C,"Not on master")</f>
        <v>0</v>
      </c>
      <c r="H4845" s="6">
        <v>39.75</v>
      </c>
      <c r="I4845" s="6">
        <v>30.75</v>
      </c>
      <c r="J4845" s="6">
        <f>I4845-H4845</f>
        <v>0</v>
      </c>
      <c r="K4845" s="5">
        <f>IF(H4845=0,"",J4845/H4845)</f>
        <v>0</v>
      </c>
      <c r="L4845">
        <f>IF(OR(AND(H4845=0,ABS(J4845)&gt;=0.01),AND(H4845&lt;&gt;0,ABS(K4845)&gt;VarianceThreshold)),"Review","OK")</f>
        <v>0</v>
      </c>
      <c r="M4845" t="s">
        <v>3038</v>
      </c>
    </row>
    <row r="4846" spans="1:13">
      <c r="A4846" t="s">
        <v>7</v>
      </c>
      <c r="B4846" t="s">
        <v>746</v>
      </c>
      <c r="C4846" t="s">
        <v>3605</v>
      </c>
      <c r="D4846" t="s">
        <v>1385</v>
      </c>
      <c r="E4846" cm="1">
        <f t="array" ref="E4846">_xlfn.XLOOKUP(D4846,SKU_Master!A:A,SKU_Master!B:B,"Not on master")</f>
        <v>0</v>
      </c>
      <c r="F4846" cm="1">
        <f t="array" ref="F4846">_xlfn.XLOOKUP(C4846,Account_Master!A:A,Account_Master!B:B,"Not on master")</f>
        <v>0</v>
      </c>
      <c r="G4846" cm="1">
        <f t="array" ref="G4846">_xlfn.XLOOKUP(C4846,Account_Master!A:A,Account_Master!C:C,"Not on master")</f>
        <v>0</v>
      </c>
      <c r="H4846" s="6">
        <v>0.05</v>
      </c>
      <c r="I4846" s="6">
        <v>0.05</v>
      </c>
      <c r="J4846" s="6">
        <f>I4846-H4846</f>
        <v>0</v>
      </c>
      <c r="K4846" s="5">
        <f>IF(H4846=0,"",J4846/H4846)</f>
        <v>0</v>
      </c>
      <c r="L4846">
        <f>IF(OR(AND(H4846=0,ABS(J4846)&gt;=0.01),AND(H4846&lt;&gt;0,ABS(K4846)&gt;VarianceThreshold)),"Review","OK")</f>
        <v>0</v>
      </c>
      <c r="M4846" t="s">
        <v>33</v>
      </c>
    </row>
    <row r="4847" spans="1:13">
      <c r="A4847" t="s">
        <v>7</v>
      </c>
      <c r="B4847" t="s">
        <v>746</v>
      </c>
      <c r="C4847" t="s">
        <v>3400</v>
      </c>
      <c r="D4847" t="s">
        <v>2288</v>
      </c>
      <c r="E4847" cm="1">
        <f t="array" ref="E4847">_xlfn.XLOOKUP(D4847,SKU_Master!A:A,SKU_Master!B:B,"Not on master")</f>
        <v>0</v>
      </c>
      <c r="F4847" cm="1">
        <f t="array" ref="F4847">_xlfn.XLOOKUP(C4847,Account_Master!A:A,Account_Master!B:B,"Not on master")</f>
        <v>0</v>
      </c>
      <c r="G4847" cm="1">
        <f t="array" ref="G4847">_xlfn.XLOOKUP(C4847,Account_Master!A:A,Account_Master!C:C,"Not on master")</f>
        <v>0</v>
      </c>
      <c r="H4847" s="6">
        <v>3</v>
      </c>
      <c r="I4847" s="6">
        <v>3</v>
      </c>
      <c r="J4847" s="6">
        <f>I4847-H4847</f>
        <v>0</v>
      </c>
      <c r="K4847" s="5">
        <f>IF(H4847=0,"",J4847/H4847)</f>
        <v>0</v>
      </c>
      <c r="L4847">
        <f>IF(OR(AND(H4847=0,ABS(J4847)&gt;=0.01),AND(H4847&lt;&gt;0,ABS(K4847)&gt;VarianceThreshold)),"Review","OK")</f>
        <v>0</v>
      </c>
      <c r="M4847" t="s">
        <v>33</v>
      </c>
    </row>
    <row r="4848" spans="1:13">
      <c r="A4848" t="s">
        <v>7</v>
      </c>
      <c r="B4848" t="s">
        <v>746</v>
      </c>
      <c r="C4848" t="s">
        <v>3421</v>
      </c>
      <c r="D4848" t="s">
        <v>1898</v>
      </c>
      <c r="E4848" cm="1">
        <f t="array" ref="E4848">_xlfn.XLOOKUP(D4848,SKU_Master!A:A,SKU_Master!B:B,"Not on master")</f>
        <v>0</v>
      </c>
      <c r="F4848" cm="1">
        <f t="array" ref="F4848">_xlfn.XLOOKUP(C4848,Account_Master!A:A,Account_Master!B:B,"Not on master")</f>
        <v>0</v>
      </c>
      <c r="G4848" cm="1">
        <f t="array" ref="G4848">_xlfn.XLOOKUP(C4848,Account_Master!A:A,Account_Master!C:C,"Not on master")</f>
        <v>0</v>
      </c>
      <c r="H4848" s="6">
        <v>3.75</v>
      </c>
      <c r="I4848" s="6">
        <v>3.75</v>
      </c>
      <c r="J4848" s="6">
        <f>I4848-H4848</f>
        <v>0</v>
      </c>
      <c r="K4848" s="5">
        <f>IF(H4848=0,"",J4848/H4848)</f>
        <v>0</v>
      </c>
      <c r="L4848">
        <f>IF(OR(AND(H4848=0,ABS(J4848)&gt;=0.01),AND(H4848&lt;&gt;0,ABS(K4848)&gt;VarianceThreshold)),"Review","OK")</f>
        <v>0</v>
      </c>
      <c r="M4848" t="s">
        <v>33</v>
      </c>
    </row>
    <row r="4849" spans="1:13">
      <c r="A4849" t="s">
        <v>7</v>
      </c>
      <c r="B4849" t="s">
        <v>755</v>
      </c>
      <c r="C4849" t="s">
        <v>3356</v>
      </c>
      <c r="D4849" t="s">
        <v>1769</v>
      </c>
      <c r="E4849" cm="1">
        <f t="array" ref="E4849">_xlfn.XLOOKUP(D4849,SKU_Master!A:A,SKU_Master!B:B,"Not on master")</f>
        <v>0</v>
      </c>
      <c r="F4849" cm="1">
        <f t="array" ref="F4849">_xlfn.XLOOKUP(C4849,Account_Master!A:A,Account_Master!B:B,"Not on master")</f>
        <v>0</v>
      </c>
      <c r="G4849" cm="1">
        <f t="array" ref="G4849">_xlfn.XLOOKUP(C4849,Account_Master!A:A,Account_Master!C:C,"Not on master")</f>
        <v>0</v>
      </c>
      <c r="H4849" s="6">
        <v>65</v>
      </c>
      <c r="I4849" s="6">
        <v>65</v>
      </c>
      <c r="J4849" s="6">
        <f>I4849-H4849</f>
        <v>0</v>
      </c>
      <c r="K4849" s="5">
        <f>IF(H4849=0,"",J4849/H4849)</f>
        <v>0</v>
      </c>
      <c r="L4849">
        <f>IF(OR(AND(H4849=0,ABS(J4849)&gt;=0.01),AND(H4849&lt;&gt;0,ABS(K4849)&gt;VarianceThreshold)),"Review","OK")</f>
        <v>0</v>
      </c>
      <c r="M4849" t="s">
        <v>33</v>
      </c>
    </row>
    <row r="4850" spans="1:13">
      <c r="A4850" t="s">
        <v>7</v>
      </c>
      <c r="B4850" t="s">
        <v>755</v>
      </c>
      <c r="C4850" t="s">
        <v>3368</v>
      </c>
      <c r="D4850" t="s">
        <v>1182</v>
      </c>
      <c r="E4850" cm="1">
        <f t="array" ref="E4850">_xlfn.XLOOKUP(D4850,SKU_Master!A:A,SKU_Master!B:B,"Not on master")</f>
        <v>0</v>
      </c>
      <c r="F4850" cm="1">
        <f t="array" ref="F4850">_xlfn.XLOOKUP(C4850,Account_Master!A:A,Account_Master!B:B,"Not on master")</f>
        <v>0</v>
      </c>
      <c r="G4850" cm="1">
        <f t="array" ref="G4850">_xlfn.XLOOKUP(C4850,Account_Master!A:A,Account_Master!C:C,"Not on master")</f>
        <v>0</v>
      </c>
      <c r="H4850" s="6">
        <v>1093.75</v>
      </c>
      <c r="I4850" s="6">
        <v>1093.75</v>
      </c>
      <c r="J4850" s="6">
        <f>I4850-H4850</f>
        <v>0</v>
      </c>
      <c r="K4850" s="5">
        <f>IF(H4850=0,"",J4850/H4850)</f>
        <v>0</v>
      </c>
      <c r="L4850">
        <f>IF(OR(AND(H4850=0,ABS(J4850)&gt;=0.01),AND(H4850&lt;&gt;0,ABS(K4850)&gt;VarianceThreshold)),"Review","OK")</f>
        <v>0</v>
      </c>
      <c r="M4850" t="s">
        <v>33</v>
      </c>
    </row>
    <row r="4851" spans="1:13">
      <c r="A4851" t="s">
        <v>7</v>
      </c>
      <c r="B4851" t="s">
        <v>755</v>
      </c>
      <c r="C4851" t="s">
        <v>3504</v>
      </c>
      <c r="D4851" t="s">
        <v>3606</v>
      </c>
      <c r="E4851" cm="1">
        <f t="array" ref="E4851">_xlfn.XLOOKUP(D4851,SKU_Master!A:A,SKU_Master!B:B,"Not on master")</f>
        <v>0</v>
      </c>
      <c r="F4851" cm="1">
        <f t="array" ref="F4851">_xlfn.XLOOKUP(C4851,Account_Master!A:A,Account_Master!B:B,"Not on master")</f>
        <v>0</v>
      </c>
      <c r="G4851" cm="1">
        <f t="array" ref="G4851">_xlfn.XLOOKUP(C4851,Account_Master!A:A,Account_Master!C:C,"Not on master")</f>
        <v>0</v>
      </c>
      <c r="H4851" s="6">
        <v>10.5</v>
      </c>
      <c r="I4851" s="6">
        <v>10.5</v>
      </c>
      <c r="J4851" s="6">
        <f>I4851-H4851</f>
        <v>0</v>
      </c>
      <c r="K4851" s="5">
        <f>IF(H4851=0,"",J4851/H4851)</f>
        <v>0</v>
      </c>
      <c r="L4851">
        <f>IF(OR(AND(H4851=0,ABS(J4851)&gt;=0.01),AND(H4851&lt;&gt;0,ABS(K4851)&gt;VarianceThreshold)),"Review","OK")</f>
        <v>0</v>
      </c>
      <c r="M4851" t="s">
        <v>33</v>
      </c>
    </row>
    <row r="4852" spans="1:13">
      <c r="A4852" t="s">
        <v>7</v>
      </c>
      <c r="B4852" t="s">
        <v>755</v>
      </c>
      <c r="C4852" t="s">
        <v>3607</v>
      </c>
      <c r="D4852" t="s">
        <v>802</v>
      </c>
      <c r="E4852" cm="1">
        <f t="array" ref="E4852">_xlfn.XLOOKUP(D4852,SKU_Master!A:A,SKU_Master!B:B,"Not on master")</f>
        <v>0</v>
      </c>
      <c r="F4852" cm="1">
        <f t="array" ref="F4852">_xlfn.XLOOKUP(C4852,Account_Master!A:A,Account_Master!B:B,"Not on master")</f>
        <v>0</v>
      </c>
      <c r="G4852" cm="1">
        <f t="array" ref="G4852">_xlfn.XLOOKUP(C4852,Account_Master!A:A,Account_Master!C:C,"Not on master")</f>
        <v>0</v>
      </c>
      <c r="H4852" s="6">
        <v>9</v>
      </c>
      <c r="I4852" s="6">
        <v>9</v>
      </c>
      <c r="J4852" s="6">
        <f>I4852-H4852</f>
        <v>0</v>
      </c>
      <c r="K4852" s="5">
        <f>IF(H4852=0,"",J4852/H4852)</f>
        <v>0</v>
      </c>
      <c r="L4852">
        <f>IF(OR(AND(H4852=0,ABS(J4852)&gt;=0.01),AND(H4852&lt;&gt;0,ABS(K4852)&gt;VarianceThreshold)),"Review","OK")</f>
        <v>0</v>
      </c>
      <c r="M4852" t="s">
        <v>33</v>
      </c>
    </row>
    <row r="4853" spans="1:13">
      <c r="A4853" t="s">
        <v>7</v>
      </c>
      <c r="B4853" t="s">
        <v>755</v>
      </c>
      <c r="C4853" t="s">
        <v>3368</v>
      </c>
      <c r="D4853" t="s">
        <v>1155</v>
      </c>
      <c r="E4853" cm="1">
        <f t="array" ref="E4853">_xlfn.XLOOKUP(D4853,SKU_Master!A:A,SKU_Master!B:B,"Not on master")</f>
        <v>0</v>
      </c>
      <c r="F4853" cm="1">
        <f t="array" ref="F4853">_xlfn.XLOOKUP(C4853,Account_Master!A:A,Account_Master!B:B,"Not on master")</f>
        <v>0</v>
      </c>
      <c r="G4853" cm="1">
        <f t="array" ref="G4853">_xlfn.XLOOKUP(C4853,Account_Master!A:A,Account_Master!C:C,"Not on master")</f>
        <v>0</v>
      </c>
      <c r="H4853" s="6">
        <v>10.5</v>
      </c>
      <c r="I4853" s="6">
        <v>10.5</v>
      </c>
      <c r="J4853" s="6">
        <f>I4853-H4853</f>
        <v>0</v>
      </c>
      <c r="K4853" s="5">
        <f>IF(H4853=0,"",J4853/H4853)</f>
        <v>0</v>
      </c>
      <c r="L4853">
        <f>IF(OR(AND(H4853=0,ABS(J4853)&gt;=0.01),AND(H4853&lt;&gt;0,ABS(K4853)&gt;VarianceThreshold)),"Review","OK")</f>
        <v>0</v>
      </c>
      <c r="M4853" t="s">
        <v>33</v>
      </c>
    </row>
    <row r="4854" spans="1:13">
      <c r="A4854" t="s">
        <v>7</v>
      </c>
      <c r="B4854" t="s">
        <v>755</v>
      </c>
      <c r="C4854" t="s">
        <v>3551</v>
      </c>
      <c r="D4854" t="s">
        <v>1940</v>
      </c>
      <c r="E4854" cm="1">
        <f t="array" ref="E4854">_xlfn.XLOOKUP(D4854,SKU_Master!A:A,SKU_Master!B:B,"Not on master")</f>
        <v>0</v>
      </c>
      <c r="F4854" cm="1">
        <f t="array" ref="F4854">_xlfn.XLOOKUP(C4854,Account_Master!A:A,Account_Master!B:B,"Not on master")</f>
        <v>0</v>
      </c>
      <c r="G4854" cm="1">
        <f t="array" ref="G4854">_xlfn.XLOOKUP(C4854,Account_Master!A:A,Account_Master!C:C,"Not on master")</f>
        <v>0</v>
      </c>
      <c r="H4854" s="6">
        <v>105</v>
      </c>
      <c r="I4854" s="6">
        <v>105</v>
      </c>
      <c r="J4854" s="6">
        <f>I4854-H4854</f>
        <v>0</v>
      </c>
      <c r="K4854" s="5">
        <f>IF(H4854=0,"",J4854/H4854)</f>
        <v>0</v>
      </c>
      <c r="L4854">
        <f>IF(OR(AND(H4854=0,ABS(J4854)&gt;=0.01),AND(H4854&lt;&gt;0,ABS(K4854)&gt;VarianceThreshold)),"Review","OK")</f>
        <v>0</v>
      </c>
      <c r="M4854" t="s">
        <v>33</v>
      </c>
    </row>
    <row r="4855" spans="1:13">
      <c r="A4855" t="s">
        <v>7</v>
      </c>
      <c r="B4855" t="s">
        <v>755</v>
      </c>
      <c r="C4855" t="s">
        <v>3400</v>
      </c>
      <c r="D4855" t="s">
        <v>3608</v>
      </c>
      <c r="E4855" cm="1">
        <f t="array" ref="E4855">_xlfn.XLOOKUP(D4855,SKU_Master!A:A,SKU_Master!B:B,"Not on master")</f>
        <v>0</v>
      </c>
      <c r="F4855" cm="1">
        <f t="array" ref="F4855">_xlfn.XLOOKUP(C4855,Account_Master!A:A,Account_Master!B:B,"Not on master")</f>
        <v>0</v>
      </c>
      <c r="G4855" cm="1">
        <f t="array" ref="G4855">_xlfn.XLOOKUP(C4855,Account_Master!A:A,Account_Master!C:C,"Not on master")</f>
        <v>0</v>
      </c>
      <c r="H4855" s="6">
        <v>1.5</v>
      </c>
      <c r="I4855" s="6">
        <v>1.5</v>
      </c>
      <c r="J4855" s="6">
        <f>I4855-H4855</f>
        <v>0</v>
      </c>
      <c r="K4855" s="5">
        <f>IF(H4855=0,"",J4855/H4855)</f>
        <v>0</v>
      </c>
      <c r="L4855">
        <f>IF(OR(AND(H4855=0,ABS(J4855)&gt;=0.01),AND(H4855&lt;&gt;0,ABS(K4855)&gt;VarianceThreshold)),"Review","OK")</f>
        <v>0</v>
      </c>
      <c r="M4855" t="s">
        <v>33</v>
      </c>
    </row>
    <row r="4856" spans="1:13">
      <c r="A4856" t="s">
        <v>7</v>
      </c>
      <c r="B4856" t="s">
        <v>755</v>
      </c>
      <c r="C4856" t="s">
        <v>3532</v>
      </c>
      <c r="D4856" t="s">
        <v>42</v>
      </c>
      <c r="E4856" cm="1">
        <f t="array" ref="E4856">_xlfn.XLOOKUP(D4856,SKU_Master!A:A,SKU_Master!B:B,"Not on master")</f>
        <v>0</v>
      </c>
      <c r="F4856" cm="1">
        <f t="array" ref="F4856">_xlfn.XLOOKUP(C4856,Account_Master!A:A,Account_Master!B:B,"Not on master")</f>
        <v>0</v>
      </c>
      <c r="G4856" cm="1">
        <f t="array" ref="G4856">_xlfn.XLOOKUP(C4856,Account_Master!A:A,Account_Master!C:C,"Not on master")</f>
        <v>0</v>
      </c>
      <c r="H4856" s="6">
        <v>1.5</v>
      </c>
      <c r="I4856" s="6">
        <v>1.5</v>
      </c>
      <c r="J4856" s="6">
        <f>I4856-H4856</f>
        <v>0</v>
      </c>
      <c r="K4856" s="5">
        <f>IF(H4856=0,"",J4856/H4856)</f>
        <v>0</v>
      </c>
      <c r="L4856">
        <f>IF(OR(AND(H4856=0,ABS(J4856)&gt;=0.01),AND(H4856&lt;&gt;0,ABS(K4856)&gt;VarianceThreshold)),"Review","OK")</f>
        <v>0</v>
      </c>
      <c r="M4856" t="s">
        <v>33</v>
      </c>
    </row>
    <row r="4857" spans="1:13">
      <c r="A4857" t="s">
        <v>7</v>
      </c>
      <c r="B4857" t="s">
        <v>755</v>
      </c>
      <c r="C4857" t="s">
        <v>33</v>
      </c>
      <c r="D4857" t="s">
        <v>3609</v>
      </c>
      <c r="E4857" cm="1">
        <f t="array" ref="E4857">_xlfn.XLOOKUP(D4857,SKU_Master!A:A,SKU_Master!B:B,"Not on master")</f>
        <v>0</v>
      </c>
      <c r="F4857" cm="1">
        <f t="array" ref="F4857">_xlfn.XLOOKUP(C4857,Account_Master!A:A,Account_Master!B:B,"Not on master")</f>
        <v>0</v>
      </c>
      <c r="G4857" cm="1">
        <f t="array" ref="G4857">_xlfn.XLOOKUP(C4857,Account_Master!A:A,Account_Master!C:C,"Not on master")</f>
        <v>0</v>
      </c>
      <c r="H4857" s="6">
        <v>0</v>
      </c>
      <c r="I4857" s="6">
        <v>0.6</v>
      </c>
      <c r="J4857" s="6">
        <f>I4857-H4857</f>
        <v>0</v>
      </c>
      <c r="K4857" s="5">
        <f>IF(H4857=0,"",J4857/H4857)</f>
        <v>0</v>
      </c>
      <c r="L4857">
        <f>IF(OR(AND(H4857=0,ABS(J4857)&gt;=0.01),AND(H4857&lt;&gt;0,ABS(K4857)&gt;VarianceThreshold)),"Review","OK")</f>
        <v>0</v>
      </c>
      <c r="M4857" t="s">
        <v>3038</v>
      </c>
    </row>
    <row r="4858" spans="1:13">
      <c r="A4858" t="s">
        <v>7</v>
      </c>
      <c r="B4858" t="s">
        <v>765</v>
      </c>
      <c r="C4858" t="s">
        <v>3369</v>
      </c>
      <c r="D4858" t="s">
        <v>3051</v>
      </c>
      <c r="E4858" cm="1">
        <f t="array" ref="E4858">_xlfn.XLOOKUP(D4858,SKU_Master!A:A,SKU_Master!B:B,"Not on master")</f>
        <v>0</v>
      </c>
      <c r="F4858" cm="1">
        <f t="array" ref="F4858">_xlfn.XLOOKUP(C4858,Account_Master!A:A,Account_Master!B:B,"Not on master")</f>
        <v>0</v>
      </c>
      <c r="G4858" cm="1">
        <f t="array" ref="G4858">_xlfn.XLOOKUP(C4858,Account_Master!A:A,Account_Master!C:C,"Not on master")</f>
        <v>0</v>
      </c>
      <c r="H4858" s="6">
        <v>11.25</v>
      </c>
      <c r="I4858" s="6">
        <v>11.25</v>
      </c>
      <c r="J4858" s="6">
        <f>I4858-H4858</f>
        <v>0</v>
      </c>
      <c r="K4858" s="5">
        <f>IF(H4858=0,"",J4858/H4858)</f>
        <v>0</v>
      </c>
      <c r="L4858">
        <f>IF(OR(AND(H4858=0,ABS(J4858)&gt;=0.01),AND(H4858&lt;&gt;0,ABS(K4858)&gt;VarianceThreshold)),"Review","OK")</f>
        <v>0</v>
      </c>
      <c r="M4858" t="s">
        <v>33</v>
      </c>
    </row>
    <row r="4859" spans="1:13">
      <c r="A4859" t="s">
        <v>7</v>
      </c>
      <c r="B4859" t="s">
        <v>765</v>
      </c>
      <c r="C4859" t="s">
        <v>3356</v>
      </c>
      <c r="D4859" t="s">
        <v>625</v>
      </c>
      <c r="E4859" cm="1">
        <f t="array" ref="E4859">_xlfn.XLOOKUP(D4859,SKU_Master!A:A,SKU_Master!B:B,"Not on master")</f>
        <v>0</v>
      </c>
      <c r="F4859" cm="1">
        <f t="array" ref="F4859">_xlfn.XLOOKUP(C4859,Account_Master!A:A,Account_Master!B:B,"Not on master")</f>
        <v>0</v>
      </c>
      <c r="G4859" cm="1">
        <f t="array" ref="G4859">_xlfn.XLOOKUP(C4859,Account_Master!A:A,Account_Master!C:C,"Not on master")</f>
        <v>0</v>
      </c>
      <c r="H4859" s="6">
        <v>76</v>
      </c>
      <c r="I4859" s="6">
        <v>76</v>
      </c>
      <c r="J4859" s="6">
        <f>I4859-H4859</f>
        <v>0</v>
      </c>
      <c r="K4859" s="5">
        <f>IF(H4859=0,"",J4859/H4859)</f>
        <v>0</v>
      </c>
      <c r="L4859">
        <f>IF(OR(AND(H4859=0,ABS(J4859)&gt;=0.01),AND(H4859&lt;&gt;0,ABS(K4859)&gt;VarianceThreshold)),"Review","OK")</f>
        <v>0</v>
      </c>
      <c r="M4859" t="s">
        <v>33</v>
      </c>
    </row>
    <row r="4860" spans="1:13">
      <c r="A4860" t="s">
        <v>7</v>
      </c>
      <c r="B4860" t="s">
        <v>765</v>
      </c>
      <c r="C4860" t="s">
        <v>3404</v>
      </c>
      <c r="D4860" t="s">
        <v>749</v>
      </c>
      <c r="E4860" cm="1">
        <f t="array" ref="E4860">_xlfn.XLOOKUP(D4860,SKU_Master!A:A,SKU_Master!B:B,"Not on master")</f>
        <v>0</v>
      </c>
      <c r="F4860" cm="1">
        <f t="array" ref="F4860">_xlfn.XLOOKUP(C4860,Account_Master!A:A,Account_Master!B:B,"Not on master")</f>
        <v>0</v>
      </c>
      <c r="G4860" cm="1">
        <f t="array" ref="G4860">_xlfn.XLOOKUP(C4860,Account_Master!A:A,Account_Master!C:C,"Not on master")</f>
        <v>0</v>
      </c>
      <c r="H4860" s="6">
        <v>4.5</v>
      </c>
      <c r="I4860" s="6">
        <v>4.5</v>
      </c>
      <c r="J4860" s="6">
        <f>I4860-H4860</f>
        <v>0</v>
      </c>
      <c r="K4860" s="5">
        <f>IF(H4860=0,"",J4860/H4860)</f>
        <v>0</v>
      </c>
      <c r="L4860">
        <f>IF(OR(AND(H4860=0,ABS(J4860)&gt;=0.01),AND(H4860&lt;&gt;0,ABS(K4860)&gt;VarianceThreshold)),"Review","OK")</f>
        <v>0</v>
      </c>
      <c r="M4860" t="s">
        <v>33</v>
      </c>
    </row>
    <row r="4861" spans="1:13">
      <c r="A4861" t="s">
        <v>7</v>
      </c>
      <c r="B4861" t="s">
        <v>765</v>
      </c>
      <c r="C4861" t="s">
        <v>3394</v>
      </c>
      <c r="D4861" t="s">
        <v>2643</v>
      </c>
      <c r="E4861" cm="1">
        <f t="array" ref="E4861">_xlfn.XLOOKUP(D4861,SKU_Master!A:A,SKU_Master!B:B,"Not on master")</f>
        <v>0</v>
      </c>
      <c r="F4861" cm="1">
        <f t="array" ref="F4861">_xlfn.XLOOKUP(C4861,Account_Master!A:A,Account_Master!B:B,"Not on master")</f>
        <v>0</v>
      </c>
      <c r="G4861" cm="1">
        <f t="array" ref="G4861">_xlfn.XLOOKUP(C4861,Account_Master!A:A,Account_Master!C:C,"Not on master")</f>
        <v>0</v>
      </c>
      <c r="H4861" s="6">
        <v>9.6</v>
      </c>
      <c r="I4861" s="6">
        <v>9.6</v>
      </c>
      <c r="J4861" s="6">
        <f>I4861-H4861</f>
        <v>0</v>
      </c>
      <c r="K4861" s="5">
        <f>IF(H4861=0,"",J4861/H4861)</f>
        <v>0</v>
      </c>
      <c r="L4861">
        <f>IF(OR(AND(H4861=0,ABS(J4861)&gt;=0.01),AND(H4861&lt;&gt;0,ABS(K4861)&gt;VarianceThreshold)),"Review","OK")</f>
        <v>0</v>
      </c>
      <c r="M4861" t="s">
        <v>33</v>
      </c>
    </row>
    <row r="4862" spans="1:13">
      <c r="A4862" t="s">
        <v>7</v>
      </c>
      <c r="B4862" t="s">
        <v>765</v>
      </c>
      <c r="C4862" t="s">
        <v>3400</v>
      </c>
      <c r="D4862" t="s">
        <v>1549</v>
      </c>
      <c r="E4862" cm="1">
        <f t="array" ref="E4862">_xlfn.XLOOKUP(D4862,SKU_Master!A:A,SKU_Master!B:B,"Not on master")</f>
        <v>0</v>
      </c>
      <c r="F4862" cm="1">
        <f t="array" ref="F4862">_xlfn.XLOOKUP(C4862,Account_Master!A:A,Account_Master!B:B,"Not on master")</f>
        <v>0</v>
      </c>
      <c r="G4862" cm="1">
        <f t="array" ref="G4862">_xlfn.XLOOKUP(C4862,Account_Master!A:A,Account_Master!C:C,"Not on master")</f>
        <v>0</v>
      </c>
      <c r="H4862" s="6">
        <v>9</v>
      </c>
      <c r="I4862" s="6">
        <v>9</v>
      </c>
      <c r="J4862" s="6">
        <f>I4862-H4862</f>
        <v>0</v>
      </c>
      <c r="K4862" s="5">
        <f>IF(H4862=0,"",J4862/H4862)</f>
        <v>0</v>
      </c>
      <c r="L4862">
        <f>IF(OR(AND(H4862=0,ABS(J4862)&gt;=0.01),AND(H4862&lt;&gt;0,ABS(K4862)&gt;VarianceThreshold)),"Review","OK")</f>
        <v>0</v>
      </c>
      <c r="M4862" t="s">
        <v>33</v>
      </c>
    </row>
    <row r="4863" spans="1:13">
      <c r="A4863" t="s">
        <v>7</v>
      </c>
      <c r="B4863" t="s">
        <v>765</v>
      </c>
      <c r="C4863" t="s">
        <v>3377</v>
      </c>
      <c r="D4863" t="s">
        <v>825</v>
      </c>
      <c r="E4863" cm="1">
        <f t="array" ref="E4863">_xlfn.XLOOKUP(D4863,SKU_Master!A:A,SKU_Master!B:B,"Not on master")</f>
        <v>0</v>
      </c>
      <c r="F4863" cm="1">
        <f t="array" ref="F4863">_xlfn.XLOOKUP(C4863,Account_Master!A:A,Account_Master!B:B,"Not on master")</f>
        <v>0</v>
      </c>
      <c r="G4863" cm="1">
        <f t="array" ref="G4863">_xlfn.XLOOKUP(C4863,Account_Master!A:A,Account_Master!C:C,"Not on master")</f>
        <v>0</v>
      </c>
      <c r="H4863" s="6">
        <v>2.25</v>
      </c>
      <c r="I4863" s="6">
        <v>2.25</v>
      </c>
      <c r="J4863" s="6">
        <f>I4863-H4863</f>
        <v>0</v>
      </c>
      <c r="K4863" s="5">
        <f>IF(H4863=0,"",J4863/H4863)</f>
        <v>0</v>
      </c>
      <c r="L4863">
        <f>IF(OR(AND(H4863=0,ABS(J4863)&gt;=0.01),AND(H4863&lt;&gt;0,ABS(K4863)&gt;VarianceThreshold)),"Review","OK")</f>
        <v>0</v>
      </c>
      <c r="M4863" t="s">
        <v>33</v>
      </c>
    </row>
    <row r="4864" spans="1:13">
      <c r="A4864" t="s">
        <v>7</v>
      </c>
      <c r="B4864" t="s">
        <v>765</v>
      </c>
      <c r="C4864" t="s">
        <v>3355</v>
      </c>
      <c r="D4864" t="s">
        <v>1453</v>
      </c>
      <c r="E4864" cm="1">
        <f t="array" ref="E4864">_xlfn.XLOOKUP(D4864,SKU_Master!A:A,SKU_Master!B:B,"Not on master")</f>
        <v>0</v>
      </c>
      <c r="F4864" cm="1">
        <f t="array" ref="F4864">_xlfn.XLOOKUP(C4864,Account_Master!A:A,Account_Master!B:B,"Not on master")</f>
        <v>0</v>
      </c>
      <c r="G4864" cm="1">
        <f t="array" ref="G4864">_xlfn.XLOOKUP(C4864,Account_Master!A:A,Account_Master!C:C,"Not on master")</f>
        <v>0</v>
      </c>
      <c r="H4864" s="6">
        <v>15.75</v>
      </c>
      <c r="I4864" s="6">
        <v>15</v>
      </c>
      <c r="J4864" s="6">
        <f>I4864-H4864</f>
        <v>0</v>
      </c>
      <c r="K4864" s="5">
        <f>IF(H4864=0,"",J4864/H4864)</f>
        <v>0</v>
      </c>
      <c r="L4864">
        <f>IF(OR(AND(H4864=0,ABS(J4864)&gt;=0.01),AND(H4864&lt;&gt;0,ABS(K4864)&gt;VarianceThreshold)),"Review","OK")</f>
        <v>0</v>
      </c>
      <c r="M4864" t="s">
        <v>33</v>
      </c>
    </row>
    <row r="4865" spans="1:13">
      <c r="A4865" t="s">
        <v>7</v>
      </c>
      <c r="B4865" t="s">
        <v>765</v>
      </c>
      <c r="C4865" t="s">
        <v>33</v>
      </c>
      <c r="D4865" t="s">
        <v>3610</v>
      </c>
      <c r="E4865" cm="1">
        <f t="array" ref="E4865">_xlfn.XLOOKUP(D4865,SKU_Master!A:A,SKU_Master!B:B,"Not on master")</f>
        <v>0</v>
      </c>
      <c r="F4865" cm="1">
        <f t="array" ref="F4865">_xlfn.XLOOKUP(C4865,Account_Master!A:A,Account_Master!B:B,"Not on master")</f>
        <v>0</v>
      </c>
      <c r="G4865" cm="1">
        <f t="array" ref="G4865">_xlfn.XLOOKUP(C4865,Account_Master!A:A,Account_Master!C:C,"Not on master")</f>
        <v>0</v>
      </c>
      <c r="H4865" s="6">
        <v>0</v>
      </c>
      <c r="I4865" s="6">
        <v>10.5</v>
      </c>
      <c r="J4865" s="6">
        <f>I4865-H4865</f>
        <v>0</v>
      </c>
      <c r="K4865" s="5">
        <f>IF(H4865=0,"",J4865/H4865)</f>
        <v>0</v>
      </c>
      <c r="L4865">
        <f>IF(OR(AND(H4865=0,ABS(J4865)&gt;=0.01),AND(H4865&lt;&gt;0,ABS(K4865)&gt;VarianceThreshold)),"Review","OK")</f>
        <v>0</v>
      </c>
      <c r="M4865" t="s">
        <v>3038</v>
      </c>
    </row>
    <row r="4866" spans="1:13">
      <c r="A4866" t="s">
        <v>7</v>
      </c>
      <c r="B4866" t="s">
        <v>765</v>
      </c>
      <c r="C4866" t="s">
        <v>33</v>
      </c>
      <c r="D4866" t="s">
        <v>3611</v>
      </c>
      <c r="E4866" cm="1">
        <f t="array" ref="E4866">_xlfn.XLOOKUP(D4866,SKU_Master!A:A,SKU_Master!B:B,"Not on master")</f>
        <v>0</v>
      </c>
      <c r="F4866" cm="1">
        <f t="array" ref="F4866">_xlfn.XLOOKUP(C4866,Account_Master!A:A,Account_Master!B:B,"Not on master")</f>
        <v>0</v>
      </c>
      <c r="G4866" cm="1">
        <f t="array" ref="G4866">_xlfn.XLOOKUP(C4866,Account_Master!A:A,Account_Master!C:C,"Not on master")</f>
        <v>0</v>
      </c>
      <c r="H4866" s="6">
        <v>0</v>
      </c>
      <c r="I4866" s="6">
        <v>9</v>
      </c>
      <c r="J4866" s="6">
        <f>I4866-H4866</f>
        <v>0</v>
      </c>
      <c r="K4866" s="5">
        <f>IF(H4866=0,"",J4866/H4866)</f>
        <v>0</v>
      </c>
      <c r="L4866">
        <f>IF(OR(AND(H4866=0,ABS(J4866)&gt;=0.01),AND(H4866&lt;&gt;0,ABS(K4866)&gt;VarianceThreshold)),"Review","OK")</f>
        <v>0</v>
      </c>
      <c r="M4866" t="s">
        <v>3038</v>
      </c>
    </row>
    <row r="4867" spans="1:13">
      <c r="A4867" t="s">
        <v>7</v>
      </c>
      <c r="B4867" t="s">
        <v>775</v>
      </c>
      <c r="C4867" t="s">
        <v>3612</v>
      </c>
      <c r="D4867" t="s">
        <v>2578</v>
      </c>
      <c r="E4867" cm="1">
        <f t="array" ref="E4867">_xlfn.XLOOKUP(D4867,SKU_Master!A:A,SKU_Master!B:B,"Not on master")</f>
        <v>0</v>
      </c>
      <c r="F4867" cm="1">
        <f t="array" ref="F4867">_xlfn.XLOOKUP(C4867,Account_Master!A:A,Account_Master!B:B,"Not on master")</f>
        <v>0</v>
      </c>
      <c r="G4867" cm="1">
        <f t="array" ref="G4867">_xlfn.XLOOKUP(C4867,Account_Master!A:A,Account_Master!C:C,"Not on master")</f>
        <v>0</v>
      </c>
      <c r="H4867" s="6">
        <v>9</v>
      </c>
      <c r="I4867" s="6">
        <v>9</v>
      </c>
      <c r="J4867" s="6">
        <f>I4867-H4867</f>
        <v>0</v>
      </c>
      <c r="K4867" s="5">
        <f>IF(H4867=0,"",J4867/H4867)</f>
        <v>0</v>
      </c>
      <c r="L4867">
        <f>IF(OR(AND(H4867=0,ABS(J4867)&gt;=0.01),AND(H4867&lt;&gt;0,ABS(K4867)&gt;VarianceThreshold)),"Review","OK")</f>
        <v>0</v>
      </c>
      <c r="M4867" t="s">
        <v>33</v>
      </c>
    </row>
    <row r="4868" spans="1:13">
      <c r="A4868" t="s">
        <v>7</v>
      </c>
      <c r="B4868" t="s">
        <v>775</v>
      </c>
      <c r="C4868" t="s">
        <v>3613</v>
      </c>
      <c r="D4868" t="s">
        <v>794</v>
      </c>
      <c r="E4868" cm="1">
        <f t="array" ref="E4868">_xlfn.XLOOKUP(D4868,SKU_Master!A:A,SKU_Master!B:B,"Not on master")</f>
        <v>0</v>
      </c>
      <c r="F4868" cm="1">
        <f t="array" ref="F4868">_xlfn.XLOOKUP(C4868,Account_Master!A:A,Account_Master!B:B,"Not on master")</f>
        <v>0</v>
      </c>
      <c r="G4868" cm="1">
        <f t="array" ref="G4868">_xlfn.XLOOKUP(C4868,Account_Master!A:A,Account_Master!C:C,"Not on master")</f>
        <v>0</v>
      </c>
      <c r="H4868" s="6">
        <v>1.5</v>
      </c>
      <c r="I4868" s="6">
        <v>1.5</v>
      </c>
      <c r="J4868" s="6">
        <f>I4868-H4868</f>
        <v>0</v>
      </c>
      <c r="K4868" s="5">
        <f>IF(H4868=0,"",J4868/H4868)</f>
        <v>0</v>
      </c>
      <c r="L4868">
        <f>IF(OR(AND(H4868=0,ABS(J4868)&gt;=0.01),AND(H4868&lt;&gt;0,ABS(K4868)&gt;VarianceThreshold)),"Review","OK")</f>
        <v>0</v>
      </c>
      <c r="M4868" t="s">
        <v>33</v>
      </c>
    </row>
    <row r="4869" spans="1:13">
      <c r="A4869" t="s">
        <v>7</v>
      </c>
      <c r="B4869" t="s">
        <v>775</v>
      </c>
      <c r="C4869" t="s">
        <v>3369</v>
      </c>
      <c r="D4869" t="s">
        <v>1303</v>
      </c>
      <c r="E4869" cm="1">
        <f t="array" ref="E4869">_xlfn.XLOOKUP(D4869,SKU_Master!A:A,SKU_Master!B:B,"Not on master")</f>
        <v>0</v>
      </c>
      <c r="F4869" cm="1">
        <f t="array" ref="F4869">_xlfn.XLOOKUP(C4869,Account_Master!A:A,Account_Master!B:B,"Not on master")</f>
        <v>0</v>
      </c>
      <c r="G4869" cm="1">
        <f t="array" ref="G4869">_xlfn.XLOOKUP(C4869,Account_Master!A:A,Account_Master!C:C,"Not on master")</f>
        <v>0</v>
      </c>
      <c r="H4869" s="6">
        <v>14.25</v>
      </c>
      <c r="I4869" s="6">
        <v>14.25</v>
      </c>
      <c r="J4869" s="6">
        <f>I4869-H4869</f>
        <v>0</v>
      </c>
      <c r="K4869" s="5">
        <f>IF(H4869=0,"",J4869/H4869)</f>
        <v>0</v>
      </c>
      <c r="L4869">
        <f>IF(OR(AND(H4869=0,ABS(J4869)&gt;=0.01),AND(H4869&lt;&gt;0,ABS(K4869)&gt;VarianceThreshold)),"Review","OK")</f>
        <v>0</v>
      </c>
      <c r="M4869" t="s">
        <v>33</v>
      </c>
    </row>
    <row r="4870" spans="1:13">
      <c r="A4870" t="s">
        <v>7</v>
      </c>
      <c r="B4870" t="s">
        <v>775</v>
      </c>
      <c r="C4870" t="s">
        <v>3377</v>
      </c>
      <c r="D4870" t="s">
        <v>3614</v>
      </c>
      <c r="E4870" cm="1">
        <f t="array" ref="E4870">_xlfn.XLOOKUP(D4870,SKU_Master!A:A,SKU_Master!B:B,"Not on master")</f>
        <v>0</v>
      </c>
      <c r="F4870" cm="1">
        <f t="array" ref="F4870">_xlfn.XLOOKUP(C4870,Account_Master!A:A,Account_Master!B:B,"Not on master")</f>
        <v>0</v>
      </c>
      <c r="G4870" cm="1">
        <f t="array" ref="G4870">_xlfn.XLOOKUP(C4870,Account_Master!A:A,Account_Master!C:C,"Not on master")</f>
        <v>0</v>
      </c>
      <c r="H4870" s="6">
        <v>0.9</v>
      </c>
      <c r="I4870" s="6">
        <v>0.9</v>
      </c>
      <c r="J4870" s="6">
        <f>I4870-H4870</f>
        <v>0</v>
      </c>
      <c r="K4870" s="5">
        <f>IF(H4870=0,"",J4870/H4870)</f>
        <v>0</v>
      </c>
      <c r="L4870">
        <f>IF(OR(AND(H4870=0,ABS(J4870)&gt;=0.01),AND(H4870&lt;&gt;0,ABS(K4870)&gt;VarianceThreshold)),"Review","OK")</f>
        <v>0</v>
      </c>
      <c r="M4870" t="s">
        <v>33</v>
      </c>
    </row>
    <row r="4871" spans="1:13">
      <c r="A4871" t="s">
        <v>7</v>
      </c>
      <c r="B4871" t="s">
        <v>779</v>
      </c>
      <c r="C4871" t="s">
        <v>3369</v>
      </c>
      <c r="D4871" t="s">
        <v>839</v>
      </c>
      <c r="E4871" cm="1">
        <f t="array" ref="E4871">_xlfn.XLOOKUP(D4871,SKU_Master!A:A,SKU_Master!B:B,"Not on master")</f>
        <v>0</v>
      </c>
      <c r="F4871" cm="1">
        <f t="array" ref="F4871">_xlfn.XLOOKUP(C4871,Account_Master!A:A,Account_Master!B:B,"Not on master")</f>
        <v>0</v>
      </c>
      <c r="G4871" cm="1">
        <f t="array" ref="G4871">_xlfn.XLOOKUP(C4871,Account_Master!A:A,Account_Master!C:C,"Not on master")</f>
        <v>0</v>
      </c>
      <c r="H4871" s="6">
        <v>4.5</v>
      </c>
      <c r="I4871" s="6">
        <v>4.5</v>
      </c>
      <c r="J4871" s="6">
        <f>I4871-H4871</f>
        <v>0</v>
      </c>
      <c r="K4871" s="5">
        <f>IF(H4871=0,"",J4871/H4871)</f>
        <v>0</v>
      </c>
      <c r="L4871">
        <f>IF(OR(AND(H4871=0,ABS(J4871)&gt;=0.01),AND(H4871&lt;&gt;0,ABS(K4871)&gt;VarianceThreshold)),"Review","OK")</f>
        <v>0</v>
      </c>
      <c r="M4871" t="s">
        <v>33</v>
      </c>
    </row>
    <row r="4872" spans="1:13">
      <c r="A4872" t="s">
        <v>7</v>
      </c>
      <c r="B4872" t="s">
        <v>779</v>
      </c>
      <c r="C4872" t="s">
        <v>3368</v>
      </c>
      <c r="D4872" t="s">
        <v>626</v>
      </c>
      <c r="E4872" cm="1">
        <f t="array" ref="E4872">_xlfn.XLOOKUP(D4872,SKU_Master!A:A,SKU_Master!B:B,"Not on master")</f>
        <v>0</v>
      </c>
      <c r="F4872" cm="1">
        <f t="array" ref="F4872">_xlfn.XLOOKUP(C4872,Account_Master!A:A,Account_Master!B:B,"Not on master")</f>
        <v>0</v>
      </c>
      <c r="G4872" cm="1">
        <f t="array" ref="G4872">_xlfn.XLOOKUP(C4872,Account_Master!A:A,Account_Master!C:C,"Not on master")</f>
        <v>0</v>
      </c>
      <c r="H4872" s="6">
        <v>18</v>
      </c>
      <c r="I4872" s="6">
        <v>0</v>
      </c>
      <c r="J4872" s="6">
        <f>I4872-H4872</f>
        <v>0</v>
      </c>
      <c r="K4872" s="5">
        <f>IF(H4872=0,"",J4872/H4872)</f>
        <v>0</v>
      </c>
      <c r="L4872">
        <f>IF(OR(AND(H4872=0,ABS(J4872)&gt;=0.01),AND(H4872&lt;&gt;0,ABS(K4872)&gt;VarianceThreshold)),"Review","OK")</f>
        <v>0</v>
      </c>
      <c r="M4872" t="s">
        <v>3038</v>
      </c>
    </row>
    <row r="4873" spans="1:13">
      <c r="A4873" t="s">
        <v>7</v>
      </c>
      <c r="B4873" t="s">
        <v>779</v>
      </c>
      <c r="C4873" t="s">
        <v>3377</v>
      </c>
      <c r="D4873" t="s">
        <v>2393</v>
      </c>
      <c r="E4873" cm="1">
        <f t="array" ref="E4873">_xlfn.XLOOKUP(D4873,SKU_Master!A:A,SKU_Master!B:B,"Not on master")</f>
        <v>0</v>
      </c>
      <c r="F4873" cm="1">
        <f t="array" ref="F4873">_xlfn.XLOOKUP(C4873,Account_Master!A:A,Account_Master!B:B,"Not on master")</f>
        <v>0</v>
      </c>
      <c r="G4873" cm="1">
        <f t="array" ref="G4873">_xlfn.XLOOKUP(C4873,Account_Master!A:A,Account_Master!C:C,"Not on master")</f>
        <v>0</v>
      </c>
      <c r="H4873" s="6">
        <v>9</v>
      </c>
      <c r="I4873" s="6">
        <v>9</v>
      </c>
      <c r="J4873" s="6">
        <f>I4873-H4873</f>
        <v>0</v>
      </c>
      <c r="K4873" s="5">
        <f>IF(H4873=0,"",J4873/H4873)</f>
        <v>0</v>
      </c>
      <c r="L4873">
        <f>IF(OR(AND(H4873=0,ABS(J4873)&gt;=0.01),AND(H4873&lt;&gt;0,ABS(K4873)&gt;VarianceThreshold)),"Review","OK")</f>
        <v>0</v>
      </c>
      <c r="M4873" t="s">
        <v>33</v>
      </c>
    </row>
    <row r="4874" spans="1:13">
      <c r="A4874" t="s">
        <v>7</v>
      </c>
      <c r="B4874" t="s">
        <v>779</v>
      </c>
      <c r="C4874" t="s">
        <v>3613</v>
      </c>
      <c r="D4874" t="s">
        <v>649</v>
      </c>
      <c r="E4874" cm="1">
        <f t="array" ref="E4874">_xlfn.XLOOKUP(D4874,SKU_Master!A:A,SKU_Master!B:B,"Not on master")</f>
        <v>0</v>
      </c>
      <c r="F4874" cm="1">
        <f t="array" ref="F4874">_xlfn.XLOOKUP(C4874,Account_Master!A:A,Account_Master!B:B,"Not on master")</f>
        <v>0</v>
      </c>
      <c r="G4874" cm="1">
        <f t="array" ref="G4874">_xlfn.XLOOKUP(C4874,Account_Master!A:A,Account_Master!C:C,"Not on master")</f>
        <v>0</v>
      </c>
      <c r="H4874" s="6">
        <v>1</v>
      </c>
      <c r="I4874" s="6">
        <v>1</v>
      </c>
      <c r="J4874" s="6">
        <f>I4874-H4874</f>
        <v>0</v>
      </c>
      <c r="K4874" s="5">
        <f>IF(H4874=0,"",J4874/H4874)</f>
        <v>0</v>
      </c>
      <c r="L4874">
        <f>IF(OR(AND(H4874=0,ABS(J4874)&gt;=0.01),AND(H4874&lt;&gt;0,ABS(K4874)&gt;VarianceThreshold)),"Review","OK")</f>
        <v>0</v>
      </c>
      <c r="M4874" t="s">
        <v>33</v>
      </c>
    </row>
    <row r="4875" spans="1:13">
      <c r="A4875" t="s">
        <v>7</v>
      </c>
      <c r="B4875" t="s">
        <v>779</v>
      </c>
      <c r="C4875" t="s">
        <v>3357</v>
      </c>
      <c r="D4875" t="s">
        <v>1459</v>
      </c>
      <c r="E4875" cm="1">
        <f t="array" ref="E4875">_xlfn.XLOOKUP(D4875,SKU_Master!A:A,SKU_Master!B:B,"Not on master")</f>
        <v>0</v>
      </c>
      <c r="F4875" cm="1">
        <f t="array" ref="F4875">_xlfn.XLOOKUP(C4875,Account_Master!A:A,Account_Master!B:B,"Not on master")</f>
        <v>0</v>
      </c>
      <c r="G4875" cm="1">
        <f t="array" ref="G4875">_xlfn.XLOOKUP(C4875,Account_Master!A:A,Account_Master!C:C,"Not on master")</f>
        <v>0</v>
      </c>
      <c r="H4875" s="6">
        <v>2.3</v>
      </c>
      <c r="I4875" s="6">
        <v>2.3</v>
      </c>
      <c r="J4875" s="6">
        <f>I4875-H4875</f>
        <v>0</v>
      </c>
      <c r="K4875" s="5">
        <f>IF(H4875=0,"",J4875/H4875)</f>
        <v>0</v>
      </c>
      <c r="L4875">
        <f>IF(OR(AND(H4875=0,ABS(J4875)&gt;=0.01),AND(H4875&lt;&gt;0,ABS(K4875)&gt;VarianceThreshold)),"Review","OK")</f>
        <v>0</v>
      </c>
      <c r="M4875" t="s">
        <v>33</v>
      </c>
    </row>
    <row r="4876" spans="1:13">
      <c r="A4876" t="s">
        <v>7</v>
      </c>
      <c r="B4876" t="s">
        <v>779</v>
      </c>
      <c r="C4876" t="s">
        <v>3356</v>
      </c>
      <c r="D4876" t="s">
        <v>951</v>
      </c>
      <c r="E4876" cm="1">
        <f t="array" ref="E4876">_xlfn.XLOOKUP(D4876,SKU_Master!A:A,SKU_Master!B:B,"Not on master")</f>
        <v>0</v>
      </c>
      <c r="F4876" cm="1">
        <f t="array" ref="F4876">_xlfn.XLOOKUP(C4876,Account_Master!A:A,Account_Master!B:B,"Not on master")</f>
        <v>0</v>
      </c>
      <c r="G4876" cm="1">
        <f t="array" ref="G4876">_xlfn.XLOOKUP(C4876,Account_Master!A:A,Account_Master!C:C,"Not on master")</f>
        <v>0</v>
      </c>
      <c r="H4876" s="6">
        <v>15</v>
      </c>
      <c r="I4876" s="6">
        <v>15</v>
      </c>
      <c r="J4876" s="6">
        <f>I4876-H4876</f>
        <v>0</v>
      </c>
      <c r="K4876" s="5">
        <f>IF(H4876=0,"",J4876/H4876)</f>
        <v>0</v>
      </c>
      <c r="L4876">
        <f>IF(OR(AND(H4876=0,ABS(J4876)&gt;=0.01),AND(H4876&lt;&gt;0,ABS(K4876)&gt;VarianceThreshold)),"Review","OK")</f>
        <v>0</v>
      </c>
      <c r="M4876" t="s">
        <v>33</v>
      </c>
    </row>
    <row r="4877" spans="1:13">
      <c r="A4877" t="s">
        <v>7</v>
      </c>
      <c r="B4877" t="s">
        <v>779</v>
      </c>
      <c r="C4877" t="s">
        <v>3461</v>
      </c>
      <c r="D4877" t="s">
        <v>3615</v>
      </c>
      <c r="E4877" cm="1">
        <f t="array" ref="E4877">_xlfn.XLOOKUP(D4877,SKU_Master!A:A,SKU_Master!B:B,"Not on master")</f>
        <v>0</v>
      </c>
      <c r="F4877" cm="1">
        <f t="array" ref="F4877">_xlfn.XLOOKUP(C4877,Account_Master!A:A,Account_Master!B:B,"Not on master")</f>
        <v>0</v>
      </c>
      <c r="G4877" cm="1">
        <f t="array" ref="G4877">_xlfn.XLOOKUP(C4877,Account_Master!A:A,Account_Master!C:C,"Not on master")</f>
        <v>0</v>
      </c>
      <c r="H4877" s="6">
        <v>0.4</v>
      </c>
      <c r="I4877" s="6">
        <v>0.4</v>
      </c>
      <c r="J4877" s="6">
        <f>I4877-H4877</f>
        <v>0</v>
      </c>
      <c r="K4877" s="5">
        <f>IF(H4877=0,"",J4877/H4877)</f>
        <v>0</v>
      </c>
      <c r="L4877">
        <f>IF(OR(AND(H4877=0,ABS(J4877)&gt;=0.01),AND(H4877&lt;&gt;0,ABS(K4877)&gt;VarianceThreshold)),"Review","OK")</f>
        <v>0</v>
      </c>
      <c r="M4877" t="s">
        <v>33</v>
      </c>
    </row>
    <row r="4878" spans="1:13">
      <c r="A4878" t="s">
        <v>7</v>
      </c>
      <c r="B4878" t="s">
        <v>779</v>
      </c>
      <c r="C4878" t="s">
        <v>3368</v>
      </c>
      <c r="D4878" t="s">
        <v>1609</v>
      </c>
      <c r="E4878" cm="1">
        <f t="array" ref="E4878">_xlfn.XLOOKUP(D4878,SKU_Master!A:A,SKU_Master!B:B,"Not on master")</f>
        <v>0</v>
      </c>
      <c r="F4878" cm="1">
        <f t="array" ref="F4878">_xlfn.XLOOKUP(C4878,Account_Master!A:A,Account_Master!B:B,"Not on master")</f>
        <v>0</v>
      </c>
      <c r="G4878" cm="1">
        <f t="array" ref="G4878">_xlfn.XLOOKUP(C4878,Account_Master!A:A,Account_Master!C:C,"Not on master")</f>
        <v>0</v>
      </c>
      <c r="H4878" s="6">
        <v>6</v>
      </c>
      <c r="I4878" s="6">
        <v>6</v>
      </c>
      <c r="J4878" s="6">
        <f>I4878-H4878</f>
        <v>0</v>
      </c>
      <c r="K4878" s="5">
        <f>IF(H4878=0,"",J4878/H4878)</f>
        <v>0</v>
      </c>
      <c r="L4878">
        <f>IF(OR(AND(H4878=0,ABS(J4878)&gt;=0.01),AND(H4878&lt;&gt;0,ABS(K4878)&gt;VarianceThreshold)),"Review","OK")</f>
        <v>0</v>
      </c>
      <c r="M4878" t="s">
        <v>33</v>
      </c>
    </row>
    <row r="4879" spans="1:13">
      <c r="A4879" t="s">
        <v>7</v>
      </c>
      <c r="B4879" t="s">
        <v>788</v>
      </c>
      <c r="C4879" t="s">
        <v>3616</v>
      </c>
      <c r="D4879" t="s">
        <v>1324</v>
      </c>
      <c r="E4879" cm="1">
        <f t="array" ref="E4879">_xlfn.XLOOKUP(D4879,SKU_Master!A:A,SKU_Master!B:B,"Not on master")</f>
        <v>0</v>
      </c>
      <c r="F4879" cm="1">
        <f t="array" ref="F4879">_xlfn.XLOOKUP(C4879,Account_Master!A:A,Account_Master!B:B,"Not on master")</f>
        <v>0</v>
      </c>
      <c r="G4879" cm="1">
        <f t="array" ref="G4879">_xlfn.XLOOKUP(C4879,Account_Master!A:A,Account_Master!C:C,"Not on master")</f>
        <v>0</v>
      </c>
      <c r="H4879" s="6">
        <v>81.37</v>
      </c>
      <c r="I4879" s="6">
        <v>81.37</v>
      </c>
      <c r="J4879" s="6">
        <f>I4879-H4879</f>
        <v>0</v>
      </c>
      <c r="K4879" s="5">
        <f>IF(H4879=0,"",J4879/H4879)</f>
        <v>0</v>
      </c>
      <c r="L4879">
        <f>IF(OR(AND(H4879=0,ABS(J4879)&gt;=0.01),AND(H4879&lt;&gt;0,ABS(K4879)&gt;VarianceThreshold)),"Review","OK")</f>
        <v>0</v>
      </c>
      <c r="M4879" t="s">
        <v>33</v>
      </c>
    </row>
    <row r="4880" spans="1:13">
      <c r="A4880" t="s">
        <v>7</v>
      </c>
      <c r="B4880" t="s">
        <v>788</v>
      </c>
      <c r="C4880" t="s">
        <v>3368</v>
      </c>
      <c r="D4880" t="s">
        <v>3617</v>
      </c>
      <c r="E4880" cm="1">
        <f t="array" ref="E4880">_xlfn.XLOOKUP(D4880,SKU_Master!A:A,SKU_Master!B:B,"Not on master")</f>
        <v>0</v>
      </c>
      <c r="F4880" cm="1">
        <f t="array" ref="F4880">_xlfn.XLOOKUP(C4880,Account_Master!A:A,Account_Master!B:B,"Not on master")</f>
        <v>0</v>
      </c>
      <c r="G4880" cm="1">
        <f t="array" ref="G4880">_xlfn.XLOOKUP(C4880,Account_Master!A:A,Account_Master!C:C,"Not on master")</f>
        <v>0</v>
      </c>
      <c r="H4880" s="6">
        <v>9</v>
      </c>
      <c r="I4880" s="6">
        <v>9</v>
      </c>
      <c r="J4880" s="6">
        <f>I4880-H4880</f>
        <v>0</v>
      </c>
      <c r="K4880" s="5">
        <f>IF(H4880=0,"",J4880/H4880)</f>
        <v>0</v>
      </c>
      <c r="L4880">
        <f>IF(OR(AND(H4880=0,ABS(J4880)&gt;=0.01),AND(H4880&lt;&gt;0,ABS(K4880)&gt;VarianceThreshold)),"Review","OK")</f>
        <v>0</v>
      </c>
      <c r="M4880" t="s">
        <v>33</v>
      </c>
    </row>
    <row r="4881" spans="1:13">
      <c r="A4881" t="s">
        <v>7</v>
      </c>
      <c r="B4881" t="s">
        <v>788</v>
      </c>
      <c r="C4881" t="s">
        <v>3368</v>
      </c>
      <c r="D4881" t="s">
        <v>2373</v>
      </c>
      <c r="E4881" cm="1">
        <f t="array" ref="E4881">_xlfn.XLOOKUP(D4881,SKU_Master!A:A,SKU_Master!B:B,"Not on master")</f>
        <v>0</v>
      </c>
      <c r="F4881" cm="1">
        <f t="array" ref="F4881">_xlfn.XLOOKUP(C4881,Account_Master!A:A,Account_Master!B:B,"Not on master")</f>
        <v>0</v>
      </c>
      <c r="G4881" cm="1">
        <f t="array" ref="G4881">_xlfn.XLOOKUP(C4881,Account_Master!A:A,Account_Master!C:C,"Not on master")</f>
        <v>0</v>
      </c>
      <c r="H4881" s="6">
        <v>10.5</v>
      </c>
      <c r="I4881" s="6">
        <v>10.5</v>
      </c>
      <c r="J4881" s="6">
        <f>I4881-H4881</f>
        <v>0</v>
      </c>
      <c r="K4881" s="5">
        <f>IF(H4881=0,"",J4881/H4881)</f>
        <v>0</v>
      </c>
      <c r="L4881">
        <f>IF(OR(AND(H4881=0,ABS(J4881)&gt;=0.01),AND(H4881&lt;&gt;0,ABS(K4881)&gt;VarianceThreshold)),"Review","OK")</f>
        <v>0</v>
      </c>
      <c r="M4881" t="s">
        <v>33</v>
      </c>
    </row>
    <row r="4882" spans="1:13">
      <c r="A4882" t="s">
        <v>7</v>
      </c>
      <c r="B4882" t="s">
        <v>788</v>
      </c>
      <c r="C4882" t="s">
        <v>33</v>
      </c>
      <c r="D4882" t="s">
        <v>3618</v>
      </c>
      <c r="E4882" cm="1">
        <f t="array" ref="E4882">_xlfn.XLOOKUP(D4882,SKU_Master!A:A,SKU_Master!B:B,"Not on master")</f>
        <v>0</v>
      </c>
      <c r="F4882" cm="1">
        <f t="array" ref="F4882">_xlfn.XLOOKUP(C4882,Account_Master!A:A,Account_Master!B:B,"Not on master")</f>
        <v>0</v>
      </c>
      <c r="G4882" cm="1">
        <f t="array" ref="G4882">_xlfn.XLOOKUP(C4882,Account_Master!A:A,Account_Master!C:C,"Not on master")</f>
        <v>0</v>
      </c>
      <c r="H4882" s="6">
        <v>0</v>
      </c>
      <c r="I4882" s="6">
        <v>2.25</v>
      </c>
      <c r="J4882" s="6">
        <f>I4882-H4882</f>
        <v>0</v>
      </c>
      <c r="K4882" s="5">
        <f>IF(H4882=0,"",J4882/H4882)</f>
        <v>0</v>
      </c>
      <c r="L4882">
        <f>IF(OR(AND(H4882=0,ABS(J4882)&gt;=0.01),AND(H4882&lt;&gt;0,ABS(K4882)&gt;VarianceThreshold)),"Review","OK")</f>
        <v>0</v>
      </c>
      <c r="M4882" t="s">
        <v>3038</v>
      </c>
    </row>
    <row r="4883" spans="1:13">
      <c r="A4883" t="s">
        <v>7</v>
      </c>
      <c r="B4883" t="s">
        <v>788</v>
      </c>
      <c r="C4883" t="s">
        <v>33</v>
      </c>
      <c r="D4883" t="s">
        <v>3619</v>
      </c>
      <c r="E4883" cm="1">
        <f t="array" ref="E4883">_xlfn.XLOOKUP(D4883,SKU_Master!A:A,SKU_Master!B:B,"Not on master")</f>
        <v>0</v>
      </c>
      <c r="F4883" cm="1">
        <f t="array" ref="F4883">_xlfn.XLOOKUP(C4883,Account_Master!A:A,Account_Master!B:B,"Not on master")</f>
        <v>0</v>
      </c>
      <c r="G4883" cm="1">
        <f t="array" ref="G4883">_xlfn.XLOOKUP(C4883,Account_Master!A:A,Account_Master!C:C,"Not on master")</f>
        <v>0</v>
      </c>
      <c r="H4883" s="6">
        <v>0</v>
      </c>
      <c r="I4883" s="6">
        <v>0.4</v>
      </c>
      <c r="J4883" s="6">
        <f>I4883-H4883</f>
        <v>0</v>
      </c>
      <c r="K4883" s="5">
        <f>IF(H4883=0,"",J4883/H4883)</f>
        <v>0</v>
      </c>
      <c r="L4883">
        <f>IF(OR(AND(H4883=0,ABS(J4883)&gt;=0.01),AND(H4883&lt;&gt;0,ABS(K4883)&gt;VarianceThreshold)),"Review","OK")</f>
        <v>0</v>
      </c>
      <c r="M4883" t="s">
        <v>3038</v>
      </c>
    </row>
    <row r="4884" spans="1:13">
      <c r="A4884" t="s">
        <v>7</v>
      </c>
      <c r="B4884" t="s">
        <v>799</v>
      </c>
      <c r="C4884" t="s">
        <v>3408</v>
      </c>
      <c r="D4884" t="s">
        <v>1707</v>
      </c>
      <c r="E4884" cm="1">
        <f t="array" ref="E4884">_xlfn.XLOOKUP(D4884,SKU_Master!A:A,SKU_Master!B:B,"Not on master")</f>
        <v>0</v>
      </c>
      <c r="F4884" cm="1">
        <f t="array" ref="F4884">_xlfn.XLOOKUP(C4884,Account_Master!A:A,Account_Master!B:B,"Not on master")</f>
        <v>0</v>
      </c>
      <c r="G4884" cm="1">
        <f t="array" ref="G4884">_xlfn.XLOOKUP(C4884,Account_Master!A:A,Account_Master!C:C,"Not on master")</f>
        <v>0</v>
      </c>
      <c r="H4884" s="6">
        <v>25.5</v>
      </c>
      <c r="I4884" s="6">
        <v>25.5</v>
      </c>
      <c r="J4884" s="6">
        <f>I4884-H4884</f>
        <v>0</v>
      </c>
      <c r="K4884" s="5">
        <f>IF(H4884=0,"",J4884/H4884)</f>
        <v>0</v>
      </c>
      <c r="L4884">
        <f>IF(OR(AND(H4884=0,ABS(J4884)&gt;=0.01),AND(H4884&lt;&gt;0,ABS(K4884)&gt;VarianceThreshold)),"Review","OK")</f>
        <v>0</v>
      </c>
      <c r="M4884" t="s">
        <v>33</v>
      </c>
    </row>
    <row r="4885" spans="1:13">
      <c r="A4885" t="s">
        <v>7</v>
      </c>
      <c r="B4885" t="s">
        <v>799</v>
      </c>
      <c r="C4885" t="s">
        <v>3387</v>
      </c>
      <c r="D4885" t="s">
        <v>1445</v>
      </c>
      <c r="E4885" cm="1">
        <f t="array" ref="E4885">_xlfn.XLOOKUP(D4885,SKU_Master!A:A,SKU_Master!B:B,"Not on master")</f>
        <v>0</v>
      </c>
      <c r="F4885" cm="1">
        <f t="array" ref="F4885">_xlfn.XLOOKUP(C4885,Account_Master!A:A,Account_Master!B:B,"Not on master")</f>
        <v>0</v>
      </c>
      <c r="G4885" cm="1">
        <f t="array" ref="G4885">_xlfn.XLOOKUP(C4885,Account_Master!A:A,Account_Master!C:C,"Not on master")</f>
        <v>0</v>
      </c>
      <c r="H4885" s="6">
        <v>4.5</v>
      </c>
      <c r="I4885" s="6">
        <v>4.5</v>
      </c>
      <c r="J4885" s="6">
        <f>I4885-H4885</f>
        <v>0</v>
      </c>
      <c r="K4885" s="5">
        <f>IF(H4885=0,"",J4885/H4885)</f>
        <v>0</v>
      </c>
      <c r="L4885">
        <f>IF(OR(AND(H4885=0,ABS(J4885)&gt;=0.01),AND(H4885&lt;&gt;0,ABS(K4885)&gt;VarianceThreshold)),"Review","OK")</f>
        <v>0</v>
      </c>
      <c r="M4885" t="s">
        <v>33</v>
      </c>
    </row>
    <row r="4886" spans="1:13">
      <c r="A4886" t="s">
        <v>7</v>
      </c>
      <c r="B4886" t="s">
        <v>805</v>
      </c>
      <c r="C4886" t="s">
        <v>3620</v>
      </c>
      <c r="D4886" t="s">
        <v>1425</v>
      </c>
      <c r="E4886" cm="1">
        <f t="array" ref="E4886">_xlfn.XLOOKUP(D4886,SKU_Master!A:A,SKU_Master!B:B,"Not on master")</f>
        <v>0</v>
      </c>
      <c r="F4886" cm="1">
        <f t="array" ref="F4886">_xlfn.XLOOKUP(C4886,Account_Master!A:A,Account_Master!B:B,"Not on master")</f>
        <v>0</v>
      </c>
      <c r="G4886" cm="1">
        <f t="array" ref="G4886">_xlfn.XLOOKUP(C4886,Account_Master!A:A,Account_Master!C:C,"Not on master")</f>
        <v>0</v>
      </c>
      <c r="H4886" s="6">
        <v>46.87</v>
      </c>
      <c r="I4886" s="6">
        <v>37.87</v>
      </c>
      <c r="J4886" s="6">
        <f>I4886-H4886</f>
        <v>0</v>
      </c>
      <c r="K4886" s="5">
        <f>IF(H4886=0,"",J4886/H4886)</f>
        <v>0</v>
      </c>
      <c r="L4886">
        <f>IF(OR(AND(H4886=0,ABS(J4886)&gt;=0.01),AND(H4886&lt;&gt;0,ABS(K4886)&gt;VarianceThreshold)),"Review","OK")</f>
        <v>0</v>
      </c>
      <c r="M4886" t="s">
        <v>3038</v>
      </c>
    </row>
    <row r="4887" spans="1:13">
      <c r="A4887" t="s">
        <v>7</v>
      </c>
      <c r="B4887" t="s">
        <v>805</v>
      </c>
      <c r="C4887" t="s">
        <v>3621</v>
      </c>
      <c r="D4887" t="s">
        <v>853</v>
      </c>
      <c r="E4887" cm="1">
        <f t="array" ref="E4887">_xlfn.XLOOKUP(D4887,SKU_Master!A:A,SKU_Master!B:B,"Not on master")</f>
        <v>0</v>
      </c>
      <c r="F4887" cm="1">
        <f t="array" ref="F4887">_xlfn.XLOOKUP(C4887,Account_Master!A:A,Account_Master!B:B,"Not on master")</f>
        <v>0</v>
      </c>
      <c r="G4887" cm="1">
        <f t="array" ref="G4887">_xlfn.XLOOKUP(C4887,Account_Master!A:A,Account_Master!C:C,"Not on master")</f>
        <v>0</v>
      </c>
      <c r="H4887" s="6">
        <v>105</v>
      </c>
      <c r="I4887" s="6">
        <v>105</v>
      </c>
      <c r="J4887" s="6">
        <f>I4887-H4887</f>
        <v>0</v>
      </c>
      <c r="K4887" s="5">
        <f>IF(H4887=0,"",J4887/H4887)</f>
        <v>0</v>
      </c>
      <c r="L4887">
        <f>IF(OR(AND(H4887=0,ABS(J4887)&gt;=0.01),AND(H4887&lt;&gt;0,ABS(K4887)&gt;VarianceThreshold)),"Review","OK")</f>
        <v>0</v>
      </c>
      <c r="M4887" t="s">
        <v>33</v>
      </c>
    </row>
    <row r="4888" spans="1:13">
      <c r="A4888" t="s">
        <v>7</v>
      </c>
      <c r="B4888" t="s">
        <v>805</v>
      </c>
      <c r="C4888" t="s">
        <v>3504</v>
      </c>
      <c r="D4888" t="s">
        <v>1706</v>
      </c>
      <c r="E4888" cm="1">
        <f t="array" ref="E4888">_xlfn.XLOOKUP(D4888,SKU_Master!A:A,SKU_Master!B:B,"Not on master")</f>
        <v>0</v>
      </c>
      <c r="F4888" cm="1">
        <f t="array" ref="F4888">_xlfn.XLOOKUP(C4888,Account_Master!A:A,Account_Master!B:B,"Not on master")</f>
        <v>0</v>
      </c>
      <c r="G4888" cm="1">
        <f t="array" ref="G4888">_xlfn.XLOOKUP(C4888,Account_Master!A:A,Account_Master!C:C,"Not on master")</f>
        <v>0</v>
      </c>
      <c r="H4888" s="6">
        <v>24</v>
      </c>
      <c r="I4888" s="6">
        <v>19.2</v>
      </c>
      <c r="J4888" s="6">
        <f>I4888-H4888</f>
        <v>0</v>
      </c>
      <c r="K4888" s="5">
        <f>IF(H4888=0,"",J4888/H4888)</f>
        <v>0</v>
      </c>
      <c r="L4888">
        <f>IF(OR(AND(H4888=0,ABS(J4888)&gt;=0.01),AND(H4888&lt;&gt;0,ABS(K4888)&gt;VarianceThreshold)),"Review","OK")</f>
        <v>0</v>
      </c>
      <c r="M4888" t="s">
        <v>3038</v>
      </c>
    </row>
    <row r="4889" spans="1:13">
      <c r="A4889" t="s">
        <v>7</v>
      </c>
      <c r="B4889" t="s">
        <v>805</v>
      </c>
      <c r="C4889" t="s">
        <v>3431</v>
      </c>
      <c r="D4889" t="s">
        <v>1232</v>
      </c>
      <c r="E4889" cm="1">
        <f t="array" ref="E4889">_xlfn.XLOOKUP(D4889,SKU_Master!A:A,SKU_Master!B:B,"Not on master")</f>
        <v>0</v>
      </c>
      <c r="F4889" cm="1">
        <f t="array" ref="F4889">_xlfn.XLOOKUP(C4889,Account_Master!A:A,Account_Master!B:B,"Not on master")</f>
        <v>0</v>
      </c>
      <c r="G4889" cm="1">
        <f t="array" ref="G4889">_xlfn.XLOOKUP(C4889,Account_Master!A:A,Account_Master!C:C,"Not on master")</f>
        <v>0</v>
      </c>
      <c r="H4889" s="6">
        <v>0.05</v>
      </c>
      <c r="I4889" s="6">
        <v>0.05</v>
      </c>
      <c r="J4889" s="6">
        <f>I4889-H4889</f>
        <v>0</v>
      </c>
      <c r="K4889" s="5">
        <f>IF(H4889=0,"",J4889/H4889)</f>
        <v>0</v>
      </c>
      <c r="L4889">
        <f>IF(OR(AND(H4889=0,ABS(J4889)&gt;=0.01),AND(H4889&lt;&gt;0,ABS(K4889)&gt;VarianceThreshold)),"Review","OK")</f>
        <v>0</v>
      </c>
      <c r="M4889" t="s">
        <v>33</v>
      </c>
    </row>
    <row r="4890" spans="1:13">
      <c r="A4890" t="s">
        <v>7</v>
      </c>
      <c r="B4890" t="s">
        <v>805</v>
      </c>
      <c r="C4890" t="s">
        <v>3498</v>
      </c>
      <c r="D4890" t="s">
        <v>2997</v>
      </c>
      <c r="E4890" cm="1">
        <f t="array" ref="E4890">_xlfn.XLOOKUP(D4890,SKU_Master!A:A,SKU_Master!B:B,"Not on master")</f>
        <v>0</v>
      </c>
      <c r="F4890" cm="1">
        <f t="array" ref="F4890">_xlfn.XLOOKUP(C4890,Account_Master!A:A,Account_Master!B:B,"Not on master")</f>
        <v>0</v>
      </c>
      <c r="G4890" cm="1">
        <f t="array" ref="G4890">_xlfn.XLOOKUP(C4890,Account_Master!A:A,Account_Master!C:C,"Not on master")</f>
        <v>0</v>
      </c>
      <c r="H4890" s="6">
        <v>1.05</v>
      </c>
      <c r="I4890" s="6">
        <v>1.05</v>
      </c>
      <c r="J4890" s="6">
        <f>I4890-H4890</f>
        <v>0</v>
      </c>
      <c r="K4890" s="5">
        <f>IF(H4890=0,"",J4890/H4890)</f>
        <v>0</v>
      </c>
      <c r="L4890">
        <f>IF(OR(AND(H4890=0,ABS(J4890)&gt;=0.01),AND(H4890&lt;&gt;0,ABS(K4890)&gt;VarianceThreshold)),"Review","OK")</f>
        <v>0</v>
      </c>
      <c r="M4890" t="s">
        <v>33</v>
      </c>
    </row>
    <row r="4891" spans="1:13">
      <c r="A4891" t="s">
        <v>7</v>
      </c>
      <c r="B4891" t="s">
        <v>805</v>
      </c>
      <c r="C4891" t="s">
        <v>3368</v>
      </c>
      <c r="D4891" t="s">
        <v>3622</v>
      </c>
      <c r="E4891" cm="1">
        <f t="array" ref="E4891">_xlfn.XLOOKUP(D4891,SKU_Master!A:A,SKU_Master!B:B,"Not on master")</f>
        <v>0</v>
      </c>
      <c r="F4891" cm="1">
        <f t="array" ref="F4891">_xlfn.XLOOKUP(C4891,Account_Master!A:A,Account_Master!B:B,"Not on master")</f>
        <v>0</v>
      </c>
      <c r="G4891" cm="1">
        <f t="array" ref="G4891">_xlfn.XLOOKUP(C4891,Account_Master!A:A,Account_Master!C:C,"Not on master")</f>
        <v>0</v>
      </c>
      <c r="H4891" s="6">
        <v>6</v>
      </c>
      <c r="I4891" s="6">
        <v>6</v>
      </c>
      <c r="J4891" s="6">
        <f>I4891-H4891</f>
        <v>0</v>
      </c>
      <c r="K4891" s="5">
        <f>IF(H4891=0,"",J4891/H4891)</f>
        <v>0</v>
      </c>
      <c r="L4891">
        <f>IF(OR(AND(H4891=0,ABS(J4891)&gt;=0.01),AND(H4891&lt;&gt;0,ABS(K4891)&gt;VarianceThreshold)),"Review","OK")</f>
        <v>0</v>
      </c>
      <c r="M4891" t="s">
        <v>33</v>
      </c>
    </row>
    <row r="4892" spans="1:13">
      <c r="A4892" t="s">
        <v>7</v>
      </c>
      <c r="B4892" t="s">
        <v>805</v>
      </c>
      <c r="C4892" t="s">
        <v>3383</v>
      </c>
      <c r="D4892" t="s">
        <v>1348</v>
      </c>
      <c r="E4892" cm="1">
        <f t="array" ref="E4892">_xlfn.XLOOKUP(D4892,SKU_Master!A:A,SKU_Master!B:B,"Not on master")</f>
        <v>0</v>
      </c>
      <c r="F4892" cm="1">
        <f t="array" ref="F4892">_xlfn.XLOOKUP(C4892,Account_Master!A:A,Account_Master!B:B,"Not on master")</f>
        <v>0</v>
      </c>
      <c r="G4892" cm="1">
        <f t="array" ref="G4892">_xlfn.XLOOKUP(C4892,Account_Master!A:A,Account_Master!C:C,"Not on master")</f>
        <v>0</v>
      </c>
      <c r="H4892" s="6">
        <v>161</v>
      </c>
      <c r="I4892" s="6">
        <v>161</v>
      </c>
      <c r="J4892" s="6">
        <f>I4892-H4892</f>
        <v>0</v>
      </c>
      <c r="K4892" s="5">
        <f>IF(H4892=0,"",J4892/H4892)</f>
        <v>0</v>
      </c>
      <c r="L4892">
        <f>IF(OR(AND(H4892=0,ABS(J4892)&gt;=0.01),AND(H4892&lt;&gt;0,ABS(K4892)&gt;VarianceThreshold)),"Review","OK")</f>
        <v>0</v>
      </c>
      <c r="M4892" t="s">
        <v>33</v>
      </c>
    </row>
    <row r="4893" spans="1:13">
      <c r="A4893" t="s">
        <v>7</v>
      </c>
      <c r="B4893" t="s">
        <v>805</v>
      </c>
      <c r="C4893" t="s">
        <v>33</v>
      </c>
      <c r="D4893" t="s">
        <v>3623</v>
      </c>
      <c r="E4893" cm="1">
        <f t="array" ref="E4893">_xlfn.XLOOKUP(D4893,SKU_Master!A:A,SKU_Master!B:B,"Not on master")</f>
        <v>0</v>
      </c>
      <c r="F4893" cm="1">
        <f t="array" ref="F4893">_xlfn.XLOOKUP(C4893,Account_Master!A:A,Account_Master!B:B,"Not on master")</f>
        <v>0</v>
      </c>
      <c r="G4893" cm="1">
        <f t="array" ref="G4893">_xlfn.XLOOKUP(C4893,Account_Master!A:A,Account_Master!C:C,"Not on master")</f>
        <v>0</v>
      </c>
      <c r="H4893" s="6">
        <v>0</v>
      </c>
      <c r="I4893" s="6">
        <v>10.5</v>
      </c>
      <c r="J4893" s="6">
        <f>I4893-H4893</f>
        <v>0</v>
      </c>
      <c r="K4893" s="5">
        <f>IF(H4893=0,"",J4893/H4893)</f>
        <v>0</v>
      </c>
      <c r="L4893">
        <f>IF(OR(AND(H4893=0,ABS(J4893)&gt;=0.01),AND(H4893&lt;&gt;0,ABS(K4893)&gt;VarianceThreshold)),"Review","OK")</f>
        <v>0</v>
      </c>
      <c r="M4893" t="s">
        <v>3038</v>
      </c>
    </row>
    <row r="4894" spans="1:13">
      <c r="A4894" t="s">
        <v>7</v>
      </c>
      <c r="B4894" t="s">
        <v>814</v>
      </c>
      <c r="C4894" t="s">
        <v>3587</v>
      </c>
      <c r="D4894" t="s">
        <v>955</v>
      </c>
      <c r="E4894" cm="1">
        <f t="array" ref="E4894">_xlfn.XLOOKUP(D4894,SKU_Master!A:A,SKU_Master!B:B,"Not on master")</f>
        <v>0</v>
      </c>
      <c r="F4894" cm="1">
        <f t="array" ref="F4894">_xlfn.XLOOKUP(C4894,Account_Master!A:A,Account_Master!B:B,"Not on master")</f>
        <v>0</v>
      </c>
      <c r="G4894" cm="1">
        <f t="array" ref="G4894">_xlfn.XLOOKUP(C4894,Account_Master!A:A,Account_Master!C:C,"Not on master")</f>
        <v>0</v>
      </c>
      <c r="H4894" s="6">
        <v>10.5</v>
      </c>
      <c r="I4894" s="6">
        <v>10.5</v>
      </c>
      <c r="J4894" s="6">
        <f>I4894-H4894</f>
        <v>0</v>
      </c>
      <c r="K4894" s="5">
        <f>IF(H4894=0,"",J4894/H4894)</f>
        <v>0</v>
      </c>
      <c r="L4894">
        <f>IF(OR(AND(H4894=0,ABS(J4894)&gt;=0.01),AND(H4894&lt;&gt;0,ABS(K4894)&gt;VarianceThreshold)),"Review","OK")</f>
        <v>0</v>
      </c>
      <c r="M4894" t="s">
        <v>33</v>
      </c>
    </row>
    <row r="4895" spans="1:13">
      <c r="A4895" t="s">
        <v>7</v>
      </c>
      <c r="B4895" t="s">
        <v>814</v>
      </c>
      <c r="C4895" t="s">
        <v>3624</v>
      </c>
      <c r="D4895" t="s">
        <v>744</v>
      </c>
      <c r="E4895" cm="1">
        <f t="array" ref="E4895">_xlfn.XLOOKUP(D4895,SKU_Master!A:A,SKU_Master!B:B,"Not on master")</f>
        <v>0</v>
      </c>
      <c r="F4895" cm="1">
        <f t="array" ref="F4895">_xlfn.XLOOKUP(C4895,Account_Master!A:A,Account_Master!B:B,"Not on master")</f>
        <v>0</v>
      </c>
      <c r="G4895" cm="1">
        <f t="array" ref="G4895">_xlfn.XLOOKUP(C4895,Account_Master!A:A,Account_Master!C:C,"Not on master")</f>
        <v>0</v>
      </c>
      <c r="H4895" s="6">
        <v>89.90000000000001</v>
      </c>
      <c r="I4895" s="6">
        <v>85.7</v>
      </c>
      <c r="J4895" s="6">
        <f>I4895-H4895</f>
        <v>0</v>
      </c>
      <c r="K4895" s="5">
        <f>IF(H4895=0,"",J4895/H4895)</f>
        <v>0</v>
      </c>
      <c r="L4895">
        <f>IF(OR(AND(H4895=0,ABS(J4895)&gt;=0.01),AND(H4895&lt;&gt;0,ABS(K4895)&gt;VarianceThreshold)),"Review","OK")</f>
        <v>0</v>
      </c>
      <c r="M4895" t="s">
        <v>33</v>
      </c>
    </row>
    <row r="4896" spans="1:13">
      <c r="A4896" t="s">
        <v>7</v>
      </c>
      <c r="B4896" t="s">
        <v>814</v>
      </c>
      <c r="C4896" t="s">
        <v>3480</v>
      </c>
      <c r="D4896" t="s">
        <v>856</v>
      </c>
      <c r="E4896" cm="1">
        <f t="array" ref="E4896">_xlfn.XLOOKUP(D4896,SKU_Master!A:A,SKU_Master!B:B,"Not on master")</f>
        <v>0</v>
      </c>
      <c r="F4896" cm="1">
        <f t="array" ref="F4896">_xlfn.XLOOKUP(C4896,Account_Master!A:A,Account_Master!B:B,"Not on master")</f>
        <v>0</v>
      </c>
      <c r="G4896" cm="1">
        <f t="array" ref="G4896">_xlfn.XLOOKUP(C4896,Account_Master!A:A,Account_Master!C:C,"Not on master")</f>
        <v>0</v>
      </c>
      <c r="H4896" s="6">
        <v>1.5</v>
      </c>
      <c r="I4896" s="6">
        <v>1.5</v>
      </c>
      <c r="J4896" s="6">
        <f>I4896-H4896</f>
        <v>0</v>
      </c>
      <c r="K4896" s="5">
        <f>IF(H4896=0,"",J4896/H4896)</f>
        <v>0</v>
      </c>
      <c r="L4896">
        <f>IF(OR(AND(H4896=0,ABS(J4896)&gt;=0.01),AND(H4896&lt;&gt;0,ABS(K4896)&gt;VarianceThreshold)),"Review","OK")</f>
        <v>0</v>
      </c>
      <c r="M4896" t="s">
        <v>33</v>
      </c>
    </row>
    <row r="4897" spans="1:13">
      <c r="A4897" t="s">
        <v>7</v>
      </c>
      <c r="B4897" t="s">
        <v>829</v>
      </c>
      <c r="C4897" t="s">
        <v>3471</v>
      </c>
      <c r="D4897" t="s">
        <v>1402</v>
      </c>
      <c r="E4897" cm="1">
        <f t="array" ref="E4897">_xlfn.XLOOKUP(D4897,SKU_Master!A:A,SKU_Master!B:B,"Not on master")</f>
        <v>0</v>
      </c>
      <c r="F4897" cm="1">
        <f t="array" ref="F4897">_xlfn.XLOOKUP(C4897,Account_Master!A:A,Account_Master!B:B,"Not on master")</f>
        <v>0</v>
      </c>
      <c r="G4897" cm="1">
        <f t="array" ref="G4897">_xlfn.XLOOKUP(C4897,Account_Master!A:A,Account_Master!C:C,"Not on master")</f>
        <v>0</v>
      </c>
      <c r="H4897" s="6">
        <v>20.8</v>
      </c>
      <c r="I4897" s="6">
        <v>20.8</v>
      </c>
      <c r="J4897" s="6">
        <f>I4897-H4897</f>
        <v>0</v>
      </c>
      <c r="K4897" s="5">
        <f>IF(H4897=0,"",J4897/H4897)</f>
        <v>0</v>
      </c>
      <c r="L4897">
        <f>IF(OR(AND(H4897=0,ABS(J4897)&gt;=0.01),AND(H4897&lt;&gt;0,ABS(K4897)&gt;VarianceThreshold)),"Review","OK")</f>
        <v>0</v>
      </c>
      <c r="M4897" t="s">
        <v>33</v>
      </c>
    </row>
    <row r="4898" spans="1:13">
      <c r="A4898" t="s">
        <v>7</v>
      </c>
      <c r="B4898" t="s">
        <v>829</v>
      </c>
      <c r="C4898" t="s">
        <v>3508</v>
      </c>
      <c r="D4898" t="s">
        <v>1142</v>
      </c>
      <c r="E4898" cm="1">
        <f t="array" ref="E4898">_xlfn.XLOOKUP(D4898,SKU_Master!A:A,SKU_Master!B:B,"Not on master")</f>
        <v>0</v>
      </c>
      <c r="F4898" cm="1">
        <f t="array" ref="F4898">_xlfn.XLOOKUP(C4898,Account_Master!A:A,Account_Master!B:B,"Not on master")</f>
        <v>0</v>
      </c>
      <c r="G4898" cm="1">
        <f t="array" ref="G4898">_xlfn.XLOOKUP(C4898,Account_Master!A:A,Account_Master!C:C,"Not on master")</f>
        <v>0</v>
      </c>
      <c r="H4898" s="6">
        <v>2.4</v>
      </c>
      <c r="I4898" s="6">
        <v>2.4</v>
      </c>
      <c r="J4898" s="6">
        <f>I4898-H4898</f>
        <v>0</v>
      </c>
      <c r="K4898" s="5">
        <f>IF(H4898=0,"",J4898/H4898)</f>
        <v>0</v>
      </c>
      <c r="L4898">
        <f>IF(OR(AND(H4898=0,ABS(J4898)&gt;=0.01),AND(H4898&lt;&gt;0,ABS(K4898)&gt;VarianceThreshold)),"Review","OK")</f>
        <v>0</v>
      </c>
      <c r="M4898" t="s">
        <v>33</v>
      </c>
    </row>
    <row r="4899" spans="1:13">
      <c r="A4899" t="s">
        <v>7</v>
      </c>
      <c r="B4899" t="s">
        <v>829</v>
      </c>
      <c r="C4899" t="s">
        <v>3625</v>
      </c>
      <c r="D4899" t="s">
        <v>2208</v>
      </c>
      <c r="E4899" cm="1">
        <f t="array" ref="E4899">_xlfn.XLOOKUP(D4899,SKU_Master!A:A,SKU_Master!B:B,"Not on master")</f>
        <v>0</v>
      </c>
      <c r="F4899" cm="1">
        <f t="array" ref="F4899">_xlfn.XLOOKUP(C4899,Account_Master!A:A,Account_Master!B:B,"Not on master")</f>
        <v>0</v>
      </c>
      <c r="G4899" cm="1">
        <f t="array" ref="G4899">_xlfn.XLOOKUP(C4899,Account_Master!A:A,Account_Master!C:C,"Not on master")</f>
        <v>0</v>
      </c>
      <c r="H4899" s="6">
        <v>5.25</v>
      </c>
      <c r="I4899" s="6">
        <v>5.25</v>
      </c>
      <c r="J4899" s="6">
        <f>I4899-H4899</f>
        <v>0</v>
      </c>
      <c r="K4899" s="5">
        <f>IF(H4899=0,"",J4899/H4899)</f>
        <v>0</v>
      </c>
      <c r="L4899">
        <f>IF(OR(AND(H4899=0,ABS(J4899)&gt;=0.01),AND(H4899&lt;&gt;0,ABS(K4899)&gt;VarianceThreshold)),"Review","OK")</f>
        <v>0</v>
      </c>
      <c r="M4899" t="s">
        <v>33</v>
      </c>
    </row>
    <row r="4900" spans="1:13">
      <c r="A4900" t="s">
        <v>7</v>
      </c>
      <c r="B4900" t="s">
        <v>829</v>
      </c>
      <c r="C4900" t="s">
        <v>3498</v>
      </c>
      <c r="D4900" t="s">
        <v>2542</v>
      </c>
      <c r="E4900" cm="1">
        <f t="array" ref="E4900">_xlfn.XLOOKUP(D4900,SKU_Master!A:A,SKU_Master!B:B,"Not on master")</f>
        <v>0</v>
      </c>
      <c r="F4900" cm="1">
        <f t="array" ref="F4900">_xlfn.XLOOKUP(C4900,Account_Master!A:A,Account_Master!B:B,"Not on master")</f>
        <v>0</v>
      </c>
      <c r="G4900" cm="1">
        <f t="array" ref="G4900">_xlfn.XLOOKUP(C4900,Account_Master!A:A,Account_Master!C:C,"Not on master")</f>
        <v>0</v>
      </c>
      <c r="H4900" s="6">
        <v>7.5</v>
      </c>
      <c r="I4900" s="6">
        <v>7.5</v>
      </c>
      <c r="J4900" s="6">
        <f>I4900-H4900</f>
        <v>0</v>
      </c>
      <c r="K4900" s="5">
        <f>IF(H4900=0,"",J4900/H4900)</f>
        <v>0</v>
      </c>
      <c r="L4900">
        <f>IF(OR(AND(H4900=0,ABS(J4900)&gt;=0.01),AND(H4900&lt;&gt;0,ABS(K4900)&gt;VarianceThreshold)),"Review","OK")</f>
        <v>0</v>
      </c>
      <c r="M4900" t="s">
        <v>33</v>
      </c>
    </row>
    <row r="4901" spans="1:13">
      <c r="A4901" t="s">
        <v>7</v>
      </c>
      <c r="B4901" t="s">
        <v>829</v>
      </c>
      <c r="C4901" t="s">
        <v>33</v>
      </c>
      <c r="D4901" t="s">
        <v>3626</v>
      </c>
      <c r="E4901" cm="1">
        <f t="array" ref="E4901">_xlfn.XLOOKUP(D4901,SKU_Master!A:A,SKU_Master!B:B,"Not on master")</f>
        <v>0</v>
      </c>
      <c r="F4901" cm="1">
        <f t="array" ref="F4901">_xlfn.XLOOKUP(C4901,Account_Master!A:A,Account_Master!B:B,"Not on master")</f>
        <v>0</v>
      </c>
      <c r="G4901" cm="1">
        <f t="array" ref="G4901">_xlfn.XLOOKUP(C4901,Account_Master!A:A,Account_Master!C:C,"Not on master")</f>
        <v>0</v>
      </c>
      <c r="H4901" s="6">
        <v>0</v>
      </c>
      <c r="I4901" s="6">
        <v>2.25</v>
      </c>
      <c r="J4901" s="6">
        <f>I4901-H4901</f>
        <v>0</v>
      </c>
      <c r="K4901" s="5">
        <f>IF(H4901=0,"",J4901/H4901)</f>
        <v>0</v>
      </c>
      <c r="L4901">
        <f>IF(OR(AND(H4901=0,ABS(J4901)&gt;=0.01),AND(H4901&lt;&gt;0,ABS(K4901)&gt;VarianceThreshold)),"Review","OK")</f>
        <v>0</v>
      </c>
      <c r="M4901" t="s">
        <v>3038</v>
      </c>
    </row>
    <row r="4902" spans="1:13">
      <c r="A4902" t="s">
        <v>7</v>
      </c>
      <c r="B4902" t="s">
        <v>836</v>
      </c>
      <c r="C4902" t="s">
        <v>3449</v>
      </c>
      <c r="D4902" t="s">
        <v>1404</v>
      </c>
      <c r="E4902" cm="1">
        <f t="array" ref="E4902">_xlfn.XLOOKUP(D4902,SKU_Master!A:A,SKU_Master!B:B,"Not on master")</f>
        <v>0</v>
      </c>
      <c r="F4902" cm="1">
        <f t="array" ref="F4902">_xlfn.XLOOKUP(C4902,Account_Master!A:A,Account_Master!B:B,"Not on master")</f>
        <v>0</v>
      </c>
      <c r="G4902" cm="1">
        <f t="array" ref="G4902">_xlfn.XLOOKUP(C4902,Account_Master!A:A,Account_Master!C:C,"Not on master")</f>
        <v>0</v>
      </c>
      <c r="H4902" s="6">
        <v>1062.25</v>
      </c>
      <c r="I4902" s="6">
        <v>1041.25</v>
      </c>
      <c r="J4902" s="6">
        <f>I4902-H4902</f>
        <v>0</v>
      </c>
      <c r="K4902" s="5">
        <f>IF(H4902=0,"",J4902/H4902)</f>
        <v>0</v>
      </c>
      <c r="L4902">
        <f>IF(OR(AND(H4902=0,ABS(J4902)&gt;=0.01),AND(H4902&lt;&gt;0,ABS(K4902)&gt;VarianceThreshold)),"Review","OK")</f>
        <v>0</v>
      </c>
      <c r="M4902" t="s">
        <v>33</v>
      </c>
    </row>
    <row r="4903" spans="1:13">
      <c r="A4903" t="s">
        <v>7</v>
      </c>
      <c r="B4903" t="s">
        <v>836</v>
      </c>
      <c r="C4903" t="s">
        <v>3508</v>
      </c>
      <c r="D4903" t="s">
        <v>712</v>
      </c>
      <c r="E4903" cm="1">
        <f t="array" ref="E4903">_xlfn.XLOOKUP(D4903,SKU_Master!A:A,SKU_Master!B:B,"Not on master")</f>
        <v>0</v>
      </c>
      <c r="F4903" cm="1">
        <f t="array" ref="F4903">_xlfn.XLOOKUP(C4903,Account_Master!A:A,Account_Master!B:B,"Not on master")</f>
        <v>0</v>
      </c>
      <c r="G4903" cm="1">
        <f t="array" ref="G4903">_xlfn.XLOOKUP(C4903,Account_Master!A:A,Account_Master!C:C,"Not on master")</f>
        <v>0</v>
      </c>
      <c r="H4903" s="6">
        <v>0.85</v>
      </c>
      <c r="I4903" s="6">
        <v>0.85</v>
      </c>
      <c r="J4903" s="6">
        <f>I4903-H4903</f>
        <v>0</v>
      </c>
      <c r="K4903" s="5">
        <f>IF(H4903=0,"",J4903/H4903)</f>
        <v>0</v>
      </c>
      <c r="L4903">
        <f>IF(OR(AND(H4903=0,ABS(J4903)&gt;=0.01),AND(H4903&lt;&gt;0,ABS(K4903)&gt;VarianceThreshold)),"Review","OK")</f>
        <v>0</v>
      </c>
      <c r="M4903" t="s">
        <v>33</v>
      </c>
    </row>
    <row r="4904" spans="1:13">
      <c r="A4904" t="s">
        <v>7</v>
      </c>
      <c r="B4904" t="s">
        <v>836</v>
      </c>
      <c r="C4904" t="s">
        <v>3605</v>
      </c>
      <c r="D4904" t="s">
        <v>199</v>
      </c>
      <c r="E4904" cm="1">
        <f t="array" ref="E4904">_xlfn.XLOOKUP(D4904,SKU_Master!A:A,SKU_Master!B:B,"Not on master")</f>
        <v>0</v>
      </c>
      <c r="F4904" cm="1">
        <f t="array" ref="F4904">_xlfn.XLOOKUP(C4904,Account_Master!A:A,Account_Master!B:B,"Not on master")</f>
        <v>0</v>
      </c>
      <c r="G4904" cm="1">
        <f t="array" ref="G4904">_xlfn.XLOOKUP(C4904,Account_Master!A:A,Account_Master!C:C,"Not on master")</f>
        <v>0</v>
      </c>
      <c r="H4904" s="6">
        <v>18</v>
      </c>
      <c r="I4904" s="6">
        <v>18</v>
      </c>
      <c r="J4904" s="6">
        <f>I4904-H4904</f>
        <v>0</v>
      </c>
      <c r="K4904" s="5">
        <f>IF(H4904=0,"",J4904/H4904)</f>
        <v>0</v>
      </c>
      <c r="L4904">
        <f>IF(OR(AND(H4904=0,ABS(J4904)&gt;=0.01),AND(H4904&lt;&gt;0,ABS(K4904)&gt;VarianceThreshold)),"Review","OK")</f>
        <v>0</v>
      </c>
      <c r="M4904" t="s">
        <v>33</v>
      </c>
    </row>
    <row r="4905" spans="1:13">
      <c r="A4905" t="s">
        <v>7</v>
      </c>
      <c r="B4905" t="s">
        <v>836</v>
      </c>
      <c r="C4905" t="s">
        <v>3627</v>
      </c>
      <c r="D4905" t="s">
        <v>1963</v>
      </c>
      <c r="E4905" cm="1">
        <f t="array" ref="E4905">_xlfn.XLOOKUP(D4905,SKU_Master!A:A,SKU_Master!B:B,"Not on master")</f>
        <v>0</v>
      </c>
      <c r="F4905" cm="1">
        <f t="array" ref="F4905">_xlfn.XLOOKUP(C4905,Account_Master!A:A,Account_Master!B:B,"Not on master")</f>
        <v>0</v>
      </c>
      <c r="G4905" cm="1">
        <f t="array" ref="G4905">_xlfn.XLOOKUP(C4905,Account_Master!A:A,Account_Master!C:C,"Not on master")</f>
        <v>0</v>
      </c>
      <c r="H4905" s="6">
        <v>92.25</v>
      </c>
      <c r="I4905" s="6">
        <v>87.75</v>
      </c>
      <c r="J4905" s="6">
        <f>I4905-H4905</f>
        <v>0</v>
      </c>
      <c r="K4905" s="5">
        <f>IF(H4905=0,"",J4905/H4905)</f>
        <v>0</v>
      </c>
      <c r="L4905">
        <f>IF(OR(AND(H4905=0,ABS(J4905)&gt;=0.01),AND(H4905&lt;&gt;0,ABS(K4905)&gt;VarianceThreshold)),"Review","OK")</f>
        <v>0</v>
      </c>
      <c r="M4905" t="s">
        <v>33</v>
      </c>
    </row>
    <row r="4906" spans="1:13">
      <c r="A4906" t="s">
        <v>7</v>
      </c>
      <c r="B4906" t="s">
        <v>836</v>
      </c>
      <c r="C4906" t="s">
        <v>3378</v>
      </c>
      <c r="D4906" t="s">
        <v>359</v>
      </c>
      <c r="E4906" cm="1">
        <f t="array" ref="E4906">_xlfn.XLOOKUP(D4906,SKU_Master!A:A,SKU_Master!B:B,"Not on master")</f>
        <v>0</v>
      </c>
      <c r="F4906" cm="1">
        <f t="array" ref="F4906">_xlfn.XLOOKUP(C4906,Account_Master!A:A,Account_Master!B:B,"Not on master")</f>
        <v>0</v>
      </c>
      <c r="G4906" cm="1">
        <f t="array" ref="G4906">_xlfn.XLOOKUP(C4906,Account_Master!A:A,Account_Master!C:C,"Not on master")</f>
        <v>0</v>
      </c>
      <c r="H4906" s="6">
        <v>0.6</v>
      </c>
      <c r="I4906" s="6">
        <v>0.6</v>
      </c>
      <c r="J4906" s="6">
        <f>I4906-H4906</f>
        <v>0</v>
      </c>
      <c r="K4906" s="5">
        <f>IF(H4906=0,"",J4906/H4906)</f>
        <v>0</v>
      </c>
      <c r="L4906">
        <f>IF(OR(AND(H4906=0,ABS(J4906)&gt;=0.01),AND(H4906&lt;&gt;0,ABS(K4906)&gt;VarianceThreshold)),"Review","OK")</f>
        <v>0</v>
      </c>
      <c r="M4906" t="s">
        <v>33</v>
      </c>
    </row>
    <row r="4907" spans="1:13">
      <c r="A4907" t="s">
        <v>7</v>
      </c>
      <c r="B4907" t="s">
        <v>836</v>
      </c>
      <c r="C4907" t="s">
        <v>3369</v>
      </c>
      <c r="D4907" t="s">
        <v>449</v>
      </c>
      <c r="E4907" cm="1">
        <f t="array" ref="E4907">_xlfn.XLOOKUP(D4907,SKU_Master!A:A,SKU_Master!B:B,"Not on master")</f>
        <v>0</v>
      </c>
      <c r="F4907" cm="1">
        <f t="array" ref="F4907">_xlfn.XLOOKUP(C4907,Account_Master!A:A,Account_Master!B:B,"Not on master")</f>
        <v>0</v>
      </c>
      <c r="G4907" cm="1">
        <f t="array" ref="G4907">_xlfn.XLOOKUP(C4907,Account_Master!A:A,Account_Master!C:C,"Not on master")</f>
        <v>0</v>
      </c>
      <c r="H4907" s="6">
        <v>15</v>
      </c>
      <c r="I4907" s="6">
        <v>15</v>
      </c>
      <c r="J4907" s="6">
        <f>I4907-H4907</f>
        <v>0</v>
      </c>
      <c r="K4907" s="5">
        <f>IF(H4907=0,"",J4907/H4907)</f>
        <v>0</v>
      </c>
      <c r="L4907">
        <f>IF(OR(AND(H4907=0,ABS(J4907)&gt;=0.01),AND(H4907&lt;&gt;0,ABS(K4907)&gt;VarianceThreshold)),"Review","OK")</f>
        <v>0</v>
      </c>
      <c r="M4907" t="s">
        <v>33</v>
      </c>
    </row>
    <row r="4908" spans="1:13">
      <c r="A4908" t="s">
        <v>7</v>
      </c>
      <c r="B4908" t="s">
        <v>836</v>
      </c>
      <c r="C4908" t="s">
        <v>3368</v>
      </c>
      <c r="D4908" t="s">
        <v>1079</v>
      </c>
      <c r="E4908" cm="1">
        <f t="array" ref="E4908">_xlfn.XLOOKUP(D4908,SKU_Master!A:A,SKU_Master!B:B,"Not on master")</f>
        <v>0</v>
      </c>
      <c r="F4908" cm="1">
        <f t="array" ref="F4908">_xlfn.XLOOKUP(C4908,Account_Master!A:A,Account_Master!B:B,"Not on master")</f>
        <v>0</v>
      </c>
      <c r="G4908" cm="1">
        <f t="array" ref="G4908">_xlfn.XLOOKUP(C4908,Account_Master!A:A,Account_Master!C:C,"Not on master")</f>
        <v>0</v>
      </c>
      <c r="H4908" s="6">
        <v>6.75</v>
      </c>
      <c r="I4908" s="6">
        <v>6.75</v>
      </c>
      <c r="J4908" s="6">
        <f>I4908-H4908</f>
        <v>0</v>
      </c>
      <c r="K4908" s="5">
        <f>IF(H4908=0,"",J4908/H4908)</f>
        <v>0</v>
      </c>
      <c r="L4908">
        <f>IF(OR(AND(H4908=0,ABS(J4908)&gt;=0.01),AND(H4908&lt;&gt;0,ABS(K4908)&gt;VarianceThreshold)),"Review","OK")</f>
        <v>0</v>
      </c>
      <c r="M4908" t="s">
        <v>33</v>
      </c>
    </row>
    <row r="4909" spans="1:13">
      <c r="A4909" t="s">
        <v>7</v>
      </c>
      <c r="B4909" t="s">
        <v>836</v>
      </c>
      <c r="C4909" t="s">
        <v>3628</v>
      </c>
      <c r="D4909" t="s">
        <v>2010</v>
      </c>
      <c r="E4909" cm="1">
        <f t="array" ref="E4909">_xlfn.XLOOKUP(D4909,SKU_Master!A:A,SKU_Master!B:B,"Not on master")</f>
        <v>0</v>
      </c>
      <c r="F4909" cm="1">
        <f t="array" ref="F4909">_xlfn.XLOOKUP(C4909,Account_Master!A:A,Account_Master!B:B,"Not on master")</f>
        <v>0</v>
      </c>
      <c r="G4909" cm="1">
        <f t="array" ref="G4909">_xlfn.XLOOKUP(C4909,Account_Master!A:A,Account_Master!C:C,"Not on master")</f>
        <v>0</v>
      </c>
      <c r="H4909" s="6">
        <v>21</v>
      </c>
      <c r="I4909" s="6">
        <v>21</v>
      </c>
      <c r="J4909" s="6">
        <f>I4909-H4909</f>
        <v>0</v>
      </c>
      <c r="K4909" s="5">
        <f>IF(H4909=0,"",J4909/H4909)</f>
        <v>0</v>
      </c>
      <c r="L4909">
        <f>IF(OR(AND(H4909=0,ABS(J4909)&gt;=0.01),AND(H4909&lt;&gt;0,ABS(K4909)&gt;VarianceThreshold)),"Review","OK")</f>
        <v>0</v>
      </c>
      <c r="M4909" t="s">
        <v>33</v>
      </c>
    </row>
    <row r="4910" spans="1:13">
      <c r="A4910" t="s">
        <v>7</v>
      </c>
      <c r="B4910" t="s">
        <v>836</v>
      </c>
      <c r="C4910" t="s">
        <v>33</v>
      </c>
      <c r="D4910" t="s">
        <v>3629</v>
      </c>
      <c r="E4910" cm="1">
        <f t="array" ref="E4910">_xlfn.XLOOKUP(D4910,SKU_Master!A:A,SKU_Master!B:B,"Not on master")</f>
        <v>0</v>
      </c>
      <c r="F4910" cm="1">
        <f t="array" ref="F4910">_xlfn.XLOOKUP(C4910,Account_Master!A:A,Account_Master!B:B,"Not on master")</f>
        <v>0</v>
      </c>
      <c r="G4910" cm="1">
        <f t="array" ref="G4910">_xlfn.XLOOKUP(C4910,Account_Master!A:A,Account_Master!C:C,"Not on master")</f>
        <v>0</v>
      </c>
      <c r="H4910" s="6">
        <v>0</v>
      </c>
      <c r="I4910" s="6">
        <v>63</v>
      </c>
      <c r="J4910" s="6">
        <f>I4910-H4910</f>
        <v>0</v>
      </c>
      <c r="K4910" s="5">
        <f>IF(H4910=0,"",J4910/H4910)</f>
        <v>0</v>
      </c>
      <c r="L4910">
        <f>IF(OR(AND(H4910=0,ABS(J4910)&gt;=0.01),AND(H4910&lt;&gt;0,ABS(K4910)&gt;VarianceThreshold)),"Review","OK")</f>
        <v>0</v>
      </c>
      <c r="M4910" t="s">
        <v>3038</v>
      </c>
    </row>
    <row r="4911" spans="1:13">
      <c r="A4911" t="s">
        <v>7</v>
      </c>
      <c r="B4911" t="s">
        <v>846</v>
      </c>
      <c r="C4911" t="s">
        <v>3398</v>
      </c>
      <c r="D4911" t="s">
        <v>953</v>
      </c>
      <c r="E4911" cm="1">
        <f t="array" ref="E4911">_xlfn.XLOOKUP(D4911,SKU_Master!A:A,SKU_Master!B:B,"Not on master")</f>
        <v>0</v>
      </c>
      <c r="F4911" cm="1">
        <f t="array" ref="F4911">_xlfn.XLOOKUP(C4911,Account_Master!A:A,Account_Master!B:B,"Not on master")</f>
        <v>0</v>
      </c>
      <c r="G4911" cm="1">
        <f t="array" ref="G4911">_xlfn.XLOOKUP(C4911,Account_Master!A:A,Account_Master!C:C,"Not on master")</f>
        <v>0</v>
      </c>
      <c r="H4911" s="6">
        <v>10.5</v>
      </c>
      <c r="I4911" s="6">
        <v>10.5</v>
      </c>
      <c r="J4911" s="6">
        <f>I4911-H4911</f>
        <v>0</v>
      </c>
      <c r="K4911" s="5">
        <f>IF(H4911=0,"",J4911/H4911)</f>
        <v>0</v>
      </c>
      <c r="L4911">
        <f>IF(OR(AND(H4911=0,ABS(J4911)&gt;=0.01),AND(H4911&lt;&gt;0,ABS(K4911)&gt;VarianceThreshold)),"Review","OK")</f>
        <v>0</v>
      </c>
      <c r="M4911" t="s">
        <v>33</v>
      </c>
    </row>
    <row r="4912" spans="1:13">
      <c r="A4912" t="s">
        <v>7</v>
      </c>
      <c r="B4912" t="s">
        <v>846</v>
      </c>
      <c r="C4912" t="s">
        <v>3358</v>
      </c>
      <c r="D4912" t="s">
        <v>2112</v>
      </c>
      <c r="E4912" cm="1">
        <f t="array" ref="E4912">_xlfn.XLOOKUP(D4912,SKU_Master!A:A,SKU_Master!B:B,"Not on master")</f>
        <v>0</v>
      </c>
      <c r="F4912" cm="1">
        <f t="array" ref="F4912">_xlfn.XLOOKUP(C4912,Account_Master!A:A,Account_Master!B:B,"Not on master")</f>
        <v>0</v>
      </c>
      <c r="G4912" cm="1">
        <f t="array" ref="G4912">_xlfn.XLOOKUP(C4912,Account_Master!A:A,Account_Master!C:C,"Not on master")</f>
        <v>0</v>
      </c>
      <c r="H4912" s="6">
        <v>724.5</v>
      </c>
      <c r="I4912" s="6">
        <v>724.5</v>
      </c>
      <c r="J4912" s="6">
        <f>I4912-H4912</f>
        <v>0</v>
      </c>
      <c r="K4912" s="5">
        <f>IF(H4912=0,"",J4912/H4912)</f>
        <v>0</v>
      </c>
      <c r="L4912">
        <f>IF(OR(AND(H4912=0,ABS(J4912)&gt;=0.01),AND(H4912&lt;&gt;0,ABS(K4912)&gt;VarianceThreshold)),"Review","OK")</f>
        <v>0</v>
      </c>
      <c r="M4912" t="s">
        <v>33</v>
      </c>
    </row>
    <row r="4913" spans="1:13">
      <c r="A4913" t="s">
        <v>7</v>
      </c>
      <c r="B4913" t="s">
        <v>846</v>
      </c>
      <c r="C4913" t="s">
        <v>3419</v>
      </c>
      <c r="D4913" t="s">
        <v>599</v>
      </c>
      <c r="E4913" cm="1">
        <f t="array" ref="E4913">_xlfn.XLOOKUP(D4913,SKU_Master!A:A,SKU_Master!B:B,"Not on master")</f>
        <v>0</v>
      </c>
      <c r="F4913" cm="1">
        <f t="array" ref="F4913">_xlfn.XLOOKUP(C4913,Account_Master!A:A,Account_Master!B:B,"Not on master")</f>
        <v>0</v>
      </c>
      <c r="G4913" cm="1">
        <f t="array" ref="G4913">_xlfn.XLOOKUP(C4913,Account_Master!A:A,Account_Master!C:C,"Not on master")</f>
        <v>0</v>
      </c>
      <c r="H4913" s="6">
        <v>3.8</v>
      </c>
      <c r="I4913" s="6">
        <v>3.25</v>
      </c>
      <c r="J4913" s="6">
        <f>I4913-H4913</f>
        <v>0</v>
      </c>
      <c r="K4913" s="5">
        <f>IF(H4913=0,"",J4913/H4913)</f>
        <v>0</v>
      </c>
      <c r="L4913">
        <f>IF(OR(AND(H4913=0,ABS(J4913)&gt;=0.01),AND(H4913&lt;&gt;0,ABS(K4913)&gt;VarianceThreshold)),"Review","OK")</f>
        <v>0</v>
      </c>
      <c r="M4913" t="s">
        <v>3038</v>
      </c>
    </row>
    <row r="4914" spans="1:13">
      <c r="A4914" t="s">
        <v>7</v>
      </c>
      <c r="B4914" t="s">
        <v>846</v>
      </c>
      <c r="C4914" t="s">
        <v>3481</v>
      </c>
      <c r="D4914" t="s">
        <v>2838</v>
      </c>
      <c r="E4914" cm="1">
        <f t="array" ref="E4914">_xlfn.XLOOKUP(D4914,SKU_Master!A:A,SKU_Master!B:B,"Not on master")</f>
        <v>0</v>
      </c>
      <c r="F4914" cm="1">
        <f t="array" ref="F4914">_xlfn.XLOOKUP(C4914,Account_Master!A:A,Account_Master!B:B,"Not on master")</f>
        <v>0</v>
      </c>
      <c r="G4914" cm="1">
        <f t="array" ref="G4914">_xlfn.XLOOKUP(C4914,Account_Master!A:A,Account_Master!C:C,"Not on master")</f>
        <v>0</v>
      </c>
      <c r="H4914" s="6">
        <v>4.8</v>
      </c>
      <c r="I4914" s="6">
        <v>4.8</v>
      </c>
      <c r="J4914" s="6">
        <f>I4914-H4914</f>
        <v>0</v>
      </c>
      <c r="K4914" s="5">
        <f>IF(H4914=0,"",J4914/H4914)</f>
        <v>0</v>
      </c>
      <c r="L4914">
        <f>IF(OR(AND(H4914=0,ABS(J4914)&gt;=0.01),AND(H4914&lt;&gt;0,ABS(K4914)&gt;VarianceThreshold)),"Review","OK")</f>
        <v>0</v>
      </c>
      <c r="M4914" t="s">
        <v>33</v>
      </c>
    </row>
    <row r="4915" spans="1:13">
      <c r="A4915" t="s">
        <v>7</v>
      </c>
      <c r="B4915" t="s">
        <v>846</v>
      </c>
      <c r="C4915" t="s">
        <v>33</v>
      </c>
      <c r="D4915" t="s">
        <v>3630</v>
      </c>
      <c r="E4915" cm="1">
        <f t="array" ref="E4915">_xlfn.XLOOKUP(D4915,SKU_Master!A:A,SKU_Master!B:B,"Not on master")</f>
        <v>0</v>
      </c>
      <c r="F4915" cm="1">
        <f t="array" ref="F4915">_xlfn.XLOOKUP(C4915,Account_Master!A:A,Account_Master!B:B,"Not on master")</f>
        <v>0</v>
      </c>
      <c r="G4915" cm="1">
        <f t="array" ref="G4915">_xlfn.XLOOKUP(C4915,Account_Master!A:A,Account_Master!C:C,"Not on master")</f>
        <v>0</v>
      </c>
      <c r="H4915" s="6">
        <v>0</v>
      </c>
      <c r="I4915" s="6">
        <v>10.5</v>
      </c>
      <c r="J4915" s="6">
        <f>I4915-H4915</f>
        <v>0</v>
      </c>
      <c r="K4915" s="5">
        <f>IF(H4915=0,"",J4915/H4915)</f>
        <v>0</v>
      </c>
      <c r="L4915">
        <f>IF(OR(AND(H4915=0,ABS(J4915)&gt;=0.01),AND(H4915&lt;&gt;0,ABS(K4915)&gt;VarianceThreshold)),"Review","OK")</f>
        <v>0</v>
      </c>
      <c r="M4915" t="s">
        <v>3038</v>
      </c>
    </row>
    <row r="4916" spans="1:13">
      <c r="A4916" t="s">
        <v>7</v>
      </c>
      <c r="B4916" t="s">
        <v>851</v>
      </c>
      <c r="C4916" t="s">
        <v>3631</v>
      </c>
      <c r="D4916" t="s">
        <v>90</v>
      </c>
      <c r="E4916" cm="1">
        <f t="array" ref="E4916">_xlfn.XLOOKUP(D4916,SKU_Master!A:A,SKU_Master!B:B,"Not on master")</f>
        <v>0</v>
      </c>
      <c r="F4916" cm="1">
        <f t="array" ref="F4916">_xlfn.XLOOKUP(C4916,Account_Master!A:A,Account_Master!B:B,"Not on master")</f>
        <v>0</v>
      </c>
      <c r="G4916" cm="1">
        <f t="array" ref="G4916">_xlfn.XLOOKUP(C4916,Account_Master!A:A,Account_Master!C:C,"Not on master")</f>
        <v>0</v>
      </c>
      <c r="H4916" s="6">
        <v>31.5</v>
      </c>
      <c r="I4916" s="6">
        <v>31.5</v>
      </c>
      <c r="J4916" s="6">
        <f>I4916-H4916</f>
        <v>0</v>
      </c>
      <c r="K4916" s="5">
        <f>IF(H4916=0,"",J4916/H4916)</f>
        <v>0</v>
      </c>
      <c r="L4916">
        <f>IF(OR(AND(H4916=0,ABS(J4916)&gt;=0.01),AND(H4916&lt;&gt;0,ABS(K4916)&gt;VarianceThreshold)),"Review","OK")</f>
        <v>0</v>
      </c>
      <c r="M4916" t="s">
        <v>33</v>
      </c>
    </row>
    <row r="4917" spans="1:13">
      <c r="A4917" t="s">
        <v>7</v>
      </c>
      <c r="B4917" t="s">
        <v>851</v>
      </c>
      <c r="C4917" t="s">
        <v>3632</v>
      </c>
      <c r="D4917" t="s">
        <v>1893</v>
      </c>
      <c r="E4917" cm="1">
        <f t="array" ref="E4917">_xlfn.XLOOKUP(D4917,SKU_Master!A:A,SKU_Master!B:B,"Not on master")</f>
        <v>0</v>
      </c>
      <c r="F4917" cm="1">
        <f t="array" ref="F4917">_xlfn.XLOOKUP(C4917,Account_Master!A:A,Account_Master!B:B,"Not on master")</f>
        <v>0</v>
      </c>
      <c r="G4917" cm="1">
        <f t="array" ref="G4917">_xlfn.XLOOKUP(C4917,Account_Master!A:A,Account_Master!C:C,"Not on master")</f>
        <v>0</v>
      </c>
      <c r="H4917" s="6">
        <v>10.5</v>
      </c>
      <c r="I4917" s="6">
        <v>10.5</v>
      </c>
      <c r="J4917" s="6">
        <f>I4917-H4917</f>
        <v>0</v>
      </c>
      <c r="K4917" s="5">
        <f>IF(H4917=0,"",J4917/H4917)</f>
        <v>0</v>
      </c>
      <c r="L4917">
        <f>IF(OR(AND(H4917=0,ABS(J4917)&gt;=0.01),AND(H4917&lt;&gt;0,ABS(K4917)&gt;VarianceThreshold)),"Review","OK")</f>
        <v>0</v>
      </c>
      <c r="M4917" t="s">
        <v>33</v>
      </c>
    </row>
    <row r="4918" spans="1:13">
      <c r="A4918" t="s">
        <v>7</v>
      </c>
      <c r="B4918" t="s">
        <v>851</v>
      </c>
      <c r="C4918" t="s">
        <v>3456</v>
      </c>
      <c r="D4918" t="s">
        <v>2357</v>
      </c>
      <c r="E4918" cm="1">
        <f t="array" ref="E4918">_xlfn.XLOOKUP(D4918,SKU_Master!A:A,SKU_Master!B:B,"Not on master")</f>
        <v>0</v>
      </c>
      <c r="F4918" cm="1">
        <f t="array" ref="F4918">_xlfn.XLOOKUP(C4918,Account_Master!A:A,Account_Master!B:B,"Not on master")</f>
        <v>0</v>
      </c>
      <c r="G4918" cm="1">
        <f t="array" ref="G4918">_xlfn.XLOOKUP(C4918,Account_Master!A:A,Account_Master!C:C,"Not on master")</f>
        <v>0</v>
      </c>
      <c r="H4918" s="6">
        <v>18</v>
      </c>
      <c r="I4918" s="6">
        <v>18</v>
      </c>
      <c r="J4918" s="6">
        <f>I4918-H4918</f>
        <v>0</v>
      </c>
      <c r="K4918" s="5">
        <f>IF(H4918=0,"",J4918/H4918)</f>
        <v>0</v>
      </c>
      <c r="L4918">
        <f>IF(OR(AND(H4918=0,ABS(J4918)&gt;=0.01),AND(H4918&lt;&gt;0,ABS(K4918)&gt;VarianceThreshold)),"Review","OK")</f>
        <v>0</v>
      </c>
      <c r="M4918" t="s">
        <v>33</v>
      </c>
    </row>
    <row r="4919" spans="1:13">
      <c r="A4919" t="s">
        <v>7</v>
      </c>
      <c r="B4919" t="s">
        <v>851</v>
      </c>
      <c r="C4919" t="s">
        <v>3368</v>
      </c>
      <c r="D4919" t="s">
        <v>1856</v>
      </c>
      <c r="E4919" cm="1">
        <f t="array" ref="E4919">_xlfn.XLOOKUP(D4919,SKU_Master!A:A,SKU_Master!B:B,"Not on master")</f>
        <v>0</v>
      </c>
      <c r="F4919" cm="1">
        <f t="array" ref="F4919">_xlfn.XLOOKUP(C4919,Account_Master!A:A,Account_Master!B:B,"Not on master")</f>
        <v>0</v>
      </c>
      <c r="G4919" cm="1">
        <f t="array" ref="G4919">_xlfn.XLOOKUP(C4919,Account_Master!A:A,Account_Master!C:C,"Not on master")</f>
        <v>0</v>
      </c>
      <c r="H4919" s="6">
        <v>11.25</v>
      </c>
      <c r="I4919" s="6">
        <v>11.25</v>
      </c>
      <c r="J4919" s="6">
        <f>I4919-H4919</f>
        <v>0</v>
      </c>
      <c r="K4919" s="5">
        <f>IF(H4919=0,"",J4919/H4919)</f>
        <v>0</v>
      </c>
      <c r="L4919">
        <f>IF(OR(AND(H4919=0,ABS(J4919)&gt;=0.01),AND(H4919&lt;&gt;0,ABS(K4919)&gt;VarianceThreshold)),"Review","OK")</f>
        <v>0</v>
      </c>
      <c r="M4919" t="s">
        <v>33</v>
      </c>
    </row>
    <row r="4920" spans="1:13">
      <c r="A4920" t="s">
        <v>7</v>
      </c>
      <c r="B4920" t="s">
        <v>851</v>
      </c>
      <c r="C4920" t="s">
        <v>3633</v>
      </c>
      <c r="D4920" t="s">
        <v>168</v>
      </c>
      <c r="E4920" cm="1">
        <f t="array" ref="E4920">_xlfn.XLOOKUP(D4920,SKU_Master!A:A,SKU_Master!B:B,"Not on master")</f>
        <v>0</v>
      </c>
      <c r="F4920" cm="1">
        <f t="array" ref="F4920">_xlfn.XLOOKUP(C4920,Account_Master!A:A,Account_Master!B:B,"Not on master")</f>
        <v>0</v>
      </c>
      <c r="G4920" cm="1">
        <f t="array" ref="G4920">_xlfn.XLOOKUP(C4920,Account_Master!A:A,Account_Master!C:C,"Not on master")</f>
        <v>0</v>
      </c>
      <c r="H4920" s="6">
        <v>0.15</v>
      </c>
      <c r="I4920" s="6">
        <v>0.15</v>
      </c>
      <c r="J4920" s="6">
        <f>I4920-H4920</f>
        <v>0</v>
      </c>
      <c r="K4920" s="5">
        <f>IF(H4920=0,"",J4920/H4920)</f>
        <v>0</v>
      </c>
      <c r="L4920">
        <f>IF(OR(AND(H4920=0,ABS(J4920)&gt;=0.01),AND(H4920&lt;&gt;0,ABS(K4920)&gt;VarianceThreshold)),"Review","OK")</f>
        <v>0</v>
      </c>
      <c r="M4920" t="s">
        <v>33</v>
      </c>
    </row>
    <row r="4921" spans="1:13">
      <c r="A4921" t="s">
        <v>7</v>
      </c>
      <c r="B4921" t="s">
        <v>851</v>
      </c>
      <c r="C4921" t="s">
        <v>33</v>
      </c>
      <c r="D4921" t="s">
        <v>3634</v>
      </c>
      <c r="E4921" cm="1">
        <f t="array" ref="E4921">_xlfn.XLOOKUP(D4921,SKU_Master!A:A,SKU_Master!B:B,"Not on master")</f>
        <v>0</v>
      </c>
      <c r="F4921" cm="1">
        <f t="array" ref="F4921">_xlfn.XLOOKUP(C4921,Account_Master!A:A,Account_Master!B:B,"Not on master")</f>
        <v>0</v>
      </c>
      <c r="G4921" cm="1">
        <f t="array" ref="G4921">_xlfn.XLOOKUP(C4921,Account_Master!A:A,Account_Master!C:C,"Not on master")</f>
        <v>0</v>
      </c>
      <c r="H4921" s="6">
        <v>0</v>
      </c>
      <c r="I4921" s="6">
        <v>9</v>
      </c>
      <c r="J4921" s="6">
        <f>I4921-H4921</f>
        <v>0</v>
      </c>
      <c r="K4921" s="5">
        <f>IF(H4921=0,"",J4921/H4921)</f>
        <v>0</v>
      </c>
      <c r="L4921">
        <f>IF(OR(AND(H4921=0,ABS(J4921)&gt;=0.01),AND(H4921&lt;&gt;0,ABS(K4921)&gt;VarianceThreshold)),"Review","OK")</f>
        <v>0</v>
      </c>
      <c r="M4921" t="s">
        <v>3038</v>
      </c>
    </row>
    <row r="4922" spans="1:13">
      <c r="A4922" t="s">
        <v>7</v>
      </c>
      <c r="B4922" t="s">
        <v>858</v>
      </c>
      <c r="C4922" t="s">
        <v>3358</v>
      </c>
      <c r="D4922" t="s">
        <v>1497</v>
      </c>
      <c r="E4922" cm="1">
        <f t="array" ref="E4922">_xlfn.XLOOKUP(D4922,SKU_Master!A:A,SKU_Master!B:B,"Not on master")</f>
        <v>0</v>
      </c>
      <c r="F4922" cm="1">
        <f t="array" ref="F4922">_xlfn.XLOOKUP(C4922,Account_Master!A:A,Account_Master!B:B,"Not on master")</f>
        <v>0</v>
      </c>
      <c r="G4922" cm="1">
        <f t="array" ref="G4922">_xlfn.XLOOKUP(C4922,Account_Master!A:A,Account_Master!C:C,"Not on master")</f>
        <v>0</v>
      </c>
      <c r="H4922" s="6">
        <v>4.5</v>
      </c>
      <c r="I4922" s="6">
        <v>4.5</v>
      </c>
      <c r="J4922" s="6">
        <f>I4922-H4922</f>
        <v>0</v>
      </c>
      <c r="K4922" s="5">
        <f>IF(H4922=0,"",J4922/H4922)</f>
        <v>0</v>
      </c>
      <c r="L4922">
        <f>IF(OR(AND(H4922=0,ABS(J4922)&gt;=0.01),AND(H4922&lt;&gt;0,ABS(K4922)&gt;VarianceThreshold)),"Review","OK")</f>
        <v>0</v>
      </c>
      <c r="M4922" t="s">
        <v>33</v>
      </c>
    </row>
    <row r="4923" spans="1:13">
      <c r="A4923" t="s">
        <v>7</v>
      </c>
      <c r="B4923" t="s">
        <v>858</v>
      </c>
      <c r="C4923" t="s">
        <v>3635</v>
      </c>
      <c r="D4923" t="s">
        <v>1554</v>
      </c>
      <c r="E4923" cm="1">
        <f t="array" ref="E4923">_xlfn.XLOOKUP(D4923,SKU_Master!A:A,SKU_Master!B:B,"Not on master")</f>
        <v>0</v>
      </c>
      <c r="F4923" cm="1">
        <f t="array" ref="F4923">_xlfn.XLOOKUP(C4923,Account_Master!A:A,Account_Master!B:B,"Not on master")</f>
        <v>0</v>
      </c>
      <c r="G4923" cm="1">
        <f t="array" ref="G4923">_xlfn.XLOOKUP(C4923,Account_Master!A:A,Account_Master!C:C,"Not on master")</f>
        <v>0</v>
      </c>
      <c r="H4923" s="6">
        <v>9</v>
      </c>
      <c r="I4923" s="6">
        <v>9</v>
      </c>
      <c r="J4923" s="6">
        <f>I4923-H4923</f>
        <v>0</v>
      </c>
      <c r="K4923" s="5">
        <f>IF(H4923=0,"",J4923/H4923)</f>
        <v>0</v>
      </c>
      <c r="L4923">
        <f>IF(OR(AND(H4923=0,ABS(J4923)&gt;=0.01),AND(H4923&lt;&gt;0,ABS(K4923)&gt;VarianceThreshold)),"Review","OK")</f>
        <v>0</v>
      </c>
      <c r="M4923" t="s">
        <v>33</v>
      </c>
    </row>
    <row r="4924" spans="1:13">
      <c r="A4924" t="s">
        <v>7</v>
      </c>
      <c r="B4924" t="s">
        <v>858</v>
      </c>
      <c r="C4924" t="s">
        <v>3461</v>
      </c>
      <c r="D4924" t="s">
        <v>1589</v>
      </c>
      <c r="E4924" cm="1">
        <f t="array" ref="E4924">_xlfn.XLOOKUP(D4924,SKU_Master!A:A,SKU_Master!B:B,"Not on master")</f>
        <v>0</v>
      </c>
      <c r="F4924" cm="1">
        <f t="array" ref="F4924">_xlfn.XLOOKUP(C4924,Account_Master!A:A,Account_Master!B:B,"Not on master")</f>
        <v>0</v>
      </c>
      <c r="G4924" cm="1">
        <f t="array" ref="G4924">_xlfn.XLOOKUP(C4924,Account_Master!A:A,Account_Master!C:C,"Not on master")</f>
        <v>0</v>
      </c>
      <c r="H4924" s="6">
        <v>0.25</v>
      </c>
      <c r="I4924" s="6">
        <v>0.25</v>
      </c>
      <c r="J4924" s="6">
        <f>I4924-H4924</f>
        <v>0</v>
      </c>
      <c r="K4924" s="5">
        <f>IF(H4924=0,"",J4924/H4924)</f>
        <v>0</v>
      </c>
      <c r="L4924">
        <f>IF(OR(AND(H4924=0,ABS(J4924)&gt;=0.01),AND(H4924&lt;&gt;0,ABS(K4924)&gt;VarianceThreshold)),"Review","OK")</f>
        <v>0</v>
      </c>
      <c r="M4924" t="s">
        <v>33</v>
      </c>
    </row>
    <row r="4925" spans="1:13">
      <c r="A4925" t="s">
        <v>7</v>
      </c>
      <c r="B4925" t="s">
        <v>858</v>
      </c>
      <c r="C4925" t="s">
        <v>3524</v>
      </c>
      <c r="D4925" t="s">
        <v>1382</v>
      </c>
      <c r="E4925" cm="1">
        <f t="array" ref="E4925">_xlfn.XLOOKUP(D4925,SKU_Master!A:A,SKU_Master!B:B,"Not on master")</f>
        <v>0</v>
      </c>
      <c r="F4925" cm="1">
        <f t="array" ref="F4925">_xlfn.XLOOKUP(C4925,Account_Master!A:A,Account_Master!B:B,"Not on master")</f>
        <v>0</v>
      </c>
      <c r="G4925" cm="1">
        <f t="array" ref="G4925">_xlfn.XLOOKUP(C4925,Account_Master!A:A,Account_Master!C:C,"Not on master")</f>
        <v>0</v>
      </c>
      <c r="H4925" s="6">
        <v>1.5</v>
      </c>
      <c r="I4925" s="6">
        <v>1.5</v>
      </c>
      <c r="J4925" s="6">
        <f>I4925-H4925</f>
        <v>0</v>
      </c>
      <c r="K4925" s="5">
        <f>IF(H4925=0,"",J4925/H4925)</f>
        <v>0</v>
      </c>
      <c r="L4925">
        <f>IF(OR(AND(H4925=0,ABS(J4925)&gt;=0.01),AND(H4925&lt;&gt;0,ABS(K4925)&gt;VarianceThreshold)),"Review","OK")</f>
        <v>0</v>
      </c>
      <c r="M4925" t="s">
        <v>33</v>
      </c>
    </row>
    <row r="4926" spans="1:13">
      <c r="A4926" t="s">
        <v>7</v>
      </c>
      <c r="B4926" t="s">
        <v>858</v>
      </c>
      <c r="C4926" t="s">
        <v>3393</v>
      </c>
      <c r="D4926" t="s">
        <v>473</v>
      </c>
      <c r="E4926" cm="1">
        <f t="array" ref="E4926">_xlfn.XLOOKUP(D4926,SKU_Master!A:A,SKU_Master!B:B,"Not on master")</f>
        <v>0</v>
      </c>
      <c r="F4926" cm="1">
        <f t="array" ref="F4926">_xlfn.XLOOKUP(C4926,Account_Master!A:A,Account_Master!B:B,"Not on master")</f>
        <v>0</v>
      </c>
      <c r="G4926" cm="1">
        <f t="array" ref="G4926">_xlfn.XLOOKUP(C4926,Account_Master!A:A,Account_Master!C:C,"Not on master")</f>
        <v>0</v>
      </c>
      <c r="H4926" s="6">
        <v>106</v>
      </c>
      <c r="I4926" s="6">
        <v>106</v>
      </c>
      <c r="J4926" s="6">
        <f>I4926-H4926</f>
        <v>0</v>
      </c>
      <c r="K4926" s="5">
        <f>IF(H4926=0,"",J4926/H4926)</f>
        <v>0</v>
      </c>
      <c r="L4926">
        <f>IF(OR(AND(H4926=0,ABS(J4926)&gt;=0.01),AND(H4926&lt;&gt;0,ABS(K4926)&gt;VarianceThreshold)),"Review","OK")</f>
        <v>0</v>
      </c>
      <c r="M4926" t="s">
        <v>33</v>
      </c>
    </row>
    <row r="4927" spans="1:13">
      <c r="A4927" t="s">
        <v>7</v>
      </c>
      <c r="B4927" t="s">
        <v>858</v>
      </c>
      <c r="C4927" t="s">
        <v>3420</v>
      </c>
      <c r="D4927" t="s">
        <v>987</v>
      </c>
      <c r="E4927" cm="1">
        <f t="array" ref="E4927">_xlfn.XLOOKUP(D4927,SKU_Master!A:A,SKU_Master!B:B,"Not on master")</f>
        <v>0</v>
      </c>
      <c r="F4927" cm="1">
        <f t="array" ref="F4927">_xlfn.XLOOKUP(C4927,Account_Master!A:A,Account_Master!B:B,"Not on master")</f>
        <v>0</v>
      </c>
      <c r="G4927" cm="1">
        <f t="array" ref="G4927">_xlfn.XLOOKUP(C4927,Account_Master!A:A,Account_Master!C:C,"Not on master")</f>
        <v>0</v>
      </c>
      <c r="H4927" s="6">
        <v>15</v>
      </c>
      <c r="I4927" s="6">
        <v>15</v>
      </c>
      <c r="J4927" s="6">
        <f>I4927-H4927</f>
        <v>0</v>
      </c>
      <c r="K4927" s="5">
        <f>IF(H4927=0,"",J4927/H4927)</f>
        <v>0</v>
      </c>
      <c r="L4927">
        <f>IF(OR(AND(H4927=0,ABS(J4927)&gt;=0.01),AND(H4927&lt;&gt;0,ABS(K4927)&gt;VarianceThreshold)),"Review","OK")</f>
        <v>0</v>
      </c>
      <c r="M4927" t="s">
        <v>33</v>
      </c>
    </row>
    <row r="4928" spans="1:13">
      <c r="A4928" t="s">
        <v>7</v>
      </c>
      <c r="B4928" t="s">
        <v>858</v>
      </c>
      <c r="C4928" t="s">
        <v>3354</v>
      </c>
      <c r="D4928" t="s">
        <v>864</v>
      </c>
      <c r="E4928" cm="1">
        <f t="array" ref="E4928">_xlfn.XLOOKUP(D4928,SKU_Master!A:A,SKU_Master!B:B,"Not on master")</f>
        <v>0</v>
      </c>
      <c r="F4928" cm="1">
        <f t="array" ref="F4928">_xlfn.XLOOKUP(C4928,Account_Master!A:A,Account_Master!B:B,"Not on master")</f>
        <v>0</v>
      </c>
      <c r="G4928" cm="1">
        <f t="array" ref="G4928">_xlfn.XLOOKUP(C4928,Account_Master!A:A,Account_Master!C:C,"Not on master")</f>
        <v>0</v>
      </c>
      <c r="H4928" s="6">
        <v>0.2</v>
      </c>
      <c r="I4928" s="6">
        <v>0.2</v>
      </c>
      <c r="J4928" s="6">
        <f>I4928-H4928</f>
        <v>0</v>
      </c>
      <c r="K4928" s="5">
        <f>IF(H4928=0,"",J4928/H4928)</f>
        <v>0</v>
      </c>
      <c r="L4928">
        <f>IF(OR(AND(H4928=0,ABS(J4928)&gt;=0.01),AND(H4928&lt;&gt;0,ABS(K4928)&gt;VarianceThreshold)),"Review","OK")</f>
        <v>0</v>
      </c>
      <c r="M4928" t="s">
        <v>33</v>
      </c>
    </row>
    <row r="4929" spans="1:13">
      <c r="A4929" t="s">
        <v>7</v>
      </c>
      <c r="B4929" t="s">
        <v>858</v>
      </c>
      <c r="C4929" t="s">
        <v>3368</v>
      </c>
      <c r="D4929" t="s">
        <v>2454</v>
      </c>
      <c r="E4929" cm="1">
        <f t="array" ref="E4929">_xlfn.XLOOKUP(D4929,SKU_Master!A:A,SKU_Master!B:B,"Not on master")</f>
        <v>0</v>
      </c>
      <c r="F4929" cm="1">
        <f t="array" ref="F4929">_xlfn.XLOOKUP(C4929,Account_Master!A:A,Account_Master!B:B,"Not on master")</f>
        <v>0</v>
      </c>
      <c r="G4929" cm="1">
        <f t="array" ref="G4929">_xlfn.XLOOKUP(C4929,Account_Master!A:A,Account_Master!C:C,"Not on master")</f>
        <v>0</v>
      </c>
      <c r="H4929" s="6">
        <v>15.75</v>
      </c>
      <c r="I4929" s="6">
        <v>15.75</v>
      </c>
      <c r="J4929" s="6">
        <f>I4929-H4929</f>
        <v>0</v>
      </c>
      <c r="K4929" s="5">
        <f>IF(H4929=0,"",J4929/H4929)</f>
        <v>0</v>
      </c>
      <c r="L4929">
        <f>IF(OR(AND(H4929=0,ABS(J4929)&gt;=0.01),AND(H4929&lt;&gt;0,ABS(K4929)&gt;VarianceThreshold)),"Review","OK")</f>
        <v>0</v>
      </c>
      <c r="M4929" t="s">
        <v>33</v>
      </c>
    </row>
    <row r="4930" spans="1:13">
      <c r="A4930" t="s">
        <v>7</v>
      </c>
      <c r="B4930" t="s">
        <v>858</v>
      </c>
      <c r="C4930" t="s">
        <v>3613</v>
      </c>
      <c r="D4930" t="s">
        <v>1226</v>
      </c>
      <c r="E4930" cm="1">
        <f t="array" ref="E4930">_xlfn.XLOOKUP(D4930,SKU_Master!A:A,SKU_Master!B:B,"Not on master")</f>
        <v>0</v>
      </c>
      <c r="F4930" cm="1">
        <f t="array" ref="F4930">_xlfn.XLOOKUP(C4930,Account_Master!A:A,Account_Master!B:B,"Not on master")</f>
        <v>0</v>
      </c>
      <c r="G4930" cm="1">
        <f t="array" ref="G4930">_xlfn.XLOOKUP(C4930,Account_Master!A:A,Account_Master!C:C,"Not on master")</f>
        <v>0</v>
      </c>
      <c r="H4930" s="6">
        <v>2.25</v>
      </c>
      <c r="I4930" s="6">
        <v>2.25</v>
      </c>
      <c r="J4930" s="6">
        <f>I4930-H4930</f>
        <v>0</v>
      </c>
      <c r="K4930" s="5">
        <f>IF(H4930=0,"",J4930/H4930)</f>
        <v>0</v>
      </c>
      <c r="L4930">
        <f>IF(OR(AND(H4930=0,ABS(J4930)&gt;=0.01),AND(H4930&lt;&gt;0,ABS(K4930)&gt;VarianceThreshold)),"Review","OK")</f>
        <v>0</v>
      </c>
      <c r="M4930" t="s">
        <v>33</v>
      </c>
    </row>
    <row r="4931" spans="1:13">
      <c r="A4931" t="s">
        <v>7</v>
      </c>
      <c r="B4931" t="s">
        <v>858</v>
      </c>
      <c r="C4931" t="s">
        <v>3368</v>
      </c>
      <c r="D4931" t="s">
        <v>3636</v>
      </c>
      <c r="E4931" cm="1">
        <f t="array" ref="E4931">_xlfn.XLOOKUP(D4931,SKU_Master!A:A,SKU_Master!B:B,"Not on master")</f>
        <v>0</v>
      </c>
      <c r="F4931" cm="1">
        <f t="array" ref="F4931">_xlfn.XLOOKUP(C4931,Account_Master!A:A,Account_Master!B:B,"Not on master")</f>
        <v>0</v>
      </c>
      <c r="G4931" cm="1">
        <f t="array" ref="G4931">_xlfn.XLOOKUP(C4931,Account_Master!A:A,Account_Master!C:C,"Not on master")</f>
        <v>0</v>
      </c>
      <c r="H4931" s="6">
        <v>9</v>
      </c>
      <c r="I4931" s="6">
        <v>9</v>
      </c>
      <c r="J4931" s="6">
        <f>I4931-H4931</f>
        <v>0</v>
      </c>
      <c r="K4931" s="5">
        <f>IF(H4931=0,"",J4931/H4931)</f>
        <v>0</v>
      </c>
      <c r="L4931">
        <f>IF(OR(AND(H4931=0,ABS(J4931)&gt;=0.01),AND(H4931&lt;&gt;0,ABS(K4931)&gt;VarianceThreshold)),"Review","OK")</f>
        <v>0</v>
      </c>
      <c r="M4931" t="s">
        <v>33</v>
      </c>
    </row>
    <row r="4932" spans="1:13">
      <c r="A4932" t="s">
        <v>7</v>
      </c>
      <c r="B4932" t="s">
        <v>868</v>
      </c>
      <c r="C4932" t="s">
        <v>3504</v>
      </c>
      <c r="D4932" t="s">
        <v>1665</v>
      </c>
      <c r="E4932" cm="1">
        <f t="array" ref="E4932">_xlfn.XLOOKUP(D4932,SKU_Master!A:A,SKU_Master!B:B,"Not on master")</f>
        <v>0</v>
      </c>
      <c r="F4932" cm="1">
        <f t="array" ref="F4932">_xlfn.XLOOKUP(C4932,Account_Master!A:A,Account_Master!B:B,"Not on master")</f>
        <v>0</v>
      </c>
      <c r="G4932" cm="1">
        <f t="array" ref="G4932">_xlfn.XLOOKUP(C4932,Account_Master!A:A,Account_Master!C:C,"Not on master")</f>
        <v>0</v>
      </c>
      <c r="H4932" s="6">
        <v>43.75</v>
      </c>
      <c r="I4932" s="6">
        <v>43.75</v>
      </c>
      <c r="J4932" s="6">
        <f>I4932-H4932</f>
        <v>0</v>
      </c>
      <c r="K4932" s="5">
        <f>IF(H4932=0,"",J4932/H4932)</f>
        <v>0</v>
      </c>
      <c r="L4932">
        <f>IF(OR(AND(H4932=0,ABS(J4932)&gt;=0.01),AND(H4932&lt;&gt;0,ABS(K4932)&gt;VarianceThreshold)),"Review","OK")</f>
        <v>0</v>
      </c>
      <c r="M4932" t="s">
        <v>33</v>
      </c>
    </row>
    <row r="4933" spans="1:13">
      <c r="A4933" t="s">
        <v>7</v>
      </c>
      <c r="B4933" t="s">
        <v>868</v>
      </c>
      <c r="C4933" t="s">
        <v>3368</v>
      </c>
      <c r="D4933" t="s">
        <v>3637</v>
      </c>
      <c r="E4933" cm="1">
        <f t="array" ref="E4933">_xlfn.XLOOKUP(D4933,SKU_Master!A:A,SKU_Master!B:B,"Not on master")</f>
        <v>0</v>
      </c>
      <c r="F4933" cm="1">
        <f t="array" ref="F4933">_xlfn.XLOOKUP(C4933,Account_Master!A:A,Account_Master!B:B,"Not on master")</f>
        <v>0</v>
      </c>
      <c r="G4933" cm="1">
        <f t="array" ref="G4933">_xlfn.XLOOKUP(C4933,Account_Master!A:A,Account_Master!C:C,"Not on master")</f>
        <v>0</v>
      </c>
      <c r="H4933" s="6">
        <v>4.5</v>
      </c>
      <c r="I4933" s="6">
        <v>4.5</v>
      </c>
      <c r="J4933" s="6">
        <f>I4933-H4933</f>
        <v>0</v>
      </c>
      <c r="K4933" s="5">
        <f>IF(H4933=0,"",J4933/H4933)</f>
        <v>0</v>
      </c>
      <c r="L4933">
        <f>IF(OR(AND(H4933=0,ABS(J4933)&gt;=0.01),AND(H4933&lt;&gt;0,ABS(K4933)&gt;VarianceThreshold)),"Review","OK")</f>
        <v>0</v>
      </c>
      <c r="M4933" t="s">
        <v>33</v>
      </c>
    </row>
    <row r="4934" spans="1:13">
      <c r="A4934" t="s">
        <v>7</v>
      </c>
      <c r="B4934" t="s">
        <v>868</v>
      </c>
      <c r="C4934" t="s">
        <v>33</v>
      </c>
      <c r="D4934" t="s">
        <v>3638</v>
      </c>
      <c r="E4934" cm="1">
        <f t="array" ref="E4934">_xlfn.XLOOKUP(D4934,SKU_Master!A:A,SKU_Master!B:B,"Not on master")</f>
        <v>0</v>
      </c>
      <c r="F4934" cm="1">
        <f t="array" ref="F4934">_xlfn.XLOOKUP(C4934,Account_Master!A:A,Account_Master!B:B,"Not on master")</f>
        <v>0</v>
      </c>
      <c r="G4934" cm="1">
        <f t="array" ref="G4934">_xlfn.XLOOKUP(C4934,Account_Master!A:A,Account_Master!C:C,"Not on master")</f>
        <v>0</v>
      </c>
      <c r="H4934" s="6">
        <v>0</v>
      </c>
      <c r="I4934" s="6">
        <v>21</v>
      </c>
      <c r="J4934" s="6">
        <f>I4934-H4934</f>
        <v>0</v>
      </c>
      <c r="K4934" s="5">
        <f>IF(H4934=0,"",J4934/H4934)</f>
        <v>0</v>
      </c>
      <c r="L4934">
        <f>IF(OR(AND(H4934=0,ABS(J4934)&gt;=0.01),AND(H4934&lt;&gt;0,ABS(K4934)&gt;VarianceThreshold)),"Review","OK")</f>
        <v>0</v>
      </c>
      <c r="M4934" t="s">
        <v>3038</v>
      </c>
    </row>
    <row r="4935" spans="1:13">
      <c r="A4935" t="s">
        <v>7</v>
      </c>
      <c r="B4935" t="s">
        <v>876</v>
      </c>
      <c r="C4935" t="s">
        <v>3461</v>
      </c>
      <c r="D4935" t="s">
        <v>1934</v>
      </c>
      <c r="E4935" cm="1">
        <f t="array" ref="E4935">_xlfn.XLOOKUP(D4935,SKU_Master!A:A,SKU_Master!B:B,"Not on master")</f>
        <v>0</v>
      </c>
      <c r="F4935" cm="1">
        <f t="array" ref="F4935">_xlfn.XLOOKUP(C4935,Account_Master!A:A,Account_Master!B:B,"Not on master")</f>
        <v>0</v>
      </c>
      <c r="G4935" cm="1">
        <f t="array" ref="G4935">_xlfn.XLOOKUP(C4935,Account_Master!A:A,Account_Master!C:C,"Not on master")</f>
        <v>0</v>
      </c>
      <c r="H4935" s="6">
        <v>0.5</v>
      </c>
      <c r="I4935" s="6">
        <v>0.5</v>
      </c>
      <c r="J4935" s="6">
        <f>I4935-H4935</f>
        <v>0</v>
      </c>
      <c r="K4935" s="5">
        <f>IF(H4935=0,"",J4935/H4935)</f>
        <v>0</v>
      </c>
      <c r="L4935">
        <f>IF(OR(AND(H4935=0,ABS(J4935)&gt;=0.01),AND(H4935&lt;&gt;0,ABS(K4935)&gt;VarianceThreshold)),"Review","OK")</f>
        <v>0</v>
      </c>
      <c r="M4935" t="s">
        <v>33</v>
      </c>
    </row>
    <row r="4936" spans="1:13">
      <c r="A4936" t="s">
        <v>7</v>
      </c>
      <c r="B4936" t="s">
        <v>876</v>
      </c>
      <c r="C4936" t="s">
        <v>3639</v>
      </c>
      <c r="D4936" t="s">
        <v>1399</v>
      </c>
      <c r="E4936" cm="1">
        <f t="array" ref="E4936">_xlfn.XLOOKUP(D4936,SKU_Master!A:A,SKU_Master!B:B,"Not on master")</f>
        <v>0</v>
      </c>
      <c r="F4936" cm="1">
        <f t="array" ref="F4936">_xlfn.XLOOKUP(C4936,Account_Master!A:A,Account_Master!B:B,"Not on master")</f>
        <v>0</v>
      </c>
      <c r="G4936" cm="1">
        <f t="array" ref="G4936">_xlfn.XLOOKUP(C4936,Account_Master!A:A,Account_Master!C:C,"Not on master")</f>
        <v>0</v>
      </c>
      <c r="H4936" s="6">
        <v>45</v>
      </c>
      <c r="I4936" s="6">
        <v>45</v>
      </c>
      <c r="J4936" s="6">
        <f>I4936-H4936</f>
        <v>0</v>
      </c>
      <c r="K4936" s="5">
        <f>IF(H4936=0,"",J4936/H4936)</f>
        <v>0</v>
      </c>
      <c r="L4936">
        <f>IF(OR(AND(H4936=0,ABS(J4936)&gt;=0.01),AND(H4936&lt;&gt;0,ABS(K4936)&gt;VarianceThreshold)),"Review","OK")</f>
        <v>0</v>
      </c>
      <c r="M4936" t="s">
        <v>33</v>
      </c>
    </row>
    <row r="4937" spans="1:13">
      <c r="A4937" t="s">
        <v>7</v>
      </c>
      <c r="B4937" t="s">
        <v>876</v>
      </c>
      <c r="C4937" t="s">
        <v>3516</v>
      </c>
      <c r="D4937" t="s">
        <v>1503</v>
      </c>
      <c r="E4937" cm="1">
        <f t="array" ref="E4937">_xlfn.XLOOKUP(D4937,SKU_Master!A:A,SKU_Master!B:B,"Not on master")</f>
        <v>0</v>
      </c>
      <c r="F4937" cm="1">
        <f t="array" ref="F4937">_xlfn.XLOOKUP(C4937,Account_Master!A:A,Account_Master!B:B,"Not on master")</f>
        <v>0</v>
      </c>
      <c r="G4937" cm="1">
        <f t="array" ref="G4937">_xlfn.XLOOKUP(C4937,Account_Master!A:A,Account_Master!C:C,"Not on master")</f>
        <v>0</v>
      </c>
      <c r="H4937" s="6">
        <v>13</v>
      </c>
      <c r="I4937" s="6">
        <v>13</v>
      </c>
      <c r="J4937" s="6">
        <f>I4937-H4937</f>
        <v>0</v>
      </c>
      <c r="K4937" s="5">
        <f>IF(H4937=0,"",J4937/H4937)</f>
        <v>0</v>
      </c>
      <c r="L4937">
        <f>IF(OR(AND(H4937=0,ABS(J4937)&gt;=0.01),AND(H4937&lt;&gt;0,ABS(K4937)&gt;VarianceThreshold)),"Review","OK")</f>
        <v>0</v>
      </c>
      <c r="M4937" t="s">
        <v>33</v>
      </c>
    </row>
    <row r="4938" spans="1:13">
      <c r="A4938" t="s">
        <v>7</v>
      </c>
      <c r="B4938" t="s">
        <v>876</v>
      </c>
      <c r="C4938" t="s">
        <v>3367</v>
      </c>
      <c r="D4938" t="s">
        <v>889</v>
      </c>
      <c r="E4938" cm="1">
        <f t="array" ref="E4938">_xlfn.XLOOKUP(D4938,SKU_Master!A:A,SKU_Master!B:B,"Not on master")</f>
        <v>0</v>
      </c>
      <c r="F4938" cm="1">
        <f t="array" ref="F4938">_xlfn.XLOOKUP(C4938,Account_Master!A:A,Account_Master!B:B,"Not on master")</f>
        <v>0</v>
      </c>
      <c r="G4938" cm="1">
        <f t="array" ref="G4938">_xlfn.XLOOKUP(C4938,Account_Master!A:A,Account_Master!C:C,"Not on master")</f>
        <v>0</v>
      </c>
      <c r="H4938" s="6">
        <v>4.5</v>
      </c>
      <c r="I4938" s="6">
        <v>4.5</v>
      </c>
      <c r="J4938" s="6">
        <f>I4938-H4938</f>
        <v>0</v>
      </c>
      <c r="K4938" s="5">
        <f>IF(H4938=0,"",J4938/H4938)</f>
        <v>0</v>
      </c>
      <c r="L4938">
        <f>IF(OR(AND(H4938=0,ABS(J4938)&gt;=0.01),AND(H4938&lt;&gt;0,ABS(K4938)&gt;VarianceThreshold)),"Review","OK")</f>
        <v>0</v>
      </c>
      <c r="M4938" t="s">
        <v>33</v>
      </c>
    </row>
    <row r="4939" spans="1:13">
      <c r="A4939" t="s">
        <v>7</v>
      </c>
      <c r="B4939" t="s">
        <v>876</v>
      </c>
      <c r="C4939" t="s">
        <v>33</v>
      </c>
      <c r="D4939" t="s">
        <v>3640</v>
      </c>
      <c r="E4939" cm="1">
        <f t="array" ref="E4939">_xlfn.XLOOKUP(D4939,SKU_Master!A:A,SKU_Master!B:B,"Not on master")</f>
        <v>0</v>
      </c>
      <c r="F4939" cm="1">
        <f t="array" ref="F4939">_xlfn.XLOOKUP(C4939,Account_Master!A:A,Account_Master!B:B,"Not on master")</f>
        <v>0</v>
      </c>
      <c r="G4939" cm="1">
        <f t="array" ref="G4939">_xlfn.XLOOKUP(C4939,Account_Master!A:A,Account_Master!C:C,"Not on master")</f>
        <v>0</v>
      </c>
      <c r="H4939" s="6">
        <v>0</v>
      </c>
      <c r="I4939" s="6">
        <v>1.5</v>
      </c>
      <c r="J4939" s="6">
        <f>I4939-H4939</f>
        <v>0</v>
      </c>
      <c r="K4939" s="5">
        <f>IF(H4939=0,"",J4939/H4939)</f>
        <v>0</v>
      </c>
      <c r="L4939">
        <f>IF(OR(AND(H4939=0,ABS(J4939)&gt;=0.01),AND(H4939&lt;&gt;0,ABS(K4939)&gt;VarianceThreshold)),"Review","OK")</f>
        <v>0</v>
      </c>
      <c r="M4939" t="s">
        <v>3038</v>
      </c>
    </row>
    <row r="4940" spans="1:13">
      <c r="A4940" t="s">
        <v>7</v>
      </c>
      <c r="B4940" t="s">
        <v>880</v>
      </c>
      <c r="C4940" t="s">
        <v>3449</v>
      </c>
      <c r="D4940" t="s">
        <v>962</v>
      </c>
      <c r="E4940" cm="1">
        <f t="array" ref="E4940">_xlfn.XLOOKUP(D4940,SKU_Master!A:A,SKU_Master!B:B,"Not on master")</f>
        <v>0</v>
      </c>
      <c r="F4940" cm="1">
        <f t="array" ref="F4940">_xlfn.XLOOKUP(C4940,Account_Master!A:A,Account_Master!B:B,"Not on master")</f>
        <v>0</v>
      </c>
      <c r="G4940" cm="1">
        <f t="array" ref="G4940">_xlfn.XLOOKUP(C4940,Account_Master!A:A,Account_Master!C:C,"Not on master")</f>
        <v>0</v>
      </c>
      <c r="H4940" s="6">
        <v>38.25</v>
      </c>
      <c r="I4940" s="6">
        <v>29.25</v>
      </c>
      <c r="J4940" s="6">
        <f>I4940-H4940</f>
        <v>0</v>
      </c>
      <c r="K4940" s="5">
        <f>IF(H4940=0,"",J4940/H4940)</f>
        <v>0</v>
      </c>
      <c r="L4940">
        <f>IF(OR(AND(H4940=0,ABS(J4940)&gt;=0.01),AND(H4940&lt;&gt;0,ABS(K4940)&gt;VarianceThreshold)),"Review","OK")</f>
        <v>0</v>
      </c>
      <c r="M4940" t="s">
        <v>3038</v>
      </c>
    </row>
    <row r="4941" spans="1:13">
      <c r="A4941" t="s">
        <v>7</v>
      </c>
      <c r="B4941" t="s">
        <v>880</v>
      </c>
      <c r="C4941" t="s">
        <v>3357</v>
      </c>
      <c r="D4941" t="s">
        <v>3641</v>
      </c>
      <c r="E4941" cm="1">
        <f t="array" ref="E4941">_xlfn.XLOOKUP(D4941,SKU_Master!A:A,SKU_Master!B:B,"Not on master")</f>
        <v>0</v>
      </c>
      <c r="F4941" cm="1">
        <f t="array" ref="F4941">_xlfn.XLOOKUP(C4941,Account_Master!A:A,Account_Master!B:B,"Not on master")</f>
        <v>0</v>
      </c>
      <c r="G4941" cm="1">
        <f t="array" ref="G4941">_xlfn.XLOOKUP(C4941,Account_Master!A:A,Account_Master!C:C,"Not on master")</f>
        <v>0</v>
      </c>
      <c r="H4941" s="6">
        <v>9</v>
      </c>
      <c r="I4941" s="6">
        <v>9</v>
      </c>
      <c r="J4941" s="6">
        <f>I4941-H4941</f>
        <v>0</v>
      </c>
      <c r="K4941" s="5">
        <f>IF(H4941=0,"",J4941/H4941)</f>
        <v>0</v>
      </c>
      <c r="L4941">
        <f>IF(OR(AND(H4941=0,ABS(J4941)&gt;=0.01),AND(H4941&lt;&gt;0,ABS(K4941)&gt;VarianceThreshold)),"Review","OK")</f>
        <v>0</v>
      </c>
      <c r="M4941" t="s">
        <v>33</v>
      </c>
    </row>
    <row r="4942" spans="1:13">
      <c r="A4942" t="s">
        <v>7</v>
      </c>
      <c r="B4942" t="s">
        <v>880</v>
      </c>
      <c r="C4942" t="s">
        <v>3532</v>
      </c>
      <c r="D4942" t="s">
        <v>2689</v>
      </c>
      <c r="E4942" cm="1">
        <f t="array" ref="E4942">_xlfn.XLOOKUP(D4942,SKU_Master!A:A,SKU_Master!B:B,"Not on master")</f>
        <v>0</v>
      </c>
      <c r="F4942" cm="1">
        <f t="array" ref="F4942">_xlfn.XLOOKUP(C4942,Account_Master!A:A,Account_Master!B:B,"Not on master")</f>
        <v>0</v>
      </c>
      <c r="G4942" cm="1">
        <f t="array" ref="G4942">_xlfn.XLOOKUP(C4942,Account_Master!A:A,Account_Master!C:C,"Not on master")</f>
        <v>0</v>
      </c>
      <c r="H4942" s="6">
        <v>5.4</v>
      </c>
      <c r="I4942" s="6">
        <v>5.4</v>
      </c>
      <c r="J4942" s="6">
        <f>I4942-H4942</f>
        <v>0</v>
      </c>
      <c r="K4942" s="5">
        <f>IF(H4942=0,"",J4942/H4942)</f>
        <v>0</v>
      </c>
      <c r="L4942">
        <f>IF(OR(AND(H4942=0,ABS(J4942)&gt;=0.01),AND(H4942&lt;&gt;0,ABS(K4942)&gt;VarianceThreshold)),"Review","OK")</f>
        <v>0</v>
      </c>
      <c r="M4942" t="s">
        <v>33</v>
      </c>
    </row>
    <row r="4943" spans="1:13">
      <c r="A4943" t="s">
        <v>7</v>
      </c>
      <c r="B4943" t="s">
        <v>891</v>
      </c>
      <c r="C4943" t="s">
        <v>3402</v>
      </c>
      <c r="D4943" t="s">
        <v>3642</v>
      </c>
      <c r="E4943" cm="1">
        <f t="array" ref="E4943">_xlfn.XLOOKUP(D4943,SKU_Master!A:A,SKU_Master!B:B,"Not on master")</f>
        <v>0</v>
      </c>
      <c r="F4943" cm="1">
        <f t="array" ref="F4943">_xlfn.XLOOKUP(C4943,Account_Master!A:A,Account_Master!B:B,"Not on master")</f>
        <v>0</v>
      </c>
      <c r="G4943" cm="1">
        <f t="array" ref="G4943">_xlfn.XLOOKUP(C4943,Account_Master!A:A,Account_Master!C:C,"Not on master")</f>
        <v>0</v>
      </c>
      <c r="H4943" s="6">
        <v>9</v>
      </c>
      <c r="I4943" s="6">
        <v>9</v>
      </c>
      <c r="J4943" s="6">
        <f>I4943-H4943</f>
        <v>0</v>
      </c>
      <c r="K4943" s="5">
        <f>IF(H4943=0,"",J4943/H4943)</f>
        <v>0</v>
      </c>
      <c r="L4943">
        <f>IF(OR(AND(H4943=0,ABS(J4943)&gt;=0.01),AND(H4943&lt;&gt;0,ABS(K4943)&gt;VarianceThreshold)),"Review","OK")</f>
        <v>0</v>
      </c>
      <c r="M4943" t="s">
        <v>33</v>
      </c>
    </row>
    <row r="4944" spans="1:13">
      <c r="A4944" t="s">
        <v>7</v>
      </c>
      <c r="B4944" t="s">
        <v>891</v>
      </c>
      <c r="C4944" t="s">
        <v>3449</v>
      </c>
      <c r="D4944" t="s">
        <v>748</v>
      </c>
      <c r="E4944" cm="1">
        <f t="array" ref="E4944">_xlfn.XLOOKUP(D4944,SKU_Master!A:A,SKU_Master!B:B,"Not on master")</f>
        <v>0</v>
      </c>
      <c r="F4944" cm="1">
        <f t="array" ref="F4944">_xlfn.XLOOKUP(C4944,Account_Master!A:A,Account_Master!B:B,"Not on master")</f>
        <v>0</v>
      </c>
      <c r="G4944" cm="1">
        <f t="array" ref="G4944">_xlfn.XLOOKUP(C4944,Account_Master!A:A,Account_Master!C:C,"Not on master")</f>
        <v>0</v>
      </c>
      <c r="H4944" s="6">
        <v>27</v>
      </c>
      <c r="I4944" s="6">
        <v>18</v>
      </c>
      <c r="J4944" s="6">
        <f>I4944-H4944</f>
        <v>0</v>
      </c>
      <c r="K4944" s="5">
        <f>IF(H4944=0,"",J4944/H4944)</f>
        <v>0</v>
      </c>
      <c r="L4944">
        <f>IF(OR(AND(H4944=0,ABS(J4944)&gt;=0.01),AND(H4944&lt;&gt;0,ABS(K4944)&gt;VarianceThreshold)),"Review","OK")</f>
        <v>0</v>
      </c>
      <c r="M4944" t="s">
        <v>3038</v>
      </c>
    </row>
    <row r="4945" spans="1:13">
      <c r="A4945" t="s">
        <v>7</v>
      </c>
      <c r="B4945" t="s">
        <v>891</v>
      </c>
      <c r="C4945" t="s">
        <v>3643</v>
      </c>
      <c r="D4945" t="s">
        <v>3644</v>
      </c>
      <c r="E4945" cm="1">
        <f t="array" ref="E4945">_xlfn.XLOOKUP(D4945,SKU_Master!A:A,SKU_Master!B:B,"Not on master")</f>
        <v>0</v>
      </c>
      <c r="F4945" cm="1">
        <f t="array" ref="F4945">_xlfn.XLOOKUP(C4945,Account_Master!A:A,Account_Master!B:B,"Not on master")</f>
        <v>0</v>
      </c>
      <c r="G4945" cm="1">
        <f t="array" ref="G4945">_xlfn.XLOOKUP(C4945,Account_Master!A:A,Account_Master!C:C,"Not on master")</f>
        <v>0</v>
      </c>
      <c r="H4945" s="6">
        <v>9.75</v>
      </c>
      <c r="I4945" s="6">
        <v>9.75</v>
      </c>
      <c r="J4945" s="6">
        <f>I4945-H4945</f>
        <v>0</v>
      </c>
      <c r="K4945" s="5">
        <f>IF(H4945=0,"",J4945/H4945)</f>
        <v>0</v>
      </c>
      <c r="L4945">
        <f>IF(OR(AND(H4945=0,ABS(J4945)&gt;=0.01),AND(H4945&lt;&gt;0,ABS(K4945)&gt;VarianceThreshold)),"Review","OK")</f>
        <v>0</v>
      </c>
      <c r="M4945" t="s">
        <v>33</v>
      </c>
    </row>
    <row r="4946" spans="1:13">
      <c r="A4946" t="s">
        <v>7</v>
      </c>
      <c r="B4946" t="s">
        <v>891</v>
      </c>
      <c r="C4946" t="s">
        <v>3363</v>
      </c>
      <c r="D4946" t="s">
        <v>2134</v>
      </c>
      <c r="E4946" cm="1">
        <f t="array" ref="E4946">_xlfn.XLOOKUP(D4946,SKU_Master!A:A,SKU_Master!B:B,"Not on master")</f>
        <v>0</v>
      </c>
      <c r="F4946" cm="1">
        <f t="array" ref="F4946">_xlfn.XLOOKUP(C4946,Account_Master!A:A,Account_Master!B:B,"Not on master")</f>
        <v>0</v>
      </c>
      <c r="G4946" cm="1">
        <f t="array" ref="G4946">_xlfn.XLOOKUP(C4946,Account_Master!A:A,Account_Master!C:C,"Not on master")</f>
        <v>0</v>
      </c>
      <c r="H4946" s="6">
        <v>13</v>
      </c>
      <c r="I4946" s="6">
        <v>13</v>
      </c>
      <c r="J4946" s="6">
        <f>I4946-H4946</f>
        <v>0</v>
      </c>
      <c r="K4946" s="5">
        <f>IF(H4946=0,"",J4946/H4946)</f>
        <v>0</v>
      </c>
      <c r="L4946">
        <f>IF(OR(AND(H4946=0,ABS(J4946)&gt;=0.01),AND(H4946&lt;&gt;0,ABS(K4946)&gt;VarianceThreshold)),"Review","OK")</f>
        <v>0</v>
      </c>
      <c r="M4946" t="s">
        <v>33</v>
      </c>
    </row>
    <row r="4947" spans="1:13">
      <c r="A4947" t="s">
        <v>7</v>
      </c>
      <c r="B4947" t="s">
        <v>891</v>
      </c>
      <c r="C4947" t="s">
        <v>3523</v>
      </c>
      <c r="D4947" t="s">
        <v>376</v>
      </c>
      <c r="E4947" cm="1">
        <f t="array" ref="E4947">_xlfn.XLOOKUP(D4947,SKU_Master!A:A,SKU_Master!B:B,"Not on master")</f>
        <v>0</v>
      </c>
      <c r="F4947" cm="1">
        <f t="array" ref="F4947">_xlfn.XLOOKUP(C4947,Account_Master!A:A,Account_Master!B:B,"Not on master")</f>
        <v>0</v>
      </c>
      <c r="G4947" cm="1">
        <f t="array" ref="G4947">_xlfn.XLOOKUP(C4947,Account_Master!A:A,Account_Master!C:C,"Not on master")</f>
        <v>0</v>
      </c>
      <c r="H4947" s="6">
        <v>12</v>
      </c>
      <c r="I4947" s="6">
        <v>0</v>
      </c>
      <c r="J4947" s="6">
        <f>I4947-H4947</f>
        <v>0</v>
      </c>
      <c r="K4947" s="5">
        <f>IF(H4947=0,"",J4947/H4947)</f>
        <v>0</v>
      </c>
      <c r="L4947">
        <f>IF(OR(AND(H4947=0,ABS(J4947)&gt;=0.01),AND(H4947&lt;&gt;0,ABS(K4947)&gt;VarianceThreshold)),"Review","OK")</f>
        <v>0</v>
      </c>
      <c r="M4947" t="s">
        <v>3038</v>
      </c>
    </row>
    <row r="4948" spans="1:13">
      <c r="A4948" t="s">
        <v>7</v>
      </c>
      <c r="B4948" t="s">
        <v>891</v>
      </c>
      <c r="C4948" t="s">
        <v>3369</v>
      </c>
      <c r="D4948" t="s">
        <v>1457</v>
      </c>
      <c r="E4948" cm="1">
        <f t="array" ref="E4948">_xlfn.XLOOKUP(D4948,SKU_Master!A:A,SKU_Master!B:B,"Not on master")</f>
        <v>0</v>
      </c>
      <c r="F4948" cm="1">
        <f t="array" ref="F4948">_xlfn.XLOOKUP(C4948,Account_Master!A:A,Account_Master!B:B,"Not on master")</f>
        <v>0</v>
      </c>
      <c r="G4948" cm="1">
        <f t="array" ref="G4948">_xlfn.XLOOKUP(C4948,Account_Master!A:A,Account_Master!C:C,"Not on master")</f>
        <v>0</v>
      </c>
      <c r="H4948" s="6">
        <v>0.6</v>
      </c>
      <c r="I4948" s="6">
        <v>0.6</v>
      </c>
      <c r="J4948" s="6">
        <f>I4948-H4948</f>
        <v>0</v>
      </c>
      <c r="K4948" s="5">
        <f>IF(H4948=0,"",J4948/H4948)</f>
        <v>0</v>
      </c>
      <c r="L4948">
        <f>IF(OR(AND(H4948=0,ABS(J4948)&gt;=0.01),AND(H4948&lt;&gt;0,ABS(K4948)&gt;VarianceThreshold)),"Review","OK")</f>
        <v>0</v>
      </c>
      <c r="M4948" t="s">
        <v>33</v>
      </c>
    </row>
    <row r="4949" spans="1:13">
      <c r="A4949" t="s">
        <v>7</v>
      </c>
      <c r="B4949" t="s">
        <v>891</v>
      </c>
      <c r="C4949" t="s">
        <v>3645</v>
      </c>
      <c r="D4949" t="s">
        <v>407</v>
      </c>
      <c r="E4949" cm="1">
        <f t="array" ref="E4949">_xlfn.XLOOKUP(D4949,SKU_Master!A:A,SKU_Master!B:B,"Not on master")</f>
        <v>0</v>
      </c>
      <c r="F4949" cm="1">
        <f t="array" ref="F4949">_xlfn.XLOOKUP(C4949,Account_Master!A:A,Account_Master!B:B,"Not on master")</f>
        <v>0</v>
      </c>
      <c r="G4949" cm="1">
        <f t="array" ref="G4949">_xlfn.XLOOKUP(C4949,Account_Master!A:A,Account_Master!C:C,"Not on master")</f>
        <v>0</v>
      </c>
      <c r="H4949" s="6">
        <v>12</v>
      </c>
      <c r="I4949" s="6">
        <v>12</v>
      </c>
      <c r="J4949" s="6">
        <f>I4949-H4949</f>
        <v>0</v>
      </c>
      <c r="K4949" s="5">
        <f>IF(H4949=0,"",J4949/H4949)</f>
        <v>0</v>
      </c>
      <c r="L4949">
        <f>IF(OR(AND(H4949=0,ABS(J4949)&gt;=0.01),AND(H4949&lt;&gt;0,ABS(K4949)&gt;VarianceThreshold)),"Review","OK")</f>
        <v>0</v>
      </c>
      <c r="M4949" t="s">
        <v>33</v>
      </c>
    </row>
    <row r="4950" spans="1:13">
      <c r="A4950" t="s">
        <v>7</v>
      </c>
      <c r="B4950" t="s">
        <v>891</v>
      </c>
      <c r="C4950" t="s">
        <v>3449</v>
      </c>
      <c r="D4950" t="s">
        <v>1333</v>
      </c>
      <c r="E4950" cm="1">
        <f t="array" ref="E4950">_xlfn.XLOOKUP(D4950,SKU_Master!A:A,SKU_Master!B:B,"Not on master")</f>
        <v>0</v>
      </c>
      <c r="F4950" cm="1">
        <f t="array" ref="F4950">_xlfn.XLOOKUP(C4950,Account_Master!A:A,Account_Master!B:B,"Not on master")</f>
        <v>0</v>
      </c>
      <c r="G4950" cm="1">
        <f t="array" ref="G4950">_xlfn.XLOOKUP(C4950,Account_Master!A:A,Account_Master!C:C,"Not on master")</f>
        <v>0</v>
      </c>
      <c r="H4950" s="6">
        <v>0.75</v>
      </c>
      <c r="I4950" s="6">
        <v>0.75</v>
      </c>
      <c r="J4950" s="6">
        <f>I4950-H4950</f>
        <v>0</v>
      </c>
      <c r="K4950" s="5">
        <f>IF(H4950=0,"",J4950/H4950)</f>
        <v>0</v>
      </c>
      <c r="L4950">
        <f>IF(OR(AND(H4950=0,ABS(J4950)&gt;=0.01),AND(H4950&lt;&gt;0,ABS(K4950)&gt;VarianceThreshold)),"Review","OK")</f>
        <v>0</v>
      </c>
      <c r="M4950" t="s">
        <v>33</v>
      </c>
    </row>
    <row r="4951" spans="1:13">
      <c r="A4951" t="s">
        <v>7</v>
      </c>
      <c r="B4951" t="s">
        <v>891</v>
      </c>
      <c r="C4951" t="s">
        <v>3449</v>
      </c>
      <c r="D4951" t="s">
        <v>3646</v>
      </c>
      <c r="E4951" cm="1">
        <f t="array" ref="E4951">_xlfn.XLOOKUP(D4951,SKU_Master!A:A,SKU_Master!B:B,"Not on master")</f>
        <v>0</v>
      </c>
      <c r="F4951" cm="1">
        <f t="array" ref="F4951">_xlfn.XLOOKUP(C4951,Account_Master!A:A,Account_Master!B:B,"Not on master")</f>
        <v>0</v>
      </c>
      <c r="G4951" cm="1">
        <f t="array" ref="G4951">_xlfn.XLOOKUP(C4951,Account_Master!A:A,Account_Master!C:C,"Not on master")</f>
        <v>0</v>
      </c>
      <c r="H4951" s="6">
        <v>9</v>
      </c>
      <c r="I4951" s="6">
        <v>9</v>
      </c>
      <c r="J4951" s="6">
        <f>I4951-H4951</f>
        <v>0</v>
      </c>
      <c r="K4951" s="5">
        <f>IF(H4951=0,"",J4951/H4951)</f>
        <v>0</v>
      </c>
      <c r="L4951">
        <f>IF(OR(AND(H4951=0,ABS(J4951)&gt;=0.01),AND(H4951&lt;&gt;0,ABS(K4951)&gt;VarianceThreshold)),"Review","OK")</f>
        <v>0</v>
      </c>
      <c r="M4951" t="s">
        <v>33</v>
      </c>
    </row>
    <row r="4952" spans="1:13">
      <c r="A4952" t="s">
        <v>7</v>
      </c>
      <c r="B4952" t="s">
        <v>891</v>
      </c>
      <c r="C4952" t="s">
        <v>33</v>
      </c>
      <c r="D4952" t="s">
        <v>3647</v>
      </c>
      <c r="E4952" cm="1">
        <f t="array" ref="E4952">_xlfn.XLOOKUP(D4952,SKU_Master!A:A,SKU_Master!B:B,"Not on master")</f>
        <v>0</v>
      </c>
      <c r="F4952" cm="1">
        <f t="array" ref="F4952">_xlfn.XLOOKUP(C4952,Account_Master!A:A,Account_Master!B:B,"Not on master")</f>
        <v>0</v>
      </c>
      <c r="G4952" cm="1">
        <f t="array" ref="G4952">_xlfn.XLOOKUP(C4952,Account_Master!A:A,Account_Master!C:C,"Not on master")</f>
        <v>0</v>
      </c>
      <c r="H4952" s="6">
        <v>0</v>
      </c>
      <c r="I4952" s="6">
        <v>4.5</v>
      </c>
      <c r="J4952" s="6">
        <f>I4952-H4952</f>
        <v>0</v>
      </c>
      <c r="K4952" s="5">
        <f>IF(H4952=0,"",J4952/H4952)</f>
        <v>0</v>
      </c>
      <c r="L4952">
        <f>IF(OR(AND(H4952=0,ABS(J4952)&gt;=0.01),AND(H4952&lt;&gt;0,ABS(K4952)&gt;VarianceThreshold)),"Review","OK")</f>
        <v>0</v>
      </c>
      <c r="M4952" t="s">
        <v>3038</v>
      </c>
    </row>
    <row r="4953" spans="1:13">
      <c r="A4953" t="s">
        <v>7</v>
      </c>
      <c r="B4953" t="s">
        <v>891</v>
      </c>
      <c r="C4953" t="s">
        <v>33</v>
      </c>
      <c r="D4953" t="s">
        <v>3648</v>
      </c>
      <c r="E4953" cm="1">
        <f t="array" ref="E4953">_xlfn.XLOOKUP(D4953,SKU_Master!A:A,SKU_Master!B:B,"Not on master")</f>
        <v>0</v>
      </c>
      <c r="F4953" cm="1">
        <f t="array" ref="F4953">_xlfn.XLOOKUP(C4953,Account_Master!A:A,Account_Master!B:B,"Not on master")</f>
        <v>0</v>
      </c>
      <c r="G4953" cm="1">
        <f t="array" ref="G4953">_xlfn.XLOOKUP(C4953,Account_Master!A:A,Account_Master!C:C,"Not on master")</f>
        <v>0</v>
      </c>
      <c r="H4953" s="6">
        <v>0</v>
      </c>
      <c r="I4953" s="6">
        <v>9</v>
      </c>
      <c r="J4953" s="6">
        <f>I4953-H4953</f>
        <v>0</v>
      </c>
      <c r="K4953" s="5">
        <f>IF(H4953=0,"",J4953/H4953)</f>
        <v>0</v>
      </c>
      <c r="L4953">
        <f>IF(OR(AND(H4953=0,ABS(J4953)&gt;=0.01),AND(H4953&lt;&gt;0,ABS(K4953)&gt;VarianceThreshold)),"Review","OK")</f>
        <v>0</v>
      </c>
      <c r="M4953" t="s">
        <v>3038</v>
      </c>
    </row>
    <row r="4954" spans="1:13">
      <c r="A4954" t="s">
        <v>7</v>
      </c>
      <c r="B4954" t="s">
        <v>891</v>
      </c>
      <c r="C4954" t="s">
        <v>33</v>
      </c>
      <c r="D4954" t="s">
        <v>3649</v>
      </c>
      <c r="E4954" cm="1">
        <f t="array" ref="E4954">_xlfn.XLOOKUP(D4954,SKU_Master!A:A,SKU_Master!B:B,"Not on master")</f>
        <v>0</v>
      </c>
      <c r="F4954" cm="1">
        <f t="array" ref="F4954">_xlfn.XLOOKUP(C4954,Account_Master!A:A,Account_Master!B:B,"Not on master")</f>
        <v>0</v>
      </c>
      <c r="G4954" cm="1">
        <f t="array" ref="G4954">_xlfn.XLOOKUP(C4954,Account_Master!A:A,Account_Master!C:C,"Not on master")</f>
        <v>0</v>
      </c>
      <c r="H4954" s="6">
        <v>0</v>
      </c>
      <c r="I4954" s="6">
        <v>10.5</v>
      </c>
      <c r="J4954" s="6">
        <f>I4954-H4954</f>
        <v>0</v>
      </c>
      <c r="K4954" s="5">
        <f>IF(H4954=0,"",J4954/H4954)</f>
        <v>0</v>
      </c>
      <c r="L4954">
        <f>IF(OR(AND(H4954=0,ABS(J4954)&gt;=0.01),AND(H4954&lt;&gt;0,ABS(K4954)&gt;VarianceThreshold)),"Review","OK")</f>
        <v>0</v>
      </c>
      <c r="M4954" t="s">
        <v>3038</v>
      </c>
    </row>
    <row r="4955" spans="1:13">
      <c r="A4955" t="s">
        <v>7</v>
      </c>
      <c r="B4955" t="s">
        <v>903</v>
      </c>
      <c r="C4955" t="s">
        <v>3356</v>
      </c>
      <c r="D4955" t="s">
        <v>1813</v>
      </c>
      <c r="E4955" cm="1">
        <f t="array" ref="E4955">_xlfn.XLOOKUP(D4955,SKU_Master!A:A,SKU_Master!B:B,"Not on master")</f>
        <v>0</v>
      </c>
      <c r="F4955" cm="1">
        <f t="array" ref="F4955">_xlfn.XLOOKUP(C4955,Account_Master!A:A,Account_Master!B:B,"Not on master")</f>
        <v>0</v>
      </c>
      <c r="G4955" cm="1">
        <f t="array" ref="G4955">_xlfn.XLOOKUP(C4955,Account_Master!A:A,Account_Master!C:C,"Not on master")</f>
        <v>0</v>
      </c>
      <c r="H4955" s="6">
        <v>24</v>
      </c>
      <c r="I4955" s="6">
        <v>24</v>
      </c>
      <c r="J4955" s="6">
        <f>I4955-H4955</f>
        <v>0</v>
      </c>
      <c r="K4955" s="5">
        <f>IF(H4955=0,"",J4955/H4955)</f>
        <v>0</v>
      </c>
      <c r="L4955">
        <f>IF(OR(AND(H4955=0,ABS(J4955)&gt;=0.01),AND(H4955&lt;&gt;0,ABS(K4955)&gt;VarianceThreshold)),"Review","OK")</f>
        <v>0</v>
      </c>
      <c r="M4955" t="s">
        <v>33</v>
      </c>
    </row>
    <row r="4956" spans="1:13">
      <c r="A4956" t="s">
        <v>7</v>
      </c>
      <c r="B4956" t="s">
        <v>903</v>
      </c>
      <c r="C4956" t="s">
        <v>3429</v>
      </c>
      <c r="D4956" t="s">
        <v>1815</v>
      </c>
      <c r="E4956" cm="1">
        <f t="array" ref="E4956">_xlfn.XLOOKUP(D4956,SKU_Master!A:A,SKU_Master!B:B,"Not on master")</f>
        <v>0</v>
      </c>
      <c r="F4956" cm="1">
        <f t="array" ref="F4956">_xlfn.XLOOKUP(C4956,Account_Master!A:A,Account_Master!B:B,"Not on master")</f>
        <v>0</v>
      </c>
      <c r="G4956" cm="1">
        <f t="array" ref="G4956">_xlfn.XLOOKUP(C4956,Account_Master!A:A,Account_Master!C:C,"Not on master")</f>
        <v>0</v>
      </c>
      <c r="H4956" s="6">
        <v>5.25</v>
      </c>
      <c r="I4956" s="6">
        <v>5.25</v>
      </c>
      <c r="J4956" s="6">
        <f>I4956-H4956</f>
        <v>0</v>
      </c>
      <c r="K4956" s="5">
        <f>IF(H4956=0,"",J4956/H4956)</f>
        <v>0</v>
      </c>
      <c r="L4956">
        <f>IF(OR(AND(H4956=0,ABS(J4956)&gt;=0.01),AND(H4956&lt;&gt;0,ABS(K4956)&gt;VarianceThreshold)),"Review","OK")</f>
        <v>0</v>
      </c>
      <c r="M4956" t="s">
        <v>33</v>
      </c>
    </row>
    <row r="4957" spans="1:13">
      <c r="A4957" t="s">
        <v>7</v>
      </c>
      <c r="B4957" t="s">
        <v>915</v>
      </c>
      <c r="C4957" t="s">
        <v>3393</v>
      </c>
      <c r="D4957" t="s">
        <v>1671</v>
      </c>
      <c r="E4957" cm="1">
        <f t="array" ref="E4957">_xlfn.XLOOKUP(D4957,SKU_Master!A:A,SKU_Master!B:B,"Not on master")</f>
        <v>0</v>
      </c>
      <c r="F4957" cm="1">
        <f t="array" ref="F4957">_xlfn.XLOOKUP(C4957,Account_Master!A:A,Account_Master!B:B,"Not on master")</f>
        <v>0</v>
      </c>
      <c r="G4957" cm="1">
        <f t="array" ref="G4957">_xlfn.XLOOKUP(C4957,Account_Master!A:A,Account_Master!C:C,"Not on master")</f>
        <v>0</v>
      </c>
      <c r="H4957" s="6">
        <v>17</v>
      </c>
      <c r="I4957" s="6">
        <v>17</v>
      </c>
      <c r="J4957" s="6">
        <f>I4957-H4957</f>
        <v>0</v>
      </c>
      <c r="K4957" s="5">
        <f>IF(H4957=0,"",J4957/H4957)</f>
        <v>0</v>
      </c>
      <c r="L4957">
        <f>IF(OR(AND(H4957=0,ABS(J4957)&gt;=0.01),AND(H4957&lt;&gt;0,ABS(K4957)&gt;VarianceThreshold)),"Review","OK")</f>
        <v>0</v>
      </c>
      <c r="M4957" t="s">
        <v>33</v>
      </c>
    </row>
    <row r="4958" spans="1:13">
      <c r="A4958" t="s">
        <v>7</v>
      </c>
      <c r="B4958" t="s">
        <v>915</v>
      </c>
      <c r="C4958" t="s">
        <v>3387</v>
      </c>
      <c r="D4958" t="s">
        <v>1520</v>
      </c>
      <c r="E4958" cm="1">
        <f t="array" ref="E4958">_xlfn.XLOOKUP(D4958,SKU_Master!A:A,SKU_Master!B:B,"Not on master")</f>
        <v>0</v>
      </c>
      <c r="F4958" cm="1">
        <f t="array" ref="F4958">_xlfn.XLOOKUP(C4958,Account_Master!A:A,Account_Master!B:B,"Not on master")</f>
        <v>0</v>
      </c>
      <c r="G4958" cm="1">
        <f t="array" ref="G4958">_xlfn.XLOOKUP(C4958,Account_Master!A:A,Account_Master!C:C,"Not on master")</f>
        <v>0</v>
      </c>
      <c r="H4958" s="6">
        <v>145.25</v>
      </c>
      <c r="I4958" s="6">
        <v>145.25</v>
      </c>
      <c r="J4958" s="6">
        <f>I4958-H4958</f>
        <v>0</v>
      </c>
      <c r="K4958" s="5">
        <f>IF(H4958=0,"",J4958/H4958)</f>
        <v>0</v>
      </c>
      <c r="L4958">
        <f>IF(OR(AND(H4958=0,ABS(J4958)&gt;=0.01),AND(H4958&lt;&gt;0,ABS(K4958)&gt;VarianceThreshold)),"Review","OK")</f>
        <v>0</v>
      </c>
      <c r="M4958" t="s">
        <v>33</v>
      </c>
    </row>
    <row r="4959" spans="1:13">
      <c r="A4959" t="s">
        <v>7</v>
      </c>
      <c r="B4959" t="s">
        <v>915</v>
      </c>
      <c r="C4959" t="s">
        <v>3356</v>
      </c>
      <c r="D4959" t="s">
        <v>572</v>
      </c>
      <c r="E4959" cm="1">
        <f t="array" ref="E4959">_xlfn.XLOOKUP(D4959,SKU_Master!A:A,SKU_Master!B:B,"Not on master")</f>
        <v>0</v>
      </c>
      <c r="F4959" cm="1">
        <f t="array" ref="F4959">_xlfn.XLOOKUP(C4959,Account_Master!A:A,Account_Master!B:B,"Not on master")</f>
        <v>0</v>
      </c>
      <c r="G4959" cm="1">
        <f t="array" ref="G4959">_xlfn.XLOOKUP(C4959,Account_Master!A:A,Account_Master!C:C,"Not on master")</f>
        <v>0</v>
      </c>
      <c r="H4959" s="6">
        <v>76</v>
      </c>
      <c r="I4959" s="6">
        <v>76</v>
      </c>
      <c r="J4959" s="6">
        <f>I4959-H4959</f>
        <v>0</v>
      </c>
      <c r="K4959" s="5">
        <f>IF(H4959=0,"",J4959/H4959)</f>
        <v>0</v>
      </c>
      <c r="L4959">
        <f>IF(OR(AND(H4959=0,ABS(J4959)&gt;=0.01),AND(H4959&lt;&gt;0,ABS(K4959)&gt;VarianceThreshold)),"Review","OK")</f>
        <v>0</v>
      </c>
      <c r="M4959" t="s">
        <v>33</v>
      </c>
    </row>
    <row r="4960" spans="1:13">
      <c r="A4960" t="s">
        <v>7</v>
      </c>
      <c r="B4960" t="s">
        <v>915</v>
      </c>
      <c r="C4960" t="s">
        <v>3477</v>
      </c>
      <c r="D4960" t="s">
        <v>3650</v>
      </c>
      <c r="E4960" cm="1">
        <f t="array" ref="E4960">_xlfn.XLOOKUP(D4960,SKU_Master!A:A,SKU_Master!B:B,"Not on master")</f>
        <v>0</v>
      </c>
      <c r="F4960" cm="1">
        <f t="array" ref="F4960">_xlfn.XLOOKUP(C4960,Account_Master!A:A,Account_Master!B:B,"Not on master")</f>
        <v>0</v>
      </c>
      <c r="G4960" cm="1">
        <f t="array" ref="G4960">_xlfn.XLOOKUP(C4960,Account_Master!A:A,Account_Master!C:C,"Not on master")</f>
        <v>0</v>
      </c>
      <c r="H4960" s="6">
        <v>10.5</v>
      </c>
      <c r="I4960" s="6">
        <v>10.5</v>
      </c>
      <c r="J4960" s="6">
        <f>I4960-H4960</f>
        <v>0</v>
      </c>
      <c r="K4960" s="5">
        <f>IF(H4960=0,"",J4960/H4960)</f>
        <v>0</v>
      </c>
      <c r="L4960">
        <f>IF(OR(AND(H4960=0,ABS(J4960)&gt;=0.01),AND(H4960&lt;&gt;0,ABS(K4960)&gt;VarianceThreshold)),"Review","OK")</f>
        <v>0</v>
      </c>
      <c r="M4960" t="s">
        <v>33</v>
      </c>
    </row>
    <row r="4961" spans="1:13">
      <c r="A4961" t="s">
        <v>7</v>
      </c>
      <c r="B4961" t="s">
        <v>922</v>
      </c>
      <c r="C4961" t="s">
        <v>3369</v>
      </c>
      <c r="D4961" t="s">
        <v>1805</v>
      </c>
      <c r="E4961" cm="1">
        <f t="array" ref="E4961">_xlfn.XLOOKUP(D4961,SKU_Master!A:A,SKU_Master!B:B,"Not on master")</f>
        <v>0</v>
      </c>
      <c r="F4961" cm="1">
        <f t="array" ref="F4961">_xlfn.XLOOKUP(C4961,Account_Master!A:A,Account_Master!B:B,"Not on master")</f>
        <v>0</v>
      </c>
      <c r="G4961" cm="1">
        <f t="array" ref="G4961">_xlfn.XLOOKUP(C4961,Account_Master!A:A,Account_Master!C:C,"Not on master")</f>
        <v>0</v>
      </c>
      <c r="H4961" s="6">
        <v>9</v>
      </c>
      <c r="I4961" s="6">
        <v>9</v>
      </c>
      <c r="J4961" s="6">
        <f>I4961-H4961</f>
        <v>0</v>
      </c>
      <c r="K4961" s="5">
        <f>IF(H4961=0,"",J4961/H4961)</f>
        <v>0</v>
      </c>
      <c r="L4961">
        <f>IF(OR(AND(H4961=0,ABS(J4961)&gt;=0.01),AND(H4961&lt;&gt;0,ABS(K4961)&gt;VarianceThreshold)),"Review","OK")</f>
        <v>0</v>
      </c>
      <c r="M4961" t="s">
        <v>33</v>
      </c>
    </row>
    <row r="4962" spans="1:13">
      <c r="A4962" t="s">
        <v>7</v>
      </c>
      <c r="B4962" t="s">
        <v>922</v>
      </c>
      <c r="C4962" t="s">
        <v>3357</v>
      </c>
      <c r="D4962" t="s">
        <v>662</v>
      </c>
      <c r="E4962" cm="1">
        <f t="array" ref="E4962">_xlfn.XLOOKUP(D4962,SKU_Master!A:A,SKU_Master!B:B,"Not on master")</f>
        <v>0</v>
      </c>
      <c r="F4962" cm="1">
        <f t="array" ref="F4962">_xlfn.XLOOKUP(C4962,Account_Master!A:A,Account_Master!B:B,"Not on master")</f>
        <v>0</v>
      </c>
      <c r="G4962" cm="1">
        <f t="array" ref="G4962">_xlfn.XLOOKUP(C4962,Account_Master!A:A,Account_Master!C:C,"Not on master")</f>
        <v>0</v>
      </c>
      <c r="H4962" s="6">
        <v>104.25</v>
      </c>
      <c r="I4962" s="6">
        <v>104.25</v>
      </c>
      <c r="J4962" s="6">
        <f>I4962-H4962</f>
        <v>0</v>
      </c>
      <c r="K4962" s="5">
        <f>IF(H4962=0,"",J4962/H4962)</f>
        <v>0</v>
      </c>
      <c r="L4962">
        <f>IF(OR(AND(H4962=0,ABS(J4962)&gt;=0.01),AND(H4962&lt;&gt;0,ABS(K4962)&gt;VarianceThreshold)),"Review","OK")</f>
        <v>0</v>
      </c>
      <c r="M4962" t="s">
        <v>33</v>
      </c>
    </row>
    <row r="4963" spans="1:13">
      <c r="A4963" t="s">
        <v>7</v>
      </c>
      <c r="B4963" t="s">
        <v>922</v>
      </c>
      <c r="C4963" t="s">
        <v>3361</v>
      </c>
      <c r="D4963" t="s">
        <v>1918</v>
      </c>
      <c r="E4963" cm="1">
        <f t="array" ref="E4963">_xlfn.XLOOKUP(D4963,SKU_Master!A:A,SKU_Master!B:B,"Not on master")</f>
        <v>0</v>
      </c>
      <c r="F4963" cm="1">
        <f t="array" ref="F4963">_xlfn.XLOOKUP(C4963,Account_Master!A:A,Account_Master!B:B,"Not on master")</f>
        <v>0</v>
      </c>
      <c r="G4963" cm="1">
        <f t="array" ref="G4963">_xlfn.XLOOKUP(C4963,Account_Master!A:A,Account_Master!C:C,"Not on master")</f>
        <v>0</v>
      </c>
      <c r="H4963" s="6">
        <v>31.5</v>
      </c>
      <c r="I4963" s="6">
        <v>31.5</v>
      </c>
      <c r="J4963" s="6">
        <f>I4963-H4963</f>
        <v>0</v>
      </c>
      <c r="K4963" s="5">
        <f>IF(H4963=0,"",J4963/H4963)</f>
        <v>0</v>
      </c>
      <c r="L4963">
        <f>IF(OR(AND(H4963=0,ABS(J4963)&gt;=0.01),AND(H4963&lt;&gt;0,ABS(K4963)&gt;VarianceThreshold)),"Review","OK")</f>
        <v>0</v>
      </c>
      <c r="M4963" t="s">
        <v>33</v>
      </c>
    </row>
    <row r="4964" spans="1:13">
      <c r="A4964" t="s">
        <v>7</v>
      </c>
      <c r="B4964" t="s">
        <v>922</v>
      </c>
      <c r="C4964" t="s">
        <v>3529</v>
      </c>
      <c r="D4964" t="s">
        <v>400</v>
      </c>
      <c r="E4964" cm="1">
        <f t="array" ref="E4964">_xlfn.XLOOKUP(D4964,SKU_Master!A:A,SKU_Master!B:B,"Not on master")</f>
        <v>0</v>
      </c>
      <c r="F4964" cm="1">
        <f t="array" ref="F4964">_xlfn.XLOOKUP(C4964,Account_Master!A:A,Account_Master!B:B,"Not on master")</f>
        <v>0</v>
      </c>
      <c r="G4964" cm="1">
        <f t="array" ref="G4964">_xlfn.XLOOKUP(C4964,Account_Master!A:A,Account_Master!C:C,"Not on master")</f>
        <v>0</v>
      </c>
      <c r="H4964" s="6">
        <v>0.2</v>
      </c>
      <c r="I4964" s="6">
        <v>0.2</v>
      </c>
      <c r="J4964" s="6">
        <f>I4964-H4964</f>
        <v>0</v>
      </c>
      <c r="K4964" s="5">
        <f>IF(H4964=0,"",J4964/H4964)</f>
        <v>0</v>
      </c>
      <c r="L4964">
        <f>IF(OR(AND(H4964=0,ABS(J4964)&gt;=0.01),AND(H4964&lt;&gt;0,ABS(K4964)&gt;VarianceThreshold)),"Review","OK")</f>
        <v>0</v>
      </c>
      <c r="M4964" t="s">
        <v>33</v>
      </c>
    </row>
    <row r="4965" spans="1:13">
      <c r="A4965" t="s">
        <v>7</v>
      </c>
      <c r="B4965" t="s">
        <v>922</v>
      </c>
      <c r="C4965" t="s">
        <v>33</v>
      </c>
      <c r="D4965" t="s">
        <v>3651</v>
      </c>
      <c r="E4965" cm="1">
        <f t="array" ref="E4965">_xlfn.XLOOKUP(D4965,SKU_Master!A:A,SKU_Master!B:B,"Not on master")</f>
        <v>0</v>
      </c>
      <c r="F4965" cm="1">
        <f t="array" ref="F4965">_xlfn.XLOOKUP(C4965,Account_Master!A:A,Account_Master!B:B,"Not on master")</f>
        <v>0</v>
      </c>
      <c r="G4965" cm="1">
        <f t="array" ref="G4965">_xlfn.XLOOKUP(C4965,Account_Master!A:A,Account_Master!C:C,"Not on master")</f>
        <v>0</v>
      </c>
      <c r="H4965" s="6">
        <v>0</v>
      </c>
      <c r="I4965" s="6">
        <v>2.25</v>
      </c>
      <c r="J4965" s="6">
        <f>I4965-H4965</f>
        <v>0</v>
      </c>
      <c r="K4965" s="5">
        <f>IF(H4965=0,"",J4965/H4965)</f>
        <v>0</v>
      </c>
      <c r="L4965">
        <f>IF(OR(AND(H4965=0,ABS(J4965)&gt;=0.01),AND(H4965&lt;&gt;0,ABS(K4965)&gt;VarianceThreshold)),"Review","OK")</f>
        <v>0</v>
      </c>
      <c r="M4965" t="s">
        <v>3038</v>
      </c>
    </row>
    <row r="4966" spans="1:13">
      <c r="A4966" t="s">
        <v>7</v>
      </c>
      <c r="B4966" t="s">
        <v>934</v>
      </c>
      <c r="C4966" t="s">
        <v>3357</v>
      </c>
      <c r="D4966" t="s">
        <v>55</v>
      </c>
      <c r="E4966" cm="1">
        <f t="array" ref="E4966">_xlfn.XLOOKUP(D4966,SKU_Master!A:A,SKU_Master!B:B,"Not on master")</f>
        <v>0</v>
      </c>
      <c r="F4966" cm="1">
        <f t="array" ref="F4966">_xlfn.XLOOKUP(C4966,Account_Master!A:A,Account_Master!B:B,"Not on master")</f>
        <v>0</v>
      </c>
      <c r="G4966" cm="1">
        <f t="array" ref="G4966">_xlfn.XLOOKUP(C4966,Account_Master!A:A,Account_Master!C:C,"Not on master")</f>
        <v>0</v>
      </c>
      <c r="H4966" s="6">
        <v>157.5</v>
      </c>
      <c r="I4966" s="6">
        <v>115.5</v>
      </c>
      <c r="J4966" s="6">
        <f>I4966-H4966</f>
        <v>0</v>
      </c>
      <c r="K4966" s="5">
        <f>IF(H4966=0,"",J4966/H4966)</f>
        <v>0</v>
      </c>
      <c r="L4966">
        <f>IF(OR(AND(H4966=0,ABS(J4966)&gt;=0.01),AND(H4966&lt;&gt;0,ABS(K4966)&gt;VarianceThreshold)),"Review","OK")</f>
        <v>0</v>
      </c>
      <c r="M4966" t="s">
        <v>3038</v>
      </c>
    </row>
    <row r="4967" spans="1:13">
      <c r="A4967" t="s">
        <v>7</v>
      </c>
      <c r="B4967" t="s">
        <v>934</v>
      </c>
      <c r="C4967" t="s">
        <v>3624</v>
      </c>
      <c r="D4967" t="s">
        <v>122</v>
      </c>
      <c r="E4967" cm="1">
        <f t="array" ref="E4967">_xlfn.XLOOKUP(D4967,SKU_Master!A:A,SKU_Master!B:B,"Not on master")</f>
        <v>0</v>
      </c>
      <c r="F4967" cm="1">
        <f t="array" ref="F4967">_xlfn.XLOOKUP(C4967,Account_Master!A:A,Account_Master!B:B,"Not on master")</f>
        <v>0</v>
      </c>
      <c r="G4967" cm="1">
        <f t="array" ref="G4967">_xlfn.XLOOKUP(C4967,Account_Master!A:A,Account_Master!C:C,"Not on master")</f>
        <v>0</v>
      </c>
      <c r="H4967" s="6">
        <v>9.6</v>
      </c>
      <c r="I4967" s="6">
        <v>9.6</v>
      </c>
      <c r="J4967" s="6">
        <f>I4967-H4967</f>
        <v>0</v>
      </c>
      <c r="K4967" s="5">
        <f>IF(H4967=0,"",J4967/H4967)</f>
        <v>0</v>
      </c>
      <c r="L4967">
        <f>IF(OR(AND(H4967=0,ABS(J4967)&gt;=0.01),AND(H4967&lt;&gt;0,ABS(K4967)&gt;VarianceThreshold)),"Review","OK")</f>
        <v>0</v>
      </c>
      <c r="M4967" t="s">
        <v>33</v>
      </c>
    </row>
    <row r="4968" spans="1:13">
      <c r="A4968" t="s">
        <v>7</v>
      </c>
      <c r="B4968" t="s">
        <v>934</v>
      </c>
      <c r="C4968" t="s">
        <v>3523</v>
      </c>
      <c r="D4968" t="s">
        <v>648</v>
      </c>
      <c r="E4968" cm="1">
        <f t="array" ref="E4968">_xlfn.XLOOKUP(D4968,SKU_Master!A:A,SKU_Master!B:B,"Not on master")</f>
        <v>0</v>
      </c>
      <c r="F4968" cm="1">
        <f t="array" ref="F4968">_xlfn.XLOOKUP(C4968,Account_Master!A:A,Account_Master!B:B,"Not on master")</f>
        <v>0</v>
      </c>
      <c r="G4968" cm="1">
        <f t="array" ref="G4968">_xlfn.XLOOKUP(C4968,Account_Master!A:A,Account_Master!C:C,"Not on master")</f>
        <v>0</v>
      </c>
      <c r="H4968" s="6">
        <v>1.5</v>
      </c>
      <c r="I4968" s="6">
        <v>1.5</v>
      </c>
      <c r="J4968" s="6">
        <f>I4968-H4968</f>
        <v>0</v>
      </c>
      <c r="K4968" s="5">
        <f>IF(H4968=0,"",J4968/H4968)</f>
        <v>0</v>
      </c>
      <c r="L4968">
        <f>IF(OR(AND(H4968=0,ABS(J4968)&gt;=0.01),AND(H4968&lt;&gt;0,ABS(K4968)&gt;VarianceThreshold)),"Review","OK")</f>
        <v>0</v>
      </c>
      <c r="M4968" t="s">
        <v>33</v>
      </c>
    </row>
    <row r="4969" spans="1:13">
      <c r="A4969" t="s">
        <v>7</v>
      </c>
      <c r="B4969" t="s">
        <v>934</v>
      </c>
      <c r="C4969" t="s">
        <v>3652</v>
      </c>
      <c r="D4969" t="s">
        <v>1344</v>
      </c>
      <c r="E4969" cm="1">
        <f t="array" ref="E4969">_xlfn.XLOOKUP(D4969,SKU_Master!A:A,SKU_Master!B:B,"Not on master")</f>
        <v>0</v>
      </c>
      <c r="F4969" cm="1">
        <f t="array" ref="F4969">_xlfn.XLOOKUP(C4969,Account_Master!A:A,Account_Master!B:B,"Not on master")</f>
        <v>0</v>
      </c>
      <c r="G4969" cm="1">
        <f t="array" ref="G4969">_xlfn.XLOOKUP(C4969,Account_Master!A:A,Account_Master!C:C,"Not on master")</f>
        <v>0</v>
      </c>
      <c r="H4969" s="6">
        <v>45.5</v>
      </c>
      <c r="I4969" s="6">
        <v>45.5</v>
      </c>
      <c r="J4969" s="6">
        <f>I4969-H4969</f>
        <v>0</v>
      </c>
      <c r="K4969" s="5">
        <f>IF(H4969=0,"",J4969/H4969)</f>
        <v>0</v>
      </c>
      <c r="L4969">
        <f>IF(OR(AND(H4969=0,ABS(J4969)&gt;=0.01),AND(H4969&lt;&gt;0,ABS(K4969)&gt;VarianceThreshold)),"Review","OK")</f>
        <v>0</v>
      </c>
      <c r="M4969" t="s">
        <v>33</v>
      </c>
    </row>
    <row r="4970" spans="1:13">
      <c r="A4970" t="s">
        <v>7</v>
      </c>
      <c r="B4970" t="s">
        <v>934</v>
      </c>
      <c r="C4970" t="s">
        <v>3587</v>
      </c>
      <c r="D4970" t="s">
        <v>456</v>
      </c>
      <c r="E4970" cm="1">
        <f t="array" ref="E4970">_xlfn.XLOOKUP(D4970,SKU_Master!A:A,SKU_Master!B:B,"Not on master")</f>
        <v>0</v>
      </c>
      <c r="F4970" cm="1">
        <f t="array" ref="F4970">_xlfn.XLOOKUP(C4970,Account_Master!A:A,Account_Master!B:B,"Not on master")</f>
        <v>0</v>
      </c>
      <c r="G4970" cm="1">
        <f t="array" ref="G4970">_xlfn.XLOOKUP(C4970,Account_Master!A:A,Account_Master!C:C,"Not on master")</f>
        <v>0</v>
      </c>
      <c r="H4970" s="6">
        <v>18</v>
      </c>
      <c r="I4970" s="6">
        <v>18</v>
      </c>
      <c r="J4970" s="6">
        <f>I4970-H4970</f>
        <v>0</v>
      </c>
      <c r="K4970" s="5">
        <f>IF(H4970=0,"",J4970/H4970)</f>
        <v>0</v>
      </c>
      <c r="L4970">
        <f>IF(OR(AND(H4970=0,ABS(J4970)&gt;=0.01),AND(H4970&lt;&gt;0,ABS(K4970)&gt;VarianceThreshold)),"Review","OK")</f>
        <v>0</v>
      </c>
      <c r="M4970" t="s">
        <v>33</v>
      </c>
    </row>
    <row r="4971" spans="1:13">
      <c r="A4971" t="s">
        <v>7</v>
      </c>
      <c r="B4971" t="s">
        <v>934</v>
      </c>
      <c r="C4971" t="s">
        <v>3368</v>
      </c>
      <c r="D4971" t="s">
        <v>1507</v>
      </c>
      <c r="E4971" cm="1">
        <f t="array" ref="E4971">_xlfn.XLOOKUP(D4971,SKU_Master!A:A,SKU_Master!B:B,"Not on master")</f>
        <v>0</v>
      </c>
      <c r="F4971" cm="1">
        <f t="array" ref="F4971">_xlfn.XLOOKUP(C4971,Account_Master!A:A,Account_Master!B:B,"Not on master")</f>
        <v>0</v>
      </c>
      <c r="G4971" cm="1">
        <f t="array" ref="G4971">_xlfn.XLOOKUP(C4971,Account_Master!A:A,Account_Master!C:C,"Not on master")</f>
        <v>0</v>
      </c>
      <c r="H4971" s="6">
        <v>4.5</v>
      </c>
      <c r="I4971" s="6">
        <v>4.5</v>
      </c>
      <c r="J4971" s="6">
        <f>I4971-H4971</f>
        <v>0</v>
      </c>
      <c r="K4971" s="5">
        <f>IF(H4971=0,"",J4971/H4971)</f>
        <v>0</v>
      </c>
      <c r="L4971">
        <f>IF(OR(AND(H4971=0,ABS(J4971)&gt;=0.01),AND(H4971&lt;&gt;0,ABS(K4971)&gt;VarianceThreshold)),"Review","OK")</f>
        <v>0</v>
      </c>
      <c r="M4971" t="s">
        <v>33</v>
      </c>
    </row>
    <row r="4972" spans="1:13">
      <c r="A4972" t="s">
        <v>7</v>
      </c>
      <c r="B4972" t="s">
        <v>934</v>
      </c>
      <c r="C4972" t="s">
        <v>3414</v>
      </c>
      <c r="D4972" t="s">
        <v>3653</v>
      </c>
      <c r="E4972" cm="1">
        <f t="array" ref="E4972">_xlfn.XLOOKUP(D4972,SKU_Master!A:A,SKU_Master!B:B,"Not on master")</f>
        <v>0</v>
      </c>
      <c r="F4972" cm="1">
        <f t="array" ref="F4972">_xlfn.XLOOKUP(C4972,Account_Master!A:A,Account_Master!B:B,"Not on master")</f>
        <v>0</v>
      </c>
      <c r="G4972" cm="1">
        <f t="array" ref="G4972">_xlfn.XLOOKUP(C4972,Account_Master!A:A,Account_Master!C:C,"Not on master")</f>
        <v>0</v>
      </c>
      <c r="H4972" s="6">
        <v>1.8</v>
      </c>
      <c r="I4972" s="6">
        <v>1.8</v>
      </c>
      <c r="J4972" s="6">
        <f>I4972-H4972</f>
        <v>0</v>
      </c>
      <c r="K4972" s="5">
        <f>IF(H4972=0,"",J4972/H4972)</f>
        <v>0</v>
      </c>
      <c r="L4972">
        <f>IF(OR(AND(H4972=0,ABS(J4972)&gt;=0.01),AND(H4972&lt;&gt;0,ABS(K4972)&gt;VarianceThreshold)),"Review","OK")</f>
        <v>0</v>
      </c>
      <c r="M4972" t="s">
        <v>33</v>
      </c>
    </row>
    <row r="4973" spans="1:13">
      <c r="A4973" t="s">
        <v>7</v>
      </c>
      <c r="B4973" t="s">
        <v>944</v>
      </c>
      <c r="C4973" t="s">
        <v>3356</v>
      </c>
      <c r="D4973" t="s">
        <v>1562</v>
      </c>
      <c r="E4973" cm="1">
        <f t="array" ref="E4973">_xlfn.XLOOKUP(D4973,SKU_Master!A:A,SKU_Master!B:B,"Not on master")</f>
        <v>0</v>
      </c>
      <c r="F4973" cm="1">
        <f t="array" ref="F4973">_xlfn.XLOOKUP(C4973,Account_Master!A:A,Account_Master!B:B,"Not on master")</f>
        <v>0</v>
      </c>
      <c r="G4973" cm="1">
        <f t="array" ref="G4973">_xlfn.XLOOKUP(C4973,Account_Master!A:A,Account_Master!C:C,"Not on master")</f>
        <v>0</v>
      </c>
      <c r="H4973" s="6">
        <v>26</v>
      </c>
      <c r="I4973" s="6">
        <v>26</v>
      </c>
      <c r="J4973" s="6">
        <f>I4973-H4973</f>
        <v>0</v>
      </c>
      <c r="K4973" s="5">
        <f>IF(H4973=0,"",J4973/H4973)</f>
        <v>0</v>
      </c>
      <c r="L4973">
        <f>IF(OR(AND(H4973=0,ABS(J4973)&gt;=0.01),AND(H4973&lt;&gt;0,ABS(K4973)&gt;VarianceThreshold)),"Review","OK")</f>
        <v>0</v>
      </c>
      <c r="M4973" t="s">
        <v>33</v>
      </c>
    </row>
    <row r="4974" spans="1:13">
      <c r="A4974" t="s">
        <v>7</v>
      </c>
      <c r="B4974" t="s">
        <v>944</v>
      </c>
      <c r="C4974" t="s">
        <v>3513</v>
      </c>
      <c r="D4974" t="s">
        <v>793</v>
      </c>
      <c r="E4974" cm="1">
        <f t="array" ref="E4974">_xlfn.XLOOKUP(D4974,SKU_Master!A:A,SKU_Master!B:B,"Not on master")</f>
        <v>0</v>
      </c>
      <c r="F4974" cm="1">
        <f t="array" ref="F4974">_xlfn.XLOOKUP(C4974,Account_Master!A:A,Account_Master!B:B,"Not on master")</f>
        <v>0</v>
      </c>
      <c r="G4974" cm="1">
        <f t="array" ref="G4974">_xlfn.XLOOKUP(C4974,Account_Master!A:A,Account_Master!C:C,"Not on master")</f>
        <v>0</v>
      </c>
      <c r="H4974" s="6">
        <v>12.75</v>
      </c>
      <c r="I4974" s="6">
        <v>12.75</v>
      </c>
      <c r="J4974" s="6">
        <f>I4974-H4974</f>
        <v>0</v>
      </c>
      <c r="K4974" s="5">
        <f>IF(H4974=0,"",J4974/H4974)</f>
        <v>0</v>
      </c>
      <c r="L4974">
        <f>IF(OR(AND(H4974=0,ABS(J4974)&gt;=0.01),AND(H4974&lt;&gt;0,ABS(K4974)&gt;VarianceThreshold)),"Review","OK")</f>
        <v>0</v>
      </c>
      <c r="M4974" t="s">
        <v>33</v>
      </c>
    </row>
    <row r="4975" spans="1:13">
      <c r="A4975" t="s">
        <v>7</v>
      </c>
      <c r="B4975" t="s">
        <v>944</v>
      </c>
      <c r="C4975" t="s">
        <v>3355</v>
      </c>
      <c r="D4975" t="s">
        <v>3654</v>
      </c>
      <c r="E4975" cm="1">
        <f t="array" ref="E4975">_xlfn.XLOOKUP(D4975,SKU_Master!A:A,SKU_Master!B:B,"Not on master")</f>
        <v>0</v>
      </c>
      <c r="F4975" cm="1">
        <f t="array" ref="F4975">_xlfn.XLOOKUP(C4975,Account_Master!A:A,Account_Master!B:B,"Not on master")</f>
        <v>0</v>
      </c>
      <c r="G4975" cm="1">
        <f t="array" ref="G4975">_xlfn.XLOOKUP(C4975,Account_Master!A:A,Account_Master!C:C,"Not on master")</f>
        <v>0</v>
      </c>
      <c r="H4975" s="6">
        <v>2.25</v>
      </c>
      <c r="I4975" s="6">
        <v>2.25</v>
      </c>
      <c r="J4975" s="6">
        <f>I4975-H4975</f>
        <v>0</v>
      </c>
      <c r="K4975" s="5">
        <f>IF(H4975=0,"",J4975/H4975)</f>
        <v>0</v>
      </c>
      <c r="L4975">
        <f>IF(OR(AND(H4975=0,ABS(J4975)&gt;=0.01),AND(H4975&lt;&gt;0,ABS(K4975)&gt;VarianceThreshold)),"Review","OK")</f>
        <v>0</v>
      </c>
      <c r="M4975" t="s">
        <v>33</v>
      </c>
    </row>
    <row r="4976" spans="1:13">
      <c r="A4976" t="s">
        <v>7</v>
      </c>
      <c r="B4976" t="s">
        <v>944</v>
      </c>
      <c r="C4976" t="s">
        <v>3414</v>
      </c>
      <c r="D4976" t="s">
        <v>909</v>
      </c>
      <c r="E4976" cm="1">
        <f t="array" ref="E4976">_xlfn.XLOOKUP(D4976,SKU_Master!A:A,SKU_Master!B:B,"Not on master")</f>
        <v>0</v>
      </c>
      <c r="F4976" cm="1">
        <f t="array" ref="F4976">_xlfn.XLOOKUP(C4976,Account_Master!A:A,Account_Master!B:B,"Not on master")</f>
        <v>0</v>
      </c>
      <c r="G4976" cm="1">
        <f t="array" ref="G4976">_xlfn.XLOOKUP(C4976,Account_Master!A:A,Account_Master!C:C,"Not on master")</f>
        <v>0</v>
      </c>
      <c r="H4976" s="6">
        <v>12.75</v>
      </c>
      <c r="I4976" s="6">
        <v>12.75</v>
      </c>
      <c r="J4976" s="6">
        <f>I4976-H4976</f>
        <v>0</v>
      </c>
      <c r="K4976" s="5">
        <f>IF(H4976=0,"",J4976/H4976)</f>
        <v>0</v>
      </c>
      <c r="L4976">
        <f>IF(OR(AND(H4976=0,ABS(J4976)&gt;=0.01),AND(H4976&lt;&gt;0,ABS(K4976)&gt;VarianceThreshold)),"Review","OK")</f>
        <v>0</v>
      </c>
      <c r="M4976" t="s">
        <v>33</v>
      </c>
    </row>
    <row r="4977" spans="1:13">
      <c r="A4977" t="s">
        <v>7</v>
      </c>
      <c r="B4977" t="s">
        <v>944</v>
      </c>
      <c r="C4977" t="s">
        <v>3357</v>
      </c>
      <c r="D4977" t="s">
        <v>795</v>
      </c>
      <c r="E4977" cm="1">
        <f t="array" ref="E4977">_xlfn.XLOOKUP(D4977,SKU_Master!A:A,SKU_Master!B:B,"Not on master")</f>
        <v>0</v>
      </c>
      <c r="F4977" cm="1">
        <f t="array" ref="F4977">_xlfn.XLOOKUP(C4977,Account_Master!A:A,Account_Master!B:B,"Not on master")</f>
        <v>0</v>
      </c>
      <c r="G4977" cm="1">
        <f t="array" ref="G4977">_xlfn.XLOOKUP(C4977,Account_Master!A:A,Account_Master!C:C,"Not on master")</f>
        <v>0</v>
      </c>
      <c r="H4977" s="6">
        <v>13.5</v>
      </c>
      <c r="I4977" s="6">
        <v>13.5</v>
      </c>
      <c r="J4977" s="6">
        <f>I4977-H4977</f>
        <v>0</v>
      </c>
      <c r="K4977" s="5">
        <f>IF(H4977=0,"",J4977/H4977)</f>
        <v>0</v>
      </c>
      <c r="L4977">
        <f>IF(OR(AND(H4977=0,ABS(J4977)&gt;=0.01),AND(H4977&lt;&gt;0,ABS(K4977)&gt;VarianceThreshold)),"Review","OK")</f>
        <v>0</v>
      </c>
      <c r="M4977" t="s">
        <v>33</v>
      </c>
    </row>
    <row r="4978" spans="1:13">
      <c r="A4978" t="s">
        <v>7</v>
      </c>
      <c r="B4978" t="s">
        <v>944</v>
      </c>
      <c r="C4978" t="s">
        <v>3358</v>
      </c>
      <c r="D4978" t="s">
        <v>1201</v>
      </c>
      <c r="E4978" cm="1">
        <f t="array" ref="E4978">_xlfn.XLOOKUP(D4978,SKU_Master!A:A,SKU_Master!B:B,"Not on master")</f>
        <v>0</v>
      </c>
      <c r="F4978" cm="1">
        <f t="array" ref="F4978">_xlfn.XLOOKUP(C4978,Account_Master!A:A,Account_Master!B:B,"Not on master")</f>
        <v>0</v>
      </c>
      <c r="G4978" cm="1">
        <f t="array" ref="G4978">_xlfn.XLOOKUP(C4978,Account_Master!A:A,Account_Master!C:C,"Not on master")</f>
        <v>0</v>
      </c>
      <c r="H4978" s="6">
        <v>27</v>
      </c>
      <c r="I4978" s="6">
        <v>27</v>
      </c>
      <c r="J4978" s="6">
        <f>I4978-H4978</f>
        <v>0</v>
      </c>
      <c r="K4978" s="5">
        <f>IF(H4978=0,"",J4978/H4978)</f>
        <v>0</v>
      </c>
      <c r="L4978">
        <f>IF(OR(AND(H4978=0,ABS(J4978)&gt;=0.01),AND(H4978&lt;&gt;0,ABS(K4978)&gt;VarianceThreshold)),"Review","OK")</f>
        <v>0</v>
      </c>
      <c r="M4978" t="s">
        <v>33</v>
      </c>
    </row>
    <row r="4979" spans="1:13">
      <c r="A4979" t="s">
        <v>7</v>
      </c>
      <c r="B4979" t="s">
        <v>944</v>
      </c>
      <c r="C4979" t="s">
        <v>3601</v>
      </c>
      <c r="D4979" t="s">
        <v>2567</v>
      </c>
      <c r="E4979" cm="1">
        <f t="array" ref="E4979">_xlfn.XLOOKUP(D4979,SKU_Master!A:A,SKU_Master!B:B,"Not on master")</f>
        <v>0</v>
      </c>
      <c r="F4979" cm="1">
        <f t="array" ref="F4979">_xlfn.XLOOKUP(C4979,Account_Master!A:A,Account_Master!B:B,"Not on master")</f>
        <v>0</v>
      </c>
      <c r="G4979" cm="1">
        <f t="array" ref="G4979">_xlfn.XLOOKUP(C4979,Account_Master!A:A,Account_Master!C:C,"Not on master")</f>
        <v>0</v>
      </c>
      <c r="H4979" s="6">
        <v>3</v>
      </c>
      <c r="I4979" s="6">
        <v>3</v>
      </c>
      <c r="J4979" s="6">
        <f>I4979-H4979</f>
        <v>0</v>
      </c>
      <c r="K4979" s="5">
        <f>IF(H4979=0,"",J4979/H4979)</f>
        <v>0</v>
      </c>
      <c r="L4979">
        <f>IF(OR(AND(H4979=0,ABS(J4979)&gt;=0.01),AND(H4979&lt;&gt;0,ABS(K4979)&gt;VarianceThreshold)),"Review","OK")</f>
        <v>0</v>
      </c>
      <c r="M4979" t="s">
        <v>33</v>
      </c>
    </row>
    <row r="4980" spans="1:13">
      <c r="A4980" t="s">
        <v>7</v>
      </c>
      <c r="B4980" t="s">
        <v>944</v>
      </c>
      <c r="C4980" t="s">
        <v>3655</v>
      </c>
      <c r="D4980" t="s">
        <v>1505</v>
      </c>
      <c r="E4980" cm="1">
        <f t="array" ref="E4980">_xlfn.XLOOKUP(D4980,SKU_Master!A:A,SKU_Master!B:B,"Not on master")</f>
        <v>0</v>
      </c>
      <c r="F4980" cm="1">
        <f t="array" ref="F4980">_xlfn.XLOOKUP(C4980,Account_Master!A:A,Account_Master!B:B,"Not on master")</f>
        <v>0</v>
      </c>
      <c r="G4980" cm="1">
        <f t="array" ref="G4980">_xlfn.XLOOKUP(C4980,Account_Master!A:A,Account_Master!C:C,"Not on master")</f>
        <v>0</v>
      </c>
      <c r="H4980" s="6">
        <v>1.95</v>
      </c>
      <c r="I4980" s="6">
        <v>1.8</v>
      </c>
      <c r="J4980" s="6">
        <f>I4980-H4980</f>
        <v>0</v>
      </c>
      <c r="K4980" s="5">
        <f>IF(H4980=0,"",J4980/H4980)</f>
        <v>0</v>
      </c>
      <c r="L4980">
        <f>IF(OR(AND(H4980=0,ABS(J4980)&gt;=0.01),AND(H4980&lt;&gt;0,ABS(K4980)&gt;VarianceThreshold)),"Review","OK")</f>
        <v>0</v>
      </c>
      <c r="M4980" t="s">
        <v>3038</v>
      </c>
    </row>
    <row r="4981" spans="1:13">
      <c r="A4981" t="s">
        <v>7</v>
      </c>
      <c r="B4981" t="s">
        <v>944</v>
      </c>
      <c r="C4981" t="s">
        <v>33</v>
      </c>
      <c r="D4981" t="s">
        <v>3656</v>
      </c>
      <c r="E4981" cm="1">
        <f t="array" ref="E4981">_xlfn.XLOOKUP(D4981,SKU_Master!A:A,SKU_Master!B:B,"Not on master")</f>
        <v>0</v>
      </c>
      <c r="F4981" cm="1">
        <f t="array" ref="F4981">_xlfn.XLOOKUP(C4981,Account_Master!A:A,Account_Master!B:B,"Not on master")</f>
        <v>0</v>
      </c>
      <c r="G4981" cm="1">
        <f t="array" ref="G4981">_xlfn.XLOOKUP(C4981,Account_Master!A:A,Account_Master!C:C,"Not on master")</f>
        <v>0</v>
      </c>
      <c r="H4981" s="6">
        <v>0</v>
      </c>
      <c r="I4981" s="6">
        <v>4.5</v>
      </c>
      <c r="J4981" s="6">
        <f>I4981-H4981</f>
        <v>0</v>
      </c>
      <c r="K4981" s="5">
        <f>IF(H4981=0,"",J4981/H4981)</f>
        <v>0</v>
      </c>
      <c r="L4981">
        <f>IF(OR(AND(H4981=0,ABS(J4981)&gt;=0.01),AND(H4981&lt;&gt;0,ABS(K4981)&gt;VarianceThreshold)),"Review","OK")</f>
        <v>0</v>
      </c>
      <c r="M4981" t="s">
        <v>3038</v>
      </c>
    </row>
    <row r="4982" spans="1:13">
      <c r="A4982" t="s">
        <v>7</v>
      </c>
      <c r="B4982" t="s">
        <v>952</v>
      </c>
      <c r="C4982" t="s">
        <v>3635</v>
      </c>
      <c r="D4982" t="s">
        <v>1341</v>
      </c>
      <c r="E4982" cm="1">
        <f t="array" ref="E4982">_xlfn.XLOOKUP(D4982,SKU_Master!A:A,SKU_Master!B:B,"Not on master")</f>
        <v>0</v>
      </c>
      <c r="F4982" cm="1">
        <f t="array" ref="F4982">_xlfn.XLOOKUP(C4982,Account_Master!A:A,Account_Master!B:B,"Not on master")</f>
        <v>0</v>
      </c>
      <c r="G4982" cm="1">
        <f t="array" ref="G4982">_xlfn.XLOOKUP(C4982,Account_Master!A:A,Account_Master!C:C,"Not on master")</f>
        <v>0</v>
      </c>
      <c r="H4982" s="6">
        <v>9</v>
      </c>
      <c r="I4982" s="6">
        <v>9</v>
      </c>
      <c r="J4982" s="6">
        <f>I4982-H4982</f>
        <v>0</v>
      </c>
      <c r="K4982" s="5">
        <f>IF(H4982=0,"",J4982/H4982)</f>
        <v>0</v>
      </c>
      <c r="L4982">
        <f>IF(OR(AND(H4982=0,ABS(J4982)&gt;=0.01),AND(H4982&lt;&gt;0,ABS(K4982)&gt;VarianceThreshold)),"Review","OK")</f>
        <v>0</v>
      </c>
      <c r="M4982" t="s">
        <v>33</v>
      </c>
    </row>
    <row r="4983" spans="1:13">
      <c r="A4983" t="s">
        <v>7</v>
      </c>
      <c r="B4983" t="s">
        <v>952</v>
      </c>
      <c r="C4983" t="s">
        <v>3515</v>
      </c>
      <c r="D4983" t="s">
        <v>550</v>
      </c>
      <c r="E4983" cm="1">
        <f t="array" ref="E4983">_xlfn.XLOOKUP(D4983,SKU_Master!A:A,SKU_Master!B:B,"Not on master")</f>
        <v>0</v>
      </c>
      <c r="F4983" cm="1">
        <f t="array" ref="F4983">_xlfn.XLOOKUP(C4983,Account_Master!A:A,Account_Master!B:B,"Not on master")</f>
        <v>0</v>
      </c>
      <c r="G4983" cm="1">
        <f t="array" ref="G4983">_xlfn.XLOOKUP(C4983,Account_Master!A:A,Account_Master!C:C,"Not on master")</f>
        <v>0</v>
      </c>
      <c r="H4983" s="6">
        <v>9</v>
      </c>
      <c r="I4983" s="6">
        <v>9</v>
      </c>
      <c r="J4983" s="6">
        <f>I4983-H4983</f>
        <v>0</v>
      </c>
      <c r="K4983" s="5">
        <f>IF(H4983=0,"",J4983/H4983)</f>
        <v>0</v>
      </c>
      <c r="L4983">
        <f>IF(OR(AND(H4983=0,ABS(J4983)&gt;=0.01),AND(H4983&lt;&gt;0,ABS(K4983)&gt;VarianceThreshold)),"Review","OK")</f>
        <v>0</v>
      </c>
      <c r="M4983" t="s">
        <v>33</v>
      </c>
    </row>
    <row r="4984" spans="1:13">
      <c r="A4984" t="s">
        <v>7</v>
      </c>
      <c r="B4984" t="s">
        <v>952</v>
      </c>
      <c r="C4984" t="s">
        <v>33</v>
      </c>
      <c r="D4984" t="s">
        <v>3657</v>
      </c>
      <c r="E4984" cm="1">
        <f t="array" ref="E4984">_xlfn.XLOOKUP(D4984,SKU_Master!A:A,SKU_Master!B:B,"Not on master")</f>
        <v>0</v>
      </c>
      <c r="F4984" cm="1">
        <f t="array" ref="F4984">_xlfn.XLOOKUP(C4984,Account_Master!A:A,Account_Master!B:B,"Not on master")</f>
        <v>0</v>
      </c>
      <c r="G4984" cm="1">
        <f t="array" ref="G4984">_xlfn.XLOOKUP(C4984,Account_Master!A:A,Account_Master!C:C,"Not on master")</f>
        <v>0</v>
      </c>
      <c r="H4984" s="6">
        <v>0</v>
      </c>
      <c r="I4984" s="6">
        <v>9</v>
      </c>
      <c r="J4984" s="6">
        <f>I4984-H4984</f>
        <v>0</v>
      </c>
      <c r="K4984" s="5">
        <f>IF(H4984=0,"",J4984/H4984)</f>
        <v>0</v>
      </c>
      <c r="L4984">
        <f>IF(OR(AND(H4984=0,ABS(J4984)&gt;=0.01),AND(H4984&lt;&gt;0,ABS(K4984)&gt;VarianceThreshold)),"Review","OK")</f>
        <v>0</v>
      </c>
      <c r="M4984" t="s">
        <v>3038</v>
      </c>
    </row>
    <row r="4985" spans="1:13">
      <c r="A4985" t="s">
        <v>7</v>
      </c>
      <c r="B4985" t="s">
        <v>961</v>
      </c>
      <c r="C4985" t="s">
        <v>3440</v>
      </c>
      <c r="D4985" t="s">
        <v>2955</v>
      </c>
      <c r="E4985" cm="1">
        <f t="array" ref="E4985">_xlfn.XLOOKUP(D4985,SKU_Master!A:A,SKU_Master!B:B,"Not on master")</f>
        <v>0</v>
      </c>
      <c r="F4985" cm="1">
        <f t="array" ref="F4985">_xlfn.XLOOKUP(C4985,Account_Master!A:A,Account_Master!B:B,"Not on master")</f>
        <v>0</v>
      </c>
      <c r="G4985" cm="1">
        <f t="array" ref="G4985">_xlfn.XLOOKUP(C4985,Account_Master!A:A,Account_Master!C:C,"Not on master")</f>
        <v>0</v>
      </c>
      <c r="H4985" s="6">
        <v>0.75</v>
      </c>
      <c r="I4985" s="6">
        <v>0.75</v>
      </c>
      <c r="J4985" s="6">
        <f>I4985-H4985</f>
        <v>0</v>
      </c>
      <c r="K4985" s="5">
        <f>IF(H4985=0,"",J4985/H4985)</f>
        <v>0</v>
      </c>
      <c r="L4985">
        <f>IF(OR(AND(H4985=0,ABS(J4985)&gt;=0.01),AND(H4985&lt;&gt;0,ABS(K4985)&gt;VarianceThreshold)),"Review","OK")</f>
        <v>0</v>
      </c>
      <c r="M4985" t="s">
        <v>33</v>
      </c>
    </row>
    <row r="4986" spans="1:13">
      <c r="A4986" t="s">
        <v>7</v>
      </c>
      <c r="B4986" t="s">
        <v>961</v>
      </c>
      <c r="C4986" t="s">
        <v>3590</v>
      </c>
      <c r="D4986" t="s">
        <v>3658</v>
      </c>
      <c r="E4986" cm="1">
        <f t="array" ref="E4986">_xlfn.XLOOKUP(D4986,SKU_Master!A:A,SKU_Master!B:B,"Not on master")</f>
        <v>0</v>
      </c>
      <c r="F4986" cm="1">
        <f t="array" ref="F4986">_xlfn.XLOOKUP(C4986,Account_Master!A:A,Account_Master!B:B,"Not on master")</f>
        <v>0</v>
      </c>
      <c r="G4986" cm="1">
        <f t="array" ref="G4986">_xlfn.XLOOKUP(C4986,Account_Master!A:A,Account_Master!C:C,"Not on master")</f>
        <v>0</v>
      </c>
      <c r="H4986" s="6">
        <v>27</v>
      </c>
      <c r="I4986" s="6">
        <v>27</v>
      </c>
      <c r="J4986" s="6">
        <f>I4986-H4986</f>
        <v>0</v>
      </c>
      <c r="K4986" s="5">
        <f>IF(H4986=0,"",J4986/H4986)</f>
        <v>0</v>
      </c>
      <c r="L4986">
        <f>IF(OR(AND(H4986=0,ABS(J4986)&gt;=0.01),AND(H4986&lt;&gt;0,ABS(K4986)&gt;VarianceThreshold)),"Review","OK")</f>
        <v>0</v>
      </c>
      <c r="M4986" t="s">
        <v>33</v>
      </c>
    </row>
    <row r="4987" spans="1:13">
      <c r="A4987" t="s">
        <v>7</v>
      </c>
      <c r="B4987" t="s">
        <v>961</v>
      </c>
      <c r="C4987" t="s">
        <v>3383</v>
      </c>
      <c r="D4987" t="s">
        <v>2633</v>
      </c>
      <c r="E4987" cm="1">
        <f t="array" ref="E4987">_xlfn.XLOOKUP(D4987,SKU_Master!A:A,SKU_Master!B:B,"Not on master")</f>
        <v>0</v>
      </c>
      <c r="F4987" cm="1">
        <f t="array" ref="F4987">_xlfn.XLOOKUP(C4987,Account_Master!A:A,Account_Master!B:B,"Not on master")</f>
        <v>0</v>
      </c>
      <c r="G4987" cm="1">
        <f t="array" ref="G4987">_xlfn.XLOOKUP(C4987,Account_Master!A:A,Account_Master!C:C,"Not on master")</f>
        <v>0</v>
      </c>
      <c r="H4987" s="6">
        <v>12</v>
      </c>
      <c r="I4987" s="6">
        <v>12</v>
      </c>
      <c r="J4987" s="6">
        <f>I4987-H4987</f>
        <v>0</v>
      </c>
      <c r="K4987" s="5">
        <f>IF(H4987=0,"",J4987/H4987)</f>
        <v>0</v>
      </c>
      <c r="L4987">
        <f>IF(OR(AND(H4987=0,ABS(J4987)&gt;=0.01),AND(H4987&lt;&gt;0,ABS(K4987)&gt;VarianceThreshold)),"Review","OK")</f>
        <v>0</v>
      </c>
      <c r="M4987" t="s">
        <v>33</v>
      </c>
    </row>
    <row r="4988" spans="1:13">
      <c r="A4988" t="s">
        <v>7</v>
      </c>
      <c r="B4988" t="s">
        <v>961</v>
      </c>
      <c r="C4988" t="s">
        <v>3461</v>
      </c>
      <c r="D4988" t="s">
        <v>2506</v>
      </c>
      <c r="E4988" cm="1">
        <f t="array" ref="E4988">_xlfn.XLOOKUP(D4988,SKU_Master!A:A,SKU_Master!B:B,"Not on master")</f>
        <v>0</v>
      </c>
      <c r="F4988" cm="1">
        <f t="array" ref="F4988">_xlfn.XLOOKUP(C4988,Account_Master!A:A,Account_Master!B:B,"Not on master")</f>
        <v>0</v>
      </c>
      <c r="G4988" cm="1">
        <f t="array" ref="G4988">_xlfn.XLOOKUP(C4988,Account_Master!A:A,Account_Master!C:C,"Not on master")</f>
        <v>0</v>
      </c>
      <c r="H4988" s="6">
        <v>4.8</v>
      </c>
      <c r="I4988" s="6">
        <v>4.8</v>
      </c>
      <c r="J4988" s="6">
        <f>I4988-H4988</f>
        <v>0</v>
      </c>
      <c r="K4988" s="5">
        <f>IF(H4988=0,"",J4988/H4988)</f>
        <v>0</v>
      </c>
      <c r="L4988">
        <f>IF(OR(AND(H4988=0,ABS(J4988)&gt;=0.01),AND(H4988&lt;&gt;0,ABS(K4988)&gt;VarianceThreshold)),"Review","OK")</f>
        <v>0</v>
      </c>
      <c r="M4988" t="s">
        <v>33</v>
      </c>
    </row>
    <row r="4989" spans="1:13">
      <c r="A4989" t="s">
        <v>7</v>
      </c>
      <c r="B4989" t="s">
        <v>961</v>
      </c>
      <c r="C4989" t="s">
        <v>3456</v>
      </c>
      <c r="D4989" t="s">
        <v>3659</v>
      </c>
      <c r="E4989" cm="1">
        <f t="array" ref="E4989">_xlfn.XLOOKUP(D4989,SKU_Master!A:A,SKU_Master!B:B,"Not on master")</f>
        <v>0</v>
      </c>
      <c r="F4989" cm="1">
        <f t="array" ref="F4989">_xlfn.XLOOKUP(C4989,Account_Master!A:A,Account_Master!B:B,"Not on master")</f>
        <v>0</v>
      </c>
      <c r="G4989" cm="1">
        <f t="array" ref="G4989">_xlfn.XLOOKUP(C4989,Account_Master!A:A,Account_Master!C:C,"Not on master")</f>
        <v>0</v>
      </c>
      <c r="H4989" s="6">
        <v>0.05</v>
      </c>
      <c r="I4989" s="6">
        <v>0.05</v>
      </c>
      <c r="J4989" s="6">
        <f>I4989-H4989</f>
        <v>0</v>
      </c>
      <c r="K4989" s="5">
        <f>IF(H4989=0,"",J4989/H4989)</f>
        <v>0</v>
      </c>
      <c r="L4989">
        <f>IF(OR(AND(H4989=0,ABS(J4989)&gt;=0.01),AND(H4989&lt;&gt;0,ABS(K4989)&gt;VarianceThreshold)),"Review","OK")</f>
        <v>0</v>
      </c>
      <c r="M4989" t="s">
        <v>33</v>
      </c>
    </row>
    <row r="4990" spans="1:13">
      <c r="A4990" t="s">
        <v>7</v>
      </c>
      <c r="B4990" t="s">
        <v>966</v>
      </c>
      <c r="C4990" t="s">
        <v>3393</v>
      </c>
      <c r="D4990" t="s">
        <v>3660</v>
      </c>
      <c r="E4990" cm="1">
        <f t="array" ref="E4990">_xlfn.XLOOKUP(D4990,SKU_Master!A:A,SKU_Master!B:B,"Not on master")</f>
        <v>0</v>
      </c>
      <c r="F4990" cm="1">
        <f t="array" ref="F4990">_xlfn.XLOOKUP(C4990,Account_Master!A:A,Account_Master!B:B,"Not on master")</f>
        <v>0</v>
      </c>
      <c r="G4990" cm="1">
        <f t="array" ref="G4990">_xlfn.XLOOKUP(C4990,Account_Master!A:A,Account_Master!C:C,"Not on master")</f>
        <v>0</v>
      </c>
      <c r="H4990" s="6">
        <v>0.37</v>
      </c>
      <c r="I4990" s="6">
        <v>0.37</v>
      </c>
      <c r="J4990" s="6">
        <f>I4990-H4990</f>
        <v>0</v>
      </c>
      <c r="K4990" s="5">
        <f>IF(H4990=0,"",J4990/H4990)</f>
        <v>0</v>
      </c>
      <c r="L4990">
        <f>IF(OR(AND(H4990=0,ABS(J4990)&gt;=0.01),AND(H4990&lt;&gt;0,ABS(K4990)&gt;VarianceThreshold)),"Review","OK")</f>
        <v>0</v>
      </c>
      <c r="M4990" t="s">
        <v>33</v>
      </c>
    </row>
    <row r="4991" spans="1:13">
      <c r="A4991" t="s">
        <v>7</v>
      </c>
      <c r="B4991" t="s">
        <v>966</v>
      </c>
      <c r="C4991" t="s">
        <v>3368</v>
      </c>
      <c r="D4991" t="s">
        <v>988</v>
      </c>
      <c r="E4991" cm="1">
        <f t="array" ref="E4991">_xlfn.XLOOKUP(D4991,SKU_Master!A:A,SKU_Master!B:B,"Not on master")</f>
        <v>0</v>
      </c>
      <c r="F4991" cm="1">
        <f t="array" ref="F4991">_xlfn.XLOOKUP(C4991,Account_Master!A:A,Account_Master!B:B,"Not on master")</f>
        <v>0</v>
      </c>
      <c r="G4991" cm="1">
        <f t="array" ref="G4991">_xlfn.XLOOKUP(C4991,Account_Master!A:A,Account_Master!C:C,"Not on master")</f>
        <v>0</v>
      </c>
      <c r="H4991" s="6">
        <v>12.75</v>
      </c>
      <c r="I4991" s="6">
        <v>12.75</v>
      </c>
      <c r="J4991" s="6">
        <f>I4991-H4991</f>
        <v>0</v>
      </c>
      <c r="K4991" s="5">
        <f>IF(H4991=0,"",J4991/H4991)</f>
        <v>0</v>
      </c>
      <c r="L4991">
        <f>IF(OR(AND(H4991=0,ABS(J4991)&gt;=0.01),AND(H4991&lt;&gt;0,ABS(K4991)&gt;VarianceThreshold)),"Review","OK")</f>
        <v>0</v>
      </c>
      <c r="M4991" t="s">
        <v>33</v>
      </c>
    </row>
    <row r="4992" spans="1:13">
      <c r="A4992" t="s">
        <v>7</v>
      </c>
      <c r="B4992" t="s">
        <v>966</v>
      </c>
      <c r="C4992" t="s">
        <v>3490</v>
      </c>
      <c r="D4992" t="s">
        <v>2938</v>
      </c>
      <c r="E4992" cm="1">
        <f t="array" ref="E4992">_xlfn.XLOOKUP(D4992,SKU_Master!A:A,SKU_Master!B:B,"Not on master")</f>
        <v>0</v>
      </c>
      <c r="F4992" cm="1">
        <f t="array" ref="F4992">_xlfn.XLOOKUP(C4992,Account_Master!A:A,Account_Master!B:B,"Not on master")</f>
        <v>0</v>
      </c>
      <c r="G4992" cm="1">
        <f t="array" ref="G4992">_xlfn.XLOOKUP(C4992,Account_Master!A:A,Account_Master!C:C,"Not on master")</f>
        <v>0</v>
      </c>
      <c r="H4992" s="6">
        <v>3</v>
      </c>
      <c r="I4992" s="6">
        <v>3</v>
      </c>
      <c r="J4992" s="6">
        <f>I4992-H4992</f>
        <v>0</v>
      </c>
      <c r="K4992" s="5">
        <f>IF(H4992=0,"",J4992/H4992)</f>
        <v>0</v>
      </c>
      <c r="L4992">
        <f>IF(OR(AND(H4992=0,ABS(J4992)&gt;=0.01),AND(H4992&lt;&gt;0,ABS(K4992)&gt;VarianceThreshold)),"Review","OK")</f>
        <v>0</v>
      </c>
      <c r="M4992" t="s">
        <v>33</v>
      </c>
    </row>
    <row r="4993" spans="1:13">
      <c r="A4993" t="s">
        <v>7</v>
      </c>
      <c r="B4993" t="s">
        <v>966</v>
      </c>
      <c r="C4993" t="s">
        <v>3356</v>
      </c>
      <c r="D4993" t="s">
        <v>2050</v>
      </c>
      <c r="E4993" cm="1">
        <f t="array" ref="E4993">_xlfn.XLOOKUP(D4993,SKU_Master!A:A,SKU_Master!B:B,"Not on master")</f>
        <v>0</v>
      </c>
      <c r="F4993" cm="1">
        <f t="array" ref="F4993">_xlfn.XLOOKUP(C4993,Account_Master!A:A,Account_Master!B:B,"Not on master")</f>
        <v>0</v>
      </c>
      <c r="G4993" cm="1">
        <f t="array" ref="G4993">_xlfn.XLOOKUP(C4993,Account_Master!A:A,Account_Master!C:C,"Not on master")</f>
        <v>0</v>
      </c>
      <c r="H4993" s="6">
        <v>28</v>
      </c>
      <c r="I4993" s="6">
        <v>28</v>
      </c>
      <c r="J4993" s="6">
        <f>I4993-H4993</f>
        <v>0</v>
      </c>
      <c r="K4993" s="5">
        <f>IF(H4993=0,"",J4993/H4993)</f>
        <v>0</v>
      </c>
      <c r="L4993">
        <f>IF(OR(AND(H4993=0,ABS(J4993)&gt;=0.01),AND(H4993&lt;&gt;0,ABS(K4993)&gt;VarianceThreshold)),"Review","OK")</f>
        <v>0</v>
      </c>
      <c r="M4993" t="s">
        <v>33</v>
      </c>
    </row>
    <row r="4994" spans="1:13">
      <c r="A4994" t="s">
        <v>7</v>
      </c>
      <c r="B4994" t="s">
        <v>980</v>
      </c>
      <c r="C4994" t="s">
        <v>3383</v>
      </c>
      <c r="D4994" t="s">
        <v>1104</v>
      </c>
      <c r="E4994" cm="1">
        <f t="array" ref="E4994">_xlfn.XLOOKUP(D4994,SKU_Master!A:A,SKU_Master!B:B,"Not on master")</f>
        <v>0</v>
      </c>
      <c r="F4994" cm="1">
        <f t="array" ref="F4994">_xlfn.XLOOKUP(C4994,Account_Master!A:A,Account_Master!B:B,"Not on master")</f>
        <v>0</v>
      </c>
      <c r="G4994" cm="1">
        <f t="array" ref="G4994">_xlfn.XLOOKUP(C4994,Account_Master!A:A,Account_Master!C:C,"Not on master")</f>
        <v>0</v>
      </c>
      <c r="H4994" s="6">
        <v>56</v>
      </c>
      <c r="I4994" s="6">
        <v>56</v>
      </c>
      <c r="J4994" s="6">
        <f>I4994-H4994</f>
        <v>0</v>
      </c>
      <c r="K4994" s="5">
        <f>IF(H4994=0,"",J4994/H4994)</f>
        <v>0</v>
      </c>
      <c r="L4994">
        <f>IF(OR(AND(H4994=0,ABS(J4994)&gt;=0.01),AND(H4994&lt;&gt;0,ABS(K4994)&gt;VarianceThreshold)),"Review","OK")</f>
        <v>0</v>
      </c>
      <c r="M4994" t="s">
        <v>33</v>
      </c>
    </row>
    <row r="4995" spans="1:13">
      <c r="A4995" t="s">
        <v>7</v>
      </c>
      <c r="B4995" t="s">
        <v>980</v>
      </c>
      <c r="C4995" t="s">
        <v>3446</v>
      </c>
      <c r="D4995" t="s">
        <v>2400</v>
      </c>
      <c r="E4995" cm="1">
        <f t="array" ref="E4995">_xlfn.XLOOKUP(D4995,SKU_Master!A:A,SKU_Master!B:B,"Not on master")</f>
        <v>0</v>
      </c>
      <c r="F4995" cm="1">
        <f t="array" ref="F4995">_xlfn.XLOOKUP(C4995,Account_Master!A:A,Account_Master!B:B,"Not on master")</f>
        <v>0</v>
      </c>
      <c r="G4995" cm="1">
        <f t="array" ref="G4995">_xlfn.XLOOKUP(C4995,Account_Master!A:A,Account_Master!C:C,"Not on master")</f>
        <v>0</v>
      </c>
      <c r="H4995" s="6">
        <v>241.5</v>
      </c>
      <c r="I4995" s="6">
        <v>241.5</v>
      </c>
      <c r="J4995" s="6">
        <f>I4995-H4995</f>
        <v>0</v>
      </c>
      <c r="K4995" s="5">
        <f>IF(H4995=0,"",J4995/H4995)</f>
        <v>0</v>
      </c>
      <c r="L4995">
        <f>IF(OR(AND(H4995=0,ABS(J4995)&gt;=0.01),AND(H4995&lt;&gt;0,ABS(K4995)&gt;VarianceThreshold)),"Review","OK")</f>
        <v>0</v>
      </c>
      <c r="M4995" t="s">
        <v>33</v>
      </c>
    </row>
    <row r="4996" spans="1:13">
      <c r="A4996" t="s">
        <v>7</v>
      </c>
      <c r="B4996" t="s">
        <v>980</v>
      </c>
      <c r="C4996" t="s">
        <v>3587</v>
      </c>
      <c r="D4996" t="s">
        <v>360</v>
      </c>
      <c r="E4996" cm="1">
        <f t="array" ref="E4996">_xlfn.XLOOKUP(D4996,SKU_Master!A:A,SKU_Master!B:B,"Not on master")</f>
        <v>0</v>
      </c>
      <c r="F4996" cm="1">
        <f t="array" ref="F4996">_xlfn.XLOOKUP(C4996,Account_Master!A:A,Account_Master!B:B,"Not on master")</f>
        <v>0</v>
      </c>
      <c r="G4996" cm="1">
        <f t="array" ref="G4996">_xlfn.XLOOKUP(C4996,Account_Master!A:A,Account_Master!C:C,"Not on master")</f>
        <v>0</v>
      </c>
      <c r="H4996" s="6">
        <v>-1</v>
      </c>
      <c r="I4996" s="6">
        <v>0</v>
      </c>
      <c r="J4996" s="6">
        <f>I4996-H4996</f>
        <v>0</v>
      </c>
      <c r="K4996" s="5">
        <f>IF(H4996=0,"",J4996/H4996)</f>
        <v>0</v>
      </c>
      <c r="L4996">
        <f>IF(OR(AND(H4996=0,ABS(J4996)&gt;=0.01),AND(H4996&lt;&gt;0,ABS(K4996)&gt;VarianceThreshold)),"Review","OK")</f>
        <v>0</v>
      </c>
      <c r="M4996" t="s">
        <v>471</v>
      </c>
    </row>
    <row r="4997" spans="1:13">
      <c r="A4997" t="s">
        <v>7</v>
      </c>
      <c r="B4997" t="s">
        <v>980</v>
      </c>
      <c r="C4997" t="s">
        <v>3369</v>
      </c>
      <c r="D4997" t="s">
        <v>1081</v>
      </c>
      <c r="E4997" cm="1">
        <f t="array" ref="E4997">_xlfn.XLOOKUP(D4997,SKU_Master!A:A,SKU_Master!B:B,"Not on master")</f>
        <v>0</v>
      </c>
      <c r="F4997" cm="1">
        <f t="array" ref="F4997">_xlfn.XLOOKUP(C4997,Account_Master!A:A,Account_Master!B:B,"Not on master")</f>
        <v>0</v>
      </c>
      <c r="G4997" cm="1">
        <f t="array" ref="G4997">_xlfn.XLOOKUP(C4997,Account_Master!A:A,Account_Master!C:C,"Not on master")</f>
        <v>0</v>
      </c>
      <c r="H4997" s="6">
        <v>54.75</v>
      </c>
      <c r="I4997" s="6">
        <v>54.75</v>
      </c>
      <c r="J4997" s="6">
        <f>I4997-H4997</f>
        <v>0</v>
      </c>
      <c r="K4997" s="5">
        <f>IF(H4997=0,"",J4997/H4997)</f>
        <v>0</v>
      </c>
      <c r="L4997">
        <f>IF(OR(AND(H4997=0,ABS(J4997)&gt;=0.01),AND(H4997&lt;&gt;0,ABS(K4997)&gt;VarianceThreshold)),"Review","OK")</f>
        <v>0</v>
      </c>
      <c r="M4997" t="s">
        <v>33</v>
      </c>
    </row>
    <row r="4998" spans="1:13">
      <c r="A4998" t="s">
        <v>7</v>
      </c>
      <c r="B4998" t="s">
        <v>980</v>
      </c>
      <c r="C4998" t="s">
        <v>33</v>
      </c>
      <c r="D4998" t="s">
        <v>3661</v>
      </c>
      <c r="E4998" cm="1">
        <f t="array" ref="E4998">_xlfn.XLOOKUP(D4998,SKU_Master!A:A,SKU_Master!B:B,"Not on master")</f>
        <v>0</v>
      </c>
      <c r="F4998" cm="1">
        <f t="array" ref="F4998">_xlfn.XLOOKUP(C4998,Account_Master!A:A,Account_Master!B:B,"Not on master")</f>
        <v>0</v>
      </c>
      <c r="G4998" cm="1">
        <f t="array" ref="G4998">_xlfn.XLOOKUP(C4998,Account_Master!A:A,Account_Master!C:C,"Not on master")</f>
        <v>0</v>
      </c>
      <c r="H4998" s="6">
        <v>0</v>
      </c>
      <c r="I4998" s="6">
        <v>1</v>
      </c>
      <c r="J4998" s="6">
        <f>I4998-H4998</f>
        <v>0</v>
      </c>
      <c r="K4998" s="5">
        <f>IF(H4998=0,"",J4998/H4998)</f>
        <v>0</v>
      </c>
      <c r="L4998">
        <f>IF(OR(AND(H4998=0,ABS(J4998)&gt;=0.01),AND(H4998&lt;&gt;0,ABS(K4998)&gt;VarianceThreshold)),"Review","OK")</f>
        <v>0</v>
      </c>
      <c r="M4998" t="s">
        <v>3038</v>
      </c>
    </row>
    <row r="4999" spans="1:13">
      <c r="A4999" t="s">
        <v>7</v>
      </c>
      <c r="B4999" t="s">
        <v>992</v>
      </c>
      <c r="C4999" t="s">
        <v>3400</v>
      </c>
      <c r="D4999" t="s">
        <v>1084</v>
      </c>
      <c r="E4999" cm="1">
        <f t="array" ref="E4999">_xlfn.XLOOKUP(D4999,SKU_Master!A:A,SKU_Master!B:B,"Not on master")</f>
        <v>0</v>
      </c>
      <c r="F4999" cm="1">
        <f t="array" ref="F4999">_xlfn.XLOOKUP(C4999,Account_Master!A:A,Account_Master!B:B,"Not on master")</f>
        <v>0</v>
      </c>
      <c r="G4999" cm="1">
        <f t="array" ref="G4999">_xlfn.XLOOKUP(C4999,Account_Master!A:A,Account_Master!C:C,"Not on master")</f>
        <v>0</v>
      </c>
      <c r="H4999" s="6">
        <v>4.5</v>
      </c>
      <c r="I4999" s="6">
        <v>4.5</v>
      </c>
      <c r="J4999" s="6">
        <f>I4999-H4999</f>
        <v>0</v>
      </c>
      <c r="K4999" s="5">
        <f>IF(H4999=0,"",J4999/H4999)</f>
        <v>0</v>
      </c>
      <c r="L4999">
        <f>IF(OR(AND(H4999=0,ABS(J4999)&gt;=0.01),AND(H4999&lt;&gt;0,ABS(K4999)&gt;VarianceThreshold)),"Review","OK")</f>
        <v>0</v>
      </c>
      <c r="M4999" t="s">
        <v>33</v>
      </c>
    </row>
    <row r="5000" spans="1:13">
      <c r="A5000" t="s">
        <v>7</v>
      </c>
      <c r="B5000" t="s">
        <v>992</v>
      </c>
      <c r="C5000" t="s">
        <v>3369</v>
      </c>
      <c r="D5000" t="s">
        <v>3662</v>
      </c>
      <c r="E5000" cm="1">
        <f t="array" ref="E5000">_xlfn.XLOOKUP(D5000,SKU_Master!A:A,SKU_Master!B:B,"Not on master")</f>
        <v>0</v>
      </c>
      <c r="F5000" cm="1">
        <f t="array" ref="F5000">_xlfn.XLOOKUP(C5000,Account_Master!A:A,Account_Master!B:B,"Not on master")</f>
        <v>0</v>
      </c>
      <c r="G5000" cm="1">
        <f t="array" ref="G5000">_xlfn.XLOOKUP(C5000,Account_Master!A:A,Account_Master!C:C,"Not on master")</f>
        <v>0</v>
      </c>
      <c r="H5000" s="6">
        <v>9</v>
      </c>
      <c r="I5000" s="6">
        <v>9</v>
      </c>
      <c r="J5000" s="6">
        <f>I5000-H5000</f>
        <v>0</v>
      </c>
      <c r="K5000" s="5">
        <f>IF(H5000=0,"",J5000/H5000)</f>
        <v>0</v>
      </c>
      <c r="L5000">
        <f>IF(OR(AND(H5000=0,ABS(J5000)&gt;=0.01),AND(H5000&lt;&gt;0,ABS(K5000)&gt;VarianceThreshold)),"Review","OK")</f>
        <v>0</v>
      </c>
      <c r="M5000" t="s">
        <v>33</v>
      </c>
    </row>
    <row r="5001" spans="1:13">
      <c r="A5001" t="s">
        <v>7</v>
      </c>
      <c r="B5001" t="s">
        <v>992</v>
      </c>
      <c r="C5001" t="s">
        <v>3414</v>
      </c>
      <c r="D5001" t="s">
        <v>2774</v>
      </c>
      <c r="E5001" cm="1">
        <f t="array" ref="E5001">_xlfn.XLOOKUP(D5001,SKU_Master!A:A,SKU_Master!B:B,"Not on master")</f>
        <v>0</v>
      </c>
      <c r="F5001" cm="1">
        <f t="array" ref="F5001">_xlfn.XLOOKUP(C5001,Account_Master!A:A,Account_Master!B:B,"Not on master")</f>
        <v>0</v>
      </c>
      <c r="G5001" cm="1">
        <f t="array" ref="G5001">_xlfn.XLOOKUP(C5001,Account_Master!A:A,Account_Master!C:C,"Not on master")</f>
        <v>0</v>
      </c>
      <c r="H5001" s="6">
        <v>9</v>
      </c>
      <c r="I5001" s="6">
        <v>9</v>
      </c>
      <c r="J5001" s="6">
        <f>I5001-H5001</f>
        <v>0</v>
      </c>
      <c r="K5001" s="5">
        <f>IF(H5001=0,"",J5001/H5001)</f>
        <v>0</v>
      </c>
      <c r="L5001">
        <f>IF(OR(AND(H5001=0,ABS(J5001)&gt;=0.01),AND(H5001&lt;&gt;0,ABS(K5001)&gt;VarianceThreshold)),"Review","OK")</f>
        <v>0</v>
      </c>
      <c r="M5001" t="s">
        <v>33</v>
      </c>
    </row>
  </sheetData>
  <autoFilter ref="A1:M50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841"/>
  <sheetViews>
    <sheetView workbookViewId="0">
      <pane ySplit="1" topLeftCell="A2" activePane="bottomLeft" state="frozen"/>
      <selection pane="bottomLeft"/>
    </sheetView>
  </sheetViews>
  <sheetFormatPr defaultRowHeight="15"/>
  <cols>
    <col min="1" max="2" width="16.7109375" customWidth="1"/>
    <col min="3" max="6" width="18.7109375" customWidth="1"/>
  </cols>
  <sheetData>
    <row r="1" spans="1:6">
      <c r="A1" t="s">
        <v>17</v>
      </c>
      <c r="B1" t="s">
        <v>18</v>
      </c>
      <c r="C1" t="s">
        <v>24</v>
      </c>
      <c r="D1" t="s">
        <v>25</v>
      </c>
      <c r="E1" t="s">
        <v>26</v>
      </c>
      <c r="F1" t="s">
        <v>27</v>
      </c>
    </row>
    <row r="2" spans="1:6">
      <c r="A2" t="s">
        <v>0</v>
      </c>
      <c r="B2" t="s">
        <v>30</v>
      </c>
      <c r="C2" s="6">
        <v>81668.09</v>
      </c>
      <c r="D2" s="6">
        <v>81686.09</v>
      </c>
      <c r="E2" s="6">
        <f>D2-C2</f>
        <v>0</v>
      </c>
      <c r="F2" s="5">
        <f>IF(C2=0,"",E2/C2)</f>
        <v>0</v>
      </c>
    </row>
    <row r="3" spans="1:6">
      <c r="A3" t="s">
        <v>0</v>
      </c>
      <c r="B3" t="s">
        <v>47</v>
      </c>
      <c r="C3" s="6">
        <v>90398.39</v>
      </c>
      <c r="D3" s="6">
        <v>90414.59</v>
      </c>
      <c r="E3" s="6">
        <f>D3-C3</f>
        <v>0</v>
      </c>
      <c r="F3" s="5">
        <f>IF(C3=0,"",E3/C3)</f>
        <v>0</v>
      </c>
    </row>
    <row r="4" spans="1:6">
      <c r="A4" t="s">
        <v>0</v>
      </c>
      <c r="B4" t="s">
        <v>62</v>
      </c>
      <c r="C4" s="6">
        <v>83173.23</v>
      </c>
      <c r="D4" s="6">
        <v>83174.78</v>
      </c>
      <c r="E4" s="6">
        <f>D4-C4</f>
        <v>0</v>
      </c>
      <c r="F4" s="5">
        <f>IF(C4=0,"",E4/C4)</f>
        <v>0</v>
      </c>
    </row>
    <row r="5" spans="1:6">
      <c r="A5" t="s">
        <v>0</v>
      </c>
      <c r="B5" t="s">
        <v>71</v>
      </c>
      <c r="C5" s="6">
        <v>86031.78999999999</v>
      </c>
      <c r="D5" s="6">
        <v>86032.59</v>
      </c>
      <c r="E5" s="6">
        <f>D5-C5</f>
        <v>0</v>
      </c>
      <c r="F5" s="5">
        <f>IF(C5=0,"",E5/C5)</f>
        <v>0</v>
      </c>
    </row>
    <row r="6" spans="1:6">
      <c r="A6" t="s">
        <v>0</v>
      </c>
      <c r="B6" t="s">
        <v>86</v>
      </c>
      <c r="C6" s="6">
        <v>87402.99000000001</v>
      </c>
      <c r="D6" s="6">
        <v>87412.46000000001</v>
      </c>
      <c r="E6" s="6">
        <f>D6-C6</f>
        <v>0</v>
      </c>
      <c r="F6" s="5">
        <f>IF(C6=0,"",E6/C6)</f>
        <v>0</v>
      </c>
    </row>
    <row r="7" spans="1:6">
      <c r="A7" t="s">
        <v>0</v>
      </c>
      <c r="B7" t="s">
        <v>97</v>
      </c>
      <c r="C7" s="6">
        <v>116111.4</v>
      </c>
      <c r="D7" s="6">
        <v>116111.4</v>
      </c>
      <c r="E7" s="6">
        <f>D7-C7</f>
        <v>0</v>
      </c>
      <c r="F7" s="5">
        <f>IF(C7=0,"",E7/C7)</f>
        <v>0</v>
      </c>
    </row>
    <row r="8" spans="1:6">
      <c r="A8" t="s">
        <v>0</v>
      </c>
      <c r="B8" t="s">
        <v>103</v>
      </c>
      <c r="C8" s="6">
        <v>85431.25999999999</v>
      </c>
      <c r="D8" s="6">
        <v>85437.75999999999</v>
      </c>
      <c r="E8" s="6">
        <f>D8-C8</f>
        <v>0</v>
      </c>
      <c r="F8" s="5">
        <f>IF(C8=0,"",E8/C8)</f>
        <v>0</v>
      </c>
    </row>
    <row r="9" spans="1:6">
      <c r="A9" t="s">
        <v>0</v>
      </c>
      <c r="B9" t="s">
        <v>121</v>
      </c>
      <c r="C9" s="6">
        <v>94040.56</v>
      </c>
      <c r="D9" s="6">
        <v>94050.50999999999</v>
      </c>
      <c r="E9" s="6">
        <f>D9-C9</f>
        <v>0</v>
      </c>
      <c r="F9" s="5">
        <f>IF(C9=0,"",E9/C9)</f>
        <v>0</v>
      </c>
    </row>
    <row r="10" spans="1:6">
      <c r="A10" t="s">
        <v>0</v>
      </c>
      <c r="B10" t="s">
        <v>134</v>
      </c>
      <c r="C10" s="6">
        <v>94574.52</v>
      </c>
      <c r="D10" s="6">
        <v>94574.52</v>
      </c>
      <c r="E10" s="6">
        <f>D10-C10</f>
        <v>0</v>
      </c>
      <c r="F10" s="5">
        <f>IF(C10=0,"",E10/C10)</f>
        <v>0</v>
      </c>
    </row>
    <row r="11" spans="1:6">
      <c r="A11" t="s">
        <v>0</v>
      </c>
      <c r="B11" t="s">
        <v>143</v>
      </c>
      <c r="C11" s="6">
        <v>113708.63</v>
      </c>
      <c r="D11" s="6">
        <v>113721.03</v>
      </c>
      <c r="E11" s="6">
        <f>D11-C11</f>
        <v>0</v>
      </c>
      <c r="F11" s="5">
        <f>IF(C11=0,"",E11/C11)</f>
        <v>0</v>
      </c>
    </row>
    <row r="12" spans="1:6">
      <c r="A12" t="s">
        <v>0</v>
      </c>
      <c r="B12" t="s">
        <v>154</v>
      </c>
      <c r="C12" s="6">
        <v>81697.73</v>
      </c>
      <c r="D12" s="6">
        <v>81697.73</v>
      </c>
      <c r="E12" s="6">
        <f>D12-C12</f>
        <v>0</v>
      </c>
      <c r="F12" s="5">
        <f>IF(C12=0,"",E12/C12)</f>
        <v>0</v>
      </c>
    </row>
    <row r="13" spans="1:6">
      <c r="A13" t="s">
        <v>0</v>
      </c>
      <c r="B13" t="s">
        <v>160</v>
      </c>
      <c r="C13" s="6">
        <v>88319.85000000001</v>
      </c>
      <c r="D13" s="6">
        <v>88336.35000000001</v>
      </c>
      <c r="E13" s="6">
        <f>D13-C13</f>
        <v>0</v>
      </c>
      <c r="F13" s="5">
        <f>IF(C13=0,"",E13/C13)</f>
        <v>0</v>
      </c>
    </row>
    <row r="14" spans="1:6">
      <c r="A14" t="s">
        <v>0</v>
      </c>
      <c r="B14" t="s">
        <v>170</v>
      </c>
      <c r="C14" s="6">
        <v>102133</v>
      </c>
      <c r="D14" s="6">
        <v>102140</v>
      </c>
      <c r="E14" s="6">
        <f>D14-C14</f>
        <v>0</v>
      </c>
      <c r="F14" s="5">
        <f>IF(C14=0,"",E14/C14)</f>
        <v>0</v>
      </c>
    </row>
    <row r="15" spans="1:6">
      <c r="A15" t="s">
        <v>0</v>
      </c>
      <c r="B15" t="s">
        <v>180</v>
      </c>
      <c r="C15" s="6">
        <v>106923.96</v>
      </c>
      <c r="D15" s="6">
        <v>106934.46</v>
      </c>
      <c r="E15" s="6">
        <f>D15-C15</f>
        <v>0</v>
      </c>
      <c r="F15" s="5">
        <f>IF(C15=0,"",E15/C15)</f>
        <v>0</v>
      </c>
    </row>
    <row r="16" spans="1:6">
      <c r="A16" t="s">
        <v>0</v>
      </c>
      <c r="B16" t="s">
        <v>193</v>
      </c>
      <c r="C16" s="6">
        <v>97394.17</v>
      </c>
      <c r="D16" s="6">
        <v>97405.67</v>
      </c>
      <c r="E16" s="6">
        <f>D16-C16</f>
        <v>0</v>
      </c>
      <c r="F16" s="5">
        <f>IF(C16=0,"",E16/C16)</f>
        <v>0</v>
      </c>
    </row>
    <row r="17" spans="1:6">
      <c r="A17" t="s">
        <v>0</v>
      </c>
      <c r="B17" t="s">
        <v>205</v>
      </c>
      <c r="C17" s="6">
        <v>79911.03999999999</v>
      </c>
      <c r="D17" s="6">
        <v>79924.50999999999</v>
      </c>
      <c r="E17" s="6">
        <f>D17-C17</f>
        <v>0</v>
      </c>
      <c r="F17" s="5">
        <f>IF(C17=0,"",E17/C17)</f>
        <v>0</v>
      </c>
    </row>
    <row r="18" spans="1:6">
      <c r="A18" t="s">
        <v>0</v>
      </c>
      <c r="B18" t="s">
        <v>216</v>
      </c>
      <c r="C18" s="6">
        <v>115411.52</v>
      </c>
      <c r="D18" s="6">
        <v>115426.52</v>
      </c>
      <c r="E18" s="6">
        <f>D18-C18</f>
        <v>0</v>
      </c>
      <c r="F18" s="5">
        <f>IF(C18=0,"",E18/C18)</f>
        <v>0</v>
      </c>
    </row>
    <row r="19" spans="1:6">
      <c r="A19" t="s">
        <v>0</v>
      </c>
      <c r="B19" t="s">
        <v>226</v>
      </c>
      <c r="C19" s="6">
        <v>127811.52</v>
      </c>
      <c r="D19" s="6">
        <v>127814.14</v>
      </c>
      <c r="E19" s="6">
        <f>D19-C19</f>
        <v>0</v>
      </c>
      <c r="F19" s="5">
        <f>IF(C19=0,"",E19/C19)</f>
        <v>0</v>
      </c>
    </row>
    <row r="20" spans="1:6">
      <c r="A20" t="s">
        <v>0</v>
      </c>
      <c r="B20" t="s">
        <v>231</v>
      </c>
      <c r="C20" s="6">
        <v>92687.17999999999</v>
      </c>
      <c r="D20" s="6">
        <v>92704.73</v>
      </c>
      <c r="E20" s="6">
        <f>D20-C20</f>
        <v>0</v>
      </c>
      <c r="F20" s="5">
        <f>IF(C20=0,"",E20/C20)</f>
        <v>0</v>
      </c>
    </row>
    <row r="21" spans="1:6">
      <c r="A21" t="s">
        <v>0</v>
      </c>
      <c r="B21" t="s">
        <v>238</v>
      </c>
      <c r="C21" s="6">
        <v>87406.63</v>
      </c>
      <c r="D21" s="6">
        <v>87411.23</v>
      </c>
      <c r="E21" s="6">
        <f>D21-C21</f>
        <v>0</v>
      </c>
      <c r="F21" s="5">
        <f>IF(C21=0,"",E21/C21)</f>
        <v>0</v>
      </c>
    </row>
    <row r="22" spans="1:6">
      <c r="A22" t="s">
        <v>0</v>
      </c>
      <c r="B22" t="s">
        <v>251</v>
      </c>
      <c r="C22" s="6">
        <v>110398.83</v>
      </c>
      <c r="D22" s="6">
        <v>110398.83</v>
      </c>
      <c r="E22" s="6">
        <f>D22-C22</f>
        <v>0</v>
      </c>
      <c r="F22" s="5">
        <f>IF(C22=0,"",E22/C22)</f>
        <v>0</v>
      </c>
    </row>
    <row r="23" spans="1:6">
      <c r="A23" t="s">
        <v>0</v>
      </c>
      <c r="B23" t="s">
        <v>254</v>
      </c>
      <c r="C23" s="6">
        <v>91538.44</v>
      </c>
      <c r="D23" s="6">
        <v>91554.84</v>
      </c>
      <c r="E23" s="6">
        <f>D23-C23</f>
        <v>0</v>
      </c>
      <c r="F23" s="5">
        <f>IF(C23=0,"",E23/C23)</f>
        <v>0</v>
      </c>
    </row>
    <row r="24" spans="1:6">
      <c r="A24" t="s">
        <v>0</v>
      </c>
      <c r="B24" t="s">
        <v>264</v>
      </c>
      <c r="C24" s="6">
        <v>120249.51</v>
      </c>
      <c r="D24" s="6">
        <v>120318.51</v>
      </c>
      <c r="E24" s="6">
        <f>D24-C24</f>
        <v>0</v>
      </c>
      <c r="F24" s="5">
        <f>IF(C24=0,"",E24/C24)</f>
        <v>0</v>
      </c>
    </row>
    <row r="25" spans="1:6">
      <c r="A25" t="s">
        <v>0</v>
      </c>
      <c r="B25" t="s">
        <v>273</v>
      </c>
      <c r="C25" s="6">
        <v>98068.69</v>
      </c>
      <c r="D25" s="6">
        <v>98186.61</v>
      </c>
      <c r="E25" s="6">
        <f>D25-C25</f>
        <v>0</v>
      </c>
      <c r="F25" s="5">
        <f>IF(C25=0,"",E25/C25)</f>
        <v>0</v>
      </c>
    </row>
    <row r="26" spans="1:6">
      <c r="A26" t="s">
        <v>0</v>
      </c>
      <c r="B26" t="s">
        <v>284</v>
      </c>
      <c r="C26" s="6">
        <v>104903.75</v>
      </c>
      <c r="D26" s="6">
        <v>104923.45</v>
      </c>
      <c r="E26" s="6">
        <f>D26-C26</f>
        <v>0</v>
      </c>
      <c r="F26" s="5">
        <f>IF(C26=0,"",E26/C26)</f>
        <v>0</v>
      </c>
    </row>
    <row r="27" spans="1:6">
      <c r="A27" t="s">
        <v>0</v>
      </c>
      <c r="B27" t="s">
        <v>289</v>
      </c>
      <c r="C27" s="6">
        <v>113589.46</v>
      </c>
      <c r="D27" s="6">
        <v>113693.09</v>
      </c>
      <c r="E27" s="6">
        <f>D27-C27</f>
        <v>0</v>
      </c>
      <c r="F27" s="5">
        <f>IF(C27=0,"",E27/C27)</f>
        <v>0</v>
      </c>
    </row>
    <row r="28" spans="1:6">
      <c r="A28" t="s">
        <v>0</v>
      </c>
      <c r="B28" t="s">
        <v>299</v>
      </c>
      <c r="C28" s="6">
        <v>94810.19</v>
      </c>
      <c r="D28" s="6">
        <v>94824.44</v>
      </c>
      <c r="E28" s="6">
        <f>D28-C28</f>
        <v>0</v>
      </c>
      <c r="F28" s="5">
        <f>IF(C28=0,"",E28/C28)</f>
        <v>0</v>
      </c>
    </row>
    <row r="29" spans="1:6">
      <c r="A29" t="s">
        <v>0</v>
      </c>
      <c r="B29" t="s">
        <v>306</v>
      </c>
      <c r="C29" s="6">
        <v>88097.3</v>
      </c>
      <c r="D29" s="6">
        <v>88413.25</v>
      </c>
      <c r="E29" s="6">
        <f>D29-C29</f>
        <v>0</v>
      </c>
      <c r="F29" s="5">
        <f>IF(C29=0,"",E29/C29)</f>
        <v>0</v>
      </c>
    </row>
    <row r="30" spans="1:6">
      <c r="A30" t="s">
        <v>0</v>
      </c>
      <c r="B30" t="s">
        <v>313</v>
      </c>
      <c r="C30" s="6">
        <v>102737.85</v>
      </c>
      <c r="D30" s="6">
        <v>102756.85</v>
      </c>
      <c r="E30" s="6">
        <f>D30-C30</f>
        <v>0</v>
      </c>
      <c r="F30" s="5">
        <f>IF(C30=0,"",E30/C30)</f>
        <v>0</v>
      </c>
    </row>
    <row r="31" spans="1:6">
      <c r="A31" t="s">
        <v>0</v>
      </c>
      <c r="B31" t="s">
        <v>324</v>
      </c>
      <c r="C31" s="6">
        <v>112413.77</v>
      </c>
      <c r="D31" s="6">
        <v>112430.64</v>
      </c>
      <c r="E31" s="6">
        <f>D31-C31</f>
        <v>0</v>
      </c>
      <c r="F31" s="5">
        <f>IF(C31=0,"",E31/C31)</f>
        <v>0</v>
      </c>
    </row>
    <row r="32" spans="1:6">
      <c r="A32" t="s">
        <v>0</v>
      </c>
      <c r="B32" t="s">
        <v>331</v>
      </c>
      <c r="C32" s="6">
        <v>112358.03</v>
      </c>
      <c r="D32" s="6">
        <v>112377.38</v>
      </c>
      <c r="E32" s="6">
        <f>D32-C32</f>
        <v>0</v>
      </c>
      <c r="F32" s="5">
        <f>IF(C32=0,"",E32/C32)</f>
        <v>0</v>
      </c>
    </row>
    <row r="33" spans="1:6">
      <c r="A33" t="s">
        <v>0</v>
      </c>
      <c r="B33" t="s">
        <v>335</v>
      </c>
      <c r="C33" s="6">
        <v>86631.67</v>
      </c>
      <c r="D33" s="6">
        <v>86663.22</v>
      </c>
      <c r="E33" s="6">
        <f>D33-C33</f>
        <v>0</v>
      </c>
      <c r="F33" s="5">
        <f>IF(C33=0,"",E33/C33)</f>
        <v>0</v>
      </c>
    </row>
    <row r="34" spans="1:6">
      <c r="A34" t="s">
        <v>0</v>
      </c>
      <c r="B34" t="s">
        <v>345</v>
      </c>
      <c r="C34" s="6">
        <v>85181.33</v>
      </c>
      <c r="D34" s="6">
        <v>85207.42999999999</v>
      </c>
      <c r="E34" s="6">
        <f>D34-C34</f>
        <v>0</v>
      </c>
      <c r="F34" s="5">
        <f>IF(C34=0,"",E34/C34)</f>
        <v>0</v>
      </c>
    </row>
    <row r="35" spans="1:6">
      <c r="A35" t="s">
        <v>0</v>
      </c>
      <c r="B35" t="s">
        <v>357</v>
      </c>
      <c r="C35" s="6">
        <v>95190.27</v>
      </c>
      <c r="D35" s="6">
        <v>95245.25</v>
      </c>
      <c r="E35" s="6">
        <f>D35-C35</f>
        <v>0</v>
      </c>
      <c r="F35" s="5">
        <f>IF(C35=0,"",E35/C35)</f>
        <v>0</v>
      </c>
    </row>
    <row r="36" spans="1:6">
      <c r="A36" t="s">
        <v>0</v>
      </c>
      <c r="B36" t="s">
        <v>364</v>
      </c>
      <c r="C36" s="6">
        <v>104011.18</v>
      </c>
      <c r="D36" s="6">
        <v>104012.72</v>
      </c>
      <c r="E36" s="6">
        <f>D36-C36</f>
        <v>0</v>
      </c>
      <c r="F36" s="5">
        <f>IF(C36=0,"",E36/C36)</f>
        <v>0</v>
      </c>
    </row>
    <row r="37" spans="1:6">
      <c r="A37" t="s">
        <v>0</v>
      </c>
      <c r="B37" t="s">
        <v>371</v>
      </c>
      <c r="C37" s="6">
        <v>103650.04</v>
      </c>
      <c r="D37" s="6">
        <v>103659.04</v>
      </c>
      <c r="E37" s="6">
        <f>D37-C37</f>
        <v>0</v>
      </c>
      <c r="F37" s="5">
        <f>IF(C37=0,"",E37/C37)</f>
        <v>0</v>
      </c>
    </row>
    <row r="38" spans="1:6">
      <c r="A38" t="s">
        <v>0</v>
      </c>
      <c r="B38" t="s">
        <v>379</v>
      </c>
      <c r="C38" s="6">
        <v>107210.55</v>
      </c>
      <c r="D38" s="6">
        <v>107234.55</v>
      </c>
      <c r="E38" s="6">
        <f>D38-C38</f>
        <v>0</v>
      </c>
      <c r="F38" s="5">
        <f>IF(C38=0,"",E38/C38)</f>
        <v>0</v>
      </c>
    </row>
    <row r="39" spans="1:6">
      <c r="A39" t="s">
        <v>0</v>
      </c>
      <c r="B39" t="s">
        <v>392</v>
      </c>
      <c r="C39" s="6">
        <v>83281.37</v>
      </c>
      <c r="D39" s="6">
        <v>83312.92</v>
      </c>
      <c r="E39" s="6">
        <f>D39-C39</f>
        <v>0</v>
      </c>
      <c r="F39" s="5">
        <f>IF(C39=0,"",E39/C39)</f>
        <v>0</v>
      </c>
    </row>
    <row r="40" spans="1:6">
      <c r="A40" t="s">
        <v>0</v>
      </c>
      <c r="B40" t="s">
        <v>402</v>
      </c>
      <c r="C40" s="6">
        <v>95142.00999999999</v>
      </c>
      <c r="D40" s="6">
        <v>95155.03</v>
      </c>
      <c r="E40" s="6">
        <f>D40-C40</f>
        <v>0</v>
      </c>
      <c r="F40" s="5">
        <f>IF(C40=0,"",E40/C40)</f>
        <v>0</v>
      </c>
    </row>
    <row r="41" spans="1:6">
      <c r="A41" t="s">
        <v>0</v>
      </c>
      <c r="B41" t="s">
        <v>410</v>
      </c>
      <c r="C41" s="6">
        <v>120840.11</v>
      </c>
      <c r="D41" s="6">
        <v>120862.66</v>
      </c>
      <c r="E41" s="6">
        <f>D41-C41</f>
        <v>0</v>
      </c>
      <c r="F41" s="5">
        <f>IF(C41=0,"",E41/C41)</f>
        <v>0</v>
      </c>
    </row>
    <row r="42" spans="1:6">
      <c r="A42" t="s">
        <v>0</v>
      </c>
      <c r="B42" t="s">
        <v>416</v>
      </c>
      <c r="C42" s="6">
        <v>137072.21</v>
      </c>
      <c r="D42" s="6">
        <v>137114.06</v>
      </c>
      <c r="E42" s="6">
        <f>D42-C42</f>
        <v>0</v>
      </c>
      <c r="F42" s="5">
        <f>IF(C42=0,"",E42/C42)</f>
        <v>0</v>
      </c>
    </row>
    <row r="43" spans="1:6">
      <c r="A43" t="s">
        <v>0</v>
      </c>
      <c r="B43" t="s">
        <v>428</v>
      </c>
      <c r="C43" s="6">
        <v>98818.67</v>
      </c>
      <c r="D43" s="6">
        <v>98831.53999999999</v>
      </c>
      <c r="E43" s="6">
        <f>D43-C43</f>
        <v>0</v>
      </c>
      <c r="F43" s="5">
        <f>IF(C43=0,"",E43/C43)</f>
        <v>0</v>
      </c>
    </row>
    <row r="44" spans="1:6">
      <c r="A44" t="s">
        <v>0</v>
      </c>
      <c r="B44" t="s">
        <v>436</v>
      </c>
      <c r="C44" s="6">
        <v>77562.33</v>
      </c>
      <c r="D44" s="6">
        <v>77595.32000000001</v>
      </c>
      <c r="E44" s="6">
        <f>D44-C44</f>
        <v>0</v>
      </c>
      <c r="F44" s="5">
        <f>IF(C44=0,"",E44/C44)</f>
        <v>0</v>
      </c>
    </row>
    <row r="45" spans="1:6">
      <c r="A45" t="s">
        <v>0</v>
      </c>
      <c r="B45" t="s">
        <v>447</v>
      </c>
      <c r="C45" s="6">
        <v>108732.89</v>
      </c>
      <c r="D45" s="6">
        <v>108741.89</v>
      </c>
      <c r="E45" s="6">
        <f>D45-C45</f>
        <v>0</v>
      </c>
      <c r="F45" s="5">
        <f>IF(C45=0,"",E45/C45)</f>
        <v>0</v>
      </c>
    </row>
    <row r="46" spans="1:6">
      <c r="A46" t="s">
        <v>0</v>
      </c>
      <c r="B46" t="s">
        <v>1278</v>
      </c>
      <c r="C46" s="6">
        <v>106064.06</v>
      </c>
      <c r="D46" s="6">
        <v>106070.93</v>
      </c>
      <c r="E46" s="6">
        <f>D46-C46</f>
        <v>0</v>
      </c>
      <c r="F46" s="5">
        <f>IF(C46=0,"",E46/C46)</f>
        <v>0</v>
      </c>
    </row>
    <row r="47" spans="1:6">
      <c r="A47" t="s">
        <v>0</v>
      </c>
      <c r="B47" t="s">
        <v>451</v>
      </c>
      <c r="C47" s="6">
        <v>106173.47</v>
      </c>
      <c r="D47" s="6">
        <v>106197.32</v>
      </c>
      <c r="E47" s="6">
        <f>D47-C47</f>
        <v>0</v>
      </c>
      <c r="F47" s="5">
        <f>IF(C47=0,"",E47/C47)</f>
        <v>0</v>
      </c>
    </row>
    <row r="48" spans="1:6">
      <c r="A48" t="s">
        <v>0</v>
      </c>
      <c r="B48" t="s">
        <v>464</v>
      </c>
      <c r="C48" s="6">
        <v>82201.62</v>
      </c>
      <c r="D48" s="6">
        <v>82201.67</v>
      </c>
      <c r="E48" s="6">
        <f>D48-C48</f>
        <v>0</v>
      </c>
      <c r="F48" s="5">
        <f>IF(C48=0,"",E48/C48)</f>
        <v>0</v>
      </c>
    </row>
    <row r="49" spans="1:6">
      <c r="A49" t="s">
        <v>0</v>
      </c>
      <c r="B49" t="s">
        <v>478</v>
      </c>
      <c r="C49" s="6">
        <v>100830.51</v>
      </c>
      <c r="D49" s="6">
        <v>100887.91</v>
      </c>
      <c r="E49" s="6">
        <f>D49-C49</f>
        <v>0</v>
      </c>
      <c r="F49" s="5">
        <f>IF(C49=0,"",E49/C49)</f>
        <v>0</v>
      </c>
    </row>
    <row r="50" spans="1:6">
      <c r="A50" t="s">
        <v>0</v>
      </c>
      <c r="B50" t="s">
        <v>492</v>
      </c>
      <c r="C50" s="6">
        <v>117542.73</v>
      </c>
      <c r="D50" s="6">
        <v>117569.95</v>
      </c>
      <c r="E50" s="6">
        <f>D50-C50</f>
        <v>0</v>
      </c>
      <c r="F50" s="5">
        <f>IF(C50=0,"",E50/C50)</f>
        <v>0</v>
      </c>
    </row>
    <row r="51" spans="1:6">
      <c r="A51" t="s">
        <v>0</v>
      </c>
      <c r="B51" t="s">
        <v>501</v>
      </c>
      <c r="C51" s="6">
        <v>93448.53</v>
      </c>
      <c r="D51" s="6">
        <v>93542.2</v>
      </c>
      <c r="E51" s="6">
        <f>D51-C51</f>
        <v>0</v>
      </c>
      <c r="F51" s="5">
        <f>IF(C51=0,"",E51/C51)</f>
        <v>0</v>
      </c>
    </row>
    <row r="52" spans="1:6">
      <c r="A52" t="s">
        <v>0</v>
      </c>
      <c r="B52" t="s">
        <v>511</v>
      </c>
      <c r="C52" s="6">
        <v>102403.19</v>
      </c>
      <c r="D52" s="6">
        <v>102413.84</v>
      </c>
      <c r="E52" s="6">
        <f>D52-C52</f>
        <v>0</v>
      </c>
      <c r="F52" s="5">
        <f>IF(C52=0,"",E52/C52)</f>
        <v>0</v>
      </c>
    </row>
    <row r="53" spans="1:6">
      <c r="A53" t="s">
        <v>0</v>
      </c>
      <c r="B53" t="s">
        <v>523</v>
      </c>
      <c r="C53" s="6">
        <v>89568.28</v>
      </c>
      <c r="D53" s="6">
        <v>89583.64999999999</v>
      </c>
      <c r="E53" s="6">
        <f>D53-C53</f>
        <v>0</v>
      </c>
      <c r="F53" s="5">
        <f>IF(C53=0,"",E53/C53)</f>
        <v>0</v>
      </c>
    </row>
    <row r="54" spans="1:6">
      <c r="A54" t="s">
        <v>0</v>
      </c>
      <c r="B54" t="s">
        <v>528</v>
      </c>
      <c r="C54" s="6">
        <v>84887.03999999999</v>
      </c>
      <c r="D54" s="6">
        <v>84894.53999999999</v>
      </c>
      <c r="E54" s="6">
        <f>D54-C54</f>
        <v>0</v>
      </c>
      <c r="F54" s="5">
        <f>IF(C54=0,"",E54/C54)</f>
        <v>0</v>
      </c>
    </row>
    <row r="55" spans="1:6">
      <c r="A55" t="s">
        <v>0</v>
      </c>
      <c r="B55" t="s">
        <v>538</v>
      </c>
      <c r="C55" s="6">
        <v>71908.52</v>
      </c>
      <c r="D55" s="6">
        <v>71945.87</v>
      </c>
      <c r="E55" s="6">
        <f>D55-C55</f>
        <v>0</v>
      </c>
      <c r="F55" s="5">
        <f>IF(C55=0,"",E55/C55)</f>
        <v>0</v>
      </c>
    </row>
    <row r="56" spans="1:6">
      <c r="A56" t="s">
        <v>0</v>
      </c>
      <c r="B56" t="s">
        <v>552</v>
      </c>
      <c r="C56" s="6">
        <v>84240.39999999999</v>
      </c>
      <c r="D56" s="6">
        <v>84248.64999999999</v>
      </c>
      <c r="E56" s="6">
        <f>D56-C56</f>
        <v>0</v>
      </c>
      <c r="F56" s="5">
        <f>IF(C56=0,"",E56/C56)</f>
        <v>0</v>
      </c>
    </row>
    <row r="57" spans="1:6">
      <c r="A57" t="s">
        <v>0</v>
      </c>
      <c r="B57" t="s">
        <v>558</v>
      </c>
      <c r="C57" s="6">
        <v>82044.84</v>
      </c>
      <c r="D57" s="6">
        <v>82159.81</v>
      </c>
      <c r="E57" s="6">
        <f>D57-C57</f>
        <v>0</v>
      </c>
      <c r="F57" s="5">
        <f>IF(C57=0,"",E57/C57)</f>
        <v>0</v>
      </c>
    </row>
    <row r="58" spans="1:6">
      <c r="A58" t="s">
        <v>0</v>
      </c>
      <c r="B58" t="s">
        <v>563</v>
      </c>
      <c r="C58" s="6">
        <v>83640.59</v>
      </c>
      <c r="D58" s="6">
        <v>83646.94</v>
      </c>
      <c r="E58" s="6">
        <f>D58-C58</f>
        <v>0</v>
      </c>
      <c r="F58" s="5">
        <f>IF(C58=0,"",E58/C58)</f>
        <v>0</v>
      </c>
    </row>
    <row r="59" spans="1:6">
      <c r="A59" t="s">
        <v>0</v>
      </c>
      <c r="B59" t="s">
        <v>571</v>
      </c>
      <c r="C59" s="6">
        <v>106052.64</v>
      </c>
      <c r="D59" s="6">
        <v>106063.01</v>
      </c>
      <c r="E59" s="6">
        <f>D59-C59</f>
        <v>0</v>
      </c>
      <c r="F59" s="5">
        <f>IF(C59=0,"",E59/C59)</f>
        <v>0</v>
      </c>
    </row>
    <row r="60" spans="1:6">
      <c r="A60" t="s">
        <v>0</v>
      </c>
      <c r="B60" t="s">
        <v>574</v>
      </c>
      <c r="C60" s="6">
        <v>77548.56</v>
      </c>
      <c r="D60" s="6">
        <v>77560.31</v>
      </c>
      <c r="E60" s="6">
        <f>D60-C60</f>
        <v>0</v>
      </c>
      <c r="F60" s="5">
        <f>IF(C60=0,"",E60/C60)</f>
        <v>0</v>
      </c>
    </row>
    <row r="61" spans="1:6">
      <c r="A61" t="s">
        <v>0</v>
      </c>
      <c r="B61" t="s">
        <v>585</v>
      </c>
      <c r="C61" s="6">
        <v>87200.75</v>
      </c>
      <c r="D61" s="6">
        <v>87475.05</v>
      </c>
      <c r="E61" s="6">
        <f>D61-C61</f>
        <v>0</v>
      </c>
      <c r="F61" s="5">
        <f>IF(C61=0,"",E61/C61)</f>
        <v>0</v>
      </c>
    </row>
    <row r="62" spans="1:6">
      <c r="A62" t="s">
        <v>0</v>
      </c>
      <c r="B62" t="s">
        <v>594</v>
      </c>
      <c r="C62" s="6">
        <v>98496.03</v>
      </c>
      <c r="D62" s="6">
        <v>98613.78</v>
      </c>
      <c r="E62" s="6">
        <f>D62-C62</f>
        <v>0</v>
      </c>
      <c r="F62" s="5">
        <f>IF(C62=0,"",E62/C62)</f>
        <v>0</v>
      </c>
    </row>
    <row r="63" spans="1:6">
      <c r="A63" t="s">
        <v>0</v>
      </c>
      <c r="B63" t="s">
        <v>607</v>
      </c>
      <c r="C63" s="6">
        <v>108710.97</v>
      </c>
      <c r="D63" s="6">
        <v>108716.47</v>
      </c>
      <c r="E63" s="6">
        <f>D63-C63</f>
        <v>0</v>
      </c>
      <c r="F63" s="5">
        <f>IF(C63=0,"",E63/C63)</f>
        <v>0</v>
      </c>
    </row>
    <row r="64" spans="1:6">
      <c r="A64" t="s">
        <v>0</v>
      </c>
      <c r="B64" t="s">
        <v>615</v>
      </c>
      <c r="C64" s="6">
        <v>94968.41</v>
      </c>
      <c r="D64" s="6">
        <v>95084.91</v>
      </c>
      <c r="E64" s="6">
        <f>D64-C64</f>
        <v>0</v>
      </c>
      <c r="F64" s="5">
        <f>IF(C64=0,"",E64/C64)</f>
        <v>0</v>
      </c>
    </row>
    <row r="65" spans="1:6">
      <c r="A65" t="s">
        <v>0</v>
      </c>
      <c r="B65" t="s">
        <v>624</v>
      </c>
      <c r="C65" s="6">
        <v>85529.63</v>
      </c>
      <c r="D65" s="6">
        <v>85532.88</v>
      </c>
      <c r="E65" s="6">
        <f>D65-C65</f>
        <v>0</v>
      </c>
      <c r="F65" s="5">
        <f>IF(C65=0,"",E65/C65)</f>
        <v>0</v>
      </c>
    </row>
    <row r="66" spans="1:6">
      <c r="A66" t="s">
        <v>0</v>
      </c>
      <c r="B66" t="s">
        <v>635</v>
      </c>
      <c r="C66" s="6">
        <v>86678.28999999999</v>
      </c>
      <c r="D66" s="6">
        <v>86682.03999999999</v>
      </c>
      <c r="E66" s="6">
        <f>D66-C66</f>
        <v>0</v>
      </c>
      <c r="F66" s="5">
        <f>IF(C66=0,"",E66/C66)</f>
        <v>0</v>
      </c>
    </row>
    <row r="67" spans="1:6">
      <c r="A67" t="s">
        <v>0</v>
      </c>
      <c r="B67" t="s">
        <v>645</v>
      </c>
      <c r="C67" s="6">
        <v>96844.28</v>
      </c>
      <c r="D67" s="6">
        <v>96853.33</v>
      </c>
      <c r="E67" s="6">
        <f>D67-C67</f>
        <v>0</v>
      </c>
      <c r="F67" s="5">
        <f>IF(C67=0,"",E67/C67)</f>
        <v>0</v>
      </c>
    </row>
    <row r="68" spans="1:6">
      <c r="A68" t="s">
        <v>0</v>
      </c>
      <c r="B68" t="s">
        <v>650</v>
      </c>
      <c r="C68" s="6">
        <v>86363.7</v>
      </c>
      <c r="D68" s="6">
        <v>86392.64999999999</v>
      </c>
      <c r="E68" s="6">
        <f>D68-C68</f>
        <v>0</v>
      </c>
      <c r="F68" s="5">
        <f>IF(C68=0,"",E68/C68)</f>
        <v>0</v>
      </c>
    </row>
    <row r="69" spans="1:6">
      <c r="A69" t="s">
        <v>0</v>
      </c>
      <c r="B69" t="s">
        <v>658</v>
      </c>
      <c r="C69" s="6">
        <v>112455.77</v>
      </c>
      <c r="D69" s="6">
        <v>112476.27</v>
      </c>
      <c r="E69" s="6">
        <f>D69-C69</f>
        <v>0</v>
      </c>
      <c r="F69" s="5">
        <f>IF(C69=0,"",E69/C69)</f>
        <v>0</v>
      </c>
    </row>
    <row r="70" spans="1:6">
      <c r="A70" t="s">
        <v>0</v>
      </c>
      <c r="B70" t="s">
        <v>673</v>
      </c>
      <c r="C70" s="6">
        <v>97649.95</v>
      </c>
      <c r="D70" s="6">
        <v>97650.7</v>
      </c>
      <c r="E70" s="6">
        <f>D70-C70</f>
        <v>0</v>
      </c>
      <c r="F70" s="5">
        <f>IF(C70=0,"",E70/C70)</f>
        <v>0</v>
      </c>
    </row>
    <row r="71" spans="1:6">
      <c r="A71" t="s">
        <v>0</v>
      </c>
      <c r="B71" t="s">
        <v>681</v>
      </c>
      <c r="C71" s="6">
        <v>104961.65</v>
      </c>
      <c r="D71" s="6">
        <v>104984.95</v>
      </c>
      <c r="E71" s="6">
        <f>D71-C71</f>
        <v>0</v>
      </c>
      <c r="F71" s="5">
        <f>IF(C71=0,"",E71/C71)</f>
        <v>0</v>
      </c>
    </row>
    <row r="72" spans="1:6">
      <c r="A72" t="s">
        <v>0</v>
      </c>
      <c r="B72" t="s">
        <v>689</v>
      </c>
      <c r="C72" s="6">
        <v>100803.38</v>
      </c>
      <c r="D72" s="6">
        <v>100804.13</v>
      </c>
      <c r="E72" s="6">
        <f>D72-C72</f>
        <v>0</v>
      </c>
      <c r="F72" s="5">
        <f>IF(C72=0,"",E72/C72)</f>
        <v>0</v>
      </c>
    </row>
    <row r="73" spans="1:6">
      <c r="A73" t="s">
        <v>0</v>
      </c>
      <c r="B73" t="s">
        <v>701</v>
      </c>
      <c r="C73" s="6">
        <v>85097.42999999999</v>
      </c>
      <c r="D73" s="6">
        <v>85121.75</v>
      </c>
      <c r="E73" s="6">
        <f>D73-C73</f>
        <v>0</v>
      </c>
      <c r="F73" s="5">
        <f>IF(C73=0,"",E73/C73)</f>
        <v>0</v>
      </c>
    </row>
    <row r="74" spans="1:6">
      <c r="A74" t="s">
        <v>0</v>
      </c>
      <c r="B74" t="s">
        <v>708</v>
      </c>
      <c r="C74" s="6">
        <v>111770.56</v>
      </c>
      <c r="D74" s="6">
        <v>111770.56</v>
      </c>
      <c r="E74" s="6">
        <f>D74-C74</f>
        <v>0</v>
      </c>
      <c r="F74" s="5">
        <f>IF(C74=0,"",E74/C74)</f>
        <v>0</v>
      </c>
    </row>
    <row r="75" spans="1:6">
      <c r="A75" t="s">
        <v>0</v>
      </c>
      <c r="B75" t="s">
        <v>719</v>
      </c>
      <c r="C75" s="6">
        <v>100514.5</v>
      </c>
      <c r="D75" s="6">
        <v>100517</v>
      </c>
      <c r="E75" s="6">
        <f>D75-C75</f>
        <v>0</v>
      </c>
      <c r="F75" s="5">
        <f>IF(C75=0,"",E75/C75)</f>
        <v>0</v>
      </c>
    </row>
    <row r="76" spans="1:6">
      <c r="A76" t="s">
        <v>0</v>
      </c>
      <c r="B76" t="s">
        <v>727</v>
      </c>
      <c r="C76" s="6">
        <v>107269.61</v>
      </c>
      <c r="D76" s="6">
        <v>107299.91</v>
      </c>
      <c r="E76" s="6">
        <f>D76-C76</f>
        <v>0</v>
      </c>
      <c r="F76" s="5">
        <f>IF(C76=0,"",E76/C76)</f>
        <v>0</v>
      </c>
    </row>
    <row r="77" spans="1:6">
      <c r="A77" t="s">
        <v>0</v>
      </c>
      <c r="B77" t="s">
        <v>734</v>
      </c>
      <c r="C77" s="6">
        <v>89217.78999999999</v>
      </c>
      <c r="D77" s="6">
        <v>89223.03999999999</v>
      </c>
      <c r="E77" s="6">
        <f>D77-C77</f>
        <v>0</v>
      </c>
      <c r="F77" s="5">
        <f>IF(C77=0,"",E77/C77)</f>
        <v>0</v>
      </c>
    </row>
    <row r="78" spans="1:6">
      <c r="A78" t="s">
        <v>0</v>
      </c>
      <c r="B78" t="s">
        <v>746</v>
      </c>
      <c r="C78" s="6">
        <v>95766.31</v>
      </c>
      <c r="D78" s="6">
        <v>95770.81</v>
      </c>
      <c r="E78" s="6">
        <f>D78-C78</f>
        <v>0</v>
      </c>
      <c r="F78" s="5">
        <f>IF(C78=0,"",E78/C78)</f>
        <v>0</v>
      </c>
    </row>
    <row r="79" spans="1:6">
      <c r="A79" t="s">
        <v>0</v>
      </c>
      <c r="B79" t="s">
        <v>755</v>
      </c>
      <c r="C79" s="6">
        <v>116521.43</v>
      </c>
      <c r="D79" s="6">
        <v>116531.43</v>
      </c>
      <c r="E79" s="6">
        <f>D79-C79</f>
        <v>0</v>
      </c>
      <c r="F79" s="5">
        <f>IF(C79=0,"",E79/C79)</f>
        <v>0</v>
      </c>
    </row>
    <row r="80" spans="1:6">
      <c r="A80" t="s">
        <v>0</v>
      </c>
      <c r="B80" t="s">
        <v>765</v>
      </c>
      <c r="C80" s="6">
        <v>94182.92</v>
      </c>
      <c r="D80" s="6">
        <v>94196.97</v>
      </c>
      <c r="E80" s="6">
        <f>D80-C80</f>
        <v>0</v>
      </c>
      <c r="F80" s="5">
        <f>IF(C80=0,"",E80/C80)</f>
        <v>0</v>
      </c>
    </row>
    <row r="81" spans="1:6">
      <c r="A81" t="s">
        <v>0</v>
      </c>
      <c r="B81" t="s">
        <v>775</v>
      </c>
      <c r="C81" s="6">
        <v>75146.88</v>
      </c>
      <c r="D81" s="6">
        <v>75170.42999999999</v>
      </c>
      <c r="E81" s="6">
        <f>D81-C81</f>
        <v>0</v>
      </c>
      <c r="F81" s="5">
        <f>IF(C81=0,"",E81/C81)</f>
        <v>0</v>
      </c>
    </row>
    <row r="82" spans="1:6">
      <c r="A82" t="s">
        <v>0</v>
      </c>
      <c r="B82" t="s">
        <v>779</v>
      </c>
      <c r="C82" s="6">
        <v>95983.53</v>
      </c>
      <c r="D82" s="6">
        <v>95983.53</v>
      </c>
      <c r="E82" s="6">
        <f>D82-C82</f>
        <v>0</v>
      </c>
      <c r="F82" s="5">
        <f>IF(C82=0,"",E82/C82)</f>
        <v>0</v>
      </c>
    </row>
    <row r="83" spans="1:6">
      <c r="A83" t="s">
        <v>0</v>
      </c>
      <c r="B83" t="s">
        <v>788</v>
      </c>
      <c r="C83" s="6">
        <v>86874.84</v>
      </c>
      <c r="D83" s="6">
        <v>86874.84</v>
      </c>
      <c r="E83" s="6">
        <f>D83-C83</f>
        <v>0</v>
      </c>
      <c r="F83" s="5">
        <f>IF(C83=0,"",E83/C83)</f>
        <v>0</v>
      </c>
    </row>
    <row r="84" spans="1:6">
      <c r="A84" t="s">
        <v>0</v>
      </c>
      <c r="B84" t="s">
        <v>799</v>
      </c>
      <c r="C84" s="6">
        <v>92247.52</v>
      </c>
      <c r="D84" s="6">
        <v>92247.52</v>
      </c>
      <c r="E84" s="6">
        <f>D84-C84</f>
        <v>0</v>
      </c>
      <c r="F84" s="5">
        <f>IF(C84=0,"",E84/C84)</f>
        <v>0</v>
      </c>
    </row>
    <row r="85" spans="1:6">
      <c r="A85" t="s">
        <v>0</v>
      </c>
      <c r="B85" t="s">
        <v>805</v>
      </c>
      <c r="C85" s="6">
        <v>103870.85</v>
      </c>
      <c r="D85" s="6">
        <v>103888.85</v>
      </c>
      <c r="E85" s="6">
        <f>D85-C85</f>
        <v>0</v>
      </c>
      <c r="F85" s="5">
        <f>IF(C85=0,"",E85/C85)</f>
        <v>0</v>
      </c>
    </row>
    <row r="86" spans="1:6">
      <c r="A86" t="s">
        <v>0</v>
      </c>
      <c r="B86" t="s">
        <v>814</v>
      </c>
      <c r="C86" s="6">
        <v>81768.3</v>
      </c>
      <c r="D86" s="6">
        <v>81778.97</v>
      </c>
      <c r="E86" s="6">
        <f>D86-C86</f>
        <v>0</v>
      </c>
      <c r="F86" s="5">
        <f>IF(C86=0,"",E86/C86)</f>
        <v>0</v>
      </c>
    </row>
    <row r="87" spans="1:6">
      <c r="A87" t="s">
        <v>0</v>
      </c>
      <c r="B87" t="s">
        <v>829</v>
      </c>
      <c r="C87" s="6">
        <v>96329.59</v>
      </c>
      <c r="D87" s="6">
        <v>96342.00999999999</v>
      </c>
      <c r="E87" s="6">
        <f>D87-C87</f>
        <v>0</v>
      </c>
      <c r="F87" s="5">
        <f>IF(C87=0,"",E87/C87)</f>
        <v>0</v>
      </c>
    </row>
    <row r="88" spans="1:6">
      <c r="A88" t="s">
        <v>0</v>
      </c>
      <c r="B88" t="s">
        <v>836</v>
      </c>
      <c r="C88" s="6">
        <v>89730.39999999999</v>
      </c>
      <c r="D88" s="6">
        <v>89741</v>
      </c>
      <c r="E88" s="6">
        <f>D88-C88</f>
        <v>0</v>
      </c>
      <c r="F88" s="5">
        <f>IF(C88=0,"",E88/C88)</f>
        <v>0</v>
      </c>
    </row>
    <row r="89" spans="1:6">
      <c r="A89" t="s">
        <v>0</v>
      </c>
      <c r="B89" t="s">
        <v>846</v>
      </c>
      <c r="C89" s="6">
        <v>99860.16</v>
      </c>
      <c r="D89" s="6">
        <v>99871.86</v>
      </c>
      <c r="E89" s="6">
        <f>D89-C89</f>
        <v>0</v>
      </c>
      <c r="F89" s="5">
        <f>IF(C89=0,"",E89/C89)</f>
        <v>0</v>
      </c>
    </row>
    <row r="90" spans="1:6">
      <c r="A90" t="s">
        <v>0</v>
      </c>
      <c r="B90" t="s">
        <v>851</v>
      </c>
      <c r="C90" s="6">
        <v>98565.32000000001</v>
      </c>
      <c r="D90" s="6">
        <v>98589.32000000001</v>
      </c>
      <c r="E90" s="6">
        <f>D90-C90</f>
        <v>0</v>
      </c>
      <c r="F90" s="5">
        <f>IF(C90=0,"",E90/C90)</f>
        <v>0</v>
      </c>
    </row>
    <row r="91" spans="1:6">
      <c r="A91" t="s">
        <v>0</v>
      </c>
      <c r="B91" t="s">
        <v>858</v>
      </c>
      <c r="C91" s="6">
        <v>81003.07000000001</v>
      </c>
      <c r="D91" s="6">
        <v>81006.82000000001</v>
      </c>
      <c r="E91" s="6">
        <f>D91-C91</f>
        <v>0</v>
      </c>
      <c r="F91" s="5">
        <f>IF(C91=0,"",E91/C91)</f>
        <v>0</v>
      </c>
    </row>
    <row r="92" spans="1:6">
      <c r="A92" t="s">
        <v>0</v>
      </c>
      <c r="B92" t="s">
        <v>868</v>
      </c>
      <c r="C92" s="6">
        <v>88914.35000000001</v>
      </c>
      <c r="D92" s="6">
        <v>88914.35000000001</v>
      </c>
      <c r="E92" s="6">
        <f>D92-C92</f>
        <v>0</v>
      </c>
      <c r="F92" s="5">
        <f>IF(C92=0,"",E92/C92)</f>
        <v>0</v>
      </c>
    </row>
    <row r="93" spans="1:6">
      <c r="A93" t="s">
        <v>0</v>
      </c>
      <c r="B93" t="s">
        <v>876</v>
      </c>
      <c r="C93" s="6">
        <v>126130.55</v>
      </c>
      <c r="D93" s="6">
        <v>126155.75</v>
      </c>
      <c r="E93" s="6">
        <f>D93-C93</f>
        <v>0</v>
      </c>
      <c r="F93" s="5">
        <f>IF(C93=0,"",E93/C93)</f>
        <v>0</v>
      </c>
    </row>
    <row r="94" spans="1:6">
      <c r="A94" t="s">
        <v>0</v>
      </c>
      <c r="B94" t="s">
        <v>880</v>
      </c>
      <c r="C94" s="6">
        <v>118573.47</v>
      </c>
      <c r="D94" s="6">
        <v>118574.97</v>
      </c>
      <c r="E94" s="6">
        <f>D94-C94</f>
        <v>0</v>
      </c>
      <c r="F94" s="5">
        <f>IF(C94=0,"",E94/C94)</f>
        <v>0</v>
      </c>
    </row>
    <row r="95" spans="1:6">
      <c r="A95" t="s">
        <v>0</v>
      </c>
      <c r="B95" t="s">
        <v>891</v>
      </c>
      <c r="C95" s="6">
        <v>97093.85000000001</v>
      </c>
      <c r="D95" s="6">
        <v>97106.10000000001</v>
      </c>
      <c r="E95" s="6">
        <f>D95-C95</f>
        <v>0</v>
      </c>
      <c r="F95" s="5">
        <f>IF(C95=0,"",E95/C95)</f>
        <v>0</v>
      </c>
    </row>
    <row r="96" spans="1:6">
      <c r="A96" t="s">
        <v>0</v>
      </c>
      <c r="B96" t="s">
        <v>903</v>
      </c>
      <c r="C96" s="6">
        <v>92397.64999999999</v>
      </c>
      <c r="D96" s="6">
        <v>92410.14999999999</v>
      </c>
      <c r="E96" s="6">
        <f>D96-C96</f>
        <v>0</v>
      </c>
      <c r="F96" s="5">
        <f>IF(C96=0,"",E96/C96)</f>
        <v>0</v>
      </c>
    </row>
    <row r="97" spans="1:6">
      <c r="A97" t="s">
        <v>0</v>
      </c>
      <c r="B97" t="s">
        <v>915</v>
      </c>
      <c r="C97" s="6">
        <v>101632.03</v>
      </c>
      <c r="D97" s="6">
        <v>101646.03</v>
      </c>
      <c r="E97" s="6">
        <f>D97-C97</f>
        <v>0</v>
      </c>
      <c r="F97" s="5">
        <f>IF(C97=0,"",E97/C97)</f>
        <v>0</v>
      </c>
    </row>
    <row r="98" spans="1:6">
      <c r="A98" t="s">
        <v>0</v>
      </c>
      <c r="B98" t="s">
        <v>922</v>
      </c>
      <c r="C98" s="6">
        <v>108184.53</v>
      </c>
      <c r="D98" s="6">
        <v>108184.78</v>
      </c>
      <c r="E98" s="6">
        <f>D98-C98</f>
        <v>0</v>
      </c>
      <c r="F98" s="5">
        <f>IF(C98=0,"",E98/C98)</f>
        <v>0</v>
      </c>
    </row>
    <row r="99" spans="1:6">
      <c r="A99" t="s">
        <v>0</v>
      </c>
      <c r="B99" t="s">
        <v>934</v>
      </c>
      <c r="C99" s="6">
        <v>94931.78999999999</v>
      </c>
      <c r="D99" s="6">
        <v>94973.78999999999</v>
      </c>
      <c r="E99" s="6">
        <f>D99-C99</f>
        <v>0</v>
      </c>
      <c r="F99" s="5">
        <f>IF(C99=0,"",E99/C99)</f>
        <v>0</v>
      </c>
    </row>
    <row r="100" spans="1:6">
      <c r="A100" t="s">
        <v>0</v>
      </c>
      <c r="B100" t="s">
        <v>944</v>
      </c>
      <c r="C100" s="6">
        <v>111525.67</v>
      </c>
      <c r="D100" s="6">
        <v>111539.54</v>
      </c>
      <c r="E100" s="6">
        <f>D100-C100</f>
        <v>0</v>
      </c>
      <c r="F100" s="5">
        <f>IF(C100=0,"",E100/C100)</f>
        <v>0</v>
      </c>
    </row>
    <row r="101" spans="1:6">
      <c r="A101" t="s">
        <v>0</v>
      </c>
      <c r="B101" t="s">
        <v>952</v>
      </c>
      <c r="C101" s="6">
        <v>87631.96000000001</v>
      </c>
      <c r="D101" s="6">
        <v>87640.96000000001</v>
      </c>
      <c r="E101" s="6">
        <f>D101-C101</f>
        <v>0</v>
      </c>
      <c r="F101" s="5">
        <f>IF(C101=0,"",E101/C101)</f>
        <v>0</v>
      </c>
    </row>
    <row r="102" spans="1:6">
      <c r="A102" t="s">
        <v>0</v>
      </c>
      <c r="B102" t="s">
        <v>961</v>
      </c>
      <c r="C102" s="6">
        <v>95916.36</v>
      </c>
      <c r="D102" s="6">
        <v>95917.96000000001</v>
      </c>
      <c r="E102" s="6">
        <f>D102-C102</f>
        <v>0</v>
      </c>
      <c r="F102" s="5">
        <f>IF(C102=0,"",E102/C102)</f>
        <v>0</v>
      </c>
    </row>
    <row r="103" spans="1:6">
      <c r="A103" t="s">
        <v>0</v>
      </c>
      <c r="B103" t="s">
        <v>966</v>
      </c>
      <c r="C103" s="6">
        <v>90573.49000000001</v>
      </c>
      <c r="D103" s="6">
        <v>90601.24000000001</v>
      </c>
      <c r="E103" s="6">
        <f>D103-C103</f>
        <v>0</v>
      </c>
      <c r="F103" s="5">
        <f>IF(C103=0,"",E103/C103)</f>
        <v>0</v>
      </c>
    </row>
    <row r="104" spans="1:6">
      <c r="A104" t="s">
        <v>0</v>
      </c>
      <c r="B104" t="s">
        <v>980</v>
      </c>
      <c r="C104" s="6">
        <v>107364.31</v>
      </c>
      <c r="D104" s="6">
        <v>107382.56</v>
      </c>
      <c r="E104" s="6">
        <f>D104-C104</f>
        <v>0</v>
      </c>
      <c r="F104" s="5">
        <f>IF(C104=0,"",E104/C104)</f>
        <v>0</v>
      </c>
    </row>
    <row r="105" spans="1:6">
      <c r="A105" t="s">
        <v>0</v>
      </c>
      <c r="B105" t="s">
        <v>992</v>
      </c>
      <c r="C105" s="6">
        <v>85932.92</v>
      </c>
      <c r="D105" s="6">
        <v>85977.17</v>
      </c>
      <c r="E105" s="6">
        <f>D105-C105</f>
        <v>0</v>
      </c>
      <c r="F105" s="5">
        <f>IF(C105=0,"",E105/C105)</f>
        <v>0</v>
      </c>
    </row>
    <row r="106" spans="1:6">
      <c r="A106" t="s">
        <v>0</v>
      </c>
      <c r="B106" t="s">
        <v>1002</v>
      </c>
      <c r="C106" s="6">
        <v>37833.06</v>
      </c>
      <c r="D106" s="6">
        <v>37864.56</v>
      </c>
      <c r="E106" s="6">
        <f>D106-C106</f>
        <v>0</v>
      </c>
      <c r="F106" s="5">
        <f>IF(C106=0,"",E106/C106)</f>
        <v>0</v>
      </c>
    </row>
    <row r="107" spans="1:6">
      <c r="A107" t="s">
        <v>1</v>
      </c>
      <c r="B107" t="s">
        <v>30</v>
      </c>
      <c r="C107" s="6">
        <v>44703.31</v>
      </c>
      <c r="D107" s="6">
        <v>44717.06</v>
      </c>
      <c r="E107" s="6">
        <f>D107-C107</f>
        <v>0</v>
      </c>
      <c r="F107" s="5">
        <f>IF(C107=0,"",E107/C107)</f>
        <v>0</v>
      </c>
    </row>
    <row r="108" spans="1:6">
      <c r="A108" t="s">
        <v>1</v>
      </c>
      <c r="B108" t="s">
        <v>47</v>
      </c>
      <c r="C108" s="6">
        <v>49927.64</v>
      </c>
      <c r="D108" s="6">
        <v>49929.39</v>
      </c>
      <c r="E108" s="6">
        <f>D108-C108</f>
        <v>0</v>
      </c>
      <c r="F108" s="5">
        <f>IF(C108=0,"",E108/C108)</f>
        <v>0</v>
      </c>
    </row>
    <row r="109" spans="1:6">
      <c r="A109" t="s">
        <v>1</v>
      </c>
      <c r="B109" t="s">
        <v>62</v>
      </c>
      <c r="C109" s="6">
        <v>44210.38</v>
      </c>
      <c r="D109" s="6">
        <v>44243.38</v>
      </c>
      <c r="E109" s="6">
        <f>D109-C109</f>
        <v>0</v>
      </c>
      <c r="F109" s="5">
        <f>IF(C109=0,"",E109/C109)</f>
        <v>0</v>
      </c>
    </row>
    <row r="110" spans="1:6">
      <c r="A110" t="s">
        <v>1</v>
      </c>
      <c r="B110" t="s">
        <v>71</v>
      </c>
      <c r="C110" s="6">
        <v>46364.71</v>
      </c>
      <c r="D110" s="6">
        <v>46377.76</v>
      </c>
      <c r="E110" s="6">
        <f>D110-C110</f>
        <v>0</v>
      </c>
      <c r="F110" s="5">
        <f>IF(C110=0,"",E110/C110)</f>
        <v>0</v>
      </c>
    </row>
    <row r="111" spans="1:6">
      <c r="A111" t="s">
        <v>1</v>
      </c>
      <c r="B111" t="s">
        <v>86</v>
      </c>
      <c r="C111" s="6">
        <v>44200.44</v>
      </c>
      <c r="D111" s="6">
        <v>44209.44</v>
      </c>
      <c r="E111" s="6">
        <f>D111-C111</f>
        <v>0</v>
      </c>
      <c r="F111" s="5">
        <f>IF(C111=0,"",E111/C111)</f>
        <v>0</v>
      </c>
    </row>
    <row r="112" spans="1:6">
      <c r="A112" t="s">
        <v>1</v>
      </c>
      <c r="B112" t="s">
        <v>97</v>
      </c>
      <c r="C112" s="6">
        <v>64223.04</v>
      </c>
      <c r="D112" s="6">
        <v>64223.04</v>
      </c>
      <c r="E112" s="6">
        <f>D112-C112</f>
        <v>0</v>
      </c>
      <c r="F112" s="5">
        <f>IF(C112=0,"",E112/C112)</f>
        <v>0</v>
      </c>
    </row>
    <row r="113" spans="1:6">
      <c r="A113" t="s">
        <v>1</v>
      </c>
      <c r="B113" t="s">
        <v>103</v>
      </c>
      <c r="C113" s="6">
        <v>42976.07</v>
      </c>
      <c r="D113" s="6">
        <v>42976.07</v>
      </c>
      <c r="E113" s="6">
        <f>D113-C113</f>
        <v>0</v>
      </c>
      <c r="F113" s="5">
        <f>IF(C113=0,"",E113/C113)</f>
        <v>0</v>
      </c>
    </row>
    <row r="114" spans="1:6">
      <c r="A114" t="s">
        <v>1</v>
      </c>
      <c r="B114" t="s">
        <v>121</v>
      </c>
      <c r="C114" s="6">
        <v>52343.32</v>
      </c>
      <c r="D114" s="6">
        <v>52358.32</v>
      </c>
      <c r="E114" s="6">
        <f>D114-C114</f>
        <v>0</v>
      </c>
      <c r="F114" s="5">
        <f>IF(C114=0,"",E114/C114)</f>
        <v>0</v>
      </c>
    </row>
    <row r="115" spans="1:6">
      <c r="A115" t="s">
        <v>1</v>
      </c>
      <c r="B115" t="s">
        <v>134</v>
      </c>
      <c r="C115" s="6">
        <v>53551.56</v>
      </c>
      <c r="D115" s="6">
        <v>53561.31</v>
      </c>
      <c r="E115" s="6">
        <f>D115-C115</f>
        <v>0</v>
      </c>
      <c r="F115" s="5">
        <f>IF(C115=0,"",E115/C115)</f>
        <v>0</v>
      </c>
    </row>
    <row r="116" spans="1:6">
      <c r="A116" t="s">
        <v>1</v>
      </c>
      <c r="B116" t="s">
        <v>143</v>
      </c>
      <c r="C116" s="6">
        <v>53441.12</v>
      </c>
      <c r="D116" s="6">
        <v>53450.17</v>
      </c>
      <c r="E116" s="6">
        <f>D116-C116</f>
        <v>0</v>
      </c>
      <c r="F116" s="5">
        <f>IF(C116=0,"",E116/C116)</f>
        <v>0</v>
      </c>
    </row>
    <row r="117" spans="1:6">
      <c r="A117" t="s">
        <v>1</v>
      </c>
      <c r="B117" t="s">
        <v>154</v>
      </c>
      <c r="C117" s="6">
        <v>39736.95</v>
      </c>
      <c r="D117" s="6">
        <v>39736.95</v>
      </c>
      <c r="E117" s="6">
        <f>D117-C117</f>
        <v>0</v>
      </c>
      <c r="F117" s="5">
        <f>IF(C117=0,"",E117/C117)</f>
        <v>0</v>
      </c>
    </row>
    <row r="118" spans="1:6">
      <c r="A118" t="s">
        <v>1</v>
      </c>
      <c r="B118" t="s">
        <v>160</v>
      </c>
      <c r="C118" s="6">
        <v>47334.38</v>
      </c>
      <c r="D118" s="6">
        <v>47362.13</v>
      </c>
      <c r="E118" s="6">
        <f>D118-C118</f>
        <v>0</v>
      </c>
      <c r="F118" s="5">
        <f>IF(C118=0,"",E118/C118)</f>
        <v>0</v>
      </c>
    </row>
    <row r="119" spans="1:6">
      <c r="A119" t="s">
        <v>1</v>
      </c>
      <c r="B119" t="s">
        <v>170</v>
      </c>
      <c r="C119" s="6">
        <v>44492.92</v>
      </c>
      <c r="D119" s="6">
        <v>44494.29</v>
      </c>
      <c r="E119" s="6">
        <f>D119-C119</f>
        <v>0</v>
      </c>
      <c r="F119" s="5">
        <f>IF(C119=0,"",E119/C119)</f>
        <v>0</v>
      </c>
    </row>
    <row r="120" spans="1:6">
      <c r="A120" t="s">
        <v>1</v>
      </c>
      <c r="B120" t="s">
        <v>180</v>
      </c>
      <c r="C120" s="6">
        <v>63354.75</v>
      </c>
      <c r="D120" s="6">
        <v>63365.1</v>
      </c>
      <c r="E120" s="6">
        <f>D120-C120</f>
        <v>0</v>
      </c>
      <c r="F120" s="5">
        <f>IF(C120=0,"",E120/C120)</f>
        <v>0</v>
      </c>
    </row>
    <row r="121" spans="1:6">
      <c r="A121" t="s">
        <v>1</v>
      </c>
      <c r="B121" t="s">
        <v>193</v>
      </c>
      <c r="C121" s="6">
        <v>49717.41</v>
      </c>
      <c r="D121" s="6">
        <v>0</v>
      </c>
      <c r="E121" s="6">
        <f>D121-C121</f>
        <v>0</v>
      </c>
      <c r="F121" s="5">
        <f>IF(C121=0,"",E121/C121)</f>
        <v>0</v>
      </c>
    </row>
    <row r="122" spans="1:6">
      <c r="A122" t="s">
        <v>1</v>
      </c>
      <c r="B122" t="s">
        <v>205</v>
      </c>
      <c r="C122" s="6">
        <v>48248.32</v>
      </c>
      <c r="D122" s="6">
        <v>0</v>
      </c>
      <c r="E122" s="6">
        <f>D122-C122</f>
        <v>0</v>
      </c>
      <c r="F122" s="5">
        <f>IF(C122=0,"",E122/C122)</f>
        <v>0</v>
      </c>
    </row>
    <row r="123" spans="1:6">
      <c r="A123" t="s">
        <v>1</v>
      </c>
      <c r="B123" t="s">
        <v>216</v>
      </c>
      <c r="C123" s="6">
        <v>47572.62</v>
      </c>
      <c r="D123" s="6">
        <v>0</v>
      </c>
      <c r="E123" s="6">
        <f>D123-C123</f>
        <v>0</v>
      </c>
      <c r="F123" s="5">
        <f>IF(C123=0,"",E123/C123)</f>
        <v>0</v>
      </c>
    </row>
    <row r="124" spans="1:6">
      <c r="A124" t="s">
        <v>1</v>
      </c>
      <c r="B124" t="s">
        <v>226</v>
      </c>
      <c r="C124" s="6">
        <v>66486.02</v>
      </c>
      <c r="D124" s="6">
        <v>0</v>
      </c>
      <c r="E124" s="6">
        <f>D124-C124</f>
        <v>0</v>
      </c>
      <c r="F124" s="5">
        <f>IF(C124=0,"",E124/C124)</f>
        <v>0</v>
      </c>
    </row>
    <row r="125" spans="1:6">
      <c r="A125" t="s">
        <v>1</v>
      </c>
      <c r="B125" t="s">
        <v>231</v>
      </c>
      <c r="C125" s="6">
        <v>50322.13</v>
      </c>
      <c r="D125" s="6">
        <v>0</v>
      </c>
      <c r="E125" s="6">
        <f>D125-C125</f>
        <v>0</v>
      </c>
      <c r="F125" s="5">
        <f>IF(C125=0,"",E125/C125)</f>
        <v>0</v>
      </c>
    </row>
    <row r="126" spans="1:6">
      <c r="A126" t="s">
        <v>1</v>
      </c>
      <c r="B126" t="s">
        <v>238</v>
      </c>
      <c r="C126" s="6">
        <v>50796.58</v>
      </c>
      <c r="D126" s="6">
        <v>50798.08</v>
      </c>
      <c r="E126" s="6">
        <f>D126-C126</f>
        <v>0</v>
      </c>
      <c r="F126" s="5">
        <f>IF(C126=0,"",E126/C126)</f>
        <v>0</v>
      </c>
    </row>
    <row r="127" spans="1:6">
      <c r="A127" t="s">
        <v>1</v>
      </c>
      <c r="B127" t="s">
        <v>251</v>
      </c>
      <c r="C127" s="6">
        <v>59357.52</v>
      </c>
      <c r="D127" s="6">
        <v>59367.87</v>
      </c>
      <c r="E127" s="6">
        <f>D127-C127</f>
        <v>0</v>
      </c>
      <c r="F127" s="5">
        <f>IF(C127=0,"",E127/C127)</f>
        <v>0</v>
      </c>
    </row>
    <row r="128" spans="1:6">
      <c r="A128" t="s">
        <v>1</v>
      </c>
      <c r="B128" t="s">
        <v>254</v>
      </c>
      <c r="C128" s="6">
        <v>55171.3</v>
      </c>
      <c r="D128" s="6">
        <v>55171.3</v>
      </c>
      <c r="E128" s="6">
        <f>D128-C128</f>
        <v>0</v>
      </c>
      <c r="F128" s="5">
        <f>IF(C128=0,"",E128/C128)</f>
        <v>0</v>
      </c>
    </row>
    <row r="129" spans="1:6">
      <c r="A129" t="s">
        <v>1</v>
      </c>
      <c r="B129" t="s">
        <v>264</v>
      </c>
      <c r="C129" s="6">
        <v>58518.98</v>
      </c>
      <c r="D129" s="6">
        <v>58837.97</v>
      </c>
      <c r="E129" s="6">
        <f>D129-C129</f>
        <v>0</v>
      </c>
      <c r="F129" s="5">
        <f>IF(C129=0,"",E129/C129)</f>
        <v>0</v>
      </c>
    </row>
    <row r="130" spans="1:6">
      <c r="A130" t="s">
        <v>1</v>
      </c>
      <c r="B130" t="s">
        <v>273</v>
      </c>
      <c r="C130" s="6">
        <v>45061.6</v>
      </c>
      <c r="D130" s="6">
        <v>45190.6</v>
      </c>
      <c r="E130" s="6">
        <f>D130-C130</f>
        <v>0</v>
      </c>
      <c r="F130" s="5">
        <f>IF(C130=0,"",E130/C130)</f>
        <v>0</v>
      </c>
    </row>
    <row r="131" spans="1:6">
      <c r="A131" t="s">
        <v>1</v>
      </c>
      <c r="B131" t="s">
        <v>284</v>
      </c>
      <c r="C131" s="6">
        <v>47304.87</v>
      </c>
      <c r="D131" s="6">
        <v>47323.12</v>
      </c>
      <c r="E131" s="6">
        <f>D131-C131</f>
        <v>0</v>
      </c>
      <c r="F131" s="5">
        <f>IF(C131=0,"",E131/C131)</f>
        <v>0</v>
      </c>
    </row>
    <row r="132" spans="1:6">
      <c r="A132" t="s">
        <v>1</v>
      </c>
      <c r="B132" t="s">
        <v>289</v>
      </c>
      <c r="C132" s="6">
        <v>69561.86</v>
      </c>
      <c r="D132" s="6">
        <v>69572.36</v>
      </c>
      <c r="E132" s="6">
        <f>D132-C132</f>
        <v>0</v>
      </c>
      <c r="F132" s="5">
        <f>IF(C132=0,"",E132/C132)</f>
        <v>0</v>
      </c>
    </row>
    <row r="133" spans="1:6">
      <c r="A133" t="s">
        <v>1</v>
      </c>
      <c r="B133" t="s">
        <v>299</v>
      </c>
      <c r="C133" s="6">
        <v>51794.89</v>
      </c>
      <c r="D133" s="6">
        <v>51835.39</v>
      </c>
      <c r="E133" s="6">
        <f>D133-C133</f>
        <v>0</v>
      </c>
      <c r="F133" s="5">
        <f>IF(C133=0,"",E133/C133)</f>
        <v>0</v>
      </c>
    </row>
    <row r="134" spans="1:6">
      <c r="A134" t="s">
        <v>1</v>
      </c>
      <c r="B134" t="s">
        <v>306</v>
      </c>
      <c r="C134" s="6">
        <v>46813.62</v>
      </c>
      <c r="D134" s="6">
        <v>46835.42</v>
      </c>
      <c r="E134" s="6">
        <f>D134-C134</f>
        <v>0</v>
      </c>
      <c r="F134" s="5">
        <f>IF(C134=0,"",E134/C134)</f>
        <v>0</v>
      </c>
    </row>
    <row r="135" spans="1:6">
      <c r="A135" t="s">
        <v>1</v>
      </c>
      <c r="B135" t="s">
        <v>313</v>
      </c>
      <c r="C135" s="6">
        <v>48812.33</v>
      </c>
      <c r="D135" s="6">
        <v>48832.95</v>
      </c>
      <c r="E135" s="6">
        <f>D135-C135</f>
        <v>0</v>
      </c>
      <c r="F135" s="5">
        <f>IF(C135=0,"",E135/C135)</f>
        <v>0</v>
      </c>
    </row>
    <row r="136" spans="1:6">
      <c r="A136" t="s">
        <v>1</v>
      </c>
      <c r="B136" t="s">
        <v>324</v>
      </c>
      <c r="C136" s="6">
        <v>44094.41</v>
      </c>
      <c r="D136" s="6">
        <v>44104.61</v>
      </c>
      <c r="E136" s="6">
        <f>D136-C136</f>
        <v>0</v>
      </c>
      <c r="F136" s="5">
        <f>IF(C136=0,"",E136/C136)</f>
        <v>0</v>
      </c>
    </row>
    <row r="137" spans="1:6">
      <c r="A137" t="s">
        <v>1</v>
      </c>
      <c r="B137" t="s">
        <v>331</v>
      </c>
      <c r="C137" s="6">
        <v>58031.69</v>
      </c>
      <c r="D137" s="6">
        <v>58038.59</v>
      </c>
      <c r="E137" s="6">
        <f>D137-C137</f>
        <v>0</v>
      </c>
      <c r="F137" s="5">
        <f>IF(C137=0,"",E137/C137)</f>
        <v>0</v>
      </c>
    </row>
    <row r="138" spans="1:6">
      <c r="A138" t="s">
        <v>1</v>
      </c>
      <c r="B138" t="s">
        <v>335</v>
      </c>
      <c r="C138" s="6">
        <v>48387.02</v>
      </c>
      <c r="D138" s="6">
        <v>48420.62</v>
      </c>
      <c r="E138" s="6">
        <f>D138-C138</f>
        <v>0</v>
      </c>
      <c r="F138" s="5">
        <f>IF(C138=0,"",E138/C138)</f>
        <v>0</v>
      </c>
    </row>
    <row r="139" spans="1:6">
      <c r="A139" t="s">
        <v>1</v>
      </c>
      <c r="B139" t="s">
        <v>345</v>
      </c>
      <c r="C139" s="6">
        <v>48471.34</v>
      </c>
      <c r="D139" s="6">
        <v>48475.09</v>
      </c>
      <c r="E139" s="6">
        <f>D139-C139</f>
        <v>0</v>
      </c>
      <c r="F139" s="5">
        <f>IF(C139=0,"",E139/C139)</f>
        <v>0</v>
      </c>
    </row>
    <row r="140" spans="1:6">
      <c r="A140" t="s">
        <v>1</v>
      </c>
      <c r="B140" t="s">
        <v>357</v>
      </c>
      <c r="C140" s="6">
        <v>49635.3</v>
      </c>
      <c r="D140" s="6">
        <v>49635.3</v>
      </c>
      <c r="E140" s="6">
        <f>D140-C140</f>
        <v>0</v>
      </c>
      <c r="F140" s="5">
        <f>IF(C140=0,"",E140/C140)</f>
        <v>0</v>
      </c>
    </row>
    <row r="141" spans="1:6">
      <c r="A141" t="s">
        <v>1</v>
      </c>
      <c r="B141" t="s">
        <v>364</v>
      </c>
      <c r="C141" s="6">
        <v>60192.56</v>
      </c>
      <c r="D141" s="6">
        <v>60234.26</v>
      </c>
      <c r="E141" s="6">
        <f>D141-C141</f>
        <v>0</v>
      </c>
      <c r="F141" s="5">
        <f>IF(C141=0,"",E141/C141)</f>
        <v>0</v>
      </c>
    </row>
    <row r="142" spans="1:6">
      <c r="A142" t="s">
        <v>1</v>
      </c>
      <c r="B142" t="s">
        <v>371</v>
      </c>
      <c r="C142" s="6">
        <v>64022.9</v>
      </c>
      <c r="D142" s="6">
        <v>64038</v>
      </c>
      <c r="E142" s="6">
        <f>D142-C142</f>
        <v>0</v>
      </c>
      <c r="F142" s="5">
        <f>IF(C142=0,"",E142/C142)</f>
        <v>0</v>
      </c>
    </row>
    <row r="143" spans="1:6">
      <c r="A143" t="s">
        <v>1</v>
      </c>
      <c r="B143" t="s">
        <v>379</v>
      </c>
      <c r="C143" s="6">
        <v>43732.26</v>
      </c>
      <c r="D143" s="6">
        <v>43740.01</v>
      </c>
      <c r="E143" s="6">
        <f>D143-C143</f>
        <v>0</v>
      </c>
      <c r="F143" s="5">
        <f>IF(C143=0,"",E143/C143)</f>
        <v>0</v>
      </c>
    </row>
    <row r="144" spans="1:6">
      <c r="A144" t="s">
        <v>1</v>
      </c>
      <c r="B144" t="s">
        <v>392</v>
      </c>
      <c r="C144" s="6">
        <v>39080.11</v>
      </c>
      <c r="D144" s="6">
        <v>39101.63</v>
      </c>
      <c r="E144" s="6">
        <f>D144-C144</f>
        <v>0</v>
      </c>
      <c r="F144" s="5">
        <f>IF(C144=0,"",E144/C144)</f>
        <v>0</v>
      </c>
    </row>
    <row r="145" spans="1:6">
      <c r="A145" t="s">
        <v>1</v>
      </c>
      <c r="B145" t="s">
        <v>402</v>
      </c>
      <c r="C145" s="6">
        <v>48221.37</v>
      </c>
      <c r="D145" s="6">
        <v>48226.62</v>
      </c>
      <c r="E145" s="6">
        <f>D145-C145</f>
        <v>0</v>
      </c>
      <c r="F145" s="5">
        <f>IF(C145=0,"",E145/C145)</f>
        <v>0</v>
      </c>
    </row>
    <row r="146" spans="1:6">
      <c r="A146" t="s">
        <v>1</v>
      </c>
      <c r="B146" t="s">
        <v>410</v>
      </c>
      <c r="C146" s="6">
        <v>52375.62</v>
      </c>
      <c r="D146" s="6">
        <v>52375.62</v>
      </c>
      <c r="E146" s="6">
        <f>D146-C146</f>
        <v>0</v>
      </c>
      <c r="F146" s="5">
        <f>IF(C146=0,"",E146/C146)</f>
        <v>0</v>
      </c>
    </row>
    <row r="147" spans="1:6">
      <c r="A147" t="s">
        <v>1</v>
      </c>
      <c r="B147" t="s">
        <v>416</v>
      </c>
      <c r="C147" s="6">
        <v>59650.28</v>
      </c>
      <c r="D147" s="6">
        <v>59650.53</v>
      </c>
      <c r="E147" s="6">
        <f>D147-C147</f>
        <v>0</v>
      </c>
      <c r="F147" s="5">
        <f>IF(C147=0,"",E147/C147)</f>
        <v>0</v>
      </c>
    </row>
    <row r="148" spans="1:6">
      <c r="A148" t="s">
        <v>1</v>
      </c>
      <c r="B148" t="s">
        <v>428</v>
      </c>
      <c r="C148" s="6">
        <v>42068.9</v>
      </c>
      <c r="D148" s="6">
        <v>42068.9</v>
      </c>
      <c r="E148" s="6">
        <f>D148-C148</f>
        <v>0</v>
      </c>
      <c r="F148" s="5">
        <f>IF(C148=0,"",E148/C148)</f>
        <v>0</v>
      </c>
    </row>
    <row r="149" spans="1:6">
      <c r="A149" t="s">
        <v>1</v>
      </c>
      <c r="B149" t="s">
        <v>436</v>
      </c>
      <c r="C149" s="6">
        <v>49057.01</v>
      </c>
      <c r="D149" s="6">
        <v>44338.1094</v>
      </c>
      <c r="E149" s="6">
        <f>D149-C149</f>
        <v>0</v>
      </c>
      <c r="F149" s="5">
        <f>IF(C149=0,"",E149/C149)</f>
        <v>0</v>
      </c>
    </row>
    <row r="150" spans="1:6">
      <c r="A150" t="s">
        <v>1</v>
      </c>
      <c r="B150" t="s">
        <v>447</v>
      </c>
      <c r="C150" s="6">
        <v>45605.24</v>
      </c>
      <c r="D150" s="6">
        <v>45633.89</v>
      </c>
      <c r="E150" s="6">
        <f>D150-C150</f>
        <v>0</v>
      </c>
      <c r="F150" s="5">
        <f>IF(C150=0,"",E150/C150)</f>
        <v>0</v>
      </c>
    </row>
    <row r="151" spans="1:6">
      <c r="A151" t="s">
        <v>1</v>
      </c>
      <c r="B151" t="s">
        <v>1278</v>
      </c>
      <c r="C151" s="6">
        <v>50145.92</v>
      </c>
      <c r="D151" s="6">
        <v>50180.07</v>
      </c>
      <c r="E151" s="6">
        <f>D151-C151</f>
        <v>0</v>
      </c>
      <c r="F151" s="5">
        <f>IF(C151=0,"",E151/C151)</f>
        <v>0</v>
      </c>
    </row>
    <row r="152" spans="1:6">
      <c r="A152" t="s">
        <v>1</v>
      </c>
      <c r="B152" t="s">
        <v>451</v>
      </c>
      <c r="C152" s="6">
        <v>49391.78</v>
      </c>
      <c r="D152" s="6">
        <v>49413.28</v>
      </c>
      <c r="E152" s="6">
        <f>D152-C152</f>
        <v>0</v>
      </c>
      <c r="F152" s="5">
        <f>IF(C152=0,"",E152/C152)</f>
        <v>0</v>
      </c>
    </row>
    <row r="153" spans="1:6">
      <c r="A153" t="s">
        <v>1</v>
      </c>
      <c r="B153" t="s">
        <v>464</v>
      </c>
      <c r="C153" s="6">
        <v>45952.65</v>
      </c>
      <c r="D153" s="6">
        <v>45952.65</v>
      </c>
      <c r="E153" s="6">
        <f>D153-C153</f>
        <v>0</v>
      </c>
      <c r="F153" s="5">
        <f>IF(C153=0,"",E153/C153)</f>
        <v>0</v>
      </c>
    </row>
    <row r="154" spans="1:6">
      <c r="A154" t="s">
        <v>1</v>
      </c>
      <c r="B154" t="s">
        <v>478</v>
      </c>
      <c r="C154" s="6">
        <v>44917.3</v>
      </c>
      <c r="D154" s="6">
        <v>44953.15</v>
      </c>
      <c r="E154" s="6">
        <f>D154-C154</f>
        <v>0</v>
      </c>
      <c r="F154" s="5">
        <f>IF(C154=0,"",E154/C154)</f>
        <v>0</v>
      </c>
    </row>
    <row r="155" spans="1:6">
      <c r="A155" t="s">
        <v>1</v>
      </c>
      <c r="B155" t="s">
        <v>492</v>
      </c>
      <c r="C155" s="6">
        <v>70290.35000000001</v>
      </c>
      <c r="D155" s="6">
        <v>70302.35000000001</v>
      </c>
      <c r="E155" s="6">
        <f>D155-C155</f>
        <v>0</v>
      </c>
      <c r="F155" s="5">
        <f>IF(C155=0,"",E155/C155)</f>
        <v>0</v>
      </c>
    </row>
    <row r="156" spans="1:6">
      <c r="A156" t="s">
        <v>1</v>
      </c>
      <c r="B156" t="s">
        <v>501</v>
      </c>
      <c r="C156" s="6">
        <v>52435.82</v>
      </c>
      <c r="D156" s="6">
        <v>52488</v>
      </c>
      <c r="E156" s="6">
        <f>D156-C156</f>
        <v>0</v>
      </c>
      <c r="F156" s="5">
        <f>IF(C156=0,"",E156/C156)</f>
        <v>0</v>
      </c>
    </row>
    <row r="157" spans="1:6">
      <c r="A157" t="s">
        <v>1</v>
      </c>
      <c r="B157" t="s">
        <v>511</v>
      </c>
      <c r="C157" s="6">
        <v>54361.73</v>
      </c>
      <c r="D157" s="6">
        <v>54362.98</v>
      </c>
      <c r="E157" s="6">
        <f>D157-C157</f>
        <v>0</v>
      </c>
      <c r="F157" s="5">
        <f>IF(C157=0,"",E157/C157)</f>
        <v>0</v>
      </c>
    </row>
    <row r="158" spans="1:6">
      <c r="A158" t="s">
        <v>1</v>
      </c>
      <c r="B158" t="s">
        <v>523</v>
      </c>
      <c r="C158" s="6">
        <v>46881.71</v>
      </c>
      <c r="D158" s="6">
        <v>46882.26</v>
      </c>
      <c r="E158" s="6">
        <f>D158-C158</f>
        <v>0</v>
      </c>
      <c r="F158" s="5">
        <f>IF(C158=0,"",E158/C158)</f>
        <v>0</v>
      </c>
    </row>
    <row r="159" spans="1:6">
      <c r="A159" t="s">
        <v>1</v>
      </c>
      <c r="B159" t="s">
        <v>528</v>
      </c>
      <c r="C159" s="6">
        <v>40712.22</v>
      </c>
      <c r="D159" s="6">
        <v>40719.72</v>
      </c>
      <c r="E159" s="6">
        <f>D159-C159</f>
        <v>0</v>
      </c>
      <c r="F159" s="5">
        <f>IF(C159=0,"",E159/C159)</f>
        <v>0</v>
      </c>
    </row>
    <row r="160" spans="1:6">
      <c r="A160" t="s">
        <v>1</v>
      </c>
      <c r="B160" t="s">
        <v>538</v>
      </c>
      <c r="C160" s="6">
        <v>50957.25</v>
      </c>
      <c r="D160" s="6">
        <v>50959</v>
      </c>
      <c r="E160" s="6">
        <f>D160-C160</f>
        <v>0</v>
      </c>
      <c r="F160" s="5">
        <f>IF(C160=0,"",E160/C160)</f>
        <v>0</v>
      </c>
    </row>
    <row r="161" spans="1:6">
      <c r="A161" t="s">
        <v>1</v>
      </c>
      <c r="B161" t="s">
        <v>552</v>
      </c>
      <c r="C161" s="6">
        <v>38556.1</v>
      </c>
      <c r="D161" s="6">
        <v>38590.6</v>
      </c>
      <c r="E161" s="6">
        <f>D161-C161</f>
        <v>0</v>
      </c>
      <c r="F161" s="5">
        <f>IF(C161=0,"",E161/C161)</f>
        <v>0</v>
      </c>
    </row>
    <row r="162" spans="1:6">
      <c r="A162" t="s">
        <v>1</v>
      </c>
      <c r="B162" t="s">
        <v>558</v>
      </c>
      <c r="C162" s="6">
        <v>42866.36</v>
      </c>
      <c r="D162" s="6">
        <v>42880.66</v>
      </c>
      <c r="E162" s="6">
        <f>D162-C162</f>
        <v>0</v>
      </c>
      <c r="F162" s="5">
        <f>IF(C162=0,"",E162/C162)</f>
        <v>0</v>
      </c>
    </row>
    <row r="163" spans="1:6">
      <c r="A163" t="s">
        <v>1</v>
      </c>
      <c r="B163" t="s">
        <v>563</v>
      </c>
      <c r="C163" s="6">
        <v>50367.19</v>
      </c>
      <c r="D163" s="6">
        <v>50467.69</v>
      </c>
      <c r="E163" s="6">
        <f>D163-C163</f>
        <v>0</v>
      </c>
      <c r="F163" s="5">
        <f>IF(C163=0,"",E163/C163)</f>
        <v>0</v>
      </c>
    </row>
    <row r="164" spans="1:6">
      <c r="A164" t="s">
        <v>1</v>
      </c>
      <c r="B164" t="s">
        <v>571</v>
      </c>
      <c r="C164" s="6">
        <v>59377.14</v>
      </c>
      <c r="D164" s="6">
        <v>59394.77</v>
      </c>
      <c r="E164" s="6">
        <f>D164-C164</f>
        <v>0</v>
      </c>
      <c r="F164" s="5">
        <f>IF(C164=0,"",E164/C164)</f>
        <v>0</v>
      </c>
    </row>
    <row r="165" spans="1:6">
      <c r="A165" t="s">
        <v>1</v>
      </c>
      <c r="B165" t="s">
        <v>574</v>
      </c>
      <c r="C165" s="6">
        <v>43885.79</v>
      </c>
      <c r="D165" s="6">
        <v>43895.16</v>
      </c>
      <c r="E165" s="6">
        <f>D165-C165</f>
        <v>0</v>
      </c>
      <c r="F165" s="5">
        <f>IF(C165=0,"",E165/C165)</f>
        <v>0</v>
      </c>
    </row>
    <row r="166" spans="1:6">
      <c r="A166" t="s">
        <v>1</v>
      </c>
      <c r="B166" t="s">
        <v>585</v>
      </c>
      <c r="C166" s="6">
        <v>45040.98</v>
      </c>
      <c r="D166" s="6">
        <v>45048.88</v>
      </c>
      <c r="E166" s="6">
        <f>D166-C166</f>
        <v>0</v>
      </c>
      <c r="F166" s="5">
        <f>IF(C166=0,"",E166/C166)</f>
        <v>0</v>
      </c>
    </row>
    <row r="167" spans="1:6">
      <c r="A167" t="s">
        <v>1</v>
      </c>
      <c r="B167" t="s">
        <v>594</v>
      </c>
      <c r="C167" s="6">
        <v>54255.18</v>
      </c>
      <c r="D167" s="6">
        <v>54255.18</v>
      </c>
      <c r="E167" s="6">
        <f>D167-C167</f>
        <v>0</v>
      </c>
      <c r="F167" s="5">
        <f>IF(C167=0,"",E167/C167)</f>
        <v>0</v>
      </c>
    </row>
    <row r="168" spans="1:6">
      <c r="A168" t="s">
        <v>1</v>
      </c>
      <c r="B168" t="s">
        <v>607</v>
      </c>
      <c r="C168" s="6">
        <v>54085.47</v>
      </c>
      <c r="D168" s="6">
        <v>54086.22</v>
      </c>
      <c r="E168" s="6">
        <f>D168-C168</f>
        <v>0</v>
      </c>
      <c r="F168" s="5">
        <f>IF(C168=0,"",E168/C168)</f>
        <v>0</v>
      </c>
    </row>
    <row r="169" spans="1:6">
      <c r="A169" t="s">
        <v>1</v>
      </c>
      <c r="B169" t="s">
        <v>615</v>
      </c>
      <c r="C169" s="6">
        <v>45089.43</v>
      </c>
      <c r="D169" s="6">
        <v>45089.48</v>
      </c>
      <c r="E169" s="6">
        <f>D169-C169</f>
        <v>0</v>
      </c>
      <c r="F169" s="5">
        <f>IF(C169=0,"",E169/C169)</f>
        <v>0</v>
      </c>
    </row>
    <row r="170" spans="1:6">
      <c r="A170" t="s">
        <v>1</v>
      </c>
      <c r="B170" t="s">
        <v>624</v>
      </c>
      <c r="C170" s="6">
        <v>47328.55</v>
      </c>
      <c r="D170" s="6">
        <v>47338.35</v>
      </c>
      <c r="E170" s="6">
        <f>D170-C170</f>
        <v>0</v>
      </c>
      <c r="F170" s="5">
        <f>IF(C170=0,"",E170/C170)</f>
        <v>0</v>
      </c>
    </row>
    <row r="171" spans="1:6">
      <c r="A171" t="s">
        <v>1</v>
      </c>
      <c r="B171" t="s">
        <v>635</v>
      </c>
      <c r="C171" s="6">
        <v>44366.21</v>
      </c>
      <c r="D171" s="6">
        <v>44366.21</v>
      </c>
      <c r="E171" s="6">
        <f>D171-C171</f>
        <v>0</v>
      </c>
      <c r="F171" s="5">
        <f>IF(C171=0,"",E171/C171)</f>
        <v>0</v>
      </c>
    </row>
    <row r="172" spans="1:6">
      <c r="A172" t="s">
        <v>1</v>
      </c>
      <c r="B172" t="s">
        <v>645</v>
      </c>
      <c r="C172" s="6">
        <v>50398.59</v>
      </c>
      <c r="D172" s="6">
        <v>50398.59</v>
      </c>
      <c r="E172" s="6">
        <f>D172-C172</f>
        <v>0</v>
      </c>
      <c r="F172" s="5">
        <f>IF(C172=0,"",E172/C172)</f>
        <v>0</v>
      </c>
    </row>
    <row r="173" spans="1:6">
      <c r="A173" t="s">
        <v>1</v>
      </c>
      <c r="B173" t="s">
        <v>650</v>
      </c>
      <c r="C173" s="6">
        <v>43677.14</v>
      </c>
      <c r="D173" s="6">
        <v>43693.74</v>
      </c>
      <c r="E173" s="6">
        <f>D173-C173</f>
        <v>0</v>
      </c>
      <c r="F173" s="5">
        <f>IF(C173=0,"",E173/C173)</f>
        <v>0</v>
      </c>
    </row>
    <row r="174" spans="1:6">
      <c r="A174" t="s">
        <v>1</v>
      </c>
      <c r="B174" t="s">
        <v>658</v>
      </c>
      <c r="C174" s="6">
        <v>53697.26</v>
      </c>
      <c r="D174" s="6">
        <v>53706.36</v>
      </c>
      <c r="E174" s="6">
        <f>D174-C174</f>
        <v>0</v>
      </c>
      <c r="F174" s="5">
        <f>IF(C174=0,"",E174/C174)</f>
        <v>0</v>
      </c>
    </row>
    <row r="175" spans="1:6">
      <c r="A175" t="s">
        <v>1</v>
      </c>
      <c r="B175" t="s">
        <v>673</v>
      </c>
      <c r="C175" s="6">
        <v>48922.6</v>
      </c>
      <c r="D175" s="6">
        <v>48924.1</v>
      </c>
      <c r="E175" s="6">
        <f>D175-C175</f>
        <v>0</v>
      </c>
      <c r="F175" s="5">
        <f>IF(C175=0,"",E175/C175)</f>
        <v>0</v>
      </c>
    </row>
    <row r="176" spans="1:6">
      <c r="A176" t="s">
        <v>1</v>
      </c>
      <c r="B176" t="s">
        <v>681</v>
      </c>
      <c r="C176" s="6">
        <v>50160.63</v>
      </c>
      <c r="D176" s="6">
        <v>50199.63</v>
      </c>
      <c r="E176" s="6">
        <f>D176-C176</f>
        <v>0</v>
      </c>
      <c r="F176" s="5">
        <f>IF(C176=0,"",E176/C176)</f>
        <v>0</v>
      </c>
    </row>
    <row r="177" spans="1:6">
      <c r="A177" t="s">
        <v>1</v>
      </c>
      <c r="B177" t="s">
        <v>689</v>
      </c>
      <c r="C177" s="6">
        <v>55678.12</v>
      </c>
      <c r="D177" s="6">
        <v>55682.37</v>
      </c>
      <c r="E177" s="6">
        <f>D177-C177</f>
        <v>0</v>
      </c>
      <c r="F177" s="5">
        <f>IF(C177=0,"",E177/C177)</f>
        <v>0</v>
      </c>
    </row>
    <row r="178" spans="1:6">
      <c r="A178" t="s">
        <v>1</v>
      </c>
      <c r="B178" t="s">
        <v>701</v>
      </c>
      <c r="C178" s="6">
        <v>51005.82</v>
      </c>
      <c r="D178" s="6">
        <v>51005.82</v>
      </c>
      <c r="E178" s="6">
        <f>D178-C178</f>
        <v>0</v>
      </c>
      <c r="F178" s="5">
        <f>IF(C178=0,"",E178/C178)</f>
        <v>0</v>
      </c>
    </row>
    <row r="179" spans="1:6">
      <c r="A179" t="s">
        <v>1</v>
      </c>
      <c r="B179" t="s">
        <v>708</v>
      </c>
      <c r="C179" s="6">
        <v>48594.12</v>
      </c>
      <c r="D179" s="6">
        <v>48596.37</v>
      </c>
      <c r="E179" s="6">
        <f>D179-C179</f>
        <v>0</v>
      </c>
      <c r="F179" s="5">
        <f>IF(C179=0,"",E179/C179)</f>
        <v>0</v>
      </c>
    </row>
    <row r="180" spans="1:6">
      <c r="A180" t="s">
        <v>1</v>
      </c>
      <c r="B180" t="s">
        <v>719</v>
      </c>
      <c r="C180" s="6">
        <v>54227.55</v>
      </c>
      <c r="D180" s="6">
        <v>54227.55</v>
      </c>
      <c r="E180" s="6">
        <f>D180-C180</f>
        <v>0</v>
      </c>
      <c r="F180" s="5">
        <f>IF(C180=0,"",E180/C180)</f>
        <v>0</v>
      </c>
    </row>
    <row r="181" spans="1:6">
      <c r="A181" t="s">
        <v>1</v>
      </c>
      <c r="B181" t="s">
        <v>727</v>
      </c>
      <c r="C181" s="6">
        <v>51618.19</v>
      </c>
      <c r="D181" s="6">
        <v>51635.06</v>
      </c>
      <c r="E181" s="6">
        <f>D181-C181</f>
        <v>0</v>
      </c>
      <c r="F181" s="5">
        <f>IF(C181=0,"",E181/C181)</f>
        <v>0</v>
      </c>
    </row>
    <row r="182" spans="1:6">
      <c r="A182" t="s">
        <v>1</v>
      </c>
      <c r="B182" t="s">
        <v>734</v>
      </c>
      <c r="C182" s="6">
        <v>47357.3</v>
      </c>
      <c r="D182" s="6">
        <v>47357.35</v>
      </c>
      <c r="E182" s="6">
        <f>D182-C182</f>
        <v>0</v>
      </c>
      <c r="F182" s="5">
        <f>IF(C182=0,"",E182/C182)</f>
        <v>0</v>
      </c>
    </row>
    <row r="183" spans="1:6">
      <c r="A183" t="s">
        <v>1</v>
      </c>
      <c r="B183" t="s">
        <v>746</v>
      </c>
      <c r="C183" s="6">
        <v>47801.01</v>
      </c>
      <c r="D183" s="6">
        <v>47823.51</v>
      </c>
      <c r="E183" s="6">
        <f>D183-C183</f>
        <v>0</v>
      </c>
      <c r="F183" s="5">
        <f>IF(C183=0,"",E183/C183)</f>
        <v>0</v>
      </c>
    </row>
    <row r="184" spans="1:6">
      <c r="A184" t="s">
        <v>1</v>
      </c>
      <c r="B184" t="s">
        <v>755</v>
      </c>
      <c r="C184" s="6">
        <v>57985</v>
      </c>
      <c r="D184" s="6">
        <v>57990.3</v>
      </c>
      <c r="E184" s="6">
        <f>D184-C184</f>
        <v>0</v>
      </c>
      <c r="F184" s="5">
        <f>IF(C184=0,"",E184/C184)</f>
        <v>0</v>
      </c>
    </row>
    <row r="185" spans="1:6">
      <c r="A185" t="s">
        <v>1</v>
      </c>
      <c r="B185" t="s">
        <v>765</v>
      </c>
      <c r="C185" s="6">
        <v>58755.66</v>
      </c>
      <c r="D185" s="6">
        <v>58774.66</v>
      </c>
      <c r="E185" s="6">
        <f>D185-C185</f>
        <v>0</v>
      </c>
      <c r="F185" s="5">
        <f>IF(C185=0,"",E185/C185)</f>
        <v>0</v>
      </c>
    </row>
    <row r="186" spans="1:6">
      <c r="A186" t="s">
        <v>1</v>
      </c>
      <c r="B186" t="s">
        <v>775</v>
      </c>
      <c r="C186" s="6">
        <v>39161.14</v>
      </c>
      <c r="D186" s="6">
        <v>39174.51</v>
      </c>
      <c r="E186" s="6">
        <f>D186-C186</f>
        <v>0</v>
      </c>
      <c r="F186" s="5">
        <f>IF(C186=0,"",E186/C186)</f>
        <v>0</v>
      </c>
    </row>
    <row r="187" spans="1:6">
      <c r="A187" t="s">
        <v>1</v>
      </c>
      <c r="B187" t="s">
        <v>779</v>
      </c>
      <c r="C187" s="6">
        <v>46772.89</v>
      </c>
      <c r="D187" s="6">
        <v>46772.94</v>
      </c>
      <c r="E187" s="6">
        <f>D187-C187</f>
        <v>0</v>
      </c>
      <c r="F187" s="5">
        <f>IF(C187=0,"",E187/C187)</f>
        <v>0</v>
      </c>
    </row>
    <row r="188" spans="1:6">
      <c r="A188" t="s">
        <v>1</v>
      </c>
      <c r="B188" t="s">
        <v>788</v>
      </c>
      <c r="C188" s="6">
        <v>46615.96</v>
      </c>
      <c r="D188" s="6">
        <v>46615.96</v>
      </c>
      <c r="E188" s="6">
        <f>D188-C188</f>
        <v>0</v>
      </c>
      <c r="F188" s="5">
        <f>IF(C188=0,"",E188/C188)</f>
        <v>0</v>
      </c>
    </row>
    <row r="189" spans="1:6">
      <c r="A189" t="s">
        <v>1</v>
      </c>
      <c r="B189" t="s">
        <v>799</v>
      </c>
      <c r="C189" s="6">
        <v>48131.66</v>
      </c>
      <c r="D189" s="6">
        <v>48131.66</v>
      </c>
      <c r="E189" s="6">
        <f>D189-C189</f>
        <v>0</v>
      </c>
      <c r="F189" s="5">
        <f>IF(C189=0,"",E189/C189)</f>
        <v>0</v>
      </c>
    </row>
    <row r="190" spans="1:6">
      <c r="A190" t="s">
        <v>1</v>
      </c>
      <c r="B190" t="s">
        <v>805</v>
      </c>
      <c r="C190" s="6">
        <v>49037.57</v>
      </c>
      <c r="D190" s="6">
        <v>49038.22</v>
      </c>
      <c r="E190" s="6">
        <f>D190-C190</f>
        <v>0</v>
      </c>
      <c r="F190" s="5">
        <f>IF(C190=0,"",E190/C190)</f>
        <v>0</v>
      </c>
    </row>
    <row r="191" spans="1:6">
      <c r="A191" t="s">
        <v>1</v>
      </c>
      <c r="B191" t="s">
        <v>814</v>
      </c>
      <c r="C191" s="6">
        <v>52091.95</v>
      </c>
      <c r="D191" s="6">
        <v>52093.95</v>
      </c>
      <c r="E191" s="6">
        <f>D191-C191</f>
        <v>0</v>
      </c>
      <c r="F191" s="5">
        <f>IF(C191=0,"",E191/C191)</f>
        <v>0</v>
      </c>
    </row>
    <row r="192" spans="1:6">
      <c r="A192" t="s">
        <v>1</v>
      </c>
      <c r="B192" t="s">
        <v>829</v>
      </c>
      <c r="C192" s="6">
        <v>43929.43</v>
      </c>
      <c r="D192" s="6">
        <v>43933.98</v>
      </c>
      <c r="E192" s="6">
        <f>D192-C192</f>
        <v>0</v>
      </c>
      <c r="F192" s="5">
        <f>IF(C192=0,"",E192/C192)</f>
        <v>0</v>
      </c>
    </row>
    <row r="193" spans="1:6">
      <c r="A193" t="s">
        <v>1</v>
      </c>
      <c r="B193" t="s">
        <v>836</v>
      </c>
      <c r="C193" s="6">
        <v>52128.28</v>
      </c>
      <c r="D193" s="6">
        <v>52128.28</v>
      </c>
      <c r="E193" s="6">
        <f>D193-C193</f>
        <v>0</v>
      </c>
      <c r="F193" s="5">
        <f>IF(C193=0,"",E193/C193)</f>
        <v>0</v>
      </c>
    </row>
    <row r="194" spans="1:6">
      <c r="A194" t="s">
        <v>1</v>
      </c>
      <c r="B194" t="s">
        <v>846</v>
      </c>
      <c r="C194" s="6">
        <v>44602.73</v>
      </c>
      <c r="D194" s="6">
        <v>44602.73</v>
      </c>
      <c r="E194" s="6">
        <f>D194-C194</f>
        <v>0</v>
      </c>
      <c r="F194" s="5">
        <f>IF(C194=0,"",E194/C194)</f>
        <v>0</v>
      </c>
    </row>
    <row r="195" spans="1:6">
      <c r="A195" t="s">
        <v>1</v>
      </c>
      <c r="B195" t="s">
        <v>851</v>
      </c>
      <c r="C195" s="6">
        <v>58281.13</v>
      </c>
      <c r="D195" s="6">
        <v>58281.23</v>
      </c>
      <c r="E195" s="6">
        <f>D195-C195</f>
        <v>0</v>
      </c>
      <c r="F195" s="5">
        <f>IF(C195=0,"",E195/C195)</f>
        <v>0</v>
      </c>
    </row>
    <row r="196" spans="1:6">
      <c r="A196" t="s">
        <v>1</v>
      </c>
      <c r="B196" t="s">
        <v>858</v>
      </c>
      <c r="C196" s="6">
        <v>45043.93</v>
      </c>
      <c r="D196" s="6">
        <v>45043.93</v>
      </c>
      <c r="E196" s="6">
        <f>D196-C196</f>
        <v>0</v>
      </c>
      <c r="F196" s="5">
        <f>IF(C196=0,"",E196/C196)</f>
        <v>0</v>
      </c>
    </row>
    <row r="197" spans="1:6">
      <c r="A197" t="s">
        <v>1</v>
      </c>
      <c r="B197" t="s">
        <v>868</v>
      </c>
      <c r="C197" s="6">
        <v>46727.15</v>
      </c>
      <c r="D197" s="6">
        <v>46727.15</v>
      </c>
      <c r="E197" s="6">
        <f>D197-C197</f>
        <v>0</v>
      </c>
      <c r="F197" s="5">
        <f>IF(C197=0,"",E197/C197)</f>
        <v>0</v>
      </c>
    </row>
    <row r="198" spans="1:6">
      <c r="A198" t="s">
        <v>1</v>
      </c>
      <c r="B198" t="s">
        <v>876</v>
      </c>
      <c r="C198" s="6">
        <v>55992.82</v>
      </c>
      <c r="D198" s="6">
        <v>55992.82</v>
      </c>
      <c r="E198" s="6">
        <f>D198-C198</f>
        <v>0</v>
      </c>
      <c r="F198" s="5">
        <f>IF(C198=0,"",E198/C198)</f>
        <v>0</v>
      </c>
    </row>
    <row r="199" spans="1:6">
      <c r="A199" t="s">
        <v>1</v>
      </c>
      <c r="B199" t="s">
        <v>880</v>
      </c>
      <c r="C199" s="6">
        <v>56350.27</v>
      </c>
      <c r="D199" s="6">
        <v>56351.77</v>
      </c>
      <c r="E199" s="6">
        <f>D199-C199</f>
        <v>0</v>
      </c>
      <c r="F199" s="5">
        <f>IF(C199=0,"",E199/C199)</f>
        <v>0</v>
      </c>
    </row>
    <row r="200" spans="1:6">
      <c r="A200" t="s">
        <v>1</v>
      </c>
      <c r="B200" t="s">
        <v>891</v>
      </c>
      <c r="C200" s="6">
        <v>45865.04</v>
      </c>
      <c r="D200" s="6">
        <v>45878.29</v>
      </c>
      <c r="E200" s="6">
        <f>D200-C200</f>
        <v>0</v>
      </c>
      <c r="F200" s="5">
        <f>IF(C200=0,"",E200/C200)</f>
        <v>0</v>
      </c>
    </row>
    <row r="201" spans="1:6">
      <c r="A201" t="s">
        <v>1</v>
      </c>
      <c r="B201" t="s">
        <v>903</v>
      </c>
      <c r="C201" s="6">
        <v>44511.82</v>
      </c>
      <c r="D201" s="6">
        <v>44531.17</v>
      </c>
      <c r="E201" s="6">
        <f>D201-C201</f>
        <v>0</v>
      </c>
      <c r="F201" s="5">
        <f>IF(C201=0,"",E201/C201)</f>
        <v>0</v>
      </c>
    </row>
    <row r="202" spans="1:6">
      <c r="A202" t="s">
        <v>1</v>
      </c>
      <c r="B202" t="s">
        <v>915</v>
      </c>
      <c r="C202" s="6">
        <v>52203.05</v>
      </c>
      <c r="D202" s="6">
        <v>52203.05</v>
      </c>
      <c r="E202" s="6">
        <f>D202-C202</f>
        <v>0</v>
      </c>
      <c r="F202" s="5">
        <f>IF(C202=0,"",E202/C202)</f>
        <v>0</v>
      </c>
    </row>
    <row r="203" spans="1:6">
      <c r="A203" t="s">
        <v>1</v>
      </c>
      <c r="B203" t="s">
        <v>922</v>
      </c>
      <c r="C203" s="6">
        <v>61099.9</v>
      </c>
      <c r="D203" s="6">
        <v>61100</v>
      </c>
      <c r="E203" s="6">
        <f>D203-C203</f>
        <v>0</v>
      </c>
      <c r="F203" s="5">
        <f>IF(C203=0,"",E203/C203)</f>
        <v>0</v>
      </c>
    </row>
    <row r="204" spans="1:6">
      <c r="A204" t="s">
        <v>1</v>
      </c>
      <c r="B204" t="s">
        <v>934</v>
      </c>
      <c r="C204" s="6">
        <v>52820.84</v>
      </c>
      <c r="D204" s="6">
        <v>52836.59</v>
      </c>
      <c r="E204" s="6">
        <f>D204-C204</f>
        <v>0</v>
      </c>
      <c r="F204" s="5">
        <f>IF(C204=0,"",E204/C204)</f>
        <v>0</v>
      </c>
    </row>
    <row r="205" spans="1:6">
      <c r="A205" t="s">
        <v>1</v>
      </c>
      <c r="B205" t="s">
        <v>944</v>
      </c>
      <c r="C205" s="6">
        <v>56206.91</v>
      </c>
      <c r="D205" s="6">
        <v>56207.66</v>
      </c>
      <c r="E205" s="6">
        <f>D205-C205</f>
        <v>0</v>
      </c>
      <c r="F205" s="5">
        <f>IF(C205=0,"",E205/C205)</f>
        <v>0</v>
      </c>
    </row>
    <row r="206" spans="1:6">
      <c r="A206" t="s">
        <v>1</v>
      </c>
      <c r="B206" t="s">
        <v>952</v>
      </c>
      <c r="C206" s="6">
        <v>47114.92</v>
      </c>
      <c r="D206" s="6">
        <v>47116.87</v>
      </c>
      <c r="E206" s="6">
        <f>D206-C206</f>
        <v>0</v>
      </c>
      <c r="F206" s="5">
        <f>IF(C206=0,"",E206/C206)</f>
        <v>0</v>
      </c>
    </row>
    <row r="207" spans="1:6">
      <c r="A207" t="s">
        <v>1</v>
      </c>
      <c r="B207" t="s">
        <v>961</v>
      </c>
      <c r="C207" s="6">
        <v>57283.98</v>
      </c>
      <c r="D207" s="6">
        <v>57294.08</v>
      </c>
      <c r="E207" s="6">
        <f>D207-C207</f>
        <v>0</v>
      </c>
      <c r="F207" s="5">
        <f>IF(C207=0,"",E207/C207)</f>
        <v>0</v>
      </c>
    </row>
    <row r="208" spans="1:6">
      <c r="A208" t="s">
        <v>1</v>
      </c>
      <c r="B208" t="s">
        <v>966</v>
      </c>
      <c r="C208" s="6">
        <v>53254.43</v>
      </c>
      <c r="D208" s="6">
        <v>53277.03</v>
      </c>
      <c r="E208" s="6">
        <f>D208-C208</f>
        <v>0</v>
      </c>
      <c r="F208" s="5">
        <f>IF(C208=0,"",E208/C208)</f>
        <v>0</v>
      </c>
    </row>
    <row r="209" spans="1:6">
      <c r="A209" t="s">
        <v>1</v>
      </c>
      <c r="B209" t="s">
        <v>980</v>
      </c>
      <c r="C209" s="6">
        <v>53051.31</v>
      </c>
      <c r="D209" s="6">
        <v>53055.11</v>
      </c>
      <c r="E209" s="6">
        <f>D209-C209</f>
        <v>0</v>
      </c>
      <c r="F209" s="5">
        <f>IF(C209=0,"",E209/C209)</f>
        <v>0</v>
      </c>
    </row>
    <row r="210" spans="1:6">
      <c r="A210" t="s">
        <v>1</v>
      </c>
      <c r="B210" t="s">
        <v>992</v>
      </c>
      <c r="C210" s="6">
        <v>48243.38</v>
      </c>
      <c r="D210" s="6">
        <v>48245.08</v>
      </c>
      <c r="E210" s="6">
        <f>D210-C210</f>
        <v>0</v>
      </c>
      <c r="F210" s="5">
        <f>IF(C210=0,"",E210/C210)</f>
        <v>0</v>
      </c>
    </row>
    <row r="211" spans="1:6">
      <c r="A211" t="s">
        <v>1</v>
      </c>
      <c r="B211" t="s">
        <v>1002</v>
      </c>
      <c r="C211" s="6">
        <v>21472.51</v>
      </c>
      <c r="D211" s="6">
        <v>21498.01</v>
      </c>
      <c r="E211" s="6">
        <f>D211-C211</f>
        <v>0</v>
      </c>
      <c r="F211" s="5">
        <f>IF(C211=0,"",E211/C211)</f>
        <v>0</v>
      </c>
    </row>
    <row r="212" spans="1:6">
      <c r="A212" t="s">
        <v>2</v>
      </c>
      <c r="B212" t="s">
        <v>30</v>
      </c>
      <c r="C212" s="6">
        <v>43423.29</v>
      </c>
      <c r="D212" s="6">
        <v>41732.48</v>
      </c>
      <c r="E212" s="6">
        <f>D212-C212</f>
        <v>0</v>
      </c>
      <c r="F212" s="5">
        <f>IF(C212=0,"",E212/C212)</f>
        <v>0</v>
      </c>
    </row>
    <row r="213" spans="1:6">
      <c r="A213" t="s">
        <v>2</v>
      </c>
      <c r="B213" t="s">
        <v>47</v>
      </c>
      <c r="C213" s="6">
        <v>37595.32</v>
      </c>
      <c r="D213" s="6">
        <v>36396.77</v>
      </c>
      <c r="E213" s="6">
        <f>D213-C213</f>
        <v>0</v>
      </c>
      <c r="F213" s="5">
        <f>IF(C213=0,"",E213/C213)</f>
        <v>0</v>
      </c>
    </row>
    <row r="214" spans="1:6">
      <c r="A214" t="s">
        <v>2</v>
      </c>
      <c r="B214" t="s">
        <v>62</v>
      </c>
      <c r="C214" s="6">
        <v>46240.87</v>
      </c>
      <c r="D214" s="6">
        <v>44452.45</v>
      </c>
      <c r="E214" s="6">
        <f>D214-C214</f>
        <v>0</v>
      </c>
      <c r="F214" s="5">
        <f>IF(C214=0,"",E214/C214)</f>
        <v>0</v>
      </c>
    </row>
    <row r="215" spans="1:6">
      <c r="A215" t="s">
        <v>2</v>
      </c>
      <c r="B215" t="s">
        <v>71</v>
      </c>
      <c r="C215" s="6">
        <v>43268.41</v>
      </c>
      <c r="D215" s="6">
        <v>41077.9</v>
      </c>
      <c r="E215" s="6">
        <f>D215-C215</f>
        <v>0</v>
      </c>
      <c r="F215" s="5">
        <f>IF(C215=0,"",E215/C215)</f>
        <v>0</v>
      </c>
    </row>
    <row r="216" spans="1:6">
      <c r="A216" t="s">
        <v>2</v>
      </c>
      <c r="B216" t="s">
        <v>86</v>
      </c>
      <c r="C216" s="6">
        <v>44016.51</v>
      </c>
      <c r="D216" s="6">
        <v>42481.41</v>
      </c>
      <c r="E216" s="6">
        <f>D216-C216</f>
        <v>0</v>
      </c>
      <c r="F216" s="5">
        <f>IF(C216=0,"",E216/C216)</f>
        <v>0</v>
      </c>
    </row>
    <row r="217" spans="1:6">
      <c r="A217" t="s">
        <v>2</v>
      </c>
      <c r="B217" t="s">
        <v>97</v>
      </c>
      <c r="C217" s="6">
        <v>59499.14</v>
      </c>
      <c r="D217" s="6">
        <v>57159.84</v>
      </c>
      <c r="E217" s="6">
        <f>D217-C217</f>
        <v>0</v>
      </c>
      <c r="F217" s="5">
        <f>IF(C217=0,"",E217/C217)</f>
        <v>0</v>
      </c>
    </row>
    <row r="218" spans="1:6">
      <c r="A218" t="s">
        <v>2</v>
      </c>
      <c r="B218" t="s">
        <v>103</v>
      </c>
      <c r="C218" s="6">
        <v>50023.82</v>
      </c>
      <c r="D218" s="6">
        <v>48391.74</v>
      </c>
      <c r="E218" s="6">
        <f>D218-C218</f>
        <v>0</v>
      </c>
      <c r="F218" s="5">
        <f>IF(C218=0,"",E218/C218)</f>
        <v>0</v>
      </c>
    </row>
    <row r="219" spans="1:6">
      <c r="A219" t="s">
        <v>2</v>
      </c>
      <c r="B219" t="s">
        <v>121</v>
      </c>
      <c r="C219" s="6">
        <v>43909.69</v>
      </c>
      <c r="D219" s="6">
        <v>42270.69</v>
      </c>
      <c r="E219" s="6">
        <f>D219-C219</f>
        <v>0</v>
      </c>
      <c r="F219" s="5">
        <f>IF(C219=0,"",E219/C219)</f>
        <v>0</v>
      </c>
    </row>
    <row r="220" spans="1:6">
      <c r="A220" t="s">
        <v>2</v>
      </c>
      <c r="B220" t="s">
        <v>134</v>
      </c>
      <c r="C220" s="6">
        <v>42523.34</v>
      </c>
      <c r="D220" s="6">
        <v>40601.13</v>
      </c>
      <c r="E220" s="6">
        <f>D220-C220</f>
        <v>0</v>
      </c>
      <c r="F220" s="5">
        <f>IF(C220=0,"",E220/C220)</f>
        <v>0</v>
      </c>
    </row>
    <row r="221" spans="1:6">
      <c r="A221" t="s">
        <v>2</v>
      </c>
      <c r="B221" t="s">
        <v>143</v>
      </c>
      <c r="C221" s="6">
        <v>56860.99</v>
      </c>
      <c r="D221" s="6">
        <v>54560.75</v>
      </c>
      <c r="E221" s="6">
        <f>D221-C221</f>
        <v>0</v>
      </c>
      <c r="F221" s="5">
        <f>IF(C221=0,"",E221/C221)</f>
        <v>0</v>
      </c>
    </row>
    <row r="222" spans="1:6">
      <c r="A222" t="s">
        <v>2</v>
      </c>
      <c r="B222" t="s">
        <v>154</v>
      </c>
      <c r="C222" s="6">
        <v>45239.8</v>
      </c>
      <c r="D222" s="6">
        <v>43745.15</v>
      </c>
      <c r="E222" s="6">
        <f>D222-C222</f>
        <v>0</v>
      </c>
      <c r="F222" s="5">
        <f>IF(C222=0,"",E222/C222)</f>
        <v>0</v>
      </c>
    </row>
    <row r="223" spans="1:6">
      <c r="A223" t="s">
        <v>2</v>
      </c>
      <c r="B223" t="s">
        <v>160</v>
      </c>
      <c r="C223" s="6">
        <v>45935.82</v>
      </c>
      <c r="D223" s="6">
        <v>44774.47</v>
      </c>
      <c r="E223" s="6">
        <f>D223-C223</f>
        <v>0</v>
      </c>
      <c r="F223" s="5">
        <f>IF(C223=0,"",E223/C223)</f>
        <v>0</v>
      </c>
    </row>
    <row r="224" spans="1:6">
      <c r="A224" t="s">
        <v>2</v>
      </c>
      <c r="B224" t="s">
        <v>170</v>
      </c>
      <c r="C224" s="6">
        <v>50148.32</v>
      </c>
      <c r="D224" s="6">
        <v>46706.38</v>
      </c>
      <c r="E224" s="6">
        <f>D224-C224</f>
        <v>0</v>
      </c>
      <c r="F224" s="5">
        <f>IF(C224=0,"",E224/C224)</f>
        <v>0</v>
      </c>
    </row>
    <row r="225" spans="1:6">
      <c r="A225" t="s">
        <v>2</v>
      </c>
      <c r="B225" t="s">
        <v>180</v>
      </c>
      <c r="C225" s="6">
        <v>54524.67</v>
      </c>
      <c r="D225" s="6">
        <v>52507.96</v>
      </c>
      <c r="E225" s="6">
        <f>D225-C225</f>
        <v>0</v>
      </c>
      <c r="F225" s="5">
        <f>IF(C225=0,"",E225/C225)</f>
        <v>0</v>
      </c>
    </row>
    <row r="226" spans="1:6">
      <c r="A226" t="s">
        <v>2</v>
      </c>
      <c r="B226" t="s">
        <v>193</v>
      </c>
      <c r="C226" s="6">
        <v>46398.88</v>
      </c>
      <c r="D226" s="6">
        <v>44736.94</v>
      </c>
      <c r="E226" s="6">
        <f>D226-C226</f>
        <v>0</v>
      </c>
      <c r="F226" s="5">
        <f>IF(C226=0,"",E226/C226)</f>
        <v>0</v>
      </c>
    </row>
    <row r="227" spans="1:6">
      <c r="A227" t="s">
        <v>2</v>
      </c>
      <c r="B227" t="s">
        <v>205</v>
      </c>
      <c r="C227" s="6">
        <v>45135.3</v>
      </c>
      <c r="D227" s="6">
        <v>42900.44</v>
      </c>
      <c r="E227" s="6">
        <f>D227-C227</f>
        <v>0</v>
      </c>
      <c r="F227" s="5">
        <f>IF(C227=0,"",E227/C227)</f>
        <v>0</v>
      </c>
    </row>
    <row r="228" spans="1:6">
      <c r="A228" t="s">
        <v>2</v>
      </c>
      <c r="B228" t="s">
        <v>216</v>
      </c>
      <c r="C228" s="6">
        <v>43941.19</v>
      </c>
      <c r="D228" s="6">
        <v>41871.4</v>
      </c>
      <c r="E228" s="6">
        <f>D228-C228</f>
        <v>0</v>
      </c>
      <c r="F228" s="5">
        <f>IF(C228=0,"",E228/C228)</f>
        <v>0</v>
      </c>
    </row>
    <row r="229" spans="1:6">
      <c r="A229" t="s">
        <v>2</v>
      </c>
      <c r="B229" t="s">
        <v>226</v>
      </c>
      <c r="C229" s="6">
        <v>52913.48</v>
      </c>
      <c r="D229" s="6">
        <v>51386.37</v>
      </c>
      <c r="E229" s="6">
        <f>D229-C229</f>
        <v>0</v>
      </c>
      <c r="F229" s="5">
        <f>IF(C229=0,"",E229/C229)</f>
        <v>0</v>
      </c>
    </row>
    <row r="230" spans="1:6">
      <c r="A230" t="s">
        <v>2</v>
      </c>
      <c r="B230" t="s">
        <v>231</v>
      </c>
      <c r="C230" s="6">
        <v>58513.25</v>
      </c>
      <c r="D230" s="6">
        <v>56286.44</v>
      </c>
      <c r="E230" s="6">
        <f>D230-C230</f>
        <v>0</v>
      </c>
      <c r="F230" s="5">
        <f>IF(C230=0,"",E230/C230)</f>
        <v>0</v>
      </c>
    </row>
    <row r="231" spans="1:6">
      <c r="A231" t="s">
        <v>2</v>
      </c>
      <c r="B231" t="s">
        <v>238</v>
      </c>
      <c r="C231" s="6">
        <v>51165.16</v>
      </c>
      <c r="D231" s="6">
        <v>48853.02</v>
      </c>
      <c r="E231" s="6">
        <f>D231-C231</f>
        <v>0</v>
      </c>
      <c r="F231" s="5">
        <f>IF(C231=0,"",E231/C231)</f>
        <v>0</v>
      </c>
    </row>
    <row r="232" spans="1:6">
      <c r="A232" t="s">
        <v>2</v>
      </c>
      <c r="B232" t="s">
        <v>251</v>
      </c>
      <c r="C232" s="6">
        <v>55435.98</v>
      </c>
      <c r="D232" s="6">
        <v>53748.97</v>
      </c>
      <c r="E232" s="6">
        <f>D232-C232</f>
        <v>0</v>
      </c>
      <c r="F232" s="5">
        <f>IF(C232=0,"",E232/C232)</f>
        <v>0</v>
      </c>
    </row>
    <row r="233" spans="1:6">
      <c r="A233" t="s">
        <v>2</v>
      </c>
      <c r="B233" t="s">
        <v>254</v>
      </c>
      <c r="C233" s="6">
        <v>51262.96</v>
      </c>
      <c r="D233" s="6">
        <v>49590.83</v>
      </c>
      <c r="E233" s="6">
        <f>D233-C233</f>
        <v>0</v>
      </c>
      <c r="F233" s="5">
        <f>IF(C233=0,"",E233/C233)</f>
        <v>0</v>
      </c>
    </row>
    <row r="234" spans="1:6">
      <c r="A234" t="s">
        <v>2</v>
      </c>
      <c r="B234" t="s">
        <v>264</v>
      </c>
      <c r="C234" s="6">
        <v>58106.18</v>
      </c>
      <c r="D234" s="6">
        <v>54915.54</v>
      </c>
      <c r="E234" s="6">
        <f>D234-C234</f>
        <v>0</v>
      </c>
      <c r="F234" s="5">
        <f>IF(C234=0,"",E234/C234)</f>
        <v>0</v>
      </c>
    </row>
    <row r="235" spans="1:6">
      <c r="A235" t="s">
        <v>2</v>
      </c>
      <c r="B235" t="s">
        <v>273</v>
      </c>
      <c r="C235" s="6">
        <v>54685.85</v>
      </c>
      <c r="D235" s="6">
        <v>48823.7611</v>
      </c>
      <c r="E235" s="6">
        <f>D235-C235</f>
        <v>0</v>
      </c>
      <c r="F235" s="5">
        <f>IF(C235=0,"",E235/C235)</f>
        <v>0</v>
      </c>
    </row>
    <row r="236" spans="1:6">
      <c r="A236" t="s">
        <v>2</v>
      </c>
      <c r="B236" t="s">
        <v>284</v>
      </c>
      <c r="C236" s="6">
        <v>45209.79</v>
      </c>
      <c r="D236" s="6">
        <v>43679.2</v>
      </c>
      <c r="E236" s="6">
        <f>D236-C236</f>
        <v>0</v>
      </c>
      <c r="F236" s="5">
        <f>IF(C236=0,"",E236/C236)</f>
        <v>0</v>
      </c>
    </row>
    <row r="237" spans="1:6">
      <c r="A237" t="s">
        <v>2</v>
      </c>
      <c r="B237" t="s">
        <v>289</v>
      </c>
      <c r="C237" s="6">
        <v>66970.75</v>
      </c>
      <c r="D237" s="6">
        <v>64294.36</v>
      </c>
      <c r="E237" s="6">
        <f>D237-C237</f>
        <v>0</v>
      </c>
      <c r="F237" s="5">
        <f>IF(C237=0,"",E237/C237)</f>
        <v>0</v>
      </c>
    </row>
    <row r="238" spans="1:6">
      <c r="A238" t="s">
        <v>2</v>
      </c>
      <c r="B238" t="s">
        <v>299</v>
      </c>
      <c r="C238" s="6">
        <v>51552.22</v>
      </c>
      <c r="D238" s="6">
        <v>50117.31</v>
      </c>
      <c r="E238" s="6">
        <f>D238-C238</f>
        <v>0</v>
      </c>
      <c r="F238" s="5">
        <f>IF(C238=0,"",E238/C238)</f>
        <v>0</v>
      </c>
    </row>
    <row r="239" spans="1:6">
      <c r="A239" t="s">
        <v>2</v>
      </c>
      <c r="B239" t="s">
        <v>306</v>
      </c>
      <c r="C239" s="6">
        <v>45244.87</v>
      </c>
      <c r="D239" s="6">
        <v>43441.67</v>
      </c>
      <c r="E239" s="6">
        <f>D239-C239</f>
        <v>0</v>
      </c>
      <c r="F239" s="5">
        <f>IF(C239=0,"",E239/C239)</f>
        <v>0</v>
      </c>
    </row>
    <row r="240" spans="1:6">
      <c r="A240" t="s">
        <v>2</v>
      </c>
      <c r="B240" t="s">
        <v>313</v>
      </c>
      <c r="C240" s="6">
        <v>41872.98</v>
      </c>
      <c r="D240" s="6">
        <v>39868.61</v>
      </c>
      <c r="E240" s="6">
        <f>D240-C240</f>
        <v>0</v>
      </c>
      <c r="F240" s="5">
        <f>IF(C240=0,"",E240/C240)</f>
        <v>0</v>
      </c>
    </row>
    <row r="241" spans="1:6">
      <c r="A241" t="s">
        <v>2</v>
      </c>
      <c r="B241" t="s">
        <v>324</v>
      </c>
      <c r="C241" s="6">
        <v>46982.91</v>
      </c>
      <c r="D241" s="6">
        <v>45199.97</v>
      </c>
      <c r="E241" s="6">
        <f>D241-C241</f>
        <v>0</v>
      </c>
      <c r="F241" s="5">
        <f>IF(C241=0,"",E241/C241)</f>
        <v>0</v>
      </c>
    </row>
    <row r="242" spans="1:6">
      <c r="A242" t="s">
        <v>2</v>
      </c>
      <c r="B242" t="s">
        <v>331</v>
      </c>
      <c r="C242" s="6">
        <v>55725.06</v>
      </c>
      <c r="D242" s="6">
        <v>53968.79</v>
      </c>
      <c r="E242" s="6">
        <f>D242-C242</f>
        <v>0</v>
      </c>
      <c r="F242" s="5">
        <f>IF(C242=0,"",E242/C242)</f>
        <v>0</v>
      </c>
    </row>
    <row r="243" spans="1:6">
      <c r="A243" t="s">
        <v>2</v>
      </c>
      <c r="B243" t="s">
        <v>335</v>
      </c>
      <c r="C243" s="6">
        <v>49865</v>
      </c>
      <c r="D243" s="6">
        <v>48204.99</v>
      </c>
      <c r="E243" s="6">
        <f>D243-C243</f>
        <v>0</v>
      </c>
      <c r="F243" s="5">
        <f>IF(C243=0,"",E243/C243)</f>
        <v>0</v>
      </c>
    </row>
    <row r="244" spans="1:6">
      <c r="A244" t="s">
        <v>2</v>
      </c>
      <c r="B244" t="s">
        <v>345</v>
      </c>
      <c r="C244" s="6">
        <v>49187.9</v>
      </c>
      <c r="D244" s="6">
        <v>47671.52</v>
      </c>
      <c r="E244" s="6">
        <f>D244-C244</f>
        <v>0</v>
      </c>
      <c r="F244" s="5">
        <f>IF(C244=0,"",E244/C244)</f>
        <v>0</v>
      </c>
    </row>
    <row r="245" spans="1:6">
      <c r="A245" t="s">
        <v>2</v>
      </c>
      <c r="B245" t="s">
        <v>357</v>
      </c>
      <c r="C245" s="6">
        <v>47415.35</v>
      </c>
      <c r="D245" s="6">
        <v>45972.34</v>
      </c>
      <c r="E245" s="6">
        <f>D245-C245</f>
        <v>0</v>
      </c>
      <c r="F245" s="5">
        <f>IF(C245=0,"",E245/C245)</f>
        <v>0</v>
      </c>
    </row>
    <row r="246" spans="1:6">
      <c r="A246" t="s">
        <v>2</v>
      </c>
      <c r="B246" t="s">
        <v>364</v>
      </c>
      <c r="C246" s="6">
        <v>54114.73</v>
      </c>
      <c r="D246" s="6">
        <v>52104.13</v>
      </c>
      <c r="E246" s="6">
        <f>D246-C246</f>
        <v>0</v>
      </c>
      <c r="F246" s="5">
        <f>IF(C246=0,"",E246/C246)</f>
        <v>0</v>
      </c>
    </row>
    <row r="247" spans="1:6">
      <c r="A247" t="s">
        <v>2</v>
      </c>
      <c r="B247" t="s">
        <v>371</v>
      </c>
      <c r="C247" s="6">
        <v>60480.17</v>
      </c>
      <c r="D247" s="6">
        <v>57145.55</v>
      </c>
      <c r="E247" s="6">
        <f>D247-C247</f>
        <v>0</v>
      </c>
      <c r="F247" s="5">
        <f>IF(C247=0,"",E247/C247)</f>
        <v>0</v>
      </c>
    </row>
    <row r="248" spans="1:6">
      <c r="A248" t="s">
        <v>2</v>
      </c>
      <c r="B248" t="s">
        <v>379</v>
      </c>
      <c r="C248" s="6">
        <v>46976.6</v>
      </c>
      <c r="D248" s="6">
        <v>45880.93</v>
      </c>
      <c r="E248" s="6">
        <f>D248-C248</f>
        <v>0</v>
      </c>
      <c r="F248" s="5">
        <f>IF(C248=0,"",E248/C248)</f>
        <v>0</v>
      </c>
    </row>
    <row r="249" spans="1:6">
      <c r="A249" t="s">
        <v>2</v>
      </c>
      <c r="B249" t="s">
        <v>392</v>
      </c>
      <c r="C249" s="6">
        <v>40162.21</v>
      </c>
      <c r="D249" s="6">
        <v>38563.07</v>
      </c>
      <c r="E249" s="6">
        <f>D249-C249</f>
        <v>0</v>
      </c>
      <c r="F249" s="5">
        <f>IF(C249=0,"",E249/C249)</f>
        <v>0</v>
      </c>
    </row>
    <row r="250" spans="1:6">
      <c r="A250" t="s">
        <v>2</v>
      </c>
      <c r="B250" t="s">
        <v>402</v>
      </c>
      <c r="C250" s="6">
        <v>47314.45</v>
      </c>
      <c r="D250" s="6">
        <v>45386.51</v>
      </c>
      <c r="E250" s="6">
        <f>D250-C250</f>
        <v>0</v>
      </c>
      <c r="F250" s="5">
        <f>IF(C250=0,"",E250/C250)</f>
        <v>0</v>
      </c>
    </row>
    <row r="251" spans="1:6">
      <c r="A251" t="s">
        <v>2</v>
      </c>
      <c r="B251" t="s">
        <v>410</v>
      </c>
      <c r="C251" s="6">
        <v>54549.66</v>
      </c>
      <c r="D251" s="6">
        <v>52503.65</v>
      </c>
      <c r="E251" s="6">
        <f>D251-C251</f>
        <v>0</v>
      </c>
      <c r="F251" s="5">
        <f>IF(C251=0,"",E251/C251)</f>
        <v>0</v>
      </c>
    </row>
    <row r="252" spans="1:6">
      <c r="A252" t="s">
        <v>2</v>
      </c>
      <c r="B252" t="s">
        <v>416</v>
      </c>
      <c r="C252" s="6">
        <v>58273.96</v>
      </c>
      <c r="D252" s="6">
        <v>54396.07</v>
      </c>
      <c r="E252" s="6">
        <f>D252-C252</f>
        <v>0</v>
      </c>
      <c r="F252" s="5">
        <f>IF(C252=0,"",E252/C252)</f>
        <v>0</v>
      </c>
    </row>
    <row r="253" spans="1:6">
      <c r="A253" t="s">
        <v>2</v>
      </c>
      <c r="B253" t="s">
        <v>428</v>
      </c>
      <c r="C253" s="6">
        <v>47191.33</v>
      </c>
      <c r="D253" s="6">
        <v>44854.51</v>
      </c>
      <c r="E253" s="6">
        <f>D253-C253</f>
        <v>0</v>
      </c>
      <c r="F253" s="5">
        <f>IF(C253=0,"",E253/C253)</f>
        <v>0</v>
      </c>
    </row>
    <row r="254" spans="1:6">
      <c r="A254" t="s">
        <v>2</v>
      </c>
      <c r="B254" t="s">
        <v>436</v>
      </c>
      <c r="C254" s="6">
        <v>46446.99</v>
      </c>
      <c r="D254" s="6">
        <v>44845.97</v>
      </c>
      <c r="E254" s="6">
        <f>D254-C254</f>
        <v>0</v>
      </c>
      <c r="F254" s="5">
        <f>IF(C254=0,"",E254/C254)</f>
        <v>0</v>
      </c>
    </row>
    <row r="255" spans="1:6">
      <c r="A255" t="s">
        <v>2</v>
      </c>
      <c r="B255" t="s">
        <v>447</v>
      </c>
      <c r="C255" s="6">
        <v>50125.34</v>
      </c>
      <c r="D255" s="6">
        <v>47861</v>
      </c>
      <c r="E255" s="6">
        <f>D255-C255</f>
        <v>0</v>
      </c>
      <c r="F255" s="5">
        <f>IF(C255=0,"",E255/C255)</f>
        <v>0</v>
      </c>
    </row>
    <row r="256" spans="1:6">
      <c r="A256" t="s">
        <v>2</v>
      </c>
      <c r="B256" t="s">
        <v>1278</v>
      </c>
      <c r="C256" s="6">
        <v>71949.60000000001</v>
      </c>
      <c r="D256" s="6">
        <v>69058.49000000001</v>
      </c>
      <c r="E256" s="6">
        <f>D256-C256</f>
        <v>0</v>
      </c>
      <c r="F256" s="5">
        <f>IF(C256=0,"",E256/C256)</f>
        <v>0</v>
      </c>
    </row>
    <row r="257" spans="1:6">
      <c r="A257" t="s">
        <v>2</v>
      </c>
      <c r="B257" t="s">
        <v>451</v>
      </c>
      <c r="C257" s="6">
        <v>55419.32</v>
      </c>
      <c r="D257" s="6">
        <v>46956.2211</v>
      </c>
      <c r="E257" s="6">
        <f>D257-C257</f>
        <v>0</v>
      </c>
      <c r="F257" s="5">
        <f>IF(C257=0,"",E257/C257)</f>
        <v>0</v>
      </c>
    </row>
    <row r="258" spans="1:6">
      <c r="A258" t="s">
        <v>2</v>
      </c>
      <c r="B258" t="s">
        <v>464</v>
      </c>
      <c r="C258" s="6">
        <v>48520.11</v>
      </c>
      <c r="D258" s="6">
        <v>46558.77</v>
      </c>
      <c r="E258" s="6">
        <f>D258-C258</f>
        <v>0</v>
      </c>
      <c r="F258" s="5">
        <f>IF(C258=0,"",E258/C258)</f>
        <v>0</v>
      </c>
    </row>
    <row r="259" spans="1:6">
      <c r="A259" t="s">
        <v>2</v>
      </c>
      <c r="B259" t="s">
        <v>478</v>
      </c>
      <c r="C259" s="6">
        <v>49228.9</v>
      </c>
      <c r="D259" s="6">
        <v>47255.14</v>
      </c>
      <c r="E259" s="6">
        <f>D259-C259</f>
        <v>0</v>
      </c>
      <c r="F259" s="5">
        <f>IF(C259=0,"",E259/C259)</f>
        <v>0</v>
      </c>
    </row>
    <row r="260" spans="1:6">
      <c r="A260" t="s">
        <v>2</v>
      </c>
      <c r="B260" t="s">
        <v>492</v>
      </c>
      <c r="C260" s="6">
        <v>57168.69</v>
      </c>
      <c r="D260" s="6">
        <v>55437.14</v>
      </c>
      <c r="E260" s="6">
        <f>D260-C260</f>
        <v>0</v>
      </c>
      <c r="F260" s="5">
        <f>IF(C260=0,"",E260/C260)</f>
        <v>0</v>
      </c>
    </row>
    <row r="261" spans="1:6">
      <c r="A261" t="s">
        <v>2</v>
      </c>
      <c r="B261" t="s">
        <v>501</v>
      </c>
      <c r="C261" s="6">
        <v>51491.02</v>
      </c>
      <c r="D261" s="6">
        <v>49775.37</v>
      </c>
      <c r="E261" s="6">
        <f>D261-C261</f>
        <v>0</v>
      </c>
      <c r="F261" s="5">
        <f>IF(C261=0,"",E261/C261)</f>
        <v>0</v>
      </c>
    </row>
    <row r="262" spans="1:6">
      <c r="A262" t="s">
        <v>2</v>
      </c>
      <c r="B262" t="s">
        <v>511</v>
      </c>
      <c r="C262" s="6">
        <v>56873.15</v>
      </c>
      <c r="D262" s="6">
        <v>54783.3</v>
      </c>
      <c r="E262" s="6">
        <f>D262-C262</f>
        <v>0</v>
      </c>
      <c r="F262" s="5">
        <f>IF(C262=0,"",E262/C262)</f>
        <v>0</v>
      </c>
    </row>
    <row r="263" spans="1:6">
      <c r="A263" t="s">
        <v>2</v>
      </c>
      <c r="B263" t="s">
        <v>523</v>
      </c>
      <c r="C263" s="6">
        <v>56178.77</v>
      </c>
      <c r="D263" s="6">
        <v>52217.87</v>
      </c>
      <c r="E263" s="6">
        <f>D263-C263</f>
        <v>0</v>
      </c>
      <c r="F263" s="5">
        <f>IF(C263=0,"",E263/C263)</f>
        <v>0</v>
      </c>
    </row>
    <row r="264" spans="1:6">
      <c r="A264" t="s">
        <v>2</v>
      </c>
      <c r="B264" t="s">
        <v>528</v>
      </c>
      <c r="C264" s="6">
        <v>41100.35</v>
      </c>
      <c r="D264" s="6">
        <v>39647</v>
      </c>
      <c r="E264" s="6">
        <f>D264-C264</f>
        <v>0</v>
      </c>
      <c r="F264" s="5">
        <f>IF(C264=0,"",E264/C264)</f>
        <v>0</v>
      </c>
    </row>
    <row r="265" spans="1:6">
      <c r="A265" t="s">
        <v>2</v>
      </c>
      <c r="B265" t="s">
        <v>538</v>
      </c>
      <c r="C265" s="6">
        <v>48253.88</v>
      </c>
      <c r="D265" s="6">
        <v>46437.36</v>
      </c>
      <c r="E265" s="6">
        <f>D265-C265</f>
        <v>0</v>
      </c>
      <c r="F265" s="5">
        <f>IF(C265=0,"",E265/C265)</f>
        <v>0</v>
      </c>
    </row>
    <row r="266" spans="1:6">
      <c r="A266" t="s">
        <v>2</v>
      </c>
      <c r="B266" t="s">
        <v>552</v>
      </c>
      <c r="C266" s="6">
        <v>36800.81</v>
      </c>
      <c r="D266" s="6">
        <v>35478.51</v>
      </c>
      <c r="E266" s="6">
        <f>D266-C266</f>
        <v>0</v>
      </c>
      <c r="F266" s="5">
        <f>IF(C266=0,"",E266/C266)</f>
        <v>0</v>
      </c>
    </row>
    <row r="267" spans="1:6">
      <c r="A267" t="s">
        <v>2</v>
      </c>
      <c r="B267" t="s">
        <v>558</v>
      </c>
      <c r="C267" s="6">
        <v>47104.2</v>
      </c>
      <c r="D267" s="6">
        <v>45290</v>
      </c>
      <c r="E267" s="6">
        <f>D267-C267</f>
        <v>0</v>
      </c>
      <c r="F267" s="5">
        <f>IF(C267=0,"",E267/C267)</f>
        <v>0</v>
      </c>
    </row>
    <row r="268" spans="1:6">
      <c r="A268" t="s">
        <v>2</v>
      </c>
      <c r="B268" t="s">
        <v>563</v>
      </c>
      <c r="C268" s="6">
        <v>43725.1</v>
      </c>
      <c r="D268" s="6">
        <v>41681.62</v>
      </c>
      <c r="E268" s="6">
        <f>D268-C268</f>
        <v>0</v>
      </c>
      <c r="F268" s="5">
        <f>IF(C268=0,"",E268/C268)</f>
        <v>0</v>
      </c>
    </row>
    <row r="269" spans="1:6">
      <c r="A269" t="s">
        <v>2</v>
      </c>
      <c r="B269" t="s">
        <v>571</v>
      </c>
      <c r="C269" s="6">
        <v>55708.1</v>
      </c>
      <c r="D269" s="6">
        <v>54078.78</v>
      </c>
      <c r="E269" s="6">
        <f>D269-C269</f>
        <v>0</v>
      </c>
      <c r="F269" s="5">
        <f>IF(C269=0,"",E269/C269)</f>
        <v>0</v>
      </c>
    </row>
    <row r="270" spans="1:6">
      <c r="A270" t="s">
        <v>2</v>
      </c>
      <c r="B270" t="s">
        <v>574</v>
      </c>
      <c r="C270" s="6">
        <v>43326.74</v>
      </c>
      <c r="D270" s="6">
        <v>41647.22</v>
      </c>
      <c r="E270" s="6">
        <f>D270-C270</f>
        <v>0</v>
      </c>
      <c r="F270" s="5">
        <f>IF(C270=0,"",E270/C270)</f>
        <v>0</v>
      </c>
    </row>
    <row r="271" spans="1:6">
      <c r="A271" t="s">
        <v>2</v>
      </c>
      <c r="B271" t="s">
        <v>585</v>
      </c>
      <c r="C271" s="6">
        <v>48697.99</v>
      </c>
      <c r="D271" s="6">
        <v>47071.71</v>
      </c>
      <c r="E271" s="6">
        <f>D271-C271</f>
        <v>0</v>
      </c>
      <c r="F271" s="5">
        <f>IF(C271=0,"",E271/C271)</f>
        <v>0</v>
      </c>
    </row>
    <row r="272" spans="1:6">
      <c r="A272" t="s">
        <v>2</v>
      </c>
      <c r="B272" t="s">
        <v>594</v>
      </c>
      <c r="C272" s="6">
        <v>48563.54</v>
      </c>
      <c r="D272" s="6">
        <v>47098.58</v>
      </c>
      <c r="E272" s="6">
        <f>D272-C272</f>
        <v>0</v>
      </c>
      <c r="F272" s="5">
        <f>IF(C272=0,"",E272/C272)</f>
        <v>0</v>
      </c>
    </row>
    <row r="273" spans="1:6">
      <c r="A273" t="s">
        <v>2</v>
      </c>
      <c r="B273" t="s">
        <v>607</v>
      </c>
      <c r="C273" s="6">
        <v>56478.37</v>
      </c>
      <c r="D273" s="6">
        <v>54384.73</v>
      </c>
      <c r="E273" s="6">
        <f>D273-C273</f>
        <v>0</v>
      </c>
      <c r="F273" s="5">
        <f>IF(C273=0,"",E273/C273)</f>
        <v>0</v>
      </c>
    </row>
    <row r="274" spans="1:6">
      <c r="A274" t="s">
        <v>2</v>
      </c>
      <c r="B274" t="s">
        <v>615</v>
      </c>
      <c r="C274" s="6">
        <v>47759.86</v>
      </c>
      <c r="D274" s="6">
        <v>45537.1</v>
      </c>
      <c r="E274" s="6">
        <f>D274-C274</f>
        <v>0</v>
      </c>
      <c r="F274" s="5">
        <f>IF(C274=0,"",E274/C274)</f>
        <v>0</v>
      </c>
    </row>
    <row r="275" spans="1:6">
      <c r="A275" t="s">
        <v>2</v>
      </c>
      <c r="B275" t="s">
        <v>624</v>
      </c>
      <c r="C275" s="6">
        <v>45251.33</v>
      </c>
      <c r="D275" s="6">
        <v>42853.51</v>
      </c>
      <c r="E275" s="6">
        <f>D275-C275</f>
        <v>0</v>
      </c>
      <c r="F275" s="5">
        <f>IF(C275=0,"",E275/C275)</f>
        <v>0</v>
      </c>
    </row>
    <row r="276" spans="1:6">
      <c r="A276" t="s">
        <v>2</v>
      </c>
      <c r="B276" t="s">
        <v>635</v>
      </c>
      <c r="C276" s="6">
        <v>42971.67</v>
      </c>
      <c r="D276" s="6">
        <v>41489.29</v>
      </c>
      <c r="E276" s="6">
        <f>D276-C276</f>
        <v>0</v>
      </c>
      <c r="F276" s="5">
        <f>IF(C276=0,"",E276/C276)</f>
        <v>0</v>
      </c>
    </row>
    <row r="277" spans="1:6">
      <c r="A277" t="s">
        <v>2</v>
      </c>
      <c r="B277" t="s">
        <v>645</v>
      </c>
      <c r="C277" s="6">
        <v>48875.41</v>
      </c>
      <c r="D277" s="6">
        <v>47263.37</v>
      </c>
      <c r="E277" s="6">
        <f>D277-C277</f>
        <v>0</v>
      </c>
      <c r="F277" s="5">
        <f>IF(C277=0,"",E277/C277)</f>
        <v>0</v>
      </c>
    </row>
    <row r="278" spans="1:6">
      <c r="A278" t="s">
        <v>2</v>
      </c>
      <c r="B278" t="s">
        <v>650</v>
      </c>
      <c r="C278" s="6">
        <v>46828.7</v>
      </c>
      <c r="D278" s="6">
        <v>44838.45</v>
      </c>
      <c r="E278" s="6">
        <f>D278-C278</f>
        <v>0</v>
      </c>
      <c r="F278" s="5">
        <f>IF(C278=0,"",E278/C278)</f>
        <v>0</v>
      </c>
    </row>
    <row r="279" spans="1:6">
      <c r="A279" t="s">
        <v>2</v>
      </c>
      <c r="B279" t="s">
        <v>658</v>
      </c>
      <c r="C279" s="6">
        <v>58495.75</v>
      </c>
      <c r="D279" s="6">
        <v>56344.65</v>
      </c>
      <c r="E279" s="6">
        <f>D279-C279</f>
        <v>0</v>
      </c>
      <c r="F279" s="5">
        <f>IF(C279=0,"",E279/C279)</f>
        <v>0</v>
      </c>
    </row>
    <row r="280" spans="1:6">
      <c r="A280" t="s">
        <v>2</v>
      </c>
      <c r="B280" t="s">
        <v>673</v>
      </c>
      <c r="C280" s="6">
        <v>48282.14</v>
      </c>
      <c r="D280" s="6">
        <v>45878.13</v>
      </c>
      <c r="E280" s="6">
        <f>D280-C280</f>
        <v>0</v>
      </c>
      <c r="F280" s="5">
        <f>IF(C280=0,"",E280/C280)</f>
        <v>0</v>
      </c>
    </row>
    <row r="281" spans="1:6">
      <c r="A281" t="s">
        <v>2</v>
      </c>
      <c r="B281" t="s">
        <v>681</v>
      </c>
      <c r="C281" s="6">
        <v>52125.93</v>
      </c>
      <c r="D281" s="6">
        <v>49453.39</v>
      </c>
      <c r="E281" s="6">
        <f>D281-C281</f>
        <v>0</v>
      </c>
      <c r="F281" s="5">
        <f>IF(C281=0,"",E281/C281)</f>
        <v>0</v>
      </c>
    </row>
    <row r="282" spans="1:6">
      <c r="A282" t="s">
        <v>2</v>
      </c>
      <c r="B282" t="s">
        <v>689</v>
      </c>
      <c r="C282" s="6">
        <v>55479.78</v>
      </c>
      <c r="D282" s="6">
        <v>53536.22</v>
      </c>
      <c r="E282" s="6">
        <f>D282-C282</f>
        <v>0</v>
      </c>
      <c r="F282" s="5">
        <f>IF(C282=0,"",E282/C282)</f>
        <v>0</v>
      </c>
    </row>
    <row r="283" spans="1:6">
      <c r="A283" t="s">
        <v>2</v>
      </c>
      <c r="B283" t="s">
        <v>701</v>
      </c>
      <c r="C283" s="6">
        <v>51849.04</v>
      </c>
      <c r="D283" s="6">
        <v>49742.81</v>
      </c>
      <c r="E283" s="6">
        <f>D283-C283</f>
        <v>0</v>
      </c>
      <c r="F283" s="5">
        <f>IF(C283=0,"",E283/C283)</f>
        <v>0</v>
      </c>
    </row>
    <row r="284" spans="1:6">
      <c r="A284" t="s">
        <v>2</v>
      </c>
      <c r="B284" t="s">
        <v>708</v>
      </c>
      <c r="C284" s="6">
        <v>46059.64</v>
      </c>
      <c r="D284" s="6">
        <v>44506.72</v>
      </c>
      <c r="E284" s="6">
        <f>D284-C284</f>
        <v>0</v>
      </c>
      <c r="F284" s="5">
        <f>IF(C284=0,"",E284/C284)</f>
        <v>0</v>
      </c>
    </row>
    <row r="285" spans="1:6">
      <c r="A285" t="s">
        <v>2</v>
      </c>
      <c r="B285" t="s">
        <v>719</v>
      </c>
      <c r="C285" s="6">
        <v>55092.43</v>
      </c>
      <c r="D285" s="6">
        <v>53170.2</v>
      </c>
      <c r="E285" s="6">
        <f>D285-C285</f>
        <v>0</v>
      </c>
      <c r="F285" s="5">
        <f>IF(C285=0,"",E285/C285)</f>
        <v>0</v>
      </c>
    </row>
    <row r="286" spans="1:6">
      <c r="A286" t="s">
        <v>2</v>
      </c>
      <c r="B286" t="s">
        <v>727</v>
      </c>
      <c r="C286" s="6">
        <v>52097.79</v>
      </c>
      <c r="D286" s="6">
        <v>50346.06</v>
      </c>
      <c r="E286" s="6">
        <f>D286-C286</f>
        <v>0</v>
      </c>
      <c r="F286" s="5">
        <f>IF(C286=0,"",E286/C286)</f>
        <v>0</v>
      </c>
    </row>
    <row r="287" spans="1:6">
      <c r="A287" t="s">
        <v>2</v>
      </c>
      <c r="B287" t="s">
        <v>734</v>
      </c>
      <c r="C287" s="6">
        <v>51382.78</v>
      </c>
      <c r="D287" s="6">
        <v>49467</v>
      </c>
      <c r="E287" s="6">
        <f>D287-C287</f>
        <v>0</v>
      </c>
      <c r="F287" s="5">
        <f>IF(C287=0,"",E287/C287)</f>
        <v>0</v>
      </c>
    </row>
    <row r="288" spans="1:6">
      <c r="A288" t="s">
        <v>2</v>
      </c>
      <c r="B288" t="s">
        <v>746</v>
      </c>
      <c r="C288" s="6">
        <v>48862.92</v>
      </c>
      <c r="D288" s="6">
        <v>40756.877</v>
      </c>
      <c r="E288" s="6">
        <f>D288-C288</f>
        <v>0</v>
      </c>
      <c r="F288" s="5">
        <f>IF(C288=0,"",E288/C288)</f>
        <v>0</v>
      </c>
    </row>
    <row r="289" spans="1:6">
      <c r="A289" t="s">
        <v>2</v>
      </c>
      <c r="B289" t="s">
        <v>755</v>
      </c>
      <c r="C289" s="6">
        <v>61685.62</v>
      </c>
      <c r="D289" s="6">
        <v>58159.16</v>
      </c>
      <c r="E289" s="6">
        <f>D289-C289</f>
        <v>0</v>
      </c>
      <c r="F289" s="5">
        <f>IF(C289=0,"",E289/C289)</f>
        <v>0</v>
      </c>
    </row>
    <row r="290" spans="1:6">
      <c r="A290" t="s">
        <v>2</v>
      </c>
      <c r="B290" t="s">
        <v>765</v>
      </c>
      <c r="C290" s="6">
        <v>54286.81</v>
      </c>
      <c r="D290" s="6">
        <v>52194.33</v>
      </c>
      <c r="E290" s="6">
        <f>D290-C290</f>
        <v>0</v>
      </c>
      <c r="F290" s="5">
        <f>IF(C290=0,"",E290/C290)</f>
        <v>0</v>
      </c>
    </row>
    <row r="291" spans="1:6">
      <c r="A291" t="s">
        <v>2</v>
      </c>
      <c r="B291" t="s">
        <v>775</v>
      </c>
      <c r="C291" s="6">
        <v>45682.98</v>
      </c>
      <c r="D291" s="6">
        <v>44004.63</v>
      </c>
      <c r="E291" s="6">
        <f>D291-C291</f>
        <v>0</v>
      </c>
      <c r="F291" s="5">
        <f>IF(C291=0,"",E291/C291)</f>
        <v>0</v>
      </c>
    </row>
    <row r="292" spans="1:6">
      <c r="A292" t="s">
        <v>2</v>
      </c>
      <c r="B292" t="s">
        <v>779</v>
      </c>
      <c r="C292" s="6">
        <v>50563.69</v>
      </c>
      <c r="D292" s="6">
        <v>48316.22</v>
      </c>
      <c r="E292" s="6">
        <f>D292-C292</f>
        <v>0</v>
      </c>
      <c r="F292" s="5">
        <f>IF(C292=0,"",E292/C292)</f>
        <v>0</v>
      </c>
    </row>
    <row r="293" spans="1:6">
      <c r="A293" t="s">
        <v>2</v>
      </c>
      <c r="B293" t="s">
        <v>788</v>
      </c>
      <c r="C293" s="6">
        <v>43624.5</v>
      </c>
      <c r="D293" s="6">
        <v>41878.05</v>
      </c>
      <c r="E293" s="6">
        <f>D293-C293</f>
        <v>0</v>
      </c>
      <c r="F293" s="5">
        <f>IF(C293=0,"",E293/C293)</f>
        <v>0</v>
      </c>
    </row>
    <row r="294" spans="1:6">
      <c r="A294" t="s">
        <v>2</v>
      </c>
      <c r="B294" t="s">
        <v>799</v>
      </c>
      <c r="C294" s="6">
        <v>42404.18</v>
      </c>
      <c r="D294" s="6">
        <v>40814.63</v>
      </c>
      <c r="E294" s="6">
        <f>D294-C294</f>
        <v>0</v>
      </c>
      <c r="F294" s="5">
        <f>IF(C294=0,"",E294/C294)</f>
        <v>0</v>
      </c>
    </row>
    <row r="295" spans="1:6">
      <c r="A295" t="s">
        <v>2</v>
      </c>
      <c r="B295" t="s">
        <v>805</v>
      </c>
      <c r="C295" s="6">
        <v>51020.45</v>
      </c>
      <c r="D295" s="6">
        <v>47876.9</v>
      </c>
      <c r="E295" s="6">
        <f>D295-C295</f>
        <v>0</v>
      </c>
      <c r="F295" s="5">
        <f>IF(C295=0,"",E295/C295)</f>
        <v>0</v>
      </c>
    </row>
    <row r="296" spans="1:6">
      <c r="A296" t="s">
        <v>2</v>
      </c>
      <c r="B296" t="s">
        <v>814</v>
      </c>
      <c r="C296" s="6">
        <v>50879.91</v>
      </c>
      <c r="D296" s="6">
        <v>49121.73</v>
      </c>
      <c r="E296" s="6">
        <f>D296-C296</f>
        <v>0</v>
      </c>
      <c r="F296" s="5">
        <f>IF(C296=0,"",E296/C296)</f>
        <v>0</v>
      </c>
    </row>
    <row r="297" spans="1:6">
      <c r="A297" t="s">
        <v>2</v>
      </c>
      <c r="B297" t="s">
        <v>829</v>
      </c>
      <c r="C297" s="6">
        <v>45084.47</v>
      </c>
      <c r="D297" s="6">
        <v>43357.05</v>
      </c>
      <c r="E297" s="6">
        <f>D297-C297</f>
        <v>0</v>
      </c>
      <c r="F297" s="5">
        <f>IF(C297=0,"",E297/C297)</f>
        <v>0</v>
      </c>
    </row>
    <row r="298" spans="1:6">
      <c r="A298" t="s">
        <v>2</v>
      </c>
      <c r="B298" t="s">
        <v>836</v>
      </c>
      <c r="C298" s="6">
        <v>46159.33</v>
      </c>
      <c r="D298" s="6">
        <v>44402.09</v>
      </c>
      <c r="E298" s="6">
        <f>D298-C298</f>
        <v>0</v>
      </c>
      <c r="F298" s="5">
        <f>IF(C298=0,"",E298/C298)</f>
        <v>0</v>
      </c>
    </row>
    <row r="299" spans="1:6">
      <c r="A299" t="s">
        <v>2</v>
      </c>
      <c r="B299" t="s">
        <v>846</v>
      </c>
      <c r="C299" s="6">
        <v>46930.38</v>
      </c>
      <c r="D299" s="6">
        <v>44788.49</v>
      </c>
      <c r="E299" s="6">
        <f>D299-C299</f>
        <v>0</v>
      </c>
      <c r="F299" s="5">
        <f>IF(C299=0,"",E299/C299)</f>
        <v>0</v>
      </c>
    </row>
    <row r="300" spans="1:6">
      <c r="A300" t="s">
        <v>2</v>
      </c>
      <c r="B300" t="s">
        <v>851</v>
      </c>
      <c r="C300" s="6">
        <v>56197.02</v>
      </c>
      <c r="D300" s="6">
        <v>54301.56</v>
      </c>
      <c r="E300" s="6">
        <f>D300-C300</f>
        <v>0</v>
      </c>
      <c r="F300" s="5">
        <f>IF(C300=0,"",E300/C300)</f>
        <v>0</v>
      </c>
    </row>
    <row r="301" spans="1:6">
      <c r="A301" t="s">
        <v>2</v>
      </c>
      <c r="B301" t="s">
        <v>858</v>
      </c>
      <c r="C301" s="6">
        <v>44357.71</v>
      </c>
      <c r="D301" s="6">
        <v>42898.16</v>
      </c>
      <c r="E301" s="6">
        <f>D301-C301</f>
        <v>0</v>
      </c>
      <c r="F301" s="5">
        <f>IF(C301=0,"",E301/C301)</f>
        <v>0</v>
      </c>
    </row>
    <row r="302" spans="1:6">
      <c r="A302" t="s">
        <v>2</v>
      </c>
      <c r="B302" t="s">
        <v>868</v>
      </c>
      <c r="C302" s="6">
        <v>41807.57</v>
      </c>
      <c r="D302" s="6">
        <v>40121.53</v>
      </c>
      <c r="E302" s="6">
        <f>D302-C302</f>
        <v>0</v>
      </c>
      <c r="F302" s="5">
        <f>IF(C302=0,"",E302/C302)</f>
        <v>0</v>
      </c>
    </row>
    <row r="303" spans="1:6">
      <c r="A303" t="s">
        <v>2</v>
      </c>
      <c r="B303" t="s">
        <v>876</v>
      </c>
      <c r="C303" s="6">
        <v>52519.48</v>
      </c>
      <c r="D303" s="6">
        <v>51067.53</v>
      </c>
      <c r="E303" s="6">
        <f>D303-C303</f>
        <v>0</v>
      </c>
      <c r="F303" s="5">
        <f>IF(C303=0,"",E303/C303)</f>
        <v>0</v>
      </c>
    </row>
    <row r="304" spans="1:6">
      <c r="A304" t="s">
        <v>2</v>
      </c>
      <c r="B304" t="s">
        <v>880</v>
      </c>
      <c r="C304" s="6">
        <v>60179.5</v>
      </c>
      <c r="D304" s="6">
        <v>57838.29</v>
      </c>
      <c r="E304" s="6">
        <f>D304-C304</f>
        <v>0</v>
      </c>
      <c r="F304" s="5">
        <f>IF(C304=0,"",E304/C304)</f>
        <v>0</v>
      </c>
    </row>
    <row r="305" spans="1:6">
      <c r="A305" t="s">
        <v>2</v>
      </c>
      <c r="B305" t="s">
        <v>891</v>
      </c>
      <c r="C305" s="6">
        <v>52894.7</v>
      </c>
      <c r="D305" s="6">
        <v>51005.39</v>
      </c>
      <c r="E305" s="6">
        <f>D305-C305</f>
        <v>0</v>
      </c>
      <c r="F305" s="5">
        <f>IF(C305=0,"",E305/C305)</f>
        <v>0</v>
      </c>
    </row>
    <row r="306" spans="1:6">
      <c r="A306" t="s">
        <v>2</v>
      </c>
      <c r="B306" t="s">
        <v>903</v>
      </c>
      <c r="C306" s="6">
        <v>46456.38</v>
      </c>
      <c r="D306" s="6">
        <v>45107.3</v>
      </c>
      <c r="E306" s="6">
        <f>D306-C306</f>
        <v>0</v>
      </c>
      <c r="F306" s="5">
        <f>IF(C306=0,"",E306/C306)</f>
        <v>0</v>
      </c>
    </row>
    <row r="307" spans="1:6">
      <c r="A307" t="s">
        <v>2</v>
      </c>
      <c r="B307" t="s">
        <v>915</v>
      </c>
      <c r="C307" s="6">
        <v>50967.48</v>
      </c>
      <c r="D307" s="6">
        <v>49657.4</v>
      </c>
      <c r="E307" s="6">
        <f>D307-C307</f>
        <v>0</v>
      </c>
      <c r="F307" s="5">
        <f>IF(C307=0,"",E307/C307)</f>
        <v>0</v>
      </c>
    </row>
    <row r="308" spans="1:6">
      <c r="A308" t="s">
        <v>2</v>
      </c>
      <c r="B308" t="s">
        <v>922</v>
      </c>
      <c r="C308" s="6">
        <v>60402.45</v>
      </c>
      <c r="D308" s="6">
        <v>58174.93</v>
      </c>
      <c r="E308" s="6">
        <f>D308-C308</f>
        <v>0</v>
      </c>
      <c r="F308" s="5">
        <f>IF(C308=0,"",E308/C308)</f>
        <v>0</v>
      </c>
    </row>
    <row r="309" spans="1:6">
      <c r="A309" t="s">
        <v>2</v>
      </c>
      <c r="B309" t="s">
        <v>934</v>
      </c>
      <c r="C309" s="6">
        <v>59194.32</v>
      </c>
      <c r="D309" s="6">
        <v>57675.73</v>
      </c>
      <c r="E309" s="6">
        <f>D309-C309</f>
        <v>0</v>
      </c>
      <c r="F309" s="5">
        <f>IF(C309=0,"",E309/C309)</f>
        <v>0</v>
      </c>
    </row>
    <row r="310" spans="1:6">
      <c r="A310" t="s">
        <v>2</v>
      </c>
      <c r="B310" t="s">
        <v>944</v>
      </c>
      <c r="C310" s="6">
        <v>62395.15</v>
      </c>
      <c r="D310" s="6">
        <v>59811.2</v>
      </c>
      <c r="E310" s="6">
        <f>D310-C310</f>
        <v>0</v>
      </c>
      <c r="F310" s="5">
        <f>IF(C310=0,"",E310/C310)</f>
        <v>0</v>
      </c>
    </row>
    <row r="311" spans="1:6">
      <c r="A311" t="s">
        <v>2</v>
      </c>
      <c r="B311" t="s">
        <v>952</v>
      </c>
      <c r="C311" s="6">
        <v>48682.07</v>
      </c>
      <c r="D311" s="6">
        <v>46370.61</v>
      </c>
      <c r="E311" s="6">
        <f>D311-C311</f>
        <v>0</v>
      </c>
      <c r="F311" s="5">
        <f>IF(C311=0,"",E311/C311)</f>
        <v>0</v>
      </c>
    </row>
    <row r="312" spans="1:6">
      <c r="A312" t="s">
        <v>2</v>
      </c>
      <c r="B312" t="s">
        <v>961</v>
      </c>
      <c r="C312" s="6">
        <v>50845.87</v>
      </c>
      <c r="D312" s="6">
        <v>48842.12</v>
      </c>
      <c r="E312" s="6">
        <f>D312-C312</f>
        <v>0</v>
      </c>
      <c r="F312" s="5">
        <f>IF(C312=0,"",E312/C312)</f>
        <v>0</v>
      </c>
    </row>
    <row r="313" spans="1:6">
      <c r="A313" t="s">
        <v>2</v>
      </c>
      <c r="B313" t="s">
        <v>966</v>
      </c>
      <c r="C313" s="6">
        <v>57673.27</v>
      </c>
      <c r="D313" s="6">
        <v>54200.74</v>
      </c>
      <c r="E313" s="6">
        <f>D313-C313</f>
        <v>0</v>
      </c>
      <c r="F313" s="5">
        <f>IF(C313=0,"",E313/C313)</f>
        <v>0</v>
      </c>
    </row>
    <row r="314" spans="1:6">
      <c r="A314" t="s">
        <v>2</v>
      </c>
      <c r="B314" t="s">
        <v>980</v>
      </c>
      <c r="C314" s="6">
        <v>53525.74</v>
      </c>
      <c r="D314" s="6">
        <v>51886.72</v>
      </c>
      <c r="E314" s="6">
        <f>D314-C314</f>
        <v>0</v>
      </c>
      <c r="F314" s="5">
        <f>IF(C314=0,"",E314/C314)</f>
        <v>0</v>
      </c>
    </row>
    <row r="315" spans="1:6">
      <c r="A315" t="s">
        <v>2</v>
      </c>
      <c r="B315" t="s">
        <v>992</v>
      </c>
      <c r="C315" s="6">
        <v>45856.45</v>
      </c>
      <c r="D315" s="6">
        <v>43680.21</v>
      </c>
      <c r="E315" s="6">
        <f>D315-C315</f>
        <v>0</v>
      </c>
      <c r="F315" s="5">
        <f>IF(C315=0,"",E315/C315)</f>
        <v>0</v>
      </c>
    </row>
    <row r="316" spans="1:6">
      <c r="A316" t="s">
        <v>2</v>
      </c>
      <c r="B316" t="s">
        <v>1002</v>
      </c>
      <c r="C316" s="6">
        <v>26658.12</v>
      </c>
      <c r="D316" s="6">
        <v>25233.83</v>
      </c>
      <c r="E316" s="6">
        <f>D316-C316</f>
        <v>0</v>
      </c>
      <c r="F316" s="5">
        <f>IF(C316=0,"",E316/C316)</f>
        <v>0</v>
      </c>
    </row>
    <row r="317" spans="1:6">
      <c r="A317" t="s">
        <v>3</v>
      </c>
      <c r="B317" t="s">
        <v>30</v>
      </c>
      <c r="C317" s="6">
        <v>39730.76</v>
      </c>
      <c r="D317" s="6">
        <v>39616.76</v>
      </c>
      <c r="E317" s="6">
        <f>D317-C317</f>
        <v>0</v>
      </c>
      <c r="F317" s="5">
        <f>IF(C317=0,"",E317/C317)</f>
        <v>0</v>
      </c>
    </row>
    <row r="318" spans="1:6">
      <c r="A318" t="s">
        <v>3</v>
      </c>
      <c r="B318" t="s">
        <v>47</v>
      </c>
      <c r="C318" s="6">
        <v>46159.62</v>
      </c>
      <c r="D318" s="6">
        <v>46083</v>
      </c>
      <c r="E318" s="6">
        <f>D318-C318</f>
        <v>0</v>
      </c>
      <c r="F318" s="5">
        <f>IF(C318=0,"",E318/C318)</f>
        <v>0</v>
      </c>
    </row>
    <row r="319" spans="1:6">
      <c r="A319" t="s">
        <v>3</v>
      </c>
      <c r="B319" t="s">
        <v>62</v>
      </c>
      <c r="C319" s="6">
        <v>47506.49</v>
      </c>
      <c r="D319" s="6">
        <v>47439.24</v>
      </c>
      <c r="E319" s="6">
        <f>D319-C319</f>
        <v>0</v>
      </c>
      <c r="F319" s="5">
        <f>IF(C319=0,"",E319/C319)</f>
        <v>0</v>
      </c>
    </row>
    <row r="320" spans="1:6">
      <c r="A320" t="s">
        <v>3</v>
      </c>
      <c r="B320" t="s">
        <v>71</v>
      </c>
      <c r="C320" s="6">
        <v>44679.9</v>
      </c>
      <c r="D320" s="6">
        <v>44438.6</v>
      </c>
      <c r="E320" s="6">
        <f>D320-C320</f>
        <v>0</v>
      </c>
      <c r="F320" s="5">
        <f>IF(C320=0,"",E320/C320)</f>
        <v>0</v>
      </c>
    </row>
    <row r="321" spans="1:6">
      <c r="A321" t="s">
        <v>3</v>
      </c>
      <c r="B321" t="s">
        <v>86</v>
      </c>
      <c r="C321" s="6">
        <v>41669.85</v>
      </c>
      <c r="D321" s="6">
        <v>41576.25</v>
      </c>
      <c r="E321" s="6">
        <f>D321-C321</f>
        <v>0</v>
      </c>
      <c r="F321" s="5">
        <f>IF(C321=0,"",E321/C321)</f>
        <v>0</v>
      </c>
    </row>
    <row r="322" spans="1:6">
      <c r="A322" t="s">
        <v>3</v>
      </c>
      <c r="B322" t="s">
        <v>97</v>
      </c>
      <c r="C322" s="6">
        <v>57722.69</v>
      </c>
      <c r="D322" s="6">
        <v>57632.64</v>
      </c>
      <c r="E322" s="6">
        <f>D322-C322</f>
        <v>0</v>
      </c>
      <c r="F322" s="5">
        <f>IF(C322=0,"",E322/C322)</f>
        <v>0</v>
      </c>
    </row>
    <row r="323" spans="1:6">
      <c r="A323" t="s">
        <v>3</v>
      </c>
      <c r="B323" t="s">
        <v>103</v>
      </c>
      <c r="C323" s="6">
        <v>45452.42</v>
      </c>
      <c r="D323" s="6">
        <v>45364.32</v>
      </c>
      <c r="E323" s="6">
        <f>D323-C323</f>
        <v>0</v>
      </c>
      <c r="F323" s="5">
        <f>IF(C323=0,"",E323/C323)</f>
        <v>0</v>
      </c>
    </row>
    <row r="324" spans="1:6">
      <c r="A324" t="s">
        <v>3</v>
      </c>
      <c r="B324" t="s">
        <v>121</v>
      </c>
      <c r="C324" s="6">
        <v>48159.18</v>
      </c>
      <c r="D324" s="6">
        <v>48090.71</v>
      </c>
      <c r="E324" s="6">
        <f>D324-C324</f>
        <v>0</v>
      </c>
      <c r="F324" s="5">
        <f>IF(C324=0,"",E324/C324)</f>
        <v>0</v>
      </c>
    </row>
    <row r="325" spans="1:6">
      <c r="A325" t="s">
        <v>3</v>
      </c>
      <c r="B325" t="s">
        <v>134</v>
      </c>
      <c r="C325" s="6">
        <v>40977.98</v>
      </c>
      <c r="D325" s="6">
        <v>40871.85</v>
      </c>
      <c r="E325" s="6">
        <f>D325-C325</f>
        <v>0</v>
      </c>
      <c r="F325" s="5">
        <f>IF(C325=0,"",E325/C325)</f>
        <v>0</v>
      </c>
    </row>
    <row r="326" spans="1:6">
      <c r="A326" t="s">
        <v>3</v>
      </c>
      <c r="B326" t="s">
        <v>143</v>
      </c>
      <c r="C326" s="6">
        <v>61242.21</v>
      </c>
      <c r="D326" s="6">
        <v>61219.29</v>
      </c>
      <c r="E326" s="6">
        <f>D326-C326</f>
        <v>0</v>
      </c>
      <c r="F326" s="5">
        <f>IF(C326=0,"",E326/C326)</f>
        <v>0</v>
      </c>
    </row>
    <row r="327" spans="1:6">
      <c r="A327" t="s">
        <v>3</v>
      </c>
      <c r="B327" t="s">
        <v>154</v>
      </c>
      <c r="C327" s="6">
        <v>42773.3</v>
      </c>
      <c r="D327" s="6">
        <v>42628.58</v>
      </c>
      <c r="E327" s="6">
        <f>D327-C327</f>
        <v>0</v>
      </c>
      <c r="F327" s="5">
        <f>IF(C327=0,"",E327/C327)</f>
        <v>0</v>
      </c>
    </row>
    <row r="328" spans="1:6">
      <c r="A328" t="s">
        <v>3</v>
      </c>
      <c r="B328" t="s">
        <v>160</v>
      </c>
      <c r="C328" s="6">
        <v>37376</v>
      </c>
      <c r="D328" s="6">
        <v>37327.95</v>
      </c>
      <c r="E328" s="6">
        <f>D328-C328</f>
        <v>0</v>
      </c>
      <c r="F328" s="5">
        <f>IF(C328=0,"",E328/C328)</f>
        <v>0</v>
      </c>
    </row>
    <row r="329" spans="1:6">
      <c r="A329" t="s">
        <v>3</v>
      </c>
      <c r="B329" t="s">
        <v>170</v>
      </c>
      <c r="C329" s="6">
        <v>44822.04</v>
      </c>
      <c r="D329" s="6">
        <v>44579.19</v>
      </c>
      <c r="E329" s="6">
        <f>D329-C329</f>
        <v>0</v>
      </c>
      <c r="F329" s="5">
        <f>IF(C329=0,"",E329/C329)</f>
        <v>0</v>
      </c>
    </row>
    <row r="330" spans="1:6">
      <c r="A330" t="s">
        <v>3</v>
      </c>
      <c r="B330" t="s">
        <v>180</v>
      </c>
      <c r="C330" s="6">
        <v>63788.07</v>
      </c>
      <c r="D330" s="6">
        <v>63677.3</v>
      </c>
      <c r="E330" s="6">
        <f>D330-C330</f>
        <v>0</v>
      </c>
      <c r="F330" s="5">
        <f>IF(C330=0,"",E330/C330)</f>
        <v>0</v>
      </c>
    </row>
    <row r="331" spans="1:6">
      <c r="A331" t="s">
        <v>3</v>
      </c>
      <c r="B331" t="s">
        <v>193</v>
      </c>
      <c r="C331" s="6">
        <v>44986.52</v>
      </c>
      <c r="D331" s="6">
        <v>44915.02</v>
      </c>
      <c r="E331" s="6">
        <f>D331-C331</f>
        <v>0</v>
      </c>
      <c r="F331" s="5">
        <f>IF(C331=0,"",E331/C331)</f>
        <v>0</v>
      </c>
    </row>
    <row r="332" spans="1:6">
      <c r="A332" t="s">
        <v>3</v>
      </c>
      <c r="B332" t="s">
        <v>205</v>
      </c>
      <c r="C332" s="6">
        <v>55700.77</v>
      </c>
      <c r="D332" s="6">
        <v>55611.42</v>
      </c>
      <c r="E332" s="6">
        <f>D332-C332</f>
        <v>0</v>
      </c>
      <c r="F332" s="5">
        <f>IF(C332=0,"",E332/C332)</f>
        <v>0</v>
      </c>
    </row>
    <row r="333" spans="1:6">
      <c r="A333" t="s">
        <v>3</v>
      </c>
      <c r="B333" t="s">
        <v>216</v>
      </c>
      <c r="C333" s="6">
        <v>40824.63</v>
      </c>
      <c r="D333" s="6">
        <v>40741.91</v>
      </c>
      <c r="E333" s="6">
        <f>D333-C333</f>
        <v>0</v>
      </c>
      <c r="F333" s="5">
        <f>IF(C333=0,"",E333/C333)</f>
        <v>0</v>
      </c>
    </row>
    <row r="334" spans="1:6">
      <c r="A334" t="s">
        <v>3</v>
      </c>
      <c r="B334" t="s">
        <v>226</v>
      </c>
      <c r="C334" s="6">
        <v>56374.69</v>
      </c>
      <c r="D334" s="6">
        <v>56285.99</v>
      </c>
      <c r="E334" s="6">
        <f>D334-C334</f>
        <v>0</v>
      </c>
      <c r="F334" s="5">
        <f>IF(C334=0,"",E334/C334)</f>
        <v>0</v>
      </c>
    </row>
    <row r="335" spans="1:6">
      <c r="A335" t="s">
        <v>3</v>
      </c>
      <c r="B335" t="s">
        <v>231</v>
      </c>
      <c r="C335" s="6">
        <v>48232.72</v>
      </c>
      <c r="D335" s="6">
        <v>48007.22</v>
      </c>
      <c r="E335" s="6">
        <f>D335-C335</f>
        <v>0</v>
      </c>
      <c r="F335" s="5">
        <f>IF(C335=0,"",E335/C335)</f>
        <v>0</v>
      </c>
    </row>
    <row r="336" spans="1:6">
      <c r="A336" t="s">
        <v>3</v>
      </c>
      <c r="B336" t="s">
        <v>238</v>
      </c>
      <c r="C336" s="6">
        <v>52354.82</v>
      </c>
      <c r="D336" s="6">
        <v>52313.17</v>
      </c>
      <c r="E336" s="6">
        <f>D336-C336</f>
        <v>0</v>
      </c>
      <c r="F336" s="5">
        <f>IF(C336=0,"",E336/C336)</f>
        <v>0</v>
      </c>
    </row>
    <row r="337" spans="1:6">
      <c r="A337" t="s">
        <v>3</v>
      </c>
      <c r="B337" t="s">
        <v>251</v>
      </c>
      <c r="C337" s="6">
        <v>56909.58</v>
      </c>
      <c r="D337" s="6">
        <v>56750.61</v>
      </c>
      <c r="E337" s="6">
        <f>D337-C337</f>
        <v>0</v>
      </c>
      <c r="F337" s="5">
        <f>IF(C337=0,"",E337/C337)</f>
        <v>0</v>
      </c>
    </row>
    <row r="338" spans="1:6">
      <c r="A338" t="s">
        <v>3</v>
      </c>
      <c r="B338" t="s">
        <v>254</v>
      </c>
      <c r="C338" s="6">
        <v>51684.7</v>
      </c>
      <c r="D338" s="6">
        <v>51616.3</v>
      </c>
      <c r="E338" s="6">
        <f>D338-C338</f>
        <v>0</v>
      </c>
      <c r="F338" s="5">
        <f>IF(C338=0,"",E338/C338)</f>
        <v>0</v>
      </c>
    </row>
    <row r="339" spans="1:6">
      <c r="A339" t="s">
        <v>3</v>
      </c>
      <c r="B339" t="s">
        <v>264</v>
      </c>
      <c r="C339" s="6">
        <v>62119.09</v>
      </c>
      <c r="D339" s="6">
        <v>61991.04</v>
      </c>
      <c r="E339" s="6">
        <f>D339-C339</f>
        <v>0</v>
      </c>
      <c r="F339" s="5">
        <f>IF(C339=0,"",E339/C339)</f>
        <v>0</v>
      </c>
    </row>
    <row r="340" spans="1:6">
      <c r="A340" t="s">
        <v>3</v>
      </c>
      <c r="B340" t="s">
        <v>273</v>
      </c>
      <c r="C340" s="6">
        <v>53234.15</v>
      </c>
      <c r="D340" s="6">
        <v>53166.55</v>
      </c>
      <c r="E340" s="6">
        <f>D340-C340</f>
        <v>0</v>
      </c>
      <c r="F340" s="5">
        <f>IF(C340=0,"",E340/C340)</f>
        <v>0</v>
      </c>
    </row>
    <row r="341" spans="1:6">
      <c r="A341" t="s">
        <v>3</v>
      </c>
      <c r="B341" t="s">
        <v>284</v>
      </c>
      <c r="C341" s="6">
        <v>50072.73</v>
      </c>
      <c r="D341" s="6">
        <v>49694.03</v>
      </c>
      <c r="E341" s="6">
        <f>D341-C341</f>
        <v>0</v>
      </c>
      <c r="F341" s="5">
        <f>IF(C341=0,"",E341/C341)</f>
        <v>0</v>
      </c>
    </row>
    <row r="342" spans="1:6">
      <c r="A342" t="s">
        <v>3</v>
      </c>
      <c r="B342" t="s">
        <v>289</v>
      </c>
      <c r="C342" s="6">
        <v>75541.62</v>
      </c>
      <c r="D342" s="6">
        <v>75447.92</v>
      </c>
      <c r="E342" s="6">
        <f>D342-C342</f>
        <v>0</v>
      </c>
      <c r="F342" s="5">
        <f>IF(C342=0,"",E342/C342)</f>
        <v>0</v>
      </c>
    </row>
    <row r="343" spans="1:6">
      <c r="A343" t="s">
        <v>3</v>
      </c>
      <c r="B343" t="s">
        <v>299</v>
      </c>
      <c r="C343" s="6">
        <v>58980.63</v>
      </c>
      <c r="D343" s="6">
        <v>58907.73</v>
      </c>
      <c r="E343" s="6">
        <f>D343-C343</f>
        <v>0</v>
      </c>
      <c r="F343" s="5">
        <f>IF(C343=0,"",E343/C343)</f>
        <v>0</v>
      </c>
    </row>
    <row r="344" spans="1:6">
      <c r="A344" t="s">
        <v>3</v>
      </c>
      <c r="B344" t="s">
        <v>306</v>
      </c>
      <c r="C344" s="6">
        <v>49014.44</v>
      </c>
      <c r="D344" s="6">
        <v>48960.69</v>
      </c>
      <c r="E344" s="6">
        <f>D344-C344</f>
        <v>0</v>
      </c>
      <c r="F344" s="5">
        <f>IF(C344=0,"",E344/C344)</f>
        <v>0</v>
      </c>
    </row>
    <row r="345" spans="1:6">
      <c r="A345" t="s">
        <v>3</v>
      </c>
      <c r="B345" t="s">
        <v>313</v>
      </c>
      <c r="C345" s="6">
        <v>47951.29</v>
      </c>
      <c r="D345" s="6">
        <v>47862.44</v>
      </c>
      <c r="E345" s="6">
        <f>D345-C345</f>
        <v>0</v>
      </c>
      <c r="F345" s="5">
        <f>IF(C345=0,"",E345/C345)</f>
        <v>0</v>
      </c>
    </row>
    <row r="346" spans="1:6">
      <c r="A346" t="s">
        <v>3</v>
      </c>
      <c r="B346" t="s">
        <v>324</v>
      </c>
      <c r="C346" s="6">
        <v>48473.25</v>
      </c>
      <c r="D346" s="6">
        <v>48393.85</v>
      </c>
      <c r="E346" s="6">
        <f>D346-C346</f>
        <v>0</v>
      </c>
      <c r="F346" s="5">
        <f>IF(C346=0,"",E346/C346)</f>
        <v>0</v>
      </c>
    </row>
    <row r="347" spans="1:6">
      <c r="A347" t="s">
        <v>3</v>
      </c>
      <c r="B347" t="s">
        <v>331</v>
      </c>
      <c r="C347" s="6">
        <v>64420.17</v>
      </c>
      <c r="D347" s="6">
        <v>62468.17</v>
      </c>
      <c r="E347" s="6">
        <f>D347-C347</f>
        <v>0</v>
      </c>
      <c r="F347" s="5">
        <f>IF(C347=0,"",E347/C347)</f>
        <v>0</v>
      </c>
    </row>
    <row r="348" spans="1:6">
      <c r="A348" t="s">
        <v>3</v>
      </c>
      <c r="B348" t="s">
        <v>335</v>
      </c>
      <c r="C348" s="6">
        <v>51949.95</v>
      </c>
      <c r="D348" s="6">
        <v>51881.73</v>
      </c>
      <c r="E348" s="6">
        <f>D348-C348</f>
        <v>0</v>
      </c>
      <c r="F348" s="5">
        <f>IF(C348=0,"",E348/C348)</f>
        <v>0</v>
      </c>
    </row>
    <row r="349" spans="1:6">
      <c r="A349" t="s">
        <v>3</v>
      </c>
      <c r="B349" t="s">
        <v>345</v>
      </c>
      <c r="C349" s="6">
        <v>47368.04</v>
      </c>
      <c r="D349" s="6">
        <v>47265.52</v>
      </c>
      <c r="E349" s="6">
        <f>D349-C349</f>
        <v>0</v>
      </c>
      <c r="F349" s="5">
        <f>IF(C349=0,"",E349/C349)</f>
        <v>0</v>
      </c>
    </row>
    <row r="350" spans="1:6">
      <c r="A350" t="s">
        <v>3</v>
      </c>
      <c r="B350" t="s">
        <v>357</v>
      </c>
      <c r="C350" s="6">
        <v>54463.49</v>
      </c>
      <c r="D350" s="6">
        <v>54190.39</v>
      </c>
      <c r="E350" s="6">
        <f>D350-C350</f>
        <v>0</v>
      </c>
      <c r="F350" s="5">
        <f>IF(C350=0,"",E350/C350)</f>
        <v>0</v>
      </c>
    </row>
    <row r="351" spans="1:6">
      <c r="A351" t="s">
        <v>3</v>
      </c>
      <c r="B351" t="s">
        <v>364</v>
      </c>
      <c r="C351" s="6">
        <v>63323.37</v>
      </c>
      <c r="D351" s="6">
        <v>63219.02</v>
      </c>
      <c r="E351" s="6">
        <f>D351-C351</f>
        <v>0</v>
      </c>
      <c r="F351" s="5">
        <f>IF(C351=0,"",E351/C351)</f>
        <v>0</v>
      </c>
    </row>
    <row r="352" spans="1:6">
      <c r="A352" t="s">
        <v>3</v>
      </c>
      <c r="B352" t="s">
        <v>371</v>
      </c>
      <c r="C352" s="6">
        <v>51936.08</v>
      </c>
      <c r="D352" s="6">
        <v>51417.56</v>
      </c>
      <c r="E352" s="6">
        <f>D352-C352</f>
        <v>0</v>
      </c>
      <c r="F352" s="5">
        <f>IF(C352=0,"",E352/C352)</f>
        <v>0</v>
      </c>
    </row>
    <row r="353" spans="1:6">
      <c r="A353" t="s">
        <v>3</v>
      </c>
      <c r="B353" t="s">
        <v>379</v>
      </c>
      <c r="C353" s="6">
        <v>51444.89</v>
      </c>
      <c r="D353" s="6">
        <v>51239.32</v>
      </c>
      <c r="E353" s="6">
        <f>D353-C353</f>
        <v>0</v>
      </c>
      <c r="F353" s="5">
        <f>IF(C353=0,"",E353/C353)</f>
        <v>0</v>
      </c>
    </row>
    <row r="354" spans="1:6">
      <c r="A354" t="s">
        <v>3</v>
      </c>
      <c r="B354" t="s">
        <v>392</v>
      </c>
      <c r="C354" s="6">
        <v>48966.04</v>
      </c>
      <c r="D354" s="6">
        <v>48738.34</v>
      </c>
      <c r="E354" s="6">
        <f>D354-C354</f>
        <v>0</v>
      </c>
      <c r="F354" s="5">
        <f>IF(C354=0,"",E354/C354)</f>
        <v>0</v>
      </c>
    </row>
    <row r="355" spans="1:6">
      <c r="A355" t="s">
        <v>3</v>
      </c>
      <c r="B355" t="s">
        <v>402</v>
      </c>
      <c r="C355" s="6">
        <v>47333.69</v>
      </c>
      <c r="D355" s="6">
        <v>47277.91</v>
      </c>
      <c r="E355" s="6">
        <f>D355-C355</f>
        <v>0</v>
      </c>
      <c r="F355" s="5">
        <f>IF(C355=0,"",E355/C355)</f>
        <v>0</v>
      </c>
    </row>
    <row r="356" spans="1:6">
      <c r="A356" t="s">
        <v>3</v>
      </c>
      <c r="B356" t="s">
        <v>410</v>
      </c>
      <c r="C356" s="6">
        <v>60115.43</v>
      </c>
      <c r="D356" s="6">
        <v>59984.08</v>
      </c>
      <c r="E356" s="6">
        <f>D356-C356</f>
        <v>0</v>
      </c>
      <c r="F356" s="5">
        <f>IF(C356=0,"",E356/C356)</f>
        <v>0</v>
      </c>
    </row>
    <row r="357" spans="1:6">
      <c r="A357" t="s">
        <v>3</v>
      </c>
      <c r="B357" t="s">
        <v>416</v>
      </c>
      <c r="C357" s="6">
        <v>56150.11</v>
      </c>
      <c r="D357" s="6">
        <v>55974.11</v>
      </c>
      <c r="E357" s="6">
        <f>D357-C357</f>
        <v>0</v>
      </c>
      <c r="F357" s="5">
        <f>IF(C357=0,"",E357/C357)</f>
        <v>0</v>
      </c>
    </row>
    <row r="358" spans="1:6">
      <c r="A358" t="s">
        <v>3</v>
      </c>
      <c r="B358" t="s">
        <v>428</v>
      </c>
      <c r="C358" s="6">
        <v>47150.13</v>
      </c>
      <c r="D358" s="6">
        <v>47122.63</v>
      </c>
      <c r="E358" s="6">
        <f>D358-C358</f>
        <v>0</v>
      </c>
      <c r="F358" s="5">
        <f>IF(C358=0,"",E358/C358)</f>
        <v>0</v>
      </c>
    </row>
    <row r="359" spans="1:6">
      <c r="A359" t="s">
        <v>3</v>
      </c>
      <c r="B359" t="s">
        <v>436</v>
      </c>
      <c r="C359" s="6">
        <v>45266.39</v>
      </c>
      <c r="D359" s="6">
        <v>45176.84</v>
      </c>
      <c r="E359" s="6">
        <f>D359-C359</f>
        <v>0</v>
      </c>
      <c r="F359" s="5">
        <f>IF(C359=0,"",E359/C359)</f>
        <v>0</v>
      </c>
    </row>
    <row r="360" spans="1:6">
      <c r="A360" t="s">
        <v>3</v>
      </c>
      <c r="B360" t="s">
        <v>447</v>
      </c>
      <c r="C360" s="6">
        <v>43389.87</v>
      </c>
      <c r="D360" s="6">
        <v>43332.1</v>
      </c>
      <c r="E360" s="6">
        <f>D360-C360</f>
        <v>0</v>
      </c>
      <c r="F360" s="5">
        <f>IF(C360=0,"",E360/C360)</f>
        <v>0</v>
      </c>
    </row>
    <row r="361" spans="1:6">
      <c r="A361" t="s">
        <v>3</v>
      </c>
      <c r="B361" t="s">
        <v>1278</v>
      </c>
      <c r="C361" s="6">
        <v>61421.08</v>
      </c>
      <c r="D361" s="6">
        <v>61349.73</v>
      </c>
      <c r="E361" s="6">
        <f>D361-C361</f>
        <v>0</v>
      </c>
      <c r="F361" s="5">
        <f>IF(C361=0,"",E361/C361)</f>
        <v>0</v>
      </c>
    </row>
    <row r="362" spans="1:6">
      <c r="A362" t="s">
        <v>3</v>
      </c>
      <c r="B362" t="s">
        <v>451</v>
      </c>
      <c r="C362" s="6">
        <v>52568.76</v>
      </c>
      <c r="D362" s="6">
        <v>52484.64</v>
      </c>
      <c r="E362" s="6">
        <f>D362-C362</f>
        <v>0</v>
      </c>
      <c r="F362" s="5">
        <f>IF(C362=0,"",E362/C362)</f>
        <v>0</v>
      </c>
    </row>
    <row r="363" spans="1:6">
      <c r="A363" t="s">
        <v>3</v>
      </c>
      <c r="B363" t="s">
        <v>464</v>
      </c>
      <c r="C363" s="6">
        <v>51124.72</v>
      </c>
      <c r="D363" s="6">
        <v>51046.2</v>
      </c>
      <c r="E363" s="6">
        <f>D363-C363</f>
        <v>0</v>
      </c>
      <c r="F363" s="5">
        <f>IF(C363=0,"",E363/C363)</f>
        <v>0</v>
      </c>
    </row>
    <row r="364" spans="1:6">
      <c r="A364" t="s">
        <v>3</v>
      </c>
      <c r="B364" t="s">
        <v>478</v>
      </c>
      <c r="C364" s="6">
        <v>37640.57</v>
      </c>
      <c r="D364" s="6">
        <v>37588.52</v>
      </c>
      <c r="E364" s="6">
        <f>D364-C364</f>
        <v>0</v>
      </c>
      <c r="F364" s="5">
        <f>IF(C364=0,"",E364/C364)</f>
        <v>0</v>
      </c>
    </row>
    <row r="365" spans="1:6">
      <c r="A365" t="s">
        <v>3</v>
      </c>
      <c r="B365" t="s">
        <v>492</v>
      </c>
      <c r="C365" s="6">
        <v>59985.62</v>
      </c>
      <c r="D365" s="6">
        <v>59870.22</v>
      </c>
      <c r="E365" s="6">
        <f>D365-C365</f>
        <v>0</v>
      </c>
      <c r="F365" s="5">
        <f>IF(C365=0,"",E365/C365)</f>
        <v>0</v>
      </c>
    </row>
    <row r="366" spans="1:6">
      <c r="A366" t="s">
        <v>3</v>
      </c>
      <c r="B366" t="s">
        <v>501</v>
      </c>
      <c r="C366" s="6">
        <v>47778.38</v>
      </c>
      <c r="D366" s="6">
        <v>47686.56</v>
      </c>
      <c r="E366" s="6">
        <f>D366-C366</f>
        <v>0</v>
      </c>
      <c r="F366" s="5">
        <f>IF(C366=0,"",E366/C366)</f>
        <v>0</v>
      </c>
    </row>
    <row r="367" spans="1:6">
      <c r="A367" t="s">
        <v>3</v>
      </c>
      <c r="B367" t="s">
        <v>511</v>
      </c>
      <c r="C367" s="6">
        <v>48767.99</v>
      </c>
      <c r="D367" s="6">
        <v>48636.92</v>
      </c>
      <c r="E367" s="6">
        <f>D367-C367</f>
        <v>0</v>
      </c>
      <c r="F367" s="5">
        <f>IF(C367=0,"",E367/C367)</f>
        <v>0</v>
      </c>
    </row>
    <row r="368" spans="1:6">
      <c r="A368" t="s">
        <v>3</v>
      </c>
      <c r="B368" t="s">
        <v>523</v>
      </c>
      <c r="C368" s="6">
        <v>49421.95</v>
      </c>
      <c r="D368" s="6">
        <v>49313.35</v>
      </c>
      <c r="E368" s="6">
        <f>D368-C368</f>
        <v>0</v>
      </c>
      <c r="F368" s="5">
        <f>IF(C368=0,"",E368/C368)</f>
        <v>0</v>
      </c>
    </row>
    <row r="369" spans="1:6">
      <c r="A369" t="s">
        <v>3</v>
      </c>
      <c r="B369" t="s">
        <v>528</v>
      </c>
      <c r="C369" s="6">
        <v>53527.3</v>
      </c>
      <c r="D369" s="6">
        <v>53123.95</v>
      </c>
      <c r="E369" s="6">
        <f>D369-C369</f>
        <v>0</v>
      </c>
      <c r="F369" s="5">
        <f>IF(C369=0,"",E369/C369)</f>
        <v>0</v>
      </c>
    </row>
    <row r="370" spans="1:6">
      <c r="A370" t="s">
        <v>3</v>
      </c>
      <c r="B370" t="s">
        <v>538</v>
      </c>
      <c r="C370" s="6">
        <v>39903.04</v>
      </c>
      <c r="D370" s="6">
        <v>39907.21</v>
      </c>
      <c r="E370" s="6">
        <f>D370-C370</f>
        <v>0</v>
      </c>
      <c r="F370" s="5">
        <f>IF(C370=0,"",E370/C370)</f>
        <v>0</v>
      </c>
    </row>
    <row r="371" spans="1:6">
      <c r="A371" t="s">
        <v>3</v>
      </c>
      <c r="B371" t="s">
        <v>552</v>
      </c>
      <c r="C371" s="6">
        <v>42169.83</v>
      </c>
      <c r="D371" s="6">
        <v>41288.21</v>
      </c>
      <c r="E371" s="6">
        <f>D371-C371</f>
        <v>0</v>
      </c>
      <c r="F371" s="5">
        <f>IF(C371=0,"",E371/C371)</f>
        <v>0</v>
      </c>
    </row>
    <row r="372" spans="1:6">
      <c r="A372" t="s">
        <v>3</v>
      </c>
      <c r="B372" t="s">
        <v>558</v>
      </c>
      <c r="C372" s="6">
        <v>43759.59</v>
      </c>
      <c r="D372" s="6">
        <v>43195.36</v>
      </c>
      <c r="E372" s="6">
        <f>D372-C372</f>
        <v>0</v>
      </c>
      <c r="F372" s="5">
        <f>IF(C372=0,"",E372/C372)</f>
        <v>0</v>
      </c>
    </row>
    <row r="373" spans="1:6">
      <c r="A373" t="s">
        <v>3</v>
      </c>
      <c r="B373" t="s">
        <v>563</v>
      </c>
      <c r="C373" s="6">
        <v>40393.72</v>
      </c>
      <c r="D373" s="6">
        <v>40254.67</v>
      </c>
      <c r="E373" s="6">
        <f>D373-C373</f>
        <v>0</v>
      </c>
      <c r="F373" s="5">
        <f>IF(C373=0,"",E373/C373)</f>
        <v>0</v>
      </c>
    </row>
    <row r="374" spans="1:6">
      <c r="A374" t="s">
        <v>3</v>
      </c>
      <c r="B374" t="s">
        <v>571</v>
      </c>
      <c r="C374" s="6">
        <v>55669.18</v>
      </c>
      <c r="D374" s="6">
        <v>55554.63</v>
      </c>
      <c r="E374" s="6">
        <f>D374-C374</f>
        <v>0</v>
      </c>
      <c r="F374" s="5">
        <f>IF(C374=0,"",E374/C374)</f>
        <v>0</v>
      </c>
    </row>
    <row r="375" spans="1:6">
      <c r="A375" t="s">
        <v>3</v>
      </c>
      <c r="B375" t="s">
        <v>574</v>
      </c>
      <c r="C375" s="6">
        <v>45912.24</v>
      </c>
      <c r="D375" s="6">
        <v>45864.24</v>
      </c>
      <c r="E375" s="6">
        <f>D375-C375</f>
        <v>0</v>
      </c>
      <c r="F375" s="5">
        <f>IF(C375=0,"",E375/C375)</f>
        <v>0</v>
      </c>
    </row>
    <row r="376" spans="1:6">
      <c r="A376" t="s">
        <v>3</v>
      </c>
      <c r="B376" t="s">
        <v>585</v>
      </c>
      <c r="C376" s="6">
        <v>42045.79</v>
      </c>
      <c r="D376" s="6">
        <v>41889.54</v>
      </c>
      <c r="E376" s="6">
        <f>D376-C376</f>
        <v>0</v>
      </c>
      <c r="F376" s="5">
        <f>IF(C376=0,"",E376/C376)</f>
        <v>0</v>
      </c>
    </row>
    <row r="377" spans="1:6">
      <c r="A377" t="s">
        <v>3</v>
      </c>
      <c r="B377" t="s">
        <v>594</v>
      </c>
      <c r="C377" s="6">
        <v>43509.87</v>
      </c>
      <c r="D377" s="6">
        <v>43473.67</v>
      </c>
      <c r="E377" s="6">
        <f>D377-C377</f>
        <v>0</v>
      </c>
      <c r="F377" s="5">
        <f>IF(C377=0,"",E377/C377)</f>
        <v>0</v>
      </c>
    </row>
    <row r="378" spans="1:6">
      <c r="A378" t="s">
        <v>3</v>
      </c>
      <c r="B378" t="s">
        <v>607</v>
      </c>
      <c r="C378" s="6">
        <v>55268.72</v>
      </c>
      <c r="D378" s="6">
        <v>55198.67</v>
      </c>
      <c r="E378" s="6">
        <f>D378-C378</f>
        <v>0</v>
      </c>
      <c r="F378" s="5">
        <f>IF(C378=0,"",E378/C378)</f>
        <v>0</v>
      </c>
    </row>
    <row r="379" spans="1:6">
      <c r="A379" t="s">
        <v>3</v>
      </c>
      <c r="B379" t="s">
        <v>615</v>
      </c>
      <c r="C379" s="6">
        <v>42154.35</v>
      </c>
      <c r="D379" s="6">
        <v>41491.28</v>
      </c>
      <c r="E379" s="6">
        <f>D379-C379</f>
        <v>0</v>
      </c>
      <c r="F379" s="5">
        <f>IF(C379=0,"",E379/C379)</f>
        <v>0</v>
      </c>
    </row>
    <row r="380" spans="1:6">
      <c r="A380" t="s">
        <v>3</v>
      </c>
      <c r="B380" t="s">
        <v>624</v>
      </c>
      <c r="C380" s="6">
        <v>39021.32</v>
      </c>
      <c r="D380" s="6">
        <v>38851.95</v>
      </c>
      <c r="E380" s="6">
        <f>D380-C380</f>
        <v>0</v>
      </c>
      <c r="F380" s="5">
        <f>IF(C380=0,"",E380/C380)</f>
        <v>0</v>
      </c>
    </row>
    <row r="381" spans="1:6">
      <c r="A381" t="s">
        <v>3</v>
      </c>
      <c r="B381" t="s">
        <v>635</v>
      </c>
      <c r="C381" s="6">
        <v>38503.64</v>
      </c>
      <c r="D381" s="6">
        <v>38415.49</v>
      </c>
      <c r="E381" s="6">
        <f>D381-C381</f>
        <v>0</v>
      </c>
      <c r="F381" s="5">
        <f>IF(C381=0,"",E381/C381)</f>
        <v>0</v>
      </c>
    </row>
    <row r="382" spans="1:6">
      <c r="A382" t="s">
        <v>3</v>
      </c>
      <c r="B382" t="s">
        <v>645</v>
      </c>
      <c r="C382" s="6">
        <v>49834.12</v>
      </c>
      <c r="D382" s="6">
        <v>49710.12</v>
      </c>
      <c r="E382" s="6">
        <f>D382-C382</f>
        <v>0</v>
      </c>
      <c r="F382" s="5">
        <f>IF(C382=0,"",E382/C382)</f>
        <v>0</v>
      </c>
    </row>
    <row r="383" spans="1:6">
      <c r="A383" t="s">
        <v>3</v>
      </c>
      <c r="B383" t="s">
        <v>650</v>
      </c>
      <c r="C383" s="6">
        <v>46360.66</v>
      </c>
      <c r="D383" s="6">
        <v>46290.99</v>
      </c>
      <c r="E383" s="6">
        <f>D383-C383</f>
        <v>0</v>
      </c>
      <c r="F383" s="5">
        <f>IF(C383=0,"",E383/C383)</f>
        <v>0</v>
      </c>
    </row>
    <row r="384" spans="1:6">
      <c r="A384" t="s">
        <v>3</v>
      </c>
      <c r="B384" t="s">
        <v>658</v>
      </c>
      <c r="C384" s="6">
        <v>44541.46</v>
      </c>
      <c r="D384" s="6">
        <v>44478.96</v>
      </c>
      <c r="E384" s="6">
        <f>D384-C384</f>
        <v>0</v>
      </c>
      <c r="F384" s="5">
        <f>IF(C384=0,"",E384/C384)</f>
        <v>0</v>
      </c>
    </row>
    <row r="385" spans="1:6">
      <c r="A385" t="s">
        <v>3</v>
      </c>
      <c r="B385" t="s">
        <v>673</v>
      </c>
      <c r="C385" s="6">
        <v>53163.69</v>
      </c>
      <c r="D385" s="6">
        <v>53018.34</v>
      </c>
      <c r="E385" s="6">
        <f>D385-C385</f>
        <v>0</v>
      </c>
      <c r="F385" s="5">
        <f>IF(C385=0,"",E385/C385)</f>
        <v>0</v>
      </c>
    </row>
    <row r="386" spans="1:6">
      <c r="A386" t="s">
        <v>3</v>
      </c>
      <c r="B386" t="s">
        <v>681</v>
      </c>
      <c r="C386" s="6">
        <v>57275.94</v>
      </c>
      <c r="D386" s="6">
        <v>57153.49</v>
      </c>
      <c r="E386" s="6">
        <f>D386-C386</f>
        <v>0</v>
      </c>
      <c r="F386" s="5">
        <f>IF(C386=0,"",E386/C386)</f>
        <v>0</v>
      </c>
    </row>
    <row r="387" spans="1:6">
      <c r="A387" t="s">
        <v>3</v>
      </c>
      <c r="B387" t="s">
        <v>689</v>
      </c>
      <c r="C387" s="6">
        <v>46545.34</v>
      </c>
      <c r="D387" s="6">
        <v>46428.64</v>
      </c>
      <c r="E387" s="6">
        <f>D387-C387</f>
        <v>0</v>
      </c>
      <c r="F387" s="5">
        <f>IF(C387=0,"",E387/C387)</f>
        <v>0</v>
      </c>
    </row>
    <row r="388" spans="1:6">
      <c r="A388" t="s">
        <v>3</v>
      </c>
      <c r="B388" t="s">
        <v>701</v>
      </c>
      <c r="C388" s="6">
        <v>51765.17</v>
      </c>
      <c r="D388" s="6">
        <v>51712.34</v>
      </c>
      <c r="E388" s="6">
        <f>D388-C388</f>
        <v>0</v>
      </c>
      <c r="F388" s="5">
        <f>IF(C388=0,"",E388/C388)</f>
        <v>0</v>
      </c>
    </row>
    <row r="389" spans="1:6">
      <c r="A389" t="s">
        <v>3</v>
      </c>
      <c r="B389" t="s">
        <v>708</v>
      </c>
      <c r="C389" s="6">
        <v>54493.11</v>
      </c>
      <c r="D389" s="6">
        <v>54234.46</v>
      </c>
      <c r="E389" s="6">
        <f>D389-C389</f>
        <v>0</v>
      </c>
      <c r="F389" s="5">
        <f>IF(C389=0,"",E389/C389)</f>
        <v>0</v>
      </c>
    </row>
    <row r="390" spans="1:6">
      <c r="A390" t="s">
        <v>3</v>
      </c>
      <c r="B390" t="s">
        <v>719</v>
      </c>
      <c r="C390" s="6">
        <v>58427.82</v>
      </c>
      <c r="D390" s="6">
        <v>58156.17</v>
      </c>
      <c r="E390" s="6">
        <f>D390-C390</f>
        <v>0</v>
      </c>
      <c r="F390" s="5">
        <f>IF(C390=0,"",E390/C390)</f>
        <v>0</v>
      </c>
    </row>
    <row r="391" spans="1:6">
      <c r="A391" t="s">
        <v>3</v>
      </c>
      <c r="B391" t="s">
        <v>727</v>
      </c>
      <c r="C391" s="6">
        <v>47454.3</v>
      </c>
      <c r="D391" s="6">
        <v>47330.22</v>
      </c>
      <c r="E391" s="6">
        <f>D391-C391</f>
        <v>0</v>
      </c>
      <c r="F391" s="5">
        <f>IF(C391=0,"",E391/C391)</f>
        <v>0</v>
      </c>
    </row>
    <row r="392" spans="1:6">
      <c r="A392" t="s">
        <v>3</v>
      </c>
      <c r="B392" t="s">
        <v>734</v>
      </c>
      <c r="C392" s="6">
        <v>59434.47</v>
      </c>
      <c r="D392" s="6">
        <v>59312.54</v>
      </c>
      <c r="E392" s="6">
        <f>D392-C392</f>
        <v>0</v>
      </c>
      <c r="F392" s="5">
        <f>IF(C392=0,"",E392/C392)</f>
        <v>0</v>
      </c>
    </row>
    <row r="393" spans="1:6">
      <c r="A393" t="s">
        <v>3</v>
      </c>
      <c r="B393" t="s">
        <v>746</v>
      </c>
      <c r="C393" s="6">
        <v>49006.03</v>
      </c>
      <c r="D393" s="6">
        <v>48914.63</v>
      </c>
      <c r="E393" s="6">
        <f>D393-C393</f>
        <v>0</v>
      </c>
      <c r="F393" s="5">
        <f>IF(C393=0,"",E393/C393)</f>
        <v>0</v>
      </c>
    </row>
    <row r="394" spans="1:6">
      <c r="A394" t="s">
        <v>3</v>
      </c>
      <c r="B394" t="s">
        <v>755</v>
      </c>
      <c r="C394" s="6">
        <v>66784.23</v>
      </c>
      <c r="D394" s="6">
        <v>66721.25</v>
      </c>
      <c r="E394" s="6">
        <f>D394-C394</f>
        <v>0</v>
      </c>
      <c r="F394" s="5">
        <f>IF(C394=0,"",E394/C394)</f>
        <v>0</v>
      </c>
    </row>
    <row r="395" spans="1:6">
      <c r="A395" t="s">
        <v>3</v>
      </c>
      <c r="B395" t="s">
        <v>765</v>
      </c>
      <c r="C395" s="6">
        <v>58775.15</v>
      </c>
      <c r="D395" s="6">
        <v>58497.02</v>
      </c>
      <c r="E395" s="6">
        <f>D395-C395</f>
        <v>0</v>
      </c>
      <c r="F395" s="5">
        <f>IF(C395=0,"",E395/C395)</f>
        <v>0</v>
      </c>
    </row>
    <row r="396" spans="1:6">
      <c r="A396" t="s">
        <v>3</v>
      </c>
      <c r="B396" t="s">
        <v>775</v>
      </c>
      <c r="C396" s="6">
        <v>46405</v>
      </c>
      <c r="D396" s="6">
        <v>46349.3</v>
      </c>
      <c r="E396" s="6">
        <f>D396-C396</f>
        <v>0</v>
      </c>
      <c r="F396" s="5">
        <f>IF(C396=0,"",E396/C396)</f>
        <v>0</v>
      </c>
    </row>
    <row r="397" spans="1:6">
      <c r="A397" t="s">
        <v>3</v>
      </c>
      <c r="B397" t="s">
        <v>779</v>
      </c>
      <c r="C397" s="6">
        <v>44128.39</v>
      </c>
      <c r="D397" s="6">
        <v>44024.94</v>
      </c>
      <c r="E397" s="6">
        <f>D397-C397</f>
        <v>0</v>
      </c>
      <c r="F397" s="5">
        <f>IF(C397=0,"",E397/C397)</f>
        <v>0</v>
      </c>
    </row>
    <row r="398" spans="1:6">
      <c r="A398" t="s">
        <v>3</v>
      </c>
      <c r="B398" t="s">
        <v>788</v>
      </c>
      <c r="C398" s="6">
        <v>41993.09</v>
      </c>
      <c r="D398" s="6">
        <v>41844.49</v>
      </c>
      <c r="E398" s="6">
        <f>D398-C398</f>
        <v>0</v>
      </c>
      <c r="F398" s="5">
        <f>IF(C398=0,"",E398/C398)</f>
        <v>0</v>
      </c>
    </row>
    <row r="399" spans="1:6">
      <c r="A399" t="s">
        <v>3</v>
      </c>
      <c r="B399" t="s">
        <v>799</v>
      </c>
      <c r="C399" s="6">
        <v>55452.32</v>
      </c>
      <c r="D399" s="6">
        <v>55044.32</v>
      </c>
      <c r="E399" s="6">
        <f>D399-C399</f>
        <v>0</v>
      </c>
      <c r="F399" s="5">
        <f>IF(C399=0,"",E399/C399)</f>
        <v>0</v>
      </c>
    </row>
    <row r="400" spans="1:6">
      <c r="A400" t="s">
        <v>3</v>
      </c>
      <c r="B400" t="s">
        <v>805</v>
      </c>
      <c r="C400" s="6">
        <v>49088.27</v>
      </c>
      <c r="D400" s="6">
        <v>48863.22</v>
      </c>
      <c r="E400" s="6">
        <f>D400-C400</f>
        <v>0</v>
      </c>
      <c r="F400" s="5">
        <f>IF(C400=0,"",E400/C400)</f>
        <v>0</v>
      </c>
    </row>
    <row r="401" spans="1:6">
      <c r="A401" t="s">
        <v>3</v>
      </c>
      <c r="B401" t="s">
        <v>814</v>
      </c>
      <c r="C401" s="6">
        <v>48224.64</v>
      </c>
      <c r="D401" s="6">
        <v>48091.18</v>
      </c>
      <c r="E401" s="6">
        <f>D401-C401</f>
        <v>0</v>
      </c>
      <c r="F401" s="5">
        <f>IF(C401=0,"",E401/C401)</f>
        <v>0</v>
      </c>
    </row>
    <row r="402" spans="1:6">
      <c r="A402" t="s">
        <v>3</v>
      </c>
      <c r="B402" t="s">
        <v>829</v>
      </c>
      <c r="C402" s="6">
        <v>54108.52</v>
      </c>
      <c r="D402" s="6">
        <v>53886.74</v>
      </c>
      <c r="E402" s="6">
        <f>D402-C402</f>
        <v>0</v>
      </c>
      <c r="F402" s="5">
        <f>IF(C402=0,"",E402/C402)</f>
        <v>0</v>
      </c>
    </row>
    <row r="403" spans="1:6">
      <c r="A403" t="s">
        <v>3</v>
      </c>
      <c r="B403" t="s">
        <v>836</v>
      </c>
      <c r="C403" s="6">
        <v>65062.51</v>
      </c>
      <c r="D403" s="6">
        <v>64946.24</v>
      </c>
      <c r="E403" s="6">
        <f>D403-C403</f>
        <v>0</v>
      </c>
      <c r="F403" s="5">
        <f>IF(C403=0,"",E403/C403)</f>
        <v>0</v>
      </c>
    </row>
    <row r="404" spans="1:6">
      <c r="A404" t="s">
        <v>3</v>
      </c>
      <c r="B404" t="s">
        <v>846</v>
      </c>
      <c r="C404" s="6">
        <v>58760.36</v>
      </c>
      <c r="D404" s="6">
        <v>58682.79</v>
      </c>
      <c r="E404" s="6">
        <f>D404-C404</f>
        <v>0</v>
      </c>
      <c r="F404" s="5">
        <f>IF(C404=0,"",E404/C404)</f>
        <v>0</v>
      </c>
    </row>
    <row r="405" spans="1:6">
      <c r="A405" t="s">
        <v>3</v>
      </c>
      <c r="B405" t="s">
        <v>851</v>
      </c>
      <c r="C405" s="6">
        <v>54140.34</v>
      </c>
      <c r="D405" s="6">
        <v>54028.22</v>
      </c>
      <c r="E405" s="6">
        <f>D405-C405</f>
        <v>0</v>
      </c>
      <c r="F405" s="5">
        <f>IF(C405=0,"",E405/C405)</f>
        <v>0</v>
      </c>
    </row>
    <row r="406" spans="1:6">
      <c r="A406" t="s">
        <v>3</v>
      </c>
      <c r="B406" t="s">
        <v>858</v>
      </c>
      <c r="C406" s="6">
        <v>42822.79</v>
      </c>
      <c r="D406" s="6">
        <v>42720.34</v>
      </c>
      <c r="E406" s="6">
        <f>D406-C406</f>
        <v>0</v>
      </c>
      <c r="F406" s="5">
        <f>IF(C406=0,"",E406/C406)</f>
        <v>0</v>
      </c>
    </row>
    <row r="407" spans="1:6">
      <c r="A407" t="s">
        <v>3</v>
      </c>
      <c r="B407" t="s">
        <v>868</v>
      </c>
      <c r="C407" s="6">
        <v>38145.09</v>
      </c>
      <c r="D407" s="6">
        <v>38063.04</v>
      </c>
      <c r="E407" s="6">
        <f>D407-C407</f>
        <v>0</v>
      </c>
      <c r="F407" s="5">
        <f>IF(C407=0,"",E407/C407)</f>
        <v>0</v>
      </c>
    </row>
    <row r="408" spans="1:6">
      <c r="A408" t="s">
        <v>3</v>
      </c>
      <c r="B408" t="s">
        <v>876</v>
      </c>
      <c r="C408" s="6">
        <v>46231.48</v>
      </c>
      <c r="D408" s="6">
        <v>46157.76</v>
      </c>
      <c r="E408" s="6">
        <f>D408-C408</f>
        <v>0</v>
      </c>
      <c r="F408" s="5">
        <f>IF(C408=0,"",E408/C408)</f>
        <v>0</v>
      </c>
    </row>
    <row r="409" spans="1:6">
      <c r="A409" t="s">
        <v>3</v>
      </c>
      <c r="B409" t="s">
        <v>880</v>
      </c>
      <c r="C409" s="6">
        <v>56422.25</v>
      </c>
      <c r="D409" s="6">
        <v>55893.5</v>
      </c>
      <c r="E409" s="6">
        <f>D409-C409</f>
        <v>0</v>
      </c>
      <c r="F409" s="5">
        <f>IF(C409=0,"",E409/C409)</f>
        <v>0</v>
      </c>
    </row>
    <row r="410" spans="1:6">
      <c r="A410" t="s">
        <v>3</v>
      </c>
      <c r="B410" t="s">
        <v>891</v>
      </c>
      <c r="C410" s="6">
        <v>45065.33</v>
      </c>
      <c r="D410" s="6">
        <v>44991.23</v>
      </c>
      <c r="E410" s="6">
        <f>D410-C410</f>
        <v>0</v>
      </c>
      <c r="F410" s="5">
        <f>IF(C410=0,"",E410/C410)</f>
        <v>0</v>
      </c>
    </row>
    <row r="411" spans="1:6">
      <c r="A411" t="s">
        <v>3</v>
      </c>
      <c r="B411" t="s">
        <v>903</v>
      </c>
      <c r="C411" s="6">
        <v>55157</v>
      </c>
      <c r="D411" s="6">
        <v>55033.3</v>
      </c>
      <c r="E411" s="6">
        <f>D411-C411</f>
        <v>0</v>
      </c>
      <c r="F411" s="5">
        <f>IF(C411=0,"",E411/C411)</f>
        <v>0</v>
      </c>
    </row>
    <row r="412" spans="1:6">
      <c r="A412" t="s">
        <v>3</v>
      </c>
      <c r="B412" t="s">
        <v>915</v>
      </c>
      <c r="C412" s="6">
        <v>55270.35</v>
      </c>
      <c r="D412" s="6">
        <v>55196.75</v>
      </c>
      <c r="E412" s="6">
        <f>D412-C412</f>
        <v>0</v>
      </c>
      <c r="F412" s="5">
        <f>IF(C412=0,"",E412/C412)</f>
        <v>0</v>
      </c>
    </row>
    <row r="413" spans="1:6">
      <c r="A413" t="s">
        <v>3</v>
      </c>
      <c r="B413" t="s">
        <v>922</v>
      </c>
      <c r="C413" s="6">
        <v>59023.74</v>
      </c>
      <c r="D413" s="6">
        <v>58866.34</v>
      </c>
      <c r="E413" s="6">
        <f>D413-C413</f>
        <v>0</v>
      </c>
      <c r="F413" s="5">
        <f>IF(C413=0,"",E413/C413)</f>
        <v>0</v>
      </c>
    </row>
    <row r="414" spans="1:6">
      <c r="A414" t="s">
        <v>3</v>
      </c>
      <c r="B414" t="s">
        <v>934</v>
      </c>
      <c r="C414" s="6">
        <v>49560.03</v>
      </c>
      <c r="D414" s="6">
        <v>49334.13</v>
      </c>
      <c r="E414" s="6">
        <f>D414-C414</f>
        <v>0</v>
      </c>
      <c r="F414" s="5">
        <f>IF(C414=0,"",E414/C414)</f>
        <v>0</v>
      </c>
    </row>
    <row r="415" spans="1:6">
      <c r="A415" t="s">
        <v>3</v>
      </c>
      <c r="B415" t="s">
        <v>944</v>
      </c>
      <c r="C415" s="6">
        <v>52907.12</v>
      </c>
      <c r="D415" s="6">
        <v>52821.72</v>
      </c>
      <c r="E415" s="6">
        <f>D415-C415</f>
        <v>0</v>
      </c>
      <c r="F415" s="5">
        <f>IF(C415=0,"",E415/C415)</f>
        <v>0</v>
      </c>
    </row>
    <row r="416" spans="1:6">
      <c r="A416" t="s">
        <v>3</v>
      </c>
      <c r="B416" t="s">
        <v>952</v>
      </c>
      <c r="C416" s="6">
        <v>48216.57</v>
      </c>
      <c r="D416" s="6">
        <v>48122.78</v>
      </c>
      <c r="E416" s="6">
        <f>D416-C416</f>
        <v>0</v>
      </c>
      <c r="F416" s="5">
        <f>IF(C416=0,"",E416/C416)</f>
        <v>0</v>
      </c>
    </row>
    <row r="417" spans="1:6">
      <c r="A417" t="s">
        <v>3</v>
      </c>
      <c r="B417" t="s">
        <v>961</v>
      </c>
      <c r="C417" s="6">
        <v>40402.03</v>
      </c>
      <c r="D417" s="6">
        <v>40303.03</v>
      </c>
      <c r="E417" s="6">
        <f>D417-C417</f>
        <v>0</v>
      </c>
      <c r="F417" s="5">
        <f>IF(C417=0,"",E417/C417)</f>
        <v>0</v>
      </c>
    </row>
    <row r="418" spans="1:6">
      <c r="A418" t="s">
        <v>3</v>
      </c>
      <c r="B418" t="s">
        <v>966</v>
      </c>
      <c r="C418" s="6">
        <v>51652.07</v>
      </c>
      <c r="D418" s="6">
        <v>51519.32</v>
      </c>
      <c r="E418" s="6">
        <f>D418-C418</f>
        <v>0</v>
      </c>
      <c r="F418" s="5">
        <f>IF(C418=0,"",E418/C418)</f>
        <v>0</v>
      </c>
    </row>
    <row r="419" spans="1:6">
      <c r="A419" t="s">
        <v>3</v>
      </c>
      <c r="B419" t="s">
        <v>980</v>
      </c>
      <c r="C419" s="6">
        <v>65099.08</v>
      </c>
      <c r="D419" s="6">
        <v>65005.03</v>
      </c>
      <c r="E419" s="6">
        <f>D419-C419</f>
        <v>0</v>
      </c>
      <c r="F419" s="5">
        <f>IF(C419=0,"",E419/C419)</f>
        <v>0</v>
      </c>
    </row>
    <row r="420" spans="1:6">
      <c r="A420" t="s">
        <v>3</v>
      </c>
      <c r="B420" t="s">
        <v>992</v>
      </c>
      <c r="C420" s="6">
        <v>42965.53</v>
      </c>
      <c r="D420" s="6">
        <v>42908.31</v>
      </c>
      <c r="E420" s="6">
        <f>D420-C420</f>
        <v>0</v>
      </c>
      <c r="F420" s="5">
        <f>IF(C420=0,"",E420/C420)</f>
        <v>0</v>
      </c>
    </row>
    <row r="421" spans="1:6">
      <c r="A421" t="s">
        <v>3</v>
      </c>
      <c r="B421" t="s">
        <v>1002</v>
      </c>
      <c r="C421" s="6">
        <v>19848.39</v>
      </c>
      <c r="D421" s="6">
        <v>19845.39</v>
      </c>
      <c r="E421" s="6">
        <f>D421-C421</f>
        <v>0</v>
      </c>
      <c r="F421" s="5">
        <f>IF(C421=0,"",E421/C421)</f>
        <v>0</v>
      </c>
    </row>
    <row r="422" spans="1:6">
      <c r="A422" t="s">
        <v>4</v>
      </c>
      <c r="B422" t="s">
        <v>30</v>
      </c>
      <c r="C422" s="6">
        <v>44235.03</v>
      </c>
      <c r="D422" s="6">
        <v>44236.88</v>
      </c>
      <c r="E422" s="6">
        <f>D422-C422</f>
        <v>0</v>
      </c>
      <c r="F422" s="5">
        <f>IF(C422=0,"",E422/C422)</f>
        <v>0</v>
      </c>
    </row>
    <row r="423" spans="1:6">
      <c r="A423" t="s">
        <v>4</v>
      </c>
      <c r="B423" t="s">
        <v>47</v>
      </c>
      <c r="C423" s="6">
        <v>48513.58</v>
      </c>
      <c r="D423" s="6">
        <v>48651.4</v>
      </c>
      <c r="E423" s="6">
        <f>D423-C423</f>
        <v>0</v>
      </c>
      <c r="F423" s="5">
        <f>IF(C423=0,"",E423/C423)</f>
        <v>0</v>
      </c>
    </row>
    <row r="424" spans="1:6">
      <c r="A424" t="s">
        <v>4</v>
      </c>
      <c r="B424" t="s">
        <v>62</v>
      </c>
      <c r="C424" s="6">
        <v>43848.85</v>
      </c>
      <c r="D424" s="6">
        <v>43864.9</v>
      </c>
      <c r="E424" s="6">
        <f>D424-C424</f>
        <v>0</v>
      </c>
      <c r="F424" s="5">
        <f>IF(C424=0,"",E424/C424)</f>
        <v>0</v>
      </c>
    </row>
    <row r="425" spans="1:6">
      <c r="A425" t="s">
        <v>4</v>
      </c>
      <c r="B425" t="s">
        <v>71</v>
      </c>
      <c r="C425" s="6">
        <v>41246.95</v>
      </c>
      <c r="D425" s="6">
        <v>41272.45</v>
      </c>
      <c r="E425" s="6">
        <f>D425-C425</f>
        <v>0</v>
      </c>
      <c r="F425" s="5">
        <f>IF(C425=0,"",E425/C425)</f>
        <v>0</v>
      </c>
    </row>
    <row r="426" spans="1:6">
      <c r="A426" t="s">
        <v>4</v>
      </c>
      <c r="B426" t="s">
        <v>86</v>
      </c>
      <c r="C426" s="6">
        <v>42768.74</v>
      </c>
      <c r="D426" s="6">
        <v>42790.24</v>
      </c>
      <c r="E426" s="6">
        <f>D426-C426</f>
        <v>0</v>
      </c>
      <c r="F426" s="5">
        <f>IF(C426=0,"",E426/C426)</f>
        <v>0</v>
      </c>
    </row>
    <row r="427" spans="1:6">
      <c r="A427" t="s">
        <v>4</v>
      </c>
      <c r="B427" t="s">
        <v>97</v>
      </c>
      <c r="C427" s="6">
        <v>57483.06</v>
      </c>
      <c r="D427" s="6">
        <v>57490.06</v>
      </c>
      <c r="E427" s="6">
        <f>D427-C427</f>
        <v>0</v>
      </c>
      <c r="F427" s="5">
        <f>IF(C427=0,"",E427/C427)</f>
        <v>0</v>
      </c>
    </row>
    <row r="428" spans="1:6">
      <c r="A428" t="s">
        <v>4</v>
      </c>
      <c r="B428" t="s">
        <v>103</v>
      </c>
      <c r="C428" s="6">
        <v>47757.06</v>
      </c>
      <c r="D428" s="6">
        <v>47757.06</v>
      </c>
      <c r="E428" s="6">
        <f>D428-C428</f>
        <v>0</v>
      </c>
      <c r="F428" s="5">
        <f>IF(C428=0,"",E428/C428)</f>
        <v>0</v>
      </c>
    </row>
    <row r="429" spans="1:6">
      <c r="A429" t="s">
        <v>4</v>
      </c>
      <c r="B429" t="s">
        <v>121</v>
      </c>
      <c r="C429" s="6">
        <v>49560.2</v>
      </c>
      <c r="D429" s="6">
        <v>49602.2</v>
      </c>
      <c r="E429" s="6">
        <f>D429-C429</f>
        <v>0</v>
      </c>
      <c r="F429" s="5">
        <f>IF(C429=0,"",E429/C429)</f>
        <v>0</v>
      </c>
    </row>
    <row r="430" spans="1:6">
      <c r="A430" t="s">
        <v>4</v>
      </c>
      <c r="B430" t="s">
        <v>134</v>
      </c>
      <c r="C430" s="6">
        <v>53702.77</v>
      </c>
      <c r="D430" s="6">
        <v>53714.02</v>
      </c>
      <c r="E430" s="6">
        <f>D430-C430</f>
        <v>0</v>
      </c>
      <c r="F430" s="5">
        <f>IF(C430=0,"",E430/C430)</f>
        <v>0</v>
      </c>
    </row>
    <row r="431" spans="1:6">
      <c r="A431" t="s">
        <v>4</v>
      </c>
      <c r="B431" t="s">
        <v>143</v>
      </c>
      <c r="C431" s="6">
        <v>52190.15</v>
      </c>
      <c r="D431" s="6">
        <v>52211.9</v>
      </c>
      <c r="E431" s="6">
        <f>D431-C431</f>
        <v>0</v>
      </c>
      <c r="F431" s="5">
        <f>IF(C431=0,"",E431/C431)</f>
        <v>0</v>
      </c>
    </row>
    <row r="432" spans="1:6">
      <c r="A432" t="s">
        <v>4</v>
      </c>
      <c r="B432" t="s">
        <v>154</v>
      </c>
      <c r="C432" s="6">
        <v>43713.47</v>
      </c>
      <c r="D432" s="6">
        <v>43729.97</v>
      </c>
      <c r="E432" s="6">
        <f>D432-C432</f>
        <v>0</v>
      </c>
      <c r="F432" s="5">
        <f>IF(C432=0,"",E432/C432)</f>
        <v>0</v>
      </c>
    </row>
    <row r="433" spans="1:6">
      <c r="A433" t="s">
        <v>4</v>
      </c>
      <c r="B433" t="s">
        <v>160</v>
      </c>
      <c r="C433" s="6">
        <v>45886.13</v>
      </c>
      <c r="D433" s="6">
        <v>45890.63</v>
      </c>
      <c r="E433" s="6">
        <f>D433-C433</f>
        <v>0</v>
      </c>
      <c r="F433" s="5">
        <f>IF(C433=0,"",E433/C433)</f>
        <v>0</v>
      </c>
    </row>
    <row r="434" spans="1:6">
      <c r="A434" t="s">
        <v>4</v>
      </c>
      <c r="B434" t="s">
        <v>170</v>
      </c>
      <c r="C434" s="6">
        <v>49000.58</v>
      </c>
      <c r="D434" s="6">
        <v>49015.88</v>
      </c>
      <c r="E434" s="6">
        <f>D434-C434</f>
        <v>0</v>
      </c>
      <c r="F434" s="5">
        <f>IF(C434=0,"",E434/C434)</f>
        <v>0</v>
      </c>
    </row>
    <row r="435" spans="1:6">
      <c r="A435" t="s">
        <v>4</v>
      </c>
      <c r="B435" t="s">
        <v>180</v>
      </c>
      <c r="C435" s="6">
        <v>56046.61</v>
      </c>
      <c r="D435" s="6">
        <v>56058.61</v>
      </c>
      <c r="E435" s="6">
        <f>D435-C435</f>
        <v>0</v>
      </c>
      <c r="F435" s="5">
        <f>IF(C435=0,"",E435/C435)</f>
        <v>0</v>
      </c>
    </row>
    <row r="436" spans="1:6">
      <c r="A436" t="s">
        <v>4</v>
      </c>
      <c r="B436" t="s">
        <v>193</v>
      </c>
      <c r="C436" s="6">
        <v>44671.85</v>
      </c>
      <c r="D436" s="6">
        <v>44691.9</v>
      </c>
      <c r="E436" s="6">
        <f>D436-C436</f>
        <v>0</v>
      </c>
      <c r="F436" s="5">
        <f>IF(C436=0,"",E436/C436)</f>
        <v>0</v>
      </c>
    </row>
    <row r="437" spans="1:6">
      <c r="A437" t="s">
        <v>4</v>
      </c>
      <c r="B437" t="s">
        <v>205</v>
      </c>
      <c r="C437" s="6">
        <v>46833.85</v>
      </c>
      <c r="D437" s="6">
        <v>46843.9</v>
      </c>
      <c r="E437" s="6">
        <f>D437-C437</f>
        <v>0</v>
      </c>
      <c r="F437" s="5">
        <f>IF(C437=0,"",E437/C437)</f>
        <v>0</v>
      </c>
    </row>
    <row r="438" spans="1:6">
      <c r="A438" t="s">
        <v>4</v>
      </c>
      <c r="B438" t="s">
        <v>216</v>
      </c>
      <c r="C438" s="6">
        <v>46736.52</v>
      </c>
      <c r="D438" s="6">
        <v>46756.82</v>
      </c>
      <c r="E438" s="6">
        <f>D438-C438</f>
        <v>0</v>
      </c>
      <c r="F438" s="5">
        <f>IF(C438=0,"",E438/C438)</f>
        <v>0</v>
      </c>
    </row>
    <row r="439" spans="1:6">
      <c r="A439" t="s">
        <v>4</v>
      </c>
      <c r="B439" t="s">
        <v>226</v>
      </c>
      <c r="C439" s="6">
        <v>71392.36</v>
      </c>
      <c r="D439" s="6">
        <v>71396.11</v>
      </c>
      <c r="E439" s="6">
        <f>D439-C439</f>
        <v>0</v>
      </c>
      <c r="F439" s="5">
        <f>IF(C439=0,"",E439/C439)</f>
        <v>0</v>
      </c>
    </row>
    <row r="440" spans="1:6">
      <c r="A440" t="s">
        <v>4</v>
      </c>
      <c r="B440" t="s">
        <v>231</v>
      </c>
      <c r="C440" s="6">
        <v>56626.69</v>
      </c>
      <c r="D440" s="6">
        <v>56646.04</v>
      </c>
      <c r="E440" s="6">
        <f>D440-C440</f>
        <v>0</v>
      </c>
      <c r="F440" s="5">
        <f>IF(C440=0,"",E440/C440)</f>
        <v>0</v>
      </c>
    </row>
    <row r="441" spans="1:6">
      <c r="A441" t="s">
        <v>4</v>
      </c>
      <c r="B441" t="s">
        <v>238</v>
      </c>
      <c r="C441" s="6">
        <v>44509.95</v>
      </c>
      <c r="D441" s="6">
        <v>44516.95</v>
      </c>
      <c r="E441" s="6">
        <f>D441-C441</f>
        <v>0</v>
      </c>
      <c r="F441" s="5">
        <f>IF(C441=0,"",E441/C441)</f>
        <v>0</v>
      </c>
    </row>
    <row r="442" spans="1:6">
      <c r="A442" t="s">
        <v>4</v>
      </c>
      <c r="B442" t="s">
        <v>251</v>
      </c>
      <c r="C442" s="6">
        <v>54818.98</v>
      </c>
      <c r="D442" s="6">
        <v>54860.98</v>
      </c>
      <c r="E442" s="6">
        <f>D442-C442</f>
        <v>0</v>
      </c>
      <c r="F442" s="5">
        <f>IF(C442=0,"",E442/C442)</f>
        <v>0</v>
      </c>
    </row>
    <row r="443" spans="1:6">
      <c r="A443" t="s">
        <v>4</v>
      </c>
      <c r="B443" t="s">
        <v>254</v>
      </c>
      <c r="C443" s="6">
        <v>56701.08</v>
      </c>
      <c r="D443" s="6">
        <v>56711.58</v>
      </c>
      <c r="E443" s="6">
        <f>D443-C443</f>
        <v>0</v>
      </c>
      <c r="F443" s="5">
        <f>IF(C443=0,"",E443/C443)</f>
        <v>0</v>
      </c>
    </row>
    <row r="444" spans="1:6">
      <c r="A444" t="s">
        <v>4</v>
      </c>
      <c r="B444" t="s">
        <v>264</v>
      </c>
      <c r="C444" s="6">
        <v>55103.55</v>
      </c>
      <c r="D444" s="6">
        <v>55112.55</v>
      </c>
      <c r="E444" s="6">
        <f>D444-C444</f>
        <v>0</v>
      </c>
      <c r="F444" s="5">
        <f>IF(C444=0,"",E444/C444)</f>
        <v>0</v>
      </c>
    </row>
    <row r="445" spans="1:6">
      <c r="A445" t="s">
        <v>4</v>
      </c>
      <c r="B445" t="s">
        <v>273</v>
      </c>
      <c r="C445" s="6">
        <v>46676.18</v>
      </c>
      <c r="D445" s="6">
        <v>46774</v>
      </c>
      <c r="E445" s="6">
        <f>D445-C445</f>
        <v>0</v>
      </c>
      <c r="F445" s="5">
        <f>IF(C445=0,"",E445/C445)</f>
        <v>0</v>
      </c>
    </row>
    <row r="446" spans="1:6">
      <c r="A446" t="s">
        <v>4</v>
      </c>
      <c r="B446" t="s">
        <v>284</v>
      </c>
      <c r="C446" s="6">
        <v>46679.89</v>
      </c>
      <c r="D446" s="6">
        <v>46679.89</v>
      </c>
      <c r="E446" s="6">
        <f>D446-C446</f>
        <v>0</v>
      </c>
      <c r="F446" s="5">
        <f>IF(C446=0,"",E446/C446)</f>
        <v>0</v>
      </c>
    </row>
    <row r="447" spans="1:6">
      <c r="A447" t="s">
        <v>4</v>
      </c>
      <c r="B447" t="s">
        <v>289</v>
      </c>
      <c r="C447" s="6">
        <v>64286.82</v>
      </c>
      <c r="D447" s="6">
        <v>64345.32</v>
      </c>
      <c r="E447" s="6">
        <f>D447-C447</f>
        <v>0</v>
      </c>
      <c r="F447" s="5">
        <f>IF(C447=0,"",E447/C447)</f>
        <v>0</v>
      </c>
    </row>
    <row r="448" spans="1:6">
      <c r="A448" t="s">
        <v>4</v>
      </c>
      <c r="B448" t="s">
        <v>299</v>
      </c>
      <c r="C448" s="6">
        <v>56631.42</v>
      </c>
      <c r="D448" s="6">
        <v>56656.17</v>
      </c>
      <c r="E448" s="6">
        <f>D448-C448</f>
        <v>0</v>
      </c>
      <c r="F448" s="5">
        <f>IF(C448=0,"",E448/C448)</f>
        <v>0</v>
      </c>
    </row>
    <row r="449" spans="1:6">
      <c r="A449" t="s">
        <v>4</v>
      </c>
      <c r="B449" t="s">
        <v>306</v>
      </c>
      <c r="C449" s="6">
        <v>47324.41</v>
      </c>
      <c r="D449" s="6">
        <v>47363.16</v>
      </c>
      <c r="E449" s="6">
        <f>D449-C449</f>
        <v>0</v>
      </c>
      <c r="F449" s="5">
        <f>IF(C449=0,"",E449/C449)</f>
        <v>0</v>
      </c>
    </row>
    <row r="450" spans="1:6">
      <c r="A450" t="s">
        <v>4</v>
      </c>
      <c r="B450" t="s">
        <v>313</v>
      </c>
      <c r="C450" s="6">
        <v>49113.55</v>
      </c>
      <c r="D450" s="6">
        <v>49131.55</v>
      </c>
      <c r="E450" s="6">
        <f>D450-C450</f>
        <v>0</v>
      </c>
      <c r="F450" s="5">
        <f>IF(C450=0,"",E450/C450)</f>
        <v>0</v>
      </c>
    </row>
    <row r="451" spans="1:6">
      <c r="A451" t="s">
        <v>4</v>
      </c>
      <c r="B451" t="s">
        <v>324</v>
      </c>
      <c r="C451" s="6">
        <v>51839.62</v>
      </c>
      <c r="D451" s="6">
        <v>51848.62</v>
      </c>
      <c r="E451" s="6">
        <f>D451-C451</f>
        <v>0</v>
      </c>
      <c r="F451" s="5">
        <f>IF(C451=0,"",E451/C451)</f>
        <v>0</v>
      </c>
    </row>
    <row r="452" spans="1:6">
      <c r="A452" t="s">
        <v>4</v>
      </c>
      <c r="B452" t="s">
        <v>331</v>
      </c>
      <c r="C452" s="6">
        <v>54597.99</v>
      </c>
      <c r="D452" s="6">
        <v>54791.49</v>
      </c>
      <c r="E452" s="6">
        <f>D452-C452</f>
        <v>0</v>
      </c>
      <c r="F452" s="5">
        <f>IF(C452=0,"",E452/C452)</f>
        <v>0</v>
      </c>
    </row>
    <row r="453" spans="1:6">
      <c r="A453" t="s">
        <v>4</v>
      </c>
      <c r="B453" t="s">
        <v>335</v>
      </c>
      <c r="C453" s="6">
        <v>47239.47</v>
      </c>
      <c r="D453" s="6">
        <v>47359.47</v>
      </c>
      <c r="E453" s="6">
        <f>D453-C453</f>
        <v>0</v>
      </c>
      <c r="F453" s="5">
        <f>IF(C453=0,"",E453/C453)</f>
        <v>0</v>
      </c>
    </row>
    <row r="454" spans="1:6">
      <c r="A454" t="s">
        <v>4</v>
      </c>
      <c r="B454" t="s">
        <v>345</v>
      </c>
      <c r="C454" s="6">
        <v>51488.17</v>
      </c>
      <c r="D454" s="6">
        <v>51500.92</v>
      </c>
      <c r="E454" s="6">
        <f>D454-C454</f>
        <v>0</v>
      </c>
      <c r="F454" s="5">
        <f>IF(C454=0,"",E454/C454)</f>
        <v>0</v>
      </c>
    </row>
    <row r="455" spans="1:6">
      <c r="A455" t="s">
        <v>4</v>
      </c>
      <c r="B455" t="s">
        <v>357</v>
      </c>
      <c r="C455" s="6">
        <v>46519.2</v>
      </c>
      <c r="D455" s="6">
        <v>46535.25</v>
      </c>
      <c r="E455" s="6">
        <f>D455-C455</f>
        <v>0</v>
      </c>
      <c r="F455" s="5">
        <f>IF(C455=0,"",E455/C455)</f>
        <v>0</v>
      </c>
    </row>
    <row r="456" spans="1:6">
      <c r="A456" t="s">
        <v>4</v>
      </c>
      <c r="B456" t="s">
        <v>364</v>
      </c>
      <c r="C456" s="6">
        <v>52442.9</v>
      </c>
      <c r="D456" s="6">
        <v>52495.4</v>
      </c>
      <c r="E456" s="6">
        <f>D456-C456</f>
        <v>0</v>
      </c>
      <c r="F456" s="5">
        <f>IF(C456=0,"",E456/C456)</f>
        <v>0</v>
      </c>
    </row>
    <row r="457" spans="1:6">
      <c r="A457" t="s">
        <v>4</v>
      </c>
      <c r="B457" t="s">
        <v>371</v>
      </c>
      <c r="C457" s="6">
        <v>62524.84</v>
      </c>
      <c r="D457" s="6">
        <v>62536.84</v>
      </c>
      <c r="E457" s="6">
        <f>D457-C457</f>
        <v>0</v>
      </c>
      <c r="F457" s="5">
        <f>IF(C457=0,"",E457/C457)</f>
        <v>0</v>
      </c>
    </row>
    <row r="458" spans="1:6">
      <c r="A458" t="s">
        <v>4</v>
      </c>
      <c r="B458" t="s">
        <v>379</v>
      </c>
      <c r="C458" s="6">
        <v>43509.89</v>
      </c>
      <c r="D458" s="6">
        <v>43565.19</v>
      </c>
      <c r="E458" s="6">
        <f>D458-C458</f>
        <v>0</v>
      </c>
      <c r="F458" s="5">
        <f>IF(C458=0,"",E458/C458)</f>
        <v>0</v>
      </c>
    </row>
    <row r="459" spans="1:6">
      <c r="A459" t="s">
        <v>4</v>
      </c>
      <c r="B459" t="s">
        <v>392</v>
      </c>
      <c r="C459" s="6">
        <v>45537.34</v>
      </c>
      <c r="D459" s="6">
        <v>45537.39</v>
      </c>
      <c r="E459" s="6">
        <f>D459-C459</f>
        <v>0</v>
      </c>
      <c r="F459" s="5">
        <f>IF(C459=0,"",E459/C459)</f>
        <v>0</v>
      </c>
    </row>
    <row r="460" spans="1:6">
      <c r="A460" t="s">
        <v>4</v>
      </c>
      <c r="B460" t="s">
        <v>402</v>
      </c>
      <c r="C460" s="6">
        <v>46466.2</v>
      </c>
      <c r="D460" s="6">
        <v>46468.2</v>
      </c>
      <c r="E460" s="6">
        <f>D460-C460</f>
        <v>0</v>
      </c>
      <c r="F460" s="5">
        <f>IF(C460=0,"",E460/C460)</f>
        <v>0</v>
      </c>
    </row>
    <row r="461" spans="1:6">
      <c r="A461" t="s">
        <v>4</v>
      </c>
      <c r="B461" t="s">
        <v>410</v>
      </c>
      <c r="C461" s="6">
        <v>57086.34</v>
      </c>
      <c r="D461" s="6">
        <v>57086.34</v>
      </c>
      <c r="E461" s="6">
        <f>D461-C461</f>
        <v>0</v>
      </c>
      <c r="F461" s="5">
        <f>IF(C461=0,"",E461/C461)</f>
        <v>0</v>
      </c>
    </row>
    <row r="462" spans="1:6">
      <c r="A462" t="s">
        <v>4</v>
      </c>
      <c r="B462" t="s">
        <v>416</v>
      </c>
      <c r="C462" s="6">
        <v>52670.22</v>
      </c>
      <c r="D462" s="6">
        <v>52675.47</v>
      </c>
      <c r="E462" s="6">
        <f>D462-C462</f>
        <v>0</v>
      </c>
      <c r="F462" s="5">
        <f>IF(C462=0,"",E462/C462)</f>
        <v>0</v>
      </c>
    </row>
    <row r="463" spans="1:6">
      <c r="A463" t="s">
        <v>4</v>
      </c>
      <c r="B463" t="s">
        <v>428</v>
      </c>
      <c r="C463" s="6">
        <v>47548.13</v>
      </c>
      <c r="D463" s="6">
        <v>47566.13</v>
      </c>
      <c r="E463" s="6">
        <f>D463-C463</f>
        <v>0</v>
      </c>
      <c r="F463" s="5">
        <f>IF(C463=0,"",E463/C463)</f>
        <v>0</v>
      </c>
    </row>
    <row r="464" spans="1:6">
      <c r="A464" t="s">
        <v>4</v>
      </c>
      <c r="B464" t="s">
        <v>436</v>
      </c>
      <c r="C464" s="6">
        <v>45774.61</v>
      </c>
      <c r="D464" s="6">
        <v>45806.11</v>
      </c>
      <c r="E464" s="6">
        <f>D464-C464</f>
        <v>0</v>
      </c>
      <c r="F464" s="5">
        <f>IF(C464=0,"",E464/C464)</f>
        <v>0</v>
      </c>
    </row>
    <row r="465" spans="1:6">
      <c r="A465" t="s">
        <v>4</v>
      </c>
      <c r="B465" t="s">
        <v>447</v>
      </c>
      <c r="C465" s="6">
        <v>51699.51</v>
      </c>
      <c r="D465" s="6">
        <v>51739.51</v>
      </c>
      <c r="E465" s="6">
        <f>D465-C465</f>
        <v>0</v>
      </c>
      <c r="F465" s="5">
        <f>IF(C465=0,"",E465/C465)</f>
        <v>0</v>
      </c>
    </row>
    <row r="466" spans="1:6">
      <c r="A466" t="s">
        <v>4</v>
      </c>
      <c r="B466" t="s">
        <v>1278</v>
      </c>
      <c r="C466" s="6">
        <v>58591.83</v>
      </c>
      <c r="D466" s="6">
        <v>58604.33</v>
      </c>
      <c r="E466" s="6">
        <f>D466-C466</f>
        <v>0</v>
      </c>
      <c r="F466" s="5">
        <f>IF(C466=0,"",E466/C466)</f>
        <v>0</v>
      </c>
    </row>
    <row r="467" spans="1:6">
      <c r="A467" t="s">
        <v>4</v>
      </c>
      <c r="B467" t="s">
        <v>451</v>
      </c>
      <c r="C467" s="6">
        <v>61035.98</v>
      </c>
      <c r="D467" s="6">
        <v>61104.03</v>
      </c>
      <c r="E467" s="6">
        <f>D467-C467</f>
        <v>0</v>
      </c>
      <c r="F467" s="5">
        <f>IF(C467=0,"",E467/C467)</f>
        <v>0</v>
      </c>
    </row>
    <row r="468" spans="1:6">
      <c r="A468" t="s">
        <v>4</v>
      </c>
      <c r="B468" t="s">
        <v>464</v>
      </c>
      <c r="C468" s="6">
        <v>50348.94</v>
      </c>
      <c r="D468" s="6">
        <v>50351.19</v>
      </c>
      <c r="E468" s="6">
        <f>D468-C468</f>
        <v>0</v>
      </c>
      <c r="F468" s="5">
        <f>IF(C468=0,"",E468/C468)</f>
        <v>0</v>
      </c>
    </row>
    <row r="469" spans="1:6">
      <c r="A469" t="s">
        <v>4</v>
      </c>
      <c r="B469" t="s">
        <v>478</v>
      </c>
      <c r="C469" s="6">
        <v>47394.3</v>
      </c>
      <c r="D469" s="6">
        <v>47452.4</v>
      </c>
      <c r="E469" s="6">
        <f>D469-C469</f>
        <v>0</v>
      </c>
      <c r="F469" s="5">
        <f>IF(C469=0,"",E469/C469)</f>
        <v>0</v>
      </c>
    </row>
    <row r="470" spans="1:6">
      <c r="A470" t="s">
        <v>4</v>
      </c>
      <c r="B470" t="s">
        <v>492</v>
      </c>
      <c r="C470" s="6">
        <v>66242.42</v>
      </c>
      <c r="D470" s="6">
        <v>66381.78999999999</v>
      </c>
      <c r="E470" s="6">
        <f>D470-C470</f>
        <v>0</v>
      </c>
      <c r="F470" s="5">
        <f>IF(C470=0,"",E470/C470)</f>
        <v>0</v>
      </c>
    </row>
    <row r="471" spans="1:6">
      <c r="A471" t="s">
        <v>4</v>
      </c>
      <c r="B471" t="s">
        <v>501</v>
      </c>
      <c r="C471" s="6">
        <v>57403.01</v>
      </c>
      <c r="D471" s="6">
        <v>57448.01</v>
      </c>
      <c r="E471" s="6">
        <f>D471-C471</f>
        <v>0</v>
      </c>
      <c r="F471" s="5">
        <f>IF(C471=0,"",E471/C471)</f>
        <v>0</v>
      </c>
    </row>
    <row r="472" spans="1:6">
      <c r="A472" t="s">
        <v>4</v>
      </c>
      <c r="B472" t="s">
        <v>511</v>
      </c>
      <c r="C472" s="6">
        <v>48534.71</v>
      </c>
      <c r="D472" s="6">
        <v>48575.96</v>
      </c>
      <c r="E472" s="6">
        <f>D472-C472</f>
        <v>0</v>
      </c>
      <c r="F472" s="5">
        <f>IF(C472=0,"",E472/C472)</f>
        <v>0</v>
      </c>
    </row>
    <row r="473" spans="1:6">
      <c r="A473" t="s">
        <v>4</v>
      </c>
      <c r="B473" t="s">
        <v>523</v>
      </c>
      <c r="C473" s="6">
        <v>47410.59</v>
      </c>
      <c r="D473" s="6">
        <v>47462.04</v>
      </c>
      <c r="E473" s="6">
        <f>D473-C473</f>
        <v>0</v>
      </c>
      <c r="F473" s="5">
        <f>IF(C473=0,"",E473/C473)</f>
        <v>0</v>
      </c>
    </row>
    <row r="474" spans="1:6">
      <c r="A474" t="s">
        <v>4</v>
      </c>
      <c r="B474" t="s">
        <v>528</v>
      </c>
      <c r="C474" s="6">
        <v>46594.56</v>
      </c>
      <c r="D474" s="6">
        <v>46609.56</v>
      </c>
      <c r="E474" s="6">
        <f>D474-C474</f>
        <v>0</v>
      </c>
      <c r="F474" s="5">
        <f>IF(C474=0,"",E474/C474)</f>
        <v>0</v>
      </c>
    </row>
    <row r="475" spans="1:6">
      <c r="A475" t="s">
        <v>4</v>
      </c>
      <c r="B475" t="s">
        <v>538</v>
      </c>
      <c r="C475" s="6">
        <v>42578.65</v>
      </c>
      <c r="D475" s="6">
        <v>42592.15</v>
      </c>
      <c r="E475" s="6">
        <f>D475-C475</f>
        <v>0</v>
      </c>
      <c r="F475" s="5">
        <f>IF(C475=0,"",E475/C475)</f>
        <v>0</v>
      </c>
    </row>
    <row r="476" spans="1:6">
      <c r="A476" t="s">
        <v>4</v>
      </c>
      <c r="B476" t="s">
        <v>552</v>
      </c>
      <c r="C476" s="6">
        <v>35914</v>
      </c>
      <c r="D476" s="6">
        <v>35949.8</v>
      </c>
      <c r="E476" s="6">
        <f>D476-C476</f>
        <v>0</v>
      </c>
      <c r="F476" s="5">
        <f>IF(C476=0,"",E476/C476)</f>
        <v>0</v>
      </c>
    </row>
    <row r="477" spans="1:6">
      <c r="A477" t="s">
        <v>4</v>
      </c>
      <c r="B477" t="s">
        <v>558</v>
      </c>
      <c r="C477" s="6">
        <v>39076.4</v>
      </c>
      <c r="D477" s="6">
        <v>39089.15</v>
      </c>
      <c r="E477" s="6">
        <f>D477-C477</f>
        <v>0</v>
      </c>
      <c r="F477" s="5">
        <f>IF(C477=0,"",E477/C477)</f>
        <v>0</v>
      </c>
    </row>
    <row r="478" spans="1:6">
      <c r="A478" t="s">
        <v>4</v>
      </c>
      <c r="B478" t="s">
        <v>563</v>
      </c>
      <c r="C478" s="6">
        <v>45243.18</v>
      </c>
      <c r="D478" s="6">
        <v>45287.38</v>
      </c>
      <c r="E478" s="6">
        <f>D478-C478</f>
        <v>0</v>
      </c>
      <c r="F478" s="5">
        <f>IF(C478=0,"",E478/C478)</f>
        <v>0</v>
      </c>
    </row>
    <row r="479" spans="1:6">
      <c r="A479" t="s">
        <v>4</v>
      </c>
      <c r="B479" t="s">
        <v>571</v>
      </c>
      <c r="C479" s="6">
        <v>59737.32</v>
      </c>
      <c r="D479" s="6">
        <v>59782.32</v>
      </c>
      <c r="E479" s="6">
        <f>D479-C479</f>
        <v>0</v>
      </c>
      <c r="F479" s="5">
        <f>IF(C479=0,"",E479/C479)</f>
        <v>0</v>
      </c>
    </row>
    <row r="480" spans="1:6">
      <c r="A480" t="s">
        <v>4</v>
      </c>
      <c r="B480" t="s">
        <v>574</v>
      </c>
      <c r="C480" s="6">
        <v>45696.86</v>
      </c>
      <c r="D480" s="6">
        <v>45708.66</v>
      </c>
      <c r="E480" s="6">
        <f>D480-C480</f>
        <v>0</v>
      </c>
      <c r="F480" s="5">
        <f>IF(C480=0,"",E480/C480)</f>
        <v>0</v>
      </c>
    </row>
    <row r="481" spans="1:6">
      <c r="A481" t="s">
        <v>4</v>
      </c>
      <c r="B481" t="s">
        <v>585</v>
      </c>
      <c r="C481" s="6">
        <v>46812.33</v>
      </c>
      <c r="D481" s="6">
        <v>46814.08</v>
      </c>
      <c r="E481" s="6">
        <f>D481-C481</f>
        <v>0</v>
      </c>
      <c r="F481" s="5">
        <f>IF(C481=0,"",E481/C481)</f>
        <v>0</v>
      </c>
    </row>
    <row r="482" spans="1:6">
      <c r="A482" t="s">
        <v>4</v>
      </c>
      <c r="B482" t="s">
        <v>594</v>
      </c>
      <c r="C482" s="6">
        <v>47812.71</v>
      </c>
      <c r="D482" s="6">
        <v>47812.71</v>
      </c>
      <c r="E482" s="6">
        <f>D482-C482</f>
        <v>0</v>
      </c>
      <c r="F482" s="5">
        <f>IF(C482=0,"",E482/C482)</f>
        <v>0</v>
      </c>
    </row>
    <row r="483" spans="1:6">
      <c r="A483" t="s">
        <v>4</v>
      </c>
      <c r="B483" t="s">
        <v>607</v>
      </c>
      <c r="C483" s="6">
        <v>52735.36</v>
      </c>
      <c r="D483" s="6">
        <v>52754.86</v>
      </c>
      <c r="E483" s="6">
        <f>D483-C483</f>
        <v>0</v>
      </c>
      <c r="F483" s="5">
        <f>IF(C483=0,"",E483/C483)</f>
        <v>0</v>
      </c>
    </row>
    <row r="484" spans="1:6">
      <c r="A484" t="s">
        <v>4</v>
      </c>
      <c r="B484" t="s">
        <v>615</v>
      </c>
      <c r="C484" s="6">
        <v>53630.06</v>
      </c>
      <c r="D484" s="6">
        <v>53632.91</v>
      </c>
      <c r="E484" s="6">
        <f>D484-C484</f>
        <v>0</v>
      </c>
      <c r="F484" s="5">
        <f>IF(C484=0,"",E484/C484)</f>
        <v>0</v>
      </c>
    </row>
    <row r="485" spans="1:6">
      <c r="A485" t="s">
        <v>4</v>
      </c>
      <c r="B485" t="s">
        <v>624</v>
      </c>
      <c r="C485" s="6">
        <v>46754.21</v>
      </c>
      <c r="D485" s="6">
        <v>46754.58</v>
      </c>
      <c r="E485" s="6">
        <f>D485-C485</f>
        <v>0</v>
      </c>
      <c r="F485" s="5">
        <f>IF(C485=0,"",E485/C485)</f>
        <v>0</v>
      </c>
    </row>
    <row r="486" spans="1:6">
      <c r="A486" t="s">
        <v>4</v>
      </c>
      <c r="B486" t="s">
        <v>635</v>
      </c>
      <c r="C486" s="6">
        <v>45623.09</v>
      </c>
      <c r="D486" s="6">
        <v>45652.71</v>
      </c>
      <c r="E486" s="6">
        <f>D486-C486</f>
        <v>0</v>
      </c>
      <c r="F486" s="5">
        <f>IF(C486=0,"",E486/C486)</f>
        <v>0</v>
      </c>
    </row>
    <row r="487" spans="1:6">
      <c r="A487" t="s">
        <v>4</v>
      </c>
      <c r="B487" t="s">
        <v>645</v>
      </c>
      <c r="C487" s="6">
        <v>50034.53</v>
      </c>
      <c r="D487" s="6">
        <v>50047.68</v>
      </c>
      <c r="E487" s="6">
        <f>D487-C487</f>
        <v>0</v>
      </c>
      <c r="F487" s="5">
        <f>IF(C487=0,"",E487/C487)</f>
        <v>0</v>
      </c>
    </row>
    <row r="488" spans="1:6">
      <c r="A488" t="s">
        <v>4</v>
      </c>
      <c r="B488" t="s">
        <v>650</v>
      </c>
      <c r="C488" s="6">
        <v>46802.21</v>
      </c>
      <c r="D488" s="6">
        <v>46837.46</v>
      </c>
      <c r="E488" s="6">
        <f>D488-C488</f>
        <v>0</v>
      </c>
      <c r="F488" s="5">
        <f>IF(C488=0,"",E488/C488)</f>
        <v>0</v>
      </c>
    </row>
    <row r="489" spans="1:6">
      <c r="A489" t="s">
        <v>4</v>
      </c>
      <c r="B489" t="s">
        <v>658</v>
      </c>
      <c r="C489" s="6">
        <v>50513.44</v>
      </c>
      <c r="D489" s="6">
        <v>50514.44</v>
      </c>
      <c r="E489" s="6">
        <f>D489-C489</f>
        <v>0</v>
      </c>
      <c r="F489" s="5">
        <f>IF(C489=0,"",E489/C489)</f>
        <v>0</v>
      </c>
    </row>
    <row r="490" spans="1:6">
      <c r="A490" t="s">
        <v>4</v>
      </c>
      <c r="B490" t="s">
        <v>673</v>
      </c>
      <c r="C490" s="6">
        <v>48277.34</v>
      </c>
      <c r="D490" s="6">
        <v>48298.34</v>
      </c>
      <c r="E490" s="6">
        <f>D490-C490</f>
        <v>0</v>
      </c>
      <c r="F490" s="5">
        <f>IF(C490=0,"",E490/C490)</f>
        <v>0</v>
      </c>
    </row>
    <row r="491" spans="1:6">
      <c r="A491" t="s">
        <v>4</v>
      </c>
      <c r="B491" t="s">
        <v>681</v>
      </c>
      <c r="C491" s="6">
        <v>57832.34</v>
      </c>
      <c r="D491" s="6">
        <v>57832.34</v>
      </c>
      <c r="E491" s="6">
        <f>D491-C491</f>
        <v>0</v>
      </c>
      <c r="F491" s="5">
        <f>IF(C491=0,"",E491/C491)</f>
        <v>0</v>
      </c>
    </row>
    <row r="492" spans="1:6">
      <c r="A492" t="s">
        <v>4</v>
      </c>
      <c r="B492" t="s">
        <v>689</v>
      </c>
      <c r="C492" s="6">
        <v>49056.77</v>
      </c>
      <c r="D492" s="6">
        <v>49136.37</v>
      </c>
      <c r="E492" s="6">
        <f>D492-C492</f>
        <v>0</v>
      </c>
      <c r="F492" s="5">
        <f>IF(C492=0,"",E492/C492)</f>
        <v>0</v>
      </c>
    </row>
    <row r="493" spans="1:6">
      <c r="A493" t="s">
        <v>4</v>
      </c>
      <c r="B493" t="s">
        <v>701</v>
      </c>
      <c r="C493" s="6">
        <v>51454.25</v>
      </c>
      <c r="D493" s="6">
        <v>51455</v>
      </c>
      <c r="E493" s="6">
        <f>D493-C493</f>
        <v>0</v>
      </c>
      <c r="F493" s="5">
        <f>IF(C493=0,"",E493/C493)</f>
        <v>0</v>
      </c>
    </row>
    <row r="494" spans="1:6">
      <c r="A494" t="s">
        <v>4</v>
      </c>
      <c r="B494" t="s">
        <v>708</v>
      </c>
      <c r="C494" s="6">
        <v>52458.6</v>
      </c>
      <c r="D494" s="6">
        <v>52515.6</v>
      </c>
      <c r="E494" s="6">
        <f>D494-C494</f>
        <v>0</v>
      </c>
      <c r="F494" s="5">
        <f>IF(C494=0,"",E494/C494)</f>
        <v>0</v>
      </c>
    </row>
    <row r="495" spans="1:6">
      <c r="A495" t="s">
        <v>4</v>
      </c>
      <c r="B495" t="s">
        <v>719</v>
      </c>
      <c r="C495" s="6">
        <v>55349.94</v>
      </c>
      <c r="D495" s="6">
        <v>55376.76</v>
      </c>
      <c r="E495" s="6">
        <f>D495-C495</f>
        <v>0</v>
      </c>
      <c r="F495" s="5">
        <f>IF(C495=0,"",E495/C495)</f>
        <v>0</v>
      </c>
    </row>
    <row r="496" spans="1:6">
      <c r="A496" t="s">
        <v>4</v>
      </c>
      <c r="B496" t="s">
        <v>727</v>
      </c>
      <c r="C496" s="6">
        <v>53487.47</v>
      </c>
      <c r="D496" s="6">
        <v>53490.47</v>
      </c>
      <c r="E496" s="6">
        <f>D496-C496</f>
        <v>0</v>
      </c>
      <c r="F496" s="5">
        <f>IF(C496=0,"",E496/C496)</f>
        <v>0</v>
      </c>
    </row>
    <row r="497" spans="1:6">
      <c r="A497" t="s">
        <v>4</v>
      </c>
      <c r="B497" t="s">
        <v>734</v>
      </c>
      <c r="C497" s="6">
        <v>46261.79</v>
      </c>
      <c r="D497" s="6">
        <v>46268.92</v>
      </c>
      <c r="E497" s="6">
        <f>D497-C497</f>
        <v>0</v>
      </c>
      <c r="F497" s="5">
        <f>IF(C497=0,"",E497/C497)</f>
        <v>0</v>
      </c>
    </row>
    <row r="498" spans="1:6">
      <c r="A498" t="s">
        <v>4</v>
      </c>
      <c r="B498" t="s">
        <v>746</v>
      </c>
      <c r="C498" s="6">
        <v>50609.31</v>
      </c>
      <c r="D498" s="6">
        <v>50622.81</v>
      </c>
      <c r="E498" s="6">
        <f>D498-C498</f>
        <v>0</v>
      </c>
      <c r="F498" s="5">
        <f>IF(C498=0,"",E498/C498)</f>
        <v>0</v>
      </c>
    </row>
    <row r="499" spans="1:6">
      <c r="A499" t="s">
        <v>4</v>
      </c>
      <c r="B499" t="s">
        <v>755</v>
      </c>
      <c r="C499" s="6">
        <v>54069.84</v>
      </c>
      <c r="D499" s="6">
        <v>54085.84</v>
      </c>
      <c r="E499" s="6">
        <f>D499-C499</f>
        <v>0</v>
      </c>
      <c r="F499" s="5">
        <f>IF(C499=0,"",E499/C499)</f>
        <v>0</v>
      </c>
    </row>
    <row r="500" spans="1:6">
      <c r="A500" t="s">
        <v>4</v>
      </c>
      <c r="B500" t="s">
        <v>765</v>
      </c>
      <c r="C500" s="6">
        <v>51737.59</v>
      </c>
      <c r="D500" s="6">
        <v>51748.84</v>
      </c>
      <c r="E500" s="6">
        <f>D500-C500</f>
        <v>0</v>
      </c>
      <c r="F500" s="5">
        <f>IF(C500=0,"",E500/C500)</f>
        <v>0</v>
      </c>
    </row>
    <row r="501" spans="1:6">
      <c r="A501" t="s">
        <v>4</v>
      </c>
      <c r="B501" t="s">
        <v>775</v>
      </c>
      <c r="C501" s="6">
        <v>48550.36</v>
      </c>
      <c r="D501" s="6">
        <v>48602.06</v>
      </c>
      <c r="E501" s="6">
        <f>D501-C501</f>
        <v>0</v>
      </c>
      <c r="F501" s="5">
        <f>IF(C501=0,"",E501/C501)</f>
        <v>0</v>
      </c>
    </row>
    <row r="502" spans="1:6">
      <c r="A502" t="s">
        <v>4</v>
      </c>
      <c r="B502" t="s">
        <v>779</v>
      </c>
      <c r="C502" s="6">
        <v>46108.5</v>
      </c>
      <c r="D502" s="6">
        <v>46150.5</v>
      </c>
      <c r="E502" s="6">
        <f>D502-C502</f>
        <v>0</v>
      </c>
      <c r="F502" s="5">
        <f>IF(C502=0,"",E502/C502)</f>
        <v>0</v>
      </c>
    </row>
    <row r="503" spans="1:6">
      <c r="A503" t="s">
        <v>4</v>
      </c>
      <c r="B503" t="s">
        <v>788</v>
      </c>
      <c r="C503" s="6">
        <v>45926.2</v>
      </c>
      <c r="D503" s="6">
        <v>45960.7</v>
      </c>
      <c r="E503" s="6">
        <f>D503-C503</f>
        <v>0</v>
      </c>
      <c r="F503" s="5">
        <f>IF(C503=0,"",E503/C503)</f>
        <v>0</v>
      </c>
    </row>
    <row r="504" spans="1:6">
      <c r="A504" t="s">
        <v>4</v>
      </c>
      <c r="B504" t="s">
        <v>799</v>
      </c>
      <c r="C504" s="6">
        <v>49093.35</v>
      </c>
      <c r="D504" s="6">
        <v>49107.1</v>
      </c>
      <c r="E504" s="6">
        <f>D504-C504</f>
        <v>0</v>
      </c>
      <c r="F504" s="5">
        <f>IF(C504=0,"",E504/C504)</f>
        <v>0</v>
      </c>
    </row>
    <row r="505" spans="1:6">
      <c r="A505" t="s">
        <v>4</v>
      </c>
      <c r="B505" t="s">
        <v>805</v>
      </c>
      <c r="C505" s="6">
        <v>60165.31</v>
      </c>
      <c r="D505" s="6">
        <v>60173.56</v>
      </c>
      <c r="E505" s="6">
        <f>D505-C505</f>
        <v>0</v>
      </c>
      <c r="F505" s="5">
        <f>IF(C505=0,"",E505/C505)</f>
        <v>0</v>
      </c>
    </row>
    <row r="506" spans="1:6">
      <c r="A506" t="s">
        <v>4</v>
      </c>
      <c r="B506" t="s">
        <v>814</v>
      </c>
      <c r="C506" s="6">
        <v>42387.11</v>
      </c>
      <c r="D506" s="6">
        <v>42403.61</v>
      </c>
      <c r="E506" s="6">
        <f>D506-C506</f>
        <v>0</v>
      </c>
      <c r="F506" s="5">
        <f>IF(C506=0,"",E506/C506)</f>
        <v>0</v>
      </c>
    </row>
    <row r="507" spans="1:6">
      <c r="A507" t="s">
        <v>4</v>
      </c>
      <c r="B507" t="s">
        <v>829</v>
      </c>
      <c r="C507" s="6">
        <v>42114.41</v>
      </c>
      <c r="D507" s="6">
        <v>42149.86</v>
      </c>
      <c r="E507" s="6">
        <f>D507-C507</f>
        <v>0</v>
      </c>
      <c r="F507" s="5">
        <f>IF(C507=0,"",E507/C507)</f>
        <v>0</v>
      </c>
    </row>
    <row r="508" spans="1:6">
      <c r="A508" t="s">
        <v>4</v>
      </c>
      <c r="B508" t="s">
        <v>836</v>
      </c>
      <c r="C508" s="6">
        <v>53881.9</v>
      </c>
      <c r="D508" s="6">
        <v>53901.5</v>
      </c>
      <c r="E508" s="6">
        <f>D508-C508</f>
        <v>0</v>
      </c>
      <c r="F508" s="5">
        <f>IF(C508=0,"",E508/C508)</f>
        <v>0</v>
      </c>
    </row>
    <row r="509" spans="1:6">
      <c r="A509" t="s">
        <v>4</v>
      </c>
      <c r="B509" t="s">
        <v>846</v>
      </c>
      <c r="C509" s="6">
        <v>50141.13</v>
      </c>
      <c r="D509" s="6">
        <v>50157.93</v>
      </c>
      <c r="E509" s="6">
        <f>D509-C509</f>
        <v>0</v>
      </c>
      <c r="F509" s="5">
        <f>IF(C509=0,"",E509/C509)</f>
        <v>0</v>
      </c>
    </row>
    <row r="510" spans="1:6">
      <c r="A510" t="s">
        <v>4</v>
      </c>
      <c r="B510" t="s">
        <v>851</v>
      </c>
      <c r="C510" s="6">
        <v>49898.81</v>
      </c>
      <c r="D510" s="6">
        <v>49924.06</v>
      </c>
      <c r="E510" s="6">
        <f>D510-C510</f>
        <v>0</v>
      </c>
      <c r="F510" s="5">
        <f>IF(C510=0,"",E510/C510)</f>
        <v>0</v>
      </c>
    </row>
    <row r="511" spans="1:6">
      <c r="A511" t="s">
        <v>4</v>
      </c>
      <c r="B511" t="s">
        <v>858</v>
      </c>
      <c r="C511" s="6">
        <v>43692.53</v>
      </c>
      <c r="D511" s="6">
        <v>43703.03</v>
      </c>
      <c r="E511" s="6">
        <f>D511-C511</f>
        <v>0</v>
      </c>
      <c r="F511" s="5">
        <f>IF(C511=0,"",E511/C511)</f>
        <v>0</v>
      </c>
    </row>
    <row r="512" spans="1:6">
      <c r="A512" t="s">
        <v>4</v>
      </c>
      <c r="B512" t="s">
        <v>868</v>
      </c>
      <c r="C512" s="6">
        <v>41890.25</v>
      </c>
      <c r="D512" s="6">
        <v>41890.25</v>
      </c>
      <c r="E512" s="6">
        <f>D512-C512</f>
        <v>0</v>
      </c>
      <c r="F512" s="5">
        <f>IF(C512=0,"",E512/C512)</f>
        <v>0</v>
      </c>
    </row>
    <row r="513" spans="1:6">
      <c r="A513" t="s">
        <v>4</v>
      </c>
      <c r="B513" t="s">
        <v>876</v>
      </c>
      <c r="C513" s="6">
        <v>53270.12</v>
      </c>
      <c r="D513" s="6">
        <v>53317.87</v>
      </c>
      <c r="E513" s="6">
        <f>D513-C513</f>
        <v>0</v>
      </c>
      <c r="F513" s="5">
        <f>IF(C513=0,"",E513/C513)</f>
        <v>0</v>
      </c>
    </row>
    <row r="514" spans="1:6">
      <c r="A514" t="s">
        <v>4</v>
      </c>
      <c r="B514" t="s">
        <v>880</v>
      </c>
      <c r="C514" s="6">
        <v>51427.08</v>
      </c>
      <c r="D514" s="6">
        <v>51428.08</v>
      </c>
      <c r="E514" s="6">
        <f>D514-C514</f>
        <v>0</v>
      </c>
      <c r="F514" s="5">
        <f>IF(C514=0,"",E514/C514)</f>
        <v>0</v>
      </c>
    </row>
    <row r="515" spans="1:6">
      <c r="A515" t="s">
        <v>4</v>
      </c>
      <c r="B515" t="s">
        <v>891</v>
      </c>
      <c r="C515" s="6">
        <v>47683.96</v>
      </c>
      <c r="D515" s="6">
        <v>47704.96</v>
      </c>
      <c r="E515" s="6">
        <f>D515-C515</f>
        <v>0</v>
      </c>
      <c r="F515" s="5">
        <f>IF(C515=0,"",E515/C515)</f>
        <v>0</v>
      </c>
    </row>
    <row r="516" spans="1:6">
      <c r="A516" t="s">
        <v>4</v>
      </c>
      <c r="B516" t="s">
        <v>903</v>
      </c>
      <c r="C516" s="6">
        <v>54596.73</v>
      </c>
      <c r="D516" s="6">
        <v>0</v>
      </c>
      <c r="E516" s="6">
        <f>D516-C516</f>
        <v>0</v>
      </c>
      <c r="F516" s="5">
        <f>IF(C516=0,"",E516/C516)</f>
        <v>0</v>
      </c>
    </row>
    <row r="517" spans="1:6">
      <c r="A517" t="s">
        <v>4</v>
      </c>
      <c r="B517" t="s">
        <v>915</v>
      </c>
      <c r="C517" s="6">
        <v>56532.29</v>
      </c>
      <c r="D517" s="6">
        <v>0</v>
      </c>
      <c r="E517" s="6">
        <f>D517-C517</f>
        <v>0</v>
      </c>
      <c r="F517" s="5">
        <f>IF(C517=0,"",E517/C517)</f>
        <v>0</v>
      </c>
    </row>
    <row r="518" spans="1:6">
      <c r="A518" t="s">
        <v>4</v>
      </c>
      <c r="B518" t="s">
        <v>922</v>
      </c>
      <c r="C518" s="6">
        <v>64401.6</v>
      </c>
      <c r="D518" s="6">
        <v>0</v>
      </c>
      <c r="E518" s="6">
        <f>D518-C518</f>
        <v>0</v>
      </c>
      <c r="F518" s="5">
        <f>IF(C518=0,"",E518/C518)</f>
        <v>0</v>
      </c>
    </row>
    <row r="519" spans="1:6">
      <c r="A519" t="s">
        <v>4</v>
      </c>
      <c r="B519" t="s">
        <v>934</v>
      </c>
      <c r="C519" s="6">
        <v>50729.5</v>
      </c>
      <c r="D519" s="6">
        <v>50731.75</v>
      </c>
      <c r="E519" s="6">
        <f>D519-C519</f>
        <v>0</v>
      </c>
      <c r="F519" s="5">
        <f>IF(C519=0,"",E519/C519)</f>
        <v>0</v>
      </c>
    </row>
    <row r="520" spans="1:6">
      <c r="A520" t="s">
        <v>4</v>
      </c>
      <c r="B520" t="s">
        <v>944</v>
      </c>
      <c r="C520" s="6">
        <v>63286.34</v>
      </c>
      <c r="D520" s="6">
        <v>63290.64</v>
      </c>
      <c r="E520" s="6">
        <f>D520-C520</f>
        <v>0</v>
      </c>
      <c r="F520" s="5">
        <f>IF(C520=0,"",E520/C520)</f>
        <v>0</v>
      </c>
    </row>
    <row r="521" spans="1:6">
      <c r="A521" t="s">
        <v>4</v>
      </c>
      <c r="B521" t="s">
        <v>952</v>
      </c>
      <c r="C521" s="6">
        <v>46583.65</v>
      </c>
      <c r="D521" s="6">
        <v>46593.4</v>
      </c>
      <c r="E521" s="6">
        <f>D521-C521</f>
        <v>0</v>
      </c>
      <c r="F521" s="5">
        <f>IF(C521=0,"",E521/C521)</f>
        <v>0</v>
      </c>
    </row>
    <row r="522" spans="1:6">
      <c r="A522" t="s">
        <v>4</v>
      </c>
      <c r="B522" t="s">
        <v>961</v>
      </c>
      <c r="C522" s="6">
        <v>56072.18</v>
      </c>
      <c r="D522" s="6">
        <v>56072.23</v>
      </c>
      <c r="E522" s="6">
        <f>D522-C522</f>
        <v>0</v>
      </c>
      <c r="F522" s="5">
        <f>IF(C522=0,"",E522/C522)</f>
        <v>0</v>
      </c>
    </row>
    <row r="523" spans="1:6">
      <c r="A523" t="s">
        <v>4</v>
      </c>
      <c r="B523" t="s">
        <v>966</v>
      </c>
      <c r="C523" s="6">
        <v>57101.98</v>
      </c>
      <c r="D523" s="6">
        <v>57140.48</v>
      </c>
      <c r="E523" s="6">
        <f>D523-C523</f>
        <v>0</v>
      </c>
      <c r="F523" s="5">
        <f>IF(C523=0,"",E523/C523)</f>
        <v>0</v>
      </c>
    </row>
    <row r="524" spans="1:6">
      <c r="A524" t="s">
        <v>4</v>
      </c>
      <c r="B524" t="s">
        <v>980</v>
      </c>
      <c r="C524" s="6">
        <v>52678.05</v>
      </c>
      <c r="D524" s="6">
        <v>52726.05</v>
      </c>
      <c r="E524" s="6">
        <f>D524-C524</f>
        <v>0</v>
      </c>
      <c r="F524" s="5">
        <f>IF(C524=0,"",E524/C524)</f>
        <v>0</v>
      </c>
    </row>
    <row r="525" spans="1:6">
      <c r="A525" t="s">
        <v>4</v>
      </c>
      <c r="B525" t="s">
        <v>992</v>
      </c>
      <c r="C525" s="6">
        <v>49611.95</v>
      </c>
      <c r="D525" s="6">
        <v>49743.95</v>
      </c>
      <c r="E525" s="6">
        <f>D525-C525</f>
        <v>0</v>
      </c>
      <c r="F525" s="5">
        <f>IF(C525=0,"",E525/C525)</f>
        <v>0</v>
      </c>
    </row>
    <row r="526" spans="1:6">
      <c r="A526" t="s">
        <v>4</v>
      </c>
      <c r="B526" t="s">
        <v>1002</v>
      </c>
      <c r="C526" s="6">
        <v>9257.6</v>
      </c>
      <c r="D526" s="6">
        <v>9280.85</v>
      </c>
      <c r="E526" s="6">
        <f>D526-C526</f>
        <v>0</v>
      </c>
      <c r="F526" s="5">
        <f>IF(C526=0,"",E526/C526)</f>
        <v>0</v>
      </c>
    </row>
    <row r="527" spans="1:6">
      <c r="A527" t="s">
        <v>5</v>
      </c>
      <c r="B527" t="s">
        <v>30</v>
      </c>
      <c r="C527" s="6">
        <v>44096.32</v>
      </c>
      <c r="D527" s="6">
        <v>44096.32</v>
      </c>
      <c r="E527" s="6">
        <f>D527-C527</f>
        <v>0</v>
      </c>
      <c r="F527" s="5">
        <f>IF(C527=0,"",E527/C527)</f>
        <v>0</v>
      </c>
    </row>
    <row r="528" spans="1:6">
      <c r="A528" t="s">
        <v>5</v>
      </c>
      <c r="B528" t="s">
        <v>47</v>
      </c>
      <c r="C528" s="6">
        <v>44260.91</v>
      </c>
      <c r="D528" s="6">
        <v>44262.03</v>
      </c>
      <c r="E528" s="6">
        <f>D528-C528</f>
        <v>0</v>
      </c>
      <c r="F528" s="5">
        <f>IF(C528=0,"",E528/C528)</f>
        <v>0</v>
      </c>
    </row>
    <row r="529" spans="1:6">
      <c r="A529" t="s">
        <v>5</v>
      </c>
      <c r="B529" t="s">
        <v>62</v>
      </c>
      <c r="C529" s="6">
        <v>43451.13</v>
      </c>
      <c r="D529" s="6">
        <v>43463.63</v>
      </c>
      <c r="E529" s="6">
        <f>D529-C529</f>
        <v>0</v>
      </c>
      <c r="F529" s="5">
        <f>IF(C529=0,"",E529/C529)</f>
        <v>0</v>
      </c>
    </row>
    <row r="530" spans="1:6">
      <c r="A530" t="s">
        <v>5</v>
      </c>
      <c r="B530" t="s">
        <v>71</v>
      </c>
      <c r="C530" s="6">
        <v>47184.32</v>
      </c>
      <c r="D530" s="6">
        <v>47185.07</v>
      </c>
      <c r="E530" s="6">
        <f>D530-C530</f>
        <v>0</v>
      </c>
      <c r="F530" s="5">
        <f>IF(C530=0,"",E530/C530)</f>
        <v>0</v>
      </c>
    </row>
    <row r="531" spans="1:6">
      <c r="A531" t="s">
        <v>5</v>
      </c>
      <c r="B531" t="s">
        <v>86</v>
      </c>
      <c r="C531" s="6">
        <v>44790.92</v>
      </c>
      <c r="D531" s="6">
        <v>44813.42</v>
      </c>
      <c r="E531" s="6">
        <f>D531-C531</f>
        <v>0</v>
      </c>
      <c r="F531" s="5">
        <f>IF(C531=0,"",E531/C531)</f>
        <v>0</v>
      </c>
    </row>
    <row r="532" spans="1:6">
      <c r="A532" t="s">
        <v>5</v>
      </c>
      <c r="B532" t="s">
        <v>97</v>
      </c>
      <c r="C532" s="6">
        <v>52478.96</v>
      </c>
      <c r="D532" s="6">
        <v>52478.96</v>
      </c>
      <c r="E532" s="6">
        <f>D532-C532</f>
        <v>0</v>
      </c>
      <c r="F532" s="5">
        <f>IF(C532=0,"",E532/C532)</f>
        <v>0</v>
      </c>
    </row>
    <row r="533" spans="1:6">
      <c r="A533" t="s">
        <v>5</v>
      </c>
      <c r="B533" t="s">
        <v>103</v>
      </c>
      <c r="C533" s="6">
        <v>51159.23</v>
      </c>
      <c r="D533" s="6">
        <v>51160.98</v>
      </c>
      <c r="E533" s="6">
        <f>D533-C533</f>
        <v>0</v>
      </c>
      <c r="F533" s="5">
        <f>IF(C533=0,"",E533/C533)</f>
        <v>0</v>
      </c>
    </row>
    <row r="534" spans="1:6">
      <c r="A534" t="s">
        <v>5</v>
      </c>
      <c r="B534" t="s">
        <v>121</v>
      </c>
      <c r="C534" s="6">
        <v>51107.98</v>
      </c>
      <c r="D534" s="6">
        <v>51116.98</v>
      </c>
      <c r="E534" s="6">
        <f>D534-C534</f>
        <v>0</v>
      </c>
      <c r="F534" s="5">
        <f>IF(C534=0,"",E534/C534)</f>
        <v>0</v>
      </c>
    </row>
    <row r="535" spans="1:6">
      <c r="A535" t="s">
        <v>5</v>
      </c>
      <c r="B535" t="s">
        <v>134</v>
      </c>
      <c r="C535" s="6">
        <v>46596.38</v>
      </c>
      <c r="D535" s="6">
        <v>46608.25</v>
      </c>
      <c r="E535" s="6">
        <f>D535-C535</f>
        <v>0</v>
      </c>
      <c r="F535" s="5">
        <f>IF(C535=0,"",E535/C535)</f>
        <v>0</v>
      </c>
    </row>
    <row r="536" spans="1:6">
      <c r="A536" t="s">
        <v>5</v>
      </c>
      <c r="B536" t="s">
        <v>143</v>
      </c>
      <c r="C536" s="6">
        <v>50834.86</v>
      </c>
      <c r="D536" s="6">
        <v>50855.86</v>
      </c>
      <c r="E536" s="6">
        <f>D536-C536</f>
        <v>0</v>
      </c>
      <c r="F536" s="5">
        <f>IF(C536=0,"",E536/C536)</f>
        <v>0</v>
      </c>
    </row>
    <row r="537" spans="1:6">
      <c r="A537" t="s">
        <v>5</v>
      </c>
      <c r="B537" t="s">
        <v>154</v>
      </c>
      <c r="C537" s="6">
        <v>51653.36</v>
      </c>
      <c r="D537" s="6">
        <v>51671.41</v>
      </c>
      <c r="E537" s="6">
        <f>D537-C537</f>
        <v>0</v>
      </c>
      <c r="F537" s="5">
        <f>IF(C537=0,"",E537/C537)</f>
        <v>0</v>
      </c>
    </row>
    <row r="538" spans="1:6">
      <c r="A538" t="s">
        <v>5</v>
      </c>
      <c r="B538" t="s">
        <v>160</v>
      </c>
      <c r="C538" s="6">
        <v>49342.17</v>
      </c>
      <c r="D538" s="6">
        <v>49357.17</v>
      </c>
      <c r="E538" s="6">
        <f>D538-C538</f>
        <v>0</v>
      </c>
      <c r="F538" s="5">
        <f>IF(C538=0,"",E538/C538)</f>
        <v>0</v>
      </c>
    </row>
    <row r="539" spans="1:6">
      <c r="A539" t="s">
        <v>5</v>
      </c>
      <c r="B539" t="s">
        <v>170</v>
      </c>
      <c r="C539" s="6">
        <v>53033.05</v>
      </c>
      <c r="D539" s="6">
        <v>53033.05</v>
      </c>
      <c r="E539" s="6">
        <f>D539-C539</f>
        <v>0</v>
      </c>
      <c r="F539" s="5">
        <f>IF(C539=0,"",E539/C539)</f>
        <v>0</v>
      </c>
    </row>
    <row r="540" spans="1:6">
      <c r="A540" t="s">
        <v>5</v>
      </c>
      <c r="B540" t="s">
        <v>180</v>
      </c>
      <c r="C540" s="6">
        <v>58125.68</v>
      </c>
      <c r="D540" s="6">
        <v>58131.98</v>
      </c>
      <c r="E540" s="6">
        <f>D540-C540</f>
        <v>0</v>
      </c>
      <c r="F540" s="5">
        <f>IF(C540=0,"",E540/C540)</f>
        <v>0</v>
      </c>
    </row>
    <row r="541" spans="1:6">
      <c r="A541" t="s">
        <v>5</v>
      </c>
      <c r="B541" t="s">
        <v>193</v>
      </c>
      <c r="C541" s="6">
        <v>48779.41</v>
      </c>
      <c r="D541" s="6">
        <v>48811.66</v>
      </c>
      <c r="E541" s="6">
        <f>D541-C541</f>
        <v>0</v>
      </c>
      <c r="F541" s="5">
        <f>IF(C541=0,"",E541/C541)</f>
        <v>0</v>
      </c>
    </row>
    <row r="542" spans="1:6">
      <c r="A542" t="s">
        <v>5</v>
      </c>
      <c r="B542" t="s">
        <v>205</v>
      </c>
      <c r="C542" s="6">
        <v>41071.54</v>
      </c>
      <c r="D542" s="6">
        <v>41076.04</v>
      </c>
      <c r="E542" s="6">
        <f>D542-C542</f>
        <v>0</v>
      </c>
      <c r="F542" s="5">
        <f>IF(C542=0,"",E542/C542)</f>
        <v>0</v>
      </c>
    </row>
    <row r="543" spans="1:6">
      <c r="A543" t="s">
        <v>5</v>
      </c>
      <c r="B543" t="s">
        <v>216</v>
      </c>
      <c r="C543" s="6">
        <v>53438.47</v>
      </c>
      <c r="D543" s="6">
        <v>53444.47</v>
      </c>
      <c r="E543" s="6">
        <f>D543-C543</f>
        <v>0</v>
      </c>
      <c r="F543" s="5">
        <f>IF(C543=0,"",E543/C543)</f>
        <v>0</v>
      </c>
    </row>
    <row r="544" spans="1:6">
      <c r="A544" t="s">
        <v>5</v>
      </c>
      <c r="B544" t="s">
        <v>226</v>
      </c>
      <c r="C544" s="6">
        <v>61540.96</v>
      </c>
      <c r="D544" s="6">
        <v>61540.96</v>
      </c>
      <c r="E544" s="6">
        <f>D544-C544</f>
        <v>0</v>
      </c>
      <c r="F544" s="5">
        <f>IF(C544=0,"",E544/C544)</f>
        <v>0</v>
      </c>
    </row>
    <row r="545" spans="1:6">
      <c r="A545" t="s">
        <v>5</v>
      </c>
      <c r="B545" t="s">
        <v>231</v>
      </c>
      <c r="C545" s="6">
        <v>55053.41</v>
      </c>
      <c r="D545" s="6">
        <v>55077.41</v>
      </c>
      <c r="E545" s="6">
        <f>D545-C545</f>
        <v>0</v>
      </c>
      <c r="F545" s="5">
        <f>IF(C545=0,"",E545/C545)</f>
        <v>0</v>
      </c>
    </row>
    <row r="546" spans="1:6">
      <c r="A546" t="s">
        <v>5</v>
      </c>
      <c r="B546" t="s">
        <v>238</v>
      </c>
      <c r="C546" s="6">
        <v>51614.46</v>
      </c>
      <c r="D546" s="6">
        <v>51614.46</v>
      </c>
      <c r="E546" s="6">
        <f>D546-C546</f>
        <v>0</v>
      </c>
      <c r="F546" s="5">
        <f>IF(C546=0,"",E546/C546)</f>
        <v>0</v>
      </c>
    </row>
    <row r="547" spans="1:6">
      <c r="A547" t="s">
        <v>5</v>
      </c>
      <c r="B547" t="s">
        <v>251</v>
      </c>
      <c r="C547" s="6">
        <v>59827.93</v>
      </c>
      <c r="D547" s="6">
        <v>59863.18</v>
      </c>
      <c r="E547" s="6">
        <f>D547-C547</f>
        <v>0</v>
      </c>
      <c r="F547" s="5">
        <f>IF(C547=0,"",E547/C547)</f>
        <v>0</v>
      </c>
    </row>
    <row r="548" spans="1:6">
      <c r="A548" t="s">
        <v>5</v>
      </c>
      <c r="B548" t="s">
        <v>254</v>
      </c>
      <c r="C548" s="6">
        <v>51680.56</v>
      </c>
      <c r="D548" s="6">
        <v>51700.06</v>
      </c>
      <c r="E548" s="6">
        <f>D548-C548</f>
        <v>0</v>
      </c>
      <c r="F548" s="5">
        <f>IF(C548=0,"",E548/C548)</f>
        <v>0</v>
      </c>
    </row>
    <row r="549" spans="1:6">
      <c r="A549" t="s">
        <v>5</v>
      </c>
      <c r="B549" t="s">
        <v>264</v>
      </c>
      <c r="C549" s="6">
        <v>57635.81</v>
      </c>
      <c r="D549" s="6">
        <v>57743.16</v>
      </c>
      <c r="E549" s="6">
        <f>D549-C549</f>
        <v>0</v>
      </c>
      <c r="F549" s="5">
        <f>IF(C549=0,"",E549/C549)</f>
        <v>0</v>
      </c>
    </row>
    <row r="550" spans="1:6">
      <c r="A550" t="s">
        <v>5</v>
      </c>
      <c r="B550" t="s">
        <v>273</v>
      </c>
      <c r="C550" s="6">
        <v>50595.58</v>
      </c>
      <c r="D550" s="6">
        <v>50632.58</v>
      </c>
      <c r="E550" s="6">
        <f>D550-C550</f>
        <v>0</v>
      </c>
      <c r="F550" s="5">
        <f>IF(C550=0,"",E550/C550)</f>
        <v>0</v>
      </c>
    </row>
    <row r="551" spans="1:6">
      <c r="A551" t="s">
        <v>5</v>
      </c>
      <c r="B551" t="s">
        <v>284</v>
      </c>
      <c r="C551" s="6">
        <v>45971.65</v>
      </c>
      <c r="D551" s="6">
        <v>45993.92</v>
      </c>
      <c r="E551" s="6">
        <f>D551-C551</f>
        <v>0</v>
      </c>
      <c r="F551" s="5">
        <f>IF(C551=0,"",E551/C551)</f>
        <v>0</v>
      </c>
    </row>
    <row r="552" spans="1:6">
      <c r="A552" t="s">
        <v>5</v>
      </c>
      <c r="B552" t="s">
        <v>289</v>
      </c>
      <c r="C552" s="6">
        <v>57950.85</v>
      </c>
      <c r="D552" s="6">
        <v>57974.1</v>
      </c>
      <c r="E552" s="6">
        <f>D552-C552</f>
        <v>0</v>
      </c>
      <c r="F552" s="5">
        <f>IF(C552=0,"",E552/C552)</f>
        <v>0</v>
      </c>
    </row>
    <row r="553" spans="1:6">
      <c r="A553" t="s">
        <v>5</v>
      </c>
      <c r="B553" t="s">
        <v>299</v>
      </c>
      <c r="C553" s="6">
        <v>50110.39</v>
      </c>
      <c r="D553" s="6">
        <v>50110.99</v>
      </c>
      <c r="E553" s="6">
        <f>D553-C553</f>
        <v>0</v>
      </c>
      <c r="F553" s="5">
        <f>IF(C553=0,"",E553/C553)</f>
        <v>0</v>
      </c>
    </row>
    <row r="554" spans="1:6">
      <c r="A554" t="s">
        <v>5</v>
      </c>
      <c r="B554" t="s">
        <v>306</v>
      </c>
      <c r="C554" s="6">
        <v>48766.05</v>
      </c>
      <c r="D554" s="6">
        <v>48799.35</v>
      </c>
      <c r="E554" s="6">
        <f>D554-C554</f>
        <v>0</v>
      </c>
      <c r="F554" s="5">
        <f>IF(C554=0,"",E554/C554)</f>
        <v>0</v>
      </c>
    </row>
    <row r="555" spans="1:6">
      <c r="A555" t="s">
        <v>5</v>
      </c>
      <c r="B555" t="s">
        <v>313</v>
      </c>
      <c r="C555" s="6">
        <v>55307.92</v>
      </c>
      <c r="D555" s="6">
        <v>55341.77</v>
      </c>
      <c r="E555" s="6">
        <f>D555-C555</f>
        <v>0</v>
      </c>
      <c r="F555" s="5">
        <f>IF(C555=0,"",E555/C555)</f>
        <v>0</v>
      </c>
    </row>
    <row r="556" spans="1:6">
      <c r="A556" t="s">
        <v>5</v>
      </c>
      <c r="B556" t="s">
        <v>324</v>
      </c>
      <c r="C556" s="6">
        <v>50572.42</v>
      </c>
      <c r="D556" s="6">
        <v>50595.22</v>
      </c>
      <c r="E556" s="6">
        <f>D556-C556</f>
        <v>0</v>
      </c>
      <c r="F556" s="5">
        <f>IF(C556=0,"",E556/C556)</f>
        <v>0</v>
      </c>
    </row>
    <row r="557" spans="1:6">
      <c r="A557" t="s">
        <v>5</v>
      </c>
      <c r="B557" t="s">
        <v>331</v>
      </c>
      <c r="C557" s="6">
        <v>46892.48</v>
      </c>
      <c r="D557" s="6">
        <v>46960.03</v>
      </c>
      <c r="E557" s="6">
        <f>D557-C557</f>
        <v>0</v>
      </c>
      <c r="F557" s="5">
        <f>IF(C557=0,"",E557/C557)</f>
        <v>0</v>
      </c>
    </row>
    <row r="558" spans="1:6">
      <c r="A558" t="s">
        <v>5</v>
      </c>
      <c r="B558" t="s">
        <v>335</v>
      </c>
      <c r="C558" s="6">
        <v>49484.65</v>
      </c>
      <c r="D558" s="6">
        <v>49490.15</v>
      </c>
      <c r="E558" s="6">
        <f>D558-C558</f>
        <v>0</v>
      </c>
      <c r="F558" s="5">
        <f>IF(C558=0,"",E558/C558)</f>
        <v>0</v>
      </c>
    </row>
    <row r="559" spans="1:6">
      <c r="A559" t="s">
        <v>5</v>
      </c>
      <c r="B559" t="s">
        <v>345</v>
      </c>
      <c r="C559" s="6">
        <v>46639.65</v>
      </c>
      <c r="D559" s="6">
        <v>46651.7</v>
      </c>
      <c r="E559" s="6">
        <f>D559-C559</f>
        <v>0</v>
      </c>
      <c r="F559" s="5">
        <f>IF(C559=0,"",E559/C559)</f>
        <v>0</v>
      </c>
    </row>
    <row r="560" spans="1:6">
      <c r="A560" t="s">
        <v>5</v>
      </c>
      <c r="B560" t="s">
        <v>357</v>
      </c>
      <c r="C560" s="6">
        <v>49176.07</v>
      </c>
      <c r="D560" s="6">
        <v>49177.57</v>
      </c>
      <c r="E560" s="6">
        <f>D560-C560</f>
        <v>0</v>
      </c>
      <c r="F560" s="5">
        <f>IF(C560=0,"",E560/C560)</f>
        <v>0</v>
      </c>
    </row>
    <row r="561" spans="1:6">
      <c r="A561" t="s">
        <v>5</v>
      </c>
      <c r="B561" t="s">
        <v>364</v>
      </c>
      <c r="C561" s="6">
        <v>54517.95</v>
      </c>
      <c r="D561" s="6">
        <v>54528.45</v>
      </c>
      <c r="E561" s="6">
        <f>D561-C561</f>
        <v>0</v>
      </c>
      <c r="F561" s="5">
        <f>IF(C561=0,"",E561/C561)</f>
        <v>0</v>
      </c>
    </row>
    <row r="562" spans="1:6">
      <c r="A562" t="s">
        <v>5</v>
      </c>
      <c r="B562" t="s">
        <v>371</v>
      </c>
      <c r="C562" s="6">
        <v>61489.34</v>
      </c>
      <c r="D562" s="6">
        <v>61498.39</v>
      </c>
      <c r="E562" s="6">
        <f>D562-C562</f>
        <v>0</v>
      </c>
      <c r="F562" s="5">
        <f>IF(C562=0,"",E562/C562)</f>
        <v>0</v>
      </c>
    </row>
    <row r="563" spans="1:6">
      <c r="A563" t="s">
        <v>5</v>
      </c>
      <c r="B563" t="s">
        <v>379</v>
      </c>
      <c r="C563" s="6">
        <v>46653.59</v>
      </c>
      <c r="D563" s="6">
        <v>46700.56</v>
      </c>
      <c r="E563" s="6">
        <f>D563-C563</f>
        <v>0</v>
      </c>
      <c r="F563" s="5">
        <f>IF(C563=0,"",E563/C563)</f>
        <v>0</v>
      </c>
    </row>
    <row r="564" spans="1:6">
      <c r="A564" t="s">
        <v>5</v>
      </c>
      <c r="B564" t="s">
        <v>392</v>
      </c>
      <c r="C564" s="6">
        <v>45275.02</v>
      </c>
      <c r="D564" s="6">
        <v>45287.02</v>
      </c>
      <c r="E564" s="6">
        <f>D564-C564</f>
        <v>0</v>
      </c>
      <c r="F564" s="5">
        <f>IF(C564=0,"",E564/C564)</f>
        <v>0</v>
      </c>
    </row>
    <row r="565" spans="1:6">
      <c r="A565" t="s">
        <v>5</v>
      </c>
      <c r="B565" t="s">
        <v>402</v>
      </c>
      <c r="C565" s="6">
        <v>50251.01</v>
      </c>
      <c r="D565" s="6">
        <v>50257.01</v>
      </c>
      <c r="E565" s="6">
        <f>D565-C565</f>
        <v>0</v>
      </c>
      <c r="F565" s="5">
        <f>IF(C565=0,"",E565/C565)</f>
        <v>0</v>
      </c>
    </row>
    <row r="566" spans="1:6">
      <c r="A566" t="s">
        <v>5</v>
      </c>
      <c r="B566" t="s">
        <v>410</v>
      </c>
      <c r="C566" s="6">
        <v>45075.71</v>
      </c>
      <c r="D566" s="6">
        <v>45086.86</v>
      </c>
      <c r="E566" s="6">
        <f>D566-C566</f>
        <v>0</v>
      </c>
      <c r="F566" s="5">
        <f>IF(C566=0,"",E566/C566)</f>
        <v>0</v>
      </c>
    </row>
    <row r="567" spans="1:6">
      <c r="A567" t="s">
        <v>5</v>
      </c>
      <c r="B567" t="s">
        <v>416</v>
      </c>
      <c r="C567" s="6">
        <v>59681.73</v>
      </c>
      <c r="D567" s="6">
        <v>59683.65</v>
      </c>
      <c r="E567" s="6">
        <f>D567-C567</f>
        <v>0</v>
      </c>
      <c r="F567" s="5">
        <f>IF(C567=0,"",E567/C567)</f>
        <v>0</v>
      </c>
    </row>
    <row r="568" spans="1:6">
      <c r="A568" t="s">
        <v>5</v>
      </c>
      <c r="B568" t="s">
        <v>428</v>
      </c>
      <c r="C568" s="6">
        <v>42970.6</v>
      </c>
      <c r="D568" s="6">
        <v>42973.6</v>
      </c>
      <c r="E568" s="6">
        <f>D568-C568</f>
        <v>0</v>
      </c>
      <c r="F568" s="5">
        <f>IF(C568=0,"",E568/C568)</f>
        <v>0</v>
      </c>
    </row>
    <row r="569" spans="1:6">
      <c r="A569" t="s">
        <v>5</v>
      </c>
      <c r="B569" t="s">
        <v>436</v>
      </c>
      <c r="C569" s="6">
        <v>50717.43</v>
      </c>
      <c r="D569" s="6">
        <v>50739.69</v>
      </c>
      <c r="E569" s="6">
        <f>D569-C569</f>
        <v>0</v>
      </c>
      <c r="F569" s="5">
        <f>IF(C569=0,"",E569/C569)</f>
        <v>0</v>
      </c>
    </row>
    <row r="570" spans="1:6">
      <c r="A570" t="s">
        <v>5</v>
      </c>
      <c r="B570" t="s">
        <v>447</v>
      </c>
      <c r="C570" s="6">
        <v>56276.27</v>
      </c>
      <c r="D570" s="6">
        <v>56292.27</v>
      </c>
      <c r="E570" s="6">
        <f>D570-C570</f>
        <v>0</v>
      </c>
      <c r="F570" s="5">
        <f>IF(C570=0,"",E570/C570)</f>
        <v>0</v>
      </c>
    </row>
    <row r="571" spans="1:6">
      <c r="A571" t="s">
        <v>5</v>
      </c>
      <c r="B571" t="s">
        <v>1278</v>
      </c>
      <c r="C571" s="6">
        <v>52168.54</v>
      </c>
      <c r="D571" s="6">
        <v>52191.79</v>
      </c>
      <c r="E571" s="6">
        <f>D571-C571</f>
        <v>0</v>
      </c>
      <c r="F571" s="5">
        <f>IF(C571=0,"",E571/C571)</f>
        <v>0</v>
      </c>
    </row>
    <row r="572" spans="1:6">
      <c r="A572" t="s">
        <v>5</v>
      </c>
      <c r="B572" t="s">
        <v>451</v>
      </c>
      <c r="C572" s="6">
        <v>57837.8</v>
      </c>
      <c r="D572" s="6">
        <v>57879.24</v>
      </c>
      <c r="E572" s="6">
        <f>D572-C572</f>
        <v>0</v>
      </c>
      <c r="F572" s="5">
        <f>IF(C572=0,"",E572/C572)</f>
        <v>0</v>
      </c>
    </row>
    <row r="573" spans="1:6">
      <c r="A573" t="s">
        <v>5</v>
      </c>
      <c r="B573" t="s">
        <v>464</v>
      </c>
      <c r="C573" s="6">
        <v>46646.43</v>
      </c>
      <c r="D573" s="6">
        <v>46647.18</v>
      </c>
      <c r="E573" s="6">
        <f>D573-C573</f>
        <v>0</v>
      </c>
      <c r="F573" s="5">
        <f>IF(C573=0,"",E573/C573)</f>
        <v>0</v>
      </c>
    </row>
    <row r="574" spans="1:6">
      <c r="A574" t="s">
        <v>5</v>
      </c>
      <c r="B574" t="s">
        <v>478</v>
      </c>
      <c r="C574" s="6">
        <v>53431.05</v>
      </c>
      <c r="D574" s="6">
        <v>53566.27</v>
      </c>
      <c r="E574" s="6">
        <f>D574-C574</f>
        <v>0</v>
      </c>
      <c r="F574" s="5">
        <f>IF(C574=0,"",E574/C574)</f>
        <v>0</v>
      </c>
    </row>
    <row r="575" spans="1:6">
      <c r="A575" t="s">
        <v>5</v>
      </c>
      <c r="B575" t="s">
        <v>492</v>
      </c>
      <c r="C575" s="6">
        <v>58144.57</v>
      </c>
      <c r="D575" s="6">
        <v>58165.92</v>
      </c>
      <c r="E575" s="6">
        <f>D575-C575</f>
        <v>0</v>
      </c>
      <c r="F575" s="5">
        <f>IF(C575=0,"",E575/C575)</f>
        <v>0</v>
      </c>
    </row>
    <row r="576" spans="1:6">
      <c r="A576" t="s">
        <v>5</v>
      </c>
      <c r="B576" t="s">
        <v>501</v>
      </c>
      <c r="C576" s="6">
        <v>54235.58</v>
      </c>
      <c r="D576" s="6">
        <v>54297.08</v>
      </c>
      <c r="E576" s="6">
        <f>D576-C576</f>
        <v>0</v>
      </c>
      <c r="F576" s="5">
        <f>IF(C576=0,"",E576/C576)</f>
        <v>0</v>
      </c>
    </row>
    <row r="577" spans="1:6">
      <c r="A577" t="s">
        <v>5</v>
      </c>
      <c r="B577" t="s">
        <v>511</v>
      </c>
      <c r="C577" s="6">
        <v>51110.52</v>
      </c>
      <c r="D577" s="6">
        <v>51143.52</v>
      </c>
      <c r="E577" s="6">
        <f>D577-C577</f>
        <v>0</v>
      </c>
      <c r="F577" s="5">
        <f>IF(C577=0,"",E577/C577)</f>
        <v>0</v>
      </c>
    </row>
    <row r="578" spans="1:6">
      <c r="A578" t="s">
        <v>5</v>
      </c>
      <c r="B578" t="s">
        <v>523</v>
      </c>
      <c r="C578" s="6">
        <v>51493.93</v>
      </c>
      <c r="D578" s="6">
        <v>51519.43</v>
      </c>
      <c r="E578" s="6">
        <f>D578-C578</f>
        <v>0</v>
      </c>
      <c r="F578" s="5">
        <f>IF(C578=0,"",E578/C578)</f>
        <v>0</v>
      </c>
    </row>
    <row r="579" spans="1:6">
      <c r="A579" t="s">
        <v>5</v>
      </c>
      <c r="B579" t="s">
        <v>528</v>
      </c>
      <c r="C579" s="6">
        <v>45670.22</v>
      </c>
      <c r="D579" s="6">
        <v>45693.47</v>
      </c>
      <c r="E579" s="6">
        <f>D579-C579</f>
        <v>0</v>
      </c>
      <c r="F579" s="5">
        <f>IF(C579=0,"",E579/C579)</f>
        <v>0</v>
      </c>
    </row>
    <row r="580" spans="1:6">
      <c r="A580" t="s">
        <v>5</v>
      </c>
      <c r="B580" t="s">
        <v>538</v>
      </c>
      <c r="C580" s="6">
        <v>43135.65</v>
      </c>
      <c r="D580" s="6">
        <v>43150.72</v>
      </c>
      <c r="E580" s="6">
        <f>D580-C580</f>
        <v>0</v>
      </c>
      <c r="F580" s="5">
        <f>IF(C580=0,"",E580/C580)</f>
        <v>0</v>
      </c>
    </row>
    <row r="581" spans="1:6">
      <c r="A581" t="s">
        <v>5</v>
      </c>
      <c r="B581" t="s">
        <v>552</v>
      </c>
      <c r="C581" s="6">
        <v>34095.44</v>
      </c>
      <c r="D581" s="6">
        <v>34123.04</v>
      </c>
      <c r="E581" s="6">
        <f>D581-C581</f>
        <v>0</v>
      </c>
      <c r="F581" s="5">
        <f>IF(C581=0,"",E581/C581)</f>
        <v>0</v>
      </c>
    </row>
    <row r="582" spans="1:6">
      <c r="A582" t="s">
        <v>5</v>
      </c>
      <c r="B582" t="s">
        <v>558</v>
      </c>
      <c r="C582" s="6">
        <v>46756.92</v>
      </c>
      <c r="D582" s="6">
        <v>46795.42</v>
      </c>
      <c r="E582" s="6">
        <f>D582-C582</f>
        <v>0</v>
      </c>
      <c r="F582" s="5">
        <f>IF(C582=0,"",E582/C582)</f>
        <v>0</v>
      </c>
    </row>
    <row r="583" spans="1:6">
      <c r="A583" t="s">
        <v>5</v>
      </c>
      <c r="B583" t="s">
        <v>563</v>
      </c>
      <c r="C583" s="6">
        <v>45383.38</v>
      </c>
      <c r="D583" s="6">
        <v>45430.13</v>
      </c>
      <c r="E583" s="6">
        <f>D583-C583</f>
        <v>0</v>
      </c>
      <c r="F583" s="5">
        <f>IF(C583=0,"",E583/C583)</f>
        <v>0</v>
      </c>
    </row>
    <row r="584" spans="1:6">
      <c r="A584" t="s">
        <v>5</v>
      </c>
      <c r="B584" t="s">
        <v>571</v>
      </c>
      <c r="C584" s="6">
        <v>60339.77</v>
      </c>
      <c r="D584" s="6">
        <v>60339.77</v>
      </c>
      <c r="E584" s="6">
        <f>D584-C584</f>
        <v>0</v>
      </c>
      <c r="F584" s="5">
        <f>IF(C584=0,"",E584/C584)</f>
        <v>0</v>
      </c>
    </row>
    <row r="585" spans="1:6">
      <c r="A585" t="s">
        <v>5</v>
      </c>
      <c r="B585" t="s">
        <v>574</v>
      </c>
      <c r="C585" s="6">
        <v>48122.73</v>
      </c>
      <c r="D585" s="6">
        <v>48129.23</v>
      </c>
      <c r="E585" s="6">
        <f>D585-C585</f>
        <v>0</v>
      </c>
      <c r="F585" s="5">
        <f>IF(C585=0,"",E585/C585)</f>
        <v>0</v>
      </c>
    </row>
    <row r="586" spans="1:6">
      <c r="A586" t="s">
        <v>5</v>
      </c>
      <c r="B586" t="s">
        <v>585</v>
      </c>
      <c r="C586" s="6">
        <v>39605.55</v>
      </c>
      <c r="D586" s="6">
        <v>39630.35</v>
      </c>
      <c r="E586" s="6">
        <f>D586-C586</f>
        <v>0</v>
      </c>
      <c r="F586" s="5">
        <f>IF(C586=0,"",E586/C586)</f>
        <v>0</v>
      </c>
    </row>
    <row r="587" spans="1:6">
      <c r="A587" t="s">
        <v>5</v>
      </c>
      <c r="B587" t="s">
        <v>594</v>
      </c>
      <c r="C587" s="6">
        <v>51944.91</v>
      </c>
      <c r="D587" s="6">
        <v>52052.46</v>
      </c>
      <c r="E587" s="6">
        <f>D587-C587</f>
        <v>0</v>
      </c>
      <c r="F587" s="5">
        <f>IF(C587=0,"",E587/C587)</f>
        <v>0</v>
      </c>
    </row>
    <row r="588" spans="1:6">
      <c r="A588" t="s">
        <v>5</v>
      </c>
      <c r="B588" t="s">
        <v>607</v>
      </c>
      <c r="C588" s="6">
        <v>54358.51</v>
      </c>
      <c r="D588" s="6">
        <v>54360.61</v>
      </c>
      <c r="E588" s="6">
        <f>D588-C588</f>
        <v>0</v>
      </c>
      <c r="F588" s="5">
        <f>IF(C588=0,"",E588/C588)</f>
        <v>0</v>
      </c>
    </row>
    <row r="589" spans="1:6">
      <c r="A589" t="s">
        <v>5</v>
      </c>
      <c r="B589" t="s">
        <v>615</v>
      </c>
      <c r="C589" s="6">
        <v>48244.89</v>
      </c>
      <c r="D589" s="6">
        <v>48350.52</v>
      </c>
      <c r="E589" s="6">
        <f>D589-C589</f>
        <v>0</v>
      </c>
      <c r="F589" s="5">
        <f>IF(C589=0,"",E589/C589)</f>
        <v>0</v>
      </c>
    </row>
    <row r="590" spans="1:6">
      <c r="A590" t="s">
        <v>5</v>
      </c>
      <c r="B590" t="s">
        <v>624</v>
      </c>
      <c r="C590" s="6">
        <v>42393.19</v>
      </c>
      <c r="D590" s="6">
        <v>42393.19</v>
      </c>
      <c r="E590" s="6">
        <f>D590-C590</f>
        <v>0</v>
      </c>
      <c r="F590" s="5">
        <f>IF(C590=0,"",E590/C590)</f>
        <v>0</v>
      </c>
    </row>
    <row r="591" spans="1:6">
      <c r="A591" t="s">
        <v>5</v>
      </c>
      <c r="B591" t="s">
        <v>635</v>
      </c>
      <c r="C591" s="6">
        <v>46757.77</v>
      </c>
      <c r="D591" s="6">
        <v>46757.82</v>
      </c>
      <c r="E591" s="6">
        <f>D591-C591</f>
        <v>0</v>
      </c>
      <c r="F591" s="5">
        <f>IF(C591=0,"",E591/C591)</f>
        <v>0</v>
      </c>
    </row>
    <row r="592" spans="1:6">
      <c r="A592" t="s">
        <v>5</v>
      </c>
      <c r="B592" t="s">
        <v>645</v>
      </c>
      <c r="C592" s="6">
        <v>46603.27</v>
      </c>
      <c r="D592" s="6">
        <v>46616.12</v>
      </c>
      <c r="E592" s="6">
        <f>D592-C592</f>
        <v>0</v>
      </c>
      <c r="F592" s="5">
        <f>IF(C592=0,"",E592/C592)</f>
        <v>0</v>
      </c>
    </row>
    <row r="593" spans="1:6">
      <c r="A593" t="s">
        <v>5</v>
      </c>
      <c r="B593" t="s">
        <v>650</v>
      </c>
      <c r="C593" s="6">
        <v>50032.44</v>
      </c>
      <c r="D593" s="6">
        <v>50060.99</v>
      </c>
      <c r="E593" s="6">
        <f>D593-C593</f>
        <v>0</v>
      </c>
      <c r="F593" s="5">
        <f>IF(C593=0,"",E593/C593)</f>
        <v>0</v>
      </c>
    </row>
    <row r="594" spans="1:6">
      <c r="A594" t="s">
        <v>5</v>
      </c>
      <c r="B594" t="s">
        <v>658</v>
      </c>
      <c r="C594" s="6">
        <v>52075.61</v>
      </c>
      <c r="D594" s="6">
        <v>52075.98</v>
      </c>
      <c r="E594" s="6">
        <f>D594-C594</f>
        <v>0</v>
      </c>
      <c r="F594" s="5">
        <f>IF(C594=0,"",E594/C594)</f>
        <v>0</v>
      </c>
    </row>
    <row r="595" spans="1:6">
      <c r="A595" t="s">
        <v>5</v>
      </c>
      <c r="B595" t="s">
        <v>673</v>
      </c>
      <c r="C595" s="6">
        <v>48796.6</v>
      </c>
      <c r="D595" s="6">
        <v>48816.1</v>
      </c>
      <c r="E595" s="6">
        <f>D595-C595</f>
        <v>0</v>
      </c>
      <c r="F595" s="5">
        <f>IF(C595=0,"",E595/C595)</f>
        <v>0</v>
      </c>
    </row>
    <row r="596" spans="1:6">
      <c r="A596" t="s">
        <v>5</v>
      </c>
      <c r="B596" t="s">
        <v>681</v>
      </c>
      <c r="C596" s="6">
        <v>50149.65</v>
      </c>
      <c r="D596" s="6">
        <v>50176.05</v>
      </c>
      <c r="E596" s="6">
        <f>D596-C596</f>
        <v>0</v>
      </c>
      <c r="F596" s="5">
        <f>IF(C596=0,"",E596/C596)</f>
        <v>0</v>
      </c>
    </row>
    <row r="597" spans="1:6">
      <c r="A597" t="s">
        <v>5</v>
      </c>
      <c r="B597" t="s">
        <v>689</v>
      </c>
      <c r="C597" s="6">
        <v>49944.98</v>
      </c>
      <c r="D597" s="6">
        <v>49965.23</v>
      </c>
      <c r="E597" s="6">
        <f>D597-C597</f>
        <v>0</v>
      </c>
      <c r="F597" s="5">
        <f>IF(C597=0,"",E597/C597)</f>
        <v>0</v>
      </c>
    </row>
    <row r="598" spans="1:6">
      <c r="A598" t="s">
        <v>5</v>
      </c>
      <c r="B598" t="s">
        <v>701</v>
      </c>
      <c r="C598" s="6">
        <v>54528.3</v>
      </c>
      <c r="D598" s="6">
        <v>54537.3</v>
      </c>
      <c r="E598" s="6">
        <f>D598-C598</f>
        <v>0</v>
      </c>
      <c r="F598" s="5">
        <f>IF(C598=0,"",E598/C598)</f>
        <v>0</v>
      </c>
    </row>
    <row r="599" spans="1:6">
      <c r="A599" t="s">
        <v>5</v>
      </c>
      <c r="B599" t="s">
        <v>708</v>
      </c>
      <c r="C599" s="6">
        <v>42874.83</v>
      </c>
      <c r="D599" s="6">
        <v>42885.33</v>
      </c>
      <c r="E599" s="6">
        <f>D599-C599</f>
        <v>0</v>
      </c>
      <c r="F599" s="5">
        <f>IF(C599=0,"",E599/C599)</f>
        <v>0</v>
      </c>
    </row>
    <row r="600" spans="1:6">
      <c r="A600" t="s">
        <v>5</v>
      </c>
      <c r="B600" t="s">
        <v>719</v>
      </c>
      <c r="C600" s="6">
        <v>64592.56</v>
      </c>
      <c r="D600" s="6">
        <v>64594.91</v>
      </c>
      <c r="E600" s="6">
        <f>D600-C600</f>
        <v>0</v>
      </c>
      <c r="F600" s="5">
        <f>IF(C600=0,"",E600/C600)</f>
        <v>0</v>
      </c>
    </row>
    <row r="601" spans="1:6">
      <c r="A601" t="s">
        <v>5</v>
      </c>
      <c r="B601" t="s">
        <v>727</v>
      </c>
      <c r="C601" s="6">
        <v>43676.31</v>
      </c>
      <c r="D601" s="6">
        <v>43705.93</v>
      </c>
      <c r="E601" s="6">
        <f>D601-C601</f>
        <v>0</v>
      </c>
      <c r="F601" s="5">
        <f>IF(C601=0,"",E601/C601)</f>
        <v>0</v>
      </c>
    </row>
    <row r="602" spans="1:6">
      <c r="A602" t="s">
        <v>5</v>
      </c>
      <c r="B602" t="s">
        <v>734</v>
      </c>
      <c r="C602" s="6">
        <v>52011.49</v>
      </c>
      <c r="D602" s="6">
        <v>52011.49</v>
      </c>
      <c r="E602" s="6">
        <f>D602-C602</f>
        <v>0</v>
      </c>
      <c r="F602" s="5">
        <f>IF(C602=0,"",E602/C602)</f>
        <v>0</v>
      </c>
    </row>
    <row r="603" spans="1:6">
      <c r="A603" t="s">
        <v>5</v>
      </c>
      <c r="B603" t="s">
        <v>746</v>
      </c>
      <c r="C603" s="6">
        <v>46632.07</v>
      </c>
      <c r="D603" s="6">
        <v>46632.82</v>
      </c>
      <c r="E603" s="6">
        <f>D603-C603</f>
        <v>0</v>
      </c>
      <c r="F603" s="5">
        <f>IF(C603=0,"",E603/C603)</f>
        <v>0</v>
      </c>
    </row>
    <row r="604" spans="1:6">
      <c r="A604" t="s">
        <v>5</v>
      </c>
      <c r="B604" t="s">
        <v>755</v>
      </c>
      <c r="C604" s="6">
        <v>51797.73</v>
      </c>
      <c r="D604" s="6">
        <v>51797.73</v>
      </c>
      <c r="E604" s="6">
        <f>D604-C604</f>
        <v>0</v>
      </c>
      <c r="F604" s="5">
        <f>IF(C604=0,"",E604/C604)</f>
        <v>0</v>
      </c>
    </row>
    <row r="605" spans="1:6">
      <c r="A605" t="s">
        <v>5</v>
      </c>
      <c r="B605" t="s">
        <v>765</v>
      </c>
      <c r="C605" s="6">
        <v>59243.3</v>
      </c>
      <c r="D605" s="6">
        <v>59253.8</v>
      </c>
      <c r="E605" s="6">
        <f>D605-C605</f>
        <v>0</v>
      </c>
      <c r="F605" s="5">
        <f>IF(C605=0,"",E605/C605)</f>
        <v>0</v>
      </c>
    </row>
    <row r="606" spans="1:6">
      <c r="A606" t="s">
        <v>5</v>
      </c>
      <c r="B606" t="s">
        <v>775</v>
      </c>
      <c r="C606" s="6">
        <v>52796.61</v>
      </c>
      <c r="D606" s="6">
        <v>52808.66</v>
      </c>
      <c r="E606" s="6">
        <f>D606-C606</f>
        <v>0</v>
      </c>
      <c r="F606" s="5">
        <f>IF(C606=0,"",E606/C606)</f>
        <v>0</v>
      </c>
    </row>
    <row r="607" spans="1:6">
      <c r="A607" t="s">
        <v>5</v>
      </c>
      <c r="B607" t="s">
        <v>779</v>
      </c>
      <c r="C607" s="6">
        <v>48495.91</v>
      </c>
      <c r="D607" s="6">
        <v>48515.03</v>
      </c>
      <c r="E607" s="6">
        <f>D607-C607</f>
        <v>0</v>
      </c>
      <c r="F607" s="5">
        <f>IF(C607=0,"",E607/C607)</f>
        <v>0</v>
      </c>
    </row>
    <row r="608" spans="1:6">
      <c r="A608" t="s">
        <v>5</v>
      </c>
      <c r="B608" t="s">
        <v>788</v>
      </c>
      <c r="C608" s="6">
        <v>47095.47</v>
      </c>
      <c r="D608" s="6">
        <v>47107.97</v>
      </c>
      <c r="E608" s="6">
        <f>D608-C608</f>
        <v>0</v>
      </c>
      <c r="F608" s="5">
        <f>IF(C608=0,"",E608/C608)</f>
        <v>0</v>
      </c>
    </row>
    <row r="609" spans="1:6">
      <c r="A609" t="s">
        <v>5</v>
      </c>
      <c r="B609" t="s">
        <v>799</v>
      </c>
      <c r="C609" s="6">
        <v>49533.3</v>
      </c>
      <c r="D609" s="6">
        <v>49535.05</v>
      </c>
      <c r="E609" s="6">
        <f>D609-C609</f>
        <v>0</v>
      </c>
      <c r="F609" s="5">
        <f>IF(C609=0,"",E609/C609)</f>
        <v>0</v>
      </c>
    </row>
    <row r="610" spans="1:6">
      <c r="A610" t="s">
        <v>5</v>
      </c>
      <c r="B610" t="s">
        <v>805</v>
      </c>
      <c r="C610" s="6">
        <v>54777.63</v>
      </c>
      <c r="D610" s="6">
        <v>54809.88</v>
      </c>
      <c r="E610" s="6">
        <f>D610-C610</f>
        <v>0</v>
      </c>
      <c r="F610" s="5">
        <f>IF(C610=0,"",E610/C610)</f>
        <v>0</v>
      </c>
    </row>
    <row r="611" spans="1:6">
      <c r="A611" t="s">
        <v>5</v>
      </c>
      <c r="B611" t="s">
        <v>814</v>
      </c>
      <c r="C611" s="6">
        <v>45474.44</v>
      </c>
      <c r="D611" s="6">
        <v>45485.49</v>
      </c>
      <c r="E611" s="6">
        <f>D611-C611</f>
        <v>0</v>
      </c>
      <c r="F611" s="5">
        <f>IF(C611=0,"",E611/C611)</f>
        <v>0</v>
      </c>
    </row>
    <row r="612" spans="1:6">
      <c r="A612" t="s">
        <v>5</v>
      </c>
      <c r="B612" t="s">
        <v>829</v>
      </c>
      <c r="C612" s="6">
        <v>46909.45</v>
      </c>
      <c r="D612" s="6">
        <v>46915.7</v>
      </c>
      <c r="E612" s="6">
        <f>D612-C612</f>
        <v>0</v>
      </c>
      <c r="F612" s="5">
        <f>IF(C612=0,"",E612/C612)</f>
        <v>0</v>
      </c>
    </row>
    <row r="613" spans="1:6">
      <c r="A613" t="s">
        <v>5</v>
      </c>
      <c r="B613" t="s">
        <v>836</v>
      </c>
      <c r="C613" s="6">
        <v>51196.86</v>
      </c>
      <c r="D613" s="6">
        <v>51258.36</v>
      </c>
      <c r="E613" s="6">
        <f>D613-C613</f>
        <v>0</v>
      </c>
      <c r="F613" s="5">
        <f>IF(C613=0,"",E613/C613)</f>
        <v>0</v>
      </c>
    </row>
    <row r="614" spans="1:6">
      <c r="A614" t="s">
        <v>5</v>
      </c>
      <c r="B614" t="s">
        <v>846</v>
      </c>
      <c r="C614" s="6">
        <v>51075.61</v>
      </c>
      <c r="D614" s="6">
        <v>51081.01</v>
      </c>
      <c r="E614" s="6">
        <f>D614-C614</f>
        <v>0</v>
      </c>
      <c r="F614" s="5">
        <f>IF(C614=0,"",E614/C614)</f>
        <v>0</v>
      </c>
    </row>
    <row r="615" spans="1:6">
      <c r="A615" t="s">
        <v>5</v>
      </c>
      <c r="B615" t="s">
        <v>851</v>
      </c>
      <c r="C615" s="6">
        <v>51387.37</v>
      </c>
      <c r="D615" s="6">
        <v>51387.47</v>
      </c>
      <c r="E615" s="6">
        <f>D615-C615</f>
        <v>0</v>
      </c>
      <c r="F615" s="5">
        <f>IF(C615=0,"",E615/C615)</f>
        <v>0</v>
      </c>
    </row>
    <row r="616" spans="1:6">
      <c r="A616" t="s">
        <v>5</v>
      </c>
      <c r="B616" t="s">
        <v>858</v>
      </c>
      <c r="C616" s="6">
        <v>41721.45</v>
      </c>
      <c r="D616" s="6">
        <v>41723.67</v>
      </c>
      <c r="E616" s="6">
        <f>D616-C616</f>
        <v>0</v>
      </c>
      <c r="F616" s="5">
        <f>IF(C616=0,"",E616/C616)</f>
        <v>0</v>
      </c>
    </row>
    <row r="617" spans="1:6">
      <c r="A617" t="s">
        <v>5</v>
      </c>
      <c r="B617" t="s">
        <v>868</v>
      </c>
      <c r="C617" s="6">
        <v>42031.73</v>
      </c>
      <c r="D617" s="6">
        <v>42050.33</v>
      </c>
      <c r="E617" s="6">
        <f>D617-C617</f>
        <v>0</v>
      </c>
      <c r="F617" s="5">
        <f>IF(C617=0,"",E617/C617)</f>
        <v>0</v>
      </c>
    </row>
    <row r="618" spans="1:6">
      <c r="A618" t="s">
        <v>5</v>
      </c>
      <c r="B618" t="s">
        <v>876</v>
      </c>
      <c r="C618" s="6">
        <v>51822.76</v>
      </c>
      <c r="D618" s="6">
        <v>51824.21</v>
      </c>
      <c r="E618" s="6">
        <f>D618-C618</f>
        <v>0</v>
      </c>
      <c r="F618" s="5">
        <f>IF(C618=0,"",E618/C618)</f>
        <v>0</v>
      </c>
    </row>
    <row r="619" spans="1:6">
      <c r="A619" t="s">
        <v>5</v>
      </c>
      <c r="B619" t="s">
        <v>880</v>
      </c>
      <c r="C619" s="6">
        <v>56744.2</v>
      </c>
      <c r="D619" s="6">
        <v>56757.75</v>
      </c>
      <c r="E619" s="6">
        <f>D619-C619</f>
        <v>0</v>
      </c>
      <c r="F619" s="5">
        <f>IF(C619=0,"",E619/C619)</f>
        <v>0</v>
      </c>
    </row>
    <row r="620" spans="1:6">
      <c r="A620" t="s">
        <v>5</v>
      </c>
      <c r="B620" t="s">
        <v>891</v>
      </c>
      <c r="C620" s="6">
        <v>49326.14</v>
      </c>
      <c r="D620" s="6">
        <v>49336.64</v>
      </c>
      <c r="E620" s="6">
        <f>D620-C620</f>
        <v>0</v>
      </c>
      <c r="F620" s="5">
        <f>IF(C620=0,"",E620/C620)</f>
        <v>0</v>
      </c>
    </row>
    <row r="621" spans="1:6">
      <c r="A621" t="s">
        <v>5</v>
      </c>
      <c r="B621" t="s">
        <v>903</v>
      </c>
      <c r="C621" s="6">
        <v>48910.5</v>
      </c>
      <c r="D621" s="6">
        <v>48924.75</v>
      </c>
      <c r="E621" s="6">
        <f>D621-C621</f>
        <v>0</v>
      </c>
      <c r="F621" s="5">
        <f>IF(C621=0,"",E621/C621)</f>
        <v>0</v>
      </c>
    </row>
    <row r="622" spans="1:6">
      <c r="A622" t="s">
        <v>5</v>
      </c>
      <c r="B622" t="s">
        <v>915</v>
      </c>
      <c r="C622" s="6">
        <v>50786.91</v>
      </c>
      <c r="D622" s="6">
        <v>50787.01</v>
      </c>
      <c r="E622" s="6">
        <f>D622-C622</f>
        <v>0</v>
      </c>
      <c r="F622" s="5">
        <f>IF(C622=0,"",E622/C622)</f>
        <v>0</v>
      </c>
    </row>
    <row r="623" spans="1:6">
      <c r="A623" t="s">
        <v>5</v>
      </c>
      <c r="B623" t="s">
        <v>922</v>
      </c>
      <c r="C623" s="6">
        <v>65324.39</v>
      </c>
      <c r="D623" s="6">
        <v>65324.39</v>
      </c>
      <c r="E623" s="6">
        <f>D623-C623</f>
        <v>0</v>
      </c>
      <c r="F623" s="5">
        <f>IF(C623=0,"",E623/C623)</f>
        <v>0</v>
      </c>
    </row>
    <row r="624" spans="1:6">
      <c r="A624" t="s">
        <v>5</v>
      </c>
      <c r="B624" t="s">
        <v>934</v>
      </c>
      <c r="C624" s="6">
        <v>49414.29</v>
      </c>
      <c r="D624" s="6">
        <v>49415.59</v>
      </c>
      <c r="E624" s="6">
        <f>D624-C624</f>
        <v>0</v>
      </c>
      <c r="F624" s="5">
        <f>IF(C624=0,"",E624/C624)</f>
        <v>0</v>
      </c>
    </row>
    <row r="625" spans="1:6">
      <c r="A625" t="s">
        <v>5</v>
      </c>
      <c r="B625" t="s">
        <v>944</v>
      </c>
      <c r="C625" s="6">
        <v>56858.26</v>
      </c>
      <c r="D625" s="6">
        <v>56953.31</v>
      </c>
      <c r="E625" s="6">
        <f>D625-C625</f>
        <v>0</v>
      </c>
      <c r="F625" s="5">
        <f>IF(C625=0,"",E625/C625)</f>
        <v>0</v>
      </c>
    </row>
    <row r="626" spans="1:6">
      <c r="A626" t="s">
        <v>5</v>
      </c>
      <c r="B626" t="s">
        <v>952</v>
      </c>
      <c r="C626" s="6">
        <v>49364.79</v>
      </c>
      <c r="D626" s="6">
        <v>49374.99</v>
      </c>
      <c r="E626" s="6">
        <f>D626-C626</f>
        <v>0</v>
      </c>
      <c r="F626" s="5">
        <f>IF(C626=0,"",E626/C626)</f>
        <v>0</v>
      </c>
    </row>
    <row r="627" spans="1:6">
      <c r="A627" t="s">
        <v>5</v>
      </c>
      <c r="B627" t="s">
        <v>961</v>
      </c>
      <c r="C627" s="6">
        <v>55553.46</v>
      </c>
      <c r="D627" s="6">
        <v>55575.21</v>
      </c>
      <c r="E627" s="6">
        <f>D627-C627</f>
        <v>0</v>
      </c>
      <c r="F627" s="5">
        <f>IF(C627=0,"",E627/C627)</f>
        <v>0</v>
      </c>
    </row>
    <row r="628" spans="1:6">
      <c r="A628" t="s">
        <v>5</v>
      </c>
      <c r="B628" t="s">
        <v>966</v>
      </c>
      <c r="C628" s="6">
        <v>52552.75</v>
      </c>
      <c r="D628" s="6">
        <v>52573.9</v>
      </c>
      <c r="E628" s="6">
        <f>D628-C628</f>
        <v>0</v>
      </c>
      <c r="F628" s="5">
        <f>IF(C628=0,"",E628/C628)</f>
        <v>0</v>
      </c>
    </row>
    <row r="629" spans="1:6">
      <c r="A629" t="s">
        <v>5</v>
      </c>
      <c r="B629" t="s">
        <v>980</v>
      </c>
      <c r="C629" s="6">
        <v>59533.18</v>
      </c>
      <c r="D629" s="6">
        <v>59533.18</v>
      </c>
      <c r="E629" s="6">
        <f>D629-C629</f>
        <v>0</v>
      </c>
      <c r="F629" s="5">
        <f>IF(C629=0,"",E629/C629)</f>
        <v>0</v>
      </c>
    </row>
    <row r="630" spans="1:6">
      <c r="A630" t="s">
        <v>5</v>
      </c>
      <c r="B630" t="s">
        <v>992</v>
      </c>
      <c r="C630" s="6">
        <v>52914.94</v>
      </c>
      <c r="D630" s="6">
        <v>52925.44</v>
      </c>
      <c r="E630" s="6">
        <f>D630-C630</f>
        <v>0</v>
      </c>
      <c r="F630" s="5">
        <f>IF(C630=0,"",E630/C630)</f>
        <v>0</v>
      </c>
    </row>
    <row r="631" spans="1:6">
      <c r="A631" t="s">
        <v>5</v>
      </c>
      <c r="B631" t="s">
        <v>1002</v>
      </c>
      <c r="C631" s="6">
        <v>5943.8</v>
      </c>
      <c r="D631" s="6">
        <v>5980.2</v>
      </c>
      <c r="E631" s="6">
        <f>D631-C631</f>
        <v>0</v>
      </c>
      <c r="F631" s="5">
        <f>IF(C631=0,"",E631/C631)</f>
        <v>0</v>
      </c>
    </row>
    <row r="632" spans="1:6">
      <c r="A632" t="s">
        <v>6</v>
      </c>
      <c r="B632" t="s">
        <v>30</v>
      </c>
      <c r="C632" s="6">
        <v>41557.12</v>
      </c>
      <c r="D632" s="6">
        <v>41560.62</v>
      </c>
      <c r="E632" s="6">
        <f>D632-C632</f>
        <v>0</v>
      </c>
      <c r="F632" s="5">
        <f>IF(C632=0,"",E632/C632)</f>
        <v>0</v>
      </c>
    </row>
    <row r="633" spans="1:6">
      <c r="A633" t="s">
        <v>6</v>
      </c>
      <c r="B633" t="s">
        <v>47</v>
      </c>
      <c r="C633" s="6">
        <v>45509.4</v>
      </c>
      <c r="D633" s="6">
        <v>45509.4</v>
      </c>
      <c r="E633" s="6">
        <f>D633-C633</f>
        <v>0</v>
      </c>
      <c r="F633" s="5">
        <f>IF(C633=0,"",E633/C633)</f>
        <v>0</v>
      </c>
    </row>
    <row r="634" spans="1:6">
      <c r="A634" t="s">
        <v>6</v>
      </c>
      <c r="B634" t="s">
        <v>62</v>
      </c>
      <c r="C634" s="6">
        <v>41334.01</v>
      </c>
      <c r="D634" s="6">
        <v>41343.01</v>
      </c>
      <c r="E634" s="6">
        <f>D634-C634</f>
        <v>0</v>
      </c>
      <c r="F634" s="5">
        <f>IF(C634=0,"",E634/C634)</f>
        <v>0</v>
      </c>
    </row>
    <row r="635" spans="1:6">
      <c r="A635" t="s">
        <v>6</v>
      </c>
      <c r="B635" t="s">
        <v>71</v>
      </c>
      <c r="C635" s="6">
        <v>50172.41</v>
      </c>
      <c r="D635" s="6">
        <v>50178.41</v>
      </c>
      <c r="E635" s="6">
        <f>D635-C635</f>
        <v>0</v>
      </c>
      <c r="F635" s="5">
        <f>IF(C635=0,"",E635/C635)</f>
        <v>0</v>
      </c>
    </row>
    <row r="636" spans="1:6">
      <c r="A636" t="s">
        <v>6</v>
      </c>
      <c r="B636" t="s">
        <v>86</v>
      </c>
      <c r="C636" s="6">
        <v>45474.46</v>
      </c>
      <c r="D636" s="6">
        <v>45484.96</v>
      </c>
      <c r="E636" s="6">
        <f>D636-C636</f>
        <v>0</v>
      </c>
      <c r="F636" s="5">
        <f>IF(C636=0,"",E636/C636)</f>
        <v>0</v>
      </c>
    </row>
    <row r="637" spans="1:6">
      <c r="A637" t="s">
        <v>6</v>
      </c>
      <c r="B637" t="s">
        <v>97</v>
      </c>
      <c r="C637" s="6">
        <v>59931.98</v>
      </c>
      <c r="D637" s="6">
        <v>59941.98</v>
      </c>
      <c r="E637" s="6">
        <f>D637-C637</f>
        <v>0</v>
      </c>
      <c r="F637" s="5">
        <f>IF(C637=0,"",E637/C637)</f>
        <v>0</v>
      </c>
    </row>
    <row r="638" spans="1:6">
      <c r="A638" t="s">
        <v>6</v>
      </c>
      <c r="B638" t="s">
        <v>103</v>
      </c>
      <c r="C638" s="6">
        <v>47959.75</v>
      </c>
      <c r="D638" s="6">
        <v>47977.5</v>
      </c>
      <c r="E638" s="6">
        <f>D638-C638</f>
        <v>0</v>
      </c>
      <c r="F638" s="5">
        <f>IF(C638=0,"",E638/C638)</f>
        <v>0</v>
      </c>
    </row>
    <row r="639" spans="1:6">
      <c r="A639" t="s">
        <v>6</v>
      </c>
      <c r="B639" t="s">
        <v>121</v>
      </c>
      <c r="C639" s="6">
        <v>46991.25</v>
      </c>
      <c r="D639" s="6">
        <v>47001.25</v>
      </c>
      <c r="E639" s="6">
        <f>D639-C639</f>
        <v>0</v>
      </c>
      <c r="F639" s="5">
        <f>IF(C639=0,"",E639/C639)</f>
        <v>0</v>
      </c>
    </row>
    <row r="640" spans="1:6">
      <c r="A640" t="s">
        <v>6</v>
      </c>
      <c r="B640" t="s">
        <v>134</v>
      </c>
      <c r="C640" s="6">
        <v>45194.66</v>
      </c>
      <c r="D640" s="6">
        <v>45194.66</v>
      </c>
      <c r="E640" s="6">
        <f>D640-C640</f>
        <v>0</v>
      </c>
      <c r="F640" s="5">
        <f>IF(C640=0,"",E640/C640)</f>
        <v>0</v>
      </c>
    </row>
    <row r="641" spans="1:6">
      <c r="A641" t="s">
        <v>6</v>
      </c>
      <c r="B641" t="s">
        <v>143</v>
      </c>
      <c r="C641" s="6">
        <v>52383.5</v>
      </c>
      <c r="D641" s="6">
        <v>52383.5</v>
      </c>
      <c r="E641" s="6">
        <f>D641-C641</f>
        <v>0</v>
      </c>
      <c r="F641" s="5">
        <f>IF(C641=0,"",E641/C641)</f>
        <v>0</v>
      </c>
    </row>
    <row r="642" spans="1:6">
      <c r="A642" t="s">
        <v>6</v>
      </c>
      <c r="B642" t="s">
        <v>154</v>
      </c>
      <c r="C642" s="6">
        <v>40101.95</v>
      </c>
      <c r="D642" s="6">
        <v>40111.7</v>
      </c>
      <c r="E642" s="6">
        <f>D642-C642</f>
        <v>0</v>
      </c>
      <c r="F642" s="5">
        <f>IF(C642=0,"",E642/C642)</f>
        <v>0</v>
      </c>
    </row>
    <row r="643" spans="1:6">
      <c r="A643" t="s">
        <v>6</v>
      </c>
      <c r="B643" t="s">
        <v>160</v>
      </c>
      <c r="C643" s="6">
        <v>49110.99</v>
      </c>
      <c r="D643" s="6">
        <v>49122.99</v>
      </c>
      <c r="E643" s="6">
        <f>D643-C643</f>
        <v>0</v>
      </c>
      <c r="F643" s="5">
        <f>IF(C643=0,"",E643/C643)</f>
        <v>0</v>
      </c>
    </row>
    <row r="644" spans="1:6">
      <c r="A644" t="s">
        <v>6</v>
      </c>
      <c r="B644" t="s">
        <v>170</v>
      </c>
      <c r="C644" s="6">
        <v>56949.15</v>
      </c>
      <c r="D644" s="6">
        <v>56957.15</v>
      </c>
      <c r="E644" s="6">
        <f>D644-C644</f>
        <v>0</v>
      </c>
      <c r="F644" s="5">
        <f>IF(C644=0,"",E644/C644)</f>
        <v>0</v>
      </c>
    </row>
    <row r="645" spans="1:6">
      <c r="A645" t="s">
        <v>6</v>
      </c>
      <c r="B645" t="s">
        <v>180</v>
      </c>
      <c r="C645" s="6">
        <v>60136.44</v>
      </c>
      <c r="D645" s="6">
        <v>60148.69</v>
      </c>
      <c r="E645" s="6">
        <f>D645-C645</f>
        <v>0</v>
      </c>
      <c r="F645" s="5">
        <f>IF(C645=0,"",E645/C645)</f>
        <v>0</v>
      </c>
    </row>
    <row r="646" spans="1:6">
      <c r="A646" t="s">
        <v>6</v>
      </c>
      <c r="B646" t="s">
        <v>193</v>
      </c>
      <c r="C646" s="6">
        <v>48702.03</v>
      </c>
      <c r="D646" s="6">
        <v>48720.03</v>
      </c>
      <c r="E646" s="6">
        <f>D646-C646</f>
        <v>0</v>
      </c>
      <c r="F646" s="5">
        <f>IF(C646=0,"",E646/C646)</f>
        <v>0</v>
      </c>
    </row>
    <row r="647" spans="1:6">
      <c r="A647" t="s">
        <v>6</v>
      </c>
      <c r="B647" t="s">
        <v>205</v>
      </c>
      <c r="C647" s="6">
        <v>45623.36</v>
      </c>
      <c r="D647" s="6">
        <v>45624.96</v>
      </c>
      <c r="E647" s="6">
        <f>D647-C647</f>
        <v>0</v>
      </c>
      <c r="F647" s="5">
        <f>IF(C647=0,"",E647/C647)</f>
        <v>0</v>
      </c>
    </row>
    <row r="648" spans="1:6">
      <c r="A648" t="s">
        <v>6</v>
      </c>
      <c r="B648" t="s">
        <v>216</v>
      </c>
      <c r="C648" s="6">
        <v>46127.24</v>
      </c>
      <c r="D648" s="6">
        <v>46139.69</v>
      </c>
      <c r="E648" s="6">
        <f>D648-C648</f>
        <v>0</v>
      </c>
      <c r="F648" s="5">
        <f>IF(C648=0,"",E648/C648)</f>
        <v>0</v>
      </c>
    </row>
    <row r="649" spans="1:6">
      <c r="A649" t="s">
        <v>6</v>
      </c>
      <c r="B649" t="s">
        <v>226</v>
      </c>
      <c r="C649" s="6">
        <v>72757.86</v>
      </c>
      <c r="D649" s="6">
        <v>72757.86</v>
      </c>
      <c r="E649" s="6">
        <f>D649-C649</f>
        <v>0</v>
      </c>
      <c r="F649" s="5">
        <f>IF(C649=0,"",E649/C649)</f>
        <v>0</v>
      </c>
    </row>
    <row r="650" spans="1:6">
      <c r="A650" t="s">
        <v>6</v>
      </c>
      <c r="B650" t="s">
        <v>231</v>
      </c>
      <c r="C650" s="6">
        <v>51162.82</v>
      </c>
      <c r="D650" s="6">
        <v>51170.37</v>
      </c>
      <c r="E650" s="6">
        <f>D650-C650</f>
        <v>0</v>
      </c>
      <c r="F650" s="5">
        <f>IF(C650=0,"",E650/C650)</f>
        <v>0</v>
      </c>
    </row>
    <row r="651" spans="1:6">
      <c r="A651" t="s">
        <v>6</v>
      </c>
      <c r="B651" t="s">
        <v>238</v>
      </c>
      <c r="C651" s="6">
        <v>46678.37</v>
      </c>
      <c r="D651" s="6">
        <v>46722.62</v>
      </c>
      <c r="E651" s="6">
        <f>D651-C651</f>
        <v>0</v>
      </c>
      <c r="F651" s="5">
        <f>IF(C651=0,"",E651/C651)</f>
        <v>0</v>
      </c>
    </row>
    <row r="652" spans="1:6">
      <c r="A652" t="s">
        <v>6</v>
      </c>
      <c r="B652" t="s">
        <v>251</v>
      </c>
      <c r="C652" s="6">
        <v>50033.07</v>
      </c>
      <c r="D652" s="6">
        <v>50046.07</v>
      </c>
      <c r="E652" s="6">
        <f>D652-C652</f>
        <v>0</v>
      </c>
      <c r="F652" s="5">
        <f>IF(C652=0,"",E652/C652)</f>
        <v>0</v>
      </c>
    </row>
    <row r="653" spans="1:6">
      <c r="A653" t="s">
        <v>6</v>
      </c>
      <c r="B653" t="s">
        <v>254</v>
      </c>
      <c r="C653" s="6">
        <v>49364.82</v>
      </c>
      <c r="D653" s="6">
        <v>49390.74</v>
      </c>
      <c r="E653" s="6">
        <f>D653-C653</f>
        <v>0</v>
      </c>
      <c r="F653" s="5">
        <f>IF(C653=0,"",E653/C653)</f>
        <v>0</v>
      </c>
    </row>
    <row r="654" spans="1:6">
      <c r="A654" t="s">
        <v>6</v>
      </c>
      <c r="B654" t="s">
        <v>264</v>
      </c>
      <c r="C654" s="6">
        <v>53670</v>
      </c>
      <c r="D654" s="6">
        <v>53699.09</v>
      </c>
      <c r="E654" s="6">
        <f>D654-C654</f>
        <v>0</v>
      </c>
      <c r="F654" s="5">
        <f>IF(C654=0,"",E654/C654)</f>
        <v>0</v>
      </c>
    </row>
    <row r="655" spans="1:6">
      <c r="A655" t="s">
        <v>6</v>
      </c>
      <c r="B655" t="s">
        <v>273</v>
      </c>
      <c r="C655" s="6">
        <v>48966.92</v>
      </c>
      <c r="D655" s="6">
        <v>48977.52</v>
      </c>
      <c r="E655" s="6">
        <f>D655-C655</f>
        <v>0</v>
      </c>
      <c r="F655" s="5">
        <f>IF(C655=0,"",E655/C655)</f>
        <v>0</v>
      </c>
    </row>
    <row r="656" spans="1:6">
      <c r="A656" t="s">
        <v>6</v>
      </c>
      <c r="B656" t="s">
        <v>284</v>
      </c>
      <c r="C656" s="6">
        <v>47968.26</v>
      </c>
      <c r="D656" s="6">
        <v>47968.31</v>
      </c>
      <c r="E656" s="6">
        <f>D656-C656</f>
        <v>0</v>
      </c>
      <c r="F656" s="5">
        <f>IF(C656=0,"",E656/C656)</f>
        <v>0</v>
      </c>
    </row>
    <row r="657" spans="1:6">
      <c r="A657" t="s">
        <v>6</v>
      </c>
      <c r="B657" t="s">
        <v>289</v>
      </c>
      <c r="C657" s="6">
        <v>54507.91</v>
      </c>
      <c r="D657" s="6">
        <v>54508.76</v>
      </c>
      <c r="E657" s="6">
        <f>D657-C657</f>
        <v>0</v>
      </c>
      <c r="F657" s="5">
        <f>IF(C657=0,"",E657/C657)</f>
        <v>0</v>
      </c>
    </row>
    <row r="658" spans="1:6">
      <c r="A658" t="s">
        <v>6</v>
      </c>
      <c r="B658" t="s">
        <v>299</v>
      </c>
      <c r="C658" s="6">
        <v>59032.64</v>
      </c>
      <c r="D658" s="6">
        <v>59034.89</v>
      </c>
      <c r="E658" s="6">
        <f>D658-C658</f>
        <v>0</v>
      </c>
      <c r="F658" s="5">
        <f>IF(C658=0,"",E658/C658)</f>
        <v>0</v>
      </c>
    </row>
    <row r="659" spans="1:6">
      <c r="A659" t="s">
        <v>6</v>
      </c>
      <c r="B659" t="s">
        <v>306</v>
      </c>
      <c r="C659" s="6">
        <v>45387.54</v>
      </c>
      <c r="D659" s="6">
        <v>45395.04</v>
      </c>
      <c r="E659" s="6">
        <f>D659-C659</f>
        <v>0</v>
      </c>
      <c r="F659" s="5">
        <f>IF(C659=0,"",E659/C659)</f>
        <v>0</v>
      </c>
    </row>
    <row r="660" spans="1:6">
      <c r="A660" t="s">
        <v>6</v>
      </c>
      <c r="B660" t="s">
        <v>313</v>
      </c>
      <c r="C660" s="6">
        <v>46320.96</v>
      </c>
      <c r="D660" s="6">
        <v>46324.81</v>
      </c>
      <c r="E660" s="6">
        <f>D660-C660</f>
        <v>0</v>
      </c>
      <c r="F660" s="5">
        <f>IF(C660=0,"",E660/C660)</f>
        <v>0</v>
      </c>
    </row>
    <row r="661" spans="1:6">
      <c r="A661" t="s">
        <v>6</v>
      </c>
      <c r="B661" t="s">
        <v>324</v>
      </c>
      <c r="C661" s="6">
        <v>48566.04</v>
      </c>
      <c r="D661" s="6">
        <v>48577.29</v>
      </c>
      <c r="E661" s="6">
        <f>D661-C661</f>
        <v>0</v>
      </c>
      <c r="F661" s="5">
        <f>IF(C661=0,"",E661/C661)</f>
        <v>0</v>
      </c>
    </row>
    <row r="662" spans="1:6">
      <c r="A662" t="s">
        <v>6</v>
      </c>
      <c r="B662" t="s">
        <v>331</v>
      </c>
      <c r="C662" s="6">
        <v>53519.08</v>
      </c>
      <c r="D662" s="6">
        <v>53529.83</v>
      </c>
      <c r="E662" s="6">
        <f>D662-C662</f>
        <v>0</v>
      </c>
      <c r="F662" s="5">
        <f>IF(C662=0,"",E662/C662)</f>
        <v>0</v>
      </c>
    </row>
    <row r="663" spans="1:6">
      <c r="A663" t="s">
        <v>6</v>
      </c>
      <c r="B663" t="s">
        <v>335</v>
      </c>
      <c r="C663" s="6">
        <v>45630.24</v>
      </c>
      <c r="D663" s="6">
        <v>45635.89</v>
      </c>
      <c r="E663" s="6">
        <f>D663-C663</f>
        <v>0</v>
      </c>
      <c r="F663" s="5">
        <f>IF(C663=0,"",E663/C663)</f>
        <v>0</v>
      </c>
    </row>
    <row r="664" spans="1:6">
      <c r="A664" t="s">
        <v>6</v>
      </c>
      <c r="B664" t="s">
        <v>345</v>
      </c>
      <c r="C664" s="6">
        <v>49583.38</v>
      </c>
      <c r="D664" s="6">
        <v>49586.43</v>
      </c>
      <c r="E664" s="6">
        <f>D664-C664</f>
        <v>0</v>
      </c>
      <c r="F664" s="5">
        <f>IF(C664=0,"",E664/C664)</f>
        <v>0</v>
      </c>
    </row>
    <row r="665" spans="1:6">
      <c r="A665" t="s">
        <v>6</v>
      </c>
      <c r="B665" t="s">
        <v>357</v>
      </c>
      <c r="C665" s="6">
        <v>50177.73</v>
      </c>
      <c r="D665" s="6">
        <v>50190.9</v>
      </c>
      <c r="E665" s="6">
        <f>D665-C665</f>
        <v>0</v>
      </c>
      <c r="F665" s="5">
        <f>IF(C665=0,"",E665/C665)</f>
        <v>0</v>
      </c>
    </row>
    <row r="666" spans="1:6">
      <c r="A666" t="s">
        <v>6</v>
      </c>
      <c r="B666" t="s">
        <v>364</v>
      </c>
      <c r="C666" s="6">
        <v>55759.85</v>
      </c>
      <c r="D666" s="6">
        <v>55770.4</v>
      </c>
      <c r="E666" s="6">
        <f>D666-C666</f>
        <v>0</v>
      </c>
      <c r="F666" s="5">
        <f>IF(C666=0,"",E666/C666)</f>
        <v>0</v>
      </c>
    </row>
    <row r="667" spans="1:6">
      <c r="A667" t="s">
        <v>6</v>
      </c>
      <c r="B667" t="s">
        <v>371</v>
      </c>
      <c r="C667" s="6">
        <v>68721.85000000001</v>
      </c>
      <c r="D667" s="6">
        <v>68721.85000000001</v>
      </c>
      <c r="E667" s="6">
        <f>D667-C667</f>
        <v>0</v>
      </c>
      <c r="F667" s="5">
        <f>IF(C667=0,"",E667/C667)</f>
        <v>0</v>
      </c>
    </row>
    <row r="668" spans="1:6">
      <c r="A668" t="s">
        <v>6</v>
      </c>
      <c r="B668" t="s">
        <v>379</v>
      </c>
      <c r="C668" s="6">
        <v>47627.47</v>
      </c>
      <c r="D668" s="6">
        <v>47647.42</v>
      </c>
      <c r="E668" s="6">
        <f>D668-C668</f>
        <v>0</v>
      </c>
      <c r="F668" s="5">
        <f>IF(C668=0,"",E668/C668)</f>
        <v>0</v>
      </c>
    </row>
    <row r="669" spans="1:6">
      <c r="A669" t="s">
        <v>6</v>
      </c>
      <c r="B669" t="s">
        <v>392</v>
      </c>
      <c r="C669" s="6">
        <v>44699.57</v>
      </c>
      <c r="D669" s="6">
        <v>44704.07</v>
      </c>
      <c r="E669" s="6">
        <f>D669-C669</f>
        <v>0</v>
      </c>
      <c r="F669" s="5">
        <f>IF(C669=0,"",E669/C669)</f>
        <v>0</v>
      </c>
    </row>
    <row r="670" spans="1:6">
      <c r="A670" t="s">
        <v>6</v>
      </c>
      <c r="B670" t="s">
        <v>402</v>
      </c>
      <c r="C670" s="6">
        <v>49595.17</v>
      </c>
      <c r="D670" s="6">
        <v>49595.22</v>
      </c>
      <c r="E670" s="6">
        <f>D670-C670</f>
        <v>0</v>
      </c>
      <c r="F670" s="5">
        <f>IF(C670=0,"",E670/C670)</f>
        <v>0</v>
      </c>
    </row>
    <row r="671" spans="1:6">
      <c r="A671" t="s">
        <v>6</v>
      </c>
      <c r="B671" t="s">
        <v>410</v>
      </c>
      <c r="C671" s="6">
        <v>55853.87</v>
      </c>
      <c r="D671" s="6">
        <v>55853.87</v>
      </c>
      <c r="E671" s="6">
        <f>D671-C671</f>
        <v>0</v>
      </c>
      <c r="F671" s="5">
        <f>IF(C671=0,"",E671/C671)</f>
        <v>0</v>
      </c>
    </row>
    <row r="672" spans="1:6">
      <c r="A672" t="s">
        <v>6</v>
      </c>
      <c r="B672" t="s">
        <v>416</v>
      </c>
      <c r="C672" s="6">
        <v>49327.75</v>
      </c>
      <c r="D672" s="6">
        <v>49405.75</v>
      </c>
      <c r="E672" s="6">
        <f>D672-C672</f>
        <v>0</v>
      </c>
      <c r="F672" s="5">
        <f>IF(C672=0,"",E672/C672)</f>
        <v>0</v>
      </c>
    </row>
    <row r="673" spans="1:6">
      <c r="A673" t="s">
        <v>6</v>
      </c>
      <c r="B673" t="s">
        <v>428</v>
      </c>
      <c r="C673" s="6">
        <v>44822.37</v>
      </c>
      <c r="D673" s="6">
        <v>44855.37</v>
      </c>
      <c r="E673" s="6">
        <f>D673-C673</f>
        <v>0</v>
      </c>
      <c r="F673" s="5">
        <f>IF(C673=0,"",E673/C673)</f>
        <v>0</v>
      </c>
    </row>
    <row r="674" spans="1:6">
      <c r="A674" t="s">
        <v>6</v>
      </c>
      <c r="B674" t="s">
        <v>436</v>
      </c>
      <c r="C674" s="6">
        <v>51541.46</v>
      </c>
      <c r="D674" s="6">
        <v>51564.96</v>
      </c>
      <c r="E674" s="6">
        <f>D674-C674</f>
        <v>0</v>
      </c>
      <c r="F674" s="5">
        <f>IF(C674=0,"",E674/C674)</f>
        <v>0</v>
      </c>
    </row>
    <row r="675" spans="1:6">
      <c r="A675" t="s">
        <v>6</v>
      </c>
      <c r="B675" t="s">
        <v>447</v>
      </c>
      <c r="C675" s="6">
        <v>55689.65</v>
      </c>
      <c r="D675" s="6">
        <v>55690.4</v>
      </c>
      <c r="E675" s="6">
        <f>D675-C675</f>
        <v>0</v>
      </c>
      <c r="F675" s="5">
        <f>IF(C675=0,"",E675/C675)</f>
        <v>0</v>
      </c>
    </row>
    <row r="676" spans="1:6">
      <c r="A676" t="s">
        <v>6</v>
      </c>
      <c r="B676" t="s">
        <v>1278</v>
      </c>
      <c r="C676" s="6">
        <v>58348.96</v>
      </c>
      <c r="D676" s="6">
        <v>58359.36</v>
      </c>
      <c r="E676" s="6">
        <f>D676-C676</f>
        <v>0</v>
      </c>
      <c r="F676" s="5">
        <f>IF(C676=0,"",E676/C676)</f>
        <v>0</v>
      </c>
    </row>
    <row r="677" spans="1:6">
      <c r="A677" t="s">
        <v>6</v>
      </c>
      <c r="B677" t="s">
        <v>451</v>
      </c>
      <c r="C677" s="6">
        <v>59009.73</v>
      </c>
      <c r="D677" s="6">
        <v>59040.43</v>
      </c>
      <c r="E677" s="6">
        <f>D677-C677</f>
        <v>0</v>
      </c>
      <c r="F677" s="5">
        <f>IF(C677=0,"",E677/C677)</f>
        <v>0</v>
      </c>
    </row>
    <row r="678" spans="1:6">
      <c r="A678" t="s">
        <v>6</v>
      </c>
      <c r="B678" t="s">
        <v>464</v>
      </c>
      <c r="C678" s="6">
        <v>47915.96</v>
      </c>
      <c r="D678" s="6">
        <v>47915.96</v>
      </c>
      <c r="E678" s="6">
        <f>D678-C678</f>
        <v>0</v>
      </c>
      <c r="F678" s="5">
        <f>IF(C678=0,"",E678/C678)</f>
        <v>0</v>
      </c>
    </row>
    <row r="679" spans="1:6">
      <c r="A679" t="s">
        <v>6</v>
      </c>
      <c r="B679" t="s">
        <v>478</v>
      </c>
      <c r="C679" s="6">
        <v>42452.95</v>
      </c>
      <c r="D679" s="6">
        <v>42486.25</v>
      </c>
      <c r="E679" s="6">
        <f>D679-C679</f>
        <v>0</v>
      </c>
      <c r="F679" s="5">
        <f>IF(C679=0,"",E679/C679)</f>
        <v>0</v>
      </c>
    </row>
    <row r="680" spans="1:6">
      <c r="A680" t="s">
        <v>6</v>
      </c>
      <c r="B680" t="s">
        <v>492</v>
      </c>
      <c r="C680" s="6">
        <v>70865.78</v>
      </c>
      <c r="D680" s="6">
        <v>70882.73</v>
      </c>
      <c r="E680" s="6">
        <f>D680-C680</f>
        <v>0</v>
      </c>
      <c r="F680" s="5">
        <f>IF(C680=0,"",E680/C680)</f>
        <v>0</v>
      </c>
    </row>
    <row r="681" spans="1:6">
      <c r="A681" t="s">
        <v>6</v>
      </c>
      <c r="B681" t="s">
        <v>501</v>
      </c>
      <c r="C681" s="6">
        <v>51078.99</v>
      </c>
      <c r="D681" s="6">
        <v>51106.74</v>
      </c>
      <c r="E681" s="6">
        <f>D681-C681</f>
        <v>0</v>
      </c>
      <c r="F681" s="5">
        <f>IF(C681=0,"",E681/C681)</f>
        <v>0</v>
      </c>
    </row>
    <row r="682" spans="1:6">
      <c r="A682" t="s">
        <v>6</v>
      </c>
      <c r="B682" t="s">
        <v>511</v>
      </c>
      <c r="C682" s="6">
        <v>60419.49</v>
      </c>
      <c r="D682" s="6">
        <v>60423.94</v>
      </c>
      <c r="E682" s="6">
        <f>D682-C682</f>
        <v>0</v>
      </c>
      <c r="F682" s="5">
        <f>IF(C682=0,"",E682/C682)</f>
        <v>0</v>
      </c>
    </row>
    <row r="683" spans="1:6">
      <c r="A683" t="s">
        <v>6</v>
      </c>
      <c r="B683" t="s">
        <v>523</v>
      </c>
      <c r="C683" s="6">
        <v>44915.47</v>
      </c>
      <c r="D683" s="6">
        <v>44950.42</v>
      </c>
      <c r="E683" s="6">
        <f>D683-C683</f>
        <v>0</v>
      </c>
      <c r="F683" s="5">
        <f>IF(C683=0,"",E683/C683)</f>
        <v>0</v>
      </c>
    </row>
    <row r="684" spans="1:6">
      <c r="A684" t="s">
        <v>6</v>
      </c>
      <c r="B684" t="s">
        <v>528</v>
      </c>
      <c r="C684" s="6">
        <v>51751.64</v>
      </c>
      <c r="D684" s="6">
        <v>51759.14</v>
      </c>
      <c r="E684" s="6">
        <f>D684-C684</f>
        <v>0</v>
      </c>
      <c r="F684" s="5">
        <f>IF(C684=0,"",E684/C684)</f>
        <v>0</v>
      </c>
    </row>
    <row r="685" spans="1:6">
      <c r="A685" t="s">
        <v>6</v>
      </c>
      <c r="B685" t="s">
        <v>538</v>
      </c>
      <c r="C685" s="6">
        <v>40841.37</v>
      </c>
      <c r="D685" s="6">
        <v>40841.74</v>
      </c>
      <c r="E685" s="6">
        <f>D685-C685</f>
        <v>0</v>
      </c>
      <c r="F685" s="5">
        <f>IF(C685=0,"",E685/C685)</f>
        <v>0</v>
      </c>
    </row>
    <row r="686" spans="1:6">
      <c r="A686" t="s">
        <v>6</v>
      </c>
      <c r="B686" t="s">
        <v>552</v>
      </c>
      <c r="C686" s="6">
        <v>33086.63</v>
      </c>
      <c r="D686" s="6">
        <v>33086.63</v>
      </c>
      <c r="E686" s="6">
        <f>D686-C686</f>
        <v>0</v>
      </c>
      <c r="F686" s="5">
        <f>IF(C686=0,"",E686/C686)</f>
        <v>0</v>
      </c>
    </row>
    <row r="687" spans="1:6">
      <c r="A687" t="s">
        <v>6</v>
      </c>
      <c r="B687" t="s">
        <v>558</v>
      </c>
      <c r="C687" s="6">
        <v>47545.51</v>
      </c>
      <c r="D687" s="6">
        <v>47570.26</v>
      </c>
      <c r="E687" s="6">
        <f>D687-C687</f>
        <v>0</v>
      </c>
      <c r="F687" s="5">
        <f>IF(C687=0,"",E687/C687)</f>
        <v>0</v>
      </c>
    </row>
    <row r="688" spans="1:6">
      <c r="A688" t="s">
        <v>6</v>
      </c>
      <c r="B688" t="s">
        <v>563</v>
      </c>
      <c r="C688" s="6">
        <v>47136.41</v>
      </c>
      <c r="D688" s="6">
        <v>47159.66</v>
      </c>
      <c r="E688" s="6">
        <f>D688-C688</f>
        <v>0</v>
      </c>
      <c r="F688" s="5">
        <f>IF(C688=0,"",E688/C688)</f>
        <v>0</v>
      </c>
    </row>
    <row r="689" spans="1:6">
      <c r="A689" t="s">
        <v>6</v>
      </c>
      <c r="B689" t="s">
        <v>571</v>
      </c>
      <c r="C689" s="6">
        <v>61591.78</v>
      </c>
      <c r="D689" s="6">
        <v>61591.78</v>
      </c>
      <c r="E689" s="6">
        <f>D689-C689</f>
        <v>0</v>
      </c>
      <c r="F689" s="5">
        <f>IF(C689=0,"",E689/C689)</f>
        <v>0</v>
      </c>
    </row>
    <row r="690" spans="1:6">
      <c r="A690" t="s">
        <v>6</v>
      </c>
      <c r="B690" t="s">
        <v>574</v>
      </c>
      <c r="C690" s="6">
        <v>42738.42</v>
      </c>
      <c r="D690" s="6">
        <v>42763.92</v>
      </c>
      <c r="E690" s="6">
        <f>D690-C690</f>
        <v>0</v>
      </c>
      <c r="F690" s="5">
        <f>IF(C690=0,"",E690/C690)</f>
        <v>0</v>
      </c>
    </row>
    <row r="691" spans="1:6">
      <c r="A691" t="s">
        <v>6</v>
      </c>
      <c r="B691" t="s">
        <v>585</v>
      </c>
      <c r="C691" s="6">
        <v>50434.08</v>
      </c>
      <c r="D691" s="6">
        <v>50896.58</v>
      </c>
      <c r="E691" s="6">
        <f>D691-C691</f>
        <v>0</v>
      </c>
      <c r="F691" s="5">
        <f>IF(C691=0,"",E691/C691)</f>
        <v>0</v>
      </c>
    </row>
    <row r="692" spans="1:6">
      <c r="A692" t="s">
        <v>6</v>
      </c>
      <c r="B692" t="s">
        <v>594</v>
      </c>
      <c r="C692" s="6">
        <v>48399.45</v>
      </c>
      <c r="D692" s="6">
        <v>48418.95</v>
      </c>
      <c r="E692" s="6">
        <f>D692-C692</f>
        <v>0</v>
      </c>
      <c r="F692" s="5">
        <f>IF(C692=0,"",E692/C692)</f>
        <v>0</v>
      </c>
    </row>
    <row r="693" spans="1:6">
      <c r="A693" t="s">
        <v>6</v>
      </c>
      <c r="B693" t="s">
        <v>607</v>
      </c>
      <c r="C693" s="6">
        <v>64909.24</v>
      </c>
      <c r="D693" s="6">
        <v>64909.24</v>
      </c>
      <c r="E693" s="6">
        <f>D693-C693</f>
        <v>0</v>
      </c>
      <c r="F693" s="5">
        <f>IF(C693=0,"",E693/C693)</f>
        <v>0</v>
      </c>
    </row>
    <row r="694" spans="1:6">
      <c r="A694" t="s">
        <v>6</v>
      </c>
      <c r="B694" t="s">
        <v>615</v>
      </c>
      <c r="C694" s="6">
        <v>43080.09</v>
      </c>
      <c r="D694" s="6">
        <v>43087.26</v>
      </c>
      <c r="E694" s="6">
        <f>D694-C694</f>
        <v>0</v>
      </c>
      <c r="F694" s="5">
        <f>IF(C694=0,"",E694/C694)</f>
        <v>0</v>
      </c>
    </row>
    <row r="695" spans="1:6">
      <c r="A695" t="s">
        <v>6</v>
      </c>
      <c r="B695" t="s">
        <v>624</v>
      </c>
      <c r="C695" s="6">
        <v>44340.14</v>
      </c>
      <c r="D695" s="6">
        <v>44350.49</v>
      </c>
      <c r="E695" s="6">
        <f>D695-C695</f>
        <v>0</v>
      </c>
      <c r="F695" s="5">
        <f>IF(C695=0,"",E695/C695)</f>
        <v>0</v>
      </c>
    </row>
    <row r="696" spans="1:6">
      <c r="A696" t="s">
        <v>6</v>
      </c>
      <c r="B696" t="s">
        <v>635</v>
      </c>
      <c r="C696" s="6">
        <v>48477.5</v>
      </c>
      <c r="D696" s="6">
        <v>48491.3</v>
      </c>
      <c r="E696" s="6">
        <f>D696-C696</f>
        <v>0</v>
      </c>
      <c r="F696" s="5">
        <f>IF(C696=0,"",E696/C696)</f>
        <v>0</v>
      </c>
    </row>
    <row r="697" spans="1:6">
      <c r="A697" t="s">
        <v>6</v>
      </c>
      <c r="B697" t="s">
        <v>645</v>
      </c>
      <c r="C697" s="6">
        <v>49642.42</v>
      </c>
      <c r="D697" s="6">
        <v>49658.92</v>
      </c>
      <c r="E697" s="6">
        <f>D697-C697</f>
        <v>0</v>
      </c>
      <c r="F697" s="5">
        <f>IF(C697=0,"",E697/C697)</f>
        <v>0</v>
      </c>
    </row>
    <row r="698" spans="1:6">
      <c r="A698" t="s">
        <v>6</v>
      </c>
      <c r="B698" t="s">
        <v>650</v>
      </c>
      <c r="C698" s="6">
        <v>47254.72</v>
      </c>
      <c r="D698" s="6">
        <v>47275.77</v>
      </c>
      <c r="E698" s="6">
        <f>D698-C698</f>
        <v>0</v>
      </c>
      <c r="F698" s="5">
        <f>IF(C698=0,"",E698/C698)</f>
        <v>0</v>
      </c>
    </row>
    <row r="699" spans="1:6">
      <c r="A699" t="s">
        <v>6</v>
      </c>
      <c r="B699" t="s">
        <v>658</v>
      </c>
      <c r="C699" s="6">
        <v>53020.04</v>
      </c>
      <c r="D699" s="6">
        <v>53020.04</v>
      </c>
      <c r="E699" s="6">
        <f>D699-C699</f>
        <v>0</v>
      </c>
      <c r="F699" s="5">
        <f>IF(C699=0,"",E699/C699)</f>
        <v>0</v>
      </c>
    </row>
    <row r="700" spans="1:6">
      <c r="A700" t="s">
        <v>6</v>
      </c>
      <c r="B700" t="s">
        <v>673</v>
      </c>
      <c r="C700" s="6">
        <v>49268.41</v>
      </c>
      <c r="D700" s="6">
        <v>49268.46</v>
      </c>
      <c r="E700" s="6">
        <f>D700-C700</f>
        <v>0</v>
      </c>
      <c r="F700" s="5">
        <f>IF(C700=0,"",E700/C700)</f>
        <v>0</v>
      </c>
    </row>
    <row r="701" spans="1:6">
      <c r="A701" t="s">
        <v>6</v>
      </c>
      <c r="B701" t="s">
        <v>681</v>
      </c>
      <c r="C701" s="6">
        <v>56200.7</v>
      </c>
      <c r="D701" s="6">
        <v>56211.2</v>
      </c>
      <c r="E701" s="6">
        <f>D701-C701</f>
        <v>0</v>
      </c>
      <c r="F701" s="5">
        <f>IF(C701=0,"",E701/C701)</f>
        <v>0</v>
      </c>
    </row>
    <row r="702" spans="1:6">
      <c r="A702" t="s">
        <v>6</v>
      </c>
      <c r="B702" t="s">
        <v>689</v>
      </c>
      <c r="C702" s="6">
        <v>50672.07</v>
      </c>
      <c r="D702" s="6">
        <v>50673.57</v>
      </c>
      <c r="E702" s="6">
        <f>D702-C702</f>
        <v>0</v>
      </c>
      <c r="F702" s="5">
        <f>IF(C702=0,"",E702/C702)</f>
        <v>0</v>
      </c>
    </row>
    <row r="703" spans="1:6">
      <c r="A703" t="s">
        <v>6</v>
      </c>
      <c r="B703" t="s">
        <v>701</v>
      </c>
      <c r="C703" s="6">
        <v>50673.07</v>
      </c>
      <c r="D703" s="6">
        <v>50673.07</v>
      </c>
      <c r="E703" s="6">
        <f>D703-C703</f>
        <v>0</v>
      </c>
      <c r="F703" s="5">
        <f>IF(C703=0,"",E703/C703)</f>
        <v>0</v>
      </c>
    </row>
    <row r="704" spans="1:6">
      <c r="A704" t="s">
        <v>6</v>
      </c>
      <c r="B704" t="s">
        <v>708</v>
      </c>
      <c r="C704" s="6">
        <v>39757.79</v>
      </c>
      <c r="D704" s="6">
        <v>39757.84</v>
      </c>
      <c r="E704" s="6">
        <f>D704-C704</f>
        <v>0</v>
      </c>
      <c r="F704" s="5">
        <f>IF(C704=0,"",E704/C704)</f>
        <v>0</v>
      </c>
    </row>
    <row r="705" spans="1:6">
      <c r="A705" t="s">
        <v>6</v>
      </c>
      <c r="B705" t="s">
        <v>719</v>
      </c>
      <c r="C705" s="6">
        <v>52207.58</v>
      </c>
      <c r="D705" s="6">
        <v>52207.58</v>
      </c>
      <c r="E705" s="6">
        <f>D705-C705</f>
        <v>0</v>
      </c>
      <c r="F705" s="5">
        <f>IF(C705=0,"",E705/C705)</f>
        <v>0</v>
      </c>
    </row>
    <row r="706" spans="1:6">
      <c r="A706" t="s">
        <v>6</v>
      </c>
      <c r="B706" t="s">
        <v>727</v>
      </c>
      <c r="C706" s="6">
        <v>52948.09</v>
      </c>
      <c r="D706" s="6">
        <v>52958.59</v>
      </c>
      <c r="E706" s="6">
        <f>D706-C706</f>
        <v>0</v>
      </c>
      <c r="F706" s="5">
        <f>IF(C706=0,"",E706/C706)</f>
        <v>0</v>
      </c>
    </row>
    <row r="707" spans="1:6">
      <c r="A707" t="s">
        <v>6</v>
      </c>
      <c r="B707" t="s">
        <v>734</v>
      </c>
      <c r="C707" s="6">
        <v>43389.28</v>
      </c>
      <c r="D707" s="6">
        <v>43397.08</v>
      </c>
      <c r="E707" s="6">
        <f>D707-C707</f>
        <v>0</v>
      </c>
      <c r="F707" s="5">
        <f>IF(C707=0,"",E707/C707)</f>
        <v>0</v>
      </c>
    </row>
    <row r="708" spans="1:6">
      <c r="A708" t="s">
        <v>6</v>
      </c>
      <c r="B708" t="s">
        <v>746</v>
      </c>
      <c r="C708" s="6">
        <v>45049.33</v>
      </c>
      <c r="D708" s="6">
        <v>45053.83</v>
      </c>
      <c r="E708" s="6">
        <f>D708-C708</f>
        <v>0</v>
      </c>
      <c r="F708" s="5">
        <f>IF(C708=0,"",E708/C708)</f>
        <v>0</v>
      </c>
    </row>
    <row r="709" spans="1:6">
      <c r="A709" t="s">
        <v>6</v>
      </c>
      <c r="B709" t="s">
        <v>755</v>
      </c>
      <c r="C709" s="6">
        <v>50932.57</v>
      </c>
      <c r="D709" s="6">
        <v>50935.07</v>
      </c>
      <c r="E709" s="6">
        <f>D709-C709</f>
        <v>0</v>
      </c>
      <c r="F709" s="5">
        <f>IF(C709=0,"",E709/C709)</f>
        <v>0</v>
      </c>
    </row>
    <row r="710" spans="1:6">
      <c r="A710" t="s">
        <v>6</v>
      </c>
      <c r="B710" t="s">
        <v>765</v>
      </c>
      <c r="C710" s="6">
        <v>56017.47</v>
      </c>
      <c r="D710" s="6">
        <v>56022.47</v>
      </c>
      <c r="E710" s="6">
        <f>D710-C710</f>
        <v>0</v>
      </c>
      <c r="F710" s="5">
        <f>IF(C710=0,"",E710/C710)</f>
        <v>0</v>
      </c>
    </row>
    <row r="711" spans="1:6">
      <c r="A711" t="s">
        <v>6</v>
      </c>
      <c r="B711" t="s">
        <v>775</v>
      </c>
      <c r="C711" s="6">
        <v>47075.35</v>
      </c>
      <c r="D711" s="6">
        <v>47091.1</v>
      </c>
      <c r="E711" s="6">
        <f>D711-C711</f>
        <v>0</v>
      </c>
      <c r="F711" s="5">
        <f>IF(C711=0,"",E711/C711)</f>
        <v>0</v>
      </c>
    </row>
    <row r="712" spans="1:6">
      <c r="A712" t="s">
        <v>6</v>
      </c>
      <c r="B712" t="s">
        <v>779</v>
      </c>
      <c r="C712" s="6">
        <v>43663.28</v>
      </c>
      <c r="D712" s="6">
        <v>43663.28</v>
      </c>
      <c r="E712" s="6">
        <f>D712-C712</f>
        <v>0</v>
      </c>
      <c r="F712" s="5">
        <f>IF(C712=0,"",E712/C712)</f>
        <v>0</v>
      </c>
    </row>
    <row r="713" spans="1:6">
      <c r="A713" t="s">
        <v>6</v>
      </c>
      <c r="B713" t="s">
        <v>788</v>
      </c>
      <c r="C713" s="6">
        <v>46227.72</v>
      </c>
      <c r="D713" s="6">
        <v>46227.72</v>
      </c>
      <c r="E713" s="6">
        <f>D713-C713</f>
        <v>0</v>
      </c>
      <c r="F713" s="5">
        <f>IF(C713=0,"",E713/C713)</f>
        <v>0</v>
      </c>
    </row>
    <row r="714" spans="1:6">
      <c r="A714" t="s">
        <v>6</v>
      </c>
      <c r="B714" t="s">
        <v>799</v>
      </c>
      <c r="C714" s="6">
        <v>43097.64</v>
      </c>
      <c r="D714" s="6">
        <v>43098.04</v>
      </c>
      <c r="E714" s="6">
        <f>D714-C714</f>
        <v>0</v>
      </c>
      <c r="F714" s="5">
        <f>IF(C714=0,"",E714/C714)</f>
        <v>0</v>
      </c>
    </row>
    <row r="715" spans="1:6">
      <c r="A715" t="s">
        <v>6</v>
      </c>
      <c r="B715" t="s">
        <v>805</v>
      </c>
      <c r="C715" s="6">
        <v>54781.25</v>
      </c>
      <c r="D715" s="6">
        <v>54782</v>
      </c>
      <c r="E715" s="6">
        <f>D715-C715</f>
        <v>0</v>
      </c>
      <c r="F715" s="5">
        <f>IF(C715=0,"",E715/C715)</f>
        <v>0</v>
      </c>
    </row>
    <row r="716" spans="1:6">
      <c r="A716" t="s">
        <v>6</v>
      </c>
      <c r="B716" t="s">
        <v>814</v>
      </c>
      <c r="C716" s="6">
        <v>41850.17</v>
      </c>
      <c r="D716" s="6">
        <v>41862.82</v>
      </c>
      <c r="E716" s="6">
        <f>D716-C716</f>
        <v>0</v>
      </c>
      <c r="F716" s="5">
        <f>IF(C716=0,"",E716/C716)</f>
        <v>0</v>
      </c>
    </row>
    <row r="717" spans="1:6">
      <c r="A717" t="s">
        <v>6</v>
      </c>
      <c r="B717" t="s">
        <v>829</v>
      </c>
      <c r="C717" s="6">
        <v>49802.03</v>
      </c>
      <c r="D717" s="6">
        <v>49822.28</v>
      </c>
      <c r="E717" s="6">
        <f>D717-C717</f>
        <v>0</v>
      </c>
      <c r="F717" s="5">
        <f>IF(C717=0,"",E717/C717)</f>
        <v>0</v>
      </c>
    </row>
    <row r="718" spans="1:6">
      <c r="A718" t="s">
        <v>6</v>
      </c>
      <c r="B718" t="s">
        <v>836</v>
      </c>
      <c r="C718" s="6">
        <v>50389.01</v>
      </c>
      <c r="D718" s="6">
        <v>50428.01</v>
      </c>
      <c r="E718" s="6">
        <f>D718-C718</f>
        <v>0</v>
      </c>
      <c r="F718" s="5">
        <f>IF(C718=0,"",E718/C718)</f>
        <v>0</v>
      </c>
    </row>
    <row r="719" spans="1:6">
      <c r="A719" t="s">
        <v>6</v>
      </c>
      <c r="B719" t="s">
        <v>846</v>
      </c>
      <c r="C719" s="6">
        <v>56674.25</v>
      </c>
      <c r="D719" s="6">
        <v>56697.55</v>
      </c>
      <c r="E719" s="6">
        <f>D719-C719</f>
        <v>0</v>
      </c>
      <c r="F719" s="5">
        <f>IF(C719=0,"",E719/C719)</f>
        <v>0</v>
      </c>
    </row>
    <row r="720" spans="1:6">
      <c r="A720" t="s">
        <v>6</v>
      </c>
      <c r="B720" t="s">
        <v>851</v>
      </c>
      <c r="C720" s="6">
        <v>52008.18</v>
      </c>
      <c r="D720" s="6">
        <v>52011.93</v>
      </c>
      <c r="E720" s="6">
        <f>D720-C720</f>
        <v>0</v>
      </c>
      <c r="F720" s="5">
        <f>IF(C720=0,"",E720/C720)</f>
        <v>0</v>
      </c>
    </row>
    <row r="721" spans="1:6">
      <c r="A721" t="s">
        <v>6</v>
      </c>
      <c r="B721" t="s">
        <v>858</v>
      </c>
      <c r="C721" s="6">
        <v>42570.22</v>
      </c>
      <c r="D721" s="6">
        <v>42579.27</v>
      </c>
      <c r="E721" s="6">
        <f>D721-C721</f>
        <v>0</v>
      </c>
      <c r="F721" s="5">
        <f>IF(C721=0,"",E721/C721)</f>
        <v>0</v>
      </c>
    </row>
    <row r="722" spans="1:6">
      <c r="A722" t="s">
        <v>6</v>
      </c>
      <c r="B722" t="s">
        <v>868</v>
      </c>
      <c r="C722" s="6">
        <v>52787.75</v>
      </c>
      <c r="D722" s="6">
        <v>52787.75</v>
      </c>
      <c r="E722" s="6">
        <f>D722-C722</f>
        <v>0</v>
      </c>
      <c r="F722" s="5">
        <f>IF(C722=0,"",E722/C722)</f>
        <v>0</v>
      </c>
    </row>
    <row r="723" spans="1:6">
      <c r="A723" t="s">
        <v>6</v>
      </c>
      <c r="B723" t="s">
        <v>876</v>
      </c>
      <c r="C723" s="6">
        <v>57466.98</v>
      </c>
      <c r="D723" s="6">
        <v>57467.73</v>
      </c>
      <c r="E723" s="6">
        <f>D723-C723</f>
        <v>0</v>
      </c>
      <c r="F723" s="5">
        <f>IF(C723=0,"",E723/C723)</f>
        <v>0</v>
      </c>
    </row>
    <row r="724" spans="1:6">
      <c r="A724" t="s">
        <v>6</v>
      </c>
      <c r="B724" t="s">
        <v>880</v>
      </c>
      <c r="C724" s="6">
        <v>53356.74</v>
      </c>
      <c r="D724" s="6">
        <v>53367.24</v>
      </c>
      <c r="E724" s="6">
        <f>D724-C724</f>
        <v>0</v>
      </c>
      <c r="F724" s="5">
        <f>IF(C724=0,"",E724/C724)</f>
        <v>0</v>
      </c>
    </row>
    <row r="725" spans="1:6">
      <c r="A725" t="s">
        <v>6</v>
      </c>
      <c r="B725" t="s">
        <v>891</v>
      </c>
      <c r="C725" s="6">
        <v>50733.32</v>
      </c>
      <c r="D725" s="6">
        <v>50733.32</v>
      </c>
      <c r="E725" s="6">
        <f>D725-C725</f>
        <v>0</v>
      </c>
      <c r="F725" s="5">
        <f>IF(C725=0,"",E725/C725)</f>
        <v>0</v>
      </c>
    </row>
    <row r="726" spans="1:6">
      <c r="A726" t="s">
        <v>6</v>
      </c>
      <c r="B726" t="s">
        <v>903</v>
      </c>
      <c r="C726" s="6">
        <v>48202.13</v>
      </c>
      <c r="D726" s="6">
        <v>48202.18</v>
      </c>
      <c r="E726" s="6">
        <f>D726-C726</f>
        <v>0</v>
      </c>
      <c r="F726" s="5">
        <f>IF(C726=0,"",E726/C726)</f>
        <v>0</v>
      </c>
    </row>
    <row r="727" spans="1:6">
      <c r="A727" t="s">
        <v>6</v>
      </c>
      <c r="B727" t="s">
        <v>915</v>
      </c>
      <c r="C727" s="6">
        <v>49027.04</v>
      </c>
      <c r="D727" s="6">
        <v>49027.04</v>
      </c>
      <c r="E727" s="6">
        <f>D727-C727</f>
        <v>0</v>
      </c>
      <c r="F727" s="5">
        <f>IF(C727=0,"",E727/C727)</f>
        <v>0</v>
      </c>
    </row>
    <row r="728" spans="1:6">
      <c r="A728" t="s">
        <v>6</v>
      </c>
      <c r="B728" t="s">
        <v>922</v>
      </c>
      <c r="C728" s="6">
        <v>69309.56</v>
      </c>
      <c r="D728" s="6">
        <v>69329.33</v>
      </c>
      <c r="E728" s="6">
        <f>D728-C728</f>
        <v>0</v>
      </c>
      <c r="F728" s="5">
        <f>IF(C728=0,"",E728/C728)</f>
        <v>0</v>
      </c>
    </row>
    <row r="729" spans="1:6">
      <c r="A729" t="s">
        <v>6</v>
      </c>
      <c r="B729" t="s">
        <v>934</v>
      </c>
      <c r="C729" s="6">
        <v>53808.62</v>
      </c>
      <c r="D729" s="6">
        <v>53835.67</v>
      </c>
      <c r="E729" s="6">
        <f>D729-C729</f>
        <v>0</v>
      </c>
      <c r="F729" s="5">
        <f>IF(C729=0,"",E729/C729)</f>
        <v>0</v>
      </c>
    </row>
    <row r="730" spans="1:6">
      <c r="A730" t="s">
        <v>6</v>
      </c>
      <c r="B730" t="s">
        <v>944</v>
      </c>
      <c r="C730" s="6">
        <v>57140.91</v>
      </c>
      <c r="D730" s="6">
        <v>57140.96</v>
      </c>
      <c r="E730" s="6">
        <f>D730-C730</f>
        <v>0</v>
      </c>
      <c r="F730" s="5">
        <f>IF(C730=0,"",E730/C730)</f>
        <v>0</v>
      </c>
    </row>
    <row r="731" spans="1:6">
      <c r="A731" t="s">
        <v>6</v>
      </c>
      <c r="B731" t="s">
        <v>952</v>
      </c>
      <c r="C731" s="6">
        <v>46029.16</v>
      </c>
      <c r="D731" s="6">
        <v>46029.16</v>
      </c>
      <c r="E731" s="6">
        <f>D731-C731</f>
        <v>0</v>
      </c>
      <c r="F731" s="5">
        <f>IF(C731=0,"",E731/C731)</f>
        <v>0</v>
      </c>
    </row>
    <row r="732" spans="1:6">
      <c r="A732" t="s">
        <v>6</v>
      </c>
      <c r="B732" t="s">
        <v>961</v>
      </c>
      <c r="C732" s="6">
        <v>57111.74</v>
      </c>
      <c r="D732" s="6">
        <v>57150.64</v>
      </c>
      <c r="E732" s="6">
        <f>D732-C732</f>
        <v>0</v>
      </c>
      <c r="F732" s="5">
        <f>IF(C732=0,"",E732/C732)</f>
        <v>0</v>
      </c>
    </row>
    <row r="733" spans="1:6">
      <c r="A733" t="s">
        <v>6</v>
      </c>
      <c r="B733" t="s">
        <v>966</v>
      </c>
      <c r="C733" s="6">
        <v>57008.71</v>
      </c>
      <c r="D733" s="6">
        <v>57020.96</v>
      </c>
      <c r="E733" s="6">
        <f>D733-C733</f>
        <v>0</v>
      </c>
      <c r="F733" s="5">
        <f>IF(C733=0,"",E733/C733)</f>
        <v>0</v>
      </c>
    </row>
    <row r="734" spans="1:6">
      <c r="A734" t="s">
        <v>6</v>
      </c>
      <c r="B734" t="s">
        <v>980</v>
      </c>
      <c r="C734" s="6">
        <v>52473.89</v>
      </c>
      <c r="D734" s="6">
        <v>52494.89</v>
      </c>
      <c r="E734" s="6">
        <f>D734-C734</f>
        <v>0</v>
      </c>
      <c r="F734" s="5">
        <f>IF(C734=0,"",E734/C734)</f>
        <v>0</v>
      </c>
    </row>
    <row r="735" spans="1:6">
      <c r="A735" t="s">
        <v>6</v>
      </c>
      <c r="B735" t="s">
        <v>992</v>
      </c>
      <c r="C735" s="6">
        <v>48919.81</v>
      </c>
      <c r="D735" s="6">
        <v>48926.81</v>
      </c>
      <c r="E735" s="6">
        <f>D735-C735</f>
        <v>0</v>
      </c>
      <c r="F735" s="5">
        <f>IF(C735=0,"",E735/C735)</f>
        <v>0</v>
      </c>
    </row>
    <row r="736" spans="1:6">
      <c r="A736" t="s">
        <v>6</v>
      </c>
      <c r="B736" t="s">
        <v>1002</v>
      </c>
      <c r="C736" s="6">
        <v>14875.38</v>
      </c>
      <c r="D736" s="6">
        <v>14897.88</v>
      </c>
      <c r="E736" s="6">
        <f>D736-C736</f>
        <v>0</v>
      </c>
      <c r="F736" s="5">
        <f>IF(C736=0,"",E736/C736)</f>
        <v>0</v>
      </c>
    </row>
    <row r="737" spans="1:6">
      <c r="A737" t="s">
        <v>7</v>
      </c>
      <c r="B737" t="s">
        <v>30</v>
      </c>
      <c r="C737" s="6">
        <v>40992.87</v>
      </c>
      <c r="D737" s="6">
        <v>41000.52</v>
      </c>
      <c r="E737" s="6">
        <f>D737-C737</f>
        <v>0</v>
      </c>
      <c r="F737" s="5">
        <f>IF(C737=0,"",E737/C737)</f>
        <v>0</v>
      </c>
    </row>
    <row r="738" spans="1:6">
      <c r="A738" t="s">
        <v>7</v>
      </c>
      <c r="B738" t="s">
        <v>47</v>
      </c>
      <c r="C738" s="6">
        <v>48160.46</v>
      </c>
      <c r="D738" s="6">
        <v>48168.11</v>
      </c>
      <c r="E738" s="6">
        <f>D738-C738</f>
        <v>0</v>
      </c>
      <c r="F738" s="5">
        <f>IF(C738=0,"",E738/C738)</f>
        <v>0</v>
      </c>
    </row>
    <row r="739" spans="1:6">
      <c r="A739" t="s">
        <v>7</v>
      </c>
      <c r="B739" t="s">
        <v>62</v>
      </c>
      <c r="C739" s="6">
        <v>50138.87</v>
      </c>
      <c r="D739" s="6">
        <v>50170.62</v>
      </c>
      <c r="E739" s="6">
        <f>D739-C739</f>
        <v>0</v>
      </c>
      <c r="F739" s="5">
        <f>IF(C739=0,"",E739/C739)</f>
        <v>0</v>
      </c>
    </row>
    <row r="740" spans="1:6">
      <c r="A740" t="s">
        <v>7</v>
      </c>
      <c r="B740" t="s">
        <v>71</v>
      </c>
      <c r="C740" s="6">
        <v>42280.7</v>
      </c>
      <c r="D740" s="6">
        <v>42296.1</v>
      </c>
      <c r="E740" s="6">
        <f>D740-C740</f>
        <v>0</v>
      </c>
      <c r="F740" s="5">
        <f>IF(C740=0,"",E740/C740)</f>
        <v>0</v>
      </c>
    </row>
    <row r="741" spans="1:6">
      <c r="A741" t="s">
        <v>7</v>
      </c>
      <c r="B741" t="s">
        <v>86</v>
      </c>
      <c r="C741" s="6">
        <v>51804.03</v>
      </c>
      <c r="D741" s="6">
        <v>51813.03</v>
      </c>
      <c r="E741" s="6">
        <f>D741-C741</f>
        <v>0</v>
      </c>
      <c r="F741" s="5">
        <f>IF(C741=0,"",E741/C741)</f>
        <v>0</v>
      </c>
    </row>
    <row r="742" spans="1:6">
      <c r="A742" t="s">
        <v>7</v>
      </c>
      <c r="B742" t="s">
        <v>97</v>
      </c>
      <c r="C742" s="6">
        <v>45945.12</v>
      </c>
      <c r="D742" s="6">
        <v>45966.12</v>
      </c>
      <c r="E742" s="6">
        <f>D742-C742</f>
        <v>0</v>
      </c>
      <c r="F742" s="5">
        <f>IF(C742=0,"",E742/C742)</f>
        <v>0</v>
      </c>
    </row>
    <row r="743" spans="1:6">
      <c r="A743" t="s">
        <v>7</v>
      </c>
      <c r="B743" t="s">
        <v>103</v>
      </c>
      <c r="C743" s="6">
        <v>46595.41</v>
      </c>
      <c r="D743" s="6">
        <v>46604.91</v>
      </c>
      <c r="E743" s="6">
        <f>D743-C743</f>
        <v>0</v>
      </c>
      <c r="F743" s="5">
        <f>IF(C743=0,"",E743/C743)</f>
        <v>0</v>
      </c>
    </row>
    <row r="744" spans="1:6">
      <c r="A744" t="s">
        <v>7</v>
      </c>
      <c r="B744" t="s">
        <v>121</v>
      </c>
      <c r="C744" s="6">
        <v>47547.9</v>
      </c>
      <c r="D744" s="6">
        <v>47555.4</v>
      </c>
      <c r="E744" s="6">
        <f>D744-C744</f>
        <v>0</v>
      </c>
      <c r="F744" s="5">
        <f>IF(C744=0,"",E744/C744)</f>
        <v>0</v>
      </c>
    </row>
    <row r="745" spans="1:6">
      <c r="A745" t="s">
        <v>7</v>
      </c>
      <c r="B745" t="s">
        <v>134</v>
      </c>
      <c r="C745" s="6">
        <v>52263.53</v>
      </c>
      <c r="D745" s="6">
        <v>52264.68</v>
      </c>
      <c r="E745" s="6">
        <f>D745-C745</f>
        <v>0</v>
      </c>
      <c r="F745" s="5">
        <f>IF(C745=0,"",E745/C745)</f>
        <v>0</v>
      </c>
    </row>
    <row r="746" spans="1:6">
      <c r="A746" t="s">
        <v>7</v>
      </c>
      <c r="B746" t="s">
        <v>143</v>
      </c>
      <c r="C746" s="6">
        <v>55608.02</v>
      </c>
      <c r="D746" s="6">
        <v>55618.52</v>
      </c>
      <c r="E746" s="6">
        <f>D746-C746</f>
        <v>0</v>
      </c>
      <c r="F746" s="5">
        <f>IF(C746=0,"",E746/C746)</f>
        <v>0</v>
      </c>
    </row>
    <row r="747" spans="1:6">
      <c r="A747" t="s">
        <v>7</v>
      </c>
      <c r="B747" t="s">
        <v>154</v>
      </c>
      <c r="C747" s="6">
        <v>43914.82</v>
      </c>
      <c r="D747" s="6">
        <v>43914.82</v>
      </c>
      <c r="E747" s="6">
        <f>D747-C747</f>
        <v>0</v>
      </c>
      <c r="F747" s="5">
        <f>IF(C747=0,"",E747/C747)</f>
        <v>0</v>
      </c>
    </row>
    <row r="748" spans="1:6">
      <c r="A748" t="s">
        <v>7</v>
      </c>
      <c r="B748" t="s">
        <v>160</v>
      </c>
      <c r="C748" s="6">
        <v>50504.71</v>
      </c>
      <c r="D748" s="6">
        <v>50525.71</v>
      </c>
      <c r="E748" s="6">
        <f>D748-C748</f>
        <v>0</v>
      </c>
      <c r="F748" s="5">
        <f>IF(C748=0,"",E748/C748)</f>
        <v>0</v>
      </c>
    </row>
    <row r="749" spans="1:6">
      <c r="A749" t="s">
        <v>7</v>
      </c>
      <c r="B749" t="s">
        <v>170</v>
      </c>
      <c r="C749" s="6">
        <v>42784.73</v>
      </c>
      <c r="D749" s="6">
        <v>42802.73</v>
      </c>
      <c r="E749" s="6">
        <f>D749-C749</f>
        <v>0</v>
      </c>
      <c r="F749" s="5">
        <f>IF(C749=0,"",E749/C749)</f>
        <v>0</v>
      </c>
    </row>
    <row r="750" spans="1:6">
      <c r="A750" t="s">
        <v>7</v>
      </c>
      <c r="B750" t="s">
        <v>180</v>
      </c>
      <c r="C750" s="6">
        <v>60722.03</v>
      </c>
      <c r="D750" s="6">
        <v>60722.78</v>
      </c>
      <c r="E750" s="6">
        <f>D750-C750</f>
        <v>0</v>
      </c>
      <c r="F750" s="5">
        <f>IF(C750=0,"",E750/C750)</f>
        <v>0</v>
      </c>
    </row>
    <row r="751" spans="1:6">
      <c r="A751" t="s">
        <v>7</v>
      </c>
      <c r="B751" t="s">
        <v>193</v>
      </c>
      <c r="C751" s="6">
        <v>40340.23</v>
      </c>
      <c r="D751" s="6">
        <v>40340.23</v>
      </c>
      <c r="E751" s="6">
        <f>D751-C751</f>
        <v>0</v>
      </c>
      <c r="F751" s="5">
        <f>IF(C751=0,"",E751/C751)</f>
        <v>0</v>
      </c>
    </row>
    <row r="752" spans="1:6">
      <c r="A752" t="s">
        <v>7</v>
      </c>
      <c r="B752" t="s">
        <v>205</v>
      </c>
      <c r="C752" s="6">
        <v>45857.45</v>
      </c>
      <c r="D752" s="6">
        <v>45859.7</v>
      </c>
      <c r="E752" s="6">
        <f>D752-C752</f>
        <v>0</v>
      </c>
      <c r="F752" s="5">
        <f>IF(C752=0,"",E752/C752)</f>
        <v>0</v>
      </c>
    </row>
    <row r="753" spans="1:6">
      <c r="A753" t="s">
        <v>7</v>
      </c>
      <c r="B753" t="s">
        <v>216</v>
      </c>
      <c r="C753" s="6">
        <v>44851.84</v>
      </c>
      <c r="D753" s="6">
        <v>44861.14</v>
      </c>
      <c r="E753" s="6">
        <f>D753-C753</f>
        <v>0</v>
      </c>
      <c r="F753" s="5">
        <f>IF(C753=0,"",E753/C753)</f>
        <v>0</v>
      </c>
    </row>
    <row r="754" spans="1:6">
      <c r="A754" t="s">
        <v>7</v>
      </c>
      <c r="B754" t="s">
        <v>226</v>
      </c>
      <c r="C754" s="6">
        <v>63053.05</v>
      </c>
      <c r="D754" s="6">
        <v>63068.1</v>
      </c>
      <c r="E754" s="6">
        <f>D754-C754</f>
        <v>0</v>
      </c>
      <c r="F754" s="5">
        <f>IF(C754=0,"",E754/C754)</f>
        <v>0</v>
      </c>
    </row>
    <row r="755" spans="1:6">
      <c r="A755" t="s">
        <v>7</v>
      </c>
      <c r="B755" t="s">
        <v>231</v>
      </c>
      <c r="C755" s="6">
        <v>49196.46</v>
      </c>
      <c r="D755" s="6">
        <v>49208.46</v>
      </c>
      <c r="E755" s="6">
        <f>D755-C755</f>
        <v>0</v>
      </c>
      <c r="F755" s="5">
        <f>IF(C755=0,"",E755/C755)</f>
        <v>0</v>
      </c>
    </row>
    <row r="756" spans="1:6">
      <c r="A756" t="s">
        <v>7</v>
      </c>
      <c r="B756" t="s">
        <v>238</v>
      </c>
      <c r="C756" s="6">
        <v>50226</v>
      </c>
      <c r="D756" s="6">
        <v>50274</v>
      </c>
      <c r="E756" s="6">
        <f>D756-C756</f>
        <v>0</v>
      </c>
      <c r="F756" s="5">
        <f>IF(C756=0,"",E756/C756)</f>
        <v>0</v>
      </c>
    </row>
    <row r="757" spans="1:6">
      <c r="A757" t="s">
        <v>7</v>
      </c>
      <c r="B757" t="s">
        <v>251</v>
      </c>
      <c r="C757" s="6">
        <v>57878.68</v>
      </c>
      <c r="D757" s="6">
        <v>57929.38</v>
      </c>
      <c r="E757" s="6">
        <f>D757-C757</f>
        <v>0</v>
      </c>
      <c r="F757" s="5">
        <f>IF(C757=0,"",E757/C757)</f>
        <v>0</v>
      </c>
    </row>
    <row r="758" spans="1:6">
      <c r="A758" t="s">
        <v>7</v>
      </c>
      <c r="B758" t="s">
        <v>254</v>
      </c>
      <c r="C758" s="6">
        <v>53076.13</v>
      </c>
      <c r="D758" s="6">
        <v>53078.75</v>
      </c>
      <c r="E758" s="6">
        <f>D758-C758</f>
        <v>0</v>
      </c>
      <c r="F758" s="5">
        <f>IF(C758=0,"",E758/C758)</f>
        <v>0</v>
      </c>
    </row>
    <row r="759" spans="1:6">
      <c r="A759" t="s">
        <v>7</v>
      </c>
      <c r="B759" t="s">
        <v>264</v>
      </c>
      <c r="C759" s="6">
        <v>54521.94</v>
      </c>
      <c r="D759" s="6">
        <v>54722.99</v>
      </c>
      <c r="E759" s="6">
        <f>D759-C759</f>
        <v>0</v>
      </c>
      <c r="F759" s="5">
        <f>IF(C759=0,"",E759/C759)</f>
        <v>0</v>
      </c>
    </row>
    <row r="760" spans="1:6">
      <c r="A760" t="s">
        <v>7</v>
      </c>
      <c r="B760" t="s">
        <v>273</v>
      </c>
      <c r="C760" s="6">
        <v>52741.3</v>
      </c>
      <c r="D760" s="6">
        <v>52755.8</v>
      </c>
      <c r="E760" s="6">
        <f>D760-C760</f>
        <v>0</v>
      </c>
      <c r="F760" s="5">
        <f>IF(C760=0,"",E760/C760)</f>
        <v>0</v>
      </c>
    </row>
    <row r="761" spans="1:6">
      <c r="A761" t="s">
        <v>7</v>
      </c>
      <c r="B761" t="s">
        <v>284</v>
      </c>
      <c r="C761" s="6">
        <v>52347.7</v>
      </c>
      <c r="D761" s="6">
        <v>52364.7</v>
      </c>
      <c r="E761" s="6">
        <f>D761-C761</f>
        <v>0</v>
      </c>
      <c r="F761" s="5">
        <f>IF(C761=0,"",E761/C761)</f>
        <v>0</v>
      </c>
    </row>
    <row r="762" spans="1:6">
      <c r="A762" t="s">
        <v>7</v>
      </c>
      <c r="B762" t="s">
        <v>289</v>
      </c>
      <c r="C762" s="6">
        <v>56887.82</v>
      </c>
      <c r="D762" s="6">
        <v>56904.32</v>
      </c>
      <c r="E762" s="6">
        <f>D762-C762</f>
        <v>0</v>
      </c>
      <c r="F762" s="5">
        <f>IF(C762=0,"",E762/C762)</f>
        <v>0</v>
      </c>
    </row>
    <row r="763" spans="1:6">
      <c r="A763" t="s">
        <v>7</v>
      </c>
      <c r="B763" t="s">
        <v>299</v>
      </c>
      <c r="C763" s="6">
        <v>49971.68</v>
      </c>
      <c r="D763" s="6">
        <v>49974.43</v>
      </c>
      <c r="E763" s="6">
        <f>D763-C763</f>
        <v>0</v>
      </c>
      <c r="F763" s="5">
        <f>IF(C763=0,"",E763/C763)</f>
        <v>0</v>
      </c>
    </row>
    <row r="764" spans="1:6">
      <c r="A764" t="s">
        <v>7</v>
      </c>
      <c r="B764" t="s">
        <v>306</v>
      </c>
      <c r="C764" s="6">
        <v>49051.19</v>
      </c>
      <c r="D764" s="6">
        <v>49072.44</v>
      </c>
      <c r="E764" s="6">
        <f>D764-C764</f>
        <v>0</v>
      </c>
      <c r="F764" s="5">
        <f>IF(C764=0,"",E764/C764)</f>
        <v>0</v>
      </c>
    </row>
    <row r="765" spans="1:6">
      <c r="A765" t="s">
        <v>7</v>
      </c>
      <c r="B765" t="s">
        <v>313</v>
      </c>
      <c r="C765" s="6">
        <v>44304.88</v>
      </c>
      <c r="D765" s="6">
        <v>44378.38</v>
      </c>
      <c r="E765" s="6">
        <f>D765-C765</f>
        <v>0</v>
      </c>
      <c r="F765" s="5">
        <f>IF(C765=0,"",E765/C765)</f>
        <v>0</v>
      </c>
    </row>
    <row r="766" spans="1:6">
      <c r="A766" t="s">
        <v>7</v>
      </c>
      <c r="B766" t="s">
        <v>324</v>
      </c>
      <c r="C766" s="6">
        <v>52646.95</v>
      </c>
      <c r="D766" s="6">
        <v>52646.95</v>
      </c>
      <c r="E766" s="6">
        <f>D766-C766</f>
        <v>0</v>
      </c>
      <c r="F766" s="5">
        <f>IF(C766=0,"",E766/C766)</f>
        <v>0</v>
      </c>
    </row>
    <row r="767" spans="1:6">
      <c r="A767" t="s">
        <v>7</v>
      </c>
      <c r="B767" t="s">
        <v>331</v>
      </c>
      <c r="C767" s="6">
        <v>54271.49</v>
      </c>
      <c r="D767" s="6">
        <v>54282.04</v>
      </c>
      <c r="E767" s="6">
        <f>D767-C767</f>
        <v>0</v>
      </c>
      <c r="F767" s="5">
        <f>IF(C767=0,"",E767/C767)</f>
        <v>0</v>
      </c>
    </row>
    <row r="768" spans="1:6">
      <c r="A768" t="s">
        <v>7</v>
      </c>
      <c r="B768" t="s">
        <v>335</v>
      </c>
      <c r="C768" s="6">
        <v>55212.19</v>
      </c>
      <c r="D768" s="6">
        <v>55269.19</v>
      </c>
      <c r="E768" s="6">
        <f>D768-C768</f>
        <v>0</v>
      </c>
      <c r="F768" s="5">
        <f>IF(C768=0,"",E768/C768)</f>
        <v>0</v>
      </c>
    </row>
    <row r="769" spans="1:6">
      <c r="A769" t="s">
        <v>7</v>
      </c>
      <c r="B769" t="s">
        <v>345</v>
      </c>
      <c r="C769" s="6">
        <v>46577.09</v>
      </c>
      <c r="D769" s="6">
        <v>46608.59</v>
      </c>
      <c r="E769" s="6">
        <f>D769-C769</f>
        <v>0</v>
      </c>
      <c r="F769" s="5">
        <f>IF(C769=0,"",E769/C769)</f>
        <v>0</v>
      </c>
    </row>
    <row r="770" spans="1:6">
      <c r="A770" t="s">
        <v>7</v>
      </c>
      <c r="B770" t="s">
        <v>357</v>
      </c>
      <c r="C770" s="6">
        <v>49106.75</v>
      </c>
      <c r="D770" s="6">
        <v>49117.25</v>
      </c>
      <c r="E770" s="6">
        <f>D770-C770</f>
        <v>0</v>
      </c>
      <c r="F770" s="5">
        <f>IF(C770=0,"",E770/C770)</f>
        <v>0</v>
      </c>
    </row>
    <row r="771" spans="1:6">
      <c r="A771" t="s">
        <v>7</v>
      </c>
      <c r="B771" t="s">
        <v>364</v>
      </c>
      <c r="C771" s="6">
        <v>64223.03</v>
      </c>
      <c r="D771" s="6">
        <v>64236.78</v>
      </c>
      <c r="E771" s="6">
        <f>D771-C771</f>
        <v>0</v>
      </c>
      <c r="F771" s="5">
        <f>IF(C771=0,"",E771/C771)</f>
        <v>0</v>
      </c>
    </row>
    <row r="772" spans="1:6">
      <c r="A772" t="s">
        <v>7</v>
      </c>
      <c r="B772" t="s">
        <v>371</v>
      </c>
      <c r="C772" s="6">
        <v>48549.89</v>
      </c>
      <c r="D772" s="6">
        <v>48588.14</v>
      </c>
      <c r="E772" s="6">
        <f>D772-C772</f>
        <v>0</v>
      </c>
      <c r="F772" s="5">
        <f>IF(C772=0,"",E772/C772)</f>
        <v>0</v>
      </c>
    </row>
    <row r="773" spans="1:6">
      <c r="A773" t="s">
        <v>7</v>
      </c>
      <c r="B773" t="s">
        <v>379</v>
      </c>
      <c r="C773" s="6">
        <v>50291.36</v>
      </c>
      <c r="D773" s="6">
        <v>50294.26</v>
      </c>
      <c r="E773" s="6">
        <f>D773-C773</f>
        <v>0</v>
      </c>
      <c r="F773" s="5">
        <f>IF(C773=0,"",E773/C773)</f>
        <v>0</v>
      </c>
    </row>
    <row r="774" spans="1:6">
      <c r="A774" t="s">
        <v>7</v>
      </c>
      <c r="B774" t="s">
        <v>392</v>
      </c>
      <c r="C774" s="6">
        <v>42222.93</v>
      </c>
      <c r="D774" s="6">
        <v>42229.03</v>
      </c>
      <c r="E774" s="6">
        <f>D774-C774</f>
        <v>0</v>
      </c>
      <c r="F774" s="5">
        <f>IF(C774=0,"",E774/C774)</f>
        <v>0</v>
      </c>
    </row>
    <row r="775" spans="1:6">
      <c r="A775" t="s">
        <v>7</v>
      </c>
      <c r="B775" t="s">
        <v>402</v>
      </c>
      <c r="C775" s="6">
        <v>50744</v>
      </c>
      <c r="D775" s="6">
        <v>50748.5</v>
      </c>
      <c r="E775" s="6">
        <f>D775-C775</f>
        <v>0</v>
      </c>
      <c r="F775" s="5">
        <f>IF(C775=0,"",E775/C775)</f>
        <v>0</v>
      </c>
    </row>
    <row r="776" spans="1:6">
      <c r="A776" t="s">
        <v>7</v>
      </c>
      <c r="B776" t="s">
        <v>410</v>
      </c>
      <c r="C776" s="6">
        <v>54495.37</v>
      </c>
      <c r="D776" s="6">
        <v>54499.87</v>
      </c>
      <c r="E776" s="6">
        <f>D776-C776</f>
        <v>0</v>
      </c>
      <c r="F776" s="5">
        <f>IF(C776=0,"",E776/C776)</f>
        <v>0</v>
      </c>
    </row>
    <row r="777" spans="1:6">
      <c r="A777" t="s">
        <v>7</v>
      </c>
      <c r="B777" t="s">
        <v>416</v>
      </c>
      <c r="C777" s="6">
        <v>60326.87</v>
      </c>
      <c r="D777" s="6">
        <v>60330.92</v>
      </c>
      <c r="E777" s="6">
        <f>D777-C777</f>
        <v>0</v>
      </c>
      <c r="F777" s="5">
        <f>IF(C777=0,"",E777/C777)</f>
        <v>0</v>
      </c>
    </row>
    <row r="778" spans="1:6">
      <c r="A778" t="s">
        <v>7</v>
      </c>
      <c r="B778" t="s">
        <v>428</v>
      </c>
      <c r="C778" s="6">
        <v>42442.99</v>
      </c>
      <c r="D778" s="6">
        <v>42450.49</v>
      </c>
      <c r="E778" s="6">
        <f>D778-C778</f>
        <v>0</v>
      </c>
      <c r="F778" s="5">
        <f>IF(C778=0,"",E778/C778)</f>
        <v>0</v>
      </c>
    </row>
    <row r="779" spans="1:6">
      <c r="A779" t="s">
        <v>7</v>
      </c>
      <c r="B779" t="s">
        <v>436</v>
      </c>
      <c r="C779" s="6">
        <v>46072.85</v>
      </c>
      <c r="D779" s="6">
        <v>46072.9</v>
      </c>
      <c r="E779" s="6">
        <f>D779-C779</f>
        <v>0</v>
      </c>
      <c r="F779" s="5">
        <f>IF(C779=0,"",E779/C779)</f>
        <v>0</v>
      </c>
    </row>
    <row r="780" spans="1:6">
      <c r="A780" t="s">
        <v>7</v>
      </c>
      <c r="B780" t="s">
        <v>447</v>
      </c>
      <c r="C780" s="6">
        <v>58362.43</v>
      </c>
      <c r="D780" s="6">
        <v>58365.68</v>
      </c>
      <c r="E780" s="6">
        <f>D780-C780</f>
        <v>0</v>
      </c>
      <c r="F780" s="5">
        <f>IF(C780=0,"",E780/C780)</f>
        <v>0</v>
      </c>
    </row>
    <row r="781" spans="1:6">
      <c r="A781" t="s">
        <v>7</v>
      </c>
      <c r="B781" t="s">
        <v>1278</v>
      </c>
      <c r="C781" s="6">
        <v>56403.61</v>
      </c>
      <c r="D781" s="6">
        <v>56403.61</v>
      </c>
      <c r="E781" s="6">
        <f>D781-C781</f>
        <v>0</v>
      </c>
      <c r="F781" s="5">
        <f>IF(C781=0,"",E781/C781)</f>
        <v>0</v>
      </c>
    </row>
    <row r="782" spans="1:6">
      <c r="A782" t="s">
        <v>7</v>
      </c>
      <c r="B782" t="s">
        <v>451</v>
      </c>
      <c r="C782" s="6">
        <v>54898.33</v>
      </c>
      <c r="D782" s="6">
        <v>54918.57</v>
      </c>
      <c r="E782" s="6">
        <f>D782-C782</f>
        <v>0</v>
      </c>
      <c r="F782" s="5">
        <f>IF(C782=0,"",E782/C782)</f>
        <v>0</v>
      </c>
    </row>
    <row r="783" spans="1:6">
      <c r="A783" t="s">
        <v>7</v>
      </c>
      <c r="B783" t="s">
        <v>464</v>
      </c>
      <c r="C783" s="6">
        <v>47085.13</v>
      </c>
      <c r="D783" s="6">
        <v>47085.13</v>
      </c>
      <c r="E783" s="6">
        <f>D783-C783</f>
        <v>0</v>
      </c>
      <c r="F783" s="5">
        <f>IF(C783=0,"",E783/C783)</f>
        <v>0</v>
      </c>
    </row>
    <row r="784" spans="1:6">
      <c r="A784" t="s">
        <v>7</v>
      </c>
      <c r="B784" t="s">
        <v>478</v>
      </c>
      <c r="C784" s="6">
        <v>57167.75</v>
      </c>
      <c r="D784" s="6">
        <v>57251.07</v>
      </c>
      <c r="E784" s="6">
        <f>D784-C784</f>
        <v>0</v>
      </c>
      <c r="F784" s="5">
        <f>IF(C784=0,"",E784/C784)</f>
        <v>0</v>
      </c>
    </row>
    <row r="785" spans="1:6">
      <c r="A785" t="s">
        <v>7</v>
      </c>
      <c r="B785" t="s">
        <v>492</v>
      </c>
      <c r="C785" s="6">
        <v>59467.61</v>
      </c>
      <c r="D785" s="6">
        <v>59544.53</v>
      </c>
      <c r="E785" s="6">
        <f>D785-C785</f>
        <v>0</v>
      </c>
      <c r="F785" s="5">
        <f>IF(C785=0,"",E785/C785)</f>
        <v>0</v>
      </c>
    </row>
    <row r="786" spans="1:6">
      <c r="A786" t="s">
        <v>7</v>
      </c>
      <c r="B786" t="s">
        <v>501</v>
      </c>
      <c r="C786" s="6">
        <v>53201.91</v>
      </c>
      <c r="D786" s="6">
        <v>53365.78</v>
      </c>
      <c r="E786" s="6">
        <f>D786-C786</f>
        <v>0</v>
      </c>
      <c r="F786" s="5">
        <f>IF(C786=0,"",E786/C786)</f>
        <v>0</v>
      </c>
    </row>
    <row r="787" spans="1:6">
      <c r="A787" t="s">
        <v>7</v>
      </c>
      <c r="B787" t="s">
        <v>511</v>
      </c>
      <c r="C787" s="6">
        <v>55401.68</v>
      </c>
      <c r="D787" s="6">
        <v>55460.68</v>
      </c>
      <c r="E787" s="6">
        <f>D787-C787</f>
        <v>0</v>
      </c>
      <c r="F787" s="5">
        <f>IF(C787=0,"",E787/C787)</f>
        <v>0</v>
      </c>
    </row>
    <row r="788" spans="1:6">
      <c r="A788" t="s">
        <v>7</v>
      </c>
      <c r="B788" t="s">
        <v>523</v>
      </c>
      <c r="C788" s="6">
        <v>48275.64</v>
      </c>
      <c r="D788" s="6">
        <v>48298.59</v>
      </c>
      <c r="E788" s="6">
        <f>D788-C788</f>
        <v>0</v>
      </c>
      <c r="F788" s="5">
        <f>IF(C788=0,"",E788/C788)</f>
        <v>0</v>
      </c>
    </row>
    <row r="789" spans="1:6">
      <c r="A789" t="s">
        <v>7</v>
      </c>
      <c r="B789" t="s">
        <v>528</v>
      </c>
      <c r="C789" s="6">
        <v>55330.06</v>
      </c>
      <c r="D789" s="6">
        <v>55347.03</v>
      </c>
      <c r="E789" s="6">
        <f>D789-C789</f>
        <v>0</v>
      </c>
      <c r="F789" s="5">
        <f>IF(C789=0,"",E789/C789)</f>
        <v>0</v>
      </c>
    </row>
    <row r="790" spans="1:6">
      <c r="A790" t="s">
        <v>7</v>
      </c>
      <c r="B790" t="s">
        <v>538</v>
      </c>
      <c r="C790" s="6">
        <v>33938.36</v>
      </c>
      <c r="D790" s="6">
        <v>33951.86</v>
      </c>
      <c r="E790" s="6">
        <f>D790-C790</f>
        <v>0</v>
      </c>
      <c r="F790" s="5">
        <f>IF(C790=0,"",E790/C790)</f>
        <v>0</v>
      </c>
    </row>
    <row r="791" spans="1:6">
      <c r="A791" t="s">
        <v>7</v>
      </c>
      <c r="B791" t="s">
        <v>552</v>
      </c>
      <c r="C791" s="6">
        <v>34057.52</v>
      </c>
      <c r="D791" s="6">
        <v>34094.27</v>
      </c>
      <c r="E791" s="6">
        <f>D791-C791</f>
        <v>0</v>
      </c>
      <c r="F791" s="5">
        <f>IF(C791=0,"",E791/C791)</f>
        <v>0</v>
      </c>
    </row>
    <row r="792" spans="1:6">
      <c r="A792" t="s">
        <v>7</v>
      </c>
      <c r="B792" t="s">
        <v>558</v>
      </c>
      <c r="C792" s="6">
        <v>46095.43</v>
      </c>
      <c r="D792" s="6">
        <v>46100.78</v>
      </c>
      <c r="E792" s="6">
        <f>D792-C792</f>
        <v>0</v>
      </c>
      <c r="F792" s="5">
        <f>IF(C792=0,"",E792/C792)</f>
        <v>0</v>
      </c>
    </row>
    <row r="793" spans="1:6">
      <c r="A793" t="s">
        <v>7</v>
      </c>
      <c r="B793" t="s">
        <v>563</v>
      </c>
      <c r="C793" s="6">
        <v>46088.54</v>
      </c>
      <c r="D793" s="6">
        <v>46150.84</v>
      </c>
      <c r="E793" s="6">
        <f>D793-C793</f>
        <v>0</v>
      </c>
      <c r="F793" s="5">
        <f>IF(C793=0,"",E793/C793)</f>
        <v>0</v>
      </c>
    </row>
    <row r="794" spans="1:6">
      <c r="A794" t="s">
        <v>7</v>
      </c>
      <c r="B794" t="s">
        <v>571</v>
      </c>
      <c r="C794" s="6">
        <v>49624.78</v>
      </c>
      <c r="D794" s="6">
        <v>49648.03</v>
      </c>
      <c r="E794" s="6">
        <f>D794-C794</f>
        <v>0</v>
      </c>
      <c r="F794" s="5">
        <f>IF(C794=0,"",E794/C794)</f>
        <v>0</v>
      </c>
    </row>
    <row r="795" spans="1:6">
      <c r="A795" t="s">
        <v>7</v>
      </c>
      <c r="B795" t="s">
        <v>574</v>
      </c>
      <c r="C795" s="6">
        <v>38648.39</v>
      </c>
      <c r="D795" s="6">
        <v>38668.39</v>
      </c>
      <c r="E795" s="6">
        <f>D795-C795</f>
        <v>0</v>
      </c>
      <c r="F795" s="5">
        <f>IF(C795=0,"",E795/C795)</f>
        <v>0</v>
      </c>
    </row>
    <row r="796" spans="1:6">
      <c r="A796" t="s">
        <v>7</v>
      </c>
      <c r="B796" t="s">
        <v>585</v>
      </c>
      <c r="C796" s="6">
        <v>59561.55</v>
      </c>
      <c r="D796" s="6">
        <v>59561.55</v>
      </c>
      <c r="E796" s="6">
        <f>D796-C796</f>
        <v>0</v>
      </c>
      <c r="F796" s="5">
        <f>IF(C796=0,"",E796/C796)</f>
        <v>0</v>
      </c>
    </row>
    <row r="797" spans="1:6">
      <c r="A797" t="s">
        <v>7</v>
      </c>
      <c r="B797" t="s">
        <v>594</v>
      </c>
      <c r="C797" s="6">
        <v>51370.02</v>
      </c>
      <c r="D797" s="6">
        <v>51396.27</v>
      </c>
      <c r="E797" s="6">
        <f>D797-C797</f>
        <v>0</v>
      </c>
      <c r="F797" s="5">
        <f>IF(C797=0,"",E797/C797)</f>
        <v>0</v>
      </c>
    </row>
    <row r="798" spans="1:6">
      <c r="A798" t="s">
        <v>7</v>
      </c>
      <c r="B798" t="s">
        <v>607</v>
      </c>
      <c r="C798" s="6">
        <v>52353.13</v>
      </c>
      <c r="D798" s="6">
        <v>52353.98</v>
      </c>
      <c r="E798" s="6">
        <f>D798-C798</f>
        <v>0</v>
      </c>
      <c r="F798" s="5">
        <f>IF(C798=0,"",E798/C798)</f>
        <v>0</v>
      </c>
    </row>
    <row r="799" spans="1:6">
      <c r="A799" t="s">
        <v>7</v>
      </c>
      <c r="B799" t="s">
        <v>615</v>
      </c>
      <c r="C799" s="6">
        <v>43627.24</v>
      </c>
      <c r="D799" s="6">
        <v>43627.24</v>
      </c>
      <c r="E799" s="6">
        <f>D799-C799</f>
        <v>0</v>
      </c>
      <c r="F799" s="5">
        <f>IF(C799=0,"",E799/C799)</f>
        <v>0</v>
      </c>
    </row>
    <row r="800" spans="1:6">
      <c r="A800" t="s">
        <v>7</v>
      </c>
      <c r="B800" t="s">
        <v>624</v>
      </c>
      <c r="C800" s="6">
        <v>39271.6</v>
      </c>
      <c r="D800" s="6">
        <v>39276.1</v>
      </c>
      <c r="E800" s="6">
        <f>D800-C800</f>
        <v>0</v>
      </c>
      <c r="F800" s="5">
        <f>IF(C800=0,"",E800/C800)</f>
        <v>0</v>
      </c>
    </row>
    <row r="801" spans="1:6">
      <c r="A801" t="s">
        <v>7</v>
      </c>
      <c r="B801" t="s">
        <v>635</v>
      </c>
      <c r="C801" s="6">
        <v>51608.17</v>
      </c>
      <c r="D801" s="6">
        <v>51616.97</v>
      </c>
      <c r="E801" s="6">
        <f>D801-C801</f>
        <v>0</v>
      </c>
      <c r="F801" s="5">
        <f>IF(C801=0,"",E801/C801)</f>
        <v>0</v>
      </c>
    </row>
    <row r="802" spans="1:6">
      <c r="A802" t="s">
        <v>7</v>
      </c>
      <c r="B802" t="s">
        <v>645</v>
      </c>
      <c r="C802" s="6">
        <v>47112.29</v>
      </c>
      <c r="D802" s="6">
        <v>47114.04</v>
      </c>
      <c r="E802" s="6">
        <f>D802-C802</f>
        <v>0</v>
      </c>
      <c r="F802" s="5">
        <f>IF(C802=0,"",E802/C802)</f>
        <v>0</v>
      </c>
    </row>
    <row r="803" spans="1:6">
      <c r="A803" t="s">
        <v>7</v>
      </c>
      <c r="B803" t="s">
        <v>650</v>
      </c>
      <c r="C803" s="6">
        <v>53203.98</v>
      </c>
      <c r="D803" s="6">
        <v>53206.23</v>
      </c>
      <c r="E803" s="6">
        <f>D803-C803</f>
        <v>0</v>
      </c>
      <c r="F803" s="5">
        <f>IF(C803=0,"",E803/C803)</f>
        <v>0</v>
      </c>
    </row>
    <row r="804" spans="1:6">
      <c r="A804" t="s">
        <v>7</v>
      </c>
      <c r="B804" t="s">
        <v>658</v>
      </c>
      <c r="C804" s="6">
        <v>43190.29</v>
      </c>
      <c r="D804" s="6">
        <v>43204.84</v>
      </c>
      <c r="E804" s="6">
        <f>D804-C804</f>
        <v>0</v>
      </c>
      <c r="F804" s="5">
        <f>IF(C804=0,"",E804/C804)</f>
        <v>0</v>
      </c>
    </row>
    <row r="805" spans="1:6">
      <c r="A805" t="s">
        <v>7</v>
      </c>
      <c r="B805" t="s">
        <v>673</v>
      </c>
      <c r="C805" s="6">
        <v>48988.66</v>
      </c>
      <c r="D805" s="6">
        <v>48988.66</v>
      </c>
      <c r="E805" s="6">
        <f>D805-C805</f>
        <v>0</v>
      </c>
      <c r="F805" s="5">
        <f>IF(C805=0,"",E805/C805)</f>
        <v>0</v>
      </c>
    </row>
    <row r="806" spans="1:6">
      <c r="A806" t="s">
        <v>7</v>
      </c>
      <c r="B806" t="s">
        <v>681</v>
      </c>
      <c r="C806" s="6">
        <v>57523.14</v>
      </c>
      <c r="D806" s="6">
        <v>57527.94</v>
      </c>
      <c r="E806" s="6">
        <f>D806-C806</f>
        <v>0</v>
      </c>
      <c r="F806" s="5">
        <f>IF(C806=0,"",E806/C806)</f>
        <v>0</v>
      </c>
    </row>
    <row r="807" spans="1:6">
      <c r="A807" t="s">
        <v>7</v>
      </c>
      <c r="B807" t="s">
        <v>689</v>
      </c>
      <c r="C807" s="6">
        <v>43520.51</v>
      </c>
      <c r="D807" s="6">
        <v>43521.26</v>
      </c>
      <c r="E807" s="6">
        <f>D807-C807</f>
        <v>0</v>
      </c>
      <c r="F807" s="5">
        <f>IF(C807=0,"",E807/C807)</f>
        <v>0</v>
      </c>
    </row>
    <row r="808" spans="1:6">
      <c r="A808" t="s">
        <v>7</v>
      </c>
      <c r="B808" t="s">
        <v>701</v>
      </c>
      <c r="C808" s="6">
        <v>52856.57</v>
      </c>
      <c r="D808" s="6">
        <v>52856.57</v>
      </c>
      <c r="E808" s="6">
        <f>D808-C808</f>
        <v>0</v>
      </c>
      <c r="F808" s="5">
        <f>IF(C808=0,"",E808/C808)</f>
        <v>0</v>
      </c>
    </row>
    <row r="809" spans="1:6">
      <c r="A809" t="s">
        <v>7</v>
      </c>
      <c r="B809" t="s">
        <v>708</v>
      </c>
      <c r="C809" s="6">
        <v>47285.73</v>
      </c>
      <c r="D809" s="6">
        <v>47285.73</v>
      </c>
      <c r="E809" s="6">
        <f>D809-C809</f>
        <v>0</v>
      </c>
      <c r="F809" s="5">
        <f>IF(C809=0,"",E809/C809)</f>
        <v>0</v>
      </c>
    </row>
    <row r="810" spans="1:6">
      <c r="A810" t="s">
        <v>7</v>
      </c>
      <c r="B810" t="s">
        <v>719</v>
      </c>
      <c r="C810" s="6">
        <v>45643.09</v>
      </c>
      <c r="D810" s="6">
        <v>45653.54</v>
      </c>
      <c r="E810" s="6">
        <f>D810-C810</f>
        <v>0</v>
      </c>
      <c r="F810" s="5">
        <f>IF(C810=0,"",E810/C810)</f>
        <v>0</v>
      </c>
    </row>
    <row r="811" spans="1:6">
      <c r="A811" t="s">
        <v>7</v>
      </c>
      <c r="B811" t="s">
        <v>727</v>
      </c>
      <c r="C811" s="6">
        <v>57062.97</v>
      </c>
      <c r="D811" s="6">
        <v>57077.52</v>
      </c>
      <c r="E811" s="6">
        <f>D811-C811</f>
        <v>0</v>
      </c>
      <c r="F811" s="5">
        <f>IF(C811=0,"",E811/C811)</f>
        <v>0</v>
      </c>
    </row>
    <row r="812" spans="1:6">
      <c r="A812" t="s">
        <v>7</v>
      </c>
      <c r="B812" t="s">
        <v>734</v>
      </c>
      <c r="C812" s="6">
        <v>54441.74</v>
      </c>
      <c r="D812" s="6">
        <v>54458.99</v>
      </c>
      <c r="E812" s="6">
        <f>D812-C812</f>
        <v>0</v>
      </c>
      <c r="F812" s="5">
        <f>IF(C812=0,"",E812/C812)</f>
        <v>0</v>
      </c>
    </row>
    <row r="813" spans="1:6">
      <c r="A813" t="s">
        <v>7</v>
      </c>
      <c r="B813" t="s">
        <v>746</v>
      </c>
      <c r="C813" s="6">
        <v>47298.49</v>
      </c>
      <c r="D813" s="6">
        <v>47300.74</v>
      </c>
      <c r="E813" s="6">
        <f>D813-C813</f>
        <v>0</v>
      </c>
      <c r="F813" s="5">
        <f>IF(C813=0,"",E813/C813)</f>
        <v>0</v>
      </c>
    </row>
    <row r="814" spans="1:6">
      <c r="A814" t="s">
        <v>7</v>
      </c>
      <c r="B814" t="s">
        <v>755</v>
      </c>
      <c r="C814" s="6">
        <v>65097.46</v>
      </c>
      <c r="D814" s="6">
        <v>65106.46</v>
      </c>
      <c r="E814" s="6">
        <f>D814-C814</f>
        <v>0</v>
      </c>
      <c r="F814" s="5">
        <f>IF(C814=0,"",E814/C814)</f>
        <v>0</v>
      </c>
    </row>
    <row r="815" spans="1:6">
      <c r="A815" t="s">
        <v>7</v>
      </c>
      <c r="B815" t="s">
        <v>765</v>
      </c>
      <c r="C815" s="6">
        <v>58453.48</v>
      </c>
      <c r="D815" s="6">
        <v>58478.98</v>
      </c>
      <c r="E815" s="6">
        <f>D815-C815</f>
        <v>0</v>
      </c>
      <c r="F815" s="5">
        <f>IF(C815=0,"",E815/C815)</f>
        <v>0</v>
      </c>
    </row>
    <row r="816" spans="1:6">
      <c r="A816" t="s">
        <v>7</v>
      </c>
      <c r="B816" t="s">
        <v>775</v>
      </c>
      <c r="C816" s="6">
        <v>43460.68</v>
      </c>
      <c r="D816" s="6">
        <v>43475.78</v>
      </c>
      <c r="E816" s="6">
        <f>D816-C816</f>
        <v>0</v>
      </c>
      <c r="F816" s="5">
        <f>IF(C816=0,"",E816/C816)</f>
        <v>0</v>
      </c>
    </row>
    <row r="817" spans="1:6">
      <c r="A817" t="s">
        <v>7</v>
      </c>
      <c r="B817" t="s">
        <v>779</v>
      </c>
      <c r="C817" s="6">
        <v>46304.67</v>
      </c>
      <c r="D817" s="6">
        <v>46326.67</v>
      </c>
      <c r="E817" s="6">
        <f>D817-C817</f>
        <v>0</v>
      </c>
      <c r="F817" s="5">
        <f>IF(C817=0,"",E817/C817)</f>
        <v>0</v>
      </c>
    </row>
    <row r="818" spans="1:6">
      <c r="A818" t="s">
        <v>7</v>
      </c>
      <c r="B818" t="s">
        <v>788</v>
      </c>
      <c r="C818" s="6">
        <v>46271.6</v>
      </c>
      <c r="D818" s="6">
        <v>46271.6</v>
      </c>
      <c r="E818" s="6">
        <f>D818-C818</f>
        <v>0</v>
      </c>
      <c r="F818" s="5">
        <f>IF(C818=0,"",E818/C818)</f>
        <v>0</v>
      </c>
    </row>
    <row r="819" spans="1:6">
      <c r="A819" t="s">
        <v>7</v>
      </c>
      <c r="B819" t="s">
        <v>799</v>
      </c>
      <c r="C819" s="6">
        <v>54171.19</v>
      </c>
      <c r="D819" s="6">
        <v>54177.19</v>
      </c>
      <c r="E819" s="6">
        <f>D819-C819</f>
        <v>0</v>
      </c>
      <c r="F819" s="5">
        <f>IF(C819=0,"",E819/C819)</f>
        <v>0</v>
      </c>
    </row>
    <row r="820" spans="1:6">
      <c r="A820" t="s">
        <v>7</v>
      </c>
      <c r="B820" t="s">
        <v>805</v>
      </c>
      <c r="C820" s="6">
        <v>57828.34</v>
      </c>
      <c r="D820" s="6">
        <v>57895.84</v>
      </c>
      <c r="E820" s="6">
        <f>D820-C820</f>
        <v>0</v>
      </c>
      <c r="F820" s="5">
        <f>IF(C820=0,"",E820/C820)</f>
        <v>0</v>
      </c>
    </row>
    <row r="821" spans="1:6">
      <c r="A821" t="s">
        <v>7</v>
      </c>
      <c r="B821" t="s">
        <v>814</v>
      </c>
      <c r="C821" s="6">
        <v>53476.91</v>
      </c>
      <c r="D821" s="6">
        <v>53479.53</v>
      </c>
      <c r="E821" s="6">
        <f>D821-C821</f>
        <v>0</v>
      </c>
      <c r="F821" s="5">
        <f>IF(C821=0,"",E821/C821)</f>
        <v>0</v>
      </c>
    </row>
    <row r="822" spans="1:6">
      <c r="A822" t="s">
        <v>7</v>
      </c>
      <c r="B822" t="s">
        <v>829</v>
      </c>
      <c r="C822" s="6">
        <v>45172.73</v>
      </c>
      <c r="D822" s="6">
        <v>45225.23</v>
      </c>
      <c r="E822" s="6">
        <f>D822-C822</f>
        <v>0</v>
      </c>
      <c r="F822" s="5">
        <f>IF(C822=0,"",E822/C822)</f>
        <v>0</v>
      </c>
    </row>
    <row r="823" spans="1:6">
      <c r="A823" t="s">
        <v>7</v>
      </c>
      <c r="B823" t="s">
        <v>836</v>
      </c>
      <c r="C823" s="6">
        <v>41631.56</v>
      </c>
      <c r="D823" s="6">
        <v>41678.81</v>
      </c>
      <c r="E823" s="6">
        <f>D823-C823</f>
        <v>0</v>
      </c>
      <c r="F823" s="5">
        <f>IF(C823=0,"",E823/C823)</f>
        <v>0</v>
      </c>
    </row>
    <row r="824" spans="1:6">
      <c r="A824" t="s">
        <v>7</v>
      </c>
      <c r="B824" t="s">
        <v>846</v>
      </c>
      <c r="C824" s="6">
        <v>54031.4</v>
      </c>
      <c r="D824" s="6">
        <v>54040.4</v>
      </c>
      <c r="E824" s="6">
        <f>D824-C824</f>
        <v>0</v>
      </c>
      <c r="F824" s="5">
        <f>IF(C824=0,"",E824/C824)</f>
        <v>0</v>
      </c>
    </row>
    <row r="825" spans="1:6">
      <c r="A825" t="s">
        <v>7</v>
      </c>
      <c r="B825" t="s">
        <v>851</v>
      </c>
      <c r="C825" s="6">
        <v>52373.67</v>
      </c>
      <c r="D825" s="6">
        <v>52376.84</v>
      </c>
      <c r="E825" s="6">
        <f>D825-C825</f>
        <v>0</v>
      </c>
      <c r="F825" s="5">
        <f>IF(C825=0,"",E825/C825)</f>
        <v>0</v>
      </c>
    </row>
    <row r="826" spans="1:6">
      <c r="A826" t="s">
        <v>7</v>
      </c>
      <c r="B826" t="s">
        <v>858</v>
      </c>
      <c r="C826" s="6">
        <v>43454.48</v>
      </c>
      <c r="D826" s="6">
        <v>43454.48</v>
      </c>
      <c r="E826" s="6">
        <f>D826-C826</f>
        <v>0</v>
      </c>
      <c r="F826" s="5">
        <f>IF(C826=0,"",E826/C826)</f>
        <v>0</v>
      </c>
    </row>
    <row r="827" spans="1:6">
      <c r="A827" t="s">
        <v>7</v>
      </c>
      <c r="B827" t="s">
        <v>868</v>
      </c>
      <c r="C827" s="6">
        <v>42815.17</v>
      </c>
      <c r="D827" s="6">
        <v>42826.27</v>
      </c>
      <c r="E827" s="6">
        <f>D827-C827</f>
        <v>0</v>
      </c>
      <c r="F827" s="5">
        <f>IF(C827=0,"",E827/C827)</f>
        <v>0</v>
      </c>
    </row>
    <row r="828" spans="1:6">
      <c r="A828" t="s">
        <v>7</v>
      </c>
      <c r="B828" t="s">
        <v>876</v>
      </c>
      <c r="C828" s="6">
        <v>58248.76</v>
      </c>
      <c r="D828" s="6">
        <v>58250.73</v>
      </c>
      <c r="E828" s="6">
        <f>D828-C828</f>
        <v>0</v>
      </c>
      <c r="F828" s="5">
        <f>IF(C828=0,"",E828/C828)</f>
        <v>0</v>
      </c>
    </row>
    <row r="829" spans="1:6">
      <c r="A829" t="s">
        <v>7</v>
      </c>
      <c r="B829" t="s">
        <v>880</v>
      </c>
      <c r="C829" s="6">
        <v>52585.17</v>
      </c>
      <c r="D829" s="6">
        <v>52623.22</v>
      </c>
      <c r="E829" s="6">
        <f>D829-C829</f>
        <v>0</v>
      </c>
      <c r="F829" s="5">
        <f>IF(C829=0,"",E829/C829)</f>
        <v>0</v>
      </c>
    </row>
    <row r="830" spans="1:6">
      <c r="A830" t="s">
        <v>7</v>
      </c>
      <c r="B830" t="s">
        <v>891</v>
      </c>
      <c r="C830" s="6">
        <v>52005.08</v>
      </c>
      <c r="D830" s="6">
        <v>52005.13</v>
      </c>
      <c r="E830" s="6">
        <f>D830-C830</f>
        <v>0</v>
      </c>
      <c r="F830" s="5">
        <f>IF(C830=0,"",E830/C830)</f>
        <v>0</v>
      </c>
    </row>
    <row r="831" spans="1:6">
      <c r="A831" t="s">
        <v>7</v>
      </c>
      <c r="B831" t="s">
        <v>903</v>
      </c>
      <c r="C831" s="6">
        <v>41108.68</v>
      </c>
      <c r="D831" s="6">
        <v>41121.43</v>
      </c>
      <c r="E831" s="6">
        <f>D831-C831</f>
        <v>0</v>
      </c>
      <c r="F831" s="5">
        <f>IF(C831=0,"",E831/C831)</f>
        <v>0</v>
      </c>
    </row>
    <row r="832" spans="1:6">
      <c r="A832" t="s">
        <v>7</v>
      </c>
      <c r="B832" t="s">
        <v>915</v>
      </c>
      <c r="C832" s="6">
        <v>58731.49</v>
      </c>
      <c r="D832" s="6">
        <v>58736.04</v>
      </c>
      <c r="E832" s="6">
        <f>D832-C832</f>
        <v>0</v>
      </c>
      <c r="F832" s="5">
        <f>IF(C832=0,"",E832/C832)</f>
        <v>0</v>
      </c>
    </row>
    <row r="833" spans="1:6">
      <c r="A833" t="s">
        <v>7</v>
      </c>
      <c r="B833" t="s">
        <v>922</v>
      </c>
      <c r="C833" s="6">
        <v>59467.4</v>
      </c>
      <c r="D833" s="6">
        <v>59470.4</v>
      </c>
      <c r="E833" s="6">
        <f>D833-C833</f>
        <v>0</v>
      </c>
      <c r="F833" s="5">
        <f>IF(C833=0,"",E833/C833)</f>
        <v>0</v>
      </c>
    </row>
    <row r="834" spans="1:6">
      <c r="A834" t="s">
        <v>7</v>
      </c>
      <c r="B834" t="s">
        <v>934</v>
      </c>
      <c r="C834" s="6">
        <v>61224.04</v>
      </c>
      <c r="D834" s="6">
        <v>61225.79</v>
      </c>
      <c r="E834" s="6">
        <f>D834-C834</f>
        <v>0</v>
      </c>
      <c r="F834" s="5">
        <f>IF(C834=0,"",E834/C834)</f>
        <v>0</v>
      </c>
    </row>
    <row r="835" spans="1:6">
      <c r="A835" t="s">
        <v>7</v>
      </c>
      <c r="B835" t="s">
        <v>944</v>
      </c>
      <c r="C835" s="6">
        <v>55862.68</v>
      </c>
      <c r="D835" s="6">
        <v>55895.53</v>
      </c>
      <c r="E835" s="6">
        <f>D835-C835</f>
        <v>0</v>
      </c>
      <c r="F835" s="5">
        <f>IF(C835=0,"",E835/C835)</f>
        <v>0</v>
      </c>
    </row>
    <row r="836" spans="1:6">
      <c r="A836" t="s">
        <v>7</v>
      </c>
      <c r="B836" t="s">
        <v>952</v>
      </c>
      <c r="C836" s="6">
        <v>51732.86</v>
      </c>
      <c r="D836" s="6">
        <v>51744.11</v>
      </c>
      <c r="E836" s="6">
        <f>D836-C836</f>
        <v>0</v>
      </c>
      <c r="F836" s="5">
        <f>IF(C836=0,"",E836/C836)</f>
        <v>0</v>
      </c>
    </row>
    <row r="837" spans="1:6">
      <c r="A837" t="s">
        <v>7</v>
      </c>
      <c r="B837" t="s">
        <v>961</v>
      </c>
      <c r="C837" s="6">
        <v>46089.11</v>
      </c>
      <c r="D837" s="6">
        <v>46100.21</v>
      </c>
      <c r="E837" s="6">
        <f>D837-C837</f>
        <v>0</v>
      </c>
      <c r="F837" s="5">
        <f>IF(C837=0,"",E837/C837)</f>
        <v>0</v>
      </c>
    </row>
    <row r="838" spans="1:6">
      <c r="A838" t="s">
        <v>7</v>
      </c>
      <c r="B838" t="s">
        <v>966</v>
      </c>
      <c r="C838" s="6">
        <v>63705.97</v>
      </c>
      <c r="D838" s="6">
        <v>63705.97</v>
      </c>
      <c r="E838" s="6">
        <f>D838-C838</f>
        <v>0</v>
      </c>
      <c r="F838" s="5">
        <f>IF(C838=0,"",E838/C838)</f>
        <v>0</v>
      </c>
    </row>
    <row r="839" spans="1:6">
      <c r="A839" t="s">
        <v>7</v>
      </c>
      <c r="B839" t="s">
        <v>980</v>
      </c>
      <c r="C839" s="6">
        <v>51074.82</v>
      </c>
      <c r="D839" s="6">
        <v>51100.57</v>
      </c>
      <c r="E839" s="6">
        <f>D839-C839</f>
        <v>0</v>
      </c>
      <c r="F839" s="5">
        <f>IF(C839=0,"",E839/C839)</f>
        <v>0</v>
      </c>
    </row>
    <row r="840" spans="1:6">
      <c r="A840" t="s">
        <v>7</v>
      </c>
      <c r="B840" t="s">
        <v>992</v>
      </c>
      <c r="C840" s="6">
        <v>46047.51</v>
      </c>
      <c r="D840" s="6">
        <v>46059.06</v>
      </c>
      <c r="E840" s="6">
        <f>D840-C840</f>
        <v>0</v>
      </c>
      <c r="F840" s="5">
        <f>IF(C840=0,"",E840/C840)</f>
        <v>0</v>
      </c>
    </row>
    <row r="841" spans="1:6">
      <c r="A841" t="s">
        <v>7</v>
      </c>
      <c r="B841" t="s">
        <v>1002</v>
      </c>
      <c r="C841" s="6">
        <v>13927.04</v>
      </c>
      <c r="D841" s="6">
        <v>13936.74</v>
      </c>
      <c r="E841" s="6">
        <f>D841-C841</f>
        <v>0</v>
      </c>
      <c r="F841" s="5">
        <f>IF(C841=0,"",E841/C841)</f>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I26"/>
  <sheetViews>
    <sheetView workbookViewId="0">
      <pane ySplit="1" topLeftCell="A2" activePane="bottomLeft" state="frozen"/>
      <selection pane="bottomLeft"/>
    </sheetView>
  </sheetViews>
  <sheetFormatPr defaultRowHeight="15"/>
  <cols>
    <col min="1" max="3" width="16.7109375" customWidth="1"/>
    <col min="4" max="8" width="18.7109375" customWidth="1"/>
    <col min="9" max="9" width="20.7109375" customWidth="1"/>
  </cols>
  <sheetData>
    <row r="1" spans="1:9">
      <c r="A1" s="7" t="s">
        <v>17</v>
      </c>
      <c r="B1" s="7" t="s">
        <v>20</v>
      </c>
      <c r="C1" s="7" t="s">
        <v>18</v>
      </c>
      <c r="D1" s="7" t="s">
        <v>3663</v>
      </c>
      <c r="E1" s="7" t="s">
        <v>3664</v>
      </c>
      <c r="F1" s="7" t="s">
        <v>3665</v>
      </c>
      <c r="G1" s="7" t="s">
        <v>27</v>
      </c>
      <c r="H1" s="7" t="s">
        <v>3666</v>
      </c>
      <c r="I1" s="7" t="s">
        <v>29</v>
      </c>
    </row>
    <row r="2" spans="1:9">
      <c r="A2" t="s">
        <v>4</v>
      </c>
      <c r="B2" t="s">
        <v>2539</v>
      </c>
      <c r="C2" t="s">
        <v>922</v>
      </c>
      <c r="D2" s="6">
        <v>11564</v>
      </c>
      <c r="E2" s="6">
        <v>0</v>
      </c>
      <c r="F2" s="6">
        <v>-11564</v>
      </c>
      <c r="G2" s="5">
        <v>-1</v>
      </c>
      <c r="H2">
        <v>1</v>
      </c>
      <c r="I2" t="s">
        <v>1100</v>
      </c>
    </row>
    <row r="3" spans="1:9">
      <c r="A3" t="s">
        <v>1</v>
      </c>
      <c r="B3" t="s">
        <v>1404</v>
      </c>
      <c r="C3" t="s">
        <v>226</v>
      </c>
      <c r="D3" s="6">
        <v>4434.5</v>
      </c>
      <c r="E3" s="6">
        <v>0</v>
      </c>
      <c r="F3" s="6">
        <v>-4434.5</v>
      </c>
      <c r="G3" s="5">
        <v>-1</v>
      </c>
      <c r="H3">
        <v>1</v>
      </c>
      <c r="I3" t="s">
        <v>1100</v>
      </c>
    </row>
    <row r="4" spans="1:9">
      <c r="A4" t="s">
        <v>1</v>
      </c>
      <c r="B4" t="s">
        <v>1373</v>
      </c>
      <c r="C4" t="s">
        <v>226</v>
      </c>
      <c r="D4" s="6">
        <v>4308.5</v>
      </c>
      <c r="E4" s="6">
        <v>0</v>
      </c>
      <c r="F4" s="6">
        <v>-4308.5</v>
      </c>
      <c r="G4" s="5">
        <v>-1</v>
      </c>
      <c r="H4">
        <v>1</v>
      </c>
      <c r="I4" t="s">
        <v>1100</v>
      </c>
    </row>
    <row r="5" spans="1:9">
      <c r="A5" t="s">
        <v>4</v>
      </c>
      <c r="B5" t="s">
        <v>1404</v>
      </c>
      <c r="C5" t="s">
        <v>903</v>
      </c>
      <c r="D5" s="6">
        <v>4161.5</v>
      </c>
      <c r="E5" s="6">
        <v>0</v>
      </c>
      <c r="F5" s="6">
        <v>-4161.5</v>
      </c>
      <c r="G5" s="5">
        <v>-1</v>
      </c>
      <c r="H5">
        <v>1</v>
      </c>
      <c r="I5" t="s">
        <v>1100</v>
      </c>
    </row>
    <row r="6" spans="1:9">
      <c r="A6" t="s">
        <v>4</v>
      </c>
      <c r="B6" t="s">
        <v>1404</v>
      </c>
      <c r="C6" t="s">
        <v>915</v>
      </c>
      <c r="D6" s="6">
        <v>4060</v>
      </c>
      <c r="E6" s="6">
        <v>0</v>
      </c>
      <c r="F6" s="6">
        <v>-4060</v>
      </c>
      <c r="G6" s="5">
        <v>-1</v>
      </c>
      <c r="H6">
        <v>1</v>
      </c>
      <c r="I6" t="s">
        <v>1100</v>
      </c>
    </row>
    <row r="7" spans="1:9">
      <c r="A7" t="s">
        <v>7</v>
      </c>
      <c r="B7" t="s">
        <v>3667</v>
      </c>
      <c r="C7" t="s">
        <v>891</v>
      </c>
      <c r="D7" s="6">
        <v>3150</v>
      </c>
      <c r="E7" s="6">
        <v>0</v>
      </c>
      <c r="F7" s="6">
        <v>-3150</v>
      </c>
      <c r="G7" s="5">
        <v>-1</v>
      </c>
      <c r="H7">
        <v>1</v>
      </c>
      <c r="I7" t="s">
        <v>3038</v>
      </c>
    </row>
    <row r="8" spans="1:9">
      <c r="A8" t="s">
        <v>7</v>
      </c>
      <c r="B8" t="s">
        <v>3668</v>
      </c>
      <c r="C8" t="s">
        <v>891</v>
      </c>
      <c r="D8" s="6">
        <v>0</v>
      </c>
      <c r="E8" s="6">
        <v>3150</v>
      </c>
      <c r="F8" s="6">
        <v>3150</v>
      </c>
      <c r="G8" s="5"/>
      <c r="H8">
        <v>1</v>
      </c>
      <c r="I8" t="s">
        <v>3038</v>
      </c>
    </row>
    <row r="9" spans="1:9">
      <c r="A9" t="s">
        <v>4</v>
      </c>
      <c r="B9" t="s">
        <v>75</v>
      </c>
      <c r="C9" t="s">
        <v>922</v>
      </c>
      <c r="D9" s="6">
        <v>2919</v>
      </c>
      <c r="E9" s="6">
        <v>0</v>
      </c>
      <c r="F9" s="6">
        <v>-2919</v>
      </c>
      <c r="G9" s="5">
        <v>-1</v>
      </c>
      <c r="H9">
        <v>1</v>
      </c>
      <c r="I9" t="s">
        <v>1100</v>
      </c>
    </row>
    <row r="10" spans="1:9">
      <c r="A10" t="s">
        <v>4</v>
      </c>
      <c r="B10" t="s">
        <v>2112</v>
      </c>
      <c r="C10" t="s">
        <v>922</v>
      </c>
      <c r="D10" s="6">
        <v>2866.5</v>
      </c>
      <c r="E10" s="6">
        <v>0</v>
      </c>
      <c r="F10" s="6">
        <v>-2866.5</v>
      </c>
      <c r="G10" s="5">
        <v>-1</v>
      </c>
      <c r="H10">
        <v>1</v>
      </c>
      <c r="I10" t="s">
        <v>1100</v>
      </c>
    </row>
    <row r="11" spans="1:9">
      <c r="A11" t="s">
        <v>4</v>
      </c>
      <c r="B11" t="s">
        <v>3669</v>
      </c>
      <c r="C11" t="s">
        <v>922</v>
      </c>
      <c r="D11" s="6">
        <v>2758</v>
      </c>
      <c r="E11" s="6">
        <v>0</v>
      </c>
      <c r="F11" s="6">
        <v>-2758</v>
      </c>
      <c r="G11" s="5">
        <v>-1</v>
      </c>
      <c r="H11">
        <v>1</v>
      </c>
      <c r="I11" t="s">
        <v>1100</v>
      </c>
    </row>
    <row r="12" spans="1:9">
      <c r="A12" t="s">
        <v>2</v>
      </c>
      <c r="B12" t="s">
        <v>3667</v>
      </c>
      <c r="C12" t="s">
        <v>416</v>
      </c>
      <c r="D12" s="6">
        <v>2520</v>
      </c>
      <c r="E12" s="6">
        <v>0</v>
      </c>
      <c r="F12" s="6">
        <v>-2520</v>
      </c>
      <c r="G12" s="5">
        <v>-1</v>
      </c>
      <c r="H12">
        <v>1</v>
      </c>
      <c r="I12" t="s">
        <v>1611</v>
      </c>
    </row>
    <row r="13" spans="1:9">
      <c r="A13" t="s">
        <v>4</v>
      </c>
      <c r="B13" t="s">
        <v>2539</v>
      </c>
      <c r="C13" t="s">
        <v>915</v>
      </c>
      <c r="D13" s="6">
        <v>2341.5</v>
      </c>
      <c r="E13" s="6">
        <v>0</v>
      </c>
      <c r="F13" s="6">
        <v>-2341.5</v>
      </c>
      <c r="G13" s="5">
        <v>-1</v>
      </c>
      <c r="H13">
        <v>1</v>
      </c>
      <c r="I13" t="s">
        <v>1100</v>
      </c>
    </row>
    <row r="14" spans="1:9">
      <c r="A14" t="s">
        <v>1</v>
      </c>
      <c r="B14" t="s">
        <v>1404</v>
      </c>
      <c r="C14" t="s">
        <v>216</v>
      </c>
      <c r="D14" s="6">
        <v>2297.75</v>
      </c>
      <c r="E14" s="6">
        <v>0</v>
      </c>
      <c r="F14" s="6">
        <v>-2297.75</v>
      </c>
      <c r="G14" s="5">
        <v>-1</v>
      </c>
      <c r="H14">
        <v>1</v>
      </c>
      <c r="I14" t="s">
        <v>1100</v>
      </c>
    </row>
    <row r="15" spans="1:9">
      <c r="A15" t="s">
        <v>1</v>
      </c>
      <c r="B15" t="s">
        <v>1404</v>
      </c>
      <c r="C15" t="s">
        <v>231</v>
      </c>
      <c r="D15" s="6">
        <v>2254</v>
      </c>
      <c r="E15" s="6">
        <v>0</v>
      </c>
      <c r="F15" s="6">
        <v>-2254</v>
      </c>
      <c r="G15" s="5">
        <v>-1</v>
      </c>
      <c r="H15">
        <v>1</v>
      </c>
      <c r="I15" t="s">
        <v>1100</v>
      </c>
    </row>
    <row r="16" spans="1:9">
      <c r="A16" t="s">
        <v>1</v>
      </c>
      <c r="B16" t="s">
        <v>2239</v>
      </c>
      <c r="C16" t="s">
        <v>193</v>
      </c>
      <c r="D16" s="6">
        <v>2229.5</v>
      </c>
      <c r="E16" s="6">
        <v>0</v>
      </c>
      <c r="F16" s="6">
        <v>-2229.5</v>
      </c>
      <c r="G16" s="5">
        <v>-1</v>
      </c>
      <c r="H16">
        <v>1</v>
      </c>
      <c r="I16" t="s">
        <v>1100</v>
      </c>
    </row>
    <row r="17" spans="1:9">
      <c r="A17" t="s">
        <v>1</v>
      </c>
      <c r="B17" t="s">
        <v>3227</v>
      </c>
      <c r="C17" t="s">
        <v>216</v>
      </c>
      <c r="D17" s="6">
        <v>2016</v>
      </c>
      <c r="E17" s="6">
        <v>0</v>
      </c>
      <c r="F17" s="6">
        <v>-2016</v>
      </c>
      <c r="G17" s="5">
        <v>-1</v>
      </c>
      <c r="H17">
        <v>1</v>
      </c>
      <c r="I17" t="s">
        <v>1100</v>
      </c>
    </row>
    <row r="18" spans="1:9">
      <c r="A18" t="s">
        <v>2</v>
      </c>
      <c r="B18" t="s">
        <v>3667</v>
      </c>
      <c r="C18" t="s">
        <v>523</v>
      </c>
      <c r="D18" s="6">
        <v>1890</v>
      </c>
      <c r="E18" s="6">
        <v>0</v>
      </c>
      <c r="F18" s="6">
        <v>-1890</v>
      </c>
      <c r="G18" s="5">
        <v>-1</v>
      </c>
      <c r="H18">
        <v>1</v>
      </c>
      <c r="I18" t="s">
        <v>1611</v>
      </c>
    </row>
    <row r="19" spans="1:9">
      <c r="A19" t="s">
        <v>7</v>
      </c>
      <c r="B19" t="s">
        <v>390</v>
      </c>
      <c r="C19" t="s">
        <v>226</v>
      </c>
      <c r="D19" s="6">
        <v>1890</v>
      </c>
      <c r="E19" s="6">
        <v>0</v>
      </c>
      <c r="F19" s="6">
        <v>-1890</v>
      </c>
      <c r="G19" s="5">
        <v>-1</v>
      </c>
      <c r="H19">
        <v>1</v>
      </c>
      <c r="I19" t="s">
        <v>3038</v>
      </c>
    </row>
    <row r="20" spans="1:9">
      <c r="A20" t="s">
        <v>7</v>
      </c>
      <c r="B20" t="s">
        <v>3670</v>
      </c>
      <c r="C20" t="s">
        <v>226</v>
      </c>
      <c r="D20" s="6">
        <v>0</v>
      </c>
      <c r="E20" s="6">
        <v>1890</v>
      </c>
      <c r="F20" s="6">
        <v>1890</v>
      </c>
      <c r="G20" s="5"/>
      <c r="H20">
        <v>1</v>
      </c>
      <c r="I20" t="s">
        <v>3038</v>
      </c>
    </row>
    <row r="21" spans="1:9">
      <c r="A21" t="s">
        <v>1</v>
      </c>
      <c r="B21" t="s">
        <v>1052</v>
      </c>
      <c r="C21" t="s">
        <v>226</v>
      </c>
      <c r="D21" s="6">
        <v>1812</v>
      </c>
      <c r="E21" s="6">
        <v>0</v>
      </c>
      <c r="F21" s="6">
        <v>-1812</v>
      </c>
      <c r="G21" s="5">
        <v>-1</v>
      </c>
      <c r="H21">
        <v>1</v>
      </c>
      <c r="I21" t="s">
        <v>1100</v>
      </c>
    </row>
    <row r="22" spans="1:9">
      <c r="A22" t="s">
        <v>4</v>
      </c>
      <c r="B22" t="s">
        <v>737</v>
      </c>
      <c r="C22" t="s">
        <v>915</v>
      </c>
      <c r="D22" s="6">
        <v>1799</v>
      </c>
      <c r="E22" s="6">
        <v>0</v>
      </c>
      <c r="F22" s="6">
        <v>-1799</v>
      </c>
      <c r="G22" s="5">
        <v>-1</v>
      </c>
      <c r="H22">
        <v>1</v>
      </c>
      <c r="I22" t="s">
        <v>1100</v>
      </c>
    </row>
    <row r="23" spans="1:9">
      <c r="A23" t="s">
        <v>6</v>
      </c>
      <c r="B23" t="s">
        <v>2539</v>
      </c>
      <c r="C23" t="s">
        <v>170</v>
      </c>
      <c r="D23" s="6">
        <v>4515</v>
      </c>
      <c r="E23" s="6">
        <v>2940</v>
      </c>
      <c r="F23" s="6">
        <v>-1575</v>
      </c>
      <c r="G23" s="5">
        <v>-0.348837</v>
      </c>
      <c r="H23">
        <v>1</v>
      </c>
      <c r="I23" t="s">
        <v>3038</v>
      </c>
    </row>
    <row r="24" spans="1:9">
      <c r="A24" t="s">
        <v>6</v>
      </c>
      <c r="B24" t="s">
        <v>3671</v>
      </c>
      <c r="C24" t="s">
        <v>170</v>
      </c>
      <c r="D24" s="6">
        <v>0</v>
      </c>
      <c r="E24" s="6">
        <v>1575</v>
      </c>
      <c r="F24" s="6">
        <v>1575</v>
      </c>
      <c r="G24" s="5"/>
      <c r="H24">
        <v>1</v>
      </c>
      <c r="I24" t="s">
        <v>3038</v>
      </c>
    </row>
    <row r="25" spans="1:9">
      <c r="A25" t="s">
        <v>4</v>
      </c>
      <c r="B25" t="s">
        <v>407</v>
      </c>
      <c r="C25" t="s">
        <v>922</v>
      </c>
      <c r="D25" s="6">
        <v>1536</v>
      </c>
      <c r="E25" s="6">
        <v>0</v>
      </c>
      <c r="F25" s="6">
        <v>-1536</v>
      </c>
      <c r="G25" s="5">
        <v>-1</v>
      </c>
      <c r="H25">
        <v>1</v>
      </c>
      <c r="I25" t="s">
        <v>1100</v>
      </c>
    </row>
    <row r="26" spans="1:9">
      <c r="A26" t="s">
        <v>1</v>
      </c>
      <c r="B26" t="s">
        <v>1404</v>
      </c>
      <c r="C26" t="s">
        <v>205</v>
      </c>
      <c r="D26" s="6">
        <v>1485.75</v>
      </c>
      <c r="E26" s="6">
        <v>0</v>
      </c>
      <c r="F26" s="6">
        <v>-1485.75</v>
      </c>
      <c r="G26" s="5">
        <v>-1</v>
      </c>
      <c r="H26">
        <v>1</v>
      </c>
      <c r="I26" t="s">
        <v>1100</v>
      </c>
    </row>
  </sheetData>
  <autoFilter ref="A1:I26"/>
  <conditionalFormatting sqref="G2:G26">
    <cfRule type="expression" dxfId="0" priority="1">
      <formula>ABS(G2)&gt;=0.10</formula>
    </cfRule>
    <cfRule type="expression" dxfId="1" priority="2">
      <formula>AND(ABS(G2)&gt;=0.05,ABS(G2)&lt;0.10)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6562"/>
  <sheetViews>
    <sheetView workbookViewId="0">
      <pane ySplit="1" topLeftCell="A2" activePane="bottomLeft" state="frozen"/>
      <selection pane="bottomLeft"/>
    </sheetView>
  </sheetViews>
  <sheetFormatPr defaultRowHeight="15"/>
  <cols>
    <col min="1" max="1" width="14.7109375" customWidth="1"/>
    <col min="2" max="2" width="42.7109375" customWidth="1"/>
    <col min="3" max="4" width="28.7109375" customWidth="1"/>
    <col min="5" max="7" width="16.7109375" customWidth="1"/>
  </cols>
  <sheetData>
    <row r="1" spans="1:7">
      <c r="A1" s="7" t="s">
        <v>20</v>
      </c>
      <c r="B1" s="7" t="s">
        <v>3672</v>
      </c>
      <c r="C1" s="7" t="s">
        <v>3673</v>
      </c>
      <c r="D1" s="7" t="s">
        <v>3674</v>
      </c>
      <c r="E1" s="7" t="s">
        <v>3675</v>
      </c>
      <c r="F1" s="7" t="s">
        <v>3676</v>
      </c>
      <c r="G1" s="7" t="s">
        <v>3677</v>
      </c>
    </row>
    <row r="2" spans="1:7">
      <c r="A2" t="s">
        <v>595</v>
      </c>
      <c r="B2" t="s">
        <v>3678</v>
      </c>
      <c r="C2" t="s">
        <v>3679</v>
      </c>
      <c r="D2" t="s">
        <v>3680</v>
      </c>
      <c r="E2">
        <v>6</v>
      </c>
      <c r="F2" s="6">
        <v>750</v>
      </c>
      <c r="G2" t="s">
        <v>3681</v>
      </c>
    </row>
    <row r="3" spans="1:7">
      <c r="A3" t="s">
        <v>3682</v>
      </c>
      <c r="B3" t="s">
        <v>3683</v>
      </c>
      <c r="C3" t="s">
        <v>3684</v>
      </c>
      <c r="D3" t="s">
        <v>3685</v>
      </c>
      <c r="E3">
        <v>12</v>
      </c>
      <c r="F3" s="6">
        <v>750</v>
      </c>
      <c r="G3" t="s">
        <v>3686</v>
      </c>
    </row>
    <row r="4" spans="1:7">
      <c r="A4" t="s">
        <v>3687</v>
      </c>
      <c r="B4" t="s">
        <v>3688</v>
      </c>
      <c r="C4" t="s">
        <v>3679</v>
      </c>
      <c r="D4" t="s">
        <v>3680</v>
      </c>
      <c r="E4">
        <v>6</v>
      </c>
      <c r="F4" s="6">
        <v>750</v>
      </c>
      <c r="G4" t="s">
        <v>3689</v>
      </c>
    </row>
    <row r="5" spans="1:7">
      <c r="A5" t="s">
        <v>1713</v>
      </c>
      <c r="B5" t="s">
        <v>3683</v>
      </c>
      <c r="C5" t="s">
        <v>3684</v>
      </c>
      <c r="D5" t="s">
        <v>3685</v>
      </c>
      <c r="E5">
        <v>6</v>
      </c>
      <c r="F5" s="6">
        <v>1750</v>
      </c>
      <c r="G5" t="s">
        <v>3686</v>
      </c>
    </row>
    <row r="6" spans="1:7">
      <c r="A6" t="s">
        <v>3690</v>
      </c>
      <c r="B6" t="s">
        <v>3683</v>
      </c>
      <c r="C6" t="s">
        <v>3684</v>
      </c>
      <c r="D6" t="s">
        <v>3685</v>
      </c>
      <c r="E6">
        <v>12</v>
      </c>
      <c r="F6" s="6">
        <v>1000</v>
      </c>
      <c r="G6" t="s">
        <v>3686</v>
      </c>
    </row>
    <row r="7" spans="1:7">
      <c r="A7" t="s">
        <v>815</v>
      </c>
      <c r="B7" t="s">
        <v>3691</v>
      </c>
      <c r="C7" t="s">
        <v>3692</v>
      </c>
      <c r="D7" t="s">
        <v>3693</v>
      </c>
      <c r="E7">
        <v>6</v>
      </c>
      <c r="F7" s="6">
        <v>750</v>
      </c>
      <c r="G7" t="s">
        <v>3694</v>
      </c>
    </row>
    <row r="8" spans="1:7">
      <c r="A8" t="s">
        <v>2360</v>
      </c>
      <c r="B8" t="s">
        <v>3695</v>
      </c>
      <c r="C8" t="s">
        <v>3679</v>
      </c>
      <c r="D8" t="s">
        <v>3680</v>
      </c>
      <c r="E8">
        <v>6</v>
      </c>
      <c r="F8" s="6">
        <v>750</v>
      </c>
      <c r="G8" t="s">
        <v>3694</v>
      </c>
    </row>
    <row r="9" spans="1:7">
      <c r="A9" t="s">
        <v>3696</v>
      </c>
      <c r="B9" t="s">
        <v>3697</v>
      </c>
      <c r="C9" t="s">
        <v>3679</v>
      </c>
      <c r="D9" t="s">
        <v>3680</v>
      </c>
      <c r="E9">
        <v>6</v>
      </c>
      <c r="F9" s="6">
        <v>750</v>
      </c>
      <c r="G9" t="s">
        <v>3698</v>
      </c>
    </row>
    <row r="10" spans="1:7">
      <c r="A10" t="s">
        <v>2962</v>
      </c>
      <c r="B10" t="s">
        <v>3699</v>
      </c>
      <c r="C10" t="s">
        <v>3700</v>
      </c>
      <c r="D10" t="s">
        <v>3701</v>
      </c>
      <c r="E10">
        <v>1</v>
      </c>
      <c r="F10" s="6">
        <v>2250</v>
      </c>
      <c r="G10" t="s">
        <v>3702</v>
      </c>
    </row>
    <row r="11" spans="1:7">
      <c r="A11" t="s">
        <v>3703</v>
      </c>
      <c r="B11" t="s">
        <v>3704</v>
      </c>
      <c r="C11" t="s">
        <v>3679</v>
      </c>
      <c r="D11" t="s">
        <v>3680</v>
      </c>
      <c r="E11">
        <v>6</v>
      </c>
      <c r="F11" s="6">
        <v>750</v>
      </c>
      <c r="G11" t="s">
        <v>3705</v>
      </c>
    </row>
    <row r="12" spans="1:7">
      <c r="A12" t="s">
        <v>2665</v>
      </c>
      <c r="B12" t="s">
        <v>3706</v>
      </c>
      <c r="C12" t="s">
        <v>3692</v>
      </c>
      <c r="D12" t="s">
        <v>3693</v>
      </c>
      <c r="E12">
        <v>6</v>
      </c>
      <c r="F12" s="6">
        <v>750</v>
      </c>
      <c r="G12" t="s">
        <v>3705</v>
      </c>
    </row>
    <row r="13" spans="1:7">
      <c r="A13" t="s">
        <v>683</v>
      </c>
      <c r="B13" t="s">
        <v>3707</v>
      </c>
      <c r="C13" t="s">
        <v>3708</v>
      </c>
      <c r="D13" t="s">
        <v>3709</v>
      </c>
      <c r="E13">
        <v>1</v>
      </c>
      <c r="F13" s="6">
        <v>50</v>
      </c>
      <c r="G13" t="s">
        <v>3686</v>
      </c>
    </row>
    <row r="14" spans="1:7">
      <c r="A14" t="s">
        <v>2201</v>
      </c>
      <c r="B14" t="s">
        <v>3710</v>
      </c>
      <c r="C14" t="s">
        <v>3708</v>
      </c>
      <c r="D14" t="s">
        <v>3709</v>
      </c>
      <c r="E14">
        <v>8</v>
      </c>
      <c r="F14" s="6">
        <v>100</v>
      </c>
      <c r="G14" t="s">
        <v>3686</v>
      </c>
    </row>
    <row r="15" spans="1:7">
      <c r="A15" t="s">
        <v>3711</v>
      </c>
      <c r="B15" t="s">
        <v>3712</v>
      </c>
      <c r="C15" t="s">
        <v>3679</v>
      </c>
      <c r="D15" t="s">
        <v>3680</v>
      </c>
      <c r="E15">
        <v>6</v>
      </c>
      <c r="F15" s="6">
        <v>750</v>
      </c>
      <c r="G15" t="s">
        <v>3713</v>
      </c>
    </row>
    <row r="16" spans="1:7">
      <c r="A16" t="s">
        <v>3714</v>
      </c>
      <c r="B16" t="s">
        <v>3715</v>
      </c>
      <c r="C16" t="s">
        <v>3679</v>
      </c>
      <c r="D16" t="s">
        <v>3680</v>
      </c>
      <c r="E16">
        <v>6</v>
      </c>
      <c r="F16" s="6">
        <v>750</v>
      </c>
      <c r="G16" t="s">
        <v>3716</v>
      </c>
    </row>
    <row r="17" spans="1:7">
      <c r="A17" t="s">
        <v>3517</v>
      </c>
      <c r="B17" t="s">
        <v>3717</v>
      </c>
      <c r="C17" t="s">
        <v>3718</v>
      </c>
      <c r="D17" t="s">
        <v>3719</v>
      </c>
      <c r="E17">
        <v>10</v>
      </c>
      <c r="F17" s="6">
        <v>50</v>
      </c>
      <c r="G17" t="s">
        <v>3681</v>
      </c>
    </row>
    <row r="18" spans="1:7">
      <c r="A18" t="s">
        <v>2889</v>
      </c>
      <c r="B18" t="s">
        <v>3720</v>
      </c>
      <c r="C18" t="s">
        <v>3721</v>
      </c>
      <c r="D18" t="s">
        <v>3722</v>
      </c>
      <c r="E18">
        <v>24</v>
      </c>
      <c r="F18" s="6">
        <v>50</v>
      </c>
      <c r="G18" t="s">
        <v>3681</v>
      </c>
    </row>
    <row r="19" spans="1:7">
      <c r="A19" t="s">
        <v>3723</v>
      </c>
      <c r="B19" t="s">
        <v>3724</v>
      </c>
      <c r="C19" t="s">
        <v>3679</v>
      </c>
      <c r="D19" t="s">
        <v>3680</v>
      </c>
      <c r="E19">
        <v>1</v>
      </c>
      <c r="F19" s="6">
        <v>800</v>
      </c>
      <c r="G19" t="s">
        <v>3686</v>
      </c>
    </row>
    <row r="20" spans="1:7">
      <c r="A20" t="s">
        <v>3725</v>
      </c>
      <c r="B20" t="s">
        <v>3726</v>
      </c>
      <c r="C20" t="s">
        <v>3679</v>
      </c>
      <c r="D20" t="s">
        <v>3680</v>
      </c>
      <c r="E20">
        <v>6</v>
      </c>
      <c r="F20" s="6">
        <v>750</v>
      </c>
      <c r="G20" t="s">
        <v>3705</v>
      </c>
    </row>
    <row r="21" spans="1:7">
      <c r="A21" t="s">
        <v>2722</v>
      </c>
      <c r="B21" t="s">
        <v>3727</v>
      </c>
      <c r="C21" t="s">
        <v>3679</v>
      </c>
      <c r="D21" t="s">
        <v>3680</v>
      </c>
      <c r="E21">
        <v>1</v>
      </c>
      <c r="F21" s="6">
        <v>50</v>
      </c>
      <c r="G21" t="s">
        <v>3686</v>
      </c>
    </row>
    <row r="22" spans="1:7">
      <c r="A22" t="s">
        <v>3728</v>
      </c>
      <c r="B22" t="s">
        <v>3729</v>
      </c>
      <c r="C22" t="s">
        <v>3684</v>
      </c>
      <c r="D22" t="s">
        <v>3685</v>
      </c>
      <c r="E22">
        <v>6</v>
      </c>
      <c r="F22" s="6">
        <v>800</v>
      </c>
      <c r="G22" t="s">
        <v>3730</v>
      </c>
    </row>
    <row r="23" spans="1:7">
      <c r="A23" t="s">
        <v>3731</v>
      </c>
      <c r="B23" t="s">
        <v>3732</v>
      </c>
      <c r="C23" t="s">
        <v>3679</v>
      </c>
      <c r="D23" t="s">
        <v>3680</v>
      </c>
      <c r="E23">
        <v>3</v>
      </c>
      <c r="F23" s="6">
        <v>1750</v>
      </c>
      <c r="G23" t="s">
        <v>3681</v>
      </c>
    </row>
    <row r="24" spans="1:7">
      <c r="A24" t="s">
        <v>3733</v>
      </c>
      <c r="B24" t="s">
        <v>3734</v>
      </c>
      <c r="C24" t="s">
        <v>3679</v>
      </c>
      <c r="D24" t="s">
        <v>3680</v>
      </c>
      <c r="E24">
        <v>4</v>
      </c>
      <c r="F24" s="6">
        <v>750</v>
      </c>
      <c r="G24" t="s">
        <v>3735</v>
      </c>
    </row>
    <row r="25" spans="1:7">
      <c r="A25" t="s">
        <v>1768</v>
      </c>
      <c r="B25" t="s">
        <v>3736</v>
      </c>
      <c r="C25" t="s">
        <v>3679</v>
      </c>
      <c r="D25" t="s">
        <v>3680</v>
      </c>
      <c r="E25">
        <v>12</v>
      </c>
      <c r="F25" s="6">
        <v>750</v>
      </c>
      <c r="G25" t="s">
        <v>3730</v>
      </c>
    </row>
    <row r="26" spans="1:7">
      <c r="A26" t="s">
        <v>466</v>
      </c>
      <c r="B26" t="s">
        <v>3737</v>
      </c>
      <c r="C26" t="s">
        <v>3679</v>
      </c>
      <c r="D26" t="s">
        <v>3680</v>
      </c>
      <c r="E26">
        <v>12</v>
      </c>
      <c r="F26" s="6">
        <v>750</v>
      </c>
      <c r="G26" t="s">
        <v>3686</v>
      </c>
    </row>
    <row r="27" spans="1:7">
      <c r="A27" t="s">
        <v>3138</v>
      </c>
      <c r="B27" t="s">
        <v>3738</v>
      </c>
      <c r="C27" t="s">
        <v>3679</v>
      </c>
      <c r="D27" t="s">
        <v>3680</v>
      </c>
      <c r="E27">
        <v>30</v>
      </c>
      <c r="F27" s="6">
        <v>50</v>
      </c>
      <c r="G27" t="s">
        <v>3686</v>
      </c>
    </row>
    <row r="28" spans="1:7">
      <c r="A28" t="s">
        <v>1099</v>
      </c>
      <c r="B28" t="s">
        <v>3739</v>
      </c>
      <c r="C28" t="s">
        <v>3700</v>
      </c>
      <c r="D28" t="s">
        <v>3701</v>
      </c>
      <c r="E28">
        <v>6</v>
      </c>
      <c r="F28" s="6">
        <v>200</v>
      </c>
      <c r="G28" t="s">
        <v>3689</v>
      </c>
    </row>
    <row r="29" spans="1:7">
      <c r="A29" t="s">
        <v>2121</v>
      </c>
      <c r="B29" t="s">
        <v>3740</v>
      </c>
      <c r="C29" t="s">
        <v>3679</v>
      </c>
      <c r="D29" t="s">
        <v>3680</v>
      </c>
      <c r="E29">
        <v>6</v>
      </c>
      <c r="F29" s="6">
        <v>850</v>
      </c>
      <c r="G29" t="s">
        <v>3730</v>
      </c>
    </row>
    <row r="30" spans="1:7">
      <c r="A30" t="s">
        <v>3741</v>
      </c>
      <c r="B30" t="s">
        <v>3742</v>
      </c>
      <c r="C30" t="s">
        <v>3679</v>
      </c>
      <c r="D30" t="s">
        <v>3680</v>
      </c>
      <c r="E30">
        <v>6</v>
      </c>
      <c r="F30" s="6">
        <v>750</v>
      </c>
      <c r="G30" t="s">
        <v>3681</v>
      </c>
    </row>
    <row r="31" spans="1:7">
      <c r="A31" t="s">
        <v>3743</v>
      </c>
      <c r="B31" t="s">
        <v>3744</v>
      </c>
      <c r="C31" t="s">
        <v>3679</v>
      </c>
      <c r="D31" t="s">
        <v>3680</v>
      </c>
      <c r="E31">
        <v>6</v>
      </c>
      <c r="F31" s="6">
        <v>850</v>
      </c>
      <c r="G31" t="s">
        <v>3730</v>
      </c>
    </row>
    <row r="32" spans="1:7">
      <c r="A32" t="s">
        <v>3745</v>
      </c>
      <c r="B32" t="s">
        <v>3746</v>
      </c>
      <c r="C32" t="s">
        <v>3700</v>
      </c>
      <c r="D32" t="s">
        <v>3701</v>
      </c>
      <c r="E32">
        <v>1</v>
      </c>
      <c r="F32" s="6">
        <v>1800</v>
      </c>
      <c r="G32" t="s">
        <v>3702</v>
      </c>
    </row>
    <row r="33" spans="1:7">
      <c r="A33" t="s">
        <v>3747</v>
      </c>
      <c r="B33" t="s">
        <v>3748</v>
      </c>
      <c r="C33" t="s">
        <v>3679</v>
      </c>
      <c r="D33" t="s">
        <v>3680</v>
      </c>
      <c r="E33">
        <v>6</v>
      </c>
      <c r="F33" s="6">
        <v>50</v>
      </c>
      <c r="G33" t="s">
        <v>3730</v>
      </c>
    </row>
    <row r="34" spans="1:7">
      <c r="A34" t="s">
        <v>3749</v>
      </c>
      <c r="B34" t="s">
        <v>3750</v>
      </c>
      <c r="C34" t="s">
        <v>3679</v>
      </c>
      <c r="D34" t="s">
        <v>3680</v>
      </c>
      <c r="E34">
        <v>6</v>
      </c>
      <c r="F34" s="6">
        <v>1750</v>
      </c>
      <c r="G34" t="s">
        <v>3689</v>
      </c>
    </row>
    <row r="35" spans="1:7">
      <c r="A35" t="s">
        <v>2724</v>
      </c>
      <c r="B35" t="s">
        <v>3751</v>
      </c>
      <c r="C35" t="s">
        <v>3679</v>
      </c>
      <c r="D35" t="s">
        <v>3680</v>
      </c>
      <c r="E35">
        <v>1</v>
      </c>
      <c r="F35" s="6">
        <v>50</v>
      </c>
      <c r="G35" t="s">
        <v>3686</v>
      </c>
    </row>
    <row r="36" spans="1:7">
      <c r="A36" t="s">
        <v>3752</v>
      </c>
      <c r="B36" t="s">
        <v>3753</v>
      </c>
      <c r="C36" t="s">
        <v>3679</v>
      </c>
      <c r="D36" t="s">
        <v>3680</v>
      </c>
      <c r="E36">
        <v>6</v>
      </c>
      <c r="F36" s="6">
        <v>750</v>
      </c>
      <c r="G36" t="s">
        <v>3754</v>
      </c>
    </row>
    <row r="37" spans="1:7">
      <c r="A37" t="s">
        <v>452</v>
      </c>
      <c r="B37" t="s">
        <v>3755</v>
      </c>
      <c r="C37" t="s">
        <v>3756</v>
      </c>
      <c r="D37" t="s">
        <v>3757</v>
      </c>
      <c r="E37">
        <v>1</v>
      </c>
      <c r="F37" s="6">
        <v>50</v>
      </c>
      <c r="G37" t="s">
        <v>3686</v>
      </c>
    </row>
    <row r="38" spans="1:7">
      <c r="A38" t="s">
        <v>3758</v>
      </c>
      <c r="B38" t="s">
        <v>3759</v>
      </c>
      <c r="C38" t="s">
        <v>3679</v>
      </c>
      <c r="D38" t="s">
        <v>3680</v>
      </c>
      <c r="E38">
        <v>1</v>
      </c>
      <c r="F38" s="6">
        <v>50</v>
      </c>
      <c r="G38" t="s">
        <v>3686</v>
      </c>
    </row>
    <row r="39" spans="1:7">
      <c r="A39" t="s">
        <v>3178</v>
      </c>
      <c r="B39" t="s">
        <v>3760</v>
      </c>
      <c r="C39" t="s">
        <v>3679</v>
      </c>
      <c r="D39" t="s">
        <v>3680</v>
      </c>
      <c r="E39">
        <v>6</v>
      </c>
      <c r="F39" s="6">
        <v>750</v>
      </c>
      <c r="G39" t="s">
        <v>3730</v>
      </c>
    </row>
    <row r="40" spans="1:7">
      <c r="A40" t="s">
        <v>3761</v>
      </c>
      <c r="B40" t="s">
        <v>3762</v>
      </c>
      <c r="C40" t="s">
        <v>3679</v>
      </c>
      <c r="D40" t="s">
        <v>3680</v>
      </c>
      <c r="E40">
        <v>6</v>
      </c>
      <c r="F40" s="6">
        <v>750</v>
      </c>
      <c r="G40" t="s">
        <v>3763</v>
      </c>
    </row>
    <row r="41" spans="1:7">
      <c r="A41" t="s">
        <v>3764</v>
      </c>
      <c r="B41" t="s">
        <v>3765</v>
      </c>
      <c r="C41" t="s">
        <v>3679</v>
      </c>
      <c r="D41" t="s">
        <v>3680</v>
      </c>
      <c r="E41">
        <v>1</v>
      </c>
      <c r="F41" s="6">
        <v>50</v>
      </c>
      <c r="G41" t="s">
        <v>3686</v>
      </c>
    </row>
    <row r="42" spans="1:7">
      <c r="A42" t="s">
        <v>3766</v>
      </c>
      <c r="B42" t="s">
        <v>3767</v>
      </c>
      <c r="C42" t="s">
        <v>3700</v>
      </c>
      <c r="D42" t="s">
        <v>3701</v>
      </c>
      <c r="E42">
        <v>6</v>
      </c>
      <c r="F42" s="6">
        <v>200</v>
      </c>
      <c r="G42" t="s">
        <v>3716</v>
      </c>
    </row>
    <row r="43" spans="1:7">
      <c r="A43" t="s">
        <v>3768</v>
      </c>
      <c r="B43" t="s">
        <v>3769</v>
      </c>
      <c r="C43" t="s">
        <v>3679</v>
      </c>
      <c r="D43" t="s">
        <v>3680</v>
      </c>
      <c r="E43">
        <v>6</v>
      </c>
      <c r="F43" s="6">
        <v>750</v>
      </c>
      <c r="G43" t="s">
        <v>3730</v>
      </c>
    </row>
    <row r="44" spans="1:7">
      <c r="A44" t="s">
        <v>3770</v>
      </c>
      <c r="B44" t="s">
        <v>3771</v>
      </c>
      <c r="C44" t="s">
        <v>3679</v>
      </c>
      <c r="D44" t="s">
        <v>3680</v>
      </c>
      <c r="E44">
        <v>20</v>
      </c>
      <c r="F44" s="6">
        <v>50</v>
      </c>
      <c r="G44" t="s">
        <v>3681</v>
      </c>
    </row>
    <row r="45" spans="1:7">
      <c r="A45" t="s">
        <v>1251</v>
      </c>
      <c r="B45" t="s">
        <v>3772</v>
      </c>
      <c r="C45" t="s">
        <v>3679</v>
      </c>
      <c r="D45" t="s">
        <v>3680</v>
      </c>
      <c r="E45">
        <v>6</v>
      </c>
      <c r="F45" s="6">
        <v>750</v>
      </c>
      <c r="G45" t="s">
        <v>3716</v>
      </c>
    </row>
    <row r="46" spans="1:7">
      <c r="A46" t="s">
        <v>3773</v>
      </c>
      <c r="B46" t="s">
        <v>3774</v>
      </c>
      <c r="C46" t="s">
        <v>3708</v>
      </c>
      <c r="D46" t="s">
        <v>3709</v>
      </c>
      <c r="E46">
        <v>6</v>
      </c>
      <c r="F46" s="6">
        <v>50</v>
      </c>
      <c r="G46" t="s">
        <v>3686</v>
      </c>
    </row>
    <row r="47" spans="1:7">
      <c r="A47" t="s">
        <v>2099</v>
      </c>
      <c r="B47" t="s">
        <v>3774</v>
      </c>
      <c r="C47" t="s">
        <v>3708</v>
      </c>
      <c r="D47" t="s">
        <v>3709</v>
      </c>
      <c r="E47">
        <v>4</v>
      </c>
      <c r="F47" s="6">
        <v>100</v>
      </c>
      <c r="G47" t="s">
        <v>3686</v>
      </c>
    </row>
    <row r="48" spans="1:7">
      <c r="A48" t="s">
        <v>3775</v>
      </c>
      <c r="B48" t="s">
        <v>3776</v>
      </c>
      <c r="C48" t="s">
        <v>3679</v>
      </c>
      <c r="D48" t="s">
        <v>3680</v>
      </c>
      <c r="E48">
        <v>1</v>
      </c>
      <c r="F48" s="6">
        <v>50</v>
      </c>
      <c r="G48" t="s">
        <v>3686</v>
      </c>
    </row>
    <row r="49" spans="1:7">
      <c r="A49" t="s">
        <v>3777</v>
      </c>
      <c r="B49" t="s">
        <v>3778</v>
      </c>
      <c r="C49" t="s">
        <v>3679</v>
      </c>
      <c r="D49" t="s">
        <v>3680</v>
      </c>
      <c r="E49">
        <v>6</v>
      </c>
      <c r="F49" s="6">
        <v>950</v>
      </c>
      <c r="G49" t="s">
        <v>3763</v>
      </c>
    </row>
    <row r="50" spans="1:7">
      <c r="A50" t="s">
        <v>3779</v>
      </c>
      <c r="B50" t="s">
        <v>3780</v>
      </c>
      <c r="C50" t="s">
        <v>3679</v>
      </c>
      <c r="D50" t="s">
        <v>3680</v>
      </c>
      <c r="E50">
        <v>6</v>
      </c>
      <c r="F50" s="6">
        <v>850</v>
      </c>
      <c r="G50" t="s">
        <v>3781</v>
      </c>
    </row>
    <row r="51" spans="1:7">
      <c r="A51" t="s">
        <v>512</v>
      </c>
      <c r="B51" t="s">
        <v>3782</v>
      </c>
      <c r="C51" t="s">
        <v>3783</v>
      </c>
      <c r="D51" t="s">
        <v>3784</v>
      </c>
      <c r="E51">
        <v>1</v>
      </c>
      <c r="F51" s="6">
        <v>50</v>
      </c>
      <c r="G51" t="s">
        <v>3686</v>
      </c>
    </row>
    <row r="52" spans="1:7">
      <c r="A52" t="s">
        <v>3785</v>
      </c>
      <c r="B52" t="s">
        <v>3786</v>
      </c>
      <c r="C52" t="s">
        <v>3679</v>
      </c>
      <c r="D52" t="s">
        <v>3680</v>
      </c>
      <c r="E52">
        <v>6</v>
      </c>
      <c r="F52" s="6">
        <v>750</v>
      </c>
      <c r="G52" t="s">
        <v>3787</v>
      </c>
    </row>
    <row r="53" spans="1:7">
      <c r="A53" t="s">
        <v>3788</v>
      </c>
      <c r="B53" t="s">
        <v>3789</v>
      </c>
      <c r="C53" t="s">
        <v>3679</v>
      </c>
      <c r="D53" t="s">
        <v>3680</v>
      </c>
      <c r="E53">
        <v>30</v>
      </c>
      <c r="F53" s="6">
        <v>50</v>
      </c>
      <c r="G53" t="s">
        <v>3686</v>
      </c>
    </row>
    <row r="54" spans="1:7">
      <c r="A54" t="s">
        <v>3790</v>
      </c>
      <c r="B54" t="s">
        <v>3791</v>
      </c>
      <c r="C54" t="s">
        <v>3692</v>
      </c>
      <c r="D54" t="s">
        <v>3693</v>
      </c>
      <c r="E54">
        <v>6</v>
      </c>
      <c r="F54" s="6">
        <v>1000</v>
      </c>
      <c r="G54" t="s">
        <v>3705</v>
      </c>
    </row>
    <row r="55" spans="1:7">
      <c r="A55" t="s">
        <v>3792</v>
      </c>
      <c r="B55" t="s">
        <v>3793</v>
      </c>
      <c r="C55" t="s">
        <v>3679</v>
      </c>
      <c r="D55" t="s">
        <v>3680</v>
      </c>
      <c r="E55">
        <v>6</v>
      </c>
      <c r="F55" s="6">
        <v>750</v>
      </c>
      <c r="G55" t="s">
        <v>3763</v>
      </c>
    </row>
    <row r="56" spans="1:7">
      <c r="A56" t="s">
        <v>3794</v>
      </c>
      <c r="B56" t="s">
        <v>3795</v>
      </c>
      <c r="C56" t="s">
        <v>3679</v>
      </c>
      <c r="D56" t="s">
        <v>3680</v>
      </c>
      <c r="E56">
        <v>6</v>
      </c>
      <c r="F56" s="6">
        <v>1750</v>
      </c>
      <c r="G56" t="s">
        <v>3686</v>
      </c>
    </row>
    <row r="57" spans="1:7">
      <c r="A57" t="s">
        <v>3796</v>
      </c>
      <c r="B57" t="s">
        <v>3797</v>
      </c>
      <c r="C57" t="s">
        <v>3679</v>
      </c>
      <c r="D57" t="s">
        <v>3680</v>
      </c>
      <c r="E57">
        <v>12</v>
      </c>
      <c r="F57" s="6">
        <v>50</v>
      </c>
      <c r="G57" t="s">
        <v>3686</v>
      </c>
    </row>
    <row r="58" spans="1:7">
      <c r="A58" t="s">
        <v>3798</v>
      </c>
      <c r="B58" t="s">
        <v>3799</v>
      </c>
      <c r="C58" t="s">
        <v>3679</v>
      </c>
      <c r="D58" t="s">
        <v>3680</v>
      </c>
      <c r="E58">
        <v>6</v>
      </c>
      <c r="F58" s="6">
        <v>750</v>
      </c>
      <c r="G58" t="s">
        <v>3716</v>
      </c>
    </row>
    <row r="59" spans="1:7">
      <c r="A59" t="s">
        <v>3800</v>
      </c>
      <c r="B59" t="s">
        <v>3801</v>
      </c>
      <c r="C59" t="s">
        <v>3700</v>
      </c>
      <c r="D59" t="s">
        <v>3701</v>
      </c>
      <c r="E59">
        <v>12</v>
      </c>
      <c r="F59" s="6">
        <v>100</v>
      </c>
      <c r="G59" t="s">
        <v>3802</v>
      </c>
    </row>
    <row r="60" spans="1:7">
      <c r="A60" t="s">
        <v>3803</v>
      </c>
      <c r="B60" t="s">
        <v>3804</v>
      </c>
      <c r="C60" t="s">
        <v>3679</v>
      </c>
      <c r="D60" t="s">
        <v>3680</v>
      </c>
      <c r="E60">
        <v>3</v>
      </c>
      <c r="F60" s="6">
        <v>1750</v>
      </c>
      <c r="G60" t="s">
        <v>3705</v>
      </c>
    </row>
    <row r="61" spans="1:7">
      <c r="A61" t="s">
        <v>3805</v>
      </c>
      <c r="B61" t="s">
        <v>3806</v>
      </c>
      <c r="C61" t="s">
        <v>3679</v>
      </c>
      <c r="D61" t="s">
        <v>3680</v>
      </c>
      <c r="E61">
        <v>6</v>
      </c>
      <c r="F61" s="6">
        <v>750</v>
      </c>
      <c r="G61" t="s">
        <v>3689</v>
      </c>
    </row>
    <row r="62" spans="1:7">
      <c r="A62" t="s">
        <v>1368</v>
      </c>
      <c r="B62" t="s">
        <v>3807</v>
      </c>
      <c r="C62" t="s">
        <v>3808</v>
      </c>
      <c r="D62" t="s">
        <v>3809</v>
      </c>
      <c r="E62">
        <v>15</v>
      </c>
      <c r="F62" s="6">
        <v>50</v>
      </c>
      <c r="G62" t="s">
        <v>3681</v>
      </c>
    </row>
    <row r="63" spans="1:7">
      <c r="A63" t="s">
        <v>3810</v>
      </c>
      <c r="B63" t="s">
        <v>3811</v>
      </c>
      <c r="C63" t="s">
        <v>3679</v>
      </c>
      <c r="D63" t="s">
        <v>3680</v>
      </c>
      <c r="E63">
        <v>3</v>
      </c>
      <c r="F63" s="6">
        <v>1750</v>
      </c>
      <c r="G63" t="s">
        <v>3681</v>
      </c>
    </row>
    <row r="64" spans="1:7">
      <c r="A64" t="s">
        <v>3812</v>
      </c>
      <c r="B64" t="s">
        <v>3813</v>
      </c>
      <c r="C64" t="s">
        <v>3679</v>
      </c>
      <c r="D64" t="s">
        <v>3680</v>
      </c>
      <c r="E64">
        <v>6</v>
      </c>
      <c r="F64" s="6">
        <v>750</v>
      </c>
      <c r="G64" t="s">
        <v>3735</v>
      </c>
    </row>
    <row r="65" spans="1:7">
      <c r="A65" t="s">
        <v>3814</v>
      </c>
      <c r="B65" t="s">
        <v>3815</v>
      </c>
      <c r="C65" t="s">
        <v>3679</v>
      </c>
      <c r="D65" t="s">
        <v>3680</v>
      </c>
      <c r="E65">
        <v>6</v>
      </c>
      <c r="F65" s="6">
        <v>750</v>
      </c>
      <c r="G65" t="s">
        <v>3730</v>
      </c>
    </row>
    <row r="66" spans="1:7">
      <c r="A66" t="s">
        <v>3816</v>
      </c>
      <c r="B66" t="s">
        <v>3817</v>
      </c>
      <c r="C66" t="s">
        <v>3679</v>
      </c>
      <c r="D66" t="s">
        <v>3680</v>
      </c>
      <c r="E66">
        <v>6</v>
      </c>
      <c r="F66" s="6">
        <v>750</v>
      </c>
      <c r="G66" t="s">
        <v>3705</v>
      </c>
    </row>
    <row r="67" spans="1:7">
      <c r="A67" t="s">
        <v>3818</v>
      </c>
      <c r="B67" t="s">
        <v>3819</v>
      </c>
      <c r="C67" t="s">
        <v>3679</v>
      </c>
      <c r="D67" t="s">
        <v>3680</v>
      </c>
      <c r="E67">
        <v>6</v>
      </c>
      <c r="F67" s="6">
        <v>375</v>
      </c>
      <c r="G67" t="s">
        <v>3681</v>
      </c>
    </row>
    <row r="68" spans="1:7">
      <c r="A68" t="s">
        <v>3820</v>
      </c>
      <c r="B68" t="s">
        <v>3821</v>
      </c>
      <c r="C68" t="s">
        <v>3679</v>
      </c>
      <c r="D68" t="s">
        <v>3680</v>
      </c>
      <c r="E68">
        <v>1</v>
      </c>
      <c r="F68" s="6">
        <v>50</v>
      </c>
      <c r="G68" t="s">
        <v>3686</v>
      </c>
    </row>
    <row r="69" spans="1:7">
      <c r="A69" t="s">
        <v>2203</v>
      </c>
      <c r="B69" t="s">
        <v>3822</v>
      </c>
      <c r="C69" t="s">
        <v>3679</v>
      </c>
      <c r="D69" t="s">
        <v>3680</v>
      </c>
      <c r="E69">
        <v>1</v>
      </c>
      <c r="F69" s="6">
        <v>50</v>
      </c>
      <c r="G69" t="s">
        <v>3686</v>
      </c>
    </row>
    <row r="70" spans="1:7">
      <c r="A70" t="s">
        <v>3823</v>
      </c>
      <c r="B70" t="s">
        <v>3824</v>
      </c>
      <c r="C70" t="s">
        <v>3692</v>
      </c>
      <c r="D70" t="s">
        <v>3693</v>
      </c>
      <c r="E70">
        <v>6</v>
      </c>
      <c r="F70" s="6">
        <v>750</v>
      </c>
      <c r="G70" t="s">
        <v>3730</v>
      </c>
    </row>
    <row r="71" spans="1:7">
      <c r="A71" t="s">
        <v>3825</v>
      </c>
      <c r="B71" t="s">
        <v>3826</v>
      </c>
      <c r="C71" t="s">
        <v>3679</v>
      </c>
      <c r="D71" t="s">
        <v>3680</v>
      </c>
      <c r="E71">
        <v>6</v>
      </c>
      <c r="F71" s="6">
        <v>750</v>
      </c>
      <c r="G71" t="s">
        <v>3730</v>
      </c>
    </row>
    <row r="72" spans="1:7">
      <c r="A72" t="s">
        <v>3827</v>
      </c>
      <c r="B72" t="s">
        <v>3828</v>
      </c>
      <c r="C72" t="s">
        <v>3679</v>
      </c>
      <c r="D72" t="s">
        <v>3680</v>
      </c>
      <c r="E72">
        <v>6</v>
      </c>
      <c r="F72" s="6">
        <v>750</v>
      </c>
      <c r="G72" t="s">
        <v>3730</v>
      </c>
    </row>
    <row r="73" spans="1:7">
      <c r="A73" t="s">
        <v>3829</v>
      </c>
      <c r="B73" t="s">
        <v>3830</v>
      </c>
      <c r="C73" t="s">
        <v>3692</v>
      </c>
      <c r="D73" t="s">
        <v>3693</v>
      </c>
      <c r="E73">
        <v>6</v>
      </c>
      <c r="F73" s="6">
        <v>750</v>
      </c>
      <c r="G73" t="s">
        <v>3730</v>
      </c>
    </row>
    <row r="74" spans="1:7">
      <c r="A74" t="s">
        <v>411</v>
      </c>
      <c r="B74" t="s">
        <v>3831</v>
      </c>
      <c r="C74" t="s">
        <v>3679</v>
      </c>
      <c r="D74" t="s">
        <v>3680</v>
      </c>
      <c r="E74">
        <v>12</v>
      </c>
      <c r="F74" s="6">
        <v>200</v>
      </c>
      <c r="G74" t="s">
        <v>3832</v>
      </c>
    </row>
    <row r="75" spans="1:7">
      <c r="A75" t="s">
        <v>3833</v>
      </c>
      <c r="B75" t="s">
        <v>3834</v>
      </c>
      <c r="C75" t="s">
        <v>3679</v>
      </c>
      <c r="D75" t="s">
        <v>3680</v>
      </c>
      <c r="E75">
        <v>6</v>
      </c>
      <c r="F75" s="6">
        <v>800</v>
      </c>
      <c r="G75" t="s">
        <v>3832</v>
      </c>
    </row>
    <row r="76" spans="1:7">
      <c r="A76" t="s">
        <v>3835</v>
      </c>
      <c r="B76" t="s">
        <v>3836</v>
      </c>
      <c r="C76" t="s">
        <v>3679</v>
      </c>
      <c r="D76" t="s">
        <v>3680</v>
      </c>
      <c r="E76">
        <v>6</v>
      </c>
      <c r="F76" s="6">
        <v>750</v>
      </c>
      <c r="G76" t="s">
        <v>3705</v>
      </c>
    </row>
    <row r="77" spans="1:7">
      <c r="A77" t="s">
        <v>3837</v>
      </c>
      <c r="B77" t="s">
        <v>3838</v>
      </c>
      <c r="C77" t="s">
        <v>3679</v>
      </c>
      <c r="D77" t="s">
        <v>3680</v>
      </c>
      <c r="E77">
        <v>1</v>
      </c>
      <c r="F77" s="6">
        <v>50</v>
      </c>
      <c r="G77" t="s">
        <v>3686</v>
      </c>
    </row>
    <row r="78" spans="1:7">
      <c r="A78" t="s">
        <v>2875</v>
      </c>
      <c r="B78" t="s">
        <v>3839</v>
      </c>
      <c r="C78" t="s">
        <v>3679</v>
      </c>
      <c r="D78" t="s">
        <v>3680</v>
      </c>
      <c r="E78">
        <v>1</v>
      </c>
      <c r="F78" s="6">
        <v>5250</v>
      </c>
      <c r="G78" t="s">
        <v>3686</v>
      </c>
    </row>
    <row r="79" spans="1:7">
      <c r="A79" t="s">
        <v>2524</v>
      </c>
      <c r="B79" t="s">
        <v>3840</v>
      </c>
      <c r="C79" t="s">
        <v>3679</v>
      </c>
      <c r="D79" t="s">
        <v>3680</v>
      </c>
      <c r="E79">
        <v>6</v>
      </c>
      <c r="F79" s="6">
        <v>750</v>
      </c>
      <c r="G79" t="s">
        <v>3686</v>
      </c>
    </row>
    <row r="80" spans="1:7">
      <c r="A80" t="s">
        <v>3841</v>
      </c>
      <c r="B80" t="s">
        <v>3842</v>
      </c>
      <c r="C80" t="s">
        <v>3679</v>
      </c>
      <c r="D80" t="s">
        <v>3680</v>
      </c>
      <c r="E80">
        <v>6</v>
      </c>
      <c r="F80" s="6">
        <v>750</v>
      </c>
      <c r="G80" t="s">
        <v>3713</v>
      </c>
    </row>
    <row r="81" spans="1:7">
      <c r="A81" t="s">
        <v>3843</v>
      </c>
      <c r="B81" t="s">
        <v>3844</v>
      </c>
      <c r="C81" t="s">
        <v>3679</v>
      </c>
      <c r="D81" t="s">
        <v>3680</v>
      </c>
      <c r="E81">
        <v>6</v>
      </c>
      <c r="F81" s="6">
        <v>750</v>
      </c>
      <c r="G81" t="s">
        <v>3845</v>
      </c>
    </row>
    <row r="82" spans="1:7">
      <c r="A82" t="s">
        <v>1715</v>
      </c>
      <c r="B82" t="s">
        <v>3846</v>
      </c>
      <c r="C82" t="s">
        <v>3808</v>
      </c>
      <c r="D82" t="s">
        <v>3809</v>
      </c>
      <c r="E82">
        <v>1</v>
      </c>
      <c r="F82" s="6">
        <v>50</v>
      </c>
      <c r="G82" t="s">
        <v>3686</v>
      </c>
    </row>
    <row r="83" spans="1:7">
      <c r="A83" t="s">
        <v>3847</v>
      </c>
      <c r="B83" t="s">
        <v>3848</v>
      </c>
      <c r="C83" t="s">
        <v>3679</v>
      </c>
      <c r="D83" t="s">
        <v>3680</v>
      </c>
      <c r="E83">
        <v>3</v>
      </c>
      <c r="F83" s="6">
        <v>750</v>
      </c>
      <c r="G83" t="s">
        <v>3716</v>
      </c>
    </row>
    <row r="84" spans="1:7">
      <c r="A84" t="s">
        <v>3849</v>
      </c>
      <c r="B84" t="s">
        <v>3850</v>
      </c>
      <c r="C84" t="s">
        <v>3679</v>
      </c>
      <c r="D84" t="s">
        <v>3680</v>
      </c>
      <c r="E84">
        <v>1</v>
      </c>
      <c r="F84" s="6">
        <v>50</v>
      </c>
      <c r="G84" t="s">
        <v>3851</v>
      </c>
    </row>
    <row r="85" spans="1:7">
      <c r="A85" t="s">
        <v>3852</v>
      </c>
      <c r="B85" t="s">
        <v>3853</v>
      </c>
      <c r="C85" t="s">
        <v>3679</v>
      </c>
      <c r="D85" t="s">
        <v>3680</v>
      </c>
      <c r="E85">
        <v>12</v>
      </c>
      <c r="F85" s="6">
        <v>50</v>
      </c>
      <c r="G85" t="s">
        <v>3854</v>
      </c>
    </row>
    <row r="86" spans="1:7">
      <c r="A86" t="s">
        <v>3855</v>
      </c>
      <c r="B86" t="s">
        <v>3856</v>
      </c>
      <c r="C86" t="s">
        <v>3679</v>
      </c>
      <c r="D86" t="s">
        <v>3680</v>
      </c>
      <c r="E86">
        <v>6</v>
      </c>
      <c r="F86" s="6">
        <v>850</v>
      </c>
      <c r="G86" t="s">
        <v>3686</v>
      </c>
    </row>
    <row r="87" spans="1:7">
      <c r="A87" t="s">
        <v>3857</v>
      </c>
      <c r="B87" t="s">
        <v>3858</v>
      </c>
      <c r="C87" t="s">
        <v>3679</v>
      </c>
      <c r="D87" t="s">
        <v>3680</v>
      </c>
      <c r="E87">
        <v>6</v>
      </c>
      <c r="F87" s="6">
        <v>750</v>
      </c>
      <c r="G87" t="s">
        <v>3716</v>
      </c>
    </row>
    <row r="88" spans="1:7">
      <c r="A88" t="s">
        <v>3859</v>
      </c>
      <c r="B88" t="s">
        <v>3860</v>
      </c>
      <c r="C88" t="s">
        <v>3679</v>
      </c>
      <c r="D88" t="s">
        <v>3680</v>
      </c>
      <c r="E88">
        <v>6</v>
      </c>
      <c r="F88" s="6">
        <v>750</v>
      </c>
      <c r="G88" t="s">
        <v>3716</v>
      </c>
    </row>
    <row r="89" spans="1:7">
      <c r="A89" t="s">
        <v>3861</v>
      </c>
      <c r="B89" t="s">
        <v>3862</v>
      </c>
      <c r="C89" t="s">
        <v>3679</v>
      </c>
      <c r="D89" t="s">
        <v>3680</v>
      </c>
      <c r="E89">
        <v>6</v>
      </c>
      <c r="F89" s="6">
        <v>750</v>
      </c>
      <c r="G89" t="s">
        <v>3716</v>
      </c>
    </row>
    <row r="90" spans="1:7">
      <c r="A90" t="s">
        <v>3863</v>
      </c>
      <c r="B90" t="s">
        <v>3864</v>
      </c>
      <c r="C90" t="s">
        <v>3700</v>
      </c>
      <c r="D90" t="s">
        <v>3701</v>
      </c>
      <c r="E90">
        <v>1</v>
      </c>
      <c r="F90" s="6">
        <v>2250</v>
      </c>
      <c r="G90" t="s">
        <v>3702</v>
      </c>
    </row>
    <row r="91" spans="1:7">
      <c r="A91" t="s">
        <v>3865</v>
      </c>
      <c r="B91" t="s">
        <v>3866</v>
      </c>
      <c r="C91" t="s">
        <v>3679</v>
      </c>
      <c r="D91" t="s">
        <v>3680</v>
      </c>
      <c r="E91">
        <v>6</v>
      </c>
      <c r="F91" s="6">
        <v>800</v>
      </c>
      <c r="G91" t="s">
        <v>3730</v>
      </c>
    </row>
    <row r="92" spans="1:7">
      <c r="A92" t="s">
        <v>3867</v>
      </c>
      <c r="B92" t="s">
        <v>3868</v>
      </c>
      <c r="C92" t="s">
        <v>3679</v>
      </c>
      <c r="D92" t="s">
        <v>3680</v>
      </c>
      <c r="E92">
        <v>6</v>
      </c>
      <c r="F92" s="6">
        <v>750</v>
      </c>
      <c r="G92" t="s">
        <v>3730</v>
      </c>
    </row>
    <row r="93" spans="1:7">
      <c r="A93" t="s">
        <v>3869</v>
      </c>
      <c r="B93" t="s">
        <v>3870</v>
      </c>
      <c r="C93" t="s">
        <v>3808</v>
      </c>
      <c r="D93" t="s">
        <v>3809</v>
      </c>
      <c r="E93">
        <v>10</v>
      </c>
      <c r="F93" s="6">
        <v>50</v>
      </c>
      <c r="G93" t="s">
        <v>3871</v>
      </c>
    </row>
    <row r="94" spans="1:7">
      <c r="A94" t="s">
        <v>3872</v>
      </c>
      <c r="B94" t="s">
        <v>3873</v>
      </c>
      <c r="C94" t="s">
        <v>3679</v>
      </c>
      <c r="D94" t="s">
        <v>3680</v>
      </c>
      <c r="E94">
        <v>6</v>
      </c>
      <c r="F94" s="6">
        <v>750</v>
      </c>
      <c r="G94" t="s">
        <v>3681</v>
      </c>
    </row>
    <row r="95" spans="1:7">
      <c r="A95" t="s">
        <v>3874</v>
      </c>
      <c r="B95" t="s">
        <v>3875</v>
      </c>
      <c r="C95" t="s">
        <v>3700</v>
      </c>
      <c r="D95" t="s">
        <v>3701</v>
      </c>
      <c r="E95">
        <v>1</v>
      </c>
      <c r="F95" s="6">
        <v>200</v>
      </c>
      <c r="G95" t="s">
        <v>3716</v>
      </c>
    </row>
    <row r="96" spans="1:7">
      <c r="A96" t="s">
        <v>3876</v>
      </c>
      <c r="B96" t="s">
        <v>3877</v>
      </c>
      <c r="C96" t="s">
        <v>3679</v>
      </c>
      <c r="D96" t="s">
        <v>3680</v>
      </c>
      <c r="E96">
        <v>6</v>
      </c>
      <c r="F96" s="6">
        <v>600</v>
      </c>
      <c r="G96" t="s">
        <v>3878</v>
      </c>
    </row>
    <row r="97" spans="1:7">
      <c r="A97" t="s">
        <v>3879</v>
      </c>
      <c r="B97" t="s">
        <v>3880</v>
      </c>
      <c r="C97" t="s">
        <v>3679</v>
      </c>
      <c r="D97" t="s">
        <v>3680</v>
      </c>
      <c r="E97">
        <v>6</v>
      </c>
      <c r="F97" s="6">
        <v>600</v>
      </c>
      <c r="G97" t="s">
        <v>3878</v>
      </c>
    </row>
    <row r="98" spans="1:7">
      <c r="A98" t="s">
        <v>3881</v>
      </c>
      <c r="B98" t="s">
        <v>3882</v>
      </c>
      <c r="C98" t="s">
        <v>3679</v>
      </c>
      <c r="D98" t="s">
        <v>3680</v>
      </c>
      <c r="E98">
        <v>6</v>
      </c>
      <c r="F98" s="6">
        <v>750</v>
      </c>
      <c r="G98" t="s">
        <v>3705</v>
      </c>
    </row>
    <row r="99" spans="1:7">
      <c r="A99" t="s">
        <v>3883</v>
      </c>
      <c r="B99" t="s">
        <v>3884</v>
      </c>
      <c r="C99" t="s">
        <v>3679</v>
      </c>
      <c r="D99" t="s">
        <v>3680</v>
      </c>
      <c r="E99">
        <v>12</v>
      </c>
      <c r="F99" s="6">
        <v>200</v>
      </c>
      <c r="G99" t="s">
        <v>3832</v>
      </c>
    </row>
    <row r="100" spans="1:7">
      <c r="A100" t="s">
        <v>3885</v>
      </c>
      <c r="B100" t="s">
        <v>3886</v>
      </c>
      <c r="C100" t="s">
        <v>3679</v>
      </c>
      <c r="D100" t="s">
        <v>3680</v>
      </c>
      <c r="E100">
        <v>6</v>
      </c>
      <c r="F100" s="6">
        <v>750</v>
      </c>
      <c r="G100" t="s">
        <v>3689</v>
      </c>
    </row>
    <row r="101" spans="1:7">
      <c r="A101" t="s">
        <v>1145</v>
      </c>
      <c r="B101" t="s">
        <v>3887</v>
      </c>
      <c r="C101" t="s">
        <v>3679</v>
      </c>
      <c r="D101" t="s">
        <v>3680</v>
      </c>
      <c r="E101">
        <v>6</v>
      </c>
      <c r="F101" s="6">
        <v>750</v>
      </c>
      <c r="G101" t="s">
        <v>3888</v>
      </c>
    </row>
    <row r="102" spans="1:7">
      <c r="A102" t="s">
        <v>3889</v>
      </c>
      <c r="B102" t="s">
        <v>3890</v>
      </c>
      <c r="C102" t="s">
        <v>3679</v>
      </c>
      <c r="D102" t="s">
        <v>3680</v>
      </c>
      <c r="E102">
        <v>6</v>
      </c>
      <c r="F102" s="6">
        <v>750</v>
      </c>
      <c r="G102" t="s">
        <v>3716</v>
      </c>
    </row>
    <row r="103" spans="1:7">
      <c r="A103" t="s">
        <v>3891</v>
      </c>
      <c r="B103" t="s">
        <v>3892</v>
      </c>
      <c r="C103" t="s">
        <v>3679</v>
      </c>
      <c r="D103" t="s">
        <v>3680</v>
      </c>
      <c r="E103">
        <v>3</v>
      </c>
      <c r="F103" s="6">
        <v>750</v>
      </c>
      <c r="G103" t="s">
        <v>3681</v>
      </c>
    </row>
    <row r="104" spans="1:7">
      <c r="A104" t="s">
        <v>3893</v>
      </c>
      <c r="B104" t="s">
        <v>3894</v>
      </c>
      <c r="C104" t="s">
        <v>3679</v>
      </c>
      <c r="D104" t="s">
        <v>3680</v>
      </c>
      <c r="E104">
        <v>4</v>
      </c>
      <c r="F104" s="6">
        <v>1750</v>
      </c>
      <c r="G104" t="s">
        <v>3730</v>
      </c>
    </row>
    <row r="105" spans="1:7">
      <c r="A105" t="s">
        <v>3895</v>
      </c>
      <c r="B105" t="s">
        <v>3896</v>
      </c>
      <c r="C105" t="s">
        <v>3679</v>
      </c>
      <c r="D105" t="s">
        <v>3680</v>
      </c>
      <c r="E105">
        <v>6</v>
      </c>
      <c r="F105" s="6">
        <v>750</v>
      </c>
      <c r="G105" t="s">
        <v>3705</v>
      </c>
    </row>
    <row r="106" spans="1:7">
      <c r="A106" t="s">
        <v>3897</v>
      </c>
      <c r="B106" t="s">
        <v>3898</v>
      </c>
      <c r="C106" t="s">
        <v>3679</v>
      </c>
      <c r="D106" t="s">
        <v>3680</v>
      </c>
      <c r="E106">
        <v>6</v>
      </c>
      <c r="F106" s="6">
        <v>750</v>
      </c>
      <c r="G106" t="s">
        <v>3730</v>
      </c>
    </row>
    <row r="107" spans="1:7">
      <c r="A107" t="s">
        <v>290</v>
      </c>
      <c r="B107" t="s">
        <v>3899</v>
      </c>
      <c r="C107" t="s">
        <v>3708</v>
      </c>
      <c r="D107" t="s">
        <v>3709</v>
      </c>
      <c r="E107">
        <v>1</v>
      </c>
      <c r="F107" s="6">
        <v>50</v>
      </c>
      <c r="G107" t="s">
        <v>3686</v>
      </c>
    </row>
    <row r="108" spans="1:7">
      <c r="A108" t="s">
        <v>3900</v>
      </c>
      <c r="B108" t="s">
        <v>3901</v>
      </c>
      <c r="C108" t="s">
        <v>3783</v>
      </c>
      <c r="D108" t="s">
        <v>3784</v>
      </c>
      <c r="E108">
        <v>1</v>
      </c>
      <c r="F108" s="6">
        <v>50</v>
      </c>
      <c r="G108" t="s">
        <v>3686</v>
      </c>
    </row>
    <row r="109" spans="1:7">
      <c r="A109" t="s">
        <v>2555</v>
      </c>
      <c r="B109" t="s">
        <v>3902</v>
      </c>
      <c r="C109" t="s">
        <v>3679</v>
      </c>
      <c r="D109" t="s">
        <v>3680</v>
      </c>
      <c r="E109">
        <v>6</v>
      </c>
      <c r="F109" s="6">
        <v>750</v>
      </c>
      <c r="G109" t="s">
        <v>3705</v>
      </c>
    </row>
    <row r="110" spans="1:7">
      <c r="A110" t="s">
        <v>3903</v>
      </c>
      <c r="B110" t="s">
        <v>3904</v>
      </c>
      <c r="C110" t="s">
        <v>3679</v>
      </c>
      <c r="D110" t="s">
        <v>3680</v>
      </c>
      <c r="E110">
        <v>6</v>
      </c>
      <c r="F110" s="6">
        <v>750</v>
      </c>
      <c r="G110" t="s">
        <v>3681</v>
      </c>
    </row>
    <row r="111" spans="1:7">
      <c r="A111" t="s">
        <v>3905</v>
      </c>
      <c r="B111" t="s">
        <v>3906</v>
      </c>
      <c r="C111" t="s">
        <v>3679</v>
      </c>
      <c r="D111" t="s">
        <v>3680</v>
      </c>
      <c r="E111">
        <v>6</v>
      </c>
      <c r="F111" s="6">
        <v>750</v>
      </c>
      <c r="G111" t="s">
        <v>3888</v>
      </c>
    </row>
    <row r="112" spans="1:7">
      <c r="A112" t="s">
        <v>3907</v>
      </c>
      <c r="B112" t="s">
        <v>3908</v>
      </c>
      <c r="C112" t="s">
        <v>3679</v>
      </c>
      <c r="D112" t="s">
        <v>3680</v>
      </c>
      <c r="E112">
        <v>6</v>
      </c>
      <c r="F112" s="6">
        <v>750</v>
      </c>
      <c r="G112" t="s">
        <v>3888</v>
      </c>
    </row>
    <row r="113" spans="1:7">
      <c r="A113" t="s">
        <v>3909</v>
      </c>
      <c r="B113" t="s">
        <v>3910</v>
      </c>
      <c r="C113" t="s">
        <v>3679</v>
      </c>
      <c r="D113" t="s">
        <v>3680</v>
      </c>
      <c r="E113">
        <v>6</v>
      </c>
      <c r="F113" s="6">
        <v>750</v>
      </c>
      <c r="G113" t="s">
        <v>3888</v>
      </c>
    </row>
    <row r="114" spans="1:7">
      <c r="A114" t="s">
        <v>3911</v>
      </c>
      <c r="B114" t="s">
        <v>3912</v>
      </c>
      <c r="C114" t="s">
        <v>3679</v>
      </c>
      <c r="D114" t="s">
        <v>3680</v>
      </c>
      <c r="E114">
        <v>6</v>
      </c>
      <c r="F114" s="6">
        <v>750</v>
      </c>
      <c r="G114" t="s">
        <v>3888</v>
      </c>
    </row>
    <row r="115" spans="1:7">
      <c r="A115" t="s">
        <v>3913</v>
      </c>
      <c r="B115" t="s">
        <v>3914</v>
      </c>
      <c r="C115" t="s">
        <v>3679</v>
      </c>
      <c r="D115" t="s">
        <v>3680</v>
      </c>
      <c r="E115">
        <v>6</v>
      </c>
      <c r="F115" s="6">
        <v>750</v>
      </c>
      <c r="G115" t="s">
        <v>3681</v>
      </c>
    </row>
    <row r="116" spans="1:7">
      <c r="A116" t="s">
        <v>1575</v>
      </c>
      <c r="B116" t="s">
        <v>3915</v>
      </c>
      <c r="C116" t="s">
        <v>3679</v>
      </c>
      <c r="D116" t="s">
        <v>3680</v>
      </c>
      <c r="E116">
        <v>6</v>
      </c>
      <c r="F116" s="6">
        <v>1750</v>
      </c>
      <c r="G116" t="s">
        <v>3730</v>
      </c>
    </row>
    <row r="117" spans="1:7">
      <c r="A117" t="s">
        <v>3916</v>
      </c>
      <c r="B117" t="s">
        <v>3917</v>
      </c>
      <c r="C117" t="s">
        <v>3679</v>
      </c>
      <c r="D117" t="s">
        <v>3680</v>
      </c>
      <c r="E117">
        <v>6</v>
      </c>
      <c r="F117" s="6">
        <v>750</v>
      </c>
      <c r="G117" t="s">
        <v>3730</v>
      </c>
    </row>
    <row r="118" spans="1:7">
      <c r="A118" t="s">
        <v>3918</v>
      </c>
      <c r="B118" t="s">
        <v>3919</v>
      </c>
      <c r="C118" t="s">
        <v>3679</v>
      </c>
      <c r="D118" t="s">
        <v>3680</v>
      </c>
      <c r="E118">
        <v>6</v>
      </c>
      <c r="F118" s="6">
        <v>750</v>
      </c>
      <c r="G118" t="s">
        <v>3735</v>
      </c>
    </row>
    <row r="119" spans="1:7">
      <c r="A119" t="s">
        <v>3920</v>
      </c>
      <c r="B119" t="s">
        <v>3921</v>
      </c>
      <c r="C119" t="s">
        <v>3679</v>
      </c>
      <c r="D119" t="s">
        <v>3680</v>
      </c>
      <c r="E119">
        <v>6</v>
      </c>
      <c r="F119" s="6">
        <v>850</v>
      </c>
      <c r="G119" t="s">
        <v>3781</v>
      </c>
    </row>
    <row r="120" spans="1:7">
      <c r="A120" t="s">
        <v>3922</v>
      </c>
      <c r="B120" t="s">
        <v>3923</v>
      </c>
      <c r="C120" t="s">
        <v>3679</v>
      </c>
      <c r="D120" t="s">
        <v>3680</v>
      </c>
      <c r="E120">
        <v>6</v>
      </c>
      <c r="F120" s="6">
        <v>850</v>
      </c>
      <c r="G120" t="s">
        <v>3781</v>
      </c>
    </row>
    <row r="121" spans="1:7">
      <c r="A121" t="s">
        <v>3924</v>
      </c>
      <c r="B121" t="s">
        <v>3925</v>
      </c>
      <c r="C121" t="s">
        <v>3679</v>
      </c>
      <c r="D121" t="s">
        <v>3680</v>
      </c>
      <c r="E121">
        <v>6</v>
      </c>
      <c r="F121" s="6">
        <v>850</v>
      </c>
      <c r="G121" t="s">
        <v>3781</v>
      </c>
    </row>
    <row r="122" spans="1:7">
      <c r="A122" t="s">
        <v>3926</v>
      </c>
      <c r="B122" t="s">
        <v>3927</v>
      </c>
      <c r="C122" t="s">
        <v>3928</v>
      </c>
      <c r="D122" t="s">
        <v>3929</v>
      </c>
      <c r="E122">
        <v>6</v>
      </c>
      <c r="F122" s="6">
        <v>1750</v>
      </c>
      <c r="G122" t="s">
        <v>3716</v>
      </c>
    </row>
    <row r="123" spans="1:7">
      <c r="A123" t="s">
        <v>480</v>
      </c>
      <c r="B123" t="s">
        <v>3930</v>
      </c>
      <c r="C123" t="s">
        <v>3679</v>
      </c>
      <c r="D123" t="s">
        <v>3680</v>
      </c>
      <c r="E123">
        <v>6</v>
      </c>
      <c r="F123" s="6">
        <v>750</v>
      </c>
      <c r="G123" t="s">
        <v>3931</v>
      </c>
    </row>
    <row r="124" spans="1:7">
      <c r="A124" t="s">
        <v>3932</v>
      </c>
      <c r="B124" t="s">
        <v>3933</v>
      </c>
      <c r="C124" t="s">
        <v>3679</v>
      </c>
      <c r="D124" t="s">
        <v>3680</v>
      </c>
      <c r="E124">
        <v>6</v>
      </c>
      <c r="F124" s="6">
        <v>750</v>
      </c>
      <c r="G124" t="s">
        <v>3681</v>
      </c>
    </row>
    <row r="125" spans="1:7">
      <c r="A125" t="s">
        <v>3934</v>
      </c>
      <c r="B125" t="s">
        <v>3935</v>
      </c>
      <c r="C125" t="s">
        <v>3679</v>
      </c>
      <c r="D125" t="s">
        <v>3680</v>
      </c>
      <c r="E125">
        <v>6</v>
      </c>
      <c r="F125" s="6">
        <v>750</v>
      </c>
      <c r="G125" t="s">
        <v>3832</v>
      </c>
    </row>
    <row r="126" spans="1:7">
      <c r="A126" t="s">
        <v>3936</v>
      </c>
      <c r="B126" t="s">
        <v>3937</v>
      </c>
      <c r="C126" t="s">
        <v>3679</v>
      </c>
      <c r="D126" t="s">
        <v>3680</v>
      </c>
      <c r="E126">
        <v>8</v>
      </c>
      <c r="F126" s="6">
        <v>375</v>
      </c>
      <c r="G126" t="s">
        <v>3802</v>
      </c>
    </row>
    <row r="127" spans="1:7">
      <c r="A127" t="s">
        <v>3938</v>
      </c>
      <c r="B127" t="s">
        <v>3939</v>
      </c>
      <c r="C127" t="s">
        <v>3679</v>
      </c>
      <c r="D127" t="s">
        <v>3680</v>
      </c>
      <c r="E127">
        <v>6</v>
      </c>
      <c r="F127" s="6">
        <v>750</v>
      </c>
      <c r="G127" t="s">
        <v>3931</v>
      </c>
    </row>
    <row r="128" spans="1:7">
      <c r="A128" t="s">
        <v>3940</v>
      </c>
      <c r="B128" t="s">
        <v>3941</v>
      </c>
      <c r="C128" t="s">
        <v>3679</v>
      </c>
      <c r="D128" t="s">
        <v>3680</v>
      </c>
      <c r="E128">
        <v>6</v>
      </c>
      <c r="F128" s="6">
        <v>375</v>
      </c>
      <c r="G128" t="s">
        <v>3705</v>
      </c>
    </row>
    <row r="129" spans="1:7">
      <c r="A129" t="s">
        <v>3942</v>
      </c>
      <c r="B129" t="s">
        <v>3943</v>
      </c>
      <c r="C129" t="s">
        <v>3679</v>
      </c>
      <c r="D129" t="s">
        <v>3680</v>
      </c>
      <c r="E129">
        <v>6</v>
      </c>
      <c r="F129" s="6">
        <v>750</v>
      </c>
      <c r="G129" t="s">
        <v>3681</v>
      </c>
    </row>
    <row r="130" spans="1:7">
      <c r="A130" t="s">
        <v>3944</v>
      </c>
      <c r="B130" t="s">
        <v>3945</v>
      </c>
      <c r="C130" t="s">
        <v>3679</v>
      </c>
      <c r="D130" t="s">
        <v>3680</v>
      </c>
      <c r="E130">
        <v>6</v>
      </c>
      <c r="F130" s="6">
        <v>1125</v>
      </c>
      <c r="G130" t="s">
        <v>3845</v>
      </c>
    </row>
    <row r="131" spans="1:7">
      <c r="A131" t="s">
        <v>3155</v>
      </c>
      <c r="B131" t="s">
        <v>3946</v>
      </c>
      <c r="C131" t="s">
        <v>3947</v>
      </c>
      <c r="D131" t="s">
        <v>3948</v>
      </c>
      <c r="E131">
        <v>12</v>
      </c>
      <c r="F131" s="6">
        <v>50</v>
      </c>
      <c r="G131" t="s">
        <v>3686</v>
      </c>
    </row>
    <row r="132" spans="1:7">
      <c r="A132" t="s">
        <v>3949</v>
      </c>
      <c r="B132" t="s">
        <v>3950</v>
      </c>
      <c r="C132" t="s">
        <v>3679</v>
      </c>
      <c r="D132" t="s">
        <v>3680</v>
      </c>
      <c r="E132">
        <v>6</v>
      </c>
      <c r="F132" s="6">
        <v>750</v>
      </c>
      <c r="G132" t="s">
        <v>3951</v>
      </c>
    </row>
    <row r="133" spans="1:7">
      <c r="A133" t="s">
        <v>3952</v>
      </c>
      <c r="B133" t="s">
        <v>3953</v>
      </c>
      <c r="C133" t="s">
        <v>3692</v>
      </c>
      <c r="D133" t="s">
        <v>3693</v>
      </c>
      <c r="E133">
        <v>6</v>
      </c>
      <c r="F133" s="6">
        <v>750</v>
      </c>
      <c r="G133" t="s">
        <v>3735</v>
      </c>
    </row>
    <row r="134" spans="1:7">
      <c r="A134" t="s">
        <v>3954</v>
      </c>
      <c r="B134" t="s">
        <v>3955</v>
      </c>
      <c r="C134" t="s">
        <v>3679</v>
      </c>
      <c r="D134" t="s">
        <v>3680</v>
      </c>
      <c r="E134">
        <v>6</v>
      </c>
      <c r="F134" s="6">
        <v>750</v>
      </c>
      <c r="G134" t="s">
        <v>3754</v>
      </c>
    </row>
    <row r="135" spans="1:7">
      <c r="A135" t="s">
        <v>3956</v>
      </c>
      <c r="B135" t="s">
        <v>3957</v>
      </c>
      <c r="C135" t="s">
        <v>3679</v>
      </c>
      <c r="D135" t="s">
        <v>3680</v>
      </c>
      <c r="E135">
        <v>6</v>
      </c>
      <c r="F135" s="6">
        <v>750</v>
      </c>
      <c r="G135" t="s">
        <v>3802</v>
      </c>
    </row>
    <row r="136" spans="1:7">
      <c r="A136" t="s">
        <v>3958</v>
      </c>
      <c r="B136" t="s">
        <v>3959</v>
      </c>
      <c r="C136" t="s">
        <v>3679</v>
      </c>
      <c r="D136" t="s">
        <v>3680</v>
      </c>
      <c r="E136">
        <v>6</v>
      </c>
      <c r="F136" s="6">
        <v>750</v>
      </c>
      <c r="G136" t="s">
        <v>3716</v>
      </c>
    </row>
    <row r="137" spans="1:7">
      <c r="A137" t="s">
        <v>3960</v>
      </c>
      <c r="B137" t="s">
        <v>3961</v>
      </c>
      <c r="C137" t="s">
        <v>3679</v>
      </c>
      <c r="D137" t="s">
        <v>3680</v>
      </c>
      <c r="E137">
        <v>6</v>
      </c>
      <c r="F137" s="6">
        <v>750</v>
      </c>
      <c r="G137" t="s">
        <v>3716</v>
      </c>
    </row>
    <row r="138" spans="1:7">
      <c r="A138" t="s">
        <v>3962</v>
      </c>
      <c r="B138" t="s">
        <v>3963</v>
      </c>
      <c r="C138" t="s">
        <v>3679</v>
      </c>
      <c r="D138" t="s">
        <v>3680</v>
      </c>
      <c r="E138">
        <v>6</v>
      </c>
      <c r="F138" s="6">
        <v>750</v>
      </c>
      <c r="G138" t="s">
        <v>3716</v>
      </c>
    </row>
    <row r="139" spans="1:7">
      <c r="A139" t="s">
        <v>3964</v>
      </c>
      <c r="B139" t="s">
        <v>3965</v>
      </c>
      <c r="C139" t="s">
        <v>3679</v>
      </c>
      <c r="D139" t="s">
        <v>3680</v>
      </c>
      <c r="E139">
        <v>6</v>
      </c>
      <c r="F139" s="6">
        <v>750</v>
      </c>
      <c r="G139" t="s">
        <v>3966</v>
      </c>
    </row>
    <row r="140" spans="1:7">
      <c r="A140" t="s">
        <v>3967</v>
      </c>
      <c r="B140" t="s">
        <v>3968</v>
      </c>
      <c r="C140" t="s">
        <v>3679</v>
      </c>
      <c r="D140" t="s">
        <v>3680</v>
      </c>
      <c r="E140">
        <v>6</v>
      </c>
      <c r="F140" s="6">
        <v>750</v>
      </c>
      <c r="G140" t="s">
        <v>3966</v>
      </c>
    </row>
    <row r="141" spans="1:7">
      <c r="A141" t="s">
        <v>2146</v>
      </c>
      <c r="B141" t="s">
        <v>3969</v>
      </c>
      <c r="C141" t="s">
        <v>3679</v>
      </c>
      <c r="D141" t="s">
        <v>3680</v>
      </c>
      <c r="E141">
        <v>1</v>
      </c>
      <c r="F141" s="6">
        <v>50</v>
      </c>
      <c r="G141" t="s">
        <v>3705</v>
      </c>
    </row>
    <row r="142" spans="1:7">
      <c r="A142" t="s">
        <v>3970</v>
      </c>
      <c r="B142" t="s">
        <v>3971</v>
      </c>
      <c r="C142" t="s">
        <v>3679</v>
      </c>
      <c r="D142" t="s">
        <v>3680</v>
      </c>
      <c r="E142">
        <v>6</v>
      </c>
      <c r="F142" s="6">
        <v>750</v>
      </c>
      <c r="G142" t="s">
        <v>3681</v>
      </c>
    </row>
    <row r="143" spans="1:7">
      <c r="A143" t="s">
        <v>3972</v>
      </c>
      <c r="B143" t="s">
        <v>3973</v>
      </c>
      <c r="C143" t="s">
        <v>3679</v>
      </c>
      <c r="D143" t="s">
        <v>3680</v>
      </c>
      <c r="E143">
        <v>6</v>
      </c>
      <c r="F143" s="6">
        <v>750</v>
      </c>
      <c r="G143" t="s">
        <v>3689</v>
      </c>
    </row>
    <row r="144" spans="1:7">
      <c r="A144" t="s">
        <v>3974</v>
      </c>
      <c r="B144" t="s">
        <v>3975</v>
      </c>
      <c r="C144" t="s">
        <v>3679</v>
      </c>
      <c r="D144" t="s">
        <v>3680</v>
      </c>
      <c r="E144">
        <v>6</v>
      </c>
      <c r="F144" s="6">
        <v>750</v>
      </c>
      <c r="G144" t="s">
        <v>3681</v>
      </c>
    </row>
    <row r="145" spans="1:7">
      <c r="A145" t="s">
        <v>2640</v>
      </c>
      <c r="B145" t="s">
        <v>3976</v>
      </c>
      <c r="C145" t="s">
        <v>3977</v>
      </c>
      <c r="D145" t="s">
        <v>3978</v>
      </c>
      <c r="E145">
        <v>12</v>
      </c>
      <c r="F145" s="6">
        <v>50</v>
      </c>
      <c r="G145" t="s">
        <v>3763</v>
      </c>
    </row>
    <row r="146" spans="1:7">
      <c r="A146" t="s">
        <v>3979</v>
      </c>
      <c r="B146" t="s">
        <v>3980</v>
      </c>
      <c r="C146" t="s">
        <v>3679</v>
      </c>
      <c r="D146" t="s">
        <v>3680</v>
      </c>
      <c r="E146">
        <v>6</v>
      </c>
      <c r="F146" s="6">
        <v>750</v>
      </c>
      <c r="G146" t="s">
        <v>3705</v>
      </c>
    </row>
    <row r="147" spans="1:7">
      <c r="A147" t="s">
        <v>1919</v>
      </c>
      <c r="B147" t="s">
        <v>3981</v>
      </c>
      <c r="C147" t="s">
        <v>3708</v>
      </c>
      <c r="D147" t="s">
        <v>3709</v>
      </c>
      <c r="E147">
        <v>8</v>
      </c>
      <c r="F147" s="6">
        <v>50</v>
      </c>
      <c r="G147" t="s">
        <v>3686</v>
      </c>
    </row>
    <row r="148" spans="1:7">
      <c r="A148" t="s">
        <v>453</v>
      </c>
      <c r="B148" t="s">
        <v>3804</v>
      </c>
      <c r="C148" t="s">
        <v>3679</v>
      </c>
      <c r="D148" t="s">
        <v>3680</v>
      </c>
      <c r="E148">
        <v>6</v>
      </c>
      <c r="F148" s="6">
        <v>750</v>
      </c>
      <c r="G148" t="s">
        <v>3705</v>
      </c>
    </row>
    <row r="149" spans="1:7">
      <c r="A149" t="s">
        <v>3982</v>
      </c>
      <c r="B149" t="s">
        <v>3804</v>
      </c>
      <c r="C149" t="s">
        <v>3679</v>
      </c>
      <c r="D149" t="s">
        <v>3680</v>
      </c>
      <c r="E149">
        <v>3</v>
      </c>
      <c r="F149" s="6">
        <v>1750</v>
      </c>
      <c r="G149" t="s">
        <v>3705</v>
      </c>
    </row>
    <row r="150" spans="1:7">
      <c r="A150" t="s">
        <v>3983</v>
      </c>
      <c r="B150" t="s">
        <v>3984</v>
      </c>
      <c r="C150" t="s">
        <v>3679</v>
      </c>
      <c r="D150" t="s">
        <v>3680</v>
      </c>
      <c r="E150">
        <v>3</v>
      </c>
      <c r="F150" s="6">
        <v>750</v>
      </c>
      <c r="G150" t="s">
        <v>3716</v>
      </c>
    </row>
    <row r="151" spans="1:7">
      <c r="A151" t="s">
        <v>3985</v>
      </c>
      <c r="B151" t="s">
        <v>3986</v>
      </c>
      <c r="C151" t="s">
        <v>3679</v>
      </c>
      <c r="D151" t="s">
        <v>3680</v>
      </c>
      <c r="E151">
        <v>6</v>
      </c>
      <c r="F151" s="6">
        <v>375</v>
      </c>
      <c r="G151" t="s">
        <v>3987</v>
      </c>
    </row>
    <row r="152" spans="1:7">
      <c r="A152" t="s">
        <v>3988</v>
      </c>
      <c r="B152" t="s">
        <v>3989</v>
      </c>
      <c r="C152" t="s">
        <v>3679</v>
      </c>
      <c r="D152" t="s">
        <v>3680</v>
      </c>
      <c r="E152">
        <v>6</v>
      </c>
      <c r="F152" s="6">
        <v>750</v>
      </c>
      <c r="G152" t="s">
        <v>3787</v>
      </c>
    </row>
    <row r="153" spans="1:7">
      <c r="A153" t="s">
        <v>3990</v>
      </c>
      <c r="B153" t="s">
        <v>3991</v>
      </c>
      <c r="C153" t="s">
        <v>3679</v>
      </c>
      <c r="D153" t="s">
        <v>3680</v>
      </c>
      <c r="E153">
        <v>6</v>
      </c>
      <c r="F153" s="6">
        <v>20</v>
      </c>
      <c r="G153" t="s">
        <v>3992</v>
      </c>
    </row>
    <row r="154" spans="1:7">
      <c r="A154" t="s">
        <v>3993</v>
      </c>
      <c r="B154" t="s">
        <v>3994</v>
      </c>
      <c r="C154" t="s">
        <v>3679</v>
      </c>
      <c r="D154" t="s">
        <v>3680</v>
      </c>
      <c r="E154">
        <v>6</v>
      </c>
      <c r="F154" s="6">
        <v>750</v>
      </c>
      <c r="G154" t="s">
        <v>3931</v>
      </c>
    </row>
    <row r="155" spans="1:7">
      <c r="A155" t="s">
        <v>3995</v>
      </c>
      <c r="B155" t="s">
        <v>3996</v>
      </c>
      <c r="C155" t="s">
        <v>3679</v>
      </c>
      <c r="D155" t="s">
        <v>3680</v>
      </c>
      <c r="E155">
        <v>6</v>
      </c>
      <c r="F155" s="6">
        <v>750</v>
      </c>
      <c r="G155" t="s">
        <v>3992</v>
      </c>
    </row>
    <row r="156" spans="1:7">
      <c r="A156" t="s">
        <v>3997</v>
      </c>
      <c r="B156" t="s">
        <v>3998</v>
      </c>
      <c r="C156" t="s">
        <v>3679</v>
      </c>
      <c r="D156" t="s">
        <v>3680</v>
      </c>
      <c r="E156">
        <v>6</v>
      </c>
      <c r="F156" s="6">
        <v>750</v>
      </c>
      <c r="G156" t="s">
        <v>3702</v>
      </c>
    </row>
    <row r="157" spans="1:7">
      <c r="A157" t="s">
        <v>3999</v>
      </c>
      <c r="B157" t="s">
        <v>4000</v>
      </c>
      <c r="C157" t="s">
        <v>3679</v>
      </c>
      <c r="D157" t="s">
        <v>3680</v>
      </c>
      <c r="E157">
        <v>6</v>
      </c>
      <c r="F157" s="6">
        <v>1800</v>
      </c>
      <c r="G157" t="s">
        <v>3686</v>
      </c>
    </row>
    <row r="158" spans="1:7">
      <c r="A158" t="s">
        <v>1244</v>
      </c>
      <c r="B158" t="s">
        <v>4001</v>
      </c>
      <c r="C158" t="s">
        <v>3783</v>
      </c>
      <c r="D158" t="s">
        <v>3784</v>
      </c>
      <c r="E158">
        <v>1</v>
      </c>
      <c r="F158" s="6">
        <v>50</v>
      </c>
      <c r="G158" t="s">
        <v>3686</v>
      </c>
    </row>
    <row r="159" spans="1:7">
      <c r="A159" t="s">
        <v>2332</v>
      </c>
      <c r="B159" t="s">
        <v>4002</v>
      </c>
      <c r="C159" t="s">
        <v>3679</v>
      </c>
      <c r="D159" t="s">
        <v>3680</v>
      </c>
      <c r="E159">
        <v>1</v>
      </c>
      <c r="F159" s="6">
        <v>50</v>
      </c>
      <c r="G159" t="s">
        <v>3686</v>
      </c>
    </row>
    <row r="160" spans="1:7">
      <c r="A160" t="s">
        <v>2532</v>
      </c>
      <c r="B160" t="s">
        <v>4003</v>
      </c>
      <c r="C160" t="s">
        <v>3679</v>
      </c>
      <c r="D160" t="s">
        <v>3680</v>
      </c>
      <c r="E160">
        <v>6</v>
      </c>
      <c r="F160" s="6">
        <v>750</v>
      </c>
      <c r="G160" t="s">
        <v>3730</v>
      </c>
    </row>
    <row r="161" spans="1:7">
      <c r="A161" t="s">
        <v>4004</v>
      </c>
      <c r="B161" t="s">
        <v>4005</v>
      </c>
      <c r="C161" t="s">
        <v>3679</v>
      </c>
      <c r="D161" t="s">
        <v>3680</v>
      </c>
      <c r="E161">
        <v>6</v>
      </c>
      <c r="F161" s="6">
        <v>750</v>
      </c>
      <c r="G161" t="s">
        <v>3702</v>
      </c>
    </row>
    <row r="162" spans="1:7">
      <c r="A162" t="s">
        <v>4006</v>
      </c>
      <c r="B162" t="s">
        <v>4007</v>
      </c>
      <c r="C162" t="s">
        <v>3679</v>
      </c>
      <c r="D162" t="s">
        <v>3680</v>
      </c>
      <c r="E162">
        <v>3</v>
      </c>
      <c r="F162" s="6">
        <v>1750</v>
      </c>
      <c r="G162" t="s">
        <v>3716</v>
      </c>
    </row>
    <row r="163" spans="1:7">
      <c r="A163" t="s">
        <v>4008</v>
      </c>
      <c r="B163" t="s">
        <v>4009</v>
      </c>
      <c r="C163" t="s">
        <v>3679</v>
      </c>
      <c r="D163" t="s">
        <v>3680</v>
      </c>
      <c r="E163">
        <v>6</v>
      </c>
      <c r="F163" s="6">
        <v>750</v>
      </c>
      <c r="G163" t="s">
        <v>3681</v>
      </c>
    </row>
    <row r="164" spans="1:7">
      <c r="A164" t="s">
        <v>4010</v>
      </c>
      <c r="B164" t="s">
        <v>4011</v>
      </c>
      <c r="C164" t="s">
        <v>4012</v>
      </c>
      <c r="D164" t="s">
        <v>4013</v>
      </c>
      <c r="E164">
        <v>6</v>
      </c>
      <c r="F164" s="6">
        <v>1750</v>
      </c>
      <c r="G164" t="s">
        <v>3730</v>
      </c>
    </row>
    <row r="165" spans="1:7">
      <c r="A165" t="s">
        <v>993</v>
      </c>
      <c r="B165" t="s">
        <v>4014</v>
      </c>
      <c r="C165" t="s">
        <v>3977</v>
      </c>
      <c r="D165" t="s">
        <v>3978</v>
      </c>
      <c r="E165">
        <v>1</v>
      </c>
      <c r="F165" s="6">
        <v>50</v>
      </c>
      <c r="G165" t="s">
        <v>3763</v>
      </c>
    </row>
    <row r="166" spans="1:7">
      <c r="A166" t="s">
        <v>1773</v>
      </c>
      <c r="B166" t="s">
        <v>4015</v>
      </c>
      <c r="C166" t="s">
        <v>3679</v>
      </c>
      <c r="D166" t="s">
        <v>3680</v>
      </c>
      <c r="E166">
        <v>3</v>
      </c>
      <c r="F166" s="6">
        <v>375</v>
      </c>
      <c r="G166" t="s">
        <v>3716</v>
      </c>
    </row>
    <row r="167" spans="1:7">
      <c r="A167" t="s">
        <v>3518</v>
      </c>
      <c r="B167" t="s">
        <v>4016</v>
      </c>
      <c r="C167" t="s">
        <v>3679</v>
      </c>
      <c r="D167" t="s">
        <v>3680</v>
      </c>
      <c r="E167">
        <v>8</v>
      </c>
      <c r="F167" s="6">
        <v>50</v>
      </c>
      <c r="G167" t="s">
        <v>3686</v>
      </c>
    </row>
    <row r="168" spans="1:7">
      <c r="A168" t="s">
        <v>4017</v>
      </c>
      <c r="B168" t="s">
        <v>4018</v>
      </c>
      <c r="C168" t="s">
        <v>3679</v>
      </c>
      <c r="D168" t="s">
        <v>3680</v>
      </c>
      <c r="E168">
        <v>6</v>
      </c>
      <c r="F168" s="6">
        <v>750</v>
      </c>
      <c r="G168" t="s">
        <v>3854</v>
      </c>
    </row>
    <row r="169" spans="1:7">
      <c r="A169" t="s">
        <v>4019</v>
      </c>
      <c r="B169" t="s">
        <v>4020</v>
      </c>
      <c r="C169" t="s">
        <v>3679</v>
      </c>
      <c r="D169" t="s">
        <v>3680</v>
      </c>
      <c r="E169">
        <v>6</v>
      </c>
      <c r="F169" s="6">
        <v>750</v>
      </c>
      <c r="G169" t="s">
        <v>3754</v>
      </c>
    </row>
    <row r="170" spans="1:7">
      <c r="A170" t="s">
        <v>4021</v>
      </c>
      <c r="B170" t="s">
        <v>4022</v>
      </c>
      <c r="C170" t="s">
        <v>4023</v>
      </c>
      <c r="D170" t="s">
        <v>4024</v>
      </c>
      <c r="E170">
        <v>12</v>
      </c>
      <c r="F170" s="6">
        <v>375</v>
      </c>
      <c r="G170" t="s">
        <v>3754</v>
      </c>
    </row>
    <row r="171" spans="1:7">
      <c r="A171" t="s">
        <v>4025</v>
      </c>
      <c r="B171" t="s">
        <v>4026</v>
      </c>
      <c r="C171" t="s">
        <v>3679</v>
      </c>
      <c r="D171" t="s">
        <v>3680</v>
      </c>
      <c r="E171">
        <v>6</v>
      </c>
      <c r="F171" s="6">
        <v>950</v>
      </c>
      <c r="G171" t="s">
        <v>4027</v>
      </c>
    </row>
    <row r="172" spans="1:7">
      <c r="A172" t="s">
        <v>4028</v>
      </c>
      <c r="B172" t="s">
        <v>4029</v>
      </c>
      <c r="C172" t="s">
        <v>3679</v>
      </c>
      <c r="D172" t="s">
        <v>3680</v>
      </c>
      <c r="E172">
        <v>6</v>
      </c>
      <c r="F172" s="6">
        <v>750</v>
      </c>
      <c r="G172" t="s">
        <v>3832</v>
      </c>
    </row>
    <row r="173" spans="1:7">
      <c r="A173" t="s">
        <v>4030</v>
      </c>
      <c r="B173" t="s">
        <v>4031</v>
      </c>
      <c r="C173" t="s">
        <v>3679</v>
      </c>
      <c r="D173" t="s">
        <v>3680</v>
      </c>
      <c r="E173">
        <v>6</v>
      </c>
      <c r="F173" s="6">
        <v>750</v>
      </c>
      <c r="G173" t="s">
        <v>4032</v>
      </c>
    </row>
    <row r="174" spans="1:7">
      <c r="A174" t="s">
        <v>4033</v>
      </c>
      <c r="B174" t="s">
        <v>4034</v>
      </c>
      <c r="C174" t="s">
        <v>3679</v>
      </c>
      <c r="D174" t="s">
        <v>3680</v>
      </c>
      <c r="E174">
        <v>6</v>
      </c>
      <c r="F174" s="6">
        <v>1750</v>
      </c>
      <c r="G174" t="s">
        <v>3730</v>
      </c>
    </row>
    <row r="175" spans="1:7">
      <c r="A175" t="s">
        <v>4035</v>
      </c>
      <c r="B175" t="s">
        <v>4036</v>
      </c>
      <c r="C175" t="s">
        <v>3679</v>
      </c>
      <c r="D175" t="s">
        <v>3680</v>
      </c>
      <c r="E175">
        <v>6</v>
      </c>
      <c r="F175" s="6">
        <v>50</v>
      </c>
      <c r="G175" t="s">
        <v>3730</v>
      </c>
    </row>
    <row r="176" spans="1:7">
      <c r="A176" t="s">
        <v>1308</v>
      </c>
      <c r="B176" t="s">
        <v>4037</v>
      </c>
      <c r="C176" t="s">
        <v>3679</v>
      </c>
      <c r="D176" t="s">
        <v>3680</v>
      </c>
      <c r="E176">
        <v>8</v>
      </c>
      <c r="F176" s="6">
        <v>50</v>
      </c>
      <c r="G176" t="s">
        <v>3686</v>
      </c>
    </row>
    <row r="177" spans="1:7">
      <c r="A177" t="s">
        <v>4038</v>
      </c>
      <c r="B177" t="s">
        <v>4039</v>
      </c>
      <c r="C177" t="s">
        <v>3679</v>
      </c>
      <c r="D177" t="s">
        <v>3680</v>
      </c>
      <c r="E177">
        <v>1</v>
      </c>
      <c r="F177" s="6">
        <v>50</v>
      </c>
      <c r="G177" t="s">
        <v>3832</v>
      </c>
    </row>
    <row r="178" spans="1:7">
      <c r="A178" t="s">
        <v>4040</v>
      </c>
      <c r="B178" t="s">
        <v>4041</v>
      </c>
      <c r="C178" t="s">
        <v>3679</v>
      </c>
      <c r="D178" t="s">
        <v>3680</v>
      </c>
      <c r="E178">
        <v>6</v>
      </c>
      <c r="F178" s="6">
        <v>750</v>
      </c>
      <c r="G178" t="s">
        <v>3705</v>
      </c>
    </row>
    <row r="179" spans="1:7">
      <c r="A179" t="s">
        <v>4042</v>
      </c>
      <c r="B179" t="s">
        <v>4043</v>
      </c>
      <c r="C179" t="s">
        <v>3679</v>
      </c>
      <c r="D179" t="s">
        <v>3680</v>
      </c>
      <c r="E179">
        <v>3</v>
      </c>
      <c r="F179" s="6">
        <v>750</v>
      </c>
      <c r="G179" t="s">
        <v>3681</v>
      </c>
    </row>
    <row r="180" spans="1:7">
      <c r="A180" t="s">
        <v>3282</v>
      </c>
      <c r="B180" t="s">
        <v>4044</v>
      </c>
      <c r="C180" t="s">
        <v>3947</v>
      </c>
      <c r="D180" t="s">
        <v>3948</v>
      </c>
      <c r="E180">
        <v>12</v>
      </c>
      <c r="F180" s="6">
        <v>50</v>
      </c>
      <c r="G180" t="s">
        <v>3686</v>
      </c>
    </row>
    <row r="181" spans="1:7">
      <c r="A181" t="s">
        <v>4045</v>
      </c>
      <c r="B181" t="s">
        <v>4046</v>
      </c>
      <c r="C181" t="s">
        <v>3679</v>
      </c>
      <c r="D181" t="s">
        <v>3680</v>
      </c>
      <c r="E181">
        <v>6</v>
      </c>
      <c r="F181" s="6">
        <v>750</v>
      </c>
      <c r="G181" t="s">
        <v>3802</v>
      </c>
    </row>
    <row r="182" spans="1:7">
      <c r="A182" t="s">
        <v>4047</v>
      </c>
      <c r="B182" t="s">
        <v>4048</v>
      </c>
      <c r="C182" t="s">
        <v>3679</v>
      </c>
      <c r="D182" t="s">
        <v>3680</v>
      </c>
      <c r="E182">
        <v>6</v>
      </c>
      <c r="F182" s="6">
        <v>750</v>
      </c>
      <c r="G182" t="s">
        <v>3716</v>
      </c>
    </row>
    <row r="183" spans="1:7">
      <c r="A183" t="s">
        <v>2358</v>
      </c>
      <c r="B183" t="s">
        <v>4049</v>
      </c>
      <c r="C183" t="s">
        <v>3679</v>
      </c>
      <c r="D183" t="s">
        <v>3680</v>
      </c>
      <c r="E183">
        <v>6</v>
      </c>
      <c r="F183" s="6">
        <v>750</v>
      </c>
      <c r="G183" t="s">
        <v>3716</v>
      </c>
    </row>
    <row r="184" spans="1:7">
      <c r="A184" t="s">
        <v>4050</v>
      </c>
      <c r="B184" t="s">
        <v>4051</v>
      </c>
      <c r="C184" t="s">
        <v>4052</v>
      </c>
      <c r="D184" t="s">
        <v>4053</v>
      </c>
      <c r="E184">
        <v>12</v>
      </c>
      <c r="F184" s="6">
        <v>50</v>
      </c>
      <c r="G184" t="s">
        <v>3686</v>
      </c>
    </row>
    <row r="185" spans="1:7">
      <c r="A185" t="s">
        <v>429</v>
      </c>
      <c r="B185" t="s">
        <v>4054</v>
      </c>
      <c r="C185" t="s">
        <v>3692</v>
      </c>
      <c r="D185" t="s">
        <v>3693</v>
      </c>
      <c r="E185">
        <v>6</v>
      </c>
      <c r="F185" s="6">
        <v>750</v>
      </c>
      <c r="G185" t="s">
        <v>3730</v>
      </c>
    </row>
    <row r="186" spans="1:7">
      <c r="A186" t="s">
        <v>1864</v>
      </c>
      <c r="B186" t="s">
        <v>4055</v>
      </c>
      <c r="C186" t="s">
        <v>3679</v>
      </c>
      <c r="D186" t="s">
        <v>3680</v>
      </c>
      <c r="E186">
        <v>6</v>
      </c>
      <c r="F186" s="6">
        <v>750</v>
      </c>
      <c r="G186" t="s">
        <v>3730</v>
      </c>
    </row>
    <row r="187" spans="1:7">
      <c r="A187" t="s">
        <v>3592</v>
      </c>
      <c r="B187" t="s">
        <v>4056</v>
      </c>
      <c r="C187" t="s">
        <v>3679</v>
      </c>
      <c r="D187" t="s">
        <v>3680</v>
      </c>
      <c r="E187">
        <v>12</v>
      </c>
      <c r="F187" s="6">
        <v>750</v>
      </c>
      <c r="G187" t="s">
        <v>3730</v>
      </c>
    </row>
    <row r="188" spans="1:7">
      <c r="A188" t="s">
        <v>4057</v>
      </c>
      <c r="B188" t="s">
        <v>4058</v>
      </c>
      <c r="C188" t="s">
        <v>3679</v>
      </c>
      <c r="D188" t="s">
        <v>3680</v>
      </c>
      <c r="E188">
        <v>6</v>
      </c>
      <c r="F188" s="6">
        <v>750</v>
      </c>
      <c r="G188" t="s">
        <v>3730</v>
      </c>
    </row>
    <row r="189" spans="1:7">
      <c r="A189" t="s">
        <v>4059</v>
      </c>
      <c r="B189" t="s">
        <v>4060</v>
      </c>
      <c r="C189" t="s">
        <v>3679</v>
      </c>
      <c r="D189" t="s">
        <v>3680</v>
      </c>
      <c r="E189">
        <v>1</v>
      </c>
      <c r="F189" s="6">
        <v>50</v>
      </c>
      <c r="G189" t="s">
        <v>3763</v>
      </c>
    </row>
    <row r="190" spans="1:7">
      <c r="A190" t="s">
        <v>4061</v>
      </c>
      <c r="B190" t="s">
        <v>4062</v>
      </c>
      <c r="C190" t="s">
        <v>3679</v>
      </c>
      <c r="D190" t="s">
        <v>3680</v>
      </c>
      <c r="E190">
        <v>12</v>
      </c>
      <c r="F190" s="6">
        <v>750</v>
      </c>
      <c r="G190" t="s">
        <v>3702</v>
      </c>
    </row>
    <row r="191" spans="1:7">
      <c r="A191" t="s">
        <v>4063</v>
      </c>
      <c r="B191" t="s">
        <v>4064</v>
      </c>
      <c r="C191" t="s">
        <v>3679</v>
      </c>
      <c r="D191" t="s">
        <v>3680</v>
      </c>
      <c r="E191">
        <v>1</v>
      </c>
      <c r="F191" s="6">
        <v>50</v>
      </c>
      <c r="G191" t="s">
        <v>3781</v>
      </c>
    </row>
    <row r="192" spans="1:7">
      <c r="A192" t="s">
        <v>4065</v>
      </c>
      <c r="B192" t="s">
        <v>3720</v>
      </c>
      <c r="C192" t="s">
        <v>3721</v>
      </c>
      <c r="D192" t="s">
        <v>3722</v>
      </c>
      <c r="E192">
        <v>24</v>
      </c>
      <c r="F192" s="6">
        <v>50</v>
      </c>
      <c r="G192" t="s">
        <v>3681</v>
      </c>
    </row>
    <row r="193" spans="1:7">
      <c r="A193" t="s">
        <v>4066</v>
      </c>
      <c r="B193" t="s">
        <v>4067</v>
      </c>
      <c r="C193" t="s">
        <v>3679</v>
      </c>
      <c r="D193" t="s">
        <v>3680</v>
      </c>
      <c r="E193">
        <v>6</v>
      </c>
      <c r="F193" s="6">
        <v>200</v>
      </c>
      <c r="G193" t="s">
        <v>4068</v>
      </c>
    </row>
    <row r="194" spans="1:7">
      <c r="A194" t="s">
        <v>4069</v>
      </c>
      <c r="B194" t="s">
        <v>4070</v>
      </c>
      <c r="C194" t="s">
        <v>4071</v>
      </c>
      <c r="D194" t="s">
        <v>4072</v>
      </c>
      <c r="E194">
        <v>10</v>
      </c>
      <c r="F194" s="6">
        <v>50</v>
      </c>
      <c r="G194" t="s">
        <v>4073</v>
      </c>
    </row>
    <row r="195" spans="1:7">
      <c r="A195" t="s">
        <v>4074</v>
      </c>
      <c r="B195" t="s">
        <v>4075</v>
      </c>
      <c r="C195" t="s">
        <v>3679</v>
      </c>
      <c r="D195" t="s">
        <v>3680</v>
      </c>
      <c r="E195">
        <v>12</v>
      </c>
      <c r="F195" s="6">
        <v>800</v>
      </c>
      <c r="G195" t="s">
        <v>3689</v>
      </c>
    </row>
    <row r="196" spans="1:7">
      <c r="A196" t="s">
        <v>4076</v>
      </c>
      <c r="B196" t="s">
        <v>4077</v>
      </c>
      <c r="C196" t="s">
        <v>3679</v>
      </c>
      <c r="D196" t="s">
        <v>3680</v>
      </c>
      <c r="E196">
        <v>1</v>
      </c>
      <c r="F196" s="6">
        <v>5250</v>
      </c>
      <c r="G196" t="s">
        <v>3686</v>
      </c>
    </row>
    <row r="197" spans="1:7">
      <c r="A197" t="s">
        <v>4078</v>
      </c>
      <c r="B197" t="s">
        <v>4079</v>
      </c>
      <c r="C197" t="s">
        <v>3679</v>
      </c>
      <c r="D197" t="s">
        <v>3680</v>
      </c>
      <c r="E197">
        <v>6</v>
      </c>
      <c r="F197" s="6">
        <v>375</v>
      </c>
      <c r="G197" t="s">
        <v>3854</v>
      </c>
    </row>
    <row r="198" spans="1:7">
      <c r="A198" t="s">
        <v>4080</v>
      </c>
      <c r="B198" t="s">
        <v>4081</v>
      </c>
      <c r="C198" t="s">
        <v>3679</v>
      </c>
      <c r="D198" t="s">
        <v>3680</v>
      </c>
      <c r="E198">
        <v>6</v>
      </c>
      <c r="F198" s="6">
        <v>750</v>
      </c>
      <c r="G198" t="s">
        <v>3730</v>
      </c>
    </row>
    <row r="199" spans="1:7">
      <c r="A199" t="s">
        <v>4082</v>
      </c>
      <c r="B199" t="s">
        <v>4083</v>
      </c>
      <c r="C199" t="s">
        <v>4084</v>
      </c>
      <c r="D199" t="s">
        <v>4085</v>
      </c>
      <c r="E199">
        <v>6</v>
      </c>
      <c r="F199" s="6">
        <v>750</v>
      </c>
      <c r="G199" t="s">
        <v>3754</v>
      </c>
    </row>
    <row r="200" spans="1:7">
      <c r="A200" t="s">
        <v>4086</v>
      </c>
      <c r="B200" t="s">
        <v>4087</v>
      </c>
      <c r="C200" t="s">
        <v>3679</v>
      </c>
      <c r="D200" t="s">
        <v>3680</v>
      </c>
      <c r="E200">
        <v>6</v>
      </c>
      <c r="F200" s="6">
        <v>750</v>
      </c>
      <c r="G200" t="s">
        <v>3689</v>
      </c>
    </row>
    <row r="201" spans="1:7">
      <c r="A201" t="s">
        <v>4088</v>
      </c>
      <c r="B201" t="s">
        <v>4089</v>
      </c>
      <c r="C201" t="s">
        <v>3679</v>
      </c>
      <c r="D201" t="s">
        <v>3680</v>
      </c>
      <c r="E201">
        <v>6</v>
      </c>
      <c r="F201" s="6">
        <v>750</v>
      </c>
      <c r="G201" t="s">
        <v>3689</v>
      </c>
    </row>
    <row r="202" spans="1:7">
      <c r="A202" t="s">
        <v>4090</v>
      </c>
      <c r="B202" t="s">
        <v>4091</v>
      </c>
      <c r="C202" t="s">
        <v>3679</v>
      </c>
      <c r="D202" t="s">
        <v>3680</v>
      </c>
      <c r="E202">
        <v>6</v>
      </c>
      <c r="F202" s="6">
        <v>750</v>
      </c>
      <c r="G202" t="s">
        <v>3689</v>
      </c>
    </row>
    <row r="203" spans="1:7">
      <c r="A203" t="s">
        <v>1421</v>
      </c>
      <c r="B203" t="s">
        <v>4092</v>
      </c>
      <c r="C203" t="s">
        <v>4093</v>
      </c>
      <c r="D203" t="s">
        <v>4094</v>
      </c>
      <c r="E203">
        <v>1</v>
      </c>
      <c r="F203" s="6">
        <v>50</v>
      </c>
      <c r="G203" t="s">
        <v>4095</v>
      </c>
    </row>
    <row r="204" spans="1:7">
      <c r="A204" t="s">
        <v>4096</v>
      </c>
      <c r="B204" t="s">
        <v>4097</v>
      </c>
      <c r="C204" t="s">
        <v>3679</v>
      </c>
      <c r="D204" t="s">
        <v>3680</v>
      </c>
      <c r="E204">
        <v>3</v>
      </c>
      <c r="F204" s="6">
        <v>1750</v>
      </c>
      <c r="G204" t="s">
        <v>3716</v>
      </c>
    </row>
    <row r="205" spans="1:7">
      <c r="A205" t="s">
        <v>4098</v>
      </c>
      <c r="B205" t="s">
        <v>4099</v>
      </c>
      <c r="C205" t="s">
        <v>3679</v>
      </c>
      <c r="D205" t="s">
        <v>3680</v>
      </c>
      <c r="E205">
        <v>6</v>
      </c>
      <c r="F205" s="6">
        <v>750</v>
      </c>
      <c r="G205" t="s">
        <v>3802</v>
      </c>
    </row>
    <row r="206" spans="1:7">
      <c r="A206" t="s">
        <v>4100</v>
      </c>
      <c r="B206" t="s">
        <v>4101</v>
      </c>
      <c r="C206" t="s">
        <v>3679</v>
      </c>
      <c r="D206" t="s">
        <v>3680</v>
      </c>
      <c r="E206">
        <v>6</v>
      </c>
      <c r="F206" s="6">
        <v>750</v>
      </c>
      <c r="G206" t="s">
        <v>3735</v>
      </c>
    </row>
    <row r="207" spans="1:7">
      <c r="A207" t="s">
        <v>4102</v>
      </c>
      <c r="B207" t="s">
        <v>4103</v>
      </c>
      <c r="C207" t="s">
        <v>3679</v>
      </c>
      <c r="D207" t="s">
        <v>3680</v>
      </c>
      <c r="E207">
        <v>6</v>
      </c>
      <c r="F207" s="6">
        <v>750</v>
      </c>
      <c r="G207" t="s">
        <v>3705</v>
      </c>
    </row>
    <row r="208" spans="1:7">
      <c r="A208" t="s">
        <v>4104</v>
      </c>
      <c r="B208" t="s">
        <v>4105</v>
      </c>
      <c r="C208" t="s">
        <v>3679</v>
      </c>
      <c r="D208" t="s">
        <v>3680</v>
      </c>
      <c r="E208">
        <v>6</v>
      </c>
      <c r="F208" s="6">
        <v>750</v>
      </c>
      <c r="G208" t="s">
        <v>3705</v>
      </c>
    </row>
    <row r="209" spans="1:7">
      <c r="A209" t="s">
        <v>3669</v>
      </c>
      <c r="B209" t="s">
        <v>4106</v>
      </c>
      <c r="C209" t="s">
        <v>3679</v>
      </c>
      <c r="D209" t="s">
        <v>3680</v>
      </c>
      <c r="E209">
        <v>6</v>
      </c>
      <c r="F209" s="6">
        <v>1750</v>
      </c>
      <c r="G209" t="s">
        <v>3730</v>
      </c>
    </row>
    <row r="210" spans="1:7">
      <c r="A210" t="s">
        <v>837</v>
      </c>
      <c r="B210" t="s">
        <v>4107</v>
      </c>
      <c r="C210" t="s">
        <v>4012</v>
      </c>
      <c r="D210" t="s">
        <v>4013</v>
      </c>
      <c r="E210">
        <v>6</v>
      </c>
      <c r="F210" s="6">
        <v>50</v>
      </c>
      <c r="G210" t="s">
        <v>3730</v>
      </c>
    </row>
    <row r="211" spans="1:7">
      <c r="A211" t="s">
        <v>4108</v>
      </c>
      <c r="B211" t="s">
        <v>4109</v>
      </c>
      <c r="C211" t="s">
        <v>3679</v>
      </c>
      <c r="D211" t="s">
        <v>3680</v>
      </c>
      <c r="E211">
        <v>6</v>
      </c>
      <c r="F211" s="6">
        <v>750</v>
      </c>
      <c r="G211" t="s">
        <v>3931</v>
      </c>
    </row>
    <row r="212" spans="1:7">
      <c r="A212" t="s">
        <v>2370</v>
      </c>
      <c r="B212" t="s">
        <v>4110</v>
      </c>
      <c r="C212" t="s">
        <v>3679</v>
      </c>
      <c r="D212" t="s">
        <v>3680</v>
      </c>
      <c r="E212">
        <v>6</v>
      </c>
      <c r="F212" s="6">
        <v>750</v>
      </c>
      <c r="G212" t="s">
        <v>3730</v>
      </c>
    </row>
    <row r="213" spans="1:7">
      <c r="A213" t="s">
        <v>4111</v>
      </c>
      <c r="B213" t="s">
        <v>4112</v>
      </c>
      <c r="C213" t="s">
        <v>3679</v>
      </c>
      <c r="D213" t="s">
        <v>3680</v>
      </c>
      <c r="E213">
        <v>1</v>
      </c>
      <c r="F213" s="6">
        <v>750</v>
      </c>
      <c r="G213" t="s">
        <v>3854</v>
      </c>
    </row>
    <row r="214" spans="1:7">
      <c r="A214" t="s">
        <v>4113</v>
      </c>
      <c r="B214" t="s">
        <v>4114</v>
      </c>
      <c r="C214" t="s">
        <v>3679</v>
      </c>
      <c r="D214" t="s">
        <v>3680</v>
      </c>
      <c r="E214">
        <v>6</v>
      </c>
      <c r="F214" s="6">
        <v>750</v>
      </c>
      <c r="G214" t="s">
        <v>3681</v>
      </c>
    </row>
    <row r="215" spans="1:7">
      <c r="A215" t="s">
        <v>4115</v>
      </c>
      <c r="B215" t="s">
        <v>4116</v>
      </c>
      <c r="C215" t="s">
        <v>3679</v>
      </c>
      <c r="D215" t="s">
        <v>3680</v>
      </c>
      <c r="E215">
        <v>4</v>
      </c>
      <c r="F215" s="6">
        <v>750</v>
      </c>
      <c r="G215" t="s">
        <v>4117</v>
      </c>
    </row>
    <row r="216" spans="1:7">
      <c r="A216" t="s">
        <v>1973</v>
      </c>
      <c r="B216" t="s">
        <v>4118</v>
      </c>
      <c r="C216" t="s">
        <v>3679</v>
      </c>
      <c r="D216" t="s">
        <v>3680</v>
      </c>
      <c r="E216">
        <v>6</v>
      </c>
      <c r="F216" s="6">
        <v>750</v>
      </c>
      <c r="G216" t="s">
        <v>3735</v>
      </c>
    </row>
    <row r="217" spans="1:7">
      <c r="A217" t="s">
        <v>4119</v>
      </c>
      <c r="B217" t="s">
        <v>4120</v>
      </c>
      <c r="C217" t="s">
        <v>3684</v>
      </c>
      <c r="D217" t="s">
        <v>3685</v>
      </c>
      <c r="E217">
        <v>6</v>
      </c>
      <c r="F217" s="6">
        <v>750</v>
      </c>
      <c r="G217" t="s">
        <v>3754</v>
      </c>
    </row>
    <row r="218" spans="1:7">
      <c r="A218" t="s">
        <v>4121</v>
      </c>
      <c r="B218" t="s">
        <v>4122</v>
      </c>
      <c r="C218" t="s">
        <v>3679</v>
      </c>
      <c r="D218" t="s">
        <v>3680</v>
      </c>
      <c r="E218">
        <v>6</v>
      </c>
      <c r="F218" s="6">
        <v>750</v>
      </c>
      <c r="G218" t="s">
        <v>3681</v>
      </c>
    </row>
    <row r="219" spans="1:7">
      <c r="A219" t="s">
        <v>4123</v>
      </c>
      <c r="B219" t="s">
        <v>4124</v>
      </c>
      <c r="C219" t="s">
        <v>3679</v>
      </c>
      <c r="D219" t="s">
        <v>3680</v>
      </c>
      <c r="E219">
        <v>6</v>
      </c>
      <c r="F219" s="6">
        <v>750</v>
      </c>
      <c r="G219" t="s">
        <v>3888</v>
      </c>
    </row>
    <row r="220" spans="1:7">
      <c r="A220" t="s">
        <v>4125</v>
      </c>
      <c r="B220" t="s">
        <v>4126</v>
      </c>
      <c r="C220" t="s">
        <v>3679</v>
      </c>
      <c r="D220" t="s">
        <v>3680</v>
      </c>
      <c r="E220">
        <v>6</v>
      </c>
      <c r="F220" s="6">
        <v>750</v>
      </c>
      <c r="G220" t="s">
        <v>3730</v>
      </c>
    </row>
    <row r="221" spans="1:7">
      <c r="A221" t="s">
        <v>4127</v>
      </c>
      <c r="B221" t="s">
        <v>4128</v>
      </c>
      <c r="C221" t="s">
        <v>3679</v>
      </c>
      <c r="D221" t="s">
        <v>3680</v>
      </c>
      <c r="E221">
        <v>6</v>
      </c>
      <c r="F221" s="6">
        <v>750</v>
      </c>
      <c r="G221" t="s">
        <v>3730</v>
      </c>
    </row>
    <row r="222" spans="1:7">
      <c r="A222" t="s">
        <v>4129</v>
      </c>
      <c r="B222" t="s">
        <v>4130</v>
      </c>
      <c r="C222" t="s">
        <v>3679</v>
      </c>
      <c r="D222" t="s">
        <v>3680</v>
      </c>
      <c r="E222">
        <v>6</v>
      </c>
      <c r="F222" s="6">
        <v>750</v>
      </c>
      <c r="G222" t="s">
        <v>3681</v>
      </c>
    </row>
    <row r="223" spans="1:7">
      <c r="A223" t="s">
        <v>4131</v>
      </c>
      <c r="B223" t="s">
        <v>4132</v>
      </c>
      <c r="C223" t="s">
        <v>3679</v>
      </c>
      <c r="D223" t="s">
        <v>3680</v>
      </c>
      <c r="E223">
        <v>6</v>
      </c>
      <c r="F223" s="6">
        <v>750</v>
      </c>
      <c r="G223" t="s">
        <v>3730</v>
      </c>
    </row>
    <row r="224" spans="1:7">
      <c r="A224" t="s">
        <v>3642</v>
      </c>
      <c r="B224" t="s">
        <v>4133</v>
      </c>
      <c r="C224" t="s">
        <v>3679</v>
      </c>
      <c r="D224" t="s">
        <v>3680</v>
      </c>
      <c r="E224">
        <v>6</v>
      </c>
      <c r="F224" s="6">
        <v>750</v>
      </c>
      <c r="G224" t="s">
        <v>3730</v>
      </c>
    </row>
    <row r="225" spans="1:7">
      <c r="A225" t="s">
        <v>4134</v>
      </c>
      <c r="B225" t="s">
        <v>4135</v>
      </c>
      <c r="C225" t="s">
        <v>3679</v>
      </c>
      <c r="D225" t="s">
        <v>3680</v>
      </c>
      <c r="E225">
        <v>6</v>
      </c>
      <c r="F225" s="6">
        <v>750</v>
      </c>
      <c r="G225" t="s">
        <v>3730</v>
      </c>
    </row>
    <row r="226" spans="1:7">
      <c r="A226" t="s">
        <v>4136</v>
      </c>
      <c r="B226" t="s">
        <v>4137</v>
      </c>
      <c r="C226" t="s">
        <v>3679</v>
      </c>
      <c r="D226" t="s">
        <v>3680</v>
      </c>
      <c r="E226">
        <v>6</v>
      </c>
      <c r="F226" s="6">
        <v>750</v>
      </c>
      <c r="G226" t="s">
        <v>3730</v>
      </c>
    </row>
    <row r="227" spans="1:7">
      <c r="A227" t="s">
        <v>4138</v>
      </c>
      <c r="B227" t="s">
        <v>4139</v>
      </c>
      <c r="C227" t="s">
        <v>3700</v>
      </c>
      <c r="D227" t="s">
        <v>3701</v>
      </c>
      <c r="E227">
        <v>1</v>
      </c>
      <c r="F227" s="6">
        <v>2250</v>
      </c>
      <c r="G227" t="s">
        <v>3702</v>
      </c>
    </row>
    <row r="228" spans="1:7">
      <c r="A228" t="s">
        <v>4140</v>
      </c>
      <c r="B228" t="s">
        <v>4141</v>
      </c>
      <c r="C228" t="s">
        <v>3808</v>
      </c>
      <c r="D228" t="s">
        <v>3809</v>
      </c>
      <c r="E228">
        <v>1</v>
      </c>
      <c r="F228" s="6">
        <v>50</v>
      </c>
      <c r="G228" t="s">
        <v>4095</v>
      </c>
    </row>
    <row r="229" spans="1:7">
      <c r="A229" t="s">
        <v>4142</v>
      </c>
      <c r="B229" t="s">
        <v>4143</v>
      </c>
      <c r="C229" t="s">
        <v>3783</v>
      </c>
      <c r="D229" t="s">
        <v>3784</v>
      </c>
      <c r="E229">
        <v>1</v>
      </c>
      <c r="F229" s="6">
        <v>50</v>
      </c>
      <c r="G229" t="s">
        <v>3686</v>
      </c>
    </row>
    <row r="230" spans="1:7">
      <c r="A230" t="s">
        <v>4144</v>
      </c>
      <c r="B230" t="s">
        <v>4145</v>
      </c>
      <c r="C230" t="s">
        <v>3679</v>
      </c>
      <c r="D230" t="s">
        <v>3680</v>
      </c>
      <c r="E230">
        <v>6</v>
      </c>
      <c r="F230" s="6">
        <v>750</v>
      </c>
      <c r="G230" t="s">
        <v>3681</v>
      </c>
    </row>
    <row r="231" spans="1:7">
      <c r="A231" t="s">
        <v>4146</v>
      </c>
      <c r="B231" t="s">
        <v>4147</v>
      </c>
      <c r="C231" t="s">
        <v>3679</v>
      </c>
      <c r="D231" t="s">
        <v>3680</v>
      </c>
      <c r="E231">
        <v>6</v>
      </c>
      <c r="F231" s="6">
        <v>750</v>
      </c>
      <c r="G231" t="s">
        <v>3888</v>
      </c>
    </row>
    <row r="232" spans="1:7">
      <c r="A232" t="s">
        <v>4148</v>
      </c>
      <c r="B232" t="s">
        <v>3910</v>
      </c>
      <c r="C232" t="s">
        <v>3679</v>
      </c>
      <c r="D232" t="s">
        <v>3680</v>
      </c>
      <c r="E232">
        <v>6</v>
      </c>
      <c r="F232" s="6">
        <v>750</v>
      </c>
      <c r="G232" t="s">
        <v>3888</v>
      </c>
    </row>
    <row r="233" spans="1:7">
      <c r="A233" t="s">
        <v>4149</v>
      </c>
      <c r="B233" t="s">
        <v>4150</v>
      </c>
      <c r="C233" t="s">
        <v>3684</v>
      </c>
      <c r="D233" t="s">
        <v>3685</v>
      </c>
      <c r="E233">
        <v>6</v>
      </c>
      <c r="F233" s="6">
        <v>750</v>
      </c>
      <c r="G233" t="s">
        <v>3754</v>
      </c>
    </row>
    <row r="234" spans="1:7">
      <c r="A234" t="s">
        <v>1519</v>
      </c>
      <c r="B234" t="s">
        <v>4151</v>
      </c>
      <c r="C234" t="s">
        <v>3679</v>
      </c>
      <c r="D234" t="s">
        <v>3680</v>
      </c>
      <c r="E234">
        <v>6</v>
      </c>
      <c r="F234" s="6">
        <v>750</v>
      </c>
      <c r="G234" t="s">
        <v>3931</v>
      </c>
    </row>
    <row r="235" spans="1:7">
      <c r="A235" t="s">
        <v>4152</v>
      </c>
      <c r="B235" t="s">
        <v>4153</v>
      </c>
      <c r="C235" t="s">
        <v>3679</v>
      </c>
      <c r="D235" t="s">
        <v>3680</v>
      </c>
      <c r="E235">
        <v>6</v>
      </c>
      <c r="F235" s="6">
        <v>750</v>
      </c>
      <c r="G235" t="s">
        <v>3931</v>
      </c>
    </row>
    <row r="236" spans="1:7">
      <c r="A236" t="s">
        <v>4154</v>
      </c>
      <c r="B236" t="s">
        <v>4155</v>
      </c>
      <c r="C236" t="s">
        <v>3679</v>
      </c>
      <c r="D236" t="s">
        <v>3680</v>
      </c>
      <c r="E236">
        <v>6</v>
      </c>
      <c r="F236" s="6">
        <v>750</v>
      </c>
      <c r="G236" t="s">
        <v>3888</v>
      </c>
    </row>
    <row r="237" spans="1:7">
      <c r="A237" t="s">
        <v>4156</v>
      </c>
      <c r="B237" t="s">
        <v>4157</v>
      </c>
      <c r="C237" t="s">
        <v>3679</v>
      </c>
      <c r="D237" t="s">
        <v>3680</v>
      </c>
      <c r="E237">
        <v>1</v>
      </c>
      <c r="F237" s="6">
        <v>50</v>
      </c>
      <c r="G237" t="s">
        <v>3832</v>
      </c>
    </row>
    <row r="238" spans="1:7">
      <c r="A238" t="s">
        <v>4158</v>
      </c>
      <c r="B238" t="s">
        <v>4159</v>
      </c>
      <c r="C238" t="s">
        <v>3700</v>
      </c>
      <c r="D238" t="s">
        <v>3701</v>
      </c>
      <c r="E238">
        <v>1</v>
      </c>
      <c r="F238" s="6">
        <v>375</v>
      </c>
      <c r="G238" t="s">
        <v>3702</v>
      </c>
    </row>
    <row r="239" spans="1:7">
      <c r="A239" t="s">
        <v>780</v>
      </c>
      <c r="B239" t="s">
        <v>4160</v>
      </c>
      <c r="C239" t="s">
        <v>3679</v>
      </c>
      <c r="D239" t="s">
        <v>3680</v>
      </c>
      <c r="E239">
        <v>6</v>
      </c>
      <c r="F239" s="6">
        <v>750</v>
      </c>
      <c r="G239" t="s">
        <v>3754</v>
      </c>
    </row>
    <row r="240" spans="1:7">
      <c r="A240" t="s">
        <v>4161</v>
      </c>
      <c r="B240" t="s">
        <v>4162</v>
      </c>
      <c r="C240" t="s">
        <v>3679</v>
      </c>
      <c r="D240" t="s">
        <v>3680</v>
      </c>
      <c r="E240">
        <v>4</v>
      </c>
      <c r="F240" s="6">
        <v>375</v>
      </c>
      <c r="G240" t="s">
        <v>4163</v>
      </c>
    </row>
    <row r="241" spans="1:7">
      <c r="A241" t="s">
        <v>4164</v>
      </c>
      <c r="B241" t="s">
        <v>4165</v>
      </c>
      <c r="C241" t="s">
        <v>3679</v>
      </c>
      <c r="D241" t="s">
        <v>3680</v>
      </c>
      <c r="E241">
        <v>6</v>
      </c>
      <c r="F241" s="6">
        <v>375</v>
      </c>
      <c r="G241" t="s">
        <v>3951</v>
      </c>
    </row>
    <row r="242" spans="1:7">
      <c r="A242" t="s">
        <v>4166</v>
      </c>
      <c r="B242" t="s">
        <v>4167</v>
      </c>
      <c r="C242" t="s">
        <v>3679</v>
      </c>
      <c r="D242" t="s">
        <v>3680</v>
      </c>
      <c r="E242">
        <v>6</v>
      </c>
      <c r="F242" s="6">
        <v>750</v>
      </c>
      <c r="G242" t="s">
        <v>3754</v>
      </c>
    </row>
    <row r="243" spans="1:7">
      <c r="A243" t="s">
        <v>4168</v>
      </c>
      <c r="B243" t="s">
        <v>4169</v>
      </c>
      <c r="C243" t="s">
        <v>4170</v>
      </c>
      <c r="D243" t="s">
        <v>4171</v>
      </c>
      <c r="E243">
        <v>6</v>
      </c>
      <c r="F243" s="6">
        <v>750</v>
      </c>
      <c r="G243" t="s">
        <v>3802</v>
      </c>
    </row>
    <row r="244" spans="1:7">
      <c r="A244" t="s">
        <v>4172</v>
      </c>
      <c r="B244" t="s">
        <v>4173</v>
      </c>
      <c r="C244" t="s">
        <v>3679</v>
      </c>
      <c r="D244" t="s">
        <v>3680</v>
      </c>
      <c r="E244">
        <v>6</v>
      </c>
      <c r="F244" s="6">
        <v>1750</v>
      </c>
      <c r="G244" t="s">
        <v>3686</v>
      </c>
    </row>
    <row r="245" spans="1:7">
      <c r="A245" t="s">
        <v>4174</v>
      </c>
      <c r="B245" t="s">
        <v>4175</v>
      </c>
      <c r="C245" t="s">
        <v>3928</v>
      </c>
      <c r="D245" t="s">
        <v>3929</v>
      </c>
      <c r="E245">
        <v>3</v>
      </c>
      <c r="F245" s="6">
        <v>1750</v>
      </c>
      <c r="G245" t="s">
        <v>3716</v>
      </c>
    </row>
    <row r="246" spans="1:7">
      <c r="A246" t="s">
        <v>4176</v>
      </c>
      <c r="B246" t="s">
        <v>4177</v>
      </c>
      <c r="C246" t="s">
        <v>4093</v>
      </c>
      <c r="D246" t="s">
        <v>4094</v>
      </c>
      <c r="E246">
        <v>1</v>
      </c>
      <c r="F246" s="6">
        <v>50</v>
      </c>
      <c r="G246" t="s">
        <v>3763</v>
      </c>
    </row>
    <row r="247" spans="1:7">
      <c r="A247" t="s">
        <v>4178</v>
      </c>
      <c r="B247" t="s">
        <v>4179</v>
      </c>
      <c r="C247" t="s">
        <v>3679</v>
      </c>
      <c r="D247" t="s">
        <v>3680</v>
      </c>
      <c r="E247">
        <v>4</v>
      </c>
      <c r="F247" s="6">
        <v>375</v>
      </c>
      <c r="G247" t="s">
        <v>3702</v>
      </c>
    </row>
    <row r="248" spans="1:7">
      <c r="A248" t="s">
        <v>4180</v>
      </c>
      <c r="B248" t="s">
        <v>4181</v>
      </c>
      <c r="C248" t="s">
        <v>3679</v>
      </c>
      <c r="D248" t="s">
        <v>3680</v>
      </c>
      <c r="E248">
        <v>60</v>
      </c>
      <c r="F248" s="6">
        <v>50</v>
      </c>
      <c r="G248" t="s">
        <v>4182</v>
      </c>
    </row>
    <row r="249" spans="1:7">
      <c r="A249" t="s">
        <v>4183</v>
      </c>
      <c r="B249" t="s">
        <v>4184</v>
      </c>
      <c r="C249" t="s">
        <v>3679</v>
      </c>
      <c r="D249" t="s">
        <v>3680</v>
      </c>
      <c r="E249">
        <v>1</v>
      </c>
      <c r="F249" s="6">
        <v>50</v>
      </c>
      <c r="G249" t="s">
        <v>3686</v>
      </c>
    </row>
    <row r="250" spans="1:7">
      <c r="A250" t="s">
        <v>2378</v>
      </c>
      <c r="B250" t="s">
        <v>4185</v>
      </c>
      <c r="C250" t="s">
        <v>3684</v>
      </c>
      <c r="D250" t="s">
        <v>3685</v>
      </c>
      <c r="E250">
        <v>6</v>
      </c>
      <c r="F250" s="6">
        <v>1750</v>
      </c>
      <c r="G250" t="s">
        <v>3730</v>
      </c>
    </row>
    <row r="251" spans="1:7">
      <c r="A251" t="s">
        <v>4186</v>
      </c>
      <c r="B251" t="s">
        <v>4187</v>
      </c>
      <c r="C251" t="s">
        <v>3679</v>
      </c>
      <c r="D251" t="s">
        <v>3680</v>
      </c>
      <c r="E251">
        <v>6</v>
      </c>
      <c r="F251" s="6">
        <v>750</v>
      </c>
      <c r="G251" t="s">
        <v>3713</v>
      </c>
    </row>
    <row r="252" spans="1:7">
      <c r="A252" t="s">
        <v>4188</v>
      </c>
      <c r="B252" t="s">
        <v>4189</v>
      </c>
      <c r="C252" t="s">
        <v>4190</v>
      </c>
      <c r="D252" t="s">
        <v>4191</v>
      </c>
      <c r="E252">
        <v>6</v>
      </c>
      <c r="F252" s="6">
        <v>750</v>
      </c>
      <c r="G252" t="s">
        <v>3689</v>
      </c>
    </row>
    <row r="253" spans="1:7">
      <c r="A253" t="s">
        <v>3347</v>
      </c>
      <c r="B253" t="s">
        <v>4192</v>
      </c>
      <c r="C253" t="s">
        <v>3679</v>
      </c>
      <c r="D253" t="s">
        <v>3680</v>
      </c>
      <c r="E253">
        <v>6</v>
      </c>
      <c r="F253" s="6">
        <v>750</v>
      </c>
      <c r="G253" t="s">
        <v>4032</v>
      </c>
    </row>
    <row r="254" spans="1:7">
      <c r="A254" t="s">
        <v>4193</v>
      </c>
      <c r="B254" t="s">
        <v>4194</v>
      </c>
      <c r="C254" t="s">
        <v>3679</v>
      </c>
      <c r="D254" t="s">
        <v>3680</v>
      </c>
      <c r="E254">
        <v>6</v>
      </c>
      <c r="F254" s="6">
        <v>750</v>
      </c>
      <c r="G254" t="s">
        <v>3951</v>
      </c>
    </row>
    <row r="255" spans="1:7">
      <c r="A255" t="s">
        <v>4195</v>
      </c>
      <c r="B255" t="s">
        <v>4196</v>
      </c>
      <c r="C255" t="s">
        <v>3679</v>
      </c>
      <c r="D255" t="s">
        <v>3680</v>
      </c>
      <c r="E255">
        <v>4</v>
      </c>
      <c r="F255" s="6">
        <v>1125</v>
      </c>
      <c r="G255" t="s">
        <v>3730</v>
      </c>
    </row>
    <row r="256" spans="1:7">
      <c r="A256" t="s">
        <v>1742</v>
      </c>
      <c r="B256" t="s">
        <v>4197</v>
      </c>
      <c r="C256" t="s">
        <v>4012</v>
      </c>
      <c r="D256" t="s">
        <v>4013</v>
      </c>
      <c r="E256">
        <v>6</v>
      </c>
      <c r="F256" s="6">
        <v>750</v>
      </c>
      <c r="G256" t="s">
        <v>3702</v>
      </c>
    </row>
    <row r="257" spans="1:7">
      <c r="A257" t="s">
        <v>617</v>
      </c>
      <c r="B257" t="s">
        <v>4198</v>
      </c>
      <c r="C257" t="s">
        <v>4012</v>
      </c>
      <c r="D257" t="s">
        <v>4013</v>
      </c>
      <c r="E257">
        <v>6</v>
      </c>
      <c r="F257" s="6">
        <v>1750</v>
      </c>
      <c r="G257" t="s">
        <v>3931</v>
      </c>
    </row>
    <row r="258" spans="1:7">
      <c r="A258" t="s">
        <v>1038</v>
      </c>
      <c r="B258" t="s">
        <v>4198</v>
      </c>
      <c r="C258" t="s">
        <v>4012</v>
      </c>
      <c r="D258" t="s">
        <v>4013</v>
      </c>
      <c r="E258">
        <v>12</v>
      </c>
      <c r="F258" s="6">
        <v>750</v>
      </c>
      <c r="G258" t="s">
        <v>3931</v>
      </c>
    </row>
    <row r="259" spans="1:7">
      <c r="A259" t="s">
        <v>1955</v>
      </c>
      <c r="B259" t="s">
        <v>4199</v>
      </c>
      <c r="C259" t="s">
        <v>4012</v>
      </c>
      <c r="D259" t="s">
        <v>4013</v>
      </c>
      <c r="E259">
        <v>24</v>
      </c>
      <c r="F259" s="6">
        <v>375</v>
      </c>
      <c r="G259" t="s">
        <v>3716</v>
      </c>
    </row>
    <row r="260" spans="1:7">
      <c r="A260" t="s">
        <v>3543</v>
      </c>
      <c r="B260" t="s">
        <v>4200</v>
      </c>
      <c r="C260" t="s">
        <v>4012</v>
      </c>
      <c r="D260" t="s">
        <v>4013</v>
      </c>
      <c r="E260">
        <v>12</v>
      </c>
      <c r="F260" s="6">
        <v>750</v>
      </c>
      <c r="G260" t="s">
        <v>3716</v>
      </c>
    </row>
    <row r="261" spans="1:7">
      <c r="A261" t="s">
        <v>437</v>
      </c>
      <c r="B261" t="s">
        <v>4199</v>
      </c>
      <c r="C261" t="s">
        <v>4012</v>
      </c>
      <c r="D261" t="s">
        <v>4013</v>
      </c>
      <c r="E261">
        <v>12</v>
      </c>
      <c r="F261" s="6">
        <v>750</v>
      </c>
      <c r="G261" t="s">
        <v>3716</v>
      </c>
    </row>
    <row r="262" spans="1:7">
      <c r="A262" t="s">
        <v>2290</v>
      </c>
      <c r="B262" t="s">
        <v>4199</v>
      </c>
      <c r="C262" t="s">
        <v>4012</v>
      </c>
      <c r="D262" t="s">
        <v>4013</v>
      </c>
      <c r="E262">
        <v>12</v>
      </c>
      <c r="F262" s="6">
        <v>1000</v>
      </c>
      <c r="G262" t="s">
        <v>3716</v>
      </c>
    </row>
    <row r="263" spans="1:7">
      <c r="A263" t="s">
        <v>1629</v>
      </c>
      <c r="B263" t="s">
        <v>4199</v>
      </c>
      <c r="C263" t="s">
        <v>4012</v>
      </c>
      <c r="D263" t="s">
        <v>4013</v>
      </c>
      <c r="E263">
        <v>6</v>
      </c>
      <c r="F263" s="6">
        <v>1750</v>
      </c>
      <c r="G263" t="s">
        <v>3716</v>
      </c>
    </row>
    <row r="264" spans="1:7">
      <c r="A264" t="s">
        <v>105</v>
      </c>
      <c r="B264" t="s">
        <v>4201</v>
      </c>
      <c r="C264" t="s">
        <v>3679</v>
      </c>
      <c r="D264" t="s">
        <v>3680</v>
      </c>
      <c r="E264">
        <v>6</v>
      </c>
      <c r="F264" s="6">
        <v>750</v>
      </c>
      <c r="G264" t="s">
        <v>3716</v>
      </c>
    </row>
    <row r="265" spans="1:7">
      <c r="A265" t="s">
        <v>4202</v>
      </c>
      <c r="B265" t="s">
        <v>4203</v>
      </c>
      <c r="C265" t="s">
        <v>4012</v>
      </c>
      <c r="D265" t="s">
        <v>4013</v>
      </c>
      <c r="E265">
        <v>10</v>
      </c>
      <c r="F265" s="6">
        <v>50</v>
      </c>
      <c r="G265" t="s">
        <v>3730</v>
      </c>
    </row>
    <row r="266" spans="1:7">
      <c r="A266" t="s">
        <v>1298</v>
      </c>
      <c r="B266" t="s">
        <v>4204</v>
      </c>
      <c r="C266" t="s">
        <v>4012</v>
      </c>
      <c r="D266" t="s">
        <v>4013</v>
      </c>
      <c r="E266">
        <v>24</v>
      </c>
      <c r="F266" s="6">
        <v>375</v>
      </c>
      <c r="G266" t="s">
        <v>3730</v>
      </c>
    </row>
    <row r="267" spans="1:7">
      <c r="A267" t="s">
        <v>1813</v>
      </c>
      <c r="B267" t="s">
        <v>4204</v>
      </c>
      <c r="C267" t="s">
        <v>4012</v>
      </c>
      <c r="D267" t="s">
        <v>4013</v>
      </c>
      <c r="E267">
        <v>12</v>
      </c>
      <c r="F267" s="6">
        <v>1000</v>
      </c>
      <c r="G267" t="s">
        <v>3730</v>
      </c>
    </row>
    <row r="268" spans="1:7">
      <c r="A268" t="s">
        <v>529</v>
      </c>
      <c r="B268" t="s">
        <v>4204</v>
      </c>
      <c r="C268" t="s">
        <v>4012</v>
      </c>
      <c r="D268" t="s">
        <v>4013</v>
      </c>
      <c r="E268">
        <v>6</v>
      </c>
      <c r="F268" s="6">
        <v>1750</v>
      </c>
      <c r="G268" t="s">
        <v>3730</v>
      </c>
    </row>
    <row r="269" spans="1:7">
      <c r="A269" t="s">
        <v>1493</v>
      </c>
      <c r="B269" t="s">
        <v>4205</v>
      </c>
      <c r="C269" t="s">
        <v>3679</v>
      </c>
      <c r="D269" t="s">
        <v>3680</v>
      </c>
      <c r="E269">
        <v>12</v>
      </c>
      <c r="F269" s="6">
        <v>750</v>
      </c>
      <c r="G269" t="s">
        <v>3730</v>
      </c>
    </row>
    <row r="270" spans="1:7">
      <c r="A270" t="s">
        <v>2628</v>
      </c>
      <c r="B270" t="s">
        <v>4206</v>
      </c>
      <c r="C270" t="s">
        <v>3679</v>
      </c>
      <c r="D270" t="s">
        <v>3680</v>
      </c>
      <c r="E270">
        <v>12</v>
      </c>
      <c r="F270" s="6">
        <v>750</v>
      </c>
      <c r="G270" t="s">
        <v>3730</v>
      </c>
    </row>
    <row r="271" spans="1:7">
      <c r="A271" t="s">
        <v>4207</v>
      </c>
      <c r="B271" t="s">
        <v>4208</v>
      </c>
      <c r="C271" t="s">
        <v>4012</v>
      </c>
      <c r="D271" t="s">
        <v>4013</v>
      </c>
      <c r="E271">
        <v>12</v>
      </c>
      <c r="F271" s="6">
        <v>750</v>
      </c>
      <c r="G271" t="s">
        <v>3730</v>
      </c>
    </row>
    <row r="272" spans="1:7">
      <c r="A272" t="s">
        <v>1865</v>
      </c>
      <c r="B272" t="s">
        <v>4209</v>
      </c>
      <c r="C272" t="s">
        <v>4012</v>
      </c>
      <c r="D272" t="s">
        <v>4013</v>
      </c>
      <c r="E272">
        <v>10</v>
      </c>
      <c r="F272" s="6">
        <v>50</v>
      </c>
      <c r="G272" t="s">
        <v>3730</v>
      </c>
    </row>
    <row r="273" spans="1:7">
      <c r="A273" t="s">
        <v>935</v>
      </c>
      <c r="B273" t="s">
        <v>4210</v>
      </c>
      <c r="C273" t="s">
        <v>4012</v>
      </c>
      <c r="D273" t="s">
        <v>4013</v>
      </c>
      <c r="E273">
        <v>44</v>
      </c>
      <c r="F273" s="6">
        <v>200</v>
      </c>
      <c r="G273" t="s">
        <v>3730</v>
      </c>
    </row>
    <row r="274" spans="1:7">
      <c r="A274" t="s">
        <v>1370</v>
      </c>
      <c r="B274" t="s">
        <v>4210</v>
      </c>
      <c r="C274" t="s">
        <v>4012</v>
      </c>
      <c r="D274" t="s">
        <v>4013</v>
      </c>
      <c r="E274">
        <v>24</v>
      </c>
      <c r="F274" s="6">
        <v>375</v>
      </c>
      <c r="G274" t="s">
        <v>3730</v>
      </c>
    </row>
    <row r="275" spans="1:7">
      <c r="A275" t="s">
        <v>1832</v>
      </c>
      <c r="B275" t="s">
        <v>4210</v>
      </c>
      <c r="C275" t="s">
        <v>4012</v>
      </c>
      <c r="D275" t="s">
        <v>4013</v>
      </c>
      <c r="E275">
        <v>12</v>
      </c>
      <c r="F275" s="6">
        <v>750</v>
      </c>
      <c r="G275" t="s">
        <v>3730</v>
      </c>
    </row>
    <row r="276" spans="1:7">
      <c r="A276" t="s">
        <v>869</v>
      </c>
      <c r="B276" t="s">
        <v>4210</v>
      </c>
      <c r="C276" t="s">
        <v>4012</v>
      </c>
      <c r="D276" t="s">
        <v>4013</v>
      </c>
      <c r="E276">
        <v>12</v>
      </c>
      <c r="F276" s="6">
        <v>1000</v>
      </c>
      <c r="G276" t="s">
        <v>3730</v>
      </c>
    </row>
    <row r="277" spans="1:7">
      <c r="A277" t="s">
        <v>1449</v>
      </c>
      <c r="B277" t="s">
        <v>4210</v>
      </c>
      <c r="C277" t="s">
        <v>4012</v>
      </c>
      <c r="D277" t="s">
        <v>4013</v>
      </c>
      <c r="E277">
        <v>6</v>
      </c>
      <c r="F277" s="6">
        <v>1750</v>
      </c>
      <c r="G277" t="s">
        <v>3730</v>
      </c>
    </row>
    <row r="278" spans="1:7">
      <c r="A278" t="s">
        <v>2285</v>
      </c>
      <c r="B278" t="s">
        <v>4204</v>
      </c>
      <c r="C278" t="s">
        <v>4012</v>
      </c>
      <c r="D278" t="s">
        <v>4013</v>
      </c>
      <c r="E278">
        <v>12</v>
      </c>
      <c r="F278" s="6">
        <v>750</v>
      </c>
      <c r="G278" t="s">
        <v>3730</v>
      </c>
    </row>
    <row r="279" spans="1:7">
      <c r="A279" t="s">
        <v>800</v>
      </c>
      <c r="B279" t="s">
        <v>4211</v>
      </c>
      <c r="C279" t="s">
        <v>4012</v>
      </c>
      <c r="D279" t="s">
        <v>4013</v>
      </c>
      <c r="E279">
        <v>10</v>
      </c>
      <c r="F279" s="6">
        <v>50</v>
      </c>
      <c r="G279" t="s">
        <v>3730</v>
      </c>
    </row>
    <row r="280" spans="1:7">
      <c r="A280" t="s">
        <v>1339</v>
      </c>
      <c r="B280" t="s">
        <v>4212</v>
      </c>
      <c r="C280" t="s">
        <v>4012</v>
      </c>
      <c r="D280" t="s">
        <v>4013</v>
      </c>
      <c r="E280">
        <v>44</v>
      </c>
      <c r="F280" s="6">
        <v>200</v>
      </c>
      <c r="G280" t="s">
        <v>3730</v>
      </c>
    </row>
    <row r="281" spans="1:7">
      <c r="A281" t="s">
        <v>1904</v>
      </c>
      <c r="B281" t="s">
        <v>4212</v>
      </c>
      <c r="C281" t="s">
        <v>4012</v>
      </c>
      <c r="D281" t="s">
        <v>4013</v>
      </c>
      <c r="E281">
        <v>24</v>
      </c>
      <c r="F281" s="6">
        <v>375</v>
      </c>
      <c r="G281" t="s">
        <v>3730</v>
      </c>
    </row>
    <row r="282" spans="1:7">
      <c r="A282" t="s">
        <v>530</v>
      </c>
      <c r="B282" t="s">
        <v>4212</v>
      </c>
      <c r="C282" t="s">
        <v>4012</v>
      </c>
      <c r="D282" t="s">
        <v>4013</v>
      </c>
      <c r="E282">
        <v>12</v>
      </c>
      <c r="F282" s="6">
        <v>750</v>
      </c>
      <c r="G282" t="s">
        <v>3730</v>
      </c>
    </row>
    <row r="283" spans="1:7">
      <c r="A283" t="s">
        <v>1114</v>
      </c>
      <c r="B283" t="s">
        <v>4212</v>
      </c>
      <c r="C283" t="s">
        <v>4012</v>
      </c>
      <c r="D283" t="s">
        <v>4013</v>
      </c>
      <c r="E283">
        <v>12</v>
      </c>
      <c r="F283" s="6">
        <v>1000</v>
      </c>
      <c r="G283" t="s">
        <v>3730</v>
      </c>
    </row>
    <row r="284" spans="1:7">
      <c r="A284" t="s">
        <v>1756</v>
      </c>
      <c r="B284" t="s">
        <v>4212</v>
      </c>
      <c r="C284" t="s">
        <v>4012</v>
      </c>
      <c r="D284" t="s">
        <v>4013</v>
      </c>
      <c r="E284">
        <v>6</v>
      </c>
      <c r="F284" s="6">
        <v>1750</v>
      </c>
      <c r="G284" t="s">
        <v>3730</v>
      </c>
    </row>
    <row r="285" spans="1:7">
      <c r="A285" t="s">
        <v>73</v>
      </c>
      <c r="B285" t="s">
        <v>4213</v>
      </c>
      <c r="C285" t="s">
        <v>4012</v>
      </c>
      <c r="D285" t="s">
        <v>4013</v>
      </c>
      <c r="E285">
        <v>12</v>
      </c>
      <c r="F285" s="6">
        <v>750</v>
      </c>
      <c r="G285" t="s">
        <v>3730</v>
      </c>
    </row>
    <row r="286" spans="1:7">
      <c r="A286" t="s">
        <v>2538</v>
      </c>
      <c r="B286" t="s">
        <v>4214</v>
      </c>
      <c r="C286" t="s">
        <v>4012</v>
      </c>
      <c r="D286" t="s">
        <v>4013</v>
      </c>
      <c r="E286">
        <v>12</v>
      </c>
      <c r="F286" s="6">
        <v>750</v>
      </c>
      <c r="G286" t="s">
        <v>3730</v>
      </c>
    </row>
    <row r="287" spans="1:7">
      <c r="A287" t="s">
        <v>2195</v>
      </c>
      <c r="B287" t="s">
        <v>4215</v>
      </c>
      <c r="C287" t="s">
        <v>4012</v>
      </c>
      <c r="D287" t="s">
        <v>4013</v>
      </c>
      <c r="E287">
        <v>24</v>
      </c>
      <c r="F287" s="6">
        <v>375</v>
      </c>
      <c r="G287" t="s">
        <v>3730</v>
      </c>
    </row>
    <row r="288" spans="1:7">
      <c r="A288" t="s">
        <v>481</v>
      </c>
      <c r="B288" t="s">
        <v>4215</v>
      </c>
      <c r="C288" t="s">
        <v>4012</v>
      </c>
      <c r="D288" t="s">
        <v>4013</v>
      </c>
      <c r="E288">
        <v>12</v>
      </c>
      <c r="F288" s="6">
        <v>750</v>
      </c>
      <c r="G288" t="s">
        <v>3730</v>
      </c>
    </row>
    <row r="289" spans="1:7">
      <c r="A289" t="s">
        <v>4216</v>
      </c>
      <c r="B289" t="s">
        <v>4215</v>
      </c>
      <c r="C289" t="s">
        <v>4012</v>
      </c>
      <c r="D289" t="s">
        <v>4013</v>
      </c>
      <c r="E289">
        <v>6</v>
      </c>
      <c r="F289" s="6">
        <v>1750</v>
      </c>
      <c r="G289" t="s">
        <v>3730</v>
      </c>
    </row>
    <row r="290" spans="1:7">
      <c r="A290" t="s">
        <v>1400</v>
      </c>
      <c r="B290" t="s">
        <v>4217</v>
      </c>
      <c r="C290" t="s">
        <v>3679</v>
      </c>
      <c r="D290" t="s">
        <v>3680</v>
      </c>
      <c r="E290">
        <v>12</v>
      </c>
      <c r="F290" s="6">
        <v>750</v>
      </c>
      <c r="G290" t="s">
        <v>3730</v>
      </c>
    </row>
    <row r="291" spans="1:7">
      <c r="A291" t="s">
        <v>2451</v>
      </c>
      <c r="B291" t="s">
        <v>4218</v>
      </c>
      <c r="C291" t="s">
        <v>4012</v>
      </c>
      <c r="D291" t="s">
        <v>4013</v>
      </c>
      <c r="E291">
        <v>12</v>
      </c>
      <c r="F291" s="6">
        <v>750</v>
      </c>
      <c r="G291" t="s">
        <v>3716</v>
      </c>
    </row>
    <row r="292" spans="1:7">
      <c r="A292" t="s">
        <v>4219</v>
      </c>
      <c r="B292" t="s">
        <v>4220</v>
      </c>
      <c r="C292" t="s">
        <v>4012</v>
      </c>
      <c r="D292" t="s">
        <v>4013</v>
      </c>
      <c r="E292">
        <v>6</v>
      </c>
      <c r="F292" s="6">
        <v>750</v>
      </c>
      <c r="G292" t="s">
        <v>3730</v>
      </c>
    </row>
    <row r="293" spans="1:7">
      <c r="A293" t="s">
        <v>4221</v>
      </c>
      <c r="B293" t="s">
        <v>4222</v>
      </c>
      <c r="C293" t="s">
        <v>4012</v>
      </c>
      <c r="D293" t="s">
        <v>4013</v>
      </c>
      <c r="E293">
        <v>3</v>
      </c>
      <c r="F293" s="6">
        <v>750</v>
      </c>
      <c r="G293" t="s">
        <v>3730</v>
      </c>
    </row>
    <row r="294" spans="1:7">
      <c r="A294" t="s">
        <v>4223</v>
      </c>
      <c r="B294" t="s">
        <v>4224</v>
      </c>
      <c r="C294" t="s">
        <v>4012</v>
      </c>
      <c r="D294" t="s">
        <v>4013</v>
      </c>
      <c r="E294">
        <v>6</v>
      </c>
      <c r="F294" s="6">
        <v>750</v>
      </c>
      <c r="G294" t="s">
        <v>4225</v>
      </c>
    </row>
    <row r="295" spans="1:7">
      <c r="A295" t="s">
        <v>2206</v>
      </c>
      <c r="B295" t="s">
        <v>4226</v>
      </c>
      <c r="C295" t="s">
        <v>4012</v>
      </c>
      <c r="D295" t="s">
        <v>4013</v>
      </c>
      <c r="E295">
        <v>12</v>
      </c>
      <c r="F295" s="6">
        <v>750</v>
      </c>
      <c r="G295" t="s">
        <v>3888</v>
      </c>
    </row>
    <row r="296" spans="1:7">
      <c r="A296" t="s">
        <v>228</v>
      </c>
      <c r="B296" t="s">
        <v>4227</v>
      </c>
      <c r="C296" t="s">
        <v>4012</v>
      </c>
      <c r="D296" t="s">
        <v>4013</v>
      </c>
      <c r="E296">
        <v>6</v>
      </c>
      <c r="F296" s="6">
        <v>1750</v>
      </c>
      <c r="G296" t="s">
        <v>4163</v>
      </c>
    </row>
    <row r="297" spans="1:7">
      <c r="A297" t="s">
        <v>1466</v>
      </c>
      <c r="B297" t="s">
        <v>4228</v>
      </c>
      <c r="C297" t="s">
        <v>4012</v>
      </c>
      <c r="D297" t="s">
        <v>4013</v>
      </c>
      <c r="E297">
        <v>6</v>
      </c>
      <c r="F297" s="6">
        <v>750</v>
      </c>
      <c r="G297" t="s">
        <v>3730</v>
      </c>
    </row>
    <row r="298" spans="1:7">
      <c r="A298" t="s">
        <v>2536</v>
      </c>
      <c r="B298" t="s">
        <v>4229</v>
      </c>
      <c r="C298" t="s">
        <v>4012</v>
      </c>
      <c r="D298" t="s">
        <v>4013</v>
      </c>
      <c r="E298">
        <v>10</v>
      </c>
      <c r="F298" s="6">
        <v>50</v>
      </c>
      <c r="G298" t="s">
        <v>3730</v>
      </c>
    </row>
    <row r="299" spans="1:7">
      <c r="A299" t="s">
        <v>587</v>
      </c>
      <c r="B299" t="s">
        <v>4230</v>
      </c>
      <c r="C299" t="s">
        <v>4012</v>
      </c>
      <c r="D299" t="s">
        <v>4013</v>
      </c>
      <c r="E299">
        <v>24</v>
      </c>
      <c r="F299" s="6">
        <v>375</v>
      </c>
      <c r="G299" t="s">
        <v>3730</v>
      </c>
    </row>
    <row r="300" spans="1:7">
      <c r="A300" t="s">
        <v>1285</v>
      </c>
      <c r="B300" t="s">
        <v>4230</v>
      </c>
      <c r="C300" t="s">
        <v>4012</v>
      </c>
      <c r="D300" t="s">
        <v>4013</v>
      </c>
      <c r="E300">
        <v>12</v>
      </c>
      <c r="F300" s="6">
        <v>750</v>
      </c>
      <c r="G300" t="s">
        <v>3730</v>
      </c>
    </row>
    <row r="301" spans="1:7">
      <c r="A301" t="s">
        <v>2326</v>
      </c>
      <c r="B301" t="s">
        <v>4230</v>
      </c>
      <c r="C301" t="s">
        <v>4012</v>
      </c>
      <c r="D301" t="s">
        <v>4013</v>
      </c>
      <c r="E301">
        <v>12</v>
      </c>
      <c r="F301" s="6">
        <v>1000</v>
      </c>
      <c r="G301" t="s">
        <v>3730</v>
      </c>
    </row>
    <row r="302" spans="1:7">
      <c r="A302" t="s">
        <v>136</v>
      </c>
      <c r="B302" t="s">
        <v>4230</v>
      </c>
      <c r="C302" t="s">
        <v>4012</v>
      </c>
      <c r="D302" t="s">
        <v>4013</v>
      </c>
      <c r="E302">
        <v>6</v>
      </c>
      <c r="F302" s="6">
        <v>1750</v>
      </c>
      <c r="G302" t="s">
        <v>3730</v>
      </c>
    </row>
    <row r="303" spans="1:7">
      <c r="A303" t="s">
        <v>2545</v>
      </c>
      <c r="B303" t="s">
        <v>4230</v>
      </c>
      <c r="C303" t="s">
        <v>4012</v>
      </c>
      <c r="D303" t="s">
        <v>4013</v>
      </c>
      <c r="E303">
        <v>44</v>
      </c>
      <c r="F303" s="6">
        <v>200</v>
      </c>
      <c r="G303" t="s">
        <v>3730</v>
      </c>
    </row>
    <row r="304" spans="1:7">
      <c r="A304" t="s">
        <v>4231</v>
      </c>
      <c r="B304" t="s">
        <v>4232</v>
      </c>
      <c r="C304" t="s">
        <v>4012</v>
      </c>
      <c r="D304" t="s">
        <v>4013</v>
      </c>
      <c r="E304">
        <v>6</v>
      </c>
      <c r="F304" s="6">
        <v>1750</v>
      </c>
      <c r="G304" t="s">
        <v>3686</v>
      </c>
    </row>
    <row r="305" spans="1:7">
      <c r="A305" t="s">
        <v>4233</v>
      </c>
      <c r="B305" t="s">
        <v>4234</v>
      </c>
      <c r="C305" t="s">
        <v>4012</v>
      </c>
      <c r="D305" t="s">
        <v>4013</v>
      </c>
      <c r="E305">
        <v>10</v>
      </c>
      <c r="F305" s="6">
        <v>50</v>
      </c>
      <c r="G305" t="s">
        <v>3686</v>
      </c>
    </row>
    <row r="306" spans="1:7">
      <c r="A306" t="s">
        <v>4235</v>
      </c>
      <c r="B306" t="s">
        <v>4236</v>
      </c>
      <c r="C306" t="s">
        <v>4012</v>
      </c>
      <c r="D306" t="s">
        <v>4013</v>
      </c>
      <c r="E306">
        <v>24</v>
      </c>
      <c r="F306" s="6">
        <v>375</v>
      </c>
      <c r="G306" t="s">
        <v>3686</v>
      </c>
    </row>
    <row r="307" spans="1:7">
      <c r="A307" t="s">
        <v>553</v>
      </c>
      <c r="B307" t="s">
        <v>4237</v>
      </c>
      <c r="C307" t="s">
        <v>4012</v>
      </c>
      <c r="D307" t="s">
        <v>4013</v>
      </c>
      <c r="E307">
        <v>12</v>
      </c>
      <c r="F307" s="6">
        <v>750</v>
      </c>
      <c r="G307" t="s">
        <v>3686</v>
      </c>
    </row>
    <row r="308" spans="1:7">
      <c r="A308" t="s">
        <v>1671</v>
      </c>
      <c r="B308" t="s">
        <v>4237</v>
      </c>
      <c r="C308" t="s">
        <v>4012</v>
      </c>
      <c r="D308" t="s">
        <v>4013</v>
      </c>
      <c r="E308">
        <v>12</v>
      </c>
      <c r="F308" s="6">
        <v>1000</v>
      </c>
      <c r="G308" t="s">
        <v>3686</v>
      </c>
    </row>
    <row r="309" spans="1:7">
      <c r="A309" t="s">
        <v>1067</v>
      </c>
      <c r="B309" t="s">
        <v>4236</v>
      </c>
      <c r="C309" t="s">
        <v>4012</v>
      </c>
      <c r="D309" t="s">
        <v>4013</v>
      </c>
      <c r="E309">
        <v>6</v>
      </c>
      <c r="F309" s="6">
        <v>1750</v>
      </c>
      <c r="G309" t="s">
        <v>3686</v>
      </c>
    </row>
    <row r="310" spans="1:7">
      <c r="A310" t="s">
        <v>4238</v>
      </c>
      <c r="B310" t="s">
        <v>4239</v>
      </c>
      <c r="C310" t="s">
        <v>4012</v>
      </c>
      <c r="D310" t="s">
        <v>4013</v>
      </c>
      <c r="E310">
        <v>12</v>
      </c>
      <c r="F310" s="6">
        <v>750</v>
      </c>
      <c r="G310" t="s">
        <v>3730</v>
      </c>
    </row>
    <row r="311" spans="1:7">
      <c r="A311" t="s">
        <v>728</v>
      </c>
      <c r="B311" t="s">
        <v>4240</v>
      </c>
      <c r="C311" t="s">
        <v>4012</v>
      </c>
      <c r="D311" t="s">
        <v>4013</v>
      </c>
      <c r="E311">
        <v>12</v>
      </c>
      <c r="F311" s="6">
        <v>750</v>
      </c>
      <c r="G311" t="s">
        <v>3730</v>
      </c>
    </row>
    <row r="312" spans="1:7">
      <c r="A312" t="s">
        <v>4241</v>
      </c>
      <c r="B312" t="s">
        <v>4242</v>
      </c>
      <c r="C312" t="s">
        <v>4012</v>
      </c>
      <c r="D312" t="s">
        <v>4013</v>
      </c>
      <c r="E312">
        <v>12</v>
      </c>
      <c r="F312" s="6">
        <v>750</v>
      </c>
      <c r="G312" t="s">
        <v>3686</v>
      </c>
    </row>
    <row r="313" spans="1:7">
      <c r="A313" t="s">
        <v>1662</v>
      </c>
      <c r="B313" t="s">
        <v>4243</v>
      </c>
      <c r="C313" t="s">
        <v>4244</v>
      </c>
      <c r="D313" t="s">
        <v>4245</v>
      </c>
      <c r="E313">
        <v>12</v>
      </c>
      <c r="F313" s="6">
        <v>750</v>
      </c>
      <c r="G313" t="s">
        <v>3716</v>
      </c>
    </row>
    <row r="314" spans="1:7">
      <c r="A314" t="s">
        <v>4246</v>
      </c>
      <c r="B314" t="s">
        <v>4247</v>
      </c>
      <c r="C314" t="s">
        <v>4012</v>
      </c>
      <c r="D314" t="s">
        <v>4013</v>
      </c>
      <c r="E314">
        <v>12</v>
      </c>
      <c r="F314" s="6">
        <v>750</v>
      </c>
      <c r="G314" t="s">
        <v>3931</v>
      </c>
    </row>
    <row r="315" spans="1:7">
      <c r="A315" t="s">
        <v>1176</v>
      </c>
      <c r="B315" t="s">
        <v>4247</v>
      </c>
      <c r="C315" t="s">
        <v>4012</v>
      </c>
      <c r="D315" t="s">
        <v>4013</v>
      </c>
      <c r="E315">
        <v>6</v>
      </c>
      <c r="F315" s="6">
        <v>1750</v>
      </c>
      <c r="G315" t="s">
        <v>3931</v>
      </c>
    </row>
    <row r="316" spans="1:7">
      <c r="A316" t="s">
        <v>4248</v>
      </c>
      <c r="B316" t="s">
        <v>4249</v>
      </c>
      <c r="C316" t="s">
        <v>3684</v>
      </c>
      <c r="D316" t="s">
        <v>3685</v>
      </c>
      <c r="E316">
        <v>6</v>
      </c>
      <c r="F316" s="6">
        <v>800</v>
      </c>
      <c r="G316" t="s">
        <v>3730</v>
      </c>
    </row>
    <row r="317" spans="1:7">
      <c r="A317" t="s">
        <v>660</v>
      </c>
      <c r="B317" t="s">
        <v>4250</v>
      </c>
      <c r="C317" t="s">
        <v>4012</v>
      </c>
      <c r="D317" t="s">
        <v>4013</v>
      </c>
      <c r="E317">
        <v>8</v>
      </c>
      <c r="F317" s="6">
        <v>50</v>
      </c>
      <c r="G317" t="s">
        <v>3931</v>
      </c>
    </row>
    <row r="318" spans="1:7">
      <c r="A318" t="s">
        <v>1402</v>
      </c>
      <c r="B318" t="s">
        <v>4251</v>
      </c>
      <c r="C318" t="s">
        <v>4012</v>
      </c>
      <c r="D318" t="s">
        <v>4013</v>
      </c>
      <c r="E318">
        <v>48</v>
      </c>
      <c r="F318" s="6">
        <v>200</v>
      </c>
      <c r="G318" t="s">
        <v>3931</v>
      </c>
    </row>
    <row r="319" spans="1:7">
      <c r="A319" t="s">
        <v>4252</v>
      </c>
      <c r="B319" t="s">
        <v>4251</v>
      </c>
      <c r="C319" t="s">
        <v>4012</v>
      </c>
      <c r="D319" t="s">
        <v>4013</v>
      </c>
      <c r="E319">
        <v>24</v>
      </c>
      <c r="F319" s="6">
        <v>375</v>
      </c>
      <c r="G319" t="s">
        <v>3931</v>
      </c>
    </row>
    <row r="320" spans="1:7">
      <c r="A320" t="s">
        <v>206</v>
      </c>
      <c r="B320" t="s">
        <v>4251</v>
      </c>
      <c r="C320" t="s">
        <v>4012</v>
      </c>
      <c r="D320" t="s">
        <v>4013</v>
      </c>
      <c r="E320">
        <v>12</v>
      </c>
      <c r="F320" s="6">
        <v>750</v>
      </c>
      <c r="G320" t="s">
        <v>3931</v>
      </c>
    </row>
    <row r="321" spans="1:7">
      <c r="A321" t="s">
        <v>1134</v>
      </c>
      <c r="B321" t="s">
        <v>4251</v>
      </c>
      <c r="C321" t="s">
        <v>4012</v>
      </c>
      <c r="D321" t="s">
        <v>4013</v>
      </c>
      <c r="E321">
        <v>12</v>
      </c>
      <c r="F321" s="6">
        <v>1000</v>
      </c>
      <c r="G321" t="s">
        <v>3931</v>
      </c>
    </row>
    <row r="322" spans="1:7">
      <c r="A322" t="s">
        <v>661</v>
      </c>
      <c r="B322" t="s">
        <v>4253</v>
      </c>
      <c r="C322" t="s">
        <v>4012</v>
      </c>
      <c r="D322" t="s">
        <v>4013</v>
      </c>
      <c r="E322">
        <v>12</v>
      </c>
      <c r="F322" s="6">
        <v>750</v>
      </c>
      <c r="G322" t="s">
        <v>3931</v>
      </c>
    </row>
    <row r="323" spans="1:7">
      <c r="A323" t="s">
        <v>1404</v>
      </c>
      <c r="B323" t="s">
        <v>4251</v>
      </c>
      <c r="C323" t="s">
        <v>4012</v>
      </c>
      <c r="D323" t="s">
        <v>4013</v>
      </c>
      <c r="E323">
        <v>6</v>
      </c>
      <c r="F323" s="6">
        <v>1750</v>
      </c>
      <c r="G323" t="s">
        <v>3931</v>
      </c>
    </row>
    <row r="324" spans="1:7">
      <c r="A324" t="s">
        <v>4254</v>
      </c>
      <c r="B324" t="s">
        <v>4255</v>
      </c>
      <c r="C324" t="s">
        <v>4012</v>
      </c>
      <c r="D324" t="s">
        <v>4013</v>
      </c>
      <c r="E324">
        <v>12</v>
      </c>
      <c r="F324" s="6">
        <v>750</v>
      </c>
      <c r="G324" t="s">
        <v>3686</v>
      </c>
    </row>
    <row r="325" spans="1:7">
      <c r="A325" t="s">
        <v>816</v>
      </c>
      <c r="B325" t="s">
        <v>4255</v>
      </c>
      <c r="C325" t="s">
        <v>4012</v>
      </c>
      <c r="D325" t="s">
        <v>4013</v>
      </c>
      <c r="E325">
        <v>6</v>
      </c>
      <c r="F325" s="6">
        <v>1750</v>
      </c>
      <c r="G325" t="s">
        <v>3686</v>
      </c>
    </row>
    <row r="326" spans="1:7">
      <c r="A326" t="s">
        <v>4256</v>
      </c>
      <c r="B326" t="s">
        <v>4257</v>
      </c>
      <c r="C326" t="s">
        <v>4012</v>
      </c>
      <c r="D326" t="s">
        <v>4013</v>
      </c>
      <c r="E326">
        <v>12</v>
      </c>
      <c r="F326" s="6">
        <v>750</v>
      </c>
      <c r="G326" t="s">
        <v>3686</v>
      </c>
    </row>
    <row r="327" spans="1:7">
      <c r="A327" t="s">
        <v>1702</v>
      </c>
      <c r="B327" t="s">
        <v>4258</v>
      </c>
      <c r="C327" t="s">
        <v>4012</v>
      </c>
      <c r="D327" t="s">
        <v>4013</v>
      </c>
      <c r="E327">
        <v>12</v>
      </c>
      <c r="F327" s="6">
        <v>750</v>
      </c>
      <c r="G327" t="s">
        <v>3686</v>
      </c>
    </row>
    <row r="328" spans="1:7">
      <c r="A328" t="s">
        <v>1371</v>
      </c>
      <c r="B328" t="s">
        <v>4259</v>
      </c>
      <c r="C328" t="s">
        <v>4012</v>
      </c>
      <c r="D328" t="s">
        <v>4013</v>
      </c>
      <c r="E328">
        <v>24</v>
      </c>
      <c r="F328" s="6">
        <v>375</v>
      </c>
      <c r="G328" t="s">
        <v>3686</v>
      </c>
    </row>
    <row r="329" spans="1:7">
      <c r="A329" t="s">
        <v>4260</v>
      </c>
      <c r="B329" t="s">
        <v>4259</v>
      </c>
      <c r="C329" t="s">
        <v>4012</v>
      </c>
      <c r="D329" t="s">
        <v>4013</v>
      </c>
      <c r="E329">
        <v>12</v>
      </c>
      <c r="F329" s="6">
        <v>750</v>
      </c>
      <c r="G329" t="s">
        <v>3686</v>
      </c>
    </row>
    <row r="330" spans="1:7">
      <c r="A330" t="s">
        <v>49</v>
      </c>
      <c r="B330" t="s">
        <v>4259</v>
      </c>
      <c r="C330" t="s">
        <v>4012</v>
      </c>
      <c r="D330" t="s">
        <v>4013</v>
      </c>
      <c r="E330">
        <v>12</v>
      </c>
      <c r="F330" s="6">
        <v>1000</v>
      </c>
      <c r="G330" t="s">
        <v>3686</v>
      </c>
    </row>
    <row r="331" spans="1:7">
      <c r="A331" t="s">
        <v>1520</v>
      </c>
      <c r="B331" t="s">
        <v>4259</v>
      </c>
      <c r="C331" t="s">
        <v>4012</v>
      </c>
      <c r="D331" t="s">
        <v>4013</v>
      </c>
      <c r="E331">
        <v>6</v>
      </c>
      <c r="F331" s="6">
        <v>1750</v>
      </c>
      <c r="G331" t="s">
        <v>3686</v>
      </c>
    </row>
    <row r="332" spans="1:7">
      <c r="A332" t="s">
        <v>4261</v>
      </c>
      <c r="B332" t="s">
        <v>4262</v>
      </c>
      <c r="C332" t="s">
        <v>4012</v>
      </c>
      <c r="D332" t="s">
        <v>4013</v>
      </c>
      <c r="E332">
        <v>12</v>
      </c>
      <c r="F332" s="6">
        <v>750</v>
      </c>
      <c r="G332" t="s">
        <v>3686</v>
      </c>
    </row>
    <row r="333" spans="1:7">
      <c r="A333" t="s">
        <v>2372</v>
      </c>
      <c r="B333" t="s">
        <v>4262</v>
      </c>
      <c r="C333" t="s">
        <v>4012</v>
      </c>
      <c r="D333" t="s">
        <v>4013</v>
      </c>
      <c r="E333">
        <v>12</v>
      </c>
      <c r="F333" s="6">
        <v>1000</v>
      </c>
      <c r="G333" t="s">
        <v>3686</v>
      </c>
    </row>
    <row r="334" spans="1:7">
      <c r="A334" t="s">
        <v>144</v>
      </c>
      <c r="B334" t="s">
        <v>4263</v>
      </c>
      <c r="C334" t="s">
        <v>4012</v>
      </c>
      <c r="D334" t="s">
        <v>4013</v>
      </c>
      <c r="E334">
        <v>12</v>
      </c>
      <c r="F334" s="6">
        <v>750</v>
      </c>
      <c r="G334" t="s">
        <v>3686</v>
      </c>
    </row>
    <row r="335" spans="1:7">
      <c r="A335" t="s">
        <v>1960</v>
      </c>
      <c r="B335" t="s">
        <v>4263</v>
      </c>
      <c r="C335" t="s">
        <v>4012</v>
      </c>
      <c r="D335" t="s">
        <v>4013</v>
      </c>
      <c r="E335">
        <v>6</v>
      </c>
      <c r="F335" s="6">
        <v>1750</v>
      </c>
      <c r="G335" t="s">
        <v>3686</v>
      </c>
    </row>
    <row r="336" spans="1:7">
      <c r="A336" t="s">
        <v>4264</v>
      </c>
      <c r="B336" t="s">
        <v>4265</v>
      </c>
      <c r="C336" t="s">
        <v>4084</v>
      </c>
      <c r="D336" t="s">
        <v>4085</v>
      </c>
      <c r="E336">
        <v>6</v>
      </c>
      <c r="F336" s="6">
        <v>100</v>
      </c>
      <c r="G336" t="s">
        <v>3754</v>
      </c>
    </row>
    <row r="337" spans="1:7">
      <c r="A337" t="s">
        <v>4266</v>
      </c>
      <c r="B337" t="s">
        <v>4267</v>
      </c>
      <c r="C337" t="s">
        <v>4012</v>
      </c>
      <c r="D337" t="s">
        <v>4013</v>
      </c>
      <c r="E337">
        <v>6</v>
      </c>
      <c r="F337" s="6">
        <v>1750</v>
      </c>
      <c r="G337" t="s">
        <v>3686</v>
      </c>
    </row>
    <row r="338" spans="1:7">
      <c r="A338" t="s">
        <v>503</v>
      </c>
      <c r="B338" t="s">
        <v>4267</v>
      </c>
      <c r="C338" t="s">
        <v>4012</v>
      </c>
      <c r="D338" t="s">
        <v>4013</v>
      </c>
      <c r="E338">
        <v>12</v>
      </c>
      <c r="F338" s="6">
        <v>750</v>
      </c>
      <c r="G338" t="s">
        <v>3686</v>
      </c>
    </row>
    <row r="339" spans="1:7">
      <c r="A339" t="s">
        <v>4268</v>
      </c>
      <c r="B339" t="s">
        <v>4269</v>
      </c>
      <c r="C339" t="s">
        <v>4012</v>
      </c>
      <c r="D339" t="s">
        <v>4013</v>
      </c>
      <c r="E339">
        <v>12</v>
      </c>
      <c r="F339" s="6">
        <v>750</v>
      </c>
      <c r="G339" t="s">
        <v>3686</v>
      </c>
    </row>
    <row r="340" spans="1:7">
      <c r="A340" t="s">
        <v>2286</v>
      </c>
      <c r="B340" t="s">
        <v>4270</v>
      </c>
      <c r="C340" t="s">
        <v>4012</v>
      </c>
      <c r="D340" t="s">
        <v>4013</v>
      </c>
      <c r="E340">
        <v>12</v>
      </c>
      <c r="F340" s="6">
        <v>750</v>
      </c>
      <c r="G340" t="s">
        <v>3686</v>
      </c>
    </row>
    <row r="341" spans="1:7">
      <c r="A341" t="s">
        <v>4271</v>
      </c>
      <c r="B341" t="s">
        <v>4272</v>
      </c>
      <c r="C341" t="s">
        <v>4012</v>
      </c>
      <c r="D341" t="s">
        <v>4013</v>
      </c>
      <c r="E341">
        <v>12</v>
      </c>
      <c r="F341" s="6">
        <v>750</v>
      </c>
      <c r="G341" t="s">
        <v>3686</v>
      </c>
    </row>
    <row r="342" spans="1:7">
      <c r="A342" t="s">
        <v>4273</v>
      </c>
      <c r="B342" t="s">
        <v>4274</v>
      </c>
      <c r="C342" t="s">
        <v>4012</v>
      </c>
      <c r="D342" t="s">
        <v>4013</v>
      </c>
      <c r="E342">
        <v>12</v>
      </c>
      <c r="F342" s="6">
        <v>750</v>
      </c>
      <c r="G342" t="s">
        <v>3686</v>
      </c>
    </row>
    <row r="343" spans="1:7">
      <c r="A343" t="s">
        <v>1386</v>
      </c>
      <c r="B343" t="s">
        <v>4274</v>
      </c>
      <c r="C343" t="s">
        <v>4012</v>
      </c>
      <c r="D343" t="s">
        <v>4013</v>
      </c>
      <c r="E343">
        <v>6</v>
      </c>
      <c r="F343" s="6">
        <v>1750</v>
      </c>
      <c r="G343" t="s">
        <v>3686</v>
      </c>
    </row>
    <row r="344" spans="1:7">
      <c r="A344" t="s">
        <v>4275</v>
      </c>
      <c r="B344" t="s">
        <v>4276</v>
      </c>
      <c r="C344" t="s">
        <v>4012</v>
      </c>
      <c r="D344" t="s">
        <v>4013</v>
      </c>
      <c r="E344">
        <v>3</v>
      </c>
      <c r="F344" s="6">
        <v>750</v>
      </c>
      <c r="G344" t="s">
        <v>3686</v>
      </c>
    </row>
    <row r="345" spans="1:7">
      <c r="A345" t="s">
        <v>380</v>
      </c>
      <c r="B345" t="s">
        <v>4277</v>
      </c>
      <c r="C345" t="s">
        <v>4012</v>
      </c>
      <c r="D345" t="s">
        <v>4013</v>
      </c>
      <c r="E345">
        <v>12</v>
      </c>
      <c r="F345" s="6">
        <v>750</v>
      </c>
      <c r="G345" t="s">
        <v>4163</v>
      </c>
    </row>
    <row r="346" spans="1:7">
      <c r="A346" t="s">
        <v>2186</v>
      </c>
      <c r="B346" t="s">
        <v>4277</v>
      </c>
      <c r="C346" t="s">
        <v>4012</v>
      </c>
      <c r="D346" t="s">
        <v>4013</v>
      </c>
      <c r="E346">
        <v>12</v>
      </c>
      <c r="F346" s="6">
        <v>1000</v>
      </c>
      <c r="G346" t="s">
        <v>4163</v>
      </c>
    </row>
    <row r="347" spans="1:7">
      <c r="A347" t="s">
        <v>2732</v>
      </c>
      <c r="B347" t="s">
        <v>4277</v>
      </c>
      <c r="C347" t="s">
        <v>4012</v>
      </c>
      <c r="D347" t="s">
        <v>4013</v>
      </c>
      <c r="E347">
        <v>6</v>
      </c>
      <c r="F347" s="6">
        <v>1750</v>
      </c>
      <c r="G347" t="s">
        <v>4163</v>
      </c>
    </row>
    <row r="348" spans="1:7">
      <c r="A348" t="s">
        <v>4278</v>
      </c>
      <c r="B348" t="s">
        <v>4279</v>
      </c>
      <c r="C348" t="s">
        <v>4012</v>
      </c>
      <c r="D348" t="s">
        <v>4013</v>
      </c>
      <c r="E348">
        <v>6</v>
      </c>
      <c r="F348" s="6">
        <v>1750</v>
      </c>
      <c r="G348" t="s">
        <v>3686</v>
      </c>
    </row>
    <row r="349" spans="1:7">
      <c r="A349" t="s">
        <v>4280</v>
      </c>
      <c r="B349" t="s">
        <v>4281</v>
      </c>
      <c r="C349" t="s">
        <v>4012</v>
      </c>
      <c r="D349" t="s">
        <v>4013</v>
      </c>
      <c r="E349">
        <v>6</v>
      </c>
      <c r="F349" s="6">
        <v>750</v>
      </c>
      <c r="G349" t="s">
        <v>3686</v>
      </c>
    </row>
    <row r="350" spans="1:7">
      <c r="A350" t="s">
        <v>1028</v>
      </c>
      <c r="B350" t="s">
        <v>4282</v>
      </c>
      <c r="C350" t="s">
        <v>4012</v>
      </c>
      <c r="D350" t="s">
        <v>4013</v>
      </c>
      <c r="E350">
        <v>6</v>
      </c>
      <c r="F350" s="6">
        <v>1750</v>
      </c>
      <c r="G350" t="s">
        <v>4163</v>
      </c>
    </row>
    <row r="351" spans="1:7">
      <c r="A351" t="s">
        <v>4283</v>
      </c>
      <c r="B351" t="s">
        <v>4284</v>
      </c>
      <c r="C351" t="s">
        <v>3679</v>
      </c>
      <c r="D351" t="s">
        <v>3680</v>
      </c>
      <c r="E351">
        <v>6</v>
      </c>
      <c r="F351" s="6">
        <v>750</v>
      </c>
      <c r="G351" t="s">
        <v>4285</v>
      </c>
    </row>
    <row r="352" spans="1:7">
      <c r="A352" t="s">
        <v>3565</v>
      </c>
      <c r="B352" t="s">
        <v>4286</v>
      </c>
      <c r="C352" t="s">
        <v>4012</v>
      </c>
      <c r="D352" t="s">
        <v>4013</v>
      </c>
      <c r="E352">
        <v>6</v>
      </c>
      <c r="F352" s="6">
        <v>1750</v>
      </c>
      <c r="G352" t="s">
        <v>3931</v>
      </c>
    </row>
    <row r="353" spans="1:7">
      <c r="A353" t="s">
        <v>4287</v>
      </c>
      <c r="B353" t="s">
        <v>4288</v>
      </c>
      <c r="C353" t="s">
        <v>3679</v>
      </c>
      <c r="D353" t="s">
        <v>3680</v>
      </c>
      <c r="E353">
        <v>6</v>
      </c>
      <c r="F353" s="6">
        <v>750</v>
      </c>
      <c r="G353" t="s">
        <v>3730</v>
      </c>
    </row>
    <row r="354" spans="1:7">
      <c r="A354" t="s">
        <v>4289</v>
      </c>
      <c r="B354" t="s">
        <v>4290</v>
      </c>
      <c r="C354" t="s">
        <v>4012</v>
      </c>
      <c r="D354" t="s">
        <v>4013</v>
      </c>
      <c r="E354">
        <v>6</v>
      </c>
      <c r="F354" s="6">
        <v>750</v>
      </c>
      <c r="G354" t="s">
        <v>4291</v>
      </c>
    </row>
    <row r="355" spans="1:7">
      <c r="A355" t="s">
        <v>4292</v>
      </c>
      <c r="B355" t="s">
        <v>4293</v>
      </c>
      <c r="C355" t="s">
        <v>4012</v>
      </c>
      <c r="D355" t="s">
        <v>4013</v>
      </c>
      <c r="E355">
        <v>10</v>
      </c>
      <c r="F355" s="6">
        <v>50</v>
      </c>
      <c r="G355" t="s">
        <v>3689</v>
      </c>
    </row>
    <row r="356" spans="1:7">
      <c r="A356" t="s">
        <v>325</v>
      </c>
      <c r="B356" t="s">
        <v>4294</v>
      </c>
      <c r="C356" t="s">
        <v>4012</v>
      </c>
      <c r="D356" t="s">
        <v>4013</v>
      </c>
      <c r="E356">
        <v>12</v>
      </c>
      <c r="F356" s="6">
        <v>750</v>
      </c>
      <c r="G356" t="s">
        <v>3689</v>
      </c>
    </row>
    <row r="357" spans="1:7">
      <c r="A357" t="s">
        <v>1220</v>
      </c>
      <c r="B357" t="s">
        <v>4294</v>
      </c>
      <c r="C357" t="s">
        <v>4012</v>
      </c>
      <c r="D357" t="s">
        <v>4013</v>
      </c>
      <c r="E357">
        <v>6</v>
      </c>
      <c r="F357" s="6">
        <v>1750</v>
      </c>
      <c r="G357" t="s">
        <v>3689</v>
      </c>
    </row>
    <row r="358" spans="1:7">
      <c r="A358" t="s">
        <v>4295</v>
      </c>
      <c r="B358" t="s">
        <v>4296</v>
      </c>
      <c r="C358" t="s">
        <v>3679</v>
      </c>
      <c r="D358" t="s">
        <v>3680</v>
      </c>
      <c r="E358">
        <v>12</v>
      </c>
      <c r="F358" s="6">
        <v>750</v>
      </c>
      <c r="G358" t="s">
        <v>3689</v>
      </c>
    </row>
    <row r="359" spans="1:7">
      <c r="A359" t="s">
        <v>3600</v>
      </c>
      <c r="B359" t="s">
        <v>4297</v>
      </c>
      <c r="C359" t="s">
        <v>4012</v>
      </c>
      <c r="D359" t="s">
        <v>4013</v>
      </c>
      <c r="E359">
        <v>6</v>
      </c>
      <c r="F359" s="6">
        <v>750</v>
      </c>
      <c r="G359" t="s">
        <v>3689</v>
      </c>
    </row>
    <row r="360" spans="1:7">
      <c r="A360" t="s">
        <v>2895</v>
      </c>
      <c r="B360" t="s">
        <v>4298</v>
      </c>
      <c r="C360" t="s">
        <v>4012</v>
      </c>
      <c r="D360" t="s">
        <v>4013</v>
      </c>
      <c r="E360">
        <v>12</v>
      </c>
      <c r="F360" s="6">
        <v>750</v>
      </c>
      <c r="G360" t="s">
        <v>3689</v>
      </c>
    </row>
    <row r="361" spans="1:7">
      <c r="A361" t="s">
        <v>393</v>
      </c>
      <c r="B361" t="s">
        <v>4299</v>
      </c>
      <c r="C361" t="s">
        <v>4012</v>
      </c>
      <c r="D361" t="s">
        <v>4013</v>
      </c>
      <c r="E361">
        <v>12</v>
      </c>
      <c r="F361" s="6">
        <v>750</v>
      </c>
      <c r="G361" t="s">
        <v>4300</v>
      </c>
    </row>
    <row r="362" spans="1:7">
      <c r="A362" t="s">
        <v>4301</v>
      </c>
      <c r="B362" t="s">
        <v>4302</v>
      </c>
      <c r="C362" t="s">
        <v>4012</v>
      </c>
      <c r="D362" t="s">
        <v>4013</v>
      </c>
      <c r="E362">
        <v>12</v>
      </c>
      <c r="F362" s="6">
        <v>50</v>
      </c>
      <c r="G362" t="s">
        <v>4300</v>
      </c>
    </row>
    <row r="363" spans="1:7">
      <c r="A363" t="s">
        <v>1375</v>
      </c>
      <c r="B363" t="s">
        <v>4303</v>
      </c>
      <c r="C363" t="s">
        <v>4012</v>
      </c>
      <c r="D363" t="s">
        <v>4013</v>
      </c>
      <c r="E363">
        <v>12</v>
      </c>
      <c r="F363" s="6">
        <v>750</v>
      </c>
      <c r="G363" t="s">
        <v>4300</v>
      </c>
    </row>
    <row r="364" spans="1:7">
      <c r="A364" t="s">
        <v>4304</v>
      </c>
      <c r="B364" t="s">
        <v>4305</v>
      </c>
      <c r="C364" t="s">
        <v>4012</v>
      </c>
      <c r="D364" t="s">
        <v>4013</v>
      </c>
      <c r="E364">
        <v>12</v>
      </c>
      <c r="F364" s="6">
        <v>750</v>
      </c>
      <c r="G364" t="s">
        <v>4300</v>
      </c>
    </row>
    <row r="365" spans="1:7">
      <c r="A365" t="s">
        <v>2291</v>
      </c>
      <c r="B365" t="s">
        <v>4306</v>
      </c>
      <c r="C365" t="s">
        <v>4012</v>
      </c>
      <c r="D365" t="s">
        <v>4013</v>
      </c>
      <c r="E365">
        <v>12</v>
      </c>
      <c r="F365" s="6">
        <v>750</v>
      </c>
      <c r="G365" t="s">
        <v>4300</v>
      </c>
    </row>
    <row r="366" spans="1:7">
      <c r="A366" t="s">
        <v>2955</v>
      </c>
      <c r="B366" t="s">
        <v>4307</v>
      </c>
      <c r="C366" t="s">
        <v>4012</v>
      </c>
      <c r="D366" t="s">
        <v>4013</v>
      </c>
      <c r="E366">
        <v>12</v>
      </c>
      <c r="F366" s="6">
        <v>750</v>
      </c>
      <c r="G366" t="s">
        <v>4300</v>
      </c>
    </row>
    <row r="367" spans="1:7">
      <c r="A367" t="s">
        <v>588</v>
      </c>
      <c r="B367" t="s">
        <v>4308</v>
      </c>
      <c r="C367" t="s">
        <v>4012</v>
      </c>
      <c r="D367" t="s">
        <v>4013</v>
      </c>
      <c r="E367">
        <v>12</v>
      </c>
      <c r="F367" s="6">
        <v>750</v>
      </c>
      <c r="G367" t="s">
        <v>4300</v>
      </c>
    </row>
    <row r="368" spans="1:7">
      <c r="A368" t="s">
        <v>4309</v>
      </c>
      <c r="B368" t="s">
        <v>4310</v>
      </c>
      <c r="C368" t="s">
        <v>4012</v>
      </c>
      <c r="D368" t="s">
        <v>4013</v>
      </c>
      <c r="E368">
        <v>12</v>
      </c>
      <c r="F368" s="6">
        <v>750</v>
      </c>
      <c r="G368" t="s">
        <v>4300</v>
      </c>
    </row>
    <row r="369" spans="1:7">
      <c r="A369" t="s">
        <v>1101</v>
      </c>
      <c r="B369" t="s">
        <v>4311</v>
      </c>
      <c r="C369" t="s">
        <v>4012</v>
      </c>
      <c r="D369" t="s">
        <v>4013</v>
      </c>
      <c r="E369">
        <v>12</v>
      </c>
      <c r="F369" s="6">
        <v>750</v>
      </c>
      <c r="G369" t="s">
        <v>4300</v>
      </c>
    </row>
    <row r="370" spans="1:7">
      <c r="A370" t="s">
        <v>1690</v>
      </c>
      <c r="B370" t="s">
        <v>4312</v>
      </c>
      <c r="C370" t="s">
        <v>4012</v>
      </c>
      <c r="D370" t="s">
        <v>4013</v>
      </c>
      <c r="E370">
        <v>12</v>
      </c>
      <c r="F370" s="6">
        <v>750</v>
      </c>
      <c r="G370" t="s">
        <v>4300</v>
      </c>
    </row>
    <row r="371" spans="1:7">
      <c r="A371" t="s">
        <v>4313</v>
      </c>
      <c r="B371" t="s">
        <v>4314</v>
      </c>
      <c r="C371" t="s">
        <v>3679</v>
      </c>
      <c r="D371" t="s">
        <v>3680</v>
      </c>
      <c r="E371">
        <v>12</v>
      </c>
      <c r="F371" s="6">
        <v>50</v>
      </c>
      <c r="G371" t="s">
        <v>4300</v>
      </c>
    </row>
    <row r="372" spans="1:7">
      <c r="A372" t="s">
        <v>2571</v>
      </c>
      <c r="B372" t="s">
        <v>4315</v>
      </c>
      <c r="C372" t="s">
        <v>4012</v>
      </c>
      <c r="D372" t="s">
        <v>4013</v>
      </c>
      <c r="E372">
        <v>12</v>
      </c>
      <c r="F372" s="6">
        <v>750</v>
      </c>
      <c r="G372" t="s">
        <v>4300</v>
      </c>
    </row>
    <row r="373" spans="1:7">
      <c r="A373" t="s">
        <v>4316</v>
      </c>
      <c r="B373" t="s">
        <v>4317</v>
      </c>
      <c r="C373" t="s">
        <v>4012</v>
      </c>
      <c r="D373" t="s">
        <v>4013</v>
      </c>
      <c r="E373">
        <v>6</v>
      </c>
      <c r="F373" s="6">
        <v>750</v>
      </c>
      <c r="G373" t="s">
        <v>3686</v>
      </c>
    </row>
    <row r="374" spans="1:7">
      <c r="A374" t="s">
        <v>3003</v>
      </c>
      <c r="B374" t="s">
        <v>4318</v>
      </c>
      <c r="C374" t="s">
        <v>4012</v>
      </c>
      <c r="D374" t="s">
        <v>4013</v>
      </c>
      <c r="E374">
        <v>12</v>
      </c>
      <c r="F374" s="6">
        <v>750</v>
      </c>
      <c r="G374" t="s">
        <v>4319</v>
      </c>
    </row>
    <row r="375" spans="1:7">
      <c r="A375" t="s">
        <v>539</v>
      </c>
      <c r="B375" t="s">
        <v>4320</v>
      </c>
      <c r="C375" t="s">
        <v>4012</v>
      </c>
      <c r="D375" t="s">
        <v>4013</v>
      </c>
      <c r="E375">
        <v>12</v>
      </c>
      <c r="F375" s="6">
        <v>750</v>
      </c>
      <c r="G375" t="s">
        <v>4319</v>
      </c>
    </row>
    <row r="376" spans="1:7">
      <c r="A376" t="s">
        <v>1467</v>
      </c>
      <c r="B376" t="s">
        <v>4321</v>
      </c>
      <c r="C376" t="s">
        <v>4012</v>
      </c>
      <c r="D376" t="s">
        <v>4013</v>
      </c>
      <c r="E376">
        <v>12</v>
      </c>
      <c r="F376" s="6">
        <v>750</v>
      </c>
      <c r="G376" t="s">
        <v>4319</v>
      </c>
    </row>
    <row r="377" spans="1:7">
      <c r="A377" t="s">
        <v>4322</v>
      </c>
      <c r="B377" t="s">
        <v>4323</v>
      </c>
      <c r="C377" t="s">
        <v>3679</v>
      </c>
      <c r="D377" t="s">
        <v>3680</v>
      </c>
      <c r="E377">
        <v>3</v>
      </c>
      <c r="F377" s="6">
        <v>750</v>
      </c>
      <c r="G377" t="s">
        <v>3854</v>
      </c>
    </row>
    <row r="378" spans="1:7">
      <c r="A378" t="s">
        <v>2049</v>
      </c>
      <c r="B378" t="s">
        <v>4324</v>
      </c>
      <c r="C378" t="s">
        <v>4244</v>
      </c>
      <c r="D378" t="s">
        <v>4245</v>
      </c>
      <c r="E378">
        <v>6</v>
      </c>
      <c r="F378" s="6">
        <v>750</v>
      </c>
      <c r="G378" t="s">
        <v>3854</v>
      </c>
    </row>
    <row r="379" spans="1:7">
      <c r="A379" t="s">
        <v>1939</v>
      </c>
      <c r="B379" t="s">
        <v>4325</v>
      </c>
      <c r="C379" t="s">
        <v>4244</v>
      </c>
      <c r="D379" t="s">
        <v>4245</v>
      </c>
      <c r="E379">
        <v>6</v>
      </c>
      <c r="F379" s="6">
        <v>750</v>
      </c>
      <c r="G379" t="s">
        <v>3854</v>
      </c>
    </row>
    <row r="380" spans="1:7">
      <c r="A380" t="s">
        <v>4326</v>
      </c>
      <c r="B380" t="s">
        <v>4327</v>
      </c>
      <c r="C380" t="s">
        <v>3679</v>
      </c>
      <c r="D380" t="s">
        <v>3680</v>
      </c>
      <c r="E380">
        <v>3</v>
      </c>
      <c r="F380" s="6">
        <v>750</v>
      </c>
      <c r="G380" t="s">
        <v>3854</v>
      </c>
    </row>
    <row r="381" spans="1:7">
      <c r="A381" t="s">
        <v>161</v>
      </c>
      <c r="B381" t="s">
        <v>4328</v>
      </c>
      <c r="C381" t="s">
        <v>3679</v>
      </c>
      <c r="D381" t="s">
        <v>3680</v>
      </c>
      <c r="E381">
        <v>6</v>
      </c>
      <c r="F381" s="6">
        <v>750</v>
      </c>
      <c r="G381" t="s">
        <v>3854</v>
      </c>
    </row>
    <row r="382" spans="1:7">
      <c r="A382" t="s">
        <v>4329</v>
      </c>
      <c r="B382" t="s">
        <v>4330</v>
      </c>
      <c r="C382" t="s">
        <v>4012</v>
      </c>
      <c r="D382" t="s">
        <v>4013</v>
      </c>
      <c r="E382">
        <v>24</v>
      </c>
      <c r="F382" s="6">
        <v>375</v>
      </c>
      <c r="G382" t="s">
        <v>4331</v>
      </c>
    </row>
    <row r="383" spans="1:7">
      <c r="A383" t="s">
        <v>2928</v>
      </c>
      <c r="B383" t="s">
        <v>4330</v>
      </c>
      <c r="C383" t="s">
        <v>4012</v>
      </c>
      <c r="D383" t="s">
        <v>4013</v>
      </c>
      <c r="E383">
        <v>12</v>
      </c>
      <c r="F383" s="6">
        <v>750</v>
      </c>
      <c r="G383" t="s">
        <v>4331</v>
      </c>
    </row>
    <row r="384" spans="1:7">
      <c r="A384" t="s">
        <v>1073</v>
      </c>
      <c r="B384" t="s">
        <v>4330</v>
      </c>
      <c r="C384" t="s">
        <v>4012</v>
      </c>
      <c r="D384" t="s">
        <v>4013</v>
      </c>
      <c r="E384">
        <v>12</v>
      </c>
      <c r="F384" s="6">
        <v>1000</v>
      </c>
      <c r="G384" t="s">
        <v>4331</v>
      </c>
    </row>
    <row r="385" spans="1:7">
      <c r="A385" t="s">
        <v>702</v>
      </c>
      <c r="B385" t="s">
        <v>4332</v>
      </c>
      <c r="C385" t="s">
        <v>4012</v>
      </c>
      <c r="D385" t="s">
        <v>4013</v>
      </c>
      <c r="E385">
        <v>6</v>
      </c>
      <c r="F385" s="6">
        <v>1750</v>
      </c>
      <c r="G385" t="s">
        <v>4331</v>
      </c>
    </row>
    <row r="386" spans="1:7">
      <c r="A386" t="s">
        <v>2990</v>
      </c>
      <c r="B386" t="s">
        <v>4333</v>
      </c>
      <c r="C386" t="s">
        <v>4012</v>
      </c>
      <c r="D386" t="s">
        <v>4013</v>
      </c>
      <c r="E386">
        <v>6</v>
      </c>
      <c r="F386" s="6">
        <v>1750</v>
      </c>
      <c r="G386" t="s">
        <v>4331</v>
      </c>
    </row>
    <row r="387" spans="1:7">
      <c r="A387" t="s">
        <v>1091</v>
      </c>
      <c r="B387" t="s">
        <v>4332</v>
      </c>
      <c r="C387" t="s">
        <v>4012</v>
      </c>
      <c r="D387" t="s">
        <v>4013</v>
      </c>
      <c r="E387">
        <v>12</v>
      </c>
      <c r="F387" s="6">
        <v>750</v>
      </c>
      <c r="G387" t="s">
        <v>4331</v>
      </c>
    </row>
    <row r="388" spans="1:7">
      <c r="A388" t="s">
        <v>4334</v>
      </c>
      <c r="B388" t="s">
        <v>4335</v>
      </c>
      <c r="C388" t="s">
        <v>4012</v>
      </c>
      <c r="D388" t="s">
        <v>4013</v>
      </c>
      <c r="E388">
        <v>12</v>
      </c>
      <c r="F388" s="6">
        <v>750</v>
      </c>
      <c r="G388" t="s">
        <v>4331</v>
      </c>
    </row>
    <row r="389" spans="1:7">
      <c r="A389" t="s">
        <v>4336</v>
      </c>
      <c r="B389" t="s">
        <v>4337</v>
      </c>
      <c r="C389" t="s">
        <v>4244</v>
      </c>
      <c r="D389" t="s">
        <v>4245</v>
      </c>
      <c r="E389">
        <v>3</v>
      </c>
      <c r="F389" s="6">
        <v>750</v>
      </c>
      <c r="G389" t="s">
        <v>3854</v>
      </c>
    </row>
    <row r="390" spans="1:7">
      <c r="A390" t="s">
        <v>4338</v>
      </c>
      <c r="B390" t="s">
        <v>4339</v>
      </c>
      <c r="C390" t="s">
        <v>3679</v>
      </c>
      <c r="D390" t="s">
        <v>3680</v>
      </c>
      <c r="E390">
        <v>6</v>
      </c>
      <c r="F390" s="6">
        <v>750</v>
      </c>
      <c r="G390" t="s">
        <v>3681</v>
      </c>
    </row>
    <row r="391" spans="1:7">
      <c r="A391" t="s">
        <v>4340</v>
      </c>
      <c r="B391" t="s">
        <v>4341</v>
      </c>
      <c r="C391" t="s">
        <v>3679</v>
      </c>
      <c r="D391" t="s">
        <v>3680</v>
      </c>
      <c r="E391">
        <v>6</v>
      </c>
      <c r="F391" s="6">
        <v>750</v>
      </c>
      <c r="G391" t="s">
        <v>3705</v>
      </c>
    </row>
    <row r="392" spans="1:7">
      <c r="A392" t="s">
        <v>4342</v>
      </c>
      <c r="B392" t="s">
        <v>4343</v>
      </c>
      <c r="C392" t="s">
        <v>3718</v>
      </c>
      <c r="D392" t="s">
        <v>3719</v>
      </c>
      <c r="E392">
        <v>6</v>
      </c>
      <c r="F392" s="6">
        <v>750</v>
      </c>
      <c r="G392" t="s">
        <v>4344</v>
      </c>
    </row>
    <row r="393" spans="1:7">
      <c r="A393" t="s">
        <v>4345</v>
      </c>
      <c r="B393" t="s">
        <v>4346</v>
      </c>
      <c r="C393" t="s">
        <v>3718</v>
      </c>
      <c r="D393" t="s">
        <v>3719</v>
      </c>
      <c r="E393">
        <v>6</v>
      </c>
      <c r="F393" s="6">
        <v>750</v>
      </c>
      <c r="G393" t="s">
        <v>3702</v>
      </c>
    </row>
    <row r="394" spans="1:7">
      <c r="A394" t="s">
        <v>2683</v>
      </c>
      <c r="B394" t="s">
        <v>4347</v>
      </c>
      <c r="C394" t="s">
        <v>3718</v>
      </c>
      <c r="D394" t="s">
        <v>3719</v>
      </c>
      <c r="E394">
        <v>6</v>
      </c>
      <c r="F394" s="6">
        <v>750</v>
      </c>
      <c r="G394" t="s">
        <v>3702</v>
      </c>
    </row>
    <row r="395" spans="1:7">
      <c r="A395" t="s">
        <v>4348</v>
      </c>
      <c r="B395" t="s">
        <v>4349</v>
      </c>
      <c r="C395" t="s">
        <v>3718</v>
      </c>
      <c r="D395" t="s">
        <v>3719</v>
      </c>
      <c r="E395">
        <v>6</v>
      </c>
      <c r="F395" s="6">
        <v>750</v>
      </c>
      <c r="G395" t="s">
        <v>3802</v>
      </c>
    </row>
    <row r="396" spans="1:7">
      <c r="A396" t="s">
        <v>1649</v>
      </c>
      <c r="B396" t="s">
        <v>4350</v>
      </c>
      <c r="C396" t="s">
        <v>3679</v>
      </c>
      <c r="D396" t="s">
        <v>3680</v>
      </c>
      <c r="E396">
        <v>6</v>
      </c>
      <c r="F396" s="6">
        <v>700</v>
      </c>
      <c r="G396" t="s">
        <v>4331</v>
      </c>
    </row>
    <row r="397" spans="1:7">
      <c r="A397" t="s">
        <v>4351</v>
      </c>
      <c r="B397" t="s">
        <v>4352</v>
      </c>
      <c r="C397" t="s">
        <v>3718</v>
      </c>
      <c r="D397" t="s">
        <v>3719</v>
      </c>
      <c r="E397">
        <v>12</v>
      </c>
      <c r="F397" s="6">
        <v>750</v>
      </c>
      <c r="G397" t="s">
        <v>3787</v>
      </c>
    </row>
    <row r="398" spans="1:7">
      <c r="A398" t="s">
        <v>358</v>
      </c>
      <c r="B398" t="s">
        <v>4353</v>
      </c>
      <c r="C398" t="s">
        <v>3718</v>
      </c>
      <c r="D398" t="s">
        <v>3719</v>
      </c>
      <c r="E398">
        <v>12</v>
      </c>
      <c r="F398" s="6">
        <v>700</v>
      </c>
      <c r="G398" t="s">
        <v>4331</v>
      </c>
    </row>
    <row r="399" spans="1:7">
      <c r="A399" t="s">
        <v>4354</v>
      </c>
      <c r="B399" t="s">
        <v>4355</v>
      </c>
      <c r="C399" t="s">
        <v>3718</v>
      </c>
      <c r="D399" t="s">
        <v>3719</v>
      </c>
      <c r="E399">
        <v>12</v>
      </c>
      <c r="F399" s="6">
        <v>750</v>
      </c>
      <c r="G399" t="s">
        <v>3689</v>
      </c>
    </row>
    <row r="400" spans="1:7">
      <c r="A400" t="s">
        <v>4356</v>
      </c>
      <c r="B400" t="s">
        <v>4357</v>
      </c>
      <c r="C400" t="s">
        <v>3718</v>
      </c>
      <c r="D400" t="s">
        <v>3719</v>
      </c>
      <c r="E400">
        <v>6</v>
      </c>
      <c r="F400" s="6">
        <v>750</v>
      </c>
      <c r="G400" t="s">
        <v>4358</v>
      </c>
    </row>
    <row r="401" spans="1:7">
      <c r="A401" t="s">
        <v>4359</v>
      </c>
      <c r="B401" t="s">
        <v>4360</v>
      </c>
      <c r="C401" t="s">
        <v>3928</v>
      </c>
      <c r="D401" t="s">
        <v>3929</v>
      </c>
      <c r="E401">
        <v>6</v>
      </c>
      <c r="F401" s="6">
        <v>750</v>
      </c>
      <c r="G401" t="s">
        <v>3689</v>
      </c>
    </row>
    <row r="402" spans="1:7">
      <c r="A402" t="s">
        <v>4361</v>
      </c>
      <c r="B402" t="s">
        <v>4362</v>
      </c>
      <c r="C402" t="s">
        <v>3679</v>
      </c>
      <c r="D402" t="s">
        <v>3680</v>
      </c>
      <c r="E402">
        <v>6</v>
      </c>
      <c r="F402" s="6">
        <v>700</v>
      </c>
      <c r="G402" t="s">
        <v>4182</v>
      </c>
    </row>
    <row r="403" spans="1:7">
      <c r="A403" t="s">
        <v>1387</v>
      </c>
      <c r="B403" t="s">
        <v>4363</v>
      </c>
      <c r="C403" t="s">
        <v>3718</v>
      </c>
      <c r="D403" t="s">
        <v>3719</v>
      </c>
      <c r="E403">
        <v>12</v>
      </c>
      <c r="F403" s="6">
        <v>750</v>
      </c>
      <c r="G403" t="s">
        <v>4300</v>
      </c>
    </row>
    <row r="404" spans="1:7">
      <c r="A404" t="s">
        <v>4364</v>
      </c>
      <c r="B404" t="s">
        <v>4365</v>
      </c>
      <c r="C404" t="s">
        <v>3718</v>
      </c>
      <c r="D404" t="s">
        <v>3719</v>
      </c>
      <c r="E404">
        <v>12</v>
      </c>
      <c r="F404" s="6">
        <v>750</v>
      </c>
      <c r="G404" t="s">
        <v>4300</v>
      </c>
    </row>
    <row r="405" spans="1:7">
      <c r="A405" t="s">
        <v>467</v>
      </c>
      <c r="B405" t="s">
        <v>4366</v>
      </c>
      <c r="C405" t="s">
        <v>3718</v>
      </c>
      <c r="D405" t="s">
        <v>3719</v>
      </c>
      <c r="E405">
        <v>6</v>
      </c>
      <c r="F405" s="6">
        <v>750</v>
      </c>
      <c r="G405" t="s">
        <v>3681</v>
      </c>
    </row>
    <row r="406" spans="1:7">
      <c r="A406" t="s">
        <v>1934</v>
      </c>
      <c r="B406" t="s">
        <v>4367</v>
      </c>
      <c r="C406" t="s">
        <v>3718</v>
      </c>
      <c r="D406" t="s">
        <v>3719</v>
      </c>
      <c r="E406">
        <v>12</v>
      </c>
      <c r="F406" s="6">
        <v>50</v>
      </c>
      <c r="G406" t="s">
        <v>3681</v>
      </c>
    </row>
    <row r="407" spans="1:7">
      <c r="A407" t="s">
        <v>1540</v>
      </c>
      <c r="B407" t="s">
        <v>4368</v>
      </c>
      <c r="C407" t="s">
        <v>3718</v>
      </c>
      <c r="D407" t="s">
        <v>3719</v>
      </c>
      <c r="E407">
        <v>24</v>
      </c>
      <c r="F407" s="6">
        <v>200</v>
      </c>
      <c r="G407" t="s">
        <v>3681</v>
      </c>
    </row>
    <row r="408" spans="1:7">
      <c r="A408" t="s">
        <v>336</v>
      </c>
      <c r="B408" t="s">
        <v>4368</v>
      </c>
      <c r="C408" t="s">
        <v>3718</v>
      </c>
      <c r="D408" t="s">
        <v>3719</v>
      </c>
      <c r="E408">
        <v>12</v>
      </c>
      <c r="F408" s="6">
        <v>750</v>
      </c>
      <c r="G408" t="s">
        <v>3681</v>
      </c>
    </row>
    <row r="409" spans="1:7">
      <c r="A409" t="s">
        <v>1769</v>
      </c>
      <c r="B409" t="s">
        <v>4368</v>
      </c>
      <c r="C409" t="s">
        <v>3718</v>
      </c>
      <c r="D409" t="s">
        <v>3719</v>
      </c>
      <c r="E409">
        <v>12</v>
      </c>
      <c r="F409" s="6">
        <v>1000</v>
      </c>
      <c r="G409" t="s">
        <v>3681</v>
      </c>
    </row>
    <row r="410" spans="1:7">
      <c r="A410" t="s">
        <v>806</v>
      </c>
      <c r="B410" t="s">
        <v>4368</v>
      </c>
      <c r="C410" t="s">
        <v>3718</v>
      </c>
      <c r="D410" t="s">
        <v>3719</v>
      </c>
      <c r="E410">
        <v>6</v>
      </c>
      <c r="F410" s="6">
        <v>1750</v>
      </c>
      <c r="G410" t="s">
        <v>3681</v>
      </c>
    </row>
    <row r="411" spans="1:7">
      <c r="A411" t="s">
        <v>2379</v>
      </c>
      <c r="B411" t="s">
        <v>4369</v>
      </c>
      <c r="C411" t="s">
        <v>3718</v>
      </c>
      <c r="D411" t="s">
        <v>3719</v>
      </c>
      <c r="E411">
        <v>6</v>
      </c>
      <c r="F411" s="6">
        <v>750</v>
      </c>
      <c r="G411" t="s">
        <v>3702</v>
      </c>
    </row>
    <row r="412" spans="1:7">
      <c r="A412" t="s">
        <v>4370</v>
      </c>
      <c r="B412" t="s">
        <v>4371</v>
      </c>
      <c r="C412" t="s">
        <v>3718</v>
      </c>
      <c r="D412" t="s">
        <v>3719</v>
      </c>
      <c r="E412">
        <v>6</v>
      </c>
      <c r="F412" s="6">
        <v>750</v>
      </c>
      <c r="G412" t="s">
        <v>4358</v>
      </c>
    </row>
    <row r="413" spans="1:7">
      <c r="A413" t="s">
        <v>2940</v>
      </c>
      <c r="B413" t="s">
        <v>4372</v>
      </c>
      <c r="C413" t="s">
        <v>3718</v>
      </c>
      <c r="D413" t="s">
        <v>3719</v>
      </c>
      <c r="E413">
        <v>3</v>
      </c>
      <c r="F413" s="6">
        <v>750</v>
      </c>
      <c r="G413" t="s">
        <v>3681</v>
      </c>
    </row>
    <row r="414" spans="1:7">
      <c r="A414" t="s">
        <v>1815</v>
      </c>
      <c r="B414" t="s">
        <v>4368</v>
      </c>
      <c r="C414" t="s">
        <v>3718</v>
      </c>
      <c r="D414" t="s">
        <v>3719</v>
      </c>
      <c r="E414">
        <v>24</v>
      </c>
      <c r="F414" s="6">
        <v>375</v>
      </c>
      <c r="G414" t="s">
        <v>3681</v>
      </c>
    </row>
    <row r="415" spans="1:7">
      <c r="A415" t="s">
        <v>4373</v>
      </c>
      <c r="B415" t="s">
        <v>4374</v>
      </c>
      <c r="C415" t="s">
        <v>3718</v>
      </c>
      <c r="D415" t="s">
        <v>3719</v>
      </c>
      <c r="E415">
        <v>12</v>
      </c>
      <c r="F415" s="6">
        <v>750</v>
      </c>
      <c r="G415" t="s">
        <v>3681</v>
      </c>
    </row>
    <row r="416" spans="1:7">
      <c r="A416" t="s">
        <v>1181</v>
      </c>
      <c r="B416" t="s">
        <v>4375</v>
      </c>
      <c r="C416" t="s">
        <v>3718</v>
      </c>
      <c r="D416" t="s">
        <v>3719</v>
      </c>
      <c r="E416">
        <v>12</v>
      </c>
      <c r="F416" s="6">
        <v>750</v>
      </c>
      <c r="G416" t="s">
        <v>3681</v>
      </c>
    </row>
    <row r="417" spans="1:7">
      <c r="A417" t="s">
        <v>171</v>
      </c>
      <c r="B417" t="s">
        <v>4376</v>
      </c>
      <c r="C417" t="s">
        <v>3718</v>
      </c>
      <c r="D417" t="s">
        <v>3719</v>
      </c>
      <c r="E417">
        <v>12</v>
      </c>
      <c r="F417" s="6">
        <v>750</v>
      </c>
      <c r="G417" t="s">
        <v>3681</v>
      </c>
    </row>
    <row r="418" spans="1:7">
      <c r="A418" t="s">
        <v>4377</v>
      </c>
      <c r="B418" t="s">
        <v>4378</v>
      </c>
      <c r="C418" t="s">
        <v>3718</v>
      </c>
      <c r="D418" t="s">
        <v>3719</v>
      </c>
      <c r="E418">
        <v>12</v>
      </c>
      <c r="F418" s="6">
        <v>750</v>
      </c>
      <c r="G418" t="s">
        <v>3802</v>
      </c>
    </row>
    <row r="419" spans="1:7">
      <c r="A419" t="s">
        <v>2857</v>
      </c>
      <c r="B419" t="s">
        <v>4378</v>
      </c>
      <c r="C419" t="s">
        <v>3718</v>
      </c>
      <c r="D419" t="s">
        <v>3719</v>
      </c>
      <c r="E419">
        <v>12</v>
      </c>
      <c r="F419" s="6">
        <v>1000</v>
      </c>
      <c r="G419" t="s">
        <v>3802</v>
      </c>
    </row>
    <row r="420" spans="1:7">
      <c r="A420" t="s">
        <v>4379</v>
      </c>
      <c r="B420" t="s">
        <v>4380</v>
      </c>
      <c r="C420" t="s">
        <v>3718</v>
      </c>
      <c r="D420" t="s">
        <v>3719</v>
      </c>
      <c r="E420">
        <v>3</v>
      </c>
      <c r="F420" s="6">
        <v>700</v>
      </c>
      <c r="G420" t="s">
        <v>3681</v>
      </c>
    </row>
    <row r="421" spans="1:7">
      <c r="A421" t="s">
        <v>1521</v>
      </c>
      <c r="B421" t="s">
        <v>4381</v>
      </c>
      <c r="C421" t="s">
        <v>3718</v>
      </c>
      <c r="D421" t="s">
        <v>3719</v>
      </c>
      <c r="E421">
        <v>12</v>
      </c>
      <c r="F421" s="6">
        <v>750</v>
      </c>
      <c r="G421" t="s">
        <v>3716</v>
      </c>
    </row>
    <row r="422" spans="1:7">
      <c r="A422" t="s">
        <v>307</v>
      </c>
      <c r="B422" t="s">
        <v>4382</v>
      </c>
      <c r="C422" t="s">
        <v>3718</v>
      </c>
      <c r="D422" t="s">
        <v>3719</v>
      </c>
      <c r="E422">
        <v>6</v>
      </c>
      <c r="F422" s="6">
        <v>750</v>
      </c>
      <c r="G422" t="s">
        <v>3713</v>
      </c>
    </row>
    <row r="423" spans="1:7">
      <c r="A423" t="s">
        <v>3051</v>
      </c>
      <c r="B423" t="s">
        <v>4383</v>
      </c>
      <c r="C423" t="s">
        <v>3718</v>
      </c>
      <c r="D423" t="s">
        <v>3719</v>
      </c>
      <c r="E423">
        <v>12</v>
      </c>
      <c r="F423" s="6">
        <v>750</v>
      </c>
      <c r="G423" t="s">
        <v>3689</v>
      </c>
    </row>
    <row r="424" spans="1:7">
      <c r="A424" t="s">
        <v>4384</v>
      </c>
      <c r="B424" t="s">
        <v>4383</v>
      </c>
      <c r="C424" t="s">
        <v>3718</v>
      </c>
      <c r="D424" t="s">
        <v>3719</v>
      </c>
      <c r="E424">
        <v>12</v>
      </c>
      <c r="F424" s="6">
        <v>1000</v>
      </c>
      <c r="G424" t="s">
        <v>3689</v>
      </c>
    </row>
    <row r="425" spans="1:7">
      <c r="A425" t="s">
        <v>2330</v>
      </c>
      <c r="B425" t="s">
        <v>4376</v>
      </c>
      <c r="C425" t="s">
        <v>3718</v>
      </c>
      <c r="D425" t="s">
        <v>3719</v>
      </c>
      <c r="E425">
        <v>12</v>
      </c>
      <c r="F425" s="6">
        <v>375</v>
      </c>
      <c r="G425" t="s">
        <v>3681</v>
      </c>
    </row>
    <row r="426" spans="1:7">
      <c r="A426" t="s">
        <v>4385</v>
      </c>
      <c r="B426" t="s">
        <v>4386</v>
      </c>
      <c r="C426" t="s">
        <v>3679</v>
      </c>
      <c r="D426" t="s">
        <v>3680</v>
      </c>
      <c r="E426">
        <v>6</v>
      </c>
      <c r="F426" s="6">
        <v>700</v>
      </c>
      <c r="G426" t="s">
        <v>3854</v>
      </c>
    </row>
    <row r="427" spans="1:7">
      <c r="A427" t="s">
        <v>720</v>
      </c>
      <c r="B427" t="s">
        <v>4387</v>
      </c>
      <c r="C427" t="s">
        <v>3718</v>
      </c>
      <c r="D427" t="s">
        <v>3719</v>
      </c>
      <c r="E427">
        <v>12</v>
      </c>
      <c r="F427" s="6">
        <v>750</v>
      </c>
      <c r="G427" t="s">
        <v>3686</v>
      </c>
    </row>
    <row r="428" spans="1:7">
      <c r="A428" t="s">
        <v>1146</v>
      </c>
      <c r="B428" t="s">
        <v>4388</v>
      </c>
      <c r="C428" t="s">
        <v>3718</v>
      </c>
      <c r="D428" t="s">
        <v>3719</v>
      </c>
      <c r="E428">
        <v>12</v>
      </c>
      <c r="F428" s="6">
        <v>750</v>
      </c>
      <c r="G428" t="s">
        <v>3689</v>
      </c>
    </row>
    <row r="429" spans="1:7">
      <c r="A429" t="s">
        <v>4389</v>
      </c>
      <c r="B429" t="s">
        <v>4388</v>
      </c>
      <c r="C429" t="s">
        <v>3808</v>
      </c>
      <c r="D429" t="s">
        <v>3809</v>
      </c>
      <c r="E429">
        <v>6</v>
      </c>
      <c r="F429" s="6">
        <v>1750</v>
      </c>
      <c r="G429" t="s">
        <v>3689</v>
      </c>
    </row>
    <row r="430" spans="1:7">
      <c r="A430" t="s">
        <v>4390</v>
      </c>
      <c r="B430" t="s">
        <v>4391</v>
      </c>
      <c r="C430" t="s">
        <v>3679</v>
      </c>
      <c r="D430" t="s">
        <v>3680</v>
      </c>
      <c r="E430">
        <v>6</v>
      </c>
      <c r="F430" s="6">
        <v>750</v>
      </c>
      <c r="G430" t="s">
        <v>4392</v>
      </c>
    </row>
    <row r="431" spans="1:7">
      <c r="A431" t="s">
        <v>4393</v>
      </c>
      <c r="B431" t="s">
        <v>4394</v>
      </c>
      <c r="C431" t="s">
        <v>3718</v>
      </c>
      <c r="D431" t="s">
        <v>3719</v>
      </c>
      <c r="E431">
        <v>6</v>
      </c>
      <c r="F431" s="6">
        <v>750</v>
      </c>
      <c r="G431" t="s">
        <v>3730</v>
      </c>
    </row>
    <row r="432" spans="1:7">
      <c r="A432" t="s">
        <v>513</v>
      </c>
      <c r="B432" t="s">
        <v>4395</v>
      </c>
      <c r="C432" t="s">
        <v>3718</v>
      </c>
      <c r="D432" t="s">
        <v>3719</v>
      </c>
      <c r="E432">
        <v>6</v>
      </c>
      <c r="F432" s="6">
        <v>750</v>
      </c>
      <c r="G432" t="s">
        <v>3681</v>
      </c>
    </row>
    <row r="433" spans="1:7">
      <c r="A433" t="s">
        <v>4396</v>
      </c>
      <c r="B433" t="s">
        <v>4397</v>
      </c>
      <c r="C433" t="s">
        <v>3718</v>
      </c>
      <c r="D433" t="s">
        <v>3719</v>
      </c>
      <c r="E433">
        <v>6</v>
      </c>
      <c r="F433" s="6">
        <v>750</v>
      </c>
      <c r="G433" t="s">
        <v>3681</v>
      </c>
    </row>
    <row r="434" spans="1:7">
      <c r="A434" t="s">
        <v>4398</v>
      </c>
      <c r="B434" t="s">
        <v>4399</v>
      </c>
      <c r="C434" t="s">
        <v>3679</v>
      </c>
      <c r="D434" t="s">
        <v>3680</v>
      </c>
      <c r="E434">
        <v>6</v>
      </c>
      <c r="F434" s="6">
        <v>750</v>
      </c>
      <c r="G434" t="s">
        <v>3681</v>
      </c>
    </row>
    <row r="435" spans="1:7">
      <c r="A435" t="s">
        <v>1544</v>
      </c>
      <c r="B435" t="s">
        <v>4400</v>
      </c>
      <c r="C435" t="s">
        <v>3679</v>
      </c>
      <c r="D435" t="s">
        <v>3680</v>
      </c>
      <c r="E435">
        <v>6</v>
      </c>
      <c r="F435" s="6">
        <v>750</v>
      </c>
      <c r="G435" t="s">
        <v>3681</v>
      </c>
    </row>
    <row r="436" spans="1:7">
      <c r="A436" t="s">
        <v>4401</v>
      </c>
      <c r="B436" t="s">
        <v>4402</v>
      </c>
      <c r="C436" t="s">
        <v>3718</v>
      </c>
      <c r="D436" t="s">
        <v>3719</v>
      </c>
      <c r="E436">
        <v>3</v>
      </c>
      <c r="F436" s="6">
        <v>750</v>
      </c>
      <c r="G436" t="s">
        <v>3681</v>
      </c>
    </row>
    <row r="437" spans="1:7">
      <c r="A437" t="s">
        <v>2735</v>
      </c>
      <c r="B437" t="s">
        <v>4403</v>
      </c>
      <c r="C437" t="s">
        <v>3718</v>
      </c>
      <c r="D437" t="s">
        <v>3719</v>
      </c>
      <c r="E437">
        <v>6</v>
      </c>
      <c r="F437" s="6">
        <v>750</v>
      </c>
      <c r="G437" t="s">
        <v>3689</v>
      </c>
    </row>
    <row r="438" spans="1:7">
      <c r="A438" t="s">
        <v>4404</v>
      </c>
      <c r="B438" t="s">
        <v>4405</v>
      </c>
      <c r="C438" t="s">
        <v>3718</v>
      </c>
      <c r="D438" t="s">
        <v>3719</v>
      </c>
      <c r="E438">
        <v>6</v>
      </c>
      <c r="F438" s="6">
        <v>750</v>
      </c>
      <c r="G438" t="s">
        <v>4406</v>
      </c>
    </row>
    <row r="439" spans="1:7">
      <c r="A439" t="s">
        <v>4407</v>
      </c>
      <c r="B439" t="s">
        <v>4408</v>
      </c>
      <c r="C439" t="s">
        <v>3718</v>
      </c>
      <c r="D439" t="s">
        <v>3719</v>
      </c>
      <c r="E439">
        <v>6</v>
      </c>
      <c r="F439" s="6">
        <v>750</v>
      </c>
      <c r="G439" t="s">
        <v>3694</v>
      </c>
    </row>
    <row r="440" spans="1:7">
      <c r="A440" t="s">
        <v>4409</v>
      </c>
      <c r="B440" t="s">
        <v>4410</v>
      </c>
      <c r="C440" t="s">
        <v>3718</v>
      </c>
      <c r="D440" t="s">
        <v>3719</v>
      </c>
      <c r="E440">
        <v>6</v>
      </c>
      <c r="F440" s="6">
        <v>750</v>
      </c>
      <c r="G440" t="s">
        <v>3705</v>
      </c>
    </row>
    <row r="441" spans="1:7">
      <c r="A441" t="s">
        <v>4411</v>
      </c>
      <c r="B441" t="s">
        <v>4412</v>
      </c>
      <c r="C441" t="s">
        <v>3718</v>
      </c>
      <c r="D441" t="s">
        <v>3719</v>
      </c>
      <c r="E441">
        <v>6</v>
      </c>
      <c r="F441" s="6">
        <v>750</v>
      </c>
      <c r="G441" t="s">
        <v>3705</v>
      </c>
    </row>
    <row r="442" spans="1:7">
      <c r="A442" t="s">
        <v>2789</v>
      </c>
      <c r="B442" t="s">
        <v>4413</v>
      </c>
      <c r="C442" t="s">
        <v>3718</v>
      </c>
      <c r="D442" t="s">
        <v>3719</v>
      </c>
      <c r="E442">
        <v>6</v>
      </c>
      <c r="F442" s="6">
        <v>750</v>
      </c>
      <c r="G442" t="s">
        <v>3705</v>
      </c>
    </row>
    <row r="443" spans="1:7">
      <c r="A443" t="s">
        <v>32</v>
      </c>
      <c r="B443" t="s">
        <v>4414</v>
      </c>
      <c r="C443" t="s">
        <v>3718</v>
      </c>
      <c r="D443" t="s">
        <v>3719</v>
      </c>
      <c r="E443">
        <v>6</v>
      </c>
      <c r="F443" s="6">
        <v>750</v>
      </c>
      <c r="G443" t="s">
        <v>4163</v>
      </c>
    </row>
    <row r="444" spans="1:7">
      <c r="A444" t="s">
        <v>3175</v>
      </c>
      <c r="B444" t="s">
        <v>4415</v>
      </c>
      <c r="C444" t="s">
        <v>3718</v>
      </c>
      <c r="D444" t="s">
        <v>3719</v>
      </c>
      <c r="E444">
        <v>6</v>
      </c>
      <c r="F444" s="6">
        <v>750</v>
      </c>
      <c r="G444" t="s">
        <v>4163</v>
      </c>
    </row>
    <row r="445" spans="1:7">
      <c r="A445" t="s">
        <v>1522</v>
      </c>
      <c r="B445" t="s">
        <v>4416</v>
      </c>
      <c r="C445" t="s">
        <v>3718</v>
      </c>
      <c r="D445" t="s">
        <v>3719</v>
      </c>
      <c r="E445">
        <v>6</v>
      </c>
      <c r="F445" s="6">
        <v>750</v>
      </c>
      <c r="G445" t="s">
        <v>4331</v>
      </c>
    </row>
    <row r="446" spans="1:7">
      <c r="A446" t="s">
        <v>4417</v>
      </c>
      <c r="B446" t="s">
        <v>4418</v>
      </c>
      <c r="C446" t="s">
        <v>3718</v>
      </c>
      <c r="D446" t="s">
        <v>3719</v>
      </c>
      <c r="E446">
        <v>6</v>
      </c>
      <c r="F446" s="6">
        <v>750</v>
      </c>
      <c r="G446" t="s">
        <v>4419</v>
      </c>
    </row>
    <row r="447" spans="1:7">
      <c r="A447" t="s">
        <v>4420</v>
      </c>
      <c r="B447" t="s">
        <v>4421</v>
      </c>
      <c r="C447" t="s">
        <v>3718</v>
      </c>
      <c r="D447" t="s">
        <v>3719</v>
      </c>
      <c r="E447">
        <v>12</v>
      </c>
      <c r="F447" s="6">
        <v>375</v>
      </c>
      <c r="G447" t="s">
        <v>4419</v>
      </c>
    </row>
    <row r="448" spans="1:7">
      <c r="A448" t="s">
        <v>684</v>
      </c>
      <c r="B448" t="s">
        <v>4422</v>
      </c>
      <c r="C448" t="s">
        <v>3718</v>
      </c>
      <c r="D448" t="s">
        <v>3719</v>
      </c>
      <c r="E448">
        <v>6</v>
      </c>
      <c r="F448" s="6">
        <v>750</v>
      </c>
      <c r="G448" t="s">
        <v>3713</v>
      </c>
    </row>
    <row r="449" spans="1:7">
      <c r="A449" t="s">
        <v>4423</v>
      </c>
      <c r="B449" t="s">
        <v>4424</v>
      </c>
      <c r="C449" t="s">
        <v>3679</v>
      </c>
      <c r="D449" t="s">
        <v>3680</v>
      </c>
      <c r="E449">
        <v>6</v>
      </c>
      <c r="F449" s="6">
        <v>750</v>
      </c>
      <c r="G449" t="s">
        <v>3681</v>
      </c>
    </row>
    <row r="450" spans="1:7">
      <c r="A450" t="s">
        <v>2341</v>
      </c>
      <c r="B450" t="s">
        <v>4421</v>
      </c>
      <c r="C450" t="s">
        <v>3718</v>
      </c>
      <c r="D450" t="s">
        <v>3719</v>
      </c>
      <c r="E450">
        <v>12</v>
      </c>
      <c r="F450" s="6">
        <v>750</v>
      </c>
      <c r="G450" t="s">
        <v>4419</v>
      </c>
    </row>
    <row r="451" spans="1:7">
      <c r="A451" t="s">
        <v>4425</v>
      </c>
      <c r="B451" t="s">
        <v>4421</v>
      </c>
      <c r="C451" t="s">
        <v>3718</v>
      </c>
      <c r="D451" t="s">
        <v>3719</v>
      </c>
      <c r="E451">
        <v>6</v>
      </c>
      <c r="F451" s="6">
        <v>1750</v>
      </c>
      <c r="G451" t="s">
        <v>4419</v>
      </c>
    </row>
    <row r="452" spans="1:7">
      <c r="A452" t="s">
        <v>4426</v>
      </c>
      <c r="B452" t="s">
        <v>4427</v>
      </c>
      <c r="C452" t="s">
        <v>3808</v>
      </c>
      <c r="D452" t="s">
        <v>3809</v>
      </c>
      <c r="E452">
        <v>6</v>
      </c>
      <c r="F452" s="6">
        <v>750</v>
      </c>
      <c r="G452" t="s">
        <v>3713</v>
      </c>
    </row>
    <row r="453" spans="1:7">
      <c r="A453" t="s">
        <v>4428</v>
      </c>
      <c r="B453" t="s">
        <v>4429</v>
      </c>
      <c r="C453" t="s">
        <v>3808</v>
      </c>
      <c r="D453" t="s">
        <v>3809</v>
      </c>
      <c r="E453">
        <v>6</v>
      </c>
      <c r="F453" s="6">
        <v>750</v>
      </c>
      <c r="G453" t="s">
        <v>3716</v>
      </c>
    </row>
    <row r="454" spans="1:7">
      <c r="A454" t="s">
        <v>540</v>
      </c>
      <c r="B454" t="s">
        <v>4430</v>
      </c>
      <c r="C454" t="s">
        <v>3808</v>
      </c>
      <c r="D454" t="s">
        <v>3809</v>
      </c>
      <c r="E454">
        <v>6</v>
      </c>
      <c r="F454" s="6">
        <v>750</v>
      </c>
      <c r="G454" t="s">
        <v>3716</v>
      </c>
    </row>
    <row r="455" spans="1:7">
      <c r="A455" t="s">
        <v>2693</v>
      </c>
      <c r="B455" t="s">
        <v>4431</v>
      </c>
      <c r="C455" t="s">
        <v>3679</v>
      </c>
      <c r="D455" t="s">
        <v>3680</v>
      </c>
      <c r="E455">
        <v>6</v>
      </c>
      <c r="F455" s="6">
        <v>750</v>
      </c>
      <c r="G455" t="s">
        <v>3931</v>
      </c>
    </row>
    <row r="456" spans="1:7">
      <c r="A456" t="s">
        <v>3558</v>
      </c>
      <c r="B456" t="s">
        <v>4432</v>
      </c>
      <c r="C456" t="s">
        <v>3808</v>
      </c>
      <c r="D456" t="s">
        <v>3809</v>
      </c>
      <c r="E456">
        <v>6</v>
      </c>
      <c r="F456" s="6">
        <v>750</v>
      </c>
      <c r="G456" t="s">
        <v>4032</v>
      </c>
    </row>
    <row r="457" spans="1:7">
      <c r="A457" t="s">
        <v>4433</v>
      </c>
      <c r="B457" t="s">
        <v>4434</v>
      </c>
      <c r="C457" t="s">
        <v>4084</v>
      </c>
      <c r="D457" t="s">
        <v>4085</v>
      </c>
      <c r="E457">
        <v>6</v>
      </c>
      <c r="F457" s="6">
        <v>750</v>
      </c>
      <c r="G457" t="s">
        <v>3686</v>
      </c>
    </row>
    <row r="458" spans="1:7">
      <c r="A458" t="s">
        <v>2221</v>
      </c>
      <c r="B458" t="s">
        <v>4435</v>
      </c>
      <c r="C458" t="s">
        <v>4436</v>
      </c>
      <c r="D458" t="s">
        <v>4437</v>
      </c>
      <c r="E458">
        <v>6</v>
      </c>
      <c r="F458" s="6">
        <v>750</v>
      </c>
      <c r="G458" t="s">
        <v>4438</v>
      </c>
    </row>
    <row r="459" spans="1:7">
      <c r="A459" t="s">
        <v>4439</v>
      </c>
      <c r="B459" t="s">
        <v>4440</v>
      </c>
      <c r="C459" t="s">
        <v>3679</v>
      </c>
      <c r="D459" t="s">
        <v>3680</v>
      </c>
      <c r="E459">
        <v>12</v>
      </c>
      <c r="F459" s="6">
        <v>1000</v>
      </c>
      <c r="G459" t="s">
        <v>3686</v>
      </c>
    </row>
    <row r="460" spans="1:7">
      <c r="A460" t="s">
        <v>365</v>
      </c>
      <c r="B460" t="s">
        <v>4441</v>
      </c>
      <c r="C460" t="s">
        <v>4436</v>
      </c>
      <c r="D460" t="s">
        <v>4437</v>
      </c>
      <c r="E460">
        <v>12</v>
      </c>
      <c r="F460" s="6">
        <v>750</v>
      </c>
      <c r="G460" t="s">
        <v>3931</v>
      </c>
    </row>
    <row r="461" spans="1:7">
      <c r="A461" t="s">
        <v>2716</v>
      </c>
      <c r="B461" t="s">
        <v>4442</v>
      </c>
      <c r="C461" t="s">
        <v>4436</v>
      </c>
      <c r="D461" t="s">
        <v>4437</v>
      </c>
      <c r="E461">
        <v>6</v>
      </c>
      <c r="F461" s="6">
        <v>1750</v>
      </c>
      <c r="G461" t="s">
        <v>3931</v>
      </c>
    </row>
    <row r="462" spans="1:7">
      <c r="A462" t="s">
        <v>4443</v>
      </c>
      <c r="B462" t="s">
        <v>4444</v>
      </c>
      <c r="C462" t="s">
        <v>3808</v>
      </c>
      <c r="D462" t="s">
        <v>3809</v>
      </c>
      <c r="E462">
        <v>12</v>
      </c>
      <c r="F462" s="6">
        <v>750</v>
      </c>
      <c r="G462" t="s">
        <v>4445</v>
      </c>
    </row>
    <row r="463" spans="1:7">
      <c r="A463" t="s">
        <v>2094</v>
      </c>
      <c r="B463" t="s">
        <v>4446</v>
      </c>
      <c r="C463" t="s">
        <v>4244</v>
      </c>
      <c r="D463" t="s">
        <v>4245</v>
      </c>
      <c r="E463">
        <v>6</v>
      </c>
      <c r="F463" s="6">
        <v>750</v>
      </c>
      <c r="G463" t="s">
        <v>3681</v>
      </c>
    </row>
    <row r="464" spans="1:7">
      <c r="A464" t="s">
        <v>4447</v>
      </c>
      <c r="B464" t="s">
        <v>4448</v>
      </c>
      <c r="C464" t="s">
        <v>3808</v>
      </c>
      <c r="D464" t="s">
        <v>3809</v>
      </c>
      <c r="E464">
        <v>6</v>
      </c>
      <c r="F464" s="6">
        <v>750</v>
      </c>
      <c r="G464" t="s">
        <v>3713</v>
      </c>
    </row>
    <row r="465" spans="1:7">
      <c r="A465" t="s">
        <v>3447</v>
      </c>
      <c r="B465" t="s">
        <v>4449</v>
      </c>
      <c r="C465" t="s">
        <v>3708</v>
      </c>
      <c r="D465" t="s">
        <v>3709</v>
      </c>
      <c r="E465">
        <v>6</v>
      </c>
      <c r="F465" s="6">
        <v>750</v>
      </c>
      <c r="G465" t="s">
        <v>3702</v>
      </c>
    </row>
    <row r="466" spans="1:7">
      <c r="A466" t="s">
        <v>4450</v>
      </c>
      <c r="B466" t="s">
        <v>4451</v>
      </c>
      <c r="C466" t="s">
        <v>4452</v>
      </c>
      <c r="D466" t="s">
        <v>4453</v>
      </c>
      <c r="E466">
        <v>6</v>
      </c>
      <c r="F466" s="6">
        <v>750</v>
      </c>
      <c r="G466" t="s">
        <v>4358</v>
      </c>
    </row>
    <row r="467" spans="1:7">
      <c r="A467" t="s">
        <v>347</v>
      </c>
      <c r="B467" t="s">
        <v>4454</v>
      </c>
      <c r="C467" t="s">
        <v>4455</v>
      </c>
      <c r="D467" t="s">
        <v>4456</v>
      </c>
      <c r="E467">
        <v>6</v>
      </c>
      <c r="F467" s="6">
        <v>700</v>
      </c>
      <c r="G467" t="s">
        <v>3694</v>
      </c>
    </row>
    <row r="468" spans="1:7">
      <c r="A468" t="s">
        <v>4457</v>
      </c>
      <c r="B468" t="s">
        <v>4458</v>
      </c>
      <c r="C468" t="s">
        <v>4084</v>
      </c>
      <c r="D468" t="s">
        <v>4085</v>
      </c>
      <c r="E468">
        <v>6</v>
      </c>
      <c r="F468" s="6">
        <v>750</v>
      </c>
      <c r="G468" t="s">
        <v>3686</v>
      </c>
    </row>
    <row r="469" spans="1:7">
      <c r="A469" t="s">
        <v>4459</v>
      </c>
      <c r="B469" t="s">
        <v>4460</v>
      </c>
      <c r="C469" t="s">
        <v>4084</v>
      </c>
      <c r="D469" t="s">
        <v>4085</v>
      </c>
      <c r="E469">
        <v>6</v>
      </c>
      <c r="F469" s="6">
        <v>750</v>
      </c>
      <c r="G469" t="s">
        <v>3686</v>
      </c>
    </row>
    <row r="470" spans="1:7">
      <c r="A470" t="s">
        <v>4461</v>
      </c>
      <c r="B470" t="s">
        <v>4462</v>
      </c>
      <c r="C470" t="s">
        <v>3679</v>
      </c>
      <c r="D470" t="s">
        <v>3680</v>
      </c>
      <c r="E470">
        <v>6</v>
      </c>
      <c r="F470" s="6">
        <v>750</v>
      </c>
      <c r="G470" t="s">
        <v>4463</v>
      </c>
    </row>
    <row r="471" spans="1:7">
      <c r="A471" t="s">
        <v>1116</v>
      </c>
      <c r="B471" t="s">
        <v>4464</v>
      </c>
      <c r="C471" t="s">
        <v>4436</v>
      </c>
      <c r="D471" t="s">
        <v>4437</v>
      </c>
      <c r="E471">
        <v>6</v>
      </c>
      <c r="F471" s="6">
        <v>750</v>
      </c>
      <c r="G471" t="s">
        <v>3698</v>
      </c>
    </row>
    <row r="472" spans="1:7">
      <c r="A472" t="s">
        <v>4465</v>
      </c>
      <c r="B472" t="s">
        <v>4466</v>
      </c>
      <c r="C472" t="s">
        <v>3808</v>
      </c>
      <c r="D472" t="s">
        <v>3809</v>
      </c>
      <c r="E472">
        <v>6</v>
      </c>
      <c r="F472" s="6">
        <v>700</v>
      </c>
      <c r="G472" t="s">
        <v>4445</v>
      </c>
    </row>
    <row r="473" spans="1:7">
      <c r="A473" t="s">
        <v>3301</v>
      </c>
      <c r="B473" t="s">
        <v>4467</v>
      </c>
      <c r="C473" t="s">
        <v>3808</v>
      </c>
      <c r="D473" t="s">
        <v>3809</v>
      </c>
      <c r="E473">
        <v>12</v>
      </c>
      <c r="F473" s="6">
        <v>750</v>
      </c>
      <c r="G473" t="s">
        <v>4068</v>
      </c>
    </row>
    <row r="474" spans="1:7">
      <c r="A474" t="s">
        <v>4468</v>
      </c>
      <c r="B474" t="s">
        <v>4469</v>
      </c>
      <c r="C474" t="s">
        <v>3679</v>
      </c>
      <c r="D474" t="s">
        <v>3680</v>
      </c>
      <c r="E474">
        <v>6</v>
      </c>
      <c r="F474" s="6">
        <v>700</v>
      </c>
      <c r="G474" t="s">
        <v>3716</v>
      </c>
    </row>
    <row r="475" spans="1:7">
      <c r="A475" t="s">
        <v>4470</v>
      </c>
      <c r="B475" t="s">
        <v>4471</v>
      </c>
      <c r="C475" t="s">
        <v>3679</v>
      </c>
      <c r="D475" t="s">
        <v>3680</v>
      </c>
      <c r="E475">
        <v>6</v>
      </c>
      <c r="F475" s="6">
        <v>750</v>
      </c>
      <c r="G475" t="s">
        <v>4068</v>
      </c>
    </row>
    <row r="476" spans="1:7">
      <c r="A476" t="s">
        <v>4472</v>
      </c>
      <c r="B476" t="s">
        <v>4473</v>
      </c>
      <c r="C476" t="s">
        <v>4474</v>
      </c>
      <c r="D476" t="s">
        <v>4475</v>
      </c>
      <c r="E476">
        <v>6</v>
      </c>
      <c r="F476" s="6">
        <v>750</v>
      </c>
      <c r="G476" t="s">
        <v>4291</v>
      </c>
    </row>
    <row r="477" spans="1:7">
      <c r="A477" t="s">
        <v>4476</v>
      </c>
      <c r="B477" t="s">
        <v>4477</v>
      </c>
      <c r="C477" t="s">
        <v>3679</v>
      </c>
      <c r="D477" t="s">
        <v>3680</v>
      </c>
      <c r="E477">
        <v>6</v>
      </c>
      <c r="F477" s="6">
        <v>750</v>
      </c>
      <c r="G477" t="s">
        <v>3716</v>
      </c>
    </row>
    <row r="478" spans="1:7">
      <c r="A478" t="s">
        <v>892</v>
      </c>
      <c r="B478" t="s">
        <v>4478</v>
      </c>
      <c r="C478" t="s">
        <v>4436</v>
      </c>
      <c r="D478" t="s">
        <v>4437</v>
      </c>
      <c r="E478">
        <v>6</v>
      </c>
      <c r="F478" s="6">
        <v>750</v>
      </c>
      <c r="G478" t="s">
        <v>3698</v>
      </c>
    </row>
    <row r="479" spans="1:7">
      <c r="A479" t="s">
        <v>2687</v>
      </c>
      <c r="B479" t="s">
        <v>4479</v>
      </c>
      <c r="C479" t="s">
        <v>3679</v>
      </c>
      <c r="D479" t="s">
        <v>3680</v>
      </c>
      <c r="E479">
        <v>6</v>
      </c>
      <c r="F479" s="6">
        <v>700</v>
      </c>
      <c r="G479" t="s">
        <v>4445</v>
      </c>
    </row>
    <row r="480" spans="1:7">
      <c r="A480" t="s">
        <v>2936</v>
      </c>
      <c r="B480" t="s">
        <v>4480</v>
      </c>
      <c r="C480" t="s">
        <v>3679</v>
      </c>
      <c r="D480" t="s">
        <v>3680</v>
      </c>
      <c r="E480">
        <v>6</v>
      </c>
      <c r="F480" s="6">
        <v>700</v>
      </c>
      <c r="G480" t="s">
        <v>4445</v>
      </c>
    </row>
    <row r="481" spans="1:7">
      <c r="A481" t="s">
        <v>4481</v>
      </c>
      <c r="B481" t="s">
        <v>4482</v>
      </c>
      <c r="C481" t="s">
        <v>3928</v>
      </c>
      <c r="D481" t="s">
        <v>3929</v>
      </c>
      <c r="E481">
        <v>6</v>
      </c>
      <c r="F481" s="6">
        <v>750</v>
      </c>
      <c r="G481" t="s">
        <v>3686</v>
      </c>
    </row>
    <row r="482" spans="1:7">
      <c r="A482" t="s">
        <v>4483</v>
      </c>
      <c r="B482" t="s">
        <v>4484</v>
      </c>
      <c r="C482" t="s">
        <v>3679</v>
      </c>
      <c r="D482" t="s">
        <v>3680</v>
      </c>
      <c r="E482">
        <v>4</v>
      </c>
      <c r="F482" s="6">
        <v>750</v>
      </c>
      <c r="G482" t="s">
        <v>4068</v>
      </c>
    </row>
    <row r="483" spans="1:7">
      <c r="A483" t="s">
        <v>4485</v>
      </c>
      <c r="B483" t="s">
        <v>4486</v>
      </c>
      <c r="C483" t="s">
        <v>3679</v>
      </c>
      <c r="D483" t="s">
        <v>3680</v>
      </c>
      <c r="E483">
        <v>6</v>
      </c>
      <c r="F483" s="6">
        <v>750</v>
      </c>
      <c r="G483" t="s">
        <v>4068</v>
      </c>
    </row>
    <row r="484" spans="1:7">
      <c r="A484" t="s">
        <v>4487</v>
      </c>
      <c r="B484" t="s">
        <v>4488</v>
      </c>
      <c r="C484" t="s">
        <v>3679</v>
      </c>
      <c r="D484" t="s">
        <v>3680</v>
      </c>
      <c r="E484">
        <v>4</v>
      </c>
      <c r="F484" s="6">
        <v>750</v>
      </c>
      <c r="G484" t="s">
        <v>4068</v>
      </c>
    </row>
    <row r="485" spans="1:7">
      <c r="A485" t="s">
        <v>4489</v>
      </c>
      <c r="B485" t="s">
        <v>4490</v>
      </c>
      <c r="C485" t="s">
        <v>4436</v>
      </c>
      <c r="D485" t="s">
        <v>4437</v>
      </c>
      <c r="E485">
        <v>3</v>
      </c>
      <c r="F485" s="6">
        <v>750</v>
      </c>
      <c r="G485" t="s">
        <v>3931</v>
      </c>
    </row>
    <row r="486" spans="1:7">
      <c r="A486" t="s">
        <v>4491</v>
      </c>
      <c r="B486" t="s">
        <v>4492</v>
      </c>
      <c r="C486" t="s">
        <v>4436</v>
      </c>
      <c r="D486" t="s">
        <v>4437</v>
      </c>
      <c r="E486">
        <v>3</v>
      </c>
      <c r="F486" s="6">
        <v>750</v>
      </c>
      <c r="G486" t="s">
        <v>3931</v>
      </c>
    </row>
    <row r="487" spans="1:7">
      <c r="A487" t="s">
        <v>4493</v>
      </c>
      <c r="B487" t="s">
        <v>4494</v>
      </c>
      <c r="C487" t="s">
        <v>3928</v>
      </c>
      <c r="D487" t="s">
        <v>3929</v>
      </c>
      <c r="E487">
        <v>3</v>
      </c>
      <c r="F487" s="6">
        <v>750</v>
      </c>
      <c r="G487" t="s">
        <v>3931</v>
      </c>
    </row>
    <row r="488" spans="1:7">
      <c r="A488" t="s">
        <v>1460</v>
      </c>
      <c r="B488" t="s">
        <v>4495</v>
      </c>
      <c r="C488" t="s">
        <v>3928</v>
      </c>
      <c r="D488" t="s">
        <v>3929</v>
      </c>
      <c r="E488">
        <v>12</v>
      </c>
      <c r="F488" s="6">
        <v>750</v>
      </c>
      <c r="G488" t="s">
        <v>3694</v>
      </c>
    </row>
    <row r="489" spans="1:7">
      <c r="A489" t="s">
        <v>1816</v>
      </c>
      <c r="B489" t="s">
        <v>4496</v>
      </c>
      <c r="C489" t="s">
        <v>4436</v>
      </c>
      <c r="D489" t="s">
        <v>4437</v>
      </c>
      <c r="E489">
        <v>12</v>
      </c>
      <c r="F489" s="6">
        <v>750</v>
      </c>
      <c r="G489" t="s">
        <v>3716</v>
      </c>
    </row>
    <row r="490" spans="1:7">
      <c r="A490" t="s">
        <v>4497</v>
      </c>
      <c r="B490" t="s">
        <v>4498</v>
      </c>
      <c r="C490" t="s">
        <v>3679</v>
      </c>
      <c r="D490" t="s">
        <v>3680</v>
      </c>
      <c r="E490">
        <v>6</v>
      </c>
      <c r="F490" s="6">
        <v>750</v>
      </c>
      <c r="G490" t="s">
        <v>3951</v>
      </c>
    </row>
    <row r="491" spans="1:7">
      <c r="A491" t="s">
        <v>4499</v>
      </c>
      <c r="B491" t="s">
        <v>4500</v>
      </c>
      <c r="C491" t="s">
        <v>4244</v>
      </c>
      <c r="D491" t="s">
        <v>4245</v>
      </c>
      <c r="E491">
        <v>6</v>
      </c>
      <c r="F491" s="6">
        <v>750</v>
      </c>
      <c r="G491" t="s">
        <v>4501</v>
      </c>
    </row>
    <row r="492" spans="1:7">
      <c r="A492" t="s">
        <v>4502</v>
      </c>
      <c r="B492" t="s">
        <v>4503</v>
      </c>
      <c r="C492" t="s">
        <v>4436</v>
      </c>
      <c r="D492" t="s">
        <v>4437</v>
      </c>
      <c r="E492">
        <v>6</v>
      </c>
      <c r="F492" s="6">
        <v>750</v>
      </c>
      <c r="G492" t="s">
        <v>4501</v>
      </c>
    </row>
    <row r="493" spans="1:7">
      <c r="A493" t="s">
        <v>4504</v>
      </c>
      <c r="B493" t="s">
        <v>4505</v>
      </c>
      <c r="C493" t="s">
        <v>3679</v>
      </c>
      <c r="D493" t="s">
        <v>3680</v>
      </c>
      <c r="E493">
        <v>6</v>
      </c>
      <c r="F493" s="6">
        <v>750</v>
      </c>
      <c r="G493" t="s">
        <v>3686</v>
      </c>
    </row>
    <row r="494" spans="1:7">
      <c r="A494" t="s">
        <v>4506</v>
      </c>
      <c r="B494" t="s">
        <v>4507</v>
      </c>
      <c r="C494" t="s">
        <v>3679</v>
      </c>
      <c r="D494" t="s">
        <v>3680</v>
      </c>
      <c r="E494">
        <v>6</v>
      </c>
      <c r="F494" s="6">
        <v>750</v>
      </c>
      <c r="G494" t="s">
        <v>3686</v>
      </c>
    </row>
    <row r="495" spans="1:7">
      <c r="A495" t="s">
        <v>618</v>
      </c>
      <c r="B495" t="s">
        <v>4508</v>
      </c>
      <c r="C495" t="s">
        <v>3928</v>
      </c>
      <c r="D495" t="s">
        <v>3929</v>
      </c>
      <c r="E495">
        <v>12</v>
      </c>
      <c r="F495" s="6">
        <v>750</v>
      </c>
      <c r="G495" t="s">
        <v>4509</v>
      </c>
    </row>
    <row r="496" spans="1:7">
      <c r="A496" t="s">
        <v>2666</v>
      </c>
      <c r="B496" t="s">
        <v>4510</v>
      </c>
      <c r="C496" t="s">
        <v>3928</v>
      </c>
      <c r="D496" t="s">
        <v>3929</v>
      </c>
      <c r="E496">
        <v>12</v>
      </c>
      <c r="F496" s="6">
        <v>750</v>
      </c>
      <c r="G496" t="s">
        <v>3686</v>
      </c>
    </row>
    <row r="497" spans="1:7">
      <c r="A497" t="s">
        <v>2309</v>
      </c>
      <c r="B497" t="s">
        <v>4510</v>
      </c>
      <c r="C497" t="s">
        <v>3928</v>
      </c>
      <c r="D497" t="s">
        <v>3929</v>
      </c>
      <c r="E497">
        <v>12</v>
      </c>
      <c r="F497" s="6">
        <v>1000</v>
      </c>
      <c r="G497" t="s">
        <v>3686</v>
      </c>
    </row>
    <row r="498" spans="1:7">
      <c r="A498" t="s">
        <v>4511</v>
      </c>
      <c r="B498" t="s">
        <v>4510</v>
      </c>
      <c r="C498" t="s">
        <v>3928</v>
      </c>
      <c r="D498" t="s">
        <v>3929</v>
      </c>
      <c r="E498">
        <v>6</v>
      </c>
      <c r="F498" s="6">
        <v>1750</v>
      </c>
      <c r="G498" t="s">
        <v>3686</v>
      </c>
    </row>
    <row r="499" spans="1:7">
      <c r="A499" t="s">
        <v>1103</v>
      </c>
      <c r="B499" t="s">
        <v>4512</v>
      </c>
      <c r="C499" t="s">
        <v>3679</v>
      </c>
      <c r="D499" t="s">
        <v>3680</v>
      </c>
      <c r="E499">
        <v>4</v>
      </c>
      <c r="F499" s="6">
        <v>100</v>
      </c>
      <c r="G499" t="s">
        <v>3686</v>
      </c>
    </row>
    <row r="500" spans="1:7">
      <c r="A500" t="s">
        <v>4513</v>
      </c>
      <c r="B500" t="s">
        <v>4514</v>
      </c>
      <c r="C500" t="s">
        <v>3679</v>
      </c>
      <c r="D500" t="s">
        <v>3680</v>
      </c>
      <c r="E500">
        <v>12</v>
      </c>
      <c r="F500" s="6">
        <v>750</v>
      </c>
      <c r="G500" t="s">
        <v>3686</v>
      </c>
    </row>
    <row r="501" spans="1:7">
      <c r="A501" t="s">
        <v>4515</v>
      </c>
      <c r="B501" t="s">
        <v>4516</v>
      </c>
      <c r="C501" t="s">
        <v>3679</v>
      </c>
      <c r="D501" t="s">
        <v>3680</v>
      </c>
      <c r="E501">
        <v>6</v>
      </c>
      <c r="F501" s="6">
        <v>1750</v>
      </c>
      <c r="G501" t="s">
        <v>3686</v>
      </c>
    </row>
    <row r="502" spans="1:7">
      <c r="A502" t="s">
        <v>4517</v>
      </c>
      <c r="B502" t="s">
        <v>4518</v>
      </c>
      <c r="C502" t="s">
        <v>3679</v>
      </c>
      <c r="D502" t="s">
        <v>3680</v>
      </c>
      <c r="E502">
        <v>48</v>
      </c>
      <c r="F502" s="6">
        <v>100</v>
      </c>
      <c r="G502" t="s">
        <v>3705</v>
      </c>
    </row>
    <row r="503" spans="1:7">
      <c r="A503" t="s">
        <v>735</v>
      </c>
      <c r="B503" t="s">
        <v>4519</v>
      </c>
      <c r="C503" t="s">
        <v>3928</v>
      </c>
      <c r="D503" t="s">
        <v>3929</v>
      </c>
      <c r="E503">
        <v>6</v>
      </c>
      <c r="F503" s="6">
        <v>750</v>
      </c>
      <c r="G503" t="s">
        <v>3705</v>
      </c>
    </row>
    <row r="504" spans="1:7">
      <c r="A504" t="s">
        <v>4520</v>
      </c>
      <c r="B504" t="s">
        <v>4521</v>
      </c>
      <c r="C504" t="s">
        <v>3679</v>
      </c>
      <c r="D504" t="s">
        <v>3680</v>
      </c>
      <c r="E504">
        <v>6</v>
      </c>
      <c r="F504" s="6">
        <v>750</v>
      </c>
      <c r="G504" t="s">
        <v>3716</v>
      </c>
    </row>
    <row r="505" spans="1:7">
      <c r="A505" t="s">
        <v>2713</v>
      </c>
      <c r="B505" t="s">
        <v>4522</v>
      </c>
      <c r="C505" t="s">
        <v>3679</v>
      </c>
      <c r="D505" t="s">
        <v>3680</v>
      </c>
      <c r="E505">
        <v>6</v>
      </c>
      <c r="F505" s="6">
        <v>750</v>
      </c>
      <c r="G505" t="s">
        <v>3716</v>
      </c>
    </row>
    <row r="506" spans="1:7">
      <c r="A506" t="s">
        <v>4523</v>
      </c>
      <c r="B506" t="s">
        <v>4524</v>
      </c>
      <c r="C506" t="s">
        <v>3928</v>
      </c>
      <c r="D506" t="s">
        <v>3929</v>
      </c>
      <c r="E506">
        <v>6</v>
      </c>
      <c r="F506" s="6">
        <v>750</v>
      </c>
      <c r="G506" t="s">
        <v>4344</v>
      </c>
    </row>
    <row r="507" spans="1:7">
      <c r="A507" t="s">
        <v>2177</v>
      </c>
      <c r="B507" t="s">
        <v>4525</v>
      </c>
      <c r="C507" t="s">
        <v>4455</v>
      </c>
      <c r="D507" t="s">
        <v>4456</v>
      </c>
      <c r="E507">
        <v>6</v>
      </c>
      <c r="F507" s="6">
        <v>700</v>
      </c>
      <c r="G507" t="s">
        <v>3694</v>
      </c>
    </row>
    <row r="508" spans="1:7">
      <c r="A508" t="s">
        <v>4526</v>
      </c>
      <c r="B508" t="s">
        <v>4527</v>
      </c>
      <c r="C508" t="s">
        <v>3928</v>
      </c>
      <c r="D508" t="s">
        <v>3929</v>
      </c>
      <c r="E508">
        <v>6</v>
      </c>
      <c r="F508" s="6">
        <v>750</v>
      </c>
      <c r="G508" t="s">
        <v>3716</v>
      </c>
    </row>
    <row r="509" spans="1:7">
      <c r="A509" t="s">
        <v>3660</v>
      </c>
      <c r="B509" t="s">
        <v>4528</v>
      </c>
      <c r="C509" t="s">
        <v>3928</v>
      </c>
      <c r="D509" t="s">
        <v>3929</v>
      </c>
      <c r="E509">
        <v>12</v>
      </c>
      <c r="F509" s="6">
        <v>375</v>
      </c>
      <c r="G509" t="s">
        <v>3716</v>
      </c>
    </row>
    <row r="510" spans="1:7">
      <c r="A510" t="s">
        <v>859</v>
      </c>
      <c r="B510" t="s">
        <v>4529</v>
      </c>
      <c r="C510" t="s">
        <v>3928</v>
      </c>
      <c r="D510" t="s">
        <v>3929</v>
      </c>
      <c r="E510">
        <v>12</v>
      </c>
      <c r="F510" s="6">
        <v>750</v>
      </c>
      <c r="G510" t="s">
        <v>3716</v>
      </c>
    </row>
    <row r="511" spans="1:7">
      <c r="A511" t="s">
        <v>4530</v>
      </c>
      <c r="B511" t="s">
        <v>4531</v>
      </c>
      <c r="C511" t="s">
        <v>3679</v>
      </c>
      <c r="D511" t="s">
        <v>3680</v>
      </c>
      <c r="E511">
        <v>6</v>
      </c>
      <c r="F511" s="6">
        <v>750</v>
      </c>
      <c r="G511" t="s">
        <v>3716</v>
      </c>
    </row>
    <row r="512" spans="1:7">
      <c r="A512" t="s">
        <v>4532</v>
      </c>
      <c r="B512" t="s">
        <v>4533</v>
      </c>
      <c r="C512" t="s">
        <v>3928</v>
      </c>
      <c r="D512" t="s">
        <v>3929</v>
      </c>
      <c r="E512">
        <v>6</v>
      </c>
      <c r="F512" s="6">
        <v>1750</v>
      </c>
      <c r="G512" t="s">
        <v>3716</v>
      </c>
    </row>
    <row r="513" spans="1:7">
      <c r="A513" t="s">
        <v>2351</v>
      </c>
      <c r="B513" t="s">
        <v>4534</v>
      </c>
      <c r="C513" t="s">
        <v>3928</v>
      </c>
      <c r="D513" t="s">
        <v>3929</v>
      </c>
      <c r="E513">
        <v>6</v>
      </c>
      <c r="F513" s="6">
        <v>750</v>
      </c>
      <c r="G513" t="s">
        <v>3716</v>
      </c>
    </row>
    <row r="514" spans="1:7">
      <c r="A514" t="s">
        <v>2969</v>
      </c>
      <c r="B514" t="s">
        <v>4535</v>
      </c>
      <c r="C514" t="s">
        <v>3679</v>
      </c>
      <c r="D514" t="s">
        <v>3680</v>
      </c>
      <c r="E514">
        <v>6</v>
      </c>
      <c r="F514" s="6">
        <v>750</v>
      </c>
      <c r="G514" t="s">
        <v>3702</v>
      </c>
    </row>
    <row r="515" spans="1:7">
      <c r="A515" t="s">
        <v>4536</v>
      </c>
      <c r="B515" t="s">
        <v>4537</v>
      </c>
      <c r="C515" t="s">
        <v>3928</v>
      </c>
      <c r="D515" t="s">
        <v>3929</v>
      </c>
      <c r="E515">
        <v>6</v>
      </c>
      <c r="F515" s="6">
        <v>750</v>
      </c>
      <c r="G515" t="s">
        <v>3702</v>
      </c>
    </row>
    <row r="516" spans="1:7">
      <c r="A516" t="s">
        <v>4538</v>
      </c>
      <c r="B516" t="s">
        <v>4539</v>
      </c>
      <c r="C516" t="s">
        <v>3679</v>
      </c>
      <c r="D516" t="s">
        <v>3680</v>
      </c>
      <c r="E516">
        <v>6</v>
      </c>
      <c r="F516" s="6">
        <v>750</v>
      </c>
      <c r="G516" t="s">
        <v>3686</v>
      </c>
    </row>
    <row r="517" spans="1:7">
      <c r="A517" t="s">
        <v>366</v>
      </c>
      <c r="B517" t="s">
        <v>4540</v>
      </c>
      <c r="C517" t="s">
        <v>3928</v>
      </c>
      <c r="D517" t="s">
        <v>3929</v>
      </c>
      <c r="E517">
        <v>6</v>
      </c>
      <c r="F517" s="6">
        <v>750</v>
      </c>
      <c r="G517" t="s">
        <v>4285</v>
      </c>
    </row>
    <row r="518" spans="1:7">
      <c r="A518" t="s">
        <v>1009</v>
      </c>
      <c r="B518" t="s">
        <v>4541</v>
      </c>
      <c r="C518" t="s">
        <v>3928</v>
      </c>
      <c r="D518" t="s">
        <v>3929</v>
      </c>
      <c r="E518">
        <v>6</v>
      </c>
      <c r="F518" s="6">
        <v>750</v>
      </c>
      <c r="G518" t="s">
        <v>3730</v>
      </c>
    </row>
    <row r="519" spans="1:7">
      <c r="A519" t="s">
        <v>4542</v>
      </c>
      <c r="B519" t="s">
        <v>4543</v>
      </c>
      <c r="C519" t="s">
        <v>3679</v>
      </c>
      <c r="D519" t="s">
        <v>3680</v>
      </c>
      <c r="E519">
        <v>6</v>
      </c>
      <c r="F519" s="6">
        <v>750</v>
      </c>
      <c r="G519" t="s">
        <v>3686</v>
      </c>
    </row>
    <row r="520" spans="1:7">
      <c r="A520" t="s">
        <v>4544</v>
      </c>
      <c r="B520" t="s">
        <v>4545</v>
      </c>
      <c r="C520" t="s">
        <v>3928</v>
      </c>
      <c r="D520" t="s">
        <v>3929</v>
      </c>
      <c r="E520">
        <v>6</v>
      </c>
      <c r="F520" s="6">
        <v>750</v>
      </c>
      <c r="G520" t="s">
        <v>3781</v>
      </c>
    </row>
    <row r="521" spans="1:7">
      <c r="A521" t="s">
        <v>4546</v>
      </c>
      <c r="B521" t="s">
        <v>4547</v>
      </c>
      <c r="C521" t="s">
        <v>4436</v>
      </c>
      <c r="D521" t="s">
        <v>4437</v>
      </c>
      <c r="E521">
        <v>6</v>
      </c>
      <c r="F521" s="6">
        <v>750</v>
      </c>
      <c r="G521" t="s">
        <v>3781</v>
      </c>
    </row>
    <row r="522" spans="1:7">
      <c r="A522" t="s">
        <v>2725</v>
      </c>
      <c r="B522" t="s">
        <v>4548</v>
      </c>
      <c r="C522" t="s">
        <v>3928</v>
      </c>
      <c r="D522" t="s">
        <v>3929</v>
      </c>
      <c r="E522">
        <v>6</v>
      </c>
      <c r="F522" s="6">
        <v>750</v>
      </c>
      <c r="G522" t="s">
        <v>3686</v>
      </c>
    </row>
    <row r="523" spans="1:7">
      <c r="A523" t="s">
        <v>4549</v>
      </c>
      <c r="B523" t="s">
        <v>4550</v>
      </c>
      <c r="C523" t="s">
        <v>3679</v>
      </c>
      <c r="D523" t="s">
        <v>3680</v>
      </c>
      <c r="E523">
        <v>12</v>
      </c>
      <c r="F523" s="6">
        <v>375</v>
      </c>
      <c r="G523" t="s">
        <v>3888</v>
      </c>
    </row>
    <row r="524" spans="1:7">
      <c r="A524" t="s">
        <v>2136</v>
      </c>
      <c r="B524" t="s">
        <v>4551</v>
      </c>
      <c r="C524" t="s">
        <v>3679</v>
      </c>
      <c r="D524" t="s">
        <v>3680</v>
      </c>
      <c r="E524">
        <v>6</v>
      </c>
      <c r="F524" s="6">
        <v>750</v>
      </c>
      <c r="G524" t="s">
        <v>3716</v>
      </c>
    </row>
    <row r="525" spans="1:7">
      <c r="A525" t="s">
        <v>608</v>
      </c>
      <c r="B525" t="s">
        <v>4552</v>
      </c>
      <c r="C525" t="s">
        <v>3679</v>
      </c>
      <c r="D525" t="s">
        <v>3680</v>
      </c>
      <c r="E525">
        <v>6</v>
      </c>
      <c r="F525" s="6">
        <v>750</v>
      </c>
      <c r="G525" t="s">
        <v>3686</v>
      </c>
    </row>
    <row r="526" spans="1:7">
      <c r="A526" t="s">
        <v>2918</v>
      </c>
      <c r="B526" t="s">
        <v>4553</v>
      </c>
      <c r="C526" t="s">
        <v>3928</v>
      </c>
      <c r="D526" t="s">
        <v>3929</v>
      </c>
      <c r="E526">
        <v>6</v>
      </c>
      <c r="F526" s="6">
        <v>750</v>
      </c>
      <c r="G526" t="s">
        <v>3802</v>
      </c>
    </row>
    <row r="527" spans="1:7">
      <c r="A527" t="s">
        <v>4554</v>
      </c>
      <c r="B527" t="s">
        <v>4555</v>
      </c>
      <c r="C527" t="s">
        <v>3928</v>
      </c>
      <c r="D527" t="s">
        <v>3929</v>
      </c>
      <c r="E527">
        <v>6</v>
      </c>
      <c r="F527" s="6">
        <v>750</v>
      </c>
      <c r="G527" t="s">
        <v>3802</v>
      </c>
    </row>
    <row r="528" spans="1:7">
      <c r="A528" t="s">
        <v>4556</v>
      </c>
      <c r="B528" t="s">
        <v>4557</v>
      </c>
      <c r="C528" t="s">
        <v>4244</v>
      </c>
      <c r="D528" t="s">
        <v>4245</v>
      </c>
      <c r="E528">
        <v>6</v>
      </c>
      <c r="F528" s="6">
        <v>750</v>
      </c>
      <c r="G528" t="s">
        <v>4225</v>
      </c>
    </row>
    <row r="529" spans="1:7">
      <c r="A529" t="s">
        <v>1017</v>
      </c>
      <c r="B529" t="s">
        <v>4558</v>
      </c>
      <c r="C529" t="s">
        <v>3928</v>
      </c>
      <c r="D529" t="s">
        <v>3929</v>
      </c>
      <c r="E529">
        <v>12</v>
      </c>
      <c r="F529" s="6">
        <v>375</v>
      </c>
      <c r="G529" t="s">
        <v>3730</v>
      </c>
    </row>
    <row r="530" spans="1:7">
      <c r="A530" t="s">
        <v>524</v>
      </c>
      <c r="B530" t="s">
        <v>4558</v>
      </c>
      <c r="C530" t="s">
        <v>3928</v>
      </c>
      <c r="D530" t="s">
        <v>3929</v>
      </c>
      <c r="E530">
        <v>12</v>
      </c>
      <c r="F530" s="6">
        <v>750</v>
      </c>
      <c r="G530" t="s">
        <v>3730</v>
      </c>
    </row>
    <row r="531" spans="1:7">
      <c r="A531" t="s">
        <v>1562</v>
      </c>
      <c r="B531" t="s">
        <v>4558</v>
      </c>
      <c r="C531" t="s">
        <v>3928</v>
      </c>
      <c r="D531" t="s">
        <v>3929</v>
      </c>
      <c r="E531">
        <v>12</v>
      </c>
      <c r="F531" s="6">
        <v>1000</v>
      </c>
      <c r="G531" t="s">
        <v>3730</v>
      </c>
    </row>
    <row r="532" spans="1:7">
      <c r="A532" t="s">
        <v>1951</v>
      </c>
      <c r="B532" t="s">
        <v>4558</v>
      </c>
      <c r="C532" t="s">
        <v>3928</v>
      </c>
      <c r="D532" t="s">
        <v>3929</v>
      </c>
      <c r="E532">
        <v>6</v>
      </c>
      <c r="F532" s="6">
        <v>1750</v>
      </c>
      <c r="G532" t="s">
        <v>3730</v>
      </c>
    </row>
    <row r="533" spans="1:7">
      <c r="A533" t="s">
        <v>838</v>
      </c>
      <c r="B533" t="s">
        <v>4559</v>
      </c>
      <c r="C533" t="s">
        <v>3928</v>
      </c>
      <c r="D533" t="s">
        <v>3929</v>
      </c>
      <c r="E533">
        <v>12</v>
      </c>
      <c r="F533" s="6">
        <v>50</v>
      </c>
      <c r="G533" t="s">
        <v>3730</v>
      </c>
    </row>
    <row r="534" spans="1:7">
      <c r="A534" t="s">
        <v>2403</v>
      </c>
      <c r="B534" t="s">
        <v>4560</v>
      </c>
      <c r="C534" t="s">
        <v>3928</v>
      </c>
      <c r="D534" t="s">
        <v>3929</v>
      </c>
      <c r="E534">
        <v>12</v>
      </c>
      <c r="F534" s="6">
        <v>750</v>
      </c>
      <c r="G534" t="s">
        <v>3730</v>
      </c>
    </row>
    <row r="535" spans="1:7">
      <c r="A535" t="s">
        <v>3042</v>
      </c>
      <c r="B535" t="s">
        <v>4561</v>
      </c>
      <c r="C535" t="s">
        <v>3928</v>
      </c>
      <c r="D535" t="s">
        <v>3929</v>
      </c>
      <c r="E535">
        <v>6</v>
      </c>
      <c r="F535" s="6">
        <v>750</v>
      </c>
      <c r="G535" t="s">
        <v>3730</v>
      </c>
    </row>
    <row r="536" spans="1:7">
      <c r="A536" t="s">
        <v>4562</v>
      </c>
      <c r="B536" t="s">
        <v>4563</v>
      </c>
      <c r="C536" t="s">
        <v>3679</v>
      </c>
      <c r="D536" t="s">
        <v>3680</v>
      </c>
      <c r="E536">
        <v>12</v>
      </c>
      <c r="F536" s="6">
        <v>750</v>
      </c>
      <c r="G536" t="s">
        <v>3730</v>
      </c>
    </row>
    <row r="537" spans="1:7">
      <c r="A537" t="s">
        <v>4564</v>
      </c>
      <c r="B537" t="s">
        <v>4565</v>
      </c>
      <c r="C537" t="s">
        <v>3928</v>
      </c>
      <c r="D537" t="s">
        <v>3929</v>
      </c>
      <c r="E537">
        <v>6</v>
      </c>
      <c r="F537" s="6">
        <v>750</v>
      </c>
      <c r="G537" t="s">
        <v>4566</v>
      </c>
    </row>
    <row r="538" spans="1:7">
      <c r="A538" t="s">
        <v>2613</v>
      </c>
      <c r="B538" t="s">
        <v>4567</v>
      </c>
      <c r="C538" t="s">
        <v>3928</v>
      </c>
      <c r="D538" t="s">
        <v>3929</v>
      </c>
      <c r="E538">
        <v>6</v>
      </c>
      <c r="F538" s="6">
        <v>750</v>
      </c>
      <c r="G538" t="s">
        <v>4566</v>
      </c>
    </row>
    <row r="539" spans="1:7">
      <c r="A539" t="s">
        <v>4568</v>
      </c>
      <c r="B539" t="s">
        <v>4569</v>
      </c>
      <c r="C539" t="s">
        <v>3928</v>
      </c>
      <c r="D539" t="s">
        <v>3929</v>
      </c>
      <c r="E539">
        <v>6</v>
      </c>
      <c r="F539" s="6">
        <v>750</v>
      </c>
      <c r="G539" t="s">
        <v>4566</v>
      </c>
    </row>
    <row r="540" spans="1:7">
      <c r="A540" t="s">
        <v>1196</v>
      </c>
      <c r="B540" t="s">
        <v>4570</v>
      </c>
      <c r="C540" t="s">
        <v>3928</v>
      </c>
      <c r="D540" t="s">
        <v>3929</v>
      </c>
      <c r="E540">
        <v>12</v>
      </c>
      <c r="F540" s="6">
        <v>1000</v>
      </c>
      <c r="G540" t="s">
        <v>3931</v>
      </c>
    </row>
    <row r="541" spans="1:7">
      <c r="A541" t="s">
        <v>367</v>
      </c>
      <c r="B541" t="s">
        <v>4571</v>
      </c>
      <c r="C541" t="s">
        <v>4436</v>
      </c>
      <c r="D541" t="s">
        <v>4437</v>
      </c>
      <c r="E541">
        <v>6</v>
      </c>
      <c r="F541" s="6">
        <v>750</v>
      </c>
      <c r="G541" t="s">
        <v>3781</v>
      </c>
    </row>
    <row r="542" spans="1:7">
      <c r="A542" t="s">
        <v>1744</v>
      </c>
      <c r="B542" t="s">
        <v>4572</v>
      </c>
      <c r="C542" t="s">
        <v>4436</v>
      </c>
      <c r="D542" t="s">
        <v>4437</v>
      </c>
      <c r="E542">
        <v>6</v>
      </c>
      <c r="F542" s="6">
        <v>750</v>
      </c>
      <c r="G542" t="s">
        <v>3781</v>
      </c>
    </row>
    <row r="543" spans="1:7">
      <c r="A543" t="s">
        <v>4573</v>
      </c>
      <c r="B543" t="s">
        <v>4574</v>
      </c>
      <c r="C543" t="s">
        <v>4436</v>
      </c>
      <c r="D543" t="s">
        <v>4437</v>
      </c>
      <c r="E543">
        <v>6</v>
      </c>
      <c r="F543" s="6">
        <v>750</v>
      </c>
      <c r="G543" t="s">
        <v>3781</v>
      </c>
    </row>
    <row r="544" spans="1:7">
      <c r="A544" t="s">
        <v>4575</v>
      </c>
      <c r="B544" t="s">
        <v>4576</v>
      </c>
      <c r="C544" t="s">
        <v>4452</v>
      </c>
      <c r="D544" t="s">
        <v>4453</v>
      </c>
      <c r="E544">
        <v>12</v>
      </c>
      <c r="F544" s="6">
        <v>750</v>
      </c>
      <c r="G544" t="s">
        <v>4577</v>
      </c>
    </row>
    <row r="545" spans="1:7">
      <c r="A545" t="s">
        <v>1351</v>
      </c>
      <c r="B545" t="s">
        <v>4578</v>
      </c>
      <c r="C545" t="s">
        <v>3928</v>
      </c>
      <c r="D545" t="s">
        <v>3929</v>
      </c>
      <c r="E545">
        <v>6</v>
      </c>
      <c r="F545" s="6">
        <v>750</v>
      </c>
      <c r="G545" t="s">
        <v>4438</v>
      </c>
    </row>
    <row r="546" spans="1:7">
      <c r="A546" t="s">
        <v>454</v>
      </c>
      <c r="B546" t="s">
        <v>4579</v>
      </c>
      <c r="C546" t="s">
        <v>3928</v>
      </c>
      <c r="D546" t="s">
        <v>3929</v>
      </c>
      <c r="E546">
        <v>6</v>
      </c>
      <c r="F546" s="6">
        <v>750</v>
      </c>
      <c r="G546" t="s">
        <v>4438</v>
      </c>
    </row>
    <row r="547" spans="1:7">
      <c r="A547" t="s">
        <v>2930</v>
      </c>
      <c r="B547" t="s">
        <v>4580</v>
      </c>
      <c r="C547" t="s">
        <v>3928</v>
      </c>
      <c r="D547" t="s">
        <v>3929</v>
      </c>
      <c r="E547">
        <v>6</v>
      </c>
      <c r="F547" s="6">
        <v>750</v>
      </c>
      <c r="G547" t="s">
        <v>4581</v>
      </c>
    </row>
    <row r="548" spans="1:7">
      <c r="A548" t="s">
        <v>4582</v>
      </c>
      <c r="B548" t="s">
        <v>4583</v>
      </c>
      <c r="C548" t="s">
        <v>3928</v>
      </c>
      <c r="D548" t="s">
        <v>3929</v>
      </c>
      <c r="E548">
        <v>6</v>
      </c>
      <c r="F548" s="6">
        <v>750</v>
      </c>
      <c r="G548" t="s">
        <v>4584</v>
      </c>
    </row>
    <row r="549" spans="1:7">
      <c r="A549" t="s">
        <v>4585</v>
      </c>
      <c r="B549" t="s">
        <v>4586</v>
      </c>
      <c r="C549" t="s">
        <v>3928</v>
      </c>
      <c r="D549" t="s">
        <v>3929</v>
      </c>
      <c r="E549">
        <v>6</v>
      </c>
      <c r="F549" s="6">
        <v>750</v>
      </c>
      <c r="G549" t="s">
        <v>3802</v>
      </c>
    </row>
    <row r="550" spans="1:7">
      <c r="A550" t="s">
        <v>1925</v>
      </c>
      <c r="B550" t="s">
        <v>4587</v>
      </c>
      <c r="C550" t="s">
        <v>3928</v>
      </c>
      <c r="D550" t="s">
        <v>3929</v>
      </c>
      <c r="E550">
        <v>6</v>
      </c>
      <c r="F550" s="6">
        <v>750</v>
      </c>
      <c r="G550" t="s">
        <v>3802</v>
      </c>
    </row>
    <row r="551" spans="1:7">
      <c r="A551" t="s">
        <v>1156</v>
      </c>
      <c r="B551" t="s">
        <v>4588</v>
      </c>
      <c r="C551" t="s">
        <v>3928</v>
      </c>
      <c r="D551" t="s">
        <v>3929</v>
      </c>
      <c r="E551">
        <v>6</v>
      </c>
      <c r="F551" s="6">
        <v>750</v>
      </c>
      <c r="G551" t="s">
        <v>3702</v>
      </c>
    </row>
    <row r="552" spans="1:7">
      <c r="A552" t="s">
        <v>4589</v>
      </c>
      <c r="B552" t="s">
        <v>4590</v>
      </c>
      <c r="C552" t="s">
        <v>4591</v>
      </c>
      <c r="D552" t="s">
        <v>4592</v>
      </c>
      <c r="E552">
        <v>6</v>
      </c>
      <c r="F552" s="6">
        <v>750</v>
      </c>
      <c r="G552" t="s">
        <v>3951</v>
      </c>
    </row>
    <row r="553" spans="1:7">
      <c r="A553" t="s">
        <v>4593</v>
      </c>
      <c r="B553" t="s">
        <v>4594</v>
      </c>
      <c r="C553" t="s">
        <v>3808</v>
      </c>
      <c r="D553" t="s">
        <v>3809</v>
      </c>
      <c r="E553">
        <v>6</v>
      </c>
      <c r="F553" s="6">
        <v>750</v>
      </c>
      <c r="G553" t="s">
        <v>3702</v>
      </c>
    </row>
    <row r="554" spans="1:7">
      <c r="A554" t="s">
        <v>4595</v>
      </c>
      <c r="B554" t="s">
        <v>4596</v>
      </c>
      <c r="C554" t="s">
        <v>3679</v>
      </c>
      <c r="D554" t="s">
        <v>3680</v>
      </c>
      <c r="E554">
        <v>6</v>
      </c>
      <c r="F554" s="6">
        <v>750</v>
      </c>
      <c r="G554" t="s">
        <v>3951</v>
      </c>
    </row>
    <row r="555" spans="1:7">
      <c r="A555" t="s">
        <v>4597</v>
      </c>
      <c r="B555" t="s">
        <v>4598</v>
      </c>
      <c r="C555" t="s">
        <v>3928</v>
      </c>
      <c r="D555" t="s">
        <v>3929</v>
      </c>
      <c r="E555">
        <v>6</v>
      </c>
      <c r="F555" s="6">
        <v>750</v>
      </c>
      <c r="G555" t="s">
        <v>4163</v>
      </c>
    </row>
    <row r="556" spans="1:7">
      <c r="A556" t="s">
        <v>35</v>
      </c>
      <c r="B556" t="s">
        <v>4599</v>
      </c>
      <c r="C556" t="s">
        <v>3928</v>
      </c>
      <c r="D556" t="s">
        <v>3929</v>
      </c>
      <c r="E556">
        <v>6</v>
      </c>
      <c r="F556" s="6">
        <v>750</v>
      </c>
      <c r="G556" t="s">
        <v>4163</v>
      </c>
    </row>
    <row r="557" spans="1:7">
      <c r="A557" t="s">
        <v>3065</v>
      </c>
      <c r="B557" t="s">
        <v>4600</v>
      </c>
      <c r="C557" t="s">
        <v>3928</v>
      </c>
      <c r="D557" t="s">
        <v>3929</v>
      </c>
      <c r="E557">
        <v>12</v>
      </c>
      <c r="F557" s="6">
        <v>750</v>
      </c>
      <c r="G557" t="s">
        <v>4601</v>
      </c>
    </row>
    <row r="558" spans="1:7">
      <c r="A558" t="s">
        <v>4602</v>
      </c>
      <c r="B558" t="s">
        <v>4603</v>
      </c>
      <c r="C558" t="s">
        <v>3928</v>
      </c>
      <c r="D558" t="s">
        <v>3929</v>
      </c>
      <c r="E558">
        <v>6</v>
      </c>
      <c r="F558" s="6">
        <v>750</v>
      </c>
      <c r="G558" t="s">
        <v>4068</v>
      </c>
    </row>
    <row r="559" spans="1:7">
      <c r="A559" t="s">
        <v>2705</v>
      </c>
      <c r="B559" t="s">
        <v>4604</v>
      </c>
      <c r="C559" t="s">
        <v>3928</v>
      </c>
      <c r="D559" t="s">
        <v>3929</v>
      </c>
      <c r="E559">
        <v>6</v>
      </c>
      <c r="F559" s="6">
        <v>750</v>
      </c>
      <c r="G559" t="s">
        <v>3802</v>
      </c>
    </row>
    <row r="560" spans="1:7">
      <c r="A560" t="s">
        <v>4605</v>
      </c>
      <c r="B560" t="s">
        <v>4606</v>
      </c>
      <c r="C560" t="s">
        <v>3928</v>
      </c>
      <c r="D560" t="s">
        <v>3929</v>
      </c>
      <c r="E560">
        <v>6</v>
      </c>
      <c r="F560" s="6">
        <v>750</v>
      </c>
      <c r="G560" t="s">
        <v>3686</v>
      </c>
    </row>
    <row r="561" spans="1:7">
      <c r="A561" t="s">
        <v>4607</v>
      </c>
      <c r="B561" t="s">
        <v>4608</v>
      </c>
      <c r="C561" t="s">
        <v>4452</v>
      </c>
      <c r="D561" t="s">
        <v>4453</v>
      </c>
      <c r="E561">
        <v>6</v>
      </c>
      <c r="F561" s="6">
        <v>750</v>
      </c>
      <c r="G561" t="s">
        <v>3686</v>
      </c>
    </row>
    <row r="562" spans="1:7">
      <c r="A562" t="s">
        <v>3507</v>
      </c>
      <c r="B562" t="s">
        <v>4609</v>
      </c>
      <c r="C562" t="s">
        <v>3928</v>
      </c>
      <c r="D562" t="s">
        <v>3929</v>
      </c>
      <c r="E562">
        <v>12</v>
      </c>
      <c r="F562" s="6">
        <v>750</v>
      </c>
      <c r="G562" t="s">
        <v>3686</v>
      </c>
    </row>
    <row r="563" spans="1:7">
      <c r="A563" t="s">
        <v>1422</v>
      </c>
      <c r="B563" t="s">
        <v>4610</v>
      </c>
      <c r="C563" t="s">
        <v>3928</v>
      </c>
      <c r="D563" t="s">
        <v>3929</v>
      </c>
      <c r="E563">
        <v>6</v>
      </c>
      <c r="F563" s="6">
        <v>1750</v>
      </c>
      <c r="G563" t="s">
        <v>3686</v>
      </c>
    </row>
    <row r="564" spans="1:7">
      <c r="A564" t="s">
        <v>4611</v>
      </c>
      <c r="B564" t="s">
        <v>4612</v>
      </c>
      <c r="C564" t="s">
        <v>3928</v>
      </c>
      <c r="D564" t="s">
        <v>3929</v>
      </c>
      <c r="E564">
        <v>6</v>
      </c>
      <c r="F564" s="6">
        <v>750</v>
      </c>
      <c r="G564" t="s">
        <v>3802</v>
      </c>
    </row>
    <row r="565" spans="1:7">
      <c r="A565" t="s">
        <v>4613</v>
      </c>
      <c r="B565" t="s">
        <v>4614</v>
      </c>
      <c r="C565" t="s">
        <v>3928</v>
      </c>
      <c r="D565" t="s">
        <v>3929</v>
      </c>
      <c r="E565">
        <v>12</v>
      </c>
      <c r="F565" s="6">
        <v>1000</v>
      </c>
      <c r="G565" t="s">
        <v>3931</v>
      </c>
    </row>
    <row r="566" spans="1:7">
      <c r="A566" t="s">
        <v>1926</v>
      </c>
      <c r="B566" t="s">
        <v>4615</v>
      </c>
      <c r="C566" t="s">
        <v>3928</v>
      </c>
      <c r="D566" t="s">
        <v>3929</v>
      </c>
      <c r="E566">
        <v>6</v>
      </c>
      <c r="F566" s="6">
        <v>750</v>
      </c>
      <c r="G566" t="s">
        <v>3931</v>
      </c>
    </row>
    <row r="567" spans="1:7">
      <c r="A567" t="s">
        <v>493</v>
      </c>
      <c r="B567" t="s">
        <v>4614</v>
      </c>
      <c r="C567" t="s">
        <v>3928</v>
      </c>
      <c r="D567" t="s">
        <v>3929</v>
      </c>
      <c r="E567">
        <v>12</v>
      </c>
      <c r="F567" s="6">
        <v>375</v>
      </c>
      <c r="G567" t="s">
        <v>3931</v>
      </c>
    </row>
    <row r="568" spans="1:7">
      <c r="A568" t="s">
        <v>1530</v>
      </c>
      <c r="B568" t="s">
        <v>4616</v>
      </c>
      <c r="C568" t="s">
        <v>3928</v>
      </c>
      <c r="D568" t="s">
        <v>3929</v>
      </c>
      <c r="E568">
        <v>12</v>
      </c>
      <c r="F568" s="6">
        <v>750</v>
      </c>
      <c r="G568" t="s">
        <v>3931</v>
      </c>
    </row>
    <row r="569" spans="1:7">
      <c r="A569" t="s">
        <v>3597</v>
      </c>
      <c r="B569" t="s">
        <v>4617</v>
      </c>
      <c r="C569" t="s">
        <v>3679</v>
      </c>
      <c r="D569" t="s">
        <v>3680</v>
      </c>
      <c r="E569">
        <v>6</v>
      </c>
      <c r="F569" s="6">
        <v>750</v>
      </c>
      <c r="G569" t="s">
        <v>3931</v>
      </c>
    </row>
    <row r="570" spans="1:7">
      <c r="A570" t="s">
        <v>1991</v>
      </c>
      <c r="B570" t="s">
        <v>4614</v>
      </c>
      <c r="C570" t="s">
        <v>3928</v>
      </c>
      <c r="D570" t="s">
        <v>3929</v>
      </c>
      <c r="E570">
        <v>6</v>
      </c>
      <c r="F570" s="6">
        <v>1750</v>
      </c>
      <c r="G570" t="s">
        <v>3931</v>
      </c>
    </row>
    <row r="571" spans="1:7">
      <c r="A571" t="s">
        <v>4618</v>
      </c>
      <c r="B571" t="s">
        <v>4619</v>
      </c>
      <c r="C571" t="s">
        <v>3679</v>
      </c>
      <c r="D571" t="s">
        <v>3680</v>
      </c>
      <c r="E571">
        <v>3</v>
      </c>
      <c r="F571" s="6">
        <v>750</v>
      </c>
      <c r="G571" t="s">
        <v>3931</v>
      </c>
    </row>
    <row r="572" spans="1:7">
      <c r="A572" t="s">
        <v>4620</v>
      </c>
      <c r="B572" t="s">
        <v>4621</v>
      </c>
      <c r="C572" t="s">
        <v>3679</v>
      </c>
      <c r="D572" t="s">
        <v>3680</v>
      </c>
      <c r="E572">
        <v>3</v>
      </c>
      <c r="F572" s="6">
        <v>750</v>
      </c>
      <c r="G572" t="s">
        <v>3931</v>
      </c>
    </row>
    <row r="573" spans="1:7">
      <c r="A573" t="s">
        <v>4622</v>
      </c>
      <c r="B573" t="s">
        <v>4623</v>
      </c>
      <c r="C573" t="s">
        <v>3928</v>
      </c>
      <c r="D573" t="s">
        <v>3929</v>
      </c>
      <c r="E573">
        <v>6</v>
      </c>
      <c r="F573" s="6">
        <v>750</v>
      </c>
      <c r="G573" t="s">
        <v>3931</v>
      </c>
    </row>
    <row r="574" spans="1:7">
      <c r="A574" t="s">
        <v>4624</v>
      </c>
      <c r="B574" t="s">
        <v>4625</v>
      </c>
      <c r="C574" t="s">
        <v>3679</v>
      </c>
      <c r="D574" t="s">
        <v>3680</v>
      </c>
      <c r="E574">
        <v>12</v>
      </c>
      <c r="F574" s="6">
        <v>750</v>
      </c>
      <c r="G574" t="s">
        <v>3931</v>
      </c>
    </row>
    <row r="575" spans="1:7">
      <c r="A575" t="s">
        <v>4626</v>
      </c>
      <c r="B575" t="s">
        <v>4627</v>
      </c>
      <c r="C575" t="s">
        <v>3679</v>
      </c>
      <c r="D575" t="s">
        <v>3680</v>
      </c>
      <c r="E575">
        <v>12</v>
      </c>
      <c r="F575" s="6">
        <v>750</v>
      </c>
      <c r="G575" t="s">
        <v>3686</v>
      </c>
    </row>
    <row r="576" spans="1:7">
      <c r="A576" t="s">
        <v>609</v>
      </c>
      <c r="B576" t="s">
        <v>4628</v>
      </c>
      <c r="C576" t="s">
        <v>3928</v>
      </c>
      <c r="D576" t="s">
        <v>3929</v>
      </c>
      <c r="E576">
        <v>8</v>
      </c>
      <c r="F576" s="6">
        <v>50</v>
      </c>
      <c r="G576" t="s">
        <v>3931</v>
      </c>
    </row>
    <row r="577" spans="1:7">
      <c r="A577" t="s">
        <v>2031</v>
      </c>
      <c r="B577" t="s">
        <v>4629</v>
      </c>
      <c r="C577" t="s">
        <v>3928</v>
      </c>
      <c r="D577" t="s">
        <v>3929</v>
      </c>
      <c r="E577">
        <v>12</v>
      </c>
      <c r="F577" s="6">
        <v>750</v>
      </c>
      <c r="G577" t="s">
        <v>3931</v>
      </c>
    </row>
    <row r="578" spans="1:7">
      <c r="A578" t="s">
        <v>1476</v>
      </c>
      <c r="B578" t="s">
        <v>4630</v>
      </c>
      <c r="C578" t="s">
        <v>3928</v>
      </c>
      <c r="D578" t="s">
        <v>3929</v>
      </c>
      <c r="E578">
        <v>12</v>
      </c>
      <c r="F578" s="6">
        <v>1000</v>
      </c>
      <c r="G578" t="s">
        <v>3931</v>
      </c>
    </row>
    <row r="579" spans="1:7">
      <c r="A579" t="s">
        <v>807</v>
      </c>
      <c r="B579" t="s">
        <v>4629</v>
      </c>
      <c r="C579" t="s">
        <v>3928</v>
      </c>
      <c r="D579" t="s">
        <v>3929</v>
      </c>
      <c r="E579">
        <v>6</v>
      </c>
      <c r="F579" s="6">
        <v>1750</v>
      </c>
      <c r="G579" t="s">
        <v>3931</v>
      </c>
    </row>
    <row r="580" spans="1:7">
      <c r="A580" t="s">
        <v>2539</v>
      </c>
      <c r="B580" t="s">
        <v>4631</v>
      </c>
      <c r="C580" t="s">
        <v>4632</v>
      </c>
      <c r="D580" t="s">
        <v>4633</v>
      </c>
      <c r="E580">
        <v>6</v>
      </c>
      <c r="F580" s="6">
        <v>1750</v>
      </c>
      <c r="G580" t="s">
        <v>3730</v>
      </c>
    </row>
    <row r="581" spans="1:7">
      <c r="A581" t="s">
        <v>3244</v>
      </c>
      <c r="B581" t="s">
        <v>4634</v>
      </c>
      <c r="C581" t="s">
        <v>3928</v>
      </c>
      <c r="D581" t="s">
        <v>3929</v>
      </c>
      <c r="E581">
        <v>12</v>
      </c>
      <c r="F581" s="6">
        <v>750</v>
      </c>
      <c r="G581" t="s">
        <v>3686</v>
      </c>
    </row>
    <row r="582" spans="1:7">
      <c r="A582" t="s">
        <v>1326</v>
      </c>
      <c r="B582" t="s">
        <v>4635</v>
      </c>
      <c r="C582" t="s">
        <v>3928</v>
      </c>
      <c r="D582" t="s">
        <v>3929</v>
      </c>
      <c r="E582">
        <v>6</v>
      </c>
      <c r="F582" s="6">
        <v>750</v>
      </c>
      <c r="G582" t="s">
        <v>3702</v>
      </c>
    </row>
    <row r="583" spans="1:7">
      <c r="A583" t="s">
        <v>756</v>
      </c>
      <c r="B583" t="s">
        <v>4636</v>
      </c>
      <c r="C583" t="s">
        <v>3928</v>
      </c>
      <c r="D583" t="s">
        <v>3929</v>
      </c>
      <c r="E583">
        <v>6</v>
      </c>
      <c r="F583" s="6">
        <v>750</v>
      </c>
      <c r="G583" t="s">
        <v>3931</v>
      </c>
    </row>
    <row r="584" spans="1:7">
      <c r="A584" t="s">
        <v>1878</v>
      </c>
      <c r="B584" t="s">
        <v>4636</v>
      </c>
      <c r="C584" t="s">
        <v>3928</v>
      </c>
      <c r="D584" t="s">
        <v>3929</v>
      </c>
      <c r="E584">
        <v>6</v>
      </c>
      <c r="F584" s="6">
        <v>1750</v>
      </c>
      <c r="G584" t="s">
        <v>3931</v>
      </c>
    </row>
    <row r="585" spans="1:7">
      <c r="A585" t="s">
        <v>2485</v>
      </c>
      <c r="B585" t="s">
        <v>4637</v>
      </c>
      <c r="C585" t="s">
        <v>3928</v>
      </c>
      <c r="D585" t="s">
        <v>3929</v>
      </c>
      <c r="E585">
        <v>12</v>
      </c>
      <c r="F585" s="6">
        <v>750</v>
      </c>
      <c r="G585" t="s">
        <v>3931</v>
      </c>
    </row>
    <row r="586" spans="1:7">
      <c r="A586" t="s">
        <v>4638</v>
      </c>
      <c r="B586" t="s">
        <v>4639</v>
      </c>
      <c r="C586" t="s">
        <v>3928</v>
      </c>
      <c r="D586" t="s">
        <v>3929</v>
      </c>
      <c r="E586">
        <v>6</v>
      </c>
      <c r="F586" s="6">
        <v>750</v>
      </c>
      <c r="G586" t="s">
        <v>4163</v>
      </c>
    </row>
    <row r="587" spans="1:7">
      <c r="A587" t="s">
        <v>4640</v>
      </c>
      <c r="B587" t="s">
        <v>4641</v>
      </c>
      <c r="C587" t="s">
        <v>3679</v>
      </c>
      <c r="D587" t="s">
        <v>3680</v>
      </c>
      <c r="E587">
        <v>6</v>
      </c>
      <c r="F587" s="6">
        <v>750</v>
      </c>
      <c r="G587" t="s">
        <v>4163</v>
      </c>
    </row>
    <row r="588" spans="1:7">
      <c r="A588" t="s">
        <v>936</v>
      </c>
      <c r="B588" t="s">
        <v>4639</v>
      </c>
      <c r="C588" t="s">
        <v>3928</v>
      </c>
      <c r="D588" t="s">
        <v>3929</v>
      </c>
      <c r="E588">
        <v>6</v>
      </c>
      <c r="F588" s="6">
        <v>1750</v>
      </c>
      <c r="G588" t="s">
        <v>4163</v>
      </c>
    </row>
    <row r="589" spans="1:7">
      <c r="A589" t="s">
        <v>1553</v>
      </c>
      <c r="B589" t="s">
        <v>4642</v>
      </c>
      <c r="C589" t="s">
        <v>3928</v>
      </c>
      <c r="D589" t="s">
        <v>3929</v>
      </c>
      <c r="E589">
        <v>12</v>
      </c>
      <c r="F589" s="6">
        <v>750</v>
      </c>
      <c r="G589" t="s">
        <v>3931</v>
      </c>
    </row>
    <row r="590" spans="1:7">
      <c r="A590" t="s">
        <v>4643</v>
      </c>
      <c r="B590" t="s">
        <v>4644</v>
      </c>
      <c r="C590" t="s">
        <v>3928</v>
      </c>
      <c r="D590" t="s">
        <v>3929</v>
      </c>
      <c r="E590">
        <v>6</v>
      </c>
      <c r="F590" s="6">
        <v>750</v>
      </c>
      <c r="G590" t="s">
        <v>4419</v>
      </c>
    </row>
    <row r="591" spans="1:7">
      <c r="A591" t="s">
        <v>4645</v>
      </c>
      <c r="B591" t="s">
        <v>4646</v>
      </c>
      <c r="C591" t="s">
        <v>3679</v>
      </c>
      <c r="D591" t="s">
        <v>3680</v>
      </c>
      <c r="E591">
        <v>6</v>
      </c>
      <c r="F591" s="6">
        <v>750</v>
      </c>
      <c r="G591" t="s">
        <v>4647</v>
      </c>
    </row>
    <row r="592" spans="1:7">
      <c r="A592" t="s">
        <v>2311</v>
      </c>
      <c r="B592" t="s">
        <v>4648</v>
      </c>
      <c r="C592" t="s">
        <v>3928</v>
      </c>
      <c r="D592" t="s">
        <v>3929</v>
      </c>
      <c r="E592">
        <v>5</v>
      </c>
      <c r="F592" s="6">
        <v>50</v>
      </c>
      <c r="G592" t="s">
        <v>4647</v>
      </c>
    </row>
    <row r="593" spans="1:7">
      <c r="A593" t="s">
        <v>1899</v>
      </c>
      <c r="B593" t="s">
        <v>4649</v>
      </c>
      <c r="C593" t="s">
        <v>3928</v>
      </c>
      <c r="D593" t="s">
        <v>3929</v>
      </c>
      <c r="E593">
        <v>6</v>
      </c>
      <c r="F593" s="6">
        <v>750</v>
      </c>
      <c r="G593" t="s">
        <v>4647</v>
      </c>
    </row>
    <row r="594" spans="1:7">
      <c r="A594" t="s">
        <v>789</v>
      </c>
      <c r="B594" t="s">
        <v>4650</v>
      </c>
      <c r="C594" t="s">
        <v>4452</v>
      </c>
      <c r="D594" t="s">
        <v>4453</v>
      </c>
      <c r="E594">
        <v>6</v>
      </c>
      <c r="F594" s="6">
        <v>750</v>
      </c>
      <c r="G594" t="s">
        <v>4647</v>
      </c>
    </row>
    <row r="595" spans="1:7">
      <c r="A595" t="s">
        <v>1182</v>
      </c>
      <c r="B595" t="s">
        <v>4651</v>
      </c>
      <c r="C595" t="s">
        <v>3928</v>
      </c>
      <c r="D595" t="s">
        <v>3929</v>
      </c>
      <c r="E595">
        <v>6</v>
      </c>
      <c r="F595" s="6">
        <v>1750</v>
      </c>
      <c r="G595" t="s">
        <v>4647</v>
      </c>
    </row>
    <row r="596" spans="1:7">
      <c r="A596" t="s">
        <v>1801</v>
      </c>
      <c r="B596" t="s">
        <v>4651</v>
      </c>
      <c r="C596" t="s">
        <v>3928</v>
      </c>
      <c r="D596" t="s">
        <v>3929</v>
      </c>
      <c r="E596">
        <v>12</v>
      </c>
      <c r="F596" s="6">
        <v>750</v>
      </c>
      <c r="G596" t="s">
        <v>4647</v>
      </c>
    </row>
    <row r="597" spans="1:7">
      <c r="A597" t="s">
        <v>4652</v>
      </c>
      <c r="B597" t="s">
        <v>4653</v>
      </c>
      <c r="C597" t="s">
        <v>3679</v>
      </c>
      <c r="D597" t="s">
        <v>3680</v>
      </c>
      <c r="E597">
        <v>6</v>
      </c>
      <c r="F597" s="6">
        <v>750</v>
      </c>
      <c r="G597" t="s">
        <v>4647</v>
      </c>
    </row>
    <row r="598" spans="1:7">
      <c r="A598" t="s">
        <v>4654</v>
      </c>
      <c r="B598" t="s">
        <v>4655</v>
      </c>
      <c r="C598" t="s">
        <v>3928</v>
      </c>
      <c r="D598" t="s">
        <v>3929</v>
      </c>
      <c r="E598">
        <v>5</v>
      </c>
      <c r="F598" s="6">
        <v>50</v>
      </c>
      <c r="G598" t="s">
        <v>4647</v>
      </c>
    </row>
    <row r="599" spans="1:7">
      <c r="A599" t="s">
        <v>194</v>
      </c>
      <c r="B599" t="s">
        <v>4656</v>
      </c>
      <c r="C599" t="s">
        <v>3928</v>
      </c>
      <c r="D599" t="s">
        <v>3929</v>
      </c>
      <c r="E599">
        <v>6</v>
      </c>
      <c r="F599" s="6">
        <v>750</v>
      </c>
      <c r="G599" t="s">
        <v>4647</v>
      </c>
    </row>
    <row r="600" spans="1:7">
      <c r="A600" t="s">
        <v>1563</v>
      </c>
      <c r="B600" t="s">
        <v>4657</v>
      </c>
      <c r="C600" t="s">
        <v>3679</v>
      </c>
      <c r="D600" t="s">
        <v>3680</v>
      </c>
      <c r="E600">
        <v>6</v>
      </c>
      <c r="F600" s="6">
        <v>750</v>
      </c>
      <c r="G600" t="s">
        <v>3716</v>
      </c>
    </row>
    <row r="601" spans="1:7">
      <c r="A601" t="s">
        <v>4658</v>
      </c>
      <c r="B601" t="s">
        <v>4659</v>
      </c>
      <c r="C601" t="s">
        <v>3679</v>
      </c>
      <c r="D601" t="s">
        <v>3680</v>
      </c>
      <c r="E601">
        <v>12</v>
      </c>
      <c r="F601" s="6">
        <v>750</v>
      </c>
      <c r="G601" t="s">
        <v>3730</v>
      </c>
    </row>
    <row r="602" spans="1:7">
      <c r="A602" t="s">
        <v>4660</v>
      </c>
      <c r="B602" t="s">
        <v>4661</v>
      </c>
      <c r="C602" t="s">
        <v>3928</v>
      </c>
      <c r="D602" t="s">
        <v>3929</v>
      </c>
      <c r="E602">
        <v>6</v>
      </c>
      <c r="F602" s="6">
        <v>750</v>
      </c>
      <c r="G602" t="s">
        <v>4662</v>
      </c>
    </row>
    <row r="603" spans="1:7">
      <c r="A603" t="s">
        <v>4663</v>
      </c>
      <c r="B603" t="s">
        <v>4664</v>
      </c>
      <c r="C603" t="s">
        <v>4452</v>
      </c>
      <c r="D603" t="s">
        <v>4453</v>
      </c>
      <c r="E603">
        <v>6</v>
      </c>
      <c r="F603" s="6">
        <v>750</v>
      </c>
      <c r="G603" t="s">
        <v>4662</v>
      </c>
    </row>
    <row r="604" spans="1:7">
      <c r="A604" t="s">
        <v>2156</v>
      </c>
      <c r="B604" t="s">
        <v>4665</v>
      </c>
      <c r="C604" t="s">
        <v>3679</v>
      </c>
      <c r="D604" t="s">
        <v>3680</v>
      </c>
      <c r="E604">
        <v>6</v>
      </c>
      <c r="F604" s="6">
        <v>750</v>
      </c>
      <c r="G604" t="s">
        <v>4662</v>
      </c>
    </row>
    <row r="605" spans="1:7">
      <c r="A605" t="s">
        <v>2992</v>
      </c>
      <c r="B605" t="s">
        <v>4666</v>
      </c>
      <c r="C605" t="s">
        <v>3928</v>
      </c>
      <c r="D605" t="s">
        <v>3929</v>
      </c>
      <c r="E605">
        <v>6</v>
      </c>
      <c r="F605" s="6">
        <v>1750</v>
      </c>
      <c r="G605" t="s">
        <v>4344</v>
      </c>
    </row>
    <row r="606" spans="1:7">
      <c r="A606" t="s">
        <v>4667</v>
      </c>
      <c r="B606" t="s">
        <v>4668</v>
      </c>
      <c r="C606" t="s">
        <v>3679</v>
      </c>
      <c r="D606" t="s">
        <v>3680</v>
      </c>
      <c r="E606">
        <v>6</v>
      </c>
      <c r="F606" s="6">
        <v>750</v>
      </c>
      <c r="G606" t="s">
        <v>4163</v>
      </c>
    </row>
    <row r="607" spans="1:7">
      <c r="A607" t="s">
        <v>1640</v>
      </c>
      <c r="B607" t="s">
        <v>4669</v>
      </c>
      <c r="C607" t="s">
        <v>3928</v>
      </c>
      <c r="D607" t="s">
        <v>3929</v>
      </c>
      <c r="E607">
        <v>6</v>
      </c>
      <c r="F607" s="6">
        <v>750</v>
      </c>
      <c r="G607" t="s">
        <v>4163</v>
      </c>
    </row>
    <row r="608" spans="1:7">
      <c r="A608" t="s">
        <v>4670</v>
      </c>
      <c r="B608" t="s">
        <v>4671</v>
      </c>
      <c r="C608" t="s">
        <v>4244</v>
      </c>
      <c r="D608" t="s">
        <v>4245</v>
      </c>
      <c r="E608">
        <v>6</v>
      </c>
      <c r="F608" s="6">
        <v>750</v>
      </c>
      <c r="G608" t="s">
        <v>4163</v>
      </c>
    </row>
    <row r="609" spans="1:7">
      <c r="A609" t="s">
        <v>4672</v>
      </c>
      <c r="B609" t="s">
        <v>4673</v>
      </c>
      <c r="C609" t="s">
        <v>3928</v>
      </c>
      <c r="D609" t="s">
        <v>3929</v>
      </c>
      <c r="E609">
        <v>6</v>
      </c>
      <c r="F609" s="6">
        <v>750</v>
      </c>
      <c r="G609" t="s">
        <v>4674</v>
      </c>
    </row>
    <row r="610" spans="1:7">
      <c r="A610" t="s">
        <v>4675</v>
      </c>
      <c r="B610" t="s">
        <v>4676</v>
      </c>
      <c r="C610" t="s">
        <v>3928</v>
      </c>
      <c r="D610" t="s">
        <v>3929</v>
      </c>
      <c r="E610">
        <v>12</v>
      </c>
      <c r="F610" s="6">
        <v>750</v>
      </c>
      <c r="G610" t="s">
        <v>3931</v>
      </c>
    </row>
    <row r="611" spans="1:7">
      <c r="A611" t="s">
        <v>163</v>
      </c>
      <c r="B611" t="s">
        <v>4677</v>
      </c>
      <c r="C611" t="s">
        <v>3928</v>
      </c>
      <c r="D611" t="s">
        <v>3929</v>
      </c>
      <c r="E611">
        <v>6</v>
      </c>
      <c r="F611" s="6">
        <v>750</v>
      </c>
      <c r="G611" t="s">
        <v>3951</v>
      </c>
    </row>
    <row r="612" spans="1:7">
      <c r="A612" t="s">
        <v>4678</v>
      </c>
      <c r="B612" t="s">
        <v>4677</v>
      </c>
      <c r="C612" t="s">
        <v>3808</v>
      </c>
      <c r="D612" t="s">
        <v>3809</v>
      </c>
      <c r="E612">
        <v>3</v>
      </c>
      <c r="F612" s="6">
        <v>1750</v>
      </c>
      <c r="G612" t="s">
        <v>3951</v>
      </c>
    </row>
    <row r="613" spans="1:7">
      <c r="A613" t="s">
        <v>4679</v>
      </c>
      <c r="B613" t="s">
        <v>4680</v>
      </c>
      <c r="C613" t="s">
        <v>3928</v>
      </c>
      <c r="D613" t="s">
        <v>3929</v>
      </c>
      <c r="E613">
        <v>6</v>
      </c>
      <c r="F613" s="6">
        <v>750</v>
      </c>
      <c r="G613" t="s">
        <v>3713</v>
      </c>
    </row>
    <row r="614" spans="1:7">
      <c r="A614" t="s">
        <v>4681</v>
      </c>
      <c r="B614" t="s">
        <v>4682</v>
      </c>
      <c r="C614" t="s">
        <v>3679</v>
      </c>
      <c r="D614" t="s">
        <v>3680</v>
      </c>
      <c r="E614">
        <v>6</v>
      </c>
      <c r="F614" s="6">
        <v>750</v>
      </c>
      <c r="G614" t="s">
        <v>3951</v>
      </c>
    </row>
    <row r="615" spans="1:7">
      <c r="A615" t="s">
        <v>4683</v>
      </c>
      <c r="B615" t="s">
        <v>4684</v>
      </c>
      <c r="C615" t="s">
        <v>3679</v>
      </c>
      <c r="D615" t="s">
        <v>3680</v>
      </c>
      <c r="E615">
        <v>6</v>
      </c>
      <c r="F615" s="6">
        <v>750</v>
      </c>
      <c r="G615" t="s">
        <v>3951</v>
      </c>
    </row>
    <row r="616" spans="1:7">
      <c r="A616" t="s">
        <v>4685</v>
      </c>
      <c r="B616" t="s">
        <v>4686</v>
      </c>
      <c r="C616" t="s">
        <v>3679</v>
      </c>
      <c r="D616" t="s">
        <v>3680</v>
      </c>
      <c r="E616">
        <v>6</v>
      </c>
      <c r="F616" s="6">
        <v>750</v>
      </c>
      <c r="G616" t="s">
        <v>3951</v>
      </c>
    </row>
    <row r="617" spans="1:7">
      <c r="A617" t="s">
        <v>4687</v>
      </c>
      <c r="B617" t="s">
        <v>4688</v>
      </c>
      <c r="C617" t="s">
        <v>3679</v>
      </c>
      <c r="D617" t="s">
        <v>3680</v>
      </c>
      <c r="E617">
        <v>6</v>
      </c>
      <c r="F617" s="6">
        <v>750</v>
      </c>
      <c r="G617" t="s">
        <v>3698</v>
      </c>
    </row>
    <row r="618" spans="1:7">
      <c r="A618" t="s">
        <v>4689</v>
      </c>
      <c r="B618" t="s">
        <v>4690</v>
      </c>
      <c r="C618" t="s">
        <v>3679</v>
      </c>
      <c r="D618" t="s">
        <v>3680</v>
      </c>
      <c r="E618">
        <v>6</v>
      </c>
      <c r="F618" s="6">
        <v>750</v>
      </c>
      <c r="G618" t="s">
        <v>3698</v>
      </c>
    </row>
    <row r="619" spans="1:7">
      <c r="A619" t="s">
        <v>4691</v>
      </c>
      <c r="B619" t="s">
        <v>4692</v>
      </c>
      <c r="C619" t="s">
        <v>4452</v>
      </c>
      <c r="D619" t="s">
        <v>4453</v>
      </c>
      <c r="E619">
        <v>6</v>
      </c>
      <c r="F619" s="6">
        <v>750</v>
      </c>
      <c r="G619" t="s">
        <v>3698</v>
      </c>
    </row>
    <row r="620" spans="1:7">
      <c r="A620" t="s">
        <v>3206</v>
      </c>
      <c r="B620" t="s">
        <v>4693</v>
      </c>
      <c r="C620" t="s">
        <v>3928</v>
      </c>
      <c r="D620" t="s">
        <v>3929</v>
      </c>
      <c r="E620">
        <v>6</v>
      </c>
      <c r="F620" s="6">
        <v>750</v>
      </c>
      <c r="G620" t="s">
        <v>3763</v>
      </c>
    </row>
    <row r="621" spans="1:7">
      <c r="A621" t="s">
        <v>2191</v>
      </c>
      <c r="B621" t="s">
        <v>4694</v>
      </c>
      <c r="C621" t="s">
        <v>4436</v>
      </c>
      <c r="D621" t="s">
        <v>4437</v>
      </c>
      <c r="E621">
        <v>6</v>
      </c>
      <c r="F621" s="6">
        <v>750</v>
      </c>
      <c r="G621" t="s">
        <v>3931</v>
      </c>
    </row>
    <row r="622" spans="1:7">
      <c r="A622" t="s">
        <v>88</v>
      </c>
      <c r="B622" t="s">
        <v>4695</v>
      </c>
      <c r="C622" t="s">
        <v>3928</v>
      </c>
      <c r="D622" t="s">
        <v>3929</v>
      </c>
      <c r="E622">
        <v>6</v>
      </c>
      <c r="F622" s="6">
        <v>750</v>
      </c>
      <c r="G622" t="s">
        <v>4419</v>
      </c>
    </row>
    <row r="623" spans="1:7">
      <c r="A623" t="s">
        <v>1760</v>
      </c>
      <c r="B623" t="s">
        <v>4696</v>
      </c>
      <c r="C623" t="s">
        <v>3928</v>
      </c>
      <c r="D623" t="s">
        <v>3929</v>
      </c>
      <c r="E623">
        <v>6</v>
      </c>
      <c r="F623" s="6">
        <v>1750</v>
      </c>
      <c r="G623" t="s">
        <v>3931</v>
      </c>
    </row>
    <row r="624" spans="1:7">
      <c r="A624" t="s">
        <v>2913</v>
      </c>
      <c r="B624" t="s">
        <v>4697</v>
      </c>
      <c r="C624" t="s">
        <v>3928</v>
      </c>
      <c r="D624" t="s">
        <v>3929</v>
      </c>
      <c r="E624">
        <v>12</v>
      </c>
      <c r="F624" s="6">
        <v>750</v>
      </c>
      <c r="G624" t="s">
        <v>3931</v>
      </c>
    </row>
    <row r="625" spans="1:7">
      <c r="A625" t="s">
        <v>1323</v>
      </c>
      <c r="B625" t="s">
        <v>4698</v>
      </c>
      <c r="C625" t="s">
        <v>3679</v>
      </c>
      <c r="D625" t="s">
        <v>3680</v>
      </c>
      <c r="E625">
        <v>3</v>
      </c>
      <c r="F625" s="6">
        <v>750</v>
      </c>
      <c r="G625" t="s">
        <v>3931</v>
      </c>
    </row>
    <row r="626" spans="1:7">
      <c r="A626" t="s">
        <v>4699</v>
      </c>
      <c r="B626" t="s">
        <v>4698</v>
      </c>
      <c r="C626" t="s">
        <v>3679</v>
      </c>
      <c r="D626" t="s">
        <v>3680</v>
      </c>
      <c r="E626">
        <v>6</v>
      </c>
      <c r="F626" s="6">
        <v>750</v>
      </c>
      <c r="G626" t="s">
        <v>3931</v>
      </c>
    </row>
    <row r="627" spans="1:7">
      <c r="A627" t="s">
        <v>4700</v>
      </c>
      <c r="B627" t="s">
        <v>4701</v>
      </c>
      <c r="C627" t="s">
        <v>3928</v>
      </c>
      <c r="D627" t="s">
        <v>3929</v>
      </c>
      <c r="E627">
        <v>6</v>
      </c>
      <c r="F627" s="6">
        <v>1750</v>
      </c>
      <c r="G627" t="s">
        <v>3681</v>
      </c>
    </row>
    <row r="628" spans="1:7">
      <c r="A628" t="s">
        <v>4702</v>
      </c>
      <c r="B628" t="s">
        <v>4703</v>
      </c>
      <c r="C628" t="s">
        <v>3928</v>
      </c>
      <c r="D628" t="s">
        <v>3929</v>
      </c>
      <c r="E628">
        <v>6</v>
      </c>
      <c r="F628" s="6">
        <v>750</v>
      </c>
      <c r="G628" t="s">
        <v>3681</v>
      </c>
    </row>
    <row r="629" spans="1:7">
      <c r="A629" t="s">
        <v>4704</v>
      </c>
      <c r="B629" t="s">
        <v>4705</v>
      </c>
      <c r="C629" t="s">
        <v>3679</v>
      </c>
      <c r="D629" t="s">
        <v>3680</v>
      </c>
      <c r="E629">
        <v>6</v>
      </c>
      <c r="F629" s="6">
        <v>750</v>
      </c>
      <c r="G629" t="s">
        <v>3681</v>
      </c>
    </row>
    <row r="630" spans="1:7">
      <c r="A630" t="s">
        <v>4706</v>
      </c>
      <c r="B630" t="s">
        <v>4707</v>
      </c>
      <c r="C630" t="s">
        <v>3928</v>
      </c>
      <c r="D630" t="s">
        <v>3929</v>
      </c>
      <c r="E630">
        <v>6</v>
      </c>
      <c r="F630" s="6">
        <v>750</v>
      </c>
      <c r="G630" t="s">
        <v>4708</v>
      </c>
    </row>
    <row r="631" spans="1:7">
      <c r="A631" t="s">
        <v>4709</v>
      </c>
      <c r="B631" t="s">
        <v>4710</v>
      </c>
      <c r="C631" t="s">
        <v>3928</v>
      </c>
      <c r="D631" t="s">
        <v>3929</v>
      </c>
      <c r="E631">
        <v>6</v>
      </c>
      <c r="F631" s="6">
        <v>750</v>
      </c>
      <c r="G631" t="s">
        <v>3681</v>
      </c>
    </row>
    <row r="632" spans="1:7">
      <c r="A632" t="s">
        <v>265</v>
      </c>
      <c r="B632" t="s">
        <v>4711</v>
      </c>
      <c r="C632" t="s">
        <v>3928</v>
      </c>
      <c r="D632" t="s">
        <v>3929</v>
      </c>
      <c r="E632">
        <v>6</v>
      </c>
      <c r="F632" s="6">
        <v>750</v>
      </c>
      <c r="G632" t="s">
        <v>3681</v>
      </c>
    </row>
    <row r="633" spans="1:7">
      <c r="A633" t="s">
        <v>1673</v>
      </c>
      <c r="B633" t="s">
        <v>4712</v>
      </c>
      <c r="C633" t="s">
        <v>3928</v>
      </c>
      <c r="D633" t="s">
        <v>3929</v>
      </c>
      <c r="E633">
        <v>6</v>
      </c>
      <c r="F633" s="6">
        <v>750</v>
      </c>
      <c r="G633" t="s">
        <v>3681</v>
      </c>
    </row>
    <row r="634" spans="1:7">
      <c r="A634" t="s">
        <v>1334</v>
      </c>
      <c r="B634" t="s">
        <v>4713</v>
      </c>
      <c r="C634" t="s">
        <v>3928</v>
      </c>
      <c r="D634" t="s">
        <v>3929</v>
      </c>
      <c r="E634">
        <v>6</v>
      </c>
      <c r="F634" s="6">
        <v>750</v>
      </c>
      <c r="G634" t="s">
        <v>3681</v>
      </c>
    </row>
    <row r="635" spans="1:7">
      <c r="A635" t="s">
        <v>182</v>
      </c>
      <c r="B635" t="s">
        <v>4714</v>
      </c>
      <c r="C635" t="s">
        <v>3928</v>
      </c>
      <c r="D635" t="s">
        <v>3929</v>
      </c>
      <c r="E635">
        <v>12</v>
      </c>
      <c r="F635" s="6">
        <v>50</v>
      </c>
      <c r="G635" t="s">
        <v>3716</v>
      </c>
    </row>
    <row r="636" spans="1:7">
      <c r="A636" t="s">
        <v>1817</v>
      </c>
      <c r="B636" t="s">
        <v>4715</v>
      </c>
      <c r="C636" t="s">
        <v>3928</v>
      </c>
      <c r="D636" t="s">
        <v>3929</v>
      </c>
      <c r="E636">
        <v>12</v>
      </c>
      <c r="F636" s="6">
        <v>750</v>
      </c>
      <c r="G636" t="s">
        <v>3716</v>
      </c>
    </row>
    <row r="637" spans="1:7">
      <c r="A637" t="s">
        <v>994</v>
      </c>
      <c r="B637" t="s">
        <v>4715</v>
      </c>
      <c r="C637" t="s">
        <v>3928</v>
      </c>
      <c r="D637" t="s">
        <v>3929</v>
      </c>
      <c r="E637">
        <v>6</v>
      </c>
      <c r="F637" s="6">
        <v>1750</v>
      </c>
      <c r="G637" t="s">
        <v>3716</v>
      </c>
    </row>
    <row r="638" spans="1:7">
      <c r="A638" t="s">
        <v>4716</v>
      </c>
      <c r="B638" t="s">
        <v>4717</v>
      </c>
      <c r="C638" t="s">
        <v>3928</v>
      </c>
      <c r="D638" t="s">
        <v>3929</v>
      </c>
      <c r="E638">
        <v>6</v>
      </c>
      <c r="F638" s="6">
        <v>750</v>
      </c>
      <c r="G638" t="s">
        <v>3681</v>
      </c>
    </row>
    <row r="639" spans="1:7">
      <c r="A639" t="s">
        <v>4718</v>
      </c>
      <c r="B639" t="s">
        <v>4719</v>
      </c>
      <c r="C639" t="s">
        <v>3928</v>
      </c>
      <c r="D639" t="s">
        <v>3929</v>
      </c>
      <c r="E639">
        <v>12</v>
      </c>
      <c r="F639" s="6">
        <v>750</v>
      </c>
      <c r="G639" t="s">
        <v>3716</v>
      </c>
    </row>
    <row r="640" spans="1:7">
      <c r="A640" t="s">
        <v>2380</v>
      </c>
      <c r="B640" t="s">
        <v>4720</v>
      </c>
      <c r="C640" t="s">
        <v>3928</v>
      </c>
      <c r="D640" t="s">
        <v>3929</v>
      </c>
      <c r="E640">
        <v>12</v>
      </c>
      <c r="F640" s="6">
        <v>50</v>
      </c>
      <c r="G640" t="s">
        <v>3716</v>
      </c>
    </row>
    <row r="641" spans="1:7">
      <c r="A641" t="s">
        <v>1406</v>
      </c>
      <c r="B641" t="s">
        <v>4721</v>
      </c>
      <c r="C641" t="s">
        <v>3928</v>
      </c>
      <c r="D641" t="s">
        <v>3929</v>
      </c>
      <c r="E641">
        <v>48</v>
      </c>
      <c r="F641" s="6">
        <v>100</v>
      </c>
      <c r="G641" t="s">
        <v>3716</v>
      </c>
    </row>
    <row r="642" spans="1:7">
      <c r="A642" t="s">
        <v>196</v>
      </c>
      <c r="B642" t="s">
        <v>4721</v>
      </c>
      <c r="C642" t="s">
        <v>3928</v>
      </c>
      <c r="D642" t="s">
        <v>3929</v>
      </c>
      <c r="E642">
        <v>48</v>
      </c>
      <c r="F642" s="6">
        <v>200</v>
      </c>
      <c r="G642" t="s">
        <v>3716</v>
      </c>
    </row>
    <row r="643" spans="1:7">
      <c r="A643" t="s">
        <v>2354</v>
      </c>
      <c r="B643" t="s">
        <v>4721</v>
      </c>
      <c r="C643" t="s">
        <v>3928</v>
      </c>
      <c r="D643" t="s">
        <v>3929</v>
      </c>
      <c r="E643">
        <v>24</v>
      </c>
      <c r="F643" s="6">
        <v>375</v>
      </c>
      <c r="G643" t="s">
        <v>3716</v>
      </c>
    </row>
    <row r="644" spans="1:7">
      <c r="A644" t="s">
        <v>4722</v>
      </c>
      <c r="B644" t="s">
        <v>4723</v>
      </c>
      <c r="C644" t="s">
        <v>3928</v>
      </c>
      <c r="D644" t="s">
        <v>3929</v>
      </c>
      <c r="E644">
        <v>6</v>
      </c>
      <c r="F644" s="6">
        <v>750</v>
      </c>
      <c r="G644" t="s">
        <v>3681</v>
      </c>
    </row>
    <row r="645" spans="1:7">
      <c r="A645" t="s">
        <v>651</v>
      </c>
      <c r="B645" t="s">
        <v>4721</v>
      </c>
      <c r="C645" t="s">
        <v>3928</v>
      </c>
      <c r="D645" t="s">
        <v>3929</v>
      </c>
      <c r="E645">
        <v>12</v>
      </c>
      <c r="F645" s="6">
        <v>750</v>
      </c>
      <c r="G645" t="s">
        <v>3716</v>
      </c>
    </row>
    <row r="646" spans="1:7">
      <c r="A646" t="s">
        <v>3311</v>
      </c>
      <c r="B646" t="s">
        <v>4721</v>
      </c>
      <c r="C646" t="s">
        <v>3928</v>
      </c>
      <c r="D646" t="s">
        <v>3929</v>
      </c>
      <c r="E646">
        <v>12</v>
      </c>
      <c r="F646" s="6">
        <v>1000</v>
      </c>
      <c r="G646" t="s">
        <v>3716</v>
      </c>
    </row>
    <row r="647" spans="1:7">
      <c r="A647" t="s">
        <v>1468</v>
      </c>
      <c r="B647" t="s">
        <v>4721</v>
      </c>
      <c r="C647" t="s">
        <v>3928</v>
      </c>
      <c r="D647" t="s">
        <v>3929</v>
      </c>
      <c r="E647">
        <v>6</v>
      </c>
      <c r="F647" s="6">
        <v>1750</v>
      </c>
      <c r="G647" t="s">
        <v>3716</v>
      </c>
    </row>
    <row r="648" spans="1:7">
      <c r="A648" t="s">
        <v>207</v>
      </c>
      <c r="B648" t="s">
        <v>4724</v>
      </c>
      <c r="C648" t="s">
        <v>3928</v>
      </c>
      <c r="D648" t="s">
        <v>3929</v>
      </c>
      <c r="E648">
        <v>6</v>
      </c>
      <c r="F648" s="6">
        <v>1750</v>
      </c>
      <c r="G648" t="s">
        <v>3716</v>
      </c>
    </row>
    <row r="649" spans="1:7">
      <c r="A649" t="s">
        <v>2397</v>
      </c>
      <c r="B649" t="s">
        <v>4724</v>
      </c>
      <c r="C649" t="s">
        <v>3928</v>
      </c>
      <c r="D649" t="s">
        <v>3929</v>
      </c>
      <c r="E649">
        <v>12</v>
      </c>
      <c r="F649" s="6">
        <v>750</v>
      </c>
      <c r="G649" t="s">
        <v>3716</v>
      </c>
    </row>
    <row r="650" spans="1:7">
      <c r="A650" t="s">
        <v>4725</v>
      </c>
      <c r="B650" t="s">
        <v>4726</v>
      </c>
      <c r="C650" t="s">
        <v>3679</v>
      </c>
      <c r="D650" t="s">
        <v>3680</v>
      </c>
      <c r="E650">
        <v>12</v>
      </c>
      <c r="F650" s="6">
        <v>750</v>
      </c>
      <c r="G650" t="s">
        <v>3716</v>
      </c>
    </row>
    <row r="651" spans="1:7">
      <c r="A651" t="s">
        <v>747</v>
      </c>
      <c r="B651" t="s">
        <v>4727</v>
      </c>
      <c r="C651" t="s">
        <v>3928</v>
      </c>
      <c r="D651" t="s">
        <v>3929</v>
      </c>
      <c r="E651">
        <v>12</v>
      </c>
      <c r="F651" s="6">
        <v>750</v>
      </c>
      <c r="G651" t="s">
        <v>3716</v>
      </c>
    </row>
    <row r="652" spans="1:7">
      <c r="A652" t="s">
        <v>4728</v>
      </c>
      <c r="B652" t="s">
        <v>4729</v>
      </c>
      <c r="C652" t="s">
        <v>4452</v>
      </c>
      <c r="D652" t="s">
        <v>4453</v>
      </c>
      <c r="E652">
        <v>6</v>
      </c>
      <c r="F652" s="6">
        <v>750</v>
      </c>
      <c r="G652" t="s">
        <v>3716</v>
      </c>
    </row>
    <row r="653" spans="1:7">
      <c r="A653" t="s">
        <v>4730</v>
      </c>
      <c r="B653" t="s">
        <v>4731</v>
      </c>
      <c r="C653" t="s">
        <v>3928</v>
      </c>
      <c r="D653" t="s">
        <v>3929</v>
      </c>
      <c r="E653">
        <v>12</v>
      </c>
      <c r="F653" s="6">
        <v>750</v>
      </c>
      <c r="G653" t="s">
        <v>3686</v>
      </c>
    </row>
    <row r="654" spans="1:7">
      <c r="A654" t="s">
        <v>4732</v>
      </c>
      <c r="B654" t="s">
        <v>4733</v>
      </c>
      <c r="C654" t="s">
        <v>3928</v>
      </c>
      <c r="D654" t="s">
        <v>3929</v>
      </c>
      <c r="E654">
        <v>6</v>
      </c>
      <c r="F654" s="6">
        <v>750</v>
      </c>
      <c r="G654" t="s">
        <v>4734</v>
      </c>
    </row>
    <row r="655" spans="1:7">
      <c r="A655" t="s">
        <v>4735</v>
      </c>
      <c r="B655" t="s">
        <v>4736</v>
      </c>
      <c r="C655" t="s">
        <v>3928</v>
      </c>
      <c r="D655" t="s">
        <v>3929</v>
      </c>
      <c r="E655">
        <v>12</v>
      </c>
      <c r="F655" s="6">
        <v>375</v>
      </c>
      <c r="G655" t="s">
        <v>3716</v>
      </c>
    </row>
    <row r="656" spans="1:7">
      <c r="A656" t="s">
        <v>3257</v>
      </c>
      <c r="B656" t="s">
        <v>4736</v>
      </c>
      <c r="C656" t="s">
        <v>3928</v>
      </c>
      <c r="D656" t="s">
        <v>3929</v>
      </c>
      <c r="E656">
        <v>6</v>
      </c>
      <c r="F656" s="6">
        <v>750</v>
      </c>
      <c r="G656" t="s">
        <v>3716</v>
      </c>
    </row>
    <row r="657" spans="1:7">
      <c r="A657" t="s">
        <v>995</v>
      </c>
      <c r="B657" t="s">
        <v>4736</v>
      </c>
      <c r="C657" t="s">
        <v>3928</v>
      </c>
      <c r="D657" t="s">
        <v>3929</v>
      </c>
      <c r="E657">
        <v>6</v>
      </c>
      <c r="F657" s="6">
        <v>1000</v>
      </c>
      <c r="G657" t="s">
        <v>3716</v>
      </c>
    </row>
    <row r="658" spans="1:7">
      <c r="A658" t="s">
        <v>1796</v>
      </c>
      <c r="B658" t="s">
        <v>4736</v>
      </c>
      <c r="C658" t="s">
        <v>3928</v>
      </c>
      <c r="D658" t="s">
        <v>3929</v>
      </c>
      <c r="E658">
        <v>6</v>
      </c>
      <c r="F658" s="6">
        <v>1750</v>
      </c>
      <c r="G658" t="s">
        <v>3716</v>
      </c>
    </row>
    <row r="659" spans="1:7">
      <c r="A659" t="s">
        <v>3586</v>
      </c>
      <c r="B659" t="s">
        <v>4737</v>
      </c>
      <c r="C659" t="s">
        <v>4452</v>
      </c>
      <c r="D659" t="s">
        <v>4453</v>
      </c>
      <c r="E659">
        <v>6</v>
      </c>
      <c r="F659" s="6">
        <v>750</v>
      </c>
      <c r="G659" t="s">
        <v>3716</v>
      </c>
    </row>
    <row r="660" spans="1:7">
      <c r="A660" t="s">
        <v>4738</v>
      </c>
      <c r="B660" t="s">
        <v>4739</v>
      </c>
      <c r="C660" t="s">
        <v>3679</v>
      </c>
      <c r="D660" t="s">
        <v>3680</v>
      </c>
      <c r="E660">
        <v>6</v>
      </c>
      <c r="F660" s="6">
        <v>750</v>
      </c>
      <c r="G660" t="s">
        <v>3716</v>
      </c>
    </row>
    <row r="661" spans="1:7">
      <c r="A661" t="s">
        <v>4740</v>
      </c>
      <c r="B661" t="s">
        <v>4741</v>
      </c>
      <c r="C661" t="s">
        <v>3679</v>
      </c>
      <c r="D661" t="s">
        <v>3680</v>
      </c>
      <c r="E661">
        <v>6</v>
      </c>
      <c r="F661" s="6">
        <v>750</v>
      </c>
      <c r="G661" t="s">
        <v>3716</v>
      </c>
    </row>
    <row r="662" spans="1:7">
      <c r="A662" t="s">
        <v>4742</v>
      </c>
      <c r="B662" t="s">
        <v>4743</v>
      </c>
      <c r="C662" t="s">
        <v>3928</v>
      </c>
      <c r="D662" t="s">
        <v>3929</v>
      </c>
      <c r="E662">
        <v>6</v>
      </c>
      <c r="F662" s="6">
        <v>750</v>
      </c>
      <c r="G662" t="s">
        <v>4744</v>
      </c>
    </row>
    <row r="663" spans="1:7">
      <c r="A663" t="s">
        <v>4745</v>
      </c>
      <c r="B663" t="s">
        <v>4746</v>
      </c>
      <c r="C663" t="s">
        <v>3808</v>
      </c>
      <c r="D663" t="s">
        <v>3809</v>
      </c>
      <c r="E663">
        <v>6</v>
      </c>
      <c r="F663" s="6">
        <v>750</v>
      </c>
      <c r="G663" t="s">
        <v>4744</v>
      </c>
    </row>
    <row r="664" spans="1:7">
      <c r="A664" t="s">
        <v>3218</v>
      </c>
      <c r="B664" t="s">
        <v>4747</v>
      </c>
      <c r="C664" t="s">
        <v>3679</v>
      </c>
      <c r="D664" t="s">
        <v>3680</v>
      </c>
      <c r="E664">
        <v>6</v>
      </c>
      <c r="F664" s="6">
        <v>750</v>
      </c>
      <c r="G664" t="s">
        <v>4744</v>
      </c>
    </row>
    <row r="665" spans="1:7">
      <c r="A665" t="s">
        <v>4748</v>
      </c>
      <c r="B665" t="s">
        <v>4749</v>
      </c>
      <c r="C665" t="s">
        <v>3679</v>
      </c>
      <c r="D665" t="s">
        <v>3680</v>
      </c>
      <c r="E665">
        <v>6</v>
      </c>
      <c r="F665" s="6">
        <v>750</v>
      </c>
      <c r="G665" t="s">
        <v>4744</v>
      </c>
    </row>
    <row r="666" spans="1:7">
      <c r="A666" t="s">
        <v>338</v>
      </c>
      <c r="B666" t="s">
        <v>4750</v>
      </c>
      <c r="C666" t="s">
        <v>3928</v>
      </c>
      <c r="D666" t="s">
        <v>3929</v>
      </c>
      <c r="E666">
        <v>12</v>
      </c>
      <c r="F666" s="6">
        <v>750</v>
      </c>
      <c r="G666" t="s">
        <v>4751</v>
      </c>
    </row>
    <row r="667" spans="1:7">
      <c r="A667" t="s">
        <v>4752</v>
      </c>
      <c r="B667" t="s">
        <v>4753</v>
      </c>
      <c r="C667" t="s">
        <v>3928</v>
      </c>
      <c r="D667" t="s">
        <v>3929</v>
      </c>
      <c r="E667">
        <v>6</v>
      </c>
      <c r="F667" s="6">
        <v>750</v>
      </c>
      <c r="G667" t="s">
        <v>4754</v>
      </c>
    </row>
    <row r="668" spans="1:7">
      <c r="A668" t="s">
        <v>4755</v>
      </c>
      <c r="B668" t="s">
        <v>4756</v>
      </c>
      <c r="C668" t="s">
        <v>3928</v>
      </c>
      <c r="D668" t="s">
        <v>3929</v>
      </c>
      <c r="E668">
        <v>6</v>
      </c>
      <c r="F668" s="6">
        <v>750</v>
      </c>
      <c r="G668" t="s">
        <v>4754</v>
      </c>
    </row>
    <row r="669" spans="1:7">
      <c r="A669" t="s">
        <v>4757</v>
      </c>
      <c r="B669" t="s">
        <v>4758</v>
      </c>
      <c r="C669" t="s">
        <v>3679</v>
      </c>
      <c r="D669" t="s">
        <v>3680</v>
      </c>
      <c r="E669">
        <v>6</v>
      </c>
      <c r="F669" s="6">
        <v>750</v>
      </c>
      <c r="G669" t="s">
        <v>4163</v>
      </c>
    </row>
    <row r="670" spans="1:7">
      <c r="A670" t="s">
        <v>4759</v>
      </c>
      <c r="B670" t="s">
        <v>4760</v>
      </c>
      <c r="C670" t="s">
        <v>3928</v>
      </c>
      <c r="D670" t="s">
        <v>3929</v>
      </c>
      <c r="E670">
        <v>12</v>
      </c>
      <c r="F670" s="6">
        <v>750</v>
      </c>
      <c r="G670" t="s">
        <v>3686</v>
      </c>
    </row>
    <row r="671" spans="1:7">
      <c r="A671" t="s">
        <v>1279</v>
      </c>
      <c r="B671" t="s">
        <v>4761</v>
      </c>
      <c r="C671" t="s">
        <v>3928</v>
      </c>
      <c r="D671" t="s">
        <v>3929</v>
      </c>
      <c r="E671">
        <v>10</v>
      </c>
      <c r="F671" s="6">
        <v>50</v>
      </c>
      <c r="G671" t="s">
        <v>3716</v>
      </c>
    </row>
    <row r="672" spans="1:7">
      <c r="A672" t="s">
        <v>3500</v>
      </c>
      <c r="B672" t="s">
        <v>4762</v>
      </c>
      <c r="C672" t="s">
        <v>3928</v>
      </c>
      <c r="D672" t="s">
        <v>3929</v>
      </c>
      <c r="E672">
        <v>12</v>
      </c>
      <c r="F672" s="6">
        <v>375</v>
      </c>
      <c r="G672" t="s">
        <v>3716</v>
      </c>
    </row>
    <row r="673" spans="1:7">
      <c r="A673" t="s">
        <v>172</v>
      </c>
      <c r="B673" t="s">
        <v>4763</v>
      </c>
      <c r="C673" t="s">
        <v>3928</v>
      </c>
      <c r="D673" t="s">
        <v>3929</v>
      </c>
      <c r="E673">
        <v>12</v>
      </c>
      <c r="F673" s="6">
        <v>750</v>
      </c>
      <c r="G673" t="s">
        <v>3716</v>
      </c>
    </row>
    <row r="674" spans="1:7">
      <c r="A674" t="s">
        <v>1104</v>
      </c>
      <c r="B674" t="s">
        <v>4763</v>
      </c>
      <c r="C674" t="s">
        <v>3928</v>
      </c>
      <c r="D674" t="s">
        <v>3929</v>
      </c>
      <c r="E674">
        <v>12</v>
      </c>
      <c r="F674" s="6">
        <v>1000</v>
      </c>
      <c r="G674" t="s">
        <v>3716</v>
      </c>
    </row>
    <row r="675" spans="1:7">
      <c r="A675" t="s">
        <v>703</v>
      </c>
      <c r="B675" t="s">
        <v>4763</v>
      </c>
      <c r="C675" t="s">
        <v>3928</v>
      </c>
      <c r="D675" t="s">
        <v>3929</v>
      </c>
      <c r="E675">
        <v>6</v>
      </c>
      <c r="F675" s="6">
        <v>1750</v>
      </c>
      <c r="G675" t="s">
        <v>3716</v>
      </c>
    </row>
    <row r="676" spans="1:7">
      <c r="A676" t="s">
        <v>1477</v>
      </c>
      <c r="B676" t="s">
        <v>4764</v>
      </c>
      <c r="C676" t="s">
        <v>3928</v>
      </c>
      <c r="D676" t="s">
        <v>3929</v>
      </c>
      <c r="E676">
        <v>6</v>
      </c>
      <c r="F676" s="6">
        <v>750</v>
      </c>
      <c r="G676" t="s">
        <v>3716</v>
      </c>
    </row>
    <row r="677" spans="1:7">
      <c r="A677" t="s">
        <v>1805</v>
      </c>
      <c r="B677" t="s">
        <v>4765</v>
      </c>
      <c r="C677" t="s">
        <v>3928</v>
      </c>
      <c r="D677" t="s">
        <v>3929</v>
      </c>
      <c r="E677">
        <v>6</v>
      </c>
      <c r="F677" s="6">
        <v>750</v>
      </c>
      <c r="G677" t="s">
        <v>3716</v>
      </c>
    </row>
    <row r="678" spans="1:7">
      <c r="A678" t="s">
        <v>4766</v>
      </c>
      <c r="B678" t="s">
        <v>4767</v>
      </c>
      <c r="C678" t="s">
        <v>3679</v>
      </c>
      <c r="D678" t="s">
        <v>3680</v>
      </c>
      <c r="E678">
        <v>6</v>
      </c>
      <c r="F678" s="6">
        <v>750</v>
      </c>
      <c r="G678" t="s">
        <v>3716</v>
      </c>
    </row>
    <row r="679" spans="1:7">
      <c r="A679" t="s">
        <v>239</v>
      </c>
      <c r="B679" t="s">
        <v>4768</v>
      </c>
      <c r="C679" t="s">
        <v>3928</v>
      </c>
      <c r="D679" t="s">
        <v>3929</v>
      </c>
      <c r="E679">
        <v>6</v>
      </c>
      <c r="F679" s="6">
        <v>750</v>
      </c>
      <c r="G679" t="s">
        <v>3716</v>
      </c>
    </row>
    <row r="680" spans="1:7">
      <c r="A680" t="s">
        <v>4769</v>
      </c>
      <c r="B680" t="s">
        <v>4770</v>
      </c>
      <c r="C680" t="s">
        <v>3928</v>
      </c>
      <c r="D680" t="s">
        <v>3929</v>
      </c>
      <c r="E680">
        <v>6</v>
      </c>
      <c r="F680" s="6">
        <v>750</v>
      </c>
      <c r="G680" t="s">
        <v>3716</v>
      </c>
    </row>
    <row r="681" spans="1:7">
      <c r="A681" t="s">
        <v>4771</v>
      </c>
      <c r="B681" t="s">
        <v>4772</v>
      </c>
      <c r="C681" t="s">
        <v>3928</v>
      </c>
      <c r="D681" t="s">
        <v>3929</v>
      </c>
      <c r="E681">
        <v>6</v>
      </c>
      <c r="F681" s="6">
        <v>750</v>
      </c>
      <c r="G681" t="s">
        <v>3716</v>
      </c>
    </row>
    <row r="682" spans="1:7">
      <c r="A682" t="s">
        <v>4773</v>
      </c>
      <c r="B682" t="s">
        <v>4774</v>
      </c>
      <c r="C682" t="s">
        <v>3679</v>
      </c>
      <c r="D682" t="s">
        <v>3680</v>
      </c>
      <c r="E682">
        <v>6</v>
      </c>
      <c r="F682" s="6">
        <v>750</v>
      </c>
      <c r="G682" t="s">
        <v>3716</v>
      </c>
    </row>
    <row r="683" spans="1:7">
      <c r="A683" t="s">
        <v>4775</v>
      </c>
      <c r="B683" t="s">
        <v>4776</v>
      </c>
      <c r="C683" t="s">
        <v>3679</v>
      </c>
      <c r="D683" t="s">
        <v>3680</v>
      </c>
      <c r="E683">
        <v>12</v>
      </c>
      <c r="F683" s="6">
        <v>750</v>
      </c>
      <c r="G683" t="s">
        <v>3716</v>
      </c>
    </row>
    <row r="684" spans="1:7">
      <c r="A684" t="s">
        <v>4777</v>
      </c>
      <c r="B684" t="s">
        <v>4778</v>
      </c>
      <c r="C684" t="s">
        <v>3928</v>
      </c>
      <c r="D684" t="s">
        <v>3929</v>
      </c>
      <c r="E684">
        <v>6</v>
      </c>
      <c r="F684" s="6">
        <v>750</v>
      </c>
      <c r="G684" t="s">
        <v>4779</v>
      </c>
    </row>
    <row r="685" spans="1:7">
      <c r="A685" t="s">
        <v>1290</v>
      </c>
      <c r="B685" t="s">
        <v>4780</v>
      </c>
      <c r="C685" t="s">
        <v>3928</v>
      </c>
      <c r="D685" t="s">
        <v>3929</v>
      </c>
      <c r="E685">
        <v>6</v>
      </c>
      <c r="F685" s="6">
        <v>750</v>
      </c>
      <c r="G685" t="s">
        <v>4781</v>
      </c>
    </row>
    <row r="686" spans="1:7">
      <c r="A686" t="s">
        <v>4782</v>
      </c>
      <c r="B686" t="s">
        <v>4783</v>
      </c>
      <c r="C686" t="s">
        <v>3928</v>
      </c>
      <c r="D686" t="s">
        <v>3929</v>
      </c>
      <c r="E686">
        <v>6</v>
      </c>
      <c r="F686" s="6">
        <v>750</v>
      </c>
      <c r="G686" t="s">
        <v>4784</v>
      </c>
    </row>
    <row r="687" spans="1:7">
      <c r="A687" t="s">
        <v>4785</v>
      </c>
      <c r="B687" t="s">
        <v>4786</v>
      </c>
      <c r="C687" t="s">
        <v>3928</v>
      </c>
      <c r="D687" t="s">
        <v>3929</v>
      </c>
      <c r="E687">
        <v>6</v>
      </c>
      <c r="F687" s="6">
        <v>750</v>
      </c>
      <c r="G687" t="s">
        <v>3951</v>
      </c>
    </row>
    <row r="688" spans="1:7">
      <c r="A688" t="s">
        <v>4787</v>
      </c>
      <c r="B688" t="s">
        <v>4788</v>
      </c>
      <c r="C688" t="s">
        <v>3928</v>
      </c>
      <c r="D688" t="s">
        <v>3929</v>
      </c>
      <c r="E688">
        <v>6</v>
      </c>
      <c r="F688" s="6">
        <v>750</v>
      </c>
      <c r="G688" t="s">
        <v>3951</v>
      </c>
    </row>
    <row r="689" spans="1:7">
      <c r="A689" t="s">
        <v>4789</v>
      </c>
      <c r="B689" t="s">
        <v>4790</v>
      </c>
      <c r="C689" t="s">
        <v>3928</v>
      </c>
      <c r="D689" t="s">
        <v>3929</v>
      </c>
      <c r="E689">
        <v>6</v>
      </c>
      <c r="F689" s="6">
        <v>750</v>
      </c>
      <c r="G689" t="s">
        <v>3951</v>
      </c>
    </row>
    <row r="690" spans="1:7">
      <c r="A690" t="s">
        <v>4791</v>
      </c>
      <c r="B690" t="s">
        <v>4792</v>
      </c>
      <c r="C690" t="s">
        <v>3928</v>
      </c>
      <c r="D690" t="s">
        <v>3929</v>
      </c>
      <c r="E690">
        <v>6</v>
      </c>
      <c r="F690" s="6">
        <v>750</v>
      </c>
      <c r="G690" t="s">
        <v>3686</v>
      </c>
    </row>
    <row r="691" spans="1:7">
      <c r="A691" t="s">
        <v>554</v>
      </c>
      <c r="B691" t="s">
        <v>4793</v>
      </c>
      <c r="C691" t="s">
        <v>3928</v>
      </c>
      <c r="D691" t="s">
        <v>3929</v>
      </c>
      <c r="E691">
        <v>12</v>
      </c>
      <c r="F691" s="6">
        <v>750</v>
      </c>
      <c r="G691" t="s">
        <v>3716</v>
      </c>
    </row>
    <row r="692" spans="1:7">
      <c r="A692" t="s">
        <v>4794</v>
      </c>
      <c r="B692" t="s">
        <v>4795</v>
      </c>
      <c r="C692" t="s">
        <v>3928</v>
      </c>
      <c r="D692" t="s">
        <v>3929</v>
      </c>
      <c r="E692">
        <v>12</v>
      </c>
      <c r="F692" s="6">
        <v>750</v>
      </c>
      <c r="G692" t="s">
        <v>4796</v>
      </c>
    </row>
    <row r="693" spans="1:7">
      <c r="A693" t="s">
        <v>4797</v>
      </c>
      <c r="B693" t="s">
        <v>4798</v>
      </c>
      <c r="C693" t="s">
        <v>3679</v>
      </c>
      <c r="D693" t="s">
        <v>3680</v>
      </c>
      <c r="E693">
        <v>12</v>
      </c>
      <c r="F693" s="6">
        <v>750</v>
      </c>
      <c r="G693" t="s">
        <v>3686</v>
      </c>
    </row>
    <row r="694" spans="1:7">
      <c r="A694" t="s">
        <v>4799</v>
      </c>
      <c r="B694" t="s">
        <v>4800</v>
      </c>
      <c r="C694" t="s">
        <v>3679</v>
      </c>
      <c r="D694" t="s">
        <v>3680</v>
      </c>
      <c r="E694">
        <v>12</v>
      </c>
      <c r="F694" s="6">
        <v>750</v>
      </c>
      <c r="G694" t="s">
        <v>3686</v>
      </c>
    </row>
    <row r="695" spans="1:7">
      <c r="A695" t="s">
        <v>4801</v>
      </c>
      <c r="B695" t="s">
        <v>4800</v>
      </c>
      <c r="C695" t="s">
        <v>3679</v>
      </c>
      <c r="D695" t="s">
        <v>3680</v>
      </c>
      <c r="E695">
        <v>6</v>
      </c>
      <c r="F695" s="6">
        <v>1750</v>
      </c>
      <c r="G695" t="s">
        <v>3686</v>
      </c>
    </row>
    <row r="696" spans="1:7">
      <c r="A696" t="s">
        <v>3342</v>
      </c>
      <c r="B696" t="s">
        <v>4802</v>
      </c>
      <c r="C696" t="s">
        <v>3928</v>
      </c>
      <c r="D696" t="s">
        <v>3929</v>
      </c>
      <c r="E696">
        <v>12</v>
      </c>
      <c r="F696" s="6">
        <v>750</v>
      </c>
      <c r="G696" t="s">
        <v>3716</v>
      </c>
    </row>
    <row r="697" spans="1:7">
      <c r="A697" t="s">
        <v>881</v>
      </c>
      <c r="B697" t="s">
        <v>4802</v>
      </c>
      <c r="C697" t="s">
        <v>3928</v>
      </c>
      <c r="D697" t="s">
        <v>3929</v>
      </c>
      <c r="E697">
        <v>12</v>
      </c>
      <c r="F697" s="6">
        <v>1000</v>
      </c>
      <c r="G697" t="s">
        <v>3716</v>
      </c>
    </row>
    <row r="698" spans="1:7">
      <c r="A698" t="s">
        <v>1731</v>
      </c>
      <c r="B698" t="s">
        <v>4802</v>
      </c>
      <c r="C698" t="s">
        <v>3928</v>
      </c>
      <c r="D698" t="s">
        <v>3929</v>
      </c>
      <c r="E698">
        <v>6</v>
      </c>
      <c r="F698" s="6">
        <v>1750</v>
      </c>
      <c r="G698" t="s">
        <v>3716</v>
      </c>
    </row>
    <row r="699" spans="1:7">
      <c r="A699" t="s">
        <v>4803</v>
      </c>
      <c r="B699" t="s">
        <v>4804</v>
      </c>
      <c r="C699" t="s">
        <v>3928</v>
      </c>
      <c r="D699" t="s">
        <v>3929</v>
      </c>
      <c r="E699">
        <v>12</v>
      </c>
      <c r="F699" s="6">
        <v>750</v>
      </c>
      <c r="G699" t="s">
        <v>3716</v>
      </c>
    </row>
    <row r="700" spans="1:7">
      <c r="A700" t="s">
        <v>4805</v>
      </c>
      <c r="B700" t="s">
        <v>4806</v>
      </c>
      <c r="C700" t="s">
        <v>3928</v>
      </c>
      <c r="D700" t="s">
        <v>3929</v>
      </c>
      <c r="E700">
        <v>6</v>
      </c>
      <c r="F700" s="6">
        <v>750</v>
      </c>
      <c r="G700" t="s">
        <v>4807</v>
      </c>
    </row>
    <row r="701" spans="1:7">
      <c r="A701" t="s">
        <v>4808</v>
      </c>
      <c r="B701" t="s">
        <v>4809</v>
      </c>
      <c r="C701" t="s">
        <v>3928</v>
      </c>
      <c r="D701" t="s">
        <v>3929</v>
      </c>
      <c r="E701">
        <v>6</v>
      </c>
      <c r="F701" s="6">
        <v>750</v>
      </c>
      <c r="G701" t="s">
        <v>4807</v>
      </c>
    </row>
    <row r="702" spans="1:7">
      <c r="A702" t="s">
        <v>4810</v>
      </c>
      <c r="B702" t="s">
        <v>4811</v>
      </c>
      <c r="C702" t="s">
        <v>3679</v>
      </c>
      <c r="D702" t="s">
        <v>3680</v>
      </c>
      <c r="E702">
        <v>6</v>
      </c>
      <c r="F702" s="6">
        <v>750</v>
      </c>
      <c r="G702" t="s">
        <v>4807</v>
      </c>
    </row>
    <row r="703" spans="1:7">
      <c r="A703" t="s">
        <v>3037</v>
      </c>
      <c r="B703" t="s">
        <v>4812</v>
      </c>
      <c r="C703" t="s">
        <v>3679</v>
      </c>
      <c r="D703" t="s">
        <v>3680</v>
      </c>
      <c r="E703">
        <v>6</v>
      </c>
      <c r="F703" s="6">
        <v>750</v>
      </c>
      <c r="G703" t="s">
        <v>4807</v>
      </c>
    </row>
    <row r="704" spans="1:7">
      <c r="A704" t="s">
        <v>945</v>
      </c>
      <c r="B704" t="s">
        <v>4813</v>
      </c>
      <c r="C704" t="s">
        <v>3679</v>
      </c>
      <c r="D704" t="s">
        <v>3680</v>
      </c>
      <c r="E704">
        <v>6</v>
      </c>
      <c r="F704" s="6">
        <v>750</v>
      </c>
      <c r="G704" t="s">
        <v>4163</v>
      </c>
    </row>
    <row r="705" spans="1:7">
      <c r="A705" t="s">
        <v>1084</v>
      </c>
      <c r="B705" t="s">
        <v>4814</v>
      </c>
      <c r="C705" t="s">
        <v>3928</v>
      </c>
      <c r="D705" t="s">
        <v>3929</v>
      </c>
      <c r="E705">
        <v>12</v>
      </c>
      <c r="F705" s="6">
        <v>750</v>
      </c>
      <c r="G705" t="s">
        <v>3694</v>
      </c>
    </row>
    <row r="706" spans="1:7">
      <c r="A706" t="s">
        <v>2782</v>
      </c>
      <c r="B706" t="s">
        <v>4814</v>
      </c>
      <c r="C706" t="s">
        <v>3928</v>
      </c>
      <c r="D706" t="s">
        <v>3929</v>
      </c>
      <c r="E706">
        <v>6</v>
      </c>
      <c r="F706" s="6">
        <v>1750</v>
      </c>
      <c r="G706" t="s">
        <v>3694</v>
      </c>
    </row>
    <row r="707" spans="1:7">
      <c r="A707" t="s">
        <v>4815</v>
      </c>
      <c r="B707" t="s">
        <v>4816</v>
      </c>
      <c r="C707" t="s">
        <v>3928</v>
      </c>
      <c r="D707" t="s">
        <v>3929</v>
      </c>
      <c r="E707">
        <v>6</v>
      </c>
      <c r="F707" s="6">
        <v>750</v>
      </c>
      <c r="G707" t="s">
        <v>3694</v>
      </c>
    </row>
    <row r="708" spans="1:7">
      <c r="A708" t="s">
        <v>4817</v>
      </c>
      <c r="B708" t="s">
        <v>4818</v>
      </c>
      <c r="C708" t="s">
        <v>3928</v>
      </c>
      <c r="D708" t="s">
        <v>3929</v>
      </c>
      <c r="E708">
        <v>6</v>
      </c>
      <c r="F708" s="6">
        <v>750</v>
      </c>
      <c r="G708" t="s">
        <v>3694</v>
      </c>
    </row>
    <row r="709" spans="1:7">
      <c r="A709" t="s">
        <v>4819</v>
      </c>
      <c r="B709" t="s">
        <v>4820</v>
      </c>
      <c r="C709" t="s">
        <v>3928</v>
      </c>
      <c r="D709" t="s">
        <v>3929</v>
      </c>
      <c r="E709">
        <v>6</v>
      </c>
      <c r="F709" s="6">
        <v>750</v>
      </c>
      <c r="G709" t="s">
        <v>3694</v>
      </c>
    </row>
    <row r="710" spans="1:7">
      <c r="A710" t="s">
        <v>184</v>
      </c>
      <c r="B710" t="s">
        <v>4821</v>
      </c>
      <c r="C710" t="s">
        <v>3928</v>
      </c>
      <c r="D710" t="s">
        <v>3929</v>
      </c>
      <c r="E710">
        <v>6</v>
      </c>
      <c r="F710" s="6">
        <v>750</v>
      </c>
      <c r="G710" t="s">
        <v>3694</v>
      </c>
    </row>
    <row r="711" spans="1:7">
      <c r="A711" t="s">
        <v>4822</v>
      </c>
      <c r="B711" t="s">
        <v>4823</v>
      </c>
      <c r="C711" t="s">
        <v>3928</v>
      </c>
      <c r="D711" t="s">
        <v>3929</v>
      </c>
      <c r="E711">
        <v>6</v>
      </c>
      <c r="F711" s="6">
        <v>750</v>
      </c>
      <c r="G711" t="s">
        <v>3694</v>
      </c>
    </row>
    <row r="712" spans="1:7">
      <c r="A712" t="s">
        <v>4824</v>
      </c>
      <c r="B712" t="s">
        <v>4825</v>
      </c>
      <c r="C712" t="s">
        <v>3928</v>
      </c>
      <c r="D712" t="s">
        <v>3929</v>
      </c>
      <c r="E712">
        <v>6</v>
      </c>
      <c r="F712" s="6">
        <v>750</v>
      </c>
      <c r="G712" t="s">
        <v>3694</v>
      </c>
    </row>
    <row r="713" spans="1:7">
      <c r="A713" t="s">
        <v>4826</v>
      </c>
      <c r="B713" t="s">
        <v>4827</v>
      </c>
      <c r="C713" t="s">
        <v>3679</v>
      </c>
      <c r="D713" t="s">
        <v>3680</v>
      </c>
      <c r="E713">
        <v>6</v>
      </c>
      <c r="F713" s="6">
        <v>750</v>
      </c>
      <c r="G713" t="s">
        <v>4828</v>
      </c>
    </row>
    <row r="714" spans="1:7">
      <c r="A714" t="s">
        <v>4829</v>
      </c>
      <c r="B714" t="s">
        <v>4830</v>
      </c>
      <c r="C714" t="s">
        <v>3679</v>
      </c>
      <c r="D714" t="s">
        <v>3680</v>
      </c>
      <c r="E714">
        <v>6</v>
      </c>
      <c r="F714" s="6">
        <v>750</v>
      </c>
      <c r="G714" t="s">
        <v>4828</v>
      </c>
    </row>
    <row r="715" spans="1:7">
      <c r="A715" t="s">
        <v>4831</v>
      </c>
      <c r="B715" t="s">
        <v>4832</v>
      </c>
      <c r="C715" t="s">
        <v>3928</v>
      </c>
      <c r="D715" t="s">
        <v>3929</v>
      </c>
      <c r="E715">
        <v>6</v>
      </c>
      <c r="F715" s="6">
        <v>750</v>
      </c>
      <c r="G715" t="s">
        <v>4833</v>
      </c>
    </row>
    <row r="716" spans="1:7">
      <c r="A716" t="s">
        <v>2128</v>
      </c>
      <c r="B716" t="s">
        <v>4834</v>
      </c>
      <c r="C716" t="s">
        <v>3928</v>
      </c>
      <c r="D716" t="s">
        <v>3929</v>
      </c>
      <c r="E716">
        <v>12</v>
      </c>
      <c r="F716" s="6">
        <v>750</v>
      </c>
      <c r="G716" t="s">
        <v>3686</v>
      </c>
    </row>
    <row r="717" spans="1:7">
      <c r="A717" t="s">
        <v>4835</v>
      </c>
      <c r="B717" t="s">
        <v>4836</v>
      </c>
      <c r="C717" t="s">
        <v>3679</v>
      </c>
      <c r="D717" t="s">
        <v>3680</v>
      </c>
      <c r="E717">
        <v>12</v>
      </c>
      <c r="F717" s="6">
        <v>1000</v>
      </c>
      <c r="G717" t="s">
        <v>3686</v>
      </c>
    </row>
    <row r="718" spans="1:7">
      <c r="A718" t="s">
        <v>1806</v>
      </c>
      <c r="B718" t="s">
        <v>4837</v>
      </c>
      <c r="C718" t="s">
        <v>3928</v>
      </c>
      <c r="D718" t="s">
        <v>3929</v>
      </c>
      <c r="E718">
        <v>12</v>
      </c>
      <c r="F718" s="6">
        <v>750</v>
      </c>
      <c r="G718" t="s">
        <v>3716</v>
      </c>
    </row>
    <row r="719" spans="1:7">
      <c r="A719" t="s">
        <v>4838</v>
      </c>
      <c r="B719" t="s">
        <v>4839</v>
      </c>
      <c r="C719" t="s">
        <v>3928</v>
      </c>
      <c r="D719" t="s">
        <v>3929</v>
      </c>
      <c r="E719">
        <v>6</v>
      </c>
      <c r="F719" s="6">
        <v>750</v>
      </c>
      <c r="G719" t="s">
        <v>4840</v>
      </c>
    </row>
    <row r="720" spans="1:7">
      <c r="A720" t="s">
        <v>4841</v>
      </c>
      <c r="B720" t="s">
        <v>4842</v>
      </c>
      <c r="C720" t="s">
        <v>3928</v>
      </c>
      <c r="D720" t="s">
        <v>3929</v>
      </c>
      <c r="E720">
        <v>6</v>
      </c>
      <c r="F720" s="6">
        <v>750</v>
      </c>
      <c r="G720" t="s">
        <v>4163</v>
      </c>
    </row>
    <row r="721" spans="1:7">
      <c r="A721" t="s">
        <v>4843</v>
      </c>
      <c r="B721" t="s">
        <v>4844</v>
      </c>
      <c r="C721" t="s">
        <v>3928</v>
      </c>
      <c r="D721" t="s">
        <v>3929</v>
      </c>
      <c r="E721">
        <v>6</v>
      </c>
      <c r="F721" s="6">
        <v>750</v>
      </c>
      <c r="G721" t="s">
        <v>4163</v>
      </c>
    </row>
    <row r="722" spans="1:7">
      <c r="A722" t="s">
        <v>839</v>
      </c>
      <c r="B722" t="s">
        <v>4845</v>
      </c>
      <c r="C722" t="s">
        <v>3928</v>
      </c>
      <c r="D722" t="s">
        <v>3929</v>
      </c>
      <c r="E722">
        <v>6</v>
      </c>
      <c r="F722" s="6">
        <v>750</v>
      </c>
      <c r="G722" t="s">
        <v>4163</v>
      </c>
    </row>
    <row r="723" spans="1:7">
      <c r="A723" t="s">
        <v>2959</v>
      </c>
      <c r="B723" t="s">
        <v>4846</v>
      </c>
      <c r="C723" t="s">
        <v>3928</v>
      </c>
      <c r="D723" t="s">
        <v>3929</v>
      </c>
      <c r="E723">
        <v>6</v>
      </c>
      <c r="F723" s="6">
        <v>750</v>
      </c>
      <c r="G723" t="s">
        <v>4163</v>
      </c>
    </row>
    <row r="724" spans="1:7">
      <c r="A724" t="s">
        <v>1246</v>
      </c>
      <c r="B724" t="s">
        <v>4847</v>
      </c>
      <c r="C724" t="s">
        <v>3928</v>
      </c>
      <c r="D724" t="s">
        <v>3929</v>
      </c>
      <c r="E724">
        <v>6</v>
      </c>
      <c r="F724" s="6">
        <v>750</v>
      </c>
      <c r="G724" t="s">
        <v>4163</v>
      </c>
    </row>
    <row r="725" spans="1:7">
      <c r="A725" t="s">
        <v>4848</v>
      </c>
      <c r="B725" t="s">
        <v>4849</v>
      </c>
      <c r="C725" t="s">
        <v>4474</v>
      </c>
      <c r="D725" t="s">
        <v>4475</v>
      </c>
      <c r="E725">
        <v>6</v>
      </c>
      <c r="F725" s="6">
        <v>750</v>
      </c>
      <c r="G725" t="s">
        <v>4291</v>
      </c>
    </row>
    <row r="726" spans="1:7">
      <c r="A726" t="s">
        <v>4850</v>
      </c>
      <c r="B726" t="s">
        <v>4851</v>
      </c>
      <c r="C726" t="s">
        <v>3928</v>
      </c>
      <c r="D726" t="s">
        <v>3929</v>
      </c>
      <c r="E726">
        <v>6</v>
      </c>
      <c r="F726" s="6">
        <v>750</v>
      </c>
      <c r="G726" t="s">
        <v>3702</v>
      </c>
    </row>
    <row r="727" spans="1:7">
      <c r="A727" t="s">
        <v>4852</v>
      </c>
      <c r="B727" t="s">
        <v>4853</v>
      </c>
      <c r="C727" t="s">
        <v>4452</v>
      </c>
      <c r="D727" t="s">
        <v>4453</v>
      </c>
      <c r="E727">
        <v>6</v>
      </c>
      <c r="F727" s="6">
        <v>750</v>
      </c>
      <c r="G727" t="s">
        <v>3681</v>
      </c>
    </row>
    <row r="728" spans="1:7">
      <c r="A728" t="s">
        <v>4854</v>
      </c>
      <c r="B728" t="s">
        <v>4855</v>
      </c>
      <c r="C728" t="s">
        <v>3928</v>
      </c>
      <c r="D728" t="s">
        <v>3929</v>
      </c>
      <c r="E728">
        <v>6</v>
      </c>
      <c r="F728" s="6">
        <v>750</v>
      </c>
      <c r="G728" t="s">
        <v>3802</v>
      </c>
    </row>
    <row r="729" spans="1:7">
      <c r="A729" t="s">
        <v>4856</v>
      </c>
      <c r="B729" t="s">
        <v>4857</v>
      </c>
      <c r="C729" t="s">
        <v>4452</v>
      </c>
      <c r="D729" t="s">
        <v>4453</v>
      </c>
      <c r="E729">
        <v>6</v>
      </c>
      <c r="F729" s="6">
        <v>750</v>
      </c>
      <c r="G729" t="s">
        <v>3681</v>
      </c>
    </row>
    <row r="730" spans="1:7">
      <c r="A730" t="s">
        <v>4858</v>
      </c>
      <c r="B730" t="s">
        <v>4859</v>
      </c>
      <c r="C730" t="s">
        <v>3928</v>
      </c>
      <c r="D730" t="s">
        <v>3929</v>
      </c>
      <c r="E730">
        <v>6</v>
      </c>
      <c r="F730" s="6">
        <v>750</v>
      </c>
      <c r="G730" t="s">
        <v>3681</v>
      </c>
    </row>
    <row r="731" spans="1:7">
      <c r="A731" t="s">
        <v>2359</v>
      </c>
      <c r="B731" t="s">
        <v>4859</v>
      </c>
      <c r="C731" t="s">
        <v>3928</v>
      </c>
      <c r="D731" t="s">
        <v>3929</v>
      </c>
      <c r="E731">
        <v>12</v>
      </c>
      <c r="F731" s="6">
        <v>200</v>
      </c>
      <c r="G731" t="s">
        <v>3681</v>
      </c>
    </row>
    <row r="732" spans="1:7">
      <c r="A732" t="s">
        <v>198</v>
      </c>
      <c r="B732" t="s">
        <v>4860</v>
      </c>
      <c r="C732" t="s">
        <v>3928</v>
      </c>
      <c r="D732" t="s">
        <v>3929</v>
      </c>
      <c r="E732">
        <v>6</v>
      </c>
      <c r="F732" s="6">
        <v>750</v>
      </c>
      <c r="G732" t="s">
        <v>3681</v>
      </c>
    </row>
    <row r="733" spans="1:7">
      <c r="A733" t="s">
        <v>4861</v>
      </c>
      <c r="B733" t="s">
        <v>4862</v>
      </c>
      <c r="C733" t="s">
        <v>3928</v>
      </c>
      <c r="D733" t="s">
        <v>3929</v>
      </c>
      <c r="E733">
        <v>12</v>
      </c>
      <c r="F733" s="6">
        <v>200</v>
      </c>
      <c r="G733" t="s">
        <v>3681</v>
      </c>
    </row>
    <row r="734" spans="1:7">
      <c r="A734" t="s">
        <v>1684</v>
      </c>
      <c r="B734" t="s">
        <v>4863</v>
      </c>
      <c r="C734" t="s">
        <v>3928</v>
      </c>
      <c r="D734" t="s">
        <v>3929</v>
      </c>
      <c r="E734">
        <v>6</v>
      </c>
      <c r="F734" s="6">
        <v>750</v>
      </c>
      <c r="G734" t="s">
        <v>3681</v>
      </c>
    </row>
    <row r="735" spans="1:7">
      <c r="A735" t="s">
        <v>4864</v>
      </c>
      <c r="B735" t="s">
        <v>4865</v>
      </c>
      <c r="C735" t="s">
        <v>3928</v>
      </c>
      <c r="D735" t="s">
        <v>3929</v>
      </c>
      <c r="E735">
        <v>12</v>
      </c>
      <c r="F735" s="6">
        <v>200</v>
      </c>
      <c r="G735" t="s">
        <v>3681</v>
      </c>
    </row>
    <row r="736" spans="1:7">
      <c r="A736" t="s">
        <v>4866</v>
      </c>
      <c r="B736" t="s">
        <v>4867</v>
      </c>
      <c r="C736" t="s">
        <v>3679</v>
      </c>
      <c r="D736" t="s">
        <v>3680</v>
      </c>
      <c r="E736">
        <v>6</v>
      </c>
      <c r="F736" s="6">
        <v>750</v>
      </c>
      <c r="G736" t="s">
        <v>4163</v>
      </c>
    </row>
    <row r="737" spans="1:7">
      <c r="A737" t="s">
        <v>1166</v>
      </c>
      <c r="B737" t="s">
        <v>4868</v>
      </c>
      <c r="C737" t="s">
        <v>3928</v>
      </c>
      <c r="D737" t="s">
        <v>3929</v>
      </c>
      <c r="E737">
        <v>12</v>
      </c>
      <c r="F737" s="6">
        <v>750</v>
      </c>
      <c r="G737" t="s">
        <v>4163</v>
      </c>
    </row>
    <row r="738" spans="1:7">
      <c r="A738" t="s">
        <v>4869</v>
      </c>
      <c r="B738" t="s">
        <v>4868</v>
      </c>
      <c r="C738" t="s">
        <v>3928</v>
      </c>
      <c r="D738" t="s">
        <v>3929</v>
      </c>
      <c r="E738">
        <v>6</v>
      </c>
      <c r="F738" s="6">
        <v>1750</v>
      </c>
      <c r="G738" t="s">
        <v>4163</v>
      </c>
    </row>
    <row r="739" spans="1:7">
      <c r="A739" t="s">
        <v>690</v>
      </c>
      <c r="B739" t="s">
        <v>4870</v>
      </c>
      <c r="C739" t="s">
        <v>3928</v>
      </c>
      <c r="D739" t="s">
        <v>3929</v>
      </c>
      <c r="E739">
        <v>6</v>
      </c>
      <c r="F739" s="6">
        <v>750</v>
      </c>
      <c r="G739" t="s">
        <v>4163</v>
      </c>
    </row>
    <row r="740" spans="1:7">
      <c r="A740" t="s">
        <v>2813</v>
      </c>
      <c r="B740" t="s">
        <v>4871</v>
      </c>
      <c r="C740" t="s">
        <v>3928</v>
      </c>
      <c r="D740" t="s">
        <v>3929</v>
      </c>
      <c r="E740">
        <v>6</v>
      </c>
      <c r="F740" s="6">
        <v>1750</v>
      </c>
      <c r="G740" t="s">
        <v>4163</v>
      </c>
    </row>
    <row r="741" spans="1:7">
      <c r="A741" t="s">
        <v>4872</v>
      </c>
      <c r="B741" t="s">
        <v>4873</v>
      </c>
      <c r="C741" t="s">
        <v>3679</v>
      </c>
      <c r="D741" t="s">
        <v>3680</v>
      </c>
      <c r="E741">
        <v>6</v>
      </c>
      <c r="F741" s="6">
        <v>750</v>
      </c>
      <c r="G741" t="s">
        <v>4163</v>
      </c>
    </row>
    <row r="742" spans="1:7">
      <c r="A742" t="s">
        <v>2062</v>
      </c>
      <c r="B742" t="s">
        <v>4871</v>
      </c>
      <c r="C742" t="s">
        <v>3928</v>
      </c>
      <c r="D742" t="s">
        <v>3929</v>
      </c>
      <c r="E742">
        <v>6</v>
      </c>
      <c r="F742" s="6">
        <v>750</v>
      </c>
      <c r="G742" t="s">
        <v>4163</v>
      </c>
    </row>
    <row r="743" spans="1:7">
      <c r="A743" t="s">
        <v>1419</v>
      </c>
      <c r="B743" t="s">
        <v>4874</v>
      </c>
      <c r="C743" t="s">
        <v>3808</v>
      </c>
      <c r="D743" t="s">
        <v>3809</v>
      </c>
      <c r="E743">
        <v>12</v>
      </c>
      <c r="F743" s="6">
        <v>750</v>
      </c>
      <c r="G743" t="s">
        <v>4285</v>
      </c>
    </row>
    <row r="744" spans="1:7">
      <c r="A744" t="s">
        <v>4875</v>
      </c>
      <c r="B744" t="s">
        <v>4876</v>
      </c>
      <c r="C744" t="s">
        <v>3679</v>
      </c>
      <c r="D744" t="s">
        <v>3680</v>
      </c>
      <c r="E744">
        <v>6</v>
      </c>
      <c r="F744" s="6">
        <v>750</v>
      </c>
      <c r="G744" t="s">
        <v>4285</v>
      </c>
    </row>
    <row r="745" spans="1:7">
      <c r="A745" t="s">
        <v>4877</v>
      </c>
      <c r="B745" t="s">
        <v>4878</v>
      </c>
      <c r="C745" t="s">
        <v>3808</v>
      </c>
      <c r="D745" t="s">
        <v>3809</v>
      </c>
      <c r="E745">
        <v>12</v>
      </c>
      <c r="F745" s="6">
        <v>750</v>
      </c>
      <c r="G745" t="s">
        <v>4285</v>
      </c>
    </row>
    <row r="746" spans="1:7">
      <c r="A746" t="s">
        <v>208</v>
      </c>
      <c r="B746" t="s">
        <v>4879</v>
      </c>
      <c r="C746" t="s">
        <v>3808</v>
      </c>
      <c r="D746" t="s">
        <v>3809</v>
      </c>
      <c r="E746">
        <v>6</v>
      </c>
      <c r="F746" s="6">
        <v>750</v>
      </c>
      <c r="G746" t="s">
        <v>4285</v>
      </c>
    </row>
    <row r="747" spans="1:7">
      <c r="A747" t="s">
        <v>4880</v>
      </c>
      <c r="B747" t="s">
        <v>4881</v>
      </c>
      <c r="C747" t="s">
        <v>3679</v>
      </c>
      <c r="D747" t="s">
        <v>3680</v>
      </c>
      <c r="E747">
        <v>6</v>
      </c>
      <c r="F747" s="6">
        <v>750</v>
      </c>
      <c r="G747" t="s">
        <v>3686</v>
      </c>
    </row>
    <row r="748" spans="1:7">
      <c r="A748" t="s">
        <v>4882</v>
      </c>
      <c r="B748" t="s">
        <v>4883</v>
      </c>
      <c r="C748" t="s">
        <v>3679</v>
      </c>
      <c r="D748" t="s">
        <v>3680</v>
      </c>
      <c r="E748">
        <v>12</v>
      </c>
      <c r="F748" s="6">
        <v>375</v>
      </c>
      <c r="G748" t="s">
        <v>3686</v>
      </c>
    </row>
    <row r="749" spans="1:7">
      <c r="A749" t="s">
        <v>2267</v>
      </c>
      <c r="B749" t="s">
        <v>4884</v>
      </c>
      <c r="C749" t="s">
        <v>3928</v>
      </c>
      <c r="D749" t="s">
        <v>3929</v>
      </c>
      <c r="E749">
        <v>6</v>
      </c>
      <c r="F749" s="6">
        <v>750</v>
      </c>
      <c r="G749" t="s">
        <v>3686</v>
      </c>
    </row>
    <row r="750" spans="1:7">
      <c r="A750" t="s">
        <v>4885</v>
      </c>
      <c r="B750" t="s">
        <v>4883</v>
      </c>
      <c r="C750" t="s">
        <v>3679</v>
      </c>
      <c r="D750" t="s">
        <v>3680</v>
      </c>
      <c r="E750">
        <v>3</v>
      </c>
      <c r="F750" s="6">
        <v>1750</v>
      </c>
      <c r="G750" t="s">
        <v>3686</v>
      </c>
    </row>
    <row r="751" spans="1:7">
      <c r="A751" t="s">
        <v>4886</v>
      </c>
      <c r="B751" t="s">
        <v>4887</v>
      </c>
      <c r="C751" t="s">
        <v>3679</v>
      </c>
      <c r="D751" t="s">
        <v>3680</v>
      </c>
      <c r="E751">
        <v>6</v>
      </c>
      <c r="F751" s="6">
        <v>750</v>
      </c>
      <c r="G751" t="s">
        <v>3686</v>
      </c>
    </row>
    <row r="752" spans="1:7">
      <c r="A752" t="s">
        <v>4888</v>
      </c>
      <c r="B752" t="s">
        <v>4889</v>
      </c>
      <c r="C752" t="s">
        <v>3679</v>
      </c>
      <c r="D752" t="s">
        <v>3680</v>
      </c>
      <c r="E752">
        <v>6</v>
      </c>
      <c r="F752" s="6">
        <v>750</v>
      </c>
      <c r="G752" t="s">
        <v>3686</v>
      </c>
    </row>
    <row r="753" spans="1:7">
      <c r="A753" t="s">
        <v>953</v>
      </c>
      <c r="B753" t="s">
        <v>4890</v>
      </c>
      <c r="C753" t="s">
        <v>4452</v>
      </c>
      <c r="D753" t="s">
        <v>4453</v>
      </c>
      <c r="E753">
        <v>12</v>
      </c>
      <c r="F753" s="6">
        <v>750</v>
      </c>
      <c r="G753" t="s">
        <v>3686</v>
      </c>
    </row>
    <row r="754" spans="1:7">
      <c r="A754" t="s">
        <v>4891</v>
      </c>
      <c r="B754" t="s">
        <v>4892</v>
      </c>
      <c r="C754" t="s">
        <v>3808</v>
      </c>
      <c r="D754" t="s">
        <v>3809</v>
      </c>
      <c r="E754">
        <v>6</v>
      </c>
      <c r="F754" s="6">
        <v>750</v>
      </c>
      <c r="G754" t="s">
        <v>4463</v>
      </c>
    </row>
    <row r="755" spans="1:7">
      <c r="A755" t="s">
        <v>4893</v>
      </c>
      <c r="B755" t="s">
        <v>4894</v>
      </c>
      <c r="C755" t="s">
        <v>3679</v>
      </c>
      <c r="D755" t="s">
        <v>3680</v>
      </c>
      <c r="E755">
        <v>6</v>
      </c>
      <c r="F755" s="6">
        <v>750</v>
      </c>
      <c r="G755" t="s">
        <v>4163</v>
      </c>
    </row>
    <row r="756" spans="1:7">
      <c r="A756" t="s">
        <v>4895</v>
      </c>
      <c r="B756" t="s">
        <v>4896</v>
      </c>
      <c r="C756" t="s">
        <v>3679</v>
      </c>
      <c r="D756" t="s">
        <v>3680</v>
      </c>
      <c r="E756">
        <v>6</v>
      </c>
      <c r="F756" s="6">
        <v>750</v>
      </c>
      <c r="G756" t="s">
        <v>4163</v>
      </c>
    </row>
    <row r="757" spans="1:7">
      <c r="A757" t="s">
        <v>4897</v>
      </c>
      <c r="B757" t="s">
        <v>4898</v>
      </c>
      <c r="C757" t="s">
        <v>4452</v>
      </c>
      <c r="D757" t="s">
        <v>4453</v>
      </c>
      <c r="E757">
        <v>6</v>
      </c>
      <c r="F757" s="6">
        <v>750</v>
      </c>
      <c r="G757" t="s">
        <v>4899</v>
      </c>
    </row>
    <row r="758" spans="1:7">
      <c r="A758" t="s">
        <v>4900</v>
      </c>
      <c r="B758" t="s">
        <v>4901</v>
      </c>
      <c r="C758" t="s">
        <v>3928</v>
      </c>
      <c r="D758" t="s">
        <v>3929</v>
      </c>
      <c r="E758">
        <v>6</v>
      </c>
      <c r="F758" s="6">
        <v>750</v>
      </c>
      <c r="G758" t="s">
        <v>4902</v>
      </c>
    </row>
    <row r="759" spans="1:7">
      <c r="A759" t="s">
        <v>4903</v>
      </c>
      <c r="B759" t="s">
        <v>4904</v>
      </c>
      <c r="C759" t="s">
        <v>3928</v>
      </c>
      <c r="D759" t="s">
        <v>3929</v>
      </c>
      <c r="E759">
        <v>12</v>
      </c>
      <c r="F759" s="6">
        <v>750</v>
      </c>
      <c r="G759" t="s">
        <v>4905</v>
      </c>
    </row>
    <row r="760" spans="1:7">
      <c r="A760" t="s">
        <v>4906</v>
      </c>
      <c r="B760" t="s">
        <v>4907</v>
      </c>
      <c r="C760" t="s">
        <v>3679</v>
      </c>
      <c r="D760" t="s">
        <v>3680</v>
      </c>
      <c r="E760">
        <v>6</v>
      </c>
      <c r="F760" s="6">
        <v>750</v>
      </c>
      <c r="G760" t="s">
        <v>3686</v>
      </c>
    </row>
    <row r="761" spans="1:7">
      <c r="A761" t="s">
        <v>2985</v>
      </c>
      <c r="B761" t="s">
        <v>4908</v>
      </c>
      <c r="C761" t="s">
        <v>3928</v>
      </c>
      <c r="D761" t="s">
        <v>3929</v>
      </c>
      <c r="E761">
        <v>12</v>
      </c>
      <c r="F761" s="6">
        <v>750</v>
      </c>
      <c r="G761" t="s">
        <v>3686</v>
      </c>
    </row>
    <row r="762" spans="1:7">
      <c r="A762" t="s">
        <v>2268</v>
      </c>
      <c r="B762" t="s">
        <v>4909</v>
      </c>
      <c r="C762" t="s">
        <v>3928</v>
      </c>
      <c r="D762" t="s">
        <v>3929</v>
      </c>
      <c r="E762">
        <v>12</v>
      </c>
      <c r="F762" s="6">
        <v>750</v>
      </c>
      <c r="G762" t="s">
        <v>3686</v>
      </c>
    </row>
    <row r="763" spans="1:7">
      <c r="A763" t="s">
        <v>89</v>
      </c>
      <c r="B763" t="s">
        <v>4910</v>
      </c>
      <c r="C763" t="s">
        <v>3928</v>
      </c>
      <c r="D763" t="s">
        <v>3929</v>
      </c>
      <c r="E763">
        <v>12</v>
      </c>
      <c r="F763" s="6">
        <v>750</v>
      </c>
      <c r="G763" t="s">
        <v>3686</v>
      </c>
    </row>
    <row r="764" spans="1:7">
      <c r="A764" t="s">
        <v>3052</v>
      </c>
      <c r="B764" t="s">
        <v>4911</v>
      </c>
      <c r="C764" t="s">
        <v>3928</v>
      </c>
      <c r="D764" t="s">
        <v>3929</v>
      </c>
      <c r="E764">
        <v>12</v>
      </c>
      <c r="F764" s="6">
        <v>750</v>
      </c>
      <c r="G764" t="s">
        <v>3686</v>
      </c>
    </row>
    <row r="765" spans="1:7">
      <c r="A765" t="s">
        <v>3006</v>
      </c>
      <c r="B765" t="s">
        <v>4912</v>
      </c>
      <c r="C765" t="s">
        <v>3928</v>
      </c>
      <c r="D765" t="s">
        <v>3929</v>
      </c>
      <c r="E765">
        <v>12</v>
      </c>
      <c r="F765" s="6">
        <v>750</v>
      </c>
      <c r="G765" t="s">
        <v>3686</v>
      </c>
    </row>
    <row r="766" spans="1:7">
      <c r="A766" t="s">
        <v>430</v>
      </c>
      <c r="B766" t="s">
        <v>4913</v>
      </c>
      <c r="C766" t="s">
        <v>3928</v>
      </c>
      <c r="D766" t="s">
        <v>3929</v>
      </c>
      <c r="E766">
        <v>12</v>
      </c>
      <c r="F766" s="6">
        <v>750</v>
      </c>
      <c r="G766" t="s">
        <v>3686</v>
      </c>
    </row>
    <row r="767" spans="1:7">
      <c r="A767" t="s">
        <v>1197</v>
      </c>
      <c r="B767" t="s">
        <v>4914</v>
      </c>
      <c r="C767" t="s">
        <v>3679</v>
      </c>
      <c r="D767" t="s">
        <v>3680</v>
      </c>
      <c r="E767">
        <v>6</v>
      </c>
      <c r="F767" s="6">
        <v>750</v>
      </c>
      <c r="G767" t="s">
        <v>3686</v>
      </c>
    </row>
    <row r="768" spans="1:7">
      <c r="A768" t="s">
        <v>4915</v>
      </c>
      <c r="B768" t="s">
        <v>4916</v>
      </c>
      <c r="C768" t="s">
        <v>3928</v>
      </c>
      <c r="D768" t="s">
        <v>3929</v>
      </c>
      <c r="E768">
        <v>6</v>
      </c>
      <c r="F768" s="6">
        <v>750</v>
      </c>
      <c r="G768" t="s">
        <v>4917</v>
      </c>
    </row>
    <row r="769" spans="1:7">
      <c r="A769" t="s">
        <v>3662</v>
      </c>
      <c r="B769" t="s">
        <v>4918</v>
      </c>
      <c r="C769" t="s">
        <v>4452</v>
      </c>
      <c r="D769" t="s">
        <v>4453</v>
      </c>
      <c r="E769">
        <v>6</v>
      </c>
      <c r="F769" s="6">
        <v>750</v>
      </c>
      <c r="G769" t="s">
        <v>4919</v>
      </c>
    </row>
    <row r="770" spans="1:7">
      <c r="A770" t="s">
        <v>2719</v>
      </c>
      <c r="B770" t="s">
        <v>4920</v>
      </c>
      <c r="C770" t="s">
        <v>3679</v>
      </c>
      <c r="D770" t="s">
        <v>3680</v>
      </c>
      <c r="E770">
        <v>6</v>
      </c>
      <c r="F770" s="6">
        <v>750</v>
      </c>
      <c r="G770" t="s">
        <v>3686</v>
      </c>
    </row>
    <row r="771" spans="1:7">
      <c r="A771" t="s">
        <v>1905</v>
      </c>
      <c r="B771" t="s">
        <v>4921</v>
      </c>
      <c r="C771" t="s">
        <v>3928</v>
      </c>
      <c r="D771" t="s">
        <v>3929</v>
      </c>
      <c r="E771">
        <v>12</v>
      </c>
      <c r="F771" s="6">
        <v>750</v>
      </c>
      <c r="G771" t="s">
        <v>3686</v>
      </c>
    </row>
    <row r="772" spans="1:7">
      <c r="A772" t="s">
        <v>3060</v>
      </c>
      <c r="B772" t="s">
        <v>4922</v>
      </c>
      <c r="C772" t="s">
        <v>3928</v>
      </c>
      <c r="D772" t="s">
        <v>3929</v>
      </c>
      <c r="E772">
        <v>12</v>
      </c>
      <c r="F772" s="6">
        <v>750</v>
      </c>
      <c r="G772" t="s">
        <v>3686</v>
      </c>
    </row>
    <row r="773" spans="1:7">
      <c r="A773" t="s">
        <v>137</v>
      </c>
      <c r="B773" t="s">
        <v>4922</v>
      </c>
      <c r="C773" t="s">
        <v>3928</v>
      </c>
      <c r="D773" t="s">
        <v>3929</v>
      </c>
      <c r="E773">
        <v>12</v>
      </c>
      <c r="F773" s="6">
        <v>1000</v>
      </c>
      <c r="G773" t="s">
        <v>3686</v>
      </c>
    </row>
    <row r="774" spans="1:7">
      <c r="A774" t="s">
        <v>2509</v>
      </c>
      <c r="B774" t="s">
        <v>4922</v>
      </c>
      <c r="C774" t="s">
        <v>3928</v>
      </c>
      <c r="D774" t="s">
        <v>3929</v>
      </c>
      <c r="E774">
        <v>6</v>
      </c>
      <c r="F774" s="6">
        <v>1750</v>
      </c>
      <c r="G774" t="s">
        <v>3686</v>
      </c>
    </row>
    <row r="775" spans="1:7">
      <c r="A775" t="s">
        <v>4923</v>
      </c>
      <c r="B775" t="s">
        <v>4924</v>
      </c>
      <c r="C775" t="s">
        <v>3679</v>
      </c>
      <c r="D775" t="s">
        <v>3680</v>
      </c>
      <c r="E775">
        <v>6</v>
      </c>
      <c r="F775" s="6">
        <v>750</v>
      </c>
      <c r="G775" t="s">
        <v>3686</v>
      </c>
    </row>
    <row r="776" spans="1:7">
      <c r="A776" t="s">
        <v>1790</v>
      </c>
      <c r="B776" t="s">
        <v>4925</v>
      </c>
      <c r="C776" t="s">
        <v>3928</v>
      </c>
      <c r="D776" t="s">
        <v>3929</v>
      </c>
      <c r="E776">
        <v>6</v>
      </c>
      <c r="F776" s="6">
        <v>750</v>
      </c>
      <c r="G776" t="s">
        <v>3686</v>
      </c>
    </row>
    <row r="777" spans="1:7">
      <c r="A777" t="s">
        <v>4926</v>
      </c>
      <c r="B777" t="s">
        <v>4927</v>
      </c>
      <c r="C777" t="s">
        <v>3928</v>
      </c>
      <c r="D777" t="s">
        <v>3929</v>
      </c>
      <c r="E777">
        <v>6</v>
      </c>
      <c r="F777" s="6">
        <v>750</v>
      </c>
      <c r="G777" t="s">
        <v>3735</v>
      </c>
    </row>
    <row r="778" spans="1:7">
      <c r="A778" t="s">
        <v>4928</v>
      </c>
      <c r="B778" t="s">
        <v>4929</v>
      </c>
      <c r="C778" t="s">
        <v>3679</v>
      </c>
      <c r="D778" t="s">
        <v>3680</v>
      </c>
      <c r="E778">
        <v>6</v>
      </c>
      <c r="F778" s="6">
        <v>750</v>
      </c>
      <c r="G778" t="s">
        <v>4930</v>
      </c>
    </row>
    <row r="779" spans="1:7">
      <c r="A779" t="s">
        <v>924</v>
      </c>
      <c r="B779" t="s">
        <v>4931</v>
      </c>
      <c r="C779" t="s">
        <v>3928</v>
      </c>
      <c r="D779" t="s">
        <v>3929</v>
      </c>
      <c r="E779">
        <v>6</v>
      </c>
      <c r="F779" s="6">
        <v>750</v>
      </c>
      <c r="G779" t="s">
        <v>4930</v>
      </c>
    </row>
    <row r="780" spans="1:7">
      <c r="A780" t="s">
        <v>4932</v>
      </c>
      <c r="B780" t="s">
        <v>4933</v>
      </c>
      <c r="C780" t="s">
        <v>3928</v>
      </c>
      <c r="D780" t="s">
        <v>3929</v>
      </c>
      <c r="E780">
        <v>6</v>
      </c>
      <c r="F780" s="6">
        <v>750</v>
      </c>
      <c r="G780" t="s">
        <v>4930</v>
      </c>
    </row>
    <row r="781" spans="1:7">
      <c r="A781" t="s">
        <v>4934</v>
      </c>
      <c r="B781" t="s">
        <v>4935</v>
      </c>
      <c r="C781" t="s">
        <v>3679</v>
      </c>
      <c r="D781" t="s">
        <v>3680</v>
      </c>
      <c r="E781">
        <v>6</v>
      </c>
      <c r="F781" s="6">
        <v>750</v>
      </c>
      <c r="G781" t="s">
        <v>4331</v>
      </c>
    </row>
    <row r="782" spans="1:7">
      <c r="A782" t="s">
        <v>4936</v>
      </c>
      <c r="B782" t="s">
        <v>4937</v>
      </c>
      <c r="C782" t="s">
        <v>3679</v>
      </c>
      <c r="D782" t="s">
        <v>3680</v>
      </c>
      <c r="E782">
        <v>6</v>
      </c>
      <c r="F782" s="6">
        <v>750</v>
      </c>
      <c r="G782" t="s">
        <v>4331</v>
      </c>
    </row>
    <row r="783" spans="1:7">
      <c r="A783" t="s">
        <v>4938</v>
      </c>
      <c r="B783" t="s">
        <v>4939</v>
      </c>
      <c r="C783" t="s">
        <v>3928</v>
      </c>
      <c r="D783" t="s">
        <v>3929</v>
      </c>
      <c r="E783">
        <v>6</v>
      </c>
      <c r="F783" s="6">
        <v>750</v>
      </c>
      <c r="G783" t="s">
        <v>4331</v>
      </c>
    </row>
    <row r="784" spans="1:7">
      <c r="A784" t="s">
        <v>4940</v>
      </c>
      <c r="B784" t="s">
        <v>4941</v>
      </c>
      <c r="C784" t="s">
        <v>3808</v>
      </c>
      <c r="D784" t="s">
        <v>3809</v>
      </c>
      <c r="E784">
        <v>6</v>
      </c>
      <c r="F784" s="6">
        <v>750</v>
      </c>
      <c r="G784" t="s">
        <v>4331</v>
      </c>
    </row>
    <row r="785" spans="1:7">
      <c r="A785" t="s">
        <v>4942</v>
      </c>
      <c r="B785" t="s">
        <v>4943</v>
      </c>
      <c r="C785" t="s">
        <v>3808</v>
      </c>
      <c r="D785" t="s">
        <v>3809</v>
      </c>
      <c r="E785">
        <v>6</v>
      </c>
      <c r="F785" s="6">
        <v>750</v>
      </c>
      <c r="G785" t="s">
        <v>4331</v>
      </c>
    </row>
    <row r="786" spans="1:7">
      <c r="A786" t="s">
        <v>1531</v>
      </c>
      <c r="B786" t="s">
        <v>4944</v>
      </c>
      <c r="C786" t="s">
        <v>4452</v>
      </c>
      <c r="D786" t="s">
        <v>4453</v>
      </c>
      <c r="E786">
        <v>6</v>
      </c>
      <c r="F786" s="6">
        <v>750</v>
      </c>
      <c r="G786" t="s">
        <v>4331</v>
      </c>
    </row>
    <row r="787" spans="1:7">
      <c r="A787" t="s">
        <v>2241</v>
      </c>
      <c r="B787" t="s">
        <v>4945</v>
      </c>
      <c r="C787" t="s">
        <v>3808</v>
      </c>
      <c r="D787" t="s">
        <v>3809</v>
      </c>
      <c r="E787">
        <v>6</v>
      </c>
      <c r="F787" s="6">
        <v>750</v>
      </c>
      <c r="G787" t="s">
        <v>4032</v>
      </c>
    </row>
    <row r="788" spans="1:7">
      <c r="A788" t="s">
        <v>3436</v>
      </c>
      <c r="B788" t="s">
        <v>4946</v>
      </c>
      <c r="C788" t="s">
        <v>3928</v>
      </c>
      <c r="D788" t="s">
        <v>3929</v>
      </c>
      <c r="E788">
        <v>12</v>
      </c>
      <c r="F788" s="6">
        <v>750</v>
      </c>
      <c r="G788" t="s">
        <v>3686</v>
      </c>
    </row>
    <row r="789" spans="1:7">
      <c r="A789" t="s">
        <v>2804</v>
      </c>
      <c r="B789" t="s">
        <v>4947</v>
      </c>
      <c r="C789" t="s">
        <v>3928</v>
      </c>
      <c r="D789" t="s">
        <v>3929</v>
      </c>
      <c r="E789">
        <v>6</v>
      </c>
      <c r="F789" s="6">
        <v>1750</v>
      </c>
      <c r="G789" t="s">
        <v>3686</v>
      </c>
    </row>
    <row r="790" spans="1:7">
      <c r="A790" t="s">
        <v>326</v>
      </c>
      <c r="B790" t="s">
        <v>4948</v>
      </c>
      <c r="C790" t="s">
        <v>3928</v>
      </c>
      <c r="D790" t="s">
        <v>3929</v>
      </c>
      <c r="E790">
        <v>12</v>
      </c>
      <c r="F790" s="6">
        <v>750</v>
      </c>
      <c r="G790" t="s">
        <v>3686</v>
      </c>
    </row>
    <row r="791" spans="1:7">
      <c r="A791" t="s">
        <v>4949</v>
      </c>
      <c r="B791" t="s">
        <v>4950</v>
      </c>
      <c r="C791" t="s">
        <v>3679</v>
      </c>
      <c r="D791" t="s">
        <v>3680</v>
      </c>
      <c r="E791">
        <v>48</v>
      </c>
      <c r="F791" s="6">
        <v>200</v>
      </c>
      <c r="G791" t="s">
        <v>3686</v>
      </c>
    </row>
    <row r="792" spans="1:7">
      <c r="A792" t="s">
        <v>4951</v>
      </c>
      <c r="B792" t="s">
        <v>4952</v>
      </c>
      <c r="C792" t="s">
        <v>3679</v>
      </c>
      <c r="D792" t="s">
        <v>3680</v>
      </c>
      <c r="E792">
        <v>12</v>
      </c>
      <c r="F792" s="6">
        <v>1000</v>
      </c>
      <c r="G792" t="s">
        <v>3686</v>
      </c>
    </row>
    <row r="793" spans="1:7">
      <c r="A793" t="s">
        <v>4953</v>
      </c>
      <c r="B793" t="s">
        <v>4954</v>
      </c>
      <c r="C793" t="s">
        <v>3679</v>
      </c>
      <c r="D793" t="s">
        <v>3680</v>
      </c>
      <c r="E793">
        <v>12</v>
      </c>
      <c r="F793" s="6">
        <v>750</v>
      </c>
      <c r="G793" t="s">
        <v>3686</v>
      </c>
    </row>
    <row r="794" spans="1:7">
      <c r="A794" t="s">
        <v>1739</v>
      </c>
      <c r="B794" t="s">
        <v>4955</v>
      </c>
      <c r="C794" t="s">
        <v>3679</v>
      </c>
      <c r="D794" t="s">
        <v>3680</v>
      </c>
      <c r="E794">
        <v>12</v>
      </c>
      <c r="F794" s="6">
        <v>1000</v>
      </c>
      <c r="G794" t="s">
        <v>3686</v>
      </c>
    </row>
    <row r="795" spans="1:7">
      <c r="A795" t="s">
        <v>4956</v>
      </c>
      <c r="B795" t="s">
        <v>4957</v>
      </c>
      <c r="C795" t="s">
        <v>3928</v>
      </c>
      <c r="D795" t="s">
        <v>3929</v>
      </c>
      <c r="E795">
        <v>12</v>
      </c>
      <c r="F795" s="6">
        <v>750</v>
      </c>
      <c r="G795" t="s">
        <v>3686</v>
      </c>
    </row>
    <row r="796" spans="1:7">
      <c r="A796" t="s">
        <v>4958</v>
      </c>
      <c r="B796" t="s">
        <v>4957</v>
      </c>
      <c r="C796" t="s">
        <v>3928</v>
      </c>
      <c r="D796" t="s">
        <v>3929</v>
      </c>
      <c r="E796">
        <v>6</v>
      </c>
      <c r="F796" s="6">
        <v>1750</v>
      </c>
      <c r="G796" t="s">
        <v>3686</v>
      </c>
    </row>
    <row r="797" spans="1:7">
      <c r="A797" t="s">
        <v>4959</v>
      </c>
      <c r="B797" t="s">
        <v>4960</v>
      </c>
      <c r="C797" t="s">
        <v>3679</v>
      </c>
      <c r="D797" t="s">
        <v>3680</v>
      </c>
      <c r="E797">
        <v>6</v>
      </c>
      <c r="F797" s="6">
        <v>750</v>
      </c>
      <c r="G797" t="s">
        <v>3888</v>
      </c>
    </row>
    <row r="798" spans="1:7">
      <c r="A798" t="s">
        <v>2404</v>
      </c>
      <c r="B798" t="s">
        <v>4961</v>
      </c>
      <c r="C798" t="s">
        <v>3679</v>
      </c>
      <c r="D798" t="s">
        <v>3680</v>
      </c>
      <c r="E798">
        <v>12</v>
      </c>
      <c r="F798" s="6">
        <v>750</v>
      </c>
      <c r="G798" t="s">
        <v>3888</v>
      </c>
    </row>
    <row r="799" spans="1:7">
      <c r="A799" t="s">
        <v>636</v>
      </c>
      <c r="B799" t="s">
        <v>4962</v>
      </c>
      <c r="C799" t="s">
        <v>3928</v>
      </c>
      <c r="D799" t="s">
        <v>3929</v>
      </c>
      <c r="E799">
        <v>12</v>
      </c>
      <c r="F799" s="6">
        <v>750</v>
      </c>
      <c r="G799" t="s">
        <v>3686</v>
      </c>
    </row>
    <row r="800" spans="1:7">
      <c r="A800" t="s">
        <v>4963</v>
      </c>
      <c r="B800" t="s">
        <v>4964</v>
      </c>
      <c r="C800" t="s">
        <v>3679</v>
      </c>
      <c r="D800" t="s">
        <v>3680</v>
      </c>
      <c r="E800">
        <v>12</v>
      </c>
      <c r="F800" s="6">
        <v>750</v>
      </c>
      <c r="G800" t="s">
        <v>3686</v>
      </c>
    </row>
    <row r="801" spans="1:7">
      <c r="A801" t="s">
        <v>4965</v>
      </c>
      <c r="B801" t="s">
        <v>4964</v>
      </c>
      <c r="C801" t="s">
        <v>3928</v>
      </c>
      <c r="D801" t="s">
        <v>3929</v>
      </c>
      <c r="E801">
        <v>12</v>
      </c>
      <c r="F801" s="6">
        <v>1000</v>
      </c>
      <c r="G801" t="s">
        <v>3686</v>
      </c>
    </row>
    <row r="802" spans="1:7">
      <c r="A802" t="s">
        <v>4966</v>
      </c>
      <c r="B802" t="s">
        <v>4967</v>
      </c>
      <c r="C802" t="s">
        <v>3928</v>
      </c>
      <c r="D802" t="s">
        <v>3929</v>
      </c>
      <c r="E802">
        <v>6</v>
      </c>
      <c r="F802" s="6">
        <v>750</v>
      </c>
      <c r="G802" t="s">
        <v>4968</v>
      </c>
    </row>
    <row r="803" spans="1:7">
      <c r="A803" t="s">
        <v>3544</v>
      </c>
      <c r="B803" t="s">
        <v>4969</v>
      </c>
      <c r="C803" t="s">
        <v>3679</v>
      </c>
      <c r="D803" t="s">
        <v>3680</v>
      </c>
      <c r="E803">
        <v>6</v>
      </c>
      <c r="F803" s="6">
        <v>750</v>
      </c>
      <c r="G803" t="s">
        <v>3854</v>
      </c>
    </row>
    <row r="804" spans="1:7">
      <c r="A804" t="s">
        <v>2601</v>
      </c>
      <c r="B804" t="s">
        <v>4970</v>
      </c>
      <c r="C804" t="s">
        <v>3928</v>
      </c>
      <c r="D804" t="s">
        <v>3929</v>
      </c>
      <c r="E804">
        <v>6</v>
      </c>
      <c r="F804" s="6">
        <v>750</v>
      </c>
      <c r="G804" t="s">
        <v>3854</v>
      </c>
    </row>
    <row r="805" spans="1:7">
      <c r="A805" t="s">
        <v>4971</v>
      </c>
      <c r="B805" t="s">
        <v>4972</v>
      </c>
      <c r="C805" t="s">
        <v>3679</v>
      </c>
      <c r="D805" t="s">
        <v>3680</v>
      </c>
      <c r="E805">
        <v>6</v>
      </c>
      <c r="F805" s="6">
        <v>750</v>
      </c>
      <c r="G805" t="s">
        <v>3888</v>
      </c>
    </row>
    <row r="806" spans="1:7">
      <c r="A806" t="s">
        <v>4973</v>
      </c>
      <c r="B806" t="s">
        <v>4974</v>
      </c>
      <c r="C806" t="s">
        <v>3679</v>
      </c>
      <c r="D806" t="s">
        <v>3680</v>
      </c>
      <c r="E806">
        <v>6</v>
      </c>
      <c r="F806" s="6">
        <v>750</v>
      </c>
      <c r="G806" t="s">
        <v>3888</v>
      </c>
    </row>
    <row r="807" spans="1:7">
      <c r="A807" t="s">
        <v>2905</v>
      </c>
      <c r="B807" t="s">
        <v>4975</v>
      </c>
      <c r="C807" t="s">
        <v>3928</v>
      </c>
      <c r="D807" t="s">
        <v>3929</v>
      </c>
      <c r="E807">
        <v>6</v>
      </c>
      <c r="F807" s="6">
        <v>750</v>
      </c>
      <c r="G807" t="s">
        <v>3888</v>
      </c>
    </row>
    <row r="808" spans="1:7">
      <c r="A808" t="s">
        <v>348</v>
      </c>
      <c r="B808" t="s">
        <v>4976</v>
      </c>
      <c r="C808" t="s">
        <v>3928</v>
      </c>
      <c r="D808" t="s">
        <v>3929</v>
      </c>
      <c r="E808">
        <v>12</v>
      </c>
      <c r="F808" s="6">
        <v>750</v>
      </c>
      <c r="G808" t="s">
        <v>3888</v>
      </c>
    </row>
    <row r="809" spans="1:7">
      <c r="A809" t="s">
        <v>2042</v>
      </c>
      <c r="B809" t="s">
        <v>4977</v>
      </c>
      <c r="C809" t="s">
        <v>3928</v>
      </c>
      <c r="D809" t="s">
        <v>3929</v>
      </c>
      <c r="E809">
        <v>10</v>
      </c>
      <c r="F809" s="6">
        <v>50</v>
      </c>
      <c r="G809" t="s">
        <v>3888</v>
      </c>
    </row>
    <row r="810" spans="1:7">
      <c r="A810" t="s">
        <v>2516</v>
      </c>
      <c r="B810" t="s">
        <v>4978</v>
      </c>
      <c r="C810" t="s">
        <v>3928</v>
      </c>
      <c r="D810" t="s">
        <v>3929</v>
      </c>
      <c r="E810">
        <v>12</v>
      </c>
      <c r="F810" s="6">
        <v>375</v>
      </c>
      <c r="G810" t="s">
        <v>3888</v>
      </c>
    </row>
    <row r="811" spans="1:7">
      <c r="A811" t="s">
        <v>308</v>
      </c>
      <c r="B811" t="s">
        <v>4978</v>
      </c>
      <c r="C811" t="s">
        <v>3928</v>
      </c>
      <c r="D811" t="s">
        <v>3929</v>
      </c>
      <c r="E811">
        <v>12</v>
      </c>
      <c r="F811" s="6">
        <v>750</v>
      </c>
      <c r="G811" t="s">
        <v>3888</v>
      </c>
    </row>
    <row r="812" spans="1:7">
      <c r="A812" t="s">
        <v>1663</v>
      </c>
      <c r="B812" t="s">
        <v>4978</v>
      </c>
      <c r="C812" t="s">
        <v>3928</v>
      </c>
      <c r="D812" t="s">
        <v>3929</v>
      </c>
      <c r="E812">
        <v>12</v>
      </c>
      <c r="F812" s="6">
        <v>1000</v>
      </c>
      <c r="G812" t="s">
        <v>3888</v>
      </c>
    </row>
    <row r="813" spans="1:7">
      <c r="A813" t="s">
        <v>2460</v>
      </c>
      <c r="B813" t="s">
        <v>4978</v>
      </c>
      <c r="C813" t="s">
        <v>3928</v>
      </c>
      <c r="D813" t="s">
        <v>3929</v>
      </c>
      <c r="E813">
        <v>6</v>
      </c>
      <c r="F813" s="6">
        <v>1750</v>
      </c>
      <c r="G813" t="s">
        <v>3888</v>
      </c>
    </row>
    <row r="814" spans="1:7">
      <c r="A814" t="s">
        <v>468</v>
      </c>
      <c r="B814" t="s">
        <v>4979</v>
      </c>
      <c r="C814" t="s">
        <v>4244</v>
      </c>
      <c r="D814" t="s">
        <v>4245</v>
      </c>
      <c r="E814">
        <v>6</v>
      </c>
      <c r="F814" s="6">
        <v>750</v>
      </c>
      <c r="G814" t="s">
        <v>3888</v>
      </c>
    </row>
    <row r="815" spans="1:7">
      <c r="A815" t="s">
        <v>1286</v>
      </c>
      <c r="B815" t="s">
        <v>4980</v>
      </c>
      <c r="C815" t="s">
        <v>3928</v>
      </c>
      <c r="D815" t="s">
        <v>3929</v>
      </c>
      <c r="E815">
        <v>6</v>
      </c>
      <c r="F815" s="6">
        <v>750</v>
      </c>
      <c r="G815" t="s">
        <v>3888</v>
      </c>
    </row>
    <row r="816" spans="1:7">
      <c r="A816" t="s">
        <v>4981</v>
      </c>
      <c r="B816" t="s">
        <v>4982</v>
      </c>
      <c r="C816" t="s">
        <v>3928</v>
      </c>
      <c r="D816" t="s">
        <v>3929</v>
      </c>
      <c r="E816">
        <v>6</v>
      </c>
      <c r="F816" s="6">
        <v>750</v>
      </c>
      <c r="G816" t="s">
        <v>3888</v>
      </c>
    </row>
    <row r="817" spans="1:7">
      <c r="A817" t="s">
        <v>2137</v>
      </c>
      <c r="B817" t="s">
        <v>4983</v>
      </c>
      <c r="C817" t="s">
        <v>4452</v>
      </c>
      <c r="D817" t="s">
        <v>4453</v>
      </c>
      <c r="E817">
        <v>6</v>
      </c>
      <c r="F817" s="6">
        <v>750</v>
      </c>
      <c r="G817" t="s">
        <v>3888</v>
      </c>
    </row>
    <row r="818" spans="1:7">
      <c r="A818" t="s">
        <v>4984</v>
      </c>
      <c r="B818" t="s">
        <v>4985</v>
      </c>
      <c r="C818" t="s">
        <v>3928</v>
      </c>
      <c r="D818" t="s">
        <v>3929</v>
      </c>
      <c r="E818">
        <v>12</v>
      </c>
      <c r="F818" s="6">
        <v>375</v>
      </c>
      <c r="G818" t="s">
        <v>3888</v>
      </c>
    </row>
    <row r="819" spans="1:7">
      <c r="A819" t="s">
        <v>4986</v>
      </c>
      <c r="B819" t="s">
        <v>4987</v>
      </c>
      <c r="C819" t="s">
        <v>3679</v>
      </c>
      <c r="D819" t="s">
        <v>3680</v>
      </c>
      <c r="E819">
        <v>6</v>
      </c>
      <c r="F819" s="6">
        <v>750</v>
      </c>
      <c r="G819" t="s">
        <v>3931</v>
      </c>
    </row>
    <row r="820" spans="1:7">
      <c r="A820" t="s">
        <v>4988</v>
      </c>
      <c r="B820" t="s">
        <v>4989</v>
      </c>
      <c r="C820" t="s">
        <v>3928</v>
      </c>
      <c r="D820" t="s">
        <v>3929</v>
      </c>
      <c r="E820">
        <v>6</v>
      </c>
      <c r="F820" s="6">
        <v>750</v>
      </c>
      <c r="G820" t="s">
        <v>3931</v>
      </c>
    </row>
    <row r="821" spans="1:7">
      <c r="A821" t="s">
        <v>729</v>
      </c>
      <c r="B821" t="s">
        <v>4990</v>
      </c>
      <c r="C821" t="s">
        <v>4436</v>
      </c>
      <c r="D821" t="s">
        <v>4437</v>
      </c>
      <c r="E821">
        <v>6</v>
      </c>
      <c r="F821" s="6">
        <v>750</v>
      </c>
      <c r="G821" t="s">
        <v>3888</v>
      </c>
    </row>
    <row r="822" spans="1:7">
      <c r="A822" t="s">
        <v>1494</v>
      </c>
      <c r="B822" t="s">
        <v>4991</v>
      </c>
      <c r="C822" t="s">
        <v>3928</v>
      </c>
      <c r="D822" t="s">
        <v>3929</v>
      </c>
      <c r="E822">
        <v>6</v>
      </c>
      <c r="F822" s="6">
        <v>1750</v>
      </c>
      <c r="G822" t="s">
        <v>3694</v>
      </c>
    </row>
    <row r="823" spans="1:7">
      <c r="A823" t="s">
        <v>2304</v>
      </c>
      <c r="B823" t="s">
        <v>4992</v>
      </c>
      <c r="C823" t="s">
        <v>3928</v>
      </c>
      <c r="D823" t="s">
        <v>3929</v>
      </c>
      <c r="E823">
        <v>12</v>
      </c>
      <c r="F823" s="6">
        <v>375</v>
      </c>
      <c r="G823" t="s">
        <v>3694</v>
      </c>
    </row>
    <row r="824" spans="1:7">
      <c r="A824" t="s">
        <v>662</v>
      </c>
      <c r="B824" t="s">
        <v>4992</v>
      </c>
      <c r="C824" t="s">
        <v>3928</v>
      </c>
      <c r="D824" t="s">
        <v>3929</v>
      </c>
      <c r="E824">
        <v>12</v>
      </c>
      <c r="F824" s="6">
        <v>750</v>
      </c>
      <c r="G824" t="s">
        <v>3694</v>
      </c>
    </row>
    <row r="825" spans="1:7">
      <c r="A825" t="s">
        <v>2461</v>
      </c>
      <c r="B825" t="s">
        <v>4992</v>
      </c>
      <c r="C825" t="s">
        <v>3928</v>
      </c>
      <c r="D825" t="s">
        <v>3929</v>
      </c>
      <c r="E825">
        <v>6</v>
      </c>
      <c r="F825" s="6">
        <v>1000</v>
      </c>
      <c r="G825" t="s">
        <v>3694</v>
      </c>
    </row>
    <row r="826" spans="1:7">
      <c r="A826" t="s">
        <v>1393</v>
      </c>
      <c r="B826" t="s">
        <v>4993</v>
      </c>
      <c r="C826" t="s">
        <v>3679</v>
      </c>
      <c r="D826" t="s">
        <v>3680</v>
      </c>
      <c r="E826">
        <v>6</v>
      </c>
      <c r="F826" s="6">
        <v>1000</v>
      </c>
      <c r="G826" t="s">
        <v>3694</v>
      </c>
    </row>
    <row r="827" spans="1:7">
      <c r="A827" t="s">
        <v>2192</v>
      </c>
      <c r="B827" t="s">
        <v>4994</v>
      </c>
      <c r="C827" t="s">
        <v>3928</v>
      </c>
      <c r="D827" t="s">
        <v>3929</v>
      </c>
      <c r="E827">
        <v>6</v>
      </c>
      <c r="F827" s="6">
        <v>750</v>
      </c>
      <c r="G827" t="s">
        <v>3694</v>
      </c>
    </row>
    <row r="828" spans="1:7">
      <c r="A828" t="s">
        <v>967</v>
      </c>
      <c r="B828" t="s">
        <v>4995</v>
      </c>
      <c r="C828" t="s">
        <v>4452</v>
      </c>
      <c r="D828" t="s">
        <v>4453</v>
      </c>
      <c r="E828">
        <v>6</v>
      </c>
      <c r="F828" s="6">
        <v>750</v>
      </c>
      <c r="G828" t="s">
        <v>3694</v>
      </c>
    </row>
    <row r="829" spans="1:7">
      <c r="A829" t="s">
        <v>1630</v>
      </c>
      <c r="B829" t="s">
        <v>4996</v>
      </c>
      <c r="C829" t="s">
        <v>3928</v>
      </c>
      <c r="D829" t="s">
        <v>3929</v>
      </c>
      <c r="E829">
        <v>6</v>
      </c>
      <c r="F829" s="6">
        <v>750</v>
      </c>
      <c r="G829" t="s">
        <v>4163</v>
      </c>
    </row>
    <row r="830" spans="1:7">
      <c r="A830" t="s">
        <v>4997</v>
      </c>
      <c r="B830" t="s">
        <v>4998</v>
      </c>
      <c r="C830" t="s">
        <v>3679</v>
      </c>
      <c r="D830" t="s">
        <v>3680</v>
      </c>
      <c r="E830">
        <v>6</v>
      </c>
      <c r="F830" s="6">
        <v>1000</v>
      </c>
      <c r="G830" t="s">
        <v>3694</v>
      </c>
    </row>
    <row r="831" spans="1:7">
      <c r="A831" t="s">
        <v>4999</v>
      </c>
      <c r="B831" t="s">
        <v>5000</v>
      </c>
      <c r="C831" t="s">
        <v>4452</v>
      </c>
      <c r="D831" t="s">
        <v>4453</v>
      </c>
      <c r="E831">
        <v>6</v>
      </c>
      <c r="F831" s="6">
        <v>750</v>
      </c>
      <c r="G831" t="s">
        <v>4163</v>
      </c>
    </row>
    <row r="832" spans="1:7">
      <c r="A832" t="s">
        <v>5001</v>
      </c>
      <c r="B832" t="s">
        <v>5002</v>
      </c>
      <c r="C832" t="s">
        <v>3928</v>
      </c>
      <c r="D832" t="s">
        <v>3929</v>
      </c>
      <c r="E832">
        <v>6</v>
      </c>
      <c r="F832" s="6">
        <v>750</v>
      </c>
      <c r="G832" t="s">
        <v>4163</v>
      </c>
    </row>
    <row r="833" spans="1:7">
      <c r="A833" t="s">
        <v>5003</v>
      </c>
      <c r="B833" t="s">
        <v>5004</v>
      </c>
      <c r="C833" t="s">
        <v>3928</v>
      </c>
      <c r="D833" t="s">
        <v>3929</v>
      </c>
      <c r="E833">
        <v>6</v>
      </c>
      <c r="F833" s="6">
        <v>700</v>
      </c>
      <c r="G833" t="s">
        <v>3694</v>
      </c>
    </row>
    <row r="834" spans="1:7">
      <c r="A834" t="s">
        <v>2982</v>
      </c>
      <c r="B834" t="s">
        <v>5004</v>
      </c>
      <c r="C834" t="s">
        <v>3928</v>
      </c>
      <c r="D834" t="s">
        <v>3929</v>
      </c>
      <c r="E834">
        <v>6</v>
      </c>
      <c r="F834" s="6">
        <v>700</v>
      </c>
      <c r="G834" t="s">
        <v>3694</v>
      </c>
    </row>
    <row r="835" spans="1:7">
      <c r="A835" t="s">
        <v>5005</v>
      </c>
      <c r="B835" t="s">
        <v>5006</v>
      </c>
      <c r="C835" t="s">
        <v>3679</v>
      </c>
      <c r="D835" t="s">
        <v>3680</v>
      </c>
      <c r="E835">
        <v>3</v>
      </c>
      <c r="F835" s="6">
        <v>750</v>
      </c>
      <c r="G835" t="s">
        <v>4163</v>
      </c>
    </row>
    <row r="836" spans="1:7">
      <c r="A836" t="s">
        <v>1267</v>
      </c>
      <c r="B836" t="s">
        <v>5007</v>
      </c>
      <c r="C836" t="s">
        <v>3679</v>
      </c>
      <c r="D836" t="s">
        <v>3680</v>
      </c>
      <c r="E836">
        <v>12</v>
      </c>
      <c r="F836" s="6">
        <v>750</v>
      </c>
      <c r="G836" t="s">
        <v>3931</v>
      </c>
    </row>
    <row r="837" spans="1:7">
      <c r="A837" t="s">
        <v>5008</v>
      </c>
      <c r="B837" t="s">
        <v>5009</v>
      </c>
      <c r="C837" t="s">
        <v>4452</v>
      </c>
      <c r="D837" t="s">
        <v>4453</v>
      </c>
      <c r="E837">
        <v>6</v>
      </c>
      <c r="F837" s="6">
        <v>750</v>
      </c>
      <c r="G837" t="s">
        <v>4163</v>
      </c>
    </row>
    <row r="838" spans="1:7">
      <c r="A838" t="s">
        <v>5010</v>
      </c>
      <c r="B838" t="s">
        <v>5011</v>
      </c>
      <c r="C838" t="s">
        <v>3679</v>
      </c>
      <c r="D838" t="s">
        <v>3680</v>
      </c>
      <c r="E838">
        <v>6</v>
      </c>
      <c r="F838" s="6">
        <v>750</v>
      </c>
      <c r="G838" t="s">
        <v>4068</v>
      </c>
    </row>
    <row r="839" spans="1:7">
      <c r="A839" t="s">
        <v>5012</v>
      </c>
      <c r="B839" t="s">
        <v>5013</v>
      </c>
      <c r="C839" t="s">
        <v>4244</v>
      </c>
      <c r="D839" t="s">
        <v>4245</v>
      </c>
      <c r="E839">
        <v>6</v>
      </c>
      <c r="F839" s="6">
        <v>750</v>
      </c>
      <c r="G839" t="s">
        <v>5014</v>
      </c>
    </row>
    <row r="840" spans="1:7">
      <c r="A840" t="s">
        <v>5015</v>
      </c>
      <c r="B840" t="s">
        <v>5016</v>
      </c>
      <c r="C840" t="s">
        <v>3679</v>
      </c>
      <c r="D840" t="s">
        <v>3680</v>
      </c>
      <c r="E840">
        <v>6</v>
      </c>
      <c r="F840" s="6">
        <v>750</v>
      </c>
      <c r="G840" t="s">
        <v>3781</v>
      </c>
    </row>
    <row r="841" spans="1:7">
      <c r="A841" t="s">
        <v>5017</v>
      </c>
      <c r="B841" t="s">
        <v>5018</v>
      </c>
      <c r="C841" t="s">
        <v>3679</v>
      </c>
      <c r="D841" t="s">
        <v>3680</v>
      </c>
      <c r="E841">
        <v>6</v>
      </c>
      <c r="F841" s="6">
        <v>750</v>
      </c>
      <c r="G841" t="s">
        <v>3931</v>
      </c>
    </row>
    <row r="842" spans="1:7">
      <c r="A842" t="s">
        <v>870</v>
      </c>
      <c r="B842" t="s">
        <v>5019</v>
      </c>
      <c r="C842" t="s">
        <v>3808</v>
      </c>
      <c r="D842" t="s">
        <v>3809</v>
      </c>
      <c r="E842">
        <v>12</v>
      </c>
      <c r="F842" s="6">
        <v>1000</v>
      </c>
      <c r="G842" t="s">
        <v>5020</v>
      </c>
    </row>
    <row r="843" spans="1:7">
      <c r="A843" t="s">
        <v>5021</v>
      </c>
      <c r="B843" t="s">
        <v>5022</v>
      </c>
      <c r="C843" t="s">
        <v>4455</v>
      </c>
      <c r="D843" t="s">
        <v>4456</v>
      </c>
      <c r="E843">
        <v>12</v>
      </c>
      <c r="F843" s="6">
        <v>750</v>
      </c>
      <c r="G843" t="s">
        <v>3730</v>
      </c>
    </row>
    <row r="844" spans="1:7">
      <c r="A844" t="s">
        <v>5023</v>
      </c>
      <c r="B844" t="s">
        <v>5024</v>
      </c>
      <c r="C844" t="s">
        <v>3679</v>
      </c>
      <c r="D844" t="s">
        <v>3680</v>
      </c>
      <c r="E844">
        <v>6</v>
      </c>
      <c r="F844" s="6">
        <v>750</v>
      </c>
      <c r="G844" t="s">
        <v>4930</v>
      </c>
    </row>
    <row r="845" spans="1:7">
      <c r="A845" t="s">
        <v>1811</v>
      </c>
      <c r="B845" t="s">
        <v>5025</v>
      </c>
      <c r="C845" t="s">
        <v>3928</v>
      </c>
      <c r="D845" t="s">
        <v>3929</v>
      </c>
      <c r="E845">
        <v>6</v>
      </c>
      <c r="F845" s="6">
        <v>750</v>
      </c>
      <c r="G845" t="s">
        <v>3802</v>
      </c>
    </row>
    <row r="846" spans="1:7">
      <c r="A846" t="s">
        <v>5026</v>
      </c>
      <c r="B846" t="s">
        <v>5027</v>
      </c>
      <c r="C846" t="s">
        <v>3679</v>
      </c>
      <c r="D846" t="s">
        <v>3680</v>
      </c>
      <c r="E846">
        <v>12</v>
      </c>
      <c r="F846" s="6">
        <v>200</v>
      </c>
      <c r="G846" t="s">
        <v>3686</v>
      </c>
    </row>
    <row r="847" spans="1:7">
      <c r="A847" t="s">
        <v>5028</v>
      </c>
      <c r="B847" t="s">
        <v>5029</v>
      </c>
      <c r="C847" t="s">
        <v>3708</v>
      </c>
      <c r="D847" t="s">
        <v>3709</v>
      </c>
      <c r="E847">
        <v>6</v>
      </c>
      <c r="F847" s="6">
        <v>750</v>
      </c>
      <c r="G847" t="s">
        <v>5030</v>
      </c>
    </row>
    <row r="848" spans="1:7">
      <c r="A848" t="s">
        <v>5031</v>
      </c>
      <c r="B848" t="s">
        <v>5032</v>
      </c>
      <c r="C848" t="s">
        <v>3679</v>
      </c>
      <c r="D848" t="s">
        <v>3680</v>
      </c>
      <c r="E848">
        <v>6</v>
      </c>
      <c r="F848" s="6">
        <v>750</v>
      </c>
      <c r="G848" t="s">
        <v>3931</v>
      </c>
    </row>
    <row r="849" spans="1:7">
      <c r="A849" t="s">
        <v>5033</v>
      </c>
      <c r="B849" t="s">
        <v>5034</v>
      </c>
      <c r="C849" t="s">
        <v>4244</v>
      </c>
      <c r="D849" t="s">
        <v>4245</v>
      </c>
      <c r="E849">
        <v>6</v>
      </c>
      <c r="F849" s="6">
        <v>750</v>
      </c>
      <c r="G849" t="s">
        <v>4919</v>
      </c>
    </row>
    <row r="850" spans="1:7">
      <c r="A850" t="s">
        <v>5035</v>
      </c>
      <c r="B850" t="s">
        <v>5036</v>
      </c>
      <c r="C850" t="s">
        <v>4244</v>
      </c>
      <c r="D850" t="s">
        <v>4245</v>
      </c>
      <c r="E850">
        <v>6</v>
      </c>
      <c r="F850" s="6">
        <v>750</v>
      </c>
      <c r="G850" t="s">
        <v>4919</v>
      </c>
    </row>
    <row r="851" spans="1:7">
      <c r="A851" t="s">
        <v>5037</v>
      </c>
      <c r="B851" t="s">
        <v>5038</v>
      </c>
      <c r="C851" t="s">
        <v>3808</v>
      </c>
      <c r="D851" t="s">
        <v>3809</v>
      </c>
      <c r="E851">
        <v>6</v>
      </c>
      <c r="F851" s="6">
        <v>750</v>
      </c>
      <c r="G851" t="s">
        <v>3854</v>
      </c>
    </row>
    <row r="852" spans="1:7">
      <c r="A852" t="s">
        <v>5039</v>
      </c>
      <c r="B852" t="s">
        <v>5040</v>
      </c>
      <c r="C852" t="s">
        <v>3808</v>
      </c>
      <c r="D852" t="s">
        <v>3809</v>
      </c>
      <c r="E852">
        <v>6</v>
      </c>
      <c r="F852" s="6">
        <v>750</v>
      </c>
      <c r="G852" t="s">
        <v>3781</v>
      </c>
    </row>
    <row r="853" spans="1:7">
      <c r="A853" t="s">
        <v>2657</v>
      </c>
      <c r="B853" t="s">
        <v>5041</v>
      </c>
      <c r="C853" t="s">
        <v>3808</v>
      </c>
      <c r="D853" t="s">
        <v>3809</v>
      </c>
      <c r="E853">
        <v>6</v>
      </c>
      <c r="F853" s="6">
        <v>750</v>
      </c>
      <c r="G853" t="s">
        <v>3781</v>
      </c>
    </row>
    <row r="854" spans="1:7">
      <c r="A854" t="s">
        <v>5042</v>
      </c>
      <c r="B854" t="s">
        <v>5043</v>
      </c>
      <c r="C854" t="s">
        <v>3808</v>
      </c>
      <c r="D854" t="s">
        <v>3809</v>
      </c>
      <c r="E854">
        <v>6</v>
      </c>
      <c r="F854" s="6">
        <v>50</v>
      </c>
      <c r="G854" t="s">
        <v>3781</v>
      </c>
    </row>
    <row r="855" spans="1:7">
      <c r="A855" t="s">
        <v>5044</v>
      </c>
      <c r="B855" t="s">
        <v>5045</v>
      </c>
      <c r="C855" t="s">
        <v>3808</v>
      </c>
      <c r="D855" t="s">
        <v>3809</v>
      </c>
      <c r="E855">
        <v>6</v>
      </c>
      <c r="F855" s="6">
        <v>750</v>
      </c>
      <c r="G855" t="s">
        <v>3781</v>
      </c>
    </row>
    <row r="856" spans="1:7">
      <c r="A856" t="s">
        <v>5046</v>
      </c>
      <c r="B856" t="s">
        <v>5047</v>
      </c>
      <c r="C856" t="s">
        <v>3808</v>
      </c>
      <c r="D856" t="s">
        <v>3809</v>
      </c>
      <c r="E856">
        <v>6</v>
      </c>
      <c r="F856" s="6">
        <v>50</v>
      </c>
      <c r="G856" t="s">
        <v>3781</v>
      </c>
    </row>
    <row r="857" spans="1:7">
      <c r="A857" t="s">
        <v>417</v>
      </c>
      <c r="B857" t="s">
        <v>5048</v>
      </c>
      <c r="C857" t="s">
        <v>3679</v>
      </c>
      <c r="D857" t="s">
        <v>3680</v>
      </c>
      <c r="E857">
        <v>6</v>
      </c>
      <c r="F857" s="6">
        <v>750</v>
      </c>
      <c r="G857" t="s">
        <v>3781</v>
      </c>
    </row>
    <row r="858" spans="1:7">
      <c r="A858" t="s">
        <v>5049</v>
      </c>
      <c r="B858" t="s">
        <v>5050</v>
      </c>
      <c r="C858" t="s">
        <v>3679</v>
      </c>
      <c r="D858" t="s">
        <v>3680</v>
      </c>
      <c r="E858">
        <v>6</v>
      </c>
      <c r="F858" s="6">
        <v>750</v>
      </c>
      <c r="G858" t="s">
        <v>4438</v>
      </c>
    </row>
    <row r="859" spans="1:7">
      <c r="A859" t="s">
        <v>5051</v>
      </c>
      <c r="B859" t="s">
        <v>5052</v>
      </c>
      <c r="C859" t="s">
        <v>3679</v>
      </c>
      <c r="D859" t="s">
        <v>3680</v>
      </c>
      <c r="E859">
        <v>6</v>
      </c>
      <c r="F859" s="6">
        <v>700</v>
      </c>
      <c r="G859" t="s">
        <v>3702</v>
      </c>
    </row>
    <row r="860" spans="1:7">
      <c r="A860" t="s">
        <v>3201</v>
      </c>
      <c r="B860" t="s">
        <v>5053</v>
      </c>
      <c r="C860" t="s">
        <v>3808</v>
      </c>
      <c r="D860" t="s">
        <v>3809</v>
      </c>
      <c r="E860">
        <v>6</v>
      </c>
      <c r="F860" s="6">
        <v>750</v>
      </c>
      <c r="G860" t="s">
        <v>5054</v>
      </c>
    </row>
    <row r="861" spans="1:7">
      <c r="A861" t="s">
        <v>5055</v>
      </c>
      <c r="B861" t="s">
        <v>5056</v>
      </c>
      <c r="C861" t="s">
        <v>3808</v>
      </c>
      <c r="D861" t="s">
        <v>3809</v>
      </c>
      <c r="E861">
        <v>6</v>
      </c>
      <c r="F861" s="6">
        <v>750</v>
      </c>
      <c r="G861" t="s">
        <v>4807</v>
      </c>
    </row>
    <row r="862" spans="1:7">
      <c r="A862" t="s">
        <v>1253</v>
      </c>
      <c r="B862" t="s">
        <v>5057</v>
      </c>
      <c r="C862" t="s">
        <v>4455</v>
      </c>
      <c r="D862" t="s">
        <v>4456</v>
      </c>
      <c r="E862">
        <v>6</v>
      </c>
      <c r="F862" s="6">
        <v>750</v>
      </c>
      <c r="G862" t="s">
        <v>4285</v>
      </c>
    </row>
    <row r="863" spans="1:7">
      <c r="A863" t="s">
        <v>5058</v>
      </c>
      <c r="B863" t="s">
        <v>5059</v>
      </c>
      <c r="C863" t="s">
        <v>3679</v>
      </c>
      <c r="D863" t="s">
        <v>3680</v>
      </c>
      <c r="E863">
        <v>6</v>
      </c>
      <c r="F863" s="6">
        <v>700</v>
      </c>
      <c r="G863" t="s">
        <v>3702</v>
      </c>
    </row>
    <row r="864" spans="1:7">
      <c r="A864" t="s">
        <v>5060</v>
      </c>
      <c r="B864" t="s">
        <v>5061</v>
      </c>
      <c r="C864" t="s">
        <v>3708</v>
      </c>
      <c r="D864" t="s">
        <v>3709</v>
      </c>
      <c r="E864">
        <v>6</v>
      </c>
      <c r="F864" s="6">
        <v>750</v>
      </c>
      <c r="G864" t="s">
        <v>3802</v>
      </c>
    </row>
    <row r="865" spans="1:7">
      <c r="A865" t="s">
        <v>5062</v>
      </c>
      <c r="B865" t="s">
        <v>5063</v>
      </c>
      <c r="C865" t="s">
        <v>3808</v>
      </c>
      <c r="D865" t="s">
        <v>3809</v>
      </c>
      <c r="E865">
        <v>6</v>
      </c>
      <c r="F865" s="6">
        <v>750</v>
      </c>
      <c r="G865" t="s">
        <v>4182</v>
      </c>
    </row>
    <row r="866" spans="1:7">
      <c r="A866" t="s">
        <v>5064</v>
      </c>
      <c r="B866" t="s">
        <v>5065</v>
      </c>
      <c r="C866" t="s">
        <v>3679</v>
      </c>
      <c r="D866" t="s">
        <v>3680</v>
      </c>
      <c r="E866">
        <v>6</v>
      </c>
      <c r="F866" s="6">
        <v>750</v>
      </c>
      <c r="G866" t="s">
        <v>4807</v>
      </c>
    </row>
    <row r="867" spans="1:7">
      <c r="A867" t="s">
        <v>5066</v>
      </c>
      <c r="B867" t="s">
        <v>5067</v>
      </c>
      <c r="C867" t="s">
        <v>3679</v>
      </c>
      <c r="D867" t="s">
        <v>3680</v>
      </c>
      <c r="E867">
        <v>6</v>
      </c>
      <c r="F867" s="6">
        <v>750</v>
      </c>
      <c r="G867" t="s">
        <v>3781</v>
      </c>
    </row>
    <row r="868" spans="1:7">
      <c r="A868" t="s">
        <v>5068</v>
      </c>
      <c r="B868" t="s">
        <v>5069</v>
      </c>
      <c r="C868" t="s">
        <v>4474</v>
      </c>
      <c r="D868" t="s">
        <v>4475</v>
      </c>
      <c r="E868">
        <v>6</v>
      </c>
      <c r="F868" s="6">
        <v>750</v>
      </c>
      <c r="G868" t="s">
        <v>5070</v>
      </c>
    </row>
    <row r="869" spans="1:7">
      <c r="A869" t="s">
        <v>2327</v>
      </c>
      <c r="B869" t="s">
        <v>5071</v>
      </c>
      <c r="C869" t="s">
        <v>3928</v>
      </c>
      <c r="D869" t="s">
        <v>3929</v>
      </c>
      <c r="E869">
        <v>6</v>
      </c>
      <c r="F869" s="6">
        <v>750</v>
      </c>
      <c r="G869" t="s">
        <v>3730</v>
      </c>
    </row>
    <row r="870" spans="1:7">
      <c r="A870" t="s">
        <v>1791</v>
      </c>
      <c r="B870" t="s">
        <v>5072</v>
      </c>
      <c r="C870" t="s">
        <v>3679</v>
      </c>
      <c r="D870" t="s">
        <v>3680</v>
      </c>
      <c r="E870">
        <v>6</v>
      </c>
      <c r="F870" s="6">
        <v>750</v>
      </c>
      <c r="G870" t="s">
        <v>3871</v>
      </c>
    </row>
    <row r="871" spans="1:7">
      <c r="A871" t="s">
        <v>5073</v>
      </c>
      <c r="B871" t="s">
        <v>5074</v>
      </c>
      <c r="C871" t="s">
        <v>3708</v>
      </c>
      <c r="D871" t="s">
        <v>3709</v>
      </c>
      <c r="E871">
        <v>12</v>
      </c>
      <c r="F871" s="6">
        <v>750</v>
      </c>
      <c r="G871" t="s">
        <v>3802</v>
      </c>
    </row>
    <row r="872" spans="1:7">
      <c r="A872" t="s">
        <v>5075</v>
      </c>
      <c r="B872" t="s">
        <v>5076</v>
      </c>
      <c r="C872" t="s">
        <v>3808</v>
      </c>
      <c r="D872" t="s">
        <v>3809</v>
      </c>
      <c r="E872">
        <v>6</v>
      </c>
      <c r="F872" s="6">
        <v>750</v>
      </c>
      <c r="G872" t="s">
        <v>4438</v>
      </c>
    </row>
    <row r="873" spans="1:7">
      <c r="A873" t="s">
        <v>5077</v>
      </c>
      <c r="B873" t="s">
        <v>5078</v>
      </c>
      <c r="C873" t="s">
        <v>4244</v>
      </c>
      <c r="D873" t="s">
        <v>4245</v>
      </c>
      <c r="E873">
        <v>6</v>
      </c>
      <c r="F873" s="6">
        <v>750</v>
      </c>
      <c r="G873" t="s">
        <v>3854</v>
      </c>
    </row>
    <row r="874" spans="1:7">
      <c r="A874" t="s">
        <v>5079</v>
      </c>
      <c r="B874" t="s">
        <v>5080</v>
      </c>
      <c r="C874" t="s">
        <v>4244</v>
      </c>
      <c r="D874" t="s">
        <v>4245</v>
      </c>
      <c r="E874">
        <v>6</v>
      </c>
      <c r="F874" s="6">
        <v>750</v>
      </c>
      <c r="G874" t="s">
        <v>4674</v>
      </c>
    </row>
    <row r="875" spans="1:7">
      <c r="A875" t="s">
        <v>5081</v>
      </c>
      <c r="B875" t="s">
        <v>5082</v>
      </c>
      <c r="C875" t="s">
        <v>3808</v>
      </c>
      <c r="D875" t="s">
        <v>3809</v>
      </c>
      <c r="E875">
        <v>48</v>
      </c>
      <c r="F875" s="6">
        <v>200</v>
      </c>
      <c r="G875" t="s">
        <v>3716</v>
      </c>
    </row>
    <row r="876" spans="1:7">
      <c r="A876" t="s">
        <v>482</v>
      </c>
      <c r="B876" t="s">
        <v>5082</v>
      </c>
      <c r="C876" t="s">
        <v>3808</v>
      </c>
      <c r="D876" t="s">
        <v>3809</v>
      </c>
      <c r="E876">
        <v>24</v>
      </c>
      <c r="F876" s="6">
        <v>375</v>
      </c>
      <c r="G876" t="s">
        <v>3716</v>
      </c>
    </row>
    <row r="877" spans="1:7">
      <c r="A877" t="s">
        <v>3519</v>
      </c>
      <c r="B877" t="s">
        <v>5082</v>
      </c>
      <c r="C877" t="s">
        <v>3808</v>
      </c>
      <c r="D877" t="s">
        <v>3809</v>
      </c>
      <c r="E877">
        <v>12</v>
      </c>
      <c r="F877" s="6">
        <v>750</v>
      </c>
      <c r="G877" t="s">
        <v>3716</v>
      </c>
    </row>
    <row r="878" spans="1:7">
      <c r="A878" t="s">
        <v>2792</v>
      </c>
      <c r="B878" t="s">
        <v>5082</v>
      </c>
      <c r="C878" t="s">
        <v>3808</v>
      </c>
      <c r="D878" t="s">
        <v>3809</v>
      </c>
      <c r="E878">
        <v>12</v>
      </c>
      <c r="F878" s="6">
        <v>1000</v>
      </c>
      <c r="G878" t="s">
        <v>3716</v>
      </c>
    </row>
    <row r="879" spans="1:7">
      <c r="A879" t="s">
        <v>439</v>
      </c>
      <c r="B879" t="s">
        <v>5082</v>
      </c>
      <c r="C879" t="s">
        <v>3808</v>
      </c>
      <c r="D879" t="s">
        <v>3809</v>
      </c>
      <c r="E879">
        <v>6</v>
      </c>
      <c r="F879" s="6">
        <v>1750</v>
      </c>
      <c r="G879" t="s">
        <v>3716</v>
      </c>
    </row>
    <row r="880" spans="1:7">
      <c r="A880" t="s">
        <v>2259</v>
      </c>
      <c r="B880" t="s">
        <v>5083</v>
      </c>
      <c r="C880" t="s">
        <v>3808</v>
      </c>
      <c r="D880" t="s">
        <v>3809</v>
      </c>
      <c r="E880">
        <v>6</v>
      </c>
      <c r="F880" s="6">
        <v>750</v>
      </c>
      <c r="G880" t="s">
        <v>5084</v>
      </c>
    </row>
    <row r="881" spans="1:7">
      <c r="A881" t="s">
        <v>5085</v>
      </c>
      <c r="B881" t="s">
        <v>5086</v>
      </c>
      <c r="C881" t="s">
        <v>3808</v>
      </c>
      <c r="D881" t="s">
        <v>3809</v>
      </c>
      <c r="E881">
        <v>6</v>
      </c>
      <c r="F881" s="6">
        <v>750</v>
      </c>
      <c r="G881" t="s">
        <v>5084</v>
      </c>
    </row>
    <row r="882" spans="1:7">
      <c r="A882" t="s">
        <v>5087</v>
      </c>
      <c r="B882" t="s">
        <v>5088</v>
      </c>
      <c r="C882" t="s">
        <v>3679</v>
      </c>
      <c r="D882" t="s">
        <v>3680</v>
      </c>
      <c r="E882">
        <v>6</v>
      </c>
      <c r="F882" s="6">
        <v>750</v>
      </c>
      <c r="G882" t="s">
        <v>3878</v>
      </c>
    </row>
    <row r="883" spans="1:7">
      <c r="A883" t="s">
        <v>5089</v>
      </c>
      <c r="B883" t="s">
        <v>5090</v>
      </c>
      <c r="C883" t="s">
        <v>3808</v>
      </c>
      <c r="D883" t="s">
        <v>3809</v>
      </c>
      <c r="E883">
        <v>6</v>
      </c>
      <c r="F883" s="6">
        <v>750</v>
      </c>
      <c r="G883" t="s">
        <v>4807</v>
      </c>
    </row>
    <row r="884" spans="1:7">
      <c r="A884" t="s">
        <v>5091</v>
      </c>
      <c r="B884" t="s">
        <v>5092</v>
      </c>
      <c r="C884" t="s">
        <v>3679</v>
      </c>
      <c r="D884" t="s">
        <v>3680</v>
      </c>
      <c r="E884">
        <v>6</v>
      </c>
      <c r="F884" s="6">
        <v>750</v>
      </c>
      <c r="G884" t="s">
        <v>4807</v>
      </c>
    </row>
    <row r="885" spans="1:7">
      <c r="A885" t="s">
        <v>938</v>
      </c>
      <c r="B885" t="s">
        <v>5093</v>
      </c>
      <c r="C885" t="s">
        <v>3808</v>
      </c>
      <c r="D885" t="s">
        <v>3809</v>
      </c>
      <c r="E885">
        <v>12</v>
      </c>
      <c r="F885" s="6">
        <v>750</v>
      </c>
      <c r="G885" t="s">
        <v>4344</v>
      </c>
    </row>
    <row r="886" spans="1:7">
      <c r="A886" t="s">
        <v>5094</v>
      </c>
      <c r="B886" t="s">
        <v>5095</v>
      </c>
      <c r="C886" t="s">
        <v>3808</v>
      </c>
      <c r="D886" t="s">
        <v>3809</v>
      </c>
      <c r="E886">
        <v>12</v>
      </c>
      <c r="F886" s="6">
        <v>1000</v>
      </c>
      <c r="G886" t="s">
        <v>3686</v>
      </c>
    </row>
    <row r="887" spans="1:7">
      <c r="A887" t="s">
        <v>1495</v>
      </c>
      <c r="B887" t="s">
        <v>5096</v>
      </c>
      <c r="C887" t="s">
        <v>3808</v>
      </c>
      <c r="D887" t="s">
        <v>3809</v>
      </c>
      <c r="E887">
        <v>6</v>
      </c>
      <c r="F887" s="6">
        <v>1750</v>
      </c>
      <c r="G887" t="s">
        <v>3686</v>
      </c>
    </row>
    <row r="888" spans="1:7">
      <c r="A888" t="s">
        <v>1732</v>
      </c>
      <c r="B888" t="s">
        <v>5097</v>
      </c>
      <c r="C888" t="s">
        <v>3808</v>
      </c>
      <c r="D888" t="s">
        <v>3809</v>
      </c>
      <c r="E888">
        <v>48</v>
      </c>
      <c r="F888" s="6">
        <v>200</v>
      </c>
      <c r="G888" t="s">
        <v>4344</v>
      </c>
    </row>
    <row r="889" spans="1:7">
      <c r="A889" t="s">
        <v>2653</v>
      </c>
      <c r="B889" t="s">
        <v>5097</v>
      </c>
      <c r="C889" t="s">
        <v>3808</v>
      </c>
      <c r="D889" t="s">
        <v>3809</v>
      </c>
      <c r="E889">
        <v>24</v>
      </c>
      <c r="F889" s="6">
        <v>375</v>
      </c>
      <c r="G889" t="s">
        <v>4344</v>
      </c>
    </row>
    <row r="890" spans="1:7">
      <c r="A890" t="s">
        <v>285</v>
      </c>
      <c r="B890" t="s">
        <v>5097</v>
      </c>
      <c r="C890" t="s">
        <v>3808</v>
      </c>
      <c r="D890" t="s">
        <v>3809</v>
      </c>
      <c r="E890">
        <v>12</v>
      </c>
      <c r="F890" s="6">
        <v>750</v>
      </c>
      <c r="G890" t="s">
        <v>4344</v>
      </c>
    </row>
    <row r="891" spans="1:7">
      <c r="A891" t="s">
        <v>2043</v>
      </c>
      <c r="B891" t="s">
        <v>5097</v>
      </c>
      <c r="C891" t="s">
        <v>3808</v>
      </c>
      <c r="D891" t="s">
        <v>3809</v>
      </c>
      <c r="E891">
        <v>12</v>
      </c>
      <c r="F891" s="6">
        <v>1000</v>
      </c>
      <c r="G891" t="s">
        <v>4344</v>
      </c>
    </row>
    <row r="892" spans="1:7">
      <c r="A892" t="s">
        <v>877</v>
      </c>
      <c r="B892" t="s">
        <v>5097</v>
      </c>
      <c r="C892" t="s">
        <v>3808</v>
      </c>
      <c r="D892" t="s">
        <v>3809</v>
      </c>
      <c r="E892">
        <v>6</v>
      </c>
      <c r="F892" s="6">
        <v>1750</v>
      </c>
      <c r="G892" t="s">
        <v>4344</v>
      </c>
    </row>
    <row r="893" spans="1:7">
      <c r="A893" t="s">
        <v>5098</v>
      </c>
      <c r="B893" t="s">
        <v>5099</v>
      </c>
      <c r="C893" t="s">
        <v>3808</v>
      </c>
      <c r="D893" t="s">
        <v>3809</v>
      </c>
      <c r="E893">
        <v>12</v>
      </c>
      <c r="F893" s="6">
        <v>1000</v>
      </c>
      <c r="G893" t="s">
        <v>5030</v>
      </c>
    </row>
    <row r="894" spans="1:7">
      <c r="A894" t="s">
        <v>5100</v>
      </c>
      <c r="B894" t="s">
        <v>5101</v>
      </c>
      <c r="C894" t="s">
        <v>4244</v>
      </c>
      <c r="D894" t="s">
        <v>4245</v>
      </c>
      <c r="E894">
        <v>6</v>
      </c>
      <c r="F894" s="6">
        <v>750</v>
      </c>
      <c r="G894" t="s">
        <v>4744</v>
      </c>
    </row>
    <row r="895" spans="1:7">
      <c r="A895" t="s">
        <v>1698</v>
      </c>
      <c r="B895" t="s">
        <v>5102</v>
      </c>
      <c r="C895" t="s">
        <v>3808</v>
      </c>
      <c r="D895" t="s">
        <v>3809</v>
      </c>
      <c r="E895">
        <v>12</v>
      </c>
      <c r="F895" s="6">
        <v>50</v>
      </c>
      <c r="G895" t="s">
        <v>3716</v>
      </c>
    </row>
    <row r="896" spans="1:7">
      <c r="A896" t="s">
        <v>3002</v>
      </c>
      <c r="B896" t="s">
        <v>5103</v>
      </c>
      <c r="C896" t="s">
        <v>3808</v>
      </c>
      <c r="D896" t="s">
        <v>3809</v>
      </c>
      <c r="E896">
        <v>48</v>
      </c>
      <c r="F896" s="6">
        <v>200</v>
      </c>
      <c r="G896" t="s">
        <v>3716</v>
      </c>
    </row>
    <row r="897" spans="1:7">
      <c r="A897" t="s">
        <v>1974</v>
      </c>
      <c r="B897" t="s">
        <v>5103</v>
      </c>
      <c r="C897" t="s">
        <v>3808</v>
      </c>
      <c r="D897" t="s">
        <v>3809</v>
      </c>
      <c r="E897">
        <v>24</v>
      </c>
      <c r="F897" s="6">
        <v>375</v>
      </c>
      <c r="G897" t="s">
        <v>3716</v>
      </c>
    </row>
    <row r="898" spans="1:7">
      <c r="A898" t="s">
        <v>3658</v>
      </c>
      <c r="B898" t="s">
        <v>5103</v>
      </c>
      <c r="C898" t="s">
        <v>3808</v>
      </c>
      <c r="D898" t="s">
        <v>3809</v>
      </c>
      <c r="E898">
        <v>12</v>
      </c>
      <c r="F898" s="6">
        <v>750</v>
      </c>
      <c r="G898" t="s">
        <v>3716</v>
      </c>
    </row>
    <row r="899" spans="1:7">
      <c r="A899" t="s">
        <v>1292</v>
      </c>
      <c r="B899" t="s">
        <v>5103</v>
      </c>
      <c r="C899" t="s">
        <v>3808</v>
      </c>
      <c r="D899" t="s">
        <v>3809</v>
      </c>
      <c r="E899">
        <v>12</v>
      </c>
      <c r="F899" s="6">
        <v>1000</v>
      </c>
      <c r="G899" t="s">
        <v>3716</v>
      </c>
    </row>
    <row r="900" spans="1:7">
      <c r="A900" t="s">
        <v>394</v>
      </c>
      <c r="B900" t="s">
        <v>5103</v>
      </c>
      <c r="C900" t="s">
        <v>3808</v>
      </c>
      <c r="D900" t="s">
        <v>3809</v>
      </c>
      <c r="E900">
        <v>6</v>
      </c>
      <c r="F900" s="6">
        <v>1750</v>
      </c>
      <c r="G900" t="s">
        <v>3716</v>
      </c>
    </row>
    <row r="901" spans="1:7">
      <c r="A901" t="s">
        <v>5104</v>
      </c>
      <c r="B901" t="s">
        <v>5105</v>
      </c>
      <c r="C901" t="s">
        <v>3700</v>
      </c>
      <c r="D901" t="s">
        <v>3701</v>
      </c>
      <c r="E901">
        <v>1</v>
      </c>
      <c r="F901" s="6">
        <v>4500</v>
      </c>
      <c r="G901" t="s">
        <v>5106</v>
      </c>
    </row>
    <row r="902" spans="1:7">
      <c r="A902" t="s">
        <v>3466</v>
      </c>
      <c r="B902" t="s">
        <v>5107</v>
      </c>
      <c r="C902" t="s">
        <v>3808</v>
      </c>
      <c r="D902" t="s">
        <v>3809</v>
      </c>
      <c r="E902">
        <v>12</v>
      </c>
      <c r="F902" s="6">
        <v>750</v>
      </c>
      <c r="G902" t="s">
        <v>3716</v>
      </c>
    </row>
    <row r="903" spans="1:7">
      <c r="A903" t="s">
        <v>2965</v>
      </c>
      <c r="B903" t="s">
        <v>5108</v>
      </c>
      <c r="C903" t="s">
        <v>3808</v>
      </c>
      <c r="D903" t="s">
        <v>3809</v>
      </c>
      <c r="E903">
        <v>6</v>
      </c>
      <c r="F903" s="6">
        <v>750</v>
      </c>
      <c r="G903" t="s">
        <v>5109</v>
      </c>
    </row>
    <row r="904" spans="1:7">
      <c r="A904" t="s">
        <v>1469</v>
      </c>
      <c r="B904" t="s">
        <v>5110</v>
      </c>
      <c r="C904" t="s">
        <v>3808</v>
      </c>
      <c r="D904" t="s">
        <v>3809</v>
      </c>
      <c r="E904">
        <v>12</v>
      </c>
      <c r="F904" s="6">
        <v>750</v>
      </c>
      <c r="G904" t="s">
        <v>3698</v>
      </c>
    </row>
    <row r="905" spans="1:7">
      <c r="A905" t="s">
        <v>2001</v>
      </c>
      <c r="B905" t="s">
        <v>5111</v>
      </c>
      <c r="C905" t="s">
        <v>3808</v>
      </c>
      <c r="D905" t="s">
        <v>3809</v>
      </c>
      <c r="E905">
        <v>6</v>
      </c>
      <c r="F905" s="6">
        <v>1750</v>
      </c>
      <c r="G905" t="s">
        <v>3698</v>
      </c>
    </row>
    <row r="906" spans="1:7">
      <c r="A906" t="s">
        <v>5112</v>
      </c>
      <c r="B906" t="s">
        <v>5113</v>
      </c>
      <c r="C906" t="s">
        <v>3808</v>
      </c>
      <c r="D906" t="s">
        <v>3809</v>
      </c>
      <c r="E906">
        <v>6</v>
      </c>
      <c r="F906" s="6">
        <v>750</v>
      </c>
      <c r="G906" t="s">
        <v>5114</v>
      </c>
    </row>
    <row r="907" spans="1:7">
      <c r="A907" t="s">
        <v>691</v>
      </c>
      <c r="B907" t="s">
        <v>5115</v>
      </c>
      <c r="C907" t="s">
        <v>4474</v>
      </c>
      <c r="D907" t="s">
        <v>4475</v>
      </c>
      <c r="E907">
        <v>6</v>
      </c>
      <c r="F907" s="6">
        <v>750</v>
      </c>
      <c r="G907" t="s">
        <v>4581</v>
      </c>
    </row>
    <row r="908" spans="1:7">
      <c r="A908" t="s">
        <v>5116</v>
      </c>
      <c r="B908" t="s">
        <v>5117</v>
      </c>
      <c r="C908" t="s">
        <v>4244</v>
      </c>
      <c r="D908" t="s">
        <v>4245</v>
      </c>
      <c r="E908">
        <v>6</v>
      </c>
      <c r="F908" s="6">
        <v>750</v>
      </c>
      <c r="G908" t="s">
        <v>4566</v>
      </c>
    </row>
    <row r="909" spans="1:7">
      <c r="A909" t="s">
        <v>5118</v>
      </c>
      <c r="B909" t="s">
        <v>5119</v>
      </c>
      <c r="C909" t="s">
        <v>3808</v>
      </c>
      <c r="D909" t="s">
        <v>3809</v>
      </c>
      <c r="E909">
        <v>10</v>
      </c>
      <c r="F909" s="6">
        <v>50</v>
      </c>
      <c r="G909" t="s">
        <v>3686</v>
      </c>
    </row>
    <row r="910" spans="1:7">
      <c r="A910" t="s">
        <v>5120</v>
      </c>
      <c r="B910" t="s">
        <v>5121</v>
      </c>
      <c r="C910" t="s">
        <v>4244</v>
      </c>
      <c r="D910" t="s">
        <v>4245</v>
      </c>
      <c r="E910">
        <v>6</v>
      </c>
      <c r="F910" s="6">
        <v>750</v>
      </c>
      <c r="G910" t="s">
        <v>4566</v>
      </c>
    </row>
    <row r="911" spans="1:7">
      <c r="A911" t="s">
        <v>5122</v>
      </c>
      <c r="B911" t="s">
        <v>5123</v>
      </c>
      <c r="C911" t="s">
        <v>4244</v>
      </c>
      <c r="D911" t="s">
        <v>4245</v>
      </c>
      <c r="E911">
        <v>6</v>
      </c>
      <c r="F911" s="6">
        <v>750</v>
      </c>
      <c r="G911" t="s">
        <v>4566</v>
      </c>
    </row>
    <row r="912" spans="1:7">
      <c r="A912" t="s">
        <v>5124</v>
      </c>
      <c r="B912" t="s">
        <v>5125</v>
      </c>
      <c r="C912" t="s">
        <v>4244</v>
      </c>
      <c r="D912" t="s">
        <v>4245</v>
      </c>
      <c r="E912">
        <v>6</v>
      </c>
      <c r="F912" s="6">
        <v>750</v>
      </c>
      <c r="G912" t="s">
        <v>4566</v>
      </c>
    </row>
    <row r="913" spans="1:7">
      <c r="A913" t="s">
        <v>5126</v>
      </c>
      <c r="B913" t="s">
        <v>5127</v>
      </c>
      <c r="C913" t="s">
        <v>4244</v>
      </c>
      <c r="D913" t="s">
        <v>4245</v>
      </c>
      <c r="E913">
        <v>6</v>
      </c>
      <c r="F913" s="6">
        <v>700</v>
      </c>
      <c r="G913" t="s">
        <v>4163</v>
      </c>
    </row>
    <row r="914" spans="1:7">
      <c r="A914" t="s">
        <v>5128</v>
      </c>
      <c r="B914" t="s">
        <v>5129</v>
      </c>
      <c r="C914" t="s">
        <v>3679</v>
      </c>
      <c r="D914" t="s">
        <v>3680</v>
      </c>
      <c r="E914">
        <v>6</v>
      </c>
      <c r="F914" s="6">
        <v>750</v>
      </c>
      <c r="G914" t="s">
        <v>4438</v>
      </c>
    </row>
    <row r="915" spans="1:7">
      <c r="A915" t="s">
        <v>5130</v>
      </c>
      <c r="B915" t="s">
        <v>5131</v>
      </c>
      <c r="C915" t="s">
        <v>3679</v>
      </c>
      <c r="D915" t="s">
        <v>3680</v>
      </c>
      <c r="E915">
        <v>6</v>
      </c>
      <c r="F915" s="6">
        <v>750</v>
      </c>
      <c r="G915" t="s">
        <v>4163</v>
      </c>
    </row>
    <row r="916" spans="1:7">
      <c r="A916" t="s">
        <v>5132</v>
      </c>
      <c r="B916" t="s">
        <v>5133</v>
      </c>
      <c r="C916" t="s">
        <v>3679</v>
      </c>
      <c r="D916" t="s">
        <v>3680</v>
      </c>
      <c r="E916">
        <v>6</v>
      </c>
      <c r="F916" s="6">
        <v>750</v>
      </c>
      <c r="G916" t="s">
        <v>5134</v>
      </c>
    </row>
    <row r="917" spans="1:7">
      <c r="A917" t="s">
        <v>5135</v>
      </c>
      <c r="B917" t="s">
        <v>5136</v>
      </c>
      <c r="C917" t="s">
        <v>3679</v>
      </c>
      <c r="D917" t="s">
        <v>3680</v>
      </c>
      <c r="E917">
        <v>6</v>
      </c>
      <c r="F917" s="6">
        <v>750</v>
      </c>
      <c r="G917" t="s">
        <v>3871</v>
      </c>
    </row>
    <row r="918" spans="1:7">
      <c r="A918" t="s">
        <v>2595</v>
      </c>
      <c r="B918" t="s">
        <v>5137</v>
      </c>
      <c r="C918" t="s">
        <v>3808</v>
      </c>
      <c r="D918" t="s">
        <v>3809</v>
      </c>
      <c r="E918">
        <v>12</v>
      </c>
      <c r="F918" s="6">
        <v>750</v>
      </c>
      <c r="G918" t="s">
        <v>3686</v>
      </c>
    </row>
    <row r="919" spans="1:7">
      <c r="A919" t="s">
        <v>2907</v>
      </c>
      <c r="B919" t="s">
        <v>5138</v>
      </c>
      <c r="C919" t="s">
        <v>4455</v>
      </c>
      <c r="D919" t="s">
        <v>4456</v>
      </c>
      <c r="E919">
        <v>6</v>
      </c>
      <c r="F919" s="6">
        <v>750</v>
      </c>
      <c r="G919" t="s">
        <v>5139</v>
      </c>
    </row>
    <row r="920" spans="1:7">
      <c r="A920" t="s">
        <v>5140</v>
      </c>
      <c r="B920" t="s">
        <v>5027</v>
      </c>
      <c r="C920" t="s">
        <v>4244</v>
      </c>
      <c r="D920" t="s">
        <v>4245</v>
      </c>
      <c r="E920">
        <v>6</v>
      </c>
      <c r="F920" s="6">
        <v>1750</v>
      </c>
      <c r="G920" t="s">
        <v>3686</v>
      </c>
    </row>
    <row r="921" spans="1:7">
      <c r="A921" t="s">
        <v>5141</v>
      </c>
      <c r="B921" t="s">
        <v>5142</v>
      </c>
      <c r="C921" t="s">
        <v>3679</v>
      </c>
      <c r="D921" t="s">
        <v>3680</v>
      </c>
      <c r="E921">
        <v>6</v>
      </c>
      <c r="F921" s="6">
        <v>750</v>
      </c>
      <c r="G921" t="s">
        <v>3951</v>
      </c>
    </row>
    <row r="922" spans="1:7">
      <c r="A922" t="s">
        <v>5143</v>
      </c>
      <c r="B922" t="s">
        <v>5144</v>
      </c>
      <c r="C922" t="s">
        <v>4244</v>
      </c>
      <c r="D922" t="s">
        <v>4245</v>
      </c>
      <c r="E922">
        <v>6</v>
      </c>
      <c r="F922" s="6">
        <v>750</v>
      </c>
      <c r="G922" t="s">
        <v>3735</v>
      </c>
    </row>
    <row r="923" spans="1:7">
      <c r="A923" t="s">
        <v>5145</v>
      </c>
      <c r="B923" t="s">
        <v>5146</v>
      </c>
      <c r="C923" t="s">
        <v>3808</v>
      </c>
      <c r="D923" t="s">
        <v>3809</v>
      </c>
      <c r="E923">
        <v>12</v>
      </c>
      <c r="F923" s="6">
        <v>1000</v>
      </c>
      <c r="G923" t="s">
        <v>3686</v>
      </c>
    </row>
    <row r="924" spans="1:7">
      <c r="A924" t="s">
        <v>5147</v>
      </c>
      <c r="B924" t="s">
        <v>5148</v>
      </c>
      <c r="C924" t="s">
        <v>3679</v>
      </c>
      <c r="D924" t="s">
        <v>3680</v>
      </c>
      <c r="E924">
        <v>6</v>
      </c>
      <c r="F924" s="6">
        <v>700</v>
      </c>
      <c r="G924" t="s">
        <v>3694</v>
      </c>
    </row>
    <row r="925" spans="1:7">
      <c r="A925" t="s">
        <v>5149</v>
      </c>
      <c r="B925" t="s">
        <v>5150</v>
      </c>
      <c r="C925" t="s">
        <v>4244</v>
      </c>
      <c r="D925" t="s">
        <v>4245</v>
      </c>
      <c r="E925">
        <v>6</v>
      </c>
      <c r="F925" s="6">
        <v>750</v>
      </c>
      <c r="G925" t="s">
        <v>4754</v>
      </c>
    </row>
    <row r="926" spans="1:7">
      <c r="A926" t="s">
        <v>5151</v>
      </c>
      <c r="B926" t="s">
        <v>5152</v>
      </c>
      <c r="C926" t="s">
        <v>4244</v>
      </c>
      <c r="D926" t="s">
        <v>4245</v>
      </c>
      <c r="E926">
        <v>6</v>
      </c>
      <c r="F926" s="6">
        <v>750</v>
      </c>
      <c r="G926" t="s">
        <v>4754</v>
      </c>
    </row>
    <row r="927" spans="1:7">
      <c r="A927" t="s">
        <v>5153</v>
      </c>
      <c r="B927" t="s">
        <v>5154</v>
      </c>
      <c r="C927" t="s">
        <v>3808</v>
      </c>
      <c r="D927" t="s">
        <v>3809</v>
      </c>
      <c r="E927">
        <v>6</v>
      </c>
      <c r="F927" s="6">
        <v>750</v>
      </c>
      <c r="G927" t="s">
        <v>3802</v>
      </c>
    </row>
    <row r="928" spans="1:7">
      <c r="A928" t="s">
        <v>3320</v>
      </c>
      <c r="B928" t="s">
        <v>5155</v>
      </c>
      <c r="C928" t="s">
        <v>4455</v>
      </c>
      <c r="D928" t="s">
        <v>4456</v>
      </c>
      <c r="E928">
        <v>6</v>
      </c>
      <c r="F928" s="6">
        <v>700</v>
      </c>
      <c r="G928" t="s">
        <v>3694</v>
      </c>
    </row>
    <row r="929" spans="1:7">
      <c r="A929" t="s">
        <v>494</v>
      </c>
      <c r="B929" t="s">
        <v>5156</v>
      </c>
      <c r="C929" t="s">
        <v>4244</v>
      </c>
      <c r="D929" t="s">
        <v>4245</v>
      </c>
      <c r="E929">
        <v>6</v>
      </c>
      <c r="F929" s="6">
        <v>750</v>
      </c>
      <c r="G929" t="s">
        <v>4163</v>
      </c>
    </row>
    <row r="930" spans="1:7">
      <c r="A930" t="s">
        <v>2077</v>
      </c>
      <c r="B930" t="s">
        <v>5157</v>
      </c>
      <c r="C930" t="s">
        <v>4244</v>
      </c>
      <c r="D930" t="s">
        <v>4245</v>
      </c>
      <c r="E930">
        <v>6</v>
      </c>
      <c r="F930" s="6">
        <v>750</v>
      </c>
      <c r="G930" t="s">
        <v>4438</v>
      </c>
    </row>
    <row r="931" spans="1:7">
      <c r="A931" t="s">
        <v>5158</v>
      </c>
      <c r="B931" t="s">
        <v>5159</v>
      </c>
      <c r="C931" t="s">
        <v>4244</v>
      </c>
      <c r="D931" t="s">
        <v>4245</v>
      </c>
      <c r="E931">
        <v>6</v>
      </c>
      <c r="F931" s="6">
        <v>750</v>
      </c>
      <c r="G931" t="s">
        <v>4438</v>
      </c>
    </row>
    <row r="932" spans="1:7">
      <c r="A932" t="s">
        <v>5160</v>
      </c>
      <c r="B932" t="s">
        <v>5161</v>
      </c>
      <c r="C932" t="s">
        <v>3679</v>
      </c>
      <c r="D932" t="s">
        <v>3680</v>
      </c>
      <c r="E932">
        <v>6</v>
      </c>
      <c r="F932" s="6">
        <v>750</v>
      </c>
      <c r="G932" t="s">
        <v>4796</v>
      </c>
    </row>
    <row r="933" spans="1:7">
      <c r="A933" t="s">
        <v>1907</v>
      </c>
      <c r="B933" t="s">
        <v>5162</v>
      </c>
      <c r="C933" t="s">
        <v>3928</v>
      </c>
      <c r="D933" t="s">
        <v>3929</v>
      </c>
      <c r="E933">
        <v>6</v>
      </c>
      <c r="F933" s="6">
        <v>750</v>
      </c>
      <c r="G933" t="s">
        <v>3716</v>
      </c>
    </row>
    <row r="934" spans="1:7">
      <c r="A934" t="s">
        <v>5163</v>
      </c>
      <c r="B934" t="s">
        <v>5164</v>
      </c>
      <c r="C934" t="s">
        <v>3928</v>
      </c>
      <c r="D934" t="s">
        <v>3929</v>
      </c>
      <c r="E934">
        <v>6</v>
      </c>
      <c r="F934" s="6">
        <v>750</v>
      </c>
      <c r="G934" t="s">
        <v>4068</v>
      </c>
    </row>
    <row r="935" spans="1:7">
      <c r="A935" t="s">
        <v>5165</v>
      </c>
      <c r="B935" t="s">
        <v>5166</v>
      </c>
      <c r="C935" t="s">
        <v>3679</v>
      </c>
      <c r="D935" t="s">
        <v>3680</v>
      </c>
      <c r="E935">
        <v>6</v>
      </c>
      <c r="F935" s="6">
        <v>750</v>
      </c>
      <c r="G935" t="s">
        <v>5134</v>
      </c>
    </row>
    <row r="936" spans="1:7">
      <c r="A936" t="s">
        <v>5167</v>
      </c>
      <c r="B936" t="s">
        <v>5168</v>
      </c>
      <c r="C936" t="s">
        <v>3808</v>
      </c>
      <c r="D936" t="s">
        <v>3809</v>
      </c>
      <c r="E936">
        <v>12</v>
      </c>
      <c r="F936" s="6">
        <v>750</v>
      </c>
      <c r="G936" t="s">
        <v>4581</v>
      </c>
    </row>
    <row r="937" spans="1:7">
      <c r="A937" t="s">
        <v>5169</v>
      </c>
      <c r="B937" t="s">
        <v>5170</v>
      </c>
      <c r="C937" t="s">
        <v>4244</v>
      </c>
      <c r="D937" t="s">
        <v>4245</v>
      </c>
      <c r="E937">
        <v>12</v>
      </c>
      <c r="F937" s="6">
        <v>750</v>
      </c>
      <c r="G937" t="s">
        <v>3716</v>
      </c>
    </row>
    <row r="938" spans="1:7">
      <c r="A938" t="s">
        <v>5171</v>
      </c>
      <c r="B938" t="s">
        <v>5172</v>
      </c>
      <c r="C938" t="s">
        <v>3928</v>
      </c>
      <c r="D938" t="s">
        <v>3929</v>
      </c>
      <c r="E938">
        <v>12</v>
      </c>
      <c r="F938" s="6">
        <v>750</v>
      </c>
      <c r="G938" t="s">
        <v>5173</v>
      </c>
    </row>
    <row r="939" spans="1:7">
      <c r="A939" t="s">
        <v>5174</v>
      </c>
      <c r="B939" t="s">
        <v>5175</v>
      </c>
      <c r="C939" t="s">
        <v>3679</v>
      </c>
      <c r="D939" t="s">
        <v>3680</v>
      </c>
      <c r="E939">
        <v>6</v>
      </c>
      <c r="F939" s="6">
        <v>750</v>
      </c>
      <c r="G939" t="s">
        <v>3845</v>
      </c>
    </row>
    <row r="940" spans="1:7">
      <c r="A940" t="s">
        <v>5176</v>
      </c>
      <c r="B940" t="s">
        <v>5177</v>
      </c>
      <c r="C940" t="s">
        <v>4244</v>
      </c>
      <c r="D940" t="s">
        <v>4245</v>
      </c>
      <c r="E940">
        <v>12</v>
      </c>
      <c r="F940" s="6">
        <v>750</v>
      </c>
      <c r="G940" t="s">
        <v>5173</v>
      </c>
    </row>
    <row r="941" spans="1:7">
      <c r="A941" t="s">
        <v>5178</v>
      </c>
      <c r="B941" t="s">
        <v>5179</v>
      </c>
      <c r="C941" t="s">
        <v>4244</v>
      </c>
      <c r="D941" t="s">
        <v>4245</v>
      </c>
      <c r="E941">
        <v>12</v>
      </c>
      <c r="F941" s="6">
        <v>750</v>
      </c>
      <c r="G941" t="s">
        <v>5173</v>
      </c>
    </row>
    <row r="942" spans="1:7">
      <c r="A942" t="s">
        <v>5180</v>
      </c>
      <c r="B942" t="s">
        <v>5181</v>
      </c>
      <c r="C942" t="s">
        <v>3679</v>
      </c>
      <c r="D942" t="s">
        <v>3680</v>
      </c>
      <c r="E942">
        <v>6</v>
      </c>
      <c r="F942" s="6">
        <v>750</v>
      </c>
      <c r="G942" t="s">
        <v>5134</v>
      </c>
    </row>
    <row r="943" spans="1:7">
      <c r="A943" t="s">
        <v>3452</v>
      </c>
      <c r="B943" t="s">
        <v>5182</v>
      </c>
      <c r="C943" t="s">
        <v>3679</v>
      </c>
      <c r="D943" t="s">
        <v>3680</v>
      </c>
      <c r="E943">
        <v>6</v>
      </c>
      <c r="F943" s="6">
        <v>750</v>
      </c>
      <c r="G943" t="s">
        <v>5134</v>
      </c>
    </row>
    <row r="944" spans="1:7">
      <c r="A944" t="s">
        <v>5183</v>
      </c>
      <c r="B944" t="s">
        <v>5184</v>
      </c>
      <c r="C944" t="s">
        <v>3679</v>
      </c>
      <c r="D944" t="s">
        <v>3680</v>
      </c>
      <c r="E944">
        <v>1</v>
      </c>
      <c r="F944" s="6">
        <v>1000</v>
      </c>
      <c r="G944" t="s">
        <v>4068</v>
      </c>
    </row>
    <row r="945" spans="1:7">
      <c r="A945" t="s">
        <v>5185</v>
      </c>
      <c r="B945" t="s">
        <v>5186</v>
      </c>
      <c r="C945" t="s">
        <v>3679</v>
      </c>
      <c r="D945" t="s">
        <v>3680</v>
      </c>
      <c r="E945">
        <v>6</v>
      </c>
      <c r="F945" s="6">
        <v>750</v>
      </c>
      <c r="G945" t="s">
        <v>4438</v>
      </c>
    </row>
    <row r="946" spans="1:7">
      <c r="A946" t="s">
        <v>5187</v>
      </c>
      <c r="B946" t="s">
        <v>5188</v>
      </c>
      <c r="C946" t="s">
        <v>3679</v>
      </c>
      <c r="D946" t="s">
        <v>3680</v>
      </c>
      <c r="E946">
        <v>3</v>
      </c>
      <c r="F946" s="6">
        <v>750</v>
      </c>
      <c r="G946" t="s">
        <v>4068</v>
      </c>
    </row>
    <row r="947" spans="1:7">
      <c r="A947" t="s">
        <v>5189</v>
      </c>
      <c r="B947" t="s">
        <v>5190</v>
      </c>
      <c r="C947" t="s">
        <v>4244</v>
      </c>
      <c r="D947" t="s">
        <v>4245</v>
      </c>
      <c r="E947">
        <v>6</v>
      </c>
      <c r="F947" s="6">
        <v>750</v>
      </c>
      <c r="G947" t="s">
        <v>4438</v>
      </c>
    </row>
    <row r="948" spans="1:7">
      <c r="A948" t="s">
        <v>5191</v>
      </c>
      <c r="B948" t="s">
        <v>5192</v>
      </c>
      <c r="C948" t="s">
        <v>4244</v>
      </c>
      <c r="D948" t="s">
        <v>4245</v>
      </c>
      <c r="E948">
        <v>6</v>
      </c>
      <c r="F948" s="6">
        <v>750</v>
      </c>
      <c r="G948" t="s">
        <v>4291</v>
      </c>
    </row>
    <row r="949" spans="1:7">
      <c r="A949" t="s">
        <v>5193</v>
      </c>
      <c r="B949" t="s">
        <v>5194</v>
      </c>
      <c r="C949" t="s">
        <v>4244</v>
      </c>
      <c r="D949" t="s">
        <v>4245</v>
      </c>
      <c r="E949">
        <v>6</v>
      </c>
      <c r="F949" s="6">
        <v>1750</v>
      </c>
      <c r="G949" t="s">
        <v>3931</v>
      </c>
    </row>
    <row r="950" spans="1:7">
      <c r="A950" t="s">
        <v>339</v>
      </c>
      <c r="B950" t="s">
        <v>5195</v>
      </c>
      <c r="C950" t="s">
        <v>4244</v>
      </c>
      <c r="D950" t="s">
        <v>4245</v>
      </c>
      <c r="E950">
        <v>6</v>
      </c>
      <c r="F950" s="6">
        <v>750</v>
      </c>
      <c r="G950" t="s">
        <v>3802</v>
      </c>
    </row>
    <row r="951" spans="1:7">
      <c r="A951" t="s">
        <v>5196</v>
      </c>
      <c r="B951" t="s">
        <v>5197</v>
      </c>
      <c r="C951" t="s">
        <v>4244</v>
      </c>
      <c r="D951" t="s">
        <v>4245</v>
      </c>
      <c r="E951">
        <v>6</v>
      </c>
      <c r="F951" s="6">
        <v>750</v>
      </c>
      <c r="G951" t="s">
        <v>5198</v>
      </c>
    </row>
    <row r="952" spans="1:7">
      <c r="A952" t="s">
        <v>5199</v>
      </c>
      <c r="B952" t="s">
        <v>5200</v>
      </c>
      <c r="C952" t="s">
        <v>4244</v>
      </c>
      <c r="D952" t="s">
        <v>4245</v>
      </c>
      <c r="E952">
        <v>6</v>
      </c>
      <c r="F952" s="6">
        <v>750</v>
      </c>
      <c r="G952" t="s">
        <v>4902</v>
      </c>
    </row>
    <row r="953" spans="1:7">
      <c r="A953" t="s">
        <v>5201</v>
      </c>
      <c r="B953" t="s">
        <v>5202</v>
      </c>
      <c r="C953" t="s">
        <v>3808</v>
      </c>
      <c r="D953" t="s">
        <v>3809</v>
      </c>
      <c r="E953">
        <v>12</v>
      </c>
      <c r="F953" s="6">
        <v>750</v>
      </c>
      <c r="G953" t="s">
        <v>4807</v>
      </c>
    </row>
    <row r="954" spans="1:7">
      <c r="A954" t="s">
        <v>5203</v>
      </c>
      <c r="B954" t="s">
        <v>5204</v>
      </c>
      <c r="C954" t="s">
        <v>4244</v>
      </c>
      <c r="D954" t="s">
        <v>4245</v>
      </c>
      <c r="E954">
        <v>6</v>
      </c>
      <c r="F954" s="6">
        <v>750</v>
      </c>
      <c r="G954" t="s">
        <v>5205</v>
      </c>
    </row>
    <row r="955" spans="1:7">
      <c r="A955" t="s">
        <v>5206</v>
      </c>
      <c r="B955" t="s">
        <v>5207</v>
      </c>
      <c r="C955" t="s">
        <v>3679</v>
      </c>
      <c r="D955" t="s">
        <v>3680</v>
      </c>
      <c r="E955">
        <v>6</v>
      </c>
      <c r="F955" s="6">
        <v>750</v>
      </c>
      <c r="G955" t="s">
        <v>3802</v>
      </c>
    </row>
    <row r="956" spans="1:7">
      <c r="A956" t="s">
        <v>5208</v>
      </c>
      <c r="B956" t="s">
        <v>5209</v>
      </c>
      <c r="C956" t="s">
        <v>4244</v>
      </c>
      <c r="D956" t="s">
        <v>4245</v>
      </c>
      <c r="E956">
        <v>6</v>
      </c>
      <c r="F956" s="6">
        <v>750</v>
      </c>
      <c r="G956" t="s">
        <v>3802</v>
      </c>
    </row>
    <row r="957" spans="1:7">
      <c r="A957" t="s">
        <v>5210</v>
      </c>
      <c r="B957" t="s">
        <v>5211</v>
      </c>
      <c r="C957" t="s">
        <v>4244</v>
      </c>
      <c r="D957" t="s">
        <v>4245</v>
      </c>
      <c r="E957">
        <v>24</v>
      </c>
      <c r="F957" s="6">
        <v>200</v>
      </c>
      <c r="G957" t="s">
        <v>3681</v>
      </c>
    </row>
    <row r="958" spans="1:7">
      <c r="A958" t="s">
        <v>1051</v>
      </c>
      <c r="B958" t="s">
        <v>5212</v>
      </c>
      <c r="C958" t="s">
        <v>3808</v>
      </c>
      <c r="D958" t="s">
        <v>3809</v>
      </c>
      <c r="E958">
        <v>6</v>
      </c>
      <c r="F958" s="6">
        <v>750</v>
      </c>
      <c r="G958" t="s">
        <v>3802</v>
      </c>
    </row>
    <row r="959" spans="1:7">
      <c r="A959" t="s">
        <v>5213</v>
      </c>
      <c r="B959" t="s">
        <v>5214</v>
      </c>
      <c r="C959" t="s">
        <v>3679</v>
      </c>
      <c r="D959" t="s">
        <v>3680</v>
      </c>
      <c r="E959">
        <v>6</v>
      </c>
      <c r="F959" s="6">
        <v>750</v>
      </c>
      <c r="G959" t="s">
        <v>5215</v>
      </c>
    </row>
    <row r="960" spans="1:7">
      <c r="A960" t="s">
        <v>5216</v>
      </c>
      <c r="B960" t="s">
        <v>5217</v>
      </c>
      <c r="C960" t="s">
        <v>3679</v>
      </c>
      <c r="D960" t="s">
        <v>3680</v>
      </c>
      <c r="E960">
        <v>6</v>
      </c>
      <c r="F960" s="6">
        <v>750</v>
      </c>
      <c r="G960" t="s">
        <v>3802</v>
      </c>
    </row>
    <row r="961" spans="1:7">
      <c r="A961" t="s">
        <v>5218</v>
      </c>
      <c r="B961" t="s">
        <v>5219</v>
      </c>
      <c r="C961" t="s">
        <v>3928</v>
      </c>
      <c r="D961" t="s">
        <v>3929</v>
      </c>
      <c r="E961">
        <v>12</v>
      </c>
      <c r="F961" s="6">
        <v>750</v>
      </c>
      <c r="G961" t="s">
        <v>5173</v>
      </c>
    </row>
    <row r="962" spans="1:7">
      <c r="A962" t="s">
        <v>2823</v>
      </c>
      <c r="B962" t="s">
        <v>5220</v>
      </c>
      <c r="C962" t="s">
        <v>4244</v>
      </c>
      <c r="D962" t="s">
        <v>4245</v>
      </c>
      <c r="E962">
        <v>6</v>
      </c>
      <c r="F962" s="6">
        <v>750</v>
      </c>
      <c r="G962" t="s">
        <v>3735</v>
      </c>
    </row>
    <row r="963" spans="1:7">
      <c r="A963" t="s">
        <v>2072</v>
      </c>
      <c r="B963" t="s">
        <v>5221</v>
      </c>
      <c r="C963" t="s">
        <v>3808</v>
      </c>
      <c r="D963" t="s">
        <v>3809</v>
      </c>
      <c r="E963">
        <v>12</v>
      </c>
      <c r="F963" s="6">
        <v>50</v>
      </c>
      <c r="G963" t="s">
        <v>3730</v>
      </c>
    </row>
    <row r="964" spans="1:7">
      <c r="A964" t="s">
        <v>916</v>
      </c>
      <c r="B964" t="s">
        <v>5222</v>
      </c>
      <c r="C964" t="s">
        <v>3808</v>
      </c>
      <c r="D964" t="s">
        <v>3809</v>
      </c>
      <c r="E964">
        <v>24</v>
      </c>
      <c r="F964" s="6">
        <v>200</v>
      </c>
      <c r="G964" t="s">
        <v>3730</v>
      </c>
    </row>
    <row r="965" spans="1:7">
      <c r="A965" t="s">
        <v>1424</v>
      </c>
      <c r="B965" t="s">
        <v>5222</v>
      </c>
      <c r="C965" t="s">
        <v>3808</v>
      </c>
      <c r="D965" t="s">
        <v>3809</v>
      </c>
      <c r="E965">
        <v>12</v>
      </c>
      <c r="F965" s="6">
        <v>375</v>
      </c>
      <c r="G965" t="s">
        <v>3730</v>
      </c>
    </row>
    <row r="966" spans="1:7">
      <c r="A966" t="s">
        <v>1946</v>
      </c>
      <c r="B966" t="s">
        <v>5222</v>
      </c>
      <c r="C966" t="s">
        <v>3808</v>
      </c>
      <c r="D966" t="s">
        <v>3809</v>
      </c>
      <c r="E966">
        <v>12</v>
      </c>
      <c r="F966" s="6">
        <v>750</v>
      </c>
      <c r="G966" t="s">
        <v>3730</v>
      </c>
    </row>
    <row r="967" spans="1:7">
      <c r="A967" t="s">
        <v>625</v>
      </c>
      <c r="B967" t="s">
        <v>5222</v>
      </c>
      <c r="C967" t="s">
        <v>3808</v>
      </c>
      <c r="D967" t="s">
        <v>3809</v>
      </c>
      <c r="E967">
        <v>12</v>
      </c>
      <c r="F967" s="6">
        <v>1000</v>
      </c>
      <c r="G967" t="s">
        <v>3730</v>
      </c>
    </row>
    <row r="968" spans="1:7">
      <c r="A968" t="s">
        <v>1269</v>
      </c>
      <c r="B968" t="s">
        <v>5222</v>
      </c>
      <c r="C968" t="s">
        <v>3808</v>
      </c>
      <c r="D968" t="s">
        <v>3809</v>
      </c>
      <c r="E968">
        <v>6</v>
      </c>
      <c r="F968" s="6">
        <v>1750</v>
      </c>
      <c r="G968" t="s">
        <v>3730</v>
      </c>
    </row>
    <row r="969" spans="1:7">
      <c r="A969" t="s">
        <v>3129</v>
      </c>
      <c r="B969" t="s">
        <v>5223</v>
      </c>
      <c r="C969" t="s">
        <v>3808</v>
      </c>
      <c r="D969" t="s">
        <v>3809</v>
      </c>
      <c r="E969">
        <v>6</v>
      </c>
      <c r="F969" s="6">
        <v>750</v>
      </c>
      <c r="G969" t="s">
        <v>5224</v>
      </c>
    </row>
    <row r="970" spans="1:7">
      <c r="A970" t="s">
        <v>748</v>
      </c>
      <c r="B970" t="s">
        <v>5225</v>
      </c>
      <c r="C970" t="s">
        <v>3808</v>
      </c>
      <c r="D970" t="s">
        <v>3809</v>
      </c>
      <c r="E970">
        <v>12</v>
      </c>
      <c r="F970" s="6">
        <v>750</v>
      </c>
      <c r="G970" t="s">
        <v>3730</v>
      </c>
    </row>
    <row r="971" spans="1:7">
      <c r="A971" t="s">
        <v>5226</v>
      </c>
      <c r="B971" t="s">
        <v>5227</v>
      </c>
      <c r="C971" t="s">
        <v>3928</v>
      </c>
      <c r="D971" t="s">
        <v>3929</v>
      </c>
      <c r="E971">
        <v>6</v>
      </c>
      <c r="F971" s="6">
        <v>750</v>
      </c>
      <c r="G971" t="s">
        <v>5228</v>
      </c>
    </row>
    <row r="972" spans="1:7">
      <c r="A972" t="s">
        <v>5229</v>
      </c>
      <c r="B972" t="s">
        <v>5230</v>
      </c>
      <c r="C972" t="s">
        <v>3679</v>
      </c>
      <c r="D972" t="s">
        <v>3680</v>
      </c>
      <c r="E972">
        <v>6</v>
      </c>
      <c r="F972" s="6">
        <v>750</v>
      </c>
      <c r="G972" t="s">
        <v>5231</v>
      </c>
    </row>
    <row r="973" spans="1:7">
      <c r="A973" t="s">
        <v>5232</v>
      </c>
      <c r="B973" t="s">
        <v>5233</v>
      </c>
      <c r="C973" t="s">
        <v>3708</v>
      </c>
      <c r="D973" t="s">
        <v>3709</v>
      </c>
      <c r="E973">
        <v>12</v>
      </c>
      <c r="F973" s="6">
        <v>750</v>
      </c>
      <c r="G973" t="s">
        <v>3702</v>
      </c>
    </row>
    <row r="974" spans="1:7">
      <c r="A974" t="s">
        <v>5234</v>
      </c>
      <c r="B974" t="s">
        <v>5235</v>
      </c>
      <c r="C974" t="s">
        <v>3808</v>
      </c>
      <c r="D974" t="s">
        <v>3809</v>
      </c>
      <c r="E974">
        <v>6</v>
      </c>
      <c r="F974" s="6">
        <v>750</v>
      </c>
      <c r="G974" t="s">
        <v>4917</v>
      </c>
    </row>
    <row r="975" spans="1:7">
      <c r="A975" t="s">
        <v>5236</v>
      </c>
      <c r="B975" t="s">
        <v>5237</v>
      </c>
      <c r="C975" t="s">
        <v>3679</v>
      </c>
      <c r="D975" t="s">
        <v>3680</v>
      </c>
      <c r="E975">
        <v>12</v>
      </c>
      <c r="F975" s="6">
        <v>750</v>
      </c>
      <c r="G975" t="s">
        <v>4581</v>
      </c>
    </row>
    <row r="976" spans="1:7">
      <c r="A976" t="s">
        <v>5238</v>
      </c>
      <c r="B976" t="s">
        <v>5239</v>
      </c>
      <c r="C976" t="s">
        <v>3679</v>
      </c>
      <c r="D976" t="s">
        <v>3680</v>
      </c>
      <c r="E976">
        <v>12</v>
      </c>
      <c r="F976" s="6">
        <v>750</v>
      </c>
      <c r="G976" t="s">
        <v>4581</v>
      </c>
    </row>
    <row r="977" spans="1:7">
      <c r="A977" t="s">
        <v>5240</v>
      </c>
      <c r="B977" t="s">
        <v>5241</v>
      </c>
      <c r="C977" t="s">
        <v>3928</v>
      </c>
      <c r="D977" t="s">
        <v>3929</v>
      </c>
      <c r="E977">
        <v>6</v>
      </c>
      <c r="F977" s="6">
        <v>750</v>
      </c>
      <c r="G977" t="s">
        <v>4930</v>
      </c>
    </row>
    <row r="978" spans="1:7">
      <c r="A978" t="s">
        <v>5242</v>
      </c>
      <c r="B978" t="s">
        <v>5243</v>
      </c>
      <c r="C978" t="s">
        <v>3679</v>
      </c>
      <c r="D978" t="s">
        <v>3680</v>
      </c>
      <c r="E978">
        <v>6</v>
      </c>
      <c r="F978" s="6">
        <v>750</v>
      </c>
      <c r="G978" t="s">
        <v>4438</v>
      </c>
    </row>
    <row r="979" spans="1:7">
      <c r="A979" t="s">
        <v>5244</v>
      </c>
      <c r="B979" t="s">
        <v>5245</v>
      </c>
      <c r="C979" t="s">
        <v>3808</v>
      </c>
      <c r="D979" t="s">
        <v>3809</v>
      </c>
      <c r="E979">
        <v>6</v>
      </c>
      <c r="F979" s="6">
        <v>750</v>
      </c>
      <c r="G979" t="s">
        <v>5224</v>
      </c>
    </row>
    <row r="980" spans="1:7">
      <c r="A980" t="s">
        <v>5246</v>
      </c>
      <c r="B980" t="s">
        <v>5247</v>
      </c>
      <c r="C980" t="s">
        <v>4452</v>
      </c>
      <c r="D980" t="s">
        <v>4453</v>
      </c>
      <c r="E980">
        <v>6</v>
      </c>
      <c r="F980" s="6">
        <v>750</v>
      </c>
      <c r="G980" t="s">
        <v>3763</v>
      </c>
    </row>
    <row r="981" spans="1:7">
      <c r="A981" t="s">
        <v>5248</v>
      </c>
      <c r="B981" t="s">
        <v>5249</v>
      </c>
      <c r="C981" t="s">
        <v>3679</v>
      </c>
      <c r="D981" t="s">
        <v>3680</v>
      </c>
      <c r="E981">
        <v>6</v>
      </c>
      <c r="F981" s="6">
        <v>750</v>
      </c>
      <c r="G981" t="s">
        <v>4438</v>
      </c>
    </row>
    <row r="982" spans="1:7">
      <c r="A982" t="s">
        <v>5250</v>
      </c>
      <c r="B982" t="s">
        <v>5251</v>
      </c>
      <c r="C982" t="s">
        <v>3679</v>
      </c>
      <c r="D982" t="s">
        <v>3680</v>
      </c>
      <c r="E982">
        <v>6</v>
      </c>
      <c r="F982" s="6">
        <v>750</v>
      </c>
      <c r="G982" t="s">
        <v>4438</v>
      </c>
    </row>
    <row r="983" spans="1:7">
      <c r="A983" t="s">
        <v>5252</v>
      </c>
      <c r="B983" t="s">
        <v>5253</v>
      </c>
      <c r="C983" t="s">
        <v>3679</v>
      </c>
      <c r="D983" t="s">
        <v>3680</v>
      </c>
      <c r="E983">
        <v>6</v>
      </c>
      <c r="F983" s="6">
        <v>700</v>
      </c>
      <c r="G983" t="s">
        <v>3694</v>
      </c>
    </row>
    <row r="984" spans="1:7">
      <c r="A984" t="s">
        <v>5254</v>
      </c>
      <c r="B984" t="s">
        <v>5255</v>
      </c>
      <c r="C984" t="s">
        <v>4455</v>
      </c>
      <c r="D984" t="s">
        <v>4456</v>
      </c>
      <c r="E984">
        <v>12</v>
      </c>
      <c r="F984" s="6">
        <v>750</v>
      </c>
      <c r="G984" t="s">
        <v>3802</v>
      </c>
    </row>
    <row r="985" spans="1:7">
      <c r="A985" t="s">
        <v>1508</v>
      </c>
      <c r="B985" t="s">
        <v>5256</v>
      </c>
      <c r="C985" t="s">
        <v>3679</v>
      </c>
      <c r="D985" t="s">
        <v>3680</v>
      </c>
      <c r="E985">
        <v>6</v>
      </c>
      <c r="F985" s="6">
        <v>750</v>
      </c>
      <c r="G985" t="s">
        <v>3951</v>
      </c>
    </row>
    <row r="986" spans="1:7">
      <c r="A986" t="s">
        <v>5257</v>
      </c>
      <c r="B986" t="s">
        <v>5258</v>
      </c>
      <c r="C986" t="s">
        <v>3679</v>
      </c>
      <c r="D986" t="s">
        <v>3680</v>
      </c>
      <c r="E986">
        <v>6</v>
      </c>
      <c r="F986" s="6">
        <v>750</v>
      </c>
      <c r="G986" t="s">
        <v>3951</v>
      </c>
    </row>
    <row r="987" spans="1:7">
      <c r="A987" t="s">
        <v>5259</v>
      </c>
      <c r="B987" t="s">
        <v>5260</v>
      </c>
      <c r="C987" t="s">
        <v>3679</v>
      </c>
      <c r="D987" t="s">
        <v>3680</v>
      </c>
      <c r="E987">
        <v>6</v>
      </c>
      <c r="F987" s="6">
        <v>750</v>
      </c>
      <c r="G987" t="s">
        <v>3931</v>
      </c>
    </row>
    <row r="988" spans="1:7">
      <c r="A988" t="s">
        <v>5261</v>
      </c>
      <c r="B988" t="s">
        <v>5262</v>
      </c>
      <c r="C988" t="s">
        <v>4474</v>
      </c>
      <c r="D988" t="s">
        <v>4475</v>
      </c>
      <c r="E988">
        <v>6</v>
      </c>
      <c r="F988" s="6">
        <v>750</v>
      </c>
      <c r="G988" t="s">
        <v>4581</v>
      </c>
    </row>
    <row r="989" spans="1:7">
      <c r="A989" t="s">
        <v>5263</v>
      </c>
      <c r="B989" t="s">
        <v>5264</v>
      </c>
      <c r="C989" t="s">
        <v>3808</v>
      </c>
      <c r="D989" t="s">
        <v>3809</v>
      </c>
      <c r="E989">
        <v>6</v>
      </c>
      <c r="F989" s="6">
        <v>50</v>
      </c>
      <c r="G989" t="s">
        <v>4899</v>
      </c>
    </row>
    <row r="990" spans="1:7">
      <c r="A990" t="s">
        <v>5265</v>
      </c>
      <c r="B990" t="s">
        <v>5266</v>
      </c>
      <c r="C990" t="s">
        <v>4474</v>
      </c>
      <c r="D990" t="s">
        <v>4475</v>
      </c>
      <c r="E990">
        <v>6</v>
      </c>
      <c r="F990" s="6">
        <v>750</v>
      </c>
      <c r="G990" t="s">
        <v>5267</v>
      </c>
    </row>
    <row r="991" spans="1:7">
      <c r="A991" t="s">
        <v>5268</v>
      </c>
      <c r="B991" t="s">
        <v>5269</v>
      </c>
      <c r="C991" t="s">
        <v>4474</v>
      </c>
      <c r="D991" t="s">
        <v>4475</v>
      </c>
      <c r="E991">
        <v>6</v>
      </c>
      <c r="F991" s="6">
        <v>750</v>
      </c>
      <c r="G991" t="s">
        <v>5267</v>
      </c>
    </row>
    <row r="992" spans="1:7">
      <c r="A992" t="s">
        <v>2305</v>
      </c>
      <c r="B992" t="s">
        <v>5270</v>
      </c>
      <c r="C992" t="s">
        <v>3679</v>
      </c>
      <c r="D992" t="s">
        <v>3680</v>
      </c>
      <c r="E992">
        <v>6</v>
      </c>
      <c r="F992" s="6">
        <v>750</v>
      </c>
      <c r="G992" t="s">
        <v>3854</v>
      </c>
    </row>
    <row r="993" spans="1:7">
      <c r="A993" t="s">
        <v>5271</v>
      </c>
      <c r="B993" t="s">
        <v>5272</v>
      </c>
      <c r="C993" t="s">
        <v>4071</v>
      </c>
      <c r="D993" t="s">
        <v>4072</v>
      </c>
      <c r="E993">
        <v>12</v>
      </c>
      <c r="F993" s="6">
        <v>750</v>
      </c>
      <c r="G993" t="s">
        <v>5273</v>
      </c>
    </row>
    <row r="994" spans="1:7">
      <c r="A994" t="s">
        <v>5274</v>
      </c>
      <c r="B994" t="s">
        <v>5275</v>
      </c>
      <c r="C994" t="s">
        <v>3977</v>
      </c>
      <c r="D994" t="s">
        <v>3978</v>
      </c>
      <c r="E994">
        <v>1</v>
      </c>
      <c r="F994" s="6">
        <v>100</v>
      </c>
      <c r="G994" t="s">
        <v>3763</v>
      </c>
    </row>
    <row r="995" spans="1:7">
      <c r="A995" t="s">
        <v>5276</v>
      </c>
      <c r="B995" t="s">
        <v>5277</v>
      </c>
      <c r="C995" t="s">
        <v>4244</v>
      </c>
      <c r="D995" t="s">
        <v>4245</v>
      </c>
      <c r="E995">
        <v>6</v>
      </c>
      <c r="F995" s="6">
        <v>750</v>
      </c>
      <c r="G995" t="s">
        <v>3802</v>
      </c>
    </row>
    <row r="996" spans="1:7">
      <c r="A996" t="s">
        <v>5278</v>
      </c>
      <c r="B996" t="s">
        <v>5279</v>
      </c>
      <c r="C996" t="s">
        <v>3679</v>
      </c>
      <c r="D996" t="s">
        <v>3680</v>
      </c>
      <c r="E996">
        <v>6</v>
      </c>
      <c r="F996" s="6">
        <v>750</v>
      </c>
      <c r="G996" t="s">
        <v>3854</v>
      </c>
    </row>
    <row r="997" spans="1:7">
      <c r="A997" t="s">
        <v>2871</v>
      </c>
      <c r="B997" t="s">
        <v>5280</v>
      </c>
      <c r="C997" t="s">
        <v>3808</v>
      </c>
      <c r="D997" t="s">
        <v>3809</v>
      </c>
      <c r="E997">
        <v>12</v>
      </c>
      <c r="F997" s="6">
        <v>1000</v>
      </c>
      <c r="G997" t="s">
        <v>3716</v>
      </c>
    </row>
    <row r="998" spans="1:7">
      <c r="A998" t="s">
        <v>2591</v>
      </c>
      <c r="B998" t="s">
        <v>5280</v>
      </c>
      <c r="C998" t="s">
        <v>3808</v>
      </c>
      <c r="D998" t="s">
        <v>3809</v>
      </c>
      <c r="E998">
        <v>6</v>
      </c>
      <c r="F998" s="6">
        <v>1750</v>
      </c>
      <c r="G998" t="s">
        <v>3716</v>
      </c>
    </row>
    <row r="999" spans="1:7">
      <c r="A999" t="s">
        <v>5281</v>
      </c>
      <c r="B999" t="s">
        <v>5282</v>
      </c>
      <c r="C999" t="s">
        <v>3679</v>
      </c>
      <c r="D999" t="s">
        <v>3680</v>
      </c>
      <c r="E999">
        <v>12</v>
      </c>
      <c r="F999" s="6">
        <v>1000</v>
      </c>
      <c r="G999" t="s">
        <v>3694</v>
      </c>
    </row>
    <row r="1000" spans="1:7">
      <c r="A1000" t="s">
        <v>418</v>
      </c>
      <c r="B1000" t="s">
        <v>5283</v>
      </c>
      <c r="C1000" t="s">
        <v>4244</v>
      </c>
      <c r="D1000" t="s">
        <v>4245</v>
      </c>
      <c r="E1000">
        <v>6</v>
      </c>
      <c r="F1000" s="6">
        <v>750</v>
      </c>
      <c r="G1000" t="s">
        <v>4899</v>
      </c>
    </row>
    <row r="1001" spans="1:7">
      <c r="A1001" t="s">
        <v>1992</v>
      </c>
      <c r="B1001" t="s">
        <v>5284</v>
      </c>
      <c r="C1001" t="s">
        <v>4244</v>
      </c>
      <c r="D1001" t="s">
        <v>4245</v>
      </c>
      <c r="E1001">
        <v>6</v>
      </c>
      <c r="F1001" s="6">
        <v>750</v>
      </c>
      <c r="G1001" t="s">
        <v>4163</v>
      </c>
    </row>
    <row r="1002" spans="1:7">
      <c r="A1002" t="s">
        <v>5285</v>
      </c>
      <c r="B1002" t="s">
        <v>5194</v>
      </c>
      <c r="C1002" t="s">
        <v>4244</v>
      </c>
      <c r="D1002" t="s">
        <v>4245</v>
      </c>
      <c r="E1002">
        <v>12</v>
      </c>
      <c r="F1002" s="6">
        <v>750</v>
      </c>
      <c r="G1002" t="s">
        <v>3931</v>
      </c>
    </row>
    <row r="1003" spans="1:7">
      <c r="A1003" t="s">
        <v>5286</v>
      </c>
      <c r="B1003" t="s">
        <v>5287</v>
      </c>
      <c r="C1003" t="s">
        <v>3679</v>
      </c>
      <c r="D1003" t="s">
        <v>3680</v>
      </c>
      <c r="E1003">
        <v>6</v>
      </c>
      <c r="F1003" s="6">
        <v>750</v>
      </c>
      <c r="G1003" t="s">
        <v>4291</v>
      </c>
    </row>
    <row r="1004" spans="1:7">
      <c r="A1004" t="s">
        <v>5288</v>
      </c>
      <c r="B1004" t="s">
        <v>5289</v>
      </c>
      <c r="C1004" t="s">
        <v>4455</v>
      </c>
      <c r="D1004" t="s">
        <v>4456</v>
      </c>
      <c r="E1004">
        <v>6</v>
      </c>
      <c r="F1004" s="6">
        <v>750</v>
      </c>
      <c r="G1004" t="s">
        <v>3802</v>
      </c>
    </row>
    <row r="1005" spans="1:7">
      <c r="A1005" t="s">
        <v>5290</v>
      </c>
      <c r="B1005" t="s">
        <v>5291</v>
      </c>
      <c r="C1005" t="s">
        <v>4452</v>
      </c>
      <c r="D1005" t="s">
        <v>4453</v>
      </c>
      <c r="E1005">
        <v>6</v>
      </c>
      <c r="F1005" s="6">
        <v>750</v>
      </c>
      <c r="G1005" t="s">
        <v>3802</v>
      </c>
    </row>
    <row r="1006" spans="1:7">
      <c r="A1006" t="s">
        <v>5292</v>
      </c>
      <c r="B1006" t="s">
        <v>5293</v>
      </c>
      <c r="C1006" t="s">
        <v>4455</v>
      </c>
      <c r="D1006" t="s">
        <v>4456</v>
      </c>
      <c r="E1006">
        <v>6</v>
      </c>
      <c r="F1006" s="6">
        <v>700</v>
      </c>
      <c r="G1006" t="s">
        <v>3694</v>
      </c>
    </row>
    <row r="1007" spans="1:7">
      <c r="A1007" t="s">
        <v>692</v>
      </c>
      <c r="B1007" t="s">
        <v>5294</v>
      </c>
      <c r="C1007" t="s">
        <v>3808</v>
      </c>
      <c r="D1007" t="s">
        <v>3809</v>
      </c>
      <c r="E1007">
        <v>6</v>
      </c>
      <c r="F1007" s="6">
        <v>750</v>
      </c>
      <c r="G1007" t="s">
        <v>3681</v>
      </c>
    </row>
    <row r="1008" spans="1:7">
      <c r="A1008" t="s">
        <v>5295</v>
      </c>
      <c r="B1008" t="s">
        <v>5296</v>
      </c>
      <c r="C1008" t="s">
        <v>3679</v>
      </c>
      <c r="D1008" t="s">
        <v>3680</v>
      </c>
      <c r="E1008">
        <v>6</v>
      </c>
      <c r="F1008" s="6">
        <v>750</v>
      </c>
      <c r="G1008" t="s">
        <v>4163</v>
      </c>
    </row>
    <row r="1009" spans="1:7">
      <c r="A1009" t="s">
        <v>2361</v>
      </c>
      <c r="B1009" t="s">
        <v>5297</v>
      </c>
      <c r="C1009" t="s">
        <v>3679</v>
      </c>
      <c r="D1009" t="s">
        <v>3680</v>
      </c>
      <c r="E1009">
        <v>6</v>
      </c>
      <c r="F1009" s="6">
        <v>700</v>
      </c>
      <c r="G1009" t="s">
        <v>3702</v>
      </c>
    </row>
    <row r="1010" spans="1:7">
      <c r="A1010" t="s">
        <v>2726</v>
      </c>
      <c r="B1010" t="s">
        <v>5298</v>
      </c>
      <c r="C1010" t="s">
        <v>3718</v>
      </c>
      <c r="D1010" t="s">
        <v>3719</v>
      </c>
      <c r="E1010">
        <v>6</v>
      </c>
      <c r="F1010" s="6">
        <v>700</v>
      </c>
      <c r="G1010" t="s">
        <v>3702</v>
      </c>
    </row>
    <row r="1011" spans="1:7">
      <c r="A1011" t="s">
        <v>5299</v>
      </c>
      <c r="B1011" t="s">
        <v>5300</v>
      </c>
      <c r="C1011" t="s">
        <v>4244</v>
      </c>
      <c r="D1011" t="s">
        <v>4245</v>
      </c>
      <c r="E1011">
        <v>6</v>
      </c>
      <c r="F1011" s="6">
        <v>750</v>
      </c>
      <c r="G1011" t="s">
        <v>5301</v>
      </c>
    </row>
    <row r="1012" spans="1:7">
      <c r="A1012" t="s">
        <v>5302</v>
      </c>
      <c r="B1012" t="s">
        <v>5303</v>
      </c>
      <c r="C1012" t="s">
        <v>4474</v>
      </c>
      <c r="D1012" t="s">
        <v>4475</v>
      </c>
      <c r="E1012">
        <v>6</v>
      </c>
      <c r="F1012" s="6">
        <v>750</v>
      </c>
      <c r="G1012" t="s">
        <v>5301</v>
      </c>
    </row>
    <row r="1013" spans="1:7">
      <c r="A1013" t="s">
        <v>5304</v>
      </c>
      <c r="B1013" t="s">
        <v>5305</v>
      </c>
      <c r="C1013" t="s">
        <v>3808</v>
      </c>
      <c r="D1013" t="s">
        <v>3809</v>
      </c>
      <c r="E1013">
        <v>6</v>
      </c>
      <c r="F1013" s="6">
        <v>750</v>
      </c>
      <c r="G1013" t="s">
        <v>3716</v>
      </c>
    </row>
    <row r="1014" spans="1:7">
      <c r="A1014" t="s">
        <v>5306</v>
      </c>
      <c r="B1014" t="s">
        <v>5307</v>
      </c>
      <c r="C1014" t="s">
        <v>3808</v>
      </c>
      <c r="D1014" t="s">
        <v>3809</v>
      </c>
      <c r="E1014">
        <v>12</v>
      </c>
      <c r="F1014" s="6">
        <v>750</v>
      </c>
      <c r="G1014" t="s">
        <v>5308</v>
      </c>
    </row>
    <row r="1015" spans="1:7">
      <c r="A1015" t="s">
        <v>5309</v>
      </c>
      <c r="B1015" t="s">
        <v>5310</v>
      </c>
      <c r="C1015" t="s">
        <v>3808</v>
      </c>
      <c r="D1015" t="s">
        <v>3809</v>
      </c>
      <c r="E1015">
        <v>12</v>
      </c>
      <c r="F1015" s="6">
        <v>750</v>
      </c>
      <c r="G1015" t="s">
        <v>5308</v>
      </c>
    </row>
    <row r="1016" spans="1:7">
      <c r="A1016" t="s">
        <v>5311</v>
      </c>
      <c r="B1016" t="s">
        <v>5312</v>
      </c>
      <c r="C1016" t="s">
        <v>3808</v>
      </c>
      <c r="D1016" t="s">
        <v>3809</v>
      </c>
      <c r="E1016">
        <v>6</v>
      </c>
      <c r="F1016" s="6">
        <v>750</v>
      </c>
      <c r="G1016" t="s">
        <v>4438</v>
      </c>
    </row>
    <row r="1017" spans="1:7">
      <c r="A1017" t="s">
        <v>5313</v>
      </c>
      <c r="B1017" t="s">
        <v>5314</v>
      </c>
      <c r="C1017" t="s">
        <v>3679</v>
      </c>
      <c r="D1017" t="s">
        <v>3680</v>
      </c>
      <c r="E1017">
        <v>6</v>
      </c>
      <c r="F1017" s="6">
        <v>750</v>
      </c>
      <c r="G1017" t="s">
        <v>4807</v>
      </c>
    </row>
    <row r="1018" spans="1:7">
      <c r="A1018" t="s">
        <v>5315</v>
      </c>
      <c r="B1018" t="s">
        <v>5316</v>
      </c>
      <c r="C1018" t="s">
        <v>4071</v>
      </c>
      <c r="D1018" t="s">
        <v>4072</v>
      </c>
      <c r="E1018">
        <v>12</v>
      </c>
      <c r="F1018" s="6">
        <v>750</v>
      </c>
      <c r="G1018" t="s">
        <v>5317</v>
      </c>
    </row>
    <row r="1019" spans="1:7">
      <c r="A1019" t="s">
        <v>5318</v>
      </c>
      <c r="B1019" t="s">
        <v>5319</v>
      </c>
      <c r="C1019" t="s">
        <v>3808</v>
      </c>
      <c r="D1019" t="s">
        <v>3809</v>
      </c>
      <c r="E1019">
        <v>6</v>
      </c>
      <c r="F1019" s="6">
        <v>750</v>
      </c>
      <c r="G1019" t="s">
        <v>3781</v>
      </c>
    </row>
    <row r="1020" spans="1:7">
      <c r="A1020" t="s">
        <v>3418</v>
      </c>
      <c r="B1020" t="s">
        <v>5320</v>
      </c>
      <c r="C1020" t="s">
        <v>3808</v>
      </c>
      <c r="D1020" t="s">
        <v>3809</v>
      </c>
      <c r="E1020">
        <v>6</v>
      </c>
      <c r="F1020" s="6">
        <v>50</v>
      </c>
      <c r="G1020" t="s">
        <v>3781</v>
      </c>
    </row>
    <row r="1021" spans="1:7">
      <c r="A1021" t="s">
        <v>5321</v>
      </c>
      <c r="B1021" t="s">
        <v>5322</v>
      </c>
      <c r="C1021" t="s">
        <v>4071</v>
      </c>
      <c r="D1021" t="s">
        <v>4072</v>
      </c>
      <c r="E1021">
        <v>12</v>
      </c>
      <c r="F1021" s="6">
        <v>750</v>
      </c>
      <c r="G1021" t="s">
        <v>5317</v>
      </c>
    </row>
    <row r="1022" spans="1:7">
      <c r="A1022" t="s">
        <v>954</v>
      </c>
      <c r="B1022" t="s">
        <v>5323</v>
      </c>
      <c r="C1022" t="s">
        <v>3679</v>
      </c>
      <c r="D1022" t="s">
        <v>3680</v>
      </c>
      <c r="E1022">
        <v>6</v>
      </c>
      <c r="F1022" s="6">
        <v>750</v>
      </c>
      <c r="G1022" t="s">
        <v>4438</v>
      </c>
    </row>
    <row r="1023" spans="1:7">
      <c r="A1023" t="s">
        <v>5324</v>
      </c>
      <c r="B1023" t="s">
        <v>5325</v>
      </c>
      <c r="C1023" t="s">
        <v>3718</v>
      </c>
      <c r="D1023" t="s">
        <v>3719</v>
      </c>
      <c r="E1023">
        <v>6</v>
      </c>
      <c r="F1023" s="6">
        <v>700</v>
      </c>
      <c r="G1023" t="s">
        <v>3702</v>
      </c>
    </row>
    <row r="1024" spans="1:7">
      <c r="A1024" t="s">
        <v>5326</v>
      </c>
      <c r="B1024" t="s">
        <v>5327</v>
      </c>
      <c r="C1024" t="s">
        <v>4455</v>
      </c>
      <c r="D1024" t="s">
        <v>4456</v>
      </c>
      <c r="E1024">
        <v>6</v>
      </c>
      <c r="F1024" s="6">
        <v>700</v>
      </c>
      <c r="G1024" t="s">
        <v>3694</v>
      </c>
    </row>
    <row r="1025" spans="1:7">
      <c r="A1025" t="s">
        <v>5328</v>
      </c>
      <c r="B1025" t="s">
        <v>5329</v>
      </c>
      <c r="C1025" t="s">
        <v>3679</v>
      </c>
      <c r="D1025" t="s">
        <v>3680</v>
      </c>
      <c r="E1025">
        <v>6</v>
      </c>
      <c r="F1025" s="6">
        <v>750</v>
      </c>
      <c r="G1025" t="s">
        <v>3951</v>
      </c>
    </row>
    <row r="1026" spans="1:7">
      <c r="A1026" t="s">
        <v>5330</v>
      </c>
      <c r="B1026" t="s">
        <v>5331</v>
      </c>
      <c r="C1026" t="s">
        <v>4244</v>
      </c>
      <c r="D1026" t="s">
        <v>4245</v>
      </c>
      <c r="E1026">
        <v>6</v>
      </c>
      <c r="F1026" s="6">
        <v>750</v>
      </c>
      <c r="G1026" t="s">
        <v>4225</v>
      </c>
    </row>
    <row r="1027" spans="1:7">
      <c r="A1027" t="s">
        <v>5332</v>
      </c>
      <c r="B1027" t="s">
        <v>5333</v>
      </c>
      <c r="C1027" t="s">
        <v>3679</v>
      </c>
      <c r="D1027" t="s">
        <v>3680</v>
      </c>
      <c r="E1027">
        <v>6</v>
      </c>
      <c r="F1027" s="6">
        <v>750</v>
      </c>
      <c r="G1027" t="s">
        <v>4438</v>
      </c>
    </row>
    <row r="1028" spans="1:7">
      <c r="A1028" t="s">
        <v>1523</v>
      </c>
      <c r="B1028" t="s">
        <v>5334</v>
      </c>
      <c r="C1028" t="s">
        <v>3928</v>
      </c>
      <c r="D1028" t="s">
        <v>3929</v>
      </c>
      <c r="E1028">
        <v>12</v>
      </c>
      <c r="F1028" s="6">
        <v>750</v>
      </c>
      <c r="G1028" t="s">
        <v>3802</v>
      </c>
    </row>
    <row r="1029" spans="1:7">
      <c r="A1029" t="s">
        <v>5335</v>
      </c>
      <c r="B1029" t="s">
        <v>5336</v>
      </c>
      <c r="C1029" t="s">
        <v>4244</v>
      </c>
      <c r="D1029" t="s">
        <v>4245</v>
      </c>
      <c r="E1029">
        <v>3</v>
      </c>
      <c r="F1029" s="6">
        <v>1750</v>
      </c>
      <c r="G1029" t="s">
        <v>3951</v>
      </c>
    </row>
    <row r="1030" spans="1:7">
      <c r="A1030" t="s">
        <v>5337</v>
      </c>
      <c r="B1030" t="s">
        <v>5338</v>
      </c>
      <c r="C1030" t="s">
        <v>3928</v>
      </c>
      <c r="D1030" t="s">
        <v>3929</v>
      </c>
      <c r="E1030">
        <v>6</v>
      </c>
      <c r="F1030" s="6">
        <v>750</v>
      </c>
      <c r="G1030" t="s">
        <v>5339</v>
      </c>
    </row>
    <row r="1031" spans="1:7">
      <c r="A1031" t="s">
        <v>5340</v>
      </c>
      <c r="B1031" t="s">
        <v>5341</v>
      </c>
      <c r="C1031" t="s">
        <v>4474</v>
      </c>
      <c r="D1031" t="s">
        <v>4475</v>
      </c>
      <c r="E1031">
        <v>6</v>
      </c>
      <c r="F1031" s="6">
        <v>750</v>
      </c>
      <c r="G1031" t="s">
        <v>5339</v>
      </c>
    </row>
    <row r="1032" spans="1:7">
      <c r="A1032" t="s">
        <v>2222</v>
      </c>
      <c r="B1032" t="s">
        <v>5342</v>
      </c>
      <c r="C1032" t="s">
        <v>4455</v>
      </c>
      <c r="D1032" t="s">
        <v>4456</v>
      </c>
      <c r="E1032">
        <v>12</v>
      </c>
      <c r="F1032" s="6">
        <v>750</v>
      </c>
      <c r="G1032" t="s">
        <v>3730</v>
      </c>
    </row>
    <row r="1033" spans="1:7">
      <c r="A1033" t="s">
        <v>968</v>
      </c>
      <c r="B1033" t="s">
        <v>5343</v>
      </c>
      <c r="C1033" t="s">
        <v>3808</v>
      </c>
      <c r="D1033" t="s">
        <v>3809</v>
      </c>
      <c r="E1033">
        <v>6</v>
      </c>
      <c r="F1033" s="6">
        <v>50</v>
      </c>
      <c r="G1033" t="s">
        <v>3781</v>
      </c>
    </row>
    <row r="1034" spans="1:7">
      <c r="A1034" t="s">
        <v>3501</v>
      </c>
      <c r="B1034" t="s">
        <v>5344</v>
      </c>
      <c r="C1034" t="s">
        <v>3808</v>
      </c>
      <c r="D1034" t="s">
        <v>3809</v>
      </c>
      <c r="E1034">
        <v>6</v>
      </c>
      <c r="F1034" s="6">
        <v>50</v>
      </c>
      <c r="G1034" t="s">
        <v>3781</v>
      </c>
    </row>
    <row r="1035" spans="1:7">
      <c r="A1035" t="s">
        <v>1848</v>
      </c>
      <c r="B1035" t="s">
        <v>5345</v>
      </c>
      <c r="C1035" t="s">
        <v>3808</v>
      </c>
      <c r="D1035" t="s">
        <v>3809</v>
      </c>
      <c r="E1035">
        <v>6</v>
      </c>
      <c r="F1035" s="6">
        <v>50</v>
      </c>
      <c r="G1035" t="s">
        <v>3781</v>
      </c>
    </row>
    <row r="1036" spans="1:7">
      <c r="A1036" t="s">
        <v>1141</v>
      </c>
      <c r="B1036" t="s">
        <v>5346</v>
      </c>
      <c r="C1036" t="s">
        <v>3808</v>
      </c>
      <c r="D1036" t="s">
        <v>3809</v>
      </c>
      <c r="E1036">
        <v>6</v>
      </c>
      <c r="F1036" s="6">
        <v>50</v>
      </c>
      <c r="G1036" t="s">
        <v>3781</v>
      </c>
    </row>
    <row r="1037" spans="1:7">
      <c r="A1037" t="s">
        <v>5347</v>
      </c>
      <c r="B1037" t="s">
        <v>5348</v>
      </c>
      <c r="C1037" t="s">
        <v>3808</v>
      </c>
      <c r="D1037" t="s">
        <v>3809</v>
      </c>
      <c r="E1037">
        <v>6</v>
      </c>
      <c r="F1037" s="6">
        <v>50</v>
      </c>
      <c r="G1037" t="s">
        <v>3781</v>
      </c>
    </row>
    <row r="1038" spans="1:7">
      <c r="A1038" t="s">
        <v>419</v>
      </c>
      <c r="B1038" t="s">
        <v>5349</v>
      </c>
      <c r="C1038" t="s">
        <v>3808</v>
      </c>
      <c r="D1038" t="s">
        <v>3809</v>
      </c>
      <c r="E1038">
        <v>6</v>
      </c>
      <c r="F1038" s="6">
        <v>50</v>
      </c>
      <c r="G1038" t="s">
        <v>3781</v>
      </c>
    </row>
    <row r="1039" spans="1:7">
      <c r="A1039" t="s">
        <v>5350</v>
      </c>
      <c r="B1039" t="s">
        <v>5351</v>
      </c>
      <c r="C1039" t="s">
        <v>3679</v>
      </c>
      <c r="D1039" t="s">
        <v>3680</v>
      </c>
      <c r="E1039">
        <v>6</v>
      </c>
      <c r="F1039" s="6">
        <v>750</v>
      </c>
      <c r="G1039" t="s">
        <v>4796</v>
      </c>
    </row>
    <row r="1040" spans="1:7">
      <c r="A1040" t="s">
        <v>5352</v>
      </c>
      <c r="B1040" t="s">
        <v>5353</v>
      </c>
      <c r="C1040" t="s">
        <v>3679</v>
      </c>
      <c r="D1040" t="s">
        <v>3680</v>
      </c>
      <c r="E1040">
        <v>6</v>
      </c>
      <c r="F1040" s="6">
        <v>750</v>
      </c>
      <c r="G1040" t="s">
        <v>4796</v>
      </c>
    </row>
    <row r="1041" spans="1:7">
      <c r="A1041" t="s">
        <v>2647</v>
      </c>
      <c r="B1041" t="s">
        <v>5354</v>
      </c>
      <c r="C1041" t="s">
        <v>4244</v>
      </c>
      <c r="D1041" t="s">
        <v>4245</v>
      </c>
      <c r="E1041">
        <v>6</v>
      </c>
      <c r="F1041" s="6">
        <v>750</v>
      </c>
      <c r="G1041" t="s">
        <v>3735</v>
      </c>
    </row>
    <row r="1042" spans="1:7">
      <c r="A1042" t="s">
        <v>5355</v>
      </c>
      <c r="B1042" t="s">
        <v>5356</v>
      </c>
      <c r="C1042" t="s">
        <v>4071</v>
      </c>
      <c r="D1042" t="s">
        <v>4072</v>
      </c>
      <c r="E1042">
        <v>12</v>
      </c>
      <c r="F1042" s="6">
        <v>750</v>
      </c>
      <c r="G1042" t="s">
        <v>3698</v>
      </c>
    </row>
    <row r="1043" spans="1:7">
      <c r="A1043" t="s">
        <v>5357</v>
      </c>
      <c r="B1043" t="s">
        <v>5358</v>
      </c>
      <c r="C1043" t="s">
        <v>3928</v>
      </c>
      <c r="D1043" t="s">
        <v>3929</v>
      </c>
      <c r="E1043">
        <v>6</v>
      </c>
      <c r="F1043" s="6">
        <v>750</v>
      </c>
      <c r="G1043" t="s">
        <v>3730</v>
      </c>
    </row>
    <row r="1044" spans="1:7">
      <c r="A1044" t="s">
        <v>5359</v>
      </c>
      <c r="B1044" t="s">
        <v>5360</v>
      </c>
      <c r="C1044" t="s">
        <v>3679</v>
      </c>
      <c r="D1044" t="s">
        <v>3680</v>
      </c>
      <c r="E1044">
        <v>6</v>
      </c>
      <c r="F1044" s="6">
        <v>750</v>
      </c>
      <c r="G1044" t="s">
        <v>5231</v>
      </c>
    </row>
    <row r="1045" spans="1:7">
      <c r="A1045" t="s">
        <v>1875</v>
      </c>
      <c r="B1045" t="s">
        <v>5361</v>
      </c>
      <c r="C1045" t="s">
        <v>3679</v>
      </c>
      <c r="D1045" t="s">
        <v>3680</v>
      </c>
      <c r="E1045">
        <v>6</v>
      </c>
      <c r="F1045" s="6">
        <v>750</v>
      </c>
      <c r="G1045" t="s">
        <v>5228</v>
      </c>
    </row>
    <row r="1046" spans="1:7">
      <c r="A1046" t="s">
        <v>1227</v>
      </c>
      <c r="B1046" t="s">
        <v>5362</v>
      </c>
      <c r="C1046" t="s">
        <v>3808</v>
      </c>
      <c r="D1046" t="s">
        <v>3809</v>
      </c>
      <c r="E1046">
        <v>6</v>
      </c>
      <c r="F1046" s="6">
        <v>750</v>
      </c>
      <c r="G1046" t="s">
        <v>4291</v>
      </c>
    </row>
    <row r="1047" spans="1:7">
      <c r="A1047" t="s">
        <v>5363</v>
      </c>
      <c r="B1047" t="s">
        <v>5364</v>
      </c>
      <c r="C1047" t="s">
        <v>4455</v>
      </c>
      <c r="D1047" t="s">
        <v>4456</v>
      </c>
      <c r="E1047">
        <v>6</v>
      </c>
      <c r="F1047" s="6">
        <v>750</v>
      </c>
      <c r="G1047" t="s">
        <v>3951</v>
      </c>
    </row>
    <row r="1048" spans="1:7">
      <c r="A1048" t="s">
        <v>5365</v>
      </c>
      <c r="B1048" t="s">
        <v>5366</v>
      </c>
      <c r="C1048" t="s">
        <v>4452</v>
      </c>
      <c r="D1048" t="s">
        <v>4453</v>
      </c>
      <c r="E1048">
        <v>6</v>
      </c>
      <c r="F1048" s="6">
        <v>750</v>
      </c>
      <c r="G1048" t="s">
        <v>4581</v>
      </c>
    </row>
    <row r="1049" spans="1:7">
      <c r="A1049" t="s">
        <v>626</v>
      </c>
      <c r="B1049" t="s">
        <v>5367</v>
      </c>
      <c r="C1049" t="s">
        <v>3808</v>
      </c>
      <c r="D1049" t="s">
        <v>3809</v>
      </c>
      <c r="E1049">
        <v>6</v>
      </c>
      <c r="F1049" s="6">
        <v>750</v>
      </c>
      <c r="G1049" t="s">
        <v>4899</v>
      </c>
    </row>
    <row r="1050" spans="1:7">
      <c r="A1050" t="s">
        <v>5368</v>
      </c>
      <c r="B1050" t="s">
        <v>5264</v>
      </c>
      <c r="C1050" t="s">
        <v>3808</v>
      </c>
      <c r="D1050" t="s">
        <v>3809</v>
      </c>
      <c r="E1050">
        <v>6</v>
      </c>
      <c r="F1050" s="6">
        <v>50</v>
      </c>
      <c r="G1050" t="s">
        <v>4899</v>
      </c>
    </row>
    <row r="1051" spans="1:7">
      <c r="A1051" t="s">
        <v>5369</v>
      </c>
      <c r="B1051" t="s">
        <v>5370</v>
      </c>
      <c r="C1051" t="s">
        <v>4474</v>
      </c>
      <c r="D1051" t="s">
        <v>4475</v>
      </c>
      <c r="E1051">
        <v>6</v>
      </c>
      <c r="F1051" s="6">
        <v>750</v>
      </c>
      <c r="G1051" t="s">
        <v>4899</v>
      </c>
    </row>
    <row r="1052" spans="1:7">
      <c r="A1052" t="s">
        <v>5371</v>
      </c>
      <c r="B1052" t="s">
        <v>5372</v>
      </c>
      <c r="C1052" t="s">
        <v>3708</v>
      </c>
      <c r="D1052" t="s">
        <v>3709</v>
      </c>
      <c r="E1052">
        <v>6</v>
      </c>
      <c r="F1052" s="6">
        <v>750</v>
      </c>
      <c r="G1052" t="s">
        <v>5114</v>
      </c>
    </row>
    <row r="1053" spans="1:7">
      <c r="A1053" t="s">
        <v>5373</v>
      </c>
      <c r="B1053" t="s">
        <v>5374</v>
      </c>
      <c r="C1053" t="s">
        <v>3808</v>
      </c>
      <c r="D1053" t="s">
        <v>3809</v>
      </c>
      <c r="E1053">
        <v>6</v>
      </c>
      <c r="F1053" s="6">
        <v>750</v>
      </c>
      <c r="G1053" t="s">
        <v>4584</v>
      </c>
    </row>
    <row r="1054" spans="1:7">
      <c r="A1054" t="s">
        <v>2021</v>
      </c>
      <c r="B1054" t="s">
        <v>5375</v>
      </c>
      <c r="C1054" t="s">
        <v>3679</v>
      </c>
      <c r="D1054" t="s">
        <v>3680</v>
      </c>
      <c r="E1054">
        <v>6</v>
      </c>
      <c r="F1054" s="6">
        <v>750</v>
      </c>
      <c r="G1054" t="s">
        <v>4438</v>
      </c>
    </row>
    <row r="1055" spans="1:7">
      <c r="A1055" t="s">
        <v>5376</v>
      </c>
      <c r="B1055" t="s">
        <v>5377</v>
      </c>
      <c r="C1055" t="s">
        <v>3928</v>
      </c>
      <c r="D1055" t="s">
        <v>3929</v>
      </c>
      <c r="E1055">
        <v>4</v>
      </c>
      <c r="F1055" s="6">
        <v>750</v>
      </c>
      <c r="G1055" t="s">
        <v>4068</v>
      </c>
    </row>
    <row r="1056" spans="1:7">
      <c r="A1056" t="s">
        <v>5378</v>
      </c>
      <c r="B1056" t="s">
        <v>5379</v>
      </c>
      <c r="C1056" t="s">
        <v>4244</v>
      </c>
      <c r="D1056" t="s">
        <v>4245</v>
      </c>
      <c r="E1056">
        <v>6</v>
      </c>
      <c r="F1056" s="6">
        <v>750</v>
      </c>
      <c r="G1056" t="s">
        <v>3702</v>
      </c>
    </row>
    <row r="1057" spans="1:7">
      <c r="A1057" t="s">
        <v>5380</v>
      </c>
      <c r="B1057" t="s">
        <v>5381</v>
      </c>
      <c r="C1057" t="s">
        <v>3808</v>
      </c>
      <c r="D1057" t="s">
        <v>3809</v>
      </c>
      <c r="E1057">
        <v>6</v>
      </c>
      <c r="F1057" s="6">
        <v>50</v>
      </c>
      <c r="G1057" t="s">
        <v>3781</v>
      </c>
    </row>
    <row r="1058" spans="1:7">
      <c r="A1058" t="s">
        <v>1492</v>
      </c>
      <c r="B1058" t="s">
        <v>5382</v>
      </c>
      <c r="C1058" t="s">
        <v>3808</v>
      </c>
      <c r="D1058" t="s">
        <v>3809</v>
      </c>
      <c r="E1058">
        <v>6</v>
      </c>
      <c r="F1058" s="6">
        <v>750</v>
      </c>
      <c r="G1058" t="s">
        <v>3781</v>
      </c>
    </row>
    <row r="1059" spans="1:7">
      <c r="A1059" t="s">
        <v>663</v>
      </c>
      <c r="B1059" t="s">
        <v>5383</v>
      </c>
      <c r="C1059" t="s">
        <v>3808</v>
      </c>
      <c r="D1059" t="s">
        <v>3809</v>
      </c>
      <c r="E1059">
        <v>6</v>
      </c>
      <c r="F1059" s="6">
        <v>750</v>
      </c>
      <c r="G1059" t="s">
        <v>3871</v>
      </c>
    </row>
    <row r="1060" spans="1:7">
      <c r="A1060" t="s">
        <v>2794</v>
      </c>
      <c r="B1060" t="s">
        <v>5384</v>
      </c>
      <c r="C1060" t="s">
        <v>3928</v>
      </c>
      <c r="D1060" t="s">
        <v>3929</v>
      </c>
      <c r="E1060">
        <v>12</v>
      </c>
      <c r="F1060" s="6">
        <v>750</v>
      </c>
      <c r="G1060" t="s">
        <v>3716</v>
      </c>
    </row>
    <row r="1061" spans="1:7">
      <c r="A1061" t="s">
        <v>3491</v>
      </c>
      <c r="B1061" t="s">
        <v>5385</v>
      </c>
      <c r="C1061" t="s">
        <v>3928</v>
      </c>
      <c r="D1061" t="s">
        <v>3929</v>
      </c>
      <c r="E1061">
        <v>12</v>
      </c>
      <c r="F1061" s="6">
        <v>50</v>
      </c>
      <c r="G1061" t="s">
        <v>3716</v>
      </c>
    </row>
    <row r="1062" spans="1:7">
      <c r="A1062" t="s">
        <v>5386</v>
      </c>
      <c r="B1062" t="s">
        <v>5387</v>
      </c>
      <c r="C1062" t="s">
        <v>4244</v>
      </c>
      <c r="D1062" t="s">
        <v>4245</v>
      </c>
      <c r="E1062">
        <v>6</v>
      </c>
      <c r="F1062" s="6">
        <v>750</v>
      </c>
      <c r="G1062" t="s">
        <v>3686</v>
      </c>
    </row>
    <row r="1063" spans="1:7">
      <c r="A1063" t="s">
        <v>3260</v>
      </c>
      <c r="B1063" t="s">
        <v>5388</v>
      </c>
      <c r="C1063" t="s">
        <v>4474</v>
      </c>
      <c r="D1063" t="s">
        <v>4475</v>
      </c>
      <c r="E1063">
        <v>6</v>
      </c>
      <c r="F1063" s="6">
        <v>750</v>
      </c>
      <c r="G1063" t="s">
        <v>4438</v>
      </c>
    </row>
    <row r="1064" spans="1:7">
      <c r="A1064" t="s">
        <v>5389</v>
      </c>
      <c r="B1064" t="s">
        <v>5390</v>
      </c>
      <c r="C1064" t="s">
        <v>4244</v>
      </c>
      <c r="D1064" t="s">
        <v>4245</v>
      </c>
      <c r="E1064">
        <v>12</v>
      </c>
      <c r="F1064" s="6">
        <v>750</v>
      </c>
      <c r="G1064" t="s">
        <v>4601</v>
      </c>
    </row>
    <row r="1065" spans="1:7">
      <c r="A1065" t="s">
        <v>5391</v>
      </c>
      <c r="B1065" t="s">
        <v>5392</v>
      </c>
      <c r="C1065" t="s">
        <v>3684</v>
      </c>
      <c r="D1065" t="s">
        <v>3685</v>
      </c>
      <c r="E1065">
        <v>6</v>
      </c>
      <c r="F1065" s="6">
        <v>700</v>
      </c>
      <c r="G1065" t="s">
        <v>5134</v>
      </c>
    </row>
    <row r="1066" spans="1:7">
      <c r="A1066" t="s">
        <v>5393</v>
      </c>
      <c r="B1066" t="s">
        <v>5394</v>
      </c>
      <c r="C1066" t="s">
        <v>3679</v>
      </c>
      <c r="D1066" t="s">
        <v>3680</v>
      </c>
      <c r="E1066">
        <v>12</v>
      </c>
      <c r="F1066" s="6">
        <v>750</v>
      </c>
      <c r="G1066" t="s">
        <v>3730</v>
      </c>
    </row>
    <row r="1067" spans="1:7">
      <c r="A1067" t="s">
        <v>2053</v>
      </c>
      <c r="B1067" t="s">
        <v>5395</v>
      </c>
      <c r="C1067" t="s">
        <v>3808</v>
      </c>
      <c r="D1067" t="s">
        <v>3809</v>
      </c>
      <c r="E1067">
        <v>6</v>
      </c>
      <c r="F1067" s="6">
        <v>750</v>
      </c>
      <c r="G1067" t="s">
        <v>3781</v>
      </c>
    </row>
    <row r="1068" spans="1:7">
      <c r="A1068" t="s">
        <v>5396</v>
      </c>
      <c r="B1068" t="s">
        <v>5397</v>
      </c>
      <c r="C1068" t="s">
        <v>4455</v>
      </c>
      <c r="D1068" t="s">
        <v>4456</v>
      </c>
      <c r="E1068">
        <v>6</v>
      </c>
      <c r="F1068" s="6">
        <v>750</v>
      </c>
      <c r="G1068" t="s">
        <v>5398</v>
      </c>
    </row>
    <row r="1069" spans="1:7">
      <c r="A1069" t="s">
        <v>981</v>
      </c>
      <c r="B1069" t="s">
        <v>5399</v>
      </c>
      <c r="C1069" t="s">
        <v>4084</v>
      </c>
      <c r="D1069" t="s">
        <v>4085</v>
      </c>
      <c r="E1069">
        <v>6</v>
      </c>
      <c r="F1069" s="6">
        <v>750</v>
      </c>
      <c r="G1069" t="s">
        <v>4438</v>
      </c>
    </row>
    <row r="1070" spans="1:7">
      <c r="A1070" t="s">
        <v>5400</v>
      </c>
      <c r="B1070" t="s">
        <v>5401</v>
      </c>
      <c r="C1070" t="s">
        <v>4244</v>
      </c>
      <c r="D1070" t="s">
        <v>4245</v>
      </c>
      <c r="E1070">
        <v>6</v>
      </c>
      <c r="F1070" s="6">
        <v>750</v>
      </c>
      <c r="G1070" t="s">
        <v>5114</v>
      </c>
    </row>
    <row r="1071" spans="1:7">
      <c r="A1071" t="s">
        <v>5402</v>
      </c>
      <c r="B1071" t="s">
        <v>5403</v>
      </c>
      <c r="C1071" t="s">
        <v>4244</v>
      </c>
      <c r="D1071" t="s">
        <v>4245</v>
      </c>
      <c r="E1071">
        <v>6</v>
      </c>
      <c r="F1071" s="6">
        <v>750</v>
      </c>
      <c r="G1071" t="s">
        <v>4968</v>
      </c>
    </row>
    <row r="1072" spans="1:7">
      <c r="A1072" t="s">
        <v>1579</v>
      </c>
      <c r="B1072" t="s">
        <v>5404</v>
      </c>
      <c r="C1072" t="s">
        <v>3679</v>
      </c>
      <c r="D1072" t="s">
        <v>3680</v>
      </c>
      <c r="E1072">
        <v>6</v>
      </c>
      <c r="F1072" s="6">
        <v>750</v>
      </c>
      <c r="G1072" t="s">
        <v>3735</v>
      </c>
    </row>
    <row r="1073" spans="1:7">
      <c r="A1073" t="s">
        <v>5405</v>
      </c>
      <c r="B1073" t="s">
        <v>5194</v>
      </c>
      <c r="C1073" t="s">
        <v>4244</v>
      </c>
      <c r="D1073" t="s">
        <v>4245</v>
      </c>
      <c r="E1073">
        <v>6</v>
      </c>
      <c r="F1073" s="6">
        <v>750</v>
      </c>
      <c r="G1073" t="s">
        <v>3931</v>
      </c>
    </row>
    <row r="1074" spans="1:7">
      <c r="A1074" t="s">
        <v>5406</v>
      </c>
      <c r="B1074" t="s">
        <v>5407</v>
      </c>
      <c r="C1074" t="s">
        <v>4244</v>
      </c>
      <c r="D1074" t="s">
        <v>4245</v>
      </c>
      <c r="E1074">
        <v>6</v>
      </c>
      <c r="F1074" s="6">
        <v>750</v>
      </c>
      <c r="G1074" t="s">
        <v>3802</v>
      </c>
    </row>
    <row r="1075" spans="1:7">
      <c r="A1075" t="s">
        <v>2376</v>
      </c>
      <c r="B1075" t="s">
        <v>5408</v>
      </c>
      <c r="C1075" t="s">
        <v>4452</v>
      </c>
      <c r="D1075" t="s">
        <v>4453</v>
      </c>
      <c r="E1075">
        <v>6</v>
      </c>
      <c r="F1075" s="6">
        <v>750</v>
      </c>
      <c r="G1075" t="s">
        <v>3763</v>
      </c>
    </row>
    <row r="1076" spans="1:7">
      <c r="A1076" t="s">
        <v>5409</v>
      </c>
      <c r="B1076" t="s">
        <v>5410</v>
      </c>
      <c r="C1076" t="s">
        <v>3928</v>
      </c>
      <c r="D1076" t="s">
        <v>3929</v>
      </c>
      <c r="E1076">
        <v>6</v>
      </c>
      <c r="F1076" s="6">
        <v>750</v>
      </c>
      <c r="G1076" t="s">
        <v>3702</v>
      </c>
    </row>
    <row r="1077" spans="1:7">
      <c r="A1077" t="s">
        <v>3169</v>
      </c>
      <c r="B1077" t="s">
        <v>5411</v>
      </c>
      <c r="C1077" t="s">
        <v>4452</v>
      </c>
      <c r="D1077" t="s">
        <v>4453</v>
      </c>
      <c r="E1077">
        <v>6</v>
      </c>
      <c r="F1077" s="6">
        <v>750</v>
      </c>
      <c r="G1077" t="s">
        <v>3763</v>
      </c>
    </row>
    <row r="1078" spans="1:7">
      <c r="A1078" t="s">
        <v>674</v>
      </c>
      <c r="B1078" t="s">
        <v>5412</v>
      </c>
      <c r="C1078" t="s">
        <v>4455</v>
      </c>
      <c r="D1078" t="s">
        <v>4456</v>
      </c>
      <c r="E1078">
        <v>12</v>
      </c>
      <c r="F1078" s="6">
        <v>375</v>
      </c>
      <c r="G1078" t="s">
        <v>3694</v>
      </c>
    </row>
    <row r="1079" spans="1:7">
      <c r="A1079" t="s">
        <v>1340</v>
      </c>
      <c r="B1079" t="s">
        <v>5412</v>
      </c>
      <c r="C1079" t="s">
        <v>4455</v>
      </c>
      <c r="D1079" t="s">
        <v>4456</v>
      </c>
      <c r="E1079">
        <v>12</v>
      </c>
      <c r="F1079" s="6">
        <v>750</v>
      </c>
      <c r="G1079" t="s">
        <v>3694</v>
      </c>
    </row>
    <row r="1080" spans="1:7">
      <c r="A1080" t="s">
        <v>5413</v>
      </c>
      <c r="B1080" t="s">
        <v>5412</v>
      </c>
      <c r="C1080" t="s">
        <v>4455</v>
      </c>
      <c r="D1080" t="s">
        <v>4456</v>
      </c>
      <c r="E1080">
        <v>6</v>
      </c>
      <c r="F1080" s="6">
        <v>1750</v>
      </c>
      <c r="G1080" t="s">
        <v>3694</v>
      </c>
    </row>
    <row r="1081" spans="1:7">
      <c r="A1081" t="s">
        <v>3014</v>
      </c>
      <c r="B1081" t="s">
        <v>5414</v>
      </c>
      <c r="C1081" t="s">
        <v>3679</v>
      </c>
      <c r="D1081" t="s">
        <v>3680</v>
      </c>
      <c r="E1081">
        <v>12</v>
      </c>
      <c r="F1081" s="6">
        <v>750</v>
      </c>
      <c r="G1081" t="s">
        <v>3730</v>
      </c>
    </row>
    <row r="1082" spans="1:7">
      <c r="A1082" t="s">
        <v>2223</v>
      </c>
      <c r="B1082" t="s">
        <v>5415</v>
      </c>
      <c r="C1082" t="s">
        <v>4455</v>
      </c>
      <c r="D1082" t="s">
        <v>4456</v>
      </c>
      <c r="E1082">
        <v>12</v>
      </c>
      <c r="F1082" s="6">
        <v>750</v>
      </c>
      <c r="G1082" t="s">
        <v>3730</v>
      </c>
    </row>
    <row r="1083" spans="1:7">
      <c r="A1083" t="s">
        <v>5416</v>
      </c>
      <c r="B1083" t="s">
        <v>5417</v>
      </c>
      <c r="C1083" t="s">
        <v>3679</v>
      </c>
      <c r="D1083" t="s">
        <v>3680</v>
      </c>
      <c r="E1083">
        <v>6</v>
      </c>
      <c r="F1083" s="6">
        <v>750</v>
      </c>
      <c r="G1083" t="s">
        <v>3888</v>
      </c>
    </row>
    <row r="1084" spans="1:7">
      <c r="A1084" t="s">
        <v>314</v>
      </c>
      <c r="B1084" t="s">
        <v>5418</v>
      </c>
      <c r="C1084" t="s">
        <v>4474</v>
      </c>
      <c r="D1084" t="s">
        <v>4475</v>
      </c>
      <c r="E1084">
        <v>6</v>
      </c>
      <c r="F1084" s="6">
        <v>750</v>
      </c>
      <c r="G1084" t="s">
        <v>5134</v>
      </c>
    </row>
    <row r="1085" spans="1:7">
      <c r="A1085" t="s">
        <v>5419</v>
      </c>
      <c r="B1085" t="s">
        <v>5420</v>
      </c>
      <c r="C1085" t="s">
        <v>4084</v>
      </c>
      <c r="D1085" t="s">
        <v>4085</v>
      </c>
      <c r="E1085">
        <v>6</v>
      </c>
      <c r="F1085" s="6">
        <v>750</v>
      </c>
      <c r="G1085" t="s">
        <v>5421</v>
      </c>
    </row>
    <row r="1086" spans="1:7">
      <c r="A1086" t="s">
        <v>5422</v>
      </c>
      <c r="B1086" t="s">
        <v>5423</v>
      </c>
      <c r="C1086" t="s">
        <v>3808</v>
      </c>
      <c r="D1086" t="s">
        <v>3809</v>
      </c>
      <c r="E1086">
        <v>6</v>
      </c>
      <c r="F1086" s="6">
        <v>750</v>
      </c>
      <c r="G1086" t="s">
        <v>3845</v>
      </c>
    </row>
    <row r="1087" spans="1:7">
      <c r="A1087" t="s">
        <v>1489</v>
      </c>
      <c r="B1087" t="s">
        <v>5424</v>
      </c>
      <c r="C1087" t="s">
        <v>4455</v>
      </c>
      <c r="D1087" t="s">
        <v>4456</v>
      </c>
      <c r="E1087">
        <v>12</v>
      </c>
      <c r="F1087" s="6">
        <v>750</v>
      </c>
      <c r="G1087" t="s">
        <v>3730</v>
      </c>
    </row>
    <row r="1088" spans="1:7">
      <c r="A1088" t="s">
        <v>1900</v>
      </c>
      <c r="B1088" t="s">
        <v>5425</v>
      </c>
      <c r="C1088" t="s">
        <v>4244</v>
      </c>
      <c r="D1088" t="s">
        <v>4245</v>
      </c>
      <c r="E1088">
        <v>12</v>
      </c>
      <c r="F1088" s="6">
        <v>750</v>
      </c>
      <c r="G1088" t="s">
        <v>3689</v>
      </c>
    </row>
    <row r="1089" spans="1:7">
      <c r="A1089" t="s">
        <v>5426</v>
      </c>
      <c r="B1089" t="s">
        <v>5427</v>
      </c>
      <c r="C1089" t="s">
        <v>4244</v>
      </c>
      <c r="D1089" t="s">
        <v>4245</v>
      </c>
      <c r="E1089">
        <v>6</v>
      </c>
      <c r="F1089" s="6">
        <v>750</v>
      </c>
      <c r="G1089" t="s">
        <v>3681</v>
      </c>
    </row>
    <row r="1090" spans="1:7">
      <c r="A1090" t="s">
        <v>776</v>
      </c>
      <c r="B1090" t="s">
        <v>5428</v>
      </c>
      <c r="C1090" t="s">
        <v>3928</v>
      </c>
      <c r="D1090" t="s">
        <v>3929</v>
      </c>
      <c r="E1090">
        <v>6</v>
      </c>
      <c r="F1090" s="6">
        <v>750</v>
      </c>
      <c r="G1090" t="s">
        <v>4463</v>
      </c>
    </row>
    <row r="1091" spans="1:7">
      <c r="A1091" t="s">
        <v>2229</v>
      </c>
      <c r="B1091" t="s">
        <v>5429</v>
      </c>
      <c r="C1091" t="s">
        <v>4244</v>
      </c>
      <c r="D1091" t="s">
        <v>4245</v>
      </c>
      <c r="E1091">
        <v>6</v>
      </c>
      <c r="F1091" s="6">
        <v>750</v>
      </c>
      <c r="G1091" t="s">
        <v>4463</v>
      </c>
    </row>
    <row r="1092" spans="1:7">
      <c r="A1092" t="s">
        <v>5430</v>
      </c>
      <c r="B1092" t="s">
        <v>5431</v>
      </c>
      <c r="C1092" t="s">
        <v>4244</v>
      </c>
      <c r="D1092" t="s">
        <v>4245</v>
      </c>
      <c r="E1092">
        <v>6</v>
      </c>
      <c r="F1092" s="6">
        <v>750</v>
      </c>
      <c r="G1092" t="s">
        <v>3854</v>
      </c>
    </row>
    <row r="1093" spans="1:7">
      <c r="A1093" t="s">
        <v>3230</v>
      </c>
      <c r="B1093" t="s">
        <v>5432</v>
      </c>
      <c r="C1093" t="s">
        <v>4455</v>
      </c>
      <c r="D1093" t="s">
        <v>4456</v>
      </c>
      <c r="E1093">
        <v>6</v>
      </c>
      <c r="F1093" s="6">
        <v>750</v>
      </c>
      <c r="G1093" t="s">
        <v>3802</v>
      </c>
    </row>
    <row r="1094" spans="1:7">
      <c r="A1094" t="s">
        <v>955</v>
      </c>
      <c r="B1094" t="s">
        <v>5433</v>
      </c>
      <c r="C1094" t="s">
        <v>3808</v>
      </c>
      <c r="D1094" t="s">
        <v>3809</v>
      </c>
      <c r="E1094">
        <v>6</v>
      </c>
      <c r="F1094" s="6">
        <v>750</v>
      </c>
      <c r="G1094" t="s">
        <v>4438</v>
      </c>
    </row>
    <row r="1095" spans="1:7">
      <c r="A1095" t="s">
        <v>2626</v>
      </c>
      <c r="B1095" t="s">
        <v>5434</v>
      </c>
      <c r="C1095" t="s">
        <v>3808</v>
      </c>
      <c r="D1095" t="s">
        <v>3809</v>
      </c>
      <c r="E1095">
        <v>6</v>
      </c>
      <c r="F1095" s="6">
        <v>750</v>
      </c>
      <c r="G1095" t="s">
        <v>4438</v>
      </c>
    </row>
    <row r="1096" spans="1:7">
      <c r="A1096" t="s">
        <v>5435</v>
      </c>
      <c r="B1096" t="s">
        <v>5436</v>
      </c>
      <c r="C1096" t="s">
        <v>3808</v>
      </c>
      <c r="D1096" t="s">
        <v>3809</v>
      </c>
      <c r="E1096">
        <v>6</v>
      </c>
      <c r="F1096" s="6">
        <v>750</v>
      </c>
      <c r="G1096" t="s">
        <v>4291</v>
      </c>
    </row>
    <row r="1097" spans="1:7">
      <c r="A1097" t="s">
        <v>2248</v>
      </c>
      <c r="B1097" t="s">
        <v>5437</v>
      </c>
      <c r="C1097" t="s">
        <v>3928</v>
      </c>
      <c r="D1097" t="s">
        <v>3929</v>
      </c>
      <c r="E1097">
        <v>6</v>
      </c>
      <c r="F1097" s="6">
        <v>750</v>
      </c>
      <c r="G1097" t="s">
        <v>5228</v>
      </c>
    </row>
    <row r="1098" spans="1:7">
      <c r="A1098" t="s">
        <v>5438</v>
      </c>
      <c r="B1098" t="s">
        <v>5439</v>
      </c>
      <c r="C1098" t="s">
        <v>3928</v>
      </c>
      <c r="D1098" t="s">
        <v>3929</v>
      </c>
      <c r="E1098">
        <v>6</v>
      </c>
      <c r="F1098" s="6">
        <v>750</v>
      </c>
      <c r="G1098" t="s">
        <v>5440</v>
      </c>
    </row>
    <row r="1099" spans="1:7">
      <c r="A1099" t="s">
        <v>5441</v>
      </c>
      <c r="B1099" t="s">
        <v>5442</v>
      </c>
      <c r="C1099" t="s">
        <v>3808</v>
      </c>
      <c r="D1099" t="s">
        <v>3809</v>
      </c>
      <c r="E1099">
        <v>12</v>
      </c>
      <c r="F1099" s="6">
        <v>750</v>
      </c>
      <c r="G1099" t="s">
        <v>4784</v>
      </c>
    </row>
    <row r="1100" spans="1:7">
      <c r="A1100" t="s">
        <v>5443</v>
      </c>
      <c r="B1100" t="s">
        <v>5442</v>
      </c>
      <c r="C1100" t="s">
        <v>3808</v>
      </c>
      <c r="D1100" t="s">
        <v>3809</v>
      </c>
      <c r="E1100">
        <v>6</v>
      </c>
      <c r="F1100" s="6">
        <v>1750</v>
      </c>
      <c r="G1100" t="s">
        <v>4784</v>
      </c>
    </row>
    <row r="1101" spans="1:7">
      <c r="A1101" t="s">
        <v>1675</v>
      </c>
      <c r="B1101" t="s">
        <v>5444</v>
      </c>
      <c r="C1101" t="s">
        <v>3808</v>
      </c>
      <c r="D1101" t="s">
        <v>3809</v>
      </c>
      <c r="E1101">
        <v>6</v>
      </c>
      <c r="F1101" s="6">
        <v>750</v>
      </c>
      <c r="G1101" t="s">
        <v>3781</v>
      </c>
    </row>
    <row r="1102" spans="1:7">
      <c r="A1102" t="s">
        <v>5445</v>
      </c>
      <c r="B1102" t="s">
        <v>5446</v>
      </c>
      <c r="C1102" t="s">
        <v>3679</v>
      </c>
      <c r="D1102" t="s">
        <v>3680</v>
      </c>
      <c r="E1102">
        <v>12</v>
      </c>
      <c r="F1102" s="6">
        <v>750</v>
      </c>
      <c r="G1102" t="s">
        <v>3730</v>
      </c>
    </row>
    <row r="1103" spans="1:7">
      <c r="A1103" t="s">
        <v>5447</v>
      </c>
      <c r="B1103" t="s">
        <v>5448</v>
      </c>
      <c r="C1103" t="s">
        <v>3928</v>
      </c>
      <c r="D1103" t="s">
        <v>3929</v>
      </c>
      <c r="E1103">
        <v>6</v>
      </c>
      <c r="F1103" s="6">
        <v>750</v>
      </c>
      <c r="G1103" t="s">
        <v>4828</v>
      </c>
    </row>
    <row r="1104" spans="1:7">
      <c r="A1104" t="s">
        <v>5449</v>
      </c>
      <c r="B1104" t="s">
        <v>5450</v>
      </c>
      <c r="C1104" t="s">
        <v>4244</v>
      </c>
      <c r="D1104" t="s">
        <v>4245</v>
      </c>
      <c r="E1104">
        <v>6</v>
      </c>
      <c r="F1104" s="6">
        <v>750</v>
      </c>
      <c r="G1104" t="s">
        <v>5451</v>
      </c>
    </row>
    <row r="1105" spans="1:7">
      <c r="A1105" t="s">
        <v>1355</v>
      </c>
      <c r="B1105" t="s">
        <v>5452</v>
      </c>
      <c r="C1105" t="s">
        <v>4244</v>
      </c>
      <c r="D1105" t="s">
        <v>4245</v>
      </c>
      <c r="E1105">
        <v>6</v>
      </c>
      <c r="F1105" s="6">
        <v>750</v>
      </c>
      <c r="G1105" t="s">
        <v>3735</v>
      </c>
    </row>
    <row r="1106" spans="1:7">
      <c r="A1106" t="s">
        <v>5453</v>
      </c>
      <c r="B1106" t="s">
        <v>5454</v>
      </c>
      <c r="C1106" t="s">
        <v>3928</v>
      </c>
      <c r="D1106" t="s">
        <v>3929</v>
      </c>
      <c r="E1106">
        <v>6</v>
      </c>
      <c r="F1106" s="6">
        <v>750</v>
      </c>
      <c r="G1106" t="s">
        <v>5451</v>
      </c>
    </row>
    <row r="1107" spans="1:7">
      <c r="A1107" t="s">
        <v>5455</v>
      </c>
      <c r="B1107" t="s">
        <v>5456</v>
      </c>
      <c r="C1107" t="s">
        <v>4474</v>
      </c>
      <c r="D1107" t="s">
        <v>4475</v>
      </c>
      <c r="E1107">
        <v>6</v>
      </c>
      <c r="F1107" s="6">
        <v>750</v>
      </c>
      <c r="G1107" t="s">
        <v>5231</v>
      </c>
    </row>
    <row r="1108" spans="1:7">
      <c r="A1108" t="s">
        <v>559</v>
      </c>
      <c r="B1108" t="s">
        <v>5457</v>
      </c>
      <c r="C1108" t="s">
        <v>4452</v>
      </c>
      <c r="D1108" t="s">
        <v>4453</v>
      </c>
      <c r="E1108">
        <v>6</v>
      </c>
      <c r="F1108" s="6">
        <v>750</v>
      </c>
      <c r="G1108" t="s">
        <v>4919</v>
      </c>
    </row>
    <row r="1109" spans="1:7">
      <c r="A1109" t="s">
        <v>3487</v>
      </c>
      <c r="B1109" t="s">
        <v>5458</v>
      </c>
      <c r="C1109" t="s">
        <v>4474</v>
      </c>
      <c r="D1109" t="s">
        <v>4475</v>
      </c>
      <c r="E1109">
        <v>6</v>
      </c>
      <c r="F1109" s="6">
        <v>750</v>
      </c>
      <c r="G1109" t="s">
        <v>5231</v>
      </c>
    </row>
    <row r="1110" spans="1:7">
      <c r="A1110" t="s">
        <v>2550</v>
      </c>
      <c r="B1110" t="s">
        <v>5459</v>
      </c>
      <c r="C1110" t="s">
        <v>3928</v>
      </c>
      <c r="D1110" t="s">
        <v>3929</v>
      </c>
      <c r="E1110">
        <v>6</v>
      </c>
      <c r="F1110" s="6">
        <v>750</v>
      </c>
      <c r="G1110" t="s">
        <v>4919</v>
      </c>
    </row>
    <row r="1111" spans="1:7">
      <c r="A1111" t="s">
        <v>5460</v>
      </c>
      <c r="B1111" t="s">
        <v>5461</v>
      </c>
      <c r="C1111" t="s">
        <v>4474</v>
      </c>
      <c r="D1111" t="s">
        <v>4475</v>
      </c>
      <c r="E1111">
        <v>6</v>
      </c>
      <c r="F1111" s="6">
        <v>750</v>
      </c>
      <c r="G1111" t="s">
        <v>5231</v>
      </c>
    </row>
    <row r="1112" spans="1:7">
      <c r="A1112" t="s">
        <v>2258</v>
      </c>
      <c r="B1112" t="s">
        <v>5462</v>
      </c>
      <c r="C1112" t="s">
        <v>4455</v>
      </c>
      <c r="D1112" t="s">
        <v>4456</v>
      </c>
      <c r="E1112">
        <v>24</v>
      </c>
      <c r="F1112" s="6">
        <v>375</v>
      </c>
      <c r="G1112" t="s">
        <v>3694</v>
      </c>
    </row>
    <row r="1113" spans="1:7">
      <c r="A1113" t="s">
        <v>373</v>
      </c>
      <c r="B1113" t="s">
        <v>5463</v>
      </c>
      <c r="C1113" t="s">
        <v>4455</v>
      </c>
      <c r="D1113" t="s">
        <v>4456</v>
      </c>
      <c r="E1113">
        <v>12</v>
      </c>
      <c r="F1113" s="6">
        <v>50</v>
      </c>
      <c r="G1113" t="s">
        <v>3694</v>
      </c>
    </row>
    <row r="1114" spans="1:7">
      <c r="A1114" t="s">
        <v>5464</v>
      </c>
      <c r="B1114" t="s">
        <v>5465</v>
      </c>
      <c r="C1114" t="s">
        <v>4455</v>
      </c>
      <c r="D1114" t="s">
        <v>4456</v>
      </c>
      <c r="E1114">
        <v>48</v>
      </c>
      <c r="F1114" s="6">
        <v>100</v>
      </c>
      <c r="G1114" t="s">
        <v>3694</v>
      </c>
    </row>
    <row r="1115" spans="1:7">
      <c r="A1115" t="s">
        <v>1966</v>
      </c>
      <c r="B1115" t="s">
        <v>5465</v>
      </c>
      <c r="C1115" t="s">
        <v>4455</v>
      </c>
      <c r="D1115" t="s">
        <v>4456</v>
      </c>
      <c r="E1115">
        <v>48</v>
      </c>
      <c r="F1115" s="6">
        <v>200</v>
      </c>
      <c r="G1115" t="s">
        <v>3694</v>
      </c>
    </row>
    <row r="1116" spans="1:7">
      <c r="A1116" t="s">
        <v>51</v>
      </c>
      <c r="B1116" t="s">
        <v>5466</v>
      </c>
      <c r="C1116" t="s">
        <v>4455</v>
      </c>
      <c r="D1116" t="s">
        <v>4456</v>
      </c>
      <c r="E1116">
        <v>24</v>
      </c>
      <c r="F1116" s="6">
        <v>375</v>
      </c>
      <c r="G1116" t="s">
        <v>3694</v>
      </c>
    </row>
    <row r="1117" spans="1:7">
      <c r="A1117" t="s">
        <v>5467</v>
      </c>
      <c r="B1117" t="s">
        <v>5465</v>
      </c>
      <c r="C1117" t="s">
        <v>4455</v>
      </c>
      <c r="D1117" t="s">
        <v>4456</v>
      </c>
      <c r="E1117">
        <v>12</v>
      </c>
      <c r="F1117" s="6">
        <v>750</v>
      </c>
      <c r="G1117" t="s">
        <v>3694</v>
      </c>
    </row>
    <row r="1118" spans="1:7">
      <c r="A1118" t="s">
        <v>541</v>
      </c>
      <c r="B1118" t="s">
        <v>5465</v>
      </c>
      <c r="C1118" t="s">
        <v>4455</v>
      </c>
      <c r="D1118" t="s">
        <v>4456</v>
      </c>
      <c r="E1118">
        <v>12</v>
      </c>
      <c r="F1118" s="6">
        <v>1000</v>
      </c>
      <c r="G1118" t="s">
        <v>3694</v>
      </c>
    </row>
    <row r="1119" spans="1:7">
      <c r="A1119" t="s">
        <v>2525</v>
      </c>
      <c r="B1119" t="s">
        <v>5465</v>
      </c>
      <c r="C1119" t="s">
        <v>4455</v>
      </c>
      <c r="D1119" t="s">
        <v>4456</v>
      </c>
      <c r="E1119">
        <v>6</v>
      </c>
      <c r="F1119" s="6">
        <v>1750</v>
      </c>
      <c r="G1119" t="s">
        <v>3694</v>
      </c>
    </row>
    <row r="1120" spans="1:7">
      <c r="A1120" t="s">
        <v>5468</v>
      </c>
      <c r="B1120" t="s">
        <v>5469</v>
      </c>
      <c r="C1120" t="s">
        <v>3808</v>
      </c>
      <c r="D1120" t="s">
        <v>3809</v>
      </c>
      <c r="E1120">
        <v>6</v>
      </c>
      <c r="F1120" s="6">
        <v>750</v>
      </c>
      <c r="G1120" t="s">
        <v>3781</v>
      </c>
    </row>
    <row r="1121" spans="1:7">
      <c r="A1121" t="s">
        <v>5470</v>
      </c>
      <c r="B1121" t="s">
        <v>5442</v>
      </c>
      <c r="C1121" t="s">
        <v>3808</v>
      </c>
      <c r="D1121" t="s">
        <v>3809</v>
      </c>
      <c r="E1121">
        <v>12</v>
      </c>
      <c r="F1121" s="6">
        <v>1000</v>
      </c>
      <c r="G1121" t="s">
        <v>4784</v>
      </c>
    </row>
    <row r="1122" spans="1:7">
      <c r="A1122" t="s">
        <v>2101</v>
      </c>
      <c r="B1122" t="s">
        <v>5471</v>
      </c>
      <c r="C1122" t="s">
        <v>3928</v>
      </c>
      <c r="D1122" t="s">
        <v>3929</v>
      </c>
      <c r="E1122">
        <v>6</v>
      </c>
      <c r="F1122" s="6">
        <v>750</v>
      </c>
      <c r="G1122" t="s">
        <v>5472</v>
      </c>
    </row>
    <row r="1123" spans="1:7">
      <c r="A1123" t="s">
        <v>2884</v>
      </c>
      <c r="B1123" t="s">
        <v>5473</v>
      </c>
      <c r="C1123" t="s">
        <v>4244</v>
      </c>
      <c r="D1123" t="s">
        <v>4245</v>
      </c>
      <c r="E1123">
        <v>12</v>
      </c>
      <c r="F1123" s="6">
        <v>375</v>
      </c>
      <c r="G1123" t="s">
        <v>3735</v>
      </c>
    </row>
    <row r="1124" spans="1:7">
      <c r="A1124" t="s">
        <v>139</v>
      </c>
      <c r="B1124" t="s">
        <v>5474</v>
      </c>
      <c r="C1124" t="s">
        <v>3808</v>
      </c>
      <c r="D1124" t="s">
        <v>3809</v>
      </c>
      <c r="E1124">
        <v>6</v>
      </c>
      <c r="F1124" s="6">
        <v>750</v>
      </c>
      <c r="G1124" t="s">
        <v>5475</v>
      </c>
    </row>
    <row r="1125" spans="1:7">
      <c r="A1125" t="s">
        <v>5476</v>
      </c>
      <c r="B1125" t="s">
        <v>5477</v>
      </c>
      <c r="C1125" t="s">
        <v>3679</v>
      </c>
      <c r="D1125" t="s">
        <v>3680</v>
      </c>
      <c r="E1125">
        <v>6</v>
      </c>
      <c r="F1125" s="6">
        <v>750</v>
      </c>
      <c r="G1125" t="s">
        <v>3694</v>
      </c>
    </row>
    <row r="1126" spans="1:7">
      <c r="A1126" t="s">
        <v>1440</v>
      </c>
      <c r="B1126" t="s">
        <v>5478</v>
      </c>
      <c r="C1126" t="s">
        <v>4455</v>
      </c>
      <c r="D1126" t="s">
        <v>4456</v>
      </c>
      <c r="E1126">
        <v>6</v>
      </c>
      <c r="F1126" s="6">
        <v>750</v>
      </c>
      <c r="G1126" t="s">
        <v>3694</v>
      </c>
    </row>
    <row r="1127" spans="1:7">
      <c r="A1127" t="s">
        <v>5479</v>
      </c>
      <c r="B1127" t="s">
        <v>5480</v>
      </c>
      <c r="C1127" t="s">
        <v>4244</v>
      </c>
      <c r="D1127" t="s">
        <v>4245</v>
      </c>
      <c r="E1127">
        <v>6</v>
      </c>
      <c r="F1127" s="6">
        <v>750</v>
      </c>
      <c r="G1127" t="s">
        <v>4163</v>
      </c>
    </row>
    <row r="1128" spans="1:7">
      <c r="A1128" t="s">
        <v>5481</v>
      </c>
      <c r="B1128" t="s">
        <v>5482</v>
      </c>
      <c r="C1128" t="s">
        <v>3808</v>
      </c>
      <c r="D1128" t="s">
        <v>3809</v>
      </c>
      <c r="E1128">
        <v>6</v>
      </c>
      <c r="F1128" s="6">
        <v>750</v>
      </c>
      <c r="G1128" t="s">
        <v>3802</v>
      </c>
    </row>
    <row r="1129" spans="1:7">
      <c r="A1129" t="s">
        <v>5483</v>
      </c>
      <c r="B1129" t="s">
        <v>5484</v>
      </c>
      <c r="C1129" t="s">
        <v>4244</v>
      </c>
      <c r="D1129" t="s">
        <v>4245</v>
      </c>
      <c r="E1129">
        <v>6</v>
      </c>
      <c r="F1129" s="6">
        <v>750</v>
      </c>
      <c r="G1129" t="s">
        <v>3716</v>
      </c>
    </row>
    <row r="1130" spans="1:7">
      <c r="A1130" t="s">
        <v>448</v>
      </c>
      <c r="B1130" t="s">
        <v>5485</v>
      </c>
      <c r="C1130" t="s">
        <v>4455</v>
      </c>
      <c r="D1130" t="s">
        <v>4456</v>
      </c>
      <c r="E1130">
        <v>6</v>
      </c>
      <c r="F1130" s="6">
        <v>750</v>
      </c>
      <c r="G1130" t="s">
        <v>3802</v>
      </c>
    </row>
    <row r="1131" spans="1:7">
      <c r="A1131" t="s">
        <v>3566</v>
      </c>
      <c r="B1131" t="s">
        <v>5486</v>
      </c>
      <c r="C1131" t="s">
        <v>3928</v>
      </c>
      <c r="D1131" t="s">
        <v>3929</v>
      </c>
      <c r="E1131">
        <v>12</v>
      </c>
      <c r="F1131" s="6">
        <v>750</v>
      </c>
      <c r="G1131" t="s">
        <v>3754</v>
      </c>
    </row>
    <row r="1132" spans="1:7">
      <c r="A1132" t="s">
        <v>2386</v>
      </c>
      <c r="B1132" t="s">
        <v>5487</v>
      </c>
      <c r="C1132" t="s">
        <v>3808</v>
      </c>
      <c r="D1132" t="s">
        <v>3809</v>
      </c>
      <c r="E1132">
        <v>12</v>
      </c>
      <c r="F1132" s="6">
        <v>750</v>
      </c>
      <c r="G1132" t="s">
        <v>3754</v>
      </c>
    </row>
    <row r="1133" spans="1:7">
      <c r="A1133" t="s">
        <v>5488</v>
      </c>
      <c r="B1133" t="s">
        <v>5489</v>
      </c>
      <c r="C1133" t="s">
        <v>4244</v>
      </c>
      <c r="D1133" t="s">
        <v>4245</v>
      </c>
      <c r="E1133">
        <v>12</v>
      </c>
      <c r="F1133" s="6">
        <v>750</v>
      </c>
      <c r="G1133" t="s">
        <v>3754</v>
      </c>
    </row>
    <row r="1134" spans="1:7">
      <c r="A1134" t="s">
        <v>5490</v>
      </c>
      <c r="B1134" t="s">
        <v>5491</v>
      </c>
      <c r="C1134" t="s">
        <v>3679</v>
      </c>
      <c r="D1134" t="s">
        <v>3680</v>
      </c>
      <c r="E1134">
        <v>6</v>
      </c>
      <c r="F1134" s="6">
        <v>750</v>
      </c>
      <c r="G1134" t="s">
        <v>3802</v>
      </c>
    </row>
    <row r="1135" spans="1:7">
      <c r="A1135" t="s">
        <v>1428</v>
      </c>
      <c r="B1135" t="s">
        <v>5492</v>
      </c>
      <c r="C1135" t="s">
        <v>4244</v>
      </c>
      <c r="D1135" t="s">
        <v>4245</v>
      </c>
      <c r="E1135">
        <v>6</v>
      </c>
      <c r="F1135" s="6">
        <v>750</v>
      </c>
      <c r="G1135" t="s">
        <v>4438</v>
      </c>
    </row>
    <row r="1136" spans="1:7">
      <c r="A1136" t="s">
        <v>575</v>
      </c>
      <c r="B1136" t="s">
        <v>5493</v>
      </c>
      <c r="C1136" t="s">
        <v>4244</v>
      </c>
      <c r="D1136" t="s">
        <v>4245</v>
      </c>
      <c r="E1136">
        <v>12</v>
      </c>
      <c r="F1136" s="6">
        <v>750</v>
      </c>
      <c r="G1136" t="s">
        <v>3931</v>
      </c>
    </row>
    <row r="1137" spans="1:7">
      <c r="A1137" t="s">
        <v>5494</v>
      </c>
      <c r="B1137" t="s">
        <v>5495</v>
      </c>
      <c r="C1137" t="s">
        <v>4244</v>
      </c>
      <c r="D1137" t="s">
        <v>4245</v>
      </c>
      <c r="E1137">
        <v>6</v>
      </c>
      <c r="F1137" s="6">
        <v>1750</v>
      </c>
      <c r="G1137" t="s">
        <v>3730</v>
      </c>
    </row>
    <row r="1138" spans="1:7">
      <c r="A1138" t="s">
        <v>2187</v>
      </c>
      <c r="B1138" t="s">
        <v>5495</v>
      </c>
      <c r="C1138" t="s">
        <v>4244</v>
      </c>
      <c r="D1138" t="s">
        <v>4245</v>
      </c>
      <c r="E1138">
        <v>12</v>
      </c>
      <c r="F1138" s="6">
        <v>750</v>
      </c>
      <c r="G1138" t="s">
        <v>3730</v>
      </c>
    </row>
    <row r="1139" spans="1:7">
      <c r="A1139" t="s">
        <v>531</v>
      </c>
      <c r="B1139" t="s">
        <v>5495</v>
      </c>
      <c r="C1139" t="s">
        <v>4244</v>
      </c>
      <c r="D1139" t="s">
        <v>4245</v>
      </c>
      <c r="E1139">
        <v>12</v>
      </c>
      <c r="F1139" s="6">
        <v>1000</v>
      </c>
      <c r="G1139" t="s">
        <v>3730</v>
      </c>
    </row>
    <row r="1140" spans="1:7">
      <c r="A1140" t="s">
        <v>2770</v>
      </c>
      <c r="B1140" t="s">
        <v>5496</v>
      </c>
      <c r="C1140" t="s">
        <v>4244</v>
      </c>
      <c r="D1140" t="s">
        <v>4245</v>
      </c>
      <c r="E1140">
        <v>6</v>
      </c>
      <c r="F1140" s="6">
        <v>750</v>
      </c>
      <c r="G1140" t="s">
        <v>3871</v>
      </c>
    </row>
    <row r="1141" spans="1:7">
      <c r="A1141" t="s">
        <v>1784</v>
      </c>
      <c r="B1141" t="s">
        <v>5497</v>
      </c>
      <c r="C1141" t="s">
        <v>4244</v>
      </c>
      <c r="D1141" t="s">
        <v>4245</v>
      </c>
      <c r="E1141">
        <v>12</v>
      </c>
      <c r="F1141" s="6">
        <v>750</v>
      </c>
      <c r="G1141" t="s">
        <v>3730</v>
      </c>
    </row>
    <row r="1142" spans="1:7">
      <c r="A1142" t="s">
        <v>2287</v>
      </c>
      <c r="B1142" t="s">
        <v>5498</v>
      </c>
      <c r="C1142" t="s">
        <v>4244</v>
      </c>
      <c r="D1142" t="s">
        <v>4245</v>
      </c>
      <c r="E1142">
        <v>6</v>
      </c>
      <c r="F1142" s="6">
        <v>750</v>
      </c>
      <c r="G1142" t="s">
        <v>3951</v>
      </c>
    </row>
    <row r="1143" spans="1:7">
      <c r="A1143" t="s">
        <v>5499</v>
      </c>
      <c r="B1143" t="s">
        <v>5500</v>
      </c>
      <c r="C1143" t="s">
        <v>3679</v>
      </c>
      <c r="D1143" t="s">
        <v>3680</v>
      </c>
      <c r="E1143">
        <v>6</v>
      </c>
      <c r="F1143" s="6">
        <v>750</v>
      </c>
      <c r="G1143" t="s">
        <v>3951</v>
      </c>
    </row>
    <row r="1144" spans="1:7">
      <c r="A1144" t="s">
        <v>146</v>
      </c>
      <c r="B1144" t="s">
        <v>5501</v>
      </c>
      <c r="C1144" t="s">
        <v>4244</v>
      </c>
      <c r="D1144" t="s">
        <v>4245</v>
      </c>
      <c r="E1144">
        <v>6</v>
      </c>
      <c r="F1144" s="6">
        <v>750</v>
      </c>
      <c r="G1144" t="s">
        <v>3716</v>
      </c>
    </row>
    <row r="1145" spans="1:7">
      <c r="A1145" t="s">
        <v>5502</v>
      </c>
      <c r="B1145" t="s">
        <v>5503</v>
      </c>
      <c r="C1145" t="s">
        <v>4244</v>
      </c>
      <c r="D1145" t="s">
        <v>4245</v>
      </c>
      <c r="E1145">
        <v>6</v>
      </c>
      <c r="F1145" s="6">
        <v>750</v>
      </c>
      <c r="G1145" t="s">
        <v>4708</v>
      </c>
    </row>
    <row r="1146" spans="1:7">
      <c r="A1146" t="s">
        <v>1234</v>
      </c>
      <c r="B1146" t="s">
        <v>5504</v>
      </c>
      <c r="C1146" t="s">
        <v>4244</v>
      </c>
      <c r="D1146" t="s">
        <v>4245</v>
      </c>
      <c r="E1146">
        <v>12</v>
      </c>
      <c r="F1146" s="6">
        <v>750</v>
      </c>
      <c r="G1146" t="s">
        <v>3716</v>
      </c>
    </row>
    <row r="1147" spans="1:7">
      <c r="A1147" t="s">
        <v>3150</v>
      </c>
      <c r="B1147" t="s">
        <v>5505</v>
      </c>
      <c r="C1147" t="s">
        <v>4244</v>
      </c>
      <c r="D1147" t="s">
        <v>4245</v>
      </c>
      <c r="E1147">
        <v>6</v>
      </c>
      <c r="F1147" s="6">
        <v>750</v>
      </c>
      <c r="G1147" t="s">
        <v>4781</v>
      </c>
    </row>
    <row r="1148" spans="1:7">
      <c r="A1148" t="s">
        <v>63</v>
      </c>
      <c r="B1148" t="s">
        <v>5506</v>
      </c>
      <c r="C1148" t="s">
        <v>4244</v>
      </c>
      <c r="D1148" t="s">
        <v>4245</v>
      </c>
      <c r="E1148">
        <v>12</v>
      </c>
      <c r="F1148" s="6">
        <v>750</v>
      </c>
      <c r="G1148" t="s">
        <v>3716</v>
      </c>
    </row>
    <row r="1149" spans="1:7">
      <c r="A1149" t="s">
        <v>1802</v>
      </c>
      <c r="B1149" t="s">
        <v>5507</v>
      </c>
      <c r="C1149" t="s">
        <v>3808</v>
      </c>
      <c r="D1149" t="s">
        <v>3809</v>
      </c>
      <c r="E1149">
        <v>12</v>
      </c>
      <c r="F1149" s="6">
        <v>750</v>
      </c>
      <c r="G1149" t="s">
        <v>4285</v>
      </c>
    </row>
    <row r="1150" spans="1:7">
      <c r="A1150" t="s">
        <v>5508</v>
      </c>
      <c r="B1150" t="s">
        <v>5509</v>
      </c>
      <c r="C1150" t="s">
        <v>3808</v>
      </c>
      <c r="D1150" t="s">
        <v>3809</v>
      </c>
      <c r="E1150">
        <v>6</v>
      </c>
      <c r="F1150" s="6">
        <v>750</v>
      </c>
      <c r="G1150" t="s">
        <v>3951</v>
      </c>
    </row>
    <row r="1151" spans="1:7">
      <c r="A1151" t="s">
        <v>939</v>
      </c>
      <c r="B1151" t="s">
        <v>5027</v>
      </c>
      <c r="C1151" t="s">
        <v>4244</v>
      </c>
      <c r="D1151" t="s">
        <v>4245</v>
      </c>
      <c r="E1151">
        <v>6</v>
      </c>
      <c r="F1151" s="6">
        <v>750</v>
      </c>
      <c r="G1151" t="s">
        <v>3686</v>
      </c>
    </row>
    <row r="1152" spans="1:7">
      <c r="A1152" t="s">
        <v>5510</v>
      </c>
      <c r="B1152" t="s">
        <v>5511</v>
      </c>
      <c r="C1152" t="s">
        <v>3679</v>
      </c>
      <c r="D1152" t="s">
        <v>3680</v>
      </c>
      <c r="E1152">
        <v>6</v>
      </c>
      <c r="F1152" s="6">
        <v>750</v>
      </c>
      <c r="G1152" t="s">
        <v>3686</v>
      </c>
    </row>
    <row r="1153" spans="1:7">
      <c r="A1153" t="s">
        <v>2393</v>
      </c>
      <c r="B1153" t="s">
        <v>5473</v>
      </c>
      <c r="C1153" t="s">
        <v>4244</v>
      </c>
      <c r="D1153" t="s">
        <v>4245</v>
      </c>
      <c r="E1153">
        <v>6</v>
      </c>
      <c r="F1153" s="6">
        <v>750</v>
      </c>
      <c r="G1153" t="s">
        <v>3735</v>
      </c>
    </row>
    <row r="1154" spans="1:7">
      <c r="A1154" t="s">
        <v>1879</v>
      </c>
      <c r="B1154" t="s">
        <v>5512</v>
      </c>
      <c r="C1154" t="s">
        <v>4244</v>
      </c>
      <c r="D1154" t="s">
        <v>4245</v>
      </c>
      <c r="E1154">
        <v>12</v>
      </c>
      <c r="F1154" s="6">
        <v>750</v>
      </c>
      <c r="G1154" t="s">
        <v>3888</v>
      </c>
    </row>
    <row r="1155" spans="1:7">
      <c r="A1155" t="s">
        <v>840</v>
      </c>
      <c r="B1155" t="s">
        <v>5513</v>
      </c>
      <c r="C1155" t="s">
        <v>4244</v>
      </c>
      <c r="D1155" t="s">
        <v>4245</v>
      </c>
      <c r="E1155">
        <v>6</v>
      </c>
      <c r="F1155" s="6">
        <v>750</v>
      </c>
      <c r="G1155" t="s">
        <v>3735</v>
      </c>
    </row>
    <row r="1156" spans="1:7">
      <c r="A1156" t="s">
        <v>2945</v>
      </c>
      <c r="B1156" t="s">
        <v>5514</v>
      </c>
      <c r="C1156" t="s">
        <v>4244</v>
      </c>
      <c r="D1156" t="s">
        <v>4245</v>
      </c>
      <c r="E1156">
        <v>6</v>
      </c>
      <c r="F1156" s="6">
        <v>750</v>
      </c>
      <c r="G1156" t="s">
        <v>3694</v>
      </c>
    </row>
    <row r="1157" spans="1:7">
      <c r="A1157" t="s">
        <v>5515</v>
      </c>
      <c r="B1157" t="s">
        <v>5516</v>
      </c>
      <c r="C1157" t="s">
        <v>4244</v>
      </c>
      <c r="D1157" t="s">
        <v>4245</v>
      </c>
      <c r="E1157">
        <v>6</v>
      </c>
      <c r="F1157" s="6">
        <v>750</v>
      </c>
      <c r="G1157" t="s">
        <v>3871</v>
      </c>
    </row>
    <row r="1158" spans="1:7">
      <c r="A1158" t="s">
        <v>5517</v>
      </c>
      <c r="B1158" t="s">
        <v>5518</v>
      </c>
      <c r="C1158" t="s">
        <v>4244</v>
      </c>
      <c r="D1158" t="s">
        <v>4245</v>
      </c>
      <c r="E1158">
        <v>6</v>
      </c>
      <c r="F1158" s="6">
        <v>750</v>
      </c>
      <c r="G1158" t="s">
        <v>3854</v>
      </c>
    </row>
    <row r="1159" spans="1:7">
      <c r="A1159" t="s">
        <v>2068</v>
      </c>
      <c r="B1159" t="s">
        <v>5519</v>
      </c>
      <c r="C1159" t="s">
        <v>4244</v>
      </c>
      <c r="D1159" t="s">
        <v>4245</v>
      </c>
      <c r="E1159">
        <v>6</v>
      </c>
      <c r="F1159" s="6">
        <v>750</v>
      </c>
      <c r="G1159" t="s">
        <v>5520</v>
      </c>
    </row>
    <row r="1160" spans="1:7">
      <c r="A1160" t="s">
        <v>619</v>
      </c>
      <c r="B1160" t="s">
        <v>5521</v>
      </c>
      <c r="C1160" t="s">
        <v>4244</v>
      </c>
      <c r="D1160" t="s">
        <v>4245</v>
      </c>
      <c r="E1160">
        <v>6</v>
      </c>
      <c r="F1160" s="6">
        <v>750</v>
      </c>
      <c r="G1160" t="s">
        <v>4163</v>
      </c>
    </row>
    <row r="1161" spans="1:7">
      <c r="A1161" t="s">
        <v>1305</v>
      </c>
      <c r="B1161" t="s">
        <v>5473</v>
      </c>
      <c r="C1161" t="s">
        <v>4244</v>
      </c>
      <c r="D1161" t="s">
        <v>4245</v>
      </c>
      <c r="E1161">
        <v>6</v>
      </c>
      <c r="F1161" s="6">
        <v>1000</v>
      </c>
      <c r="G1161" t="s">
        <v>3735</v>
      </c>
    </row>
    <row r="1162" spans="1:7">
      <c r="A1162" t="s">
        <v>5522</v>
      </c>
      <c r="B1162" t="s">
        <v>5523</v>
      </c>
      <c r="C1162" t="s">
        <v>4244</v>
      </c>
      <c r="D1162" t="s">
        <v>4245</v>
      </c>
      <c r="E1162">
        <v>12</v>
      </c>
      <c r="F1162" s="6">
        <v>750</v>
      </c>
      <c r="G1162" t="s">
        <v>3694</v>
      </c>
    </row>
    <row r="1163" spans="1:7">
      <c r="A1163" t="s">
        <v>5524</v>
      </c>
      <c r="B1163" t="s">
        <v>5525</v>
      </c>
      <c r="C1163" t="s">
        <v>4244</v>
      </c>
      <c r="D1163" t="s">
        <v>4245</v>
      </c>
      <c r="E1163">
        <v>6</v>
      </c>
      <c r="F1163" s="6">
        <v>750</v>
      </c>
      <c r="G1163" t="s">
        <v>5520</v>
      </c>
    </row>
    <row r="1164" spans="1:7">
      <c r="A1164" t="s">
        <v>5526</v>
      </c>
      <c r="B1164" t="s">
        <v>5527</v>
      </c>
      <c r="C1164" t="s">
        <v>4244</v>
      </c>
      <c r="D1164" t="s">
        <v>4245</v>
      </c>
      <c r="E1164">
        <v>6</v>
      </c>
      <c r="F1164" s="6">
        <v>750</v>
      </c>
      <c r="G1164" t="s">
        <v>3716</v>
      </c>
    </row>
    <row r="1165" spans="1:7">
      <c r="A1165" t="s">
        <v>576</v>
      </c>
      <c r="B1165" t="s">
        <v>5528</v>
      </c>
      <c r="C1165" t="s">
        <v>4244</v>
      </c>
      <c r="D1165" t="s">
        <v>4245</v>
      </c>
      <c r="E1165">
        <v>6</v>
      </c>
      <c r="F1165" s="6">
        <v>750</v>
      </c>
      <c r="G1165" t="s">
        <v>5520</v>
      </c>
    </row>
    <row r="1166" spans="1:7">
      <c r="A1166" t="s">
        <v>5529</v>
      </c>
      <c r="B1166" t="s">
        <v>5530</v>
      </c>
      <c r="C1166" t="s">
        <v>4244</v>
      </c>
      <c r="D1166" t="s">
        <v>4245</v>
      </c>
      <c r="E1166">
        <v>6</v>
      </c>
      <c r="F1166" s="6">
        <v>750</v>
      </c>
      <c r="G1166" t="s">
        <v>3702</v>
      </c>
    </row>
    <row r="1167" spans="1:7">
      <c r="A1167" t="s">
        <v>2398</v>
      </c>
      <c r="B1167" t="s">
        <v>5531</v>
      </c>
      <c r="C1167" t="s">
        <v>3808</v>
      </c>
      <c r="D1167" t="s">
        <v>3809</v>
      </c>
      <c r="E1167">
        <v>6</v>
      </c>
      <c r="F1167" s="6">
        <v>750</v>
      </c>
      <c r="G1167" t="s">
        <v>5532</v>
      </c>
    </row>
    <row r="1168" spans="1:7">
      <c r="A1168" t="s">
        <v>5533</v>
      </c>
      <c r="B1168" t="s">
        <v>5534</v>
      </c>
      <c r="C1168" t="s">
        <v>3928</v>
      </c>
      <c r="D1168" t="s">
        <v>3929</v>
      </c>
      <c r="E1168">
        <v>6</v>
      </c>
      <c r="F1168" s="6">
        <v>750</v>
      </c>
      <c r="G1168" t="s">
        <v>4068</v>
      </c>
    </row>
    <row r="1169" spans="1:7">
      <c r="A1169" t="s">
        <v>5535</v>
      </c>
      <c r="B1169" t="s">
        <v>5536</v>
      </c>
      <c r="C1169" t="s">
        <v>3928</v>
      </c>
      <c r="D1169" t="s">
        <v>3929</v>
      </c>
      <c r="E1169">
        <v>6</v>
      </c>
      <c r="F1169" s="6">
        <v>750</v>
      </c>
      <c r="G1169" t="s">
        <v>4438</v>
      </c>
    </row>
    <row r="1170" spans="1:7">
      <c r="A1170" t="s">
        <v>1280</v>
      </c>
      <c r="B1170" t="s">
        <v>5537</v>
      </c>
      <c r="C1170" t="s">
        <v>3928</v>
      </c>
      <c r="D1170" t="s">
        <v>3929</v>
      </c>
      <c r="E1170">
        <v>6</v>
      </c>
      <c r="F1170" s="6">
        <v>750</v>
      </c>
      <c r="G1170" t="s">
        <v>4438</v>
      </c>
    </row>
    <row r="1171" spans="1:7">
      <c r="A1171" t="s">
        <v>2000</v>
      </c>
      <c r="B1171" t="s">
        <v>5538</v>
      </c>
      <c r="C1171" t="s">
        <v>4474</v>
      </c>
      <c r="D1171" t="s">
        <v>4475</v>
      </c>
      <c r="E1171">
        <v>6</v>
      </c>
      <c r="F1171" s="6">
        <v>750</v>
      </c>
      <c r="G1171" t="s">
        <v>4509</v>
      </c>
    </row>
    <row r="1172" spans="1:7">
      <c r="A1172" t="s">
        <v>693</v>
      </c>
      <c r="B1172" t="s">
        <v>5539</v>
      </c>
      <c r="C1172" t="s">
        <v>4452</v>
      </c>
      <c r="D1172" t="s">
        <v>4453</v>
      </c>
      <c r="E1172">
        <v>6</v>
      </c>
      <c r="F1172" s="6">
        <v>750</v>
      </c>
      <c r="G1172" t="s">
        <v>3705</v>
      </c>
    </row>
    <row r="1173" spans="1:7">
      <c r="A1173" t="s">
        <v>1545</v>
      </c>
      <c r="B1173" t="s">
        <v>5540</v>
      </c>
      <c r="C1173" t="s">
        <v>3928</v>
      </c>
      <c r="D1173" t="s">
        <v>3929</v>
      </c>
      <c r="E1173">
        <v>12</v>
      </c>
      <c r="F1173" s="6">
        <v>50</v>
      </c>
      <c r="G1173" t="s">
        <v>3716</v>
      </c>
    </row>
    <row r="1174" spans="1:7">
      <c r="A1174" t="s">
        <v>2774</v>
      </c>
      <c r="B1174" t="s">
        <v>5541</v>
      </c>
      <c r="C1174" t="s">
        <v>3928</v>
      </c>
      <c r="D1174" t="s">
        <v>3929</v>
      </c>
      <c r="E1174">
        <v>24</v>
      </c>
      <c r="F1174" s="6">
        <v>375</v>
      </c>
      <c r="G1174" t="s">
        <v>3716</v>
      </c>
    </row>
    <row r="1175" spans="1:7">
      <c r="A1175" t="s">
        <v>730</v>
      </c>
      <c r="B1175" t="s">
        <v>5541</v>
      </c>
      <c r="C1175" t="s">
        <v>3928</v>
      </c>
      <c r="D1175" t="s">
        <v>3929</v>
      </c>
      <c r="E1175">
        <v>12</v>
      </c>
      <c r="F1175" s="6">
        <v>750</v>
      </c>
      <c r="G1175" t="s">
        <v>3716</v>
      </c>
    </row>
    <row r="1176" spans="1:7">
      <c r="A1176" t="s">
        <v>5542</v>
      </c>
      <c r="B1176" t="s">
        <v>5543</v>
      </c>
      <c r="C1176" t="s">
        <v>3808</v>
      </c>
      <c r="D1176" t="s">
        <v>3809</v>
      </c>
      <c r="E1176">
        <v>6</v>
      </c>
      <c r="F1176" s="6">
        <v>750</v>
      </c>
      <c r="G1176" t="s">
        <v>3781</v>
      </c>
    </row>
    <row r="1177" spans="1:7">
      <c r="A1177" t="s">
        <v>1172</v>
      </c>
      <c r="B1177" t="s">
        <v>5544</v>
      </c>
      <c r="C1177" t="s">
        <v>3808</v>
      </c>
      <c r="D1177" t="s">
        <v>3809</v>
      </c>
      <c r="E1177">
        <v>6</v>
      </c>
      <c r="F1177" s="6">
        <v>750</v>
      </c>
      <c r="G1177" t="s">
        <v>3781</v>
      </c>
    </row>
    <row r="1178" spans="1:7">
      <c r="A1178" t="s">
        <v>2675</v>
      </c>
      <c r="B1178" t="s">
        <v>5545</v>
      </c>
      <c r="C1178" t="s">
        <v>4071</v>
      </c>
      <c r="D1178" t="s">
        <v>4072</v>
      </c>
      <c r="E1178">
        <v>6</v>
      </c>
      <c r="F1178" s="6">
        <v>750</v>
      </c>
      <c r="G1178" t="s">
        <v>5546</v>
      </c>
    </row>
    <row r="1179" spans="1:7">
      <c r="A1179" t="s">
        <v>589</v>
      </c>
      <c r="B1179" t="s">
        <v>5547</v>
      </c>
      <c r="C1179" t="s">
        <v>3708</v>
      </c>
      <c r="D1179" t="s">
        <v>3709</v>
      </c>
      <c r="E1179">
        <v>8</v>
      </c>
      <c r="F1179" s="6">
        <v>50</v>
      </c>
      <c r="G1179" t="s">
        <v>3931</v>
      </c>
    </row>
    <row r="1180" spans="1:7">
      <c r="A1180" t="s">
        <v>1764</v>
      </c>
      <c r="B1180" t="s">
        <v>5548</v>
      </c>
      <c r="C1180" t="s">
        <v>3708</v>
      </c>
      <c r="D1180" t="s">
        <v>3709</v>
      </c>
      <c r="E1180">
        <v>12</v>
      </c>
      <c r="F1180" s="6">
        <v>750</v>
      </c>
      <c r="G1180" t="s">
        <v>3931</v>
      </c>
    </row>
    <row r="1181" spans="1:7">
      <c r="A1181" t="s">
        <v>5549</v>
      </c>
      <c r="B1181" t="s">
        <v>5083</v>
      </c>
      <c r="C1181" t="s">
        <v>3808</v>
      </c>
      <c r="D1181" t="s">
        <v>3809</v>
      </c>
      <c r="E1181">
        <v>6</v>
      </c>
      <c r="F1181" s="6">
        <v>750</v>
      </c>
      <c r="G1181" t="s">
        <v>5084</v>
      </c>
    </row>
    <row r="1182" spans="1:7">
      <c r="A1182" t="s">
        <v>3176</v>
      </c>
      <c r="B1182" t="s">
        <v>5550</v>
      </c>
      <c r="C1182" t="s">
        <v>3679</v>
      </c>
      <c r="D1182" t="s">
        <v>3680</v>
      </c>
      <c r="E1182">
        <v>6</v>
      </c>
      <c r="F1182" s="6">
        <v>750</v>
      </c>
      <c r="G1182" t="s">
        <v>3686</v>
      </c>
    </row>
    <row r="1183" spans="1:7">
      <c r="A1183" t="s">
        <v>1167</v>
      </c>
      <c r="B1183" t="s">
        <v>5551</v>
      </c>
      <c r="C1183" t="s">
        <v>3808</v>
      </c>
      <c r="D1183" t="s">
        <v>3809</v>
      </c>
      <c r="E1183">
        <v>6</v>
      </c>
      <c r="F1183" s="6">
        <v>750</v>
      </c>
      <c r="G1183" t="s">
        <v>4438</v>
      </c>
    </row>
    <row r="1184" spans="1:7">
      <c r="A1184" t="s">
        <v>403</v>
      </c>
      <c r="B1184" t="s">
        <v>5552</v>
      </c>
      <c r="C1184" t="s">
        <v>3808</v>
      </c>
      <c r="D1184" t="s">
        <v>3809</v>
      </c>
      <c r="E1184">
        <v>6</v>
      </c>
      <c r="F1184" s="6">
        <v>750</v>
      </c>
      <c r="G1184" t="s">
        <v>3781</v>
      </c>
    </row>
    <row r="1185" spans="1:7">
      <c r="A1185" t="s">
        <v>3574</v>
      </c>
      <c r="B1185" t="s">
        <v>5553</v>
      </c>
      <c r="C1185" t="s">
        <v>3928</v>
      </c>
      <c r="D1185" t="s">
        <v>3929</v>
      </c>
      <c r="E1185">
        <v>6</v>
      </c>
      <c r="F1185" s="6">
        <v>750</v>
      </c>
      <c r="G1185" t="s">
        <v>3871</v>
      </c>
    </row>
    <row r="1186" spans="1:7">
      <c r="A1186" t="s">
        <v>1989</v>
      </c>
      <c r="B1186" t="s">
        <v>5554</v>
      </c>
      <c r="C1186" t="s">
        <v>3808</v>
      </c>
      <c r="D1186" t="s">
        <v>3809</v>
      </c>
      <c r="E1186">
        <v>6</v>
      </c>
      <c r="F1186" s="6">
        <v>750</v>
      </c>
      <c r="G1186" t="s">
        <v>4781</v>
      </c>
    </row>
    <row r="1187" spans="1:7">
      <c r="A1187" t="s">
        <v>2334</v>
      </c>
      <c r="B1187" t="s">
        <v>5555</v>
      </c>
      <c r="C1187" t="s">
        <v>3808</v>
      </c>
      <c r="D1187" t="s">
        <v>3809</v>
      </c>
      <c r="E1187">
        <v>6</v>
      </c>
      <c r="F1187" s="6">
        <v>750</v>
      </c>
      <c r="G1187" t="s">
        <v>3951</v>
      </c>
    </row>
    <row r="1188" spans="1:7">
      <c r="A1188" t="s">
        <v>1496</v>
      </c>
      <c r="B1188" t="s">
        <v>5556</v>
      </c>
      <c r="C1188" t="s">
        <v>3928</v>
      </c>
      <c r="D1188" t="s">
        <v>3929</v>
      </c>
      <c r="E1188">
        <v>12</v>
      </c>
      <c r="F1188" s="6">
        <v>50</v>
      </c>
      <c r="G1188" t="s">
        <v>3716</v>
      </c>
    </row>
    <row r="1189" spans="1:7">
      <c r="A1189" t="s">
        <v>266</v>
      </c>
      <c r="B1189" t="s">
        <v>5557</v>
      </c>
      <c r="C1189" t="s">
        <v>3808</v>
      </c>
      <c r="D1189" t="s">
        <v>3809</v>
      </c>
      <c r="E1189">
        <v>12</v>
      </c>
      <c r="F1189" s="6">
        <v>750</v>
      </c>
      <c r="G1189" t="s">
        <v>3716</v>
      </c>
    </row>
    <row r="1190" spans="1:7">
      <c r="A1190" t="s">
        <v>2627</v>
      </c>
      <c r="B1190" t="s">
        <v>5558</v>
      </c>
      <c r="C1190" t="s">
        <v>3808</v>
      </c>
      <c r="D1190" t="s">
        <v>3809</v>
      </c>
      <c r="E1190">
        <v>12</v>
      </c>
      <c r="F1190" s="6">
        <v>750</v>
      </c>
      <c r="G1190" t="s">
        <v>3730</v>
      </c>
    </row>
    <row r="1191" spans="1:7">
      <c r="A1191" t="s">
        <v>5559</v>
      </c>
      <c r="B1191" t="s">
        <v>5560</v>
      </c>
      <c r="C1191" t="s">
        <v>3928</v>
      </c>
      <c r="D1191" t="s">
        <v>3929</v>
      </c>
      <c r="E1191">
        <v>6</v>
      </c>
      <c r="F1191" s="6">
        <v>750</v>
      </c>
      <c r="G1191" t="s">
        <v>3689</v>
      </c>
    </row>
    <row r="1192" spans="1:7">
      <c r="A1192" t="s">
        <v>5561</v>
      </c>
      <c r="B1192" t="s">
        <v>5562</v>
      </c>
      <c r="C1192" t="s">
        <v>3928</v>
      </c>
      <c r="D1192" t="s">
        <v>3929</v>
      </c>
      <c r="E1192">
        <v>6</v>
      </c>
      <c r="F1192" s="6">
        <v>750</v>
      </c>
      <c r="G1192" t="s">
        <v>3681</v>
      </c>
    </row>
    <row r="1193" spans="1:7">
      <c r="A1193" t="s">
        <v>3556</v>
      </c>
      <c r="B1193" t="s">
        <v>5563</v>
      </c>
      <c r="C1193" t="s">
        <v>3808</v>
      </c>
      <c r="D1193" t="s">
        <v>3809</v>
      </c>
      <c r="E1193">
        <v>6</v>
      </c>
      <c r="F1193" s="6">
        <v>750</v>
      </c>
      <c r="G1193" t="s">
        <v>4781</v>
      </c>
    </row>
    <row r="1194" spans="1:7">
      <c r="A1194" t="s">
        <v>483</v>
      </c>
      <c r="B1194" t="s">
        <v>5564</v>
      </c>
      <c r="C1194" t="s">
        <v>3928</v>
      </c>
      <c r="D1194" t="s">
        <v>3929</v>
      </c>
      <c r="E1194">
        <v>6</v>
      </c>
      <c r="F1194" s="6">
        <v>750</v>
      </c>
      <c r="G1194" t="s">
        <v>3716</v>
      </c>
    </row>
    <row r="1195" spans="1:7">
      <c r="A1195" t="s">
        <v>5565</v>
      </c>
      <c r="B1195" t="s">
        <v>5566</v>
      </c>
      <c r="C1195" t="s">
        <v>3808</v>
      </c>
      <c r="D1195" t="s">
        <v>3809</v>
      </c>
      <c r="E1195">
        <v>12</v>
      </c>
      <c r="F1195" s="6">
        <v>750</v>
      </c>
      <c r="G1195" t="s">
        <v>3689</v>
      </c>
    </row>
    <row r="1196" spans="1:7">
      <c r="A1196" t="s">
        <v>2605</v>
      </c>
      <c r="B1196" t="s">
        <v>5567</v>
      </c>
      <c r="C1196" t="s">
        <v>4474</v>
      </c>
      <c r="D1196" t="s">
        <v>4475</v>
      </c>
      <c r="E1196">
        <v>12</v>
      </c>
      <c r="F1196" s="6">
        <v>375</v>
      </c>
      <c r="G1196" t="s">
        <v>3686</v>
      </c>
    </row>
    <row r="1197" spans="1:7">
      <c r="A1197" t="s">
        <v>577</v>
      </c>
      <c r="B1197" t="s">
        <v>5568</v>
      </c>
      <c r="C1197" t="s">
        <v>3808</v>
      </c>
      <c r="D1197" t="s">
        <v>3809</v>
      </c>
      <c r="E1197">
        <v>12</v>
      </c>
      <c r="F1197" s="6">
        <v>750</v>
      </c>
      <c r="G1197" t="s">
        <v>5020</v>
      </c>
    </row>
    <row r="1198" spans="1:7">
      <c r="A1198" t="s">
        <v>3015</v>
      </c>
      <c r="B1198" t="s">
        <v>5569</v>
      </c>
      <c r="C1198" t="s">
        <v>3679</v>
      </c>
      <c r="D1198" t="s">
        <v>3680</v>
      </c>
      <c r="E1198">
        <v>6</v>
      </c>
      <c r="F1198" s="6">
        <v>750</v>
      </c>
      <c r="G1198" t="s">
        <v>3931</v>
      </c>
    </row>
    <row r="1199" spans="1:7">
      <c r="A1199" t="s">
        <v>1614</v>
      </c>
      <c r="B1199" t="s">
        <v>5570</v>
      </c>
      <c r="C1199" t="s">
        <v>4452</v>
      </c>
      <c r="D1199" t="s">
        <v>4453</v>
      </c>
      <c r="E1199">
        <v>6</v>
      </c>
      <c r="F1199" s="6">
        <v>750</v>
      </c>
      <c r="G1199" t="s">
        <v>3871</v>
      </c>
    </row>
    <row r="1200" spans="1:7">
      <c r="A1200" t="s">
        <v>5571</v>
      </c>
      <c r="B1200" t="s">
        <v>5572</v>
      </c>
      <c r="C1200" t="s">
        <v>3808</v>
      </c>
      <c r="D1200" t="s">
        <v>3809</v>
      </c>
      <c r="E1200">
        <v>12</v>
      </c>
      <c r="F1200" s="6">
        <v>50</v>
      </c>
      <c r="G1200" t="s">
        <v>3716</v>
      </c>
    </row>
    <row r="1201" spans="1:7">
      <c r="A1201" t="s">
        <v>878</v>
      </c>
      <c r="B1201" t="s">
        <v>5573</v>
      </c>
      <c r="C1201" t="s">
        <v>3808</v>
      </c>
      <c r="D1201" t="s">
        <v>3809</v>
      </c>
      <c r="E1201">
        <v>12</v>
      </c>
      <c r="F1201" s="6">
        <v>750</v>
      </c>
      <c r="G1201" t="s">
        <v>3716</v>
      </c>
    </row>
    <row r="1202" spans="1:7">
      <c r="A1202" t="s">
        <v>1497</v>
      </c>
      <c r="B1202" t="s">
        <v>5574</v>
      </c>
      <c r="C1202" t="s">
        <v>3808</v>
      </c>
      <c r="D1202" t="s">
        <v>3809</v>
      </c>
      <c r="E1202">
        <v>6</v>
      </c>
      <c r="F1202" s="6">
        <v>750</v>
      </c>
      <c r="G1202" t="s">
        <v>3781</v>
      </c>
    </row>
    <row r="1203" spans="1:7">
      <c r="A1203" t="s">
        <v>5575</v>
      </c>
      <c r="B1203" t="s">
        <v>5576</v>
      </c>
      <c r="C1203" t="s">
        <v>3679</v>
      </c>
      <c r="D1203" t="s">
        <v>3680</v>
      </c>
      <c r="E1203">
        <v>6</v>
      </c>
      <c r="F1203" s="6">
        <v>750</v>
      </c>
      <c r="G1203" t="s">
        <v>3878</v>
      </c>
    </row>
    <row r="1204" spans="1:7">
      <c r="A1204" t="s">
        <v>2387</v>
      </c>
      <c r="B1204" t="s">
        <v>5541</v>
      </c>
      <c r="C1204" t="s">
        <v>3808</v>
      </c>
      <c r="D1204" t="s">
        <v>3809</v>
      </c>
      <c r="E1204">
        <v>48</v>
      </c>
      <c r="F1204" s="6">
        <v>100</v>
      </c>
      <c r="G1204" t="s">
        <v>3716</v>
      </c>
    </row>
    <row r="1205" spans="1:7">
      <c r="A1205" t="s">
        <v>5577</v>
      </c>
      <c r="B1205" t="s">
        <v>5544</v>
      </c>
      <c r="C1205" t="s">
        <v>3808</v>
      </c>
      <c r="D1205" t="s">
        <v>3809</v>
      </c>
      <c r="E1205">
        <v>6</v>
      </c>
      <c r="F1205" s="6">
        <v>1750</v>
      </c>
      <c r="G1205" t="s">
        <v>3781</v>
      </c>
    </row>
    <row r="1206" spans="1:7">
      <c r="A1206" t="s">
        <v>5578</v>
      </c>
      <c r="B1206" t="s">
        <v>5579</v>
      </c>
      <c r="C1206" t="s">
        <v>3808</v>
      </c>
      <c r="D1206" t="s">
        <v>3809</v>
      </c>
      <c r="E1206">
        <v>12</v>
      </c>
      <c r="F1206" s="6">
        <v>750</v>
      </c>
      <c r="G1206" t="s">
        <v>3730</v>
      </c>
    </row>
    <row r="1207" spans="1:7">
      <c r="A1207" t="s">
        <v>5580</v>
      </c>
      <c r="B1207" t="s">
        <v>5581</v>
      </c>
      <c r="C1207" t="s">
        <v>3679</v>
      </c>
      <c r="D1207" t="s">
        <v>3680</v>
      </c>
      <c r="E1207">
        <v>6</v>
      </c>
      <c r="F1207" s="6">
        <v>750</v>
      </c>
      <c r="G1207" t="s">
        <v>3802</v>
      </c>
    </row>
    <row r="1208" spans="1:7">
      <c r="A1208" t="s">
        <v>5582</v>
      </c>
      <c r="B1208" t="s">
        <v>5583</v>
      </c>
      <c r="C1208" t="s">
        <v>3708</v>
      </c>
      <c r="D1208" t="s">
        <v>3709</v>
      </c>
      <c r="E1208">
        <v>12</v>
      </c>
      <c r="F1208" s="6">
        <v>50</v>
      </c>
      <c r="G1208" t="s">
        <v>3686</v>
      </c>
    </row>
    <row r="1209" spans="1:7">
      <c r="A1209" t="s">
        <v>5584</v>
      </c>
      <c r="B1209" t="s">
        <v>5585</v>
      </c>
      <c r="C1209" t="s">
        <v>3708</v>
      </c>
      <c r="D1209" t="s">
        <v>3709</v>
      </c>
      <c r="E1209">
        <v>12</v>
      </c>
      <c r="F1209" s="6">
        <v>750</v>
      </c>
      <c r="G1209" t="s">
        <v>3686</v>
      </c>
    </row>
    <row r="1210" spans="1:7">
      <c r="A1210" t="s">
        <v>5586</v>
      </c>
      <c r="B1210" t="s">
        <v>5587</v>
      </c>
      <c r="C1210" t="s">
        <v>3708</v>
      </c>
      <c r="D1210" t="s">
        <v>3709</v>
      </c>
      <c r="E1210">
        <v>12</v>
      </c>
      <c r="F1210" s="6">
        <v>50</v>
      </c>
      <c r="G1210" t="s">
        <v>3686</v>
      </c>
    </row>
    <row r="1211" spans="1:7">
      <c r="A1211" t="s">
        <v>5588</v>
      </c>
      <c r="B1211" t="s">
        <v>5589</v>
      </c>
      <c r="C1211" t="s">
        <v>3708</v>
      </c>
      <c r="D1211" t="s">
        <v>3709</v>
      </c>
      <c r="E1211">
        <v>12</v>
      </c>
      <c r="F1211" s="6">
        <v>750</v>
      </c>
      <c r="G1211" t="s">
        <v>3686</v>
      </c>
    </row>
    <row r="1212" spans="1:7">
      <c r="A1212" t="s">
        <v>2520</v>
      </c>
      <c r="B1212" t="s">
        <v>5590</v>
      </c>
      <c r="C1212" t="s">
        <v>3928</v>
      </c>
      <c r="D1212" t="s">
        <v>3929</v>
      </c>
      <c r="E1212">
        <v>12</v>
      </c>
      <c r="F1212" s="6">
        <v>50</v>
      </c>
      <c r="G1212" t="s">
        <v>3716</v>
      </c>
    </row>
    <row r="1213" spans="1:7">
      <c r="A1213" t="s">
        <v>53</v>
      </c>
      <c r="B1213" t="s">
        <v>5591</v>
      </c>
      <c r="C1213" t="s">
        <v>3928</v>
      </c>
      <c r="D1213" t="s">
        <v>3929</v>
      </c>
      <c r="E1213">
        <v>48</v>
      </c>
      <c r="F1213" s="6">
        <v>100</v>
      </c>
      <c r="G1213" t="s">
        <v>3716</v>
      </c>
    </row>
    <row r="1214" spans="1:7">
      <c r="A1214" t="s">
        <v>5592</v>
      </c>
      <c r="B1214" t="s">
        <v>5591</v>
      </c>
      <c r="C1214" t="s">
        <v>3808</v>
      </c>
      <c r="D1214" t="s">
        <v>3809</v>
      </c>
      <c r="E1214">
        <v>24</v>
      </c>
      <c r="F1214" s="6">
        <v>375</v>
      </c>
      <c r="G1214" t="s">
        <v>3716</v>
      </c>
    </row>
    <row r="1215" spans="1:7">
      <c r="A1215" t="s">
        <v>940</v>
      </c>
      <c r="B1215" t="s">
        <v>5591</v>
      </c>
      <c r="C1215" t="s">
        <v>3928</v>
      </c>
      <c r="D1215" t="s">
        <v>3929</v>
      </c>
      <c r="E1215">
        <v>12</v>
      </c>
      <c r="F1215" s="6">
        <v>750</v>
      </c>
      <c r="G1215" t="s">
        <v>3716</v>
      </c>
    </row>
    <row r="1216" spans="1:7">
      <c r="A1216" t="s">
        <v>5593</v>
      </c>
      <c r="B1216" t="s">
        <v>5594</v>
      </c>
      <c r="C1216" t="s">
        <v>3708</v>
      </c>
      <c r="D1216" t="s">
        <v>3709</v>
      </c>
      <c r="E1216">
        <v>12</v>
      </c>
      <c r="F1216" s="6">
        <v>50</v>
      </c>
      <c r="G1216" t="s">
        <v>3686</v>
      </c>
    </row>
    <row r="1217" spans="1:7">
      <c r="A1217" t="s">
        <v>3403</v>
      </c>
      <c r="B1217" t="s">
        <v>5595</v>
      </c>
      <c r="C1217" t="s">
        <v>3708</v>
      </c>
      <c r="D1217" t="s">
        <v>3709</v>
      </c>
      <c r="E1217">
        <v>12</v>
      </c>
      <c r="F1217" s="6">
        <v>750</v>
      </c>
      <c r="G1217" t="s">
        <v>3686</v>
      </c>
    </row>
    <row r="1218" spans="1:7">
      <c r="A1218" t="s">
        <v>5596</v>
      </c>
      <c r="B1218" t="s">
        <v>5597</v>
      </c>
      <c r="C1218" t="s">
        <v>3708</v>
      </c>
      <c r="D1218" t="s">
        <v>3709</v>
      </c>
      <c r="E1218">
        <v>12</v>
      </c>
      <c r="F1218" s="6">
        <v>50</v>
      </c>
      <c r="G1218" t="s">
        <v>3686</v>
      </c>
    </row>
    <row r="1219" spans="1:7">
      <c r="A1219" t="s">
        <v>5598</v>
      </c>
      <c r="B1219" t="s">
        <v>5599</v>
      </c>
      <c r="C1219" t="s">
        <v>3708</v>
      </c>
      <c r="D1219" t="s">
        <v>3709</v>
      </c>
      <c r="E1219">
        <v>12</v>
      </c>
      <c r="F1219" s="6">
        <v>750</v>
      </c>
      <c r="G1219" t="s">
        <v>3686</v>
      </c>
    </row>
    <row r="1220" spans="1:7">
      <c r="A1220" t="s">
        <v>1676</v>
      </c>
      <c r="B1220" t="s">
        <v>5600</v>
      </c>
      <c r="C1220" t="s">
        <v>3928</v>
      </c>
      <c r="D1220" t="s">
        <v>3929</v>
      </c>
      <c r="E1220">
        <v>6</v>
      </c>
      <c r="F1220" s="6">
        <v>750</v>
      </c>
      <c r="G1220" t="s">
        <v>5020</v>
      </c>
    </row>
    <row r="1221" spans="1:7">
      <c r="A1221" t="s">
        <v>5601</v>
      </c>
      <c r="B1221" t="s">
        <v>5602</v>
      </c>
      <c r="C1221" t="s">
        <v>3928</v>
      </c>
      <c r="D1221" t="s">
        <v>3929</v>
      </c>
      <c r="E1221">
        <v>6</v>
      </c>
      <c r="F1221" s="6">
        <v>750</v>
      </c>
      <c r="G1221" t="s">
        <v>3730</v>
      </c>
    </row>
    <row r="1222" spans="1:7">
      <c r="A1222" t="s">
        <v>5603</v>
      </c>
      <c r="B1222" t="s">
        <v>5604</v>
      </c>
      <c r="C1222" t="s">
        <v>3679</v>
      </c>
      <c r="D1222" t="s">
        <v>3680</v>
      </c>
      <c r="E1222">
        <v>6</v>
      </c>
      <c r="F1222" s="6">
        <v>750</v>
      </c>
      <c r="G1222" t="s">
        <v>3802</v>
      </c>
    </row>
    <row r="1223" spans="1:7">
      <c r="A1223" t="s">
        <v>1105</v>
      </c>
      <c r="B1223" t="s">
        <v>5605</v>
      </c>
      <c r="C1223" t="s">
        <v>3808</v>
      </c>
      <c r="D1223" t="s">
        <v>3809</v>
      </c>
      <c r="E1223">
        <v>6</v>
      </c>
      <c r="F1223" s="6">
        <v>750</v>
      </c>
      <c r="G1223" t="s">
        <v>3781</v>
      </c>
    </row>
    <row r="1224" spans="1:7">
      <c r="A1224" t="s">
        <v>5606</v>
      </c>
      <c r="B1224" t="s">
        <v>5607</v>
      </c>
      <c r="C1224" t="s">
        <v>3679</v>
      </c>
      <c r="D1224" t="s">
        <v>3680</v>
      </c>
      <c r="E1224">
        <v>6</v>
      </c>
      <c r="F1224" s="6">
        <v>750</v>
      </c>
      <c r="G1224" t="s">
        <v>4796</v>
      </c>
    </row>
    <row r="1225" spans="1:7">
      <c r="A1225" t="s">
        <v>5608</v>
      </c>
      <c r="B1225" t="s">
        <v>5609</v>
      </c>
      <c r="C1225" t="s">
        <v>3679</v>
      </c>
      <c r="D1225" t="s">
        <v>3680</v>
      </c>
      <c r="E1225">
        <v>6</v>
      </c>
      <c r="F1225" s="6">
        <v>750</v>
      </c>
      <c r="G1225" t="s">
        <v>3681</v>
      </c>
    </row>
    <row r="1226" spans="1:7">
      <c r="A1226" t="s">
        <v>5610</v>
      </c>
      <c r="B1226" t="s">
        <v>5611</v>
      </c>
      <c r="C1226" t="s">
        <v>4474</v>
      </c>
      <c r="D1226" t="s">
        <v>4475</v>
      </c>
      <c r="E1226">
        <v>6</v>
      </c>
      <c r="F1226" s="6">
        <v>750</v>
      </c>
      <c r="G1226" t="s">
        <v>5612</v>
      </c>
    </row>
    <row r="1227" spans="1:7">
      <c r="A1227" t="s">
        <v>5613</v>
      </c>
      <c r="B1227" t="s">
        <v>5614</v>
      </c>
      <c r="C1227" t="s">
        <v>3928</v>
      </c>
      <c r="D1227" t="s">
        <v>3929</v>
      </c>
      <c r="E1227">
        <v>6</v>
      </c>
      <c r="F1227" s="6">
        <v>750</v>
      </c>
      <c r="G1227" t="s">
        <v>5273</v>
      </c>
    </row>
    <row r="1228" spans="1:7">
      <c r="A1228" t="s">
        <v>5615</v>
      </c>
      <c r="B1228" t="s">
        <v>5616</v>
      </c>
      <c r="C1228" t="s">
        <v>4244</v>
      </c>
      <c r="D1228" t="s">
        <v>4245</v>
      </c>
      <c r="E1228">
        <v>6</v>
      </c>
      <c r="F1228" s="6">
        <v>750</v>
      </c>
      <c r="G1228" t="s">
        <v>5273</v>
      </c>
    </row>
    <row r="1229" spans="1:7">
      <c r="A1229" t="s">
        <v>5617</v>
      </c>
      <c r="B1229" t="s">
        <v>5618</v>
      </c>
      <c r="C1229" t="s">
        <v>3928</v>
      </c>
      <c r="D1229" t="s">
        <v>3929</v>
      </c>
      <c r="E1229">
        <v>6</v>
      </c>
      <c r="F1229" s="6">
        <v>750</v>
      </c>
      <c r="G1229" t="s">
        <v>3681</v>
      </c>
    </row>
    <row r="1230" spans="1:7">
      <c r="A1230" t="s">
        <v>275</v>
      </c>
      <c r="B1230" t="s">
        <v>5619</v>
      </c>
      <c r="C1230" t="s">
        <v>3928</v>
      </c>
      <c r="D1230" t="s">
        <v>3929</v>
      </c>
      <c r="E1230">
        <v>6</v>
      </c>
      <c r="F1230" s="6">
        <v>750</v>
      </c>
      <c r="G1230" t="s">
        <v>3802</v>
      </c>
    </row>
    <row r="1231" spans="1:7">
      <c r="A1231" t="s">
        <v>5620</v>
      </c>
      <c r="B1231" t="s">
        <v>5621</v>
      </c>
      <c r="C1231" t="s">
        <v>3928</v>
      </c>
      <c r="D1231" t="s">
        <v>3929</v>
      </c>
      <c r="E1231">
        <v>6</v>
      </c>
      <c r="F1231" s="6">
        <v>750</v>
      </c>
      <c r="G1231" t="s">
        <v>3802</v>
      </c>
    </row>
    <row r="1232" spans="1:7">
      <c r="A1232" t="s">
        <v>1866</v>
      </c>
      <c r="B1232" t="s">
        <v>5622</v>
      </c>
      <c r="C1232" t="s">
        <v>3928</v>
      </c>
      <c r="D1232" t="s">
        <v>3929</v>
      </c>
      <c r="E1232">
        <v>12</v>
      </c>
      <c r="F1232" s="6">
        <v>50</v>
      </c>
      <c r="G1232" t="s">
        <v>3716</v>
      </c>
    </row>
    <row r="1233" spans="1:7">
      <c r="A1233" t="s">
        <v>1486</v>
      </c>
      <c r="B1233" t="s">
        <v>5623</v>
      </c>
      <c r="C1233" t="s">
        <v>3928</v>
      </c>
      <c r="D1233" t="s">
        <v>3929</v>
      </c>
      <c r="E1233">
        <v>12</v>
      </c>
      <c r="F1233" s="6">
        <v>750</v>
      </c>
      <c r="G1233" t="s">
        <v>3716</v>
      </c>
    </row>
    <row r="1234" spans="1:7">
      <c r="A1234" t="s">
        <v>484</v>
      </c>
      <c r="B1234" t="s">
        <v>5624</v>
      </c>
      <c r="C1234" t="s">
        <v>3808</v>
      </c>
      <c r="D1234" t="s">
        <v>3809</v>
      </c>
      <c r="E1234">
        <v>8</v>
      </c>
      <c r="F1234" s="6">
        <v>50</v>
      </c>
      <c r="G1234" t="s">
        <v>5020</v>
      </c>
    </row>
    <row r="1235" spans="1:7">
      <c r="A1235" t="s">
        <v>1850</v>
      </c>
      <c r="B1235" t="s">
        <v>5625</v>
      </c>
      <c r="C1235" t="s">
        <v>5626</v>
      </c>
      <c r="D1235" t="s">
        <v>5627</v>
      </c>
      <c r="E1235">
        <v>12</v>
      </c>
      <c r="F1235" s="6">
        <v>750</v>
      </c>
      <c r="G1235" t="s">
        <v>3681</v>
      </c>
    </row>
    <row r="1236" spans="1:7">
      <c r="A1236" t="s">
        <v>2362</v>
      </c>
      <c r="B1236" t="s">
        <v>5625</v>
      </c>
      <c r="C1236" t="s">
        <v>5626</v>
      </c>
      <c r="D1236" t="s">
        <v>5627</v>
      </c>
      <c r="E1236">
        <v>12</v>
      </c>
      <c r="F1236" s="6">
        <v>1000</v>
      </c>
      <c r="G1236" t="s">
        <v>3681</v>
      </c>
    </row>
    <row r="1237" spans="1:7">
      <c r="A1237" t="s">
        <v>147</v>
      </c>
      <c r="B1237" t="s">
        <v>5625</v>
      </c>
      <c r="C1237" t="s">
        <v>5626</v>
      </c>
      <c r="D1237" t="s">
        <v>5627</v>
      </c>
      <c r="E1237">
        <v>6</v>
      </c>
      <c r="F1237" s="6">
        <v>1750</v>
      </c>
      <c r="G1237" t="s">
        <v>3681</v>
      </c>
    </row>
    <row r="1238" spans="1:7">
      <c r="A1238" t="s">
        <v>2937</v>
      </c>
      <c r="B1238" t="s">
        <v>5628</v>
      </c>
      <c r="C1238" t="s">
        <v>3808</v>
      </c>
      <c r="D1238" t="s">
        <v>3809</v>
      </c>
      <c r="E1238">
        <v>6</v>
      </c>
      <c r="F1238" s="6">
        <v>750</v>
      </c>
      <c r="G1238" t="s">
        <v>3871</v>
      </c>
    </row>
    <row r="1239" spans="1:7">
      <c r="A1239" t="s">
        <v>1745</v>
      </c>
      <c r="B1239" t="s">
        <v>5629</v>
      </c>
      <c r="C1239" t="s">
        <v>3808</v>
      </c>
      <c r="D1239" t="s">
        <v>3809</v>
      </c>
      <c r="E1239">
        <v>6</v>
      </c>
      <c r="F1239" s="6">
        <v>750</v>
      </c>
      <c r="G1239" t="s">
        <v>3871</v>
      </c>
    </row>
    <row r="1240" spans="1:7">
      <c r="A1240" t="s">
        <v>5630</v>
      </c>
      <c r="B1240" t="s">
        <v>5631</v>
      </c>
      <c r="C1240" t="s">
        <v>4474</v>
      </c>
      <c r="D1240" t="s">
        <v>4475</v>
      </c>
      <c r="E1240">
        <v>6</v>
      </c>
      <c r="F1240" s="6">
        <v>750</v>
      </c>
      <c r="G1240" t="s">
        <v>4291</v>
      </c>
    </row>
    <row r="1241" spans="1:7">
      <c r="A1241" t="s">
        <v>5632</v>
      </c>
      <c r="B1241" t="s">
        <v>5633</v>
      </c>
      <c r="C1241" t="s">
        <v>3928</v>
      </c>
      <c r="D1241" t="s">
        <v>3929</v>
      </c>
      <c r="E1241">
        <v>6</v>
      </c>
      <c r="F1241" s="6">
        <v>750</v>
      </c>
      <c r="G1241" t="s">
        <v>3931</v>
      </c>
    </row>
    <row r="1242" spans="1:7">
      <c r="A1242" t="s">
        <v>291</v>
      </c>
      <c r="B1242" t="s">
        <v>5634</v>
      </c>
      <c r="C1242" t="s">
        <v>5626</v>
      </c>
      <c r="D1242" t="s">
        <v>5627</v>
      </c>
      <c r="E1242">
        <v>12</v>
      </c>
      <c r="F1242" s="6">
        <v>750</v>
      </c>
      <c r="G1242" t="s">
        <v>3705</v>
      </c>
    </row>
    <row r="1243" spans="1:7">
      <c r="A1243" t="s">
        <v>5635</v>
      </c>
      <c r="B1243" t="s">
        <v>5636</v>
      </c>
      <c r="C1243" t="s">
        <v>5626</v>
      </c>
      <c r="D1243" t="s">
        <v>5627</v>
      </c>
      <c r="E1243">
        <v>12</v>
      </c>
      <c r="F1243" s="6">
        <v>750</v>
      </c>
      <c r="G1243" t="s">
        <v>3705</v>
      </c>
    </row>
    <row r="1244" spans="1:7">
      <c r="A1244" t="s">
        <v>1257</v>
      </c>
      <c r="B1244" t="s">
        <v>5637</v>
      </c>
      <c r="C1244" t="s">
        <v>5626</v>
      </c>
      <c r="D1244" t="s">
        <v>5627</v>
      </c>
      <c r="E1244">
        <v>12</v>
      </c>
      <c r="F1244" s="6">
        <v>1000</v>
      </c>
      <c r="G1244" t="s">
        <v>3705</v>
      </c>
    </row>
    <row r="1245" spans="1:7">
      <c r="A1245" t="s">
        <v>830</v>
      </c>
      <c r="B1245" t="s">
        <v>5637</v>
      </c>
      <c r="C1245" t="s">
        <v>5626</v>
      </c>
      <c r="D1245" t="s">
        <v>5627</v>
      </c>
      <c r="E1245">
        <v>12</v>
      </c>
      <c r="F1245" s="6">
        <v>750</v>
      </c>
      <c r="G1245" t="s">
        <v>3705</v>
      </c>
    </row>
    <row r="1246" spans="1:7">
      <c r="A1246" t="s">
        <v>2151</v>
      </c>
      <c r="B1246" t="s">
        <v>5637</v>
      </c>
      <c r="C1246" t="s">
        <v>5626</v>
      </c>
      <c r="D1246" t="s">
        <v>5627</v>
      </c>
      <c r="E1246">
        <v>6</v>
      </c>
      <c r="F1246" s="6">
        <v>1750</v>
      </c>
      <c r="G1246" t="s">
        <v>3705</v>
      </c>
    </row>
    <row r="1247" spans="1:7">
      <c r="A1247" t="s">
        <v>1069</v>
      </c>
      <c r="B1247" t="s">
        <v>5638</v>
      </c>
      <c r="C1247" t="s">
        <v>5626</v>
      </c>
      <c r="D1247" t="s">
        <v>5627</v>
      </c>
      <c r="E1247">
        <v>12</v>
      </c>
      <c r="F1247" s="6">
        <v>750</v>
      </c>
      <c r="G1247" t="s">
        <v>4796</v>
      </c>
    </row>
    <row r="1248" spans="1:7">
      <c r="A1248" t="s">
        <v>721</v>
      </c>
      <c r="B1248" t="s">
        <v>5639</v>
      </c>
      <c r="C1248" t="s">
        <v>3928</v>
      </c>
      <c r="D1248" t="s">
        <v>3929</v>
      </c>
      <c r="E1248">
        <v>12</v>
      </c>
      <c r="F1248" s="6">
        <v>50</v>
      </c>
      <c r="G1248" t="s">
        <v>3716</v>
      </c>
    </row>
    <row r="1249" spans="1:7">
      <c r="A1249" t="s">
        <v>2064</v>
      </c>
      <c r="B1249" t="s">
        <v>5640</v>
      </c>
      <c r="C1249" t="s">
        <v>3928</v>
      </c>
      <c r="D1249" t="s">
        <v>3929</v>
      </c>
      <c r="E1249">
        <v>48</v>
      </c>
      <c r="F1249" s="6">
        <v>100</v>
      </c>
      <c r="G1249" t="s">
        <v>3716</v>
      </c>
    </row>
    <row r="1250" spans="1:7">
      <c r="A1250" t="s">
        <v>1388</v>
      </c>
      <c r="B1250" t="s">
        <v>5640</v>
      </c>
      <c r="C1250" t="s">
        <v>3928</v>
      </c>
      <c r="D1250" t="s">
        <v>3929</v>
      </c>
      <c r="E1250">
        <v>24</v>
      </c>
      <c r="F1250" s="6">
        <v>375</v>
      </c>
      <c r="G1250" t="s">
        <v>3716</v>
      </c>
    </row>
    <row r="1251" spans="1:7">
      <c r="A1251" t="s">
        <v>1851</v>
      </c>
      <c r="B1251" t="s">
        <v>5640</v>
      </c>
      <c r="C1251" t="s">
        <v>3928</v>
      </c>
      <c r="D1251" t="s">
        <v>3929</v>
      </c>
      <c r="E1251">
        <v>12</v>
      </c>
      <c r="F1251" s="6">
        <v>750</v>
      </c>
      <c r="G1251" t="s">
        <v>3716</v>
      </c>
    </row>
    <row r="1252" spans="1:7">
      <c r="A1252" t="s">
        <v>817</v>
      </c>
      <c r="B1252" t="s">
        <v>5641</v>
      </c>
      <c r="C1252" t="s">
        <v>3679</v>
      </c>
      <c r="D1252" t="s">
        <v>3680</v>
      </c>
      <c r="E1252">
        <v>6</v>
      </c>
      <c r="F1252" s="6">
        <v>750</v>
      </c>
      <c r="G1252" t="s">
        <v>3871</v>
      </c>
    </row>
    <row r="1253" spans="1:7">
      <c r="A1253" t="s">
        <v>5642</v>
      </c>
      <c r="B1253" t="s">
        <v>5643</v>
      </c>
      <c r="C1253" t="s">
        <v>4452</v>
      </c>
      <c r="D1253" t="s">
        <v>4453</v>
      </c>
      <c r="E1253">
        <v>6</v>
      </c>
      <c r="F1253" s="6">
        <v>750</v>
      </c>
      <c r="G1253" t="s">
        <v>4163</v>
      </c>
    </row>
    <row r="1254" spans="1:7">
      <c r="A1254" t="s">
        <v>5644</v>
      </c>
      <c r="B1254" t="s">
        <v>5645</v>
      </c>
      <c r="C1254" t="s">
        <v>3679</v>
      </c>
      <c r="D1254" t="s">
        <v>3680</v>
      </c>
      <c r="E1254">
        <v>6</v>
      </c>
      <c r="F1254" s="6">
        <v>700</v>
      </c>
      <c r="G1254" t="s">
        <v>3705</v>
      </c>
    </row>
    <row r="1255" spans="1:7">
      <c r="A1255" t="s">
        <v>5646</v>
      </c>
      <c r="B1255" t="s">
        <v>5647</v>
      </c>
      <c r="C1255" t="s">
        <v>3679</v>
      </c>
      <c r="D1255" t="s">
        <v>3680</v>
      </c>
      <c r="E1255">
        <v>6</v>
      </c>
      <c r="F1255" s="6">
        <v>750</v>
      </c>
      <c r="G1255" t="s">
        <v>3681</v>
      </c>
    </row>
    <row r="1256" spans="1:7">
      <c r="A1256" t="s">
        <v>1509</v>
      </c>
      <c r="B1256" t="s">
        <v>5648</v>
      </c>
      <c r="C1256" t="s">
        <v>5626</v>
      </c>
      <c r="D1256" t="s">
        <v>5627</v>
      </c>
      <c r="E1256">
        <v>12</v>
      </c>
      <c r="F1256" s="6">
        <v>750</v>
      </c>
      <c r="G1256" t="s">
        <v>3698</v>
      </c>
    </row>
    <row r="1257" spans="1:7">
      <c r="A1257" t="s">
        <v>5649</v>
      </c>
      <c r="B1257" t="s">
        <v>5650</v>
      </c>
      <c r="C1257" t="s">
        <v>3679</v>
      </c>
      <c r="D1257" t="s">
        <v>3680</v>
      </c>
      <c r="E1257">
        <v>6</v>
      </c>
      <c r="F1257" s="6">
        <v>750</v>
      </c>
      <c r="G1257" t="s">
        <v>4438</v>
      </c>
    </row>
    <row r="1258" spans="1:7">
      <c r="A1258" t="s">
        <v>893</v>
      </c>
      <c r="B1258" t="s">
        <v>5651</v>
      </c>
      <c r="C1258" t="s">
        <v>5626</v>
      </c>
      <c r="D1258" t="s">
        <v>5627</v>
      </c>
      <c r="E1258">
        <v>6</v>
      </c>
      <c r="F1258" s="6">
        <v>750</v>
      </c>
      <c r="G1258" t="s">
        <v>4182</v>
      </c>
    </row>
    <row r="1259" spans="1:7">
      <c r="A1259" t="s">
        <v>2002</v>
      </c>
      <c r="B1259" t="s">
        <v>5652</v>
      </c>
      <c r="C1259" t="s">
        <v>5653</v>
      </c>
      <c r="D1259" t="s">
        <v>5654</v>
      </c>
      <c r="E1259">
        <v>6</v>
      </c>
      <c r="F1259" s="6">
        <v>750</v>
      </c>
      <c r="G1259" t="s">
        <v>4509</v>
      </c>
    </row>
    <row r="1260" spans="1:7">
      <c r="A1260" t="s">
        <v>5655</v>
      </c>
      <c r="B1260" t="s">
        <v>5656</v>
      </c>
      <c r="C1260" t="s">
        <v>5653</v>
      </c>
      <c r="D1260" t="s">
        <v>5654</v>
      </c>
      <c r="E1260">
        <v>12</v>
      </c>
      <c r="F1260" s="6">
        <v>750</v>
      </c>
      <c r="G1260" t="s">
        <v>3787</v>
      </c>
    </row>
    <row r="1261" spans="1:7">
      <c r="A1261" t="s">
        <v>5657</v>
      </c>
      <c r="B1261" t="s">
        <v>5658</v>
      </c>
      <c r="C1261" t="s">
        <v>5626</v>
      </c>
      <c r="D1261" t="s">
        <v>5627</v>
      </c>
      <c r="E1261">
        <v>6</v>
      </c>
      <c r="F1261" s="6">
        <v>750</v>
      </c>
      <c r="G1261" t="s">
        <v>3694</v>
      </c>
    </row>
    <row r="1262" spans="1:7">
      <c r="A1262" t="s">
        <v>2703</v>
      </c>
      <c r="B1262" t="s">
        <v>5652</v>
      </c>
      <c r="C1262" t="s">
        <v>5653</v>
      </c>
      <c r="D1262" t="s">
        <v>5654</v>
      </c>
      <c r="E1262">
        <v>6</v>
      </c>
      <c r="F1262" s="6">
        <v>1000</v>
      </c>
      <c r="G1262" t="s">
        <v>4509</v>
      </c>
    </row>
    <row r="1263" spans="1:7">
      <c r="A1263" t="s">
        <v>5659</v>
      </c>
      <c r="B1263" t="s">
        <v>5660</v>
      </c>
      <c r="C1263" t="s">
        <v>5626</v>
      </c>
      <c r="D1263" t="s">
        <v>5627</v>
      </c>
      <c r="E1263">
        <v>6</v>
      </c>
      <c r="F1263" s="6">
        <v>750</v>
      </c>
      <c r="G1263" t="s">
        <v>4182</v>
      </c>
    </row>
    <row r="1264" spans="1:7">
      <c r="A1264" t="s">
        <v>5661</v>
      </c>
      <c r="B1264" t="s">
        <v>5662</v>
      </c>
      <c r="C1264" t="s">
        <v>5653</v>
      </c>
      <c r="D1264" t="s">
        <v>5654</v>
      </c>
      <c r="E1264">
        <v>6</v>
      </c>
      <c r="F1264" s="6">
        <v>750</v>
      </c>
      <c r="G1264" t="s">
        <v>3694</v>
      </c>
    </row>
    <row r="1265" spans="1:7">
      <c r="A1265" t="s">
        <v>292</v>
      </c>
      <c r="B1265" t="s">
        <v>5663</v>
      </c>
      <c r="C1265" t="s">
        <v>3679</v>
      </c>
      <c r="D1265" t="s">
        <v>3680</v>
      </c>
      <c r="E1265">
        <v>6</v>
      </c>
      <c r="F1265" s="6">
        <v>750</v>
      </c>
      <c r="G1265" t="s">
        <v>4182</v>
      </c>
    </row>
    <row r="1266" spans="1:7">
      <c r="A1266" t="s">
        <v>1352</v>
      </c>
      <c r="B1266" t="s">
        <v>5664</v>
      </c>
      <c r="C1266" t="s">
        <v>5626</v>
      </c>
      <c r="D1266" t="s">
        <v>5627</v>
      </c>
      <c r="E1266">
        <v>6</v>
      </c>
      <c r="F1266" s="6">
        <v>750</v>
      </c>
      <c r="G1266" t="s">
        <v>3702</v>
      </c>
    </row>
    <row r="1267" spans="1:7">
      <c r="A1267" t="s">
        <v>3242</v>
      </c>
      <c r="B1267" t="s">
        <v>5665</v>
      </c>
      <c r="C1267" t="s">
        <v>5626</v>
      </c>
      <c r="D1267" t="s">
        <v>5627</v>
      </c>
      <c r="E1267">
        <v>6</v>
      </c>
      <c r="F1267" s="6">
        <v>750</v>
      </c>
      <c r="G1267" t="s">
        <v>3702</v>
      </c>
    </row>
    <row r="1268" spans="1:7">
      <c r="A1268" t="s">
        <v>5666</v>
      </c>
      <c r="B1268" t="s">
        <v>5667</v>
      </c>
      <c r="C1268" t="s">
        <v>5668</v>
      </c>
      <c r="D1268" t="s">
        <v>5669</v>
      </c>
      <c r="E1268">
        <v>6</v>
      </c>
      <c r="F1268" s="6">
        <v>750</v>
      </c>
      <c r="G1268" t="s">
        <v>3966</v>
      </c>
    </row>
    <row r="1269" spans="1:7">
      <c r="A1269" t="s">
        <v>5670</v>
      </c>
      <c r="B1269" t="s">
        <v>5671</v>
      </c>
      <c r="C1269" t="s">
        <v>5626</v>
      </c>
      <c r="D1269" t="s">
        <v>5627</v>
      </c>
      <c r="E1269">
        <v>6</v>
      </c>
      <c r="F1269" s="6">
        <v>750</v>
      </c>
      <c r="G1269" t="s">
        <v>3681</v>
      </c>
    </row>
    <row r="1270" spans="1:7">
      <c r="A1270" t="s">
        <v>2260</v>
      </c>
      <c r="B1270" t="s">
        <v>5672</v>
      </c>
      <c r="C1270" t="s">
        <v>5626</v>
      </c>
      <c r="D1270" t="s">
        <v>5627</v>
      </c>
      <c r="E1270">
        <v>6</v>
      </c>
      <c r="F1270" s="6">
        <v>750</v>
      </c>
      <c r="G1270" t="s">
        <v>4419</v>
      </c>
    </row>
    <row r="1271" spans="1:7">
      <c r="A1271" t="s">
        <v>173</v>
      </c>
      <c r="B1271" t="s">
        <v>5672</v>
      </c>
      <c r="C1271" t="s">
        <v>5626</v>
      </c>
      <c r="D1271" t="s">
        <v>5627</v>
      </c>
      <c r="E1271">
        <v>6</v>
      </c>
      <c r="F1271" s="6">
        <v>1000</v>
      </c>
      <c r="G1271" t="s">
        <v>4419</v>
      </c>
    </row>
    <row r="1272" spans="1:7">
      <c r="A1272" t="s">
        <v>5673</v>
      </c>
      <c r="B1272" t="s">
        <v>5672</v>
      </c>
      <c r="C1272" t="s">
        <v>5626</v>
      </c>
      <c r="D1272" t="s">
        <v>5627</v>
      </c>
      <c r="E1272">
        <v>6</v>
      </c>
      <c r="F1272" s="6">
        <v>1750</v>
      </c>
      <c r="G1272" t="s">
        <v>4419</v>
      </c>
    </row>
    <row r="1273" spans="1:7">
      <c r="A1273" t="s">
        <v>5674</v>
      </c>
      <c r="B1273" t="s">
        <v>5675</v>
      </c>
      <c r="C1273" t="s">
        <v>5653</v>
      </c>
      <c r="D1273" t="s">
        <v>5654</v>
      </c>
      <c r="E1273">
        <v>6</v>
      </c>
      <c r="F1273" s="6">
        <v>750</v>
      </c>
      <c r="G1273" t="s">
        <v>3681</v>
      </c>
    </row>
    <row r="1274" spans="1:7">
      <c r="A1274" t="s">
        <v>5676</v>
      </c>
      <c r="B1274" t="s">
        <v>5677</v>
      </c>
      <c r="C1274" t="s">
        <v>5626</v>
      </c>
      <c r="D1274" t="s">
        <v>5627</v>
      </c>
      <c r="E1274">
        <v>6</v>
      </c>
      <c r="F1274" s="6">
        <v>750</v>
      </c>
      <c r="G1274" t="s">
        <v>3681</v>
      </c>
    </row>
    <row r="1275" spans="1:7">
      <c r="A1275" t="s">
        <v>5678</v>
      </c>
      <c r="B1275" t="s">
        <v>5679</v>
      </c>
      <c r="C1275" t="s">
        <v>5668</v>
      </c>
      <c r="D1275" t="s">
        <v>5669</v>
      </c>
      <c r="E1275">
        <v>6</v>
      </c>
      <c r="F1275" s="6">
        <v>750</v>
      </c>
      <c r="G1275" t="s">
        <v>3966</v>
      </c>
    </row>
    <row r="1276" spans="1:7">
      <c r="A1276" t="s">
        <v>5680</v>
      </c>
      <c r="B1276" t="s">
        <v>5681</v>
      </c>
      <c r="C1276" t="s">
        <v>3679</v>
      </c>
      <c r="D1276" t="s">
        <v>3680</v>
      </c>
      <c r="E1276">
        <v>6</v>
      </c>
      <c r="F1276" s="6">
        <v>750</v>
      </c>
      <c r="G1276" t="s">
        <v>4445</v>
      </c>
    </row>
    <row r="1277" spans="1:7">
      <c r="A1277" t="s">
        <v>664</v>
      </c>
      <c r="B1277" t="s">
        <v>5682</v>
      </c>
      <c r="C1277" t="s">
        <v>5626</v>
      </c>
      <c r="D1277" t="s">
        <v>5627</v>
      </c>
      <c r="E1277">
        <v>4</v>
      </c>
      <c r="F1277" s="6">
        <v>750</v>
      </c>
      <c r="G1277" t="s">
        <v>3730</v>
      </c>
    </row>
    <row r="1278" spans="1:7">
      <c r="A1278" t="s">
        <v>5683</v>
      </c>
      <c r="B1278" t="s">
        <v>5684</v>
      </c>
      <c r="C1278" t="s">
        <v>5626</v>
      </c>
      <c r="D1278" t="s">
        <v>5627</v>
      </c>
      <c r="E1278">
        <v>6</v>
      </c>
      <c r="F1278" s="6">
        <v>1750</v>
      </c>
      <c r="G1278" t="s">
        <v>3716</v>
      </c>
    </row>
    <row r="1279" spans="1:7">
      <c r="A1279" t="s">
        <v>5685</v>
      </c>
      <c r="B1279" t="s">
        <v>5686</v>
      </c>
      <c r="C1279" t="s">
        <v>5626</v>
      </c>
      <c r="D1279" t="s">
        <v>5627</v>
      </c>
      <c r="E1279">
        <v>6</v>
      </c>
      <c r="F1279" s="6">
        <v>750</v>
      </c>
      <c r="G1279" t="s">
        <v>4032</v>
      </c>
    </row>
    <row r="1280" spans="1:7">
      <c r="A1280" t="s">
        <v>3593</v>
      </c>
      <c r="B1280" t="s">
        <v>5687</v>
      </c>
      <c r="C1280" t="s">
        <v>5626</v>
      </c>
      <c r="D1280" t="s">
        <v>5627</v>
      </c>
      <c r="E1280">
        <v>6</v>
      </c>
      <c r="F1280" s="6">
        <v>750</v>
      </c>
      <c r="G1280" t="s">
        <v>3716</v>
      </c>
    </row>
    <row r="1281" spans="1:7">
      <c r="A1281" t="s">
        <v>5688</v>
      </c>
      <c r="B1281" t="s">
        <v>5689</v>
      </c>
      <c r="C1281" t="s">
        <v>5626</v>
      </c>
      <c r="D1281" t="s">
        <v>5627</v>
      </c>
      <c r="E1281">
        <v>6</v>
      </c>
      <c r="F1281" s="6">
        <v>750</v>
      </c>
      <c r="G1281" t="s">
        <v>4392</v>
      </c>
    </row>
    <row r="1282" spans="1:7">
      <c r="A1282" t="s">
        <v>1354</v>
      </c>
      <c r="B1282" t="s">
        <v>5690</v>
      </c>
      <c r="C1282" t="s">
        <v>5626</v>
      </c>
      <c r="D1282" t="s">
        <v>5627</v>
      </c>
      <c r="E1282">
        <v>6</v>
      </c>
      <c r="F1282" s="6">
        <v>750</v>
      </c>
      <c r="G1282" t="s">
        <v>3802</v>
      </c>
    </row>
    <row r="1283" spans="1:7">
      <c r="A1283" t="s">
        <v>217</v>
      </c>
      <c r="B1283" t="s">
        <v>5691</v>
      </c>
      <c r="C1283" t="s">
        <v>5626</v>
      </c>
      <c r="D1283" t="s">
        <v>5627</v>
      </c>
      <c r="E1283">
        <v>6</v>
      </c>
      <c r="F1283" s="6">
        <v>750</v>
      </c>
      <c r="G1283" t="s">
        <v>4331</v>
      </c>
    </row>
    <row r="1284" spans="1:7">
      <c r="A1284" t="s">
        <v>1823</v>
      </c>
      <c r="B1284" t="s">
        <v>5692</v>
      </c>
      <c r="C1284" t="s">
        <v>5626</v>
      </c>
      <c r="D1284" t="s">
        <v>5627</v>
      </c>
      <c r="E1284">
        <v>12</v>
      </c>
      <c r="F1284" s="6">
        <v>750</v>
      </c>
      <c r="G1284" t="s">
        <v>3730</v>
      </c>
    </row>
    <row r="1285" spans="1:7">
      <c r="A1285" t="s">
        <v>2118</v>
      </c>
      <c r="B1285" t="s">
        <v>5693</v>
      </c>
      <c r="C1285" t="s">
        <v>5626</v>
      </c>
      <c r="D1285" t="s">
        <v>5627</v>
      </c>
      <c r="E1285">
        <v>24</v>
      </c>
      <c r="F1285" s="6">
        <v>375</v>
      </c>
      <c r="G1285" t="s">
        <v>3730</v>
      </c>
    </row>
    <row r="1286" spans="1:7">
      <c r="A1286" t="s">
        <v>709</v>
      </c>
      <c r="B1286" t="s">
        <v>5693</v>
      </c>
      <c r="C1286" t="s">
        <v>5626</v>
      </c>
      <c r="D1286" t="s">
        <v>5627</v>
      </c>
      <c r="E1286">
        <v>12</v>
      </c>
      <c r="F1286" s="6">
        <v>750</v>
      </c>
      <c r="G1286" t="s">
        <v>3730</v>
      </c>
    </row>
    <row r="1287" spans="1:7">
      <c r="A1287" t="s">
        <v>1887</v>
      </c>
      <c r="B1287" t="s">
        <v>5693</v>
      </c>
      <c r="C1287" t="s">
        <v>5626</v>
      </c>
      <c r="D1287" t="s">
        <v>5627</v>
      </c>
      <c r="E1287">
        <v>12</v>
      </c>
      <c r="F1287" s="6">
        <v>1000</v>
      </c>
      <c r="G1287" t="s">
        <v>3730</v>
      </c>
    </row>
    <row r="1288" spans="1:7">
      <c r="A1288" t="s">
        <v>2044</v>
      </c>
      <c r="B1288" t="s">
        <v>5693</v>
      </c>
      <c r="C1288" t="s">
        <v>5626</v>
      </c>
      <c r="D1288" t="s">
        <v>5627</v>
      </c>
      <c r="E1288">
        <v>6</v>
      </c>
      <c r="F1288" s="6">
        <v>1750</v>
      </c>
      <c r="G1288" t="s">
        <v>3730</v>
      </c>
    </row>
    <row r="1289" spans="1:7">
      <c r="A1289" t="s">
        <v>381</v>
      </c>
      <c r="B1289" t="s">
        <v>5694</v>
      </c>
      <c r="C1289" t="s">
        <v>5626</v>
      </c>
      <c r="D1289" t="s">
        <v>5627</v>
      </c>
      <c r="E1289">
        <v>12</v>
      </c>
      <c r="F1289" s="6">
        <v>750</v>
      </c>
      <c r="G1289" t="s">
        <v>3730</v>
      </c>
    </row>
    <row r="1290" spans="1:7">
      <c r="A1290" t="s">
        <v>1990</v>
      </c>
      <c r="B1290" t="s">
        <v>5695</v>
      </c>
      <c r="C1290" t="s">
        <v>5626</v>
      </c>
      <c r="D1290" t="s">
        <v>5627</v>
      </c>
      <c r="E1290">
        <v>12</v>
      </c>
      <c r="F1290" s="6">
        <v>750</v>
      </c>
      <c r="G1290" t="s">
        <v>3730</v>
      </c>
    </row>
    <row r="1291" spans="1:7">
      <c r="A1291" t="s">
        <v>2122</v>
      </c>
      <c r="B1291" t="s">
        <v>5696</v>
      </c>
      <c r="C1291" t="s">
        <v>5626</v>
      </c>
      <c r="D1291" t="s">
        <v>5627</v>
      </c>
      <c r="E1291">
        <v>6</v>
      </c>
      <c r="F1291" s="6">
        <v>750</v>
      </c>
      <c r="G1291" t="s">
        <v>3705</v>
      </c>
    </row>
    <row r="1292" spans="1:7">
      <c r="A1292" t="s">
        <v>496</v>
      </c>
      <c r="B1292" t="s">
        <v>5697</v>
      </c>
      <c r="C1292" t="s">
        <v>5626</v>
      </c>
      <c r="D1292" t="s">
        <v>5627</v>
      </c>
      <c r="E1292">
        <v>6</v>
      </c>
      <c r="F1292" s="6">
        <v>750</v>
      </c>
      <c r="G1292" t="s">
        <v>5698</v>
      </c>
    </row>
    <row r="1293" spans="1:7">
      <c r="A1293" t="s">
        <v>5699</v>
      </c>
      <c r="B1293" t="s">
        <v>5700</v>
      </c>
      <c r="C1293" t="s">
        <v>3679</v>
      </c>
      <c r="D1293" t="s">
        <v>3680</v>
      </c>
      <c r="E1293">
        <v>6</v>
      </c>
      <c r="F1293" s="6">
        <v>750</v>
      </c>
      <c r="G1293" t="s">
        <v>5701</v>
      </c>
    </row>
    <row r="1294" spans="1:7">
      <c r="A1294" t="s">
        <v>1147</v>
      </c>
      <c r="B1294" t="s">
        <v>5702</v>
      </c>
      <c r="C1294" t="s">
        <v>5668</v>
      </c>
      <c r="D1294" t="s">
        <v>5669</v>
      </c>
      <c r="E1294">
        <v>3</v>
      </c>
      <c r="F1294" s="6">
        <v>1750</v>
      </c>
      <c r="G1294" t="s">
        <v>3730</v>
      </c>
    </row>
    <row r="1295" spans="1:7">
      <c r="A1295" t="s">
        <v>5703</v>
      </c>
      <c r="B1295" t="s">
        <v>5702</v>
      </c>
      <c r="C1295" t="s">
        <v>5668</v>
      </c>
      <c r="D1295" t="s">
        <v>5669</v>
      </c>
      <c r="E1295">
        <v>6</v>
      </c>
      <c r="F1295" s="6">
        <v>1000</v>
      </c>
      <c r="G1295" t="s">
        <v>3730</v>
      </c>
    </row>
    <row r="1296" spans="1:7">
      <c r="A1296" t="s">
        <v>2345</v>
      </c>
      <c r="B1296" t="s">
        <v>5702</v>
      </c>
      <c r="C1296" t="s">
        <v>5668</v>
      </c>
      <c r="D1296" t="s">
        <v>5669</v>
      </c>
      <c r="E1296">
        <v>6</v>
      </c>
      <c r="F1296" s="6">
        <v>750</v>
      </c>
      <c r="G1296" t="s">
        <v>3730</v>
      </c>
    </row>
    <row r="1297" spans="1:7">
      <c r="A1297" t="s">
        <v>620</v>
      </c>
      <c r="B1297" t="s">
        <v>5704</v>
      </c>
      <c r="C1297" t="s">
        <v>5668</v>
      </c>
      <c r="D1297" t="s">
        <v>5669</v>
      </c>
      <c r="E1297">
        <v>12</v>
      </c>
      <c r="F1297" s="6">
        <v>1000</v>
      </c>
      <c r="G1297" t="s">
        <v>3686</v>
      </c>
    </row>
    <row r="1298" spans="1:7">
      <c r="A1298" t="s">
        <v>1157</v>
      </c>
      <c r="B1298" t="s">
        <v>5704</v>
      </c>
      <c r="C1298" t="s">
        <v>5668</v>
      </c>
      <c r="D1298" t="s">
        <v>5669</v>
      </c>
      <c r="E1298">
        <v>6</v>
      </c>
      <c r="F1298" s="6">
        <v>1750</v>
      </c>
      <c r="G1298" t="s">
        <v>3686</v>
      </c>
    </row>
    <row r="1299" spans="1:7">
      <c r="A1299" t="s">
        <v>5705</v>
      </c>
      <c r="B1299" t="s">
        <v>5706</v>
      </c>
      <c r="C1299" t="s">
        <v>5668</v>
      </c>
      <c r="D1299" t="s">
        <v>5669</v>
      </c>
      <c r="E1299">
        <v>6</v>
      </c>
      <c r="F1299" s="6">
        <v>750</v>
      </c>
      <c r="G1299" t="s">
        <v>4406</v>
      </c>
    </row>
    <row r="1300" spans="1:7">
      <c r="A1300" t="s">
        <v>5707</v>
      </c>
      <c r="B1300" t="s">
        <v>5708</v>
      </c>
      <c r="C1300" t="s">
        <v>5668</v>
      </c>
      <c r="D1300" t="s">
        <v>5669</v>
      </c>
      <c r="E1300">
        <v>6</v>
      </c>
      <c r="F1300" s="6">
        <v>750</v>
      </c>
      <c r="G1300" t="s">
        <v>3802</v>
      </c>
    </row>
    <row r="1301" spans="1:7">
      <c r="A1301" t="s">
        <v>5709</v>
      </c>
      <c r="B1301" t="s">
        <v>5710</v>
      </c>
      <c r="C1301" t="s">
        <v>5668</v>
      </c>
      <c r="D1301" t="s">
        <v>5669</v>
      </c>
      <c r="E1301">
        <v>12</v>
      </c>
      <c r="F1301" s="6">
        <v>750</v>
      </c>
      <c r="G1301" t="s">
        <v>4784</v>
      </c>
    </row>
    <row r="1302" spans="1:7">
      <c r="A1302" t="s">
        <v>2596</v>
      </c>
      <c r="B1302" t="s">
        <v>5710</v>
      </c>
      <c r="C1302" t="s">
        <v>5668</v>
      </c>
      <c r="D1302" t="s">
        <v>5669</v>
      </c>
      <c r="E1302">
        <v>12</v>
      </c>
      <c r="F1302" s="6">
        <v>1000</v>
      </c>
      <c r="G1302" t="s">
        <v>4784</v>
      </c>
    </row>
    <row r="1303" spans="1:7">
      <c r="A1303" t="s">
        <v>5711</v>
      </c>
      <c r="B1303" t="s">
        <v>5710</v>
      </c>
      <c r="C1303" t="s">
        <v>5668</v>
      </c>
      <c r="D1303" t="s">
        <v>5669</v>
      </c>
      <c r="E1303">
        <v>6</v>
      </c>
      <c r="F1303" s="6">
        <v>1750</v>
      </c>
      <c r="G1303" t="s">
        <v>4784</v>
      </c>
    </row>
    <row r="1304" spans="1:7">
      <c r="A1304" t="s">
        <v>982</v>
      </c>
      <c r="B1304" t="s">
        <v>5712</v>
      </c>
      <c r="C1304" t="s">
        <v>5626</v>
      </c>
      <c r="D1304" t="s">
        <v>5627</v>
      </c>
      <c r="E1304">
        <v>6</v>
      </c>
      <c r="F1304" s="6">
        <v>750</v>
      </c>
      <c r="G1304" t="s">
        <v>3686</v>
      </c>
    </row>
    <row r="1305" spans="1:7">
      <c r="A1305" t="s">
        <v>2270</v>
      </c>
      <c r="B1305" t="s">
        <v>5713</v>
      </c>
      <c r="C1305" t="s">
        <v>5668</v>
      </c>
      <c r="D1305" t="s">
        <v>5669</v>
      </c>
      <c r="E1305">
        <v>6</v>
      </c>
      <c r="F1305" s="6">
        <v>750</v>
      </c>
      <c r="G1305" t="s">
        <v>4163</v>
      </c>
    </row>
    <row r="1306" spans="1:7">
      <c r="A1306" t="s">
        <v>1516</v>
      </c>
      <c r="B1306" t="s">
        <v>5714</v>
      </c>
      <c r="C1306" t="s">
        <v>5668</v>
      </c>
      <c r="D1306" t="s">
        <v>5669</v>
      </c>
      <c r="E1306">
        <v>6</v>
      </c>
      <c r="F1306" s="6">
        <v>1750</v>
      </c>
      <c r="G1306" t="s">
        <v>3931</v>
      </c>
    </row>
    <row r="1307" spans="1:7">
      <c r="A1307" t="s">
        <v>1868</v>
      </c>
      <c r="B1307" t="s">
        <v>5715</v>
      </c>
      <c r="C1307" t="s">
        <v>5668</v>
      </c>
      <c r="D1307" t="s">
        <v>5669</v>
      </c>
      <c r="E1307">
        <v>12</v>
      </c>
      <c r="F1307" s="6">
        <v>750</v>
      </c>
      <c r="G1307" t="s">
        <v>3686</v>
      </c>
    </row>
    <row r="1308" spans="1:7">
      <c r="A1308" t="s">
        <v>646</v>
      </c>
      <c r="B1308" t="s">
        <v>5715</v>
      </c>
      <c r="C1308" t="s">
        <v>5668</v>
      </c>
      <c r="D1308" t="s">
        <v>5669</v>
      </c>
      <c r="E1308">
        <v>6</v>
      </c>
      <c r="F1308" s="6">
        <v>1750</v>
      </c>
      <c r="G1308" t="s">
        <v>3686</v>
      </c>
    </row>
    <row r="1309" spans="1:7">
      <c r="A1309" t="s">
        <v>5716</v>
      </c>
      <c r="B1309" t="s">
        <v>5717</v>
      </c>
      <c r="C1309" t="s">
        <v>5668</v>
      </c>
      <c r="D1309" t="s">
        <v>5669</v>
      </c>
      <c r="E1309">
        <v>6</v>
      </c>
      <c r="F1309" s="6">
        <v>1750</v>
      </c>
      <c r="G1309" t="s">
        <v>4163</v>
      </c>
    </row>
    <row r="1310" spans="1:7">
      <c r="A1310" t="s">
        <v>5718</v>
      </c>
      <c r="B1310" t="s">
        <v>5719</v>
      </c>
      <c r="C1310" t="s">
        <v>5668</v>
      </c>
      <c r="D1310" t="s">
        <v>5669</v>
      </c>
      <c r="E1310">
        <v>6</v>
      </c>
      <c r="F1310" s="6">
        <v>750</v>
      </c>
      <c r="G1310" t="s">
        <v>4584</v>
      </c>
    </row>
    <row r="1311" spans="1:7">
      <c r="A1311" t="s">
        <v>5720</v>
      </c>
      <c r="B1311" t="s">
        <v>5721</v>
      </c>
      <c r="C1311" t="s">
        <v>5668</v>
      </c>
      <c r="D1311" t="s">
        <v>5669</v>
      </c>
      <c r="E1311">
        <v>6</v>
      </c>
      <c r="F1311" s="6">
        <v>750</v>
      </c>
      <c r="G1311" t="s">
        <v>4438</v>
      </c>
    </row>
    <row r="1312" spans="1:7">
      <c r="A1312" t="s">
        <v>2244</v>
      </c>
      <c r="B1312" t="s">
        <v>5722</v>
      </c>
      <c r="C1312" t="s">
        <v>5668</v>
      </c>
      <c r="D1312" t="s">
        <v>5669</v>
      </c>
      <c r="E1312">
        <v>6</v>
      </c>
      <c r="F1312" s="6">
        <v>750</v>
      </c>
      <c r="G1312" t="s">
        <v>3702</v>
      </c>
    </row>
    <row r="1313" spans="1:7">
      <c r="A1313" t="s">
        <v>5723</v>
      </c>
      <c r="B1313" t="s">
        <v>5724</v>
      </c>
      <c r="C1313" t="s">
        <v>5668</v>
      </c>
      <c r="D1313" t="s">
        <v>5669</v>
      </c>
      <c r="E1313">
        <v>48</v>
      </c>
      <c r="F1313" s="6">
        <v>200</v>
      </c>
      <c r="G1313" t="s">
        <v>4344</v>
      </c>
    </row>
    <row r="1314" spans="1:7">
      <c r="A1314" t="s">
        <v>1965</v>
      </c>
      <c r="B1314" t="s">
        <v>5724</v>
      </c>
      <c r="C1314" t="s">
        <v>5668</v>
      </c>
      <c r="D1314" t="s">
        <v>5669</v>
      </c>
      <c r="E1314">
        <v>24</v>
      </c>
      <c r="F1314" s="6">
        <v>375</v>
      </c>
      <c r="G1314" t="s">
        <v>4344</v>
      </c>
    </row>
    <row r="1315" spans="1:7">
      <c r="A1315" t="s">
        <v>926</v>
      </c>
      <c r="B1315" t="s">
        <v>5724</v>
      </c>
      <c r="C1315" t="s">
        <v>5668</v>
      </c>
      <c r="D1315" t="s">
        <v>5669</v>
      </c>
      <c r="E1315">
        <v>12</v>
      </c>
      <c r="F1315" s="6">
        <v>750</v>
      </c>
      <c r="G1315" t="s">
        <v>4344</v>
      </c>
    </row>
    <row r="1316" spans="1:7">
      <c r="A1316" t="s">
        <v>5725</v>
      </c>
      <c r="B1316" t="s">
        <v>5724</v>
      </c>
      <c r="C1316" t="s">
        <v>5668</v>
      </c>
      <c r="D1316" t="s">
        <v>5669</v>
      </c>
      <c r="E1316">
        <v>12</v>
      </c>
      <c r="F1316" s="6">
        <v>1000</v>
      </c>
      <c r="G1316" t="s">
        <v>4344</v>
      </c>
    </row>
    <row r="1317" spans="1:7">
      <c r="A1317" t="s">
        <v>1152</v>
      </c>
      <c r="B1317" t="s">
        <v>5724</v>
      </c>
      <c r="C1317" t="s">
        <v>5668</v>
      </c>
      <c r="D1317" t="s">
        <v>5669</v>
      </c>
      <c r="E1317">
        <v>6</v>
      </c>
      <c r="F1317" s="6">
        <v>1750</v>
      </c>
      <c r="G1317" t="s">
        <v>4344</v>
      </c>
    </row>
    <row r="1318" spans="1:7">
      <c r="A1318" t="s">
        <v>1795</v>
      </c>
      <c r="B1318" t="s">
        <v>5726</v>
      </c>
      <c r="C1318" t="s">
        <v>5668</v>
      </c>
      <c r="D1318" t="s">
        <v>5669</v>
      </c>
      <c r="E1318">
        <v>12</v>
      </c>
      <c r="F1318" s="6">
        <v>750</v>
      </c>
      <c r="G1318" t="s">
        <v>4344</v>
      </c>
    </row>
    <row r="1319" spans="1:7">
      <c r="A1319" t="s">
        <v>2502</v>
      </c>
      <c r="B1319" t="s">
        <v>5727</v>
      </c>
      <c r="C1319" t="s">
        <v>5668</v>
      </c>
      <c r="D1319" t="s">
        <v>5669</v>
      </c>
      <c r="E1319">
        <v>12</v>
      </c>
      <c r="F1319" s="6">
        <v>750</v>
      </c>
      <c r="G1319" t="s">
        <v>3686</v>
      </c>
    </row>
    <row r="1320" spans="1:7">
      <c r="A1320" t="s">
        <v>2832</v>
      </c>
      <c r="B1320" t="s">
        <v>5727</v>
      </c>
      <c r="C1320" t="s">
        <v>5668</v>
      </c>
      <c r="D1320" t="s">
        <v>5669</v>
      </c>
      <c r="E1320">
        <v>12</v>
      </c>
      <c r="F1320" s="6">
        <v>1000</v>
      </c>
      <c r="G1320" t="s">
        <v>3686</v>
      </c>
    </row>
    <row r="1321" spans="1:7">
      <c r="A1321" t="s">
        <v>55</v>
      </c>
      <c r="B1321" t="s">
        <v>5727</v>
      </c>
      <c r="C1321" t="s">
        <v>5668</v>
      </c>
      <c r="D1321" t="s">
        <v>5669</v>
      </c>
      <c r="E1321">
        <v>6</v>
      </c>
      <c r="F1321" s="6">
        <v>1750</v>
      </c>
      <c r="G1321" t="s">
        <v>3686</v>
      </c>
    </row>
    <row r="1322" spans="1:7">
      <c r="A1322" t="s">
        <v>1908</v>
      </c>
      <c r="B1322" t="s">
        <v>5728</v>
      </c>
      <c r="C1322" t="s">
        <v>5668</v>
      </c>
      <c r="D1322" t="s">
        <v>5669</v>
      </c>
      <c r="E1322">
        <v>12</v>
      </c>
      <c r="F1322" s="6">
        <v>750</v>
      </c>
      <c r="G1322" t="s">
        <v>3716</v>
      </c>
    </row>
    <row r="1323" spans="1:7">
      <c r="A1323" t="s">
        <v>710</v>
      </c>
      <c r="B1323" t="s">
        <v>5728</v>
      </c>
      <c r="C1323" t="s">
        <v>5668</v>
      </c>
      <c r="D1323" t="s">
        <v>5669</v>
      </c>
      <c r="E1323">
        <v>6</v>
      </c>
      <c r="F1323" s="6">
        <v>1750</v>
      </c>
      <c r="G1323" t="s">
        <v>3716</v>
      </c>
    </row>
    <row r="1324" spans="1:7">
      <c r="A1324" t="s">
        <v>5729</v>
      </c>
      <c r="B1324" t="s">
        <v>5730</v>
      </c>
      <c r="C1324" t="s">
        <v>5668</v>
      </c>
      <c r="D1324" t="s">
        <v>5669</v>
      </c>
      <c r="E1324">
        <v>12</v>
      </c>
      <c r="F1324" s="6">
        <v>1000</v>
      </c>
      <c r="G1324" t="s">
        <v>5030</v>
      </c>
    </row>
    <row r="1325" spans="1:7">
      <c r="A1325" t="s">
        <v>1441</v>
      </c>
      <c r="B1325" t="s">
        <v>5731</v>
      </c>
      <c r="C1325" t="s">
        <v>5668</v>
      </c>
      <c r="D1325" t="s">
        <v>5669</v>
      </c>
      <c r="E1325">
        <v>12</v>
      </c>
      <c r="F1325" s="6">
        <v>750</v>
      </c>
      <c r="G1325" t="s">
        <v>3730</v>
      </c>
    </row>
    <row r="1326" spans="1:7">
      <c r="A1326" t="s">
        <v>455</v>
      </c>
      <c r="B1326" t="s">
        <v>5731</v>
      </c>
      <c r="C1326" t="s">
        <v>5668</v>
      </c>
      <c r="D1326" t="s">
        <v>5669</v>
      </c>
      <c r="E1326">
        <v>12</v>
      </c>
      <c r="F1326" s="6">
        <v>1000</v>
      </c>
      <c r="G1326" t="s">
        <v>3730</v>
      </c>
    </row>
    <row r="1327" spans="1:7">
      <c r="A1327" t="s">
        <v>1888</v>
      </c>
      <c r="B1327" t="s">
        <v>5732</v>
      </c>
      <c r="C1327" t="s">
        <v>5668</v>
      </c>
      <c r="D1327" t="s">
        <v>5669</v>
      </c>
      <c r="E1327">
        <v>6</v>
      </c>
      <c r="F1327" s="6">
        <v>1750</v>
      </c>
      <c r="G1327" t="s">
        <v>3730</v>
      </c>
    </row>
    <row r="1328" spans="1:7">
      <c r="A1328" t="s">
        <v>2261</v>
      </c>
      <c r="B1328" t="s">
        <v>5733</v>
      </c>
      <c r="C1328" t="s">
        <v>5668</v>
      </c>
      <c r="D1328" t="s">
        <v>5669</v>
      </c>
      <c r="E1328">
        <v>6</v>
      </c>
      <c r="F1328" s="6">
        <v>750</v>
      </c>
      <c r="G1328" t="s">
        <v>4285</v>
      </c>
    </row>
    <row r="1329" spans="1:7">
      <c r="A1329" t="s">
        <v>970</v>
      </c>
      <c r="B1329" t="s">
        <v>5734</v>
      </c>
      <c r="C1329" t="s">
        <v>5668</v>
      </c>
      <c r="D1329" t="s">
        <v>5669</v>
      </c>
      <c r="E1329">
        <v>12</v>
      </c>
      <c r="F1329" s="6">
        <v>1000</v>
      </c>
      <c r="G1329" t="s">
        <v>4163</v>
      </c>
    </row>
    <row r="1330" spans="1:7">
      <c r="A1330" t="s">
        <v>3272</v>
      </c>
      <c r="B1330" t="s">
        <v>5734</v>
      </c>
      <c r="C1330" t="s">
        <v>5668</v>
      </c>
      <c r="D1330" t="s">
        <v>5669</v>
      </c>
      <c r="E1330">
        <v>6</v>
      </c>
      <c r="F1330" s="6">
        <v>1750</v>
      </c>
      <c r="G1330" t="s">
        <v>4163</v>
      </c>
    </row>
    <row r="1331" spans="1:7">
      <c r="A1331" t="s">
        <v>5735</v>
      </c>
      <c r="B1331" t="s">
        <v>5736</v>
      </c>
      <c r="C1331" t="s">
        <v>5668</v>
      </c>
      <c r="D1331" t="s">
        <v>5669</v>
      </c>
      <c r="E1331">
        <v>6</v>
      </c>
      <c r="F1331" s="6">
        <v>750</v>
      </c>
      <c r="G1331" t="s">
        <v>5475</v>
      </c>
    </row>
    <row r="1332" spans="1:7">
      <c r="A1332" t="s">
        <v>5737</v>
      </c>
      <c r="B1332" t="s">
        <v>5738</v>
      </c>
      <c r="C1332" t="s">
        <v>5668</v>
      </c>
      <c r="D1332" t="s">
        <v>5669</v>
      </c>
      <c r="E1332">
        <v>12</v>
      </c>
      <c r="F1332" s="6">
        <v>750</v>
      </c>
      <c r="G1332" t="s">
        <v>5205</v>
      </c>
    </row>
    <row r="1333" spans="1:7">
      <c r="A1333" t="s">
        <v>2570</v>
      </c>
      <c r="B1333" t="s">
        <v>5739</v>
      </c>
      <c r="C1333" t="s">
        <v>5668</v>
      </c>
      <c r="D1333" t="s">
        <v>5669</v>
      </c>
      <c r="E1333">
        <v>6</v>
      </c>
      <c r="F1333" s="6">
        <v>1750</v>
      </c>
      <c r="G1333" t="s">
        <v>3698</v>
      </c>
    </row>
    <row r="1334" spans="1:7">
      <c r="A1334" t="s">
        <v>5740</v>
      </c>
      <c r="B1334" t="s">
        <v>5741</v>
      </c>
      <c r="C1334" t="s">
        <v>5668</v>
      </c>
      <c r="D1334" t="s">
        <v>5669</v>
      </c>
      <c r="E1334">
        <v>12</v>
      </c>
      <c r="F1334" s="6">
        <v>750</v>
      </c>
      <c r="G1334" t="s">
        <v>3686</v>
      </c>
    </row>
    <row r="1335" spans="1:7">
      <c r="A1335" t="s">
        <v>711</v>
      </c>
      <c r="B1335" t="s">
        <v>5742</v>
      </c>
      <c r="C1335" t="s">
        <v>5668</v>
      </c>
      <c r="D1335" t="s">
        <v>5669</v>
      </c>
      <c r="E1335">
        <v>12</v>
      </c>
      <c r="F1335" s="6">
        <v>1000</v>
      </c>
      <c r="G1335" t="s">
        <v>3763</v>
      </c>
    </row>
    <row r="1336" spans="1:7">
      <c r="A1336" t="s">
        <v>1947</v>
      </c>
      <c r="B1336" t="s">
        <v>5742</v>
      </c>
      <c r="C1336" t="s">
        <v>5668</v>
      </c>
      <c r="D1336" t="s">
        <v>5669</v>
      </c>
      <c r="E1336">
        <v>24</v>
      </c>
      <c r="F1336" s="6">
        <v>200</v>
      </c>
      <c r="G1336" t="s">
        <v>3763</v>
      </c>
    </row>
    <row r="1337" spans="1:7">
      <c r="A1337" t="s">
        <v>1210</v>
      </c>
      <c r="B1337" t="s">
        <v>5742</v>
      </c>
      <c r="C1337" t="s">
        <v>5668</v>
      </c>
      <c r="D1337" t="s">
        <v>5669</v>
      </c>
      <c r="E1337">
        <v>6</v>
      </c>
      <c r="F1337" s="6">
        <v>1750</v>
      </c>
      <c r="G1337" t="s">
        <v>3763</v>
      </c>
    </row>
    <row r="1338" spans="1:7">
      <c r="A1338" t="s">
        <v>3231</v>
      </c>
      <c r="B1338" t="s">
        <v>5742</v>
      </c>
      <c r="C1338" t="s">
        <v>5668</v>
      </c>
      <c r="D1338" t="s">
        <v>5669</v>
      </c>
      <c r="E1338">
        <v>24</v>
      </c>
      <c r="F1338" s="6">
        <v>375</v>
      </c>
      <c r="G1338" t="s">
        <v>3763</v>
      </c>
    </row>
    <row r="1339" spans="1:7">
      <c r="A1339" t="s">
        <v>57</v>
      </c>
      <c r="B1339" t="s">
        <v>5742</v>
      </c>
      <c r="C1339" t="s">
        <v>5668</v>
      </c>
      <c r="D1339" t="s">
        <v>5669</v>
      </c>
      <c r="E1339">
        <v>12</v>
      </c>
      <c r="F1339" s="6">
        <v>750</v>
      </c>
      <c r="G1339" t="s">
        <v>3763</v>
      </c>
    </row>
    <row r="1340" spans="1:7">
      <c r="A1340" t="s">
        <v>1774</v>
      </c>
      <c r="B1340" t="s">
        <v>5743</v>
      </c>
      <c r="C1340" t="s">
        <v>5668</v>
      </c>
      <c r="D1340" t="s">
        <v>5669</v>
      </c>
      <c r="E1340">
        <v>12</v>
      </c>
      <c r="F1340" s="6">
        <v>750</v>
      </c>
      <c r="G1340" t="s">
        <v>3763</v>
      </c>
    </row>
    <row r="1341" spans="1:7">
      <c r="A1341" t="s">
        <v>5744</v>
      </c>
      <c r="B1341" t="s">
        <v>5745</v>
      </c>
      <c r="C1341" t="s">
        <v>5668</v>
      </c>
      <c r="D1341" t="s">
        <v>5669</v>
      </c>
      <c r="E1341">
        <v>12</v>
      </c>
      <c r="F1341" s="6">
        <v>1000</v>
      </c>
      <c r="G1341" t="s">
        <v>3686</v>
      </c>
    </row>
    <row r="1342" spans="1:7">
      <c r="A1342" t="s">
        <v>1356</v>
      </c>
      <c r="B1342" t="s">
        <v>5746</v>
      </c>
      <c r="C1342" t="s">
        <v>5653</v>
      </c>
      <c r="D1342" t="s">
        <v>5654</v>
      </c>
      <c r="E1342">
        <v>6</v>
      </c>
      <c r="F1342" s="6">
        <v>750</v>
      </c>
      <c r="G1342" t="s">
        <v>3802</v>
      </c>
    </row>
    <row r="1343" spans="1:7">
      <c r="A1343" t="s">
        <v>2727</v>
      </c>
      <c r="B1343" t="s">
        <v>5747</v>
      </c>
      <c r="C1343" t="s">
        <v>5668</v>
      </c>
      <c r="D1343" t="s">
        <v>5669</v>
      </c>
      <c r="E1343">
        <v>12</v>
      </c>
      <c r="F1343" s="6">
        <v>750</v>
      </c>
      <c r="G1343" t="s">
        <v>5748</v>
      </c>
    </row>
    <row r="1344" spans="1:7">
      <c r="A1344" t="s">
        <v>155</v>
      </c>
      <c r="B1344" t="s">
        <v>5749</v>
      </c>
      <c r="C1344" t="s">
        <v>5668</v>
      </c>
      <c r="D1344" t="s">
        <v>5669</v>
      </c>
      <c r="E1344">
        <v>12</v>
      </c>
      <c r="F1344" s="6">
        <v>750</v>
      </c>
      <c r="G1344" t="s">
        <v>4163</v>
      </c>
    </row>
    <row r="1345" spans="1:7">
      <c r="A1345" t="s">
        <v>2165</v>
      </c>
      <c r="B1345" t="s">
        <v>5749</v>
      </c>
      <c r="C1345" t="s">
        <v>5668</v>
      </c>
      <c r="D1345" t="s">
        <v>5669</v>
      </c>
      <c r="E1345">
        <v>12</v>
      </c>
      <c r="F1345" s="6">
        <v>1000</v>
      </c>
      <c r="G1345" t="s">
        <v>4163</v>
      </c>
    </row>
    <row r="1346" spans="1:7">
      <c r="A1346" t="s">
        <v>766</v>
      </c>
      <c r="B1346" t="s">
        <v>5749</v>
      </c>
      <c r="C1346" t="s">
        <v>5668</v>
      </c>
      <c r="D1346" t="s">
        <v>5669</v>
      </c>
      <c r="E1346">
        <v>6</v>
      </c>
      <c r="F1346" s="6">
        <v>1750</v>
      </c>
      <c r="G1346" t="s">
        <v>4163</v>
      </c>
    </row>
    <row r="1347" spans="1:7">
      <c r="A1347" t="s">
        <v>5750</v>
      </c>
      <c r="B1347" t="s">
        <v>5751</v>
      </c>
      <c r="C1347" t="s">
        <v>5668</v>
      </c>
      <c r="D1347" t="s">
        <v>5669</v>
      </c>
      <c r="E1347">
        <v>6</v>
      </c>
      <c r="F1347" s="6">
        <v>1750</v>
      </c>
      <c r="G1347" t="s">
        <v>4300</v>
      </c>
    </row>
    <row r="1348" spans="1:7">
      <c r="A1348" t="s">
        <v>5752</v>
      </c>
      <c r="B1348" t="s">
        <v>5751</v>
      </c>
      <c r="C1348" t="s">
        <v>5668</v>
      </c>
      <c r="D1348" t="s">
        <v>5669</v>
      </c>
      <c r="E1348">
        <v>12</v>
      </c>
      <c r="F1348" s="6">
        <v>1000</v>
      </c>
      <c r="G1348" t="s">
        <v>4300</v>
      </c>
    </row>
    <row r="1349" spans="1:7">
      <c r="A1349" t="s">
        <v>5753</v>
      </c>
      <c r="B1349" t="s">
        <v>5754</v>
      </c>
      <c r="C1349" t="s">
        <v>5668</v>
      </c>
      <c r="D1349" t="s">
        <v>5669</v>
      </c>
      <c r="E1349">
        <v>12</v>
      </c>
      <c r="F1349" s="6">
        <v>750</v>
      </c>
      <c r="G1349" t="s">
        <v>4300</v>
      </c>
    </row>
    <row r="1350" spans="1:7">
      <c r="A1350" t="s">
        <v>5755</v>
      </c>
      <c r="B1350" t="s">
        <v>5756</v>
      </c>
      <c r="C1350" t="s">
        <v>5668</v>
      </c>
      <c r="D1350" t="s">
        <v>5669</v>
      </c>
      <c r="E1350">
        <v>6</v>
      </c>
      <c r="F1350" s="6">
        <v>750</v>
      </c>
      <c r="G1350" t="s">
        <v>3681</v>
      </c>
    </row>
    <row r="1351" spans="1:7">
      <c r="A1351" t="s">
        <v>5757</v>
      </c>
      <c r="B1351" t="s">
        <v>5758</v>
      </c>
      <c r="C1351" t="s">
        <v>5668</v>
      </c>
      <c r="D1351" t="s">
        <v>5669</v>
      </c>
      <c r="E1351">
        <v>6</v>
      </c>
      <c r="F1351" s="6">
        <v>750</v>
      </c>
      <c r="G1351" t="s">
        <v>4899</v>
      </c>
    </row>
    <row r="1352" spans="1:7">
      <c r="A1352" t="s">
        <v>5759</v>
      </c>
      <c r="B1352" t="s">
        <v>5760</v>
      </c>
      <c r="C1352" t="s">
        <v>5668</v>
      </c>
      <c r="D1352" t="s">
        <v>5669</v>
      </c>
      <c r="E1352">
        <v>6</v>
      </c>
      <c r="F1352" s="6">
        <v>50</v>
      </c>
      <c r="G1352" t="s">
        <v>4899</v>
      </c>
    </row>
    <row r="1353" spans="1:7">
      <c r="A1353" t="s">
        <v>174</v>
      </c>
      <c r="B1353" t="s">
        <v>5761</v>
      </c>
      <c r="C1353" t="s">
        <v>5668</v>
      </c>
      <c r="D1353" t="s">
        <v>5669</v>
      </c>
      <c r="E1353">
        <v>6</v>
      </c>
      <c r="F1353" s="6">
        <v>750</v>
      </c>
      <c r="G1353" t="s">
        <v>4899</v>
      </c>
    </row>
    <row r="1354" spans="1:7">
      <c r="A1354" t="s">
        <v>5762</v>
      </c>
      <c r="B1354" t="s">
        <v>5763</v>
      </c>
      <c r="C1354" t="s">
        <v>5668</v>
      </c>
      <c r="D1354" t="s">
        <v>5669</v>
      </c>
      <c r="E1354">
        <v>6</v>
      </c>
      <c r="F1354" s="6">
        <v>750</v>
      </c>
      <c r="G1354" t="s">
        <v>3871</v>
      </c>
    </row>
    <row r="1355" spans="1:7">
      <c r="A1355" t="s">
        <v>5764</v>
      </c>
      <c r="B1355" t="s">
        <v>5765</v>
      </c>
      <c r="C1355" t="s">
        <v>5668</v>
      </c>
      <c r="D1355" t="s">
        <v>5669</v>
      </c>
      <c r="E1355">
        <v>6</v>
      </c>
      <c r="F1355" s="6">
        <v>750</v>
      </c>
      <c r="G1355" t="s">
        <v>4501</v>
      </c>
    </row>
    <row r="1356" spans="1:7">
      <c r="A1356" t="s">
        <v>2878</v>
      </c>
      <c r="B1356" t="s">
        <v>5766</v>
      </c>
      <c r="C1356" t="s">
        <v>5668</v>
      </c>
      <c r="D1356" t="s">
        <v>5669</v>
      </c>
      <c r="E1356">
        <v>12</v>
      </c>
      <c r="F1356" s="6">
        <v>50</v>
      </c>
      <c r="G1356" t="s">
        <v>3681</v>
      </c>
    </row>
    <row r="1357" spans="1:7">
      <c r="A1357" t="s">
        <v>808</v>
      </c>
      <c r="B1357" t="s">
        <v>5767</v>
      </c>
      <c r="C1357" t="s">
        <v>5668</v>
      </c>
      <c r="D1357" t="s">
        <v>5669</v>
      </c>
      <c r="E1357">
        <v>48</v>
      </c>
      <c r="F1357" s="6">
        <v>100</v>
      </c>
      <c r="G1357" t="s">
        <v>3681</v>
      </c>
    </row>
    <row r="1358" spans="1:7">
      <c r="A1358" t="s">
        <v>2230</v>
      </c>
      <c r="B1358" t="s">
        <v>5767</v>
      </c>
      <c r="C1358" t="s">
        <v>5668</v>
      </c>
      <c r="D1358" t="s">
        <v>5669</v>
      </c>
      <c r="E1358">
        <v>48</v>
      </c>
      <c r="F1358" s="6">
        <v>200</v>
      </c>
      <c r="G1358" t="s">
        <v>3681</v>
      </c>
    </row>
    <row r="1359" spans="1:7">
      <c r="A1359" t="s">
        <v>2684</v>
      </c>
      <c r="B1359" t="s">
        <v>5767</v>
      </c>
      <c r="C1359" t="s">
        <v>5668</v>
      </c>
      <c r="D1359" t="s">
        <v>5669</v>
      </c>
      <c r="E1359">
        <v>24</v>
      </c>
      <c r="F1359" s="6">
        <v>375</v>
      </c>
      <c r="G1359" t="s">
        <v>3681</v>
      </c>
    </row>
    <row r="1360" spans="1:7">
      <c r="A1360" t="s">
        <v>413</v>
      </c>
      <c r="B1360" t="s">
        <v>5768</v>
      </c>
      <c r="C1360" t="s">
        <v>5668</v>
      </c>
      <c r="D1360" t="s">
        <v>5669</v>
      </c>
      <c r="E1360">
        <v>12</v>
      </c>
      <c r="F1360" s="6">
        <v>750</v>
      </c>
      <c r="G1360" t="s">
        <v>3681</v>
      </c>
    </row>
    <row r="1361" spans="1:7">
      <c r="A1361" t="s">
        <v>2238</v>
      </c>
      <c r="B1361" t="s">
        <v>5767</v>
      </c>
      <c r="C1361" t="s">
        <v>5668</v>
      </c>
      <c r="D1361" t="s">
        <v>5669</v>
      </c>
      <c r="E1361">
        <v>12</v>
      </c>
      <c r="F1361" s="6">
        <v>750</v>
      </c>
      <c r="G1361" t="s">
        <v>3681</v>
      </c>
    </row>
    <row r="1362" spans="1:7">
      <c r="A1362" t="s">
        <v>2583</v>
      </c>
      <c r="B1362" t="s">
        <v>5767</v>
      </c>
      <c r="C1362" t="s">
        <v>5668</v>
      </c>
      <c r="D1362" t="s">
        <v>5669</v>
      </c>
      <c r="E1362">
        <v>12</v>
      </c>
      <c r="F1362" s="6">
        <v>1000</v>
      </c>
      <c r="G1362" t="s">
        <v>3681</v>
      </c>
    </row>
    <row r="1363" spans="1:7">
      <c r="A1363" t="s">
        <v>420</v>
      </c>
      <c r="B1363" t="s">
        <v>5767</v>
      </c>
      <c r="C1363" t="s">
        <v>5668</v>
      </c>
      <c r="D1363" t="s">
        <v>5669</v>
      </c>
      <c r="E1363">
        <v>6</v>
      </c>
      <c r="F1363" s="6">
        <v>1750</v>
      </c>
      <c r="G1363" t="s">
        <v>3681</v>
      </c>
    </row>
    <row r="1364" spans="1:7">
      <c r="A1364" t="s">
        <v>3542</v>
      </c>
      <c r="B1364" t="s">
        <v>5769</v>
      </c>
      <c r="C1364" t="s">
        <v>5668</v>
      </c>
      <c r="D1364" t="s">
        <v>5669</v>
      </c>
      <c r="E1364">
        <v>12</v>
      </c>
      <c r="F1364" s="6">
        <v>750</v>
      </c>
      <c r="G1364" t="s">
        <v>4300</v>
      </c>
    </row>
    <row r="1365" spans="1:7">
      <c r="A1365" t="s">
        <v>5770</v>
      </c>
      <c r="B1365" t="s">
        <v>5771</v>
      </c>
      <c r="C1365" t="s">
        <v>5668</v>
      </c>
      <c r="D1365" t="s">
        <v>5669</v>
      </c>
      <c r="E1365">
        <v>6</v>
      </c>
      <c r="F1365" s="6">
        <v>750</v>
      </c>
      <c r="G1365" t="s">
        <v>3802</v>
      </c>
    </row>
    <row r="1366" spans="1:7">
      <c r="A1366" t="s">
        <v>5772</v>
      </c>
      <c r="B1366" t="s">
        <v>5773</v>
      </c>
      <c r="C1366" t="s">
        <v>3679</v>
      </c>
      <c r="D1366" t="s">
        <v>3680</v>
      </c>
      <c r="E1366">
        <v>6</v>
      </c>
      <c r="F1366" s="6">
        <v>750</v>
      </c>
      <c r="G1366" t="s">
        <v>3763</v>
      </c>
    </row>
    <row r="1367" spans="1:7">
      <c r="A1367" t="s">
        <v>2394</v>
      </c>
      <c r="B1367" t="s">
        <v>5774</v>
      </c>
      <c r="C1367" t="s">
        <v>5668</v>
      </c>
      <c r="D1367" t="s">
        <v>5669</v>
      </c>
      <c r="E1367">
        <v>6</v>
      </c>
      <c r="F1367" s="6">
        <v>700</v>
      </c>
      <c r="G1367" t="s">
        <v>5030</v>
      </c>
    </row>
    <row r="1368" spans="1:7">
      <c r="A1368" t="s">
        <v>5775</v>
      </c>
      <c r="B1368" t="s">
        <v>5776</v>
      </c>
      <c r="C1368" t="s">
        <v>5668</v>
      </c>
      <c r="D1368" t="s">
        <v>5669</v>
      </c>
      <c r="E1368">
        <v>12</v>
      </c>
      <c r="F1368" s="6">
        <v>750</v>
      </c>
      <c r="G1368" t="s">
        <v>3951</v>
      </c>
    </row>
    <row r="1369" spans="1:7">
      <c r="A1369" t="s">
        <v>5777</v>
      </c>
      <c r="B1369" t="s">
        <v>5778</v>
      </c>
      <c r="C1369" t="s">
        <v>5668</v>
      </c>
      <c r="D1369" t="s">
        <v>5669</v>
      </c>
      <c r="E1369">
        <v>6</v>
      </c>
      <c r="F1369" s="6">
        <v>750</v>
      </c>
      <c r="G1369" t="s">
        <v>5014</v>
      </c>
    </row>
    <row r="1370" spans="1:7">
      <c r="A1370" t="s">
        <v>5779</v>
      </c>
      <c r="B1370" t="s">
        <v>5780</v>
      </c>
      <c r="C1370" t="s">
        <v>5668</v>
      </c>
      <c r="D1370" t="s">
        <v>5669</v>
      </c>
      <c r="E1370">
        <v>6</v>
      </c>
      <c r="F1370" s="6">
        <v>750</v>
      </c>
      <c r="G1370" t="s">
        <v>3686</v>
      </c>
    </row>
    <row r="1371" spans="1:7">
      <c r="A1371" t="s">
        <v>485</v>
      </c>
      <c r="B1371" t="s">
        <v>5781</v>
      </c>
      <c r="C1371" t="s">
        <v>5668</v>
      </c>
      <c r="D1371" t="s">
        <v>5669</v>
      </c>
      <c r="E1371">
        <v>6</v>
      </c>
      <c r="F1371" s="6">
        <v>750</v>
      </c>
      <c r="G1371" t="s">
        <v>3686</v>
      </c>
    </row>
    <row r="1372" spans="1:7">
      <c r="A1372" t="s">
        <v>5782</v>
      </c>
      <c r="B1372" t="s">
        <v>5783</v>
      </c>
      <c r="C1372" t="s">
        <v>5668</v>
      </c>
      <c r="D1372" t="s">
        <v>5669</v>
      </c>
      <c r="E1372">
        <v>6</v>
      </c>
      <c r="F1372" s="6">
        <v>750</v>
      </c>
      <c r="G1372" t="s">
        <v>3686</v>
      </c>
    </row>
    <row r="1373" spans="1:7">
      <c r="A1373" t="s">
        <v>5784</v>
      </c>
      <c r="B1373" t="s">
        <v>5785</v>
      </c>
      <c r="C1373" t="s">
        <v>4071</v>
      </c>
      <c r="D1373" t="s">
        <v>4072</v>
      </c>
      <c r="E1373">
        <v>6</v>
      </c>
      <c r="F1373" s="6">
        <v>750</v>
      </c>
      <c r="G1373" t="s">
        <v>5472</v>
      </c>
    </row>
    <row r="1374" spans="1:7">
      <c r="A1374" t="s">
        <v>5786</v>
      </c>
      <c r="B1374" t="s">
        <v>5787</v>
      </c>
      <c r="C1374" t="s">
        <v>5668</v>
      </c>
      <c r="D1374" t="s">
        <v>5669</v>
      </c>
      <c r="E1374">
        <v>6</v>
      </c>
      <c r="F1374" s="6">
        <v>750</v>
      </c>
      <c r="G1374" t="s">
        <v>5788</v>
      </c>
    </row>
    <row r="1375" spans="1:7">
      <c r="A1375" t="s">
        <v>5789</v>
      </c>
      <c r="B1375" t="s">
        <v>5790</v>
      </c>
      <c r="C1375" t="s">
        <v>5653</v>
      </c>
      <c r="D1375" t="s">
        <v>5654</v>
      </c>
      <c r="E1375">
        <v>12</v>
      </c>
      <c r="F1375" s="6">
        <v>750</v>
      </c>
      <c r="G1375" t="s">
        <v>4331</v>
      </c>
    </row>
    <row r="1376" spans="1:7">
      <c r="A1376" t="s">
        <v>1408</v>
      </c>
      <c r="B1376" t="s">
        <v>5791</v>
      </c>
      <c r="C1376" t="s">
        <v>5653</v>
      </c>
      <c r="D1376" t="s">
        <v>5654</v>
      </c>
      <c r="E1376">
        <v>6</v>
      </c>
      <c r="F1376" s="6">
        <v>750</v>
      </c>
      <c r="G1376" t="s">
        <v>4899</v>
      </c>
    </row>
    <row r="1377" spans="1:7">
      <c r="A1377" t="s">
        <v>5792</v>
      </c>
      <c r="B1377" t="s">
        <v>5793</v>
      </c>
      <c r="C1377" t="s">
        <v>5653</v>
      </c>
      <c r="D1377" t="s">
        <v>5654</v>
      </c>
      <c r="E1377">
        <v>6</v>
      </c>
      <c r="F1377" s="6">
        <v>50</v>
      </c>
      <c r="G1377" t="s">
        <v>4899</v>
      </c>
    </row>
    <row r="1378" spans="1:7">
      <c r="A1378" t="s">
        <v>5794</v>
      </c>
      <c r="B1378" t="s">
        <v>5793</v>
      </c>
      <c r="C1378" t="s">
        <v>5653</v>
      </c>
      <c r="D1378" t="s">
        <v>5654</v>
      </c>
      <c r="E1378">
        <v>6</v>
      </c>
      <c r="F1378" s="6">
        <v>50</v>
      </c>
      <c r="G1378" t="s">
        <v>4899</v>
      </c>
    </row>
    <row r="1379" spans="1:7">
      <c r="A1379" t="s">
        <v>532</v>
      </c>
      <c r="B1379" t="s">
        <v>5795</v>
      </c>
      <c r="C1379" t="s">
        <v>5653</v>
      </c>
      <c r="D1379" t="s">
        <v>5654</v>
      </c>
      <c r="E1379">
        <v>12</v>
      </c>
      <c r="F1379" s="6">
        <v>750</v>
      </c>
      <c r="G1379" t="s">
        <v>3681</v>
      </c>
    </row>
    <row r="1380" spans="1:7">
      <c r="A1380" t="s">
        <v>2586</v>
      </c>
      <c r="B1380" t="s">
        <v>5796</v>
      </c>
      <c r="C1380" t="s">
        <v>5668</v>
      </c>
      <c r="D1380" t="s">
        <v>5669</v>
      </c>
      <c r="E1380">
        <v>6</v>
      </c>
      <c r="F1380" s="6">
        <v>750</v>
      </c>
      <c r="G1380" t="s">
        <v>4027</v>
      </c>
    </row>
    <row r="1381" spans="1:7">
      <c r="A1381" t="s">
        <v>5797</v>
      </c>
      <c r="B1381" t="s">
        <v>5798</v>
      </c>
      <c r="C1381" t="s">
        <v>5653</v>
      </c>
      <c r="D1381" t="s">
        <v>5654</v>
      </c>
      <c r="E1381">
        <v>12</v>
      </c>
      <c r="F1381" s="6">
        <v>750</v>
      </c>
      <c r="G1381" t="s">
        <v>3951</v>
      </c>
    </row>
    <row r="1382" spans="1:7">
      <c r="A1382" t="s">
        <v>5799</v>
      </c>
      <c r="B1382" t="s">
        <v>5800</v>
      </c>
      <c r="C1382" t="s">
        <v>3721</v>
      </c>
      <c r="D1382" t="s">
        <v>3722</v>
      </c>
      <c r="E1382">
        <v>6</v>
      </c>
      <c r="F1382" s="6">
        <v>1000</v>
      </c>
      <c r="G1382" t="s">
        <v>3754</v>
      </c>
    </row>
    <row r="1383" spans="1:7">
      <c r="A1383" t="s">
        <v>3182</v>
      </c>
      <c r="B1383" t="s">
        <v>5800</v>
      </c>
      <c r="C1383" t="s">
        <v>3721</v>
      </c>
      <c r="D1383" t="s">
        <v>3722</v>
      </c>
      <c r="E1383">
        <v>6</v>
      </c>
      <c r="F1383" s="6">
        <v>750</v>
      </c>
      <c r="G1383" t="s">
        <v>3754</v>
      </c>
    </row>
    <row r="1384" spans="1:7">
      <c r="A1384" t="s">
        <v>5801</v>
      </c>
      <c r="B1384" t="s">
        <v>5800</v>
      </c>
      <c r="C1384" t="s">
        <v>3721</v>
      </c>
      <c r="D1384" t="s">
        <v>3722</v>
      </c>
      <c r="E1384">
        <v>12</v>
      </c>
      <c r="F1384" s="6">
        <v>375</v>
      </c>
      <c r="G1384" t="s">
        <v>3754</v>
      </c>
    </row>
    <row r="1385" spans="1:7">
      <c r="A1385" t="s">
        <v>5802</v>
      </c>
      <c r="B1385" t="s">
        <v>5803</v>
      </c>
      <c r="C1385" t="s">
        <v>5804</v>
      </c>
      <c r="D1385" t="s">
        <v>5805</v>
      </c>
      <c r="E1385">
        <v>12</v>
      </c>
      <c r="F1385" s="6">
        <v>750</v>
      </c>
      <c r="G1385" t="s">
        <v>3686</v>
      </c>
    </row>
    <row r="1386" spans="1:7">
      <c r="A1386" t="s">
        <v>5806</v>
      </c>
      <c r="B1386" t="s">
        <v>5807</v>
      </c>
      <c r="C1386" t="s">
        <v>3679</v>
      </c>
      <c r="D1386" t="s">
        <v>3680</v>
      </c>
      <c r="E1386">
        <v>10</v>
      </c>
      <c r="F1386" s="6">
        <v>50</v>
      </c>
      <c r="G1386" t="s">
        <v>3681</v>
      </c>
    </row>
    <row r="1387" spans="1:7">
      <c r="A1387" t="s">
        <v>382</v>
      </c>
      <c r="B1387" t="s">
        <v>5808</v>
      </c>
      <c r="C1387" t="s">
        <v>5804</v>
      </c>
      <c r="D1387" t="s">
        <v>5805</v>
      </c>
      <c r="E1387">
        <v>6</v>
      </c>
      <c r="F1387" s="6">
        <v>750</v>
      </c>
      <c r="G1387" t="s">
        <v>3681</v>
      </c>
    </row>
    <row r="1388" spans="1:7">
      <c r="A1388" t="s">
        <v>1943</v>
      </c>
      <c r="B1388" t="s">
        <v>5809</v>
      </c>
      <c r="C1388" t="s">
        <v>5804</v>
      </c>
      <c r="D1388" t="s">
        <v>5805</v>
      </c>
      <c r="E1388">
        <v>10</v>
      </c>
      <c r="F1388" s="6">
        <v>50</v>
      </c>
      <c r="G1388" t="s">
        <v>3681</v>
      </c>
    </row>
    <row r="1389" spans="1:7">
      <c r="A1389" t="s">
        <v>904</v>
      </c>
      <c r="B1389" t="s">
        <v>5810</v>
      </c>
      <c r="C1389" t="s">
        <v>5804</v>
      </c>
      <c r="D1389" t="s">
        <v>5805</v>
      </c>
      <c r="E1389">
        <v>12</v>
      </c>
      <c r="F1389" s="6">
        <v>750</v>
      </c>
      <c r="G1389" t="s">
        <v>3681</v>
      </c>
    </row>
    <row r="1390" spans="1:7">
      <c r="A1390" t="s">
        <v>5811</v>
      </c>
      <c r="B1390" t="s">
        <v>5812</v>
      </c>
      <c r="C1390" t="s">
        <v>3679</v>
      </c>
      <c r="D1390" t="s">
        <v>3680</v>
      </c>
      <c r="E1390">
        <v>12</v>
      </c>
      <c r="F1390" s="6">
        <v>750</v>
      </c>
      <c r="G1390" t="s">
        <v>3681</v>
      </c>
    </row>
    <row r="1391" spans="1:7">
      <c r="A1391" t="s">
        <v>5813</v>
      </c>
      <c r="B1391" t="s">
        <v>5814</v>
      </c>
      <c r="C1391" t="s">
        <v>5804</v>
      </c>
      <c r="D1391" t="s">
        <v>5805</v>
      </c>
      <c r="E1391">
        <v>12</v>
      </c>
      <c r="F1391" s="6">
        <v>750</v>
      </c>
      <c r="G1391" t="s">
        <v>3951</v>
      </c>
    </row>
    <row r="1392" spans="1:7">
      <c r="A1392" t="s">
        <v>5815</v>
      </c>
      <c r="B1392" t="s">
        <v>5814</v>
      </c>
      <c r="C1392" t="s">
        <v>5804</v>
      </c>
      <c r="D1392" t="s">
        <v>5805</v>
      </c>
      <c r="E1392">
        <v>6</v>
      </c>
      <c r="F1392" s="6">
        <v>1750</v>
      </c>
      <c r="G1392" t="s">
        <v>3951</v>
      </c>
    </row>
    <row r="1393" spans="1:7">
      <c r="A1393" t="s">
        <v>1188</v>
      </c>
      <c r="B1393" t="s">
        <v>5816</v>
      </c>
      <c r="C1393" t="s">
        <v>4093</v>
      </c>
      <c r="D1393" t="s">
        <v>4094</v>
      </c>
      <c r="E1393">
        <v>10</v>
      </c>
      <c r="F1393" s="6">
        <v>50</v>
      </c>
      <c r="G1393" t="s">
        <v>3951</v>
      </c>
    </row>
    <row r="1394" spans="1:7">
      <c r="A1394" t="s">
        <v>2157</v>
      </c>
      <c r="B1394" t="s">
        <v>5817</v>
      </c>
      <c r="C1394" t="s">
        <v>4093</v>
      </c>
      <c r="D1394" t="s">
        <v>4094</v>
      </c>
      <c r="E1394">
        <v>12</v>
      </c>
      <c r="F1394" s="6">
        <v>750</v>
      </c>
      <c r="G1394" t="s">
        <v>3951</v>
      </c>
    </row>
    <row r="1395" spans="1:7">
      <c r="A1395" t="s">
        <v>5818</v>
      </c>
      <c r="B1395" t="s">
        <v>5817</v>
      </c>
      <c r="C1395" t="s">
        <v>4093</v>
      </c>
      <c r="D1395" t="s">
        <v>4094</v>
      </c>
      <c r="E1395">
        <v>6</v>
      </c>
      <c r="F1395" s="6">
        <v>1750</v>
      </c>
      <c r="G1395" t="s">
        <v>3951</v>
      </c>
    </row>
    <row r="1396" spans="1:7">
      <c r="A1396" t="s">
        <v>5819</v>
      </c>
      <c r="B1396" t="s">
        <v>5820</v>
      </c>
      <c r="C1396" t="s">
        <v>4093</v>
      </c>
      <c r="D1396" t="s">
        <v>4094</v>
      </c>
      <c r="E1396">
        <v>10</v>
      </c>
      <c r="F1396" s="6">
        <v>50</v>
      </c>
      <c r="G1396" t="s">
        <v>3951</v>
      </c>
    </row>
    <row r="1397" spans="1:7">
      <c r="A1397" t="s">
        <v>487</v>
      </c>
      <c r="B1397" t="s">
        <v>5821</v>
      </c>
      <c r="C1397" t="s">
        <v>4093</v>
      </c>
      <c r="D1397" t="s">
        <v>4094</v>
      </c>
      <c r="E1397">
        <v>12</v>
      </c>
      <c r="F1397" s="6">
        <v>750</v>
      </c>
      <c r="G1397" t="s">
        <v>3951</v>
      </c>
    </row>
    <row r="1398" spans="1:7">
      <c r="A1398" t="s">
        <v>5822</v>
      </c>
      <c r="B1398" t="s">
        <v>5821</v>
      </c>
      <c r="C1398" t="s">
        <v>4093</v>
      </c>
      <c r="D1398" t="s">
        <v>4094</v>
      </c>
      <c r="E1398">
        <v>6</v>
      </c>
      <c r="F1398" s="6">
        <v>1750</v>
      </c>
      <c r="G1398" t="s">
        <v>3951</v>
      </c>
    </row>
    <row r="1399" spans="1:7">
      <c r="A1399" t="s">
        <v>5823</v>
      </c>
      <c r="B1399" t="s">
        <v>5824</v>
      </c>
      <c r="C1399" t="s">
        <v>5825</v>
      </c>
      <c r="D1399" t="s">
        <v>5826</v>
      </c>
      <c r="E1399">
        <v>12</v>
      </c>
      <c r="F1399" s="6">
        <v>750</v>
      </c>
      <c r="G1399" t="s">
        <v>3686</v>
      </c>
    </row>
    <row r="1400" spans="1:7">
      <c r="A1400" t="s">
        <v>1203</v>
      </c>
      <c r="B1400" t="s">
        <v>5827</v>
      </c>
      <c r="C1400" t="s">
        <v>5825</v>
      </c>
      <c r="D1400" t="s">
        <v>5826</v>
      </c>
      <c r="E1400">
        <v>12</v>
      </c>
      <c r="F1400" s="6">
        <v>1000</v>
      </c>
      <c r="G1400" t="s">
        <v>4163</v>
      </c>
    </row>
    <row r="1401" spans="1:7">
      <c r="A1401" t="s">
        <v>5828</v>
      </c>
      <c r="B1401" t="s">
        <v>5829</v>
      </c>
      <c r="C1401" t="s">
        <v>3721</v>
      </c>
      <c r="D1401" t="s">
        <v>3722</v>
      </c>
      <c r="E1401">
        <v>6</v>
      </c>
      <c r="F1401" s="6">
        <v>750</v>
      </c>
      <c r="G1401" t="s">
        <v>3681</v>
      </c>
    </row>
    <row r="1402" spans="1:7">
      <c r="A1402" t="s">
        <v>5830</v>
      </c>
      <c r="B1402" t="s">
        <v>5831</v>
      </c>
      <c r="C1402" t="s">
        <v>4093</v>
      </c>
      <c r="D1402" t="s">
        <v>4094</v>
      </c>
      <c r="E1402">
        <v>12</v>
      </c>
      <c r="F1402" s="6">
        <v>750</v>
      </c>
      <c r="G1402" t="s">
        <v>3702</v>
      </c>
    </row>
    <row r="1403" spans="1:7">
      <c r="A1403" t="s">
        <v>300</v>
      </c>
      <c r="B1403" t="s">
        <v>5832</v>
      </c>
      <c r="C1403" t="s">
        <v>4093</v>
      </c>
      <c r="D1403" t="s">
        <v>4094</v>
      </c>
      <c r="E1403">
        <v>12</v>
      </c>
      <c r="F1403" s="6">
        <v>1000</v>
      </c>
      <c r="G1403" t="s">
        <v>4163</v>
      </c>
    </row>
    <row r="1404" spans="1:7">
      <c r="A1404" t="s">
        <v>1977</v>
      </c>
      <c r="B1404" t="s">
        <v>5833</v>
      </c>
      <c r="C1404" t="s">
        <v>3721</v>
      </c>
      <c r="D1404" t="s">
        <v>3722</v>
      </c>
      <c r="E1404">
        <v>10</v>
      </c>
      <c r="F1404" s="6">
        <v>50</v>
      </c>
      <c r="G1404" t="s">
        <v>3681</v>
      </c>
    </row>
    <row r="1405" spans="1:7">
      <c r="A1405" t="s">
        <v>790</v>
      </c>
      <c r="B1405" t="s">
        <v>5834</v>
      </c>
      <c r="C1405" t="s">
        <v>3721</v>
      </c>
      <c r="D1405" t="s">
        <v>3722</v>
      </c>
      <c r="E1405">
        <v>24</v>
      </c>
      <c r="F1405" s="6">
        <v>200</v>
      </c>
      <c r="G1405" t="s">
        <v>3681</v>
      </c>
    </row>
    <row r="1406" spans="1:7">
      <c r="A1406" t="s">
        <v>2103</v>
      </c>
      <c r="B1406" t="s">
        <v>5834</v>
      </c>
      <c r="C1406" t="s">
        <v>3721</v>
      </c>
      <c r="D1406" t="s">
        <v>3722</v>
      </c>
      <c r="E1406">
        <v>24</v>
      </c>
      <c r="F1406" s="6">
        <v>375</v>
      </c>
      <c r="G1406" t="s">
        <v>3681</v>
      </c>
    </row>
    <row r="1407" spans="1:7">
      <c r="A1407" t="s">
        <v>1429</v>
      </c>
      <c r="B1407" t="s">
        <v>5834</v>
      </c>
      <c r="C1407" t="s">
        <v>3721</v>
      </c>
      <c r="D1407" t="s">
        <v>3722</v>
      </c>
      <c r="E1407">
        <v>12</v>
      </c>
      <c r="F1407" s="6">
        <v>750</v>
      </c>
      <c r="G1407" t="s">
        <v>3681</v>
      </c>
    </row>
    <row r="1408" spans="1:7">
      <c r="A1408" t="s">
        <v>315</v>
      </c>
      <c r="B1408" t="s">
        <v>5834</v>
      </c>
      <c r="C1408" t="s">
        <v>3721</v>
      </c>
      <c r="D1408" t="s">
        <v>3722</v>
      </c>
      <c r="E1408">
        <v>12</v>
      </c>
      <c r="F1408" s="6">
        <v>1000</v>
      </c>
      <c r="G1408" t="s">
        <v>3681</v>
      </c>
    </row>
    <row r="1409" spans="1:7">
      <c r="A1409" t="s">
        <v>2795</v>
      </c>
      <c r="B1409" t="s">
        <v>5834</v>
      </c>
      <c r="C1409" t="s">
        <v>3721</v>
      </c>
      <c r="D1409" t="s">
        <v>3722</v>
      </c>
      <c r="E1409">
        <v>6</v>
      </c>
      <c r="F1409" s="6">
        <v>1750</v>
      </c>
      <c r="G1409" t="s">
        <v>3681</v>
      </c>
    </row>
    <row r="1410" spans="1:7">
      <c r="A1410" t="s">
        <v>847</v>
      </c>
      <c r="B1410" t="s">
        <v>5835</v>
      </c>
      <c r="C1410" t="s">
        <v>5804</v>
      </c>
      <c r="D1410" t="s">
        <v>5805</v>
      </c>
      <c r="E1410">
        <v>12</v>
      </c>
      <c r="F1410" s="6">
        <v>750</v>
      </c>
      <c r="G1410" t="s">
        <v>3681</v>
      </c>
    </row>
    <row r="1411" spans="1:7">
      <c r="A1411" t="s">
        <v>5836</v>
      </c>
      <c r="B1411" t="s">
        <v>5835</v>
      </c>
      <c r="C1411" t="s">
        <v>5804</v>
      </c>
      <c r="D1411" t="s">
        <v>5805</v>
      </c>
      <c r="E1411">
        <v>12</v>
      </c>
      <c r="F1411" s="6">
        <v>1000</v>
      </c>
      <c r="G1411" t="s">
        <v>3681</v>
      </c>
    </row>
    <row r="1412" spans="1:7">
      <c r="A1412" t="s">
        <v>2271</v>
      </c>
      <c r="B1412" t="s">
        <v>5837</v>
      </c>
      <c r="C1412" t="s">
        <v>5804</v>
      </c>
      <c r="D1412" t="s">
        <v>5805</v>
      </c>
      <c r="E1412">
        <v>12</v>
      </c>
      <c r="F1412" s="6">
        <v>750</v>
      </c>
      <c r="G1412" t="s">
        <v>3681</v>
      </c>
    </row>
    <row r="1413" spans="1:7">
      <c r="A1413" t="s">
        <v>1524</v>
      </c>
      <c r="B1413" t="s">
        <v>5838</v>
      </c>
      <c r="C1413" t="s">
        <v>5804</v>
      </c>
      <c r="D1413" t="s">
        <v>5805</v>
      </c>
      <c r="E1413">
        <v>12</v>
      </c>
      <c r="F1413" s="6">
        <v>1000</v>
      </c>
      <c r="G1413" t="s">
        <v>3681</v>
      </c>
    </row>
    <row r="1414" spans="1:7">
      <c r="A1414" t="s">
        <v>276</v>
      </c>
      <c r="B1414" t="s">
        <v>5838</v>
      </c>
      <c r="C1414" t="s">
        <v>5804</v>
      </c>
      <c r="D1414" t="s">
        <v>5805</v>
      </c>
      <c r="E1414">
        <v>12</v>
      </c>
      <c r="F1414" s="6">
        <v>750</v>
      </c>
      <c r="G1414" t="s">
        <v>3681</v>
      </c>
    </row>
    <row r="1415" spans="1:7">
      <c r="A1415" t="s">
        <v>5839</v>
      </c>
      <c r="B1415" t="s">
        <v>5838</v>
      </c>
      <c r="C1415" t="s">
        <v>5804</v>
      </c>
      <c r="D1415" t="s">
        <v>5805</v>
      </c>
      <c r="E1415">
        <v>6</v>
      </c>
      <c r="F1415" s="6">
        <v>1750</v>
      </c>
      <c r="G1415" t="s">
        <v>3681</v>
      </c>
    </row>
    <row r="1416" spans="1:7">
      <c r="A1416" t="s">
        <v>962</v>
      </c>
      <c r="B1416" t="s">
        <v>5840</v>
      </c>
      <c r="C1416" t="s">
        <v>5804</v>
      </c>
      <c r="D1416" t="s">
        <v>5805</v>
      </c>
      <c r="E1416">
        <v>12</v>
      </c>
      <c r="F1416" s="6">
        <v>750</v>
      </c>
      <c r="G1416" t="s">
        <v>3681</v>
      </c>
    </row>
    <row r="1417" spans="1:7">
      <c r="A1417" t="s">
        <v>1092</v>
      </c>
      <c r="B1417" t="s">
        <v>5841</v>
      </c>
      <c r="C1417" t="s">
        <v>5804</v>
      </c>
      <c r="D1417" t="s">
        <v>5805</v>
      </c>
      <c r="E1417">
        <v>12</v>
      </c>
      <c r="F1417" s="6">
        <v>1000</v>
      </c>
      <c r="G1417" t="s">
        <v>3681</v>
      </c>
    </row>
    <row r="1418" spans="1:7">
      <c r="A1418" t="s">
        <v>1834</v>
      </c>
      <c r="B1418" t="s">
        <v>5841</v>
      </c>
      <c r="C1418" t="s">
        <v>5804</v>
      </c>
      <c r="D1418" t="s">
        <v>5805</v>
      </c>
      <c r="E1418">
        <v>12</v>
      </c>
      <c r="F1418" s="6">
        <v>750</v>
      </c>
      <c r="G1418" t="s">
        <v>3681</v>
      </c>
    </row>
    <row r="1419" spans="1:7">
      <c r="A1419" t="s">
        <v>777</v>
      </c>
      <c r="B1419" t="s">
        <v>5842</v>
      </c>
      <c r="C1419" t="s">
        <v>5804</v>
      </c>
      <c r="D1419" t="s">
        <v>5805</v>
      </c>
      <c r="E1419">
        <v>12</v>
      </c>
      <c r="F1419" s="6">
        <v>750</v>
      </c>
      <c r="G1419" t="s">
        <v>3681</v>
      </c>
    </row>
    <row r="1420" spans="1:7">
      <c r="A1420" t="s">
        <v>1430</v>
      </c>
      <c r="B1420" t="s">
        <v>5842</v>
      </c>
      <c r="C1420" t="s">
        <v>5804</v>
      </c>
      <c r="D1420" t="s">
        <v>5805</v>
      </c>
      <c r="E1420">
        <v>12</v>
      </c>
      <c r="F1420" s="6">
        <v>1000</v>
      </c>
      <c r="G1420" t="s">
        <v>3681</v>
      </c>
    </row>
    <row r="1421" spans="1:7">
      <c r="A1421" t="s">
        <v>2654</v>
      </c>
      <c r="B1421" t="s">
        <v>5843</v>
      </c>
      <c r="C1421" t="s">
        <v>5804</v>
      </c>
      <c r="D1421" t="s">
        <v>5805</v>
      </c>
      <c r="E1421">
        <v>12</v>
      </c>
      <c r="F1421" s="6">
        <v>750</v>
      </c>
      <c r="G1421" t="s">
        <v>3681</v>
      </c>
    </row>
    <row r="1422" spans="1:7">
      <c r="A1422" t="s">
        <v>564</v>
      </c>
      <c r="B1422" t="s">
        <v>5843</v>
      </c>
      <c r="C1422" t="s">
        <v>5804</v>
      </c>
      <c r="D1422" t="s">
        <v>5805</v>
      </c>
      <c r="E1422">
        <v>12</v>
      </c>
      <c r="F1422" s="6">
        <v>1000</v>
      </c>
      <c r="G1422" t="s">
        <v>3681</v>
      </c>
    </row>
    <row r="1423" spans="1:7">
      <c r="A1423" t="s">
        <v>1753</v>
      </c>
      <c r="B1423" t="s">
        <v>5844</v>
      </c>
      <c r="C1423" t="s">
        <v>3721</v>
      </c>
      <c r="D1423" t="s">
        <v>3722</v>
      </c>
      <c r="E1423">
        <v>6</v>
      </c>
      <c r="F1423" s="6">
        <v>750</v>
      </c>
      <c r="G1423" t="s">
        <v>3735</v>
      </c>
    </row>
    <row r="1424" spans="1:7">
      <c r="A1424" t="s">
        <v>2014</v>
      </c>
      <c r="B1424" t="s">
        <v>5800</v>
      </c>
      <c r="C1424" t="s">
        <v>3721</v>
      </c>
      <c r="D1424" t="s">
        <v>3722</v>
      </c>
      <c r="E1424">
        <v>12</v>
      </c>
      <c r="F1424" s="6">
        <v>375</v>
      </c>
      <c r="G1424" t="s">
        <v>3754</v>
      </c>
    </row>
    <row r="1425" spans="1:7">
      <c r="A1425" t="s">
        <v>5845</v>
      </c>
      <c r="B1425" t="s">
        <v>5800</v>
      </c>
      <c r="C1425" t="s">
        <v>3721</v>
      </c>
      <c r="D1425" t="s">
        <v>3722</v>
      </c>
      <c r="E1425">
        <v>6</v>
      </c>
      <c r="F1425" s="6">
        <v>750</v>
      </c>
      <c r="G1425" t="s">
        <v>3754</v>
      </c>
    </row>
    <row r="1426" spans="1:7">
      <c r="A1426" t="s">
        <v>5846</v>
      </c>
      <c r="B1426" t="s">
        <v>5800</v>
      </c>
      <c r="C1426" t="s">
        <v>3721</v>
      </c>
      <c r="D1426" t="s">
        <v>3722</v>
      </c>
      <c r="E1426">
        <v>6</v>
      </c>
      <c r="F1426" s="6">
        <v>1000</v>
      </c>
      <c r="G1426" t="s">
        <v>3754</v>
      </c>
    </row>
    <row r="1427" spans="1:7">
      <c r="A1427" t="s">
        <v>1372</v>
      </c>
      <c r="B1427" t="s">
        <v>5847</v>
      </c>
      <c r="C1427" t="s">
        <v>3721</v>
      </c>
      <c r="D1427" t="s">
        <v>3722</v>
      </c>
      <c r="E1427">
        <v>24</v>
      </c>
      <c r="F1427" s="6">
        <v>200</v>
      </c>
      <c r="G1427" t="s">
        <v>3730</v>
      </c>
    </row>
    <row r="1428" spans="1:7">
      <c r="A1428" t="s">
        <v>597</v>
      </c>
      <c r="B1428" t="s">
        <v>5848</v>
      </c>
      <c r="C1428" t="s">
        <v>3721</v>
      </c>
      <c r="D1428" t="s">
        <v>3722</v>
      </c>
      <c r="E1428">
        <v>6</v>
      </c>
      <c r="F1428" s="6">
        <v>750</v>
      </c>
      <c r="G1428" t="s">
        <v>3716</v>
      </c>
    </row>
    <row r="1429" spans="1:7">
      <c r="A1429" t="s">
        <v>5849</v>
      </c>
      <c r="B1429" t="s">
        <v>5850</v>
      </c>
      <c r="C1429" t="s">
        <v>5804</v>
      </c>
      <c r="D1429" t="s">
        <v>5805</v>
      </c>
      <c r="E1429">
        <v>6</v>
      </c>
      <c r="F1429" s="6">
        <v>750</v>
      </c>
      <c r="G1429" t="s">
        <v>3716</v>
      </c>
    </row>
    <row r="1430" spans="1:7">
      <c r="A1430" t="s">
        <v>2420</v>
      </c>
      <c r="B1430" t="s">
        <v>5847</v>
      </c>
      <c r="C1430" t="s">
        <v>3721</v>
      </c>
      <c r="D1430" t="s">
        <v>3722</v>
      </c>
      <c r="E1430">
        <v>12</v>
      </c>
      <c r="F1430" s="6">
        <v>375</v>
      </c>
      <c r="G1430" t="s">
        <v>3730</v>
      </c>
    </row>
    <row r="1431" spans="1:7">
      <c r="A1431" t="s">
        <v>1920</v>
      </c>
      <c r="B1431" t="s">
        <v>5851</v>
      </c>
      <c r="C1431" t="s">
        <v>3721</v>
      </c>
      <c r="D1431" t="s">
        <v>3722</v>
      </c>
      <c r="E1431">
        <v>6</v>
      </c>
      <c r="F1431" s="6">
        <v>1750</v>
      </c>
      <c r="G1431" t="s">
        <v>3702</v>
      </c>
    </row>
    <row r="1432" spans="1:7">
      <c r="A1432" t="s">
        <v>917</v>
      </c>
      <c r="B1432" t="s">
        <v>5851</v>
      </c>
      <c r="C1432" t="s">
        <v>3721</v>
      </c>
      <c r="D1432" t="s">
        <v>3722</v>
      </c>
      <c r="E1432">
        <v>6</v>
      </c>
      <c r="F1432" s="6">
        <v>750</v>
      </c>
      <c r="G1432" t="s">
        <v>3702</v>
      </c>
    </row>
    <row r="1433" spans="1:7">
      <c r="A1433" t="s">
        <v>5852</v>
      </c>
      <c r="B1433" t="s">
        <v>5853</v>
      </c>
      <c r="C1433" t="s">
        <v>5804</v>
      </c>
      <c r="D1433" t="s">
        <v>5805</v>
      </c>
      <c r="E1433">
        <v>6</v>
      </c>
      <c r="F1433" s="6">
        <v>750</v>
      </c>
      <c r="G1433" t="s">
        <v>3716</v>
      </c>
    </row>
    <row r="1434" spans="1:7">
      <c r="A1434" t="s">
        <v>5854</v>
      </c>
      <c r="B1434" t="s">
        <v>5855</v>
      </c>
      <c r="C1434" t="s">
        <v>5804</v>
      </c>
      <c r="D1434" t="s">
        <v>5805</v>
      </c>
      <c r="E1434">
        <v>6</v>
      </c>
      <c r="F1434" s="6">
        <v>750</v>
      </c>
      <c r="G1434" t="s">
        <v>3705</v>
      </c>
    </row>
    <row r="1435" spans="1:7">
      <c r="A1435" t="s">
        <v>2956</v>
      </c>
      <c r="B1435" t="s">
        <v>5856</v>
      </c>
      <c r="C1435" t="s">
        <v>3721</v>
      </c>
      <c r="D1435" t="s">
        <v>3722</v>
      </c>
      <c r="E1435">
        <v>12</v>
      </c>
      <c r="F1435" s="6">
        <v>200</v>
      </c>
      <c r="G1435" t="s">
        <v>3705</v>
      </c>
    </row>
    <row r="1436" spans="1:7">
      <c r="A1436" t="s">
        <v>5857</v>
      </c>
      <c r="B1436" t="s">
        <v>5858</v>
      </c>
      <c r="C1436" t="s">
        <v>3947</v>
      </c>
      <c r="D1436" t="s">
        <v>3948</v>
      </c>
      <c r="E1436">
        <v>24</v>
      </c>
      <c r="F1436" s="6">
        <v>375</v>
      </c>
      <c r="G1436" t="s">
        <v>3686</v>
      </c>
    </row>
    <row r="1437" spans="1:7">
      <c r="A1437" t="s">
        <v>610</v>
      </c>
      <c r="B1437" t="s">
        <v>5858</v>
      </c>
      <c r="C1437" t="s">
        <v>3721</v>
      </c>
      <c r="D1437" t="s">
        <v>3722</v>
      </c>
      <c r="E1437">
        <v>12</v>
      </c>
      <c r="F1437" s="6">
        <v>750</v>
      </c>
      <c r="G1437" t="s">
        <v>3686</v>
      </c>
    </row>
    <row r="1438" spans="1:7">
      <c r="A1438" t="s">
        <v>2112</v>
      </c>
      <c r="B1438" t="s">
        <v>5858</v>
      </c>
      <c r="C1438" t="s">
        <v>3721</v>
      </c>
      <c r="D1438" t="s">
        <v>3722</v>
      </c>
      <c r="E1438">
        <v>6</v>
      </c>
      <c r="F1438" s="6">
        <v>1750</v>
      </c>
      <c r="G1438" t="s">
        <v>3686</v>
      </c>
    </row>
    <row r="1439" spans="1:7">
      <c r="A1439" t="s">
        <v>3139</v>
      </c>
      <c r="B1439" t="s">
        <v>5859</v>
      </c>
      <c r="C1439" t="s">
        <v>5804</v>
      </c>
      <c r="D1439" t="s">
        <v>5805</v>
      </c>
      <c r="E1439">
        <v>6</v>
      </c>
      <c r="F1439" s="6">
        <v>750</v>
      </c>
      <c r="G1439" t="s">
        <v>3716</v>
      </c>
    </row>
    <row r="1440" spans="1:7">
      <c r="A1440" t="s">
        <v>255</v>
      </c>
      <c r="B1440" t="s">
        <v>5856</v>
      </c>
      <c r="C1440" t="s">
        <v>3721</v>
      </c>
      <c r="D1440" t="s">
        <v>3722</v>
      </c>
      <c r="E1440">
        <v>6</v>
      </c>
      <c r="F1440" s="6">
        <v>1000</v>
      </c>
      <c r="G1440" t="s">
        <v>3705</v>
      </c>
    </row>
    <row r="1441" spans="1:7">
      <c r="A1441" t="s">
        <v>3606</v>
      </c>
      <c r="B1441" t="s">
        <v>5856</v>
      </c>
      <c r="C1441" t="s">
        <v>3721</v>
      </c>
      <c r="D1441" t="s">
        <v>3722</v>
      </c>
      <c r="E1441">
        <v>12</v>
      </c>
      <c r="F1441" s="6">
        <v>375</v>
      </c>
      <c r="G1441" t="s">
        <v>3705</v>
      </c>
    </row>
    <row r="1442" spans="1:7">
      <c r="A1442" t="s">
        <v>736</v>
      </c>
      <c r="B1442" t="s">
        <v>5856</v>
      </c>
      <c r="C1442" t="s">
        <v>3721</v>
      </c>
      <c r="D1442" t="s">
        <v>3722</v>
      </c>
      <c r="E1442">
        <v>6</v>
      </c>
      <c r="F1442" s="6">
        <v>1750</v>
      </c>
      <c r="G1442" t="s">
        <v>3705</v>
      </c>
    </row>
    <row r="1443" spans="1:7">
      <c r="A1443" t="s">
        <v>2253</v>
      </c>
      <c r="B1443" t="s">
        <v>5856</v>
      </c>
      <c r="C1443" t="s">
        <v>3721</v>
      </c>
      <c r="D1443" t="s">
        <v>3722</v>
      </c>
      <c r="E1443">
        <v>12</v>
      </c>
      <c r="F1443" s="6">
        <v>750</v>
      </c>
      <c r="G1443" t="s">
        <v>3705</v>
      </c>
    </row>
    <row r="1444" spans="1:7">
      <c r="A1444" t="s">
        <v>5860</v>
      </c>
      <c r="B1444" t="s">
        <v>5861</v>
      </c>
      <c r="C1444" t="s">
        <v>5804</v>
      </c>
      <c r="D1444" t="s">
        <v>5805</v>
      </c>
      <c r="E1444">
        <v>6</v>
      </c>
      <c r="F1444" s="6">
        <v>750</v>
      </c>
      <c r="G1444" t="s">
        <v>3705</v>
      </c>
    </row>
    <row r="1445" spans="1:7">
      <c r="A1445" t="s">
        <v>3584</v>
      </c>
      <c r="B1445" t="s">
        <v>5862</v>
      </c>
      <c r="C1445" t="s">
        <v>5804</v>
      </c>
      <c r="D1445" t="s">
        <v>5805</v>
      </c>
      <c r="E1445">
        <v>12</v>
      </c>
      <c r="F1445" s="6">
        <v>750</v>
      </c>
      <c r="G1445" t="s">
        <v>3730</v>
      </c>
    </row>
    <row r="1446" spans="1:7">
      <c r="A1446" t="s">
        <v>301</v>
      </c>
      <c r="B1446" t="s">
        <v>5863</v>
      </c>
      <c r="C1446" t="s">
        <v>3721</v>
      </c>
      <c r="D1446" t="s">
        <v>3722</v>
      </c>
      <c r="E1446">
        <v>12</v>
      </c>
      <c r="F1446" s="6">
        <v>375</v>
      </c>
      <c r="G1446" t="s">
        <v>3730</v>
      </c>
    </row>
    <row r="1447" spans="1:7">
      <c r="A1447" t="s">
        <v>1342</v>
      </c>
      <c r="B1447" t="s">
        <v>5863</v>
      </c>
      <c r="C1447" t="s">
        <v>3721</v>
      </c>
      <c r="D1447" t="s">
        <v>3722</v>
      </c>
      <c r="E1447">
        <v>12</v>
      </c>
      <c r="F1447" s="6">
        <v>750</v>
      </c>
      <c r="G1447" t="s">
        <v>3730</v>
      </c>
    </row>
    <row r="1448" spans="1:7">
      <c r="A1448" t="s">
        <v>2276</v>
      </c>
      <c r="B1448" t="s">
        <v>5863</v>
      </c>
      <c r="C1448" t="s">
        <v>3721</v>
      </c>
      <c r="D1448" t="s">
        <v>3722</v>
      </c>
      <c r="E1448">
        <v>12</v>
      </c>
      <c r="F1448" s="6">
        <v>1000</v>
      </c>
      <c r="G1448" t="s">
        <v>3730</v>
      </c>
    </row>
    <row r="1449" spans="1:7">
      <c r="A1449" t="s">
        <v>340</v>
      </c>
      <c r="B1449" t="s">
        <v>5863</v>
      </c>
      <c r="C1449" t="s">
        <v>3721</v>
      </c>
      <c r="D1449" t="s">
        <v>3722</v>
      </c>
      <c r="E1449">
        <v>6</v>
      </c>
      <c r="F1449" s="6">
        <v>1750</v>
      </c>
      <c r="G1449" t="s">
        <v>3730</v>
      </c>
    </row>
    <row r="1450" spans="1:7">
      <c r="A1450" t="s">
        <v>1389</v>
      </c>
      <c r="B1450" t="s">
        <v>5864</v>
      </c>
      <c r="C1450" t="s">
        <v>3721</v>
      </c>
      <c r="D1450" t="s">
        <v>3722</v>
      </c>
      <c r="E1450">
        <v>6</v>
      </c>
      <c r="F1450" s="6">
        <v>1750</v>
      </c>
      <c r="G1450" t="s">
        <v>3686</v>
      </c>
    </row>
    <row r="1451" spans="1:7">
      <c r="A1451" t="s">
        <v>1651</v>
      </c>
      <c r="B1451" t="s">
        <v>5865</v>
      </c>
      <c r="C1451" t="s">
        <v>3721</v>
      </c>
      <c r="D1451" t="s">
        <v>3722</v>
      </c>
      <c r="E1451">
        <v>6</v>
      </c>
      <c r="F1451" s="6">
        <v>1750</v>
      </c>
      <c r="G1451" t="s">
        <v>4163</v>
      </c>
    </row>
    <row r="1452" spans="1:7">
      <c r="A1452" t="s">
        <v>2320</v>
      </c>
      <c r="B1452" t="s">
        <v>5866</v>
      </c>
      <c r="C1452" t="s">
        <v>3947</v>
      </c>
      <c r="D1452" t="s">
        <v>3948</v>
      </c>
      <c r="E1452">
        <v>6</v>
      </c>
      <c r="F1452" s="6">
        <v>1750</v>
      </c>
      <c r="G1452" t="s">
        <v>3716</v>
      </c>
    </row>
    <row r="1453" spans="1:7">
      <c r="A1453" t="s">
        <v>383</v>
      </c>
      <c r="B1453" t="s">
        <v>5866</v>
      </c>
      <c r="C1453" t="s">
        <v>3947</v>
      </c>
      <c r="D1453" t="s">
        <v>3948</v>
      </c>
      <c r="E1453">
        <v>12</v>
      </c>
      <c r="F1453" s="6">
        <v>750</v>
      </c>
      <c r="G1453" t="s">
        <v>3716</v>
      </c>
    </row>
    <row r="1454" spans="1:7">
      <c r="A1454" t="s">
        <v>2650</v>
      </c>
      <c r="B1454" t="s">
        <v>5867</v>
      </c>
      <c r="C1454" t="s">
        <v>3721</v>
      </c>
      <c r="D1454" t="s">
        <v>3722</v>
      </c>
      <c r="E1454">
        <v>12</v>
      </c>
      <c r="F1454" s="6">
        <v>750</v>
      </c>
      <c r="G1454" t="s">
        <v>4285</v>
      </c>
    </row>
    <row r="1455" spans="1:7">
      <c r="A1455" t="s">
        <v>1020</v>
      </c>
      <c r="B1455" t="s">
        <v>5867</v>
      </c>
      <c r="C1455" t="s">
        <v>3721</v>
      </c>
      <c r="D1455" t="s">
        <v>3722</v>
      </c>
      <c r="E1455">
        <v>6</v>
      </c>
      <c r="F1455" s="6">
        <v>1750</v>
      </c>
      <c r="G1455" t="s">
        <v>4285</v>
      </c>
    </row>
    <row r="1456" spans="1:7">
      <c r="A1456" t="s">
        <v>5868</v>
      </c>
      <c r="B1456" t="s">
        <v>5869</v>
      </c>
      <c r="C1456" t="s">
        <v>5804</v>
      </c>
      <c r="D1456" t="s">
        <v>5805</v>
      </c>
      <c r="E1456">
        <v>6</v>
      </c>
      <c r="F1456" s="6">
        <v>750</v>
      </c>
      <c r="G1456" t="s">
        <v>3705</v>
      </c>
    </row>
    <row r="1457" spans="1:7">
      <c r="A1457" t="s">
        <v>1659</v>
      </c>
      <c r="B1457" t="s">
        <v>5870</v>
      </c>
      <c r="C1457" t="s">
        <v>3721</v>
      </c>
      <c r="D1457" t="s">
        <v>3722</v>
      </c>
      <c r="E1457">
        <v>12</v>
      </c>
      <c r="F1457" s="6">
        <v>750</v>
      </c>
      <c r="G1457" t="s">
        <v>3686</v>
      </c>
    </row>
    <row r="1458" spans="1:7">
      <c r="A1458" t="s">
        <v>58</v>
      </c>
      <c r="B1458" t="s">
        <v>5871</v>
      </c>
      <c r="C1458" t="s">
        <v>4093</v>
      </c>
      <c r="D1458" t="s">
        <v>4094</v>
      </c>
      <c r="E1458">
        <v>12</v>
      </c>
      <c r="F1458" s="6">
        <v>750</v>
      </c>
      <c r="G1458" t="s">
        <v>4163</v>
      </c>
    </row>
    <row r="1459" spans="1:7">
      <c r="A1459" t="s">
        <v>5872</v>
      </c>
      <c r="B1459" t="s">
        <v>5873</v>
      </c>
      <c r="C1459" t="s">
        <v>3721</v>
      </c>
      <c r="D1459" t="s">
        <v>3722</v>
      </c>
      <c r="E1459">
        <v>6</v>
      </c>
      <c r="F1459" s="6">
        <v>750</v>
      </c>
      <c r="G1459" t="s">
        <v>4744</v>
      </c>
    </row>
    <row r="1460" spans="1:7">
      <c r="A1460" t="s">
        <v>2131</v>
      </c>
      <c r="B1460" t="s">
        <v>5874</v>
      </c>
      <c r="C1460" t="s">
        <v>5804</v>
      </c>
      <c r="D1460" t="s">
        <v>5805</v>
      </c>
      <c r="E1460">
        <v>12</v>
      </c>
      <c r="F1460" s="6">
        <v>1000</v>
      </c>
      <c r="G1460" t="s">
        <v>4744</v>
      </c>
    </row>
    <row r="1461" spans="1:7">
      <c r="A1461" t="s">
        <v>504</v>
      </c>
      <c r="B1461" t="s">
        <v>5875</v>
      </c>
      <c r="C1461" t="s">
        <v>3721</v>
      </c>
      <c r="D1461" t="s">
        <v>3722</v>
      </c>
      <c r="E1461">
        <v>12</v>
      </c>
      <c r="F1461" s="6">
        <v>750</v>
      </c>
      <c r="G1461" t="s">
        <v>4744</v>
      </c>
    </row>
    <row r="1462" spans="1:7">
      <c r="A1462" t="s">
        <v>2463</v>
      </c>
      <c r="B1462" t="s">
        <v>5875</v>
      </c>
      <c r="C1462" t="s">
        <v>3721</v>
      </c>
      <c r="D1462" t="s">
        <v>3722</v>
      </c>
      <c r="E1462">
        <v>12</v>
      </c>
      <c r="F1462" s="6">
        <v>1000</v>
      </c>
      <c r="G1462" t="s">
        <v>4744</v>
      </c>
    </row>
    <row r="1463" spans="1:7">
      <c r="A1463" t="s">
        <v>1891</v>
      </c>
      <c r="B1463" t="s">
        <v>5875</v>
      </c>
      <c r="C1463" t="s">
        <v>3721</v>
      </c>
      <c r="D1463" t="s">
        <v>3722</v>
      </c>
      <c r="E1463">
        <v>6</v>
      </c>
      <c r="F1463" s="6">
        <v>1750</v>
      </c>
      <c r="G1463" t="s">
        <v>4744</v>
      </c>
    </row>
    <row r="1464" spans="1:7">
      <c r="A1464" t="s">
        <v>918</v>
      </c>
      <c r="B1464" t="s">
        <v>5876</v>
      </c>
      <c r="C1464" t="s">
        <v>3721</v>
      </c>
      <c r="D1464" t="s">
        <v>3722</v>
      </c>
      <c r="E1464">
        <v>6</v>
      </c>
      <c r="F1464" s="6">
        <v>750</v>
      </c>
      <c r="G1464" t="s">
        <v>4419</v>
      </c>
    </row>
    <row r="1465" spans="1:7">
      <c r="A1465" t="s">
        <v>1407</v>
      </c>
      <c r="B1465" t="s">
        <v>5876</v>
      </c>
      <c r="C1465" t="s">
        <v>3721</v>
      </c>
      <c r="D1465" t="s">
        <v>3722</v>
      </c>
      <c r="E1465">
        <v>6</v>
      </c>
      <c r="F1465" s="6">
        <v>1750</v>
      </c>
      <c r="G1465" t="s">
        <v>4419</v>
      </c>
    </row>
    <row r="1466" spans="1:7">
      <c r="A1466" t="s">
        <v>2629</v>
      </c>
      <c r="B1466" t="s">
        <v>5877</v>
      </c>
      <c r="C1466" t="s">
        <v>5804</v>
      </c>
      <c r="D1466" t="s">
        <v>5805</v>
      </c>
      <c r="E1466">
        <v>12</v>
      </c>
      <c r="F1466" s="6">
        <v>750</v>
      </c>
      <c r="G1466" t="s">
        <v>4744</v>
      </c>
    </row>
    <row r="1467" spans="1:7">
      <c r="A1467" t="s">
        <v>1968</v>
      </c>
      <c r="B1467" t="s">
        <v>5877</v>
      </c>
      <c r="C1467" t="s">
        <v>5804</v>
      </c>
      <c r="D1467" t="s">
        <v>5805</v>
      </c>
      <c r="E1467">
        <v>12</v>
      </c>
      <c r="F1467" s="6">
        <v>1000</v>
      </c>
      <c r="G1467" t="s">
        <v>4744</v>
      </c>
    </row>
    <row r="1468" spans="1:7">
      <c r="A1468" t="s">
        <v>232</v>
      </c>
      <c r="B1468" t="s">
        <v>5878</v>
      </c>
      <c r="C1468" t="s">
        <v>3947</v>
      </c>
      <c r="D1468" t="s">
        <v>3948</v>
      </c>
      <c r="E1468">
        <v>12</v>
      </c>
      <c r="F1468" s="6">
        <v>1000</v>
      </c>
      <c r="G1468" t="s">
        <v>3951</v>
      </c>
    </row>
    <row r="1469" spans="1:7">
      <c r="A1469" t="s">
        <v>1358</v>
      </c>
      <c r="B1469" t="s">
        <v>5878</v>
      </c>
      <c r="C1469" t="s">
        <v>3947</v>
      </c>
      <c r="D1469" t="s">
        <v>3948</v>
      </c>
      <c r="E1469">
        <v>12</v>
      </c>
      <c r="F1469" s="6">
        <v>750</v>
      </c>
      <c r="G1469" t="s">
        <v>3951</v>
      </c>
    </row>
    <row r="1470" spans="1:7">
      <c r="A1470" t="s">
        <v>927</v>
      </c>
      <c r="B1470" t="s">
        <v>5878</v>
      </c>
      <c r="C1470" t="s">
        <v>3947</v>
      </c>
      <c r="D1470" t="s">
        <v>3948</v>
      </c>
      <c r="E1470">
        <v>6</v>
      </c>
      <c r="F1470" s="6">
        <v>1750</v>
      </c>
      <c r="G1470" t="s">
        <v>3951</v>
      </c>
    </row>
    <row r="1471" spans="1:7">
      <c r="A1471" t="s">
        <v>5879</v>
      </c>
      <c r="B1471" t="s">
        <v>5880</v>
      </c>
      <c r="C1471" t="s">
        <v>5804</v>
      </c>
      <c r="D1471" t="s">
        <v>5805</v>
      </c>
      <c r="E1471">
        <v>12</v>
      </c>
      <c r="F1471" s="6">
        <v>750</v>
      </c>
      <c r="G1471" t="s">
        <v>3951</v>
      </c>
    </row>
    <row r="1472" spans="1:7">
      <c r="A1472" t="s">
        <v>1712</v>
      </c>
      <c r="B1472" t="s">
        <v>5881</v>
      </c>
      <c r="C1472" t="s">
        <v>3721</v>
      </c>
      <c r="D1472" t="s">
        <v>3722</v>
      </c>
      <c r="E1472">
        <v>12</v>
      </c>
      <c r="F1472" s="6">
        <v>750</v>
      </c>
      <c r="G1472" t="s">
        <v>3730</v>
      </c>
    </row>
    <row r="1473" spans="1:7">
      <c r="A1473" t="s">
        <v>5882</v>
      </c>
      <c r="B1473" t="s">
        <v>5883</v>
      </c>
      <c r="C1473" t="s">
        <v>5804</v>
      </c>
      <c r="D1473" t="s">
        <v>5805</v>
      </c>
      <c r="E1473">
        <v>12</v>
      </c>
      <c r="F1473" s="6">
        <v>750</v>
      </c>
      <c r="G1473" t="s">
        <v>4744</v>
      </c>
    </row>
    <row r="1474" spans="1:7">
      <c r="A1474" t="s">
        <v>1021</v>
      </c>
      <c r="B1474" t="s">
        <v>5883</v>
      </c>
      <c r="C1474" t="s">
        <v>5804</v>
      </c>
      <c r="D1474" t="s">
        <v>5805</v>
      </c>
      <c r="E1474">
        <v>12</v>
      </c>
      <c r="F1474" s="6">
        <v>1000</v>
      </c>
      <c r="G1474" t="s">
        <v>4744</v>
      </c>
    </row>
    <row r="1475" spans="1:7">
      <c r="A1475" t="s">
        <v>722</v>
      </c>
      <c r="B1475" t="s">
        <v>5884</v>
      </c>
      <c r="C1475" t="s">
        <v>5804</v>
      </c>
      <c r="D1475" t="s">
        <v>5805</v>
      </c>
      <c r="E1475">
        <v>12</v>
      </c>
      <c r="F1475" s="6">
        <v>1000</v>
      </c>
      <c r="G1475" t="s">
        <v>4744</v>
      </c>
    </row>
    <row r="1476" spans="1:7">
      <c r="A1476" t="s">
        <v>5885</v>
      </c>
      <c r="B1476" t="s">
        <v>5886</v>
      </c>
      <c r="C1476" t="s">
        <v>5804</v>
      </c>
      <c r="D1476" t="s">
        <v>5805</v>
      </c>
      <c r="E1476">
        <v>12</v>
      </c>
      <c r="F1476" s="6">
        <v>1000</v>
      </c>
      <c r="G1476" t="s">
        <v>4744</v>
      </c>
    </row>
    <row r="1477" spans="1:7">
      <c r="A1477" t="s">
        <v>5887</v>
      </c>
      <c r="B1477" t="s">
        <v>5888</v>
      </c>
      <c r="C1477" t="s">
        <v>3721</v>
      </c>
      <c r="D1477" t="s">
        <v>3722</v>
      </c>
      <c r="E1477">
        <v>6</v>
      </c>
      <c r="F1477" s="6">
        <v>1750</v>
      </c>
      <c r="G1477" t="s">
        <v>3689</v>
      </c>
    </row>
    <row r="1478" spans="1:7">
      <c r="A1478" t="s">
        <v>5889</v>
      </c>
      <c r="B1478" t="s">
        <v>5890</v>
      </c>
      <c r="C1478" t="s">
        <v>4093</v>
      </c>
      <c r="D1478" t="s">
        <v>4094</v>
      </c>
      <c r="E1478">
        <v>12</v>
      </c>
      <c r="F1478" s="6">
        <v>750</v>
      </c>
      <c r="G1478" t="s">
        <v>3689</v>
      </c>
    </row>
    <row r="1479" spans="1:7">
      <c r="A1479" t="s">
        <v>1652</v>
      </c>
      <c r="B1479" t="s">
        <v>5891</v>
      </c>
      <c r="C1479" t="s">
        <v>5804</v>
      </c>
      <c r="D1479" t="s">
        <v>5805</v>
      </c>
      <c r="E1479">
        <v>12</v>
      </c>
      <c r="F1479" s="6">
        <v>750</v>
      </c>
      <c r="G1479" t="s">
        <v>3689</v>
      </c>
    </row>
    <row r="1480" spans="1:7">
      <c r="A1480" t="s">
        <v>404</v>
      </c>
      <c r="B1480" t="s">
        <v>5892</v>
      </c>
      <c r="C1480" t="s">
        <v>5804</v>
      </c>
      <c r="D1480" t="s">
        <v>5805</v>
      </c>
      <c r="E1480">
        <v>12</v>
      </c>
      <c r="F1480" s="6">
        <v>750</v>
      </c>
      <c r="G1480" t="s">
        <v>3689</v>
      </c>
    </row>
    <row r="1481" spans="1:7">
      <c r="A1481" t="s">
        <v>5893</v>
      </c>
      <c r="B1481" t="s">
        <v>5894</v>
      </c>
      <c r="C1481" t="s">
        <v>5804</v>
      </c>
      <c r="D1481" t="s">
        <v>5805</v>
      </c>
      <c r="E1481">
        <v>6</v>
      </c>
      <c r="F1481" s="6">
        <v>750</v>
      </c>
      <c r="G1481" t="s">
        <v>3702</v>
      </c>
    </row>
    <row r="1482" spans="1:7">
      <c r="A1482" t="s">
        <v>5895</v>
      </c>
      <c r="B1482" t="s">
        <v>5896</v>
      </c>
      <c r="C1482" t="s">
        <v>4093</v>
      </c>
      <c r="D1482" t="s">
        <v>4094</v>
      </c>
      <c r="E1482">
        <v>12</v>
      </c>
      <c r="F1482" s="6">
        <v>750</v>
      </c>
      <c r="G1482" t="s">
        <v>4163</v>
      </c>
    </row>
    <row r="1483" spans="1:7">
      <c r="A1483" t="s">
        <v>5897</v>
      </c>
      <c r="B1483" t="s">
        <v>5870</v>
      </c>
      <c r="C1483" t="s">
        <v>3721</v>
      </c>
      <c r="D1483" t="s">
        <v>3722</v>
      </c>
      <c r="E1483">
        <v>6</v>
      </c>
      <c r="F1483" s="6">
        <v>1750</v>
      </c>
      <c r="G1483" t="s">
        <v>3686</v>
      </c>
    </row>
    <row r="1484" spans="1:7">
      <c r="A1484" t="s">
        <v>5898</v>
      </c>
      <c r="B1484" t="s">
        <v>5899</v>
      </c>
      <c r="C1484" t="s">
        <v>3679</v>
      </c>
      <c r="D1484" t="s">
        <v>3680</v>
      </c>
      <c r="E1484">
        <v>6</v>
      </c>
      <c r="F1484" s="6">
        <v>1750</v>
      </c>
      <c r="G1484" t="s">
        <v>3951</v>
      </c>
    </row>
    <row r="1485" spans="1:7">
      <c r="A1485" t="s">
        <v>122</v>
      </c>
      <c r="B1485" t="s">
        <v>5900</v>
      </c>
      <c r="C1485" t="s">
        <v>3947</v>
      </c>
      <c r="D1485" t="s">
        <v>3948</v>
      </c>
      <c r="E1485">
        <v>48</v>
      </c>
      <c r="F1485" s="6">
        <v>200</v>
      </c>
      <c r="G1485" t="s">
        <v>3686</v>
      </c>
    </row>
    <row r="1486" spans="1:7">
      <c r="A1486" t="s">
        <v>1363</v>
      </c>
      <c r="B1486" t="s">
        <v>5900</v>
      </c>
      <c r="C1486" t="s">
        <v>3947</v>
      </c>
      <c r="D1486" t="s">
        <v>3948</v>
      </c>
      <c r="E1486">
        <v>24</v>
      </c>
      <c r="F1486" s="6">
        <v>375</v>
      </c>
      <c r="G1486" t="s">
        <v>3686</v>
      </c>
    </row>
    <row r="1487" spans="1:7">
      <c r="A1487" t="s">
        <v>621</v>
      </c>
      <c r="B1487" t="s">
        <v>5901</v>
      </c>
      <c r="C1487" t="s">
        <v>3947</v>
      </c>
      <c r="D1487" t="s">
        <v>3948</v>
      </c>
      <c r="E1487">
        <v>12</v>
      </c>
      <c r="F1487" s="6">
        <v>750</v>
      </c>
      <c r="G1487" t="s">
        <v>3686</v>
      </c>
    </row>
    <row r="1488" spans="1:7">
      <c r="A1488" t="s">
        <v>3017</v>
      </c>
      <c r="B1488" t="s">
        <v>5900</v>
      </c>
      <c r="C1488" t="s">
        <v>3947</v>
      </c>
      <c r="D1488" t="s">
        <v>3948</v>
      </c>
      <c r="E1488">
        <v>12</v>
      </c>
      <c r="F1488" s="6">
        <v>750</v>
      </c>
      <c r="G1488" t="s">
        <v>3686</v>
      </c>
    </row>
    <row r="1489" spans="1:7">
      <c r="A1489" t="s">
        <v>1343</v>
      </c>
      <c r="B1489" t="s">
        <v>5900</v>
      </c>
      <c r="C1489" t="s">
        <v>3947</v>
      </c>
      <c r="D1489" t="s">
        <v>3948</v>
      </c>
      <c r="E1489">
        <v>12</v>
      </c>
      <c r="F1489" s="6">
        <v>1000</v>
      </c>
      <c r="G1489" t="s">
        <v>3686</v>
      </c>
    </row>
    <row r="1490" spans="1:7">
      <c r="A1490" t="s">
        <v>156</v>
      </c>
      <c r="B1490" t="s">
        <v>5900</v>
      </c>
      <c r="C1490" t="s">
        <v>3947</v>
      </c>
      <c r="D1490" t="s">
        <v>3948</v>
      </c>
      <c r="E1490">
        <v>6</v>
      </c>
      <c r="F1490" s="6">
        <v>1750</v>
      </c>
      <c r="G1490" t="s">
        <v>3686</v>
      </c>
    </row>
    <row r="1491" spans="1:7">
      <c r="A1491" t="s">
        <v>2993</v>
      </c>
      <c r="B1491" t="s">
        <v>5902</v>
      </c>
      <c r="C1491" t="s">
        <v>5804</v>
      </c>
      <c r="D1491" t="s">
        <v>5805</v>
      </c>
      <c r="E1491">
        <v>12</v>
      </c>
      <c r="F1491" s="6">
        <v>750</v>
      </c>
      <c r="G1491" t="s">
        <v>3681</v>
      </c>
    </row>
    <row r="1492" spans="1:7">
      <c r="A1492" t="s">
        <v>905</v>
      </c>
      <c r="B1492" t="s">
        <v>5903</v>
      </c>
      <c r="C1492" t="s">
        <v>3947</v>
      </c>
      <c r="D1492" t="s">
        <v>3948</v>
      </c>
      <c r="E1492">
        <v>12</v>
      </c>
      <c r="F1492" s="6">
        <v>750</v>
      </c>
      <c r="G1492" t="s">
        <v>5904</v>
      </c>
    </row>
    <row r="1493" spans="1:7">
      <c r="A1493" t="s">
        <v>5905</v>
      </c>
      <c r="B1493" t="s">
        <v>5903</v>
      </c>
      <c r="C1493" t="s">
        <v>3947</v>
      </c>
      <c r="D1493" t="s">
        <v>3948</v>
      </c>
      <c r="E1493">
        <v>6</v>
      </c>
      <c r="F1493" s="6">
        <v>1750</v>
      </c>
      <c r="G1493" t="s">
        <v>5904</v>
      </c>
    </row>
    <row r="1494" spans="1:7">
      <c r="A1494" t="s">
        <v>5906</v>
      </c>
      <c r="B1494" t="s">
        <v>5907</v>
      </c>
      <c r="C1494" t="s">
        <v>4093</v>
      </c>
      <c r="D1494" t="s">
        <v>4094</v>
      </c>
      <c r="E1494">
        <v>12</v>
      </c>
      <c r="F1494" s="6">
        <v>750</v>
      </c>
      <c r="G1494" t="s">
        <v>3931</v>
      </c>
    </row>
    <row r="1495" spans="1:7">
      <c r="A1495" t="s">
        <v>1148</v>
      </c>
      <c r="B1495" t="s">
        <v>5908</v>
      </c>
      <c r="C1495" t="s">
        <v>3947</v>
      </c>
      <c r="D1495" t="s">
        <v>3948</v>
      </c>
      <c r="E1495">
        <v>12</v>
      </c>
      <c r="F1495" s="6">
        <v>750</v>
      </c>
      <c r="G1495" t="s">
        <v>3931</v>
      </c>
    </row>
    <row r="1496" spans="1:7">
      <c r="A1496" t="s">
        <v>5909</v>
      </c>
      <c r="B1496" t="s">
        <v>5908</v>
      </c>
      <c r="C1496" t="s">
        <v>3947</v>
      </c>
      <c r="D1496" t="s">
        <v>3948</v>
      </c>
      <c r="E1496">
        <v>6</v>
      </c>
      <c r="F1496" s="6">
        <v>1750</v>
      </c>
      <c r="G1496" t="s">
        <v>3931</v>
      </c>
    </row>
    <row r="1497" spans="1:7">
      <c r="A1497" t="s">
        <v>749</v>
      </c>
      <c r="B1497" t="s">
        <v>5910</v>
      </c>
      <c r="C1497" t="s">
        <v>3947</v>
      </c>
      <c r="D1497" t="s">
        <v>3948</v>
      </c>
      <c r="E1497">
        <v>12</v>
      </c>
      <c r="F1497" s="6">
        <v>750</v>
      </c>
      <c r="G1497" t="s">
        <v>3951</v>
      </c>
    </row>
    <row r="1498" spans="1:7">
      <c r="A1498" t="s">
        <v>5911</v>
      </c>
      <c r="B1498" t="s">
        <v>5912</v>
      </c>
      <c r="C1498" t="s">
        <v>5804</v>
      </c>
      <c r="D1498" t="s">
        <v>5805</v>
      </c>
      <c r="E1498">
        <v>12</v>
      </c>
      <c r="F1498" s="6">
        <v>750</v>
      </c>
      <c r="G1498" t="s">
        <v>3686</v>
      </c>
    </row>
    <row r="1499" spans="1:7">
      <c r="A1499" t="s">
        <v>1691</v>
      </c>
      <c r="B1499" t="s">
        <v>5913</v>
      </c>
      <c r="C1499" t="s">
        <v>4093</v>
      </c>
      <c r="D1499" t="s">
        <v>4094</v>
      </c>
      <c r="E1499">
        <v>6</v>
      </c>
      <c r="F1499" s="6">
        <v>750</v>
      </c>
      <c r="G1499" t="s">
        <v>5914</v>
      </c>
    </row>
    <row r="1500" spans="1:7">
      <c r="A1500" t="s">
        <v>1011</v>
      </c>
      <c r="B1500" t="s">
        <v>5915</v>
      </c>
      <c r="C1500" t="s">
        <v>5804</v>
      </c>
      <c r="D1500" t="s">
        <v>5805</v>
      </c>
      <c r="E1500">
        <v>12</v>
      </c>
      <c r="F1500" s="6">
        <v>750</v>
      </c>
      <c r="G1500" t="s">
        <v>3716</v>
      </c>
    </row>
    <row r="1501" spans="1:7">
      <c r="A1501" t="s">
        <v>818</v>
      </c>
      <c r="B1501" t="s">
        <v>5915</v>
      </c>
      <c r="C1501" t="s">
        <v>5804</v>
      </c>
      <c r="D1501" t="s">
        <v>5805</v>
      </c>
      <c r="E1501">
        <v>6</v>
      </c>
      <c r="F1501" s="6">
        <v>1750</v>
      </c>
      <c r="G1501" t="s">
        <v>3716</v>
      </c>
    </row>
    <row r="1502" spans="1:7">
      <c r="A1502" t="s">
        <v>5916</v>
      </c>
      <c r="B1502" t="s">
        <v>5917</v>
      </c>
      <c r="C1502" t="s">
        <v>3721</v>
      </c>
      <c r="D1502" t="s">
        <v>3722</v>
      </c>
      <c r="E1502">
        <v>12</v>
      </c>
      <c r="F1502" s="6">
        <v>750</v>
      </c>
      <c r="G1502" t="s">
        <v>3802</v>
      </c>
    </row>
    <row r="1503" spans="1:7">
      <c r="A1503" t="s">
        <v>5918</v>
      </c>
      <c r="B1503" t="s">
        <v>5919</v>
      </c>
      <c r="C1503" t="s">
        <v>5804</v>
      </c>
      <c r="D1503" t="s">
        <v>5805</v>
      </c>
      <c r="E1503">
        <v>12</v>
      </c>
      <c r="F1503" s="6">
        <v>750</v>
      </c>
      <c r="G1503" t="s">
        <v>3686</v>
      </c>
    </row>
    <row r="1504" spans="1:7">
      <c r="A1504" t="s">
        <v>1281</v>
      </c>
      <c r="B1504" t="s">
        <v>5832</v>
      </c>
      <c r="C1504" t="s">
        <v>4093</v>
      </c>
      <c r="D1504" t="s">
        <v>4094</v>
      </c>
      <c r="E1504">
        <v>12</v>
      </c>
      <c r="F1504" s="6">
        <v>750</v>
      </c>
      <c r="G1504" t="s">
        <v>4163</v>
      </c>
    </row>
    <row r="1505" spans="1:7">
      <c r="A1505" t="s">
        <v>3316</v>
      </c>
      <c r="B1505" t="s">
        <v>5920</v>
      </c>
      <c r="C1505" t="s">
        <v>3947</v>
      </c>
      <c r="D1505" t="s">
        <v>3948</v>
      </c>
      <c r="E1505">
        <v>10</v>
      </c>
      <c r="F1505" s="6">
        <v>50</v>
      </c>
      <c r="G1505" t="s">
        <v>3686</v>
      </c>
    </row>
    <row r="1506" spans="1:7">
      <c r="A1506" t="s">
        <v>497</v>
      </c>
      <c r="B1506" t="s">
        <v>5921</v>
      </c>
      <c r="C1506" t="s">
        <v>3947</v>
      </c>
      <c r="D1506" t="s">
        <v>3948</v>
      </c>
      <c r="E1506">
        <v>48</v>
      </c>
      <c r="F1506" s="6">
        <v>200</v>
      </c>
      <c r="G1506" t="s">
        <v>4344</v>
      </c>
    </row>
    <row r="1507" spans="1:7">
      <c r="A1507" t="s">
        <v>1324</v>
      </c>
      <c r="B1507" t="s">
        <v>5921</v>
      </c>
      <c r="C1507" t="s">
        <v>3947</v>
      </c>
      <c r="D1507" t="s">
        <v>3948</v>
      </c>
      <c r="E1507">
        <v>24</v>
      </c>
      <c r="F1507" s="6">
        <v>375</v>
      </c>
      <c r="G1507" t="s">
        <v>4344</v>
      </c>
    </row>
    <row r="1508" spans="1:7">
      <c r="A1508" t="s">
        <v>3261</v>
      </c>
      <c r="B1508" t="s">
        <v>5921</v>
      </c>
      <c r="C1508" t="s">
        <v>3947</v>
      </c>
      <c r="D1508" t="s">
        <v>3948</v>
      </c>
      <c r="E1508">
        <v>12</v>
      </c>
      <c r="F1508" s="6">
        <v>750</v>
      </c>
      <c r="G1508" t="s">
        <v>4344</v>
      </c>
    </row>
    <row r="1509" spans="1:7">
      <c r="A1509" t="s">
        <v>2366</v>
      </c>
      <c r="B1509" t="s">
        <v>5921</v>
      </c>
      <c r="C1509" t="s">
        <v>3947</v>
      </c>
      <c r="D1509" t="s">
        <v>3948</v>
      </c>
      <c r="E1509">
        <v>12</v>
      </c>
      <c r="F1509" s="6">
        <v>1000</v>
      </c>
      <c r="G1509" t="s">
        <v>4344</v>
      </c>
    </row>
    <row r="1510" spans="1:7">
      <c r="A1510" t="s">
        <v>240</v>
      </c>
      <c r="B1510" t="s">
        <v>5921</v>
      </c>
      <c r="C1510" t="s">
        <v>3947</v>
      </c>
      <c r="D1510" t="s">
        <v>3948</v>
      </c>
      <c r="E1510">
        <v>6</v>
      </c>
      <c r="F1510" s="6">
        <v>1750</v>
      </c>
      <c r="G1510" t="s">
        <v>4344</v>
      </c>
    </row>
    <row r="1511" spans="1:7">
      <c r="A1511" t="s">
        <v>3085</v>
      </c>
      <c r="B1511" t="s">
        <v>5922</v>
      </c>
      <c r="C1511" t="s">
        <v>3947</v>
      </c>
      <c r="D1511" t="s">
        <v>3948</v>
      </c>
      <c r="E1511">
        <v>12</v>
      </c>
      <c r="F1511" s="6">
        <v>750</v>
      </c>
      <c r="G1511" t="s">
        <v>4344</v>
      </c>
    </row>
    <row r="1512" spans="1:7">
      <c r="A1512" t="s">
        <v>1425</v>
      </c>
      <c r="B1512" t="s">
        <v>5923</v>
      </c>
      <c r="C1512" t="s">
        <v>3947</v>
      </c>
      <c r="D1512" t="s">
        <v>3948</v>
      </c>
      <c r="E1512">
        <v>24</v>
      </c>
      <c r="F1512" s="6">
        <v>375</v>
      </c>
      <c r="G1512" t="s">
        <v>3686</v>
      </c>
    </row>
    <row r="1513" spans="1:7">
      <c r="A1513" t="s">
        <v>405</v>
      </c>
      <c r="B1513" t="s">
        <v>5923</v>
      </c>
      <c r="C1513" t="s">
        <v>3947</v>
      </c>
      <c r="D1513" t="s">
        <v>3948</v>
      </c>
      <c r="E1513">
        <v>12</v>
      </c>
      <c r="F1513" s="6">
        <v>750</v>
      </c>
      <c r="G1513" t="s">
        <v>3686</v>
      </c>
    </row>
    <row r="1514" spans="1:7">
      <c r="A1514" t="s">
        <v>3219</v>
      </c>
      <c r="B1514" t="s">
        <v>5923</v>
      </c>
      <c r="C1514" t="s">
        <v>3947</v>
      </c>
      <c r="D1514" t="s">
        <v>3948</v>
      </c>
      <c r="E1514">
        <v>12</v>
      </c>
      <c r="F1514" s="6">
        <v>1000</v>
      </c>
      <c r="G1514" t="s">
        <v>3686</v>
      </c>
    </row>
    <row r="1515" spans="1:7">
      <c r="A1515" t="s">
        <v>1504</v>
      </c>
      <c r="B1515" t="s">
        <v>5923</v>
      </c>
      <c r="C1515" t="s">
        <v>3947</v>
      </c>
      <c r="D1515" t="s">
        <v>3948</v>
      </c>
      <c r="E1515">
        <v>6</v>
      </c>
      <c r="F1515" s="6">
        <v>1750</v>
      </c>
      <c r="G1515" t="s">
        <v>3686</v>
      </c>
    </row>
    <row r="1516" spans="1:7">
      <c r="A1516" t="s">
        <v>74</v>
      </c>
      <c r="B1516" t="s">
        <v>5924</v>
      </c>
      <c r="C1516" t="s">
        <v>5804</v>
      </c>
      <c r="D1516" t="s">
        <v>5805</v>
      </c>
      <c r="E1516">
        <v>12</v>
      </c>
      <c r="F1516" s="6">
        <v>750</v>
      </c>
      <c r="G1516" t="s">
        <v>3689</v>
      </c>
    </row>
    <row r="1517" spans="1:7">
      <c r="A1517" t="s">
        <v>1797</v>
      </c>
      <c r="B1517" t="s">
        <v>5925</v>
      </c>
      <c r="C1517" t="s">
        <v>4093</v>
      </c>
      <c r="D1517" t="s">
        <v>4094</v>
      </c>
      <c r="E1517">
        <v>12</v>
      </c>
      <c r="F1517" s="6">
        <v>750</v>
      </c>
      <c r="G1517" t="s">
        <v>4163</v>
      </c>
    </row>
    <row r="1518" spans="1:7">
      <c r="A1518" t="s">
        <v>2805</v>
      </c>
      <c r="B1518" t="s">
        <v>5926</v>
      </c>
      <c r="C1518" t="s">
        <v>3947</v>
      </c>
      <c r="D1518" t="s">
        <v>3948</v>
      </c>
      <c r="E1518">
        <v>12</v>
      </c>
      <c r="F1518" s="6">
        <v>750</v>
      </c>
      <c r="G1518" t="s">
        <v>3931</v>
      </c>
    </row>
    <row r="1519" spans="1:7">
      <c r="A1519" t="s">
        <v>819</v>
      </c>
      <c r="B1519" t="s">
        <v>5926</v>
      </c>
      <c r="C1519" t="s">
        <v>3947</v>
      </c>
      <c r="D1519" t="s">
        <v>3948</v>
      </c>
      <c r="E1519">
        <v>6</v>
      </c>
      <c r="F1519" s="6">
        <v>1750</v>
      </c>
      <c r="G1519" t="s">
        <v>3931</v>
      </c>
    </row>
    <row r="1520" spans="1:7">
      <c r="A1520" t="s">
        <v>5927</v>
      </c>
      <c r="B1520" t="s">
        <v>5928</v>
      </c>
      <c r="C1520" t="s">
        <v>3947</v>
      </c>
      <c r="D1520" t="s">
        <v>3948</v>
      </c>
      <c r="E1520">
        <v>12</v>
      </c>
      <c r="F1520" s="6">
        <v>750</v>
      </c>
      <c r="G1520" t="s">
        <v>3730</v>
      </c>
    </row>
    <row r="1521" spans="1:7">
      <c r="A1521" t="s">
        <v>2437</v>
      </c>
      <c r="B1521" t="s">
        <v>5929</v>
      </c>
      <c r="C1521" t="s">
        <v>3947</v>
      </c>
      <c r="D1521" t="s">
        <v>3948</v>
      </c>
      <c r="E1521">
        <v>6</v>
      </c>
      <c r="F1521" s="6">
        <v>1750</v>
      </c>
      <c r="G1521" t="s">
        <v>3730</v>
      </c>
    </row>
    <row r="1522" spans="1:7">
      <c r="A1522" t="s">
        <v>5930</v>
      </c>
      <c r="B1522" t="s">
        <v>5931</v>
      </c>
      <c r="C1522" t="s">
        <v>3947</v>
      </c>
      <c r="D1522" t="s">
        <v>3948</v>
      </c>
      <c r="E1522">
        <v>12</v>
      </c>
      <c r="F1522" s="6">
        <v>750</v>
      </c>
      <c r="G1522" t="s">
        <v>5932</v>
      </c>
    </row>
    <row r="1523" spans="1:7">
      <c r="A1523" t="s">
        <v>1953</v>
      </c>
      <c r="B1523" t="s">
        <v>5933</v>
      </c>
      <c r="C1523" t="s">
        <v>3947</v>
      </c>
      <c r="D1523" t="s">
        <v>3948</v>
      </c>
      <c r="E1523">
        <v>12</v>
      </c>
      <c r="F1523" s="6">
        <v>50</v>
      </c>
      <c r="G1523" t="s">
        <v>4163</v>
      </c>
    </row>
    <row r="1524" spans="1:7">
      <c r="A1524" t="s">
        <v>723</v>
      </c>
      <c r="B1524" t="s">
        <v>5934</v>
      </c>
      <c r="C1524" t="s">
        <v>3947</v>
      </c>
      <c r="D1524" t="s">
        <v>3948</v>
      </c>
      <c r="E1524">
        <v>48</v>
      </c>
      <c r="F1524" s="6">
        <v>200</v>
      </c>
      <c r="G1524" t="s">
        <v>4163</v>
      </c>
    </row>
    <row r="1525" spans="1:7">
      <c r="A1525" t="s">
        <v>2427</v>
      </c>
      <c r="B1525" t="s">
        <v>5934</v>
      </c>
      <c r="C1525" t="s">
        <v>3947</v>
      </c>
      <c r="D1525" t="s">
        <v>3948</v>
      </c>
      <c r="E1525">
        <v>24</v>
      </c>
      <c r="F1525" s="6">
        <v>375</v>
      </c>
      <c r="G1525" t="s">
        <v>4163</v>
      </c>
    </row>
    <row r="1526" spans="1:7">
      <c r="A1526" t="s">
        <v>1329</v>
      </c>
      <c r="B1526" t="s">
        <v>5935</v>
      </c>
      <c r="C1526" t="s">
        <v>3947</v>
      </c>
      <c r="D1526" t="s">
        <v>3948</v>
      </c>
      <c r="E1526">
        <v>12</v>
      </c>
      <c r="F1526" s="6">
        <v>750</v>
      </c>
      <c r="G1526" t="s">
        <v>4163</v>
      </c>
    </row>
    <row r="1527" spans="1:7">
      <c r="A1527" t="s">
        <v>278</v>
      </c>
      <c r="B1527" t="s">
        <v>5934</v>
      </c>
      <c r="C1527" t="s">
        <v>3947</v>
      </c>
      <c r="D1527" t="s">
        <v>3948</v>
      </c>
      <c r="E1527">
        <v>12</v>
      </c>
      <c r="F1527" s="6">
        <v>750</v>
      </c>
      <c r="G1527" t="s">
        <v>4163</v>
      </c>
    </row>
    <row r="1528" spans="1:7">
      <c r="A1528" t="s">
        <v>3547</v>
      </c>
      <c r="B1528" t="s">
        <v>5934</v>
      </c>
      <c r="C1528" t="s">
        <v>3947</v>
      </c>
      <c r="D1528" t="s">
        <v>3948</v>
      </c>
      <c r="E1528">
        <v>12</v>
      </c>
      <c r="F1528" s="6">
        <v>1000</v>
      </c>
      <c r="G1528" t="s">
        <v>4163</v>
      </c>
    </row>
    <row r="1529" spans="1:7">
      <c r="A1529" t="s">
        <v>737</v>
      </c>
      <c r="B1529" t="s">
        <v>5934</v>
      </c>
      <c r="C1529" t="s">
        <v>3947</v>
      </c>
      <c r="D1529" t="s">
        <v>3948</v>
      </c>
      <c r="E1529">
        <v>6</v>
      </c>
      <c r="F1529" s="6">
        <v>1750</v>
      </c>
      <c r="G1529" t="s">
        <v>4163</v>
      </c>
    </row>
    <row r="1530" spans="1:7">
      <c r="A1530" t="s">
        <v>2733</v>
      </c>
      <c r="B1530" t="s">
        <v>5936</v>
      </c>
      <c r="C1530" t="s">
        <v>4093</v>
      </c>
      <c r="D1530" t="s">
        <v>4094</v>
      </c>
      <c r="E1530">
        <v>12</v>
      </c>
      <c r="F1530" s="6">
        <v>750</v>
      </c>
      <c r="G1530" t="s">
        <v>3689</v>
      </c>
    </row>
    <row r="1531" spans="1:7">
      <c r="A1531" t="s">
        <v>5937</v>
      </c>
      <c r="B1531" t="s">
        <v>5938</v>
      </c>
      <c r="C1531" t="s">
        <v>3721</v>
      </c>
      <c r="D1531" t="s">
        <v>3722</v>
      </c>
      <c r="E1531">
        <v>6</v>
      </c>
      <c r="F1531" s="6">
        <v>750</v>
      </c>
      <c r="G1531" t="s">
        <v>3735</v>
      </c>
    </row>
    <row r="1532" spans="1:7">
      <c r="A1532" t="s">
        <v>5939</v>
      </c>
      <c r="B1532" t="s">
        <v>5940</v>
      </c>
      <c r="C1532" t="s">
        <v>4093</v>
      </c>
      <c r="D1532" t="s">
        <v>4094</v>
      </c>
      <c r="E1532">
        <v>12</v>
      </c>
      <c r="F1532" s="6">
        <v>750</v>
      </c>
      <c r="G1532" t="s">
        <v>3951</v>
      </c>
    </row>
    <row r="1533" spans="1:7">
      <c r="A1533" t="s">
        <v>5941</v>
      </c>
      <c r="B1533" t="s">
        <v>5942</v>
      </c>
      <c r="C1533" t="s">
        <v>3947</v>
      </c>
      <c r="D1533" t="s">
        <v>3948</v>
      </c>
      <c r="E1533">
        <v>12</v>
      </c>
      <c r="F1533" s="6">
        <v>750</v>
      </c>
      <c r="G1533" t="s">
        <v>5943</v>
      </c>
    </row>
    <row r="1534" spans="1:7">
      <c r="A1534" t="s">
        <v>5944</v>
      </c>
      <c r="B1534" t="s">
        <v>5945</v>
      </c>
      <c r="C1534" t="s">
        <v>5804</v>
      </c>
      <c r="D1534" t="s">
        <v>5805</v>
      </c>
      <c r="E1534">
        <v>6</v>
      </c>
      <c r="F1534" s="6">
        <v>750</v>
      </c>
      <c r="G1534" t="s">
        <v>3716</v>
      </c>
    </row>
    <row r="1535" spans="1:7">
      <c r="A1535" t="s">
        <v>543</v>
      </c>
      <c r="B1535" t="s">
        <v>5878</v>
      </c>
      <c r="C1535" t="s">
        <v>3947</v>
      </c>
      <c r="D1535" t="s">
        <v>3948</v>
      </c>
      <c r="E1535">
        <v>24</v>
      </c>
      <c r="F1535" s="6">
        <v>375</v>
      </c>
      <c r="G1535" t="s">
        <v>3951</v>
      </c>
    </row>
    <row r="1536" spans="1:7">
      <c r="A1536" t="s">
        <v>2032</v>
      </c>
      <c r="B1536" t="s">
        <v>5946</v>
      </c>
      <c r="C1536" t="s">
        <v>5804</v>
      </c>
      <c r="D1536" t="s">
        <v>5805</v>
      </c>
      <c r="E1536">
        <v>6</v>
      </c>
      <c r="F1536" s="6">
        <v>750</v>
      </c>
      <c r="G1536" t="s">
        <v>5947</v>
      </c>
    </row>
    <row r="1537" spans="1:7">
      <c r="A1537" t="s">
        <v>5948</v>
      </c>
      <c r="B1537" t="s">
        <v>5949</v>
      </c>
      <c r="C1537" t="s">
        <v>3947</v>
      </c>
      <c r="D1537" t="s">
        <v>3948</v>
      </c>
      <c r="E1537">
        <v>6</v>
      </c>
      <c r="F1537" s="6">
        <v>1750</v>
      </c>
      <c r="G1537" t="s">
        <v>4331</v>
      </c>
    </row>
    <row r="1538" spans="1:7">
      <c r="A1538" t="s">
        <v>5950</v>
      </c>
      <c r="B1538" t="s">
        <v>5951</v>
      </c>
      <c r="C1538" t="s">
        <v>4093</v>
      </c>
      <c r="D1538" t="s">
        <v>4094</v>
      </c>
      <c r="E1538">
        <v>10</v>
      </c>
      <c r="F1538" s="6">
        <v>50</v>
      </c>
      <c r="G1538" t="s">
        <v>3951</v>
      </c>
    </row>
    <row r="1539" spans="1:7">
      <c r="A1539" t="s">
        <v>2662</v>
      </c>
      <c r="B1539" t="s">
        <v>5952</v>
      </c>
      <c r="C1539" t="s">
        <v>4093</v>
      </c>
      <c r="D1539" t="s">
        <v>4094</v>
      </c>
      <c r="E1539">
        <v>12</v>
      </c>
      <c r="F1539" s="6">
        <v>750</v>
      </c>
      <c r="G1539" t="s">
        <v>3951</v>
      </c>
    </row>
    <row r="1540" spans="1:7">
      <c r="A1540" t="s">
        <v>971</v>
      </c>
      <c r="B1540" t="s">
        <v>5952</v>
      </c>
      <c r="C1540" t="s">
        <v>4093</v>
      </c>
      <c r="D1540" t="s">
        <v>4094</v>
      </c>
      <c r="E1540">
        <v>6</v>
      </c>
      <c r="F1540" s="6">
        <v>1750</v>
      </c>
      <c r="G1540" t="s">
        <v>3951</v>
      </c>
    </row>
    <row r="1541" spans="1:7">
      <c r="A1541" t="s">
        <v>1409</v>
      </c>
      <c r="B1541" t="s">
        <v>5953</v>
      </c>
      <c r="C1541" t="s">
        <v>4093</v>
      </c>
      <c r="D1541" t="s">
        <v>4094</v>
      </c>
      <c r="E1541">
        <v>12</v>
      </c>
      <c r="F1541" s="6">
        <v>750</v>
      </c>
      <c r="G1541" t="s">
        <v>3931</v>
      </c>
    </row>
    <row r="1542" spans="1:7">
      <c r="A1542" t="s">
        <v>2008</v>
      </c>
      <c r="B1542" t="s">
        <v>5954</v>
      </c>
      <c r="C1542" t="s">
        <v>4093</v>
      </c>
      <c r="D1542" t="s">
        <v>4094</v>
      </c>
      <c r="E1542">
        <v>24</v>
      </c>
      <c r="F1542" s="6">
        <v>375</v>
      </c>
      <c r="G1542" t="s">
        <v>3763</v>
      </c>
    </row>
    <row r="1543" spans="1:7">
      <c r="A1543" t="s">
        <v>738</v>
      </c>
      <c r="B1543" t="s">
        <v>5954</v>
      </c>
      <c r="C1543" t="s">
        <v>4093</v>
      </c>
      <c r="D1543" t="s">
        <v>4094</v>
      </c>
      <c r="E1543">
        <v>12</v>
      </c>
      <c r="F1543" s="6">
        <v>750</v>
      </c>
      <c r="G1543" t="s">
        <v>3763</v>
      </c>
    </row>
    <row r="1544" spans="1:7">
      <c r="A1544" t="s">
        <v>1564</v>
      </c>
      <c r="B1544" t="s">
        <v>5955</v>
      </c>
      <c r="C1544" t="s">
        <v>3947</v>
      </c>
      <c r="D1544" t="s">
        <v>3948</v>
      </c>
      <c r="E1544">
        <v>12</v>
      </c>
      <c r="F1544" s="6">
        <v>750</v>
      </c>
      <c r="G1544" t="s">
        <v>3686</v>
      </c>
    </row>
    <row r="1545" spans="1:7">
      <c r="A1545" t="s">
        <v>1880</v>
      </c>
      <c r="B1545" t="s">
        <v>5955</v>
      </c>
      <c r="C1545" t="s">
        <v>3947</v>
      </c>
      <c r="D1545" t="s">
        <v>3948</v>
      </c>
      <c r="E1545">
        <v>6</v>
      </c>
      <c r="F1545" s="6">
        <v>1750</v>
      </c>
      <c r="G1545" t="s">
        <v>3686</v>
      </c>
    </row>
    <row r="1546" spans="1:7">
      <c r="A1546" t="s">
        <v>2528</v>
      </c>
      <c r="B1546" t="s">
        <v>5956</v>
      </c>
      <c r="C1546" t="s">
        <v>3947</v>
      </c>
      <c r="D1546" t="s">
        <v>3948</v>
      </c>
      <c r="E1546">
        <v>12</v>
      </c>
      <c r="F1546" s="6">
        <v>1000</v>
      </c>
      <c r="G1546" t="s">
        <v>4163</v>
      </c>
    </row>
    <row r="1547" spans="1:7">
      <c r="A1547" t="s">
        <v>3278</v>
      </c>
      <c r="B1547" t="s">
        <v>5956</v>
      </c>
      <c r="C1547" t="s">
        <v>3947</v>
      </c>
      <c r="D1547" t="s">
        <v>3948</v>
      </c>
      <c r="E1547">
        <v>6</v>
      </c>
      <c r="F1547" s="6">
        <v>1750</v>
      </c>
      <c r="G1547" t="s">
        <v>4163</v>
      </c>
    </row>
    <row r="1548" spans="1:7">
      <c r="A1548" t="s">
        <v>5957</v>
      </c>
      <c r="B1548" t="s">
        <v>5958</v>
      </c>
      <c r="C1548" t="s">
        <v>3721</v>
      </c>
      <c r="D1548" t="s">
        <v>3722</v>
      </c>
      <c r="E1548">
        <v>6</v>
      </c>
      <c r="F1548" s="6">
        <v>750</v>
      </c>
      <c r="G1548" t="s">
        <v>3754</v>
      </c>
    </row>
    <row r="1549" spans="1:7">
      <c r="A1549" t="s">
        <v>5959</v>
      </c>
      <c r="B1549" t="s">
        <v>5960</v>
      </c>
      <c r="C1549" t="s">
        <v>3721</v>
      </c>
      <c r="D1549" t="s">
        <v>3722</v>
      </c>
      <c r="E1549">
        <v>6</v>
      </c>
      <c r="F1549" s="6">
        <v>750</v>
      </c>
      <c r="G1549" t="s">
        <v>3754</v>
      </c>
    </row>
    <row r="1550" spans="1:7">
      <c r="A1550" t="s">
        <v>157</v>
      </c>
      <c r="B1550" t="s">
        <v>5961</v>
      </c>
      <c r="C1550" t="s">
        <v>3721</v>
      </c>
      <c r="D1550" t="s">
        <v>3722</v>
      </c>
      <c r="E1550">
        <v>6</v>
      </c>
      <c r="F1550" s="6">
        <v>750</v>
      </c>
      <c r="G1550" t="s">
        <v>4032</v>
      </c>
    </row>
    <row r="1551" spans="1:7">
      <c r="A1551" t="s">
        <v>5962</v>
      </c>
      <c r="B1551" t="s">
        <v>5963</v>
      </c>
      <c r="C1551" t="s">
        <v>5804</v>
      </c>
      <c r="D1551" t="s">
        <v>5805</v>
      </c>
      <c r="E1551">
        <v>12</v>
      </c>
      <c r="F1551" s="6">
        <v>750</v>
      </c>
      <c r="G1551" t="s">
        <v>3681</v>
      </c>
    </row>
    <row r="1552" spans="1:7">
      <c r="A1552" t="s">
        <v>2728</v>
      </c>
      <c r="B1552" t="s">
        <v>5964</v>
      </c>
      <c r="C1552" t="s">
        <v>5804</v>
      </c>
      <c r="D1552" t="s">
        <v>5805</v>
      </c>
      <c r="E1552">
        <v>12</v>
      </c>
      <c r="F1552" s="6">
        <v>750</v>
      </c>
      <c r="G1552" t="s">
        <v>4744</v>
      </c>
    </row>
    <row r="1553" spans="1:7">
      <c r="A1553" t="s">
        <v>2342</v>
      </c>
      <c r="B1553" t="s">
        <v>5847</v>
      </c>
      <c r="C1553" t="s">
        <v>3721</v>
      </c>
      <c r="D1553" t="s">
        <v>3722</v>
      </c>
      <c r="E1553">
        <v>12</v>
      </c>
      <c r="F1553" s="6">
        <v>1000</v>
      </c>
      <c r="G1553" t="s">
        <v>3730</v>
      </c>
    </row>
    <row r="1554" spans="1:7">
      <c r="A1554" t="s">
        <v>820</v>
      </c>
      <c r="B1554" t="s">
        <v>5847</v>
      </c>
      <c r="C1554" t="s">
        <v>3721</v>
      </c>
      <c r="D1554" t="s">
        <v>3722</v>
      </c>
      <c r="E1554">
        <v>12</v>
      </c>
      <c r="F1554" s="6">
        <v>750</v>
      </c>
      <c r="G1554" t="s">
        <v>3730</v>
      </c>
    </row>
    <row r="1555" spans="1:7">
      <c r="A1555" t="s">
        <v>2979</v>
      </c>
      <c r="B1555" t="s">
        <v>5965</v>
      </c>
      <c r="C1555" t="s">
        <v>3947</v>
      </c>
      <c r="D1555" t="s">
        <v>3948</v>
      </c>
      <c r="E1555">
        <v>1</v>
      </c>
      <c r="F1555" s="6">
        <v>50</v>
      </c>
      <c r="G1555" t="s">
        <v>4784</v>
      </c>
    </row>
    <row r="1556" spans="1:7">
      <c r="A1556" t="s">
        <v>3202</v>
      </c>
      <c r="B1556" t="s">
        <v>5966</v>
      </c>
      <c r="C1556" t="s">
        <v>3947</v>
      </c>
      <c r="D1556" t="s">
        <v>3948</v>
      </c>
      <c r="E1556">
        <v>12</v>
      </c>
      <c r="F1556" s="6">
        <v>750</v>
      </c>
      <c r="G1556" t="s">
        <v>4784</v>
      </c>
    </row>
    <row r="1557" spans="1:7">
      <c r="A1557" t="s">
        <v>572</v>
      </c>
      <c r="B1557" t="s">
        <v>5966</v>
      </c>
      <c r="C1557" t="s">
        <v>3947</v>
      </c>
      <c r="D1557" t="s">
        <v>3948</v>
      </c>
      <c r="E1557">
        <v>12</v>
      </c>
      <c r="F1557" s="6">
        <v>1000</v>
      </c>
      <c r="G1557" t="s">
        <v>4784</v>
      </c>
    </row>
    <row r="1558" spans="1:7">
      <c r="A1558" t="s">
        <v>1653</v>
      </c>
      <c r="B1558" t="s">
        <v>5966</v>
      </c>
      <c r="C1558" t="s">
        <v>3947</v>
      </c>
      <c r="D1558" t="s">
        <v>3948</v>
      </c>
      <c r="E1558">
        <v>6</v>
      </c>
      <c r="F1558" s="6">
        <v>1750</v>
      </c>
      <c r="G1558" t="s">
        <v>4784</v>
      </c>
    </row>
    <row r="1559" spans="1:7">
      <c r="A1559" t="s">
        <v>5967</v>
      </c>
      <c r="B1559" t="s">
        <v>5968</v>
      </c>
      <c r="C1559" t="s">
        <v>3947</v>
      </c>
      <c r="D1559" t="s">
        <v>3948</v>
      </c>
      <c r="E1559">
        <v>12</v>
      </c>
      <c r="F1559" s="6">
        <v>750</v>
      </c>
      <c r="G1559" t="s">
        <v>5134</v>
      </c>
    </row>
    <row r="1560" spans="1:7">
      <c r="A1560" t="s">
        <v>293</v>
      </c>
      <c r="B1560" t="s">
        <v>5969</v>
      </c>
      <c r="C1560" t="s">
        <v>3947</v>
      </c>
      <c r="D1560" t="s">
        <v>3948</v>
      </c>
      <c r="E1560">
        <v>6</v>
      </c>
      <c r="F1560" s="6">
        <v>750</v>
      </c>
      <c r="G1560" t="s">
        <v>5475</v>
      </c>
    </row>
    <row r="1561" spans="1:7">
      <c r="A1561" t="s">
        <v>2336</v>
      </c>
      <c r="B1561" t="s">
        <v>5970</v>
      </c>
      <c r="C1561" t="s">
        <v>3947</v>
      </c>
      <c r="D1561" t="s">
        <v>3948</v>
      </c>
      <c r="E1561">
        <v>12</v>
      </c>
      <c r="F1561" s="6">
        <v>750</v>
      </c>
      <c r="G1561" t="s">
        <v>3698</v>
      </c>
    </row>
    <row r="1562" spans="1:7">
      <c r="A1562" t="s">
        <v>1074</v>
      </c>
      <c r="B1562" t="s">
        <v>5970</v>
      </c>
      <c r="C1562" t="s">
        <v>3947</v>
      </c>
      <c r="D1562" t="s">
        <v>3948</v>
      </c>
      <c r="E1562">
        <v>12</v>
      </c>
      <c r="F1562" s="6">
        <v>1000</v>
      </c>
      <c r="G1562" t="s">
        <v>3698</v>
      </c>
    </row>
    <row r="1563" spans="1:7">
      <c r="A1563" t="s">
        <v>611</v>
      </c>
      <c r="B1563" t="s">
        <v>5971</v>
      </c>
      <c r="C1563" t="s">
        <v>3947</v>
      </c>
      <c r="D1563" t="s">
        <v>3948</v>
      </c>
      <c r="E1563">
        <v>12</v>
      </c>
      <c r="F1563" s="6">
        <v>1000</v>
      </c>
      <c r="G1563" t="s">
        <v>3686</v>
      </c>
    </row>
    <row r="1564" spans="1:7">
      <c r="A1564" t="s">
        <v>2297</v>
      </c>
      <c r="B1564" t="s">
        <v>5971</v>
      </c>
      <c r="C1564" t="s">
        <v>3947</v>
      </c>
      <c r="D1564" t="s">
        <v>3948</v>
      </c>
      <c r="E1564">
        <v>6</v>
      </c>
      <c r="F1564" s="6">
        <v>1750</v>
      </c>
      <c r="G1564" t="s">
        <v>3686</v>
      </c>
    </row>
    <row r="1565" spans="1:7">
      <c r="A1565" t="s">
        <v>1229</v>
      </c>
      <c r="B1565" t="s">
        <v>5972</v>
      </c>
      <c r="C1565" t="s">
        <v>3947</v>
      </c>
      <c r="D1565" t="s">
        <v>3948</v>
      </c>
      <c r="E1565">
        <v>6</v>
      </c>
      <c r="F1565" s="6">
        <v>50</v>
      </c>
      <c r="G1565" t="s">
        <v>3698</v>
      </c>
    </row>
    <row r="1566" spans="1:7">
      <c r="A1566" t="s">
        <v>242</v>
      </c>
      <c r="B1566" t="s">
        <v>5970</v>
      </c>
      <c r="C1566" t="s">
        <v>3947</v>
      </c>
      <c r="D1566" t="s">
        <v>3948</v>
      </c>
      <c r="E1566">
        <v>48</v>
      </c>
      <c r="F1566" s="6">
        <v>200</v>
      </c>
      <c r="G1566" t="s">
        <v>3698</v>
      </c>
    </row>
    <row r="1567" spans="1:7">
      <c r="A1567" t="s">
        <v>1470</v>
      </c>
      <c r="B1567" t="s">
        <v>5973</v>
      </c>
      <c r="C1567" t="s">
        <v>3947</v>
      </c>
      <c r="D1567" t="s">
        <v>3948</v>
      </c>
      <c r="E1567">
        <v>24</v>
      </c>
      <c r="F1567" s="6">
        <v>375</v>
      </c>
      <c r="G1567" t="s">
        <v>3698</v>
      </c>
    </row>
    <row r="1568" spans="1:7">
      <c r="A1568" t="s">
        <v>704</v>
      </c>
      <c r="B1568" t="s">
        <v>5973</v>
      </c>
      <c r="C1568" t="s">
        <v>3947</v>
      </c>
      <c r="D1568" t="s">
        <v>3948</v>
      </c>
      <c r="E1568">
        <v>6</v>
      </c>
      <c r="F1568" s="6">
        <v>1750</v>
      </c>
      <c r="G1568" t="s">
        <v>3698</v>
      </c>
    </row>
    <row r="1569" spans="1:7">
      <c r="A1569" t="s">
        <v>5974</v>
      </c>
      <c r="B1569" t="s">
        <v>5975</v>
      </c>
      <c r="C1569" t="s">
        <v>3721</v>
      </c>
      <c r="D1569" t="s">
        <v>3722</v>
      </c>
      <c r="E1569">
        <v>6</v>
      </c>
      <c r="F1569" s="6">
        <v>750</v>
      </c>
      <c r="G1569" t="s">
        <v>3716</v>
      </c>
    </row>
    <row r="1570" spans="1:7">
      <c r="A1570" t="s">
        <v>5976</v>
      </c>
      <c r="B1570" t="s">
        <v>5977</v>
      </c>
      <c r="C1570" t="s">
        <v>3947</v>
      </c>
      <c r="D1570" t="s">
        <v>3948</v>
      </c>
      <c r="E1570">
        <v>12</v>
      </c>
      <c r="F1570" s="6">
        <v>1000</v>
      </c>
      <c r="G1570" t="s">
        <v>3802</v>
      </c>
    </row>
    <row r="1571" spans="1:7">
      <c r="A1571" t="s">
        <v>2176</v>
      </c>
      <c r="B1571" t="s">
        <v>5978</v>
      </c>
      <c r="C1571" t="s">
        <v>3721</v>
      </c>
      <c r="D1571" t="s">
        <v>3722</v>
      </c>
      <c r="E1571">
        <v>8</v>
      </c>
      <c r="F1571" s="6">
        <v>50</v>
      </c>
      <c r="G1571" t="s">
        <v>3705</v>
      </c>
    </row>
    <row r="1572" spans="1:7">
      <c r="A1572" t="s">
        <v>712</v>
      </c>
      <c r="B1572" t="s">
        <v>5979</v>
      </c>
      <c r="C1572" t="s">
        <v>3947</v>
      </c>
      <c r="D1572" t="s">
        <v>3948</v>
      </c>
      <c r="E1572">
        <v>10</v>
      </c>
      <c r="F1572" s="6">
        <v>50</v>
      </c>
      <c r="G1572" t="s">
        <v>3763</v>
      </c>
    </row>
    <row r="1573" spans="1:7">
      <c r="A1573" t="s">
        <v>1604</v>
      </c>
      <c r="B1573" t="s">
        <v>5980</v>
      </c>
      <c r="C1573" t="s">
        <v>3947</v>
      </c>
      <c r="D1573" t="s">
        <v>3948</v>
      </c>
      <c r="E1573">
        <v>48</v>
      </c>
      <c r="F1573" s="6">
        <v>100</v>
      </c>
      <c r="G1573" t="s">
        <v>3763</v>
      </c>
    </row>
    <row r="1574" spans="1:7">
      <c r="A1574" t="s">
        <v>1546</v>
      </c>
      <c r="B1574" t="s">
        <v>5980</v>
      </c>
      <c r="C1574" t="s">
        <v>3947</v>
      </c>
      <c r="D1574" t="s">
        <v>3948</v>
      </c>
      <c r="E1574">
        <v>24</v>
      </c>
      <c r="F1574" s="6">
        <v>200</v>
      </c>
      <c r="G1574" t="s">
        <v>3763</v>
      </c>
    </row>
    <row r="1575" spans="1:7">
      <c r="A1575" t="s">
        <v>566</v>
      </c>
      <c r="B1575" t="s">
        <v>5980</v>
      </c>
      <c r="C1575" t="s">
        <v>3947</v>
      </c>
      <c r="D1575" t="s">
        <v>3948</v>
      </c>
      <c r="E1575">
        <v>24</v>
      </c>
      <c r="F1575" s="6">
        <v>375</v>
      </c>
      <c r="G1575" t="s">
        <v>3763</v>
      </c>
    </row>
    <row r="1576" spans="1:7">
      <c r="A1576" t="s">
        <v>2405</v>
      </c>
      <c r="B1576" t="s">
        <v>5980</v>
      </c>
      <c r="C1576" t="s">
        <v>3947</v>
      </c>
      <c r="D1576" t="s">
        <v>3948</v>
      </c>
      <c r="E1576">
        <v>12</v>
      </c>
      <c r="F1576" s="6">
        <v>750</v>
      </c>
      <c r="G1576" t="s">
        <v>3763</v>
      </c>
    </row>
    <row r="1577" spans="1:7">
      <c r="A1577" t="s">
        <v>1321</v>
      </c>
      <c r="B1577" t="s">
        <v>5980</v>
      </c>
      <c r="C1577" t="s">
        <v>3947</v>
      </c>
      <c r="D1577" t="s">
        <v>3948</v>
      </c>
      <c r="E1577">
        <v>12</v>
      </c>
      <c r="F1577" s="6">
        <v>1000</v>
      </c>
      <c r="G1577" t="s">
        <v>3763</v>
      </c>
    </row>
    <row r="1578" spans="1:7">
      <c r="A1578" t="s">
        <v>90</v>
      </c>
      <c r="B1578" t="s">
        <v>5980</v>
      </c>
      <c r="C1578" t="s">
        <v>3947</v>
      </c>
      <c r="D1578" t="s">
        <v>3948</v>
      </c>
      <c r="E1578">
        <v>6</v>
      </c>
      <c r="F1578" s="6">
        <v>1750</v>
      </c>
      <c r="G1578" t="s">
        <v>3763</v>
      </c>
    </row>
    <row r="1579" spans="1:7">
      <c r="A1579" t="s">
        <v>3191</v>
      </c>
      <c r="B1579" t="s">
        <v>5981</v>
      </c>
      <c r="C1579" t="s">
        <v>3947</v>
      </c>
      <c r="D1579" t="s">
        <v>3948</v>
      </c>
      <c r="E1579">
        <v>24</v>
      </c>
      <c r="F1579" s="6">
        <v>375</v>
      </c>
      <c r="G1579" t="s">
        <v>3686</v>
      </c>
    </row>
    <row r="1580" spans="1:7">
      <c r="A1580" t="s">
        <v>578</v>
      </c>
      <c r="B1580" t="s">
        <v>5981</v>
      </c>
      <c r="C1580" t="s">
        <v>3947</v>
      </c>
      <c r="D1580" t="s">
        <v>3948</v>
      </c>
      <c r="E1580">
        <v>12</v>
      </c>
      <c r="F1580" s="6">
        <v>750</v>
      </c>
      <c r="G1580" t="s">
        <v>3686</v>
      </c>
    </row>
    <row r="1581" spans="1:7">
      <c r="A1581" t="s">
        <v>1665</v>
      </c>
      <c r="B1581" t="s">
        <v>5981</v>
      </c>
      <c r="C1581" t="s">
        <v>3947</v>
      </c>
      <c r="D1581" t="s">
        <v>3948</v>
      </c>
      <c r="E1581">
        <v>6</v>
      </c>
      <c r="F1581" s="6">
        <v>1750</v>
      </c>
      <c r="G1581" t="s">
        <v>3686</v>
      </c>
    </row>
    <row r="1582" spans="1:7">
      <c r="A1582" t="s">
        <v>2316</v>
      </c>
      <c r="B1582" t="s">
        <v>5966</v>
      </c>
      <c r="C1582" t="s">
        <v>3947</v>
      </c>
      <c r="D1582" t="s">
        <v>3948</v>
      </c>
      <c r="E1582">
        <v>24</v>
      </c>
      <c r="F1582" s="6">
        <v>375</v>
      </c>
      <c r="G1582" t="s">
        <v>4784</v>
      </c>
    </row>
    <row r="1583" spans="1:7">
      <c r="A1583" t="s">
        <v>5982</v>
      </c>
      <c r="B1583" t="s">
        <v>5983</v>
      </c>
      <c r="C1583" t="s">
        <v>3721</v>
      </c>
      <c r="D1583" t="s">
        <v>3722</v>
      </c>
      <c r="E1583">
        <v>6</v>
      </c>
      <c r="F1583" s="6">
        <v>750</v>
      </c>
      <c r="G1583" t="s">
        <v>4225</v>
      </c>
    </row>
    <row r="1584" spans="1:7">
      <c r="A1584" t="s">
        <v>99</v>
      </c>
      <c r="B1584" t="s">
        <v>5984</v>
      </c>
      <c r="C1584" t="s">
        <v>3947</v>
      </c>
      <c r="D1584" t="s">
        <v>3948</v>
      </c>
      <c r="E1584">
        <v>12</v>
      </c>
      <c r="F1584" s="6">
        <v>750</v>
      </c>
      <c r="G1584" t="s">
        <v>4784</v>
      </c>
    </row>
    <row r="1585" spans="1:7">
      <c r="A1585" t="s">
        <v>2902</v>
      </c>
      <c r="B1585" t="s">
        <v>5985</v>
      </c>
      <c r="C1585" t="s">
        <v>3947</v>
      </c>
      <c r="D1585" t="s">
        <v>3948</v>
      </c>
      <c r="E1585">
        <v>6</v>
      </c>
      <c r="F1585" s="6">
        <v>750</v>
      </c>
      <c r="G1585" t="s">
        <v>4919</v>
      </c>
    </row>
    <row r="1586" spans="1:7">
      <c r="A1586" t="s">
        <v>3268</v>
      </c>
      <c r="B1586" t="s">
        <v>5986</v>
      </c>
      <c r="C1586" t="s">
        <v>3947</v>
      </c>
      <c r="D1586" t="s">
        <v>3948</v>
      </c>
      <c r="E1586">
        <v>6</v>
      </c>
      <c r="F1586" s="6">
        <v>750</v>
      </c>
      <c r="G1586" t="s">
        <v>5987</v>
      </c>
    </row>
    <row r="1587" spans="1:7">
      <c r="A1587" t="s">
        <v>5988</v>
      </c>
      <c r="B1587" t="s">
        <v>5989</v>
      </c>
      <c r="C1587" t="s">
        <v>5804</v>
      </c>
      <c r="D1587" t="s">
        <v>5805</v>
      </c>
      <c r="E1587">
        <v>12</v>
      </c>
      <c r="F1587" s="6">
        <v>750</v>
      </c>
      <c r="G1587" t="s">
        <v>4744</v>
      </c>
    </row>
    <row r="1588" spans="1:7">
      <c r="A1588" t="s">
        <v>852</v>
      </c>
      <c r="B1588" t="s">
        <v>5990</v>
      </c>
      <c r="C1588" t="s">
        <v>3721</v>
      </c>
      <c r="D1588" t="s">
        <v>3722</v>
      </c>
      <c r="E1588">
        <v>6</v>
      </c>
      <c r="F1588" s="6">
        <v>750</v>
      </c>
      <c r="G1588" t="s">
        <v>3702</v>
      </c>
    </row>
    <row r="1589" spans="1:7">
      <c r="A1589" t="s">
        <v>2147</v>
      </c>
      <c r="B1589" t="s">
        <v>5991</v>
      </c>
      <c r="C1589" t="s">
        <v>3947</v>
      </c>
      <c r="D1589" t="s">
        <v>3948</v>
      </c>
      <c r="E1589">
        <v>12</v>
      </c>
      <c r="F1589" s="6">
        <v>1000</v>
      </c>
      <c r="G1589" t="s">
        <v>3686</v>
      </c>
    </row>
    <row r="1590" spans="1:7">
      <c r="A1590" t="s">
        <v>5992</v>
      </c>
      <c r="B1590" t="s">
        <v>5993</v>
      </c>
      <c r="C1590" t="s">
        <v>3947</v>
      </c>
      <c r="D1590" t="s">
        <v>3948</v>
      </c>
      <c r="E1590">
        <v>6</v>
      </c>
      <c r="F1590" s="6">
        <v>1000</v>
      </c>
      <c r="G1590" t="s">
        <v>3802</v>
      </c>
    </row>
    <row r="1591" spans="1:7">
      <c r="A1591" t="s">
        <v>1275</v>
      </c>
      <c r="B1591" t="s">
        <v>5994</v>
      </c>
      <c r="C1591" t="s">
        <v>3947</v>
      </c>
      <c r="D1591" t="s">
        <v>3948</v>
      </c>
      <c r="E1591">
        <v>12</v>
      </c>
      <c r="F1591" s="6">
        <v>750</v>
      </c>
      <c r="G1591" t="s">
        <v>5134</v>
      </c>
    </row>
    <row r="1592" spans="1:7">
      <c r="A1592" t="s">
        <v>5995</v>
      </c>
      <c r="B1592" t="s">
        <v>5996</v>
      </c>
      <c r="C1592" t="s">
        <v>3947</v>
      </c>
      <c r="D1592" t="s">
        <v>3948</v>
      </c>
      <c r="E1592">
        <v>6</v>
      </c>
      <c r="F1592" s="6">
        <v>750</v>
      </c>
      <c r="G1592" t="s">
        <v>5134</v>
      </c>
    </row>
    <row r="1593" spans="1:7">
      <c r="A1593" t="s">
        <v>5997</v>
      </c>
      <c r="B1593" t="s">
        <v>5998</v>
      </c>
      <c r="C1593" t="s">
        <v>3947</v>
      </c>
      <c r="D1593" t="s">
        <v>3948</v>
      </c>
      <c r="E1593">
        <v>12</v>
      </c>
      <c r="F1593" s="6">
        <v>1000</v>
      </c>
      <c r="G1593" t="s">
        <v>4438</v>
      </c>
    </row>
    <row r="1594" spans="1:7">
      <c r="A1594" t="s">
        <v>5999</v>
      </c>
      <c r="B1594" t="s">
        <v>6000</v>
      </c>
      <c r="C1594" t="s">
        <v>3947</v>
      </c>
      <c r="D1594" t="s">
        <v>3948</v>
      </c>
      <c r="E1594">
        <v>12</v>
      </c>
      <c r="F1594" s="6">
        <v>750</v>
      </c>
      <c r="G1594" t="s">
        <v>4581</v>
      </c>
    </row>
    <row r="1595" spans="1:7">
      <c r="A1595" t="s">
        <v>6001</v>
      </c>
      <c r="B1595" t="s">
        <v>6002</v>
      </c>
      <c r="C1595" t="s">
        <v>3721</v>
      </c>
      <c r="D1595" t="s">
        <v>3722</v>
      </c>
      <c r="E1595">
        <v>6</v>
      </c>
      <c r="F1595" s="6">
        <v>750</v>
      </c>
      <c r="G1595" t="s">
        <v>3735</v>
      </c>
    </row>
    <row r="1596" spans="1:7">
      <c r="A1596" t="s">
        <v>6003</v>
      </c>
      <c r="B1596" t="s">
        <v>6004</v>
      </c>
      <c r="C1596" t="s">
        <v>3947</v>
      </c>
      <c r="D1596" t="s">
        <v>3948</v>
      </c>
      <c r="E1596">
        <v>12</v>
      </c>
      <c r="F1596" s="6">
        <v>750</v>
      </c>
      <c r="G1596" t="s">
        <v>6005</v>
      </c>
    </row>
    <row r="1597" spans="1:7">
      <c r="A1597" t="s">
        <v>6006</v>
      </c>
      <c r="B1597" t="s">
        <v>6007</v>
      </c>
      <c r="C1597" t="s">
        <v>3947</v>
      </c>
      <c r="D1597" t="s">
        <v>3948</v>
      </c>
      <c r="E1597">
        <v>1</v>
      </c>
      <c r="F1597" s="6">
        <v>50</v>
      </c>
      <c r="G1597" t="s">
        <v>5134</v>
      </c>
    </row>
    <row r="1598" spans="1:7">
      <c r="A1598" t="s">
        <v>6008</v>
      </c>
      <c r="B1598" t="s">
        <v>6009</v>
      </c>
      <c r="C1598" t="s">
        <v>3947</v>
      </c>
      <c r="D1598" t="s">
        <v>3948</v>
      </c>
      <c r="E1598">
        <v>12</v>
      </c>
      <c r="F1598" s="6">
        <v>1000</v>
      </c>
      <c r="G1598" t="s">
        <v>4163</v>
      </c>
    </row>
    <row r="1599" spans="1:7">
      <c r="A1599" t="s">
        <v>809</v>
      </c>
      <c r="B1599" t="s">
        <v>6010</v>
      </c>
      <c r="C1599" t="s">
        <v>3721</v>
      </c>
      <c r="D1599" t="s">
        <v>3722</v>
      </c>
      <c r="E1599">
        <v>6</v>
      </c>
      <c r="F1599" s="6">
        <v>750</v>
      </c>
      <c r="G1599" t="s">
        <v>3735</v>
      </c>
    </row>
    <row r="1600" spans="1:7">
      <c r="A1600" t="s">
        <v>2755</v>
      </c>
      <c r="B1600" t="s">
        <v>6011</v>
      </c>
      <c r="C1600" t="s">
        <v>3947</v>
      </c>
      <c r="D1600" t="s">
        <v>3948</v>
      </c>
      <c r="E1600">
        <v>12</v>
      </c>
      <c r="F1600" s="6">
        <v>750</v>
      </c>
      <c r="G1600" t="s">
        <v>3763</v>
      </c>
    </row>
    <row r="1601" spans="1:7">
      <c r="A1601" t="s">
        <v>6012</v>
      </c>
      <c r="B1601" t="s">
        <v>6013</v>
      </c>
      <c r="C1601" t="s">
        <v>3679</v>
      </c>
      <c r="D1601" t="s">
        <v>3680</v>
      </c>
      <c r="E1601">
        <v>6</v>
      </c>
      <c r="F1601" s="6">
        <v>750</v>
      </c>
      <c r="G1601" t="s">
        <v>3735</v>
      </c>
    </row>
    <row r="1602" spans="1:7">
      <c r="A1602" t="s">
        <v>6014</v>
      </c>
      <c r="B1602" t="s">
        <v>5990</v>
      </c>
      <c r="C1602" t="s">
        <v>3721</v>
      </c>
      <c r="D1602" t="s">
        <v>3722</v>
      </c>
      <c r="E1602">
        <v>6</v>
      </c>
      <c r="F1602" s="6">
        <v>1750</v>
      </c>
      <c r="G1602" t="s">
        <v>3702</v>
      </c>
    </row>
    <row r="1603" spans="1:7">
      <c r="A1603" t="s">
        <v>627</v>
      </c>
      <c r="B1603" t="s">
        <v>6015</v>
      </c>
      <c r="C1603" t="s">
        <v>3947</v>
      </c>
      <c r="D1603" t="s">
        <v>3948</v>
      </c>
      <c r="E1603">
        <v>12</v>
      </c>
      <c r="F1603" s="6">
        <v>750</v>
      </c>
      <c r="G1603" t="s">
        <v>5030</v>
      </c>
    </row>
    <row r="1604" spans="1:7">
      <c r="A1604" t="s">
        <v>2630</v>
      </c>
      <c r="B1604" t="s">
        <v>6015</v>
      </c>
      <c r="C1604" t="s">
        <v>3947</v>
      </c>
      <c r="D1604" t="s">
        <v>3948</v>
      </c>
      <c r="E1604">
        <v>12</v>
      </c>
      <c r="F1604" s="6">
        <v>1000</v>
      </c>
      <c r="G1604" t="s">
        <v>5030</v>
      </c>
    </row>
    <row r="1605" spans="1:7">
      <c r="A1605" t="s">
        <v>2400</v>
      </c>
      <c r="B1605" t="s">
        <v>6015</v>
      </c>
      <c r="C1605" t="s">
        <v>3947</v>
      </c>
      <c r="D1605" t="s">
        <v>3948</v>
      </c>
      <c r="E1605">
        <v>6</v>
      </c>
      <c r="F1605" s="6">
        <v>1750</v>
      </c>
      <c r="G1605" t="s">
        <v>5030</v>
      </c>
    </row>
    <row r="1606" spans="1:7">
      <c r="A1606" t="s">
        <v>6016</v>
      </c>
      <c r="B1606" t="s">
        <v>5858</v>
      </c>
      <c r="C1606" t="s">
        <v>3947</v>
      </c>
      <c r="D1606" t="s">
        <v>3948</v>
      </c>
      <c r="E1606">
        <v>48</v>
      </c>
      <c r="F1606" s="6">
        <v>100</v>
      </c>
      <c r="G1606" t="s">
        <v>3686</v>
      </c>
    </row>
    <row r="1607" spans="1:7">
      <c r="A1607" t="s">
        <v>124</v>
      </c>
      <c r="B1607" t="s">
        <v>6017</v>
      </c>
      <c r="C1607" t="s">
        <v>4093</v>
      </c>
      <c r="D1607" t="s">
        <v>4094</v>
      </c>
      <c r="E1607">
        <v>12</v>
      </c>
      <c r="F1607" s="6">
        <v>750</v>
      </c>
      <c r="G1607" t="s">
        <v>3951</v>
      </c>
    </row>
    <row r="1608" spans="1:7">
      <c r="A1608" t="s">
        <v>6018</v>
      </c>
      <c r="B1608" t="s">
        <v>6017</v>
      </c>
      <c r="C1608" t="s">
        <v>4093</v>
      </c>
      <c r="D1608" t="s">
        <v>4094</v>
      </c>
      <c r="E1608">
        <v>6</v>
      </c>
      <c r="F1608" s="6">
        <v>1750</v>
      </c>
      <c r="G1608" t="s">
        <v>3951</v>
      </c>
    </row>
    <row r="1609" spans="1:7">
      <c r="A1609" t="s">
        <v>1681</v>
      </c>
      <c r="B1609" t="s">
        <v>6019</v>
      </c>
      <c r="C1609" t="s">
        <v>3947</v>
      </c>
      <c r="D1609" t="s">
        <v>3948</v>
      </c>
      <c r="E1609">
        <v>12</v>
      </c>
      <c r="F1609" s="6">
        <v>750</v>
      </c>
      <c r="G1609" t="s">
        <v>4300</v>
      </c>
    </row>
    <row r="1610" spans="1:7">
      <c r="A1610" t="s">
        <v>665</v>
      </c>
      <c r="B1610" t="s">
        <v>6020</v>
      </c>
      <c r="C1610" t="s">
        <v>3947</v>
      </c>
      <c r="D1610" t="s">
        <v>3948</v>
      </c>
      <c r="E1610">
        <v>6</v>
      </c>
      <c r="F1610" s="6">
        <v>1750</v>
      </c>
      <c r="G1610" t="s">
        <v>4300</v>
      </c>
    </row>
    <row r="1611" spans="1:7">
      <c r="A1611" t="s">
        <v>1198</v>
      </c>
      <c r="B1611" t="s">
        <v>6021</v>
      </c>
      <c r="C1611" t="s">
        <v>3947</v>
      </c>
      <c r="D1611" t="s">
        <v>3948</v>
      </c>
      <c r="E1611">
        <v>12</v>
      </c>
      <c r="F1611" s="6">
        <v>1000</v>
      </c>
      <c r="G1611" t="s">
        <v>4300</v>
      </c>
    </row>
    <row r="1612" spans="1:7">
      <c r="A1612" t="s">
        <v>2677</v>
      </c>
      <c r="B1612" t="s">
        <v>6021</v>
      </c>
      <c r="C1612" t="s">
        <v>3947</v>
      </c>
      <c r="D1612" t="s">
        <v>3948</v>
      </c>
      <c r="E1612">
        <v>6</v>
      </c>
      <c r="F1612" s="6">
        <v>1750</v>
      </c>
      <c r="G1612" t="s">
        <v>4300</v>
      </c>
    </row>
    <row r="1613" spans="1:7">
      <c r="A1613" t="s">
        <v>199</v>
      </c>
      <c r="B1613" t="s">
        <v>6021</v>
      </c>
      <c r="C1613" t="s">
        <v>3947</v>
      </c>
      <c r="D1613" t="s">
        <v>3948</v>
      </c>
      <c r="E1613">
        <v>12</v>
      </c>
      <c r="F1613" s="6">
        <v>750</v>
      </c>
      <c r="G1613" t="s">
        <v>4300</v>
      </c>
    </row>
    <row r="1614" spans="1:7">
      <c r="A1614" t="s">
        <v>6022</v>
      </c>
      <c r="B1614" t="s">
        <v>6023</v>
      </c>
      <c r="C1614" t="s">
        <v>3947</v>
      </c>
      <c r="D1614" t="s">
        <v>3948</v>
      </c>
      <c r="E1614">
        <v>6</v>
      </c>
      <c r="F1614" s="6">
        <v>750</v>
      </c>
      <c r="G1614" t="s">
        <v>5398</v>
      </c>
    </row>
    <row r="1615" spans="1:7">
      <c r="A1615" t="s">
        <v>1921</v>
      </c>
      <c r="B1615" t="s">
        <v>6024</v>
      </c>
      <c r="C1615" t="s">
        <v>5804</v>
      </c>
      <c r="D1615" t="s">
        <v>5805</v>
      </c>
      <c r="E1615">
        <v>6</v>
      </c>
      <c r="F1615" s="6">
        <v>750</v>
      </c>
      <c r="G1615" t="s">
        <v>3681</v>
      </c>
    </row>
    <row r="1616" spans="1:7">
      <c r="A1616" t="s">
        <v>6025</v>
      </c>
      <c r="B1616" t="s">
        <v>6026</v>
      </c>
      <c r="C1616" t="s">
        <v>3947</v>
      </c>
      <c r="D1616" t="s">
        <v>3948</v>
      </c>
      <c r="E1616">
        <v>24</v>
      </c>
      <c r="F1616" s="6">
        <v>375</v>
      </c>
      <c r="G1616" t="s">
        <v>3686</v>
      </c>
    </row>
    <row r="1617" spans="1:7">
      <c r="A1617" t="s">
        <v>1003</v>
      </c>
      <c r="B1617" t="s">
        <v>6026</v>
      </c>
      <c r="C1617" t="s">
        <v>3947</v>
      </c>
      <c r="D1617" t="s">
        <v>3948</v>
      </c>
      <c r="E1617">
        <v>12</v>
      </c>
      <c r="F1617" s="6">
        <v>750</v>
      </c>
      <c r="G1617" t="s">
        <v>3686</v>
      </c>
    </row>
    <row r="1618" spans="1:7">
      <c r="A1618" t="s">
        <v>6027</v>
      </c>
      <c r="B1618" t="s">
        <v>6026</v>
      </c>
      <c r="C1618" t="s">
        <v>3947</v>
      </c>
      <c r="D1618" t="s">
        <v>3948</v>
      </c>
      <c r="E1618">
        <v>12</v>
      </c>
      <c r="F1618" s="6">
        <v>1000</v>
      </c>
      <c r="G1618" t="s">
        <v>3686</v>
      </c>
    </row>
    <row r="1619" spans="1:7">
      <c r="A1619" t="s">
        <v>1189</v>
      </c>
      <c r="B1619" t="s">
        <v>6026</v>
      </c>
      <c r="C1619" t="s">
        <v>3947</v>
      </c>
      <c r="D1619" t="s">
        <v>3948</v>
      </c>
      <c r="E1619">
        <v>6</v>
      </c>
      <c r="F1619" s="6">
        <v>1750</v>
      </c>
      <c r="G1619" t="s">
        <v>3686</v>
      </c>
    </row>
    <row r="1620" spans="1:7">
      <c r="A1620" t="s">
        <v>1758</v>
      </c>
      <c r="B1620" t="s">
        <v>6028</v>
      </c>
      <c r="C1620" t="s">
        <v>3947</v>
      </c>
      <c r="D1620" t="s">
        <v>3948</v>
      </c>
      <c r="E1620">
        <v>12</v>
      </c>
      <c r="F1620" s="6">
        <v>750</v>
      </c>
      <c r="G1620" t="s">
        <v>3686</v>
      </c>
    </row>
    <row r="1621" spans="1:7">
      <c r="A1621" t="s">
        <v>2526</v>
      </c>
      <c r="B1621" t="s">
        <v>5990</v>
      </c>
      <c r="C1621" t="s">
        <v>3721</v>
      </c>
      <c r="D1621" t="s">
        <v>3722</v>
      </c>
      <c r="E1621">
        <v>6</v>
      </c>
      <c r="F1621" s="6">
        <v>1000</v>
      </c>
      <c r="G1621" t="s">
        <v>3702</v>
      </c>
    </row>
    <row r="1622" spans="1:7">
      <c r="A1622" t="s">
        <v>164</v>
      </c>
      <c r="B1622" t="s">
        <v>6029</v>
      </c>
      <c r="C1622" t="s">
        <v>3947</v>
      </c>
      <c r="D1622" t="s">
        <v>3948</v>
      </c>
      <c r="E1622">
        <v>12</v>
      </c>
      <c r="F1622" s="6">
        <v>1000</v>
      </c>
      <c r="G1622" t="s">
        <v>5030</v>
      </c>
    </row>
    <row r="1623" spans="1:7">
      <c r="A1623" t="s">
        <v>6030</v>
      </c>
      <c r="B1623" t="s">
        <v>6031</v>
      </c>
      <c r="C1623" t="s">
        <v>3947</v>
      </c>
      <c r="D1623" t="s">
        <v>3948</v>
      </c>
      <c r="E1623">
        <v>12</v>
      </c>
      <c r="F1623" s="6">
        <v>50</v>
      </c>
      <c r="G1623" t="s">
        <v>3763</v>
      </c>
    </row>
    <row r="1624" spans="1:7">
      <c r="A1624" t="s">
        <v>2914</v>
      </c>
      <c r="B1624" t="s">
        <v>5971</v>
      </c>
      <c r="C1624" t="s">
        <v>3947</v>
      </c>
      <c r="D1624" t="s">
        <v>3948</v>
      </c>
      <c r="E1624">
        <v>24</v>
      </c>
      <c r="F1624" s="6">
        <v>375</v>
      </c>
      <c r="G1624" t="s">
        <v>3686</v>
      </c>
    </row>
    <row r="1625" spans="1:7">
      <c r="A1625" t="s">
        <v>6032</v>
      </c>
      <c r="B1625" t="s">
        <v>5971</v>
      </c>
      <c r="C1625" t="s">
        <v>3947</v>
      </c>
      <c r="D1625" t="s">
        <v>3948</v>
      </c>
      <c r="E1625">
        <v>48</v>
      </c>
      <c r="F1625" s="6">
        <v>100</v>
      </c>
      <c r="G1625" t="s">
        <v>3686</v>
      </c>
    </row>
    <row r="1626" spans="1:7">
      <c r="A1626" t="s">
        <v>6033</v>
      </c>
      <c r="B1626" t="s">
        <v>6034</v>
      </c>
      <c r="C1626" t="s">
        <v>3947</v>
      </c>
      <c r="D1626" t="s">
        <v>3948</v>
      </c>
      <c r="E1626">
        <v>10</v>
      </c>
      <c r="F1626" s="6">
        <v>50</v>
      </c>
      <c r="G1626" t="s">
        <v>3686</v>
      </c>
    </row>
    <row r="1627" spans="1:7">
      <c r="A1627" t="s">
        <v>1106</v>
      </c>
      <c r="B1627" t="s">
        <v>6035</v>
      </c>
      <c r="C1627" t="s">
        <v>3947</v>
      </c>
      <c r="D1627" t="s">
        <v>3948</v>
      </c>
      <c r="E1627">
        <v>12</v>
      </c>
      <c r="F1627" s="6">
        <v>50</v>
      </c>
      <c r="G1627" t="s">
        <v>3686</v>
      </c>
    </row>
    <row r="1628" spans="1:7">
      <c r="A1628" t="s">
        <v>6036</v>
      </c>
      <c r="B1628" t="s">
        <v>6037</v>
      </c>
      <c r="C1628" t="s">
        <v>4093</v>
      </c>
      <c r="D1628" t="s">
        <v>4094</v>
      </c>
      <c r="E1628">
        <v>6</v>
      </c>
      <c r="F1628" s="6">
        <v>750</v>
      </c>
      <c r="G1628" t="s">
        <v>3802</v>
      </c>
    </row>
    <row r="1629" spans="1:7">
      <c r="A1629" t="s">
        <v>6038</v>
      </c>
      <c r="B1629" t="s">
        <v>6039</v>
      </c>
      <c r="C1629" t="s">
        <v>3947</v>
      </c>
      <c r="D1629" t="s">
        <v>3948</v>
      </c>
      <c r="E1629">
        <v>6</v>
      </c>
      <c r="F1629" s="6">
        <v>750</v>
      </c>
      <c r="G1629" t="s">
        <v>4438</v>
      </c>
    </row>
    <row r="1630" spans="1:7">
      <c r="A1630" t="s">
        <v>6040</v>
      </c>
      <c r="B1630" t="s">
        <v>6041</v>
      </c>
      <c r="C1630" t="s">
        <v>3947</v>
      </c>
      <c r="D1630" t="s">
        <v>3948</v>
      </c>
      <c r="E1630">
        <v>1</v>
      </c>
      <c r="F1630" s="6">
        <v>50</v>
      </c>
      <c r="G1630" t="s">
        <v>5030</v>
      </c>
    </row>
    <row r="1631" spans="1:7">
      <c r="A1631" t="s">
        <v>6042</v>
      </c>
      <c r="B1631" t="s">
        <v>6043</v>
      </c>
      <c r="C1631" t="s">
        <v>3679</v>
      </c>
      <c r="D1631" t="s">
        <v>3680</v>
      </c>
      <c r="E1631">
        <v>6</v>
      </c>
      <c r="F1631" s="6">
        <v>750</v>
      </c>
      <c r="G1631" t="s">
        <v>4182</v>
      </c>
    </row>
    <row r="1632" spans="1:7">
      <c r="A1632" t="s">
        <v>6044</v>
      </c>
      <c r="B1632" t="s">
        <v>6045</v>
      </c>
      <c r="C1632" t="s">
        <v>3947</v>
      </c>
      <c r="D1632" t="s">
        <v>3948</v>
      </c>
      <c r="E1632">
        <v>12</v>
      </c>
      <c r="F1632" s="6">
        <v>750</v>
      </c>
      <c r="G1632" t="s">
        <v>5030</v>
      </c>
    </row>
    <row r="1633" spans="1:7">
      <c r="A1633" t="s">
        <v>544</v>
      </c>
      <c r="B1633" t="s">
        <v>6046</v>
      </c>
      <c r="C1633" t="s">
        <v>3947</v>
      </c>
      <c r="D1633" t="s">
        <v>3948</v>
      </c>
      <c r="E1633">
        <v>12</v>
      </c>
      <c r="F1633" s="6">
        <v>750</v>
      </c>
      <c r="G1633" t="s">
        <v>4300</v>
      </c>
    </row>
    <row r="1634" spans="1:7">
      <c r="A1634" t="s">
        <v>6047</v>
      </c>
      <c r="B1634" t="s">
        <v>6048</v>
      </c>
      <c r="C1634" t="s">
        <v>3947</v>
      </c>
      <c r="D1634" t="s">
        <v>3948</v>
      </c>
      <c r="E1634">
        <v>6</v>
      </c>
      <c r="F1634" s="6">
        <v>750</v>
      </c>
      <c r="G1634" t="s">
        <v>6049</v>
      </c>
    </row>
    <row r="1635" spans="1:7">
      <c r="A1635" t="s">
        <v>2091</v>
      </c>
      <c r="B1635" t="s">
        <v>6050</v>
      </c>
      <c r="C1635" t="s">
        <v>3947</v>
      </c>
      <c r="D1635" t="s">
        <v>3948</v>
      </c>
      <c r="E1635">
        <v>9</v>
      </c>
      <c r="F1635" s="6">
        <v>750</v>
      </c>
      <c r="G1635" t="s">
        <v>6051</v>
      </c>
    </row>
    <row r="1636" spans="1:7">
      <c r="A1636" t="s">
        <v>6052</v>
      </c>
      <c r="B1636" t="s">
        <v>6053</v>
      </c>
      <c r="C1636" t="s">
        <v>3947</v>
      </c>
      <c r="D1636" t="s">
        <v>3948</v>
      </c>
      <c r="E1636">
        <v>12</v>
      </c>
      <c r="F1636" s="6">
        <v>750</v>
      </c>
      <c r="G1636" t="s">
        <v>4581</v>
      </c>
    </row>
    <row r="1637" spans="1:7">
      <c r="A1637" t="s">
        <v>6054</v>
      </c>
      <c r="B1637" t="s">
        <v>6055</v>
      </c>
      <c r="C1637" t="s">
        <v>3947</v>
      </c>
      <c r="D1637" t="s">
        <v>3948</v>
      </c>
      <c r="E1637">
        <v>6</v>
      </c>
      <c r="F1637" s="6">
        <v>750</v>
      </c>
      <c r="G1637" t="s">
        <v>6056</v>
      </c>
    </row>
    <row r="1638" spans="1:7">
      <c r="A1638" t="s">
        <v>3044</v>
      </c>
      <c r="B1638" t="s">
        <v>6057</v>
      </c>
      <c r="C1638" t="s">
        <v>3679</v>
      </c>
      <c r="D1638" t="s">
        <v>3680</v>
      </c>
      <c r="E1638">
        <v>12</v>
      </c>
      <c r="F1638" s="6">
        <v>1000</v>
      </c>
      <c r="G1638" t="s">
        <v>4784</v>
      </c>
    </row>
    <row r="1639" spans="1:7">
      <c r="A1639" t="s">
        <v>6058</v>
      </c>
      <c r="B1639" t="s">
        <v>6059</v>
      </c>
      <c r="C1639" t="s">
        <v>3947</v>
      </c>
      <c r="D1639" t="s">
        <v>3948</v>
      </c>
      <c r="E1639">
        <v>6</v>
      </c>
      <c r="F1639" s="6">
        <v>750</v>
      </c>
      <c r="G1639" t="s">
        <v>4899</v>
      </c>
    </row>
    <row r="1640" spans="1:7">
      <c r="A1640" t="s">
        <v>1616</v>
      </c>
      <c r="B1640" t="s">
        <v>6060</v>
      </c>
      <c r="C1640" t="s">
        <v>3947</v>
      </c>
      <c r="D1640" t="s">
        <v>3948</v>
      </c>
      <c r="E1640">
        <v>6</v>
      </c>
      <c r="F1640" s="6">
        <v>750</v>
      </c>
      <c r="G1640" t="s">
        <v>3871</v>
      </c>
    </row>
    <row r="1641" spans="1:7">
      <c r="A1641" t="s">
        <v>2496</v>
      </c>
      <c r="B1641" t="s">
        <v>6061</v>
      </c>
      <c r="C1641" t="s">
        <v>3947</v>
      </c>
      <c r="D1641" t="s">
        <v>3948</v>
      </c>
      <c r="E1641">
        <v>12</v>
      </c>
      <c r="F1641" s="6">
        <v>750</v>
      </c>
      <c r="G1641" t="s">
        <v>6062</v>
      </c>
    </row>
    <row r="1642" spans="1:7">
      <c r="A1642" t="s">
        <v>810</v>
      </c>
      <c r="B1642" t="s">
        <v>6063</v>
      </c>
      <c r="C1642" t="s">
        <v>3947</v>
      </c>
      <c r="D1642" t="s">
        <v>3948</v>
      </c>
      <c r="E1642">
        <v>12</v>
      </c>
      <c r="F1642" s="6">
        <v>750</v>
      </c>
      <c r="G1642" t="s">
        <v>4300</v>
      </c>
    </row>
    <row r="1643" spans="1:7">
      <c r="A1643" t="s">
        <v>6064</v>
      </c>
      <c r="B1643" t="s">
        <v>6065</v>
      </c>
      <c r="C1643" t="s">
        <v>3947</v>
      </c>
      <c r="D1643" t="s">
        <v>3948</v>
      </c>
      <c r="E1643">
        <v>12</v>
      </c>
      <c r="F1643" s="6">
        <v>50</v>
      </c>
      <c r="G1643" t="s">
        <v>4300</v>
      </c>
    </row>
    <row r="1644" spans="1:7">
      <c r="A1644" t="s">
        <v>1922</v>
      </c>
      <c r="B1644" t="s">
        <v>6063</v>
      </c>
      <c r="C1644" t="s">
        <v>3947</v>
      </c>
      <c r="D1644" t="s">
        <v>3948</v>
      </c>
      <c r="E1644">
        <v>6</v>
      </c>
      <c r="F1644" s="6">
        <v>1750</v>
      </c>
      <c r="G1644" t="s">
        <v>4300</v>
      </c>
    </row>
    <row r="1645" spans="1:7">
      <c r="A1645" t="s">
        <v>6066</v>
      </c>
      <c r="B1645" t="s">
        <v>6067</v>
      </c>
      <c r="C1645" t="s">
        <v>3947</v>
      </c>
      <c r="D1645" t="s">
        <v>3948</v>
      </c>
      <c r="E1645">
        <v>12</v>
      </c>
      <c r="F1645" s="6">
        <v>750</v>
      </c>
      <c r="G1645" t="s">
        <v>6068</v>
      </c>
    </row>
    <row r="1646" spans="1:7">
      <c r="A1646" t="s">
        <v>6069</v>
      </c>
      <c r="B1646" t="s">
        <v>6070</v>
      </c>
      <c r="C1646" t="s">
        <v>3947</v>
      </c>
      <c r="D1646" t="s">
        <v>3948</v>
      </c>
      <c r="E1646">
        <v>12</v>
      </c>
      <c r="F1646" s="6">
        <v>750</v>
      </c>
      <c r="G1646" t="s">
        <v>6068</v>
      </c>
    </row>
    <row r="1647" spans="1:7">
      <c r="A1647" t="s">
        <v>6071</v>
      </c>
      <c r="B1647" t="s">
        <v>6072</v>
      </c>
      <c r="C1647" t="s">
        <v>3721</v>
      </c>
      <c r="D1647" t="s">
        <v>3722</v>
      </c>
      <c r="E1647">
        <v>12</v>
      </c>
      <c r="F1647" s="6">
        <v>700</v>
      </c>
      <c r="G1647" t="s">
        <v>6073</v>
      </c>
    </row>
    <row r="1648" spans="1:7">
      <c r="A1648" t="s">
        <v>6074</v>
      </c>
      <c r="B1648" t="s">
        <v>6075</v>
      </c>
      <c r="C1648" t="s">
        <v>3679</v>
      </c>
      <c r="D1648" t="s">
        <v>3680</v>
      </c>
      <c r="E1648">
        <v>6</v>
      </c>
      <c r="F1648" s="6">
        <v>750</v>
      </c>
      <c r="G1648" t="s">
        <v>3802</v>
      </c>
    </row>
    <row r="1649" spans="1:7">
      <c r="A1649" t="s">
        <v>2841</v>
      </c>
      <c r="B1649" t="s">
        <v>5966</v>
      </c>
      <c r="C1649" t="s">
        <v>3947</v>
      </c>
      <c r="D1649" t="s">
        <v>3948</v>
      </c>
      <c r="E1649">
        <v>48</v>
      </c>
      <c r="F1649" s="6">
        <v>200</v>
      </c>
      <c r="G1649" t="s">
        <v>4784</v>
      </c>
    </row>
    <row r="1650" spans="1:7">
      <c r="A1650" t="s">
        <v>831</v>
      </c>
      <c r="B1650" t="s">
        <v>6076</v>
      </c>
      <c r="C1650" t="s">
        <v>3947</v>
      </c>
      <c r="D1650" t="s">
        <v>3948</v>
      </c>
      <c r="E1650">
        <v>6</v>
      </c>
      <c r="F1650" s="6">
        <v>750</v>
      </c>
      <c r="G1650" t="s">
        <v>3802</v>
      </c>
    </row>
    <row r="1651" spans="1:7">
      <c r="A1651" t="s">
        <v>6077</v>
      </c>
      <c r="B1651" t="s">
        <v>5949</v>
      </c>
      <c r="C1651" t="s">
        <v>3947</v>
      </c>
      <c r="D1651" t="s">
        <v>3948</v>
      </c>
      <c r="E1651">
        <v>12</v>
      </c>
      <c r="F1651" s="6">
        <v>750</v>
      </c>
      <c r="G1651" t="s">
        <v>4331</v>
      </c>
    </row>
    <row r="1652" spans="1:7">
      <c r="A1652" t="s">
        <v>6078</v>
      </c>
      <c r="B1652" t="s">
        <v>6079</v>
      </c>
      <c r="C1652" t="s">
        <v>3947</v>
      </c>
      <c r="D1652" t="s">
        <v>3948</v>
      </c>
      <c r="E1652">
        <v>12</v>
      </c>
      <c r="F1652" s="6">
        <v>750</v>
      </c>
      <c r="G1652" t="s">
        <v>3686</v>
      </c>
    </row>
    <row r="1653" spans="1:7">
      <c r="A1653" t="s">
        <v>6080</v>
      </c>
      <c r="B1653" t="s">
        <v>6079</v>
      </c>
      <c r="C1653" t="s">
        <v>3947</v>
      </c>
      <c r="D1653" t="s">
        <v>3948</v>
      </c>
      <c r="E1653">
        <v>6</v>
      </c>
      <c r="F1653" s="6">
        <v>1750</v>
      </c>
      <c r="G1653" t="s">
        <v>3686</v>
      </c>
    </row>
    <row r="1654" spans="1:7">
      <c r="A1654" t="s">
        <v>6081</v>
      </c>
      <c r="B1654" t="s">
        <v>6082</v>
      </c>
      <c r="C1654" t="s">
        <v>3947</v>
      </c>
      <c r="D1654" t="s">
        <v>3948</v>
      </c>
      <c r="E1654">
        <v>6</v>
      </c>
      <c r="F1654" s="6">
        <v>750</v>
      </c>
      <c r="G1654" t="s">
        <v>4734</v>
      </c>
    </row>
    <row r="1655" spans="1:7">
      <c r="A1655" t="s">
        <v>6083</v>
      </c>
      <c r="B1655" t="s">
        <v>6084</v>
      </c>
      <c r="C1655" t="s">
        <v>4093</v>
      </c>
      <c r="D1655" t="s">
        <v>4094</v>
      </c>
      <c r="E1655">
        <v>6</v>
      </c>
      <c r="F1655" s="6">
        <v>750</v>
      </c>
      <c r="G1655" t="s">
        <v>5030</v>
      </c>
    </row>
    <row r="1656" spans="1:7">
      <c r="A1656" t="s">
        <v>3552</v>
      </c>
      <c r="B1656" t="s">
        <v>6085</v>
      </c>
      <c r="C1656" t="s">
        <v>4093</v>
      </c>
      <c r="D1656" t="s">
        <v>4094</v>
      </c>
      <c r="E1656">
        <v>6</v>
      </c>
      <c r="F1656" s="6">
        <v>750</v>
      </c>
      <c r="G1656" t="s">
        <v>5030</v>
      </c>
    </row>
    <row r="1657" spans="1:7">
      <c r="A1657" t="s">
        <v>1335</v>
      </c>
      <c r="B1657" t="s">
        <v>6086</v>
      </c>
      <c r="C1657" t="s">
        <v>4093</v>
      </c>
      <c r="D1657" t="s">
        <v>4094</v>
      </c>
      <c r="E1657">
        <v>6</v>
      </c>
      <c r="F1657" s="6">
        <v>750</v>
      </c>
      <c r="G1657" t="s">
        <v>5030</v>
      </c>
    </row>
    <row r="1658" spans="1:7">
      <c r="A1658" t="s">
        <v>2347</v>
      </c>
      <c r="B1658" t="s">
        <v>6087</v>
      </c>
      <c r="C1658" t="s">
        <v>4093</v>
      </c>
      <c r="D1658" t="s">
        <v>4094</v>
      </c>
      <c r="E1658">
        <v>12</v>
      </c>
      <c r="F1658" s="6">
        <v>750</v>
      </c>
      <c r="G1658" t="s">
        <v>6068</v>
      </c>
    </row>
    <row r="1659" spans="1:7">
      <c r="A1659" t="s">
        <v>6088</v>
      </c>
      <c r="B1659" t="s">
        <v>6089</v>
      </c>
      <c r="C1659" t="s">
        <v>4093</v>
      </c>
      <c r="D1659" t="s">
        <v>4094</v>
      </c>
      <c r="E1659">
        <v>12</v>
      </c>
      <c r="F1659" s="6">
        <v>750</v>
      </c>
      <c r="G1659" t="s">
        <v>6068</v>
      </c>
    </row>
    <row r="1660" spans="1:7">
      <c r="A1660" t="s">
        <v>6090</v>
      </c>
      <c r="B1660" t="s">
        <v>6091</v>
      </c>
      <c r="C1660" t="s">
        <v>4093</v>
      </c>
      <c r="D1660" t="s">
        <v>4094</v>
      </c>
      <c r="E1660">
        <v>12</v>
      </c>
      <c r="F1660" s="6">
        <v>750</v>
      </c>
      <c r="G1660" t="s">
        <v>6068</v>
      </c>
    </row>
    <row r="1661" spans="1:7">
      <c r="A1661" t="s">
        <v>6092</v>
      </c>
      <c r="B1661" t="s">
        <v>6093</v>
      </c>
      <c r="C1661" t="s">
        <v>4093</v>
      </c>
      <c r="D1661" t="s">
        <v>4094</v>
      </c>
      <c r="E1661">
        <v>6</v>
      </c>
      <c r="F1661" s="6">
        <v>50</v>
      </c>
      <c r="G1661" t="s">
        <v>4899</v>
      </c>
    </row>
    <row r="1662" spans="1:7">
      <c r="A1662" t="s">
        <v>6094</v>
      </c>
      <c r="B1662" t="s">
        <v>6095</v>
      </c>
      <c r="C1662" t="s">
        <v>3679</v>
      </c>
      <c r="D1662" t="s">
        <v>3680</v>
      </c>
      <c r="E1662">
        <v>12</v>
      </c>
      <c r="F1662" s="6">
        <v>750</v>
      </c>
      <c r="G1662" t="s">
        <v>3763</v>
      </c>
    </row>
    <row r="1663" spans="1:7">
      <c r="A1663" t="s">
        <v>6096</v>
      </c>
      <c r="B1663" t="s">
        <v>6097</v>
      </c>
      <c r="C1663" t="s">
        <v>3679</v>
      </c>
      <c r="D1663" t="s">
        <v>3680</v>
      </c>
      <c r="E1663">
        <v>12</v>
      </c>
      <c r="F1663" s="6">
        <v>50</v>
      </c>
      <c r="G1663" t="s">
        <v>4300</v>
      </c>
    </row>
    <row r="1664" spans="1:7">
      <c r="A1664" t="s">
        <v>6098</v>
      </c>
      <c r="B1664" t="s">
        <v>6099</v>
      </c>
      <c r="C1664" t="s">
        <v>3679</v>
      </c>
      <c r="D1664" t="s">
        <v>3680</v>
      </c>
      <c r="E1664">
        <v>12</v>
      </c>
      <c r="F1664" s="6">
        <v>750</v>
      </c>
      <c r="G1664" t="s">
        <v>4300</v>
      </c>
    </row>
    <row r="1665" spans="1:7">
      <c r="A1665" t="s">
        <v>6100</v>
      </c>
      <c r="B1665" t="s">
        <v>6101</v>
      </c>
      <c r="C1665" t="s">
        <v>3947</v>
      </c>
      <c r="D1665" t="s">
        <v>3948</v>
      </c>
      <c r="E1665">
        <v>6</v>
      </c>
      <c r="F1665" s="6">
        <v>50</v>
      </c>
      <c r="G1665" t="s">
        <v>4899</v>
      </c>
    </row>
    <row r="1666" spans="1:7">
      <c r="A1666" t="s">
        <v>2652</v>
      </c>
      <c r="B1666" t="s">
        <v>6102</v>
      </c>
      <c r="C1666" t="s">
        <v>3947</v>
      </c>
      <c r="D1666" t="s">
        <v>3948</v>
      </c>
      <c r="E1666">
        <v>12</v>
      </c>
      <c r="F1666" s="6">
        <v>750</v>
      </c>
      <c r="G1666" t="s">
        <v>5748</v>
      </c>
    </row>
    <row r="1667" spans="1:7">
      <c r="A1667" t="s">
        <v>1902</v>
      </c>
      <c r="B1667" t="s">
        <v>6103</v>
      </c>
      <c r="C1667" t="s">
        <v>3947</v>
      </c>
      <c r="D1667" t="s">
        <v>3948</v>
      </c>
      <c r="E1667">
        <v>12</v>
      </c>
      <c r="F1667" s="6">
        <v>750</v>
      </c>
      <c r="G1667" t="s">
        <v>3686</v>
      </c>
    </row>
    <row r="1668" spans="1:7">
      <c r="A1668" t="s">
        <v>2951</v>
      </c>
      <c r="B1668" t="s">
        <v>6104</v>
      </c>
      <c r="C1668" t="s">
        <v>3947</v>
      </c>
      <c r="D1668" t="s">
        <v>3948</v>
      </c>
      <c r="E1668">
        <v>12</v>
      </c>
      <c r="F1668" s="6">
        <v>750</v>
      </c>
      <c r="G1668" t="s">
        <v>4581</v>
      </c>
    </row>
    <row r="1669" spans="1:7">
      <c r="A1669" t="s">
        <v>92</v>
      </c>
      <c r="B1669" t="s">
        <v>6105</v>
      </c>
      <c r="C1669" t="s">
        <v>3947</v>
      </c>
      <c r="D1669" t="s">
        <v>3948</v>
      </c>
      <c r="E1669">
        <v>24</v>
      </c>
      <c r="F1669" s="6">
        <v>200</v>
      </c>
      <c r="G1669" t="s">
        <v>3735</v>
      </c>
    </row>
    <row r="1670" spans="1:7">
      <c r="A1670" t="s">
        <v>2264</v>
      </c>
      <c r="B1670" t="s">
        <v>6106</v>
      </c>
      <c r="C1670" t="s">
        <v>3947</v>
      </c>
      <c r="D1670" t="s">
        <v>3948</v>
      </c>
      <c r="E1670">
        <v>12</v>
      </c>
      <c r="F1670" s="6">
        <v>50</v>
      </c>
      <c r="G1670" t="s">
        <v>3735</v>
      </c>
    </row>
    <row r="1671" spans="1:7">
      <c r="A1671" t="s">
        <v>1184</v>
      </c>
      <c r="B1671" t="s">
        <v>6105</v>
      </c>
      <c r="C1671" t="s">
        <v>3947</v>
      </c>
      <c r="D1671" t="s">
        <v>3948</v>
      </c>
      <c r="E1671">
        <v>12</v>
      </c>
      <c r="F1671" s="6">
        <v>750</v>
      </c>
      <c r="G1671" t="s">
        <v>3735</v>
      </c>
    </row>
    <row r="1672" spans="1:7">
      <c r="A1672" t="s">
        <v>598</v>
      </c>
      <c r="B1672" t="s">
        <v>6105</v>
      </c>
      <c r="C1672" t="s">
        <v>3947</v>
      </c>
      <c r="D1672" t="s">
        <v>3948</v>
      </c>
      <c r="E1672">
        <v>6</v>
      </c>
      <c r="F1672" s="6">
        <v>1750</v>
      </c>
      <c r="G1672" t="s">
        <v>3735</v>
      </c>
    </row>
    <row r="1673" spans="1:7">
      <c r="A1673" t="s">
        <v>1554</v>
      </c>
      <c r="B1673" t="s">
        <v>6105</v>
      </c>
      <c r="C1673" t="s">
        <v>3947</v>
      </c>
      <c r="D1673" t="s">
        <v>3948</v>
      </c>
      <c r="E1673">
        <v>12</v>
      </c>
      <c r="F1673" s="6">
        <v>375</v>
      </c>
      <c r="G1673" t="s">
        <v>3735</v>
      </c>
    </row>
    <row r="1674" spans="1:7">
      <c r="A1674" t="s">
        <v>2003</v>
      </c>
      <c r="B1674" t="s">
        <v>6107</v>
      </c>
      <c r="C1674" t="s">
        <v>3947</v>
      </c>
      <c r="D1674" t="s">
        <v>3948</v>
      </c>
      <c r="E1674">
        <v>12</v>
      </c>
      <c r="F1674" s="6">
        <v>750</v>
      </c>
      <c r="G1674" t="s">
        <v>6108</v>
      </c>
    </row>
    <row r="1675" spans="1:7">
      <c r="A1675" t="s">
        <v>6109</v>
      </c>
      <c r="B1675" t="s">
        <v>6110</v>
      </c>
      <c r="C1675" t="s">
        <v>3947</v>
      </c>
      <c r="D1675" t="s">
        <v>3948</v>
      </c>
      <c r="E1675">
        <v>12</v>
      </c>
      <c r="F1675" s="6">
        <v>750</v>
      </c>
      <c r="G1675" t="s">
        <v>5228</v>
      </c>
    </row>
    <row r="1676" spans="1:7">
      <c r="A1676" t="s">
        <v>2942</v>
      </c>
      <c r="B1676" t="s">
        <v>6111</v>
      </c>
      <c r="C1676" t="s">
        <v>3947</v>
      </c>
      <c r="D1676" t="s">
        <v>3948</v>
      </c>
      <c r="E1676">
        <v>24</v>
      </c>
      <c r="F1676" s="6">
        <v>375</v>
      </c>
      <c r="G1676" t="s">
        <v>3686</v>
      </c>
    </row>
    <row r="1677" spans="1:7">
      <c r="A1677" t="s">
        <v>928</v>
      </c>
      <c r="B1677" t="s">
        <v>6112</v>
      </c>
      <c r="C1677" t="s">
        <v>3947</v>
      </c>
      <c r="D1677" t="s">
        <v>3948</v>
      </c>
      <c r="E1677">
        <v>12</v>
      </c>
      <c r="F1677" s="6">
        <v>750</v>
      </c>
      <c r="G1677" t="s">
        <v>3686</v>
      </c>
    </row>
    <row r="1678" spans="1:7">
      <c r="A1678" t="s">
        <v>1532</v>
      </c>
      <c r="B1678" t="s">
        <v>6111</v>
      </c>
      <c r="C1678" t="s">
        <v>3947</v>
      </c>
      <c r="D1678" t="s">
        <v>3948</v>
      </c>
      <c r="E1678">
        <v>12</v>
      </c>
      <c r="F1678" s="6">
        <v>750</v>
      </c>
      <c r="G1678" t="s">
        <v>3686</v>
      </c>
    </row>
    <row r="1679" spans="1:7">
      <c r="A1679" t="s">
        <v>2680</v>
      </c>
      <c r="B1679" t="s">
        <v>6111</v>
      </c>
      <c r="C1679" t="s">
        <v>3947</v>
      </c>
      <c r="D1679" t="s">
        <v>3948</v>
      </c>
      <c r="E1679">
        <v>12</v>
      </c>
      <c r="F1679" s="6">
        <v>1000</v>
      </c>
      <c r="G1679" t="s">
        <v>3686</v>
      </c>
    </row>
    <row r="1680" spans="1:7">
      <c r="A1680" t="s">
        <v>1838</v>
      </c>
      <c r="B1680" t="s">
        <v>6111</v>
      </c>
      <c r="C1680" t="s">
        <v>3947</v>
      </c>
      <c r="D1680" t="s">
        <v>3948</v>
      </c>
      <c r="E1680">
        <v>6</v>
      </c>
      <c r="F1680" s="6">
        <v>1750</v>
      </c>
      <c r="G1680" t="s">
        <v>3686</v>
      </c>
    </row>
    <row r="1681" spans="1:7">
      <c r="A1681" t="s">
        <v>6113</v>
      </c>
      <c r="B1681" t="s">
        <v>6114</v>
      </c>
      <c r="C1681" t="s">
        <v>3721</v>
      </c>
      <c r="D1681" t="s">
        <v>3722</v>
      </c>
      <c r="E1681">
        <v>12</v>
      </c>
      <c r="F1681" s="6">
        <v>50</v>
      </c>
      <c r="G1681" t="s">
        <v>3705</v>
      </c>
    </row>
    <row r="1682" spans="1:7">
      <c r="A1682" t="s">
        <v>514</v>
      </c>
      <c r="B1682" t="s">
        <v>6115</v>
      </c>
      <c r="C1682" t="s">
        <v>3947</v>
      </c>
      <c r="D1682" t="s">
        <v>3948</v>
      </c>
      <c r="E1682">
        <v>12</v>
      </c>
      <c r="F1682" s="6">
        <v>750</v>
      </c>
      <c r="G1682" t="s">
        <v>5020</v>
      </c>
    </row>
    <row r="1683" spans="1:7">
      <c r="A1683" t="s">
        <v>6116</v>
      </c>
      <c r="B1683" t="s">
        <v>6117</v>
      </c>
      <c r="C1683" t="s">
        <v>3947</v>
      </c>
      <c r="D1683" t="s">
        <v>3948</v>
      </c>
      <c r="E1683">
        <v>6</v>
      </c>
      <c r="F1683" s="6">
        <v>750</v>
      </c>
      <c r="G1683" t="s">
        <v>3686</v>
      </c>
    </row>
    <row r="1684" spans="1:7">
      <c r="A1684" t="s">
        <v>6118</v>
      </c>
      <c r="B1684" t="s">
        <v>6119</v>
      </c>
      <c r="C1684" t="s">
        <v>3947</v>
      </c>
      <c r="D1684" t="s">
        <v>3948</v>
      </c>
      <c r="E1684">
        <v>12</v>
      </c>
      <c r="F1684" s="6">
        <v>750</v>
      </c>
      <c r="G1684" t="s">
        <v>5134</v>
      </c>
    </row>
    <row r="1685" spans="1:7">
      <c r="A1685" t="s">
        <v>6120</v>
      </c>
      <c r="B1685" t="s">
        <v>6121</v>
      </c>
      <c r="C1685" t="s">
        <v>3947</v>
      </c>
      <c r="D1685" t="s">
        <v>3948</v>
      </c>
      <c r="E1685">
        <v>6</v>
      </c>
      <c r="F1685" s="6">
        <v>750</v>
      </c>
      <c r="G1685" t="s">
        <v>5339</v>
      </c>
    </row>
    <row r="1686" spans="1:7">
      <c r="A1686" t="s">
        <v>6122</v>
      </c>
      <c r="B1686" t="s">
        <v>6123</v>
      </c>
      <c r="C1686" t="s">
        <v>3679</v>
      </c>
      <c r="D1686" t="s">
        <v>3680</v>
      </c>
      <c r="E1686">
        <v>12</v>
      </c>
      <c r="F1686" s="6">
        <v>50</v>
      </c>
      <c r="G1686" t="s">
        <v>3888</v>
      </c>
    </row>
    <row r="1687" spans="1:7">
      <c r="A1687" t="s">
        <v>1075</v>
      </c>
      <c r="B1687" t="s">
        <v>6124</v>
      </c>
      <c r="C1687" t="s">
        <v>3947</v>
      </c>
      <c r="D1687" t="s">
        <v>3948</v>
      </c>
      <c r="E1687">
        <v>12</v>
      </c>
      <c r="F1687" s="6">
        <v>750</v>
      </c>
      <c r="G1687" t="s">
        <v>3888</v>
      </c>
    </row>
    <row r="1688" spans="1:7">
      <c r="A1688" t="s">
        <v>488</v>
      </c>
      <c r="B1688" t="s">
        <v>6124</v>
      </c>
      <c r="C1688" t="s">
        <v>3947</v>
      </c>
      <c r="D1688" t="s">
        <v>3948</v>
      </c>
      <c r="E1688">
        <v>12</v>
      </c>
      <c r="F1688" s="6">
        <v>1000</v>
      </c>
      <c r="G1688" t="s">
        <v>3888</v>
      </c>
    </row>
    <row r="1689" spans="1:7">
      <c r="A1689" t="s">
        <v>2388</v>
      </c>
      <c r="B1689" t="s">
        <v>6124</v>
      </c>
      <c r="C1689" t="s">
        <v>3947</v>
      </c>
      <c r="D1689" t="s">
        <v>3948</v>
      </c>
      <c r="E1689">
        <v>6</v>
      </c>
      <c r="F1689" s="6">
        <v>1750</v>
      </c>
      <c r="G1689" t="s">
        <v>3888</v>
      </c>
    </row>
    <row r="1690" spans="1:7">
      <c r="A1690" t="s">
        <v>1461</v>
      </c>
      <c r="B1690" t="s">
        <v>6125</v>
      </c>
      <c r="C1690" t="s">
        <v>3947</v>
      </c>
      <c r="D1690" t="s">
        <v>3948</v>
      </c>
      <c r="E1690">
        <v>12</v>
      </c>
      <c r="F1690" s="6">
        <v>50</v>
      </c>
      <c r="G1690" t="s">
        <v>3730</v>
      </c>
    </row>
    <row r="1691" spans="1:7">
      <c r="A1691" t="s">
        <v>176</v>
      </c>
      <c r="B1691" t="s">
        <v>6126</v>
      </c>
      <c r="C1691" t="s">
        <v>3947</v>
      </c>
      <c r="D1691" t="s">
        <v>3948</v>
      </c>
      <c r="E1691">
        <v>48</v>
      </c>
      <c r="F1691" s="6">
        <v>200</v>
      </c>
      <c r="G1691" t="s">
        <v>3730</v>
      </c>
    </row>
    <row r="1692" spans="1:7">
      <c r="A1692" t="s">
        <v>2279</v>
      </c>
      <c r="B1692" t="s">
        <v>6126</v>
      </c>
      <c r="C1692" t="s">
        <v>3947</v>
      </c>
      <c r="D1692" t="s">
        <v>3948</v>
      </c>
      <c r="E1692">
        <v>24</v>
      </c>
      <c r="F1692" s="6">
        <v>375</v>
      </c>
      <c r="G1692" t="s">
        <v>3730</v>
      </c>
    </row>
    <row r="1693" spans="1:7">
      <c r="A1693" t="s">
        <v>695</v>
      </c>
      <c r="B1693" t="s">
        <v>6126</v>
      </c>
      <c r="C1693" t="s">
        <v>3947</v>
      </c>
      <c r="D1693" t="s">
        <v>3948</v>
      </c>
      <c r="E1693">
        <v>12</v>
      </c>
      <c r="F1693" s="6">
        <v>750</v>
      </c>
      <c r="G1693" t="s">
        <v>3730</v>
      </c>
    </row>
    <row r="1694" spans="1:7">
      <c r="A1694" t="s">
        <v>1666</v>
      </c>
      <c r="B1694" t="s">
        <v>6126</v>
      </c>
      <c r="C1694" t="s">
        <v>3947</v>
      </c>
      <c r="D1694" t="s">
        <v>3948</v>
      </c>
      <c r="E1694">
        <v>12</v>
      </c>
      <c r="F1694" s="6">
        <v>1000</v>
      </c>
      <c r="G1694" t="s">
        <v>3730</v>
      </c>
    </row>
    <row r="1695" spans="1:7">
      <c r="A1695" t="s">
        <v>6127</v>
      </c>
      <c r="B1695" t="s">
        <v>6126</v>
      </c>
      <c r="C1695" t="s">
        <v>3947</v>
      </c>
      <c r="D1695" t="s">
        <v>3948</v>
      </c>
      <c r="E1695">
        <v>6</v>
      </c>
      <c r="F1695" s="6">
        <v>1750</v>
      </c>
      <c r="G1695" t="s">
        <v>3730</v>
      </c>
    </row>
    <row r="1696" spans="1:7">
      <c r="A1696" t="s">
        <v>1455</v>
      </c>
      <c r="B1696" t="s">
        <v>6128</v>
      </c>
      <c r="C1696" t="s">
        <v>3947</v>
      </c>
      <c r="D1696" t="s">
        <v>3948</v>
      </c>
      <c r="E1696">
        <v>12</v>
      </c>
      <c r="F1696" s="6">
        <v>750</v>
      </c>
      <c r="G1696" t="s">
        <v>3730</v>
      </c>
    </row>
    <row r="1697" spans="1:7">
      <c r="A1697" t="s">
        <v>75</v>
      </c>
      <c r="B1697" t="s">
        <v>6128</v>
      </c>
      <c r="C1697" t="s">
        <v>3947</v>
      </c>
      <c r="D1697" t="s">
        <v>3948</v>
      </c>
      <c r="E1697">
        <v>6</v>
      </c>
      <c r="F1697" s="6">
        <v>1750</v>
      </c>
      <c r="G1697" t="s">
        <v>3730</v>
      </c>
    </row>
    <row r="1698" spans="1:7">
      <c r="A1698" t="s">
        <v>6129</v>
      </c>
      <c r="B1698" t="s">
        <v>6130</v>
      </c>
      <c r="C1698" t="s">
        <v>3947</v>
      </c>
      <c r="D1698" t="s">
        <v>3948</v>
      </c>
      <c r="E1698">
        <v>12</v>
      </c>
      <c r="F1698" s="6">
        <v>750</v>
      </c>
      <c r="G1698" t="s">
        <v>5020</v>
      </c>
    </row>
    <row r="1699" spans="1:7">
      <c r="A1699" t="s">
        <v>675</v>
      </c>
      <c r="B1699" t="s">
        <v>6131</v>
      </c>
      <c r="C1699" t="s">
        <v>3947</v>
      </c>
      <c r="D1699" t="s">
        <v>3948</v>
      </c>
      <c r="E1699">
        <v>12</v>
      </c>
      <c r="F1699" s="6">
        <v>750</v>
      </c>
      <c r="G1699" t="s">
        <v>6132</v>
      </c>
    </row>
    <row r="1700" spans="1:7">
      <c r="A1700" t="s">
        <v>1410</v>
      </c>
      <c r="B1700" t="s">
        <v>6131</v>
      </c>
      <c r="C1700" t="s">
        <v>3947</v>
      </c>
      <c r="D1700" t="s">
        <v>3948</v>
      </c>
      <c r="E1700">
        <v>12</v>
      </c>
      <c r="F1700" s="6">
        <v>1000</v>
      </c>
      <c r="G1700" t="s">
        <v>6132</v>
      </c>
    </row>
    <row r="1701" spans="1:7">
      <c r="A1701" t="s">
        <v>6133</v>
      </c>
      <c r="B1701" t="s">
        <v>6134</v>
      </c>
      <c r="C1701" t="s">
        <v>3947</v>
      </c>
      <c r="D1701" t="s">
        <v>3948</v>
      </c>
      <c r="E1701">
        <v>12</v>
      </c>
      <c r="F1701" s="6">
        <v>50</v>
      </c>
      <c r="G1701" t="s">
        <v>6135</v>
      </c>
    </row>
    <row r="1702" spans="1:7">
      <c r="A1702" t="s">
        <v>1818</v>
      </c>
      <c r="B1702" t="s">
        <v>6136</v>
      </c>
      <c r="C1702" t="s">
        <v>3947</v>
      </c>
      <c r="D1702" t="s">
        <v>3948</v>
      </c>
      <c r="E1702">
        <v>12</v>
      </c>
      <c r="F1702" s="6">
        <v>750</v>
      </c>
      <c r="G1702" t="s">
        <v>6135</v>
      </c>
    </row>
    <row r="1703" spans="1:7">
      <c r="A1703" t="s">
        <v>6137</v>
      </c>
      <c r="B1703" t="s">
        <v>6136</v>
      </c>
      <c r="C1703" t="s">
        <v>3947</v>
      </c>
      <c r="D1703" t="s">
        <v>3948</v>
      </c>
      <c r="E1703">
        <v>12</v>
      </c>
      <c r="F1703" s="6">
        <v>1000</v>
      </c>
      <c r="G1703" t="s">
        <v>6135</v>
      </c>
    </row>
    <row r="1704" spans="1:7">
      <c r="A1704" t="s">
        <v>316</v>
      </c>
      <c r="B1704" t="s">
        <v>6136</v>
      </c>
      <c r="C1704" t="s">
        <v>3947</v>
      </c>
      <c r="D1704" t="s">
        <v>3948</v>
      </c>
      <c r="E1704">
        <v>6</v>
      </c>
      <c r="F1704" s="6">
        <v>1750</v>
      </c>
      <c r="G1704" t="s">
        <v>6135</v>
      </c>
    </row>
    <row r="1705" spans="1:7">
      <c r="A1705" t="s">
        <v>2389</v>
      </c>
      <c r="B1705" t="s">
        <v>6138</v>
      </c>
      <c r="C1705" t="s">
        <v>3947</v>
      </c>
      <c r="D1705" t="s">
        <v>3948</v>
      </c>
      <c r="E1705">
        <v>12</v>
      </c>
      <c r="F1705" s="6">
        <v>750</v>
      </c>
      <c r="G1705" t="s">
        <v>3686</v>
      </c>
    </row>
    <row r="1706" spans="1:7">
      <c r="A1706" t="s">
        <v>853</v>
      </c>
      <c r="B1706" t="s">
        <v>6139</v>
      </c>
      <c r="C1706" t="s">
        <v>3947</v>
      </c>
      <c r="D1706" t="s">
        <v>3948</v>
      </c>
      <c r="E1706">
        <v>6</v>
      </c>
      <c r="F1706" s="6">
        <v>1750</v>
      </c>
      <c r="G1706" t="s">
        <v>3686</v>
      </c>
    </row>
    <row r="1707" spans="1:7">
      <c r="A1707" t="s">
        <v>6140</v>
      </c>
      <c r="B1707" t="s">
        <v>6139</v>
      </c>
      <c r="C1707" t="s">
        <v>3947</v>
      </c>
      <c r="D1707" t="s">
        <v>3948</v>
      </c>
      <c r="E1707">
        <v>48</v>
      </c>
      <c r="F1707" s="6">
        <v>100</v>
      </c>
      <c r="G1707" t="s">
        <v>3686</v>
      </c>
    </row>
    <row r="1708" spans="1:7">
      <c r="A1708" t="s">
        <v>6141</v>
      </c>
      <c r="B1708" t="s">
        <v>6142</v>
      </c>
      <c r="C1708" t="s">
        <v>3947</v>
      </c>
      <c r="D1708" t="s">
        <v>3948</v>
      </c>
      <c r="E1708">
        <v>12</v>
      </c>
      <c r="F1708" s="6">
        <v>750</v>
      </c>
      <c r="G1708" t="s">
        <v>3686</v>
      </c>
    </row>
    <row r="1709" spans="1:7">
      <c r="A1709" t="s">
        <v>1199</v>
      </c>
      <c r="B1709" t="s">
        <v>6143</v>
      </c>
      <c r="C1709" t="s">
        <v>3947</v>
      </c>
      <c r="D1709" t="s">
        <v>3948</v>
      </c>
      <c r="E1709">
        <v>12</v>
      </c>
      <c r="F1709" s="6">
        <v>50</v>
      </c>
      <c r="G1709" t="s">
        <v>3686</v>
      </c>
    </row>
    <row r="1710" spans="1:7">
      <c r="A1710" t="s">
        <v>6144</v>
      </c>
      <c r="B1710" t="s">
        <v>6145</v>
      </c>
      <c r="C1710" t="s">
        <v>3947</v>
      </c>
      <c r="D1710" t="s">
        <v>3948</v>
      </c>
      <c r="E1710">
        <v>6</v>
      </c>
      <c r="F1710" s="6">
        <v>750</v>
      </c>
      <c r="G1710" t="s">
        <v>5273</v>
      </c>
    </row>
    <row r="1711" spans="1:7">
      <c r="A1711" t="s">
        <v>2382</v>
      </c>
      <c r="B1711" t="s">
        <v>6146</v>
      </c>
      <c r="C1711" t="s">
        <v>3947</v>
      </c>
      <c r="D1711" t="s">
        <v>3948</v>
      </c>
      <c r="E1711">
        <v>6</v>
      </c>
      <c r="F1711" s="6">
        <v>750</v>
      </c>
      <c r="G1711" t="s">
        <v>5014</v>
      </c>
    </row>
    <row r="1712" spans="1:7">
      <c r="A1712" t="s">
        <v>6147</v>
      </c>
      <c r="B1712" t="s">
        <v>6023</v>
      </c>
      <c r="C1712" t="s">
        <v>3947</v>
      </c>
      <c r="D1712" t="s">
        <v>3948</v>
      </c>
      <c r="E1712">
        <v>6</v>
      </c>
      <c r="F1712" s="6">
        <v>1750</v>
      </c>
      <c r="G1712" t="s">
        <v>5398</v>
      </c>
    </row>
    <row r="1713" spans="1:7">
      <c r="A1713" t="s">
        <v>36</v>
      </c>
      <c r="B1713" t="s">
        <v>6148</v>
      </c>
      <c r="C1713" t="s">
        <v>3947</v>
      </c>
      <c r="D1713" t="s">
        <v>3948</v>
      </c>
      <c r="E1713">
        <v>12</v>
      </c>
      <c r="F1713" s="6">
        <v>750</v>
      </c>
      <c r="G1713" t="s">
        <v>3698</v>
      </c>
    </row>
    <row r="1714" spans="1:7">
      <c r="A1714" t="s">
        <v>1963</v>
      </c>
      <c r="B1714" t="s">
        <v>6149</v>
      </c>
      <c r="C1714" t="s">
        <v>3947</v>
      </c>
      <c r="D1714" t="s">
        <v>3948</v>
      </c>
      <c r="E1714">
        <v>12</v>
      </c>
      <c r="F1714" s="6">
        <v>375</v>
      </c>
      <c r="G1714" t="s">
        <v>6150</v>
      </c>
    </row>
    <row r="1715" spans="1:7">
      <c r="A1715" t="s">
        <v>666</v>
      </c>
      <c r="B1715" t="s">
        <v>6149</v>
      </c>
      <c r="C1715" t="s">
        <v>3947</v>
      </c>
      <c r="D1715" t="s">
        <v>3948</v>
      </c>
      <c r="E1715">
        <v>12</v>
      </c>
      <c r="F1715" s="6">
        <v>750</v>
      </c>
      <c r="G1715" t="s">
        <v>6150</v>
      </c>
    </row>
    <row r="1716" spans="1:7">
      <c r="A1716" t="s">
        <v>2204</v>
      </c>
      <c r="B1716" t="s">
        <v>6149</v>
      </c>
      <c r="C1716" t="s">
        <v>3947</v>
      </c>
      <c r="D1716" t="s">
        <v>3948</v>
      </c>
      <c r="E1716">
        <v>12</v>
      </c>
      <c r="F1716" s="6">
        <v>1000</v>
      </c>
      <c r="G1716" t="s">
        <v>6150</v>
      </c>
    </row>
    <row r="1717" spans="1:7">
      <c r="A1717" t="s">
        <v>1373</v>
      </c>
      <c r="B1717" t="s">
        <v>6149</v>
      </c>
      <c r="C1717" t="s">
        <v>3947</v>
      </c>
      <c r="D1717" t="s">
        <v>3948</v>
      </c>
      <c r="E1717">
        <v>6</v>
      </c>
      <c r="F1717" s="6">
        <v>1750</v>
      </c>
      <c r="G1717" t="s">
        <v>6150</v>
      </c>
    </row>
    <row r="1718" spans="1:7">
      <c r="A1718" t="s">
        <v>200</v>
      </c>
      <c r="B1718" t="s">
        <v>6149</v>
      </c>
      <c r="C1718" t="s">
        <v>3947</v>
      </c>
      <c r="D1718" t="s">
        <v>3948</v>
      </c>
      <c r="E1718">
        <v>24</v>
      </c>
      <c r="F1718" s="6">
        <v>200</v>
      </c>
      <c r="G1718" t="s">
        <v>6150</v>
      </c>
    </row>
    <row r="1719" spans="1:7">
      <c r="A1719" t="s">
        <v>3270</v>
      </c>
      <c r="B1719" t="s">
        <v>6151</v>
      </c>
      <c r="C1719" t="s">
        <v>3947</v>
      </c>
      <c r="D1719" t="s">
        <v>3948</v>
      </c>
      <c r="E1719">
        <v>15</v>
      </c>
      <c r="F1719" s="6">
        <v>50</v>
      </c>
      <c r="G1719" t="s">
        <v>6150</v>
      </c>
    </row>
    <row r="1720" spans="1:7">
      <c r="A1720" t="s">
        <v>1462</v>
      </c>
      <c r="B1720" t="s">
        <v>6152</v>
      </c>
      <c r="C1720" t="s">
        <v>3947</v>
      </c>
      <c r="D1720" t="s">
        <v>3948</v>
      </c>
      <c r="E1720">
        <v>5</v>
      </c>
      <c r="F1720" s="6">
        <v>50</v>
      </c>
      <c r="G1720" t="s">
        <v>6150</v>
      </c>
    </row>
    <row r="1721" spans="1:7">
      <c r="A1721" t="s">
        <v>6153</v>
      </c>
      <c r="B1721" t="s">
        <v>6154</v>
      </c>
      <c r="C1721" t="s">
        <v>3947</v>
      </c>
      <c r="D1721" t="s">
        <v>3948</v>
      </c>
      <c r="E1721">
        <v>6</v>
      </c>
      <c r="F1721" s="6">
        <v>750</v>
      </c>
      <c r="G1721" t="s">
        <v>5472</v>
      </c>
    </row>
    <row r="1722" spans="1:7">
      <c r="A1722" t="s">
        <v>676</v>
      </c>
      <c r="B1722" t="s">
        <v>6155</v>
      </c>
      <c r="C1722" t="s">
        <v>3947</v>
      </c>
      <c r="D1722" t="s">
        <v>3948</v>
      </c>
      <c r="E1722">
        <v>6</v>
      </c>
      <c r="F1722" s="6">
        <v>750</v>
      </c>
      <c r="G1722" t="s">
        <v>6156</v>
      </c>
    </row>
    <row r="1723" spans="1:7">
      <c r="A1723" t="s">
        <v>6157</v>
      </c>
      <c r="B1723" t="s">
        <v>6158</v>
      </c>
      <c r="C1723" t="s">
        <v>3947</v>
      </c>
      <c r="D1723" t="s">
        <v>3948</v>
      </c>
      <c r="E1723">
        <v>6</v>
      </c>
      <c r="F1723" s="6">
        <v>750</v>
      </c>
      <c r="G1723" t="s">
        <v>6156</v>
      </c>
    </row>
    <row r="1724" spans="1:7">
      <c r="A1724" t="s">
        <v>6159</v>
      </c>
      <c r="B1724" t="s">
        <v>6160</v>
      </c>
      <c r="C1724" t="s">
        <v>3947</v>
      </c>
      <c r="D1724" t="s">
        <v>3948</v>
      </c>
      <c r="E1724">
        <v>12</v>
      </c>
      <c r="F1724" s="6">
        <v>1000</v>
      </c>
      <c r="G1724" t="s">
        <v>6161</v>
      </c>
    </row>
    <row r="1725" spans="1:7">
      <c r="A1725" t="s">
        <v>6162</v>
      </c>
      <c r="B1725" t="s">
        <v>6107</v>
      </c>
      <c r="C1725" t="s">
        <v>3947</v>
      </c>
      <c r="D1725" t="s">
        <v>3948</v>
      </c>
      <c r="E1725">
        <v>6</v>
      </c>
      <c r="F1725" s="6">
        <v>1000</v>
      </c>
      <c r="G1725" t="s">
        <v>6108</v>
      </c>
    </row>
    <row r="1726" spans="1:7">
      <c r="A1726" t="s">
        <v>1471</v>
      </c>
      <c r="B1726" t="s">
        <v>6163</v>
      </c>
      <c r="C1726" t="s">
        <v>3700</v>
      </c>
      <c r="D1726" t="s">
        <v>3701</v>
      </c>
      <c r="E1726">
        <v>1</v>
      </c>
      <c r="F1726" s="6">
        <v>2250</v>
      </c>
      <c r="G1726" t="s">
        <v>3702</v>
      </c>
    </row>
    <row r="1727" spans="1:7">
      <c r="A1727" t="s">
        <v>2541</v>
      </c>
      <c r="B1727" t="s">
        <v>6164</v>
      </c>
      <c r="C1727" t="s">
        <v>3947</v>
      </c>
      <c r="D1727" t="s">
        <v>3948</v>
      </c>
      <c r="E1727">
        <v>12</v>
      </c>
      <c r="F1727" s="6">
        <v>750</v>
      </c>
      <c r="G1727" t="s">
        <v>4300</v>
      </c>
    </row>
    <row r="1728" spans="1:7">
      <c r="A1728" t="s">
        <v>6165</v>
      </c>
      <c r="B1728" t="s">
        <v>6166</v>
      </c>
      <c r="C1728" t="s">
        <v>3947</v>
      </c>
      <c r="D1728" t="s">
        <v>3948</v>
      </c>
      <c r="E1728">
        <v>12</v>
      </c>
      <c r="F1728" s="6">
        <v>750</v>
      </c>
      <c r="G1728" t="s">
        <v>6167</v>
      </c>
    </row>
    <row r="1729" spans="1:7">
      <c r="A1729" t="s">
        <v>6168</v>
      </c>
      <c r="B1729" t="s">
        <v>6166</v>
      </c>
      <c r="C1729" t="s">
        <v>3947</v>
      </c>
      <c r="D1729" t="s">
        <v>3948</v>
      </c>
      <c r="E1729">
        <v>6</v>
      </c>
      <c r="F1729" s="6">
        <v>1750</v>
      </c>
      <c r="G1729" t="s">
        <v>6167</v>
      </c>
    </row>
    <row r="1730" spans="1:7">
      <c r="A1730" t="s">
        <v>767</v>
      </c>
      <c r="B1730" t="s">
        <v>6169</v>
      </c>
      <c r="C1730" t="s">
        <v>3947</v>
      </c>
      <c r="D1730" t="s">
        <v>3948</v>
      </c>
      <c r="E1730">
        <v>12</v>
      </c>
      <c r="F1730" s="6">
        <v>750</v>
      </c>
      <c r="G1730" t="s">
        <v>3686</v>
      </c>
    </row>
    <row r="1731" spans="1:7">
      <c r="A1731" t="s">
        <v>6170</v>
      </c>
      <c r="B1731" t="s">
        <v>6169</v>
      </c>
      <c r="C1731" t="s">
        <v>3947</v>
      </c>
      <c r="D1731" t="s">
        <v>3948</v>
      </c>
      <c r="E1731">
        <v>6</v>
      </c>
      <c r="F1731" s="6">
        <v>1750</v>
      </c>
      <c r="G1731" t="s">
        <v>3686</v>
      </c>
    </row>
    <row r="1732" spans="1:7">
      <c r="A1732" t="s">
        <v>6171</v>
      </c>
      <c r="B1732" t="s">
        <v>6169</v>
      </c>
      <c r="C1732" t="s">
        <v>3947</v>
      </c>
      <c r="D1732" t="s">
        <v>3948</v>
      </c>
      <c r="E1732">
        <v>12</v>
      </c>
      <c r="F1732" s="6">
        <v>1000</v>
      </c>
      <c r="G1732" t="s">
        <v>3686</v>
      </c>
    </row>
    <row r="1733" spans="1:7">
      <c r="A1733" t="s">
        <v>6172</v>
      </c>
      <c r="B1733" t="s">
        <v>6173</v>
      </c>
      <c r="C1733" t="s">
        <v>3947</v>
      </c>
      <c r="D1733" t="s">
        <v>3948</v>
      </c>
      <c r="E1733">
        <v>12</v>
      </c>
      <c r="F1733" s="6">
        <v>50</v>
      </c>
      <c r="G1733" t="s">
        <v>3686</v>
      </c>
    </row>
    <row r="1734" spans="1:7">
      <c r="A1734" t="s">
        <v>2141</v>
      </c>
      <c r="B1734" t="s">
        <v>6174</v>
      </c>
      <c r="C1734" t="s">
        <v>3947</v>
      </c>
      <c r="D1734" t="s">
        <v>3948</v>
      </c>
      <c r="E1734">
        <v>12</v>
      </c>
      <c r="F1734" s="6">
        <v>750</v>
      </c>
      <c r="G1734" t="s">
        <v>3702</v>
      </c>
    </row>
    <row r="1735" spans="1:7">
      <c r="A1735" t="s">
        <v>1415</v>
      </c>
      <c r="B1735" t="s">
        <v>6175</v>
      </c>
      <c r="C1735" t="s">
        <v>3947</v>
      </c>
      <c r="D1735" t="s">
        <v>3948</v>
      </c>
      <c r="E1735">
        <v>12</v>
      </c>
      <c r="F1735" s="6">
        <v>50</v>
      </c>
      <c r="G1735" t="s">
        <v>3702</v>
      </c>
    </row>
    <row r="1736" spans="1:7">
      <c r="A1736" t="s">
        <v>6176</v>
      </c>
      <c r="B1736" t="s">
        <v>6174</v>
      </c>
      <c r="C1736" t="s">
        <v>3947</v>
      </c>
      <c r="D1736" t="s">
        <v>3948</v>
      </c>
      <c r="E1736">
        <v>6</v>
      </c>
      <c r="F1736" s="6">
        <v>1000</v>
      </c>
      <c r="G1736" t="s">
        <v>3702</v>
      </c>
    </row>
    <row r="1737" spans="1:7">
      <c r="A1737" t="s">
        <v>107</v>
      </c>
      <c r="B1737" t="s">
        <v>6177</v>
      </c>
      <c r="C1737" t="s">
        <v>4093</v>
      </c>
      <c r="D1737" t="s">
        <v>4094</v>
      </c>
      <c r="E1737">
        <v>12</v>
      </c>
      <c r="F1737" s="6">
        <v>50</v>
      </c>
      <c r="G1737" t="s">
        <v>3716</v>
      </c>
    </row>
    <row r="1738" spans="1:7">
      <c r="A1738" t="s">
        <v>6178</v>
      </c>
      <c r="B1738" t="s">
        <v>6179</v>
      </c>
      <c r="C1738" t="s">
        <v>4093</v>
      </c>
      <c r="D1738" t="s">
        <v>4094</v>
      </c>
      <c r="E1738">
        <v>24</v>
      </c>
      <c r="F1738" s="6">
        <v>375</v>
      </c>
      <c r="G1738" t="s">
        <v>3716</v>
      </c>
    </row>
    <row r="1739" spans="1:7">
      <c r="A1739" t="s">
        <v>6180</v>
      </c>
      <c r="B1739" t="s">
        <v>6179</v>
      </c>
      <c r="C1739" t="s">
        <v>4093</v>
      </c>
      <c r="D1739" t="s">
        <v>4094</v>
      </c>
      <c r="E1739">
        <v>12</v>
      </c>
      <c r="F1739" s="6">
        <v>750</v>
      </c>
      <c r="G1739" t="s">
        <v>3716</v>
      </c>
    </row>
    <row r="1740" spans="1:7">
      <c r="A1740" t="s">
        <v>3067</v>
      </c>
      <c r="B1740" t="s">
        <v>6181</v>
      </c>
      <c r="C1740" t="s">
        <v>3947</v>
      </c>
      <c r="D1740" t="s">
        <v>3948</v>
      </c>
      <c r="E1740">
        <v>6</v>
      </c>
      <c r="F1740" s="6">
        <v>1750</v>
      </c>
      <c r="G1740" t="s">
        <v>6182</v>
      </c>
    </row>
    <row r="1741" spans="1:7">
      <c r="A1741" t="s">
        <v>6183</v>
      </c>
      <c r="B1741" t="s">
        <v>6184</v>
      </c>
      <c r="C1741" t="s">
        <v>3947</v>
      </c>
      <c r="D1741" t="s">
        <v>3948</v>
      </c>
      <c r="E1741">
        <v>6</v>
      </c>
      <c r="F1741" s="6">
        <v>750</v>
      </c>
      <c r="G1741" t="s">
        <v>5451</v>
      </c>
    </row>
    <row r="1742" spans="1:7">
      <c r="A1742" t="s">
        <v>6185</v>
      </c>
      <c r="B1742" t="s">
        <v>6186</v>
      </c>
      <c r="C1742" t="s">
        <v>4093</v>
      </c>
      <c r="D1742" t="s">
        <v>4094</v>
      </c>
      <c r="E1742">
        <v>12</v>
      </c>
      <c r="F1742" s="6">
        <v>750</v>
      </c>
      <c r="G1742" t="s">
        <v>6187</v>
      </c>
    </row>
    <row r="1743" spans="1:7">
      <c r="A1743" t="s">
        <v>6188</v>
      </c>
      <c r="B1743" t="s">
        <v>6189</v>
      </c>
      <c r="C1743" t="s">
        <v>4093</v>
      </c>
      <c r="D1743" t="s">
        <v>4094</v>
      </c>
      <c r="E1743">
        <v>12</v>
      </c>
      <c r="F1743" s="6">
        <v>750</v>
      </c>
      <c r="G1743" t="s">
        <v>6187</v>
      </c>
    </row>
    <row r="1744" spans="1:7">
      <c r="A1744" t="s">
        <v>6190</v>
      </c>
      <c r="B1744" t="s">
        <v>6191</v>
      </c>
      <c r="C1744" t="s">
        <v>4093</v>
      </c>
      <c r="D1744" t="s">
        <v>4094</v>
      </c>
      <c r="E1744">
        <v>12</v>
      </c>
      <c r="F1744" s="6">
        <v>750</v>
      </c>
      <c r="G1744" t="s">
        <v>6187</v>
      </c>
    </row>
    <row r="1745" spans="1:7">
      <c r="A1745" t="s">
        <v>6192</v>
      </c>
      <c r="B1745" t="s">
        <v>6193</v>
      </c>
      <c r="C1745" t="s">
        <v>4093</v>
      </c>
      <c r="D1745" t="s">
        <v>4094</v>
      </c>
      <c r="E1745">
        <v>12</v>
      </c>
      <c r="F1745" s="6">
        <v>750</v>
      </c>
      <c r="G1745" t="s">
        <v>6068</v>
      </c>
    </row>
    <row r="1746" spans="1:7">
      <c r="A1746" t="s">
        <v>2915</v>
      </c>
      <c r="B1746" t="s">
        <v>6194</v>
      </c>
      <c r="C1746" t="s">
        <v>4093</v>
      </c>
      <c r="D1746" t="s">
        <v>4094</v>
      </c>
      <c r="E1746">
        <v>12</v>
      </c>
      <c r="F1746" s="6">
        <v>750</v>
      </c>
      <c r="G1746" t="s">
        <v>6068</v>
      </c>
    </row>
    <row r="1747" spans="1:7">
      <c r="A1747" t="s">
        <v>6195</v>
      </c>
      <c r="B1747" t="s">
        <v>6196</v>
      </c>
      <c r="C1747" t="s">
        <v>4093</v>
      </c>
      <c r="D1747" t="s">
        <v>4094</v>
      </c>
      <c r="E1747">
        <v>12</v>
      </c>
      <c r="F1747" s="6">
        <v>750</v>
      </c>
      <c r="G1747" t="s">
        <v>6187</v>
      </c>
    </row>
    <row r="1748" spans="1:7">
      <c r="A1748" t="s">
        <v>1668</v>
      </c>
      <c r="B1748" t="s">
        <v>6197</v>
      </c>
      <c r="C1748" t="s">
        <v>4093</v>
      </c>
      <c r="D1748" t="s">
        <v>4094</v>
      </c>
      <c r="E1748">
        <v>12</v>
      </c>
      <c r="F1748" s="6">
        <v>50</v>
      </c>
      <c r="G1748" t="s">
        <v>3716</v>
      </c>
    </row>
    <row r="1749" spans="1:7">
      <c r="A1749" t="s">
        <v>6198</v>
      </c>
      <c r="B1749" t="s">
        <v>6199</v>
      </c>
      <c r="C1749" t="s">
        <v>4093</v>
      </c>
      <c r="D1749" t="s">
        <v>4094</v>
      </c>
      <c r="E1749">
        <v>12</v>
      </c>
      <c r="F1749" s="6">
        <v>750</v>
      </c>
      <c r="G1749" t="s">
        <v>3716</v>
      </c>
    </row>
    <row r="1750" spans="1:7">
      <c r="A1750" t="s">
        <v>1159</v>
      </c>
      <c r="B1750" t="s">
        <v>6200</v>
      </c>
      <c r="C1750" t="s">
        <v>4093</v>
      </c>
      <c r="D1750" t="s">
        <v>4094</v>
      </c>
      <c r="E1750">
        <v>12</v>
      </c>
      <c r="F1750" s="6">
        <v>50</v>
      </c>
      <c r="G1750" t="s">
        <v>3716</v>
      </c>
    </row>
    <row r="1751" spans="1:7">
      <c r="A1751" t="s">
        <v>2172</v>
      </c>
      <c r="B1751" t="s">
        <v>6201</v>
      </c>
      <c r="C1751" t="s">
        <v>4093</v>
      </c>
      <c r="D1751" t="s">
        <v>4094</v>
      </c>
      <c r="E1751">
        <v>12</v>
      </c>
      <c r="F1751" s="6">
        <v>750</v>
      </c>
      <c r="G1751" t="s">
        <v>3716</v>
      </c>
    </row>
    <row r="1752" spans="1:7">
      <c r="A1752" t="s">
        <v>6202</v>
      </c>
      <c r="B1752" t="s">
        <v>6203</v>
      </c>
      <c r="C1752" t="s">
        <v>4093</v>
      </c>
      <c r="D1752" t="s">
        <v>4094</v>
      </c>
      <c r="E1752">
        <v>12</v>
      </c>
      <c r="F1752" s="6">
        <v>750</v>
      </c>
      <c r="G1752" t="s">
        <v>3888</v>
      </c>
    </row>
    <row r="1753" spans="1:7">
      <c r="A1753" t="s">
        <v>6204</v>
      </c>
      <c r="B1753" t="s">
        <v>6205</v>
      </c>
      <c r="C1753" t="s">
        <v>3679</v>
      </c>
      <c r="D1753" t="s">
        <v>3680</v>
      </c>
      <c r="E1753">
        <v>12</v>
      </c>
      <c r="F1753" s="6">
        <v>750</v>
      </c>
      <c r="G1753" t="s">
        <v>3888</v>
      </c>
    </row>
    <row r="1754" spans="1:7">
      <c r="A1754" t="s">
        <v>791</v>
      </c>
      <c r="B1754" t="s">
        <v>6206</v>
      </c>
      <c r="C1754" t="s">
        <v>4093</v>
      </c>
      <c r="D1754" t="s">
        <v>4094</v>
      </c>
      <c r="E1754">
        <v>12</v>
      </c>
      <c r="F1754" s="6">
        <v>750</v>
      </c>
      <c r="G1754" t="s">
        <v>3702</v>
      </c>
    </row>
    <row r="1755" spans="1:7">
      <c r="A1755" t="s">
        <v>2580</v>
      </c>
      <c r="B1755" t="s">
        <v>6207</v>
      </c>
      <c r="C1755" t="s">
        <v>4093</v>
      </c>
      <c r="D1755" t="s">
        <v>4094</v>
      </c>
      <c r="E1755">
        <v>12</v>
      </c>
      <c r="F1755" s="6">
        <v>50</v>
      </c>
      <c r="G1755" t="s">
        <v>3702</v>
      </c>
    </row>
    <row r="1756" spans="1:7">
      <c r="A1756" t="s">
        <v>3422</v>
      </c>
      <c r="B1756" t="s">
        <v>6208</v>
      </c>
      <c r="C1756" t="s">
        <v>4093</v>
      </c>
      <c r="D1756" t="s">
        <v>4094</v>
      </c>
      <c r="E1756">
        <v>12</v>
      </c>
      <c r="F1756" s="6">
        <v>750</v>
      </c>
      <c r="G1756" t="s">
        <v>3702</v>
      </c>
    </row>
    <row r="1757" spans="1:7">
      <c r="A1757" t="s">
        <v>6209</v>
      </c>
      <c r="B1757" t="s">
        <v>6210</v>
      </c>
      <c r="C1757" t="s">
        <v>4093</v>
      </c>
      <c r="D1757" t="s">
        <v>4094</v>
      </c>
      <c r="E1757">
        <v>12</v>
      </c>
      <c r="F1757" s="6">
        <v>50</v>
      </c>
      <c r="G1757" t="s">
        <v>3702</v>
      </c>
    </row>
    <row r="1758" spans="1:7">
      <c r="A1758" t="s">
        <v>3164</v>
      </c>
      <c r="B1758" t="s">
        <v>6211</v>
      </c>
      <c r="C1758" t="s">
        <v>4093</v>
      </c>
      <c r="D1758" t="s">
        <v>4094</v>
      </c>
      <c r="E1758">
        <v>12</v>
      </c>
      <c r="F1758" s="6">
        <v>750</v>
      </c>
      <c r="G1758" t="s">
        <v>3702</v>
      </c>
    </row>
    <row r="1759" spans="1:7">
      <c r="A1759" t="s">
        <v>1178</v>
      </c>
      <c r="B1759" t="s">
        <v>6212</v>
      </c>
      <c r="C1759" t="s">
        <v>4093</v>
      </c>
      <c r="D1759" t="s">
        <v>4094</v>
      </c>
      <c r="E1759">
        <v>12</v>
      </c>
      <c r="F1759" s="6">
        <v>50</v>
      </c>
      <c r="G1759" t="s">
        <v>3702</v>
      </c>
    </row>
    <row r="1760" spans="1:7">
      <c r="A1760" t="s">
        <v>6213</v>
      </c>
      <c r="B1760" t="s">
        <v>6211</v>
      </c>
      <c r="C1760" t="s">
        <v>4093</v>
      </c>
      <c r="D1760" t="s">
        <v>4094</v>
      </c>
      <c r="E1760">
        <v>6</v>
      </c>
      <c r="F1760" s="6">
        <v>1000</v>
      </c>
      <c r="G1760" t="s">
        <v>3702</v>
      </c>
    </row>
    <row r="1761" spans="1:7">
      <c r="A1761" t="s">
        <v>6214</v>
      </c>
      <c r="B1761" t="s">
        <v>6208</v>
      </c>
      <c r="C1761" t="s">
        <v>4093</v>
      </c>
      <c r="D1761" t="s">
        <v>4094</v>
      </c>
      <c r="E1761">
        <v>6</v>
      </c>
      <c r="F1761" s="6">
        <v>1000</v>
      </c>
      <c r="G1761" t="s">
        <v>3702</v>
      </c>
    </row>
    <row r="1762" spans="1:7">
      <c r="A1762" t="s">
        <v>6215</v>
      </c>
      <c r="B1762" t="s">
        <v>6206</v>
      </c>
      <c r="C1762" t="s">
        <v>4093</v>
      </c>
      <c r="D1762" t="s">
        <v>4094</v>
      </c>
      <c r="E1762">
        <v>6</v>
      </c>
      <c r="F1762" s="6">
        <v>1000</v>
      </c>
      <c r="G1762" t="s">
        <v>3702</v>
      </c>
    </row>
    <row r="1763" spans="1:7">
      <c r="A1763" t="s">
        <v>6216</v>
      </c>
      <c r="B1763" t="s">
        <v>6217</v>
      </c>
      <c r="C1763" t="s">
        <v>4093</v>
      </c>
      <c r="D1763" t="s">
        <v>4094</v>
      </c>
      <c r="E1763">
        <v>12</v>
      </c>
      <c r="F1763" s="6">
        <v>50</v>
      </c>
      <c r="G1763" t="s">
        <v>3716</v>
      </c>
    </row>
    <row r="1764" spans="1:7">
      <c r="A1764" t="s">
        <v>6218</v>
      </c>
      <c r="B1764" t="s">
        <v>6219</v>
      </c>
      <c r="C1764" t="s">
        <v>4093</v>
      </c>
      <c r="D1764" t="s">
        <v>4094</v>
      </c>
      <c r="E1764">
        <v>24</v>
      </c>
      <c r="F1764" s="6">
        <v>375</v>
      </c>
      <c r="G1764" t="s">
        <v>3716</v>
      </c>
    </row>
    <row r="1765" spans="1:7">
      <c r="A1765" t="s">
        <v>109</v>
      </c>
      <c r="B1765" t="s">
        <v>6219</v>
      </c>
      <c r="C1765" t="s">
        <v>4093</v>
      </c>
      <c r="D1765" t="s">
        <v>4094</v>
      </c>
      <c r="E1765">
        <v>12</v>
      </c>
      <c r="F1765" s="6">
        <v>750</v>
      </c>
      <c r="G1765" t="s">
        <v>3716</v>
      </c>
    </row>
    <row r="1766" spans="1:7">
      <c r="A1766" t="s">
        <v>6220</v>
      </c>
      <c r="B1766" t="s">
        <v>6221</v>
      </c>
      <c r="C1766" t="s">
        <v>4093</v>
      </c>
      <c r="D1766" t="s">
        <v>4094</v>
      </c>
      <c r="E1766">
        <v>12</v>
      </c>
      <c r="F1766" s="6">
        <v>50</v>
      </c>
      <c r="G1766" t="s">
        <v>3716</v>
      </c>
    </row>
    <row r="1767" spans="1:7">
      <c r="A1767" t="s">
        <v>6222</v>
      </c>
      <c r="B1767" t="s">
        <v>6223</v>
      </c>
      <c r="C1767" t="s">
        <v>4093</v>
      </c>
      <c r="D1767" t="s">
        <v>4094</v>
      </c>
      <c r="E1767">
        <v>24</v>
      </c>
      <c r="F1767" s="6">
        <v>375</v>
      </c>
      <c r="G1767" t="s">
        <v>3716</v>
      </c>
    </row>
    <row r="1768" spans="1:7">
      <c r="A1768" t="s">
        <v>1416</v>
      </c>
      <c r="B1768" t="s">
        <v>6223</v>
      </c>
      <c r="C1768" t="s">
        <v>4093</v>
      </c>
      <c r="D1768" t="s">
        <v>4094</v>
      </c>
      <c r="E1768">
        <v>12</v>
      </c>
      <c r="F1768" s="6">
        <v>750</v>
      </c>
      <c r="G1768" t="s">
        <v>3716</v>
      </c>
    </row>
    <row r="1769" spans="1:7">
      <c r="A1769" t="s">
        <v>6224</v>
      </c>
      <c r="B1769" t="s">
        <v>6225</v>
      </c>
      <c r="C1769" t="s">
        <v>4093</v>
      </c>
      <c r="D1769" t="s">
        <v>4094</v>
      </c>
      <c r="E1769">
        <v>12</v>
      </c>
      <c r="F1769" s="6">
        <v>750</v>
      </c>
      <c r="G1769" t="s">
        <v>5317</v>
      </c>
    </row>
    <row r="1770" spans="1:7">
      <c r="A1770" t="s">
        <v>6226</v>
      </c>
      <c r="B1770" t="s">
        <v>6227</v>
      </c>
      <c r="C1770" t="s">
        <v>3947</v>
      </c>
      <c r="D1770" t="s">
        <v>3948</v>
      </c>
      <c r="E1770">
        <v>6</v>
      </c>
      <c r="F1770" s="6">
        <v>750</v>
      </c>
      <c r="G1770" t="s">
        <v>3851</v>
      </c>
    </row>
    <row r="1771" spans="1:7">
      <c r="A1771" t="s">
        <v>6228</v>
      </c>
      <c r="B1771" t="s">
        <v>6229</v>
      </c>
      <c r="C1771" t="s">
        <v>3947</v>
      </c>
      <c r="D1771" t="s">
        <v>3948</v>
      </c>
      <c r="E1771">
        <v>6</v>
      </c>
      <c r="F1771" s="6">
        <v>750</v>
      </c>
      <c r="G1771" t="s">
        <v>6230</v>
      </c>
    </row>
    <row r="1772" spans="1:7">
      <c r="A1772" t="s">
        <v>3617</v>
      </c>
      <c r="B1772" t="s">
        <v>6231</v>
      </c>
      <c r="C1772" t="s">
        <v>3947</v>
      </c>
      <c r="D1772" t="s">
        <v>3948</v>
      </c>
      <c r="E1772">
        <v>12</v>
      </c>
      <c r="F1772" s="6">
        <v>750</v>
      </c>
      <c r="G1772" t="s">
        <v>4581</v>
      </c>
    </row>
    <row r="1773" spans="1:7">
      <c r="A1773" t="s">
        <v>6232</v>
      </c>
      <c r="B1773" t="s">
        <v>6231</v>
      </c>
      <c r="C1773" t="s">
        <v>4093</v>
      </c>
      <c r="D1773" t="s">
        <v>4094</v>
      </c>
      <c r="E1773">
        <v>6</v>
      </c>
      <c r="F1773" s="6">
        <v>1750</v>
      </c>
      <c r="G1773" t="s">
        <v>4581</v>
      </c>
    </row>
    <row r="1774" spans="1:7">
      <c r="A1774" t="s">
        <v>6233</v>
      </c>
      <c r="B1774" t="s">
        <v>6234</v>
      </c>
      <c r="C1774" t="s">
        <v>3700</v>
      </c>
      <c r="D1774" t="s">
        <v>3701</v>
      </c>
      <c r="E1774">
        <v>6</v>
      </c>
      <c r="F1774" s="6">
        <v>1750</v>
      </c>
      <c r="G1774" t="s">
        <v>5904</v>
      </c>
    </row>
    <row r="1775" spans="1:7">
      <c r="A1775" t="s">
        <v>6235</v>
      </c>
      <c r="B1775" t="s">
        <v>6234</v>
      </c>
      <c r="C1775" t="s">
        <v>3700</v>
      </c>
      <c r="D1775" t="s">
        <v>3701</v>
      </c>
      <c r="E1775">
        <v>12</v>
      </c>
      <c r="F1775" s="6">
        <v>750</v>
      </c>
      <c r="G1775" t="s">
        <v>5904</v>
      </c>
    </row>
    <row r="1776" spans="1:7">
      <c r="A1776" t="s">
        <v>111</v>
      </c>
      <c r="B1776" t="s">
        <v>6236</v>
      </c>
      <c r="C1776" t="s">
        <v>4093</v>
      </c>
      <c r="D1776" t="s">
        <v>4094</v>
      </c>
      <c r="E1776">
        <v>12</v>
      </c>
      <c r="F1776" s="6">
        <v>750</v>
      </c>
      <c r="G1776" t="s">
        <v>6167</v>
      </c>
    </row>
    <row r="1777" spans="1:7">
      <c r="A1777" t="s">
        <v>6237</v>
      </c>
      <c r="B1777" t="s">
        <v>6238</v>
      </c>
      <c r="C1777" t="s">
        <v>3947</v>
      </c>
      <c r="D1777" t="s">
        <v>3948</v>
      </c>
      <c r="E1777">
        <v>12</v>
      </c>
      <c r="F1777" s="6">
        <v>750</v>
      </c>
      <c r="G1777" t="s">
        <v>3735</v>
      </c>
    </row>
    <row r="1778" spans="1:7">
      <c r="A1778" t="s">
        <v>6239</v>
      </c>
      <c r="B1778" t="s">
        <v>6240</v>
      </c>
      <c r="C1778" t="s">
        <v>4093</v>
      </c>
      <c r="D1778" t="s">
        <v>4094</v>
      </c>
      <c r="E1778">
        <v>12</v>
      </c>
      <c r="F1778" s="6">
        <v>50</v>
      </c>
      <c r="G1778" t="s">
        <v>3735</v>
      </c>
    </row>
    <row r="1779" spans="1:7">
      <c r="A1779" t="s">
        <v>6241</v>
      </c>
      <c r="B1779" t="s">
        <v>6242</v>
      </c>
      <c r="C1779" t="s">
        <v>4093</v>
      </c>
      <c r="D1779" t="s">
        <v>4094</v>
      </c>
      <c r="E1779">
        <v>12</v>
      </c>
      <c r="F1779" s="6">
        <v>750</v>
      </c>
      <c r="G1779" t="s">
        <v>5030</v>
      </c>
    </row>
    <row r="1780" spans="1:7">
      <c r="A1780" t="s">
        <v>2395</v>
      </c>
      <c r="B1780" t="s">
        <v>6243</v>
      </c>
      <c r="C1780" t="s">
        <v>4093</v>
      </c>
      <c r="D1780" t="s">
        <v>4094</v>
      </c>
      <c r="E1780">
        <v>12</v>
      </c>
      <c r="F1780" s="6">
        <v>50</v>
      </c>
      <c r="G1780" t="s">
        <v>3763</v>
      </c>
    </row>
    <row r="1781" spans="1:7">
      <c r="A1781" t="s">
        <v>6244</v>
      </c>
      <c r="B1781" t="s">
        <v>6245</v>
      </c>
      <c r="C1781" t="s">
        <v>4093</v>
      </c>
      <c r="D1781" t="s">
        <v>4094</v>
      </c>
      <c r="E1781">
        <v>24</v>
      </c>
      <c r="F1781" s="6">
        <v>200</v>
      </c>
      <c r="G1781" t="s">
        <v>3763</v>
      </c>
    </row>
    <row r="1782" spans="1:7">
      <c r="A1782" t="s">
        <v>6246</v>
      </c>
      <c r="B1782" t="s">
        <v>6245</v>
      </c>
      <c r="C1782" t="s">
        <v>4093</v>
      </c>
      <c r="D1782" t="s">
        <v>4094</v>
      </c>
      <c r="E1782">
        <v>24</v>
      </c>
      <c r="F1782" s="6">
        <v>375</v>
      </c>
      <c r="G1782" t="s">
        <v>3763</v>
      </c>
    </row>
    <row r="1783" spans="1:7">
      <c r="A1783" t="s">
        <v>6247</v>
      </c>
      <c r="B1783" t="s">
        <v>6245</v>
      </c>
      <c r="C1783" t="s">
        <v>4093</v>
      </c>
      <c r="D1783" t="s">
        <v>4094</v>
      </c>
      <c r="E1783">
        <v>12</v>
      </c>
      <c r="F1783" s="6">
        <v>750</v>
      </c>
      <c r="G1783" t="s">
        <v>3763</v>
      </c>
    </row>
    <row r="1784" spans="1:7">
      <c r="A1784" t="s">
        <v>6248</v>
      </c>
      <c r="B1784" t="s">
        <v>6245</v>
      </c>
      <c r="C1784" t="s">
        <v>4093</v>
      </c>
      <c r="D1784" t="s">
        <v>4094</v>
      </c>
      <c r="E1784">
        <v>6</v>
      </c>
      <c r="F1784" s="6">
        <v>1750</v>
      </c>
      <c r="G1784" t="s">
        <v>3763</v>
      </c>
    </row>
    <row r="1785" spans="1:7">
      <c r="A1785" t="s">
        <v>1979</v>
      </c>
      <c r="B1785" t="s">
        <v>6249</v>
      </c>
      <c r="C1785" t="s">
        <v>3679</v>
      </c>
      <c r="D1785" t="s">
        <v>3680</v>
      </c>
      <c r="E1785">
        <v>6</v>
      </c>
      <c r="F1785" s="6">
        <v>750</v>
      </c>
      <c r="G1785" t="s">
        <v>3871</v>
      </c>
    </row>
    <row r="1786" spans="1:7">
      <c r="A1786" t="s">
        <v>6250</v>
      </c>
      <c r="B1786" t="s">
        <v>6251</v>
      </c>
      <c r="C1786" t="s">
        <v>4093</v>
      </c>
      <c r="D1786" t="s">
        <v>4094</v>
      </c>
      <c r="E1786">
        <v>12</v>
      </c>
      <c r="F1786" s="6">
        <v>50</v>
      </c>
      <c r="G1786" t="s">
        <v>3763</v>
      </c>
    </row>
    <row r="1787" spans="1:7">
      <c r="A1787" t="s">
        <v>6252</v>
      </c>
      <c r="B1787" t="s">
        <v>6253</v>
      </c>
      <c r="C1787" t="s">
        <v>4093</v>
      </c>
      <c r="D1787" t="s">
        <v>4094</v>
      </c>
      <c r="E1787">
        <v>12</v>
      </c>
      <c r="F1787" s="6">
        <v>750</v>
      </c>
      <c r="G1787" t="s">
        <v>3735</v>
      </c>
    </row>
    <row r="1788" spans="1:7">
      <c r="A1788" t="s">
        <v>6254</v>
      </c>
      <c r="B1788" t="s">
        <v>6255</v>
      </c>
      <c r="C1788" t="s">
        <v>4093</v>
      </c>
      <c r="D1788" t="s">
        <v>4094</v>
      </c>
      <c r="E1788">
        <v>12</v>
      </c>
      <c r="F1788" s="6">
        <v>50</v>
      </c>
      <c r="G1788" t="s">
        <v>3735</v>
      </c>
    </row>
    <row r="1789" spans="1:7">
      <c r="A1789" t="s">
        <v>579</v>
      </c>
      <c r="B1789" t="s">
        <v>6256</v>
      </c>
      <c r="C1789" t="s">
        <v>4093</v>
      </c>
      <c r="D1789" t="s">
        <v>4094</v>
      </c>
      <c r="E1789">
        <v>12</v>
      </c>
      <c r="F1789" s="6">
        <v>50</v>
      </c>
      <c r="G1789" t="s">
        <v>3686</v>
      </c>
    </row>
    <row r="1790" spans="1:7">
      <c r="A1790" t="s">
        <v>6257</v>
      </c>
      <c r="B1790" t="s">
        <v>6258</v>
      </c>
      <c r="C1790" t="s">
        <v>4093</v>
      </c>
      <c r="D1790" t="s">
        <v>4094</v>
      </c>
      <c r="E1790">
        <v>12</v>
      </c>
      <c r="F1790" s="6">
        <v>750</v>
      </c>
      <c r="G1790" t="s">
        <v>3686</v>
      </c>
    </row>
    <row r="1791" spans="1:7">
      <c r="A1791" t="s">
        <v>3120</v>
      </c>
      <c r="B1791" t="s">
        <v>6259</v>
      </c>
      <c r="C1791" t="s">
        <v>4093</v>
      </c>
      <c r="D1791" t="s">
        <v>4094</v>
      </c>
      <c r="E1791">
        <v>12</v>
      </c>
      <c r="F1791" s="6">
        <v>50</v>
      </c>
      <c r="G1791" t="s">
        <v>3686</v>
      </c>
    </row>
    <row r="1792" spans="1:7">
      <c r="A1792" t="s">
        <v>6260</v>
      </c>
      <c r="B1792" t="s">
        <v>6261</v>
      </c>
      <c r="C1792" t="s">
        <v>4093</v>
      </c>
      <c r="D1792" t="s">
        <v>4094</v>
      </c>
      <c r="E1792">
        <v>12</v>
      </c>
      <c r="F1792" s="6">
        <v>750</v>
      </c>
      <c r="G1792" t="s">
        <v>3686</v>
      </c>
    </row>
    <row r="1793" spans="1:7">
      <c r="A1793" t="s">
        <v>6262</v>
      </c>
      <c r="B1793" t="s">
        <v>6263</v>
      </c>
      <c r="C1793" t="s">
        <v>4093</v>
      </c>
      <c r="D1793" t="s">
        <v>4094</v>
      </c>
      <c r="E1793">
        <v>10</v>
      </c>
      <c r="F1793" s="6">
        <v>50</v>
      </c>
      <c r="G1793" t="s">
        <v>3763</v>
      </c>
    </row>
    <row r="1794" spans="1:7">
      <c r="A1794" t="s">
        <v>2811</v>
      </c>
      <c r="B1794" t="s">
        <v>6264</v>
      </c>
      <c r="C1794" t="s">
        <v>4093</v>
      </c>
      <c r="D1794" t="s">
        <v>4094</v>
      </c>
      <c r="E1794">
        <v>24</v>
      </c>
      <c r="F1794" s="6">
        <v>200</v>
      </c>
      <c r="G1794" t="s">
        <v>3763</v>
      </c>
    </row>
    <row r="1795" spans="1:7">
      <c r="A1795" t="s">
        <v>6265</v>
      </c>
      <c r="B1795" t="s">
        <v>6264</v>
      </c>
      <c r="C1795" t="s">
        <v>4093</v>
      </c>
      <c r="D1795" t="s">
        <v>4094</v>
      </c>
      <c r="E1795">
        <v>24</v>
      </c>
      <c r="F1795" s="6">
        <v>375</v>
      </c>
      <c r="G1795" t="s">
        <v>3763</v>
      </c>
    </row>
    <row r="1796" spans="1:7">
      <c r="A1796" t="s">
        <v>2234</v>
      </c>
      <c r="B1796" t="s">
        <v>6264</v>
      </c>
      <c r="C1796" t="s">
        <v>4093</v>
      </c>
      <c r="D1796" t="s">
        <v>4094</v>
      </c>
      <c r="E1796">
        <v>12</v>
      </c>
      <c r="F1796" s="6">
        <v>750</v>
      </c>
      <c r="G1796" t="s">
        <v>3763</v>
      </c>
    </row>
    <row r="1797" spans="1:7">
      <c r="A1797" t="s">
        <v>6266</v>
      </c>
      <c r="B1797" t="s">
        <v>6264</v>
      </c>
      <c r="C1797" t="s">
        <v>4093</v>
      </c>
      <c r="D1797" t="s">
        <v>4094</v>
      </c>
      <c r="E1797">
        <v>6</v>
      </c>
      <c r="F1797" s="6">
        <v>1750</v>
      </c>
      <c r="G1797" t="s">
        <v>3763</v>
      </c>
    </row>
    <row r="1798" spans="1:7">
      <c r="A1798" t="s">
        <v>6267</v>
      </c>
      <c r="B1798" t="s">
        <v>6268</v>
      </c>
      <c r="C1798" t="s">
        <v>3947</v>
      </c>
      <c r="D1798" t="s">
        <v>3948</v>
      </c>
      <c r="E1798">
        <v>6</v>
      </c>
      <c r="F1798" s="6">
        <v>750</v>
      </c>
      <c r="G1798" t="s">
        <v>3802</v>
      </c>
    </row>
    <row r="1799" spans="1:7">
      <c r="A1799" t="s">
        <v>76</v>
      </c>
      <c r="B1799" t="s">
        <v>6269</v>
      </c>
      <c r="C1799" t="s">
        <v>4093</v>
      </c>
      <c r="D1799" t="s">
        <v>4094</v>
      </c>
      <c r="E1799">
        <v>6</v>
      </c>
      <c r="F1799" s="6">
        <v>750</v>
      </c>
      <c r="G1799" t="s">
        <v>4899</v>
      </c>
    </row>
    <row r="1800" spans="1:7">
      <c r="A1800" t="s">
        <v>6270</v>
      </c>
      <c r="B1800" t="s">
        <v>6093</v>
      </c>
      <c r="C1800" t="s">
        <v>4093</v>
      </c>
      <c r="D1800" t="s">
        <v>4094</v>
      </c>
      <c r="E1800">
        <v>6</v>
      </c>
      <c r="F1800" s="6">
        <v>50</v>
      </c>
      <c r="G1800" t="s">
        <v>4899</v>
      </c>
    </row>
    <row r="1801" spans="1:7">
      <c r="A1801" t="s">
        <v>6271</v>
      </c>
      <c r="B1801" t="s">
        <v>6272</v>
      </c>
      <c r="C1801" t="s">
        <v>4093</v>
      </c>
      <c r="D1801" t="s">
        <v>4094</v>
      </c>
      <c r="E1801">
        <v>12</v>
      </c>
      <c r="F1801" s="6">
        <v>50</v>
      </c>
      <c r="G1801" t="s">
        <v>3931</v>
      </c>
    </row>
    <row r="1802" spans="1:7">
      <c r="A1802" t="s">
        <v>792</v>
      </c>
      <c r="B1802" t="s">
        <v>6273</v>
      </c>
      <c r="C1802" t="s">
        <v>4093</v>
      </c>
      <c r="D1802" t="s">
        <v>4094</v>
      </c>
      <c r="E1802">
        <v>12</v>
      </c>
      <c r="F1802" s="6">
        <v>750</v>
      </c>
      <c r="G1802" t="s">
        <v>3931</v>
      </c>
    </row>
    <row r="1803" spans="1:7">
      <c r="A1803" t="s">
        <v>6274</v>
      </c>
      <c r="B1803" t="s">
        <v>6275</v>
      </c>
      <c r="C1803" t="s">
        <v>4093</v>
      </c>
      <c r="D1803" t="s">
        <v>4094</v>
      </c>
      <c r="E1803">
        <v>6</v>
      </c>
      <c r="F1803" s="6">
        <v>1750</v>
      </c>
      <c r="G1803" t="s">
        <v>3931</v>
      </c>
    </row>
    <row r="1804" spans="1:7">
      <c r="A1804" t="s">
        <v>6276</v>
      </c>
      <c r="B1804" t="s">
        <v>6277</v>
      </c>
      <c r="C1804" t="s">
        <v>4093</v>
      </c>
      <c r="D1804" t="s">
        <v>4094</v>
      </c>
      <c r="E1804">
        <v>6</v>
      </c>
      <c r="F1804" s="6">
        <v>750</v>
      </c>
      <c r="G1804" t="s">
        <v>6278</v>
      </c>
    </row>
    <row r="1805" spans="1:7">
      <c r="A1805" t="s">
        <v>6279</v>
      </c>
      <c r="B1805" t="s">
        <v>6280</v>
      </c>
      <c r="C1805" t="s">
        <v>4093</v>
      </c>
      <c r="D1805" t="s">
        <v>4094</v>
      </c>
      <c r="E1805">
        <v>12</v>
      </c>
      <c r="F1805" s="6">
        <v>750</v>
      </c>
      <c r="G1805" t="s">
        <v>6167</v>
      </c>
    </row>
    <row r="1806" spans="1:7">
      <c r="A1806" t="s">
        <v>6281</v>
      </c>
      <c r="B1806" t="s">
        <v>6282</v>
      </c>
      <c r="C1806" t="s">
        <v>4093</v>
      </c>
      <c r="D1806" t="s">
        <v>4094</v>
      </c>
      <c r="E1806">
        <v>6</v>
      </c>
      <c r="F1806" s="6">
        <v>1750</v>
      </c>
      <c r="G1806" t="s">
        <v>5904</v>
      </c>
    </row>
    <row r="1807" spans="1:7">
      <c r="A1807" t="s">
        <v>6283</v>
      </c>
      <c r="B1807" t="s">
        <v>6282</v>
      </c>
      <c r="C1807" t="s">
        <v>4093</v>
      </c>
      <c r="D1807" t="s">
        <v>4094</v>
      </c>
      <c r="E1807">
        <v>12</v>
      </c>
      <c r="F1807" s="6">
        <v>750</v>
      </c>
      <c r="G1807" t="s">
        <v>5904</v>
      </c>
    </row>
    <row r="1808" spans="1:7">
      <c r="A1808" t="s">
        <v>1142</v>
      </c>
      <c r="B1808" t="s">
        <v>6284</v>
      </c>
      <c r="C1808" t="s">
        <v>4093</v>
      </c>
      <c r="D1808" t="s">
        <v>4094</v>
      </c>
      <c r="E1808">
        <v>24</v>
      </c>
      <c r="F1808" s="6">
        <v>200</v>
      </c>
      <c r="G1808" t="s">
        <v>3763</v>
      </c>
    </row>
    <row r="1809" spans="1:7">
      <c r="A1809" t="s">
        <v>848</v>
      </c>
      <c r="B1809" t="s">
        <v>6284</v>
      </c>
      <c r="C1809" t="s">
        <v>4093</v>
      </c>
      <c r="D1809" t="s">
        <v>4094</v>
      </c>
      <c r="E1809">
        <v>24</v>
      </c>
      <c r="F1809" s="6">
        <v>375</v>
      </c>
      <c r="G1809" t="s">
        <v>3763</v>
      </c>
    </row>
    <row r="1810" spans="1:7">
      <c r="A1810" t="s">
        <v>6285</v>
      </c>
      <c r="B1810" t="s">
        <v>6286</v>
      </c>
      <c r="C1810" t="s">
        <v>4093</v>
      </c>
      <c r="D1810" t="s">
        <v>4094</v>
      </c>
      <c r="E1810">
        <v>24</v>
      </c>
      <c r="F1810" s="6">
        <v>375</v>
      </c>
      <c r="G1810" t="s">
        <v>3763</v>
      </c>
    </row>
    <row r="1811" spans="1:7">
      <c r="A1811" t="s">
        <v>6287</v>
      </c>
      <c r="B1811" t="s">
        <v>6286</v>
      </c>
      <c r="C1811" t="s">
        <v>4093</v>
      </c>
      <c r="D1811" t="s">
        <v>4094</v>
      </c>
      <c r="E1811">
        <v>12</v>
      </c>
      <c r="F1811" s="6">
        <v>750</v>
      </c>
      <c r="G1811" t="s">
        <v>3763</v>
      </c>
    </row>
    <row r="1812" spans="1:7">
      <c r="A1812" t="s">
        <v>599</v>
      </c>
      <c r="B1812" t="s">
        <v>6288</v>
      </c>
      <c r="C1812" t="s">
        <v>4093</v>
      </c>
      <c r="D1812" t="s">
        <v>4094</v>
      </c>
      <c r="E1812">
        <v>12</v>
      </c>
      <c r="F1812" s="6">
        <v>50</v>
      </c>
      <c r="G1812" t="s">
        <v>3763</v>
      </c>
    </row>
    <row r="1813" spans="1:7">
      <c r="A1813" t="s">
        <v>1807</v>
      </c>
      <c r="B1813" t="s">
        <v>6284</v>
      </c>
      <c r="C1813" t="s">
        <v>4093</v>
      </c>
      <c r="D1813" t="s">
        <v>4094</v>
      </c>
      <c r="E1813">
        <v>12</v>
      </c>
      <c r="F1813" s="6">
        <v>1000</v>
      </c>
      <c r="G1813" t="s">
        <v>3763</v>
      </c>
    </row>
    <row r="1814" spans="1:7">
      <c r="A1814" t="s">
        <v>6289</v>
      </c>
      <c r="B1814" t="s">
        <v>6284</v>
      </c>
      <c r="C1814" t="s">
        <v>4093</v>
      </c>
      <c r="D1814" t="s">
        <v>4094</v>
      </c>
      <c r="E1814">
        <v>6</v>
      </c>
      <c r="F1814" s="6">
        <v>1750</v>
      </c>
      <c r="G1814" t="s">
        <v>3763</v>
      </c>
    </row>
    <row r="1815" spans="1:7">
      <c r="A1815" t="s">
        <v>696</v>
      </c>
      <c r="B1815" t="s">
        <v>6290</v>
      </c>
      <c r="C1815" t="s">
        <v>4093</v>
      </c>
      <c r="D1815" t="s">
        <v>4094</v>
      </c>
      <c r="E1815">
        <v>12</v>
      </c>
      <c r="F1815" s="6">
        <v>750</v>
      </c>
      <c r="G1815" t="s">
        <v>6167</v>
      </c>
    </row>
    <row r="1816" spans="1:7">
      <c r="A1816" t="s">
        <v>2556</v>
      </c>
      <c r="B1816" t="s">
        <v>6291</v>
      </c>
      <c r="C1816" t="s">
        <v>3947</v>
      </c>
      <c r="D1816" t="s">
        <v>3948</v>
      </c>
      <c r="E1816">
        <v>12</v>
      </c>
      <c r="F1816" s="6">
        <v>750</v>
      </c>
      <c r="G1816" t="s">
        <v>3763</v>
      </c>
    </row>
    <row r="1817" spans="1:7">
      <c r="A1817" t="s">
        <v>1886</v>
      </c>
      <c r="B1817" t="s">
        <v>6284</v>
      </c>
      <c r="C1817" t="s">
        <v>4093</v>
      </c>
      <c r="D1817" t="s">
        <v>4094</v>
      </c>
      <c r="E1817">
        <v>12</v>
      </c>
      <c r="F1817" s="6">
        <v>750</v>
      </c>
      <c r="G1817" t="s">
        <v>3763</v>
      </c>
    </row>
    <row r="1818" spans="1:7">
      <c r="A1818" t="s">
        <v>6292</v>
      </c>
      <c r="B1818" t="s">
        <v>6293</v>
      </c>
      <c r="C1818" t="s">
        <v>4093</v>
      </c>
      <c r="D1818" t="s">
        <v>4094</v>
      </c>
      <c r="E1818">
        <v>6</v>
      </c>
      <c r="F1818" s="6">
        <v>50</v>
      </c>
      <c r="G1818" t="s">
        <v>6167</v>
      </c>
    </row>
    <row r="1819" spans="1:7">
      <c r="A1819" t="s">
        <v>6294</v>
      </c>
      <c r="B1819" t="s">
        <v>6295</v>
      </c>
      <c r="C1819" t="s">
        <v>4093</v>
      </c>
      <c r="D1819" t="s">
        <v>4094</v>
      </c>
      <c r="E1819">
        <v>6</v>
      </c>
      <c r="F1819" s="6">
        <v>1000</v>
      </c>
      <c r="G1819" t="s">
        <v>3802</v>
      </c>
    </row>
    <row r="1820" spans="1:7">
      <c r="A1820" t="s">
        <v>6296</v>
      </c>
      <c r="B1820" t="s">
        <v>6297</v>
      </c>
      <c r="C1820" t="s">
        <v>3947</v>
      </c>
      <c r="D1820" t="s">
        <v>3948</v>
      </c>
      <c r="E1820">
        <v>6</v>
      </c>
      <c r="F1820" s="6">
        <v>1000</v>
      </c>
      <c r="G1820" t="s">
        <v>3802</v>
      </c>
    </row>
    <row r="1821" spans="1:7">
      <c r="A1821" t="s">
        <v>560</v>
      </c>
      <c r="B1821" t="s">
        <v>6298</v>
      </c>
      <c r="C1821" t="s">
        <v>3947</v>
      </c>
      <c r="D1821" t="s">
        <v>3948</v>
      </c>
      <c r="E1821">
        <v>12</v>
      </c>
      <c r="F1821" s="6">
        <v>50</v>
      </c>
      <c r="G1821" t="s">
        <v>3931</v>
      </c>
    </row>
    <row r="1822" spans="1:7">
      <c r="A1822" t="s">
        <v>2589</v>
      </c>
      <c r="B1822" t="s">
        <v>6299</v>
      </c>
      <c r="C1822" t="s">
        <v>4093</v>
      </c>
      <c r="D1822" t="s">
        <v>4094</v>
      </c>
      <c r="E1822">
        <v>6</v>
      </c>
      <c r="F1822" s="6">
        <v>750</v>
      </c>
      <c r="G1822" t="s">
        <v>4919</v>
      </c>
    </row>
    <row r="1823" spans="1:7">
      <c r="A1823" t="s">
        <v>6300</v>
      </c>
      <c r="B1823" t="s">
        <v>6301</v>
      </c>
      <c r="C1823" t="s">
        <v>4093</v>
      </c>
      <c r="D1823" t="s">
        <v>4094</v>
      </c>
      <c r="E1823">
        <v>6</v>
      </c>
      <c r="F1823" s="6">
        <v>750</v>
      </c>
      <c r="G1823" t="s">
        <v>4027</v>
      </c>
    </row>
    <row r="1824" spans="1:7">
      <c r="A1824" t="s">
        <v>6302</v>
      </c>
      <c r="B1824" t="s">
        <v>6303</v>
      </c>
      <c r="C1824" t="s">
        <v>4093</v>
      </c>
      <c r="D1824" t="s">
        <v>4094</v>
      </c>
      <c r="E1824">
        <v>6</v>
      </c>
      <c r="F1824" s="6">
        <v>750</v>
      </c>
      <c r="G1824" t="s">
        <v>4919</v>
      </c>
    </row>
    <row r="1825" spans="1:7">
      <c r="A1825" t="s">
        <v>3309</v>
      </c>
      <c r="B1825" t="s">
        <v>6304</v>
      </c>
      <c r="C1825" t="s">
        <v>4093</v>
      </c>
      <c r="D1825" t="s">
        <v>4094</v>
      </c>
      <c r="E1825">
        <v>12</v>
      </c>
      <c r="F1825" s="6">
        <v>750</v>
      </c>
      <c r="G1825" t="s">
        <v>6167</v>
      </c>
    </row>
    <row r="1826" spans="1:7">
      <c r="A1826" t="s">
        <v>243</v>
      </c>
      <c r="B1826" t="s">
        <v>6305</v>
      </c>
      <c r="C1826" t="s">
        <v>4093</v>
      </c>
      <c r="D1826" t="s">
        <v>4094</v>
      </c>
      <c r="E1826">
        <v>6</v>
      </c>
      <c r="F1826" s="6">
        <v>750</v>
      </c>
      <c r="G1826" t="s">
        <v>4027</v>
      </c>
    </row>
    <row r="1827" spans="1:7">
      <c r="A1827" t="s">
        <v>6306</v>
      </c>
      <c r="B1827" t="s">
        <v>6307</v>
      </c>
      <c r="C1827" t="s">
        <v>4093</v>
      </c>
      <c r="D1827" t="s">
        <v>4094</v>
      </c>
      <c r="E1827">
        <v>6</v>
      </c>
      <c r="F1827" s="6">
        <v>750</v>
      </c>
      <c r="G1827" t="s">
        <v>4027</v>
      </c>
    </row>
    <row r="1828" spans="1:7">
      <c r="A1828" t="s">
        <v>6308</v>
      </c>
      <c r="B1828" t="s">
        <v>6309</v>
      </c>
      <c r="C1828" t="s">
        <v>4093</v>
      </c>
      <c r="D1828" t="s">
        <v>4094</v>
      </c>
      <c r="E1828">
        <v>12</v>
      </c>
      <c r="F1828" s="6">
        <v>750</v>
      </c>
      <c r="G1828" t="s">
        <v>6167</v>
      </c>
    </row>
    <row r="1829" spans="1:7">
      <c r="A1829" t="s">
        <v>1247</v>
      </c>
      <c r="B1829" t="s">
        <v>6310</v>
      </c>
      <c r="C1829" t="s">
        <v>4093</v>
      </c>
      <c r="D1829" t="s">
        <v>4094</v>
      </c>
      <c r="E1829">
        <v>12</v>
      </c>
      <c r="F1829" s="6">
        <v>50</v>
      </c>
      <c r="G1829" t="s">
        <v>3931</v>
      </c>
    </row>
    <row r="1830" spans="1:7">
      <c r="A1830" t="s">
        <v>6311</v>
      </c>
      <c r="B1830" t="s">
        <v>6312</v>
      </c>
      <c r="C1830" t="s">
        <v>4093</v>
      </c>
      <c r="D1830" t="s">
        <v>4094</v>
      </c>
      <c r="E1830">
        <v>12</v>
      </c>
      <c r="F1830" s="6">
        <v>750</v>
      </c>
      <c r="G1830" t="s">
        <v>4300</v>
      </c>
    </row>
    <row r="1831" spans="1:7">
      <c r="A1831" t="s">
        <v>112</v>
      </c>
      <c r="B1831" t="s">
        <v>6313</v>
      </c>
      <c r="C1831" t="s">
        <v>4093</v>
      </c>
      <c r="D1831" t="s">
        <v>4094</v>
      </c>
      <c r="E1831">
        <v>6</v>
      </c>
      <c r="F1831" s="6">
        <v>750</v>
      </c>
      <c r="G1831" t="s">
        <v>4919</v>
      </c>
    </row>
    <row r="1832" spans="1:7">
      <c r="A1832" t="s">
        <v>6314</v>
      </c>
      <c r="B1832" t="s">
        <v>6315</v>
      </c>
      <c r="C1832" t="s">
        <v>4093</v>
      </c>
      <c r="D1832" t="s">
        <v>4094</v>
      </c>
      <c r="E1832">
        <v>6</v>
      </c>
      <c r="F1832" s="6">
        <v>50</v>
      </c>
      <c r="G1832" t="s">
        <v>6167</v>
      </c>
    </row>
    <row r="1833" spans="1:7">
      <c r="A1833" t="s">
        <v>6316</v>
      </c>
      <c r="B1833" t="s">
        <v>6317</v>
      </c>
      <c r="C1833" t="s">
        <v>4093</v>
      </c>
      <c r="D1833" t="s">
        <v>4094</v>
      </c>
      <c r="E1833">
        <v>6</v>
      </c>
      <c r="F1833" s="6">
        <v>50</v>
      </c>
      <c r="G1833" t="s">
        <v>6167</v>
      </c>
    </row>
    <row r="1834" spans="1:7">
      <c r="A1834" t="s">
        <v>6318</v>
      </c>
      <c r="B1834" t="s">
        <v>6319</v>
      </c>
      <c r="C1834" t="s">
        <v>4093</v>
      </c>
      <c r="D1834" t="s">
        <v>4094</v>
      </c>
      <c r="E1834">
        <v>6</v>
      </c>
      <c r="F1834" s="6">
        <v>50</v>
      </c>
      <c r="G1834" t="s">
        <v>6167</v>
      </c>
    </row>
    <row r="1835" spans="1:7">
      <c r="A1835" t="s">
        <v>3337</v>
      </c>
      <c r="B1835" t="s">
        <v>6320</v>
      </c>
      <c r="C1835" t="s">
        <v>4093</v>
      </c>
      <c r="D1835" t="s">
        <v>4094</v>
      </c>
      <c r="E1835">
        <v>12</v>
      </c>
      <c r="F1835" s="6">
        <v>750</v>
      </c>
      <c r="G1835" t="s">
        <v>3763</v>
      </c>
    </row>
    <row r="1836" spans="1:7">
      <c r="A1836" t="s">
        <v>2371</v>
      </c>
      <c r="B1836" t="s">
        <v>6321</v>
      </c>
      <c r="C1836" t="s">
        <v>4093</v>
      </c>
      <c r="D1836" t="s">
        <v>4094</v>
      </c>
      <c r="E1836">
        <v>12</v>
      </c>
      <c r="F1836" s="6">
        <v>750</v>
      </c>
      <c r="G1836" t="s">
        <v>3686</v>
      </c>
    </row>
    <row r="1837" spans="1:7">
      <c r="A1837" t="s">
        <v>533</v>
      </c>
      <c r="B1837" t="s">
        <v>6321</v>
      </c>
      <c r="C1837" t="s">
        <v>4093</v>
      </c>
      <c r="D1837" t="s">
        <v>4094</v>
      </c>
      <c r="E1837">
        <v>6</v>
      </c>
      <c r="F1837" s="6">
        <v>1750</v>
      </c>
      <c r="G1837" t="s">
        <v>3686</v>
      </c>
    </row>
    <row r="1838" spans="1:7">
      <c r="A1838" t="s">
        <v>1136</v>
      </c>
      <c r="B1838" t="s">
        <v>6322</v>
      </c>
      <c r="C1838" t="s">
        <v>3947</v>
      </c>
      <c r="D1838" t="s">
        <v>3948</v>
      </c>
      <c r="E1838">
        <v>6</v>
      </c>
      <c r="F1838" s="6">
        <v>750</v>
      </c>
      <c r="G1838" t="s">
        <v>5612</v>
      </c>
    </row>
    <row r="1839" spans="1:7">
      <c r="A1839" t="s">
        <v>1589</v>
      </c>
      <c r="B1839" t="s">
        <v>6323</v>
      </c>
      <c r="C1839" t="s">
        <v>4093</v>
      </c>
      <c r="D1839" t="s">
        <v>4094</v>
      </c>
      <c r="E1839">
        <v>12</v>
      </c>
      <c r="F1839" s="6">
        <v>50</v>
      </c>
      <c r="G1839" t="s">
        <v>4300</v>
      </c>
    </row>
    <row r="1840" spans="1:7">
      <c r="A1840" t="s">
        <v>6324</v>
      </c>
      <c r="B1840" t="s">
        <v>6325</v>
      </c>
      <c r="C1840" t="s">
        <v>3947</v>
      </c>
      <c r="D1840" t="s">
        <v>3948</v>
      </c>
      <c r="E1840">
        <v>12</v>
      </c>
      <c r="F1840" s="6">
        <v>50</v>
      </c>
      <c r="G1840" t="s">
        <v>3735</v>
      </c>
    </row>
    <row r="1841" spans="1:7">
      <c r="A1841" t="s">
        <v>6326</v>
      </c>
      <c r="B1841" t="s">
        <v>6327</v>
      </c>
      <c r="C1841" t="s">
        <v>3947</v>
      </c>
      <c r="D1841" t="s">
        <v>3948</v>
      </c>
      <c r="E1841">
        <v>24</v>
      </c>
      <c r="F1841" s="6">
        <v>200</v>
      </c>
      <c r="G1841" t="s">
        <v>3735</v>
      </c>
    </row>
    <row r="1842" spans="1:7">
      <c r="A1842" t="s">
        <v>6328</v>
      </c>
      <c r="B1842" t="s">
        <v>6327</v>
      </c>
      <c r="C1842" t="s">
        <v>3947</v>
      </c>
      <c r="D1842" t="s">
        <v>3948</v>
      </c>
      <c r="E1842">
        <v>12</v>
      </c>
      <c r="F1842" s="6">
        <v>375</v>
      </c>
      <c r="G1842" t="s">
        <v>3735</v>
      </c>
    </row>
    <row r="1843" spans="1:7">
      <c r="A1843" t="s">
        <v>6329</v>
      </c>
      <c r="B1843" t="s">
        <v>6327</v>
      </c>
      <c r="C1843" t="s">
        <v>3947</v>
      </c>
      <c r="D1843" t="s">
        <v>3948</v>
      </c>
      <c r="E1843">
        <v>12</v>
      </c>
      <c r="F1843" s="6">
        <v>750</v>
      </c>
      <c r="G1843" t="s">
        <v>3735</v>
      </c>
    </row>
    <row r="1844" spans="1:7">
      <c r="A1844" t="s">
        <v>6330</v>
      </c>
      <c r="B1844" t="s">
        <v>6327</v>
      </c>
      <c r="C1844" t="s">
        <v>3947</v>
      </c>
      <c r="D1844" t="s">
        <v>3948</v>
      </c>
      <c r="E1844">
        <v>6</v>
      </c>
      <c r="F1844" s="6">
        <v>1750</v>
      </c>
      <c r="G1844" t="s">
        <v>3735</v>
      </c>
    </row>
    <row r="1845" spans="1:7">
      <c r="A1845" t="s">
        <v>677</v>
      </c>
      <c r="B1845" t="s">
        <v>6331</v>
      </c>
      <c r="C1845" t="s">
        <v>4093</v>
      </c>
      <c r="D1845" t="s">
        <v>4094</v>
      </c>
      <c r="E1845">
        <v>12</v>
      </c>
      <c r="F1845" s="6">
        <v>750</v>
      </c>
      <c r="G1845" t="s">
        <v>6167</v>
      </c>
    </row>
    <row r="1846" spans="1:7">
      <c r="A1846" t="s">
        <v>1394</v>
      </c>
      <c r="B1846" t="s">
        <v>6332</v>
      </c>
      <c r="C1846" t="s">
        <v>4093</v>
      </c>
      <c r="D1846" t="s">
        <v>4094</v>
      </c>
      <c r="E1846">
        <v>12</v>
      </c>
      <c r="F1846" s="6">
        <v>750</v>
      </c>
      <c r="G1846" t="s">
        <v>6167</v>
      </c>
    </row>
    <row r="1847" spans="1:7">
      <c r="A1847" t="s">
        <v>1737</v>
      </c>
      <c r="B1847" t="s">
        <v>6333</v>
      </c>
      <c r="C1847" t="s">
        <v>4093</v>
      </c>
      <c r="D1847" t="s">
        <v>4094</v>
      </c>
      <c r="E1847">
        <v>12</v>
      </c>
      <c r="F1847" s="6">
        <v>750</v>
      </c>
      <c r="G1847" t="s">
        <v>6167</v>
      </c>
    </row>
    <row r="1848" spans="1:7">
      <c r="A1848" t="s">
        <v>930</v>
      </c>
      <c r="B1848" t="s">
        <v>6334</v>
      </c>
      <c r="C1848" t="s">
        <v>4093</v>
      </c>
      <c r="D1848" t="s">
        <v>4094</v>
      </c>
      <c r="E1848">
        <v>24</v>
      </c>
      <c r="F1848" s="6">
        <v>375</v>
      </c>
      <c r="G1848" t="s">
        <v>4300</v>
      </c>
    </row>
    <row r="1849" spans="1:7">
      <c r="A1849" t="s">
        <v>1559</v>
      </c>
      <c r="B1849" t="s">
        <v>6335</v>
      </c>
      <c r="C1849" t="s">
        <v>3947</v>
      </c>
      <c r="D1849" t="s">
        <v>3948</v>
      </c>
      <c r="E1849">
        <v>12</v>
      </c>
      <c r="F1849" s="6">
        <v>750</v>
      </c>
      <c r="G1849" t="s">
        <v>3730</v>
      </c>
    </row>
    <row r="1850" spans="1:7">
      <c r="A1850" t="s">
        <v>6336</v>
      </c>
      <c r="B1850" t="s">
        <v>6335</v>
      </c>
      <c r="C1850" t="s">
        <v>3947</v>
      </c>
      <c r="D1850" t="s">
        <v>3948</v>
      </c>
      <c r="E1850">
        <v>6</v>
      </c>
      <c r="F1850" s="6">
        <v>1750</v>
      </c>
      <c r="G1850" t="s">
        <v>3730</v>
      </c>
    </row>
    <row r="1851" spans="1:7">
      <c r="A1851" t="s">
        <v>1792</v>
      </c>
      <c r="B1851" t="s">
        <v>6337</v>
      </c>
      <c r="C1851" t="s">
        <v>4093</v>
      </c>
      <c r="D1851" t="s">
        <v>4094</v>
      </c>
      <c r="E1851">
        <v>24</v>
      </c>
      <c r="F1851" s="6">
        <v>200</v>
      </c>
      <c r="G1851" t="s">
        <v>3763</v>
      </c>
    </row>
    <row r="1852" spans="1:7">
      <c r="A1852" t="s">
        <v>149</v>
      </c>
      <c r="B1852" t="s">
        <v>6337</v>
      </c>
      <c r="C1852" t="s">
        <v>4093</v>
      </c>
      <c r="D1852" t="s">
        <v>4094</v>
      </c>
      <c r="E1852">
        <v>24</v>
      </c>
      <c r="F1852" s="6">
        <v>375</v>
      </c>
      <c r="G1852" t="s">
        <v>3763</v>
      </c>
    </row>
    <row r="1853" spans="1:7">
      <c r="A1853" t="s">
        <v>2599</v>
      </c>
      <c r="B1853" t="s">
        <v>6337</v>
      </c>
      <c r="C1853" t="s">
        <v>4093</v>
      </c>
      <c r="D1853" t="s">
        <v>4094</v>
      </c>
      <c r="E1853">
        <v>12</v>
      </c>
      <c r="F1853" s="6">
        <v>750</v>
      </c>
      <c r="G1853" t="s">
        <v>3763</v>
      </c>
    </row>
    <row r="1854" spans="1:7">
      <c r="A1854" t="s">
        <v>778</v>
      </c>
      <c r="B1854" t="s">
        <v>6338</v>
      </c>
      <c r="C1854" t="s">
        <v>4093</v>
      </c>
      <c r="D1854" t="s">
        <v>4094</v>
      </c>
      <c r="E1854">
        <v>12</v>
      </c>
      <c r="F1854" s="6">
        <v>750</v>
      </c>
      <c r="G1854" t="s">
        <v>3931</v>
      </c>
    </row>
    <row r="1855" spans="1:7">
      <c r="A1855" t="s">
        <v>1799</v>
      </c>
      <c r="B1855" t="s">
        <v>6339</v>
      </c>
      <c r="C1855" t="s">
        <v>4084</v>
      </c>
      <c r="D1855" t="s">
        <v>4085</v>
      </c>
      <c r="E1855">
        <v>6</v>
      </c>
      <c r="F1855" s="6">
        <v>750</v>
      </c>
      <c r="G1855" t="s">
        <v>3705</v>
      </c>
    </row>
    <row r="1856" spans="1:7">
      <c r="A1856" t="s">
        <v>2473</v>
      </c>
      <c r="B1856" t="s">
        <v>6340</v>
      </c>
      <c r="C1856" t="s">
        <v>3679</v>
      </c>
      <c r="D1856" t="s">
        <v>3680</v>
      </c>
      <c r="E1856">
        <v>6</v>
      </c>
      <c r="F1856" s="6">
        <v>750</v>
      </c>
      <c r="G1856" t="s">
        <v>3689</v>
      </c>
    </row>
    <row r="1857" spans="1:7">
      <c r="A1857" t="s">
        <v>2708</v>
      </c>
      <c r="B1857" t="s">
        <v>6341</v>
      </c>
      <c r="C1857" t="s">
        <v>4093</v>
      </c>
      <c r="D1857" t="s">
        <v>4094</v>
      </c>
      <c r="E1857">
        <v>10</v>
      </c>
      <c r="F1857" s="6">
        <v>50</v>
      </c>
      <c r="G1857" t="s">
        <v>3763</v>
      </c>
    </row>
    <row r="1858" spans="1:7">
      <c r="A1858" t="s">
        <v>6342</v>
      </c>
      <c r="B1858" t="s">
        <v>6343</v>
      </c>
      <c r="C1858" t="s">
        <v>4093</v>
      </c>
      <c r="D1858" t="s">
        <v>4094</v>
      </c>
      <c r="E1858">
        <v>12</v>
      </c>
      <c r="F1858" s="6">
        <v>750</v>
      </c>
      <c r="G1858" t="s">
        <v>3763</v>
      </c>
    </row>
    <row r="1859" spans="1:7">
      <c r="A1859" t="s">
        <v>294</v>
      </c>
      <c r="B1859" t="s">
        <v>6344</v>
      </c>
      <c r="C1859" t="s">
        <v>4093</v>
      </c>
      <c r="D1859" t="s">
        <v>4094</v>
      </c>
      <c r="E1859">
        <v>12</v>
      </c>
      <c r="F1859" s="6">
        <v>750</v>
      </c>
      <c r="G1859" t="s">
        <v>3931</v>
      </c>
    </row>
    <row r="1860" spans="1:7">
      <c r="A1860" t="s">
        <v>6345</v>
      </c>
      <c r="B1860" t="s">
        <v>6344</v>
      </c>
      <c r="C1860" t="s">
        <v>4093</v>
      </c>
      <c r="D1860" t="s">
        <v>4094</v>
      </c>
      <c r="E1860">
        <v>6</v>
      </c>
      <c r="F1860" s="6">
        <v>1750</v>
      </c>
      <c r="G1860" t="s">
        <v>3931</v>
      </c>
    </row>
    <row r="1861" spans="1:7">
      <c r="A1861" t="s">
        <v>2609</v>
      </c>
      <c r="B1861" t="s">
        <v>6346</v>
      </c>
      <c r="C1861" t="s">
        <v>4093</v>
      </c>
      <c r="D1861" t="s">
        <v>4094</v>
      </c>
      <c r="E1861">
        <v>24</v>
      </c>
      <c r="F1861" s="6">
        <v>375</v>
      </c>
      <c r="G1861" t="s">
        <v>3763</v>
      </c>
    </row>
    <row r="1862" spans="1:7">
      <c r="A1862" t="s">
        <v>395</v>
      </c>
      <c r="B1862" t="s">
        <v>6346</v>
      </c>
      <c r="C1862" t="s">
        <v>4093</v>
      </c>
      <c r="D1862" t="s">
        <v>4094</v>
      </c>
      <c r="E1862">
        <v>12</v>
      </c>
      <c r="F1862" s="6">
        <v>750</v>
      </c>
      <c r="G1862" t="s">
        <v>3763</v>
      </c>
    </row>
    <row r="1863" spans="1:7">
      <c r="A1863" t="s">
        <v>3063</v>
      </c>
      <c r="B1863" t="s">
        <v>6347</v>
      </c>
      <c r="C1863" t="s">
        <v>4093</v>
      </c>
      <c r="D1863" t="s">
        <v>4094</v>
      </c>
      <c r="E1863">
        <v>12</v>
      </c>
      <c r="F1863" s="6">
        <v>750</v>
      </c>
      <c r="G1863" t="s">
        <v>3931</v>
      </c>
    </row>
    <row r="1864" spans="1:7">
      <c r="A1864" t="s">
        <v>1480</v>
      </c>
      <c r="B1864" t="s">
        <v>6348</v>
      </c>
      <c r="C1864" t="s">
        <v>4093</v>
      </c>
      <c r="D1864" t="s">
        <v>4094</v>
      </c>
      <c r="E1864">
        <v>12</v>
      </c>
      <c r="F1864" s="6">
        <v>750</v>
      </c>
      <c r="G1864" t="s">
        <v>3931</v>
      </c>
    </row>
    <row r="1865" spans="1:7">
      <c r="A1865" t="s">
        <v>359</v>
      </c>
      <c r="B1865" t="s">
        <v>6349</v>
      </c>
      <c r="C1865" t="s">
        <v>4093</v>
      </c>
      <c r="D1865" t="s">
        <v>4094</v>
      </c>
      <c r="E1865">
        <v>10</v>
      </c>
      <c r="F1865" s="6">
        <v>50</v>
      </c>
      <c r="G1865" t="s">
        <v>3763</v>
      </c>
    </row>
    <row r="1866" spans="1:7">
      <c r="A1866" t="s">
        <v>6350</v>
      </c>
      <c r="B1866" t="s">
        <v>6351</v>
      </c>
      <c r="C1866" t="s">
        <v>4093</v>
      </c>
      <c r="D1866" t="s">
        <v>4094</v>
      </c>
      <c r="E1866">
        <v>24</v>
      </c>
      <c r="F1866" s="6">
        <v>200</v>
      </c>
      <c r="G1866" t="s">
        <v>3763</v>
      </c>
    </row>
    <row r="1867" spans="1:7">
      <c r="A1867" t="s">
        <v>1704</v>
      </c>
      <c r="B1867" t="s">
        <v>6351</v>
      </c>
      <c r="C1867" t="s">
        <v>4093</v>
      </c>
      <c r="D1867" t="s">
        <v>4094</v>
      </c>
      <c r="E1867">
        <v>24</v>
      </c>
      <c r="F1867" s="6">
        <v>375</v>
      </c>
      <c r="G1867" t="s">
        <v>3763</v>
      </c>
    </row>
    <row r="1868" spans="1:7">
      <c r="A1868" t="s">
        <v>233</v>
      </c>
      <c r="B1868" t="s">
        <v>6351</v>
      </c>
      <c r="C1868" t="s">
        <v>4093</v>
      </c>
      <c r="D1868" t="s">
        <v>4094</v>
      </c>
      <c r="E1868">
        <v>12</v>
      </c>
      <c r="F1868" s="6">
        <v>750</v>
      </c>
      <c r="G1868" t="s">
        <v>3763</v>
      </c>
    </row>
    <row r="1869" spans="1:7">
      <c r="A1869" t="s">
        <v>2603</v>
      </c>
      <c r="B1869" t="s">
        <v>6352</v>
      </c>
      <c r="C1869" t="s">
        <v>4093</v>
      </c>
      <c r="D1869" t="s">
        <v>4094</v>
      </c>
      <c r="E1869">
        <v>12</v>
      </c>
      <c r="F1869" s="6">
        <v>750</v>
      </c>
      <c r="G1869" t="s">
        <v>3763</v>
      </c>
    </row>
    <row r="1870" spans="1:7">
      <c r="A1870" t="s">
        <v>6353</v>
      </c>
      <c r="B1870" t="s">
        <v>6354</v>
      </c>
      <c r="C1870" t="s">
        <v>3679</v>
      </c>
      <c r="D1870" t="s">
        <v>3680</v>
      </c>
      <c r="E1870">
        <v>6</v>
      </c>
      <c r="F1870" s="6">
        <v>1750</v>
      </c>
      <c r="G1870" t="s">
        <v>3686</v>
      </c>
    </row>
    <row r="1871" spans="1:7">
      <c r="A1871" t="s">
        <v>6355</v>
      </c>
      <c r="B1871" t="s">
        <v>6356</v>
      </c>
      <c r="C1871" t="s">
        <v>4093</v>
      </c>
      <c r="D1871" t="s">
        <v>4094</v>
      </c>
      <c r="E1871">
        <v>6</v>
      </c>
      <c r="F1871" s="6">
        <v>1750</v>
      </c>
      <c r="G1871" t="s">
        <v>3763</v>
      </c>
    </row>
    <row r="1872" spans="1:7">
      <c r="A1872" t="s">
        <v>368</v>
      </c>
      <c r="B1872" t="s">
        <v>6357</v>
      </c>
      <c r="C1872" t="s">
        <v>4093</v>
      </c>
      <c r="D1872" t="s">
        <v>4094</v>
      </c>
      <c r="E1872">
        <v>12</v>
      </c>
      <c r="F1872" s="6">
        <v>750</v>
      </c>
      <c r="G1872" t="s">
        <v>3931</v>
      </c>
    </row>
    <row r="1873" spans="1:7">
      <c r="A1873" t="s">
        <v>1390</v>
      </c>
      <c r="B1873" t="s">
        <v>6357</v>
      </c>
      <c r="C1873" t="s">
        <v>4093</v>
      </c>
      <c r="D1873" t="s">
        <v>4094</v>
      </c>
      <c r="E1873">
        <v>6</v>
      </c>
      <c r="F1873" s="6">
        <v>1750</v>
      </c>
      <c r="G1873" t="s">
        <v>3931</v>
      </c>
    </row>
    <row r="1874" spans="1:7">
      <c r="A1874" t="s">
        <v>2016</v>
      </c>
      <c r="B1874" t="s">
        <v>6358</v>
      </c>
      <c r="C1874" t="s">
        <v>4093</v>
      </c>
      <c r="D1874" t="s">
        <v>4094</v>
      </c>
      <c r="E1874">
        <v>12</v>
      </c>
      <c r="F1874" s="6">
        <v>750</v>
      </c>
      <c r="G1874" t="s">
        <v>3931</v>
      </c>
    </row>
    <row r="1875" spans="1:7">
      <c r="A1875" t="s">
        <v>506</v>
      </c>
      <c r="B1875" t="s">
        <v>6359</v>
      </c>
      <c r="C1875" t="s">
        <v>4093</v>
      </c>
      <c r="D1875" t="s">
        <v>4094</v>
      </c>
      <c r="E1875">
        <v>12</v>
      </c>
      <c r="F1875" s="6">
        <v>750</v>
      </c>
      <c r="G1875" t="s">
        <v>3931</v>
      </c>
    </row>
    <row r="1876" spans="1:7">
      <c r="A1876" t="s">
        <v>6360</v>
      </c>
      <c r="B1876" t="s">
        <v>6361</v>
      </c>
      <c r="C1876" t="s">
        <v>3679</v>
      </c>
      <c r="D1876" t="s">
        <v>3680</v>
      </c>
      <c r="E1876">
        <v>6</v>
      </c>
      <c r="F1876" s="6">
        <v>750</v>
      </c>
      <c r="G1876" t="s">
        <v>3716</v>
      </c>
    </row>
    <row r="1877" spans="1:7">
      <c r="A1877" t="s">
        <v>6362</v>
      </c>
      <c r="B1877" t="s">
        <v>6363</v>
      </c>
      <c r="C1877" t="s">
        <v>3679</v>
      </c>
      <c r="D1877" t="s">
        <v>3680</v>
      </c>
      <c r="E1877">
        <v>6</v>
      </c>
      <c r="F1877" s="6">
        <v>750</v>
      </c>
      <c r="G1877" t="s">
        <v>3716</v>
      </c>
    </row>
    <row r="1878" spans="1:7">
      <c r="A1878" t="s">
        <v>3409</v>
      </c>
      <c r="B1878" t="s">
        <v>6364</v>
      </c>
      <c r="C1878" t="s">
        <v>4093</v>
      </c>
      <c r="D1878" t="s">
        <v>4094</v>
      </c>
      <c r="E1878">
        <v>12</v>
      </c>
      <c r="F1878" s="6">
        <v>750</v>
      </c>
      <c r="G1878" t="s">
        <v>3888</v>
      </c>
    </row>
    <row r="1879" spans="1:7">
      <c r="A1879" t="s">
        <v>1734</v>
      </c>
      <c r="B1879" t="s">
        <v>6365</v>
      </c>
      <c r="C1879" t="s">
        <v>4093</v>
      </c>
      <c r="D1879" t="s">
        <v>4094</v>
      </c>
      <c r="E1879">
        <v>48</v>
      </c>
      <c r="F1879" s="6">
        <v>200</v>
      </c>
      <c r="G1879" t="s">
        <v>3698</v>
      </c>
    </row>
    <row r="1880" spans="1:7">
      <c r="A1880" t="s">
        <v>6366</v>
      </c>
      <c r="B1880" t="s">
        <v>6367</v>
      </c>
      <c r="C1880" t="s">
        <v>4093</v>
      </c>
      <c r="D1880" t="s">
        <v>4094</v>
      </c>
      <c r="E1880">
        <v>48</v>
      </c>
      <c r="F1880" s="6">
        <v>200</v>
      </c>
      <c r="G1880" t="s">
        <v>3698</v>
      </c>
    </row>
    <row r="1881" spans="1:7">
      <c r="A1881" t="s">
        <v>895</v>
      </c>
      <c r="B1881" t="s">
        <v>6368</v>
      </c>
      <c r="C1881" t="s">
        <v>4093</v>
      </c>
      <c r="D1881" t="s">
        <v>4094</v>
      </c>
      <c r="E1881">
        <v>10</v>
      </c>
      <c r="F1881" s="6">
        <v>50</v>
      </c>
      <c r="G1881" t="s">
        <v>3763</v>
      </c>
    </row>
    <row r="1882" spans="1:7">
      <c r="A1882" t="s">
        <v>1964</v>
      </c>
      <c r="B1882" t="s">
        <v>6356</v>
      </c>
      <c r="C1882" t="s">
        <v>4093</v>
      </c>
      <c r="D1882" t="s">
        <v>4094</v>
      </c>
      <c r="E1882">
        <v>24</v>
      </c>
      <c r="F1882" s="6">
        <v>200</v>
      </c>
      <c r="G1882" t="s">
        <v>3763</v>
      </c>
    </row>
    <row r="1883" spans="1:7">
      <c r="A1883" t="s">
        <v>6369</v>
      </c>
      <c r="B1883" t="s">
        <v>6356</v>
      </c>
      <c r="C1883" t="s">
        <v>4093</v>
      </c>
      <c r="D1883" t="s">
        <v>4094</v>
      </c>
      <c r="E1883">
        <v>24</v>
      </c>
      <c r="F1883" s="6">
        <v>375</v>
      </c>
      <c r="G1883" t="s">
        <v>3763</v>
      </c>
    </row>
    <row r="1884" spans="1:7">
      <c r="A1884" t="s">
        <v>515</v>
      </c>
      <c r="B1884" t="s">
        <v>6356</v>
      </c>
      <c r="C1884" t="s">
        <v>4093</v>
      </c>
      <c r="D1884" t="s">
        <v>4094</v>
      </c>
      <c r="E1884">
        <v>12</v>
      </c>
      <c r="F1884" s="6">
        <v>750</v>
      </c>
      <c r="G1884" t="s">
        <v>3763</v>
      </c>
    </row>
    <row r="1885" spans="1:7">
      <c r="A1885" t="s">
        <v>2368</v>
      </c>
      <c r="B1885" t="s">
        <v>6370</v>
      </c>
      <c r="C1885" t="s">
        <v>4093</v>
      </c>
      <c r="D1885" t="s">
        <v>4094</v>
      </c>
      <c r="E1885">
        <v>24</v>
      </c>
      <c r="F1885" s="6">
        <v>200</v>
      </c>
      <c r="G1885" t="s">
        <v>3763</v>
      </c>
    </row>
    <row r="1886" spans="1:7">
      <c r="A1886" t="s">
        <v>1593</v>
      </c>
      <c r="B1886" t="s">
        <v>6370</v>
      </c>
      <c r="C1886" t="s">
        <v>4093</v>
      </c>
      <c r="D1886" t="s">
        <v>4094</v>
      </c>
      <c r="E1886">
        <v>24</v>
      </c>
      <c r="F1886" s="6">
        <v>375</v>
      </c>
      <c r="G1886" t="s">
        <v>3763</v>
      </c>
    </row>
    <row r="1887" spans="1:7">
      <c r="A1887" t="s">
        <v>327</v>
      </c>
      <c r="B1887" t="s">
        <v>6370</v>
      </c>
      <c r="C1887" t="s">
        <v>4093</v>
      </c>
      <c r="D1887" t="s">
        <v>4094</v>
      </c>
      <c r="E1887">
        <v>12</v>
      </c>
      <c r="F1887" s="6">
        <v>750</v>
      </c>
      <c r="G1887" t="s">
        <v>3763</v>
      </c>
    </row>
    <row r="1888" spans="1:7">
      <c r="A1888" t="s">
        <v>3509</v>
      </c>
      <c r="B1888" t="s">
        <v>6371</v>
      </c>
      <c r="C1888" t="s">
        <v>4093</v>
      </c>
      <c r="D1888" t="s">
        <v>4094</v>
      </c>
      <c r="E1888">
        <v>12</v>
      </c>
      <c r="F1888" s="6">
        <v>750</v>
      </c>
      <c r="G1888" t="s">
        <v>3698</v>
      </c>
    </row>
    <row r="1889" spans="1:7">
      <c r="A1889" t="s">
        <v>6372</v>
      </c>
      <c r="B1889" t="s">
        <v>6373</v>
      </c>
      <c r="C1889" t="s">
        <v>4093</v>
      </c>
      <c r="D1889" t="s">
        <v>4094</v>
      </c>
      <c r="E1889">
        <v>12</v>
      </c>
      <c r="F1889" s="6">
        <v>750</v>
      </c>
      <c r="G1889" t="s">
        <v>3888</v>
      </c>
    </row>
    <row r="1890" spans="1:7">
      <c r="A1890" t="s">
        <v>6374</v>
      </c>
      <c r="B1890" t="s">
        <v>6375</v>
      </c>
      <c r="C1890" t="s">
        <v>4093</v>
      </c>
      <c r="D1890" t="s">
        <v>4094</v>
      </c>
      <c r="E1890">
        <v>12</v>
      </c>
      <c r="F1890" s="6">
        <v>750</v>
      </c>
      <c r="G1890" t="s">
        <v>3888</v>
      </c>
    </row>
    <row r="1891" spans="1:7">
      <c r="A1891" t="s">
        <v>6376</v>
      </c>
      <c r="B1891" t="s">
        <v>6377</v>
      </c>
      <c r="C1891" t="s">
        <v>4093</v>
      </c>
      <c r="D1891" t="s">
        <v>4094</v>
      </c>
      <c r="E1891">
        <v>12</v>
      </c>
      <c r="F1891" s="6">
        <v>750</v>
      </c>
      <c r="G1891" t="s">
        <v>3888</v>
      </c>
    </row>
    <row r="1892" spans="1:7">
      <c r="A1892" t="s">
        <v>256</v>
      </c>
      <c r="B1892" t="s">
        <v>6378</v>
      </c>
      <c r="C1892" t="s">
        <v>4084</v>
      </c>
      <c r="D1892" t="s">
        <v>4085</v>
      </c>
      <c r="E1892">
        <v>6</v>
      </c>
      <c r="F1892" s="6">
        <v>750</v>
      </c>
      <c r="G1892" t="s">
        <v>3681</v>
      </c>
    </row>
    <row r="1893" spans="1:7">
      <c r="A1893" t="s">
        <v>2422</v>
      </c>
      <c r="B1893" t="s">
        <v>6379</v>
      </c>
      <c r="C1893" t="s">
        <v>4084</v>
      </c>
      <c r="D1893" t="s">
        <v>4085</v>
      </c>
      <c r="E1893">
        <v>6</v>
      </c>
      <c r="F1893" s="6">
        <v>750</v>
      </c>
      <c r="G1893" t="s">
        <v>3754</v>
      </c>
    </row>
    <row r="1894" spans="1:7">
      <c r="A1894" t="s">
        <v>6380</v>
      </c>
      <c r="B1894" t="s">
        <v>6381</v>
      </c>
      <c r="C1894" t="s">
        <v>3947</v>
      </c>
      <c r="D1894" t="s">
        <v>3948</v>
      </c>
      <c r="E1894">
        <v>12</v>
      </c>
      <c r="F1894" s="6">
        <v>750</v>
      </c>
      <c r="G1894" t="s">
        <v>3730</v>
      </c>
    </row>
    <row r="1895" spans="1:7">
      <c r="A1895" t="s">
        <v>1709</v>
      </c>
      <c r="B1895" t="s">
        <v>6382</v>
      </c>
      <c r="C1895" t="s">
        <v>4084</v>
      </c>
      <c r="D1895" t="s">
        <v>4085</v>
      </c>
      <c r="E1895">
        <v>6</v>
      </c>
      <c r="F1895" s="6">
        <v>750</v>
      </c>
      <c r="G1895" t="s">
        <v>3754</v>
      </c>
    </row>
    <row r="1896" spans="1:7">
      <c r="A1896" t="s">
        <v>431</v>
      </c>
      <c r="B1896" t="s">
        <v>6383</v>
      </c>
      <c r="C1896" t="s">
        <v>4093</v>
      </c>
      <c r="D1896" t="s">
        <v>4094</v>
      </c>
      <c r="E1896">
        <v>12</v>
      </c>
      <c r="F1896" s="6">
        <v>750</v>
      </c>
      <c r="G1896" t="s">
        <v>3698</v>
      </c>
    </row>
    <row r="1897" spans="1:7">
      <c r="A1897" t="s">
        <v>6384</v>
      </c>
      <c r="B1897" t="s">
        <v>6385</v>
      </c>
      <c r="C1897" t="s">
        <v>4084</v>
      </c>
      <c r="D1897" t="s">
        <v>4085</v>
      </c>
      <c r="E1897">
        <v>6</v>
      </c>
      <c r="F1897" s="6">
        <v>750</v>
      </c>
      <c r="G1897" t="s">
        <v>3754</v>
      </c>
    </row>
    <row r="1898" spans="1:7">
      <c r="A1898" t="s">
        <v>6386</v>
      </c>
      <c r="B1898" t="s">
        <v>6387</v>
      </c>
      <c r="C1898" t="s">
        <v>4023</v>
      </c>
      <c r="D1898" t="s">
        <v>4024</v>
      </c>
      <c r="E1898">
        <v>3</v>
      </c>
      <c r="F1898" s="6">
        <v>750</v>
      </c>
      <c r="G1898" t="s">
        <v>3754</v>
      </c>
    </row>
    <row r="1899" spans="1:7">
      <c r="A1899" t="s">
        <v>6388</v>
      </c>
      <c r="B1899" t="s">
        <v>6389</v>
      </c>
      <c r="C1899" t="s">
        <v>4093</v>
      </c>
      <c r="D1899" t="s">
        <v>4094</v>
      </c>
      <c r="E1899">
        <v>12</v>
      </c>
      <c r="F1899" s="6">
        <v>750</v>
      </c>
      <c r="G1899" t="s">
        <v>3686</v>
      </c>
    </row>
    <row r="1900" spans="1:7">
      <c r="A1900" t="s">
        <v>2017</v>
      </c>
      <c r="B1900" t="s">
        <v>6390</v>
      </c>
      <c r="C1900" t="s">
        <v>4093</v>
      </c>
      <c r="D1900" t="s">
        <v>4094</v>
      </c>
      <c r="E1900">
        <v>12</v>
      </c>
      <c r="F1900" s="6">
        <v>750</v>
      </c>
      <c r="G1900" t="s">
        <v>3931</v>
      </c>
    </row>
    <row r="1901" spans="1:7">
      <c r="A1901" t="s">
        <v>697</v>
      </c>
      <c r="B1901" t="s">
        <v>6391</v>
      </c>
      <c r="C1901" t="s">
        <v>4093</v>
      </c>
      <c r="D1901" t="s">
        <v>4094</v>
      </c>
      <c r="E1901">
        <v>12</v>
      </c>
      <c r="F1901" s="6">
        <v>750</v>
      </c>
      <c r="G1901" t="s">
        <v>3931</v>
      </c>
    </row>
    <row r="1902" spans="1:7">
      <c r="A1902" t="s">
        <v>6392</v>
      </c>
      <c r="B1902" t="s">
        <v>6393</v>
      </c>
      <c r="C1902" t="s">
        <v>4093</v>
      </c>
      <c r="D1902" t="s">
        <v>4094</v>
      </c>
      <c r="E1902">
        <v>12</v>
      </c>
      <c r="F1902" s="6">
        <v>750</v>
      </c>
      <c r="G1902" t="s">
        <v>3931</v>
      </c>
    </row>
    <row r="1903" spans="1:7">
      <c r="A1903" t="s">
        <v>1510</v>
      </c>
      <c r="B1903" t="s">
        <v>6394</v>
      </c>
      <c r="C1903" t="s">
        <v>4093</v>
      </c>
      <c r="D1903" t="s">
        <v>4094</v>
      </c>
      <c r="E1903">
        <v>12</v>
      </c>
      <c r="F1903" s="6">
        <v>750</v>
      </c>
      <c r="G1903" t="s">
        <v>3931</v>
      </c>
    </row>
    <row r="1904" spans="1:7">
      <c r="A1904" t="s">
        <v>2092</v>
      </c>
      <c r="B1904" t="s">
        <v>6395</v>
      </c>
      <c r="C1904" t="s">
        <v>4093</v>
      </c>
      <c r="D1904" t="s">
        <v>4094</v>
      </c>
      <c r="E1904">
        <v>12</v>
      </c>
      <c r="F1904" s="6">
        <v>750</v>
      </c>
      <c r="G1904" t="s">
        <v>3931</v>
      </c>
    </row>
    <row r="1905" spans="1:7">
      <c r="A1905" t="s">
        <v>648</v>
      </c>
      <c r="B1905" t="s">
        <v>6396</v>
      </c>
      <c r="C1905" t="s">
        <v>4093</v>
      </c>
      <c r="D1905" t="s">
        <v>4094</v>
      </c>
      <c r="E1905">
        <v>12</v>
      </c>
      <c r="F1905" s="6">
        <v>750</v>
      </c>
      <c r="G1905" t="s">
        <v>4300</v>
      </c>
    </row>
    <row r="1906" spans="1:7">
      <c r="A1906" t="s">
        <v>1718</v>
      </c>
      <c r="B1906" t="s">
        <v>6397</v>
      </c>
      <c r="C1906" t="s">
        <v>4093</v>
      </c>
      <c r="D1906" t="s">
        <v>4094</v>
      </c>
      <c r="E1906">
        <v>12</v>
      </c>
      <c r="F1906" s="6">
        <v>750</v>
      </c>
      <c r="G1906" t="s">
        <v>3931</v>
      </c>
    </row>
    <row r="1907" spans="1:7">
      <c r="A1907" t="s">
        <v>6398</v>
      </c>
      <c r="B1907" t="s">
        <v>6399</v>
      </c>
      <c r="C1907" t="s">
        <v>4093</v>
      </c>
      <c r="D1907" t="s">
        <v>4094</v>
      </c>
      <c r="E1907">
        <v>12</v>
      </c>
      <c r="F1907" s="6">
        <v>750</v>
      </c>
      <c r="G1907" t="s">
        <v>5932</v>
      </c>
    </row>
    <row r="1908" spans="1:7">
      <c r="A1908" t="s">
        <v>2922</v>
      </c>
      <c r="B1908" t="s">
        <v>6400</v>
      </c>
      <c r="C1908" t="s">
        <v>4093</v>
      </c>
      <c r="D1908" t="s">
        <v>4094</v>
      </c>
      <c r="E1908">
        <v>12</v>
      </c>
      <c r="F1908" s="6">
        <v>750</v>
      </c>
      <c r="G1908" t="s">
        <v>4300</v>
      </c>
    </row>
    <row r="1909" spans="1:7">
      <c r="A1909" t="s">
        <v>757</v>
      </c>
      <c r="B1909" t="s">
        <v>6400</v>
      </c>
      <c r="C1909" t="s">
        <v>4093</v>
      </c>
      <c r="D1909" t="s">
        <v>4094</v>
      </c>
      <c r="E1909">
        <v>6</v>
      </c>
      <c r="F1909" s="6">
        <v>1750</v>
      </c>
      <c r="G1909" t="s">
        <v>4300</v>
      </c>
    </row>
    <row r="1910" spans="1:7">
      <c r="A1910" t="s">
        <v>2166</v>
      </c>
      <c r="B1910" t="s">
        <v>6401</v>
      </c>
      <c r="C1910" t="s">
        <v>4093</v>
      </c>
      <c r="D1910" t="s">
        <v>4094</v>
      </c>
      <c r="E1910">
        <v>12</v>
      </c>
      <c r="F1910" s="6">
        <v>750</v>
      </c>
      <c r="G1910" t="s">
        <v>3931</v>
      </c>
    </row>
    <row r="1911" spans="1:7">
      <c r="A1911" t="s">
        <v>1248</v>
      </c>
      <c r="B1911" t="s">
        <v>6402</v>
      </c>
      <c r="C1911" t="s">
        <v>4093</v>
      </c>
      <c r="D1911" t="s">
        <v>4094</v>
      </c>
      <c r="E1911">
        <v>6</v>
      </c>
      <c r="F1911" s="6">
        <v>1750</v>
      </c>
      <c r="G1911" t="s">
        <v>4300</v>
      </c>
    </row>
    <row r="1912" spans="1:7">
      <c r="A1912" t="s">
        <v>2880</v>
      </c>
      <c r="B1912" t="s">
        <v>6403</v>
      </c>
      <c r="C1912" t="s">
        <v>4093</v>
      </c>
      <c r="D1912" t="s">
        <v>4094</v>
      </c>
      <c r="E1912">
        <v>12</v>
      </c>
      <c r="F1912" s="6">
        <v>750</v>
      </c>
      <c r="G1912" t="s">
        <v>4300</v>
      </c>
    </row>
    <row r="1913" spans="1:7">
      <c r="A1913" t="s">
        <v>385</v>
      </c>
      <c r="B1913" t="s">
        <v>6404</v>
      </c>
      <c r="C1913" t="s">
        <v>4093</v>
      </c>
      <c r="D1913" t="s">
        <v>4094</v>
      </c>
      <c r="E1913">
        <v>12</v>
      </c>
      <c r="F1913" s="6">
        <v>50</v>
      </c>
      <c r="G1913" t="s">
        <v>4300</v>
      </c>
    </row>
    <row r="1914" spans="1:7">
      <c r="A1914" t="s">
        <v>1344</v>
      </c>
      <c r="B1914" t="s">
        <v>6334</v>
      </c>
      <c r="C1914" t="s">
        <v>4093</v>
      </c>
      <c r="D1914" t="s">
        <v>4094</v>
      </c>
      <c r="E1914">
        <v>6</v>
      </c>
      <c r="F1914" s="6">
        <v>1750</v>
      </c>
      <c r="G1914" t="s">
        <v>4300</v>
      </c>
    </row>
    <row r="1915" spans="1:7">
      <c r="A1915" t="s">
        <v>871</v>
      </c>
      <c r="B1915" t="s">
        <v>6334</v>
      </c>
      <c r="C1915" t="s">
        <v>4093</v>
      </c>
      <c r="D1915" t="s">
        <v>4094</v>
      </c>
      <c r="E1915">
        <v>12</v>
      </c>
      <c r="F1915" s="6">
        <v>750</v>
      </c>
      <c r="G1915" t="s">
        <v>4300</v>
      </c>
    </row>
    <row r="1916" spans="1:7">
      <c r="A1916" t="s">
        <v>1948</v>
      </c>
      <c r="B1916" t="s">
        <v>6334</v>
      </c>
      <c r="C1916" t="s">
        <v>4093</v>
      </c>
      <c r="D1916" t="s">
        <v>4094</v>
      </c>
      <c r="E1916">
        <v>12</v>
      </c>
      <c r="F1916" s="6">
        <v>1000</v>
      </c>
      <c r="G1916" t="s">
        <v>4300</v>
      </c>
    </row>
    <row r="1917" spans="1:7">
      <c r="A1917" t="s">
        <v>1118</v>
      </c>
      <c r="B1917" t="s">
        <v>6405</v>
      </c>
      <c r="C1917" t="s">
        <v>4093</v>
      </c>
      <c r="D1917" t="s">
        <v>4094</v>
      </c>
      <c r="E1917">
        <v>12</v>
      </c>
      <c r="F1917" s="6">
        <v>750</v>
      </c>
      <c r="G1917" t="s">
        <v>4300</v>
      </c>
    </row>
    <row r="1918" spans="1:7">
      <c r="A1918" t="s">
        <v>725</v>
      </c>
      <c r="B1918" t="s">
        <v>6406</v>
      </c>
      <c r="C1918" t="s">
        <v>4093</v>
      </c>
      <c r="D1918" t="s">
        <v>4094</v>
      </c>
      <c r="E1918">
        <v>12</v>
      </c>
      <c r="F1918" s="6">
        <v>50</v>
      </c>
      <c r="G1918" t="s">
        <v>4300</v>
      </c>
    </row>
    <row r="1919" spans="1:7">
      <c r="A1919" t="s">
        <v>6407</v>
      </c>
      <c r="B1919" t="s">
        <v>6402</v>
      </c>
      <c r="C1919" t="s">
        <v>4093</v>
      </c>
      <c r="D1919" t="s">
        <v>4094</v>
      </c>
      <c r="E1919">
        <v>12</v>
      </c>
      <c r="F1919" s="6">
        <v>750</v>
      </c>
      <c r="G1919" t="s">
        <v>4300</v>
      </c>
    </row>
    <row r="1920" spans="1:7">
      <c r="A1920" t="s">
        <v>1411</v>
      </c>
      <c r="B1920" t="s">
        <v>6402</v>
      </c>
      <c r="C1920" t="s">
        <v>4093</v>
      </c>
      <c r="D1920" t="s">
        <v>4094</v>
      </c>
      <c r="E1920">
        <v>12</v>
      </c>
      <c r="F1920" s="6">
        <v>1000</v>
      </c>
      <c r="G1920" t="s">
        <v>4300</v>
      </c>
    </row>
    <row r="1921" spans="1:7">
      <c r="A1921" t="s">
        <v>2843</v>
      </c>
      <c r="B1921" t="s">
        <v>6408</v>
      </c>
      <c r="C1921" t="s">
        <v>4093</v>
      </c>
      <c r="D1921" t="s">
        <v>4094</v>
      </c>
      <c r="E1921">
        <v>12</v>
      </c>
      <c r="F1921" s="6">
        <v>1000</v>
      </c>
      <c r="G1921" t="s">
        <v>4300</v>
      </c>
    </row>
    <row r="1922" spans="1:7">
      <c r="A1922" t="s">
        <v>580</v>
      </c>
      <c r="B1922" t="s">
        <v>6409</v>
      </c>
      <c r="C1922" t="s">
        <v>4084</v>
      </c>
      <c r="D1922" t="s">
        <v>4085</v>
      </c>
      <c r="E1922">
        <v>6</v>
      </c>
      <c r="F1922" s="6">
        <v>750</v>
      </c>
      <c r="G1922" t="s">
        <v>3754</v>
      </c>
    </row>
    <row r="1923" spans="1:7">
      <c r="A1923" t="s">
        <v>1993</v>
      </c>
      <c r="B1923" t="s">
        <v>6410</v>
      </c>
      <c r="C1923" t="s">
        <v>6411</v>
      </c>
      <c r="D1923" t="s">
        <v>6412</v>
      </c>
      <c r="E1923">
        <v>12</v>
      </c>
      <c r="F1923" s="6">
        <v>750</v>
      </c>
      <c r="G1923" t="s">
        <v>4163</v>
      </c>
    </row>
    <row r="1924" spans="1:7">
      <c r="A1924" t="s">
        <v>2178</v>
      </c>
      <c r="B1924" t="s">
        <v>6410</v>
      </c>
      <c r="C1924" t="s">
        <v>6411</v>
      </c>
      <c r="D1924" t="s">
        <v>6412</v>
      </c>
      <c r="E1924">
        <v>6</v>
      </c>
      <c r="F1924" s="6">
        <v>1750</v>
      </c>
      <c r="G1924" t="s">
        <v>4163</v>
      </c>
    </row>
    <row r="1925" spans="1:7">
      <c r="A1925" t="s">
        <v>983</v>
      </c>
      <c r="B1925" t="s">
        <v>6413</v>
      </c>
      <c r="C1925" t="s">
        <v>4093</v>
      </c>
      <c r="D1925" t="s">
        <v>4094</v>
      </c>
      <c r="E1925">
        <v>12</v>
      </c>
      <c r="F1925" s="6">
        <v>750</v>
      </c>
      <c r="G1925" t="s">
        <v>3698</v>
      </c>
    </row>
    <row r="1926" spans="1:7">
      <c r="A1926" t="s">
        <v>2908</v>
      </c>
      <c r="B1926" t="s">
        <v>6414</v>
      </c>
      <c r="C1926" t="s">
        <v>4093</v>
      </c>
      <c r="D1926" t="s">
        <v>4094</v>
      </c>
      <c r="E1926">
        <v>12</v>
      </c>
      <c r="F1926" s="6">
        <v>750</v>
      </c>
      <c r="G1926" t="s">
        <v>3698</v>
      </c>
    </row>
    <row r="1927" spans="1:7">
      <c r="A1927" t="s">
        <v>2615</v>
      </c>
      <c r="B1927" t="s">
        <v>6415</v>
      </c>
      <c r="C1927" t="s">
        <v>4093</v>
      </c>
      <c r="D1927" t="s">
        <v>4094</v>
      </c>
      <c r="E1927">
        <v>12</v>
      </c>
      <c r="F1927" s="6">
        <v>750</v>
      </c>
      <c r="G1927" t="s">
        <v>4300</v>
      </c>
    </row>
    <row r="1928" spans="1:7">
      <c r="A1928" t="s">
        <v>1498</v>
      </c>
      <c r="B1928" t="s">
        <v>6415</v>
      </c>
      <c r="C1928" t="s">
        <v>4093</v>
      </c>
      <c r="D1928" t="s">
        <v>4094</v>
      </c>
      <c r="E1928">
        <v>6</v>
      </c>
      <c r="F1928" s="6">
        <v>1750</v>
      </c>
      <c r="G1928" t="s">
        <v>4300</v>
      </c>
    </row>
    <row r="1929" spans="1:7">
      <c r="A1929" t="s">
        <v>360</v>
      </c>
      <c r="B1929" t="s">
        <v>6415</v>
      </c>
      <c r="C1929" t="s">
        <v>4093</v>
      </c>
      <c r="D1929" t="s">
        <v>4094</v>
      </c>
      <c r="E1929">
        <v>12</v>
      </c>
      <c r="F1929" s="6">
        <v>1000</v>
      </c>
      <c r="G1929" t="s">
        <v>4300</v>
      </c>
    </row>
    <row r="1930" spans="1:7">
      <c r="A1930" t="s">
        <v>6416</v>
      </c>
      <c r="B1930" t="s">
        <v>6417</v>
      </c>
      <c r="C1930" t="s">
        <v>6411</v>
      </c>
      <c r="D1930" t="s">
        <v>6412</v>
      </c>
      <c r="E1930">
        <v>12</v>
      </c>
      <c r="F1930" s="6">
        <v>750</v>
      </c>
      <c r="G1930" t="s">
        <v>5030</v>
      </c>
    </row>
    <row r="1931" spans="1:7">
      <c r="A1931" t="s">
        <v>6418</v>
      </c>
      <c r="B1931" t="s">
        <v>6419</v>
      </c>
      <c r="C1931" t="s">
        <v>4190</v>
      </c>
      <c r="D1931" t="s">
        <v>4191</v>
      </c>
      <c r="E1931">
        <v>12</v>
      </c>
      <c r="F1931" s="6">
        <v>750</v>
      </c>
      <c r="G1931" t="s">
        <v>3686</v>
      </c>
    </row>
    <row r="1932" spans="1:7">
      <c r="A1932" t="s">
        <v>6420</v>
      </c>
      <c r="B1932" t="s">
        <v>6421</v>
      </c>
      <c r="C1932" t="s">
        <v>4190</v>
      </c>
      <c r="D1932" t="s">
        <v>4191</v>
      </c>
      <c r="E1932">
        <v>12</v>
      </c>
      <c r="F1932" s="6">
        <v>1000</v>
      </c>
      <c r="G1932" t="s">
        <v>3686</v>
      </c>
    </row>
    <row r="1933" spans="1:7">
      <c r="A1933" t="s">
        <v>6422</v>
      </c>
      <c r="B1933" t="s">
        <v>6423</v>
      </c>
      <c r="C1933" t="s">
        <v>6424</v>
      </c>
      <c r="D1933" t="s">
        <v>6425</v>
      </c>
      <c r="E1933">
        <v>12</v>
      </c>
      <c r="F1933" s="6">
        <v>750</v>
      </c>
      <c r="G1933" t="s">
        <v>3686</v>
      </c>
    </row>
    <row r="1934" spans="1:7">
      <c r="A1934" t="s">
        <v>6426</v>
      </c>
      <c r="B1934" t="s">
        <v>6427</v>
      </c>
      <c r="C1934" t="s">
        <v>6424</v>
      </c>
      <c r="D1934" t="s">
        <v>6425</v>
      </c>
      <c r="E1934">
        <v>12</v>
      </c>
      <c r="F1934" s="6">
        <v>750</v>
      </c>
      <c r="G1934" t="s">
        <v>6428</v>
      </c>
    </row>
    <row r="1935" spans="1:7">
      <c r="A1935" t="s">
        <v>2489</v>
      </c>
      <c r="B1935" t="s">
        <v>6429</v>
      </c>
      <c r="C1935" t="s">
        <v>4052</v>
      </c>
      <c r="D1935" t="s">
        <v>4053</v>
      </c>
      <c r="E1935">
        <v>12</v>
      </c>
      <c r="F1935" s="6">
        <v>750</v>
      </c>
      <c r="G1935" t="s">
        <v>3702</v>
      </c>
    </row>
    <row r="1936" spans="1:7">
      <c r="A1936" t="s">
        <v>854</v>
      </c>
      <c r="B1936" t="s">
        <v>6430</v>
      </c>
      <c r="C1936" t="s">
        <v>6424</v>
      </c>
      <c r="D1936" t="s">
        <v>6425</v>
      </c>
      <c r="E1936">
        <v>12</v>
      </c>
      <c r="F1936" s="6">
        <v>750</v>
      </c>
      <c r="G1936" t="s">
        <v>3702</v>
      </c>
    </row>
    <row r="1937" spans="1:7">
      <c r="A1937" t="s">
        <v>3214</v>
      </c>
      <c r="B1937" t="s">
        <v>6431</v>
      </c>
      <c r="C1937" t="s">
        <v>4052</v>
      </c>
      <c r="D1937" t="s">
        <v>4053</v>
      </c>
      <c r="E1937">
        <v>12</v>
      </c>
      <c r="F1937" s="6">
        <v>750</v>
      </c>
      <c r="G1937" t="s">
        <v>3702</v>
      </c>
    </row>
    <row r="1938" spans="1:7">
      <c r="A1938" t="s">
        <v>6432</v>
      </c>
      <c r="B1938" t="s">
        <v>6433</v>
      </c>
      <c r="C1938" t="s">
        <v>3684</v>
      </c>
      <c r="D1938" t="s">
        <v>3685</v>
      </c>
      <c r="E1938">
        <v>12</v>
      </c>
      <c r="F1938" s="6">
        <v>750</v>
      </c>
      <c r="G1938" t="s">
        <v>3681</v>
      </c>
    </row>
    <row r="1939" spans="1:7">
      <c r="A1939" t="s">
        <v>6434</v>
      </c>
      <c r="B1939" t="s">
        <v>6435</v>
      </c>
      <c r="C1939" t="s">
        <v>3679</v>
      </c>
      <c r="D1939" t="s">
        <v>3680</v>
      </c>
      <c r="E1939">
        <v>10</v>
      </c>
      <c r="F1939" s="6">
        <v>50</v>
      </c>
      <c r="G1939" t="s">
        <v>3888</v>
      </c>
    </row>
    <row r="1940" spans="1:7">
      <c r="A1940" t="s">
        <v>1677</v>
      </c>
      <c r="B1940" t="s">
        <v>6436</v>
      </c>
      <c r="C1940" t="s">
        <v>4190</v>
      </c>
      <c r="D1940" t="s">
        <v>4191</v>
      </c>
      <c r="E1940">
        <v>12</v>
      </c>
      <c r="F1940" s="6">
        <v>750</v>
      </c>
      <c r="G1940" t="s">
        <v>3705</v>
      </c>
    </row>
    <row r="1941" spans="1:7">
      <c r="A1941" t="s">
        <v>3590</v>
      </c>
      <c r="B1941" t="s">
        <v>6437</v>
      </c>
      <c r="C1941" t="s">
        <v>4084</v>
      </c>
      <c r="D1941" t="s">
        <v>4085</v>
      </c>
      <c r="E1941">
        <v>6</v>
      </c>
      <c r="F1941" s="6">
        <v>750</v>
      </c>
      <c r="G1941" t="s">
        <v>3754</v>
      </c>
    </row>
    <row r="1942" spans="1:7">
      <c r="A1942" t="s">
        <v>507</v>
      </c>
      <c r="B1942" t="s">
        <v>6438</v>
      </c>
      <c r="C1942" t="s">
        <v>4052</v>
      </c>
      <c r="D1942" t="s">
        <v>4053</v>
      </c>
      <c r="E1942">
        <v>12</v>
      </c>
      <c r="F1942" s="6">
        <v>750</v>
      </c>
      <c r="G1942" t="s">
        <v>4779</v>
      </c>
    </row>
    <row r="1943" spans="1:7">
      <c r="A1943" t="s">
        <v>6439</v>
      </c>
      <c r="B1943" t="s">
        <v>6440</v>
      </c>
      <c r="C1943" t="s">
        <v>4190</v>
      </c>
      <c r="D1943" t="s">
        <v>4191</v>
      </c>
      <c r="E1943">
        <v>12</v>
      </c>
      <c r="F1943" s="6">
        <v>750</v>
      </c>
      <c r="G1943" t="s">
        <v>4779</v>
      </c>
    </row>
    <row r="1944" spans="1:7">
      <c r="A1944" t="s">
        <v>1222</v>
      </c>
      <c r="B1944" t="s">
        <v>6441</v>
      </c>
      <c r="C1944" t="s">
        <v>6442</v>
      </c>
      <c r="D1944" t="s">
        <v>6443</v>
      </c>
      <c r="E1944">
        <v>6</v>
      </c>
      <c r="F1944" s="6">
        <v>750</v>
      </c>
      <c r="G1944" t="s">
        <v>3705</v>
      </c>
    </row>
    <row r="1945" spans="1:7">
      <c r="A1945" t="s">
        <v>6444</v>
      </c>
      <c r="B1945" t="s">
        <v>6445</v>
      </c>
      <c r="C1945" t="s">
        <v>6424</v>
      </c>
      <c r="D1945" t="s">
        <v>6425</v>
      </c>
      <c r="E1945">
        <v>12</v>
      </c>
      <c r="F1945" s="6">
        <v>750</v>
      </c>
      <c r="G1945" t="s">
        <v>6446</v>
      </c>
    </row>
    <row r="1946" spans="1:7">
      <c r="A1946" t="s">
        <v>6447</v>
      </c>
      <c r="B1946" t="s">
        <v>6448</v>
      </c>
      <c r="C1946" t="s">
        <v>4190</v>
      </c>
      <c r="D1946" t="s">
        <v>4191</v>
      </c>
      <c r="E1946">
        <v>12</v>
      </c>
      <c r="F1946" s="6">
        <v>750</v>
      </c>
      <c r="G1946" t="s">
        <v>6446</v>
      </c>
    </row>
    <row r="1947" spans="1:7">
      <c r="A1947" t="s">
        <v>3631</v>
      </c>
      <c r="B1947" t="s">
        <v>6449</v>
      </c>
      <c r="C1947" t="s">
        <v>3684</v>
      </c>
      <c r="D1947" t="s">
        <v>3685</v>
      </c>
      <c r="E1947">
        <v>12</v>
      </c>
      <c r="F1947" s="6">
        <v>750</v>
      </c>
      <c r="G1947" t="s">
        <v>3730</v>
      </c>
    </row>
    <row r="1948" spans="1:7">
      <c r="A1948" t="s">
        <v>996</v>
      </c>
      <c r="B1948" t="s">
        <v>6450</v>
      </c>
      <c r="C1948" t="s">
        <v>6451</v>
      </c>
      <c r="D1948" t="s">
        <v>6452</v>
      </c>
      <c r="E1948">
        <v>12</v>
      </c>
      <c r="F1948" s="6">
        <v>750</v>
      </c>
      <c r="G1948" t="s">
        <v>5698</v>
      </c>
    </row>
    <row r="1949" spans="1:7">
      <c r="A1949" t="s">
        <v>1980</v>
      </c>
      <c r="B1949" t="s">
        <v>6453</v>
      </c>
      <c r="C1949" t="s">
        <v>4052</v>
      </c>
      <c r="D1949" t="s">
        <v>4053</v>
      </c>
      <c r="E1949">
        <v>12</v>
      </c>
      <c r="F1949" s="6">
        <v>750</v>
      </c>
      <c r="G1949" t="s">
        <v>3681</v>
      </c>
    </row>
    <row r="1950" spans="1:7">
      <c r="A1950" t="s">
        <v>1273</v>
      </c>
      <c r="B1950" t="s">
        <v>6454</v>
      </c>
      <c r="C1950" t="s">
        <v>4052</v>
      </c>
      <c r="D1950" t="s">
        <v>4053</v>
      </c>
      <c r="E1950">
        <v>12</v>
      </c>
      <c r="F1950" s="6">
        <v>750</v>
      </c>
      <c r="G1950" t="s">
        <v>3681</v>
      </c>
    </row>
    <row r="1951" spans="1:7">
      <c r="A1951" t="s">
        <v>882</v>
      </c>
      <c r="B1951" t="s">
        <v>6455</v>
      </c>
      <c r="C1951" t="s">
        <v>4052</v>
      </c>
      <c r="D1951" t="s">
        <v>4053</v>
      </c>
      <c r="E1951">
        <v>12</v>
      </c>
      <c r="F1951" s="6">
        <v>750</v>
      </c>
      <c r="G1951" t="s">
        <v>3681</v>
      </c>
    </row>
    <row r="1952" spans="1:7">
      <c r="A1952" t="s">
        <v>3068</v>
      </c>
      <c r="B1952" t="s">
        <v>6456</v>
      </c>
      <c r="C1952" t="s">
        <v>4052</v>
      </c>
      <c r="D1952" t="s">
        <v>4053</v>
      </c>
      <c r="E1952">
        <v>12</v>
      </c>
      <c r="F1952" s="6">
        <v>750</v>
      </c>
      <c r="G1952" t="s">
        <v>3681</v>
      </c>
    </row>
    <row r="1953" spans="1:7">
      <c r="A1953" t="s">
        <v>1205</v>
      </c>
      <c r="B1953" t="s">
        <v>6457</v>
      </c>
      <c r="C1953" t="s">
        <v>4052</v>
      </c>
      <c r="D1953" t="s">
        <v>4053</v>
      </c>
      <c r="E1953">
        <v>24</v>
      </c>
      <c r="F1953" s="6">
        <v>375</v>
      </c>
      <c r="G1953" t="s">
        <v>3681</v>
      </c>
    </row>
    <row r="1954" spans="1:7">
      <c r="A1954" t="s">
        <v>3604</v>
      </c>
      <c r="B1954" t="s">
        <v>6458</v>
      </c>
      <c r="C1954" t="s">
        <v>4052</v>
      </c>
      <c r="D1954" t="s">
        <v>4053</v>
      </c>
      <c r="E1954">
        <v>12</v>
      </c>
      <c r="F1954" s="6">
        <v>750</v>
      </c>
      <c r="G1954" t="s">
        <v>3681</v>
      </c>
    </row>
    <row r="1955" spans="1:7">
      <c r="A1955" t="s">
        <v>268</v>
      </c>
      <c r="B1955" t="s">
        <v>6457</v>
      </c>
      <c r="C1955" t="s">
        <v>4052</v>
      </c>
      <c r="D1955" t="s">
        <v>4053</v>
      </c>
      <c r="E1955">
        <v>12</v>
      </c>
      <c r="F1955" s="6">
        <v>750</v>
      </c>
      <c r="G1955" t="s">
        <v>3681</v>
      </c>
    </row>
    <row r="1956" spans="1:7">
      <c r="A1956" t="s">
        <v>1282</v>
      </c>
      <c r="B1956" t="s">
        <v>6457</v>
      </c>
      <c r="C1956" t="s">
        <v>4052</v>
      </c>
      <c r="D1956" t="s">
        <v>4053</v>
      </c>
      <c r="E1956">
        <v>12</v>
      </c>
      <c r="F1956" s="6">
        <v>1000</v>
      </c>
      <c r="G1956" t="s">
        <v>3681</v>
      </c>
    </row>
    <row r="1957" spans="1:7">
      <c r="A1957" t="s">
        <v>731</v>
      </c>
      <c r="B1957" t="s">
        <v>6457</v>
      </c>
      <c r="C1957" t="s">
        <v>4052</v>
      </c>
      <c r="D1957" t="s">
        <v>4053</v>
      </c>
      <c r="E1957">
        <v>6</v>
      </c>
      <c r="F1957" s="6">
        <v>1750</v>
      </c>
      <c r="G1957" t="s">
        <v>3681</v>
      </c>
    </row>
    <row r="1958" spans="1:7">
      <c r="A1958" t="s">
        <v>6459</v>
      </c>
      <c r="B1958" t="s">
        <v>6457</v>
      </c>
      <c r="C1958" t="s">
        <v>4052</v>
      </c>
      <c r="D1958" t="s">
        <v>4053</v>
      </c>
      <c r="E1958">
        <v>48</v>
      </c>
      <c r="F1958" s="6">
        <v>200</v>
      </c>
      <c r="G1958" t="s">
        <v>3681</v>
      </c>
    </row>
    <row r="1959" spans="1:7">
      <c r="A1959" t="s">
        <v>6460</v>
      </c>
      <c r="B1959" t="s">
        <v>6461</v>
      </c>
      <c r="C1959" t="s">
        <v>4190</v>
      </c>
      <c r="D1959" t="s">
        <v>4191</v>
      </c>
      <c r="E1959">
        <v>6</v>
      </c>
      <c r="F1959" s="6">
        <v>750</v>
      </c>
      <c r="G1959" t="s">
        <v>3730</v>
      </c>
    </row>
    <row r="1960" spans="1:7">
      <c r="A1960" t="s">
        <v>1381</v>
      </c>
      <c r="B1960" t="s">
        <v>6462</v>
      </c>
      <c r="C1960" t="s">
        <v>4190</v>
      </c>
      <c r="D1960" t="s">
        <v>4191</v>
      </c>
      <c r="E1960">
        <v>12</v>
      </c>
      <c r="F1960" s="6">
        <v>750</v>
      </c>
      <c r="G1960" t="s">
        <v>3702</v>
      </c>
    </row>
    <row r="1961" spans="1:7">
      <c r="A1961" t="s">
        <v>1776</v>
      </c>
      <c r="B1961" t="s">
        <v>6463</v>
      </c>
      <c r="C1961" t="s">
        <v>3679</v>
      </c>
      <c r="D1961" t="s">
        <v>3680</v>
      </c>
      <c r="E1961">
        <v>6</v>
      </c>
      <c r="F1961" s="6">
        <v>750</v>
      </c>
      <c r="G1961" t="s">
        <v>3716</v>
      </c>
    </row>
    <row r="1962" spans="1:7">
      <c r="A1962" t="s">
        <v>6464</v>
      </c>
      <c r="B1962" t="s">
        <v>6465</v>
      </c>
      <c r="C1962" t="s">
        <v>4190</v>
      </c>
      <c r="D1962" t="s">
        <v>4191</v>
      </c>
      <c r="E1962">
        <v>6</v>
      </c>
      <c r="F1962" s="6">
        <v>750</v>
      </c>
      <c r="G1962" t="s">
        <v>3735</v>
      </c>
    </row>
    <row r="1963" spans="1:7">
      <c r="A1963" t="s">
        <v>883</v>
      </c>
      <c r="B1963" t="s">
        <v>6466</v>
      </c>
      <c r="C1963" t="s">
        <v>4632</v>
      </c>
      <c r="D1963" t="s">
        <v>4633</v>
      </c>
      <c r="E1963">
        <v>6</v>
      </c>
      <c r="F1963" s="6">
        <v>1750</v>
      </c>
      <c r="G1963" t="s">
        <v>4300</v>
      </c>
    </row>
    <row r="1964" spans="1:7">
      <c r="A1964" t="s">
        <v>2254</v>
      </c>
      <c r="B1964" t="s">
        <v>6467</v>
      </c>
      <c r="C1964" t="s">
        <v>4632</v>
      </c>
      <c r="D1964" t="s">
        <v>4633</v>
      </c>
      <c r="E1964">
        <v>8</v>
      </c>
      <c r="F1964" s="6">
        <v>50</v>
      </c>
      <c r="G1964" t="s">
        <v>3931</v>
      </c>
    </row>
    <row r="1965" spans="1:7">
      <c r="A1965" t="s">
        <v>1417</v>
      </c>
      <c r="B1965" t="s">
        <v>6468</v>
      </c>
      <c r="C1965" t="s">
        <v>4632</v>
      </c>
      <c r="D1965" t="s">
        <v>4633</v>
      </c>
      <c r="E1965">
        <v>24</v>
      </c>
      <c r="F1965" s="6">
        <v>375</v>
      </c>
      <c r="G1965" t="s">
        <v>3931</v>
      </c>
    </row>
    <row r="1966" spans="1:7">
      <c r="A1966" t="s">
        <v>456</v>
      </c>
      <c r="B1966" t="s">
        <v>6469</v>
      </c>
      <c r="C1966" t="s">
        <v>4632</v>
      </c>
      <c r="D1966" t="s">
        <v>4633</v>
      </c>
      <c r="E1966">
        <v>12</v>
      </c>
      <c r="F1966" s="6">
        <v>750</v>
      </c>
      <c r="G1966" t="s">
        <v>3931</v>
      </c>
    </row>
    <row r="1967" spans="1:7">
      <c r="A1967" t="s">
        <v>2084</v>
      </c>
      <c r="B1967" t="s">
        <v>6468</v>
      </c>
      <c r="C1967" t="s">
        <v>4632</v>
      </c>
      <c r="D1967" t="s">
        <v>4633</v>
      </c>
      <c r="E1967">
        <v>12</v>
      </c>
      <c r="F1967" s="6">
        <v>750</v>
      </c>
      <c r="G1967" t="s">
        <v>3931</v>
      </c>
    </row>
    <row r="1968" spans="1:7">
      <c r="A1968" t="s">
        <v>1160</v>
      </c>
      <c r="B1968" t="s">
        <v>6468</v>
      </c>
      <c r="C1968" t="s">
        <v>4632</v>
      </c>
      <c r="D1968" t="s">
        <v>4633</v>
      </c>
      <c r="E1968">
        <v>12</v>
      </c>
      <c r="F1968" s="6">
        <v>1000</v>
      </c>
      <c r="G1968" t="s">
        <v>3931</v>
      </c>
    </row>
    <row r="1969" spans="1:7">
      <c r="A1969" t="s">
        <v>178</v>
      </c>
      <c r="B1969" t="s">
        <v>6468</v>
      </c>
      <c r="C1969" t="s">
        <v>4632</v>
      </c>
      <c r="D1969" t="s">
        <v>4633</v>
      </c>
      <c r="E1969">
        <v>6</v>
      </c>
      <c r="F1969" s="6">
        <v>1750</v>
      </c>
      <c r="G1969" t="s">
        <v>3931</v>
      </c>
    </row>
    <row r="1970" spans="1:7">
      <c r="A1970" t="s">
        <v>1512</v>
      </c>
      <c r="B1970" t="s">
        <v>6470</v>
      </c>
      <c r="C1970" t="s">
        <v>6451</v>
      </c>
      <c r="D1970" t="s">
        <v>6452</v>
      </c>
      <c r="E1970">
        <v>12</v>
      </c>
      <c r="F1970" s="6">
        <v>50</v>
      </c>
      <c r="G1970" t="s">
        <v>3705</v>
      </c>
    </row>
    <row r="1971" spans="1:7">
      <c r="A1971" t="s">
        <v>821</v>
      </c>
      <c r="B1971" t="s">
        <v>6471</v>
      </c>
      <c r="C1971" t="s">
        <v>6451</v>
      </c>
      <c r="D1971" t="s">
        <v>6452</v>
      </c>
      <c r="E1971">
        <v>24</v>
      </c>
      <c r="F1971" s="6">
        <v>375</v>
      </c>
      <c r="G1971" t="s">
        <v>3705</v>
      </c>
    </row>
    <row r="1972" spans="1:7">
      <c r="A1972" t="s">
        <v>2806</v>
      </c>
      <c r="B1972" t="s">
        <v>6472</v>
      </c>
      <c r="C1972" t="s">
        <v>6451</v>
      </c>
      <c r="D1972" t="s">
        <v>6452</v>
      </c>
      <c r="E1972">
        <v>12</v>
      </c>
      <c r="F1972" s="6">
        <v>750</v>
      </c>
      <c r="G1972" t="s">
        <v>3705</v>
      </c>
    </row>
    <row r="1973" spans="1:7">
      <c r="A1973" t="s">
        <v>2207</v>
      </c>
      <c r="B1973" t="s">
        <v>6471</v>
      </c>
      <c r="C1973" t="s">
        <v>6451</v>
      </c>
      <c r="D1973" t="s">
        <v>6452</v>
      </c>
      <c r="E1973">
        <v>12</v>
      </c>
      <c r="F1973" s="6">
        <v>750</v>
      </c>
      <c r="G1973" t="s">
        <v>3705</v>
      </c>
    </row>
    <row r="1974" spans="1:7">
      <c r="A1974" t="s">
        <v>1398</v>
      </c>
      <c r="B1974" t="s">
        <v>6471</v>
      </c>
      <c r="C1974" t="s">
        <v>6451</v>
      </c>
      <c r="D1974" t="s">
        <v>6452</v>
      </c>
      <c r="E1974">
        <v>12</v>
      </c>
      <c r="F1974" s="6">
        <v>1000</v>
      </c>
      <c r="G1974" t="s">
        <v>3705</v>
      </c>
    </row>
    <row r="1975" spans="1:7">
      <c r="A1975" t="s">
        <v>125</v>
      </c>
      <c r="B1975" t="s">
        <v>6471</v>
      </c>
      <c r="C1975" t="s">
        <v>6451</v>
      </c>
      <c r="D1975" t="s">
        <v>6452</v>
      </c>
      <c r="E1975">
        <v>6</v>
      </c>
      <c r="F1975" s="6">
        <v>1750</v>
      </c>
      <c r="G1975" t="s">
        <v>3705</v>
      </c>
    </row>
    <row r="1976" spans="1:7">
      <c r="A1976" t="s">
        <v>3650</v>
      </c>
      <c r="B1976" t="s">
        <v>6472</v>
      </c>
      <c r="C1976" t="s">
        <v>6451</v>
      </c>
      <c r="D1976" t="s">
        <v>6452</v>
      </c>
      <c r="E1976">
        <v>6</v>
      </c>
      <c r="F1976" s="6">
        <v>1750</v>
      </c>
      <c r="G1976" t="s">
        <v>3705</v>
      </c>
    </row>
    <row r="1977" spans="1:7">
      <c r="A1977" t="s">
        <v>6473</v>
      </c>
      <c r="B1977" t="s">
        <v>6474</v>
      </c>
      <c r="C1977" t="s">
        <v>4052</v>
      </c>
      <c r="D1977" t="s">
        <v>4053</v>
      </c>
      <c r="E1977">
        <v>6</v>
      </c>
      <c r="F1977" s="6">
        <v>1750</v>
      </c>
      <c r="G1977" t="s">
        <v>3705</v>
      </c>
    </row>
    <row r="1978" spans="1:7">
      <c r="A1978" t="s">
        <v>931</v>
      </c>
      <c r="B1978" t="s">
        <v>6474</v>
      </c>
      <c r="C1978" t="s">
        <v>4052</v>
      </c>
      <c r="D1978" t="s">
        <v>4053</v>
      </c>
      <c r="E1978">
        <v>12</v>
      </c>
      <c r="F1978" s="6">
        <v>1000</v>
      </c>
      <c r="G1978" t="s">
        <v>3705</v>
      </c>
    </row>
    <row r="1979" spans="1:7">
      <c r="A1979" t="s">
        <v>1314</v>
      </c>
      <c r="B1979" t="s">
        <v>6474</v>
      </c>
      <c r="C1979" t="s">
        <v>4052</v>
      </c>
      <c r="D1979" t="s">
        <v>4053</v>
      </c>
      <c r="E1979">
        <v>12</v>
      </c>
      <c r="F1979" s="6">
        <v>750</v>
      </c>
      <c r="G1979" t="s">
        <v>3705</v>
      </c>
    </row>
    <row r="1980" spans="1:7">
      <c r="A1980" t="s">
        <v>2807</v>
      </c>
      <c r="B1980" t="s">
        <v>6475</v>
      </c>
      <c r="C1980" t="s">
        <v>4632</v>
      </c>
      <c r="D1980" t="s">
        <v>4633</v>
      </c>
      <c r="E1980">
        <v>12</v>
      </c>
      <c r="F1980" s="6">
        <v>750</v>
      </c>
      <c r="G1980" t="s">
        <v>3931</v>
      </c>
    </row>
    <row r="1981" spans="1:7">
      <c r="A1981" t="s">
        <v>6476</v>
      </c>
      <c r="B1981" t="s">
        <v>6477</v>
      </c>
      <c r="C1981" t="s">
        <v>4052</v>
      </c>
      <c r="D1981" t="s">
        <v>4053</v>
      </c>
      <c r="E1981">
        <v>12</v>
      </c>
      <c r="F1981" s="6">
        <v>750</v>
      </c>
      <c r="G1981" t="s">
        <v>3931</v>
      </c>
    </row>
    <row r="1982" spans="1:7">
      <c r="A1982" t="s">
        <v>2184</v>
      </c>
      <c r="B1982" t="s">
        <v>6477</v>
      </c>
      <c r="C1982" t="s">
        <v>4052</v>
      </c>
      <c r="D1982" t="s">
        <v>4053</v>
      </c>
      <c r="E1982">
        <v>12</v>
      </c>
      <c r="F1982" s="6">
        <v>1000</v>
      </c>
      <c r="G1982" t="s">
        <v>3931</v>
      </c>
    </row>
    <row r="1983" spans="1:7">
      <c r="A1983" t="s">
        <v>832</v>
      </c>
      <c r="B1983" t="s">
        <v>6477</v>
      </c>
      <c r="C1983" t="s">
        <v>4052</v>
      </c>
      <c r="D1983" t="s">
        <v>4053</v>
      </c>
      <c r="E1983">
        <v>6</v>
      </c>
      <c r="F1983" s="6">
        <v>1750</v>
      </c>
      <c r="G1983" t="s">
        <v>3931</v>
      </c>
    </row>
    <row r="1984" spans="1:7">
      <c r="A1984" t="s">
        <v>6478</v>
      </c>
      <c r="B1984" t="s">
        <v>6479</v>
      </c>
      <c r="C1984" t="s">
        <v>4052</v>
      </c>
      <c r="D1984" t="s">
        <v>4053</v>
      </c>
      <c r="E1984">
        <v>12</v>
      </c>
      <c r="F1984" s="6">
        <v>50</v>
      </c>
      <c r="G1984" t="s">
        <v>3705</v>
      </c>
    </row>
    <row r="1985" spans="1:7">
      <c r="A1985" t="s">
        <v>6480</v>
      </c>
      <c r="B1985" t="s">
        <v>6481</v>
      </c>
      <c r="C1985" t="s">
        <v>4052</v>
      </c>
      <c r="D1985" t="s">
        <v>4053</v>
      </c>
      <c r="E1985">
        <v>12</v>
      </c>
      <c r="F1985" s="6">
        <v>750</v>
      </c>
      <c r="G1985" t="s">
        <v>3705</v>
      </c>
    </row>
    <row r="1986" spans="1:7">
      <c r="A1986" t="s">
        <v>6482</v>
      </c>
      <c r="B1986" t="s">
        <v>6483</v>
      </c>
      <c r="C1986" t="s">
        <v>4052</v>
      </c>
      <c r="D1986" t="s">
        <v>4053</v>
      </c>
      <c r="E1986">
        <v>12</v>
      </c>
      <c r="F1986" s="6">
        <v>750</v>
      </c>
      <c r="G1986" t="s">
        <v>3705</v>
      </c>
    </row>
    <row r="1987" spans="1:7">
      <c r="A1987" t="s">
        <v>2892</v>
      </c>
      <c r="B1987" t="s">
        <v>6484</v>
      </c>
      <c r="C1987" t="s">
        <v>4190</v>
      </c>
      <c r="D1987" t="s">
        <v>4191</v>
      </c>
      <c r="E1987">
        <v>12</v>
      </c>
      <c r="F1987" s="6">
        <v>750</v>
      </c>
      <c r="G1987" t="s">
        <v>3705</v>
      </c>
    </row>
    <row r="1988" spans="1:7">
      <c r="A1988" t="s">
        <v>6485</v>
      </c>
      <c r="B1988" t="s">
        <v>6484</v>
      </c>
      <c r="C1988" t="s">
        <v>4190</v>
      </c>
      <c r="D1988" t="s">
        <v>4191</v>
      </c>
      <c r="E1988">
        <v>6</v>
      </c>
      <c r="F1988" s="6">
        <v>1750</v>
      </c>
      <c r="G1988" t="s">
        <v>3705</v>
      </c>
    </row>
    <row r="1989" spans="1:7">
      <c r="A1989" t="s">
        <v>94</v>
      </c>
      <c r="B1989" t="s">
        <v>6486</v>
      </c>
      <c r="C1989" t="s">
        <v>6424</v>
      </c>
      <c r="D1989" t="s">
        <v>6425</v>
      </c>
      <c r="E1989">
        <v>6</v>
      </c>
      <c r="F1989" s="6">
        <v>1750</v>
      </c>
      <c r="G1989" t="s">
        <v>3705</v>
      </c>
    </row>
    <row r="1990" spans="1:7">
      <c r="A1990" t="s">
        <v>1107</v>
      </c>
      <c r="B1990" t="s">
        <v>6487</v>
      </c>
      <c r="C1990" t="s">
        <v>6424</v>
      </c>
      <c r="D1990" t="s">
        <v>6425</v>
      </c>
      <c r="E1990">
        <v>12</v>
      </c>
      <c r="F1990" s="6">
        <v>50</v>
      </c>
      <c r="G1990" t="s">
        <v>3705</v>
      </c>
    </row>
    <row r="1991" spans="1:7">
      <c r="A1991" t="s">
        <v>652</v>
      </c>
      <c r="B1991" t="s">
        <v>6488</v>
      </c>
      <c r="C1991" t="s">
        <v>6424</v>
      </c>
      <c r="D1991" t="s">
        <v>6425</v>
      </c>
      <c r="E1991">
        <v>24</v>
      </c>
      <c r="F1991" s="6">
        <v>375</v>
      </c>
      <c r="G1991" t="s">
        <v>3705</v>
      </c>
    </row>
    <row r="1992" spans="1:7">
      <c r="A1992" t="s">
        <v>1399</v>
      </c>
      <c r="B1992" t="s">
        <v>6486</v>
      </c>
      <c r="C1992" t="s">
        <v>6424</v>
      </c>
      <c r="D1992" t="s">
        <v>6425</v>
      </c>
      <c r="E1992">
        <v>12</v>
      </c>
      <c r="F1992" s="6">
        <v>750</v>
      </c>
      <c r="G1992" t="s">
        <v>3705</v>
      </c>
    </row>
    <row r="1993" spans="1:7">
      <c r="A1993" t="s">
        <v>2931</v>
      </c>
      <c r="B1993" t="s">
        <v>6488</v>
      </c>
      <c r="C1993" t="s">
        <v>6424</v>
      </c>
      <c r="D1993" t="s">
        <v>6425</v>
      </c>
      <c r="E1993">
        <v>12</v>
      </c>
      <c r="F1993" s="6">
        <v>750</v>
      </c>
      <c r="G1993" t="s">
        <v>3705</v>
      </c>
    </row>
    <row r="1994" spans="1:7">
      <c r="A1994" t="s">
        <v>185</v>
      </c>
      <c r="B1994" t="s">
        <v>6488</v>
      </c>
      <c r="C1994" t="s">
        <v>6424</v>
      </c>
      <c r="D1994" t="s">
        <v>6425</v>
      </c>
      <c r="E1994">
        <v>12</v>
      </c>
      <c r="F1994" s="6">
        <v>1000</v>
      </c>
      <c r="G1994" t="s">
        <v>3705</v>
      </c>
    </row>
    <row r="1995" spans="1:7">
      <c r="A1995" t="s">
        <v>1119</v>
      </c>
      <c r="B1995" t="s">
        <v>6488</v>
      </c>
      <c r="C1995" t="s">
        <v>6424</v>
      </c>
      <c r="D1995" t="s">
        <v>6425</v>
      </c>
      <c r="E1995">
        <v>6</v>
      </c>
      <c r="F1995" s="6">
        <v>1750</v>
      </c>
      <c r="G1995" t="s">
        <v>3705</v>
      </c>
    </row>
    <row r="1996" spans="1:7">
      <c r="A1996" t="s">
        <v>801</v>
      </c>
      <c r="B1996" t="s">
        <v>6489</v>
      </c>
      <c r="C1996" t="s">
        <v>4052</v>
      </c>
      <c r="D1996" t="s">
        <v>4053</v>
      </c>
      <c r="E1996">
        <v>12</v>
      </c>
      <c r="F1996" s="6">
        <v>375</v>
      </c>
      <c r="G1996" t="s">
        <v>3705</v>
      </c>
    </row>
    <row r="1997" spans="1:7">
      <c r="A1997" t="s">
        <v>1623</v>
      </c>
      <c r="B1997" t="s">
        <v>6489</v>
      </c>
      <c r="C1997" t="s">
        <v>4052</v>
      </c>
      <c r="D1997" t="s">
        <v>4053</v>
      </c>
      <c r="E1997">
        <v>12</v>
      </c>
      <c r="F1997" s="6">
        <v>750</v>
      </c>
      <c r="G1997" t="s">
        <v>3705</v>
      </c>
    </row>
    <row r="1998" spans="1:7">
      <c r="A1998" t="s">
        <v>1086</v>
      </c>
      <c r="B1998" t="s">
        <v>6489</v>
      </c>
      <c r="C1998" t="s">
        <v>4052</v>
      </c>
      <c r="D1998" t="s">
        <v>4053</v>
      </c>
      <c r="E1998">
        <v>12</v>
      </c>
      <c r="F1998" s="6">
        <v>1000</v>
      </c>
      <c r="G1998" t="s">
        <v>3705</v>
      </c>
    </row>
    <row r="1999" spans="1:7">
      <c r="A1999" t="s">
        <v>396</v>
      </c>
      <c r="B1999" t="s">
        <v>6489</v>
      </c>
      <c r="C1999" t="s">
        <v>4052</v>
      </c>
      <c r="D1999" t="s">
        <v>4053</v>
      </c>
      <c r="E1999">
        <v>6</v>
      </c>
      <c r="F1999" s="6">
        <v>1750</v>
      </c>
      <c r="G1999" t="s">
        <v>3705</v>
      </c>
    </row>
    <row r="2000" spans="1:7">
      <c r="A2000" t="s">
        <v>2280</v>
      </c>
      <c r="B2000" t="s">
        <v>6490</v>
      </c>
      <c r="C2000" t="s">
        <v>4052</v>
      </c>
      <c r="D2000" t="s">
        <v>4053</v>
      </c>
      <c r="E2000">
        <v>12</v>
      </c>
      <c r="F2000" s="6">
        <v>750</v>
      </c>
      <c r="G2000" t="s">
        <v>3705</v>
      </c>
    </row>
    <row r="2001" spans="1:7">
      <c r="A2001" t="s">
        <v>1200</v>
      </c>
      <c r="B2001" t="s">
        <v>6491</v>
      </c>
      <c r="C2001" t="s">
        <v>4632</v>
      </c>
      <c r="D2001" t="s">
        <v>4633</v>
      </c>
      <c r="E2001">
        <v>12</v>
      </c>
      <c r="F2001" s="6">
        <v>750</v>
      </c>
      <c r="G2001" t="s">
        <v>3705</v>
      </c>
    </row>
    <row r="2002" spans="1:7">
      <c r="A2002" t="s">
        <v>545</v>
      </c>
      <c r="B2002" t="s">
        <v>6491</v>
      </c>
      <c r="C2002" t="s">
        <v>4632</v>
      </c>
      <c r="D2002" t="s">
        <v>4633</v>
      </c>
      <c r="E2002">
        <v>6</v>
      </c>
      <c r="F2002" s="6">
        <v>1750</v>
      </c>
      <c r="G2002" t="s">
        <v>3705</v>
      </c>
    </row>
    <row r="2003" spans="1:7">
      <c r="A2003" t="s">
        <v>3497</v>
      </c>
      <c r="B2003" t="s">
        <v>6492</v>
      </c>
      <c r="C2003" t="s">
        <v>4052</v>
      </c>
      <c r="D2003" t="s">
        <v>4053</v>
      </c>
      <c r="E2003">
        <v>12</v>
      </c>
      <c r="F2003" s="6">
        <v>750</v>
      </c>
      <c r="G2003" t="s">
        <v>3686</v>
      </c>
    </row>
    <row r="2004" spans="1:7">
      <c r="A2004" t="s">
        <v>2617</v>
      </c>
      <c r="B2004" t="s">
        <v>6493</v>
      </c>
      <c r="C2004" t="s">
        <v>4052</v>
      </c>
      <c r="D2004" t="s">
        <v>4053</v>
      </c>
      <c r="E2004">
        <v>12</v>
      </c>
      <c r="F2004" s="6">
        <v>750</v>
      </c>
      <c r="G2004" t="s">
        <v>3686</v>
      </c>
    </row>
    <row r="2005" spans="1:7">
      <c r="A2005" t="s">
        <v>1916</v>
      </c>
      <c r="B2005" t="s">
        <v>6494</v>
      </c>
      <c r="C2005" t="s">
        <v>4632</v>
      </c>
      <c r="D2005" t="s">
        <v>4633</v>
      </c>
      <c r="E2005">
        <v>12</v>
      </c>
      <c r="F2005" s="6">
        <v>750</v>
      </c>
      <c r="G2005" t="s">
        <v>3730</v>
      </c>
    </row>
    <row r="2006" spans="1:7">
      <c r="A2006" t="s">
        <v>6495</v>
      </c>
      <c r="B2006" t="s">
        <v>6496</v>
      </c>
      <c r="C2006" t="s">
        <v>4052</v>
      </c>
      <c r="D2006" t="s">
        <v>4053</v>
      </c>
      <c r="E2006">
        <v>12</v>
      </c>
      <c r="F2006" s="6">
        <v>750</v>
      </c>
      <c r="G2006" t="s">
        <v>3686</v>
      </c>
    </row>
    <row r="2007" spans="1:7">
      <c r="A2007" t="s">
        <v>210</v>
      </c>
      <c r="B2007" t="s">
        <v>6497</v>
      </c>
      <c r="C2007" t="s">
        <v>4632</v>
      </c>
      <c r="D2007" t="s">
        <v>4633</v>
      </c>
      <c r="E2007">
        <v>12</v>
      </c>
      <c r="F2007" s="6">
        <v>750</v>
      </c>
      <c r="G2007" t="s">
        <v>3730</v>
      </c>
    </row>
    <row r="2008" spans="1:7">
      <c r="A2008" t="s">
        <v>6498</v>
      </c>
      <c r="B2008" t="s">
        <v>6499</v>
      </c>
      <c r="C2008" t="s">
        <v>4052</v>
      </c>
      <c r="D2008" t="s">
        <v>4053</v>
      </c>
      <c r="E2008">
        <v>12</v>
      </c>
      <c r="F2008" s="6">
        <v>750</v>
      </c>
      <c r="G2008" t="s">
        <v>3686</v>
      </c>
    </row>
    <row r="2009" spans="1:7">
      <c r="A2009" t="s">
        <v>2632</v>
      </c>
      <c r="B2009" t="s">
        <v>6500</v>
      </c>
      <c r="C2009" t="s">
        <v>4052</v>
      </c>
      <c r="D2009" t="s">
        <v>4053</v>
      </c>
      <c r="E2009">
        <v>12</v>
      </c>
      <c r="F2009" s="6">
        <v>750</v>
      </c>
      <c r="G2009" t="s">
        <v>3730</v>
      </c>
    </row>
    <row r="2010" spans="1:7">
      <c r="A2010" t="s">
        <v>6501</v>
      </c>
      <c r="B2010" t="s">
        <v>6502</v>
      </c>
      <c r="C2010" t="s">
        <v>4632</v>
      </c>
      <c r="D2010" t="s">
        <v>4633</v>
      </c>
      <c r="E2010">
        <v>12</v>
      </c>
      <c r="F2010" s="6">
        <v>750</v>
      </c>
      <c r="G2010" t="s">
        <v>3730</v>
      </c>
    </row>
    <row r="2011" spans="1:7">
      <c r="A2011" t="s">
        <v>855</v>
      </c>
      <c r="B2011" t="s">
        <v>6503</v>
      </c>
      <c r="C2011" t="s">
        <v>4632</v>
      </c>
      <c r="D2011" t="s">
        <v>4633</v>
      </c>
      <c r="E2011">
        <v>12</v>
      </c>
      <c r="F2011" s="6">
        <v>750</v>
      </c>
      <c r="G2011" t="s">
        <v>3730</v>
      </c>
    </row>
    <row r="2012" spans="1:7">
      <c r="A2012" t="s">
        <v>1235</v>
      </c>
      <c r="B2012" t="s">
        <v>6503</v>
      </c>
      <c r="C2012" t="s">
        <v>4632</v>
      </c>
      <c r="D2012" t="s">
        <v>4633</v>
      </c>
      <c r="E2012">
        <v>6</v>
      </c>
      <c r="F2012" s="6">
        <v>1750</v>
      </c>
      <c r="G2012" t="s">
        <v>3730</v>
      </c>
    </row>
    <row r="2013" spans="1:7">
      <c r="A2013" t="s">
        <v>6504</v>
      </c>
      <c r="B2013" t="s">
        <v>6505</v>
      </c>
      <c r="C2013" t="s">
        <v>6424</v>
      </c>
      <c r="D2013" t="s">
        <v>6425</v>
      </c>
      <c r="E2013">
        <v>6</v>
      </c>
      <c r="F2013" s="6">
        <v>1750</v>
      </c>
      <c r="G2013" t="s">
        <v>3730</v>
      </c>
    </row>
    <row r="2014" spans="1:7">
      <c r="A2014" t="s">
        <v>884</v>
      </c>
      <c r="B2014" t="s">
        <v>6506</v>
      </c>
      <c r="C2014" t="s">
        <v>6424</v>
      </c>
      <c r="D2014" t="s">
        <v>6425</v>
      </c>
      <c r="E2014">
        <v>12</v>
      </c>
      <c r="F2014" s="6">
        <v>750</v>
      </c>
      <c r="G2014" t="s">
        <v>3730</v>
      </c>
    </row>
    <row r="2015" spans="1:7">
      <c r="A2015" t="s">
        <v>1294</v>
      </c>
      <c r="B2015" t="s">
        <v>6507</v>
      </c>
      <c r="C2015" t="s">
        <v>4632</v>
      </c>
      <c r="D2015" t="s">
        <v>4633</v>
      </c>
      <c r="E2015">
        <v>12</v>
      </c>
      <c r="F2015" s="6">
        <v>50</v>
      </c>
      <c r="G2015" t="s">
        <v>3730</v>
      </c>
    </row>
    <row r="2016" spans="1:7">
      <c r="A2016" t="s">
        <v>2643</v>
      </c>
      <c r="B2016" t="s">
        <v>6497</v>
      </c>
      <c r="C2016" t="s">
        <v>4632</v>
      </c>
      <c r="D2016" t="s">
        <v>4633</v>
      </c>
      <c r="E2016">
        <v>48</v>
      </c>
      <c r="F2016" s="6">
        <v>200</v>
      </c>
      <c r="G2016" t="s">
        <v>3730</v>
      </c>
    </row>
    <row r="2017" spans="1:7">
      <c r="A2017" t="s">
        <v>469</v>
      </c>
      <c r="B2017" t="s">
        <v>6508</v>
      </c>
      <c r="C2017" t="s">
        <v>4632</v>
      </c>
      <c r="D2017" t="s">
        <v>4633</v>
      </c>
      <c r="E2017">
        <v>24</v>
      </c>
      <c r="F2017" s="6">
        <v>375</v>
      </c>
      <c r="G2017" t="s">
        <v>3730</v>
      </c>
    </row>
    <row r="2018" spans="1:7">
      <c r="A2018" t="s">
        <v>1040</v>
      </c>
      <c r="B2018" t="s">
        <v>6508</v>
      </c>
      <c r="C2018" t="s">
        <v>4632</v>
      </c>
      <c r="D2018" t="s">
        <v>4633</v>
      </c>
      <c r="E2018">
        <v>12</v>
      </c>
      <c r="F2018" s="6">
        <v>750</v>
      </c>
      <c r="G2018" t="s">
        <v>3730</v>
      </c>
    </row>
    <row r="2019" spans="1:7">
      <c r="A2019" t="s">
        <v>963</v>
      </c>
      <c r="B2019" t="s">
        <v>6508</v>
      </c>
      <c r="C2019" t="s">
        <v>4632</v>
      </c>
      <c r="D2019" t="s">
        <v>4633</v>
      </c>
      <c r="E2019">
        <v>12</v>
      </c>
      <c r="F2019" s="6">
        <v>1000</v>
      </c>
      <c r="G2019" t="s">
        <v>3730</v>
      </c>
    </row>
    <row r="2020" spans="1:7">
      <c r="A2020" t="s">
        <v>1566</v>
      </c>
      <c r="B2020" t="s">
        <v>6508</v>
      </c>
      <c r="C2020" t="s">
        <v>4632</v>
      </c>
      <c r="D2020" t="s">
        <v>4633</v>
      </c>
      <c r="E2020">
        <v>6</v>
      </c>
      <c r="F2020" s="6">
        <v>1750</v>
      </c>
      <c r="G2020" t="s">
        <v>3730</v>
      </c>
    </row>
    <row r="2021" spans="1:7">
      <c r="A2021" t="s">
        <v>1754</v>
      </c>
      <c r="B2021" t="s">
        <v>6509</v>
      </c>
      <c r="C2021" t="s">
        <v>4052</v>
      </c>
      <c r="D2021" t="s">
        <v>4053</v>
      </c>
      <c r="E2021">
        <v>12</v>
      </c>
      <c r="F2021" s="6">
        <v>750</v>
      </c>
      <c r="G2021" t="s">
        <v>3730</v>
      </c>
    </row>
    <row r="2022" spans="1:7">
      <c r="A2022" t="s">
        <v>984</v>
      </c>
      <c r="B2022" t="s">
        <v>6510</v>
      </c>
      <c r="C2022" t="s">
        <v>6424</v>
      </c>
      <c r="D2022" t="s">
        <v>6425</v>
      </c>
      <c r="E2022">
        <v>12</v>
      </c>
      <c r="F2022" s="6">
        <v>1000</v>
      </c>
      <c r="G2022" t="s">
        <v>3705</v>
      </c>
    </row>
    <row r="2023" spans="1:7">
      <c r="A2023" t="s">
        <v>1547</v>
      </c>
      <c r="B2023" t="s">
        <v>6510</v>
      </c>
      <c r="C2023" t="s">
        <v>6424</v>
      </c>
      <c r="D2023" t="s">
        <v>6425</v>
      </c>
      <c r="E2023">
        <v>6</v>
      </c>
      <c r="F2023" s="6">
        <v>1750</v>
      </c>
      <c r="G2023" t="s">
        <v>3705</v>
      </c>
    </row>
    <row r="2024" spans="1:7">
      <c r="A2024" t="s">
        <v>1876</v>
      </c>
      <c r="B2024" t="s">
        <v>6511</v>
      </c>
      <c r="C2024" t="s">
        <v>4052</v>
      </c>
      <c r="D2024" t="s">
        <v>4053</v>
      </c>
      <c r="E2024">
        <v>12</v>
      </c>
      <c r="F2024" s="6">
        <v>750</v>
      </c>
      <c r="G2024" t="s">
        <v>3686</v>
      </c>
    </row>
    <row r="2025" spans="1:7">
      <c r="A2025" t="s">
        <v>872</v>
      </c>
      <c r="B2025" t="s">
        <v>6512</v>
      </c>
      <c r="C2025" t="s">
        <v>6424</v>
      </c>
      <c r="D2025" t="s">
        <v>6425</v>
      </c>
      <c r="E2025">
        <v>12</v>
      </c>
      <c r="F2025" s="6">
        <v>750</v>
      </c>
      <c r="G2025" t="s">
        <v>6513</v>
      </c>
    </row>
    <row r="2026" spans="1:7">
      <c r="A2026" t="s">
        <v>2487</v>
      </c>
      <c r="B2026" t="s">
        <v>6514</v>
      </c>
      <c r="C2026" t="s">
        <v>4084</v>
      </c>
      <c r="D2026" t="s">
        <v>4085</v>
      </c>
      <c r="E2026">
        <v>6</v>
      </c>
      <c r="F2026" s="6">
        <v>750</v>
      </c>
      <c r="G2026" t="s">
        <v>4419</v>
      </c>
    </row>
    <row r="2027" spans="1:7">
      <c r="A2027" t="s">
        <v>3338</v>
      </c>
      <c r="B2027" t="s">
        <v>6515</v>
      </c>
      <c r="C2027" t="s">
        <v>4052</v>
      </c>
      <c r="D2027" t="s">
        <v>4053</v>
      </c>
      <c r="E2027">
        <v>12</v>
      </c>
      <c r="F2027" s="6">
        <v>750</v>
      </c>
      <c r="G2027" t="s">
        <v>3705</v>
      </c>
    </row>
    <row r="2028" spans="1:7">
      <c r="A2028" t="s">
        <v>1277</v>
      </c>
      <c r="B2028" t="s">
        <v>6516</v>
      </c>
      <c r="C2028" t="s">
        <v>6424</v>
      </c>
      <c r="D2028" t="s">
        <v>6425</v>
      </c>
      <c r="E2028">
        <v>12</v>
      </c>
      <c r="F2028" s="6">
        <v>750</v>
      </c>
      <c r="G2028" t="s">
        <v>3705</v>
      </c>
    </row>
    <row r="2029" spans="1:7">
      <c r="A2029" t="s">
        <v>309</v>
      </c>
      <c r="B2029" t="s">
        <v>6517</v>
      </c>
      <c r="C2029" t="s">
        <v>6451</v>
      </c>
      <c r="D2029" t="s">
        <v>6452</v>
      </c>
      <c r="E2029">
        <v>12</v>
      </c>
      <c r="F2029" s="6">
        <v>750</v>
      </c>
      <c r="G2029" t="s">
        <v>3705</v>
      </c>
    </row>
    <row r="2030" spans="1:7">
      <c r="A2030" t="s">
        <v>1923</v>
      </c>
      <c r="B2030" t="s">
        <v>6518</v>
      </c>
      <c r="C2030" t="s">
        <v>4084</v>
      </c>
      <c r="D2030" t="s">
        <v>4085</v>
      </c>
      <c r="E2030">
        <v>12</v>
      </c>
      <c r="F2030" s="6">
        <v>750</v>
      </c>
      <c r="G2030" t="s">
        <v>4419</v>
      </c>
    </row>
    <row r="2031" spans="1:7">
      <c r="A2031" t="s">
        <v>6519</v>
      </c>
      <c r="B2031" t="s">
        <v>6520</v>
      </c>
      <c r="C2031" t="s">
        <v>4190</v>
      </c>
      <c r="D2031" t="s">
        <v>4191</v>
      </c>
      <c r="E2031">
        <v>12</v>
      </c>
      <c r="F2031" s="6">
        <v>750</v>
      </c>
      <c r="G2031" t="s">
        <v>3686</v>
      </c>
    </row>
    <row r="2032" spans="1:7">
      <c r="A2032" t="s">
        <v>6521</v>
      </c>
      <c r="B2032" t="s">
        <v>6522</v>
      </c>
      <c r="C2032" t="s">
        <v>3679</v>
      </c>
      <c r="D2032" t="s">
        <v>3680</v>
      </c>
      <c r="E2032">
        <v>6</v>
      </c>
      <c r="F2032" s="6">
        <v>750</v>
      </c>
      <c r="G2032" t="s">
        <v>3705</v>
      </c>
    </row>
    <row r="2033" spans="1:7">
      <c r="A2033" t="s">
        <v>2551</v>
      </c>
      <c r="B2033" t="s">
        <v>6523</v>
      </c>
      <c r="C2033" t="s">
        <v>4190</v>
      </c>
      <c r="D2033" t="s">
        <v>4191</v>
      </c>
      <c r="E2033">
        <v>6</v>
      </c>
      <c r="F2033" s="6">
        <v>750</v>
      </c>
      <c r="G2033" t="s">
        <v>3694</v>
      </c>
    </row>
    <row r="2034" spans="1:7">
      <c r="A2034" t="s">
        <v>6524</v>
      </c>
      <c r="B2034" t="s">
        <v>6525</v>
      </c>
      <c r="C2034" t="s">
        <v>6424</v>
      </c>
      <c r="D2034" t="s">
        <v>6425</v>
      </c>
      <c r="E2034">
        <v>6</v>
      </c>
      <c r="F2034" s="6">
        <v>750</v>
      </c>
      <c r="G2034" t="s">
        <v>3694</v>
      </c>
    </row>
    <row r="2035" spans="1:7">
      <c r="A2035" t="s">
        <v>218</v>
      </c>
      <c r="B2035" t="s">
        <v>6526</v>
      </c>
      <c r="C2035" t="s">
        <v>4190</v>
      </c>
      <c r="D2035" t="s">
        <v>4191</v>
      </c>
      <c r="E2035">
        <v>6</v>
      </c>
      <c r="F2035" s="6">
        <v>750</v>
      </c>
      <c r="G2035" t="s">
        <v>3694</v>
      </c>
    </row>
    <row r="2036" spans="1:7">
      <c r="A2036" t="s">
        <v>3074</v>
      </c>
      <c r="B2036" t="s">
        <v>6527</v>
      </c>
      <c r="C2036" t="s">
        <v>4084</v>
      </c>
      <c r="D2036" t="s">
        <v>4085</v>
      </c>
      <c r="E2036">
        <v>6</v>
      </c>
      <c r="F2036" s="6">
        <v>750</v>
      </c>
      <c r="G2036" t="s">
        <v>4419</v>
      </c>
    </row>
    <row r="2037" spans="1:7">
      <c r="A2037" t="s">
        <v>6528</v>
      </c>
      <c r="B2037" t="s">
        <v>6529</v>
      </c>
      <c r="C2037" t="s">
        <v>6424</v>
      </c>
      <c r="D2037" t="s">
        <v>6425</v>
      </c>
      <c r="E2037">
        <v>6</v>
      </c>
      <c r="F2037" s="6">
        <v>750</v>
      </c>
      <c r="G2037" t="s">
        <v>3802</v>
      </c>
    </row>
    <row r="2038" spans="1:7">
      <c r="A2038" t="s">
        <v>3559</v>
      </c>
      <c r="B2038" t="s">
        <v>6530</v>
      </c>
      <c r="C2038" t="s">
        <v>4190</v>
      </c>
      <c r="D2038" t="s">
        <v>4191</v>
      </c>
      <c r="E2038">
        <v>12</v>
      </c>
      <c r="F2038" s="6">
        <v>750</v>
      </c>
      <c r="G2038" t="s">
        <v>4300</v>
      </c>
    </row>
    <row r="2039" spans="1:7">
      <c r="A2039" t="s">
        <v>6531</v>
      </c>
      <c r="B2039" t="s">
        <v>6532</v>
      </c>
      <c r="C2039" t="s">
        <v>6451</v>
      </c>
      <c r="D2039" t="s">
        <v>6452</v>
      </c>
      <c r="E2039">
        <v>6</v>
      </c>
      <c r="F2039" s="6">
        <v>750</v>
      </c>
      <c r="G2039" t="s">
        <v>3951</v>
      </c>
    </row>
    <row r="2040" spans="1:7">
      <c r="A2040" t="s">
        <v>6533</v>
      </c>
      <c r="B2040" t="s">
        <v>6534</v>
      </c>
      <c r="C2040" t="s">
        <v>6424</v>
      </c>
      <c r="D2040" t="s">
        <v>6425</v>
      </c>
      <c r="E2040">
        <v>6</v>
      </c>
      <c r="F2040" s="6">
        <v>750</v>
      </c>
      <c r="G2040" t="s">
        <v>4392</v>
      </c>
    </row>
    <row r="2041" spans="1:7">
      <c r="A2041" t="s">
        <v>78</v>
      </c>
      <c r="B2041" t="s">
        <v>6535</v>
      </c>
      <c r="C2041" t="s">
        <v>4190</v>
      </c>
      <c r="D2041" t="s">
        <v>4191</v>
      </c>
      <c r="E2041">
        <v>6</v>
      </c>
      <c r="F2041" s="6">
        <v>750</v>
      </c>
      <c r="G2041" t="s">
        <v>3966</v>
      </c>
    </row>
    <row r="2042" spans="1:7">
      <c r="A2042" t="s">
        <v>1431</v>
      </c>
      <c r="B2042" t="s">
        <v>6536</v>
      </c>
      <c r="C2042" t="s">
        <v>4052</v>
      </c>
      <c r="D2042" t="s">
        <v>4053</v>
      </c>
      <c r="E2042">
        <v>12</v>
      </c>
      <c r="F2042" s="6">
        <v>750</v>
      </c>
      <c r="G2042" t="s">
        <v>3705</v>
      </c>
    </row>
    <row r="2043" spans="1:7">
      <c r="A2043" t="s">
        <v>6537</v>
      </c>
      <c r="B2043" t="s">
        <v>6538</v>
      </c>
      <c r="C2043" t="s">
        <v>4190</v>
      </c>
      <c r="D2043" t="s">
        <v>4191</v>
      </c>
      <c r="E2043">
        <v>6</v>
      </c>
      <c r="F2043" s="6">
        <v>750</v>
      </c>
      <c r="G2043" t="s">
        <v>3763</v>
      </c>
    </row>
    <row r="2044" spans="1:7">
      <c r="A2044" t="s">
        <v>6539</v>
      </c>
      <c r="B2044" t="s">
        <v>6540</v>
      </c>
      <c r="C2044" t="s">
        <v>4190</v>
      </c>
      <c r="D2044" t="s">
        <v>4191</v>
      </c>
      <c r="E2044">
        <v>6</v>
      </c>
      <c r="F2044" s="6">
        <v>750</v>
      </c>
      <c r="G2044" t="s">
        <v>3763</v>
      </c>
    </row>
    <row r="2045" spans="1:7">
      <c r="A2045" t="s">
        <v>6541</v>
      </c>
      <c r="B2045" t="s">
        <v>6542</v>
      </c>
      <c r="C2045" t="s">
        <v>6451</v>
      </c>
      <c r="D2045" t="s">
        <v>6452</v>
      </c>
      <c r="E2045">
        <v>6</v>
      </c>
      <c r="F2045" s="6">
        <v>750</v>
      </c>
      <c r="G2045" t="s">
        <v>5698</v>
      </c>
    </row>
    <row r="2046" spans="1:7">
      <c r="A2046" t="s">
        <v>860</v>
      </c>
      <c r="B2046" t="s">
        <v>6543</v>
      </c>
      <c r="C2046" t="s">
        <v>6451</v>
      </c>
      <c r="D2046" t="s">
        <v>6452</v>
      </c>
      <c r="E2046">
        <v>12</v>
      </c>
      <c r="F2046" s="6">
        <v>750</v>
      </c>
      <c r="G2046" t="s">
        <v>3888</v>
      </c>
    </row>
    <row r="2047" spans="1:7">
      <c r="A2047" t="s">
        <v>6544</v>
      </c>
      <c r="B2047" t="s">
        <v>6543</v>
      </c>
      <c r="C2047" t="s">
        <v>4190</v>
      </c>
      <c r="D2047" t="s">
        <v>4191</v>
      </c>
      <c r="E2047">
        <v>6</v>
      </c>
      <c r="F2047" s="6">
        <v>1750</v>
      </c>
      <c r="G2047" t="s">
        <v>3888</v>
      </c>
    </row>
    <row r="2048" spans="1:7">
      <c r="A2048" t="s">
        <v>3514</v>
      </c>
      <c r="B2048" t="s">
        <v>6545</v>
      </c>
      <c r="C2048" t="s">
        <v>4190</v>
      </c>
      <c r="D2048" t="s">
        <v>4191</v>
      </c>
      <c r="E2048">
        <v>6</v>
      </c>
      <c r="F2048" s="6">
        <v>750</v>
      </c>
      <c r="G2048" t="s">
        <v>3888</v>
      </c>
    </row>
    <row r="2049" spans="1:7">
      <c r="A2049" t="s">
        <v>2616</v>
      </c>
      <c r="B2049" t="s">
        <v>6546</v>
      </c>
      <c r="C2049" t="s">
        <v>3684</v>
      </c>
      <c r="D2049" t="s">
        <v>3685</v>
      </c>
      <c r="E2049">
        <v>3</v>
      </c>
      <c r="F2049" s="6">
        <v>750</v>
      </c>
      <c r="G2049" t="s">
        <v>4419</v>
      </c>
    </row>
    <row r="2050" spans="1:7">
      <c r="A2050" t="s">
        <v>1231</v>
      </c>
      <c r="B2050" t="s">
        <v>6488</v>
      </c>
      <c r="C2050" t="s">
        <v>6424</v>
      </c>
      <c r="D2050" t="s">
        <v>6425</v>
      </c>
      <c r="E2050">
        <v>24</v>
      </c>
      <c r="F2050" s="6">
        <v>200</v>
      </c>
      <c r="G2050" t="s">
        <v>3705</v>
      </c>
    </row>
    <row r="2051" spans="1:7">
      <c r="A2051" t="s">
        <v>6547</v>
      </c>
      <c r="B2051" t="s">
        <v>6548</v>
      </c>
      <c r="C2051" t="s">
        <v>4052</v>
      </c>
      <c r="D2051" t="s">
        <v>4053</v>
      </c>
      <c r="E2051">
        <v>6</v>
      </c>
      <c r="F2051" s="6">
        <v>1750</v>
      </c>
      <c r="G2051" t="s">
        <v>4331</v>
      </c>
    </row>
    <row r="2052" spans="1:7">
      <c r="A2052" t="s">
        <v>811</v>
      </c>
      <c r="B2052" t="s">
        <v>6549</v>
      </c>
      <c r="C2052" t="s">
        <v>4052</v>
      </c>
      <c r="D2052" t="s">
        <v>4053</v>
      </c>
      <c r="E2052">
        <v>6</v>
      </c>
      <c r="F2052" s="6">
        <v>1750</v>
      </c>
      <c r="G2052" t="s">
        <v>3716</v>
      </c>
    </row>
    <row r="2053" spans="1:7">
      <c r="A2053" t="s">
        <v>3192</v>
      </c>
      <c r="B2053" t="s">
        <v>6550</v>
      </c>
      <c r="C2053" t="s">
        <v>4052</v>
      </c>
      <c r="D2053" t="s">
        <v>4053</v>
      </c>
      <c r="E2053">
        <v>12</v>
      </c>
      <c r="F2053" s="6">
        <v>750</v>
      </c>
      <c r="G2053" t="s">
        <v>3681</v>
      </c>
    </row>
    <row r="2054" spans="1:7">
      <c r="A2054" t="s">
        <v>3453</v>
      </c>
      <c r="B2054" t="s">
        <v>6551</v>
      </c>
      <c r="C2054" t="s">
        <v>4052</v>
      </c>
      <c r="D2054" t="s">
        <v>4053</v>
      </c>
      <c r="E2054">
        <v>6</v>
      </c>
      <c r="F2054" s="6">
        <v>750</v>
      </c>
      <c r="G2054" t="s">
        <v>3702</v>
      </c>
    </row>
    <row r="2055" spans="1:7">
      <c r="A2055" t="s">
        <v>6552</v>
      </c>
      <c r="B2055" t="s">
        <v>6553</v>
      </c>
      <c r="C2055" t="s">
        <v>4190</v>
      </c>
      <c r="D2055" t="s">
        <v>4191</v>
      </c>
      <c r="E2055">
        <v>6</v>
      </c>
      <c r="F2055" s="6">
        <v>750</v>
      </c>
      <c r="G2055" t="s">
        <v>4392</v>
      </c>
    </row>
    <row r="2056" spans="1:7">
      <c r="A2056" t="s">
        <v>740</v>
      </c>
      <c r="B2056" t="s">
        <v>6554</v>
      </c>
      <c r="C2056" t="s">
        <v>4052</v>
      </c>
      <c r="D2056" t="s">
        <v>4053</v>
      </c>
      <c r="E2056">
        <v>12</v>
      </c>
      <c r="F2056" s="6">
        <v>750</v>
      </c>
      <c r="G2056" t="s">
        <v>3681</v>
      </c>
    </row>
    <row r="2057" spans="1:7">
      <c r="A2057" t="s">
        <v>6555</v>
      </c>
      <c r="B2057" t="s">
        <v>6535</v>
      </c>
      <c r="C2057" t="s">
        <v>3679</v>
      </c>
      <c r="D2057" t="s">
        <v>3680</v>
      </c>
      <c r="E2057">
        <v>12</v>
      </c>
      <c r="F2057" s="6">
        <v>375</v>
      </c>
      <c r="G2057" t="s">
        <v>3966</v>
      </c>
    </row>
    <row r="2058" spans="1:7">
      <c r="A2058" t="s">
        <v>6556</v>
      </c>
      <c r="B2058" t="s">
        <v>6557</v>
      </c>
      <c r="C2058" t="s">
        <v>4052</v>
      </c>
      <c r="D2058" t="s">
        <v>4053</v>
      </c>
      <c r="E2058">
        <v>12</v>
      </c>
      <c r="F2058" s="6">
        <v>750</v>
      </c>
      <c r="G2058" t="s">
        <v>3931</v>
      </c>
    </row>
    <row r="2059" spans="1:7">
      <c r="A2059" t="s">
        <v>3134</v>
      </c>
      <c r="B2059" t="s">
        <v>6557</v>
      </c>
      <c r="C2059" t="s">
        <v>4052</v>
      </c>
      <c r="D2059" t="s">
        <v>4053</v>
      </c>
      <c r="E2059">
        <v>6</v>
      </c>
      <c r="F2059" s="6">
        <v>1750</v>
      </c>
      <c r="G2059" t="s">
        <v>3931</v>
      </c>
    </row>
    <row r="2060" spans="1:7">
      <c r="A2060" t="s">
        <v>1031</v>
      </c>
      <c r="B2060" t="s">
        <v>6558</v>
      </c>
      <c r="C2060" t="s">
        <v>6424</v>
      </c>
      <c r="D2060" t="s">
        <v>6425</v>
      </c>
      <c r="E2060">
        <v>6</v>
      </c>
      <c r="F2060" s="6">
        <v>1750</v>
      </c>
      <c r="G2060" t="s">
        <v>3931</v>
      </c>
    </row>
    <row r="2061" spans="1:7">
      <c r="A2061" t="s">
        <v>6559</v>
      </c>
      <c r="B2061" t="s">
        <v>6560</v>
      </c>
      <c r="C2061" t="s">
        <v>4052</v>
      </c>
      <c r="D2061" t="s">
        <v>4053</v>
      </c>
      <c r="E2061">
        <v>6</v>
      </c>
      <c r="F2061" s="6">
        <v>750</v>
      </c>
      <c r="G2061" t="s">
        <v>3735</v>
      </c>
    </row>
    <row r="2062" spans="1:7">
      <c r="A2062" t="s">
        <v>6561</v>
      </c>
      <c r="B2062" t="s">
        <v>6562</v>
      </c>
      <c r="C2062" t="s">
        <v>4190</v>
      </c>
      <c r="D2062" t="s">
        <v>4191</v>
      </c>
      <c r="E2062">
        <v>6</v>
      </c>
      <c r="F2062" s="6">
        <v>750</v>
      </c>
      <c r="G2062" t="s">
        <v>3735</v>
      </c>
    </row>
    <row r="2063" spans="1:7">
      <c r="A2063" t="s">
        <v>2648</v>
      </c>
      <c r="B2063" t="s">
        <v>6563</v>
      </c>
      <c r="C2063" t="s">
        <v>4190</v>
      </c>
      <c r="D2063" t="s">
        <v>4191</v>
      </c>
      <c r="E2063">
        <v>6</v>
      </c>
      <c r="F2063" s="6">
        <v>750</v>
      </c>
      <c r="G2063" t="s">
        <v>3686</v>
      </c>
    </row>
    <row r="2064" spans="1:7">
      <c r="A2064" t="s">
        <v>6564</v>
      </c>
      <c r="B2064" t="s">
        <v>6565</v>
      </c>
      <c r="C2064" t="s">
        <v>3679</v>
      </c>
      <c r="D2064" t="s">
        <v>3680</v>
      </c>
      <c r="E2064">
        <v>12</v>
      </c>
      <c r="F2064" s="6">
        <v>750</v>
      </c>
      <c r="G2064" t="s">
        <v>3686</v>
      </c>
    </row>
    <row r="2065" spans="1:7">
      <c r="A2065" t="s">
        <v>6566</v>
      </c>
      <c r="B2065" t="s">
        <v>6567</v>
      </c>
      <c r="C2065" t="s">
        <v>3679</v>
      </c>
      <c r="D2065" t="s">
        <v>3680</v>
      </c>
      <c r="E2065">
        <v>6</v>
      </c>
      <c r="F2065" s="6">
        <v>750</v>
      </c>
      <c r="G2065" t="s">
        <v>4117</v>
      </c>
    </row>
    <row r="2066" spans="1:7">
      <c r="A2066" t="s">
        <v>6568</v>
      </c>
      <c r="B2066" t="s">
        <v>6569</v>
      </c>
      <c r="C2066" t="s">
        <v>3679</v>
      </c>
      <c r="D2066" t="s">
        <v>3680</v>
      </c>
      <c r="E2066">
        <v>12</v>
      </c>
      <c r="F2066" s="6">
        <v>750</v>
      </c>
      <c r="G2066" t="s">
        <v>3705</v>
      </c>
    </row>
    <row r="2067" spans="1:7">
      <c r="A2067" t="s">
        <v>6570</v>
      </c>
      <c r="B2067" t="s">
        <v>6571</v>
      </c>
      <c r="C2067" t="s">
        <v>4190</v>
      </c>
      <c r="D2067" t="s">
        <v>4191</v>
      </c>
      <c r="E2067">
        <v>6</v>
      </c>
      <c r="F2067" s="6">
        <v>750</v>
      </c>
      <c r="G2067" t="s">
        <v>4392</v>
      </c>
    </row>
    <row r="2068" spans="1:7">
      <c r="A2068" t="s">
        <v>6572</v>
      </c>
      <c r="B2068" t="s">
        <v>6573</v>
      </c>
      <c r="C2068" t="s">
        <v>3679</v>
      </c>
      <c r="D2068" t="s">
        <v>3680</v>
      </c>
      <c r="E2068">
        <v>12</v>
      </c>
      <c r="F2068" s="6">
        <v>750</v>
      </c>
      <c r="G2068" t="s">
        <v>3705</v>
      </c>
    </row>
    <row r="2069" spans="1:7">
      <c r="A2069" t="s">
        <v>600</v>
      </c>
      <c r="B2069" t="s">
        <v>6574</v>
      </c>
      <c r="C2069" t="s">
        <v>6424</v>
      </c>
      <c r="D2069" t="s">
        <v>6425</v>
      </c>
      <c r="E2069">
        <v>12</v>
      </c>
      <c r="F2069" s="6">
        <v>1000</v>
      </c>
      <c r="G2069" t="s">
        <v>3686</v>
      </c>
    </row>
    <row r="2070" spans="1:7">
      <c r="A2070" t="s">
        <v>6575</v>
      </c>
      <c r="B2070" t="s">
        <v>6574</v>
      </c>
      <c r="C2070" t="s">
        <v>6424</v>
      </c>
      <c r="D2070" t="s">
        <v>6425</v>
      </c>
      <c r="E2070">
        <v>6</v>
      </c>
      <c r="F2070" s="6">
        <v>1750</v>
      </c>
      <c r="G2070" t="s">
        <v>3686</v>
      </c>
    </row>
    <row r="2071" spans="1:7">
      <c r="A2071" t="s">
        <v>6576</v>
      </c>
      <c r="B2071" t="s">
        <v>6577</v>
      </c>
      <c r="C2071" t="s">
        <v>4052</v>
      </c>
      <c r="D2071" t="s">
        <v>4053</v>
      </c>
      <c r="E2071">
        <v>12</v>
      </c>
      <c r="F2071" s="6">
        <v>750</v>
      </c>
      <c r="G2071" t="s">
        <v>3705</v>
      </c>
    </row>
    <row r="2072" spans="1:7">
      <c r="A2072" t="s">
        <v>6578</v>
      </c>
      <c r="B2072" t="s">
        <v>6577</v>
      </c>
      <c r="C2072" t="s">
        <v>3679</v>
      </c>
      <c r="D2072" t="s">
        <v>3680</v>
      </c>
      <c r="E2072">
        <v>12</v>
      </c>
      <c r="F2072" s="6">
        <v>50</v>
      </c>
      <c r="G2072" t="s">
        <v>3705</v>
      </c>
    </row>
    <row r="2073" spans="1:7">
      <c r="A2073" t="s">
        <v>3248</v>
      </c>
      <c r="B2073" t="s">
        <v>6579</v>
      </c>
      <c r="C2073" t="s">
        <v>4632</v>
      </c>
      <c r="D2073" t="s">
        <v>4633</v>
      </c>
      <c r="E2073">
        <v>12</v>
      </c>
      <c r="F2073" s="6">
        <v>750</v>
      </c>
      <c r="G2073" t="s">
        <v>3931</v>
      </c>
    </row>
    <row r="2074" spans="1:7">
      <c r="A2074" t="s">
        <v>1120</v>
      </c>
      <c r="B2074" t="s">
        <v>6579</v>
      </c>
      <c r="C2074" t="s">
        <v>4632</v>
      </c>
      <c r="D2074" t="s">
        <v>4633</v>
      </c>
      <c r="E2074">
        <v>6</v>
      </c>
      <c r="F2074" s="6">
        <v>1750</v>
      </c>
      <c r="G2074" t="s">
        <v>3931</v>
      </c>
    </row>
    <row r="2075" spans="1:7">
      <c r="A2075" t="s">
        <v>432</v>
      </c>
      <c r="B2075" t="s">
        <v>6580</v>
      </c>
      <c r="C2075" t="s">
        <v>4190</v>
      </c>
      <c r="D2075" t="s">
        <v>4191</v>
      </c>
      <c r="E2075">
        <v>6</v>
      </c>
      <c r="F2075" s="6">
        <v>750</v>
      </c>
      <c r="G2075" t="s">
        <v>4117</v>
      </c>
    </row>
    <row r="2076" spans="1:7">
      <c r="A2076" t="s">
        <v>6581</v>
      </c>
      <c r="B2076" t="s">
        <v>6582</v>
      </c>
      <c r="C2076" t="s">
        <v>4052</v>
      </c>
      <c r="D2076" t="s">
        <v>4053</v>
      </c>
      <c r="E2076">
        <v>6</v>
      </c>
      <c r="F2076" s="6">
        <v>1750</v>
      </c>
      <c r="G2076" t="s">
        <v>3716</v>
      </c>
    </row>
    <row r="2077" spans="1:7">
      <c r="A2077" t="s">
        <v>2438</v>
      </c>
      <c r="B2077" t="s">
        <v>6583</v>
      </c>
      <c r="C2077" t="s">
        <v>4632</v>
      </c>
      <c r="D2077" t="s">
        <v>4633</v>
      </c>
      <c r="E2077">
        <v>6</v>
      </c>
      <c r="F2077" s="6">
        <v>1750</v>
      </c>
      <c r="G2077" t="s">
        <v>3686</v>
      </c>
    </row>
    <row r="2078" spans="1:7">
      <c r="A2078" t="s">
        <v>6584</v>
      </c>
      <c r="B2078" t="s">
        <v>6583</v>
      </c>
      <c r="C2078" t="s">
        <v>4632</v>
      </c>
      <c r="D2078" t="s">
        <v>4633</v>
      </c>
      <c r="E2078">
        <v>12</v>
      </c>
      <c r="F2078" s="6">
        <v>1000</v>
      </c>
      <c r="G2078" t="s">
        <v>3686</v>
      </c>
    </row>
    <row r="2079" spans="1:7">
      <c r="A2079" t="s">
        <v>6585</v>
      </c>
      <c r="B2079" t="s">
        <v>6586</v>
      </c>
      <c r="C2079" t="s">
        <v>4632</v>
      </c>
      <c r="D2079" t="s">
        <v>4633</v>
      </c>
      <c r="E2079">
        <v>10</v>
      </c>
      <c r="F2079" s="6">
        <v>50</v>
      </c>
      <c r="G2079" t="s">
        <v>3686</v>
      </c>
    </row>
    <row r="2080" spans="1:7">
      <c r="A2080" t="s">
        <v>2107</v>
      </c>
      <c r="B2080" t="s">
        <v>6587</v>
      </c>
      <c r="C2080" t="s">
        <v>6424</v>
      </c>
      <c r="D2080" t="s">
        <v>6425</v>
      </c>
      <c r="E2080">
        <v>6</v>
      </c>
      <c r="F2080" s="6">
        <v>1750</v>
      </c>
      <c r="G2080" t="s">
        <v>3686</v>
      </c>
    </row>
    <row r="2081" spans="1:7">
      <c r="A2081" t="s">
        <v>1456</v>
      </c>
      <c r="B2081" t="s">
        <v>6588</v>
      </c>
      <c r="C2081" t="s">
        <v>4052</v>
      </c>
      <c r="D2081" t="s">
        <v>4053</v>
      </c>
      <c r="E2081">
        <v>12</v>
      </c>
      <c r="F2081" s="6">
        <v>750</v>
      </c>
      <c r="G2081" t="s">
        <v>3716</v>
      </c>
    </row>
    <row r="2082" spans="1:7">
      <c r="A2082" t="s">
        <v>6589</v>
      </c>
      <c r="B2082" t="s">
        <v>6590</v>
      </c>
      <c r="C2082" t="s">
        <v>3684</v>
      </c>
      <c r="D2082" t="s">
        <v>3685</v>
      </c>
      <c r="E2082">
        <v>6</v>
      </c>
      <c r="F2082" s="6">
        <v>750</v>
      </c>
      <c r="G2082" t="s">
        <v>3702</v>
      </c>
    </row>
    <row r="2083" spans="1:7">
      <c r="A2083" t="s">
        <v>6591</v>
      </c>
      <c r="B2083" t="s">
        <v>6592</v>
      </c>
      <c r="C2083" t="s">
        <v>3684</v>
      </c>
      <c r="D2083" t="s">
        <v>3685</v>
      </c>
      <c r="E2083">
        <v>6</v>
      </c>
      <c r="F2083" s="6">
        <v>750</v>
      </c>
      <c r="G2083" t="s">
        <v>3702</v>
      </c>
    </row>
    <row r="2084" spans="1:7">
      <c r="A2084" t="s">
        <v>2530</v>
      </c>
      <c r="B2084" t="s">
        <v>6593</v>
      </c>
      <c r="C2084" t="s">
        <v>4052</v>
      </c>
      <c r="D2084" t="s">
        <v>4053</v>
      </c>
      <c r="E2084">
        <v>12</v>
      </c>
      <c r="F2084" s="6">
        <v>750</v>
      </c>
      <c r="G2084" t="s">
        <v>3716</v>
      </c>
    </row>
    <row r="2085" spans="1:7">
      <c r="A2085" t="s">
        <v>150</v>
      </c>
      <c r="B2085" t="s">
        <v>6594</v>
      </c>
      <c r="C2085" t="s">
        <v>4052</v>
      </c>
      <c r="D2085" t="s">
        <v>4053</v>
      </c>
      <c r="E2085">
        <v>12</v>
      </c>
      <c r="F2085" s="6">
        <v>750</v>
      </c>
      <c r="G2085" t="s">
        <v>3716</v>
      </c>
    </row>
    <row r="2086" spans="1:7">
      <c r="A2086" t="s">
        <v>2312</v>
      </c>
      <c r="B2086" t="s">
        <v>6595</v>
      </c>
      <c r="C2086" t="s">
        <v>4190</v>
      </c>
      <c r="D2086" t="s">
        <v>4191</v>
      </c>
      <c r="E2086">
        <v>6</v>
      </c>
      <c r="F2086" s="6">
        <v>750</v>
      </c>
      <c r="G2086" t="s">
        <v>3716</v>
      </c>
    </row>
    <row r="2087" spans="1:7">
      <c r="A2087" t="s">
        <v>1094</v>
      </c>
      <c r="B2087" t="s">
        <v>6596</v>
      </c>
      <c r="C2087" t="s">
        <v>4052</v>
      </c>
      <c r="D2087" t="s">
        <v>4053</v>
      </c>
      <c r="E2087">
        <v>12</v>
      </c>
      <c r="F2087" s="6">
        <v>750</v>
      </c>
      <c r="G2087" t="s">
        <v>3716</v>
      </c>
    </row>
    <row r="2088" spans="1:7">
      <c r="A2088" t="s">
        <v>612</v>
      </c>
      <c r="B2088" t="s">
        <v>6597</v>
      </c>
      <c r="C2088" t="s">
        <v>4052</v>
      </c>
      <c r="D2088" t="s">
        <v>4053</v>
      </c>
      <c r="E2088">
        <v>12</v>
      </c>
      <c r="F2088" s="6">
        <v>750</v>
      </c>
      <c r="G2088" t="s">
        <v>3716</v>
      </c>
    </row>
    <row r="2089" spans="1:7">
      <c r="A2089" t="s">
        <v>3641</v>
      </c>
      <c r="B2089" t="s">
        <v>6598</v>
      </c>
      <c r="C2089" t="s">
        <v>4190</v>
      </c>
      <c r="D2089" t="s">
        <v>4191</v>
      </c>
      <c r="E2089">
        <v>12</v>
      </c>
      <c r="F2089" s="6">
        <v>750</v>
      </c>
      <c r="G2089" t="s">
        <v>3716</v>
      </c>
    </row>
    <row r="2090" spans="1:7">
      <c r="A2090" t="s">
        <v>6599</v>
      </c>
      <c r="B2090" t="s">
        <v>6598</v>
      </c>
      <c r="C2090" t="s">
        <v>4190</v>
      </c>
      <c r="D2090" t="s">
        <v>4191</v>
      </c>
      <c r="E2090">
        <v>12</v>
      </c>
      <c r="F2090" s="6">
        <v>1000</v>
      </c>
      <c r="G2090" t="s">
        <v>3716</v>
      </c>
    </row>
    <row r="2091" spans="1:7">
      <c r="A2091" t="s">
        <v>1130</v>
      </c>
      <c r="B2091" t="s">
        <v>6600</v>
      </c>
      <c r="C2091" t="s">
        <v>4052</v>
      </c>
      <c r="D2091" t="s">
        <v>4053</v>
      </c>
      <c r="E2091">
        <v>12</v>
      </c>
      <c r="F2091" s="6">
        <v>750</v>
      </c>
      <c r="G2091" t="s">
        <v>3716</v>
      </c>
    </row>
    <row r="2092" spans="1:7">
      <c r="A2092" t="s">
        <v>96</v>
      </c>
      <c r="B2092" t="s">
        <v>6601</v>
      </c>
      <c r="C2092" t="s">
        <v>6424</v>
      </c>
      <c r="D2092" t="s">
        <v>6425</v>
      </c>
      <c r="E2092">
        <v>12</v>
      </c>
      <c r="F2092" s="6">
        <v>750</v>
      </c>
      <c r="G2092" t="s">
        <v>3716</v>
      </c>
    </row>
    <row r="2093" spans="1:7">
      <c r="A2093" t="s">
        <v>3303</v>
      </c>
      <c r="B2093" t="s">
        <v>6602</v>
      </c>
      <c r="C2093" t="s">
        <v>4052</v>
      </c>
      <c r="D2093" t="s">
        <v>4053</v>
      </c>
      <c r="E2093">
        <v>12</v>
      </c>
      <c r="F2093" s="6">
        <v>750</v>
      </c>
      <c r="G2093" t="s">
        <v>3716</v>
      </c>
    </row>
    <row r="2094" spans="1:7">
      <c r="A2094" t="s">
        <v>1382</v>
      </c>
      <c r="B2094" t="s">
        <v>6603</v>
      </c>
      <c r="C2094" t="s">
        <v>4052</v>
      </c>
      <c r="D2094" t="s">
        <v>4053</v>
      </c>
      <c r="E2094">
        <v>12</v>
      </c>
      <c r="F2094" s="6">
        <v>750</v>
      </c>
      <c r="G2094" t="s">
        <v>3716</v>
      </c>
    </row>
    <row r="2095" spans="1:7">
      <c r="A2095" t="s">
        <v>985</v>
      </c>
      <c r="B2095" t="s">
        <v>6604</v>
      </c>
      <c r="C2095" t="s">
        <v>4190</v>
      </c>
      <c r="D2095" t="s">
        <v>4191</v>
      </c>
      <c r="E2095">
        <v>12</v>
      </c>
      <c r="F2095" s="6">
        <v>750</v>
      </c>
      <c r="G2095" t="s">
        <v>3716</v>
      </c>
    </row>
    <row r="2096" spans="1:7">
      <c r="A2096" t="s">
        <v>2235</v>
      </c>
      <c r="B2096" t="s">
        <v>6605</v>
      </c>
      <c r="C2096" t="s">
        <v>4052</v>
      </c>
      <c r="D2096" t="s">
        <v>4053</v>
      </c>
      <c r="E2096">
        <v>12</v>
      </c>
      <c r="F2096" s="6">
        <v>750</v>
      </c>
      <c r="G2096" t="s">
        <v>3716</v>
      </c>
    </row>
    <row r="2097" spans="1:7">
      <c r="A2097" t="s">
        <v>6606</v>
      </c>
      <c r="B2097" t="s">
        <v>6607</v>
      </c>
      <c r="C2097" t="s">
        <v>3679</v>
      </c>
      <c r="D2097" t="s">
        <v>3680</v>
      </c>
      <c r="E2097">
        <v>6</v>
      </c>
      <c r="F2097" s="6">
        <v>750</v>
      </c>
      <c r="G2097" t="s">
        <v>3754</v>
      </c>
    </row>
    <row r="2098" spans="1:7">
      <c r="A2098" t="s">
        <v>6608</v>
      </c>
      <c r="B2098" t="s">
        <v>6609</v>
      </c>
      <c r="C2098" t="s">
        <v>6424</v>
      </c>
      <c r="D2098" t="s">
        <v>6425</v>
      </c>
      <c r="E2098">
        <v>12</v>
      </c>
      <c r="F2098" s="6">
        <v>1000</v>
      </c>
      <c r="G2098" t="s">
        <v>3686</v>
      </c>
    </row>
    <row r="2099" spans="1:7">
      <c r="A2099" t="s">
        <v>6610</v>
      </c>
      <c r="B2099" t="s">
        <v>6611</v>
      </c>
      <c r="C2099" t="s">
        <v>6424</v>
      </c>
      <c r="D2099" t="s">
        <v>6425</v>
      </c>
      <c r="E2099">
        <v>12</v>
      </c>
      <c r="F2099" s="6">
        <v>750</v>
      </c>
      <c r="G2099" t="s">
        <v>4225</v>
      </c>
    </row>
    <row r="2100" spans="1:7">
      <c r="A2100" t="s">
        <v>2830</v>
      </c>
      <c r="B2100" t="s">
        <v>6612</v>
      </c>
      <c r="C2100" t="s">
        <v>4632</v>
      </c>
      <c r="D2100" t="s">
        <v>4633</v>
      </c>
      <c r="E2100">
        <v>12</v>
      </c>
      <c r="F2100" s="6">
        <v>1000</v>
      </c>
      <c r="G2100" t="s">
        <v>4163</v>
      </c>
    </row>
    <row r="2101" spans="1:7">
      <c r="A2101" t="s">
        <v>1761</v>
      </c>
      <c r="B2101" t="s">
        <v>6612</v>
      </c>
      <c r="C2101" t="s">
        <v>4632</v>
      </c>
      <c r="D2101" t="s">
        <v>4633</v>
      </c>
      <c r="E2101">
        <v>6</v>
      </c>
      <c r="F2101" s="6">
        <v>1750</v>
      </c>
      <c r="G2101" t="s">
        <v>4163</v>
      </c>
    </row>
    <row r="2102" spans="1:7">
      <c r="A2102" t="s">
        <v>2469</v>
      </c>
      <c r="B2102" t="s">
        <v>6612</v>
      </c>
      <c r="C2102" t="s">
        <v>4632</v>
      </c>
      <c r="D2102" t="s">
        <v>4633</v>
      </c>
      <c r="E2102">
        <v>12</v>
      </c>
      <c r="F2102" s="6">
        <v>750</v>
      </c>
      <c r="G2102" t="s">
        <v>4163</v>
      </c>
    </row>
    <row r="2103" spans="1:7">
      <c r="A2103" t="s">
        <v>886</v>
      </c>
      <c r="B2103" t="s">
        <v>6613</v>
      </c>
      <c r="C2103" t="s">
        <v>3679</v>
      </c>
      <c r="D2103" t="s">
        <v>3680</v>
      </c>
      <c r="E2103">
        <v>6</v>
      </c>
      <c r="F2103" s="6">
        <v>750</v>
      </c>
      <c r="G2103" t="s">
        <v>3716</v>
      </c>
    </row>
    <row r="2104" spans="1:7">
      <c r="A2104" t="s">
        <v>6614</v>
      </c>
      <c r="B2104" t="s">
        <v>6615</v>
      </c>
      <c r="C2104" t="s">
        <v>3684</v>
      </c>
      <c r="D2104" t="s">
        <v>3685</v>
      </c>
      <c r="E2104">
        <v>3</v>
      </c>
      <c r="F2104" s="6">
        <v>750</v>
      </c>
      <c r="G2104" t="s">
        <v>3702</v>
      </c>
    </row>
    <row r="2105" spans="1:7">
      <c r="A2105" t="s">
        <v>6616</v>
      </c>
      <c r="B2105" t="s">
        <v>6617</v>
      </c>
      <c r="C2105" t="s">
        <v>3679</v>
      </c>
      <c r="D2105" t="s">
        <v>3680</v>
      </c>
      <c r="E2105">
        <v>6</v>
      </c>
      <c r="F2105" s="6">
        <v>750</v>
      </c>
      <c r="G2105" t="s">
        <v>3754</v>
      </c>
    </row>
    <row r="2106" spans="1:7">
      <c r="A2106" t="s">
        <v>6618</v>
      </c>
      <c r="B2106" t="s">
        <v>6619</v>
      </c>
      <c r="C2106" t="s">
        <v>6424</v>
      </c>
      <c r="D2106" t="s">
        <v>6425</v>
      </c>
      <c r="E2106">
        <v>12</v>
      </c>
      <c r="F2106" s="6">
        <v>1000</v>
      </c>
      <c r="G2106" t="s">
        <v>3686</v>
      </c>
    </row>
    <row r="2107" spans="1:7">
      <c r="A2107" t="s">
        <v>2108</v>
      </c>
      <c r="B2107" t="s">
        <v>6620</v>
      </c>
      <c r="C2107" t="s">
        <v>6451</v>
      </c>
      <c r="D2107" t="s">
        <v>6452</v>
      </c>
      <c r="E2107">
        <v>12</v>
      </c>
      <c r="F2107" s="6">
        <v>750</v>
      </c>
      <c r="G2107" t="s">
        <v>4163</v>
      </c>
    </row>
    <row r="2108" spans="1:7">
      <c r="A2108" t="s">
        <v>2692</v>
      </c>
      <c r="B2108" t="s">
        <v>6621</v>
      </c>
      <c r="C2108" t="s">
        <v>6451</v>
      </c>
      <c r="D2108" t="s">
        <v>6452</v>
      </c>
      <c r="E2108">
        <v>12</v>
      </c>
      <c r="F2108" s="6">
        <v>750</v>
      </c>
      <c r="G2108" t="s">
        <v>4163</v>
      </c>
    </row>
    <row r="2109" spans="1:7">
      <c r="A2109" t="s">
        <v>341</v>
      </c>
      <c r="B2109" t="s">
        <v>6621</v>
      </c>
      <c r="C2109" t="s">
        <v>6451</v>
      </c>
      <c r="D2109" t="s">
        <v>6452</v>
      </c>
      <c r="E2109">
        <v>12</v>
      </c>
      <c r="F2109" s="6">
        <v>1000</v>
      </c>
      <c r="G2109" t="s">
        <v>4163</v>
      </c>
    </row>
    <row r="2110" spans="1:7">
      <c r="A2110" t="s">
        <v>1190</v>
      </c>
      <c r="B2110" t="s">
        <v>6621</v>
      </c>
      <c r="C2110" t="s">
        <v>6451</v>
      </c>
      <c r="D2110" t="s">
        <v>6452</v>
      </c>
      <c r="E2110">
        <v>6</v>
      </c>
      <c r="F2110" s="6">
        <v>1750</v>
      </c>
      <c r="G2110" t="s">
        <v>4163</v>
      </c>
    </row>
    <row r="2111" spans="1:7">
      <c r="A2111" t="s">
        <v>2699</v>
      </c>
      <c r="B2111" t="s">
        <v>6622</v>
      </c>
      <c r="C2111" t="s">
        <v>6424</v>
      </c>
      <c r="D2111" t="s">
        <v>6425</v>
      </c>
      <c r="E2111">
        <v>12</v>
      </c>
      <c r="F2111" s="6">
        <v>750</v>
      </c>
      <c r="G2111" t="s">
        <v>4163</v>
      </c>
    </row>
    <row r="2112" spans="1:7">
      <c r="A2112" t="s">
        <v>187</v>
      </c>
      <c r="B2112" t="s">
        <v>6623</v>
      </c>
      <c r="C2112" t="s">
        <v>6424</v>
      </c>
      <c r="D2112" t="s">
        <v>6425</v>
      </c>
      <c r="E2112">
        <v>12</v>
      </c>
      <c r="F2112" s="6">
        <v>750</v>
      </c>
      <c r="G2112" t="s">
        <v>4163</v>
      </c>
    </row>
    <row r="2113" spans="1:7">
      <c r="A2113" t="s">
        <v>2328</v>
      </c>
      <c r="B2113" t="s">
        <v>6623</v>
      </c>
      <c r="C2113" t="s">
        <v>6424</v>
      </c>
      <c r="D2113" t="s">
        <v>6425</v>
      </c>
      <c r="E2113">
        <v>12</v>
      </c>
      <c r="F2113" s="6">
        <v>1000</v>
      </c>
      <c r="G2113" t="s">
        <v>4163</v>
      </c>
    </row>
    <row r="2114" spans="1:7">
      <c r="A2114" t="s">
        <v>667</v>
      </c>
      <c r="B2114" t="s">
        <v>6623</v>
      </c>
      <c r="C2114" t="s">
        <v>6424</v>
      </c>
      <c r="D2114" t="s">
        <v>6425</v>
      </c>
      <c r="E2114">
        <v>6</v>
      </c>
      <c r="F2114" s="6">
        <v>1750</v>
      </c>
      <c r="G2114" t="s">
        <v>4163</v>
      </c>
    </row>
    <row r="2115" spans="1:7">
      <c r="A2115" t="s">
        <v>6624</v>
      </c>
      <c r="B2115" t="s">
        <v>6625</v>
      </c>
      <c r="C2115" t="s">
        <v>3679</v>
      </c>
      <c r="D2115" t="s">
        <v>3680</v>
      </c>
      <c r="E2115">
        <v>3</v>
      </c>
      <c r="F2115" s="6">
        <v>750</v>
      </c>
      <c r="G2115" t="s">
        <v>3705</v>
      </c>
    </row>
    <row r="2116" spans="1:7">
      <c r="A2116" t="s">
        <v>1911</v>
      </c>
      <c r="B2116" t="s">
        <v>6626</v>
      </c>
      <c r="C2116" t="s">
        <v>6424</v>
      </c>
      <c r="D2116" t="s">
        <v>6425</v>
      </c>
      <c r="E2116">
        <v>6</v>
      </c>
      <c r="F2116" s="6">
        <v>1750</v>
      </c>
      <c r="G2116" t="s">
        <v>4300</v>
      </c>
    </row>
    <row r="2117" spans="1:7">
      <c r="A2117" t="s">
        <v>6627</v>
      </c>
      <c r="B2117" t="s">
        <v>6626</v>
      </c>
      <c r="C2117" t="s">
        <v>6424</v>
      </c>
      <c r="D2117" t="s">
        <v>6425</v>
      </c>
      <c r="E2117">
        <v>12</v>
      </c>
      <c r="F2117" s="6">
        <v>1000</v>
      </c>
      <c r="G2117" t="s">
        <v>4300</v>
      </c>
    </row>
    <row r="2118" spans="1:7">
      <c r="A2118" t="s">
        <v>896</v>
      </c>
      <c r="B2118" t="s">
        <v>6628</v>
      </c>
      <c r="C2118" t="s">
        <v>4632</v>
      </c>
      <c r="D2118" t="s">
        <v>4633</v>
      </c>
      <c r="E2118">
        <v>24</v>
      </c>
      <c r="F2118" s="6">
        <v>375</v>
      </c>
      <c r="G2118" t="s">
        <v>4419</v>
      </c>
    </row>
    <row r="2119" spans="1:7">
      <c r="A2119" t="s">
        <v>2816</v>
      </c>
      <c r="B2119" t="s">
        <v>6629</v>
      </c>
      <c r="C2119" t="s">
        <v>4632</v>
      </c>
      <c r="D2119" t="s">
        <v>4633</v>
      </c>
      <c r="E2119">
        <v>12</v>
      </c>
      <c r="F2119" s="6">
        <v>750</v>
      </c>
      <c r="G2119" t="s">
        <v>4419</v>
      </c>
    </row>
    <row r="2120" spans="1:7">
      <c r="A2120" t="s">
        <v>2606</v>
      </c>
      <c r="B2120" t="s">
        <v>6629</v>
      </c>
      <c r="C2120" t="s">
        <v>4632</v>
      </c>
      <c r="D2120" t="s">
        <v>4633</v>
      </c>
      <c r="E2120">
        <v>12</v>
      </c>
      <c r="F2120" s="6">
        <v>1000</v>
      </c>
      <c r="G2120" t="s">
        <v>4419</v>
      </c>
    </row>
    <row r="2121" spans="1:7">
      <c r="A2121" t="s">
        <v>941</v>
      </c>
      <c r="B2121" t="s">
        <v>6629</v>
      </c>
      <c r="C2121" t="s">
        <v>4632</v>
      </c>
      <c r="D2121" t="s">
        <v>4633</v>
      </c>
      <c r="E2121">
        <v>6</v>
      </c>
      <c r="F2121" s="6">
        <v>1750</v>
      </c>
      <c r="G2121" t="s">
        <v>4419</v>
      </c>
    </row>
    <row r="2122" spans="1:7">
      <c r="A2122" t="s">
        <v>2208</v>
      </c>
      <c r="B2122" t="s">
        <v>6628</v>
      </c>
      <c r="C2122" t="s">
        <v>4632</v>
      </c>
      <c r="D2122" t="s">
        <v>4633</v>
      </c>
      <c r="E2122">
        <v>6</v>
      </c>
      <c r="F2122" s="6">
        <v>1750</v>
      </c>
      <c r="G2122" t="s">
        <v>4419</v>
      </c>
    </row>
    <row r="2123" spans="1:7">
      <c r="A2123" t="s">
        <v>6630</v>
      </c>
      <c r="B2123" t="s">
        <v>6631</v>
      </c>
      <c r="C2123" t="s">
        <v>4052</v>
      </c>
      <c r="D2123" t="s">
        <v>4053</v>
      </c>
      <c r="E2123">
        <v>4</v>
      </c>
      <c r="F2123" s="6">
        <v>750</v>
      </c>
      <c r="G2123" t="s">
        <v>3802</v>
      </c>
    </row>
    <row r="2124" spans="1:7">
      <c r="A2124" t="s">
        <v>6632</v>
      </c>
      <c r="B2124" t="s">
        <v>6633</v>
      </c>
      <c r="C2124" t="s">
        <v>3684</v>
      </c>
      <c r="D2124" t="s">
        <v>3685</v>
      </c>
      <c r="E2124">
        <v>6</v>
      </c>
      <c r="F2124" s="6">
        <v>750</v>
      </c>
      <c r="G2124" t="s">
        <v>3681</v>
      </c>
    </row>
    <row r="2125" spans="1:7">
      <c r="A2125" t="s">
        <v>6634</v>
      </c>
      <c r="B2125" t="s">
        <v>6635</v>
      </c>
      <c r="C2125" t="s">
        <v>3684</v>
      </c>
      <c r="D2125" t="s">
        <v>3685</v>
      </c>
      <c r="E2125">
        <v>6</v>
      </c>
      <c r="F2125" s="6">
        <v>750</v>
      </c>
      <c r="G2125" t="s">
        <v>3730</v>
      </c>
    </row>
    <row r="2126" spans="1:7">
      <c r="A2126" t="s">
        <v>2859</v>
      </c>
      <c r="B2126" t="s">
        <v>6636</v>
      </c>
      <c r="C2126" t="s">
        <v>4084</v>
      </c>
      <c r="D2126" t="s">
        <v>4085</v>
      </c>
      <c r="E2126">
        <v>6</v>
      </c>
      <c r="F2126" s="6">
        <v>750</v>
      </c>
      <c r="G2126" t="s">
        <v>3763</v>
      </c>
    </row>
    <row r="2127" spans="1:7">
      <c r="A2127" t="s">
        <v>6637</v>
      </c>
      <c r="B2127" t="s">
        <v>6638</v>
      </c>
      <c r="C2127" t="s">
        <v>4190</v>
      </c>
      <c r="D2127" t="s">
        <v>4191</v>
      </c>
      <c r="E2127">
        <v>6</v>
      </c>
      <c r="F2127" s="6">
        <v>750</v>
      </c>
      <c r="G2127" t="s">
        <v>4438</v>
      </c>
    </row>
    <row r="2128" spans="1:7">
      <c r="A2128" t="s">
        <v>6639</v>
      </c>
      <c r="B2128" t="s">
        <v>6640</v>
      </c>
      <c r="C2128" t="s">
        <v>3679</v>
      </c>
      <c r="D2128" t="s">
        <v>3680</v>
      </c>
      <c r="E2128">
        <v>6</v>
      </c>
      <c r="F2128" s="6">
        <v>750</v>
      </c>
      <c r="G2128" t="s">
        <v>4438</v>
      </c>
    </row>
    <row r="2129" spans="1:7">
      <c r="A2129" t="s">
        <v>897</v>
      </c>
      <c r="B2129" t="s">
        <v>6641</v>
      </c>
      <c r="C2129" t="s">
        <v>6424</v>
      </c>
      <c r="D2129" t="s">
        <v>6425</v>
      </c>
      <c r="E2129">
        <v>12</v>
      </c>
      <c r="F2129" s="6">
        <v>750</v>
      </c>
      <c r="G2129" t="s">
        <v>3686</v>
      </c>
    </row>
    <row r="2130" spans="1:7">
      <c r="A2130" t="s">
        <v>2352</v>
      </c>
      <c r="B2130" t="s">
        <v>6641</v>
      </c>
      <c r="C2130" t="s">
        <v>6424</v>
      </c>
      <c r="D2130" t="s">
        <v>6425</v>
      </c>
      <c r="E2130">
        <v>6</v>
      </c>
      <c r="F2130" s="6">
        <v>1750</v>
      </c>
      <c r="G2130" t="s">
        <v>3686</v>
      </c>
    </row>
    <row r="2131" spans="1:7">
      <c r="A2131" t="s">
        <v>1808</v>
      </c>
      <c r="B2131" t="s">
        <v>6642</v>
      </c>
      <c r="C2131" t="s">
        <v>4632</v>
      </c>
      <c r="D2131" t="s">
        <v>4633</v>
      </c>
      <c r="E2131">
        <v>6</v>
      </c>
      <c r="F2131" s="6">
        <v>1750</v>
      </c>
      <c r="G2131" t="s">
        <v>3686</v>
      </c>
    </row>
    <row r="2132" spans="1:7">
      <c r="A2132" t="s">
        <v>6643</v>
      </c>
      <c r="B2132" t="s">
        <v>6642</v>
      </c>
      <c r="C2132" t="s">
        <v>4632</v>
      </c>
      <c r="D2132" t="s">
        <v>4633</v>
      </c>
      <c r="E2132">
        <v>12</v>
      </c>
      <c r="F2132" s="6">
        <v>750</v>
      </c>
      <c r="G2132" t="s">
        <v>3686</v>
      </c>
    </row>
    <row r="2133" spans="1:7">
      <c r="A2133" t="s">
        <v>350</v>
      </c>
      <c r="B2133" t="s">
        <v>6644</v>
      </c>
      <c r="C2133" t="s">
        <v>3684</v>
      </c>
      <c r="D2133" t="s">
        <v>3685</v>
      </c>
      <c r="E2133">
        <v>6</v>
      </c>
      <c r="F2133" s="6">
        <v>750</v>
      </c>
      <c r="G2133" t="s">
        <v>3730</v>
      </c>
    </row>
    <row r="2134" spans="1:7">
      <c r="A2134" t="s">
        <v>6645</v>
      </c>
      <c r="B2134" t="s">
        <v>6646</v>
      </c>
      <c r="C2134" t="s">
        <v>6424</v>
      </c>
      <c r="D2134" t="s">
        <v>6425</v>
      </c>
      <c r="E2134">
        <v>6</v>
      </c>
      <c r="F2134" s="6">
        <v>750</v>
      </c>
      <c r="G2134" t="s">
        <v>5339</v>
      </c>
    </row>
    <row r="2135" spans="1:7">
      <c r="A2135" t="s">
        <v>6647</v>
      </c>
      <c r="B2135" t="s">
        <v>6648</v>
      </c>
      <c r="C2135" t="s">
        <v>4052</v>
      </c>
      <c r="D2135" t="s">
        <v>4053</v>
      </c>
      <c r="E2135">
        <v>6</v>
      </c>
      <c r="F2135" s="6">
        <v>750</v>
      </c>
      <c r="G2135" t="s">
        <v>5612</v>
      </c>
    </row>
    <row r="2136" spans="1:7">
      <c r="A2136" t="s">
        <v>1042</v>
      </c>
      <c r="B2136" t="s">
        <v>6649</v>
      </c>
      <c r="C2136" t="s">
        <v>3684</v>
      </c>
      <c r="D2136" t="s">
        <v>3685</v>
      </c>
      <c r="E2136">
        <v>12</v>
      </c>
      <c r="F2136" s="6">
        <v>750</v>
      </c>
      <c r="G2136" t="s">
        <v>3730</v>
      </c>
    </row>
    <row r="2137" spans="1:7">
      <c r="A2137" t="s">
        <v>946</v>
      </c>
      <c r="B2137" t="s">
        <v>6650</v>
      </c>
      <c r="C2137" t="s">
        <v>6424</v>
      </c>
      <c r="D2137" t="s">
        <v>6425</v>
      </c>
      <c r="E2137">
        <v>12</v>
      </c>
      <c r="F2137" s="6">
        <v>1000</v>
      </c>
      <c r="G2137" t="s">
        <v>5030</v>
      </c>
    </row>
    <row r="2138" spans="1:7">
      <c r="A2138" t="s">
        <v>2808</v>
      </c>
      <c r="B2138" t="s">
        <v>6651</v>
      </c>
      <c r="C2138" t="s">
        <v>6424</v>
      </c>
      <c r="D2138" t="s">
        <v>6425</v>
      </c>
      <c r="E2138">
        <v>6</v>
      </c>
      <c r="F2138" s="6">
        <v>1750</v>
      </c>
      <c r="G2138" t="s">
        <v>4163</v>
      </c>
    </row>
    <row r="2139" spans="1:7">
      <c r="A2139" t="s">
        <v>2681</v>
      </c>
      <c r="B2139" t="s">
        <v>6651</v>
      </c>
      <c r="C2139" t="s">
        <v>6424</v>
      </c>
      <c r="D2139" t="s">
        <v>6425</v>
      </c>
      <c r="E2139">
        <v>12</v>
      </c>
      <c r="F2139" s="6">
        <v>1000</v>
      </c>
      <c r="G2139" t="s">
        <v>4163</v>
      </c>
    </row>
    <row r="2140" spans="1:7">
      <c r="A2140" t="s">
        <v>1478</v>
      </c>
      <c r="B2140" t="s">
        <v>6652</v>
      </c>
      <c r="C2140" t="s">
        <v>4084</v>
      </c>
      <c r="D2140" t="s">
        <v>4085</v>
      </c>
      <c r="E2140">
        <v>6</v>
      </c>
      <c r="F2140" s="6">
        <v>750</v>
      </c>
      <c r="G2140" t="s">
        <v>3716</v>
      </c>
    </row>
    <row r="2141" spans="1:7">
      <c r="A2141" t="s">
        <v>6653</v>
      </c>
      <c r="B2141" t="s">
        <v>6654</v>
      </c>
      <c r="C2141" t="s">
        <v>4190</v>
      </c>
      <c r="D2141" t="s">
        <v>4191</v>
      </c>
      <c r="E2141">
        <v>6</v>
      </c>
      <c r="F2141" s="6">
        <v>750</v>
      </c>
      <c r="G2141" t="s">
        <v>4919</v>
      </c>
    </row>
    <row r="2142" spans="1:7">
      <c r="A2142" t="s">
        <v>6655</v>
      </c>
      <c r="B2142" t="s">
        <v>6656</v>
      </c>
      <c r="C2142" t="s">
        <v>4632</v>
      </c>
      <c r="D2142" t="s">
        <v>4633</v>
      </c>
      <c r="E2142">
        <v>12</v>
      </c>
      <c r="F2142" s="6">
        <v>750</v>
      </c>
      <c r="G2142" t="s">
        <v>3689</v>
      </c>
    </row>
    <row r="2143" spans="1:7">
      <c r="A2143" t="s">
        <v>581</v>
      </c>
      <c r="B2143" t="s">
        <v>6657</v>
      </c>
      <c r="C2143" t="s">
        <v>4632</v>
      </c>
      <c r="D2143" t="s">
        <v>4633</v>
      </c>
      <c r="E2143">
        <v>12</v>
      </c>
      <c r="F2143" s="6">
        <v>750</v>
      </c>
      <c r="G2143" t="s">
        <v>3689</v>
      </c>
    </row>
    <row r="2144" spans="1:7">
      <c r="A2144" t="s">
        <v>3502</v>
      </c>
      <c r="B2144" t="s">
        <v>6657</v>
      </c>
      <c r="C2144" t="s">
        <v>4632</v>
      </c>
      <c r="D2144" t="s">
        <v>4633</v>
      </c>
      <c r="E2144">
        <v>6</v>
      </c>
      <c r="F2144" s="6">
        <v>1750</v>
      </c>
      <c r="G2144" t="s">
        <v>3689</v>
      </c>
    </row>
    <row r="2145" spans="1:7">
      <c r="A2145" t="s">
        <v>1567</v>
      </c>
      <c r="B2145" t="s">
        <v>6658</v>
      </c>
      <c r="C2145" t="s">
        <v>4052</v>
      </c>
      <c r="D2145" t="s">
        <v>4053</v>
      </c>
      <c r="E2145">
        <v>12</v>
      </c>
      <c r="F2145" s="6">
        <v>50</v>
      </c>
      <c r="G2145" t="s">
        <v>3681</v>
      </c>
    </row>
    <row r="2146" spans="1:7">
      <c r="A2146" t="s">
        <v>6659</v>
      </c>
      <c r="B2146" t="s">
        <v>6660</v>
      </c>
      <c r="C2146" t="s">
        <v>4084</v>
      </c>
      <c r="D2146" t="s">
        <v>4085</v>
      </c>
      <c r="E2146">
        <v>6</v>
      </c>
      <c r="F2146" s="6">
        <v>750</v>
      </c>
      <c r="G2146" t="s">
        <v>5701</v>
      </c>
    </row>
    <row r="2147" spans="1:7">
      <c r="A2147" t="s">
        <v>6661</v>
      </c>
      <c r="B2147" t="s">
        <v>6662</v>
      </c>
      <c r="C2147" t="s">
        <v>6424</v>
      </c>
      <c r="D2147" t="s">
        <v>6425</v>
      </c>
      <c r="E2147">
        <v>12</v>
      </c>
      <c r="F2147" s="6">
        <v>750</v>
      </c>
      <c r="G2147" t="s">
        <v>6663</v>
      </c>
    </row>
    <row r="2148" spans="1:7">
      <c r="A2148" t="s">
        <v>6664</v>
      </c>
      <c r="B2148" t="s">
        <v>6665</v>
      </c>
      <c r="C2148" t="s">
        <v>6451</v>
      </c>
      <c r="D2148" t="s">
        <v>6452</v>
      </c>
      <c r="E2148">
        <v>12</v>
      </c>
      <c r="F2148" s="6">
        <v>750</v>
      </c>
      <c r="G2148" t="s">
        <v>6663</v>
      </c>
    </row>
    <row r="2149" spans="1:7">
      <c r="A2149" t="s">
        <v>6666</v>
      </c>
      <c r="B2149" t="s">
        <v>6667</v>
      </c>
      <c r="C2149" t="s">
        <v>4052</v>
      </c>
      <c r="D2149" t="s">
        <v>4053</v>
      </c>
      <c r="E2149">
        <v>12</v>
      </c>
      <c r="F2149" s="6">
        <v>750</v>
      </c>
      <c r="G2149" t="s">
        <v>6663</v>
      </c>
    </row>
    <row r="2150" spans="1:7">
      <c r="A2150" t="s">
        <v>6668</v>
      </c>
      <c r="B2150" t="s">
        <v>6669</v>
      </c>
      <c r="C2150" t="s">
        <v>4190</v>
      </c>
      <c r="D2150" t="s">
        <v>4191</v>
      </c>
      <c r="E2150">
        <v>6</v>
      </c>
      <c r="F2150" s="6">
        <v>750</v>
      </c>
      <c r="G2150" t="s">
        <v>4291</v>
      </c>
    </row>
    <row r="2151" spans="1:7">
      <c r="A2151" t="s">
        <v>6670</v>
      </c>
      <c r="B2151" t="s">
        <v>6671</v>
      </c>
      <c r="C2151" t="s">
        <v>4052</v>
      </c>
      <c r="D2151" t="s">
        <v>4053</v>
      </c>
      <c r="E2151">
        <v>12</v>
      </c>
      <c r="F2151" s="6">
        <v>750</v>
      </c>
      <c r="G2151" t="s">
        <v>3702</v>
      </c>
    </row>
    <row r="2152" spans="1:7">
      <c r="A2152" t="s">
        <v>6672</v>
      </c>
      <c r="B2152" t="s">
        <v>6673</v>
      </c>
      <c r="C2152" t="s">
        <v>6451</v>
      </c>
      <c r="D2152" t="s">
        <v>6452</v>
      </c>
      <c r="E2152">
        <v>12</v>
      </c>
      <c r="F2152" s="6">
        <v>750</v>
      </c>
      <c r="G2152" t="s">
        <v>3686</v>
      </c>
    </row>
    <row r="2153" spans="1:7">
      <c r="A2153" t="s">
        <v>6674</v>
      </c>
      <c r="B2153" t="s">
        <v>6673</v>
      </c>
      <c r="C2153" t="s">
        <v>6451</v>
      </c>
      <c r="D2153" t="s">
        <v>6452</v>
      </c>
      <c r="E2153">
        <v>6</v>
      </c>
      <c r="F2153" s="6">
        <v>1750</v>
      </c>
      <c r="G2153" t="s">
        <v>3686</v>
      </c>
    </row>
    <row r="2154" spans="1:7">
      <c r="A2154" t="s">
        <v>6675</v>
      </c>
      <c r="B2154" t="s">
        <v>6676</v>
      </c>
      <c r="C2154" t="s">
        <v>6424</v>
      </c>
      <c r="D2154" t="s">
        <v>6425</v>
      </c>
      <c r="E2154">
        <v>12</v>
      </c>
      <c r="F2154" s="6">
        <v>750</v>
      </c>
      <c r="G2154" t="s">
        <v>3686</v>
      </c>
    </row>
    <row r="2155" spans="1:7">
      <c r="A2155" t="s">
        <v>6677</v>
      </c>
      <c r="B2155" t="s">
        <v>6676</v>
      </c>
      <c r="C2155" t="s">
        <v>6424</v>
      </c>
      <c r="D2155" t="s">
        <v>6425</v>
      </c>
      <c r="E2155">
        <v>6</v>
      </c>
      <c r="F2155" s="6">
        <v>1750</v>
      </c>
      <c r="G2155" t="s">
        <v>3686</v>
      </c>
    </row>
    <row r="2156" spans="1:7">
      <c r="A2156" t="s">
        <v>6678</v>
      </c>
      <c r="B2156" t="s">
        <v>6679</v>
      </c>
      <c r="C2156" t="s">
        <v>3679</v>
      </c>
      <c r="D2156" t="s">
        <v>3680</v>
      </c>
      <c r="E2156">
        <v>6</v>
      </c>
      <c r="F2156" s="6">
        <v>750</v>
      </c>
      <c r="G2156" t="s">
        <v>4117</v>
      </c>
    </row>
    <row r="2157" spans="1:7">
      <c r="A2157" t="s">
        <v>6680</v>
      </c>
      <c r="B2157" t="s">
        <v>6681</v>
      </c>
      <c r="C2157" t="s">
        <v>3679</v>
      </c>
      <c r="D2157" t="s">
        <v>3680</v>
      </c>
      <c r="E2157">
        <v>6</v>
      </c>
      <c r="F2157" s="6">
        <v>750</v>
      </c>
      <c r="G2157" t="s">
        <v>4117</v>
      </c>
    </row>
    <row r="2158" spans="1:7">
      <c r="A2158" t="s">
        <v>60</v>
      </c>
      <c r="B2158" t="s">
        <v>6682</v>
      </c>
      <c r="C2158" t="s">
        <v>6424</v>
      </c>
      <c r="D2158" t="s">
        <v>6425</v>
      </c>
      <c r="E2158">
        <v>12</v>
      </c>
      <c r="F2158" s="6">
        <v>750</v>
      </c>
      <c r="G2158" t="s">
        <v>5020</v>
      </c>
    </row>
    <row r="2159" spans="1:7">
      <c r="A2159" t="s">
        <v>1959</v>
      </c>
      <c r="B2159" t="s">
        <v>6683</v>
      </c>
      <c r="C2159" t="s">
        <v>3684</v>
      </c>
      <c r="D2159" t="s">
        <v>3685</v>
      </c>
      <c r="E2159">
        <v>6</v>
      </c>
      <c r="F2159" s="6">
        <v>750</v>
      </c>
      <c r="G2159" t="s">
        <v>5698</v>
      </c>
    </row>
    <row r="2160" spans="1:7">
      <c r="A2160" t="s">
        <v>6684</v>
      </c>
      <c r="B2160" t="s">
        <v>6685</v>
      </c>
      <c r="C2160" t="s">
        <v>4632</v>
      </c>
      <c r="D2160" t="s">
        <v>4633</v>
      </c>
      <c r="E2160">
        <v>6</v>
      </c>
      <c r="F2160" s="6">
        <v>1750</v>
      </c>
      <c r="G2160" t="s">
        <v>6182</v>
      </c>
    </row>
    <row r="2161" spans="1:7">
      <c r="A2161" t="s">
        <v>1607</v>
      </c>
      <c r="B2161" t="s">
        <v>6686</v>
      </c>
      <c r="C2161" t="s">
        <v>3684</v>
      </c>
      <c r="D2161" t="s">
        <v>3685</v>
      </c>
      <c r="E2161">
        <v>12</v>
      </c>
      <c r="F2161" s="6">
        <v>750</v>
      </c>
      <c r="G2161" t="s">
        <v>3681</v>
      </c>
    </row>
    <row r="2162" spans="1:7">
      <c r="A2162" t="s">
        <v>2566</v>
      </c>
      <c r="B2162" t="s">
        <v>6686</v>
      </c>
      <c r="C2162" t="s">
        <v>3684</v>
      </c>
      <c r="D2162" t="s">
        <v>3685</v>
      </c>
      <c r="E2162">
        <v>12</v>
      </c>
      <c r="F2162" s="6">
        <v>1000</v>
      </c>
      <c r="G2162" t="s">
        <v>3681</v>
      </c>
    </row>
    <row r="2163" spans="1:7">
      <c r="A2163" t="s">
        <v>80</v>
      </c>
      <c r="B2163" t="s">
        <v>6686</v>
      </c>
      <c r="C2163" t="s">
        <v>3684</v>
      </c>
      <c r="D2163" t="s">
        <v>3685</v>
      </c>
      <c r="E2163">
        <v>6</v>
      </c>
      <c r="F2163" s="6">
        <v>1750</v>
      </c>
      <c r="G2163" t="s">
        <v>3681</v>
      </c>
    </row>
    <row r="2164" spans="1:7">
      <c r="A2164" t="s">
        <v>6687</v>
      </c>
      <c r="B2164" t="s">
        <v>6688</v>
      </c>
      <c r="C2164" t="s">
        <v>3692</v>
      </c>
      <c r="D2164" t="s">
        <v>3693</v>
      </c>
      <c r="E2164">
        <v>12</v>
      </c>
      <c r="F2164" s="6">
        <v>375</v>
      </c>
      <c r="G2164" t="s">
        <v>3730</v>
      </c>
    </row>
    <row r="2165" spans="1:7">
      <c r="A2165" t="s">
        <v>6689</v>
      </c>
      <c r="B2165" t="s">
        <v>6690</v>
      </c>
      <c r="C2165" t="s">
        <v>4023</v>
      </c>
      <c r="D2165" t="s">
        <v>4024</v>
      </c>
      <c r="E2165">
        <v>6</v>
      </c>
      <c r="F2165" s="6">
        <v>750</v>
      </c>
      <c r="G2165" t="s">
        <v>4117</v>
      </c>
    </row>
    <row r="2166" spans="1:7">
      <c r="A2166" t="s">
        <v>6691</v>
      </c>
      <c r="B2166" t="s">
        <v>6692</v>
      </c>
      <c r="C2166" t="s">
        <v>4023</v>
      </c>
      <c r="D2166" t="s">
        <v>4024</v>
      </c>
      <c r="E2166">
        <v>12</v>
      </c>
      <c r="F2166" s="6">
        <v>750</v>
      </c>
      <c r="G2166" t="s">
        <v>4117</v>
      </c>
    </row>
    <row r="2167" spans="1:7">
      <c r="A2167" t="s">
        <v>6693</v>
      </c>
      <c r="B2167" t="s">
        <v>6694</v>
      </c>
      <c r="C2167" t="s">
        <v>4023</v>
      </c>
      <c r="D2167" t="s">
        <v>4024</v>
      </c>
      <c r="E2167">
        <v>6</v>
      </c>
      <c r="F2167" s="6">
        <v>750</v>
      </c>
      <c r="G2167" t="s">
        <v>4117</v>
      </c>
    </row>
    <row r="2168" spans="1:7">
      <c r="A2168" t="s">
        <v>6695</v>
      </c>
      <c r="B2168" t="s">
        <v>6696</v>
      </c>
      <c r="C2168" t="s">
        <v>4023</v>
      </c>
      <c r="D2168" t="s">
        <v>4024</v>
      </c>
      <c r="E2168">
        <v>6</v>
      </c>
      <c r="F2168" s="6">
        <v>750</v>
      </c>
      <c r="G2168" t="s">
        <v>4117</v>
      </c>
    </row>
    <row r="2169" spans="1:7">
      <c r="A2169" t="s">
        <v>2283</v>
      </c>
      <c r="B2169" t="s">
        <v>6697</v>
      </c>
      <c r="C2169" t="s">
        <v>3684</v>
      </c>
      <c r="D2169" t="s">
        <v>3685</v>
      </c>
      <c r="E2169">
        <v>6</v>
      </c>
      <c r="F2169" s="6">
        <v>750</v>
      </c>
      <c r="G2169" t="s">
        <v>3730</v>
      </c>
    </row>
    <row r="2170" spans="1:7">
      <c r="A2170" t="s">
        <v>6698</v>
      </c>
      <c r="B2170" t="s">
        <v>6699</v>
      </c>
      <c r="C2170" t="s">
        <v>4023</v>
      </c>
      <c r="D2170" t="s">
        <v>4024</v>
      </c>
      <c r="E2170">
        <v>12</v>
      </c>
      <c r="F2170" s="6">
        <v>375</v>
      </c>
      <c r="G2170" t="s">
        <v>3716</v>
      </c>
    </row>
    <row r="2171" spans="1:7">
      <c r="A2171" t="s">
        <v>6700</v>
      </c>
      <c r="B2171" t="s">
        <v>6699</v>
      </c>
      <c r="C2171" t="s">
        <v>4023</v>
      </c>
      <c r="D2171" t="s">
        <v>4024</v>
      </c>
      <c r="E2171">
        <v>12</v>
      </c>
      <c r="F2171" s="6">
        <v>750</v>
      </c>
      <c r="G2171" t="s">
        <v>3716</v>
      </c>
    </row>
    <row r="2172" spans="1:7">
      <c r="A2172" t="s">
        <v>997</v>
      </c>
      <c r="B2172" t="s">
        <v>6701</v>
      </c>
      <c r="C2172" t="s">
        <v>4023</v>
      </c>
      <c r="D2172" t="s">
        <v>4024</v>
      </c>
      <c r="E2172">
        <v>12</v>
      </c>
      <c r="F2172" s="6">
        <v>375</v>
      </c>
      <c r="G2172" t="s">
        <v>3716</v>
      </c>
    </row>
    <row r="2173" spans="1:7">
      <c r="A2173" t="s">
        <v>2475</v>
      </c>
      <c r="B2173" t="s">
        <v>6701</v>
      </c>
      <c r="C2173" t="s">
        <v>4023</v>
      </c>
      <c r="D2173" t="s">
        <v>4024</v>
      </c>
      <c r="E2173">
        <v>12</v>
      </c>
      <c r="F2173" s="6">
        <v>750</v>
      </c>
      <c r="G2173" t="s">
        <v>3716</v>
      </c>
    </row>
    <row r="2174" spans="1:7">
      <c r="A2174" t="s">
        <v>6702</v>
      </c>
      <c r="B2174" t="s">
        <v>6701</v>
      </c>
      <c r="C2174" t="s">
        <v>4023</v>
      </c>
      <c r="D2174" t="s">
        <v>4024</v>
      </c>
      <c r="E2174">
        <v>6</v>
      </c>
      <c r="F2174" s="6">
        <v>1750</v>
      </c>
      <c r="G2174" t="s">
        <v>3716</v>
      </c>
    </row>
    <row r="2175" spans="1:7">
      <c r="A2175" t="s">
        <v>1123</v>
      </c>
      <c r="B2175" t="s">
        <v>6701</v>
      </c>
      <c r="C2175" t="s">
        <v>4023</v>
      </c>
      <c r="D2175" t="s">
        <v>4024</v>
      </c>
      <c r="E2175">
        <v>24</v>
      </c>
      <c r="F2175" s="6">
        <v>200</v>
      </c>
      <c r="G2175" t="s">
        <v>3716</v>
      </c>
    </row>
    <row r="2176" spans="1:7">
      <c r="A2176" t="s">
        <v>956</v>
      </c>
      <c r="B2176" t="s">
        <v>6703</v>
      </c>
      <c r="C2176" t="s">
        <v>4170</v>
      </c>
      <c r="D2176" t="s">
        <v>4171</v>
      </c>
      <c r="E2176">
        <v>12</v>
      </c>
      <c r="F2176" s="6">
        <v>375</v>
      </c>
      <c r="G2176" t="s">
        <v>3705</v>
      </c>
    </row>
    <row r="2177" spans="1:7">
      <c r="A2177" t="s">
        <v>2618</v>
      </c>
      <c r="B2177" t="s">
        <v>6704</v>
      </c>
      <c r="C2177" t="s">
        <v>4170</v>
      </c>
      <c r="D2177" t="s">
        <v>4171</v>
      </c>
      <c r="E2177">
        <v>24</v>
      </c>
      <c r="F2177" s="6">
        <v>200</v>
      </c>
      <c r="G2177" t="s">
        <v>3705</v>
      </c>
    </row>
    <row r="2178" spans="1:7">
      <c r="A2178" t="s">
        <v>1395</v>
      </c>
      <c r="B2178" t="s">
        <v>6704</v>
      </c>
      <c r="C2178" t="s">
        <v>4170</v>
      </c>
      <c r="D2178" t="s">
        <v>4171</v>
      </c>
      <c r="E2178">
        <v>12</v>
      </c>
      <c r="F2178" s="6">
        <v>375</v>
      </c>
      <c r="G2178" t="s">
        <v>3705</v>
      </c>
    </row>
    <row r="2179" spans="1:7">
      <c r="A2179" t="s">
        <v>741</v>
      </c>
      <c r="B2179" t="s">
        <v>6704</v>
      </c>
      <c r="C2179" t="s">
        <v>4170</v>
      </c>
      <c r="D2179" t="s">
        <v>4171</v>
      </c>
      <c r="E2179">
        <v>6</v>
      </c>
      <c r="F2179" s="6">
        <v>750</v>
      </c>
      <c r="G2179" t="s">
        <v>3705</v>
      </c>
    </row>
    <row r="2180" spans="1:7">
      <c r="A2180" t="s">
        <v>6705</v>
      </c>
      <c r="B2180" t="s">
        <v>6706</v>
      </c>
      <c r="C2180" t="s">
        <v>4170</v>
      </c>
      <c r="D2180" t="s">
        <v>4171</v>
      </c>
      <c r="E2180">
        <v>6</v>
      </c>
      <c r="F2180" s="6">
        <v>750</v>
      </c>
      <c r="G2180" t="s">
        <v>3705</v>
      </c>
    </row>
    <row r="2181" spans="1:7">
      <c r="A2181" t="s">
        <v>2576</v>
      </c>
      <c r="B2181" t="s">
        <v>6707</v>
      </c>
      <c r="C2181" t="s">
        <v>3684</v>
      </c>
      <c r="D2181" t="s">
        <v>3685</v>
      </c>
      <c r="E2181">
        <v>12</v>
      </c>
      <c r="F2181" s="6">
        <v>750</v>
      </c>
      <c r="G2181" t="s">
        <v>3686</v>
      </c>
    </row>
    <row r="2182" spans="1:7">
      <c r="A2182" t="s">
        <v>6708</v>
      </c>
      <c r="B2182" t="s">
        <v>6707</v>
      </c>
      <c r="C2182" t="s">
        <v>3684</v>
      </c>
      <c r="D2182" t="s">
        <v>3685</v>
      </c>
      <c r="E2182">
        <v>12</v>
      </c>
      <c r="F2182" s="6">
        <v>1000</v>
      </c>
      <c r="G2182" t="s">
        <v>3686</v>
      </c>
    </row>
    <row r="2183" spans="1:7">
      <c r="A2183" t="s">
        <v>6709</v>
      </c>
      <c r="B2183" t="s">
        <v>6707</v>
      </c>
      <c r="C2183" t="s">
        <v>3684</v>
      </c>
      <c r="D2183" t="s">
        <v>3685</v>
      </c>
      <c r="E2183">
        <v>6</v>
      </c>
      <c r="F2183" s="6">
        <v>1750</v>
      </c>
      <c r="G2183" t="s">
        <v>3686</v>
      </c>
    </row>
    <row r="2184" spans="1:7">
      <c r="A2184" t="s">
        <v>6710</v>
      </c>
      <c r="B2184" t="s">
        <v>6711</v>
      </c>
      <c r="C2184" t="s">
        <v>3684</v>
      </c>
      <c r="D2184" t="s">
        <v>3685</v>
      </c>
      <c r="E2184">
        <v>6</v>
      </c>
      <c r="F2184" s="6">
        <v>750</v>
      </c>
      <c r="G2184" t="s">
        <v>3686</v>
      </c>
    </row>
    <row r="2185" spans="1:7">
      <c r="A2185" t="s">
        <v>919</v>
      </c>
      <c r="B2185" t="s">
        <v>6712</v>
      </c>
      <c r="C2185" t="s">
        <v>4023</v>
      </c>
      <c r="D2185" t="s">
        <v>4024</v>
      </c>
      <c r="E2185">
        <v>24</v>
      </c>
      <c r="F2185" s="6">
        <v>200</v>
      </c>
      <c r="G2185" t="s">
        <v>3754</v>
      </c>
    </row>
    <row r="2186" spans="1:7">
      <c r="A2186" t="s">
        <v>6713</v>
      </c>
      <c r="B2186" t="s">
        <v>6714</v>
      </c>
      <c r="C2186" t="s">
        <v>3679</v>
      </c>
      <c r="D2186" t="s">
        <v>3680</v>
      </c>
      <c r="E2186">
        <v>6</v>
      </c>
      <c r="F2186" s="6">
        <v>750</v>
      </c>
      <c r="G2186" t="s">
        <v>3705</v>
      </c>
    </row>
    <row r="2187" spans="1:7">
      <c r="A2187" t="s">
        <v>2159</v>
      </c>
      <c r="B2187" t="s">
        <v>6715</v>
      </c>
      <c r="C2187" t="s">
        <v>4023</v>
      </c>
      <c r="D2187" t="s">
        <v>4024</v>
      </c>
      <c r="E2187">
        <v>10</v>
      </c>
      <c r="F2187" s="6">
        <v>50</v>
      </c>
      <c r="G2187" t="s">
        <v>3754</v>
      </c>
    </row>
    <row r="2188" spans="1:7">
      <c r="A2188" t="s">
        <v>1749</v>
      </c>
      <c r="B2188" t="s">
        <v>6716</v>
      </c>
      <c r="C2188" t="s">
        <v>4023</v>
      </c>
      <c r="D2188" t="s">
        <v>4024</v>
      </c>
      <c r="E2188">
        <v>8</v>
      </c>
      <c r="F2188" s="6">
        <v>1200</v>
      </c>
      <c r="G2188" t="s">
        <v>3754</v>
      </c>
    </row>
    <row r="2189" spans="1:7">
      <c r="A2189" t="s">
        <v>685</v>
      </c>
      <c r="B2189" t="s">
        <v>6712</v>
      </c>
      <c r="C2189" t="s">
        <v>4023</v>
      </c>
      <c r="D2189" t="s">
        <v>4024</v>
      </c>
      <c r="E2189">
        <v>12</v>
      </c>
      <c r="F2189" s="6">
        <v>375</v>
      </c>
      <c r="G2189" t="s">
        <v>3754</v>
      </c>
    </row>
    <row r="2190" spans="1:7">
      <c r="A2190" t="s">
        <v>2242</v>
      </c>
      <c r="B2190" t="s">
        <v>6712</v>
      </c>
      <c r="C2190" t="s">
        <v>4023</v>
      </c>
      <c r="D2190" t="s">
        <v>4024</v>
      </c>
      <c r="E2190">
        <v>12</v>
      </c>
      <c r="F2190" s="6">
        <v>750</v>
      </c>
      <c r="G2190" t="s">
        <v>3754</v>
      </c>
    </row>
    <row r="2191" spans="1:7">
      <c r="A2191" t="s">
        <v>1643</v>
      </c>
      <c r="B2191" t="s">
        <v>6712</v>
      </c>
      <c r="C2191" t="s">
        <v>4023</v>
      </c>
      <c r="D2191" t="s">
        <v>4024</v>
      </c>
      <c r="E2191">
        <v>12</v>
      </c>
      <c r="F2191" s="6">
        <v>1000</v>
      </c>
      <c r="G2191" t="s">
        <v>3754</v>
      </c>
    </row>
    <row r="2192" spans="1:7">
      <c r="A2192" t="s">
        <v>369</v>
      </c>
      <c r="B2192" t="s">
        <v>6712</v>
      </c>
      <c r="C2192" t="s">
        <v>4023</v>
      </c>
      <c r="D2192" t="s">
        <v>4024</v>
      </c>
      <c r="E2192">
        <v>6</v>
      </c>
      <c r="F2192" s="6">
        <v>1750</v>
      </c>
      <c r="G2192" t="s">
        <v>3754</v>
      </c>
    </row>
    <row r="2193" spans="1:7">
      <c r="A2193" t="s">
        <v>6717</v>
      </c>
      <c r="B2193" t="s">
        <v>6718</v>
      </c>
      <c r="C2193" t="s">
        <v>4023</v>
      </c>
      <c r="D2193" t="s">
        <v>4024</v>
      </c>
      <c r="E2193">
        <v>12</v>
      </c>
      <c r="F2193" s="6">
        <v>375</v>
      </c>
      <c r="G2193" t="s">
        <v>3754</v>
      </c>
    </row>
    <row r="2194" spans="1:7">
      <c r="A2194" t="s">
        <v>6719</v>
      </c>
      <c r="B2194" t="s">
        <v>6720</v>
      </c>
      <c r="C2194" t="s">
        <v>4023</v>
      </c>
      <c r="D2194" t="s">
        <v>4024</v>
      </c>
      <c r="E2194">
        <v>12</v>
      </c>
      <c r="F2194" s="6">
        <v>750</v>
      </c>
      <c r="G2194" t="s">
        <v>3754</v>
      </c>
    </row>
    <row r="2195" spans="1:7">
      <c r="A2195" t="s">
        <v>1633</v>
      </c>
      <c r="B2195" t="s">
        <v>6720</v>
      </c>
      <c r="C2195" t="s">
        <v>4023</v>
      </c>
      <c r="D2195" t="s">
        <v>4024</v>
      </c>
      <c r="E2195">
        <v>12</v>
      </c>
      <c r="F2195" s="6">
        <v>375</v>
      </c>
      <c r="G2195" t="s">
        <v>3754</v>
      </c>
    </row>
    <row r="2196" spans="1:7">
      <c r="A2196" t="s">
        <v>114</v>
      </c>
      <c r="B2196" t="s">
        <v>6721</v>
      </c>
      <c r="C2196" t="s">
        <v>4023</v>
      </c>
      <c r="D2196" t="s">
        <v>4024</v>
      </c>
      <c r="E2196">
        <v>12</v>
      </c>
      <c r="F2196" s="6">
        <v>750</v>
      </c>
      <c r="G2196" t="s">
        <v>3754</v>
      </c>
    </row>
    <row r="2197" spans="1:7">
      <c r="A2197" t="s">
        <v>6722</v>
      </c>
      <c r="B2197" t="s">
        <v>6721</v>
      </c>
      <c r="C2197" t="s">
        <v>4023</v>
      </c>
      <c r="D2197" t="s">
        <v>4024</v>
      </c>
      <c r="E2197">
        <v>6</v>
      </c>
      <c r="F2197" s="6">
        <v>1750</v>
      </c>
      <c r="G2197" t="s">
        <v>3754</v>
      </c>
    </row>
    <row r="2198" spans="1:7">
      <c r="A2198" t="s">
        <v>6723</v>
      </c>
      <c r="B2198" t="s">
        <v>6721</v>
      </c>
      <c r="C2198" t="s">
        <v>4023</v>
      </c>
      <c r="D2198" t="s">
        <v>4024</v>
      </c>
      <c r="E2198">
        <v>12</v>
      </c>
      <c r="F2198" s="6">
        <v>750</v>
      </c>
      <c r="G2198" t="s">
        <v>3754</v>
      </c>
    </row>
    <row r="2199" spans="1:7">
      <c r="A2199" t="s">
        <v>2607</v>
      </c>
      <c r="B2199" t="s">
        <v>6724</v>
      </c>
      <c r="C2199" t="s">
        <v>4084</v>
      </c>
      <c r="D2199" t="s">
        <v>4085</v>
      </c>
      <c r="E2199">
        <v>6</v>
      </c>
      <c r="F2199" s="6">
        <v>750</v>
      </c>
      <c r="G2199" t="s">
        <v>3763</v>
      </c>
    </row>
    <row r="2200" spans="1:7">
      <c r="A2200" t="s">
        <v>6725</v>
      </c>
      <c r="B2200" t="s">
        <v>6726</v>
      </c>
      <c r="C2200" t="s">
        <v>4023</v>
      </c>
      <c r="D2200" t="s">
        <v>4024</v>
      </c>
      <c r="E2200">
        <v>12</v>
      </c>
      <c r="F2200" s="6">
        <v>375</v>
      </c>
      <c r="G2200" t="s">
        <v>3754</v>
      </c>
    </row>
    <row r="2201" spans="1:7">
      <c r="A2201" t="s">
        <v>3076</v>
      </c>
      <c r="B2201" t="s">
        <v>6727</v>
      </c>
      <c r="C2201" t="s">
        <v>4084</v>
      </c>
      <c r="D2201" t="s">
        <v>4085</v>
      </c>
      <c r="E2201">
        <v>6</v>
      </c>
      <c r="F2201" s="6">
        <v>750</v>
      </c>
      <c r="G2201" t="s">
        <v>3763</v>
      </c>
    </row>
    <row r="2202" spans="1:7">
      <c r="A2202" t="s">
        <v>726</v>
      </c>
      <c r="B2202" t="s">
        <v>6728</v>
      </c>
      <c r="C2202" t="s">
        <v>4084</v>
      </c>
      <c r="D2202" t="s">
        <v>4085</v>
      </c>
      <c r="E2202">
        <v>12</v>
      </c>
      <c r="F2202" s="6">
        <v>750</v>
      </c>
      <c r="G2202" t="s">
        <v>3730</v>
      </c>
    </row>
    <row r="2203" spans="1:7">
      <c r="A2203" t="s">
        <v>1954</v>
      </c>
      <c r="B2203" t="s">
        <v>6729</v>
      </c>
      <c r="C2203" t="s">
        <v>3684</v>
      </c>
      <c r="D2203" t="s">
        <v>3685</v>
      </c>
      <c r="E2203">
        <v>12</v>
      </c>
      <c r="F2203" s="6">
        <v>750</v>
      </c>
      <c r="G2203" t="s">
        <v>3705</v>
      </c>
    </row>
    <row r="2204" spans="1:7">
      <c r="A2204" t="s">
        <v>2633</v>
      </c>
      <c r="B2204" t="s">
        <v>6729</v>
      </c>
      <c r="C2204" t="s">
        <v>3684</v>
      </c>
      <c r="D2204" t="s">
        <v>3685</v>
      </c>
      <c r="E2204">
        <v>12</v>
      </c>
      <c r="F2204" s="6">
        <v>1000</v>
      </c>
      <c r="G2204" t="s">
        <v>3705</v>
      </c>
    </row>
    <row r="2205" spans="1:7">
      <c r="A2205" t="s">
        <v>370</v>
      </c>
      <c r="B2205" t="s">
        <v>6729</v>
      </c>
      <c r="C2205" t="s">
        <v>3684</v>
      </c>
      <c r="D2205" t="s">
        <v>3685</v>
      </c>
      <c r="E2205">
        <v>6</v>
      </c>
      <c r="F2205" s="6">
        <v>1750</v>
      </c>
      <c r="G2205" t="s">
        <v>3705</v>
      </c>
    </row>
    <row r="2206" spans="1:7">
      <c r="A2206" t="s">
        <v>6730</v>
      </c>
      <c r="B2206" t="s">
        <v>6731</v>
      </c>
      <c r="C2206" t="s">
        <v>6442</v>
      </c>
      <c r="D2206" t="s">
        <v>6443</v>
      </c>
      <c r="E2206">
        <v>12</v>
      </c>
      <c r="F2206" s="6">
        <v>750</v>
      </c>
      <c r="G2206" t="s">
        <v>3681</v>
      </c>
    </row>
    <row r="2207" spans="1:7">
      <c r="A2207" t="s">
        <v>6732</v>
      </c>
      <c r="B2207" t="s">
        <v>6733</v>
      </c>
      <c r="C2207" t="s">
        <v>4023</v>
      </c>
      <c r="D2207" t="s">
        <v>4024</v>
      </c>
      <c r="E2207">
        <v>1</v>
      </c>
      <c r="F2207" s="6">
        <v>750</v>
      </c>
      <c r="G2207" t="s">
        <v>5698</v>
      </c>
    </row>
    <row r="2208" spans="1:7">
      <c r="A2208" t="s">
        <v>1981</v>
      </c>
      <c r="B2208" t="s">
        <v>6734</v>
      </c>
      <c r="C2208" t="s">
        <v>3684</v>
      </c>
      <c r="D2208" t="s">
        <v>3685</v>
      </c>
      <c r="E2208">
        <v>12</v>
      </c>
      <c r="F2208" s="6">
        <v>750</v>
      </c>
      <c r="G2208" t="s">
        <v>3705</v>
      </c>
    </row>
    <row r="2209" spans="1:7">
      <c r="A2209" t="s">
        <v>37</v>
      </c>
      <c r="B2209" t="s">
        <v>6735</v>
      </c>
      <c r="C2209" t="s">
        <v>3679</v>
      </c>
      <c r="D2209" t="s">
        <v>3680</v>
      </c>
      <c r="E2209">
        <v>6</v>
      </c>
      <c r="F2209" s="6">
        <v>1000</v>
      </c>
      <c r="G2209" t="s">
        <v>3705</v>
      </c>
    </row>
    <row r="2210" spans="1:7">
      <c r="A2210" t="s">
        <v>6736</v>
      </c>
      <c r="B2210" t="s">
        <v>6733</v>
      </c>
      <c r="C2210" t="s">
        <v>4023</v>
      </c>
      <c r="D2210" t="s">
        <v>4024</v>
      </c>
      <c r="E2210">
        <v>1</v>
      </c>
      <c r="F2210" s="6">
        <v>700</v>
      </c>
      <c r="G2210" t="s">
        <v>5698</v>
      </c>
    </row>
    <row r="2211" spans="1:7">
      <c r="A2211" t="s">
        <v>2809</v>
      </c>
      <c r="B2211" t="s">
        <v>6737</v>
      </c>
      <c r="C2211" t="s">
        <v>4023</v>
      </c>
      <c r="D2211" t="s">
        <v>4024</v>
      </c>
      <c r="E2211">
        <v>6</v>
      </c>
      <c r="F2211" s="6">
        <v>750</v>
      </c>
      <c r="G2211" t="s">
        <v>5698</v>
      </c>
    </row>
    <row r="2212" spans="1:7">
      <c r="A2212" t="s">
        <v>386</v>
      </c>
      <c r="B2212" t="s">
        <v>6738</v>
      </c>
      <c r="C2212" t="s">
        <v>4023</v>
      </c>
      <c r="D2212" t="s">
        <v>4024</v>
      </c>
      <c r="E2212">
        <v>24</v>
      </c>
      <c r="F2212" s="6">
        <v>200</v>
      </c>
      <c r="G2212" t="s">
        <v>5698</v>
      </c>
    </row>
    <row r="2213" spans="1:7">
      <c r="A2213" t="s">
        <v>1412</v>
      </c>
      <c r="B2213" t="s">
        <v>6738</v>
      </c>
      <c r="C2213" t="s">
        <v>4023</v>
      </c>
      <c r="D2213" t="s">
        <v>4024</v>
      </c>
      <c r="E2213">
        <v>12</v>
      </c>
      <c r="F2213" s="6">
        <v>375</v>
      </c>
      <c r="G2213" t="s">
        <v>5698</v>
      </c>
    </row>
    <row r="2214" spans="1:7">
      <c r="A2214" t="s">
        <v>898</v>
      </c>
      <c r="B2214" t="s">
        <v>6738</v>
      </c>
      <c r="C2214" t="s">
        <v>4023</v>
      </c>
      <c r="D2214" t="s">
        <v>4024</v>
      </c>
      <c r="E2214">
        <v>6</v>
      </c>
      <c r="F2214" s="6">
        <v>750</v>
      </c>
      <c r="G2214" t="s">
        <v>5698</v>
      </c>
    </row>
    <row r="2215" spans="1:7">
      <c r="A2215" t="s">
        <v>2717</v>
      </c>
      <c r="B2215" t="s">
        <v>6738</v>
      </c>
      <c r="C2215" t="s">
        <v>4023</v>
      </c>
      <c r="D2215" t="s">
        <v>4024</v>
      </c>
      <c r="E2215">
        <v>6</v>
      </c>
      <c r="F2215" s="6">
        <v>1000</v>
      </c>
      <c r="G2215" t="s">
        <v>5698</v>
      </c>
    </row>
    <row r="2216" spans="1:7">
      <c r="A2216" t="s">
        <v>6739</v>
      </c>
      <c r="B2216" t="s">
        <v>6740</v>
      </c>
      <c r="C2216" t="s">
        <v>4023</v>
      </c>
      <c r="D2216" t="s">
        <v>4024</v>
      </c>
      <c r="E2216">
        <v>12</v>
      </c>
      <c r="F2216" s="6">
        <v>750</v>
      </c>
      <c r="G2216" t="s">
        <v>5698</v>
      </c>
    </row>
    <row r="2217" spans="1:7">
      <c r="A2217" t="s">
        <v>1560</v>
      </c>
      <c r="B2217" t="s">
        <v>6741</v>
      </c>
      <c r="C2217" t="s">
        <v>4023</v>
      </c>
      <c r="D2217" t="s">
        <v>4024</v>
      </c>
      <c r="E2217">
        <v>12</v>
      </c>
      <c r="F2217" s="6">
        <v>375</v>
      </c>
      <c r="G2217" t="s">
        <v>5698</v>
      </c>
    </row>
    <row r="2218" spans="1:7">
      <c r="A2218" t="s">
        <v>508</v>
      </c>
      <c r="B2218" t="s">
        <v>6742</v>
      </c>
      <c r="C2218" t="s">
        <v>4023</v>
      </c>
      <c r="D2218" t="s">
        <v>4024</v>
      </c>
      <c r="E2218">
        <v>12</v>
      </c>
      <c r="F2218" s="6">
        <v>750</v>
      </c>
      <c r="G2218" t="s">
        <v>5698</v>
      </c>
    </row>
    <row r="2219" spans="1:7">
      <c r="A2219" t="s">
        <v>6743</v>
      </c>
      <c r="B2219" t="s">
        <v>6742</v>
      </c>
      <c r="C2219" t="s">
        <v>4023</v>
      </c>
      <c r="D2219" t="s">
        <v>4024</v>
      </c>
      <c r="E2219">
        <v>12</v>
      </c>
      <c r="F2219" s="6">
        <v>1000</v>
      </c>
      <c r="G2219" t="s">
        <v>5698</v>
      </c>
    </row>
    <row r="2220" spans="1:7">
      <c r="A2220" t="s">
        <v>6744</v>
      </c>
      <c r="B2220" t="s">
        <v>6742</v>
      </c>
      <c r="C2220" t="s">
        <v>4023</v>
      </c>
      <c r="D2220" t="s">
        <v>4024</v>
      </c>
      <c r="E2220">
        <v>6</v>
      </c>
      <c r="F2220" s="6">
        <v>1750</v>
      </c>
      <c r="G2220" t="s">
        <v>5698</v>
      </c>
    </row>
    <row r="2221" spans="1:7">
      <c r="A2221" t="s">
        <v>2506</v>
      </c>
      <c r="B2221" t="s">
        <v>6742</v>
      </c>
      <c r="C2221" t="s">
        <v>4023</v>
      </c>
      <c r="D2221" t="s">
        <v>4024</v>
      </c>
      <c r="E2221">
        <v>24</v>
      </c>
      <c r="F2221" s="6">
        <v>200</v>
      </c>
      <c r="G2221" t="s">
        <v>5698</v>
      </c>
    </row>
    <row r="2222" spans="1:7">
      <c r="A2222" t="s">
        <v>1236</v>
      </c>
      <c r="B2222" t="s">
        <v>6745</v>
      </c>
      <c r="C2222" t="s">
        <v>3684</v>
      </c>
      <c r="D2222" t="s">
        <v>3685</v>
      </c>
      <c r="E2222">
        <v>12</v>
      </c>
      <c r="F2222" s="6">
        <v>750</v>
      </c>
      <c r="G2222" t="s">
        <v>6746</v>
      </c>
    </row>
    <row r="2223" spans="1:7">
      <c r="A2223" t="s">
        <v>6747</v>
      </c>
      <c r="B2223" t="s">
        <v>6748</v>
      </c>
      <c r="C2223" t="s">
        <v>3679</v>
      </c>
      <c r="D2223" t="s">
        <v>3680</v>
      </c>
      <c r="E2223">
        <v>6</v>
      </c>
      <c r="F2223" s="6">
        <v>750</v>
      </c>
      <c r="G2223" t="s">
        <v>4068</v>
      </c>
    </row>
    <row r="2224" spans="1:7">
      <c r="A2224" t="s">
        <v>329</v>
      </c>
      <c r="B2224" t="s">
        <v>6749</v>
      </c>
      <c r="C2224" t="s">
        <v>4023</v>
      </c>
      <c r="D2224" t="s">
        <v>4024</v>
      </c>
      <c r="E2224">
        <v>6</v>
      </c>
      <c r="F2224" s="6">
        <v>700</v>
      </c>
      <c r="G2224" t="s">
        <v>6750</v>
      </c>
    </row>
    <row r="2225" spans="1:7">
      <c r="A2225" t="s">
        <v>6751</v>
      </c>
      <c r="B2225" t="s">
        <v>6752</v>
      </c>
      <c r="C2225" t="s">
        <v>4023</v>
      </c>
      <c r="D2225" t="s">
        <v>4024</v>
      </c>
      <c r="E2225">
        <v>12</v>
      </c>
      <c r="F2225" s="6">
        <v>700</v>
      </c>
      <c r="G2225" t="s">
        <v>6750</v>
      </c>
    </row>
    <row r="2226" spans="1:7">
      <c r="A2226" t="s">
        <v>2590</v>
      </c>
      <c r="B2226" t="s">
        <v>6753</v>
      </c>
      <c r="C2226" t="s">
        <v>3684</v>
      </c>
      <c r="D2226" t="s">
        <v>3685</v>
      </c>
      <c r="E2226">
        <v>6</v>
      </c>
      <c r="F2226" s="6">
        <v>750</v>
      </c>
      <c r="G2226" t="s">
        <v>3686</v>
      </c>
    </row>
    <row r="2227" spans="1:7">
      <c r="A2227" t="s">
        <v>6754</v>
      </c>
      <c r="B2227" t="s">
        <v>6755</v>
      </c>
      <c r="C2227" t="s">
        <v>3679</v>
      </c>
      <c r="D2227" t="s">
        <v>3680</v>
      </c>
      <c r="E2227">
        <v>6</v>
      </c>
      <c r="F2227" s="6">
        <v>750</v>
      </c>
      <c r="G2227" t="s">
        <v>4117</v>
      </c>
    </row>
    <row r="2228" spans="1:7">
      <c r="A2228" t="s">
        <v>3397</v>
      </c>
      <c r="B2228" t="s">
        <v>6756</v>
      </c>
      <c r="C2228" t="s">
        <v>3684</v>
      </c>
      <c r="D2228" t="s">
        <v>3685</v>
      </c>
      <c r="E2228">
        <v>6</v>
      </c>
      <c r="F2228" s="6">
        <v>750</v>
      </c>
      <c r="G2228" t="s">
        <v>3686</v>
      </c>
    </row>
    <row r="2229" spans="1:7">
      <c r="A2229" t="s">
        <v>2133</v>
      </c>
      <c r="B2229" t="s">
        <v>6757</v>
      </c>
      <c r="C2229" t="s">
        <v>3684</v>
      </c>
      <c r="D2229" t="s">
        <v>3685</v>
      </c>
      <c r="E2229">
        <v>3</v>
      </c>
      <c r="F2229" s="6">
        <v>750</v>
      </c>
      <c r="G2229" t="s">
        <v>4419</v>
      </c>
    </row>
    <row r="2230" spans="1:7">
      <c r="A2230" t="s">
        <v>742</v>
      </c>
      <c r="B2230" t="s">
        <v>6758</v>
      </c>
      <c r="C2230" t="s">
        <v>4084</v>
      </c>
      <c r="D2230" t="s">
        <v>4085</v>
      </c>
      <c r="E2230">
        <v>12</v>
      </c>
      <c r="F2230" s="6">
        <v>750</v>
      </c>
      <c r="G2230" t="s">
        <v>4419</v>
      </c>
    </row>
    <row r="2231" spans="1:7">
      <c r="A2231" t="s">
        <v>2865</v>
      </c>
      <c r="B2231" t="s">
        <v>6759</v>
      </c>
      <c r="C2231" t="s">
        <v>4084</v>
      </c>
      <c r="D2231" t="s">
        <v>4085</v>
      </c>
      <c r="E2231">
        <v>12</v>
      </c>
      <c r="F2231" s="6">
        <v>750</v>
      </c>
      <c r="G2231" t="s">
        <v>4419</v>
      </c>
    </row>
    <row r="2232" spans="1:7">
      <c r="A2232" t="s">
        <v>1095</v>
      </c>
      <c r="B2232" t="s">
        <v>6760</v>
      </c>
      <c r="C2232" t="s">
        <v>4084</v>
      </c>
      <c r="D2232" t="s">
        <v>4085</v>
      </c>
      <c r="E2232">
        <v>12</v>
      </c>
      <c r="F2232" s="6">
        <v>750</v>
      </c>
      <c r="G2232" t="s">
        <v>3681</v>
      </c>
    </row>
    <row r="2233" spans="1:7">
      <c r="A2233" t="s">
        <v>582</v>
      </c>
      <c r="B2233" t="s">
        <v>6760</v>
      </c>
      <c r="C2233" t="s">
        <v>4084</v>
      </c>
      <c r="D2233" t="s">
        <v>4085</v>
      </c>
      <c r="E2233">
        <v>12</v>
      </c>
      <c r="F2233" s="6">
        <v>1000</v>
      </c>
      <c r="G2233" t="s">
        <v>3681</v>
      </c>
    </row>
    <row r="2234" spans="1:7">
      <c r="A2234" t="s">
        <v>6761</v>
      </c>
      <c r="B2234" t="s">
        <v>6760</v>
      </c>
      <c r="C2234" t="s">
        <v>4084</v>
      </c>
      <c r="D2234" t="s">
        <v>4085</v>
      </c>
      <c r="E2234">
        <v>6</v>
      </c>
      <c r="F2234" s="6">
        <v>1750</v>
      </c>
      <c r="G2234" t="s">
        <v>3681</v>
      </c>
    </row>
    <row r="2235" spans="1:7">
      <c r="A2235" t="s">
        <v>6762</v>
      </c>
      <c r="B2235" t="s">
        <v>6763</v>
      </c>
      <c r="C2235" t="s">
        <v>4084</v>
      </c>
      <c r="D2235" t="s">
        <v>4085</v>
      </c>
      <c r="E2235">
        <v>6</v>
      </c>
      <c r="F2235" s="6">
        <v>750</v>
      </c>
      <c r="G2235" t="s">
        <v>3681</v>
      </c>
    </row>
    <row r="2236" spans="1:7">
      <c r="A2236" t="s">
        <v>6764</v>
      </c>
      <c r="B2236" t="s">
        <v>6765</v>
      </c>
      <c r="C2236" t="s">
        <v>3679</v>
      </c>
      <c r="D2236" t="s">
        <v>3680</v>
      </c>
      <c r="E2236">
        <v>3</v>
      </c>
      <c r="F2236" s="6">
        <v>750</v>
      </c>
      <c r="G2236" t="s">
        <v>3681</v>
      </c>
    </row>
    <row r="2237" spans="1:7">
      <c r="A2237" t="s">
        <v>1191</v>
      </c>
      <c r="B2237" t="s">
        <v>6766</v>
      </c>
      <c r="C2237" t="s">
        <v>4084</v>
      </c>
      <c r="D2237" t="s">
        <v>4085</v>
      </c>
      <c r="E2237">
        <v>6</v>
      </c>
      <c r="F2237" s="6">
        <v>750</v>
      </c>
      <c r="G2237" t="s">
        <v>3681</v>
      </c>
    </row>
    <row r="2238" spans="1:7">
      <c r="A2238" t="s">
        <v>6767</v>
      </c>
      <c r="B2238" t="s">
        <v>6768</v>
      </c>
      <c r="C2238" t="s">
        <v>4084</v>
      </c>
      <c r="D2238" t="s">
        <v>4085</v>
      </c>
      <c r="E2238">
        <v>4</v>
      </c>
      <c r="F2238" s="6">
        <v>750</v>
      </c>
      <c r="G2238" t="s">
        <v>3754</v>
      </c>
    </row>
    <row r="2239" spans="1:7">
      <c r="A2239" t="s">
        <v>65</v>
      </c>
      <c r="B2239" t="s">
        <v>6769</v>
      </c>
      <c r="C2239" t="s">
        <v>4023</v>
      </c>
      <c r="D2239" t="s">
        <v>4024</v>
      </c>
      <c r="E2239">
        <v>12</v>
      </c>
      <c r="F2239" s="6">
        <v>750</v>
      </c>
      <c r="G2239" t="s">
        <v>5698</v>
      </c>
    </row>
    <row r="2240" spans="1:7">
      <c r="A2240" t="s">
        <v>2005</v>
      </c>
      <c r="B2240" t="s">
        <v>6770</v>
      </c>
      <c r="C2240" t="s">
        <v>4023</v>
      </c>
      <c r="D2240" t="s">
        <v>4024</v>
      </c>
      <c r="E2240">
        <v>12</v>
      </c>
      <c r="F2240" s="6">
        <v>750</v>
      </c>
      <c r="G2240" t="s">
        <v>5698</v>
      </c>
    </row>
    <row r="2241" spans="1:7">
      <c r="A2241" t="s">
        <v>6771</v>
      </c>
      <c r="B2241" t="s">
        <v>6772</v>
      </c>
      <c r="C2241" t="s">
        <v>3679</v>
      </c>
      <c r="D2241" t="s">
        <v>3680</v>
      </c>
      <c r="E2241">
        <v>3</v>
      </c>
      <c r="F2241" s="6">
        <v>750</v>
      </c>
      <c r="G2241" t="s">
        <v>3681</v>
      </c>
    </row>
    <row r="2242" spans="1:7">
      <c r="A2242" t="s">
        <v>6773</v>
      </c>
      <c r="B2242" t="s">
        <v>6774</v>
      </c>
      <c r="C2242" t="s">
        <v>4023</v>
      </c>
      <c r="D2242" t="s">
        <v>4024</v>
      </c>
      <c r="E2242">
        <v>6</v>
      </c>
      <c r="F2242" s="6">
        <v>750</v>
      </c>
      <c r="G2242" t="s">
        <v>6775</v>
      </c>
    </row>
    <row r="2243" spans="1:7">
      <c r="A2243" t="s">
        <v>6776</v>
      </c>
      <c r="B2243" t="s">
        <v>6777</v>
      </c>
      <c r="C2243" t="s">
        <v>4023</v>
      </c>
      <c r="D2243" t="s">
        <v>4024</v>
      </c>
      <c r="E2243">
        <v>6</v>
      </c>
      <c r="F2243" s="6">
        <v>750</v>
      </c>
      <c r="G2243" t="s">
        <v>6775</v>
      </c>
    </row>
    <row r="2244" spans="1:7">
      <c r="A2244" t="s">
        <v>6778</v>
      </c>
      <c r="B2244" t="s">
        <v>6779</v>
      </c>
      <c r="C2244" t="s">
        <v>4023</v>
      </c>
      <c r="D2244" t="s">
        <v>4024</v>
      </c>
      <c r="E2244">
        <v>6</v>
      </c>
      <c r="F2244" s="6">
        <v>750</v>
      </c>
      <c r="G2244" t="s">
        <v>6775</v>
      </c>
    </row>
    <row r="2245" spans="1:7">
      <c r="A2245" t="s">
        <v>6780</v>
      </c>
      <c r="B2245" t="s">
        <v>6781</v>
      </c>
      <c r="C2245" t="s">
        <v>4084</v>
      </c>
      <c r="D2245" t="s">
        <v>4085</v>
      </c>
      <c r="E2245">
        <v>6</v>
      </c>
      <c r="F2245" s="6">
        <v>750</v>
      </c>
      <c r="G2245" t="s">
        <v>3754</v>
      </c>
    </row>
    <row r="2246" spans="1:7">
      <c r="A2246" t="s">
        <v>201</v>
      </c>
      <c r="B2246" t="s">
        <v>6782</v>
      </c>
      <c r="C2246" t="s">
        <v>4084</v>
      </c>
      <c r="D2246" t="s">
        <v>4085</v>
      </c>
      <c r="E2246">
        <v>6</v>
      </c>
      <c r="F2246" s="6">
        <v>750</v>
      </c>
      <c r="G2246" t="s">
        <v>3754</v>
      </c>
    </row>
    <row r="2247" spans="1:7">
      <c r="A2247" t="s">
        <v>6783</v>
      </c>
      <c r="B2247" t="s">
        <v>6784</v>
      </c>
      <c r="C2247" t="s">
        <v>4084</v>
      </c>
      <c r="D2247" t="s">
        <v>4085</v>
      </c>
      <c r="E2247">
        <v>6</v>
      </c>
      <c r="F2247" s="6">
        <v>750</v>
      </c>
      <c r="G2247" t="s">
        <v>3754</v>
      </c>
    </row>
    <row r="2248" spans="1:7">
      <c r="A2248" t="s">
        <v>1154</v>
      </c>
      <c r="B2248" t="s">
        <v>6785</v>
      </c>
      <c r="C2248" t="s">
        <v>3684</v>
      </c>
      <c r="D2248" t="s">
        <v>3685</v>
      </c>
      <c r="E2248">
        <v>12</v>
      </c>
      <c r="F2248" s="6">
        <v>750</v>
      </c>
      <c r="G2248" t="s">
        <v>4419</v>
      </c>
    </row>
    <row r="2249" spans="1:7">
      <c r="A2249" t="s">
        <v>2292</v>
      </c>
      <c r="B2249" t="s">
        <v>6786</v>
      </c>
      <c r="C2249" t="s">
        <v>4023</v>
      </c>
      <c r="D2249" t="s">
        <v>4024</v>
      </c>
      <c r="E2249">
        <v>12</v>
      </c>
      <c r="F2249" s="6">
        <v>1000</v>
      </c>
      <c r="G2249" t="s">
        <v>3730</v>
      </c>
    </row>
    <row r="2250" spans="1:7">
      <c r="A2250" t="s">
        <v>6787</v>
      </c>
      <c r="B2250" t="s">
        <v>6788</v>
      </c>
      <c r="C2250" t="s">
        <v>4170</v>
      </c>
      <c r="D2250" t="s">
        <v>4171</v>
      </c>
      <c r="E2250">
        <v>6</v>
      </c>
      <c r="F2250" s="6">
        <v>750</v>
      </c>
      <c r="G2250" t="s">
        <v>3702</v>
      </c>
    </row>
    <row r="2251" spans="1:7">
      <c r="A2251" t="s">
        <v>567</v>
      </c>
      <c r="B2251" t="s">
        <v>6789</v>
      </c>
      <c r="C2251" t="s">
        <v>4023</v>
      </c>
      <c r="D2251" t="s">
        <v>4024</v>
      </c>
      <c r="E2251">
        <v>6</v>
      </c>
      <c r="F2251" s="6">
        <v>750</v>
      </c>
      <c r="G2251" t="s">
        <v>6790</v>
      </c>
    </row>
    <row r="2252" spans="1:7">
      <c r="A2252" t="s">
        <v>6791</v>
      </c>
      <c r="B2252" t="s">
        <v>6792</v>
      </c>
      <c r="C2252" t="s">
        <v>4023</v>
      </c>
      <c r="D2252" t="s">
        <v>4024</v>
      </c>
      <c r="E2252">
        <v>6</v>
      </c>
      <c r="F2252" s="6">
        <v>750</v>
      </c>
      <c r="G2252" t="s">
        <v>6790</v>
      </c>
    </row>
    <row r="2253" spans="1:7">
      <c r="A2253" t="s">
        <v>6793</v>
      </c>
      <c r="B2253" t="s">
        <v>6794</v>
      </c>
      <c r="C2253" t="s">
        <v>4023</v>
      </c>
      <c r="D2253" t="s">
        <v>4024</v>
      </c>
      <c r="E2253">
        <v>6</v>
      </c>
      <c r="F2253" s="6">
        <v>750</v>
      </c>
      <c r="G2253" t="s">
        <v>6795</v>
      </c>
    </row>
    <row r="2254" spans="1:7">
      <c r="A2254" t="s">
        <v>3569</v>
      </c>
      <c r="B2254" t="s">
        <v>6796</v>
      </c>
      <c r="C2254" t="s">
        <v>4023</v>
      </c>
      <c r="D2254" t="s">
        <v>4024</v>
      </c>
      <c r="E2254">
        <v>6</v>
      </c>
      <c r="F2254" s="6">
        <v>750</v>
      </c>
      <c r="G2254" t="s">
        <v>4902</v>
      </c>
    </row>
    <row r="2255" spans="1:7">
      <c r="A2255" t="s">
        <v>2464</v>
      </c>
      <c r="B2255" t="s">
        <v>6797</v>
      </c>
      <c r="C2255" t="s">
        <v>4023</v>
      </c>
      <c r="D2255" t="s">
        <v>4024</v>
      </c>
      <c r="E2255">
        <v>6</v>
      </c>
      <c r="F2255" s="6">
        <v>750</v>
      </c>
      <c r="G2255" t="s">
        <v>4902</v>
      </c>
    </row>
    <row r="2256" spans="1:7">
      <c r="A2256" t="s">
        <v>441</v>
      </c>
      <c r="B2256" t="s">
        <v>6798</v>
      </c>
      <c r="C2256" t="s">
        <v>4084</v>
      </c>
      <c r="D2256" t="s">
        <v>4085</v>
      </c>
      <c r="E2256">
        <v>6</v>
      </c>
      <c r="F2256" s="6">
        <v>750</v>
      </c>
      <c r="G2256" t="s">
        <v>3754</v>
      </c>
    </row>
    <row r="2257" spans="1:7">
      <c r="A2257" t="s">
        <v>6799</v>
      </c>
      <c r="B2257" t="s">
        <v>6800</v>
      </c>
      <c r="C2257" t="s">
        <v>4084</v>
      </c>
      <c r="D2257" t="s">
        <v>4085</v>
      </c>
      <c r="E2257">
        <v>6</v>
      </c>
      <c r="F2257" s="6">
        <v>750</v>
      </c>
      <c r="G2257" t="s">
        <v>3754</v>
      </c>
    </row>
    <row r="2258" spans="1:7">
      <c r="A2258" t="s">
        <v>6801</v>
      </c>
      <c r="B2258" t="s">
        <v>6802</v>
      </c>
      <c r="C2258" t="s">
        <v>4023</v>
      </c>
      <c r="D2258" t="s">
        <v>4024</v>
      </c>
      <c r="E2258">
        <v>12</v>
      </c>
      <c r="F2258" s="6">
        <v>750</v>
      </c>
      <c r="G2258" t="s">
        <v>6803</v>
      </c>
    </row>
    <row r="2259" spans="1:7">
      <c r="A2259" t="s">
        <v>1359</v>
      </c>
      <c r="B2259" t="s">
        <v>6804</v>
      </c>
      <c r="C2259" t="s">
        <v>4084</v>
      </c>
      <c r="D2259" t="s">
        <v>4085</v>
      </c>
      <c r="E2259">
        <v>12</v>
      </c>
      <c r="F2259" s="6">
        <v>750</v>
      </c>
      <c r="G2259" t="s">
        <v>3681</v>
      </c>
    </row>
    <row r="2260" spans="1:7">
      <c r="A2260" t="s">
        <v>602</v>
      </c>
      <c r="B2260" t="s">
        <v>6805</v>
      </c>
      <c r="C2260" t="s">
        <v>4084</v>
      </c>
      <c r="D2260" t="s">
        <v>4085</v>
      </c>
      <c r="E2260">
        <v>6</v>
      </c>
      <c r="F2260" s="6">
        <v>750</v>
      </c>
      <c r="G2260" t="s">
        <v>4419</v>
      </c>
    </row>
    <row r="2261" spans="1:7">
      <c r="A2261" t="s">
        <v>2500</v>
      </c>
      <c r="B2261" t="s">
        <v>6806</v>
      </c>
      <c r="C2261" t="s">
        <v>4023</v>
      </c>
      <c r="D2261" t="s">
        <v>4024</v>
      </c>
      <c r="E2261">
        <v>6</v>
      </c>
      <c r="F2261" s="6">
        <v>700</v>
      </c>
      <c r="G2261" t="s">
        <v>6750</v>
      </c>
    </row>
    <row r="2262" spans="1:7">
      <c r="A2262" t="s">
        <v>3588</v>
      </c>
      <c r="B2262" t="s">
        <v>6807</v>
      </c>
      <c r="C2262" t="s">
        <v>3684</v>
      </c>
      <c r="D2262" t="s">
        <v>3685</v>
      </c>
      <c r="E2262">
        <v>6</v>
      </c>
      <c r="F2262" s="6">
        <v>750</v>
      </c>
      <c r="G2262" t="s">
        <v>4419</v>
      </c>
    </row>
    <row r="2263" spans="1:7">
      <c r="A2263" t="s">
        <v>6808</v>
      </c>
      <c r="B2263" t="s">
        <v>6809</v>
      </c>
      <c r="C2263" t="s">
        <v>4023</v>
      </c>
      <c r="D2263" t="s">
        <v>4024</v>
      </c>
      <c r="E2263">
        <v>6</v>
      </c>
      <c r="F2263" s="6">
        <v>1000</v>
      </c>
      <c r="G2263" t="s">
        <v>6750</v>
      </c>
    </row>
    <row r="2264" spans="1:7">
      <c r="A2264" t="s">
        <v>6810</v>
      </c>
      <c r="B2264" t="s">
        <v>6811</v>
      </c>
      <c r="C2264" t="s">
        <v>4023</v>
      </c>
      <c r="D2264" t="s">
        <v>4024</v>
      </c>
      <c r="E2264">
        <v>12</v>
      </c>
      <c r="F2264" s="6">
        <v>1000</v>
      </c>
      <c r="G2264" t="s">
        <v>6750</v>
      </c>
    </row>
    <row r="2265" spans="1:7">
      <c r="A2265" t="s">
        <v>6812</v>
      </c>
      <c r="B2265" t="s">
        <v>6813</v>
      </c>
      <c r="C2265" t="s">
        <v>4023</v>
      </c>
      <c r="D2265" t="s">
        <v>4024</v>
      </c>
      <c r="E2265">
        <v>6</v>
      </c>
      <c r="F2265" s="6">
        <v>750</v>
      </c>
      <c r="G2265" t="s">
        <v>3735</v>
      </c>
    </row>
    <row r="2266" spans="1:7">
      <c r="A2266" t="s">
        <v>6814</v>
      </c>
      <c r="B2266" t="s">
        <v>6815</v>
      </c>
      <c r="C2266" t="s">
        <v>4591</v>
      </c>
      <c r="D2266" t="s">
        <v>4592</v>
      </c>
      <c r="E2266">
        <v>12</v>
      </c>
      <c r="F2266" s="6">
        <v>750</v>
      </c>
      <c r="G2266" t="s">
        <v>3931</v>
      </c>
    </row>
    <row r="2267" spans="1:7">
      <c r="A2267" t="s">
        <v>165</v>
      </c>
      <c r="B2267" t="s">
        <v>6816</v>
      </c>
      <c r="C2267" t="s">
        <v>4591</v>
      </c>
      <c r="D2267" t="s">
        <v>4592</v>
      </c>
      <c r="E2267">
        <v>48</v>
      </c>
      <c r="F2267" s="6">
        <v>100</v>
      </c>
      <c r="G2267" t="s">
        <v>3686</v>
      </c>
    </row>
    <row r="2268" spans="1:7">
      <c r="A2268" t="s">
        <v>3324</v>
      </c>
      <c r="B2268" t="s">
        <v>6817</v>
      </c>
      <c r="C2268" t="s">
        <v>4591</v>
      </c>
      <c r="D2268" t="s">
        <v>4592</v>
      </c>
      <c r="E2268">
        <v>24</v>
      </c>
      <c r="F2268" s="6">
        <v>200</v>
      </c>
      <c r="G2268" t="s">
        <v>3931</v>
      </c>
    </row>
    <row r="2269" spans="1:7">
      <c r="A2269" t="s">
        <v>861</v>
      </c>
      <c r="B2269" t="s">
        <v>6817</v>
      </c>
      <c r="C2269" t="s">
        <v>4591</v>
      </c>
      <c r="D2269" t="s">
        <v>4592</v>
      </c>
      <c r="E2269">
        <v>24</v>
      </c>
      <c r="F2269" s="6">
        <v>375</v>
      </c>
      <c r="G2269" t="s">
        <v>3931</v>
      </c>
    </row>
    <row r="2270" spans="1:7">
      <c r="A2270" t="s">
        <v>1506</v>
      </c>
      <c r="B2270" t="s">
        <v>6817</v>
      </c>
      <c r="C2270" t="s">
        <v>4591</v>
      </c>
      <c r="D2270" t="s">
        <v>4592</v>
      </c>
      <c r="E2270">
        <v>12</v>
      </c>
      <c r="F2270" s="6">
        <v>750</v>
      </c>
      <c r="G2270" t="s">
        <v>3931</v>
      </c>
    </row>
    <row r="2271" spans="1:7">
      <c r="A2271" t="s">
        <v>2227</v>
      </c>
      <c r="B2271" t="s">
        <v>6818</v>
      </c>
      <c r="C2271" t="s">
        <v>4591</v>
      </c>
      <c r="D2271" t="s">
        <v>4592</v>
      </c>
      <c r="E2271">
        <v>12</v>
      </c>
      <c r="F2271" s="6">
        <v>1000</v>
      </c>
      <c r="G2271" t="s">
        <v>3931</v>
      </c>
    </row>
    <row r="2272" spans="1:7">
      <c r="A2272" t="s">
        <v>561</v>
      </c>
      <c r="B2272" t="s">
        <v>6817</v>
      </c>
      <c r="C2272" t="s">
        <v>4591</v>
      </c>
      <c r="D2272" t="s">
        <v>4592</v>
      </c>
      <c r="E2272">
        <v>6</v>
      </c>
      <c r="F2272" s="6">
        <v>1750</v>
      </c>
      <c r="G2272" t="s">
        <v>3931</v>
      </c>
    </row>
    <row r="2273" spans="1:7">
      <c r="A2273" t="s">
        <v>1533</v>
      </c>
      <c r="B2273" t="s">
        <v>6819</v>
      </c>
      <c r="C2273" t="s">
        <v>4591</v>
      </c>
      <c r="D2273" t="s">
        <v>4592</v>
      </c>
      <c r="E2273">
        <v>12</v>
      </c>
      <c r="F2273" s="6">
        <v>1000</v>
      </c>
      <c r="G2273" t="s">
        <v>3931</v>
      </c>
    </row>
    <row r="2274" spans="1:7">
      <c r="A2274" t="s">
        <v>2299</v>
      </c>
      <c r="B2274" t="s">
        <v>6820</v>
      </c>
      <c r="C2274" t="s">
        <v>3684</v>
      </c>
      <c r="D2274" t="s">
        <v>3685</v>
      </c>
      <c r="E2274">
        <v>6</v>
      </c>
      <c r="F2274" s="6">
        <v>750</v>
      </c>
      <c r="G2274" t="s">
        <v>3730</v>
      </c>
    </row>
    <row r="2275" spans="1:7">
      <c r="A2275" t="s">
        <v>653</v>
      </c>
      <c r="B2275" t="s">
        <v>6821</v>
      </c>
      <c r="C2275" t="s">
        <v>4084</v>
      </c>
      <c r="D2275" t="s">
        <v>4085</v>
      </c>
      <c r="E2275">
        <v>6</v>
      </c>
      <c r="F2275" s="6">
        <v>750</v>
      </c>
      <c r="G2275" t="s">
        <v>6746</v>
      </c>
    </row>
    <row r="2276" spans="1:7">
      <c r="A2276" t="s">
        <v>3644</v>
      </c>
      <c r="B2276" t="s">
        <v>6822</v>
      </c>
      <c r="C2276" t="s">
        <v>3679</v>
      </c>
      <c r="D2276" t="s">
        <v>3680</v>
      </c>
      <c r="E2276">
        <v>6</v>
      </c>
      <c r="F2276" s="6">
        <v>750</v>
      </c>
      <c r="G2276" t="s">
        <v>3716</v>
      </c>
    </row>
    <row r="2277" spans="1:7">
      <c r="A2277" t="s">
        <v>6823</v>
      </c>
      <c r="B2277" t="s">
        <v>6824</v>
      </c>
      <c r="C2277" t="s">
        <v>4591</v>
      </c>
      <c r="D2277" t="s">
        <v>4592</v>
      </c>
      <c r="E2277">
        <v>6</v>
      </c>
      <c r="F2277" s="6">
        <v>1750</v>
      </c>
      <c r="G2277" t="s">
        <v>3763</v>
      </c>
    </row>
    <row r="2278" spans="1:7">
      <c r="A2278" t="s">
        <v>1928</v>
      </c>
      <c r="B2278" t="s">
        <v>6824</v>
      </c>
      <c r="C2278" t="s">
        <v>4591</v>
      </c>
      <c r="D2278" t="s">
        <v>4592</v>
      </c>
      <c r="E2278">
        <v>12</v>
      </c>
      <c r="F2278" s="6">
        <v>750</v>
      </c>
      <c r="G2278" t="s">
        <v>3763</v>
      </c>
    </row>
    <row r="2279" spans="1:7">
      <c r="A2279" t="s">
        <v>1555</v>
      </c>
      <c r="B2279" t="s">
        <v>6825</v>
      </c>
      <c r="C2279" t="s">
        <v>4591</v>
      </c>
      <c r="D2279" t="s">
        <v>4592</v>
      </c>
      <c r="E2279">
        <v>10</v>
      </c>
      <c r="F2279" s="6">
        <v>50</v>
      </c>
      <c r="G2279" t="s">
        <v>3763</v>
      </c>
    </row>
    <row r="2280" spans="1:7">
      <c r="A2280" t="s">
        <v>517</v>
      </c>
      <c r="B2280" t="s">
        <v>6826</v>
      </c>
      <c r="C2280" t="s">
        <v>4591</v>
      </c>
      <c r="D2280" t="s">
        <v>4592</v>
      </c>
      <c r="E2280">
        <v>24</v>
      </c>
      <c r="F2280" s="6">
        <v>200</v>
      </c>
      <c r="G2280" t="s">
        <v>3763</v>
      </c>
    </row>
    <row r="2281" spans="1:7">
      <c r="A2281" t="s">
        <v>2045</v>
      </c>
      <c r="B2281" t="s">
        <v>6826</v>
      </c>
      <c r="C2281" t="s">
        <v>4591</v>
      </c>
      <c r="D2281" t="s">
        <v>4592</v>
      </c>
      <c r="E2281">
        <v>24</v>
      </c>
      <c r="F2281" s="6">
        <v>375</v>
      </c>
      <c r="G2281" t="s">
        <v>3763</v>
      </c>
    </row>
    <row r="2282" spans="1:7">
      <c r="A2282" t="s">
        <v>1525</v>
      </c>
      <c r="B2282" t="s">
        <v>6826</v>
      </c>
      <c r="C2282" t="s">
        <v>4591</v>
      </c>
      <c r="D2282" t="s">
        <v>4592</v>
      </c>
      <c r="E2282">
        <v>12</v>
      </c>
      <c r="F2282" s="6">
        <v>750</v>
      </c>
      <c r="G2282" t="s">
        <v>3763</v>
      </c>
    </row>
    <row r="2283" spans="1:7">
      <c r="A2283" t="s">
        <v>457</v>
      </c>
      <c r="B2283" t="s">
        <v>6827</v>
      </c>
      <c r="C2283" t="s">
        <v>4591</v>
      </c>
      <c r="D2283" t="s">
        <v>4592</v>
      </c>
      <c r="E2283">
        <v>48</v>
      </c>
      <c r="F2283" s="6">
        <v>100</v>
      </c>
      <c r="G2283" t="s">
        <v>3763</v>
      </c>
    </row>
    <row r="2284" spans="1:7">
      <c r="A2284" t="s">
        <v>2246</v>
      </c>
      <c r="B2284" t="s">
        <v>6828</v>
      </c>
      <c r="C2284" t="s">
        <v>4591</v>
      </c>
      <c r="D2284" t="s">
        <v>4592</v>
      </c>
      <c r="E2284">
        <v>10</v>
      </c>
      <c r="F2284" s="6">
        <v>50</v>
      </c>
      <c r="G2284" t="s">
        <v>3763</v>
      </c>
    </row>
    <row r="2285" spans="1:7">
      <c r="A2285" t="s">
        <v>1706</v>
      </c>
      <c r="B2285" t="s">
        <v>6827</v>
      </c>
      <c r="C2285" t="s">
        <v>4591</v>
      </c>
      <c r="D2285" t="s">
        <v>4592</v>
      </c>
      <c r="E2285">
        <v>24</v>
      </c>
      <c r="F2285" s="6">
        <v>200</v>
      </c>
      <c r="G2285" t="s">
        <v>3763</v>
      </c>
    </row>
    <row r="2286" spans="1:7">
      <c r="A2286" t="s">
        <v>342</v>
      </c>
      <c r="B2286" t="s">
        <v>6827</v>
      </c>
      <c r="C2286" t="s">
        <v>4591</v>
      </c>
      <c r="D2286" t="s">
        <v>4592</v>
      </c>
      <c r="E2286">
        <v>24</v>
      </c>
      <c r="F2286" s="6">
        <v>375</v>
      </c>
      <c r="G2286" t="s">
        <v>3763</v>
      </c>
    </row>
    <row r="2287" spans="1:7">
      <c r="A2287" t="s">
        <v>2211</v>
      </c>
      <c r="B2287" t="s">
        <v>6829</v>
      </c>
      <c r="C2287" t="s">
        <v>4591</v>
      </c>
      <c r="D2287" t="s">
        <v>4592</v>
      </c>
      <c r="E2287">
        <v>12</v>
      </c>
      <c r="F2287" s="6">
        <v>750</v>
      </c>
      <c r="G2287" t="s">
        <v>3763</v>
      </c>
    </row>
    <row r="2288" spans="1:7">
      <c r="A2288" t="s">
        <v>1707</v>
      </c>
      <c r="B2288" t="s">
        <v>6827</v>
      </c>
      <c r="C2288" t="s">
        <v>4591</v>
      </c>
      <c r="D2288" t="s">
        <v>4592</v>
      </c>
      <c r="E2288">
        <v>12</v>
      </c>
      <c r="F2288" s="6">
        <v>750</v>
      </c>
      <c r="G2288" t="s">
        <v>3763</v>
      </c>
    </row>
    <row r="2289" spans="1:7">
      <c r="A2289" t="s">
        <v>489</v>
      </c>
      <c r="B2289" t="s">
        <v>6830</v>
      </c>
      <c r="C2289" t="s">
        <v>4591</v>
      </c>
      <c r="D2289" t="s">
        <v>4592</v>
      </c>
      <c r="E2289">
        <v>12</v>
      </c>
      <c r="F2289" s="6">
        <v>1000</v>
      </c>
      <c r="G2289" t="s">
        <v>3763</v>
      </c>
    </row>
    <row r="2290" spans="1:7">
      <c r="A2290" t="s">
        <v>2251</v>
      </c>
      <c r="B2290" t="s">
        <v>6827</v>
      </c>
      <c r="C2290" t="s">
        <v>4591</v>
      </c>
      <c r="D2290" t="s">
        <v>4592</v>
      </c>
      <c r="E2290">
        <v>6</v>
      </c>
      <c r="F2290" s="6">
        <v>1750</v>
      </c>
      <c r="G2290" t="s">
        <v>3763</v>
      </c>
    </row>
    <row r="2291" spans="1:7">
      <c r="A2291" t="s">
        <v>1499</v>
      </c>
      <c r="B2291" t="s">
        <v>6831</v>
      </c>
      <c r="C2291" t="s">
        <v>4591</v>
      </c>
      <c r="D2291" t="s">
        <v>4592</v>
      </c>
      <c r="E2291">
        <v>12</v>
      </c>
      <c r="F2291" s="6">
        <v>1000</v>
      </c>
      <c r="G2291" t="s">
        <v>3763</v>
      </c>
    </row>
    <row r="2292" spans="1:7">
      <c r="A2292" t="s">
        <v>590</v>
      </c>
      <c r="B2292" t="s">
        <v>6832</v>
      </c>
      <c r="C2292" t="s">
        <v>4591</v>
      </c>
      <c r="D2292" t="s">
        <v>4592</v>
      </c>
      <c r="E2292">
        <v>12</v>
      </c>
      <c r="F2292" s="6">
        <v>750</v>
      </c>
      <c r="G2292" t="s">
        <v>3694</v>
      </c>
    </row>
    <row r="2293" spans="1:7">
      <c r="A2293" t="s">
        <v>2322</v>
      </c>
      <c r="B2293" t="s">
        <v>6833</v>
      </c>
      <c r="C2293" t="s">
        <v>4591</v>
      </c>
      <c r="D2293" t="s">
        <v>4592</v>
      </c>
      <c r="E2293">
        <v>6</v>
      </c>
      <c r="F2293" s="6">
        <v>1750</v>
      </c>
      <c r="G2293" t="s">
        <v>3694</v>
      </c>
    </row>
    <row r="2294" spans="1:7">
      <c r="A2294" t="s">
        <v>2748</v>
      </c>
      <c r="B2294" t="s">
        <v>6834</v>
      </c>
      <c r="C2294" t="s">
        <v>4084</v>
      </c>
      <c r="D2294" t="s">
        <v>4085</v>
      </c>
      <c r="E2294">
        <v>6</v>
      </c>
      <c r="F2294" s="6">
        <v>750</v>
      </c>
      <c r="G2294" t="s">
        <v>3763</v>
      </c>
    </row>
    <row r="2295" spans="1:7">
      <c r="A2295" t="s">
        <v>6835</v>
      </c>
      <c r="B2295" t="s">
        <v>6836</v>
      </c>
      <c r="C2295" t="s">
        <v>3684</v>
      </c>
      <c r="D2295" t="s">
        <v>3685</v>
      </c>
      <c r="E2295">
        <v>6</v>
      </c>
      <c r="F2295" s="6">
        <v>1750</v>
      </c>
      <c r="G2295" t="s">
        <v>3730</v>
      </c>
    </row>
    <row r="2296" spans="1:7">
      <c r="A2296" t="s">
        <v>628</v>
      </c>
      <c r="B2296" t="s">
        <v>6836</v>
      </c>
      <c r="C2296" t="s">
        <v>3684</v>
      </c>
      <c r="D2296" t="s">
        <v>3685</v>
      </c>
      <c r="E2296">
        <v>12</v>
      </c>
      <c r="F2296" s="6">
        <v>1000</v>
      </c>
      <c r="G2296" t="s">
        <v>3730</v>
      </c>
    </row>
    <row r="2297" spans="1:7">
      <c r="A2297" t="s">
        <v>3306</v>
      </c>
      <c r="B2297" t="s">
        <v>6837</v>
      </c>
      <c r="C2297" t="s">
        <v>3679</v>
      </c>
      <c r="D2297" t="s">
        <v>3680</v>
      </c>
      <c r="E2297">
        <v>6</v>
      </c>
      <c r="F2297" s="6">
        <v>750</v>
      </c>
      <c r="G2297" t="s">
        <v>3705</v>
      </c>
    </row>
    <row r="2298" spans="1:7">
      <c r="A2298" t="s">
        <v>2413</v>
      </c>
      <c r="B2298" t="s">
        <v>6836</v>
      </c>
      <c r="C2298" t="s">
        <v>3684</v>
      </c>
      <c r="D2298" t="s">
        <v>3685</v>
      </c>
      <c r="E2298">
        <v>12</v>
      </c>
      <c r="F2298" s="6">
        <v>750</v>
      </c>
      <c r="G2298" t="s">
        <v>3730</v>
      </c>
    </row>
    <row r="2299" spans="1:7">
      <c r="A2299" t="s">
        <v>2196</v>
      </c>
      <c r="B2299" t="s">
        <v>6838</v>
      </c>
      <c r="C2299" t="s">
        <v>3684</v>
      </c>
      <c r="D2299" t="s">
        <v>3685</v>
      </c>
      <c r="E2299">
        <v>6</v>
      </c>
      <c r="F2299" s="6">
        <v>750</v>
      </c>
      <c r="G2299" t="s">
        <v>3730</v>
      </c>
    </row>
    <row r="2300" spans="1:7">
      <c r="A2300" t="s">
        <v>654</v>
      </c>
      <c r="B2300" t="s">
        <v>6839</v>
      </c>
      <c r="C2300" t="s">
        <v>4591</v>
      </c>
      <c r="D2300" t="s">
        <v>4592</v>
      </c>
      <c r="E2300">
        <v>12</v>
      </c>
      <c r="F2300" s="6">
        <v>750</v>
      </c>
      <c r="G2300" t="s">
        <v>3686</v>
      </c>
    </row>
    <row r="2301" spans="1:7">
      <c r="A2301" t="s">
        <v>1958</v>
      </c>
      <c r="B2301" t="s">
        <v>6840</v>
      </c>
      <c r="C2301" t="s">
        <v>4591</v>
      </c>
      <c r="D2301" t="s">
        <v>4592</v>
      </c>
      <c r="E2301">
        <v>12</v>
      </c>
      <c r="F2301" s="6">
        <v>50</v>
      </c>
      <c r="G2301" t="s">
        <v>3686</v>
      </c>
    </row>
    <row r="2302" spans="1:7">
      <c r="A2302" t="s">
        <v>6841</v>
      </c>
      <c r="B2302" t="s">
        <v>6816</v>
      </c>
      <c r="C2302" t="s">
        <v>4591</v>
      </c>
      <c r="D2302" t="s">
        <v>4592</v>
      </c>
      <c r="E2302">
        <v>24</v>
      </c>
      <c r="F2302" s="6">
        <v>200</v>
      </c>
      <c r="G2302" t="s">
        <v>3686</v>
      </c>
    </row>
    <row r="2303" spans="1:7">
      <c r="A2303" t="s">
        <v>258</v>
      </c>
      <c r="B2303" t="s">
        <v>6816</v>
      </c>
      <c r="C2303" t="s">
        <v>4591</v>
      </c>
      <c r="D2303" t="s">
        <v>4592</v>
      </c>
      <c r="E2303">
        <v>24</v>
      </c>
      <c r="F2303" s="6">
        <v>375</v>
      </c>
      <c r="G2303" t="s">
        <v>3686</v>
      </c>
    </row>
    <row r="2304" spans="1:7">
      <c r="A2304" t="s">
        <v>1763</v>
      </c>
      <c r="B2304" t="s">
        <v>6816</v>
      </c>
      <c r="C2304" t="s">
        <v>4591</v>
      </c>
      <c r="D2304" t="s">
        <v>4592</v>
      </c>
      <c r="E2304">
        <v>12</v>
      </c>
      <c r="F2304" s="6">
        <v>750</v>
      </c>
      <c r="G2304" t="s">
        <v>3686</v>
      </c>
    </row>
    <row r="2305" spans="1:7">
      <c r="A2305" t="s">
        <v>769</v>
      </c>
      <c r="B2305" t="s">
        <v>6816</v>
      </c>
      <c r="C2305" t="s">
        <v>4591</v>
      </c>
      <c r="D2305" t="s">
        <v>4592</v>
      </c>
      <c r="E2305">
        <v>6</v>
      </c>
      <c r="F2305" s="6">
        <v>1750</v>
      </c>
      <c r="G2305" t="s">
        <v>3686</v>
      </c>
    </row>
    <row r="2306" spans="1:7">
      <c r="A2306" t="s">
        <v>1096</v>
      </c>
      <c r="B2306" t="s">
        <v>6842</v>
      </c>
      <c r="C2306" t="s">
        <v>3684</v>
      </c>
      <c r="D2306" t="s">
        <v>3685</v>
      </c>
      <c r="E2306">
        <v>24</v>
      </c>
      <c r="F2306" s="6">
        <v>375</v>
      </c>
      <c r="G2306" t="s">
        <v>3730</v>
      </c>
    </row>
    <row r="2307" spans="1:7">
      <c r="A2307" t="s">
        <v>1893</v>
      </c>
      <c r="B2307" t="s">
        <v>6842</v>
      </c>
      <c r="C2307" t="s">
        <v>3684</v>
      </c>
      <c r="D2307" t="s">
        <v>3685</v>
      </c>
      <c r="E2307">
        <v>12</v>
      </c>
      <c r="F2307" s="6">
        <v>750</v>
      </c>
      <c r="G2307" t="s">
        <v>3730</v>
      </c>
    </row>
    <row r="2308" spans="1:7">
      <c r="A2308" t="s">
        <v>518</v>
      </c>
      <c r="B2308" t="s">
        <v>6842</v>
      </c>
      <c r="C2308" t="s">
        <v>3684</v>
      </c>
      <c r="D2308" t="s">
        <v>3685</v>
      </c>
      <c r="E2308">
        <v>12</v>
      </c>
      <c r="F2308" s="6">
        <v>1000</v>
      </c>
      <c r="G2308" t="s">
        <v>3730</v>
      </c>
    </row>
    <row r="2309" spans="1:7">
      <c r="A2309" t="s">
        <v>1252</v>
      </c>
      <c r="B2309" t="s">
        <v>6843</v>
      </c>
      <c r="C2309" t="s">
        <v>3684</v>
      </c>
      <c r="D2309" t="s">
        <v>3685</v>
      </c>
      <c r="E2309">
        <v>6</v>
      </c>
      <c r="F2309" s="6">
        <v>750</v>
      </c>
      <c r="G2309" t="s">
        <v>3730</v>
      </c>
    </row>
    <row r="2310" spans="1:7">
      <c r="A2310" t="s">
        <v>2560</v>
      </c>
      <c r="B2310" t="s">
        <v>6842</v>
      </c>
      <c r="C2310" t="s">
        <v>3684</v>
      </c>
      <c r="D2310" t="s">
        <v>3685</v>
      </c>
      <c r="E2310">
        <v>6</v>
      </c>
      <c r="F2310" s="6">
        <v>1750</v>
      </c>
      <c r="G2310" t="s">
        <v>3730</v>
      </c>
    </row>
    <row r="2311" spans="1:7">
      <c r="A2311" t="s">
        <v>6844</v>
      </c>
      <c r="B2311" t="s">
        <v>6845</v>
      </c>
      <c r="C2311" t="s">
        <v>4591</v>
      </c>
      <c r="D2311" t="s">
        <v>4592</v>
      </c>
      <c r="E2311">
        <v>12</v>
      </c>
      <c r="F2311" s="6">
        <v>375</v>
      </c>
      <c r="G2311" t="s">
        <v>5273</v>
      </c>
    </row>
    <row r="2312" spans="1:7">
      <c r="A2312" t="s">
        <v>638</v>
      </c>
      <c r="B2312" t="s">
        <v>6846</v>
      </c>
      <c r="C2312" t="s">
        <v>3684</v>
      </c>
      <c r="D2312" t="s">
        <v>3685</v>
      </c>
      <c r="E2312">
        <v>24</v>
      </c>
      <c r="F2312" s="6">
        <v>375</v>
      </c>
      <c r="G2312" t="s">
        <v>3730</v>
      </c>
    </row>
    <row r="2313" spans="1:7">
      <c r="A2313" t="s">
        <v>2250</v>
      </c>
      <c r="B2313" t="s">
        <v>6846</v>
      </c>
      <c r="C2313" t="s">
        <v>3684</v>
      </c>
      <c r="D2313" t="s">
        <v>3685</v>
      </c>
      <c r="E2313">
        <v>12</v>
      </c>
      <c r="F2313" s="6">
        <v>750</v>
      </c>
      <c r="G2313" t="s">
        <v>3730</v>
      </c>
    </row>
    <row r="2314" spans="1:7">
      <c r="A2314" t="s">
        <v>1237</v>
      </c>
      <c r="B2314" t="s">
        <v>6846</v>
      </c>
      <c r="C2314" t="s">
        <v>3684</v>
      </c>
      <c r="D2314" t="s">
        <v>3685</v>
      </c>
      <c r="E2314">
        <v>12</v>
      </c>
      <c r="F2314" s="6">
        <v>1000</v>
      </c>
      <c r="G2314" t="s">
        <v>3730</v>
      </c>
    </row>
    <row r="2315" spans="1:7">
      <c r="A2315" t="s">
        <v>351</v>
      </c>
      <c r="B2315" t="s">
        <v>6846</v>
      </c>
      <c r="C2315" t="s">
        <v>3684</v>
      </c>
      <c r="D2315" t="s">
        <v>3685</v>
      </c>
      <c r="E2315">
        <v>6</v>
      </c>
      <c r="F2315" s="6">
        <v>1750</v>
      </c>
      <c r="G2315" t="s">
        <v>3730</v>
      </c>
    </row>
    <row r="2316" spans="1:7">
      <c r="A2316" t="s">
        <v>2768</v>
      </c>
      <c r="B2316" t="s">
        <v>6847</v>
      </c>
      <c r="C2316" t="s">
        <v>3684</v>
      </c>
      <c r="D2316" t="s">
        <v>3685</v>
      </c>
      <c r="E2316">
        <v>6</v>
      </c>
      <c r="F2316" s="6">
        <v>750</v>
      </c>
      <c r="G2316" t="s">
        <v>3730</v>
      </c>
    </row>
    <row r="2317" spans="1:7">
      <c r="A2317" t="s">
        <v>6848</v>
      </c>
      <c r="B2317" t="s">
        <v>6849</v>
      </c>
      <c r="C2317" t="s">
        <v>3808</v>
      </c>
      <c r="D2317" t="s">
        <v>3809</v>
      </c>
      <c r="E2317">
        <v>6</v>
      </c>
      <c r="F2317" s="6">
        <v>1750</v>
      </c>
      <c r="G2317" t="s">
        <v>3763</v>
      </c>
    </row>
    <row r="2318" spans="1:7">
      <c r="A2318" t="s">
        <v>1481</v>
      </c>
      <c r="B2318" t="s">
        <v>6849</v>
      </c>
      <c r="C2318" t="s">
        <v>3808</v>
      </c>
      <c r="D2318" t="s">
        <v>3809</v>
      </c>
      <c r="E2318">
        <v>12</v>
      </c>
      <c r="F2318" s="6">
        <v>750</v>
      </c>
      <c r="G2318" t="s">
        <v>3763</v>
      </c>
    </row>
    <row r="2319" spans="1:7">
      <c r="A2319" t="s">
        <v>873</v>
      </c>
      <c r="B2319" t="s">
        <v>6850</v>
      </c>
      <c r="C2319" t="s">
        <v>4591</v>
      </c>
      <c r="D2319" t="s">
        <v>4592</v>
      </c>
      <c r="E2319">
        <v>6</v>
      </c>
      <c r="F2319" s="6">
        <v>750</v>
      </c>
      <c r="G2319" t="s">
        <v>4438</v>
      </c>
    </row>
    <row r="2320" spans="1:7">
      <c r="A2320" t="s">
        <v>2546</v>
      </c>
      <c r="B2320" t="s">
        <v>6851</v>
      </c>
      <c r="C2320" t="s">
        <v>4591</v>
      </c>
      <c r="D2320" t="s">
        <v>4592</v>
      </c>
      <c r="E2320">
        <v>12</v>
      </c>
      <c r="F2320" s="6">
        <v>750</v>
      </c>
      <c r="G2320" t="s">
        <v>3686</v>
      </c>
    </row>
    <row r="2321" spans="1:7">
      <c r="A2321" t="s">
        <v>6852</v>
      </c>
      <c r="B2321" t="s">
        <v>6853</v>
      </c>
      <c r="C2321" t="s">
        <v>4591</v>
      </c>
      <c r="D2321" t="s">
        <v>4592</v>
      </c>
      <c r="E2321">
        <v>12</v>
      </c>
      <c r="F2321" s="6">
        <v>750</v>
      </c>
      <c r="G2321" t="s">
        <v>3686</v>
      </c>
    </row>
    <row r="2322" spans="1:7">
      <c r="A2322" t="s">
        <v>6854</v>
      </c>
      <c r="B2322" t="s">
        <v>6855</v>
      </c>
      <c r="C2322" t="s">
        <v>4084</v>
      </c>
      <c r="D2322" t="s">
        <v>4085</v>
      </c>
      <c r="E2322">
        <v>6</v>
      </c>
      <c r="F2322" s="6">
        <v>750</v>
      </c>
      <c r="G2322" t="s">
        <v>3716</v>
      </c>
    </row>
    <row r="2323" spans="1:7">
      <c r="A2323" t="s">
        <v>6856</v>
      </c>
      <c r="B2323" t="s">
        <v>6857</v>
      </c>
      <c r="C2323" t="s">
        <v>4591</v>
      </c>
      <c r="D2323" t="s">
        <v>4592</v>
      </c>
      <c r="E2323">
        <v>12</v>
      </c>
      <c r="F2323" s="6">
        <v>750</v>
      </c>
      <c r="G2323" t="s">
        <v>4163</v>
      </c>
    </row>
    <row r="2324" spans="1:7">
      <c r="A2324" t="s">
        <v>6858</v>
      </c>
      <c r="B2324" t="s">
        <v>6857</v>
      </c>
      <c r="C2324" t="s">
        <v>4591</v>
      </c>
      <c r="D2324" t="s">
        <v>4592</v>
      </c>
      <c r="E2324">
        <v>12</v>
      </c>
      <c r="F2324" s="6">
        <v>1000</v>
      </c>
      <c r="G2324" t="s">
        <v>4163</v>
      </c>
    </row>
    <row r="2325" spans="1:7">
      <c r="A2325" t="s">
        <v>1446</v>
      </c>
      <c r="B2325" t="s">
        <v>6859</v>
      </c>
      <c r="C2325" t="s">
        <v>4084</v>
      </c>
      <c r="D2325" t="s">
        <v>4085</v>
      </c>
      <c r="E2325">
        <v>12</v>
      </c>
      <c r="F2325" s="6">
        <v>750</v>
      </c>
      <c r="G2325" t="s">
        <v>3730</v>
      </c>
    </row>
    <row r="2326" spans="1:7">
      <c r="A2326" t="s">
        <v>6860</v>
      </c>
      <c r="B2326" t="s">
        <v>6861</v>
      </c>
      <c r="C2326" t="s">
        <v>4591</v>
      </c>
      <c r="D2326" t="s">
        <v>4592</v>
      </c>
      <c r="E2326">
        <v>24</v>
      </c>
      <c r="F2326" s="6">
        <v>375</v>
      </c>
      <c r="G2326" t="s">
        <v>3686</v>
      </c>
    </row>
    <row r="2327" spans="1:7">
      <c r="A2327" t="s">
        <v>235</v>
      </c>
      <c r="B2327" t="s">
        <v>6861</v>
      </c>
      <c r="C2327" t="s">
        <v>4591</v>
      </c>
      <c r="D2327" t="s">
        <v>4592</v>
      </c>
      <c r="E2327">
        <v>12</v>
      </c>
      <c r="F2327" s="6">
        <v>750</v>
      </c>
      <c r="G2327" t="s">
        <v>3686</v>
      </c>
    </row>
    <row r="2328" spans="1:7">
      <c r="A2328" t="s">
        <v>6862</v>
      </c>
      <c r="B2328" t="s">
        <v>6861</v>
      </c>
      <c r="C2328" t="s">
        <v>4591</v>
      </c>
      <c r="D2328" t="s">
        <v>4592</v>
      </c>
      <c r="E2328">
        <v>6</v>
      </c>
      <c r="F2328" s="6">
        <v>1750</v>
      </c>
      <c r="G2328" t="s">
        <v>3686</v>
      </c>
    </row>
    <row r="2329" spans="1:7">
      <c r="A2329" t="s">
        <v>6863</v>
      </c>
      <c r="B2329" t="s">
        <v>6864</v>
      </c>
      <c r="C2329" t="s">
        <v>4591</v>
      </c>
      <c r="D2329" t="s">
        <v>4592</v>
      </c>
      <c r="E2329">
        <v>12</v>
      </c>
      <c r="F2329" s="6">
        <v>750</v>
      </c>
      <c r="G2329" t="s">
        <v>4163</v>
      </c>
    </row>
    <row r="2330" spans="1:7">
      <c r="A2330" t="s">
        <v>1391</v>
      </c>
      <c r="B2330" t="s">
        <v>6864</v>
      </c>
      <c r="C2330" t="s">
        <v>4591</v>
      </c>
      <c r="D2330" t="s">
        <v>4592</v>
      </c>
      <c r="E2330">
        <v>12</v>
      </c>
      <c r="F2330" s="6">
        <v>1000</v>
      </c>
      <c r="G2330" t="s">
        <v>4163</v>
      </c>
    </row>
    <row r="2331" spans="1:7">
      <c r="A2331" t="s">
        <v>1692</v>
      </c>
      <c r="B2331" t="s">
        <v>6864</v>
      </c>
      <c r="C2331" t="s">
        <v>4591</v>
      </c>
      <c r="D2331" t="s">
        <v>4592</v>
      </c>
      <c r="E2331">
        <v>6</v>
      </c>
      <c r="F2331" s="6">
        <v>1750</v>
      </c>
      <c r="G2331" t="s">
        <v>4163</v>
      </c>
    </row>
    <row r="2332" spans="1:7">
      <c r="A2332" t="s">
        <v>668</v>
      </c>
      <c r="B2332" t="s">
        <v>6865</v>
      </c>
      <c r="C2332" t="s">
        <v>4084</v>
      </c>
      <c r="D2332" t="s">
        <v>4085</v>
      </c>
      <c r="E2332">
        <v>12</v>
      </c>
      <c r="F2332" s="6">
        <v>750</v>
      </c>
      <c r="G2332" t="s">
        <v>3716</v>
      </c>
    </row>
    <row r="2333" spans="1:7">
      <c r="A2333" t="s">
        <v>1418</v>
      </c>
      <c r="B2333" t="s">
        <v>6866</v>
      </c>
      <c r="C2333" t="s">
        <v>4591</v>
      </c>
      <c r="D2333" t="s">
        <v>4592</v>
      </c>
      <c r="E2333">
        <v>12</v>
      </c>
      <c r="F2333" s="6">
        <v>750</v>
      </c>
      <c r="G2333" t="s">
        <v>4163</v>
      </c>
    </row>
    <row r="2334" spans="1:7">
      <c r="A2334" t="s">
        <v>1853</v>
      </c>
      <c r="B2334" t="s">
        <v>6866</v>
      </c>
      <c r="C2334" t="s">
        <v>4591</v>
      </c>
      <c r="D2334" t="s">
        <v>4592</v>
      </c>
      <c r="E2334">
        <v>12</v>
      </c>
      <c r="F2334" s="6">
        <v>1000</v>
      </c>
      <c r="G2334" t="s">
        <v>4163</v>
      </c>
    </row>
    <row r="2335" spans="1:7">
      <c r="A2335" t="s">
        <v>2357</v>
      </c>
      <c r="B2335" t="s">
        <v>6867</v>
      </c>
      <c r="C2335" t="s">
        <v>4591</v>
      </c>
      <c r="D2335" t="s">
        <v>4592</v>
      </c>
      <c r="E2335">
        <v>12</v>
      </c>
      <c r="F2335" s="6">
        <v>750</v>
      </c>
      <c r="G2335" t="s">
        <v>3716</v>
      </c>
    </row>
    <row r="2336" spans="1:7">
      <c r="A2336" t="s">
        <v>6868</v>
      </c>
      <c r="B2336" t="s">
        <v>6869</v>
      </c>
      <c r="C2336" t="s">
        <v>4084</v>
      </c>
      <c r="D2336" t="s">
        <v>4085</v>
      </c>
      <c r="E2336">
        <v>12</v>
      </c>
      <c r="F2336" s="6">
        <v>750</v>
      </c>
      <c r="G2336" t="s">
        <v>6746</v>
      </c>
    </row>
    <row r="2337" spans="1:7">
      <c r="A2337" t="s">
        <v>6870</v>
      </c>
      <c r="B2337" t="s">
        <v>6871</v>
      </c>
      <c r="C2337" t="s">
        <v>4591</v>
      </c>
      <c r="D2337" t="s">
        <v>4592</v>
      </c>
      <c r="E2337">
        <v>12</v>
      </c>
      <c r="F2337" s="6">
        <v>750</v>
      </c>
      <c r="G2337" t="s">
        <v>4300</v>
      </c>
    </row>
    <row r="2338" spans="1:7">
      <c r="A2338" t="s">
        <v>1206</v>
      </c>
      <c r="B2338" t="s">
        <v>6872</v>
      </c>
      <c r="C2338" t="s">
        <v>4591</v>
      </c>
      <c r="D2338" t="s">
        <v>4592</v>
      </c>
      <c r="E2338">
        <v>10</v>
      </c>
      <c r="F2338" s="6">
        <v>50</v>
      </c>
      <c r="G2338" t="s">
        <v>3686</v>
      </c>
    </row>
    <row r="2339" spans="1:7">
      <c r="A2339" t="s">
        <v>6873</v>
      </c>
      <c r="B2339" t="s">
        <v>6874</v>
      </c>
      <c r="C2339" t="s">
        <v>4591</v>
      </c>
      <c r="D2339" t="s">
        <v>4592</v>
      </c>
      <c r="E2339">
        <v>48</v>
      </c>
      <c r="F2339" s="6">
        <v>100</v>
      </c>
      <c r="G2339" t="s">
        <v>3686</v>
      </c>
    </row>
    <row r="2340" spans="1:7">
      <c r="A2340" t="s">
        <v>6875</v>
      </c>
      <c r="B2340" t="s">
        <v>6874</v>
      </c>
      <c r="C2340" t="s">
        <v>4591</v>
      </c>
      <c r="D2340" t="s">
        <v>4592</v>
      </c>
      <c r="E2340">
        <v>24</v>
      </c>
      <c r="F2340" s="6">
        <v>375</v>
      </c>
      <c r="G2340" t="s">
        <v>3686</v>
      </c>
    </row>
    <row r="2341" spans="1:7">
      <c r="A2341" t="s">
        <v>639</v>
      </c>
      <c r="B2341" t="s">
        <v>6874</v>
      </c>
      <c r="C2341" t="s">
        <v>4591</v>
      </c>
      <c r="D2341" t="s">
        <v>4592</v>
      </c>
      <c r="E2341">
        <v>12</v>
      </c>
      <c r="F2341" s="6">
        <v>750</v>
      </c>
      <c r="G2341" t="s">
        <v>3686</v>
      </c>
    </row>
    <row r="2342" spans="1:7">
      <c r="A2342" t="s">
        <v>6876</v>
      </c>
      <c r="B2342" t="s">
        <v>6874</v>
      </c>
      <c r="C2342" t="s">
        <v>4591</v>
      </c>
      <c r="D2342" t="s">
        <v>4592</v>
      </c>
      <c r="E2342">
        <v>12</v>
      </c>
      <c r="F2342" s="6">
        <v>1000</v>
      </c>
      <c r="G2342" t="s">
        <v>3686</v>
      </c>
    </row>
    <row r="2343" spans="1:7">
      <c r="A2343" t="s">
        <v>2440</v>
      </c>
      <c r="B2343" t="s">
        <v>6874</v>
      </c>
      <c r="C2343" t="s">
        <v>4591</v>
      </c>
      <c r="D2343" t="s">
        <v>4592</v>
      </c>
      <c r="E2343">
        <v>6</v>
      </c>
      <c r="F2343" s="6">
        <v>1750</v>
      </c>
      <c r="G2343" t="s">
        <v>3686</v>
      </c>
    </row>
    <row r="2344" spans="1:7">
      <c r="A2344" t="s">
        <v>1548</v>
      </c>
      <c r="B2344" t="s">
        <v>6877</v>
      </c>
      <c r="C2344" t="s">
        <v>4591</v>
      </c>
      <c r="D2344" t="s">
        <v>4592</v>
      </c>
      <c r="E2344">
        <v>24</v>
      </c>
      <c r="F2344" s="6">
        <v>375</v>
      </c>
      <c r="G2344" t="s">
        <v>4163</v>
      </c>
    </row>
    <row r="2345" spans="1:7">
      <c r="A2345" t="s">
        <v>2024</v>
      </c>
      <c r="B2345" t="s">
        <v>6877</v>
      </c>
      <c r="C2345" t="s">
        <v>4591</v>
      </c>
      <c r="D2345" t="s">
        <v>4592</v>
      </c>
      <c r="E2345">
        <v>12</v>
      </c>
      <c r="F2345" s="6">
        <v>750</v>
      </c>
      <c r="G2345" t="s">
        <v>4163</v>
      </c>
    </row>
    <row r="2346" spans="1:7">
      <c r="A2346" t="s">
        <v>1708</v>
      </c>
      <c r="B2346" t="s">
        <v>6877</v>
      </c>
      <c r="C2346" t="s">
        <v>4591</v>
      </c>
      <c r="D2346" t="s">
        <v>4592</v>
      </c>
      <c r="E2346">
        <v>12</v>
      </c>
      <c r="F2346" s="6">
        <v>1000</v>
      </c>
      <c r="G2346" t="s">
        <v>4163</v>
      </c>
    </row>
    <row r="2347" spans="1:7">
      <c r="A2347" t="s">
        <v>841</v>
      </c>
      <c r="B2347" t="s">
        <v>6877</v>
      </c>
      <c r="C2347" t="s">
        <v>4591</v>
      </c>
      <c r="D2347" t="s">
        <v>4592</v>
      </c>
      <c r="E2347">
        <v>6</v>
      </c>
      <c r="F2347" s="6">
        <v>1750</v>
      </c>
      <c r="G2347" t="s">
        <v>4163</v>
      </c>
    </row>
    <row r="2348" spans="1:7">
      <c r="A2348" t="s">
        <v>3239</v>
      </c>
      <c r="B2348" t="s">
        <v>6878</v>
      </c>
      <c r="C2348" t="s">
        <v>4591</v>
      </c>
      <c r="D2348" t="s">
        <v>4592</v>
      </c>
      <c r="E2348">
        <v>12</v>
      </c>
      <c r="F2348" s="6">
        <v>750</v>
      </c>
      <c r="G2348" t="s">
        <v>4300</v>
      </c>
    </row>
    <row r="2349" spans="1:7">
      <c r="A2349" t="s">
        <v>1672</v>
      </c>
      <c r="B2349" t="s">
        <v>6879</v>
      </c>
      <c r="C2349" t="s">
        <v>4591</v>
      </c>
      <c r="D2349" t="s">
        <v>4592</v>
      </c>
      <c r="E2349">
        <v>12</v>
      </c>
      <c r="F2349" s="6">
        <v>750</v>
      </c>
      <c r="G2349" t="s">
        <v>4163</v>
      </c>
    </row>
    <row r="2350" spans="1:7">
      <c r="A2350" t="s">
        <v>6880</v>
      </c>
      <c r="B2350" t="s">
        <v>6881</v>
      </c>
      <c r="C2350" t="s">
        <v>4591</v>
      </c>
      <c r="D2350" t="s">
        <v>4592</v>
      </c>
      <c r="E2350">
        <v>12</v>
      </c>
      <c r="F2350" s="6">
        <v>750</v>
      </c>
      <c r="G2350" t="s">
        <v>3686</v>
      </c>
    </row>
    <row r="2351" spans="1:7">
      <c r="A2351" t="s">
        <v>1482</v>
      </c>
      <c r="B2351" t="s">
        <v>6882</v>
      </c>
      <c r="C2351" t="s">
        <v>4591</v>
      </c>
      <c r="D2351" t="s">
        <v>4592</v>
      </c>
      <c r="E2351">
        <v>12</v>
      </c>
      <c r="F2351" s="6">
        <v>750</v>
      </c>
      <c r="G2351" t="s">
        <v>4163</v>
      </c>
    </row>
    <row r="2352" spans="1:7">
      <c r="A2352" t="s">
        <v>1696</v>
      </c>
      <c r="B2352" t="s">
        <v>6883</v>
      </c>
      <c r="C2352" t="s">
        <v>4084</v>
      </c>
      <c r="D2352" t="s">
        <v>4085</v>
      </c>
      <c r="E2352">
        <v>12</v>
      </c>
      <c r="F2352" s="6">
        <v>750</v>
      </c>
      <c r="G2352" t="s">
        <v>6746</v>
      </c>
    </row>
    <row r="2353" spans="1:7">
      <c r="A2353" t="s">
        <v>6884</v>
      </c>
      <c r="B2353" t="s">
        <v>6885</v>
      </c>
      <c r="C2353" t="s">
        <v>4591</v>
      </c>
      <c r="D2353" t="s">
        <v>4592</v>
      </c>
      <c r="E2353">
        <v>12</v>
      </c>
      <c r="F2353" s="6">
        <v>750</v>
      </c>
      <c r="G2353" t="s">
        <v>3686</v>
      </c>
    </row>
    <row r="2354" spans="1:7">
      <c r="A2354" t="s">
        <v>907</v>
      </c>
      <c r="B2354" t="s">
        <v>6886</v>
      </c>
      <c r="C2354" t="s">
        <v>4084</v>
      </c>
      <c r="D2354" t="s">
        <v>4085</v>
      </c>
      <c r="E2354">
        <v>12</v>
      </c>
      <c r="F2354" s="6">
        <v>750</v>
      </c>
      <c r="G2354" t="s">
        <v>3716</v>
      </c>
    </row>
    <row r="2355" spans="1:7">
      <c r="A2355" t="s">
        <v>1765</v>
      </c>
      <c r="B2355" t="s">
        <v>6887</v>
      </c>
      <c r="C2355" t="s">
        <v>4591</v>
      </c>
      <c r="D2355" t="s">
        <v>4592</v>
      </c>
      <c r="E2355">
        <v>12</v>
      </c>
      <c r="F2355" s="6">
        <v>750</v>
      </c>
      <c r="G2355" t="s">
        <v>3931</v>
      </c>
    </row>
    <row r="2356" spans="1:7">
      <c r="A2356" t="s">
        <v>1317</v>
      </c>
      <c r="B2356" t="s">
        <v>6888</v>
      </c>
      <c r="C2356" t="s">
        <v>4591</v>
      </c>
      <c r="D2356" t="s">
        <v>4592</v>
      </c>
      <c r="E2356">
        <v>24</v>
      </c>
      <c r="F2356" s="6">
        <v>200</v>
      </c>
      <c r="G2356" t="s">
        <v>3686</v>
      </c>
    </row>
    <row r="2357" spans="1:7">
      <c r="A2357" t="s">
        <v>802</v>
      </c>
      <c r="B2357" t="s">
        <v>6888</v>
      </c>
      <c r="C2357" t="s">
        <v>4591</v>
      </c>
      <c r="D2357" t="s">
        <v>4592</v>
      </c>
      <c r="E2357">
        <v>24</v>
      </c>
      <c r="F2357" s="6">
        <v>375</v>
      </c>
      <c r="G2357" t="s">
        <v>3686</v>
      </c>
    </row>
    <row r="2358" spans="1:7">
      <c r="A2358" t="s">
        <v>2074</v>
      </c>
      <c r="B2358" t="s">
        <v>6888</v>
      </c>
      <c r="C2358" t="s">
        <v>4591</v>
      </c>
      <c r="D2358" t="s">
        <v>4592</v>
      </c>
      <c r="E2358">
        <v>12</v>
      </c>
      <c r="F2358" s="6">
        <v>750</v>
      </c>
      <c r="G2358" t="s">
        <v>3686</v>
      </c>
    </row>
    <row r="2359" spans="1:7">
      <c r="A2359" t="s">
        <v>1426</v>
      </c>
      <c r="B2359" t="s">
        <v>6889</v>
      </c>
      <c r="C2359" t="s">
        <v>4591</v>
      </c>
      <c r="D2359" t="s">
        <v>4592</v>
      </c>
      <c r="E2359">
        <v>12</v>
      </c>
      <c r="F2359" s="6">
        <v>750</v>
      </c>
      <c r="G2359" t="s">
        <v>4163</v>
      </c>
    </row>
    <row r="2360" spans="1:7">
      <c r="A2360" t="s">
        <v>6890</v>
      </c>
      <c r="B2360" t="s">
        <v>6891</v>
      </c>
      <c r="C2360" t="s">
        <v>3684</v>
      </c>
      <c r="D2360" t="s">
        <v>3685</v>
      </c>
      <c r="E2360">
        <v>6</v>
      </c>
      <c r="F2360" s="6">
        <v>750</v>
      </c>
      <c r="G2360" t="s">
        <v>3730</v>
      </c>
    </row>
    <row r="2361" spans="1:7">
      <c r="A2361" t="s">
        <v>449</v>
      </c>
      <c r="B2361" t="s">
        <v>6892</v>
      </c>
      <c r="C2361" t="s">
        <v>3684</v>
      </c>
      <c r="D2361" t="s">
        <v>3685</v>
      </c>
      <c r="E2361">
        <v>6</v>
      </c>
      <c r="F2361" s="6">
        <v>750</v>
      </c>
      <c r="G2361" t="s">
        <v>4419</v>
      </c>
    </row>
    <row r="2362" spans="1:7">
      <c r="A2362" t="s">
        <v>2849</v>
      </c>
      <c r="B2362" t="s">
        <v>6893</v>
      </c>
      <c r="C2362" t="s">
        <v>4084</v>
      </c>
      <c r="D2362" t="s">
        <v>4085</v>
      </c>
      <c r="E2362">
        <v>6</v>
      </c>
      <c r="F2362" s="6">
        <v>750</v>
      </c>
      <c r="G2362" t="s">
        <v>3763</v>
      </c>
    </row>
    <row r="2363" spans="1:7">
      <c r="A2363" t="s">
        <v>6894</v>
      </c>
      <c r="B2363" t="s">
        <v>6895</v>
      </c>
      <c r="C2363" t="s">
        <v>4591</v>
      </c>
      <c r="D2363" t="s">
        <v>4592</v>
      </c>
      <c r="E2363">
        <v>12</v>
      </c>
      <c r="F2363" s="6">
        <v>750</v>
      </c>
      <c r="G2363" t="s">
        <v>3686</v>
      </c>
    </row>
    <row r="2364" spans="1:7">
      <c r="A2364" t="s">
        <v>6896</v>
      </c>
      <c r="B2364" t="s">
        <v>6897</v>
      </c>
      <c r="C2364" t="s">
        <v>4591</v>
      </c>
      <c r="D2364" t="s">
        <v>4592</v>
      </c>
      <c r="E2364">
        <v>12</v>
      </c>
      <c r="F2364" s="6">
        <v>750</v>
      </c>
      <c r="G2364" t="s">
        <v>3686</v>
      </c>
    </row>
    <row r="2365" spans="1:7">
      <c r="A2365" t="s">
        <v>6898</v>
      </c>
      <c r="B2365" t="s">
        <v>6899</v>
      </c>
      <c r="C2365" t="s">
        <v>4084</v>
      </c>
      <c r="D2365" t="s">
        <v>4085</v>
      </c>
      <c r="E2365">
        <v>6</v>
      </c>
      <c r="F2365" s="6">
        <v>750</v>
      </c>
      <c r="G2365" t="s">
        <v>3686</v>
      </c>
    </row>
    <row r="2366" spans="1:7">
      <c r="A2366" t="s">
        <v>6900</v>
      </c>
      <c r="B2366" t="s">
        <v>6901</v>
      </c>
      <c r="C2366" t="s">
        <v>3700</v>
      </c>
      <c r="D2366" t="s">
        <v>3701</v>
      </c>
      <c r="E2366">
        <v>12</v>
      </c>
      <c r="F2366" s="6">
        <v>375</v>
      </c>
      <c r="G2366" t="s">
        <v>3730</v>
      </c>
    </row>
    <row r="2367" spans="1:7">
      <c r="A2367" t="s">
        <v>3249</v>
      </c>
      <c r="B2367" t="s">
        <v>6902</v>
      </c>
      <c r="C2367" t="s">
        <v>3700</v>
      </c>
      <c r="D2367" t="s">
        <v>3701</v>
      </c>
      <c r="E2367">
        <v>12</v>
      </c>
      <c r="F2367" s="6">
        <v>750</v>
      </c>
      <c r="G2367" t="s">
        <v>3681</v>
      </c>
    </row>
    <row r="2368" spans="1:7">
      <c r="A2368" t="s">
        <v>862</v>
      </c>
      <c r="B2368" t="s">
        <v>6903</v>
      </c>
      <c r="C2368" t="s">
        <v>3700</v>
      </c>
      <c r="D2368" t="s">
        <v>3701</v>
      </c>
      <c r="E2368">
        <v>12</v>
      </c>
      <c r="F2368" s="6">
        <v>750</v>
      </c>
      <c r="G2368" t="s">
        <v>3681</v>
      </c>
    </row>
    <row r="2369" spans="1:7">
      <c r="A2369" t="s">
        <v>6904</v>
      </c>
      <c r="B2369" t="s">
        <v>6905</v>
      </c>
      <c r="C2369" t="s">
        <v>3700</v>
      </c>
      <c r="D2369" t="s">
        <v>3701</v>
      </c>
      <c r="E2369">
        <v>6</v>
      </c>
      <c r="F2369" s="6">
        <v>1750</v>
      </c>
      <c r="G2369" t="s">
        <v>6906</v>
      </c>
    </row>
    <row r="2370" spans="1:7">
      <c r="A2370" t="s">
        <v>1216</v>
      </c>
      <c r="B2370" t="s">
        <v>6907</v>
      </c>
      <c r="C2370" t="s">
        <v>3700</v>
      </c>
      <c r="D2370" t="s">
        <v>3701</v>
      </c>
      <c r="E2370">
        <v>6</v>
      </c>
      <c r="F2370" s="6">
        <v>1750</v>
      </c>
      <c r="G2370" t="s">
        <v>3730</v>
      </c>
    </row>
    <row r="2371" spans="1:7">
      <c r="A2371" t="s">
        <v>6908</v>
      </c>
      <c r="B2371" t="s">
        <v>6909</v>
      </c>
      <c r="C2371" t="s">
        <v>3700</v>
      </c>
      <c r="D2371" t="s">
        <v>3701</v>
      </c>
      <c r="E2371">
        <v>6</v>
      </c>
      <c r="F2371" s="6">
        <v>1750</v>
      </c>
      <c r="G2371" t="s">
        <v>3730</v>
      </c>
    </row>
    <row r="2372" spans="1:7">
      <c r="A2372" t="s">
        <v>6910</v>
      </c>
      <c r="B2372" t="s">
        <v>6911</v>
      </c>
      <c r="C2372" t="s">
        <v>3700</v>
      </c>
      <c r="D2372" t="s">
        <v>3701</v>
      </c>
      <c r="E2372">
        <v>6</v>
      </c>
      <c r="F2372" s="6">
        <v>375</v>
      </c>
      <c r="G2372" t="s">
        <v>4419</v>
      </c>
    </row>
    <row r="2373" spans="1:7">
      <c r="A2373" t="s">
        <v>6912</v>
      </c>
      <c r="B2373" t="s">
        <v>6913</v>
      </c>
      <c r="C2373" t="s">
        <v>3700</v>
      </c>
      <c r="D2373" t="s">
        <v>3701</v>
      </c>
      <c r="E2373">
        <v>6</v>
      </c>
      <c r="F2373" s="6">
        <v>375</v>
      </c>
      <c r="G2373" t="s">
        <v>4419</v>
      </c>
    </row>
    <row r="2374" spans="1:7">
      <c r="A2374" t="s">
        <v>6914</v>
      </c>
      <c r="B2374" t="s">
        <v>6915</v>
      </c>
      <c r="C2374" t="s">
        <v>3700</v>
      </c>
      <c r="D2374" t="s">
        <v>3701</v>
      </c>
      <c r="E2374">
        <v>6</v>
      </c>
      <c r="F2374" s="6">
        <v>375</v>
      </c>
      <c r="G2374" t="s">
        <v>4419</v>
      </c>
    </row>
    <row r="2375" spans="1:7">
      <c r="A2375" t="s">
        <v>2610</v>
      </c>
      <c r="B2375" t="s">
        <v>6916</v>
      </c>
      <c r="C2375" t="s">
        <v>4591</v>
      </c>
      <c r="D2375" t="s">
        <v>4592</v>
      </c>
      <c r="E2375">
        <v>24</v>
      </c>
      <c r="F2375" s="6">
        <v>375</v>
      </c>
      <c r="G2375" t="s">
        <v>3686</v>
      </c>
    </row>
    <row r="2376" spans="1:7">
      <c r="A2376" t="s">
        <v>793</v>
      </c>
      <c r="B2376" t="s">
        <v>6916</v>
      </c>
      <c r="C2376" t="s">
        <v>4591</v>
      </c>
      <c r="D2376" t="s">
        <v>4592</v>
      </c>
      <c r="E2376">
        <v>12</v>
      </c>
      <c r="F2376" s="6">
        <v>750</v>
      </c>
      <c r="G2376" t="s">
        <v>3686</v>
      </c>
    </row>
    <row r="2377" spans="1:7">
      <c r="A2377" t="s">
        <v>3213</v>
      </c>
      <c r="B2377" t="s">
        <v>6917</v>
      </c>
      <c r="C2377" t="s">
        <v>4591</v>
      </c>
      <c r="D2377" t="s">
        <v>4592</v>
      </c>
      <c r="E2377">
        <v>12</v>
      </c>
      <c r="F2377" s="6">
        <v>750</v>
      </c>
      <c r="G2377" t="s">
        <v>3686</v>
      </c>
    </row>
    <row r="2378" spans="1:7">
      <c r="A2378" t="s">
        <v>2967</v>
      </c>
      <c r="B2378" t="s">
        <v>6918</v>
      </c>
      <c r="C2378" t="s">
        <v>4591</v>
      </c>
      <c r="D2378" t="s">
        <v>4592</v>
      </c>
      <c r="E2378">
        <v>12</v>
      </c>
      <c r="F2378" s="6">
        <v>750</v>
      </c>
      <c r="G2378" t="s">
        <v>3686</v>
      </c>
    </row>
    <row r="2379" spans="1:7">
      <c r="A2379" t="s">
        <v>6919</v>
      </c>
      <c r="B2379" t="s">
        <v>6920</v>
      </c>
      <c r="C2379" t="s">
        <v>3808</v>
      </c>
      <c r="D2379" t="s">
        <v>3809</v>
      </c>
      <c r="E2379">
        <v>6</v>
      </c>
      <c r="F2379" s="6">
        <v>750</v>
      </c>
      <c r="G2379" t="s">
        <v>4032</v>
      </c>
    </row>
    <row r="2380" spans="1:7">
      <c r="A2380" t="s">
        <v>1442</v>
      </c>
      <c r="B2380" t="s">
        <v>6921</v>
      </c>
      <c r="C2380" t="s">
        <v>3700</v>
      </c>
      <c r="D2380" t="s">
        <v>3701</v>
      </c>
      <c r="E2380">
        <v>6</v>
      </c>
      <c r="F2380" s="6">
        <v>1750</v>
      </c>
      <c r="G2380" t="s">
        <v>3705</v>
      </c>
    </row>
    <row r="2381" spans="1:7">
      <c r="A2381" t="s">
        <v>6922</v>
      </c>
      <c r="B2381" t="s">
        <v>6923</v>
      </c>
      <c r="C2381" t="s">
        <v>3700</v>
      </c>
      <c r="D2381" t="s">
        <v>3701</v>
      </c>
      <c r="E2381">
        <v>6</v>
      </c>
      <c r="F2381" s="6">
        <v>1750</v>
      </c>
      <c r="G2381" t="s">
        <v>3705</v>
      </c>
    </row>
    <row r="2382" spans="1:7">
      <c r="A2382" t="s">
        <v>6924</v>
      </c>
      <c r="B2382" t="s">
        <v>6925</v>
      </c>
      <c r="C2382" t="s">
        <v>3808</v>
      </c>
      <c r="D2382" t="s">
        <v>3809</v>
      </c>
      <c r="E2382">
        <v>6</v>
      </c>
      <c r="F2382" s="6">
        <v>750</v>
      </c>
      <c r="G2382" t="s">
        <v>4032</v>
      </c>
    </row>
    <row r="2383" spans="1:7">
      <c r="A2383" t="s">
        <v>279</v>
      </c>
      <c r="B2383" t="s">
        <v>6926</v>
      </c>
      <c r="C2383" t="s">
        <v>3700</v>
      </c>
      <c r="D2383" t="s">
        <v>3701</v>
      </c>
      <c r="E2383">
        <v>6</v>
      </c>
      <c r="F2383" s="6">
        <v>1750</v>
      </c>
      <c r="G2383" t="s">
        <v>3705</v>
      </c>
    </row>
    <row r="2384" spans="1:7">
      <c r="A2384" t="s">
        <v>6927</v>
      </c>
      <c r="B2384" t="s">
        <v>6928</v>
      </c>
      <c r="C2384" t="s">
        <v>3700</v>
      </c>
      <c r="D2384" t="s">
        <v>3701</v>
      </c>
      <c r="E2384">
        <v>6</v>
      </c>
      <c r="F2384" s="6">
        <v>1750</v>
      </c>
      <c r="G2384" t="s">
        <v>6906</v>
      </c>
    </row>
    <row r="2385" spans="1:7">
      <c r="A2385" t="s">
        <v>6929</v>
      </c>
      <c r="B2385" t="s">
        <v>6930</v>
      </c>
      <c r="C2385" t="s">
        <v>3700</v>
      </c>
      <c r="D2385" t="s">
        <v>3701</v>
      </c>
      <c r="E2385">
        <v>6</v>
      </c>
      <c r="F2385" s="6">
        <v>1750</v>
      </c>
      <c r="G2385" t="s">
        <v>6906</v>
      </c>
    </row>
    <row r="2386" spans="1:7">
      <c r="A2386" t="s">
        <v>2135</v>
      </c>
      <c r="B2386" t="s">
        <v>6931</v>
      </c>
      <c r="C2386" t="s">
        <v>4084</v>
      </c>
      <c r="D2386" t="s">
        <v>4085</v>
      </c>
      <c r="E2386">
        <v>12</v>
      </c>
      <c r="F2386" s="6">
        <v>750</v>
      </c>
      <c r="G2386" t="s">
        <v>3730</v>
      </c>
    </row>
    <row r="2387" spans="1:7">
      <c r="A2387" t="s">
        <v>6932</v>
      </c>
      <c r="B2387" t="s">
        <v>6933</v>
      </c>
      <c r="C2387" t="s">
        <v>3684</v>
      </c>
      <c r="D2387" t="s">
        <v>3685</v>
      </c>
      <c r="E2387">
        <v>6</v>
      </c>
      <c r="F2387" s="6">
        <v>750</v>
      </c>
      <c r="G2387" t="s">
        <v>3730</v>
      </c>
    </row>
    <row r="2388" spans="1:7">
      <c r="A2388" t="s">
        <v>758</v>
      </c>
      <c r="B2388" t="s">
        <v>6934</v>
      </c>
      <c r="C2388" t="s">
        <v>3700</v>
      </c>
      <c r="D2388" t="s">
        <v>3701</v>
      </c>
      <c r="E2388">
        <v>12</v>
      </c>
      <c r="F2388" s="6">
        <v>1000</v>
      </c>
      <c r="G2388" t="s">
        <v>3686</v>
      </c>
    </row>
    <row r="2389" spans="1:7">
      <c r="A2389" t="s">
        <v>2903</v>
      </c>
      <c r="B2389" t="s">
        <v>6935</v>
      </c>
      <c r="C2389" t="s">
        <v>3679</v>
      </c>
      <c r="D2389" t="s">
        <v>3680</v>
      </c>
      <c r="E2389">
        <v>12</v>
      </c>
      <c r="F2389" s="6">
        <v>750</v>
      </c>
      <c r="G2389" t="s">
        <v>3686</v>
      </c>
    </row>
    <row r="2390" spans="1:7">
      <c r="A2390" t="s">
        <v>2442</v>
      </c>
      <c r="B2390" t="s">
        <v>6936</v>
      </c>
      <c r="C2390" t="s">
        <v>3700</v>
      </c>
      <c r="D2390" t="s">
        <v>3701</v>
      </c>
      <c r="E2390">
        <v>6</v>
      </c>
      <c r="F2390" s="6">
        <v>1750</v>
      </c>
      <c r="G2390" t="s">
        <v>3686</v>
      </c>
    </row>
    <row r="2391" spans="1:7">
      <c r="A2391" t="s">
        <v>1783</v>
      </c>
      <c r="B2391" t="s">
        <v>6937</v>
      </c>
      <c r="C2391" t="s">
        <v>3700</v>
      </c>
      <c r="D2391" t="s">
        <v>3701</v>
      </c>
      <c r="E2391">
        <v>6</v>
      </c>
      <c r="F2391" s="6">
        <v>1750</v>
      </c>
      <c r="G2391" t="s">
        <v>3686</v>
      </c>
    </row>
    <row r="2392" spans="1:7">
      <c r="A2392" t="s">
        <v>6938</v>
      </c>
      <c r="B2392" t="s">
        <v>6939</v>
      </c>
      <c r="C2392" t="s">
        <v>3700</v>
      </c>
      <c r="D2392" t="s">
        <v>3701</v>
      </c>
      <c r="E2392">
        <v>6</v>
      </c>
      <c r="F2392" s="6">
        <v>1750</v>
      </c>
      <c r="G2392" t="s">
        <v>3686</v>
      </c>
    </row>
    <row r="2393" spans="1:7">
      <c r="A2393" t="s">
        <v>2348</v>
      </c>
      <c r="B2393" t="s">
        <v>6940</v>
      </c>
      <c r="C2393" t="s">
        <v>3700</v>
      </c>
      <c r="D2393" t="s">
        <v>3701</v>
      </c>
      <c r="E2393">
        <v>6</v>
      </c>
      <c r="F2393" s="6">
        <v>1750</v>
      </c>
      <c r="G2393" t="s">
        <v>3686</v>
      </c>
    </row>
    <row r="2394" spans="1:7">
      <c r="A2394" t="s">
        <v>406</v>
      </c>
      <c r="B2394" t="s">
        <v>6941</v>
      </c>
      <c r="C2394" t="s">
        <v>3700</v>
      </c>
      <c r="D2394" t="s">
        <v>3701</v>
      </c>
      <c r="E2394">
        <v>6</v>
      </c>
      <c r="F2394" s="6">
        <v>1750</v>
      </c>
      <c r="G2394" t="s">
        <v>3686</v>
      </c>
    </row>
    <row r="2395" spans="1:7">
      <c r="A2395" t="s">
        <v>1748</v>
      </c>
      <c r="B2395" t="s">
        <v>6942</v>
      </c>
      <c r="C2395" t="s">
        <v>3700</v>
      </c>
      <c r="D2395" t="s">
        <v>3701</v>
      </c>
      <c r="E2395">
        <v>6</v>
      </c>
      <c r="F2395" s="6">
        <v>1750</v>
      </c>
      <c r="G2395" t="s">
        <v>3686</v>
      </c>
    </row>
    <row r="2396" spans="1:7">
      <c r="A2396" t="s">
        <v>2317</v>
      </c>
      <c r="B2396" t="s">
        <v>6943</v>
      </c>
      <c r="C2396" t="s">
        <v>3700</v>
      </c>
      <c r="D2396" t="s">
        <v>3701</v>
      </c>
      <c r="E2396">
        <v>6</v>
      </c>
      <c r="F2396" s="6">
        <v>1750</v>
      </c>
      <c r="G2396" t="s">
        <v>3686</v>
      </c>
    </row>
    <row r="2397" spans="1:7">
      <c r="A2397" t="s">
        <v>519</v>
      </c>
      <c r="B2397" t="s">
        <v>6944</v>
      </c>
      <c r="C2397" t="s">
        <v>3700</v>
      </c>
      <c r="D2397" t="s">
        <v>3701</v>
      </c>
      <c r="E2397">
        <v>6</v>
      </c>
      <c r="F2397" s="6">
        <v>1750</v>
      </c>
      <c r="G2397" t="s">
        <v>3686</v>
      </c>
    </row>
    <row r="2398" spans="1:7">
      <c r="A2398" t="s">
        <v>1162</v>
      </c>
      <c r="B2398" t="s">
        <v>6945</v>
      </c>
      <c r="C2398" t="s">
        <v>3700</v>
      </c>
      <c r="D2398" t="s">
        <v>3701</v>
      </c>
      <c r="E2398">
        <v>6</v>
      </c>
      <c r="F2398" s="6">
        <v>1750</v>
      </c>
      <c r="G2398" t="s">
        <v>3686</v>
      </c>
    </row>
    <row r="2399" spans="1:7">
      <c r="A2399" t="s">
        <v>6946</v>
      </c>
      <c r="B2399" t="s">
        <v>6947</v>
      </c>
      <c r="C2399" t="s">
        <v>3700</v>
      </c>
      <c r="D2399" t="s">
        <v>3701</v>
      </c>
      <c r="E2399">
        <v>6</v>
      </c>
      <c r="F2399" s="6">
        <v>1750</v>
      </c>
      <c r="G2399" t="s">
        <v>3686</v>
      </c>
    </row>
    <row r="2400" spans="1:7">
      <c r="A2400" t="s">
        <v>759</v>
      </c>
      <c r="B2400" t="s">
        <v>6948</v>
      </c>
      <c r="C2400" t="s">
        <v>3700</v>
      </c>
      <c r="D2400" t="s">
        <v>3701</v>
      </c>
      <c r="E2400">
        <v>6</v>
      </c>
      <c r="F2400" s="6">
        <v>1750</v>
      </c>
      <c r="G2400" t="s">
        <v>3686</v>
      </c>
    </row>
    <row r="2401" spans="1:7">
      <c r="A2401" t="s">
        <v>1169</v>
      </c>
      <c r="B2401" t="s">
        <v>6949</v>
      </c>
      <c r="C2401" t="s">
        <v>3700</v>
      </c>
      <c r="D2401" t="s">
        <v>3701</v>
      </c>
      <c r="E2401">
        <v>6</v>
      </c>
      <c r="F2401" s="6">
        <v>1750</v>
      </c>
      <c r="G2401" t="s">
        <v>3686</v>
      </c>
    </row>
    <row r="2402" spans="1:7">
      <c r="A2402" t="s">
        <v>6950</v>
      </c>
      <c r="B2402" t="s">
        <v>6951</v>
      </c>
      <c r="C2402" t="s">
        <v>3700</v>
      </c>
      <c r="D2402" t="s">
        <v>3701</v>
      </c>
      <c r="E2402">
        <v>6</v>
      </c>
      <c r="F2402" s="6">
        <v>1750</v>
      </c>
      <c r="G2402" t="s">
        <v>3686</v>
      </c>
    </row>
    <row r="2403" spans="1:7">
      <c r="A2403" t="s">
        <v>1660</v>
      </c>
      <c r="B2403" t="s">
        <v>6952</v>
      </c>
      <c r="C2403" t="s">
        <v>3700</v>
      </c>
      <c r="D2403" t="s">
        <v>3701</v>
      </c>
      <c r="E2403">
        <v>6</v>
      </c>
      <c r="F2403" s="6">
        <v>1750</v>
      </c>
      <c r="G2403" t="s">
        <v>3686</v>
      </c>
    </row>
    <row r="2404" spans="1:7">
      <c r="A2404" t="s">
        <v>2401</v>
      </c>
      <c r="B2404" t="s">
        <v>6953</v>
      </c>
      <c r="C2404" t="s">
        <v>3700</v>
      </c>
      <c r="D2404" t="s">
        <v>3701</v>
      </c>
      <c r="E2404">
        <v>6</v>
      </c>
      <c r="F2404" s="6">
        <v>1750</v>
      </c>
      <c r="G2404" t="s">
        <v>3686</v>
      </c>
    </row>
    <row r="2405" spans="1:7">
      <c r="A2405" t="s">
        <v>352</v>
      </c>
      <c r="B2405" t="s">
        <v>6954</v>
      </c>
      <c r="C2405" t="s">
        <v>3700</v>
      </c>
      <c r="D2405" t="s">
        <v>3701</v>
      </c>
      <c r="E2405">
        <v>6</v>
      </c>
      <c r="F2405" s="6">
        <v>1750</v>
      </c>
      <c r="G2405" t="s">
        <v>3686</v>
      </c>
    </row>
    <row r="2406" spans="1:7">
      <c r="A2406" t="s">
        <v>1300</v>
      </c>
      <c r="B2406" t="s">
        <v>6955</v>
      </c>
      <c r="C2406" t="s">
        <v>3700</v>
      </c>
      <c r="D2406" t="s">
        <v>3701</v>
      </c>
      <c r="E2406">
        <v>6</v>
      </c>
      <c r="F2406" s="6">
        <v>1750</v>
      </c>
      <c r="G2406" t="s">
        <v>3686</v>
      </c>
    </row>
    <row r="2407" spans="1:7">
      <c r="A2407" t="s">
        <v>6956</v>
      </c>
      <c r="B2407" t="s">
        <v>6957</v>
      </c>
      <c r="C2407" t="s">
        <v>3700</v>
      </c>
      <c r="D2407" t="s">
        <v>3701</v>
      </c>
      <c r="E2407">
        <v>6</v>
      </c>
      <c r="F2407" s="6">
        <v>1750</v>
      </c>
      <c r="G2407" t="s">
        <v>3705</v>
      </c>
    </row>
    <row r="2408" spans="1:7">
      <c r="A2408" t="s">
        <v>6958</v>
      </c>
      <c r="B2408" t="s">
        <v>6959</v>
      </c>
      <c r="C2408" t="s">
        <v>3700</v>
      </c>
      <c r="D2408" t="s">
        <v>3701</v>
      </c>
      <c r="E2408">
        <v>6</v>
      </c>
      <c r="F2408" s="6">
        <v>1750</v>
      </c>
      <c r="G2408" t="s">
        <v>3705</v>
      </c>
    </row>
    <row r="2409" spans="1:7">
      <c r="A2409" t="s">
        <v>812</v>
      </c>
      <c r="B2409" t="s">
        <v>6960</v>
      </c>
      <c r="C2409" t="s">
        <v>3700</v>
      </c>
      <c r="D2409" t="s">
        <v>3701</v>
      </c>
      <c r="E2409">
        <v>3</v>
      </c>
      <c r="F2409" s="6">
        <v>1750</v>
      </c>
      <c r="G2409" t="s">
        <v>6961</v>
      </c>
    </row>
    <row r="2410" spans="1:7">
      <c r="A2410" t="s">
        <v>2209</v>
      </c>
      <c r="B2410" t="s">
        <v>6962</v>
      </c>
      <c r="C2410" t="s">
        <v>3700</v>
      </c>
      <c r="D2410" t="s">
        <v>3701</v>
      </c>
      <c r="E2410">
        <v>6</v>
      </c>
      <c r="F2410" s="6">
        <v>1750</v>
      </c>
      <c r="G2410" t="s">
        <v>3686</v>
      </c>
    </row>
    <row r="2411" spans="1:7">
      <c r="A2411" t="s">
        <v>6963</v>
      </c>
      <c r="B2411" t="s">
        <v>6964</v>
      </c>
      <c r="C2411" t="s">
        <v>3700</v>
      </c>
      <c r="D2411" t="s">
        <v>3701</v>
      </c>
      <c r="E2411">
        <v>6</v>
      </c>
      <c r="F2411" s="6">
        <v>375</v>
      </c>
      <c r="G2411" t="s">
        <v>4419</v>
      </c>
    </row>
    <row r="2412" spans="1:7">
      <c r="A2412" t="s">
        <v>6965</v>
      </c>
      <c r="B2412" t="s">
        <v>6966</v>
      </c>
      <c r="C2412" t="s">
        <v>3700</v>
      </c>
      <c r="D2412" t="s">
        <v>3701</v>
      </c>
      <c r="E2412">
        <v>6</v>
      </c>
      <c r="F2412" s="6">
        <v>1750</v>
      </c>
      <c r="G2412" t="s">
        <v>3705</v>
      </c>
    </row>
    <row r="2413" spans="1:7">
      <c r="A2413" t="s">
        <v>6967</v>
      </c>
      <c r="B2413" t="s">
        <v>6968</v>
      </c>
      <c r="C2413" t="s">
        <v>3700</v>
      </c>
      <c r="D2413" t="s">
        <v>3701</v>
      </c>
      <c r="E2413">
        <v>6</v>
      </c>
      <c r="F2413" s="6">
        <v>1750</v>
      </c>
      <c r="G2413" t="s">
        <v>3705</v>
      </c>
    </row>
    <row r="2414" spans="1:7">
      <c r="A2414" t="s">
        <v>3539</v>
      </c>
      <c r="B2414" t="s">
        <v>6969</v>
      </c>
      <c r="C2414" t="s">
        <v>3700</v>
      </c>
      <c r="D2414" t="s">
        <v>3701</v>
      </c>
      <c r="E2414">
        <v>6</v>
      </c>
      <c r="F2414" s="6">
        <v>200</v>
      </c>
      <c r="G2414" t="s">
        <v>6970</v>
      </c>
    </row>
    <row r="2415" spans="1:7">
      <c r="A2415" t="s">
        <v>6971</v>
      </c>
      <c r="B2415" t="s">
        <v>6972</v>
      </c>
      <c r="C2415" t="s">
        <v>3700</v>
      </c>
      <c r="D2415" t="s">
        <v>3701</v>
      </c>
      <c r="E2415">
        <v>6</v>
      </c>
      <c r="F2415" s="6">
        <v>200</v>
      </c>
      <c r="G2415" t="s">
        <v>6970</v>
      </c>
    </row>
    <row r="2416" spans="1:7">
      <c r="A2416" t="s">
        <v>6973</v>
      </c>
      <c r="B2416" t="s">
        <v>6974</v>
      </c>
      <c r="C2416" t="s">
        <v>3700</v>
      </c>
      <c r="D2416" t="s">
        <v>3701</v>
      </c>
      <c r="E2416">
        <v>6</v>
      </c>
      <c r="F2416" s="6">
        <v>200</v>
      </c>
      <c r="G2416" t="s">
        <v>6970</v>
      </c>
    </row>
    <row r="2417" spans="1:7">
      <c r="A2417" t="s">
        <v>1434</v>
      </c>
      <c r="B2417" t="s">
        <v>6975</v>
      </c>
      <c r="C2417" t="s">
        <v>3700</v>
      </c>
      <c r="D2417" t="s">
        <v>3701</v>
      </c>
      <c r="E2417">
        <v>6</v>
      </c>
      <c r="F2417" s="6">
        <v>200</v>
      </c>
      <c r="G2417" t="s">
        <v>6970</v>
      </c>
    </row>
    <row r="2418" spans="1:7">
      <c r="A2418" t="s">
        <v>1944</v>
      </c>
      <c r="B2418" t="s">
        <v>6976</v>
      </c>
      <c r="C2418" t="s">
        <v>3700</v>
      </c>
      <c r="D2418" t="s">
        <v>3701</v>
      </c>
      <c r="E2418">
        <v>3</v>
      </c>
      <c r="F2418" s="6">
        <v>1750</v>
      </c>
      <c r="G2418" t="s">
        <v>6961</v>
      </c>
    </row>
    <row r="2419" spans="1:7">
      <c r="A2419" t="s">
        <v>6977</v>
      </c>
      <c r="B2419" t="s">
        <v>6978</v>
      </c>
      <c r="C2419" t="s">
        <v>3700</v>
      </c>
      <c r="D2419" t="s">
        <v>3701</v>
      </c>
      <c r="E2419">
        <v>12</v>
      </c>
      <c r="F2419" s="6">
        <v>750</v>
      </c>
      <c r="G2419" t="s">
        <v>3730</v>
      </c>
    </row>
    <row r="2420" spans="1:7">
      <c r="A2420" t="s">
        <v>269</v>
      </c>
      <c r="B2420" t="s">
        <v>6979</v>
      </c>
      <c r="C2420" t="s">
        <v>3700</v>
      </c>
      <c r="D2420" t="s">
        <v>3701</v>
      </c>
      <c r="E2420">
        <v>12</v>
      </c>
      <c r="F2420" s="6">
        <v>750</v>
      </c>
      <c r="G2420" t="s">
        <v>3730</v>
      </c>
    </row>
    <row r="2421" spans="1:7">
      <c r="A2421" t="s">
        <v>2390</v>
      </c>
      <c r="B2421" t="s">
        <v>6979</v>
      </c>
      <c r="C2421" t="s">
        <v>3700</v>
      </c>
      <c r="D2421" t="s">
        <v>3701</v>
      </c>
      <c r="E2421">
        <v>12</v>
      </c>
      <c r="F2421" s="6">
        <v>375</v>
      </c>
      <c r="G2421" t="s">
        <v>3730</v>
      </c>
    </row>
    <row r="2422" spans="1:7">
      <c r="A2422" t="s">
        <v>1549</v>
      </c>
      <c r="B2422" t="s">
        <v>6978</v>
      </c>
      <c r="C2422" t="s">
        <v>3700</v>
      </c>
      <c r="D2422" t="s">
        <v>3701</v>
      </c>
      <c r="E2422">
        <v>12</v>
      </c>
      <c r="F2422" s="6">
        <v>375</v>
      </c>
      <c r="G2422" t="s">
        <v>3730</v>
      </c>
    </row>
    <row r="2423" spans="1:7">
      <c r="A2423" t="s">
        <v>470</v>
      </c>
      <c r="B2423" t="s">
        <v>6980</v>
      </c>
      <c r="C2423" t="s">
        <v>3684</v>
      </c>
      <c r="D2423" t="s">
        <v>3685</v>
      </c>
      <c r="E2423">
        <v>12</v>
      </c>
      <c r="F2423" s="6">
        <v>50</v>
      </c>
      <c r="G2423" t="s">
        <v>3730</v>
      </c>
    </row>
    <row r="2424" spans="1:7">
      <c r="A2424" t="s">
        <v>6981</v>
      </c>
      <c r="B2424" t="s">
        <v>6982</v>
      </c>
      <c r="C2424" t="s">
        <v>3700</v>
      </c>
      <c r="D2424" t="s">
        <v>3701</v>
      </c>
      <c r="E2424">
        <v>3</v>
      </c>
      <c r="F2424" s="6">
        <v>1750</v>
      </c>
      <c r="G2424" t="s">
        <v>6961</v>
      </c>
    </row>
    <row r="2425" spans="1:7">
      <c r="A2425" t="s">
        <v>3240</v>
      </c>
      <c r="B2425" t="s">
        <v>6983</v>
      </c>
      <c r="C2425" t="s">
        <v>3700</v>
      </c>
      <c r="D2425" t="s">
        <v>3701</v>
      </c>
      <c r="E2425">
        <v>3</v>
      </c>
      <c r="F2425" s="6">
        <v>1750</v>
      </c>
      <c r="G2425" t="s">
        <v>6961</v>
      </c>
    </row>
    <row r="2426" spans="1:7">
      <c r="A2426" t="s">
        <v>6984</v>
      </c>
      <c r="B2426" t="s">
        <v>6985</v>
      </c>
      <c r="C2426" t="s">
        <v>3700</v>
      </c>
      <c r="D2426" t="s">
        <v>3701</v>
      </c>
      <c r="E2426">
        <v>1</v>
      </c>
      <c r="F2426" s="6">
        <v>200</v>
      </c>
      <c r="G2426" t="s">
        <v>3702</v>
      </c>
    </row>
    <row r="2427" spans="1:7">
      <c r="A2427" t="s">
        <v>6986</v>
      </c>
      <c r="B2427" t="s">
        <v>6987</v>
      </c>
      <c r="C2427" t="s">
        <v>4170</v>
      </c>
      <c r="D2427" t="s">
        <v>4171</v>
      </c>
      <c r="E2427">
        <v>12</v>
      </c>
      <c r="F2427" s="6">
        <v>375</v>
      </c>
      <c r="G2427" t="s">
        <v>3702</v>
      </c>
    </row>
    <row r="2428" spans="1:7">
      <c r="A2428" t="s">
        <v>6988</v>
      </c>
      <c r="B2428" t="s">
        <v>6989</v>
      </c>
      <c r="C2428" t="s">
        <v>3700</v>
      </c>
      <c r="D2428" t="s">
        <v>3701</v>
      </c>
      <c r="E2428">
        <v>1</v>
      </c>
      <c r="F2428" s="6">
        <v>200</v>
      </c>
      <c r="G2428" t="s">
        <v>3702</v>
      </c>
    </row>
    <row r="2429" spans="1:7">
      <c r="A2429" t="s">
        <v>6990</v>
      </c>
      <c r="B2429" t="s">
        <v>6989</v>
      </c>
      <c r="C2429" t="s">
        <v>4170</v>
      </c>
      <c r="D2429" t="s">
        <v>4171</v>
      </c>
      <c r="E2429">
        <v>12</v>
      </c>
      <c r="F2429" s="6">
        <v>375</v>
      </c>
      <c r="G2429" t="s">
        <v>3702</v>
      </c>
    </row>
    <row r="2430" spans="1:7">
      <c r="A2430" t="s">
        <v>6991</v>
      </c>
      <c r="B2430" t="s">
        <v>6992</v>
      </c>
      <c r="C2430" t="s">
        <v>3700</v>
      </c>
      <c r="D2430" t="s">
        <v>3701</v>
      </c>
      <c r="E2430">
        <v>1</v>
      </c>
      <c r="F2430" s="6">
        <v>200</v>
      </c>
      <c r="G2430" t="s">
        <v>3702</v>
      </c>
    </row>
    <row r="2431" spans="1:7">
      <c r="A2431" t="s">
        <v>6993</v>
      </c>
      <c r="B2431" t="s">
        <v>6994</v>
      </c>
      <c r="C2431" t="s">
        <v>3700</v>
      </c>
      <c r="D2431" t="s">
        <v>3701</v>
      </c>
      <c r="E2431">
        <v>12</v>
      </c>
      <c r="F2431" s="6">
        <v>375</v>
      </c>
      <c r="G2431" t="s">
        <v>3702</v>
      </c>
    </row>
    <row r="2432" spans="1:7">
      <c r="A2432" t="s">
        <v>6995</v>
      </c>
      <c r="B2432" t="s">
        <v>6996</v>
      </c>
      <c r="C2432" t="s">
        <v>3700</v>
      </c>
      <c r="D2432" t="s">
        <v>3701</v>
      </c>
      <c r="E2432">
        <v>1</v>
      </c>
      <c r="F2432" s="6">
        <v>200</v>
      </c>
      <c r="G2432" t="s">
        <v>3702</v>
      </c>
    </row>
    <row r="2433" spans="1:7">
      <c r="A2433" t="s">
        <v>6997</v>
      </c>
      <c r="B2433" t="s">
        <v>6996</v>
      </c>
      <c r="C2433" t="s">
        <v>4170</v>
      </c>
      <c r="D2433" t="s">
        <v>4171</v>
      </c>
      <c r="E2433">
        <v>12</v>
      </c>
      <c r="F2433" s="6">
        <v>375</v>
      </c>
      <c r="G2433" t="s">
        <v>3702</v>
      </c>
    </row>
    <row r="2434" spans="1:7">
      <c r="A2434" t="s">
        <v>6998</v>
      </c>
      <c r="B2434" t="s">
        <v>6999</v>
      </c>
      <c r="C2434" t="s">
        <v>3700</v>
      </c>
      <c r="D2434" t="s">
        <v>3701</v>
      </c>
      <c r="E2434">
        <v>8</v>
      </c>
      <c r="F2434" s="6">
        <v>200</v>
      </c>
      <c r="G2434" t="s">
        <v>5398</v>
      </c>
    </row>
    <row r="2435" spans="1:7">
      <c r="A2435" t="s">
        <v>7000</v>
      </c>
      <c r="B2435" t="s">
        <v>7001</v>
      </c>
      <c r="C2435" t="s">
        <v>3700</v>
      </c>
      <c r="D2435" t="s">
        <v>3701</v>
      </c>
      <c r="E2435">
        <v>8</v>
      </c>
      <c r="F2435" s="6">
        <v>200</v>
      </c>
      <c r="G2435" t="s">
        <v>5398</v>
      </c>
    </row>
    <row r="2436" spans="1:7">
      <c r="A2436" t="s">
        <v>7002</v>
      </c>
      <c r="B2436" t="s">
        <v>7003</v>
      </c>
      <c r="C2436" t="s">
        <v>3700</v>
      </c>
      <c r="D2436" t="s">
        <v>3701</v>
      </c>
      <c r="E2436">
        <v>8</v>
      </c>
      <c r="F2436" s="6">
        <v>200</v>
      </c>
      <c r="G2436" t="s">
        <v>5398</v>
      </c>
    </row>
    <row r="2437" spans="1:7">
      <c r="A2437" t="s">
        <v>7004</v>
      </c>
      <c r="B2437" t="s">
        <v>7005</v>
      </c>
      <c r="C2437" t="s">
        <v>3700</v>
      </c>
      <c r="D2437" t="s">
        <v>3701</v>
      </c>
      <c r="E2437">
        <v>6</v>
      </c>
      <c r="F2437" s="6">
        <v>1750</v>
      </c>
      <c r="G2437" t="s">
        <v>3705</v>
      </c>
    </row>
    <row r="2438" spans="1:7">
      <c r="A2438" t="s">
        <v>7006</v>
      </c>
      <c r="B2438" t="s">
        <v>7007</v>
      </c>
      <c r="C2438" t="s">
        <v>3700</v>
      </c>
      <c r="D2438" t="s">
        <v>3701</v>
      </c>
      <c r="E2438">
        <v>6</v>
      </c>
      <c r="F2438" s="6">
        <v>1750</v>
      </c>
      <c r="G2438" t="s">
        <v>3705</v>
      </c>
    </row>
    <row r="2439" spans="1:7">
      <c r="A2439" t="s">
        <v>972</v>
      </c>
      <c r="B2439" t="s">
        <v>7008</v>
      </c>
      <c r="C2439" t="s">
        <v>3700</v>
      </c>
      <c r="D2439" t="s">
        <v>3701</v>
      </c>
      <c r="E2439">
        <v>12</v>
      </c>
      <c r="F2439" s="6">
        <v>375</v>
      </c>
      <c r="G2439" t="s">
        <v>3730</v>
      </c>
    </row>
    <row r="2440" spans="1:7">
      <c r="A2440" t="s">
        <v>7009</v>
      </c>
      <c r="B2440" t="s">
        <v>7010</v>
      </c>
      <c r="C2440" t="s">
        <v>3700</v>
      </c>
      <c r="D2440" t="s">
        <v>3701</v>
      </c>
      <c r="E2440">
        <v>1</v>
      </c>
      <c r="F2440" s="6">
        <v>100</v>
      </c>
      <c r="G2440" t="s">
        <v>3735</v>
      </c>
    </row>
    <row r="2441" spans="1:7">
      <c r="A2441" t="s">
        <v>7011</v>
      </c>
      <c r="B2441" t="s">
        <v>7012</v>
      </c>
      <c r="C2441" t="s">
        <v>3700</v>
      </c>
      <c r="D2441" t="s">
        <v>3701</v>
      </c>
      <c r="E2441">
        <v>1</v>
      </c>
      <c r="F2441" s="6">
        <v>100</v>
      </c>
      <c r="G2441" t="s">
        <v>3735</v>
      </c>
    </row>
    <row r="2442" spans="1:7">
      <c r="A2442" t="s">
        <v>2734</v>
      </c>
      <c r="B2442" t="s">
        <v>7013</v>
      </c>
      <c r="C2442" t="s">
        <v>3700</v>
      </c>
      <c r="D2442" t="s">
        <v>3701</v>
      </c>
      <c r="E2442">
        <v>12</v>
      </c>
      <c r="F2442" s="6">
        <v>375</v>
      </c>
      <c r="G2442" t="s">
        <v>3730</v>
      </c>
    </row>
    <row r="2443" spans="1:7">
      <c r="A2443" t="s">
        <v>1080</v>
      </c>
      <c r="B2443" t="s">
        <v>7014</v>
      </c>
      <c r="C2443" t="s">
        <v>4084</v>
      </c>
      <c r="D2443" t="s">
        <v>4085</v>
      </c>
      <c r="E2443">
        <v>6</v>
      </c>
      <c r="F2443" s="6">
        <v>750</v>
      </c>
      <c r="G2443" t="s">
        <v>3681</v>
      </c>
    </row>
    <row r="2444" spans="1:7">
      <c r="A2444" t="s">
        <v>3540</v>
      </c>
      <c r="B2444" t="s">
        <v>6892</v>
      </c>
      <c r="C2444" t="s">
        <v>3808</v>
      </c>
      <c r="D2444" t="s">
        <v>3809</v>
      </c>
      <c r="E2444">
        <v>6</v>
      </c>
      <c r="F2444" s="6">
        <v>1750</v>
      </c>
      <c r="G2444" t="s">
        <v>4419</v>
      </c>
    </row>
    <row r="2445" spans="1:7">
      <c r="A2445" t="s">
        <v>3283</v>
      </c>
      <c r="B2445" t="s">
        <v>7015</v>
      </c>
      <c r="C2445" t="s">
        <v>3700</v>
      </c>
      <c r="D2445" t="s">
        <v>3701</v>
      </c>
      <c r="E2445">
        <v>6</v>
      </c>
      <c r="F2445" s="6">
        <v>750</v>
      </c>
      <c r="G2445" t="s">
        <v>3871</v>
      </c>
    </row>
    <row r="2446" spans="1:7">
      <c r="A2446" t="s">
        <v>7016</v>
      </c>
      <c r="B2446" t="s">
        <v>7017</v>
      </c>
      <c r="C2446" t="s">
        <v>3700</v>
      </c>
      <c r="D2446" t="s">
        <v>3701</v>
      </c>
      <c r="E2446">
        <v>6</v>
      </c>
      <c r="F2446" s="6">
        <v>750</v>
      </c>
      <c r="G2446" t="s">
        <v>3871</v>
      </c>
    </row>
    <row r="2447" spans="1:7">
      <c r="A2447" t="s">
        <v>166</v>
      </c>
      <c r="B2447" t="s">
        <v>7018</v>
      </c>
      <c r="C2447" t="s">
        <v>3700</v>
      </c>
      <c r="D2447" t="s">
        <v>3701</v>
      </c>
      <c r="E2447">
        <v>6</v>
      </c>
      <c r="F2447" s="6">
        <v>1750</v>
      </c>
      <c r="G2447" t="s">
        <v>3730</v>
      </c>
    </row>
    <row r="2448" spans="1:7">
      <c r="A2448" t="s">
        <v>1301</v>
      </c>
      <c r="B2448" t="s">
        <v>7019</v>
      </c>
      <c r="C2448" t="s">
        <v>3700</v>
      </c>
      <c r="D2448" t="s">
        <v>3701</v>
      </c>
      <c r="E2448">
        <v>6</v>
      </c>
      <c r="F2448" s="6">
        <v>800</v>
      </c>
      <c r="G2448" t="s">
        <v>3689</v>
      </c>
    </row>
    <row r="2449" spans="1:7">
      <c r="A2449" t="s">
        <v>1004</v>
      </c>
      <c r="B2449" t="s">
        <v>7019</v>
      </c>
      <c r="C2449" t="s">
        <v>3700</v>
      </c>
      <c r="D2449" t="s">
        <v>3701</v>
      </c>
      <c r="E2449">
        <v>12</v>
      </c>
      <c r="F2449" s="6">
        <v>750</v>
      </c>
      <c r="G2449" t="s">
        <v>3689</v>
      </c>
    </row>
    <row r="2450" spans="1:7">
      <c r="A2450" t="s">
        <v>2239</v>
      </c>
      <c r="B2450" t="s">
        <v>7019</v>
      </c>
      <c r="C2450" t="s">
        <v>3700</v>
      </c>
      <c r="D2450" t="s">
        <v>3701</v>
      </c>
      <c r="E2450">
        <v>6</v>
      </c>
      <c r="F2450" s="6">
        <v>1750</v>
      </c>
      <c r="G2450" t="s">
        <v>3689</v>
      </c>
    </row>
    <row r="2451" spans="1:7">
      <c r="A2451" t="s">
        <v>1450</v>
      </c>
      <c r="B2451" t="s">
        <v>7020</v>
      </c>
      <c r="C2451" t="s">
        <v>3700</v>
      </c>
      <c r="D2451" t="s">
        <v>3701</v>
      </c>
      <c r="E2451">
        <v>6</v>
      </c>
      <c r="F2451" s="6">
        <v>1750</v>
      </c>
      <c r="G2451" t="s">
        <v>3689</v>
      </c>
    </row>
    <row r="2452" spans="1:7">
      <c r="A2452" t="s">
        <v>2933</v>
      </c>
      <c r="B2452" t="s">
        <v>7021</v>
      </c>
      <c r="C2452" t="s">
        <v>3700</v>
      </c>
      <c r="D2452" t="s">
        <v>3701</v>
      </c>
      <c r="E2452">
        <v>6</v>
      </c>
      <c r="F2452" s="6">
        <v>1750</v>
      </c>
      <c r="G2452" t="s">
        <v>3689</v>
      </c>
    </row>
    <row r="2453" spans="1:7">
      <c r="A2453" t="s">
        <v>61</v>
      </c>
      <c r="B2453" t="s">
        <v>7022</v>
      </c>
      <c r="C2453" t="s">
        <v>4084</v>
      </c>
      <c r="D2453" t="s">
        <v>4085</v>
      </c>
      <c r="E2453">
        <v>6</v>
      </c>
      <c r="F2453" s="6">
        <v>750</v>
      </c>
      <c r="G2453" t="s">
        <v>3686</v>
      </c>
    </row>
    <row r="2454" spans="1:7">
      <c r="A2454" t="s">
        <v>2383</v>
      </c>
      <c r="B2454" t="s">
        <v>7023</v>
      </c>
      <c r="C2454" t="s">
        <v>3700</v>
      </c>
      <c r="D2454" t="s">
        <v>3701</v>
      </c>
      <c r="E2454">
        <v>6</v>
      </c>
      <c r="F2454" s="6">
        <v>1750</v>
      </c>
      <c r="G2454" t="s">
        <v>3689</v>
      </c>
    </row>
    <row r="2455" spans="1:7">
      <c r="A2455" t="s">
        <v>2742</v>
      </c>
      <c r="B2455" t="s">
        <v>7024</v>
      </c>
      <c r="C2455" t="s">
        <v>3700</v>
      </c>
      <c r="D2455" t="s">
        <v>3701</v>
      </c>
      <c r="E2455">
        <v>6</v>
      </c>
      <c r="F2455" s="6">
        <v>1750</v>
      </c>
      <c r="G2455" t="s">
        <v>3689</v>
      </c>
    </row>
    <row r="2456" spans="1:7">
      <c r="A2456" t="s">
        <v>525</v>
      </c>
      <c r="B2456" t="s">
        <v>7025</v>
      </c>
      <c r="C2456" t="s">
        <v>3700</v>
      </c>
      <c r="D2456" t="s">
        <v>3701</v>
      </c>
      <c r="E2456">
        <v>6</v>
      </c>
      <c r="F2456" s="6">
        <v>1750</v>
      </c>
      <c r="G2456" t="s">
        <v>3689</v>
      </c>
    </row>
    <row r="2457" spans="1:7">
      <c r="A2457" t="s">
        <v>7026</v>
      </c>
      <c r="B2457" t="s">
        <v>7027</v>
      </c>
      <c r="C2457" t="s">
        <v>3700</v>
      </c>
      <c r="D2457" t="s">
        <v>3701</v>
      </c>
      <c r="E2457">
        <v>6</v>
      </c>
      <c r="F2457" s="6">
        <v>1750</v>
      </c>
      <c r="G2457" t="s">
        <v>3689</v>
      </c>
    </row>
    <row r="2458" spans="1:7">
      <c r="A2458" t="s">
        <v>3250</v>
      </c>
      <c r="B2458" t="s">
        <v>7028</v>
      </c>
      <c r="C2458" t="s">
        <v>3700</v>
      </c>
      <c r="D2458" t="s">
        <v>3701</v>
      </c>
      <c r="E2458">
        <v>12</v>
      </c>
      <c r="F2458" s="6">
        <v>750</v>
      </c>
      <c r="G2458" t="s">
        <v>3689</v>
      </c>
    </row>
    <row r="2459" spans="1:7">
      <c r="A2459" t="s">
        <v>842</v>
      </c>
      <c r="B2459" t="s">
        <v>7028</v>
      </c>
      <c r="C2459" t="s">
        <v>3700</v>
      </c>
      <c r="D2459" t="s">
        <v>3701</v>
      </c>
      <c r="E2459">
        <v>6</v>
      </c>
      <c r="F2459" s="6">
        <v>1750</v>
      </c>
      <c r="G2459" t="s">
        <v>3689</v>
      </c>
    </row>
    <row r="2460" spans="1:7">
      <c r="A2460" t="s">
        <v>2917</v>
      </c>
      <c r="B2460" t="s">
        <v>7029</v>
      </c>
      <c r="C2460" t="s">
        <v>3700</v>
      </c>
      <c r="D2460" t="s">
        <v>3701</v>
      </c>
      <c r="E2460">
        <v>6</v>
      </c>
      <c r="F2460" s="6">
        <v>1750</v>
      </c>
      <c r="G2460" t="s">
        <v>3689</v>
      </c>
    </row>
    <row r="2461" spans="1:7">
      <c r="A2461" t="s">
        <v>2318</v>
      </c>
      <c r="B2461" t="s">
        <v>7030</v>
      </c>
      <c r="C2461" t="s">
        <v>3700</v>
      </c>
      <c r="D2461" t="s">
        <v>3701</v>
      </c>
      <c r="E2461">
        <v>6</v>
      </c>
      <c r="F2461" s="6">
        <v>1750</v>
      </c>
      <c r="G2461" t="s">
        <v>3689</v>
      </c>
    </row>
    <row r="2462" spans="1:7">
      <c r="A2462" t="s">
        <v>472</v>
      </c>
      <c r="B2462" t="s">
        <v>3739</v>
      </c>
      <c r="C2462" t="s">
        <v>3700</v>
      </c>
      <c r="D2462" t="s">
        <v>3701</v>
      </c>
      <c r="E2462">
        <v>6</v>
      </c>
      <c r="F2462" s="6">
        <v>1750</v>
      </c>
      <c r="G2462" t="s">
        <v>3689</v>
      </c>
    </row>
    <row r="2463" spans="1:7">
      <c r="A2463" t="s">
        <v>1071</v>
      </c>
      <c r="B2463" t="s">
        <v>7031</v>
      </c>
      <c r="C2463" t="s">
        <v>3700</v>
      </c>
      <c r="D2463" t="s">
        <v>3701</v>
      </c>
      <c r="E2463">
        <v>6</v>
      </c>
      <c r="F2463" s="6">
        <v>1750</v>
      </c>
      <c r="G2463" t="s">
        <v>3689</v>
      </c>
    </row>
    <row r="2464" spans="1:7">
      <c r="A2464" t="s">
        <v>7032</v>
      </c>
      <c r="B2464" t="s">
        <v>7031</v>
      </c>
      <c r="C2464" t="s">
        <v>3700</v>
      </c>
      <c r="D2464" t="s">
        <v>3701</v>
      </c>
      <c r="E2464">
        <v>12</v>
      </c>
      <c r="F2464" s="6">
        <v>750</v>
      </c>
      <c r="G2464" t="s">
        <v>3689</v>
      </c>
    </row>
    <row r="2465" spans="1:7">
      <c r="A2465" t="s">
        <v>986</v>
      </c>
      <c r="B2465" t="s">
        <v>7033</v>
      </c>
      <c r="C2465" t="s">
        <v>3700</v>
      </c>
      <c r="D2465" t="s">
        <v>3701</v>
      </c>
      <c r="E2465">
        <v>6</v>
      </c>
      <c r="F2465" s="6">
        <v>1750</v>
      </c>
      <c r="G2465" t="s">
        <v>3689</v>
      </c>
    </row>
    <row r="2466" spans="1:7">
      <c r="A2466" t="s">
        <v>1500</v>
      </c>
      <c r="B2466" t="s">
        <v>7034</v>
      </c>
      <c r="C2466" t="s">
        <v>3700</v>
      </c>
      <c r="D2466" t="s">
        <v>3701</v>
      </c>
      <c r="E2466">
        <v>6</v>
      </c>
      <c r="F2466" s="6">
        <v>1750</v>
      </c>
      <c r="G2466" t="s">
        <v>3689</v>
      </c>
    </row>
    <row r="2467" spans="1:7">
      <c r="A2467" t="s">
        <v>7035</v>
      </c>
      <c r="B2467" t="s">
        <v>7036</v>
      </c>
      <c r="C2467" t="s">
        <v>3700</v>
      </c>
      <c r="D2467" t="s">
        <v>3701</v>
      </c>
      <c r="E2467">
        <v>6</v>
      </c>
      <c r="F2467" s="6">
        <v>1750</v>
      </c>
      <c r="G2467" t="s">
        <v>3689</v>
      </c>
    </row>
    <row r="2468" spans="1:7">
      <c r="A2468" t="s">
        <v>2867</v>
      </c>
      <c r="B2468" t="s">
        <v>7037</v>
      </c>
      <c r="C2468" t="s">
        <v>3700</v>
      </c>
      <c r="D2468" t="s">
        <v>3701</v>
      </c>
      <c r="E2468">
        <v>6</v>
      </c>
      <c r="F2468" s="6">
        <v>1750</v>
      </c>
      <c r="G2468" t="s">
        <v>3689</v>
      </c>
    </row>
    <row r="2469" spans="1:7">
      <c r="A2469" t="s">
        <v>7038</v>
      </c>
      <c r="B2469" t="s">
        <v>7025</v>
      </c>
      <c r="C2469" t="s">
        <v>3700</v>
      </c>
      <c r="D2469" t="s">
        <v>3701</v>
      </c>
      <c r="E2469">
        <v>6</v>
      </c>
      <c r="F2469" s="6">
        <v>200</v>
      </c>
      <c r="G2469" t="s">
        <v>3689</v>
      </c>
    </row>
    <row r="2470" spans="1:7">
      <c r="A2470" t="s">
        <v>7039</v>
      </c>
      <c r="B2470" t="s">
        <v>7030</v>
      </c>
      <c r="C2470" t="s">
        <v>3700</v>
      </c>
      <c r="D2470" t="s">
        <v>3701</v>
      </c>
      <c r="E2470">
        <v>6</v>
      </c>
      <c r="F2470" s="6">
        <v>200</v>
      </c>
      <c r="G2470" t="s">
        <v>3689</v>
      </c>
    </row>
    <row r="2471" spans="1:7">
      <c r="A2471" t="s">
        <v>244</v>
      </c>
      <c r="B2471" t="s">
        <v>7040</v>
      </c>
      <c r="C2471" t="s">
        <v>3700</v>
      </c>
      <c r="D2471" t="s">
        <v>3701</v>
      </c>
      <c r="E2471">
        <v>6</v>
      </c>
      <c r="F2471" s="6">
        <v>200</v>
      </c>
      <c r="G2471" t="s">
        <v>3689</v>
      </c>
    </row>
    <row r="2472" spans="1:7">
      <c r="A2472" t="s">
        <v>3533</v>
      </c>
      <c r="B2472" t="s">
        <v>7041</v>
      </c>
      <c r="C2472" t="s">
        <v>3700</v>
      </c>
      <c r="D2472" t="s">
        <v>3701</v>
      </c>
      <c r="E2472">
        <v>6</v>
      </c>
      <c r="F2472" s="6">
        <v>200</v>
      </c>
      <c r="G2472" t="s">
        <v>3689</v>
      </c>
    </row>
    <row r="2473" spans="1:7">
      <c r="A2473" t="s">
        <v>1613</v>
      </c>
      <c r="B2473" t="s">
        <v>7042</v>
      </c>
      <c r="C2473" t="s">
        <v>3700</v>
      </c>
      <c r="D2473" t="s">
        <v>3701</v>
      </c>
      <c r="E2473">
        <v>6</v>
      </c>
      <c r="F2473" s="6">
        <v>200</v>
      </c>
      <c r="G2473" t="s">
        <v>3689</v>
      </c>
    </row>
    <row r="2474" spans="1:7">
      <c r="A2474" t="s">
        <v>1108</v>
      </c>
      <c r="B2474" t="s">
        <v>7043</v>
      </c>
      <c r="C2474" t="s">
        <v>3700</v>
      </c>
      <c r="D2474" t="s">
        <v>3701</v>
      </c>
      <c r="E2474">
        <v>6</v>
      </c>
      <c r="F2474" s="6">
        <v>1750</v>
      </c>
      <c r="G2474" t="s">
        <v>3689</v>
      </c>
    </row>
    <row r="2475" spans="1:7">
      <c r="A2475" t="s">
        <v>246</v>
      </c>
      <c r="B2475" t="s">
        <v>7044</v>
      </c>
      <c r="C2475" t="s">
        <v>3700</v>
      </c>
      <c r="D2475" t="s">
        <v>3701</v>
      </c>
      <c r="E2475">
        <v>6</v>
      </c>
      <c r="F2475" s="6">
        <v>1750</v>
      </c>
      <c r="G2475" t="s">
        <v>3689</v>
      </c>
    </row>
    <row r="2476" spans="1:7">
      <c r="A2476" t="s">
        <v>7045</v>
      </c>
      <c r="B2476" t="s">
        <v>7046</v>
      </c>
      <c r="C2476" t="s">
        <v>3700</v>
      </c>
      <c r="D2476" t="s">
        <v>3701</v>
      </c>
      <c r="E2476">
        <v>12</v>
      </c>
      <c r="F2476" s="6">
        <v>375</v>
      </c>
      <c r="G2476" t="s">
        <v>3730</v>
      </c>
    </row>
    <row r="2477" spans="1:7">
      <c r="A2477" t="s">
        <v>1711</v>
      </c>
      <c r="B2477" t="s">
        <v>7047</v>
      </c>
      <c r="C2477" t="s">
        <v>3700</v>
      </c>
      <c r="D2477" t="s">
        <v>3701</v>
      </c>
      <c r="E2477">
        <v>12</v>
      </c>
      <c r="F2477" s="6">
        <v>1000</v>
      </c>
      <c r="G2477" t="s">
        <v>3686</v>
      </c>
    </row>
    <row r="2478" spans="1:7">
      <c r="A2478" t="s">
        <v>7048</v>
      </c>
      <c r="B2478" t="s">
        <v>7049</v>
      </c>
      <c r="C2478" t="s">
        <v>3700</v>
      </c>
      <c r="D2478" t="s">
        <v>3701</v>
      </c>
      <c r="E2478">
        <v>6</v>
      </c>
      <c r="F2478" s="6">
        <v>1750</v>
      </c>
      <c r="G2478" t="s">
        <v>3689</v>
      </c>
    </row>
    <row r="2479" spans="1:7">
      <c r="A2479" t="s">
        <v>863</v>
      </c>
      <c r="B2479" t="s">
        <v>7050</v>
      </c>
      <c r="C2479" t="s">
        <v>3679</v>
      </c>
      <c r="D2479" t="s">
        <v>3680</v>
      </c>
      <c r="E2479">
        <v>6</v>
      </c>
      <c r="F2479" s="6">
        <v>1750</v>
      </c>
      <c r="G2479" t="s">
        <v>3689</v>
      </c>
    </row>
    <row r="2480" spans="1:7">
      <c r="A2480" t="s">
        <v>1568</v>
      </c>
      <c r="B2480" t="s">
        <v>7051</v>
      </c>
      <c r="C2480" t="s">
        <v>3700</v>
      </c>
      <c r="D2480" t="s">
        <v>3701</v>
      </c>
      <c r="E2480">
        <v>6</v>
      </c>
      <c r="F2480" s="6">
        <v>1750</v>
      </c>
      <c r="G2480" t="s">
        <v>3689</v>
      </c>
    </row>
    <row r="2481" spans="1:7">
      <c r="A2481" t="s">
        <v>7052</v>
      </c>
      <c r="B2481" t="s">
        <v>7053</v>
      </c>
      <c r="C2481" t="s">
        <v>3700</v>
      </c>
      <c r="D2481" t="s">
        <v>3701</v>
      </c>
      <c r="E2481">
        <v>6</v>
      </c>
      <c r="F2481" s="6">
        <v>1750</v>
      </c>
      <c r="G2481" t="s">
        <v>3802</v>
      </c>
    </row>
    <row r="2482" spans="1:7">
      <c r="A2482" t="s">
        <v>2740</v>
      </c>
      <c r="B2482" t="s">
        <v>7054</v>
      </c>
      <c r="C2482" t="s">
        <v>3679</v>
      </c>
      <c r="D2482" t="s">
        <v>3680</v>
      </c>
      <c r="E2482">
        <v>12</v>
      </c>
      <c r="F2482" s="6">
        <v>750</v>
      </c>
      <c r="G2482" t="s">
        <v>3931</v>
      </c>
    </row>
    <row r="2483" spans="1:7">
      <c r="A2483" t="s">
        <v>7055</v>
      </c>
      <c r="B2483" t="s">
        <v>7054</v>
      </c>
      <c r="C2483" t="s">
        <v>3679</v>
      </c>
      <c r="D2483" t="s">
        <v>3680</v>
      </c>
      <c r="E2483">
        <v>6</v>
      </c>
      <c r="F2483" s="6">
        <v>1750</v>
      </c>
      <c r="G2483" t="s">
        <v>3931</v>
      </c>
    </row>
    <row r="2484" spans="1:7">
      <c r="A2484" t="s">
        <v>7056</v>
      </c>
      <c r="B2484" t="s">
        <v>7057</v>
      </c>
      <c r="C2484" t="s">
        <v>3679</v>
      </c>
      <c r="D2484" t="s">
        <v>3680</v>
      </c>
      <c r="E2484">
        <v>12</v>
      </c>
      <c r="F2484" s="6">
        <v>750</v>
      </c>
      <c r="G2484" t="s">
        <v>3931</v>
      </c>
    </row>
    <row r="2485" spans="1:7">
      <c r="A2485" t="s">
        <v>1918</v>
      </c>
      <c r="B2485" t="s">
        <v>7058</v>
      </c>
      <c r="C2485" t="s">
        <v>3700</v>
      </c>
      <c r="D2485" t="s">
        <v>3701</v>
      </c>
      <c r="E2485">
        <v>6</v>
      </c>
      <c r="F2485" s="6">
        <v>1750</v>
      </c>
      <c r="G2485" t="s">
        <v>3689</v>
      </c>
    </row>
    <row r="2486" spans="1:7">
      <c r="A2486" t="s">
        <v>7059</v>
      </c>
      <c r="B2486" t="s">
        <v>7060</v>
      </c>
      <c r="C2486" t="s">
        <v>3700</v>
      </c>
      <c r="D2486" t="s">
        <v>3701</v>
      </c>
      <c r="E2486">
        <v>6</v>
      </c>
      <c r="F2486" s="6">
        <v>1750</v>
      </c>
      <c r="G2486" t="s">
        <v>3689</v>
      </c>
    </row>
    <row r="2487" spans="1:7">
      <c r="A2487" t="s">
        <v>236</v>
      </c>
      <c r="B2487" t="s">
        <v>7061</v>
      </c>
      <c r="C2487" t="s">
        <v>3700</v>
      </c>
      <c r="D2487" t="s">
        <v>3701</v>
      </c>
      <c r="E2487">
        <v>6</v>
      </c>
      <c r="F2487" s="6">
        <v>1750</v>
      </c>
      <c r="G2487" t="s">
        <v>3689</v>
      </c>
    </row>
    <row r="2488" spans="1:7">
      <c r="A2488" t="s">
        <v>2478</v>
      </c>
      <c r="B2488" t="s">
        <v>7062</v>
      </c>
      <c r="C2488" t="s">
        <v>3700</v>
      </c>
      <c r="D2488" t="s">
        <v>3701</v>
      </c>
      <c r="E2488">
        <v>6</v>
      </c>
      <c r="F2488" s="6">
        <v>1750</v>
      </c>
      <c r="G2488" t="s">
        <v>3689</v>
      </c>
    </row>
    <row r="2489" spans="1:7">
      <c r="A2489" t="s">
        <v>2173</v>
      </c>
      <c r="B2489" t="s">
        <v>7063</v>
      </c>
      <c r="C2489" t="s">
        <v>3700</v>
      </c>
      <c r="D2489" t="s">
        <v>3701</v>
      </c>
      <c r="E2489">
        <v>6</v>
      </c>
      <c r="F2489" s="6">
        <v>1750</v>
      </c>
      <c r="G2489" t="s">
        <v>3689</v>
      </c>
    </row>
    <row r="2490" spans="1:7">
      <c r="A2490" t="s">
        <v>7064</v>
      </c>
      <c r="B2490" t="s">
        <v>7065</v>
      </c>
      <c r="C2490" t="s">
        <v>3700</v>
      </c>
      <c r="D2490" t="s">
        <v>3701</v>
      </c>
      <c r="E2490">
        <v>6</v>
      </c>
      <c r="F2490" s="6">
        <v>1750</v>
      </c>
      <c r="G2490" t="s">
        <v>4509</v>
      </c>
    </row>
    <row r="2491" spans="1:7">
      <c r="A2491" t="s">
        <v>158</v>
      </c>
      <c r="B2491" t="s">
        <v>7066</v>
      </c>
      <c r="C2491" t="s">
        <v>4084</v>
      </c>
      <c r="D2491" t="s">
        <v>4085</v>
      </c>
      <c r="E2491">
        <v>6</v>
      </c>
      <c r="F2491" s="6">
        <v>750</v>
      </c>
      <c r="G2491" t="s">
        <v>3763</v>
      </c>
    </row>
    <row r="2492" spans="1:7">
      <c r="A2492" t="s">
        <v>3598</v>
      </c>
      <c r="B2492" t="s">
        <v>7067</v>
      </c>
      <c r="C2492" t="s">
        <v>3700</v>
      </c>
      <c r="D2492" t="s">
        <v>3701</v>
      </c>
      <c r="E2492">
        <v>6</v>
      </c>
      <c r="F2492" s="6">
        <v>1750</v>
      </c>
      <c r="G2492" t="s">
        <v>3689</v>
      </c>
    </row>
    <row r="2493" spans="1:7">
      <c r="A2493" t="s">
        <v>1719</v>
      </c>
      <c r="B2493" t="s">
        <v>7068</v>
      </c>
      <c r="C2493" t="s">
        <v>3700</v>
      </c>
      <c r="D2493" t="s">
        <v>3701</v>
      </c>
      <c r="E2493">
        <v>6</v>
      </c>
      <c r="F2493" s="6">
        <v>1750</v>
      </c>
      <c r="G2493" t="s">
        <v>3689</v>
      </c>
    </row>
    <row r="2494" spans="1:7">
      <c r="A2494" t="s">
        <v>678</v>
      </c>
      <c r="B2494" t="s">
        <v>7069</v>
      </c>
      <c r="C2494" t="s">
        <v>3700</v>
      </c>
      <c r="D2494" t="s">
        <v>3701</v>
      </c>
      <c r="E2494">
        <v>6</v>
      </c>
      <c r="F2494" s="6">
        <v>1750</v>
      </c>
      <c r="G2494" t="s">
        <v>3689</v>
      </c>
    </row>
    <row r="2495" spans="1:7">
      <c r="A2495" t="s">
        <v>2337</v>
      </c>
      <c r="B2495" t="s">
        <v>7070</v>
      </c>
      <c r="C2495" t="s">
        <v>3700</v>
      </c>
      <c r="D2495" t="s">
        <v>3701</v>
      </c>
      <c r="E2495">
        <v>6</v>
      </c>
      <c r="F2495" s="6">
        <v>1750</v>
      </c>
      <c r="G2495" t="s">
        <v>3689</v>
      </c>
    </row>
    <row r="2496" spans="1:7">
      <c r="A2496" t="s">
        <v>2851</v>
      </c>
      <c r="B2496" t="s">
        <v>7071</v>
      </c>
      <c r="C2496" t="s">
        <v>3700</v>
      </c>
      <c r="D2496" t="s">
        <v>3701</v>
      </c>
      <c r="E2496">
        <v>6</v>
      </c>
      <c r="F2496" s="6">
        <v>1750</v>
      </c>
      <c r="G2496" t="s">
        <v>3689</v>
      </c>
    </row>
    <row r="2497" spans="1:7">
      <c r="A2497" t="s">
        <v>7072</v>
      </c>
      <c r="B2497" t="s">
        <v>7073</v>
      </c>
      <c r="C2497" t="s">
        <v>3700</v>
      </c>
      <c r="D2497" t="s">
        <v>3701</v>
      </c>
      <c r="E2497">
        <v>6</v>
      </c>
      <c r="F2497" s="6">
        <v>1750</v>
      </c>
      <c r="G2497" t="s">
        <v>3689</v>
      </c>
    </row>
    <row r="2498" spans="1:7">
      <c r="A2498" t="s">
        <v>655</v>
      </c>
      <c r="B2498" t="s">
        <v>7074</v>
      </c>
      <c r="C2498" t="s">
        <v>3700</v>
      </c>
      <c r="D2498" t="s">
        <v>3701</v>
      </c>
      <c r="E2498">
        <v>6</v>
      </c>
      <c r="F2498" s="6">
        <v>1750</v>
      </c>
      <c r="G2498" t="s">
        <v>3689</v>
      </c>
    </row>
    <row r="2499" spans="1:7">
      <c r="A2499" t="s">
        <v>3314</v>
      </c>
      <c r="B2499" t="s">
        <v>7075</v>
      </c>
      <c r="C2499" t="s">
        <v>3700</v>
      </c>
      <c r="D2499" t="s">
        <v>3701</v>
      </c>
      <c r="E2499">
        <v>12</v>
      </c>
      <c r="F2499" s="6">
        <v>1000</v>
      </c>
      <c r="G2499" t="s">
        <v>4509</v>
      </c>
    </row>
    <row r="2500" spans="1:7">
      <c r="A2500" t="s">
        <v>7076</v>
      </c>
      <c r="B2500" t="s">
        <v>7065</v>
      </c>
      <c r="C2500" t="s">
        <v>3700</v>
      </c>
      <c r="D2500" t="s">
        <v>3701</v>
      </c>
      <c r="E2500">
        <v>12</v>
      </c>
      <c r="F2500" s="6">
        <v>1000</v>
      </c>
      <c r="G2500" t="s">
        <v>4509</v>
      </c>
    </row>
    <row r="2501" spans="1:7">
      <c r="A2501" t="s">
        <v>7077</v>
      </c>
      <c r="B2501" t="s">
        <v>7078</v>
      </c>
      <c r="C2501" t="s">
        <v>3700</v>
      </c>
      <c r="D2501" t="s">
        <v>3701</v>
      </c>
      <c r="E2501">
        <v>12</v>
      </c>
      <c r="F2501" s="6">
        <v>1000</v>
      </c>
      <c r="G2501" t="s">
        <v>4509</v>
      </c>
    </row>
    <row r="2502" spans="1:7">
      <c r="A2502" t="s">
        <v>1088</v>
      </c>
      <c r="B2502" t="s">
        <v>7079</v>
      </c>
      <c r="C2502" t="s">
        <v>3700</v>
      </c>
      <c r="D2502" t="s">
        <v>3701</v>
      </c>
      <c r="E2502">
        <v>6</v>
      </c>
      <c r="F2502" s="6">
        <v>1750</v>
      </c>
      <c r="G2502" t="s">
        <v>3686</v>
      </c>
    </row>
    <row r="2503" spans="1:7">
      <c r="A2503" t="s">
        <v>2329</v>
      </c>
      <c r="B2503" t="s">
        <v>7080</v>
      </c>
      <c r="C2503" t="s">
        <v>4084</v>
      </c>
      <c r="D2503" t="s">
        <v>4085</v>
      </c>
      <c r="E2503">
        <v>6</v>
      </c>
      <c r="F2503" s="6">
        <v>750</v>
      </c>
      <c r="G2503" t="s">
        <v>3681</v>
      </c>
    </row>
    <row r="2504" spans="1:7">
      <c r="A2504" t="s">
        <v>7081</v>
      </c>
      <c r="B2504" t="s">
        <v>7082</v>
      </c>
      <c r="C2504" t="s">
        <v>3700</v>
      </c>
      <c r="D2504" t="s">
        <v>3701</v>
      </c>
      <c r="E2504">
        <v>12</v>
      </c>
      <c r="F2504" s="6">
        <v>375</v>
      </c>
      <c r="G2504" t="s">
        <v>3802</v>
      </c>
    </row>
    <row r="2505" spans="1:7">
      <c r="A2505" t="s">
        <v>7083</v>
      </c>
      <c r="B2505" t="s">
        <v>7084</v>
      </c>
      <c r="C2505" t="s">
        <v>3700</v>
      </c>
      <c r="D2505" t="s">
        <v>3701</v>
      </c>
      <c r="E2505">
        <v>12</v>
      </c>
      <c r="F2505" s="6">
        <v>375</v>
      </c>
      <c r="G2505" t="s">
        <v>3802</v>
      </c>
    </row>
    <row r="2506" spans="1:7">
      <c r="A2506" t="s">
        <v>7085</v>
      </c>
      <c r="B2506" t="s">
        <v>7086</v>
      </c>
      <c r="C2506" t="s">
        <v>3700</v>
      </c>
      <c r="D2506" t="s">
        <v>3701</v>
      </c>
      <c r="E2506">
        <v>12</v>
      </c>
      <c r="F2506" s="6">
        <v>375</v>
      </c>
      <c r="G2506" t="s">
        <v>3802</v>
      </c>
    </row>
    <row r="2507" spans="1:7">
      <c r="A2507" t="s">
        <v>7087</v>
      </c>
      <c r="B2507" t="s">
        <v>7088</v>
      </c>
      <c r="C2507" t="s">
        <v>3700</v>
      </c>
      <c r="D2507" t="s">
        <v>3701</v>
      </c>
      <c r="E2507">
        <v>12</v>
      </c>
      <c r="F2507" s="6">
        <v>375</v>
      </c>
      <c r="G2507" t="s">
        <v>3802</v>
      </c>
    </row>
    <row r="2508" spans="1:7">
      <c r="A2508" t="s">
        <v>7089</v>
      </c>
      <c r="B2508" t="s">
        <v>7090</v>
      </c>
      <c r="C2508" t="s">
        <v>3700</v>
      </c>
      <c r="D2508" t="s">
        <v>3701</v>
      </c>
      <c r="E2508">
        <v>12</v>
      </c>
      <c r="F2508" s="6">
        <v>375</v>
      </c>
      <c r="G2508" t="s">
        <v>3802</v>
      </c>
    </row>
    <row r="2509" spans="1:7">
      <c r="A2509" t="s">
        <v>7091</v>
      </c>
      <c r="B2509" t="s">
        <v>7092</v>
      </c>
      <c r="C2509" t="s">
        <v>3700</v>
      </c>
      <c r="D2509" t="s">
        <v>3701</v>
      </c>
      <c r="E2509">
        <v>12</v>
      </c>
      <c r="F2509" s="6">
        <v>375</v>
      </c>
      <c r="G2509" t="s">
        <v>3802</v>
      </c>
    </row>
    <row r="2510" spans="1:7">
      <c r="A2510" t="s">
        <v>7093</v>
      </c>
      <c r="B2510" t="s">
        <v>7094</v>
      </c>
      <c r="C2510" t="s">
        <v>3700</v>
      </c>
      <c r="D2510" t="s">
        <v>3701</v>
      </c>
      <c r="E2510">
        <v>12</v>
      </c>
      <c r="F2510" s="6">
        <v>375</v>
      </c>
      <c r="G2510" t="s">
        <v>3802</v>
      </c>
    </row>
    <row r="2511" spans="1:7">
      <c r="A2511" t="s">
        <v>7095</v>
      </c>
      <c r="B2511" t="s">
        <v>7096</v>
      </c>
      <c r="C2511" t="s">
        <v>3700</v>
      </c>
      <c r="D2511" t="s">
        <v>3701</v>
      </c>
      <c r="E2511">
        <v>12</v>
      </c>
      <c r="F2511" s="6">
        <v>375</v>
      </c>
      <c r="G2511" t="s">
        <v>3802</v>
      </c>
    </row>
    <row r="2512" spans="1:7">
      <c r="A2512" t="s">
        <v>7097</v>
      </c>
      <c r="B2512" t="s">
        <v>7098</v>
      </c>
      <c r="C2512" t="s">
        <v>4084</v>
      </c>
      <c r="D2512" t="s">
        <v>4085</v>
      </c>
      <c r="E2512">
        <v>12</v>
      </c>
      <c r="F2512" s="6">
        <v>750</v>
      </c>
      <c r="G2512" t="s">
        <v>6746</v>
      </c>
    </row>
    <row r="2513" spans="1:7">
      <c r="A2513" t="s">
        <v>7099</v>
      </c>
      <c r="B2513" t="s">
        <v>7100</v>
      </c>
      <c r="C2513" t="s">
        <v>3700</v>
      </c>
      <c r="D2513" t="s">
        <v>3701</v>
      </c>
      <c r="E2513">
        <v>6</v>
      </c>
      <c r="F2513" s="6">
        <v>750</v>
      </c>
      <c r="G2513" t="s">
        <v>3716</v>
      </c>
    </row>
    <row r="2514" spans="1:7">
      <c r="A2514" t="s">
        <v>7101</v>
      </c>
      <c r="B2514" t="s">
        <v>7100</v>
      </c>
      <c r="C2514" t="s">
        <v>3700</v>
      </c>
      <c r="D2514" t="s">
        <v>3701</v>
      </c>
      <c r="E2514">
        <v>12</v>
      </c>
      <c r="F2514" s="6">
        <v>375</v>
      </c>
      <c r="G2514" t="s">
        <v>3716</v>
      </c>
    </row>
    <row r="2515" spans="1:7">
      <c r="A2515" t="s">
        <v>770</v>
      </c>
      <c r="B2515" t="s">
        <v>7102</v>
      </c>
      <c r="C2515" t="s">
        <v>3700</v>
      </c>
      <c r="D2515" t="s">
        <v>3701</v>
      </c>
      <c r="E2515">
        <v>6</v>
      </c>
      <c r="F2515" s="6">
        <v>750</v>
      </c>
      <c r="G2515" t="s">
        <v>3716</v>
      </c>
    </row>
    <row r="2516" spans="1:7">
      <c r="A2516" t="s">
        <v>7103</v>
      </c>
      <c r="B2516" t="s">
        <v>7102</v>
      </c>
      <c r="C2516" t="s">
        <v>3700</v>
      </c>
      <c r="D2516" t="s">
        <v>3701</v>
      </c>
      <c r="E2516">
        <v>12</v>
      </c>
      <c r="F2516" s="6">
        <v>375</v>
      </c>
      <c r="G2516" t="s">
        <v>3716</v>
      </c>
    </row>
    <row r="2517" spans="1:7">
      <c r="A2517" t="s">
        <v>7104</v>
      </c>
      <c r="B2517" t="s">
        <v>7105</v>
      </c>
      <c r="C2517" t="s">
        <v>3700</v>
      </c>
      <c r="D2517" t="s">
        <v>3701</v>
      </c>
      <c r="E2517">
        <v>12</v>
      </c>
      <c r="F2517" s="6">
        <v>375</v>
      </c>
      <c r="G2517" t="s">
        <v>3716</v>
      </c>
    </row>
    <row r="2518" spans="1:7">
      <c r="A2518" t="s">
        <v>7106</v>
      </c>
      <c r="B2518" t="s">
        <v>7105</v>
      </c>
      <c r="C2518" t="s">
        <v>3700</v>
      </c>
      <c r="D2518" t="s">
        <v>3701</v>
      </c>
      <c r="E2518">
        <v>6</v>
      </c>
      <c r="F2518" s="6">
        <v>750</v>
      </c>
      <c r="G2518" t="s">
        <v>3716</v>
      </c>
    </row>
    <row r="2519" spans="1:7">
      <c r="A2519" t="s">
        <v>2912</v>
      </c>
      <c r="B2519" t="s">
        <v>7107</v>
      </c>
      <c r="C2519" t="s">
        <v>3700</v>
      </c>
      <c r="D2519" t="s">
        <v>3701</v>
      </c>
      <c r="E2519">
        <v>6</v>
      </c>
      <c r="F2519" s="6">
        <v>750</v>
      </c>
      <c r="G2519" t="s">
        <v>3705</v>
      </c>
    </row>
    <row r="2520" spans="1:7">
      <c r="A2520" t="s">
        <v>7108</v>
      </c>
      <c r="B2520" t="s">
        <v>7107</v>
      </c>
      <c r="C2520" t="s">
        <v>3700</v>
      </c>
      <c r="D2520" t="s">
        <v>3701</v>
      </c>
      <c r="E2520">
        <v>12</v>
      </c>
      <c r="F2520" s="6">
        <v>375</v>
      </c>
      <c r="G2520" t="s">
        <v>3705</v>
      </c>
    </row>
    <row r="2521" spans="1:7">
      <c r="A2521" t="s">
        <v>7109</v>
      </c>
      <c r="B2521" t="s">
        <v>7110</v>
      </c>
      <c r="C2521" t="s">
        <v>3684</v>
      </c>
      <c r="D2521" t="s">
        <v>3685</v>
      </c>
      <c r="E2521">
        <v>6</v>
      </c>
      <c r="F2521" s="6">
        <v>750</v>
      </c>
      <c r="G2521" t="s">
        <v>3763</v>
      </c>
    </row>
    <row r="2522" spans="1:7">
      <c r="A2522" t="s">
        <v>7111</v>
      </c>
      <c r="B2522" t="s">
        <v>7112</v>
      </c>
      <c r="C2522" t="s">
        <v>4084</v>
      </c>
      <c r="D2522" t="s">
        <v>4085</v>
      </c>
      <c r="E2522">
        <v>6</v>
      </c>
      <c r="F2522" s="6">
        <v>750</v>
      </c>
      <c r="G2522" t="s">
        <v>3754</v>
      </c>
    </row>
    <row r="2523" spans="1:7">
      <c r="A2523" t="s">
        <v>1556</v>
      </c>
      <c r="B2523" t="s">
        <v>7113</v>
      </c>
      <c r="C2523" t="s">
        <v>3928</v>
      </c>
      <c r="D2523" t="s">
        <v>3929</v>
      </c>
      <c r="E2523">
        <v>6</v>
      </c>
      <c r="F2523" s="6">
        <v>750</v>
      </c>
      <c r="G2523" t="s">
        <v>3686</v>
      </c>
    </row>
    <row r="2524" spans="1:7">
      <c r="A2524" t="s">
        <v>7114</v>
      </c>
      <c r="B2524" t="s">
        <v>7115</v>
      </c>
      <c r="C2524" t="s">
        <v>3928</v>
      </c>
      <c r="D2524" t="s">
        <v>3929</v>
      </c>
      <c r="E2524">
        <v>6</v>
      </c>
      <c r="F2524" s="6">
        <v>750</v>
      </c>
      <c r="G2524" t="s">
        <v>3686</v>
      </c>
    </row>
    <row r="2525" spans="1:7">
      <c r="A2525" t="s">
        <v>1837</v>
      </c>
      <c r="B2525" t="s">
        <v>7116</v>
      </c>
      <c r="C2525" t="s">
        <v>3684</v>
      </c>
      <c r="D2525" t="s">
        <v>3685</v>
      </c>
      <c r="E2525">
        <v>12</v>
      </c>
      <c r="F2525" s="6">
        <v>750</v>
      </c>
      <c r="G2525" t="s">
        <v>3730</v>
      </c>
    </row>
    <row r="2526" spans="1:7">
      <c r="A2526" t="s">
        <v>7117</v>
      </c>
      <c r="B2526" t="s">
        <v>7118</v>
      </c>
      <c r="C2526" t="s">
        <v>3684</v>
      </c>
      <c r="D2526" t="s">
        <v>3685</v>
      </c>
      <c r="E2526">
        <v>6</v>
      </c>
      <c r="F2526" s="6">
        <v>750</v>
      </c>
      <c r="G2526" t="s">
        <v>3763</v>
      </c>
    </row>
    <row r="2527" spans="1:7">
      <c r="A2527" t="s">
        <v>7119</v>
      </c>
      <c r="B2527" t="s">
        <v>7120</v>
      </c>
      <c r="C2527" t="s">
        <v>4084</v>
      </c>
      <c r="D2527" t="s">
        <v>4085</v>
      </c>
      <c r="E2527">
        <v>6</v>
      </c>
      <c r="F2527" s="6">
        <v>750</v>
      </c>
      <c r="G2527" t="s">
        <v>3763</v>
      </c>
    </row>
    <row r="2528" spans="1:7">
      <c r="A2528" t="s">
        <v>38</v>
      </c>
      <c r="B2528" t="s">
        <v>7121</v>
      </c>
      <c r="C2528" t="s">
        <v>3684</v>
      </c>
      <c r="D2528" t="s">
        <v>3685</v>
      </c>
      <c r="E2528">
        <v>6</v>
      </c>
      <c r="F2528" s="6">
        <v>750</v>
      </c>
      <c r="G2528" t="s">
        <v>3730</v>
      </c>
    </row>
    <row r="2529" spans="1:7">
      <c r="A2529" t="s">
        <v>2847</v>
      </c>
      <c r="B2529" t="s">
        <v>7122</v>
      </c>
      <c r="C2529" t="s">
        <v>3679</v>
      </c>
      <c r="D2529" t="s">
        <v>3680</v>
      </c>
      <c r="E2529">
        <v>6</v>
      </c>
      <c r="F2529" s="6">
        <v>750</v>
      </c>
      <c r="G2529" t="s">
        <v>3713</v>
      </c>
    </row>
    <row r="2530" spans="1:7">
      <c r="A2530" t="s">
        <v>7123</v>
      </c>
      <c r="B2530" t="s">
        <v>7124</v>
      </c>
      <c r="C2530" t="s">
        <v>4084</v>
      </c>
      <c r="D2530" t="s">
        <v>4085</v>
      </c>
      <c r="E2530">
        <v>6</v>
      </c>
      <c r="F2530" s="6">
        <v>750</v>
      </c>
      <c r="G2530" t="s">
        <v>3713</v>
      </c>
    </row>
    <row r="2531" spans="1:7">
      <c r="A2531" t="s">
        <v>2306</v>
      </c>
      <c r="B2531" t="s">
        <v>6846</v>
      </c>
      <c r="C2531" t="s">
        <v>3684</v>
      </c>
      <c r="D2531" t="s">
        <v>3685</v>
      </c>
      <c r="E2531">
        <v>6</v>
      </c>
      <c r="F2531" s="6">
        <v>1750</v>
      </c>
      <c r="G2531" t="s">
        <v>3730</v>
      </c>
    </row>
    <row r="2532" spans="1:7">
      <c r="A2532" t="s">
        <v>3652</v>
      </c>
      <c r="B2532" t="s">
        <v>7125</v>
      </c>
      <c r="C2532" t="s">
        <v>3679</v>
      </c>
      <c r="D2532" t="s">
        <v>3680</v>
      </c>
      <c r="E2532">
        <v>6</v>
      </c>
      <c r="F2532" s="6">
        <v>750</v>
      </c>
      <c r="G2532" t="s">
        <v>3705</v>
      </c>
    </row>
    <row r="2533" spans="1:7">
      <c r="A2533" t="s">
        <v>7126</v>
      </c>
      <c r="B2533" t="s">
        <v>7127</v>
      </c>
      <c r="C2533" t="s">
        <v>3700</v>
      </c>
      <c r="D2533" t="s">
        <v>3701</v>
      </c>
      <c r="E2533">
        <v>6</v>
      </c>
      <c r="F2533" s="6">
        <v>750</v>
      </c>
      <c r="G2533" t="s">
        <v>3951</v>
      </c>
    </row>
    <row r="2534" spans="1:7">
      <c r="A2534" t="s">
        <v>7128</v>
      </c>
      <c r="B2534" t="s">
        <v>7129</v>
      </c>
      <c r="C2534" t="s">
        <v>3700</v>
      </c>
      <c r="D2534" t="s">
        <v>3701</v>
      </c>
      <c r="E2534">
        <v>6</v>
      </c>
      <c r="F2534" s="6">
        <v>750</v>
      </c>
      <c r="G2534" t="s">
        <v>3951</v>
      </c>
    </row>
    <row r="2535" spans="1:7">
      <c r="A2535" t="s">
        <v>7130</v>
      </c>
      <c r="B2535" t="s">
        <v>7131</v>
      </c>
      <c r="C2535" t="s">
        <v>3679</v>
      </c>
      <c r="D2535" t="s">
        <v>3680</v>
      </c>
      <c r="E2535">
        <v>6</v>
      </c>
      <c r="F2535" s="6">
        <v>750</v>
      </c>
      <c r="G2535" t="s">
        <v>3763</v>
      </c>
    </row>
    <row r="2536" spans="1:7">
      <c r="A2536" t="s">
        <v>7132</v>
      </c>
      <c r="B2536" t="s">
        <v>7133</v>
      </c>
      <c r="C2536" t="s">
        <v>3679</v>
      </c>
      <c r="D2536" t="s">
        <v>3680</v>
      </c>
      <c r="E2536">
        <v>12</v>
      </c>
      <c r="F2536" s="6">
        <v>750</v>
      </c>
      <c r="G2536" t="s">
        <v>6906</v>
      </c>
    </row>
    <row r="2537" spans="1:7">
      <c r="A2537" t="s">
        <v>7134</v>
      </c>
      <c r="B2537" t="s">
        <v>7133</v>
      </c>
      <c r="C2537" t="s">
        <v>3679</v>
      </c>
      <c r="D2537" t="s">
        <v>3680</v>
      </c>
      <c r="E2537">
        <v>6</v>
      </c>
      <c r="F2537" s="6">
        <v>1750</v>
      </c>
      <c r="G2537" t="s">
        <v>6906</v>
      </c>
    </row>
    <row r="2538" spans="1:7">
      <c r="A2538" t="s">
        <v>7135</v>
      </c>
      <c r="B2538" t="s">
        <v>7136</v>
      </c>
      <c r="C2538" t="s">
        <v>3684</v>
      </c>
      <c r="D2538" t="s">
        <v>3685</v>
      </c>
      <c r="E2538">
        <v>6</v>
      </c>
      <c r="F2538" s="6">
        <v>700</v>
      </c>
      <c r="G2538" t="s">
        <v>3966</v>
      </c>
    </row>
    <row r="2539" spans="1:7">
      <c r="A2539" t="s">
        <v>7137</v>
      </c>
      <c r="B2539" t="s">
        <v>7138</v>
      </c>
      <c r="C2539" t="s">
        <v>3679</v>
      </c>
      <c r="D2539" t="s">
        <v>3680</v>
      </c>
      <c r="E2539">
        <v>6</v>
      </c>
      <c r="F2539" s="6">
        <v>750</v>
      </c>
      <c r="G2539" t="s">
        <v>3681</v>
      </c>
    </row>
    <row r="2540" spans="1:7">
      <c r="A2540" t="s">
        <v>520</v>
      </c>
      <c r="B2540" t="s">
        <v>7139</v>
      </c>
      <c r="C2540" t="s">
        <v>3700</v>
      </c>
      <c r="D2540" t="s">
        <v>3701</v>
      </c>
      <c r="E2540">
        <v>12</v>
      </c>
      <c r="F2540" s="6">
        <v>375</v>
      </c>
      <c r="G2540" t="s">
        <v>3730</v>
      </c>
    </row>
    <row r="2541" spans="1:7">
      <c r="A2541" t="s">
        <v>1994</v>
      </c>
      <c r="B2541" t="s">
        <v>7140</v>
      </c>
      <c r="C2541" t="s">
        <v>4084</v>
      </c>
      <c r="D2541" t="s">
        <v>4085</v>
      </c>
      <c r="E2541">
        <v>12</v>
      </c>
      <c r="F2541" s="6">
        <v>750</v>
      </c>
      <c r="G2541" t="s">
        <v>3730</v>
      </c>
    </row>
    <row r="2542" spans="1:7">
      <c r="A2542" t="s">
        <v>3057</v>
      </c>
      <c r="B2542" t="s">
        <v>7141</v>
      </c>
      <c r="C2542" t="s">
        <v>3700</v>
      </c>
      <c r="D2542" t="s">
        <v>3701</v>
      </c>
      <c r="E2542">
        <v>6</v>
      </c>
      <c r="F2542" s="6">
        <v>1750</v>
      </c>
      <c r="G2542" t="s">
        <v>3681</v>
      </c>
    </row>
    <row r="2543" spans="1:7">
      <c r="A2543" t="s">
        <v>2124</v>
      </c>
      <c r="B2543" t="s">
        <v>7142</v>
      </c>
      <c r="C2543" t="s">
        <v>3700</v>
      </c>
      <c r="D2543" t="s">
        <v>3701</v>
      </c>
      <c r="E2543">
        <v>12</v>
      </c>
      <c r="F2543" s="6">
        <v>1000</v>
      </c>
      <c r="G2543" t="s">
        <v>4163</v>
      </c>
    </row>
    <row r="2544" spans="1:7">
      <c r="A2544" t="s">
        <v>7143</v>
      </c>
      <c r="B2544" t="s">
        <v>7144</v>
      </c>
      <c r="C2544" t="s">
        <v>3700</v>
      </c>
      <c r="D2544" t="s">
        <v>3701</v>
      </c>
      <c r="E2544">
        <v>6</v>
      </c>
      <c r="F2544" s="6">
        <v>1750</v>
      </c>
      <c r="G2544" t="s">
        <v>4331</v>
      </c>
    </row>
    <row r="2545" spans="1:7">
      <c r="A2545" t="s">
        <v>7145</v>
      </c>
      <c r="B2545" t="s">
        <v>7146</v>
      </c>
      <c r="C2545" t="s">
        <v>3700</v>
      </c>
      <c r="D2545" t="s">
        <v>3701</v>
      </c>
      <c r="E2545">
        <v>6</v>
      </c>
      <c r="F2545" s="6">
        <v>1750</v>
      </c>
      <c r="G2545" t="s">
        <v>4331</v>
      </c>
    </row>
    <row r="2546" spans="1:7">
      <c r="A2546" t="s">
        <v>7147</v>
      </c>
      <c r="B2546" t="s">
        <v>7148</v>
      </c>
      <c r="C2546" t="s">
        <v>3700</v>
      </c>
      <c r="D2546" t="s">
        <v>3701</v>
      </c>
      <c r="E2546">
        <v>6</v>
      </c>
      <c r="F2546" s="6">
        <v>1750</v>
      </c>
      <c r="G2546" t="s">
        <v>4331</v>
      </c>
    </row>
    <row r="2547" spans="1:7">
      <c r="A2547" t="s">
        <v>442</v>
      </c>
      <c r="B2547" t="s">
        <v>7149</v>
      </c>
      <c r="C2547" t="s">
        <v>4084</v>
      </c>
      <c r="D2547" t="s">
        <v>4085</v>
      </c>
      <c r="E2547">
        <v>6</v>
      </c>
      <c r="F2547" s="6">
        <v>750</v>
      </c>
      <c r="G2547" t="s">
        <v>3763</v>
      </c>
    </row>
    <row r="2548" spans="1:7">
      <c r="A2548" t="s">
        <v>479</v>
      </c>
      <c r="B2548" t="s">
        <v>7150</v>
      </c>
      <c r="C2548" t="s">
        <v>4084</v>
      </c>
      <c r="D2548" t="s">
        <v>4085</v>
      </c>
      <c r="E2548">
        <v>6</v>
      </c>
      <c r="F2548" s="6">
        <v>750</v>
      </c>
      <c r="G2548" t="s">
        <v>3763</v>
      </c>
    </row>
    <row r="2549" spans="1:7">
      <c r="A2549" t="s">
        <v>7151</v>
      </c>
      <c r="B2549" t="s">
        <v>7152</v>
      </c>
      <c r="C2549" t="s">
        <v>3700</v>
      </c>
      <c r="D2549" t="s">
        <v>3701</v>
      </c>
      <c r="E2549">
        <v>12</v>
      </c>
      <c r="F2549" s="6">
        <v>375</v>
      </c>
      <c r="G2549" t="s">
        <v>4344</v>
      </c>
    </row>
    <row r="2550" spans="1:7">
      <c r="A2550" t="s">
        <v>7153</v>
      </c>
      <c r="B2550" t="s">
        <v>7154</v>
      </c>
      <c r="C2550" t="s">
        <v>3700</v>
      </c>
      <c r="D2550" t="s">
        <v>3701</v>
      </c>
      <c r="E2550">
        <v>12</v>
      </c>
      <c r="F2550" s="6">
        <v>1000</v>
      </c>
      <c r="G2550" t="s">
        <v>3681</v>
      </c>
    </row>
    <row r="2551" spans="1:7">
      <c r="A2551" t="s">
        <v>2700</v>
      </c>
      <c r="B2551" t="s">
        <v>7155</v>
      </c>
      <c r="C2551" t="s">
        <v>3700</v>
      </c>
      <c r="D2551" t="s">
        <v>3701</v>
      </c>
      <c r="E2551">
        <v>12</v>
      </c>
      <c r="F2551" s="6">
        <v>1000</v>
      </c>
      <c r="G2551" t="s">
        <v>3681</v>
      </c>
    </row>
    <row r="2552" spans="1:7">
      <c r="A2552" t="s">
        <v>1396</v>
      </c>
      <c r="B2552" t="s">
        <v>7156</v>
      </c>
      <c r="C2552" t="s">
        <v>3700</v>
      </c>
      <c r="D2552" t="s">
        <v>3701</v>
      </c>
      <c r="E2552">
        <v>12</v>
      </c>
      <c r="F2552" s="6">
        <v>1000</v>
      </c>
      <c r="G2552" t="s">
        <v>3681</v>
      </c>
    </row>
    <row r="2553" spans="1:7">
      <c r="A2553" t="s">
        <v>2988</v>
      </c>
      <c r="B2553" t="s">
        <v>7157</v>
      </c>
      <c r="C2553" t="s">
        <v>3700</v>
      </c>
      <c r="D2553" t="s">
        <v>3701</v>
      </c>
      <c r="E2553">
        <v>6</v>
      </c>
      <c r="F2553" s="6">
        <v>1750</v>
      </c>
      <c r="G2553" t="s">
        <v>3686</v>
      </c>
    </row>
    <row r="2554" spans="1:7">
      <c r="A2554" t="s">
        <v>546</v>
      </c>
      <c r="B2554" t="s">
        <v>7158</v>
      </c>
      <c r="C2554" t="s">
        <v>3700</v>
      </c>
      <c r="D2554" t="s">
        <v>3701</v>
      </c>
      <c r="E2554">
        <v>6</v>
      </c>
      <c r="F2554" s="6">
        <v>1750</v>
      </c>
      <c r="G2554" t="s">
        <v>3686</v>
      </c>
    </row>
    <row r="2555" spans="1:7">
      <c r="A2555" t="s">
        <v>2056</v>
      </c>
      <c r="B2555" t="s">
        <v>7159</v>
      </c>
      <c r="C2555" t="s">
        <v>3700</v>
      </c>
      <c r="D2555" t="s">
        <v>3701</v>
      </c>
      <c r="E2555">
        <v>6</v>
      </c>
      <c r="F2555" s="6">
        <v>1750</v>
      </c>
      <c r="G2555" t="s">
        <v>3686</v>
      </c>
    </row>
    <row r="2556" spans="1:7">
      <c r="A2556" t="s">
        <v>7160</v>
      </c>
      <c r="B2556" t="s">
        <v>7161</v>
      </c>
      <c r="C2556" t="s">
        <v>3700</v>
      </c>
      <c r="D2556" t="s">
        <v>3701</v>
      </c>
      <c r="E2556">
        <v>6</v>
      </c>
      <c r="F2556" s="6">
        <v>1750</v>
      </c>
      <c r="G2556" t="s">
        <v>3686</v>
      </c>
    </row>
    <row r="2557" spans="1:7">
      <c r="A2557" t="s">
        <v>7162</v>
      </c>
      <c r="B2557" t="s">
        <v>7163</v>
      </c>
      <c r="C2557" t="s">
        <v>3700</v>
      </c>
      <c r="D2557" t="s">
        <v>3701</v>
      </c>
      <c r="E2557">
        <v>6</v>
      </c>
      <c r="F2557" s="6">
        <v>200</v>
      </c>
      <c r="G2557" t="s">
        <v>7164</v>
      </c>
    </row>
    <row r="2558" spans="1:7">
      <c r="A2558" t="s">
        <v>7165</v>
      </c>
      <c r="B2558" t="s">
        <v>7166</v>
      </c>
      <c r="C2558" t="s">
        <v>3700</v>
      </c>
      <c r="D2558" t="s">
        <v>3701</v>
      </c>
      <c r="E2558">
        <v>12</v>
      </c>
      <c r="F2558" s="6">
        <v>375</v>
      </c>
      <c r="G2558" t="s">
        <v>3951</v>
      </c>
    </row>
    <row r="2559" spans="1:7">
      <c r="A2559" t="s">
        <v>7167</v>
      </c>
      <c r="B2559" t="s">
        <v>7168</v>
      </c>
      <c r="C2559" t="s">
        <v>3700</v>
      </c>
      <c r="D2559" t="s">
        <v>3701</v>
      </c>
      <c r="E2559">
        <v>12</v>
      </c>
      <c r="F2559" s="6">
        <v>375</v>
      </c>
      <c r="G2559" t="s">
        <v>3951</v>
      </c>
    </row>
    <row r="2560" spans="1:7">
      <c r="A2560" t="s">
        <v>7169</v>
      </c>
      <c r="B2560" t="s">
        <v>7170</v>
      </c>
      <c r="C2560" t="s">
        <v>3700</v>
      </c>
      <c r="D2560" t="s">
        <v>3701</v>
      </c>
      <c r="E2560">
        <v>6</v>
      </c>
      <c r="F2560" s="6">
        <v>1750</v>
      </c>
      <c r="G2560" t="s">
        <v>5114</v>
      </c>
    </row>
    <row r="2561" spans="1:7">
      <c r="A2561" t="s">
        <v>7171</v>
      </c>
      <c r="B2561" t="s">
        <v>7172</v>
      </c>
      <c r="C2561" t="s">
        <v>3700</v>
      </c>
      <c r="D2561" t="s">
        <v>3701</v>
      </c>
      <c r="E2561">
        <v>6</v>
      </c>
      <c r="F2561" s="6">
        <v>1750</v>
      </c>
      <c r="G2561" t="s">
        <v>5114</v>
      </c>
    </row>
    <row r="2562" spans="1:7">
      <c r="A2562" t="s">
        <v>7173</v>
      </c>
      <c r="B2562" t="s">
        <v>7174</v>
      </c>
      <c r="C2562" t="s">
        <v>3700</v>
      </c>
      <c r="D2562" t="s">
        <v>3701</v>
      </c>
      <c r="E2562">
        <v>6</v>
      </c>
      <c r="F2562" s="6">
        <v>1750</v>
      </c>
      <c r="G2562" t="s">
        <v>5114</v>
      </c>
    </row>
    <row r="2563" spans="1:7">
      <c r="A2563" t="s">
        <v>7175</v>
      </c>
      <c r="B2563" t="s">
        <v>7176</v>
      </c>
      <c r="C2563" t="s">
        <v>3679</v>
      </c>
      <c r="D2563" t="s">
        <v>3680</v>
      </c>
      <c r="E2563">
        <v>12</v>
      </c>
      <c r="F2563" s="6">
        <v>375</v>
      </c>
      <c r="G2563" t="s">
        <v>3716</v>
      </c>
    </row>
    <row r="2564" spans="1:7">
      <c r="A2564" t="s">
        <v>7177</v>
      </c>
      <c r="B2564" t="s">
        <v>7178</v>
      </c>
      <c r="C2564" t="s">
        <v>3679</v>
      </c>
      <c r="D2564" t="s">
        <v>3680</v>
      </c>
      <c r="E2564">
        <v>12</v>
      </c>
      <c r="F2564" s="6">
        <v>375</v>
      </c>
      <c r="G2564" t="s">
        <v>3716</v>
      </c>
    </row>
    <row r="2565" spans="1:7">
      <c r="A2565" t="s">
        <v>7179</v>
      </c>
      <c r="B2565" t="s">
        <v>7180</v>
      </c>
      <c r="C2565" t="s">
        <v>3679</v>
      </c>
      <c r="D2565" t="s">
        <v>3680</v>
      </c>
      <c r="E2565">
        <v>12</v>
      </c>
      <c r="F2565" s="6">
        <v>1000</v>
      </c>
      <c r="G2565" t="s">
        <v>3694</v>
      </c>
    </row>
    <row r="2566" spans="1:7">
      <c r="A2566" t="s">
        <v>7181</v>
      </c>
      <c r="B2566" t="s">
        <v>4471</v>
      </c>
      <c r="C2566" t="s">
        <v>3684</v>
      </c>
      <c r="D2566" t="s">
        <v>3685</v>
      </c>
      <c r="E2566">
        <v>6</v>
      </c>
      <c r="F2566" s="6">
        <v>750</v>
      </c>
      <c r="G2566" t="s">
        <v>4068</v>
      </c>
    </row>
    <row r="2567" spans="1:7">
      <c r="A2567" t="s">
        <v>490</v>
      </c>
      <c r="B2567" t="s">
        <v>7182</v>
      </c>
      <c r="C2567" t="s">
        <v>3700</v>
      </c>
      <c r="D2567" t="s">
        <v>3701</v>
      </c>
      <c r="E2567">
        <v>6</v>
      </c>
      <c r="F2567" s="6">
        <v>750</v>
      </c>
      <c r="G2567" t="s">
        <v>3716</v>
      </c>
    </row>
    <row r="2568" spans="1:7">
      <c r="A2568" t="s">
        <v>2281</v>
      </c>
      <c r="B2568" t="s">
        <v>7183</v>
      </c>
      <c r="C2568" t="s">
        <v>3700</v>
      </c>
      <c r="D2568" t="s">
        <v>3701</v>
      </c>
      <c r="E2568">
        <v>6</v>
      </c>
      <c r="F2568" s="6">
        <v>750</v>
      </c>
      <c r="G2568" t="s">
        <v>3716</v>
      </c>
    </row>
    <row r="2569" spans="1:7">
      <c r="A2569" t="s">
        <v>1619</v>
      </c>
      <c r="B2569" t="s">
        <v>7184</v>
      </c>
      <c r="C2569" t="s">
        <v>3700</v>
      </c>
      <c r="D2569" t="s">
        <v>3701</v>
      </c>
      <c r="E2569">
        <v>6</v>
      </c>
      <c r="F2569" s="6">
        <v>750</v>
      </c>
      <c r="G2569" t="s">
        <v>3716</v>
      </c>
    </row>
    <row r="2570" spans="1:7">
      <c r="A2570" t="s">
        <v>7185</v>
      </c>
      <c r="B2570" t="s">
        <v>7186</v>
      </c>
      <c r="C2570" t="s">
        <v>3700</v>
      </c>
      <c r="D2570" t="s">
        <v>3701</v>
      </c>
      <c r="E2570">
        <v>24</v>
      </c>
      <c r="F2570" s="6">
        <v>200</v>
      </c>
      <c r="G2570" t="s">
        <v>3716</v>
      </c>
    </row>
    <row r="2571" spans="1:7">
      <c r="A2571" t="s">
        <v>7187</v>
      </c>
      <c r="B2571" t="s">
        <v>7188</v>
      </c>
      <c r="C2571" t="s">
        <v>3679</v>
      </c>
      <c r="D2571" t="s">
        <v>3680</v>
      </c>
      <c r="E2571">
        <v>12</v>
      </c>
      <c r="F2571" s="6">
        <v>750</v>
      </c>
      <c r="G2571" t="s">
        <v>3686</v>
      </c>
    </row>
    <row r="2572" spans="1:7">
      <c r="A2572" t="s">
        <v>7189</v>
      </c>
      <c r="B2572" t="s">
        <v>7190</v>
      </c>
      <c r="C2572" t="s">
        <v>3679</v>
      </c>
      <c r="D2572" t="s">
        <v>3680</v>
      </c>
      <c r="E2572">
        <v>12</v>
      </c>
      <c r="F2572" s="6">
        <v>375</v>
      </c>
      <c r="G2572" t="s">
        <v>3716</v>
      </c>
    </row>
    <row r="2573" spans="1:7">
      <c r="A2573" t="s">
        <v>353</v>
      </c>
      <c r="B2573" t="s">
        <v>7191</v>
      </c>
      <c r="C2573" t="s">
        <v>3700</v>
      </c>
      <c r="D2573" t="s">
        <v>3701</v>
      </c>
      <c r="E2573">
        <v>6</v>
      </c>
      <c r="F2573" s="6">
        <v>750</v>
      </c>
      <c r="G2573" t="s">
        <v>3716</v>
      </c>
    </row>
    <row r="2574" spans="1:7">
      <c r="A2574" t="s">
        <v>2923</v>
      </c>
      <c r="B2574" t="s">
        <v>7192</v>
      </c>
      <c r="C2574" t="s">
        <v>3700</v>
      </c>
      <c r="D2574" t="s">
        <v>3701</v>
      </c>
      <c r="E2574">
        <v>12</v>
      </c>
      <c r="F2574" s="6">
        <v>375</v>
      </c>
      <c r="G2574" t="s">
        <v>3716</v>
      </c>
    </row>
    <row r="2575" spans="1:7">
      <c r="A2575" t="s">
        <v>1541</v>
      </c>
      <c r="B2575" t="s">
        <v>7192</v>
      </c>
      <c r="C2575" t="s">
        <v>3700</v>
      </c>
      <c r="D2575" t="s">
        <v>3701</v>
      </c>
      <c r="E2575">
        <v>6</v>
      </c>
      <c r="F2575" s="6">
        <v>750</v>
      </c>
      <c r="G2575" t="s">
        <v>3716</v>
      </c>
    </row>
    <row r="2576" spans="1:7">
      <c r="A2576" t="s">
        <v>7193</v>
      </c>
      <c r="B2576" t="s">
        <v>7192</v>
      </c>
      <c r="C2576" t="s">
        <v>3700</v>
      </c>
      <c r="D2576" t="s">
        <v>3701</v>
      </c>
      <c r="E2576">
        <v>24</v>
      </c>
      <c r="F2576" s="6">
        <v>200</v>
      </c>
      <c r="G2576" t="s">
        <v>3716</v>
      </c>
    </row>
    <row r="2577" spans="1:7">
      <c r="A2577" t="s">
        <v>7194</v>
      </c>
      <c r="B2577" t="s">
        <v>7195</v>
      </c>
      <c r="C2577" t="s">
        <v>3700</v>
      </c>
      <c r="D2577" t="s">
        <v>3701</v>
      </c>
      <c r="E2577">
        <v>12</v>
      </c>
      <c r="F2577" s="6">
        <v>375</v>
      </c>
      <c r="G2577" t="s">
        <v>3716</v>
      </c>
    </row>
    <row r="2578" spans="1:7">
      <c r="A2578" t="s">
        <v>7196</v>
      </c>
      <c r="B2578" t="s">
        <v>7197</v>
      </c>
      <c r="C2578" t="s">
        <v>3700</v>
      </c>
      <c r="D2578" t="s">
        <v>3701</v>
      </c>
      <c r="E2578">
        <v>12</v>
      </c>
      <c r="F2578" s="6">
        <v>375</v>
      </c>
      <c r="G2578" t="s">
        <v>4300</v>
      </c>
    </row>
    <row r="2579" spans="1:7">
      <c r="A2579" t="s">
        <v>3580</v>
      </c>
      <c r="B2579" t="s">
        <v>7198</v>
      </c>
      <c r="C2579" t="s">
        <v>3700</v>
      </c>
      <c r="D2579" t="s">
        <v>3701</v>
      </c>
      <c r="E2579">
        <v>12</v>
      </c>
      <c r="F2579" s="6">
        <v>375</v>
      </c>
      <c r="G2579" t="s">
        <v>4300</v>
      </c>
    </row>
    <row r="2580" spans="1:7">
      <c r="A2580" t="s">
        <v>7199</v>
      </c>
      <c r="B2580" t="s">
        <v>7200</v>
      </c>
      <c r="C2580" t="s">
        <v>3700</v>
      </c>
      <c r="D2580" t="s">
        <v>3701</v>
      </c>
      <c r="E2580">
        <v>6</v>
      </c>
      <c r="F2580" s="6">
        <v>750</v>
      </c>
      <c r="G2580" t="s">
        <v>3716</v>
      </c>
    </row>
    <row r="2581" spans="1:7">
      <c r="A2581" t="s">
        <v>7201</v>
      </c>
      <c r="B2581" t="s">
        <v>7202</v>
      </c>
      <c r="C2581" t="s">
        <v>3679</v>
      </c>
      <c r="D2581" t="s">
        <v>3680</v>
      </c>
      <c r="E2581">
        <v>6</v>
      </c>
      <c r="F2581" s="6">
        <v>750</v>
      </c>
      <c r="G2581" t="s">
        <v>3754</v>
      </c>
    </row>
    <row r="2582" spans="1:7">
      <c r="A2582" t="s">
        <v>2236</v>
      </c>
      <c r="B2582" t="s">
        <v>7203</v>
      </c>
      <c r="C2582" t="s">
        <v>3700</v>
      </c>
      <c r="D2582" t="s">
        <v>3701</v>
      </c>
      <c r="E2582">
        <v>12</v>
      </c>
      <c r="F2582" s="6">
        <v>375</v>
      </c>
      <c r="G2582" t="s">
        <v>4300</v>
      </c>
    </row>
    <row r="2583" spans="1:7">
      <c r="A2583" t="s">
        <v>534</v>
      </c>
      <c r="B2583" t="s">
        <v>7204</v>
      </c>
      <c r="C2583" t="s">
        <v>3700</v>
      </c>
      <c r="D2583" t="s">
        <v>3701</v>
      </c>
      <c r="E2583">
        <v>12</v>
      </c>
      <c r="F2583" s="6">
        <v>375</v>
      </c>
      <c r="G2583" t="s">
        <v>4300</v>
      </c>
    </row>
    <row r="2584" spans="1:7">
      <c r="A2584" t="s">
        <v>7205</v>
      </c>
      <c r="B2584" t="s">
        <v>7206</v>
      </c>
      <c r="C2584" t="s">
        <v>3700</v>
      </c>
      <c r="D2584" t="s">
        <v>3701</v>
      </c>
      <c r="E2584">
        <v>12</v>
      </c>
      <c r="F2584" s="6">
        <v>375</v>
      </c>
      <c r="G2584" t="s">
        <v>4300</v>
      </c>
    </row>
    <row r="2585" spans="1:7">
      <c r="A2585" t="s">
        <v>7207</v>
      </c>
      <c r="B2585" t="s">
        <v>7208</v>
      </c>
      <c r="C2585" t="s">
        <v>3700</v>
      </c>
      <c r="D2585" t="s">
        <v>3701</v>
      </c>
      <c r="E2585">
        <v>12</v>
      </c>
      <c r="F2585" s="6">
        <v>375</v>
      </c>
      <c r="G2585" t="s">
        <v>4300</v>
      </c>
    </row>
    <row r="2586" spans="1:7">
      <c r="A2586" t="s">
        <v>2006</v>
      </c>
      <c r="B2586" t="s">
        <v>7209</v>
      </c>
      <c r="C2586" t="s">
        <v>3700</v>
      </c>
      <c r="D2586" t="s">
        <v>3701</v>
      </c>
      <c r="E2586">
        <v>12</v>
      </c>
      <c r="F2586" s="6">
        <v>750</v>
      </c>
      <c r="G2586" t="s">
        <v>6906</v>
      </c>
    </row>
    <row r="2587" spans="1:7">
      <c r="A2587" t="s">
        <v>7210</v>
      </c>
      <c r="B2587" t="s">
        <v>7211</v>
      </c>
      <c r="C2587" t="s">
        <v>3700</v>
      </c>
      <c r="D2587" t="s">
        <v>3701</v>
      </c>
      <c r="E2587">
        <v>6</v>
      </c>
      <c r="F2587" s="6">
        <v>750</v>
      </c>
      <c r="G2587" t="s">
        <v>3681</v>
      </c>
    </row>
    <row r="2588" spans="1:7">
      <c r="A2588" t="s">
        <v>1526</v>
      </c>
      <c r="B2588" t="s">
        <v>7212</v>
      </c>
      <c r="C2588" t="s">
        <v>3700</v>
      </c>
      <c r="D2588" t="s">
        <v>3701</v>
      </c>
      <c r="E2588">
        <v>12</v>
      </c>
      <c r="F2588" s="6">
        <v>375</v>
      </c>
      <c r="G2588" t="s">
        <v>3716</v>
      </c>
    </row>
    <row r="2589" spans="1:7">
      <c r="A2589" t="s">
        <v>422</v>
      </c>
      <c r="B2589" t="s">
        <v>7213</v>
      </c>
      <c r="C2589" t="s">
        <v>3700</v>
      </c>
      <c r="D2589" t="s">
        <v>3701</v>
      </c>
      <c r="E2589">
        <v>24</v>
      </c>
      <c r="F2589" s="6">
        <v>200</v>
      </c>
      <c r="G2589" t="s">
        <v>3716</v>
      </c>
    </row>
    <row r="2590" spans="1:7">
      <c r="A2590" t="s">
        <v>7214</v>
      </c>
      <c r="B2590" t="s">
        <v>7215</v>
      </c>
      <c r="C2590" t="s">
        <v>3700</v>
      </c>
      <c r="D2590" t="s">
        <v>3701</v>
      </c>
      <c r="E2590">
        <v>24</v>
      </c>
      <c r="F2590" s="6">
        <v>200</v>
      </c>
      <c r="G2590" t="s">
        <v>3716</v>
      </c>
    </row>
    <row r="2591" spans="1:7">
      <c r="A2591" t="s">
        <v>2284</v>
      </c>
      <c r="B2591" t="s">
        <v>7216</v>
      </c>
      <c r="C2591" t="s">
        <v>3700</v>
      </c>
      <c r="D2591" t="s">
        <v>3701</v>
      </c>
      <c r="E2591">
        <v>24</v>
      </c>
      <c r="F2591" s="6">
        <v>200</v>
      </c>
      <c r="G2591" t="s">
        <v>3716</v>
      </c>
    </row>
    <row r="2592" spans="1:7">
      <c r="A2592" t="s">
        <v>3401</v>
      </c>
      <c r="B2592" t="s">
        <v>7217</v>
      </c>
      <c r="C2592" t="s">
        <v>3700</v>
      </c>
      <c r="D2592" t="s">
        <v>3701</v>
      </c>
      <c r="E2592">
        <v>24</v>
      </c>
      <c r="F2592" s="6">
        <v>200</v>
      </c>
      <c r="G2592" t="s">
        <v>3716</v>
      </c>
    </row>
    <row r="2593" spans="1:7">
      <c r="A2593" t="s">
        <v>7218</v>
      </c>
      <c r="B2593" t="s">
        <v>7219</v>
      </c>
      <c r="C2593" t="s">
        <v>3700</v>
      </c>
      <c r="D2593" t="s">
        <v>3701</v>
      </c>
      <c r="E2593">
        <v>24</v>
      </c>
      <c r="F2593" s="6">
        <v>200</v>
      </c>
      <c r="G2593" t="s">
        <v>3716</v>
      </c>
    </row>
    <row r="2594" spans="1:7">
      <c r="A2594" t="s">
        <v>3290</v>
      </c>
      <c r="B2594" t="s">
        <v>7220</v>
      </c>
      <c r="C2594" t="s">
        <v>3700</v>
      </c>
      <c r="D2594" t="s">
        <v>3701</v>
      </c>
      <c r="E2594">
        <v>12</v>
      </c>
      <c r="F2594" s="6">
        <v>375</v>
      </c>
      <c r="G2594" t="s">
        <v>3716</v>
      </c>
    </row>
    <row r="2595" spans="1:7">
      <c r="A2595" t="s">
        <v>942</v>
      </c>
      <c r="B2595" t="s">
        <v>7221</v>
      </c>
      <c r="C2595" t="s">
        <v>3700</v>
      </c>
      <c r="D2595" t="s">
        <v>3701</v>
      </c>
      <c r="E2595">
        <v>6</v>
      </c>
      <c r="F2595" s="6">
        <v>750</v>
      </c>
      <c r="G2595" t="s">
        <v>3681</v>
      </c>
    </row>
    <row r="2596" spans="1:7">
      <c r="A2596" t="s">
        <v>2462</v>
      </c>
      <c r="B2596" t="s">
        <v>7222</v>
      </c>
      <c r="C2596" t="s">
        <v>4084</v>
      </c>
      <c r="D2596" t="s">
        <v>4085</v>
      </c>
      <c r="E2596">
        <v>6</v>
      </c>
      <c r="F2596" s="6">
        <v>750</v>
      </c>
      <c r="G2596" t="s">
        <v>4300</v>
      </c>
    </row>
    <row r="2597" spans="1:7">
      <c r="A2597" t="s">
        <v>7223</v>
      </c>
      <c r="B2597" t="s">
        <v>7224</v>
      </c>
      <c r="C2597" t="s">
        <v>3700</v>
      </c>
      <c r="D2597" t="s">
        <v>3701</v>
      </c>
      <c r="E2597">
        <v>12</v>
      </c>
      <c r="F2597" s="6">
        <v>375</v>
      </c>
      <c r="G2597" t="s">
        <v>3686</v>
      </c>
    </row>
    <row r="2598" spans="1:7">
      <c r="A2598" t="s">
        <v>2007</v>
      </c>
      <c r="B2598" t="s">
        <v>7225</v>
      </c>
      <c r="C2598" t="s">
        <v>3700</v>
      </c>
      <c r="D2598" t="s">
        <v>3701</v>
      </c>
      <c r="E2598">
        <v>12</v>
      </c>
      <c r="F2598" s="6">
        <v>375</v>
      </c>
      <c r="G2598" t="s">
        <v>3686</v>
      </c>
    </row>
    <row r="2599" spans="1:7">
      <c r="A2599" t="s">
        <v>1302</v>
      </c>
      <c r="B2599" t="s">
        <v>7226</v>
      </c>
      <c r="C2599" t="s">
        <v>3700</v>
      </c>
      <c r="D2599" t="s">
        <v>3701</v>
      </c>
      <c r="E2599">
        <v>12</v>
      </c>
      <c r="F2599" s="6">
        <v>375</v>
      </c>
      <c r="G2599" t="s">
        <v>3686</v>
      </c>
    </row>
    <row r="2600" spans="1:7">
      <c r="A2600" t="s">
        <v>760</v>
      </c>
      <c r="B2600" t="s">
        <v>7227</v>
      </c>
      <c r="C2600" t="s">
        <v>3700</v>
      </c>
      <c r="D2600" t="s">
        <v>3701</v>
      </c>
      <c r="E2600">
        <v>12</v>
      </c>
      <c r="F2600" s="6">
        <v>375</v>
      </c>
      <c r="G2600" t="s">
        <v>3686</v>
      </c>
    </row>
    <row r="2601" spans="1:7">
      <c r="A2601" t="s">
        <v>2086</v>
      </c>
      <c r="B2601" t="s">
        <v>7228</v>
      </c>
      <c r="C2601" t="s">
        <v>3700</v>
      </c>
      <c r="D2601" t="s">
        <v>3701</v>
      </c>
      <c r="E2601">
        <v>12</v>
      </c>
      <c r="F2601" s="6">
        <v>375</v>
      </c>
      <c r="G2601" t="s">
        <v>3686</v>
      </c>
    </row>
    <row r="2602" spans="1:7">
      <c r="A2602" t="s">
        <v>7229</v>
      </c>
      <c r="B2602" t="s">
        <v>7230</v>
      </c>
      <c r="C2602" t="s">
        <v>3700</v>
      </c>
      <c r="D2602" t="s">
        <v>3701</v>
      </c>
      <c r="E2602">
        <v>12</v>
      </c>
      <c r="F2602" s="6">
        <v>375</v>
      </c>
      <c r="G2602" t="s">
        <v>3686</v>
      </c>
    </row>
    <row r="2603" spans="1:7">
      <c r="A2603" t="s">
        <v>7231</v>
      </c>
      <c r="B2603" t="s">
        <v>7232</v>
      </c>
      <c r="C2603" t="s">
        <v>3700</v>
      </c>
      <c r="D2603" t="s">
        <v>3701</v>
      </c>
      <c r="E2603">
        <v>60</v>
      </c>
      <c r="F2603" s="6">
        <v>100</v>
      </c>
      <c r="G2603" t="s">
        <v>3716</v>
      </c>
    </row>
    <row r="2604" spans="1:7">
      <c r="A2604" t="s">
        <v>7233</v>
      </c>
      <c r="B2604" t="s">
        <v>7234</v>
      </c>
      <c r="C2604" t="s">
        <v>3700</v>
      </c>
      <c r="D2604" t="s">
        <v>3701</v>
      </c>
      <c r="E2604">
        <v>12</v>
      </c>
      <c r="F2604" s="6">
        <v>375</v>
      </c>
      <c r="G2604" t="s">
        <v>3716</v>
      </c>
    </row>
    <row r="2605" spans="1:7">
      <c r="A2605" t="s">
        <v>920</v>
      </c>
      <c r="B2605" t="s">
        <v>7235</v>
      </c>
      <c r="C2605" t="s">
        <v>3700</v>
      </c>
      <c r="D2605" t="s">
        <v>3701</v>
      </c>
      <c r="E2605">
        <v>12</v>
      </c>
      <c r="F2605" s="6">
        <v>375</v>
      </c>
      <c r="G2605" t="s">
        <v>3716</v>
      </c>
    </row>
    <row r="2606" spans="1:7">
      <c r="A2606" t="s">
        <v>2407</v>
      </c>
      <c r="B2606" t="s">
        <v>7236</v>
      </c>
      <c r="C2606" t="s">
        <v>3700</v>
      </c>
      <c r="D2606" t="s">
        <v>3701</v>
      </c>
      <c r="E2606">
        <v>12</v>
      </c>
      <c r="F2606" s="6">
        <v>375</v>
      </c>
      <c r="G2606" t="s">
        <v>3716</v>
      </c>
    </row>
    <row r="2607" spans="1:7">
      <c r="A2607" t="s">
        <v>2444</v>
      </c>
      <c r="B2607" t="s">
        <v>7237</v>
      </c>
      <c r="C2607" t="s">
        <v>3700</v>
      </c>
      <c r="D2607" t="s">
        <v>3701</v>
      </c>
      <c r="E2607">
        <v>12</v>
      </c>
      <c r="F2607" s="6">
        <v>375</v>
      </c>
      <c r="G2607" t="s">
        <v>3716</v>
      </c>
    </row>
    <row r="2608" spans="1:7">
      <c r="A2608" t="s">
        <v>761</v>
      </c>
      <c r="B2608" t="s">
        <v>7238</v>
      </c>
      <c r="C2608" t="s">
        <v>3700</v>
      </c>
      <c r="D2608" t="s">
        <v>3701</v>
      </c>
      <c r="E2608">
        <v>12</v>
      </c>
      <c r="F2608" s="6">
        <v>375</v>
      </c>
      <c r="G2608" t="s">
        <v>3716</v>
      </c>
    </row>
    <row r="2609" spans="1:7">
      <c r="A2609" t="s">
        <v>1081</v>
      </c>
      <c r="B2609" t="s">
        <v>7232</v>
      </c>
      <c r="C2609" t="s">
        <v>3700</v>
      </c>
      <c r="D2609" t="s">
        <v>3701</v>
      </c>
      <c r="E2609">
        <v>12</v>
      </c>
      <c r="F2609" s="6">
        <v>375</v>
      </c>
      <c r="G2609" t="s">
        <v>3716</v>
      </c>
    </row>
    <row r="2610" spans="1:7">
      <c r="A2610" t="s">
        <v>7239</v>
      </c>
      <c r="B2610" t="s">
        <v>7240</v>
      </c>
      <c r="C2610" t="s">
        <v>3700</v>
      </c>
      <c r="D2610" t="s">
        <v>3701</v>
      </c>
      <c r="E2610">
        <v>12</v>
      </c>
      <c r="F2610" s="6">
        <v>750</v>
      </c>
      <c r="G2610" t="s">
        <v>3716</v>
      </c>
    </row>
    <row r="2611" spans="1:7">
      <c r="A2611" t="s">
        <v>2736</v>
      </c>
      <c r="B2611" t="s">
        <v>7241</v>
      </c>
      <c r="C2611" t="s">
        <v>4084</v>
      </c>
      <c r="D2611" t="s">
        <v>4085</v>
      </c>
      <c r="E2611">
        <v>6</v>
      </c>
      <c r="F2611" s="6">
        <v>750</v>
      </c>
      <c r="G2611" t="s">
        <v>3681</v>
      </c>
    </row>
    <row r="2612" spans="1:7">
      <c r="A2612" t="s">
        <v>1005</v>
      </c>
      <c r="B2612" t="s">
        <v>7242</v>
      </c>
      <c r="C2612" t="s">
        <v>3684</v>
      </c>
      <c r="D2612" t="s">
        <v>3685</v>
      </c>
      <c r="E2612">
        <v>6</v>
      </c>
      <c r="F2612" s="6">
        <v>750</v>
      </c>
      <c r="G2612" t="s">
        <v>4331</v>
      </c>
    </row>
    <row r="2613" spans="1:7">
      <c r="A2613" t="s">
        <v>7243</v>
      </c>
      <c r="B2613" t="s">
        <v>7244</v>
      </c>
      <c r="C2613" t="s">
        <v>3684</v>
      </c>
      <c r="D2613" t="s">
        <v>3685</v>
      </c>
      <c r="E2613">
        <v>6</v>
      </c>
      <c r="F2613" s="6">
        <v>750</v>
      </c>
      <c r="G2613" t="s">
        <v>4331</v>
      </c>
    </row>
    <row r="2614" spans="1:7">
      <c r="A2614" t="s">
        <v>2971</v>
      </c>
      <c r="B2614" t="s">
        <v>7245</v>
      </c>
      <c r="C2614" t="s">
        <v>3700</v>
      </c>
      <c r="D2614" t="s">
        <v>3701</v>
      </c>
      <c r="E2614">
        <v>12</v>
      </c>
      <c r="F2614" s="6">
        <v>375</v>
      </c>
      <c r="G2614" t="s">
        <v>3716</v>
      </c>
    </row>
    <row r="2615" spans="1:7">
      <c r="A2615" t="s">
        <v>1217</v>
      </c>
      <c r="B2615" t="s">
        <v>7246</v>
      </c>
      <c r="C2615" t="s">
        <v>3700</v>
      </c>
      <c r="D2615" t="s">
        <v>3701</v>
      </c>
      <c r="E2615">
        <v>6</v>
      </c>
      <c r="F2615" s="6">
        <v>1750</v>
      </c>
      <c r="G2615" t="s">
        <v>4163</v>
      </c>
    </row>
    <row r="2616" spans="1:7">
      <c r="A2616" t="s">
        <v>7247</v>
      </c>
      <c r="B2616" t="s">
        <v>7248</v>
      </c>
      <c r="C2616" t="s">
        <v>3700</v>
      </c>
      <c r="D2616" t="s">
        <v>3701</v>
      </c>
      <c r="E2616">
        <v>12</v>
      </c>
      <c r="F2616" s="6">
        <v>750</v>
      </c>
      <c r="G2616" t="s">
        <v>3802</v>
      </c>
    </row>
    <row r="2617" spans="1:7">
      <c r="A2617" t="s">
        <v>1785</v>
      </c>
      <c r="B2617" t="s">
        <v>7249</v>
      </c>
      <c r="C2617" t="s">
        <v>3700</v>
      </c>
      <c r="D2617" t="s">
        <v>3701</v>
      </c>
      <c r="E2617">
        <v>6</v>
      </c>
      <c r="F2617" s="6">
        <v>1750</v>
      </c>
      <c r="G2617" t="s">
        <v>7250</v>
      </c>
    </row>
    <row r="2618" spans="1:7">
      <c r="A2618" t="s">
        <v>629</v>
      </c>
      <c r="B2618" t="s">
        <v>7251</v>
      </c>
      <c r="C2618" t="s">
        <v>3700</v>
      </c>
      <c r="D2618" t="s">
        <v>3701</v>
      </c>
      <c r="E2618">
        <v>6</v>
      </c>
      <c r="F2618" s="6">
        <v>1750</v>
      </c>
      <c r="G2618" t="s">
        <v>7250</v>
      </c>
    </row>
    <row r="2619" spans="1:7">
      <c r="A2619" t="s">
        <v>7252</v>
      </c>
      <c r="B2619" t="s">
        <v>7253</v>
      </c>
      <c r="C2619" t="s">
        <v>3700</v>
      </c>
      <c r="D2619" t="s">
        <v>3701</v>
      </c>
      <c r="E2619">
        <v>6</v>
      </c>
      <c r="F2619" s="6">
        <v>1750</v>
      </c>
      <c r="G2619" t="s">
        <v>4300</v>
      </c>
    </row>
    <row r="2620" spans="1:7">
      <c r="A2620" t="s">
        <v>7254</v>
      </c>
      <c r="B2620" t="s">
        <v>7255</v>
      </c>
      <c r="C2620" t="s">
        <v>3679</v>
      </c>
      <c r="D2620" t="s">
        <v>3680</v>
      </c>
      <c r="E2620">
        <v>12</v>
      </c>
      <c r="F2620" s="6">
        <v>750</v>
      </c>
      <c r="G2620" t="s">
        <v>3686</v>
      </c>
    </row>
    <row r="2621" spans="1:7">
      <c r="A2621" t="s">
        <v>1444</v>
      </c>
      <c r="B2621" t="s">
        <v>7256</v>
      </c>
      <c r="C2621" t="s">
        <v>4170</v>
      </c>
      <c r="D2621" t="s">
        <v>4171</v>
      </c>
      <c r="E2621">
        <v>12</v>
      </c>
      <c r="F2621" s="6">
        <v>750</v>
      </c>
      <c r="G2621" t="s">
        <v>3702</v>
      </c>
    </row>
    <row r="2622" spans="1:7">
      <c r="A2622" t="s">
        <v>7257</v>
      </c>
      <c r="B2622" t="s">
        <v>7258</v>
      </c>
      <c r="C2622" t="s">
        <v>5804</v>
      </c>
      <c r="D2622" t="s">
        <v>5805</v>
      </c>
      <c r="E2622">
        <v>6</v>
      </c>
      <c r="F2622" s="6">
        <v>750</v>
      </c>
      <c r="G2622" t="s">
        <v>3681</v>
      </c>
    </row>
    <row r="2623" spans="1:7">
      <c r="A2623" t="s">
        <v>7259</v>
      </c>
      <c r="B2623" t="s">
        <v>7260</v>
      </c>
      <c r="C2623" t="s">
        <v>3679</v>
      </c>
      <c r="D2623" t="s">
        <v>3680</v>
      </c>
      <c r="E2623">
        <v>6</v>
      </c>
      <c r="F2623" s="6">
        <v>750</v>
      </c>
      <c r="G2623" t="s">
        <v>3705</v>
      </c>
    </row>
    <row r="2624" spans="1:7">
      <c r="A2624" t="s">
        <v>7261</v>
      </c>
      <c r="B2624" t="s">
        <v>7262</v>
      </c>
      <c r="C2624" t="s">
        <v>4170</v>
      </c>
      <c r="D2624" t="s">
        <v>4171</v>
      </c>
      <c r="E2624">
        <v>12</v>
      </c>
      <c r="F2624" s="6">
        <v>375</v>
      </c>
      <c r="G2624" t="s">
        <v>3888</v>
      </c>
    </row>
    <row r="2625" spans="1:7">
      <c r="A2625" t="s">
        <v>7263</v>
      </c>
      <c r="B2625" t="s">
        <v>7264</v>
      </c>
      <c r="C2625" t="s">
        <v>4170</v>
      </c>
      <c r="D2625" t="s">
        <v>4171</v>
      </c>
      <c r="E2625">
        <v>6</v>
      </c>
      <c r="F2625" s="6">
        <v>750</v>
      </c>
      <c r="G2625" t="s">
        <v>3888</v>
      </c>
    </row>
    <row r="2626" spans="1:7">
      <c r="A2626" t="s">
        <v>237</v>
      </c>
      <c r="B2626" t="s">
        <v>7265</v>
      </c>
      <c r="C2626" t="s">
        <v>4170</v>
      </c>
      <c r="D2626" t="s">
        <v>4171</v>
      </c>
      <c r="E2626">
        <v>12</v>
      </c>
      <c r="F2626" s="6">
        <v>750</v>
      </c>
      <c r="G2626" t="s">
        <v>3787</v>
      </c>
    </row>
    <row r="2627" spans="1:7">
      <c r="A2627" t="s">
        <v>7266</v>
      </c>
      <c r="B2627" t="s">
        <v>7265</v>
      </c>
      <c r="C2627" t="s">
        <v>4170</v>
      </c>
      <c r="D2627" t="s">
        <v>4171</v>
      </c>
      <c r="E2627">
        <v>6</v>
      </c>
      <c r="F2627" s="6">
        <v>1750</v>
      </c>
      <c r="G2627" t="s">
        <v>3787</v>
      </c>
    </row>
    <row r="2628" spans="1:7">
      <c r="A2628" t="s">
        <v>1322</v>
      </c>
      <c r="B2628" t="s">
        <v>7262</v>
      </c>
      <c r="C2628" t="s">
        <v>4170</v>
      </c>
      <c r="D2628" t="s">
        <v>4171</v>
      </c>
      <c r="E2628">
        <v>6</v>
      </c>
      <c r="F2628" s="6">
        <v>750</v>
      </c>
      <c r="G2628" t="s">
        <v>3888</v>
      </c>
    </row>
    <row r="2629" spans="1:7">
      <c r="A2629" t="s">
        <v>211</v>
      </c>
      <c r="B2629" t="s">
        <v>7262</v>
      </c>
      <c r="C2629" t="s">
        <v>4170</v>
      </c>
      <c r="D2629" t="s">
        <v>4171</v>
      </c>
      <c r="E2629">
        <v>6</v>
      </c>
      <c r="F2629" s="6">
        <v>1000</v>
      </c>
      <c r="G2629" t="s">
        <v>3888</v>
      </c>
    </row>
    <row r="2630" spans="1:7">
      <c r="A2630" t="s">
        <v>7267</v>
      </c>
      <c r="B2630" t="s">
        <v>4120</v>
      </c>
      <c r="C2630" t="s">
        <v>3684</v>
      </c>
      <c r="D2630" t="s">
        <v>3685</v>
      </c>
      <c r="E2630">
        <v>4</v>
      </c>
      <c r="F2630" s="6">
        <v>1750</v>
      </c>
      <c r="G2630" t="s">
        <v>3754</v>
      </c>
    </row>
    <row r="2631" spans="1:7">
      <c r="A2631" t="s">
        <v>7268</v>
      </c>
      <c r="B2631" t="s">
        <v>7269</v>
      </c>
      <c r="C2631" t="s">
        <v>4170</v>
      </c>
      <c r="D2631" t="s">
        <v>4171</v>
      </c>
      <c r="E2631">
        <v>6</v>
      </c>
      <c r="F2631" s="6">
        <v>700</v>
      </c>
      <c r="G2631" t="s">
        <v>3802</v>
      </c>
    </row>
    <row r="2632" spans="1:7">
      <c r="A2632" t="s">
        <v>2373</v>
      </c>
      <c r="B2632" t="s">
        <v>7270</v>
      </c>
      <c r="C2632" t="s">
        <v>4170</v>
      </c>
      <c r="D2632" t="s">
        <v>4171</v>
      </c>
      <c r="E2632">
        <v>12</v>
      </c>
      <c r="F2632" s="6">
        <v>700</v>
      </c>
      <c r="G2632" t="s">
        <v>3694</v>
      </c>
    </row>
    <row r="2633" spans="1:7">
      <c r="A2633" t="s">
        <v>7271</v>
      </c>
      <c r="B2633" t="s">
        <v>7272</v>
      </c>
      <c r="C2633" t="s">
        <v>3692</v>
      </c>
      <c r="D2633" t="s">
        <v>3693</v>
      </c>
      <c r="E2633">
        <v>6</v>
      </c>
      <c r="F2633" s="6">
        <v>750</v>
      </c>
      <c r="G2633" t="s">
        <v>3802</v>
      </c>
    </row>
    <row r="2634" spans="1:7">
      <c r="A2634" t="s">
        <v>7273</v>
      </c>
      <c r="B2634" t="s">
        <v>7274</v>
      </c>
      <c r="C2634" t="s">
        <v>4170</v>
      </c>
      <c r="D2634" t="s">
        <v>4171</v>
      </c>
      <c r="E2634">
        <v>6</v>
      </c>
      <c r="F2634" s="6">
        <v>700</v>
      </c>
      <c r="G2634" t="s">
        <v>6750</v>
      </c>
    </row>
    <row r="2635" spans="1:7">
      <c r="A2635" t="s">
        <v>7275</v>
      </c>
      <c r="B2635" t="s">
        <v>7276</v>
      </c>
      <c r="C2635" t="s">
        <v>4170</v>
      </c>
      <c r="D2635" t="s">
        <v>4171</v>
      </c>
      <c r="E2635">
        <v>6</v>
      </c>
      <c r="F2635" s="6">
        <v>750</v>
      </c>
      <c r="G2635" t="s">
        <v>4344</v>
      </c>
    </row>
    <row r="2636" spans="1:7">
      <c r="A2636" t="s">
        <v>7277</v>
      </c>
      <c r="B2636" t="s">
        <v>7278</v>
      </c>
      <c r="C2636" t="s">
        <v>3692</v>
      </c>
      <c r="D2636" t="s">
        <v>3693</v>
      </c>
      <c r="E2636">
        <v>6</v>
      </c>
      <c r="F2636" s="6">
        <v>750</v>
      </c>
      <c r="G2636" t="s">
        <v>3802</v>
      </c>
    </row>
    <row r="2637" spans="1:7">
      <c r="A2637" t="s">
        <v>1803</v>
      </c>
      <c r="B2637" t="s">
        <v>7279</v>
      </c>
      <c r="C2637" t="s">
        <v>4170</v>
      </c>
      <c r="D2637" t="s">
        <v>4171</v>
      </c>
      <c r="E2637">
        <v>6</v>
      </c>
      <c r="F2637" s="6">
        <v>750</v>
      </c>
      <c r="G2637" t="s">
        <v>3888</v>
      </c>
    </row>
    <row r="2638" spans="1:7">
      <c r="A2638" t="s">
        <v>803</v>
      </c>
      <c r="B2638" t="s">
        <v>7280</v>
      </c>
      <c r="C2638" t="s">
        <v>4071</v>
      </c>
      <c r="D2638" t="s">
        <v>4072</v>
      </c>
      <c r="E2638">
        <v>20</v>
      </c>
      <c r="F2638" s="6">
        <v>375</v>
      </c>
      <c r="G2638" t="s">
        <v>3763</v>
      </c>
    </row>
    <row r="2639" spans="1:7">
      <c r="A2639" t="s">
        <v>7281</v>
      </c>
      <c r="B2639" t="s">
        <v>7282</v>
      </c>
      <c r="C2639" t="s">
        <v>3679</v>
      </c>
      <c r="D2639" t="s">
        <v>3680</v>
      </c>
      <c r="E2639">
        <v>6</v>
      </c>
      <c r="F2639" s="6">
        <v>750</v>
      </c>
      <c r="G2639" t="s">
        <v>3730</v>
      </c>
    </row>
    <row r="2640" spans="1:7">
      <c r="A2640" t="s">
        <v>7283</v>
      </c>
      <c r="B2640" t="s">
        <v>7284</v>
      </c>
      <c r="C2640" t="s">
        <v>3679</v>
      </c>
      <c r="D2640" t="s">
        <v>3680</v>
      </c>
      <c r="E2640">
        <v>6</v>
      </c>
      <c r="F2640" s="6">
        <v>750</v>
      </c>
      <c r="G2640" t="s">
        <v>3689</v>
      </c>
    </row>
    <row r="2641" spans="1:7">
      <c r="A2641" t="s">
        <v>7285</v>
      </c>
      <c r="B2641" t="s">
        <v>7286</v>
      </c>
      <c r="C2641" t="s">
        <v>4170</v>
      </c>
      <c r="D2641" t="s">
        <v>4171</v>
      </c>
      <c r="E2641">
        <v>6</v>
      </c>
      <c r="F2641" s="6">
        <v>750</v>
      </c>
      <c r="G2641" t="s">
        <v>3802</v>
      </c>
    </row>
    <row r="2642" spans="1:7">
      <c r="A2642" t="s">
        <v>7287</v>
      </c>
      <c r="B2642" t="s">
        <v>7288</v>
      </c>
      <c r="C2642" t="s">
        <v>5804</v>
      </c>
      <c r="D2642" t="s">
        <v>5805</v>
      </c>
      <c r="E2642">
        <v>12</v>
      </c>
      <c r="F2642" s="6">
        <v>375</v>
      </c>
      <c r="G2642" t="s">
        <v>3730</v>
      </c>
    </row>
    <row r="2643" spans="1:7">
      <c r="A2643" t="s">
        <v>7289</v>
      </c>
      <c r="B2643" t="s">
        <v>7278</v>
      </c>
      <c r="C2643" t="s">
        <v>3692</v>
      </c>
      <c r="D2643" t="s">
        <v>3693</v>
      </c>
      <c r="E2643">
        <v>6</v>
      </c>
      <c r="F2643" s="6">
        <v>750</v>
      </c>
      <c r="G2643" t="s">
        <v>3802</v>
      </c>
    </row>
    <row r="2644" spans="1:7">
      <c r="A2644" t="s">
        <v>7290</v>
      </c>
      <c r="B2644" t="s">
        <v>7291</v>
      </c>
      <c r="C2644" t="s">
        <v>3692</v>
      </c>
      <c r="D2644" t="s">
        <v>3693</v>
      </c>
      <c r="E2644">
        <v>6</v>
      </c>
      <c r="F2644" s="6">
        <v>750</v>
      </c>
      <c r="G2644" t="s">
        <v>3802</v>
      </c>
    </row>
    <row r="2645" spans="1:7">
      <c r="A2645" t="s">
        <v>1131</v>
      </c>
      <c r="B2645" t="s">
        <v>7292</v>
      </c>
      <c r="C2645" t="s">
        <v>5804</v>
      </c>
      <c r="D2645" t="s">
        <v>5805</v>
      </c>
      <c r="E2645">
        <v>12</v>
      </c>
      <c r="F2645" s="6">
        <v>750</v>
      </c>
      <c r="G2645" t="s">
        <v>3730</v>
      </c>
    </row>
    <row r="2646" spans="1:7">
      <c r="A2646" t="s">
        <v>843</v>
      </c>
      <c r="B2646" t="s">
        <v>7293</v>
      </c>
      <c r="C2646" t="s">
        <v>4170</v>
      </c>
      <c r="D2646" t="s">
        <v>4171</v>
      </c>
      <c r="E2646">
        <v>12</v>
      </c>
      <c r="F2646" s="6">
        <v>750</v>
      </c>
      <c r="G2646" t="s">
        <v>3705</v>
      </c>
    </row>
    <row r="2647" spans="1:7">
      <c r="A2647" t="s">
        <v>3468</v>
      </c>
      <c r="B2647" t="s">
        <v>7294</v>
      </c>
      <c r="C2647" t="s">
        <v>5804</v>
      </c>
      <c r="D2647" t="s">
        <v>5805</v>
      </c>
      <c r="E2647">
        <v>12</v>
      </c>
      <c r="F2647" s="6">
        <v>750</v>
      </c>
      <c r="G2647" t="s">
        <v>3730</v>
      </c>
    </row>
    <row r="2648" spans="1:7">
      <c r="A2648" t="s">
        <v>1894</v>
      </c>
      <c r="B2648" t="s">
        <v>7295</v>
      </c>
      <c r="C2648" t="s">
        <v>4170</v>
      </c>
      <c r="D2648" t="s">
        <v>4171</v>
      </c>
      <c r="E2648">
        <v>12</v>
      </c>
      <c r="F2648" s="6">
        <v>750</v>
      </c>
      <c r="G2648" t="s">
        <v>3705</v>
      </c>
    </row>
    <row r="2649" spans="1:7">
      <c r="A2649" t="s">
        <v>1420</v>
      </c>
      <c r="B2649" t="s">
        <v>7296</v>
      </c>
      <c r="C2649" t="s">
        <v>4170</v>
      </c>
      <c r="D2649" t="s">
        <v>4171</v>
      </c>
      <c r="E2649">
        <v>6</v>
      </c>
      <c r="F2649" s="6">
        <v>750</v>
      </c>
      <c r="G2649" t="s">
        <v>4032</v>
      </c>
    </row>
    <row r="2650" spans="1:7">
      <c r="A2650" t="s">
        <v>318</v>
      </c>
      <c r="B2650" t="s">
        <v>7297</v>
      </c>
      <c r="C2650" t="s">
        <v>3679</v>
      </c>
      <c r="D2650" t="s">
        <v>3680</v>
      </c>
      <c r="E2650">
        <v>12</v>
      </c>
      <c r="F2650" s="6">
        <v>375</v>
      </c>
      <c r="G2650" t="s">
        <v>3966</v>
      </c>
    </row>
    <row r="2651" spans="1:7">
      <c r="A2651" t="s">
        <v>7298</v>
      </c>
      <c r="B2651" t="s">
        <v>7288</v>
      </c>
      <c r="C2651" t="s">
        <v>5804</v>
      </c>
      <c r="D2651" t="s">
        <v>5805</v>
      </c>
      <c r="E2651">
        <v>12</v>
      </c>
      <c r="F2651" s="6">
        <v>750</v>
      </c>
      <c r="G2651" t="s">
        <v>3730</v>
      </c>
    </row>
    <row r="2652" spans="1:7">
      <c r="A2652" t="s">
        <v>7299</v>
      </c>
      <c r="B2652" t="s">
        <v>7300</v>
      </c>
      <c r="C2652" t="s">
        <v>7301</v>
      </c>
      <c r="D2652" t="s">
        <v>7302</v>
      </c>
      <c r="E2652">
        <v>12</v>
      </c>
      <c r="F2652" s="6">
        <v>750</v>
      </c>
      <c r="G2652" t="s">
        <v>4182</v>
      </c>
    </row>
    <row r="2653" spans="1:7">
      <c r="A2653" t="s">
        <v>7303</v>
      </c>
      <c r="B2653" t="s">
        <v>7304</v>
      </c>
      <c r="C2653" t="s">
        <v>3721</v>
      </c>
      <c r="D2653" t="s">
        <v>3722</v>
      </c>
      <c r="E2653">
        <v>6</v>
      </c>
      <c r="F2653" s="6">
        <v>750</v>
      </c>
      <c r="G2653" t="s">
        <v>3754</v>
      </c>
    </row>
    <row r="2654" spans="1:7">
      <c r="A2654" t="s">
        <v>2224</v>
      </c>
      <c r="B2654" t="s">
        <v>7305</v>
      </c>
      <c r="C2654" t="s">
        <v>5804</v>
      </c>
      <c r="D2654" t="s">
        <v>5805</v>
      </c>
      <c r="E2654">
        <v>12</v>
      </c>
      <c r="F2654" s="6">
        <v>750</v>
      </c>
      <c r="G2654" t="s">
        <v>3730</v>
      </c>
    </row>
    <row r="2655" spans="1:7">
      <c r="A2655" t="s">
        <v>423</v>
      </c>
      <c r="B2655" t="s">
        <v>7306</v>
      </c>
      <c r="C2655" t="s">
        <v>3977</v>
      </c>
      <c r="D2655" t="s">
        <v>3978</v>
      </c>
      <c r="E2655">
        <v>6</v>
      </c>
      <c r="F2655" s="6">
        <v>750</v>
      </c>
      <c r="G2655" t="s">
        <v>3931</v>
      </c>
    </row>
    <row r="2656" spans="1:7">
      <c r="A2656" t="s">
        <v>1055</v>
      </c>
      <c r="B2656" t="s">
        <v>7307</v>
      </c>
      <c r="C2656" t="s">
        <v>4012</v>
      </c>
      <c r="D2656" t="s">
        <v>4013</v>
      </c>
      <c r="E2656">
        <v>12</v>
      </c>
      <c r="F2656" s="6">
        <v>750</v>
      </c>
      <c r="G2656" t="s">
        <v>3716</v>
      </c>
    </row>
    <row r="2657" spans="1:7">
      <c r="A2657" t="s">
        <v>2689</v>
      </c>
      <c r="B2657" t="s">
        <v>7308</v>
      </c>
      <c r="C2657" t="s">
        <v>5804</v>
      </c>
      <c r="D2657" t="s">
        <v>5805</v>
      </c>
      <c r="E2657">
        <v>24</v>
      </c>
      <c r="F2657" s="6">
        <v>200</v>
      </c>
      <c r="G2657" t="s">
        <v>3730</v>
      </c>
    </row>
    <row r="2658" spans="1:7">
      <c r="A2658" t="s">
        <v>1582</v>
      </c>
      <c r="B2658" t="s">
        <v>7308</v>
      </c>
      <c r="C2658" t="s">
        <v>5804</v>
      </c>
      <c r="D2658" t="s">
        <v>5805</v>
      </c>
      <c r="E2658">
        <v>12</v>
      </c>
      <c r="F2658" s="6">
        <v>375</v>
      </c>
      <c r="G2658" t="s">
        <v>3730</v>
      </c>
    </row>
    <row r="2659" spans="1:7">
      <c r="A2659" t="s">
        <v>613</v>
      </c>
      <c r="B2659" t="s">
        <v>7308</v>
      </c>
      <c r="C2659" t="s">
        <v>5804</v>
      </c>
      <c r="D2659" t="s">
        <v>5805</v>
      </c>
      <c r="E2659">
        <v>12</v>
      </c>
      <c r="F2659" s="6">
        <v>750</v>
      </c>
      <c r="G2659" t="s">
        <v>3730</v>
      </c>
    </row>
    <row r="2660" spans="1:7">
      <c r="A2660" t="s">
        <v>7309</v>
      </c>
      <c r="B2660" t="s">
        <v>7310</v>
      </c>
      <c r="C2660" t="s">
        <v>3679</v>
      </c>
      <c r="D2660" t="s">
        <v>3680</v>
      </c>
      <c r="E2660">
        <v>6</v>
      </c>
      <c r="F2660" s="6">
        <v>750</v>
      </c>
      <c r="G2660" t="s">
        <v>3730</v>
      </c>
    </row>
    <row r="2661" spans="1:7">
      <c r="A2661" t="s">
        <v>1569</v>
      </c>
      <c r="B2661" t="s">
        <v>7297</v>
      </c>
      <c r="C2661" t="s">
        <v>4190</v>
      </c>
      <c r="D2661" t="s">
        <v>4191</v>
      </c>
      <c r="E2661">
        <v>6</v>
      </c>
      <c r="F2661" s="6">
        <v>750</v>
      </c>
      <c r="G2661" t="s">
        <v>3966</v>
      </c>
    </row>
    <row r="2662" spans="1:7">
      <c r="A2662" t="s">
        <v>2718</v>
      </c>
      <c r="B2662" t="s">
        <v>7311</v>
      </c>
      <c r="C2662" t="s">
        <v>3684</v>
      </c>
      <c r="D2662" t="s">
        <v>3685</v>
      </c>
      <c r="E2662">
        <v>12</v>
      </c>
      <c r="F2662" s="6">
        <v>750</v>
      </c>
      <c r="G2662" t="s">
        <v>4419</v>
      </c>
    </row>
    <row r="2663" spans="1:7">
      <c r="A2663" t="s">
        <v>7312</v>
      </c>
      <c r="B2663" t="s">
        <v>7313</v>
      </c>
      <c r="C2663" t="s">
        <v>5804</v>
      </c>
      <c r="D2663" t="s">
        <v>5805</v>
      </c>
      <c r="E2663">
        <v>24</v>
      </c>
      <c r="F2663" s="6">
        <v>200</v>
      </c>
      <c r="G2663" t="s">
        <v>3730</v>
      </c>
    </row>
    <row r="2664" spans="1:7">
      <c r="A2664" t="s">
        <v>458</v>
      </c>
      <c r="B2664" t="s">
        <v>7313</v>
      </c>
      <c r="C2664" t="s">
        <v>5804</v>
      </c>
      <c r="D2664" t="s">
        <v>5805</v>
      </c>
      <c r="E2664">
        <v>12</v>
      </c>
      <c r="F2664" s="6">
        <v>375</v>
      </c>
      <c r="G2664" t="s">
        <v>3730</v>
      </c>
    </row>
    <row r="2665" spans="1:7">
      <c r="A2665" t="s">
        <v>1917</v>
      </c>
      <c r="B2665" t="s">
        <v>7313</v>
      </c>
      <c r="C2665" t="s">
        <v>5804</v>
      </c>
      <c r="D2665" t="s">
        <v>5805</v>
      </c>
      <c r="E2665">
        <v>12</v>
      </c>
      <c r="F2665" s="6">
        <v>750</v>
      </c>
      <c r="G2665" t="s">
        <v>3730</v>
      </c>
    </row>
    <row r="2666" spans="1:7">
      <c r="A2666" t="s">
        <v>7314</v>
      </c>
      <c r="B2666" t="s">
        <v>7315</v>
      </c>
      <c r="C2666" t="s">
        <v>3756</v>
      </c>
      <c r="D2666" t="s">
        <v>3757</v>
      </c>
      <c r="E2666">
        <v>10</v>
      </c>
      <c r="F2666" s="6">
        <v>50</v>
      </c>
      <c r="G2666" t="s">
        <v>3686</v>
      </c>
    </row>
    <row r="2667" spans="1:7">
      <c r="A2667" t="s">
        <v>1452</v>
      </c>
      <c r="B2667" t="s">
        <v>7316</v>
      </c>
      <c r="C2667" t="s">
        <v>4170</v>
      </c>
      <c r="D2667" t="s">
        <v>4171</v>
      </c>
      <c r="E2667">
        <v>6</v>
      </c>
      <c r="F2667" s="6">
        <v>750</v>
      </c>
      <c r="G2667" t="s">
        <v>3686</v>
      </c>
    </row>
    <row r="2668" spans="1:7">
      <c r="A2668" t="s">
        <v>319</v>
      </c>
      <c r="B2668" t="s">
        <v>7317</v>
      </c>
      <c r="C2668" t="s">
        <v>4023</v>
      </c>
      <c r="D2668" t="s">
        <v>4024</v>
      </c>
      <c r="E2668">
        <v>12</v>
      </c>
      <c r="F2668" s="6">
        <v>750</v>
      </c>
      <c r="G2668" t="s">
        <v>4117</v>
      </c>
    </row>
    <row r="2669" spans="1:7">
      <c r="A2669" t="s">
        <v>2143</v>
      </c>
      <c r="B2669" t="s">
        <v>7318</v>
      </c>
      <c r="C2669" t="s">
        <v>4170</v>
      </c>
      <c r="D2669" t="s">
        <v>4171</v>
      </c>
      <c r="E2669">
        <v>12</v>
      </c>
      <c r="F2669" s="6">
        <v>750</v>
      </c>
      <c r="G2669" t="s">
        <v>3888</v>
      </c>
    </row>
    <row r="2670" spans="1:7">
      <c r="A2670" t="s">
        <v>3485</v>
      </c>
      <c r="B2670" t="s">
        <v>7319</v>
      </c>
      <c r="C2670" t="s">
        <v>4170</v>
      </c>
      <c r="D2670" t="s">
        <v>4171</v>
      </c>
      <c r="E2670">
        <v>6</v>
      </c>
      <c r="F2670" s="6">
        <v>750</v>
      </c>
      <c r="G2670" t="s">
        <v>3931</v>
      </c>
    </row>
    <row r="2671" spans="1:7">
      <c r="A2671" t="s">
        <v>7320</v>
      </c>
      <c r="B2671" t="s">
        <v>7321</v>
      </c>
      <c r="C2671" t="s">
        <v>4170</v>
      </c>
      <c r="D2671" t="s">
        <v>4171</v>
      </c>
      <c r="E2671">
        <v>6</v>
      </c>
      <c r="F2671" s="6">
        <v>750</v>
      </c>
      <c r="G2671" t="s">
        <v>4163</v>
      </c>
    </row>
    <row r="2672" spans="1:7">
      <c r="A2672" t="s">
        <v>7322</v>
      </c>
      <c r="B2672" t="s">
        <v>7270</v>
      </c>
      <c r="C2672" t="s">
        <v>4170</v>
      </c>
      <c r="D2672" t="s">
        <v>4171</v>
      </c>
      <c r="E2672">
        <v>12</v>
      </c>
      <c r="F2672" s="6">
        <v>750</v>
      </c>
      <c r="G2672" t="s">
        <v>3694</v>
      </c>
    </row>
    <row r="2673" spans="1:7">
      <c r="A2673" t="s">
        <v>213</v>
      </c>
      <c r="B2673" t="s">
        <v>7323</v>
      </c>
      <c r="C2673" t="s">
        <v>5804</v>
      </c>
      <c r="D2673" t="s">
        <v>5805</v>
      </c>
      <c r="E2673">
        <v>12</v>
      </c>
      <c r="F2673" s="6">
        <v>375</v>
      </c>
      <c r="G2673" t="s">
        <v>3730</v>
      </c>
    </row>
    <row r="2674" spans="1:7">
      <c r="A2674" t="s">
        <v>7324</v>
      </c>
      <c r="B2674" t="s">
        <v>7323</v>
      </c>
      <c r="C2674" t="s">
        <v>5804</v>
      </c>
      <c r="D2674" t="s">
        <v>5805</v>
      </c>
      <c r="E2674">
        <v>12</v>
      </c>
      <c r="F2674" s="6">
        <v>1000</v>
      </c>
      <c r="G2674" t="s">
        <v>3730</v>
      </c>
    </row>
    <row r="2675" spans="1:7">
      <c r="A2675" t="s">
        <v>2210</v>
      </c>
      <c r="B2675" t="s">
        <v>7323</v>
      </c>
      <c r="C2675" t="s">
        <v>5804</v>
      </c>
      <c r="D2675" t="s">
        <v>5805</v>
      </c>
      <c r="E2675">
        <v>12</v>
      </c>
      <c r="F2675" s="6">
        <v>750</v>
      </c>
      <c r="G2675" t="s">
        <v>3730</v>
      </c>
    </row>
    <row r="2676" spans="1:7">
      <c r="A2676" t="s">
        <v>2573</v>
      </c>
      <c r="B2676" t="s">
        <v>7323</v>
      </c>
      <c r="C2676" t="s">
        <v>5804</v>
      </c>
      <c r="D2676" t="s">
        <v>5805</v>
      </c>
      <c r="E2676">
        <v>24</v>
      </c>
      <c r="F2676" s="6">
        <v>200</v>
      </c>
      <c r="G2676" t="s">
        <v>3730</v>
      </c>
    </row>
    <row r="2677" spans="1:7">
      <c r="A2677" t="s">
        <v>39</v>
      </c>
      <c r="B2677" t="s">
        <v>7325</v>
      </c>
      <c r="C2677" t="s">
        <v>6411</v>
      </c>
      <c r="D2677" t="s">
        <v>6412</v>
      </c>
      <c r="E2677">
        <v>12</v>
      </c>
      <c r="F2677" s="6">
        <v>750</v>
      </c>
      <c r="G2677" t="s">
        <v>3705</v>
      </c>
    </row>
    <row r="2678" spans="1:7">
      <c r="A2678" t="s">
        <v>7326</v>
      </c>
      <c r="B2678" t="s">
        <v>7327</v>
      </c>
      <c r="C2678" t="s">
        <v>5804</v>
      </c>
      <c r="D2678" t="s">
        <v>5805</v>
      </c>
      <c r="E2678">
        <v>12</v>
      </c>
      <c r="F2678" s="6">
        <v>1000</v>
      </c>
      <c r="G2678" t="s">
        <v>3730</v>
      </c>
    </row>
    <row r="2679" spans="1:7">
      <c r="A2679" t="s">
        <v>7328</v>
      </c>
      <c r="B2679" t="s">
        <v>7329</v>
      </c>
      <c r="C2679" t="s">
        <v>6442</v>
      </c>
      <c r="D2679" t="s">
        <v>6443</v>
      </c>
      <c r="E2679">
        <v>20</v>
      </c>
      <c r="F2679" s="6">
        <v>375</v>
      </c>
      <c r="G2679" t="s">
        <v>3763</v>
      </c>
    </row>
    <row r="2680" spans="1:7">
      <c r="A2680" t="s">
        <v>3072</v>
      </c>
      <c r="B2680" t="s">
        <v>7327</v>
      </c>
      <c r="C2680" t="s">
        <v>5804</v>
      </c>
      <c r="D2680" t="s">
        <v>5805</v>
      </c>
      <c r="E2680">
        <v>12</v>
      </c>
      <c r="F2680" s="6">
        <v>750</v>
      </c>
      <c r="G2680" t="s">
        <v>3730</v>
      </c>
    </row>
    <row r="2681" spans="1:7">
      <c r="A2681" t="s">
        <v>7330</v>
      </c>
      <c r="B2681" t="s">
        <v>7327</v>
      </c>
      <c r="C2681" t="s">
        <v>5804</v>
      </c>
      <c r="D2681" t="s">
        <v>5805</v>
      </c>
      <c r="E2681">
        <v>24</v>
      </c>
      <c r="F2681" s="6">
        <v>200</v>
      </c>
      <c r="G2681" t="s">
        <v>3730</v>
      </c>
    </row>
    <row r="2682" spans="1:7">
      <c r="A2682" t="s">
        <v>743</v>
      </c>
      <c r="B2682" t="s">
        <v>7327</v>
      </c>
      <c r="C2682" t="s">
        <v>5804</v>
      </c>
      <c r="D2682" t="s">
        <v>5805</v>
      </c>
      <c r="E2682">
        <v>12</v>
      </c>
      <c r="F2682" s="6">
        <v>375</v>
      </c>
      <c r="G2682" t="s">
        <v>3730</v>
      </c>
    </row>
    <row r="2683" spans="1:7">
      <c r="A2683" t="s">
        <v>2252</v>
      </c>
      <c r="B2683" t="s">
        <v>7331</v>
      </c>
      <c r="C2683" t="s">
        <v>4170</v>
      </c>
      <c r="D2683" t="s">
        <v>4171</v>
      </c>
      <c r="E2683">
        <v>24</v>
      </c>
      <c r="F2683" s="6">
        <v>375</v>
      </c>
      <c r="G2683" t="s">
        <v>5698</v>
      </c>
    </row>
    <row r="2684" spans="1:7">
      <c r="A2684" t="s">
        <v>2597</v>
      </c>
      <c r="B2684" t="s">
        <v>7331</v>
      </c>
      <c r="C2684" t="s">
        <v>4170</v>
      </c>
      <c r="D2684" t="s">
        <v>4171</v>
      </c>
      <c r="E2684">
        <v>12</v>
      </c>
      <c r="F2684" s="6">
        <v>750</v>
      </c>
      <c r="G2684" t="s">
        <v>5698</v>
      </c>
    </row>
    <row r="2685" spans="1:7">
      <c r="A2685" t="s">
        <v>7332</v>
      </c>
      <c r="B2685" t="s">
        <v>7333</v>
      </c>
      <c r="C2685" t="s">
        <v>3756</v>
      </c>
      <c r="D2685" t="s">
        <v>3757</v>
      </c>
      <c r="E2685">
        <v>10</v>
      </c>
      <c r="F2685" s="6">
        <v>50</v>
      </c>
      <c r="G2685" t="s">
        <v>3686</v>
      </c>
    </row>
    <row r="2686" spans="1:7">
      <c r="A2686" t="s">
        <v>781</v>
      </c>
      <c r="B2686" t="s">
        <v>7334</v>
      </c>
      <c r="C2686" t="s">
        <v>4170</v>
      </c>
      <c r="D2686" t="s">
        <v>4171</v>
      </c>
      <c r="E2686">
        <v>12</v>
      </c>
      <c r="F2686" s="6">
        <v>750</v>
      </c>
      <c r="G2686" t="s">
        <v>3686</v>
      </c>
    </row>
    <row r="2687" spans="1:7">
      <c r="A2687" t="s">
        <v>1654</v>
      </c>
      <c r="B2687" t="s">
        <v>7335</v>
      </c>
      <c r="C2687" t="s">
        <v>3756</v>
      </c>
      <c r="D2687" t="s">
        <v>3757</v>
      </c>
      <c r="E2687">
        <v>6</v>
      </c>
      <c r="F2687" s="6">
        <v>750</v>
      </c>
      <c r="G2687" t="s">
        <v>3702</v>
      </c>
    </row>
    <row r="2688" spans="1:7">
      <c r="A2688" t="s">
        <v>2844</v>
      </c>
      <c r="B2688" t="s">
        <v>7336</v>
      </c>
      <c r="C2688" t="s">
        <v>3708</v>
      </c>
      <c r="D2688" t="s">
        <v>3709</v>
      </c>
      <c r="E2688">
        <v>1</v>
      </c>
      <c r="F2688" s="6">
        <v>50</v>
      </c>
      <c r="G2688" t="s">
        <v>3686</v>
      </c>
    </row>
    <row r="2689" spans="1:7">
      <c r="A2689" t="s">
        <v>603</v>
      </c>
      <c r="B2689" t="s">
        <v>7337</v>
      </c>
      <c r="C2689" t="s">
        <v>3708</v>
      </c>
      <c r="D2689" t="s">
        <v>3709</v>
      </c>
      <c r="E2689">
        <v>48</v>
      </c>
      <c r="F2689" s="6">
        <v>200</v>
      </c>
      <c r="G2689" t="s">
        <v>3686</v>
      </c>
    </row>
    <row r="2690" spans="1:7">
      <c r="A2690" t="s">
        <v>1736</v>
      </c>
      <c r="B2690" t="s">
        <v>7337</v>
      </c>
      <c r="C2690" t="s">
        <v>3708</v>
      </c>
      <c r="D2690" t="s">
        <v>3709</v>
      </c>
      <c r="E2690">
        <v>24</v>
      </c>
      <c r="F2690" s="6">
        <v>375</v>
      </c>
      <c r="G2690" t="s">
        <v>3686</v>
      </c>
    </row>
    <row r="2691" spans="1:7">
      <c r="A2691" t="s">
        <v>2608</v>
      </c>
      <c r="B2691" t="s">
        <v>7338</v>
      </c>
      <c r="C2691" t="s">
        <v>3708</v>
      </c>
      <c r="D2691" t="s">
        <v>3709</v>
      </c>
      <c r="E2691">
        <v>12</v>
      </c>
      <c r="F2691" s="6">
        <v>750</v>
      </c>
      <c r="G2691" t="s">
        <v>3686</v>
      </c>
    </row>
    <row r="2692" spans="1:7">
      <c r="A2692" t="s">
        <v>127</v>
      </c>
      <c r="B2692" t="s">
        <v>7337</v>
      </c>
      <c r="C2692" t="s">
        <v>3708</v>
      </c>
      <c r="D2692" t="s">
        <v>3709</v>
      </c>
      <c r="E2692">
        <v>12</v>
      </c>
      <c r="F2692" s="6">
        <v>750</v>
      </c>
      <c r="G2692" t="s">
        <v>3686</v>
      </c>
    </row>
    <row r="2693" spans="1:7">
      <c r="A2693" t="s">
        <v>2837</v>
      </c>
      <c r="B2693" t="s">
        <v>7337</v>
      </c>
      <c r="C2693" t="s">
        <v>3708</v>
      </c>
      <c r="D2693" t="s">
        <v>3709</v>
      </c>
      <c r="E2693">
        <v>12</v>
      </c>
      <c r="F2693" s="6">
        <v>1000</v>
      </c>
      <c r="G2693" t="s">
        <v>3686</v>
      </c>
    </row>
    <row r="2694" spans="1:7">
      <c r="A2694" t="s">
        <v>591</v>
      </c>
      <c r="B2694" t="s">
        <v>7337</v>
      </c>
      <c r="C2694" t="s">
        <v>3708</v>
      </c>
      <c r="D2694" t="s">
        <v>3709</v>
      </c>
      <c r="E2694">
        <v>6</v>
      </c>
      <c r="F2694" s="6">
        <v>1750</v>
      </c>
      <c r="G2694" t="s">
        <v>3686</v>
      </c>
    </row>
    <row r="2695" spans="1:7">
      <c r="A2695" t="s">
        <v>1728</v>
      </c>
      <c r="B2695" t="s">
        <v>7337</v>
      </c>
      <c r="C2695" t="s">
        <v>3708</v>
      </c>
      <c r="D2695" t="s">
        <v>3709</v>
      </c>
      <c r="E2695">
        <v>48</v>
      </c>
      <c r="F2695" s="6">
        <v>100</v>
      </c>
      <c r="G2695" t="s">
        <v>3686</v>
      </c>
    </row>
    <row r="2696" spans="1:7">
      <c r="A2696" t="s">
        <v>2667</v>
      </c>
      <c r="B2696" t="s">
        <v>7339</v>
      </c>
      <c r="C2696" t="s">
        <v>4170</v>
      </c>
      <c r="D2696" t="s">
        <v>4171</v>
      </c>
      <c r="E2696">
        <v>12</v>
      </c>
      <c r="F2696" s="6">
        <v>750</v>
      </c>
      <c r="G2696" t="s">
        <v>4419</v>
      </c>
    </row>
    <row r="2697" spans="1:7">
      <c r="A2697" t="s">
        <v>714</v>
      </c>
      <c r="B2697" t="s">
        <v>7340</v>
      </c>
      <c r="C2697" t="s">
        <v>3708</v>
      </c>
      <c r="D2697" t="s">
        <v>3709</v>
      </c>
      <c r="E2697">
        <v>6</v>
      </c>
      <c r="F2697" s="6">
        <v>750</v>
      </c>
      <c r="G2697" t="s">
        <v>3702</v>
      </c>
    </row>
    <row r="2698" spans="1:7">
      <c r="A2698" t="s">
        <v>1110</v>
      </c>
      <c r="B2698" t="s">
        <v>7338</v>
      </c>
      <c r="C2698" t="s">
        <v>3708</v>
      </c>
      <c r="D2698" t="s">
        <v>3709</v>
      </c>
      <c r="E2698">
        <v>6</v>
      </c>
      <c r="F2698" s="6">
        <v>1750</v>
      </c>
      <c r="G2698" t="s">
        <v>3686</v>
      </c>
    </row>
    <row r="2699" spans="1:7">
      <c r="A2699" t="s">
        <v>7341</v>
      </c>
      <c r="B2699" t="s">
        <v>7342</v>
      </c>
      <c r="C2699" t="s">
        <v>5804</v>
      </c>
      <c r="D2699" t="s">
        <v>5805</v>
      </c>
      <c r="E2699">
        <v>24</v>
      </c>
      <c r="F2699" s="6">
        <v>200</v>
      </c>
      <c r="G2699" t="s">
        <v>3730</v>
      </c>
    </row>
    <row r="2700" spans="1:7">
      <c r="A2700" t="s">
        <v>2822</v>
      </c>
      <c r="B2700" t="s">
        <v>7342</v>
      </c>
      <c r="C2700" t="s">
        <v>5804</v>
      </c>
      <c r="D2700" t="s">
        <v>5805</v>
      </c>
      <c r="E2700">
        <v>12</v>
      </c>
      <c r="F2700" s="6">
        <v>375</v>
      </c>
      <c r="G2700" t="s">
        <v>3730</v>
      </c>
    </row>
    <row r="2701" spans="1:7">
      <c r="A2701" t="s">
        <v>332</v>
      </c>
      <c r="B2701" t="s">
        <v>7342</v>
      </c>
      <c r="C2701" t="s">
        <v>5804</v>
      </c>
      <c r="D2701" t="s">
        <v>5805</v>
      </c>
      <c r="E2701">
        <v>12</v>
      </c>
      <c r="F2701" s="6">
        <v>750</v>
      </c>
      <c r="G2701" t="s">
        <v>3730</v>
      </c>
    </row>
    <row r="2702" spans="1:7">
      <c r="A2702" t="s">
        <v>7343</v>
      </c>
      <c r="B2702" t="s">
        <v>7344</v>
      </c>
      <c r="C2702" t="s">
        <v>3692</v>
      </c>
      <c r="D2702" t="s">
        <v>3693</v>
      </c>
      <c r="E2702">
        <v>12</v>
      </c>
      <c r="F2702" s="6">
        <v>750</v>
      </c>
      <c r="G2702" t="s">
        <v>4509</v>
      </c>
    </row>
    <row r="2703" spans="1:7">
      <c r="A2703" t="s">
        <v>7345</v>
      </c>
      <c r="B2703" t="s">
        <v>7346</v>
      </c>
      <c r="C2703" t="s">
        <v>3692</v>
      </c>
      <c r="D2703" t="s">
        <v>3693</v>
      </c>
      <c r="E2703">
        <v>12</v>
      </c>
      <c r="F2703" s="6">
        <v>750</v>
      </c>
      <c r="G2703" t="s">
        <v>4509</v>
      </c>
    </row>
    <row r="2704" spans="1:7">
      <c r="A2704" t="s">
        <v>1346</v>
      </c>
      <c r="B2704" t="s">
        <v>7347</v>
      </c>
      <c r="C2704" t="s">
        <v>3692</v>
      </c>
      <c r="D2704" t="s">
        <v>3693</v>
      </c>
      <c r="E2704">
        <v>12</v>
      </c>
      <c r="F2704" s="6">
        <v>750</v>
      </c>
      <c r="G2704" t="s">
        <v>3689</v>
      </c>
    </row>
    <row r="2705" spans="1:7">
      <c r="A2705" t="s">
        <v>705</v>
      </c>
      <c r="B2705" t="s">
        <v>7348</v>
      </c>
      <c r="C2705" t="s">
        <v>3692</v>
      </c>
      <c r="D2705" t="s">
        <v>3693</v>
      </c>
      <c r="E2705">
        <v>12</v>
      </c>
      <c r="F2705" s="6">
        <v>750</v>
      </c>
      <c r="G2705" t="s">
        <v>4509</v>
      </c>
    </row>
    <row r="2706" spans="1:7">
      <c r="A2706" t="s">
        <v>7349</v>
      </c>
      <c r="B2706" t="s">
        <v>7350</v>
      </c>
      <c r="C2706" t="s">
        <v>6442</v>
      </c>
      <c r="D2706" t="s">
        <v>6443</v>
      </c>
      <c r="E2706">
        <v>20</v>
      </c>
      <c r="F2706" s="6">
        <v>375</v>
      </c>
      <c r="G2706" t="s">
        <v>3763</v>
      </c>
    </row>
    <row r="2707" spans="1:7">
      <c r="A2707" t="s">
        <v>7351</v>
      </c>
      <c r="B2707" t="s">
        <v>7352</v>
      </c>
      <c r="C2707" t="s">
        <v>6442</v>
      </c>
      <c r="D2707" t="s">
        <v>6443</v>
      </c>
      <c r="E2707">
        <v>20</v>
      </c>
      <c r="F2707" s="6">
        <v>375</v>
      </c>
      <c r="G2707" t="s">
        <v>3763</v>
      </c>
    </row>
    <row r="2708" spans="1:7">
      <c r="A2708" t="s">
        <v>1870</v>
      </c>
      <c r="B2708" t="s">
        <v>7353</v>
      </c>
      <c r="C2708" t="s">
        <v>4170</v>
      </c>
      <c r="D2708" t="s">
        <v>4171</v>
      </c>
      <c r="E2708">
        <v>12</v>
      </c>
      <c r="F2708" s="6">
        <v>750</v>
      </c>
      <c r="G2708" t="s">
        <v>3888</v>
      </c>
    </row>
    <row r="2709" spans="1:7">
      <c r="A2709" t="s">
        <v>744</v>
      </c>
      <c r="B2709" t="s">
        <v>7354</v>
      </c>
      <c r="C2709" t="s">
        <v>3708</v>
      </c>
      <c r="D2709" t="s">
        <v>3709</v>
      </c>
      <c r="E2709">
        <v>12</v>
      </c>
      <c r="F2709" s="6">
        <v>50</v>
      </c>
      <c r="G2709" t="s">
        <v>3686</v>
      </c>
    </row>
    <row r="2710" spans="1:7">
      <c r="A2710" t="s">
        <v>2125</v>
      </c>
      <c r="B2710" t="s">
        <v>7355</v>
      </c>
      <c r="C2710" t="s">
        <v>3756</v>
      </c>
      <c r="D2710" t="s">
        <v>3757</v>
      </c>
      <c r="E2710">
        <v>6</v>
      </c>
      <c r="F2710" s="6">
        <v>750</v>
      </c>
      <c r="G2710" t="s">
        <v>3702</v>
      </c>
    </row>
    <row r="2711" spans="1:7">
      <c r="A2711" t="s">
        <v>3351</v>
      </c>
      <c r="B2711" t="s">
        <v>7356</v>
      </c>
      <c r="C2711" t="s">
        <v>7357</v>
      </c>
      <c r="D2711" t="s">
        <v>7358</v>
      </c>
      <c r="E2711">
        <v>10</v>
      </c>
      <c r="F2711" s="6">
        <v>50</v>
      </c>
      <c r="G2711" t="s">
        <v>3686</v>
      </c>
    </row>
    <row r="2712" spans="1:7">
      <c r="A2712" t="s">
        <v>1336</v>
      </c>
      <c r="B2712" t="s">
        <v>7359</v>
      </c>
      <c r="C2712" t="s">
        <v>7357</v>
      </c>
      <c r="D2712" t="s">
        <v>7358</v>
      </c>
      <c r="E2712">
        <v>12</v>
      </c>
      <c r="F2712" s="6">
        <v>750</v>
      </c>
      <c r="G2712" t="s">
        <v>3686</v>
      </c>
    </row>
    <row r="2713" spans="1:7">
      <c r="A2713" t="s">
        <v>7360</v>
      </c>
      <c r="B2713" t="s">
        <v>7361</v>
      </c>
      <c r="C2713" t="s">
        <v>4170</v>
      </c>
      <c r="D2713" t="s">
        <v>4171</v>
      </c>
      <c r="E2713">
        <v>12</v>
      </c>
      <c r="F2713" s="6">
        <v>375</v>
      </c>
      <c r="G2713" t="s">
        <v>3702</v>
      </c>
    </row>
    <row r="2714" spans="1:7">
      <c r="A2714" t="s">
        <v>7362</v>
      </c>
      <c r="B2714" t="s">
        <v>7363</v>
      </c>
      <c r="C2714" t="s">
        <v>3679</v>
      </c>
      <c r="D2714" t="s">
        <v>3680</v>
      </c>
      <c r="E2714">
        <v>10</v>
      </c>
      <c r="F2714" s="6">
        <v>50</v>
      </c>
      <c r="G2714" t="s">
        <v>3888</v>
      </c>
    </row>
    <row r="2715" spans="1:7">
      <c r="A2715" t="s">
        <v>343</v>
      </c>
      <c r="B2715" t="s">
        <v>7364</v>
      </c>
      <c r="C2715" t="s">
        <v>4170</v>
      </c>
      <c r="D2715" t="s">
        <v>4171</v>
      </c>
      <c r="E2715">
        <v>12</v>
      </c>
      <c r="F2715" s="6">
        <v>375</v>
      </c>
      <c r="G2715" t="s">
        <v>3888</v>
      </c>
    </row>
    <row r="2716" spans="1:7">
      <c r="A2716" t="s">
        <v>3454</v>
      </c>
      <c r="B2716" t="s">
        <v>7364</v>
      </c>
      <c r="C2716" t="s">
        <v>4170</v>
      </c>
      <c r="D2716" t="s">
        <v>4171</v>
      </c>
      <c r="E2716">
        <v>12</v>
      </c>
      <c r="F2716" s="6">
        <v>750</v>
      </c>
      <c r="G2716" t="s">
        <v>3888</v>
      </c>
    </row>
    <row r="2717" spans="1:7">
      <c r="A2717" t="s">
        <v>947</v>
      </c>
      <c r="B2717" t="s">
        <v>7364</v>
      </c>
      <c r="C2717" t="s">
        <v>4170</v>
      </c>
      <c r="D2717" t="s">
        <v>4171</v>
      </c>
      <c r="E2717">
        <v>6</v>
      </c>
      <c r="F2717" s="6">
        <v>1000</v>
      </c>
      <c r="G2717" t="s">
        <v>3888</v>
      </c>
    </row>
    <row r="2718" spans="1:7">
      <c r="A2718" t="s">
        <v>2321</v>
      </c>
      <c r="B2718" t="s">
        <v>7365</v>
      </c>
      <c r="C2718" t="s">
        <v>4170</v>
      </c>
      <c r="D2718" t="s">
        <v>4171</v>
      </c>
      <c r="E2718">
        <v>6</v>
      </c>
      <c r="F2718" s="6">
        <v>750</v>
      </c>
      <c r="G2718" t="s">
        <v>4331</v>
      </c>
    </row>
    <row r="2719" spans="1:7">
      <c r="A2719" t="s">
        <v>7366</v>
      </c>
      <c r="B2719" t="s">
        <v>7367</v>
      </c>
      <c r="C2719" t="s">
        <v>4170</v>
      </c>
      <c r="D2719" t="s">
        <v>4171</v>
      </c>
      <c r="E2719">
        <v>6</v>
      </c>
      <c r="F2719" s="6">
        <v>750</v>
      </c>
      <c r="G2719" t="s">
        <v>4331</v>
      </c>
    </row>
    <row r="2720" spans="1:7">
      <c r="A2720" t="s">
        <v>7368</v>
      </c>
      <c r="B2720" t="s">
        <v>7369</v>
      </c>
      <c r="C2720" t="s">
        <v>4170</v>
      </c>
      <c r="D2720" t="s">
        <v>4171</v>
      </c>
      <c r="E2720">
        <v>6</v>
      </c>
      <c r="F2720" s="6">
        <v>750</v>
      </c>
      <c r="G2720" t="s">
        <v>3931</v>
      </c>
    </row>
    <row r="2721" spans="1:7">
      <c r="A2721" t="s">
        <v>3455</v>
      </c>
      <c r="B2721" t="s">
        <v>7370</v>
      </c>
      <c r="C2721" t="s">
        <v>4170</v>
      </c>
      <c r="D2721" t="s">
        <v>4171</v>
      </c>
      <c r="E2721">
        <v>8</v>
      </c>
      <c r="F2721" s="6">
        <v>50</v>
      </c>
      <c r="G2721" t="s">
        <v>3931</v>
      </c>
    </row>
    <row r="2722" spans="1:7">
      <c r="A2722" t="s">
        <v>387</v>
      </c>
      <c r="B2722" t="s">
        <v>7371</v>
      </c>
      <c r="C2722" t="s">
        <v>4170</v>
      </c>
      <c r="D2722" t="s">
        <v>4171</v>
      </c>
      <c r="E2722">
        <v>12</v>
      </c>
      <c r="F2722" s="6">
        <v>375</v>
      </c>
      <c r="G2722" t="s">
        <v>3931</v>
      </c>
    </row>
    <row r="2723" spans="1:7">
      <c r="A2723" t="s">
        <v>2863</v>
      </c>
      <c r="B2723" t="s">
        <v>7371</v>
      </c>
      <c r="C2723" t="s">
        <v>4170</v>
      </c>
      <c r="D2723" t="s">
        <v>4171</v>
      </c>
      <c r="E2723">
        <v>6</v>
      </c>
      <c r="F2723" s="6">
        <v>750</v>
      </c>
      <c r="G2723" t="s">
        <v>3931</v>
      </c>
    </row>
    <row r="2724" spans="1:7">
      <c r="A2724" t="s">
        <v>7372</v>
      </c>
      <c r="B2724" t="s">
        <v>7373</v>
      </c>
      <c r="C2724" t="s">
        <v>3977</v>
      </c>
      <c r="D2724" t="s">
        <v>3978</v>
      </c>
      <c r="E2724">
        <v>6</v>
      </c>
      <c r="F2724" s="6">
        <v>1750</v>
      </c>
      <c r="G2724" t="s">
        <v>3698</v>
      </c>
    </row>
    <row r="2725" spans="1:7">
      <c r="A2725" t="s">
        <v>2134</v>
      </c>
      <c r="B2725" t="s">
        <v>7374</v>
      </c>
      <c r="C2725" t="s">
        <v>3977</v>
      </c>
      <c r="D2725" t="s">
        <v>3978</v>
      </c>
      <c r="E2725">
        <v>12</v>
      </c>
      <c r="F2725" s="6">
        <v>1000</v>
      </c>
      <c r="G2725" t="s">
        <v>3698</v>
      </c>
    </row>
    <row r="2726" spans="1:7">
      <c r="A2726" t="s">
        <v>81</v>
      </c>
      <c r="B2726" t="s">
        <v>7374</v>
      </c>
      <c r="C2726" t="s">
        <v>3977</v>
      </c>
      <c r="D2726" t="s">
        <v>3978</v>
      </c>
      <c r="E2726">
        <v>12</v>
      </c>
      <c r="F2726" s="6">
        <v>750</v>
      </c>
      <c r="G2726" t="s">
        <v>3698</v>
      </c>
    </row>
    <row r="2727" spans="1:7">
      <c r="A2727" t="s">
        <v>2819</v>
      </c>
      <c r="B2727" t="s">
        <v>7375</v>
      </c>
      <c r="C2727" t="s">
        <v>3977</v>
      </c>
      <c r="D2727" t="s">
        <v>3978</v>
      </c>
      <c r="E2727">
        <v>6</v>
      </c>
      <c r="F2727" s="6">
        <v>50</v>
      </c>
      <c r="G2727" t="s">
        <v>3698</v>
      </c>
    </row>
    <row r="2728" spans="1:7">
      <c r="A2728" t="s">
        <v>2078</v>
      </c>
      <c r="B2728" t="s">
        <v>7373</v>
      </c>
      <c r="C2728" t="s">
        <v>3977</v>
      </c>
      <c r="D2728" t="s">
        <v>3978</v>
      </c>
      <c r="E2728">
        <v>12</v>
      </c>
      <c r="F2728" s="6">
        <v>375</v>
      </c>
      <c r="G2728" t="s">
        <v>3698</v>
      </c>
    </row>
    <row r="2729" spans="1:7">
      <c r="A2729" t="s">
        <v>745</v>
      </c>
      <c r="B2729" t="s">
        <v>7376</v>
      </c>
      <c r="C2729" t="s">
        <v>6442</v>
      </c>
      <c r="D2729" t="s">
        <v>6443</v>
      </c>
      <c r="E2729">
        <v>20</v>
      </c>
      <c r="F2729" s="6">
        <v>375</v>
      </c>
      <c r="G2729" t="s">
        <v>3763</v>
      </c>
    </row>
    <row r="2730" spans="1:7">
      <c r="A2730" t="s">
        <v>1179</v>
      </c>
      <c r="B2730" t="s">
        <v>7377</v>
      </c>
      <c r="C2730" t="s">
        <v>5626</v>
      </c>
      <c r="D2730" t="s">
        <v>5627</v>
      </c>
      <c r="E2730">
        <v>6</v>
      </c>
      <c r="F2730" s="6">
        <v>750</v>
      </c>
      <c r="G2730" t="s">
        <v>4419</v>
      </c>
    </row>
    <row r="2731" spans="1:7">
      <c r="A2731" t="s">
        <v>1625</v>
      </c>
      <c r="B2731" t="s">
        <v>7378</v>
      </c>
      <c r="C2731" t="s">
        <v>4170</v>
      </c>
      <c r="D2731" t="s">
        <v>4171</v>
      </c>
      <c r="E2731">
        <v>5</v>
      </c>
      <c r="F2731" s="6">
        <v>50</v>
      </c>
      <c r="G2731" t="s">
        <v>3992</v>
      </c>
    </row>
    <row r="2732" spans="1:7">
      <c r="A2732" t="s">
        <v>879</v>
      </c>
      <c r="B2732" t="s">
        <v>7379</v>
      </c>
      <c r="C2732" t="s">
        <v>4170</v>
      </c>
      <c r="D2732" t="s">
        <v>4171</v>
      </c>
      <c r="E2732">
        <v>48</v>
      </c>
      <c r="F2732" s="6">
        <v>200</v>
      </c>
      <c r="G2732" t="s">
        <v>3992</v>
      </c>
    </row>
    <row r="2733" spans="1:7">
      <c r="A2733" t="s">
        <v>1310</v>
      </c>
      <c r="B2733" t="s">
        <v>7379</v>
      </c>
      <c r="C2733" t="s">
        <v>4170</v>
      </c>
      <c r="D2733" t="s">
        <v>4171</v>
      </c>
      <c r="E2733">
        <v>24</v>
      </c>
      <c r="F2733" s="6">
        <v>375</v>
      </c>
      <c r="G2733" t="s">
        <v>3992</v>
      </c>
    </row>
    <row r="2734" spans="1:7">
      <c r="A2734" t="s">
        <v>2934</v>
      </c>
      <c r="B2734" t="s">
        <v>7379</v>
      </c>
      <c r="C2734" t="s">
        <v>4170</v>
      </c>
      <c r="D2734" t="s">
        <v>4171</v>
      </c>
      <c r="E2734">
        <v>12</v>
      </c>
      <c r="F2734" s="6">
        <v>750</v>
      </c>
      <c r="G2734" t="s">
        <v>3992</v>
      </c>
    </row>
    <row r="2735" spans="1:7">
      <c r="A2735" t="s">
        <v>473</v>
      </c>
      <c r="B2735" t="s">
        <v>7379</v>
      </c>
      <c r="C2735" t="s">
        <v>4170</v>
      </c>
      <c r="D2735" t="s">
        <v>4171</v>
      </c>
      <c r="E2735">
        <v>12</v>
      </c>
      <c r="F2735" s="6">
        <v>1000</v>
      </c>
      <c r="G2735" t="s">
        <v>3992</v>
      </c>
    </row>
    <row r="2736" spans="1:7">
      <c r="A2736" t="s">
        <v>1045</v>
      </c>
      <c r="B2736" t="s">
        <v>7379</v>
      </c>
      <c r="C2736" t="s">
        <v>4170</v>
      </c>
      <c r="D2736" t="s">
        <v>4171</v>
      </c>
      <c r="E2736">
        <v>6</v>
      </c>
      <c r="F2736" s="6">
        <v>1750</v>
      </c>
      <c r="G2736" t="s">
        <v>3992</v>
      </c>
    </row>
    <row r="2737" spans="1:7">
      <c r="A2737" t="s">
        <v>2854</v>
      </c>
      <c r="B2737" t="s">
        <v>7380</v>
      </c>
      <c r="C2737" t="s">
        <v>4170</v>
      </c>
      <c r="D2737" t="s">
        <v>4171</v>
      </c>
      <c r="E2737">
        <v>12</v>
      </c>
      <c r="F2737" s="6">
        <v>20</v>
      </c>
      <c r="G2737" t="s">
        <v>3992</v>
      </c>
    </row>
    <row r="2738" spans="1:7">
      <c r="A2738" t="s">
        <v>7381</v>
      </c>
      <c r="B2738" t="s">
        <v>7382</v>
      </c>
      <c r="C2738" t="s">
        <v>6442</v>
      </c>
      <c r="D2738" t="s">
        <v>6443</v>
      </c>
      <c r="E2738">
        <v>20</v>
      </c>
      <c r="F2738" s="6">
        <v>375</v>
      </c>
      <c r="G2738" t="s">
        <v>7383</v>
      </c>
    </row>
    <row r="2739" spans="1:7">
      <c r="A2739" t="s">
        <v>7384</v>
      </c>
      <c r="B2739" t="s">
        <v>7385</v>
      </c>
      <c r="C2739" t="s">
        <v>6442</v>
      </c>
      <c r="D2739" t="s">
        <v>6443</v>
      </c>
      <c r="E2739">
        <v>20</v>
      </c>
      <c r="F2739" s="6">
        <v>375</v>
      </c>
      <c r="G2739" t="s">
        <v>7383</v>
      </c>
    </row>
    <row r="2740" spans="1:7">
      <c r="A2740" t="s">
        <v>7386</v>
      </c>
      <c r="B2740" t="s">
        <v>7387</v>
      </c>
      <c r="C2740" t="s">
        <v>6442</v>
      </c>
      <c r="D2740" t="s">
        <v>6443</v>
      </c>
      <c r="E2740">
        <v>20</v>
      </c>
      <c r="F2740" s="6">
        <v>375</v>
      </c>
      <c r="G2740" t="s">
        <v>7383</v>
      </c>
    </row>
    <row r="2741" spans="1:7">
      <c r="A2741" t="s">
        <v>7388</v>
      </c>
      <c r="B2741" t="s">
        <v>7389</v>
      </c>
      <c r="C2741" t="s">
        <v>3679</v>
      </c>
      <c r="D2741" t="s">
        <v>3680</v>
      </c>
      <c r="E2741">
        <v>6</v>
      </c>
      <c r="F2741" s="6">
        <v>750</v>
      </c>
      <c r="G2741" t="s">
        <v>4419</v>
      </c>
    </row>
    <row r="2742" spans="1:7">
      <c r="A2742" t="s">
        <v>7390</v>
      </c>
      <c r="B2742" t="s">
        <v>7391</v>
      </c>
      <c r="C2742" t="s">
        <v>6442</v>
      </c>
      <c r="D2742" t="s">
        <v>6443</v>
      </c>
      <c r="E2742">
        <v>20</v>
      </c>
      <c r="F2742" s="6">
        <v>375</v>
      </c>
      <c r="G2742" t="s">
        <v>7383</v>
      </c>
    </row>
    <row r="2743" spans="1:7">
      <c r="A2743" t="s">
        <v>7392</v>
      </c>
      <c r="B2743" t="s">
        <v>7393</v>
      </c>
      <c r="C2743" t="s">
        <v>3756</v>
      </c>
      <c r="D2743" t="s">
        <v>3757</v>
      </c>
      <c r="E2743">
        <v>6</v>
      </c>
      <c r="F2743" s="6">
        <v>750</v>
      </c>
      <c r="G2743" t="s">
        <v>3702</v>
      </c>
    </row>
    <row r="2744" spans="1:7">
      <c r="A2744" t="s">
        <v>7394</v>
      </c>
      <c r="B2744" t="s">
        <v>7395</v>
      </c>
      <c r="C2744" t="s">
        <v>4170</v>
      </c>
      <c r="D2744" t="s">
        <v>4171</v>
      </c>
      <c r="E2744">
        <v>6</v>
      </c>
      <c r="F2744" s="6">
        <v>750</v>
      </c>
      <c r="G2744" t="s">
        <v>3992</v>
      </c>
    </row>
    <row r="2745" spans="1:7">
      <c r="A2745" t="s">
        <v>7396</v>
      </c>
      <c r="B2745" t="s">
        <v>7397</v>
      </c>
      <c r="C2745" t="s">
        <v>3679</v>
      </c>
      <c r="D2745" t="s">
        <v>3680</v>
      </c>
      <c r="E2745">
        <v>1</v>
      </c>
      <c r="F2745" s="6">
        <v>50</v>
      </c>
      <c r="G2745" t="s">
        <v>3681</v>
      </c>
    </row>
    <row r="2746" spans="1:7">
      <c r="A2746" t="s">
        <v>100</v>
      </c>
      <c r="B2746" t="s">
        <v>7398</v>
      </c>
      <c r="C2746" t="s">
        <v>3718</v>
      </c>
      <c r="D2746" t="s">
        <v>3719</v>
      </c>
      <c r="E2746">
        <v>6</v>
      </c>
      <c r="F2746" s="6">
        <v>750</v>
      </c>
      <c r="G2746" t="s">
        <v>3681</v>
      </c>
    </row>
    <row r="2747" spans="1:7">
      <c r="A2747" t="s">
        <v>1360</v>
      </c>
      <c r="B2747" t="s">
        <v>7399</v>
      </c>
      <c r="C2747" t="s">
        <v>4170</v>
      </c>
      <c r="D2747" t="s">
        <v>4171</v>
      </c>
      <c r="E2747">
        <v>12</v>
      </c>
      <c r="F2747" s="6">
        <v>750</v>
      </c>
      <c r="G2747" t="s">
        <v>3802</v>
      </c>
    </row>
    <row r="2748" spans="1:7">
      <c r="A2748" t="s">
        <v>2906</v>
      </c>
      <c r="B2748" t="s">
        <v>7400</v>
      </c>
      <c r="C2748" t="s">
        <v>4170</v>
      </c>
      <c r="D2748" t="s">
        <v>4171</v>
      </c>
      <c r="E2748">
        <v>12</v>
      </c>
      <c r="F2748" s="6">
        <v>1000</v>
      </c>
      <c r="G2748" t="s">
        <v>3802</v>
      </c>
    </row>
    <row r="2749" spans="1:7">
      <c r="A2749" t="s">
        <v>7401</v>
      </c>
      <c r="B2749" t="s">
        <v>7402</v>
      </c>
      <c r="C2749" t="s">
        <v>3679</v>
      </c>
      <c r="D2749" t="s">
        <v>3680</v>
      </c>
      <c r="E2749">
        <v>6</v>
      </c>
      <c r="F2749" s="6">
        <v>750</v>
      </c>
      <c r="G2749" t="s">
        <v>4068</v>
      </c>
    </row>
    <row r="2750" spans="1:7">
      <c r="A2750" t="s">
        <v>7403</v>
      </c>
      <c r="B2750" t="s">
        <v>7404</v>
      </c>
      <c r="C2750" t="s">
        <v>6442</v>
      </c>
      <c r="D2750" t="s">
        <v>6443</v>
      </c>
      <c r="E2750">
        <v>6</v>
      </c>
      <c r="F2750" s="6">
        <v>1000</v>
      </c>
      <c r="G2750" t="s">
        <v>3802</v>
      </c>
    </row>
    <row r="2751" spans="1:7">
      <c r="A2751" t="s">
        <v>669</v>
      </c>
      <c r="B2751" t="s">
        <v>7405</v>
      </c>
      <c r="C2751" t="s">
        <v>3721</v>
      </c>
      <c r="D2751" t="s">
        <v>3722</v>
      </c>
      <c r="E2751">
        <v>6</v>
      </c>
      <c r="F2751" s="6">
        <v>750</v>
      </c>
      <c r="G2751" t="s">
        <v>3705</v>
      </c>
    </row>
    <row r="2752" spans="1:7">
      <c r="A2752" t="s">
        <v>7406</v>
      </c>
      <c r="B2752" t="s">
        <v>7407</v>
      </c>
      <c r="C2752" t="s">
        <v>3721</v>
      </c>
      <c r="D2752" t="s">
        <v>3722</v>
      </c>
      <c r="E2752">
        <v>6</v>
      </c>
      <c r="F2752" s="6">
        <v>750</v>
      </c>
      <c r="G2752" t="s">
        <v>3705</v>
      </c>
    </row>
    <row r="2753" spans="1:7">
      <c r="A2753" t="s">
        <v>7408</v>
      </c>
      <c r="B2753" t="s">
        <v>7409</v>
      </c>
      <c r="C2753" t="s">
        <v>3721</v>
      </c>
      <c r="D2753" t="s">
        <v>3722</v>
      </c>
      <c r="E2753">
        <v>6</v>
      </c>
      <c r="F2753" s="6">
        <v>750</v>
      </c>
      <c r="G2753" t="s">
        <v>3705</v>
      </c>
    </row>
    <row r="2754" spans="1:7">
      <c r="A2754" t="s">
        <v>7410</v>
      </c>
      <c r="B2754" t="s">
        <v>7411</v>
      </c>
      <c r="C2754" t="s">
        <v>4170</v>
      </c>
      <c r="D2754" t="s">
        <v>4171</v>
      </c>
      <c r="E2754">
        <v>12</v>
      </c>
      <c r="F2754" s="6">
        <v>375</v>
      </c>
      <c r="G2754" t="s">
        <v>3802</v>
      </c>
    </row>
    <row r="2755" spans="1:7">
      <c r="A2755" t="s">
        <v>2185</v>
      </c>
      <c r="B2755" t="s">
        <v>7412</v>
      </c>
      <c r="C2755" t="s">
        <v>4170</v>
      </c>
      <c r="D2755" t="s">
        <v>4171</v>
      </c>
      <c r="E2755">
        <v>6</v>
      </c>
      <c r="F2755" s="6">
        <v>750</v>
      </c>
      <c r="G2755" t="s">
        <v>3802</v>
      </c>
    </row>
    <row r="2756" spans="1:7">
      <c r="A2756" t="s">
        <v>1207</v>
      </c>
      <c r="B2756" t="s">
        <v>7413</v>
      </c>
      <c r="C2756" t="s">
        <v>3718</v>
      </c>
      <c r="D2756" t="s">
        <v>3719</v>
      </c>
      <c r="E2756">
        <v>6</v>
      </c>
      <c r="F2756" s="6">
        <v>750</v>
      </c>
      <c r="G2756" t="s">
        <v>3681</v>
      </c>
    </row>
    <row r="2757" spans="1:7">
      <c r="A2757" t="s">
        <v>7414</v>
      </c>
      <c r="B2757" t="s">
        <v>7415</v>
      </c>
      <c r="C2757" t="s">
        <v>3679</v>
      </c>
      <c r="D2757" t="s">
        <v>3680</v>
      </c>
      <c r="E2757">
        <v>12</v>
      </c>
      <c r="F2757" s="6">
        <v>50</v>
      </c>
      <c r="G2757" t="s">
        <v>3681</v>
      </c>
    </row>
    <row r="2758" spans="1:7">
      <c r="A2758" t="s">
        <v>7416</v>
      </c>
      <c r="B2758" t="s">
        <v>7417</v>
      </c>
      <c r="C2758" t="s">
        <v>3679</v>
      </c>
      <c r="D2758" t="s">
        <v>3680</v>
      </c>
      <c r="E2758">
        <v>6</v>
      </c>
      <c r="F2758" s="6">
        <v>750</v>
      </c>
      <c r="G2758" t="s">
        <v>4182</v>
      </c>
    </row>
    <row r="2759" spans="1:7">
      <c r="A2759" t="s">
        <v>7418</v>
      </c>
      <c r="B2759" t="s">
        <v>7413</v>
      </c>
      <c r="C2759" t="s">
        <v>3718</v>
      </c>
      <c r="D2759" t="s">
        <v>3719</v>
      </c>
      <c r="E2759">
        <v>6</v>
      </c>
      <c r="F2759" s="6">
        <v>1000</v>
      </c>
      <c r="G2759" t="s">
        <v>3681</v>
      </c>
    </row>
    <row r="2760" spans="1:7">
      <c r="A2760" t="s">
        <v>7419</v>
      </c>
      <c r="B2760" t="s">
        <v>7413</v>
      </c>
      <c r="C2760" t="s">
        <v>3718</v>
      </c>
      <c r="D2760" t="s">
        <v>3719</v>
      </c>
      <c r="E2760">
        <v>6</v>
      </c>
      <c r="F2760" s="6">
        <v>1750</v>
      </c>
      <c r="G2760" t="s">
        <v>3681</v>
      </c>
    </row>
    <row r="2761" spans="1:7">
      <c r="A2761" t="s">
        <v>592</v>
      </c>
      <c r="B2761" t="s">
        <v>7420</v>
      </c>
      <c r="C2761" t="s">
        <v>3700</v>
      </c>
      <c r="D2761" t="s">
        <v>3701</v>
      </c>
      <c r="E2761">
        <v>12</v>
      </c>
      <c r="F2761" s="6">
        <v>375</v>
      </c>
      <c r="G2761" t="s">
        <v>3681</v>
      </c>
    </row>
    <row r="2762" spans="1:7">
      <c r="A2762" t="s">
        <v>2323</v>
      </c>
      <c r="B2762" t="s">
        <v>7421</v>
      </c>
      <c r="C2762" t="s">
        <v>3684</v>
      </c>
      <c r="D2762" t="s">
        <v>3685</v>
      </c>
      <c r="E2762">
        <v>12</v>
      </c>
      <c r="F2762" s="6">
        <v>750</v>
      </c>
      <c r="G2762" t="s">
        <v>3730</v>
      </c>
    </row>
    <row r="2763" spans="1:7">
      <c r="A2763" t="s">
        <v>1445</v>
      </c>
      <c r="B2763" t="s">
        <v>7422</v>
      </c>
      <c r="C2763" t="s">
        <v>4170</v>
      </c>
      <c r="D2763" t="s">
        <v>4171</v>
      </c>
      <c r="E2763">
        <v>6</v>
      </c>
      <c r="F2763" s="6">
        <v>750</v>
      </c>
      <c r="G2763" t="s">
        <v>3802</v>
      </c>
    </row>
    <row r="2764" spans="1:7">
      <c r="A2764" t="s">
        <v>7423</v>
      </c>
      <c r="B2764" t="s">
        <v>7424</v>
      </c>
      <c r="C2764" t="s">
        <v>4170</v>
      </c>
      <c r="D2764" t="s">
        <v>4171</v>
      </c>
      <c r="E2764">
        <v>12</v>
      </c>
      <c r="F2764" s="6">
        <v>750</v>
      </c>
      <c r="G2764" t="s">
        <v>3713</v>
      </c>
    </row>
    <row r="2765" spans="1:7">
      <c r="A2765" t="s">
        <v>1729</v>
      </c>
      <c r="B2765" t="s">
        <v>7425</v>
      </c>
      <c r="C2765" t="s">
        <v>5626</v>
      </c>
      <c r="D2765" t="s">
        <v>5627</v>
      </c>
      <c r="E2765">
        <v>6</v>
      </c>
      <c r="F2765" s="6">
        <v>750</v>
      </c>
      <c r="G2765" t="s">
        <v>4182</v>
      </c>
    </row>
    <row r="2766" spans="1:7">
      <c r="A2766" t="s">
        <v>7426</v>
      </c>
      <c r="B2766" t="s">
        <v>7427</v>
      </c>
      <c r="C2766" t="s">
        <v>3679</v>
      </c>
      <c r="D2766" t="s">
        <v>3680</v>
      </c>
      <c r="E2766">
        <v>6</v>
      </c>
      <c r="F2766" s="6">
        <v>50</v>
      </c>
      <c r="G2766" t="s">
        <v>4331</v>
      </c>
    </row>
    <row r="2767" spans="1:7">
      <c r="A2767" t="s">
        <v>7428</v>
      </c>
      <c r="B2767" t="s">
        <v>7429</v>
      </c>
      <c r="C2767" t="s">
        <v>4170</v>
      </c>
      <c r="D2767" t="s">
        <v>4171</v>
      </c>
      <c r="E2767">
        <v>12</v>
      </c>
      <c r="F2767" s="6">
        <v>375</v>
      </c>
      <c r="G2767" t="s">
        <v>4392</v>
      </c>
    </row>
    <row r="2768" spans="1:7">
      <c r="A2768" t="s">
        <v>509</v>
      </c>
      <c r="B2768" t="s">
        <v>7430</v>
      </c>
      <c r="C2768" t="s">
        <v>6442</v>
      </c>
      <c r="D2768" t="s">
        <v>6443</v>
      </c>
      <c r="E2768">
        <v>6</v>
      </c>
      <c r="F2768" s="6">
        <v>750</v>
      </c>
      <c r="G2768" t="s">
        <v>7431</v>
      </c>
    </row>
    <row r="2769" spans="1:7">
      <c r="A2769" t="s">
        <v>7432</v>
      </c>
      <c r="B2769" t="s">
        <v>7433</v>
      </c>
      <c r="C2769" t="s">
        <v>6442</v>
      </c>
      <c r="D2769" t="s">
        <v>6443</v>
      </c>
      <c r="E2769">
        <v>6</v>
      </c>
      <c r="F2769" s="6">
        <v>750</v>
      </c>
      <c r="G2769" t="s">
        <v>7431</v>
      </c>
    </row>
    <row r="2770" spans="1:7">
      <c r="A2770" t="s">
        <v>7434</v>
      </c>
      <c r="B2770" t="s">
        <v>7435</v>
      </c>
      <c r="C2770" t="s">
        <v>4170</v>
      </c>
      <c r="D2770" t="s">
        <v>4171</v>
      </c>
      <c r="E2770">
        <v>12</v>
      </c>
      <c r="F2770" s="6">
        <v>750</v>
      </c>
      <c r="G2770" t="s">
        <v>7431</v>
      </c>
    </row>
    <row r="2771" spans="1:7">
      <c r="A2771" t="s">
        <v>7436</v>
      </c>
      <c r="B2771" t="s">
        <v>7437</v>
      </c>
      <c r="C2771" t="s">
        <v>4170</v>
      </c>
      <c r="D2771" t="s">
        <v>4171</v>
      </c>
      <c r="E2771">
        <v>6</v>
      </c>
      <c r="F2771" s="6">
        <v>750</v>
      </c>
      <c r="G2771" t="s">
        <v>4509</v>
      </c>
    </row>
    <row r="2772" spans="1:7">
      <c r="A2772" t="s">
        <v>7438</v>
      </c>
      <c r="B2772" t="s">
        <v>7439</v>
      </c>
      <c r="C2772" t="s">
        <v>4170</v>
      </c>
      <c r="D2772" t="s">
        <v>4171</v>
      </c>
      <c r="E2772">
        <v>6</v>
      </c>
      <c r="F2772" s="6">
        <v>750</v>
      </c>
      <c r="G2772" t="s">
        <v>3802</v>
      </c>
    </row>
    <row r="2773" spans="1:7">
      <c r="A2773" t="s">
        <v>7440</v>
      </c>
      <c r="B2773" t="s">
        <v>7441</v>
      </c>
      <c r="C2773" t="s">
        <v>7442</v>
      </c>
      <c r="D2773" t="s">
        <v>7443</v>
      </c>
      <c r="E2773">
        <v>12</v>
      </c>
      <c r="F2773" s="6">
        <v>750</v>
      </c>
      <c r="G2773" t="s">
        <v>3689</v>
      </c>
    </row>
    <row r="2774" spans="1:7">
      <c r="A2774" t="s">
        <v>7444</v>
      </c>
      <c r="B2774" t="s">
        <v>7445</v>
      </c>
      <c r="C2774" t="s">
        <v>4170</v>
      </c>
      <c r="D2774" t="s">
        <v>4171</v>
      </c>
      <c r="E2774">
        <v>6</v>
      </c>
      <c r="F2774" s="6">
        <v>700</v>
      </c>
      <c r="G2774" t="s">
        <v>3802</v>
      </c>
    </row>
    <row r="2775" spans="1:7">
      <c r="A2775" t="s">
        <v>7446</v>
      </c>
      <c r="B2775" t="s">
        <v>7447</v>
      </c>
      <c r="C2775" t="s">
        <v>3692</v>
      </c>
      <c r="D2775" t="s">
        <v>3693</v>
      </c>
      <c r="E2775">
        <v>12</v>
      </c>
      <c r="F2775" s="6">
        <v>750</v>
      </c>
      <c r="G2775" t="s">
        <v>3716</v>
      </c>
    </row>
    <row r="2776" spans="1:7">
      <c r="A2776" t="s">
        <v>7448</v>
      </c>
      <c r="B2776" t="s">
        <v>7449</v>
      </c>
      <c r="C2776" t="s">
        <v>3692</v>
      </c>
      <c r="D2776" t="s">
        <v>3693</v>
      </c>
      <c r="E2776">
        <v>12</v>
      </c>
      <c r="F2776" s="6">
        <v>750</v>
      </c>
      <c r="G2776" t="s">
        <v>3716</v>
      </c>
    </row>
    <row r="2777" spans="1:7">
      <c r="A2777" t="s">
        <v>7450</v>
      </c>
      <c r="B2777" t="s">
        <v>7451</v>
      </c>
      <c r="C2777" t="s">
        <v>3679</v>
      </c>
      <c r="D2777" t="s">
        <v>3680</v>
      </c>
      <c r="E2777">
        <v>6</v>
      </c>
      <c r="F2777" s="6">
        <v>750</v>
      </c>
      <c r="G2777" t="s">
        <v>4182</v>
      </c>
    </row>
    <row r="2778" spans="1:7">
      <c r="A2778" t="s">
        <v>7452</v>
      </c>
      <c r="B2778" t="s">
        <v>7453</v>
      </c>
      <c r="C2778" t="s">
        <v>3679</v>
      </c>
      <c r="D2778" t="s">
        <v>3680</v>
      </c>
      <c r="E2778">
        <v>12</v>
      </c>
      <c r="F2778" s="6">
        <v>750</v>
      </c>
      <c r="G2778" t="s">
        <v>5748</v>
      </c>
    </row>
    <row r="2779" spans="1:7">
      <c r="A2779" t="s">
        <v>7454</v>
      </c>
      <c r="B2779" t="s">
        <v>7455</v>
      </c>
      <c r="C2779" t="s">
        <v>3679</v>
      </c>
      <c r="D2779" t="s">
        <v>3680</v>
      </c>
      <c r="E2779">
        <v>6</v>
      </c>
      <c r="F2779" s="6">
        <v>750</v>
      </c>
      <c r="G2779" t="s">
        <v>3713</v>
      </c>
    </row>
    <row r="2780" spans="1:7">
      <c r="A2780" t="s">
        <v>2885</v>
      </c>
      <c r="B2780" t="s">
        <v>7456</v>
      </c>
      <c r="C2780" t="s">
        <v>5626</v>
      </c>
      <c r="D2780" t="s">
        <v>5627</v>
      </c>
      <c r="E2780">
        <v>6</v>
      </c>
      <c r="F2780" s="6">
        <v>750</v>
      </c>
      <c r="G2780" t="s">
        <v>4419</v>
      </c>
    </row>
    <row r="2781" spans="1:7">
      <c r="A2781" t="s">
        <v>7457</v>
      </c>
      <c r="B2781" t="s">
        <v>7458</v>
      </c>
      <c r="C2781" t="s">
        <v>6442</v>
      </c>
      <c r="D2781" t="s">
        <v>6443</v>
      </c>
      <c r="E2781">
        <v>20</v>
      </c>
      <c r="F2781" s="6">
        <v>375</v>
      </c>
      <c r="G2781" t="s">
        <v>3763</v>
      </c>
    </row>
    <row r="2782" spans="1:7">
      <c r="A2782" t="s">
        <v>7459</v>
      </c>
      <c r="B2782" t="s">
        <v>7460</v>
      </c>
      <c r="C2782" t="s">
        <v>6442</v>
      </c>
      <c r="D2782" t="s">
        <v>6443</v>
      </c>
      <c r="E2782">
        <v>12</v>
      </c>
      <c r="F2782" s="6">
        <v>1000</v>
      </c>
      <c r="G2782" t="s">
        <v>7461</v>
      </c>
    </row>
    <row r="2783" spans="1:7">
      <c r="A2783" t="s">
        <v>7462</v>
      </c>
      <c r="B2783" t="s">
        <v>7463</v>
      </c>
      <c r="C2783" t="s">
        <v>4084</v>
      </c>
      <c r="D2783" t="s">
        <v>4085</v>
      </c>
      <c r="E2783">
        <v>6</v>
      </c>
      <c r="F2783" s="6">
        <v>750</v>
      </c>
      <c r="G2783" t="s">
        <v>3754</v>
      </c>
    </row>
    <row r="2784" spans="1:7">
      <c r="A2784" t="s">
        <v>2034</v>
      </c>
      <c r="B2784" t="s">
        <v>7464</v>
      </c>
      <c r="C2784" t="s">
        <v>6442</v>
      </c>
      <c r="D2784" t="s">
        <v>6443</v>
      </c>
      <c r="E2784">
        <v>12</v>
      </c>
      <c r="F2784" s="6">
        <v>1000</v>
      </c>
      <c r="G2784" t="s">
        <v>7461</v>
      </c>
    </row>
    <row r="2785" spans="1:7">
      <c r="A2785" t="s">
        <v>7465</v>
      </c>
      <c r="B2785" t="s">
        <v>7466</v>
      </c>
      <c r="C2785" t="s">
        <v>6442</v>
      </c>
      <c r="D2785" t="s">
        <v>6443</v>
      </c>
      <c r="E2785">
        <v>12</v>
      </c>
      <c r="F2785" s="6">
        <v>1000</v>
      </c>
      <c r="G2785" t="s">
        <v>7461</v>
      </c>
    </row>
    <row r="2786" spans="1:7">
      <c r="A2786" t="s">
        <v>3284</v>
      </c>
      <c r="B2786" t="s">
        <v>7467</v>
      </c>
      <c r="C2786" t="s">
        <v>5626</v>
      </c>
      <c r="D2786" t="s">
        <v>5627</v>
      </c>
      <c r="E2786">
        <v>6</v>
      </c>
      <c r="F2786" s="6">
        <v>750</v>
      </c>
      <c r="G2786" t="s">
        <v>4419</v>
      </c>
    </row>
    <row r="2787" spans="1:7">
      <c r="A2787" t="s">
        <v>7468</v>
      </c>
      <c r="B2787" t="s">
        <v>7469</v>
      </c>
      <c r="C2787" t="s">
        <v>4170</v>
      </c>
      <c r="D2787" t="s">
        <v>4171</v>
      </c>
      <c r="E2787">
        <v>6</v>
      </c>
      <c r="F2787" s="6">
        <v>750</v>
      </c>
      <c r="G2787" t="s">
        <v>4902</v>
      </c>
    </row>
    <row r="2788" spans="1:7">
      <c r="A2788" t="s">
        <v>1056</v>
      </c>
      <c r="B2788" t="s">
        <v>7470</v>
      </c>
      <c r="C2788" t="s">
        <v>6442</v>
      </c>
      <c r="D2788" t="s">
        <v>6443</v>
      </c>
      <c r="E2788">
        <v>12</v>
      </c>
      <c r="F2788" s="6">
        <v>375</v>
      </c>
      <c r="G2788" t="s">
        <v>3681</v>
      </c>
    </row>
    <row r="2789" spans="1:7">
      <c r="A2789" t="s">
        <v>887</v>
      </c>
      <c r="B2789" t="s">
        <v>7470</v>
      </c>
      <c r="C2789" t="s">
        <v>4023</v>
      </c>
      <c r="D2789" t="s">
        <v>4024</v>
      </c>
      <c r="E2789">
        <v>12</v>
      </c>
      <c r="F2789" s="6">
        <v>750</v>
      </c>
      <c r="G2789" t="s">
        <v>3681</v>
      </c>
    </row>
    <row r="2790" spans="1:7">
      <c r="A2790" t="s">
        <v>2087</v>
      </c>
      <c r="B2790" t="s">
        <v>7471</v>
      </c>
      <c r="C2790" t="s">
        <v>4170</v>
      </c>
      <c r="D2790" t="s">
        <v>4171</v>
      </c>
      <c r="E2790">
        <v>12</v>
      </c>
      <c r="F2790" s="6">
        <v>750</v>
      </c>
      <c r="G2790" t="s">
        <v>5698</v>
      </c>
    </row>
    <row r="2791" spans="1:7">
      <c r="A2791" t="s">
        <v>7472</v>
      </c>
      <c r="B2791" t="s">
        <v>7471</v>
      </c>
      <c r="C2791" t="s">
        <v>4170</v>
      </c>
      <c r="D2791" t="s">
        <v>4171</v>
      </c>
      <c r="E2791">
        <v>12</v>
      </c>
      <c r="F2791" s="6">
        <v>700</v>
      </c>
      <c r="G2791" t="s">
        <v>5698</v>
      </c>
    </row>
    <row r="2792" spans="1:7">
      <c r="A2792" t="s">
        <v>2578</v>
      </c>
      <c r="B2792" t="s">
        <v>7473</v>
      </c>
      <c r="C2792" t="s">
        <v>4093</v>
      </c>
      <c r="D2792" t="s">
        <v>4094</v>
      </c>
      <c r="E2792">
        <v>12</v>
      </c>
      <c r="F2792" s="6">
        <v>750</v>
      </c>
      <c r="G2792" t="s">
        <v>3763</v>
      </c>
    </row>
    <row r="2793" spans="1:7">
      <c r="A2793" t="s">
        <v>7474</v>
      </c>
      <c r="B2793" t="s">
        <v>7475</v>
      </c>
      <c r="C2793" t="s">
        <v>4052</v>
      </c>
      <c r="D2793" t="s">
        <v>4053</v>
      </c>
      <c r="E2793">
        <v>12</v>
      </c>
      <c r="F2793" s="6">
        <v>750</v>
      </c>
      <c r="G2793" t="s">
        <v>3681</v>
      </c>
    </row>
    <row r="2794" spans="1:7">
      <c r="A2794" t="s">
        <v>1962</v>
      </c>
      <c r="B2794" t="s">
        <v>7476</v>
      </c>
      <c r="C2794" t="s">
        <v>4052</v>
      </c>
      <c r="D2794" t="s">
        <v>4053</v>
      </c>
      <c r="E2794">
        <v>12</v>
      </c>
      <c r="F2794" s="6">
        <v>50</v>
      </c>
      <c r="G2794" t="s">
        <v>3681</v>
      </c>
    </row>
    <row r="2795" spans="1:7">
      <c r="A2795" t="s">
        <v>7477</v>
      </c>
      <c r="B2795" t="s">
        <v>7478</v>
      </c>
      <c r="C2795" t="s">
        <v>3679</v>
      </c>
      <c r="D2795" t="s">
        <v>3680</v>
      </c>
      <c r="E2795">
        <v>6</v>
      </c>
      <c r="F2795" s="6">
        <v>750</v>
      </c>
      <c r="G2795" t="s">
        <v>4032</v>
      </c>
    </row>
    <row r="2796" spans="1:7">
      <c r="A2796" t="s">
        <v>141</v>
      </c>
      <c r="B2796" t="s">
        <v>7479</v>
      </c>
      <c r="C2796" t="s">
        <v>4170</v>
      </c>
      <c r="D2796" t="s">
        <v>4171</v>
      </c>
      <c r="E2796">
        <v>6</v>
      </c>
      <c r="F2796" s="6">
        <v>750</v>
      </c>
      <c r="G2796" t="s">
        <v>3763</v>
      </c>
    </row>
    <row r="2797" spans="1:7">
      <c r="A2797" t="s">
        <v>1137</v>
      </c>
      <c r="B2797" t="s">
        <v>7480</v>
      </c>
      <c r="C2797" t="s">
        <v>4170</v>
      </c>
      <c r="D2797" t="s">
        <v>4171</v>
      </c>
      <c r="E2797">
        <v>6</v>
      </c>
      <c r="F2797" s="6">
        <v>750</v>
      </c>
      <c r="G2797" t="s">
        <v>4032</v>
      </c>
    </row>
    <row r="2798" spans="1:7">
      <c r="A2798" t="s">
        <v>7481</v>
      </c>
      <c r="B2798" t="s">
        <v>7482</v>
      </c>
      <c r="C2798" t="s">
        <v>3977</v>
      </c>
      <c r="D2798" t="s">
        <v>3978</v>
      </c>
      <c r="E2798">
        <v>6</v>
      </c>
      <c r="F2798" s="6">
        <v>750</v>
      </c>
      <c r="G2798" t="s">
        <v>4032</v>
      </c>
    </row>
    <row r="2799" spans="1:7">
      <c r="A2799" t="s">
        <v>2059</v>
      </c>
      <c r="B2799" t="s">
        <v>7483</v>
      </c>
      <c r="C2799" t="s">
        <v>3977</v>
      </c>
      <c r="D2799" t="s">
        <v>3978</v>
      </c>
      <c r="E2799">
        <v>6</v>
      </c>
      <c r="F2799" s="6">
        <v>750</v>
      </c>
      <c r="G2799" t="s">
        <v>4032</v>
      </c>
    </row>
    <row r="2800" spans="1:7">
      <c r="A2800" t="s">
        <v>7484</v>
      </c>
      <c r="B2800" t="s">
        <v>7485</v>
      </c>
      <c r="C2800" t="s">
        <v>7486</v>
      </c>
      <c r="D2800" t="s">
        <v>7487</v>
      </c>
      <c r="E2800">
        <v>6</v>
      </c>
      <c r="F2800" s="6">
        <v>750</v>
      </c>
      <c r="G2800" t="s">
        <v>4032</v>
      </c>
    </row>
    <row r="2801" spans="1:7">
      <c r="A2801" t="s">
        <v>270</v>
      </c>
      <c r="B2801" t="s">
        <v>7488</v>
      </c>
      <c r="C2801" t="s">
        <v>4170</v>
      </c>
      <c r="D2801" t="s">
        <v>4171</v>
      </c>
      <c r="E2801">
        <v>12</v>
      </c>
      <c r="F2801" s="6">
        <v>750</v>
      </c>
      <c r="G2801" t="s">
        <v>4509</v>
      </c>
    </row>
    <row r="2802" spans="1:7">
      <c r="A2802" t="s">
        <v>7489</v>
      </c>
      <c r="B2802" t="s">
        <v>7490</v>
      </c>
      <c r="C2802" t="s">
        <v>4170</v>
      </c>
      <c r="D2802" t="s">
        <v>4171</v>
      </c>
      <c r="E2802">
        <v>12</v>
      </c>
      <c r="F2802" s="6">
        <v>750</v>
      </c>
      <c r="G2802" t="s">
        <v>3702</v>
      </c>
    </row>
    <row r="2803" spans="1:7">
      <c r="A2803" t="s">
        <v>3469</v>
      </c>
      <c r="B2803" t="s">
        <v>7491</v>
      </c>
      <c r="C2803" t="s">
        <v>4170</v>
      </c>
      <c r="D2803" t="s">
        <v>4171</v>
      </c>
      <c r="E2803">
        <v>6</v>
      </c>
      <c r="F2803" s="6">
        <v>750</v>
      </c>
      <c r="G2803" t="s">
        <v>5701</v>
      </c>
    </row>
    <row r="2804" spans="1:7">
      <c r="A2804" t="s">
        <v>7492</v>
      </c>
      <c r="B2804" t="s">
        <v>7493</v>
      </c>
      <c r="C2804" t="s">
        <v>4170</v>
      </c>
      <c r="D2804" t="s">
        <v>4171</v>
      </c>
      <c r="E2804">
        <v>6</v>
      </c>
      <c r="F2804" s="6">
        <v>750</v>
      </c>
      <c r="G2804" t="s">
        <v>5701</v>
      </c>
    </row>
    <row r="2805" spans="1:7">
      <c r="A2805" t="s">
        <v>3262</v>
      </c>
      <c r="B2805" t="s">
        <v>7494</v>
      </c>
      <c r="C2805" t="s">
        <v>3718</v>
      </c>
      <c r="D2805" t="s">
        <v>3719</v>
      </c>
      <c r="E2805">
        <v>12</v>
      </c>
      <c r="F2805" s="6">
        <v>750</v>
      </c>
      <c r="G2805" t="s">
        <v>3689</v>
      </c>
    </row>
    <row r="2806" spans="1:7">
      <c r="A2806" t="s">
        <v>7495</v>
      </c>
      <c r="B2806" t="s">
        <v>7496</v>
      </c>
      <c r="C2806" t="s">
        <v>6442</v>
      </c>
      <c r="D2806" t="s">
        <v>6443</v>
      </c>
      <c r="E2806">
        <v>6</v>
      </c>
      <c r="F2806" s="6">
        <v>750</v>
      </c>
      <c r="G2806" t="s">
        <v>7497</v>
      </c>
    </row>
    <row r="2807" spans="1:7">
      <c r="A2807" t="s">
        <v>7498</v>
      </c>
      <c r="B2807" t="s">
        <v>7499</v>
      </c>
      <c r="C2807" t="s">
        <v>4170</v>
      </c>
      <c r="D2807" t="s">
        <v>4171</v>
      </c>
      <c r="E2807">
        <v>6</v>
      </c>
      <c r="F2807" s="6">
        <v>750</v>
      </c>
      <c r="G2807" t="s">
        <v>4344</v>
      </c>
    </row>
    <row r="2808" spans="1:7">
      <c r="A2808" t="s">
        <v>686</v>
      </c>
      <c r="B2808" t="s">
        <v>7500</v>
      </c>
      <c r="C2808" t="s">
        <v>4170</v>
      </c>
      <c r="D2808" t="s">
        <v>4171</v>
      </c>
      <c r="E2808">
        <v>12</v>
      </c>
      <c r="F2808" s="6">
        <v>750</v>
      </c>
      <c r="G2808" t="s">
        <v>3730</v>
      </c>
    </row>
    <row r="2809" spans="1:7">
      <c r="A2809" t="s">
        <v>1693</v>
      </c>
      <c r="B2809" t="s">
        <v>7501</v>
      </c>
      <c r="C2809" t="s">
        <v>4170</v>
      </c>
      <c r="D2809" t="s">
        <v>4171</v>
      </c>
      <c r="E2809">
        <v>12</v>
      </c>
      <c r="F2809" s="6">
        <v>750</v>
      </c>
      <c r="G2809" t="s">
        <v>3702</v>
      </c>
    </row>
    <row r="2810" spans="1:7">
      <c r="A2810" t="s">
        <v>7502</v>
      </c>
      <c r="B2810" t="s">
        <v>7503</v>
      </c>
      <c r="C2810" t="s">
        <v>4632</v>
      </c>
      <c r="D2810" t="s">
        <v>4633</v>
      </c>
      <c r="E2810">
        <v>12</v>
      </c>
      <c r="F2810" s="6">
        <v>750</v>
      </c>
      <c r="G2810" t="s">
        <v>3686</v>
      </c>
    </row>
    <row r="2811" spans="1:7">
      <c r="A2811" t="s">
        <v>7504</v>
      </c>
      <c r="B2811" t="s">
        <v>7505</v>
      </c>
      <c r="C2811" t="s">
        <v>4170</v>
      </c>
      <c r="D2811" t="s">
        <v>4171</v>
      </c>
      <c r="E2811">
        <v>6</v>
      </c>
      <c r="F2811" s="6">
        <v>750</v>
      </c>
      <c r="G2811" t="s">
        <v>4779</v>
      </c>
    </row>
    <row r="2812" spans="1:7">
      <c r="A2812" t="s">
        <v>7506</v>
      </c>
      <c r="B2812" t="s">
        <v>7503</v>
      </c>
      <c r="C2812" t="s">
        <v>4632</v>
      </c>
      <c r="D2812" t="s">
        <v>4633</v>
      </c>
      <c r="E2812">
        <v>6</v>
      </c>
      <c r="F2812" s="6">
        <v>1750</v>
      </c>
      <c r="G2812" t="s">
        <v>3686</v>
      </c>
    </row>
    <row r="2813" spans="1:7">
      <c r="A2813" t="s">
        <v>7507</v>
      </c>
      <c r="B2813" t="s">
        <v>7508</v>
      </c>
      <c r="C2813" t="s">
        <v>4170</v>
      </c>
      <c r="D2813" t="s">
        <v>4171</v>
      </c>
      <c r="E2813">
        <v>6</v>
      </c>
      <c r="F2813" s="6">
        <v>750</v>
      </c>
      <c r="G2813" t="s">
        <v>4779</v>
      </c>
    </row>
    <row r="2814" spans="1:7">
      <c r="A2814" t="s">
        <v>7509</v>
      </c>
      <c r="B2814" t="s">
        <v>7510</v>
      </c>
      <c r="C2814" t="s">
        <v>4170</v>
      </c>
      <c r="D2814" t="s">
        <v>4171</v>
      </c>
      <c r="E2814">
        <v>6</v>
      </c>
      <c r="F2814" s="6">
        <v>750</v>
      </c>
      <c r="G2814" t="s">
        <v>4779</v>
      </c>
    </row>
    <row r="2815" spans="1:7">
      <c r="A2815" t="s">
        <v>7511</v>
      </c>
      <c r="B2815" t="s">
        <v>7512</v>
      </c>
      <c r="C2815" t="s">
        <v>3692</v>
      </c>
      <c r="D2815" t="s">
        <v>3693</v>
      </c>
      <c r="E2815">
        <v>6</v>
      </c>
      <c r="F2815" s="6">
        <v>750</v>
      </c>
      <c r="G2815" t="s">
        <v>3702</v>
      </c>
    </row>
    <row r="2816" spans="1:7">
      <c r="A2816" t="s">
        <v>7513</v>
      </c>
      <c r="B2816" t="s">
        <v>7514</v>
      </c>
      <c r="C2816" t="s">
        <v>7515</v>
      </c>
      <c r="D2816" t="s">
        <v>7516</v>
      </c>
      <c r="E2816">
        <v>4</v>
      </c>
      <c r="F2816" s="6">
        <v>50</v>
      </c>
      <c r="G2816" t="s">
        <v>3832</v>
      </c>
    </row>
    <row r="2817" spans="1:7">
      <c r="A2817" t="s">
        <v>2947</v>
      </c>
      <c r="B2817" t="s">
        <v>7517</v>
      </c>
      <c r="C2817" t="s">
        <v>7515</v>
      </c>
      <c r="D2817" t="s">
        <v>7516</v>
      </c>
      <c r="E2817">
        <v>6</v>
      </c>
      <c r="F2817" s="6">
        <v>750</v>
      </c>
      <c r="G2817" t="s">
        <v>3832</v>
      </c>
    </row>
    <row r="2818" spans="1:7">
      <c r="A2818" t="s">
        <v>2668</v>
      </c>
      <c r="B2818" t="s">
        <v>7518</v>
      </c>
      <c r="C2818" t="s">
        <v>3692</v>
      </c>
      <c r="D2818" t="s">
        <v>3693</v>
      </c>
      <c r="E2818">
        <v>6</v>
      </c>
      <c r="F2818" s="6">
        <v>750</v>
      </c>
      <c r="G2818" t="s">
        <v>3730</v>
      </c>
    </row>
    <row r="2819" spans="1:7">
      <c r="A2819" t="s">
        <v>7519</v>
      </c>
      <c r="B2819" t="s">
        <v>7520</v>
      </c>
      <c r="C2819" t="s">
        <v>7357</v>
      </c>
      <c r="D2819" t="s">
        <v>7358</v>
      </c>
      <c r="E2819">
        <v>12</v>
      </c>
      <c r="F2819" s="6">
        <v>750</v>
      </c>
      <c r="G2819" t="s">
        <v>3686</v>
      </c>
    </row>
    <row r="2820" spans="1:7">
      <c r="A2820" t="s">
        <v>7521</v>
      </c>
      <c r="B2820" t="s">
        <v>7522</v>
      </c>
      <c r="C2820" t="s">
        <v>4170</v>
      </c>
      <c r="D2820" t="s">
        <v>4171</v>
      </c>
      <c r="E2820">
        <v>12</v>
      </c>
      <c r="F2820" s="6">
        <v>750</v>
      </c>
      <c r="G2820" t="s">
        <v>3686</v>
      </c>
    </row>
    <row r="2821" spans="1:7">
      <c r="A2821" t="s">
        <v>7523</v>
      </c>
      <c r="B2821" t="s">
        <v>7524</v>
      </c>
      <c r="C2821" t="s">
        <v>3692</v>
      </c>
      <c r="D2821" t="s">
        <v>3693</v>
      </c>
      <c r="E2821">
        <v>6</v>
      </c>
      <c r="F2821" s="6">
        <v>750</v>
      </c>
      <c r="G2821" t="s">
        <v>3702</v>
      </c>
    </row>
    <row r="2822" spans="1:7">
      <c r="A2822" t="s">
        <v>7525</v>
      </c>
      <c r="B2822" t="s">
        <v>7526</v>
      </c>
      <c r="C2822" t="s">
        <v>3692</v>
      </c>
      <c r="D2822" t="s">
        <v>3693</v>
      </c>
      <c r="E2822">
        <v>6</v>
      </c>
      <c r="F2822" s="6">
        <v>750</v>
      </c>
      <c r="G2822" t="s">
        <v>3702</v>
      </c>
    </row>
    <row r="2823" spans="1:7">
      <c r="A2823" t="s">
        <v>7527</v>
      </c>
      <c r="B2823" t="s">
        <v>7528</v>
      </c>
      <c r="C2823" t="s">
        <v>6442</v>
      </c>
      <c r="D2823" t="s">
        <v>6443</v>
      </c>
      <c r="E2823">
        <v>20</v>
      </c>
      <c r="F2823" s="6">
        <v>375</v>
      </c>
      <c r="G2823" t="s">
        <v>3763</v>
      </c>
    </row>
    <row r="2824" spans="1:7">
      <c r="A2824" t="s">
        <v>295</v>
      </c>
      <c r="B2824" t="s">
        <v>7529</v>
      </c>
      <c r="C2824" t="s">
        <v>6424</v>
      </c>
      <c r="D2824" t="s">
        <v>6425</v>
      </c>
      <c r="E2824">
        <v>12</v>
      </c>
      <c r="F2824" s="6">
        <v>750</v>
      </c>
      <c r="G2824" t="s">
        <v>3763</v>
      </c>
    </row>
    <row r="2825" spans="1:7">
      <c r="A2825" t="s">
        <v>1258</v>
      </c>
      <c r="B2825" t="s">
        <v>7530</v>
      </c>
      <c r="C2825" t="s">
        <v>3977</v>
      </c>
      <c r="D2825" t="s">
        <v>3978</v>
      </c>
      <c r="E2825">
        <v>12</v>
      </c>
      <c r="F2825" s="6">
        <v>750</v>
      </c>
      <c r="G2825" t="s">
        <v>3763</v>
      </c>
    </row>
    <row r="2826" spans="1:7">
      <c r="A2826" t="s">
        <v>7531</v>
      </c>
      <c r="B2826" t="s">
        <v>7532</v>
      </c>
      <c r="C2826" t="s">
        <v>3679</v>
      </c>
      <c r="D2826" t="s">
        <v>3680</v>
      </c>
      <c r="E2826">
        <v>12</v>
      </c>
      <c r="F2826" s="6">
        <v>750</v>
      </c>
      <c r="G2826" t="s">
        <v>3763</v>
      </c>
    </row>
    <row r="2827" spans="1:7">
      <c r="A2827" t="s">
        <v>7533</v>
      </c>
      <c r="B2827" t="s">
        <v>7534</v>
      </c>
      <c r="C2827" t="s">
        <v>3977</v>
      </c>
      <c r="D2827" t="s">
        <v>3978</v>
      </c>
      <c r="E2827">
        <v>12</v>
      </c>
      <c r="F2827" s="6">
        <v>50</v>
      </c>
      <c r="G2827" t="s">
        <v>3763</v>
      </c>
    </row>
    <row r="2828" spans="1:7">
      <c r="A2828" t="s">
        <v>1929</v>
      </c>
      <c r="B2828" t="s">
        <v>7535</v>
      </c>
      <c r="C2828" t="s">
        <v>3977</v>
      </c>
      <c r="D2828" t="s">
        <v>3978</v>
      </c>
      <c r="E2828">
        <v>12</v>
      </c>
      <c r="F2828" s="6">
        <v>750</v>
      </c>
      <c r="G2828" t="s">
        <v>3763</v>
      </c>
    </row>
    <row r="2829" spans="1:7">
      <c r="A2829" t="s">
        <v>7536</v>
      </c>
      <c r="B2829" t="s">
        <v>7537</v>
      </c>
      <c r="C2829" t="s">
        <v>3692</v>
      </c>
      <c r="D2829" t="s">
        <v>3693</v>
      </c>
      <c r="E2829">
        <v>6</v>
      </c>
      <c r="F2829" s="6">
        <v>750</v>
      </c>
      <c r="G2829" t="s">
        <v>3802</v>
      </c>
    </row>
    <row r="2830" spans="1:7">
      <c r="A2830" t="s">
        <v>7538</v>
      </c>
      <c r="B2830" t="s">
        <v>7539</v>
      </c>
      <c r="C2830" t="s">
        <v>3692</v>
      </c>
      <c r="D2830" t="s">
        <v>3693</v>
      </c>
      <c r="E2830">
        <v>6</v>
      </c>
      <c r="F2830" s="6">
        <v>750</v>
      </c>
      <c r="G2830" t="s">
        <v>3802</v>
      </c>
    </row>
    <row r="2831" spans="1:7">
      <c r="A2831" t="s">
        <v>7540</v>
      </c>
      <c r="B2831" t="s">
        <v>7541</v>
      </c>
      <c r="C2831" t="s">
        <v>3692</v>
      </c>
      <c r="D2831" t="s">
        <v>3693</v>
      </c>
      <c r="E2831">
        <v>6</v>
      </c>
      <c r="F2831" s="6">
        <v>750</v>
      </c>
      <c r="G2831" t="s">
        <v>3802</v>
      </c>
    </row>
    <row r="2832" spans="1:7">
      <c r="A2832" t="s">
        <v>7542</v>
      </c>
      <c r="B2832" t="s">
        <v>7543</v>
      </c>
      <c r="C2832" t="s">
        <v>3756</v>
      </c>
      <c r="D2832" t="s">
        <v>3757</v>
      </c>
      <c r="E2832">
        <v>10</v>
      </c>
      <c r="F2832" s="6">
        <v>50</v>
      </c>
      <c r="G2832" t="s">
        <v>3686</v>
      </c>
    </row>
    <row r="2833" spans="1:7">
      <c r="A2833" t="s">
        <v>330</v>
      </c>
      <c r="B2833" t="s">
        <v>7544</v>
      </c>
      <c r="C2833" t="s">
        <v>4170</v>
      </c>
      <c r="D2833" t="s">
        <v>4171</v>
      </c>
      <c r="E2833">
        <v>12</v>
      </c>
      <c r="F2833" s="6">
        <v>750</v>
      </c>
      <c r="G2833" t="s">
        <v>3686</v>
      </c>
    </row>
    <row r="2834" spans="1:7">
      <c r="A2834" t="s">
        <v>7545</v>
      </c>
      <c r="B2834" t="s">
        <v>7546</v>
      </c>
      <c r="C2834" t="s">
        <v>3692</v>
      </c>
      <c r="D2834" t="s">
        <v>3693</v>
      </c>
      <c r="E2834">
        <v>6</v>
      </c>
      <c r="F2834" s="6">
        <v>750</v>
      </c>
      <c r="G2834" t="s">
        <v>4117</v>
      </c>
    </row>
    <row r="2835" spans="1:7">
      <c r="A2835" t="s">
        <v>1283</v>
      </c>
      <c r="B2835" t="s">
        <v>7547</v>
      </c>
      <c r="C2835" t="s">
        <v>3808</v>
      </c>
      <c r="D2835" t="s">
        <v>3809</v>
      </c>
      <c r="E2835">
        <v>6</v>
      </c>
      <c r="F2835" s="6">
        <v>750</v>
      </c>
      <c r="G2835" t="s">
        <v>3802</v>
      </c>
    </row>
    <row r="2836" spans="1:7">
      <c r="A2836" t="s">
        <v>7548</v>
      </c>
      <c r="B2836" t="s">
        <v>7549</v>
      </c>
      <c r="C2836" t="s">
        <v>3808</v>
      </c>
      <c r="D2836" t="s">
        <v>3809</v>
      </c>
      <c r="E2836">
        <v>4</v>
      </c>
      <c r="F2836" s="6">
        <v>50</v>
      </c>
      <c r="G2836" t="s">
        <v>3802</v>
      </c>
    </row>
    <row r="2837" spans="1:7">
      <c r="A2837" t="s">
        <v>7550</v>
      </c>
      <c r="B2837" t="s">
        <v>7547</v>
      </c>
      <c r="C2837" t="s">
        <v>3808</v>
      </c>
      <c r="D2837" t="s">
        <v>3809</v>
      </c>
      <c r="E2837">
        <v>12</v>
      </c>
      <c r="F2837" s="6">
        <v>375</v>
      </c>
      <c r="G2837" t="s">
        <v>3802</v>
      </c>
    </row>
    <row r="2838" spans="1:7">
      <c r="A2838" t="s">
        <v>7551</v>
      </c>
      <c r="B2838" t="s">
        <v>7552</v>
      </c>
      <c r="C2838" t="s">
        <v>4052</v>
      </c>
      <c r="D2838" t="s">
        <v>4053</v>
      </c>
      <c r="E2838">
        <v>6</v>
      </c>
      <c r="F2838" s="6">
        <v>750</v>
      </c>
      <c r="G2838" t="s">
        <v>3802</v>
      </c>
    </row>
    <row r="2839" spans="1:7">
      <c r="A2839" t="s">
        <v>2471</v>
      </c>
      <c r="B2839" t="s">
        <v>7553</v>
      </c>
      <c r="C2839" t="s">
        <v>4052</v>
      </c>
      <c r="D2839" t="s">
        <v>4053</v>
      </c>
      <c r="E2839">
        <v>6</v>
      </c>
      <c r="F2839" s="6">
        <v>750</v>
      </c>
      <c r="G2839" t="s">
        <v>3802</v>
      </c>
    </row>
    <row r="2840" spans="1:7">
      <c r="A2840" t="s">
        <v>129</v>
      </c>
      <c r="B2840" t="s">
        <v>7554</v>
      </c>
      <c r="C2840" t="s">
        <v>4170</v>
      </c>
      <c r="D2840" t="s">
        <v>4171</v>
      </c>
      <c r="E2840">
        <v>6</v>
      </c>
      <c r="F2840" s="6">
        <v>750</v>
      </c>
      <c r="G2840" t="s">
        <v>4419</v>
      </c>
    </row>
    <row r="2841" spans="1:7">
      <c r="A2841" t="s">
        <v>7555</v>
      </c>
      <c r="B2841" t="s">
        <v>7556</v>
      </c>
      <c r="C2841" t="s">
        <v>3679</v>
      </c>
      <c r="D2841" t="s">
        <v>3680</v>
      </c>
      <c r="E2841">
        <v>6</v>
      </c>
      <c r="F2841" s="6">
        <v>750</v>
      </c>
      <c r="G2841" t="s">
        <v>3716</v>
      </c>
    </row>
    <row r="2842" spans="1:7">
      <c r="A2842" t="s">
        <v>7557</v>
      </c>
      <c r="B2842" t="s">
        <v>7558</v>
      </c>
      <c r="C2842" t="s">
        <v>6442</v>
      </c>
      <c r="D2842" t="s">
        <v>6443</v>
      </c>
      <c r="E2842">
        <v>20</v>
      </c>
      <c r="F2842" s="6">
        <v>375</v>
      </c>
      <c r="G2842" t="s">
        <v>3763</v>
      </c>
    </row>
    <row r="2843" spans="1:7">
      <c r="A2843" t="s">
        <v>7559</v>
      </c>
      <c r="B2843" t="s">
        <v>7560</v>
      </c>
      <c r="C2843" t="s">
        <v>4170</v>
      </c>
      <c r="D2843" t="s">
        <v>4171</v>
      </c>
      <c r="E2843">
        <v>12</v>
      </c>
      <c r="F2843" s="6">
        <v>375</v>
      </c>
      <c r="G2843" t="s">
        <v>3705</v>
      </c>
    </row>
    <row r="2844" spans="1:7">
      <c r="A2844" t="s">
        <v>1483</v>
      </c>
      <c r="B2844" t="s">
        <v>7560</v>
      </c>
      <c r="C2844" t="s">
        <v>4170</v>
      </c>
      <c r="D2844" t="s">
        <v>4171</v>
      </c>
      <c r="E2844">
        <v>6</v>
      </c>
      <c r="F2844" s="6">
        <v>750</v>
      </c>
      <c r="G2844" t="s">
        <v>3705</v>
      </c>
    </row>
    <row r="2845" spans="1:7">
      <c r="A2845" t="s">
        <v>987</v>
      </c>
      <c r="B2845" t="s">
        <v>7561</v>
      </c>
      <c r="C2845" t="s">
        <v>6442</v>
      </c>
      <c r="D2845" t="s">
        <v>6443</v>
      </c>
      <c r="E2845">
        <v>20</v>
      </c>
      <c r="F2845" s="6">
        <v>375</v>
      </c>
      <c r="G2845" t="s">
        <v>4068</v>
      </c>
    </row>
    <row r="2846" spans="1:7">
      <c r="A2846" t="s">
        <v>7562</v>
      </c>
      <c r="B2846" t="s">
        <v>7563</v>
      </c>
      <c r="C2846" t="s">
        <v>6442</v>
      </c>
      <c r="D2846" t="s">
        <v>6443</v>
      </c>
      <c r="E2846">
        <v>20</v>
      </c>
      <c r="F2846" s="6">
        <v>375</v>
      </c>
      <c r="G2846" t="s">
        <v>4068</v>
      </c>
    </row>
    <row r="2847" spans="1:7">
      <c r="A2847" t="s">
        <v>7564</v>
      </c>
      <c r="B2847" t="s">
        <v>7565</v>
      </c>
      <c r="C2847" t="s">
        <v>6442</v>
      </c>
      <c r="D2847" t="s">
        <v>6443</v>
      </c>
      <c r="E2847">
        <v>20</v>
      </c>
      <c r="F2847" s="6">
        <v>375</v>
      </c>
      <c r="G2847" t="s">
        <v>4068</v>
      </c>
    </row>
    <row r="2848" spans="1:7">
      <c r="A2848" t="s">
        <v>7566</v>
      </c>
      <c r="B2848" t="s">
        <v>7567</v>
      </c>
      <c r="C2848" t="s">
        <v>6442</v>
      </c>
      <c r="D2848" t="s">
        <v>6443</v>
      </c>
      <c r="E2848">
        <v>20</v>
      </c>
      <c r="F2848" s="6">
        <v>375</v>
      </c>
      <c r="G2848" t="s">
        <v>4068</v>
      </c>
    </row>
    <row r="2849" spans="1:7">
      <c r="A2849" t="s">
        <v>7568</v>
      </c>
      <c r="B2849" t="s">
        <v>7569</v>
      </c>
      <c r="C2849" t="s">
        <v>6442</v>
      </c>
      <c r="D2849" t="s">
        <v>6443</v>
      </c>
      <c r="E2849">
        <v>20</v>
      </c>
      <c r="F2849" s="6">
        <v>375</v>
      </c>
      <c r="G2849" t="s">
        <v>4068</v>
      </c>
    </row>
    <row r="2850" spans="1:7">
      <c r="A2850" t="s">
        <v>7570</v>
      </c>
      <c r="B2850" t="s">
        <v>7571</v>
      </c>
      <c r="C2850" t="s">
        <v>6442</v>
      </c>
      <c r="D2850" t="s">
        <v>6443</v>
      </c>
      <c r="E2850">
        <v>20</v>
      </c>
      <c r="F2850" s="6">
        <v>375</v>
      </c>
      <c r="G2850" t="s">
        <v>4068</v>
      </c>
    </row>
    <row r="2851" spans="1:7">
      <c r="A2851" t="s">
        <v>7572</v>
      </c>
      <c r="B2851" t="s">
        <v>7573</v>
      </c>
      <c r="C2851" t="s">
        <v>3679</v>
      </c>
      <c r="D2851" t="s">
        <v>3680</v>
      </c>
      <c r="E2851">
        <v>12</v>
      </c>
      <c r="F2851" s="6">
        <v>750</v>
      </c>
      <c r="G2851" t="s">
        <v>3730</v>
      </c>
    </row>
    <row r="2852" spans="1:7">
      <c r="A2852" t="s">
        <v>7574</v>
      </c>
      <c r="B2852" t="s">
        <v>7575</v>
      </c>
      <c r="C2852" t="s">
        <v>3708</v>
      </c>
      <c r="D2852" t="s">
        <v>3709</v>
      </c>
      <c r="E2852">
        <v>6</v>
      </c>
      <c r="F2852" s="6">
        <v>750</v>
      </c>
      <c r="G2852" t="s">
        <v>4419</v>
      </c>
    </row>
    <row r="2853" spans="1:7">
      <c r="A2853" t="s">
        <v>2231</v>
      </c>
      <c r="B2853" t="s">
        <v>7576</v>
      </c>
      <c r="C2853" t="s">
        <v>4170</v>
      </c>
      <c r="D2853" t="s">
        <v>4171</v>
      </c>
      <c r="E2853">
        <v>12</v>
      </c>
      <c r="F2853" s="6">
        <v>750</v>
      </c>
      <c r="G2853" t="s">
        <v>3686</v>
      </c>
    </row>
    <row r="2854" spans="1:7">
      <c r="A2854" t="s">
        <v>7577</v>
      </c>
      <c r="B2854" t="s">
        <v>7578</v>
      </c>
      <c r="C2854" t="s">
        <v>4170</v>
      </c>
      <c r="D2854" t="s">
        <v>4171</v>
      </c>
      <c r="E2854">
        <v>6</v>
      </c>
      <c r="F2854" s="6">
        <v>750</v>
      </c>
      <c r="G2854" t="s">
        <v>3802</v>
      </c>
    </row>
    <row r="2855" spans="1:7">
      <c r="A2855" t="s">
        <v>568</v>
      </c>
      <c r="B2855" t="s">
        <v>7579</v>
      </c>
      <c r="C2855" t="s">
        <v>7442</v>
      </c>
      <c r="D2855" t="s">
        <v>7443</v>
      </c>
      <c r="E2855">
        <v>6</v>
      </c>
      <c r="F2855" s="6">
        <v>750</v>
      </c>
      <c r="G2855" t="s">
        <v>3730</v>
      </c>
    </row>
    <row r="2856" spans="1:7">
      <c r="A2856" t="s">
        <v>1507</v>
      </c>
      <c r="B2856" t="s">
        <v>7580</v>
      </c>
      <c r="C2856" t="s">
        <v>7442</v>
      </c>
      <c r="D2856" t="s">
        <v>7443</v>
      </c>
      <c r="E2856">
        <v>6</v>
      </c>
      <c r="F2856" s="6">
        <v>750</v>
      </c>
      <c r="G2856" t="s">
        <v>3730</v>
      </c>
    </row>
    <row r="2857" spans="1:7">
      <c r="A2857" t="s">
        <v>7581</v>
      </c>
      <c r="B2857" t="s">
        <v>7582</v>
      </c>
      <c r="C2857" t="s">
        <v>4170</v>
      </c>
      <c r="D2857" t="s">
        <v>4171</v>
      </c>
      <c r="E2857">
        <v>6</v>
      </c>
      <c r="F2857" s="6">
        <v>750</v>
      </c>
      <c r="G2857" t="s">
        <v>3702</v>
      </c>
    </row>
    <row r="2858" spans="1:7">
      <c r="A2858" t="s">
        <v>2709</v>
      </c>
      <c r="B2858" t="s">
        <v>7583</v>
      </c>
      <c r="C2858" t="s">
        <v>7442</v>
      </c>
      <c r="D2858" t="s">
        <v>7443</v>
      </c>
      <c r="E2858">
        <v>6</v>
      </c>
      <c r="F2858" s="6">
        <v>750</v>
      </c>
      <c r="G2858" t="s">
        <v>3730</v>
      </c>
    </row>
    <row r="2859" spans="1:7">
      <c r="A2859" t="s">
        <v>443</v>
      </c>
      <c r="B2859" t="s">
        <v>7584</v>
      </c>
      <c r="C2859" t="s">
        <v>4170</v>
      </c>
      <c r="D2859" t="s">
        <v>4171</v>
      </c>
      <c r="E2859">
        <v>12</v>
      </c>
      <c r="F2859" s="6">
        <v>750</v>
      </c>
      <c r="G2859" t="s">
        <v>3716</v>
      </c>
    </row>
    <row r="2860" spans="1:7">
      <c r="A2860" t="s">
        <v>7585</v>
      </c>
      <c r="B2860" t="s">
        <v>7586</v>
      </c>
      <c r="C2860" t="s">
        <v>3692</v>
      </c>
      <c r="D2860" t="s">
        <v>3693</v>
      </c>
      <c r="E2860">
        <v>6</v>
      </c>
      <c r="F2860" s="6">
        <v>750</v>
      </c>
      <c r="G2860" t="s">
        <v>5139</v>
      </c>
    </row>
    <row r="2861" spans="1:7">
      <c r="A2861" t="s">
        <v>7587</v>
      </c>
      <c r="B2861" t="s">
        <v>7588</v>
      </c>
      <c r="C2861" t="s">
        <v>3700</v>
      </c>
      <c r="D2861" t="s">
        <v>3701</v>
      </c>
      <c r="E2861">
        <v>1</v>
      </c>
      <c r="F2861" s="6">
        <v>1800</v>
      </c>
      <c r="G2861" t="s">
        <v>3702</v>
      </c>
    </row>
    <row r="2862" spans="1:7">
      <c r="A2862" t="s">
        <v>1656</v>
      </c>
      <c r="B2862" t="s">
        <v>7589</v>
      </c>
      <c r="C2862" t="s">
        <v>3700</v>
      </c>
      <c r="D2862" t="s">
        <v>3701</v>
      </c>
      <c r="E2862">
        <v>1</v>
      </c>
      <c r="F2862" s="6">
        <v>1800</v>
      </c>
      <c r="G2862" t="s">
        <v>3702</v>
      </c>
    </row>
    <row r="2863" spans="1:7">
      <c r="A2863" t="s">
        <v>7590</v>
      </c>
      <c r="B2863" t="s">
        <v>7591</v>
      </c>
      <c r="C2863" t="s">
        <v>3700</v>
      </c>
      <c r="D2863" t="s">
        <v>3701</v>
      </c>
      <c r="E2863">
        <v>1</v>
      </c>
      <c r="F2863" s="6">
        <v>1800</v>
      </c>
      <c r="G2863" t="s">
        <v>3702</v>
      </c>
    </row>
    <row r="2864" spans="1:7">
      <c r="A2864" t="s">
        <v>908</v>
      </c>
      <c r="B2864" t="s">
        <v>7592</v>
      </c>
      <c r="C2864" t="s">
        <v>3700</v>
      </c>
      <c r="D2864" t="s">
        <v>3701</v>
      </c>
      <c r="E2864">
        <v>1</v>
      </c>
      <c r="F2864" s="6">
        <v>1800</v>
      </c>
      <c r="G2864" t="s">
        <v>3702</v>
      </c>
    </row>
    <row r="2865" spans="1:7">
      <c r="A2865" t="s">
        <v>3653</v>
      </c>
      <c r="B2865" t="s">
        <v>7593</v>
      </c>
      <c r="C2865" t="s">
        <v>3700</v>
      </c>
      <c r="D2865" t="s">
        <v>3701</v>
      </c>
      <c r="E2865">
        <v>1</v>
      </c>
      <c r="F2865" s="6">
        <v>1800</v>
      </c>
      <c r="G2865" t="s">
        <v>3702</v>
      </c>
    </row>
    <row r="2866" spans="1:7">
      <c r="A2866" t="s">
        <v>7594</v>
      </c>
      <c r="B2866" t="s">
        <v>7595</v>
      </c>
      <c r="C2866" t="s">
        <v>3700</v>
      </c>
      <c r="D2866" t="s">
        <v>3701</v>
      </c>
      <c r="E2866">
        <v>1</v>
      </c>
      <c r="F2866" s="6">
        <v>1800</v>
      </c>
      <c r="G2866" t="s">
        <v>3702</v>
      </c>
    </row>
    <row r="2867" spans="1:7">
      <c r="A2867" t="s">
        <v>2144</v>
      </c>
      <c r="B2867" t="s">
        <v>7596</v>
      </c>
      <c r="C2867" t="s">
        <v>3700</v>
      </c>
      <c r="D2867" t="s">
        <v>3701</v>
      </c>
      <c r="E2867">
        <v>1</v>
      </c>
      <c r="F2867" s="6">
        <v>1800</v>
      </c>
      <c r="G2867" t="s">
        <v>3702</v>
      </c>
    </row>
    <row r="2868" spans="1:7">
      <c r="A2868" t="s">
        <v>7597</v>
      </c>
      <c r="B2868" t="s">
        <v>7598</v>
      </c>
      <c r="C2868" t="s">
        <v>3679</v>
      </c>
      <c r="D2868" t="s">
        <v>3680</v>
      </c>
      <c r="E2868">
        <v>6</v>
      </c>
      <c r="F2868" s="6">
        <v>750</v>
      </c>
      <c r="G2868" t="s">
        <v>5701</v>
      </c>
    </row>
    <row r="2869" spans="1:7">
      <c r="A2869" t="s">
        <v>3047</v>
      </c>
      <c r="B2869" t="s">
        <v>7599</v>
      </c>
      <c r="C2869" t="s">
        <v>3700</v>
      </c>
      <c r="D2869" t="s">
        <v>3701</v>
      </c>
      <c r="E2869">
        <v>1</v>
      </c>
      <c r="F2869" s="6">
        <v>1800</v>
      </c>
      <c r="G2869" t="s">
        <v>3702</v>
      </c>
    </row>
    <row r="2870" spans="1:7">
      <c r="A2870" t="s">
        <v>2787</v>
      </c>
      <c r="B2870" t="s">
        <v>7600</v>
      </c>
      <c r="C2870" t="s">
        <v>3700</v>
      </c>
      <c r="D2870" t="s">
        <v>3701</v>
      </c>
      <c r="E2870">
        <v>1</v>
      </c>
      <c r="F2870" s="6">
        <v>1800</v>
      </c>
      <c r="G2870" t="s">
        <v>3702</v>
      </c>
    </row>
    <row r="2871" spans="1:7">
      <c r="A2871" t="s">
        <v>751</v>
      </c>
      <c r="B2871" t="s">
        <v>7601</v>
      </c>
      <c r="C2871" t="s">
        <v>3700</v>
      </c>
      <c r="D2871" t="s">
        <v>3701</v>
      </c>
      <c r="E2871">
        <v>1</v>
      </c>
      <c r="F2871" s="6">
        <v>1800</v>
      </c>
      <c r="G2871" t="s">
        <v>3702</v>
      </c>
    </row>
    <row r="2872" spans="1:7">
      <c r="A2872" t="s">
        <v>7602</v>
      </c>
      <c r="B2872" t="s">
        <v>7603</v>
      </c>
      <c r="C2872" t="s">
        <v>3692</v>
      </c>
      <c r="D2872" t="s">
        <v>3693</v>
      </c>
      <c r="E2872">
        <v>6</v>
      </c>
      <c r="F2872" s="6">
        <v>750</v>
      </c>
      <c r="G2872" t="s">
        <v>5139</v>
      </c>
    </row>
    <row r="2873" spans="1:7">
      <c r="A2873" t="s">
        <v>1113</v>
      </c>
      <c r="B2873" t="s">
        <v>7604</v>
      </c>
      <c r="C2873" t="s">
        <v>3700</v>
      </c>
      <c r="D2873" t="s">
        <v>3701</v>
      </c>
      <c r="E2873">
        <v>1</v>
      </c>
      <c r="F2873" s="6">
        <v>1800</v>
      </c>
      <c r="G2873" t="s">
        <v>3702</v>
      </c>
    </row>
    <row r="2874" spans="1:7">
      <c r="A2874" t="s">
        <v>7605</v>
      </c>
      <c r="B2874" t="s">
        <v>7606</v>
      </c>
      <c r="C2874" t="s">
        <v>4170</v>
      </c>
      <c r="D2874" t="s">
        <v>4171</v>
      </c>
      <c r="E2874">
        <v>6</v>
      </c>
      <c r="F2874" s="6">
        <v>750</v>
      </c>
      <c r="G2874" t="s">
        <v>3802</v>
      </c>
    </row>
    <row r="2875" spans="1:7">
      <c r="A2875" t="s">
        <v>7607</v>
      </c>
      <c r="B2875" t="s">
        <v>7608</v>
      </c>
      <c r="C2875" t="s">
        <v>3700</v>
      </c>
      <c r="D2875" t="s">
        <v>3701</v>
      </c>
      <c r="E2875">
        <v>1</v>
      </c>
      <c r="F2875" s="6">
        <v>1800</v>
      </c>
      <c r="G2875" t="s">
        <v>3702</v>
      </c>
    </row>
    <row r="2876" spans="1:7">
      <c r="A2876" t="s">
        <v>7609</v>
      </c>
      <c r="B2876" t="s">
        <v>7610</v>
      </c>
      <c r="C2876" t="s">
        <v>3700</v>
      </c>
      <c r="D2876" t="s">
        <v>3701</v>
      </c>
      <c r="E2876">
        <v>1</v>
      </c>
      <c r="F2876" s="6">
        <v>1800</v>
      </c>
      <c r="G2876" t="s">
        <v>3702</v>
      </c>
    </row>
    <row r="2877" spans="1:7">
      <c r="A2877" t="s">
        <v>7611</v>
      </c>
      <c r="B2877" t="s">
        <v>7612</v>
      </c>
      <c r="C2877" t="s">
        <v>3708</v>
      </c>
      <c r="D2877" t="s">
        <v>3709</v>
      </c>
      <c r="E2877">
        <v>24</v>
      </c>
      <c r="F2877" s="6">
        <v>375</v>
      </c>
      <c r="G2877" t="s">
        <v>3686</v>
      </c>
    </row>
    <row r="2878" spans="1:7">
      <c r="A2878" t="s">
        <v>3053</v>
      </c>
      <c r="B2878" t="s">
        <v>7612</v>
      </c>
      <c r="C2878" t="s">
        <v>3708</v>
      </c>
      <c r="D2878" t="s">
        <v>3709</v>
      </c>
      <c r="E2878">
        <v>12</v>
      </c>
      <c r="F2878" s="6">
        <v>750</v>
      </c>
      <c r="G2878" t="s">
        <v>3686</v>
      </c>
    </row>
    <row r="2879" spans="1:7">
      <c r="A2879" t="s">
        <v>321</v>
      </c>
      <c r="B2879" t="s">
        <v>7612</v>
      </c>
      <c r="C2879" t="s">
        <v>3708</v>
      </c>
      <c r="D2879" t="s">
        <v>3709</v>
      </c>
      <c r="E2879">
        <v>12</v>
      </c>
      <c r="F2879" s="6">
        <v>1000</v>
      </c>
      <c r="G2879" t="s">
        <v>3686</v>
      </c>
    </row>
    <row r="2880" spans="1:7">
      <c r="A2880" t="s">
        <v>7613</v>
      </c>
      <c r="B2880" t="s">
        <v>7614</v>
      </c>
      <c r="C2880" t="s">
        <v>3708</v>
      </c>
      <c r="D2880" t="s">
        <v>3709</v>
      </c>
      <c r="E2880">
        <v>12</v>
      </c>
      <c r="F2880" s="6">
        <v>750</v>
      </c>
      <c r="G2880" t="s">
        <v>3686</v>
      </c>
    </row>
    <row r="2881" spans="1:7">
      <c r="A2881" t="s">
        <v>7615</v>
      </c>
      <c r="B2881" t="s">
        <v>7616</v>
      </c>
      <c r="C2881" t="s">
        <v>3718</v>
      </c>
      <c r="D2881" t="s">
        <v>3719</v>
      </c>
      <c r="E2881">
        <v>6</v>
      </c>
      <c r="F2881" s="6">
        <v>750</v>
      </c>
      <c r="G2881" t="s">
        <v>4331</v>
      </c>
    </row>
    <row r="2882" spans="1:7">
      <c r="A2882" t="s">
        <v>3291</v>
      </c>
      <c r="B2882" t="s">
        <v>7617</v>
      </c>
      <c r="C2882" t="s">
        <v>4170</v>
      </c>
      <c r="D2882" t="s">
        <v>4171</v>
      </c>
      <c r="E2882">
        <v>6</v>
      </c>
      <c r="F2882" s="6">
        <v>750</v>
      </c>
      <c r="G2882" t="s">
        <v>3966</v>
      </c>
    </row>
    <row r="2883" spans="1:7">
      <c r="A2883" t="s">
        <v>7618</v>
      </c>
      <c r="B2883" t="s">
        <v>7619</v>
      </c>
      <c r="C2883" t="s">
        <v>5804</v>
      </c>
      <c r="D2883" t="s">
        <v>5805</v>
      </c>
      <c r="E2883">
        <v>12</v>
      </c>
      <c r="F2883" s="6">
        <v>750</v>
      </c>
      <c r="G2883" t="s">
        <v>3951</v>
      </c>
    </row>
    <row r="2884" spans="1:7">
      <c r="A2884" t="s">
        <v>7620</v>
      </c>
      <c r="B2884" t="s">
        <v>7621</v>
      </c>
      <c r="C2884" t="s">
        <v>4170</v>
      </c>
      <c r="D2884" t="s">
        <v>4171</v>
      </c>
      <c r="E2884">
        <v>6</v>
      </c>
      <c r="F2884" s="6">
        <v>750</v>
      </c>
      <c r="G2884" t="s">
        <v>3802</v>
      </c>
    </row>
    <row r="2885" spans="1:7">
      <c r="A2885" t="s">
        <v>7622</v>
      </c>
      <c r="B2885" t="s">
        <v>7623</v>
      </c>
      <c r="C2885" t="s">
        <v>7486</v>
      </c>
      <c r="D2885" t="s">
        <v>7487</v>
      </c>
      <c r="E2885">
        <v>6</v>
      </c>
      <c r="F2885" s="6">
        <v>750</v>
      </c>
      <c r="G2885" t="s">
        <v>4285</v>
      </c>
    </row>
    <row r="2886" spans="1:7">
      <c r="A2886" t="s">
        <v>864</v>
      </c>
      <c r="B2886" t="s">
        <v>7624</v>
      </c>
      <c r="C2886" t="s">
        <v>7486</v>
      </c>
      <c r="D2886" t="s">
        <v>7487</v>
      </c>
      <c r="E2886">
        <v>12</v>
      </c>
      <c r="F2886" s="6">
        <v>50</v>
      </c>
      <c r="G2886" t="s">
        <v>3681</v>
      </c>
    </row>
    <row r="2887" spans="1:7">
      <c r="A2887" t="s">
        <v>7625</v>
      </c>
      <c r="B2887" t="s">
        <v>7626</v>
      </c>
      <c r="C2887" t="s">
        <v>7486</v>
      </c>
      <c r="D2887" t="s">
        <v>7487</v>
      </c>
      <c r="E2887">
        <v>48</v>
      </c>
      <c r="F2887" s="6">
        <v>200</v>
      </c>
      <c r="G2887" t="s">
        <v>3681</v>
      </c>
    </row>
    <row r="2888" spans="1:7">
      <c r="A2888" t="s">
        <v>1502</v>
      </c>
      <c r="B2888" t="s">
        <v>7626</v>
      </c>
      <c r="C2888" t="s">
        <v>7486</v>
      </c>
      <c r="D2888" t="s">
        <v>7487</v>
      </c>
      <c r="E2888">
        <v>24</v>
      </c>
      <c r="F2888" s="6">
        <v>375</v>
      </c>
      <c r="G2888" t="s">
        <v>3681</v>
      </c>
    </row>
    <row r="2889" spans="1:7">
      <c r="A2889" t="s">
        <v>7627</v>
      </c>
      <c r="B2889" t="s">
        <v>7626</v>
      </c>
      <c r="C2889" t="s">
        <v>7486</v>
      </c>
      <c r="D2889" t="s">
        <v>7487</v>
      </c>
      <c r="E2889">
        <v>12</v>
      </c>
      <c r="F2889" s="6">
        <v>750</v>
      </c>
      <c r="G2889" t="s">
        <v>3681</v>
      </c>
    </row>
    <row r="2890" spans="1:7">
      <c r="A2890" t="s">
        <v>649</v>
      </c>
      <c r="B2890" t="s">
        <v>7626</v>
      </c>
      <c r="C2890" t="s">
        <v>7486</v>
      </c>
      <c r="D2890" t="s">
        <v>7487</v>
      </c>
      <c r="E2890">
        <v>12</v>
      </c>
      <c r="F2890" s="6">
        <v>1000</v>
      </c>
      <c r="G2890" t="s">
        <v>3681</v>
      </c>
    </row>
    <row r="2891" spans="1:7">
      <c r="A2891" t="s">
        <v>1364</v>
      </c>
      <c r="B2891" t="s">
        <v>7626</v>
      </c>
      <c r="C2891" t="s">
        <v>7486</v>
      </c>
      <c r="D2891" t="s">
        <v>7487</v>
      </c>
      <c r="E2891">
        <v>6</v>
      </c>
      <c r="F2891" s="6">
        <v>1750</v>
      </c>
      <c r="G2891" t="s">
        <v>3681</v>
      </c>
    </row>
    <row r="2892" spans="1:7">
      <c r="A2892" t="s">
        <v>7628</v>
      </c>
      <c r="B2892" t="s">
        <v>7629</v>
      </c>
      <c r="C2892" t="s">
        <v>7486</v>
      </c>
      <c r="D2892" t="s">
        <v>7487</v>
      </c>
      <c r="E2892">
        <v>12</v>
      </c>
      <c r="F2892" s="6">
        <v>750</v>
      </c>
      <c r="G2892" t="s">
        <v>3681</v>
      </c>
    </row>
    <row r="2893" spans="1:7">
      <c r="A2893" t="s">
        <v>7630</v>
      </c>
      <c r="B2893" t="s">
        <v>7631</v>
      </c>
      <c r="C2893" t="s">
        <v>7486</v>
      </c>
      <c r="D2893" t="s">
        <v>7487</v>
      </c>
      <c r="E2893">
        <v>6</v>
      </c>
      <c r="F2893" s="6">
        <v>1750</v>
      </c>
      <c r="G2893" t="s">
        <v>4300</v>
      </c>
    </row>
    <row r="2894" spans="1:7">
      <c r="A2894" t="s">
        <v>7632</v>
      </c>
      <c r="B2894" t="s">
        <v>7633</v>
      </c>
      <c r="C2894" t="s">
        <v>7486</v>
      </c>
      <c r="D2894" t="s">
        <v>7487</v>
      </c>
      <c r="E2894">
        <v>12</v>
      </c>
      <c r="F2894" s="6">
        <v>50</v>
      </c>
      <c r="G2894" t="s">
        <v>4300</v>
      </c>
    </row>
    <row r="2895" spans="1:7">
      <c r="A2895" t="s">
        <v>973</v>
      </c>
      <c r="B2895" t="s">
        <v>7631</v>
      </c>
      <c r="C2895" t="s">
        <v>7486</v>
      </c>
      <c r="D2895" t="s">
        <v>7487</v>
      </c>
      <c r="E2895">
        <v>12</v>
      </c>
      <c r="F2895" s="6">
        <v>750</v>
      </c>
      <c r="G2895" t="s">
        <v>4300</v>
      </c>
    </row>
    <row r="2896" spans="1:7">
      <c r="A2896" t="s">
        <v>1503</v>
      </c>
      <c r="B2896" t="s">
        <v>7631</v>
      </c>
      <c r="C2896" t="s">
        <v>7486</v>
      </c>
      <c r="D2896" t="s">
        <v>7487</v>
      </c>
      <c r="E2896">
        <v>12</v>
      </c>
      <c r="F2896" s="6">
        <v>1000</v>
      </c>
      <c r="G2896" t="s">
        <v>4300</v>
      </c>
    </row>
    <row r="2897" spans="1:7">
      <c r="A2897" t="s">
        <v>2256</v>
      </c>
      <c r="B2897" t="s">
        <v>7634</v>
      </c>
      <c r="C2897" t="s">
        <v>7486</v>
      </c>
      <c r="D2897" t="s">
        <v>7487</v>
      </c>
      <c r="E2897">
        <v>12</v>
      </c>
      <c r="F2897" s="6">
        <v>750</v>
      </c>
      <c r="G2897" t="s">
        <v>3681</v>
      </c>
    </row>
    <row r="2898" spans="1:7">
      <c r="A2898" t="s">
        <v>1819</v>
      </c>
      <c r="B2898" t="s">
        <v>7635</v>
      </c>
      <c r="C2898" t="s">
        <v>7486</v>
      </c>
      <c r="D2898" t="s">
        <v>7487</v>
      </c>
      <c r="E2898">
        <v>12</v>
      </c>
      <c r="F2898" s="6">
        <v>750</v>
      </c>
      <c r="G2898" t="s">
        <v>3686</v>
      </c>
    </row>
    <row r="2899" spans="1:7">
      <c r="A2899" t="s">
        <v>7636</v>
      </c>
      <c r="B2899" t="s">
        <v>7637</v>
      </c>
      <c r="C2899" t="s">
        <v>3679</v>
      </c>
      <c r="D2899" t="s">
        <v>3680</v>
      </c>
      <c r="E2899">
        <v>6</v>
      </c>
      <c r="F2899" s="6">
        <v>750</v>
      </c>
      <c r="G2899" t="s">
        <v>3705</v>
      </c>
    </row>
    <row r="2900" spans="1:7">
      <c r="A2900" t="s">
        <v>7638</v>
      </c>
      <c r="B2900" t="s">
        <v>7639</v>
      </c>
      <c r="C2900" t="s">
        <v>7486</v>
      </c>
      <c r="D2900" t="s">
        <v>7487</v>
      </c>
      <c r="E2900">
        <v>6</v>
      </c>
      <c r="F2900" s="6">
        <v>750</v>
      </c>
      <c r="G2900" t="s">
        <v>3705</v>
      </c>
    </row>
    <row r="2901" spans="1:7">
      <c r="A2901" t="s">
        <v>459</v>
      </c>
      <c r="B2901" t="s">
        <v>7640</v>
      </c>
      <c r="C2901" t="s">
        <v>4170</v>
      </c>
      <c r="D2901" t="s">
        <v>4171</v>
      </c>
      <c r="E2901">
        <v>12</v>
      </c>
      <c r="F2901" s="6">
        <v>750</v>
      </c>
      <c r="G2901" t="s">
        <v>3713</v>
      </c>
    </row>
    <row r="2902" spans="1:7">
      <c r="A2902" t="s">
        <v>7641</v>
      </c>
      <c r="B2902" t="s">
        <v>7642</v>
      </c>
      <c r="C2902" t="s">
        <v>3756</v>
      </c>
      <c r="D2902" t="s">
        <v>3757</v>
      </c>
      <c r="E2902">
        <v>6</v>
      </c>
      <c r="F2902" s="6">
        <v>750</v>
      </c>
      <c r="G2902" t="s">
        <v>3702</v>
      </c>
    </row>
    <row r="2903" spans="1:7">
      <c r="A2903" t="s">
        <v>7643</v>
      </c>
      <c r="B2903" t="s">
        <v>7644</v>
      </c>
      <c r="C2903" t="s">
        <v>3679</v>
      </c>
      <c r="D2903" t="s">
        <v>3680</v>
      </c>
      <c r="E2903">
        <v>12</v>
      </c>
      <c r="F2903" s="6">
        <v>750</v>
      </c>
      <c r="G2903" t="s">
        <v>3713</v>
      </c>
    </row>
    <row r="2904" spans="1:7">
      <c r="A2904" t="s">
        <v>1274</v>
      </c>
      <c r="B2904" t="s">
        <v>7645</v>
      </c>
      <c r="C2904" t="s">
        <v>7486</v>
      </c>
      <c r="D2904" t="s">
        <v>7487</v>
      </c>
      <c r="E2904">
        <v>6</v>
      </c>
      <c r="F2904" s="6">
        <v>750</v>
      </c>
      <c r="G2904" t="s">
        <v>3730</v>
      </c>
    </row>
    <row r="2905" spans="1:7">
      <c r="A2905" t="s">
        <v>3654</v>
      </c>
      <c r="B2905" t="s">
        <v>7646</v>
      </c>
      <c r="C2905" t="s">
        <v>3977</v>
      </c>
      <c r="D2905" t="s">
        <v>3978</v>
      </c>
      <c r="E2905">
        <v>12</v>
      </c>
      <c r="F2905" s="6">
        <v>750</v>
      </c>
      <c r="G2905" t="s">
        <v>5701</v>
      </c>
    </row>
    <row r="2906" spans="1:7">
      <c r="A2906" t="s">
        <v>7647</v>
      </c>
      <c r="B2906" t="s">
        <v>7648</v>
      </c>
      <c r="C2906" t="s">
        <v>3977</v>
      </c>
      <c r="D2906" t="s">
        <v>3978</v>
      </c>
      <c r="E2906">
        <v>12</v>
      </c>
      <c r="F2906" s="6">
        <v>750</v>
      </c>
      <c r="G2906" t="s">
        <v>5701</v>
      </c>
    </row>
    <row r="2907" spans="1:7">
      <c r="A2907" t="s">
        <v>7649</v>
      </c>
      <c r="B2907" t="s">
        <v>7650</v>
      </c>
      <c r="C2907" t="s">
        <v>3679</v>
      </c>
      <c r="D2907" t="s">
        <v>3680</v>
      </c>
      <c r="E2907">
        <v>12</v>
      </c>
      <c r="F2907" s="6">
        <v>750</v>
      </c>
      <c r="G2907" t="s">
        <v>3730</v>
      </c>
    </row>
    <row r="2908" spans="1:7">
      <c r="A2908" t="s">
        <v>670</v>
      </c>
      <c r="B2908" t="s">
        <v>7651</v>
      </c>
      <c r="C2908" t="s">
        <v>4170</v>
      </c>
      <c r="D2908" t="s">
        <v>4171</v>
      </c>
      <c r="E2908">
        <v>12</v>
      </c>
      <c r="F2908" s="6">
        <v>750</v>
      </c>
      <c r="G2908" t="s">
        <v>3730</v>
      </c>
    </row>
    <row r="2909" spans="1:7">
      <c r="A2909" t="s">
        <v>7652</v>
      </c>
      <c r="B2909" t="s">
        <v>7653</v>
      </c>
      <c r="C2909" t="s">
        <v>3679</v>
      </c>
      <c r="D2909" t="s">
        <v>3680</v>
      </c>
      <c r="E2909">
        <v>12</v>
      </c>
      <c r="F2909" s="6">
        <v>750</v>
      </c>
      <c r="G2909" t="s">
        <v>3730</v>
      </c>
    </row>
    <row r="2910" spans="1:7">
      <c r="A2910" t="s">
        <v>1882</v>
      </c>
      <c r="B2910" t="s">
        <v>7654</v>
      </c>
      <c r="C2910" t="s">
        <v>3977</v>
      </c>
      <c r="D2910" t="s">
        <v>3978</v>
      </c>
      <c r="E2910">
        <v>12</v>
      </c>
      <c r="F2910" s="6">
        <v>750</v>
      </c>
      <c r="G2910" t="s">
        <v>3730</v>
      </c>
    </row>
    <row r="2911" spans="1:7">
      <c r="A2911" t="s">
        <v>7655</v>
      </c>
      <c r="B2911" t="s">
        <v>7656</v>
      </c>
      <c r="C2911" t="s">
        <v>3679</v>
      </c>
      <c r="D2911" t="s">
        <v>3680</v>
      </c>
      <c r="E2911">
        <v>4</v>
      </c>
      <c r="F2911" s="6">
        <v>50</v>
      </c>
      <c r="G2911" t="s">
        <v>3730</v>
      </c>
    </row>
    <row r="2912" spans="1:7">
      <c r="A2912" t="s">
        <v>7657</v>
      </c>
      <c r="B2912" t="s">
        <v>7658</v>
      </c>
      <c r="C2912" t="s">
        <v>3679</v>
      </c>
      <c r="D2912" t="s">
        <v>3680</v>
      </c>
      <c r="E2912">
        <v>12</v>
      </c>
      <c r="F2912" s="6">
        <v>750</v>
      </c>
      <c r="G2912" t="s">
        <v>3730</v>
      </c>
    </row>
    <row r="2913" spans="1:7">
      <c r="A2913" t="s">
        <v>1174</v>
      </c>
      <c r="B2913" t="s">
        <v>7659</v>
      </c>
      <c r="C2913" t="s">
        <v>3977</v>
      </c>
      <c r="D2913" t="s">
        <v>3978</v>
      </c>
      <c r="E2913">
        <v>12</v>
      </c>
      <c r="F2913" s="6">
        <v>750</v>
      </c>
      <c r="G2913" t="s">
        <v>3730</v>
      </c>
    </row>
    <row r="2914" spans="1:7">
      <c r="A2914" t="s">
        <v>2212</v>
      </c>
      <c r="B2914" t="s">
        <v>7660</v>
      </c>
      <c r="C2914" t="s">
        <v>3977</v>
      </c>
      <c r="D2914" t="s">
        <v>3978</v>
      </c>
      <c r="E2914">
        <v>12</v>
      </c>
      <c r="F2914" s="6">
        <v>750</v>
      </c>
      <c r="G2914" t="s">
        <v>3730</v>
      </c>
    </row>
    <row r="2915" spans="1:7">
      <c r="A2915" t="s">
        <v>397</v>
      </c>
      <c r="B2915" t="s">
        <v>7661</v>
      </c>
      <c r="C2915" t="s">
        <v>3977</v>
      </c>
      <c r="D2915" t="s">
        <v>3978</v>
      </c>
      <c r="E2915">
        <v>12</v>
      </c>
      <c r="F2915" s="6">
        <v>750</v>
      </c>
      <c r="G2915" t="s">
        <v>3730</v>
      </c>
    </row>
    <row r="2916" spans="1:7">
      <c r="A2916" t="s">
        <v>2588</v>
      </c>
      <c r="B2916" t="s">
        <v>7662</v>
      </c>
      <c r="C2916" t="s">
        <v>3679</v>
      </c>
      <c r="D2916" t="s">
        <v>3680</v>
      </c>
      <c r="E2916">
        <v>12</v>
      </c>
      <c r="F2916" s="6">
        <v>750</v>
      </c>
      <c r="G2916" t="s">
        <v>3730</v>
      </c>
    </row>
    <row r="2917" spans="1:7">
      <c r="A2917" t="s">
        <v>1249</v>
      </c>
      <c r="B2917" t="s">
        <v>7663</v>
      </c>
      <c r="C2917" t="s">
        <v>3977</v>
      </c>
      <c r="D2917" t="s">
        <v>3978</v>
      </c>
      <c r="E2917">
        <v>4</v>
      </c>
      <c r="F2917" s="6">
        <v>1000</v>
      </c>
      <c r="G2917" t="s">
        <v>3730</v>
      </c>
    </row>
    <row r="2918" spans="1:7">
      <c r="A2918" t="s">
        <v>2257</v>
      </c>
      <c r="B2918" t="s">
        <v>7664</v>
      </c>
      <c r="C2918" t="s">
        <v>3977</v>
      </c>
      <c r="D2918" t="s">
        <v>3978</v>
      </c>
      <c r="E2918">
        <v>12</v>
      </c>
      <c r="F2918" s="6">
        <v>375</v>
      </c>
      <c r="G2918" t="s">
        <v>3730</v>
      </c>
    </row>
    <row r="2919" spans="1:7">
      <c r="A2919" t="s">
        <v>40</v>
      </c>
      <c r="B2919" t="s">
        <v>7664</v>
      </c>
      <c r="C2919" t="s">
        <v>3977</v>
      </c>
      <c r="D2919" t="s">
        <v>3978</v>
      </c>
      <c r="E2919">
        <v>12</v>
      </c>
      <c r="F2919" s="6">
        <v>750</v>
      </c>
      <c r="G2919" t="s">
        <v>3730</v>
      </c>
    </row>
    <row r="2920" spans="1:7">
      <c r="A2920" t="s">
        <v>1271</v>
      </c>
      <c r="B2920" t="s">
        <v>7664</v>
      </c>
      <c r="C2920" t="s">
        <v>3977</v>
      </c>
      <c r="D2920" t="s">
        <v>3978</v>
      </c>
      <c r="E2920">
        <v>12</v>
      </c>
      <c r="F2920" s="6">
        <v>1000</v>
      </c>
      <c r="G2920" t="s">
        <v>3730</v>
      </c>
    </row>
    <row r="2921" spans="1:7">
      <c r="A2921" t="s">
        <v>716</v>
      </c>
      <c r="B2921" t="s">
        <v>7664</v>
      </c>
      <c r="C2921" t="s">
        <v>3977</v>
      </c>
      <c r="D2921" t="s">
        <v>3978</v>
      </c>
      <c r="E2921">
        <v>6</v>
      </c>
      <c r="F2921" s="6">
        <v>1750</v>
      </c>
      <c r="G2921" t="s">
        <v>3730</v>
      </c>
    </row>
    <row r="2922" spans="1:7">
      <c r="A2922" t="s">
        <v>7665</v>
      </c>
      <c r="B2922" t="s">
        <v>7666</v>
      </c>
      <c r="C2922" t="s">
        <v>3977</v>
      </c>
      <c r="D2922" t="s">
        <v>3978</v>
      </c>
      <c r="E2922">
        <v>4</v>
      </c>
      <c r="F2922" s="6">
        <v>2400</v>
      </c>
      <c r="G2922" t="s">
        <v>3730</v>
      </c>
    </row>
    <row r="2923" spans="1:7">
      <c r="A2923" t="s">
        <v>2465</v>
      </c>
      <c r="B2923" t="s">
        <v>7667</v>
      </c>
      <c r="C2923" t="s">
        <v>3977</v>
      </c>
      <c r="D2923" t="s">
        <v>3978</v>
      </c>
      <c r="E2923">
        <v>12</v>
      </c>
      <c r="F2923" s="6">
        <v>750</v>
      </c>
      <c r="G2923" t="s">
        <v>3730</v>
      </c>
    </row>
    <row r="2924" spans="1:7">
      <c r="A2924" t="s">
        <v>1438</v>
      </c>
      <c r="B2924" t="s">
        <v>7668</v>
      </c>
      <c r="C2924" t="s">
        <v>3977</v>
      </c>
      <c r="D2924" t="s">
        <v>3978</v>
      </c>
      <c r="E2924">
        <v>6</v>
      </c>
      <c r="F2924" s="6">
        <v>750</v>
      </c>
      <c r="G2924" t="s">
        <v>3966</v>
      </c>
    </row>
    <row r="2925" spans="1:7">
      <c r="A2925" t="s">
        <v>7669</v>
      </c>
      <c r="B2925" t="s">
        <v>7670</v>
      </c>
      <c r="C2925" t="s">
        <v>3977</v>
      </c>
      <c r="D2925" t="s">
        <v>3978</v>
      </c>
      <c r="E2925">
        <v>12</v>
      </c>
      <c r="F2925" s="6">
        <v>750</v>
      </c>
      <c r="G2925" t="s">
        <v>3686</v>
      </c>
    </row>
    <row r="2926" spans="1:7">
      <c r="A2926" t="s">
        <v>116</v>
      </c>
      <c r="B2926" t="s">
        <v>7671</v>
      </c>
      <c r="C2926" t="s">
        <v>3977</v>
      </c>
      <c r="D2926" t="s">
        <v>3978</v>
      </c>
      <c r="E2926">
        <v>12</v>
      </c>
      <c r="F2926" s="6">
        <v>750</v>
      </c>
      <c r="G2926" t="s">
        <v>3931</v>
      </c>
    </row>
    <row r="2927" spans="1:7">
      <c r="A2927" t="s">
        <v>7672</v>
      </c>
      <c r="B2927" t="s">
        <v>7671</v>
      </c>
      <c r="C2927" t="s">
        <v>3977</v>
      </c>
      <c r="D2927" t="s">
        <v>3978</v>
      </c>
      <c r="E2927">
        <v>12</v>
      </c>
      <c r="F2927" s="6">
        <v>1000</v>
      </c>
      <c r="G2927" t="s">
        <v>3931</v>
      </c>
    </row>
    <row r="2928" spans="1:7">
      <c r="A2928" t="s">
        <v>2534</v>
      </c>
      <c r="B2928" t="s">
        <v>7671</v>
      </c>
      <c r="C2928" t="s">
        <v>3977</v>
      </c>
      <c r="D2928" t="s">
        <v>3978</v>
      </c>
      <c r="E2928">
        <v>6</v>
      </c>
      <c r="F2928" s="6">
        <v>1750</v>
      </c>
      <c r="G2928" t="s">
        <v>3931</v>
      </c>
    </row>
    <row r="2929" spans="1:7">
      <c r="A2929" t="s">
        <v>7673</v>
      </c>
      <c r="B2929" t="s">
        <v>7674</v>
      </c>
      <c r="C2929" t="s">
        <v>3977</v>
      </c>
      <c r="D2929" t="s">
        <v>3978</v>
      </c>
      <c r="E2929">
        <v>6</v>
      </c>
      <c r="F2929" s="6">
        <v>750</v>
      </c>
      <c r="G2929" t="s">
        <v>3931</v>
      </c>
    </row>
    <row r="2930" spans="1:7">
      <c r="A2930" t="s">
        <v>7675</v>
      </c>
      <c r="B2930" t="s">
        <v>7676</v>
      </c>
      <c r="C2930" t="s">
        <v>3977</v>
      </c>
      <c r="D2930" t="s">
        <v>3978</v>
      </c>
      <c r="E2930">
        <v>6</v>
      </c>
      <c r="F2930" s="6">
        <v>700</v>
      </c>
      <c r="G2930" t="s">
        <v>4392</v>
      </c>
    </row>
    <row r="2931" spans="1:7">
      <c r="A2931" t="s">
        <v>535</v>
      </c>
      <c r="B2931" t="s">
        <v>7677</v>
      </c>
      <c r="C2931" t="s">
        <v>3977</v>
      </c>
      <c r="D2931" t="s">
        <v>3978</v>
      </c>
      <c r="E2931">
        <v>12</v>
      </c>
      <c r="F2931" s="6">
        <v>750</v>
      </c>
      <c r="G2931" t="s">
        <v>3787</v>
      </c>
    </row>
    <row r="2932" spans="1:7">
      <c r="A2932" t="s">
        <v>1025</v>
      </c>
      <c r="B2932" t="s">
        <v>7678</v>
      </c>
      <c r="C2932" t="s">
        <v>3977</v>
      </c>
      <c r="D2932" t="s">
        <v>3978</v>
      </c>
      <c r="E2932">
        <v>12</v>
      </c>
      <c r="F2932" s="6">
        <v>750</v>
      </c>
      <c r="G2932" t="s">
        <v>3730</v>
      </c>
    </row>
    <row r="2933" spans="1:7">
      <c r="A2933" t="s">
        <v>3160</v>
      </c>
      <c r="B2933" t="s">
        <v>7679</v>
      </c>
      <c r="C2933" t="s">
        <v>3679</v>
      </c>
      <c r="D2933" t="s">
        <v>3680</v>
      </c>
      <c r="E2933">
        <v>16</v>
      </c>
      <c r="F2933" s="6">
        <v>375</v>
      </c>
      <c r="G2933" t="s">
        <v>3698</v>
      </c>
    </row>
    <row r="2934" spans="1:7">
      <c r="A2934" t="s">
        <v>2932</v>
      </c>
      <c r="B2934" t="s">
        <v>7679</v>
      </c>
      <c r="C2934" t="s">
        <v>3977</v>
      </c>
      <c r="D2934" t="s">
        <v>3978</v>
      </c>
      <c r="E2934">
        <v>9</v>
      </c>
      <c r="F2934" s="6">
        <v>750</v>
      </c>
      <c r="G2934" t="s">
        <v>3698</v>
      </c>
    </row>
    <row r="2935" spans="1:7">
      <c r="A2935" t="s">
        <v>2408</v>
      </c>
      <c r="B2935" t="s">
        <v>7680</v>
      </c>
      <c r="C2935" t="s">
        <v>3756</v>
      </c>
      <c r="D2935" t="s">
        <v>3757</v>
      </c>
      <c r="E2935">
        <v>12</v>
      </c>
      <c r="F2935" s="6">
        <v>50</v>
      </c>
      <c r="G2935" t="s">
        <v>4331</v>
      </c>
    </row>
    <row r="2936" spans="1:7">
      <c r="A2936" t="s">
        <v>1855</v>
      </c>
      <c r="B2936" t="s">
        <v>7681</v>
      </c>
      <c r="C2936" t="s">
        <v>4170</v>
      </c>
      <c r="D2936" t="s">
        <v>4171</v>
      </c>
      <c r="E2936">
        <v>12</v>
      </c>
      <c r="F2936" s="6">
        <v>750</v>
      </c>
      <c r="G2936" t="s">
        <v>3802</v>
      </c>
    </row>
    <row r="2937" spans="1:7">
      <c r="A2937" t="s">
        <v>7682</v>
      </c>
      <c r="B2937" t="s">
        <v>7683</v>
      </c>
      <c r="C2937" t="s">
        <v>3977</v>
      </c>
      <c r="D2937" t="s">
        <v>3978</v>
      </c>
      <c r="E2937">
        <v>12</v>
      </c>
      <c r="F2937" s="6">
        <v>750</v>
      </c>
      <c r="G2937" t="s">
        <v>3698</v>
      </c>
    </row>
    <row r="2938" spans="1:7">
      <c r="A2938" t="s">
        <v>2558</v>
      </c>
      <c r="B2938" t="s">
        <v>7684</v>
      </c>
      <c r="C2938" t="s">
        <v>3977</v>
      </c>
      <c r="D2938" t="s">
        <v>3978</v>
      </c>
      <c r="E2938">
        <v>4</v>
      </c>
      <c r="F2938" s="6">
        <v>50</v>
      </c>
      <c r="G2938" t="s">
        <v>3832</v>
      </c>
    </row>
    <row r="2939" spans="1:7">
      <c r="A2939" t="s">
        <v>7685</v>
      </c>
      <c r="B2939" t="s">
        <v>7686</v>
      </c>
      <c r="C2939" t="s">
        <v>3977</v>
      </c>
      <c r="D2939" t="s">
        <v>3978</v>
      </c>
      <c r="E2939">
        <v>6</v>
      </c>
      <c r="F2939" s="6">
        <v>750</v>
      </c>
      <c r="G2939" t="s">
        <v>3832</v>
      </c>
    </row>
    <row r="2940" spans="1:7">
      <c r="A2940" t="s">
        <v>414</v>
      </c>
      <c r="B2940" t="s">
        <v>7687</v>
      </c>
      <c r="C2940" t="s">
        <v>3977</v>
      </c>
      <c r="D2940" t="s">
        <v>3978</v>
      </c>
      <c r="E2940">
        <v>4</v>
      </c>
      <c r="F2940" s="6">
        <v>50</v>
      </c>
      <c r="G2940" t="s">
        <v>3832</v>
      </c>
    </row>
    <row r="2941" spans="1:7">
      <c r="A2941" t="s">
        <v>3184</v>
      </c>
      <c r="B2941" t="s">
        <v>7688</v>
      </c>
      <c r="C2941" t="s">
        <v>3977</v>
      </c>
      <c r="D2941" t="s">
        <v>3978</v>
      </c>
      <c r="E2941">
        <v>6</v>
      </c>
      <c r="F2941" s="6">
        <v>750</v>
      </c>
      <c r="G2941" t="s">
        <v>3832</v>
      </c>
    </row>
    <row r="2942" spans="1:7">
      <c r="A2942" t="s">
        <v>1930</v>
      </c>
      <c r="B2942" t="s">
        <v>7689</v>
      </c>
      <c r="C2942" t="s">
        <v>3977</v>
      </c>
      <c r="D2942" t="s">
        <v>3978</v>
      </c>
      <c r="E2942">
        <v>4</v>
      </c>
      <c r="F2942" s="6">
        <v>50</v>
      </c>
      <c r="G2942" t="s">
        <v>3832</v>
      </c>
    </row>
    <row r="2943" spans="1:7">
      <c r="A2943" t="s">
        <v>7690</v>
      </c>
      <c r="B2943" t="s">
        <v>7691</v>
      </c>
      <c r="C2943" t="s">
        <v>3977</v>
      </c>
      <c r="D2943" t="s">
        <v>3978</v>
      </c>
      <c r="E2943">
        <v>6</v>
      </c>
      <c r="F2943" s="6">
        <v>750</v>
      </c>
      <c r="G2943" t="s">
        <v>3832</v>
      </c>
    </row>
    <row r="2944" spans="1:7">
      <c r="A2944" t="s">
        <v>7692</v>
      </c>
      <c r="B2944" t="s">
        <v>7693</v>
      </c>
      <c r="C2944" t="s">
        <v>3679</v>
      </c>
      <c r="D2944" t="s">
        <v>3680</v>
      </c>
      <c r="E2944">
        <v>4</v>
      </c>
      <c r="F2944" s="6">
        <v>50</v>
      </c>
      <c r="G2944" t="s">
        <v>3832</v>
      </c>
    </row>
    <row r="2945" spans="1:7">
      <c r="A2945" t="s">
        <v>7694</v>
      </c>
      <c r="B2945" t="s">
        <v>7695</v>
      </c>
      <c r="C2945" t="s">
        <v>3679</v>
      </c>
      <c r="D2945" t="s">
        <v>3680</v>
      </c>
      <c r="E2945">
        <v>6</v>
      </c>
      <c r="F2945" s="6">
        <v>750</v>
      </c>
      <c r="G2945" t="s">
        <v>3832</v>
      </c>
    </row>
    <row r="2946" spans="1:7">
      <c r="A2946" t="s">
        <v>2391</v>
      </c>
      <c r="B2946" t="s">
        <v>7696</v>
      </c>
      <c r="C2946" t="s">
        <v>3977</v>
      </c>
      <c r="D2946" t="s">
        <v>3978</v>
      </c>
      <c r="E2946">
        <v>6</v>
      </c>
      <c r="F2946" s="6">
        <v>750</v>
      </c>
      <c r="G2946" t="s">
        <v>3832</v>
      </c>
    </row>
    <row r="2947" spans="1:7">
      <c r="A2947" t="s">
        <v>7697</v>
      </c>
      <c r="B2947" t="s">
        <v>7698</v>
      </c>
      <c r="C2947" t="s">
        <v>3977</v>
      </c>
      <c r="D2947" t="s">
        <v>3978</v>
      </c>
      <c r="E2947">
        <v>4</v>
      </c>
      <c r="F2947" s="6">
        <v>50</v>
      </c>
      <c r="G2947" t="s">
        <v>3832</v>
      </c>
    </row>
    <row r="2948" spans="1:7">
      <c r="A2948" t="s">
        <v>7699</v>
      </c>
      <c r="B2948" t="s">
        <v>7700</v>
      </c>
      <c r="C2948" t="s">
        <v>3977</v>
      </c>
      <c r="D2948" t="s">
        <v>3978</v>
      </c>
      <c r="E2948">
        <v>12</v>
      </c>
      <c r="F2948" s="6">
        <v>750</v>
      </c>
      <c r="G2948" t="s">
        <v>3686</v>
      </c>
    </row>
    <row r="2949" spans="1:7">
      <c r="A2949" t="s">
        <v>1311</v>
      </c>
      <c r="B2949" t="s">
        <v>7701</v>
      </c>
      <c r="C2949" t="s">
        <v>3977</v>
      </c>
      <c r="D2949" t="s">
        <v>3978</v>
      </c>
      <c r="E2949">
        <v>12</v>
      </c>
      <c r="F2949" s="6">
        <v>750</v>
      </c>
      <c r="G2949" t="s">
        <v>4163</v>
      </c>
    </row>
    <row r="2950" spans="1:7">
      <c r="A2950" t="s">
        <v>424</v>
      </c>
      <c r="B2950" t="s">
        <v>7702</v>
      </c>
      <c r="C2950" t="s">
        <v>3977</v>
      </c>
      <c r="D2950" t="s">
        <v>3978</v>
      </c>
      <c r="E2950">
        <v>12</v>
      </c>
      <c r="F2950" s="6">
        <v>750</v>
      </c>
      <c r="G2950" t="s">
        <v>4163</v>
      </c>
    </row>
    <row r="2951" spans="1:7">
      <c r="A2951" t="s">
        <v>7703</v>
      </c>
      <c r="B2951" t="s">
        <v>7704</v>
      </c>
      <c r="C2951" t="s">
        <v>3977</v>
      </c>
      <c r="D2951" t="s">
        <v>3978</v>
      </c>
      <c r="E2951">
        <v>12</v>
      </c>
      <c r="F2951" s="6">
        <v>750</v>
      </c>
      <c r="G2951" t="s">
        <v>4163</v>
      </c>
    </row>
    <row r="2952" spans="1:7">
      <c r="A2952" t="s">
        <v>7705</v>
      </c>
      <c r="B2952" t="s">
        <v>7706</v>
      </c>
      <c r="C2952" t="s">
        <v>3977</v>
      </c>
      <c r="D2952" t="s">
        <v>3978</v>
      </c>
      <c r="E2952">
        <v>6</v>
      </c>
      <c r="F2952" s="6">
        <v>750</v>
      </c>
      <c r="G2952" t="s">
        <v>4331</v>
      </c>
    </row>
    <row r="2953" spans="1:7">
      <c r="A2953" t="s">
        <v>7707</v>
      </c>
      <c r="B2953" t="s">
        <v>7708</v>
      </c>
      <c r="C2953" t="s">
        <v>3756</v>
      </c>
      <c r="D2953" t="s">
        <v>3757</v>
      </c>
      <c r="E2953">
        <v>12</v>
      </c>
      <c r="F2953" s="6">
        <v>50</v>
      </c>
      <c r="G2953" t="s">
        <v>3686</v>
      </c>
    </row>
    <row r="2954" spans="1:7">
      <c r="A2954" t="s">
        <v>7709</v>
      </c>
      <c r="B2954" t="s">
        <v>7710</v>
      </c>
      <c r="C2954" t="s">
        <v>3756</v>
      </c>
      <c r="D2954" t="s">
        <v>3757</v>
      </c>
      <c r="E2954">
        <v>48</v>
      </c>
      <c r="F2954" s="6">
        <v>100</v>
      </c>
      <c r="G2954" t="s">
        <v>3686</v>
      </c>
    </row>
    <row r="2955" spans="1:7">
      <c r="A2955" t="s">
        <v>1829</v>
      </c>
      <c r="B2955" t="s">
        <v>7711</v>
      </c>
      <c r="C2955" t="s">
        <v>7357</v>
      </c>
      <c r="D2955" t="s">
        <v>7358</v>
      </c>
      <c r="E2955">
        <v>12</v>
      </c>
      <c r="F2955" s="6">
        <v>50</v>
      </c>
      <c r="G2955" t="s">
        <v>3686</v>
      </c>
    </row>
    <row r="2956" spans="1:7">
      <c r="A2956" t="s">
        <v>1542</v>
      </c>
      <c r="B2956" t="s">
        <v>7712</v>
      </c>
      <c r="C2956" t="s">
        <v>7357</v>
      </c>
      <c r="D2956" t="s">
        <v>7358</v>
      </c>
      <c r="E2956">
        <v>12</v>
      </c>
      <c r="F2956" s="6">
        <v>750</v>
      </c>
      <c r="G2956" t="s">
        <v>3686</v>
      </c>
    </row>
    <row r="2957" spans="1:7">
      <c r="A2957" t="s">
        <v>964</v>
      </c>
      <c r="B2957" t="s">
        <v>7713</v>
      </c>
      <c r="C2957" t="s">
        <v>3756</v>
      </c>
      <c r="D2957" t="s">
        <v>3757</v>
      </c>
      <c r="E2957">
        <v>12</v>
      </c>
      <c r="F2957" s="6">
        <v>50</v>
      </c>
      <c r="G2957" t="s">
        <v>3686</v>
      </c>
    </row>
    <row r="2958" spans="1:7">
      <c r="A2958" t="s">
        <v>1839</v>
      </c>
      <c r="B2958" t="s">
        <v>7714</v>
      </c>
      <c r="C2958" t="s">
        <v>3756</v>
      </c>
      <c r="D2958" t="s">
        <v>3757</v>
      </c>
      <c r="E2958">
        <v>12</v>
      </c>
      <c r="F2958" s="6">
        <v>750</v>
      </c>
      <c r="G2958" t="s">
        <v>3686</v>
      </c>
    </row>
    <row r="2959" spans="1:7">
      <c r="A2959" t="s">
        <v>1374</v>
      </c>
      <c r="B2959" t="s">
        <v>7715</v>
      </c>
      <c r="C2959" t="s">
        <v>7357</v>
      </c>
      <c r="D2959" t="s">
        <v>7358</v>
      </c>
      <c r="E2959">
        <v>12</v>
      </c>
      <c r="F2959" s="6">
        <v>50</v>
      </c>
      <c r="G2959" t="s">
        <v>3686</v>
      </c>
    </row>
    <row r="2960" spans="1:7">
      <c r="A2960" t="s">
        <v>3293</v>
      </c>
      <c r="B2960" t="s">
        <v>7716</v>
      </c>
      <c r="C2960" t="s">
        <v>7357</v>
      </c>
      <c r="D2960" t="s">
        <v>7358</v>
      </c>
      <c r="E2960">
        <v>24</v>
      </c>
      <c r="F2960" s="6">
        <v>375</v>
      </c>
      <c r="G2960" t="s">
        <v>3686</v>
      </c>
    </row>
    <row r="2961" spans="1:7">
      <c r="A2961" t="s">
        <v>562</v>
      </c>
      <c r="B2961" t="s">
        <v>7716</v>
      </c>
      <c r="C2961" t="s">
        <v>7357</v>
      </c>
      <c r="D2961" t="s">
        <v>7358</v>
      </c>
      <c r="E2961">
        <v>12</v>
      </c>
      <c r="F2961" s="6">
        <v>750</v>
      </c>
      <c r="G2961" t="s">
        <v>3686</v>
      </c>
    </row>
    <row r="2962" spans="1:7">
      <c r="A2962" t="s">
        <v>1124</v>
      </c>
      <c r="B2962" t="s">
        <v>7716</v>
      </c>
      <c r="C2962" t="s">
        <v>7357</v>
      </c>
      <c r="D2962" t="s">
        <v>7358</v>
      </c>
      <c r="E2962">
        <v>12</v>
      </c>
      <c r="F2962" s="6">
        <v>1000</v>
      </c>
      <c r="G2962" t="s">
        <v>3686</v>
      </c>
    </row>
    <row r="2963" spans="1:7">
      <c r="A2963" t="s">
        <v>1933</v>
      </c>
      <c r="B2963" t="s">
        <v>7716</v>
      </c>
      <c r="C2963" t="s">
        <v>7357</v>
      </c>
      <c r="D2963" t="s">
        <v>7358</v>
      </c>
      <c r="E2963">
        <v>6</v>
      </c>
      <c r="F2963" s="6">
        <v>1750</v>
      </c>
      <c r="G2963" t="s">
        <v>3686</v>
      </c>
    </row>
    <row r="2964" spans="1:7">
      <c r="A2964" t="s">
        <v>7717</v>
      </c>
      <c r="B2964" t="s">
        <v>7718</v>
      </c>
      <c r="C2964" t="s">
        <v>7357</v>
      </c>
      <c r="D2964" t="s">
        <v>7358</v>
      </c>
      <c r="E2964">
        <v>24</v>
      </c>
      <c r="F2964" s="6">
        <v>375</v>
      </c>
      <c r="G2964" t="s">
        <v>3686</v>
      </c>
    </row>
    <row r="2965" spans="1:7">
      <c r="A2965" t="s">
        <v>521</v>
      </c>
      <c r="B2965" t="s">
        <v>7710</v>
      </c>
      <c r="C2965" t="s">
        <v>7357</v>
      </c>
      <c r="D2965" t="s">
        <v>7358</v>
      </c>
      <c r="E2965">
        <v>12</v>
      </c>
      <c r="F2965" s="6">
        <v>750</v>
      </c>
      <c r="G2965" t="s">
        <v>3686</v>
      </c>
    </row>
    <row r="2966" spans="1:7">
      <c r="A2966" t="s">
        <v>3321</v>
      </c>
      <c r="B2966" t="s">
        <v>7710</v>
      </c>
      <c r="C2966" t="s">
        <v>7357</v>
      </c>
      <c r="D2966" t="s">
        <v>7358</v>
      </c>
      <c r="E2966">
        <v>12</v>
      </c>
      <c r="F2966" s="6">
        <v>1000</v>
      </c>
      <c r="G2966" t="s">
        <v>3686</v>
      </c>
    </row>
    <row r="2967" spans="1:7">
      <c r="A2967" t="s">
        <v>1699</v>
      </c>
      <c r="B2967" t="s">
        <v>7710</v>
      </c>
      <c r="C2967" t="s">
        <v>7357</v>
      </c>
      <c r="D2967" t="s">
        <v>7358</v>
      </c>
      <c r="E2967">
        <v>6</v>
      </c>
      <c r="F2967" s="6">
        <v>1750</v>
      </c>
      <c r="G2967" t="s">
        <v>3686</v>
      </c>
    </row>
    <row r="2968" spans="1:7">
      <c r="A2968" t="s">
        <v>374</v>
      </c>
      <c r="B2968" t="s">
        <v>7719</v>
      </c>
      <c r="C2968" t="s">
        <v>7357</v>
      </c>
      <c r="D2968" t="s">
        <v>7358</v>
      </c>
      <c r="E2968">
        <v>12</v>
      </c>
      <c r="F2968" s="6">
        <v>750</v>
      </c>
      <c r="G2968" t="s">
        <v>3686</v>
      </c>
    </row>
    <row r="2969" spans="1:7">
      <c r="A2969" t="s">
        <v>7720</v>
      </c>
      <c r="B2969" t="s">
        <v>7721</v>
      </c>
      <c r="C2969" t="s">
        <v>7357</v>
      </c>
      <c r="D2969" t="s">
        <v>7358</v>
      </c>
      <c r="E2969">
        <v>12</v>
      </c>
      <c r="F2969" s="6">
        <v>1000</v>
      </c>
      <c r="G2969" t="s">
        <v>3686</v>
      </c>
    </row>
    <row r="2970" spans="1:7">
      <c r="A2970" t="s">
        <v>1825</v>
      </c>
      <c r="B2970" t="s">
        <v>7722</v>
      </c>
      <c r="C2970" t="s">
        <v>7357</v>
      </c>
      <c r="D2970" t="s">
        <v>7358</v>
      </c>
      <c r="E2970">
        <v>12</v>
      </c>
      <c r="F2970" s="6">
        <v>750</v>
      </c>
      <c r="G2970" t="s">
        <v>3686</v>
      </c>
    </row>
    <row r="2971" spans="1:7">
      <c r="A2971" t="s">
        <v>1132</v>
      </c>
      <c r="B2971" t="s">
        <v>7723</v>
      </c>
      <c r="C2971" t="s">
        <v>3756</v>
      </c>
      <c r="D2971" t="s">
        <v>3757</v>
      </c>
      <c r="E2971">
        <v>12</v>
      </c>
      <c r="F2971" s="6">
        <v>50</v>
      </c>
      <c r="G2971" t="s">
        <v>3686</v>
      </c>
    </row>
    <row r="2972" spans="1:7">
      <c r="A2972" t="s">
        <v>259</v>
      </c>
      <c r="B2972" t="s">
        <v>7724</v>
      </c>
      <c r="C2972" t="s">
        <v>7357</v>
      </c>
      <c r="D2972" t="s">
        <v>7358</v>
      </c>
      <c r="E2972">
        <v>12</v>
      </c>
      <c r="F2972" s="6">
        <v>750</v>
      </c>
      <c r="G2972" t="s">
        <v>3686</v>
      </c>
    </row>
    <row r="2973" spans="1:7">
      <c r="A2973" t="s">
        <v>2961</v>
      </c>
      <c r="B2973" t="s">
        <v>7725</v>
      </c>
      <c r="C2973" t="s">
        <v>7357</v>
      </c>
      <c r="D2973" t="s">
        <v>7358</v>
      </c>
      <c r="E2973">
        <v>12</v>
      </c>
      <c r="F2973" s="6">
        <v>50</v>
      </c>
      <c r="G2973" t="s">
        <v>3686</v>
      </c>
    </row>
    <row r="2974" spans="1:7">
      <c r="A2974" t="s">
        <v>1139</v>
      </c>
      <c r="B2974" t="s">
        <v>7726</v>
      </c>
      <c r="C2974" t="s">
        <v>7357</v>
      </c>
      <c r="D2974" t="s">
        <v>7358</v>
      </c>
      <c r="E2974">
        <v>12</v>
      </c>
      <c r="F2974" s="6">
        <v>750</v>
      </c>
      <c r="G2974" t="s">
        <v>3686</v>
      </c>
    </row>
    <row r="2975" spans="1:7">
      <c r="A2975" t="s">
        <v>7727</v>
      </c>
      <c r="B2975" t="s">
        <v>7728</v>
      </c>
      <c r="C2975" t="s">
        <v>3783</v>
      </c>
      <c r="D2975" t="s">
        <v>3784</v>
      </c>
      <c r="E2975">
        <v>12</v>
      </c>
      <c r="F2975" s="6">
        <v>750</v>
      </c>
      <c r="G2975" t="s">
        <v>3686</v>
      </c>
    </row>
    <row r="2976" spans="1:7">
      <c r="A2976" t="s">
        <v>7729</v>
      </c>
      <c r="B2976" t="s">
        <v>7714</v>
      </c>
      <c r="C2976" t="s">
        <v>3756</v>
      </c>
      <c r="D2976" t="s">
        <v>3757</v>
      </c>
      <c r="E2976">
        <v>4</v>
      </c>
      <c r="F2976" s="6">
        <v>100</v>
      </c>
      <c r="G2976" t="s">
        <v>3686</v>
      </c>
    </row>
    <row r="2977" spans="1:7">
      <c r="A2977" t="s">
        <v>771</v>
      </c>
      <c r="B2977" t="s">
        <v>7730</v>
      </c>
      <c r="C2977" t="s">
        <v>4170</v>
      </c>
      <c r="D2977" t="s">
        <v>4171</v>
      </c>
      <c r="E2977">
        <v>12</v>
      </c>
      <c r="F2977" s="6">
        <v>375</v>
      </c>
      <c r="G2977" t="s">
        <v>3730</v>
      </c>
    </row>
    <row r="2978" spans="1:7">
      <c r="A2978" t="s">
        <v>2466</v>
      </c>
      <c r="B2978" t="s">
        <v>7731</v>
      </c>
      <c r="C2978" t="s">
        <v>7357</v>
      </c>
      <c r="D2978" t="s">
        <v>7358</v>
      </c>
      <c r="E2978">
        <v>12</v>
      </c>
      <c r="F2978" s="6">
        <v>50</v>
      </c>
      <c r="G2978" t="s">
        <v>3730</v>
      </c>
    </row>
    <row r="2979" spans="1:7">
      <c r="A2979" t="s">
        <v>7732</v>
      </c>
      <c r="B2979" t="s">
        <v>7733</v>
      </c>
      <c r="C2979" t="s">
        <v>7357</v>
      </c>
      <c r="D2979" t="s">
        <v>7358</v>
      </c>
      <c r="E2979">
        <v>12</v>
      </c>
      <c r="F2979" s="6">
        <v>375</v>
      </c>
      <c r="G2979" t="s">
        <v>3730</v>
      </c>
    </row>
    <row r="2980" spans="1:7">
      <c r="A2980" t="s">
        <v>1077</v>
      </c>
      <c r="B2980" t="s">
        <v>7733</v>
      </c>
      <c r="C2980" t="s">
        <v>7357</v>
      </c>
      <c r="D2980" t="s">
        <v>7358</v>
      </c>
      <c r="E2980">
        <v>12</v>
      </c>
      <c r="F2980" s="6">
        <v>750</v>
      </c>
      <c r="G2980" t="s">
        <v>3730</v>
      </c>
    </row>
    <row r="2981" spans="1:7">
      <c r="A2981" t="s">
        <v>167</v>
      </c>
      <c r="B2981" t="s">
        <v>7733</v>
      </c>
      <c r="C2981" t="s">
        <v>7357</v>
      </c>
      <c r="D2981" t="s">
        <v>7358</v>
      </c>
      <c r="E2981">
        <v>12</v>
      </c>
      <c r="F2981" s="6">
        <v>1000</v>
      </c>
      <c r="G2981" t="s">
        <v>3730</v>
      </c>
    </row>
    <row r="2982" spans="1:7">
      <c r="A2982" t="s">
        <v>2758</v>
      </c>
      <c r="B2982" t="s">
        <v>7734</v>
      </c>
      <c r="C2982" t="s">
        <v>3684</v>
      </c>
      <c r="D2982" t="s">
        <v>3685</v>
      </c>
      <c r="E2982">
        <v>12</v>
      </c>
      <c r="F2982" s="6">
        <v>1000</v>
      </c>
      <c r="G2982" t="s">
        <v>4419</v>
      </c>
    </row>
    <row r="2983" spans="1:7">
      <c r="A2983" t="s">
        <v>1218</v>
      </c>
      <c r="B2983" t="s">
        <v>7734</v>
      </c>
      <c r="C2983" t="s">
        <v>3684</v>
      </c>
      <c r="D2983" t="s">
        <v>3685</v>
      </c>
      <c r="E2983">
        <v>6</v>
      </c>
      <c r="F2983" s="6">
        <v>1750</v>
      </c>
      <c r="G2983" t="s">
        <v>4419</v>
      </c>
    </row>
    <row r="2984" spans="1:7">
      <c r="A2984" t="s">
        <v>7735</v>
      </c>
      <c r="B2984" t="s">
        <v>7736</v>
      </c>
      <c r="C2984" t="s">
        <v>4071</v>
      </c>
      <c r="D2984" t="s">
        <v>4072</v>
      </c>
      <c r="E2984">
        <v>6</v>
      </c>
      <c r="F2984" s="6">
        <v>375</v>
      </c>
      <c r="G2984" t="s">
        <v>7737</v>
      </c>
    </row>
    <row r="2985" spans="1:7">
      <c r="A2985" t="s">
        <v>7738</v>
      </c>
      <c r="B2985" t="s">
        <v>7739</v>
      </c>
      <c r="C2985" t="s">
        <v>4071</v>
      </c>
      <c r="D2985" t="s">
        <v>4072</v>
      </c>
      <c r="E2985">
        <v>6</v>
      </c>
      <c r="F2985" s="6">
        <v>375</v>
      </c>
      <c r="G2985" t="s">
        <v>7737</v>
      </c>
    </row>
    <row r="2986" spans="1:7">
      <c r="A2986" t="s">
        <v>7740</v>
      </c>
      <c r="B2986" t="s">
        <v>7741</v>
      </c>
      <c r="C2986" t="s">
        <v>4071</v>
      </c>
      <c r="D2986" t="s">
        <v>4072</v>
      </c>
      <c r="E2986">
        <v>6</v>
      </c>
      <c r="F2986" s="6">
        <v>375</v>
      </c>
      <c r="G2986" t="s">
        <v>7737</v>
      </c>
    </row>
    <row r="2987" spans="1:7">
      <c r="A2987" t="s">
        <v>2549</v>
      </c>
      <c r="B2987" t="s">
        <v>7742</v>
      </c>
      <c r="C2987" t="s">
        <v>3700</v>
      </c>
      <c r="D2987" t="s">
        <v>3701</v>
      </c>
      <c r="E2987">
        <v>12</v>
      </c>
      <c r="F2987" s="6">
        <v>375</v>
      </c>
      <c r="G2987" t="s">
        <v>5106</v>
      </c>
    </row>
    <row r="2988" spans="1:7">
      <c r="A2988" t="s">
        <v>7743</v>
      </c>
      <c r="B2988" t="s">
        <v>7744</v>
      </c>
      <c r="C2988" t="s">
        <v>3756</v>
      </c>
      <c r="D2988" t="s">
        <v>3757</v>
      </c>
      <c r="E2988">
        <v>6</v>
      </c>
      <c r="F2988" s="6">
        <v>750</v>
      </c>
      <c r="G2988" t="s">
        <v>5273</v>
      </c>
    </row>
    <row r="2989" spans="1:7">
      <c r="A2989" t="s">
        <v>248</v>
      </c>
      <c r="B2989" t="s">
        <v>7745</v>
      </c>
      <c r="C2989" t="s">
        <v>3756</v>
      </c>
      <c r="D2989" t="s">
        <v>3757</v>
      </c>
      <c r="E2989">
        <v>12</v>
      </c>
      <c r="F2989" s="6">
        <v>750</v>
      </c>
      <c r="G2989" t="s">
        <v>3686</v>
      </c>
    </row>
    <row r="2990" spans="1:7">
      <c r="A2990" t="s">
        <v>3016</v>
      </c>
      <c r="B2990" t="s">
        <v>7379</v>
      </c>
      <c r="C2990" t="s">
        <v>4170</v>
      </c>
      <c r="D2990" t="s">
        <v>4171</v>
      </c>
      <c r="E2990">
        <v>12</v>
      </c>
      <c r="F2990" s="6">
        <v>375</v>
      </c>
      <c r="G2990" t="s">
        <v>3992</v>
      </c>
    </row>
    <row r="2991" spans="1:7">
      <c r="A2991" t="s">
        <v>7746</v>
      </c>
      <c r="B2991" t="s">
        <v>7747</v>
      </c>
      <c r="C2991" t="s">
        <v>4093</v>
      </c>
      <c r="D2991" t="s">
        <v>4094</v>
      </c>
      <c r="E2991">
        <v>12</v>
      </c>
      <c r="F2991" s="6">
        <v>1000</v>
      </c>
      <c r="G2991" t="s">
        <v>6161</v>
      </c>
    </row>
    <row r="2992" spans="1:7">
      <c r="A2992" t="s">
        <v>7748</v>
      </c>
      <c r="B2992" t="s">
        <v>7749</v>
      </c>
      <c r="C2992" t="s">
        <v>3756</v>
      </c>
      <c r="D2992" t="s">
        <v>3757</v>
      </c>
      <c r="E2992">
        <v>12</v>
      </c>
      <c r="F2992" s="6">
        <v>1000</v>
      </c>
      <c r="G2992" t="s">
        <v>4163</v>
      </c>
    </row>
    <row r="2993" spans="1:7">
      <c r="A2993" t="s">
        <v>7750</v>
      </c>
      <c r="B2993" t="s">
        <v>7751</v>
      </c>
      <c r="C2993" t="s">
        <v>7515</v>
      </c>
      <c r="D2993" t="s">
        <v>7516</v>
      </c>
      <c r="E2993">
        <v>6</v>
      </c>
      <c r="F2993" s="6">
        <v>750</v>
      </c>
      <c r="G2993" t="s">
        <v>5139</v>
      </c>
    </row>
    <row r="2994" spans="1:7">
      <c r="A2994" t="s">
        <v>7752</v>
      </c>
      <c r="B2994" t="s">
        <v>7753</v>
      </c>
      <c r="C2994" t="s">
        <v>4632</v>
      </c>
      <c r="D2994" t="s">
        <v>4633</v>
      </c>
      <c r="E2994">
        <v>1</v>
      </c>
      <c r="F2994" s="6">
        <v>50</v>
      </c>
      <c r="G2994" t="s">
        <v>3686</v>
      </c>
    </row>
    <row r="2995" spans="1:7">
      <c r="A2995" t="s">
        <v>7754</v>
      </c>
      <c r="B2995" t="s">
        <v>7755</v>
      </c>
      <c r="C2995" t="s">
        <v>6411</v>
      </c>
      <c r="D2995" t="s">
        <v>6412</v>
      </c>
      <c r="E2995">
        <v>12</v>
      </c>
      <c r="F2995" s="6">
        <v>750</v>
      </c>
      <c r="G2995" t="s">
        <v>7756</v>
      </c>
    </row>
    <row r="2996" spans="1:7">
      <c r="A2996" t="s">
        <v>3026</v>
      </c>
      <c r="B2996" t="s">
        <v>7757</v>
      </c>
      <c r="C2996" t="s">
        <v>3977</v>
      </c>
      <c r="D2996" t="s">
        <v>3978</v>
      </c>
      <c r="E2996">
        <v>12</v>
      </c>
      <c r="F2996" s="6">
        <v>750</v>
      </c>
      <c r="G2996" t="s">
        <v>3730</v>
      </c>
    </row>
    <row r="2997" spans="1:7">
      <c r="A2997" t="s">
        <v>7758</v>
      </c>
      <c r="B2997" t="s">
        <v>7759</v>
      </c>
      <c r="C2997" t="s">
        <v>3700</v>
      </c>
      <c r="D2997" t="s">
        <v>3701</v>
      </c>
      <c r="E2997">
        <v>12</v>
      </c>
      <c r="F2997" s="6">
        <v>375</v>
      </c>
      <c r="G2997" t="s">
        <v>5106</v>
      </c>
    </row>
    <row r="2998" spans="1:7">
      <c r="A2998" t="s">
        <v>1079</v>
      </c>
      <c r="B2998" t="s">
        <v>7760</v>
      </c>
      <c r="C2998" t="s">
        <v>3708</v>
      </c>
      <c r="D2998" t="s">
        <v>3709</v>
      </c>
      <c r="E2998">
        <v>6</v>
      </c>
      <c r="F2998" s="6">
        <v>750</v>
      </c>
      <c r="G2998" t="s">
        <v>7761</v>
      </c>
    </row>
    <row r="2999" spans="1:7">
      <c r="A2999" t="s">
        <v>7762</v>
      </c>
      <c r="B2999" t="s">
        <v>7763</v>
      </c>
      <c r="C2999" t="s">
        <v>3708</v>
      </c>
      <c r="D2999" t="s">
        <v>3709</v>
      </c>
      <c r="E2999">
        <v>6</v>
      </c>
      <c r="F2999" s="6">
        <v>750</v>
      </c>
      <c r="G2999" t="s">
        <v>7761</v>
      </c>
    </row>
    <row r="3000" spans="1:7">
      <c r="A3000" t="s">
        <v>460</v>
      </c>
      <c r="B3000" t="s">
        <v>7764</v>
      </c>
      <c r="C3000" t="s">
        <v>3708</v>
      </c>
      <c r="D3000" t="s">
        <v>3709</v>
      </c>
      <c r="E3000">
        <v>6</v>
      </c>
      <c r="F3000" s="6">
        <v>750</v>
      </c>
      <c r="G3000" t="s">
        <v>7761</v>
      </c>
    </row>
    <row r="3001" spans="1:7">
      <c r="A3001" t="s">
        <v>7765</v>
      </c>
      <c r="B3001" t="s">
        <v>7766</v>
      </c>
      <c r="C3001" t="s">
        <v>3679</v>
      </c>
      <c r="D3001" t="s">
        <v>3680</v>
      </c>
      <c r="E3001">
        <v>12</v>
      </c>
      <c r="F3001" s="6">
        <v>375</v>
      </c>
      <c r="G3001" t="s">
        <v>3871</v>
      </c>
    </row>
    <row r="3002" spans="1:7">
      <c r="A3002" t="s">
        <v>7767</v>
      </c>
      <c r="B3002" t="s">
        <v>7768</v>
      </c>
      <c r="C3002" t="s">
        <v>3700</v>
      </c>
      <c r="D3002" t="s">
        <v>3701</v>
      </c>
      <c r="E3002">
        <v>12</v>
      </c>
      <c r="F3002" s="6">
        <v>375</v>
      </c>
      <c r="G3002" t="s">
        <v>5106</v>
      </c>
    </row>
    <row r="3003" spans="1:7">
      <c r="A3003" t="s">
        <v>2036</v>
      </c>
      <c r="B3003" t="s">
        <v>7769</v>
      </c>
      <c r="C3003" t="s">
        <v>6424</v>
      </c>
      <c r="D3003" t="s">
        <v>6425</v>
      </c>
      <c r="E3003">
        <v>12</v>
      </c>
      <c r="F3003" s="6">
        <v>750</v>
      </c>
      <c r="G3003" t="s">
        <v>4784</v>
      </c>
    </row>
    <row r="3004" spans="1:7">
      <c r="A3004" t="s">
        <v>7770</v>
      </c>
      <c r="B3004" t="s">
        <v>7769</v>
      </c>
      <c r="C3004" t="s">
        <v>6424</v>
      </c>
      <c r="D3004" t="s">
        <v>6425</v>
      </c>
      <c r="E3004">
        <v>12</v>
      </c>
      <c r="F3004" s="6">
        <v>1000</v>
      </c>
      <c r="G3004" t="s">
        <v>4784</v>
      </c>
    </row>
    <row r="3005" spans="1:7">
      <c r="A3005" t="s">
        <v>3005</v>
      </c>
      <c r="B3005" t="s">
        <v>7769</v>
      </c>
      <c r="C3005" t="s">
        <v>6424</v>
      </c>
      <c r="D3005" t="s">
        <v>6425</v>
      </c>
      <c r="E3005">
        <v>6</v>
      </c>
      <c r="F3005" s="6">
        <v>1750</v>
      </c>
      <c r="G3005" t="s">
        <v>4784</v>
      </c>
    </row>
    <row r="3006" spans="1:7">
      <c r="A3006" t="s">
        <v>7771</v>
      </c>
      <c r="B3006" t="s">
        <v>7772</v>
      </c>
      <c r="C3006" t="s">
        <v>4632</v>
      </c>
      <c r="D3006" t="s">
        <v>4633</v>
      </c>
      <c r="E3006">
        <v>12</v>
      </c>
      <c r="F3006" s="6">
        <v>750</v>
      </c>
      <c r="G3006" t="s">
        <v>3686</v>
      </c>
    </row>
    <row r="3007" spans="1:7">
      <c r="A3007" t="s">
        <v>7773</v>
      </c>
      <c r="B3007" t="s">
        <v>7774</v>
      </c>
      <c r="C3007" t="s">
        <v>4052</v>
      </c>
      <c r="D3007" t="s">
        <v>4053</v>
      </c>
      <c r="E3007">
        <v>12</v>
      </c>
      <c r="F3007" s="6">
        <v>750</v>
      </c>
      <c r="G3007" t="s">
        <v>3702</v>
      </c>
    </row>
    <row r="3008" spans="1:7">
      <c r="A3008" t="s">
        <v>7775</v>
      </c>
      <c r="B3008" t="s">
        <v>7776</v>
      </c>
      <c r="C3008" t="s">
        <v>3756</v>
      </c>
      <c r="D3008" t="s">
        <v>3757</v>
      </c>
      <c r="E3008">
        <v>6</v>
      </c>
      <c r="F3008" s="6">
        <v>750</v>
      </c>
      <c r="G3008" t="s">
        <v>7777</v>
      </c>
    </row>
    <row r="3009" spans="1:7">
      <c r="A3009" t="s">
        <v>7778</v>
      </c>
      <c r="B3009" t="s">
        <v>7779</v>
      </c>
      <c r="C3009" t="s">
        <v>3708</v>
      </c>
      <c r="D3009" t="s">
        <v>3709</v>
      </c>
      <c r="E3009">
        <v>6</v>
      </c>
      <c r="F3009" s="6">
        <v>750</v>
      </c>
      <c r="G3009" t="s">
        <v>4781</v>
      </c>
    </row>
    <row r="3010" spans="1:7">
      <c r="A3010" t="s">
        <v>310</v>
      </c>
      <c r="B3010" t="s">
        <v>7780</v>
      </c>
      <c r="C3010" t="s">
        <v>3756</v>
      </c>
      <c r="D3010" t="s">
        <v>3757</v>
      </c>
      <c r="E3010">
        <v>12</v>
      </c>
      <c r="F3010" s="6">
        <v>750</v>
      </c>
      <c r="G3010" t="s">
        <v>3931</v>
      </c>
    </row>
    <row r="3011" spans="1:7">
      <c r="A3011" t="s">
        <v>1635</v>
      </c>
      <c r="B3011" t="s">
        <v>7781</v>
      </c>
      <c r="C3011" t="s">
        <v>4591</v>
      </c>
      <c r="D3011" t="s">
        <v>4592</v>
      </c>
      <c r="E3011">
        <v>12</v>
      </c>
      <c r="F3011" s="6">
        <v>750</v>
      </c>
      <c r="G3011" t="s">
        <v>3931</v>
      </c>
    </row>
    <row r="3012" spans="1:7">
      <c r="A3012" t="s">
        <v>7782</v>
      </c>
      <c r="B3012" t="s">
        <v>7783</v>
      </c>
      <c r="C3012" t="s">
        <v>7486</v>
      </c>
      <c r="D3012" t="s">
        <v>7487</v>
      </c>
      <c r="E3012">
        <v>12</v>
      </c>
      <c r="F3012" s="6">
        <v>750</v>
      </c>
      <c r="G3012" t="s">
        <v>4163</v>
      </c>
    </row>
    <row r="3013" spans="1:7">
      <c r="A3013" t="s">
        <v>7784</v>
      </c>
      <c r="B3013" t="s">
        <v>7785</v>
      </c>
      <c r="C3013" t="s">
        <v>4052</v>
      </c>
      <c r="D3013" t="s">
        <v>4053</v>
      </c>
      <c r="E3013">
        <v>12</v>
      </c>
      <c r="F3013" s="6">
        <v>750</v>
      </c>
      <c r="G3013" t="s">
        <v>3730</v>
      </c>
    </row>
    <row r="3014" spans="1:7">
      <c r="A3014" t="s">
        <v>7786</v>
      </c>
      <c r="B3014" t="s">
        <v>7787</v>
      </c>
      <c r="C3014" t="s">
        <v>4052</v>
      </c>
      <c r="D3014" t="s">
        <v>4053</v>
      </c>
      <c r="E3014">
        <v>12</v>
      </c>
      <c r="F3014" s="6">
        <v>50</v>
      </c>
      <c r="G3014" t="s">
        <v>3730</v>
      </c>
    </row>
    <row r="3015" spans="1:7">
      <c r="A3015" t="s">
        <v>583</v>
      </c>
      <c r="B3015" t="s">
        <v>7788</v>
      </c>
      <c r="C3015" t="s">
        <v>4052</v>
      </c>
      <c r="D3015" t="s">
        <v>4053</v>
      </c>
      <c r="E3015">
        <v>12</v>
      </c>
      <c r="F3015" s="6">
        <v>750</v>
      </c>
      <c r="G3015" t="s">
        <v>3730</v>
      </c>
    </row>
    <row r="3016" spans="1:7">
      <c r="A3016" t="s">
        <v>7789</v>
      </c>
      <c r="B3016" t="s">
        <v>7790</v>
      </c>
      <c r="C3016" t="s">
        <v>7486</v>
      </c>
      <c r="D3016" t="s">
        <v>7487</v>
      </c>
      <c r="E3016">
        <v>12</v>
      </c>
      <c r="F3016" s="6">
        <v>375</v>
      </c>
      <c r="G3016" t="s">
        <v>4577</v>
      </c>
    </row>
    <row r="3017" spans="1:7">
      <c r="A3017" t="s">
        <v>7791</v>
      </c>
      <c r="B3017" t="s">
        <v>7792</v>
      </c>
      <c r="C3017" t="s">
        <v>4071</v>
      </c>
      <c r="D3017" t="s">
        <v>4072</v>
      </c>
      <c r="E3017">
        <v>6</v>
      </c>
      <c r="F3017" s="6">
        <v>750</v>
      </c>
      <c r="G3017" t="s">
        <v>4291</v>
      </c>
    </row>
    <row r="3018" spans="1:7">
      <c r="A3018" t="s">
        <v>7793</v>
      </c>
      <c r="B3018" t="s">
        <v>7794</v>
      </c>
      <c r="C3018" t="s">
        <v>3756</v>
      </c>
      <c r="D3018" t="s">
        <v>3757</v>
      </c>
      <c r="E3018">
        <v>12</v>
      </c>
      <c r="F3018" s="6">
        <v>375</v>
      </c>
      <c r="G3018" t="s">
        <v>4577</v>
      </c>
    </row>
    <row r="3019" spans="1:7">
      <c r="A3019" t="s">
        <v>7795</v>
      </c>
      <c r="B3019" t="s">
        <v>7796</v>
      </c>
      <c r="C3019" t="s">
        <v>4071</v>
      </c>
      <c r="D3019" t="s">
        <v>4072</v>
      </c>
      <c r="E3019">
        <v>12</v>
      </c>
      <c r="F3019" s="6">
        <v>1000</v>
      </c>
      <c r="G3019" t="s">
        <v>3871</v>
      </c>
    </row>
    <row r="3020" spans="1:7">
      <c r="A3020" t="s">
        <v>7797</v>
      </c>
      <c r="B3020" t="s">
        <v>7798</v>
      </c>
      <c r="C3020" t="s">
        <v>3679</v>
      </c>
      <c r="D3020" t="s">
        <v>3680</v>
      </c>
      <c r="E3020">
        <v>6</v>
      </c>
      <c r="F3020" s="6">
        <v>750</v>
      </c>
      <c r="G3020" t="s">
        <v>4584</v>
      </c>
    </row>
    <row r="3021" spans="1:7">
      <c r="A3021" t="s">
        <v>7799</v>
      </c>
      <c r="B3021" t="s">
        <v>7800</v>
      </c>
      <c r="C3021" t="s">
        <v>3679</v>
      </c>
      <c r="D3021" t="s">
        <v>3680</v>
      </c>
      <c r="E3021">
        <v>6</v>
      </c>
      <c r="F3021" s="6">
        <v>50</v>
      </c>
      <c r="G3021" t="s">
        <v>4584</v>
      </c>
    </row>
    <row r="3022" spans="1:7">
      <c r="A3022" t="s">
        <v>7801</v>
      </c>
      <c r="B3022" t="s">
        <v>7802</v>
      </c>
      <c r="C3022" t="s">
        <v>3679</v>
      </c>
      <c r="D3022" t="s">
        <v>3680</v>
      </c>
      <c r="E3022">
        <v>6</v>
      </c>
      <c r="F3022" s="6">
        <v>50</v>
      </c>
      <c r="G3022" t="s">
        <v>4584</v>
      </c>
    </row>
    <row r="3023" spans="1:7">
      <c r="A3023" t="s">
        <v>7803</v>
      </c>
      <c r="B3023" t="s">
        <v>7804</v>
      </c>
      <c r="C3023" t="s">
        <v>3977</v>
      </c>
      <c r="D3023" t="s">
        <v>3978</v>
      </c>
      <c r="E3023">
        <v>6</v>
      </c>
      <c r="F3023" s="6">
        <v>750</v>
      </c>
      <c r="G3023" t="s">
        <v>4584</v>
      </c>
    </row>
    <row r="3024" spans="1:7">
      <c r="A3024" t="s">
        <v>7805</v>
      </c>
      <c r="B3024" t="s">
        <v>7806</v>
      </c>
      <c r="C3024" t="s">
        <v>3977</v>
      </c>
      <c r="D3024" t="s">
        <v>3978</v>
      </c>
      <c r="E3024">
        <v>6</v>
      </c>
      <c r="F3024" s="6">
        <v>750</v>
      </c>
      <c r="G3024" t="s">
        <v>4584</v>
      </c>
    </row>
    <row r="3025" spans="1:7">
      <c r="A3025" t="s">
        <v>7807</v>
      </c>
      <c r="B3025" t="s">
        <v>7808</v>
      </c>
      <c r="C3025" t="s">
        <v>3679</v>
      </c>
      <c r="D3025" t="s">
        <v>3680</v>
      </c>
      <c r="E3025">
        <v>6</v>
      </c>
      <c r="F3025" s="6">
        <v>50</v>
      </c>
      <c r="G3025" t="s">
        <v>4584</v>
      </c>
    </row>
    <row r="3026" spans="1:7">
      <c r="A3026" t="s">
        <v>7809</v>
      </c>
      <c r="B3026" t="s">
        <v>7810</v>
      </c>
      <c r="C3026" t="s">
        <v>3977</v>
      </c>
      <c r="D3026" t="s">
        <v>3978</v>
      </c>
      <c r="E3026">
        <v>6</v>
      </c>
      <c r="F3026" s="6">
        <v>750</v>
      </c>
      <c r="G3026" t="s">
        <v>4584</v>
      </c>
    </row>
    <row r="3027" spans="1:7">
      <c r="A3027" t="s">
        <v>7811</v>
      </c>
      <c r="B3027" t="s">
        <v>7812</v>
      </c>
      <c r="C3027" t="s">
        <v>3977</v>
      </c>
      <c r="D3027" t="s">
        <v>3978</v>
      </c>
      <c r="E3027">
        <v>6</v>
      </c>
      <c r="F3027" s="6">
        <v>50</v>
      </c>
      <c r="G3027" t="s">
        <v>4584</v>
      </c>
    </row>
    <row r="3028" spans="1:7">
      <c r="A3028" t="s">
        <v>1701</v>
      </c>
      <c r="B3028" t="s">
        <v>7813</v>
      </c>
      <c r="C3028" t="s">
        <v>3977</v>
      </c>
      <c r="D3028" t="s">
        <v>3978</v>
      </c>
      <c r="E3028">
        <v>12</v>
      </c>
      <c r="F3028" s="6">
        <v>50</v>
      </c>
      <c r="G3028" t="s">
        <v>3763</v>
      </c>
    </row>
    <row r="3029" spans="1:7">
      <c r="A3029" t="s">
        <v>1473</v>
      </c>
      <c r="B3029" t="s">
        <v>7814</v>
      </c>
      <c r="C3029" t="s">
        <v>3977</v>
      </c>
      <c r="D3029" t="s">
        <v>3978</v>
      </c>
      <c r="E3029">
        <v>12</v>
      </c>
      <c r="F3029" s="6">
        <v>375</v>
      </c>
      <c r="G3029" t="s">
        <v>3763</v>
      </c>
    </row>
    <row r="3030" spans="1:7">
      <c r="A3030" t="s">
        <v>66</v>
      </c>
      <c r="B3030" t="s">
        <v>7814</v>
      </c>
      <c r="C3030" t="s">
        <v>3977</v>
      </c>
      <c r="D3030" t="s">
        <v>3978</v>
      </c>
      <c r="E3030">
        <v>6</v>
      </c>
      <c r="F3030" s="6">
        <v>1000</v>
      </c>
      <c r="G3030" t="s">
        <v>3763</v>
      </c>
    </row>
    <row r="3031" spans="1:7">
      <c r="A3031" t="s">
        <v>3371</v>
      </c>
      <c r="B3031" t="s">
        <v>7814</v>
      </c>
      <c r="C3031" t="s">
        <v>3977</v>
      </c>
      <c r="D3031" t="s">
        <v>3978</v>
      </c>
      <c r="E3031">
        <v>6</v>
      </c>
      <c r="F3031" s="6">
        <v>1750</v>
      </c>
      <c r="G3031" t="s">
        <v>3763</v>
      </c>
    </row>
    <row r="3032" spans="1:7">
      <c r="A3032" t="s">
        <v>998</v>
      </c>
      <c r="B3032" t="s">
        <v>7814</v>
      </c>
      <c r="C3032" t="s">
        <v>3977</v>
      </c>
      <c r="D3032" t="s">
        <v>3978</v>
      </c>
      <c r="E3032">
        <v>12</v>
      </c>
      <c r="F3032" s="6">
        <v>750</v>
      </c>
      <c r="G3032" t="s">
        <v>3763</v>
      </c>
    </row>
    <row r="3033" spans="1:7">
      <c r="A3033" t="s">
        <v>7815</v>
      </c>
      <c r="B3033" t="s">
        <v>7816</v>
      </c>
      <c r="C3033" t="s">
        <v>3977</v>
      </c>
      <c r="D3033" t="s">
        <v>3978</v>
      </c>
      <c r="E3033">
        <v>12</v>
      </c>
      <c r="F3033" s="6">
        <v>375</v>
      </c>
      <c r="G3033" t="s">
        <v>3763</v>
      </c>
    </row>
    <row r="3034" spans="1:7">
      <c r="A3034" t="s">
        <v>3105</v>
      </c>
      <c r="B3034" t="s">
        <v>7816</v>
      </c>
      <c r="C3034" t="s">
        <v>3977</v>
      </c>
      <c r="D3034" t="s">
        <v>3978</v>
      </c>
      <c r="E3034">
        <v>12</v>
      </c>
      <c r="F3034" s="6">
        <v>750</v>
      </c>
      <c r="G3034" t="s">
        <v>3763</v>
      </c>
    </row>
    <row r="3035" spans="1:7">
      <c r="A3035" t="s">
        <v>7817</v>
      </c>
      <c r="B3035" t="s">
        <v>7818</v>
      </c>
      <c r="C3035" t="s">
        <v>3679</v>
      </c>
      <c r="D3035" t="s">
        <v>3680</v>
      </c>
      <c r="E3035">
        <v>12</v>
      </c>
      <c r="F3035" s="6">
        <v>750</v>
      </c>
      <c r="G3035" t="s">
        <v>3763</v>
      </c>
    </row>
    <row r="3036" spans="1:7">
      <c r="A3036" t="s">
        <v>7819</v>
      </c>
      <c r="B3036" t="s">
        <v>7820</v>
      </c>
      <c r="C3036" t="s">
        <v>4071</v>
      </c>
      <c r="D3036" t="s">
        <v>4072</v>
      </c>
      <c r="E3036">
        <v>6</v>
      </c>
      <c r="F3036" s="6">
        <v>750</v>
      </c>
      <c r="G3036" t="s">
        <v>5301</v>
      </c>
    </row>
    <row r="3037" spans="1:7">
      <c r="A3037" t="s">
        <v>7821</v>
      </c>
      <c r="B3037" t="s">
        <v>7822</v>
      </c>
      <c r="C3037" t="s">
        <v>3756</v>
      </c>
      <c r="D3037" t="s">
        <v>3757</v>
      </c>
      <c r="E3037">
        <v>12</v>
      </c>
      <c r="F3037" s="6">
        <v>750</v>
      </c>
      <c r="G3037" t="s">
        <v>5205</v>
      </c>
    </row>
    <row r="3038" spans="1:7">
      <c r="A3038" t="s">
        <v>7823</v>
      </c>
      <c r="B3038" t="s">
        <v>7824</v>
      </c>
      <c r="C3038" t="s">
        <v>3756</v>
      </c>
      <c r="D3038" t="s">
        <v>3757</v>
      </c>
      <c r="E3038">
        <v>12</v>
      </c>
      <c r="F3038" s="6">
        <v>750</v>
      </c>
      <c r="G3038" t="s">
        <v>5205</v>
      </c>
    </row>
    <row r="3039" spans="1:7">
      <c r="A3039" t="s">
        <v>7825</v>
      </c>
      <c r="B3039" t="s">
        <v>7826</v>
      </c>
      <c r="C3039" t="s">
        <v>3756</v>
      </c>
      <c r="D3039" t="s">
        <v>3757</v>
      </c>
      <c r="E3039">
        <v>12</v>
      </c>
      <c r="F3039" s="6">
        <v>750</v>
      </c>
      <c r="G3039" t="s">
        <v>5205</v>
      </c>
    </row>
    <row r="3040" spans="1:7">
      <c r="A3040" t="s">
        <v>7827</v>
      </c>
      <c r="B3040" t="s">
        <v>7828</v>
      </c>
      <c r="C3040" t="s">
        <v>4071</v>
      </c>
      <c r="D3040" t="s">
        <v>4072</v>
      </c>
      <c r="E3040">
        <v>6</v>
      </c>
      <c r="F3040" s="6">
        <v>750</v>
      </c>
      <c r="G3040" t="s">
        <v>5301</v>
      </c>
    </row>
    <row r="3041" spans="1:7">
      <c r="A3041" t="s">
        <v>1914</v>
      </c>
      <c r="B3041" t="s">
        <v>7829</v>
      </c>
      <c r="C3041" t="s">
        <v>3721</v>
      </c>
      <c r="D3041" t="s">
        <v>3722</v>
      </c>
      <c r="E3041">
        <v>12</v>
      </c>
      <c r="F3041" s="6">
        <v>750</v>
      </c>
      <c r="G3041" t="s">
        <v>3730</v>
      </c>
    </row>
    <row r="3042" spans="1:7">
      <c r="A3042" t="s">
        <v>7830</v>
      </c>
      <c r="B3042" t="s">
        <v>7831</v>
      </c>
      <c r="C3042" t="s">
        <v>3708</v>
      </c>
      <c r="D3042" t="s">
        <v>3709</v>
      </c>
      <c r="E3042">
        <v>6</v>
      </c>
      <c r="F3042" s="6">
        <v>750</v>
      </c>
      <c r="G3042" t="s">
        <v>4781</v>
      </c>
    </row>
    <row r="3043" spans="1:7">
      <c r="A3043" t="s">
        <v>7832</v>
      </c>
      <c r="B3043" t="s">
        <v>7833</v>
      </c>
      <c r="C3043" t="s">
        <v>3708</v>
      </c>
      <c r="D3043" t="s">
        <v>3709</v>
      </c>
      <c r="E3043">
        <v>6</v>
      </c>
      <c r="F3043" s="6">
        <v>750</v>
      </c>
      <c r="G3043" t="s">
        <v>4781</v>
      </c>
    </row>
    <row r="3044" spans="1:7">
      <c r="A3044" t="s">
        <v>1006</v>
      </c>
      <c r="B3044" t="s">
        <v>7834</v>
      </c>
      <c r="C3044" t="s">
        <v>7486</v>
      </c>
      <c r="D3044" t="s">
        <v>7487</v>
      </c>
      <c r="E3044">
        <v>12</v>
      </c>
      <c r="F3044" s="6">
        <v>750</v>
      </c>
      <c r="G3044" t="s">
        <v>3686</v>
      </c>
    </row>
    <row r="3045" spans="1:7">
      <c r="A3045" t="s">
        <v>7835</v>
      </c>
      <c r="B3045" t="s">
        <v>7836</v>
      </c>
      <c r="C3045" t="s">
        <v>4474</v>
      </c>
      <c r="D3045" t="s">
        <v>4475</v>
      </c>
      <c r="E3045">
        <v>12</v>
      </c>
      <c r="F3045" s="6">
        <v>750</v>
      </c>
      <c r="G3045" t="s">
        <v>5317</v>
      </c>
    </row>
    <row r="3046" spans="1:7">
      <c r="A3046" t="s">
        <v>7837</v>
      </c>
      <c r="B3046" t="s">
        <v>7838</v>
      </c>
      <c r="C3046" t="s">
        <v>4632</v>
      </c>
      <c r="D3046" t="s">
        <v>4633</v>
      </c>
      <c r="E3046">
        <v>6</v>
      </c>
      <c r="F3046" s="6">
        <v>1750</v>
      </c>
      <c r="G3046" t="s">
        <v>4300</v>
      </c>
    </row>
    <row r="3047" spans="1:7">
      <c r="A3047" t="s">
        <v>2093</v>
      </c>
      <c r="B3047" t="s">
        <v>7839</v>
      </c>
      <c r="C3047" t="s">
        <v>4052</v>
      </c>
      <c r="D3047" t="s">
        <v>4053</v>
      </c>
      <c r="E3047">
        <v>12</v>
      </c>
      <c r="F3047" s="6">
        <v>750</v>
      </c>
      <c r="G3047" t="s">
        <v>3730</v>
      </c>
    </row>
    <row r="3048" spans="1:7">
      <c r="A3048" t="s">
        <v>7840</v>
      </c>
      <c r="B3048" t="s">
        <v>7841</v>
      </c>
      <c r="C3048" t="s">
        <v>6442</v>
      </c>
      <c r="D3048" t="s">
        <v>6443</v>
      </c>
      <c r="E3048">
        <v>20</v>
      </c>
      <c r="F3048" s="6">
        <v>375</v>
      </c>
      <c r="G3048" t="s">
        <v>4068</v>
      </c>
    </row>
    <row r="3049" spans="1:7">
      <c r="A3049" t="s">
        <v>3560</v>
      </c>
      <c r="B3049" t="s">
        <v>7842</v>
      </c>
      <c r="C3049" t="s">
        <v>6442</v>
      </c>
      <c r="D3049" t="s">
        <v>6443</v>
      </c>
      <c r="E3049">
        <v>20</v>
      </c>
      <c r="F3049" s="6">
        <v>375</v>
      </c>
      <c r="G3049" t="s">
        <v>4068</v>
      </c>
    </row>
    <row r="3050" spans="1:7">
      <c r="A3050" t="s">
        <v>7843</v>
      </c>
      <c r="B3050" t="s">
        <v>7844</v>
      </c>
      <c r="C3050" t="s">
        <v>6442</v>
      </c>
      <c r="D3050" t="s">
        <v>6443</v>
      </c>
      <c r="E3050">
        <v>20</v>
      </c>
      <c r="F3050" s="6">
        <v>375</v>
      </c>
      <c r="G3050" t="s">
        <v>4068</v>
      </c>
    </row>
    <row r="3051" spans="1:7">
      <c r="A3051" t="s">
        <v>573</v>
      </c>
      <c r="B3051" t="s">
        <v>7845</v>
      </c>
      <c r="C3051" t="s">
        <v>6442</v>
      </c>
      <c r="D3051" t="s">
        <v>6443</v>
      </c>
      <c r="E3051">
        <v>20</v>
      </c>
      <c r="F3051" s="6">
        <v>375</v>
      </c>
      <c r="G3051" t="s">
        <v>4068</v>
      </c>
    </row>
    <row r="3052" spans="1:7">
      <c r="A3052" t="s">
        <v>7846</v>
      </c>
      <c r="B3052" t="s">
        <v>7847</v>
      </c>
      <c r="C3052" t="s">
        <v>6442</v>
      </c>
      <c r="D3052" t="s">
        <v>6443</v>
      </c>
      <c r="E3052">
        <v>20</v>
      </c>
      <c r="F3052" s="6">
        <v>375</v>
      </c>
      <c r="G3052" t="s">
        <v>4068</v>
      </c>
    </row>
    <row r="3053" spans="1:7">
      <c r="A3053" t="s">
        <v>7848</v>
      </c>
      <c r="B3053" t="s">
        <v>7849</v>
      </c>
      <c r="C3053" t="s">
        <v>6442</v>
      </c>
      <c r="D3053" t="s">
        <v>6443</v>
      </c>
      <c r="E3053">
        <v>20</v>
      </c>
      <c r="F3053" s="6">
        <v>375</v>
      </c>
      <c r="G3053" t="s">
        <v>4068</v>
      </c>
    </row>
    <row r="3054" spans="1:7">
      <c r="A3054" t="s">
        <v>7850</v>
      </c>
      <c r="B3054" t="s">
        <v>7851</v>
      </c>
      <c r="C3054" t="s">
        <v>6442</v>
      </c>
      <c r="D3054" t="s">
        <v>6443</v>
      </c>
      <c r="E3054">
        <v>20</v>
      </c>
      <c r="F3054" s="6">
        <v>375</v>
      </c>
      <c r="G3054" t="s">
        <v>4068</v>
      </c>
    </row>
    <row r="3055" spans="1:7">
      <c r="A3055" t="s">
        <v>7852</v>
      </c>
      <c r="B3055" t="s">
        <v>7853</v>
      </c>
      <c r="C3055" t="s">
        <v>6442</v>
      </c>
      <c r="D3055" t="s">
        <v>6443</v>
      </c>
      <c r="E3055">
        <v>20</v>
      </c>
      <c r="F3055" s="6">
        <v>375</v>
      </c>
      <c r="G3055" t="s">
        <v>4068</v>
      </c>
    </row>
    <row r="3056" spans="1:7">
      <c r="A3056" t="s">
        <v>7854</v>
      </c>
      <c r="B3056" t="s">
        <v>7855</v>
      </c>
      <c r="C3056" t="s">
        <v>6442</v>
      </c>
      <c r="D3056" t="s">
        <v>6443</v>
      </c>
      <c r="E3056">
        <v>20</v>
      </c>
      <c r="F3056" s="6">
        <v>375</v>
      </c>
      <c r="G3056" t="s">
        <v>4068</v>
      </c>
    </row>
    <row r="3057" spans="1:7">
      <c r="A3057" t="s">
        <v>1897</v>
      </c>
      <c r="B3057" t="s">
        <v>7856</v>
      </c>
      <c r="C3057" t="s">
        <v>6442</v>
      </c>
      <c r="D3057" t="s">
        <v>6443</v>
      </c>
      <c r="E3057">
        <v>20</v>
      </c>
      <c r="F3057" s="6">
        <v>375</v>
      </c>
      <c r="G3057" t="s">
        <v>4068</v>
      </c>
    </row>
    <row r="3058" spans="1:7">
      <c r="A3058" t="s">
        <v>1140</v>
      </c>
      <c r="B3058" t="s">
        <v>7857</v>
      </c>
      <c r="C3058" t="s">
        <v>3783</v>
      </c>
      <c r="D3058" t="s">
        <v>3784</v>
      </c>
      <c r="E3058">
        <v>12</v>
      </c>
      <c r="F3058" s="6">
        <v>750</v>
      </c>
      <c r="G3058" t="s">
        <v>3716</v>
      </c>
    </row>
    <row r="3059" spans="1:7">
      <c r="A3059" t="s">
        <v>376</v>
      </c>
      <c r="B3059" t="s">
        <v>7858</v>
      </c>
      <c r="C3059" t="s">
        <v>3783</v>
      </c>
      <c r="D3059" t="s">
        <v>3784</v>
      </c>
      <c r="E3059">
        <v>12</v>
      </c>
      <c r="F3059" s="6">
        <v>1000</v>
      </c>
      <c r="G3059" t="s">
        <v>3716</v>
      </c>
    </row>
    <row r="3060" spans="1:7">
      <c r="A3060" t="s">
        <v>7859</v>
      </c>
      <c r="B3060" t="s">
        <v>7860</v>
      </c>
      <c r="C3060" t="s">
        <v>3756</v>
      </c>
      <c r="D3060" t="s">
        <v>3757</v>
      </c>
      <c r="E3060">
        <v>12</v>
      </c>
      <c r="F3060" s="6">
        <v>750</v>
      </c>
      <c r="G3060" t="s">
        <v>3716</v>
      </c>
    </row>
    <row r="3061" spans="1:7">
      <c r="A3061" t="s">
        <v>7861</v>
      </c>
      <c r="B3061" t="s">
        <v>7862</v>
      </c>
      <c r="C3061" t="s">
        <v>3928</v>
      </c>
      <c r="D3061" t="s">
        <v>3929</v>
      </c>
      <c r="E3061">
        <v>6</v>
      </c>
      <c r="F3061" s="6">
        <v>750</v>
      </c>
      <c r="G3061" t="s">
        <v>4163</v>
      </c>
    </row>
    <row r="3062" spans="1:7">
      <c r="A3062" t="s">
        <v>7863</v>
      </c>
      <c r="B3062" t="s">
        <v>7864</v>
      </c>
      <c r="C3062" t="s">
        <v>3928</v>
      </c>
      <c r="D3062" t="s">
        <v>3929</v>
      </c>
      <c r="E3062">
        <v>6</v>
      </c>
      <c r="F3062" s="6">
        <v>750</v>
      </c>
      <c r="G3062" t="s">
        <v>4163</v>
      </c>
    </row>
    <row r="3063" spans="1:7">
      <c r="A3063" t="s">
        <v>2707</v>
      </c>
      <c r="B3063" t="s">
        <v>7865</v>
      </c>
      <c r="C3063" t="s">
        <v>3808</v>
      </c>
      <c r="D3063" t="s">
        <v>3809</v>
      </c>
      <c r="E3063">
        <v>12</v>
      </c>
      <c r="F3063" s="6">
        <v>750</v>
      </c>
      <c r="G3063" t="s">
        <v>4509</v>
      </c>
    </row>
    <row r="3064" spans="1:7">
      <c r="A3064" t="s">
        <v>1331</v>
      </c>
      <c r="B3064" t="s">
        <v>7866</v>
      </c>
      <c r="C3064" t="s">
        <v>3808</v>
      </c>
      <c r="D3064" t="s">
        <v>3809</v>
      </c>
      <c r="E3064">
        <v>12</v>
      </c>
      <c r="F3064" s="6">
        <v>50</v>
      </c>
      <c r="G3064" t="s">
        <v>4509</v>
      </c>
    </row>
    <row r="3065" spans="1:7">
      <c r="A3065" t="s">
        <v>1827</v>
      </c>
      <c r="B3065" t="s">
        <v>7867</v>
      </c>
      <c r="C3065" t="s">
        <v>3708</v>
      </c>
      <c r="D3065" t="s">
        <v>3709</v>
      </c>
      <c r="E3065">
        <v>6</v>
      </c>
      <c r="F3065" s="6">
        <v>750</v>
      </c>
      <c r="G3065" t="s">
        <v>4073</v>
      </c>
    </row>
    <row r="3066" spans="1:7">
      <c r="A3066" t="s">
        <v>7868</v>
      </c>
      <c r="B3066" t="s">
        <v>7869</v>
      </c>
      <c r="C3066" t="s">
        <v>4071</v>
      </c>
      <c r="D3066" t="s">
        <v>4072</v>
      </c>
      <c r="E3066">
        <v>12</v>
      </c>
      <c r="F3066" s="6">
        <v>750</v>
      </c>
      <c r="G3066" t="s">
        <v>4073</v>
      </c>
    </row>
    <row r="3067" spans="1:7">
      <c r="A3067" t="s">
        <v>474</v>
      </c>
      <c r="B3067" t="s">
        <v>7870</v>
      </c>
      <c r="C3067" t="s">
        <v>3928</v>
      </c>
      <c r="D3067" t="s">
        <v>3929</v>
      </c>
      <c r="E3067">
        <v>6</v>
      </c>
      <c r="F3067" s="6">
        <v>750</v>
      </c>
      <c r="G3067" t="s">
        <v>4163</v>
      </c>
    </row>
    <row r="3068" spans="1:7">
      <c r="A3068" t="s">
        <v>7871</v>
      </c>
      <c r="B3068" t="s">
        <v>7872</v>
      </c>
      <c r="C3068" t="s">
        <v>6442</v>
      </c>
      <c r="D3068" t="s">
        <v>6443</v>
      </c>
      <c r="E3068">
        <v>6</v>
      </c>
      <c r="F3068" s="6">
        <v>750</v>
      </c>
      <c r="G3068" t="s">
        <v>5612</v>
      </c>
    </row>
    <row r="3069" spans="1:7">
      <c r="A3069" t="s">
        <v>2953</v>
      </c>
      <c r="B3069" t="s">
        <v>7873</v>
      </c>
      <c r="C3069" t="s">
        <v>3756</v>
      </c>
      <c r="D3069" t="s">
        <v>3757</v>
      </c>
      <c r="E3069">
        <v>12</v>
      </c>
      <c r="F3069" s="6">
        <v>750</v>
      </c>
      <c r="G3069" t="s">
        <v>3931</v>
      </c>
    </row>
    <row r="3070" spans="1:7">
      <c r="A3070" t="s">
        <v>7874</v>
      </c>
      <c r="B3070" t="s">
        <v>7875</v>
      </c>
      <c r="C3070" t="s">
        <v>3708</v>
      </c>
      <c r="D3070" t="s">
        <v>3709</v>
      </c>
      <c r="E3070">
        <v>8</v>
      </c>
      <c r="F3070" s="6">
        <v>50</v>
      </c>
      <c r="G3070" t="s">
        <v>3931</v>
      </c>
    </row>
    <row r="3071" spans="1:7">
      <c r="A3071" t="s">
        <v>3430</v>
      </c>
      <c r="B3071" t="s">
        <v>7876</v>
      </c>
      <c r="C3071" t="s">
        <v>3756</v>
      </c>
      <c r="D3071" t="s">
        <v>3757</v>
      </c>
      <c r="E3071">
        <v>12</v>
      </c>
      <c r="F3071" s="6">
        <v>750</v>
      </c>
      <c r="G3071" t="s">
        <v>3931</v>
      </c>
    </row>
    <row r="3072" spans="1:7">
      <c r="A3072" t="s">
        <v>1238</v>
      </c>
      <c r="B3072" t="s">
        <v>7877</v>
      </c>
      <c r="C3072" t="s">
        <v>3679</v>
      </c>
      <c r="D3072" t="s">
        <v>3680</v>
      </c>
      <c r="E3072">
        <v>12</v>
      </c>
      <c r="F3072" s="6">
        <v>750</v>
      </c>
      <c r="G3072" t="s">
        <v>3931</v>
      </c>
    </row>
    <row r="3073" spans="1:7">
      <c r="A3073" t="s">
        <v>2671</v>
      </c>
      <c r="B3073" t="s">
        <v>7878</v>
      </c>
      <c r="C3073" t="s">
        <v>3756</v>
      </c>
      <c r="D3073" t="s">
        <v>3757</v>
      </c>
      <c r="E3073">
        <v>8</v>
      </c>
      <c r="F3073" s="6">
        <v>50</v>
      </c>
      <c r="G3073" t="s">
        <v>3931</v>
      </c>
    </row>
    <row r="3074" spans="1:7">
      <c r="A3074" t="s">
        <v>526</v>
      </c>
      <c r="B3074" t="s">
        <v>7879</v>
      </c>
      <c r="C3074" t="s">
        <v>3756</v>
      </c>
      <c r="D3074" t="s">
        <v>3757</v>
      </c>
      <c r="E3074">
        <v>12</v>
      </c>
      <c r="F3074" s="6">
        <v>750</v>
      </c>
      <c r="G3074" t="s">
        <v>3931</v>
      </c>
    </row>
    <row r="3075" spans="1:7">
      <c r="A3075" t="s">
        <v>2282</v>
      </c>
      <c r="B3075" t="s">
        <v>7880</v>
      </c>
      <c r="C3075" t="s">
        <v>3756</v>
      </c>
      <c r="D3075" t="s">
        <v>3757</v>
      </c>
      <c r="E3075">
        <v>12</v>
      </c>
      <c r="F3075" s="6">
        <v>750</v>
      </c>
      <c r="G3075" t="s">
        <v>3931</v>
      </c>
    </row>
    <row r="3076" spans="1:7">
      <c r="A3076" t="s">
        <v>7881</v>
      </c>
      <c r="B3076" t="s">
        <v>7882</v>
      </c>
      <c r="C3076" t="s">
        <v>4591</v>
      </c>
      <c r="D3076" t="s">
        <v>4592</v>
      </c>
      <c r="E3076">
        <v>24</v>
      </c>
      <c r="F3076" s="6">
        <v>375</v>
      </c>
      <c r="G3076" t="s">
        <v>3763</v>
      </c>
    </row>
    <row r="3077" spans="1:7">
      <c r="A3077" t="s">
        <v>3520</v>
      </c>
      <c r="B3077" t="s">
        <v>7882</v>
      </c>
      <c r="C3077" t="s">
        <v>4591</v>
      </c>
      <c r="D3077" t="s">
        <v>4592</v>
      </c>
      <c r="E3077">
        <v>12</v>
      </c>
      <c r="F3077" s="6">
        <v>750</v>
      </c>
      <c r="G3077" t="s">
        <v>3763</v>
      </c>
    </row>
    <row r="3078" spans="1:7">
      <c r="A3078" t="s">
        <v>698</v>
      </c>
      <c r="B3078" t="s">
        <v>7883</v>
      </c>
      <c r="C3078" t="s">
        <v>4591</v>
      </c>
      <c r="D3078" t="s">
        <v>4592</v>
      </c>
      <c r="E3078">
        <v>12</v>
      </c>
      <c r="F3078" s="6">
        <v>750</v>
      </c>
      <c r="G3078" t="s">
        <v>3763</v>
      </c>
    </row>
    <row r="3079" spans="1:7">
      <c r="A3079" t="s">
        <v>1669</v>
      </c>
      <c r="B3079" t="s">
        <v>7884</v>
      </c>
      <c r="C3079" t="s">
        <v>4591</v>
      </c>
      <c r="D3079" t="s">
        <v>4592</v>
      </c>
      <c r="E3079">
        <v>12</v>
      </c>
      <c r="F3079" s="6">
        <v>750</v>
      </c>
      <c r="G3079" t="s">
        <v>3763</v>
      </c>
    </row>
    <row r="3080" spans="1:7">
      <c r="A3080" t="s">
        <v>7885</v>
      </c>
      <c r="B3080" t="s">
        <v>7886</v>
      </c>
      <c r="C3080" t="s">
        <v>3700</v>
      </c>
      <c r="D3080" t="s">
        <v>3701</v>
      </c>
      <c r="E3080">
        <v>6</v>
      </c>
      <c r="F3080" s="6">
        <v>1750</v>
      </c>
      <c r="G3080" t="s">
        <v>3763</v>
      </c>
    </row>
    <row r="3081" spans="1:7">
      <c r="A3081" t="s">
        <v>7887</v>
      </c>
      <c r="B3081" t="s">
        <v>7888</v>
      </c>
      <c r="C3081" t="s">
        <v>6442</v>
      </c>
      <c r="D3081" t="s">
        <v>6443</v>
      </c>
      <c r="E3081">
        <v>6</v>
      </c>
      <c r="F3081" s="6">
        <v>750</v>
      </c>
      <c r="G3081" t="s">
        <v>5612</v>
      </c>
    </row>
    <row r="3082" spans="1:7">
      <c r="A3082" t="s">
        <v>7889</v>
      </c>
      <c r="B3082" t="s">
        <v>7421</v>
      </c>
      <c r="C3082" t="s">
        <v>3684</v>
      </c>
      <c r="D3082" t="s">
        <v>3685</v>
      </c>
      <c r="E3082">
        <v>24</v>
      </c>
      <c r="F3082" s="6">
        <v>375</v>
      </c>
      <c r="G3082" t="s">
        <v>3730</v>
      </c>
    </row>
    <row r="3083" spans="1:7">
      <c r="A3083" t="s">
        <v>7890</v>
      </c>
      <c r="B3083" t="s">
        <v>7891</v>
      </c>
      <c r="C3083" t="s">
        <v>5653</v>
      </c>
      <c r="D3083" t="s">
        <v>5654</v>
      </c>
      <c r="E3083">
        <v>6</v>
      </c>
      <c r="F3083" s="6">
        <v>750</v>
      </c>
      <c r="G3083" t="s">
        <v>4509</v>
      </c>
    </row>
    <row r="3084" spans="1:7">
      <c r="A3084" t="s">
        <v>7892</v>
      </c>
      <c r="B3084" t="s">
        <v>5652</v>
      </c>
      <c r="C3084" t="s">
        <v>5653</v>
      </c>
      <c r="D3084" t="s">
        <v>5654</v>
      </c>
      <c r="E3084">
        <v>6</v>
      </c>
      <c r="F3084" s="6">
        <v>1750</v>
      </c>
      <c r="G3084" t="s">
        <v>4509</v>
      </c>
    </row>
    <row r="3085" spans="1:7">
      <c r="A3085" t="s">
        <v>7893</v>
      </c>
      <c r="B3085" t="s">
        <v>7894</v>
      </c>
      <c r="C3085" t="s">
        <v>3679</v>
      </c>
      <c r="D3085" t="s">
        <v>3680</v>
      </c>
      <c r="E3085">
        <v>6</v>
      </c>
      <c r="F3085" s="6">
        <v>750</v>
      </c>
      <c r="G3085" t="s">
        <v>4182</v>
      </c>
    </row>
    <row r="3086" spans="1:7">
      <c r="A3086" t="s">
        <v>7895</v>
      </c>
      <c r="B3086" t="s">
        <v>7896</v>
      </c>
      <c r="C3086" t="s">
        <v>4170</v>
      </c>
      <c r="D3086" t="s">
        <v>4171</v>
      </c>
      <c r="E3086">
        <v>6</v>
      </c>
      <c r="F3086" s="6">
        <v>700</v>
      </c>
      <c r="G3086" t="s">
        <v>5701</v>
      </c>
    </row>
    <row r="3087" spans="1:7">
      <c r="A3087" t="s">
        <v>7897</v>
      </c>
      <c r="B3087" t="s">
        <v>7898</v>
      </c>
      <c r="C3087" t="s">
        <v>5653</v>
      </c>
      <c r="D3087" t="s">
        <v>5654</v>
      </c>
      <c r="E3087">
        <v>6</v>
      </c>
      <c r="F3087" s="6">
        <v>750</v>
      </c>
      <c r="G3087" t="s">
        <v>4509</v>
      </c>
    </row>
    <row r="3088" spans="1:7">
      <c r="A3088" t="s">
        <v>707</v>
      </c>
      <c r="B3088" t="s">
        <v>7899</v>
      </c>
      <c r="C3088" t="s">
        <v>3756</v>
      </c>
      <c r="D3088" t="s">
        <v>3757</v>
      </c>
      <c r="E3088">
        <v>12</v>
      </c>
      <c r="F3088" s="6">
        <v>750</v>
      </c>
      <c r="G3088" t="s">
        <v>3686</v>
      </c>
    </row>
    <row r="3089" spans="1:7">
      <c r="A3089" t="s">
        <v>7900</v>
      </c>
      <c r="B3089" t="s">
        <v>7901</v>
      </c>
      <c r="C3089" t="s">
        <v>3756</v>
      </c>
      <c r="D3089" t="s">
        <v>3757</v>
      </c>
      <c r="E3089">
        <v>12</v>
      </c>
      <c r="F3089" s="6">
        <v>750</v>
      </c>
      <c r="G3089" t="s">
        <v>3686</v>
      </c>
    </row>
    <row r="3090" spans="1:7">
      <c r="A3090" t="s">
        <v>1192</v>
      </c>
      <c r="B3090" t="s">
        <v>7902</v>
      </c>
      <c r="C3090" t="s">
        <v>3756</v>
      </c>
      <c r="D3090" t="s">
        <v>3757</v>
      </c>
      <c r="E3090">
        <v>12</v>
      </c>
      <c r="F3090" s="6">
        <v>750</v>
      </c>
      <c r="G3090" t="s">
        <v>3686</v>
      </c>
    </row>
    <row r="3091" spans="1:7">
      <c r="A3091" t="s">
        <v>7903</v>
      </c>
      <c r="B3091" t="s">
        <v>7904</v>
      </c>
      <c r="C3091" t="s">
        <v>3679</v>
      </c>
      <c r="D3091" t="s">
        <v>3680</v>
      </c>
      <c r="E3091">
        <v>6</v>
      </c>
      <c r="F3091" s="6">
        <v>750</v>
      </c>
      <c r="G3091" t="s">
        <v>5030</v>
      </c>
    </row>
    <row r="3092" spans="1:7">
      <c r="A3092" t="s">
        <v>7905</v>
      </c>
      <c r="B3092" t="s">
        <v>7906</v>
      </c>
      <c r="C3092" t="s">
        <v>3756</v>
      </c>
      <c r="D3092" t="s">
        <v>3757</v>
      </c>
      <c r="E3092">
        <v>12</v>
      </c>
      <c r="F3092" s="6">
        <v>750</v>
      </c>
      <c r="G3092" t="s">
        <v>3686</v>
      </c>
    </row>
    <row r="3093" spans="1:7">
      <c r="A3093" t="s">
        <v>3437</v>
      </c>
      <c r="B3093" t="s">
        <v>7907</v>
      </c>
      <c r="C3093" t="s">
        <v>4474</v>
      </c>
      <c r="D3093" t="s">
        <v>4475</v>
      </c>
      <c r="E3093">
        <v>12</v>
      </c>
      <c r="F3093" s="6">
        <v>750</v>
      </c>
      <c r="G3093" t="s">
        <v>7756</v>
      </c>
    </row>
    <row r="3094" spans="1:7">
      <c r="A3094" t="s">
        <v>1845</v>
      </c>
      <c r="B3094" t="s">
        <v>7908</v>
      </c>
      <c r="C3094" t="s">
        <v>3708</v>
      </c>
      <c r="D3094" t="s">
        <v>3709</v>
      </c>
      <c r="E3094">
        <v>6</v>
      </c>
      <c r="F3094" s="6">
        <v>750</v>
      </c>
      <c r="G3094" t="s">
        <v>5198</v>
      </c>
    </row>
    <row r="3095" spans="1:7">
      <c r="A3095" t="s">
        <v>7909</v>
      </c>
      <c r="B3095" t="s">
        <v>7910</v>
      </c>
      <c r="C3095" t="s">
        <v>3808</v>
      </c>
      <c r="D3095" t="s">
        <v>3809</v>
      </c>
      <c r="E3095">
        <v>6</v>
      </c>
      <c r="F3095" s="6">
        <v>750</v>
      </c>
      <c r="G3095" t="s">
        <v>7911</v>
      </c>
    </row>
    <row r="3096" spans="1:7">
      <c r="A3096" t="s">
        <v>7912</v>
      </c>
      <c r="B3096" t="s">
        <v>7913</v>
      </c>
      <c r="C3096" t="s">
        <v>3679</v>
      </c>
      <c r="D3096" t="s">
        <v>3680</v>
      </c>
      <c r="E3096">
        <v>12</v>
      </c>
      <c r="F3096" s="6">
        <v>750</v>
      </c>
      <c r="G3096" t="s">
        <v>3694</v>
      </c>
    </row>
    <row r="3097" spans="1:7">
      <c r="A3097" t="s">
        <v>522</v>
      </c>
      <c r="B3097" t="s">
        <v>7914</v>
      </c>
      <c r="C3097" t="s">
        <v>4455</v>
      </c>
      <c r="D3097" t="s">
        <v>4456</v>
      </c>
      <c r="E3097">
        <v>12</v>
      </c>
      <c r="F3097" s="6">
        <v>750</v>
      </c>
      <c r="G3097" t="s">
        <v>3694</v>
      </c>
    </row>
    <row r="3098" spans="1:7">
      <c r="A3098" t="s">
        <v>2611</v>
      </c>
      <c r="B3098" t="s">
        <v>7914</v>
      </c>
      <c r="C3098" t="s">
        <v>4455</v>
      </c>
      <c r="D3098" t="s">
        <v>4456</v>
      </c>
      <c r="E3098">
        <v>12</v>
      </c>
      <c r="F3098" s="6">
        <v>1000</v>
      </c>
      <c r="G3098" t="s">
        <v>3694</v>
      </c>
    </row>
    <row r="3099" spans="1:7">
      <c r="A3099" t="s">
        <v>3331</v>
      </c>
      <c r="B3099" t="s">
        <v>7915</v>
      </c>
      <c r="C3099" t="s">
        <v>4455</v>
      </c>
      <c r="D3099" t="s">
        <v>4456</v>
      </c>
      <c r="E3099">
        <v>12</v>
      </c>
      <c r="F3099" s="6">
        <v>50</v>
      </c>
      <c r="G3099" t="s">
        <v>3694</v>
      </c>
    </row>
    <row r="3100" spans="1:7">
      <c r="A3100" t="s">
        <v>1881</v>
      </c>
      <c r="B3100" t="s">
        <v>7914</v>
      </c>
      <c r="C3100" t="s">
        <v>4455</v>
      </c>
      <c r="D3100" t="s">
        <v>4456</v>
      </c>
      <c r="E3100">
        <v>24</v>
      </c>
      <c r="F3100" s="6">
        <v>375</v>
      </c>
      <c r="G3100" t="s">
        <v>3694</v>
      </c>
    </row>
    <row r="3101" spans="1:7">
      <c r="A3101" t="s">
        <v>179</v>
      </c>
      <c r="B3101" t="s">
        <v>7914</v>
      </c>
      <c r="C3101" t="s">
        <v>4455</v>
      </c>
      <c r="D3101" t="s">
        <v>4456</v>
      </c>
      <c r="E3101">
        <v>6</v>
      </c>
      <c r="F3101" s="6">
        <v>1750</v>
      </c>
      <c r="G3101" t="s">
        <v>3694</v>
      </c>
    </row>
    <row r="3102" spans="1:7">
      <c r="A3102" t="s">
        <v>7916</v>
      </c>
      <c r="B3102" t="s">
        <v>7917</v>
      </c>
      <c r="C3102" t="s">
        <v>4071</v>
      </c>
      <c r="D3102" t="s">
        <v>4072</v>
      </c>
      <c r="E3102">
        <v>6</v>
      </c>
      <c r="F3102" s="6">
        <v>750</v>
      </c>
      <c r="G3102" t="s">
        <v>6056</v>
      </c>
    </row>
    <row r="3103" spans="1:7">
      <c r="A3103" t="s">
        <v>2899</v>
      </c>
      <c r="B3103" t="s">
        <v>7918</v>
      </c>
      <c r="C3103" t="s">
        <v>4071</v>
      </c>
      <c r="D3103" t="s">
        <v>4072</v>
      </c>
      <c r="E3103">
        <v>6</v>
      </c>
      <c r="F3103" s="6">
        <v>750</v>
      </c>
      <c r="G3103" t="s">
        <v>6056</v>
      </c>
    </row>
    <row r="3104" spans="1:7">
      <c r="A3104" t="s">
        <v>7919</v>
      </c>
      <c r="B3104" t="s">
        <v>7920</v>
      </c>
      <c r="C3104" t="s">
        <v>7486</v>
      </c>
      <c r="D3104" t="s">
        <v>7487</v>
      </c>
      <c r="E3104">
        <v>6</v>
      </c>
      <c r="F3104" s="6">
        <v>750</v>
      </c>
      <c r="G3104" t="s">
        <v>5475</v>
      </c>
    </row>
    <row r="3105" spans="1:7">
      <c r="A3105" t="s">
        <v>2459</v>
      </c>
      <c r="B3105" t="s">
        <v>7921</v>
      </c>
      <c r="C3105" t="s">
        <v>4071</v>
      </c>
      <c r="D3105" t="s">
        <v>4072</v>
      </c>
      <c r="E3105">
        <v>6</v>
      </c>
      <c r="F3105" s="6">
        <v>750</v>
      </c>
      <c r="G3105" t="s">
        <v>6056</v>
      </c>
    </row>
    <row r="3106" spans="1:7">
      <c r="A3106" t="s">
        <v>7922</v>
      </c>
      <c r="B3106" t="s">
        <v>7923</v>
      </c>
      <c r="C3106" t="s">
        <v>3679</v>
      </c>
      <c r="D3106" t="s">
        <v>3680</v>
      </c>
      <c r="E3106">
        <v>6</v>
      </c>
      <c r="F3106" s="6">
        <v>750</v>
      </c>
      <c r="G3106" t="s">
        <v>3871</v>
      </c>
    </row>
    <row r="3107" spans="1:7">
      <c r="A3107" t="s">
        <v>899</v>
      </c>
      <c r="B3107" t="s">
        <v>7924</v>
      </c>
      <c r="C3107" t="s">
        <v>3756</v>
      </c>
      <c r="D3107" t="s">
        <v>3757</v>
      </c>
      <c r="E3107">
        <v>12</v>
      </c>
      <c r="F3107" s="6">
        <v>750</v>
      </c>
      <c r="G3107" t="s">
        <v>7925</v>
      </c>
    </row>
    <row r="3108" spans="1:7">
      <c r="A3108" t="s">
        <v>1052</v>
      </c>
      <c r="B3108" t="s">
        <v>7926</v>
      </c>
      <c r="C3108" t="s">
        <v>6442</v>
      </c>
      <c r="D3108" t="s">
        <v>6443</v>
      </c>
      <c r="E3108">
        <v>12</v>
      </c>
      <c r="F3108" s="6">
        <v>1000</v>
      </c>
      <c r="G3108" t="s">
        <v>4163</v>
      </c>
    </row>
    <row r="3109" spans="1:7">
      <c r="A3109" t="s">
        <v>7927</v>
      </c>
      <c r="B3109" t="s">
        <v>7928</v>
      </c>
      <c r="C3109" t="s">
        <v>4093</v>
      </c>
      <c r="D3109" t="s">
        <v>4094</v>
      </c>
      <c r="E3109">
        <v>1</v>
      </c>
      <c r="F3109" s="6">
        <v>50</v>
      </c>
      <c r="G3109" t="s">
        <v>4095</v>
      </c>
    </row>
    <row r="3110" spans="1:7">
      <c r="A3110" t="s">
        <v>7929</v>
      </c>
      <c r="B3110" t="s">
        <v>7930</v>
      </c>
      <c r="C3110" t="s">
        <v>4093</v>
      </c>
      <c r="D3110" t="s">
        <v>4094</v>
      </c>
      <c r="E3110">
        <v>1</v>
      </c>
      <c r="F3110" s="6">
        <v>50</v>
      </c>
      <c r="G3110" t="s">
        <v>4095</v>
      </c>
    </row>
    <row r="3111" spans="1:7">
      <c r="A3111" t="s">
        <v>7931</v>
      </c>
      <c r="B3111" t="s">
        <v>7932</v>
      </c>
      <c r="C3111" t="s">
        <v>4093</v>
      </c>
      <c r="D3111" t="s">
        <v>4094</v>
      </c>
      <c r="E3111">
        <v>1</v>
      </c>
      <c r="F3111" s="6">
        <v>50</v>
      </c>
      <c r="G3111" t="s">
        <v>4095</v>
      </c>
    </row>
    <row r="3112" spans="1:7">
      <c r="A3112" t="s">
        <v>7933</v>
      </c>
      <c r="B3112" t="s">
        <v>7934</v>
      </c>
      <c r="C3112" t="s">
        <v>4093</v>
      </c>
      <c r="D3112" t="s">
        <v>4094</v>
      </c>
      <c r="E3112">
        <v>1</v>
      </c>
      <c r="F3112" s="6">
        <v>50</v>
      </c>
      <c r="G3112" t="s">
        <v>4095</v>
      </c>
    </row>
    <row r="3113" spans="1:7">
      <c r="A3113" t="s">
        <v>7935</v>
      </c>
      <c r="B3113" t="s">
        <v>7936</v>
      </c>
      <c r="C3113" t="s">
        <v>3700</v>
      </c>
      <c r="D3113" t="s">
        <v>3701</v>
      </c>
      <c r="E3113">
        <v>12</v>
      </c>
      <c r="F3113" s="6">
        <v>375</v>
      </c>
      <c r="G3113" t="s">
        <v>5106</v>
      </c>
    </row>
    <row r="3114" spans="1:7">
      <c r="A3114" t="s">
        <v>7937</v>
      </c>
      <c r="B3114" t="s">
        <v>7938</v>
      </c>
      <c r="C3114" t="s">
        <v>3700</v>
      </c>
      <c r="D3114" t="s">
        <v>3701</v>
      </c>
      <c r="E3114">
        <v>12</v>
      </c>
      <c r="F3114" s="6">
        <v>375</v>
      </c>
      <c r="G3114" t="s">
        <v>5106</v>
      </c>
    </row>
    <row r="3115" spans="1:7">
      <c r="A3115" t="s">
        <v>1931</v>
      </c>
      <c r="B3115" t="s">
        <v>7939</v>
      </c>
      <c r="C3115" t="s">
        <v>5804</v>
      </c>
      <c r="D3115" t="s">
        <v>5805</v>
      </c>
      <c r="E3115">
        <v>12</v>
      </c>
      <c r="F3115" s="6">
        <v>750</v>
      </c>
      <c r="G3115" t="s">
        <v>3730</v>
      </c>
    </row>
    <row r="3116" spans="1:7">
      <c r="A3116" t="s">
        <v>280</v>
      </c>
      <c r="B3116" t="s">
        <v>7940</v>
      </c>
      <c r="C3116" t="s">
        <v>5804</v>
      </c>
      <c r="D3116" t="s">
        <v>5805</v>
      </c>
      <c r="E3116">
        <v>12</v>
      </c>
      <c r="F3116" s="6">
        <v>750</v>
      </c>
      <c r="G3116" t="s">
        <v>3730</v>
      </c>
    </row>
    <row r="3117" spans="1:7">
      <c r="A3117" t="s">
        <v>3156</v>
      </c>
      <c r="B3117" t="s">
        <v>7941</v>
      </c>
      <c r="C3117" t="s">
        <v>5804</v>
      </c>
      <c r="D3117" t="s">
        <v>5805</v>
      </c>
      <c r="E3117">
        <v>12</v>
      </c>
      <c r="F3117" s="6">
        <v>750</v>
      </c>
      <c r="G3117" t="s">
        <v>3730</v>
      </c>
    </row>
    <row r="3118" spans="1:7">
      <c r="A3118" t="s">
        <v>7942</v>
      </c>
      <c r="B3118" t="s">
        <v>7943</v>
      </c>
      <c r="C3118" t="s">
        <v>3679</v>
      </c>
      <c r="D3118" t="s">
        <v>3680</v>
      </c>
      <c r="E3118">
        <v>6</v>
      </c>
      <c r="F3118" s="6">
        <v>750</v>
      </c>
      <c r="G3118" t="s">
        <v>3888</v>
      </c>
    </row>
    <row r="3119" spans="1:7">
      <c r="A3119" t="s">
        <v>7944</v>
      </c>
      <c r="B3119" t="s">
        <v>7945</v>
      </c>
      <c r="C3119" t="s">
        <v>3756</v>
      </c>
      <c r="D3119" t="s">
        <v>3757</v>
      </c>
      <c r="E3119">
        <v>6</v>
      </c>
      <c r="F3119" s="6">
        <v>50</v>
      </c>
      <c r="G3119" t="s">
        <v>4331</v>
      </c>
    </row>
    <row r="3120" spans="1:7">
      <c r="A3120" t="s">
        <v>142</v>
      </c>
      <c r="B3120" t="s">
        <v>7946</v>
      </c>
      <c r="C3120" t="s">
        <v>4093</v>
      </c>
      <c r="D3120" t="s">
        <v>4094</v>
      </c>
      <c r="E3120">
        <v>6</v>
      </c>
      <c r="F3120" s="6">
        <v>750</v>
      </c>
      <c r="G3120" t="s">
        <v>4331</v>
      </c>
    </row>
    <row r="3121" spans="1:7">
      <c r="A3121" t="s">
        <v>1133</v>
      </c>
      <c r="B3121" t="s">
        <v>7947</v>
      </c>
      <c r="C3121" t="s">
        <v>4093</v>
      </c>
      <c r="D3121" t="s">
        <v>4094</v>
      </c>
      <c r="E3121">
        <v>6</v>
      </c>
      <c r="F3121" s="6">
        <v>750</v>
      </c>
      <c r="G3121" t="s">
        <v>4331</v>
      </c>
    </row>
    <row r="3122" spans="1:7">
      <c r="A3122" t="s">
        <v>7948</v>
      </c>
      <c r="B3122" t="s">
        <v>7949</v>
      </c>
      <c r="C3122" t="s">
        <v>3756</v>
      </c>
      <c r="D3122" t="s">
        <v>3757</v>
      </c>
      <c r="E3122">
        <v>12</v>
      </c>
      <c r="F3122" s="6">
        <v>50</v>
      </c>
      <c r="G3122" t="s">
        <v>4331</v>
      </c>
    </row>
    <row r="3123" spans="1:7">
      <c r="A3123" t="s">
        <v>7950</v>
      </c>
      <c r="B3123" t="s">
        <v>7951</v>
      </c>
      <c r="C3123" t="s">
        <v>3756</v>
      </c>
      <c r="D3123" t="s">
        <v>3757</v>
      </c>
      <c r="E3123">
        <v>12</v>
      </c>
      <c r="F3123" s="6">
        <v>50</v>
      </c>
      <c r="G3123" t="s">
        <v>4331</v>
      </c>
    </row>
    <row r="3124" spans="1:7">
      <c r="A3124" t="s">
        <v>230</v>
      </c>
      <c r="B3124" t="s">
        <v>7951</v>
      </c>
      <c r="C3124" t="s">
        <v>3756</v>
      </c>
      <c r="D3124" t="s">
        <v>3757</v>
      </c>
      <c r="E3124">
        <v>6</v>
      </c>
      <c r="F3124" s="6">
        <v>50</v>
      </c>
      <c r="G3124" t="s">
        <v>4331</v>
      </c>
    </row>
    <row r="3125" spans="1:7">
      <c r="A3125" t="s">
        <v>1332</v>
      </c>
      <c r="B3125" t="s">
        <v>7952</v>
      </c>
      <c r="C3125" t="s">
        <v>3756</v>
      </c>
      <c r="D3125" t="s">
        <v>3757</v>
      </c>
      <c r="E3125">
        <v>12</v>
      </c>
      <c r="F3125" s="6">
        <v>375</v>
      </c>
      <c r="G3125" t="s">
        <v>4331</v>
      </c>
    </row>
    <row r="3126" spans="1:7">
      <c r="A3126" t="s">
        <v>3171</v>
      </c>
      <c r="B3126" t="s">
        <v>7952</v>
      </c>
      <c r="C3126" t="s">
        <v>4093</v>
      </c>
      <c r="D3126" t="s">
        <v>4094</v>
      </c>
      <c r="E3126">
        <v>6</v>
      </c>
      <c r="F3126" s="6">
        <v>750</v>
      </c>
      <c r="G3126" t="s">
        <v>4331</v>
      </c>
    </row>
    <row r="3127" spans="1:7">
      <c r="A3127" t="s">
        <v>7953</v>
      </c>
      <c r="B3127" t="s">
        <v>7949</v>
      </c>
      <c r="C3127" t="s">
        <v>3756</v>
      </c>
      <c r="D3127" t="s">
        <v>3757</v>
      </c>
      <c r="E3127">
        <v>6</v>
      </c>
      <c r="F3127" s="6">
        <v>50</v>
      </c>
      <c r="G3127" t="s">
        <v>4331</v>
      </c>
    </row>
    <row r="3128" spans="1:7">
      <c r="A3128" t="s">
        <v>118</v>
      </c>
      <c r="B3128" t="s">
        <v>7954</v>
      </c>
      <c r="C3128" t="s">
        <v>3756</v>
      </c>
      <c r="D3128" t="s">
        <v>3757</v>
      </c>
      <c r="E3128">
        <v>6</v>
      </c>
      <c r="F3128" s="6">
        <v>50</v>
      </c>
      <c r="G3128" t="s">
        <v>4331</v>
      </c>
    </row>
    <row r="3129" spans="1:7">
      <c r="A3129" t="s">
        <v>1047</v>
      </c>
      <c r="B3129" t="s">
        <v>7955</v>
      </c>
      <c r="C3129" t="s">
        <v>4093</v>
      </c>
      <c r="D3129" t="s">
        <v>4094</v>
      </c>
      <c r="E3129">
        <v>6</v>
      </c>
      <c r="F3129" s="6">
        <v>750</v>
      </c>
      <c r="G3129" t="s">
        <v>4331</v>
      </c>
    </row>
    <row r="3130" spans="1:7">
      <c r="A3130" t="s">
        <v>3372</v>
      </c>
      <c r="B3130" t="s">
        <v>7956</v>
      </c>
      <c r="C3130" t="s">
        <v>3756</v>
      </c>
      <c r="D3130" t="s">
        <v>3757</v>
      </c>
      <c r="E3130">
        <v>6</v>
      </c>
      <c r="F3130" s="6">
        <v>50</v>
      </c>
      <c r="G3130" t="s">
        <v>4331</v>
      </c>
    </row>
    <row r="3131" spans="1:7">
      <c r="A3131" t="s">
        <v>7957</v>
      </c>
      <c r="B3131" t="s">
        <v>7956</v>
      </c>
      <c r="C3131" t="s">
        <v>3756</v>
      </c>
      <c r="D3131" t="s">
        <v>3757</v>
      </c>
      <c r="E3131">
        <v>12</v>
      </c>
      <c r="F3131" s="6">
        <v>50</v>
      </c>
      <c r="G3131" t="s">
        <v>4331</v>
      </c>
    </row>
    <row r="3132" spans="1:7">
      <c r="A3132" t="s">
        <v>68</v>
      </c>
      <c r="B3132" t="s">
        <v>7958</v>
      </c>
      <c r="C3132" t="s">
        <v>4093</v>
      </c>
      <c r="D3132" t="s">
        <v>4094</v>
      </c>
      <c r="E3132">
        <v>6</v>
      </c>
      <c r="F3132" s="6">
        <v>750</v>
      </c>
      <c r="G3132" t="s">
        <v>4331</v>
      </c>
    </row>
    <row r="3133" spans="1:7">
      <c r="A3133" t="s">
        <v>7959</v>
      </c>
      <c r="B3133" t="s">
        <v>7952</v>
      </c>
      <c r="C3133" t="s">
        <v>3679</v>
      </c>
      <c r="D3133" t="s">
        <v>3680</v>
      </c>
      <c r="E3133">
        <v>48</v>
      </c>
      <c r="F3133" s="6">
        <v>100</v>
      </c>
      <c r="G3133" t="s">
        <v>4331</v>
      </c>
    </row>
    <row r="3134" spans="1:7">
      <c r="A3134" t="s">
        <v>1097</v>
      </c>
      <c r="B3134" t="s">
        <v>7960</v>
      </c>
      <c r="C3134" t="s">
        <v>3756</v>
      </c>
      <c r="D3134" t="s">
        <v>3757</v>
      </c>
      <c r="E3134">
        <v>6</v>
      </c>
      <c r="F3134" s="6">
        <v>50</v>
      </c>
      <c r="G3134" t="s">
        <v>4331</v>
      </c>
    </row>
    <row r="3135" spans="1:7">
      <c r="A3135" t="s">
        <v>7961</v>
      </c>
      <c r="B3135" t="s">
        <v>7962</v>
      </c>
      <c r="C3135" t="s">
        <v>3756</v>
      </c>
      <c r="D3135" t="s">
        <v>3757</v>
      </c>
      <c r="E3135">
        <v>6</v>
      </c>
      <c r="F3135" s="6">
        <v>750</v>
      </c>
      <c r="G3135" t="s">
        <v>4331</v>
      </c>
    </row>
    <row r="3136" spans="1:7">
      <c r="A3136" t="s">
        <v>2307</v>
      </c>
      <c r="B3136" t="s">
        <v>7947</v>
      </c>
      <c r="C3136" t="s">
        <v>3756</v>
      </c>
      <c r="D3136" t="s">
        <v>3757</v>
      </c>
      <c r="E3136">
        <v>48</v>
      </c>
      <c r="F3136" s="6">
        <v>100</v>
      </c>
      <c r="G3136" t="s">
        <v>4331</v>
      </c>
    </row>
    <row r="3137" spans="1:7">
      <c r="A3137" t="s">
        <v>3503</v>
      </c>
      <c r="B3137" t="s">
        <v>7963</v>
      </c>
      <c r="C3137" t="s">
        <v>3756</v>
      </c>
      <c r="D3137" t="s">
        <v>3757</v>
      </c>
      <c r="E3137">
        <v>6</v>
      </c>
      <c r="F3137" s="6">
        <v>50</v>
      </c>
      <c r="G3137" t="s">
        <v>4331</v>
      </c>
    </row>
    <row r="3138" spans="1:7">
      <c r="A3138" t="s">
        <v>475</v>
      </c>
      <c r="B3138" t="s">
        <v>7964</v>
      </c>
      <c r="C3138" t="s">
        <v>4093</v>
      </c>
      <c r="D3138" t="s">
        <v>4094</v>
      </c>
      <c r="E3138">
        <v>6</v>
      </c>
      <c r="F3138" s="6">
        <v>750</v>
      </c>
      <c r="G3138" t="s">
        <v>4331</v>
      </c>
    </row>
    <row r="3139" spans="1:7">
      <c r="A3139" t="s">
        <v>7965</v>
      </c>
      <c r="B3139" t="s">
        <v>7966</v>
      </c>
      <c r="C3139" t="s">
        <v>3808</v>
      </c>
      <c r="D3139" t="s">
        <v>3809</v>
      </c>
      <c r="E3139">
        <v>6</v>
      </c>
      <c r="F3139" s="6">
        <v>50</v>
      </c>
      <c r="G3139" t="s">
        <v>3702</v>
      </c>
    </row>
    <row r="3140" spans="1:7">
      <c r="A3140" t="s">
        <v>2522</v>
      </c>
      <c r="B3140" t="s">
        <v>7967</v>
      </c>
      <c r="C3140" t="s">
        <v>3808</v>
      </c>
      <c r="D3140" t="s">
        <v>3809</v>
      </c>
      <c r="E3140">
        <v>6</v>
      </c>
      <c r="F3140" s="6">
        <v>750</v>
      </c>
      <c r="G3140" t="s">
        <v>3702</v>
      </c>
    </row>
    <row r="3141" spans="1:7">
      <c r="A3141" t="s">
        <v>1720</v>
      </c>
      <c r="B3141" t="s">
        <v>7968</v>
      </c>
      <c r="C3141" t="s">
        <v>3756</v>
      </c>
      <c r="D3141" t="s">
        <v>3757</v>
      </c>
      <c r="E3141">
        <v>6</v>
      </c>
      <c r="F3141" s="6">
        <v>750</v>
      </c>
      <c r="G3141" t="s">
        <v>7969</v>
      </c>
    </row>
    <row r="3142" spans="1:7">
      <c r="A3142" t="s">
        <v>1194</v>
      </c>
      <c r="B3142" t="s">
        <v>7970</v>
      </c>
      <c r="C3142" t="s">
        <v>3679</v>
      </c>
      <c r="D3142" t="s">
        <v>3680</v>
      </c>
      <c r="E3142">
        <v>10</v>
      </c>
      <c r="F3142" s="6">
        <v>50</v>
      </c>
      <c r="G3142" t="s">
        <v>7969</v>
      </c>
    </row>
    <row r="3143" spans="1:7">
      <c r="A3143" t="s">
        <v>7971</v>
      </c>
      <c r="B3143" t="s">
        <v>7972</v>
      </c>
      <c r="C3143" t="s">
        <v>3756</v>
      </c>
      <c r="D3143" t="s">
        <v>3757</v>
      </c>
      <c r="E3143">
        <v>12</v>
      </c>
      <c r="F3143" s="6">
        <v>750</v>
      </c>
      <c r="G3143" t="s">
        <v>4300</v>
      </c>
    </row>
    <row r="3144" spans="1:7">
      <c r="A3144" t="s">
        <v>7973</v>
      </c>
      <c r="B3144" t="s">
        <v>7974</v>
      </c>
      <c r="C3144" t="s">
        <v>3756</v>
      </c>
      <c r="D3144" t="s">
        <v>3757</v>
      </c>
      <c r="E3144">
        <v>12</v>
      </c>
      <c r="F3144" s="6">
        <v>750</v>
      </c>
      <c r="G3144" t="s">
        <v>4300</v>
      </c>
    </row>
    <row r="3145" spans="1:7">
      <c r="A3145" t="s">
        <v>717</v>
      </c>
      <c r="B3145" t="s">
        <v>7975</v>
      </c>
      <c r="C3145" t="s">
        <v>3756</v>
      </c>
      <c r="D3145" t="s">
        <v>3757</v>
      </c>
      <c r="E3145">
        <v>12</v>
      </c>
      <c r="F3145" s="6">
        <v>50</v>
      </c>
      <c r="G3145" t="s">
        <v>3686</v>
      </c>
    </row>
    <row r="3146" spans="1:7">
      <c r="A3146" t="s">
        <v>2375</v>
      </c>
      <c r="B3146" t="s">
        <v>7976</v>
      </c>
      <c r="C3146" t="s">
        <v>3756</v>
      </c>
      <c r="D3146" t="s">
        <v>3757</v>
      </c>
      <c r="E3146">
        <v>12</v>
      </c>
      <c r="F3146" s="6">
        <v>750</v>
      </c>
      <c r="G3146" t="s">
        <v>3686</v>
      </c>
    </row>
    <row r="3147" spans="1:7">
      <c r="A3147" t="s">
        <v>7977</v>
      </c>
      <c r="B3147" t="s">
        <v>7978</v>
      </c>
      <c r="C3147" t="s">
        <v>3708</v>
      </c>
      <c r="D3147" t="s">
        <v>3709</v>
      </c>
      <c r="E3147">
        <v>6</v>
      </c>
      <c r="F3147" s="6">
        <v>750</v>
      </c>
      <c r="G3147" t="s">
        <v>4779</v>
      </c>
    </row>
    <row r="3148" spans="1:7">
      <c r="A3148" t="s">
        <v>7979</v>
      </c>
      <c r="B3148" t="s">
        <v>7980</v>
      </c>
      <c r="C3148" t="s">
        <v>4071</v>
      </c>
      <c r="D3148" t="s">
        <v>4072</v>
      </c>
      <c r="E3148">
        <v>4</v>
      </c>
      <c r="F3148" s="6">
        <v>50</v>
      </c>
      <c r="G3148" t="s">
        <v>3832</v>
      </c>
    </row>
    <row r="3149" spans="1:7">
      <c r="A3149" t="s">
        <v>3479</v>
      </c>
      <c r="B3149" t="s">
        <v>7981</v>
      </c>
      <c r="C3149" t="s">
        <v>6411</v>
      </c>
      <c r="D3149" t="s">
        <v>6412</v>
      </c>
      <c r="E3149">
        <v>6</v>
      </c>
      <c r="F3149" s="6">
        <v>750</v>
      </c>
      <c r="G3149" t="s">
        <v>3832</v>
      </c>
    </row>
    <row r="3150" spans="1:7">
      <c r="A3150" t="s">
        <v>7982</v>
      </c>
      <c r="B3150" t="s">
        <v>7983</v>
      </c>
      <c r="C3150" t="s">
        <v>7515</v>
      </c>
      <c r="D3150" t="s">
        <v>7516</v>
      </c>
      <c r="E3150">
        <v>6</v>
      </c>
      <c r="F3150" s="6">
        <v>750</v>
      </c>
      <c r="G3150" t="s">
        <v>3832</v>
      </c>
    </row>
    <row r="3151" spans="1:7">
      <c r="A3151" t="s">
        <v>2738</v>
      </c>
      <c r="B3151" t="s">
        <v>7984</v>
      </c>
      <c r="C3151" t="s">
        <v>7515</v>
      </c>
      <c r="D3151" t="s">
        <v>7516</v>
      </c>
      <c r="E3151">
        <v>6</v>
      </c>
      <c r="F3151" s="6">
        <v>750</v>
      </c>
      <c r="G3151" t="s">
        <v>3832</v>
      </c>
    </row>
    <row r="3152" spans="1:7">
      <c r="A3152" t="s">
        <v>7985</v>
      </c>
      <c r="B3152" t="s">
        <v>7986</v>
      </c>
      <c r="C3152" t="s">
        <v>7515</v>
      </c>
      <c r="D3152" t="s">
        <v>7516</v>
      </c>
      <c r="E3152">
        <v>6</v>
      </c>
      <c r="F3152" s="6">
        <v>750</v>
      </c>
      <c r="G3152" t="s">
        <v>3832</v>
      </c>
    </row>
    <row r="3153" spans="1:7">
      <c r="A3153" t="s">
        <v>555</v>
      </c>
      <c r="B3153" t="s">
        <v>7987</v>
      </c>
      <c r="C3153" t="s">
        <v>7515</v>
      </c>
      <c r="D3153" t="s">
        <v>7516</v>
      </c>
      <c r="E3153">
        <v>6</v>
      </c>
      <c r="F3153" s="6">
        <v>750</v>
      </c>
      <c r="G3153" t="s">
        <v>3832</v>
      </c>
    </row>
    <row r="3154" spans="1:7">
      <c r="A3154" t="s">
        <v>7988</v>
      </c>
      <c r="B3154" t="s">
        <v>7989</v>
      </c>
      <c r="C3154" t="s">
        <v>7515</v>
      </c>
      <c r="D3154" t="s">
        <v>7516</v>
      </c>
      <c r="E3154">
        <v>6</v>
      </c>
      <c r="F3154" s="6">
        <v>750</v>
      </c>
      <c r="G3154" t="s">
        <v>3832</v>
      </c>
    </row>
    <row r="3155" spans="1:7">
      <c r="A3155" t="s">
        <v>7990</v>
      </c>
      <c r="B3155" t="s">
        <v>7991</v>
      </c>
      <c r="C3155" t="s">
        <v>7515</v>
      </c>
      <c r="D3155" t="s">
        <v>7516</v>
      </c>
      <c r="E3155">
        <v>6</v>
      </c>
      <c r="F3155" s="6">
        <v>750</v>
      </c>
      <c r="G3155" t="s">
        <v>3832</v>
      </c>
    </row>
    <row r="3156" spans="1:7">
      <c r="A3156" t="s">
        <v>7992</v>
      </c>
      <c r="B3156" t="s">
        <v>7993</v>
      </c>
      <c r="C3156" t="s">
        <v>3679</v>
      </c>
      <c r="D3156" t="s">
        <v>3680</v>
      </c>
      <c r="E3156">
        <v>6</v>
      </c>
      <c r="F3156" s="6">
        <v>1750</v>
      </c>
      <c r="G3156" t="s">
        <v>3832</v>
      </c>
    </row>
    <row r="3157" spans="1:7">
      <c r="A3157" t="s">
        <v>1049</v>
      </c>
      <c r="B3157" t="s">
        <v>7994</v>
      </c>
      <c r="C3157" t="s">
        <v>7515</v>
      </c>
      <c r="D3157" t="s">
        <v>7516</v>
      </c>
      <c r="E3157">
        <v>4</v>
      </c>
      <c r="F3157" s="6">
        <v>50</v>
      </c>
      <c r="G3157" t="s">
        <v>3832</v>
      </c>
    </row>
    <row r="3158" spans="1:7">
      <c r="A3158" t="s">
        <v>2214</v>
      </c>
      <c r="B3158" t="s">
        <v>7995</v>
      </c>
      <c r="C3158" t="s">
        <v>7515</v>
      </c>
      <c r="D3158" t="s">
        <v>7516</v>
      </c>
      <c r="E3158">
        <v>4</v>
      </c>
      <c r="F3158" s="6">
        <v>50</v>
      </c>
      <c r="G3158" t="s">
        <v>3832</v>
      </c>
    </row>
    <row r="3159" spans="1:7">
      <c r="A3159" t="s">
        <v>7996</v>
      </c>
      <c r="B3159" t="s">
        <v>7997</v>
      </c>
      <c r="C3159" t="s">
        <v>3679</v>
      </c>
      <c r="D3159" t="s">
        <v>3680</v>
      </c>
      <c r="E3159">
        <v>4</v>
      </c>
      <c r="F3159" s="6">
        <v>50</v>
      </c>
      <c r="G3159" t="s">
        <v>3832</v>
      </c>
    </row>
    <row r="3160" spans="1:7">
      <c r="A3160" t="s">
        <v>7998</v>
      </c>
      <c r="B3160" t="s">
        <v>7999</v>
      </c>
      <c r="C3160" t="s">
        <v>7515</v>
      </c>
      <c r="D3160" t="s">
        <v>7516</v>
      </c>
      <c r="E3160">
        <v>6</v>
      </c>
      <c r="F3160" s="6">
        <v>750</v>
      </c>
      <c r="G3160" t="s">
        <v>3832</v>
      </c>
    </row>
    <row r="3161" spans="1:7">
      <c r="A3161" t="s">
        <v>3130</v>
      </c>
      <c r="B3161" t="s">
        <v>8000</v>
      </c>
      <c r="C3161" t="s">
        <v>7515</v>
      </c>
      <c r="D3161" t="s">
        <v>7516</v>
      </c>
      <c r="E3161">
        <v>4</v>
      </c>
      <c r="F3161" s="6">
        <v>50</v>
      </c>
      <c r="G3161" t="s">
        <v>3832</v>
      </c>
    </row>
    <row r="3162" spans="1:7">
      <c r="A3162" t="s">
        <v>8001</v>
      </c>
      <c r="B3162" t="s">
        <v>7993</v>
      </c>
      <c r="C3162" t="s">
        <v>7515</v>
      </c>
      <c r="D3162" t="s">
        <v>7516</v>
      </c>
      <c r="E3162">
        <v>6</v>
      </c>
      <c r="F3162" s="6">
        <v>750</v>
      </c>
      <c r="G3162" t="s">
        <v>3832</v>
      </c>
    </row>
    <row r="3163" spans="1:7">
      <c r="A3163" t="s">
        <v>8002</v>
      </c>
      <c r="B3163" t="s">
        <v>8003</v>
      </c>
      <c r="C3163" t="s">
        <v>4071</v>
      </c>
      <c r="D3163" t="s">
        <v>4072</v>
      </c>
      <c r="E3163">
        <v>12</v>
      </c>
      <c r="F3163" s="6">
        <v>750</v>
      </c>
      <c r="G3163" t="s">
        <v>6663</v>
      </c>
    </row>
    <row r="3164" spans="1:7">
      <c r="A3164" t="s">
        <v>8004</v>
      </c>
      <c r="B3164" t="s">
        <v>8005</v>
      </c>
      <c r="C3164" t="s">
        <v>3679</v>
      </c>
      <c r="D3164" t="s">
        <v>3680</v>
      </c>
      <c r="E3164">
        <v>6</v>
      </c>
      <c r="F3164" s="6">
        <v>750</v>
      </c>
      <c r="G3164" t="s">
        <v>3686</v>
      </c>
    </row>
    <row r="3165" spans="1:7">
      <c r="A3165" t="s">
        <v>2714</v>
      </c>
      <c r="B3165" t="s">
        <v>8006</v>
      </c>
      <c r="C3165" t="s">
        <v>3928</v>
      </c>
      <c r="D3165" t="s">
        <v>3929</v>
      </c>
      <c r="E3165">
        <v>6</v>
      </c>
      <c r="F3165" s="6">
        <v>1750</v>
      </c>
      <c r="G3165" t="s">
        <v>3716</v>
      </c>
    </row>
    <row r="3166" spans="1:7">
      <c r="A3166" t="s">
        <v>8007</v>
      </c>
      <c r="B3166" t="s">
        <v>8008</v>
      </c>
      <c r="C3166" t="s">
        <v>3679</v>
      </c>
      <c r="D3166" t="s">
        <v>3680</v>
      </c>
      <c r="E3166">
        <v>6</v>
      </c>
      <c r="F3166" s="6">
        <v>750</v>
      </c>
      <c r="G3166" t="s">
        <v>5231</v>
      </c>
    </row>
    <row r="3167" spans="1:7">
      <c r="A3167" t="s">
        <v>8009</v>
      </c>
      <c r="B3167" t="s">
        <v>8010</v>
      </c>
      <c r="C3167" t="s">
        <v>3708</v>
      </c>
      <c r="D3167" t="s">
        <v>3709</v>
      </c>
      <c r="E3167">
        <v>6</v>
      </c>
      <c r="F3167" s="6">
        <v>50</v>
      </c>
      <c r="G3167" t="s">
        <v>7761</v>
      </c>
    </row>
    <row r="3168" spans="1:7">
      <c r="A3168" t="s">
        <v>8011</v>
      </c>
      <c r="B3168" t="s">
        <v>8012</v>
      </c>
      <c r="C3168" t="s">
        <v>3708</v>
      </c>
      <c r="D3168" t="s">
        <v>3709</v>
      </c>
      <c r="E3168">
        <v>6</v>
      </c>
      <c r="F3168" s="6">
        <v>50</v>
      </c>
      <c r="G3168" t="s">
        <v>7761</v>
      </c>
    </row>
    <row r="3169" spans="1:7">
      <c r="A3169" t="s">
        <v>8013</v>
      </c>
      <c r="B3169" t="s">
        <v>8014</v>
      </c>
      <c r="C3169" t="s">
        <v>3708</v>
      </c>
      <c r="D3169" t="s">
        <v>3709</v>
      </c>
      <c r="E3169">
        <v>6</v>
      </c>
      <c r="F3169" s="6">
        <v>50</v>
      </c>
      <c r="G3169" t="s">
        <v>7761</v>
      </c>
    </row>
    <row r="3170" spans="1:7">
      <c r="A3170" t="s">
        <v>8015</v>
      </c>
      <c r="B3170" t="s">
        <v>8016</v>
      </c>
      <c r="C3170" t="s">
        <v>3679</v>
      </c>
      <c r="D3170" t="s">
        <v>3680</v>
      </c>
      <c r="E3170">
        <v>6</v>
      </c>
      <c r="F3170" s="6">
        <v>750</v>
      </c>
      <c r="G3170" t="s">
        <v>4438</v>
      </c>
    </row>
    <row r="3171" spans="1:7">
      <c r="A3171" t="s">
        <v>2995</v>
      </c>
      <c r="B3171" t="s">
        <v>8017</v>
      </c>
      <c r="C3171" t="s">
        <v>3708</v>
      </c>
      <c r="D3171" t="s">
        <v>3709</v>
      </c>
      <c r="E3171">
        <v>6</v>
      </c>
      <c r="F3171" s="6">
        <v>750</v>
      </c>
      <c r="G3171" t="s">
        <v>3871</v>
      </c>
    </row>
    <row r="3172" spans="1:7">
      <c r="A3172" t="s">
        <v>8018</v>
      </c>
      <c r="B3172" t="s">
        <v>8019</v>
      </c>
      <c r="C3172" t="s">
        <v>3679</v>
      </c>
      <c r="D3172" t="s">
        <v>3680</v>
      </c>
      <c r="E3172">
        <v>12</v>
      </c>
      <c r="F3172" s="6">
        <v>50</v>
      </c>
      <c r="G3172" t="s">
        <v>3802</v>
      </c>
    </row>
    <row r="3173" spans="1:7">
      <c r="A3173" t="s">
        <v>8020</v>
      </c>
      <c r="B3173" t="s">
        <v>8021</v>
      </c>
      <c r="C3173" t="s">
        <v>3808</v>
      </c>
      <c r="D3173" t="s">
        <v>3809</v>
      </c>
      <c r="E3173">
        <v>1</v>
      </c>
      <c r="F3173" s="6">
        <v>50</v>
      </c>
      <c r="G3173" t="s">
        <v>4095</v>
      </c>
    </row>
    <row r="3174" spans="1:7">
      <c r="A3174" t="s">
        <v>8022</v>
      </c>
      <c r="B3174" t="s">
        <v>8023</v>
      </c>
      <c r="C3174" t="s">
        <v>3808</v>
      </c>
      <c r="D3174" t="s">
        <v>3809</v>
      </c>
      <c r="E3174">
        <v>1</v>
      </c>
      <c r="F3174" s="6">
        <v>50</v>
      </c>
      <c r="G3174" t="s">
        <v>4095</v>
      </c>
    </row>
    <row r="3175" spans="1:7">
      <c r="A3175" t="s">
        <v>8024</v>
      </c>
      <c r="B3175" t="s">
        <v>8025</v>
      </c>
      <c r="C3175" t="s">
        <v>3808</v>
      </c>
      <c r="D3175" t="s">
        <v>3809</v>
      </c>
      <c r="E3175">
        <v>1</v>
      </c>
      <c r="F3175" s="6">
        <v>50</v>
      </c>
      <c r="G3175" t="s">
        <v>4095</v>
      </c>
    </row>
    <row r="3176" spans="1:7">
      <c r="A3176" t="s">
        <v>8026</v>
      </c>
      <c r="B3176" t="s">
        <v>8027</v>
      </c>
      <c r="C3176" t="s">
        <v>3808</v>
      </c>
      <c r="D3176" t="s">
        <v>3809</v>
      </c>
      <c r="E3176">
        <v>1</v>
      </c>
      <c r="F3176" s="6">
        <v>50</v>
      </c>
      <c r="G3176" t="s">
        <v>4095</v>
      </c>
    </row>
    <row r="3177" spans="1:7">
      <c r="A3177" t="s">
        <v>8028</v>
      </c>
      <c r="B3177" t="s">
        <v>8029</v>
      </c>
      <c r="C3177" t="s">
        <v>3679</v>
      </c>
      <c r="D3177" t="s">
        <v>3680</v>
      </c>
      <c r="E3177">
        <v>3</v>
      </c>
      <c r="F3177" s="6">
        <v>750</v>
      </c>
      <c r="G3177" t="s">
        <v>4163</v>
      </c>
    </row>
    <row r="3178" spans="1:7">
      <c r="A3178" t="s">
        <v>8030</v>
      </c>
      <c r="B3178" t="s">
        <v>8031</v>
      </c>
      <c r="C3178" t="s">
        <v>3808</v>
      </c>
      <c r="D3178" t="s">
        <v>3809</v>
      </c>
      <c r="E3178">
        <v>12</v>
      </c>
      <c r="F3178" s="6">
        <v>750</v>
      </c>
      <c r="G3178" t="s">
        <v>4509</v>
      </c>
    </row>
    <row r="3179" spans="1:7">
      <c r="A3179" t="s">
        <v>866</v>
      </c>
      <c r="B3179" t="s">
        <v>8032</v>
      </c>
      <c r="C3179" t="s">
        <v>3808</v>
      </c>
      <c r="D3179" t="s">
        <v>3809</v>
      </c>
      <c r="E3179">
        <v>12</v>
      </c>
      <c r="F3179" s="6">
        <v>50</v>
      </c>
      <c r="G3179" t="s">
        <v>4509</v>
      </c>
    </row>
    <row r="3180" spans="1:7">
      <c r="A3180" t="s">
        <v>8033</v>
      </c>
      <c r="B3180" t="s">
        <v>8034</v>
      </c>
      <c r="C3180" t="s">
        <v>3928</v>
      </c>
      <c r="D3180" t="s">
        <v>3929</v>
      </c>
      <c r="E3180">
        <v>6</v>
      </c>
      <c r="F3180" s="6">
        <v>750</v>
      </c>
      <c r="G3180" t="s">
        <v>5054</v>
      </c>
    </row>
    <row r="3181" spans="1:7">
      <c r="A3181" t="s">
        <v>8035</v>
      </c>
      <c r="B3181" t="s">
        <v>8036</v>
      </c>
      <c r="C3181" t="s">
        <v>3808</v>
      </c>
      <c r="D3181" t="s">
        <v>3809</v>
      </c>
      <c r="E3181">
        <v>6</v>
      </c>
      <c r="F3181" s="6">
        <v>750</v>
      </c>
      <c r="G3181" t="s">
        <v>3802</v>
      </c>
    </row>
    <row r="3182" spans="1:7">
      <c r="A3182" t="s">
        <v>8037</v>
      </c>
      <c r="B3182" t="s">
        <v>8038</v>
      </c>
      <c r="C3182" t="s">
        <v>4455</v>
      </c>
      <c r="D3182" t="s">
        <v>4456</v>
      </c>
      <c r="E3182">
        <v>4</v>
      </c>
      <c r="F3182" s="6">
        <v>50</v>
      </c>
      <c r="G3182" t="s">
        <v>5139</v>
      </c>
    </row>
    <row r="3183" spans="1:7">
      <c r="A3183" t="s">
        <v>1777</v>
      </c>
      <c r="B3183" t="s">
        <v>8039</v>
      </c>
      <c r="C3183" t="s">
        <v>3679</v>
      </c>
      <c r="D3183" t="s">
        <v>3680</v>
      </c>
      <c r="E3183">
        <v>6</v>
      </c>
      <c r="F3183" s="6">
        <v>750</v>
      </c>
      <c r="G3183" t="s">
        <v>3832</v>
      </c>
    </row>
    <row r="3184" spans="1:7">
      <c r="A3184" t="s">
        <v>8040</v>
      </c>
      <c r="B3184" t="s">
        <v>8041</v>
      </c>
      <c r="C3184" t="s">
        <v>3679</v>
      </c>
      <c r="D3184" t="s">
        <v>3680</v>
      </c>
      <c r="E3184">
        <v>4</v>
      </c>
      <c r="F3184" s="6">
        <v>50</v>
      </c>
      <c r="G3184" t="s">
        <v>3832</v>
      </c>
    </row>
    <row r="3185" spans="1:7">
      <c r="A3185" t="s">
        <v>1474</v>
      </c>
      <c r="B3185" t="s">
        <v>8042</v>
      </c>
      <c r="C3185" t="s">
        <v>6442</v>
      </c>
      <c r="D3185" t="s">
        <v>6443</v>
      </c>
      <c r="E3185">
        <v>12</v>
      </c>
      <c r="F3185" s="6">
        <v>1000</v>
      </c>
      <c r="G3185" t="s">
        <v>3686</v>
      </c>
    </row>
    <row r="3186" spans="1:7">
      <c r="A3186" t="s">
        <v>3457</v>
      </c>
      <c r="B3186" t="s">
        <v>8043</v>
      </c>
      <c r="C3186" t="s">
        <v>3679</v>
      </c>
      <c r="D3186" t="s">
        <v>3680</v>
      </c>
      <c r="E3186">
        <v>6</v>
      </c>
      <c r="F3186" s="6">
        <v>750</v>
      </c>
      <c r="G3186" t="s">
        <v>3832</v>
      </c>
    </row>
    <row r="3187" spans="1:7">
      <c r="A3187" t="s">
        <v>8044</v>
      </c>
      <c r="B3187" t="s">
        <v>8045</v>
      </c>
      <c r="C3187" t="s">
        <v>3679</v>
      </c>
      <c r="D3187" t="s">
        <v>3680</v>
      </c>
      <c r="E3187">
        <v>4</v>
      </c>
      <c r="F3187" s="6">
        <v>50</v>
      </c>
      <c r="G3187" t="s">
        <v>3832</v>
      </c>
    </row>
    <row r="3188" spans="1:7">
      <c r="A3188" t="s">
        <v>8046</v>
      </c>
      <c r="B3188" t="s">
        <v>8047</v>
      </c>
      <c r="C3188" t="s">
        <v>3756</v>
      </c>
      <c r="D3188" t="s">
        <v>3757</v>
      </c>
      <c r="E3188">
        <v>6</v>
      </c>
      <c r="F3188" s="6">
        <v>750</v>
      </c>
      <c r="G3188" t="s">
        <v>4331</v>
      </c>
    </row>
    <row r="3189" spans="1:7">
      <c r="A3189" t="s">
        <v>2948</v>
      </c>
      <c r="B3189" t="s">
        <v>8048</v>
      </c>
      <c r="C3189" t="s">
        <v>3756</v>
      </c>
      <c r="D3189" t="s">
        <v>3757</v>
      </c>
      <c r="E3189">
        <v>6</v>
      </c>
      <c r="F3189" s="6">
        <v>50</v>
      </c>
      <c r="G3189" t="s">
        <v>4331</v>
      </c>
    </row>
    <row r="3190" spans="1:7">
      <c r="A3190" t="s">
        <v>2338</v>
      </c>
      <c r="B3190" t="s">
        <v>8049</v>
      </c>
      <c r="C3190" t="s">
        <v>4455</v>
      </c>
      <c r="D3190" t="s">
        <v>4456</v>
      </c>
      <c r="E3190">
        <v>6</v>
      </c>
      <c r="F3190" s="6">
        <v>750</v>
      </c>
      <c r="G3190" t="s">
        <v>5139</v>
      </c>
    </row>
    <row r="3191" spans="1:7">
      <c r="A3191" t="s">
        <v>547</v>
      </c>
      <c r="B3191" t="s">
        <v>8050</v>
      </c>
      <c r="C3191" t="s">
        <v>3756</v>
      </c>
      <c r="D3191" t="s">
        <v>3757</v>
      </c>
      <c r="E3191">
        <v>1</v>
      </c>
      <c r="F3191" s="6">
        <v>50</v>
      </c>
      <c r="G3191" t="s">
        <v>3686</v>
      </c>
    </row>
    <row r="3192" spans="1:7">
      <c r="A3192" t="s">
        <v>1126</v>
      </c>
      <c r="B3192" t="s">
        <v>8051</v>
      </c>
      <c r="C3192" t="s">
        <v>3756</v>
      </c>
      <c r="D3192" t="s">
        <v>3757</v>
      </c>
      <c r="E3192">
        <v>1</v>
      </c>
      <c r="F3192" s="6">
        <v>50</v>
      </c>
      <c r="G3192" t="s">
        <v>3686</v>
      </c>
    </row>
    <row r="3193" spans="1:7">
      <c r="A3193" t="s">
        <v>8052</v>
      </c>
      <c r="B3193" t="s">
        <v>8053</v>
      </c>
      <c r="C3193" t="s">
        <v>4170</v>
      </c>
      <c r="D3193" t="s">
        <v>4171</v>
      </c>
      <c r="E3193">
        <v>6</v>
      </c>
      <c r="F3193" s="6">
        <v>750</v>
      </c>
      <c r="G3193" t="s">
        <v>3702</v>
      </c>
    </row>
    <row r="3194" spans="1:7">
      <c r="A3194" t="s">
        <v>2925</v>
      </c>
      <c r="B3194" t="s">
        <v>8054</v>
      </c>
      <c r="C3194" t="s">
        <v>7515</v>
      </c>
      <c r="D3194" t="s">
        <v>7516</v>
      </c>
      <c r="E3194">
        <v>6</v>
      </c>
      <c r="F3194" s="6">
        <v>750</v>
      </c>
      <c r="G3194" t="s">
        <v>5139</v>
      </c>
    </row>
    <row r="3195" spans="1:7">
      <c r="A3195" t="s">
        <v>3300</v>
      </c>
      <c r="B3195" t="s">
        <v>8055</v>
      </c>
      <c r="C3195" t="s">
        <v>7515</v>
      </c>
      <c r="D3195" t="s">
        <v>7516</v>
      </c>
      <c r="E3195">
        <v>6</v>
      </c>
      <c r="F3195" s="6">
        <v>750</v>
      </c>
      <c r="G3195" t="s">
        <v>5139</v>
      </c>
    </row>
    <row r="3196" spans="1:7">
      <c r="A3196" t="s">
        <v>287</v>
      </c>
      <c r="B3196" t="s">
        <v>8056</v>
      </c>
      <c r="C3196" t="s">
        <v>7515</v>
      </c>
      <c r="D3196" t="s">
        <v>7516</v>
      </c>
      <c r="E3196">
        <v>6</v>
      </c>
      <c r="F3196" s="6">
        <v>750</v>
      </c>
      <c r="G3196" t="s">
        <v>5139</v>
      </c>
    </row>
    <row r="3197" spans="1:7">
      <c r="A3197" t="s">
        <v>1457</v>
      </c>
      <c r="B3197" t="s">
        <v>8057</v>
      </c>
      <c r="C3197" t="s">
        <v>7515</v>
      </c>
      <c r="D3197" t="s">
        <v>7516</v>
      </c>
      <c r="E3197">
        <v>8</v>
      </c>
      <c r="F3197" s="6">
        <v>50</v>
      </c>
      <c r="G3197" t="s">
        <v>5139</v>
      </c>
    </row>
    <row r="3198" spans="1:7">
      <c r="A3198" t="s">
        <v>2861</v>
      </c>
      <c r="B3198" t="s">
        <v>8058</v>
      </c>
      <c r="C3198" t="s">
        <v>7515</v>
      </c>
      <c r="D3198" t="s">
        <v>7516</v>
      </c>
      <c r="E3198">
        <v>6</v>
      </c>
      <c r="F3198" s="6">
        <v>750</v>
      </c>
      <c r="G3198" t="s">
        <v>5139</v>
      </c>
    </row>
    <row r="3199" spans="1:7">
      <c r="A3199" t="s">
        <v>250</v>
      </c>
      <c r="B3199" t="s">
        <v>8059</v>
      </c>
      <c r="C3199" t="s">
        <v>7515</v>
      </c>
      <c r="D3199" t="s">
        <v>7516</v>
      </c>
      <c r="E3199">
        <v>6</v>
      </c>
      <c r="F3199" s="6">
        <v>750</v>
      </c>
      <c r="G3199" t="s">
        <v>5139</v>
      </c>
    </row>
    <row r="3200" spans="1:7">
      <c r="A3200" t="s">
        <v>8060</v>
      </c>
      <c r="B3200" t="s">
        <v>8061</v>
      </c>
      <c r="C3200" t="s">
        <v>3679</v>
      </c>
      <c r="D3200" t="s">
        <v>3680</v>
      </c>
      <c r="E3200">
        <v>6</v>
      </c>
      <c r="F3200" s="6">
        <v>750</v>
      </c>
      <c r="G3200" t="s">
        <v>4807</v>
      </c>
    </row>
    <row r="3201" spans="1:7">
      <c r="A3201" t="s">
        <v>8062</v>
      </c>
      <c r="B3201" t="s">
        <v>8063</v>
      </c>
      <c r="C3201" t="s">
        <v>3808</v>
      </c>
      <c r="D3201" t="s">
        <v>3809</v>
      </c>
      <c r="E3201">
        <v>6</v>
      </c>
      <c r="F3201" s="6">
        <v>750</v>
      </c>
      <c r="G3201" t="s">
        <v>4807</v>
      </c>
    </row>
    <row r="3202" spans="1:7">
      <c r="A3202" t="s">
        <v>8064</v>
      </c>
      <c r="B3202" t="s">
        <v>8065</v>
      </c>
      <c r="C3202" t="s">
        <v>6442</v>
      </c>
      <c r="D3202" t="s">
        <v>6443</v>
      </c>
      <c r="E3202">
        <v>6</v>
      </c>
      <c r="F3202" s="6">
        <v>750</v>
      </c>
      <c r="G3202" t="s">
        <v>5054</v>
      </c>
    </row>
    <row r="3203" spans="1:7">
      <c r="A3203" t="s">
        <v>8066</v>
      </c>
      <c r="B3203" t="s">
        <v>8067</v>
      </c>
      <c r="C3203" t="s">
        <v>4071</v>
      </c>
      <c r="D3203" t="s">
        <v>4072</v>
      </c>
      <c r="E3203">
        <v>6</v>
      </c>
      <c r="F3203" s="6">
        <v>750</v>
      </c>
      <c r="G3203" t="s">
        <v>5054</v>
      </c>
    </row>
    <row r="3204" spans="1:7">
      <c r="A3204" t="s">
        <v>1316</v>
      </c>
      <c r="B3204" t="s">
        <v>8068</v>
      </c>
      <c r="C3204" t="s">
        <v>3679</v>
      </c>
      <c r="D3204" t="s">
        <v>3680</v>
      </c>
      <c r="E3204">
        <v>12</v>
      </c>
      <c r="F3204" s="6">
        <v>750</v>
      </c>
      <c r="G3204" t="s">
        <v>3686</v>
      </c>
    </row>
    <row r="3205" spans="1:7">
      <c r="A3205" t="s">
        <v>3530</v>
      </c>
      <c r="B3205" t="s">
        <v>8068</v>
      </c>
      <c r="C3205" t="s">
        <v>3679</v>
      </c>
      <c r="D3205" t="s">
        <v>3680</v>
      </c>
      <c r="E3205">
        <v>6</v>
      </c>
      <c r="F3205" s="6">
        <v>1750</v>
      </c>
      <c r="G3205" t="s">
        <v>3686</v>
      </c>
    </row>
    <row r="3206" spans="1:7">
      <c r="A3206" t="s">
        <v>8069</v>
      </c>
      <c r="B3206" t="s">
        <v>8070</v>
      </c>
      <c r="C3206" t="s">
        <v>3928</v>
      </c>
      <c r="D3206" t="s">
        <v>3929</v>
      </c>
      <c r="E3206">
        <v>6</v>
      </c>
      <c r="F3206" s="6">
        <v>750</v>
      </c>
      <c r="G3206" t="s">
        <v>5054</v>
      </c>
    </row>
    <row r="3207" spans="1:7">
      <c r="A3207" t="s">
        <v>8071</v>
      </c>
      <c r="B3207" t="s">
        <v>8072</v>
      </c>
      <c r="C3207" t="s">
        <v>6442</v>
      </c>
      <c r="D3207" t="s">
        <v>6443</v>
      </c>
      <c r="E3207">
        <v>6</v>
      </c>
      <c r="F3207" s="6">
        <v>750</v>
      </c>
      <c r="G3207" t="s">
        <v>5054</v>
      </c>
    </row>
    <row r="3208" spans="1:7">
      <c r="A3208" t="s">
        <v>8073</v>
      </c>
      <c r="B3208" t="s">
        <v>8074</v>
      </c>
      <c r="C3208" t="s">
        <v>3679</v>
      </c>
      <c r="D3208" t="s">
        <v>3680</v>
      </c>
      <c r="E3208">
        <v>6</v>
      </c>
      <c r="F3208" s="6">
        <v>750</v>
      </c>
      <c r="G3208" t="s">
        <v>5054</v>
      </c>
    </row>
    <row r="3209" spans="1:7">
      <c r="A3209" t="s">
        <v>8075</v>
      </c>
      <c r="B3209" t="s">
        <v>8076</v>
      </c>
      <c r="C3209" t="s">
        <v>4452</v>
      </c>
      <c r="D3209" t="s">
        <v>4453</v>
      </c>
      <c r="E3209">
        <v>6</v>
      </c>
      <c r="F3209" s="6">
        <v>750</v>
      </c>
      <c r="G3209" t="s">
        <v>5054</v>
      </c>
    </row>
    <row r="3210" spans="1:7">
      <c r="A3210" t="s">
        <v>8077</v>
      </c>
      <c r="B3210" t="s">
        <v>8078</v>
      </c>
      <c r="C3210" t="s">
        <v>4244</v>
      </c>
      <c r="D3210" t="s">
        <v>4245</v>
      </c>
      <c r="E3210">
        <v>6</v>
      </c>
      <c r="F3210" s="6">
        <v>750</v>
      </c>
      <c r="G3210" t="s">
        <v>5054</v>
      </c>
    </row>
    <row r="3211" spans="1:7">
      <c r="A3211" t="s">
        <v>8079</v>
      </c>
      <c r="B3211" t="s">
        <v>8080</v>
      </c>
      <c r="C3211" t="s">
        <v>3783</v>
      </c>
      <c r="D3211" t="s">
        <v>3784</v>
      </c>
      <c r="E3211">
        <v>12</v>
      </c>
      <c r="F3211" s="6">
        <v>750</v>
      </c>
      <c r="G3211" t="s">
        <v>3686</v>
      </c>
    </row>
    <row r="3212" spans="1:7">
      <c r="A3212" t="s">
        <v>8081</v>
      </c>
      <c r="B3212" t="s">
        <v>8080</v>
      </c>
      <c r="C3212" t="s">
        <v>3756</v>
      </c>
      <c r="D3212" t="s">
        <v>3757</v>
      </c>
      <c r="E3212">
        <v>12</v>
      </c>
      <c r="F3212" s="6">
        <v>1000</v>
      </c>
      <c r="G3212" t="s">
        <v>3686</v>
      </c>
    </row>
    <row r="3213" spans="1:7">
      <c r="A3213" t="s">
        <v>2873</v>
      </c>
      <c r="B3213" t="s">
        <v>8082</v>
      </c>
      <c r="C3213" t="s">
        <v>3783</v>
      </c>
      <c r="D3213" t="s">
        <v>3784</v>
      </c>
      <c r="E3213">
        <v>12</v>
      </c>
      <c r="F3213" s="6">
        <v>1000</v>
      </c>
      <c r="G3213" t="s">
        <v>3686</v>
      </c>
    </row>
    <row r="3214" spans="1:7">
      <c r="A3214" t="s">
        <v>445</v>
      </c>
      <c r="B3214" t="s">
        <v>8083</v>
      </c>
      <c r="C3214" t="s">
        <v>3756</v>
      </c>
      <c r="D3214" t="s">
        <v>3757</v>
      </c>
      <c r="E3214">
        <v>6</v>
      </c>
      <c r="F3214" s="6">
        <v>750</v>
      </c>
      <c r="G3214" t="s">
        <v>3931</v>
      </c>
    </row>
    <row r="3215" spans="1:7">
      <c r="A3215" t="s">
        <v>1847</v>
      </c>
      <c r="B3215" t="s">
        <v>8084</v>
      </c>
      <c r="C3215" t="s">
        <v>3756</v>
      </c>
      <c r="D3215" t="s">
        <v>3757</v>
      </c>
      <c r="E3215">
        <v>12</v>
      </c>
      <c r="F3215" s="6">
        <v>750</v>
      </c>
      <c r="G3215" t="s">
        <v>4163</v>
      </c>
    </row>
    <row r="3216" spans="1:7">
      <c r="A3216" t="s">
        <v>965</v>
      </c>
      <c r="B3216" t="s">
        <v>8084</v>
      </c>
      <c r="C3216" t="s">
        <v>3756</v>
      </c>
      <c r="D3216" t="s">
        <v>3757</v>
      </c>
      <c r="E3216">
        <v>12</v>
      </c>
      <c r="F3216" s="6">
        <v>1000</v>
      </c>
      <c r="G3216" t="s">
        <v>4163</v>
      </c>
    </row>
    <row r="3217" spans="1:7">
      <c r="A3217" t="s">
        <v>2584</v>
      </c>
      <c r="B3217" t="s">
        <v>8084</v>
      </c>
      <c r="C3217" t="s">
        <v>3756</v>
      </c>
      <c r="D3217" t="s">
        <v>3757</v>
      </c>
      <c r="E3217">
        <v>6</v>
      </c>
      <c r="F3217" s="6">
        <v>1750</v>
      </c>
      <c r="G3217" t="s">
        <v>4163</v>
      </c>
    </row>
    <row r="3218" spans="1:7">
      <c r="A3218" t="s">
        <v>1970</v>
      </c>
      <c r="B3218" t="s">
        <v>8085</v>
      </c>
      <c r="C3218" t="s">
        <v>4093</v>
      </c>
      <c r="D3218" t="s">
        <v>4094</v>
      </c>
      <c r="E3218">
        <v>24</v>
      </c>
      <c r="F3218" s="6">
        <v>375</v>
      </c>
      <c r="G3218" t="s">
        <v>3802</v>
      </c>
    </row>
    <row r="3219" spans="1:7">
      <c r="A3219" t="s">
        <v>8086</v>
      </c>
      <c r="B3219" t="s">
        <v>8087</v>
      </c>
      <c r="C3219" t="s">
        <v>4093</v>
      </c>
      <c r="D3219" t="s">
        <v>4094</v>
      </c>
      <c r="E3219">
        <v>24</v>
      </c>
      <c r="F3219" s="6">
        <v>375</v>
      </c>
      <c r="G3219" t="s">
        <v>3802</v>
      </c>
    </row>
    <row r="3220" spans="1:7">
      <c r="A3220" t="s">
        <v>8088</v>
      </c>
      <c r="B3220" t="s">
        <v>8089</v>
      </c>
      <c r="C3220" t="s">
        <v>4052</v>
      </c>
      <c r="D3220" t="s">
        <v>4053</v>
      </c>
      <c r="E3220">
        <v>12</v>
      </c>
      <c r="F3220" s="6">
        <v>750</v>
      </c>
      <c r="G3220" t="s">
        <v>5748</v>
      </c>
    </row>
    <row r="3221" spans="1:7">
      <c r="A3221" t="s">
        <v>2980</v>
      </c>
      <c r="B3221" t="s">
        <v>8090</v>
      </c>
      <c r="C3221" t="s">
        <v>4455</v>
      </c>
      <c r="D3221" t="s">
        <v>4456</v>
      </c>
      <c r="E3221">
        <v>6</v>
      </c>
      <c r="F3221" s="6">
        <v>750</v>
      </c>
      <c r="G3221" t="s">
        <v>5139</v>
      </c>
    </row>
    <row r="3222" spans="1:7">
      <c r="A3222" t="s">
        <v>1180</v>
      </c>
      <c r="B3222" t="s">
        <v>8091</v>
      </c>
      <c r="C3222" t="s">
        <v>6451</v>
      </c>
      <c r="D3222" t="s">
        <v>6452</v>
      </c>
      <c r="E3222">
        <v>12</v>
      </c>
      <c r="F3222" s="6">
        <v>750</v>
      </c>
      <c r="G3222" t="s">
        <v>3689</v>
      </c>
    </row>
    <row r="3223" spans="1:7">
      <c r="A3223" t="s">
        <v>188</v>
      </c>
      <c r="B3223" t="s">
        <v>8092</v>
      </c>
      <c r="C3223" t="s">
        <v>4093</v>
      </c>
      <c r="D3223" t="s">
        <v>4094</v>
      </c>
      <c r="E3223">
        <v>1</v>
      </c>
      <c r="F3223" s="6">
        <v>50</v>
      </c>
      <c r="G3223" t="s">
        <v>3802</v>
      </c>
    </row>
    <row r="3224" spans="1:7">
      <c r="A3224" t="s">
        <v>1636</v>
      </c>
      <c r="B3224" t="s">
        <v>8085</v>
      </c>
      <c r="C3224" t="s">
        <v>4093</v>
      </c>
      <c r="D3224" t="s">
        <v>4094</v>
      </c>
      <c r="E3224">
        <v>12</v>
      </c>
      <c r="F3224" s="6">
        <v>750</v>
      </c>
      <c r="G3224" t="s">
        <v>3802</v>
      </c>
    </row>
    <row r="3225" spans="1:7">
      <c r="A3225" t="s">
        <v>888</v>
      </c>
      <c r="B3225" t="s">
        <v>8093</v>
      </c>
      <c r="C3225" t="s">
        <v>4455</v>
      </c>
      <c r="D3225" t="s">
        <v>4456</v>
      </c>
      <c r="E3225">
        <v>6</v>
      </c>
      <c r="F3225" s="6">
        <v>750</v>
      </c>
      <c r="G3225" t="s">
        <v>5139</v>
      </c>
    </row>
    <row r="3226" spans="1:7">
      <c r="A3226" t="s">
        <v>8094</v>
      </c>
      <c r="B3226" t="s">
        <v>8095</v>
      </c>
      <c r="C3226" t="s">
        <v>7515</v>
      </c>
      <c r="D3226" t="s">
        <v>7516</v>
      </c>
      <c r="E3226">
        <v>6</v>
      </c>
      <c r="F3226" s="6">
        <v>750</v>
      </c>
      <c r="G3226" t="s">
        <v>5139</v>
      </c>
    </row>
    <row r="3227" spans="1:7">
      <c r="A3227" t="s">
        <v>1695</v>
      </c>
      <c r="B3227" t="s">
        <v>8096</v>
      </c>
      <c r="C3227" t="s">
        <v>4455</v>
      </c>
      <c r="D3227" t="s">
        <v>4456</v>
      </c>
      <c r="E3227">
        <v>12</v>
      </c>
      <c r="F3227" s="6">
        <v>375</v>
      </c>
      <c r="G3227" t="s">
        <v>5139</v>
      </c>
    </row>
    <row r="3228" spans="1:7">
      <c r="A3228" t="s">
        <v>8097</v>
      </c>
      <c r="B3228" t="s">
        <v>4518</v>
      </c>
      <c r="C3228" t="s">
        <v>3928</v>
      </c>
      <c r="D3228" t="s">
        <v>3929</v>
      </c>
      <c r="E3228">
        <v>12</v>
      </c>
      <c r="F3228" s="6">
        <v>375</v>
      </c>
      <c r="G3228" t="s">
        <v>3705</v>
      </c>
    </row>
    <row r="3229" spans="1:7">
      <c r="A3229" t="s">
        <v>8098</v>
      </c>
      <c r="B3229" t="s">
        <v>8099</v>
      </c>
      <c r="C3229" t="s">
        <v>4071</v>
      </c>
      <c r="D3229" t="s">
        <v>4072</v>
      </c>
      <c r="E3229">
        <v>6</v>
      </c>
      <c r="F3229" s="6">
        <v>750</v>
      </c>
      <c r="G3229" t="s">
        <v>3871</v>
      </c>
    </row>
    <row r="3230" spans="1:7">
      <c r="A3230" t="s">
        <v>8100</v>
      </c>
      <c r="B3230" t="s">
        <v>8101</v>
      </c>
      <c r="C3230" t="s">
        <v>3928</v>
      </c>
      <c r="D3230" t="s">
        <v>3929</v>
      </c>
      <c r="E3230">
        <v>6</v>
      </c>
      <c r="F3230" s="6">
        <v>750</v>
      </c>
      <c r="G3230" t="s">
        <v>3871</v>
      </c>
    </row>
    <row r="3231" spans="1:7">
      <c r="A3231" t="s">
        <v>8102</v>
      </c>
      <c r="B3231" t="s">
        <v>8103</v>
      </c>
      <c r="C3231" t="s">
        <v>3700</v>
      </c>
      <c r="D3231" t="s">
        <v>3701</v>
      </c>
      <c r="E3231">
        <v>1</v>
      </c>
      <c r="F3231" s="6">
        <v>50</v>
      </c>
      <c r="G3231" t="s">
        <v>3802</v>
      </c>
    </row>
    <row r="3232" spans="1:7">
      <c r="A3232" t="s">
        <v>8104</v>
      </c>
      <c r="B3232" t="s">
        <v>8105</v>
      </c>
      <c r="C3232" t="s">
        <v>3679</v>
      </c>
      <c r="D3232" t="s">
        <v>3680</v>
      </c>
      <c r="E3232">
        <v>12</v>
      </c>
      <c r="F3232" s="6">
        <v>750</v>
      </c>
      <c r="G3232" t="s">
        <v>3681</v>
      </c>
    </row>
    <row r="3233" spans="1:7">
      <c r="A3233" t="s">
        <v>8106</v>
      </c>
      <c r="B3233" t="s">
        <v>8107</v>
      </c>
      <c r="C3233" t="s">
        <v>3679</v>
      </c>
      <c r="D3233" t="s">
        <v>3680</v>
      </c>
      <c r="E3233">
        <v>12</v>
      </c>
      <c r="F3233" s="6">
        <v>750</v>
      </c>
      <c r="G3233" t="s">
        <v>3681</v>
      </c>
    </row>
    <row r="3234" spans="1:7">
      <c r="A3234" t="s">
        <v>8108</v>
      </c>
      <c r="B3234" t="s">
        <v>8109</v>
      </c>
      <c r="C3234" t="s">
        <v>3679</v>
      </c>
      <c r="D3234" t="s">
        <v>3680</v>
      </c>
      <c r="E3234">
        <v>6</v>
      </c>
      <c r="F3234" s="6">
        <v>750</v>
      </c>
      <c r="G3234" t="s">
        <v>4163</v>
      </c>
    </row>
    <row r="3235" spans="1:7">
      <c r="A3235" t="s">
        <v>8110</v>
      </c>
      <c r="B3235" t="s">
        <v>8111</v>
      </c>
      <c r="C3235" t="s">
        <v>3679</v>
      </c>
      <c r="D3235" t="s">
        <v>3680</v>
      </c>
      <c r="E3235">
        <v>6</v>
      </c>
      <c r="F3235" s="6">
        <v>750</v>
      </c>
      <c r="G3235" t="s">
        <v>4163</v>
      </c>
    </row>
    <row r="3236" spans="1:7">
      <c r="A3236" t="s">
        <v>2957</v>
      </c>
      <c r="B3236" t="s">
        <v>8112</v>
      </c>
      <c r="C3236" t="s">
        <v>3808</v>
      </c>
      <c r="D3236" t="s">
        <v>3809</v>
      </c>
      <c r="E3236">
        <v>6</v>
      </c>
      <c r="F3236" s="6">
        <v>750</v>
      </c>
      <c r="G3236" t="s">
        <v>3735</v>
      </c>
    </row>
    <row r="3237" spans="1:7">
      <c r="A3237" t="s">
        <v>782</v>
      </c>
      <c r="B3237" t="s">
        <v>8113</v>
      </c>
      <c r="C3237" t="s">
        <v>3756</v>
      </c>
      <c r="D3237" t="s">
        <v>3757</v>
      </c>
      <c r="E3237">
        <v>12</v>
      </c>
      <c r="F3237" s="6">
        <v>50</v>
      </c>
      <c r="G3237" t="s">
        <v>4331</v>
      </c>
    </row>
    <row r="3238" spans="1:7">
      <c r="A3238" t="s">
        <v>1557</v>
      </c>
      <c r="B3238" t="s">
        <v>7945</v>
      </c>
      <c r="C3238" t="s">
        <v>3756</v>
      </c>
      <c r="D3238" t="s">
        <v>3757</v>
      </c>
      <c r="E3238">
        <v>12</v>
      </c>
      <c r="F3238" s="6">
        <v>50</v>
      </c>
      <c r="G3238" t="s">
        <v>4331</v>
      </c>
    </row>
    <row r="3239" spans="1:7">
      <c r="A3239" t="s">
        <v>8114</v>
      </c>
      <c r="B3239" t="s">
        <v>8048</v>
      </c>
      <c r="C3239" t="s">
        <v>3756</v>
      </c>
      <c r="D3239" t="s">
        <v>3757</v>
      </c>
      <c r="E3239">
        <v>12</v>
      </c>
      <c r="F3239" s="6">
        <v>50</v>
      </c>
      <c r="G3239" t="s">
        <v>4331</v>
      </c>
    </row>
    <row r="3240" spans="1:7">
      <c r="A3240" t="s">
        <v>8115</v>
      </c>
      <c r="B3240" t="s">
        <v>7963</v>
      </c>
      <c r="C3240" t="s">
        <v>3756</v>
      </c>
      <c r="D3240" t="s">
        <v>3757</v>
      </c>
      <c r="E3240">
        <v>12</v>
      </c>
      <c r="F3240" s="6">
        <v>50</v>
      </c>
      <c r="G3240" t="s">
        <v>4331</v>
      </c>
    </row>
    <row r="3241" spans="1:7">
      <c r="A3241" t="s">
        <v>2409</v>
      </c>
      <c r="B3241" t="s">
        <v>7954</v>
      </c>
      <c r="C3241" t="s">
        <v>3756</v>
      </c>
      <c r="D3241" t="s">
        <v>3757</v>
      </c>
      <c r="E3241">
        <v>12</v>
      </c>
      <c r="F3241" s="6">
        <v>50</v>
      </c>
      <c r="G3241" t="s">
        <v>4331</v>
      </c>
    </row>
    <row r="3242" spans="1:7">
      <c r="A3242" t="s">
        <v>8116</v>
      </c>
      <c r="B3242" t="s">
        <v>8117</v>
      </c>
      <c r="C3242" t="s">
        <v>3679</v>
      </c>
      <c r="D3242" t="s">
        <v>3680</v>
      </c>
      <c r="E3242">
        <v>3</v>
      </c>
      <c r="F3242" s="6">
        <v>750</v>
      </c>
      <c r="G3242" t="s">
        <v>4163</v>
      </c>
    </row>
    <row r="3243" spans="1:7">
      <c r="A3243" t="s">
        <v>1912</v>
      </c>
      <c r="B3243" t="s">
        <v>8118</v>
      </c>
      <c r="C3243" t="s">
        <v>4093</v>
      </c>
      <c r="D3243" t="s">
        <v>4094</v>
      </c>
      <c r="E3243">
        <v>12</v>
      </c>
      <c r="F3243" s="6">
        <v>750</v>
      </c>
      <c r="G3243" t="s">
        <v>4163</v>
      </c>
    </row>
    <row r="3244" spans="1:7">
      <c r="A3244" t="s">
        <v>8119</v>
      </c>
      <c r="B3244" t="s">
        <v>8120</v>
      </c>
      <c r="C3244" t="s">
        <v>4093</v>
      </c>
      <c r="D3244" t="s">
        <v>4094</v>
      </c>
      <c r="E3244">
        <v>12</v>
      </c>
      <c r="F3244" s="6">
        <v>750</v>
      </c>
      <c r="G3244" t="s">
        <v>6068</v>
      </c>
    </row>
    <row r="3245" spans="1:7">
      <c r="A3245" t="s">
        <v>8121</v>
      </c>
      <c r="B3245" t="s">
        <v>8122</v>
      </c>
      <c r="C3245" t="s">
        <v>3679</v>
      </c>
      <c r="D3245" t="s">
        <v>3680</v>
      </c>
      <c r="E3245">
        <v>6</v>
      </c>
      <c r="F3245" s="6">
        <v>1750</v>
      </c>
      <c r="G3245" t="s">
        <v>3686</v>
      </c>
    </row>
    <row r="3246" spans="1:7">
      <c r="A3246" t="s">
        <v>8123</v>
      </c>
      <c r="B3246" t="s">
        <v>8124</v>
      </c>
      <c r="C3246" t="s">
        <v>3679</v>
      </c>
      <c r="D3246" t="s">
        <v>3680</v>
      </c>
      <c r="E3246">
        <v>12</v>
      </c>
      <c r="F3246" s="6">
        <v>750</v>
      </c>
      <c r="G3246" t="s">
        <v>3686</v>
      </c>
    </row>
    <row r="3247" spans="1:7">
      <c r="A3247" t="s">
        <v>8125</v>
      </c>
      <c r="B3247" t="s">
        <v>8126</v>
      </c>
      <c r="C3247" t="s">
        <v>3756</v>
      </c>
      <c r="D3247" t="s">
        <v>3757</v>
      </c>
      <c r="E3247">
        <v>12</v>
      </c>
      <c r="F3247" s="6">
        <v>750</v>
      </c>
      <c r="G3247" t="s">
        <v>3686</v>
      </c>
    </row>
    <row r="3248" spans="1:7">
      <c r="A3248" t="s">
        <v>8127</v>
      </c>
      <c r="B3248" t="s">
        <v>8128</v>
      </c>
      <c r="C3248" t="s">
        <v>4071</v>
      </c>
      <c r="D3248" t="s">
        <v>4072</v>
      </c>
      <c r="E3248">
        <v>12</v>
      </c>
      <c r="F3248" s="6">
        <v>750</v>
      </c>
      <c r="G3248" t="s">
        <v>6068</v>
      </c>
    </row>
    <row r="3249" spans="1:7">
      <c r="A3249" t="s">
        <v>281</v>
      </c>
      <c r="B3249" t="s">
        <v>8129</v>
      </c>
      <c r="C3249" t="s">
        <v>4071</v>
      </c>
      <c r="D3249" t="s">
        <v>4072</v>
      </c>
      <c r="E3249">
        <v>6</v>
      </c>
      <c r="F3249" s="6">
        <v>750</v>
      </c>
      <c r="G3249" t="s">
        <v>3851</v>
      </c>
    </row>
    <row r="3250" spans="1:7">
      <c r="A3250" t="s">
        <v>8130</v>
      </c>
      <c r="B3250" t="s">
        <v>8131</v>
      </c>
      <c r="C3250" t="s">
        <v>3928</v>
      </c>
      <c r="D3250" t="s">
        <v>3929</v>
      </c>
      <c r="E3250">
        <v>6</v>
      </c>
      <c r="F3250" s="6">
        <v>750</v>
      </c>
      <c r="G3250" t="s">
        <v>4163</v>
      </c>
    </row>
    <row r="3251" spans="1:7">
      <c r="A3251" t="s">
        <v>2900</v>
      </c>
      <c r="B3251" t="s">
        <v>8132</v>
      </c>
      <c r="C3251" t="s">
        <v>3679</v>
      </c>
      <c r="D3251" t="s">
        <v>3680</v>
      </c>
      <c r="E3251">
        <v>6</v>
      </c>
      <c r="F3251" s="6">
        <v>750</v>
      </c>
      <c r="G3251" t="s">
        <v>3702</v>
      </c>
    </row>
    <row r="3252" spans="1:7">
      <c r="A3252" t="s">
        <v>8133</v>
      </c>
      <c r="B3252" t="s">
        <v>8134</v>
      </c>
      <c r="C3252" t="s">
        <v>4244</v>
      </c>
      <c r="D3252" t="s">
        <v>4245</v>
      </c>
      <c r="E3252">
        <v>6</v>
      </c>
      <c r="F3252" s="6">
        <v>750</v>
      </c>
      <c r="G3252" t="s">
        <v>5070</v>
      </c>
    </row>
    <row r="3253" spans="1:7">
      <c r="A3253" t="s">
        <v>8135</v>
      </c>
      <c r="B3253" t="s">
        <v>8136</v>
      </c>
      <c r="C3253" t="s">
        <v>3928</v>
      </c>
      <c r="D3253" t="s">
        <v>3929</v>
      </c>
      <c r="E3253">
        <v>6</v>
      </c>
      <c r="F3253" s="6">
        <v>750</v>
      </c>
      <c r="G3253" t="s">
        <v>5070</v>
      </c>
    </row>
    <row r="3254" spans="1:7">
      <c r="A3254" t="s">
        <v>8137</v>
      </c>
      <c r="B3254" t="s">
        <v>8138</v>
      </c>
      <c r="C3254" t="s">
        <v>3679</v>
      </c>
      <c r="D3254" t="s">
        <v>3680</v>
      </c>
      <c r="E3254">
        <v>6</v>
      </c>
      <c r="F3254" s="6">
        <v>750</v>
      </c>
      <c r="G3254" t="s">
        <v>3851</v>
      </c>
    </row>
    <row r="3255" spans="1:7">
      <c r="A3255" t="s">
        <v>8139</v>
      </c>
      <c r="B3255" t="s">
        <v>8140</v>
      </c>
      <c r="C3255" t="s">
        <v>3928</v>
      </c>
      <c r="D3255" t="s">
        <v>3929</v>
      </c>
      <c r="E3255">
        <v>6</v>
      </c>
      <c r="F3255" s="6">
        <v>750</v>
      </c>
      <c r="G3255" t="s">
        <v>3802</v>
      </c>
    </row>
    <row r="3256" spans="1:7">
      <c r="A3256" t="s">
        <v>1325</v>
      </c>
      <c r="B3256" t="s">
        <v>8141</v>
      </c>
      <c r="C3256" t="s">
        <v>3928</v>
      </c>
      <c r="D3256" t="s">
        <v>3929</v>
      </c>
      <c r="E3256">
        <v>6</v>
      </c>
      <c r="F3256" s="6">
        <v>750</v>
      </c>
      <c r="G3256" t="s">
        <v>3802</v>
      </c>
    </row>
    <row r="3257" spans="1:7">
      <c r="A3257" t="s">
        <v>2582</v>
      </c>
      <c r="B3257" t="s">
        <v>8142</v>
      </c>
      <c r="C3257" t="s">
        <v>3928</v>
      </c>
      <c r="D3257" t="s">
        <v>3929</v>
      </c>
      <c r="E3257">
        <v>6</v>
      </c>
      <c r="F3257" s="6">
        <v>750</v>
      </c>
      <c r="G3257" t="s">
        <v>3802</v>
      </c>
    </row>
    <row r="3258" spans="1:7">
      <c r="A3258" t="s">
        <v>8143</v>
      </c>
      <c r="B3258" t="s">
        <v>8144</v>
      </c>
      <c r="C3258" t="s">
        <v>3679</v>
      </c>
      <c r="D3258" t="s">
        <v>3680</v>
      </c>
      <c r="E3258">
        <v>3</v>
      </c>
      <c r="F3258" s="6">
        <v>750</v>
      </c>
      <c r="G3258" t="s">
        <v>4163</v>
      </c>
    </row>
    <row r="3259" spans="1:7">
      <c r="A3259" t="s">
        <v>8145</v>
      </c>
      <c r="B3259" t="s">
        <v>8146</v>
      </c>
      <c r="C3259" t="s">
        <v>3718</v>
      </c>
      <c r="D3259" t="s">
        <v>3719</v>
      </c>
      <c r="E3259">
        <v>6</v>
      </c>
      <c r="F3259" s="6">
        <v>750</v>
      </c>
      <c r="G3259" t="s">
        <v>4163</v>
      </c>
    </row>
    <row r="3260" spans="1:7">
      <c r="A3260" t="s">
        <v>2300</v>
      </c>
      <c r="B3260" t="s">
        <v>8147</v>
      </c>
      <c r="C3260" t="s">
        <v>4093</v>
      </c>
      <c r="D3260" t="s">
        <v>4094</v>
      </c>
      <c r="E3260">
        <v>6</v>
      </c>
      <c r="F3260" s="6">
        <v>1750</v>
      </c>
      <c r="G3260" t="s">
        <v>3730</v>
      </c>
    </row>
    <row r="3261" spans="1:7">
      <c r="A3261" t="s">
        <v>948</v>
      </c>
      <c r="B3261" t="s">
        <v>8147</v>
      </c>
      <c r="C3261" t="s">
        <v>4093</v>
      </c>
      <c r="D3261" t="s">
        <v>4094</v>
      </c>
      <c r="E3261">
        <v>12</v>
      </c>
      <c r="F3261" s="6">
        <v>750</v>
      </c>
      <c r="G3261" t="s">
        <v>3730</v>
      </c>
    </row>
    <row r="3262" spans="1:7">
      <c r="A3262" t="s">
        <v>1766</v>
      </c>
      <c r="B3262" t="s">
        <v>8148</v>
      </c>
      <c r="C3262" t="s">
        <v>4093</v>
      </c>
      <c r="D3262" t="s">
        <v>4094</v>
      </c>
      <c r="E3262">
        <v>12</v>
      </c>
      <c r="F3262" s="6">
        <v>50</v>
      </c>
      <c r="G3262" t="s">
        <v>3730</v>
      </c>
    </row>
    <row r="3263" spans="1:7">
      <c r="A3263" t="s">
        <v>8149</v>
      </c>
      <c r="B3263" t="s">
        <v>8150</v>
      </c>
      <c r="C3263" t="s">
        <v>3808</v>
      </c>
      <c r="D3263" t="s">
        <v>3809</v>
      </c>
      <c r="E3263">
        <v>12</v>
      </c>
      <c r="F3263" s="6">
        <v>50</v>
      </c>
      <c r="G3263" t="s">
        <v>3686</v>
      </c>
    </row>
    <row r="3264" spans="1:7">
      <c r="A3264" t="s">
        <v>8151</v>
      </c>
      <c r="B3264" t="s">
        <v>8152</v>
      </c>
      <c r="C3264" t="s">
        <v>3808</v>
      </c>
      <c r="D3264" t="s">
        <v>3809</v>
      </c>
      <c r="E3264">
        <v>12</v>
      </c>
      <c r="F3264" s="6">
        <v>750</v>
      </c>
      <c r="G3264" t="s">
        <v>3686</v>
      </c>
    </row>
    <row r="3265" spans="1:7">
      <c r="A3265" t="s">
        <v>8153</v>
      </c>
      <c r="B3265" t="s">
        <v>8154</v>
      </c>
      <c r="C3265" t="s">
        <v>3808</v>
      </c>
      <c r="D3265" t="s">
        <v>3809</v>
      </c>
      <c r="E3265">
        <v>6</v>
      </c>
      <c r="F3265" s="6">
        <v>1750</v>
      </c>
      <c r="G3265" t="s">
        <v>3686</v>
      </c>
    </row>
    <row r="3266" spans="1:7">
      <c r="A3266" t="s">
        <v>8155</v>
      </c>
      <c r="B3266" t="s">
        <v>8156</v>
      </c>
      <c r="C3266" t="s">
        <v>4012</v>
      </c>
      <c r="D3266" t="s">
        <v>4013</v>
      </c>
      <c r="E3266">
        <v>6</v>
      </c>
      <c r="F3266" s="6">
        <v>750</v>
      </c>
      <c r="G3266" t="s">
        <v>3686</v>
      </c>
    </row>
    <row r="3267" spans="1:7">
      <c r="A3267" t="s">
        <v>1232</v>
      </c>
      <c r="B3267" t="s">
        <v>8157</v>
      </c>
      <c r="C3267" t="s">
        <v>4093</v>
      </c>
      <c r="D3267" t="s">
        <v>4094</v>
      </c>
      <c r="E3267">
        <v>1</v>
      </c>
      <c r="F3267" s="6">
        <v>50</v>
      </c>
      <c r="G3267" t="s">
        <v>3802</v>
      </c>
    </row>
    <row r="3268" spans="1:7">
      <c r="A3268" t="s">
        <v>932</v>
      </c>
      <c r="B3268" t="s">
        <v>8087</v>
      </c>
      <c r="C3268" t="s">
        <v>4093</v>
      </c>
      <c r="D3268" t="s">
        <v>4094</v>
      </c>
      <c r="E3268">
        <v>12</v>
      </c>
      <c r="F3268" s="6">
        <v>750</v>
      </c>
      <c r="G3268" t="s">
        <v>3802</v>
      </c>
    </row>
    <row r="3269" spans="1:7">
      <c r="A3269" t="s">
        <v>8158</v>
      </c>
      <c r="B3269" t="s">
        <v>8159</v>
      </c>
      <c r="C3269" t="s">
        <v>3692</v>
      </c>
      <c r="D3269" t="s">
        <v>3693</v>
      </c>
      <c r="E3269">
        <v>6</v>
      </c>
      <c r="F3269" s="6">
        <v>750</v>
      </c>
      <c r="G3269" t="s">
        <v>4073</v>
      </c>
    </row>
    <row r="3270" spans="1:7">
      <c r="A3270" t="s">
        <v>1804</v>
      </c>
      <c r="B3270" t="s">
        <v>8160</v>
      </c>
      <c r="C3270" t="s">
        <v>3692</v>
      </c>
      <c r="D3270" t="s">
        <v>3693</v>
      </c>
      <c r="E3270">
        <v>6</v>
      </c>
      <c r="F3270" s="6">
        <v>750</v>
      </c>
      <c r="G3270" t="s">
        <v>4073</v>
      </c>
    </row>
    <row r="3271" spans="1:7">
      <c r="A3271" t="s">
        <v>8161</v>
      </c>
      <c r="B3271" t="s">
        <v>8162</v>
      </c>
      <c r="C3271" t="s">
        <v>3756</v>
      </c>
      <c r="D3271" t="s">
        <v>3757</v>
      </c>
      <c r="E3271">
        <v>6</v>
      </c>
      <c r="F3271" s="6">
        <v>1000</v>
      </c>
      <c r="G3271" t="s">
        <v>8163</v>
      </c>
    </row>
    <row r="3272" spans="1:7">
      <c r="A3272" t="s">
        <v>8164</v>
      </c>
      <c r="B3272" t="s">
        <v>8162</v>
      </c>
      <c r="C3272" t="s">
        <v>4170</v>
      </c>
      <c r="D3272" t="s">
        <v>4171</v>
      </c>
      <c r="E3272">
        <v>6</v>
      </c>
      <c r="F3272" s="6">
        <v>700</v>
      </c>
      <c r="G3272" t="s">
        <v>8163</v>
      </c>
    </row>
    <row r="3273" spans="1:7">
      <c r="A3273" t="s">
        <v>8165</v>
      </c>
      <c r="B3273" t="s">
        <v>8166</v>
      </c>
      <c r="C3273" t="s">
        <v>4071</v>
      </c>
      <c r="D3273" t="s">
        <v>4072</v>
      </c>
      <c r="E3273">
        <v>6</v>
      </c>
      <c r="F3273" s="6">
        <v>750</v>
      </c>
      <c r="G3273" t="s">
        <v>5228</v>
      </c>
    </row>
    <row r="3274" spans="1:7">
      <c r="A3274" t="s">
        <v>2527</v>
      </c>
      <c r="B3274" t="s">
        <v>8167</v>
      </c>
      <c r="C3274" t="s">
        <v>4071</v>
      </c>
      <c r="D3274" t="s">
        <v>4072</v>
      </c>
      <c r="E3274">
        <v>6</v>
      </c>
      <c r="F3274" s="6">
        <v>750</v>
      </c>
      <c r="G3274" t="s">
        <v>5228</v>
      </c>
    </row>
    <row r="3275" spans="1:7">
      <c r="A3275" t="s">
        <v>8168</v>
      </c>
      <c r="B3275" t="s">
        <v>8169</v>
      </c>
      <c r="C3275" t="s">
        <v>4071</v>
      </c>
      <c r="D3275" t="s">
        <v>4072</v>
      </c>
      <c r="E3275">
        <v>6</v>
      </c>
      <c r="F3275" s="6">
        <v>750</v>
      </c>
      <c r="G3275" t="s">
        <v>5228</v>
      </c>
    </row>
    <row r="3276" spans="1:7">
      <c r="A3276" t="s">
        <v>1439</v>
      </c>
      <c r="B3276" t="s">
        <v>8170</v>
      </c>
      <c r="C3276" t="s">
        <v>4071</v>
      </c>
      <c r="D3276" t="s">
        <v>4072</v>
      </c>
      <c r="E3276">
        <v>12</v>
      </c>
      <c r="F3276" s="6">
        <v>750</v>
      </c>
      <c r="G3276" t="s">
        <v>5228</v>
      </c>
    </row>
    <row r="3277" spans="1:7">
      <c r="A3277" t="s">
        <v>2105</v>
      </c>
      <c r="B3277" t="s">
        <v>8171</v>
      </c>
      <c r="C3277" t="s">
        <v>4071</v>
      </c>
      <c r="D3277" t="s">
        <v>4072</v>
      </c>
      <c r="E3277">
        <v>6</v>
      </c>
      <c r="F3277" s="6">
        <v>750</v>
      </c>
      <c r="G3277" t="s">
        <v>5228</v>
      </c>
    </row>
    <row r="3278" spans="1:7">
      <c r="A3278" t="s">
        <v>361</v>
      </c>
      <c r="B3278" t="s">
        <v>8172</v>
      </c>
      <c r="C3278" t="s">
        <v>5653</v>
      </c>
      <c r="D3278" t="s">
        <v>5654</v>
      </c>
      <c r="E3278">
        <v>6</v>
      </c>
      <c r="F3278" s="6">
        <v>750</v>
      </c>
      <c r="G3278" t="s">
        <v>4027</v>
      </c>
    </row>
    <row r="3279" spans="1:7">
      <c r="A3279" t="s">
        <v>8173</v>
      </c>
      <c r="B3279" t="s">
        <v>8174</v>
      </c>
      <c r="C3279" t="s">
        <v>4093</v>
      </c>
      <c r="D3279" t="s">
        <v>4094</v>
      </c>
      <c r="E3279">
        <v>6</v>
      </c>
      <c r="F3279" s="6">
        <v>750</v>
      </c>
      <c r="G3279" t="s">
        <v>8175</v>
      </c>
    </row>
    <row r="3280" spans="1:7">
      <c r="A3280" t="s">
        <v>8176</v>
      </c>
      <c r="B3280" t="s">
        <v>8177</v>
      </c>
      <c r="C3280" t="s">
        <v>4591</v>
      </c>
      <c r="D3280" t="s">
        <v>4592</v>
      </c>
      <c r="E3280">
        <v>6</v>
      </c>
      <c r="F3280" s="6">
        <v>200</v>
      </c>
      <c r="G3280" t="s">
        <v>5421</v>
      </c>
    </row>
    <row r="3281" spans="1:7">
      <c r="A3281" t="s">
        <v>8178</v>
      </c>
      <c r="B3281" t="s">
        <v>8179</v>
      </c>
      <c r="C3281" t="s">
        <v>4093</v>
      </c>
      <c r="D3281" t="s">
        <v>4094</v>
      </c>
      <c r="E3281">
        <v>12</v>
      </c>
      <c r="F3281" s="6">
        <v>50</v>
      </c>
      <c r="G3281" t="s">
        <v>8175</v>
      </c>
    </row>
    <row r="3282" spans="1:7">
      <c r="A3282" t="s">
        <v>8180</v>
      </c>
      <c r="B3282" t="s">
        <v>8181</v>
      </c>
      <c r="C3282" t="s">
        <v>4093</v>
      </c>
      <c r="D3282" t="s">
        <v>4094</v>
      </c>
      <c r="E3282">
        <v>6</v>
      </c>
      <c r="F3282" s="6">
        <v>750</v>
      </c>
      <c r="G3282" t="s">
        <v>8175</v>
      </c>
    </row>
    <row r="3283" spans="1:7">
      <c r="A3283" t="s">
        <v>8182</v>
      </c>
      <c r="B3283" t="s">
        <v>8183</v>
      </c>
      <c r="C3283" t="s">
        <v>4093</v>
      </c>
      <c r="D3283" t="s">
        <v>4094</v>
      </c>
      <c r="E3283">
        <v>12</v>
      </c>
      <c r="F3283" s="6">
        <v>50</v>
      </c>
      <c r="G3283" t="s">
        <v>8175</v>
      </c>
    </row>
    <row r="3284" spans="1:7">
      <c r="A3284" t="s">
        <v>3203</v>
      </c>
      <c r="B3284" t="s">
        <v>8184</v>
      </c>
      <c r="C3284" t="s">
        <v>4071</v>
      </c>
      <c r="D3284" t="s">
        <v>4072</v>
      </c>
      <c r="E3284">
        <v>6</v>
      </c>
      <c r="F3284" s="6">
        <v>750</v>
      </c>
      <c r="G3284" t="s">
        <v>3851</v>
      </c>
    </row>
    <row r="3285" spans="1:7">
      <c r="A3285" t="s">
        <v>8185</v>
      </c>
      <c r="B3285" t="s">
        <v>8186</v>
      </c>
      <c r="C3285" t="s">
        <v>4071</v>
      </c>
      <c r="D3285" t="s">
        <v>4072</v>
      </c>
      <c r="E3285">
        <v>6</v>
      </c>
      <c r="F3285" s="6">
        <v>750</v>
      </c>
      <c r="G3285" t="s">
        <v>3851</v>
      </c>
    </row>
    <row r="3286" spans="1:7">
      <c r="A3286" t="s">
        <v>8187</v>
      </c>
      <c r="B3286" t="s">
        <v>8188</v>
      </c>
      <c r="C3286" t="s">
        <v>3700</v>
      </c>
      <c r="D3286" t="s">
        <v>3701</v>
      </c>
      <c r="E3286">
        <v>12</v>
      </c>
      <c r="F3286" s="6">
        <v>375</v>
      </c>
      <c r="G3286" t="s">
        <v>5106</v>
      </c>
    </row>
    <row r="3287" spans="1:7">
      <c r="A3287" t="s">
        <v>8189</v>
      </c>
      <c r="B3287" t="s">
        <v>8190</v>
      </c>
      <c r="C3287" t="s">
        <v>3756</v>
      </c>
      <c r="D3287" t="s">
        <v>3757</v>
      </c>
      <c r="E3287">
        <v>12</v>
      </c>
      <c r="F3287" s="6">
        <v>750</v>
      </c>
      <c r="G3287" t="s">
        <v>3686</v>
      </c>
    </row>
    <row r="3288" spans="1:7">
      <c r="A3288" t="s">
        <v>833</v>
      </c>
      <c r="B3288" t="s">
        <v>8191</v>
      </c>
      <c r="C3288" t="s">
        <v>6411</v>
      </c>
      <c r="D3288" t="s">
        <v>6412</v>
      </c>
      <c r="E3288">
        <v>12</v>
      </c>
      <c r="F3288" s="6">
        <v>750</v>
      </c>
      <c r="G3288" t="s">
        <v>5020</v>
      </c>
    </row>
    <row r="3289" spans="1:7">
      <c r="A3289" t="s">
        <v>2553</v>
      </c>
      <c r="B3289" t="s">
        <v>8192</v>
      </c>
      <c r="C3289" t="s">
        <v>4632</v>
      </c>
      <c r="D3289" t="s">
        <v>4633</v>
      </c>
      <c r="E3289">
        <v>6</v>
      </c>
      <c r="F3289" s="6">
        <v>1750</v>
      </c>
      <c r="G3289" t="s">
        <v>4331</v>
      </c>
    </row>
    <row r="3290" spans="1:7">
      <c r="A3290" t="s">
        <v>8193</v>
      </c>
      <c r="B3290" t="s">
        <v>8194</v>
      </c>
      <c r="C3290" t="s">
        <v>4052</v>
      </c>
      <c r="D3290" t="s">
        <v>4053</v>
      </c>
      <c r="E3290">
        <v>6</v>
      </c>
      <c r="F3290" s="6">
        <v>1750</v>
      </c>
      <c r="G3290" t="s">
        <v>4331</v>
      </c>
    </row>
    <row r="3291" spans="1:7">
      <c r="A3291" t="s">
        <v>3332</v>
      </c>
      <c r="B3291" t="s">
        <v>8195</v>
      </c>
      <c r="C3291" t="s">
        <v>4071</v>
      </c>
      <c r="D3291" t="s">
        <v>4072</v>
      </c>
      <c r="E3291">
        <v>6</v>
      </c>
      <c r="F3291" s="6">
        <v>750</v>
      </c>
      <c r="G3291" t="s">
        <v>3851</v>
      </c>
    </row>
    <row r="3292" spans="1:7">
      <c r="A3292" t="s">
        <v>8196</v>
      </c>
      <c r="B3292" t="s">
        <v>8197</v>
      </c>
      <c r="C3292" t="s">
        <v>4071</v>
      </c>
      <c r="D3292" t="s">
        <v>4072</v>
      </c>
      <c r="E3292">
        <v>6</v>
      </c>
      <c r="F3292" s="6">
        <v>750</v>
      </c>
      <c r="G3292" t="s">
        <v>3851</v>
      </c>
    </row>
    <row r="3293" spans="1:7">
      <c r="A3293" t="s">
        <v>1475</v>
      </c>
      <c r="B3293" t="s">
        <v>8198</v>
      </c>
      <c r="C3293" t="s">
        <v>4071</v>
      </c>
      <c r="D3293" t="s">
        <v>4072</v>
      </c>
      <c r="E3293">
        <v>6</v>
      </c>
      <c r="F3293" s="6">
        <v>750</v>
      </c>
      <c r="G3293" t="s">
        <v>3851</v>
      </c>
    </row>
    <row r="3294" spans="1:7">
      <c r="A3294" t="s">
        <v>1984</v>
      </c>
      <c r="B3294" t="s">
        <v>8199</v>
      </c>
      <c r="C3294" t="s">
        <v>3756</v>
      </c>
      <c r="D3294" t="s">
        <v>3757</v>
      </c>
      <c r="E3294">
        <v>6</v>
      </c>
      <c r="F3294" s="6">
        <v>750</v>
      </c>
      <c r="G3294" t="s">
        <v>5421</v>
      </c>
    </row>
    <row r="3295" spans="1:7">
      <c r="A3295" t="s">
        <v>407</v>
      </c>
      <c r="B3295" t="s">
        <v>8200</v>
      </c>
      <c r="C3295" t="s">
        <v>6442</v>
      </c>
      <c r="D3295" t="s">
        <v>6443</v>
      </c>
      <c r="E3295">
        <v>12</v>
      </c>
      <c r="F3295" s="6">
        <v>1000</v>
      </c>
      <c r="G3295" t="s">
        <v>3686</v>
      </c>
    </row>
    <row r="3296" spans="1:7">
      <c r="A3296" t="s">
        <v>8201</v>
      </c>
      <c r="B3296" t="s">
        <v>8202</v>
      </c>
      <c r="C3296" t="s">
        <v>7486</v>
      </c>
      <c r="D3296" t="s">
        <v>7487</v>
      </c>
      <c r="E3296">
        <v>6</v>
      </c>
      <c r="F3296" s="6">
        <v>750</v>
      </c>
      <c r="G3296" t="s">
        <v>4300</v>
      </c>
    </row>
    <row r="3297" spans="1:7">
      <c r="A3297" t="s">
        <v>8203</v>
      </c>
      <c r="B3297" t="s">
        <v>8204</v>
      </c>
      <c r="C3297" t="s">
        <v>3977</v>
      </c>
      <c r="D3297" t="s">
        <v>3978</v>
      </c>
      <c r="E3297">
        <v>6</v>
      </c>
      <c r="F3297" s="6">
        <v>750</v>
      </c>
      <c r="G3297" t="s">
        <v>4300</v>
      </c>
    </row>
    <row r="3298" spans="1:7">
      <c r="A3298" t="s">
        <v>8205</v>
      </c>
      <c r="B3298" t="s">
        <v>8206</v>
      </c>
      <c r="C3298" t="s">
        <v>3977</v>
      </c>
      <c r="D3298" t="s">
        <v>3978</v>
      </c>
      <c r="E3298">
        <v>6</v>
      </c>
      <c r="F3298" s="6">
        <v>750</v>
      </c>
      <c r="G3298" t="s">
        <v>4300</v>
      </c>
    </row>
    <row r="3299" spans="1:7">
      <c r="A3299" t="s">
        <v>8207</v>
      </c>
      <c r="B3299" t="s">
        <v>8208</v>
      </c>
      <c r="C3299" t="s">
        <v>3756</v>
      </c>
      <c r="D3299" t="s">
        <v>3757</v>
      </c>
      <c r="E3299">
        <v>6</v>
      </c>
      <c r="F3299" s="6">
        <v>750</v>
      </c>
      <c r="G3299" t="s">
        <v>4300</v>
      </c>
    </row>
    <row r="3300" spans="1:7">
      <c r="A3300" t="s">
        <v>3263</v>
      </c>
      <c r="B3300" t="s">
        <v>8209</v>
      </c>
      <c r="C3300" t="s">
        <v>3700</v>
      </c>
      <c r="D3300" t="s">
        <v>3701</v>
      </c>
      <c r="E3300">
        <v>12</v>
      </c>
      <c r="F3300" s="6">
        <v>375</v>
      </c>
      <c r="G3300" t="s">
        <v>5106</v>
      </c>
    </row>
    <row r="3301" spans="1:7">
      <c r="A3301" t="s">
        <v>1463</v>
      </c>
      <c r="B3301" t="s">
        <v>8210</v>
      </c>
      <c r="C3301" t="s">
        <v>4093</v>
      </c>
      <c r="D3301" t="s">
        <v>4094</v>
      </c>
      <c r="E3301">
        <v>12</v>
      </c>
      <c r="F3301" s="6">
        <v>750</v>
      </c>
      <c r="G3301" t="s">
        <v>3730</v>
      </c>
    </row>
    <row r="3302" spans="1:7">
      <c r="A3302" t="s">
        <v>296</v>
      </c>
      <c r="B3302" t="s">
        <v>8211</v>
      </c>
      <c r="C3302" t="s">
        <v>4093</v>
      </c>
      <c r="D3302" t="s">
        <v>4094</v>
      </c>
      <c r="E3302">
        <v>12</v>
      </c>
      <c r="F3302" s="6">
        <v>750</v>
      </c>
      <c r="G3302" t="s">
        <v>3730</v>
      </c>
    </row>
    <row r="3303" spans="1:7">
      <c r="A3303" t="s">
        <v>3360</v>
      </c>
      <c r="B3303" t="s">
        <v>8212</v>
      </c>
      <c r="C3303" t="s">
        <v>4093</v>
      </c>
      <c r="D3303" t="s">
        <v>4094</v>
      </c>
      <c r="E3303">
        <v>12</v>
      </c>
      <c r="F3303" s="6">
        <v>750</v>
      </c>
      <c r="G3303" t="s">
        <v>3730</v>
      </c>
    </row>
    <row r="3304" spans="1:7">
      <c r="A3304" t="s">
        <v>3028</v>
      </c>
      <c r="B3304" t="s">
        <v>8212</v>
      </c>
      <c r="C3304" t="s">
        <v>4093</v>
      </c>
      <c r="D3304" t="s">
        <v>4094</v>
      </c>
      <c r="E3304">
        <v>12</v>
      </c>
      <c r="F3304" s="6">
        <v>1000</v>
      </c>
      <c r="G3304" t="s">
        <v>3730</v>
      </c>
    </row>
    <row r="3305" spans="1:7">
      <c r="A3305" t="s">
        <v>252</v>
      </c>
      <c r="B3305" t="s">
        <v>8213</v>
      </c>
      <c r="C3305" t="s">
        <v>4093</v>
      </c>
      <c r="D3305" t="s">
        <v>4094</v>
      </c>
      <c r="E3305">
        <v>12</v>
      </c>
      <c r="F3305" s="6">
        <v>750</v>
      </c>
      <c r="G3305" t="s">
        <v>3730</v>
      </c>
    </row>
    <row r="3306" spans="1:7">
      <c r="A3306" t="s">
        <v>1856</v>
      </c>
      <c r="B3306" t="s">
        <v>8214</v>
      </c>
      <c r="C3306" t="s">
        <v>4093</v>
      </c>
      <c r="D3306" t="s">
        <v>4094</v>
      </c>
      <c r="E3306">
        <v>12</v>
      </c>
      <c r="F3306" s="6">
        <v>750</v>
      </c>
      <c r="G3306" t="s">
        <v>3730</v>
      </c>
    </row>
    <row r="3307" spans="1:7">
      <c r="A3307" t="s">
        <v>3305</v>
      </c>
      <c r="B3307" t="s">
        <v>8215</v>
      </c>
      <c r="C3307" t="s">
        <v>4093</v>
      </c>
      <c r="D3307" t="s">
        <v>4094</v>
      </c>
      <c r="E3307">
        <v>12</v>
      </c>
      <c r="F3307" s="6">
        <v>750</v>
      </c>
      <c r="G3307" t="s">
        <v>3730</v>
      </c>
    </row>
    <row r="3308" spans="1:7">
      <c r="A3308" t="s">
        <v>151</v>
      </c>
      <c r="B3308" t="s">
        <v>8216</v>
      </c>
      <c r="C3308" t="s">
        <v>4093</v>
      </c>
      <c r="D3308" t="s">
        <v>4094</v>
      </c>
      <c r="E3308">
        <v>12</v>
      </c>
      <c r="F3308" s="6">
        <v>750</v>
      </c>
      <c r="G3308" t="s">
        <v>3730</v>
      </c>
    </row>
    <row r="3309" spans="1:7">
      <c r="A3309" t="s">
        <v>8217</v>
      </c>
      <c r="B3309" t="s">
        <v>8216</v>
      </c>
      <c r="C3309" t="s">
        <v>4093</v>
      </c>
      <c r="D3309" t="s">
        <v>4094</v>
      </c>
      <c r="E3309">
        <v>12</v>
      </c>
      <c r="F3309" s="6">
        <v>1000</v>
      </c>
      <c r="G3309" t="s">
        <v>3730</v>
      </c>
    </row>
    <row r="3310" spans="1:7">
      <c r="A3310" t="s">
        <v>794</v>
      </c>
      <c r="B3310" t="s">
        <v>8218</v>
      </c>
      <c r="C3310" t="s">
        <v>4093</v>
      </c>
      <c r="D3310" t="s">
        <v>4094</v>
      </c>
      <c r="E3310">
        <v>12</v>
      </c>
      <c r="F3310" s="6">
        <v>750</v>
      </c>
      <c r="G3310" t="s">
        <v>3730</v>
      </c>
    </row>
    <row r="3311" spans="1:7">
      <c r="A3311" t="s">
        <v>1770</v>
      </c>
      <c r="B3311" t="s">
        <v>8219</v>
      </c>
      <c r="C3311" t="s">
        <v>4093</v>
      </c>
      <c r="D3311" t="s">
        <v>4094</v>
      </c>
      <c r="E3311">
        <v>12</v>
      </c>
      <c r="F3311" s="6">
        <v>750</v>
      </c>
      <c r="G3311" t="s">
        <v>3730</v>
      </c>
    </row>
    <row r="3312" spans="1:7">
      <c r="A3312" t="s">
        <v>1057</v>
      </c>
      <c r="B3312" t="s">
        <v>8220</v>
      </c>
      <c r="C3312" t="s">
        <v>3756</v>
      </c>
      <c r="D3312" t="s">
        <v>3757</v>
      </c>
      <c r="E3312">
        <v>6</v>
      </c>
      <c r="F3312" s="6">
        <v>750</v>
      </c>
      <c r="G3312" t="s">
        <v>3702</v>
      </c>
    </row>
    <row r="3313" spans="1:7">
      <c r="A3313" t="s">
        <v>640</v>
      </c>
      <c r="B3313" t="s">
        <v>8221</v>
      </c>
      <c r="C3313" t="s">
        <v>4093</v>
      </c>
      <c r="D3313" t="s">
        <v>4094</v>
      </c>
      <c r="E3313">
        <v>12</v>
      </c>
      <c r="F3313" s="6">
        <v>750</v>
      </c>
      <c r="G3313" t="s">
        <v>3730</v>
      </c>
    </row>
    <row r="3314" spans="1:7">
      <c r="A3314" t="s">
        <v>1464</v>
      </c>
      <c r="B3314" t="s">
        <v>8221</v>
      </c>
      <c r="C3314" t="s">
        <v>4093</v>
      </c>
      <c r="D3314" t="s">
        <v>4094</v>
      </c>
      <c r="E3314">
        <v>12</v>
      </c>
      <c r="F3314" s="6">
        <v>1000</v>
      </c>
      <c r="G3314" t="s">
        <v>3730</v>
      </c>
    </row>
    <row r="3315" spans="1:7">
      <c r="A3315" t="s">
        <v>2798</v>
      </c>
      <c r="B3315" t="s">
        <v>8222</v>
      </c>
      <c r="C3315" t="s">
        <v>3756</v>
      </c>
      <c r="D3315" t="s">
        <v>3757</v>
      </c>
      <c r="E3315">
        <v>12</v>
      </c>
      <c r="F3315" s="6">
        <v>750</v>
      </c>
      <c r="G3315" t="s">
        <v>3888</v>
      </c>
    </row>
    <row r="3316" spans="1:7">
      <c r="A3316" t="s">
        <v>974</v>
      </c>
      <c r="B3316" t="s">
        <v>8223</v>
      </c>
      <c r="C3316" t="s">
        <v>3756</v>
      </c>
      <c r="D3316" t="s">
        <v>3757</v>
      </c>
      <c r="E3316">
        <v>12</v>
      </c>
      <c r="F3316" s="6">
        <v>1000</v>
      </c>
      <c r="G3316" t="s">
        <v>3888</v>
      </c>
    </row>
    <row r="3317" spans="1:7">
      <c r="A3317" t="s">
        <v>2170</v>
      </c>
      <c r="B3317" t="s">
        <v>8223</v>
      </c>
      <c r="C3317" t="s">
        <v>3756</v>
      </c>
      <c r="D3317" t="s">
        <v>3757</v>
      </c>
      <c r="E3317">
        <v>12</v>
      </c>
      <c r="F3317" s="6">
        <v>750</v>
      </c>
      <c r="G3317" t="s">
        <v>3888</v>
      </c>
    </row>
    <row r="3318" spans="1:7">
      <c r="A3318" t="s">
        <v>1211</v>
      </c>
      <c r="B3318" t="s">
        <v>8223</v>
      </c>
      <c r="C3318" t="s">
        <v>3756</v>
      </c>
      <c r="D3318" t="s">
        <v>3757</v>
      </c>
      <c r="E3318">
        <v>6</v>
      </c>
      <c r="F3318" s="6">
        <v>1750</v>
      </c>
      <c r="G3318" t="s">
        <v>3888</v>
      </c>
    </row>
    <row r="3319" spans="1:7">
      <c r="A3319" t="s">
        <v>1627</v>
      </c>
      <c r="B3319" t="s">
        <v>8224</v>
      </c>
      <c r="C3319" t="s">
        <v>4170</v>
      </c>
      <c r="D3319" t="s">
        <v>4171</v>
      </c>
      <c r="E3319">
        <v>12</v>
      </c>
      <c r="F3319" s="6">
        <v>750</v>
      </c>
      <c r="G3319" t="s">
        <v>3686</v>
      </c>
    </row>
    <row r="3320" spans="1:7">
      <c r="A3320" t="s">
        <v>679</v>
      </c>
      <c r="B3320" t="s">
        <v>8225</v>
      </c>
      <c r="C3320" t="s">
        <v>4071</v>
      </c>
      <c r="D3320" t="s">
        <v>4072</v>
      </c>
      <c r="E3320">
        <v>12</v>
      </c>
      <c r="F3320" s="6">
        <v>750</v>
      </c>
      <c r="G3320" t="s">
        <v>5020</v>
      </c>
    </row>
    <row r="3321" spans="1:7">
      <c r="A3321" t="s">
        <v>8226</v>
      </c>
      <c r="B3321" t="s">
        <v>8227</v>
      </c>
      <c r="C3321" t="s">
        <v>3700</v>
      </c>
      <c r="D3321" t="s">
        <v>3701</v>
      </c>
      <c r="E3321">
        <v>12</v>
      </c>
      <c r="F3321" s="6">
        <v>375</v>
      </c>
      <c r="G3321" t="s">
        <v>5106</v>
      </c>
    </row>
    <row r="3322" spans="1:7">
      <c r="A3322" t="s">
        <v>1383</v>
      </c>
      <c r="B3322" t="s">
        <v>8228</v>
      </c>
      <c r="C3322" t="s">
        <v>4093</v>
      </c>
      <c r="D3322" t="s">
        <v>4094</v>
      </c>
      <c r="E3322">
        <v>12</v>
      </c>
      <c r="F3322" s="6">
        <v>750</v>
      </c>
      <c r="G3322" t="s">
        <v>3730</v>
      </c>
    </row>
    <row r="3323" spans="1:7">
      <c r="A3323" t="s">
        <v>1645</v>
      </c>
      <c r="B3323" t="s">
        <v>8228</v>
      </c>
      <c r="C3323" t="s">
        <v>4093</v>
      </c>
      <c r="D3323" t="s">
        <v>4094</v>
      </c>
      <c r="E3323">
        <v>12</v>
      </c>
      <c r="F3323" s="6">
        <v>1000</v>
      </c>
      <c r="G3323" t="s">
        <v>3730</v>
      </c>
    </row>
    <row r="3324" spans="1:7">
      <c r="A3324" t="s">
        <v>202</v>
      </c>
      <c r="B3324" t="s">
        <v>8229</v>
      </c>
      <c r="C3324" t="s">
        <v>4093</v>
      </c>
      <c r="D3324" t="s">
        <v>4094</v>
      </c>
      <c r="E3324">
        <v>12</v>
      </c>
      <c r="F3324" s="6">
        <v>750</v>
      </c>
      <c r="G3324" t="s">
        <v>3730</v>
      </c>
    </row>
    <row r="3325" spans="1:7">
      <c r="A3325" t="s">
        <v>2160</v>
      </c>
      <c r="B3325" t="s">
        <v>8229</v>
      </c>
      <c r="C3325" t="s">
        <v>4093</v>
      </c>
      <c r="D3325" t="s">
        <v>4094</v>
      </c>
      <c r="E3325">
        <v>12</v>
      </c>
      <c r="F3325" s="6">
        <v>1000</v>
      </c>
      <c r="G3325" t="s">
        <v>3730</v>
      </c>
    </row>
    <row r="3326" spans="1:7">
      <c r="A3326" t="s">
        <v>975</v>
      </c>
      <c r="B3326" t="s">
        <v>8230</v>
      </c>
      <c r="C3326" t="s">
        <v>4093</v>
      </c>
      <c r="D3326" t="s">
        <v>4094</v>
      </c>
      <c r="E3326">
        <v>12</v>
      </c>
      <c r="F3326" s="6">
        <v>750</v>
      </c>
      <c r="G3326" t="s">
        <v>3730</v>
      </c>
    </row>
    <row r="3327" spans="1:7">
      <c r="A3327" t="s">
        <v>1841</v>
      </c>
      <c r="B3327" t="s">
        <v>8231</v>
      </c>
      <c r="C3327" t="s">
        <v>4093</v>
      </c>
      <c r="D3327" t="s">
        <v>4094</v>
      </c>
      <c r="E3327">
        <v>12</v>
      </c>
      <c r="F3327" s="6">
        <v>750</v>
      </c>
      <c r="G3327" t="s">
        <v>3730</v>
      </c>
    </row>
    <row r="3328" spans="1:7">
      <c r="A3328" t="s">
        <v>8232</v>
      </c>
      <c r="B3328" t="s">
        <v>8233</v>
      </c>
      <c r="C3328" t="s">
        <v>4093</v>
      </c>
      <c r="D3328" t="s">
        <v>4094</v>
      </c>
      <c r="E3328">
        <v>12</v>
      </c>
      <c r="F3328" s="6">
        <v>750</v>
      </c>
      <c r="G3328" t="s">
        <v>3730</v>
      </c>
    </row>
    <row r="3329" spans="1:7">
      <c r="A3329" t="s">
        <v>2542</v>
      </c>
      <c r="B3329" t="s">
        <v>8234</v>
      </c>
      <c r="C3329" t="s">
        <v>4093</v>
      </c>
      <c r="D3329" t="s">
        <v>4094</v>
      </c>
      <c r="E3329">
        <v>12</v>
      </c>
      <c r="F3329" s="6">
        <v>750</v>
      </c>
      <c r="G3329" t="s">
        <v>3730</v>
      </c>
    </row>
    <row r="3330" spans="1:7">
      <c r="A3330" t="s">
        <v>8235</v>
      </c>
      <c r="B3330" t="s">
        <v>8236</v>
      </c>
      <c r="C3330" t="s">
        <v>3679</v>
      </c>
      <c r="D3330" t="s">
        <v>3680</v>
      </c>
      <c r="E3330">
        <v>12</v>
      </c>
      <c r="F3330" s="6">
        <v>50</v>
      </c>
      <c r="G3330" t="s">
        <v>3730</v>
      </c>
    </row>
    <row r="3331" spans="1:7">
      <c r="A3331" t="s">
        <v>1518</v>
      </c>
      <c r="B3331" t="s">
        <v>8237</v>
      </c>
      <c r="C3331" t="s">
        <v>3679</v>
      </c>
      <c r="D3331" t="s">
        <v>3680</v>
      </c>
      <c r="E3331">
        <v>12</v>
      </c>
      <c r="F3331" s="6">
        <v>750</v>
      </c>
      <c r="G3331" t="s">
        <v>3730</v>
      </c>
    </row>
    <row r="3332" spans="1:7">
      <c r="A3332" t="s">
        <v>354</v>
      </c>
      <c r="B3332" t="s">
        <v>8238</v>
      </c>
      <c r="C3332" t="s">
        <v>4093</v>
      </c>
      <c r="D3332" t="s">
        <v>4094</v>
      </c>
      <c r="E3332">
        <v>12</v>
      </c>
      <c r="F3332" s="6">
        <v>50</v>
      </c>
      <c r="G3332" t="s">
        <v>3730</v>
      </c>
    </row>
    <row r="3333" spans="1:7">
      <c r="A3333" t="s">
        <v>1871</v>
      </c>
      <c r="B3333" t="s">
        <v>8239</v>
      </c>
      <c r="C3333" t="s">
        <v>4093</v>
      </c>
      <c r="D3333" t="s">
        <v>4094</v>
      </c>
      <c r="E3333">
        <v>12</v>
      </c>
      <c r="F3333" s="6">
        <v>750</v>
      </c>
      <c r="G3333" t="s">
        <v>3730</v>
      </c>
    </row>
    <row r="3334" spans="1:7">
      <c r="A3334" t="s">
        <v>2592</v>
      </c>
      <c r="B3334" t="s">
        <v>8240</v>
      </c>
      <c r="C3334" t="s">
        <v>3756</v>
      </c>
      <c r="D3334" t="s">
        <v>3757</v>
      </c>
      <c r="E3334">
        <v>6</v>
      </c>
      <c r="F3334" s="6">
        <v>750</v>
      </c>
      <c r="G3334" t="s">
        <v>5014</v>
      </c>
    </row>
    <row r="3335" spans="1:7">
      <c r="A3335" t="s">
        <v>8241</v>
      </c>
      <c r="B3335" t="s">
        <v>8242</v>
      </c>
      <c r="C3335" t="s">
        <v>4093</v>
      </c>
      <c r="D3335" t="s">
        <v>4094</v>
      </c>
      <c r="E3335">
        <v>12</v>
      </c>
      <c r="F3335" s="6">
        <v>50</v>
      </c>
      <c r="G3335" t="s">
        <v>3730</v>
      </c>
    </row>
    <row r="3336" spans="1:7">
      <c r="A3336" t="s">
        <v>630</v>
      </c>
      <c r="B3336" t="s">
        <v>8243</v>
      </c>
      <c r="C3336" t="s">
        <v>4093</v>
      </c>
      <c r="D3336" t="s">
        <v>4094</v>
      </c>
      <c r="E3336">
        <v>12</v>
      </c>
      <c r="F3336" s="6">
        <v>750</v>
      </c>
      <c r="G3336" t="s">
        <v>3730</v>
      </c>
    </row>
    <row r="3337" spans="1:7">
      <c r="A3337" t="s">
        <v>8244</v>
      </c>
      <c r="B3337" t="s">
        <v>8239</v>
      </c>
      <c r="C3337" t="s">
        <v>4093</v>
      </c>
      <c r="D3337" t="s">
        <v>4094</v>
      </c>
      <c r="E3337">
        <v>6</v>
      </c>
      <c r="F3337" s="6">
        <v>1750</v>
      </c>
      <c r="G3337" t="s">
        <v>3730</v>
      </c>
    </row>
    <row r="3338" spans="1:7">
      <c r="A3338" t="s">
        <v>2893</v>
      </c>
      <c r="B3338" t="s">
        <v>8245</v>
      </c>
      <c r="C3338" t="s">
        <v>4093</v>
      </c>
      <c r="D3338" t="s">
        <v>4094</v>
      </c>
      <c r="E3338">
        <v>12</v>
      </c>
      <c r="F3338" s="6">
        <v>750</v>
      </c>
      <c r="G3338" t="s">
        <v>3730</v>
      </c>
    </row>
    <row r="3339" spans="1:7">
      <c r="A3339" t="s">
        <v>762</v>
      </c>
      <c r="B3339" t="s">
        <v>8246</v>
      </c>
      <c r="C3339" t="s">
        <v>4093</v>
      </c>
      <c r="D3339" t="s">
        <v>4094</v>
      </c>
      <c r="E3339">
        <v>12</v>
      </c>
      <c r="F3339" s="6">
        <v>750</v>
      </c>
      <c r="G3339" t="s">
        <v>3730</v>
      </c>
    </row>
    <row r="3340" spans="1:7">
      <c r="A3340" t="s">
        <v>1333</v>
      </c>
      <c r="B3340" t="s">
        <v>8247</v>
      </c>
      <c r="C3340" t="s">
        <v>4093</v>
      </c>
      <c r="D3340" t="s">
        <v>4094</v>
      </c>
      <c r="E3340">
        <v>12</v>
      </c>
      <c r="F3340" s="6">
        <v>750</v>
      </c>
      <c r="G3340" t="s">
        <v>3730</v>
      </c>
    </row>
    <row r="3341" spans="1:7">
      <c r="A3341" t="s">
        <v>2138</v>
      </c>
      <c r="B3341" t="s">
        <v>8248</v>
      </c>
      <c r="C3341" t="s">
        <v>4071</v>
      </c>
      <c r="D3341" t="s">
        <v>4072</v>
      </c>
      <c r="E3341">
        <v>6</v>
      </c>
      <c r="F3341" s="6">
        <v>750</v>
      </c>
      <c r="G3341" t="s">
        <v>3851</v>
      </c>
    </row>
    <row r="3342" spans="1:7">
      <c r="A3342" t="s">
        <v>8249</v>
      </c>
      <c r="B3342" t="s">
        <v>8250</v>
      </c>
      <c r="C3342" t="s">
        <v>4071</v>
      </c>
      <c r="D3342" t="s">
        <v>4072</v>
      </c>
      <c r="E3342">
        <v>12</v>
      </c>
      <c r="F3342" s="6">
        <v>750</v>
      </c>
      <c r="G3342" t="s">
        <v>5134</v>
      </c>
    </row>
    <row r="3343" spans="1:7">
      <c r="A3343" t="s">
        <v>388</v>
      </c>
      <c r="B3343" t="s">
        <v>8251</v>
      </c>
      <c r="C3343" t="s">
        <v>4071</v>
      </c>
      <c r="D3343" t="s">
        <v>4072</v>
      </c>
      <c r="E3343">
        <v>8</v>
      </c>
      <c r="F3343" s="6">
        <v>50</v>
      </c>
      <c r="G3343" t="s">
        <v>5020</v>
      </c>
    </row>
    <row r="3344" spans="1:7">
      <c r="A3344" t="s">
        <v>2876</v>
      </c>
      <c r="B3344" t="s">
        <v>8252</v>
      </c>
      <c r="C3344" t="s">
        <v>4093</v>
      </c>
      <c r="D3344" t="s">
        <v>4094</v>
      </c>
      <c r="E3344">
        <v>12</v>
      </c>
      <c r="F3344" s="6">
        <v>50</v>
      </c>
      <c r="G3344" t="s">
        <v>3730</v>
      </c>
    </row>
    <row r="3345" spans="1:7">
      <c r="A3345" t="s">
        <v>1771</v>
      </c>
      <c r="B3345" t="s">
        <v>8253</v>
      </c>
      <c r="C3345" t="s">
        <v>4093</v>
      </c>
      <c r="D3345" t="s">
        <v>4094</v>
      </c>
      <c r="E3345">
        <v>6</v>
      </c>
      <c r="F3345" s="6">
        <v>1750</v>
      </c>
      <c r="G3345" t="s">
        <v>3730</v>
      </c>
    </row>
    <row r="3346" spans="1:7">
      <c r="A3346" t="s">
        <v>537</v>
      </c>
      <c r="B3346" t="s">
        <v>8253</v>
      </c>
      <c r="C3346" t="s">
        <v>4093</v>
      </c>
      <c r="D3346" t="s">
        <v>4094</v>
      </c>
      <c r="E3346">
        <v>12</v>
      </c>
      <c r="F3346" s="6">
        <v>750</v>
      </c>
      <c r="G3346" t="s">
        <v>3730</v>
      </c>
    </row>
    <row r="3347" spans="1:7">
      <c r="A3347" t="s">
        <v>3008</v>
      </c>
      <c r="B3347" t="s">
        <v>8254</v>
      </c>
      <c r="C3347" t="s">
        <v>3808</v>
      </c>
      <c r="D3347" t="s">
        <v>3809</v>
      </c>
      <c r="E3347">
        <v>12</v>
      </c>
      <c r="F3347" s="6">
        <v>750</v>
      </c>
      <c r="G3347" t="s">
        <v>3716</v>
      </c>
    </row>
    <row r="3348" spans="1:7">
      <c r="A3348" t="s">
        <v>3237</v>
      </c>
      <c r="B3348" t="s">
        <v>8255</v>
      </c>
      <c r="C3348" t="s">
        <v>3808</v>
      </c>
      <c r="D3348" t="s">
        <v>3809</v>
      </c>
      <c r="E3348">
        <v>12</v>
      </c>
      <c r="F3348" s="6">
        <v>50</v>
      </c>
      <c r="G3348" t="s">
        <v>3716</v>
      </c>
    </row>
    <row r="3349" spans="1:7">
      <c r="A3349" t="s">
        <v>8256</v>
      </c>
      <c r="B3349" t="s">
        <v>8257</v>
      </c>
      <c r="C3349" t="s">
        <v>3928</v>
      </c>
      <c r="D3349" t="s">
        <v>3929</v>
      </c>
      <c r="E3349">
        <v>6</v>
      </c>
      <c r="F3349" s="6">
        <v>750</v>
      </c>
      <c r="G3349" t="s">
        <v>3705</v>
      </c>
    </row>
    <row r="3350" spans="1:7">
      <c r="A3350" t="s">
        <v>1860</v>
      </c>
      <c r="B3350" t="s">
        <v>8258</v>
      </c>
      <c r="C3350" t="s">
        <v>3679</v>
      </c>
      <c r="D3350" t="s">
        <v>3680</v>
      </c>
      <c r="E3350">
        <v>6</v>
      </c>
      <c r="F3350" s="6">
        <v>750</v>
      </c>
      <c r="G3350" t="s">
        <v>4930</v>
      </c>
    </row>
    <row r="3351" spans="1:7">
      <c r="A3351" t="s">
        <v>8259</v>
      </c>
      <c r="B3351" t="s">
        <v>8260</v>
      </c>
      <c r="C3351" t="s">
        <v>4012</v>
      </c>
      <c r="D3351" t="s">
        <v>4013</v>
      </c>
      <c r="E3351">
        <v>12</v>
      </c>
      <c r="F3351" s="6">
        <v>50</v>
      </c>
      <c r="G3351" t="s">
        <v>4331</v>
      </c>
    </row>
    <row r="3352" spans="1:7">
      <c r="A3352" t="s">
        <v>569</v>
      </c>
      <c r="B3352" t="s">
        <v>8261</v>
      </c>
      <c r="C3352" t="s">
        <v>3928</v>
      </c>
      <c r="D3352" t="s">
        <v>3929</v>
      </c>
      <c r="E3352">
        <v>6</v>
      </c>
      <c r="F3352" s="6">
        <v>750</v>
      </c>
      <c r="G3352" t="s">
        <v>3716</v>
      </c>
    </row>
    <row r="3353" spans="1:7">
      <c r="A3353" t="s">
        <v>1062</v>
      </c>
      <c r="B3353" t="s">
        <v>8262</v>
      </c>
      <c r="C3353" t="s">
        <v>4012</v>
      </c>
      <c r="D3353" t="s">
        <v>4013</v>
      </c>
      <c r="E3353">
        <v>12</v>
      </c>
      <c r="F3353" s="6">
        <v>750</v>
      </c>
      <c r="G3353" t="s">
        <v>4331</v>
      </c>
    </row>
    <row r="3354" spans="1:7">
      <c r="A3354" t="s">
        <v>2047</v>
      </c>
      <c r="B3354" t="s">
        <v>8262</v>
      </c>
      <c r="C3354" t="s">
        <v>4012</v>
      </c>
      <c r="D3354" t="s">
        <v>4013</v>
      </c>
      <c r="E3354">
        <v>6</v>
      </c>
      <c r="F3354" s="6">
        <v>1750</v>
      </c>
      <c r="G3354" t="s">
        <v>4331</v>
      </c>
    </row>
    <row r="3355" spans="1:7">
      <c r="A3355" t="s">
        <v>2669</v>
      </c>
      <c r="B3355" t="s">
        <v>8263</v>
      </c>
      <c r="C3355" t="s">
        <v>3708</v>
      </c>
      <c r="D3355" t="s">
        <v>3709</v>
      </c>
      <c r="E3355">
        <v>6</v>
      </c>
      <c r="F3355" s="6">
        <v>750</v>
      </c>
      <c r="G3355" t="s">
        <v>7761</v>
      </c>
    </row>
    <row r="3356" spans="1:7">
      <c r="A3356" t="s">
        <v>8264</v>
      </c>
      <c r="B3356" t="s">
        <v>8265</v>
      </c>
      <c r="C3356" t="s">
        <v>3708</v>
      </c>
      <c r="D3356" t="s">
        <v>3709</v>
      </c>
      <c r="E3356">
        <v>12</v>
      </c>
      <c r="F3356" s="6">
        <v>750</v>
      </c>
      <c r="G3356" t="s">
        <v>6906</v>
      </c>
    </row>
    <row r="3357" spans="1:7">
      <c r="A3357" t="s">
        <v>8266</v>
      </c>
      <c r="B3357" t="s">
        <v>8267</v>
      </c>
      <c r="C3357" t="s">
        <v>3808</v>
      </c>
      <c r="D3357" t="s">
        <v>3809</v>
      </c>
      <c r="E3357">
        <v>12</v>
      </c>
      <c r="F3357" s="6">
        <v>750</v>
      </c>
      <c r="G3357" t="s">
        <v>5173</v>
      </c>
    </row>
    <row r="3358" spans="1:7">
      <c r="A3358" t="s">
        <v>8268</v>
      </c>
      <c r="B3358" t="s">
        <v>8269</v>
      </c>
      <c r="C3358" t="s">
        <v>3679</v>
      </c>
      <c r="D3358" t="s">
        <v>3680</v>
      </c>
      <c r="E3358">
        <v>6</v>
      </c>
      <c r="F3358" s="6">
        <v>750</v>
      </c>
      <c r="G3358" t="s">
        <v>5139</v>
      </c>
    </row>
    <row r="3359" spans="1:7">
      <c r="A3359" t="s">
        <v>8270</v>
      </c>
      <c r="B3359" t="s">
        <v>8271</v>
      </c>
      <c r="C3359" t="s">
        <v>3679</v>
      </c>
      <c r="D3359" t="s">
        <v>3680</v>
      </c>
      <c r="E3359">
        <v>6</v>
      </c>
      <c r="F3359" s="6">
        <v>750</v>
      </c>
      <c r="G3359" t="s">
        <v>3851</v>
      </c>
    </row>
    <row r="3360" spans="1:7">
      <c r="A3360" t="s">
        <v>8272</v>
      </c>
      <c r="B3360" t="s">
        <v>8273</v>
      </c>
      <c r="C3360" t="s">
        <v>3679</v>
      </c>
      <c r="D3360" t="s">
        <v>3680</v>
      </c>
      <c r="E3360">
        <v>8</v>
      </c>
      <c r="F3360" s="6">
        <v>50</v>
      </c>
      <c r="G3360" t="s">
        <v>5139</v>
      </c>
    </row>
    <row r="3361" spans="1:7">
      <c r="A3361" t="s">
        <v>8274</v>
      </c>
      <c r="B3361" t="s">
        <v>8275</v>
      </c>
      <c r="C3361" t="s">
        <v>4093</v>
      </c>
      <c r="D3361" t="s">
        <v>4094</v>
      </c>
      <c r="E3361">
        <v>6</v>
      </c>
      <c r="F3361" s="6">
        <v>750</v>
      </c>
      <c r="G3361" t="s">
        <v>4674</v>
      </c>
    </row>
    <row r="3362" spans="1:7">
      <c r="A3362" t="s">
        <v>8276</v>
      </c>
      <c r="B3362" t="s">
        <v>8277</v>
      </c>
      <c r="C3362" t="s">
        <v>4052</v>
      </c>
      <c r="D3362" t="s">
        <v>4053</v>
      </c>
      <c r="E3362">
        <v>6</v>
      </c>
      <c r="F3362" s="6">
        <v>750</v>
      </c>
      <c r="G3362" t="s">
        <v>4674</v>
      </c>
    </row>
    <row r="3363" spans="1:7">
      <c r="A3363" t="s">
        <v>8278</v>
      </c>
      <c r="B3363" t="s">
        <v>8279</v>
      </c>
      <c r="C3363" t="s">
        <v>4093</v>
      </c>
      <c r="D3363" t="s">
        <v>4094</v>
      </c>
      <c r="E3363">
        <v>6</v>
      </c>
      <c r="F3363" s="6">
        <v>1750</v>
      </c>
      <c r="G3363" t="s">
        <v>3730</v>
      </c>
    </row>
    <row r="3364" spans="1:7">
      <c r="A3364" t="s">
        <v>311</v>
      </c>
      <c r="B3364" t="s">
        <v>8280</v>
      </c>
      <c r="C3364" t="s">
        <v>3947</v>
      </c>
      <c r="D3364" t="s">
        <v>3948</v>
      </c>
      <c r="E3364">
        <v>12</v>
      </c>
      <c r="F3364" s="6">
        <v>50</v>
      </c>
      <c r="G3364" t="s">
        <v>3730</v>
      </c>
    </row>
    <row r="3365" spans="1:7">
      <c r="A3365" t="s">
        <v>1484</v>
      </c>
      <c r="B3365" t="s">
        <v>8279</v>
      </c>
      <c r="C3365" t="s">
        <v>3947</v>
      </c>
      <c r="D3365" t="s">
        <v>3948</v>
      </c>
      <c r="E3365">
        <v>12</v>
      </c>
      <c r="F3365" s="6">
        <v>750</v>
      </c>
      <c r="G3365" t="s">
        <v>3730</v>
      </c>
    </row>
    <row r="3366" spans="1:7">
      <c r="A3366" t="s">
        <v>8281</v>
      </c>
      <c r="B3366" t="s">
        <v>8282</v>
      </c>
      <c r="C3366" t="s">
        <v>3808</v>
      </c>
      <c r="D3366" t="s">
        <v>3809</v>
      </c>
      <c r="E3366">
        <v>48</v>
      </c>
      <c r="F3366" s="6">
        <v>100</v>
      </c>
      <c r="G3366" t="s">
        <v>3735</v>
      </c>
    </row>
    <row r="3367" spans="1:7">
      <c r="A3367" t="s">
        <v>8283</v>
      </c>
      <c r="B3367" t="s">
        <v>8284</v>
      </c>
      <c r="C3367" t="s">
        <v>3679</v>
      </c>
      <c r="D3367" t="s">
        <v>3680</v>
      </c>
      <c r="E3367">
        <v>6</v>
      </c>
      <c r="F3367" s="6">
        <v>750</v>
      </c>
      <c r="G3367" t="s">
        <v>5231</v>
      </c>
    </row>
    <row r="3368" spans="1:7">
      <c r="A3368" t="s">
        <v>8285</v>
      </c>
      <c r="B3368" t="s">
        <v>8286</v>
      </c>
      <c r="C3368" t="s">
        <v>4170</v>
      </c>
      <c r="D3368" t="s">
        <v>4171</v>
      </c>
      <c r="E3368">
        <v>30</v>
      </c>
      <c r="F3368" s="6">
        <v>200</v>
      </c>
      <c r="G3368" t="s">
        <v>8287</v>
      </c>
    </row>
    <row r="3369" spans="1:7">
      <c r="A3369" t="s">
        <v>8288</v>
      </c>
      <c r="B3369" t="s">
        <v>8286</v>
      </c>
      <c r="C3369" t="s">
        <v>4170</v>
      </c>
      <c r="D3369" t="s">
        <v>4171</v>
      </c>
      <c r="E3369">
        <v>12</v>
      </c>
      <c r="F3369" s="6">
        <v>700</v>
      </c>
      <c r="G3369" t="s">
        <v>8287</v>
      </c>
    </row>
    <row r="3370" spans="1:7">
      <c r="A3370" t="s">
        <v>8289</v>
      </c>
      <c r="B3370" t="s">
        <v>8290</v>
      </c>
      <c r="C3370" t="s">
        <v>3700</v>
      </c>
      <c r="D3370" t="s">
        <v>3701</v>
      </c>
      <c r="E3370">
        <v>1</v>
      </c>
      <c r="F3370" s="6">
        <v>1800</v>
      </c>
      <c r="G3370" t="s">
        <v>3702</v>
      </c>
    </row>
    <row r="3371" spans="1:7">
      <c r="A3371" t="s">
        <v>8291</v>
      </c>
      <c r="B3371" t="s">
        <v>8292</v>
      </c>
      <c r="C3371" t="s">
        <v>3700</v>
      </c>
      <c r="D3371" t="s">
        <v>3701</v>
      </c>
      <c r="E3371">
        <v>1</v>
      </c>
      <c r="F3371" s="6">
        <v>1800</v>
      </c>
      <c r="G3371" t="s">
        <v>3702</v>
      </c>
    </row>
    <row r="3372" spans="1:7">
      <c r="A3372" t="s">
        <v>8293</v>
      </c>
      <c r="B3372" t="s">
        <v>8294</v>
      </c>
      <c r="C3372" t="s">
        <v>3692</v>
      </c>
      <c r="D3372" t="s">
        <v>3693</v>
      </c>
      <c r="E3372">
        <v>6</v>
      </c>
      <c r="F3372" s="6">
        <v>750</v>
      </c>
      <c r="G3372" t="s">
        <v>8295</v>
      </c>
    </row>
    <row r="3373" spans="1:7">
      <c r="A3373" t="s">
        <v>8296</v>
      </c>
      <c r="B3373" t="s">
        <v>8297</v>
      </c>
      <c r="C3373" t="s">
        <v>3692</v>
      </c>
      <c r="D3373" t="s">
        <v>3693</v>
      </c>
      <c r="E3373">
        <v>6</v>
      </c>
      <c r="F3373" s="6">
        <v>750</v>
      </c>
      <c r="G3373" t="s">
        <v>8295</v>
      </c>
    </row>
    <row r="3374" spans="1:7">
      <c r="A3374" t="s">
        <v>8298</v>
      </c>
      <c r="B3374" t="s">
        <v>8299</v>
      </c>
      <c r="C3374" t="s">
        <v>3692</v>
      </c>
      <c r="D3374" t="s">
        <v>3693</v>
      </c>
      <c r="E3374">
        <v>6</v>
      </c>
      <c r="F3374" s="6">
        <v>750</v>
      </c>
      <c r="G3374" t="s">
        <v>8295</v>
      </c>
    </row>
    <row r="3375" spans="1:7">
      <c r="A3375" t="s">
        <v>8300</v>
      </c>
      <c r="B3375" t="s">
        <v>8301</v>
      </c>
      <c r="C3375" t="s">
        <v>3756</v>
      </c>
      <c r="D3375" t="s">
        <v>3757</v>
      </c>
      <c r="E3375">
        <v>12</v>
      </c>
      <c r="F3375" s="6">
        <v>1000</v>
      </c>
      <c r="G3375" t="s">
        <v>3686</v>
      </c>
    </row>
    <row r="3376" spans="1:7">
      <c r="A3376" t="s">
        <v>333</v>
      </c>
      <c r="B3376" t="s">
        <v>8302</v>
      </c>
      <c r="C3376" t="s">
        <v>3756</v>
      </c>
      <c r="D3376" t="s">
        <v>3757</v>
      </c>
      <c r="E3376">
        <v>12</v>
      </c>
      <c r="F3376" s="6">
        <v>750</v>
      </c>
      <c r="G3376" t="s">
        <v>4163</v>
      </c>
    </row>
    <row r="3377" spans="1:7">
      <c r="A3377" t="s">
        <v>1976</v>
      </c>
      <c r="B3377" t="s">
        <v>8303</v>
      </c>
      <c r="C3377" t="s">
        <v>3756</v>
      </c>
      <c r="D3377" t="s">
        <v>3757</v>
      </c>
      <c r="E3377">
        <v>12</v>
      </c>
      <c r="F3377" s="6">
        <v>750</v>
      </c>
      <c r="G3377" t="s">
        <v>4163</v>
      </c>
    </row>
    <row r="3378" spans="1:7">
      <c r="A3378" t="s">
        <v>8304</v>
      </c>
      <c r="B3378" t="s">
        <v>8305</v>
      </c>
      <c r="C3378" t="s">
        <v>3756</v>
      </c>
      <c r="D3378" t="s">
        <v>3757</v>
      </c>
      <c r="E3378">
        <v>12</v>
      </c>
      <c r="F3378" s="6">
        <v>1000</v>
      </c>
      <c r="G3378" t="s">
        <v>3686</v>
      </c>
    </row>
    <row r="3379" spans="1:7">
      <c r="A3379" t="s">
        <v>1392</v>
      </c>
      <c r="B3379" t="s">
        <v>8306</v>
      </c>
      <c r="C3379" t="s">
        <v>3756</v>
      </c>
      <c r="D3379" t="s">
        <v>3757</v>
      </c>
      <c r="E3379">
        <v>12</v>
      </c>
      <c r="F3379" s="6">
        <v>750</v>
      </c>
      <c r="G3379" t="s">
        <v>4163</v>
      </c>
    </row>
    <row r="3380" spans="1:7">
      <c r="A3380" t="s">
        <v>8307</v>
      </c>
      <c r="B3380" t="s">
        <v>8308</v>
      </c>
      <c r="C3380" t="s">
        <v>3756</v>
      </c>
      <c r="D3380" t="s">
        <v>3757</v>
      </c>
      <c r="E3380">
        <v>12</v>
      </c>
      <c r="F3380" s="6">
        <v>750</v>
      </c>
      <c r="G3380" t="s">
        <v>4163</v>
      </c>
    </row>
    <row r="3381" spans="1:7">
      <c r="A3381" t="s">
        <v>8309</v>
      </c>
      <c r="B3381" t="s">
        <v>8310</v>
      </c>
      <c r="C3381" t="s">
        <v>3756</v>
      </c>
      <c r="D3381" t="s">
        <v>3757</v>
      </c>
      <c r="E3381">
        <v>12</v>
      </c>
      <c r="F3381" s="6">
        <v>1000</v>
      </c>
      <c r="G3381" t="s">
        <v>3686</v>
      </c>
    </row>
    <row r="3382" spans="1:7">
      <c r="A3382" t="s">
        <v>288</v>
      </c>
      <c r="B3382" t="s">
        <v>8311</v>
      </c>
      <c r="C3382" t="s">
        <v>3756</v>
      </c>
      <c r="D3382" t="s">
        <v>3757</v>
      </c>
      <c r="E3382">
        <v>12</v>
      </c>
      <c r="F3382" s="6">
        <v>750</v>
      </c>
      <c r="G3382" t="s">
        <v>4163</v>
      </c>
    </row>
    <row r="3383" spans="1:7">
      <c r="A3383" t="s">
        <v>3646</v>
      </c>
      <c r="B3383" t="s">
        <v>8312</v>
      </c>
      <c r="C3383" t="s">
        <v>3756</v>
      </c>
      <c r="D3383" t="s">
        <v>3757</v>
      </c>
      <c r="E3383">
        <v>12</v>
      </c>
      <c r="F3383" s="6">
        <v>750</v>
      </c>
      <c r="G3383" t="s">
        <v>4163</v>
      </c>
    </row>
    <row r="3384" spans="1:7">
      <c r="A3384" t="s">
        <v>8313</v>
      </c>
      <c r="B3384" t="s">
        <v>8314</v>
      </c>
      <c r="C3384" t="s">
        <v>3756</v>
      </c>
      <c r="D3384" t="s">
        <v>3757</v>
      </c>
      <c r="E3384">
        <v>12</v>
      </c>
      <c r="F3384" s="6">
        <v>1000</v>
      </c>
      <c r="G3384" t="s">
        <v>3686</v>
      </c>
    </row>
    <row r="3385" spans="1:7">
      <c r="A3385" t="s">
        <v>1435</v>
      </c>
      <c r="B3385" t="s">
        <v>8315</v>
      </c>
      <c r="C3385" t="s">
        <v>3756</v>
      </c>
      <c r="D3385" t="s">
        <v>3757</v>
      </c>
      <c r="E3385">
        <v>12</v>
      </c>
      <c r="F3385" s="6">
        <v>750</v>
      </c>
      <c r="G3385" t="s">
        <v>4163</v>
      </c>
    </row>
    <row r="3386" spans="1:7">
      <c r="A3386" t="s">
        <v>976</v>
      </c>
      <c r="B3386" t="s">
        <v>8316</v>
      </c>
      <c r="C3386" t="s">
        <v>3679</v>
      </c>
      <c r="D3386" t="s">
        <v>3680</v>
      </c>
      <c r="E3386">
        <v>1</v>
      </c>
      <c r="F3386" s="6">
        <v>50</v>
      </c>
      <c r="G3386" t="s">
        <v>3686</v>
      </c>
    </row>
    <row r="3387" spans="1:7">
      <c r="A3387" t="s">
        <v>8317</v>
      </c>
      <c r="B3387" t="s">
        <v>8318</v>
      </c>
      <c r="C3387" t="s">
        <v>3679</v>
      </c>
      <c r="D3387" t="s">
        <v>3680</v>
      </c>
      <c r="E3387">
        <v>12</v>
      </c>
      <c r="F3387" s="6">
        <v>750</v>
      </c>
      <c r="G3387" t="s">
        <v>3705</v>
      </c>
    </row>
    <row r="3388" spans="1:7">
      <c r="A3388" t="s">
        <v>8319</v>
      </c>
      <c r="B3388" t="s">
        <v>8320</v>
      </c>
      <c r="C3388" t="s">
        <v>3756</v>
      </c>
      <c r="D3388" t="s">
        <v>3757</v>
      </c>
      <c r="E3388">
        <v>12</v>
      </c>
      <c r="F3388" s="6">
        <v>750</v>
      </c>
      <c r="G3388" t="s">
        <v>3702</v>
      </c>
    </row>
    <row r="3389" spans="1:7">
      <c r="A3389" t="s">
        <v>3315</v>
      </c>
      <c r="B3389" t="s">
        <v>8321</v>
      </c>
      <c r="C3389" t="s">
        <v>3756</v>
      </c>
      <c r="D3389" t="s">
        <v>3757</v>
      </c>
      <c r="E3389">
        <v>12</v>
      </c>
      <c r="F3389" s="6">
        <v>750</v>
      </c>
      <c r="G3389" t="s">
        <v>3702</v>
      </c>
    </row>
    <row r="3390" spans="1:7">
      <c r="A3390" t="s">
        <v>1376</v>
      </c>
      <c r="B3390" t="s">
        <v>8322</v>
      </c>
      <c r="C3390" t="s">
        <v>3977</v>
      </c>
      <c r="D3390" t="s">
        <v>3978</v>
      </c>
      <c r="E3390">
        <v>12</v>
      </c>
      <c r="F3390" s="6">
        <v>750</v>
      </c>
      <c r="G3390" t="s">
        <v>3686</v>
      </c>
    </row>
    <row r="3391" spans="1:7">
      <c r="A3391" t="s">
        <v>631</v>
      </c>
      <c r="B3391" t="s">
        <v>8323</v>
      </c>
      <c r="C3391" t="s">
        <v>4052</v>
      </c>
      <c r="D3391" t="s">
        <v>4053</v>
      </c>
      <c r="E3391">
        <v>12</v>
      </c>
      <c r="F3391" s="6">
        <v>750</v>
      </c>
      <c r="G3391" t="s">
        <v>3702</v>
      </c>
    </row>
    <row r="3392" spans="1:7">
      <c r="A3392" t="s">
        <v>8324</v>
      </c>
      <c r="B3392" t="s">
        <v>8325</v>
      </c>
      <c r="C3392" t="s">
        <v>3700</v>
      </c>
      <c r="D3392" t="s">
        <v>3701</v>
      </c>
      <c r="E3392">
        <v>6</v>
      </c>
      <c r="F3392" s="6">
        <v>1750</v>
      </c>
      <c r="G3392" t="s">
        <v>3686</v>
      </c>
    </row>
    <row r="3393" spans="1:7">
      <c r="A3393" t="s">
        <v>8326</v>
      </c>
      <c r="B3393" t="s">
        <v>8327</v>
      </c>
      <c r="C3393" t="s">
        <v>3977</v>
      </c>
      <c r="D3393" t="s">
        <v>3978</v>
      </c>
      <c r="E3393">
        <v>12</v>
      </c>
      <c r="F3393" s="6">
        <v>750</v>
      </c>
      <c r="G3393" t="s">
        <v>4300</v>
      </c>
    </row>
    <row r="3394" spans="1:7">
      <c r="A3394" t="s">
        <v>1451</v>
      </c>
      <c r="B3394" t="s">
        <v>8328</v>
      </c>
      <c r="C3394" t="s">
        <v>3756</v>
      </c>
      <c r="D3394" t="s">
        <v>3757</v>
      </c>
      <c r="E3394">
        <v>12</v>
      </c>
      <c r="F3394" s="6">
        <v>750</v>
      </c>
      <c r="G3394" t="s">
        <v>3716</v>
      </c>
    </row>
    <row r="3395" spans="1:7">
      <c r="A3395" t="s">
        <v>957</v>
      </c>
      <c r="B3395" t="s">
        <v>8329</v>
      </c>
      <c r="C3395" t="s">
        <v>3708</v>
      </c>
      <c r="D3395" t="s">
        <v>3709</v>
      </c>
      <c r="E3395">
        <v>6</v>
      </c>
      <c r="F3395" s="6">
        <v>750</v>
      </c>
      <c r="G3395" t="s">
        <v>4163</v>
      </c>
    </row>
    <row r="3396" spans="1:7">
      <c r="A3396" t="s">
        <v>1648</v>
      </c>
      <c r="B3396" t="s">
        <v>8329</v>
      </c>
      <c r="C3396" t="s">
        <v>3977</v>
      </c>
      <c r="D3396" t="s">
        <v>3978</v>
      </c>
      <c r="E3396">
        <v>12</v>
      </c>
      <c r="F3396" s="6">
        <v>750</v>
      </c>
      <c r="G3396" t="s">
        <v>4163</v>
      </c>
    </row>
    <row r="3397" spans="1:7">
      <c r="A3397" t="s">
        <v>2365</v>
      </c>
      <c r="B3397" t="s">
        <v>8330</v>
      </c>
      <c r="C3397" t="s">
        <v>3679</v>
      </c>
      <c r="D3397" t="s">
        <v>3680</v>
      </c>
      <c r="E3397">
        <v>12</v>
      </c>
      <c r="F3397" s="6">
        <v>750</v>
      </c>
      <c r="G3397" t="s">
        <v>3931</v>
      </c>
    </row>
    <row r="3398" spans="1:7">
      <c r="A3398" t="s">
        <v>8331</v>
      </c>
      <c r="B3398" t="s">
        <v>8332</v>
      </c>
      <c r="C3398" t="s">
        <v>3977</v>
      </c>
      <c r="D3398" t="s">
        <v>3978</v>
      </c>
      <c r="E3398">
        <v>6</v>
      </c>
      <c r="F3398" s="6">
        <v>750</v>
      </c>
      <c r="G3398" t="s">
        <v>3871</v>
      </c>
    </row>
    <row r="3399" spans="1:7">
      <c r="A3399" t="s">
        <v>8333</v>
      </c>
      <c r="B3399" t="s">
        <v>8334</v>
      </c>
      <c r="C3399" t="s">
        <v>3679</v>
      </c>
      <c r="D3399" t="s">
        <v>3680</v>
      </c>
      <c r="E3399">
        <v>6</v>
      </c>
      <c r="F3399" s="6">
        <v>750</v>
      </c>
      <c r="G3399" t="s">
        <v>3871</v>
      </c>
    </row>
    <row r="3400" spans="1:7">
      <c r="A3400" t="s">
        <v>909</v>
      </c>
      <c r="B3400" t="s">
        <v>8335</v>
      </c>
      <c r="C3400" t="s">
        <v>3977</v>
      </c>
      <c r="D3400" t="s">
        <v>3978</v>
      </c>
      <c r="E3400">
        <v>6</v>
      </c>
      <c r="F3400" s="6">
        <v>750</v>
      </c>
      <c r="G3400" t="s">
        <v>3871</v>
      </c>
    </row>
    <row r="3401" spans="1:7">
      <c r="A3401" t="s">
        <v>1657</v>
      </c>
      <c r="B3401" t="s">
        <v>8336</v>
      </c>
      <c r="C3401" t="s">
        <v>3977</v>
      </c>
      <c r="D3401" t="s">
        <v>3978</v>
      </c>
      <c r="E3401">
        <v>6</v>
      </c>
      <c r="F3401" s="6">
        <v>750</v>
      </c>
      <c r="G3401" t="s">
        <v>3871</v>
      </c>
    </row>
    <row r="3402" spans="1:7">
      <c r="A3402" t="s">
        <v>8337</v>
      </c>
      <c r="B3402" t="s">
        <v>8338</v>
      </c>
      <c r="C3402" t="s">
        <v>3679</v>
      </c>
      <c r="D3402" t="s">
        <v>3680</v>
      </c>
      <c r="E3402">
        <v>12</v>
      </c>
      <c r="F3402" s="6">
        <v>750</v>
      </c>
      <c r="G3402" t="s">
        <v>3716</v>
      </c>
    </row>
    <row r="3403" spans="1:7">
      <c r="A3403" t="s">
        <v>8339</v>
      </c>
      <c r="B3403" t="s">
        <v>8340</v>
      </c>
      <c r="C3403" t="s">
        <v>3977</v>
      </c>
      <c r="D3403" t="s">
        <v>3978</v>
      </c>
      <c r="E3403">
        <v>12</v>
      </c>
      <c r="F3403" s="6">
        <v>50</v>
      </c>
      <c r="G3403" t="s">
        <v>4300</v>
      </c>
    </row>
    <row r="3404" spans="1:7">
      <c r="A3404" t="s">
        <v>8341</v>
      </c>
      <c r="B3404" t="s">
        <v>8342</v>
      </c>
      <c r="C3404" t="s">
        <v>3977</v>
      </c>
      <c r="D3404" t="s">
        <v>3978</v>
      </c>
      <c r="E3404">
        <v>12</v>
      </c>
      <c r="F3404" s="6">
        <v>750</v>
      </c>
      <c r="G3404" t="s">
        <v>4300</v>
      </c>
    </row>
    <row r="3405" spans="1:7">
      <c r="A3405" t="s">
        <v>8343</v>
      </c>
      <c r="B3405" t="s">
        <v>8344</v>
      </c>
      <c r="C3405" t="s">
        <v>4170</v>
      </c>
      <c r="D3405" t="s">
        <v>4171</v>
      </c>
      <c r="E3405">
        <v>6</v>
      </c>
      <c r="F3405" s="6">
        <v>750</v>
      </c>
      <c r="G3405" t="s">
        <v>3802</v>
      </c>
    </row>
    <row r="3406" spans="1:7">
      <c r="A3406" t="s">
        <v>8345</v>
      </c>
      <c r="B3406" t="s">
        <v>8346</v>
      </c>
      <c r="C3406" t="s">
        <v>3679</v>
      </c>
      <c r="D3406" t="s">
        <v>3680</v>
      </c>
      <c r="E3406">
        <v>6</v>
      </c>
      <c r="F3406" s="6">
        <v>750</v>
      </c>
      <c r="G3406" t="s">
        <v>5139</v>
      </c>
    </row>
    <row r="3407" spans="1:7">
      <c r="A3407" t="s">
        <v>8347</v>
      </c>
      <c r="B3407" t="s">
        <v>8348</v>
      </c>
      <c r="C3407" t="s">
        <v>3679</v>
      </c>
      <c r="D3407" t="s">
        <v>3680</v>
      </c>
      <c r="E3407">
        <v>6</v>
      </c>
      <c r="F3407" s="6">
        <v>750</v>
      </c>
      <c r="G3407" t="s">
        <v>5139</v>
      </c>
    </row>
    <row r="3408" spans="1:7">
      <c r="A3408" t="s">
        <v>3313</v>
      </c>
      <c r="B3408" t="s">
        <v>8349</v>
      </c>
      <c r="C3408" t="s">
        <v>7515</v>
      </c>
      <c r="D3408" t="s">
        <v>7516</v>
      </c>
      <c r="E3408">
        <v>8</v>
      </c>
      <c r="F3408" s="6">
        <v>50</v>
      </c>
      <c r="G3408" t="s">
        <v>5139</v>
      </c>
    </row>
    <row r="3409" spans="1:7">
      <c r="A3409" t="s">
        <v>8350</v>
      </c>
      <c r="B3409" t="s">
        <v>8351</v>
      </c>
      <c r="C3409" t="s">
        <v>3977</v>
      </c>
      <c r="D3409" t="s">
        <v>3978</v>
      </c>
      <c r="E3409">
        <v>12</v>
      </c>
      <c r="F3409" s="6">
        <v>750</v>
      </c>
      <c r="G3409" t="s">
        <v>3686</v>
      </c>
    </row>
    <row r="3410" spans="1:7">
      <c r="A3410" t="s">
        <v>2672</v>
      </c>
      <c r="B3410" t="s">
        <v>8352</v>
      </c>
      <c r="C3410" t="s">
        <v>3679</v>
      </c>
      <c r="D3410" t="s">
        <v>3680</v>
      </c>
      <c r="E3410">
        <v>6</v>
      </c>
      <c r="F3410" s="6">
        <v>750</v>
      </c>
      <c r="G3410" t="s">
        <v>5139</v>
      </c>
    </row>
    <row r="3411" spans="1:7">
      <c r="A3411" t="s">
        <v>477</v>
      </c>
      <c r="B3411" t="s">
        <v>8353</v>
      </c>
      <c r="C3411" t="s">
        <v>7515</v>
      </c>
      <c r="D3411" t="s">
        <v>7516</v>
      </c>
      <c r="E3411">
        <v>6</v>
      </c>
      <c r="F3411" s="6">
        <v>750</v>
      </c>
      <c r="G3411" t="s">
        <v>5139</v>
      </c>
    </row>
    <row r="3412" spans="1:7">
      <c r="A3412" t="s">
        <v>2095</v>
      </c>
      <c r="B3412" t="s">
        <v>8354</v>
      </c>
      <c r="C3412" t="s">
        <v>7515</v>
      </c>
      <c r="D3412" t="s">
        <v>7516</v>
      </c>
      <c r="E3412">
        <v>6</v>
      </c>
      <c r="F3412" s="6">
        <v>750</v>
      </c>
      <c r="G3412" t="s">
        <v>5139</v>
      </c>
    </row>
    <row r="3413" spans="1:7">
      <c r="A3413" t="s">
        <v>8355</v>
      </c>
      <c r="B3413" t="s">
        <v>8356</v>
      </c>
      <c r="C3413" t="s">
        <v>3679</v>
      </c>
      <c r="D3413" t="s">
        <v>3680</v>
      </c>
      <c r="E3413">
        <v>6</v>
      </c>
      <c r="F3413" s="6">
        <v>750</v>
      </c>
      <c r="G3413" t="s">
        <v>5139</v>
      </c>
    </row>
    <row r="3414" spans="1:7">
      <c r="A3414" t="s">
        <v>795</v>
      </c>
      <c r="B3414" t="s">
        <v>8357</v>
      </c>
      <c r="C3414" t="s">
        <v>7515</v>
      </c>
      <c r="D3414" t="s">
        <v>7516</v>
      </c>
      <c r="E3414">
        <v>6</v>
      </c>
      <c r="F3414" s="6">
        <v>750</v>
      </c>
      <c r="G3414" t="s">
        <v>5139</v>
      </c>
    </row>
    <row r="3415" spans="1:7">
      <c r="A3415" t="s">
        <v>8358</v>
      </c>
      <c r="B3415" t="s">
        <v>8359</v>
      </c>
      <c r="C3415" t="s">
        <v>3756</v>
      </c>
      <c r="D3415" t="s">
        <v>3757</v>
      </c>
      <c r="E3415">
        <v>12</v>
      </c>
      <c r="F3415" s="6">
        <v>1000</v>
      </c>
      <c r="G3415" t="s">
        <v>3686</v>
      </c>
    </row>
    <row r="3416" spans="1:7">
      <c r="A3416" t="s">
        <v>2197</v>
      </c>
      <c r="B3416" t="s">
        <v>8360</v>
      </c>
      <c r="C3416" t="s">
        <v>7515</v>
      </c>
      <c r="D3416" t="s">
        <v>7516</v>
      </c>
      <c r="E3416">
        <v>8</v>
      </c>
      <c r="F3416" s="6">
        <v>50</v>
      </c>
      <c r="G3416" t="s">
        <v>5139</v>
      </c>
    </row>
    <row r="3417" spans="1:7">
      <c r="A3417" t="s">
        <v>8361</v>
      </c>
      <c r="B3417" t="s">
        <v>8362</v>
      </c>
      <c r="C3417" t="s">
        <v>7515</v>
      </c>
      <c r="D3417" t="s">
        <v>7516</v>
      </c>
      <c r="E3417">
        <v>6</v>
      </c>
      <c r="F3417" s="6">
        <v>750</v>
      </c>
      <c r="G3417" t="s">
        <v>5139</v>
      </c>
    </row>
    <row r="3418" spans="1:7">
      <c r="A3418" t="s">
        <v>3294</v>
      </c>
      <c r="B3418" t="s">
        <v>8363</v>
      </c>
      <c r="C3418" t="s">
        <v>4455</v>
      </c>
      <c r="D3418" t="s">
        <v>4456</v>
      </c>
      <c r="E3418">
        <v>6</v>
      </c>
      <c r="F3418" s="6">
        <v>750</v>
      </c>
      <c r="G3418" t="s">
        <v>5139</v>
      </c>
    </row>
    <row r="3419" spans="1:7">
      <c r="A3419" t="s">
        <v>1432</v>
      </c>
      <c r="B3419" t="s">
        <v>8364</v>
      </c>
      <c r="C3419" t="s">
        <v>4455</v>
      </c>
      <c r="D3419" t="s">
        <v>4456</v>
      </c>
      <c r="E3419">
        <v>6</v>
      </c>
      <c r="F3419" s="6">
        <v>750</v>
      </c>
      <c r="G3419" t="s">
        <v>5139</v>
      </c>
    </row>
    <row r="3420" spans="1:7">
      <c r="A3420" t="s">
        <v>548</v>
      </c>
      <c r="B3420" t="s">
        <v>8365</v>
      </c>
      <c r="C3420" t="s">
        <v>3756</v>
      </c>
      <c r="D3420" t="s">
        <v>3757</v>
      </c>
      <c r="E3420">
        <v>12</v>
      </c>
      <c r="F3420" s="6">
        <v>750</v>
      </c>
      <c r="G3420" t="s">
        <v>3686</v>
      </c>
    </row>
    <row r="3421" spans="1:7">
      <c r="A3421" t="s">
        <v>1596</v>
      </c>
      <c r="B3421" t="s">
        <v>8366</v>
      </c>
      <c r="C3421" t="s">
        <v>7515</v>
      </c>
      <c r="D3421" t="s">
        <v>7516</v>
      </c>
      <c r="E3421">
        <v>8</v>
      </c>
      <c r="F3421" s="6">
        <v>50</v>
      </c>
      <c r="G3421" t="s">
        <v>5139</v>
      </c>
    </row>
    <row r="3422" spans="1:7">
      <c r="A3422" t="s">
        <v>3353</v>
      </c>
      <c r="B3422" t="s">
        <v>8367</v>
      </c>
      <c r="C3422" t="s">
        <v>7515</v>
      </c>
      <c r="D3422" t="s">
        <v>7516</v>
      </c>
      <c r="E3422">
        <v>8</v>
      </c>
      <c r="F3422" s="6">
        <v>50</v>
      </c>
      <c r="G3422" t="s">
        <v>5139</v>
      </c>
    </row>
    <row r="3423" spans="1:7">
      <c r="A3423" t="s">
        <v>8368</v>
      </c>
      <c r="B3423" t="s">
        <v>8369</v>
      </c>
      <c r="C3423" t="s">
        <v>3679</v>
      </c>
      <c r="D3423" t="s">
        <v>3680</v>
      </c>
      <c r="E3423">
        <v>6</v>
      </c>
      <c r="F3423" s="6">
        <v>1000</v>
      </c>
      <c r="G3423" t="s">
        <v>3694</v>
      </c>
    </row>
    <row r="3424" spans="1:7">
      <c r="A3424" t="s">
        <v>8370</v>
      </c>
      <c r="B3424" t="s">
        <v>8371</v>
      </c>
      <c r="C3424" t="s">
        <v>4455</v>
      </c>
      <c r="D3424" t="s">
        <v>4456</v>
      </c>
      <c r="E3424">
        <v>4</v>
      </c>
      <c r="F3424" s="6">
        <v>50</v>
      </c>
      <c r="G3424" t="s">
        <v>5139</v>
      </c>
    </row>
    <row r="3425" spans="1:7">
      <c r="A3425" t="s">
        <v>8372</v>
      </c>
      <c r="B3425" t="s">
        <v>8373</v>
      </c>
      <c r="C3425" t="s">
        <v>3679</v>
      </c>
      <c r="D3425" t="s">
        <v>3680</v>
      </c>
      <c r="E3425">
        <v>12</v>
      </c>
      <c r="F3425" s="6">
        <v>750</v>
      </c>
      <c r="G3425" t="s">
        <v>6906</v>
      </c>
    </row>
    <row r="3426" spans="1:7">
      <c r="A3426" t="s">
        <v>1550</v>
      </c>
      <c r="B3426" t="s">
        <v>8374</v>
      </c>
      <c r="C3426" t="s">
        <v>3977</v>
      </c>
      <c r="D3426" t="s">
        <v>3978</v>
      </c>
      <c r="E3426">
        <v>6</v>
      </c>
      <c r="F3426" s="6">
        <v>750</v>
      </c>
      <c r="G3426" t="s">
        <v>8375</v>
      </c>
    </row>
    <row r="3427" spans="1:7">
      <c r="A3427" t="s">
        <v>910</v>
      </c>
      <c r="B3427" t="s">
        <v>8376</v>
      </c>
      <c r="C3427" t="s">
        <v>3679</v>
      </c>
      <c r="D3427" t="s">
        <v>3680</v>
      </c>
      <c r="E3427">
        <v>12</v>
      </c>
      <c r="F3427" s="6">
        <v>750</v>
      </c>
      <c r="G3427" t="s">
        <v>6906</v>
      </c>
    </row>
    <row r="3428" spans="1:7">
      <c r="A3428" t="s">
        <v>8377</v>
      </c>
      <c r="B3428" t="s">
        <v>8378</v>
      </c>
      <c r="C3428" t="s">
        <v>3679</v>
      </c>
      <c r="D3428" t="s">
        <v>3680</v>
      </c>
      <c r="E3428">
        <v>12</v>
      </c>
      <c r="F3428" s="6">
        <v>750</v>
      </c>
      <c r="G3428" t="s">
        <v>6906</v>
      </c>
    </row>
    <row r="3429" spans="1:7">
      <c r="A3429" t="s">
        <v>8379</v>
      </c>
      <c r="B3429" t="s">
        <v>8378</v>
      </c>
      <c r="C3429" t="s">
        <v>3679</v>
      </c>
      <c r="D3429" t="s">
        <v>3680</v>
      </c>
      <c r="E3429">
        <v>6</v>
      </c>
      <c r="F3429" s="6">
        <v>1750</v>
      </c>
      <c r="G3429" t="s">
        <v>6906</v>
      </c>
    </row>
    <row r="3430" spans="1:7">
      <c r="A3430" t="s">
        <v>8380</v>
      </c>
      <c r="B3430" t="s">
        <v>8381</v>
      </c>
      <c r="C3430" t="s">
        <v>3679</v>
      </c>
      <c r="D3430" t="s">
        <v>3680</v>
      </c>
      <c r="E3430">
        <v>12</v>
      </c>
      <c r="F3430" s="6">
        <v>750</v>
      </c>
      <c r="G3430" t="s">
        <v>6906</v>
      </c>
    </row>
    <row r="3431" spans="1:7">
      <c r="A3431" t="s">
        <v>8382</v>
      </c>
      <c r="B3431" t="s">
        <v>8383</v>
      </c>
      <c r="C3431" t="s">
        <v>3977</v>
      </c>
      <c r="D3431" t="s">
        <v>3978</v>
      </c>
      <c r="E3431">
        <v>12</v>
      </c>
      <c r="F3431" s="6">
        <v>750</v>
      </c>
      <c r="G3431" t="s">
        <v>6906</v>
      </c>
    </row>
    <row r="3432" spans="1:7">
      <c r="A3432" t="s">
        <v>1996</v>
      </c>
      <c r="B3432" t="s">
        <v>8384</v>
      </c>
      <c r="C3432" t="s">
        <v>3977</v>
      </c>
      <c r="D3432" t="s">
        <v>3978</v>
      </c>
      <c r="E3432">
        <v>6</v>
      </c>
      <c r="F3432" s="6">
        <v>750</v>
      </c>
      <c r="G3432" t="s">
        <v>4068</v>
      </c>
    </row>
    <row r="3433" spans="1:7">
      <c r="A3433" t="s">
        <v>3492</v>
      </c>
      <c r="B3433" t="s">
        <v>8385</v>
      </c>
      <c r="C3433" t="s">
        <v>3977</v>
      </c>
      <c r="D3433" t="s">
        <v>3978</v>
      </c>
      <c r="E3433">
        <v>6</v>
      </c>
      <c r="F3433" s="6">
        <v>750</v>
      </c>
      <c r="G3433" t="s">
        <v>8375</v>
      </c>
    </row>
    <row r="3434" spans="1:7">
      <c r="A3434" t="s">
        <v>8386</v>
      </c>
      <c r="B3434" t="s">
        <v>8387</v>
      </c>
      <c r="C3434" t="s">
        <v>3977</v>
      </c>
      <c r="D3434" t="s">
        <v>3978</v>
      </c>
      <c r="E3434">
        <v>10</v>
      </c>
      <c r="F3434" s="6">
        <v>50</v>
      </c>
      <c r="G3434" t="s">
        <v>3686</v>
      </c>
    </row>
    <row r="3435" spans="1:7">
      <c r="A3435" t="s">
        <v>8388</v>
      </c>
      <c r="B3435" t="s">
        <v>8389</v>
      </c>
      <c r="C3435" t="s">
        <v>3977</v>
      </c>
      <c r="D3435" t="s">
        <v>3978</v>
      </c>
      <c r="E3435">
        <v>6</v>
      </c>
      <c r="F3435" s="6">
        <v>750</v>
      </c>
      <c r="G3435" t="s">
        <v>4068</v>
      </c>
    </row>
    <row r="3436" spans="1:7">
      <c r="A3436" t="s">
        <v>2302</v>
      </c>
      <c r="B3436" t="s">
        <v>8390</v>
      </c>
      <c r="C3436" t="s">
        <v>3977</v>
      </c>
      <c r="D3436" t="s">
        <v>3978</v>
      </c>
      <c r="E3436">
        <v>12</v>
      </c>
      <c r="F3436" s="6">
        <v>750</v>
      </c>
      <c r="G3436" t="s">
        <v>3686</v>
      </c>
    </row>
    <row r="3437" spans="1:7">
      <c r="A3437" t="s">
        <v>446</v>
      </c>
      <c r="B3437" t="s">
        <v>8390</v>
      </c>
      <c r="C3437" t="s">
        <v>3977</v>
      </c>
      <c r="D3437" t="s">
        <v>3978</v>
      </c>
      <c r="E3437">
        <v>12</v>
      </c>
      <c r="F3437" s="6">
        <v>1000</v>
      </c>
      <c r="G3437" t="s">
        <v>3686</v>
      </c>
    </row>
    <row r="3438" spans="1:7">
      <c r="A3438" t="s">
        <v>1155</v>
      </c>
      <c r="B3438" t="s">
        <v>8390</v>
      </c>
      <c r="C3438" t="s">
        <v>3977</v>
      </c>
      <c r="D3438" t="s">
        <v>3978</v>
      </c>
      <c r="E3438">
        <v>6</v>
      </c>
      <c r="F3438" s="6">
        <v>1750</v>
      </c>
      <c r="G3438" t="s">
        <v>3686</v>
      </c>
    </row>
    <row r="3439" spans="1:7">
      <c r="A3439" t="s">
        <v>8391</v>
      </c>
      <c r="B3439" t="s">
        <v>8392</v>
      </c>
      <c r="C3439" t="s">
        <v>3977</v>
      </c>
      <c r="D3439" t="s">
        <v>3978</v>
      </c>
      <c r="E3439">
        <v>6</v>
      </c>
      <c r="F3439" s="6">
        <v>750</v>
      </c>
      <c r="G3439" t="s">
        <v>4068</v>
      </c>
    </row>
    <row r="3440" spans="1:7">
      <c r="A3440" t="s">
        <v>977</v>
      </c>
      <c r="B3440" t="s">
        <v>8393</v>
      </c>
      <c r="C3440" t="s">
        <v>3977</v>
      </c>
      <c r="D3440" t="s">
        <v>3978</v>
      </c>
      <c r="E3440">
        <v>6</v>
      </c>
      <c r="F3440" s="6">
        <v>750</v>
      </c>
      <c r="G3440" t="s">
        <v>3763</v>
      </c>
    </row>
    <row r="3441" spans="1:7">
      <c r="A3441" t="s">
        <v>2563</v>
      </c>
      <c r="B3441" t="s">
        <v>8394</v>
      </c>
      <c r="C3441" t="s">
        <v>3977</v>
      </c>
      <c r="D3441" t="s">
        <v>3978</v>
      </c>
      <c r="E3441">
        <v>6</v>
      </c>
      <c r="F3441" s="6">
        <v>750</v>
      </c>
      <c r="G3441" t="s">
        <v>3763</v>
      </c>
    </row>
    <row r="3442" spans="1:7">
      <c r="A3442" t="s">
        <v>1058</v>
      </c>
      <c r="B3442" t="s">
        <v>8395</v>
      </c>
      <c r="C3442" t="s">
        <v>3977</v>
      </c>
      <c r="D3442" t="s">
        <v>3978</v>
      </c>
      <c r="E3442">
        <v>6</v>
      </c>
      <c r="F3442" s="6">
        <v>750</v>
      </c>
      <c r="G3442" t="s">
        <v>3763</v>
      </c>
    </row>
    <row r="3443" spans="1:7">
      <c r="A3443" t="s">
        <v>1915</v>
      </c>
      <c r="B3443" t="s">
        <v>8396</v>
      </c>
      <c r="C3443" t="s">
        <v>3977</v>
      </c>
      <c r="D3443" t="s">
        <v>3978</v>
      </c>
      <c r="E3443">
        <v>6</v>
      </c>
      <c r="F3443" s="6">
        <v>750</v>
      </c>
      <c r="G3443" t="s">
        <v>3763</v>
      </c>
    </row>
    <row r="3444" spans="1:7">
      <c r="A3444" t="s">
        <v>732</v>
      </c>
      <c r="B3444" t="s">
        <v>8397</v>
      </c>
      <c r="C3444" t="s">
        <v>3977</v>
      </c>
      <c r="D3444" t="s">
        <v>3978</v>
      </c>
      <c r="E3444">
        <v>6</v>
      </c>
      <c r="F3444" s="6">
        <v>750</v>
      </c>
      <c r="G3444" t="s">
        <v>3851</v>
      </c>
    </row>
    <row r="3445" spans="1:7">
      <c r="A3445" t="s">
        <v>1254</v>
      </c>
      <c r="B3445" t="s">
        <v>8398</v>
      </c>
      <c r="C3445" t="s">
        <v>3756</v>
      </c>
      <c r="D3445" t="s">
        <v>3757</v>
      </c>
      <c r="E3445">
        <v>6</v>
      </c>
      <c r="F3445" s="6">
        <v>750</v>
      </c>
      <c r="G3445" t="s">
        <v>3851</v>
      </c>
    </row>
    <row r="3446" spans="1:7">
      <c r="A3446" t="s">
        <v>8399</v>
      </c>
      <c r="B3446" t="s">
        <v>8400</v>
      </c>
      <c r="C3446" t="s">
        <v>3679</v>
      </c>
      <c r="D3446" t="s">
        <v>3680</v>
      </c>
      <c r="E3446">
        <v>6</v>
      </c>
      <c r="F3446" s="6">
        <v>750</v>
      </c>
      <c r="G3446" t="s">
        <v>3851</v>
      </c>
    </row>
    <row r="3447" spans="1:7">
      <c r="A3447" t="s">
        <v>8401</v>
      </c>
      <c r="B3447" t="s">
        <v>8402</v>
      </c>
      <c r="C3447" t="s">
        <v>3679</v>
      </c>
      <c r="D3447" t="s">
        <v>3680</v>
      </c>
      <c r="E3447">
        <v>6</v>
      </c>
      <c r="F3447" s="6">
        <v>750</v>
      </c>
      <c r="G3447" t="s">
        <v>3851</v>
      </c>
    </row>
    <row r="3448" spans="1:7">
      <c r="A3448" t="s">
        <v>8403</v>
      </c>
      <c r="B3448" t="s">
        <v>8404</v>
      </c>
      <c r="C3448" t="s">
        <v>3756</v>
      </c>
      <c r="D3448" t="s">
        <v>3757</v>
      </c>
      <c r="E3448">
        <v>6</v>
      </c>
      <c r="F3448" s="6">
        <v>750</v>
      </c>
      <c r="G3448" t="s">
        <v>3851</v>
      </c>
    </row>
    <row r="3449" spans="1:7">
      <c r="A3449" t="s">
        <v>8405</v>
      </c>
      <c r="B3449" t="s">
        <v>8406</v>
      </c>
      <c r="C3449" t="s">
        <v>3977</v>
      </c>
      <c r="D3449" t="s">
        <v>3978</v>
      </c>
      <c r="E3449">
        <v>6</v>
      </c>
      <c r="F3449" s="6">
        <v>50</v>
      </c>
      <c r="G3449" t="s">
        <v>4899</v>
      </c>
    </row>
    <row r="3450" spans="1:7">
      <c r="A3450" t="s">
        <v>2997</v>
      </c>
      <c r="B3450" t="s">
        <v>8407</v>
      </c>
      <c r="C3450" t="s">
        <v>3783</v>
      </c>
      <c r="D3450" t="s">
        <v>3784</v>
      </c>
      <c r="E3450">
        <v>12</v>
      </c>
      <c r="F3450" s="6">
        <v>50</v>
      </c>
      <c r="G3450" t="s">
        <v>4163</v>
      </c>
    </row>
    <row r="3451" spans="1:7">
      <c r="A3451" t="s">
        <v>8408</v>
      </c>
      <c r="B3451" t="s">
        <v>8409</v>
      </c>
      <c r="C3451" t="s">
        <v>3756</v>
      </c>
      <c r="D3451" t="s">
        <v>3757</v>
      </c>
      <c r="E3451">
        <v>48</v>
      </c>
      <c r="F3451" s="6">
        <v>200</v>
      </c>
      <c r="G3451" t="s">
        <v>4163</v>
      </c>
    </row>
    <row r="3452" spans="1:7">
      <c r="A3452" t="s">
        <v>1570</v>
      </c>
      <c r="B3452" t="s">
        <v>8409</v>
      </c>
      <c r="C3452" t="s">
        <v>3783</v>
      </c>
      <c r="D3452" t="s">
        <v>3784</v>
      </c>
      <c r="E3452">
        <v>24</v>
      </c>
      <c r="F3452" s="6">
        <v>375</v>
      </c>
      <c r="G3452" t="s">
        <v>4163</v>
      </c>
    </row>
    <row r="3453" spans="1:7">
      <c r="A3453" t="s">
        <v>2199</v>
      </c>
      <c r="B3453" t="s">
        <v>8409</v>
      </c>
      <c r="C3453" t="s">
        <v>3783</v>
      </c>
      <c r="D3453" t="s">
        <v>3784</v>
      </c>
      <c r="E3453">
        <v>12</v>
      </c>
      <c r="F3453" s="6">
        <v>750</v>
      </c>
      <c r="G3453" t="s">
        <v>4163</v>
      </c>
    </row>
    <row r="3454" spans="1:7">
      <c r="A3454" t="s">
        <v>900</v>
      </c>
      <c r="B3454" t="s">
        <v>8409</v>
      </c>
      <c r="C3454" t="s">
        <v>3783</v>
      </c>
      <c r="D3454" t="s">
        <v>3784</v>
      </c>
      <c r="E3454">
        <v>12</v>
      </c>
      <c r="F3454" s="6">
        <v>1000</v>
      </c>
      <c r="G3454" t="s">
        <v>4163</v>
      </c>
    </row>
    <row r="3455" spans="1:7">
      <c r="A3455" t="s">
        <v>2739</v>
      </c>
      <c r="B3455" t="s">
        <v>8409</v>
      </c>
      <c r="C3455" t="s">
        <v>3783</v>
      </c>
      <c r="D3455" t="s">
        <v>3784</v>
      </c>
      <c r="E3455">
        <v>6</v>
      </c>
      <c r="F3455" s="6">
        <v>1750</v>
      </c>
      <c r="G3455" t="s">
        <v>4163</v>
      </c>
    </row>
    <row r="3456" spans="1:7">
      <c r="A3456" t="s">
        <v>8410</v>
      </c>
      <c r="B3456" t="s">
        <v>8411</v>
      </c>
      <c r="C3456" t="s">
        <v>3783</v>
      </c>
      <c r="D3456" t="s">
        <v>3784</v>
      </c>
      <c r="E3456">
        <v>12</v>
      </c>
      <c r="F3456" s="6">
        <v>750</v>
      </c>
      <c r="G3456" t="s">
        <v>4163</v>
      </c>
    </row>
    <row r="3457" spans="1:7">
      <c r="A3457" t="s">
        <v>8412</v>
      </c>
      <c r="B3457" t="s">
        <v>8413</v>
      </c>
      <c r="C3457" t="s">
        <v>3783</v>
      </c>
      <c r="D3457" t="s">
        <v>3784</v>
      </c>
      <c r="E3457">
        <v>12</v>
      </c>
      <c r="F3457" s="6">
        <v>750</v>
      </c>
      <c r="G3457" t="s">
        <v>4163</v>
      </c>
    </row>
    <row r="3458" spans="1:7">
      <c r="A3458" t="s">
        <v>1240</v>
      </c>
      <c r="B3458" t="s">
        <v>8414</v>
      </c>
      <c r="C3458" t="s">
        <v>3783</v>
      </c>
      <c r="D3458" t="s">
        <v>3784</v>
      </c>
      <c r="E3458">
        <v>12</v>
      </c>
      <c r="F3458" s="6">
        <v>750</v>
      </c>
      <c r="G3458" t="s">
        <v>3716</v>
      </c>
    </row>
    <row r="3459" spans="1:7">
      <c r="A3459" t="s">
        <v>8415</v>
      </c>
      <c r="B3459" t="s">
        <v>8414</v>
      </c>
      <c r="C3459" t="s">
        <v>3783</v>
      </c>
      <c r="D3459" t="s">
        <v>3784</v>
      </c>
      <c r="E3459">
        <v>12</v>
      </c>
      <c r="F3459" s="6">
        <v>1000</v>
      </c>
      <c r="G3459" t="s">
        <v>3716</v>
      </c>
    </row>
    <row r="3460" spans="1:7">
      <c r="A3460" t="s">
        <v>2161</v>
      </c>
      <c r="B3460" t="s">
        <v>8416</v>
      </c>
      <c r="C3460" t="s">
        <v>3783</v>
      </c>
      <c r="D3460" t="s">
        <v>3784</v>
      </c>
      <c r="E3460">
        <v>12</v>
      </c>
      <c r="F3460" s="6">
        <v>750</v>
      </c>
      <c r="G3460" t="s">
        <v>3686</v>
      </c>
    </row>
    <row r="3461" spans="1:7">
      <c r="A3461" t="s">
        <v>850</v>
      </c>
      <c r="B3461" t="s">
        <v>8417</v>
      </c>
      <c r="C3461" t="s">
        <v>3783</v>
      </c>
      <c r="D3461" t="s">
        <v>3784</v>
      </c>
      <c r="E3461">
        <v>1</v>
      </c>
      <c r="F3461" s="6">
        <v>50</v>
      </c>
      <c r="G3461" t="s">
        <v>3686</v>
      </c>
    </row>
    <row r="3462" spans="1:7">
      <c r="A3462" t="s">
        <v>2723</v>
      </c>
      <c r="B3462" t="s">
        <v>8418</v>
      </c>
      <c r="C3462" t="s">
        <v>3783</v>
      </c>
      <c r="D3462" t="s">
        <v>3784</v>
      </c>
      <c r="E3462">
        <v>12</v>
      </c>
      <c r="F3462" s="6">
        <v>750</v>
      </c>
      <c r="G3462" t="s">
        <v>3686</v>
      </c>
    </row>
    <row r="3463" spans="1:7">
      <c r="A3463" t="s">
        <v>8419</v>
      </c>
      <c r="B3463" t="s">
        <v>8420</v>
      </c>
      <c r="C3463" t="s">
        <v>3783</v>
      </c>
      <c r="D3463" t="s">
        <v>3784</v>
      </c>
      <c r="E3463">
        <v>10</v>
      </c>
      <c r="F3463" s="6">
        <v>50</v>
      </c>
      <c r="G3463" t="s">
        <v>3686</v>
      </c>
    </row>
    <row r="3464" spans="1:7">
      <c r="A3464" t="s">
        <v>8421</v>
      </c>
      <c r="B3464" t="s">
        <v>8422</v>
      </c>
      <c r="C3464" t="s">
        <v>3783</v>
      </c>
      <c r="D3464" t="s">
        <v>3784</v>
      </c>
      <c r="E3464">
        <v>12</v>
      </c>
      <c r="F3464" s="6">
        <v>1000</v>
      </c>
      <c r="G3464" t="s">
        <v>3686</v>
      </c>
    </row>
    <row r="3465" spans="1:7">
      <c r="A3465" t="s">
        <v>1163</v>
      </c>
      <c r="B3465" t="s">
        <v>8423</v>
      </c>
      <c r="C3465" t="s">
        <v>3783</v>
      </c>
      <c r="D3465" t="s">
        <v>3784</v>
      </c>
      <c r="E3465">
        <v>12</v>
      </c>
      <c r="F3465" s="6">
        <v>750</v>
      </c>
      <c r="G3465" t="s">
        <v>4163</v>
      </c>
    </row>
    <row r="3466" spans="1:7">
      <c r="A3466" t="s">
        <v>8424</v>
      </c>
      <c r="B3466" t="s">
        <v>8425</v>
      </c>
      <c r="C3466" t="s">
        <v>3783</v>
      </c>
      <c r="D3466" t="s">
        <v>3784</v>
      </c>
      <c r="E3466">
        <v>24</v>
      </c>
      <c r="F3466" s="6">
        <v>375</v>
      </c>
      <c r="G3466" t="s">
        <v>4163</v>
      </c>
    </row>
    <row r="3467" spans="1:7">
      <c r="A3467" t="s">
        <v>556</v>
      </c>
      <c r="B3467" t="s">
        <v>8425</v>
      </c>
      <c r="C3467" t="s">
        <v>3783</v>
      </c>
      <c r="D3467" t="s">
        <v>3784</v>
      </c>
      <c r="E3467">
        <v>12</v>
      </c>
      <c r="F3467" s="6">
        <v>750</v>
      </c>
      <c r="G3467" t="s">
        <v>4163</v>
      </c>
    </row>
    <row r="3468" spans="1:7">
      <c r="A3468" t="s">
        <v>1033</v>
      </c>
      <c r="B3468" t="s">
        <v>8425</v>
      </c>
      <c r="C3468" t="s">
        <v>3783</v>
      </c>
      <c r="D3468" t="s">
        <v>3784</v>
      </c>
      <c r="E3468">
        <v>12</v>
      </c>
      <c r="F3468" s="6">
        <v>1000</v>
      </c>
      <c r="G3468" t="s">
        <v>4163</v>
      </c>
    </row>
    <row r="3469" spans="1:7">
      <c r="A3469" t="s">
        <v>1940</v>
      </c>
      <c r="B3469" t="s">
        <v>8425</v>
      </c>
      <c r="C3469" t="s">
        <v>3783</v>
      </c>
      <c r="D3469" t="s">
        <v>3784</v>
      </c>
      <c r="E3469">
        <v>6</v>
      </c>
      <c r="F3469" s="6">
        <v>1750</v>
      </c>
      <c r="G3469" t="s">
        <v>4163</v>
      </c>
    </row>
    <row r="3470" spans="1:7">
      <c r="A3470" t="s">
        <v>804</v>
      </c>
      <c r="B3470" t="s">
        <v>8426</v>
      </c>
      <c r="C3470" t="s">
        <v>3783</v>
      </c>
      <c r="D3470" t="s">
        <v>3784</v>
      </c>
      <c r="E3470">
        <v>12</v>
      </c>
      <c r="F3470" s="6">
        <v>750</v>
      </c>
      <c r="G3470" t="s">
        <v>4163</v>
      </c>
    </row>
    <row r="3471" spans="1:7">
      <c r="A3471" t="s">
        <v>2415</v>
      </c>
      <c r="B3471" t="s">
        <v>8427</v>
      </c>
      <c r="C3471" t="s">
        <v>3783</v>
      </c>
      <c r="D3471" t="s">
        <v>3784</v>
      </c>
      <c r="E3471">
        <v>12</v>
      </c>
      <c r="F3471" s="6">
        <v>750</v>
      </c>
      <c r="G3471" t="s">
        <v>4163</v>
      </c>
    </row>
    <row r="3472" spans="1:7">
      <c r="A3472" t="s">
        <v>8428</v>
      </c>
      <c r="B3472" t="s">
        <v>8429</v>
      </c>
      <c r="C3472" t="s">
        <v>3684</v>
      </c>
      <c r="D3472" t="s">
        <v>3685</v>
      </c>
      <c r="E3472">
        <v>6</v>
      </c>
      <c r="F3472" s="6">
        <v>1750</v>
      </c>
      <c r="G3472" t="s">
        <v>3686</v>
      </c>
    </row>
    <row r="3473" spans="1:7">
      <c r="A3473" t="s">
        <v>2180</v>
      </c>
      <c r="B3473" t="s">
        <v>8430</v>
      </c>
      <c r="C3473" t="s">
        <v>3783</v>
      </c>
      <c r="D3473" t="s">
        <v>3784</v>
      </c>
      <c r="E3473">
        <v>12</v>
      </c>
      <c r="F3473" s="6">
        <v>750</v>
      </c>
      <c r="G3473" t="s">
        <v>4163</v>
      </c>
    </row>
    <row r="3474" spans="1:7">
      <c r="A3474" t="s">
        <v>8431</v>
      </c>
      <c r="B3474" t="s">
        <v>8430</v>
      </c>
      <c r="C3474" t="s">
        <v>3783</v>
      </c>
      <c r="D3474" t="s">
        <v>3784</v>
      </c>
      <c r="E3474">
        <v>12</v>
      </c>
      <c r="F3474" s="6">
        <v>1000</v>
      </c>
      <c r="G3474" t="s">
        <v>4163</v>
      </c>
    </row>
    <row r="3475" spans="1:7">
      <c r="A3475" t="s">
        <v>1212</v>
      </c>
      <c r="B3475" t="s">
        <v>8432</v>
      </c>
      <c r="C3475" t="s">
        <v>3783</v>
      </c>
      <c r="D3475" t="s">
        <v>3784</v>
      </c>
      <c r="E3475">
        <v>12</v>
      </c>
      <c r="F3475" s="6">
        <v>750</v>
      </c>
      <c r="G3475" t="s">
        <v>4163</v>
      </c>
    </row>
    <row r="3476" spans="1:7">
      <c r="A3476" t="s">
        <v>159</v>
      </c>
      <c r="B3476" t="s">
        <v>8432</v>
      </c>
      <c r="C3476" t="s">
        <v>3783</v>
      </c>
      <c r="D3476" t="s">
        <v>3784</v>
      </c>
      <c r="E3476">
        <v>12</v>
      </c>
      <c r="F3476" s="6">
        <v>1000</v>
      </c>
      <c r="G3476" t="s">
        <v>4163</v>
      </c>
    </row>
    <row r="3477" spans="1:7">
      <c r="A3477" t="s">
        <v>2820</v>
      </c>
      <c r="B3477" t="s">
        <v>8433</v>
      </c>
      <c r="C3477" t="s">
        <v>3783</v>
      </c>
      <c r="D3477" t="s">
        <v>3784</v>
      </c>
      <c r="E3477">
        <v>12</v>
      </c>
      <c r="F3477" s="6">
        <v>1000</v>
      </c>
      <c r="G3477" t="s">
        <v>4163</v>
      </c>
    </row>
    <row r="3478" spans="1:7">
      <c r="A3478" t="s">
        <v>8434</v>
      </c>
      <c r="B3478" t="s">
        <v>8435</v>
      </c>
      <c r="C3478" t="s">
        <v>3783</v>
      </c>
      <c r="D3478" t="s">
        <v>3784</v>
      </c>
      <c r="E3478">
        <v>6</v>
      </c>
      <c r="F3478" s="6">
        <v>1750</v>
      </c>
      <c r="G3478" t="s">
        <v>3716</v>
      </c>
    </row>
    <row r="3479" spans="1:7">
      <c r="A3479" t="s">
        <v>2232</v>
      </c>
      <c r="B3479" t="s">
        <v>8435</v>
      </c>
      <c r="C3479" t="s">
        <v>3783</v>
      </c>
      <c r="D3479" t="s">
        <v>3784</v>
      </c>
      <c r="E3479">
        <v>12</v>
      </c>
      <c r="F3479" s="6">
        <v>750</v>
      </c>
      <c r="G3479" t="s">
        <v>3716</v>
      </c>
    </row>
    <row r="3480" spans="1:7">
      <c r="A3480" t="s">
        <v>433</v>
      </c>
      <c r="B3480" t="s">
        <v>8436</v>
      </c>
      <c r="C3480" t="s">
        <v>3783</v>
      </c>
      <c r="D3480" t="s">
        <v>3784</v>
      </c>
      <c r="E3480">
        <v>12</v>
      </c>
      <c r="F3480" s="6">
        <v>750</v>
      </c>
      <c r="G3480" t="s">
        <v>3716</v>
      </c>
    </row>
    <row r="3481" spans="1:7">
      <c r="A3481" t="s">
        <v>2845</v>
      </c>
      <c r="B3481" t="s">
        <v>8436</v>
      </c>
      <c r="C3481" t="s">
        <v>3783</v>
      </c>
      <c r="D3481" t="s">
        <v>3784</v>
      </c>
      <c r="E3481">
        <v>12</v>
      </c>
      <c r="F3481" s="6">
        <v>1000</v>
      </c>
      <c r="G3481" t="s">
        <v>3716</v>
      </c>
    </row>
    <row r="3482" spans="1:7">
      <c r="A3482" t="s">
        <v>2310</v>
      </c>
      <c r="B3482" t="s">
        <v>8437</v>
      </c>
      <c r="C3482" t="s">
        <v>3783</v>
      </c>
      <c r="D3482" t="s">
        <v>3784</v>
      </c>
      <c r="E3482">
        <v>12</v>
      </c>
      <c r="F3482" s="6">
        <v>1000</v>
      </c>
      <c r="G3482" t="s">
        <v>3716</v>
      </c>
    </row>
    <row r="3483" spans="1:7">
      <c r="A3483" t="s">
        <v>1014</v>
      </c>
      <c r="B3483" t="s">
        <v>8437</v>
      </c>
      <c r="C3483" t="s">
        <v>3783</v>
      </c>
      <c r="D3483" t="s">
        <v>3784</v>
      </c>
      <c r="E3483">
        <v>12</v>
      </c>
      <c r="F3483" s="6">
        <v>750</v>
      </c>
      <c r="G3483" t="s">
        <v>3716</v>
      </c>
    </row>
    <row r="3484" spans="1:7">
      <c r="A3484" t="s">
        <v>1584</v>
      </c>
      <c r="B3484" t="s">
        <v>8438</v>
      </c>
      <c r="C3484" t="s">
        <v>3783</v>
      </c>
      <c r="D3484" t="s">
        <v>3784</v>
      </c>
      <c r="E3484">
        <v>12</v>
      </c>
      <c r="F3484" s="6">
        <v>750</v>
      </c>
      <c r="G3484" t="s">
        <v>3716</v>
      </c>
    </row>
    <row r="3485" spans="1:7">
      <c r="A3485" t="s">
        <v>119</v>
      </c>
      <c r="B3485" t="s">
        <v>8439</v>
      </c>
      <c r="C3485" t="s">
        <v>3783</v>
      </c>
      <c r="D3485" t="s">
        <v>3784</v>
      </c>
      <c r="E3485">
        <v>12</v>
      </c>
      <c r="F3485" s="6">
        <v>750</v>
      </c>
      <c r="G3485" t="s">
        <v>3716</v>
      </c>
    </row>
    <row r="3486" spans="1:7">
      <c r="A3486" t="s">
        <v>3318</v>
      </c>
      <c r="B3486" t="s">
        <v>8439</v>
      </c>
      <c r="C3486" t="s">
        <v>3783</v>
      </c>
      <c r="D3486" t="s">
        <v>3784</v>
      </c>
      <c r="E3486">
        <v>12</v>
      </c>
      <c r="F3486" s="6">
        <v>1000</v>
      </c>
      <c r="G3486" t="s">
        <v>3716</v>
      </c>
    </row>
    <row r="3487" spans="1:7">
      <c r="A3487" t="s">
        <v>2417</v>
      </c>
      <c r="B3487" t="s">
        <v>8440</v>
      </c>
      <c r="C3487" t="s">
        <v>3783</v>
      </c>
      <c r="D3487" t="s">
        <v>3784</v>
      </c>
      <c r="E3487">
        <v>12</v>
      </c>
      <c r="F3487" s="6">
        <v>750</v>
      </c>
      <c r="G3487" t="s">
        <v>3716</v>
      </c>
    </row>
    <row r="3488" spans="1:7">
      <c r="A3488" t="s">
        <v>752</v>
      </c>
      <c r="B3488" t="s">
        <v>8440</v>
      </c>
      <c r="C3488" t="s">
        <v>3783</v>
      </c>
      <c r="D3488" t="s">
        <v>3784</v>
      </c>
      <c r="E3488">
        <v>12</v>
      </c>
      <c r="F3488" s="6">
        <v>1000</v>
      </c>
      <c r="G3488" t="s">
        <v>3716</v>
      </c>
    </row>
    <row r="3489" spans="1:7">
      <c r="A3489" t="s">
        <v>1686</v>
      </c>
      <c r="B3489" t="s">
        <v>8441</v>
      </c>
      <c r="C3489" t="s">
        <v>3783</v>
      </c>
      <c r="D3489" t="s">
        <v>3784</v>
      </c>
      <c r="E3489">
        <v>12</v>
      </c>
      <c r="F3489" s="6">
        <v>750</v>
      </c>
      <c r="G3489" t="s">
        <v>3716</v>
      </c>
    </row>
    <row r="3490" spans="1:7">
      <c r="A3490" t="s">
        <v>2504</v>
      </c>
      <c r="B3490" t="s">
        <v>8442</v>
      </c>
      <c r="C3490" t="s">
        <v>3783</v>
      </c>
      <c r="D3490" t="s">
        <v>3784</v>
      </c>
      <c r="E3490">
        <v>12</v>
      </c>
      <c r="F3490" s="6">
        <v>750</v>
      </c>
      <c r="G3490" t="s">
        <v>3716</v>
      </c>
    </row>
    <row r="3491" spans="1:7">
      <c r="A3491" t="s">
        <v>718</v>
      </c>
      <c r="B3491" t="s">
        <v>8442</v>
      </c>
      <c r="C3491" t="s">
        <v>3783</v>
      </c>
      <c r="D3491" t="s">
        <v>3784</v>
      </c>
      <c r="E3491">
        <v>12</v>
      </c>
      <c r="F3491" s="6">
        <v>1000</v>
      </c>
      <c r="G3491" t="s">
        <v>3716</v>
      </c>
    </row>
    <row r="3492" spans="1:7">
      <c r="A3492" t="s">
        <v>1637</v>
      </c>
      <c r="B3492" t="s">
        <v>8443</v>
      </c>
      <c r="C3492" t="s">
        <v>3783</v>
      </c>
      <c r="D3492" t="s">
        <v>3784</v>
      </c>
      <c r="E3492">
        <v>12</v>
      </c>
      <c r="F3492" s="6">
        <v>750</v>
      </c>
      <c r="G3492" t="s">
        <v>3716</v>
      </c>
    </row>
    <row r="3493" spans="1:7">
      <c r="A3493" t="s">
        <v>3136</v>
      </c>
      <c r="B3493" t="s">
        <v>8444</v>
      </c>
      <c r="C3493" t="s">
        <v>3783</v>
      </c>
      <c r="D3493" t="s">
        <v>3784</v>
      </c>
      <c r="E3493">
        <v>12</v>
      </c>
      <c r="F3493" s="6">
        <v>750</v>
      </c>
      <c r="G3493" t="s">
        <v>3716</v>
      </c>
    </row>
    <row r="3494" spans="1:7">
      <c r="A3494" t="s">
        <v>1365</v>
      </c>
      <c r="B3494" t="s">
        <v>8444</v>
      </c>
      <c r="C3494" t="s">
        <v>3783</v>
      </c>
      <c r="D3494" t="s">
        <v>3784</v>
      </c>
      <c r="E3494">
        <v>12</v>
      </c>
      <c r="F3494" s="6">
        <v>1000</v>
      </c>
      <c r="G3494" t="s">
        <v>3716</v>
      </c>
    </row>
    <row r="3495" spans="1:7">
      <c r="A3495" t="s">
        <v>856</v>
      </c>
      <c r="B3495" t="s">
        <v>8445</v>
      </c>
      <c r="C3495" t="s">
        <v>3783</v>
      </c>
      <c r="D3495" t="s">
        <v>3784</v>
      </c>
      <c r="E3495">
        <v>12</v>
      </c>
      <c r="F3495" s="6">
        <v>750</v>
      </c>
      <c r="G3495" t="s">
        <v>3716</v>
      </c>
    </row>
    <row r="3496" spans="1:7">
      <c r="A3496" t="s">
        <v>1787</v>
      </c>
      <c r="B3496" t="s">
        <v>8446</v>
      </c>
      <c r="C3496" t="s">
        <v>3783</v>
      </c>
      <c r="D3496" t="s">
        <v>3784</v>
      </c>
      <c r="E3496">
        <v>12</v>
      </c>
      <c r="F3496" s="6">
        <v>750</v>
      </c>
      <c r="G3496" t="s">
        <v>3716</v>
      </c>
    </row>
    <row r="3497" spans="1:7">
      <c r="A3497" t="s">
        <v>1551</v>
      </c>
      <c r="B3497" t="s">
        <v>8447</v>
      </c>
      <c r="C3497" t="s">
        <v>3783</v>
      </c>
      <c r="D3497" t="s">
        <v>3784</v>
      </c>
      <c r="E3497">
        <v>12</v>
      </c>
      <c r="F3497" s="6">
        <v>750</v>
      </c>
      <c r="G3497" t="s">
        <v>3716</v>
      </c>
    </row>
    <row r="3498" spans="1:7">
      <c r="A3498" t="s">
        <v>671</v>
      </c>
      <c r="B3498" t="s">
        <v>8447</v>
      </c>
      <c r="C3498" t="s">
        <v>3783</v>
      </c>
      <c r="D3498" t="s">
        <v>3784</v>
      </c>
      <c r="E3498">
        <v>12</v>
      </c>
      <c r="F3498" s="6">
        <v>1000</v>
      </c>
      <c r="G3498" t="s">
        <v>3716</v>
      </c>
    </row>
    <row r="3499" spans="1:7">
      <c r="A3499" t="s">
        <v>1585</v>
      </c>
      <c r="B3499" t="s">
        <v>8446</v>
      </c>
      <c r="C3499" t="s">
        <v>3783</v>
      </c>
      <c r="D3499" t="s">
        <v>3784</v>
      </c>
      <c r="E3499">
        <v>6</v>
      </c>
      <c r="F3499" s="6">
        <v>1750</v>
      </c>
      <c r="G3499" t="s">
        <v>3716</v>
      </c>
    </row>
    <row r="3500" spans="1:7">
      <c r="A3500" t="s">
        <v>3195</v>
      </c>
      <c r="B3500" t="s">
        <v>8448</v>
      </c>
      <c r="C3500" t="s">
        <v>3783</v>
      </c>
      <c r="D3500" t="s">
        <v>3784</v>
      </c>
      <c r="E3500">
        <v>12</v>
      </c>
      <c r="F3500" s="6">
        <v>1000</v>
      </c>
      <c r="G3500" t="s">
        <v>3716</v>
      </c>
    </row>
    <row r="3501" spans="1:7">
      <c r="A3501" t="s">
        <v>988</v>
      </c>
      <c r="B3501" t="s">
        <v>8449</v>
      </c>
      <c r="C3501" t="s">
        <v>3783</v>
      </c>
      <c r="D3501" t="s">
        <v>3784</v>
      </c>
      <c r="E3501">
        <v>12</v>
      </c>
      <c r="F3501" s="6">
        <v>750</v>
      </c>
      <c r="G3501" t="s">
        <v>3716</v>
      </c>
    </row>
    <row r="3502" spans="1:7">
      <c r="A3502" t="s">
        <v>1903</v>
      </c>
      <c r="B3502" t="s">
        <v>8449</v>
      </c>
      <c r="C3502" t="s">
        <v>3783</v>
      </c>
      <c r="D3502" t="s">
        <v>3784</v>
      </c>
      <c r="E3502">
        <v>12</v>
      </c>
      <c r="F3502" s="6">
        <v>1000</v>
      </c>
      <c r="G3502" t="s">
        <v>3716</v>
      </c>
    </row>
    <row r="3503" spans="1:7">
      <c r="A3503" t="s">
        <v>8450</v>
      </c>
      <c r="B3503" t="s">
        <v>8451</v>
      </c>
      <c r="C3503" t="s">
        <v>3783</v>
      </c>
      <c r="D3503" t="s">
        <v>3784</v>
      </c>
      <c r="E3503">
        <v>12</v>
      </c>
      <c r="F3503" s="6">
        <v>750</v>
      </c>
      <c r="G3503" t="s">
        <v>3716</v>
      </c>
    </row>
    <row r="3504" spans="1:7">
      <c r="A3504" t="s">
        <v>3325</v>
      </c>
      <c r="B3504" t="s">
        <v>8452</v>
      </c>
      <c r="C3504" t="s">
        <v>3783</v>
      </c>
      <c r="D3504" t="s">
        <v>3784</v>
      </c>
      <c r="E3504">
        <v>12</v>
      </c>
      <c r="F3504" s="6">
        <v>1000</v>
      </c>
      <c r="G3504" t="s">
        <v>4300</v>
      </c>
    </row>
    <row r="3505" spans="1:7">
      <c r="A3505" t="s">
        <v>1303</v>
      </c>
      <c r="B3505" t="s">
        <v>8453</v>
      </c>
      <c r="C3505" t="s">
        <v>3783</v>
      </c>
      <c r="D3505" t="s">
        <v>3784</v>
      </c>
      <c r="E3505">
        <v>12</v>
      </c>
      <c r="F3505" s="6">
        <v>750</v>
      </c>
      <c r="G3505" t="s">
        <v>4300</v>
      </c>
    </row>
    <row r="3506" spans="1:7">
      <c r="A3506" t="s">
        <v>302</v>
      </c>
      <c r="B3506" t="s">
        <v>8454</v>
      </c>
      <c r="C3506" t="s">
        <v>3783</v>
      </c>
      <c r="D3506" t="s">
        <v>3784</v>
      </c>
      <c r="E3506">
        <v>12</v>
      </c>
      <c r="F3506" s="6">
        <v>750</v>
      </c>
      <c r="G3506" t="s">
        <v>4300</v>
      </c>
    </row>
    <row r="3507" spans="1:7">
      <c r="A3507" t="s">
        <v>2402</v>
      </c>
      <c r="B3507" t="s">
        <v>8455</v>
      </c>
      <c r="C3507" t="s">
        <v>3783</v>
      </c>
      <c r="D3507" t="s">
        <v>3784</v>
      </c>
      <c r="E3507">
        <v>12</v>
      </c>
      <c r="F3507" s="6">
        <v>750</v>
      </c>
      <c r="G3507" t="s">
        <v>4300</v>
      </c>
    </row>
    <row r="3508" spans="1:7">
      <c r="A3508" t="s">
        <v>1779</v>
      </c>
      <c r="B3508" t="s">
        <v>8456</v>
      </c>
      <c r="C3508" t="s">
        <v>3783</v>
      </c>
      <c r="D3508" t="s">
        <v>3784</v>
      </c>
      <c r="E3508">
        <v>12</v>
      </c>
      <c r="F3508" s="6">
        <v>750</v>
      </c>
      <c r="G3508" t="s">
        <v>3686</v>
      </c>
    </row>
    <row r="3509" spans="1:7">
      <c r="A3509" t="s">
        <v>2938</v>
      </c>
      <c r="B3509" t="s">
        <v>8456</v>
      </c>
      <c r="C3509" t="s">
        <v>3783</v>
      </c>
      <c r="D3509" t="s">
        <v>3784</v>
      </c>
      <c r="E3509">
        <v>12</v>
      </c>
      <c r="F3509" s="6">
        <v>1000</v>
      </c>
      <c r="G3509" t="s">
        <v>3686</v>
      </c>
    </row>
    <row r="3510" spans="1:7">
      <c r="A3510" t="s">
        <v>1208</v>
      </c>
      <c r="B3510" t="s">
        <v>8457</v>
      </c>
      <c r="C3510" t="s">
        <v>3756</v>
      </c>
      <c r="D3510" t="s">
        <v>3757</v>
      </c>
      <c r="E3510">
        <v>1</v>
      </c>
      <c r="F3510" s="6">
        <v>50</v>
      </c>
      <c r="G3510" t="s">
        <v>3686</v>
      </c>
    </row>
    <row r="3511" spans="1:7">
      <c r="A3511" t="s">
        <v>912</v>
      </c>
      <c r="B3511" t="s">
        <v>8458</v>
      </c>
      <c r="C3511" t="s">
        <v>3756</v>
      </c>
      <c r="D3511" t="s">
        <v>3757</v>
      </c>
      <c r="E3511">
        <v>1</v>
      </c>
      <c r="F3511" s="6">
        <v>50</v>
      </c>
      <c r="G3511" t="s">
        <v>3686</v>
      </c>
    </row>
    <row r="3512" spans="1:7">
      <c r="A3512" t="s">
        <v>1932</v>
      </c>
      <c r="B3512" t="s">
        <v>8459</v>
      </c>
      <c r="C3512" t="s">
        <v>3756</v>
      </c>
      <c r="D3512" t="s">
        <v>3757</v>
      </c>
      <c r="E3512">
        <v>1</v>
      </c>
      <c r="F3512" s="6">
        <v>50</v>
      </c>
      <c r="G3512" t="s">
        <v>3686</v>
      </c>
    </row>
    <row r="3513" spans="1:7">
      <c r="A3513" t="s">
        <v>3251</v>
      </c>
      <c r="B3513" t="s">
        <v>8460</v>
      </c>
      <c r="C3513" t="s">
        <v>3783</v>
      </c>
      <c r="D3513" t="s">
        <v>3784</v>
      </c>
      <c r="E3513">
        <v>48</v>
      </c>
      <c r="F3513" s="6">
        <v>100</v>
      </c>
      <c r="G3513" t="s">
        <v>3686</v>
      </c>
    </row>
    <row r="3514" spans="1:7">
      <c r="A3514" t="s">
        <v>1213</v>
      </c>
      <c r="B3514" t="s">
        <v>8460</v>
      </c>
      <c r="C3514" t="s">
        <v>3783</v>
      </c>
      <c r="D3514" t="s">
        <v>3784</v>
      </c>
      <c r="E3514">
        <v>12</v>
      </c>
      <c r="F3514" s="6">
        <v>750</v>
      </c>
      <c r="G3514" t="s">
        <v>3686</v>
      </c>
    </row>
    <row r="3515" spans="1:7">
      <c r="A3515" t="s">
        <v>70</v>
      </c>
      <c r="B3515" t="s">
        <v>8461</v>
      </c>
      <c r="C3515" t="s">
        <v>3756</v>
      </c>
      <c r="D3515" t="s">
        <v>3757</v>
      </c>
      <c r="E3515">
        <v>1</v>
      </c>
      <c r="F3515" s="6">
        <v>50</v>
      </c>
      <c r="G3515" t="s">
        <v>3686</v>
      </c>
    </row>
    <row r="3516" spans="1:7">
      <c r="A3516" t="s">
        <v>1820</v>
      </c>
      <c r="B3516" t="s">
        <v>8462</v>
      </c>
      <c r="C3516" t="s">
        <v>3783</v>
      </c>
      <c r="D3516" t="s">
        <v>3784</v>
      </c>
      <c r="E3516">
        <v>1</v>
      </c>
      <c r="F3516" s="6">
        <v>50</v>
      </c>
      <c r="G3516" t="s">
        <v>3686</v>
      </c>
    </row>
    <row r="3517" spans="1:7">
      <c r="A3517" t="s">
        <v>1479</v>
      </c>
      <c r="B3517" t="s">
        <v>8463</v>
      </c>
      <c r="C3517" t="s">
        <v>3783</v>
      </c>
      <c r="D3517" t="s">
        <v>3784</v>
      </c>
      <c r="E3517">
        <v>12</v>
      </c>
      <c r="F3517" s="6">
        <v>750</v>
      </c>
      <c r="G3517" t="s">
        <v>3686</v>
      </c>
    </row>
    <row r="3518" spans="1:7">
      <c r="A3518" t="s">
        <v>399</v>
      </c>
      <c r="B3518" t="s">
        <v>8464</v>
      </c>
      <c r="C3518" t="s">
        <v>3783</v>
      </c>
      <c r="D3518" t="s">
        <v>3784</v>
      </c>
      <c r="E3518">
        <v>1</v>
      </c>
      <c r="F3518" s="6">
        <v>50</v>
      </c>
      <c r="G3518" t="s">
        <v>3686</v>
      </c>
    </row>
    <row r="3519" spans="1:7">
      <c r="A3519" t="s">
        <v>2852</v>
      </c>
      <c r="B3519" t="s">
        <v>8465</v>
      </c>
      <c r="C3519" t="s">
        <v>3783</v>
      </c>
      <c r="D3519" t="s">
        <v>3784</v>
      </c>
      <c r="E3519">
        <v>1</v>
      </c>
      <c r="F3519" s="6">
        <v>50</v>
      </c>
      <c r="G3519" t="s">
        <v>3686</v>
      </c>
    </row>
    <row r="3520" spans="1:7">
      <c r="A3520" t="s">
        <v>1722</v>
      </c>
      <c r="B3520" t="s">
        <v>8466</v>
      </c>
      <c r="C3520" t="s">
        <v>3783</v>
      </c>
      <c r="D3520" t="s">
        <v>3784</v>
      </c>
      <c r="E3520">
        <v>1</v>
      </c>
      <c r="F3520" s="6">
        <v>50</v>
      </c>
      <c r="G3520" t="s">
        <v>3686</v>
      </c>
    </row>
    <row r="3521" spans="1:7">
      <c r="A3521" t="s">
        <v>219</v>
      </c>
      <c r="B3521" t="s">
        <v>8467</v>
      </c>
      <c r="C3521" t="s">
        <v>3783</v>
      </c>
      <c r="D3521" t="s">
        <v>3784</v>
      </c>
      <c r="E3521">
        <v>12</v>
      </c>
      <c r="F3521" s="6">
        <v>750</v>
      </c>
      <c r="G3521" t="s">
        <v>3686</v>
      </c>
    </row>
    <row r="3522" spans="1:7">
      <c r="A3522" t="s">
        <v>2901</v>
      </c>
      <c r="B3522" t="s">
        <v>8468</v>
      </c>
      <c r="C3522" t="s">
        <v>3756</v>
      </c>
      <c r="D3522" t="s">
        <v>3757</v>
      </c>
      <c r="E3522">
        <v>1</v>
      </c>
      <c r="F3522" s="6">
        <v>50</v>
      </c>
      <c r="G3522" t="s">
        <v>3686</v>
      </c>
    </row>
    <row r="3523" spans="1:7">
      <c r="A3523" t="s">
        <v>8469</v>
      </c>
      <c r="B3523" t="s">
        <v>8470</v>
      </c>
      <c r="C3523" t="s">
        <v>3783</v>
      </c>
      <c r="D3523" t="s">
        <v>3784</v>
      </c>
      <c r="E3523">
        <v>1</v>
      </c>
      <c r="F3523" s="6">
        <v>50</v>
      </c>
      <c r="G3523" t="s">
        <v>3686</v>
      </c>
    </row>
    <row r="3524" spans="1:7">
      <c r="A3524" t="s">
        <v>641</v>
      </c>
      <c r="B3524" t="s">
        <v>8471</v>
      </c>
      <c r="C3524" t="s">
        <v>3783</v>
      </c>
      <c r="D3524" t="s">
        <v>3784</v>
      </c>
      <c r="E3524">
        <v>12</v>
      </c>
      <c r="F3524" s="6">
        <v>750</v>
      </c>
      <c r="G3524" t="s">
        <v>3686</v>
      </c>
    </row>
    <row r="3525" spans="1:7">
      <c r="A3525" t="s">
        <v>1201</v>
      </c>
      <c r="B3525" t="s">
        <v>8472</v>
      </c>
      <c r="C3525" t="s">
        <v>3783</v>
      </c>
      <c r="D3525" t="s">
        <v>3784</v>
      </c>
      <c r="E3525">
        <v>12</v>
      </c>
      <c r="F3525" s="6">
        <v>750</v>
      </c>
      <c r="G3525" t="s">
        <v>3686</v>
      </c>
    </row>
    <row r="3526" spans="1:7">
      <c r="A3526" t="s">
        <v>1950</v>
      </c>
      <c r="B3526" t="s">
        <v>8472</v>
      </c>
      <c r="C3526" t="s">
        <v>3783</v>
      </c>
      <c r="D3526" t="s">
        <v>3784</v>
      </c>
      <c r="E3526">
        <v>48</v>
      </c>
      <c r="F3526" s="6">
        <v>100</v>
      </c>
      <c r="G3526" t="s">
        <v>3686</v>
      </c>
    </row>
    <row r="3527" spans="1:7">
      <c r="A3527" t="s">
        <v>190</v>
      </c>
      <c r="B3527" t="s">
        <v>8473</v>
      </c>
      <c r="C3527" t="s">
        <v>3783</v>
      </c>
      <c r="D3527" t="s">
        <v>3784</v>
      </c>
      <c r="E3527">
        <v>1</v>
      </c>
      <c r="F3527" s="6">
        <v>50</v>
      </c>
      <c r="G3527" t="s">
        <v>3686</v>
      </c>
    </row>
    <row r="3528" spans="1:7">
      <c r="A3528" t="s">
        <v>2523</v>
      </c>
      <c r="B3528" t="s">
        <v>8474</v>
      </c>
      <c r="C3528" t="s">
        <v>3756</v>
      </c>
      <c r="D3528" t="s">
        <v>3757</v>
      </c>
      <c r="E3528">
        <v>48</v>
      </c>
      <c r="F3528" s="6">
        <v>100</v>
      </c>
      <c r="G3528" t="s">
        <v>3686</v>
      </c>
    </row>
    <row r="3529" spans="1:7">
      <c r="A3529" t="s">
        <v>3659</v>
      </c>
      <c r="B3529" t="s">
        <v>8475</v>
      </c>
      <c r="C3529" t="s">
        <v>3783</v>
      </c>
      <c r="D3529" t="s">
        <v>3784</v>
      </c>
      <c r="E3529">
        <v>1</v>
      </c>
      <c r="F3529" s="6">
        <v>50</v>
      </c>
      <c r="G3529" t="s">
        <v>3686</v>
      </c>
    </row>
    <row r="3530" spans="1:7">
      <c r="A3530" t="s">
        <v>999</v>
      </c>
      <c r="B3530" t="s">
        <v>8476</v>
      </c>
      <c r="C3530" t="s">
        <v>3783</v>
      </c>
      <c r="D3530" t="s">
        <v>3784</v>
      </c>
      <c r="E3530">
        <v>48</v>
      </c>
      <c r="F3530" s="6">
        <v>100</v>
      </c>
      <c r="G3530" t="s">
        <v>3686</v>
      </c>
    </row>
    <row r="3531" spans="1:7">
      <c r="A3531" t="s">
        <v>1384</v>
      </c>
      <c r="B3531" t="s">
        <v>8477</v>
      </c>
      <c r="C3531" t="s">
        <v>3756</v>
      </c>
      <c r="D3531" t="s">
        <v>3757</v>
      </c>
      <c r="E3531">
        <v>1</v>
      </c>
      <c r="F3531" s="6">
        <v>50</v>
      </c>
      <c r="G3531" t="s">
        <v>3686</v>
      </c>
    </row>
    <row r="3532" spans="1:7">
      <c r="A3532" t="s">
        <v>3000</v>
      </c>
      <c r="B3532" t="s">
        <v>8478</v>
      </c>
      <c r="C3532" t="s">
        <v>3783</v>
      </c>
      <c r="D3532" t="s">
        <v>3784</v>
      </c>
      <c r="E3532">
        <v>12</v>
      </c>
      <c r="F3532" s="6">
        <v>750</v>
      </c>
      <c r="G3532" t="s">
        <v>3686</v>
      </c>
    </row>
    <row r="3533" spans="1:7">
      <c r="A3533" t="s">
        <v>604</v>
      </c>
      <c r="B3533" t="s">
        <v>8479</v>
      </c>
      <c r="C3533" t="s">
        <v>3783</v>
      </c>
      <c r="D3533" t="s">
        <v>3784</v>
      </c>
      <c r="E3533">
        <v>1</v>
      </c>
      <c r="F3533" s="6">
        <v>50</v>
      </c>
      <c r="G3533" t="s">
        <v>3686</v>
      </c>
    </row>
    <row r="3534" spans="1:7">
      <c r="A3534" t="s">
        <v>1377</v>
      </c>
      <c r="B3534" t="s">
        <v>8480</v>
      </c>
      <c r="C3534" t="s">
        <v>3756</v>
      </c>
      <c r="D3534" t="s">
        <v>3757</v>
      </c>
      <c r="E3534">
        <v>48</v>
      </c>
      <c r="F3534" s="6">
        <v>100</v>
      </c>
      <c r="G3534" t="s">
        <v>3686</v>
      </c>
    </row>
    <row r="3535" spans="1:7">
      <c r="A3535" t="s">
        <v>1730</v>
      </c>
      <c r="B3535" t="s">
        <v>8480</v>
      </c>
      <c r="C3535" t="s">
        <v>3783</v>
      </c>
      <c r="D3535" t="s">
        <v>3784</v>
      </c>
      <c r="E3535">
        <v>12</v>
      </c>
      <c r="F3535" s="6">
        <v>750</v>
      </c>
      <c r="G3535" t="s">
        <v>3686</v>
      </c>
    </row>
    <row r="3536" spans="1:7">
      <c r="A3536" t="s">
        <v>2838</v>
      </c>
      <c r="B3536" t="s">
        <v>8481</v>
      </c>
      <c r="C3536" t="s">
        <v>3783</v>
      </c>
      <c r="D3536" t="s">
        <v>3784</v>
      </c>
      <c r="E3536">
        <v>48</v>
      </c>
      <c r="F3536" s="6">
        <v>100</v>
      </c>
      <c r="G3536" t="s">
        <v>3686</v>
      </c>
    </row>
    <row r="3537" spans="1:7">
      <c r="A3537" t="s">
        <v>130</v>
      </c>
      <c r="B3537" t="s">
        <v>8463</v>
      </c>
      <c r="C3537" t="s">
        <v>3783</v>
      </c>
      <c r="D3537" t="s">
        <v>3784</v>
      </c>
      <c r="E3537">
        <v>48</v>
      </c>
      <c r="F3537" s="6">
        <v>100</v>
      </c>
      <c r="G3537" t="s">
        <v>3686</v>
      </c>
    </row>
    <row r="3538" spans="1:7">
      <c r="A3538" t="s">
        <v>1997</v>
      </c>
      <c r="B3538" t="s">
        <v>8418</v>
      </c>
      <c r="C3538" t="s">
        <v>3783</v>
      </c>
      <c r="D3538" t="s">
        <v>3784</v>
      </c>
      <c r="E3538">
        <v>48</v>
      </c>
      <c r="F3538" s="6">
        <v>100</v>
      </c>
      <c r="G3538" t="s">
        <v>3686</v>
      </c>
    </row>
    <row r="3539" spans="1:7">
      <c r="A3539" t="s">
        <v>605</v>
      </c>
      <c r="B3539" t="s">
        <v>8482</v>
      </c>
      <c r="C3539" t="s">
        <v>3783</v>
      </c>
      <c r="D3539" t="s">
        <v>3784</v>
      </c>
      <c r="E3539">
        <v>1</v>
      </c>
      <c r="F3539" s="6">
        <v>50</v>
      </c>
      <c r="G3539" t="s">
        <v>3686</v>
      </c>
    </row>
    <row r="3540" spans="1:7">
      <c r="A3540" t="s">
        <v>1337</v>
      </c>
      <c r="B3540" t="s">
        <v>8483</v>
      </c>
      <c r="C3540" t="s">
        <v>3756</v>
      </c>
      <c r="D3540" t="s">
        <v>3757</v>
      </c>
      <c r="E3540">
        <v>1</v>
      </c>
      <c r="F3540" s="6">
        <v>50</v>
      </c>
      <c r="G3540" t="s">
        <v>3686</v>
      </c>
    </row>
    <row r="3541" spans="1:7">
      <c r="A3541" t="s">
        <v>1862</v>
      </c>
      <c r="B3541" t="s">
        <v>8484</v>
      </c>
      <c r="C3541" t="s">
        <v>3783</v>
      </c>
      <c r="D3541" t="s">
        <v>3784</v>
      </c>
      <c r="E3541">
        <v>1</v>
      </c>
      <c r="F3541" s="6">
        <v>50</v>
      </c>
      <c r="G3541" t="s">
        <v>3686</v>
      </c>
    </row>
    <row r="3542" spans="1:7">
      <c r="A3542" t="s">
        <v>303</v>
      </c>
      <c r="B3542" t="s">
        <v>8485</v>
      </c>
      <c r="C3542" t="s">
        <v>3783</v>
      </c>
      <c r="D3542" t="s">
        <v>3784</v>
      </c>
      <c r="E3542">
        <v>1</v>
      </c>
      <c r="F3542" s="6">
        <v>50</v>
      </c>
      <c r="G3542" t="s">
        <v>3686</v>
      </c>
    </row>
    <row r="3543" spans="1:7">
      <c r="A3543" t="s">
        <v>1318</v>
      </c>
      <c r="B3543" t="s">
        <v>8486</v>
      </c>
      <c r="C3543" t="s">
        <v>3756</v>
      </c>
      <c r="D3543" t="s">
        <v>3757</v>
      </c>
      <c r="E3543">
        <v>1</v>
      </c>
      <c r="F3543" s="6">
        <v>50</v>
      </c>
      <c r="G3543" t="s">
        <v>3686</v>
      </c>
    </row>
    <row r="3544" spans="1:7">
      <c r="A3544" t="s">
        <v>1913</v>
      </c>
      <c r="B3544" t="s">
        <v>8487</v>
      </c>
      <c r="C3544" t="s">
        <v>3783</v>
      </c>
      <c r="D3544" t="s">
        <v>3784</v>
      </c>
      <c r="E3544">
        <v>4</v>
      </c>
      <c r="F3544" s="6">
        <v>100</v>
      </c>
      <c r="G3544" t="s">
        <v>3686</v>
      </c>
    </row>
    <row r="3545" spans="1:7">
      <c r="A3545" t="s">
        <v>3253</v>
      </c>
      <c r="B3545" t="s">
        <v>8488</v>
      </c>
      <c r="C3545" t="s">
        <v>3756</v>
      </c>
      <c r="D3545" t="s">
        <v>3757</v>
      </c>
      <c r="E3545">
        <v>1</v>
      </c>
      <c r="F3545" s="6">
        <v>50</v>
      </c>
      <c r="G3545" t="s">
        <v>3686</v>
      </c>
    </row>
    <row r="3546" spans="1:7">
      <c r="A3546" t="s">
        <v>168</v>
      </c>
      <c r="B3546" t="s">
        <v>8489</v>
      </c>
      <c r="C3546" t="s">
        <v>3756</v>
      </c>
      <c r="D3546" t="s">
        <v>3757</v>
      </c>
      <c r="E3546">
        <v>1</v>
      </c>
      <c r="F3546" s="6">
        <v>50</v>
      </c>
      <c r="G3546" t="s">
        <v>3686</v>
      </c>
    </row>
    <row r="3547" spans="1:7">
      <c r="A3547" t="s">
        <v>8490</v>
      </c>
      <c r="B3547" t="s">
        <v>8491</v>
      </c>
      <c r="C3547" t="s">
        <v>3783</v>
      </c>
      <c r="D3547" t="s">
        <v>3784</v>
      </c>
      <c r="E3547">
        <v>12</v>
      </c>
      <c r="F3547" s="6">
        <v>1000</v>
      </c>
      <c r="G3547" t="s">
        <v>3686</v>
      </c>
    </row>
    <row r="3548" spans="1:7">
      <c r="A3548" t="s">
        <v>8492</v>
      </c>
      <c r="B3548" t="s">
        <v>8493</v>
      </c>
      <c r="C3548" t="s">
        <v>3783</v>
      </c>
      <c r="D3548" t="s">
        <v>3784</v>
      </c>
      <c r="E3548">
        <v>12</v>
      </c>
      <c r="F3548" s="6">
        <v>1000</v>
      </c>
      <c r="G3548" t="s">
        <v>3686</v>
      </c>
    </row>
    <row r="3549" spans="1:7">
      <c r="A3549" t="s">
        <v>2660</v>
      </c>
      <c r="B3549" t="s">
        <v>8494</v>
      </c>
      <c r="C3549" t="s">
        <v>3679</v>
      </c>
      <c r="D3549" t="s">
        <v>3680</v>
      </c>
      <c r="E3549">
        <v>1</v>
      </c>
      <c r="F3549" s="6">
        <v>50</v>
      </c>
      <c r="G3549" t="s">
        <v>4331</v>
      </c>
    </row>
    <row r="3550" spans="1:7">
      <c r="A3550" t="s">
        <v>1436</v>
      </c>
      <c r="B3550" t="s">
        <v>8495</v>
      </c>
      <c r="C3550" t="s">
        <v>3783</v>
      </c>
      <c r="D3550" t="s">
        <v>3784</v>
      </c>
      <c r="E3550">
        <v>12</v>
      </c>
      <c r="F3550" s="6">
        <v>1000</v>
      </c>
      <c r="G3550" t="s">
        <v>3686</v>
      </c>
    </row>
    <row r="3551" spans="1:7">
      <c r="A3551" t="s">
        <v>2025</v>
      </c>
      <c r="B3551" t="s">
        <v>8496</v>
      </c>
      <c r="C3551" t="s">
        <v>3783</v>
      </c>
      <c r="D3551" t="s">
        <v>3784</v>
      </c>
      <c r="E3551">
        <v>12</v>
      </c>
      <c r="F3551" s="6">
        <v>1000</v>
      </c>
      <c r="G3551" t="s">
        <v>3686</v>
      </c>
    </row>
    <row r="3552" spans="1:7">
      <c r="A3552" t="s">
        <v>8497</v>
      </c>
      <c r="B3552" t="s">
        <v>8498</v>
      </c>
      <c r="C3552" t="s">
        <v>3756</v>
      </c>
      <c r="D3552" t="s">
        <v>3757</v>
      </c>
      <c r="E3552">
        <v>12</v>
      </c>
      <c r="F3552" s="6">
        <v>1000</v>
      </c>
      <c r="G3552" t="s">
        <v>3686</v>
      </c>
    </row>
    <row r="3553" spans="1:7">
      <c r="A3553" t="s">
        <v>415</v>
      </c>
      <c r="B3553" t="s">
        <v>8499</v>
      </c>
      <c r="C3553" t="s">
        <v>3756</v>
      </c>
      <c r="D3553" t="s">
        <v>3757</v>
      </c>
      <c r="E3553">
        <v>12</v>
      </c>
      <c r="F3553" s="6">
        <v>1000</v>
      </c>
      <c r="G3553" t="s">
        <v>3686</v>
      </c>
    </row>
    <row r="3554" spans="1:7">
      <c r="A3554" t="s">
        <v>8500</v>
      </c>
      <c r="B3554" t="s">
        <v>8501</v>
      </c>
      <c r="C3554" t="s">
        <v>3783</v>
      </c>
      <c r="D3554" t="s">
        <v>3784</v>
      </c>
      <c r="E3554">
        <v>12</v>
      </c>
      <c r="F3554" s="6">
        <v>1000</v>
      </c>
      <c r="G3554" t="s">
        <v>3686</v>
      </c>
    </row>
    <row r="3555" spans="1:7">
      <c r="A3555" t="s">
        <v>8502</v>
      </c>
      <c r="B3555" t="s">
        <v>8503</v>
      </c>
      <c r="C3555" t="s">
        <v>3783</v>
      </c>
      <c r="D3555" t="s">
        <v>3784</v>
      </c>
      <c r="E3555">
        <v>12</v>
      </c>
      <c r="F3555" s="6">
        <v>1000</v>
      </c>
      <c r="G3555" t="s">
        <v>3686</v>
      </c>
    </row>
    <row r="3556" spans="1:7">
      <c r="A3556" t="s">
        <v>1830</v>
      </c>
      <c r="B3556" t="s">
        <v>8504</v>
      </c>
      <c r="C3556" t="s">
        <v>3756</v>
      </c>
      <c r="D3556" t="s">
        <v>3757</v>
      </c>
      <c r="E3556">
        <v>1</v>
      </c>
      <c r="F3556" s="6">
        <v>50</v>
      </c>
      <c r="G3556" t="s">
        <v>3686</v>
      </c>
    </row>
    <row r="3557" spans="1:7">
      <c r="A3557" t="s">
        <v>857</v>
      </c>
      <c r="B3557" t="s">
        <v>8505</v>
      </c>
      <c r="C3557" t="s">
        <v>3783</v>
      </c>
      <c r="D3557" t="s">
        <v>3784</v>
      </c>
      <c r="E3557">
        <v>1</v>
      </c>
      <c r="F3557" s="6">
        <v>50</v>
      </c>
      <c r="G3557" t="s">
        <v>3686</v>
      </c>
    </row>
    <row r="3558" spans="1:7">
      <c r="A3558" t="s">
        <v>1378</v>
      </c>
      <c r="B3558" t="s">
        <v>8506</v>
      </c>
      <c r="C3558" t="s">
        <v>3756</v>
      </c>
      <c r="D3558" t="s">
        <v>3757</v>
      </c>
      <c r="E3558">
        <v>48</v>
      </c>
      <c r="F3558" s="6">
        <v>100</v>
      </c>
      <c r="G3558" t="s">
        <v>3686</v>
      </c>
    </row>
    <row r="3559" spans="1:7">
      <c r="A3559" t="s">
        <v>8507</v>
      </c>
      <c r="B3559" t="s">
        <v>8508</v>
      </c>
      <c r="C3559" t="s">
        <v>3783</v>
      </c>
      <c r="D3559" t="s">
        <v>3784</v>
      </c>
      <c r="E3559">
        <v>12</v>
      </c>
      <c r="F3559" s="6">
        <v>750</v>
      </c>
      <c r="G3559" t="s">
        <v>4163</v>
      </c>
    </row>
    <row r="3560" spans="1:7">
      <c r="A3560" t="s">
        <v>1688</v>
      </c>
      <c r="B3560" t="s">
        <v>8508</v>
      </c>
      <c r="C3560" t="s">
        <v>3783</v>
      </c>
      <c r="D3560" t="s">
        <v>3784</v>
      </c>
      <c r="E3560">
        <v>12</v>
      </c>
      <c r="F3560" s="6">
        <v>1000</v>
      </c>
      <c r="G3560" t="s">
        <v>4163</v>
      </c>
    </row>
    <row r="3561" spans="1:7">
      <c r="A3561" t="s">
        <v>622</v>
      </c>
      <c r="B3561" t="s">
        <v>8509</v>
      </c>
      <c r="C3561" t="s">
        <v>3783</v>
      </c>
      <c r="D3561" t="s">
        <v>3784</v>
      </c>
      <c r="E3561">
        <v>12</v>
      </c>
      <c r="F3561" s="6">
        <v>750</v>
      </c>
      <c r="G3561" t="s">
        <v>4163</v>
      </c>
    </row>
    <row r="3562" spans="1:7">
      <c r="A3562" t="s">
        <v>1264</v>
      </c>
      <c r="B3562" t="s">
        <v>8510</v>
      </c>
      <c r="C3562" t="s">
        <v>3783</v>
      </c>
      <c r="D3562" t="s">
        <v>3784</v>
      </c>
      <c r="E3562">
        <v>12</v>
      </c>
      <c r="F3562" s="6">
        <v>1000</v>
      </c>
      <c r="G3562" t="s">
        <v>4300</v>
      </c>
    </row>
    <row r="3563" spans="1:7">
      <c r="A3563" t="s">
        <v>8511</v>
      </c>
      <c r="B3563" t="s">
        <v>8512</v>
      </c>
      <c r="C3563" t="s">
        <v>7442</v>
      </c>
      <c r="D3563" t="s">
        <v>7443</v>
      </c>
      <c r="E3563">
        <v>12</v>
      </c>
      <c r="F3563" s="6">
        <v>1000</v>
      </c>
      <c r="G3563" t="s">
        <v>3686</v>
      </c>
    </row>
    <row r="3564" spans="1:7">
      <c r="A3564" t="s">
        <v>8513</v>
      </c>
      <c r="B3564" t="s">
        <v>8514</v>
      </c>
      <c r="C3564" t="s">
        <v>3692</v>
      </c>
      <c r="D3564" t="s">
        <v>3693</v>
      </c>
      <c r="E3564">
        <v>12</v>
      </c>
      <c r="F3564" s="6">
        <v>375</v>
      </c>
      <c r="G3564" t="s">
        <v>3730</v>
      </c>
    </row>
    <row r="3565" spans="1:7">
      <c r="A3565" t="s">
        <v>3614</v>
      </c>
      <c r="B3565" t="s">
        <v>8515</v>
      </c>
      <c r="C3565" t="s">
        <v>3692</v>
      </c>
      <c r="D3565" t="s">
        <v>3693</v>
      </c>
      <c r="E3565">
        <v>6</v>
      </c>
      <c r="F3565" s="6">
        <v>50</v>
      </c>
      <c r="G3565" t="s">
        <v>3730</v>
      </c>
    </row>
    <row r="3566" spans="1:7">
      <c r="A3566" t="s">
        <v>8516</v>
      </c>
      <c r="B3566" t="s">
        <v>8517</v>
      </c>
      <c r="C3566" t="s">
        <v>3692</v>
      </c>
      <c r="D3566" t="s">
        <v>3693</v>
      </c>
      <c r="E3566">
        <v>6</v>
      </c>
      <c r="F3566" s="6">
        <v>750</v>
      </c>
      <c r="G3566" t="s">
        <v>3754</v>
      </c>
    </row>
    <row r="3567" spans="1:7">
      <c r="A3567" t="s">
        <v>8518</v>
      </c>
      <c r="B3567" t="s">
        <v>8519</v>
      </c>
      <c r="C3567" t="s">
        <v>7442</v>
      </c>
      <c r="D3567" t="s">
        <v>7443</v>
      </c>
      <c r="E3567">
        <v>12</v>
      </c>
      <c r="F3567" s="6">
        <v>750</v>
      </c>
      <c r="G3567" t="s">
        <v>7461</v>
      </c>
    </row>
    <row r="3568" spans="1:7">
      <c r="A3568" t="s">
        <v>8520</v>
      </c>
      <c r="B3568" t="s">
        <v>8521</v>
      </c>
      <c r="C3568" t="s">
        <v>7442</v>
      </c>
      <c r="D3568" t="s">
        <v>7443</v>
      </c>
      <c r="E3568">
        <v>12</v>
      </c>
      <c r="F3568" s="6">
        <v>750</v>
      </c>
      <c r="G3568" t="s">
        <v>7461</v>
      </c>
    </row>
    <row r="3569" spans="1:7">
      <c r="A3569" t="s">
        <v>8522</v>
      </c>
      <c r="B3569" t="s">
        <v>8523</v>
      </c>
      <c r="C3569" t="s">
        <v>3692</v>
      </c>
      <c r="D3569" t="s">
        <v>3693</v>
      </c>
      <c r="E3569">
        <v>6</v>
      </c>
      <c r="F3569" s="6">
        <v>750</v>
      </c>
      <c r="G3569" t="s">
        <v>3705</v>
      </c>
    </row>
    <row r="3570" spans="1:7">
      <c r="A3570" t="s">
        <v>1885</v>
      </c>
      <c r="B3570" t="s">
        <v>8524</v>
      </c>
      <c r="C3570" t="s">
        <v>3692</v>
      </c>
      <c r="D3570" t="s">
        <v>3693</v>
      </c>
      <c r="E3570">
        <v>6</v>
      </c>
      <c r="F3570" s="6">
        <v>750</v>
      </c>
      <c r="G3570" t="s">
        <v>3802</v>
      </c>
    </row>
    <row r="3571" spans="1:7">
      <c r="A3571" t="s">
        <v>8525</v>
      </c>
      <c r="B3571" t="s">
        <v>8526</v>
      </c>
      <c r="C3571" t="s">
        <v>3692</v>
      </c>
      <c r="D3571" t="s">
        <v>3693</v>
      </c>
      <c r="E3571">
        <v>6</v>
      </c>
      <c r="F3571" s="6">
        <v>750</v>
      </c>
      <c r="G3571" t="s">
        <v>3802</v>
      </c>
    </row>
    <row r="3572" spans="1:7">
      <c r="A3572" t="s">
        <v>8527</v>
      </c>
      <c r="B3572" t="s">
        <v>8528</v>
      </c>
      <c r="C3572" t="s">
        <v>3692</v>
      </c>
      <c r="D3572" t="s">
        <v>3693</v>
      </c>
      <c r="E3572">
        <v>5</v>
      </c>
      <c r="F3572" s="6">
        <v>50</v>
      </c>
      <c r="G3572" t="s">
        <v>3992</v>
      </c>
    </row>
    <row r="3573" spans="1:7">
      <c r="A3573" t="s">
        <v>8529</v>
      </c>
      <c r="B3573" t="s">
        <v>8530</v>
      </c>
      <c r="C3573" t="s">
        <v>3692</v>
      </c>
      <c r="D3573" t="s">
        <v>3693</v>
      </c>
      <c r="E3573">
        <v>5</v>
      </c>
      <c r="F3573" s="6">
        <v>50</v>
      </c>
      <c r="G3573" t="s">
        <v>3992</v>
      </c>
    </row>
    <row r="3574" spans="1:7">
      <c r="A3574" t="s">
        <v>2697</v>
      </c>
      <c r="B3574" t="s">
        <v>8531</v>
      </c>
      <c r="C3574" t="s">
        <v>3692</v>
      </c>
      <c r="D3574" t="s">
        <v>3693</v>
      </c>
      <c r="E3574">
        <v>5</v>
      </c>
      <c r="F3574" s="6">
        <v>50</v>
      </c>
      <c r="G3574" t="s">
        <v>3992</v>
      </c>
    </row>
    <row r="3575" spans="1:7">
      <c r="A3575" t="s">
        <v>2353</v>
      </c>
      <c r="B3575" t="s">
        <v>8532</v>
      </c>
      <c r="C3575" t="s">
        <v>3692</v>
      </c>
      <c r="D3575" t="s">
        <v>3693</v>
      </c>
      <c r="E3575">
        <v>6</v>
      </c>
      <c r="F3575" s="6">
        <v>750</v>
      </c>
      <c r="G3575" t="s">
        <v>3802</v>
      </c>
    </row>
    <row r="3576" spans="1:7">
      <c r="A3576" t="s">
        <v>8533</v>
      </c>
      <c r="B3576" t="s">
        <v>8534</v>
      </c>
      <c r="C3576" t="s">
        <v>3692</v>
      </c>
      <c r="D3576" t="s">
        <v>3693</v>
      </c>
      <c r="E3576">
        <v>6</v>
      </c>
      <c r="F3576" s="6">
        <v>750</v>
      </c>
      <c r="G3576" t="s">
        <v>3802</v>
      </c>
    </row>
    <row r="3577" spans="1:7">
      <c r="A3577" t="s">
        <v>8535</v>
      </c>
      <c r="B3577" t="s">
        <v>8536</v>
      </c>
      <c r="C3577" t="s">
        <v>3692</v>
      </c>
      <c r="D3577" t="s">
        <v>3693</v>
      </c>
      <c r="E3577">
        <v>6</v>
      </c>
      <c r="F3577" s="6">
        <v>750</v>
      </c>
      <c r="G3577" t="s">
        <v>3802</v>
      </c>
    </row>
    <row r="3578" spans="1:7">
      <c r="A3578" t="s">
        <v>8537</v>
      </c>
      <c r="B3578" t="s">
        <v>8538</v>
      </c>
      <c r="C3578" t="s">
        <v>3692</v>
      </c>
      <c r="D3578" t="s">
        <v>3693</v>
      </c>
      <c r="E3578">
        <v>6</v>
      </c>
      <c r="F3578" s="6">
        <v>750</v>
      </c>
      <c r="G3578" t="s">
        <v>4419</v>
      </c>
    </row>
    <row r="3579" spans="1:7">
      <c r="A3579" t="s">
        <v>8539</v>
      </c>
      <c r="B3579" t="s">
        <v>8540</v>
      </c>
      <c r="C3579" t="s">
        <v>3679</v>
      </c>
      <c r="D3579" t="s">
        <v>3680</v>
      </c>
      <c r="E3579">
        <v>4</v>
      </c>
      <c r="F3579" s="6">
        <v>750</v>
      </c>
      <c r="G3579" t="s">
        <v>4068</v>
      </c>
    </row>
    <row r="3580" spans="1:7">
      <c r="A3580" t="s">
        <v>796</v>
      </c>
      <c r="B3580" t="s">
        <v>8541</v>
      </c>
      <c r="C3580" t="s">
        <v>3692</v>
      </c>
      <c r="D3580" t="s">
        <v>3693</v>
      </c>
      <c r="E3580">
        <v>6</v>
      </c>
      <c r="F3580" s="6">
        <v>750</v>
      </c>
      <c r="G3580" t="s">
        <v>3730</v>
      </c>
    </row>
    <row r="3581" spans="1:7">
      <c r="A3581" t="s">
        <v>8542</v>
      </c>
      <c r="B3581" t="s">
        <v>8543</v>
      </c>
      <c r="C3581" t="s">
        <v>3692</v>
      </c>
      <c r="D3581" t="s">
        <v>3693</v>
      </c>
      <c r="E3581">
        <v>12</v>
      </c>
      <c r="F3581" s="6">
        <v>375</v>
      </c>
      <c r="G3581" t="s">
        <v>8544</v>
      </c>
    </row>
    <row r="3582" spans="1:7">
      <c r="A3582" t="s">
        <v>8545</v>
      </c>
      <c r="B3582" t="s">
        <v>8546</v>
      </c>
      <c r="C3582" t="s">
        <v>3679</v>
      </c>
      <c r="D3582" t="s">
        <v>3680</v>
      </c>
      <c r="E3582">
        <v>12</v>
      </c>
      <c r="F3582" s="6">
        <v>375</v>
      </c>
      <c r="G3582" t="s">
        <v>3702</v>
      </c>
    </row>
    <row r="3583" spans="1:7">
      <c r="A3583" t="s">
        <v>8547</v>
      </c>
      <c r="B3583" t="s">
        <v>8548</v>
      </c>
      <c r="C3583" t="s">
        <v>3679</v>
      </c>
      <c r="D3583" t="s">
        <v>3680</v>
      </c>
      <c r="E3583">
        <v>12</v>
      </c>
      <c r="F3583" s="6">
        <v>375</v>
      </c>
      <c r="G3583" t="s">
        <v>3702</v>
      </c>
    </row>
    <row r="3584" spans="1:7">
      <c r="A3584" t="s">
        <v>8549</v>
      </c>
      <c r="B3584" t="s">
        <v>8550</v>
      </c>
      <c r="C3584" t="s">
        <v>3679</v>
      </c>
      <c r="D3584" t="s">
        <v>3680</v>
      </c>
      <c r="E3584">
        <v>6</v>
      </c>
      <c r="F3584" s="6">
        <v>375</v>
      </c>
      <c r="G3584" t="s">
        <v>3702</v>
      </c>
    </row>
    <row r="3585" spans="1:7">
      <c r="A3585" t="s">
        <v>8551</v>
      </c>
      <c r="B3585" t="s">
        <v>8552</v>
      </c>
      <c r="C3585" t="s">
        <v>3692</v>
      </c>
      <c r="D3585" t="s">
        <v>3693</v>
      </c>
      <c r="E3585">
        <v>6</v>
      </c>
      <c r="F3585" s="6">
        <v>750</v>
      </c>
      <c r="G3585" t="s">
        <v>8553</v>
      </c>
    </row>
    <row r="3586" spans="1:7">
      <c r="A3586" t="s">
        <v>1255</v>
      </c>
      <c r="B3586" t="s">
        <v>8554</v>
      </c>
      <c r="C3586" t="s">
        <v>3692</v>
      </c>
      <c r="D3586" t="s">
        <v>3693</v>
      </c>
      <c r="E3586">
        <v>6</v>
      </c>
      <c r="F3586" s="6">
        <v>750</v>
      </c>
      <c r="G3586" t="s">
        <v>8555</v>
      </c>
    </row>
    <row r="3587" spans="1:7">
      <c r="A3587" t="s">
        <v>8556</v>
      </c>
      <c r="B3587" t="s">
        <v>8557</v>
      </c>
      <c r="C3587" t="s">
        <v>3692</v>
      </c>
      <c r="D3587" t="s">
        <v>3693</v>
      </c>
      <c r="E3587">
        <v>6</v>
      </c>
      <c r="F3587" s="6">
        <v>750</v>
      </c>
      <c r="G3587" t="s">
        <v>8555</v>
      </c>
    </row>
    <row r="3588" spans="1:7">
      <c r="A3588" t="s">
        <v>8558</v>
      </c>
      <c r="B3588" t="s">
        <v>8559</v>
      </c>
      <c r="C3588" t="s">
        <v>3692</v>
      </c>
      <c r="D3588" t="s">
        <v>3693</v>
      </c>
      <c r="E3588">
        <v>6</v>
      </c>
      <c r="F3588" s="6">
        <v>750</v>
      </c>
      <c r="G3588" t="s">
        <v>8555</v>
      </c>
    </row>
    <row r="3589" spans="1:7">
      <c r="A3589" t="s">
        <v>8560</v>
      </c>
      <c r="B3589" t="s">
        <v>8561</v>
      </c>
      <c r="C3589" t="s">
        <v>3692</v>
      </c>
      <c r="D3589" t="s">
        <v>3693</v>
      </c>
      <c r="E3589">
        <v>6</v>
      </c>
      <c r="F3589" s="6">
        <v>750</v>
      </c>
      <c r="G3589" t="s">
        <v>8555</v>
      </c>
    </row>
    <row r="3590" spans="1:7">
      <c r="A3590" t="s">
        <v>8562</v>
      </c>
      <c r="B3590" t="s">
        <v>8563</v>
      </c>
      <c r="C3590" t="s">
        <v>3692</v>
      </c>
      <c r="D3590" t="s">
        <v>3693</v>
      </c>
      <c r="E3590">
        <v>12</v>
      </c>
      <c r="F3590" s="6">
        <v>1000</v>
      </c>
      <c r="G3590" t="s">
        <v>8564</v>
      </c>
    </row>
    <row r="3591" spans="1:7">
      <c r="A3591" t="s">
        <v>8565</v>
      </c>
      <c r="B3591" t="s">
        <v>8566</v>
      </c>
      <c r="C3591" t="s">
        <v>3692</v>
      </c>
      <c r="D3591" t="s">
        <v>3693</v>
      </c>
      <c r="E3591">
        <v>6</v>
      </c>
      <c r="F3591" s="6">
        <v>750</v>
      </c>
      <c r="G3591" t="s">
        <v>4068</v>
      </c>
    </row>
    <row r="3592" spans="1:7">
      <c r="A3592" t="s">
        <v>8567</v>
      </c>
      <c r="B3592" t="s">
        <v>8568</v>
      </c>
      <c r="C3592" t="s">
        <v>3692</v>
      </c>
      <c r="D3592" t="s">
        <v>3693</v>
      </c>
      <c r="E3592">
        <v>6</v>
      </c>
      <c r="F3592" s="6">
        <v>750</v>
      </c>
      <c r="G3592" t="s">
        <v>4068</v>
      </c>
    </row>
    <row r="3593" spans="1:7">
      <c r="A3593" t="s">
        <v>8569</v>
      </c>
      <c r="B3593" t="s">
        <v>8570</v>
      </c>
      <c r="C3593" t="s">
        <v>3692</v>
      </c>
      <c r="D3593" t="s">
        <v>3693</v>
      </c>
      <c r="E3593">
        <v>6</v>
      </c>
      <c r="F3593" s="6">
        <v>750</v>
      </c>
      <c r="G3593" t="s">
        <v>4068</v>
      </c>
    </row>
    <row r="3594" spans="1:7">
      <c r="A3594" t="s">
        <v>8571</v>
      </c>
      <c r="B3594" t="s">
        <v>8572</v>
      </c>
      <c r="C3594" t="s">
        <v>3692</v>
      </c>
      <c r="D3594" t="s">
        <v>3693</v>
      </c>
      <c r="E3594">
        <v>6</v>
      </c>
      <c r="F3594" s="6">
        <v>700</v>
      </c>
      <c r="G3594" t="s">
        <v>4068</v>
      </c>
    </row>
    <row r="3595" spans="1:7">
      <c r="A3595" t="s">
        <v>8573</v>
      </c>
      <c r="B3595" t="s">
        <v>8574</v>
      </c>
      <c r="C3595" t="s">
        <v>3692</v>
      </c>
      <c r="D3595" t="s">
        <v>3693</v>
      </c>
      <c r="E3595">
        <v>6</v>
      </c>
      <c r="F3595" s="6">
        <v>700</v>
      </c>
      <c r="G3595" t="s">
        <v>4068</v>
      </c>
    </row>
    <row r="3596" spans="1:7">
      <c r="A3596" t="s">
        <v>2975</v>
      </c>
      <c r="B3596" t="s">
        <v>8575</v>
      </c>
      <c r="C3596" t="s">
        <v>3692</v>
      </c>
      <c r="D3596" t="s">
        <v>3693</v>
      </c>
      <c r="E3596">
        <v>6</v>
      </c>
      <c r="F3596" s="6">
        <v>750</v>
      </c>
      <c r="G3596" t="s">
        <v>3730</v>
      </c>
    </row>
    <row r="3597" spans="1:7">
      <c r="A3597" t="s">
        <v>3243</v>
      </c>
      <c r="B3597" t="s">
        <v>8576</v>
      </c>
      <c r="C3597" t="s">
        <v>3783</v>
      </c>
      <c r="D3597" t="s">
        <v>3784</v>
      </c>
      <c r="E3597">
        <v>12</v>
      </c>
      <c r="F3597" s="6">
        <v>1000</v>
      </c>
      <c r="G3597" t="s">
        <v>3686</v>
      </c>
    </row>
    <row r="3598" spans="1:7">
      <c r="A3598" t="s">
        <v>8577</v>
      </c>
      <c r="B3598" t="s">
        <v>8578</v>
      </c>
      <c r="C3598" t="s">
        <v>6442</v>
      </c>
      <c r="D3598" t="s">
        <v>6443</v>
      </c>
      <c r="E3598">
        <v>6</v>
      </c>
      <c r="F3598" s="6">
        <v>750</v>
      </c>
      <c r="G3598" t="s">
        <v>3802</v>
      </c>
    </row>
    <row r="3599" spans="1:7">
      <c r="A3599" t="s">
        <v>8579</v>
      </c>
      <c r="B3599" t="s">
        <v>8580</v>
      </c>
      <c r="C3599" t="s">
        <v>6442</v>
      </c>
      <c r="D3599" t="s">
        <v>6443</v>
      </c>
      <c r="E3599">
        <v>6</v>
      </c>
      <c r="F3599" s="6">
        <v>750</v>
      </c>
      <c r="G3599" t="s">
        <v>3802</v>
      </c>
    </row>
    <row r="3600" spans="1:7">
      <c r="A3600" t="s">
        <v>8581</v>
      </c>
      <c r="B3600" t="s">
        <v>8582</v>
      </c>
      <c r="C3600" t="s">
        <v>6442</v>
      </c>
      <c r="D3600" t="s">
        <v>6443</v>
      </c>
      <c r="E3600">
        <v>6</v>
      </c>
      <c r="F3600" s="6">
        <v>750</v>
      </c>
      <c r="G3600" t="s">
        <v>3802</v>
      </c>
    </row>
    <row r="3601" spans="1:7">
      <c r="A3601" t="s">
        <v>8583</v>
      </c>
      <c r="B3601" t="s">
        <v>8584</v>
      </c>
      <c r="C3601" t="s">
        <v>3692</v>
      </c>
      <c r="D3601" t="s">
        <v>3693</v>
      </c>
      <c r="E3601">
        <v>6</v>
      </c>
      <c r="F3601" s="6">
        <v>750</v>
      </c>
      <c r="G3601" t="s">
        <v>8564</v>
      </c>
    </row>
    <row r="3602" spans="1:7">
      <c r="A3602" t="s">
        <v>623</v>
      </c>
      <c r="B3602" t="s">
        <v>8585</v>
      </c>
      <c r="C3602" t="s">
        <v>3692</v>
      </c>
      <c r="D3602" t="s">
        <v>3693</v>
      </c>
      <c r="E3602">
        <v>6</v>
      </c>
      <c r="F3602" s="6">
        <v>750</v>
      </c>
      <c r="G3602" t="s">
        <v>8564</v>
      </c>
    </row>
    <row r="3603" spans="1:7">
      <c r="A3603" t="s">
        <v>8586</v>
      </c>
      <c r="B3603" t="s">
        <v>8587</v>
      </c>
      <c r="C3603" t="s">
        <v>3692</v>
      </c>
      <c r="D3603" t="s">
        <v>3693</v>
      </c>
      <c r="E3603">
        <v>6</v>
      </c>
      <c r="F3603" s="6">
        <v>750</v>
      </c>
      <c r="G3603" t="s">
        <v>8564</v>
      </c>
    </row>
    <row r="3604" spans="1:7">
      <c r="A3604" t="s">
        <v>8588</v>
      </c>
      <c r="B3604" t="s">
        <v>8589</v>
      </c>
      <c r="C3604" t="s">
        <v>3692</v>
      </c>
      <c r="D3604" t="s">
        <v>3693</v>
      </c>
      <c r="E3604">
        <v>3</v>
      </c>
      <c r="F3604" s="6">
        <v>750</v>
      </c>
      <c r="G3604" t="s">
        <v>3686</v>
      </c>
    </row>
    <row r="3605" spans="1:7">
      <c r="A3605" t="s">
        <v>1465</v>
      </c>
      <c r="B3605" t="s">
        <v>8590</v>
      </c>
      <c r="C3605" t="s">
        <v>3756</v>
      </c>
      <c r="D3605" t="s">
        <v>3757</v>
      </c>
      <c r="E3605">
        <v>12</v>
      </c>
      <c r="F3605" s="6">
        <v>750</v>
      </c>
      <c r="G3605" t="s">
        <v>3716</v>
      </c>
    </row>
    <row r="3606" spans="1:7">
      <c r="A3606" t="s">
        <v>8591</v>
      </c>
      <c r="B3606" t="s">
        <v>8592</v>
      </c>
      <c r="C3606" t="s">
        <v>3756</v>
      </c>
      <c r="D3606" t="s">
        <v>3757</v>
      </c>
      <c r="E3606">
        <v>12</v>
      </c>
      <c r="F3606" s="6">
        <v>750</v>
      </c>
      <c r="G3606" t="s">
        <v>3716</v>
      </c>
    </row>
    <row r="3607" spans="1:7">
      <c r="A3607" t="s">
        <v>8593</v>
      </c>
      <c r="B3607" t="s">
        <v>8594</v>
      </c>
      <c r="C3607" t="s">
        <v>3692</v>
      </c>
      <c r="D3607" t="s">
        <v>3693</v>
      </c>
      <c r="E3607">
        <v>6</v>
      </c>
      <c r="F3607" s="6">
        <v>750</v>
      </c>
      <c r="G3607" t="s">
        <v>3705</v>
      </c>
    </row>
    <row r="3608" spans="1:7">
      <c r="A3608" t="s">
        <v>8595</v>
      </c>
      <c r="B3608" t="s">
        <v>8596</v>
      </c>
      <c r="C3608" t="s">
        <v>3783</v>
      </c>
      <c r="D3608" t="s">
        <v>3784</v>
      </c>
      <c r="E3608">
        <v>12</v>
      </c>
      <c r="F3608" s="6">
        <v>1000</v>
      </c>
      <c r="G3608" t="s">
        <v>3681</v>
      </c>
    </row>
    <row r="3609" spans="1:7">
      <c r="A3609" t="s">
        <v>8597</v>
      </c>
      <c r="B3609" t="s">
        <v>8598</v>
      </c>
      <c r="C3609" t="s">
        <v>3692</v>
      </c>
      <c r="D3609" t="s">
        <v>3693</v>
      </c>
      <c r="E3609">
        <v>6</v>
      </c>
      <c r="F3609" s="6">
        <v>750</v>
      </c>
      <c r="G3609" t="s">
        <v>3763</v>
      </c>
    </row>
    <row r="3610" spans="1:7">
      <c r="A3610" t="s">
        <v>8599</v>
      </c>
      <c r="B3610" t="s">
        <v>8600</v>
      </c>
      <c r="C3610" t="s">
        <v>3679</v>
      </c>
      <c r="D3610" t="s">
        <v>3680</v>
      </c>
      <c r="E3610">
        <v>12</v>
      </c>
      <c r="F3610" s="6">
        <v>375</v>
      </c>
      <c r="G3610" t="s">
        <v>3951</v>
      </c>
    </row>
    <row r="3611" spans="1:7">
      <c r="A3611" t="s">
        <v>8601</v>
      </c>
      <c r="B3611" t="s">
        <v>8602</v>
      </c>
      <c r="C3611" t="s">
        <v>3692</v>
      </c>
      <c r="D3611" t="s">
        <v>3693</v>
      </c>
      <c r="E3611">
        <v>3</v>
      </c>
      <c r="F3611" s="6">
        <v>750</v>
      </c>
      <c r="G3611" t="s">
        <v>3702</v>
      </c>
    </row>
    <row r="3612" spans="1:7">
      <c r="A3612" t="s">
        <v>434</v>
      </c>
      <c r="B3612" t="s">
        <v>8603</v>
      </c>
      <c r="C3612" t="s">
        <v>3756</v>
      </c>
      <c r="D3612" t="s">
        <v>3757</v>
      </c>
      <c r="E3612">
        <v>12</v>
      </c>
      <c r="F3612" s="6">
        <v>750</v>
      </c>
      <c r="G3612" t="s">
        <v>4163</v>
      </c>
    </row>
    <row r="3613" spans="1:7">
      <c r="A3613" t="s">
        <v>8604</v>
      </c>
      <c r="B3613" t="s">
        <v>8605</v>
      </c>
      <c r="C3613" t="s">
        <v>3692</v>
      </c>
      <c r="D3613" t="s">
        <v>3693</v>
      </c>
      <c r="E3613">
        <v>12</v>
      </c>
      <c r="F3613" s="6">
        <v>750</v>
      </c>
      <c r="G3613" t="s">
        <v>3689</v>
      </c>
    </row>
    <row r="3614" spans="1:7">
      <c r="A3614" t="s">
        <v>2701</v>
      </c>
      <c r="B3614" t="s">
        <v>8606</v>
      </c>
      <c r="C3614" t="s">
        <v>3679</v>
      </c>
      <c r="D3614" t="s">
        <v>3680</v>
      </c>
      <c r="E3614">
        <v>6</v>
      </c>
      <c r="F3614" s="6">
        <v>750</v>
      </c>
      <c r="G3614" t="s">
        <v>4163</v>
      </c>
    </row>
    <row r="3615" spans="1:7">
      <c r="A3615" t="s">
        <v>8607</v>
      </c>
      <c r="B3615" t="s">
        <v>8608</v>
      </c>
      <c r="C3615" t="s">
        <v>3679</v>
      </c>
      <c r="D3615" t="s">
        <v>3680</v>
      </c>
      <c r="E3615">
        <v>6</v>
      </c>
      <c r="F3615" s="6">
        <v>750</v>
      </c>
      <c r="G3615" t="s">
        <v>3702</v>
      </c>
    </row>
    <row r="3616" spans="1:7">
      <c r="A3616" t="s">
        <v>8609</v>
      </c>
      <c r="B3616" t="s">
        <v>8610</v>
      </c>
      <c r="C3616" t="s">
        <v>4455</v>
      </c>
      <c r="D3616" t="s">
        <v>4456</v>
      </c>
      <c r="E3616">
        <v>6</v>
      </c>
      <c r="F3616" s="6">
        <v>750</v>
      </c>
      <c r="G3616" t="s">
        <v>3802</v>
      </c>
    </row>
    <row r="3617" spans="1:7">
      <c r="A3617" t="s">
        <v>8611</v>
      </c>
      <c r="B3617" t="s">
        <v>8612</v>
      </c>
      <c r="C3617" t="s">
        <v>3928</v>
      </c>
      <c r="D3617" t="s">
        <v>3929</v>
      </c>
      <c r="E3617">
        <v>6</v>
      </c>
      <c r="F3617" s="6">
        <v>750</v>
      </c>
      <c r="G3617" t="s">
        <v>5054</v>
      </c>
    </row>
    <row r="3618" spans="1:7">
      <c r="A3618" t="s">
        <v>1295</v>
      </c>
      <c r="B3618" t="s">
        <v>8613</v>
      </c>
      <c r="C3618" t="s">
        <v>3928</v>
      </c>
      <c r="D3618" t="s">
        <v>3929</v>
      </c>
      <c r="E3618">
        <v>6</v>
      </c>
      <c r="F3618" s="6">
        <v>750</v>
      </c>
      <c r="G3618" t="s">
        <v>5054</v>
      </c>
    </row>
    <row r="3619" spans="1:7">
      <c r="A3619" t="s">
        <v>8614</v>
      </c>
      <c r="B3619" t="s">
        <v>8615</v>
      </c>
      <c r="C3619" t="s">
        <v>3808</v>
      </c>
      <c r="D3619" t="s">
        <v>3809</v>
      </c>
      <c r="E3619">
        <v>6</v>
      </c>
      <c r="F3619" s="6">
        <v>750</v>
      </c>
      <c r="G3619" t="s">
        <v>4291</v>
      </c>
    </row>
    <row r="3620" spans="1:7">
      <c r="A3620" t="s">
        <v>8616</v>
      </c>
      <c r="B3620" t="s">
        <v>8617</v>
      </c>
      <c r="C3620" t="s">
        <v>3692</v>
      </c>
      <c r="D3620" t="s">
        <v>3693</v>
      </c>
      <c r="E3620">
        <v>6</v>
      </c>
      <c r="F3620" s="6">
        <v>750</v>
      </c>
      <c r="G3620" t="s">
        <v>3845</v>
      </c>
    </row>
    <row r="3621" spans="1:7">
      <c r="A3621" t="s">
        <v>8618</v>
      </c>
      <c r="B3621" t="s">
        <v>8619</v>
      </c>
      <c r="C3621" t="s">
        <v>3692</v>
      </c>
      <c r="D3621" t="s">
        <v>3693</v>
      </c>
      <c r="E3621">
        <v>6</v>
      </c>
      <c r="F3621" s="6">
        <v>750</v>
      </c>
      <c r="G3621" t="s">
        <v>3845</v>
      </c>
    </row>
    <row r="3622" spans="1:7">
      <c r="A3622" t="s">
        <v>8620</v>
      </c>
      <c r="B3622" t="s">
        <v>8621</v>
      </c>
      <c r="C3622" t="s">
        <v>3692</v>
      </c>
      <c r="D3622" t="s">
        <v>3693</v>
      </c>
      <c r="E3622">
        <v>6</v>
      </c>
      <c r="F3622" s="6">
        <v>750</v>
      </c>
      <c r="G3622" t="s">
        <v>3845</v>
      </c>
    </row>
    <row r="3623" spans="1:7">
      <c r="A3623" t="s">
        <v>8622</v>
      </c>
      <c r="B3623" t="s">
        <v>8623</v>
      </c>
      <c r="C3623" t="s">
        <v>3692</v>
      </c>
      <c r="D3623" t="s">
        <v>3693</v>
      </c>
      <c r="E3623">
        <v>6</v>
      </c>
      <c r="F3623" s="6">
        <v>700</v>
      </c>
      <c r="G3623" t="s">
        <v>3705</v>
      </c>
    </row>
    <row r="3624" spans="1:7">
      <c r="A3624" t="s">
        <v>1598</v>
      </c>
      <c r="B3624" t="s">
        <v>8624</v>
      </c>
      <c r="C3624" t="s">
        <v>3679</v>
      </c>
      <c r="D3624" t="s">
        <v>3680</v>
      </c>
      <c r="E3624">
        <v>6</v>
      </c>
      <c r="F3624" s="6">
        <v>750</v>
      </c>
      <c r="G3624" t="s">
        <v>3681</v>
      </c>
    </row>
    <row r="3625" spans="1:7">
      <c r="A3625" t="s">
        <v>8625</v>
      </c>
      <c r="B3625" t="s">
        <v>8626</v>
      </c>
      <c r="C3625" t="s">
        <v>3692</v>
      </c>
      <c r="D3625" t="s">
        <v>3693</v>
      </c>
      <c r="E3625">
        <v>6</v>
      </c>
      <c r="F3625" s="6">
        <v>750</v>
      </c>
      <c r="G3625" t="s">
        <v>4163</v>
      </c>
    </row>
    <row r="3626" spans="1:7">
      <c r="A3626" t="s">
        <v>8627</v>
      </c>
      <c r="B3626" t="s">
        <v>8628</v>
      </c>
      <c r="C3626" t="s">
        <v>3692</v>
      </c>
      <c r="D3626" t="s">
        <v>3693</v>
      </c>
      <c r="E3626">
        <v>1</v>
      </c>
      <c r="F3626" s="6">
        <v>750</v>
      </c>
      <c r="G3626" t="s">
        <v>3802</v>
      </c>
    </row>
    <row r="3627" spans="1:7">
      <c r="A3627" t="s">
        <v>282</v>
      </c>
      <c r="B3627" t="s">
        <v>8629</v>
      </c>
      <c r="C3627" t="s">
        <v>3692</v>
      </c>
      <c r="D3627" t="s">
        <v>3693</v>
      </c>
      <c r="E3627">
        <v>6</v>
      </c>
      <c r="F3627" s="6">
        <v>750</v>
      </c>
      <c r="G3627" t="s">
        <v>3730</v>
      </c>
    </row>
    <row r="3628" spans="1:7">
      <c r="A3628" t="s">
        <v>8630</v>
      </c>
      <c r="B3628" t="s">
        <v>8631</v>
      </c>
      <c r="C3628" t="s">
        <v>3692</v>
      </c>
      <c r="D3628" t="s">
        <v>3693</v>
      </c>
      <c r="E3628">
        <v>6</v>
      </c>
      <c r="F3628" s="6">
        <v>750</v>
      </c>
      <c r="G3628" t="s">
        <v>4095</v>
      </c>
    </row>
    <row r="3629" spans="1:7">
      <c r="A3629" t="s">
        <v>8632</v>
      </c>
      <c r="B3629" t="s">
        <v>8633</v>
      </c>
      <c r="C3629" t="s">
        <v>3692</v>
      </c>
      <c r="D3629" t="s">
        <v>3693</v>
      </c>
      <c r="E3629">
        <v>6</v>
      </c>
      <c r="F3629" s="6">
        <v>750</v>
      </c>
      <c r="G3629" t="s">
        <v>4095</v>
      </c>
    </row>
    <row r="3630" spans="1:7">
      <c r="A3630" t="s">
        <v>8634</v>
      </c>
      <c r="B3630" t="s">
        <v>8635</v>
      </c>
      <c r="C3630" t="s">
        <v>3692</v>
      </c>
      <c r="D3630" t="s">
        <v>3693</v>
      </c>
      <c r="E3630">
        <v>6</v>
      </c>
      <c r="F3630" s="6">
        <v>750</v>
      </c>
      <c r="G3630" t="s">
        <v>4095</v>
      </c>
    </row>
    <row r="3631" spans="1:7">
      <c r="A3631" t="s">
        <v>8636</v>
      </c>
      <c r="B3631" t="s">
        <v>8543</v>
      </c>
      <c r="C3631" t="s">
        <v>3692</v>
      </c>
      <c r="D3631" t="s">
        <v>3693</v>
      </c>
      <c r="E3631">
        <v>6</v>
      </c>
      <c r="F3631" s="6">
        <v>750</v>
      </c>
      <c r="G3631" t="s">
        <v>8544</v>
      </c>
    </row>
    <row r="3632" spans="1:7">
      <c r="A3632" t="s">
        <v>2949</v>
      </c>
      <c r="B3632" t="s">
        <v>8637</v>
      </c>
      <c r="C3632" t="s">
        <v>3708</v>
      </c>
      <c r="D3632" t="s">
        <v>3709</v>
      </c>
      <c r="E3632">
        <v>12</v>
      </c>
      <c r="F3632" s="6">
        <v>750</v>
      </c>
      <c r="G3632" t="s">
        <v>3686</v>
      </c>
    </row>
    <row r="3633" spans="1:7">
      <c r="A3633" t="s">
        <v>8638</v>
      </c>
      <c r="B3633" t="s">
        <v>8639</v>
      </c>
      <c r="C3633" t="s">
        <v>3692</v>
      </c>
      <c r="D3633" t="s">
        <v>3693</v>
      </c>
      <c r="E3633">
        <v>6</v>
      </c>
      <c r="F3633" s="6">
        <v>750</v>
      </c>
      <c r="G3633" t="s">
        <v>6970</v>
      </c>
    </row>
    <row r="3634" spans="1:7">
      <c r="A3634" t="s">
        <v>8640</v>
      </c>
      <c r="B3634" t="s">
        <v>8641</v>
      </c>
      <c r="C3634" t="s">
        <v>3679</v>
      </c>
      <c r="D3634" t="s">
        <v>3680</v>
      </c>
      <c r="E3634">
        <v>1</v>
      </c>
      <c r="F3634" s="6">
        <v>50</v>
      </c>
      <c r="G3634" t="s">
        <v>6970</v>
      </c>
    </row>
    <row r="3635" spans="1:7">
      <c r="A3635" t="s">
        <v>8642</v>
      </c>
      <c r="B3635" t="s">
        <v>8643</v>
      </c>
      <c r="C3635" t="s">
        <v>3679</v>
      </c>
      <c r="D3635" t="s">
        <v>3680</v>
      </c>
      <c r="E3635">
        <v>1</v>
      </c>
      <c r="F3635" s="6">
        <v>50</v>
      </c>
      <c r="G3635" t="s">
        <v>6970</v>
      </c>
    </row>
    <row r="3636" spans="1:7">
      <c r="A3636" t="s">
        <v>8644</v>
      </c>
      <c r="B3636" t="s">
        <v>8645</v>
      </c>
      <c r="C3636" t="s">
        <v>3679</v>
      </c>
      <c r="D3636" t="s">
        <v>3680</v>
      </c>
      <c r="E3636">
        <v>1</v>
      </c>
      <c r="F3636" s="6">
        <v>50</v>
      </c>
      <c r="G3636" t="s">
        <v>6970</v>
      </c>
    </row>
    <row r="3637" spans="1:7">
      <c r="A3637" t="s">
        <v>8646</v>
      </c>
      <c r="B3637" t="s">
        <v>8647</v>
      </c>
      <c r="C3637" t="s">
        <v>3692</v>
      </c>
      <c r="D3637" t="s">
        <v>3693</v>
      </c>
      <c r="E3637">
        <v>6</v>
      </c>
      <c r="F3637" s="6">
        <v>750</v>
      </c>
      <c r="G3637" t="s">
        <v>3681</v>
      </c>
    </row>
    <row r="3638" spans="1:7">
      <c r="A3638" t="s">
        <v>8648</v>
      </c>
      <c r="B3638" t="s">
        <v>8649</v>
      </c>
      <c r="C3638" t="s">
        <v>7442</v>
      </c>
      <c r="D3638" t="s">
        <v>7443</v>
      </c>
      <c r="E3638">
        <v>12</v>
      </c>
      <c r="F3638" s="6">
        <v>1000</v>
      </c>
      <c r="G3638" t="s">
        <v>3686</v>
      </c>
    </row>
    <row r="3639" spans="1:7">
      <c r="A3639" t="s">
        <v>8650</v>
      </c>
      <c r="B3639" t="s">
        <v>8651</v>
      </c>
      <c r="C3639" t="s">
        <v>3692</v>
      </c>
      <c r="D3639" t="s">
        <v>3693</v>
      </c>
      <c r="E3639">
        <v>6</v>
      </c>
      <c r="F3639" s="6">
        <v>750</v>
      </c>
      <c r="G3639" t="s">
        <v>8652</v>
      </c>
    </row>
    <row r="3640" spans="1:7">
      <c r="A3640" t="s">
        <v>8653</v>
      </c>
      <c r="B3640" t="s">
        <v>8654</v>
      </c>
      <c r="C3640" t="s">
        <v>3692</v>
      </c>
      <c r="D3640" t="s">
        <v>3693</v>
      </c>
      <c r="E3640">
        <v>6</v>
      </c>
      <c r="F3640" s="6">
        <v>750</v>
      </c>
      <c r="G3640" t="s">
        <v>8652</v>
      </c>
    </row>
    <row r="3641" spans="1:7">
      <c r="A3641" t="s">
        <v>8655</v>
      </c>
      <c r="B3641" t="s">
        <v>8656</v>
      </c>
      <c r="C3641" t="s">
        <v>3692</v>
      </c>
      <c r="D3641" t="s">
        <v>3693</v>
      </c>
      <c r="E3641">
        <v>6</v>
      </c>
      <c r="F3641" s="6">
        <v>750</v>
      </c>
      <c r="G3641" t="s">
        <v>8652</v>
      </c>
    </row>
    <row r="3642" spans="1:7">
      <c r="A3642" t="s">
        <v>8657</v>
      </c>
      <c r="B3642" t="s">
        <v>8658</v>
      </c>
      <c r="C3642" t="s">
        <v>3692</v>
      </c>
      <c r="D3642" t="s">
        <v>3693</v>
      </c>
      <c r="E3642">
        <v>6</v>
      </c>
      <c r="F3642" s="6">
        <v>750</v>
      </c>
      <c r="G3642" t="s">
        <v>8652</v>
      </c>
    </row>
    <row r="3643" spans="1:7">
      <c r="A3643" t="s">
        <v>8659</v>
      </c>
      <c r="B3643" t="s">
        <v>8660</v>
      </c>
      <c r="C3643" t="s">
        <v>3692</v>
      </c>
      <c r="D3643" t="s">
        <v>3693</v>
      </c>
      <c r="E3643">
        <v>12</v>
      </c>
      <c r="F3643" s="6">
        <v>375</v>
      </c>
      <c r="G3643" t="s">
        <v>8661</v>
      </c>
    </row>
    <row r="3644" spans="1:7">
      <c r="A3644" t="s">
        <v>8662</v>
      </c>
      <c r="B3644" t="s">
        <v>8663</v>
      </c>
      <c r="C3644" t="s">
        <v>8664</v>
      </c>
      <c r="D3644" t="s">
        <v>8665</v>
      </c>
      <c r="E3644">
        <v>6</v>
      </c>
      <c r="F3644" s="6">
        <v>750</v>
      </c>
      <c r="G3644" t="s">
        <v>3681</v>
      </c>
    </row>
    <row r="3645" spans="1:7">
      <c r="A3645" t="s">
        <v>8666</v>
      </c>
      <c r="B3645" t="s">
        <v>8667</v>
      </c>
      <c r="C3645" t="s">
        <v>3692</v>
      </c>
      <c r="D3645" t="s">
        <v>3693</v>
      </c>
      <c r="E3645">
        <v>6</v>
      </c>
      <c r="F3645" s="6">
        <v>750</v>
      </c>
      <c r="G3645" t="s">
        <v>4073</v>
      </c>
    </row>
    <row r="3646" spans="1:7">
      <c r="A3646" t="s">
        <v>8668</v>
      </c>
      <c r="B3646" t="s">
        <v>8669</v>
      </c>
      <c r="C3646" t="s">
        <v>3692</v>
      </c>
      <c r="D3646" t="s">
        <v>3693</v>
      </c>
      <c r="E3646">
        <v>6</v>
      </c>
      <c r="F3646" s="6">
        <v>750</v>
      </c>
      <c r="G3646" t="s">
        <v>4073</v>
      </c>
    </row>
    <row r="3647" spans="1:7">
      <c r="A3647" t="s">
        <v>8670</v>
      </c>
      <c r="B3647" t="s">
        <v>8671</v>
      </c>
      <c r="C3647" t="s">
        <v>3692</v>
      </c>
      <c r="D3647" t="s">
        <v>3693</v>
      </c>
      <c r="E3647">
        <v>6</v>
      </c>
      <c r="F3647" s="6">
        <v>750</v>
      </c>
      <c r="G3647" t="s">
        <v>4073</v>
      </c>
    </row>
    <row r="3648" spans="1:7">
      <c r="A3648" t="s">
        <v>8672</v>
      </c>
      <c r="B3648" t="s">
        <v>8673</v>
      </c>
      <c r="C3648" t="s">
        <v>3708</v>
      </c>
      <c r="D3648" t="s">
        <v>3709</v>
      </c>
      <c r="E3648">
        <v>6</v>
      </c>
      <c r="F3648" s="6">
        <v>1000</v>
      </c>
      <c r="G3648" t="s">
        <v>4073</v>
      </c>
    </row>
    <row r="3649" spans="1:7">
      <c r="A3649" t="s">
        <v>378</v>
      </c>
      <c r="B3649" t="s">
        <v>8674</v>
      </c>
      <c r="C3649" t="s">
        <v>3692</v>
      </c>
      <c r="D3649" t="s">
        <v>3693</v>
      </c>
      <c r="E3649">
        <v>6</v>
      </c>
      <c r="F3649" s="6">
        <v>750</v>
      </c>
      <c r="G3649" t="s">
        <v>8675</v>
      </c>
    </row>
    <row r="3650" spans="1:7">
      <c r="A3650" t="s">
        <v>1242</v>
      </c>
      <c r="B3650" t="s">
        <v>8673</v>
      </c>
      <c r="C3650" t="s">
        <v>3708</v>
      </c>
      <c r="D3650" t="s">
        <v>3709</v>
      </c>
      <c r="E3650">
        <v>6</v>
      </c>
      <c r="F3650" s="6">
        <v>750</v>
      </c>
      <c r="G3650" t="s">
        <v>4073</v>
      </c>
    </row>
    <row r="3651" spans="1:7">
      <c r="A3651" t="s">
        <v>8676</v>
      </c>
      <c r="B3651" t="s">
        <v>8677</v>
      </c>
      <c r="C3651" t="s">
        <v>3928</v>
      </c>
      <c r="D3651" t="s">
        <v>3929</v>
      </c>
      <c r="E3651">
        <v>12</v>
      </c>
      <c r="F3651" s="6">
        <v>750</v>
      </c>
      <c r="G3651" t="s">
        <v>4331</v>
      </c>
    </row>
    <row r="3652" spans="1:7">
      <c r="A3652" t="s">
        <v>1751</v>
      </c>
      <c r="B3652" t="s">
        <v>8678</v>
      </c>
      <c r="C3652" t="s">
        <v>3928</v>
      </c>
      <c r="D3652" t="s">
        <v>3929</v>
      </c>
      <c r="E3652">
        <v>12</v>
      </c>
      <c r="F3652" s="6">
        <v>750</v>
      </c>
      <c r="G3652" t="s">
        <v>4331</v>
      </c>
    </row>
    <row r="3653" spans="1:7">
      <c r="A3653" t="s">
        <v>8679</v>
      </c>
      <c r="B3653" t="s">
        <v>8680</v>
      </c>
      <c r="C3653" t="s">
        <v>3928</v>
      </c>
      <c r="D3653" t="s">
        <v>3929</v>
      </c>
      <c r="E3653">
        <v>6</v>
      </c>
      <c r="F3653" s="6">
        <v>750</v>
      </c>
      <c r="G3653" t="s">
        <v>4163</v>
      </c>
    </row>
    <row r="3654" spans="1:7">
      <c r="A3654" t="s">
        <v>3622</v>
      </c>
      <c r="B3654" t="s">
        <v>8681</v>
      </c>
      <c r="C3654" t="s">
        <v>3928</v>
      </c>
      <c r="D3654" t="s">
        <v>3929</v>
      </c>
      <c r="E3654">
        <v>6</v>
      </c>
      <c r="F3654" s="6">
        <v>750</v>
      </c>
      <c r="G3654" t="s">
        <v>4163</v>
      </c>
    </row>
    <row r="3655" spans="1:7">
      <c r="A3655" t="s">
        <v>8682</v>
      </c>
      <c r="B3655" t="s">
        <v>8683</v>
      </c>
      <c r="C3655" t="s">
        <v>3679</v>
      </c>
      <c r="D3655" t="s">
        <v>3680</v>
      </c>
      <c r="E3655">
        <v>6</v>
      </c>
      <c r="F3655" s="6">
        <v>750</v>
      </c>
      <c r="G3655" t="s">
        <v>3686</v>
      </c>
    </row>
    <row r="3656" spans="1:7">
      <c r="A3656" t="s">
        <v>8684</v>
      </c>
      <c r="B3656" t="s">
        <v>8685</v>
      </c>
      <c r="C3656" t="s">
        <v>3679</v>
      </c>
      <c r="D3656" t="s">
        <v>3680</v>
      </c>
      <c r="E3656">
        <v>6</v>
      </c>
      <c r="F3656" s="6">
        <v>750</v>
      </c>
      <c r="G3656" t="s">
        <v>3686</v>
      </c>
    </row>
    <row r="3657" spans="1:7">
      <c r="A3657" t="s">
        <v>8686</v>
      </c>
      <c r="B3657" t="s">
        <v>8687</v>
      </c>
      <c r="C3657" t="s">
        <v>3679</v>
      </c>
      <c r="D3657" t="s">
        <v>3680</v>
      </c>
      <c r="E3657">
        <v>6</v>
      </c>
      <c r="F3657" s="6">
        <v>750</v>
      </c>
      <c r="G3657" t="s">
        <v>3686</v>
      </c>
    </row>
    <row r="3658" spans="1:7">
      <c r="A3658" t="s">
        <v>8688</v>
      </c>
      <c r="B3658" t="s">
        <v>8689</v>
      </c>
      <c r="C3658" t="s">
        <v>3679</v>
      </c>
      <c r="D3658" t="s">
        <v>3680</v>
      </c>
      <c r="E3658">
        <v>6</v>
      </c>
      <c r="F3658" s="6">
        <v>750</v>
      </c>
      <c r="G3658" t="s">
        <v>3681</v>
      </c>
    </row>
    <row r="3659" spans="1:7">
      <c r="A3659" t="s">
        <v>8690</v>
      </c>
      <c r="B3659" t="s">
        <v>8691</v>
      </c>
      <c r="C3659" t="s">
        <v>3679</v>
      </c>
      <c r="D3659" t="s">
        <v>3680</v>
      </c>
      <c r="E3659">
        <v>6</v>
      </c>
      <c r="F3659" s="6">
        <v>750</v>
      </c>
      <c r="G3659" t="s">
        <v>3686</v>
      </c>
    </row>
    <row r="3660" spans="1:7">
      <c r="A3660" t="s">
        <v>784</v>
      </c>
      <c r="B3660" t="s">
        <v>8692</v>
      </c>
      <c r="C3660" t="s">
        <v>4012</v>
      </c>
      <c r="D3660" t="s">
        <v>4013</v>
      </c>
      <c r="E3660">
        <v>8</v>
      </c>
      <c r="F3660" s="6">
        <v>50</v>
      </c>
      <c r="G3660" t="s">
        <v>3931</v>
      </c>
    </row>
    <row r="3661" spans="1:7">
      <c r="A3661" t="s">
        <v>1170</v>
      </c>
      <c r="B3661" t="s">
        <v>8693</v>
      </c>
      <c r="C3661" t="s">
        <v>4012</v>
      </c>
      <c r="D3661" t="s">
        <v>4013</v>
      </c>
      <c r="E3661">
        <v>12</v>
      </c>
      <c r="F3661" s="6">
        <v>750</v>
      </c>
      <c r="G3661" t="s">
        <v>3931</v>
      </c>
    </row>
    <row r="3662" spans="1:7">
      <c r="A3662" t="s">
        <v>1793</v>
      </c>
      <c r="B3662" t="s">
        <v>8693</v>
      </c>
      <c r="C3662" t="s">
        <v>4012</v>
      </c>
      <c r="D3662" t="s">
        <v>4013</v>
      </c>
      <c r="E3662">
        <v>6</v>
      </c>
      <c r="F3662" s="6">
        <v>1750</v>
      </c>
      <c r="G3662" t="s">
        <v>3931</v>
      </c>
    </row>
    <row r="3663" spans="1:7">
      <c r="A3663" t="s">
        <v>8694</v>
      </c>
      <c r="B3663" t="s">
        <v>8695</v>
      </c>
      <c r="C3663" t="s">
        <v>3679</v>
      </c>
      <c r="D3663" t="s">
        <v>3680</v>
      </c>
      <c r="E3663">
        <v>6</v>
      </c>
      <c r="F3663" s="6">
        <v>750</v>
      </c>
      <c r="G3663" t="s">
        <v>3871</v>
      </c>
    </row>
    <row r="3664" spans="1:7">
      <c r="A3664" t="s">
        <v>8696</v>
      </c>
      <c r="B3664" t="s">
        <v>8697</v>
      </c>
      <c r="C3664" t="s">
        <v>3679</v>
      </c>
      <c r="D3664" t="s">
        <v>3680</v>
      </c>
      <c r="E3664">
        <v>6</v>
      </c>
      <c r="F3664" s="6">
        <v>750</v>
      </c>
      <c r="G3664" t="s">
        <v>3871</v>
      </c>
    </row>
    <row r="3665" spans="1:7">
      <c r="A3665" t="s">
        <v>8698</v>
      </c>
      <c r="B3665" t="s">
        <v>8699</v>
      </c>
      <c r="C3665" t="s">
        <v>4071</v>
      </c>
      <c r="D3665" t="s">
        <v>4072</v>
      </c>
      <c r="E3665">
        <v>12</v>
      </c>
      <c r="F3665" s="6">
        <v>750</v>
      </c>
      <c r="G3665" t="s">
        <v>4581</v>
      </c>
    </row>
    <row r="3666" spans="1:7">
      <c r="A3666" t="s">
        <v>584</v>
      </c>
      <c r="B3666" t="s">
        <v>8700</v>
      </c>
      <c r="C3666" t="s">
        <v>3692</v>
      </c>
      <c r="D3666" t="s">
        <v>3693</v>
      </c>
      <c r="E3666">
        <v>12</v>
      </c>
      <c r="F3666" s="6">
        <v>50</v>
      </c>
      <c r="G3666" t="s">
        <v>3689</v>
      </c>
    </row>
    <row r="3667" spans="1:7">
      <c r="A3667" t="s">
        <v>2638</v>
      </c>
      <c r="B3667" t="s">
        <v>8701</v>
      </c>
      <c r="C3667" t="s">
        <v>3692</v>
      </c>
      <c r="D3667" t="s">
        <v>3693</v>
      </c>
      <c r="E3667">
        <v>12</v>
      </c>
      <c r="F3667" s="6">
        <v>50</v>
      </c>
      <c r="G3667" t="s">
        <v>3689</v>
      </c>
    </row>
    <row r="3668" spans="1:7">
      <c r="A3668" t="s">
        <v>2114</v>
      </c>
      <c r="B3668" t="s">
        <v>8702</v>
      </c>
      <c r="C3668" t="s">
        <v>4244</v>
      </c>
      <c r="D3668" t="s">
        <v>4245</v>
      </c>
      <c r="E3668">
        <v>6</v>
      </c>
      <c r="F3668" s="6">
        <v>750</v>
      </c>
      <c r="G3668" t="s">
        <v>3845</v>
      </c>
    </row>
    <row r="3669" spans="1:7">
      <c r="A3669" t="s">
        <v>1985</v>
      </c>
      <c r="B3669" t="s">
        <v>8703</v>
      </c>
      <c r="C3669" t="s">
        <v>7301</v>
      </c>
      <c r="D3669" t="s">
        <v>7302</v>
      </c>
      <c r="E3669">
        <v>12</v>
      </c>
      <c r="F3669" s="6">
        <v>1000</v>
      </c>
      <c r="G3669" t="s">
        <v>3716</v>
      </c>
    </row>
    <row r="3670" spans="1:7">
      <c r="A3670" t="s">
        <v>8704</v>
      </c>
      <c r="B3670" t="s">
        <v>8705</v>
      </c>
      <c r="C3670" t="s">
        <v>3692</v>
      </c>
      <c r="D3670" t="s">
        <v>3693</v>
      </c>
      <c r="E3670">
        <v>6</v>
      </c>
      <c r="F3670" s="6">
        <v>750</v>
      </c>
      <c r="G3670" t="s">
        <v>3987</v>
      </c>
    </row>
    <row r="3671" spans="1:7">
      <c r="A3671" t="s">
        <v>3095</v>
      </c>
      <c r="B3671" t="s">
        <v>8706</v>
      </c>
      <c r="C3671" t="s">
        <v>3692</v>
      </c>
      <c r="D3671" t="s">
        <v>3693</v>
      </c>
      <c r="E3671">
        <v>6</v>
      </c>
      <c r="F3671" s="6">
        <v>750</v>
      </c>
      <c r="G3671" t="s">
        <v>3987</v>
      </c>
    </row>
    <row r="3672" spans="1:7">
      <c r="A3672" t="s">
        <v>3608</v>
      </c>
      <c r="B3672" t="s">
        <v>8707</v>
      </c>
      <c r="C3672" t="s">
        <v>3692</v>
      </c>
      <c r="D3672" t="s">
        <v>3693</v>
      </c>
      <c r="E3672">
        <v>6</v>
      </c>
      <c r="F3672" s="6">
        <v>750</v>
      </c>
      <c r="G3672" t="s">
        <v>3987</v>
      </c>
    </row>
    <row r="3673" spans="1:7">
      <c r="A3673" t="s">
        <v>549</v>
      </c>
      <c r="B3673" t="s">
        <v>8708</v>
      </c>
      <c r="C3673" t="s">
        <v>3692</v>
      </c>
      <c r="D3673" t="s">
        <v>3693</v>
      </c>
      <c r="E3673">
        <v>6</v>
      </c>
      <c r="F3673" s="6">
        <v>750</v>
      </c>
      <c r="G3673" t="s">
        <v>3992</v>
      </c>
    </row>
    <row r="3674" spans="1:7">
      <c r="A3674" t="s">
        <v>8709</v>
      </c>
      <c r="B3674" t="s">
        <v>8710</v>
      </c>
      <c r="C3674" t="s">
        <v>3679</v>
      </c>
      <c r="D3674" t="s">
        <v>3680</v>
      </c>
      <c r="E3674">
        <v>6</v>
      </c>
      <c r="F3674" s="6">
        <v>750</v>
      </c>
      <c r="G3674" t="s">
        <v>3681</v>
      </c>
    </row>
    <row r="3675" spans="1:7">
      <c r="A3675" t="s">
        <v>8711</v>
      </c>
      <c r="B3675" t="s">
        <v>8712</v>
      </c>
      <c r="C3675" t="s">
        <v>3679</v>
      </c>
      <c r="D3675" t="s">
        <v>3680</v>
      </c>
      <c r="E3675">
        <v>6</v>
      </c>
      <c r="F3675" s="6">
        <v>750</v>
      </c>
      <c r="G3675" t="s">
        <v>5215</v>
      </c>
    </row>
    <row r="3676" spans="1:7">
      <c r="A3676" t="s">
        <v>8713</v>
      </c>
      <c r="B3676" t="s">
        <v>8714</v>
      </c>
      <c r="C3676" t="s">
        <v>7301</v>
      </c>
      <c r="D3676" t="s">
        <v>7302</v>
      </c>
      <c r="E3676">
        <v>12</v>
      </c>
      <c r="F3676" s="6">
        <v>1000</v>
      </c>
      <c r="G3676" t="s">
        <v>5030</v>
      </c>
    </row>
    <row r="3677" spans="1:7">
      <c r="A3677" t="s">
        <v>2624</v>
      </c>
      <c r="B3677" t="s">
        <v>8715</v>
      </c>
      <c r="C3677" t="s">
        <v>3700</v>
      </c>
      <c r="D3677" t="s">
        <v>3701</v>
      </c>
      <c r="E3677">
        <v>12</v>
      </c>
      <c r="F3677" s="6">
        <v>375</v>
      </c>
      <c r="G3677" t="s">
        <v>3681</v>
      </c>
    </row>
    <row r="3678" spans="1:7">
      <c r="A3678" t="s">
        <v>8716</v>
      </c>
      <c r="B3678" t="s">
        <v>8717</v>
      </c>
      <c r="C3678" t="s">
        <v>3679</v>
      </c>
      <c r="D3678" t="s">
        <v>3680</v>
      </c>
      <c r="E3678">
        <v>6</v>
      </c>
      <c r="F3678" s="6">
        <v>750</v>
      </c>
      <c r="G3678" t="s">
        <v>4285</v>
      </c>
    </row>
    <row r="3679" spans="1:7">
      <c r="A3679" t="s">
        <v>8718</v>
      </c>
      <c r="B3679" t="s">
        <v>8660</v>
      </c>
      <c r="C3679" t="s">
        <v>3692</v>
      </c>
      <c r="D3679" t="s">
        <v>3693</v>
      </c>
      <c r="E3679">
        <v>12</v>
      </c>
      <c r="F3679" s="6">
        <v>750</v>
      </c>
      <c r="G3679" t="s">
        <v>8661</v>
      </c>
    </row>
    <row r="3680" spans="1:7">
      <c r="A3680" t="s">
        <v>672</v>
      </c>
      <c r="B3680" t="s">
        <v>8719</v>
      </c>
      <c r="C3680" t="s">
        <v>7301</v>
      </c>
      <c r="D3680" t="s">
        <v>7302</v>
      </c>
      <c r="E3680">
        <v>12</v>
      </c>
      <c r="F3680" s="6">
        <v>750</v>
      </c>
      <c r="G3680" t="s">
        <v>4163</v>
      </c>
    </row>
    <row r="3681" spans="1:7">
      <c r="A3681" t="s">
        <v>1571</v>
      </c>
      <c r="B3681" t="s">
        <v>8719</v>
      </c>
      <c r="C3681" t="s">
        <v>7301</v>
      </c>
      <c r="D3681" t="s">
        <v>7302</v>
      </c>
      <c r="E3681">
        <v>12</v>
      </c>
      <c r="F3681" s="6">
        <v>1000</v>
      </c>
      <c r="G3681" t="s">
        <v>4163</v>
      </c>
    </row>
    <row r="3682" spans="1:7">
      <c r="A3682" t="s">
        <v>8720</v>
      </c>
      <c r="B3682" t="s">
        <v>8721</v>
      </c>
      <c r="C3682" t="s">
        <v>3928</v>
      </c>
      <c r="D3682" t="s">
        <v>3929</v>
      </c>
      <c r="E3682">
        <v>6</v>
      </c>
      <c r="F3682" s="6">
        <v>750</v>
      </c>
      <c r="G3682" t="s">
        <v>3686</v>
      </c>
    </row>
    <row r="3683" spans="1:7">
      <c r="A3683" t="s">
        <v>8722</v>
      </c>
      <c r="B3683" t="s">
        <v>8723</v>
      </c>
      <c r="C3683" t="s">
        <v>3679</v>
      </c>
      <c r="D3683" t="s">
        <v>3680</v>
      </c>
      <c r="E3683">
        <v>6</v>
      </c>
      <c r="F3683" s="6">
        <v>750</v>
      </c>
      <c r="G3683" t="s">
        <v>3931</v>
      </c>
    </row>
    <row r="3684" spans="1:7">
      <c r="A3684" t="s">
        <v>8724</v>
      </c>
      <c r="B3684" t="s">
        <v>8725</v>
      </c>
      <c r="C3684" t="s">
        <v>3692</v>
      </c>
      <c r="D3684" t="s">
        <v>3693</v>
      </c>
      <c r="E3684">
        <v>6</v>
      </c>
      <c r="F3684" s="6">
        <v>750</v>
      </c>
      <c r="G3684" t="s">
        <v>3686</v>
      </c>
    </row>
    <row r="3685" spans="1:7">
      <c r="A3685" t="s">
        <v>978</v>
      </c>
      <c r="B3685" t="s">
        <v>8726</v>
      </c>
      <c r="C3685" t="s">
        <v>7301</v>
      </c>
      <c r="D3685" t="s">
        <v>7302</v>
      </c>
      <c r="E3685">
        <v>12</v>
      </c>
      <c r="F3685" s="6">
        <v>1000</v>
      </c>
      <c r="G3685" t="s">
        <v>3686</v>
      </c>
    </row>
    <row r="3686" spans="1:7">
      <c r="A3686" t="s">
        <v>8727</v>
      </c>
      <c r="B3686" t="s">
        <v>8728</v>
      </c>
      <c r="C3686" t="s">
        <v>3708</v>
      </c>
      <c r="D3686" t="s">
        <v>3709</v>
      </c>
      <c r="E3686">
        <v>4</v>
      </c>
      <c r="F3686" s="6">
        <v>50</v>
      </c>
      <c r="G3686" t="s">
        <v>4095</v>
      </c>
    </row>
    <row r="3687" spans="1:7">
      <c r="A3687" t="s">
        <v>2228</v>
      </c>
      <c r="B3687" t="s">
        <v>8729</v>
      </c>
      <c r="C3687" t="s">
        <v>3708</v>
      </c>
      <c r="D3687" t="s">
        <v>3709</v>
      </c>
      <c r="E3687">
        <v>6</v>
      </c>
      <c r="F3687" s="6">
        <v>750</v>
      </c>
      <c r="G3687" t="s">
        <v>4095</v>
      </c>
    </row>
    <row r="3688" spans="1:7">
      <c r="A3688" t="s">
        <v>8730</v>
      </c>
      <c r="B3688" t="s">
        <v>8731</v>
      </c>
      <c r="C3688" t="s">
        <v>3928</v>
      </c>
      <c r="D3688" t="s">
        <v>3929</v>
      </c>
      <c r="E3688">
        <v>6</v>
      </c>
      <c r="F3688" s="6">
        <v>750</v>
      </c>
      <c r="G3688" t="s">
        <v>6278</v>
      </c>
    </row>
    <row r="3689" spans="1:7">
      <c r="A3689" t="s">
        <v>1543</v>
      </c>
      <c r="B3689" t="s">
        <v>8732</v>
      </c>
      <c r="C3689" t="s">
        <v>3977</v>
      </c>
      <c r="D3689" t="s">
        <v>3978</v>
      </c>
      <c r="E3689">
        <v>6</v>
      </c>
      <c r="F3689" s="6">
        <v>750</v>
      </c>
      <c r="G3689" t="s">
        <v>4899</v>
      </c>
    </row>
    <row r="3690" spans="1:7">
      <c r="A3690" t="s">
        <v>8733</v>
      </c>
      <c r="B3690" t="s">
        <v>8406</v>
      </c>
      <c r="C3690" t="s">
        <v>3977</v>
      </c>
      <c r="D3690" t="s">
        <v>3978</v>
      </c>
      <c r="E3690">
        <v>6</v>
      </c>
      <c r="F3690" s="6">
        <v>50</v>
      </c>
      <c r="G3690" t="s">
        <v>4899</v>
      </c>
    </row>
    <row r="3691" spans="1:7">
      <c r="A3691" t="s">
        <v>874</v>
      </c>
      <c r="B3691" t="s">
        <v>8734</v>
      </c>
      <c r="C3691" t="s">
        <v>4455</v>
      </c>
      <c r="D3691" t="s">
        <v>4456</v>
      </c>
      <c r="E3691">
        <v>6</v>
      </c>
      <c r="F3691" s="6">
        <v>750</v>
      </c>
      <c r="G3691" t="s">
        <v>5139</v>
      </c>
    </row>
    <row r="3692" spans="1:7">
      <c r="A3692" t="s">
        <v>8735</v>
      </c>
      <c r="B3692" t="s">
        <v>8736</v>
      </c>
      <c r="C3692" t="s">
        <v>3808</v>
      </c>
      <c r="D3692" t="s">
        <v>3809</v>
      </c>
      <c r="E3692">
        <v>24</v>
      </c>
      <c r="F3692" s="6">
        <v>200</v>
      </c>
      <c r="G3692" t="s">
        <v>3681</v>
      </c>
    </row>
    <row r="3693" spans="1:7">
      <c r="A3693" t="s">
        <v>2656</v>
      </c>
      <c r="B3693" t="s">
        <v>8736</v>
      </c>
      <c r="C3693" t="s">
        <v>3808</v>
      </c>
      <c r="D3693" t="s">
        <v>3809</v>
      </c>
      <c r="E3693">
        <v>12</v>
      </c>
      <c r="F3693" s="6">
        <v>375</v>
      </c>
      <c r="G3693" t="s">
        <v>3681</v>
      </c>
    </row>
    <row r="3694" spans="1:7">
      <c r="A3694" t="s">
        <v>1572</v>
      </c>
      <c r="B3694" t="s">
        <v>8736</v>
      </c>
      <c r="C3694" t="s">
        <v>4071</v>
      </c>
      <c r="D3694" t="s">
        <v>4072</v>
      </c>
      <c r="E3694">
        <v>12</v>
      </c>
      <c r="F3694" s="6">
        <v>750</v>
      </c>
      <c r="G3694" t="s">
        <v>3681</v>
      </c>
    </row>
    <row r="3695" spans="1:7">
      <c r="A3695" t="s">
        <v>8737</v>
      </c>
      <c r="B3695" t="s">
        <v>8736</v>
      </c>
      <c r="C3695" t="s">
        <v>3808</v>
      </c>
      <c r="D3695" t="s">
        <v>3809</v>
      </c>
      <c r="E3695">
        <v>6</v>
      </c>
      <c r="F3695" s="6">
        <v>1750</v>
      </c>
      <c r="G3695" t="s">
        <v>3681</v>
      </c>
    </row>
    <row r="3696" spans="1:7">
      <c r="A3696" t="s">
        <v>8738</v>
      </c>
      <c r="B3696" t="s">
        <v>8739</v>
      </c>
      <c r="C3696" t="s">
        <v>3679</v>
      </c>
      <c r="D3696" t="s">
        <v>3680</v>
      </c>
      <c r="E3696">
        <v>6</v>
      </c>
      <c r="F3696" s="6">
        <v>750</v>
      </c>
      <c r="G3696" t="s">
        <v>3802</v>
      </c>
    </row>
    <row r="3697" spans="1:7">
      <c r="A3697" t="s">
        <v>8740</v>
      </c>
      <c r="B3697" t="s">
        <v>8741</v>
      </c>
      <c r="C3697" t="s">
        <v>3679</v>
      </c>
      <c r="D3697" t="s">
        <v>3680</v>
      </c>
      <c r="E3697">
        <v>6</v>
      </c>
      <c r="F3697" s="6">
        <v>750</v>
      </c>
      <c r="G3697" t="s">
        <v>3802</v>
      </c>
    </row>
    <row r="3698" spans="1:7">
      <c r="A3698" t="s">
        <v>400</v>
      </c>
      <c r="B3698" t="s">
        <v>8742</v>
      </c>
      <c r="C3698" t="s">
        <v>4012</v>
      </c>
      <c r="D3698" t="s">
        <v>4013</v>
      </c>
      <c r="E3698">
        <v>8</v>
      </c>
      <c r="F3698" s="6">
        <v>50</v>
      </c>
      <c r="G3698" t="s">
        <v>3931</v>
      </c>
    </row>
    <row r="3699" spans="1:7">
      <c r="A3699" t="s">
        <v>2492</v>
      </c>
      <c r="B3699" t="s">
        <v>8743</v>
      </c>
      <c r="C3699" t="s">
        <v>4012</v>
      </c>
      <c r="D3699" t="s">
        <v>4013</v>
      </c>
      <c r="E3699">
        <v>12</v>
      </c>
      <c r="F3699" s="6">
        <v>750</v>
      </c>
      <c r="G3699" t="s">
        <v>3931</v>
      </c>
    </row>
    <row r="3700" spans="1:7">
      <c r="A3700" t="s">
        <v>1447</v>
      </c>
      <c r="B3700" t="s">
        <v>8743</v>
      </c>
      <c r="C3700" t="s">
        <v>4012</v>
      </c>
      <c r="D3700" t="s">
        <v>4013</v>
      </c>
      <c r="E3700">
        <v>6</v>
      </c>
      <c r="F3700" s="6">
        <v>1750</v>
      </c>
      <c r="G3700" t="s">
        <v>3931</v>
      </c>
    </row>
    <row r="3701" spans="1:7">
      <c r="A3701" t="s">
        <v>921</v>
      </c>
      <c r="B3701" t="s">
        <v>8269</v>
      </c>
      <c r="C3701" t="s">
        <v>3679</v>
      </c>
      <c r="D3701" t="s">
        <v>3680</v>
      </c>
      <c r="E3701">
        <v>6</v>
      </c>
      <c r="F3701" s="6">
        <v>750</v>
      </c>
      <c r="G3701" t="s">
        <v>5139</v>
      </c>
    </row>
    <row r="3702" spans="1:7">
      <c r="A3702" t="s">
        <v>8744</v>
      </c>
      <c r="B3702" t="s">
        <v>8745</v>
      </c>
      <c r="C3702" t="s">
        <v>3679</v>
      </c>
      <c r="D3702" t="s">
        <v>3680</v>
      </c>
      <c r="E3702">
        <v>6</v>
      </c>
      <c r="F3702" s="6">
        <v>750</v>
      </c>
      <c r="G3702" t="s">
        <v>4285</v>
      </c>
    </row>
    <row r="3703" spans="1:7">
      <c r="A3703" t="s">
        <v>8746</v>
      </c>
      <c r="B3703" t="s">
        <v>8747</v>
      </c>
      <c r="C3703" t="s">
        <v>3708</v>
      </c>
      <c r="D3703" t="s">
        <v>3709</v>
      </c>
      <c r="E3703">
        <v>6</v>
      </c>
      <c r="F3703" s="6">
        <v>750</v>
      </c>
      <c r="G3703" t="s">
        <v>8748</v>
      </c>
    </row>
    <row r="3704" spans="1:7">
      <c r="A3704" t="s">
        <v>8749</v>
      </c>
      <c r="B3704" t="s">
        <v>8750</v>
      </c>
      <c r="C3704" t="s">
        <v>3708</v>
      </c>
      <c r="D3704" t="s">
        <v>3709</v>
      </c>
      <c r="E3704">
        <v>6</v>
      </c>
      <c r="F3704" s="6">
        <v>750</v>
      </c>
      <c r="G3704" t="s">
        <v>8748</v>
      </c>
    </row>
    <row r="3705" spans="1:7">
      <c r="A3705" t="s">
        <v>8751</v>
      </c>
      <c r="B3705" t="s">
        <v>8752</v>
      </c>
      <c r="C3705" t="s">
        <v>3708</v>
      </c>
      <c r="D3705" t="s">
        <v>3709</v>
      </c>
      <c r="E3705">
        <v>6</v>
      </c>
      <c r="F3705" s="6">
        <v>750</v>
      </c>
      <c r="G3705" t="s">
        <v>8748</v>
      </c>
    </row>
    <row r="3706" spans="1:7">
      <c r="A3706" t="s">
        <v>2685</v>
      </c>
      <c r="B3706" t="s">
        <v>8753</v>
      </c>
      <c r="C3706" t="s">
        <v>7301</v>
      </c>
      <c r="D3706" t="s">
        <v>7302</v>
      </c>
      <c r="E3706">
        <v>12</v>
      </c>
      <c r="F3706" s="6">
        <v>1000</v>
      </c>
      <c r="G3706" t="s">
        <v>3686</v>
      </c>
    </row>
    <row r="3707" spans="1:7">
      <c r="A3707" t="s">
        <v>8754</v>
      </c>
      <c r="B3707" t="s">
        <v>8755</v>
      </c>
      <c r="C3707" t="s">
        <v>3679</v>
      </c>
      <c r="D3707" t="s">
        <v>3680</v>
      </c>
      <c r="E3707">
        <v>6</v>
      </c>
      <c r="F3707" s="6">
        <v>750</v>
      </c>
      <c r="G3707" t="s">
        <v>3686</v>
      </c>
    </row>
    <row r="3708" spans="1:7">
      <c r="A3708" t="s">
        <v>8756</v>
      </c>
      <c r="B3708" t="s">
        <v>8757</v>
      </c>
      <c r="C3708" t="s">
        <v>3679</v>
      </c>
      <c r="D3708" t="s">
        <v>3680</v>
      </c>
      <c r="E3708">
        <v>6</v>
      </c>
      <c r="F3708" s="6">
        <v>750</v>
      </c>
      <c r="G3708" t="s">
        <v>3686</v>
      </c>
    </row>
    <row r="3709" spans="1:7">
      <c r="A3709" t="s">
        <v>8758</v>
      </c>
      <c r="B3709" t="s">
        <v>8759</v>
      </c>
      <c r="C3709" t="s">
        <v>3708</v>
      </c>
      <c r="D3709" t="s">
        <v>3709</v>
      </c>
      <c r="E3709">
        <v>6</v>
      </c>
      <c r="F3709" s="6">
        <v>750</v>
      </c>
      <c r="G3709" t="s">
        <v>7761</v>
      </c>
    </row>
    <row r="3710" spans="1:7">
      <c r="A3710" t="s">
        <v>8760</v>
      </c>
      <c r="B3710" t="s">
        <v>8761</v>
      </c>
      <c r="C3710" t="s">
        <v>3679</v>
      </c>
      <c r="D3710" t="s">
        <v>3680</v>
      </c>
      <c r="E3710">
        <v>6</v>
      </c>
      <c r="F3710" s="6">
        <v>750</v>
      </c>
      <c r="G3710" t="s">
        <v>3686</v>
      </c>
    </row>
    <row r="3711" spans="1:7">
      <c r="A3711" t="s">
        <v>8762</v>
      </c>
      <c r="B3711" t="s">
        <v>8763</v>
      </c>
      <c r="C3711" t="s">
        <v>3679</v>
      </c>
      <c r="D3711" t="s">
        <v>3680</v>
      </c>
      <c r="E3711">
        <v>6</v>
      </c>
      <c r="F3711" s="6">
        <v>750</v>
      </c>
      <c r="G3711" t="s">
        <v>4419</v>
      </c>
    </row>
    <row r="3712" spans="1:7">
      <c r="A3712" t="s">
        <v>8764</v>
      </c>
      <c r="B3712" t="s">
        <v>8765</v>
      </c>
      <c r="C3712" t="s">
        <v>3679</v>
      </c>
      <c r="D3712" t="s">
        <v>3680</v>
      </c>
      <c r="E3712">
        <v>12</v>
      </c>
      <c r="F3712" s="6">
        <v>50</v>
      </c>
      <c r="G3712" t="s">
        <v>3888</v>
      </c>
    </row>
    <row r="3713" spans="1:7">
      <c r="A3713" t="s">
        <v>680</v>
      </c>
      <c r="B3713" t="s">
        <v>8766</v>
      </c>
      <c r="C3713" t="s">
        <v>3928</v>
      </c>
      <c r="D3713" t="s">
        <v>3929</v>
      </c>
      <c r="E3713">
        <v>12</v>
      </c>
      <c r="F3713" s="6">
        <v>750</v>
      </c>
      <c r="G3713" t="s">
        <v>3888</v>
      </c>
    </row>
    <row r="3714" spans="1:7">
      <c r="A3714" t="s">
        <v>1490</v>
      </c>
      <c r="B3714" t="s">
        <v>8767</v>
      </c>
      <c r="C3714" t="s">
        <v>7301</v>
      </c>
      <c r="D3714" t="s">
        <v>7302</v>
      </c>
      <c r="E3714">
        <v>12</v>
      </c>
      <c r="F3714" s="6">
        <v>750</v>
      </c>
      <c r="G3714" t="s">
        <v>4163</v>
      </c>
    </row>
    <row r="3715" spans="1:7">
      <c r="A3715" t="s">
        <v>2567</v>
      </c>
      <c r="B3715" t="s">
        <v>8767</v>
      </c>
      <c r="C3715" t="s">
        <v>7301</v>
      </c>
      <c r="D3715" t="s">
        <v>7302</v>
      </c>
      <c r="E3715">
        <v>12</v>
      </c>
      <c r="F3715" s="6">
        <v>1000</v>
      </c>
      <c r="G3715" t="s">
        <v>4163</v>
      </c>
    </row>
    <row r="3716" spans="1:7">
      <c r="A3716" t="s">
        <v>8768</v>
      </c>
      <c r="B3716" t="s">
        <v>8769</v>
      </c>
      <c r="C3716" t="s">
        <v>3928</v>
      </c>
      <c r="D3716" t="s">
        <v>3929</v>
      </c>
      <c r="E3716">
        <v>6</v>
      </c>
      <c r="F3716" s="6">
        <v>750</v>
      </c>
      <c r="G3716" t="s">
        <v>4662</v>
      </c>
    </row>
    <row r="3717" spans="1:7">
      <c r="A3717" t="s">
        <v>8770</v>
      </c>
      <c r="B3717" t="s">
        <v>8771</v>
      </c>
      <c r="C3717" t="s">
        <v>4455</v>
      </c>
      <c r="D3717" t="s">
        <v>4456</v>
      </c>
      <c r="E3717">
        <v>4</v>
      </c>
      <c r="F3717" s="6">
        <v>50</v>
      </c>
      <c r="G3717" t="s">
        <v>5139</v>
      </c>
    </row>
    <row r="3718" spans="1:7">
      <c r="A3718" t="s">
        <v>283</v>
      </c>
      <c r="B3718" t="s">
        <v>8772</v>
      </c>
      <c r="C3718" t="s">
        <v>4455</v>
      </c>
      <c r="D3718" t="s">
        <v>4456</v>
      </c>
      <c r="E3718">
        <v>4</v>
      </c>
      <c r="F3718" s="6">
        <v>50</v>
      </c>
      <c r="G3718" t="s">
        <v>5139</v>
      </c>
    </row>
    <row r="3719" spans="1:7">
      <c r="A3719" t="s">
        <v>1319</v>
      </c>
      <c r="B3719" t="s">
        <v>8773</v>
      </c>
      <c r="C3719" t="s">
        <v>4455</v>
      </c>
      <c r="D3719" t="s">
        <v>4456</v>
      </c>
      <c r="E3719">
        <v>4</v>
      </c>
      <c r="F3719" s="6">
        <v>50</v>
      </c>
      <c r="G3719" t="s">
        <v>5139</v>
      </c>
    </row>
    <row r="3720" spans="1:7">
      <c r="A3720" t="s">
        <v>1600</v>
      </c>
      <c r="B3720" t="s">
        <v>8774</v>
      </c>
      <c r="C3720" t="s">
        <v>4455</v>
      </c>
      <c r="D3720" t="s">
        <v>4456</v>
      </c>
      <c r="E3720">
        <v>4</v>
      </c>
      <c r="F3720" s="6">
        <v>50</v>
      </c>
      <c r="G3720" t="s">
        <v>5139</v>
      </c>
    </row>
    <row r="3721" spans="1:7">
      <c r="A3721" t="s">
        <v>3441</v>
      </c>
      <c r="B3721" t="s">
        <v>8775</v>
      </c>
      <c r="C3721" t="s">
        <v>3808</v>
      </c>
      <c r="D3721" t="s">
        <v>3809</v>
      </c>
      <c r="E3721">
        <v>10</v>
      </c>
      <c r="F3721" s="6">
        <v>50</v>
      </c>
      <c r="G3721" t="s">
        <v>3686</v>
      </c>
    </row>
    <row r="3722" spans="1:7">
      <c r="A3722" t="s">
        <v>221</v>
      </c>
      <c r="B3722" t="s">
        <v>8776</v>
      </c>
      <c r="C3722" t="s">
        <v>3808</v>
      </c>
      <c r="D3722" t="s">
        <v>3809</v>
      </c>
      <c r="E3722">
        <v>12</v>
      </c>
      <c r="F3722" s="6">
        <v>750</v>
      </c>
      <c r="G3722" t="s">
        <v>3686</v>
      </c>
    </row>
    <row r="3723" spans="1:7">
      <c r="A3723" t="s">
        <v>8777</v>
      </c>
      <c r="B3723" t="s">
        <v>8778</v>
      </c>
      <c r="C3723" t="s">
        <v>3679</v>
      </c>
      <c r="D3723" t="s">
        <v>3680</v>
      </c>
      <c r="E3723">
        <v>6</v>
      </c>
      <c r="F3723" s="6">
        <v>750</v>
      </c>
      <c r="G3723" t="s">
        <v>4796</v>
      </c>
    </row>
    <row r="3724" spans="1:7">
      <c r="A3724" t="s">
        <v>8779</v>
      </c>
      <c r="B3724" t="s">
        <v>8780</v>
      </c>
      <c r="C3724" t="s">
        <v>3808</v>
      </c>
      <c r="D3724" t="s">
        <v>3809</v>
      </c>
      <c r="E3724">
        <v>6</v>
      </c>
      <c r="F3724" s="6">
        <v>750</v>
      </c>
      <c r="G3724" t="s">
        <v>3702</v>
      </c>
    </row>
    <row r="3725" spans="1:7">
      <c r="A3725" t="s">
        <v>2069</v>
      </c>
      <c r="B3725" t="s">
        <v>8781</v>
      </c>
      <c r="C3725" t="s">
        <v>3928</v>
      </c>
      <c r="D3725" t="s">
        <v>3929</v>
      </c>
      <c r="E3725">
        <v>6</v>
      </c>
      <c r="F3725" s="6">
        <v>750</v>
      </c>
      <c r="G3725" t="s">
        <v>3716</v>
      </c>
    </row>
    <row r="3726" spans="1:7">
      <c r="A3726" t="s">
        <v>8782</v>
      </c>
      <c r="B3726" t="s">
        <v>8783</v>
      </c>
      <c r="C3726" t="s">
        <v>3684</v>
      </c>
      <c r="D3726" t="s">
        <v>3685</v>
      </c>
      <c r="E3726">
        <v>3</v>
      </c>
      <c r="F3726" s="6">
        <v>750</v>
      </c>
      <c r="G3726" t="s">
        <v>3730</v>
      </c>
    </row>
    <row r="3727" spans="1:7">
      <c r="A3727" t="s">
        <v>8784</v>
      </c>
      <c r="B3727" t="s">
        <v>8785</v>
      </c>
      <c r="C3727" t="s">
        <v>3708</v>
      </c>
      <c r="D3727" t="s">
        <v>3709</v>
      </c>
      <c r="E3727">
        <v>6</v>
      </c>
      <c r="F3727" s="6">
        <v>750</v>
      </c>
      <c r="G3727" t="s">
        <v>7761</v>
      </c>
    </row>
    <row r="3728" spans="1:7">
      <c r="A3728" t="s">
        <v>889</v>
      </c>
      <c r="B3728" t="s">
        <v>8786</v>
      </c>
      <c r="C3728" t="s">
        <v>3708</v>
      </c>
      <c r="D3728" t="s">
        <v>3709</v>
      </c>
      <c r="E3728">
        <v>6</v>
      </c>
      <c r="F3728" s="6">
        <v>750</v>
      </c>
      <c r="G3728" t="s">
        <v>7761</v>
      </c>
    </row>
    <row r="3729" spans="1:7">
      <c r="A3729" t="s">
        <v>1822</v>
      </c>
      <c r="B3729" t="s">
        <v>8787</v>
      </c>
      <c r="C3729" t="s">
        <v>3708</v>
      </c>
      <c r="D3729" t="s">
        <v>3709</v>
      </c>
      <c r="E3729">
        <v>6</v>
      </c>
      <c r="F3729" s="6">
        <v>750</v>
      </c>
      <c r="G3729" t="s">
        <v>7761</v>
      </c>
    </row>
    <row r="3730" spans="1:7">
      <c r="A3730" t="s">
        <v>8788</v>
      </c>
      <c r="B3730" t="s">
        <v>8789</v>
      </c>
      <c r="C3730" t="s">
        <v>3708</v>
      </c>
      <c r="D3730" t="s">
        <v>3709</v>
      </c>
      <c r="E3730">
        <v>6</v>
      </c>
      <c r="F3730" s="6">
        <v>750</v>
      </c>
      <c r="G3730" t="s">
        <v>7761</v>
      </c>
    </row>
    <row r="3731" spans="1:7">
      <c r="A3731" t="s">
        <v>8790</v>
      </c>
      <c r="B3731" t="s">
        <v>8791</v>
      </c>
      <c r="C3731" t="s">
        <v>3708</v>
      </c>
      <c r="D3731" t="s">
        <v>3709</v>
      </c>
      <c r="E3731">
        <v>6</v>
      </c>
      <c r="F3731" s="6">
        <v>750</v>
      </c>
      <c r="G3731" t="s">
        <v>3802</v>
      </c>
    </row>
    <row r="3732" spans="1:7">
      <c r="A3732" t="s">
        <v>8792</v>
      </c>
      <c r="B3732" t="s">
        <v>8793</v>
      </c>
      <c r="C3732" t="s">
        <v>3708</v>
      </c>
      <c r="D3732" t="s">
        <v>3709</v>
      </c>
      <c r="E3732">
        <v>6</v>
      </c>
      <c r="F3732" s="6">
        <v>750</v>
      </c>
      <c r="G3732" t="s">
        <v>3802</v>
      </c>
    </row>
    <row r="3733" spans="1:7">
      <c r="A3733" t="s">
        <v>1379</v>
      </c>
      <c r="B3733" t="s">
        <v>8794</v>
      </c>
      <c r="C3733" t="s">
        <v>3679</v>
      </c>
      <c r="D3733" t="s">
        <v>3680</v>
      </c>
      <c r="E3733">
        <v>6</v>
      </c>
      <c r="F3733" s="6">
        <v>750</v>
      </c>
      <c r="G3733" t="s">
        <v>3686</v>
      </c>
    </row>
    <row r="3734" spans="1:7">
      <c r="A3734" t="s">
        <v>2319</v>
      </c>
      <c r="B3734" t="s">
        <v>8795</v>
      </c>
      <c r="C3734" t="s">
        <v>7301</v>
      </c>
      <c r="D3734" t="s">
        <v>7302</v>
      </c>
      <c r="E3734">
        <v>12</v>
      </c>
      <c r="F3734" s="6">
        <v>1000</v>
      </c>
      <c r="G3734" t="s">
        <v>3686</v>
      </c>
    </row>
    <row r="3735" spans="1:7">
      <c r="A3735" t="s">
        <v>2505</v>
      </c>
      <c r="B3735" t="s">
        <v>8796</v>
      </c>
      <c r="C3735" t="s">
        <v>4455</v>
      </c>
      <c r="D3735" t="s">
        <v>4456</v>
      </c>
      <c r="E3735">
        <v>12</v>
      </c>
      <c r="F3735" s="6">
        <v>50</v>
      </c>
      <c r="G3735" t="s">
        <v>3694</v>
      </c>
    </row>
    <row r="3736" spans="1:7">
      <c r="A3736" t="s">
        <v>42</v>
      </c>
      <c r="B3736" t="s">
        <v>8797</v>
      </c>
      <c r="C3736" t="s">
        <v>4455</v>
      </c>
      <c r="D3736" t="s">
        <v>4456</v>
      </c>
      <c r="E3736">
        <v>24</v>
      </c>
      <c r="F3736" s="6">
        <v>375</v>
      </c>
      <c r="G3736" t="s">
        <v>3694</v>
      </c>
    </row>
    <row r="3737" spans="1:7">
      <c r="A3737" t="s">
        <v>2243</v>
      </c>
      <c r="B3737" t="s">
        <v>8797</v>
      </c>
      <c r="C3737" t="s">
        <v>4455</v>
      </c>
      <c r="D3737" t="s">
        <v>4456</v>
      </c>
      <c r="E3737">
        <v>12</v>
      </c>
      <c r="F3737" s="6">
        <v>750</v>
      </c>
      <c r="G3737" t="s">
        <v>3694</v>
      </c>
    </row>
    <row r="3738" spans="1:7">
      <c r="A3738" t="s">
        <v>593</v>
      </c>
      <c r="B3738" t="s">
        <v>8797</v>
      </c>
      <c r="C3738" t="s">
        <v>4455</v>
      </c>
      <c r="D3738" t="s">
        <v>4456</v>
      </c>
      <c r="E3738">
        <v>12</v>
      </c>
      <c r="F3738" s="6">
        <v>1000</v>
      </c>
      <c r="G3738" t="s">
        <v>3694</v>
      </c>
    </row>
    <row r="3739" spans="1:7">
      <c r="A3739" t="s">
        <v>1413</v>
      </c>
      <c r="B3739" t="s">
        <v>8797</v>
      </c>
      <c r="C3739" t="s">
        <v>4455</v>
      </c>
      <c r="D3739" t="s">
        <v>4456</v>
      </c>
      <c r="E3739">
        <v>6</v>
      </c>
      <c r="F3739" s="6">
        <v>1750</v>
      </c>
      <c r="G3739" t="s">
        <v>3694</v>
      </c>
    </row>
    <row r="3740" spans="1:7">
      <c r="A3740" t="s">
        <v>2377</v>
      </c>
      <c r="B3740" t="s">
        <v>8798</v>
      </c>
      <c r="C3740" t="s">
        <v>4455</v>
      </c>
      <c r="D3740" t="s">
        <v>4456</v>
      </c>
      <c r="E3740">
        <v>12</v>
      </c>
      <c r="F3740" s="6">
        <v>50</v>
      </c>
      <c r="G3740" t="s">
        <v>3694</v>
      </c>
    </row>
    <row r="3741" spans="1:7">
      <c r="A3741" t="s">
        <v>642</v>
      </c>
      <c r="B3741" t="s">
        <v>8799</v>
      </c>
      <c r="C3741" t="s">
        <v>4455</v>
      </c>
      <c r="D3741" t="s">
        <v>4456</v>
      </c>
      <c r="E3741">
        <v>12</v>
      </c>
      <c r="F3741" s="6">
        <v>750</v>
      </c>
      <c r="G3741" t="s">
        <v>3694</v>
      </c>
    </row>
    <row r="3742" spans="1:7">
      <c r="A3742" t="s">
        <v>1348</v>
      </c>
      <c r="B3742" t="s">
        <v>8799</v>
      </c>
      <c r="C3742" t="s">
        <v>4455</v>
      </c>
      <c r="D3742" t="s">
        <v>4456</v>
      </c>
      <c r="E3742">
        <v>12</v>
      </c>
      <c r="F3742" s="6">
        <v>1000</v>
      </c>
      <c r="G3742" t="s">
        <v>3694</v>
      </c>
    </row>
    <row r="3743" spans="1:7">
      <c r="A3743" t="s">
        <v>2673</v>
      </c>
      <c r="B3743" t="s">
        <v>8799</v>
      </c>
      <c r="C3743" t="s">
        <v>4455</v>
      </c>
      <c r="D3743" t="s">
        <v>4456</v>
      </c>
      <c r="E3743">
        <v>6</v>
      </c>
      <c r="F3743" s="6">
        <v>1750</v>
      </c>
      <c r="G3743" t="s">
        <v>3694</v>
      </c>
    </row>
    <row r="3744" spans="1:7">
      <c r="A3744" t="s">
        <v>644</v>
      </c>
      <c r="B3744" t="s">
        <v>8799</v>
      </c>
      <c r="C3744" t="s">
        <v>4455</v>
      </c>
      <c r="D3744" t="s">
        <v>4456</v>
      </c>
      <c r="E3744">
        <v>24</v>
      </c>
      <c r="F3744" s="6">
        <v>375</v>
      </c>
      <c r="G3744" t="s">
        <v>3694</v>
      </c>
    </row>
    <row r="3745" spans="1:7">
      <c r="A3745" t="s">
        <v>8800</v>
      </c>
      <c r="B3745" t="s">
        <v>8801</v>
      </c>
      <c r="C3745" t="s">
        <v>3679</v>
      </c>
      <c r="D3745" t="s">
        <v>3680</v>
      </c>
      <c r="E3745">
        <v>6</v>
      </c>
      <c r="F3745" s="6">
        <v>750</v>
      </c>
      <c r="G3745" t="s">
        <v>5139</v>
      </c>
    </row>
    <row r="3746" spans="1:7">
      <c r="A3746" t="s">
        <v>1459</v>
      </c>
      <c r="B3746" t="s">
        <v>8802</v>
      </c>
      <c r="C3746" t="s">
        <v>7515</v>
      </c>
      <c r="D3746" t="s">
        <v>7516</v>
      </c>
      <c r="E3746">
        <v>8</v>
      </c>
      <c r="F3746" s="6">
        <v>50</v>
      </c>
      <c r="G3746" t="s">
        <v>5139</v>
      </c>
    </row>
    <row r="3747" spans="1:7">
      <c r="A3747" t="s">
        <v>8803</v>
      </c>
      <c r="B3747" t="s">
        <v>8804</v>
      </c>
      <c r="C3747" t="s">
        <v>7515</v>
      </c>
      <c r="D3747" t="s">
        <v>7516</v>
      </c>
      <c r="E3747">
        <v>6</v>
      </c>
      <c r="F3747" s="6">
        <v>750</v>
      </c>
      <c r="G3747" t="s">
        <v>5139</v>
      </c>
    </row>
    <row r="3748" spans="1:7">
      <c r="A3748" t="s">
        <v>772</v>
      </c>
      <c r="B3748" t="s">
        <v>8805</v>
      </c>
      <c r="C3748" t="s">
        <v>7515</v>
      </c>
      <c r="D3748" t="s">
        <v>7516</v>
      </c>
      <c r="E3748">
        <v>6</v>
      </c>
      <c r="F3748" s="6">
        <v>750</v>
      </c>
      <c r="G3748" t="s">
        <v>5139</v>
      </c>
    </row>
    <row r="3749" spans="1:7">
      <c r="A3749" t="s">
        <v>8806</v>
      </c>
      <c r="B3749" t="s">
        <v>8807</v>
      </c>
      <c r="C3749" t="s">
        <v>7515</v>
      </c>
      <c r="D3749" t="s">
        <v>7516</v>
      </c>
      <c r="E3749">
        <v>6</v>
      </c>
      <c r="F3749" s="6">
        <v>750</v>
      </c>
      <c r="G3749" t="s">
        <v>5139</v>
      </c>
    </row>
    <row r="3750" spans="1:7">
      <c r="A3750" t="s">
        <v>2340</v>
      </c>
      <c r="B3750" t="s">
        <v>8808</v>
      </c>
      <c r="C3750" t="s">
        <v>6411</v>
      </c>
      <c r="D3750" t="s">
        <v>6412</v>
      </c>
      <c r="E3750">
        <v>6</v>
      </c>
      <c r="F3750" s="6">
        <v>750</v>
      </c>
      <c r="G3750" t="s">
        <v>5139</v>
      </c>
    </row>
    <row r="3751" spans="1:7">
      <c r="A3751" t="s">
        <v>1534</v>
      </c>
      <c r="B3751" t="s">
        <v>8809</v>
      </c>
      <c r="C3751" t="s">
        <v>7515</v>
      </c>
      <c r="D3751" t="s">
        <v>7516</v>
      </c>
      <c r="E3751">
        <v>6</v>
      </c>
      <c r="F3751" s="6">
        <v>750</v>
      </c>
      <c r="G3751" t="s">
        <v>5139</v>
      </c>
    </row>
    <row r="3752" spans="1:7">
      <c r="A3752" t="s">
        <v>834</v>
      </c>
      <c r="B3752" t="s">
        <v>8810</v>
      </c>
      <c r="C3752" t="s">
        <v>7515</v>
      </c>
      <c r="D3752" t="s">
        <v>7516</v>
      </c>
      <c r="E3752">
        <v>6</v>
      </c>
      <c r="F3752" s="6">
        <v>750</v>
      </c>
      <c r="G3752" t="s">
        <v>5139</v>
      </c>
    </row>
    <row r="3753" spans="1:7">
      <c r="A3753" t="s">
        <v>8811</v>
      </c>
      <c r="B3753" t="s">
        <v>8812</v>
      </c>
      <c r="C3753" t="s">
        <v>3708</v>
      </c>
      <c r="D3753" t="s">
        <v>3709</v>
      </c>
      <c r="E3753">
        <v>12</v>
      </c>
      <c r="F3753" s="6">
        <v>750</v>
      </c>
      <c r="G3753" t="s">
        <v>3931</v>
      </c>
    </row>
    <row r="3754" spans="1:7">
      <c r="A3754" t="s">
        <v>2344</v>
      </c>
      <c r="B3754" t="s">
        <v>8813</v>
      </c>
      <c r="C3754" t="s">
        <v>3708</v>
      </c>
      <c r="D3754" t="s">
        <v>3709</v>
      </c>
      <c r="E3754">
        <v>12</v>
      </c>
      <c r="F3754" s="6">
        <v>750</v>
      </c>
      <c r="G3754" t="s">
        <v>4796</v>
      </c>
    </row>
    <row r="3755" spans="1:7">
      <c r="A3755" t="s">
        <v>1266</v>
      </c>
      <c r="B3755" t="s">
        <v>8814</v>
      </c>
      <c r="C3755" t="s">
        <v>7515</v>
      </c>
      <c r="D3755" t="s">
        <v>7516</v>
      </c>
      <c r="E3755">
        <v>8</v>
      </c>
      <c r="F3755" s="6">
        <v>50</v>
      </c>
      <c r="G3755" t="s">
        <v>5139</v>
      </c>
    </row>
    <row r="3756" spans="1:7">
      <c r="A3756" t="s">
        <v>8815</v>
      </c>
      <c r="B3756" t="s">
        <v>8816</v>
      </c>
      <c r="C3756" t="s">
        <v>3679</v>
      </c>
      <c r="D3756" t="s">
        <v>3680</v>
      </c>
      <c r="E3756">
        <v>6</v>
      </c>
      <c r="F3756" s="6">
        <v>750</v>
      </c>
      <c r="G3756" t="s">
        <v>5139</v>
      </c>
    </row>
    <row r="3757" spans="1:7">
      <c r="A3757" t="s">
        <v>203</v>
      </c>
      <c r="B3757" t="s">
        <v>8817</v>
      </c>
      <c r="C3757" t="s">
        <v>7515</v>
      </c>
      <c r="D3757" t="s">
        <v>7516</v>
      </c>
      <c r="E3757">
        <v>6</v>
      </c>
      <c r="F3757" s="6">
        <v>750</v>
      </c>
      <c r="G3757" t="s">
        <v>5139</v>
      </c>
    </row>
    <row r="3758" spans="1:7">
      <c r="A3758" t="s">
        <v>1982</v>
      </c>
      <c r="B3758" t="s">
        <v>8818</v>
      </c>
      <c r="C3758" t="s">
        <v>4455</v>
      </c>
      <c r="D3758" t="s">
        <v>4456</v>
      </c>
      <c r="E3758">
        <v>6</v>
      </c>
      <c r="F3758" s="6">
        <v>750</v>
      </c>
      <c r="G3758" t="s">
        <v>5139</v>
      </c>
    </row>
    <row r="3759" spans="1:7">
      <c r="A3759" t="s">
        <v>901</v>
      </c>
      <c r="B3759" t="s">
        <v>8096</v>
      </c>
      <c r="C3759" t="s">
        <v>7515</v>
      </c>
      <c r="D3759" t="s">
        <v>7516</v>
      </c>
      <c r="E3759">
        <v>6</v>
      </c>
      <c r="F3759" s="6">
        <v>750</v>
      </c>
      <c r="G3759" t="s">
        <v>5139</v>
      </c>
    </row>
    <row r="3760" spans="1:7">
      <c r="A3760" t="s">
        <v>8819</v>
      </c>
      <c r="B3760" t="s">
        <v>8820</v>
      </c>
      <c r="C3760" t="s">
        <v>7515</v>
      </c>
      <c r="D3760" t="s">
        <v>7516</v>
      </c>
      <c r="E3760">
        <v>8</v>
      </c>
      <c r="F3760" s="6">
        <v>50</v>
      </c>
      <c r="G3760" t="s">
        <v>5139</v>
      </c>
    </row>
    <row r="3761" spans="1:7">
      <c r="A3761" t="s">
        <v>8821</v>
      </c>
      <c r="B3761" t="s">
        <v>8822</v>
      </c>
      <c r="C3761" t="s">
        <v>3928</v>
      </c>
      <c r="D3761" t="s">
        <v>3929</v>
      </c>
      <c r="E3761">
        <v>12</v>
      </c>
      <c r="F3761" s="6">
        <v>750</v>
      </c>
      <c r="G3761" t="s">
        <v>3686</v>
      </c>
    </row>
    <row r="3762" spans="1:7">
      <c r="A3762" t="s">
        <v>1987</v>
      </c>
      <c r="B3762" t="s">
        <v>8823</v>
      </c>
      <c r="C3762" t="s">
        <v>3708</v>
      </c>
      <c r="D3762" t="s">
        <v>3709</v>
      </c>
      <c r="E3762">
        <v>10</v>
      </c>
      <c r="F3762" s="6">
        <v>50</v>
      </c>
      <c r="G3762" t="s">
        <v>3686</v>
      </c>
    </row>
    <row r="3763" spans="1:7">
      <c r="A3763" t="s">
        <v>1187</v>
      </c>
      <c r="B3763" t="s">
        <v>8824</v>
      </c>
      <c r="C3763" t="s">
        <v>3708</v>
      </c>
      <c r="D3763" t="s">
        <v>3709</v>
      </c>
      <c r="E3763">
        <v>48</v>
      </c>
      <c r="F3763" s="6">
        <v>200</v>
      </c>
      <c r="G3763" t="s">
        <v>3686</v>
      </c>
    </row>
    <row r="3764" spans="1:7">
      <c r="A3764" t="s">
        <v>153</v>
      </c>
      <c r="B3764" t="s">
        <v>8824</v>
      </c>
      <c r="C3764" t="s">
        <v>3708</v>
      </c>
      <c r="D3764" t="s">
        <v>3709</v>
      </c>
      <c r="E3764">
        <v>24</v>
      </c>
      <c r="F3764" s="6">
        <v>375</v>
      </c>
      <c r="G3764" t="s">
        <v>3686</v>
      </c>
    </row>
    <row r="3765" spans="1:7">
      <c r="A3765" t="s">
        <v>1485</v>
      </c>
      <c r="B3765" t="s">
        <v>8825</v>
      </c>
      <c r="C3765" t="s">
        <v>3708</v>
      </c>
      <c r="D3765" t="s">
        <v>3709</v>
      </c>
      <c r="E3765">
        <v>12</v>
      </c>
      <c r="F3765" s="6">
        <v>750</v>
      </c>
      <c r="G3765" t="s">
        <v>3686</v>
      </c>
    </row>
    <row r="3766" spans="1:7">
      <c r="A3766" t="s">
        <v>990</v>
      </c>
      <c r="B3766" t="s">
        <v>8824</v>
      </c>
      <c r="C3766" t="s">
        <v>3708</v>
      </c>
      <c r="D3766" t="s">
        <v>3709</v>
      </c>
      <c r="E3766">
        <v>12</v>
      </c>
      <c r="F3766" s="6">
        <v>750</v>
      </c>
      <c r="G3766" t="s">
        <v>3686</v>
      </c>
    </row>
    <row r="3767" spans="1:7">
      <c r="A3767" t="s">
        <v>3009</v>
      </c>
      <c r="B3767" t="s">
        <v>8824</v>
      </c>
      <c r="C3767" t="s">
        <v>3708</v>
      </c>
      <c r="D3767" t="s">
        <v>3709</v>
      </c>
      <c r="E3767">
        <v>12</v>
      </c>
      <c r="F3767" s="6">
        <v>1000</v>
      </c>
      <c r="G3767" t="s">
        <v>3686</v>
      </c>
    </row>
    <row r="3768" spans="1:7">
      <c r="A3768" t="s">
        <v>1250</v>
      </c>
      <c r="B3768" t="s">
        <v>8825</v>
      </c>
      <c r="C3768" t="s">
        <v>3708</v>
      </c>
      <c r="D3768" t="s">
        <v>3709</v>
      </c>
      <c r="E3768">
        <v>6</v>
      </c>
      <c r="F3768" s="6">
        <v>1750</v>
      </c>
      <c r="G3768" t="s">
        <v>3686</v>
      </c>
    </row>
    <row r="3769" spans="1:7">
      <c r="A3769" t="s">
        <v>8826</v>
      </c>
      <c r="B3769" t="s">
        <v>8827</v>
      </c>
      <c r="C3769" t="s">
        <v>3708</v>
      </c>
      <c r="D3769" t="s">
        <v>3709</v>
      </c>
      <c r="E3769">
        <v>10</v>
      </c>
      <c r="F3769" s="6">
        <v>50</v>
      </c>
      <c r="G3769" t="s">
        <v>3686</v>
      </c>
    </row>
    <row r="3770" spans="1:7">
      <c r="A3770" t="s">
        <v>8828</v>
      </c>
      <c r="B3770" t="s">
        <v>8829</v>
      </c>
      <c r="C3770" t="s">
        <v>3928</v>
      </c>
      <c r="D3770" t="s">
        <v>3929</v>
      </c>
      <c r="E3770">
        <v>6</v>
      </c>
      <c r="F3770" s="6">
        <v>750</v>
      </c>
      <c r="G3770" t="s">
        <v>6746</v>
      </c>
    </row>
    <row r="3771" spans="1:7">
      <c r="A3771" t="s">
        <v>408</v>
      </c>
      <c r="B3771" t="s">
        <v>8830</v>
      </c>
      <c r="C3771" t="s">
        <v>3708</v>
      </c>
      <c r="D3771" t="s">
        <v>3709</v>
      </c>
      <c r="E3771">
        <v>12</v>
      </c>
      <c r="F3771" s="6">
        <v>750</v>
      </c>
      <c r="G3771" t="s">
        <v>3686</v>
      </c>
    </row>
    <row r="3772" spans="1:7">
      <c r="A3772" t="s">
        <v>8831</v>
      </c>
      <c r="B3772" t="s">
        <v>8832</v>
      </c>
      <c r="C3772" t="s">
        <v>3679</v>
      </c>
      <c r="D3772" t="s">
        <v>3680</v>
      </c>
      <c r="E3772">
        <v>6</v>
      </c>
      <c r="F3772" s="6">
        <v>750</v>
      </c>
      <c r="G3772" t="s">
        <v>5139</v>
      </c>
    </row>
    <row r="3773" spans="1:7">
      <c r="A3773" t="s">
        <v>1527</v>
      </c>
      <c r="B3773" t="s">
        <v>8833</v>
      </c>
      <c r="C3773" t="s">
        <v>6411</v>
      </c>
      <c r="D3773" t="s">
        <v>6412</v>
      </c>
      <c r="E3773">
        <v>8</v>
      </c>
      <c r="F3773" s="6">
        <v>50</v>
      </c>
      <c r="G3773" t="s">
        <v>5139</v>
      </c>
    </row>
    <row r="3774" spans="1:7">
      <c r="A3774" t="s">
        <v>8834</v>
      </c>
      <c r="B3774" t="s">
        <v>8835</v>
      </c>
      <c r="C3774" t="s">
        <v>3679</v>
      </c>
      <c r="D3774" t="s">
        <v>3680</v>
      </c>
      <c r="E3774">
        <v>6</v>
      </c>
      <c r="F3774" s="6">
        <v>750</v>
      </c>
      <c r="G3774" t="s">
        <v>5139</v>
      </c>
    </row>
    <row r="3775" spans="1:7">
      <c r="A3775" t="s">
        <v>3167</v>
      </c>
      <c r="B3775" t="s">
        <v>8836</v>
      </c>
      <c r="C3775" t="s">
        <v>3679</v>
      </c>
      <c r="D3775" t="s">
        <v>3680</v>
      </c>
      <c r="E3775">
        <v>8</v>
      </c>
      <c r="F3775" s="6">
        <v>50</v>
      </c>
      <c r="G3775" t="s">
        <v>5139</v>
      </c>
    </row>
    <row r="3776" spans="1:7">
      <c r="A3776" t="s">
        <v>1697</v>
      </c>
      <c r="B3776" t="s">
        <v>8837</v>
      </c>
      <c r="C3776" t="s">
        <v>4455</v>
      </c>
      <c r="D3776" t="s">
        <v>4456</v>
      </c>
      <c r="E3776">
        <v>6</v>
      </c>
      <c r="F3776" s="6">
        <v>750</v>
      </c>
      <c r="G3776" t="s">
        <v>5139</v>
      </c>
    </row>
    <row r="3777" spans="1:7">
      <c r="A3777" t="s">
        <v>312</v>
      </c>
      <c r="B3777" t="s">
        <v>8838</v>
      </c>
      <c r="C3777" t="s">
        <v>4455</v>
      </c>
      <c r="D3777" t="s">
        <v>4456</v>
      </c>
      <c r="E3777">
        <v>6</v>
      </c>
      <c r="F3777" s="6">
        <v>750</v>
      </c>
      <c r="G3777" t="s">
        <v>5139</v>
      </c>
    </row>
    <row r="3778" spans="1:7">
      <c r="A3778" t="s">
        <v>8839</v>
      </c>
      <c r="B3778" t="s">
        <v>8840</v>
      </c>
      <c r="C3778" t="s">
        <v>3679</v>
      </c>
      <c r="D3778" t="s">
        <v>3680</v>
      </c>
      <c r="E3778">
        <v>6</v>
      </c>
      <c r="F3778" s="6">
        <v>750</v>
      </c>
      <c r="G3778" t="s">
        <v>4438</v>
      </c>
    </row>
    <row r="3779" spans="1:7">
      <c r="A3779" t="s">
        <v>8841</v>
      </c>
      <c r="B3779" t="s">
        <v>7427</v>
      </c>
      <c r="C3779" t="s">
        <v>3756</v>
      </c>
      <c r="D3779" t="s">
        <v>3757</v>
      </c>
      <c r="E3779">
        <v>6</v>
      </c>
      <c r="F3779" s="6">
        <v>50</v>
      </c>
      <c r="G3779" t="s">
        <v>4331</v>
      </c>
    </row>
    <row r="3780" spans="1:7">
      <c r="A3780" t="s">
        <v>2991</v>
      </c>
      <c r="B3780" t="s">
        <v>8842</v>
      </c>
      <c r="C3780" t="s">
        <v>4455</v>
      </c>
      <c r="D3780" t="s">
        <v>4456</v>
      </c>
      <c r="E3780">
        <v>6</v>
      </c>
      <c r="F3780" s="6">
        <v>750</v>
      </c>
      <c r="G3780" t="s">
        <v>5139</v>
      </c>
    </row>
    <row r="3781" spans="1:7">
      <c r="A3781" t="s">
        <v>8843</v>
      </c>
      <c r="B3781" t="s">
        <v>8844</v>
      </c>
      <c r="C3781" t="s">
        <v>3808</v>
      </c>
      <c r="D3781" t="s">
        <v>3809</v>
      </c>
      <c r="E3781">
        <v>6</v>
      </c>
      <c r="F3781" s="6">
        <v>750</v>
      </c>
      <c r="G3781" t="s">
        <v>3702</v>
      </c>
    </row>
    <row r="3782" spans="1:7">
      <c r="A3782" t="s">
        <v>1089</v>
      </c>
      <c r="B3782" t="s">
        <v>8845</v>
      </c>
      <c r="C3782" t="s">
        <v>4455</v>
      </c>
      <c r="D3782" t="s">
        <v>4456</v>
      </c>
      <c r="E3782">
        <v>6</v>
      </c>
      <c r="F3782" s="6">
        <v>750</v>
      </c>
      <c r="G3782" t="s">
        <v>5139</v>
      </c>
    </row>
    <row r="3783" spans="1:7">
      <c r="A3783" t="s">
        <v>461</v>
      </c>
      <c r="B3783" t="s">
        <v>8846</v>
      </c>
      <c r="C3783" t="s">
        <v>3692</v>
      </c>
      <c r="D3783" t="s">
        <v>3693</v>
      </c>
      <c r="E3783">
        <v>6</v>
      </c>
      <c r="F3783" s="6">
        <v>750</v>
      </c>
      <c r="G3783" t="s">
        <v>4358</v>
      </c>
    </row>
    <row r="3784" spans="1:7">
      <c r="A3784" t="s">
        <v>2154</v>
      </c>
      <c r="B3784" t="s">
        <v>8847</v>
      </c>
      <c r="C3784" t="s">
        <v>3692</v>
      </c>
      <c r="D3784" t="s">
        <v>3693</v>
      </c>
      <c r="E3784">
        <v>6</v>
      </c>
      <c r="F3784" s="6">
        <v>750</v>
      </c>
      <c r="G3784" t="s">
        <v>4358</v>
      </c>
    </row>
    <row r="3785" spans="1:7">
      <c r="A3785" t="s">
        <v>3549</v>
      </c>
      <c r="B3785" t="s">
        <v>8848</v>
      </c>
      <c r="C3785" t="s">
        <v>3692</v>
      </c>
      <c r="D3785" t="s">
        <v>3693</v>
      </c>
      <c r="E3785">
        <v>6</v>
      </c>
      <c r="F3785" s="6">
        <v>750</v>
      </c>
      <c r="G3785" t="s">
        <v>4358</v>
      </c>
    </row>
    <row r="3786" spans="1:7">
      <c r="A3786" t="s">
        <v>8849</v>
      </c>
      <c r="B3786" t="s">
        <v>8850</v>
      </c>
      <c r="C3786" t="s">
        <v>3692</v>
      </c>
      <c r="D3786" t="s">
        <v>3693</v>
      </c>
      <c r="E3786">
        <v>6</v>
      </c>
      <c r="F3786" s="6">
        <v>750</v>
      </c>
      <c r="G3786" t="s">
        <v>4358</v>
      </c>
    </row>
    <row r="3787" spans="1:7">
      <c r="A3787" t="s">
        <v>1515</v>
      </c>
      <c r="B3787" t="s">
        <v>8851</v>
      </c>
      <c r="C3787" t="s">
        <v>3808</v>
      </c>
      <c r="D3787" t="s">
        <v>3809</v>
      </c>
      <c r="E3787">
        <v>12</v>
      </c>
      <c r="F3787" s="6">
        <v>50</v>
      </c>
      <c r="G3787" t="s">
        <v>3681</v>
      </c>
    </row>
    <row r="3788" spans="1:7">
      <c r="A3788" t="s">
        <v>8852</v>
      </c>
      <c r="B3788" t="s">
        <v>8853</v>
      </c>
      <c r="C3788" t="s">
        <v>4455</v>
      </c>
      <c r="D3788" t="s">
        <v>4456</v>
      </c>
      <c r="E3788">
        <v>6</v>
      </c>
      <c r="F3788" s="6">
        <v>750</v>
      </c>
      <c r="G3788" t="s">
        <v>5139</v>
      </c>
    </row>
    <row r="3789" spans="1:7">
      <c r="A3789" t="s">
        <v>699</v>
      </c>
      <c r="B3789" t="s">
        <v>8854</v>
      </c>
      <c r="C3789" t="s">
        <v>4455</v>
      </c>
      <c r="D3789" t="s">
        <v>4456</v>
      </c>
      <c r="E3789">
        <v>6</v>
      </c>
      <c r="F3789" s="6">
        <v>750</v>
      </c>
      <c r="G3789" t="s">
        <v>5139</v>
      </c>
    </row>
    <row r="3790" spans="1:7">
      <c r="A3790" t="s">
        <v>2089</v>
      </c>
      <c r="B3790" t="s">
        <v>8736</v>
      </c>
      <c r="C3790" t="s">
        <v>3808</v>
      </c>
      <c r="D3790" t="s">
        <v>3809</v>
      </c>
      <c r="E3790">
        <v>6</v>
      </c>
      <c r="F3790" s="6">
        <v>1000</v>
      </c>
      <c r="G3790" t="s">
        <v>3681</v>
      </c>
    </row>
    <row r="3791" spans="1:7">
      <c r="A3791" t="s">
        <v>1064</v>
      </c>
      <c r="B3791" t="s">
        <v>8855</v>
      </c>
      <c r="C3791" t="s">
        <v>3783</v>
      </c>
      <c r="D3791" t="s">
        <v>3784</v>
      </c>
      <c r="E3791">
        <v>1</v>
      </c>
      <c r="F3791" s="6">
        <v>50</v>
      </c>
      <c r="G3791" t="s">
        <v>3686</v>
      </c>
    </row>
    <row r="3792" spans="1:7">
      <c r="A3792" t="s">
        <v>8856</v>
      </c>
      <c r="B3792" t="s">
        <v>8857</v>
      </c>
      <c r="C3792" t="s">
        <v>3808</v>
      </c>
      <c r="D3792" t="s">
        <v>3809</v>
      </c>
      <c r="E3792">
        <v>6</v>
      </c>
      <c r="F3792" s="6">
        <v>750</v>
      </c>
      <c r="G3792" t="s">
        <v>3871</v>
      </c>
    </row>
    <row r="3793" spans="1:7">
      <c r="A3793" t="s">
        <v>1725</v>
      </c>
      <c r="B3793" t="s">
        <v>8858</v>
      </c>
      <c r="C3793" t="s">
        <v>4455</v>
      </c>
      <c r="D3793" t="s">
        <v>4456</v>
      </c>
      <c r="E3793">
        <v>4</v>
      </c>
      <c r="F3793" s="6">
        <v>50</v>
      </c>
      <c r="G3793" t="s">
        <v>5139</v>
      </c>
    </row>
    <row r="3794" spans="1:7">
      <c r="A3794" t="s">
        <v>8859</v>
      </c>
      <c r="B3794" t="s">
        <v>8860</v>
      </c>
      <c r="C3794" t="s">
        <v>3692</v>
      </c>
      <c r="D3794" t="s">
        <v>3693</v>
      </c>
      <c r="E3794">
        <v>12</v>
      </c>
      <c r="F3794" s="6">
        <v>750</v>
      </c>
      <c r="G3794" t="s">
        <v>3931</v>
      </c>
    </row>
    <row r="3795" spans="1:7">
      <c r="A3795" t="s">
        <v>260</v>
      </c>
      <c r="B3795" t="s">
        <v>8861</v>
      </c>
      <c r="C3795" t="s">
        <v>3756</v>
      </c>
      <c r="D3795" t="s">
        <v>3757</v>
      </c>
      <c r="E3795">
        <v>48</v>
      </c>
      <c r="F3795" s="6">
        <v>100</v>
      </c>
      <c r="G3795" t="s">
        <v>3686</v>
      </c>
    </row>
    <row r="3796" spans="1:7">
      <c r="A3796" t="s">
        <v>8862</v>
      </c>
      <c r="B3796" t="s">
        <v>8863</v>
      </c>
      <c r="C3796" t="s">
        <v>3692</v>
      </c>
      <c r="D3796" t="s">
        <v>3693</v>
      </c>
      <c r="E3796">
        <v>6</v>
      </c>
      <c r="F3796" s="6">
        <v>750</v>
      </c>
      <c r="G3796" t="s">
        <v>8864</v>
      </c>
    </row>
    <row r="3797" spans="1:7">
      <c r="A3797" t="s">
        <v>2454</v>
      </c>
      <c r="B3797" t="s">
        <v>8865</v>
      </c>
      <c r="C3797" t="s">
        <v>3692</v>
      </c>
      <c r="D3797" t="s">
        <v>3693</v>
      </c>
      <c r="E3797">
        <v>6</v>
      </c>
      <c r="F3797" s="6">
        <v>750</v>
      </c>
      <c r="G3797" t="s">
        <v>3730</v>
      </c>
    </row>
    <row r="3798" spans="1:7">
      <c r="A3798" t="s">
        <v>8866</v>
      </c>
      <c r="B3798" t="s">
        <v>8867</v>
      </c>
      <c r="C3798" t="s">
        <v>3808</v>
      </c>
      <c r="D3798" t="s">
        <v>3809</v>
      </c>
      <c r="E3798">
        <v>6</v>
      </c>
      <c r="F3798" s="6">
        <v>750</v>
      </c>
      <c r="G3798" t="s">
        <v>5198</v>
      </c>
    </row>
    <row r="3799" spans="1:7">
      <c r="A3799" t="s">
        <v>2115</v>
      </c>
      <c r="B3799" t="s">
        <v>8868</v>
      </c>
      <c r="C3799" t="s">
        <v>3692</v>
      </c>
      <c r="D3799" t="s">
        <v>3693</v>
      </c>
      <c r="E3799">
        <v>12</v>
      </c>
      <c r="F3799" s="6">
        <v>750</v>
      </c>
      <c r="G3799" t="s">
        <v>8869</v>
      </c>
    </row>
    <row r="3800" spans="1:7">
      <c r="A3800" t="s">
        <v>8870</v>
      </c>
      <c r="B3800" t="s">
        <v>8871</v>
      </c>
      <c r="C3800" t="s">
        <v>3692</v>
      </c>
      <c r="D3800" t="s">
        <v>3693</v>
      </c>
      <c r="E3800">
        <v>12</v>
      </c>
      <c r="F3800" s="6">
        <v>1000</v>
      </c>
      <c r="G3800" t="s">
        <v>8869</v>
      </c>
    </row>
    <row r="3801" spans="1:7">
      <c r="A3801" t="s">
        <v>83</v>
      </c>
      <c r="B3801" t="s">
        <v>8872</v>
      </c>
      <c r="C3801" t="s">
        <v>3692</v>
      </c>
      <c r="D3801" t="s">
        <v>3693</v>
      </c>
      <c r="E3801">
        <v>12</v>
      </c>
      <c r="F3801" s="6">
        <v>750</v>
      </c>
      <c r="G3801" t="s">
        <v>8869</v>
      </c>
    </row>
    <row r="3802" spans="1:7">
      <c r="A3802" t="s">
        <v>8873</v>
      </c>
      <c r="B3802" t="s">
        <v>8874</v>
      </c>
      <c r="C3802" t="s">
        <v>3692</v>
      </c>
      <c r="D3802" t="s">
        <v>3693</v>
      </c>
      <c r="E3802">
        <v>12</v>
      </c>
      <c r="F3802" s="6">
        <v>1000</v>
      </c>
      <c r="G3802" t="s">
        <v>8869</v>
      </c>
    </row>
    <row r="3803" spans="1:7">
      <c r="A3803" t="s">
        <v>8875</v>
      </c>
      <c r="B3803" t="s">
        <v>8876</v>
      </c>
      <c r="C3803" t="s">
        <v>3692</v>
      </c>
      <c r="D3803" t="s">
        <v>3693</v>
      </c>
      <c r="E3803">
        <v>6</v>
      </c>
      <c r="F3803" s="6">
        <v>750</v>
      </c>
      <c r="G3803" t="s">
        <v>4300</v>
      </c>
    </row>
    <row r="3804" spans="1:7">
      <c r="A3804" t="s">
        <v>8877</v>
      </c>
      <c r="B3804" t="s">
        <v>8878</v>
      </c>
      <c r="C3804" t="s">
        <v>3692</v>
      </c>
      <c r="D3804" t="s">
        <v>3693</v>
      </c>
      <c r="E3804">
        <v>6</v>
      </c>
      <c r="F3804" s="6">
        <v>750</v>
      </c>
      <c r="G3804" t="s">
        <v>3763</v>
      </c>
    </row>
    <row r="3805" spans="1:7">
      <c r="A3805" t="s">
        <v>8879</v>
      </c>
      <c r="B3805" t="s">
        <v>8880</v>
      </c>
      <c r="C3805" t="s">
        <v>3692</v>
      </c>
      <c r="D3805" t="s">
        <v>3693</v>
      </c>
      <c r="E3805">
        <v>6</v>
      </c>
      <c r="F3805" s="6">
        <v>750</v>
      </c>
      <c r="G3805" t="s">
        <v>7911</v>
      </c>
    </row>
    <row r="3806" spans="1:7">
      <c r="A3806" t="s">
        <v>8881</v>
      </c>
      <c r="B3806" t="s">
        <v>8882</v>
      </c>
      <c r="C3806" t="s">
        <v>3692</v>
      </c>
      <c r="D3806" t="s">
        <v>3693</v>
      </c>
      <c r="E3806">
        <v>6</v>
      </c>
      <c r="F3806" s="6">
        <v>750</v>
      </c>
      <c r="G3806" t="s">
        <v>3730</v>
      </c>
    </row>
    <row r="3807" spans="1:7">
      <c r="A3807" t="s">
        <v>8883</v>
      </c>
      <c r="B3807" t="s">
        <v>8884</v>
      </c>
      <c r="C3807" t="s">
        <v>3692</v>
      </c>
      <c r="D3807" t="s">
        <v>3693</v>
      </c>
      <c r="E3807">
        <v>6</v>
      </c>
      <c r="F3807" s="6">
        <v>750</v>
      </c>
      <c r="G3807" t="s">
        <v>3730</v>
      </c>
    </row>
    <row r="3808" spans="1:7">
      <c r="A3808" t="s">
        <v>8885</v>
      </c>
      <c r="B3808" t="s">
        <v>8886</v>
      </c>
      <c r="C3808" t="s">
        <v>3692</v>
      </c>
      <c r="D3808" t="s">
        <v>3693</v>
      </c>
      <c r="E3808">
        <v>6</v>
      </c>
      <c r="F3808" s="6">
        <v>750</v>
      </c>
      <c r="G3808" t="s">
        <v>3681</v>
      </c>
    </row>
    <row r="3809" spans="1:7">
      <c r="A3809" t="s">
        <v>131</v>
      </c>
      <c r="B3809" t="s">
        <v>8886</v>
      </c>
      <c r="C3809" t="s">
        <v>3692</v>
      </c>
      <c r="D3809" t="s">
        <v>3693</v>
      </c>
      <c r="E3809">
        <v>12</v>
      </c>
      <c r="F3809" s="6">
        <v>375</v>
      </c>
      <c r="G3809" t="s">
        <v>3681</v>
      </c>
    </row>
    <row r="3810" spans="1:7">
      <c r="A3810" t="s">
        <v>3215</v>
      </c>
      <c r="B3810" t="s">
        <v>8887</v>
      </c>
      <c r="C3810" t="s">
        <v>7442</v>
      </c>
      <c r="D3810" t="s">
        <v>7443</v>
      </c>
      <c r="E3810">
        <v>4</v>
      </c>
      <c r="F3810" s="6">
        <v>750</v>
      </c>
      <c r="G3810" t="s">
        <v>3681</v>
      </c>
    </row>
    <row r="3811" spans="1:7">
      <c r="A3811" t="s">
        <v>8888</v>
      </c>
      <c r="B3811" t="s">
        <v>8889</v>
      </c>
      <c r="C3811" t="s">
        <v>3679</v>
      </c>
      <c r="D3811" t="s">
        <v>3680</v>
      </c>
      <c r="E3811">
        <v>6</v>
      </c>
      <c r="F3811" s="6">
        <v>750</v>
      </c>
      <c r="G3811" t="s">
        <v>3702</v>
      </c>
    </row>
    <row r="3812" spans="1:7">
      <c r="A3812" t="s">
        <v>8890</v>
      </c>
      <c r="B3812" t="s">
        <v>8891</v>
      </c>
      <c r="C3812" t="s">
        <v>3692</v>
      </c>
      <c r="D3812" t="s">
        <v>3693</v>
      </c>
      <c r="E3812">
        <v>6</v>
      </c>
      <c r="F3812" s="6">
        <v>750</v>
      </c>
      <c r="G3812" t="s">
        <v>3702</v>
      </c>
    </row>
    <row r="3813" spans="1:7">
      <c r="A3813" t="s">
        <v>8892</v>
      </c>
      <c r="B3813" t="s">
        <v>8893</v>
      </c>
      <c r="C3813" t="s">
        <v>3692</v>
      </c>
      <c r="D3813" t="s">
        <v>3693</v>
      </c>
      <c r="E3813">
        <v>6</v>
      </c>
      <c r="F3813" s="6">
        <v>750</v>
      </c>
      <c r="G3813" t="s">
        <v>3702</v>
      </c>
    </row>
    <row r="3814" spans="1:7">
      <c r="A3814" t="s">
        <v>8894</v>
      </c>
      <c r="B3814" t="s">
        <v>8895</v>
      </c>
      <c r="C3814" t="s">
        <v>3692</v>
      </c>
      <c r="D3814" t="s">
        <v>3693</v>
      </c>
      <c r="E3814">
        <v>6</v>
      </c>
      <c r="F3814" s="6">
        <v>750</v>
      </c>
      <c r="G3814" t="s">
        <v>3702</v>
      </c>
    </row>
    <row r="3815" spans="1:7">
      <c r="A3815" t="s">
        <v>950</v>
      </c>
      <c r="B3815" t="s">
        <v>8896</v>
      </c>
      <c r="C3815" t="s">
        <v>3692</v>
      </c>
      <c r="D3815" t="s">
        <v>3693</v>
      </c>
      <c r="E3815">
        <v>6</v>
      </c>
      <c r="F3815" s="6">
        <v>750</v>
      </c>
      <c r="G3815" t="s">
        <v>3702</v>
      </c>
    </row>
    <row r="3816" spans="1:7">
      <c r="A3816" t="s">
        <v>8897</v>
      </c>
      <c r="B3816" t="s">
        <v>8898</v>
      </c>
      <c r="C3816" t="s">
        <v>3692</v>
      </c>
      <c r="D3816" t="s">
        <v>3693</v>
      </c>
      <c r="E3816">
        <v>6</v>
      </c>
      <c r="F3816" s="6">
        <v>750</v>
      </c>
      <c r="G3816" t="s">
        <v>8553</v>
      </c>
    </row>
    <row r="3817" spans="1:7">
      <c r="A3817" t="s">
        <v>3511</v>
      </c>
      <c r="B3817" t="s">
        <v>8899</v>
      </c>
      <c r="C3817" t="s">
        <v>3692</v>
      </c>
      <c r="D3817" t="s">
        <v>3693</v>
      </c>
      <c r="E3817">
        <v>6</v>
      </c>
      <c r="F3817" s="6">
        <v>750</v>
      </c>
      <c r="G3817" t="s">
        <v>3802</v>
      </c>
    </row>
    <row r="3818" spans="1:7">
      <c r="A3818" t="s">
        <v>2909</v>
      </c>
      <c r="B3818" t="s">
        <v>8900</v>
      </c>
      <c r="C3818" t="s">
        <v>3692</v>
      </c>
      <c r="D3818" t="s">
        <v>3693</v>
      </c>
      <c r="E3818">
        <v>6</v>
      </c>
      <c r="F3818" s="6">
        <v>750</v>
      </c>
      <c r="G3818" t="s">
        <v>3888</v>
      </c>
    </row>
    <row r="3819" spans="1:7">
      <c r="A3819" t="s">
        <v>8901</v>
      </c>
      <c r="B3819" t="s">
        <v>8902</v>
      </c>
      <c r="C3819" t="s">
        <v>3692</v>
      </c>
      <c r="D3819" t="s">
        <v>3693</v>
      </c>
      <c r="E3819">
        <v>6</v>
      </c>
      <c r="F3819" s="6">
        <v>750</v>
      </c>
      <c r="G3819" t="s">
        <v>3951</v>
      </c>
    </row>
    <row r="3820" spans="1:7">
      <c r="A3820" t="s">
        <v>8903</v>
      </c>
      <c r="B3820" t="s">
        <v>8904</v>
      </c>
      <c r="C3820" t="s">
        <v>3692</v>
      </c>
      <c r="D3820" t="s">
        <v>3693</v>
      </c>
      <c r="E3820">
        <v>6</v>
      </c>
      <c r="F3820" s="6">
        <v>750</v>
      </c>
      <c r="G3820" t="s">
        <v>3951</v>
      </c>
    </row>
    <row r="3821" spans="1:7">
      <c r="A3821" t="s">
        <v>8905</v>
      </c>
      <c r="B3821" t="s">
        <v>8906</v>
      </c>
      <c r="C3821" t="s">
        <v>3692</v>
      </c>
      <c r="D3821" t="s">
        <v>3693</v>
      </c>
      <c r="E3821">
        <v>6</v>
      </c>
      <c r="F3821" s="6">
        <v>750</v>
      </c>
      <c r="G3821" t="s">
        <v>4285</v>
      </c>
    </row>
    <row r="3822" spans="1:7">
      <c r="A3822" t="s">
        <v>8907</v>
      </c>
      <c r="B3822" t="s">
        <v>8908</v>
      </c>
      <c r="C3822" t="s">
        <v>3679</v>
      </c>
      <c r="D3822" t="s">
        <v>3680</v>
      </c>
      <c r="E3822">
        <v>6</v>
      </c>
      <c r="F3822" s="6">
        <v>750</v>
      </c>
      <c r="G3822" t="s">
        <v>3702</v>
      </c>
    </row>
    <row r="3823" spans="1:7">
      <c r="A3823" t="s">
        <v>425</v>
      </c>
      <c r="B3823" t="s">
        <v>8909</v>
      </c>
      <c r="C3823" t="s">
        <v>3692</v>
      </c>
      <c r="D3823" t="s">
        <v>3693</v>
      </c>
      <c r="E3823">
        <v>6</v>
      </c>
      <c r="F3823" s="6">
        <v>750</v>
      </c>
      <c r="G3823" t="s">
        <v>3730</v>
      </c>
    </row>
    <row r="3824" spans="1:7">
      <c r="A3824" t="s">
        <v>2274</v>
      </c>
      <c r="B3824" t="s">
        <v>8910</v>
      </c>
      <c r="C3824" t="s">
        <v>3692</v>
      </c>
      <c r="D3824" t="s">
        <v>3693</v>
      </c>
      <c r="E3824">
        <v>5</v>
      </c>
      <c r="F3824" s="6">
        <v>50</v>
      </c>
      <c r="G3824" t="s">
        <v>3730</v>
      </c>
    </row>
    <row r="3825" spans="1:7">
      <c r="A3825" t="s">
        <v>2828</v>
      </c>
      <c r="B3825" t="s">
        <v>8909</v>
      </c>
      <c r="C3825" t="s">
        <v>3692</v>
      </c>
      <c r="D3825" t="s">
        <v>3693</v>
      </c>
      <c r="E3825">
        <v>12</v>
      </c>
      <c r="F3825" s="6">
        <v>375</v>
      </c>
      <c r="G3825" t="s">
        <v>3730</v>
      </c>
    </row>
    <row r="3826" spans="1:7">
      <c r="A3826" t="s">
        <v>606</v>
      </c>
      <c r="B3826" t="s">
        <v>8909</v>
      </c>
      <c r="C3826" t="s">
        <v>3692</v>
      </c>
      <c r="D3826" t="s">
        <v>3693</v>
      </c>
      <c r="E3826">
        <v>6</v>
      </c>
      <c r="F3826" s="6">
        <v>1000</v>
      </c>
      <c r="G3826" t="s">
        <v>3730</v>
      </c>
    </row>
    <row r="3827" spans="1:7">
      <c r="A3827" t="s">
        <v>1361</v>
      </c>
      <c r="B3827" t="s">
        <v>8911</v>
      </c>
      <c r="C3827" t="s">
        <v>8664</v>
      </c>
      <c r="D3827" t="s">
        <v>8665</v>
      </c>
      <c r="E3827">
        <v>6</v>
      </c>
      <c r="F3827" s="6">
        <v>750</v>
      </c>
      <c r="G3827" t="s">
        <v>3730</v>
      </c>
    </row>
    <row r="3828" spans="1:7">
      <c r="A3828" t="s">
        <v>8912</v>
      </c>
      <c r="B3828" t="s">
        <v>8913</v>
      </c>
      <c r="C3828" t="s">
        <v>8664</v>
      </c>
      <c r="D3828" t="s">
        <v>8665</v>
      </c>
      <c r="E3828">
        <v>6</v>
      </c>
      <c r="F3828" s="6">
        <v>1000</v>
      </c>
      <c r="G3828" t="s">
        <v>3730</v>
      </c>
    </row>
    <row r="3829" spans="1:7">
      <c r="A3829" t="s">
        <v>8914</v>
      </c>
      <c r="B3829" t="s">
        <v>8909</v>
      </c>
      <c r="C3829" t="s">
        <v>3692</v>
      </c>
      <c r="D3829" t="s">
        <v>3693</v>
      </c>
      <c r="E3829">
        <v>3</v>
      </c>
      <c r="F3829" s="6">
        <v>1750</v>
      </c>
      <c r="G3829" t="s">
        <v>3730</v>
      </c>
    </row>
    <row r="3830" spans="1:7">
      <c r="A3830" t="s">
        <v>8915</v>
      </c>
      <c r="B3830" t="s">
        <v>8916</v>
      </c>
      <c r="C3830" t="s">
        <v>3692</v>
      </c>
      <c r="D3830" t="s">
        <v>3693</v>
      </c>
      <c r="E3830">
        <v>6</v>
      </c>
      <c r="F3830" s="6">
        <v>750</v>
      </c>
      <c r="G3830" t="s">
        <v>4163</v>
      </c>
    </row>
    <row r="3831" spans="1:7">
      <c r="A3831" t="s">
        <v>822</v>
      </c>
      <c r="B3831" t="s">
        <v>8917</v>
      </c>
      <c r="C3831" t="s">
        <v>3692</v>
      </c>
      <c r="D3831" t="s">
        <v>3693</v>
      </c>
      <c r="E3831">
        <v>12</v>
      </c>
      <c r="F3831" s="6">
        <v>750</v>
      </c>
      <c r="G3831" t="s">
        <v>3705</v>
      </c>
    </row>
    <row r="3832" spans="1:7">
      <c r="A3832" t="s">
        <v>8918</v>
      </c>
      <c r="B3832" t="s">
        <v>8919</v>
      </c>
      <c r="C3832" t="s">
        <v>3692</v>
      </c>
      <c r="D3832" t="s">
        <v>3693</v>
      </c>
      <c r="E3832">
        <v>6</v>
      </c>
      <c r="F3832" s="6">
        <v>750</v>
      </c>
      <c r="G3832" t="s">
        <v>3802</v>
      </c>
    </row>
    <row r="3833" spans="1:7">
      <c r="A3833" t="s">
        <v>2848</v>
      </c>
      <c r="B3833" t="s">
        <v>8920</v>
      </c>
      <c r="C3833" t="s">
        <v>3692</v>
      </c>
      <c r="D3833" t="s">
        <v>3693</v>
      </c>
      <c r="E3833">
        <v>6</v>
      </c>
      <c r="F3833" s="6">
        <v>750</v>
      </c>
      <c r="G3833" t="s">
        <v>3686</v>
      </c>
    </row>
    <row r="3834" spans="1:7">
      <c r="A3834" t="s">
        <v>3474</v>
      </c>
      <c r="B3834" t="s">
        <v>8921</v>
      </c>
      <c r="C3834" t="s">
        <v>3692</v>
      </c>
      <c r="D3834" t="s">
        <v>3693</v>
      </c>
      <c r="E3834">
        <v>6</v>
      </c>
      <c r="F3834" s="6">
        <v>750</v>
      </c>
      <c r="G3834" t="s">
        <v>3681</v>
      </c>
    </row>
    <row r="3835" spans="1:7">
      <c r="A3835" t="s">
        <v>8922</v>
      </c>
      <c r="B3835" t="s">
        <v>8923</v>
      </c>
      <c r="C3835" t="s">
        <v>3692</v>
      </c>
      <c r="D3835" t="s">
        <v>3693</v>
      </c>
      <c r="E3835">
        <v>6</v>
      </c>
      <c r="F3835" s="6">
        <v>750</v>
      </c>
      <c r="G3835" t="s">
        <v>3681</v>
      </c>
    </row>
    <row r="3836" spans="1:7">
      <c r="A3836" t="s">
        <v>8924</v>
      </c>
      <c r="B3836" t="s">
        <v>8925</v>
      </c>
      <c r="C3836" t="s">
        <v>3692</v>
      </c>
      <c r="D3836" t="s">
        <v>3693</v>
      </c>
      <c r="E3836">
        <v>6</v>
      </c>
      <c r="F3836" s="6">
        <v>750</v>
      </c>
      <c r="G3836" t="s">
        <v>3702</v>
      </c>
    </row>
    <row r="3837" spans="1:7">
      <c r="A3837" t="s">
        <v>1287</v>
      </c>
      <c r="B3837" t="s">
        <v>8926</v>
      </c>
      <c r="C3837" t="s">
        <v>3692</v>
      </c>
      <c r="D3837" t="s">
        <v>3693</v>
      </c>
      <c r="E3837">
        <v>6</v>
      </c>
      <c r="F3837" s="6">
        <v>750</v>
      </c>
      <c r="G3837" t="s">
        <v>3686</v>
      </c>
    </row>
    <row r="3838" spans="1:7">
      <c r="A3838" t="s">
        <v>44</v>
      </c>
      <c r="B3838" t="s">
        <v>8927</v>
      </c>
      <c r="C3838" t="s">
        <v>3692</v>
      </c>
      <c r="D3838" t="s">
        <v>3693</v>
      </c>
      <c r="E3838">
        <v>6</v>
      </c>
      <c r="F3838" s="6">
        <v>750</v>
      </c>
      <c r="G3838" t="s">
        <v>3735</v>
      </c>
    </row>
    <row r="3839" spans="1:7">
      <c r="A3839" t="s">
        <v>8928</v>
      </c>
      <c r="B3839" t="s">
        <v>8929</v>
      </c>
      <c r="C3839" t="s">
        <v>7442</v>
      </c>
      <c r="D3839" t="s">
        <v>7443</v>
      </c>
      <c r="E3839">
        <v>12</v>
      </c>
      <c r="F3839" s="6">
        <v>1000</v>
      </c>
      <c r="G3839" t="s">
        <v>3802</v>
      </c>
    </row>
    <row r="3840" spans="1:7">
      <c r="A3840" t="s">
        <v>8930</v>
      </c>
      <c r="B3840" t="s">
        <v>8700</v>
      </c>
      <c r="C3840" t="s">
        <v>3692</v>
      </c>
      <c r="D3840" t="s">
        <v>3693</v>
      </c>
      <c r="E3840">
        <v>12</v>
      </c>
      <c r="F3840" s="6">
        <v>50</v>
      </c>
      <c r="G3840" t="s">
        <v>3689</v>
      </c>
    </row>
    <row r="3841" spans="1:7">
      <c r="A3841" t="s">
        <v>632</v>
      </c>
      <c r="B3841" t="s">
        <v>8931</v>
      </c>
      <c r="C3841" t="s">
        <v>3692</v>
      </c>
      <c r="D3841" t="s">
        <v>3693</v>
      </c>
      <c r="E3841">
        <v>48</v>
      </c>
      <c r="F3841" s="6">
        <v>200</v>
      </c>
      <c r="G3841" t="s">
        <v>3689</v>
      </c>
    </row>
    <row r="3842" spans="1:7">
      <c r="A3842" t="s">
        <v>2150</v>
      </c>
      <c r="B3842" t="s">
        <v>8931</v>
      </c>
      <c r="C3842" t="s">
        <v>7442</v>
      </c>
      <c r="D3842" t="s">
        <v>7443</v>
      </c>
      <c r="E3842">
        <v>24</v>
      </c>
      <c r="F3842" s="6">
        <v>375</v>
      </c>
      <c r="G3842" t="s">
        <v>3689</v>
      </c>
    </row>
    <row r="3843" spans="1:7">
      <c r="A3843" t="s">
        <v>8932</v>
      </c>
      <c r="B3843" t="s">
        <v>8933</v>
      </c>
      <c r="C3843" t="s">
        <v>3692</v>
      </c>
      <c r="D3843" t="s">
        <v>3693</v>
      </c>
      <c r="E3843">
        <v>6</v>
      </c>
      <c r="F3843" s="6">
        <v>750</v>
      </c>
      <c r="G3843" t="s">
        <v>3689</v>
      </c>
    </row>
    <row r="3844" spans="1:7">
      <c r="A3844" t="s">
        <v>2720</v>
      </c>
      <c r="B3844" t="s">
        <v>8931</v>
      </c>
      <c r="C3844" t="s">
        <v>7442</v>
      </c>
      <c r="D3844" t="s">
        <v>7443</v>
      </c>
      <c r="E3844">
        <v>12</v>
      </c>
      <c r="F3844" s="6">
        <v>750</v>
      </c>
      <c r="G3844" t="s">
        <v>3689</v>
      </c>
    </row>
    <row r="3845" spans="1:7">
      <c r="A3845" t="s">
        <v>132</v>
      </c>
      <c r="B3845" t="s">
        <v>8931</v>
      </c>
      <c r="C3845" t="s">
        <v>7442</v>
      </c>
      <c r="D3845" t="s">
        <v>7443</v>
      </c>
      <c r="E3845">
        <v>12</v>
      </c>
      <c r="F3845" s="6">
        <v>1000</v>
      </c>
      <c r="G3845" t="s">
        <v>3689</v>
      </c>
    </row>
    <row r="3846" spans="1:7">
      <c r="A3846" t="s">
        <v>8934</v>
      </c>
      <c r="B3846" t="s">
        <v>8931</v>
      </c>
      <c r="C3846" t="s">
        <v>7442</v>
      </c>
      <c r="D3846" t="s">
        <v>7443</v>
      </c>
      <c r="E3846">
        <v>6</v>
      </c>
      <c r="F3846" s="6">
        <v>1750</v>
      </c>
      <c r="G3846" t="s">
        <v>3689</v>
      </c>
    </row>
    <row r="3847" spans="1:7">
      <c r="A3847" t="s">
        <v>2960</v>
      </c>
      <c r="B3847" t="s">
        <v>8935</v>
      </c>
      <c r="C3847" t="s">
        <v>8664</v>
      </c>
      <c r="D3847" t="s">
        <v>8665</v>
      </c>
      <c r="E3847">
        <v>6</v>
      </c>
      <c r="F3847" s="6">
        <v>750</v>
      </c>
      <c r="G3847" t="s">
        <v>3702</v>
      </c>
    </row>
    <row r="3848" spans="1:7">
      <c r="A3848" t="s">
        <v>763</v>
      </c>
      <c r="B3848" t="s">
        <v>8936</v>
      </c>
      <c r="C3848" t="s">
        <v>3692</v>
      </c>
      <c r="D3848" t="s">
        <v>3693</v>
      </c>
      <c r="E3848">
        <v>6</v>
      </c>
      <c r="F3848" s="6">
        <v>50</v>
      </c>
      <c r="G3848" t="s">
        <v>3730</v>
      </c>
    </row>
    <row r="3849" spans="1:7">
      <c r="A3849" t="s">
        <v>1942</v>
      </c>
      <c r="B3849" t="s">
        <v>8937</v>
      </c>
      <c r="C3849" t="s">
        <v>3692</v>
      </c>
      <c r="D3849" t="s">
        <v>3693</v>
      </c>
      <c r="E3849">
        <v>3</v>
      </c>
      <c r="F3849" s="6">
        <v>1750</v>
      </c>
      <c r="G3849" t="s">
        <v>3730</v>
      </c>
    </row>
    <row r="3850" spans="1:7">
      <c r="A3850" t="s">
        <v>1214</v>
      </c>
      <c r="B3850" t="s">
        <v>8937</v>
      </c>
      <c r="C3850" t="s">
        <v>3692</v>
      </c>
      <c r="D3850" t="s">
        <v>3693</v>
      </c>
      <c r="E3850">
        <v>12</v>
      </c>
      <c r="F3850" s="6">
        <v>375</v>
      </c>
      <c r="G3850" t="s">
        <v>3730</v>
      </c>
    </row>
    <row r="3851" spans="1:7">
      <c r="A3851" t="s">
        <v>867</v>
      </c>
      <c r="B3851" t="s">
        <v>8937</v>
      </c>
      <c r="C3851" t="s">
        <v>3692</v>
      </c>
      <c r="D3851" t="s">
        <v>3693</v>
      </c>
      <c r="E3851">
        <v>6</v>
      </c>
      <c r="F3851" s="6">
        <v>750</v>
      </c>
      <c r="G3851" t="s">
        <v>3730</v>
      </c>
    </row>
    <row r="3852" spans="1:7">
      <c r="A3852" t="s">
        <v>8938</v>
      </c>
      <c r="B3852" t="s">
        <v>8939</v>
      </c>
      <c r="C3852" t="s">
        <v>3692</v>
      </c>
      <c r="D3852" t="s">
        <v>3693</v>
      </c>
      <c r="E3852">
        <v>12</v>
      </c>
      <c r="F3852" s="6">
        <v>750</v>
      </c>
      <c r="G3852" t="s">
        <v>4509</v>
      </c>
    </row>
    <row r="3853" spans="1:7">
      <c r="A3853" t="s">
        <v>8940</v>
      </c>
      <c r="B3853" t="s">
        <v>8941</v>
      </c>
      <c r="C3853" t="s">
        <v>3692</v>
      </c>
      <c r="D3853" t="s">
        <v>3693</v>
      </c>
      <c r="E3853">
        <v>24</v>
      </c>
      <c r="F3853" s="6">
        <v>200</v>
      </c>
      <c r="G3853" t="s">
        <v>3689</v>
      </c>
    </row>
    <row r="3854" spans="1:7">
      <c r="A3854" t="s">
        <v>1385</v>
      </c>
      <c r="B3854" t="s">
        <v>8942</v>
      </c>
      <c r="C3854" t="s">
        <v>3692</v>
      </c>
      <c r="D3854" t="s">
        <v>3693</v>
      </c>
      <c r="E3854">
        <v>6</v>
      </c>
      <c r="F3854" s="6">
        <v>50</v>
      </c>
      <c r="G3854" t="s">
        <v>3689</v>
      </c>
    </row>
    <row r="3855" spans="1:7">
      <c r="A3855" t="s">
        <v>764</v>
      </c>
      <c r="B3855" t="s">
        <v>8943</v>
      </c>
      <c r="C3855" t="s">
        <v>3692</v>
      </c>
      <c r="D3855" t="s">
        <v>3693</v>
      </c>
      <c r="E3855">
        <v>12</v>
      </c>
      <c r="F3855" s="6">
        <v>375</v>
      </c>
      <c r="G3855" t="s">
        <v>3689</v>
      </c>
    </row>
    <row r="3856" spans="1:7">
      <c r="A3856" t="s">
        <v>1972</v>
      </c>
      <c r="B3856" t="s">
        <v>8943</v>
      </c>
      <c r="C3856" t="s">
        <v>3692</v>
      </c>
      <c r="D3856" t="s">
        <v>3693</v>
      </c>
      <c r="E3856">
        <v>12</v>
      </c>
      <c r="F3856" s="6">
        <v>750</v>
      </c>
      <c r="G3856" t="s">
        <v>3689</v>
      </c>
    </row>
    <row r="3857" spans="1:7">
      <c r="A3857" t="s">
        <v>1209</v>
      </c>
      <c r="B3857" t="s">
        <v>8943</v>
      </c>
      <c r="C3857" t="s">
        <v>3692</v>
      </c>
      <c r="D3857" t="s">
        <v>3693</v>
      </c>
      <c r="E3857">
        <v>6</v>
      </c>
      <c r="F3857" s="6">
        <v>1000</v>
      </c>
      <c r="G3857" t="s">
        <v>3689</v>
      </c>
    </row>
    <row r="3858" spans="1:7">
      <c r="A3858" t="s">
        <v>362</v>
      </c>
      <c r="B3858" t="s">
        <v>8943</v>
      </c>
      <c r="C3858" t="s">
        <v>3692</v>
      </c>
      <c r="D3858" t="s">
        <v>3693</v>
      </c>
      <c r="E3858">
        <v>6</v>
      </c>
      <c r="F3858" s="6">
        <v>1750</v>
      </c>
      <c r="G3858" t="s">
        <v>3689</v>
      </c>
    </row>
    <row r="3859" spans="1:7">
      <c r="A3859" t="s">
        <v>8944</v>
      </c>
      <c r="B3859" t="s">
        <v>8945</v>
      </c>
      <c r="C3859" t="s">
        <v>3692</v>
      </c>
      <c r="D3859" t="s">
        <v>3693</v>
      </c>
      <c r="E3859">
        <v>12</v>
      </c>
      <c r="F3859" s="6">
        <v>750</v>
      </c>
      <c r="G3859" t="s">
        <v>3730</v>
      </c>
    </row>
    <row r="3860" spans="1:7">
      <c r="A3860" t="s">
        <v>2639</v>
      </c>
      <c r="B3860" t="s">
        <v>8946</v>
      </c>
      <c r="C3860" t="s">
        <v>3692</v>
      </c>
      <c r="D3860" t="s">
        <v>3693</v>
      </c>
      <c r="E3860">
        <v>6</v>
      </c>
      <c r="F3860" s="6">
        <v>750</v>
      </c>
      <c r="G3860" t="s">
        <v>4163</v>
      </c>
    </row>
    <row r="3861" spans="1:7">
      <c r="A3861" t="s">
        <v>823</v>
      </c>
      <c r="B3861" t="s">
        <v>8947</v>
      </c>
      <c r="C3861" t="s">
        <v>3692</v>
      </c>
      <c r="D3861" t="s">
        <v>3693</v>
      </c>
      <c r="E3861">
        <v>12</v>
      </c>
      <c r="F3861" s="6">
        <v>750</v>
      </c>
      <c r="G3861" t="s">
        <v>3694</v>
      </c>
    </row>
    <row r="3862" spans="1:7">
      <c r="A3862" t="s">
        <v>1226</v>
      </c>
      <c r="B3862" t="s">
        <v>8948</v>
      </c>
      <c r="C3862" t="s">
        <v>3692</v>
      </c>
      <c r="D3862" t="s">
        <v>3693</v>
      </c>
      <c r="E3862">
        <v>6</v>
      </c>
      <c r="F3862" s="6">
        <v>750</v>
      </c>
      <c r="G3862" t="s">
        <v>4163</v>
      </c>
    </row>
    <row r="3863" spans="1:7">
      <c r="A3863" t="s">
        <v>8949</v>
      </c>
      <c r="B3863" t="s">
        <v>8950</v>
      </c>
      <c r="C3863" t="s">
        <v>3692</v>
      </c>
      <c r="D3863" t="s">
        <v>3693</v>
      </c>
      <c r="E3863">
        <v>12</v>
      </c>
      <c r="F3863" s="6">
        <v>375</v>
      </c>
      <c r="G3863" t="s">
        <v>3888</v>
      </c>
    </row>
    <row r="3864" spans="1:7">
      <c r="A3864" t="s">
        <v>2621</v>
      </c>
      <c r="B3864" t="s">
        <v>8950</v>
      </c>
      <c r="C3864" t="s">
        <v>3692</v>
      </c>
      <c r="D3864" t="s">
        <v>3693</v>
      </c>
      <c r="E3864">
        <v>12</v>
      </c>
      <c r="F3864" s="6">
        <v>750</v>
      </c>
      <c r="G3864" t="s">
        <v>3888</v>
      </c>
    </row>
    <row r="3865" spans="1:7">
      <c r="A3865" t="s">
        <v>253</v>
      </c>
      <c r="B3865" t="s">
        <v>8951</v>
      </c>
      <c r="C3865" t="s">
        <v>3692</v>
      </c>
      <c r="D3865" t="s">
        <v>3693</v>
      </c>
      <c r="E3865">
        <v>6</v>
      </c>
      <c r="F3865" s="6">
        <v>1000</v>
      </c>
      <c r="G3865" t="s">
        <v>4392</v>
      </c>
    </row>
    <row r="3866" spans="1:7">
      <c r="A3866" t="s">
        <v>1528</v>
      </c>
      <c r="B3866" t="s">
        <v>8952</v>
      </c>
      <c r="C3866" t="s">
        <v>3692</v>
      </c>
      <c r="D3866" t="s">
        <v>3693</v>
      </c>
      <c r="E3866">
        <v>12</v>
      </c>
      <c r="F3866" s="6">
        <v>750</v>
      </c>
      <c r="G3866" t="s">
        <v>3763</v>
      </c>
    </row>
    <row r="3867" spans="1:7">
      <c r="A3867" t="s">
        <v>8953</v>
      </c>
      <c r="B3867" t="s">
        <v>8952</v>
      </c>
      <c r="C3867" t="s">
        <v>3692</v>
      </c>
      <c r="D3867" t="s">
        <v>3693</v>
      </c>
      <c r="E3867">
        <v>6</v>
      </c>
      <c r="F3867" s="6">
        <v>1750</v>
      </c>
      <c r="G3867" t="s">
        <v>3763</v>
      </c>
    </row>
    <row r="3868" spans="1:7">
      <c r="A3868" t="s">
        <v>2288</v>
      </c>
      <c r="B3868" t="s">
        <v>8954</v>
      </c>
      <c r="C3868" t="s">
        <v>3692</v>
      </c>
      <c r="D3868" t="s">
        <v>3693</v>
      </c>
      <c r="E3868">
        <v>12</v>
      </c>
      <c r="F3868" s="6">
        <v>750</v>
      </c>
      <c r="G3868" t="s">
        <v>4163</v>
      </c>
    </row>
    <row r="3869" spans="1:7">
      <c r="A3869" t="s">
        <v>426</v>
      </c>
      <c r="B3869" t="s">
        <v>8954</v>
      </c>
      <c r="C3869" t="s">
        <v>3692</v>
      </c>
      <c r="D3869" t="s">
        <v>3693</v>
      </c>
      <c r="E3869">
        <v>12</v>
      </c>
      <c r="F3869" s="6">
        <v>1000</v>
      </c>
      <c r="G3869" t="s">
        <v>4163</v>
      </c>
    </row>
    <row r="3870" spans="1:7">
      <c r="A3870" t="s">
        <v>8955</v>
      </c>
      <c r="B3870" t="s">
        <v>8956</v>
      </c>
      <c r="C3870" t="s">
        <v>3692</v>
      </c>
      <c r="D3870" t="s">
        <v>3693</v>
      </c>
      <c r="E3870">
        <v>6</v>
      </c>
      <c r="F3870" s="6">
        <v>750</v>
      </c>
      <c r="G3870" t="s">
        <v>3763</v>
      </c>
    </row>
    <row r="3871" spans="1:7">
      <c r="A3871" t="s">
        <v>8957</v>
      </c>
      <c r="B3871" t="s">
        <v>8958</v>
      </c>
      <c r="C3871" t="s">
        <v>8664</v>
      </c>
      <c r="D3871" t="s">
        <v>8665</v>
      </c>
      <c r="E3871">
        <v>6</v>
      </c>
      <c r="F3871" s="6">
        <v>750</v>
      </c>
      <c r="G3871" t="s">
        <v>3802</v>
      </c>
    </row>
    <row r="3872" spans="1:7">
      <c r="A3872" t="s">
        <v>8959</v>
      </c>
      <c r="B3872" t="s">
        <v>8960</v>
      </c>
      <c r="C3872" t="s">
        <v>8664</v>
      </c>
      <c r="D3872" t="s">
        <v>8665</v>
      </c>
      <c r="E3872">
        <v>3</v>
      </c>
      <c r="F3872" s="6">
        <v>750</v>
      </c>
      <c r="G3872" t="s">
        <v>3681</v>
      </c>
    </row>
    <row r="3873" spans="1:7">
      <c r="A3873" t="s">
        <v>8961</v>
      </c>
      <c r="B3873" t="s">
        <v>8962</v>
      </c>
      <c r="C3873" t="s">
        <v>3692</v>
      </c>
      <c r="D3873" t="s">
        <v>3693</v>
      </c>
      <c r="E3873">
        <v>6</v>
      </c>
      <c r="F3873" s="6">
        <v>750</v>
      </c>
      <c r="G3873" t="s">
        <v>3686</v>
      </c>
    </row>
    <row r="3874" spans="1:7">
      <c r="A3874" t="s">
        <v>8963</v>
      </c>
      <c r="B3874" t="s">
        <v>8964</v>
      </c>
      <c r="C3874" t="s">
        <v>3679</v>
      </c>
      <c r="D3874" t="s">
        <v>3680</v>
      </c>
      <c r="E3874">
        <v>6</v>
      </c>
      <c r="F3874" s="6">
        <v>750</v>
      </c>
      <c r="G3874" t="s">
        <v>4117</v>
      </c>
    </row>
    <row r="3875" spans="1:7">
      <c r="A3875" t="s">
        <v>8965</v>
      </c>
      <c r="B3875" t="s">
        <v>8966</v>
      </c>
      <c r="C3875" t="s">
        <v>3692</v>
      </c>
      <c r="D3875" t="s">
        <v>3693</v>
      </c>
      <c r="E3875">
        <v>6</v>
      </c>
      <c r="F3875" s="6">
        <v>750</v>
      </c>
      <c r="G3875" t="s">
        <v>4117</v>
      </c>
    </row>
    <row r="3876" spans="1:7">
      <c r="A3876" t="s">
        <v>8967</v>
      </c>
      <c r="B3876" t="s">
        <v>8968</v>
      </c>
      <c r="C3876" t="s">
        <v>3679</v>
      </c>
      <c r="D3876" t="s">
        <v>3680</v>
      </c>
      <c r="E3876">
        <v>6</v>
      </c>
      <c r="F3876" s="6">
        <v>750</v>
      </c>
      <c r="G3876" t="s">
        <v>4117</v>
      </c>
    </row>
    <row r="3877" spans="1:7">
      <c r="A3877" t="s">
        <v>8969</v>
      </c>
      <c r="B3877" t="s">
        <v>8970</v>
      </c>
      <c r="C3877" t="s">
        <v>8664</v>
      </c>
      <c r="D3877" t="s">
        <v>8665</v>
      </c>
      <c r="E3877">
        <v>6</v>
      </c>
      <c r="F3877" s="6">
        <v>750</v>
      </c>
      <c r="G3877" t="s">
        <v>3689</v>
      </c>
    </row>
    <row r="3878" spans="1:7">
      <c r="A3878" t="s">
        <v>1448</v>
      </c>
      <c r="B3878" t="s">
        <v>8971</v>
      </c>
      <c r="C3878" t="s">
        <v>3692</v>
      </c>
      <c r="D3878" t="s">
        <v>3693</v>
      </c>
      <c r="E3878">
        <v>6</v>
      </c>
      <c r="F3878" s="6">
        <v>750</v>
      </c>
      <c r="G3878" t="s">
        <v>3702</v>
      </c>
    </row>
    <row r="3879" spans="1:7">
      <c r="A3879" t="s">
        <v>688</v>
      </c>
      <c r="B3879" t="s">
        <v>8972</v>
      </c>
      <c r="C3879" t="s">
        <v>3692</v>
      </c>
      <c r="D3879" t="s">
        <v>3693</v>
      </c>
      <c r="E3879">
        <v>6</v>
      </c>
      <c r="F3879" s="6">
        <v>750</v>
      </c>
      <c r="G3879" t="s">
        <v>3763</v>
      </c>
    </row>
    <row r="3880" spans="1:7">
      <c r="A3880" t="s">
        <v>8973</v>
      </c>
      <c r="B3880" t="s">
        <v>8974</v>
      </c>
      <c r="C3880" t="s">
        <v>3692</v>
      </c>
      <c r="D3880" t="s">
        <v>3693</v>
      </c>
      <c r="E3880">
        <v>6</v>
      </c>
      <c r="F3880" s="6">
        <v>750</v>
      </c>
      <c r="G3880" t="s">
        <v>3802</v>
      </c>
    </row>
    <row r="3881" spans="1:7">
      <c r="A3881" t="s">
        <v>8975</v>
      </c>
      <c r="B3881" t="s">
        <v>8976</v>
      </c>
      <c r="C3881" t="s">
        <v>3692</v>
      </c>
      <c r="D3881" t="s">
        <v>3693</v>
      </c>
      <c r="E3881">
        <v>6</v>
      </c>
      <c r="F3881" s="6">
        <v>750</v>
      </c>
      <c r="G3881" t="s">
        <v>3802</v>
      </c>
    </row>
    <row r="3882" spans="1:7">
      <c r="A3882" t="s">
        <v>8977</v>
      </c>
      <c r="B3882" t="s">
        <v>8978</v>
      </c>
      <c r="C3882" t="s">
        <v>8664</v>
      </c>
      <c r="D3882" t="s">
        <v>8665</v>
      </c>
      <c r="E3882">
        <v>6</v>
      </c>
      <c r="F3882" s="6">
        <v>750</v>
      </c>
      <c r="G3882" t="s">
        <v>3802</v>
      </c>
    </row>
    <row r="3883" spans="1:7">
      <c r="A3883" t="s">
        <v>8979</v>
      </c>
      <c r="B3883" t="s">
        <v>8980</v>
      </c>
      <c r="C3883" t="s">
        <v>3692</v>
      </c>
      <c r="D3883" t="s">
        <v>3693</v>
      </c>
      <c r="E3883">
        <v>3</v>
      </c>
      <c r="F3883" s="6">
        <v>750</v>
      </c>
      <c r="G3883" t="s">
        <v>3689</v>
      </c>
    </row>
    <row r="3884" spans="1:7">
      <c r="A3884" t="s">
        <v>1620</v>
      </c>
      <c r="B3884" t="s">
        <v>8981</v>
      </c>
      <c r="C3884" t="s">
        <v>3692</v>
      </c>
      <c r="D3884" t="s">
        <v>3693</v>
      </c>
      <c r="E3884">
        <v>6</v>
      </c>
      <c r="F3884" s="6">
        <v>750</v>
      </c>
      <c r="G3884" t="s">
        <v>3689</v>
      </c>
    </row>
    <row r="3885" spans="1:7">
      <c r="A3885" t="s">
        <v>8982</v>
      </c>
      <c r="B3885" t="s">
        <v>8983</v>
      </c>
      <c r="C3885" t="s">
        <v>3692</v>
      </c>
      <c r="D3885" t="s">
        <v>3693</v>
      </c>
      <c r="E3885">
        <v>6</v>
      </c>
      <c r="F3885" s="6">
        <v>1750</v>
      </c>
      <c r="G3885" t="s">
        <v>3992</v>
      </c>
    </row>
    <row r="3886" spans="1:7">
      <c r="A3886" t="s">
        <v>8984</v>
      </c>
      <c r="B3886" t="s">
        <v>8985</v>
      </c>
      <c r="C3886" t="s">
        <v>3692</v>
      </c>
      <c r="D3886" t="s">
        <v>3693</v>
      </c>
      <c r="E3886">
        <v>6</v>
      </c>
      <c r="F3886" s="6">
        <v>1750</v>
      </c>
      <c r="G3886" t="s">
        <v>3992</v>
      </c>
    </row>
    <row r="3887" spans="1:7">
      <c r="A3887" t="s">
        <v>8986</v>
      </c>
      <c r="B3887" t="s">
        <v>8987</v>
      </c>
      <c r="C3887" t="s">
        <v>3692</v>
      </c>
      <c r="D3887" t="s">
        <v>3693</v>
      </c>
      <c r="E3887">
        <v>6</v>
      </c>
      <c r="F3887" s="6">
        <v>50</v>
      </c>
      <c r="G3887" t="s">
        <v>4509</v>
      </c>
    </row>
    <row r="3888" spans="1:7">
      <c r="A3888" t="s">
        <v>8988</v>
      </c>
      <c r="B3888" t="s">
        <v>8989</v>
      </c>
      <c r="C3888" t="s">
        <v>3692</v>
      </c>
      <c r="D3888" t="s">
        <v>3693</v>
      </c>
      <c r="E3888">
        <v>6</v>
      </c>
      <c r="F3888" s="6">
        <v>50</v>
      </c>
      <c r="G3888" t="s">
        <v>4509</v>
      </c>
    </row>
    <row r="3889" spans="1:7">
      <c r="A3889" t="s">
        <v>510</v>
      </c>
      <c r="B3889" t="s">
        <v>8990</v>
      </c>
      <c r="C3889" t="s">
        <v>3692</v>
      </c>
      <c r="D3889" t="s">
        <v>3693</v>
      </c>
      <c r="E3889">
        <v>6</v>
      </c>
      <c r="F3889" s="6">
        <v>750</v>
      </c>
      <c r="G3889" t="s">
        <v>3702</v>
      </c>
    </row>
    <row r="3890" spans="1:7">
      <c r="A3890" t="s">
        <v>8991</v>
      </c>
      <c r="B3890" t="s">
        <v>8992</v>
      </c>
      <c r="C3890" t="s">
        <v>3679</v>
      </c>
      <c r="D3890" t="s">
        <v>3680</v>
      </c>
      <c r="E3890">
        <v>6</v>
      </c>
      <c r="F3890" s="6">
        <v>750</v>
      </c>
      <c r="G3890" t="s">
        <v>4117</v>
      </c>
    </row>
    <row r="3891" spans="1:7">
      <c r="A3891" t="s">
        <v>8993</v>
      </c>
      <c r="B3891" t="s">
        <v>8994</v>
      </c>
      <c r="C3891" t="s">
        <v>3679</v>
      </c>
      <c r="D3891" t="s">
        <v>3680</v>
      </c>
      <c r="E3891">
        <v>6</v>
      </c>
      <c r="F3891" s="6">
        <v>750</v>
      </c>
      <c r="G3891" t="s">
        <v>3716</v>
      </c>
    </row>
    <row r="3892" spans="1:7">
      <c r="A3892" t="s">
        <v>2690</v>
      </c>
      <c r="B3892" t="s">
        <v>8995</v>
      </c>
      <c r="C3892" t="s">
        <v>3692</v>
      </c>
      <c r="D3892" t="s">
        <v>3693</v>
      </c>
      <c r="E3892">
        <v>6</v>
      </c>
      <c r="F3892" s="6">
        <v>750</v>
      </c>
      <c r="G3892" t="s">
        <v>3689</v>
      </c>
    </row>
    <row r="3893" spans="1:7">
      <c r="A3893" t="s">
        <v>3512</v>
      </c>
      <c r="B3893" t="s">
        <v>8996</v>
      </c>
      <c r="C3893" t="s">
        <v>3692</v>
      </c>
      <c r="D3893" t="s">
        <v>3693</v>
      </c>
      <c r="E3893">
        <v>6</v>
      </c>
      <c r="F3893" s="6">
        <v>750</v>
      </c>
      <c r="G3893" t="s">
        <v>3694</v>
      </c>
    </row>
    <row r="3894" spans="1:7">
      <c r="A3894" t="s">
        <v>1256</v>
      </c>
      <c r="B3894" t="s">
        <v>8997</v>
      </c>
      <c r="C3894" t="s">
        <v>8664</v>
      </c>
      <c r="D3894" t="s">
        <v>8665</v>
      </c>
      <c r="E3894">
        <v>6</v>
      </c>
      <c r="F3894" s="6">
        <v>750</v>
      </c>
      <c r="G3894" t="s">
        <v>3802</v>
      </c>
    </row>
    <row r="3895" spans="1:7">
      <c r="A3895" t="s">
        <v>570</v>
      </c>
      <c r="B3895" t="s">
        <v>8998</v>
      </c>
      <c r="C3895" t="s">
        <v>7442</v>
      </c>
      <c r="D3895" t="s">
        <v>7443</v>
      </c>
      <c r="E3895">
        <v>6</v>
      </c>
      <c r="F3895" s="6">
        <v>750</v>
      </c>
      <c r="G3895" t="s">
        <v>3689</v>
      </c>
    </row>
    <row r="3896" spans="1:7">
      <c r="A3896" t="s">
        <v>8999</v>
      </c>
      <c r="B3896" t="s">
        <v>9000</v>
      </c>
      <c r="C3896" t="s">
        <v>3692</v>
      </c>
      <c r="D3896" t="s">
        <v>3693</v>
      </c>
      <c r="E3896">
        <v>6</v>
      </c>
      <c r="F3896" s="6">
        <v>750</v>
      </c>
      <c r="G3896" t="s">
        <v>3735</v>
      </c>
    </row>
    <row r="3897" spans="1:7">
      <c r="A3897" t="s">
        <v>9001</v>
      </c>
      <c r="B3897" t="s">
        <v>9002</v>
      </c>
      <c r="C3897" t="s">
        <v>3692</v>
      </c>
      <c r="D3897" t="s">
        <v>3693</v>
      </c>
      <c r="E3897">
        <v>6</v>
      </c>
      <c r="F3897" s="6">
        <v>750</v>
      </c>
      <c r="G3897" t="s">
        <v>3713</v>
      </c>
    </row>
    <row r="3898" spans="1:7">
      <c r="A3898" t="s">
        <v>9003</v>
      </c>
      <c r="B3898" t="s">
        <v>9004</v>
      </c>
      <c r="C3898" t="s">
        <v>3692</v>
      </c>
      <c r="D3898" t="s">
        <v>3693</v>
      </c>
      <c r="E3898">
        <v>6</v>
      </c>
      <c r="F3898" s="6">
        <v>750</v>
      </c>
      <c r="G3898" t="s">
        <v>8864</v>
      </c>
    </row>
    <row r="3899" spans="1:7">
      <c r="A3899" t="s">
        <v>9005</v>
      </c>
      <c r="B3899" t="s">
        <v>9006</v>
      </c>
      <c r="C3899" t="s">
        <v>3692</v>
      </c>
      <c r="D3899" t="s">
        <v>3693</v>
      </c>
      <c r="E3899">
        <v>6</v>
      </c>
      <c r="F3899" s="6">
        <v>750</v>
      </c>
      <c r="G3899" t="s">
        <v>8864</v>
      </c>
    </row>
    <row r="3900" spans="1:7">
      <c r="A3900" t="s">
        <v>9007</v>
      </c>
      <c r="B3900" t="s">
        <v>9008</v>
      </c>
      <c r="C3900" t="s">
        <v>3679</v>
      </c>
      <c r="D3900" t="s">
        <v>3680</v>
      </c>
      <c r="E3900">
        <v>3</v>
      </c>
      <c r="F3900" s="6">
        <v>750</v>
      </c>
      <c r="G3900" t="s">
        <v>3951</v>
      </c>
    </row>
    <row r="3901" spans="1:7">
      <c r="A3901" t="s">
        <v>1937</v>
      </c>
      <c r="B3901" t="s">
        <v>9009</v>
      </c>
      <c r="C3901" t="s">
        <v>7442</v>
      </c>
      <c r="D3901" t="s">
        <v>7443</v>
      </c>
      <c r="E3901">
        <v>12</v>
      </c>
      <c r="F3901" s="6">
        <v>750</v>
      </c>
      <c r="G3901" t="s">
        <v>4163</v>
      </c>
    </row>
    <row r="3902" spans="1:7">
      <c r="A3902" t="s">
        <v>951</v>
      </c>
      <c r="B3902" t="s">
        <v>9009</v>
      </c>
      <c r="C3902" t="s">
        <v>7442</v>
      </c>
      <c r="D3902" t="s">
        <v>7443</v>
      </c>
      <c r="E3902">
        <v>12</v>
      </c>
      <c r="F3902" s="6">
        <v>1000</v>
      </c>
      <c r="G3902" t="s">
        <v>4163</v>
      </c>
    </row>
    <row r="3903" spans="1:7">
      <c r="A3903" t="s">
        <v>1175</v>
      </c>
      <c r="B3903" t="s">
        <v>9009</v>
      </c>
      <c r="C3903" t="s">
        <v>7442</v>
      </c>
      <c r="D3903" t="s">
        <v>7443</v>
      </c>
      <c r="E3903">
        <v>6</v>
      </c>
      <c r="F3903" s="6">
        <v>1750</v>
      </c>
      <c r="G3903" t="s">
        <v>4163</v>
      </c>
    </row>
    <row r="3904" spans="1:7">
      <c r="A3904" t="s">
        <v>9010</v>
      </c>
      <c r="B3904" t="s">
        <v>9011</v>
      </c>
      <c r="C3904" t="s">
        <v>3692</v>
      </c>
      <c r="D3904" t="s">
        <v>3693</v>
      </c>
      <c r="E3904">
        <v>6</v>
      </c>
      <c r="F3904" s="6">
        <v>750</v>
      </c>
      <c r="G3904" t="s">
        <v>4331</v>
      </c>
    </row>
    <row r="3905" spans="1:7">
      <c r="A3905" t="s">
        <v>9012</v>
      </c>
      <c r="B3905" t="s">
        <v>9013</v>
      </c>
      <c r="C3905" t="s">
        <v>3692</v>
      </c>
      <c r="D3905" t="s">
        <v>3693</v>
      </c>
      <c r="E3905">
        <v>6</v>
      </c>
      <c r="F3905" s="6">
        <v>750</v>
      </c>
      <c r="G3905" t="s">
        <v>3763</v>
      </c>
    </row>
    <row r="3906" spans="1:7">
      <c r="A3906" t="s">
        <v>9014</v>
      </c>
      <c r="B3906" t="s">
        <v>9015</v>
      </c>
      <c r="C3906" t="s">
        <v>8664</v>
      </c>
      <c r="D3906" t="s">
        <v>8665</v>
      </c>
      <c r="E3906">
        <v>6</v>
      </c>
      <c r="F3906" s="6">
        <v>750</v>
      </c>
      <c r="G3906" t="s">
        <v>8869</v>
      </c>
    </row>
    <row r="3907" spans="1:7">
      <c r="A3907" t="s">
        <v>9016</v>
      </c>
      <c r="B3907" t="s">
        <v>9017</v>
      </c>
      <c r="C3907" t="s">
        <v>8664</v>
      </c>
      <c r="D3907" t="s">
        <v>8665</v>
      </c>
      <c r="E3907">
        <v>6</v>
      </c>
      <c r="F3907" s="6">
        <v>750</v>
      </c>
      <c r="G3907" t="s">
        <v>4781</v>
      </c>
    </row>
    <row r="3908" spans="1:7">
      <c r="A3908" t="s">
        <v>9018</v>
      </c>
      <c r="B3908" t="s">
        <v>9019</v>
      </c>
      <c r="C3908" t="s">
        <v>3679</v>
      </c>
      <c r="D3908" t="s">
        <v>3680</v>
      </c>
      <c r="E3908">
        <v>6</v>
      </c>
      <c r="F3908" s="6">
        <v>750</v>
      </c>
      <c r="G3908" t="s">
        <v>3730</v>
      </c>
    </row>
    <row r="3909" spans="1:7">
      <c r="A3909" t="s">
        <v>2237</v>
      </c>
      <c r="B3909" t="s">
        <v>9020</v>
      </c>
      <c r="C3909" t="s">
        <v>7442</v>
      </c>
      <c r="D3909" t="s">
        <v>7443</v>
      </c>
      <c r="E3909">
        <v>12</v>
      </c>
      <c r="F3909" s="6">
        <v>1000</v>
      </c>
      <c r="G3909" t="s">
        <v>4163</v>
      </c>
    </row>
    <row r="3910" spans="1:7">
      <c r="A3910" t="s">
        <v>9021</v>
      </c>
      <c r="B3910" t="s">
        <v>9022</v>
      </c>
      <c r="C3910" t="s">
        <v>3692</v>
      </c>
      <c r="D3910" t="s">
        <v>3693</v>
      </c>
      <c r="E3910">
        <v>6</v>
      </c>
      <c r="F3910" s="6">
        <v>1750</v>
      </c>
      <c r="G3910" t="s">
        <v>3931</v>
      </c>
    </row>
    <row r="3911" spans="1:7">
      <c r="A3911" t="s">
        <v>733</v>
      </c>
      <c r="B3911" t="s">
        <v>9022</v>
      </c>
      <c r="C3911" t="s">
        <v>3692</v>
      </c>
      <c r="D3911" t="s">
        <v>3693</v>
      </c>
      <c r="E3911">
        <v>12</v>
      </c>
      <c r="F3911" s="6">
        <v>750</v>
      </c>
      <c r="G3911" t="s">
        <v>3931</v>
      </c>
    </row>
    <row r="3912" spans="1:7">
      <c r="A3912" t="s">
        <v>9023</v>
      </c>
      <c r="B3912" t="s">
        <v>9024</v>
      </c>
      <c r="C3912" t="s">
        <v>3679</v>
      </c>
      <c r="D3912" t="s">
        <v>3680</v>
      </c>
      <c r="E3912">
        <v>12</v>
      </c>
      <c r="F3912" s="6">
        <v>375</v>
      </c>
      <c r="G3912" t="s">
        <v>3931</v>
      </c>
    </row>
    <row r="3913" spans="1:7">
      <c r="A3913" t="s">
        <v>9025</v>
      </c>
      <c r="B3913" t="s">
        <v>9026</v>
      </c>
      <c r="C3913" t="s">
        <v>3692</v>
      </c>
      <c r="D3913" t="s">
        <v>3693</v>
      </c>
      <c r="E3913">
        <v>10</v>
      </c>
      <c r="F3913" s="6">
        <v>50</v>
      </c>
      <c r="G3913" t="s">
        <v>3686</v>
      </c>
    </row>
    <row r="3914" spans="1:7">
      <c r="A3914" t="s">
        <v>2866</v>
      </c>
      <c r="B3914" t="s">
        <v>9027</v>
      </c>
      <c r="C3914" t="s">
        <v>3692</v>
      </c>
      <c r="D3914" t="s">
        <v>3693</v>
      </c>
      <c r="E3914">
        <v>12</v>
      </c>
      <c r="F3914" s="6">
        <v>750</v>
      </c>
      <c r="G3914" t="s">
        <v>3686</v>
      </c>
    </row>
    <row r="3915" spans="1:7">
      <c r="A3915" t="s">
        <v>9028</v>
      </c>
      <c r="B3915" t="s">
        <v>9027</v>
      </c>
      <c r="C3915" t="s">
        <v>3692</v>
      </c>
      <c r="D3915" t="s">
        <v>3693</v>
      </c>
      <c r="E3915">
        <v>6</v>
      </c>
      <c r="F3915" s="6">
        <v>1750</v>
      </c>
      <c r="G3915" t="s">
        <v>3686</v>
      </c>
    </row>
    <row r="3916" spans="1:7">
      <c r="A3916" t="s">
        <v>9029</v>
      </c>
      <c r="B3916" t="s">
        <v>9030</v>
      </c>
      <c r="C3916" t="s">
        <v>3692</v>
      </c>
      <c r="D3916" t="s">
        <v>3693</v>
      </c>
      <c r="E3916">
        <v>6</v>
      </c>
      <c r="F3916" s="6">
        <v>750</v>
      </c>
      <c r="G3916" t="s">
        <v>3689</v>
      </c>
    </row>
    <row r="3917" spans="1:7">
      <c r="A3917" t="s">
        <v>2117</v>
      </c>
      <c r="B3917" t="s">
        <v>9031</v>
      </c>
      <c r="C3917" t="s">
        <v>6442</v>
      </c>
      <c r="D3917" t="s">
        <v>6443</v>
      </c>
      <c r="E3917">
        <v>12</v>
      </c>
      <c r="F3917" s="6">
        <v>750</v>
      </c>
      <c r="G3917" t="s">
        <v>3951</v>
      </c>
    </row>
    <row r="3918" spans="1:7">
      <c r="A3918" t="s">
        <v>9032</v>
      </c>
      <c r="B3918" t="s">
        <v>9033</v>
      </c>
      <c r="C3918" t="s">
        <v>3692</v>
      </c>
      <c r="D3918" t="s">
        <v>3693</v>
      </c>
      <c r="E3918">
        <v>12</v>
      </c>
      <c r="F3918" s="6">
        <v>1000</v>
      </c>
      <c r="G3918" t="s">
        <v>3686</v>
      </c>
    </row>
    <row r="3919" spans="1:7">
      <c r="A3919" t="s">
        <v>133</v>
      </c>
      <c r="B3919" t="s">
        <v>9034</v>
      </c>
      <c r="C3919" t="s">
        <v>8664</v>
      </c>
      <c r="D3919" t="s">
        <v>8665</v>
      </c>
      <c r="E3919">
        <v>6</v>
      </c>
      <c r="F3919" s="6">
        <v>750</v>
      </c>
      <c r="G3919" t="s">
        <v>3888</v>
      </c>
    </row>
    <row r="3920" spans="1:7">
      <c r="A3920" t="s">
        <v>9035</v>
      </c>
      <c r="B3920" t="s">
        <v>9036</v>
      </c>
      <c r="C3920" t="s">
        <v>3692</v>
      </c>
      <c r="D3920" t="s">
        <v>3693</v>
      </c>
      <c r="E3920">
        <v>12</v>
      </c>
      <c r="F3920" s="6">
        <v>375</v>
      </c>
      <c r="G3920" t="s">
        <v>4419</v>
      </c>
    </row>
    <row r="3921" spans="1:7">
      <c r="A3921" t="s">
        <v>2559</v>
      </c>
      <c r="B3921" t="s">
        <v>9036</v>
      </c>
      <c r="C3921" t="s">
        <v>3692</v>
      </c>
      <c r="D3921" t="s">
        <v>3693</v>
      </c>
      <c r="E3921">
        <v>6</v>
      </c>
      <c r="F3921" s="6">
        <v>750</v>
      </c>
      <c r="G3921" t="s">
        <v>4419</v>
      </c>
    </row>
    <row r="3922" spans="1:7">
      <c r="A3922" t="s">
        <v>3603</v>
      </c>
      <c r="B3922" t="s">
        <v>9036</v>
      </c>
      <c r="C3922" t="s">
        <v>3692</v>
      </c>
      <c r="D3922" t="s">
        <v>3693</v>
      </c>
      <c r="E3922">
        <v>6</v>
      </c>
      <c r="F3922" s="6">
        <v>1750</v>
      </c>
      <c r="G3922" t="s">
        <v>4419</v>
      </c>
    </row>
    <row r="3923" spans="1:7">
      <c r="A3923" t="s">
        <v>9037</v>
      </c>
      <c r="B3923" t="s">
        <v>9038</v>
      </c>
      <c r="C3923" t="s">
        <v>3692</v>
      </c>
      <c r="D3923" t="s">
        <v>3693</v>
      </c>
      <c r="E3923">
        <v>6</v>
      </c>
      <c r="F3923" s="6">
        <v>750</v>
      </c>
      <c r="G3923" t="s">
        <v>4419</v>
      </c>
    </row>
    <row r="3924" spans="1:7">
      <c r="A3924" t="s">
        <v>2048</v>
      </c>
      <c r="B3924" t="s">
        <v>9039</v>
      </c>
      <c r="C3924" t="s">
        <v>3692</v>
      </c>
      <c r="D3924" t="s">
        <v>3693</v>
      </c>
      <c r="E3924">
        <v>12</v>
      </c>
      <c r="F3924" s="6">
        <v>750</v>
      </c>
      <c r="G3924" t="s">
        <v>4509</v>
      </c>
    </row>
    <row r="3925" spans="1:7">
      <c r="A3925" t="s">
        <v>9040</v>
      </c>
      <c r="B3925" t="s">
        <v>9041</v>
      </c>
      <c r="C3925" t="s">
        <v>3692</v>
      </c>
      <c r="D3925" t="s">
        <v>3693</v>
      </c>
      <c r="E3925">
        <v>6</v>
      </c>
      <c r="F3925" s="6">
        <v>750</v>
      </c>
      <c r="G3925" t="s">
        <v>8869</v>
      </c>
    </row>
    <row r="3926" spans="1:7">
      <c r="A3926" t="s">
        <v>334</v>
      </c>
      <c r="B3926" t="s">
        <v>9042</v>
      </c>
      <c r="C3926" t="s">
        <v>3692</v>
      </c>
      <c r="D3926" t="s">
        <v>3693</v>
      </c>
      <c r="E3926">
        <v>6</v>
      </c>
      <c r="F3926" s="6">
        <v>750</v>
      </c>
      <c r="G3926" t="s">
        <v>8869</v>
      </c>
    </row>
    <row r="3927" spans="1:7">
      <c r="A3927" t="s">
        <v>2776</v>
      </c>
      <c r="B3927" t="s">
        <v>9043</v>
      </c>
      <c r="C3927" t="s">
        <v>7442</v>
      </c>
      <c r="D3927" t="s">
        <v>7443</v>
      </c>
      <c r="E3927">
        <v>12</v>
      </c>
      <c r="F3927" s="6">
        <v>1000</v>
      </c>
      <c r="G3927" t="s">
        <v>3686</v>
      </c>
    </row>
    <row r="3928" spans="1:7">
      <c r="A3928" t="s">
        <v>1165</v>
      </c>
      <c r="B3928" t="s">
        <v>9044</v>
      </c>
      <c r="C3928" t="s">
        <v>3692</v>
      </c>
      <c r="D3928" t="s">
        <v>3693</v>
      </c>
      <c r="E3928">
        <v>6</v>
      </c>
      <c r="F3928" s="6">
        <v>750</v>
      </c>
      <c r="G3928" t="s">
        <v>3730</v>
      </c>
    </row>
    <row r="3929" spans="1:7">
      <c r="A3929" t="s">
        <v>9045</v>
      </c>
      <c r="B3929" t="s">
        <v>9046</v>
      </c>
      <c r="C3929" t="s">
        <v>3692</v>
      </c>
      <c r="D3929" t="s">
        <v>3693</v>
      </c>
      <c r="E3929">
        <v>6</v>
      </c>
      <c r="F3929" s="6">
        <v>750</v>
      </c>
      <c r="G3929" t="s">
        <v>3686</v>
      </c>
    </row>
    <row r="3930" spans="1:7">
      <c r="A3930" t="s">
        <v>9047</v>
      </c>
      <c r="B3930" t="s">
        <v>9048</v>
      </c>
      <c r="C3930" t="s">
        <v>3692</v>
      </c>
      <c r="D3930" t="s">
        <v>3693</v>
      </c>
      <c r="E3930">
        <v>6</v>
      </c>
      <c r="F3930" s="6">
        <v>750</v>
      </c>
      <c r="G3930" t="s">
        <v>4117</v>
      </c>
    </row>
    <row r="3931" spans="1:7">
      <c r="A3931" t="s">
        <v>1938</v>
      </c>
      <c r="B3931" t="s">
        <v>9049</v>
      </c>
      <c r="C3931" t="s">
        <v>3692</v>
      </c>
      <c r="D3931" t="s">
        <v>3693</v>
      </c>
      <c r="E3931">
        <v>6</v>
      </c>
      <c r="F3931" s="6">
        <v>750</v>
      </c>
      <c r="G3931" t="s">
        <v>4331</v>
      </c>
    </row>
    <row r="3932" spans="1:7">
      <c r="A3932" t="s">
        <v>401</v>
      </c>
      <c r="B3932" t="s">
        <v>9050</v>
      </c>
      <c r="C3932" t="s">
        <v>3692</v>
      </c>
      <c r="D3932" t="s">
        <v>3693</v>
      </c>
      <c r="E3932">
        <v>6</v>
      </c>
      <c r="F3932" s="6">
        <v>750</v>
      </c>
      <c r="G3932" t="s">
        <v>3681</v>
      </c>
    </row>
    <row r="3933" spans="1:7">
      <c r="A3933" t="s">
        <v>2950</v>
      </c>
      <c r="B3933" t="s">
        <v>9050</v>
      </c>
      <c r="C3933" t="s">
        <v>3692</v>
      </c>
      <c r="D3933" t="s">
        <v>3693</v>
      </c>
      <c r="E3933">
        <v>6</v>
      </c>
      <c r="F3933" s="6">
        <v>1750</v>
      </c>
      <c r="G3933" t="s">
        <v>3681</v>
      </c>
    </row>
    <row r="3934" spans="1:7">
      <c r="A3934" t="s">
        <v>2216</v>
      </c>
      <c r="B3934" t="s">
        <v>9050</v>
      </c>
      <c r="C3934" t="s">
        <v>7442</v>
      </c>
      <c r="D3934" t="s">
        <v>7443</v>
      </c>
      <c r="E3934">
        <v>12</v>
      </c>
      <c r="F3934" s="6">
        <v>375</v>
      </c>
      <c r="G3934" t="s">
        <v>3681</v>
      </c>
    </row>
    <row r="3935" spans="1:7">
      <c r="A3935" t="s">
        <v>9051</v>
      </c>
      <c r="B3935" t="s">
        <v>9052</v>
      </c>
      <c r="C3935" t="s">
        <v>3692</v>
      </c>
      <c r="D3935" t="s">
        <v>3693</v>
      </c>
      <c r="E3935">
        <v>6</v>
      </c>
      <c r="F3935" s="6">
        <v>750</v>
      </c>
      <c r="G3935" t="s">
        <v>4331</v>
      </c>
    </row>
    <row r="3936" spans="1:7">
      <c r="A3936" t="s">
        <v>435</v>
      </c>
      <c r="B3936" t="s">
        <v>9053</v>
      </c>
      <c r="C3936" t="s">
        <v>3692</v>
      </c>
      <c r="D3936" t="s">
        <v>3693</v>
      </c>
      <c r="E3936">
        <v>12</v>
      </c>
      <c r="F3936" s="6">
        <v>750</v>
      </c>
      <c r="G3936" t="s">
        <v>3716</v>
      </c>
    </row>
    <row r="3937" spans="1:7">
      <c r="A3937" t="s">
        <v>9054</v>
      </c>
      <c r="B3937" t="s">
        <v>9055</v>
      </c>
      <c r="C3937" t="s">
        <v>3692</v>
      </c>
      <c r="D3937" t="s">
        <v>3693</v>
      </c>
      <c r="E3937">
        <v>6</v>
      </c>
      <c r="F3937" s="6">
        <v>750</v>
      </c>
      <c r="G3937" t="s">
        <v>3763</v>
      </c>
    </row>
    <row r="3938" spans="1:7">
      <c r="A3938" t="s">
        <v>9056</v>
      </c>
      <c r="B3938" t="s">
        <v>9057</v>
      </c>
      <c r="C3938" t="s">
        <v>3692</v>
      </c>
      <c r="D3938" t="s">
        <v>3693</v>
      </c>
      <c r="E3938">
        <v>6</v>
      </c>
      <c r="F3938" s="6">
        <v>750</v>
      </c>
      <c r="G3938" t="s">
        <v>3763</v>
      </c>
    </row>
    <row r="3939" spans="1:7">
      <c r="A3939" t="s">
        <v>9058</v>
      </c>
      <c r="B3939" t="s">
        <v>9059</v>
      </c>
      <c r="C3939" t="s">
        <v>3679</v>
      </c>
      <c r="D3939" t="s">
        <v>3680</v>
      </c>
      <c r="E3939">
        <v>3</v>
      </c>
      <c r="F3939" s="6">
        <v>750</v>
      </c>
      <c r="G3939" t="s">
        <v>3802</v>
      </c>
    </row>
    <row r="3940" spans="1:7">
      <c r="A3940" t="s">
        <v>1890</v>
      </c>
      <c r="B3940" t="s">
        <v>9060</v>
      </c>
      <c r="C3940" t="s">
        <v>3692</v>
      </c>
      <c r="D3940" t="s">
        <v>3693</v>
      </c>
      <c r="E3940">
        <v>12</v>
      </c>
      <c r="F3940" s="6">
        <v>100</v>
      </c>
      <c r="G3940" t="s">
        <v>3705</v>
      </c>
    </row>
    <row r="3941" spans="1:7">
      <c r="A3941" t="s">
        <v>2711</v>
      </c>
      <c r="B3941" t="s">
        <v>9061</v>
      </c>
      <c r="C3941" t="s">
        <v>3692</v>
      </c>
      <c r="D3941" t="s">
        <v>3693</v>
      </c>
      <c r="E3941">
        <v>12</v>
      </c>
      <c r="F3941" s="6">
        <v>100</v>
      </c>
      <c r="G3941" t="s">
        <v>3705</v>
      </c>
    </row>
    <row r="3942" spans="1:7">
      <c r="A3942" t="s">
        <v>875</v>
      </c>
      <c r="B3942" t="s">
        <v>9062</v>
      </c>
      <c r="C3942" t="s">
        <v>3684</v>
      </c>
      <c r="D3942" t="s">
        <v>3685</v>
      </c>
      <c r="E3942">
        <v>12</v>
      </c>
      <c r="F3942" s="6">
        <v>750</v>
      </c>
      <c r="G3942" t="s">
        <v>3686</v>
      </c>
    </row>
    <row r="3943" spans="1:7">
      <c r="A3943" t="s">
        <v>9063</v>
      </c>
      <c r="B3943" t="s">
        <v>9064</v>
      </c>
      <c r="C3943" t="s">
        <v>7442</v>
      </c>
      <c r="D3943" t="s">
        <v>7443</v>
      </c>
      <c r="E3943">
        <v>12</v>
      </c>
      <c r="F3943" s="6">
        <v>375</v>
      </c>
      <c r="G3943" t="s">
        <v>3681</v>
      </c>
    </row>
    <row r="3944" spans="1:7">
      <c r="A3944" t="s">
        <v>3495</v>
      </c>
      <c r="B3944" t="s">
        <v>9065</v>
      </c>
      <c r="C3944" t="s">
        <v>3684</v>
      </c>
      <c r="D3944" t="s">
        <v>3685</v>
      </c>
      <c r="E3944">
        <v>12</v>
      </c>
      <c r="F3944" s="6">
        <v>750</v>
      </c>
      <c r="G3944" t="s">
        <v>3686</v>
      </c>
    </row>
    <row r="3945" spans="1:7">
      <c r="A3945" t="s">
        <v>9066</v>
      </c>
      <c r="B3945" t="s">
        <v>9067</v>
      </c>
      <c r="C3945" t="s">
        <v>3692</v>
      </c>
      <c r="D3945" t="s">
        <v>3693</v>
      </c>
      <c r="E3945">
        <v>6</v>
      </c>
      <c r="F3945" s="6">
        <v>750</v>
      </c>
      <c r="G3945" t="s">
        <v>4358</v>
      </c>
    </row>
    <row r="3946" spans="1:7">
      <c r="A3946" t="s">
        <v>2293</v>
      </c>
      <c r="B3946" t="s">
        <v>9068</v>
      </c>
      <c r="C3946" t="s">
        <v>3692</v>
      </c>
      <c r="D3946" t="s">
        <v>3693</v>
      </c>
      <c r="E3946">
        <v>12</v>
      </c>
      <c r="F3946" s="6">
        <v>375</v>
      </c>
      <c r="G3946" t="s">
        <v>4419</v>
      </c>
    </row>
    <row r="3947" spans="1:7">
      <c r="A3947" t="s">
        <v>1060</v>
      </c>
      <c r="B3947" t="s">
        <v>9065</v>
      </c>
      <c r="C3947" t="s">
        <v>3684</v>
      </c>
      <c r="D3947" t="s">
        <v>3685</v>
      </c>
      <c r="E3947">
        <v>12</v>
      </c>
      <c r="F3947" s="6">
        <v>1000</v>
      </c>
      <c r="G3947" t="s">
        <v>3686</v>
      </c>
    </row>
    <row r="3948" spans="1:7">
      <c r="A3948" t="s">
        <v>261</v>
      </c>
      <c r="B3948" t="s">
        <v>9065</v>
      </c>
      <c r="C3948" t="s">
        <v>3684</v>
      </c>
      <c r="D3948" t="s">
        <v>3685</v>
      </c>
      <c r="E3948">
        <v>6</v>
      </c>
      <c r="F3948" s="6">
        <v>1750</v>
      </c>
      <c r="G3948" t="s">
        <v>3686</v>
      </c>
    </row>
    <row r="3949" spans="1:7">
      <c r="A3949" t="s">
        <v>1535</v>
      </c>
      <c r="B3949" t="s">
        <v>9069</v>
      </c>
      <c r="C3949" t="s">
        <v>3692</v>
      </c>
      <c r="D3949" t="s">
        <v>3693</v>
      </c>
      <c r="E3949">
        <v>12</v>
      </c>
      <c r="F3949" s="6">
        <v>100</v>
      </c>
      <c r="G3949" t="s">
        <v>3705</v>
      </c>
    </row>
    <row r="3950" spans="1:7">
      <c r="A3950" t="s">
        <v>844</v>
      </c>
      <c r="B3950" t="s">
        <v>9070</v>
      </c>
      <c r="C3950" t="s">
        <v>3692</v>
      </c>
      <c r="D3950" t="s">
        <v>3693</v>
      </c>
      <c r="E3950">
        <v>12</v>
      </c>
      <c r="F3950" s="6">
        <v>200</v>
      </c>
      <c r="G3950" t="s">
        <v>3705</v>
      </c>
    </row>
    <row r="3951" spans="1:7">
      <c r="A3951" t="s">
        <v>2424</v>
      </c>
      <c r="B3951" t="s">
        <v>9071</v>
      </c>
      <c r="C3951" t="s">
        <v>3692</v>
      </c>
      <c r="D3951" t="s">
        <v>3693</v>
      </c>
      <c r="E3951">
        <v>10</v>
      </c>
      <c r="F3951" s="6">
        <v>50</v>
      </c>
      <c r="G3951" t="s">
        <v>3705</v>
      </c>
    </row>
    <row r="3952" spans="1:7">
      <c r="A3952" t="s">
        <v>1362</v>
      </c>
      <c r="B3952" t="s">
        <v>9070</v>
      </c>
      <c r="C3952" t="s">
        <v>3692</v>
      </c>
      <c r="D3952" t="s">
        <v>3693</v>
      </c>
      <c r="E3952">
        <v>12</v>
      </c>
      <c r="F3952" s="6">
        <v>375</v>
      </c>
      <c r="G3952" t="s">
        <v>3705</v>
      </c>
    </row>
    <row r="3953" spans="1:7">
      <c r="A3953" t="s">
        <v>409</v>
      </c>
      <c r="B3953" t="s">
        <v>9070</v>
      </c>
      <c r="C3953" t="s">
        <v>3692</v>
      </c>
      <c r="D3953" t="s">
        <v>3693</v>
      </c>
      <c r="E3953">
        <v>12</v>
      </c>
      <c r="F3953" s="6">
        <v>750</v>
      </c>
      <c r="G3953" t="s">
        <v>3705</v>
      </c>
    </row>
    <row r="3954" spans="1:7">
      <c r="A3954" t="s">
        <v>3475</v>
      </c>
      <c r="B3954" t="s">
        <v>9070</v>
      </c>
      <c r="C3954" t="s">
        <v>3692</v>
      </c>
      <c r="D3954" t="s">
        <v>3693</v>
      </c>
      <c r="E3954">
        <v>3</v>
      </c>
      <c r="F3954" s="6">
        <v>1750</v>
      </c>
      <c r="G3954" t="s">
        <v>3705</v>
      </c>
    </row>
    <row r="3955" spans="1:7">
      <c r="A3955" t="s">
        <v>9072</v>
      </c>
      <c r="B3955" t="s">
        <v>9073</v>
      </c>
      <c r="C3955" t="s">
        <v>3692</v>
      </c>
      <c r="D3955" t="s">
        <v>3693</v>
      </c>
      <c r="E3955">
        <v>6</v>
      </c>
      <c r="F3955" s="6">
        <v>750</v>
      </c>
      <c r="G3955" t="s">
        <v>9074</v>
      </c>
    </row>
    <row r="3956" spans="1:7">
      <c r="A3956" t="s">
        <v>9075</v>
      </c>
      <c r="B3956" t="s">
        <v>9076</v>
      </c>
      <c r="C3956" t="s">
        <v>8664</v>
      </c>
      <c r="D3956" t="s">
        <v>8665</v>
      </c>
      <c r="E3956">
        <v>6</v>
      </c>
      <c r="F3956" s="6">
        <v>750</v>
      </c>
      <c r="G3956" t="s">
        <v>3730</v>
      </c>
    </row>
    <row r="3957" spans="1:7">
      <c r="A3957" t="s">
        <v>824</v>
      </c>
      <c r="B3957" t="s">
        <v>8985</v>
      </c>
      <c r="C3957" t="s">
        <v>3692</v>
      </c>
      <c r="D3957" t="s">
        <v>3693</v>
      </c>
      <c r="E3957">
        <v>12</v>
      </c>
      <c r="F3957" s="6">
        <v>375</v>
      </c>
      <c r="G3957" t="s">
        <v>3992</v>
      </c>
    </row>
    <row r="3958" spans="1:7">
      <c r="A3958" t="s">
        <v>1587</v>
      </c>
      <c r="B3958" t="s">
        <v>8985</v>
      </c>
      <c r="C3958" t="s">
        <v>3692</v>
      </c>
      <c r="D3958" t="s">
        <v>3693</v>
      </c>
      <c r="E3958">
        <v>6</v>
      </c>
      <c r="F3958" s="6">
        <v>1000</v>
      </c>
      <c r="G3958" t="s">
        <v>3992</v>
      </c>
    </row>
    <row r="3959" spans="1:7">
      <c r="A3959" t="s">
        <v>9077</v>
      </c>
      <c r="B3959" t="s">
        <v>9078</v>
      </c>
      <c r="C3959" t="s">
        <v>3692</v>
      </c>
      <c r="D3959" t="s">
        <v>3693</v>
      </c>
      <c r="E3959">
        <v>6</v>
      </c>
      <c r="F3959" s="6">
        <v>750</v>
      </c>
      <c r="G3959" t="s">
        <v>3702</v>
      </c>
    </row>
    <row r="3960" spans="1:7">
      <c r="A3960" t="s">
        <v>9079</v>
      </c>
      <c r="B3960" t="s">
        <v>9080</v>
      </c>
      <c r="C3960" t="s">
        <v>3692</v>
      </c>
      <c r="D3960" t="s">
        <v>3693</v>
      </c>
      <c r="E3960">
        <v>6</v>
      </c>
      <c r="F3960" s="6">
        <v>750</v>
      </c>
      <c r="G3960" t="s">
        <v>3802</v>
      </c>
    </row>
    <row r="3961" spans="1:7">
      <c r="A3961" t="s">
        <v>9081</v>
      </c>
      <c r="B3961" t="s">
        <v>9082</v>
      </c>
      <c r="C3961" t="s">
        <v>3692</v>
      </c>
      <c r="D3961" t="s">
        <v>3693</v>
      </c>
      <c r="E3961">
        <v>6</v>
      </c>
      <c r="F3961" s="6">
        <v>750</v>
      </c>
      <c r="G3961" t="s">
        <v>3802</v>
      </c>
    </row>
    <row r="3962" spans="1:7">
      <c r="A3962" t="s">
        <v>322</v>
      </c>
      <c r="B3962" t="s">
        <v>9083</v>
      </c>
      <c r="C3962" t="s">
        <v>3692</v>
      </c>
      <c r="D3962" t="s">
        <v>3693</v>
      </c>
      <c r="E3962">
        <v>6</v>
      </c>
      <c r="F3962" s="6">
        <v>750</v>
      </c>
      <c r="G3962" t="s">
        <v>3802</v>
      </c>
    </row>
    <row r="3963" spans="1:7">
      <c r="A3963" t="s">
        <v>1341</v>
      </c>
      <c r="B3963" t="s">
        <v>8983</v>
      </c>
      <c r="C3963" t="s">
        <v>3692</v>
      </c>
      <c r="D3963" t="s">
        <v>3693</v>
      </c>
      <c r="E3963">
        <v>12</v>
      </c>
      <c r="F3963" s="6">
        <v>375</v>
      </c>
      <c r="G3963" t="s">
        <v>3992</v>
      </c>
    </row>
    <row r="3964" spans="1:7">
      <c r="A3964" t="s">
        <v>1828</v>
      </c>
      <c r="B3964" t="s">
        <v>8985</v>
      </c>
      <c r="C3964" t="s">
        <v>3692</v>
      </c>
      <c r="D3964" t="s">
        <v>3693</v>
      </c>
      <c r="E3964">
        <v>6</v>
      </c>
      <c r="F3964" s="6">
        <v>750</v>
      </c>
      <c r="G3964" t="s">
        <v>3992</v>
      </c>
    </row>
    <row r="3965" spans="1:7">
      <c r="A3965" t="s">
        <v>263</v>
      </c>
      <c r="B3965" t="s">
        <v>8983</v>
      </c>
      <c r="C3965" t="s">
        <v>3692</v>
      </c>
      <c r="D3965" t="s">
        <v>3693</v>
      </c>
      <c r="E3965">
        <v>6</v>
      </c>
      <c r="F3965" s="6">
        <v>750</v>
      </c>
      <c r="G3965" t="s">
        <v>3992</v>
      </c>
    </row>
    <row r="3966" spans="1:7">
      <c r="A3966" t="s">
        <v>9084</v>
      </c>
      <c r="B3966" t="s">
        <v>9085</v>
      </c>
      <c r="C3966" t="s">
        <v>3692</v>
      </c>
      <c r="D3966" t="s">
        <v>3693</v>
      </c>
      <c r="E3966">
        <v>6</v>
      </c>
      <c r="F3966" s="6">
        <v>750</v>
      </c>
      <c r="G3966" t="s">
        <v>6970</v>
      </c>
    </row>
    <row r="3967" spans="1:7">
      <c r="A3967" t="s">
        <v>1083</v>
      </c>
      <c r="B3967" t="s">
        <v>8983</v>
      </c>
      <c r="C3967" t="s">
        <v>3692</v>
      </c>
      <c r="D3967" t="s">
        <v>3693</v>
      </c>
      <c r="E3967">
        <v>6</v>
      </c>
      <c r="F3967" s="6">
        <v>1000</v>
      </c>
      <c r="G3967" t="s">
        <v>3992</v>
      </c>
    </row>
    <row r="3968" spans="1:7">
      <c r="A3968" t="s">
        <v>9086</v>
      </c>
      <c r="B3968" t="s">
        <v>9087</v>
      </c>
      <c r="C3968" t="s">
        <v>3692</v>
      </c>
      <c r="D3968" t="s">
        <v>3693</v>
      </c>
      <c r="E3968">
        <v>4</v>
      </c>
      <c r="F3968" s="6">
        <v>750</v>
      </c>
      <c r="G3968" t="s">
        <v>3694</v>
      </c>
    </row>
    <row r="3969" spans="1:7">
      <c r="A3969" t="s">
        <v>2678</v>
      </c>
      <c r="B3969" t="s">
        <v>9088</v>
      </c>
      <c r="C3969" t="s">
        <v>3692</v>
      </c>
      <c r="D3969" t="s">
        <v>3693</v>
      </c>
      <c r="E3969">
        <v>12</v>
      </c>
      <c r="F3969" s="6">
        <v>750</v>
      </c>
      <c r="G3969" t="s">
        <v>4509</v>
      </c>
    </row>
    <row r="3970" spans="1:7">
      <c r="A3970" t="s">
        <v>120</v>
      </c>
      <c r="B3970" t="s">
        <v>9089</v>
      </c>
      <c r="C3970" t="s">
        <v>3692</v>
      </c>
      <c r="D3970" t="s">
        <v>3693</v>
      </c>
      <c r="E3970">
        <v>12</v>
      </c>
      <c r="F3970" s="6">
        <v>750</v>
      </c>
      <c r="G3970" t="s">
        <v>3730</v>
      </c>
    </row>
    <row r="3971" spans="1:7">
      <c r="A3971" t="s">
        <v>9090</v>
      </c>
      <c r="B3971" t="s">
        <v>9091</v>
      </c>
      <c r="C3971" t="s">
        <v>3679</v>
      </c>
      <c r="D3971" t="s">
        <v>3680</v>
      </c>
      <c r="E3971">
        <v>6</v>
      </c>
      <c r="F3971" s="6">
        <v>750</v>
      </c>
      <c r="G3971" t="s">
        <v>5701</v>
      </c>
    </row>
    <row r="3972" spans="1:7">
      <c r="A3972" t="s">
        <v>9092</v>
      </c>
      <c r="B3972" t="s">
        <v>9093</v>
      </c>
      <c r="C3972" t="s">
        <v>3692</v>
      </c>
      <c r="D3972" t="s">
        <v>3693</v>
      </c>
      <c r="E3972">
        <v>6</v>
      </c>
      <c r="F3972" s="6">
        <v>750</v>
      </c>
      <c r="G3972" t="s">
        <v>3698</v>
      </c>
    </row>
    <row r="3973" spans="1:7">
      <c r="A3973" t="s">
        <v>9094</v>
      </c>
      <c r="B3973" t="s">
        <v>9095</v>
      </c>
      <c r="C3973" t="s">
        <v>3692</v>
      </c>
      <c r="D3973" t="s">
        <v>3693</v>
      </c>
      <c r="E3973">
        <v>6</v>
      </c>
      <c r="F3973" s="6">
        <v>750</v>
      </c>
      <c r="G3973" t="s">
        <v>4117</v>
      </c>
    </row>
    <row r="3974" spans="1:7">
      <c r="A3974" t="s">
        <v>9096</v>
      </c>
      <c r="B3974" t="s">
        <v>9097</v>
      </c>
      <c r="C3974" t="s">
        <v>3692</v>
      </c>
      <c r="D3974" t="s">
        <v>3693</v>
      </c>
      <c r="E3974">
        <v>12</v>
      </c>
      <c r="F3974" s="6">
        <v>375</v>
      </c>
      <c r="G3974" t="s">
        <v>3888</v>
      </c>
    </row>
    <row r="3975" spans="1:7">
      <c r="A3975" t="s">
        <v>9098</v>
      </c>
      <c r="B3975" t="s">
        <v>9099</v>
      </c>
      <c r="C3975" t="s">
        <v>3692</v>
      </c>
      <c r="D3975" t="s">
        <v>3693</v>
      </c>
      <c r="E3975">
        <v>6</v>
      </c>
      <c r="F3975" s="6">
        <v>750</v>
      </c>
      <c r="G3975" t="s">
        <v>4744</v>
      </c>
    </row>
    <row r="3976" spans="1:7">
      <c r="A3976" t="s">
        <v>9100</v>
      </c>
      <c r="B3976" t="s">
        <v>9101</v>
      </c>
      <c r="C3976" t="s">
        <v>3692</v>
      </c>
      <c r="D3976" t="s">
        <v>3693</v>
      </c>
      <c r="E3976">
        <v>6</v>
      </c>
      <c r="F3976" s="6">
        <v>750</v>
      </c>
      <c r="G3976" t="s">
        <v>4163</v>
      </c>
    </row>
    <row r="3977" spans="1:7">
      <c r="A3977" t="s">
        <v>9102</v>
      </c>
      <c r="B3977" t="s">
        <v>9103</v>
      </c>
      <c r="C3977" t="s">
        <v>3692</v>
      </c>
      <c r="D3977" t="s">
        <v>3693</v>
      </c>
      <c r="E3977">
        <v>6</v>
      </c>
      <c r="F3977" s="6">
        <v>750</v>
      </c>
      <c r="G3977" t="s">
        <v>3681</v>
      </c>
    </row>
    <row r="3978" spans="1:7">
      <c r="A3978" t="s">
        <v>9104</v>
      </c>
      <c r="B3978" t="s">
        <v>9105</v>
      </c>
      <c r="C3978" t="s">
        <v>8664</v>
      </c>
      <c r="D3978" t="s">
        <v>8665</v>
      </c>
      <c r="E3978">
        <v>12</v>
      </c>
      <c r="F3978" s="6">
        <v>750</v>
      </c>
      <c r="G3978" t="s">
        <v>3702</v>
      </c>
    </row>
    <row r="3979" spans="1:7">
      <c r="A3979" t="s">
        <v>9106</v>
      </c>
      <c r="B3979" t="s">
        <v>9107</v>
      </c>
      <c r="C3979" t="s">
        <v>8664</v>
      </c>
      <c r="D3979" t="s">
        <v>8665</v>
      </c>
      <c r="E3979">
        <v>6</v>
      </c>
      <c r="F3979" s="6">
        <v>750</v>
      </c>
      <c r="G3979" t="s">
        <v>3802</v>
      </c>
    </row>
    <row r="3980" spans="1:7">
      <c r="A3980" t="s">
        <v>9108</v>
      </c>
      <c r="B3980" t="s">
        <v>9109</v>
      </c>
      <c r="C3980" t="s">
        <v>3692</v>
      </c>
      <c r="D3980" t="s">
        <v>3693</v>
      </c>
      <c r="E3980">
        <v>6</v>
      </c>
      <c r="F3980" s="6">
        <v>750</v>
      </c>
      <c r="G3980" t="s">
        <v>4285</v>
      </c>
    </row>
    <row r="3981" spans="1:7">
      <c r="A3981" t="s">
        <v>3298</v>
      </c>
      <c r="B3981" t="s">
        <v>9110</v>
      </c>
      <c r="C3981" t="s">
        <v>3692</v>
      </c>
      <c r="D3981" t="s">
        <v>3693</v>
      </c>
      <c r="E3981">
        <v>6</v>
      </c>
      <c r="F3981" s="6">
        <v>750</v>
      </c>
      <c r="G3981" t="s">
        <v>4285</v>
      </c>
    </row>
    <row r="3982" spans="1:7">
      <c r="A3982" t="s">
        <v>527</v>
      </c>
      <c r="B3982" t="s">
        <v>9111</v>
      </c>
      <c r="C3982" t="s">
        <v>3692</v>
      </c>
      <c r="D3982" t="s">
        <v>3693</v>
      </c>
      <c r="E3982">
        <v>3</v>
      </c>
      <c r="F3982" s="6">
        <v>1750</v>
      </c>
      <c r="G3982" t="s">
        <v>3730</v>
      </c>
    </row>
    <row r="3983" spans="1:7">
      <c r="A3983" t="s">
        <v>1026</v>
      </c>
      <c r="B3983" t="s">
        <v>8600</v>
      </c>
      <c r="C3983" t="s">
        <v>6442</v>
      </c>
      <c r="D3983" t="s">
        <v>6443</v>
      </c>
      <c r="E3983">
        <v>12</v>
      </c>
      <c r="F3983" s="6">
        <v>750</v>
      </c>
      <c r="G3983" t="s">
        <v>3951</v>
      </c>
    </row>
    <row r="3984" spans="1:7">
      <c r="A3984" t="s">
        <v>2544</v>
      </c>
      <c r="B3984" t="s">
        <v>9112</v>
      </c>
      <c r="C3984" t="s">
        <v>3692</v>
      </c>
      <c r="D3984" t="s">
        <v>3693</v>
      </c>
      <c r="E3984">
        <v>12</v>
      </c>
      <c r="F3984" s="6">
        <v>750</v>
      </c>
      <c r="G3984" t="s">
        <v>3716</v>
      </c>
    </row>
    <row r="3985" spans="1:7">
      <c r="A3985" t="s">
        <v>9113</v>
      </c>
      <c r="B3985" t="s">
        <v>9114</v>
      </c>
      <c r="C3985" t="s">
        <v>3692</v>
      </c>
      <c r="D3985" t="s">
        <v>3693</v>
      </c>
      <c r="E3985">
        <v>12</v>
      </c>
      <c r="F3985" s="6">
        <v>750</v>
      </c>
      <c r="G3985" t="s">
        <v>3716</v>
      </c>
    </row>
    <row r="3986" spans="1:7">
      <c r="A3986" t="s">
        <v>633</v>
      </c>
      <c r="B3986" t="s">
        <v>9115</v>
      </c>
      <c r="C3986" t="s">
        <v>3692</v>
      </c>
      <c r="D3986" t="s">
        <v>3693</v>
      </c>
      <c r="E3986">
        <v>6</v>
      </c>
      <c r="F3986" s="6">
        <v>1750</v>
      </c>
      <c r="G3986" t="s">
        <v>3716</v>
      </c>
    </row>
    <row r="3987" spans="1:7">
      <c r="A3987" t="s">
        <v>1873</v>
      </c>
      <c r="B3987" t="s">
        <v>9115</v>
      </c>
      <c r="C3987" t="s">
        <v>3692</v>
      </c>
      <c r="D3987" t="s">
        <v>3693</v>
      </c>
      <c r="E3987">
        <v>12</v>
      </c>
      <c r="F3987" s="6">
        <v>1000</v>
      </c>
      <c r="G3987" t="s">
        <v>3716</v>
      </c>
    </row>
    <row r="3988" spans="1:7">
      <c r="A3988" t="s">
        <v>1349</v>
      </c>
      <c r="B3988" t="s">
        <v>9115</v>
      </c>
      <c r="C3988" t="s">
        <v>3692</v>
      </c>
      <c r="D3988" t="s">
        <v>3693</v>
      </c>
      <c r="E3988">
        <v>12</v>
      </c>
      <c r="F3988" s="6">
        <v>750</v>
      </c>
      <c r="G3988" t="s">
        <v>3716</v>
      </c>
    </row>
    <row r="3989" spans="1:7">
      <c r="A3989" t="s">
        <v>656</v>
      </c>
      <c r="B3989" t="s">
        <v>9115</v>
      </c>
      <c r="C3989" t="s">
        <v>3692</v>
      </c>
      <c r="D3989" t="s">
        <v>3693</v>
      </c>
      <c r="E3989">
        <v>12</v>
      </c>
      <c r="F3989" s="6">
        <v>375</v>
      </c>
      <c r="G3989" t="s">
        <v>3716</v>
      </c>
    </row>
    <row r="3990" spans="1:7">
      <c r="A3990" t="s">
        <v>2010</v>
      </c>
      <c r="B3990" t="s">
        <v>9116</v>
      </c>
      <c r="C3990" t="s">
        <v>7442</v>
      </c>
      <c r="D3990" t="s">
        <v>7443</v>
      </c>
      <c r="E3990">
        <v>12</v>
      </c>
      <c r="F3990" s="6">
        <v>750</v>
      </c>
      <c r="G3990" t="s">
        <v>3716</v>
      </c>
    </row>
    <row r="3991" spans="1:7">
      <c r="A3991" t="s">
        <v>1573</v>
      </c>
      <c r="B3991" t="s">
        <v>9117</v>
      </c>
      <c r="C3991" t="s">
        <v>3692</v>
      </c>
      <c r="D3991" t="s">
        <v>3693</v>
      </c>
      <c r="E3991">
        <v>6</v>
      </c>
      <c r="F3991" s="6">
        <v>750</v>
      </c>
      <c r="G3991" t="s">
        <v>3716</v>
      </c>
    </row>
    <row r="3992" spans="1:7">
      <c r="A3992" t="s">
        <v>634</v>
      </c>
      <c r="B3992" t="s">
        <v>9118</v>
      </c>
      <c r="C3992" t="s">
        <v>3692</v>
      </c>
      <c r="D3992" t="s">
        <v>3693</v>
      </c>
      <c r="E3992">
        <v>6</v>
      </c>
      <c r="F3992" s="6">
        <v>750</v>
      </c>
      <c r="G3992" t="s">
        <v>3716</v>
      </c>
    </row>
    <row r="3993" spans="1:7">
      <c r="A3993" t="s">
        <v>9119</v>
      </c>
      <c r="B3993" t="s">
        <v>9120</v>
      </c>
      <c r="C3993" t="s">
        <v>8664</v>
      </c>
      <c r="D3993" t="s">
        <v>8665</v>
      </c>
      <c r="E3993">
        <v>6</v>
      </c>
      <c r="F3993" s="6">
        <v>750</v>
      </c>
      <c r="G3993" t="s">
        <v>4744</v>
      </c>
    </row>
    <row r="3994" spans="1:7">
      <c r="A3994" t="s">
        <v>9121</v>
      </c>
      <c r="B3994" t="s">
        <v>9122</v>
      </c>
      <c r="C3994" t="s">
        <v>3692</v>
      </c>
      <c r="D3994" t="s">
        <v>3693</v>
      </c>
      <c r="E3994">
        <v>6</v>
      </c>
      <c r="F3994" s="6">
        <v>750</v>
      </c>
      <c r="G3994" t="s">
        <v>3754</v>
      </c>
    </row>
    <row r="3995" spans="1:7">
      <c r="A3995" t="s">
        <v>2392</v>
      </c>
      <c r="B3995" t="s">
        <v>9123</v>
      </c>
      <c r="C3995" t="s">
        <v>3692</v>
      </c>
      <c r="D3995" t="s">
        <v>3693</v>
      </c>
      <c r="E3995">
        <v>6</v>
      </c>
      <c r="F3995" s="6">
        <v>750</v>
      </c>
      <c r="G3995" t="s">
        <v>3686</v>
      </c>
    </row>
    <row r="3996" spans="1:7">
      <c r="A3996" t="s">
        <v>9124</v>
      </c>
      <c r="B3996" t="s">
        <v>9125</v>
      </c>
      <c r="C3996" t="s">
        <v>3679</v>
      </c>
      <c r="D3996" t="s">
        <v>3680</v>
      </c>
      <c r="E3996">
        <v>6</v>
      </c>
      <c r="F3996" s="6">
        <v>750</v>
      </c>
      <c r="G3996" t="s">
        <v>3730</v>
      </c>
    </row>
    <row r="3997" spans="1:7">
      <c r="A3997" t="s">
        <v>991</v>
      </c>
      <c r="B3997" t="s">
        <v>9126</v>
      </c>
      <c r="C3997" t="s">
        <v>3692</v>
      </c>
      <c r="D3997" t="s">
        <v>3693</v>
      </c>
      <c r="E3997">
        <v>6</v>
      </c>
      <c r="F3997" s="6">
        <v>750</v>
      </c>
      <c r="G3997" t="s">
        <v>3931</v>
      </c>
    </row>
    <row r="3998" spans="1:7">
      <c r="A3998" t="s">
        <v>9127</v>
      </c>
      <c r="B3998" t="s">
        <v>9128</v>
      </c>
      <c r="C3998" t="s">
        <v>3692</v>
      </c>
      <c r="D3998" t="s">
        <v>3693</v>
      </c>
      <c r="E3998">
        <v>6</v>
      </c>
      <c r="F3998" s="6">
        <v>750</v>
      </c>
      <c r="G3998" t="s">
        <v>3689</v>
      </c>
    </row>
    <row r="3999" spans="1:7">
      <c r="A3999" t="s">
        <v>9129</v>
      </c>
      <c r="B3999" t="s">
        <v>9130</v>
      </c>
      <c r="C3999" t="s">
        <v>3692</v>
      </c>
      <c r="D3999" t="s">
        <v>3693</v>
      </c>
      <c r="E3999">
        <v>6</v>
      </c>
      <c r="F3999" s="6">
        <v>750</v>
      </c>
      <c r="G3999" t="s">
        <v>3681</v>
      </c>
    </row>
    <row r="4000" spans="1:7">
      <c r="A4000" t="s">
        <v>9131</v>
      </c>
      <c r="B4000" t="s">
        <v>9132</v>
      </c>
      <c r="C4000" t="s">
        <v>3679</v>
      </c>
      <c r="D4000" t="s">
        <v>3680</v>
      </c>
      <c r="E4000">
        <v>12</v>
      </c>
      <c r="F4000" s="6">
        <v>750</v>
      </c>
      <c r="G4000" t="s">
        <v>3705</v>
      </c>
    </row>
    <row r="4001" spans="1:7">
      <c r="A4001" t="s">
        <v>3285</v>
      </c>
      <c r="B4001" t="s">
        <v>8514</v>
      </c>
      <c r="C4001" t="s">
        <v>3692</v>
      </c>
      <c r="D4001" t="s">
        <v>3693</v>
      </c>
      <c r="E4001">
        <v>4</v>
      </c>
      <c r="F4001" s="6">
        <v>1750</v>
      </c>
      <c r="G4001" t="s">
        <v>3730</v>
      </c>
    </row>
    <row r="4002" spans="1:7">
      <c r="A4002" t="s">
        <v>9133</v>
      </c>
      <c r="B4002" t="s">
        <v>3691</v>
      </c>
      <c r="C4002" t="s">
        <v>3692</v>
      </c>
      <c r="D4002" t="s">
        <v>3693</v>
      </c>
      <c r="E4002">
        <v>12</v>
      </c>
      <c r="F4002" s="6">
        <v>375</v>
      </c>
      <c r="G4002" t="s">
        <v>3694</v>
      </c>
    </row>
    <row r="4003" spans="1:7">
      <c r="A4003" t="s">
        <v>9134</v>
      </c>
      <c r="B4003" t="s">
        <v>9135</v>
      </c>
      <c r="C4003" t="s">
        <v>8664</v>
      </c>
      <c r="D4003" t="s">
        <v>8665</v>
      </c>
      <c r="E4003">
        <v>6</v>
      </c>
      <c r="F4003" s="6">
        <v>750</v>
      </c>
      <c r="G4003" t="s">
        <v>3802</v>
      </c>
    </row>
    <row r="4004" spans="1:7">
      <c r="A4004" t="s">
        <v>1433</v>
      </c>
      <c r="B4004" t="s">
        <v>9136</v>
      </c>
      <c r="C4004" t="s">
        <v>3679</v>
      </c>
      <c r="D4004" t="s">
        <v>3680</v>
      </c>
      <c r="E4004">
        <v>12</v>
      </c>
      <c r="F4004" s="6">
        <v>375</v>
      </c>
      <c r="G4004" t="s">
        <v>3931</v>
      </c>
    </row>
    <row r="4005" spans="1:7">
      <c r="A4005" t="s">
        <v>845</v>
      </c>
      <c r="B4005" t="s">
        <v>9137</v>
      </c>
      <c r="C4005" t="s">
        <v>3692</v>
      </c>
      <c r="D4005" t="s">
        <v>3693</v>
      </c>
      <c r="E4005">
        <v>6</v>
      </c>
      <c r="F4005" s="6">
        <v>750</v>
      </c>
      <c r="G4005" t="s">
        <v>9138</v>
      </c>
    </row>
    <row r="4006" spans="1:7">
      <c r="A4006" t="s">
        <v>2507</v>
      </c>
      <c r="B4006" t="s">
        <v>9139</v>
      </c>
      <c r="C4006" t="s">
        <v>7442</v>
      </c>
      <c r="D4006" t="s">
        <v>7443</v>
      </c>
      <c r="E4006">
        <v>12</v>
      </c>
      <c r="F4006" s="6">
        <v>750</v>
      </c>
      <c r="G4006" t="s">
        <v>3686</v>
      </c>
    </row>
    <row r="4007" spans="1:7">
      <c r="A4007" t="s">
        <v>2050</v>
      </c>
      <c r="B4007" t="s">
        <v>9139</v>
      </c>
      <c r="C4007" t="s">
        <v>7442</v>
      </c>
      <c r="D4007" t="s">
        <v>7443</v>
      </c>
      <c r="E4007">
        <v>12</v>
      </c>
      <c r="F4007" s="6">
        <v>1000</v>
      </c>
      <c r="G4007" t="s">
        <v>3686</v>
      </c>
    </row>
    <row r="4008" spans="1:7">
      <c r="A4008" t="s">
        <v>933</v>
      </c>
      <c r="B4008" t="s">
        <v>9139</v>
      </c>
      <c r="C4008" t="s">
        <v>7442</v>
      </c>
      <c r="D4008" t="s">
        <v>7443</v>
      </c>
      <c r="E4008">
        <v>6</v>
      </c>
      <c r="F4008" s="6">
        <v>1750</v>
      </c>
      <c r="G4008" t="s">
        <v>3686</v>
      </c>
    </row>
    <row r="4009" spans="1:7">
      <c r="A4009" t="s">
        <v>9140</v>
      </c>
      <c r="B4009" t="s">
        <v>9141</v>
      </c>
      <c r="C4009" t="s">
        <v>3692</v>
      </c>
      <c r="D4009" t="s">
        <v>3693</v>
      </c>
      <c r="E4009">
        <v>6</v>
      </c>
      <c r="F4009" s="6">
        <v>750</v>
      </c>
      <c r="G4009" t="s">
        <v>8748</v>
      </c>
    </row>
    <row r="4010" spans="1:7">
      <c r="A4010" t="s">
        <v>2637</v>
      </c>
      <c r="B4010" t="s">
        <v>9142</v>
      </c>
      <c r="C4010" t="s">
        <v>3692</v>
      </c>
      <c r="D4010" t="s">
        <v>3693</v>
      </c>
      <c r="E4010">
        <v>6</v>
      </c>
      <c r="F4010" s="6">
        <v>1000</v>
      </c>
      <c r="G4010" t="s">
        <v>3730</v>
      </c>
    </row>
    <row r="4011" spans="1:7">
      <c r="A4011" t="s">
        <v>9143</v>
      </c>
      <c r="B4011" t="s">
        <v>9111</v>
      </c>
      <c r="C4011" t="s">
        <v>3692</v>
      </c>
      <c r="D4011" t="s">
        <v>3693</v>
      </c>
      <c r="E4011">
        <v>6</v>
      </c>
      <c r="F4011" s="6">
        <v>1000</v>
      </c>
      <c r="G4011" t="s">
        <v>3730</v>
      </c>
    </row>
    <row r="4012" spans="1:7">
      <c r="A4012" t="s">
        <v>9144</v>
      </c>
      <c r="B4012" t="s">
        <v>9145</v>
      </c>
      <c r="C4012" t="s">
        <v>3692</v>
      </c>
      <c r="D4012" t="s">
        <v>3693</v>
      </c>
      <c r="E4012">
        <v>6</v>
      </c>
      <c r="F4012" s="6">
        <v>750</v>
      </c>
      <c r="G4012" t="s">
        <v>3689</v>
      </c>
    </row>
    <row r="4013" spans="1:7">
      <c r="A4013" t="s">
        <v>9146</v>
      </c>
      <c r="B4013" t="s">
        <v>9147</v>
      </c>
      <c r="C4013" t="s">
        <v>3692</v>
      </c>
      <c r="D4013" t="s">
        <v>3693</v>
      </c>
      <c r="E4013">
        <v>6</v>
      </c>
      <c r="F4013" s="6">
        <v>750</v>
      </c>
      <c r="G4013" t="s">
        <v>3681</v>
      </c>
    </row>
    <row r="4014" spans="1:7">
      <c r="A4014" t="s">
        <v>9148</v>
      </c>
      <c r="B4014" t="s">
        <v>9149</v>
      </c>
      <c r="C4014" t="s">
        <v>3692</v>
      </c>
      <c r="D4014" t="s">
        <v>3693</v>
      </c>
      <c r="E4014">
        <v>4</v>
      </c>
      <c r="F4014" s="6">
        <v>750</v>
      </c>
      <c r="G4014" t="s">
        <v>3681</v>
      </c>
    </row>
    <row r="4015" spans="1:7">
      <c r="A4015" t="s">
        <v>9150</v>
      </c>
      <c r="B4015" t="s">
        <v>9151</v>
      </c>
      <c r="C4015" t="s">
        <v>3692</v>
      </c>
      <c r="D4015" t="s">
        <v>3693</v>
      </c>
      <c r="E4015">
        <v>5</v>
      </c>
      <c r="F4015" s="6">
        <v>50</v>
      </c>
      <c r="G4015" t="s">
        <v>3730</v>
      </c>
    </row>
    <row r="4016" spans="1:7">
      <c r="A4016" t="s">
        <v>9152</v>
      </c>
      <c r="B4016" t="s">
        <v>9153</v>
      </c>
      <c r="C4016" t="s">
        <v>3692</v>
      </c>
      <c r="D4016" t="s">
        <v>3693</v>
      </c>
      <c r="E4016">
        <v>5</v>
      </c>
      <c r="F4016" s="6">
        <v>50</v>
      </c>
      <c r="G4016" t="s">
        <v>3730</v>
      </c>
    </row>
    <row r="4017" spans="1:7">
      <c r="A4017" t="s">
        <v>785</v>
      </c>
      <c r="B4017" t="s">
        <v>9142</v>
      </c>
      <c r="C4017" t="s">
        <v>3692</v>
      </c>
      <c r="D4017" t="s">
        <v>3693</v>
      </c>
      <c r="E4017">
        <v>6</v>
      </c>
      <c r="F4017" s="6">
        <v>750</v>
      </c>
      <c r="G4017" t="s">
        <v>3730</v>
      </c>
    </row>
    <row r="4018" spans="1:7">
      <c r="A4018" t="s">
        <v>2745</v>
      </c>
      <c r="B4018" t="s">
        <v>9154</v>
      </c>
      <c r="C4018" t="s">
        <v>3692</v>
      </c>
      <c r="D4018" t="s">
        <v>3693</v>
      </c>
      <c r="E4018">
        <v>12</v>
      </c>
      <c r="F4018" s="6">
        <v>750</v>
      </c>
      <c r="G4018" t="s">
        <v>3716</v>
      </c>
    </row>
    <row r="4019" spans="1:7">
      <c r="A4019" t="s">
        <v>2011</v>
      </c>
      <c r="B4019" t="s">
        <v>9155</v>
      </c>
      <c r="C4019" t="s">
        <v>7442</v>
      </c>
      <c r="D4019" t="s">
        <v>7443</v>
      </c>
      <c r="E4019">
        <v>48</v>
      </c>
      <c r="F4019" s="6">
        <v>100</v>
      </c>
      <c r="G4019" t="s">
        <v>3689</v>
      </c>
    </row>
    <row r="4020" spans="1:7">
      <c r="A4020" t="s">
        <v>9156</v>
      </c>
      <c r="B4020" t="s">
        <v>9103</v>
      </c>
      <c r="C4020" t="s">
        <v>3692</v>
      </c>
      <c r="D4020" t="s">
        <v>3693</v>
      </c>
      <c r="E4020">
        <v>3</v>
      </c>
      <c r="F4020" s="6">
        <v>750</v>
      </c>
      <c r="G4020" t="s">
        <v>3681</v>
      </c>
    </row>
    <row r="4021" spans="1:7">
      <c r="A4021" t="s">
        <v>9157</v>
      </c>
      <c r="B4021" t="s">
        <v>9158</v>
      </c>
      <c r="C4021" t="s">
        <v>3692</v>
      </c>
      <c r="D4021" t="s">
        <v>3693</v>
      </c>
      <c r="E4021">
        <v>3</v>
      </c>
      <c r="F4021" s="6">
        <v>750</v>
      </c>
      <c r="G4021" t="s">
        <v>3681</v>
      </c>
    </row>
    <row r="4022" spans="1:7">
      <c r="A4022" t="s">
        <v>2762</v>
      </c>
      <c r="B4022" t="s">
        <v>9159</v>
      </c>
      <c r="C4022" t="s">
        <v>3692</v>
      </c>
      <c r="D4022" t="s">
        <v>3693</v>
      </c>
      <c r="E4022">
        <v>6</v>
      </c>
      <c r="F4022" s="6">
        <v>750</v>
      </c>
      <c r="G4022" t="s">
        <v>3689</v>
      </c>
    </row>
    <row r="4023" spans="1:7">
      <c r="A4023" t="s">
        <v>9160</v>
      </c>
      <c r="B4023" t="s">
        <v>9161</v>
      </c>
      <c r="C4023" t="s">
        <v>3692</v>
      </c>
      <c r="D4023" t="s">
        <v>3693</v>
      </c>
      <c r="E4023">
        <v>6</v>
      </c>
      <c r="F4023" s="6">
        <v>750</v>
      </c>
      <c r="G4023" t="s">
        <v>3763</v>
      </c>
    </row>
    <row r="4024" spans="1:7">
      <c r="A4024" t="s">
        <v>9162</v>
      </c>
      <c r="B4024" t="s">
        <v>9163</v>
      </c>
      <c r="C4024" t="s">
        <v>3692</v>
      </c>
      <c r="D4024" t="s">
        <v>3693</v>
      </c>
      <c r="E4024">
        <v>6</v>
      </c>
      <c r="F4024" s="6">
        <v>750</v>
      </c>
      <c r="G4024" t="s">
        <v>3689</v>
      </c>
    </row>
    <row r="4025" spans="1:7">
      <c r="A4025" t="s">
        <v>9164</v>
      </c>
      <c r="B4025" t="s">
        <v>9165</v>
      </c>
      <c r="C4025" t="s">
        <v>3692</v>
      </c>
      <c r="D4025" t="s">
        <v>3693</v>
      </c>
      <c r="E4025">
        <v>6</v>
      </c>
      <c r="F4025" s="6">
        <v>750</v>
      </c>
      <c r="G4025" t="s">
        <v>3702</v>
      </c>
    </row>
    <row r="4026" spans="1:7">
      <c r="A4026" t="s">
        <v>9166</v>
      </c>
      <c r="B4026" t="s">
        <v>9167</v>
      </c>
      <c r="C4026" t="s">
        <v>3692</v>
      </c>
      <c r="D4026" t="s">
        <v>3693</v>
      </c>
      <c r="E4026">
        <v>6</v>
      </c>
      <c r="F4026" s="6">
        <v>750</v>
      </c>
      <c r="G4026" t="s">
        <v>3702</v>
      </c>
    </row>
    <row r="4027" spans="1:7">
      <c r="A4027" t="s">
        <v>323</v>
      </c>
      <c r="B4027" t="s">
        <v>9168</v>
      </c>
      <c r="C4027" t="s">
        <v>3692</v>
      </c>
      <c r="D4027" t="s">
        <v>3693</v>
      </c>
      <c r="E4027">
        <v>6</v>
      </c>
      <c r="F4027" s="6">
        <v>750</v>
      </c>
      <c r="G4027" t="s">
        <v>6970</v>
      </c>
    </row>
    <row r="4028" spans="1:7">
      <c r="A4028" t="s">
        <v>9169</v>
      </c>
      <c r="B4028" t="s">
        <v>9170</v>
      </c>
      <c r="C4028" t="s">
        <v>3692</v>
      </c>
      <c r="D4028" t="s">
        <v>3693</v>
      </c>
      <c r="E4028">
        <v>6</v>
      </c>
      <c r="F4028" s="6">
        <v>750</v>
      </c>
      <c r="G4028" t="s">
        <v>6970</v>
      </c>
    </row>
    <row r="4029" spans="1:7">
      <c r="A4029" t="s">
        <v>9171</v>
      </c>
      <c r="B4029" t="s">
        <v>9172</v>
      </c>
      <c r="C4029" t="s">
        <v>8664</v>
      </c>
      <c r="D4029" t="s">
        <v>8665</v>
      </c>
      <c r="E4029">
        <v>6</v>
      </c>
      <c r="F4029" s="6">
        <v>750</v>
      </c>
      <c r="G4029" t="s">
        <v>3802</v>
      </c>
    </row>
    <row r="4030" spans="1:7">
      <c r="A4030" t="s">
        <v>9173</v>
      </c>
      <c r="B4030" t="s">
        <v>9174</v>
      </c>
      <c r="C4030" t="s">
        <v>3692</v>
      </c>
      <c r="D4030" t="s">
        <v>3693</v>
      </c>
      <c r="E4030">
        <v>6</v>
      </c>
      <c r="F4030" s="6">
        <v>750</v>
      </c>
      <c r="G4030" t="s">
        <v>7911</v>
      </c>
    </row>
    <row r="4031" spans="1:7">
      <c r="A4031" t="s">
        <v>1127</v>
      </c>
      <c r="B4031" t="s">
        <v>9175</v>
      </c>
      <c r="C4031" t="s">
        <v>3692</v>
      </c>
      <c r="D4031" t="s">
        <v>3693</v>
      </c>
      <c r="E4031">
        <v>6</v>
      </c>
      <c r="F4031" s="6">
        <v>750</v>
      </c>
      <c r="G4031" t="s">
        <v>7911</v>
      </c>
    </row>
    <row r="4032" spans="1:7">
      <c r="A4032" t="s">
        <v>9176</v>
      </c>
      <c r="B4032" t="s">
        <v>9177</v>
      </c>
      <c r="C4032" t="s">
        <v>3692</v>
      </c>
      <c r="D4032" t="s">
        <v>3693</v>
      </c>
      <c r="E4032">
        <v>6</v>
      </c>
      <c r="F4032" s="6">
        <v>750</v>
      </c>
      <c r="G4032" t="s">
        <v>3951</v>
      </c>
    </row>
    <row r="4033" spans="1:7">
      <c r="A4033" t="s">
        <v>2303</v>
      </c>
      <c r="B4033" t="s">
        <v>9178</v>
      </c>
      <c r="C4033" t="s">
        <v>3692</v>
      </c>
      <c r="D4033" t="s">
        <v>3693</v>
      </c>
      <c r="E4033">
        <v>6</v>
      </c>
      <c r="F4033" s="6">
        <v>750</v>
      </c>
      <c r="G4033" t="s">
        <v>3681</v>
      </c>
    </row>
    <row r="4034" spans="1:7">
      <c r="A4034" t="s">
        <v>9179</v>
      </c>
      <c r="B4034" t="s">
        <v>9180</v>
      </c>
      <c r="C4034" t="s">
        <v>3692</v>
      </c>
      <c r="D4034" t="s">
        <v>3693</v>
      </c>
      <c r="E4034">
        <v>6</v>
      </c>
      <c r="F4034" s="6">
        <v>750</v>
      </c>
      <c r="G4034" t="s">
        <v>8553</v>
      </c>
    </row>
    <row r="4035" spans="1:7">
      <c r="A4035" t="s">
        <v>9181</v>
      </c>
      <c r="B4035" t="s">
        <v>9182</v>
      </c>
      <c r="C4035" t="s">
        <v>3692</v>
      </c>
      <c r="D4035" t="s">
        <v>3693</v>
      </c>
      <c r="E4035">
        <v>6</v>
      </c>
      <c r="F4035" s="6">
        <v>750</v>
      </c>
      <c r="G4035" t="s">
        <v>3705</v>
      </c>
    </row>
    <row r="4036" spans="1:7">
      <c r="A4036" t="s">
        <v>913</v>
      </c>
      <c r="B4036" t="s">
        <v>9183</v>
      </c>
      <c r="C4036" t="s">
        <v>3692</v>
      </c>
      <c r="D4036" t="s">
        <v>3693</v>
      </c>
      <c r="E4036">
        <v>12</v>
      </c>
      <c r="F4036" s="6">
        <v>750</v>
      </c>
      <c r="G4036" t="s">
        <v>3705</v>
      </c>
    </row>
    <row r="4037" spans="1:7">
      <c r="A4037" t="s">
        <v>9184</v>
      </c>
      <c r="B4037" t="s">
        <v>9183</v>
      </c>
      <c r="C4037" t="s">
        <v>3692</v>
      </c>
      <c r="D4037" t="s">
        <v>3693</v>
      </c>
      <c r="E4037">
        <v>6</v>
      </c>
      <c r="F4037" s="6">
        <v>1750</v>
      </c>
      <c r="G4037" t="s">
        <v>3705</v>
      </c>
    </row>
    <row r="4038" spans="1:7">
      <c r="A4038" t="s">
        <v>2964</v>
      </c>
      <c r="B4038" t="s">
        <v>9185</v>
      </c>
      <c r="C4038" t="s">
        <v>3692</v>
      </c>
      <c r="D4038" t="s">
        <v>3693</v>
      </c>
      <c r="E4038">
        <v>6</v>
      </c>
      <c r="F4038" s="6">
        <v>750</v>
      </c>
      <c r="G4038" t="s">
        <v>3888</v>
      </c>
    </row>
    <row r="4039" spans="1:7">
      <c r="A4039" t="s">
        <v>1537</v>
      </c>
      <c r="B4039" t="s">
        <v>9186</v>
      </c>
      <c r="C4039" t="s">
        <v>3692</v>
      </c>
      <c r="D4039" t="s">
        <v>3693</v>
      </c>
      <c r="E4039">
        <v>6</v>
      </c>
      <c r="F4039" s="6">
        <v>750</v>
      </c>
      <c r="G4039" t="s">
        <v>3888</v>
      </c>
    </row>
    <row r="4040" spans="1:7">
      <c r="A4040" t="s">
        <v>9187</v>
      </c>
      <c r="B4040" t="s">
        <v>9188</v>
      </c>
      <c r="C4040" t="s">
        <v>3692</v>
      </c>
      <c r="D4040" t="s">
        <v>3693</v>
      </c>
      <c r="E4040">
        <v>6</v>
      </c>
      <c r="F4040" s="6">
        <v>50</v>
      </c>
      <c r="G4040" t="s">
        <v>3730</v>
      </c>
    </row>
    <row r="4041" spans="1:7">
      <c r="A4041" t="s">
        <v>1000</v>
      </c>
      <c r="B4041" t="s">
        <v>6688</v>
      </c>
      <c r="C4041" t="s">
        <v>3692</v>
      </c>
      <c r="D4041" t="s">
        <v>3693</v>
      </c>
      <c r="E4041">
        <v>6</v>
      </c>
      <c r="F4041" s="6">
        <v>750</v>
      </c>
      <c r="G4041" t="s">
        <v>3730</v>
      </c>
    </row>
    <row r="4042" spans="1:7">
      <c r="A4042" t="s">
        <v>1874</v>
      </c>
      <c r="B4042" t="s">
        <v>6688</v>
      </c>
      <c r="C4042" t="s">
        <v>3692</v>
      </c>
      <c r="D4042" t="s">
        <v>3693</v>
      </c>
      <c r="E4042">
        <v>12</v>
      </c>
      <c r="F4042" s="6">
        <v>375</v>
      </c>
      <c r="G4042" t="s">
        <v>3730</v>
      </c>
    </row>
    <row r="4043" spans="1:7">
      <c r="A4043" t="s">
        <v>3010</v>
      </c>
      <c r="B4043" t="s">
        <v>6688</v>
      </c>
      <c r="C4043" t="s">
        <v>3692</v>
      </c>
      <c r="D4043" t="s">
        <v>3693</v>
      </c>
      <c r="E4043">
        <v>3</v>
      </c>
      <c r="F4043" s="6">
        <v>1750</v>
      </c>
      <c r="G4043" t="s">
        <v>3730</v>
      </c>
    </row>
    <row r="4044" spans="1:7">
      <c r="A4044" t="s">
        <v>1538</v>
      </c>
      <c r="B4044" t="s">
        <v>8514</v>
      </c>
      <c r="C4044" t="s">
        <v>3692</v>
      </c>
      <c r="D4044" t="s">
        <v>3693</v>
      </c>
      <c r="E4044">
        <v>6</v>
      </c>
      <c r="F4044" s="6">
        <v>750</v>
      </c>
      <c r="G4044" t="s">
        <v>3730</v>
      </c>
    </row>
    <row r="4045" spans="1:7">
      <c r="A4045" t="s">
        <v>9189</v>
      </c>
      <c r="B4045" t="s">
        <v>9190</v>
      </c>
      <c r="C4045" t="s">
        <v>3692</v>
      </c>
      <c r="D4045" t="s">
        <v>3693</v>
      </c>
      <c r="E4045">
        <v>6</v>
      </c>
      <c r="F4045" s="6">
        <v>50</v>
      </c>
      <c r="G4045" t="s">
        <v>3730</v>
      </c>
    </row>
    <row r="4046" spans="1:7">
      <c r="A4046" t="s">
        <v>9191</v>
      </c>
      <c r="B4046" t="s">
        <v>9192</v>
      </c>
      <c r="C4046" t="s">
        <v>3692</v>
      </c>
      <c r="D4046" t="s">
        <v>3693</v>
      </c>
      <c r="E4046">
        <v>12</v>
      </c>
      <c r="F4046" s="6">
        <v>375</v>
      </c>
      <c r="G4046" t="s">
        <v>3730</v>
      </c>
    </row>
    <row r="4047" spans="1:7">
      <c r="A4047" t="s">
        <v>222</v>
      </c>
      <c r="B4047" t="s">
        <v>9192</v>
      </c>
      <c r="C4047" t="s">
        <v>3692</v>
      </c>
      <c r="D4047" t="s">
        <v>3693</v>
      </c>
      <c r="E4047">
        <v>6</v>
      </c>
      <c r="F4047" s="6">
        <v>750</v>
      </c>
      <c r="G4047" t="s">
        <v>3730</v>
      </c>
    </row>
    <row r="4048" spans="1:7">
      <c r="A4048" t="s">
        <v>1487</v>
      </c>
      <c r="B4048" t="s">
        <v>9111</v>
      </c>
      <c r="C4048" t="s">
        <v>3692</v>
      </c>
      <c r="D4048" t="s">
        <v>3693</v>
      </c>
      <c r="E4048">
        <v>6</v>
      </c>
      <c r="F4048" s="6">
        <v>750</v>
      </c>
      <c r="G4048" t="s">
        <v>3730</v>
      </c>
    </row>
    <row r="4049" spans="1:7">
      <c r="A4049" t="s">
        <v>753</v>
      </c>
      <c r="B4049" t="s">
        <v>9193</v>
      </c>
      <c r="C4049" t="s">
        <v>3692</v>
      </c>
      <c r="D4049" t="s">
        <v>3693</v>
      </c>
      <c r="E4049">
        <v>6</v>
      </c>
      <c r="F4049" s="6">
        <v>750</v>
      </c>
      <c r="G4049" t="s">
        <v>4163</v>
      </c>
    </row>
    <row r="4050" spans="1:7">
      <c r="A4050" t="s">
        <v>1983</v>
      </c>
      <c r="B4050" t="s">
        <v>9194</v>
      </c>
      <c r="C4050" t="s">
        <v>3692</v>
      </c>
      <c r="D4050" t="s">
        <v>3693</v>
      </c>
      <c r="E4050">
        <v>6</v>
      </c>
      <c r="F4050" s="6">
        <v>750</v>
      </c>
      <c r="G4050" t="s">
        <v>4163</v>
      </c>
    </row>
    <row r="4051" spans="1:7">
      <c r="A4051" t="s">
        <v>9195</v>
      </c>
      <c r="B4051" t="s">
        <v>9196</v>
      </c>
      <c r="C4051" t="s">
        <v>3692</v>
      </c>
      <c r="D4051" t="s">
        <v>3693</v>
      </c>
      <c r="E4051">
        <v>6</v>
      </c>
      <c r="F4051" s="6">
        <v>750</v>
      </c>
      <c r="G4051" t="s">
        <v>3802</v>
      </c>
    </row>
    <row r="4052" spans="1:7">
      <c r="A4052" t="s">
        <v>1505</v>
      </c>
      <c r="B4052" t="s">
        <v>9197</v>
      </c>
      <c r="C4052" t="s">
        <v>7442</v>
      </c>
      <c r="D4052" t="s">
        <v>7443</v>
      </c>
      <c r="E4052">
        <v>12</v>
      </c>
      <c r="F4052" s="6">
        <v>50</v>
      </c>
      <c r="G4052" t="s">
        <v>3689</v>
      </c>
    </row>
    <row r="4053" spans="1:7">
      <c r="A4053" t="s">
        <v>305</v>
      </c>
      <c r="B4053" t="s">
        <v>9198</v>
      </c>
      <c r="C4053" t="s">
        <v>7442</v>
      </c>
      <c r="D4053" t="s">
        <v>7443</v>
      </c>
      <c r="E4053">
        <v>48</v>
      </c>
      <c r="F4053" s="6">
        <v>200</v>
      </c>
      <c r="G4053" t="s">
        <v>3689</v>
      </c>
    </row>
    <row r="4054" spans="1:7">
      <c r="A4054" t="s">
        <v>1800</v>
      </c>
      <c r="B4054" t="s">
        <v>9199</v>
      </c>
      <c r="C4054" t="s">
        <v>7442</v>
      </c>
      <c r="D4054" t="s">
        <v>7443</v>
      </c>
      <c r="E4054">
        <v>24</v>
      </c>
      <c r="F4054" s="6">
        <v>375</v>
      </c>
      <c r="G4054" t="s">
        <v>3689</v>
      </c>
    </row>
    <row r="4055" spans="1:7">
      <c r="A4055" t="s">
        <v>773</v>
      </c>
      <c r="B4055" t="s">
        <v>9198</v>
      </c>
      <c r="C4055" t="s">
        <v>7442</v>
      </c>
      <c r="D4055" t="s">
        <v>7443</v>
      </c>
      <c r="E4055">
        <v>12</v>
      </c>
      <c r="F4055" s="6">
        <v>750</v>
      </c>
      <c r="G4055" t="s">
        <v>3689</v>
      </c>
    </row>
    <row r="4056" spans="1:7">
      <c r="A4056" t="s">
        <v>1998</v>
      </c>
      <c r="B4056" t="s">
        <v>9198</v>
      </c>
      <c r="C4056" t="s">
        <v>7442</v>
      </c>
      <c r="D4056" t="s">
        <v>7443</v>
      </c>
      <c r="E4056">
        <v>12</v>
      </c>
      <c r="F4056" s="6">
        <v>1000</v>
      </c>
      <c r="G4056" t="s">
        <v>3689</v>
      </c>
    </row>
    <row r="4057" spans="1:7">
      <c r="A4057" t="s">
        <v>1529</v>
      </c>
      <c r="B4057" t="s">
        <v>9198</v>
      </c>
      <c r="C4057" t="s">
        <v>7442</v>
      </c>
      <c r="D4057" t="s">
        <v>7443</v>
      </c>
      <c r="E4057">
        <v>6</v>
      </c>
      <c r="F4057" s="6">
        <v>1750</v>
      </c>
      <c r="G4057" t="s">
        <v>3689</v>
      </c>
    </row>
    <row r="4058" spans="1:7">
      <c r="A4058" t="s">
        <v>298</v>
      </c>
      <c r="B4058" t="s">
        <v>9200</v>
      </c>
      <c r="C4058" t="s">
        <v>7442</v>
      </c>
      <c r="D4058" t="s">
        <v>7443</v>
      </c>
      <c r="E4058">
        <v>12</v>
      </c>
      <c r="F4058" s="6">
        <v>375</v>
      </c>
      <c r="G4058" t="s">
        <v>3689</v>
      </c>
    </row>
    <row r="4059" spans="1:7">
      <c r="A4059" t="s">
        <v>1809</v>
      </c>
      <c r="B4059" t="s">
        <v>9201</v>
      </c>
      <c r="C4059" t="s">
        <v>3692</v>
      </c>
      <c r="D4059" t="s">
        <v>3693</v>
      </c>
      <c r="E4059">
        <v>6</v>
      </c>
      <c r="F4059" s="6">
        <v>750</v>
      </c>
      <c r="G4059" t="s">
        <v>3730</v>
      </c>
    </row>
    <row r="4060" spans="1:7">
      <c r="A4060" t="s">
        <v>825</v>
      </c>
      <c r="B4060" t="s">
        <v>9202</v>
      </c>
      <c r="C4060" t="s">
        <v>3692</v>
      </c>
      <c r="D4060" t="s">
        <v>3693</v>
      </c>
      <c r="E4060">
        <v>12</v>
      </c>
      <c r="F4060" s="6">
        <v>750</v>
      </c>
      <c r="G4060" t="s">
        <v>3689</v>
      </c>
    </row>
    <row r="4061" spans="1:7">
      <c r="A4061" t="s">
        <v>9203</v>
      </c>
      <c r="B4061" t="s">
        <v>9202</v>
      </c>
      <c r="C4061" t="s">
        <v>3692</v>
      </c>
      <c r="D4061" t="s">
        <v>3693</v>
      </c>
      <c r="E4061">
        <v>6</v>
      </c>
      <c r="F4061" s="6">
        <v>1000</v>
      </c>
      <c r="G4061" t="s">
        <v>3689</v>
      </c>
    </row>
    <row r="4062" spans="1:7">
      <c r="A4062" t="s">
        <v>9204</v>
      </c>
      <c r="B4062" t="s">
        <v>9202</v>
      </c>
      <c r="C4062" t="s">
        <v>3692</v>
      </c>
      <c r="D4062" t="s">
        <v>3693</v>
      </c>
      <c r="E4062">
        <v>6</v>
      </c>
      <c r="F4062" s="6">
        <v>1750</v>
      </c>
      <c r="G4062" t="s">
        <v>3689</v>
      </c>
    </row>
    <row r="4063" spans="1:7">
      <c r="A4063" t="s">
        <v>943</v>
      </c>
      <c r="B4063" t="s">
        <v>9205</v>
      </c>
      <c r="C4063" t="s">
        <v>3692</v>
      </c>
      <c r="D4063" t="s">
        <v>3693</v>
      </c>
      <c r="E4063">
        <v>12</v>
      </c>
      <c r="F4063" s="6">
        <v>750</v>
      </c>
      <c r="G4063" t="s">
        <v>3689</v>
      </c>
    </row>
    <row r="4064" spans="1:7">
      <c r="A4064" t="s">
        <v>3157</v>
      </c>
      <c r="B4064" t="s">
        <v>9206</v>
      </c>
      <c r="C4064" t="s">
        <v>8664</v>
      </c>
      <c r="D4064" t="s">
        <v>8665</v>
      </c>
      <c r="E4064">
        <v>6</v>
      </c>
      <c r="F4064" s="6">
        <v>750</v>
      </c>
      <c r="G4064" t="s">
        <v>3681</v>
      </c>
    </row>
    <row r="4065" spans="1:7">
      <c r="A4065" t="s">
        <v>1558</v>
      </c>
      <c r="B4065" t="s">
        <v>9207</v>
      </c>
      <c r="C4065" t="s">
        <v>3692</v>
      </c>
      <c r="D4065" t="s">
        <v>3693</v>
      </c>
      <c r="E4065">
        <v>6</v>
      </c>
      <c r="F4065" s="6">
        <v>750</v>
      </c>
      <c r="G4065" t="s">
        <v>3689</v>
      </c>
    </row>
    <row r="4066" spans="1:7">
      <c r="A4066" t="s">
        <v>902</v>
      </c>
      <c r="B4066" t="s">
        <v>9208</v>
      </c>
      <c r="C4066" t="s">
        <v>3692</v>
      </c>
      <c r="D4066" t="s">
        <v>3693</v>
      </c>
      <c r="E4066">
        <v>6</v>
      </c>
      <c r="F4066" s="6">
        <v>750</v>
      </c>
      <c r="G4066" t="s">
        <v>3735</v>
      </c>
    </row>
    <row r="4067" spans="1:7">
      <c r="A4067" t="s">
        <v>9209</v>
      </c>
      <c r="B4067" t="s">
        <v>9210</v>
      </c>
      <c r="C4067" t="s">
        <v>7442</v>
      </c>
      <c r="D4067" t="s">
        <v>7443</v>
      </c>
      <c r="E4067">
        <v>6</v>
      </c>
      <c r="F4067" s="6">
        <v>750</v>
      </c>
      <c r="G4067" t="s">
        <v>3686</v>
      </c>
    </row>
    <row r="4068" spans="1:7">
      <c r="A4068" t="s">
        <v>2369</v>
      </c>
      <c r="B4068" t="s">
        <v>9211</v>
      </c>
      <c r="C4068" t="s">
        <v>3692</v>
      </c>
      <c r="D4068" t="s">
        <v>3693</v>
      </c>
      <c r="E4068">
        <v>6</v>
      </c>
      <c r="F4068" s="6">
        <v>750</v>
      </c>
      <c r="G4068" t="s">
        <v>3686</v>
      </c>
    </row>
    <row r="4069" spans="1:7">
      <c r="A4069" t="s">
        <v>1683</v>
      </c>
      <c r="B4069" t="s">
        <v>9212</v>
      </c>
      <c r="C4069" t="s">
        <v>3692</v>
      </c>
      <c r="D4069" t="s">
        <v>3693</v>
      </c>
      <c r="E4069">
        <v>6</v>
      </c>
      <c r="F4069" s="6">
        <v>750</v>
      </c>
      <c r="G4069" t="s">
        <v>3735</v>
      </c>
    </row>
    <row r="4070" spans="1:7">
      <c r="A4070" t="s">
        <v>215</v>
      </c>
      <c r="B4070" t="s">
        <v>9212</v>
      </c>
      <c r="C4070" t="s">
        <v>3692</v>
      </c>
      <c r="D4070" t="s">
        <v>3693</v>
      </c>
      <c r="E4070">
        <v>6</v>
      </c>
      <c r="F4070" s="6">
        <v>1750</v>
      </c>
      <c r="G4070" t="s">
        <v>3735</v>
      </c>
    </row>
    <row r="4071" spans="1:7">
      <c r="A4071" t="s">
        <v>9213</v>
      </c>
      <c r="B4071" t="s">
        <v>9214</v>
      </c>
      <c r="C4071" t="s">
        <v>3692</v>
      </c>
      <c r="D4071" t="s">
        <v>3693</v>
      </c>
      <c r="E4071">
        <v>12</v>
      </c>
      <c r="F4071" s="6">
        <v>750</v>
      </c>
      <c r="G4071" t="s">
        <v>3689</v>
      </c>
    </row>
    <row r="4072" spans="1:7">
      <c r="A4072" t="s">
        <v>9215</v>
      </c>
      <c r="B4072" t="s">
        <v>9216</v>
      </c>
      <c r="C4072" t="s">
        <v>3692</v>
      </c>
      <c r="D4072" t="s">
        <v>3693</v>
      </c>
      <c r="E4072">
        <v>6</v>
      </c>
      <c r="F4072" s="6">
        <v>1750</v>
      </c>
      <c r="G4072" t="s">
        <v>3694</v>
      </c>
    </row>
    <row r="4073" spans="1:7">
      <c r="A4073" t="s">
        <v>2958</v>
      </c>
      <c r="B4073" t="s">
        <v>9217</v>
      </c>
      <c r="C4073" t="s">
        <v>3692</v>
      </c>
      <c r="D4073" t="s">
        <v>3693</v>
      </c>
      <c r="E4073">
        <v>6</v>
      </c>
      <c r="F4073" s="6">
        <v>750</v>
      </c>
      <c r="G4073" t="s">
        <v>3694</v>
      </c>
    </row>
    <row r="4074" spans="1:7">
      <c r="A4074" t="s">
        <v>550</v>
      </c>
      <c r="B4074" t="s">
        <v>9216</v>
      </c>
      <c r="C4074" t="s">
        <v>3692</v>
      </c>
      <c r="D4074" t="s">
        <v>3693</v>
      </c>
      <c r="E4074">
        <v>12</v>
      </c>
      <c r="F4074" s="6">
        <v>750</v>
      </c>
      <c r="G4074" t="s">
        <v>3694</v>
      </c>
    </row>
    <row r="4075" spans="1:7">
      <c r="A4075" t="s">
        <v>1488</v>
      </c>
      <c r="B4075" t="s">
        <v>9097</v>
      </c>
      <c r="C4075" t="s">
        <v>3692</v>
      </c>
      <c r="D4075" t="s">
        <v>3693</v>
      </c>
      <c r="E4075">
        <v>12</v>
      </c>
      <c r="F4075" s="6">
        <v>750</v>
      </c>
      <c r="G4075" t="s">
        <v>3888</v>
      </c>
    </row>
    <row r="4076" spans="1:7">
      <c r="A4076" t="s">
        <v>9218</v>
      </c>
      <c r="B4076" t="s">
        <v>9219</v>
      </c>
      <c r="C4076" t="s">
        <v>3692</v>
      </c>
      <c r="D4076" t="s">
        <v>3693</v>
      </c>
      <c r="E4076">
        <v>6</v>
      </c>
      <c r="F4076" s="6">
        <v>750</v>
      </c>
      <c r="G4076" t="s">
        <v>3689</v>
      </c>
    </row>
    <row r="4077" spans="1:7">
      <c r="A4077" t="s">
        <v>9220</v>
      </c>
      <c r="B4077" t="s">
        <v>9221</v>
      </c>
      <c r="C4077" t="s">
        <v>7442</v>
      </c>
      <c r="D4077" t="s">
        <v>7443</v>
      </c>
      <c r="E4077">
        <v>12</v>
      </c>
      <c r="F4077" s="6">
        <v>1000</v>
      </c>
      <c r="G4077" t="s">
        <v>3686</v>
      </c>
    </row>
    <row r="4078" spans="1:7">
      <c r="A4078" t="s">
        <v>914</v>
      </c>
      <c r="B4078" t="s">
        <v>9222</v>
      </c>
      <c r="C4078" t="s">
        <v>3692</v>
      </c>
      <c r="D4078" t="s">
        <v>3693</v>
      </c>
      <c r="E4078">
        <v>6</v>
      </c>
      <c r="F4078" s="6">
        <v>750</v>
      </c>
      <c r="G4078" t="s">
        <v>3694</v>
      </c>
    </row>
    <row r="4079" spans="1:7">
      <c r="A4079" t="s">
        <v>2977</v>
      </c>
      <c r="B4079" t="s">
        <v>9223</v>
      </c>
      <c r="C4079" t="s">
        <v>3692</v>
      </c>
      <c r="D4079" t="s">
        <v>3693</v>
      </c>
      <c r="E4079">
        <v>6</v>
      </c>
      <c r="F4079" s="6">
        <v>750</v>
      </c>
      <c r="G4079" t="s">
        <v>3694</v>
      </c>
    </row>
    <row r="4080" spans="1:7">
      <c r="A4080" t="s">
        <v>9224</v>
      </c>
      <c r="B4080" t="s">
        <v>9225</v>
      </c>
      <c r="C4080" t="s">
        <v>3692</v>
      </c>
      <c r="D4080" t="s">
        <v>3693</v>
      </c>
      <c r="E4080">
        <v>6</v>
      </c>
      <c r="F4080" s="6">
        <v>750</v>
      </c>
      <c r="G4080" t="s">
        <v>3698</v>
      </c>
    </row>
    <row r="4081" spans="1:7">
      <c r="A4081" t="s">
        <v>9226</v>
      </c>
      <c r="B4081" t="s">
        <v>9227</v>
      </c>
      <c r="C4081" t="s">
        <v>3679</v>
      </c>
      <c r="D4081" t="s">
        <v>3680</v>
      </c>
      <c r="E4081">
        <v>6</v>
      </c>
      <c r="F4081" s="6">
        <v>750</v>
      </c>
      <c r="G4081" t="s">
        <v>3735</v>
      </c>
    </row>
    <row r="4082" spans="1:7">
      <c r="A4082" t="s">
        <v>1001</v>
      </c>
      <c r="B4082" t="s">
        <v>9228</v>
      </c>
      <c r="C4082" t="s">
        <v>7442</v>
      </c>
      <c r="D4082" t="s">
        <v>7443</v>
      </c>
      <c r="E4082">
        <v>12</v>
      </c>
      <c r="F4082" s="6">
        <v>750</v>
      </c>
      <c r="G4082" t="s">
        <v>4163</v>
      </c>
    </row>
    <row r="4083" spans="1:7">
      <c r="A4083" t="s">
        <v>9229</v>
      </c>
      <c r="B4083" t="s">
        <v>9228</v>
      </c>
      <c r="C4083" t="s">
        <v>7442</v>
      </c>
      <c r="D4083" t="s">
        <v>7443</v>
      </c>
      <c r="E4083">
        <v>12</v>
      </c>
      <c r="F4083" s="6">
        <v>1000</v>
      </c>
      <c r="G4083" t="s">
        <v>4163</v>
      </c>
    </row>
    <row r="4084" spans="1:7">
      <c r="A4084" t="s">
        <v>2935</v>
      </c>
      <c r="B4084" t="s">
        <v>9228</v>
      </c>
      <c r="C4084" t="s">
        <v>7442</v>
      </c>
      <c r="D4084" t="s">
        <v>7443</v>
      </c>
      <c r="E4084">
        <v>6</v>
      </c>
      <c r="F4084" s="6">
        <v>1750</v>
      </c>
      <c r="G4084" t="s">
        <v>4163</v>
      </c>
    </row>
    <row r="4085" spans="1:7">
      <c r="A4085" t="s">
        <v>9230</v>
      </c>
      <c r="B4085" t="s">
        <v>9231</v>
      </c>
      <c r="C4085" t="s">
        <v>3692</v>
      </c>
      <c r="D4085" t="s">
        <v>3693</v>
      </c>
      <c r="E4085">
        <v>12</v>
      </c>
      <c r="F4085" s="6">
        <v>750</v>
      </c>
      <c r="G4085" t="s">
        <v>4163</v>
      </c>
    </row>
    <row r="4086" spans="1:7">
      <c r="A4086" t="s">
        <v>271</v>
      </c>
      <c r="B4086" t="s">
        <v>9231</v>
      </c>
      <c r="C4086" t="s">
        <v>3692</v>
      </c>
      <c r="D4086" t="s">
        <v>3693</v>
      </c>
      <c r="E4086">
        <v>12</v>
      </c>
      <c r="F4086" s="6">
        <v>1000</v>
      </c>
      <c r="G4086" t="s">
        <v>4163</v>
      </c>
    </row>
    <row r="4087" spans="1:7">
      <c r="A4087" t="s">
        <v>9232</v>
      </c>
      <c r="B4087" t="s">
        <v>9233</v>
      </c>
      <c r="C4087" t="s">
        <v>7442</v>
      </c>
      <c r="D4087" t="s">
        <v>7443</v>
      </c>
      <c r="E4087">
        <v>12</v>
      </c>
      <c r="F4087" s="6">
        <v>1000</v>
      </c>
      <c r="G4087" t="s">
        <v>4163</v>
      </c>
    </row>
    <row r="4088" spans="1:7">
      <c r="A4088" t="s">
        <v>1007</v>
      </c>
      <c r="B4088" t="s">
        <v>9234</v>
      </c>
      <c r="C4088" t="s">
        <v>3692</v>
      </c>
      <c r="D4088" t="s">
        <v>3693</v>
      </c>
      <c r="E4088">
        <v>12</v>
      </c>
      <c r="F4088" s="6">
        <v>750</v>
      </c>
      <c r="G4088" t="s">
        <v>3931</v>
      </c>
    </row>
    <row r="4089" spans="1:7">
      <c r="A4089" t="s">
        <v>9235</v>
      </c>
      <c r="B4089" t="s">
        <v>9234</v>
      </c>
      <c r="C4089" t="s">
        <v>3692</v>
      </c>
      <c r="D4089" t="s">
        <v>3693</v>
      </c>
      <c r="E4089">
        <v>6</v>
      </c>
      <c r="F4089" s="6">
        <v>1750</v>
      </c>
      <c r="G4089" t="s">
        <v>3931</v>
      </c>
    </row>
    <row r="4090" spans="1:7">
      <c r="A4090" t="s">
        <v>9236</v>
      </c>
      <c r="B4090" t="s">
        <v>9237</v>
      </c>
      <c r="C4090" t="s">
        <v>3692</v>
      </c>
      <c r="D4090" t="s">
        <v>3693</v>
      </c>
      <c r="E4090">
        <v>6</v>
      </c>
      <c r="F4090" s="6">
        <v>750</v>
      </c>
      <c r="G4090" t="s">
        <v>3689</v>
      </c>
    </row>
    <row r="4091" spans="1:7">
      <c r="A4091" t="s">
        <v>2339</v>
      </c>
      <c r="B4091" t="s">
        <v>9238</v>
      </c>
      <c r="C4091" t="s">
        <v>3692</v>
      </c>
      <c r="D4091" t="s">
        <v>3693</v>
      </c>
      <c r="E4091">
        <v>12</v>
      </c>
      <c r="F4091" s="6">
        <v>750</v>
      </c>
      <c r="G4091" t="s">
        <v>3686</v>
      </c>
    </row>
    <row r="4092" spans="1:7">
      <c r="A4092" t="s">
        <v>9239</v>
      </c>
      <c r="B4092" t="s">
        <v>9240</v>
      </c>
      <c r="C4092" t="s">
        <v>3692</v>
      </c>
      <c r="D4092" t="s">
        <v>3693</v>
      </c>
      <c r="E4092">
        <v>10</v>
      </c>
      <c r="F4092" s="6">
        <v>50</v>
      </c>
      <c r="G4092" t="s">
        <v>3686</v>
      </c>
    </row>
    <row r="4093" spans="1:7">
      <c r="A4093" t="s">
        <v>1260</v>
      </c>
      <c r="B4093" t="s">
        <v>9241</v>
      </c>
      <c r="C4093" t="s">
        <v>8664</v>
      </c>
      <c r="D4093" t="s">
        <v>8665</v>
      </c>
      <c r="E4093">
        <v>6</v>
      </c>
      <c r="F4093" s="6">
        <v>750</v>
      </c>
      <c r="G4093" t="s">
        <v>3802</v>
      </c>
    </row>
    <row r="4094" spans="1:7">
      <c r="A4094" t="s">
        <v>657</v>
      </c>
      <c r="B4094" t="s">
        <v>9242</v>
      </c>
      <c r="C4094" t="s">
        <v>3692</v>
      </c>
      <c r="D4094" t="s">
        <v>3693</v>
      </c>
      <c r="E4094">
        <v>6</v>
      </c>
      <c r="F4094" s="6">
        <v>750</v>
      </c>
      <c r="G4094" t="s">
        <v>3888</v>
      </c>
    </row>
    <row r="4095" spans="1:7">
      <c r="A4095" t="s">
        <v>1591</v>
      </c>
      <c r="B4095" t="s">
        <v>9243</v>
      </c>
      <c r="C4095" t="s">
        <v>3692</v>
      </c>
      <c r="D4095" t="s">
        <v>3693</v>
      </c>
      <c r="E4095">
        <v>12</v>
      </c>
      <c r="F4095" s="6">
        <v>750</v>
      </c>
      <c r="G4095" t="s">
        <v>3763</v>
      </c>
    </row>
    <row r="4096" spans="1:7">
      <c r="A4096" t="s">
        <v>9244</v>
      </c>
      <c r="B4096" t="s">
        <v>9243</v>
      </c>
      <c r="C4096" t="s">
        <v>3692</v>
      </c>
      <c r="D4096" t="s">
        <v>3693</v>
      </c>
      <c r="E4096">
        <v>12</v>
      </c>
      <c r="F4096" s="6">
        <v>1000</v>
      </c>
      <c r="G4096" t="s">
        <v>3763</v>
      </c>
    </row>
    <row r="4097" spans="1:7">
      <c r="A4097" t="s">
        <v>3080</v>
      </c>
      <c r="B4097" t="s">
        <v>9245</v>
      </c>
      <c r="C4097" t="s">
        <v>8664</v>
      </c>
      <c r="D4097" t="s">
        <v>8665</v>
      </c>
      <c r="E4097">
        <v>12</v>
      </c>
      <c r="F4097" s="6">
        <v>750</v>
      </c>
      <c r="G4097" t="s">
        <v>3686</v>
      </c>
    </row>
    <row r="4098" spans="1:7">
      <c r="A4098" t="s">
        <v>9246</v>
      </c>
      <c r="B4098" t="s">
        <v>9247</v>
      </c>
      <c r="C4098" t="s">
        <v>3692</v>
      </c>
      <c r="D4098" t="s">
        <v>3693</v>
      </c>
      <c r="E4098">
        <v>12</v>
      </c>
      <c r="F4098" s="6">
        <v>1000</v>
      </c>
      <c r="G4098" t="s">
        <v>3686</v>
      </c>
    </row>
    <row r="4099" spans="1:7">
      <c r="A4099" t="s">
        <v>462</v>
      </c>
      <c r="B4099" t="s">
        <v>9248</v>
      </c>
      <c r="C4099" t="s">
        <v>7442</v>
      </c>
      <c r="D4099" t="s">
        <v>7443</v>
      </c>
      <c r="E4099">
        <v>12</v>
      </c>
      <c r="F4099" s="6">
        <v>1000</v>
      </c>
      <c r="G4099" t="s">
        <v>3686</v>
      </c>
    </row>
    <row r="4100" spans="1:7">
      <c r="A4100" t="s">
        <v>1863</v>
      </c>
      <c r="B4100" t="s">
        <v>9068</v>
      </c>
      <c r="C4100" t="s">
        <v>3692</v>
      </c>
      <c r="D4100" t="s">
        <v>3693</v>
      </c>
      <c r="E4100">
        <v>6</v>
      </c>
      <c r="F4100" s="6">
        <v>750</v>
      </c>
      <c r="G4100" t="s">
        <v>4419</v>
      </c>
    </row>
    <row r="4101" spans="1:7">
      <c r="A4101" t="s">
        <v>9249</v>
      </c>
      <c r="B4101" t="s">
        <v>9250</v>
      </c>
      <c r="C4101" t="s">
        <v>3692</v>
      </c>
      <c r="D4101" t="s">
        <v>3693</v>
      </c>
      <c r="E4101">
        <v>6</v>
      </c>
      <c r="F4101" s="6">
        <v>750</v>
      </c>
      <c r="G4101" t="s">
        <v>4419</v>
      </c>
    </row>
    <row r="4102" spans="1:7">
      <c r="A4102" t="s">
        <v>1297</v>
      </c>
      <c r="B4102" t="s">
        <v>9250</v>
      </c>
      <c r="C4102" t="s">
        <v>3692</v>
      </c>
      <c r="D4102" t="s">
        <v>3693</v>
      </c>
      <c r="E4102">
        <v>12</v>
      </c>
      <c r="F4102" s="6">
        <v>375</v>
      </c>
      <c r="G4102" t="s">
        <v>4419</v>
      </c>
    </row>
    <row r="4103" spans="1:7">
      <c r="A4103" t="s">
        <v>498</v>
      </c>
      <c r="B4103" t="s">
        <v>9250</v>
      </c>
      <c r="C4103" t="s">
        <v>3692</v>
      </c>
      <c r="D4103" t="s">
        <v>3693</v>
      </c>
      <c r="E4103">
        <v>6</v>
      </c>
      <c r="F4103" s="6">
        <v>1750</v>
      </c>
      <c r="G4103" t="s">
        <v>4419</v>
      </c>
    </row>
    <row r="4104" spans="1:7">
      <c r="A4104" t="s">
        <v>1898</v>
      </c>
      <c r="B4104" t="s">
        <v>9064</v>
      </c>
      <c r="C4104" t="s">
        <v>3692</v>
      </c>
      <c r="D4104" t="s">
        <v>3693</v>
      </c>
      <c r="E4104">
        <v>6</v>
      </c>
      <c r="F4104" s="6">
        <v>750</v>
      </c>
      <c r="G4104" t="s">
        <v>3681</v>
      </c>
    </row>
    <row r="4105" spans="1:7">
      <c r="A4105" t="s">
        <v>9251</v>
      </c>
      <c r="B4105" t="s">
        <v>9252</v>
      </c>
      <c r="C4105" t="s">
        <v>3692</v>
      </c>
      <c r="D4105" t="s">
        <v>3693</v>
      </c>
      <c r="E4105">
        <v>12</v>
      </c>
      <c r="F4105" s="6">
        <v>750</v>
      </c>
      <c r="G4105" t="s">
        <v>3716</v>
      </c>
    </row>
    <row r="4106" spans="1:7">
      <c r="A4106" t="s">
        <v>9253</v>
      </c>
      <c r="B4106" t="s">
        <v>9064</v>
      </c>
      <c r="C4106" t="s">
        <v>3692</v>
      </c>
      <c r="D4106" t="s">
        <v>3693</v>
      </c>
      <c r="E4106">
        <v>6</v>
      </c>
      <c r="F4106" s="6">
        <v>1750</v>
      </c>
      <c r="G4106" t="s">
        <v>3681</v>
      </c>
    </row>
    <row r="4107" spans="1:7">
      <c r="A4107" t="s">
        <v>102</v>
      </c>
      <c r="B4107" t="s">
        <v>9254</v>
      </c>
      <c r="C4107" t="s">
        <v>3692</v>
      </c>
      <c r="D4107" t="s">
        <v>3693</v>
      </c>
      <c r="E4107">
        <v>10</v>
      </c>
      <c r="F4107" s="6">
        <v>50</v>
      </c>
      <c r="G4107" t="s">
        <v>3705</v>
      </c>
    </row>
    <row r="4108" spans="1:7">
      <c r="A4108" t="s">
        <v>3013</v>
      </c>
      <c r="B4108" t="s">
        <v>9255</v>
      </c>
      <c r="C4108" t="s">
        <v>3692</v>
      </c>
      <c r="D4108" t="s">
        <v>3693</v>
      </c>
      <c r="E4108">
        <v>12</v>
      </c>
      <c r="F4108" s="6">
        <v>375</v>
      </c>
      <c r="G4108" t="s">
        <v>3705</v>
      </c>
    </row>
    <row r="4109" spans="1:7">
      <c r="A4109" t="s">
        <v>786</v>
      </c>
      <c r="B4109" t="s">
        <v>9255</v>
      </c>
      <c r="C4109" t="s">
        <v>3692</v>
      </c>
      <c r="D4109" t="s">
        <v>3693</v>
      </c>
      <c r="E4109">
        <v>12</v>
      </c>
      <c r="F4109" s="6">
        <v>750</v>
      </c>
      <c r="G4109" t="s">
        <v>3705</v>
      </c>
    </row>
    <row r="4110" spans="1:7">
      <c r="A4110" t="s">
        <v>3615</v>
      </c>
      <c r="B4110" t="s">
        <v>9256</v>
      </c>
      <c r="C4110" t="s">
        <v>3692</v>
      </c>
      <c r="D4110" t="s">
        <v>3693</v>
      </c>
      <c r="E4110">
        <v>12</v>
      </c>
      <c r="F4110" s="6">
        <v>200</v>
      </c>
      <c r="G4110" t="s">
        <v>3705</v>
      </c>
    </row>
    <row r="4111" spans="1:7">
      <c r="A4111" t="s">
        <v>2456</v>
      </c>
      <c r="B4111" t="s">
        <v>9257</v>
      </c>
      <c r="C4111" t="s">
        <v>3692</v>
      </c>
      <c r="D4111" t="s">
        <v>3693</v>
      </c>
      <c r="E4111">
        <v>10</v>
      </c>
      <c r="F4111" s="6">
        <v>50</v>
      </c>
      <c r="G4111" t="s">
        <v>3705</v>
      </c>
    </row>
    <row r="4112" spans="1:7">
      <c r="A4112" t="s">
        <v>1262</v>
      </c>
      <c r="B4112" t="s">
        <v>9258</v>
      </c>
      <c r="C4112" t="s">
        <v>3692</v>
      </c>
      <c r="D4112" t="s">
        <v>3693</v>
      </c>
      <c r="E4112">
        <v>12</v>
      </c>
      <c r="F4112" s="6">
        <v>200</v>
      </c>
      <c r="G4112" t="s">
        <v>3705</v>
      </c>
    </row>
    <row r="4113" spans="1:7">
      <c r="A4113" t="s">
        <v>223</v>
      </c>
      <c r="B4113" t="s">
        <v>9259</v>
      </c>
      <c r="C4113" t="s">
        <v>3692</v>
      </c>
      <c r="D4113" t="s">
        <v>3693</v>
      </c>
      <c r="E4113">
        <v>12</v>
      </c>
      <c r="F4113" s="6">
        <v>375</v>
      </c>
      <c r="G4113" t="s">
        <v>3705</v>
      </c>
    </row>
    <row r="4114" spans="1:7">
      <c r="A4114" t="s">
        <v>3112</v>
      </c>
      <c r="B4114" t="s">
        <v>9259</v>
      </c>
      <c r="C4114" t="s">
        <v>3692</v>
      </c>
      <c r="D4114" t="s">
        <v>3693</v>
      </c>
      <c r="E4114">
        <v>12</v>
      </c>
      <c r="F4114" s="6">
        <v>750</v>
      </c>
      <c r="G4114" t="s">
        <v>3705</v>
      </c>
    </row>
    <row r="4115" spans="1:7">
      <c r="A4115" t="s">
        <v>2625</v>
      </c>
      <c r="B4115" t="s">
        <v>9260</v>
      </c>
      <c r="C4115" t="s">
        <v>3692</v>
      </c>
      <c r="D4115" t="s">
        <v>3693</v>
      </c>
      <c r="E4115">
        <v>6</v>
      </c>
      <c r="F4115" s="6">
        <v>750</v>
      </c>
      <c r="G4115" t="s">
        <v>3698</v>
      </c>
    </row>
    <row r="4116" spans="1:7">
      <c r="A4116" t="s">
        <v>9261</v>
      </c>
      <c r="B4116" t="s">
        <v>9262</v>
      </c>
      <c r="C4116" t="s">
        <v>3692</v>
      </c>
      <c r="D4116" t="s">
        <v>3693</v>
      </c>
      <c r="E4116">
        <v>6</v>
      </c>
      <c r="F4116" s="6">
        <v>750</v>
      </c>
      <c r="G4116" t="s">
        <v>3689</v>
      </c>
    </row>
    <row r="4117" spans="1:7">
      <c r="A4117" t="s">
        <v>9263</v>
      </c>
      <c r="B4117" t="s">
        <v>9264</v>
      </c>
      <c r="C4117" t="s">
        <v>3692</v>
      </c>
      <c r="D4117" t="s">
        <v>3693</v>
      </c>
      <c r="E4117">
        <v>6</v>
      </c>
      <c r="F4117" s="6">
        <v>750</v>
      </c>
      <c r="G4117" t="s">
        <v>9074</v>
      </c>
    </row>
    <row r="4118" spans="1:7">
      <c r="A4118" t="s">
        <v>46</v>
      </c>
      <c r="B4118" t="s">
        <v>9265</v>
      </c>
      <c r="C4118" t="s">
        <v>3692</v>
      </c>
      <c r="D4118" t="s">
        <v>3693</v>
      </c>
      <c r="E4118">
        <v>12</v>
      </c>
      <c r="F4118" s="6">
        <v>50</v>
      </c>
      <c r="G4118" t="s">
        <v>3716</v>
      </c>
    </row>
    <row r="4119" spans="1:7">
      <c r="A4119" t="s">
        <v>1895</v>
      </c>
      <c r="B4119" t="s">
        <v>9266</v>
      </c>
      <c r="C4119" t="s">
        <v>7442</v>
      </c>
      <c r="D4119" t="s">
        <v>7443</v>
      </c>
      <c r="E4119">
        <v>12</v>
      </c>
      <c r="F4119" s="6">
        <v>750</v>
      </c>
      <c r="G4119" t="s">
        <v>3716</v>
      </c>
    </row>
    <row r="4120" spans="1:7">
      <c r="A4120" t="s">
        <v>835</v>
      </c>
      <c r="B4120" t="s">
        <v>9266</v>
      </c>
      <c r="C4120" t="s">
        <v>7442</v>
      </c>
      <c r="D4120" t="s">
        <v>7443</v>
      </c>
      <c r="E4120">
        <v>12</v>
      </c>
      <c r="F4120" s="6">
        <v>1000</v>
      </c>
      <c r="G4120" t="s">
        <v>3716</v>
      </c>
    </row>
    <row r="4121" spans="1:7">
      <c r="A4121" t="s">
        <v>9267</v>
      </c>
      <c r="B4121" t="s">
        <v>9268</v>
      </c>
      <c r="C4121" t="s">
        <v>3692</v>
      </c>
      <c r="D4121" t="s">
        <v>3693</v>
      </c>
      <c r="E4121">
        <v>12</v>
      </c>
      <c r="F4121" s="6">
        <v>750</v>
      </c>
      <c r="G4121" t="s">
        <v>3716</v>
      </c>
    </row>
    <row r="4122" spans="1:7">
      <c r="A4122" t="s">
        <v>9269</v>
      </c>
      <c r="B4122" t="s">
        <v>9270</v>
      </c>
      <c r="C4122" t="s">
        <v>8664</v>
      </c>
      <c r="D4122" t="s">
        <v>8665</v>
      </c>
      <c r="E4122">
        <v>6</v>
      </c>
      <c r="F4122" s="6">
        <v>750</v>
      </c>
      <c r="G4122" t="s">
        <v>3730</v>
      </c>
    </row>
    <row r="4123" spans="1:7">
      <c r="A4123" t="s">
        <v>1453</v>
      </c>
      <c r="B4123" t="s">
        <v>9271</v>
      </c>
      <c r="C4123" t="s">
        <v>3692</v>
      </c>
      <c r="D4123" t="s">
        <v>3693</v>
      </c>
      <c r="E4123">
        <v>12</v>
      </c>
      <c r="F4123" s="6">
        <v>750</v>
      </c>
      <c r="G4123" t="s">
        <v>3716</v>
      </c>
    </row>
    <row r="4124" spans="1:7">
      <c r="A4124" t="s">
        <v>979</v>
      </c>
      <c r="B4124" t="s">
        <v>9272</v>
      </c>
      <c r="C4124" t="s">
        <v>3692</v>
      </c>
      <c r="D4124" t="s">
        <v>3693</v>
      </c>
      <c r="E4124">
        <v>12</v>
      </c>
      <c r="F4124" s="6">
        <v>1000</v>
      </c>
      <c r="G4124" t="s">
        <v>3716</v>
      </c>
    </row>
    <row r="4125" spans="1:7">
      <c r="A4125" t="s">
        <v>3210</v>
      </c>
      <c r="B4125" t="s">
        <v>9271</v>
      </c>
      <c r="C4125" t="s">
        <v>3692</v>
      </c>
      <c r="D4125" t="s">
        <v>3693</v>
      </c>
      <c r="E4125">
        <v>6</v>
      </c>
      <c r="F4125" s="6">
        <v>1750</v>
      </c>
      <c r="G4125" t="s">
        <v>3716</v>
      </c>
    </row>
    <row r="4126" spans="1:7">
      <c r="A4126" t="s">
        <v>1741</v>
      </c>
      <c r="B4126" t="s">
        <v>9273</v>
      </c>
      <c r="C4126" t="s">
        <v>3692</v>
      </c>
      <c r="D4126" t="s">
        <v>3693</v>
      </c>
      <c r="E4126">
        <v>12</v>
      </c>
      <c r="F4126" s="6">
        <v>750</v>
      </c>
      <c r="G4126" t="s">
        <v>3716</v>
      </c>
    </row>
    <row r="4127" spans="1:7">
      <c r="A4127" t="s">
        <v>813</v>
      </c>
      <c r="B4127" t="s">
        <v>9274</v>
      </c>
      <c r="C4127" t="s">
        <v>3692</v>
      </c>
      <c r="D4127" t="s">
        <v>3693</v>
      </c>
      <c r="E4127">
        <v>6</v>
      </c>
      <c r="F4127" s="6">
        <v>750</v>
      </c>
      <c r="G4127" t="s">
        <v>3716</v>
      </c>
    </row>
    <row r="4128" spans="1:7">
      <c r="A4128" t="s">
        <v>2458</v>
      </c>
      <c r="B4128" t="s">
        <v>9275</v>
      </c>
      <c r="C4128" t="s">
        <v>7442</v>
      </c>
      <c r="D4128" t="s">
        <v>7443</v>
      </c>
      <c r="E4128">
        <v>12</v>
      </c>
      <c r="F4128" s="6">
        <v>1000</v>
      </c>
      <c r="G4128" t="s">
        <v>3686</v>
      </c>
    </row>
    <row r="4129" spans="1:7">
      <c r="A4129" t="s">
        <v>3389</v>
      </c>
      <c r="B4129" t="s">
        <v>9276</v>
      </c>
      <c r="C4129" t="s">
        <v>7442</v>
      </c>
      <c r="D4129" t="s">
        <v>7443</v>
      </c>
      <c r="E4129">
        <v>12</v>
      </c>
      <c r="F4129" s="6">
        <v>750</v>
      </c>
      <c r="G4129" t="s">
        <v>3686</v>
      </c>
    </row>
    <row r="4130" spans="1:7">
      <c r="A4130" t="s">
        <v>9277</v>
      </c>
      <c r="B4130" t="s">
        <v>9278</v>
      </c>
      <c r="C4130" t="s">
        <v>3692</v>
      </c>
      <c r="D4130" t="s">
        <v>3693</v>
      </c>
      <c r="E4130">
        <v>6</v>
      </c>
      <c r="F4130" s="6">
        <v>750</v>
      </c>
      <c r="G4130" t="s">
        <v>3931</v>
      </c>
    </row>
    <row r="4131" spans="1:7">
      <c r="A4131" t="s">
        <v>9279</v>
      </c>
      <c r="B4131" t="s">
        <v>9280</v>
      </c>
      <c r="C4131" t="s">
        <v>8664</v>
      </c>
      <c r="D4131" t="s">
        <v>8665</v>
      </c>
      <c r="E4131">
        <v>6</v>
      </c>
      <c r="F4131" s="6">
        <v>750</v>
      </c>
      <c r="G4131" t="s">
        <v>3702</v>
      </c>
    </row>
    <row r="4132" spans="1:7">
      <c r="A4132" t="s">
        <v>9281</v>
      </c>
      <c r="B4132" t="s">
        <v>9282</v>
      </c>
      <c r="C4132" t="s">
        <v>3692</v>
      </c>
      <c r="D4132" t="s">
        <v>3693</v>
      </c>
      <c r="E4132">
        <v>6</v>
      </c>
      <c r="F4132" s="6">
        <v>750</v>
      </c>
      <c r="G4132" t="s">
        <v>3802</v>
      </c>
    </row>
    <row r="4133" spans="1:7">
      <c r="A4133" t="s">
        <v>9283</v>
      </c>
      <c r="B4133" t="s">
        <v>9284</v>
      </c>
      <c r="C4133" t="s">
        <v>3692</v>
      </c>
      <c r="D4133" t="s">
        <v>3693</v>
      </c>
      <c r="E4133">
        <v>6</v>
      </c>
      <c r="F4133" s="6">
        <v>750</v>
      </c>
      <c r="G4133" t="s">
        <v>3802</v>
      </c>
    </row>
    <row r="4134" spans="1:7">
      <c r="A4134" t="s">
        <v>9285</v>
      </c>
      <c r="B4134" t="s">
        <v>9286</v>
      </c>
      <c r="C4134" t="s">
        <v>3692</v>
      </c>
      <c r="D4134" t="s">
        <v>3693</v>
      </c>
      <c r="E4134">
        <v>6</v>
      </c>
      <c r="F4134" s="6">
        <v>750</v>
      </c>
      <c r="G4134" t="s">
        <v>3802</v>
      </c>
    </row>
    <row r="4135" spans="1:7">
      <c r="A4135" t="s">
        <v>9287</v>
      </c>
      <c r="B4135" t="s">
        <v>9288</v>
      </c>
      <c r="C4135" t="s">
        <v>4455</v>
      </c>
      <c r="D4135" t="s">
        <v>4456</v>
      </c>
      <c r="E4135">
        <v>6</v>
      </c>
      <c r="F4135" s="6">
        <v>750</v>
      </c>
      <c r="G4135" t="s">
        <v>3694</v>
      </c>
    </row>
    <row r="4136" spans="1:7">
      <c r="A4136" t="s">
        <v>9289</v>
      </c>
      <c r="B4136" t="s">
        <v>9290</v>
      </c>
      <c r="C4136" t="s">
        <v>8664</v>
      </c>
      <c r="D4136" t="s">
        <v>8665</v>
      </c>
      <c r="E4136">
        <v>6</v>
      </c>
      <c r="F4136" s="6">
        <v>750</v>
      </c>
      <c r="G4136" t="s">
        <v>8869</v>
      </c>
    </row>
    <row r="4137" spans="1:7">
      <c r="A4137" t="s">
        <v>9291</v>
      </c>
      <c r="B4137" t="s">
        <v>9292</v>
      </c>
      <c r="C4137" t="s">
        <v>8664</v>
      </c>
      <c r="D4137" t="s">
        <v>8665</v>
      </c>
      <c r="E4137">
        <v>6</v>
      </c>
      <c r="F4137" s="6">
        <v>750</v>
      </c>
      <c r="G4137" t="s">
        <v>8869</v>
      </c>
    </row>
    <row r="4138" spans="1:7">
      <c r="A4138" t="s">
        <v>9293</v>
      </c>
      <c r="B4138" t="s">
        <v>9294</v>
      </c>
      <c r="C4138" t="s">
        <v>4455</v>
      </c>
      <c r="D4138" t="s">
        <v>4456</v>
      </c>
      <c r="E4138">
        <v>6</v>
      </c>
      <c r="F4138" s="6">
        <v>750</v>
      </c>
      <c r="G4138" t="s">
        <v>3694</v>
      </c>
    </row>
    <row r="4139" spans="1:7">
      <c r="A4139" t="s">
        <v>9295</v>
      </c>
      <c r="B4139" t="s">
        <v>9296</v>
      </c>
      <c r="C4139" t="s">
        <v>4170</v>
      </c>
      <c r="D4139" t="s">
        <v>4171</v>
      </c>
      <c r="E4139">
        <v>12</v>
      </c>
      <c r="F4139" s="6">
        <v>750</v>
      </c>
      <c r="G4139" t="s">
        <v>3702</v>
      </c>
    </row>
    <row r="4140" spans="1:7">
      <c r="A4140" t="s">
        <v>9297</v>
      </c>
      <c r="B4140" t="s">
        <v>9298</v>
      </c>
      <c r="C4140" t="s">
        <v>4170</v>
      </c>
      <c r="D4140" t="s">
        <v>4171</v>
      </c>
      <c r="E4140">
        <v>12</v>
      </c>
      <c r="F4140" s="6">
        <v>750</v>
      </c>
      <c r="G4140" t="s">
        <v>3702</v>
      </c>
    </row>
    <row r="4141" spans="1:7">
      <c r="A4141" t="s">
        <v>9299</v>
      </c>
      <c r="B4141" t="s">
        <v>9300</v>
      </c>
      <c r="C4141" t="s">
        <v>4170</v>
      </c>
      <c r="D4141" t="s">
        <v>4171</v>
      </c>
      <c r="E4141">
        <v>12</v>
      </c>
      <c r="F4141" s="6">
        <v>750</v>
      </c>
      <c r="G4141" t="s">
        <v>3702</v>
      </c>
    </row>
    <row r="4142" spans="1:7">
      <c r="A4142" t="s">
        <v>9301</v>
      </c>
      <c r="B4142" t="s">
        <v>9302</v>
      </c>
      <c r="C4142" t="s">
        <v>3679</v>
      </c>
      <c r="D4142" t="s">
        <v>3680</v>
      </c>
      <c r="E4142">
        <v>6</v>
      </c>
      <c r="F4142" s="6">
        <v>750</v>
      </c>
      <c r="G4142" t="s">
        <v>3888</v>
      </c>
    </row>
    <row r="4143" spans="1:7">
      <c r="A4143" t="s">
        <v>9303</v>
      </c>
      <c r="B4143" t="s">
        <v>9304</v>
      </c>
      <c r="C4143" t="s">
        <v>4084</v>
      </c>
      <c r="D4143" t="s">
        <v>4085</v>
      </c>
      <c r="E4143">
        <v>6</v>
      </c>
      <c r="F4143" s="6">
        <v>750</v>
      </c>
      <c r="G4143" t="s">
        <v>3705</v>
      </c>
    </row>
    <row r="4144" spans="1:7">
      <c r="A4144" t="s">
        <v>9305</v>
      </c>
      <c r="B4144" t="s">
        <v>9306</v>
      </c>
      <c r="C4144" t="s">
        <v>3718</v>
      </c>
      <c r="D4144" t="s">
        <v>3719</v>
      </c>
      <c r="E4144">
        <v>6</v>
      </c>
      <c r="F4144" s="6">
        <v>750</v>
      </c>
      <c r="G4144" t="s">
        <v>3802</v>
      </c>
    </row>
    <row r="4145" spans="1:7">
      <c r="A4145" t="s">
        <v>9307</v>
      </c>
      <c r="B4145" t="s">
        <v>9308</v>
      </c>
      <c r="C4145" t="s">
        <v>3928</v>
      </c>
      <c r="D4145" t="s">
        <v>3929</v>
      </c>
      <c r="E4145">
        <v>6</v>
      </c>
      <c r="F4145" s="6">
        <v>750</v>
      </c>
      <c r="G4145" t="s">
        <v>3694</v>
      </c>
    </row>
    <row r="4146" spans="1:7">
      <c r="A4146" t="s">
        <v>3339</v>
      </c>
      <c r="B4146" t="s">
        <v>9309</v>
      </c>
      <c r="C4146" t="s">
        <v>3692</v>
      </c>
      <c r="D4146" t="s">
        <v>3693</v>
      </c>
      <c r="E4146">
        <v>6</v>
      </c>
      <c r="F4146" s="6">
        <v>700</v>
      </c>
      <c r="G4146" t="s">
        <v>3686</v>
      </c>
    </row>
    <row r="4147" spans="1:7">
      <c r="A4147" t="s">
        <v>9310</v>
      </c>
      <c r="B4147" t="s">
        <v>9311</v>
      </c>
      <c r="C4147" t="s">
        <v>4023</v>
      </c>
      <c r="D4147" t="s">
        <v>4024</v>
      </c>
      <c r="E4147">
        <v>6</v>
      </c>
      <c r="F4147" s="6">
        <v>750</v>
      </c>
      <c r="G4147" t="s">
        <v>9312</v>
      </c>
    </row>
    <row r="4148" spans="1:7">
      <c r="A4148" t="s">
        <v>9313</v>
      </c>
      <c r="B4148" t="s">
        <v>9314</v>
      </c>
      <c r="C4148" t="s">
        <v>3692</v>
      </c>
      <c r="D4148" t="s">
        <v>3693</v>
      </c>
      <c r="E4148">
        <v>6</v>
      </c>
      <c r="F4148" s="6">
        <v>700</v>
      </c>
      <c r="G4148" t="s">
        <v>3686</v>
      </c>
    </row>
    <row r="4149" spans="1:7">
      <c r="A4149" t="s">
        <v>9315</v>
      </c>
      <c r="B4149" t="s">
        <v>9316</v>
      </c>
      <c r="C4149" t="s">
        <v>3692</v>
      </c>
      <c r="D4149" t="s">
        <v>3693</v>
      </c>
      <c r="E4149">
        <v>6</v>
      </c>
      <c r="F4149" s="6">
        <v>750</v>
      </c>
      <c r="G4149" t="s">
        <v>8748</v>
      </c>
    </row>
    <row r="4150" spans="1:7">
      <c r="A4150" t="s">
        <v>9317</v>
      </c>
      <c r="B4150" t="s">
        <v>9318</v>
      </c>
      <c r="C4150" t="s">
        <v>9319</v>
      </c>
      <c r="D4150" t="s">
        <v>9320</v>
      </c>
      <c r="E4150">
        <v>6</v>
      </c>
      <c r="F4150" s="6">
        <v>750</v>
      </c>
      <c r="G4150" t="s">
        <v>5084</v>
      </c>
    </row>
    <row r="4151" spans="1:7">
      <c r="A4151" t="s">
        <v>9321</v>
      </c>
      <c r="B4151" t="s">
        <v>9322</v>
      </c>
      <c r="C4151" t="s">
        <v>3684</v>
      </c>
      <c r="D4151" t="s">
        <v>3685</v>
      </c>
      <c r="E4151">
        <v>6</v>
      </c>
      <c r="F4151" s="6">
        <v>750</v>
      </c>
      <c r="G4151" t="s">
        <v>3730</v>
      </c>
    </row>
    <row r="4152" spans="1:7">
      <c r="A4152" t="s">
        <v>551</v>
      </c>
      <c r="B4152" t="s">
        <v>9323</v>
      </c>
      <c r="C4152" t="s">
        <v>9319</v>
      </c>
      <c r="D4152" t="s">
        <v>9320</v>
      </c>
      <c r="E4152">
        <v>12</v>
      </c>
      <c r="F4152" s="6">
        <v>750</v>
      </c>
      <c r="G4152" t="s">
        <v>3702</v>
      </c>
    </row>
    <row r="4153" spans="1:7">
      <c r="A4153" t="s">
        <v>9324</v>
      </c>
      <c r="B4153" t="s">
        <v>9325</v>
      </c>
      <c r="C4153" t="s">
        <v>9319</v>
      </c>
      <c r="D4153" t="s">
        <v>9320</v>
      </c>
      <c r="E4153">
        <v>6</v>
      </c>
      <c r="F4153" s="6">
        <v>750</v>
      </c>
      <c r="G4153" t="s">
        <v>3713</v>
      </c>
    </row>
    <row r="4154" spans="1:7">
      <c r="A4154" t="s">
        <v>9326</v>
      </c>
      <c r="B4154" t="s">
        <v>9327</v>
      </c>
      <c r="C4154" t="s">
        <v>9319</v>
      </c>
      <c r="D4154" t="s">
        <v>9320</v>
      </c>
      <c r="E4154">
        <v>6</v>
      </c>
      <c r="F4154" s="6">
        <v>750</v>
      </c>
      <c r="G4154" t="s">
        <v>3713</v>
      </c>
    </row>
    <row r="4155" spans="1:7">
      <c r="A4155" t="s">
        <v>9328</v>
      </c>
      <c r="B4155" t="s">
        <v>9329</v>
      </c>
      <c r="C4155" t="s">
        <v>9319</v>
      </c>
      <c r="D4155" t="s">
        <v>9320</v>
      </c>
      <c r="E4155">
        <v>6</v>
      </c>
      <c r="F4155" s="6">
        <v>750</v>
      </c>
      <c r="G4155" t="s">
        <v>4117</v>
      </c>
    </row>
    <row r="4156" spans="1:7">
      <c r="A4156" t="s">
        <v>9330</v>
      </c>
      <c r="B4156" t="s">
        <v>9331</v>
      </c>
      <c r="C4156" t="s">
        <v>4071</v>
      </c>
      <c r="D4156" t="s">
        <v>4072</v>
      </c>
      <c r="E4156">
        <v>6</v>
      </c>
      <c r="F4156" s="6">
        <v>50</v>
      </c>
      <c r="G4156" t="s">
        <v>3686</v>
      </c>
    </row>
    <row r="4157" spans="1:7">
      <c r="A4157" t="s">
        <v>9332</v>
      </c>
      <c r="B4157" t="s">
        <v>6649</v>
      </c>
      <c r="C4157" t="s">
        <v>9319</v>
      </c>
      <c r="D4157" t="s">
        <v>9320</v>
      </c>
      <c r="E4157">
        <v>6</v>
      </c>
      <c r="F4157" s="6">
        <v>1750</v>
      </c>
      <c r="G4157" t="s">
        <v>3730</v>
      </c>
    </row>
    <row r="4158" spans="1:7">
      <c r="A4158" t="s">
        <v>9333</v>
      </c>
      <c r="B4158" t="s">
        <v>9334</v>
      </c>
      <c r="C4158" t="s">
        <v>4052</v>
      </c>
      <c r="D4158" t="s">
        <v>4053</v>
      </c>
      <c r="E4158">
        <v>12</v>
      </c>
      <c r="F4158" s="6">
        <v>750</v>
      </c>
      <c r="G4158" t="s">
        <v>9335</v>
      </c>
    </row>
    <row r="4159" spans="1:7">
      <c r="A4159" t="s">
        <v>9336</v>
      </c>
      <c r="B4159" t="s">
        <v>9337</v>
      </c>
      <c r="C4159" t="s">
        <v>9319</v>
      </c>
      <c r="D4159" t="s">
        <v>9320</v>
      </c>
      <c r="E4159">
        <v>12</v>
      </c>
      <c r="F4159" s="6">
        <v>750</v>
      </c>
      <c r="G4159" t="s">
        <v>9335</v>
      </c>
    </row>
    <row r="4160" spans="1:7">
      <c r="A4160" t="s">
        <v>9338</v>
      </c>
      <c r="B4160" t="s">
        <v>9339</v>
      </c>
      <c r="C4160" t="s">
        <v>9319</v>
      </c>
      <c r="D4160" t="s">
        <v>9320</v>
      </c>
      <c r="E4160">
        <v>6</v>
      </c>
      <c r="F4160" s="6">
        <v>750</v>
      </c>
      <c r="G4160" t="s">
        <v>6746</v>
      </c>
    </row>
    <row r="4161" spans="1:7">
      <c r="A4161" t="s">
        <v>9340</v>
      </c>
      <c r="B4161" t="s">
        <v>9341</v>
      </c>
      <c r="C4161" t="s">
        <v>9319</v>
      </c>
      <c r="D4161" t="s">
        <v>9320</v>
      </c>
      <c r="E4161">
        <v>12</v>
      </c>
      <c r="F4161" s="6">
        <v>750</v>
      </c>
      <c r="G4161" t="s">
        <v>3730</v>
      </c>
    </row>
    <row r="4162" spans="1:7">
      <c r="A4162" t="s">
        <v>9342</v>
      </c>
      <c r="B4162" t="s">
        <v>9343</v>
      </c>
      <c r="C4162" t="s">
        <v>9319</v>
      </c>
      <c r="D4162" t="s">
        <v>9320</v>
      </c>
      <c r="E4162">
        <v>12</v>
      </c>
      <c r="F4162" s="6">
        <v>1000</v>
      </c>
      <c r="G4162" t="s">
        <v>9344</v>
      </c>
    </row>
    <row r="4163" spans="1:7">
      <c r="A4163" t="s">
        <v>9345</v>
      </c>
      <c r="B4163" t="s">
        <v>9346</v>
      </c>
      <c r="C4163" t="s">
        <v>3692</v>
      </c>
      <c r="D4163" t="s">
        <v>3693</v>
      </c>
      <c r="E4163">
        <v>4</v>
      </c>
      <c r="F4163" s="6">
        <v>750</v>
      </c>
      <c r="G4163" t="s">
        <v>3987</v>
      </c>
    </row>
    <row r="4164" spans="1:7">
      <c r="A4164" t="s">
        <v>9347</v>
      </c>
      <c r="B4164" t="s">
        <v>9348</v>
      </c>
      <c r="C4164" t="s">
        <v>4084</v>
      </c>
      <c r="D4164" t="s">
        <v>4085</v>
      </c>
      <c r="E4164">
        <v>6</v>
      </c>
      <c r="F4164" s="6">
        <v>750</v>
      </c>
      <c r="G4164" t="s">
        <v>9349</v>
      </c>
    </row>
    <row r="4165" spans="1:7">
      <c r="A4165" t="s">
        <v>2780</v>
      </c>
      <c r="B4165" t="s">
        <v>9350</v>
      </c>
      <c r="C4165" t="s">
        <v>3684</v>
      </c>
      <c r="D4165" t="s">
        <v>3685</v>
      </c>
      <c r="E4165">
        <v>1</v>
      </c>
      <c r="F4165" s="6">
        <v>750</v>
      </c>
      <c r="G4165" t="s">
        <v>3686</v>
      </c>
    </row>
    <row r="4166" spans="1:7">
      <c r="A4166" t="s">
        <v>2217</v>
      </c>
      <c r="B4166" t="s">
        <v>9351</v>
      </c>
      <c r="C4166" t="s">
        <v>6442</v>
      </c>
      <c r="D4166" t="s">
        <v>6443</v>
      </c>
      <c r="E4166">
        <v>12</v>
      </c>
      <c r="F4166" s="6">
        <v>750</v>
      </c>
      <c r="G4166" t="s">
        <v>3702</v>
      </c>
    </row>
    <row r="4167" spans="1:7">
      <c r="A4167" t="s">
        <v>9352</v>
      </c>
      <c r="B4167" t="s">
        <v>9353</v>
      </c>
      <c r="C4167" t="s">
        <v>9319</v>
      </c>
      <c r="D4167" t="s">
        <v>9320</v>
      </c>
      <c r="E4167">
        <v>12</v>
      </c>
      <c r="F4167" s="6">
        <v>750</v>
      </c>
      <c r="G4167" t="s">
        <v>3702</v>
      </c>
    </row>
    <row r="4168" spans="1:7">
      <c r="A4168" t="s">
        <v>9354</v>
      </c>
      <c r="B4168" t="s">
        <v>9355</v>
      </c>
      <c r="C4168" t="s">
        <v>4170</v>
      </c>
      <c r="D4168" t="s">
        <v>4171</v>
      </c>
      <c r="E4168">
        <v>12</v>
      </c>
      <c r="F4168" s="6">
        <v>750</v>
      </c>
      <c r="G4168" t="s">
        <v>3702</v>
      </c>
    </row>
    <row r="4169" spans="1:7">
      <c r="A4169" t="s">
        <v>9356</v>
      </c>
      <c r="B4169" t="s">
        <v>9357</v>
      </c>
      <c r="C4169" t="s">
        <v>9319</v>
      </c>
      <c r="D4169" t="s">
        <v>9320</v>
      </c>
      <c r="E4169">
        <v>12</v>
      </c>
      <c r="F4169" s="6">
        <v>1000</v>
      </c>
      <c r="G4169" t="s">
        <v>3686</v>
      </c>
    </row>
    <row r="4170" spans="1:7">
      <c r="A4170" t="s">
        <v>9358</v>
      </c>
      <c r="B4170" t="s">
        <v>9359</v>
      </c>
      <c r="C4170" t="s">
        <v>9319</v>
      </c>
      <c r="D4170" t="s">
        <v>9320</v>
      </c>
      <c r="E4170">
        <v>6</v>
      </c>
      <c r="F4170" s="6">
        <v>750</v>
      </c>
      <c r="G4170" t="s">
        <v>3802</v>
      </c>
    </row>
    <row r="4171" spans="1:7">
      <c r="A4171" t="s">
        <v>9360</v>
      </c>
      <c r="B4171" t="s">
        <v>9361</v>
      </c>
      <c r="C4171" t="s">
        <v>9319</v>
      </c>
      <c r="D4171" t="s">
        <v>9320</v>
      </c>
      <c r="E4171">
        <v>12</v>
      </c>
      <c r="F4171" s="6">
        <v>750</v>
      </c>
      <c r="G4171" t="s">
        <v>3702</v>
      </c>
    </row>
    <row r="4172" spans="1:7">
      <c r="A4172" t="s">
        <v>9362</v>
      </c>
      <c r="B4172" t="s">
        <v>9363</v>
      </c>
      <c r="C4172" t="s">
        <v>5804</v>
      </c>
      <c r="D4172" t="s">
        <v>5805</v>
      </c>
      <c r="E4172">
        <v>4</v>
      </c>
      <c r="F4172" s="6">
        <v>750</v>
      </c>
      <c r="G4172" t="s">
        <v>3730</v>
      </c>
    </row>
    <row r="4173" spans="1:7">
      <c r="A4173" t="s">
        <v>9364</v>
      </c>
      <c r="B4173" t="s">
        <v>9365</v>
      </c>
      <c r="C4173" t="s">
        <v>9319</v>
      </c>
      <c r="D4173" t="s">
        <v>9320</v>
      </c>
      <c r="E4173">
        <v>6</v>
      </c>
      <c r="F4173" s="6">
        <v>750</v>
      </c>
      <c r="G4173" t="s">
        <v>9366</v>
      </c>
    </row>
    <row r="4174" spans="1:7">
      <c r="A4174" t="s">
        <v>9367</v>
      </c>
      <c r="B4174" t="s">
        <v>9368</v>
      </c>
      <c r="C4174" t="s">
        <v>3684</v>
      </c>
      <c r="D4174" t="s">
        <v>3685</v>
      </c>
      <c r="E4174">
        <v>6</v>
      </c>
      <c r="F4174" s="6">
        <v>1750</v>
      </c>
      <c r="G4174" t="s">
        <v>6746</v>
      </c>
    </row>
    <row r="4175" spans="1:7">
      <c r="A4175" t="s">
        <v>9369</v>
      </c>
      <c r="B4175" t="s">
        <v>9370</v>
      </c>
      <c r="C4175" t="s">
        <v>9319</v>
      </c>
      <c r="D4175" t="s">
        <v>9320</v>
      </c>
      <c r="E4175">
        <v>6</v>
      </c>
      <c r="F4175" s="6">
        <v>750</v>
      </c>
      <c r="G4175" t="s">
        <v>3716</v>
      </c>
    </row>
    <row r="4176" spans="1:7">
      <c r="A4176" t="s">
        <v>9371</v>
      </c>
      <c r="B4176" t="s">
        <v>9372</v>
      </c>
      <c r="C4176" t="s">
        <v>9319</v>
      </c>
      <c r="D4176" t="s">
        <v>9320</v>
      </c>
      <c r="E4176">
        <v>12</v>
      </c>
      <c r="F4176" s="6">
        <v>750</v>
      </c>
      <c r="G4176" t="s">
        <v>3681</v>
      </c>
    </row>
    <row r="4177" spans="1:7">
      <c r="A4177" t="s">
        <v>9373</v>
      </c>
      <c r="B4177" t="s">
        <v>9374</v>
      </c>
      <c r="C4177" t="s">
        <v>4084</v>
      </c>
      <c r="D4177" t="s">
        <v>4085</v>
      </c>
      <c r="E4177">
        <v>3</v>
      </c>
      <c r="F4177" s="6">
        <v>750</v>
      </c>
      <c r="G4177" t="s">
        <v>3681</v>
      </c>
    </row>
    <row r="4178" spans="1:7">
      <c r="A4178" t="s">
        <v>9375</v>
      </c>
      <c r="B4178" t="s">
        <v>9376</v>
      </c>
      <c r="C4178" t="s">
        <v>9319</v>
      </c>
      <c r="D4178" t="s">
        <v>9320</v>
      </c>
      <c r="E4178">
        <v>6</v>
      </c>
      <c r="F4178" s="6">
        <v>750</v>
      </c>
      <c r="G4178" t="s">
        <v>3689</v>
      </c>
    </row>
    <row r="4179" spans="1:7">
      <c r="A4179" t="s">
        <v>9377</v>
      </c>
      <c r="B4179" t="s">
        <v>9378</v>
      </c>
      <c r="C4179" t="s">
        <v>3928</v>
      </c>
      <c r="D4179" t="s">
        <v>3929</v>
      </c>
      <c r="E4179">
        <v>3</v>
      </c>
      <c r="F4179" s="6">
        <v>750</v>
      </c>
      <c r="G4179" t="s">
        <v>3686</v>
      </c>
    </row>
    <row r="4180" spans="1:7">
      <c r="A4180" t="s">
        <v>9379</v>
      </c>
      <c r="B4180" t="s">
        <v>9380</v>
      </c>
      <c r="C4180" t="s">
        <v>3928</v>
      </c>
      <c r="D4180" t="s">
        <v>3929</v>
      </c>
      <c r="E4180">
        <v>3</v>
      </c>
      <c r="F4180" s="6">
        <v>750</v>
      </c>
      <c r="G4180" t="s">
        <v>3686</v>
      </c>
    </row>
    <row r="4181" spans="1:7">
      <c r="A4181" t="s">
        <v>9381</v>
      </c>
      <c r="B4181" t="s">
        <v>9382</v>
      </c>
      <c r="C4181" t="s">
        <v>9319</v>
      </c>
      <c r="D4181" t="s">
        <v>9320</v>
      </c>
      <c r="E4181">
        <v>12</v>
      </c>
      <c r="F4181" s="6">
        <v>750</v>
      </c>
      <c r="G4181" t="s">
        <v>3802</v>
      </c>
    </row>
    <row r="4182" spans="1:7">
      <c r="A4182" t="s">
        <v>9383</v>
      </c>
      <c r="B4182" t="s">
        <v>4077</v>
      </c>
      <c r="C4182" t="s">
        <v>3708</v>
      </c>
      <c r="D4182" t="s">
        <v>3709</v>
      </c>
      <c r="E4182">
        <v>1</v>
      </c>
      <c r="F4182" s="6">
        <v>5250</v>
      </c>
      <c r="G4182" t="s">
        <v>3686</v>
      </c>
    </row>
    <row r="4183" spans="1:7">
      <c r="A4183" t="s">
        <v>2743</v>
      </c>
      <c r="B4183" t="s">
        <v>9384</v>
      </c>
      <c r="C4183" t="s">
        <v>3718</v>
      </c>
      <c r="D4183" t="s">
        <v>3719</v>
      </c>
      <c r="E4183">
        <v>6</v>
      </c>
      <c r="F4183" s="6">
        <v>750</v>
      </c>
      <c r="G4183" t="s">
        <v>3716</v>
      </c>
    </row>
    <row r="4184" spans="1:7">
      <c r="A4184" t="s">
        <v>9385</v>
      </c>
      <c r="B4184" t="s">
        <v>9386</v>
      </c>
      <c r="C4184" t="s">
        <v>6442</v>
      </c>
      <c r="D4184" t="s">
        <v>6443</v>
      </c>
      <c r="E4184">
        <v>12</v>
      </c>
      <c r="F4184" s="6">
        <v>750</v>
      </c>
      <c r="G4184" t="s">
        <v>3705</v>
      </c>
    </row>
    <row r="4185" spans="1:7">
      <c r="A4185" t="s">
        <v>9387</v>
      </c>
      <c r="B4185" t="s">
        <v>9388</v>
      </c>
      <c r="C4185" t="s">
        <v>4023</v>
      </c>
      <c r="D4185" t="s">
        <v>4024</v>
      </c>
      <c r="E4185">
        <v>12</v>
      </c>
      <c r="F4185" s="6">
        <v>750</v>
      </c>
      <c r="G4185" t="s">
        <v>4300</v>
      </c>
    </row>
    <row r="4186" spans="1:7">
      <c r="A4186" t="s">
        <v>9389</v>
      </c>
      <c r="B4186" t="s">
        <v>9390</v>
      </c>
      <c r="C4186" t="s">
        <v>9319</v>
      </c>
      <c r="D4186" t="s">
        <v>9320</v>
      </c>
      <c r="E4186">
        <v>6</v>
      </c>
      <c r="F4186" s="6">
        <v>750</v>
      </c>
      <c r="G4186" t="s">
        <v>4344</v>
      </c>
    </row>
    <row r="4187" spans="1:7">
      <c r="A4187" t="s">
        <v>463</v>
      </c>
      <c r="B4187" t="s">
        <v>9391</v>
      </c>
      <c r="C4187" t="s">
        <v>4474</v>
      </c>
      <c r="D4187" t="s">
        <v>4475</v>
      </c>
      <c r="E4187">
        <v>12</v>
      </c>
      <c r="F4187" s="6">
        <v>750</v>
      </c>
      <c r="G4187" t="s">
        <v>3931</v>
      </c>
    </row>
    <row r="4188" spans="1:7">
      <c r="A4188" t="s">
        <v>9392</v>
      </c>
      <c r="B4188" t="s">
        <v>9393</v>
      </c>
      <c r="C4188" t="s">
        <v>9319</v>
      </c>
      <c r="D4188" t="s">
        <v>9320</v>
      </c>
      <c r="E4188">
        <v>12</v>
      </c>
      <c r="F4188" s="6">
        <v>1000</v>
      </c>
      <c r="G4188" t="s">
        <v>4300</v>
      </c>
    </row>
    <row r="4189" spans="1:7">
      <c r="A4189" t="s">
        <v>3581</v>
      </c>
      <c r="B4189" t="s">
        <v>9394</v>
      </c>
      <c r="C4189" t="s">
        <v>9319</v>
      </c>
      <c r="D4189" t="s">
        <v>9320</v>
      </c>
      <c r="E4189">
        <v>6</v>
      </c>
      <c r="F4189" s="6">
        <v>1750</v>
      </c>
      <c r="G4189" t="s">
        <v>6906</v>
      </c>
    </row>
    <row r="4190" spans="1:7">
      <c r="A4190" t="s">
        <v>9395</v>
      </c>
      <c r="B4190" t="s">
        <v>9396</v>
      </c>
      <c r="C4190" t="s">
        <v>3928</v>
      </c>
      <c r="D4190" t="s">
        <v>3929</v>
      </c>
      <c r="E4190">
        <v>1</v>
      </c>
      <c r="F4190" s="6">
        <v>375</v>
      </c>
      <c r="G4190" t="s">
        <v>3686</v>
      </c>
    </row>
    <row r="4191" spans="1:7">
      <c r="A4191" t="s">
        <v>9397</v>
      </c>
      <c r="B4191" t="s">
        <v>9398</v>
      </c>
      <c r="C4191" t="s">
        <v>9319</v>
      </c>
      <c r="D4191" t="s">
        <v>9320</v>
      </c>
      <c r="E4191">
        <v>12</v>
      </c>
      <c r="F4191" s="6">
        <v>750</v>
      </c>
      <c r="G4191" t="s">
        <v>3716</v>
      </c>
    </row>
    <row r="4192" spans="1:7">
      <c r="A4192" t="s">
        <v>9399</v>
      </c>
      <c r="B4192" t="s">
        <v>9400</v>
      </c>
      <c r="C4192" t="s">
        <v>4084</v>
      </c>
      <c r="D4192" t="s">
        <v>4085</v>
      </c>
      <c r="E4192">
        <v>12</v>
      </c>
      <c r="F4192" s="6">
        <v>750</v>
      </c>
      <c r="G4192" t="s">
        <v>3716</v>
      </c>
    </row>
    <row r="4193" spans="1:7">
      <c r="A4193" t="s">
        <v>9401</v>
      </c>
      <c r="B4193" t="s">
        <v>9402</v>
      </c>
      <c r="C4193" t="s">
        <v>3692</v>
      </c>
      <c r="D4193" t="s">
        <v>3693</v>
      </c>
      <c r="E4193">
        <v>6</v>
      </c>
      <c r="F4193" s="6">
        <v>750</v>
      </c>
      <c r="G4193" t="s">
        <v>3716</v>
      </c>
    </row>
    <row r="4194" spans="1:7">
      <c r="A4194" t="s">
        <v>1149</v>
      </c>
      <c r="B4194" t="s">
        <v>9403</v>
      </c>
      <c r="C4194" t="s">
        <v>9319</v>
      </c>
      <c r="D4194" t="s">
        <v>9320</v>
      </c>
      <c r="E4194">
        <v>6</v>
      </c>
      <c r="F4194" s="6">
        <v>750</v>
      </c>
      <c r="G4194" t="s">
        <v>5698</v>
      </c>
    </row>
    <row r="4195" spans="1:7">
      <c r="A4195" t="s">
        <v>9404</v>
      </c>
      <c r="B4195" t="s">
        <v>9405</v>
      </c>
      <c r="C4195" t="s">
        <v>3692</v>
      </c>
      <c r="D4195" t="s">
        <v>3693</v>
      </c>
      <c r="E4195">
        <v>6</v>
      </c>
      <c r="F4195" s="6">
        <v>750</v>
      </c>
      <c r="G4195" t="s">
        <v>3716</v>
      </c>
    </row>
    <row r="4196" spans="1:7">
      <c r="A4196" t="s">
        <v>9406</v>
      </c>
      <c r="B4196" t="s">
        <v>9407</v>
      </c>
      <c r="C4196" t="s">
        <v>9319</v>
      </c>
      <c r="D4196" t="s">
        <v>9320</v>
      </c>
      <c r="E4196">
        <v>12</v>
      </c>
      <c r="F4196" s="6">
        <v>1000</v>
      </c>
      <c r="G4196" t="s">
        <v>3686</v>
      </c>
    </row>
    <row r="4197" spans="1:7">
      <c r="A4197" t="s">
        <v>9408</v>
      </c>
      <c r="B4197" t="s">
        <v>9409</v>
      </c>
      <c r="C4197" t="s">
        <v>3708</v>
      </c>
      <c r="D4197" t="s">
        <v>3709</v>
      </c>
      <c r="E4197">
        <v>7</v>
      </c>
      <c r="F4197" s="6">
        <v>50</v>
      </c>
      <c r="G4197" t="s">
        <v>3686</v>
      </c>
    </row>
    <row r="4198" spans="1:7">
      <c r="A4198" t="s">
        <v>3326</v>
      </c>
      <c r="B4198" t="s">
        <v>4175</v>
      </c>
      <c r="C4198" t="s">
        <v>3928</v>
      </c>
      <c r="D4198" t="s">
        <v>3929</v>
      </c>
      <c r="E4198">
        <v>3</v>
      </c>
      <c r="F4198" s="6">
        <v>1750</v>
      </c>
      <c r="G4198" t="s">
        <v>3716</v>
      </c>
    </row>
    <row r="4199" spans="1:7">
      <c r="A4199" t="s">
        <v>9410</v>
      </c>
      <c r="B4199" t="s">
        <v>9411</v>
      </c>
      <c r="C4199" t="s">
        <v>3928</v>
      </c>
      <c r="D4199" t="s">
        <v>3929</v>
      </c>
      <c r="E4199">
        <v>1</v>
      </c>
      <c r="F4199" s="6">
        <v>750</v>
      </c>
      <c r="G4199" t="s">
        <v>4163</v>
      </c>
    </row>
    <row r="4200" spans="1:7">
      <c r="A4200" t="s">
        <v>9412</v>
      </c>
      <c r="B4200" t="s">
        <v>9413</v>
      </c>
      <c r="C4200" t="s">
        <v>3928</v>
      </c>
      <c r="D4200" t="s">
        <v>3929</v>
      </c>
      <c r="E4200">
        <v>1</v>
      </c>
      <c r="F4200" s="6">
        <v>750</v>
      </c>
      <c r="G4200" t="s">
        <v>4163</v>
      </c>
    </row>
    <row r="4201" spans="1:7">
      <c r="A4201" t="s">
        <v>9414</v>
      </c>
      <c r="B4201" t="s">
        <v>9415</v>
      </c>
      <c r="C4201" t="s">
        <v>9319</v>
      </c>
      <c r="D4201" t="s">
        <v>9320</v>
      </c>
      <c r="E4201">
        <v>10</v>
      </c>
      <c r="F4201" s="6">
        <v>603</v>
      </c>
      <c r="G4201" t="s">
        <v>5698</v>
      </c>
    </row>
    <row r="4202" spans="1:7">
      <c r="A4202" t="s">
        <v>9416</v>
      </c>
      <c r="B4202" t="s">
        <v>9417</v>
      </c>
      <c r="C4202" t="s">
        <v>9319</v>
      </c>
      <c r="D4202" t="s">
        <v>9320</v>
      </c>
      <c r="E4202">
        <v>12</v>
      </c>
      <c r="F4202" s="6">
        <v>1000</v>
      </c>
      <c r="G4202" t="s">
        <v>3681</v>
      </c>
    </row>
    <row r="4203" spans="1:7">
      <c r="A4203" t="s">
        <v>9418</v>
      </c>
      <c r="B4203" t="s">
        <v>9419</v>
      </c>
      <c r="C4203" t="s">
        <v>9319</v>
      </c>
      <c r="D4203" t="s">
        <v>9320</v>
      </c>
      <c r="E4203">
        <v>6</v>
      </c>
      <c r="F4203" s="6">
        <v>50</v>
      </c>
      <c r="G4203" t="s">
        <v>3694</v>
      </c>
    </row>
    <row r="4204" spans="1:7">
      <c r="A4204" t="s">
        <v>9420</v>
      </c>
      <c r="B4204" t="s">
        <v>9421</v>
      </c>
      <c r="C4204" t="s">
        <v>4170</v>
      </c>
      <c r="D4204" t="s">
        <v>4171</v>
      </c>
      <c r="E4204">
        <v>12</v>
      </c>
      <c r="F4204" s="6">
        <v>750</v>
      </c>
      <c r="G4204" t="s">
        <v>9422</v>
      </c>
    </row>
    <row r="4205" spans="1:7">
      <c r="A4205" t="s">
        <v>9423</v>
      </c>
      <c r="B4205" t="s">
        <v>9424</v>
      </c>
      <c r="C4205" t="s">
        <v>9319</v>
      </c>
      <c r="D4205" t="s">
        <v>9320</v>
      </c>
      <c r="E4205">
        <v>12</v>
      </c>
      <c r="F4205" s="6">
        <v>750</v>
      </c>
      <c r="G4205" t="s">
        <v>4032</v>
      </c>
    </row>
    <row r="4206" spans="1:7">
      <c r="A4206" t="s">
        <v>9425</v>
      </c>
      <c r="B4206" t="s">
        <v>9426</v>
      </c>
      <c r="C4206" t="s">
        <v>9319</v>
      </c>
      <c r="D4206" t="s">
        <v>9320</v>
      </c>
      <c r="E4206">
        <v>12</v>
      </c>
      <c r="F4206" s="6">
        <v>750</v>
      </c>
      <c r="G4206" t="s">
        <v>3716</v>
      </c>
    </row>
    <row r="4207" spans="1:7">
      <c r="A4207" t="s">
        <v>9427</v>
      </c>
      <c r="B4207" t="s">
        <v>9428</v>
      </c>
      <c r="C4207" t="s">
        <v>9319</v>
      </c>
      <c r="D4207" t="s">
        <v>9320</v>
      </c>
      <c r="E4207">
        <v>6</v>
      </c>
      <c r="F4207" s="6">
        <v>750</v>
      </c>
      <c r="G4207" t="s">
        <v>3686</v>
      </c>
    </row>
    <row r="4208" spans="1:7">
      <c r="A4208" t="s">
        <v>9429</v>
      </c>
      <c r="B4208" t="s">
        <v>9430</v>
      </c>
      <c r="C4208" t="s">
        <v>9319</v>
      </c>
      <c r="D4208" t="s">
        <v>9320</v>
      </c>
      <c r="E4208">
        <v>12</v>
      </c>
      <c r="F4208" s="6">
        <v>750</v>
      </c>
      <c r="G4208" t="s">
        <v>3686</v>
      </c>
    </row>
    <row r="4209" spans="1:7">
      <c r="A4209" t="s">
        <v>9431</v>
      </c>
      <c r="B4209" t="s">
        <v>9432</v>
      </c>
      <c r="C4209" t="s">
        <v>9319</v>
      </c>
      <c r="D4209" t="s">
        <v>9320</v>
      </c>
      <c r="E4209">
        <v>12</v>
      </c>
      <c r="F4209" s="6">
        <v>750</v>
      </c>
      <c r="G4209" t="s">
        <v>3686</v>
      </c>
    </row>
    <row r="4210" spans="1:7">
      <c r="A4210" t="s">
        <v>9433</v>
      </c>
      <c r="B4210" t="s">
        <v>9434</v>
      </c>
      <c r="C4210" t="s">
        <v>9319</v>
      </c>
      <c r="D4210" t="s">
        <v>9320</v>
      </c>
      <c r="E4210">
        <v>12</v>
      </c>
      <c r="F4210" s="6">
        <v>750</v>
      </c>
      <c r="G4210" t="s">
        <v>3702</v>
      </c>
    </row>
    <row r="4211" spans="1:7">
      <c r="A4211" t="s">
        <v>9435</v>
      </c>
      <c r="B4211" t="s">
        <v>9436</v>
      </c>
      <c r="C4211" t="s">
        <v>9319</v>
      </c>
      <c r="D4211" t="s">
        <v>9320</v>
      </c>
      <c r="E4211">
        <v>12</v>
      </c>
      <c r="F4211" s="6">
        <v>1000</v>
      </c>
      <c r="G4211" t="s">
        <v>3716</v>
      </c>
    </row>
    <row r="4212" spans="1:7">
      <c r="A4212" t="s">
        <v>9437</v>
      </c>
      <c r="B4212" t="s">
        <v>9438</v>
      </c>
      <c r="C4212" t="s">
        <v>9319</v>
      </c>
      <c r="D4212" t="s">
        <v>9320</v>
      </c>
      <c r="E4212">
        <v>12</v>
      </c>
      <c r="F4212" s="6">
        <v>750</v>
      </c>
      <c r="G4212" t="s">
        <v>4344</v>
      </c>
    </row>
    <row r="4213" spans="1:7">
      <c r="A4213" t="s">
        <v>9439</v>
      </c>
      <c r="B4213" t="s">
        <v>9440</v>
      </c>
      <c r="C4213" t="s">
        <v>9319</v>
      </c>
      <c r="D4213" t="s">
        <v>9320</v>
      </c>
      <c r="E4213">
        <v>12</v>
      </c>
      <c r="F4213" s="6">
        <v>750</v>
      </c>
      <c r="G4213" t="s">
        <v>3702</v>
      </c>
    </row>
    <row r="4214" spans="1:7">
      <c r="A4214" t="s">
        <v>9441</v>
      </c>
      <c r="B4214" t="s">
        <v>9442</v>
      </c>
      <c r="C4214" t="s">
        <v>4190</v>
      </c>
      <c r="D4214" t="s">
        <v>4191</v>
      </c>
      <c r="E4214">
        <v>6</v>
      </c>
      <c r="F4214" s="6">
        <v>750</v>
      </c>
      <c r="G4214" t="s">
        <v>3888</v>
      </c>
    </row>
    <row r="4215" spans="1:7">
      <c r="A4215" t="s">
        <v>9443</v>
      </c>
      <c r="B4215" t="s">
        <v>9444</v>
      </c>
      <c r="C4215" t="s">
        <v>9319</v>
      </c>
      <c r="D4215" t="s">
        <v>9320</v>
      </c>
      <c r="E4215">
        <v>6</v>
      </c>
      <c r="F4215" s="6">
        <v>750</v>
      </c>
      <c r="G4215" t="s">
        <v>3686</v>
      </c>
    </row>
    <row r="4216" spans="1:7">
      <c r="A4216" t="s">
        <v>9445</v>
      </c>
      <c r="B4216" t="s">
        <v>9446</v>
      </c>
      <c r="C4216" t="s">
        <v>9319</v>
      </c>
      <c r="D4216" t="s">
        <v>9320</v>
      </c>
      <c r="E4216">
        <v>6</v>
      </c>
      <c r="F4216" s="6">
        <v>750</v>
      </c>
      <c r="G4216" t="s">
        <v>3705</v>
      </c>
    </row>
    <row r="4217" spans="1:7">
      <c r="A4217" t="s">
        <v>9447</v>
      </c>
      <c r="B4217" t="s">
        <v>9448</v>
      </c>
      <c r="C4217" t="s">
        <v>3928</v>
      </c>
      <c r="D4217" t="s">
        <v>3929</v>
      </c>
      <c r="E4217">
        <v>3</v>
      </c>
      <c r="F4217" s="6">
        <v>750</v>
      </c>
      <c r="G4217" t="s">
        <v>3686</v>
      </c>
    </row>
    <row r="4218" spans="1:7">
      <c r="A4218" t="s">
        <v>9449</v>
      </c>
      <c r="B4218" t="s">
        <v>9450</v>
      </c>
      <c r="C4218" t="s">
        <v>9319</v>
      </c>
      <c r="D4218" t="s">
        <v>9320</v>
      </c>
      <c r="E4218">
        <v>12</v>
      </c>
      <c r="F4218" s="6">
        <v>1000</v>
      </c>
      <c r="G4218" t="s">
        <v>3716</v>
      </c>
    </row>
    <row r="4219" spans="1:7">
      <c r="A4219" t="s">
        <v>9451</v>
      </c>
      <c r="B4219" t="s">
        <v>9452</v>
      </c>
      <c r="C4219" t="s">
        <v>9319</v>
      </c>
      <c r="D4219" t="s">
        <v>9320</v>
      </c>
      <c r="E4219">
        <v>12</v>
      </c>
      <c r="F4219" s="6">
        <v>1000</v>
      </c>
      <c r="G4219" t="s">
        <v>3681</v>
      </c>
    </row>
    <row r="4220" spans="1:7">
      <c r="A4220" t="s">
        <v>9453</v>
      </c>
      <c r="B4220" t="s">
        <v>9454</v>
      </c>
      <c r="C4220" t="s">
        <v>9319</v>
      </c>
      <c r="D4220" t="s">
        <v>9320</v>
      </c>
      <c r="E4220">
        <v>6</v>
      </c>
      <c r="F4220" s="6">
        <v>750</v>
      </c>
      <c r="G4220" t="s">
        <v>3802</v>
      </c>
    </row>
    <row r="4221" spans="1:7">
      <c r="A4221" t="s">
        <v>9455</v>
      </c>
      <c r="B4221" t="s">
        <v>9456</v>
      </c>
      <c r="C4221" t="s">
        <v>9319</v>
      </c>
      <c r="D4221" t="s">
        <v>9320</v>
      </c>
      <c r="E4221">
        <v>6</v>
      </c>
      <c r="F4221" s="6">
        <v>1750</v>
      </c>
      <c r="G4221" t="s">
        <v>3730</v>
      </c>
    </row>
    <row r="4222" spans="1:7">
      <c r="A4222" t="s">
        <v>9457</v>
      </c>
      <c r="B4222" t="s">
        <v>9458</v>
      </c>
      <c r="C4222" t="s">
        <v>9319</v>
      </c>
      <c r="D4222" t="s">
        <v>9320</v>
      </c>
      <c r="E4222">
        <v>12</v>
      </c>
      <c r="F4222" s="6">
        <v>1000</v>
      </c>
      <c r="G4222" t="s">
        <v>3716</v>
      </c>
    </row>
    <row r="4223" spans="1:7">
      <c r="A4223" t="s">
        <v>9459</v>
      </c>
      <c r="B4223" t="s">
        <v>9460</v>
      </c>
      <c r="C4223" t="s">
        <v>9319</v>
      </c>
      <c r="D4223" t="s">
        <v>9320</v>
      </c>
      <c r="E4223">
        <v>6</v>
      </c>
      <c r="F4223" s="6">
        <v>750</v>
      </c>
      <c r="G4223" t="s">
        <v>3888</v>
      </c>
    </row>
    <row r="4224" spans="1:7">
      <c r="A4224" t="s">
        <v>9461</v>
      </c>
      <c r="B4224" t="s">
        <v>9462</v>
      </c>
      <c r="C4224" t="s">
        <v>9319</v>
      </c>
      <c r="D4224" t="s">
        <v>9320</v>
      </c>
      <c r="E4224">
        <v>12</v>
      </c>
      <c r="F4224" s="6">
        <v>1000</v>
      </c>
      <c r="G4224" t="s">
        <v>3716</v>
      </c>
    </row>
    <row r="4225" spans="1:7">
      <c r="A4225" t="s">
        <v>9463</v>
      </c>
      <c r="B4225" t="s">
        <v>9464</v>
      </c>
      <c r="C4225" t="s">
        <v>9319</v>
      </c>
      <c r="D4225" t="s">
        <v>9320</v>
      </c>
      <c r="E4225">
        <v>6</v>
      </c>
      <c r="F4225" s="6">
        <v>750</v>
      </c>
      <c r="G4225" t="s">
        <v>3702</v>
      </c>
    </row>
    <row r="4226" spans="1:7">
      <c r="A4226" t="s">
        <v>2097</v>
      </c>
      <c r="B4226" t="s">
        <v>9465</v>
      </c>
      <c r="C4226" t="s">
        <v>3808</v>
      </c>
      <c r="D4226" t="s">
        <v>3809</v>
      </c>
      <c r="E4226">
        <v>6</v>
      </c>
      <c r="F4226" s="6">
        <v>750</v>
      </c>
      <c r="G4226" t="s">
        <v>3702</v>
      </c>
    </row>
    <row r="4227" spans="1:7">
      <c r="A4227" t="s">
        <v>9466</v>
      </c>
      <c r="B4227" t="s">
        <v>9467</v>
      </c>
      <c r="C4227" t="s">
        <v>9319</v>
      </c>
      <c r="D4227" t="s">
        <v>9320</v>
      </c>
      <c r="E4227">
        <v>6</v>
      </c>
      <c r="F4227" s="6">
        <v>750</v>
      </c>
      <c r="G4227" t="s">
        <v>3713</v>
      </c>
    </row>
    <row r="4228" spans="1:7">
      <c r="A4228" t="s">
        <v>9468</v>
      </c>
      <c r="B4228" t="s">
        <v>9469</v>
      </c>
      <c r="C4228" t="s">
        <v>9319</v>
      </c>
      <c r="D4228" t="s">
        <v>9320</v>
      </c>
      <c r="E4228">
        <v>6</v>
      </c>
      <c r="F4228" s="6">
        <v>1750</v>
      </c>
      <c r="G4228" t="s">
        <v>3681</v>
      </c>
    </row>
    <row r="4229" spans="1:7">
      <c r="A4229" t="s">
        <v>9470</v>
      </c>
      <c r="B4229" t="s">
        <v>9471</v>
      </c>
      <c r="C4229" t="s">
        <v>9319</v>
      </c>
      <c r="D4229" t="s">
        <v>9320</v>
      </c>
      <c r="E4229">
        <v>10</v>
      </c>
      <c r="F4229" s="6">
        <v>50</v>
      </c>
      <c r="G4229" t="s">
        <v>3730</v>
      </c>
    </row>
    <row r="4230" spans="1:7">
      <c r="A4230" t="s">
        <v>9472</v>
      </c>
      <c r="B4230" t="s">
        <v>9473</v>
      </c>
      <c r="C4230" t="s">
        <v>9319</v>
      </c>
      <c r="D4230" t="s">
        <v>9320</v>
      </c>
      <c r="E4230">
        <v>6</v>
      </c>
      <c r="F4230" s="6">
        <v>750</v>
      </c>
      <c r="G4230" t="s">
        <v>3763</v>
      </c>
    </row>
    <row r="4231" spans="1:7">
      <c r="A4231" t="s">
        <v>9474</v>
      </c>
      <c r="B4231" t="s">
        <v>9475</v>
      </c>
      <c r="C4231" t="s">
        <v>9319</v>
      </c>
      <c r="D4231" t="s">
        <v>9320</v>
      </c>
      <c r="E4231">
        <v>6</v>
      </c>
      <c r="F4231" s="6">
        <v>750</v>
      </c>
      <c r="G4231" t="s">
        <v>3716</v>
      </c>
    </row>
    <row r="4232" spans="1:7">
      <c r="A4232" t="s">
        <v>9476</v>
      </c>
      <c r="B4232" t="s">
        <v>9477</v>
      </c>
      <c r="C4232" t="s">
        <v>9319</v>
      </c>
      <c r="D4232" t="s">
        <v>9320</v>
      </c>
      <c r="E4232">
        <v>6</v>
      </c>
      <c r="F4232" s="6">
        <v>750</v>
      </c>
      <c r="G4232" t="s">
        <v>3705</v>
      </c>
    </row>
    <row r="4233" spans="1:7">
      <c r="A4233" t="s">
        <v>9478</v>
      </c>
      <c r="B4233" t="s">
        <v>9479</v>
      </c>
      <c r="C4233" t="s">
        <v>9319</v>
      </c>
      <c r="D4233" t="s">
        <v>9320</v>
      </c>
      <c r="E4233">
        <v>6</v>
      </c>
      <c r="F4233" s="6">
        <v>750</v>
      </c>
      <c r="G4233" t="s">
        <v>3686</v>
      </c>
    </row>
    <row r="4234" spans="1:7">
      <c r="A4234" t="s">
        <v>9480</v>
      </c>
      <c r="B4234" t="s">
        <v>9481</v>
      </c>
      <c r="C4234" t="s">
        <v>9319</v>
      </c>
      <c r="D4234" t="s">
        <v>9320</v>
      </c>
      <c r="E4234">
        <v>6</v>
      </c>
      <c r="F4234" s="6">
        <v>750</v>
      </c>
      <c r="G4234" t="s">
        <v>4032</v>
      </c>
    </row>
    <row r="4235" spans="1:7">
      <c r="A4235" t="s">
        <v>9482</v>
      </c>
      <c r="B4235" t="s">
        <v>9483</v>
      </c>
      <c r="C4235" t="s">
        <v>9319</v>
      </c>
      <c r="D4235" t="s">
        <v>9320</v>
      </c>
      <c r="E4235">
        <v>6</v>
      </c>
      <c r="F4235" s="6">
        <v>750</v>
      </c>
      <c r="G4235" t="s">
        <v>3689</v>
      </c>
    </row>
    <row r="4236" spans="1:7">
      <c r="A4236" t="s">
        <v>9484</v>
      </c>
      <c r="B4236" t="s">
        <v>9485</v>
      </c>
      <c r="C4236" t="s">
        <v>9319</v>
      </c>
      <c r="D4236" t="s">
        <v>9320</v>
      </c>
      <c r="E4236">
        <v>12</v>
      </c>
      <c r="F4236" s="6">
        <v>750</v>
      </c>
      <c r="G4236" t="s">
        <v>6513</v>
      </c>
    </row>
    <row r="4237" spans="1:7">
      <c r="A4237" t="s">
        <v>9486</v>
      </c>
      <c r="B4237" t="s">
        <v>9487</v>
      </c>
      <c r="C4237" t="s">
        <v>3692</v>
      </c>
      <c r="D4237" t="s">
        <v>3693</v>
      </c>
      <c r="E4237">
        <v>6</v>
      </c>
      <c r="F4237" s="6">
        <v>750</v>
      </c>
      <c r="G4237" t="s">
        <v>3716</v>
      </c>
    </row>
    <row r="4238" spans="1:7">
      <c r="A4238" t="s">
        <v>9488</v>
      </c>
      <c r="B4238" t="s">
        <v>9489</v>
      </c>
      <c r="C4238" t="s">
        <v>9319</v>
      </c>
      <c r="D4238" t="s">
        <v>9320</v>
      </c>
      <c r="E4238">
        <v>6</v>
      </c>
      <c r="F4238" s="6">
        <v>750</v>
      </c>
      <c r="G4238" t="s">
        <v>3705</v>
      </c>
    </row>
    <row r="4239" spans="1:7">
      <c r="A4239" t="s">
        <v>9490</v>
      </c>
      <c r="B4239" t="s">
        <v>9491</v>
      </c>
      <c r="C4239" t="s">
        <v>9319</v>
      </c>
      <c r="D4239" t="s">
        <v>9320</v>
      </c>
      <c r="E4239">
        <v>12</v>
      </c>
      <c r="F4239" s="6">
        <v>750</v>
      </c>
      <c r="G4239" t="s">
        <v>3931</v>
      </c>
    </row>
    <row r="4240" spans="1:7">
      <c r="A4240" t="s">
        <v>9492</v>
      </c>
      <c r="B4240" t="s">
        <v>9493</v>
      </c>
      <c r="C4240" t="s">
        <v>9319</v>
      </c>
      <c r="D4240" t="s">
        <v>9320</v>
      </c>
      <c r="E4240">
        <v>12</v>
      </c>
      <c r="F4240" s="6">
        <v>750</v>
      </c>
      <c r="G4240" t="s">
        <v>3686</v>
      </c>
    </row>
    <row r="4241" spans="1:7">
      <c r="A4241" t="s">
        <v>9494</v>
      </c>
      <c r="B4241" t="s">
        <v>9495</v>
      </c>
      <c r="C4241" t="s">
        <v>9319</v>
      </c>
      <c r="D4241" t="s">
        <v>9320</v>
      </c>
      <c r="E4241">
        <v>6</v>
      </c>
      <c r="F4241" s="6">
        <v>750</v>
      </c>
      <c r="G4241" t="s">
        <v>5701</v>
      </c>
    </row>
    <row r="4242" spans="1:7">
      <c r="A4242" t="s">
        <v>9496</v>
      </c>
      <c r="B4242" t="s">
        <v>9497</v>
      </c>
      <c r="C4242" t="s">
        <v>9319</v>
      </c>
      <c r="D4242" t="s">
        <v>9320</v>
      </c>
      <c r="E4242">
        <v>6</v>
      </c>
      <c r="F4242" s="6">
        <v>750</v>
      </c>
      <c r="G4242" t="s">
        <v>5701</v>
      </c>
    </row>
    <row r="4243" spans="1:7">
      <c r="A4243" t="s">
        <v>9498</v>
      </c>
      <c r="B4243" t="s">
        <v>6871</v>
      </c>
      <c r="C4243" t="s">
        <v>9319</v>
      </c>
      <c r="D4243" t="s">
        <v>9320</v>
      </c>
      <c r="E4243">
        <v>6</v>
      </c>
      <c r="F4243" s="6">
        <v>1750</v>
      </c>
      <c r="G4243" t="s">
        <v>4300</v>
      </c>
    </row>
    <row r="4244" spans="1:7">
      <c r="A4244" t="s">
        <v>9499</v>
      </c>
      <c r="B4244" t="s">
        <v>9500</v>
      </c>
      <c r="C4244" t="s">
        <v>6442</v>
      </c>
      <c r="D4244" t="s">
        <v>6443</v>
      </c>
      <c r="E4244">
        <v>6</v>
      </c>
      <c r="F4244" s="6">
        <v>750</v>
      </c>
      <c r="G4244" t="s">
        <v>4796</v>
      </c>
    </row>
    <row r="4245" spans="1:7">
      <c r="A4245" t="s">
        <v>9501</v>
      </c>
      <c r="B4245" t="s">
        <v>9502</v>
      </c>
      <c r="C4245" t="s">
        <v>4084</v>
      </c>
      <c r="D4245" t="s">
        <v>4085</v>
      </c>
      <c r="E4245">
        <v>6</v>
      </c>
      <c r="F4245" s="6">
        <v>750</v>
      </c>
      <c r="G4245" t="s">
        <v>3716</v>
      </c>
    </row>
    <row r="4246" spans="1:7">
      <c r="A4246" t="s">
        <v>169</v>
      </c>
      <c r="B4246" t="s">
        <v>9503</v>
      </c>
      <c r="C4246" t="s">
        <v>3692</v>
      </c>
      <c r="D4246" t="s">
        <v>3693</v>
      </c>
      <c r="E4246">
        <v>6</v>
      </c>
      <c r="F4246" s="6">
        <v>750</v>
      </c>
      <c r="G4246" t="s">
        <v>3689</v>
      </c>
    </row>
    <row r="4247" spans="1:7">
      <c r="A4247" t="s">
        <v>2831</v>
      </c>
      <c r="B4247" t="s">
        <v>9504</v>
      </c>
      <c r="C4247" t="s">
        <v>9319</v>
      </c>
      <c r="D4247" t="s">
        <v>9320</v>
      </c>
      <c r="E4247">
        <v>6</v>
      </c>
      <c r="F4247" s="6">
        <v>750</v>
      </c>
      <c r="G4247" t="s">
        <v>3802</v>
      </c>
    </row>
    <row r="4248" spans="1:7">
      <c r="A4248" t="s">
        <v>9505</v>
      </c>
      <c r="B4248" t="s">
        <v>9506</v>
      </c>
      <c r="C4248" t="s">
        <v>9319</v>
      </c>
      <c r="D4248" t="s">
        <v>9320</v>
      </c>
      <c r="E4248">
        <v>6</v>
      </c>
      <c r="F4248" s="6">
        <v>750</v>
      </c>
      <c r="G4248" t="s">
        <v>3686</v>
      </c>
    </row>
    <row r="4249" spans="1:7">
      <c r="A4249" t="s">
        <v>2712</v>
      </c>
      <c r="B4249" t="s">
        <v>9507</v>
      </c>
      <c r="C4249" t="s">
        <v>6442</v>
      </c>
      <c r="D4249" t="s">
        <v>6443</v>
      </c>
      <c r="E4249">
        <v>6</v>
      </c>
      <c r="F4249" s="6">
        <v>750</v>
      </c>
      <c r="G4249" t="s">
        <v>3686</v>
      </c>
    </row>
    <row r="4250" spans="1:7">
      <c r="A4250" t="s">
        <v>9508</v>
      </c>
      <c r="B4250" t="s">
        <v>4286</v>
      </c>
      <c r="C4250" t="s">
        <v>9319</v>
      </c>
      <c r="D4250" t="s">
        <v>9320</v>
      </c>
      <c r="E4250">
        <v>12</v>
      </c>
      <c r="F4250" s="6">
        <v>1000</v>
      </c>
      <c r="G4250" t="s">
        <v>3931</v>
      </c>
    </row>
    <row r="4251" spans="1:7">
      <c r="A4251" t="s">
        <v>9509</v>
      </c>
      <c r="B4251" t="s">
        <v>9510</v>
      </c>
      <c r="C4251" t="s">
        <v>9319</v>
      </c>
      <c r="D4251" t="s">
        <v>9320</v>
      </c>
      <c r="E4251">
        <v>10</v>
      </c>
      <c r="F4251" s="6">
        <v>50</v>
      </c>
      <c r="G4251" t="s">
        <v>3730</v>
      </c>
    </row>
    <row r="4252" spans="1:7">
      <c r="A4252" t="s">
        <v>9511</v>
      </c>
      <c r="B4252" t="s">
        <v>9512</v>
      </c>
      <c r="C4252" t="s">
        <v>9319</v>
      </c>
      <c r="D4252" t="s">
        <v>9320</v>
      </c>
      <c r="E4252">
        <v>6</v>
      </c>
      <c r="F4252" s="6">
        <v>750</v>
      </c>
      <c r="G4252" t="s">
        <v>3735</v>
      </c>
    </row>
    <row r="4253" spans="1:7">
      <c r="A4253" t="s">
        <v>9513</v>
      </c>
      <c r="B4253" t="s">
        <v>9514</v>
      </c>
      <c r="C4253" t="s">
        <v>4084</v>
      </c>
      <c r="D4253" t="s">
        <v>4085</v>
      </c>
      <c r="E4253">
        <v>3</v>
      </c>
      <c r="F4253" s="6">
        <v>750</v>
      </c>
      <c r="G4253" t="s">
        <v>3681</v>
      </c>
    </row>
    <row r="4254" spans="1:7">
      <c r="A4254" t="s">
        <v>9515</v>
      </c>
      <c r="B4254" t="s">
        <v>9516</v>
      </c>
      <c r="C4254" t="s">
        <v>9319</v>
      </c>
      <c r="D4254" t="s">
        <v>9320</v>
      </c>
      <c r="E4254">
        <v>12</v>
      </c>
      <c r="F4254" s="6">
        <v>1000</v>
      </c>
      <c r="G4254" t="s">
        <v>3686</v>
      </c>
    </row>
    <row r="4255" spans="1:7">
      <c r="A4255" t="s">
        <v>9517</v>
      </c>
      <c r="B4255" t="s">
        <v>9518</v>
      </c>
      <c r="C4255" t="s">
        <v>9319</v>
      </c>
      <c r="D4255" t="s">
        <v>9320</v>
      </c>
      <c r="E4255">
        <v>12</v>
      </c>
      <c r="F4255" s="6">
        <v>1000</v>
      </c>
      <c r="G4255" t="s">
        <v>3716</v>
      </c>
    </row>
    <row r="4256" spans="1:7">
      <c r="A4256" t="s">
        <v>1215</v>
      </c>
      <c r="B4256" t="s">
        <v>9519</v>
      </c>
      <c r="C4256" t="s">
        <v>9319</v>
      </c>
      <c r="D4256" t="s">
        <v>9320</v>
      </c>
      <c r="E4256">
        <v>12</v>
      </c>
      <c r="F4256" s="6">
        <v>750</v>
      </c>
      <c r="G4256" t="s">
        <v>3931</v>
      </c>
    </row>
    <row r="4257" spans="1:7">
      <c r="A4257" t="s">
        <v>9520</v>
      </c>
      <c r="B4257" t="s">
        <v>9521</v>
      </c>
      <c r="C4257" t="s">
        <v>9319</v>
      </c>
      <c r="D4257" t="s">
        <v>9320</v>
      </c>
      <c r="E4257">
        <v>12</v>
      </c>
      <c r="F4257" s="6">
        <v>750</v>
      </c>
      <c r="G4257" t="s">
        <v>3686</v>
      </c>
    </row>
    <row r="4258" spans="1:7">
      <c r="A4258" t="s">
        <v>9522</v>
      </c>
      <c r="B4258" t="s">
        <v>9523</v>
      </c>
      <c r="C4258" t="s">
        <v>6424</v>
      </c>
      <c r="D4258" t="s">
        <v>6425</v>
      </c>
      <c r="E4258">
        <v>6</v>
      </c>
      <c r="F4258" s="6">
        <v>750</v>
      </c>
      <c r="G4258" t="s">
        <v>4796</v>
      </c>
    </row>
    <row r="4259" spans="1:7">
      <c r="A4259" t="s">
        <v>9524</v>
      </c>
      <c r="B4259" t="s">
        <v>9525</v>
      </c>
      <c r="C4259" t="s">
        <v>3756</v>
      </c>
      <c r="D4259" t="s">
        <v>3757</v>
      </c>
      <c r="E4259">
        <v>12</v>
      </c>
      <c r="F4259" s="6">
        <v>1000</v>
      </c>
      <c r="G4259" t="s">
        <v>4163</v>
      </c>
    </row>
    <row r="4260" spans="1:7">
      <c r="A4260" t="s">
        <v>9526</v>
      </c>
      <c r="B4260" t="s">
        <v>9527</v>
      </c>
      <c r="C4260" t="s">
        <v>9319</v>
      </c>
      <c r="D4260" t="s">
        <v>9320</v>
      </c>
      <c r="E4260">
        <v>6</v>
      </c>
      <c r="F4260" s="6">
        <v>1750</v>
      </c>
      <c r="G4260" t="s">
        <v>3686</v>
      </c>
    </row>
    <row r="4261" spans="1:7">
      <c r="A4261" t="s">
        <v>9528</v>
      </c>
      <c r="B4261" t="s">
        <v>9529</v>
      </c>
      <c r="C4261" t="s">
        <v>9319</v>
      </c>
      <c r="D4261" t="s">
        <v>9320</v>
      </c>
      <c r="E4261">
        <v>6</v>
      </c>
      <c r="F4261" s="6">
        <v>750</v>
      </c>
      <c r="G4261" t="s">
        <v>3686</v>
      </c>
    </row>
    <row r="4262" spans="1:7">
      <c r="A4262" t="s">
        <v>9530</v>
      </c>
      <c r="B4262" t="s">
        <v>5110</v>
      </c>
      <c r="C4262" t="s">
        <v>9319</v>
      </c>
      <c r="D4262" t="s">
        <v>9320</v>
      </c>
      <c r="E4262">
        <v>12</v>
      </c>
      <c r="F4262" s="6">
        <v>1000</v>
      </c>
      <c r="G4262" t="s">
        <v>3698</v>
      </c>
    </row>
    <row r="4263" spans="1:7">
      <c r="A4263" t="s">
        <v>9531</v>
      </c>
      <c r="B4263" t="s">
        <v>9532</v>
      </c>
      <c r="C4263" t="s">
        <v>4052</v>
      </c>
      <c r="D4263" t="s">
        <v>4053</v>
      </c>
      <c r="E4263">
        <v>12</v>
      </c>
      <c r="F4263" s="6">
        <v>750</v>
      </c>
      <c r="G4263" t="s">
        <v>3716</v>
      </c>
    </row>
    <row r="4264" spans="1:7">
      <c r="A4264" t="s">
        <v>9533</v>
      </c>
      <c r="B4264" t="s">
        <v>9534</v>
      </c>
      <c r="C4264" t="s">
        <v>9319</v>
      </c>
      <c r="D4264" t="s">
        <v>9320</v>
      </c>
      <c r="E4264">
        <v>6</v>
      </c>
      <c r="F4264" s="6">
        <v>750</v>
      </c>
      <c r="G4264" t="s">
        <v>3681</v>
      </c>
    </row>
    <row r="4265" spans="1:7">
      <c r="A4265" t="s">
        <v>9535</v>
      </c>
      <c r="B4265" t="s">
        <v>9536</v>
      </c>
      <c r="C4265" t="s">
        <v>4093</v>
      </c>
      <c r="D4265" t="s">
        <v>4094</v>
      </c>
      <c r="E4265">
        <v>12</v>
      </c>
      <c r="F4265" s="6">
        <v>50</v>
      </c>
      <c r="G4265" t="s">
        <v>3730</v>
      </c>
    </row>
    <row r="4266" spans="1:7">
      <c r="A4266" t="s">
        <v>499</v>
      </c>
      <c r="B4266" t="s">
        <v>9537</v>
      </c>
      <c r="C4266" t="s">
        <v>3692</v>
      </c>
      <c r="D4266" t="s">
        <v>3693</v>
      </c>
      <c r="E4266">
        <v>12</v>
      </c>
      <c r="F4266" s="6">
        <v>750</v>
      </c>
      <c r="G4266" t="s">
        <v>3689</v>
      </c>
    </row>
    <row r="4267" spans="1:7">
      <c r="A4267" t="s">
        <v>9538</v>
      </c>
      <c r="B4267" t="s">
        <v>9539</v>
      </c>
      <c r="C4267" t="s">
        <v>9319</v>
      </c>
      <c r="D4267" t="s">
        <v>9320</v>
      </c>
      <c r="E4267">
        <v>12</v>
      </c>
      <c r="F4267" s="6">
        <v>750</v>
      </c>
      <c r="G4267" t="s">
        <v>4796</v>
      </c>
    </row>
    <row r="4268" spans="1:7">
      <c r="A4268" t="s">
        <v>9540</v>
      </c>
      <c r="B4268" t="s">
        <v>9456</v>
      </c>
      <c r="C4268" t="s">
        <v>9319</v>
      </c>
      <c r="D4268" t="s">
        <v>9320</v>
      </c>
      <c r="E4268">
        <v>12</v>
      </c>
      <c r="F4268" s="6">
        <v>750</v>
      </c>
      <c r="G4268" t="s">
        <v>3730</v>
      </c>
    </row>
    <row r="4269" spans="1:7">
      <c r="A4269" t="s">
        <v>9541</v>
      </c>
      <c r="B4269" t="s">
        <v>9542</v>
      </c>
      <c r="C4269" t="s">
        <v>4591</v>
      </c>
      <c r="D4269" t="s">
        <v>4592</v>
      </c>
      <c r="E4269">
        <v>6</v>
      </c>
      <c r="F4269" s="6">
        <v>1750</v>
      </c>
      <c r="G4269" t="s">
        <v>3686</v>
      </c>
    </row>
    <row r="4270" spans="1:7">
      <c r="A4270" t="s">
        <v>9543</v>
      </c>
      <c r="B4270" t="s">
        <v>9544</v>
      </c>
      <c r="C4270" t="s">
        <v>3928</v>
      </c>
      <c r="D4270" t="s">
        <v>3929</v>
      </c>
      <c r="E4270">
        <v>3</v>
      </c>
      <c r="F4270" s="6">
        <v>750</v>
      </c>
      <c r="G4270" t="s">
        <v>3686</v>
      </c>
    </row>
    <row r="4271" spans="1:7">
      <c r="A4271" t="s">
        <v>9545</v>
      </c>
      <c r="B4271" t="s">
        <v>9091</v>
      </c>
      <c r="C4271" t="s">
        <v>9319</v>
      </c>
      <c r="D4271" t="s">
        <v>9320</v>
      </c>
      <c r="E4271">
        <v>6</v>
      </c>
      <c r="F4271" s="6">
        <v>750</v>
      </c>
      <c r="G4271" t="s">
        <v>5701</v>
      </c>
    </row>
    <row r="4272" spans="1:7">
      <c r="A4272" t="s">
        <v>9546</v>
      </c>
      <c r="B4272" t="s">
        <v>9547</v>
      </c>
      <c r="C4272" t="s">
        <v>9319</v>
      </c>
      <c r="D4272" t="s">
        <v>9320</v>
      </c>
      <c r="E4272">
        <v>12</v>
      </c>
      <c r="F4272" s="6">
        <v>750</v>
      </c>
      <c r="G4272" t="s">
        <v>9074</v>
      </c>
    </row>
    <row r="4273" spans="1:7">
      <c r="A4273" t="s">
        <v>9548</v>
      </c>
      <c r="B4273" t="s">
        <v>9549</v>
      </c>
      <c r="C4273" t="s">
        <v>9319</v>
      </c>
      <c r="D4273" t="s">
        <v>9320</v>
      </c>
      <c r="E4273">
        <v>12</v>
      </c>
      <c r="F4273" s="6">
        <v>1000</v>
      </c>
      <c r="G4273" t="s">
        <v>3681</v>
      </c>
    </row>
    <row r="4274" spans="1:7">
      <c r="A4274" t="s">
        <v>9550</v>
      </c>
      <c r="B4274" t="s">
        <v>9551</v>
      </c>
      <c r="C4274" t="s">
        <v>4084</v>
      </c>
      <c r="D4274" t="s">
        <v>4085</v>
      </c>
      <c r="E4274">
        <v>6</v>
      </c>
      <c r="F4274" s="6">
        <v>750</v>
      </c>
      <c r="G4274" t="s">
        <v>3681</v>
      </c>
    </row>
    <row r="4275" spans="1:7">
      <c r="A4275" t="s">
        <v>9552</v>
      </c>
      <c r="B4275" t="s">
        <v>9553</v>
      </c>
      <c r="C4275" t="s">
        <v>9319</v>
      </c>
      <c r="D4275" t="s">
        <v>9320</v>
      </c>
      <c r="E4275">
        <v>6</v>
      </c>
      <c r="F4275" s="6">
        <v>750</v>
      </c>
      <c r="G4275" t="s">
        <v>4117</v>
      </c>
    </row>
    <row r="4276" spans="1:7">
      <c r="A4276" t="s">
        <v>9554</v>
      </c>
      <c r="B4276" t="s">
        <v>9555</v>
      </c>
      <c r="C4276" t="s">
        <v>9319</v>
      </c>
      <c r="D4276" t="s">
        <v>9320</v>
      </c>
      <c r="E4276">
        <v>12</v>
      </c>
      <c r="F4276" s="6">
        <v>750</v>
      </c>
      <c r="G4276" t="s">
        <v>3686</v>
      </c>
    </row>
    <row r="4277" spans="1:7">
      <c r="A4277" t="s">
        <v>9556</v>
      </c>
      <c r="B4277" t="s">
        <v>9557</v>
      </c>
      <c r="C4277" t="s">
        <v>3928</v>
      </c>
      <c r="D4277" t="s">
        <v>3929</v>
      </c>
      <c r="E4277">
        <v>3</v>
      </c>
      <c r="F4277" s="6">
        <v>750</v>
      </c>
      <c r="G4277" t="s">
        <v>3686</v>
      </c>
    </row>
    <row r="4278" spans="1:7">
      <c r="A4278" t="s">
        <v>9558</v>
      </c>
      <c r="B4278" t="s">
        <v>9559</v>
      </c>
      <c r="C4278" t="s">
        <v>3928</v>
      </c>
      <c r="D4278" t="s">
        <v>3929</v>
      </c>
      <c r="E4278">
        <v>3</v>
      </c>
      <c r="F4278" s="6">
        <v>750</v>
      </c>
      <c r="G4278" t="s">
        <v>3686</v>
      </c>
    </row>
    <row r="4279" spans="1:7">
      <c r="A4279" t="s">
        <v>3582</v>
      </c>
      <c r="B4279" t="s">
        <v>9560</v>
      </c>
      <c r="C4279" t="s">
        <v>3708</v>
      </c>
      <c r="D4279" t="s">
        <v>3709</v>
      </c>
      <c r="E4279">
        <v>10</v>
      </c>
      <c r="F4279" s="6">
        <v>50</v>
      </c>
      <c r="G4279" t="s">
        <v>3686</v>
      </c>
    </row>
    <row r="4280" spans="1:7">
      <c r="A4280" t="s">
        <v>9561</v>
      </c>
      <c r="B4280" t="s">
        <v>9562</v>
      </c>
      <c r="C4280" t="s">
        <v>9319</v>
      </c>
      <c r="D4280" t="s">
        <v>9320</v>
      </c>
      <c r="E4280">
        <v>12</v>
      </c>
      <c r="F4280" s="6">
        <v>750</v>
      </c>
      <c r="G4280" t="s">
        <v>3802</v>
      </c>
    </row>
    <row r="4281" spans="1:7">
      <c r="A4281" t="s">
        <v>9563</v>
      </c>
      <c r="B4281" t="s">
        <v>9564</v>
      </c>
      <c r="C4281" t="s">
        <v>9319</v>
      </c>
      <c r="D4281" t="s">
        <v>9320</v>
      </c>
      <c r="E4281">
        <v>6</v>
      </c>
      <c r="F4281" s="6">
        <v>1750</v>
      </c>
      <c r="G4281" t="s">
        <v>3686</v>
      </c>
    </row>
    <row r="4282" spans="1:7">
      <c r="A4282" t="s">
        <v>9565</v>
      </c>
      <c r="B4282" t="s">
        <v>9566</v>
      </c>
      <c r="C4282" t="s">
        <v>9319</v>
      </c>
      <c r="D4282" t="s">
        <v>9320</v>
      </c>
      <c r="E4282">
        <v>12</v>
      </c>
      <c r="F4282" s="6">
        <v>750</v>
      </c>
      <c r="G4282" t="s">
        <v>3698</v>
      </c>
    </row>
    <row r="4283" spans="1:7">
      <c r="A4283" t="s">
        <v>9567</v>
      </c>
      <c r="B4283" t="s">
        <v>9568</v>
      </c>
      <c r="C4283" t="s">
        <v>4244</v>
      </c>
      <c r="D4283" t="s">
        <v>4245</v>
      </c>
      <c r="E4283">
        <v>3</v>
      </c>
      <c r="F4283" s="6">
        <v>750</v>
      </c>
      <c r="G4283" t="s">
        <v>3686</v>
      </c>
    </row>
    <row r="4284" spans="1:7">
      <c r="A4284" t="s">
        <v>9569</v>
      </c>
      <c r="B4284" t="s">
        <v>9570</v>
      </c>
      <c r="C4284" t="s">
        <v>3928</v>
      </c>
      <c r="D4284" t="s">
        <v>3929</v>
      </c>
      <c r="E4284">
        <v>3</v>
      </c>
      <c r="F4284" s="6">
        <v>750</v>
      </c>
      <c r="G4284" t="s">
        <v>3686</v>
      </c>
    </row>
    <row r="4285" spans="1:7">
      <c r="A4285" t="s">
        <v>9571</v>
      </c>
      <c r="B4285" t="s">
        <v>9572</v>
      </c>
      <c r="C4285" t="s">
        <v>9319</v>
      </c>
      <c r="D4285" t="s">
        <v>9320</v>
      </c>
      <c r="E4285">
        <v>6</v>
      </c>
      <c r="F4285" s="6">
        <v>750</v>
      </c>
      <c r="G4285" t="s">
        <v>3686</v>
      </c>
    </row>
    <row r="4286" spans="1:7">
      <c r="A4286" t="s">
        <v>2061</v>
      </c>
      <c r="B4286" t="s">
        <v>9573</v>
      </c>
      <c r="C4286" t="s">
        <v>3928</v>
      </c>
      <c r="D4286" t="s">
        <v>3929</v>
      </c>
      <c r="E4286">
        <v>12</v>
      </c>
      <c r="F4286" s="6">
        <v>750</v>
      </c>
      <c r="G4286" t="s">
        <v>3931</v>
      </c>
    </row>
    <row r="4287" spans="1:7">
      <c r="A4287" t="s">
        <v>9574</v>
      </c>
      <c r="B4287" t="s">
        <v>9575</v>
      </c>
      <c r="C4287" t="s">
        <v>9319</v>
      </c>
      <c r="D4287" t="s">
        <v>9320</v>
      </c>
      <c r="E4287">
        <v>6</v>
      </c>
      <c r="F4287" s="6">
        <v>750</v>
      </c>
      <c r="G4287" t="s">
        <v>3686</v>
      </c>
    </row>
    <row r="4288" spans="1:7">
      <c r="A4288" t="s">
        <v>9576</v>
      </c>
      <c r="B4288" t="s">
        <v>6512</v>
      </c>
      <c r="C4288" t="s">
        <v>9319</v>
      </c>
      <c r="D4288" t="s">
        <v>9320</v>
      </c>
      <c r="E4288">
        <v>6</v>
      </c>
      <c r="F4288" s="6">
        <v>1750</v>
      </c>
      <c r="G4288" t="s">
        <v>6513</v>
      </c>
    </row>
    <row r="4289" spans="1:7">
      <c r="A4289" t="s">
        <v>9577</v>
      </c>
      <c r="B4289" t="s">
        <v>9578</v>
      </c>
      <c r="C4289" t="s">
        <v>9319</v>
      </c>
      <c r="D4289" t="s">
        <v>9320</v>
      </c>
      <c r="E4289">
        <v>6</v>
      </c>
      <c r="F4289" s="6">
        <v>750</v>
      </c>
      <c r="G4289" t="s">
        <v>9579</v>
      </c>
    </row>
    <row r="4290" spans="1:7">
      <c r="A4290" t="s">
        <v>9580</v>
      </c>
      <c r="B4290" t="s">
        <v>9581</v>
      </c>
      <c r="C4290" t="s">
        <v>9319</v>
      </c>
      <c r="D4290" t="s">
        <v>9320</v>
      </c>
      <c r="E4290">
        <v>12</v>
      </c>
      <c r="F4290" s="6">
        <v>750</v>
      </c>
      <c r="G4290" t="s">
        <v>3681</v>
      </c>
    </row>
    <row r="4291" spans="1:7">
      <c r="A4291" t="s">
        <v>9582</v>
      </c>
      <c r="B4291" t="s">
        <v>9583</v>
      </c>
      <c r="C4291" t="s">
        <v>9319</v>
      </c>
      <c r="D4291" t="s">
        <v>9320</v>
      </c>
      <c r="E4291">
        <v>12</v>
      </c>
      <c r="F4291" s="6">
        <v>1000</v>
      </c>
      <c r="G4291" t="s">
        <v>3698</v>
      </c>
    </row>
    <row r="4292" spans="1:7">
      <c r="A4292" t="s">
        <v>9584</v>
      </c>
      <c r="B4292" t="s">
        <v>9585</v>
      </c>
      <c r="C4292" t="s">
        <v>4244</v>
      </c>
      <c r="D4292" t="s">
        <v>4245</v>
      </c>
      <c r="E4292">
        <v>3</v>
      </c>
      <c r="F4292" s="6">
        <v>750</v>
      </c>
      <c r="G4292" t="s">
        <v>3686</v>
      </c>
    </row>
    <row r="4293" spans="1:7">
      <c r="A4293" t="s">
        <v>9586</v>
      </c>
      <c r="B4293" t="s">
        <v>9587</v>
      </c>
      <c r="C4293" t="s">
        <v>9319</v>
      </c>
      <c r="D4293" t="s">
        <v>9320</v>
      </c>
      <c r="E4293">
        <v>12</v>
      </c>
      <c r="F4293" s="6">
        <v>750</v>
      </c>
      <c r="G4293" t="s">
        <v>3888</v>
      </c>
    </row>
    <row r="4294" spans="1:7">
      <c r="A4294" t="s">
        <v>9588</v>
      </c>
      <c r="B4294" t="s">
        <v>9589</v>
      </c>
      <c r="C4294" t="s">
        <v>9319</v>
      </c>
      <c r="D4294" t="s">
        <v>9320</v>
      </c>
      <c r="E4294">
        <v>6</v>
      </c>
      <c r="F4294" s="6">
        <v>750</v>
      </c>
      <c r="G4294" t="s">
        <v>3686</v>
      </c>
    </row>
    <row r="4295" spans="1:7">
      <c r="A4295" t="s">
        <v>1289</v>
      </c>
      <c r="B4295" t="s">
        <v>9590</v>
      </c>
      <c r="C4295" t="s">
        <v>9319</v>
      </c>
      <c r="D4295" t="s">
        <v>9320</v>
      </c>
      <c r="E4295">
        <v>6</v>
      </c>
      <c r="F4295" s="6">
        <v>1750</v>
      </c>
      <c r="G4295" t="s">
        <v>4300</v>
      </c>
    </row>
    <row r="4296" spans="1:7">
      <c r="A4296" t="s">
        <v>9591</v>
      </c>
      <c r="B4296" t="s">
        <v>9518</v>
      </c>
      <c r="C4296" t="s">
        <v>3756</v>
      </c>
      <c r="D4296" t="s">
        <v>3757</v>
      </c>
      <c r="E4296">
        <v>12</v>
      </c>
      <c r="F4296" s="6">
        <v>750</v>
      </c>
      <c r="G4296" t="s">
        <v>3716</v>
      </c>
    </row>
    <row r="4297" spans="1:7">
      <c r="A4297" t="s">
        <v>9592</v>
      </c>
      <c r="B4297" t="s">
        <v>9593</v>
      </c>
      <c r="C4297" t="s">
        <v>6442</v>
      </c>
      <c r="D4297" t="s">
        <v>6443</v>
      </c>
      <c r="E4297">
        <v>12</v>
      </c>
      <c r="F4297" s="6">
        <v>750</v>
      </c>
      <c r="G4297" t="s">
        <v>3686</v>
      </c>
    </row>
    <row r="4298" spans="1:7">
      <c r="A4298" t="s">
        <v>9594</v>
      </c>
      <c r="B4298" t="s">
        <v>8592</v>
      </c>
      <c r="C4298" t="s">
        <v>9595</v>
      </c>
      <c r="D4298" t="s">
        <v>3757</v>
      </c>
      <c r="E4298">
        <v>12</v>
      </c>
      <c r="F4298" s="6">
        <v>750</v>
      </c>
      <c r="G4298" t="s">
        <v>3716</v>
      </c>
    </row>
    <row r="4299" spans="1:7">
      <c r="A4299" t="s">
        <v>9596</v>
      </c>
      <c r="B4299" t="s">
        <v>9597</v>
      </c>
      <c r="C4299" t="s">
        <v>9319</v>
      </c>
      <c r="D4299" t="s">
        <v>9320</v>
      </c>
      <c r="E4299">
        <v>6</v>
      </c>
      <c r="F4299" s="6">
        <v>750</v>
      </c>
      <c r="G4299" t="s">
        <v>3713</v>
      </c>
    </row>
    <row r="4300" spans="1:7">
      <c r="A4300" t="s">
        <v>9598</v>
      </c>
      <c r="B4300" t="s">
        <v>9599</v>
      </c>
      <c r="C4300" t="s">
        <v>4170</v>
      </c>
      <c r="D4300" t="s">
        <v>4171</v>
      </c>
      <c r="E4300">
        <v>12</v>
      </c>
      <c r="F4300" s="6">
        <v>750</v>
      </c>
      <c r="G4300" t="s">
        <v>9422</v>
      </c>
    </row>
    <row r="4301" spans="1:7">
      <c r="A4301" t="s">
        <v>9600</v>
      </c>
      <c r="B4301" t="s">
        <v>9601</v>
      </c>
      <c r="C4301" t="s">
        <v>9319</v>
      </c>
      <c r="D4301" t="s">
        <v>9320</v>
      </c>
      <c r="E4301">
        <v>6</v>
      </c>
      <c r="F4301" s="6">
        <v>750</v>
      </c>
      <c r="G4301" t="s">
        <v>4117</v>
      </c>
    </row>
    <row r="4302" spans="1:7">
      <c r="A4302" t="s">
        <v>9602</v>
      </c>
      <c r="B4302" t="s">
        <v>9603</v>
      </c>
      <c r="C4302" t="s">
        <v>4436</v>
      </c>
      <c r="D4302" t="s">
        <v>4437</v>
      </c>
      <c r="E4302">
        <v>6</v>
      </c>
      <c r="F4302" s="6">
        <v>1750</v>
      </c>
      <c r="G4302" t="s">
        <v>3931</v>
      </c>
    </row>
    <row r="4303" spans="1:7">
      <c r="A4303" t="s">
        <v>9604</v>
      </c>
      <c r="B4303" t="s">
        <v>9605</v>
      </c>
      <c r="C4303" t="s">
        <v>4084</v>
      </c>
      <c r="D4303" t="s">
        <v>4085</v>
      </c>
      <c r="E4303">
        <v>6</v>
      </c>
      <c r="F4303" s="6">
        <v>750</v>
      </c>
      <c r="G4303" t="s">
        <v>3716</v>
      </c>
    </row>
    <row r="4304" spans="1:7">
      <c r="A4304" t="s">
        <v>9606</v>
      </c>
      <c r="B4304" t="s">
        <v>8369</v>
      </c>
      <c r="C4304" t="s">
        <v>9319</v>
      </c>
      <c r="D4304" t="s">
        <v>9320</v>
      </c>
      <c r="E4304">
        <v>6</v>
      </c>
      <c r="F4304" s="6">
        <v>1000</v>
      </c>
      <c r="G4304" t="s">
        <v>3694</v>
      </c>
    </row>
    <row r="4305" spans="1:7">
      <c r="A4305" t="s">
        <v>9607</v>
      </c>
      <c r="B4305" t="s">
        <v>9608</v>
      </c>
      <c r="C4305" t="s">
        <v>9319</v>
      </c>
      <c r="D4305" t="s">
        <v>9320</v>
      </c>
      <c r="E4305">
        <v>6</v>
      </c>
      <c r="F4305" s="6">
        <v>750</v>
      </c>
      <c r="G4305" t="s">
        <v>3713</v>
      </c>
    </row>
    <row r="4306" spans="1:7">
      <c r="A4306" t="s">
        <v>9609</v>
      </c>
      <c r="B4306" t="s">
        <v>9610</v>
      </c>
      <c r="C4306" t="s">
        <v>4084</v>
      </c>
      <c r="D4306" t="s">
        <v>4085</v>
      </c>
      <c r="E4306">
        <v>6</v>
      </c>
      <c r="F4306" s="6">
        <v>750</v>
      </c>
      <c r="G4306" t="s">
        <v>3713</v>
      </c>
    </row>
    <row r="4307" spans="1:7">
      <c r="A4307" t="s">
        <v>9611</v>
      </c>
      <c r="B4307" t="s">
        <v>9612</v>
      </c>
      <c r="C4307" t="s">
        <v>3977</v>
      </c>
      <c r="D4307" t="s">
        <v>3978</v>
      </c>
      <c r="E4307">
        <v>12</v>
      </c>
      <c r="F4307" s="6">
        <v>750</v>
      </c>
      <c r="G4307" t="s">
        <v>3686</v>
      </c>
    </row>
    <row r="4308" spans="1:7">
      <c r="A4308" t="s">
        <v>9613</v>
      </c>
      <c r="B4308" t="s">
        <v>9614</v>
      </c>
      <c r="C4308" t="s">
        <v>3684</v>
      </c>
      <c r="D4308" t="s">
        <v>3685</v>
      </c>
      <c r="E4308">
        <v>6</v>
      </c>
      <c r="F4308" s="6">
        <v>750</v>
      </c>
      <c r="G4308" t="s">
        <v>3702</v>
      </c>
    </row>
    <row r="4309" spans="1:7">
      <c r="A4309" t="s">
        <v>9615</v>
      </c>
      <c r="B4309" t="s">
        <v>9616</v>
      </c>
      <c r="C4309" t="s">
        <v>4084</v>
      </c>
      <c r="D4309" t="s">
        <v>4085</v>
      </c>
      <c r="E4309">
        <v>6</v>
      </c>
      <c r="F4309" s="6">
        <v>750</v>
      </c>
      <c r="G4309" t="s">
        <v>3713</v>
      </c>
    </row>
    <row r="4310" spans="1:7">
      <c r="A4310" t="s">
        <v>9617</v>
      </c>
      <c r="B4310" t="s">
        <v>9618</v>
      </c>
      <c r="C4310" t="s">
        <v>4084</v>
      </c>
      <c r="D4310" t="s">
        <v>4085</v>
      </c>
      <c r="E4310">
        <v>6</v>
      </c>
      <c r="F4310" s="6">
        <v>750</v>
      </c>
      <c r="G4310" t="s">
        <v>3713</v>
      </c>
    </row>
    <row r="4311" spans="1:7">
      <c r="A4311" t="s">
        <v>9619</v>
      </c>
      <c r="B4311" t="s">
        <v>9620</v>
      </c>
      <c r="C4311" t="s">
        <v>4084</v>
      </c>
      <c r="D4311" t="s">
        <v>4085</v>
      </c>
      <c r="E4311">
        <v>6</v>
      </c>
      <c r="F4311" s="6">
        <v>750</v>
      </c>
      <c r="G4311" t="s">
        <v>3713</v>
      </c>
    </row>
    <row r="4312" spans="1:7">
      <c r="A4312" t="s">
        <v>9621</v>
      </c>
      <c r="B4312" t="s">
        <v>9622</v>
      </c>
      <c r="C4312" t="s">
        <v>4084</v>
      </c>
      <c r="D4312" t="s">
        <v>4085</v>
      </c>
      <c r="E4312">
        <v>6</v>
      </c>
      <c r="F4312" s="6">
        <v>750</v>
      </c>
      <c r="G4312" t="s">
        <v>9312</v>
      </c>
    </row>
    <row r="4313" spans="1:7">
      <c r="A4313" t="s">
        <v>9623</v>
      </c>
      <c r="B4313" t="s">
        <v>9624</v>
      </c>
      <c r="C4313" t="s">
        <v>4084</v>
      </c>
      <c r="D4313" t="s">
        <v>4085</v>
      </c>
      <c r="E4313">
        <v>6</v>
      </c>
      <c r="F4313" s="6">
        <v>700</v>
      </c>
      <c r="G4313" t="s">
        <v>5701</v>
      </c>
    </row>
    <row r="4314" spans="1:7">
      <c r="A4314" t="s">
        <v>9625</v>
      </c>
      <c r="B4314" t="s">
        <v>9626</v>
      </c>
      <c r="C4314" t="s">
        <v>9319</v>
      </c>
      <c r="D4314" t="s">
        <v>9320</v>
      </c>
      <c r="E4314">
        <v>12</v>
      </c>
      <c r="F4314" s="6">
        <v>750</v>
      </c>
      <c r="G4314" t="s">
        <v>3694</v>
      </c>
    </row>
    <row r="4315" spans="1:7">
      <c r="A4315" t="s">
        <v>2604</v>
      </c>
      <c r="B4315" t="s">
        <v>9627</v>
      </c>
      <c r="C4315" t="s">
        <v>3928</v>
      </c>
      <c r="D4315" t="s">
        <v>3929</v>
      </c>
      <c r="E4315">
        <v>6</v>
      </c>
      <c r="F4315" s="6">
        <v>750</v>
      </c>
      <c r="G4315" t="s">
        <v>3686</v>
      </c>
    </row>
    <row r="4316" spans="1:7">
      <c r="A4316" t="s">
        <v>9628</v>
      </c>
      <c r="B4316" t="s">
        <v>9629</v>
      </c>
      <c r="C4316" t="s">
        <v>9319</v>
      </c>
      <c r="D4316" t="s">
        <v>9320</v>
      </c>
      <c r="E4316">
        <v>12</v>
      </c>
      <c r="F4316" s="6">
        <v>750</v>
      </c>
      <c r="G4316" t="s">
        <v>3931</v>
      </c>
    </row>
    <row r="4317" spans="1:7">
      <c r="A4317" t="s">
        <v>9630</v>
      </c>
      <c r="B4317" t="s">
        <v>9631</v>
      </c>
      <c r="C4317" t="s">
        <v>3684</v>
      </c>
      <c r="D4317" t="s">
        <v>3685</v>
      </c>
      <c r="E4317">
        <v>6</v>
      </c>
      <c r="F4317" s="6">
        <v>750</v>
      </c>
      <c r="G4317" t="s">
        <v>5698</v>
      </c>
    </row>
    <row r="4318" spans="1:7">
      <c r="A4318" t="s">
        <v>9632</v>
      </c>
      <c r="B4318" t="s">
        <v>9633</v>
      </c>
      <c r="C4318" t="s">
        <v>4084</v>
      </c>
      <c r="D4318" t="s">
        <v>4085</v>
      </c>
      <c r="E4318">
        <v>6</v>
      </c>
      <c r="F4318" s="6">
        <v>700</v>
      </c>
      <c r="G4318" t="s">
        <v>3681</v>
      </c>
    </row>
    <row r="4319" spans="1:7">
      <c r="A4319" t="s">
        <v>9634</v>
      </c>
      <c r="B4319" t="s">
        <v>9635</v>
      </c>
      <c r="C4319" t="s">
        <v>4084</v>
      </c>
      <c r="D4319" t="s">
        <v>4085</v>
      </c>
      <c r="E4319">
        <v>3</v>
      </c>
      <c r="F4319" s="6">
        <v>750</v>
      </c>
      <c r="G4319" t="s">
        <v>4419</v>
      </c>
    </row>
    <row r="4320" spans="1:7">
      <c r="A4320" t="s">
        <v>9636</v>
      </c>
      <c r="B4320" t="s">
        <v>9637</v>
      </c>
      <c r="C4320" t="s">
        <v>9319</v>
      </c>
      <c r="D4320" t="s">
        <v>9320</v>
      </c>
      <c r="E4320">
        <v>12</v>
      </c>
      <c r="F4320" s="6">
        <v>750</v>
      </c>
      <c r="G4320" t="s">
        <v>3681</v>
      </c>
    </row>
    <row r="4321" spans="1:7">
      <c r="A4321" t="s">
        <v>9638</v>
      </c>
      <c r="B4321" t="s">
        <v>9639</v>
      </c>
      <c r="C4321" t="s">
        <v>4084</v>
      </c>
      <c r="D4321" t="s">
        <v>4085</v>
      </c>
      <c r="E4321">
        <v>6</v>
      </c>
      <c r="F4321" s="6">
        <v>750</v>
      </c>
      <c r="G4321" t="s">
        <v>3754</v>
      </c>
    </row>
    <row r="4322" spans="1:7">
      <c r="A4322" t="s">
        <v>9640</v>
      </c>
      <c r="B4322" t="s">
        <v>9641</v>
      </c>
      <c r="C4322" t="s">
        <v>4084</v>
      </c>
      <c r="D4322" t="s">
        <v>4085</v>
      </c>
      <c r="E4322">
        <v>6</v>
      </c>
      <c r="F4322" s="6">
        <v>750</v>
      </c>
      <c r="G4322" t="s">
        <v>3802</v>
      </c>
    </row>
    <row r="4323" spans="1:7">
      <c r="A4323" t="s">
        <v>9642</v>
      </c>
      <c r="B4323" t="s">
        <v>9643</v>
      </c>
      <c r="C4323" t="s">
        <v>9319</v>
      </c>
      <c r="D4323" t="s">
        <v>9320</v>
      </c>
      <c r="E4323">
        <v>6</v>
      </c>
      <c r="F4323" s="6">
        <v>750</v>
      </c>
      <c r="G4323" t="s">
        <v>3763</v>
      </c>
    </row>
    <row r="4324" spans="1:7">
      <c r="A4324" t="s">
        <v>85</v>
      </c>
      <c r="B4324" t="s">
        <v>6727</v>
      </c>
      <c r="C4324" t="s">
        <v>9319</v>
      </c>
      <c r="D4324" t="s">
        <v>9320</v>
      </c>
      <c r="E4324">
        <v>6</v>
      </c>
      <c r="F4324" s="6">
        <v>750</v>
      </c>
      <c r="G4324" t="s">
        <v>3763</v>
      </c>
    </row>
    <row r="4325" spans="1:7">
      <c r="A4325" t="s">
        <v>9644</v>
      </c>
      <c r="B4325" t="s">
        <v>9645</v>
      </c>
      <c r="C4325" t="s">
        <v>9319</v>
      </c>
      <c r="D4325" t="s">
        <v>9320</v>
      </c>
      <c r="E4325">
        <v>6</v>
      </c>
      <c r="F4325" s="6">
        <v>750</v>
      </c>
      <c r="G4325" t="s">
        <v>5701</v>
      </c>
    </row>
    <row r="4326" spans="1:7">
      <c r="A4326" t="s">
        <v>9646</v>
      </c>
      <c r="B4326" t="s">
        <v>9647</v>
      </c>
      <c r="C4326" t="s">
        <v>9319</v>
      </c>
      <c r="D4326" t="s">
        <v>9320</v>
      </c>
      <c r="E4326">
        <v>12</v>
      </c>
      <c r="F4326" s="6">
        <v>750</v>
      </c>
      <c r="G4326" t="s">
        <v>3888</v>
      </c>
    </row>
    <row r="4327" spans="1:7">
      <c r="A4327" t="s">
        <v>9648</v>
      </c>
      <c r="B4327" t="s">
        <v>9649</v>
      </c>
      <c r="C4327" t="s">
        <v>3756</v>
      </c>
      <c r="D4327" t="s">
        <v>3757</v>
      </c>
      <c r="E4327">
        <v>12</v>
      </c>
      <c r="F4327" s="6">
        <v>1000</v>
      </c>
      <c r="G4327" t="s">
        <v>3686</v>
      </c>
    </row>
    <row r="4328" spans="1:7">
      <c r="A4328" t="s">
        <v>9650</v>
      </c>
      <c r="B4328" t="s">
        <v>9651</v>
      </c>
      <c r="C4328" t="s">
        <v>4170</v>
      </c>
      <c r="D4328" t="s">
        <v>4171</v>
      </c>
      <c r="E4328">
        <v>12</v>
      </c>
      <c r="F4328" s="6">
        <v>750</v>
      </c>
      <c r="G4328" t="s">
        <v>3681</v>
      </c>
    </row>
    <row r="4329" spans="1:7">
      <c r="A4329" t="s">
        <v>3327</v>
      </c>
      <c r="B4329" t="s">
        <v>9652</v>
      </c>
      <c r="C4329" t="s">
        <v>9319</v>
      </c>
      <c r="D4329" t="s">
        <v>9320</v>
      </c>
      <c r="E4329">
        <v>12</v>
      </c>
      <c r="F4329" s="6">
        <v>750</v>
      </c>
      <c r="G4329" t="s">
        <v>3787</v>
      </c>
    </row>
    <row r="4330" spans="1:7">
      <c r="A4330" t="s">
        <v>9653</v>
      </c>
      <c r="B4330" t="s">
        <v>9654</v>
      </c>
      <c r="C4330" t="s">
        <v>4084</v>
      </c>
      <c r="D4330" t="s">
        <v>4085</v>
      </c>
      <c r="E4330">
        <v>6</v>
      </c>
      <c r="F4330" s="6">
        <v>750</v>
      </c>
      <c r="G4330" t="s">
        <v>5701</v>
      </c>
    </row>
    <row r="4331" spans="1:7">
      <c r="A4331" t="s">
        <v>9655</v>
      </c>
      <c r="B4331" t="s">
        <v>9656</v>
      </c>
      <c r="C4331" t="s">
        <v>9319</v>
      </c>
      <c r="D4331" t="s">
        <v>9320</v>
      </c>
      <c r="E4331">
        <v>12</v>
      </c>
      <c r="F4331" s="6">
        <v>375</v>
      </c>
      <c r="G4331" t="s">
        <v>3730</v>
      </c>
    </row>
    <row r="4332" spans="1:7">
      <c r="A4332" t="s">
        <v>9657</v>
      </c>
      <c r="B4332" t="s">
        <v>9658</v>
      </c>
      <c r="C4332" t="s">
        <v>7442</v>
      </c>
      <c r="D4332" t="s">
        <v>7443</v>
      </c>
      <c r="E4332">
        <v>6</v>
      </c>
      <c r="F4332" s="6">
        <v>750</v>
      </c>
      <c r="G4332" t="s">
        <v>9659</v>
      </c>
    </row>
    <row r="4333" spans="1:7">
      <c r="A4333" t="s">
        <v>9660</v>
      </c>
      <c r="B4333" t="s">
        <v>9661</v>
      </c>
      <c r="C4333" t="s">
        <v>9319</v>
      </c>
      <c r="D4333" t="s">
        <v>9320</v>
      </c>
      <c r="E4333">
        <v>10</v>
      </c>
      <c r="F4333" s="6">
        <v>50</v>
      </c>
      <c r="G4333" t="s">
        <v>3730</v>
      </c>
    </row>
    <row r="4334" spans="1:7">
      <c r="A4334" t="s">
        <v>9662</v>
      </c>
      <c r="B4334" t="s">
        <v>9663</v>
      </c>
      <c r="C4334" t="s">
        <v>9319</v>
      </c>
      <c r="D4334" t="s">
        <v>9320</v>
      </c>
      <c r="E4334">
        <v>6</v>
      </c>
      <c r="F4334" s="6">
        <v>750</v>
      </c>
      <c r="G4334" t="s">
        <v>3802</v>
      </c>
    </row>
    <row r="4335" spans="1:7">
      <c r="A4335" t="s">
        <v>9664</v>
      </c>
      <c r="B4335" t="s">
        <v>9665</v>
      </c>
      <c r="C4335" t="s">
        <v>9319</v>
      </c>
      <c r="D4335" t="s">
        <v>9320</v>
      </c>
      <c r="E4335">
        <v>12</v>
      </c>
      <c r="F4335" s="6">
        <v>750</v>
      </c>
      <c r="G4335" t="s">
        <v>4163</v>
      </c>
    </row>
    <row r="4336" spans="1:7">
      <c r="A4336" t="s">
        <v>9666</v>
      </c>
      <c r="B4336" t="s">
        <v>9667</v>
      </c>
      <c r="C4336" t="s">
        <v>3684</v>
      </c>
      <c r="D4336" t="s">
        <v>3685</v>
      </c>
      <c r="E4336">
        <v>3</v>
      </c>
      <c r="F4336" s="6">
        <v>750</v>
      </c>
      <c r="G4336" t="s">
        <v>3681</v>
      </c>
    </row>
    <row r="4337" spans="1:7">
      <c r="A4337" t="s">
        <v>9668</v>
      </c>
      <c r="B4337" t="s">
        <v>9669</v>
      </c>
      <c r="C4337" t="s">
        <v>4093</v>
      </c>
      <c r="D4337" t="s">
        <v>4094</v>
      </c>
      <c r="E4337">
        <v>12</v>
      </c>
      <c r="F4337" s="6">
        <v>750</v>
      </c>
      <c r="G4337" t="s">
        <v>3931</v>
      </c>
    </row>
    <row r="4338" spans="1:7">
      <c r="A4338" t="s">
        <v>9670</v>
      </c>
      <c r="B4338" t="s">
        <v>9671</v>
      </c>
      <c r="C4338" t="s">
        <v>4093</v>
      </c>
      <c r="D4338" t="s">
        <v>4094</v>
      </c>
      <c r="E4338">
        <v>12</v>
      </c>
      <c r="F4338" s="6">
        <v>750</v>
      </c>
      <c r="G4338" t="s">
        <v>3931</v>
      </c>
    </row>
    <row r="4339" spans="1:7">
      <c r="A4339" t="s">
        <v>9672</v>
      </c>
      <c r="B4339" t="s">
        <v>9673</v>
      </c>
      <c r="C4339" t="s">
        <v>9319</v>
      </c>
      <c r="D4339" t="s">
        <v>9320</v>
      </c>
      <c r="E4339">
        <v>12</v>
      </c>
      <c r="F4339" s="6">
        <v>750</v>
      </c>
      <c r="G4339" t="s">
        <v>3931</v>
      </c>
    </row>
    <row r="4340" spans="1:7">
      <c r="A4340" t="s">
        <v>9674</v>
      </c>
      <c r="B4340" t="s">
        <v>9675</v>
      </c>
      <c r="C4340" t="s">
        <v>4052</v>
      </c>
      <c r="D4340" t="s">
        <v>4053</v>
      </c>
      <c r="E4340">
        <v>12</v>
      </c>
      <c r="F4340" s="6">
        <v>750</v>
      </c>
      <c r="G4340" t="s">
        <v>3716</v>
      </c>
    </row>
    <row r="4341" spans="1:7">
      <c r="A4341" t="s">
        <v>9676</v>
      </c>
      <c r="B4341" t="s">
        <v>9677</v>
      </c>
      <c r="C4341" t="s">
        <v>9319</v>
      </c>
      <c r="D4341" t="s">
        <v>9320</v>
      </c>
      <c r="E4341">
        <v>12</v>
      </c>
      <c r="F4341" s="6">
        <v>750</v>
      </c>
      <c r="G4341" t="s">
        <v>3730</v>
      </c>
    </row>
    <row r="4342" spans="1:7">
      <c r="A4342" t="s">
        <v>1752</v>
      </c>
      <c r="B4342" t="s">
        <v>9678</v>
      </c>
      <c r="C4342" t="s">
        <v>4190</v>
      </c>
      <c r="D4342" t="s">
        <v>4191</v>
      </c>
      <c r="E4342">
        <v>6</v>
      </c>
      <c r="F4342" s="6">
        <v>750</v>
      </c>
      <c r="G4342" t="s">
        <v>3705</v>
      </c>
    </row>
    <row r="4343" spans="1:7">
      <c r="A4343" t="s">
        <v>9679</v>
      </c>
      <c r="B4343" t="s">
        <v>9680</v>
      </c>
      <c r="C4343" t="s">
        <v>4093</v>
      </c>
      <c r="D4343" t="s">
        <v>4094</v>
      </c>
      <c r="E4343">
        <v>6</v>
      </c>
      <c r="F4343" s="6">
        <v>750</v>
      </c>
      <c r="G4343" t="s">
        <v>4163</v>
      </c>
    </row>
    <row r="4344" spans="1:7">
      <c r="A4344" t="s">
        <v>500</v>
      </c>
      <c r="B4344" t="s">
        <v>9681</v>
      </c>
      <c r="C4344" t="s">
        <v>4170</v>
      </c>
      <c r="D4344" t="s">
        <v>4171</v>
      </c>
      <c r="E4344">
        <v>6</v>
      </c>
      <c r="F4344" s="6">
        <v>750</v>
      </c>
      <c r="G4344" t="s">
        <v>3686</v>
      </c>
    </row>
    <row r="4345" spans="1:7">
      <c r="A4345" t="s">
        <v>9682</v>
      </c>
      <c r="B4345" t="s">
        <v>9683</v>
      </c>
      <c r="C4345" t="s">
        <v>9319</v>
      </c>
      <c r="D4345" t="s">
        <v>9320</v>
      </c>
      <c r="E4345">
        <v>6</v>
      </c>
      <c r="F4345" s="6">
        <v>1750</v>
      </c>
      <c r="G4345" t="s">
        <v>4163</v>
      </c>
    </row>
    <row r="4346" spans="1:7">
      <c r="A4346" t="s">
        <v>9684</v>
      </c>
      <c r="B4346" t="s">
        <v>9685</v>
      </c>
      <c r="C4346" t="s">
        <v>4170</v>
      </c>
      <c r="D4346" t="s">
        <v>4171</v>
      </c>
      <c r="E4346">
        <v>12</v>
      </c>
      <c r="F4346" s="6">
        <v>1000</v>
      </c>
      <c r="G4346" t="s">
        <v>3888</v>
      </c>
    </row>
    <row r="4347" spans="1:7">
      <c r="A4347" t="s">
        <v>9686</v>
      </c>
      <c r="B4347" t="s">
        <v>9687</v>
      </c>
      <c r="C4347" t="s">
        <v>4084</v>
      </c>
      <c r="D4347" t="s">
        <v>4085</v>
      </c>
      <c r="E4347">
        <v>6</v>
      </c>
      <c r="F4347" s="6">
        <v>750</v>
      </c>
      <c r="G4347" t="s">
        <v>5701</v>
      </c>
    </row>
    <row r="4348" spans="1:7">
      <c r="A4348" t="s">
        <v>9688</v>
      </c>
      <c r="B4348" t="s">
        <v>9689</v>
      </c>
      <c r="C4348" t="s">
        <v>4591</v>
      </c>
      <c r="D4348" t="s">
        <v>4592</v>
      </c>
      <c r="E4348">
        <v>6</v>
      </c>
      <c r="F4348" s="6">
        <v>1750</v>
      </c>
      <c r="G4348" t="s">
        <v>3931</v>
      </c>
    </row>
    <row r="4349" spans="1:7">
      <c r="A4349" t="s">
        <v>9690</v>
      </c>
      <c r="B4349" t="s">
        <v>9691</v>
      </c>
      <c r="C4349" t="s">
        <v>9319</v>
      </c>
      <c r="D4349" t="s">
        <v>9320</v>
      </c>
      <c r="E4349">
        <v>12</v>
      </c>
      <c r="F4349" s="6">
        <v>1000</v>
      </c>
      <c r="G4349" t="s">
        <v>3713</v>
      </c>
    </row>
    <row r="4350" spans="1:7">
      <c r="A4350" t="s">
        <v>1552</v>
      </c>
      <c r="B4350" t="s">
        <v>9692</v>
      </c>
      <c r="C4350" t="s">
        <v>9319</v>
      </c>
      <c r="D4350" t="s">
        <v>9320</v>
      </c>
      <c r="E4350">
        <v>12</v>
      </c>
      <c r="F4350" s="6">
        <v>750</v>
      </c>
      <c r="G4350" t="s">
        <v>3802</v>
      </c>
    </row>
    <row r="4351" spans="1:7">
      <c r="A4351" t="s">
        <v>9693</v>
      </c>
      <c r="B4351" t="s">
        <v>9694</v>
      </c>
      <c r="C4351" t="s">
        <v>4052</v>
      </c>
      <c r="D4351" t="s">
        <v>4053</v>
      </c>
      <c r="E4351">
        <v>12</v>
      </c>
      <c r="F4351" s="6">
        <v>750</v>
      </c>
      <c r="G4351" t="s">
        <v>3716</v>
      </c>
    </row>
    <row r="4352" spans="1:7">
      <c r="A4352" t="s">
        <v>9695</v>
      </c>
      <c r="B4352" t="s">
        <v>9696</v>
      </c>
      <c r="C4352" t="s">
        <v>4084</v>
      </c>
      <c r="D4352" t="s">
        <v>4085</v>
      </c>
      <c r="E4352">
        <v>6</v>
      </c>
      <c r="F4352" s="6">
        <v>750</v>
      </c>
      <c r="G4352" t="s">
        <v>3681</v>
      </c>
    </row>
    <row r="4353" spans="1:7">
      <c r="A4353" t="s">
        <v>9697</v>
      </c>
      <c r="B4353" t="s">
        <v>9698</v>
      </c>
      <c r="C4353" t="s">
        <v>3692</v>
      </c>
      <c r="D4353" t="s">
        <v>3693</v>
      </c>
      <c r="E4353">
        <v>6</v>
      </c>
      <c r="F4353" s="6">
        <v>750</v>
      </c>
      <c r="G4353" t="s">
        <v>9659</v>
      </c>
    </row>
    <row r="4354" spans="1:7">
      <c r="A4354" t="s">
        <v>9699</v>
      </c>
      <c r="B4354" t="s">
        <v>9700</v>
      </c>
      <c r="C4354" t="s">
        <v>9319</v>
      </c>
      <c r="D4354" t="s">
        <v>9320</v>
      </c>
      <c r="E4354">
        <v>6</v>
      </c>
      <c r="F4354" s="6">
        <v>750</v>
      </c>
      <c r="G4354" t="s">
        <v>3802</v>
      </c>
    </row>
    <row r="4355" spans="1:7">
      <c r="A4355" t="s">
        <v>9701</v>
      </c>
      <c r="B4355" t="s">
        <v>9702</v>
      </c>
      <c r="C4355" t="s">
        <v>9319</v>
      </c>
      <c r="D4355" t="s">
        <v>9320</v>
      </c>
      <c r="E4355">
        <v>6</v>
      </c>
      <c r="F4355" s="6">
        <v>750</v>
      </c>
      <c r="G4355" t="s">
        <v>4117</v>
      </c>
    </row>
    <row r="4356" spans="1:7">
      <c r="A4356" t="s">
        <v>9703</v>
      </c>
      <c r="B4356" t="s">
        <v>9704</v>
      </c>
      <c r="C4356" t="s">
        <v>3684</v>
      </c>
      <c r="D4356" t="s">
        <v>3685</v>
      </c>
      <c r="E4356">
        <v>6</v>
      </c>
      <c r="F4356" s="6">
        <v>750</v>
      </c>
      <c r="G4356" t="s">
        <v>4117</v>
      </c>
    </row>
    <row r="4357" spans="1:7">
      <c r="A4357" t="s">
        <v>9705</v>
      </c>
      <c r="B4357" t="s">
        <v>9706</v>
      </c>
      <c r="C4357" t="s">
        <v>4084</v>
      </c>
      <c r="D4357" t="s">
        <v>4085</v>
      </c>
      <c r="E4357">
        <v>3</v>
      </c>
      <c r="F4357" s="6">
        <v>750</v>
      </c>
      <c r="G4357" t="s">
        <v>4117</v>
      </c>
    </row>
    <row r="4358" spans="1:7">
      <c r="A4358" t="s">
        <v>9707</v>
      </c>
      <c r="B4358" t="s">
        <v>9708</v>
      </c>
      <c r="C4358" t="s">
        <v>4084</v>
      </c>
      <c r="D4358" t="s">
        <v>4085</v>
      </c>
      <c r="E4358">
        <v>6</v>
      </c>
      <c r="F4358" s="6">
        <v>750</v>
      </c>
      <c r="G4358" t="s">
        <v>6746</v>
      </c>
    </row>
    <row r="4359" spans="1:7">
      <c r="A4359" t="s">
        <v>9709</v>
      </c>
      <c r="B4359" t="s">
        <v>9710</v>
      </c>
      <c r="C4359" t="s">
        <v>3684</v>
      </c>
      <c r="D4359" t="s">
        <v>3685</v>
      </c>
      <c r="E4359">
        <v>12</v>
      </c>
      <c r="F4359" s="6">
        <v>750</v>
      </c>
      <c r="G4359" t="s">
        <v>6746</v>
      </c>
    </row>
    <row r="4360" spans="1:7">
      <c r="A4360" t="s">
        <v>9711</v>
      </c>
      <c r="B4360" t="s">
        <v>9712</v>
      </c>
      <c r="C4360" t="s">
        <v>3808</v>
      </c>
      <c r="D4360" t="s">
        <v>3809</v>
      </c>
      <c r="E4360">
        <v>6</v>
      </c>
      <c r="F4360" s="6">
        <v>750</v>
      </c>
      <c r="G4360" t="s">
        <v>3702</v>
      </c>
    </row>
    <row r="4361" spans="1:7">
      <c r="A4361" t="s">
        <v>9713</v>
      </c>
      <c r="B4361" t="s">
        <v>9714</v>
      </c>
      <c r="C4361" t="s">
        <v>3684</v>
      </c>
      <c r="D4361" t="s">
        <v>3685</v>
      </c>
      <c r="E4361">
        <v>6</v>
      </c>
      <c r="F4361" s="6">
        <v>750</v>
      </c>
      <c r="G4361" t="s">
        <v>9715</v>
      </c>
    </row>
    <row r="4362" spans="1:7">
      <c r="A4362" t="s">
        <v>9716</v>
      </c>
      <c r="B4362" t="s">
        <v>9717</v>
      </c>
      <c r="C4362" t="s">
        <v>3684</v>
      </c>
      <c r="D4362" t="s">
        <v>3685</v>
      </c>
      <c r="E4362">
        <v>6</v>
      </c>
      <c r="F4362" s="6">
        <v>750</v>
      </c>
      <c r="G4362" t="s">
        <v>3730</v>
      </c>
    </row>
    <row r="4363" spans="1:7">
      <c r="A4363" t="s">
        <v>9718</v>
      </c>
      <c r="B4363" t="s">
        <v>6842</v>
      </c>
      <c r="C4363" t="s">
        <v>3684</v>
      </c>
      <c r="D4363" t="s">
        <v>3685</v>
      </c>
      <c r="E4363">
        <v>6</v>
      </c>
      <c r="F4363" s="6">
        <v>1750</v>
      </c>
      <c r="G4363" t="s">
        <v>3730</v>
      </c>
    </row>
    <row r="4364" spans="1:7">
      <c r="A4364" t="s">
        <v>9719</v>
      </c>
      <c r="B4364" t="s">
        <v>9720</v>
      </c>
      <c r="C4364" t="s">
        <v>9319</v>
      </c>
      <c r="D4364" t="s">
        <v>9320</v>
      </c>
      <c r="E4364">
        <v>6</v>
      </c>
      <c r="F4364" s="6">
        <v>750</v>
      </c>
      <c r="G4364" t="s">
        <v>9715</v>
      </c>
    </row>
    <row r="4365" spans="1:7">
      <c r="A4365" t="s">
        <v>9721</v>
      </c>
      <c r="B4365" t="s">
        <v>9722</v>
      </c>
      <c r="C4365" t="s">
        <v>4084</v>
      </c>
      <c r="D4365" t="s">
        <v>4085</v>
      </c>
      <c r="E4365">
        <v>6</v>
      </c>
      <c r="F4365" s="6">
        <v>750</v>
      </c>
      <c r="G4365" t="s">
        <v>3730</v>
      </c>
    </row>
    <row r="4366" spans="1:7">
      <c r="A4366" t="s">
        <v>9723</v>
      </c>
      <c r="B4366" t="s">
        <v>9724</v>
      </c>
      <c r="C4366" t="s">
        <v>3684</v>
      </c>
      <c r="D4366" t="s">
        <v>3685</v>
      </c>
      <c r="E4366">
        <v>6</v>
      </c>
      <c r="F4366" s="6">
        <v>750</v>
      </c>
      <c r="G4366" t="s">
        <v>3716</v>
      </c>
    </row>
    <row r="4367" spans="1:7">
      <c r="A4367" t="s">
        <v>9725</v>
      </c>
      <c r="B4367" t="s">
        <v>9726</v>
      </c>
      <c r="C4367" t="s">
        <v>4084</v>
      </c>
      <c r="D4367" t="s">
        <v>4085</v>
      </c>
      <c r="E4367">
        <v>12</v>
      </c>
      <c r="F4367" s="6">
        <v>750</v>
      </c>
      <c r="G4367" t="s">
        <v>9727</v>
      </c>
    </row>
    <row r="4368" spans="1:7">
      <c r="A4368" t="s">
        <v>9728</v>
      </c>
      <c r="B4368" t="s">
        <v>9729</v>
      </c>
      <c r="C4368" t="s">
        <v>3684</v>
      </c>
      <c r="D4368" t="s">
        <v>3685</v>
      </c>
      <c r="E4368">
        <v>6</v>
      </c>
      <c r="F4368" s="6">
        <v>750</v>
      </c>
      <c r="G4368" t="s">
        <v>4796</v>
      </c>
    </row>
    <row r="4369" spans="1:7">
      <c r="A4369" t="s">
        <v>9730</v>
      </c>
      <c r="B4369" t="s">
        <v>9731</v>
      </c>
      <c r="C4369" t="s">
        <v>3684</v>
      </c>
      <c r="D4369" t="s">
        <v>3685</v>
      </c>
      <c r="E4369">
        <v>6</v>
      </c>
      <c r="F4369" s="6">
        <v>750</v>
      </c>
      <c r="G4369" t="s">
        <v>4796</v>
      </c>
    </row>
    <row r="4370" spans="1:7">
      <c r="A4370" t="s">
        <v>2564</v>
      </c>
      <c r="B4370" t="s">
        <v>9732</v>
      </c>
      <c r="C4370" t="s">
        <v>4591</v>
      </c>
      <c r="D4370" t="s">
        <v>4592</v>
      </c>
      <c r="E4370">
        <v>12</v>
      </c>
      <c r="F4370" s="6">
        <v>750</v>
      </c>
      <c r="G4370" t="s">
        <v>4163</v>
      </c>
    </row>
    <row r="4371" spans="1:7">
      <c r="A4371" t="s">
        <v>3636</v>
      </c>
      <c r="B4371" t="s">
        <v>9733</v>
      </c>
      <c r="C4371" t="s">
        <v>4084</v>
      </c>
      <c r="D4371" t="s">
        <v>4085</v>
      </c>
      <c r="E4371">
        <v>6</v>
      </c>
      <c r="F4371" s="6">
        <v>750</v>
      </c>
      <c r="G4371" t="s">
        <v>6746</v>
      </c>
    </row>
    <row r="4372" spans="1:7">
      <c r="A4372" t="s">
        <v>9734</v>
      </c>
      <c r="B4372" t="s">
        <v>9735</v>
      </c>
      <c r="C4372" t="s">
        <v>4084</v>
      </c>
      <c r="D4372" t="s">
        <v>4085</v>
      </c>
      <c r="E4372">
        <v>6</v>
      </c>
      <c r="F4372" s="6">
        <v>750</v>
      </c>
      <c r="G4372" t="s">
        <v>4117</v>
      </c>
    </row>
    <row r="4373" spans="1:7">
      <c r="A4373" t="s">
        <v>9736</v>
      </c>
      <c r="B4373" t="s">
        <v>9737</v>
      </c>
      <c r="C4373" t="s">
        <v>3808</v>
      </c>
      <c r="D4373" t="s">
        <v>3809</v>
      </c>
      <c r="E4373">
        <v>6</v>
      </c>
      <c r="F4373" s="6">
        <v>750</v>
      </c>
      <c r="G4373" t="s">
        <v>6746</v>
      </c>
    </row>
    <row r="4374" spans="1:7">
      <c r="A4374" t="s">
        <v>9738</v>
      </c>
      <c r="B4374" t="s">
        <v>9739</v>
      </c>
      <c r="C4374" t="s">
        <v>3684</v>
      </c>
      <c r="D4374" t="s">
        <v>3685</v>
      </c>
      <c r="E4374">
        <v>6</v>
      </c>
      <c r="F4374" s="6">
        <v>750</v>
      </c>
      <c r="G4374" t="s">
        <v>3686</v>
      </c>
    </row>
    <row r="4375" spans="1:7">
      <c r="A4375" t="s">
        <v>9740</v>
      </c>
      <c r="B4375" t="s">
        <v>9741</v>
      </c>
      <c r="C4375" t="s">
        <v>3684</v>
      </c>
      <c r="D4375" t="s">
        <v>3685</v>
      </c>
      <c r="E4375">
        <v>6</v>
      </c>
      <c r="F4375" s="6">
        <v>750</v>
      </c>
      <c r="G4375" t="s">
        <v>4032</v>
      </c>
    </row>
    <row r="4376" spans="1:7">
      <c r="A4376" t="s">
        <v>9742</v>
      </c>
      <c r="B4376" t="s">
        <v>9743</v>
      </c>
      <c r="C4376" t="s">
        <v>4084</v>
      </c>
      <c r="D4376" t="s">
        <v>4085</v>
      </c>
      <c r="E4376">
        <v>6</v>
      </c>
      <c r="F4376" s="6">
        <v>750</v>
      </c>
      <c r="G4376" t="s">
        <v>4032</v>
      </c>
    </row>
    <row r="4377" spans="1:7">
      <c r="A4377" t="s">
        <v>9744</v>
      </c>
      <c r="B4377" t="s">
        <v>9745</v>
      </c>
      <c r="C4377" t="s">
        <v>4084</v>
      </c>
      <c r="D4377" t="s">
        <v>4085</v>
      </c>
      <c r="E4377">
        <v>6</v>
      </c>
      <c r="F4377" s="6">
        <v>750</v>
      </c>
      <c r="G4377" t="s">
        <v>3730</v>
      </c>
    </row>
    <row r="4378" spans="1:7">
      <c r="A4378" t="s">
        <v>9746</v>
      </c>
      <c r="B4378" t="s">
        <v>9747</v>
      </c>
      <c r="C4378" t="s">
        <v>3684</v>
      </c>
      <c r="D4378" t="s">
        <v>3685</v>
      </c>
      <c r="E4378">
        <v>6</v>
      </c>
      <c r="F4378" s="6">
        <v>750</v>
      </c>
      <c r="G4378" t="s">
        <v>6746</v>
      </c>
    </row>
    <row r="4379" spans="1:7">
      <c r="A4379" t="s">
        <v>9748</v>
      </c>
      <c r="B4379" t="s">
        <v>9749</v>
      </c>
      <c r="C4379" t="s">
        <v>3684</v>
      </c>
      <c r="D4379" t="s">
        <v>3685</v>
      </c>
      <c r="E4379">
        <v>6</v>
      </c>
      <c r="F4379" s="6">
        <v>750</v>
      </c>
      <c r="G4379" t="s">
        <v>6746</v>
      </c>
    </row>
    <row r="4380" spans="1:7">
      <c r="A4380" t="s">
        <v>9750</v>
      </c>
      <c r="B4380" t="s">
        <v>9751</v>
      </c>
      <c r="C4380" t="s">
        <v>4084</v>
      </c>
      <c r="D4380" t="s">
        <v>4085</v>
      </c>
      <c r="E4380">
        <v>6</v>
      </c>
      <c r="F4380" s="6">
        <v>750</v>
      </c>
      <c r="G4380" t="s">
        <v>3713</v>
      </c>
    </row>
    <row r="4381" spans="1:7">
      <c r="A4381" t="s">
        <v>9752</v>
      </c>
      <c r="B4381" t="s">
        <v>9753</v>
      </c>
      <c r="C4381" t="s">
        <v>4084</v>
      </c>
      <c r="D4381" t="s">
        <v>4085</v>
      </c>
      <c r="E4381">
        <v>6</v>
      </c>
      <c r="F4381" s="6">
        <v>750</v>
      </c>
      <c r="G4381" t="s">
        <v>4032</v>
      </c>
    </row>
    <row r="4382" spans="1:7">
      <c r="A4382" t="s">
        <v>9754</v>
      </c>
      <c r="B4382" t="s">
        <v>9755</v>
      </c>
      <c r="C4382" t="s">
        <v>3684</v>
      </c>
      <c r="D4382" t="s">
        <v>3685</v>
      </c>
      <c r="E4382">
        <v>6</v>
      </c>
      <c r="F4382" s="6">
        <v>750</v>
      </c>
      <c r="G4382" t="s">
        <v>4032</v>
      </c>
    </row>
    <row r="4383" spans="1:7">
      <c r="A4383" t="s">
        <v>9756</v>
      </c>
      <c r="B4383" t="s">
        <v>9757</v>
      </c>
      <c r="C4383" t="s">
        <v>3684</v>
      </c>
      <c r="D4383" t="s">
        <v>3685</v>
      </c>
      <c r="E4383">
        <v>6</v>
      </c>
      <c r="F4383" s="6">
        <v>750</v>
      </c>
      <c r="G4383" t="s">
        <v>4032</v>
      </c>
    </row>
    <row r="4384" spans="1:7">
      <c r="A4384" t="s">
        <v>9758</v>
      </c>
      <c r="B4384" t="s">
        <v>9759</v>
      </c>
      <c r="C4384" t="s">
        <v>3684</v>
      </c>
      <c r="D4384" t="s">
        <v>3685</v>
      </c>
      <c r="E4384">
        <v>6</v>
      </c>
      <c r="F4384" s="6">
        <v>750</v>
      </c>
      <c r="G4384" t="s">
        <v>4117</v>
      </c>
    </row>
    <row r="4385" spans="1:7">
      <c r="A4385" t="s">
        <v>9760</v>
      </c>
      <c r="B4385" t="s">
        <v>9761</v>
      </c>
      <c r="C4385" t="s">
        <v>3684</v>
      </c>
      <c r="D4385" t="s">
        <v>3685</v>
      </c>
      <c r="E4385">
        <v>6</v>
      </c>
      <c r="F4385" s="6">
        <v>750</v>
      </c>
      <c r="G4385" t="s">
        <v>4117</v>
      </c>
    </row>
    <row r="4386" spans="1:7">
      <c r="A4386" t="s">
        <v>9762</v>
      </c>
      <c r="B4386" t="s">
        <v>9763</v>
      </c>
      <c r="C4386" t="s">
        <v>3684</v>
      </c>
      <c r="D4386" t="s">
        <v>3685</v>
      </c>
      <c r="E4386">
        <v>6</v>
      </c>
      <c r="F4386" s="6">
        <v>1750</v>
      </c>
      <c r="G4386" t="s">
        <v>3730</v>
      </c>
    </row>
    <row r="4387" spans="1:7">
      <c r="A4387" t="s">
        <v>9764</v>
      </c>
      <c r="B4387" t="s">
        <v>9765</v>
      </c>
      <c r="C4387" t="s">
        <v>3684</v>
      </c>
      <c r="D4387" t="s">
        <v>3685</v>
      </c>
      <c r="E4387">
        <v>6</v>
      </c>
      <c r="F4387" s="6">
        <v>750</v>
      </c>
      <c r="G4387" t="s">
        <v>4032</v>
      </c>
    </row>
    <row r="4388" spans="1:7">
      <c r="A4388" t="s">
        <v>9766</v>
      </c>
      <c r="B4388" t="s">
        <v>9767</v>
      </c>
      <c r="C4388" t="s">
        <v>4084</v>
      </c>
      <c r="D4388" t="s">
        <v>4085</v>
      </c>
      <c r="E4388">
        <v>6</v>
      </c>
      <c r="F4388" s="6">
        <v>750</v>
      </c>
      <c r="G4388" t="s">
        <v>3694</v>
      </c>
    </row>
    <row r="4389" spans="1:7">
      <c r="A4389" t="s">
        <v>9768</v>
      </c>
      <c r="B4389" t="s">
        <v>9769</v>
      </c>
      <c r="C4389" t="s">
        <v>4084</v>
      </c>
      <c r="D4389" t="s">
        <v>4085</v>
      </c>
      <c r="E4389">
        <v>6</v>
      </c>
      <c r="F4389" s="6">
        <v>750</v>
      </c>
      <c r="G4389" t="s">
        <v>3713</v>
      </c>
    </row>
    <row r="4390" spans="1:7">
      <c r="A4390" t="s">
        <v>9770</v>
      </c>
      <c r="B4390" t="s">
        <v>9771</v>
      </c>
      <c r="C4390" t="s">
        <v>4084</v>
      </c>
      <c r="D4390" t="s">
        <v>4085</v>
      </c>
      <c r="E4390">
        <v>6</v>
      </c>
      <c r="F4390" s="6">
        <v>750</v>
      </c>
      <c r="G4390" t="s">
        <v>3713</v>
      </c>
    </row>
    <row r="4391" spans="1:7">
      <c r="A4391" t="s">
        <v>9772</v>
      </c>
      <c r="B4391" t="s">
        <v>9773</v>
      </c>
      <c r="C4391" t="s">
        <v>3684</v>
      </c>
      <c r="D4391" t="s">
        <v>3685</v>
      </c>
      <c r="E4391">
        <v>12</v>
      </c>
      <c r="F4391" s="6">
        <v>750</v>
      </c>
      <c r="G4391" t="s">
        <v>9774</v>
      </c>
    </row>
    <row r="4392" spans="1:7">
      <c r="A4392" t="s">
        <v>9775</v>
      </c>
      <c r="B4392" t="s">
        <v>9776</v>
      </c>
      <c r="C4392" t="s">
        <v>4084</v>
      </c>
      <c r="D4392" t="s">
        <v>4085</v>
      </c>
      <c r="E4392">
        <v>6</v>
      </c>
      <c r="F4392" s="6">
        <v>750</v>
      </c>
      <c r="G4392" t="s">
        <v>3713</v>
      </c>
    </row>
    <row r="4393" spans="1:7">
      <c r="A4393" t="s">
        <v>9777</v>
      </c>
      <c r="B4393" t="s">
        <v>9778</v>
      </c>
      <c r="C4393" t="s">
        <v>3684</v>
      </c>
      <c r="D4393" t="s">
        <v>3685</v>
      </c>
      <c r="E4393">
        <v>6</v>
      </c>
      <c r="F4393" s="6">
        <v>750</v>
      </c>
      <c r="G4393" t="s">
        <v>3686</v>
      </c>
    </row>
    <row r="4394" spans="1:7">
      <c r="A4394" t="s">
        <v>9779</v>
      </c>
      <c r="B4394" t="s">
        <v>9780</v>
      </c>
      <c r="C4394" t="s">
        <v>4084</v>
      </c>
      <c r="D4394" t="s">
        <v>4085</v>
      </c>
      <c r="E4394">
        <v>3</v>
      </c>
      <c r="F4394" s="6">
        <v>750</v>
      </c>
      <c r="G4394" t="s">
        <v>4419</v>
      </c>
    </row>
    <row r="4395" spans="1:7">
      <c r="A4395" t="s">
        <v>9781</v>
      </c>
      <c r="B4395" t="s">
        <v>9782</v>
      </c>
      <c r="C4395" t="s">
        <v>4084</v>
      </c>
      <c r="D4395" t="s">
        <v>4085</v>
      </c>
      <c r="E4395">
        <v>6</v>
      </c>
      <c r="F4395" s="6">
        <v>750</v>
      </c>
      <c r="G4395" t="s">
        <v>6746</v>
      </c>
    </row>
    <row r="4396" spans="1:7">
      <c r="A4396" t="s">
        <v>9783</v>
      </c>
      <c r="B4396" t="s">
        <v>9784</v>
      </c>
      <c r="C4396" t="s">
        <v>4084</v>
      </c>
      <c r="D4396" t="s">
        <v>4085</v>
      </c>
      <c r="E4396">
        <v>3</v>
      </c>
      <c r="F4396" s="6">
        <v>750</v>
      </c>
      <c r="G4396" t="s">
        <v>4419</v>
      </c>
    </row>
    <row r="4397" spans="1:7">
      <c r="A4397" t="s">
        <v>9785</v>
      </c>
      <c r="B4397" t="s">
        <v>9786</v>
      </c>
      <c r="C4397" t="s">
        <v>4084</v>
      </c>
      <c r="D4397" t="s">
        <v>4085</v>
      </c>
      <c r="E4397">
        <v>6</v>
      </c>
      <c r="F4397" s="6">
        <v>700</v>
      </c>
      <c r="G4397" t="s">
        <v>9715</v>
      </c>
    </row>
    <row r="4398" spans="1:7">
      <c r="A4398" t="s">
        <v>9787</v>
      </c>
      <c r="B4398" t="s">
        <v>9788</v>
      </c>
      <c r="C4398" t="s">
        <v>4084</v>
      </c>
      <c r="D4398" t="s">
        <v>4085</v>
      </c>
      <c r="E4398">
        <v>6</v>
      </c>
      <c r="F4398" s="6">
        <v>700</v>
      </c>
      <c r="G4398" t="s">
        <v>9715</v>
      </c>
    </row>
    <row r="4399" spans="1:7">
      <c r="A4399" t="s">
        <v>9789</v>
      </c>
      <c r="B4399" t="s">
        <v>9790</v>
      </c>
      <c r="C4399" t="s">
        <v>3684</v>
      </c>
      <c r="D4399" t="s">
        <v>3685</v>
      </c>
      <c r="E4399">
        <v>4</v>
      </c>
      <c r="F4399" s="6">
        <v>750</v>
      </c>
      <c r="G4399" t="s">
        <v>3730</v>
      </c>
    </row>
    <row r="4400" spans="1:7">
      <c r="A4400" t="s">
        <v>9791</v>
      </c>
      <c r="B4400" t="s">
        <v>9792</v>
      </c>
      <c r="C4400" t="s">
        <v>3684</v>
      </c>
      <c r="D4400" t="s">
        <v>3685</v>
      </c>
      <c r="E4400">
        <v>6</v>
      </c>
      <c r="F4400" s="6">
        <v>750</v>
      </c>
      <c r="G4400" t="s">
        <v>4032</v>
      </c>
    </row>
    <row r="4401" spans="1:7">
      <c r="A4401" t="s">
        <v>9793</v>
      </c>
      <c r="B4401" t="s">
        <v>9794</v>
      </c>
      <c r="C4401" t="s">
        <v>4084</v>
      </c>
      <c r="D4401" t="s">
        <v>4085</v>
      </c>
      <c r="E4401">
        <v>6</v>
      </c>
      <c r="F4401" s="6">
        <v>750</v>
      </c>
      <c r="G4401" t="s">
        <v>9349</v>
      </c>
    </row>
    <row r="4402" spans="1:7">
      <c r="A4402" t="s">
        <v>9795</v>
      </c>
      <c r="B4402" t="s">
        <v>9796</v>
      </c>
      <c r="C4402" t="s">
        <v>3684</v>
      </c>
      <c r="D4402" t="s">
        <v>3685</v>
      </c>
      <c r="E4402">
        <v>3</v>
      </c>
      <c r="F4402" s="6">
        <v>750</v>
      </c>
      <c r="G4402" t="s">
        <v>4419</v>
      </c>
    </row>
    <row r="4403" spans="1:7">
      <c r="A4403" t="s">
        <v>9797</v>
      </c>
      <c r="B4403" t="s">
        <v>9798</v>
      </c>
      <c r="C4403" t="s">
        <v>3684</v>
      </c>
      <c r="D4403" t="s">
        <v>3685</v>
      </c>
      <c r="E4403">
        <v>6</v>
      </c>
      <c r="F4403" s="6">
        <v>750</v>
      </c>
      <c r="G4403" t="s">
        <v>3713</v>
      </c>
    </row>
    <row r="4404" spans="1:7">
      <c r="A4404" t="s">
        <v>9799</v>
      </c>
      <c r="B4404" t="s">
        <v>9800</v>
      </c>
      <c r="C4404" t="s">
        <v>3684</v>
      </c>
      <c r="D4404" t="s">
        <v>3685</v>
      </c>
      <c r="E4404">
        <v>4</v>
      </c>
      <c r="F4404" s="6">
        <v>750</v>
      </c>
      <c r="G4404" t="s">
        <v>3730</v>
      </c>
    </row>
    <row r="4405" spans="1:7">
      <c r="A4405" t="s">
        <v>9801</v>
      </c>
      <c r="B4405" t="s">
        <v>9802</v>
      </c>
      <c r="C4405" t="s">
        <v>3708</v>
      </c>
      <c r="D4405" t="s">
        <v>3709</v>
      </c>
      <c r="E4405">
        <v>12</v>
      </c>
      <c r="F4405" s="6">
        <v>750</v>
      </c>
      <c r="G4405" t="s">
        <v>9803</v>
      </c>
    </row>
    <row r="4406" spans="1:7">
      <c r="A4406" t="s">
        <v>9804</v>
      </c>
      <c r="B4406" t="s">
        <v>9805</v>
      </c>
      <c r="C4406" t="s">
        <v>4084</v>
      </c>
      <c r="D4406" t="s">
        <v>4085</v>
      </c>
      <c r="E4406">
        <v>12</v>
      </c>
      <c r="F4406" s="6">
        <v>750</v>
      </c>
      <c r="G4406" t="s">
        <v>9803</v>
      </c>
    </row>
    <row r="4407" spans="1:7">
      <c r="A4407" t="s">
        <v>9806</v>
      </c>
      <c r="B4407" t="s">
        <v>9807</v>
      </c>
      <c r="C4407" t="s">
        <v>4084</v>
      </c>
      <c r="D4407" t="s">
        <v>4085</v>
      </c>
      <c r="E4407">
        <v>12</v>
      </c>
      <c r="F4407" s="6">
        <v>750</v>
      </c>
      <c r="G4407" t="s">
        <v>9803</v>
      </c>
    </row>
    <row r="4408" spans="1:7">
      <c r="A4408" t="s">
        <v>9808</v>
      </c>
      <c r="B4408" t="s">
        <v>9809</v>
      </c>
      <c r="C4408" t="s">
        <v>4084</v>
      </c>
      <c r="D4408" t="s">
        <v>4085</v>
      </c>
      <c r="E4408">
        <v>6</v>
      </c>
      <c r="F4408" s="6">
        <v>700</v>
      </c>
      <c r="G4408" t="s">
        <v>9810</v>
      </c>
    </row>
    <row r="4409" spans="1:7">
      <c r="A4409" t="s">
        <v>9811</v>
      </c>
      <c r="B4409" t="s">
        <v>9812</v>
      </c>
      <c r="C4409" t="s">
        <v>4084</v>
      </c>
      <c r="D4409" t="s">
        <v>4085</v>
      </c>
      <c r="E4409">
        <v>6</v>
      </c>
      <c r="F4409" s="6">
        <v>750</v>
      </c>
      <c r="G4409" t="s">
        <v>3730</v>
      </c>
    </row>
    <row r="4410" spans="1:7">
      <c r="A4410" t="s">
        <v>9813</v>
      </c>
      <c r="B4410" t="s">
        <v>9814</v>
      </c>
      <c r="C4410" t="s">
        <v>4084</v>
      </c>
      <c r="D4410" t="s">
        <v>4085</v>
      </c>
      <c r="E4410">
        <v>6</v>
      </c>
      <c r="F4410" s="6">
        <v>700</v>
      </c>
      <c r="G4410" t="s">
        <v>9715</v>
      </c>
    </row>
    <row r="4411" spans="1:7">
      <c r="A4411" t="s">
        <v>9815</v>
      </c>
      <c r="B4411" t="s">
        <v>9816</v>
      </c>
      <c r="C4411" t="s">
        <v>4084</v>
      </c>
      <c r="D4411" t="s">
        <v>4085</v>
      </c>
      <c r="E4411">
        <v>1</v>
      </c>
      <c r="F4411" s="6">
        <v>750</v>
      </c>
      <c r="G4411" t="s">
        <v>3754</v>
      </c>
    </row>
    <row r="4412" spans="1:7">
      <c r="A4412" t="s">
        <v>9817</v>
      </c>
      <c r="B4412" t="s">
        <v>9818</v>
      </c>
      <c r="C4412" t="s">
        <v>4084</v>
      </c>
      <c r="D4412" t="s">
        <v>4085</v>
      </c>
      <c r="E4412">
        <v>4</v>
      </c>
      <c r="F4412" s="6">
        <v>750</v>
      </c>
      <c r="G4412" t="s">
        <v>3730</v>
      </c>
    </row>
    <row r="4413" spans="1:7">
      <c r="A4413" t="s">
        <v>9819</v>
      </c>
      <c r="B4413" t="s">
        <v>9820</v>
      </c>
      <c r="C4413" t="s">
        <v>3684</v>
      </c>
      <c r="D4413" t="s">
        <v>3685</v>
      </c>
      <c r="E4413">
        <v>6</v>
      </c>
      <c r="F4413" s="6">
        <v>700</v>
      </c>
      <c r="G4413" t="s">
        <v>3681</v>
      </c>
    </row>
    <row r="4414" spans="1:7">
      <c r="A4414" t="s">
        <v>9821</v>
      </c>
      <c r="B4414" t="s">
        <v>9822</v>
      </c>
      <c r="C4414" t="s">
        <v>4084</v>
      </c>
      <c r="D4414" t="s">
        <v>4085</v>
      </c>
      <c r="E4414">
        <v>12</v>
      </c>
      <c r="F4414" s="6">
        <v>750</v>
      </c>
      <c r="G4414" t="s">
        <v>9803</v>
      </c>
    </row>
    <row r="4415" spans="1:7">
      <c r="A4415" t="s">
        <v>9823</v>
      </c>
      <c r="B4415" t="s">
        <v>9824</v>
      </c>
      <c r="C4415" t="s">
        <v>3684</v>
      </c>
      <c r="D4415" t="s">
        <v>3685</v>
      </c>
      <c r="E4415">
        <v>6</v>
      </c>
      <c r="F4415" s="6">
        <v>750</v>
      </c>
      <c r="G4415" t="s">
        <v>4796</v>
      </c>
    </row>
    <row r="4416" spans="1:7">
      <c r="A4416" t="s">
        <v>9825</v>
      </c>
      <c r="B4416" t="s">
        <v>9826</v>
      </c>
      <c r="C4416" t="s">
        <v>4084</v>
      </c>
      <c r="D4416" t="s">
        <v>4085</v>
      </c>
      <c r="E4416">
        <v>6</v>
      </c>
      <c r="F4416" s="6">
        <v>750</v>
      </c>
      <c r="G4416" t="s">
        <v>4117</v>
      </c>
    </row>
    <row r="4417" spans="1:7">
      <c r="A4417" t="s">
        <v>9827</v>
      </c>
      <c r="B4417" t="s">
        <v>9828</v>
      </c>
      <c r="C4417" t="s">
        <v>4084</v>
      </c>
      <c r="D4417" t="s">
        <v>4085</v>
      </c>
      <c r="E4417">
        <v>6</v>
      </c>
      <c r="F4417" s="6">
        <v>750</v>
      </c>
      <c r="G4417" t="s">
        <v>4117</v>
      </c>
    </row>
    <row r="4418" spans="1:7">
      <c r="A4418" t="s">
        <v>9829</v>
      </c>
      <c r="B4418" t="s">
        <v>9830</v>
      </c>
      <c r="C4418" t="s">
        <v>4084</v>
      </c>
      <c r="D4418" t="s">
        <v>4085</v>
      </c>
      <c r="E4418">
        <v>6</v>
      </c>
      <c r="F4418" s="6">
        <v>750</v>
      </c>
      <c r="G4418" t="s">
        <v>5701</v>
      </c>
    </row>
    <row r="4419" spans="1:7">
      <c r="A4419" t="s">
        <v>9831</v>
      </c>
      <c r="B4419" t="s">
        <v>9832</v>
      </c>
      <c r="C4419" t="s">
        <v>3684</v>
      </c>
      <c r="D4419" t="s">
        <v>3685</v>
      </c>
      <c r="E4419">
        <v>6</v>
      </c>
      <c r="F4419" s="6">
        <v>750</v>
      </c>
      <c r="G4419" t="s">
        <v>4300</v>
      </c>
    </row>
    <row r="4420" spans="1:7">
      <c r="A4420" t="s">
        <v>9833</v>
      </c>
      <c r="B4420" t="s">
        <v>9834</v>
      </c>
      <c r="C4420" t="s">
        <v>9319</v>
      </c>
      <c r="D4420" t="s">
        <v>9320</v>
      </c>
      <c r="E4420">
        <v>6</v>
      </c>
      <c r="F4420" s="6">
        <v>750</v>
      </c>
      <c r="G4420" t="s">
        <v>4300</v>
      </c>
    </row>
    <row r="4421" spans="1:7">
      <c r="A4421" t="s">
        <v>9835</v>
      </c>
      <c r="B4421" t="s">
        <v>9836</v>
      </c>
      <c r="C4421" t="s">
        <v>4084</v>
      </c>
      <c r="D4421" t="s">
        <v>4085</v>
      </c>
      <c r="E4421">
        <v>6</v>
      </c>
      <c r="F4421" s="6">
        <v>750</v>
      </c>
      <c r="G4421" t="s">
        <v>9349</v>
      </c>
    </row>
    <row r="4422" spans="1:7">
      <c r="A4422" t="s">
        <v>9837</v>
      </c>
      <c r="B4422" t="s">
        <v>9838</v>
      </c>
      <c r="C4422" t="s">
        <v>4084</v>
      </c>
      <c r="D4422" t="s">
        <v>4085</v>
      </c>
      <c r="E4422">
        <v>6</v>
      </c>
      <c r="F4422" s="6">
        <v>700</v>
      </c>
      <c r="G4422" t="s">
        <v>9715</v>
      </c>
    </row>
    <row r="4423" spans="1:7">
      <c r="A4423" t="s">
        <v>9839</v>
      </c>
      <c r="B4423" t="s">
        <v>9840</v>
      </c>
      <c r="C4423" t="s">
        <v>4084</v>
      </c>
      <c r="D4423" t="s">
        <v>4085</v>
      </c>
      <c r="E4423">
        <v>6</v>
      </c>
      <c r="F4423" s="6">
        <v>700</v>
      </c>
      <c r="G4423" t="s">
        <v>3802</v>
      </c>
    </row>
    <row r="4424" spans="1:7">
      <c r="A4424" t="s">
        <v>9841</v>
      </c>
      <c r="B4424" t="s">
        <v>9842</v>
      </c>
      <c r="C4424" t="s">
        <v>4084</v>
      </c>
      <c r="D4424" t="s">
        <v>4085</v>
      </c>
      <c r="E4424">
        <v>6</v>
      </c>
      <c r="F4424" s="6">
        <v>750</v>
      </c>
      <c r="G4424" t="s">
        <v>3763</v>
      </c>
    </row>
    <row r="4425" spans="1:7">
      <c r="A4425" t="s">
        <v>9843</v>
      </c>
      <c r="B4425" t="s">
        <v>9844</v>
      </c>
      <c r="C4425" t="s">
        <v>4084</v>
      </c>
      <c r="D4425" t="s">
        <v>4085</v>
      </c>
      <c r="E4425">
        <v>6</v>
      </c>
      <c r="F4425" s="6">
        <v>700</v>
      </c>
      <c r="G4425" t="s">
        <v>5701</v>
      </c>
    </row>
    <row r="4426" spans="1:7">
      <c r="A4426" t="s">
        <v>9845</v>
      </c>
      <c r="B4426" t="s">
        <v>9846</v>
      </c>
      <c r="C4426" t="s">
        <v>4084</v>
      </c>
      <c r="D4426" t="s">
        <v>4085</v>
      </c>
      <c r="E4426">
        <v>6</v>
      </c>
      <c r="F4426" s="6">
        <v>700</v>
      </c>
      <c r="G4426" t="s">
        <v>5701</v>
      </c>
    </row>
    <row r="4427" spans="1:7">
      <c r="A4427" t="s">
        <v>9847</v>
      </c>
      <c r="B4427" t="s">
        <v>9848</v>
      </c>
      <c r="C4427" t="s">
        <v>3708</v>
      </c>
      <c r="D4427" t="s">
        <v>3709</v>
      </c>
      <c r="E4427">
        <v>12</v>
      </c>
      <c r="F4427" s="6">
        <v>750</v>
      </c>
      <c r="G4427" t="s">
        <v>9803</v>
      </c>
    </row>
    <row r="4428" spans="1:7">
      <c r="A4428" t="s">
        <v>9849</v>
      </c>
      <c r="B4428" t="s">
        <v>9850</v>
      </c>
      <c r="C4428" t="s">
        <v>3684</v>
      </c>
      <c r="D4428" t="s">
        <v>3685</v>
      </c>
      <c r="E4428">
        <v>6</v>
      </c>
      <c r="F4428" s="6">
        <v>750</v>
      </c>
      <c r="G4428" t="s">
        <v>4419</v>
      </c>
    </row>
    <row r="4429" spans="1:7">
      <c r="A4429" t="s">
        <v>9851</v>
      </c>
      <c r="B4429" t="s">
        <v>9852</v>
      </c>
      <c r="C4429" t="s">
        <v>4084</v>
      </c>
      <c r="D4429" t="s">
        <v>4085</v>
      </c>
      <c r="E4429">
        <v>3</v>
      </c>
      <c r="F4429" s="6">
        <v>750</v>
      </c>
      <c r="G4429" t="s">
        <v>4419</v>
      </c>
    </row>
    <row r="4430" spans="1:7">
      <c r="A4430" t="s">
        <v>9853</v>
      </c>
      <c r="B4430" t="s">
        <v>9854</v>
      </c>
      <c r="C4430" t="s">
        <v>3708</v>
      </c>
      <c r="D4430" t="s">
        <v>3709</v>
      </c>
      <c r="E4430">
        <v>12</v>
      </c>
      <c r="F4430" s="6">
        <v>750</v>
      </c>
      <c r="G4430" t="s">
        <v>9803</v>
      </c>
    </row>
    <row r="4431" spans="1:7">
      <c r="A4431" t="s">
        <v>9855</v>
      </c>
      <c r="B4431" t="s">
        <v>9856</v>
      </c>
      <c r="C4431" t="s">
        <v>3684</v>
      </c>
      <c r="D4431" t="s">
        <v>3685</v>
      </c>
      <c r="E4431">
        <v>1</v>
      </c>
      <c r="F4431" s="6">
        <v>750</v>
      </c>
      <c r="G4431" t="s">
        <v>4117</v>
      </c>
    </row>
    <row r="4432" spans="1:7">
      <c r="A4432" t="s">
        <v>9857</v>
      </c>
      <c r="B4432" t="s">
        <v>9858</v>
      </c>
      <c r="C4432" t="s">
        <v>4084</v>
      </c>
      <c r="D4432" t="s">
        <v>4085</v>
      </c>
      <c r="E4432">
        <v>6</v>
      </c>
      <c r="F4432" s="6">
        <v>700</v>
      </c>
      <c r="G4432" t="s">
        <v>3694</v>
      </c>
    </row>
    <row r="4433" spans="1:7">
      <c r="A4433" t="s">
        <v>9859</v>
      </c>
      <c r="B4433" t="s">
        <v>9860</v>
      </c>
      <c r="C4433" t="s">
        <v>4084</v>
      </c>
      <c r="D4433" t="s">
        <v>4085</v>
      </c>
      <c r="E4433">
        <v>6</v>
      </c>
      <c r="F4433" s="6">
        <v>700</v>
      </c>
      <c r="G4433" t="s">
        <v>5701</v>
      </c>
    </row>
    <row r="4434" spans="1:7">
      <c r="A4434" t="s">
        <v>9861</v>
      </c>
      <c r="B4434" t="s">
        <v>9862</v>
      </c>
      <c r="C4434" t="s">
        <v>4084</v>
      </c>
      <c r="D4434" t="s">
        <v>4085</v>
      </c>
      <c r="E4434">
        <v>6</v>
      </c>
      <c r="F4434" s="6">
        <v>700</v>
      </c>
      <c r="G4434" t="s">
        <v>5701</v>
      </c>
    </row>
    <row r="4435" spans="1:7">
      <c r="A4435" t="s">
        <v>9863</v>
      </c>
      <c r="B4435" t="s">
        <v>9864</v>
      </c>
      <c r="C4435" t="s">
        <v>4084</v>
      </c>
      <c r="D4435" t="s">
        <v>4085</v>
      </c>
      <c r="E4435">
        <v>6</v>
      </c>
      <c r="F4435" s="6">
        <v>700</v>
      </c>
      <c r="G4435" t="s">
        <v>3694</v>
      </c>
    </row>
    <row r="4436" spans="1:7">
      <c r="A4436" t="s">
        <v>9865</v>
      </c>
      <c r="B4436" t="s">
        <v>9866</v>
      </c>
      <c r="C4436" t="s">
        <v>3684</v>
      </c>
      <c r="D4436" t="s">
        <v>3685</v>
      </c>
      <c r="E4436">
        <v>6</v>
      </c>
      <c r="F4436" s="6">
        <v>700</v>
      </c>
      <c r="G4436" t="s">
        <v>9715</v>
      </c>
    </row>
    <row r="4437" spans="1:7">
      <c r="A4437" t="s">
        <v>9867</v>
      </c>
      <c r="B4437" t="s">
        <v>9868</v>
      </c>
      <c r="C4437" t="s">
        <v>4084</v>
      </c>
      <c r="D4437" t="s">
        <v>4085</v>
      </c>
      <c r="E4437">
        <v>6</v>
      </c>
      <c r="F4437" s="6">
        <v>700</v>
      </c>
      <c r="G4437" t="s">
        <v>9715</v>
      </c>
    </row>
    <row r="4438" spans="1:7">
      <c r="A4438" t="s">
        <v>9869</v>
      </c>
      <c r="B4438" t="s">
        <v>9870</v>
      </c>
      <c r="C4438" t="s">
        <v>3684</v>
      </c>
      <c r="D4438" t="s">
        <v>3685</v>
      </c>
      <c r="E4438">
        <v>4</v>
      </c>
      <c r="F4438" s="6">
        <v>750</v>
      </c>
      <c r="G4438" t="s">
        <v>3730</v>
      </c>
    </row>
    <row r="4439" spans="1:7">
      <c r="A4439" t="s">
        <v>9871</v>
      </c>
      <c r="B4439" t="s">
        <v>9872</v>
      </c>
      <c r="C4439" t="s">
        <v>3684</v>
      </c>
      <c r="D4439" t="s">
        <v>3685</v>
      </c>
      <c r="E4439">
        <v>4</v>
      </c>
      <c r="F4439" s="6">
        <v>1750</v>
      </c>
      <c r="G4439" t="s">
        <v>3754</v>
      </c>
    </row>
    <row r="4440" spans="1:7">
      <c r="A4440" t="s">
        <v>9873</v>
      </c>
      <c r="B4440" t="s">
        <v>9874</v>
      </c>
      <c r="C4440" t="s">
        <v>4084</v>
      </c>
      <c r="D4440" t="s">
        <v>4085</v>
      </c>
      <c r="E4440">
        <v>6</v>
      </c>
      <c r="F4440" s="6">
        <v>700</v>
      </c>
      <c r="G4440" t="s">
        <v>3681</v>
      </c>
    </row>
    <row r="4441" spans="1:7">
      <c r="A4441" t="s">
        <v>9875</v>
      </c>
      <c r="B4441" t="s">
        <v>9876</v>
      </c>
      <c r="C4441" t="s">
        <v>4084</v>
      </c>
      <c r="D4441" t="s">
        <v>4085</v>
      </c>
      <c r="E4441">
        <v>6</v>
      </c>
      <c r="F4441" s="6">
        <v>700</v>
      </c>
      <c r="G4441" t="s">
        <v>3681</v>
      </c>
    </row>
    <row r="4442" spans="1:7">
      <c r="A4442" t="s">
        <v>9877</v>
      </c>
      <c r="B4442" t="s">
        <v>9878</v>
      </c>
      <c r="C4442" t="s">
        <v>3684</v>
      </c>
      <c r="D4442" t="s">
        <v>3685</v>
      </c>
      <c r="E4442">
        <v>6</v>
      </c>
      <c r="F4442" s="6">
        <v>750</v>
      </c>
      <c r="G4442" t="s">
        <v>4291</v>
      </c>
    </row>
    <row r="4443" spans="1:7">
      <c r="A4443" t="s">
        <v>9879</v>
      </c>
      <c r="B4443" t="s">
        <v>9880</v>
      </c>
      <c r="C4443" t="s">
        <v>3684</v>
      </c>
      <c r="D4443" t="s">
        <v>3685</v>
      </c>
      <c r="E4443">
        <v>6</v>
      </c>
      <c r="F4443" s="6">
        <v>1000</v>
      </c>
      <c r="G4443" t="s">
        <v>9803</v>
      </c>
    </row>
    <row r="4444" spans="1:7">
      <c r="A4444" t="s">
        <v>9881</v>
      </c>
      <c r="B4444" t="s">
        <v>9882</v>
      </c>
      <c r="C4444" t="s">
        <v>5668</v>
      </c>
      <c r="D4444" t="s">
        <v>5669</v>
      </c>
      <c r="E4444">
        <v>4</v>
      </c>
      <c r="F4444" s="6">
        <v>200</v>
      </c>
      <c r="G4444" t="s">
        <v>5421</v>
      </c>
    </row>
    <row r="4445" spans="1:7">
      <c r="A4445" t="s">
        <v>9883</v>
      </c>
      <c r="B4445" t="s">
        <v>9884</v>
      </c>
      <c r="C4445" t="s">
        <v>4084</v>
      </c>
      <c r="D4445" t="s">
        <v>4085</v>
      </c>
      <c r="E4445">
        <v>6</v>
      </c>
      <c r="F4445" s="6">
        <v>700</v>
      </c>
      <c r="G4445" t="s">
        <v>4331</v>
      </c>
    </row>
    <row r="4446" spans="1:7">
      <c r="A4446" t="s">
        <v>9885</v>
      </c>
      <c r="B4446" t="s">
        <v>9886</v>
      </c>
      <c r="C4446" t="s">
        <v>3684</v>
      </c>
      <c r="D4446" t="s">
        <v>3685</v>
      </c>
      <c r="E4446">
        <v>6</v>
      </c>
      <c r="F4446" s="6">
        <v>700</v>
      </c>
      <c r="G4446" t="s">
        <v>9715</v>
      </c>
    </row>
    <row r="4447" spans="1:7">
      <c r="A4447" t="s">
        <v>9887</v>
      </c>
      <c r="B4447" t="s">
        <v>9888</v>
      </c>
      <c r="C4447" t="s">
        <v>3708</v>
      </c>
      <c r="D4447" t="s">
        <v>3709</v>
      </c>
      <c r="E4447">
        <v>6</v>
      </c>
      <c r="F4447" s="6">
        <v>750</v>
      </c>
      <c r="G4447" t="s">
        <v>9803</v>
      </c>
    </row>
    <row r="4448" spans="1:7">
      <c r="A4448" t="s">
        <v>9889</v>
      </c>
      <c r="B4448" t="s">
        <v>9890</v>
      </c>
      <c r="C4448" t="s">
        <v>3928</v>
      </c>
      <c r="D4448" t="s">
        <v>3929</v>
      </c>
      <c r="E4448">
        <v>6</v>
      </c>
      <c r="F4448" s="6">
        <v>750</v>
      </c>
      <c r="G4448" t="s">
        <v>9891</v>
      </c>
    </row>
    <row r="4449" spans="1:7">
      <c r="A4449" t="s">
        <v>9892</v>
      </c>
      <c r="B4449" t="s">
        <v>9893</v>
      </c>
      <c r="C4449" t="s">
        <v>4244</v>
      </c>
      <c r="D4449" t="s">
        <v>4245</v>
      </c>
      <c r="E4449">
        <v>6</v>
      </c>
      <c r="F4449" s="6">
        <v>750</v>
      </c>
      <c r="G4449" t="s">
        <v>9891</v>
      </c>
    </row>
    <row r="4450" spans="1:7">
      <c r="A4450" t="s">
        <v>3107</v>
      </c>
      <c r="B4450" t="s">
        <v>9894</v>
      </c>
      <c r="C4450" t="s">
        <v>4071</v>
      </c>
      <c r="D4450" t="s">
        <v>4072</v>
      </c>
      <c r="E4450">
        <v>6</v>
      </c>
      <c r="F4450" s="6">
        <v>750</v>
      </c>
      <c r="G4450" t="s">
        <v>9891</v>
      </c>
    </row>
    <row r="4451" spans="1:7">
      <c r="A4451" t="s">
        <v>9895</v>
      </c>
      <c r="B4451" t="s">
        <v>9896</v>
      </c>
      <c r="C4451" t="s">
        <v>3692</v>
      </c>
      <c r="D4451" t="s">
        <v>3693</v>
      </c>
      <c r="E4451">
        <v>6</v>
      </c>
      <c r="F4451" s="6">
        <v>750</v>
      </c>
      <c r="G4451" t="s">
        <v>9659</v>
      </c>
    </row>
    <row r="4452" spans="1:7">
      <c r="A4452" t="s">
        <v>9897</v>
      </c>
      <c r="B4452" t="s">
        <v>9898</v>
      </c>
      <c r="C4452" t="s">
        <v>3684</v>
      </c>
      <c r="D4452" t="s">
        <v>3685</v>
      </c>
      <c r="E4452">
        <v>3</v>
      </c>
      <c r="F4452" s="6">
        <v>750</v>
      </c>
      <c r="G4452" t="s">
        <v>3730</v>
      </c>
    </row>
    <row r="4453" spans="1:7">
      <c r="A4453" t="s">
        <v>9899</v>
      </c>
      <c r="B4453" t="s">
        <v>9900</v>
      </c>
      <c r="C4453" t="s">
        <v>3684</v>
      </c>
      <c r="D4453" t="s">
        <v>3685</v>
      </c>
      <c r="E4453">
        <v>12</v>
      </c>
      <c r="F4453" s="6">
        <v>750</v>
      </c>
      <c r="G4453" t="s">
        <v>9803</v>
      </c>
    </row>
    <row r="4454" spans="1:7">
      <c r="A4454" t="s">
        <v>9901</v>
      </c>
      <c r="B4454" t="s">
        <v>9902</v>
      </c>
      <c r="C4454" t="s">
        <v>4012</v>
      </c>
      <c r="D4454" t="s">
        <v>4013</v>
      </c>
      <c r="E4454">
        <v>6</v>
      </c>
      <c r="F4454" s="6">
        <v>1750</v>
      </c>
      <c r="G4454" t="s">
        <v>3686</v>
      </c>
    </row>
    <row r="4455" spans="1:7">
      <c r="A4455" t="s">
        <v>9903</v>
      </c>
      <c r="B4455" t="s">
        <v>9904</v>
      </c>
      <c r="C4455" t="s">
        <v>3684</v>
      </c>
      <c r="D4455" t="s">
        <v>3685</v>
      </c>
      <c r="E4455">
        <v>6</v>
      </c>
      <c r="F4455" s="6">
        <v>700</v>
      </c>
      <c r="G4455" t="s">
        <v>9715</v>
      </c>
    </row>
    <row r="4456" spans="1:7">
      <c r="A4456" t="s">
        <v>9905</v>
      </c>
      <c r="B4456" t="s">
        <v>9906</v>
      </c>
      <c r="C4456" t="s">
        <v>3684</v>
      </c>
      <c r="D4456" t="s">
        <v>3685</v>
      </c>
      <c r="E4456">
        <v>6</v>
      </c>
      <c r="F4456" s="6">
        <v>750</v>
      </c>
      <c r="G4456" t="s">
        <v>4291</v>
      </c>
    </row>
    <row r="4457" spans="1:7">
      <c r="A4457" t="s">
        <v>9907</v>
      </c>
      <c r="B4457" t="s">
        <v>9908</v>
      </c>
      <c r="C4457" t="s">
        <v>9909</v>
      </c>
      <c r="D4457" t="s">
        <v>4171</v>
      </c>
      <c r="E4457">
        <v>6</v>
      </c>
      <c r="F4457" s="6">
        <v>750</v>
      </c>
      <c r="G4457" t="s">
        <v>4902</v>
      </c>
    </row>
    <row r="4458" spans="1:7">
      <c r="A4458" t="s">
        <v>9910</v>
      </c>
      <c r="B4458" t="s">
        <v>9911</v>
      </c>
      <c r="C4458" t="s">
        <v>3708</v>
      </c>
      <c r="D4458" t="s">
        <v>3709</v>
      </c>
      <c r="E4458">
        <v>1</v>
      </c>
      <c r="F4458" s="6">
        <v>50</v>
      </c>
      <c r="G4458" t="s">
        <v>3686</v>
      </c>
    </row>
    <row r="4459" spans="1:7">
      <c r="A4459" t="s">
        <v>9912</v>
      </c>
      <c r="B4459" t="s">
        <v>9913</v>
      </c>
      <c r="C4459" t="s">
        <v>3684</v>
      </c>
      <c r="D4459" t="s">
        <v>3685</v>
      </c>
      <c r="E4459">
        <v>6</v>
      </c>
      <c r="F4459" s="6">
        <v>700</v>
      </c>
      <c r="G4459" t="s">
        <v>4291</v>
      </c>
    </row>
    <row r="4460" spans="1:7">
      <c r="A4460" t="s">
        <v>9914</v>
      </c>
      <c r="B4460" t="s">
        <v>9915</v>
      </c>
      <c r="C4460" t="s">
        <v>4012</v>
      </c>
      <c r="D4460" t="s">
        <v>4013</v>
      </c>
      <c r="E4460">
        <v>6</v>
      </c>
      <c r="F4460" s="6">
        <v>750</v>
      </c>
      <c r="G4460" t="s">
        <v>3702</v>
      </c>
    </row>
    <row r="4461" spans="1:7">
      <c r="A4461" t="s">
        <v>9916</v>
      </c>
      <c r="B4461" t="s">
        <v>9917</v>
      </c>
      <c r="C4461" t="s">
        <v>3718</v>
      </c>
      <c r="D4461" t="s">
        <v>3719</v>
      </c>
      <c r="E4461">
        <v>6</v>
      </c>
      <c r="F4461" s="6">
        <v>750</v>
      </c>
      <c r="G4461" t="s">
        <v>4331</v>
      </c>
    </row>
    <row r="4462" spans="1:7">
      <c r="A4462" t="s">
        <v>9918</v>
      </c>
      <c r="B4462" t="s">
        <v>9919</v>
      </c>
      <c r="C4462" t="s">
        <v>4012</v>
      </c>
      <c r="D4462" t="s">
        <v>4013</v>
      </c>
      <c r="E4462">
        <v>12</v>
      </c>
      <c r="F4462" s="6">
        <v>50</v>
      </c>
      <c r="G4462" t="s">
        <v>3716</v>
      </c>
    </row>
    <row r="4463" spans="1:7">
      <c r="A4463" t="s">
        <v>9920</v>
      </c>
      <c r="B4463" t="s">
        <v>4204</v>
      </c>
      <c r="C4463" t="s">
        <v>4012</v>
      </c>
      <c r="D4463" t="s">
        <v>4013</v>
      </c>
      <c r="E4463">
        <v>24</v>
      </c>
      <c r="F4463" s="6">
        <v>375</v>
      </c>
      <c r="G4463" t="s">
        <v>3730</v>
      </c>
    </row>
    <row r="4464" spans="1:7">
      <c r="A4464" t="s">
        <v>9921</v>
      </c>
      <c r="B4464" t="s">
        <v>9922</v>
      </c>
      <c r="C4464" t="s">
        <v>4012</v>
      </c>
      <c r="D4464" t="s">
        <v>4013</v>
      </c>
      <c r="E4464">
        <v>12</v>
      </c>
      <c r="F4464" s="6">
        <v>750</v>
      </c>
      <c r="G4464" t="s">
        <v>3730</v>
      </c>
    </row>
    <row r="4465" spans="1:7">
      <c r="A4465" t="s">
        <v>9923</v>
      </c>
      <c r="B4465" t="s">
        <v>9924</v>
      </c>
      <c r="C4465" t="s">
        <v>4012</v>
      </c>
      <c r="D4465" t="s">
        <v>4013</v>
      </c>
      <c r="E4465">
        <v>12</v>
      </c>
      <c r="F4465" s="6">
        <v>750</v>
      </c>
      <c r="G4465" t="s">
        <v>3716</v>
      </c>
    </row>
    <row r="4466" spans="1:7">
      <c r="A4466" t="s">
        <v>9925</v>
      </c>
      <c r="B4466" t="s">
        <v>9926</v>
      </c>
      <c r="C4466" t="s">
        <v>4012</v>
      </c>
      <c r="D4466" t="s">
        <v>4013</v>
      </c>
      <c r="E4466">
        <v>6</v>
      </c>
      <c r="F4466" s="6">
        <v>750</v>
      </c>
      <c r="G4466" t="s">
        <v>3888</v>
      </c>
    </row>
    <row r="4467" spans="1:7">
      <c r="A4467" t="s">
        <v>826</v>
      </c>
      <c r="B4467" t="s">
        <v>9927</v>
      </c>
      <c r="C4467" t="s">
        <v>4012</v>
      </c>
      <c r="D4467" t="s">
        <v>4013</v>
      </c>
      <c r="E4467">
        <v>12</v>
      </c>
      <c r="F4467" s="6">
        <v>750</v>
      </c>
      <c r="G4467" t="s">
        <v>4419</v>
      </c>
    </row>
    <row r="4468" spans="1:7">
      <c r="A4468" t="s">
        <v>9928</v>
      </c>
      <c r="B4468" t="s">
        <v>9929</v>
      </c>
      <c r="C4468" t="s">
        <v>4012</v>
      </c>
      <c r="D4468" t="s">
        <v>4013</v>
      </c>
      <c r="E4468">
        <v>6</v>
      </c>
      <c r="F4468" s="6">
        <v>750</v>
      </c>
      <c r="G4468" t="s">
        <v>3686</v>
      </c>
    </row>
    <row r="4469" spans="1:7">
      <c r="A4469" t="s">
        <v>9930</v>
      </c>
      <c r="B4469" t="s">
        <v>9931</v>
      </c>
      <c r="C4469" t="s">
        <v>4012</v>
      </c>
      <c r="D4469" t="s">
        <v>4013</v>
      </c>
      <c r="E4469">
        <v>6</v>
      </c>
      <c r="F4469" s="6">
        <v>1750</v>
      </c>
      <c r="G4469" t="s">
        <v>3686</v>
      </c>
    </row>
    <row r="4470" spans="1:7">
      <c r="A4470" t="s">
        <v>9932</v>
      </c>
      <c r="B4470" t="s">
        <v>9933</v>
      </c>
      <c r="C4470" t="s">
        <v>3928</v>
      </c>
      <c r="D4470" t="s">
        <v>3929</v>
      </c>
      <c r="E4470">
        <v>1</v>
      </c>
      <c r="F4470" s="6">
        <v>750</v>
      </c>
      <c r="G4470" t="s">
        <v>3686</v>
      </c>
    </row>
    <row r="4471" spans="1:7">
      <c r="A4471" t="s">
        <v>9934</v>
      </c>
      <c r="B4471" t="s">
        <v>9935</v>
      </c>
      <c r="C4471" t="s">
        <v>4012</v>
      </c>
      <c r="D4471" t="s">
        <v>4013</v>
      </c>
      <c r="E4471">
        <v>6</v>
      </c>
      <c r="F4471" s="6">
        <v>750</v>
      </c>
      <c r="G4471" t="s">
        <v>3686</v>
      </c>
    </row>
    <row r="4472" spans="1:7">
      <c r="A4472" t="s">
        <v>9936</v>
      </c>
      <c r="B4472" t="s">
        <v>4232</v>
      </c>
      <c r="C4472" t="s">
        <v>4012</v>
      </c>
      <c r="D4472" t="s">
        <v>4013</v>
      </c>
      <c r="E4472">
        <v>6</v>
      </c>
      <c r="F4472" s="6">
        <v>1750</v>
      </c>
      <c r="G4472" t="s">
        <v>3686</v>
      </c>
    </row>
    <row r="4473" spans="1:7">
      <c r="A4473" t="s">
        <v>9937</v>
      </c>
      <c r="B4473" t="s">
        <v>9938</v>
      </c>
      <c r="C4473" t="s">
        <v>4012</v>
      </c>
      <c r="D4473" t="s">
        <v>4013</v>
      </c>
      <c r="E4473">
        <v>12</v>
      </c>
      <c r="F4473" s="6">
        <v>750</v>
      </c>
      <c r="G4473" t="s">
        <v>3686</v>
      </c>
    </row>
    <row r="4474" spans="1:7">
      <c r="A4474" t="s">
        <v>9939</v>
      </c>
      <c r="B4474" t="s">
        <v>9940</v>
      </c>
      <c r="C4474" t="s">
        <v>4012</v>
      </c>
      <c r="D4474" t="s">
        <v>4013</v>
      </c>
      <c r="E4474">
        <v>6</v>
      </c>
      <c r="F4474" s="6">
        <v>750</v>
      </c>
      <c r="G4474" t="s">
        <v>3686</v>
      </c>
    </row>
    <row r="4475" spans="1:7">
      <c r="A4475" t="s">
        <v>9941</v>
      </c>
      <c r="B4475" t="s">
        <v>9942</v>
      </c>
      <c r="C4475" t="s">
        <v>4012</v>
      </c>
      <c r="D4475" t="s">
        <v>4013</v>
      </c>
      <c r="E4475">
        <v>6</v>
      </c>
      <c r="F4475" s="6">
        <v>750</v>
      </c>
      <c r="G4475" t="s">
        <v>3686</v>
      </c>
    </row>
    <row r="4476" spans="1:7">
      <c r="A4476" t="s">
        <v>9943</v>
      </c>
      <c r="B4476" t="s">
        <v>9944</v>
      </c>
      <c r="C4476" t="s">
        <v>4012</v>
      </c>
      <c r="D4476" t="s">
        <v>4013</v>
      </c>
      <c r="E4476">
        <v>24</v>
      </c>
      <c r="F4476" s="6">
        <v>375</v>
      </c>
      <c r="G4476" t="s">
        <v>3686</v>
      </c>
    </row>
    <row r="4477" spans="1:7">
      <c r="A4477" t="s">
        <v>9945</v>
      </c>
      <c r="B4477" t="s">
        <v>4269</v>
      </c>
      <c r="C4477" t="s">
        <v>4012</v>
      </c>
      <c r="D4477" t="s">
        <v>4013</v>
      </c>
      <c r="E4477">
        <v>12</v>
      </c>
      <c r="F4477" s="6">
        <v>750</v>
      </c>
      <c r="G4477" t="s">
        <v>3686</v>
      </c>
    </row>
    <row r="4478" spans="1:7">
      <c r="A4478" t="s">
        <v>9946</v>
      </c>
      <c r="B4478" t="s">
        <v>4274</v>
      </c>
      <c r="C4478" t="s">
        <v>4012</v>
      </c>
      <c r="D4478" t="s">
        <v>4013</v>
      </c>
      <c r="E4478">
        <v>12</v>
      </c>
      <c r="F4478" s="6">
        <v>750</v>
      </c>
      <c r="G4478" t="s">
        <v>3686</v>
      </c>
    </row>
    <row r="4479" spans="1:7">
      <c r="A4479" t="s">
        <v>9947</v>
      </c>
      <c r="B4479" t="s">
        <v>9948</v>
      </c>
      <c r="C4479" t="s">
        <v>4012</v>
      </c>
      <c r="D4479" t="s">
        <v>4013</v>
      </c>
      <c r="E4479">
        <v>6</v>
      </c>
      <c r="F4479" s="6">
        <v>750</v>
      </c>
      <c r="G4479" t="s">
        <v>3802</v>
      </c>
    </row>
    <row r="4480" spans="1:7">
      <c r="A4480" t="s">
        <v>9949</v>
      </c>
      <c r="B4480" t="s">
        <v>4279</v>
      </c>
      <c r="C4480" t="s">
        <v>4012</v>
      </c>
      <c r="D4480" t="s">
        <v>4013</v>
      </c>
      <c r="E4480">
        <v>6</v>
      </c>
      <c r="F4480" s="6">
        <v>1750</v>
      </c>
      <c r="G4480" t="s">
        <v>3686</v>
      </c>
    </row>
    <row r="4481" spans="1:7">
      <c r="A4481" t="s">
        <v>9950</v>
      </c>
      <c r="B4481" t="s">
        <v>4284</v>
      </c>
      <c r="C4481" t="s">
        <v>4244</v>
      </c>
      <c r="D4481" t="s">
        <v>4245</v>
      </c>
      <c r="E4481">
        <v>6</v>
      </c>
      <c r="F4481" s="6">
        <v>750</v>
      </c>
      <c r="G4481" t="s">
        <v>4285</v>
      </c>
    </row>
    <row r="4482" spans="1:7">
      <c r="A4482" t="s">
        <v>9951</v>
      </c>
      <c r="B4482" t="s">
        <v>4294</v>
      </c>
      <c r="C4482" t="s">
        <v>4012</v>
      </c>
      <c r="D4482" t="s">
        <v>4013</v>
      </c>
      <c r="E4482">
        <v>6</v>
      </c>
      <c r="F4482" s="6">
        <v>1000</v>
      </c>
      <c r="G4482" t="s">
        <v>3689</v>
      </c>
    </row>
    <row r="4483" spans="1:7">
      <c r="A4483" t="s">
        <v>9952</v>
      </c>
      <c r="B4483" t="s">
        <v>9953</v>
      </c>
      <c r="C4483" t="s">
        <v>4012</v>
      </c>
      <c r="D4483" t="s">
        <v>4013</v>
      </c>
      <c r="E4483">
        <v>4</v>
      </c>
      <c r="F4483" s="6">
        <v>750</v>
      </c>
      <c r="G4483" t="s">
        <v>3689</v>
      </c>
    </row>
    <row r="4484" spans="1:7">
      <c r="A4484" t="s">
        <v>9954</v>
      </c>
      <c r="B4484" t="s">
        <v>9955</v>
      </c>
      <c r="C4484" t="s">
        <v>4012</v>
      </c>
      <c r="D4484" t="s">
        <v>4013</v>
      </c>
      <c r="E4484">
        <v>12</v>
      </c>
      <c r="F4484" s="6">
        <v>750</v>
      </c>
      <c r="G4484" t="s">
        <v>4300</v>
      </c>
    </row>
    <row r="4485" spans="1:7">
      <c r="A4485" t="s">
        <v>9956</v>
      </c>
      <c r="B4485" t="s">
        <v>9957</v>
      </c>
      <c r="C4485" t="s">
        <v>4012</v>
      </c>
      <c r="D4485" t="s">
        <v>4013</v>
      </c>
      <c r="E4485">
        <v>12</v>
      </c>
      <c r="F4485" s="6">
        <v>750</v>
      </c>
      <c r="G4485" t="s">
        <v>4300</v>
      </c>
    </row>
    <row r="4486" spans="1:7">
      <c r="A4486" t="s">
        <v>9958</v>
      </c>
      <c r="B4486" t="s">
        <v>9959</v>
      </c>
      <c r="C4486" t="s">
        <v>4012</v>
      </c>
      <c r="D4486" t="s">
        <v>4013</v>
      </c>
      <c r="E4486">
        <v>12</v>
      </c>
      <c r="F4486" s="6">
        <v>1000</v>
      </c>
      <c r="G4486" t="s">
        <v>4300</v>
      </c>
    </row>
    <row r="4487" spans="1:7">
      <c r="A4487" t="s">
        <v>9960</v>
      </c>
      <c r="B4487" t="s">
        <v>9961</v>
      </c>
      <c r="C4487" t="s">
        <v>4190</v>
      </c>
      <c r="D4487" t="s">
        <v>4191</v>
      </c>
      <c r="E4487">
        <v>12</v>
      </c>
      <c r="F4487" s="6">
        <v>750</v>
      </c>
      <c r="G4487" t="s">
        <v>9962</v>
      </c>
    </row>
    <row r="4488" spans="1:7">
      <c r="A4488" t="s">
        <v>9963</v>
      </c>
      <c r="B4488" t="s">
        <v>9964</v>
      </c>
      <c r="C4488" t="s">
        <v>3808</v>
      </c>
      <c r="D4488" t="s">
        <v>3809</v>
      </c>
      <c r="E4488">
        <v>6</v>
      </c>
      <c r="F4488" s="6">
        <v>750</v>
      </c>
      <c r="G4488" t="s">
        <v>4291</v>
      </c>
    </row>
    <row r="4489" spans="1:7">
      <c r="A4489" t="s">
        <v>9965</v>
      </c>
      <c r="B4489" t="s">
        <v>9966</v>
      </c>
      <c r="C4489" t="s">
        <v>3928</v>
      </c>
      <c r="D4489" t="s">
        <v>3929</v>
      </c>
      <c r="E4489">
        <v>1</v>
      </c>
      <c r="F4489" s="6">
        <v>750</v>
      </c>
      <c r="G4489" t="s">
        <v>3854</v>
      </c>
    </row>
    <row r="4490" spans="1:7">
      <c r="A4490" t="s">
        <v>9967</v>
      </c>
      <c r="B4490" t="s">
        <v>9968</v>
      </c>
      <c r="C4490" t="s">
        <v>4244</v>
      </c>
      <c r="D4490" t="s">
        <v>4245</v>
      </c>
      <c r="E4490">
        <v>3</v>
      </c>
      <c r="F4490" s="6">
        <v>750</v>
      </c>
      <c r="G4490" t="s">
        <v>3854</v>
      </c>
    </row>
    <row r="4491" spans="1:7">
      <c r="A4491" t="s">
        <v>9969</v>
      </c>
      <c r="B4491" t="s">
        <v>9970</v>
      </c>
      <c r="C4491" t="s">
        <v>4244</v>
      </c>
      <c r="D4491" t="s">
        <v>4245</v>
      </c>
      <c r="E4491">
        <v>3</v>
      </c>
      <c r="F4491" s="6">
        <v>1000</v>
      </c>
      <c r="G4491" t="s">
        <v>3854</v>
      </c>
    </row>
    <row r="4492" spans="1:7">
      <c r="A4492" t="s">
        <v>9971</v>
      </c>
      <c r="B4492" t="s">
        <v>9972</v>
      </c>
      <c r="C4492" t="s">
        <v>4244</v>
      </c>
      <c r="D4492" t="s">
        <v>4245</v>
      </c>
      <c r="E4492">
        <v>3</v>
      </c>
      <c r="F4492" s="6">
        <v>750</v>
      </c>
      <c r="G4492" t="s">
        <v>3854</v>
      </c>
    </row>
    <row r="4493" spans="1:7">
      <c r="A4493" t="s">
        <v>9973</v>
      </c>
      <c r="B4493" t="s">
        <v>9974</v>
      </c>
      <c r="C4493" t="s">
        <v>4244</v>
      </c>
      <c r="D4493" t="s">
        <v>4245</v>
      </c>
      <c r="E4493">
        <v>6</v>
      </c>
      <c r="F4493" s="6">
        <v>750</v>
      </c>
      <c r="G4493" t="s">
        <v>3854</v>
      </c>
    </row>
    <row r="4494" spans="1:7">
      <c r="A4494" t="s">
        <v>9975</v>
      </c>
      <c r="B4494" t="s">
        <v>9976</v>
      </c>
      <c r="C4494" t="s">
        <v>4244</v>
      </c>
      <c r="D4494" t="s">
        <v>4245</v>
      </c>
      <c r="E4494">
        <v>6</v>
      </c>
      <c r="F4494" s="6">
        <v>750</v>
      </c>
      <c r="G4494" t="s">
        <v>3854</v>
      </c>
    </row>
    <row r="4495" spans="1:7">
      <c r="A4495" t="s">
        <v>9977</v>
      </c>
      <c r="B4495" t="s">
        <v>9978</v>
      </c>
      <c r="C4495" t="s">
        <v>3808</v>
      </c>
      <c r="D4495" t="s">
        <v>3809</v>
      </c>
      <c r="E4495">
        <v>1</v>
      </c>
      <c r="F4495" s="6">
        <v>750</v>
      </c>
      <c r="G4495" t="s">
        <v>3854</v>
      </c>
    </row>
    <row r="4496" spans="1:7">
      <c r="A4496" t="s">
        <v>9979</v>
      </c>
      <c r="B4496" t="s">
        <v>9980</v>
      </c>
      <c r="C4496" t="s">
        <v>4012</v>
      </c>
      <c r="D4496" t="s">
        <v>4013</v>
      </c>
      <c r="E4496">
        <v>12</v>
      </c>
      <c r="F4496" s="6">
        <v>1000</v>
      </c>
      <c r="G4496" t="s">
        <v>4331</v>
      </c>
    </row>
    <row r="4497" spans="1:7">
      <c r="A4497" t="s">
        <v>9981</v>
      </c>
      <c r="B4497" t="s">
        <v>9982</v>
      </c>
      <c r="C4497" t="s">
        <v>3718</v>
      </c>
      <c r="D4497" t="s">
        <v>3719</v>
      </c>
      <c r="E4497">
        <v>6</v>
      </c>
      <c r="F4497" s="6">
        <v>700</v>
      </c>
      <c r="G4497" t="s">
        <v>4331</v>
      </c>
    </row>
    <row r="4498" spans="1:7">
      <c r="A4498" t="s">
        <v>9983</v>
      </c>
      <c r="B4498" t="s">
        <v>9984</v>
      </c>
      <c r="C4498" t="s">
        <v>3718</v>
      </c>
      <c r="D4498" t="s">
        <v>3719</v>
      </c>
      <c r="E4498">
        <v>6</v>
      </c>
      <c r="F4498" s="6">
        <v>700</v>
      </c>
      <c r="G4498" t="s">
        <v>4331</v>
      </c>
    </row>
    <row r="4499" spans="1:7">
      <c r="A4499" t="s">
        <v>9985</v>
      </c>
      <c r="B4499" t="s">
        <v>9986</v>
      </c>
      <c r="C4499" t="s">
        <v>3718</v>
      </c>
      <c r="D4499" t="s">
        <v>3719</v>
      </c>
      <c r="E4499">
        <v>6</v>
      </c>
      <c r="F4499" s="6">
        <v>700</v>
      </c>
      <c r="G4499" t="s">
        <v>4331</v>
      </c>
    </row>
    <row r="4500" spans="1:7">
      <c r="A4500" t="s">
        <v>9987</v>
      </c>
      <c r="B4500" t="s">
        <v>9988</v>
      </c>
      <c r="C4500" t="s">
        <v>3718</v>
      </c>
      <c r="D4500" t="s">
        <v>3719</v>
      </c>
      <c r="E4500">
        <v>6</v>
      </c>
      <c r="F4500" s="6">
        <v>750</v>
      </c>
      <c r="G4500" t="s">
        <v>4331</v>
      </c>
    </row>
    <row r="4501" spans="1:7">
      <c r="A4501" t="s">
        <v>9989</v>
      </c>
      <c r="B4501" t="s">
        <v>9990</v>
      </c>
      <c r="C4501" t="s">
        <v>3718</v>
      </c>
      <c r="D4501" t="s">
        <v>3719</v>
      </c>
      <c r="E4501">
        <v>6</v>
      </c>
      <c r="F4501" s="6">
        <v>750</v>
      </c>
      <c r="G4501" t="s">
        <v>4331</v>
      </c>
    </row>
    <row r="4502" spans="1:7">
      <c r="A4502" t="s">
        <v>9991</v>
      </c>
      <c r="B4502" t="s">
        <v>9992</v>
      </c>
      <c r="C4502" t="s">
        <v>3718</v>
      </c>
      <c r="D4502" t="s">
        <v>3719</v>
      </c>
      <c r="E4502">
        <v>6</v>
      </c>
      <c r="F4502" s="6">
        <v>700</v>
      </c>
      <c r="G4502" t="s">
        <v>4331</v>
      </c>
    </row>
    <row r="4503" spans="1:7">
      <c r="A4503" t="s">
        <v>9993</v>
      </c>
      <c r="B4503" t="s">
        <v>9994</v>
      </c>
      <c r="C4503" t="s">
        <v>3718</v>
      </c>
      <c r="D4503" t="s">
        <v>3719</v>
      </c>
      <c r="E4503">
        <v>12</v>
      </c>
      <c r="F4503" s="6">
        <v>750</v>
      </c>
      <c r="G4503" t="s">
        <v>9995</v>
      </c>
    </row>
    <row r="4504" spans="1:7">
      <c r="A4504" t="s">
        <v>9996</v>
      </c>
      <c r="B4504" t="s">
        <v>9997</v>
      </c>
      <c r="C4504" t="s">
        <v>3718</v>
      </c>
      <c r="D4504" t="s">
        <v>3719</v>
      </c>
      <c r="E4504">
        <v>6</v>
      </c>
      <c r="F4504" s="6">
        <v>750</v>
      </c>
      <c r="G4504" t="s">
        <v>3681</v>
      </c>
    </row>
    <row r="4505" spans="1:7">
      <c r="A4505" t="s">
        <v>9998</v>
      </c>
      <c r="B4505" t="s">
        <v>9999</v>
      </c>
      <c r="C4505" t="s">
        <v>3708</v>
      </c>
      <c r="D4505" t="s">
        <v>3709</v>
      </c>
      <c r="E4505">
        <v>6</v>
      </c>
      <c r="F4505" s="6">
        <v>700</v>
      </c>
      <c r="G4505" t="s">
        <v>10000</v>
      </c>
    </row>
    <row r="4506" spans="1:7">
      <c r="A4506" t="s">
        <v>10001</v>
      </c>
      <c r="B4506" t="s">
        <v>10002</v>
      </c>
      <c r="C4506" t="s">
        <v>3708</v>
      </c>
      <c r="D4506" t="s">
        <v>3709</v>
      </c>
      <c r="E4506">
        <v>6</v>
      </c>
      <c r="F4506" s="6">
        <v>700</v>
      </c>
      <c r="G4506" t="s">
        <v>10000</v>
      </c>
    </row>
    <row r="4507" spans="1:7">
      <c r="A4507" t="s">
        <v>10003</v>
      </c>
      <c r="B4507" t="s">
        <v>10004</v>
      </c>
      <c r="C4507" t="s">
        <v>3718</v>
      </c>
      <c r="D4507" t="s">
        <v>3719</v>
      </c>
      <c r="E4507">
        <v>3</v>
      </c>
      <c r="F4507" s="6">
        <v>700</v>
      </c>
      <c r="G4507" t="s">
        <v>3681</v>
      </c>
    </row>
    <row r="4508" spans="1:7">
      <c r="A4508" t="s">
        <v>10005</v>
      </c>
      <c r="B4508" t="s">
        <v>10006</v>
      </c>
      <c r="C4508" t="s">
        <v>3718</v>
      </c>
      <c r="D4508" t="s">
        <v>3719</v>
      </c>
      <c r="E4508">
        <v>6</v>
      </c>
      <c r="F4508" s="6">
        <v>750</v>
      </c>
      <c r="G4508" t="s">
        <v>10000</v>
      </c>
    </row>
    <row r="4509" spans="1:7">
      <c r="A4509" t="s">
        <v>10007</v>
      </c>
      <c r="B4509" t="s">
        <v>10008</v>
      </c>
      <c r="C4509" t="s">
        <v>3718</v>
      </c>
      <c r="D4509" t="s">
        <v>3719</v>
      </c>
      <c r="E4509">
        <v>6</v>
      </c>
      <c r="F4509" s="6">
        <v>750</v>
      </c>
      <c r="G4509" t="s">
        <v>10000</v>
      </c>
    </row>
    <row r="4510" spans="1:7">
      <c r="A4510" t="s">
        <v>10009</v>
      </c>
      <c r="B4510" t="s">
        <v>10010</v>
      </c>
      <c r="C4510" t="s">
        <v>3718</v>
      </c>
      <c r="D4510" t="s">
        <v>3719</v>
      </c>
      <c r="E4510">
        <v>6</v>
      </c>
      <c r="F4510" s="6">
        <v>700</v>
      </c>
      <c r="G4510" t="s">
        <v>4902</v>
      </c>
    </row>
    <row r="4511" spans="1:7">
      <c r="A4511" t="s">
        <v>10011</v>
      </c>
      <c r="B4511" t="s">
        <v>10012</v>
      </c>
      <c r="C4511" t="s">
        <v>3718</v>
      </c>
      <c r="D4511" t="s">
        <v>3719</v>
      </c>
      <c r="E4511">
        <v>6</v>
      </c>
      <c r="F4511" s="6">
        <v>700</v>
      </c>
      <c r="G4511" t="s">
        <v>4902</v>
      </c>
    </row>
    <row r="4512" spans="1:7">
      <c r="A4512" t="s">
        <v>10013</v>
      </c>
      <c r="B4512" t="s">
        <v>10014</v>
      </c>
      <c r="C4512" t="s">
        <v>3718</v>
      </c>
      <c r="D4512" t="s">
        <v>3719</v>
      </c>
      <c r="E4512">
        <v>6</v>
      </c>
      <c r="F4512" s="6">
        <v>700</v>
      </c>
      <c r="G4512" t="s">
        <v>3713</v>
      </c>
    </row>
    <row r="4513" spans="1:7">
      <c r="A4513" t="s">
        <v>10015</v>
      </c>
      <c r="B4513" t="s">
        <v>10016</v>
      </c>
      <c r="C4513" t="s">
        <v>3718</v>
      </c>
      <c r="D4513" t="s">
        <v>3719</v>
      </c>
      <c r="E4513">
        <v>12</v>
      </c>
      <c r="F4513" s="6">
        <v>700</v>
      </c>
      <c r="G4513" t="s">
        <v>10017</v>
      </c>
    </row>
    <row r="4514" spans="1:7">
      <c r="A4514" t="s">
        <v>10018</v>
      </c>
      <c r="B4514" t="s">
        <v>10019</v>
      </c>
      <c r="C4514" t="s">
        <v>3718</v>
      </c>
      <c r="D4514" t="s">
        <v>3719</v>
      </c>
      <c r="E4514">
        <v>6</v>
      </c>
      <c r="F4514" s="6">
        <v>750</v>
      </c>
      <c r="G4514" t="s">
        <v>3681</v>
      </c>
    </row>
    <row r="4515" spans="1:7">
      <c r="A4515" t="s">
        <v>10020</v>
      </c>
      <c r="B4515" t="s">
        <v>10021</v>
      </c>
      <c r="C4515" t="s">
        <v>3718</v>
      </c>
      <c r="D4515" t="s">
        <v>3719</v>
      </c>
      <c r="E4515">
        <v>6</v>
      </c>
      <c r="F4515" s="6">
        <v>750</v>
      </c>
      <c r="G4515" t="s">
        <v>3702</v>
      </c>
    </row>
    <row r="4516" spans="1:7">
      <c r="A4516" t="s">
        <v>10022</v>
      </c>
      <c r="B4516" t="s">
        <v>10023</v>
      </c>
      <c r="C4516" t="s">
        <v>3718</v>
      </c>
      <c r="D4516" t="s">
        <v>3719</v>
      </c>
      <c r="E4516">
        <v>6</v>
      </c>
      <c r="F4516" s="6">
        <v>750</v>
      </c>
      <c r="G4516" t="s">
        <v>3702</v>
      </c>
    </row>
    <row r="4517" spans="1:7">
      <c r="A4517" t="s">
        <v>10024</v>
      </c>
      <c r="B4517" t="s">
        <v>4349</v>
      </c>
      <c r="C4517" t="s">
        <v>3718</v>
      </c>
      <c r="D4517" t="s">
        <v>3719</v>
      </c>
      <c r="E4517">
        <v>6</v>
      </c>
      <c r="F4517" s="6">
        <v>750</v>
      </c>
      <c r="G4517" t="s">
        <v>3802</v>
      </c>
    </row>
    <row r="4518" spans="1:7">
      <c r="A4518" t="s">
        <v>10025</v>
      </c>
      <c r="B4518" t="s">
        <v>10026</v>
      </c>
      <c r="C4518" t="s">
        <v>3718</v>
      </c>
      <c r="D4518" t="s">
        <v>3719</v>
      </c>
      <c r="E4518">
        <v>12</v>
      </c>
      <c r="F4518" s="6">
        <v>750</v>
      </c>
      <c r="G4518" t="s">
        <v>3802</v>
      </c>
    </row>
    <row r="4519" spans="1:7">
      <c r="A4519" t="s">
        <v>10027</v>
      </c>
      <c r="B4519" t="s">
        <v>10028</v>
      </c>
      <c r="C4519" t="s">
        <v>3718</v>
      </c>
      <c r="D4519" t="s">
        <v>3719</v>
      </c>
      <c r="E4519">
        <v>6</v>
      </c>
      <c r="F4519" s="6">
        <v>700</v>
      </c>
      <c r="G4519" t="s">
        <v>4331</v>
      </c>
    </row>
    <row r="4520" spans="1:7">
      <c r="A4520" t="s">
        <v>10029</v>
      </c>
      <c r="B4520" t="s">
        <v>10030</v>
      </c>
      <c r="C4520" t="s">
        <v>3718</v>
      </c>
      <c r="D4520" t="s">
        <v>3719</v>
      </c>
      <c r="E4520">
        <v>6</v>
      </c>
      <c r="F4520" s="6">
        <v>700</v>
      </c>
      <c r="G4520" t="s">
        <v>3702</v>
      </c>
    </row>
    <row r="4521" spans="1:7">
      <c r="A4521" t="s">
        <v>10031</v>
      </c>
      <c r="B4521" t="s">
        <v>4352</v>
      </c>
      <c r="C4521" t="s">
        <v>3718</v>
      </c>
      <c r="D4521" t="s">
        <v>3719</v>
      </c>
      <c r="E4521">
        <v>12</v>
      </c>
      <c r="F4521" s="6">
        <v>750</v>
      </c>
      <c r="G4521" t="s">
        <v>3787</v>
      </c>
    </row>
    <row r="4522" spans="1:7">
      <c r="A4522" t="s">
        <v>10032</v>
      </c>
      <c r="B4522" t="s">
        <v>10033</v>
      </c>
      <c r="C4522" t="s">
        <v>3718</v>
      </c>
      <c r="D4522" t="s">
        <v>3719</v>
      </c>
      <c r="E4522">
        <v>6</v>
      </c>
      <c r="F4522" s="6">
        <v>750</v>
      </c>
      <c r="G4522" t="s">
        <v>3787</v>
      </c>
    </row>
    <row r="4523" spans="1:7">
      <c r="A4523" t="s">
        <v>10034</v>
      </c>
      <c r="B4523" t="s">
        <v>10035</v>
      </c>
      <c r="C4523" t="s">
        <v>3718</v>
      </c>
      <c r="D4523" t="s">
        <v>3719</v>
      </c>
      <c r="E4523">
        <v>6</v>
      </c>
      <c r="F4523" s="6">
        <v>750</v>
      </c>
      <c r="G4523" t="s">
        <v>3787</v>
      </c>
    </row>
    <row r="4524" spans="1:7">
      <c r="A4524" t="s">
        <v>10036</v>
      </c>
      <c r="B4524" t="s">
        <v>10037</v>
      </c>
      <c r="C4524" t="s">
        <v>3718</v>
      </c>
      <c r="D4524" t="s">
        <v>3719</v>
      </c>
      <c r="E4524">
        <v>6</v>
      </c>
      <c r="F4524" s="6">
        <v>750</v>
      </c>
      <c r="G4524" t="s">
        <v>3787</v>
      </c>
    </row>
    <row r="4525" spans="1:7">
      <c r="A4525" t="s">
        <v>10038</v>
      </c>
      <c r="B4525" t="s">
        <v>10039</v>
      </c>
      <c r="C4525" t="s">
        <v>3718</v>
      </c>
      <c r="D4525" t="s">
        <v>3719</v>
      </c>
      <c r="E4525">
        <v>1</v>
      </c>
      <c r="F4525" s="6">
        <v>700</v>
      </c>
      <c r="G4525" t="s">
        <v>3681</v>
      </c>
    </row>
    <row r="4526" spans="1:7">
      <c r="A4526" t="s">
        <v>10040</v>
      </c>
      <c r="B4526" t="s">
        <v>10041</v>
      </c>
      <c r="C4526" t="s">
        <v>3718</v>
      </c>
      <c r="D4526" t="s">
        <v>3719</v>
      </c>
      <c r="E4526">
        <v>6</v>
      </c>
      <c r="F4526" s="6">
        <v>750</v>
      </c>
      <c r="G4526" t="s">
        <v>3802</v>
      </c>
    </row>
    <row r="4527" spans="1:7">
      <c r="A4527" t="s">
        <v>10042</v>
      </c>
      <c r="B4527" t="s">
        <v>10043</v>
      </c>
      <c r="C4527" t="s">
        <v>3718</v>
      </c>
      <c r="D4527" t="s">
        <v>3719</v>
      </c>
      <c r="E4527">
        <v>12</v>
      </c>
      <c r="F4527" s="6">
        <v>750</v>
      </c>
      <c r="G4527" t="s">
        <v>3689</v>
      </c>
    </row>
    <row r="4528" spans="1:7">
      <c r="A4528" t="s">
        <v>10044</v>
      </c>
      <c r="B4528" t="s">
        <v>10045</v>
      </c>
      <c r="C4528" t="s">
        <v>3928</v>
      </c>
      <c r="D4528" t="s">
        <v>3929</v>
      </c>
      <c r="E4528">
        <v>12</v>
      </c>
      <c r="F4528" s="6">
        <v>750</v>
      </c>
      <c r="G4528" t="s">
        <v>3689</v>
      </c>
    </row>
    <row r="4529" spans="1:7">
      <c r="A4529" t="s">
        <v>10046</v>
      </c>
      <c r="B4529" t="s">
        <v>10047</v>
      </c>
      <c r="C4529" t="s">
        <v>3718</v>
      </c>
      <c r="D4529" t="s">
        <v>3719</v>
      </c>
      <c r="E4529">
        <v>6</v>
      </c>
      <c r="F4529" s="6">
        <v>750</v>
      </c>
      <c r="G4529" t="s">
        <v>4182</v>
      </c>
    </row>
    <row r="4530" spans="1:7">
      <c r="A4530" t="s">
        <v>10048</v>
      </c>
      <c r="B4530" t="s">
        <v>10049</v>
      </c>
      <c r="C4530" t="s">
        <v>4244</v>
      </c>
      <c r="D4530" t="s">
        <v>4245</v>
      </c>
      <c r="E4530">
        <v>6</v>
      </c>
      <c r="F4530" s="6">
        <v>750</v>
      </c>
      <c r="G4530" t="s">
        <v>3689</v>
      </c>
    </row>
    <row r="4531" spans="1:7">
      <c r="A4531" t="s">
        <v>10050</v>
      </c>
      <c r="B4531" t="s">
        <v>10051</v>
      </c>
      <c r="C4531" t="s">
        <v>3718</v>
      </c>
      <c r="D4531" t="s">
        <v>3719</v>
      </c>
      <c r="E4531">
        <v>6</v>
      </c>
      <c r="F4531" s="6">
        <v>750</v>
      </c>
      <c r="G4531" t="s">
        <v>3716</v>
      </c>
    </row>
    <row r="4532" spans="1:7">
      <c r="A4532" t="s">
        <v>10052</v>
      </c>
      <c r="B4532" t="s">
        <v>10053</v>
      </c>
      <c r="C4532" t="s">
        <v>3718</v>
      </c>
      <c r="D4532" t="s">
        <v>3719</v>
      </c>
      <c r="E4532">
        <v>6</v>
      </c>
      <c r="F4532" s="6">
        <v>750</v>
      </c>
      <c r="G4532" t="s">
        <v>3702</v>
      </c>
    </row>
    <row r="4533" spans="1:7">
      <c r="A4533" t="s">
        <v>10054</v>
      </c>
      <c r="B4533" t="s">
        <v>10055</v>
      </c>
      <c r="C4533" t="s">
        <v>3718</v>
      </c>
      <c r="D4533" t="s">
        <v>3719</v>
      </c>
      <c r="E4533">
        <v>12</v>
      </c>
      <c r="F4533" s="6">
        <v>750</v>
      </c>
      <c r="G4533" t="s">
        <v>4300</v>
      </c>
    </row>
    <row r="4534" spans="1:7">
      <c r="A4534" t="s">
        <v>10056</v>
      </c>
      <c r="B4534" t="s">
        <v>10057</v>
      </c>
      <c r="C4534" t="s">
        <v>3718</v>
      </c>
      <c r="D4534" t="s">
        <v>3719</v>
      </c>
      <c r="E4534">
        <v>6</v>
      </c>
      <c r="F4534" s="6">
        <v>750</v>
      </c>
      <c r="G4534" t="s">
        <v>3681</v>
      </c>
    </row>
    <row r="4535" spans="1:7">
      <c r="A4535" t="s">
        <v>10058</v>
      </c>
      <c r="B4535" t="s">
        <v>10059</v>
      </c>
      <c r="C4535" t="s">
        <v>3718</v>
      </c>
      <c r="D4535" t="s">
        <v>3719</v>
      </c>
      <c r="E4535">
        <v>6</v>
      </c>
      <c r="F4535" s="6">
        <v>750</v>
      </c>
      <c r="G4535" t="s">
        <v>3713</v>
      </c>
    </row>
    <row r="4536" spans="1:7">
      <c r="A4536" t="s">
        <v>10060</v>
      </c>
      <c r="B4536" t="s">
        <v>10061</v>
      </c>
      <c r="C4536" t="s">
        <v>3718</v>
      </c>
      <c r="D4536" t="s">
        <v>3719</v>
      </c>
      <c r="E4536">
        <v>6</v>
      </c>
      <c r="F4536" s="6">
        <v>750</v>
      </c>
      <c r="G4536" t="s">
        <v>3713</v>
      </c>
    </row>
    <row r="4537" spans="1:7">
      <c r="A4537" t="s">
        <v>10062</v>
      </c>
      <c r="B4537" t="s">
        <v>10063</v>
      </c>
      <c r="C4537" t="s">
        <v>3718</v>
      </c>
      <c r="D4537" t="s">
        <v>3719</v>
      </c>
      <c r="E4537">
        <v>6</v>
      </c>
      <c r="F4537" s="6">
        <v>750</v>
      </c>
      <c r="G4537" t="s">
        <v>3702</v>
      </c>
    </row>
    <row r="4538" spans="1:7">
      <c r="A4538" t="s">
        <v>10064</v>
      </c>
      <c r="B4538" t="s">
        <v>10065</v>
      </c>
      <c r="C4538" t="s">
        <v>3718</v>
      </c>
      <c r="D4538" t="s">
        <v>3719</v>
      </c>
      <c r="E4538">
        <v>6</v>
      </c>
      <c r="F4538" s="6">
        <v>750</v>
      </c>
      <c r="G4538" t="s">
        <v>3681</v>
      </c>
    </row>
    <row r="4539" spans="1:7">
      <c r="A4539" t="s">
        <v>10066</v>
      </c>
      <c r="B4539" t="s">
        <v>4372</v>
      </c>
      <c r="C4539" t="s">
        <v>3718</v>
      </c>
      <c r="D4539" t="s">
        <v>3719</v>
      </c>
      <c r="E4539">
        <v>3</v>
      </c>
      <c r="F4539" s="6">
        <v>750</v>
      </c>
      <c r="G4539" t="s">
        <v>3681</v>
      </c>
    </row>
    <row r="4540" spans="1:7">
      <c r="A4540" t="s">
        <v>10067</v>
      </c>
      <c r="B4540" t="s">
        <v>10068</v>
      </c>
      <c r="C4540" t="s">
        <v>3718</v>
      </c>
      <c r="D4540" t="s">
        <v>3719</v>
      </c>
      <c r="E4540">
        <v>6</v>
      </c>
      <c r="F4540" s="6">
        <v>750</v>
      </c>
      <c r="G4540" t="s">
        <v>3802</v>
      </c>
    </row>
    <row r="4541" spans="1:7">
      <c r="A4541" t="s">
        <v>10069</v>
      </c>
      <c r="B4541" t="s">
        <v>10070</v>
      </c>
      <c r="C4541" t="s">
        <v>3718</v>
      </c>
      <c r="D4541" t="s">
        <v>3719</v>
      </c>
      <c r="E4541">
        <v>6</v>
      </c>
      <c r="F4541" s="6">
        <v>750</v>
      </c>
      <c r="G4541" t="s">
        <v>3802</v>
      </c>
    </row>
    <row r="4542" spans="1:7">
      <c r="A4542" t="s">
        <v>10071</v>
      </c>
      <c r="B4542" t="s">
        <v>10072</v>
      </c>
      <c r="C4542" t="s">
        <v>3718</v>
      </c>
      <c r="D4542" t="s">
        <v>3719</v>
      </c>
      <c r="E4542">
        <v>6</v>
      </c>
      <c r="F4542" s="6">
        <v>750</v>
      </c>
      <c r="G4542" t="s">
        <v>3686</v>
      </c>
    </row>
    <row r="4543" spans="1:7">
      <c r="A4543" t="s">
        <v>10073</v>
      </c>
      <c r="B4543" t="s">
        <v>4380</v>
      </c>
      <c r="C4543" t="s">
        <v>3718</v>
      </c>
      <c r="D4543" t="s">
        <v>3719</v>
      </c>
      <c r="E4543">
        <v>3</v>
      </c>
      <c r="F4543" s="6">
        <v>700</v>
      </c>
      <c r="G4543" t="s">
        <v>3681</v>
      </c>
    </row>
    <row r="4544" spans="1:7">
      <c r="A4544" t="s">
        <v>10074</v>
      </c>
      <c r="B4544" t="s">
        <v>10075</v>
      </c>
      <c r="C4544" t="s">
        <v>3718</v>
      </c>
      <c r="D4544" t="s">
        <v>3719</v>
      </c>
      <c r="E4544">
        <v>12</v>
      </c>
      <c r="F4544" s="6">
        <v>750</v>
      </c>
      <c r="G4544" t="s">
        <v>3702</v>
      </c>
    </row>
    <row r="4545" spans="1:7">
      <c r="A4545" t="s">
        <v>10076</v>
      </c>
      <c r="B4545" t="s">
        <v>10077</v>
      </c>
      <c r="C4545" t="s">
        <v>3718</v>
      </c>
      <c r="D4545" t="s">
        <v>3719</v>
      </c>
      <c r="E4545">
        <v>6</v>
      </c>
      <c r="F4545" s="6">
        <v>750</v>
      </c>
      <c r="G4545" t="s">
        <v>4331</v>
      </c>
    </row>
    <row r="4546" spans="1:7">
      <c r="A4546" t="s">
        <v>10078</v>
      </c>
      <c r="B4546" t="s">
        <v>10079</v>
      </c>
      <c r="C4546" t="s">
        <v>4084</v>
      </c>
      <c r="D4546" t="s">
        <v>4085</v>
      </c>
      <c r="E4546">
        <v>1</v>
      </c>
      <c r="F4546" s="6">
        <v>700</v>
      </c>
      <c r="G4546" t="s">
        <v>3681</v>
      </c>
    </row>
    <row r="4547" spans="1:7">
      <c r="A4547" t="s">
        <v>10080</v>
      </c>
      <c r="B4547" t="s">
        <v>10081</v>
      </c>
      <c r="C4547" t="s">
        <v>6442</v>
      </c>
      <c r="D4547" t="s">
        <v>6443</v>
      </c>
      <c r="E4547">
        <v>6</v>
      </c>
      <c r="F4547" s="6">
        <v>750</v>
      </c>
      <c r="G4547" t="s">
        <v>4032</v>
      </c>
    </row>
    <row r="4548" spans="1:7">
      <c r="A4548" t="s">
        <v>10082</v>
      </c>
      <c r="B4548" t="s">
        <v>10083</v>
      </c>
      <c r="C4548" t="s">
        <v>3718</v>
      </c>
      <c r="D4548" t="s">
        <v>3719</v>
      </c>
      <c r="E4548">
        <v>6</v>
      </c>
      <c r="F4548" s="6">
        <v>750</v>
      </c>
      <c r="G4548" t="s">
        <v>4392</v>
      </c>
    </row>
    <row r="4549" spans="1:7">
      <c r="A4549" t="s">
        <v>10084</v>
      </c>
      <c r="B4549" t="s">
        <v>10085</v>
      </c>
      <c r="C4549" t="s">
        <v>3718</v>
      </c>
      <c r="D4549" t="s">
        <v>3719</v>
      </c>
      <c r="E4549">
        <v>6</v>
      </c>
      <c r="F4549" s="6">
        <v>700</v>
      </c>
      <c r="G4549" t="s">
        <v>4779</v>
      </c>
    </row>
    <row r="4550" spans="1:7">
      <c r="A4550" t="s">
        <v>10086</v>
      </c>
      <c r="B4550" t="s">
        <v>10087</v>
      </c>
      <c r="C4550" t="s">
        <v>3718</v>
      </c>
      <c r="D4550" t="s">
        <v>3719</v>
      </c>
      <c r="E4550">
        <v>6</v>
      </c>
      <c r="F4550" s="6">
        <v>700</v>
      </c>
      <c r="G4550" t="s">
        <v>4779</v>
      </c>
    </row>
    <row r="4551" spans="1:7">
      <c r="A4551" t="s">
        <v>10088</v>
      </c>
      <c r="B4551" t="s">
        <v>10089</v>
      </c>
      <c r="C4551" t="s">
        <v>3718</v>
      </c>
      <c r="D4551" t="s">
        <v>3719</v>
      </c>
      <c r="E4551">
        <v>6</v>
      </c>
      <c r="F4551" s="6">
        <v>700</v>
      </c>
      <c r="G4551" t="s">
        <v>4779</v>
      </c>
    </row>
    <row r="4552" spans="1:7">
      <c r="A4552" t="s">
        <v>10090</v>
      </c>
      <c r="B4552" t="s">
        <v>10091</v>
      </c>
      <c r="C4552" t="s">
        <v>3718</v>
      </c>
      <c r="D4552" t="s">
        <v>3719</v>
      </c>
      <c r="E4552">
        <v>6</v>
      </c>
      <c r="F4552" s="6">
        <v>750</v>
      </c>
      <c r="G4552" t="s">
        <v>3713</v>
      </c>
    </row>
    <row r="4553" spans="1:7">
      <c r="A4553" t="s">
        <v>10092</v>
      </c>
      <c r="B4553" t="s">
        <v>10093</v>
      </c>
      <c r="C4553" t="s">
        <v>3718</v>
      </c>
      <c r="D4553" t="s">
        <v>3719</v>
      </c>
      <c r="E4553">
        <v>6</v>
      </c>
      <c r="F4553" s="6">
        <v>750</v>
      </c>
      <c r="G4553" t="s">
        <v>3681</v>
      </c>
    </row>
    <row r="4554" spans="1:7">
      <c r="A4554" t="s">
        <v>10094</v>
      </c>
      <c r="B4554" t="s">
        <v>10095</v>
      </c>
      <c r="C4554" t="s">
        <v>3718</v>
      </c>
      <c r="D4554" t="s">
        <v>3719</v>
      </c>
      <c r="E4554">
        <v>6</v>
      </c>
      <c r="F4554" s="6">
        <v>750</v>
      </c>
      <c r="G4554" t="s">
        <v>3730</v>
      </c>
    </row>
    <row r="4555" spans="1:7">
      <c r="A4555" t="s">
        <v>2265</v>
      </c>
      <c r="B4555" t="s">
        <v>10096</v>
      </c>
      <c r="C4555" t="s">
        <v>3708</v>
      </c>
      <c r="D4555" t="s">
        <v>3709</v>
      </c>
      <c r="E4555">
        <v>12</v>
      </c>
      <c r="F4555" s="6">
        <v>100</v>
      </c>
      <c r="G4555" t="s">
        <v>10000</v>
      </c>
    </row>
    <row r="4556" spans="1:7">
      <c r="A4556" t="s">
        <v>10097</v>
      </c>
      <c r="B4556" t="s">
        <v>10098</v>
      </c>
      <c r="C4556" t="s">
        <v>4084</v>
      </c>
      <c r="D4556" t="s">
        <v>4085</v>
      </c>
      <c r="E4556">
        <v>6</v>
      </c>
      <c r="F4556" s="6">
        <v>750</v>
      </c>
      <c r="G4556" t="s">
        <v>3681</v>
      </c>
    </row>
    <row r="4557" spans="1:7">
      <c r="A4557" t="s">
        <v>10099</v>
      </c>
      <c r="B4557" t="s">
        <v>10100</v>
      </c>
      <c r="C4557" t="s">
        <v>3718</v>
      </c>
      <c r="D4557" t="s">
        <v>3719</v>
      </c>
      <c r="E4557">
        <v>6</v>
      </c>
      <c r="F4557" s="6">
        <v>750</v>
      </c>
      <c r="G4557" t="s">
        <v>3681</v>
      </c>
    </row>
    <row r="4558" spans="1:7">
      <c r="A4558" t="s">
        <v>10101</v>
      </c>
      <c r="B4558" t="s">
        <v>4399</v>
      </c>
      <c r="C4558" t="s">
        <v>3718</v>
      </c>
      <c r="D4558" t="s">
        <v>3719</v>
      </c>
      <c r="E4558">
        <v>6</v>
      </c>
      <c r="F4558" s="6">
        <v>750</v>
      </c>
      <c r="G4558" t="s">
        <v>3681</v>
      </c>
    </row>
    <row r="4559" spans="1:7">
      <c r="A4559" t="s">
        <v>10102</v>
      </c>
      <c r="B4559" t="s">
        <v>4400</v>
      </c>
      <c r="C4559" t="s">
        <v>3718</v>
      </c>
      <c r="D4559" t="s">
        <v>3719</v>
      </c>
      <c r="E4559">
        <v>6</v>
      </c>
      <c r="F4559" s="6">
        <v>750</v>
      </c>
      <c r="G4559" t="s">
        <v>3681</v>
      </c>
    </row>
    <row r="4560" spans="1:7">
      <c r="A4560" t="s">
        <v>10103</v>
      </c>
      <c r="B4560" t="s">
        <v>10104</v>
      </c>
      <c r="C4560" t="s">
        <v>3718</v>
      </c>
      <c r="D4560" t="s">
        <v>3719</v>
      </c>
      <c r="E4560">
        <v>3</v>
      </c>
      <c r="F4560" s="6">
        <v>750</v>
      </c>
      <c r="G4560" t="s">
        <v>3681</v>
      </c>
    </row>
    <row r="4561" spans="1:7">
      <c r="A4561" t="s">
        <v>10105</v>
      </c>
      <c r="B4561" t="s">
        <v>10106</v>
      </c>
      <c r="C4561" t="s">
        <v>3718</v>
      </c>
      <c r="D4561" t="s">
        <v>3719</v>
      </c>
      <c r="E4561">
        <v>3</v>
      </c>
      <c r="F4561" s="6">
        <v>750</v>
      </c>
      <c r="G4561" t="s">
        <v>3681</v>
      </c>
    </row>
    <row r="4562" spans="1:7">
      <c r="A4562" t="s">
        <v>10107</v>
      </c>
      <c r="B4562" t="s">
        <v>4405</v>
      </c>
      <c r="C4562" t="s">
        <v>3718</v>
      </c>
      <c r="D4562" t="s">
        <v>3719</v>
      </c>
      <c r="E4562">
        <v>6</v>
      </c>
      <c r="F4562" s="6">
        <v>750</v>
      </c>
      <c r="G4562" t="s">
        <v>4406</v>
      </c>
    </row>
    <row r="4563" spans="1:7">
      <c r="A4563" t="s">
        <v>10108</v>
      </c>
      <c r="B4563" t="s">
        <v>4408</v>
      </c>
      <c r="C4563" t="s">
        <v>3718</v>
      </c>
      <c r="D4563" t="s">
        <v>3719</v>
      </c>
      <c r="E4563">
        <v>6</v>
      </c>
      <c r="F4563" s="6">
        <v>750</v>
      </c>
      <c r="G4563" t="s">
        <v>3694</v>
      </c>
    </row>
    <row r="4564" spans="1:7">
      <c r="A4564" t="s">
        <v>10109</v>
      </c>
      <c r="B4564" t="s">
        <v>4410</v>
      </c>
      <c r="C4564" t="s">
        <v>3718</v>
      </c>
      <c r="D4564" t="s">
        <v>3719</v>
      </c>
      <c r="E4564">
        <v>6</v>
      </c>
      <c r="F4564" s="6">
        <v>750</v>
      </c>
      <c r="G4564" t="s">
        <v>3705</v>
      </c>
    </row>
    <row r="4565" spans="1:7">
      <c r="A4565" t="s">
        <v>10110</v>
      </c>
      <c r="B4565" t="s">
        <v>10111</v>
      </c>
      <c r="C4565" t="s">
        <v>3718</v>
      </c>
      <c r="D4565" t="s">
        <v>3719</v>
      </c>
      <c r="E4565">
        <v>6</v>
      </c>
      <c r="F4565" s="6">
        <v>750</v>
      </c>
      <c r="G4565" t="s">
        <v>3705</v>
      </c>
    </row>
    <row r="4566" spans="1:7">
      <c r="A4566" t="s">
        <v>10112</v>
      </c>
      <c r="B4566" t="s">
        <v>4412</v>
      </c>
      <c r="C4566" t="s">
        <v>3718</v>
      </c>
      <c r="D4566" t="s">
        <v>3719</v>
      </c>
      <c r="E4566">
        <v>6</v>
      </c>
      <c r="F4566" s="6">
        <v>750</v>
      </c>
      <c r="G4566" t="s">
        <v>3705</v>
      </c>
    </row>
    <row r="4567" spans="1:7">
      <c r="A4567" t="s">
        <v>10113</v>
      </c>
      <c r="B4567" t="s">
        <v>10114</v>
      </c>
      <c r="C4567" t="s">
        <v>3718</v>
      </c>
      <c r="D4567" t="s">
        <v>3719</v>
      </c>
      <c r="E4567">
        <v>6</v>
      </c>
      <c r="F4567" s="6">
        <v>750</v>
      </c>
      <c r="G4567" t="s">
        <v>3705</v>
      </c>
    </row>
    <row r="4568" spans="1:7">
      <c r="A4568" t="s">
        <v>10115</v>
      </c>
      <c r="B4568" t="s">
        <v>10116</v>
      </c>
      <c r="C4568" t="s">
        <v>3708</v>
      </c>
      <c r="D4568" t="s">
        <v>3709</v>
      </c>
      <c r="E4568">
        <v>6</v>
      </c>
      <c r="F4568" s="6">
        <v>750</v>
      </c>
      <c r="G4568" t="s">
        <v>3702</v>
      </c>
    </row>
    <row r="4569" spans="1:7">
      <c r="A4569" t="s">
        <v>10117</v>
      </c>
      <c r="B4569" t="s">
        <v>10118</v>
      </c>
      <c r="C4569" t="s">
        <v>3718</v>
      </c>
      <c r="D4569" t="s">
        <v>3719</v>
      </c>
      <c r="E4569">
        <v>6</v>
      </c>
      <c r="F4569" s="6">
        <v>750</v>
      </c>
      <c r="G4569" t="s">
        <v>3713</v>
      </c>
    </row>
    <row r="4570" spans="1:7">
      <c r="A4570" t="s">
        <v>10119</v>
      </c>
      <c r="B4570" t="s">
        <v>10120</v>
      </c>
      <c r="C4570" t="s">
        <v>3718</v>
      </c>
      <c r="D4570" t="s">
        <v>3719</v>
      </c>
      <c r="E4570">
        <v>6</v>
      </c>
      <c r="F4570" s="6">
        <v>750</v>
      </c>
      <c r="G4570" t="s">
        <v>4419</v>
      </c>
    </row>
    <row r="4571" spans="1:7">
      <c r="A4571" t="s">
        <v>10121</v>
      </c>
      <c r="B4571" t="s">
        <v>10122</v>
      </c>
      <c r="C4571" t="s">
        <v>3718</v>
      </c>
      <c r="D4571" t="s">
        <v>3719</v>
      </c>
      <c r="E4571">
        <v>6</v>
      </c>
      <c r="F4571" s="6">
        <v>750</v>
      </c>
      <c r="G4571" t="s">
        <v>4419</v>
      </c>
    </row>
    <row r="4572" spans="1:7">
      <c r="A4572" t="s">
        <v>10123</v>
      </c>
      <c r="B4572" t="s">
        <v>10124</v>
      </c>
      <c r="C4572" t="s">
        <v>3718</v>
      </c>
      <c r="D4572" t="s">
        <v>3719</v>
      </c>
      <c r="E4572">
        <v>6</v>
      </c>
      <c r="F4572" s="6">
        <v>750</v>
      </c>
      <c r="G4572" t="s">
        <v>3716</v>
      </c>
    </row>
    <row r="4573" spans="1:7">
      <c r="A4573" t="s">
        <v>10125</v>
      </c>
      <c r="B4573" t="s">
        <v>10126</v>
      </c>
      <c r="C4573" t="s">
        <v>3718</v>
      </c>
      <c r="D4573" t="s">
        <v>3719</v>
      </c>
      <c r="E4573">
        <v>6</v>
      </c>
      <c r="F4573" s="6">
        <v>750</v>
      </c>
      <c r="G4573" t="s">
        <v>5701</v>
      </c>
    </row>
    <row r="4574" spans="1:7">
      <c r="A4574" t="s">
        <v>10127</v>
      </c>
      <c r="B4574" t="s">
        <v>10128</v>
      </c>
      <c r="C4574" t="s">
        <v>3718</v>
      </c>
      <c r="D4574" t="s">
        <v>3719</v>
      </c>
      <c r="E4574">
        <v>6</v>
      </c>
      <c r="F4574" s="6">
        <v>750</v>
      </c>
      <c r="G4574" t="s">
        <v>3681</v>
      </c>
    </row>
    <row r="4575" spans="1:7">
      <c r="A4575" t="s">
        <v>10129</v>
      </c>
      <c r="B4575" t="s">
        <v>10130</v>
      </c>
      <c r="C4575" t="s">
        <v>3808</v>
      </c>
      <c r="D4575" t="s">
        <v>3809</v>
      </c>
      <c r="E4575">
        <v>6</v>
      </c>
      <c r="F4575" s="6">
        <v>750</v>
      </c>
      <c r="G4575" t="s">
        <v>10131</v>
      </c>
    </row>
    <row r="4576" spans="1:7">
      <c r="A4576" t="s">
        <v>10132</v>
      </c>
      <c r="B4576" t="s">
        <v>10133</v>
      </c>
      <c r="C4576" t="s">
        <v>3808</v>
      </c>
      <c r="D4576" t="s">
        <v>3809</v>
      </c>
      <c r="E4576">
        <v>6</v>
      </c>
      <c r="F4576" s="6">
        <v>750</v>
      </c>
      <c r="G4576" t="s">
        <v>3713</v>
      </c>
    </row>
    <row r="4577" spans="1:7">
      <c r="A4577" t="s">
        <v>10134</v>
      </c>
      <c r="B4577" t="s">
        <v>10135</v>
      </c>
      <c r="C4577" t="s">
        <v>4084</v>
      </c>
      <c r="D4577" t="s">
        <v>4085</v>
      </c>
      <c r="E4577">
        <v>6</v>
      </c>
      <c r="F4577" s="6">
        <v>750</v>
      </c>
      <c r="G4577" t="s">
        <v>3713</v>
      </c>
    </row>
    <row r="4578" spans="1:7">
      <c r="A4578" t="s">
        <v>10136</v>
      </c>
      <c r="B4578" t="s">
        <v>10137</v>
      </c>
      <c r="C4578" t="s">
        <v>4084</v>
      </c>
      <c r="D4578" t="s">
        <v>4085</v>
      </c>
      <c r="E4578">
        <v>6</v>
      </c>
      <c r="F4578" s="6">
        <v>750</v>
      </c>
      <c r="G4578" t="s">
        <v>9715</v>
      </c>
    </row>
    <row r="4579" spans="1:7">
      <c r="A4579" t="s">
        <v>10138</v>
      </c>
      <c r="B4579" t="s">
        <v>10139</v>
      </c>
      <c r="C4579" t="s">
        <v>4084</v>
      </c>
      <c r="D4579" t="s">
        <v>4085</v>
      </c>
      <c r="E4579">
        <v>6</v>
      </c>
      <c r="F4579" s="6">
        <v>750</v>
      </c>
      <c r="G4579" t="s">
        <v>9715</v>
      </c>
    </row>
    <row r="4580" spans="1:7">
      <c r="A4580" t="s">
        <v>10140</v>
      </c>
      <c r="B4580" t="s">
        <v>10141</v>
      </c>
      <c r="C4580" t="s">
        <v>4084</v>
      </c>
      <c r="D4580" t="s">
        <v>4085</v>
      </c>
      <c r="E4580">
        <v>6</v>
      </c>
      <c r="F4580" s="6">
        <v>750</v>
      </c>
      <c r="G4580" t="s">
        <v>9715</v>
      </c>
    </row>
    <row r="4581" spans="1:7">
      <c r="A4581" t="s">
        <v>10142</v>
      </c>
      <c r="B4581" t="s">
        <v>10143</v>
      </c>
      <c r="C4581" t="s">
        <v>9319</v>
      </c>
      <c r="D4581" t="s">
        <v>9320</v>
      </c>
      <c r="E4581">
        <v>6</v>
      </c>
      <c r="F4581" s="6">
        <v>750</v>
      </c>
      <c r="G4581" t="s">
        <v>9715</v>
      </c>
    </row>
    <row r="4582" spans="1:7">
      <c r="A4582" t="s">
        <v>3637</v>
      </c>
      <c r="B4582" t="s">
        <v>10144</v>
      </c>
      <c r="C4582" t="s">
        <v>4084</v>
      </c>
      <c r="D4582" t="s">
        <v>4085</v>
      </c>
      <c r="E4582">
        <v>6</v>
      </c>
      <c r="F4582" s="6">
        <v>750</v>
      </c>
      <c r="G4582" t="s">
        <v>9715</v>
      </c>
    </row>
    <row r="4583" spans="1:7">
      <c r="A4583" t="s">
        <v>10145</v>
      </c>
      <c r="B4583" t="s">
        <v>10146</v>
      </c>
      <c r="C4583" t="s">
        <v>3708</v>
      </c>
      <c r="D4583" t="s">
        <v>3709</v>
      </c>
      <c r="E4583">
        <v>6</v>
      </c>
      <c r="F4583" s="6">
        <v>750</v>
      </c>
      <c r="G4583" t="s">
        <v>10000</v>
      </c>
    </row>
    <row r="4584" spans="1:7">
      <c r="A4584" t="s">
        <v>10147</v>
      </c>
      <c r="B4584" t="s">
        <v>10148</v>
      </c>
      <c r="C4584" t="s">
        <v>3708</v>
      </c>
      <c r="D4584" t="s">
        <v>3709</v>
      </c>
      <c r="E4584">
        <v>6</v>
      </c>
      <c r="F4584" s="6">
        <v>750</v>
      </c>
      <c r="G4584" t="s">
        <v>10000</v>
      </c>
    </row>
    <row r="4585" spans="1:7">
      <c r="A4585" t="s">
        <v>10149</v>
      </c>
      <c r="B4585" t="s">
        <v>10150</v>
      </c>
      <c r="C4585" t="s">
        <v>3808</v>
      </c>
      <c r="D4585" t="s">
        <v>3809</v>
      </c>
      <c r="E4585">
        <v>12</v>
      </c>
      <c r="F4585" s="6">
        <v>750</v>
      </c>
      <c r="G4585" t="s">
        <v>10000</v>
      </c>
    </row>
    <row r="4586" spans="1:7">
      <c r="A4586" t="s">
        <v>10151</v>
      </c>
      <c r="B4586" t="s">
        <v>10152</v>
      </c>
      <c r="C4586" t="s">
        <v>6442</v>
      </c>
      <c r="D4586" t="s">
        <v>6443</v>
      </c>
      <c r="E4586">
        <v>6</v>
      </c>
      <c r="F4586" s="6">
        <v>750</v>
      </c>
      <c r="G4586" t="s">
        <v>3802</v>
      </c>
    </row>
    <row r="4587" spans="1:7">
      <c r="A4587" t="s">
        <v>10153</v>
      </c>
      <c r="B4587" t="s">
        <v>10154</v>
      </c>
      <c r="C4587" t="s">
        <v>4084</v>
      </c>
      <c r="D4587" t="s">
        <v>4085</v>
      </c>
      <c r="E4587">
        <v>6</v>
      </c>
      <c r="F4587" s="6">
        <v>750</v>
      </c>
      <c r="G4587" t="s">
        <v>3713</v>
      </c>
    </row>
    <row r="4588" spans="1:7">
      <c r="A4588" t="s">
        <v>10155</v>
      </c>
      <c r="B4588" t="s">
        <v>10156</v>
      </c>
      <c r="C4588" t="s">
        <v>6442</v>
      </c>
      <c r="D4588" t="s">
        <v>6443</v>
      </c>
      <c r="E4588">
        <v>6</v>
      </c>
      <c r="F4588" s="6">
        <v>750</v>
      </c>
      <c r="G4588" t="s">
        <v>3802</v>
      </c>
    </row>
    <row r="4589" spans="1:7">
      <c r="A4589" t="s">
        <v>10157</v>
      </c>
      <c r="B4589" t="s">
        <v>10158</v>
      </c>
      <c r="C4589" t="s">
        <v>6442</v>
      </c>
      <c r="D4589" t="s">
        <v>6443</v>
      </c>
      <c r="E4589">
        <v>6</v>
      </c>
      <c r="F4589" s="6">
        <v>750</v>
      </c>
      <c r="G4589" t="s">
        <v>3802</v>
      </c>
    </row>
    <row r="4590" spans="1:7">
      <c r="A4590" t="s">
        <v>10159</v>
      </c>
      <c r="B4590" t="s">
        <v>10160</v>
      </c>
      <c r="C4590" t="s">
        <v>10161</v>
      </c>
      <c r="D4590" t="s">
        <v>6443</v>
      </c>
      <c r="E4590">
        <v>6</v>
      </c>
      <c r="F4590" s="6">
        <v>750</v>
      </c>
      <c r="G4590" t="s">
        <v>4068</v>
      </c>
    </row>
    <row r="4591" spans="1:7">
      <c r="A4591" t="s">
        <v>10162</v>
      </c>
      <c r="B4591" t="s">
        <v>10163</v>
      </c>
      <c r="C4591" t="s">
        <v>6442</v>
      </c>
      <c r="D4591" t="s">
        <v>6443</v>
      </c>
      <c r="E4591">
        <v>6</v>
      </c>
      <c r="F4591" s="6">
        <v>750</v>
      </c>
      <c r="G4591" t="s">
        <v>3802</v>
      </c>
    </row>
    <row r="4592" spans="1:7">
      <c r="A4592" t="s">
        <v>10164</v>
      </c>
      <c r="B4592" t="s">
        <v>10165</v>
      </c>
      <c r="C4592" t="s">
        <v>6442</v>
      </c>
      <c r="D4592" t="s">
        <v>6443</v>
      </c>
      <c r="E4592">
        <v>12</v>
      </c>
      <c r="F4592" s="6">
        <v>750</v>
      </c>
      <c r="G4592" t="s">
        <v>9774</v>
      </c>
    </row>
    <row r="4593" spans="1:7">
      <c r="A4593" t="s">
        <v>10166</v>
      </c>
      <c r="B4593" t="s">
        <v>10167</v>
      </c>
      <c r="C4593" t="s">
        <v>10161</v>
      </c>
      <c r="D4593" t="s">
        <v>6443</v>
      </c>
      <c r="E4593">
        <v>6</v>
      </c>
      <c r="F4593" s="6">
        <v>750</v>
      </c>
      <c r="G4593" t="s">
        <v>3802</v>
      </c>
    </row>
    <row r="4594" spans="1:7">
      <c r="A4594" t="s">
        <v>10168</v>
      </c>
      <c r="B4594" t="s">
        <v>10169</v>
      </c>
      <c r="C4594" t="s">
        <v>4084</v>
      </c>
      <c r="D4594" t="s">
        <v>4085</v>
      </c>
      <c r="E4594">
        <v>6</v>
      </c>
      <c r="F4594" s="6">
        <v>750</v>
      </c>
      <c r="G4594" t="s">
        <v>3702</v>
      </c>
    </row>
    <row r="4595" spans="1:7">
      <c r="A4595" t="s">
        <v>10170</v>
      </c>
      <c r="B4595" t="s">
        <v>10171</v>
      </c>
      <c r="C4595" t="s">
        <v>4084</v>
      </c>
      <c r="D4595" t="s">
        <v>4085</v>
      </c>
      <c r="E4595">
        <v>12</v>
      </c>
      <c r="F4595" s="6">
        <v>750</v>
      </c>
      <c r="G4595" t="s">
        <v>3802</v>
      </c>
    </row>
    <row r="4596" spans="1:7">
      <c r="A4596" t="s">
        <v>10172</v>
      </c>
      <c r="B4596" t="s">
        <v>10173</v>
      </c>
      <c r="C4596" t="s">
        <v>4084</v>
      </c>
      <c r="D4596" t="s">
        <v>4085</v>
      </c>
      <c r="E4596">
        <v>12</v>
      </c>
      <c r="F4596" s="6">
        <v>750</v>
      </c>
      <c r="G4596" t="s">
        <v>3802</v>
      </c>
    </row>
    <row r="4597" spans="1:7">
      <c r="A4597" t="s">
        <v>10174</v>
      </c>
      <c r="B4597" t="s">
        <v>10175</v>
      </c>
      <c r="C4597" t="s">
        <v>4084</v>
      </c>
      <c r="D4597" t="s">
        <v>4085</v>
      </c>
      <c r="E4597">
        <v>6</v>
      </c>
      <c r="F4597" s="6">
        <v>750</v>
      </c>
      <c r="G4597" t="s">
        <v>3802</v>
      </c>
    </row>
    <row r="4598" spans="1:7">
      <c r="A4598" t="s">
        <v>10176</v>
      </c>
      <c r="B4598" t="s">
        <v>10177</v>
      </c>
      <c r="C4598" t="s">
        <v>3708</v>
      </c>
      <c r="D4598" t="s">
        <v>3709</v>
      </c>
      <c r="E4598">
        <v>12</v>
      </c>
      <c r="F4598" s="6">
        <v>750</v>
      </c>
      <c r="G4598" t="s">
        <v>10000</v>
      </c>
    </row>
    <row r="4599" spans="1:7">
      <c r="A4599" t="s">
        <v>10178</v>
      </c>
      <c r="B4599" t="s">
        <v>10179</v>
      </c>
      <c r="C4599" t="s">
        <v>3808</v>
      </c>
      <c r="D4599" t="s">
        <v>3809</v>
      </c>
      <c r="E4599">
        <v>6</v>
      </c>
      <c r="F4599" s="6">
        <v>750</v>
      </c>
      <c r="G4599" t="s">
        <v>3702</v>
      </c>
    </row>
    <row r="4600" spans="1:7">
      <c r="A4600" t="s">
        <v>10180</v>
      </c>
      <c r="B4600" t="s">
        <v>10181</v>
      </c>
      <c r="C4600" t="s">
        <v>4084</v>
      </c>
      <c r="D4600" t="s">
        <v>4085</v>
      </c>
      <c r="E4600">
        <v>6</v>
      </c>
      <c r="F4600" s="6">
        <v>750</v>
      </c>
      <c r="G4600" t="s">
        <v>10182</v>
      </c>
    </row>
    <row r="4601" spans="1:7">
      <c r="A4601" t="s">
        <v>10183</v>
      </c>
      <c r="B4601" t="s">
        <v>10184</v>
      </c>
      <c r="C4601" t="s">
        <v>4084</v>
      </c>
      <c r="D4601" t="s">
        <v>4085</v>
      </c>
      <c r="E4601">
        <v>6</v>
      </c>
      <c r="F4601" s="6">
        <v>750</v>
      </c>
      <c r="G4601" t="s">
        <v>10182</v>
      </c>
    </row>
    <row r="4602" spans="1:7">
      <c r="A4602" t="s">
        <v>10185</v>
      </c>
      <c r="B4602" t="s">
        <v>10186</v>
      </c>
      <c r="C4602" t="s">
        <v>4436</v>
      </c>
      <c r="D4602" t="s">
        <v>4437</v>
      </c>
      <c r="E4602">
        <v>6</v>
      </c>
      <c r="F4602" s="6">
        <v>750</v>
      </c>
      <c r="G4602" t="s">
        <v>5205</v>
      </c>
    </row>
    <row r="4603" spans="1:7">
      <c r="A4603" t="s">
        <v>10187</v>
      </c>
      <c r="B4603" t="s">
        <v>10188</v>
      </c>
      <c r="C4603" t="s">
        <v>3808</v>
      </c>
      <c r="D4603" t="s">
        <v>3809</v>
      </c>
      <c r="E4603">
        <v>6</v>
      </c>
      <c r="F4603" s="6">
        <v>750</v>
      </c>
      <c r="G4603" t="s">
        <v>3802</v>
      </c>
    </row>
    <row r="4604" spans="1:7">
      <c r="A4604" t="s">
        <v>10189</v>
      </c>
      <c r="B4604" t="s">
        <v>10190</v>
      </c>
      <c r="C4604" t="s">
        <v>9319</v>
      </c>
      <c r="D4604" t="s">
        <v>9320</v>
      </c>
      <c r="E4604">
        <v>12</v>
      </c>
      <c r="F4604" s="6">
        <v>750</v>
      </c>
      <c r="G4604" t="s">
        <v>3931</v>
      </c>
    </row>
    <row r="4605" spans="1:7">
      <c r="A4605" t="s">
        <v>10191</v>
      </c>
      <c r="B4605" t="s">
        <v>10192</v>
      </c>
      <c r="C4605" t="s">
        <v>3708</v>
      </c>
      <c r="D4605" t="s">
        <v>3709</v>
      </c>
      <c r="E4605">
        <v>6</v>
      </c>
      <c r="F4605" s="6">
        <v>750</v>
      </c>
      <c r="G4605" t="s">
        <v>3802</v>
      </c>
    </row>
    <row r="4606" spans="1:7">
      <c r="A4606" t="s">
        <v>10193</v>
      </c>
      <c r="B4606" t="s">
        <v>10194</v>
      </c>
      <c r="C4606" t="s">
        <v>3718</v>
      </c>
      <c r="D4606" t="s">
        <v>3719</v>
      </c>
      <c r="E4606">
        <v>6</v>
      </c>
      <c r="F4606" s="6">
        <v>750</v>
      </c>
      <c r="G4606" t="s">
        <v>4358</v>
      </c>
    </row>
    <row r="4607" spans="1:7">
      <c r="A4607" t="s">
        <v>10195</v>
      </c>
      <c r="B4607" t="s">
        <v>10196</v>
      </c>
      <c r="C4607" t="s">
        <v>3708</v>
      </c>
      <c r="D4607" t="s">
        <v>3709</v>
      </c>
      <c r="E4607">
        <v>12</v>
      </c>
      <c r="F4607" s="6">
        <v>750</v>
      </c>
      <c r="G4607" t="s">
        <v>10000</v>
      </c>
    </row>
    <row r="4608" spans="1:7">
      <c r="A4608" t="s">
        <v>10197</v>
      </c>
      <c r="B4608" t="s">
        <v>10198</v>
      </c>
      <c r="C4608" t="s">
        <v>4436</v>
      </c>
      <c r="D4608" t="s">
        <v>4437</v>
      </c>
      <c r="E4608">
        <v>6</v>
      </c>
      <c r="F4608" s="6">
        <v>750</v>
      </c>
      <c r="G4608" t="s">
        <v>10199</v>
      </c>
    </row>
    <row r="4609" spans="1:7">
      <c r="A4609" t="s">
        <v>10200</v>
      </c>
      <c r="B4609" t="s">
        <v>10201</v>
      </c>
      <c r="C4609" t="s">
        <v>4084</v>
      </c>
      <c r="D4609" t="s">
        <v>4085</v>
      </c>
      <c r="E4609">
        <v>6</v>
      </c>
      <c r="F4609" s="6">
        <v>750</v>
      </c>
      <c r="G4609" t="s">
        <v>10182</v>
      </c>
    </row>
    <row r="4610" spans="1:7">
      <c r="A4610" t="s">
        <v>10202</v>
      </c>
      <c r="B4610" t="s">
        <v>10203</v>
      </c>
      <c r="C4610" t="s">
        <v>3928</v>
      </c>
      <c r="D4610" t="s">
        <v>3929</v>
      </c>
      <c r="E4610">
        <v>6</v>
      </c>
      <c r="F4610" s="6">
        <v>750</v>
      </c>
      <c r="G4610" t="s">
        <v>4463</v>
      </c>
    </row>
    <row r="4611" spans="1:7">
      <c r="A4611" t="s">
        <v>10204</v>
      </c>
      <c r="B4611" t="s">
        <v>10205</v>
      </c>
      <c r="C4611" t="s">
        <v>4244</v>
      </c>
      <c r="D4611" t="s">
        <v>4245</v>
      </c>
      <c r="E4611">
        <v>6</v>
      </c>
      <c r="F4611" s="6">
        <v>750</v>
      </c>
      <c r="G4611" t="s">
        <v>4463</v>
      </c>
    </row>
    <row r="4612" spans="1:7">
      <c r="A4612" t="s">
        <v>10206</v>
      </c>
      <c r="B4612" t="s">
        <v>10207</v>
      </c>
      <c r="C4612" t="s">
        <v>3928</v>
      </c>
      <c r="D4612" t="s">
        <v>3929</v>
      </c>
      <c r="E4612">
        <v>6</v>
      </c>
      <c r="F4612" s="6">
        <v>750</v>
      </c>
      <c r="G4612" t="s">
        <v>10208</v>
      </c>
    </row>
    <row r="4613" spans="1:7">
      <c r="A4613" t="s">
        <v>10209</v>
      </c>
      <c r="B4613" t="s">
        <v>10210</v>
      </c>
      <c r="C4613" t="s">
        <v>4084</v>
      </c>
      <c r="D4613" t="s">
        <v>4085</v>
      </c>
      <c r="E4613">
        <v>6</v>
      </c>
      <c r="F4613" s="6">
        <v>700</v>
      </c>
      <c r="G4613" t="s">
        <v>10211</v>
      </c>
    </row>
    <row r="4614" spans="1:7">
      <c r="A4614" t="s">
        <v>10212</v>
      </c>
      <c r="B4614" t="s">
        <v>10213</v>
      </c>
      <c r="C4614" t="s">
        <v>4084</v>
      </c>
      <c r="D4614" t="s">
        <v>4085</v>
      </c>
      <c r="E4614">
        <v>6</v>
      </c>
      <c r="F4614" s="6">
        <v>700</v>
      </c>
      <c r="G4614" t="s">
        <v>10211</v>
      </c>
    </row>
    <row r="4615" spans="1:7">
      <c r="A4615" t="s">
        <v>10214</v>
      </c>
      <c r="B4615" t="s">
        <v>10215</v>
      </c>
      <c r="C4615" t="s">
        <v>4084</v>
      </c>
      <c r="D4615" t="s">
        <v>4085</v>
      </c>
      <c r="E4615">
        <v>6</v>
      </c>
      <c r="F4615" s="6">
        <v>700</v>
      </c>
      <c r="G4615" t="s">
        <v>10211</v>
      </c>
    </row>
    <row r="4616" spans="1:7">
      <c r="A4616" t="s">
        <v>10216</v>
      </c>
      <c r="B4616" t="s">
        <v>4473</v>
      </c>
      <c r="C4616" t="s">
        <v>4474</v>
      </c>
      <c r="D4616" t="s">
        <v>4475</v>
      </c>
      <c r="E4616">
        <v>6</v>
      </c>
      <c r="F4616" s="6">
        <v>750</v>
      </c>
      <c r="G4616" t="s">
        <v>4291</v>
      </c>
    </row>
    <row r="4617" spans="1:7">
      <c r="A4617" t="s">
        <v>10217</v>
      </c>
      <c r="B4617" t="s">
        <v>10218</v>
      </c>
      <c r="C4617" t="s">
        <v>4436</v>
      </c>
      <c r="D4617" t="s">
        <v>4437</v>
      </c>
      <c r="E4617">
        <v>6</v>
      </c>
      <c r="F4617" s="6">
        <v>750</v>
      </c>
      <c r="G4617" t="s">
        <v>5475</v>
      </c>
    </row>
    <row r="4618" spans="1:7">
      <c r="A4618" t="s">
        <v>10219</v>
      </c>
      <c r="B4618" t="s">
        <v>10220</v>
      </c>
      <c r="C4618" t="s">
        <v>10161</v>
      </c>
      <c r="D4618" t="s">
        <v>6443</v>
      </c>
      <c r="E4618">
        <v>12</v>
      </c>
      <c r="F4618" s="6">
        <v>700</v>
      </c>
      <c r="G4618" t="s">
        <v>3802</v>
      </c>
    </row>
    <row r="4619" spans="1:7">
      <c r="A4619" t="s">
        <v>10221</v>
      </c>
      <c r="B4619" t="s">
        <v>10222</v>
      </c>
      <c r="C4619" t="s">
        <v>3708</v>
      </c>
      <c r="D4619" t="s">
        <v>3709</v>
      </c>
      <c r="E4619">
        <v>6</v>
      </c>
      <c r="F4619" s="6">
        <v>750</v>
      </c>
      <c r="G4619" t="s">
        <v>10000</v>
      </c>
    </row>
    <row r="4620" spans="1:7">
      <c r="A4620" t="s">
        <v>10223</v>
      </c>
      <c r="B4620" t="s">
        <v>10224</v>
      </c>
      <c r="C4620" t="s">
        <v>3708</v>
      </c>
      <c r="D4620" t="s">
        <v>3709</v>
      </c>
      <c r="E4620">
        <v>6</v>
      </c>
      <c r="F4620" s="6">
        <v>750</v>
      </c>
      <c r="G4620" t="s">
        <v>10000</v>
      </c>
    </row>
    <row r="4621" spans="1:7">
      <c r="A4621" t="s">
        <v>10225</v>
      </c>
      <c r="B4621" t="s">
        <v>10226</v>
      </c>
      <c r="C4621" t="s">
        <v>3708</v>
      </c>
      <c r="D4621" t="s">
        <v>3709</v>
      </c>
      <c r="E4621">
        <v>6</v>
      </c>
      <c r="F4621" s="6">
        <v>750</v>
      </c>
      <c r="G4621" t="s">
        <v>10000</v>
      </c>
    </row>
    <row r="4622" spans="1:7">
      <c r="A4622" t="s">
        <v>10227</v>
      </c>
      <c r="B4622" t="s">
        <v>10228</v>
      </c>
      <c r="C4622" t="s">
        <v>4084</v>
      </c>
      <c r="D4622" t="s">
        <v>4085</v>
      </c>
      <c r="E4622">
        <v>6</v>
      </c>
      <c r="F4622" s="6">
        <v>700</v>
      </c>
      <c r="G4622" t="s">
        <v>10182</v>
      </c>
    </row>
    <row r="4623" spans="1:7">
      <c r="A4623" t="s">
        <v>10229</v>
      </c>
      <c r="B4623" t="s">
        <v>10230</v>
      </c>
      <c r="C4623" t="s">
        <v>3684</v>
      </c>
      <c r="D4623" t="s">
        <v>3685</v>
      </c>
      <c r="E4623">
        <v>6</v>
      </c>
      <c r="F4623" s="6">
        <v>700</v>
      </c>
      <c r="G4623" t="s">
        <v>10182</v>
      </c>
    </row>
    <row r="4624" spans="1:7">
      <c r="A4624" t="s">
        <v>10231</v>
      </c>
      <c r="B4624" t="s">
        <v>10232</v>
      </c>
      <c r="C4624" t="s">
        <v>4084</v>
      </c>
      <c r="D4624" t="s">
        <v>4085</v>
      </c>
      <c r="E4624">
        <v>6</v>
      </c>
      <c r="F4624" s="6">
        <v>750</v>
      </c>
      <c r="G4624" t="s">
        <v>9715</v>
      </c>
    </row>
    <row r="4625" spans="1:7">
      <c r="A4625" t="s">
        <v>10233</v>
      </c>
      <c r="B4625" t="s">
        <v>10234</v>
      </c>
      <c r="C4625" t="s">
        <v>3708</v>
      </c>
      <c r="D4625" t="s">
        <v>3709</v>
      </c>
      <c r="E4625">
        <v>6</v>
      </c>
      <c r="F4625" s="6">
        <v>700</v>
      </c>
      <c r="G4625" t="s">
        <v>9803</v>
      </c>
    </row>
    <row r="4626" spans="1:7">
      <c r="A4626" t="s">
        <v>10235</v>
      </c>
      <c r="B4626" t="s">
        <v>10236</v>
      </c>
      <c r="C4626" t="s">
        <v>3708</v>
      </c>
      <c r="D4626" t="s">
        <v>3709</v>
      </c>
      <c r="E4626">
        <v>3</v>
      </c>
      <c r="F4626" s="6">
        <v>700</v>
      </c>
      <c r="G4626" t="s">
        <v>9803</v>
      </c>
    </row>
    <row r="4627" spans="1:7">
      <c r="A4627" t="s">
        <v>10237</v>
      </c>
      <c r="B4627" t="s">
        <v>10238</v>
      </c>
      <c r="C4627" t="s">
        <v>3708</v>
      </c>
      <c r="D4627" t="s">
        <v>3709</v>
      </c>
      <c r="E4627">
        <v>3</v>
      </c>
      <c r="F4627" s="6">
        <v>700</v>
      </c>
      <c r="G4627" t="s">
        <v>9803</v>
      </c>
    </row>
    <row r="4628" spans="1:7">
      <c r="A4628" t="s">
        <v>10239</v>
      </c>
      <c r="B4628" t="s">
        <v>10240</v>
      </c>
      <c r="C4628" t="s">
        <v>3708</v>
      </c>
      <c r="D4628" t="s">
        <v>3709</v>
      </c>
      <c r="E4628">
        <v>6</v>
      </c>
      <c r="F4628" s="6">
        <v>750</v>
      </c>
      <c r="G4628" t="s">
        <v>3802</v>
      </c>
    </row>
    <row r="4629" spans="1:7">
      <c r="A4629" t="s">
        <v>10241</v>
      </c>
      <c r="B4629" t="s">
        <v>10242</v>
      </c>
      <c r="C4629" t="s">
        <v>3708</v>
      </c>
      <c r="D4629" t="s">
        <v>3709</v>
      </c>
      <c r="E4629">
        <v>6</v>
      </c>
      <c r="F4629" s="6">
        <v>750</v>
      </c>
      <c r="G4629" t="s">
        <v>3802</v>
      </c>
    </row>
    <row r="4630" spans="1:7">
      <c r="A4630" t="s">
        <v>1037</v>
      </c>
      <c r="B4630" t="s">
        <v>10243</v>
      </c>
      <c r="C4630" t="s">
        <v>4436</v>
      </c>
      <c r="D4630" t="s">
        <v>4437</v>
      </c>
      <c r="E4630">
        <v>3</v>
      </c>
      <c r="F4630" s="6">
        <v>750</v>
      </c>
      <c r="G4630" t="s">
        <v>3931</v>
      </c>
    </row>
    <row r="4631" spans="1:7">
      <c r="A4631" t="s">
        <v>10244</v>
      </c>
      <c r="B4631" t="s">
        <v>10245</v>
      </c>
      <c r="C4631" t="s">
        <v>4084</v>
      </c>
      <c r="D4631" t="s">
        <v>4085</v>
      </c>
      <c r="E4631">
        <v>6</v>
      </c>
      <c r="F4631" s="6">
        <v>750</v>
      </c>
      <c r="G4631" t="s">
        <v>9715</v>
      </c>
    </row>
    <row r="4632" spans="1:7">
      <c r="A4632" t="s">
        <v>10246</v>
      </c>
      <c r="B4632" t="s">
        <v>10247</v>
      </c>
      <c r="C4632" t="s">
        <v>3928</v>
      </c>
      <c r="D4632" t="s">
        <v>3929</v>
      </c>
      <c r="E4632">
        <v>6</v>
      </c>
      <c r="F4632" s="6">
        <v>1750</v>
      </c>
      <c r="G4632" t="s">
        <v>3694</v>
      </c>
    </row>
    <row r="4633" spans="1:7">
      <c r="A4633" t="s">
        <v>10248</v>
      </c>
      <c r="B4633" t="s">
        <v>10249</v>
      </c>
      <c r="C4633" t="s">
        <v>4436</v>
      </c>
      <c r="D4633" t="s">
        <v>4437</v>
      </c>
      <c r="E4633">
        <v>6</v>
      </c>
      <c r="F4633" s="6">
        <v>750</v>
      </c>
      <c r="G4633" t="s">
        <v>4291</v>
      </c>
    </row>
    <row r="4634" spans="1:7">
      <c r="A4634" t="s">
        <v>10250</v>
      </c>
      <c r="B4634" t="s">
        <v>10251</v>
      </c>
      <c r="C4634" t="s">
        <v>3928</v>
      </c>
      <c r="D4634" t="s">
        <v>3929</v>
      </c>
      <c r="E4634">
        <v>6</v>
      </c>
      <c r="F4634" s="6">
        <v>750</v>
      </c>
      <c r="G4634" t="s">
        <v>3686</v>
      </c>
    </row>
    <row r="4635" spans="1:7">
      <c r="A4635" t="s">
        <v>10252</v>
      </c>
      <c r="B4635" t="s">
        <v>10253</v>
      </c>
      <c r="C4635" t="s">
        <v>4436</v>
      </c>
      <c r="D4635" t="s">
        <v>4437</v>
      </c>
      <c r="E4635">
        <v>12</v>
      </c>
      <c r="F4635" s="6">
        <v>1000</v>
      </c>
      <c r="G4635" t="s">
        <v>3686</v>
      </c>
    </row>
    <row r="4636" spans="1:7">
      <c r="A4636" t="s">
        <v>10254</v>
      </c>
      <c r="B4636" t="s">
        <v>10255</v>
      </c>
      <c r="C4636" t="s">
        <v>4436</v>
      </c>
      <c r="D4636" t="s">
        <v>4437</v>
      </c>
      <c r="E4636">
        <v>6</v>
      </c>
      <c r="F4636" s="6">
        <v>750</v>
      </c>
      <c r="G4636" t="s">
        <v>4919</v>
      </c>
    </row>
    <row r="4637" spans="1:7">
      <c r="A4637" t="s">
        <v>10256</v>
      </c>
      <c r="B4637" t="s">
        <v>10257</v>
      </c>
      <c r="C4637" t="s">
        <v>4436</v>
      </c>
      <c r="D4637" t="s">
        <v>4437</v>
      </c>
      <c r="E4637">
        <v>6</v>
      </c>
      <c r="F4637" s="6">
        <v>750</v>
      </c>
      <c r="G4637" t="s">
        <v>3686</v>
      </c>
    </row>
    <row r="4638" spans="1:7">
      <c r="A4638" t="s">
        <v>10258</v>
      </c>
      <c r="B4638" t="s">
        <v>10259</v>
      </c>
      <c r="C4638" t="s">
        <v>4436</v>
      </c>
      <c r="D4638" t="s">
        <v>4437</v>
      </c>
      <c r="E4638">
        <v>6</v>
      </c>
      <c r="F4638" s="6">
        <v>750</v>
      </c>
      <c r="G4638" t="s">
        <v>9366</v>
      </c>
    </row>
    <row r="4639" spans="1:7">
      <c r="A4639" t="s">
        <v>10260</v>
      </c>
      <c r="B4639" t="s">
        <v>10261</v>
      </c>
      <c r="C4639" t="s">
        <v>3928</v>
      </c>
      <c r="D4639" t="s">
        <v>3929</v>
      </c>
      <c r="E4639">
        <v>12</v>
      </c>
      <c r="F4639" s="6">
        <v>750</v>
      </c>
      <c r="G4639" t="s">
        <v>3871</v>
      </c>
    </row>
    <row r="4640" spans="1:7">
      <c r="A4640" t="s">
        <v>10262</v>
      </c>
      <c r="B4640" t="s">
        <v>10263</v>
      </c>
      <c r="C4640" t="s">
        <v>3808</v>
      </c>
      <c r="D4640" t="s">
        <v>3809</v>
      </c>
      <c r="E4640">
        <v>3</v>
      </c>
      <c r="F4640" s="6">
        <v>750</v>
      </c>
      <c r="G4640" t="s">
        <v>3705</v>
      </c>
    </row>
    <row r="4641" spans="1:7">
      <c r="A4641" t="s">
        <v>10264</v>
      </c>
      <c r="B4641" t="s">
        <v>4524</v>
      </c>
      <c r="C4641" t="s">
        <v>3928</v>
      </c>
      <c r="D4641" t="s">
        <v>3929</v>
      </c>
      <c r="E4641">
        <v>6</v>
      </c>
      <c r="F4641" s="6">
        <v>750</v>
      </c>
      <c r="G4641" t="s">
        <v>4344</v>
      </c>
    </row>
    <row r="4642" spans="1:7">
      <c r="A4642" t="s">
        <v>10265</v>
      </c>
      <c r="B4642" t="s">
        <v>10266</v>
      </c>
      <c r="C4642" t="s">
        <v>3928</v>
      </c>
      <c r="D4642" t="s">
        <v>3929</v>
      </c>
      <c r="E4642">
        <v>12</v>
      </c>
      <c r="F4642" s="6">
        <v>750</v>
      </c>
      <c r="G4642" t="s">
        <v>4225</v>
      </c>
    </row>
    <row r="4643" spans="1:7">
      <c r="A4643" t="s">
        <v>10267</v>
      </c>
      <c r="B4643" t="s">
        <v>10268</v>
      </c>
      <c r="C4643" t="s">
        <v>3928</v>
      </c>
      <c r="D4643" t="s">
        <v>3929</v>
      </c>
      <c r="E4643">
        <v>6</v>
      </c>
      <c r="F4643" s="6">
        <v>750</v>
      </c>
      <c r="G4643" t="s">
        <v>4225</v>
      </c>
    </row>
    <row r="4644" spans="1:7">
      <c r="A4644" t="s">
        <v>10269</v>
      </c>
      <c r="B4644" t="s">
        <v>10270</v>
      </c>
      <c r="C4644" t="s">
        <v>3928</v>
      </c>
      <c r="D4644" t="s">
        <v>3929</v>
      </c>
      <c r="E4644">
        <v>6</v>
      </c>
      <c r="F4644" s="6">
        <v>750</v>
      </c>
      <c r="G4644" t="s">
        <v>4225</v>
      </c>
    </row>
    <row r="4645" spans="1:7">
      <c r="A4645" t="s">
        <v>10271</v>
      </c>
      <c r="B4645" t="s">
        <v>10272</v>
      </c>
      <c r="C4645" t="s">
        <v>3928</v>
      </c>
      <c r="D4645" t="s">
        <v>3929</v>
      </c>
      <c r="E4645">
        <v>6</v>
      </c>
      <c r="F4645" s="6">
        <v>750</v>
      </c>
      <c r="G4645" t="s">
        <v>4225</v>
      </c>
    </row>
    <row r="4646" spans="1:7">
      <c r="A4646" t="s">
        <v>10273</v>
      </c>
      <c r="B4646" t="s">
        <v>10274</v>
      </c>
      <c r="C4646" t="s">
        <v>3928</v>
      </c>
      <c r="D4646" t="s">
        <v>3929</v>
      </c>
      <c r="E4646">
        <v>6</v>
      </c>
      <c r="F4646" s="6">
        <v>750</v>
      </c>
      <c r="G4646" t="s">
        <v>3702</v>
      </c>
    </row>
    <row r="4647" spans="1:7">
      <c r="A4647" t="s">
        <v>10275</v>
      </c>
      <c r="B4647" t="s">
        <v>10276</v>
      </c>
      <c r="C4647" t="s">
        <v>3808</v>
      </c>
      <c r="D4647" t="s">
        <v>3809</v>
      </c>
      <c r="E4647">
        <v>6</v>
      </c>
      <c r="F4647" s="6">
        <v>750</v>
      </c>
      <c r="G4647" t="s">
        <v>3702</v>
      </c>
    </row>
    <row r="4648" spans="1:7">
      <c r="A4648" t="s">
        <v>10277</v>
      </c>
      <c r="B4648" t="s">
        <v>10278</v>
      </c>
      <c r="C4648" t="s">
        <v>3928</v>
      </c>
      <c r="D4648" t="s">
        <v>3929</v>
      </c>
      <c r="E4648">
        <v>6</v>
      </c>
      <c r="F4648" s="6">
        <v>750</v>
      </c>
      <c r="G4648" t="s">
        <v>3702</v>
      </c>
    </row>
    <row r="4649" spans="1:7">
      <c r="A4649" t="s">
        <v>10279</v>
      </c>
      <c r="B4649" t="s">
        <v>10280</v>
      </c>
      <c r="C4649" t="s">
        <v>3928</v>
      </c>
      <c r="D4649" t="s">
        <v>3929</v>
      </c>
      <c r="E4649">
        <v>6</v>
      </c>
      <c r="F4649" s="6">
        <v>750</v>
      </c>
      <c r="G4649" t="s">
        <v>3702</v>
      </c>
    </row>
    <row r="4650" spans="1:7">
      <c r="A4650" t="s">
        <v>10281</v>
      </c>
      <c r="B4650" t="s">
        <v>10282</v>
      </c>
      <c r="C4650" t="s">
        <v>3928</v>
      </c>
      <c r="D4650" t="s">
        <v>3929</v>
      </c>
      <c r="E4650">
        <v>6</v>
      </c>
      <c r="F4650" s="6">
        <v>750</v>
      </c>
      <c r="G4650" t="s">
        <v>3702</v>
      </c>
    </row>
    <row r="4651" spans="1:7">
      <c r="A4651" t="s">
        <v>10283</v>
      </c>
      <c r="B4651" t="s">
        <v>10284</v>
      </c>
      <c r="C4651" t="s">
        <v>3928</v>
      </c>
      <c r="D4651" t="s">
        <v>3929</v>
      </c>
      <c r="E4651">
        <v>6</v>
      </c>
      <c r="F4651" s="6">
        <v>750</v>
      </c>
      <c r="G4651" t="s">
        <v>3702</v>
      </c>
    </row>
    <row r="4652" spans="1:7">
      <c r="A4652" t="s">
        <v>10285</v>
      </c>
      <c r="B4652" t="s">
        <v>10286</v>
      </c>
      <c r="C4652" t="s">
        <v>3928</v>
      </c>
      <c r="D4652" t="s">
        <v>3929</v>
      </c>
      <c r="E4652">
        <v>6</v>
      </c>
      <c r="F4652" s="6">
        <v>750</v>
      </c>
      <c r="G4652" t="s">
        <v>3702</v>
      </c>
    </row>
    <row r="4653" spans="1:7">
      <c r="A4653" t="s">
        <v>614</v>
      </c>
      <c r="B4653" t="s">
        <v>10287</v>
      </c>
      <c r="C4653" t="s">
        <v>3928</v>
      </c>
      <c r="D4653" t="s">
        <v>3929</v>
      </c>
      <c r="E4653">
        <v>6</v>
      </c>
      <c r="F4653" s="6">
        <v>750</v>
      </c>
      <c r="G4653" t="s">
        <v>3686</v>
      </c>
    </row>
    <row r="4654" spans="1:7">
      <c r="A4654" t="s">
        <v>10288</v>
      </c>
      <c r="B4654" t="s">
        <v>10289</v>
      </c>
      <c r="C4654" t="s">
        <v>3928</v>
      </c>
      <c r="D4654" t="s">
        <v>3929</v>
      </c>
      <c r="E4654">
        <v>6</v>
      </c>
      <c r="F4654" s="6">
        <v>750</v>
      </c>
      <c r="G4654" t="s">
        <v>10290</v>
      </c>
    </row>
    <row r="4655" spans="1:7">
      <c r="A4655" t="s">
        <v>10291</v>
      </c>
      <c r="B4655" t="s">
        <v>10292</v>
      </c>
      <c r="C4655" t="s">
        <v>3928</v>
      </c>
      <c r="D4655" t="s">
        <v>3929</v>
      </c>
      <c r="E4655">
        <v>6</v>
      </c>
      <c r="F4655" s="6">
        <v>750</v>
      </c>
      <c r="G4655" t="s">
        <v>3686</v>
      </c>
    </row>
    <row r="4656" spans="1:7">
      <c r="A4656" t="s">
        <v>10293</v>
      </c>
      <c r="B4656" t="s">
        <v>10294</v>
      </c>
      <c r="C4656" t="s">
        <v>3928</v>
      </c>
      <c r="D4656" t="s">
        <v>3929</v>
      </c>
      <c r="E4656">
        <v>6</v>
      </c>
      <c r="F4656" s="6">
        <v>750</v>
      </c>
      <c r="G4656" t="s">
        <v>3686</v>
      </c>
    </row>
    <row r="4657" spans="1:7">
      <c r="A4657" t="s">
        <v>1843</v>
      </c>
      <c r="B4657" t="s">
        <v>10295</v>
      </c>
      <c r="C4657" t="s">
        <v>3928</v>
      </c>
      <c r="D4657" t="s">
        <v>3929</v>
      </c>
      <c r="E4657">
        <v>3</v>
      </c>
      <c r="F4657" s="6">
        <v>750</v>
      </c>
      <c r="G4657" t="s">
        <v>4781</v>
      </c>
    </row>
    <row r="4658" spans="1:7">
      <c r="A4658" t="s">
        <v>10296</v>
      </c>
      <c r="B4658" t="s">
        <v>4559</v>
      </c>
      <c r="C4658" t="s">
        <v>3928</v>
      </c>
      <c r="D4658" t="s">
        <v>3929</v>
      </c>
      <c r="E4658">
        <v>12</v>
      </c>
      <c r="F4658" s="6">
        <v>50</v>
      </c>
      <c r="G4658" t="s">
        <v>3730</v>
      </c>
    </row>
    <row r="4659" spans="1:7">
      <c r="A4659" t="s">
        <v>10297</v>
      </c>
      <c r="B4659" t="s">
        <v>10298</v>
      </c>
      <c r="C4659" t="s">
        <v>9319</v>
      </c>
      <c r="D4659" t="s">
        <v>9320</v>
      </c>
      <c r="E4659">
        <v>6</v>
      </c>
      <c r="F4659" s="6">
        <v>750</v>
      </c>
      <c r="G4659" t="s">
        <v>10290</v>
      </c>
    </row>
    <row r="4660" spans="1:7">
      <c r="A4660" t="s">
        <v>10299</v>
      </c>
      <c r="B4660" t="s">
        <v>10300</v>
      </c>
      <c r="C4660" t="s">
        <v>3928</v>
      </c>
      <c r="D4660" t="s">
        <v>3929</v>
      </c>
      <c r="E4660">
        <v>6</v>
      </c>
      <c r="F4660" s="6">
        <v>750</v>
      </c>
      <c r="G4660" t="s">
        <v>3802</v>
      </c>
    </row>
    <row r="4661" spans="1:7">
      <c r="A4661" t="s">
        <v>10301</v>
      </c>
      <c r="B4661" t="s">
        <v>10302</v>
      </c>
      <c r="C4661" t="s">
        <v>3928</v>
      </c>
      <c r="D4661" t="s">
        <v>3929</v>
      </c>
      <c r="E4661">
        <v>6</v>
      </c>
      <c r="F4661" s="6">
        <v>750</v>
      </c>
      <c r="G4661" t="s">
        <v>4566</v>
      </c>
    </row>
    <row r="4662" spans="1:7">
      <c r="A4662" t="s">
        <v>3033</v>
      </c>
      <c r="B4662" t="s">
        <v>10303</v>
      </c>
      <c r="C4662" t="s">
        <v>3928</v>
      </c>
      <c r="D4662" t="s">
        <v>3929</v>
      </c>
      <c r="E4662">
        <v>6</v>
      </c>
      <c r="F4662" s="6">
        <v>750</v>
      </c>
      <c r="G4662" t="s">
        <v>3781</v>
      </c>
    </row>
    <row r="4663" spans="1:7">
      <c r="A4663" t="s">
        <v>10304</v>
      </c>
      <c r="B4663" t="s">
        <v>10305</v>
      </c>
      <c r="C4663" t="s">
        <v>4436</v>
      </c>
      <c r="D4663" t="s">
        <v>4437</v>
      </c>
      <c r="E4663">
        <v>6</v>
      </c>
      <c r="F4663" s="6">
        <v>750</v>
      </c>
      <c r="G4663" t="s">
        <v>3781</v>
      </c>
    </row>
    <row r="4664" spans="1:7">
      <c r="A4664" t="s">
        <v>10306</v>
      </c>
      <c r="B4664" t="s">
        <v>10307</v>
      </c>
      <c r="C4664" t="s">
        <v>3928</v>
      </c>
      <c r="D4664" t="s">
        <v>3929</v>
      </c>
      <c r="E4664">
        <v>6</v>
      </c>
      <c r="F4664" s="6">
        <v>750</v>
      </c>
      <c r="G4664" t="s">
        <v>4581</v>
      </c>
    </row>
    <row r="4665" spans="1:7">
      <c r="A4665" t="s">
        <v>10308</v>
      </c>
      <c r="B4665" t="s">
        <v>10309</v>
      </c>
      <c r="C4665" t="s">
        <v>3708</v>
      </c>
      <c r="D4665" t="s">
        <v>3709</v>
      </c>
      <c r="E4665">
        <v>6</v>
      </c>
      <c r="F4665" s="6">
        <v>750</v>
      </c>
      <c r="G4665" t="s">
        <v>3802</v>
      </c>
    </row>
    <row r="4666" spans="1:7">
      <c r="A4666" t="s">
        <v>10310</v>
      </c>
      <c r="B4666" t="s">
        <v>10311</v>
      </c>
      <c r="C4666" t="s">
        <v>4452</v>
      </c>
      <c r="D4666" t="s">
        <v>4453</v>
      </c>
      <c r="E4666">
        <v>6</v>
      </c>
      <c r="F4666" s="6">
        <v>750</v>
      </c>
      <c r="G4666" t="s">
        <v>3802</v>
      </c>
    </row>
    <row r="4667" spans="1:7">
      <c r="A4667" t="s">
        <v>10312</v>
      </c>
      <c r="B4667" t="s">
        <v>10313</v>
      </c>
      <c r="C4667" t="s">
        <v>3708</v>
      </c>
      <c r="D4667" t="s">
        <v>3709</v>
      </c>
      <c r="E4667">
        <v>6</v>
      </c>
      <c r="F4667" s="6">
        <v>750</v>
      </c>
      <c r="G4667" t="s">
        <v>3802</v>
      </c>
    </row>
    <row r="4668" spans="1:7">
      <c r="A4668" t="s">
        <v>10314</v>
      </c>
      <c r="B4668" t="s">
        <v>10315</v>
      </c>
      <c r="C4668" t="s">
        <v>3808</v>
      </c>
      <c r="D4668" t="s">
        <v>3809</v>
      </c>
      <c r="E4668">
        <v>6</v>
      </c>
      <c r="F4668" s="6">
        <v>750</v>
      </c>
      <c r="G4668" t="s">
        <v>3702</v>
      </c>
    </row>
    <row r="4669" spans="1:7">
      <c r="A4669" t="s">
        <v>10316</v>
      </c>
      <c r="B4669" t="s">
        <v>10317</v>
      </c>
      <c r="C4669" t="s">
        <v>3928</v>
      </c>
      <c r="D4669" t="s">
        <v>3929</v>
      </c>
      <c r="E4669">
        <v>6</v>
      </c>
      <c r="F4669" s="6">
        <v>750</v>
      </c>
      <c r="G4669" t="s">
        <v>3694</v>
      </c>
    </row>
    <row r="4670" spans="1:7">
      <c r="A4670" t="s">
        <v>10318</v>
      </c>
      <c r="B4670" t="s">
        <v>10319</v>
      </c>
      <c r="C4670" t="s">
        <v>3708</v>
      </c>
      <c r="D4670" t="s">
        <v>3709</v>
      </c>
      <c r="E4670">
        <v>6</v>
      </c>
      <c r="F4670" s="6">
        <v>750</v>
      </c>
      <c r="G4670" t="s">
        <v>3702</v>
      </c>
    </row>
    <row r="4671" spans="1:7">
      <c r="A4671" t="s">
        <v>10320</v>
      </c>
      <c r="B4671" t="s">
        <v>4599</v>
      </c>
      <c r="C4671" t="s">
        <v>3928</v>
      </c>
      <c r="D4671" t="s">
        <v>3929</v>
      </c>
      <c r="E4671">
        <v>6</v>
      </c>
      <c r="F4671" s="6">
        <v>750</v>
      </c>
      <c r="G4671" t="s">
        <v>4163</v>
      </c>
    </row>
    <row r="4672" spans="1:7">
      <c r="A4672" t="s">
        <v>10321</v>
      </c>
      <c r="B4672" t="s">
        <v>10322</v>
      </c>
      <c r="C4672" t="s">
        <v>4244</v>
      </c>
      <c r="D4672" t="s">
        <v>4245</v>
      </c>
      <c r="E4672">
        <v>6</v>
      </c>
      <c r="F4672" s="6">
        <v>750</v>
      </c>
      <c r="G4672" t="s">
        <v>3702</v>
      </c>
    </row>
    <row r="4673" spans="1:7">
      <c r="A4673" t="s">
        <v>10323</v>
      </c>
      <c r="B4673" t="s">
        <v>10324</v>
      </c>
      <c r="C4673" t="s">
        <v>3808</v>
      </c>
      <c r="D4673" t="s">
        <v>3809</v>
      </c>
      <c r="E4673">
        <v>6</v>
      </c>
      <c r="F4673" s="6">
        <v>750</v>
      </c>
      <c r="G4673" t="s">
        <v>10325</v>
      </c>
    </row>
    <row r="4674" spans="1:7">
      <c r="A4674" t="s">
        <v>10326</v>
      </c>
      <c r="B4674" t="s">
        <v>10327</v>
      </c>
      <c r="C4674" t="s">
        <v>3928</v>
      </c>
      <c r="D4674" t="s">
        <v>3929</v>
      </c>
      <c r="E4674">
        <v>6</v>
      </c>
      <c r="F4674" s="6">
        <v>750</v>
      </c>
      <c r="G4674" t="s">
        <v>4163</v>
      </c>
    </row>
    <row r="4675" spans="1:7">
      <c r="A4675" t="s">
        <v>10328</v>
      </c>
      <c r="B4675" t="s">
        <v>10329</v>
      </c>
      <c r="C4675" t="s">
        <v>3928</v>
      </c>
      <c r="D4675" t="s">
        <v>3929</v>
      </c>
      <c r="E4675">
        <v>6</v>
      </c>
      <c r="F4675" s="6">
        <v>750</v>
      </c>
      <c r="G4675" t="s">
        <v>4163</v>
      </c>
    </row>
    <row r="4676" spans="1:7">
      <c r="A4676" t="s">
        <v>10330</v>
      </c>
      <c r="B4676" t="s">
        <v>10331</v>
      </c>
      <c r="C4676" t="s">
        <v>3928</v>
      </c>
      <c r="D4676" t="s">
        <v>3929</v>
      </c>
      <c r="E4676">
        <v>6</v>
      </c>
      <c r="F4676" s="6">
        <v>750</v>
      </c>
      <c r="G4676" t="s">
        <v>4163</v>
      </c>
    </row>
    <row r="4677" spans="1:7">
      <c r="A4677" t="s">
        <v>10332</v>
      </c>
      <c r="B4677" t="s">
        <v>10333</v>
      </c>
      <c r="C4677" t="s">
        <v>3928</v>
      </c>
      <c r="D4677" t="s">
        <v>3929</v>
      </c>
      <c r="E4677">
        <v>6</v>
      </c>
      <c r="F4677" s="6">
        <v>750</v>
      </c>
      <c r="G4677" t="s">
        <v>3686</v>
      </c>
    </row>
    <row r="4678" spans="1:7">
      <c r="A4678" t="s">
        <v>10334</v>
      </c>
      <c r="B4678" t="s">
        <v>4600</v>
      </c>
      <c r="C4678" t="s">
        <v>3928</v>
      </c>
      <c r="D4678" t="s">
        <v>3929</v>
      </c>
      <c r="E4678">
        <v>12</v>
      </c>
      <c r="F4678" s="6">
        <v>375</v>
      </c>
      <c r="G4678" t="s">
        <v>4601</v>
      </c>
    </row>
    <row r="4679" spans="1:7">
      <c r="A4679" t="s">
        <v>10335</v>
      </c>
      <c r="B4679" t="s">
        <v>4600</v>
      </c>
      <c r="C4679" t="s">
        <v>3928</v>
      </c>
      <c r="D4679" t="s">
        <v>3929</v>
      </c>
      <c r="E4679">
        <v>12</v>
      </c>
      <c r="F4679" s="6">
        <v>750</v>
      </c>
      <c r="G4679" t="s">
        <v>4601</v>
      </c>
    </row>
    <row r="4680" spans="1:7">
      <c r="A4680" t="s">
        <v>10336</v>
      </c>
      <c r="B4680" t="s">
        <v>10337</v>
      </c>
      <c r="C4680" t="s">
        <v>3928</v>
      </c>
      <c r="D4680" t="s">
        <v>3929</v>
      </c>
      <c r="E4680">
        <v>1</v>
      </c>
      <c r="F4680" s="6">
        <v>750</v>
      </c>
      <c r="G4680" t="s">
        <v>3686</v>
      </c>
    </row>
    <row r="4681" spans="1:7">
      <c r="A4681" t="s">
        <v>2218</v>
      </c>
      <c r="B4681" t="s">
        <v>10338</v>
      </c>
      <c r="C4681" t="s">
        <v>4452</v>
      </c>
      <c r="D4681" t="s">
        <v>4453</v>
      </c>
      <c r="E4681">
        <v>6</v>
      </c>
      <c r="F4681" s="6">
        <v>750</v>
      </c>
      <c r="G4681" t="s">
        <v>3686</v>
      </c>
    </row>
    <row r="4682" spans="1:7">
      <c r="A4682" t="s">
        <v>10339</v>
      </c>
      <c r="B4682" t="s">
        <v>10340</v>
      </c>
      <c r="C4682" t="s">
        <v>3928</v>
      </c>
      <c r="D4682" t="s">
        <v>3929</v>
      </c>
      <c r="E4682">
        <v>6</v>
      </c>
      <c r="F4682" s="6">
        <v>750</v>
      </c>
      <c r="G4682" t="s">
        <v>3686</v>
      </c>
    </row>
    <row r="4683" spans="1:7">
      <c r="A4683" t="s">
        <v>10341</v>
      </c>
      <c r="B4683" t="s">
        <v>10342</v>
      </c>
      <c r="C4683" t="s">
        <v>3928</v>
      </c>
      <c r="D4683" t="s">
        <v>3929</v>
      </c>
      <c r="E4683">
        <v>3</v>
      </c>
      <c r="F4683" s="6">
        <v>750</v>
      </c>
      <c r="G4683" t="s">
        <v>3686</v>
      </c>
    </row>
    <row r="4684" spans="1:7">
      <c r="A4684" t="s">
        <v>10343</v>
      </c>
      <c r="B4684" t="s">
        <v>10344</v>
      </c>
      <c r="C4684" t="s">
        <v>3928</v>
      </c>
      <c r="D4684" t="s">
        <v>3929</v>
      </c>
      <c r="E4684">
        <v>12</v>
      </c>
      <c r="F4684" s="6">
        <v>750</v>
      </c>
      <c r="G4684" t="s">
        <v>3931</v>
      </c>
    </row>
    <row r="4685" spans="1:7">
      <c r="A4685" t="s">
        <v>10345</v>
      </c>
      <c r="B4685" t="s">
        <v>10346</v>
      </c>
      <c r="C4685" t="s">
        <v>3928</v>
      </c>
      <c r="D4685" t="s">
        <v>3929</v>
      </c>
      <c r="E4685">
        <v>12</v>
      </c>
      <c r="F4685" s="6">
        <v>750</v>
      </c>
      <c r="G4685" t="s">
        <v>3931</v>
      </c>
    </row>
    <row r="4686" spans="1:7">
      <c r="A4686" t="s">
        <v>10347</v>
      </c>
      <c r="B4686" t="s">
        <v>10348</v>
      </c>
      <c r="C4686" t="s">
        <v>3928</v>
      </c>
      <c r="D4686" t="s">
        <v>3929</v>
      </c>
      <c r="E4686">
        <v>12</v>
      </c>
      <c r="F4686" s="6">
        <v>750</v>
      </c>
      <c r="G4686" t="s">
        <v>3931</v>
      </c>
    </row>
    <row r="4687" spans="1:7">
      <c r="A4687" t="s">
        <v>2877</v>
      </c>
      <c r="B4687" t="s">
        <v>10349</v>
      </c>
      <c r="C4687" t="s">
        <v>4452</v>
      </c>
      <c r="D4687" t="s">
        <v>4453</v>
      </c>
      <c r="E4687">
        <v>12</v>
      </c>
      <c r="F4687" s="6">
        <v>750</v>
      </c>
      <c r="G4687" t="s">
        <v>3686</v>
      </c>
    </row>
    <row r="4688" spans="1:7">
      <c r="A4688" t="s">
        <v>10350</v>
      </c>
      <c r="B4688" t="s">
        <v>10351</v>
      </c>
      <c r="C4688" t="s">
        <v>9319</v>
      </c>
      <c r="D4688" t="s">
        <v>9320</v>
      </c>
      <c r="E4688">
        <v>12</v>
      </c>
      <c r="F4688" s="6">
        <v>750</v>
      </c>
      <c r="G4688" t="s">
        <v>3686</v>
      </c>
    </row>
    <row r="4689" spans="1:7">
      <c r="A4689" t="s">
        <v>10352</v>
      </c>
      <c r="B4689" t="s">
        <v>10351</v>
      </c>
      <c r="C4689" t="s">
        <v>3928</v>
      </c>
      <c r="D4689" t="s">
        <v>3929</v>
      </c>
      <c r="E4689">
        <v>12</v>
      </c>
      <c r="F4689" s="6">
        <v>375</v>
      </c>
      <c r="G4689" t="s">
        <v>3686</v>
      </c>
    </row>
    <row r="4690" spans="1:7">
      <c r="A4690" t="s">
        <v>890</v>
      </c>
      <c r="B4690" t="s">
        <v>10353</v>
      </c>
      <c r="C4690" t="s">
        <v>3928</v>
      </c>
      <c r="D4690" t="s">
        <v>3929</v>
      </c>
      <c r="E4690">
        <v>12</v>
      </c>
      <c r="F4690" s="6">
        <v>750</v>
      </c>
      <c r="G4690" t="s">
        <v>3686</v>
      </c>
    </row>
    <row r="4691" spans="1:7">
      <c r="A4691" t="s">
        <v>10354</v>
      </c>
      <c r="B4691" t="s">
        <v>10355</v>
      </c>
      <c r="C4691" t="s">
        <v>3928</v>
      </c>
      <c r="D4691" t="s">
        <v>3929</v>
      </c>
      <c r="E4691">
        <v>6</v>
      </c>
      <c r="F4691" s="6">
        <v>750</v>
      </c>
      <c r="G4691" t="s">
        <v>4163</v>
      </c>
    </row>
    <row r="4692" spans="1:7">
      <c r="A4692" t="s">
        <v>10356</v>
      </c>
      <c r="B4692" t="s">
        <v>10357</v>
      </c>
      <c r="C4692" t="s">
        <v>4452</v>
      </c>
      <c r="D4692" t="s">
        <v>4453</v>
      </c>
      <c r="E4692">
        <v>6</v>
      </c>
      <c r="F4692" s="6">
        <v>750</v>
      </c>
      <c r="G4692" t="s">
        <v>4163</v>
      </c>
    </row>
    <row r="4693" spans="1:7">
      <c r="A4693" t="s">
        <v>10358</v>
      </c>
      <c r="B4693" t="s">
        <v>10359</v>
      </c>
      <c r="C4693" t="s">
        <v>3928</v>
      </c>
      <c r="D4693" t="s">
        <v>3929</v>
      </c>
      <c r="E4693">
        <v>6</v>
      </c>
      <c r="F4693" s="6">
        <v>750</v>
      </c>
      <c r="G4693" t="s">
        <v>4163</v>
      </c>
    </row>
    <row r="4694" spans="1:7">
      <c r="A4694" t="s">
        <v>10360</v>
      </c>
      <c r="B4694" t="s">
        <v>10361</v>
      </c>
      <c r="C4694" t="s">
        <v>3928</v>
      </c>
      <c r="D4694" t="s">
        <v>3929</v>
      </c>
      <c r="E4694">
        <v>6</v>
      </c>
      <c r="F4694" s="6">
        <v>750</v>
      </c>
      <c r="G4694" t="s">
        <v>10362</v>
      </c>
    </row>
    <row r="4695" spans="1:7">
      <c r="A4695" t="s">
        <v>10363</v>
      </c>
      <c r="B4695" t="s">
        <v>10364</v>
      </c>
      <c r="C4695" t="s">
        <v>3928</v>
      </c>
      <c r="D4695" t="s">
        <v>3929</v>
      </c>
      <c r="E4695">
        <v>6</v>
      </c>
      <c r="F4695" s="6">
        <v>750</v>
      </c>
      <c r="G4695" t="s">
        <v>10199</v>
      </c>
    </row>
    <row r="4696" spans="1:7">
      <c r="A4696" t="s">
        <v>10365</v>
      </c>
      <c r="B4696" t="s">
        <v>10366</v>
      </c>
      <c r="C4696" t="s">
        <v>3928</v>
      </c>
      <c r="D4696" t="s">
        <v>3929</v>
      </c>
      <c r="E4696">
        <v>6</v>
      </c>
      <c r="F4696" s="6">
        <v>750</v>
      </c>
      <c r="G4696" t="s">
        <v>10199</v>
      </c>
    </row>
    <row r="4697" spans="1:7">
      <c r="A4697" t="s">
        <v>10367</v>
      </c>
      <c r="B4697" t="s">
        <v>10368</v>
      </c>
      <c r="C4697" t="s">
        <v>3928</v>
      </c>
      <c r="D4697" t="s">
        <v>3929</v>
      </c>
      <c r="E4697">
        <v>6</v>
      </c>
      <c r="F4697" s="6">
        <v>750</v>
      </c>
      <c r="G4697" t="s">
        <v>4647</v>
      </c>
    </row>
    <row r="4698" spans="1:7">
      <c r="A4698" t="s">
        <v>10369</v>
      </c>
      <c r="B4698" t="s">
        <v>10370</v>
      </c>
      <c r="C4698" t="s">
        <v>3928</v>
      </c>
      <c r="D4698" t="s">
        <v>3929</v>
      </c>
      <c r="E4698">
        <v>6</v>
      </c>
      <c r="F4698" s="6">
        <v>750</v>
      </c>
      <c r="G4698" t="s">
        <v>10371</v>
      </c>
    </row>
    <row r="4699" spans="1:7">
      <c r="A4699" t="s">
        <v>10372</v>
      </c>
      <c r="B4699" t="s">
        <v>10373</v>
      </c>
      <c r="C4699" t="s">
        <v>3928</v>
      </c>
      <c r="D4699" t="s">
        <v>3929</v>
      </c>
      <c r="E4699">
        <v>3</v>
      </c>
      <c r="F4699" s="6">
        <v>750</v>
      </c>
      <c r="G4699" t="s">
        <v>4662</v>
      </c>
    </row>
    <row r="4700" spans="1:7">
      <c r="A4700" t="s">
        <v>10374</v>
      </c>
      <c r="B4700" t="s">
        <v>10375</v>
      </c>
      <c r="C4700" t="s">
        <v>3928</v>
      </c>
      <c r="D4700" t="s">
        <v>3929</v>
      </c>
      <c r="E4700">
        <v>12</v>
      </c>
      <c r="F4700" s="6">
        <v>1000</v>
      </c>
      <c r="G4700" t="s">
        <v>4344</v>
      </c>
    </row>
    <row r="4701" spans="1:7">
      <c r="A4701" t="s">
        <v>10376</v>
      </c>
      <c r="B4701" t="s">
        <v>10377</v>
      </c>
      <c r="C4701" t="s">
        <v>4452</v>
      </c>
      <c r="D4701" t="s">
        <v>4453</v>
      </c>
      <c r="E4701">
        <v>6</v>
      </c>
      <c r="F4701" s="6">
        <v>750</v>
      </c>
      <c r="G4701" t="s">
        <v>4163</v>
      </c>
    </row>
    <row r="4702" spans="1:7">
      <c r="A4702" t="s">
        <v>10378</v>
      </c>
      <c r="B4702" t="s">
        <v>10379</v>
      </c>
      <c r="C4702" t="s">
        <v>4452</v>
      </c>
      <c r="D4702" t="s">
        <v>4453</v>
      </c>
      <c r="E4702">
        <v>3</v>
      </c>
      <c r="F4702" s="6">
        <v>750</v>
      </c>
      <c r="G4702" t="s">
        <v>3686</v>
      </c>
    </row>
    <row r="4703" spans="1:7">
      <c r="A4703" t="s">
        <v>10380</v>
      </c>
      <c r="B4703" t="s">
        <v>10381</v>
      </c>
      <c r="C4703" t="s">
        <v>3928</v>
      </c>
      <c r="D4703" t="s">
        <v>3929</v>
      </c>
      <c r="E4703">
        <v>6</v>
      </c>
      <c r="F4703" s="6">
        <v>750</v>
      </c>
      <c r="G4703" t="s">
        <v>3871</v>
      </c>
    </row>
    <row r="4704" spans="1:7">
      <c r="A4704" t="s">
        <v>10382</v>
      </c>
      <c r="B4704" t="s">
        <v>10383</v>
      </c>
      <c r="C4704" t="s">
        <v>3928</v>
      </c>
      <c r="D4704" t="s">
        <v>3929</v>
      </c>
      <c r="E4704">
        <v>6</v>
      </c>
      <c r="F4704" s="6">
        <v>700</v>
      </c>
      <c r="G4704" t="s">
        <v>3931</v>
      </c>
    </row>
    <row r="4705" spans="1:7">
      <c r="A4705" t="s">
        <v>10384</v>
      </c>
      <c r="B4705" t="s">
        <v>10385</v>
      </c>
      <c r="C4705" t="s">
        <v>3928</v>
      </c>
      <c r="D4705" t="s">
        <v>3929</v>
      </c>
      <c r="E4705">
        <v>3</v>
      </c>
      <c r="F4705" s="6">
        <v>750</v>
      </c>
      <c r="G4705" t="s">
        <v>3931</v>
      </c>
    </row>
    <row r="4706" spans="1:7">
      <c r="A4706" t="s">
        <v>10386</v>
      </c>
      <c r="B4706" t="s">
        <v>10387</v>
      </c>
      <c r="C4706" t="s">
        <v>3928</v>
      </c>
      <c r="D4706" t="s">
        <v>3929</v>
      </c>
      <c r="E4706">
        <v>6</v>
      </c>
      <c r="F4706" s="6">
        <v>700</v>
      </c>
      <c r="G4706" t="s">
        <v>3931</v>
      </c>
    </row>
    <row r="4707" spans="1:7">
      <c r="A4707" t="s">
        <v>10388</v>
      </c>
      <c r="B4707" t="s">
        <v>10389</v>
      </c>
      <c r="C4707" t="s">
        <v>3928</v>
      </c>
      <c r="D4707" t="s">
        <v>3929</v>
      </c>
      <c r="E4707">
        <v>6</v>
      </c>
      <c r="F4707" s="6">
        <v>1750</v>
      </c>
      <c r="G4707" t="s">
        <v>3931</v>
      </c>
    </row>
    <row r="4708" spans="1:7">
      <c r="A4708" t="s">
        <v>10390</v>
      </c>
      <c r="B4708" t="s">
        <v>10391</v>
      </c>
      <c r="C4708" t="s">
        <v>3928</v>
      </c>
      <c r="D4708" t="s">
        <v>3929</v>
      </c>
      <c r="E4708">
        <v>6</v>
      </c>
      <c r="F4708" s="6">
        <v>750</v>
      </c>
      <c r="G4708" t="s">
        <v>3713</v>
      </c>
    </row>
    <row r="4709" spans="1:7">
      <c r="A4709" t="s">
        <v>10392</v>
      </c>
      <c r="B4709" t="s">
        <v>10393</v>
      </c>
      <c r="C4709" t="s">
        <v>3928</v>
      </c>
      <c r="D4709" t="s">
        <v>3929</v>
      </c>
      <c r="E4709">
        <v>6</v>
      </c>
      <c r="F4709" s="6">
        <v>750</v>
      </c>
      <c r="G4709" t="s">
        <v>3698</v>
      </c>
    </row>
    <row r="4710" spans="1:7">
      <c r="A4710" t="s">
        <v>10394</v>
      </c>
      <c r="B4710" t="s">
        <v>10395</v>
      </c>
      <c r="C4710" t="s">
        <v>4452</v>
      </c>
      <c r="D4710" t="s">
        <v>4453</v>
      </c>
      <c r="E4710">
        <v>6</v>
      </c>
      <c r="F4710" s="6">
        <v>750</v>
      </c>
      <c r="G4710" t="s">
        <v>3698</v>
      </c>
    </row>
    <row r="4711" spans="1:7">
      <c r="A4711" t="s">
        <v>10396</v>
      </c>
      <c r="B4711" t="s">
        <v>10397</v>
      </c>
      <c r="C4711" t="s">
        <v>3928</v>
      </c>
      <c r="D4711" t="s">
        <v>3929</v>
      </c>
      <c r="E4711">
        <v>6</v>
      </c>
      <c r="F4711" s="6">
        <v>750</v>
      </c>
      <c r="G4711" t="s">
        <v>4419</v>
      </c>
    </row>
    <row r="4712" spans="1:7">
      <c r="A4712" t="s">
        <v>10398</v>
      </c>
      <c r="B4712" t="s">
        <v>10399</v>
      </c>
      <c r="C4712" t="s">
        <v>3928</v>
      </c>
      <c r="D4712" t="s">
        <v>3929</v>
      </c>
      <c r="E4712">
        <v>6</v>
      </c>
      <c r="F4712" s="6">
        <v>750</v>
      </c>
      <c r="G4712" t="s">
        <v>3698</v>
      </c>
    </row>
    <row r="4713" spans="1:7">
      <c r="A4713" t="s">
        <v>10400</v>
      </c>
      <c r="B4713" t="s">
        <v>10401</v>
      </c>
      <c r="C4713" t="s">
        <v>4452</v>
      </c>
      <c r="D4713" t="s">
        <v>4453</v>
      </c>
      <c r="E4713">
        <v>6</v>
      </c>
      <c r="F4713" s="6">
        <v>750</v>
      </c>
      <c r="G4713" t="s">
        <v>3698</v>
      </c>
    </row>
    <row r="4714" spans="1:7">
      <c r="A4714" t="s">
        <v>10402</v>
      </c>
      <c r="B4714" t="s">
        <v>10403</v>
      </c>
      <c r="C4714" t="s">
        <v>3928</v>
      </c>
      <c r="D4714" t="s">
        <v>3929</v>
      </c>
      <c r="E4714">
        <v>6</v>
      </c>
      <c r="F4714" s="6">
        <v>750</v>
      </c>
      <c r="G4714" t="s">
        <v>4225</v>
      </c>
    </row>
    <row r="4715" spans="1:7">
      <c r="A4715" t="s">
        <v>10404</v>
      </c>
      <c r="B4715" t="s">
        <v>10405</v>
      </c>
      <c r="C4715" t="s">
        <v>3808</v>
      </c>
      <c r="D4715" t="s">
        <v>3809</v>
      </c>
      <c r="E4715">
        <v>12</v>
      </c>
      <c r="F4715" s="6">
        <v>750</v>
      </c>
      <c r="G4715" t="s">
        <v>3730</v>
      </c>
    </row>
    <row r="4716" spans="1:7">
      <c r="A4716" t="s">
        <v>10406</v>
      </c>
      <c r="B4716" t="s">
        <v>10407</v>
      </c>
      <c r="C4716" t="s">
        <v>3928</v>
      </c>
      <c r="D4716" t="s">
        <v>3929</v>
      </c>
      <c r="E4716">
        <v>8</v>
      </c>
      <c r="F4716" s="6">
        <v>50</v>
      </c>
      <c r="G4716" t="s">
        <v>3931</v>
      </c>
    </row>
    <row r="4717" spans="1:7">
      <c r="A4717" t="s">
        <v>10408</v>
      </c>
      <c r="B4717" t="s">
        <v>10409</v>
      </c>
      <c r="C4717" t="s">
        <v>3928</v>
      </c>
      <c r="D4717" t="s">
        <v>3929</v>
      </c>
      <c r="E4717">
        <v>12</v>
      </c>
      <c r="F4717" s="6">
        <v>750</v>
      </c>
      <c r="G4717" t="s">
        <v>3931</v>
      </c>
    </row>
    <row r="4718" spans="1:7">
      <c r="A4718" t="s">
        <v>10410</v>
      </c>
      <c r="B4718" t="s">
        <v>10411</v>
      </c>
      <c r="C4718" t="s">
        <v>3928</v>
      </c>
      <c r="D4718" t="s">
        <v>3929</v>
      </c>
      <c r="E4718">
        <v>6</v>
      </c>
      <c r="F4718" s="6">
        <v>750</v>
      </c>
      <c r="G4718" t="s">
        <v>3681</v>
      </c>
    </row>
    <row r="4719" spans="1:7">
      <c r="A4719" t="s">
        <v>10412</v>
      </c>
      <c r="B4719" t="s">
        <v>10413</v>
      </c>
      <c r="C4719" t="s">
        <v>3928</v>
      </c>
      <c r="D4719" t="s">
        <v>3929</v>
      </c>
      <c r="E4719">
        <v>6</v>
      </c>
      <c r="F4719" s="6">
        <v>750</v>
      </c>
      <c r="G4719" t="s">
        <v>3681</v>
      </c>
    </row>
    <row r="4720" spans="1:7">
      <c r="A4720" t="s">
        <v>10414</v>
      </c>
      <c r="B4720" t="s">
        <v>10415</v>
      </c>
      <c r="C4720" t="s">
        <v>3928</v>
      </c>
      <c r="D4720" t="s">
        <v>3929</v>
      </c>
      <c r="E4720">
        <v>6</v>
      </c>
      <c r="F4720" s="6">
        <v>750</v>
      </c>
      <c r="G4720" t="s">
        <v>3681</v>
      </c>
    </row>
    <row r="4721" spans="1:7">
      <c r="A4721" t="s">
        <v>3499</v>
      </c>
      <c r="B4721" t="s">
        <v>10416</v>
      </c>
      <c r="C4721" t="s">
        <v>3928</v>
      </c>
      <c r="D4721" t="s">
        <v>3929</v>
      </c>
      <c r="E4721">
        <v>6</v>
      </c>
      <c r="F4721" s="6">
        <v>750</v>
      </c>
      <c r="G4721" t="s">
        <v>3681</v>
      </c>
    </row>
    <row r="4722" spans="1:7">
      <c r="A4722" t="s">
        <v>10417</v>
      </c>
      <c r="B4722" t="s">
        <v>10418</v>
      </c>
      <c r="C4722" t="s">
        <v>3928</v>
      </c>
      <c r="D4722" t="s">
        <v>3929</v>
      </c>
      <c r="E4722">
        <v>6</v>
      </c>
      <c r="F4722" s="6">
        <v>750</v>
      </c>
      <c r="G4722" t="s">
        <v>10419</v>
      </c>
    </row>
    <row r="4723" spans="1:7">
      <c r="A4723" t="s">
        <v>10420</v>
      </c>
      <c r="B4723" t="s">
        <v>10421</v>
      </c>
      <c r="C4723" t="s">
        <v>3928</v>
      </c>
      <c r="D4723" t="s">
        <v>3929</v>
      </c>
      <c r="E4723">
        <v>12</v>
      </c>
      <c r="F4723" s="6">
        <v>1000</v>
      </c>
      <c r="G4723" t="s">
        <v>3686</v>
      </c>
    </row>
    <row r="4724" spans="1:7">
      <c r="A4724" t="s">
        <v>10422</v>
      </c>
      <c r="B4724" t="s">
        <v>10423</v>
      </c>
      <c r="C4724" t="s">
        <v>4452</v>
      </c>
      <c r="D4724" t="s">
        <v>4453</v>
      </c>
      <c r="E4724">
        <v>12</v>
      </c>
      <c r="F4724" s="6">
        <v>1000</v>
      </c>
      <c r="G4724" t="s">
        <v>3686</v>
      </c>
    </row>
    <row r="4725" spans="1:7">
      <c r="A4725" t="s">
        <v>10424</v>
      </c>
      <c r="B4725" t="s">
        <v>10425</v>
      </c>
      <c r="C4725" t="s">
        <v>3928</v>
      </c>
      <c r="D4725" t="s">
        <v>3929</v>
      </c>
      <c r="E4725">
        <v>6</v>
      </c>
      <c r="F4725" s="6">
        <v>750</v>
      </c>
      <c r="G4725" t="s">
        <v>3716</v>
      </c>
    </row>
    <row r="4726" spans="1:7">
      <c r="A4726" t="s">
        <v>10426</v>
      </c>
      <c r="B4726" t="s">
        <v>10427</v>
      </c>
      <c r="C4726" t="s">
        <v>3928</v>
      </c>
      <c r="D4726" t="s">
        <v>3929</v>
      </c>
      <c r="E4726">
        <v>6</v>
      </c>
      <c r="F4726" s="6">
        <v>750</v>
      </c>
      <c r="G4726" t="s">
        <v>3716</v>
      </c>
    </row>
    <row r="4727" spans="1:7">
      <c r="A4727" t="s">
        <v>10428</v>
      </c>
      <c r="B4727" t="s">
        <v>4741</v>
      </c>
      <c r="C4727" t="s">
        <v>3928</v>
      </c>
      <c r="D4727" t="s">
        <v>3929</v>
      </c>
      <c r="E4727">
        <v>6</v>
      </c>
      <c r="F4727" s="6">
        <v>750</v>
      </c>
      <c r="G4727" t="s">
        <v>3716</v>
      </c>
    </row>
    <row r="4728" spans="1:7">
      <c r="A4728" t="s">
        <v>10429</v>
      </c>
      <c r="B4728" t="s">
        <v>10430</v>
      </c>
      <c r="C4728" t="s">
        <v>3928</v>
      </c>
      <c r="D4728" t="s">
        <v>3929</v>
      </c>
      <c r="E4728">
        <v>6</v>
      </c>
      <c r="F4728" s="6">
        <v>750</v>
      </c>
      <c r="G4728" t="s">
        <v>10208</v>
      </c>
    </row>
    <row r="4729" spans="1:7">
      <c r="A4729" t="s">
        <v>10431</v>
      </c>
      <c r="B4729" t="s">
        <v>10432</v>
      </c>
      <c r="C4729" t="s">
        <v>3928</v>
      </c>
      <c r="D4729" t="s">
        <v>3929</v>
      </c>
      <c r="E4729">
        <v>6</v>
      </c>
      <c r="F4729" s="6">
        <v>750</v>
      </c>
      <c r="G4729" t="s">
        <v>10208</v>
      </c>
    </row>
    <row r="4730" spans="1:7">
      <c r="A4730" t="s">
        <v>10433</v>
      </c>
      <c r="B4730" t="s">
        <v>10434</v>
      </c>
      <c r="C4730" t="s">
        <v>3928</v>
      </c>
      <c r="D4730" t="s">
        <v>3929</v>
      </c>
      <c r="E4730">
        <v>6</v>
      </c>
      <c r="F4730" s="6">
        <v>750</v>
      </c>
      <c r="G4730" t="s">
        <v>3716</v>
      </c>
    </row>
    <row r="4731" spans="1:7">
      <c r="A4731" t="s">
        <v>10435</v>
      </c>
      <c r="B4731" t="s">
        <v>10436</v>
      </c>
      <c r="C4731" t="s">
        <v>3928</v>
      </c>
      <c r="D4731" t="s">
        <v>3929</v>
      </c>
      <c r="E4731">
        <v>3</v>
      </c>
      <c r="F4731" s="6">
        <v>750</v>
      </c>
      <c r="G4731" t="s">
        <v>3716</v>
      </c>
    </row>
    <row r="4732" spans="1:7">
      <c r="A4732" t="s">
        <v>10437</v>
      </c>
      <c r="B4732" t="s">
        <v>10438</v>
      </c>
      <c r="C4732" t="s">
        <v>3928</v>
      </c>
      <c r="D4732" t="s">
        <v>3929</v>
      </c>
      <c r="E4732">
        <v>6</v>
      </c>
      <c r="F4732" s="6">
        <v>700</v>
      </c>
      <c r="G4732" t="s">
        <v>3716</v>
      </c>
    </row>
    <row r="4733" spans="1:7">
      <c r="A4733" t="s">
        <v>10439</v>
      </c>
      <c r="B4733" t="s">
        <v>10440</v>
      </c>
      <c r="C4733" t="s">
        <v>3928</v>
      </c>
      <c r="D4733" t="s">
        <v>3929</v>
      </c>
      <c r="E4733">
        <v>6</v>
      </c>
      <c r="F4733" s="6">
        <v>750</v>
      </c>
      <c r="G4733" t="s">
        <v>3716</v>
      </c>
    </row>
    <row r="4734" spans="1:7">
      <c r="A4734" t="s">
        <v>10441</v>
      </c>
      <c r="B4734" t="s">
        <v>10442</v>
      </c>
      <c r="C4734" t="s">
        <v>3928</v>
      </c>
      <c r="D4734" t="s">
        <v>3929</v>
      </c>
      <c r="E4734">
        <v>3</v>
      </c>
      <c r="F4734" s="6">
        <v>750</v>
      </c>
      <c r="G4734" t="s">
        <v>4781</v>
      </c>
    </row>
    <row r="4735" spans="1:7">
      <c r="A4735" t="s">
        <v>10443</v>
      </c>
      <c r="B4735" t="s">
        <v>10444</v>
      </c>
      <c r="C4735" t="s">
        <v>3928</v>
      </c>
      <c r="D4735" t="s">
        <v>3929</v>
      </c>
      <c r="E4735">
        <v>1</v>
      </c>
      <c r="F4735" s="6">
        <v>750</v>
      </c>
      <c r="G4735" t="s">
        <v>4781</v>
      </c>
    </row>
    <row r="4736" spans="1:7">
      <c r="A4736" t="s">
        <v>10445</v>
      </c>
      <c r="B4736" t="s">
        <v>10446</v>
      </c>
      <c r="C4736" t="s">
        <v>3928</v>
      </c>
      <c r="D4736" t="s">
        <v>3929</v>
      </c>
      <c r="E4736">
        <v>1</v>
      </c>
      <c r="F4736" s="6">
        <v>750</v>
      </c>
      <c r="G4736" t="s">
        <v>4781</v>
      </c>
    </row>
    <row r="4737" spans="1:7">
      <c r="A4737" t="s">
        <v>10447</v>
      </c>
      <c r="B4737" t="s">
        <v>10448</v>
      </c>
      <c r="C4737" t="s">
        <v>3928</v>
      </c>
      <c r="D4737" t="s">
        <v>3929</v>
      </c>
      <c r="E4737">
        <v>6</v>
      </c>
      <c r="F4737" s="6">
        <v>750</v>
      </c>
      <c r="G4737" t="s">
        <v>3951</v>
      </c>
    </row>
    <row r="4738" spans="1:7">
      <c r="A4738" t="s">
        <v>10449</v>
      </c>
      <c r="B4738" t="s">
        <v>10450</v>
      </c>
      <c r="C4738" t="s">
        <v>3928</v>
      </c>
      <c r="D4738" t="s">
        <v>3929</v>
      </c>
      <c r="E4738">
        <v>12</v>
      </c>
      <c r="F4738" s="6">
        <v>750</v>
      </c>
      <c r="G4738" t="s">
        <v>3802</v>
      </c>
    </row>
    <row r="4739" spans="1:7">
      <c r="A4739" t="s">
        <v>10451</v>
      </c>
      <c r="B4739" t="s">
        <v>10452</v>
      </c>
      <c r="C4739" t="s">
        <v>3928</v>
      </c>
      <c r="D4739" t="s">
        <v>3929</v>
      </c>
      <c r="E4739">
        <v>6</v>
      </c>
      <c r="F4739" s="6">
        <v>750</v>
      </c>
      <c r="G4739" t="s">
        <v>10453</v>
      </c>
    </row>
    <row r="4740" spans="1:7">
      <c r="A4740" t="s">
        <v>10454</v>
      </c>
      <c r="B4740" t="s">
        <v>10455</v>
      </c>
      <c r="C4740" t="s">
        <v>3928</v>
      </c>
      <c r="D4740" t="s">
        <v>3929</v>
      </c>
      <c r="E4740">
        <v>6</v>
      </c>
      <c r="F4740" s="6">
        <v>1750</v>
      </c>
      <c r="G4740" t="s">
        <v>3686</v>
      </c>
    </row>
    <row r="4741" spans="1:7">
      <c r="A4741" t="s">
        <v>10456</v>
      </c>
      <c r="B4741" t="s">
        <v>10457</v>
      </c>
      <c r="C4741" t="s">
        <v>4452</v>
      </c>
      <c r="D4741" t="s">
        <v>4453</v>
      </c>
      <c r="E4741">
        <v>6</v>
      </c>
      <c r="F4741" s="6">
        <v>750</v>
      </c>
      <c r="G4741" t="s">
        <v>4807</v>
      </c>
    </row>
    <row r="4742" spans="1:7">
      <c r="A4742" t="s">
        <v>10458</v>
      </c>
      <c r="B4742" t="s">
        <v>10459</v>
      </c>
      <c r="C4742" t="s">
        <v>4436</v>
      </c>
      <c r="D4742" t="s">
        <v>4437</v>
      </c>
      <c r="E4742">
        <v>6</v>
      </c>
      <c r="F4742" s="6">
        <v>750</v>
      </c>
      <c r="G4742" t="s">
        <v>3694</v>
      </c>
    </row>
    <row r="4743" spans="1:7">
      <c r="A4743" t="s">
        <v>1098</v>
      </c>
      <c r="B4743" t="s">
        <v>10460</v>
      </c>
      <c r="C4743" t="s">
        <v>3928</v>
      </c>
      <c r="D4743" t="s">
        <v>3929</v>
      </c>
      <c r="E4743">
        <v>6</v>
      </c>
      <c r="F4743" s="6">
        <v>750</v>
      </c>
      <c r="G4743" t="s">
        <v>3694</v>
      </c>
    </row>
    <row r="4744" spans="1:7">
      <c r="A4744" t="s">
        <v>797</v>
      </c>
      <c r="B4744" t="s">
        <v>10461</v>
      </c>
      <c r="C4744" t="s">
        <v>3928</v>
      </c>
      <c r="D4744" t="s">
        <v>3929</v>
      </c>
      <c r="E4744">
        <v>6</v>
      </c>
      <c r="F4744" s="6">
        <v>750</v>
      </c>
      <c r="G4744" t="s">
        <v>3694</v>
      </c>
    </row>
    <row r="4745" spans="1:7">
      <c r="A4745" t="s">
        <v>10462</v>
      </c>
      <c r="B4745" t="s">
        <v>10463</v>
      </c>
      <c r="C4745" t="s">
        <v>4452</v>
      </c>
      <c r="D4745" t="s">
        <v>4453</v>
      </c>
      <c r="E4745">
        <v>6</v>
      </c>
      <c r="F4745" s="6">
        <v>750</v>
      </c>
      <c r="G4745" t="s">
        <v>3694</v>
      </c>
    </row>
    <row r="4746" spans="1:7">
      <c r="A4746" t="s">
        <v>10464</v>
      </c>
      <c r="B4746" t="s">
        <v>10465</v>
      </c>
      <c r="C4746" t="s">
        <v>4452</v>
      </c>
      <c r="D4746" t="s">
        <v>4453</v>
      </c>
      <c r="E4746">
        <v>12</v>
      </c>
      <c r="F4746" s="6">
        <v>375</v>
      </c>
      <c r="G4746" t="s">
        <v>4601</v>
      </c>
    </row>
    <row r="4747" spans="1:7">
      <c r="A4747" t="s">
        <v>10466</v>
      </c>
      <c r="B4747" t="s">
        <v>10467</v>
      </c>
      <c r="C4747" t="s">
        <v>4452</v>
      </c>
      <c r="D4747" t="s">
        <v>4453</v>
      </c>
      <c r="E4747">
        <v>6</v>
      </c>
      <c r="F4747" s="6">
        <v>750</v>
      </c>
      <c r="G4747" t="s">
        <v>4828</v>
      </c>
    </row>
    <row r="4748" spans="1:7">
      <c r="A4748" t="s">
        <v>10468</v>
      </c>
      <c r="B4748" t="s">
        <v>10469</v>
      </c>
      <c r="C4748" t="s">
        <v>4452</v>
      </c>
      <c r="D4748" t="s">
        <v>4453</v>
      </c>
      <c r="E4748">
        <v>6</v>
      </c>
      <c r="F4748" s="6">
        <v>750</v>
      </c>
      <c r="G4748" t="s">
        <v>4840</v>
      </c>
    </row>
    <row r="4749" spans="1:7">
      <c r="A4749" t="s">
        <v>10470</v>
      </c>
      <c r="B4749" t="s">
        <v>4839</v>
      </c>
      <c r="C4749" t="s">
        <v>3928</v>
      </c>
      <c r="D4749" t="s">
        <v>3929</v>
      </c>
      <c r="E4749">
        <v>6</v>
      </c>
      <c r="F4749" s="6">
        <v>750</v>
      </c>
      <c r="G4749" t="s">
        <v>4840</v>
      </c>
    </row>
    <row r="4750" spans="1:7">
      <c r="A4750" t="s">
        <v>10471</v>
      </c>
      <c r="B4750" t="s">
        <v>10472</v>
      </c>
      <c r="C4750" t="s">
        <v>3928</v>
      </c>
      <c r="D4750" t="s">
        <v>3929</v>
      </c>
      <c r="E4750">
        <v>6</v>
      </c>
      <c r="F4750" s="6">
        <v>750</v>
      </c>
      <c r="G4750" t="s">
        <v>4840</v>
      </c>
    </row>
    <row r="4751" spans="1:7">
      <c r="A4751" t="s">
        <v>10473</v>
      </c>
      <c r="B4751" t="s">
        <v>10474</v>
      </c>
      <c r="C4751" t="s">
        <v>3928</v>
      </c>
      <c r="D4751" t="s">
        <v>3929</v>
      </c>
      <c r="E4751">
        <v>6</v>
      </c>
      <c r="F4751" s="6">
        <v>750</v>
      </c>
      <c r="G4751" t="s">
        <v>10475</v>
      </c>
    </row>
    <row r="4752" spans="1:7">
      <c r="A4752" t="s">
        <v>10476</v>
      </c>
      <c r="B4752" t="s">
        <v>10477</v>
      </c>
      <c r="C4752" t="s">
        <v>3928</v>
      </c>
      <c r="D4752" t="s">
        <v>3929</v>
      </c>
      <c r="E4752">
        <v>6</v>
      </c>
      <c r="F4752" s="6">
        <v>750</v>
      </c>
      <c r="G4752" t="s">
        <v>10475</v>
      </c>
    </row>
    <row r="4753" spans="1:7">
      <c r="A4753" t="s">
        <v>10478</v>
      </c>
      <c r="B4753" t="s">
        <v>10479</v>
      </c>
      <c r="C4753" t="s">
        <v>4452</v>
      </c>
      <c r="D4753" t="s">
        <v>4453</v>
      </c>
      <c r="E4753">
        <v>3</v>
      </c>
      <c r="F4753" s="6">
        <v>750</v>
      </c>
      <c r="G4753" t="s">
        <v>4163</v>
      </c>
    </row>
    <row r="4754" spans="1:7">
      <c r="A4754" t="s">
        <v>10480</v>
      </c>
      <c r="B4754" t="s">
        <v>10481</v>
      </c>
      <c r="C4754" t="s">
        <v>3928</v>
      </c>
      <c r="D4754" t="s">
        <v>3929</v>
      </c>
      <c r="E4754">
        <v>6</v>
      </c>
      <c r="F4754" s="6">
        <v>750</v>
      </c>
      <c r="G4754" t="s">
        <v>4163</v>
      </c>
    </row>
    <row r="4755" spans="1:7">
      <c r="A4755" t="s">
        <v>10482</v>
      </c>
      <c r="B4755" t="s">
        <v>10483</v>
      </c>
      <c r="C4755" t="s">
        <v>3928</v>
      </c>
      <c r="D4755" t="s">
        <v>3929</v>
      </c>
      <c r="E4755">
        <v>6</v>
      </c>
      <c r="F4755" s="6">
        <v>750</v>
      </c>
      <c r="G4755" t="s">
        <v>4163</v>
      </c>
    </row>
    <row r="4756" spans="1:7">
      <c r="A4756" t="s">
        <v>10484</v>
      </c>
      <c r="B4756" t="s">
        <v>10485</v>
      </c>
      <c r="C4756" t="s">
        <v>3808</v>
      </c>
      <c r="D4756" t="s">
        <v>3809</v>
      </c>
      <c r="E4756">
        <v>6</v>
      </c>
      <c r="F4756" s="6">
        <v>750</v>
      </c>
      <c r="G4756" t="s">
        <v>4917</v>
      </c>
    </row>
    <row r="4757" spans="1:7">
      <c r="A4757" t="s">
        <v>10486</v>
      </c>
      <c r="B4757" t="s">
        <v>10487</v>
      </c>
      <c r="C4757" t="s">
        <v>3808</v>
      </c>
      <c r="D4757" t="s">
        <v>3809</v>
      </c>
      <c r="E4757">
        <v>6</v>
      </c>
      <c r="F4757" s="6">
        <v>750</v>
      </c>
      <c r="G4757" t="s">
        <v>3802</v>
      </c>
    </row>
    <row r="4758" spans="1:7">
      <c r="A4758" t="s">
        <v>10488</v>
      </c>
      <c r="B4758" t="s">
        <v>10489</v>
      </c>
      <c r="C4758" t="s">
        <v>4452</v>
      </c>
      <c r="D4758" t="s">
        <v>4453</v>
      </c>
      <c r="E4758">
        <v>6</v>
      </c>
      <c r="F4758" s="6">
        <v>750</v>
      </c>
      <c r="G4758" t="s">
        <v>3681</v>
      </c>
    </row>
    <row r="4759" spans="1:7">
      <c r="A4759" t="s">
        <v>10490</v>
      </c>
      <c r="B4759" t="s">
        <v>10491</v>
      </c>
      <c r="C4759" t="s">
        <v>3928</v>
      </c>
      <c r="D4759" t="s">
        <v>3929</v>
      </c>
      <c r="E4759">
        <v>1</v>
      </c>
      <c r="F4759" s="6">
        <v>750</v>
      </c>
      <c r="G4759" t="s">
        <v>3681</v>
      </c>
    </row>
    <row r="4760" spans="1:7">
      <c r="A4760" t="s">
        <v>10492</v>
      </c>
      <c r="B4760" t="s">
        <v>10493</v>
      </c>
      <c r="C4760" t="s">
        <v>3928</v>
      </c>
      <c r="D4760" t="s">
        <v>3929</v>
      </c>
      <c r="E4760">
        <v>6</v>
      </c>
      <c r="F4760" s="6">
        <v>750</v>
      </c>
      <c r="G4760" t="s">
        <v>4163</v>
      </c>
    </row>
    <row r="4761" spans="1:7">
      <c r="A4761" t="s">
        <v>10494</v>
      </c>
      <c r="B4761" t="s">
        <v>10495</v>
      </c>
      <c r="C4761" t="s">
        <v>4452</v>
      </c>
      <c r="D4761" t="s">
        <v>4453</v>
      </c>
      <c r="E4761">
        <v>6</v>
      </c>
      <c r="F4761" s="6">
        <v>750</v>
      </c>
      <c r="G4761" t="s">
        <v>4163</v>
      </c>
    </row>
    <row r="4762" spans="1:7">
      <c r="A4762" t="s">
        <v>10496</v>
      </c>
      <c r="B4762" t="s">
        <v>10497</v>
      </c>
      <c r="C4762" t="s">
        <v>3928</v>
      </c>
      <c r="D4762" t="s">
        <v>3929</v>
      </c>
      <c r="E4762">
        <v>6</v>
      </c>
      <c r="F4762" s="6">
        <v>750</v>
      </c>
      <c r="G4762" t="s">
        <v>4163</v>
      </c>
    </row>
    <row r="4763" spans="1:7">
      <c r="A4763" t="s">
        <v>10498</v>
      </c>
      <c r="B4763" t="s">
        <v>10499</v>
      </c>
      <c r="C4763" t="s">
        <v>3928</v>
      </c>
      <c r="D4763" t="s">
        <v>3929</v>
      </c>
      <c r="E4763">
        <v>12</v>
      </c>
      <c r="F4763" s="6">
        <v>50</v>
      </c>
      <c r="G4763" t="s">
        <v>4163</v>
      </c>
    </row>
    <row r="4764" spans="1:7">
      <c r="A4764" t="s">
        <v>10500</v>
      </c>
      <c r="B4764" t="s">
        <v>10501</v>
      </c>
      <c r="C4764" t="s">
        <v>3928</v>
      </c>
      <c r="D4764" t="s">
        <v>3929</v>
      </c>
      <c r="E4764">
        <v>6</v>
      </c>
      <c r="F4764" s="6">
        <v>750</v>
      </c>
      <c r="G4764" t="s">
        <v>4163</v>
      </c>
    </row>
    <row r="4765" spans="1:7">
      <c r="A4765" t="s">
        <v>10502</v>
      </c>
      <c r="B4765" t="s">
        <v>4876</v>
      </c>
      <c r="C4765" t="s">
        <v>3928</v>
      </c>
      <c r="D4765" t="s">
        <v>3929</v>
      </c>
      <c r="E4765">
        <v>6</v>
      </c>
      <c r="F4765" s="6">
        <v>750</v>
      </c>
      <c r="G4765" t="s">
        <v>4285</v>
      </c>
    </row>
    <row r="4766" spans="1:7">
      <c r="A4766" t="s">
        <v>10503</v>
      </c>
      <c r="B4766" t="s">
        <v>10504</v>
      </c>
      <c r="C4766" t="s">
        <v>3928</v>
      </c>
      <c r="D4766" t="s">
        <v>3929</v>
      </c>
      <c r="E4766">
        <v>6</v>
      </c>
      <c r="F4766" s="6">
        <v>750</v>
      </c>
      <c r="G4766" t="s">
        <v>3686</v>
      </c>
    </row>
    <row r="4767" spans="1:7">
      <c r="A4767" t="s">
        <v>10505</v>
      </c>
      <c r="B4767" t="s">
        <v>10506</v>
      </c>
      <c r="C4767" t="s">
        <v>3928</v>
      </c>
      <c r="D4767" t="s">
        <v>3929</v>
      </c>
      <c r="E4767">
        <v>6</v>
      </c>
      <c r="F4767" s="6">
        <v>750</v>
      </c>
      <c r="G4767" t="s">
        <v>3686</v>
      </c>
    </row>
    <row r="4768" spans="1:7">
      <c r="A4768" t="s">
        <v>10507</v>
      </c>
      <c r="B4768" t="s">
        <v>10508</v>
      </c>
      <c r="C4768" t="s">
        <v>3928</v>
      </c>
      <c r="D4768" t="s">
        <v>3929</v>
      </c>
      <c r="E4768">
        <v>6</v>
      </c>
      <c r="F4768" s="6">
        <v>750</v>
      </c>
      <c r="G4768" t="s">
        <v>3686</v>
      </c>
    </row>
    <row r="4769" spans="1:7">
      <c r="A4769" t="s">
        <v>10509</v>
      </c>
      <c r="B4769" t="s">
        <v>10510</v>
      </c>
      <c r="C4769" t="s">
        <v>3928</v>
      </c>
      <c r="D4769" t="s">
        <v>3929</v>
      </c>
      <c r="E4769">
        <v>3</v>
      </c>
      <c r="F4769" s="6">
        <v>750</v>
      </c>
      <c r="G4769" t="s">
        <v>4163</v>
      </c>
    </row>
    <row r="4770" spans="1:7">
      <c r="A4770" t="s">
        <v>10511</v>
      </c>
      <c r="B4770" t="s">
        <v>10512</v>
      </c>
      <c r="C4770" t="s">
        <v>4244</v>
      </c>
      <c r="D4770" t="s">
        <v>4245</v>
      </c>
      <c r="E4770">
        <v>3</v>
      </c>
      <c r="F4770" s="6">
        <v>750</v>
      </c>
      <c r="G4770" t="s">
        <v>4163</v>
      </c>
    </row>
    <row r="4771" spans="1:7">
      <c r="A4771" t="s">
        <v>10513</v>
      </c>
      <c r="B4771" t="s">
        <v>10514</v>
      </c>
      <c r="C4771" t="s">
        <v>3928</v>
      </c>
      <c r="D4771" t="s">
        <v>3929</v>
      </c>
      <c r="E4771">
        <v>3</v>
      </c>
      <c r="F4771" s="6">
        <v>750</v>
      </c>
      <c r="G4771" t="s">
        <v>4163</v>
      </c>
    </row>
    <row r="4772" spans="1:7">
      <c r="A4772" t="s">
        <v>10515</v>
      </c>
      <c r="B4772" t="s">
        <v>10516</v>
      </c>
      <c r="C4772" t="s">
        <v>3928</v>
      </c>
      <c r="D4772" t="s">
        <v>3929</v>
      </c>
      <c r="E4772">
        <v>6</v>
      </c>
      <c r="F4772" s="6">
        <v>750</v>
      </c>
      <c r="G4772" t="s">
        <v>5475</v>
      </c>
    </row>
    <row r="4773" spans="1:7">
      <c r="A4773" t="s">
        <v>10517</v>
      </c>
      <c r="B4773" t="s">
        <v>4898</v>
      </c>
      <c r="C4773" t="s">
        <v>3928</v>
      </c>
      <c r="D4773" t="s">
        <v>3929</v>
      </c>
      <c r="E4773">
        <v>6</v>
      </c>
      <c r="F4773" s="6">
        <v>750</v>
      </c>
      <c r="G4773" t="s">
        <v>4899</v>
      </c>
    </row>
    <row r="4774" spans="1:7">
      <c r="A4774" t="s">
        <v>10518</v>
      </c>
      <c r="B4774" t="s">
        <v>10519</v>
      </c>
      <c r="C4774" t="s">
        <v>3928</v>
      </c>
      <c r="D4774" t="s">
        <v>3929</v>
      </c>
      <c r="E4774">
        <v>6</v>
      </c>
      <c r="F4774" s="6">
        <v>750</v>
      </c>
      <c r="G4774" t="s">
        <v>3686</v>
      </c>
    </row>
    <row r="4775" spans="1:7">
      <c r="A4775" t="s">
        <v>10520</v>
      </c>
      <c r="B4775" t="s">
        <v>10521</v>
      </c>
      <c r="C4775" t="s">
        <v>3928</v>
      </c>
      <c r="D4775" t="s">
        <v>3929</v>
      </c>
      <c r="E4775">
        <v>12</v>
      </c>
      <c r="F4775" s="6">
        <v>750</v>
      </c>
      <c r="G4775" t="s">
        <v>3702</v>
      </c>
    </row>
    <row r="4776" spans="1:7">
      <c r="A4776" t="s">
        <v>10522</v>
      </c>
      <c r="B4776" t="s">
        <v>10523</v>
      </c>
      <c r="C4776" t="s">
        <v>3928</v>
      </c>
      <c r="D4776" t="s">
        <v>3929</v>
      </c>
      <c r="E4776">
        <v>6</v>
      </c>
      <c r="F4776" s="6">
        <v>750</v>
      </c>
      <c r="G4776" t="s">
        <v>5228</v>
      </c>
    </row>
    <row r="4777" spans="1:7">
      <c r="A4777" t="s">
        <v>10524</v>
      </c>
      <c r="B4777" t="s">
        <v>10525</v>
      </c>
      <c r="C4777" t="s">
        <v>3808</v>
      </c>
      <c r="D4777" t="s">
        <v>3809</v>
      </c>
      <c r="E4777">
        <v>3</v>
      </c>
      <c r="F4777" s="6">
        <v>750</v>
      </c>
      <c r="G4777" t="s">
        <v>4781</v>
      </c>
    </row>
    <row r="4778" spans="1:7">
      <c r="A4778" t="s">
        <v>10526</v>
      </c>
      <c r="B4778" t="s">
        <v>10527</v>
      </c>
      <c r="C4778" t="s">
        <v>3928</v>
      </c>
      <c r="D4778" t="s">
        <v>3929</v>
      </c>
      <c r="E4778">
        <v>12</v>
      </c>
      <c r="F4778" s="6">
        <v>750</v>
      </c>
      <c r="G4778" t="s">
        <v>10528</v>
      </c>
    </row>
    <row r="4779" spans="1:7">
      <c r="A4779" t="s">
        <v>10529</v>
      </c>
      <c r="B4779" t="s">
        <v>10530</v>
      </c>
      <c r="C4779" t="s">
        <v>3928</v>
      </c>
      <c r="D4779" t="s">
        <v>3929</v>
      </c>
      <c r="E4779">
        <v>12</v>
      </c>
      <c r="F4779" s="6">
        <v>750</v>
      </c>
      <c r="G4779" t="s">
        <v>10528</v>
      </c>
    </row>
    <row r="4780" spans="1:7">
      <c r="A4780" t="s">
        <v>10531</v>
      </c>
      <c r="B4780" t="s">
        <v>10532</v>
      </c>
      <c r="C4780" t="s">
        <v>3928</v>
      </c>
      <c r="D4780" t="s">
        <v>3929</v>
      </c>
      <c r="E4780">
        <v>6</v>
      </c>
      <c r="F4780" s="6">
        <v>750</v>
      </c>
      <c r="G4780" t="s">
        <v>10528</v>
      </c>
    </row>
    <row r="4781" spans="1:7">
      <c r="A4781" t="s">
        <v>10533</v>
      </c>
      <c r="B4781" t="s">
        <v>10534</v>
      </c>
      <c r="C4781" t="s">
        <v>3928</v>
      </c>
      <c r="D4781" t="s">
        <v>3929</v>
      </c>
      <c r="E4781">
        <v>6</v>
      </c>
      <c r="F4781" s="6">
        <v>750</v>
      </c>
      <c r="G4781" t="s">
        <v>10528</v>
      </c>
    </row>
    <row r="4782" spans="1:7">
      <c r="A4782" t="s">
        <v>10535</v>
      </c>
      <c r="B4782" t="s">
        <v>10536</v>
      </c>
      <c r="C4782" t="s">
        <v>3928</v>
      </c>
      <c r="D4782" t="s">
        <v>3929</v>
      </c>
      <c r="E4782">
        <v>6</v>
      </c>
      <c r="F4782" s="6">
        <v>750</v>
      </c>
      <c r="G4782" t="s">
        <v>3686</v>
      </c>
    </row>
    <row r="4783" spans="1:7">
      <c r="A4783" t="s">
        <v>2396</v>
      </c>
      <c r="B4783" t="s">
        <v>10537</v>
      </c>
      <c r="C4783" t="s">
        <v>3928</v>
      </c>
      <c r="D4783" t="s">
        <v>3929</v>
      </c>
      <c r="E4783">
        <v>6</v>
      </c>
      <c r="F4783" s="6">
        <v>750</v>
      </c>
      <c r="G4783" t="s">
        <v>3686</v>
      </c>
    </row>
    <row r="4784" spans="1:7">
      <c r="A4784" t="s">
        <v>10538</v>
      </c>
      <c r="B4784" t="s">
        <v>10539</v>
      </c>
      <c r="C4784" t="s">
        <v>3928</v>
      </c>
      <c r="D4784" t="s">
        <v>3929</v>
      </c>
      <c r="E4784">
        <v>6</v>
      </c>
      <c r="F4784" s="6">
        <v>750</v>
      </c>
      <c r="G4784" t="s">
        <v>4919</v>
      </c>
    </row>
    <row r="4785" spans="1:7">
      <c r="A4785" t="s">
        <v>10540</v>
      </c>
      <c r="B4785" t="s">
        <v>10541</v>
      </c>
      <c r="C4785" t="s">
        <v>3928</v>
      </c>
      <c r="D4785" t="s">
        <v>3929</v>
      </c>
      <c r="E4785">
        <v>12</v>
      </c>
      <c r="F4785" s="6">
        <v>750</v>
      </c>
      <c r="G4785" t="s">
        <v>10528</v>
      </c>
    </row>
    <row r="4786" spans="1:7">
      <c r="A4786" t="s">
        <v>10542</v>
      </c>
      <c r="B4786" t="s">
        <v>10543</v>
      </c>
      <c r="C4786" t="s">
        <v>3928</v>
      </c>
      <c r="D4786" t="s">
        <v>3929</v>
      </c>
      <c r="E4786">
        <v>6</v>
      </c>
      <c r="F4786" s="6">
        <v>750</v>
      </c>
      <c r="G4786" t="s">
        <v>4917</v>
      </c>
    </row>
    <row r="4787" spans="1:7">
      <c r="A4787" t="s">
        <v>10544</v>
      </c>
      <c r="B4787" t="s">
        <v>10545</v>
      </c>
      <c r="C4787" t="s">
        <v>3928</v>
      </c>
      <c r="D4787" t="s">
        <v>3929</v>
      </c>
      <c r="E4787">
        <v>12</v>
      </c>
      <c r="F4787" s="6">
        <v>750</v>
      </c>
      <c r="G4787" t="s">
        <v>3702</v>
      </c>
    </row>
    <row r="4788" spans="1:7">
      <c r="A4788" t="s">
        <v>10546</v>
      </c>
      <c r="B4788" t="s">
        <v>10547</v>
      </c>
      <c r="C4788" t="s">
        <v>3808</v>
      </c>
      <c r="D4788" t="s">
        <v>3809</v>
      </c>
      <c r="E4788">
        <v>12</v>
      </c>
      <c r="F4788" s="6">
        <v>750</v>
      </c>
      <c r="G4788" t="s">
        <v>3702</v>
      </c>
    </row>
    <row r="4789" spans="1:7">
      <c r="A4789" t="s">
        <v>10548</v>
      </c>
      <c r="B4789" t="s">
        <v>10549</v>
      </c>
      <c r="C4789" t="s">
        <v>3928</v>
      </c>
      <c r="D4789" t="s">
        <v>3929</v>
      </c>
      <c r="E4789">
        <v>12</v>
      </c>
      <c r="F4789" s="6">
        <v>750</v>
      </c>
      <c r="G4789" t="s">
        <v>3702</v>
      </c>
    </row>
    <row r="4790" spans="1:7">
      <c r="A4790" t="s">
        <v>10550</v>
      </c>
      <c r="B4790" t="s">
        <v>10551</v>
      </c>
      <c r="C4790" t="s">
        <v>3928</v>
      </c>
      <c r="D4790" t="s">
        <v>3929</v>
      </c>
      <c r="E4790">
        <v>6</v>
      </c>
      <c r="F4790" s="6">
        <v>750</v>
      </c>
      <c r="G4790" t="s">
        <v>3686</v>
      </c>
    </row>
    <row r="4791" spans="1:7">
      <c r="A4791" t="s">
        <v>10552</v>
      </c>
      <c r="B4791" t="s">
        <v>10553</v>
      </c>
      <c r="C4791" t="s">
        <v>3928</v>
      </c>
      <c r="D4791" t="s">
        <v>3929</v>
      </c>
      <c r="E4791">
        <v>6</v>
      </c>
      <c r="F4791" s="6">
        <v>750</v>
      </c>
      <c r="G4791" t="s">
        <v>4225</v>
      </c>
    </row>
    <row r="4792" spans="1:7">
      <c r="A4792" t="s">
        <v>10554</v>
      </c>
      <c r="B4792" t="s">
        <v>10555</v>
      </c>
      <c r="C4792" t="s">
        <v>3928</v>
      </c>
      <c r="D4792" t="s">
        <v>3929</v>
      </c>
      <c r="E4792">
        <v>6</v>
      </c>
      <c r="F4792" s="6">
        <v>700</v>
      </c>
      <c r="G4792" t="s">
        <v>4225</v>
      </c>
    </row>
    <row r="4793" spans="1:7">
      <c r="A4793" t="s">
        <v>10556</v>
      </c>
      <c r="B4793" t="s">
        <v>10557</v>
      </c>
      <c r="C4793" t="s">
        <v>3928</v>
      </c>
      <c r="D4793" t="s">
        <v>3929</v>
      </c>
      <c r="E4793">
        <v>6</v>
      </c>
      <c r="F4793" s="6">
        <v>750</v>
      </c>
      <c r="G4793" t="s">
        <v>10558</v>
      </c>
    </row>
    <row r="4794" spans="1:7">
      <c r="A4794" t="s">
        <v>10559</v>
      </c>
      <c r="B4794" t="s">
        <v>10560</v>
      </c>
      <c r="C4794" t="s">
        <v>3928</v>
      </c>
      <c r="D4794" t="s">
        <v>3929</v>
      </c>
      <c r="E4794">
        <v>6</v>
      </c>
      <c r="F4794" s="6">
        <v>750</v>
      </c>
      <c r="G4794" t="s">
        <v>4182</v>
      </c>
    </row>
    <row r="4795" spans="1:7">
      <c r="A4795" t="s">
        <v>10561</v>
      </c>
      <c r="B4795" t="s">
        <v>10562</v>
      </c>
      <c r="C4795" t="s">
        <v>3808</v>
      </c>
      <c r="D4795" t="s">
        <v>3809</v>
      </c>
      <c r="E4795">
        <v>6</v>
      </c>
      <c r="F4795" s="6">
        <v>750</v>
      </c>
      <c r="G4795" t="s">
        <v>4331</v>
      </c>
    </row>
    <row r="4796" spans="1:7">
      <c r="A4796" t="s">
        <v>10563</v>
      </c>
      <c r="B4796" t="s">
        <v>10564</v>
      </c>
      <c r="C4796" t="s">
        <v>3808</v>
      </c>
      <c r="D4796" t="s">
        <v>3809</v>
      </c>
      <c r="E4796">
        <v>6</v>
      </c>
      <c r="F4796" s="6">
        <v>750</v>
      </c>
      <c r="G4796" t="s">
        <v>4331</v>
      </c>
    </row>
    <row r="4797" spans="1:7">
      <c r="A4797" t="s">
        <v>10565</v>
      </c>
      <c r="B4797" t="s">
        <v>10566</v>
      </c>
      <c r="C4797" t="s">
        <v>3808</v>
      </c>
      <c r="D4797" t="s">
        <v>3809</v>
      </c>
      <c r="E4797">
        <v>6</v>
      </c>
      <c r="F4797" s="6">
        <v>750</v>
      </c>
      <c r="G4797" t="s">
        <v>4331</v>
      </c>
    </row>
    <row r="4798" spans="1:7">
      <c r="A4798" t="s">
        <v>10567</v>
      </c>
      <c r="B4798" t="s">
        <v>10568</v>
      </c>
      <c r="C4798" t="s">
        <v>3928</v>
      </c>
      <c r="D4798" t="s">
        <v>3929</v>
      </c>
      <c r="E4798">
        <v>12</v>
      </c>
      <c r="F4798" s="6">
        <v>750</v>
      </c>
      <c r="G4798" t="s">
        <v>3931</v>
      </c>
    </row>
    <row r="4799" spans="1:7">
      <c r="A4799" t="s">
        <v>10569</v>
      </c>
      <c r="B4799" t="s">
        <v>10570</v>
      </c>
      <c r="C4799" t="s">
        <v>4436</v>
      </c>
      <c r="D4799" t="s">
        <v>4437</v>
      </c>
      <c r="E4799">
        <v>6</v>
      </c>
      <c r="F4799" s="6">
        <v>750</v>
      </c>
      <c r="G4799" t="s">
        <v>10290</v>
      </c>
    </row>
    <row r="4800" spans="1:7">
      <c r="A4800" t="s">
        <v>10571</v>
      </c>
      <c r="B4800" t="s">
        <v>10572</v>
      </c>
      <c r="C4800" t="s">
        <v>3928</v>
      </c>
      <c r="D4800" t="s">
        <v>3929</v>
      </c>
      <c r="E4800">
        <v>12</v>
      </c>
      <c r="F4800" s="6">
        <v>750</v>
      </c>
      <c r="G4800" t="s">
        <v>3686</v>
      </c>
    </row>
    <row r="4801" spans="1:7">
      <c r="A4801" t="s">
        <v>10573</v>
      </c>
      <c r="B4801" t="s">
        <v>10574</v>
      </c>
      <c r="C4801" t="s">
        <v>3928</v>
      </c>
      <c r="D4801" t="s">
        <v>3929</v>
      </c>
      <c r="E4801">
        <v>12</v>
      </c>
      <c r="F4801" s="6">
        <v>750</v>
      </c>
      <c r="G4801" t="s">
        <v>3686</v>
      </c>
    </row>
    <row r="4802" spans="1:7">
      <c r="A4802" t="s">
        <v>10575</v>
      </c>
      <c r="B4802" t="s">
        <v>10576</v>
      </c>
      <c r="C4802" t="s">
        <v>3928</v>
      </c>
      <c r="D4802" t="s">
        <v>3929</v>
      </c>
      <c r="E4802">
        <v>6</v>
      </c>
      <c r="F4802" s="6">
        <v>750</v>
      </c>
      <c r="G4802" t="s">
        <v>3686</v>
      </c>
    </row>
    <row r="4803" spans="1:7">
      <c r="A4803" t="s">
        <v>10577</v>
      </c>
      <c r="B4803" t="s">
        <v>10578</v>
      </c>
      <c r="C4803" t="s">
        <v>3928</v>
      </c>
      <c r="D4803" t="s">
        <v>3929</v>
      </c>
      <c r="E4803">
        <v>6</v>
      </c>
      <c r="F4803" s="6">
        <v>750</v>
      </c>
      <c r="G4803" t="s">
        <v>3686</v>
      </c>
    </row>
    <row r="4804" spans="1:7">
      <c r="A4804" t="s">
        <v>10579</v>
      </c>
      <c r="B4804" t="s">
        <v>10580</v>
      </c>
      <c r="C4804" t="s">
        <v>4452</v>
      </c>
      <c r="D4804" t="s">
        <v>4453</v>
      </c>
      <c r="E4804">
        <v>6</v>
      </c>
      <c r="F4804" s="6">
        <v>750</v>
      </c>
      <c r="G4804" t="s">
        <v>3686</v>
      </c>
    </row>
    <row r="4805" spans="1:7">
      <c r="A4805" t="s">
        <v>10581</v>
      </c>
      <c r="B4805" t="s">
        <v>10582</v>
      </c>
      <c r="C4805" t="s">
        <v>3928</v>
      </c>
      <c r="D4805" t="s">
        <v>3929</v>
      </c>
      <c r="E4805">
        <v>6</v>
      </c>
      <c r="F4805" s="6">
        <v>750</v>
      </c>
      <c r="G4805" t="s">
        <v>3686</v>
      </c>
    </row>
    <row r="4806" spans="1:7">
      <c r="A4806" t="s">
        <v>10583</v>
      </c>
      <c r="B4806" t="s">
        <v>10584</v>
      </c>
      <c r="C4806" t="s">
        <v>3928</v>
      </c>
      <c r="D4806" t="s">
        <v>3929</v>
      </c>
      <c r="E4806">
        <v>12</v>
      </c>
      <c r="F4806" s="6">
        <v>750</v>
      </c>
      <c r="G4806" t="s">
        <v>3686</v>
      </c>
    </row>
    <row r="4807" spans="1:7">
      <c r="A4807" t="s">
        <v>10585</v>
      </c>
      <c r="B4807" t="s">
        <v>10586</v>
      </c>
      <c r="C4807" t="s">
        <v>3928</v>
      </c>
      <c r="D4807" t="s">
        <v>3929</v>
      </c>
      <c r="E4807">
        <v>6</v>
      </c>
      <c r="F4807" s="6">
        <v>750</v>
      </c>
      <c r="G4807" t="s">
        <v>10587</v>
      </c>
    </row>
    <row r="4808" spans="1:7">
      <c r="A4808" t="s">
        <v>10588</v>
      </c>
      <c r="B4808" t="s">
        <v>10589</v>
      </c>
      <c r="C4808" t="s">
        <v>4436</v>
      </c>
      <c r="D4808" t="s">
        <v>4437</v>
      </c>
      <c r="E4808">
        <v>6</v>
      </c>
      <c r="F4808" s="6">
        <v>750</v>
      </c>
      <c r="G4808" t="s">
        <v>3888</v>
      </c>
    </row>
    <row r="4809" spans="1:7">
      <c r="A4809" t="s">
        <v>10590</v>
      </c>
      <c r="B4809" t="s">
        <v>10591</v>
      </c>
      <c r="C4809" t="s">
        <v>4436</v>
      </c>
      <c r="D4809" t="s">
        <v>4437</v>
      </c>
      <c r="E4809">
        <v>6</v>
      </c>
      <c r="F4809" s="6">
        <v>750</v>
      </c>
      <c r="G4809" t="s">
        <v>3888</v>
      </c>
    </row>
    <row r="4810" spans="1:7">
      <c r="A4810" t="s">
        <v>10592</v>
      </c>
      <c r="B4810" t="s">
        <v>10593</v>
      </c>
      <c r="C4810" t="s">
        <v>3928</v>
      </c>
      <c r="D4810" t="s">
        <v>3929</v>
      </c>
      <c r="E4810">
        <v>6</v>
      </c>
      <c r="F4810" s="6">
        <v>750</v>
      </c>
      <c r="G4810" t="s">
        <v>3888</v>
      </c>
    </row>
    <row r="4811" spans="1:7">
      <c r="A4811" t="s">
        <v>10594</v>
      </c>
      <c r="B4811" t="s">
        <v>10595</v>
      </c>
      <c r="C4811" t="s">
        <v>3928</v>
      </c>
      <c r="D4811" t="s">
        <v>3929</v>
      </c>
      <c r="E4811">
        <v>6</v>
      </c>
      <c r="F4811" s="6">
        <v>750</v>
      </c>
      <c r="G4811" t="s">
        <v>3888</v>
      </c>
    </row>
    <row r="4812" spans="1:7">
      <c r="A4812" t="s">
        <v>10596</v>
      </c>
      <c r="B4812" t="s">
        <v>10597</v>
      </c>
      <c r="C4812" t="s">
        <v>3928</v>
      </c>
      <c r="D4812" t="s">
        <v>3929</v>
      </c>
      <c r="E4812">
        <v>3</v>
      </c>
      <c r="F4812" s="6">
        <v>750</v>
      </c>
      <c r="G4812" t="s">
        <v>3686</v>
      </c>
    </row>
    <row r="4813" spans="1:7">
      <c r="A4813" t="s">
        <v>10598</v>
      </c>
      <c r="B4813" t="s">
        <v>10599</v>
      </c>
      <c r="C4813" t="s">
        <v>4244</v>
      </c>
      <c r="D4813" t="s">
        <v>4245</v>
      </c>
      <c r="E4813">
        <v>6</v>
      </c>
      <c r="F4813" s="6">
        <v>750</v>
      </c>
      <c r="G4813" t="s">
        <v>3888</v>
      </c>
    </row>
    <row r="4814" spans="1:7">
      <c r="A4814" t="s">
        <v>3505</v>
      </c>
      <c r="B4814" t="s">
        <v>10600</v>
      </c>
      <c r="C4814" t="s">
        <v>4452</v>
      </c>
      <c r="D4814" t="s">
        <v>4453</v>
      </c>
      <c r="E4814">
        <v>6</v>
      </c>
      <c r="F4814" s="6">
        <v>750</v>
      </c>
      <c r="G4814" t="s">
        <v>3888</v>
      </c>
    </row>
    <row r="4815" spans="1:7">
      <c r="A4815" t="s">
        <v>10601</v>
      </c>
      <c r="B4815" t="s">
        <v>10602</v>
      </c>
      <c r="C4815" t="s">
        <v>3928</v>
      </c>
      <c r="D4815" t="s">
        <v>3929</v>
      </c>
      <c r="E4815">
        <v>6</v>
      </c>
      <c r="F4815" s="6">
        <v>750</v>
      </c>
      <c r="G4815" t="s">
        <v>3888</v>
      </c>
    </row>
    <row r="4816" spans="1:7">
      <c r="A4816" t="s">
        <v>10603</v>
      </c>
      <c r="B4816" t="s">
        <v>10604</v>
      </c>
      <c r="C4816" t="s">
        <v>3928</v>
      </c>
      <c r="D4816" t="s">
        <v>3929</v>
      </c>
      <c r="E4816">
        <v>6</v>
      </c>
      <c r="F4816" s="6">
        <v>750</v>
      </c>
      <c r="G4816" t="s">
        <v>3931</v>
      </c>
    </row>
    <row r="4817" spans="1:7">
      <c r="A4817" t="s">
        <v>10605</v>
      </c>
      <c r="B4817" t="s">
        <v>10606</v>
      </c>
      <c r="C4817" t="s">
        <v>3928</v>
      </c>
      <c r="D4817" t="s">
        <v>3929</v>
      </c>
      <c r="E4817">
        <v>6</v>
      </c>
      <c r="F4817" s="6">
        <v>1000</v>
      </c>
      <c r="G4817" t="s">
        <v>3694</v>
      </c>
    </row>
    <row r="4818" spans="1:7">
      <c r="A4818" t="s">
        <v>1427</v>
      </c>
      <c r="B4818" t="s">
        <v>10607</v>
      </c>
      <c r="C4818" t="s">
        <v>3928</v>
      </c>
      <c r="D4818" t="s">
        <v>3929</v>
      </c>
      <c r="E4818">
        <v>10</v>
      </c>
      <c r="F4818" s="6">
        <v>50</v>
      </c>
      <c r="G4818" t="s">
        <v>3694</v>
      </c>
    </row>
    <row r="4819" spans="1:7">
      <c r="A4819" t="s">
        <v>10608</v>
      </c>
      <c r="B4819" t="s">
        <v>10609</v>
      </c>
      <c r="C4819" t="s">
        <v>3928</v>
      </c>
      <c r="D4819" t="s">
        <v>3929</v>
      </c>
      <c r="E4819">
        <v>6</v>
      </c>
      <c r="F4819" s="6">
        <v>750</v>
      </c>
      <c r="G4819" t="s">
        <v>3694</v>
      </c>
    </row>
    <row r="4820" spans="1:7">
      <c r="A4820" t="s">
        <v>10610</v>
      </c>
      <c r="B4820" t="s">
        <v>4994</v>
      </c>
      <c r="C4820" t="s">
        <v>3928</v>
      </c>
      <c r="D4820" t="s">
        <v>3929</v>
      </c>
      <c r="E4820">
        <v>12</v>
      </c>
      <c r="F4820" s="6">
        <v>375</v>
      </c>
      <c r="G4820" t="s">
        <v>3694</v>
      </c>
    </row>
    <row r="4821" spans="1:7">
      <c r="A4821" t="s">
        <v>10611</v>
      </c>
      <c r="B4821" t="s">
        <v>10612</v>
      </c>
      <c r="C4821" t="s">
        <v>3928</v>
      </c>
      <c r="D4821" t="s">
        <v>3929</v>
      </c>
      <c r="E4821">
        <v>6</v>
      </c>
      <c r="F4821" s="6">
        <v>750</v>
      </c>
      <c r="G4821" t="s">
        <v>4163</v>
      </c>
    </row>
    <row r="4822" spans="1:7">
      <c r="A4822" t="s">
        <v>10613</v>
      </c>
      <c r="B4822" t="s">
        <v>10614</v>
      </c>
      <c r="C4822" t="s">
        <v>3928</v>
      </c>
      <c r="D4822" t="s">
        <v>3929</v>
      </c>
      <c r="E4822">
        <v>6</v>
      </c>
      <c r="F4822" s="6">
        <v>750</v>
      </c>
      <c r="G4822" t="s">
        <v>4163</v>
      </c>
    </row>
    <row r="4823" spans="1:7">
      <c r="A4823" t="s">
        <v>10615</v>
      </c>
      <c r="B4823" t="s">
        <v>10616</v>
      </c>
      <c r="C4823" t="s">
        <v>3928</v>
      </c>
      <c r="D4823" t="s">
        <v>3929</v>
      </c>
      <c r="E4823">
        <v>6</v>
      </c>
      <c r="F4823" s="6">
        <v>750</v>
      </c>
      <c r="G4823" t="s">
        <v>4163</v>
      </c>
    </row>
    <row r="4824" spans="1:7">
      <c r="A4824" t="s">
        <v>10617</v>
      </c>
      <c r="B4824" t="s">
        <v>10618</v>
      </c>
      <c r="C4824" t="s">
        <v>3928</v>
      </c>
      <c r="D4824" t="s">
        <v>3929</v>
      </c>
      <c r="E4824">
        <v>6</v>
      </c>
      <c r="F4824" s="6">
        <v>700</v>
      </c>
      <c r="G4824" t="s">
        <v>3694</v>
      </c>
    </row>
    <row r="4825" spans="1:7">
      <c r="A4825" t="s">
        <v>10619</v>
      </c>
      <c r="B4825" t="s">
        <v>10620</v>
      </c>
      <c r="C4825" t="s">
        <v>3928</v>
      </c>
      <c r="D4825" t="s">
        <v>3929</v>
      </c>
      <c r="E4825">
        <v>6</v>
      </c>
      <c r="F4825" s="6">
        <v>750</v>
      </c>
      <c r="G4825" t="s">
        <v>4163</v>
      </c>
    </row>
    <row r="4826" spans="1:7">
      <c r="A4826" t="s">
        <v>10621</v>
      </c>
      <c r="B4826" t="s">
        <v>10622</v>
      </c>
      <c r="C4826" t="s">
        <v>3928</v>
      </c>
      <c r="D4826" t="s">
        <v>3929</v>
      </c>
      <c r="E4826">
        <v>6</v>
      </c>
      <c r="F4826" s="6">
        <v>750</v>
      </c>
      <c r="G4826" t="s">
        <v>3854</v>
      </c>
    </row>
    <row r="4827" spans="1:7">
      <c r="A4827" t="s">
        <v>10623</v>
      </c>
      <c r="B4827" t="s">
        <v>10624</v>
      </c>
      <c r="C4827" t="s">
        <v>4452</v>
      </c>
      <c r="D4827" t="s">
        <v>4453</v>
      </c>
      <c r="E4827">
        <v>12</v>
      </c>
      <c r="F4827" s="6">
        <v>750</v>
      </c>
      <c r="G4827" t="s">
        <v>3754</v>
      </c>
    </row>
    <row r="4828" spans="1:7">
      <c r="A4828" t="s">
        <v>10625</v>
      </c>
      <c r="B4828" t="s">
        <v>10626</v>
      </c>
      <c r="C4828" t="s">
        <v>4071</v>
      </c>
      <c r="D4828" t="s">
        <v>4072</v>
      </c>
      <c r="E4828">
        <v>6</v>
      </c>
      <c r="F4828" s="6">
        <v>750</v>
      </c>
      <c r="G4828" t="s">
        <v>10475</v>
      </c>
    </row>
    <row r="4829" spans="1:7">
      <c r="A4829" t="s">
        <v>10627</v>
      </c>
      <c r="B4829" t="s">
        <v>10628</v>
      </c>
      <c r="C4829" t="s">
        <v>4071</v>
      </c>
      <c r="D4829" t="s">
        <v>4072</v>
      </c>
      <c r="E4829">
        <v>6</v>
      </c>
      <c r="F4829" s="6">
        <v>750</v>
      </c>
      <c r="G4829" t="s">
        <v>10475</v>
      </c>
    </row>
    <row r="4830" spans="1:7">
      <c r="A4830" t="s">
        <v>10629</v>
      </c>
      <c r="B4830" t="s">
        <v>10630</v>
      </c>
      <c r="C4830" t="s">
        <v>4244</v>
      </c>
      <c r="D4830" t="s">
        <v>4245</v>
      </c>
      <c r="E4830">
        <v>6</v>
      </c>
      <c r="F4830" s="6">
        <v>750</v>
      </c>
      <c r="G4830" t="s">
        <v>3854</v>
      </c>
    </row>
    <row r="4831" spans="1:7">
      <c r="A4831" t="s">
        <v>10631</v>
      </c>
      <c r="B4831" t="s">
        <v>10632</v>
      </c>
      <c r="C4831" t="s">
        <v>3928</v>
      </c>
      <c r="D4831" t="s">
        <v>3929</v>
      </c>
      <c r="E4831">
        <v>3</v>
      </c>
      <c r="F4831" s="6">
        <v>750</v>
      </c>
      <c r="G4831" t="s">
        <v>3702</v>
      </c>
    </row>
    <row r="4832" spans="1:7">
      <c r="A4832" t="s">
        <v>10633</v>
      </c>
      <c r="B4832" t="s">
        <v>10634</v>
      </c>
      <c r="C4832" t="s">
        <v>3708</v>
      </c>
      <c r="D4832" t="s">
        <v>3709</v>
      </c>
      <c r="E4832">
        <v>6</v>
      </c>
      <c r="F4832" s="6">
        <v>750</v>
      </c>
      <c r="G4832" t="s">
        <v>10208</v>
      </c>
    </row>
    <row r="4833" spans="1:7">
      <c r="A4833" t="s">
        <v>10635</v>
      </c>
      <c r="B4833" t="s">
        <v>10636</v>
      </c>
      <c r="C4833" t="s">
        <v>4244</v>
      </c>
      <c r="D4833" t="s">
        <v>4245</v>
      </c>
      <c r="E4833">
        <v>6</v>
      </c>
      <c r="F4833" s="6">
        <v>750</v>
      </c>
      <c r="G4833" t="s">
        <v>10637</v>
      </c>
    </row>
    <row r="4834" spans="1:7">
      <c r="A4834" t="s">
        <v>10638</v>
      </c>
      <c r="B4834" t="s">
        <v>10639</v>
      </c>
      <c r="C4834" t="s">
        <v>3928</v>
      </c>
      <c r="D4834" t="s">
        <v>3929</v>
      </c>
      <c r="E4834">
        <v>3</v>
      </c>
      <c r="F4834" s="6">
        <v>750</v>
      </c>
      <c r="G4834" t="s">
        <v>3931</v>
      </c>
    </row>
    <row r="4835" spans="1:7">
      <c r="A4835" t="s">
        <v>10640</v>
      </c>
      <c r="B4835" t="s">
        <v>10641</v>
      </c>
      <c r="C4835" t="s">
        <v>4071</v>
      </c>
      <c r="D4835" t="s">
        <v>4072</v>
      </c>
      <c r="E4835">
        <v>6</v>
      </c>
      <c r="F4835" s="6">
        <v>750</v>
      </c>
      <c r="G4835" t="s">
        <v>4930</v>
      </c>
    </row>
    <row r="4836" spans="1:7">
      <c r="A4836" t="s">
        <v>10642</v>
      </c>
      <c r="B4836" t="s">
        <v>10643</v>
      </c>
      <c r="C4836" t="s">
        <v>3928</v>
      </c>
      <c r="D4836" t="s">
        <v>3929</v>
      </c>
      <c r="E4836">
        <v>6</v>
      </c>
      <c r="F4836" s="6">
        <v>750</v>
      </c>
      <c r="G4836" t="s">
        <v>10637</v>
      </c>
    </row>
    <row r="4837" spans="1:7">
      <c r="A4837" t="s">
        <v>10644</v>
      </c>
      <c r="B4837" t="s">
        <v>10645</v>
      </c>
      <c r="C4837" t="s">
        <v>4071</v>
      </c>
      <c r="D4837" t="s">
        <v>4072</v>
      </c>
      <c r="E4837">
        <v>6</v>
      </c>
      <c r="F4837" s="6">
        <v>750</v>
      </c>
      <c r="G4837" t="s">
        <v>10646</v>
      </c>
    </row>
    <row r="4838" spans="1:7">
      <c r="A4838" t="s">
        <v>10647</v>
      </c>
      <c r="B4838" t="s">
        <v>10648</v>
      </c>
      <c r="C4838" t="s">
        <v>3928</v>
      </c>
      <c r="D4838" t="s">
        <v>3929</v>
      </c>
      <c r="E4838">
        <v>3</v>
      </c>
      <c r="F4838" s="6">
        <v>750</v>
      </c>
      <c r="G4838" t="s">
        <v>3931</v>
      </c>
    </row>
    <row r="4839" spans="1:7">
      <c r="A4839" t="s">
        <v>10649</v>
      </c>
      <c r="B4839" t="s">
        <v>5032</v>
      </c>
      <c r="C4839" t="s">
        <v>4244</v>
      </c>
      <c r="D4839" t="s">
        <v>4245</v>
      </c>
      <c r="E4839">
        <v>6</v>
      </c>
      <c r="F4839" s="6">
        <v>750</v>
      </c>
      <c r="G4839" t="s">
        <v>3931</v>
      </c>
    </row>
    <row r="4840" spans="1:7">
      <c r="A4840" t="s">
        <v>10650</v>
      </c>
      <c r="B4840" t="s">
        <v>5034</v>
      </c>
      <c r="C4840" t="s">
        <v>4244</v>
      </c>
      <c r="D4840" t="s">
        <v>4245</v>
      </c>
      <c r="E4840">
        <v>6</v>
      </c>
      <c r="F4840" s="6">
        <v>750</v>
      </c>
      <c r="G4840" t="s">
        <v>4919</v>
      </c>
    </row>
    <row r="4841" spans="1:7">
      <c r="A4841" t="s">
        <v>10651</v>
      </c>
      <c r="B4841" t="s">
        <v>5036</v>
      </c>
      <c r="C4841" t="s">
        <v>4244</v>
      </c>
      <c r="D4841" t="s">
        <v>4245</v>
      </c>
      <c r="E4841">
        <v>6</v>
      </c>
      <c r="F4841" s="6">
        <v>750</v>
      </c>
      <c r="G4841" t="s">
        <v>4919</v>
      </c>
    </row>
    <row r="4842" spans="1:7">
      <c r="A4842" t="s">
        <v>10652</v>
      </c>
      <c r="B4842" t="s">
        <v>10653</v>
      </c>
      <c r="C4842" t="s">
        <v>3692</v>
      </c>
      <c r="D4842" t="s">
        <v>3693</v>
      </c>
      <c r="E4842">
        <v>6</v>
      </c>
      <c r="F4842" s="6">
        <v>750</v>
      </c>
      <c r="G4842" t="s">
        <v>10654</v>
      </c>
    </row>
    <row r="4843" spans="1:7">
      <c r="A4843" t="s">
        <v>10655</v>
      </c>
      <c r="B4843" t="s">
        <v>10656</v>
      </c>
      <c r="C4843" t="s">
        <v>4071</v>
      </c>
      <c r="D4843" t="s">
        <v>4072</v>
      </c>
      <c r="E4843">
        <v>6</v>
      </c>
      <c r="F4843" s="6">
        <v>750</v>
      </c>
      <c r="G4843" t="s">
        <v>3802</v>
      </c>
    </row>
    <row r="4844" spans="1:7">
      <c r="A4844" t="s">
        <v>10657</v>
      </c>
      <c r="B4844" t="s">
        <v>10658</v>
      </c>
      <c r="C4844" t="s">
        <v>3808</v>
      </c>
      <c r="D4844" t="s">
        <v>3809</v>
      </c>
      <c r="E4844">
        <v>12</v>
      </c>
      <c r="F4844" s="6">
        <v>750</v>
      </c>
      <c r="G4844" t="s">
        <v>7756</v>
      </c>
    </row>
    <row r="4845" spans="1:7">
      <c r="A4845" t="s">
        <v>10659</v>
      </c>
      <c r="B4845" t="s">
        <v>10660</v>
      </c>
      <c r="C4845" t="s">
        <v>3808</v>
      </c>
      <c r="D4845" t="s">
        <v>3809</v>
      </c>
      <c r="E4845">
        <v>12</v>
      </c>
      <c r="F4845" s="6">
        <v>750</v>
      </c>
      <c r="G4845" t="s">
        <v>7756</v>
      </c>
    </row>
    <row r="4846" spans="1:7">
      <c r="A4846" t="s">
        <v>10661</v>
      </c>
      <c r="B4846" t="s">
        <v>10662</v>
      </c>
      <c r="C4846" t="s">
        <v>3808</v>
      </c>
      <c r="D4846" t="s">
        <v>3809</v>
      </c>
      <c r="E4846">
        <v>12</v>
      </c>
      <c r="F4846" s="6">
        <v>750</v>
      </c>
      <c r="G4846" t="s">
        <v>7756</v>
      </c>
    </row>
    <row r="4847" spans="1:7">
      <c r="A4847" t="s">
        <v>10663</v>
      </c>
      <c r="B4847" t="s">
        <v>10664</v>
      </c>
      <c r="C4847" t="s">
        <v>3808</v>
      </c>
      <c r="D4847" t="s">
        <v>3809</v>
      </c>
      <c r="E4847">
        <v>6</v>
      </c>
      <c r="F4847" s="6">
        <v>750</v>
      </c>
      <c r="G4847" t="s">
        <v>3781</v>
      </c>
    </row>
    <row r="4848" spans="1:7">
      <c r="A4848" t="s">
        <v>10665</v>
      </c>
      <c r="B4848" t="s">
        <v>5040</v>
      </c>
      <c r="C4848" t="s">
        <v>3808</v>
      </c>
      <c r="D4848" t="s">
        <v>3809</v>
      </c>
      <c r="E4848">
        <v>6</v>
      </c>
      <c r="F4848" s="6">
        <v>750</v>
      </c>
      <c r="G4848" t="s">
        <v>3781</v>
      </c>
    </row>
    <row r="4849" spans="1:7">
      <c r="A4849" t="s">
        <v>10666</v>
      </c>
      <c r="B4849" t="s">
        <v>10667</v>
      </c>
      <c r="C4849" t="s">
        <v>3928</v>
      </c>
      <c r="D4849" t="s">
        <v>3929</v>
      </c>
      <c r="E4849">
        <v>6</v>
      </c>
      <c r="F4849" s="6">
        <v>750</v>
      </c>
      <c r="G4849" t="s">
        <v>4463</v>
      </c>
    </row>
    <row r="4850" spans="1:7">
      <c r="A4850" t="s">
        <v>10668</v>
      </c>
      <c r="B4850" t="s">
        <v>10669</v>
      </c>
      <c r="C4850" t="s">
        <v>3808</v>
      </c>
      <c r="D4850" t="s">
        <v>3809</v>
      </c>
      <c r="E4850">
        <v>6</v>
      </c>
      <c r="F4850" s="6">
        <v>700</v>
      </c>
      <c r="G4850" t="s">
        <v>3702</v>
      </c>
    </row>
    <row r="4851" spans="1:7">
      <c r="A4851" t="s">
        <v>10670</v>
      </c>
      <c r="B4851" t="s">
        <v>10671</v>
      </c>
      <c r="C4851" t="s">
        <v>3808</v>
      </c>
      <c r="D4851" t="s">
        <v>3809</v>
      </c>
      <c r="E4851">
        <v>6</v>
      </c>
      <c r="F4851" s="6">
        <v>700</v>
      </c>
      <c r="G4851" t="s">
        <v>3702</v>
      </c>
    </row>
    <row r="4852" spans="1:7">
      <c r="A4852" t="s">
        <v>10672</v>
      </c>
      <c r="B4852" t="s">
        <v>5057</v>
      </c>
      <c r="C4852" t="s">
        <v>3928</v>
      </c>
      <c r="D4852" t="s">
        <v>3929</v>
      </c>
      <c r="E4852">
        <v>6</v>
      </c>
      <c r="F4852" s="6">
        <v>750</v>
      </c>
      <c r="G4852" t="s">
        <v>4285</v>
      </c>
    </row>
    <row r="4853" spans="1:7">
      <c r="A4853" t="s">
        <v>10673</v>
      </c>
      <c r="B4853" t="s">
        <v>10674</v>
      </c>
      <c r="C4853" t="s">
        <v>3718</v>
      </c>
      <c r="D4853" t="s">
        <v>3719</v>
      </c>
      <c r="E4853">
        <v>6</v>
      </c>
      <c r="F4853" s="6">
        <v>700</v>
      </c>
      <c r="G4853" t="s">
        <v>3702</v>
      </c>
    </row>
    <row r="4854" spans="1:7">
      <c r="A4854" t="s">
        <v>10675</v>
      </c>
      <c r="B4854" t="s">
        <v>10676</v>
      </c>
      <c r="C4854" t="s">
        <v>3808</v>
      </c>
      <c r="D4854" t="s">
        <v>3809</v>
      </c>
      <c r="E4854">
        <v>6</v>
      </c>
      <c r="F4854" s="6">
        <v>750</v>
      </c>
      <c r="G4854" t="s">
        <v>3802</v>
      </c>
    </row>
    <row r="4855" spans="1:7">
      <c r="A4855" t="s">
        <v>10677</v>
      </c>
      <c r="B4855" t="s">
        <v>5072</v>
      </c>
      <c r="C4855" t="s">
        <v>3808</v>
      </c>
      <c r="D4855" t="s">
        <v>3809</v>
      </c>
      <c r="E4855">
        <v>6</v>
      </c>
      <c r="F4855" s="6">
        <v>750</v>
      </c>
      <c r="G4855" t="s">
        <v>3871</v>
      </c>
    </row>
    <row r="4856" spans="1:7">
      <c r="A4856" t="s">
        <v>10678</v>
      </c>
      <c r="B4856" t="s">
        <v>10679</v>
      </c>
      <c r="C4856" t="s">
        <v>4452</v>
      </c>
      <c r="D4856" t="s">
        <v>4453</v>
      </c>
      <c r="E4856">
        <v>12</v>
      </c>
      <c r="F4856" s="6">
        <v>750</v>
      </c>
      <c r="G4856" t="s">
        <v>5748</v>
      </c>
    </row>
    <row r="4857" spans="1:7">
      <c r="A4857" t="s">
        <v>10680</v>
      </c>
      <c r="B4857" t="s">
        <v>10681</v>
      </c>
      <c r="C4857" t="s">
        <v>3928</v>
      </c>
      <c r="D4857" t="s">
        <v>3929</v>
      </c>
      <c r="E4857">
        <v>6</v>
      </c>
      <c r="F4857" s="6">
        <v>750</v>
      </c>
      <c r="G4857" t="s">
        <v>10682</v>
      </c>
    </row>
    <row r="4858" spans="1:7">
      <c r="A4858" t="s">
        <v>10683</v>
      </c>
      <c r="B4858" t="s">
        <v>10684</v>
      </c>
      <c r="C4858" t="s">
        <v>4071</v>
      </c>
      <c r="D4858" t="s">
        <v>4072</v>
      </c>
      <c r="E4858">
        <v>6</v>
      </c>
      <c r="F4858" s="6">
        <v>750</v>
      </c>
      <c r="G4858" t="s">
        <v>4919</v>
      </c>
    </row>
    <row r="4859" spans="1:7">
      <c r="A4859" t="s">
        <v>10685</v>
      </c>
      <c r="B4859" t="s">
        <v>10686</v>
      </c>
      <c r="C4859" t="s">
        <v>3928</v>
      </c>
      <c r="D4859" t="s">
        <v>3929</v>
      </c>
      <c r="E4859">
        <v>6</v>
      </c>
      <c r="F4859" s="6">
        <v>750</v>
      </c>
      <c r="G4859" t="s">
        <v>4285</v>
      </c>
    </row>
    <row r="4860" spans="1:7">
      <c r="A4860" t="s">
        <v>10687</v>
      </c>
      <c r="B4860" t="s">
        <v>10688</v>
      </c>
      <c r="C4860" t="s">
        <v>4244</v>
      </c>
      <c r="D4860" t="s">
        <v>4245</v>
      </c>
      <c r="E4860">
        <v>6</v>
      </c>
      <c r="F4860" s="6">
        <v>750</v>
      </c>
      <c r="G4860" t="s">
        <v>10637</v>
      </c>
    </row>
    <row r="4861" spans="1:7">
      <c r="A4861" t="s">
        <v>10689</v>
      </c>
      <c r="B4861" t="s">
        <v>10690</v>
      </c>
      <c r="C4861" t="s">
        <v>4244</v>
      </c>
      <c r="D4861" t="s">
        <v>4245</v>
      </c>
      <c r="E4861">
        <v>6</v>
      </c>
      <c r="F4861" s="6">
        <v>750</v>
      </c>
      <c r="G4861" t="s">
        <v>10637</v>
      </c>
    </row>
    <row r="4862" spans="1:7">
      <c r="A4862" t="s">
        <v>10691</v>
      </c>
      <c r="B4862" t="s">
        <v>10692</v>
      </c>
      <c r="C4862" t="s">
        <v>3808</v>
      </c>
      <c r="D4862" t="s">
        <v>3809</v>
      </c>
      <c r="E4862">
        <v>6</v>
      </c>
      <c r="F4862" s="6">
        <v>750</v>
      </c>
      <c r="G4862" t="s">
        <v>3781</v>
      </c>
    </row>
    <row r="4863" spans="1:7">
      <c r="A4863" t="s">
        <v>10693</v>
      </c>
      <c r="B4863" t="s">
        <v>10694</v>
      </c>
      <c r="C4863" t="s">
        <v>3808</v>
      </c>
      <c r="D4863" t="s">
        <v>3809</v>
      </c>
      <c r="E4863">
        <v>6</v>
      </c>
      <c r="F4863" s="6">
        <v>750</v>
      </c>
      <c r="G4863" t="s">
        <v>5084</v>
      </c>
    </row>
    <row r="4864" spans="1:7">
      <c r="A4864" t="s">
        <v>10695</v>
      </c>
      <c r="B4864" t="s">
        <v>10696</v>
      </c>
      <c r="C4864" t="s">
        <v>3808</v>
      </c>
      <c r="D4864" t="s">
        <v>3809</v>
      </c>
      <c r="E4864">
        <v>6</v>
      </c>
      <c r="F4864" s="6">
        <v>750</v>
      </c>
      <c r="G4864" t="s">
        <v>5084</v>
      </c>
    </row>
    <row r="4865" spans="1:7">
      <c r="A4865" t="s">
        <v>10697</v>
      </c>
      <c r="B4865" t="s">
        <v>10698</v>
      </c>
      <c r="C4865" t="s">
        <v>5668</v>
      </c>
      <c r="D4865" t="s">
        <v>5669</v>
      </c>
      <c r="E4865">
        <v>6</v>
      </c>
      <c r="F4865" s="6">
        <v>750</v>
      </c>
      <c r="G4865" t="s">
        <v>10637</v>
      </c>
    </row>
    <row r="4866" spans="1:7">
      <c r="A4866" t="s">
        <v>10699</v>
      </c>
      <c r="B4866" t="s">
        <v>10700</v>
      </c>
      <c r="C4866" t="s">
        <v>4071</v>
      </c>
      <c r="D4866" t="s">
        <v>4072</v>
      </c>
      <c r="E4866">
        <v>6</v>
      </c>
      <c r="F4866" s="6">
        <v>750</v>
      </c>
      <c r="G4866" t="s">
        <v>3878</v>
      </c>
    </row>
    <row r="4867" spans="1:7">
      <c r="A4867" t="s">
        <v>10701</v>
      </c>
      <c r="B4867" t="s">
        <v>10702</v>
      </c>
      <c r="C4867" t="s">
        <v>4071</v>
      </c>
      <c r="D4867" t="s">
        <v>4072</v>
      </c>
      <c r="E4867">
        <v>6</v>
      </c>
      <c r="F4867" s="6">
        <v>750</v>
      </c>
      <c r="G4867" t="s">
        <v>3878</v>
      </c>
    </row>
    <row r="4868" spans="1:7">
      <c r="A4868" t="s">
        <v>10703</v>
      </c>
      <c r="B4868" t="s">
        <v>10704</v>
      </c>
      <c r="C4868" t="s">
        <v>4071</v>
      </c>
      <c r="D4868" t="s">
        <v>4072</v>
      </c>
      <c r="E4868">
        <v>6</v>
      </c>
      <c r="F4868" s="6">
        <v>750</v>
      </c>
      <c r="G4868" t="s">
        <v>3878</v>
      </c>
    </row>
    <row r="4869" spans="1:7">
      <c r="A4869" t="s">
        <v>10705</v>
      </c>
      <c r="B4869" t="s">
        <v>10706</v>
      </c>
      <c r="C4869" t="s">
        <v>3808</v>
      </c>
      <c r="D4869" t="s">
        <v>3809</v>
      </c>
      <c r="E4869">
        <v>12</v>
      </c>
      <c r="F4869" s="6">
        <v>1000</v>
      </c>
      <c r="G4869" t="s">
        <v>3802</v>
      </c>
    </row>
    <row r="4870" spans="1:7">
      <c r="A4870" t="s">
        <v>10707</v>
      </c>
      <c r="B4870" t="s">
        <v>10708</v>
      </c>
      <c r="C4870" t="s">
        <v>3808</v>
      </c>
      <c r="D4870" t="s">
        <v>3809</v>
      </c>
      <c r="E4870">
        <v>6</v>
      </c>
      <c r="F4870" s="6">
        <v>750</v>
      </c>
      <c r="G4870" t="s">
        <v>10199</v>
      </c>
    </row>
    <row r="4871" spans="1:7">
      <c r="A4871" t="s">
        <v>10709</v>
      </c>
      <c r="B4871" t="s">
        <v>10710</v>
      </c>
      <c r="C4871" t="s">
        <v>3928</v>
      </c>
      <c r="D4871" t="s">
        <v>3929</v>
      </c>
      <c r="E4871">
        <v>6</v>
      </c>
      <c r="F4871" s="6">
        <v>750</v>
      </c>
      <c r="G4871" t="s">
        <v>10711</v>
      </c>
    </row>
    <row r="4872" spans="1:7">
      <c r="A4872" t="s">
        <v>10712</v>
      </c>
      <c r="B4872" t="s">
        <v>10713</v>
      </c>
      <c r="C4872" t="s">
        <v>3808</v>
      </c>
      <c r="D4872" t="s">
        <v>3809</v>
      </c>
      <c r="E4872">
        <v>1</v>
      </c>
      <c r="F4872" s="6">
        <v>750</v>
      </c>
      <c r="G4872" t="s">
        <v>3686</v>
      </c>
    </row>
    <row r="4873" spans="1:7">
      <c r="A4873" t="s">
        <v>958</v>
      </c>
      <c r="B4873" t="s">
        <v>10714</v>
      </c>
      <c r="C4873" t="s">
        <v>3928</v>
      </c>
      <c r="D4873" t="s">
        <v>3929</v>
      </c>
      <c r="E4873">
        <v>6</v>
      </c>
      <c r="F4873" s="6">
        <v>750</v>
      </c>
      <c r="G4873" t="s">
        <v>3716</v>
      </c>
    </row>
    <row r="4874" spans="1:7">
      <c r="A4874" t="s">
        <v>10715</v>
      </c>
      <c r="B4874" t="s">
        <v>10716</v>
      </c>
      <c r="C4874" t="s">
        <v>3928</v>
      </c>
      <c r="D4874" t="s">
        <v>3929</v>
      </c>
      <c r="E4874">
        <v>12</v>
      </c>
      <c r="F4874" s="6">
        <v>750</v>
      </c>
      <c r="G4874" t="s">
        <v>3686</v>
      </c>
    </row>
    <row r="4875" spans="1:7">
      <c r="A4875" t="s">
        <v>10717</v>
      </c>
      <c r="B4875" t="s">
        <v>10718</v>
      </c>
      <c r="C4875" t="s">
        <v>4474</v>
      </c>
      <c r="D4875" t="s">
        <v>4475</v>
      </c>
      <c r="E4875">
        <v>3</v>
      </c>
      <c r="F4875" s="6">
        <v>750</v>
      </c>
      <c r="G4875" t="s">
        <v>3931</v>
      </c>
    </row>
    <row r="4876" spans="1:7">
      <c r="A4876" t="s">
        <v>10719</v>
      </c>
      <c r="B4876" t="s">
        <v>10720</v>
      </c>
      <c r="C4876" t="s">
        <v>4474</v>
      </c>
      <c r="D4876" t="s">
        <v>4475</v>
      </c>
      <c r="E4876">
        <v>12</v>
      </c>
      <c r="F4876" s="6">
        <v>750</v>
      </c>
      <c r="G4876" t="s">
        <v>7756</v>
      </c>
    </row>
    <row r="4877" spans="1:7">
      <c r="A4877" t="s">
        <v>10721</v>
      </c>
      <c r="B4877" t="s">
        <v>10722</v>
      </c>
      <c r="C4877" t="s">
        <v>4452</v>
      </c>
      <c r="D4877" t="s">
        <v>4453</v>
      </c>
      <c r="E4877">
        <v>6</v>
      </c>
      <c r="F4877" s="6">
        <v>750</v>
      </c>
      <c r="G4877" t="s">
        <v>4899</v>
      </c>
    </row>
    <row r="4878" spans="1:7">
      <c r="A4878" t="s">
        <v>2594</v>
      </c>
      <c r="B4878" t="s">
        <v>5119</v>
      </c>
      <c r="C4878" t="s">
        <v>3808</v>
      </c>
      <c r="D4878" t="s">
        <v>3809</v>
      </c>
      <c r="E4878">
        <v>10</v>
      </c>
      <c r="F4878" s="6">
        <v>50</v>
      </c>
      <c r="G4878" t="s">
        <v>3686</v>
      </c>
    </row>
    <row r="4879" spans="1:7">
      <c r="A4879" t="s">
        <v>10723</v>
      </c>
      <c r="B4879" t="s">
        <v>10724</v>
      </c>
      <c r="C4879" t="s">
        <v>4244</v>
      </c>
      <c r="D4879" t="s">
        <v>4245</v>
      </c>
      <c r="E4879">
        <v>6</v>
      </c>
      <c r="F4879" s="6">
        <v>750</v>
      </c>
      <c r="G4879" t="s">
        <v>4899</v>
      </c>
    </row>
    <row r="4880" spans="1:7">
      <c r="A4880" t="s">
        <v>10725</v>
      </c>
      <c r="B4880" t="s">
        <v>10726</v>
      </c>
      <c r="C4880" t="s">
        <v>4071</v>
      </c>
      <c r="D4880" t="s">
        <v>4072</v>
      </c>
      <c r="E4880">
        <v>6</v>
      </c>
      <c r="F4880" s="6">
        <v>750</v>
      </c>
      <c r="G4880" t="s">
        <v>4917</v>
      </c>
    </row>
    <row r="4881" spans="1:7">
      <c r="A4881" t="s">
        <v>10727</v>
      </c>
      <c r="B4881" t="s">
        <v>10728</v>
      </c>
      <c r="C4881" t="s">
        <v>4244</v>
      </c>
      <c r="D4881" t="s">
        <v>4245</v>
      </c>
      <c r="E4881">
        <v>6</v>
      </c>
      <c r="F4881" s="6">
        <v>750</v>
      </c>
      <c r="G4881" t="s">
        <v>4917</v>
      </c>
    </row>
    <row r="4882" spans="1:7">
      <c r="A4882" t="s">
        <v>10729</v>
      </c>
      <c r="B4882" t="s">
        <v>10730</v>
      </c>
      <c r="C4882" t="s">
        <v>4071</v>
      </c>
      <c r="D4882" t="s">
        <v>4072</v>
      </c>
      <c r="E4882">
        <v>6</v>
      </c>
      <c r="F4882" s="6">
        <v>750</v>
      </c>
      <c r="G4882" t="s">
        <v>4917</v>
      </c>
    </row>
    <row r="4883" spans="1:7">
      <c r="A4883" t="s">
        <v>10731</v>
      </c>
      <c r="B4883" t="s">
        <v>10732</v>
      </c>
      <c r="C4883" t="s">
        <v>4244</v>
      </c>
      <c r="D4883" t="s">
        <v>4245</v>
      </c>
      <c r="E4883">
        <v>6</v>
      </c>
      <c r="F4883" s="6">
        <v>700</v>
      </c>
      <c r="G4883" t="s">
        <v>4463</v>
      </c>
    </row>
    <row r="4884" spans="1:7">
      <c r="A4884" t="s">
        <v>1854</v>
      </c>
      <c r="B4884" t="s">
        <v>10733</v>
      </c>
      <c r="C4884" t="s">
        <v>3808</v>
      </c>
      <c r="D4884" t="s">
        <v>3809</v>
      </c>
      <c r="E4884">
        <v>6</v>
      </c>
      <c r="F4884" s="6">
        <v>750</v>
      </c>
      <c r="G4884" t="s">
        <v>4291</v>
      </c>
    </row>
    <row r="4885" spans="1:7">
      <c r="A4885" t="s">
        <v>10734</v>
      </c>
      <c r="B4885" t="s">
        <v>10735</v>
      </c>
      <c r="C4885" t="s">
        <v>4244</v>
      </c>
      <c r="D4885" t="s">
        <v>4245</v>
      </c>
      <c r="E4885">
        <v>6</v>
      </c>
      <c r="F4885" s="6">
        <v>750</v>
      </c>
      <c r="G4885" t="s">
        <v>4163</v>
      </c>
    </row>
    <row r="4886" spans="1:7">
      <c r="A4886" t="s">
        <v>10736</v>
      </c>
      <c r="B4886" t="s">
        <v>10737</v>
      </c>
      <c r="C4886" t="s">
        <v>4244</v>
      </c>
      <c r="D4886" t="s">
        <v>4245</v>
      </c>
      <c r="E4886">
        <v>6</v>
      </c>
      <c r="F4886" s="6">
        <v>750</v>
      </c>
      <c r="G4886" t="s">
        <v>10711</v>
      </c>
    </row>
    <row r="4887" spans="1:7">
      <c r="A4887" t="s">
        <v>10738</v>
      </c>
      <c r="B4887" t="s">
        <v>10739</v>
      </c>
      <c r="C4887" t="s">
        <v>4436</v>
      </c>
      <c r="D4887" t="s">
        <v>4437</v>
      </c>
      <c r="E4887">
        <v>6</v>
      </c>
      <c r="F4887" s="6">
        <v>750</v>
      </c>
      <c r="G4887" t="s">
        <v>10740</v>
      </c>
    </row>
    <row r="4888" spans="1:7">
      <c r="A4888" t="s">
        <v>10741</v>
      </c>
      <c r="B4888" t="s">
        <v>10742</v>
      </c>
      <c r="C4888" t="s">
        <v>4071</v>
      </c>
      <c r="D4888" t="s">
        <v>4072</v>
      </c>
      <c r="E4888">
        <v>6</v>
      </c>
      <c r="F4888" s="6">
        <v>750</v>
      </c>
      <c r="G4888" t="s">
        <v>10646</v>
      </c>
    </row>
    <row r="4889" spans="1:7">
      <c r="A4889" t="s">
        <v>10743</v>
      </c>
      <c r="B4889" t="s">
        <v>10744</v>
      </c>
      <c r="C4889" t="s">
        <v>4244</v>
      </c>
      <c r="D4889" t="s">
        <v>4245</v>
      </c>
      <c r="E4889">
        <v>3</v>
      </c>
      <c r="F4889" s="6">
        <v>750</v>
      </c>
      <c r="G4889" t="s">
        <v>3931</v>
      </c>
    </row>
    <row r="4890" spans="1:7">
      <c r="A4890" t="s">
        <v>10745</v>
      </c>
      <c r="B4890" t="s">
        <v>10746</v>
      </c>
      <c r="C4890" t="s">
        <v>4244</v>
      </c>
      <c r="D4890" t="s">
        <v>4245</v>
      </c>
      <c r="E4890">
        <v>6</v>
      </c>
      <c r="F4890" s="6">
        <v>750</v>
      </c>
      <c r="G4890" t="s">
        <v>10528</v>
      </c>
    </row>
    <row r="4891" spans="1:7">
      <c r="A4891" t="s">
        <v>10747</v>
      </c>
      <c r="B4891" t="s">
        <v>10748</v>
      </c>
      <c r="C4891" t="s">
        <v>4244</v>
      </c>
      <c r="D4891" t="s">
        <v>4245</v>
      </c>
      <c r="E4891">
        <v>6</v>
      </c>
      <c r="F4891" s="6">
        <v>750</v>
      </c>
      <c r="G4891" t="s">
        <v>5215</v>
      </c>
    </row>
    <row r="4892" spans="1:7">
      <c r="A4892" t="s">
        <v>10749</v>
      </c>
      <c r="B4892" t="s">
        <v>10750</v>
      </c>
      <c r="C4892" t="s">
        <v>3808</v>
      </c>
      <c r="D4892" t="s">
        <v>3809</v>
      </c>
      <c r="E4892">
        <v>6</v>
      </c>
      <c r="F4892" s="6">
        <v>750</v>
      </c>
      <c r="G4892" t="s">
        <v>4463</v>
      </c>
    </row>
    <row r="4893" spans="1:7">
      <c r="A4893" t="s">
        <v>10751</v>
      </c>
      <c r="B4893" t="s">
        <v>10752</v>
      </c>
      <c r="C4893" t="s">
        <v>3808</v>
      </c>
      <c r="D4893" t="s">
        <v>3809</v>
      </c>
      <c r="E4893">
        <v>6</v>
      </c>
      <c r="F4893" s="6">
        <v>750</v>
      </c>
      <c r="G4893" t="s">
        <v>3702</v>
      </c>
    </row>
    <row r="4894" spans="1:7">
      <c r="A4894" t="s">
        <v>10753</v>
      </c>
      <c r="B4894" t="s">
        <v>10754</v>
      </c>
      <c r="C4894" t="s">
        <v>4436</v>
      </c>
      <c r="D4894" t="s">
        <v>4437</v>
      </c>
      <c r="E4894">
        <v>6</v>
      </c>
      <c r="F4894" s="6">
        <v>700</v>
      </c>
      <c r="G4894" t="s">
        <v>4163</v>
      </c>
    </row>
    <row r="4895" spans="1:7">
      <c r="A4895" t="s">
        <v>3100</v>
      </c>
      <c r="B4895" t="s">
        <v>10755</v>
      </c>
      <c r="C4895" t="s">
        <v>4244</v>
      </c>
      <c r="D4895" t="s">
        <v>4245</v>
      </c>
      <c r="E4895">
        <v>6</v>
      </c>
      <c r="F4895" s="6">
        <v>750</v>
      </c>
      <c r="G4895" t="s">
        <v>10453</v>
      </c>
    </row>
    <row r="4896" spans="1:7">
      <c r="A4896" t="s">
        <v>10756</v>
      </c>
      <c r="B4896" t="s">
        <v>10757</v>
      </c>
      <c r="C4896" t="s">
        <v>4071</v>
      </c>
      <c r="D4896" t="s">
        <v>4072</v>
      </c>
      <c r="E4896">
        <v>6</v>
      </c>
      <c r="F4896" s="6">
        <v>750</v>
      </c>
      <c r="G4896" t="s">
        <v>10758</v>
      </c>
    </row>
    <row r="4897" spans="1:7">
      <c r="A4897" t="s">
        <v>10759</v>
      </c>
      <c r="B4897" t="s">
        <v>10760</v>
      </c>
      <c r="C4897" t="s">
        <v>4244</v>
      </c>
      <c r="D4897" t="s">
        <v>4245</v>
      </c>
      <c r="E4897">
        <v>6</v>
      </c>
      <c r="F4897" s="6">
        <v>750</v>
      </c>
      <c r="G4897" t="s">
        <v>4463</v>
      </c>
    </row>
    <row r="4898" spans="1:7">
      <c r="A4898" t="s">
        <v>10761</v>
      </c>
      <c r="B4898" t="s">
        <v>10762</v>
      </c>
      <c r="C4898" t="s">
        <v>4244</v>
      </c>
      <c r="D4898" t="s">
        <v>4245</v>
      </c>
      <c r="E4898">
        <v>6</v>
      </c>
      <c r="F4898" s="6">
        <v>750</v>
      </c>
      <c r="G4898" t="s">
        <v>10528</v>
      </c>
    </row>
    <row r="4899" spans="1:7">
      <c r="A4899" t="s">
        <v>10763</v>
      </c>
      <c r="B4899" t="s">
        <v>10764</v>
      </c>
      <c r="C4899" t="s">
        <v>4244</v>
      </c>
      <c r="D4899" t="s">
        <v>4245</v>
      </c>
      <c r="E4899">
        <v>6</v>
      </c>
      <c r="F4899" s="6">
        <v>750</v>
      </c>
      <c r="G4899" t="s">
        <v>10528</v>
      </c>
    </row>
    <row r="4900" spans="1:7">
      <c r="A4900" t="s">
        <v>10765</v>
      </c>
      <c r="B4900" t="s">
        <v>10766</v>
      </c>
      <c r="C4900" t="s">
        <v>4244</v>
      </c>
      <c r="D4900" t="s">
        <v>4245</v>
      </c>
      <c r="E4900">
        <v>3</v>
      </c>
      <c r="F4900" s="6">
        <v>750</v>
      </c>
      <c r="G4900" t="s">
        <v>3854</v>
      </c>
    </row>
    <row r="4901" spans="1:7">
      <c r="A4901" t="s">
        <v>10767</v>
      </c>
      <c r="B4901" t="s">
        <v>10768</v>
      </c>
      <c r="C4901" t="s">
        <v>4244</v>
      </c>
      <c r="D4901" t="s">
        <v>4245</v>
      </c>
      <c r="E4901">
        <v>6</v>
      </c>
      <c r="F4901" s="6">
        <v>750</v>
      </c>
      <c r="G4901" t="s">
        <v>3702</v>
      </c>
    </row>
    <row r="4902" spans="1:7">
      <c r="A4902" t="s">
        <v>10769</v>
      </c>
      <c r="B4902" t="s">
        <v>10770</v>
      </c>
      <c r="C4902" t="s">
        <v>3928</v>
      </c>
      <c r="D4902" t="s">
        <v>3929</v>
      </c>
      <c r="E4902">
        <v>6</v>
      </c>
      <c r="F4902" s="6">
        <v>750</v>
      </c>
      <c r="G4902" t="s">
        <v>3686</v>
      </c>
    </row>
    <row r="4903" spans="1:7">
      <c r="A4903" t="s">
        <v>10771</v>
      </c>
      <c r="B4903" t="s">
        <v>10772</v>
      </c>
      <c r="C4903" t="s">
        <v>4244</v>
      </c>
      <c r="D4903" t="s">
        <v>4245</v>
      </c>
      <c r="E4903">
        <v>6</v>
      </c>
      <c r="F4903" s="6">
        <v>750</v>
      </c>
      <c r="G4903" t="s">
        <v>4225</v>
      </c>
    </row>
    <row r="4904" spans="1:7">
      <c r="A4904" t="s">
        <v>10773</v>
      </c>
      <c r="B4904" t="s">
        <v>10774</v>
      </c>
      <c r="C4904" t="s">
        <v>4244</v>
      </c>
      <c r="D4904" t="s">
        <v>4245</v>
      </c>
      <c r="E4904">
        <v>6</v>
      </c>
      <c r="F4904" s="6">
        <v>750</v>
      </c>
      <c r="G4904" t="s">
        <v>4840</v>
      </c>
    </row>
    <row r="4905" spans="1:7">
      <c r="A4905" t="s">
        <v>10775</v>
      </c>
      <c r="B4905" t="s">
        <v>10776</v>
      </c>
      <c r="C4905" t="s">
        <v>3808</v>
      </c>
      <c r="D4905" t="s">
        <v>3809</v>
      </c>
      <c r="E4905">
        <v>12</v>
      </c>
      <c r="F4905" s="6">
        <v>750</v>
      </c>
      <c r="G4905" t="s">
        <v>4581</v>
      </c>
    </row>
    <row r="4906" spans="1:7">
      <c r="A4906" t="s">
        <v>10777</v>
      </c>
      <c r="B4906" t="s">
        <v>10778</v>
      </c>
      <c r="C4906" t="s">
        <v>4244</v>
      </c>
      <c r="D4906" t="s">
        <v>4245</v>
      </c>
      <c r="E4906">
        <v>6</v>
      </c>
      <c r="F4906" s="6">
        <v>750</v>
      </c>
      <c r="G4906" t="s">
        <v>3888</v>
      </c>
    </row>
    <row r="4907" spans="1:7">
      <c r="A4907" t="s">
        <v>10779</v>
      </c>
      <c r="B4907" t="s">
        <v>10780</v>
      </c>
      <c r="C4907" t="s">
        <v>4244</v>
      </c>
      <c r="D4907" t="s">
        <v>4245</v>
      </c>
      <c r="E4907">
        <v>12</v>
      </c>
      <c r="F4907" s="6">
        <v>750</v>
      </c>
      <c r="G4907" t="s">
        <v>3931</v>
      </c>
    </row>
    <row r="4908" spans="1:7">
      <c r="A4908" t="s">
        <v>10781</v>
      </c>
      <c r="B4908" t="s">
        <v>10782</v>
      </c>
      <c r="C4908" t="s">
        <v>4244</v>
      </c>
      <c r="D4908" t="s">
        <v>4245</v>
      </c>
      <c r="E4908">
        <v>12</v>
      </c>
      <c r="F4908" s="6">
        <v>750</v>
      </c>
      <c r="G4908" t="s">
        <v>3754</v>
      </c>
    </row>
    <row r="4909" spans="1:7">
      <c r="A4909" t="s">
        <v>10783</v>
      </c>
      <c r="B4909" t="s">
        <v>10784</v>
      </c>
      <c r="C4909" t="s">
        <v>4452</v>
      </c>
      <c r="D4909" t="s">
        <v>4453</v>
      </c>
      <c r="E4909">
        <v>6</v>
      </c>
      <c r="F4909" s="6">
        <v>750</v>
      </c>
      <c r="G4909" t="s">
        <v>3832</v>
      </c>
    </row>
    <row r="4910" spans="1:7">
      <c r="A4910" t="s">
        <v>10785</v>
      </c>
      <c r="B4910" t="s">
        <v>10786</v>
      </c>
      <c r="C4910" t="s">
        <v>4244</v>
      </c>
      <c r="D4910" t="s">
        <v>4245</v>
      </c>
      <c r="E4910">
        <v>6</v>
      </c>
      <c r="F4910" s="6">
        <v>750</v>
      </c>
      <c r="G4910" t="s">
        <v>3832</v>
      </c>
    </row>
    <row r="4911" spans="1:7">
      <c r="A4911" t="s">
        <v>10787</v>
      </c>
      <c r="B4911" t="s">
        <v>10788</v>
      </c>
      <c r="C4911" t="s">
        <v>4244</v>
      </c>
      <c r="D4911" t="s">
        <v>4245</v>
      </c>
      <c r="E4911">
        <v>6</v>
      </c>
      <c r="F4911" s="6">
        <v>1750</v>
      </c>
      <c r="G4911" t="s">
        <v>3931</v>
      </c>
    </row>
    <row r="4912" spans="1:7">
      <c r="A4912" t="s">
        <v>10789</v>
      </c>
      <c r="B4912" t="s">
        <v>10790</v>
      </c>
      <c r="C4912" t="s">
        <v>4244</v>
      </c>
      <c r="D4912" t="s">
        <v>4245</v>
      </c>
      <c r="E4912">
        <v>6</v>
      </c>
      <c r="F4912" s="6">
        <v>750</v>
      </c>
      <c r="G4912" t="s">
        <v>5198</v>
      </c>
    </row>
    <row r="4913" spans="1:7">
      <c r="A4913" t="s">
        <v>10791</v>
      </c>
      <c r="B4913" t="s">
        <v>10792</v>
      </c>
      <c r="C4913" t="s">
        <v>4244</v>
      </c>
      <c r="D4913" t="s">
        <v>4245</v>
      </c>
      <c r="E4913">
        <v>6</v>
      </c>
      <c r="F4913" s="6">
        <v>750</v>
      </c>
      <c r="G4913" t="s">
        <v>10475</v>
      </c>
    </row>
    <row r="4914" spans="1:7">
      <c r="A4914" t="s">
        <v>10793</v>
      </c>
      <c r="B4914" t="s">
        <v>5204</v>
      </c>
      <c r="C4914" t="s">
        <v>4244</v>
      </c>
      <c r="D4914" t="s">
        <v>4245</v>
      </c>
      <c r="E4914">
        <v>6</v>
      </c>
      <c r="F4914" s="6">
        <v>750</v>
      </c>
      <c r="G4914" t="s">
        <v>5205</v>
      </c>
    </row>
    <row r="4915" spans="1:7">
      <c r="A4915" t="s">
        <v>10794</v>
      </c>
      <c r="B4915" t="s">
        <v>10795</v>
      </c>
      <c r="C4915" t="s">
        <v>4455</v>
      </c>
      <c r="D4915" t="s">
        <v>4456</v>
      </c>
      <c r="E4915">
        <v>6</v>
      </c>
      <c r="F4915" s="6">
        <v>750</v>
      </c>
      <c r="G4915" t="s">
        <v>3694</v>
      </c>
    </row>
    <row r="4916" spans="1:7">
      <c r="A4916" t="s">
        <v>10796</v>
      </c>
      <c r="B4916" t="s">
        <v>5207</v>
      </c>
      <c r="C4916" t="s">
        <v>3808</v>
      </c>
      <c r="D4916" t="s">
        <v>3809</v>
      </c>
      <c r="E4916">
        <v>6</v>
      </c>
      <c r="F4916" s="6">
        <v>750</v>
      </c>
      <c r="G4916" t="s">
        <v>3802</v>
      </c>
    </row>
    <row r="4917" spans="1:7">
      <c r="A4917" t="s">
        <v>10797</v>
      </c>
      <c r="B4917" t="s">
        <v>10798</v>
      </c>
      <c r="C4917" t="s">
        <v>4452</v>
      </c>
      <c r="D4917" t="s">
        <v>4453</v>
      </c>
      <c r="E4917">
        <v>6</v>
      </c>
      <c r="F4917" s="6">
        <v>750</v>
      </c>
      <c r="G4917" t="s">
        <v>5134</v>
      </c>
    </row>
    <row r="4918" spans="1:7">
      <c r="A4918" t="s">
        <v>10799</v>
      </c>
      <c r="B4918" t="s">
        <v>10800</v>
      </c>
      <c r="C4918" t="s">
        <v>3928</v>
      </c>
      <c r="D4918" t="s">
        <v>3929</v>
      </c>
      <c r="E4918">
        <v>12</v>
      </c>
      <c r="F4918" s="6">
        <v>750</v>
      </c>
      <c r="G4918" t="s">
        <v>5748</v>
      </c>
    </row>
    <row r="4919" spans="1:7">
      <c r="A4919" t="s">
        <v>10801</v>
      </c>
      <c r="B4919" t="s">
        <v>10802</v>
      </c>
      <c r="C4919" t="s">
        <v>4244</v>
      </c>
      <c r="D4919" t="s">
        <v>4245</v>
      </c>
      <c r="E4919">
        <v>6</v>
      </c>
      <c r="F4919" s="6">
        <v>750</v>
      </c>
      <c r="G4919" t="s">
        <v>4225</v>
      </c>
    </row>
    <row r="4920" spans="1:7">
      <c r="A4920" t="s">
        <v>10803</v>
      </c>
      <c r="B4920" t="s">
        <v>10804</v>
      </c>
      <c r="C4920" t="s">
        <v>4244</v>
      </c>
      <c r="D4920" t="s">
        <v>4245</v>
      </c>
      <c r="E4920">
        <v>6</v>
      </c>
      <c r="F4920" s="6">
        <v>750</v>
      </c>
      <c r="G4920" t="s">
        <v>3854</v>
      </c>
    </row>
    <row r="4921" spans="1:7">
      <c r="A4921" t="s">
        <v>10805</v>
      </c>
      <c r="B4921" t="s">
        <v>5212</v>
      </c>
      <c r="C4921" t="s">
        <v>3808</v>
      </c>
      <c r="D4921" t="s">
        <v>3809</v>
      </c>
      <c r="E4921">
        <v>6</v>
      </c>
      <c r="F4921" s="6">
        <v>750</v>
      </c>
      <c r="G4921" t="s">
        <v>3802</v>
      </c>
    </row>
    <row r="4922" spans="1:7">
      <c r="A4922" t="s">
        <v>10806</v>
      </c>
      <c r="B4922" t="s">
        <v>10807</v>
      </c>
      <c r="C4922" t="s">
        <v>4244</v>
      </c>
      <c r="D4922" t="s">
        <v>4245</v>
      </c>
      <c r="E4922">
        <v>6</v>
      </c>
      <c r="F4922" s="6">
        <v>750</v>
      </c>
      <c r="G4922" t="s">
        <v>3802</v>
      </c>
    </row>
    <row r="4923" spans="1:7">
      <c r="A4923" t="s">
        <v>10808</v>
      </c>
      <c r="B4923" t="s">
        <v>10809</v>
      </c>
      <c r="C4923" t="s">
        <v>4244</v>
      </c>
      <c r="D4923" t="s">
        <v>4245</v>
      </c>
      <c r="E4923">
        <v>6</v>
      </c>
      <c r="F4923" s="6">
        <v>750</v>
      </c>
      <c r="G4923" t="s">
        <v>5520</v>
      </c>
    </row>
    <row r="4924" spans="1:7">
      <c r="A4924" t="s">
        <v>10810</v>
      </c>
      <c r="B4924" t="s">
        <v>10811</v>
      </c>
      <c r="C4924" t="s">
        <v>4455</v>
      </c>
      <c r="D4924" t="s">
        <v>4456</v>
      </c>
      <c r="E4924">
        <v>6</v>
      </c>
      <c r="F4924" s="6">
        <v>750</v>
      </c>
      <c r="G4924" t="s">
        <v>3694</v>
      </c>
    </row>
    <row r="4925" spans="1:7">
      <c r="A4925" t="s">
        <v>10812</v>
      </c>
      <c r="B4925" t="s">
        <v>5214</v>
      </c>
      <c r="C4925" t="s">
        <v>4452</v>
      </c>
      <c r="D4925" t="s">
        <v>4453</v>
      </c>
      <c r="E4925">
        <v>6</v>
      </c>
      <c r="F4925" s="6">
        <v>750</v>
      </c>
      <c r="G4925" t="s">
        <v>5215</v>
      </c>
    </row>
    <row r="4926" spans="1:7">
      <c r="A4926" t="s">
        <v>10813</v>
      </c>
      <c r="B4926" t="s">
        <v>10814</v>
      </c>
      <c r="C4926" t="s">
        <v>4474</v>
      </c>
      <c r="D4926" t="s">
        <v>4475</v>
      </c>
      <c r="E4926">
        <v>12</v>
      </c>
      <c r="F4926" s="6">
        <v>750</v>
      </c>
      <c r="G4926" t="s">
        <v>4581</v>
      </c>
    </row>
    <row r="4927" spans="1:7">
      <c r="A4927" t="s">
        <v>10815</v>
      </c>
      <c r="B4927" t="s">
        <v>10816</v>
      </c>
      <c r="C4927" t="s">
        <v>4474</v>
      </c>
      <c r="D4927" t="s">
        <v>4475</v>
      </c>
      <c r="E4927">
        <v>12</v>
      </c>
      <c r="F4927" s="6">
        <v>750</v>
      </c>
      <c r="G4927" t="s">
        <v>4581</v>
      </c>
    </row>
    <row r="4928" spans="1:7">
      <c r="A4928" t="s">
        <v>10817</v>
      </c>
      <c r="B4928" t="s">
        <v>10818</v>
      </c>
      <c r="C4928" t="s">
        <v>4244</v>
      </c>
      <c r="D4928" t="s">
        <v>4245</v>
      </c>
      <c r="E4928">
        <v>3</v>
      </c>
      <c r="F4928" s="6">
        <v>750</v>
      </c>
      <c r="G4928" t="s">
        <v>5198</v>
      </c>
    </row>
    <row r="4929" spans="1:7">
      <c r="A4929" t="s">
        <v>10819</v>
      </c>
      <c r="B4929" t="s">
        <v>10820</v>
      </c>
      <c r="C4929" t="s">
        <v>3928</v>
      </c>
      <c r="D4929" t="s">
        <v>3929</v>
      </c>
      <c r="E4929">
        <v>6</v>
      </c>
      <c r="F4929" s="6">
        <v>750</v>
      </c>
      <c r="G4929" t="s">
        <v>3931</v>
      </c>
    </row>
    <row r="4930" spans="1:7">
      <c r="A4930" t="s">
        <v>10821</v>
      </c>
      <c r="B4930" t="s">
        <v>10822</v>
      </c>
      <c r="C4930" t="s">
        <v>3928</v>
      </c>
      <c r="D4930" t="s">
        <v>3929</v>
      </c>
      <c r="E4930">
        <v>6</v>
      </c>
      <c r="F4930" s="6">
        <v>750</v>
      </c>
      <c r="G4930" t="s">
        <v>5205</v>
      </c>
    </row>
    <row r="4931" spans="1:7">
      <c r="A4931" t="s">
        <v>10823</v>
      </c>
      <c r="B4931" t="s">
        <v>10824</v>
      </c>
      <c r="C4931" t="s">
        <v>4244</v>
      </c>
      <c r="D4931" t="s">
        <v>4245</v>
      </c>
      <c r="E4931">
        <v>12</v>
      </c>
      <c r="F4931" s="6">
        <v>750</v>
      </c>
      <c r="G4931" t="s">
        <v>3871</v>
      </c>
    </row>
    <row r="4932" spans="1:7">
      <c r="A4932" t="s">
        <v>10825</v>
      </c>
      <c r="B4932" t="s">
        <v>10826</v>
      </c>
      <c r="C4932" t="s">
        <v>4084</v>
      </c>
      <c r="D4932" t="s">
        <v>4085</v>
      </c>
      <c r="E4932">
        <v>6</v>
      </c>
      <c r="F4932" s="6">
        <v>750</v>
      </c>
      <c r="G4932" t="s">
        <v>4463</v>
      </c>
    </row>
    <row r="4933" spans="1:7">
      <c r="A4933" t="s">
        <v>10827</v>
      </c>
      <c r="B4933" t="s">
        <v>10828</v>
      </c>
      <c r="C4933" t="s">
        <v>4436</v>
      </c>
      <c r="D4933" t="s">
        <v>4437</v>
      </c>
      <c r="E4933">
        <v>6</v>
      </c>
      <c r="F4933" s="6">
        <v>750</v>
      </c>
      <c r="G4933" t="s">
        <v>3802</v>
      </c>
    </row>
    <row r="4934" spans="1:7">
      <c r="A4934" t="s">
        <v>10829</v>
      </c>
      <c r="B4934" t="s">
        <v>10830</v>
      </c>
      <c r="C4934" t="s">
        <v>3928</v>
      </c>
      <c r="D4934" t="s">
        <v>3929</v>
      </c>
      <c r="E4934">
        <v>6</v>
      </c>
      <c r="F4934" s="6">
        <v>750</v>
      </c>
      <c r="G4934" t="s">
        <v>4463</v>
      </c>
    </row>
    <row r="4935" spans="1:7">
      <c r="A4935" t="s">
        <v>10831</v>
      </c>
      <c r="B4935" t="s">
        <v>10832</v>
      </c>
      <c r="C4935" t="s">
        <v>3808</v>
      </c>
      <c r="D4935" t="s">
        <v>3809</v>
      </c>
      <c r="E4935">
        <v>6</v>
      </c>
      <c r="F4935" s="6">
        <v>750</v>
      </c>
      <c r="G4935" t="s">
        <v>4463</v>
      </c>
    </row>
    <row r="4936" spans="1:7">
      <c r="A4936" t="s">
        <v>10833</v>
      </c>
      <c r="B4936" t="s">
        <v>10834</v>
      </c>
      <c r="C4936" t="s">
        <v>3708</v>
      </c>
      <c r="D4936" t="s">
        <v>3709</v>
      </c>
      <c r="E4936">
        <v>6</v>
      </c>
      <c r="F4936" s="6">
        <v>750</v>
      </c>
      <c r="G4936" t="s">
        <v>3802</v>
      </c>
    </row>
    <row r="4937" spans="1:7">
      <c r="A4937" t="s">
        <v>10835</v>
      </c>
      <c r="B4937" t="s">
        <v>10836</v>
      </c>
      <c r="C4937" t="s">
        <v>4436</v>
      </c>
      <c r="D4937" t="s">
        <v>4437</v>
      </c>
      <c r="E4937">
        <v>6</v>
      </c>
      <c r="F4937" s="6">
        <v>750</v>
      </c>
      <c r="G4937" t="s">
        <v>5134</v>
      </c>
    </row>
    <row r="4938" spans="1:7">
      <c r="A4938" t="s">
        <v>10837</v>
      </c>
      <c r="B4938" t="s">
        <v>10838</v>
      </c>
      <c r="C4938" t="s">
        <v>3808</v>
      </c>
      <c r="D4938" t="s">
        <v>3809</v>
      </c>
      <c r="E4938">
        <v>6</v>
      </c>
      <c r="F4938" s="6">
        <v>750</v>
      </c>
      <c r="G4938" t="s">
        <v>4291</v>
      </c>
    </row>
    <row r="4939" spans="1:7">
      <c r="A4939" t="s">
        <v>10839</v>
      </c>
      <c r="B4939" t="s">
        <v>10840</v>
      </c>
      <c r="C4939" t="s">
        <v>3928</v>
      </c>
      <c r="D4939" t="s">
        <v>3929</v>
      </c>
      <c r="E4939">
        <v>6</v>
      </c>
      <c r="F4939" s="6">
        <v>750</v>
      </c>
      <c r="G4939" t="s">
        <v>10841</v>
      </c>
    </row>
    <row r="4940" spans="1:7">
      <c r="A4940" t="s">
        <v>10842</v>
      </c>
      <c r="B4940" t="s">
        <v>10843</v>
      </c>
      <c r="C4940" t="s">
        <v>3928</v>
      </c>
      <c r="D4940" t="s">
        <v>3929</v>
      </c>
      <c r="E4940">
        <v>3</v>
      </c>
      <c r="F4940" s="6">
        <v>750</v>
      </c>
      <c r="G4940" t="s">
        <v>3931</v>
      </c>
    </row>
    <row r="4941" spans="1:7">
      <c r="A4941" t="s">
        <v>10844</v>
      </c>
      <c r="B4941" t="s">
        <v>10845</v>
      </c>
      <c r="C4941" t="s">
        <v>4452</v>
      </c>
      <c r="D4941" t="s">
        <v>4453</v>
      </c>
      <c r="E4941">
        <v>6</v>
      </c>
      <c r="F4941" s="6">
        <v>750</v>
      </c>
      <c r="G4941" t="s">
        <v>4163</v>
      </c>
    </row>
    <row r="4942" spans="1:7">
      <c r="A4942" t="s">
        <v>10846</v>
      </c>
      <c r="B4942" t="s">
        <v>5266</v>
      </c>
      <c r="C4942" t="s">
        <v>4474</v>
      </c>
      <c r="D4942" t="s">
        <v>4475</v>
      </c>
      <c r="E4942">
        <v>6</v>
      </c>
      <c r="F4942" s="6">
        <v>750</v>
      </c>
      <c r="G4942" t="s">
        <v>5267</v>
      </c>
    </row>
    <row r="4943" spans="1:7">
      <c r="A4943" t="s">
        <v>10847</v>
      </c>
      <c r="B4943" t="s">
        <v>10848</v>
      </c>
      <c r="C4943" t="s">
        <v>4474</v>
      </c>
      <c r="D4943" t="s">
        <v>4475</v>
      </c>
      <c r="E4943">
        <v>6</v>
      </c>
      <c r="F4943" s="6">
        <v>750</v>
      </c>
      <c r="G4943" t="s">
        <v>5267</v>
      </c>
    </row>
    <row r="4944" spans="1:7">
      <c r="A4944" t="s">
        <v>10849</v>
      </c>
      <c r="B4944" t="s">
        <v>5269</v>
      </c>
      <c r="C4944" t="s">
        <v>4474</v>
      </c>
      <c r="D4944" t="s">
        <v>4475</v>
      </c>
      <c r="E4944">
        <v>6</v>
      </c>
      <c r="F4944" s="6">
        <v>750</v>
      </c>
      <c r="G4944" t="s">
        <v>5267</v>
      </c>
    </row>
    <row r="4945" spans="1:7">
      <c r="A4945" t="s">
        <v>10850</v>
      </c>
      <c r="B4945" t="s">
        <v>10851</v>
      </c>
      <c r="C4945" t="s">
        <v>4071</v>
      </c>
      <c r="D4945" t="s">
        <v>4072</v>
      </c>
      <c r="E4945">
        <v>6</v>
      </c>
      <c r="F4945" s="6">
        <v>750</v>
      </c>
      <c r="G4945" t="s">
        <v>3851</v>
      </c>
    </row>
    <row r="4946" spans="1:7">
      <c r="A4946" t="s">
        <v>10852</v>
      </c>
      <c r="B4946" t="s">
        <v>10853</v>
      </c>
      <c r="C4946" t="s">
        <v>4452</v>
      </c>
      <c r="D4946" t="s">
        <v>4453</v>
      </c>
      <c r="E4946">
        <v>6</v>
      </c>
      <c r="F4946" s="6">
        <v>750</v>
      </c>
      <c r="G4946" t="s">
        <v>5134</v>
      </c>
    </row>
    <row r="4947" spans="1:7">
      <c r="A4947" t="s">
        <v>10854</v>
      </c>
      <c r="B4947" t="s">
        <v>10855</v>
      </c>
      <c r="C4947" t="s">
        <v>4452</v>
      </c>
      <c r="D4947" t="s">
        <v>4453</v>
      </c>
      <c r="E4947">
        <v>6</v>
      </c>
      <c r="F4947" s="6">
        <v>750</v>
      </c>
      <c r="G4947" t="s">
        <v>5134</v>
      </c>
    </row>
    <row r="4948" spans="1:7">
      <c r="A4948" t="s">
        <v>10856</v>
      </c>
      <c r="B4948" t="s">
        <v>10857</v>
      </c>
      <c r="C4948" t="s">
        <v>3808</v>
      </c>
      <c r="D4948" t="s">
        <v>3809</v>
      </c>
      <c r="E4948">
        <v>12</v>
      </c>
      <c r="F4948" s="6">
        <v>750</v>
      </c>
      <c r="G4948" t="s">
        <v>5134</v>
      </c>
    </row>
    <row r="4949" spans="1:7">
      <c r="A4949" t="s">
        <v>10858</v>
      </c>
      <c r="B4949" t="s">
        <v>10859</v>
      </c>
      <c r="C4949" t="s">
        <v>4244</v>
      </c>
      <c r="D4949" t="s">
        <v>4245</v>
      </c>
      <c r="E4949">
        <v>6</v>
      </c>
      <c r="F4949" s="6">
        <v>750</v>
      </c>
      <c r="G4949" t="s">
        <v>5475</v>
      </c>
    </row>
    <row r="4950" spans="1:7">
      <c r="A4950" t="s">
        <v>10860</v>
      </c>
      <c r="B4950" t="s">
        <v>10861</v>
      </c>
      <c r="C4950" t="s">
        <v>4244</v>
      </c>
      <c r="D4950" t="s">
        <v>4245</v>
      </c>
      <c r="E4950">
        <v>6</v>
      </c>
      <c r="F4950" s="6">
        <v>700</v>
      </c>
      <c r="G4950" t="s">
        <v>3931</v>
      </c>
    </row>
    <row r="4951" spans="1:7">
      <c r="A4951" t="s">
        <v>10862</v>
      </c>
      <c r="B4951" t="s">
        <v>10863</v>
      </c>
      <c r="C4951" t="s">
        <v>3808</v>
      </c>
      <c r="D4951" t="s">
        <v>3809</v>
      </c>
      <c r="E4951">
        <v>6</v>
      </c>
      <c r="F4951" s="6">
        <v>750</v>
      </c>
      <c r="G4951" t="s">
        <v>4917</v>
      </c>
    </row>
    <row r="4952" spans="1:7">
      <c r="A4952" t="s">
        <v>10864</v>
      </c>
      <c r="B4952" t="s">
        <v>10865</v>
      </c>
      <c r="C4952" t="s">
        <v>4452</v>
      </c>
      <c r="D4952" t="s">
        <v>4453</v>
      </c>
      <c r="E4952">
        <v>6</v>
      </c>
      <c r="F4952" s="6">
        <v>750</v>
      </c>
      <c r="G4952" t="s">
        <v>4917</v>
      </c>
    </row>
    <row r="4953" spans="1:7">
      <c r="A4953" t="s">
        <v>10866</v>
      </c>
      <c r="B4953" t="s">
        <v>10867</v>
      </c>
      <c r="C4953" t="s">
        <v>3928</v>
      </c>
      <c r="D4953" t="s">
        <v>3929</v>
      </c>
      <c r="E4953">
        <v>6</v>
      </c>
      <c r="F4953" s="6">
        <v>750</v>
      </c>
      <c r="G4953" t="s">
        <v>5532</v>
      </c>
    </row>
    <row r="4954" spans="1:7">
      <c r="A4954" t="s">
        <v>10868</v>
      </c>
      <c r="B4954" t="s">
        <v>10869</v>
      </c>
      <c r="C4954" t="s">
        <v>3928</v>
      </c>
      <c r="D4954" t="s">
        <v>3929</v>
      </c>
      <c r="E4954">
        <v>12</v>
      </c>
      <c r="F4954" s="6">
        <v>750</v>
      </c>
      <c r="G4954" t="s">
        <v>5134</v>
      </c>
    </row>
    <row r="4955" spans="1:7">
      <c r="A4955" t="s">
        <v>10870</v>
      </c>
      <c r="B4955" t="s">
        <v>10871</v>
      </c>
      <c r="C4955" t="s">
        <v>4455</v>
      </c>
      <c r="D4955" t="s">
        <v>4456</v>
      </c>
      <c r="E4955">
        <v>6</v>
      </c>
      <c r="F4955" s="6">
        <v>750</v>
      </c>
      <c r="G4955" t="s">
        <v>3730</v>
      </c>
    </row>
    <row r="4956" spans="1:7">
      <c r="A4956" t="s">
        <v>10872</v>
      </c>
      <c r="B4956" t="s">
        <v>10873</v>
      </c>
      <c r="C4956" t="s">
        <v>3928</v>
      </c>
      <c r="D4956" t="s">
        <v>3929</v>
      </c>
      <c r="E4956">
        <v>6</v>
      </c>
      <c r="F4956" s="6">
        <v>750</v>
      </c>
      <c r="G4956" t="s">
        <v>3686</v>
      </c>
    </row>
    <row r="4957" spans="1:7">
      <c r="A4957" t="s">
        <v>10874</v>
      </c>
      <c r="B4957" t="s">
        <v>10875</v>
      </c>
      <c r="C4957" t="s">
        <v>4244</v>
      </c>
      <c r="D4957" t="s">
        <v>4245</v>
      </c>
      <c r="E4957">
        <v>6</v>
      </c>
      <c r="F4957" s="6">
        <v>750</v>
      </c>
      <c r="G4957" t="s">
        <v>4163</v>
      </c>
    </row>
    <row r="4958" spans="1:7">
      <c r="A4958" t="s">
        <v>10876</v>
      </c>
      <c r="B4958" t="s">
        <v>10877</v>
      </c>
      <c r="C4958" t="s">
        <v>4244</v>
      </c>
      <c r="D4958" t="s">
        <v>4245</v>
      </c>
      <c r="E4958">
        <v>6</v>
      </c>
      <c r="F4958" s="6">
        <v>750</v>
      </c>
      <c r="G4958" t="s">
        <v>4163</v>
      </c>
    </row>
    <row r="4959" spans="1:7">
      <c r="A4959" t="s">
        <v>10878</v>
      </c>
      <c r="B4959" t="s">
        <v>10879</v>
      </c>
      <c r="C4959" t="s">
        <v>4244</v>
      </c>
      <c r="D4959" t="s">
        <v>4245</v>
      </c>
      <c r="E4959">
        <v>6</v>
      </c>
      <c r="F4959" s="6">
        <v>750</v>
      </c>
      <c r="G4959" t="s">
        <v>4163</v>
      </c>
    </row>
    <row r="4960" spans="1:7">
      <c r="A4960" t="s">
        <v>10880</v>
      </c>
      <c r="B4960" t="s">
        <v>10881</v>
      </c>
      <c r="C4960" t="s">
        <v>4244</v>
      </c>
      <c r="D4960" t="s">
        <v>4245</v>
      </c>
      <c r="E4960">
        <v>6</v>
      </c>
      <c r="F4960" s="6">
        <v>750</v>
      </c>
      <c r="G4960" t="s">
        <v>10682</v>
      </c>
    </row>
    <row r="4961" spans="1:7">
      <c r="A4961" t="s">
        <v>10882</v>
      </c>
      <c r="B4961" t="s">
        <v>10883</v>
      </c>
      <c r="C4961" t="s">
        <v>4244</v>
      </c>
      <c r="D4961" t="s">
        <v>4245</v>
      </c>
      <c r="E4961">
        <v>6</v>
      </c>
      <c r="F4961" s="6">
        <v>750</v>
      </c>
      <c r="G4961" t="s">
        <v>3854</v>
      </c>
    </row>
    <row r="4962" spans="1:7">
      <c r="A4962" t="s">
        <v>10884</v>
      </c>
      <c r="B4962" t="s">
        <v>10885</v>
      </c>
      <c r="C4962" t="s">
        <v>4244</v>
      </c>
      <c r="D4962" t="s">
        <v>4245</v>
      </c>
      <c r="E4962">
        <v>6</v>
      </c>
      <c r="F4962" s="6">
        <v>750</v>
      </c>
      <c r="G4962" t="s">
        <v>4899</v>
      </c>
    </row>
    <row r="4963" spans="1:7">
      <c r="A4963" t="s">
        <v>10886</v>
      </c>
      <c r="B4963" t="s">
        <v>10887</v>
      </c>
      <c r="C4963" t="s">
        <v>3808</v>
      </c>
      <c r="D4963" t="s">
        <v>3809</v>
      </c>
      <c r="E4963">
        <v>6</v>
      </c>
      <c r="F4963" s="6">
        <v>750</v>
      </c>
      <c r="G4963" t="s">
        <v>4899</v>
      </c>
    </row>
    <row r="4964" spans="1:7">
      <c r="A4964" t="s">
        <v>10888</v>
      </c>
      <c r="B4964" t="s">
        <v>10889</v>
      </c>
      <c r="C4964" t="s">
        <v>4244</v>
      </c>
      <c r="D4964" t="s">
        <v>4245</v>
      </c>
      <c r="E4964">
        <v>6</v>
      </c>
      <c r="F4964" s="6">
        <v>750</v>
      </c>
      <c r="G4964" t="s">
        <v>4117</v>
      </c>
    </row>
    <row r="4965" spans="1:7">
      <c r="A4965" t="s">
        <v>10890</v>
      </c>
      <c r="B4965" t="s">
        <v>10891</v>
      </c>
      <c r="C4965" t="s">
        <v>4452</v>
      </c>
      <c r="D4965" t="s">
        <v>4453</v>
      </c>
      <c r="E4965">
        <v>6</v>
      </c>
      <c r="F4965" s="6">
        <v>750</v>
      </c>
      <c r="G4965" t="s">
        <v>3802</v>
      </c>
    </row>
    <row r="4966" spans="1:7">
      <c r="A4966" t="s">
        <v>10892</v>
      </c>
      <c r="B4966" t="s">
        <v>10893</v>
      </c>
      <c r="C4966" t="s">
        <v>4455</v>
      </c>
      <c r="D4966" t="s">
        <v>4456</v>
      </c>
      <c r="E4966">
        <v>6</v>
      </c>
      <c r="F4966" s="6">
        <v>700</v>
      </c>
      <c r="G4966" t="s">
        <v>3694</v>
      </c>
    </row>
    <row r="4967" spans="1:7">
      <c r="A4967" t="s">
        <v>10894</v>
      </c>
      <c r="B4967" t="s">
        <v>10895</v>
      </c>
      <c r="C4967" t="s">
        <v>3928</v>
      </c>
      <c r="D4967" t="s">
        <v>3929</v>
      </c>
      <c r="E4967">
        <v>6</v>
      </c>
      <c r="F4967" s="6">
        <v>750</v>
      </c>
      <c r="G4967" t="s">
        <v>3689</v>
      </c>
    </row>
    <row r="4968" spans="1:7">
      <c r="A4968" t="s">
        <v>10896</v>
      </c>
      <c r="B4968" t="s">
        <v>10897</v>
      </c>
      <c r="C4968" t="s">
        <v>4474</v>
      </c>
      <c r="D4968" t="s">
        <v>4475</v>
      </c>
      <c r="E4968">
        <v>6</v>
      </c>
      <c r="F4968" s="6">
        <v>750</v>
      </c>
      <c r="G4968" t="s">
        <v>4291</v>
      </c>
    </row>
    <row r="4969" spans="1:7">
      <c r="A4969" t="s">
        <v>10898</v>
      </c>
      <c r="B4969" t="s">
        <v>10899</v>
      </c>
      <c r="C4969" t="s">
        <v>4244</v>
      </c>
      <c r="D4969" t="s">
        <v>4245</v>
      </c>
      <c r="E4969">
        <v>12</v>
      </c>
      <c r="F4969" s="6">
        <v>750</v>
      </c>
      <c r="G4969" t="s">
        <v>10900</v>
      </c>
    </row>
    <row r="4970" spans="1:7">
      <c r="A4970" t="s">
        <v>10901</v>
      </c>
      <c r="B4970" t="s">
        <v>10902</v>
      </c>
      <c r="C4970" t="s">
        <v>4452</v>
      </c>
      <c r="D4970" t="s">
        <v>4453</v>
      </c>
      <c r="E4970">
        <v>6</v>
      </c>
      <c r="F4970" s="6">
        <v>750</v>
      </c>
      <c r="G4970" t="s">
        <v>5228</v>
      </c>
    </row>
    <row r="4971" spans="1:7">
      <c r="A4971" t="s">
        <v>10903</v>
      </c>
      <c r="B4971" t="s">
        <v>10904</v>
      </c>
      <c r="C4971" t="s">
        <v>4071</v>
      </c>
      <c r="D4971" t="s">
        <v>4072</v>
      </c>
      <c r="E4971">
        <v>6</v>
      </c>
      <c r="F4971" s="6">
        <v>750</v>
      </c>
      <c r="G4971" t="s">
        <v>3802</v>
      </c>
    </row>
    <row r="4972" spans="1:7">
      <c r="A4972" t="s">
        <v>10905</v>
      </c>
      <c r="B4972" t="s">
        <v>10906</v>
      </c>
      <c r="C4972" t="s">
        <v>3808</v>
      </c>
      <c r="D4972" t="s">
        <v>3809</v>
      </c>
      <c r="E4972">
        <v>6</v>
      </c>
      <c r="F4972" s="6">
        <v>750</v>
      </c>
      <c r="G4972" t="s">
        <v>5070</v>
      </c>
    </row>
    <row r="4973" spans="1:7">
      <c r="A4973" t="s">
        <v>10907</v>
      </c>
      <c r="B4973" t="s">
        <v>10908</v>
      </c>
      <c r="C4973" t="s">
        <v>4452</v>
      </c>
      <c r="D4973" t="s">
        <v>4453</v>
      </c>
      <c r="E4973">
        <v>6</v>
      </c>
      <c r="F4973" s="6">
        <v>750</v>
      </c>
      <c r="G4973" t="s">
        <v>5134</v>
      </c>
    </row>
    <row r="4974" spans="1:7">
      <c r="A4974" t="s">
        <v>10909</v>
      </c>
      <c r="B4974" t="s">
        <v>10910</v>
      </c>
      <c r="C4974" t="s">
        <v>3808</v>
      </c>
      <c r="D4974" t="s">
        <v>3809</v>
      </c>
      <c r="E4974">
        <v>12</v>
      </c>
      <c r="F4974" s="6">
        <v>750</v>
      </c>
      <c r="G4974" t="s">
        <v>10558</v>
      </c>
    </row>
    <row r="4975" spans="1:7">
      <c r="A4975" t="s">
        <v>10911</v>
      </c>
      <c r="B4975" t="s">
        <v>10912</v>
      </c>
      <c r="C4975" t="s">
        <v>4455</v>
      </c>
      <c r="D4975" t="s">
        <v>4456</v>
      </c>
      <c r="E4975">
        <v>6</v>
      </c>
      <c r="F4975" s="6">
        <v>750</v>
      </c>
      <c r="G4975" t="s">
        <v>3730</v>
      </c>
    </row>
    <row r="4976" spans="1:7">
      <c r="A4976" t="s">
        <v>10913</v>
      </c>
      <c r="B4976" t="s">
        <v>10914</v>
      </c>
      <c r="C4976" t="s">
        <v>4455</v>
      </c>
      <c r="D4976" t="s">
        <v>4456</v>
      </c>
      <c r="E4976">
        <v>6</v>
      </c>
      <c r="F4976" s="6">
        <v>700</v>
      </c>
      <c r="G4976" t="s">
        <v>3694</v>
      </c>
    </row>
    <row r="4977" spans="1:7">
      <c r="A4977" t="s">
        <v>10915</v>
      </c>
      <c r="B4977" t="s">
        <v>10916</v>
      </c>
      <c r="C4977" t="s">
        <v>4084</v>
      </c>
      <c r="D4977" t="s">
        <v>4085</v>
      </c>
      <c r="E4977">
        <v>6</v>
      </c>
      <c r="F4977" s="6">
        <v>750</v>
      </c>
      <c r="G4977" t="s">
        <v>4438</v>
      </c>
    </row>
    <row r="4978" spans="1:7">
      <c r="A4978" t="s">
        <v>10917</v>
      </c>
      <c r="B4978" t="s">
        <v>5342</v>
      </c>
      <c r="C4978" t="s">
        <v>4455</v>
      </c>
      <c r="D4978" t="s">
        <v>4456</v>
      </c>
      <c r="E4978">
        <v>12</v>
      </c>
      <c r="F4978" s="6">
        <v>750</v>
      </c>
      <c r="G4978" t="s">
        <v>3730</v>
      </c>
    </row>
    <row r="4979" spans="1:7">
      <c r="A4979" t="s">
        <v>10918</v>
      </c>
      <c r="B4979" t="s">
        <v>10919</v>
      </c>
      <c r="C4979" t="s">
        <v>4474</v>
      </c>
      <c r="D4979" t="s">
        <v>4475</v>
      </c>
      <c r="E4979">
        <v>6</v>
      </c>
      <c r="F4979" s="6">
        <v>750</v>
      </c>
      <c r="G4979" t="s">
        <v>3702</v>
      </c>
    </row>
    <row r="4980" spans="1:7">
      <c r="A4980" t="s">
        <v>10920</v>
      </c>
      <c r="B4980" t="s">
        <v>10921</v>
      </c>
      <c r="C4980" t="s">
        <v>4474</v>
      </c>
      <c r="D4980" t="s">
        <v>4475</v>
      </c>
      <c r="E4980">
        <v>6</v>
      </c>
      <c r="F4980" s="6">
        <v>750</v>
      </c>
      <c r="G4980" t="s">
        <v>5231</v>
      </c>
    </row>
    <row r="4981" spans="1:7">
      <c r="A4981" t="s">
        <v>10922</v>
      </c>
      <c r="B4981" t="s">
        <v>10923</v>
      </c>
      <c r="C4981" t="s">
        <v>3808</v>
      </c>
      <c r="D4981" t="s">
        <v>3809</v>
      </c>
      <c r="E4981">
        <v>6</v>
      </c>
      <c r="F4981" s="6">
        <v>750</v>
      </c>
      <c r="G4981" t="s">
        <v>3702</v>
      </c>
    </row>
    <row r="4982" spans="1:7">
      <c r="A4982" t="s">
        <v>10924</v>
      </c>
      <c r="B4982" t="s">
        <v>10925</v>
      </c>
      <c r="C4982" t="s">
        <v>4455</v>
      </c>
      <c r="D4982" t="s">
        <v>4456</v>
      </c>
      <c r="E4982">
        <v>6</v>
      </c>
      <c r="F4982" s="6">
        <v>1750</v>
      </c>
      <c r="G4982" t="s">
        <v>9962</v>
      </c>
    </row>
    <row r="4983" spans="1:7">
      <c r="A4983" t="s">
        <v>10926</v>
      </c>
      <c r="B4983" t="s">
        <v>10927</v>
      </c>
      <c r="C4983" t="s">
        <v>4452</v>
      </c>
      <c r="D4983" t="s">
        <v>4453</v>
      </c>
      <c r="E4983">
        <v>6</v>
      </c>
      <c r="F4983" s="6">
        <v>750</v>
      </c>
      <c r="G4983" t="s">
        <v>5228</v>
      </c>
    </row>
    <row r="4984" spans="1:7">
      <c r="A4984" t="s">
        <v>10928</v>
      </c>
      <c r="B4984" t="s">
        <v>10929</v>
      </c>
      <c r="C4984" t="s">
        <v>3808</v>
      </c>
      <c r="D4984" t="s">
        <v>3809</v>
      </c>
      <c r="E4984">
        <v>6</v>
      </c>
      <c r="F4984" s="6">
        <v>750</v>
      </c>
      <c r="G4984" t="s">
        <v>4291</v>
      </c>
    </row>
    <row r="4985" spans="1:7">
      <c r="A4985" t="s">
        <v>10930</v>
      </c>
      <c r="B4985" t="s">
        <v>10931</v>
      </c>
      <c r="C4985" t="s">
        <v>4452</v>
      </c>
      <c r="D4985" t="s">
        <v>4453</v>
      </c>
      <c r="E4985">
        <v>6</v>
      </c>
      <c r="F4985" s="6">
        <v>750</v>
      </c>
      <c r="G4985" t="s">
        <v>4581</v>
      </c>
    </row>
    <row r="4986" spans="1:7">
      <c r="A4986" t="s">
        <v>10932</v>
      </c>
      <c r="B4986" t="s">
        <v>10933</v>
      </c>
      <c r="C4986" t="s">
        <v>3808</v>
      </c>
      <c r="D4986" t="s">
        <v>3809</v>
      </c>
      <c r="E4986">
        <v>6</v>
      </c>
      <c r="F4986" s="6">
        <v>750</v>
      </c>
      <c r="G4986" t="s">
        <v>5134</v>
      </c>
    </row>
    <row r="4987" spans="1:7">
      <c r="A4987" t="s">
        <v>10934</v>
      </c>
      <c r="B4987" t="s">
        <v>10935</v>
      </c>
      <c r="C4987" t="s">
        <v>3928</v>
      </c>
      <c r="D4987" t="s">
        <v>3929</v>
      </c>
      <c r="E4987">
        <v>6</v>
      </c>
      <c r="F4987" s="6">
        <v>750</v>
      </c>
      <c r="G4987" t="s">
        <v>5134</v>
      </c>
    </row>
    <row r="4988" spans="1:7">
      <c r="A4988" t="s">
        <v>10936</v>
      </c>
      <c r="B4988" t="s">
        <v>10937</v>
      </c>
      <c r="C4988" t="s">
        <v>3808</v>
      </c>
      <c r="D4988" t="s">
        <v>3809</v>
      </c>
      <c r="E4988">
        <v>6</v>
      </c>
      <c r="F4988" s="6">
        <v>750</v>
      </c>
      <c r="G4988" t="s">
        <v>5134</v>
      </c>
    </row>
    <row r="4989" spans="1:7">
      <c r="A4989" t="s">
        <v>10938</v>
      </c>
      <c r="B4989" t="s">
        <v>10939</v>
      </c>
      <c r="C4989" t="s">
        <v>3808</v>
      </c>
      <c r="D4989" t="s">
        <v>3809</v>
      </c>
      <c r="E4989">
        <v>6</v>
      </c>
      <c r="F4989" s="6">
        <v>750</v>
      </c>
      <c r="G4989" t="s">
        <v>4581</v>
      </c>
    </row>
    <row r="4990" spans="1:7">
      <c r="A4990" t="s">
        <v>10940</v>
      </c>
      <c r="B4990" t="s">
        <v>5264</v>
      </c>
      <c r="C4990" t="s">
        <v>3808</v>
      </c>
      <c r="D4990" t="s">
        <v>3809</v>
      </c>
      <c r="E4990">
        <v>6</v>
      </c>
      <c r="F4990" s="6">
        <v>50</v>
      </c>
      <c r="G4990" t="s">
        <v>4899</v>
      </c>
    </row>
    <row r="4991" spans="1:7">
      <c r="A4991" t="s">
        <v>10941</v>
      </c>
      <c r="B4991" t="s">
        <v>5370</v>
      </c>
      <c r="C4991" t="s">
        <v>4474</v>
      </c>
      <c r="D4991" t="s">
        <v>4475</v>
      </c>
      <c r="E4991">
        <v>6</v>
      </c>
      <c r="F4991" s="6">
        <v>750</v>
      </c>
      <c r="G4991" t="s">
        <v>4899</v>
      </c>
    </row>
    <row r="4992" spans="1:7">
      <c r="A4992" t="s">
        <v>10942</v>
      </c>
      <c r="B4992" t="s">
        <v>10943</v>
      </c>
      <c r="C4992" t="s">
        <v>4474</v>
      </c>
      <c r="D4992" t="s">
        <v>4475</v>
      </c>
      <c r="E4992">
        <v>6</v>
      </c>
      <c r="F4992" s="6">
        <v>50</v>
      </c>
      <c r="G4992" t="s">
        <v>4899</v>
      </c>
    </row>
    <row r="4993" spans="1:7">
      <c r="A4993" t="s">
        <v>10944</v>
      </c>
      <c r="B4993" t="s">
        <v>10945</v>
      </c>
      <c r="C4993" t="s">
        <v>3684</v>
      </c>
      <c r="D4993" t="s">
        <v>3685</v>
      </c>
      <c r="E4993">
        <v>6</v>
      </c>
      <c r="F4993" s="6">
        <v>750</v>
      </c>
      <c r="G4993" t="s">
        <v>5134</v>
      </c>
    </row>
    <row r="4994" spans="1:7">
      <c r="A4994" t="s">
        <v>10946</v>
      </c>
      <c r="B4994" t="s">
        <v>10947</v>
      </c>
      <c r="C4994" t="s">
        <v>4455</v>
      </c>
      <c r="D4994" t="s">
        <v>4456</v>
      </c>
      <c r="E4994">
        <v>6</v>
      </c>
      <c r="F4994" s="6">
        <v>750</v>
      </c>
      <c r="G4994" t="s">
        <v>3832</v>
      </c>
    </row>
    <row r="4995" spans="1:7">
      <c r="A4995" t="s">
        <v>10948</v>
      </c>
      <c r="B4995" t="s">
        <v>10949</v>
      </c>
      <c r="C4995" t="s">
        <v>3928</v>
      </c>
      <c r="D4995" t="s">
        <v>3929</v>
      </c>
      <c r="E4995">
        <v>6</v>
      </c>
      <c r="F4995" s="6">
        <v>750</v>
      </c>
      <c r="G4995" t="s">
        <v>3686</v>
      </c>
    </row>
    <row r="4996" spans="1:7">
      <c r="A4996" t="s">
        <v>10950</v>
      </c>
      <c r="B4996" t="s">
        <v>5375</v>
      </c>
      <c r="C4996" t="s">
        <v>3928</v>
      </c>
      <c r="D4996" t="s">
        <v>3929</v>
      </c>
      <c r="E4996">
        <v>6</v>
      </c>
      <c r="F4996" s="6">
        <v>750</v>
      </c>
      <c r="G4996" t="s">
        <v>4438</v>
      </c>
    </row>
    <row r="4997" spans="1:7">
      <c r="A4997" t="s">
        <v>10951</v>
      </c>
      <c r="B4997" t="s">
        <v>10952</v>
      </c>
      <c r="C4997" t="s">
        <v>3928</v>
      </c>
      <c r="D4997" t="s">
        <v>3929</v>
      </c>
      <c r="E4997">
        <v>4</v>
      </c>
      <c r="F4997" s="6">
        <v>750</v>
      </c>
      <c r="G4997" t="s">
        <v>4068</v>
      </c>
    </row>
    <row r="4998" spans="1:7">
      <c r="A4998" t="s">
        <v>10953</v>
      </c>
      <c r="B4998" t="s">
        <v>10954</v>
      </c>
      <c r="C4998" t="s">
        <v>4244</v>
      </c>
      <c r="D4998" t="s">
        <v>4245</v>
      </c>
      <c r="E4998">
        <v>6</v>
      </c>
      <c r="F4998" s="6">
        <v>750</v>
      </c>
      <c r="G4998" t="s">
        <v>3702</v>
      </c>
    </row>
    <row r="4999" spans="1:7">
      <c r="A4999" t="s">
        <v>10955</v>
      </c>
      <c r="B4999" t="s">
        <v>10956</v>
      </c>
      <c r="C4999" t="s">
        <v>3928</v>
      </c>
      <c r="D4999" t="s">
        <v>3929</v>
      </c>
      <c r="E4999">
        <v>6</v>
      </c>
      <c r="F4999" s="6">
        <v>750</v>
      </c>
      <c r="G4999" t="s">
        <v>3686</v>
      </c>
    </row>
    <row r="5000" spans="1:7">
      <c r="A5000" t="s">
        <v>10957</v>
      </c>
      <c r="B5000" t="s">
        <v>10958</v>
      </c>
      <c r="C5000" t="s">
        <v>3808</v>
      </c>
      <c r="D5000" t="s">
        <v>3809</v>
      </c>
      <c r="E5000">
        <v>6</v>
      </c>
      <c r="F5000" s="6">
        <v>750</v>
      </c>
      <c r="G5000" t="s">
        <v>3686</v>
      </c>
    </row>
    <row r="5001" spans="1:7">
      <c r="A5001" t="s">
        <v>10959</v>
      </c>
      <c r="B5001" t="s">
        <v>10960</v>
      </c>
      <c r="C5001" t="s">
        <v>4244</v>
      </c>
      <c r="D5001" t="s">
        <v>4245</v>
      </c>
      <c r="E5001">
        <v>6</v>
      </c>
      <c r="F5001" s="6">
        <v>750</v>
      </c>
      <c r="G5001" t="s">
        <v>10961</v>
      </c>
    </row>
    <row r="5002" spans="1:7">
      <c r="A5002" t="s">
        <v>10962</v>
      </c>
      <c r="B5002" t="s">
        <v>10963</v>
      </c>
      <c r="C5002" t="s">
        <v>3808</v>
      </c>
      <c r="D5002" t="s">
        <v>3809</v>
      </c>
      <c r="E5002">
        <v>6</v>
      </c>
      <c r="F5002" s="6">
        <v>750</v>
      </c>
      <c r="G5002" t="s">
        <v>5134</v>
      </c>
    </row>
    <row r="5003" spans="1:7">
      <c r="A5003" t="s">
        <v>10964</v>
      </c>
      <c r="B5003" t="s">
        <v>10965</v>
      </c>
      <c r="C5003" t="s">
        <v>3808</v>
      </c>
      <c r="D5003" t="s">
        <v>3809</v>
      </c>
      <c r="E5003">
        <v>6</v>
      </c>
      <c r="F5003" s="6">
        <v>750</v>
      </c>
      <c r="G5003" t="s">
        <v>5134</v>
      </c>
    </row>
    <row r="5004" spans="1:7">
      <c r="A5004" t="s">
        <v>10966</v>
      </c>
      <c r="B5004" t="s">
        <v>10967</v>
      </c>
      <c r="C5004" t="s">
        <v>4084</v>
      </c>
      <c r="D5004" t="s">
        <v>4085</v>
      </c>
      <c r="E5004">
        <v>6</v>
      </c>
      <c r="F5004" s="6">
        <v>750</v>
      </c>
      <c r="G5004" t="s">
        <v>5134</v>
      </c>
    </row>
    <row r="5005" spans="1:7">
      <c r="A5005" t="s">
        <v>10968</v>
      </c>
      <c r="B5005" t="s">
        <v>10969</v>
      </c>
      <c r="C5005" t="s">
        <v>4244</v>
      </c>
      <c r="D5005" t="s">
        <v>4245</v>
      </c>
      <c r="E5005">
        <v>3</v>
      </c>
      <c r="F5005" s="6">
        <v>750</v>
      </c>
      <c r="G5005" t="s">
        <v>3681</v>
      </c>
    </row>
    <row r="5006" spans="1:7">
      <c r="A5006" t="s">
        <v>10970</v>
      </c>
      <c r="B5006" t="s">
        <v>10971</v>
      </c>
      <c r="C5006" t="s">
        <v>4474</v>
      </c>
      <c r="D5006" t="s">
        <v>4475</v>
      </c>
      <c r="E5006">
        <v>6</v>
      </c>
      <c r="F5006" s="6">
        <v>750</v>
      </c>
      <c r="G5006" t="s">
        <v>10646</v>
      </c>
    </row>
    <row r="5007" spans="1:7">
      <c r="A5007" t="s">
        <v>10972</v>
      </c>
      <c r="B5007" t="s">
        <v>10973</v>
      </c>
      <c r="C5007" t="s">
        <v>4244</v>
      </c>
      <c r="D5007" t="s">
        <v>4245</v>
      </c>
      <c r="E5007">
        <v>6</v>
      </c>
      <c r="F5007" s="6">
        <v>750</v>
      </c>
      <c r="G5007" t="s">
        <v>4419</v>
      </c>
    </row>
    <row r="5008" spans="1:7">
      <c r="A5008" t="s">
        <v>10974</v>
      </c>
      <c r="B5008" t="s">
        <v>10975</v>
      </c>
      <c r="C5008" t="s">
        <v>3928</v>
      </c>
      <c r="D5008" t="s">
        <v>3929</v>
      </c>
      <c r="E5008">
        <v>6</v>
      </c>
      <c r="F5008" s="6">
        <v>750</v>
      </c>
      <c r="G5008" t="s">
        <v>3689</v>
      </c>
    </row>
    <row r="5009" spans="1:7">
      <c r="A5009" t="s">
        <v>10976</v>
      </c>
      <c r="B5009" t="s">
        <v>5397</v>
      </c>
      <c r="C5009" t="s">
        <v>4455</v>
      </c>
      <c r="D5009" t="s">
        <v>4456</v>
      </c>
      <c r="E5009">
        <v>6</v>
      </c>
      <c r="F5009" s="6">
        <v>750</v>
      </c>
      <c r="G5009" t="s">
        <v>5398</v>
      </c>
    </row>
    <row r="5010" spans="1:7">
      <c r="A5010" t="s">
        <v>10977</v>
      </c>
      <c r="B5010" t="s">
        <v>10978</v>
      </c>
      <c r="C5010" t="s">
        <v>4244</v>
      </c>
      <c r="D5010" t="s">
        <v>4245</v>
      </c>
      <c r="E5010">
        <v>6</v>
      </c>
      <c r="F5010" s="6">
        <v>750</v>
      </c>
      <c r="G5010" t="s">
        <v>10208</v>
      </c>
    </row>
    <row r="5011" spans="1:7">
      <c r="A5011" t="s">
        <v>10979</v>
      </c>
      <c r="B5011" t="s">
        <v>10980</v>
      </c>
      <c r="C5011" t="s">
        <v>3928</v>
      </c>
      <c r="D5011" t="s">
        <v>3929</v>
      </c>
      <c r="E5011">
        <v>6</v>
      </c>
      <c r="F5011" s="6">
        <v>750</v>
      </c>
      <c r="G5011" t="s">
        <v>5231</v>
      </c>
    </row>
    <row r="5012" spans="1:7">
      <c r="A5012" t="s">
        <v>10981</v>
      </c>
      <c r="B5012" t="s">
        <v>10982</v>
      </c>
      <c r="C5012" t="s">
        <v>4244</v>
      </c>
      <c r="D5012" t="s">
        <v>4245</v>
      </c>
      <c r="E5012">
        <v>6</v>
      </c>
      <c r="F5012" s="6">
        <v>750</v>
      </c>
      <c r="G5012" t="s">
        <v>3735</v>
      </c>
    </row>
    <row r="5013" spans="1:7">
      <c r="A5013" t="s">
        <v>10983</v>
      </c>
      <c r="B5013" t="s">
        <v>5407</v>
      </c>
      <c r="C5013" t="s">
        <v>4244</v>
      </c>
      <c r="D5013" t="s">
        <v>4245</v>
      </c>
      <c r="E5013">
        <v>6</v>
      </c>
      <c r="F5013" s="6">
        <v>750</v>
      </c>
      <c r="G5013" t="s">
        <v>3802</v>
      </c>
    </row>
    <row r="5014" spans="1:7">
      <c r="A5014" t="s">
        <v>10984</v>
      </c>
      <c r="B5014" t="s">
        <v>10985</v>
      </c>
      <c r="C5014" t="s">
        <v>3928</v>
      </c>
      <c r="D5014" t="s">
        <v>3929</v>
      </c>
      <c r="E5014">
        <v>6</v>
      </c>
      <c r="F5014" s="6">
        <v>750</v>
      </c>
      <c r="G5014" t="s">
        <v>4225</v>
      </c>
    </row>
    <row r="5015" spans="1:7">
      <c r="A5015" t="s">
        <v>10986</v>
      </c>
      <c r="B5015" t="s">
        <v>10987</v>
      </c>
      <c r="C5015" t="s">
        <v>3928</v>
      </c>
      <c r="D5015" t="s">
        <v>3929</v>
      </c>
      <c r="E5015">
        <v>6</v>
      </c>
      <c r="F5015" s="6">
        <v>750</v>
      </c>
      <c r="G5015" t="s">
        <v>3763</v>
      </c>
    </row>
    <row r="5016" spans="1:7">
      <c r="A5016" t="s">
        <v>10988</v>
      </c>
      <c r="B5016" t="s">
        <v>10989</v>
      </c>
      <c r="C5016" t="s">
        <v>4455</v>
      </c>
      <c r="D5016" t="s">
        <v>4456</v>
      </c>
      <c r="E5016">
        <v>12</v>
      </c>
      <c r="F5016" s="6">
        <v>50</v>
      </c>
      <c r="G5016" t="s">
        <v>3694</v>
      </c>
    </row>
    <row r="5017" spans="1:7">
      <c r="A5017" t="s">
        <v>10990</v>
      </c>
      <c r="B5017" t="s">
        <v>10991</v>
      </c>
      <c r="C5017" t="s">
        <v>4455</v>
      </c>
      <c r="D5017" t="s">
        <v>4456</v>
      </c>
      <c r="E5017">
        <v>12</v>
      </c>
      <c r="F5017" s="6">
        <v>750</v>
      </c>
      <c r="G5017" t="s">
        <v>3730</v>
      </c>
    </row>
    <row r="5018" spans="1:7">
      <c r="A5018" t="s">
        <v>10992</v>
      </c>
      <c r="B5018" t="s">
        <v>10993</v>
      </c>
      <c r="C5018" t="s">
        <v>9319</v>
      </c>
      <c r="D5018" t="s">
        <v>9320</v>
      </c>
      <c r="E5018">
        <v>12</v>
      </c>
      <c r="F5018" s="6">
        <v>750</v>
      </c>
      <c r="G5018" t="s">
        <v>3730</v>
      </c>
    </row>
    <row r="5019" spans="1:7">
      <c r="A5019" t="s">
        <v>10994</v>
      </c>
      <c r="B5019" t="s">
        <v>5420</v>
      </c>
      <c r="C5019" t="s">
        <v>4084</v>
      </c>
      <c r="D5019" t="s">
        <v>4085</v>
      </c>
      <c r="E5019">
        <v>6</v>
      </c>
      <c r="F5019" s="6">
        <v>750</v>
      </c>
      <c r="G5019" t="s">
        <v>5421</v>
      </c>
    </row>
    <row r="5020" spans="1:7">
      <c r="A5020" t="s">
        <v>10995</v>
      </c>
      <c r="B5020" t="s">
        <v>10996</v>
      </c>
      <c r="C5020" t="s">
        <v>4474</v>
      </c>
      <c r="D5020" t="s">
        <v>4475</v>
      </c>
      <c r="E5020">
        <v>12</v>
      </c>
      <c r="F5020" s="6">
        <v>750</v>
      </c>
      <c r="G5020" t="s">
        <v>4581</v>
      </c>
    </row>
    <row r="5021" spans="1:7">
      <c r="A5021" t="s">
        <v>10997</v>
      </c>
      <c r="B5021" t="s">
        <v>10998</v>
      </c>
      <c r="C5021" t="s">
        <v>4474</v>
      </c>
      <c r="D5021" t="s">
        <v>4475</v>
      </c>
      <c r="E5021">
        <v>12</v>
      </c>
      <c r="F5021" s="6">
        <v>750</v>
      </c>
      <c r="G5021" t="s">
        <v>4581</v>
      </c>
    </row>
    <row r="5022" spans="1:7">
      <c r="A5022" t="s">
        <v>10999</v>
      </c>
      <c r="B5022" t="s">
        <v>11000</v>
      </c>
      <c r="C5022" t="s">
        <v>4452</v>
      </c>
      <c r="D5022" t="s">
        <v>4453</v>
      </c>
      <c r="E5022">
        <v>6</v>
      </c>
      <c r="F5022" s="6">
        <v>750</v>
      </c>
      <c r="G5022" t="s">
        <v>5532</v>
      </c>
    </row>
    <row r="5023" spans="1:7">
      <c r="A5023" t="s">
        <v>11001</v>
      </c>
      <c r="B5023" t="s">
        <v>11002</v>
      </c>
      <c r="C5023" t="s">
        <v>4455</v>
      </c>
      <c r="D5023" t="s">
        <v>4456</v>
      </c>
      <c r="E5023">
        <v>6</v>
      </c>
      <c r="F5023" s="6">
        <v>1750</v>
      </c>
      <c r="G5023" t="s">
        <v>3730</v>
      </c>
    </row>
    <row r="5024" spans="1:7">
      <c r="A5024" t="s">
        <v>11003</v>
      </c>
      <c r="B5024" t="s">
        <v>11004</v>
      </c>
      <c r="C5024" t="s">
        <v>4474</v>
      </c>
      <c r="D5024" t="s">
        <v>4475</v>
      </c>
      <c r="E5024">
        <v>6</v>
      </c>
      <c r="F5024" s="6">
        <v>750</v>
      </c>
      <c r="G5024" t="s">
        <v>3702</v>
      </c>
    </row>
    <row r="5025" spans="1:7">
      <c r="A5025" t="s">
        <v>11005</v>
      </c>
      <c r="B5025" t="s">
        <v>11006</v>
      </c>
      <c r="C5025" t="s">
        <v>3808</v>
      </c>
      <c r="D5025" t="s">
        <v>3809</v>
      </c>
      <c r="E5025">
        <v>6</v>
      </c>
      <c r="F5025" s="6">
        <v>750</v>
      </c>
      <c r="G5025" t="s">
        <v>5134</v>
      </c>
    </row>
    <row r="5026" spans="1:7">
      <c r="A5026" t="s">
        <v>11007</v>
      </c>
      <c r="B5026" t="s">
        <v>11008</v>
      </c>
      <c r="C5026" t="s">
        <v>4452</v>
      </c>
      <c r="D5026" t="s">
        <v>4453</v>
      </c>
      <c r="E5026">
        <v>6</v>
      </c>
      <c r="F5026" s="6">
        <v>750</v>
      </c>
      <c r="G5026" t="s">
        <v>3802</v>
      </c>
    </row>
    <row r="5027" spans="1:7">
      <c r="A5027" t="s">
        <v>11009</v>
      </c>
      <c r="B5027" t="s">
        <v>11010</v>
      </c>
      <c r="C5027" t="s">
        <v>4071</v>
      </c>
      <c r="D5027" t="s">
        <v>4072</v>
      </c>
      <c r="E5027">
        <v>6</v>
      </c>
      <c r="F5027" s="6">
        <v>750</v>
      </c>
      <c r="G5027" t="s">
        <v>3802</v>
      </c>
    </row>
    <row r="5028" spans="1:7">
      <c r="A5028" t="s">
        <v>11011</v>
      </c>
      <c r="B5028" t="s">
        <v>11012</v>
      </c>
      <c r="C5028" t="s">
        <v>4244</v>
      </c>
      <c r="D5028" t="s">
        <v>4245</v>
      </c>
      <c r="E5028">
        <v>6</v>
      </c>
      <c r="F5028" s="6">
        <v>750</v>
      </c>
      <c r="G5028" t="s">
        <v>5532</v>
      </c>
    </row>
    <row r="5029" spans="1:7">
      <c r="A5029" t="s">
        <v>11013</v>
      </c>
      <c r="B5029" t="s">
        <v>11014</v>
      </c>
      <c r="C5029" t="s">
        <v>4455</v>
      </c>
      <c r="D5029" t="s">
        <v>4456</v>
      </c>
      <c r="E5029">
        <v>6</v>
      </c>
      <c r="F5029" s="6">
        <v>750</v>
      </c>
      <c r="G5029" t="s">
        <v>3694</v>
      </c>
    </row>
    <row r="5030" spans="1:7">
      <c r="A5030" t="s">
        <v>11015</v>
      </c>
      <c r="B5030" t="s">
        <v>11016</v>
      </c>
      <c r="C5030" t="s">
        <v>4452</v>
      </c>
      <c r="D5030" t="s">
        <v>4453</v>
      </c>
      <c r="E5030">
        <v>6</v>
      </c>
      <c r="F5030" s="6">
        <v>750</v>
      </c>
      <c r="G5030" t="s">
        <v>3694</v>
      </c>
    </row>
    <row r="5031" spans="1:7">
      <c r="A5031" t="s">
        <v>11017</v>
      </c>
      <c r="B5031" t="s">
        <v>11018</v>
      </c>
      <c r="C5031" t="s">
        <v>4452</v>
      </c>
      <c r="D5031" t="s">
        <v>4453</v>
      </c>
      <c r="E5031">
        <v>6</v>
      </c>
      <c r="F5031" s="6">
        <v>750</v>
      </c>
      <c r="G5031" t="s">
        <v>5228</v>
      </c>
    </row>
    <row r="5032" spans="1:7">
      <c r="A5032" t="s">
        <v>11019</v>
      </c>
      <c r="B5032" t="s">
        <v>11020</v>
      </c>
      <c r="C5032" t="s">
        <v>3928</v>
      </c>
      <c r="D5032" t="s">
        <v>3929</v>
      </c>
      <c r="E5032">
        <v>6</v>
      </c>
      <c r="F5032" s="6">
        <v>750</v>
      </c>
      <c r="G5032" t="s">
        <v>5228</v>
      </c>
    </row>
    <row r="5033" spans="1:7">
      <c r="A5033" t="s">
        <v>11021</v>
      </c>
      <c r="B5033" t="s">
        <v>11022</v>
      </c>
      <c r="C5033" t="s">
        <v>4244</v>
      </c>
      <c r="D5033" t="s">
        <v>4245</v>
      </c>
      <c r="E5033">
        <v>6</v>
      </c>
      <c r="F5033" s="6">
        <v>750</v>
      </c>
      <c r="G5033" t="s">
        <v>5520</v>
      </c>
    </row>
    <row r="5034" spans="1:7">
      <c r="A5034" t="s">
        <v>11023</v>
      </c>
      <c r="B5034" t="s">
        <v>11024</v>
      </c>
      <c r="C5034" t="s">
        <v>4455</v>
      </c>
      <c r="D5034" t="s">
        <v>4456</v>
      </c>
      <c r="E5034">
        <v>6</v>
      </c>
      <c r="F5034" s="6">
        <v>750</v>
      </c>
      <c r="G5034" t="s">
        <v>3694</v>
      </c>
    </row>
    <row r="5035" spans="1:7">
      <c r="A5035" t="s">
        <v>11025</v>
      </c>
      <c r="B5035" t="s">
        <v>11026</v>
      </c>
      <c r="C5035" t="s">
        <v>4244</v>
      </c>
      <c r="D5035" t="s">
        <v>4245</v>
      </c>
      <c r="E5035">
        <v>6</v>
      </c>
      <c r="F5035" s="6">
        <v>750</v>
      </c>
      <c r="G5035" t="s">
        <v>3702</v>
      </c>
    </row>
    <row r="5036" spans="1:7">
      <c r="A5036" t="s">
        <v>1050</v>
      </c>
      <c r="B5036" t="s">
        <v>11027</v>
      </c>
      <c r="C5036" t="s">
        <v>3928</v>
      </c>
      <c r="D5036" t="s">
        <v>3929</v>
      </c>
      <c r="E5036">
        <v>12</v>
      </c>
      <c r="F5036" s="6">
        <v>1000</v>
      </c>
      <c r="G5036" t="s">
        <v>3802</v>
      </c>
    </row>
    <row r="5037" spans="1:7">
      <c r="A5037" t="s">
        <v>11028</v>
      </c>
      <c r="B5037" t="s">
        <v>11029</v>
      </c>
      <c r="C5037" t="s">
        <v>4244</v>
      </c>
      <c r="D5037" t="s">
        <v>4245</v>
      </c>
      <c r="E5037">
        <v>6</v>
      </c>
      <c r="F5037" s="6">
        <v>750</v>
      </c>
      <c r="G5037" t="s">
        <v>5451</v>
      </c>
    </row>
    <row r="5038" spans="1:7">
      <c r="A5038" t="s">
        <v>11030</v>
      </c>
      <c r="B5038" t="s">
        <v>5454</v>
      </c>
      <c r="C5038" t="s">
        <v>3928</v>
      </c>
      <c r="D5038" t="s">
        <v>3929</v>
      </c>
      <c r="E5038">
        <v>6</v>
      </c>
      <c r="F5038" s="6">
        <v>750</v>
      </c>
      <c r="G5038" t="s">
        <v>5451</v>
      </c>
    </row>
    <row r="5039" spans="1:7">
      <c r="A5039" t="s">
        <v>11031</v>
      </c>
      <c r="B5039" t="s">
        <v>11032</v>
      </c>
      <c r="C5039" t="s">
        <v>4244</v>
      </c>
      <c r="D5039" t="s">
        <v>4245</v>
      </c>
      <c r="E5039">
        <v>6</v>
      </c>
      <c r="F5039" s="6">
        <v>750</v>
      </c>
      <c r="G5039" t="s">
        <v>4438</v>
      </c>
    </row>
    <row r="5040" spans="1:7">
      <c r="A5040" t="s">
        <v>11033</v>
      </c>
      <c r="B5040" t="s">
        <v>11034</v>
      </c>
      <c r="C5040" t="s">
        <v>4474</v>
      </c>
      <c r="D5040" t="s">
        <v>4475</v>
      </c>
      <c r="E5040">
        <v>6</v>
      </c>
      <c r="F5040" s="6">
        <v>750</v>
      </c>
      <c r="G5040" t="s">
        <v>5231</v>
      </c>
    </row>
    <row r="5041" spans="1:7">
      <c r="A5041" t="s">
        <v>11035</v>
      </c>
      <c r="B5041" t="s">
        <v>11036</v>
      </c>
      <c r="C5041" t="s">
        <v>3808</v>
      </c>
      <c r="D5041" t="s">
        <v>3809</v>
      </c>
      <c r="E5041">
        <v>6</v>
      </c>
      <c r="F5041" s="6">
        <v>750</v>
      </c>
      <c r="G5041" t="s">
        <v>3781</v>
      </c>
    </row>
    <row r="5042" spans="1:7">
      <c r="A5042" t="s">
        <v>356</v>
      </c>
      <c r="B5042" t="s">
        <v>11037</v>
      </c>
      <c r="C5042" t="s">
        <v>3928</v>
      </c>
      <c r="D5042" t="s">
        <v>3929</v>
      </c>
      <c r="E5042">
        <v>6</v>
      </c>
      <c r="F5042" s="6">
        <v>750</v>
      </c>
      <c r="G5042" t="s">
        <v>4285</v>
      </c>
    </row>
    <row r="5043" spans="1:7">
      <c r="A5043" t="s">
        <v>11038</v>
      </c>
      <c r="B5043" t="s">
        <v>11039</v>
      </c>
      <c r="C5043" t="s">
        <v>3808</v>
      </c>
      <c r="D5043" t="s">
        <v>3809</v>
      </c>
      <c r="E5043">
        <v>6</v>
      </c>
      <c r="F5043" s="6">
        <v>750</v>
      </c>
      <c r="G5043" t="s">
        <v>5421</v>
      </c>
    </row>
    <row r="5044" spans="1:7">
      <c r="A5044" t="s">
        <v>11040</v>
      </c>
      <c r="B5044" t="s">
        <v>11041</v>
      </c>
      <c r="C5044" t="s">
        <v>3808</v>
      </c>
      <c r="D5044" t="s">
        <v>3809</v>
      </c>
      <c r="E5044">
        <v>6</v>
      </c>
      <c r="F5044" s="6">
        <v>750</v>
      </c>
      <c r="G5044" t="s">
        <v>10646</v>
      </c>
    </row>
    <row r="5045" spans="1:7">
      <c r="A5045" t="s">
        <v>11042</v>
      </c>
      <c r="B5045" t="s">
        <v>11043</v>
      </c>
      <c r="C5045" t="s">
        <v>4455</v>
      </c>
      <c r="D5045" t="s">
        <v>4456</v>
      </c>
      <c r="E5045">
        <v>6</v>
      </c>
      <c r="F5045" s="6">
        <v>750</v>
      </c>
      <c r="G5045" t="s">
        <v>3694</v>
      </c>
    </row>
    <row r="5046" spans="1:7">
      <c r="A5046" t="s">
        <v>11044</v>
      </c>
      <c r="B5046" t="s">
        <v>11045</v>
      </c>
      <c r="C5046" t="s">
        <v>4455</v>
      </c>
      <c r="D5046" t="s">
        <v>4456</v>
      </c>
      <c r="E5046">
        <v>5</v>
      </c>
      <c r="F5046" s="6">
        <v>50</v>
      </c>
      <c r="G5046" t="s">
        <v>3694</v>
      </c>
    </row>
    <row r="5047" spans="1:7">
      <c r="A5047" t="s">
        <v>11046</v>
      </c>
      <c r="B5047" t="s">
        <v>11047</v>
      </c>
      <c r="C5047" t="s">
        <v>3928</v>
      </c>
      <c r="D5047" t="s">
        <v>3929</v>
      </c>
      <c r="E5047">
        <v>12</v>
      </c>
      <c r="F5047" s="6">
        <v>750</v>
      </c>
      <c r="G5047" t="s">
        <v>3694</v>
      </c>
    </row>
    <row r="5048" spans="1:7">
      <c r="A5048" t="s">
        <v>11048</v>
      </c>
      <c r="B5048" t="s">
        <v>11049</v>
      </c>
      <c r="C5048" t="s">
        <v>3928</v>
      </c>
      <c r="D5048" t="s">
        <v>3929</v>
      </c>
      <c r="E5048">
        <v>6</v>
      </c>
      <c r="F5048" s="6">
        <v>750</v>
      </c>
      <c r="G5048" t="s">
        <v>4300</v>
      </c>
    </row>
    <row r="5049" spans="1:7">
      <c r="A5049" t="s">
        <v>11050</v>
      </c>
      <c r="B5049" t="s">
        <v>11051</v>
      </c>
      <c r="C5049" t="s">
        <v>4452</v>
      </c>
      <c r="D5049" t="s">
        <v>4453</v>
      </c>
      <c r="E5049">
        <v>6</v>
      </c>
      <c r="F5049" s="6">
        <v>750</v>
      </c>
      <c r="G5049" t="s">
        <v>3832</v>
      </c>
    </row>
    <row r="5050" spans="1:7">
      <c r="A5050" t="s">
        <v>11052</v>
      </c>
      <c r="B5050" t="s">
        <v>11053</v>
      </c>
      <c r="C5050" t="s">
        <v>4244</v>
      </c>
      <c r="D5050" t="s">
        <v>4245</v>
      </c>
      <c r="E5050">
        <v>6</v>
      </c>
      <c r="F5050" s="6">
        <v>750</v>
      </c>
      <c r="G5050" t="s">
        <v>3832</v>
      </c>
    </row>
    <row r="5051" spans="1:7">
      <c r="A5051" t="s">
        <v>11054</v>
      </c>
      <c r="B5051" t="s">
        <v>11055</v>
      </c>
      <c r="C5051" t="s">
        <v>4244</v>
      </c>
      <c r="D5051" t="s">
        <v>4245</v>
      </c>
      <c r="E5051">
        <v>6</v>
      </c>
      <c r="F5051" s="6">
        <v>750</v>
      </c>
      <c r="G5051" t="s">
        <v>3716</v>
      </c>
    </row>
    <row r="5052" spans="1:7">
      <c r="A5052" t="s">
        <v>11056</v>
      </c>
      <c r="B5052" t="s">
        <v>11057</v>
      </c>
      <c r="C5052" t="s">
        <v>4244</v>
      </c>
      <c r="D5052" t="s">
        <v>4245</v>
      </c>
      <c r="E5052">
        <v>6</v>
      </c>
      <c r="F5052" s="6">
        <v>750</v>
      </c>
      <c r="G5052" t="s">
        <v>4840</v>
      </c>
    </row>
    <row r="5053" spans="1:7">
      <c r="A5053" t="s">
        <v>11058</v>
      </c>
      <c r="B5053" t="s">
        <v>11059</v>
      </c>
      <c r="C5053" t="s">
        <v>4244</v>
      </c>
      <c r="D5053" t="s">
        <v>4245</v>
      </c>
      <c r="E5053">
        <v>6</v>
      </c>
      <c r="F5053" s="6">
        <v>750</v>
      </c>
      <c r="G5053" t="s">
        <v>5532</v>
      </c>
    </row>
    <row r="5054" spans="1:7">
      <c r="A5054" t="s">
        <v>11060</v>
      </c>
      <c r="B5054" t="s">
        <v>11061</v>
      </c>
      <c r="C5054" t="s">
        <v>3928</v>
      </c>
      <c r="D5054" t="s">
        <v>3929</v>
      </c>
      <c r="E5054">
        <v>3</v>
      </c>
      <c r="F5054" s="6">
        <v>750</v>
      </c>
      <c r="G5054" t="s">
        <v>3686</v>
      </c>
    </row>
    <row r="5055" spans="1:7">
      <c r="A5055" t="s">
        <v>11062</v>
      </c>
      <c r="B5055" t="s">
        <v>11063</v>
      </c>
      <c r="C5055" t="s">
        <v>3708</v>
      </c>
      <c r="D5055" t="s">
        <v>3709</v>
      </c>
      <c r="E5055">
        <v>6</v>
      </c>
      <c r="F5055" s="6">
        <v>750</v>
      </c>
      <c r="G5055" t="s">
        <v>3951</v>
      </c>
    </row>
    <row r="5056" spans="1:7">
      <c r="A5056" t="s">
        <v>11064</v>
      </c>
      <c r="B5056" t="s">
        <v>11065</v>
      </c>
      <c r="C5056" t="s">
        <v>4244</v>
      </c>
      <c r="D5056" t="s">
        <v>4245</v>
      </c>
      <c r="E5056">
        <v>3</v>
      </c>
      <c r="F5056" s="6">
        <v>750</v>
      </c>
      <c r="G5056" t="s">
        <v>4781</v>
      </c>
    </row>
    <row r="5057" spans="1:7">
      <c r="A5057" t="s">
        <v>11066</v>
      </c>
      <c r="B5057" t="s">
        <v>11067</v>
      </c>
      <c r="C5057" t="s">
        <v>3928</v>
      </c>
      <c r="D5057" t="s">
        <v>3929</v>
      </c>
      <c r="E5057">
        <v>3</v>
      </c>
      <c r="F5057" s="6">
        <v>750</v>
      </c>
      <c r="G5057" t="s">
        <v>3686</v>
      </c>
    </row>
    <row r="5058" spans="1:7">
      <c r="A5058" t="s">
        <v>11068</v>
      </c>
      <c r="B5058" t="s">
        <v>11069</v>
      </c>
      <c r="C5058" t="s">
        <v>4244</v>
      </c>
      <c r="D5058" t="s">
        <v>4245</v>
      </c>
      <c r="E5058">
        <v>6</v>
      </c>
      <c r="F5058" s="6">
        <v>750</v>
      </c>
      <c r="G5058" t="s">
        <v>3686</v>
      </c>
    </row>
    <row r="5059" spans="1:7">
      <c r="A5059" t="s">
        <v>11070</v>
      </c>
      <c r="B5059" t="s">
        <v>11071</v>
      </c>
      <c r="C5059" t="s">
        <v>4244</v>
      </c>
      <c r="D5059" t="s">
        <v>4245</v>
      </c>
      <c r="E5059">
        <v>6</v>
      </c>
      <c r="F5059" s="6">
        <v>750</v>
      </c>
      <c r="G5059" t="s">
        <v>3931</v>
      </c>
    </row>
    <row r="5060" spans="1:7">
      <c r="A5060" t="s">
        <v>11072</v>
      </c>
      <c r="B5060" t="s">
        <v>11073</v>
      </c>
      <c r="C5060" t="s">
        <v>4244</v>
      </c>
      <c r="D5060" t="s">
        <v>4245</v>
      </c>
      <c r="E5060">
        <v>6</v>
      </c>
      <c r="F5060" s="6">
        <v>750</v>
      </c>
      <c r="G5060" t="s">
        <v>3888</v>
      </c>
    </row>
    <row r="5061" spans="1:7">
      <c r="A5061" t="s">
        <v>11074</v>
      </c>
      <c r="B5061" t="s">
        <v>11075</v>
      </c>
      <c r="C5061" t="s">
        <v>4244</v>
      </c>
      <c r="D5061" t="s">
        <v>4245</v>
      </c>
      <c r="E5061">
        <v>6</v>
      </c>
      <c r="F5061" s="6">
        <v>750</v>
      </c>
      <c r="G5061" t="s">
        <v>3888</v>
      </c>
    </row>
    <row r="5062" spans="1:7">
      <c r="A5062" t="s">
        <v>11076</v>
      </c>
      <c r="B5062" t="s">
        <v>5516</v>
      </c>
      <c r="C5062" t="s">
        <v>4244</v>
      </c>
      <c r="D5062" t="s">
        <v>4245</v>
      </c>
      <c r="E5062">
        <v>6</v>
      </c>
      <c r="F5062" s="6">
        <v>750</v>
      </c>
      <c r="G5062" t="s">
        <v>3871</v>
      </c>
    </row>
    <row r="5063" spans="1:7">
      <c r="A5063" t="s">
        <v>11077</v>
      </c>
      <c r="B5063" t="s">
        <v>11078</v>
      </c>
      <c r="C5063" t="s">
        <v>4244</v>
      </c>
      <c r="D5063" t="s">
        <v>4245</v>
      </c>
      <c r="E5063">
        <v>3</v>
      </c>
      <c r="F5063" s="6">
        <v>750</v>
      </c>
      <c r="G5063" t="s">
        <v>4781</v>
      </c>
    </row>
    <row r="5064" spans="1:7">
      <c r="A5064" t="s">
        <v>11079</v>
      </c>
      <c r="B5064" t="s">
        <v>11080</v>
      </c>
      <c r="C5064" t="s">
        <v>4244</v>
      </c>
      <c r="D5064" t="s">
        <v>4245</v>
      </c>
      <c r="E5064">
        <v>6</v>
      </c>
      <c r="F5064" s="6">
        <v>750</v>
      </c>
      <c r="G5064" t="s">
        <v>5520</v>
      </c>
    </row>
    <row r="5065" spans="1:7">
      <c r="A5065" t="s">
        <v>11081</v>
      </c>
      <c r="B5065" t="s">
        <v>11082</v>
      </c>
      <c r="C5065" t="s">
        <v>4244</v>
      </c>
      <c r="D5065" t="s">
        <v>4245</v>
      </c>
      <c r="E5065">
        <v>12</v>
      </c>
      <c r="F5065" s="6">
        <v>750</v>
      </c>
      <c r="G5065" t="s">
        <v>4163</v>
      </c>
    </row>
    <row r="5066" spans="1:7">
      <c r="A5066" t="s">
        <v>11083</v>
      </c>
      <c r="B5066" t="s">
        <v>11084</v>
      </c>
      <c r="C5066" t="s">
        <v>3808</v>
      </c>
      <c r="D5066" t="s">
        <v>3809</v>
      </c>
      <c r="E5066">
        <v>6</v>
      </c>
      <c r="F5066" s="6">
        <v>750</v>
      </c>
      <c r="G5066" t="s">
        <v>3951</v>
      </c>
    </row>
    <row r="5067" spans="1:7">
      <c r="A5067" t="s">
        <v>11085</v>
      </c>
      <c r="B5067" t="s">
        <v>11086</v>
      </c>
      <c r="C5067" t="s">
        <v>4244</v>
      </c>
      <c r="D5067" t="s">
        <v>4245</v>
      </c>
      <c r="E5067">
        <v>3</v>
      </c>
      <c r="F5067" s="6">
        <v>750</v>
      </c>
      <c r="G5067" t="s">
        <v>4781</v>
      </c>
    </row>
    <row r="5068" spans="1:7">
      <c r="A5068" t="s">
        <v>11087</v>
      </c>
      <c r="B5068" t="s">
        <v>11088</v>
      </c>
      <c r="C5068" t="s">
        <v>4452</v>
      </c>
      <c r="D5068" t="s">
        <v>4453</v>
      </c>
      <c r="E5068">
        <v>6</v>
      </c>
      <c r="F5068" s="6">
        <v>750</v>
      </c>
      <c r="G5068" t="s">
        <v>5532</v>
      </c>
    </row>
    <row r="5069" spans="1:7">
      <c r="A5069" t="s">
        <v>11089</v>
      </c>
      <c r="B5069" t="s">
        <v>11090</v>
      </c>
      <c r="C5069" t="s">
        <v>4474</v>
      </c>
      <c r="D5069" t="s">
        <v>4475</v>
      </c>
      <c r="E5069">
        <v>6</v>
      </c>
      <c r="F5069" s="6">
        <v>750</v>
      </c>
      <c r="G5069" t="s">
        <v>3702</v>
      </c>
    </row>
    <row r="5070" spans="1:7">
      <c r="A5070" t="s">
        <v>11091</v>
      </c>
      <c r="B5070" t="s">
        <v>11092</v>
      </c>
      <c r="C5070" t="s">
        <v>3808</v>
      </c>
      <c r="D5070" t="s">
        <v>3809</v>
      </c>
      <c r="E5070">
        <v>12</v>
      </c>
      <c r="F5070" s="6">
        <v>750</v>
      </c>
      <c r="G5070" t="s">
        <v>5020</v>
      </c>
    </row>
    <row r="5071" spans="1:7">
      <c r="A5071" t="s">
        <v>11093</v>
      </c>
      <c r="B5071" t="s">
        <v>11094</v>
      </c>
      <c r="C5071" t="s">
        <v>3692</v>
      </c>
      <c r="D5071" t="s">
        <v>3693</v>
      </c>
      <c r="E5071">
        <v>12</v>
      </c>
      <c r="F5071" s="6">
        <v>1000</v>
      </c>
      <c r="G5071" t="s">
        <v>11095</v>
      </c>
    </row>
    <row r="5072" spans="1:7">
      <c r="A5072" t="s">
        <v>11096</v>
      </c>
      <c r="B5072" t="s">
        <v>11097</v>
      </c>
      <c r="C5072" t="s">
        <v>3808</v>
      </c>
      <c r="D5072" t="s">
        <v>3809</v>
      </c>
      <c r="E5072">
        <v>6</v>
      </c>
      <c r="F5072" s="6">
        <v>750</v>
      </c>
      <c r="G5072" t="s">
        <v>3871</v>
      </c>
    </row>
    <row r="5073" spans="1:7">
      <c r="A5073" t="s">
        <v>11098</v>
      </c>
      <c r="B5073" t="s">
        <v>11099</v>
      </c>
      <c r="C5073" t="s">
        <v>6411</v>
      </c>
      <c r="D5073" t="s">
        <v>6412</v>
      </c>
      <c r="E5073">
        <v>6</v>
      </c>
      <c r="F5073" s="6">
        <v>750</v>
      </c>
      <c r="G5073" t="s">
        <v>5139</v>
      </c>
    </row>
    <row r="5074" spans="1:7">
      <c r="A5074" t="s">
        <v>11100</v>
      </c>
      <c r="B5074" t="s">
        <v>11101</v>
      </c>
      <c r="C5074" t="s">
        <v>4084</v>
      </c>
      <c r="D5074" t="s">
        <v>4085</v>
      </c>
      <c r="E5074">
        <v>6</v>
      </c>
      <c r="F5074" s="6">
        <v>750</v>
      </c>
      <c r="G5074" t="s">
        <v>4438</v>
      </c>
    </row>
    <row r="5075" spans="1:7">
      <c r="A5075" t="s">
        <v>11102</v>
      </c>
      <c r="B5075" t="s">
        <v>11103</v>
      </c>
      <c r="C5075" t="s">
        <v>3928</v>
      </c>
      <c r="D5075" t="s">
        <v>3929</v>
      </c>
      <c r="E5075">
        <v>6</v>
      </c>
      <c r="F5075" s="6">
        <v>750</v>
      </c>
      <c r="G5075" t="s">
        <v>11104</v>
      </c>
    </row>
    <row r="5076" spans="1:7">
      <c r="A5076" t="s">
        <v>11105</v>
      </c>
      <c r="B5076" t="s">
        <v>11106</v>
      </c>
      <c r="C5076" t="s">
        <v>3808</v>
      </c>
      <c r="D5076" t="s">
        <v>3809</v>
      </c>
      <c r="E5076">
        <v>6</v>
      </c>
      <c r="F5076" s="6">
        <v>750</v>
      </c>
      <c r="G5076" t="s">
        <v>11104</v>
      </c>
    </row>
    <row r="5077" spans="1:7">
      <c r="A5077" t="s">
        <v>11107</v>
      </c>
      <c r="B5077" t="s">
        <v>11108</v>
      </c>
      <c r="C5077" t="s">
        <v>4452</v>
      </c>
      <c r="D5077" t="s">
        <v>4453</v>
      </c>
      <c r="E5077">
        <v>6</v>
      </c>
      <c r="F5077" s="6">
        <v>750</v>
      </c>
      <c r="G5077" t="s">
        <v>4438</v>
      </c>
    </row>
    <row r="5078" spans="1:7">
      <c r="A5078" t="s">
        <v>2294</v>
      </c>
      <c r="B5078" t="s">
        <v>11109</v>
      </c>
      <c r="C5078" t="s">
        <v>4455</v>
      </c>
      <c r="D5078" t="s">
        <v>4456</v>
      </c>
      <c r="E5078">
        <v>6</v>
      </c>
      <c r="F5078" s="6">
        <v>750</v>
      </c>
      <c r="G5078" t="s">
        <v>4509</v>
      </c>
    </row>
    <row r="5079" spans="1:7">
      <c r="A5079" t="s">
        <v>11110</v>
      </c>
      <c r="B5079" t="s">
        <v>11111</v>
      </c>
      <c r="C5079" t="s">
        <v>9319</v>
      </c>
      <c r="D5079" t="s">
        <v>9320</v>
      </c>
      <c r="E5079">
        <v>6</v>
      </c>
      <c r="F5079" s="6">
        <v>750</v>
      </c>
      <c r="G5079" t="s">
        <v>3781</v>
      </c>
    </row>
    <row r="5080" spans="1:7">
      <c r="A5080" t="s">
        <v>11112</v>
      </c>
      <c r="B5080" t="s">
        <v>11113</v>
      </c>
      <c r="C5080" t="s">
        <v>3808</v>
      </c>
      <c r="D5080" t="s">
        <v>3809</v>
      </c>
      <c r="E5080">
        <v>6</v>
      </c>
      <c r="F5080" s="6">
        <v>750</v>
      </c>
      <c r="G5080" t="s">
        <v>4781</v>
      </c>
    </row>
    <row r="5081" spans="1:7">
      <c r="A5081" t="s">
        <v>11114</v>
      </c>
      <c r="B5081" t="s">
        <v>11115</v>
      </c>
      <c r="C5081" t="s">
        <v>3928</v>
      </c>
      <c r="D5081" t="s">
        <v>3929</v>
      </c>
      <c r="E5081">
        <v>12</v>
      </c>
      <c r="F5081" s="6">
        <v>1000</v>
      </c>
      <c r="G5081" t="s">
        <v>3716</v>
      </c>
    </row>
    <row r="5082" spans="1:7">
      <c r="A5082" t="s">
        <v>11116</v>
      </c>
      <c r="B5082" t="s">
        <v>11117</v>
      </c>
      <c r="C5082" t="s">
        <v>3808</v>
      </c>
      <c r="D5082" t="s">
        <v>3809</v>
      </c>
      <c r="E5082">
        <v>6</v>
      </c>
      <c r="F5082" s="6">
        <v>750</v>
      </c>
      <c r="G5082" t="s">
        <v>4781</v>
      </c>
    </row>
    <row r="5083" spans="1:7">
      <c r="A5083" t="s">
        <v>11118</v>
      </c>
      <c r="B5083" t="s">
        <v>11119</v>
      </c>
      <c r="C5083" t="s">
        <v>3928</v>
      </c>
      <c r="D5083" t="s">
        <v>3929</v>
      </c>
      <c r="E5083">
        <v>6</v>
      </c>
      <c r="F5083" s="6">
        <v>750</v>
      </c>
      <c r="G5083" t="s">
        <v>6746</v>
      </c>
    </row>
    <row r="5084" spans="1:7">
      <c r="A5084" t="s">
        <v>11120</v>
      </c>
      <c r="B5084" t="s">
        <v>5548</v>
      </c>
      <c r="C5084" t="s">
        <v>9595</v>
      </c>
      <c r="D5084" t="s">
        <v>3757</v>
      </c>
      <c r="E5084">
        <v>6</v>
      </c>
      <c r="F5084" s="6">
        <v>1750</v>
      </c>
      <c r="G5084" t="s">
        <v>3931</v>
      </c>
    </row>
    <row r="5085" spans="1:7">
      <c r="A5085" t="s">
        <v>11121</v>
      </c>
      <c r="B5085" t="s">
        <v>5569</v>
      </c>
      <c r="C5085" t="s">
        <v>3928</v>
      </c>
      <c r="D5085" t="s">
        <v>3929</v>
      </c>
      <c r="E5085">
        <v>6</v>
      </c>
      <c r="F5085" s="6">
        <v>750</v>
      </c>
      <c r="G5085" t="s">
        <v>3931</v>
      </c>
    </row>
    <row r="5086" spans="1:7">
      <c r="A5086" t="s">
        <v>11122</v>
      </c>
      <c r="B5086" t="s">
        <v>11123</v>
      </c>
      <c r="C5086" t="s">
        <v>3928</v>
      </c>
      <c r="D5086" t="s">
        <v>3929</v>
      </c>
      <c r="E5086">
        <v>6</v>
      </c>
      <c r="F5086" s="6">
        <v>750</v>
      </c>
      <c r="G5086" t="s">
        <v>11124</v>
      </c>
    </row>
    <row r="5087" spans="1:7">
      <c r="A5087" t="s">
        <v>11125</v>
      </c>
      <c r="B5087" t="s">
        <v>11126</v>
      </c>
      <c r="C5087" t="s">
        <v>3808</v>
      </c>
      <c r="D5087" t="s">
        <v>3809</v>
      </c>
      <c r="E5087">
        <v>6</v>
      </c>
      <c r="F5087" s="6">
        <v>750</v>
      </c>
      <c r="G5087" t="s">
        <v>3781</v>
      </c>
    </row>
    <row r="5088" spans="1:7">
      <c r="A5088" t="s">
        <v>11127</v>
      </c>
      <c r="B5088" t="s">
        <v>11128</v>
      </c>
      <c r="C5088" t="s">
        <v>3808</v>
      </c>
      <c r="D5088" t="s">
        <v>3809</v>
      </c>
      <c r="E5088">
        <v>6</v>
      </c>
      <c r="F5088" s="6">
        <v>750</v>
      </c>
      <c r="G5088" t="s">
        <v>3781</v>
      </c>
    </row>
    <row r="5089" spans="1:7">
      <c r="A5089" t="s">
        <v>11129</v>
      </c>
      <c r="B5089" t="s">
        <v>5552</v>
      </c>
      <c r="C5089" t="s">
        <v>3808</v>
      </c>
      <c r="D5089" t="s">
        <v>3809</v>
      </c>
      <c r="E5089">
        <v>6</v>
      </c>
      <c r="F5089" s="6">
        <v>1750</v>
      </c>
      <c r="G5089" t="s">
        <v>3781</v>
      </c>
    </row>
    <row r="5090" spans="1:7">
      <c r="A5090" t="s">
        <v>2929</v>
      </c>
      <c r="B5090" t="s">
        <v>11130</v>
      </c>
      <c r="C5090" t="s">
        <v>3928</v>
      </c>
      <c r="D5090" t="s">
        <v>3929</v>
      </c>
      <c r="E5090">
        <v>6</v>
      </c>
      <c r="F5090" s="6">
        <v>750</v>
      </c>
      <c r="G5090" t="s">
        <v>3871</v>
      </c>
    </row>
    <row r="5091" spans="1:7">
      <c r="A5091" t="s">
        <v>1844</v>
      </c>
      <c r="B5091" t="s">
        <v>11131</v>
      </c>
      <c r="C5091" t="s">
        <v>3684</v>
      </c>
      <c r="D5091" t="s">
        <v>3685</v>
      </c>
      <c r="E5091">
        <v>6</v>
      </c>
      <c r="F5091" s="6">
        <v>1750</v>
      </c>
      <c r="G5091" t="s">
        <v>4117</v>
      </c>
    </row>
    <row r="5092" spans="1:7">
      <c r="A5092" t="s">
        <v>11132</v>
      </c>
      <c r="B5092" t="s">
        <v>11133</v>
      </c>
      <c r="C5092" t="s">
        <v>3808</v>
      </c>
      <c r="D5092" t="s">
        <v>3809</v>
      </c>
      <c r="E5092">
        <v>6</v>
      </c>
      <c r="F5092" s="6">
        <v>750</v>
      </c>
      <c r="G5092" t="s">
        <v>3781</v>
      </c>
    </row>
    <row r="5093" spans="1:7">
      <c r="A5093" t="s">
        <v>11134</v>
      </c>
      <c r="B5093" t="s">
        <v>11135</v>
      </c>
      <c r="C5093" t="s">
        <v>3808</v>
      </c>
      <c r="D5093" t="s">
        <v>3809</v>
      </c>
      <c r="E5093">
        <v>6</v>
      </c>
      <c r="F5093" s="6">
        <v>750</v>
      </c>
      <c r="G5093" t="s">
        <v>3781</v>
      </c>
    </row>
    <row r="5094" spans="1:7">
      <c r="A5094" t="s">
        <v>11136</v>
      </c>
      <c r="B5094" t="s">
        <v>11137</v>
      </c>
      <c r="C5094" t="s">
        <v>3928</v>
      </c>
      <c r="D5094" t="s">
        <v>3929</v>
      </c>
      <c r="E5094">
        <v>6</v>
      </c>
      <c r="F5094" s="6">
        <v>750</v>
      </c>
      <c r="G5094" t="s">
        <v>3871</v>
      </c>
    </row>
    <row r="5095" spans="1:7">
      <c r="A5095" t="s">
        <v>11138</v>
      </c>
      <c r="B5095" t="s">
        <v>11139</v>
      </c>
      <c r="C5095" t="s">
        <v>4071</v>
      </c>
      <c r="D5095" t="s">
        <v>4072</v>
      </c>
      <c r="E5095">
        <v>6</v>
      </c>
      <c r="F5095" s="6">
        <v>750</v>
      </c>
      <c r="G5095" t="s">
        <v>5698</v>
      </c>
    </row>
    <row r="5096" spans="1:7">
      <c r="A5096" t="s">
        <v>11140</v>
      </c>
      <c r="B5096" t="s">
        <v>11141</v>
      </c>
      <c r="C5096" t="s">
        <v>3928</v>
      </c>
      <c r="D5096" t="s">
        <v>3929</v>
      </c>
      <c r="E5096">
        <v>6</v>
      </c>
      <c r="F5096" s="6">
        <v>750</v>
      </c>
      <c r="G5096" t="s">
        <v>6746</v>
      </c>
    </row>
    <row r="5097" spans="1:7">
      <c r="A5097" t="s">
        <v>11142</v>
      </c>
      <c r="B5097" t="s">
        <v>11143</v>
      </c>
      <c r="C5097" t="s">
        <v>3928</v>
      </c>
      <c r="D5097" t="s">
        <v>3929</v>
      </c>
      <c r="E5097">
        <v>6</v>
      </c>
      <c r="F5097" s="6">
        <v>750</v>
      </c>
      <c r="G5097" t="s">
        <v>6746</v>
      </c>
    </row>
    <row r="5098" spans="1:7">
      <c r="A5098" t="s">
        <v>11144</v>
      </c>
      <c r="B5098" t="s">
        <v>11145</v>
      </c>
      <c r="C5098" t="s">
        <v>3928</v>
      </c>
      <c r="D5098" t="s">
        <v>3929</v>
      </c>
      <c r="E5098">
        <v>6</v>
      </c>
      <c r="F5098" s="6">
        <v>750</v>
      </c>
      <c r="G5098" t="s">
        <v>3681</v>
      </c>
    </row>
    <row r="5099" spans="1:7">
      <c r="A5099" t="s">
        <v>11146</v>
      </c>
      <c r="B5099" t="s">
        <v>11147</v>
      </c>
      <c r="C5099" t="s">
        <v>3808</v>
      </c>
      <c r="D5099" t="s">
        <v>3809</v>
      </c>
      <c r="E5099">
        <v>6</v>
      </c>
      <c r="F5099" s="6">
        <v>750</v>
      </c>
      <c r="G5099" t="s">
        <v>5084</v>
      </c>
    </row>
    <row r="5100" spans="1:7">
      <c r="A5100" t="s">
        <v>11148</v>
      </c>
      <c r="B5100" t="s">
        <v>11149</v>
      </c>
      <c r="C5100" t="s">
        <v>3928</v>
      </c>
      <c r="D5100" t="s">
        <v>3929</v>
      </c>
      <c r="E5100">
        <v>6</v>
      </c>
      <c r="F5100" s="6">
        <v>750</v>
      </c>
      <c r="G5100" t="s">
        <v>3681</v>
      </c>
    </row>
    <row r="5101" spans="1:7">
      <c r="A5101" t="s">
        <v>11150</v>
      </c>
      <c r="B5101" t="s">
        <v>11151</v>
      </c>
      <c r="C5101" t="s">
        <v>3928</v>
      </c>
      <c r="D5101" t="s">
        <v>3929</v>
      </c>
      <c r="E5101">
        <v>6</v>
      </c>
      <c r="F5101" s="6">
        <v>750</v>
      </c>
      <c r="G5101" t="s">
        <v>3689</v>
      </c>
    </row>
    <row r="5102" spans="1:7">
      <c r="A5102" t="s">
        <v>11152</v>
      </c>
      <c r="B5102" t="s">
        <v>11153</v>
      </c>
      <c r="C5102" t="s">
        <v>3808</v>
      </c>
      <c r="D5102" t="s">
        <v>3809</v>
      </c>
      <c r="E5102">
        <v>6</v>
      </c>
      <c r="F5102" s="6">
        <v>750</v>
      </c>
      <c r="G5102" t="s">
        <v>5084</v>
      </c>
    </row>
    <row r="5103" spans="1:7">
      <c r="A5103" t="s">
        <v>11154</v>
      </c>
      <c r="B5103" t="s">
        <v>11155</v>
      </c>
      <c r="C5103" t="s">
        <v>5626</v>
      </c>
      <c r="D5103" t="s">
        <v>5627</v>
      </c>
      <c r="E5103">
        <v>6</v>
      </c>
      <c r="F5103" s="6">
        <v>750</v>
      </c>
      <c r="G5103" t="s">
        <v>3702</v>
      </c>
    </row>
    <row r="5104" spans="1:7">
      <c r="A5104" t="s">
        <v>11156</v>
      </c>
      <c r="B5104" t="s">
        <v>11157</v>
      </c>
      <c r="C5104" t="s">
        <v>5626</v>
      </c>
      <c r="D5104" t="s">
        <v>5627</v>
      </c>
      <c r="E5104">
        <v>6</v>
      </c>
      <c r="F5104" s="6">
        <v>750</v>
      </c>
      <c r="G5104" t="s">
        <v>9312</v>
      </c>
    </row>
    <row r="5105" spans="1:7">
      <c r="A5105" t="s">
        <v>11158</v>
      </c>
      <c r="B5105" t="s">
        <v>11159</v>
      </c>
      <c r="C5105" t="s">
        <v>3808</v>
      </c>
      <c r="D5105" t="s">
        <v>3809</v>
      </c>
      <c r="E5105">
        <v>6</v>
      </c>
      <c r="F5105" s="6">
        <v>750</v>
      </c>
      <c r="G5105" t="s">
        <v>5070</v>
      </c>
    </row>
    <row r="5106" spans="1:7">
      <c r="A5106" t="s">
        <v>11160</v>
      </c>
      <c r="B5106" t="s">
        <v>11161</v>
      </c>
      <c r="C5106" t="s">
        <v>3808</v>
      </c>
      <c r="D5106" t="s">
        <v>3809</v>
      </c>
      <c r="E5106">
        <v>6</v>
      </c>
      <c r="F5106" s="6">
        <v>750</v>
      </c>
      <c r="G5106" t="s">
        <v>3871</v>
      </c>
    </row>
    <row r="5107" spans="1:7">
      <c r="A5107" t="s">
        <v>11162</v>
      </c>
      <c r="B5107" t="s">
        <v>11163</v>
      </c>
      <c r="C5107" t="s">
        <v>3808</v>
      </c>
      <c r="D5107" t="s">
        <v>3809</v>
      </c>
      <c r="E5107">
        <v>6</v>
      </c>
      <c r="F5107" s="6">
        <v>750</v>
      </c>
      <c r="G5107" t="s">
        <v>4438</v>
      </c>
    </row>
    <row r="5108" spans="1:7">
      <c r="A5108" t="s">
        <v>11164</v>
      </c>
      <c r="B5108" t="s">
        <v>11165</v>
      </c>
      <c r="C5108" t="s">
        <v>3808</v>
      </c>
      <c r="D5108" t="s">
        <v>3809</v>
      </c>
      <c r="E5108">
        <v>6</v>
      </c>
      <c r="F5108" s="6">
        <v>750</v>
      </c>
      <c r="G5108" t="s">
        <v>4438</v>
      </c>
    </row>
    <row r="5109" spans="1:7">
      <c r="A5109" t="s">
        <v>11166</v>
      </c>
      <c r="B5109" t="s">
        <v>11167</v>
      </c>
      <c r="C5109" t="s">
        <v>5626</v>
      </c>
      <c r="D5109" t="s">
        <v>5627</v>
      </c>
      <c r="E5109">
        <v>6</v>
      </c>
      <c r="F5109" s="6">
        <v>750</v>
      </c>
      <c r="G5109" t="s">
        <v>3802</v>
      </c>
    </row>
    <row r="5110" spans="1:7">
      <c r="A5110" t="s">
        <v>11168</v>
      </c>
      <c r="B5110" t="s">
        <v>11169</v>
      </c>
      <c r="C5110" t="s">
        <v>5626</v>
      </c>
      <c r="D5110" t="s">
        <v>5627</v>
      </c>
      <c r="E5110">
        <v>6</v>
      </c>
      <c r="F5110" s="6">
        <v>750</v>
      </c>
      <c r="G5110" t="s">
        <v>3802</v>
      </c>
    </row>
    <row r="5111" spans="1:7">
      <c r="A5111" t="s">
        <v>11170</v>
      </c>
      <c r="B5111" t="s">
        <v>11171</v>
      </c>
      <c r="C5111" t="s">
        <v>5626</v>
      </c>
      <c r="D5111" t="s">
        <v>5627</v>
      </c>
      <c r="E5111">
        <v>6</v>
      </c>
      <c r="F5111" s="6">
        <v>700</v>
      </c>
      <c r="G5111" t="s">
        <v>9803</v>
      </c>
    </row>
    <row r="5112" spans="1:7">
      <c r="A5112" t="s">
        <v>11172</v>
      </c>
      <c r="B5112" t="s">
        <v>5648</v>
      </c>
      <c r="C5112" t="s">
        <v>5626</v>
      </c>
      <c r="D5112" t="s">
        <v>5627</v>
      </c>
      <c r="E5112">
        <v>6</v>
      </c>
      <c r="F5112" s="6">
        <v>1750</v>
      </c>
      <c r="G5112" t="s">
        <v>3698</v>
      </c>
    </row>
    <row r="5113" spans="1:7">
      <c r="A5113" t="s">
        <v>11173</v>
      </c>
      <c r="B5113" t="s">
        <v>11174</v>
      </c>
      <c r="C5113" t="s">
        <v>5626</v>
      </c>
      <c r="D5113" t="s">
        <v>5627</v>
      </c>
      <c r="E5113">
        <v>6</v>
      </c>
      <c r="F5113" s="6">
        <v>750</v>
      </c>
      <c r="G5113" t="s">
        <v>3888</v>
      </c>
    </row>
    <row r="5114" spans="1:7">
      <c r="A5114" t="s">
        <v>11175</v>
      </c>
      <c r="B5114" t="s">
        <v>11176</v>
      </c>
      <c r="C5114" t="s">
        <v>5626</v>
      </c>
      <c r="D5114" t="s">
        <v>5627</v>
      </c>
      <c r="E5114">
        <v>6</v>
      </c>
      <c r="F5114" s="6">
        <v>750</v>
      </c>
      <c r="G5114" t="s">
        <v>3713</v>
      </c>
    </row>
    <row r="5115" spans="1:7">
      <c r="A5115" t="s">
        <v>225</v>
      </c>
      <c r="B5115" t="s">
        <v>11177</v>
      </c>
      <c r="C5115" t="s">
        <v>5626</v>
      </c>
      <c r="D5115" t="s">
        <v>5627</v>
      </c>
      <c r="E5115">
        <v>6</v>
      </c>
      <c r="F5115" s="6">
        <v>750</v>
      </c>
      <c r="G5115" t="s">
        <v>7497</v>
      </c>
    </row>
    <row r="5116" spans="1:7">
      <c r="A5116" t="s">
        <v>11178</v>
      </c>
      <c r="B5116" t="s">
        <v>11179</v>
      </c>
      <c r="C5116" t="s">
        <v>5653</v>
      </c>
      <c r="D5116" t="s">
        <v>5654</v>
      </c>
      <c r="E5116">
        <v>12</v>
      </c>
      <c r="F5116" s="6">
        <v>750</v>
      </c>
      <c r="G5116" t="s">
        <v>3802</v>
      </c>
    </row>
    <row r="5117" spans="1:7">
      <c r="A5117" t="s">
        <v>11180</v>
      </c>
      <c r="B5117" t="s">
        <v>11181</v>
      </c>
      <c r="C5117" t="s">
        <v>5653</v>
      </c>
      <c r="D5117" t="s">
        <v>5654</v>
      </c>
      <c r="E5117">
        <v>12</v>
      </c>
      <c r="F5117" s="6">
        <v>750</v>
      </c>
      <c r="G5117" t="s">
        <v>3802</v>
      </c>
    </row>
    <row r="5118" spans="1:7">
      <c r="A5118" t="s">
        <v>11182</v>
      </c>
      <c r="B5118" t="s">
        <v>11183</v>
      </c>
      <c r="C5118" t="s">
        <v>5626</v>
      </c>
      <c r="D5118" t="s">
        <v>5627</v>
      </c>
      <c r="E5118">
        <v>6</v>
      </c>
      <c r="F5118" s="6">
        <v>700</v>
      </c>
      <c r="G5118" t="s">
        <v>3702</v>
      </c>
    </row>
    <row r="5119" spans="1:7">
      <c r="A5119" t="s">
        <v>11184</v>
      </c>
      <c r="B5119" t="s">
        <v>11185</v>
      </c>
      <c r="C5119" t="s">
        <v>5626</v>
      </c>
      <c r="D5119" t="s">
        <v>5627</v>
      </c>
      <c r="E5119">
        <v>6</v>
      </c>
      <c r="F5119" s="6">
        <v>700</v>
      </c>
      <c r="G5119" t="s">
        <v>3713</v>
      </c>
    </row>
    <row r="5120" spans="1:7">
      <c r="A5120" t="s">
        <v>11186</v>
      </c>
      <c r="B5120" t="s">
        <v>11187</v>
      </c>
      <c r="C5120" t="s">
        <v>5626</v>
      </c>
      <c r="D5120" t="s">
        <v>5627</v>
      </c>
      <c r="E5120">
        <v>6</v>
      </c>
      <c r="F5120" s="6">
        <v>750</v>
      </c>
      <c r="G5120" t="s">
        <v>4117</v>
      </c>
    </row>
    <row r="5121" spans="1:7">
      <c r="A5121" t="s">
        <v>11188</v>
      </c>
      <c r="B5121" t="s">
        <v>11189</v>
      </c>
      <c r="C5121" t="s">
        <v>5653</v>
      </c>
      <c r="D5121" t="s">
        <v>5654</v>
      </c>
      <c r="E5121">
        <v>6</v>
      </c>
      <c r="F5121" s="6">
        <v>750</v>
      </c>
      <c r="G5121" t="s">
        <v>4117</v>
      </c>
    </row>
    <row r="5122" spans="1:7">
      <c r="A5122" t="s">
        <v>11190</v>
      </c>
      <c r="B5122" t="s">
        <v>11191</v>
      </c>
      <c r="C5122" t="s">
        <v>5653</v>
      </c>
      <c r="D5122" t="s">
        <v>5654</v>
      </c>
      <c r="E5122">
        <v>6</v>
      </c>
      <c r="F5122" s="6">
        <v>750</v>
      </c>
      <c r="G5122" t="s">
        <v>4117</v>
      </c>
    </row>
    <row r="5123" spans="1:7">
      <c r="A5123" t="s">
        <v>11192</v>
      </c>
      <c r="B5123" t="s">
        <v>11193</v>
      </c>
      <c r="C5123" t="s">
        <v>5626</v>
      </c>
      <c r="D5123" t="s">
        <v>5627</v>
      </c>
      <c r="E5123">
        <v>6</v>
      </c>
      <c r="F5123" s="6">
        <v>1750</v>
      </c>
      <c r="G5123" t="s">
        <v>4182</v>
      </c>
    </row>
    <row r="5124" spans="1:7">
      <c r="A5124" t="s">
        <v>11194</v>
      </c>
      <c r="B5124" t="s">
        <v>5658</v>
      </c>
      <c r="C5124" t="s">
        <v>5626</v>
      </c>
      <c r="D5124" t="s">
        <v>5627</v>
      </c>
      <c r="E5124">
        <v>6</v>
      </c>
      <c r="F5124" s="6">
        <v>750</v>
      </c>
      <c r="G5124" t="s">
        <v>3694</v>
      </c>
    </row>
    <row r="5125" spans="1:7">
      <c r="A5125" t="s">
        <v>11195</v>
      </c>
      <c r="B5125" t="s">
        <v>5652</v>
      </c>
      <c r="C5125" t="s">
        <v>5653</v>
      </c>
      <c r="D5125" t="s">
        <v>5654</v>
      </c>
      <c r="E5125">
        <v>12</v>
      </c>
      <c r="F5125" s="6">
        <v>375</v>
      </c>
      <c r="G5125" t="s">
        <v>4509</v>
      </c>
    </row>
    <row r="5126" spans="1:7">
      <c r="A5126" t="s">
        <v>11196</v>
      </c>
      <c r="B5126" t="s">
        <v>11197</v>
      </c>
      <c r="C5126" t="s">
        <v>3808</v>
      </c>
      <c r="D5126" t="s">
        <v>3809</v>
      </c>
      <c r="E5126">
        <v>12</v>
      </c>
      <c r="F5126" s="6">
        <v>750</v>
      </c>
      <c r="G5126" t="s">
        <v>3702</v>
      </c>
    </row>
    <row r="5127" spans="1:7">
      <c r="A5127" t="s">
        <v>11198</v>
      </c>
      <c r="B5127" t="s">
        <v>11199</v>
      </c>
      <c r="C5127" t="s">
        <v>5626</v>
      </c>
      <c r="D5127" t="s">
        <v>5627</v>
      </c>
      <c r="E5127">
        <v>6</v>
      </c>
      <c r="F5127" s="6">
        <v>700</v>
      </c>
      <c r="G5127" t="s">
        <v>3702</v>
      </c>
    </row>
    <row r="5128" spans="1:7">
      <c r="A5128" t="s">
        <v>11200</v>
      </c>
      <c r="B5128" t="s">
        <v>11201</v>
      </c>
      <c r="C5128" t="s">
        <v>5626</v>
      </c>
      <c r="D5128" t="s">
        <v>5627</v>
      </c>
      <c r="E5128">
        <v>6</v>
      </c>
      <c r="F5128" s="6">
        <v>700</v>
      </c>
      <c r="G5128" t="s">
        <v>3702</v>
      </c>
    </row>
    <row r="5129" spans="1:7">
      <c r="A5129" t="s">
        <v>11202</v>
      </c>
      <c r="B5129" t="s">
        <v>11203</v>
      </c>
      <c r="C5129" t="s">
        <v>5626</v>
      </c>
      <c r="D5129" t="s">
        <v>5627</v>
      </c>
      <c r="E5129">
        <v>6</v>
      </c>
      <c r="F5129" s="6">
        <v>750</v>
      </c>
      <c r="G5129" t="s">
        <v>4182</v>
      </c>
    </row>
    <row r="5130" spans="1:7">
      <c r="A5130" t="s">
        <v>11204</v>
      </c>
      <c r="B5130" t="s">
        <v>11205</v>
      </c>
      <c r="C5130" t="s">
        <v>5626</v>
      </c>
      <c r="D5130" t="s">
        <v>5627</v>
      </c>
      <c r="E5130">
        <v>6</v>
      </c>
      <c r="F5130" s="6">
        <v>750</v>
      </c>
      <c r="G5130" t="s">
        <v>4182</v>
      </c>
    </row>
    <row r="5131" spans="1:7">
      <c r="A5131" t="s">
        <v>11206</v>
      </c>
      <c r="B5131" t="s">
        <v>11207</v>
      </c>
      <c r="C5131" t="s">
        <v>5626</v>
      </c>
      <c r="D5131" t="s">
        <v>5627</v>
      </c>
      <c r="E5131">
        <v>6</v>
      </c>
      <c r="F5131" s="6">
        <v>700</v>
      </c>
      <c r="G5131" t="s">
        <v>3802</v>
      </c>
    </row>
    <row r="5132" spans="1:7">
      <c r="A5132" t="s">
        <v>11208</v>
      </c>
      <c r="B5132" t="s">
        <v>11209</v>
      </c>
      <c r="C5132" t="s">
        <v>5653</v>
      </c>
      <c r="D5132" t="s">
        <v>5654</v>
      </c>
      <c r="E5132">
        <v>6</v>
      </c>
      <c r="F5132" s="6">
        <v>750</v>
      </c>
      <c r="G5132" t="s">
        <v>3802</v>
      </c>
    </row>
    <row r="5133" spans="1:7">
      <c r="A5133" t="s">
        <v>11210</v>
      </c>
      <c r="B5133" t="s">
        <v>11211</v>
      </c>
      <c r="C5133" t="s">
        <v>5626</v>
      </c>
      <c r="D5133" t="s">
        <v>5627</v>
      </c>
      <c r="E5133">
        <v>6</v>
      </c>
      <c r="F5133" s="6">
        <v>750</v>
      </c>
      <c r="G5133" t="s">
        <v>9803</v>
      </c>
    </row>
    <row r="5134" spans="1:7">
      <c r="A5134" t="s">
        <v>11212</v>
      </c>
      <c r="B5134" t="s">
        <v>11213</v>
      </c>
      <c r="C5134" t="s">
        <v>5626</v>
      </c>
      <c r="D5134" t="s">
        <v>5627</v>
      </c>
      <c r="E5134">
        <v>6</v>
      </c>
      <c r="F5134" s="6">
        <v>750</v>
      </c>
      <c r="G5134" t="s">
        <v>11214</v>
      </c>
    </row>
    <row r="5135" spans="1:7">
      <c r="A5135" t="s">
        <v>11215</v>
      </c>
      <c r="B5135" t="s">
        <v>11216</v>
      </c>
      <c r="C5135" t="s">
        <v>5668</v>
      </c>
      <c r="D5135" t="s">
        <v>5669</v>
      </c>
      <c r="E5135">
        <v>6</v>
      </c>
      <c r="F5135" s="6">
        <v>750</v>
      </c>
      <c r="G5135" t="s">
        <v>4419</v>
      </c>
    </row>
    <row r="5136" spans="1:7">
      <c r="A5136" t="s">
        <v>11217</v>
      </c>
      <c r="B5136" t="s">
        <v>11218</v>
      </c>
      <c r="C5136" t="s">
        <v>5626</v>
      </c>
      <c r="D5136" t="s">
        <v>5627</v>
      </c>
      <c r="E5136">
        <v>6</v>
      </c>
      <c r="F5136" s="6">
        <v>750</v>
      </c>
      <c r="G5136" t="s">
        <v>4032</v>
      </c>
    </row>
    <row r="5137" spans="1:7">
      <c r="A5137" t="s">
        <v>11219</v>
      </c>
      <c r="B5137" t="s">
        <v>11220</v>
      </c>
      <c r="C5137" t="s">
        <v>5653</v>
      </c>
      <c r="D5137" t="s">
        <v>5654</v>
      </c>
      <c r="E5137">
        <v>8</v>
      </c>
      <c r="F5137" s="6">
        <v>50</v>
      </c>
      <c r="G5137" t="s">
        <v>4419</v>
      </c>
    </row>
    <row r="5138" spans="1:7">
      <c r="A5138" t="s">
        <v>1223</v>
      </c>
      <c r="B5138" t="s">
        <v>11221</v>
      </c>
      <c r="C5138" t="s">
        <v>5653</v>
      </c>
      <c r="D5138" t="s">
        <v>5654</v>
      </c>
      <c r="E5138">
        <v>6</v>
      </c>
      <c r="F5138" s="6">
        <v>750</v>
      </c>
      <c r="G5138" t="s">
        <v>3681</v>
      </c>
    </row>
    <row r="5139" spans="1:7">
      <c r="A5139" t="s">
        <v>11222</v>
      </c>
      <c r="B5139" t="s">
        <v>11223</v>
      </c>
      <c r="C5139" t="s">
        <v>5653</v>
      </c>
      <c r="D5139" t="s">
        <v>5654</v>
      </c>
      <c r="E5139">
        <v>6</v>
      </c>
      <c r="F5139" s="6">
        <v>750</v>
      </c>
      <c r="G5139" t="s">
        <v>3681</v>
      </c>
    </row>
    <row r="5140" spans="1:7">
      <c r="A5140" t="s">
        <v>11224</v>
      </c>
      <c r="B5140" t="s">
        <v>5677</v>
      </c>
      <c r="C5140" t="s">
        <v>5626</v>
      </c>
      <c r="D5140" t="s">
        <v>5627</v>
      </c>
      <c r="E5140">
        <v>6</v>
      </c>
      <c r="F5140" s="6">
        <v>750</v>
      </c>
      <c r="G5140" t="s">
        <v>3681</v>
      </c>
    </row>
    <row r="5141" spans="1:7">
      <c r="A5141" t="s">
        <v>11225</v>
      </c>
      <c r="B5141" t="s">
        <v>11226</v>
      </c>
      <c r="C5141" t="s">
        <v>5653</v>
      </c>
      <c r="D5141" t="s">
        <v>5654</v>
      </c>
      <c r="E5141">
        <v>6</v>
      </c>
      <c r="F5141" s="6">
        <v>750</v>
      </c>
      <c r="G5141" t="s">
        <v>3681</v>
      </c>
    </row>
    <row r="5142" spans="1:7">
      <c r="A5142" t="s">
        <v>11227</v>
      </c>
      <c r="B5142" t="s">
        <v>11228</v>
      </c>
      <c r="C5142" t="s">
        <v>9319</v>
      </c>
      <c r="D5142" t="s">
        <v>9320</v>
      </c>
      <c r="E5142">
        <v>6</v>
      </c>
      <c r="F5142" s="6">
        <v>750</v>
      </c>
      <c r="G5142" t="s">
        <v>3702</v>
      </c>
    </row>
    <row r="5143" spans="1:7">
      <c r="A5143" t="s">
        <v>11229</v>
      </c>
      <c r="B5143" t="s">
        <v>5681</v>
      </c>
      <c r="C5143" t="s">
        <v>5626</v>
      </c>
      <c r="D5143" t="s">
        <v>5627</v>
      </c>
      <c r="E5143">
        <v>6</v>
      </c>
      <c r="F5143" s="6">
        <v>750</v>
      </c>
      <c r="G5143" t="s">
        <v>4445</v>
      </c>
    </row>
    <row r="5144" spans="1:7">
      <c r="A5144" t="s">
        <v>11230</v>
      </c>
      <c r="B5144" t="s">
        <v>11231</v>
      </c>
      <c r="C5144" t="s">
        <v>5626</v>
      </c>
      <c r="D5144" t="s">
        <v>5627</v>
      </c>
      <c r="E5144">
        <v>3</v>
      </c>
      <c r="F5144" s="6">
        <v>1000</v>
      </c>
      <c r="G5144" t="s">
        <v>3681</v>
      </c>
    </row>
    <row r="5145" spans="1:7">
      <c r="A5145" t="s">
        <v>11232</v>
      </c>
      <c r="B5145" t="s">
        <v>11233</v>
      </c>
      <c r="C5145" t="s">
        <v>5653</v>
      </c>
      <c r="D5145" t="s">
        <v>5654</v>
      </c>
      <c r="E5145">
        <v>6</v>
      </c>
      <c r="F5145" s="6">
        <v>750</v>
      </c>
      <c r="G5145" t="s">
        <v>3802</v>
      </c>
    </row>
    <row r="5146" spans="1:7">
      <c r="A5146" t="s">
        <v>11234</v>
      </c>
      <c r="B5146" t="s">
        <v>11231</v>
      </c>
      <c r="C5146" t="s">
        <v>5626</v>
      </c>
      <c r="D5146" t="s">
        <v>5627</v>
      </c>
      <c r="E5146">
        <v>6</v>
      </c>
      <c r="F5146" s="6">
        <v>375</v>
      </c>
      <c r="G5146" t="s">
        <v>3681</v>
      </c>
    </row>
    <row r="5147" spans="1:7">
      <c r="A5147" t="s">
        <v>11235</v>
      </c>
      <c r="B5147" t="s">
        <v>11236</v>
      </c>
      <c r="C5147" t="s">
        <v>5668</v>
      </c>
      <c r="D5147" t="s">
        <v>5669</v>
      </c>
      <c r="E5147">
        <v>1</v>
      </c>
      <c r="F5147" s="6">
        <v>750</v>
      </c>
      <c r="G5147" t="s">
        <v>3730</v>
      </c>
    </row>
    <row r="5148" spans="1:7">
      <c r="A5148" t="s">
        <v>11237</v>
      </c>
      <c r="B5148" t="s">
        <v>11238</v>
      </c>
      <c r="C5148" t="s">
        <v>5626</v>
      </c>
      <c r="D5148" t="s">
        <v>5627</v>
      </c>
      <c r="E5148">
        <v>6</v>
      </c>
      <c r="F5148" s="6">
        <v>750</v>
      </c>
      <c r="G5148" t="s">
        <v>3713</v>
      </c>
    </row>
    <row r="5149" spans="1:7">
      <c r="A5149" t="s">
        <v>11239</v>
      </c>
      <c r="B5149" t="s">
        <v>11240</v>
      </c>
      <c r="C5149" t="s">
        <v>5626</v>
      </c>
      <c r="D5149" t="s">
        <v>5627</v>
      </c>
      <c r="E5149">
        <v>6</v>
      </c>
      <c r="F5149" s="6">
        <v>750</v>
      </c>
      <c r="G5149" t="s">
        <v>11241</v>
      </c>
    </row>
    <row r="5150" spans="1:7">
      <c r="A5150" t="s">
        <v>11242</v>
      </c>
      <c r="B5150" t="s">
        <v>11243</v>
      </c>
      <c r="C5150" t="s">
        <v>5626</v>
      </c>
      <c r="D5150" t="s">
        <v>5627</v>
      </c>
      <c r="E5150">
        <v>6</v>
      </c>
      <c r="F5150" s="6">
        <v>750</v>
      </c>
      <c r="G5150" t="s">
        <v>4032</v>
      </c>
    </row>
    <row r="5151" spans="1:7">
      <c r="A5151" t="s">
        <v>11244</v>
      </c>
      <c r="B5151" t="s">
        <v>11245</v>
      </c>
      <c r="C5151" t="s">
        <v>5626</v>
      </c>
      <c r="D5151" t="s">
        <v>5627</v>
      </c>
      <c r="E5151">
        <v>6</v>
      </c>
      <c r="F5151" s="6">
        <v>750</v>
      </c>
      <c r="G5151" t="s">
        <v>3702</v>
      </c>
    </row>
    <row r="5152" spans="1:7">
      <c r="A5152" t="s">
        <v>11246</v>
      </c>
      <c r="B5152" t="s">
        <v>11247</v>
      </c>
      <c r="C5152" t="s">
        <v>9319</v>
      </c>
      <c r="D5152" t="s">
        <v>9320</v>
      </c>
      <c r="E5152">
        <v>6</v>
      </c>
      <c r="F5152" s="6">
        <v>750</v>
      </c>
      <c r="G5152" t="s">
        <v>3802</v>
      </c>
    </row>
    <row r="5153" spans="1:7">
      <c r="A5153" t="s">
        <v>11248</v>
      </c>
      <c r="B5153" t="s">
        <v>11249</v>
      </c>
      <c r="C5153" t="s">
        <v>5626</v>
      </c>
      <c r="D5153" t="s">
        <v>5627</v>
      </c>
      <c r="E5153">
        <v>6</v>
      </c>
      <c r="F5153" s="6">
        <v>750</v>
      </c>
      <c r="G5153" t="s">
        <v>3716</v>
      </c>
    </row>
    <row r="5154" spans="1:7">
      <c r="A5154" t="s">
        <v>11250</v>
      </c>
      <c r="B5154" t="s">
        <v>11251</v>
      </c>
      <c r="C5154" t="s">
        <v>5626</v>
      </c>
      <c r="D5154" t="s">
        <v>5627</v>
      </c>
      <c r="E5154">
        <v>6</v>
      </c>
      <c r="F5154" s="6">
        <v>750</v>
      </c>
      <c r="G5154" t="s">
        <v>3716</v>
      </c>
    </row>
    <row r="5155" spans="1:7">
      <c r="A5155" t="s">
        <v>11252</v>
      </c>
      <c r="B5155" t="s">
        <v>11253</v>
      </c>
      <c r="C5155" t="s">
        <v>5626</v>
      </c>
      <c r="D5155" t="s">
        <v>5627</v>
      </c>
      <c r="E5155">
        <v>6</v>
      </c>
      <c r="F5155" s="6">
        <v>750</v>
      </c>
      <c r="G5155" t="s">
        <v>4419</v>
      </c>
    </row>
    <row r="5156" spans="1:7">
      <c r="A5156" t="s">
        <v>11254</v>
      </c>
      <c r="B5156" t="s">
        <v>11255</v>
      </c>
      <c r="C5156" t="s">
        <v>5626</v>
      </c>
      <c r="D5156" t="s">
        <v>5627</v>
      </c>
      <c r="E5156">
        <v>6</v>
      </c>
      <c r="F5156" s="6">
        <v>750</v>
      </c>
      <c r="G5156" t="s">
        <v>4331</v>
      </c>
    </row>
    <row r="5157" spans="1:7">
      <c r="A5157" t="s">
        <v>11256</v>
      </c>
      <c r="B5157" t="s">
        <v>11257</v>
      </c>
      <c r="C5157" t="s">
        <v>5626</v>
      </c>
      <c r="D5157" t="s">
        <v>5627</v>
      </c>
      <c r="E5157">
        <v>6</v>
      </c>
      <c r="F5157" s="6">
        <v>750</v>
      </c>
      <c r="G5157" t="s">
        <v>3686</v>
      </c>
    </row>
    <row r="5158" spans="1:7">
      <c r="A5158" t="s">
        <v>11258</v>
      </c>
      <c r="B5158" t="s">
        <v>11259</v>
      </c>
      <c r="C5158" t="s">
        <v>5626</v>
      </c>
      <c r="D5158" t="s">
        <v>5627</v>
      </c>
      <c r="E5158">
        <v>6</v>
      </c>
      <c r="F5158" s="6">
        <v>750</v>
      </c>
      <c r="G5158" t="s">
        <v>3686</v>
      </c>
    </row>
    <row r="5159" spans="1:7">
      <c r="A5159" t="s">
        <v>11260</v>
      </c>
      <c r="B5159" t="s">
        <v>11261</v>
      </c>
      <c r="C5159" t="s">
        <v>5626</v>
      </c>
      <c r="D5159" t="s">
        <v>5627</v>
      </c>
      <c r="E5159">
        <v>8</v>
      </c>
      <c r="F5159" s="6">
        <v>50</v>
      </c>
      <c r="G5159" t="s">
        <v>5698</v>
      </c>
    </row>
    <row r="5160" spans="1:7">
      <c r="A5160" t="s">
        <v>11262</v>
      </c>
      <c r="B5160" t="s">
        <v>11263</v>
      </c>
      <c r="C5160" t="s">
        <v>5626</v>
      </c>
      <c r="D5160" t="s">
        <v>5627</v>
      </c>
      <c r="E5160">
        <v>6</v>
      </c>
      <c r="F5160" s="6">
        <v>750</v>
      </c>
      <c r="G5160" t="s">
        <v>3702</v>
      </c>
    </row>
    <row r="5161" spans="1:7">
      <c r="A5161" t="s">
        <v>11264</v>
      </c>
      <c r="B5161" t="s">
        <v>11265</v>
      </c>
      <c r="C5161" t="s">
        <v>5668</v>
      </c>
      <c r="D5161" t="s">
        <v>5669</v>
      </c>
      <c r="E5161">
        <v>6</v>
      </c>
      <c r="F5161" s="6">
        <v>750</v>
      </c>
      <c r="G5161" t="s">
        <v>3730</v>
      </c>
    </row>
    <row r="5162" spans="1:7">
      <c r="A5162" t="s">
        <v>827</v>
      </c>
      <c r="B5162" t="s">
        <v>11266</v>
      </c>
      <c r="C5162" t="s">
        <v>5668</v>
      </c>
      <c r="D5162" t="s">
        <v>5669</v>
      </c>
      <c r="E5162">
        <v>6</v>
      </c>
      <c r="F5162" s="6">
        <v>750</v>
      </c>
      <c r="G5162" t="s">
        <v>11267</v>
      </c>
    </row>
    <row r="5163" spans="1:7">
      <c r="A5163" t="s">
        <v>11268</v>
      </c>
      <c r="B5163" t="s">
        <v>11269</v>
      </c>
      <c r="C5163" t="s">
        <v>5668</v>
      </c>
      <c r="D5163" t="s">
        <v>5669</v>
      </c>
      <c r="E5163">
        <v>6</v>
      </c>
      <c r="F5163" s="6">
        <v>750</v>
      </c>
      <c r="G5163" t="s">
        <v>11267</v>
      </c>
    </row>
    <row r="5164" spans="1:7">
      <c r="A5164" t="s">
        <v>11270</v>
      </c>
      <c r="B5164" t="s">
        <v>5708</v>
      </c>
      <c r="C5164" t="s">
        <v>9319</v>
      </c>
      <c r="D5164" t="s">
        <v>9320</v>
      </c>
      <c r="E5164">
        <v>6</v>
      </c>
      <c r="F5164" s="6">
        <v>750</v>
      </c>
      <c r="G5164" t="s">
        <v>3931</v>
      </c>
    </row>
    <row r="5165" spans="1:7">
      <c r="A5165" t="s">
        <v>11271</v>
      </c>
      <c r="B5165" t="s">
        <v>11272</v>
      </c>
      <c r="C5165" t="s">
        <v>5668</v>
      </c>
      <c r="D5165" t="s">
        <v>5669</v>
      </c>
      <c r="E5165">
        <v>6</v>
      </c>
      <c r="F5165" s="6">
        <v>750</v>
      </c>
      <c r="G5165" t="s">
        <v>3931</v>
      </c>
    </row>
    <row r="5166" spans="1:7">
      <c r="A5166" t="s">
        <v>11273</v>
      </c>
      <c r="B5166" t="s">
        <v>5721</v>
      </c>
      <c r="C5166" t="s">
        <v>5668</v>
      </c>
      <c r="D5166" t="s">
        <v>5669</v>
      </c>
      <c r="E5166">
        <v>6</v>
      </c>
      <c r="F5166" s="6">
        <v>750</v>
      </c>
      <c r="G5166" t="s">
        <v>4438</v>
      </c>
    </row>
    <row r="5167" spans="1:7">
      <c r="A5167" t="s">
        <v>11274</v>
      </c>
      <c r="B5167" t="s">
        <v>11275</v>
      </c>
      <c r="C5167" t="s">
        <v>5668</v>
      </c>
      <c r="D5167" t="s">
        <v>5669</v>
      </c>
      <c r="E5167">
        <v>12</v>
      </c>
      <c r="F5167" s="6">
        <v>1000</v>
      </c>
      <c r="G5167" t="s">
        <v>3802</v>
      </c>
    </row>
    <row r="5168" spans="1:7">
      <c r="A5168" t="s">
        <v>11276</v>
      </c>
      <c r="B5168" t="s">
        <v>11277</v>
      </c>
      <c r="C5168" t="s">
        <v>5668</v>
      </c>
      <c r="D5168" t="s">
        <v>5669</v>
      </c>
      <c r="E5168">
        <v>6</v>
      </c>
      <c r="F5168" s="6">
        <v>750</v>
      </c>
      <c r="G5168" t="s">
        <v>11278</v>
      </c>
    </row>
    <row r="5169" spans="1:7">
      <c r="A5169" t="s">
        <v>11279</v>
      </c>
      <c r="B5169" t="s">
        <v>11280</v>
      </c>
      <c r="C5169" t="s">
        <v>5668</v>
      </c>
      <c r="D5169" t="s">
        <v>5669</v>
      </c>
      <c r="E5169">
        <v>6</v>
      </c>
      <c r="F5169" s="6">
        <v>750</v>
      </c>
      <c r="G5169" t="s">
        <v>11278</v>
      </c>
    </row>
    <row r="5170" spans="1:7">
      <c r="A5170" t="s">
        <v>11281</v>
      </c>
      <c r="B5170" t="s">
        <v>11282</v>
      </c>
      <c r="C5170" t="s">
        <v>5668</v>
      </c>
      <c r="D5170" t="s">
        <v>5669</v>
      </c>
      <c r="E5170">
        <v>6</v>
      </c>
      <c r="F5170" s="6">
        <v>750</v>
      </c>
      <c r="G5170" t="s">
        <v>11104</v>
      </c>
    </row>
    <row r="5171" spans="1:7">
      <c r="A5171" t="s">
        <v>11283</v>
      </c>
      <c r="B5171" t="s">
        <v>11284</v>
      </c>
      <c r="C5171" t="s">
        <v>5668</v>
      </c>
      <c r="D5171" t="s">
        <v>5669</v>
      </c>
      <c r="E5171">
        <v>6</v>
      </c>
      <c r="F5171" s="6">
        <v>750</v>
      </c>
      <c r="G5171" t="s">
        <v>5134</v>
      </c>
    </row>
    <row r="5172" spans="1:7">
      <c r="A5172" t="s">
        <v>11285</v>
      </c>
      <c r="B5172" t="s">
        <v>11286</v>
      </c>
      <c r="C5172" t="s">
        <v>5668</v>
      </c>
      <c r="D5172" t="s">
        <v>5669</v>
      </c>
      <c r="E5172">
        <v>6</v>
      </c>
      <c r="F5172" s="6">
        <v>700</v>
      </c>
      <c r="G5172" t="s">
        <v>5134</v>
      </c>
    </row>
    <row r="5173" spans="1:7">
      <c r="A5173" t="s">
        <v>11287</v>
      </c>
      <c r="B5173" t="s">
        <v>11288</v>
      </c>
      <c r="C5173" t="s">
        <v>5668</v>
      </c>
      <c r="D5173" t="s">
        <v>5669</v>
      </c>
      <c r="E5173">
        <v>6</v>
      </c>
      <c r="F5173" s="6">
        <v>750</v>
      </c>
      <c r="G5173" t="s">
        <v>11289</v>
      </c>
    </row>
    <row r="5174" spans="1:7">
      <c r="A5174" t="s">
        <v>11290</v>
      </c>
      <c r="B5174" t="s">
        <v>11291</v>
      </c>
      <c r="C5174" t="s">
        <v>5668</v>
      </c>
      <c r="D5174" t="s">
        <v>5669</v>
      </c>
      <c r="E5174">
        <v>6</v>
      </c>
      <c r="F5174" s="6">
        <v>750</v>
      </c>
      <c r="G5174" t="s">
        <v>5267</v>
      </c>
    </row>
    <row r="5175" spans="1:7">
      <c r="A5175" t="s">
        <v>11292</v>
      </c>
      <c r="B5175" t="s">
        <v>11293</v>
      </c>
      <c r="C5175" t="s">
        <v>5626</v>
      </c>
      <c r="D5175" t="s">
        <v>5627</v>
      </c>
      <c r="E5175">
        <v>12</v>
      </c>
      <c r="F5175" s="6">
        <v>750</v>
      </c>
      <c r="G5175" t="s">
        <v>3702</v>
      </c>
    </row>
    <row r="5176" spans="1:7">
      <c r="A5176" t="s">
        <v>11294</v>
      </c>
      <c r="B5176" t="s">
        <v>11295</v>
      </c>
      <c r="C5176" t="s">
        <v>5626</v>
      </c>
      <c r="D5176" t="s">
        <v>5627</v>
      </c>
      <c r="E5176">
        <v>12</v>
      </c>
      <c r="F5176" s="6">
        <v>750</v>
      </c>
      <c r="G5176" t="s">
        <v>3702</v>
      </c>
    </row>
    <row r="5177" spans="1:7">
      <c r="A5177" t="s">
        <v>11296</v>
      </c>
      <c r="B5177" t="s">
        <v>11297</v>
      </c>
      <c r="C5177" t="s">
        <v>5653</v>
      </c>
      <c r="D5177" t="s">
        <v>5654</v>
      </c>
      <c r="E5177">
        <v>6</v>
      </c>
      <c r="F5177" s="6">
        <v>750</v>
      </c>
      <c r="G5177" t="s">
        <v>3686</v>
      </c>
    </row>
    <row r="5178" spans="1:7">
      <c r="A5178" t="s">
        <v>3458</v>
      </c>
      <c r="B5178" t="s">
        <v>11298</v>
      </c>
      <c r="C5178" t="s">
        <v>5668</v>
      </c>
      <c r="D5178" t="s">
        <v>5669</v>
      </c>
      <c r="E5178">
        <v>6</v>
      </c>
      <c r="F5178" s="6">
        <v>1750</v>
      </c>
      <c r="G5178" t="s">
        <v>9962</v>
      </c>
    </row>
    <row r="5179" spans="1:7">
      <c r="A5179" t="s">
        <v>11299</v>
      </c>
      <c r="B5179" t="s">
        <v>11300</v>
      </c>
      <c r="C5179" t="s">
        <v>5668</v>
      </c>
      <c r="D5179" t="s">
        <v>5669</v>
      </c>
      <c r="E5179">
        <v>6</v>
      </c>
      <c r="F5179" s="6">
        <v>1000</v>
      </c>
      <c r="G5179" t="s">
        <v>4225</v>
      </c>
    </row>
    <row r="5180" spans="1:7">
      <c r="A5180" t="s">
        <v>11301</v>
      </c>
      <c r="B5180" t="s">
        <v>11302</v>
      </c>
      <c r="C5180" t="s">
        <v>5668</v>
      </c>
      <c r="D5180" t="s">
        <v>5669</v>
      </c>
      <c r="E5180">
        <v>6</v>
      </c>
      <c r="F5180" s="6">
        <v>750</v>
      </c>
      <c r="G5180" t="s">
        <v>11303</v>
      </c>
    </row>
    <row r="5181" spans="1:7">
      <c r="A5181" t="s">
        <v>11304</v>
      </c>
      <c r="B5181" t="s">
        <v>11305</v>
      </c>
      <c r="C5181" t="s">
        <v>5668</v>
      </c>
      <c r="D5181" t="s">
        <v>5669</v>
      </c>
      <c r="E5181">
        <v>12</v>
      </c>
      <c r="F5181" s="6">
        <v>1000</v>
      </c>
      <c r="G5181" t="s">
        <v>3698</v>
      </c>
    </row>
    <row r="5182" spans="1:7">
      <c r="A5182" t="s">
        <v>11306</v>
      </c>
      <c r="B5182" t="s">
        <v>11307</v>
      </c>
      <c r="C5182" t="s">
        <v>5668</v>
      </c>
      <c r="D5182" t="s">
        <v>5669</v>
      </c>
      <c r="E5182">
        <v>6</v>
      </c>
      <c r="F5182" s="6">
        <v>1750</v>
      </c>
      <c r="G5182" t="s">
        <v>3686</v>
      </c>
    </row>
    <row r="5183" spans="1:7">
      <c r="A5183" t="s">
        <v>11308</v>
      </c>
      <c r="B5183" t="s">
        <v>11309</v>
      </c>
      <c r="C5183" t="s">
        <v>5668</v>
      </c>
      <c r="D5183" t="s">
        <v>5669</v>
      </c>
      <c r="E5183">
        <v>12</v>
      </c>
      <c r="F5183" s="6">
        <v>750</v>
      </c>
      <c r="G5183" t="s">
        <v>3686</v>
      </c>
    </row>
    <row r="5184" spans="1:7">
      <c r="A5184" t="s">
        <v>11310</v>
      </c>
      <c r="B5184" t="s">
        <v>11311</v>
      </c>
      <c r="C5184" t="s">
        <v>5668</v>
      </c>
      <c r="D5184" t="s">
        <v>5669</v>
      </c>
      <c r="E5184">
        <v>12</v>
      </c>
      <c r="F5184" s="6">
        <v>750</v>
      </c>
      <c r="G5184" t="s">
        <v>10682</v>
      </c>
    </row>
    <row r="5185" spans="1:7">
      <c r="A5185" t="s">
        <v>11312</v>
      </c>
      <c r="B5185" t="s">
        <v>5756</v>
      </c>
      <c r="C5185" t="s">
        <v>5668</v>
      </c>
      <c r="D5185" t="s">
        <v>5669</v>
      </c>
      <c r="E5185">
        <v>6</v>
      </c>
      <c r="F5185" s="6">
        <v>750</v>
      </c>
      <c r="G5185" t="s">
        <v>3681</v>
      </c>
    </row>
    <row r="5186" spans="1:7">
      <c r="A5186" t="s">
        <v>11313</v>
      </c>
      <c r="B5186" t="s">
        <v>5760</v>
      </c>
      <c r="C5186" t="s">
        <v>5668</v>
      </c>
      <c r="D5186" t="s">
        <v>5669</v>
      </c>
      <c r="E5186">
        <v>6</v>
      </c>
      <c r="F5186" s="6">
        <v>50</v>
      </c>
      <c r="G5186" t="s">
        <v>4899</v>
      </c>
    </row>
    <row r="5187" spans="1:7">
      <c r="A5187" t="s">
        <v>11314</v>
      </c>
      <c r="B5187" t="s">
        <v>8177</v>
      </c>
      <c r="C5187" t="s">
        <v>4071</v>
      </c>
      <c r="D5187" t="s">
        <v>4072</v>
      </c>
      <c r="E5187">
        <v>6</v>
      </c>
      <c r="F5187" s="6">
        <v>750</v>
      </c>
      <c r="G5187" t="s">
        <v>5421</v>
      </c>
    </row>
    <row r="5188" spans="1:7">
      <c r="A5188" t="s">
        <v>2295</v>
      </c>
      <c r="B5188" t="s">
        <v>11315</v>
      </c>
      <c r="C5188" t="s">
        <v>5668</v>
      </c>
      <c r="D5188" t="s">
        <v>5669</v>
      </c>
      <c r="E5188">
        <v>6</v>
      </c>
      <c r="F5188" s="6">
        <v>750</v>
      </c>
      <c r="G5188" t="s">
        <v>5421</v>
      </c>
    </row>
    <row r="5189" spans="1:7">
      <c r="A5189" t="s">
        <v>11316</v>
      </c>
      <c r="B5189" t="s">
        <v>11317</v>
      </c>
      <c r="C5189" t="s">
        <v>4071</v>
      </c>
      <c r="D5189" t="s">
        <v>4072</v>
      </c>
      <c r="E5189">
        <v>6</v>
      </c>
      <c r="F5189" s="6">
        <v>750</v>
      </c>
      <c r="G5189" t="s">
        <v>5421</v>
      </c>
    </row>
    <row r="5190" spans="1:7">
      <c r="A5190" t="s">
        <v>11318</v>
      </c>
      <c r="B5190" t="s">
        <v>11319</v>
      </c>
      <c r="C5190" t="s">
        <v>5653</v>
      </c>
      <c r="D5190" t="s">
        <v>5654</v>
      </c>
      <c r="E5190">
        <v>6</v>
      </c>
      <c r="F5190" s="6">
        <v>750</v>
      </c>
      <c r="G5190" t="s">
        <v>5421</v>
      </c>
    </row>
    <row r="5191" spans="1:7">
      <c r="A5191" t="s">
        <v>11320</v>
      </c>
      <c r="B5191" t="s">
        <v>11321</v>
      </c>
      <c r="C5191" t="s">
        <v>5668</v>
      </c>
      <c r="D5191" t="s">
        <v>5669</v>
      </c>
      <c r="E5191">
        <v>6</v>
      </c>
      <c r="F5191" s="6">
        <v>750</v>
      </c>
      <c r="G5191" t="s">
        <v>3686</v>
      </c>
    </row>
    <row r="5192" spans="1:7">
      <c r="A5192" t="s">
        <v>11322</v>
      </c>
      <c r="B5192" t="s">
        <v>11323</v>
      </c>
      <c r="C5192" t="s">
        <v>5668</v>
      </c>
      <c r="D5192" t="s">
        <v>5669</v>
      </c>
      <c r="E5192">
        <v>12</v>
      </c>
      <c r="F5192" s="6">
        <v>750</v>
      </c>
      <c r="G5192" t="s">
        <v>10558</v>
      </c>
    </row>
    <row r="5193" spans="1:7">
      <c r="A5193" t="s">
        <v>11324</v>
      </c>
      <c r="B5193" t="s">
        <v>11325</v>
      </c>
      <c r="C5193" t="s">
        <v>5653</v>
      </c>
      <c r="D5193" t="s">
        <v>5654</v>
      </c>
      <c r="E5193">
        <v>6</v>
      </c>
      <c r="F5193" s="6">
        <v>750</v>
      </c>
      <c r="G5193" t="s">
        <v>5788</v>
      </c>
    </row>
    <row r="5194" spans="1:7">
      <c r="A5194" t="s">
        <v>11326</v>
      </c>
      <c r="B5194" t="s">
        <v>11327</v>
      </c>
      <c r="C5194" t="s">
        <v>5653</v>
      </c>
      <c r="D5194" t="s">
        <v>5654</v>
      </c>
      <c r="E5194">
        <v>6</v>
      </c>
      <c r="F5194" s="6">
        <v>750</v>
      </c>
      <c r="G5194" t="s">
        <v>5788</v>
      </c>
    </row>
    <row r="5195" spans="1:7">
      <c r="A5195" t="s">
        <v>11328</v>
      </c>
      <c r="B5195" t="s">
        <v>11329</v>
      </c>
      <c r="C5195" t="s">
        <v>5668</v>
      </c>
      <c r="D5195" t="s">
        <v>5669</v>
      </c>
      <c r="E5195">
        <v>6</v>
      </c>
      <c r="F5195" s="6">
        <v>750</v>
      </c>
      <c r="G5195" t="s">
        <v>5788</v>
      </c>
    </row>
    <row r="5196" spans="1:7">
      <c r="A5196" t="s">
        <v>11330</v>
      </c>
      <c r="B5196" t="s">
        <v>11331</v>
      </c>
      <c r="C5196" t="s">
        <v>5668</v>
      </c>
      <c r="D5196" t="s">
        <v>5669</v>
      </c>
      <c r="E5196">
        <v>6</v>
      </c>
      <c r="F5196" s="6">
        <v>750</v>
      </c>
      <c r="G5196" t="s">
        <v>4796</v>
      </c>
    </row>
    <row r="5197" spans="1:7">
      <c r="A5197" t="s">
        <v>11332</v>
      </c>
      <c r="B5197" t="s">
        <v>11333</v>
      </c>
      <c r="C5197" t="s">
        <v>5668</v>
      </c>
      <c r="D5197" t="s">
        <v>5669</v>
      </c>
      <c r="E5197">
        <v>12</v>
      </c>
      <c r="F5197" s="6">
        <v>750</v>
      </c>
      <c r="G5197" t="s">
        <v>5748</v>
      </c>
    </row>
    <row r="5198" spans="1:7">
      <c r="A5198" t="s">
        <v>11334</v>
      </c>
      <c r="B5198" t="s">
        <v>11335</v>
      </c>
      <c r="C5198" t="s">
        <v>5626</v>
      </c>
      <c r="D5198" t="s">
        <v>5627</v>
      </c>
      <c r="E5198">
        <v>6</v>
      </c>
      <c r="F5198" s="6">
        <v>750</v>
      </c>
      <c r="G5198" t="s">
        <v>4358</v>
      </c>
    </row>
    <row r="5199" spans="1:7">
      <c r="A5199" t="s">
        <v>11336</v>
      </c>
      <c r="B5199" t="s">
        <v>11337</v>
      </c>
      <c r="C5199" t="s">
        <v>5668</v>
      </c>
      <c r="D5199" t="s">
        <v>5669</v>
      </c>
      <c r="E5199">
        <v>6</v>
      </c>
      <c r="F5199" s="6">
        <v>750</v>
      </c>
      <c r="G5199" t="s">
        <v>5451</v>
      </c>
    </row>
    <row r="5200" spans="1:7">
      <c r="A5200" t="s">
        <v>11338</v>
      </c>
      <c r="B5200" t="s">
        <v>5793</v>
      </c>
      <c r="C5200" t="s">
        <v>5653</v>
      </c>
      <c r="D5200" t="s">
        <v>5654</v>
      </c>
      <c r="E5200">
        <v>6</v>
      </c>
      <c r="F5200" s="6">
        <v>50</v>
      </c>
      <c r="G5200" t="s">
        <v>4899</v>
      </c>
    </row>
    <row r="5201" spans="1:7">
      <c r="A5201" t="s">
        <v>11339</v>
      </c>
      <c r="B5201" t="s">
        <v>11340</v>
      </c>
      <c r="C5201" t="s">
        <v>3721</v>
      </c>
      <c r="D5201" t="s">
        <v>3722</v>
      </c>
      <c r="E5201">
        <v>6</v>
      </c>
      <c r="F5201" s="6">
        <v>750</v>
      </c>
      <c r="G5201" t="s">
        <v>3702</v>
      </c>
    </row>
    <row r="5202" spans="1:7">
      <c r="A5202" t="s">
        <v>11341</v>
      </c>
      <c r="B5202" t="s">
        <v>11342</v>
      </c>
      <c r="C5202" t="s">
        <v>3721</v>
      </c>
      <c r="D5202" t="s">
        <v>3722</v>
      </c>
      <c r="E5202">
        <v>6</v>
      </c>
      <c r="F5202" s="6">
        <v>750</v>
      </c>
      <c r="G5202" t="s">
        <v>3713</v>
      </c>
    </row>
    <row r="5203" spans="1:7">
      <c r="A5203" t="s">
        <v>11343</v>
      </c>
      <c r="B5203" t="s">
        <v>11344</v>
      </c>
      <c r="C5203" t="s">
        <v>4093</v>
      </c>
      <c r="D5203" t="s">
        <v>4094</v>
      </c>
      <c r="E5203">
        <v>12</v>
      </c>
      <c r="F5203" s="6">
        <v>750</v>
      </c>
      <c r="G5203" t="s">
        <v>3781</v>
      </c>
    </row>
    <row r="5204" spans="1:7">
      <c r="A5204" t="s">
        <v>11345</v>
      </c>
      <c r="B5204" t="s">
        <v>11346</v>
      </c>
      <c r="C5204" t="s">
        <v>9319</v>
      </c>
      <c r="D5204" t="s">
        <v>9320</v>
      </c>
      <c r="E5204">
        <v>6</v>
      </c>
      <c r="F5204" s="6">
        <v>750</v>
      </c>
      <c r="G5204" t="s">
        <v>3702</v>
      </c>
    </row>
    <row r="5205" spans="1:7">
      <c r="A5205" t="s">
        <v>11347</v>
      </c>
      <c r="B5205" t="s">
        <v>11348</v>
      </c>
      <c r="C5205" t="s">
        <v>9319</v>
      </c>
      <c r="D5205" t="s">
        <v>9320</v>
      </c>
      <c r="E5205">
        <v>6</v>
      </c>
      <c r="F5205" s="6">
        <v>750</v>
      </c>
      <c r="G5205" t="s">
        <v>3702</v>
      </c>
    </row>
    <row r="5206" spans="1:7">
      <c r="A5206" t="s">
        <v>11349</v>
      </c>
      <c r="B5206" t="s">
        <v>5829</v>
      </c>
      <c r="C5206" t="s">
        <v>3721</v>
      </c>
      <c r="D5206" t="s">
        <v>3722</v>
      </c>
      <c r="E5206">
        <v>6</v>
      </c>
      <c r="F5206" s="6">
        <v>750</v>
      </c>
      <c r="G5206" t="s">
        <v>3681</v>
      </c>
    </row>
    <row r="5207" spans="1:7">
      <c r="A5207" t="s">
        <v>11350</v>
      </c>
      <c r="B5207" t="s">
        <v>11351</v>
      </c>
      <c r="C5207" t="s">
        <v>4093</v>
      </c>
      <c r="D5207" t="s">
        <v>4094</v>
      </c>
      <c r="E5207">
        <v>12</v>
      </c>
      <c r="F5207" s="6">
        <v>1000</v>
      </c>
      <c r="G5207" t="s">
        <v>4163</v>
      </c>
    </row>
    <row r="5208" spans="1:7">
      <c r="A5208" t="s">
        <v>11352</v>
      </c>
      <c r="B5208" t="s">
        <v>11353</v>
      </c>
      <c r="C5208" t="s">
        <v>3721</v>
      </c>
      <c r="D5208" t="s">
        <v>3722</v>
      </c>
      <c r="E5208">
        <v>6</v>
      </c>
      <c r="F5208" s="6">
        <v>750</v>
      </c>
      <c r="G5208" t="s">
        <v>3802</v>
      </c>
    </row>
    <row r="5209" spans="1:7">
      <c r="A5209" t="s">
        <v>11354</v>
      </c>
      <c r="B5209" t="s">
        <v>11355</v>
      </c>
      <c r="C5209" t="s">
        <v>5804</v>
      </c>
      <c r="D5209" t="s">
        <v>5805</v>
      </c>
      <c r="E5209">
        <v>10</v>
      </c>
      <c r="F5209" s="6">
        <v>50</v>
      </c>
      <c r="G5209" t="s">
        <v>3681</v>
      </c>
    </row>
    <row r="5210" spans="1:7">
      <c r="A5210" t="s">
        <v>11356</v>
      </c>
      <c r="B5210" t="s">
        <v>11357</v>
      </c>
      <c r="C5210" t="s">
        <v>5804</v>
      </c>
      <c r="D5210" t="s">
        <v>5805</v>
      </c>
      <c r="E5210">
        <v>6</v>
      </c>
      <c r="F5210" s="6">
        <v>750</v>
      </c>
      <c r="G5210" t="s">
        <v>3705</v>
      </c>
    </row>
    <row r="5211" spans="1:7">
      <c r="A5211" t="s">
        <v>11358</v>
      </c>
      <c r="B5211" t="s">
        <v>11359</v>
      </c>
      <c r="C5211" t="s">
        <v>4084</v>
      </c>
      <c r="D5211" t="s">
        <v>4085</v>
      </c>
      <c r="E5211">
        <v>6</v>
      </c>
      <c r="F5211" s="6">
        <v>750</v>
      </c>
      <c r="G5211" t="s">
        <v>10182</v>
      </c>
    </row>
    <row r="5212" spans="1:7">
      <c r="A5212" t="s">
        <v>11360</v>
      </c>
      <c r="B5212" t="s">
        <v>11361</v>
      </c>
      <c r="C5212" t="s">
        <v>3947</v>
      </c>
      <c r="D5212" t="s">
        <v>3948</v>
      </c>
      <c r="E5212">
        <v>12</v>
      </c>
      <c r="F5212" s="6">
        <v>750</v>
      </c>
      <c r="G5212" t="s">
        <v>4163</v>
      </c>
    </row>
    <row r="5213" spans="1:7">
      <c r="A5213" t="s">
        <v>11362</v>
      </c>
      <c r="B5213" t="s">
        <v>11363</v>
      </c>
      <c r="C5213" t="s">
        <v>5804</v>
      </c>
      <c r="D5213" t="s">
        <v>5805</v>
      </c>
      <c r="E5213">
        <v>6</v>
      </c>
      <c r="F5213" s="6">
        <v>750</v>
      </c>
      <c r="G5213" t="s">
        <v>3702</v>
      </c>
    </row>
    <row r="5214" spans="1:7">
      <c r="A5214" t="s">
        <v>11364</v>
      </c>
      <c r="B5214" t="s">
        <v>5867</v>
      </c>
      <c r="C5214" t="s">
        <v>3721</v>
      </c>
      <c r="D5214" t="s">
        <v>3722</v>
      </c>
      <c r="E5214">
        <v>6</v>
      </c>
      <c r="F5214" s="6">
        <v>1750</v>
      </c>
      <c r="G5214" t="s">
        <v>4285</v>
      </c>
    </row>
    <row r="5215" spans="1:7">
      <c r="A5215" t="s">
        <v>11365</v>
      </c>
      <c r="B5215" t="s">
        <v>11366</v>
      </c>
      <c r="C5215" t="s">
        <v>5804</v>
      </c>
      <c r="D5215" t="s">
        <v>5805</v>
      </c>
      <c r="E5215">
        <v>12</v>
      </c>
      <c r="F5215" s="6">
        <v>750</v>
      </c>
      <c r="G5215" t="s">
        <v>3689</v>
      </c>
    </row>
    <row r="5216" spans="1:7">
      <c r="A5216" t="s">
        <v>11367</v>
      </c>
      <c r="B5216" t="s">
        <v>11368</v>
      </c>
      <c r="C5216" t="s">
        <v>5804</v>
      </c>
      <c r="D5216" t="s">
        <v>5805</v>
      </c>
      <c r="E5216">
        <v>12</v>
      </c>
      <c r="F5216" s="6">
        <v>750</v>
      </c>
      <c r="G5216" t="s">
        <v>3689</v>
      </c>
    </row>
    <row r="5217" spans="1:7">
      <c r="A5217" t="s">
        <v>11369</v>
      </c>
      <c r="B5217" t="s">
        <v>11370</v>
      </c>
      <c r="C5217" t="s">
        <v>5804</v>
      </c>
      <c r="D5217" t="s">
        <v>5805</v>
      </c>
      <c r="E5217">
        <v>6</v>
      </c>
      <c r="F5217" s="6">
        <v>750</v>
      </c>
      <c r="G5217" t="s">
        <v>3686</v>
      </c>
    </row>
    <row r="5218" spans="1:7">
      <c r="A5218" t="s">
        <v>11371</v>
      </c>
      <c r="B5218" t="s">
        <v>11372</v>
      </c>
      <c r="C5218" t="s">
        <v>3721</v>
      </c>
      <c r="D5218" t="s">
        <v>3722</v>
      </c>
      <c r="E5218">
        <v>12</v>
      </c>
      <c r="F5218" s="6">
        <v>750</v>
      </c>
      <c r="G5218" t="s">
        <v>3802</v>
      </c>
    </row>
    <row r="5219" spans="1:7">
      <c r="A5219" t="s">
        <v>11373</v>
      </c>
      <c r="B5219" t="s">
        <v>11374</v>
      </c>
      <c r="C5219" t="s">
        <v>4093</v>
      </c>
      <c r="D5219" t="s">
        <v>4094</v>
      </c>
      <c r="E5219">
        <v>12</v>
      </c>
      <c r="F5219" s="6">
        <v>750</v>
      </c>
      <c r="G5219" t="s">
        <v>3730</v>
      </c>
    </row>
    <row r="5220" spans="1:7">
      <c r="A5220" t="s">
        <v>11375</v>
      </c>
      <c r="B5220" t="s">
        <v>11376</v>
      </c>
      <c r="C5220" t="s">
        <v>5804</v>
      </c>
      <c r="D5220" t="s">
        <v>5805</v>
      </c>
      <c r="E5220">
        <v>12</v>
      </c>
      <c r="F5220" s="6">
        <v>750</v>
      </c>
      <c r="G5220" t="s">
        <v>6775</v>
      </c>
    </row>
    <row r="5221" spans="1:7">
      <c r="A5221" t="s">
        <v>11377</v>
      </c>
      <c r="B5221" t="s">
        <v>5919</v>
      </c>
      <c r="C5221" t="s">
        <v>5804</v>
      </c>
      <c r="D5221" t="s">
        <v>5805</v>
      </c>
      <c r="E5221">
        <v>12</v>
      </c>
      <c r="F5221" s="6">
        <v>1000</v>
      </c>
      <c r="G5221" t="s">
        <v>3686</v>
      </c>
    </row>
    <row r="5222" spans="1:7">
      <c r="A5222" t="s">
        <v>11378</v>
      </c>
      <c r="B5222" t="s">
        <v>11379</v>
      </c>
      <c r="C5222" t="s">
        <v>3947</v>
      </c>
      <c r="D5222" t="s">
        <v>3948</v>
      </c>
      <c r="E5222">
        <v>6</v>
      </c>
      <c r="F5222" s="6">
        <v>750</v>
      </c>
      <c r="G5222" t="s">
        <v>11380</v>
      </c>
    </row>
    <row r="5223" spans="1:7">
      <c r="A5223" t="s">
        <v>11381</v>
      </c>
      <c r="B5223" t="s">
        <v>11382</v>
      </c>
      <c r="C5223" t="s">
        <v>3947</v>
      </c>
      <c r="D5223" t="s">
        <v>3948</v>
      </c>
      <c r="E5223">
        <v>1</v>
      </c>
      <c r="F5223" s="6">
        <v>750</v>
      </c>
      <c r="G5223" t="s">
        <v>3686</v>
      </c>
    </row>
    <row r="5224" spans="1:7">
      <c r="A5224" t="s">
        <v>11383</v>
      </c>
      <c r="B5224" t="s">
        <v>11384</v>
      </c>
      <c r="C5224" t="s">
        <v>3756</v>
      </c>
      <c r="D5224" t="s">
        <v>3757</v>
      </c>
      <c r="E5224">
        <v>12</v>
      </c>
      <c r="F5224" s="6">
        <v>750</v>
      </c>
      <c r="G5224" t="s">
        <v>4163</v>
      </c>
    </row>
    <row r="5225" spans="1:7">
      <c r="A5225" t="s">
        <v>11385</v>
      </c>
      <c r="B5225" t="s">
        <v>11386</v>
      </c>
      <c r="C5225" t="s">
        <v>4093</v>
      </c>
      <c r="D5225" t="s">
        <v>4094</v>
      </c>
      <c r="E5225">
        <v>12</v>
      </c>
      <c r="F5225" s="6">
        <v>750</v>
      </c>
      <c r="G5225" t="s">
        <v>11387</v>
      </c>
    </row>
    <row r="5226" spans="1:7">
      <c r="A5226" t="s">
        <v>11388</v>
      </c>
      <c r="B5226" t="s">
        <v>5931</v>
      </c>
      <c r="C5226" t="s">
        <v>3947</v>
      </c>
      <c r="D5226" t="s">
        <v>3948</v>
      </c>
      <c r="E5226">
        <v>12</v>
      </c>
      <c r="F5226" s="6">
        <v>750</v>
      </c>
      <c r="G5226" t="s">
        <v>5932</v>
      </c>
    </row>
    <row r="5227" spans="1:7">
      <c r="A5227" t="s">
        <v>11389</v>
      </c>
      <c r="B5227" t="s">
        <v>11390</v>
      </c>
      <c r="C5227" t="s">
        <v>3947</v>
      </c>
      <c r="D5227" t="s">
        <v>3948</v>
      </c>
      <c r="E5227">
        <v>12</v>
      </c>
      <c r="F5227" s="6">
        <v>750</v>
      </c>
      <c r="G5227" t="s">
        <v>3689</v>
      </c>
    </row>
    <row r="5228" spans="1:7">
      <c r="A5228" t="s">
        <v>11391</v>
      </c>
      <c r="B5228" t="s">
        <v>11392</v>
      </c>
      <c r="C5228" t="s">
        <v>4093</v>
      </c>
      <c r="D5228" t="s">
        <v>4094</v>
      </c>
      <c r="E5228">
        <v>12</v>
      </c>
      <c r="F5228" s="6">
        <v>750</v>
      </c>
      <c r="G5228" t="s">
        <v>3689</v>
      </c>
    </row>
    <row r="5229" spans="1:7">
      <c r="A5229" t="s">
        <v>3667</v>
      </c>
      <c r="B5229" t="s">
        <v>11393</v>
      </c>
      <c r="C5229" t="s">
        <v>3947</v>
      </c>
      <c r="D5229" t="s">
        <v>3948</v>
      </c>
      <c r="E5229">
        <v>6</v>
      </c>
      <c r="F5229" s="6">
        <v>1750</v>
      </c>
      <c r="G5229" t="s">
        <v>11394</v>
      </c>
    </row>
    <row r="5230" spans="1:7">
      <c r="A5230" t="s">
        <v>11395</v>
      </c>
      <c r="B5230" t="s">
        <v>5954</v>
      </c>
      <c r="C5230" t="s">
        <v>4093</v>
      </c>
      <c r="D5230" t="s">
        <v>4094</v>
      </c>
      <c r="E5230">
        <v>6</v>
      </c>
      <c r="F5230" s="6">
        <v>1750</v>
      </c>
      <c r="G5230" t="s">
        <v>3763</v>
      </c>
    </row>
    <row r="5231" spans="1:7">
      <c r="A5231" t="s">
        <v>11396</v>
      </c>
      <c r="B5231" t="s">
        <v>11397</v>
      </c>
      <c r="C5231" t="s">
        <v>3947</v>
      </c>
      <c r="D5231" t="s">
        <v>3948</v>
      </c>
      <c r="E5231">
        <v>12</v>
      </c>
      <c r="F5231" s="6">
        <v>750</v>
      </c>
      <c r="G5231" t="s">
        <v>11398</v>
      </c>
    </row>
    <row r="5232" spans="1:7">
      <c r="A5232" t="s">
        <v>11399</v>
      </c>
      <c r="B5232" t="s">
        <v>11400</v>
      </c>
      <c r="C5232" t="s">
        <v>3947</v>
      </c>
      <c r="D5232" t="s">
        <v>3948</v>
      </c>
      <c r="E5232">
        <v>6</v>
      </c>
      <c r="F5232" s="6">
        <v>750</v>
      </c>
      <c r="G5232" t="s">
        <v>8748</v>
      </c>
    </row>
    <row r="5233" spans="1:7">
      <c r="A5233" t="s">
        <v>11401</v>
      </c>
      <c r="B5233" t="s">
        <v>11402</v>
      </c>
      <c r="C5233" t="s">
        <v>3721</v>
      </c>
      <c r="D5233" t="s">
        <v>3722</v>
      </c>
      <c r="E5233">
        <v>6</v>
      </c>
      <c r="F5233" s="6">
        <v>750</v>
      </c>
      <c r="G5233" t="s">
        <v>4032</v>
      </c>
    </row>
    <row r="5234" spans="1:7">
      <c r="A5234" t="s">
        <v>11403</v>
      </c>
      <c r="B5234" t="s">
        <v>11404</v>
      </c>
      <c r="C5234" t="s">
        <v>3721</v>
      </c>
      <c r="D5234" t="s">
        <v>3722</v>
      </c>
      <c r="E5234">
        <v>6</v>
      </c>
      <c r="F5234" s="6">
        <v>750</v>
      </c>
      <c r="G5234" t="s">
        <v>3713</v>
      </c>
    </row>
    <row r="5235" spans="1:7">
      <c r="A5235" t="s">
        <v>3227</v>
      </c>
      <c r="B5235" t="s">
        <v>11405</v>
      </c>
      <c r="C5235" t="s">
        <v>9319</v>
      </c>
      <c r="D5235" t="s">
        <v>9320</v>
      </c>
      <c r="E5235">
        <v>6</v>
      </c>
      <c r="F5235" s="6">
        <v>1750</v>
      </c>
      <c r="G5235" t="s">
        <v>3686</v>
      </c>
    </row>
    <row r="5236" spans="1:7">
      <c r="A5236" t="s">
        <v>959</v>
      </c>
      <c r="B5236" t="s">
        <v>11406</v>
      </c>
      <c r="C5236" t="s">
        <v>3947</v>
      </c>
      <c r="D5236" t="s">
        <v>3948</v>
      </c>
      <c r="E5236">
        <v>12</v>
      </c>
      <c r="F5236" s="6">
        <v>1000</v>
      </c>
      <c r="G5236" t="s">
        <v>3802</v>
      </c>
    </row>
    <row r="5237" spans="1:7">
      <c r="A5237" t="s">
        <v>11407</v>
      </c>
      <c r="B5237" t="s">
        <v>11408</v>
      </c>
      <c r="C5237" t="s">
        <v>3947</v>
      </c>
      <c r="D5237" t="s">
        <v>3948</v>
      </c>
      <c r="E5237">
        <v>6</v>
      </c>
      <c r="F5237" s="6">
        <v>750</v>
      </c>
      <c r="G5237" t="s">
        <v>11409</v>
      </c>
    </row>
    <row r="5238" spans="1:7">
      <c r="A5238" t="s">
        <v>11410</v>
      </c>
      <c r="B5238" t="s">
        <v>11411</v>
      </c>
      <c r="C5238" t="s">
        <v>3721</v>
      </c>
      <c r="D5238" t="s">
        <v>3722</v>
      </c>
      <c r="E5238">
        <v>12</v>
      </c>
      <c r="F5238" s="6">
        <v>1000</v>
      </c>
      <c r="G5238" t="s">
        <v>3802</v>
      </c>
    </row>
    <row r="5239" spans="1:7">
      <c r="A5239" t="s">
        <v>11412</v>
      </c>
      <c r="B5239" t="s">
        <v>11413</v>
      </c>
      <c r="C5239" t="s">
        <v>3721</v>
      </c>
      <c r="D5239" t="s">
        <v>3722</v>
      </c>
      <c r="E5239">
        <v>12</v>
      </c>
      <c r="F5239" s="6">
        <v>1000</v>
      </c>
      <c r="G5239" t="s">
        <v>3802</v>
      </c>
    </row>
    <row r="5240" spans="1:7">
      <c r="A5240" t="s">
        <v>11414</v>
      </c>
      <c r="B5240" t="s">
        <v>11415</v>
      </c>
      <c r="C5240" t="s">
        <v>3947</v>
      </c>
      <c r="D5240" t="s">
        <v>3948</v>
      </c>
      <c r="E5240">
        <v>6</v>
      </c>
      <c r="F5240" s="6">
        <v>750</v>
      </c>
      <c r="G5240" t="s">
        <v>5134</v>
      </c>
    </row>
    <row r="5241" spans="1:7">
      <c r="A5241" t="s">
        <v>2483</v>
      </c>
      <c r="B5241" t="s">
        <v>11416</v>
      </c>
      <c r="C5241" t="s">
        <v>3947</v>
      </c>
      <c r="D5241" t="s">
        <v>3948</v>
      </c>
      <c r="E5241">
        <v>6</v>
      </c>
      <c r="F5241" s="6">
        <v>750</v>
      </c>
      <c r="G5241" t="s">
        <v>6230</v>
      </c>
    </row>
    <row r="5242" spans="1:7">
      <c r="A5242" t="s">
        <v>11417</v>
      </c>
      <c r="B5242" t="s">
        <v>11418</v>
      </c>
      <c r="C5242" t="s">
        <v>3947</v>
      </c>
      <c r="D5242" t="s">
        <v>3948</v>
      </c>
      <c r="E5242">
        <v>12</v>
      </c>
      <c r="F5242" s="6">
        <v>750</v>
      </c>
      <c r="G5242" t="s">
        <v>5134</v>
      </c>
    </row>
    <row r="5243" spans="1:7">
      <c r="A5243" t="s">
        <v>11419</v>
      </c>
      <c r="B5243" t="s">
        <v>11420</v>
      </c>
      <c r="C5243" t="s">
        <v>3947</v>
      </c>
      <c r="D5243" t="s">
        <v>3948</v>
      </c>
      <c r="E5243">
        <v>12</v>
      </c>
      <c r="F5243" s="6">
        <v>750</v>
      </c>
      <c r="G5243" t="s">
        <v>4331</v>
      </c>
    </row>
    <row r="5244" spans="1:7">
      <c r="A5244" t="s">
        <v>11421</v>
      </c>
      <c r="B5244" t="s">
        <v>11422</v>
      </c>
      <c r="C5244" t="s">
        <v>3947</v>
      </c>
      <c r="D5244" t="s">
        <v>3948</v>
      </c>
      <c r="E5244">
        <v>12</v>
      </c>
      <c r="F5244" s="6">
        <v>750</v>
      </c>
      <c r="G5244" t="s">
        <v>3802</v>
      </c>
    </row>
    <row r="5245" spans="1:7">
      <c r="A5245" t="s">
        <v>11423</v>
      </c>
      <c r="B5245" t="s">
        <v>11424</v>
      </c>
      <c r="C5245" t="s">
        <v>3721</v>
      </c>
      <c r="D5245" t="s">
        <v>3722</v>
      </c>
      <c r="E5245">
        <v>6</v>
      </c>
      <c r="F5245" s="6">
        <v>750</v>
      </c>
      <c r="G5245" t="s">
        <v>3702</v>
      </c>
    </row>
    <row r="5246" spans="1:7">
      <c r="A5246" t="s">
        <v>11425</v>
      </c>
      <c r="B5246" t="s">
        <v>11426</v>
      </c>
      <c r="C5246" t="s">
        <v>3947</v>
      </c>
      <c r="D5246" t="s">
        <v>3948</v>
      </c>
      <c r="E5246">
        <v>12</v>
      </c>
      <c r="F5246" s="6">
        <v>750</v>
      </c>
      <c r="G5246" t="s">
        <v>5134</v>
      </c>
    </row>
    <row r="5247" spans="1:7">
      <c r="A5247" t="s">
        <v>11427</v>
      </c>
      <c r="B5247" t="s">
        <v>11428</v>
      </c>
      <c r="C5247" t="s">
        <v>3721</v>
      </c>
      <c r="D5247" t="s">
        <v>3722</v>
      </c>
      <c r="E5247">
        <v>6</v>
      </c>
      <c r="F5247" s="6">
        <v>1750</v>
      </c>
      <c r="G5247" t="s">
        <v>3686</v>
      </c>
    </row>
    <row r="5248" spans="1:7">
      <c r="A5248" t="s">
        <v>11429</v>
      </c>
      <c r="B5248" t="s">
        <v>11430</v>
      </c>
      <c r="C5248" t="s">
        <v>3947</v>
      </c>
      <c r="D5248" t="s">
        <v>3948</v>
      </c>
      <c r="E5248">
        <v>12</v>
      </c>
      <c r="F5248" s="6">
        <v>750</v>
      </c>
      <c r="G5248" t="s">
        <v>4300</v>
      </c>
    </row>
    <row r="5249" spans="1:7">
      <c r="A5249" t="s">
        <v>11431</v>
      </c>
      <c r="B5249" t="s">
        <v>11432</v>
      </c>
      <c r="C5249" t="s">
        <v>3947</v>
      </c>
      <c r="D5249" t="s">
        <v>3948</v>
      </c>
      <c r="E5249">
        <v>6</v>
      </c>
      <c r="F5249" s="6">
        <v>750</v>
      </c>
      <c r="G5249" t="s">
        <v>4291</v>
      </c>
    </row>
    <row r="5250" spans="1:7">
      <c r="A5250" t="s">
        <v>11433</v>
      </c>
      <c r="B5250" t="s">
        <v>11434</v>
      </c>
      <c r="C5250" t="s">
        <v>3947</v>
      </c>
      <c r="D5250" t="s">
        <v>3948</v>
      </c>
      <c r="E5250">
        <v>12</v>
      </c>
      <c r="F5250" s="6">
        <v>750</v>
      </c>
      <c r="G5250" t="s">
        <v>10528</v>
      </c>
    </row>
    <row r="5251" spans="1:7">
      <c r="A5251" t="s">
        <v>11435</v>
      </c>
      <c r="B5251" t="s">
        <v>6037</v>
      </c>
      <c r="C5251" t="s">
        <v>3947</v>
      </c>
      <c r="D5251" t="s">
        <v>3948</v>
      </c>
      <c r="E5251">
        <v>6</v>
      </c>
      <c r="F5251" s="6">
        <v>750</v>
      </c>
      <c r="G5251" t="s">
        <v>3802</v>
      </c>
    </row>
    <row r="5252" spans="1:7">
      <c r="A5252" t="s">
        <v>11436</v>
      </c>
      <c r="B5252" t="s">
        <v>6043</v>
      </c>
      <c r="C5252" t="s">
        <v>11437</v>
      </c>
      <c r="D5252" t="s">
        <v>3722</v>
      </c>
      <c r="E5252">
        <v>6</v>
      </c>
      <c r="F5252" s="6">
        <v>700</v>
      </c>
      <c r="G5252" t="s">
        <v>4182</v>
      </c>
    </row>
    <row r="5253" spans="1:7">
      <c r="A5253" t="s">
        <v>11438</v>
      </c>
      <c r="B5253" t="s">
        <v>6053</v>
      </c>
      <c r="C5253" t="s">
        <v>3947</v>
      </c>
      <c r="D5253" t="s">
        <v>3948</v>
      </c>
      <c r="E5253">
        <v>12</v>
      </c>
      <c r="F5253" s="6">
        <v>750</v>
      </c>
      <c r="G5253" t="s">
        <v>4581</v>
      </c>
    </row>
    <row r="5254" spans="1:7">
      <c r="A5254" t="s">
        <v>11439</v>
      </c>
      <c r="B5254" t="s">
        <v>6055</v>
      </c>
      <c r="C5254" t="s">
        <v>3947</v>
      </c>
      <c r="D5254" t="s">
        <v>3948</v>
      </c>
      <c r="E5254">
        <v>6</v>
      </c>
      <c r="F5254" s="6">
        <v>750</v>
      </c>
      <c r="G5254" t="s">
        <v>6056</v>
      </c>
    </row>
    <row r="5255" spans="1:7">
      <c r="A5255" t="s">
        <v>11440</v>
      </c>
      <c r="B5255" t="s">
        <v>11441</v>
      </c>
      <c r="C5255" t="s">
        <v>3721</v>
      </c>
      <c r="D5255" t="s">
        <v>3722</v>
      </c>
      <c r="E5255">
        <v>6</v>
      </c>
      <c r="F5255" s="6">
        <v>1750</v>
      </c>
      <c r="G5255" t="s">
        <v>3686</v>
      </c>
    </row>
    <row r="5256" spans="1:7">
      <c r="A5256" t="s">
        <v>11442</v>
      </c>
      <c r="B5256" t="s">
        <v>6101</v>
      </c>
      <c r="C5256" t="s">
        <v>3947</v>
      </c>
      <c r="D5256" t="s">
        <v>3948</v>
      </c>
      <c r="E5256">
        <v>6</v>
      </c>
      <c r="F5256" s="6">
        <v>50</v>
      </c>
      <c r="G5256" t="s">
        <v>4899</v>
      </c>
    </row>
    <row r="5257" spans="1:7">
      <c r="A5257" t="s">
        <v>11443</v>
      </c>
      <c r="B5257" t="s">
        <v>11444</v>
      </c>
      <c r="C5257" t="s">
        <v>4071</v>
      </c>
      <c r="D5257" t="s">
        <v>4072</v>
      </c>
      <c r="E5257">
        <v>6</v>
      </c>
      <c r="F5257" s="6">
        <v>750</v>
      </c>
      <c r="G5257" t="s">
        <v>3871</v>
      </c>
    </row>
    <row r="5258" spans="1:7">
      <c r="A5258" t="s">
        <v>11445</v>
      </c>
      <c r="B5258" t="s">
        <v>11446</v>
      </c>
      <c r="C5258" t="s">
        <v>3947</v>
      </c>
      <c r="D5258" t="s">
        <v>3948</v>
      </c>
      <c r="E5258">
        <v>12</v>
      </c>
      <c r="F5258" s="6">
        <v>750</v>
      </c>
      <c r="G5258" t="s">
        <v>6062</v>
      </c>
    </row>
    <row r="5259" spans="1:7">
      <c r="A5259" t="s">
        <v>11447</v>
      </c>
      <c r="B5259" t="s">
        <v>6065</v>
      </c>
      <c r="C5259" t="s">
        <v>3947</v>
      </c>
      <c r="D5259" t="s">
        <v>3948</v>
      </c>
      <c r="E5259">
        <v>12</v>
      </c>
      <c r="F5259" s="6">
        <v>50</v>
      </c>
      <c r="G5259" t="s">
        <v>4300</v>
      </c>
    </row>
    <row r="5260" spans="1:7">
      <c r="A5260" t="s">
        <v>11448</v>
      </c>
      <c r="B5260" t="s">
        <v>11449</v>
      </c>
      <c r="C5260" t="s">
        <v>5804</v>
      </c>
      <c r="D5260" t="s">
        <v>5805</v>
      </c>
      <c r="E5260">
        <v>12</v>
      </c>
      <c r="F5260" s="6">
        <v>750</v>
      </c>
      <c r="G5260" t="s">
        <v>4225</v>
      </c>
    </row>
    <row r="5261" spans="1:7">
      <c r="A5261" t="s">
        <v>11450</v>
      </c>
      <c r="B5261" t="s">
        <v>11451</v>
      </c>
      <c r="C5261" t="s">
        <v>4093</v>
      </c>
      <c r="D5261" t="s">
        <v>4094</v>
      </c>
      <c r="E5261">
        <v>12</v>
      </c>
      <c r="F5261" s="6">
        <v>750</v>
      </c>
      <c r="G5261" t="s">
        <v>5014</v>
      </c>
    </row>
    <row r="5262" spans="1:7">
      <c r="A5262" t="s">
        <v>11452</v>
      </c>
      <c r="B5262" t="s">
        <v>11453</v>
      </c>
      <c r="C5262" t="s">
        <v>3947</v>
      </c>
      <c r="D5262" t="s">
        <v>3948</v>
      </c>
      <c r="E5262">
        <v>12</v>
      </c>
      <c r="F5262" s="6">
        <v>1000</v>
      </c>
      <c r="G5262" t="s">
        <v>4300</v>
      </c>
    </row>
    <row r="5263" spans="1:7">
      <c r="A5263" t="s">
        <v>11454</v>
      </c>
      <c r="B5263" t="s">
        <v>11455</v>
      </c>
      <c r="C5263" t="s">
        <v>3947</v>
      </c>
      <c r="D5263" t="s">
        <v>3948</v>
      </c>
      <c r="E5263">
        <v>6</v>
      </c>
      <c r="F5263" s="6">
        <v>750</v>
      </c>
      <c r="G5263" t="s">
        <v>5267</v>
      </c>
    </row>
    <row r="5264" spans="1:7">
      <c r="A5264" t="s">
        <v>11456</v>
      </c>
      <c r="B5264" t="s">
        <v>6110</v>
      </c>
      <c r="C5264" t="s">
        <v>3947</v>
      </c>
      <c r="D5264" t="s">
        <v>3948</v>
      </c>
      <c r="E5264">
        <v>12</v>
      </c>
      <c r="F5264" s="6">
        <v>750</v>
      </c>
      <c r="G5264" t="s">
        <v>5228</v>
      </c>
    </row>
    <row r="5265" spans="1:7">
      <c r="A5265" t="s">
        <v>11457</v>
      </c>
      <c r="B5265" t="s">
        <v>11458</v>
      </c>
      <c r="C5265" t="s">
        <v>3947</v>
      </c>
      <c r="D5265" t="s">
        <v>3948</v>
      </c>
      <c r="E5265">
        <v>6</v>
      </c>
      <c r="F5265" s="6">
        <v>750</v>
      </c>
      <c r="G5265" t="s">
        <v>5421</v>
      </c>
    </row>
    <row r="5266" spans="1:7">
      <c r="A5266" t="s">
        <v>11459</v>
      </c>
      <c r="B5266" t="s">
        <v>11460</v>
      </c>
      <c r="C5266" t="s">
        <v>3947</v>
      </c>
      <c r="D5266" t="s">
        <v>3948</v>
      </c>
      <c r="E5266">
        <v>12</v>
      </c>
      <c r="F5266" s="6">
        <v>750</v>
      </c>
      <c r="G5266" t="s">
        <v>10558</v>
      </c>
    </row>
    <row r="5267" spans="1:7">
      <c r="A5267" t="s">
        <v>11461</v>
      </c>
      <c r="B5267" t="s">
        <v>11462</v>
      </c>
      <c r="C5267" t="s">
        <v>3947</v>
      </c>
      <c r="D5267" t="s">
        <v>3948</v>
      </c>
      <c r="E5267">
        <v>12</v>
      </c>
      <c r="F5267" s="6">
        <v>750</v>
      </c>
      <c r="G5267" t="s">
        <v>11463</v>
      </c>
    </row>
    <row r="5268" spans="1:7">
      <c r="A5268" t="s">
        <v>11464</v>
      </c>
      <c r="B5268" t="s">
        <v>11465</v>
      </c>
      <c r="C5268" t="s">
        <v>3947</v>
      </c>
      <c r="D5268" t="s">
        <v>3948</v>
      </c>
      <c r="E5268">
        <v>12</v>
      </c>
      <c r="F5268" s="6">
        <v>750</v>
      </c>
      <c r="G5268" t="s">
        <v>5748</v>
      </c>
    </row>
    <row r="5269" spans="1:7">
      <c r="A5269" t="s">
        <v>11466</v>
      </c>
      <c r="B5269" t="s">
        <v>11467</v>
      </c>
      <c r="C5269" t="s">
        <v>3947</v>
      </c>
      <c r="D5269" t="s">
        <v>3948</v>
      </c>
      <c r="E5269">
        <v>12</v>
      </c>
      <c r="F5269" s="6">
        <v>750</v>
      </c>
      <c r="G5269" t="s">
        <v>6167</v>
      </c>
    </row>
    <row r="5270" spans="1:7">
      <c r="A5270" t="s">
        <v>11468</v>
      </c>
      <c r="B5270" t="s">
        <v>6184</v>
      </c>
      <c r="C5270" t="s">
        <v>3947</v>
      </c>
      <c r="D5270" t="s">
        <v>3948</v>
      </c>
      <c r="E5270">
        <v>6</v>
      </c>
      <c r="F5270" s="6">
        <v>750</v>
      </c>
      <c r="G5270" t="s">
        <v>5451</v>
      </c>
    </row>
    <row r="5271" spans="1:7">
      <c r="A5271" t="s">
        <v>11469</v>
      </c>
      <c r="B5271" t="s">
        <v>11470</v>
      </c>
      <c r="C5271" t="s">
        <v>3947</v>
      </c>
      <c r="D5271" t="s">
        <v>3948</v>
      </c>
      <c r="E5271">
        <v>12</v>
      </c>
      <c r="F5271" s="6">
        <v>750</v>
      </c>
      <c r="G5271" t="s">
        <v>6187</v>
      </c>
    </row>
    <row r="5272" spans="1:7">
      <c r="A5272" t="s">
        <v>11471</v>
      </c>
      <c r="B5272" t="s">
        <v>11472</v>
      </c>
      <c r="C5272" t="s">
        <v>4093</v>
      </c>
      <c r="D5272" t="s">
        <v>4094</v>
      </c>
      <c r="E5272">
        <v>12</v>
      </c>
      <c r="F5272" s="6">
        <v>750</v>
      </c>
      <c r="G5272" t="s">
        <v>6187</v>
      </c>
    </row>
    <row r="5273" spans="1:7">
      <c r="A5273" t="s">
        <v>11473</v>
      </c>
      <c r="B5273" t="s">
        <v>11474</v>
      </c>
      <c r="C5273" t="s">
        <v>4093</v>
      </c>
      <c r="D5273" t="s">
        <v>4094</v>
      </c>
      <c r="E5273">
        <v>12</v>
      </c>
      <c r="F5273" s="6">
        <v>750</v>
      </c>
      <c r="G5273" t="s">
        <v>6187</v>
      </c>
    </row>
    <row r="5274" spans="1:7">
      <c r="A5274" t="s">
        <v>11475</v>
      </c>
      <c r="B5274" t="s">
        <v>6191</v>
      </c>
      <c r="C5274" t="s">
        <v>3947</v>
      </c>
      <c r="D5274" t="s">
        <v>3948</v>
      </c>
      <c r="E5274">
        <v>12</v>
      </c>
      <c r="F5274" s="6">
        <v>750</v>
      </c>
      <c r="G5274" t="s">
        <v>6187</v>
      </c>
    </row>
    <row r="5275" spans="1:7">
      <c r="A5275" t="s">
        <v>11476</v>
      </c>
      <c r="B5275" t="s">
        <v>11477</v>
      </c>
      <c r="C5275" t="s">
        <v>4093</v>
      </c>
      <c r="D5275" t="s">
        <v>4094</v>
      </c>
      <c r="E5275">
        <v>12</v>
      </c>
      <c r="F5275" s="6">
        <v>750</v>
      </c>
      <c r="G5275" t="s">
        <v>6187</v>
      </c>
    </row>
    <row r="5276" spans="1:7">
      <c r="A5276" t="s">
        <v>11478</v>
      </c>
      <c r="B5276" t="s">
        <v>6205</v>
      </c>
      <c r="C5276" t="s">
        <v>4093</v>
      </c>
      <c r="D5276" t="s">
        <v>4094</v>
      </c>
      <c r="E5276">
        <v>12</v>
      </c>
      <c r="F5276" s="6">
        <v>750</v>
      </c>
      <c r="G5276" t="s">
        <v>3888</v>
      </c>
    </row>
    <row r="5277" spans="1:7">
      <c r="A5277" t="s">
        <v>11479</v>
      </c>
      <c r="B5277" t="s">
        <v>11480</v>
      </c>
      <c r="C5277" t="s">
        <v>4084</v>
      </c>
      <c r="D5277" t="s">
        <v>4085</v>
      </c>
      <c r="E5277">
        <v>6</v>
      </c>
      <c r="F5277" s="6">
        <v>750</v>
      </c>
      <c r="G5277" t="s">
        <v>4331</v>
      </c>
    </row>
    <row r="5278" spans="1:7">
      <c r="A5278" t="s">
        <v>11481</v>
      </c>
      <c r="B5278" t="s">
        <v>6227</v>
      </c>
      <c r="C5278" t="s">
        <v>3947</v>
      </c>
      <c r="D5278" t="s">
        <v>3948</v>
      </c>
      <c r="E5278">
        <v>6</v>
      </c>
      <c r="F5278" s="6">
        <v>750</v>
      </c>
      <c r="G5278" t="s">
        <v>3851</v>
      </c>
    </row>
    <row r="5279" spans="1:7">
      <c r="A5279" t="s">
        <v>11482</v>
      </c>
      <c r="B5279" t="s">
        <v>6229</v>
      </c>
      <c r="C5279" t="s">
        <v>4093</v>
      </c>
      <c r="D5279" t="s">
        <v>4094</v>
      </c>
      <c r="E5279">
        <v>6</v>
      </c>
      <c r="F5279" s="6">
        <v>750</v>
      </c>
      <c r="G5279" t="s">
        <v>6230</v>
      </c>
    </row>
    <row r="5280" spans="1:7">
      <c r="A5280" t="s">
        <v>11483</v>
      </c>
      <c r="B5280" t="s">
        <v>11484</v>
      </c>
      <c r="C5280" t="s">
        <v>3947</v>
      </c>
      <c r="D5280" t="s">
        <v>3948</v>
      </c>
      <c r="E5280">
        <v>12</v>
      </c>
      <c r="F5280" s="6">
        <v>750</v>
      </c>
      <c r="G5280" t="s">
        <v>3931</v>
      </c>
    </row>
    <row r="5281" spans="1:7">
      <c r="A5281" t="s">
        <v>11485</v>
      </c>
      <c r="B5281" t="s">
        <v>6093</v>
      </c>
      <c r="C5281" t="s">
        <v>4093</v>
      </c>
      <c r="D5281" t="s">
        <v>4094</v>
      </c>
      <c r="E5281">
        <v>6</v>
      </c>
      <c r="F5281" s="6">
        <v>50</v>
      </c>
      <c r="G5281" t="s">
        <v>4899</v>
      </c>
    </row>
    <row r="5282" spans="1:7">
      <c r="A5282" t="s">
        <v>11486</v>
      </c>
      <c r="B5282" t="s">
        <v>6286</v>
      </c>
      <c r="C5282" t="s">
        <v>4093</v>
      </c>
      <c r="D5282" t="s">
        <v>4094</v>
      </c>
      <c r="E5282">
        <v>6</v>
      </c>
      <c r="F5282" s="6">
        <v>1750</v>
      </c>
      <c r="G5282" t="s">
        <v>3763</v>
      </c>
    </row>
    <row r="5283" spans="1:7">
      <c r="A5283" t="s">
        <v>11487</v>
      </c>
      <c r="B5283" t="s">
        <v>11488</v>
      </c>
      <c r="C5283" t="s">
        <v>4093</v>
      </c>
      <c r="D5283" t="s">
        <v>4094</v>
      </c>
      <c r="E5283">
        <v>6</v>
      </c>
      <c r="F5283" s="6">
        <v>750</v>
      </c>
      <c r="G5283" t="s">
        <v>8748</v>
      </c>
    </row>
    <row r="5284" spans="1:7">
      <c r="A5284" t="s">
        <v>11489</v>
      </c>
      <c r="B5284" t="s">
        <v>11490</v>
      </c>
      <c r="C5284" t="s">
        <v>4093</v>
      </c>
      <c r="D5284" t="s">
        <v>4094</v>
      </c>
      <c r="E5284">
        <v>12</v>
      </c>
      <c r="F5284" s="6">
        <v>750</v>
      </c>
      <c r="G5284" t="s">
        <v>3698</v>
      </c>
    </row>
    <row r="5285" spans="1:7">
      <c r="A5285" t="s">
        <v>11491</v>
      </c>
      <c r="B5285" t="s">
        <v>11492</v>
      </c>
      <c r="C5285" t="s">
        <v>4093</v>
      </c>
      <c r="D5285" t="s">
        <v>4094</v>
      </c>
      <c r="E5285">
        <v>6</v>
      </c>
      <c r="F5285" s="6">
        <v>750</v>
      </c>
      <c r="G5285" t="s">
        <v>3802</v>
      </c>
    </row>
    <row r="5286" spans="1:7">
      <c r="A5286" t="s">
        <v>11493</v>
      </c>
      <c r="B5286" t="s">
        <v>11494</v>
      </c>
      <c r="C5286" t="s">
        <v>9319</v>
      </c>
      <c r="D5286" t="s">
        <v>9320</v>
      </c>
      <c r="E5286">
        <v>12</v>
      </c>
      <c r="F5286" s="6">
        <v>750</v>
      </c>
      <c r="G5286" t="s">
        <v>3686</v>
      </c>
    </row>
    <row r="5287" spans="1:7">
      <c r="A5287" t="s">
        <v>11495</v>
      </c>
      <c r="B5287" t="s">
        <v>11496</v>
      </c>
      <c r="C5287" t="s">
        <v>4093</v>
      </c>
      <c r="D5287" t="s">
        <v>4094</v>
      </c>
      <c r="E5287">
        <v>12</v>
      </c>
      <c r="F5287" s="6">
        <v>750</v>
      </c>
      <c r="G5287" t="s">
        <v>3698</v>
      </c>
    </row>
    <row r="5288" spans="1:7">
      <c r="A5288" t="s">
        <v>11497</v>
      </c>
      <c r="B5288" t="s">
        <v>11498</v>
      </c>
      <c r="C5288" t="s">
        <v>4093</v>
      </c>
      <c r="D5288" t="s">
        <v>4094</v>
      </c>
      <c r="E5288">
        <v>12</v>
      </c>
      <c r="F5288" s="6">
        <v>750</v>
      </c>
      <c r="G5288" t="s">
        <v>3698</v>
      </c>
    </row>
    <row r="5289" spans="1:7">
      <c r="A5289" t="s">
        <v>11499</v>
      </c>
      <c r="B5289" t="s">
        <v>11500</v>
      </c>
      <c r="C5289" t="s">
        <v>3947</v>
      </c>
      <c r="D5289" t="s">
        <v>3948</v>
      </c>
      <c r="E5289">
        <v>6</v>
      </c>
      <c r="F5289" s="6">
        <v>750</v>
      </c>
      <c r="G5289" t="s">
        <v>8748</v>
      </c>
    </row>
    <row r="5290" spans="1:7">
      <c r="A5290" t="s">
        <v>11501</v>
      </c>
      <c r="B5290" t="s">
        <v>11502</v>
      </c>
      <c r="C5290" t="s">
        <v>3947</v>
      </c>
      <c r="D5290" t="s">
        <v>3948</v>
      </c>
      <c r="E5290">
        <v>1</v>
      </c>
      <c r="F5290" s="6">
        <v>50</v>
      </c>
      <c r="G5290" t="s">
        <v>3686</v>
      </c>
    </row>
    <row r="5291" spans="1:7">
      <c r="A5291" t="s">
        <v>11503</v>
      </c>
      <c r="B5291" t="s">
        <v>11504</v>
      </c>
      <c r="C5291" t="s">
        <v>4093</v>
      </c>
      <c r="D5291" t="s">
        <v>4094</v>
      </c>
      <c r="E5291">
        <v>12</v>
      </c>
      <c r="F5291" s="6">
        <v>750</v>
      </c>
      <c r="G5291" t="s">
        <v>3698</v>
      </c>
    </row>
    <row r="5292" spans="1:7">
      <c r="A5292" t="s">
        <v>1066</v>
      </c>
      <c r="B5292" t="s">
        <v>11505</v>
      </c>
      <c r="C5292" t="s">
        <v>4093</v>
      </c>
      <c r="D5292" t="s">
        <v>4094</v>
      </c>
      <c r="E5292">
        <v>10</v>
      </c>
      <c r="F5292" s="6">
        <v>50</v>
      </c>
      <c r="G5292" t="s">
        <v>3763</v>
      </c>
    </row>
    <row r="5293" spans="1:7">
      <c r="A5293" t="s">
        <v>11506</v>
      </c>
      <c r="B5293" t="s">
        <v>6346</v>
      </c>
      <c r="C5293" t="s">
        <v>4093</v>
      </c>
      <c r="D5293" t="s">
        <v>4094</v>
      </c>
      <c r="E5293">
        <v>24</v>
      </c>
      <c r="F5293" s="6">
        <v>200</v>
      </c>
      <c r="G5293" t="s">
        <v>3763</v>
      </c>
    </row>
    <row r="5294" spans="1:7">
      <c r="A5294" t="s">
        <v>11507</v>
      </c>
      <c r="B5294" t="s">
        <v>11508</v>
      </c>
      <c r="C5294" t="s">
        <v>4093</v>
      </c>
      <c r="D5294" t="s">
        <v>4094</v>
      </c>
      <c r="E5294">
        <v>6</v>
      </c>
      <c r="F5294" s="6">
        <v>750</v>
      </c>
      <c r="G5294" t="s">
        <v>5421</v>
      </c>
    </row>
    <row r="5295" spans="1:7">
      <c r="A5295" t="s">
        <v>11509</v>
      </c>
      <c r="B5295" t="s">
        <v>11510</v>
      </c>
      <c r="C5295" t="s">
        <v>4093</v>
      </c>
      <c r="D5295" t="s">
        <v>4094</v>
      </c>
      <c r="E5295">
        <v>6</v>
      </c>
      <c r="F5295" s="6">
        <v>750</v>
      </c>
      <c r="G5295" t="s">
        <v>5421</v>
      </c>
    </row>
    <row r="5296" spans="1:7">
      <c r="A5296" t="s">
        <v>11511</v>
      </c>
      <c r="B5296" t="s">
        <v>11512</v>
      </c>
      <c r="C5296" t="s">
        <v>4093</v>
      </c>
      <c r="D5296" t="s">
        <v>4094</v>
      </c>
      <c r="E5296">
        <v>12</v>
      </c>
      <c r="F5296" s="6">
        <v>750</v>
      </c>
      <c r="G5296" t="s">
        <v>5932</v>
      </c>
    </row>
    <row r="5297" spans="1:7">
      <c r="A5297" t="s">
        <v>11513</v>
      </c>
      <c r="B5297" t="s">
        <v>6370</v>
      </c>
      <c r="C5297" t="s">
        <v>4093</v>
      </c>
      <c r="D5297" t="s">
        <v>4094</v>
      </c>
      <c r="E5297">
        <v>6</v>
      </c>
      <c r="F5297" s="6">
        <v>1750</v>
      </c>
      <c r="G5297" t="s">
        <v>3763</v>
      </c>
    </row>
    <row r="5298" spans="1:7">
      <c r="A5298" t="s">
        <v>11514</v>
      </c>
      <c r="B5298" t="s">
        <v>11515</v>
      </c>
      <c r="C5298" t="s">
        <v>4093</v>
      </c>
      <c r="D5298" t="s">
        <v>4094</v>
      </c>
      <c r="E5298">
        <v>12</v>
      </c>
      <c r="F5298" s="6">
        <v>750</v>
      </c>
      <c r="G5298" t="s">
        <v>3888</v>
      </c>
    </row>
    <row r="5299" spans="1:7">
      <c r="A5299" t="s">
        <v>11516</v>
      </c>
      <c r="B5299" t="s">
        <v>11517</v>
      </c>
      <c r="C5299" t="s">
        <v>9319</v>
      </c>
      <c r="D5299" t="s">
        <v>9320</v>
      </c>
      <c r="E5299">
        <v>12</v>
      </c>
      <c r="F5299" s="6">
        <v>750</v>
      </c>
      <c r="G5299" t="s">
        <v>3698</v>
      </c>
    </row>
    <row r="5300" spans="1:7">
      <c r="A5300" t="s">
        <v>11518</v>
      </c>
      <c r="B5300" t="s">
        <v>11519</v>
      </c>
      <c r="C5300" t="s">
        <v>4093</v>
      </c>
      <c r="D5300" t="s">
        <v>4094</v>
      </c>
      <c r="E5300">
        <v>12</v>
      </c>
      <c r="F5300" s="6">
        <v>750</v>
      </c>
      <c r="G5300" t="s">
        <v>3888</v>
      </c>
    </row>
    <row r="5301" spans="1:7">
      <c r="A5301" t="s">
        <v>11520</v>
      </c>
      <c r="B5301" t="s">
        <v>11521</v>
      </c>
      <c r="C5301" t="s">
        <v>4093</v>
      </c>
      <c r="D5301" t="s">
        <v>4094</v>
      </c>
      <c r="E5301">
        <v>12</v>
      </c>
      <c r="F5301" s="6">
        <v>750</v>
      </c>
      <c r="G5301" t="s">
        <v>3888</v>
      </c>
    </row>
    <row r="5302" spans="1:7">
      <c r="A5302" t="s">
        <v>798</v>
      </c>
      <c r="B5302" t="s">
        <v>11522</v>
      </c>
      <c r="C5302" t="s">
        <v>4093</v>
      </c>
      <c r="D5302" t="s">
        <v>4094</v>
      </c>
      <c r="E5302">
        <v>12</v>
      </c>
      <c r="F5302" s="6">
        <v>750</v>
      </c>
      <c r="G5302" t="s">
        <v>3931</v>
      </c>
    </row>
    <row r="5303" spans="1:7">
      <c r="A5303" t="s">
        <v>11523</v>
      </c>
      <c r="B5303" t="s">
        <v>11524</v>
      </c>
      <c r="C5303" t="s">
        <v>4093</v>
      </c>
      <c r="D5303" t="s">
        <v>4094</v>
      </c>
      <c r="E5303">
        <v>6</v>
      </c>
      <c r="F5303" s="6">
        <v>750</v>
      </c>
      <c r="G5303" t="s">
        <v>4781</v>
      </c>
    </row>
    <row r="5304" spans="1:7">
      <c r="A5304" t="s">
        <v>11525</v>
      </c>
      <c r="B5304" t="s">
        <v>11526</v>
      </c>
      <c r="C5304" t="s">
        <v>4093</v>
      </c>
      <c r="D5304" t="s">
        <v>4094</v>
      </c>
      <c r="E5304">
        <v>12</v>
      </c>
      <c r="F5304" s="6">
        <v>750</v>
      </c>
      <c r="G5304" t="s">
        <v>3686</v>
      </c>
    </row>
    <row r="5305" spans="1:7">
      <c r="A5305" t="s">
        <v>11527</v>
      </c>
      <c r="B5305" t="s">
        <v>9673</v>
      </c>
      <c r="C5305" t="s">
        <v>4093</v>
      </c>
      <c r="D5305" t="s">
        <v>4094</v>
      </c>
      <c r="E5305">
        <v>6</v>
      </c>
      <c r="F5305" s="6">
        <v>1750</v>
      </c>
      <c r="G5305" t="s">
        <v>3931</v>
      </c>
    </row>
    <row r="5306" spans="1:7">
      <c r="A5306" t="s">
        <v>2040</v>
      </c>
      <c r="B5306" t="s">
        <v>11528</v>
      </c>
      <c r="C5306" t="s">
        <v>4093</v>
      </c>
      <c r="D5306" t="s">
        <v>4094</v>
      </c>
      <c r="E5306">
        <v>12</v>
      </c>
      <c r="F5306" s="6">
        <v>750</v>
      </c>
      <c r="G5306" t="s">
        <v>3931</v>
      </c>
    </row>
    <row r="5307" spans="1:7">
      <c r="A5307" t="s">
        <v>11529</v>
      </c>
      <c r="B5307" t="s">
        <v>11530</v>
      </c>
      <c r="C5307" t="s">
        <v>3947</v>
      </c>
      <c r="D5307" t="s">
        <v>3948</v>
      </c>
      <c r="E5307">
        <v>12</v>
      </c>
      <c r="F5307" s="6">
        <v>750</v>
      </c>
      <c r="G5307" t="s">
        <v>3931</v>
      </c>
    </row>
    <row r="5308" spans="1:7">
      <c r="A5308" t="s">
        <v>3459</v>
      </c>
      <c r="B5308" t="s">
        <v>11531</v>
      </c>
      <c r="C5308" t="s">
        <v>4093</v>
      </c>
      <c r="D5308" t="s">
        <v>4094</v>
      </c>
      <c r="E5308">
        <v>12</v>
      </c>
      <c r="F5308" s="6">
        <v>750</v>
      </c>
      <c r="G5308" t="s">
        <v>3698</v>
      </c>
    </row>
    <row r="5309" spans="1:7">
      <c r="A5309" t="s">
        <v>11532</v>
      </c>
      <c r="B5309" t="s">
        <v>11533</v>
      </c>
      <c r="C5309" t="s">
        <v>9319</v>
      </c>
      <c r="D5309" t="s">
        <v>9320</v>
      </c>
      <c r="E5309">
        <v>12</v>
      </c>
      <c r="F5309" s="6">
        <v>750</v>
      </c>
      <c r="G5309" t="s">
        <v>5932</v>
      </c>
    </row>
    <row r="5310" spans="1:7">
      <c r="A5310" t="s">
        <v>11534</v>
      </c>
      <c r="B5310" t="s">
        <v>11535</v>
      </c>
      <c r="C5310" t="s">
        <v>5804</v>
      </c>
      <c r="D5310" t="s">
        <v>5805</v>
      </c>
      <c r="E5310">
        <v>12</v>
      </c>
      <c r="F5310" s="6">
        <v>750</v>
      </c>
      <c r="G5310" t="s">
        <v>4796</v>
      </c>
    </row>
    <row r="5311" spans="1:7">
      <c r="A5311" t="s">
        <v>11536</v>
      </c>
      <c r="B5311" t="s">
        <v>11537</v>
      </c>
      <c r="C5311" t="s">
        <v>4093</v>
      </c>
      <c r="D5311" t="s">
        <v>4094</v>
      </c>
      <c r="E5311">
        <v>12</v>
      </c>
      <c r="F5311" s="6">
        <v>1000</v>
      </c>
      <c r="G5311" t="s">
        <v>4300</v>
      </c>
    </row>
    <row r="5312" spans="1:7">
      <c r="A5312" t="s">
        <v>11538</v>
      </c>
      <c r="B5312" t="s">
        <v>9683</v>
      </c>
      <c r="C5312" t="s">
        <v>6411</v>
      </c>
      <c r="D5312" t="s">
        <v>6412</v>
      </c>
      <c r="E5312">
        <v>24</v>
      </c>
      <c r="F5312" s="6">
        <v>375</v>
      </c>
      <c r="G5312" t="s">
        <v>4163</v>
      </c>
    </row>
    <row r="5313" spans="1:7">
      <c r="A5313" t="s">
        <v>11539</v>
      </c>
      <c r="B5313" t="s">
        <v>9683</v>
      </c>
      <c r="C5313" t="s">
        <v>6411</v>
      </c>
      <c r="D5313" t="s">
        <v>6412</v>
      </c>
      <c r="E5313">
        <v>12</v>
      </c>
      <c r="F5313" s="6">
        <v>750</v>
      </c>
      <c r="G5313" t="s">
        <v>4163</v>
      </c>
    </row>
    <row r="5314" spans="1:7">
      <c r="A5314" t="s">
        <v>11540</v>
      </c>
      <c r="B5314" t="s">
        <v>11541</v>
      </c>
      <c r="C5314" t="s">
        <v>6411</v>
      </c>
      <c r="D5314" t="s">
        <v>6412</v>
      </c>
      <c r="E5314">
        <v>48</v>
      </c>
      <c r="F5314" s="6">
        <v>200</v>
      </c>
      <c r="G5314" t="s">
        <v>4163</v>
      </c>
    </row>
    <row r="5315" spans="1:7">
      <c r="A5315" t="s">
        <v>11542</v>
      </c>
      <c r="B5315" t="s">
        <v>6410</v>
      </c>
      <c r="C5315" t="s">
        <v>9319</v>
      </c>
      <c r="D5315" t="s">
        <v>9320</v>
      </c>
      <c r="E5315">
        <v>12</v>
      </c>
      <c r="F5315" s="6">
        <v>1000</v>
      </c>
      <c r="G5315" t="s">
        <v>4163</v>
      </c>
    </row>
    <row r="5316" spans="1:7">
      <c r="A5316" t="s">
        <v>11543</v>
      </c>
      <c r="B5316" t="s">
        <v>11544</v>
      </c>
      <c r="C5316" t="s">
        <v>9319</v>
      </c>
      <c r="D5316" t="s">
        <v>9320</v>
      </c>
      <c r="E5316">
        <v>12</v>
      </c>
      <c r="F5316" s="6">
        <v>750</v>
      </c>
      <c r="G5316" t="s">
        <v>3698</v>
      </c>
    </row>
    <row r="5317" spans="1:7">
      <c r="A5317" t="s">
        <v>11545</v>
      </c>
      <c r="B5317" t="s">
        <v>11546</v>
      </c>
      <c r="C5317" t="s">
        <v>9319</v>
      </c>
      <c r="D5317" t="s">
        <v>9320</v>
      </c>
      <c r="E5317">
        <v>12</v>
      </c>
      <c r="F5317" s="6">
        <v>750</v>
      </c>
      <c r="G5317" t="s">
        <v>3698</v>
      </c>
    </row>
    <row r="5318" spans="1:7">
      <c r="A5318" t="s">
        <v>11547</v>
      </c>
      <c r="B5318" t="s">
        <v>11548</v>
      </c>
      <c r="C5318" t="s">
        <v>9319</v>
      </c>
      <c r="D5318" t="s">
        <v>9320</v>
      </c>
      <c r="E5318">
        <v>12</v>
      </c>
      <c r="F5318" s="6">
        <v>750</v>
      </c>
      <c r="G5318" t="s">
        <v>3698</v>
      </c>
    </row>
    <row r="5319" spans="1:7">
      <c r="A5319" t="s">
        <v>2744</v>
      </c>
      <c r="B5319" t="s">
        <v>11549</v>
      </c>
      <c r="C5319" t="s">
        <v>4093</v>
      </c>
      <c r="D5319" t="s">
        <v>4094</v>
      </c>
      <c r="E5319">
        <v>12</v>
      </c>
      <c r="F5319" s="6">
        <v>750</v>
      </c>
      <c r="G5319" t="s">
        <v>3698</v>
      </c>
    </row>
    <row r="5320" spans="1:7">
      <c r="A5320" t="s">
        <v>11550</v>
      </c>
      <c r="B5320" t="s">
        <v>11551</v>
      </c>
      <c r="C5320" t="s">
        <v>9319</v>
      </c>
      <c r="D5320" t="s">
        <v>9320</v>
      </c>
      <c r="E5320">
        <v>12</v>
      </c>
      <c r="F5320" s="6">
        <v>750</v>
      </c>
      <c r="G5320" t="s">
        <v>3686</v>
      </c>
    </row>
    <row r="5321" spans="1:7">
      <c r="A5321" t="s">
        <v>11552</v>
      </c>
      <c r="B5321" t="s">
        <v>11553</v>
      </c>
      <c r="C5321" t="s">
        <v>9319</v>
      </c>
      <c r="D5321" t="s">
        <v>9320</v>
      </c>
      <c r="E5321">
        <v>12</v>
      </c>
      <c r="F5321" s="6">
        <v>750</v>
      </c>
      <c r="G5321" t="s">
        <v>3931</v>
      </c>
    </row>
    <row r="5322" spans="1:7">
      <c r="A5322" t="s">
        <v>11554</v>
      </c>
      <c r="B5322" t="s">
        <v>11555</v>
      </c>
      <c r="C5322" t="s">
        <v>6451</v>
      </c>
      <c r="D5322" t="s">
        <v>6452</v>
      </c>
      <c r="E5322">
        <v>6</v>
      </c>
      <c r="F5322" s="6">
        <v>750</v>
      </c>
      <c r="G5322" t="s">
        <v>5701</v>
      </c>
    </row>
    <row r="5323" spans="1:7">
      <c r="A5323" t="s">
        <v>11556</v>
      </c>
      <c r="B5323" t="s">
        <v>11557</v>
      </c>
      <c r="C5323" t="s">
        <v>4190</v>
      </c>
      <c r="D5323" t="s">
        <v>4191</v>
      </c>
      <c r="E5323">
        <v>6</v>
      </c>
      <c r="F5323" s="6">
        <v>750</v>
      </c>
      <c r="G5323" t="s">
        <v>5701</v>
      </c>
    </row>
    <row r="5324" spans="1:7">
      <c r="A5324" t="s">
        <v>11558</v>
      </c>
      <c r="B5324" t="s">
        <v>11559</v>
      </c>
      <c r="C5324" t="s">
        <v>4190</v>
      </c>
      <c r="D5324" t="s">
        <v>4191</v>
      </c>
      <c r="E5324">
        <v>6</v>
      </c>
      <c r="F5324" s="6">
        <v>750</v>
      </c>
      <c r="G5324" t="s">
        <v>5701</v>
      </c>
    </row>
    <row r="5325" spans="1:7">
      <c r="A5325" t="s">
        <v>11560</v>
      </c>
      <c r="B5325" t="s">
        <v>11561</v>
      </c>
      <c r="C5325" t="s">
        <v>6451</v>
      </c>
      <c r="D5325" t="s">
        <v>6452</v>
      </c>
      <c r="E5325">
        <v>6</v>
      </c>
      <c r="F5325" s="6">
        <v>750</v>
      </c>
      <c r="G5325" t="s">
        <v>3802</v>
      </c>
    </row>
    <row r="5326" spans="1:7">
      <c r="A5326" t="s">
        <v>11562</v>
      </c>
      <c r="B5326" t="s">
        <v>11563</v>
      </c>
      <c r="C5326" t="s">
        <v>4190</v>
      </c>
      <c r="D5326" t="s">
        <v>4191</v>
      </c>
      <c r="E5326">
        <v>10</v>
      </c>
      <c r="F5326" s="6">
        <v>50</v>
      </c>
      <c r="G5326" t="s">
        <v>3686</v>
      </c>
    </row>
    <row r="5327" spans="1:7">
      <c r="A5327" t="s">
        <v>11564</v>
      </c>
      <c r="B5327" t="s">
        <v>11565</v>
      </c>
      <c r="C5327" t="s">
        <v>4052</v>
      </c>
      <c r="D5327" t="s">
        <v>4053</v>
      </c>
      <c r="E5327">
        <v>12</v>
      </c>
      <c r="F5327" s="6">
        <v>750</v>
      </c>
      <c r="G5327" t="s">
        <v>3702</v>
      </c>
    </row>
    <row r="5328" spans="1:7">
      <c r="A5328" t="s">
        <v>11566</v>
      </c>
      <c r="B5328" t="s">
        <v>11567</v>
      </c>
      <c r="C5328" t="s">
        <v>6442</v>
      </c>
      <c r="D5328" t="s">
        <v>6443</v>
      </c>
      <c r="E5328">
        <v>6</v>
      </c>
      <c r="F5328" s="6">
        <v>750</v>
      </c>
      <c r="G5328" t="s">
        <v>3802</v>
      </c>
    </row>
    <row r="5329" spans="1:7">
      <c r="A5329" t="s">
        <v>11568</v>
      </c>
      <c r="B5329" t="s">
        <v>11569</v>
      </c>
      <c r="C5329" t="s">
        <v>6424</v>
      </c>
      <c r="D5329" t="s">
        <v>6425</v>
      </c>
      <c r="E5329">
        <v>12</v>
      </c>
      <c r="F5329" s="6">
        <v>750</v>
      </c>
      <c r="G5329" t="s">
        <v>3686</v>
      </c>
    </row>
    <row r="5330" spans="1:7">
      <c r="A5330" t="s">
        <v>11570</v>
      </c>
      <c r="B5330" t="s">
        <v>11571</v>
      </c>
      <c r="C5330" t="s">
        <v>4170</v>
      </c>
      <c r="D5330" t="s">
        <v>4171</v>
      </c>
      <c r="E5330">
        <v>6</v>
      </c>
      <c r="F5330" s="6">
        <v>750</v>
      </c>
      <c r="G5330" t="s">
        <v>3686</v>
      </c>
    </row>
    <row r="5331" spans="1:7">
      <c r="A5331" t="s">
        <v>11572</v>
      </c>
      <c r="B5331" t="s">
        <v>11573</v>
      </c>
      <c r="C5331" t="s">
        <v>6451</v>
      </c>
      <c r="D5331" t="s">
        <v>6452</v>
      </c>
      <c r="E5331">
        <v>6</v>
      </c>
      <c r="F5331" s="6">
        <v>750</v>
      </c>
      <c r="G5331" t="s">
        <v>3686</v>
      </c>
    </row>
    <row r="5332" spans="1:7">
      <c r="A5332" t="s">
        <v>11574</v>
      </c>
      <c r="B5332" t="s">
        <v>6431</v>
      </c>
      <c r="C5332" t="s">
        <v>4052</v>
      </c>
      <c r="D5332" t="s">
        <v>4053</v>
      </c>
      <c r="E5332">
        <v>6</v>
      </c>
      <c r="F5332" s="6">
        <v>1750</v>
      </c>
      <c r="G5332" t="s">
        <v>3702</v>
      </c>
    </row>
    <row r="5333" spans="1:7">
      <c r="A5333" t="s">
        <v>3173</v>
      </c>
      <c r="B5333" t="s">
        <v>11575</v>
      </c>
      <c r="C5333" t="s">
        <v>6451</v>
      </c>
      <c r="D5333" t="s">
        <v>6452</v>
      </c>
      <c r="E5333">
        <v>12</v>
      </c>
      <c r="F5333" s="6">
        <v>750</v>
      </c>
      <c r="G5333" t="s">
        <v>3702</v>
      </c>
    </row>
    <row r="5334" spans="1:7">
      <c r="A5334" t="s">
        <v>11576</v>
      </c>
      <c r="B5334" t="s">
        <v>11577</v>
      </c>
      <c r="C5334" t="s">
        <v>6451</v>
      </c>
      <c r="D5334" t="s">
        <v>6452</v>
      </c>
      <c r="E5334">
        <v>6</v>
      </c>
      <c r="F5334" s="6">
        <v>750</v>
      </c>
      <c r="G5334" t="s">
        <v>3702</v>
      </c>
    </row>
    <row r="5335" spans="1:7">
      <c r="A5335" t="s">
        <v>11578</v>
      </c>
      <c r="B5335" t="s">
        <v>11579</v>
      </c>
      <c r="C5335" t="s">
        <v>10161</v>
      </c>
      <c r="D5335" t="s">
        <v>6443</v>
      </c>
      <c r="E5335">
        <v>6</v>
      </c>
      <c r="F5335" s="6">
        <v>750</v>
      </c>
      <c r="G5335" t="s">
        <v>3802</v>
      </c>
    </row>
    <row r="5336" spans="1:7">
      <c r="A5336" t="s">
        <v>11580</v>
      </c>
      <c r="B5336" t="s">
        <v>11581</v>
      </c>
      <c r="C5336" t="s">
        <v>4170</v>
      </c>
      <c r="D5336" t="s">
        <v>4171</v>
      </c>
      <c r="E5336">
        <v>6</v>
      </c>
      <c r="F5336" s="6">
        <v>750</v>
      </c>
      <c r="G5336" t="s">
        <v>11582</v>
      </c>
    </row>
    <row r="5337" spans="1:7">
      <c r="A5337" t="s">
        <v>11583</v>
      </c>
      <c r="B5337" t="s">
        <v>11584</v>
      </c>
      <c r="C5337" t="s">
        <v>6451</v>
      </c>
      <c r="D5337" t="s">
        <v>6452</v>
      </c>
      <c r="E5337">
        <v>12</v>
      </c>
      <c r="F5337" s="6">
        <v>750</v>
      </c>
      <c r="G5337" t="s">
        <v>6746</v>
      </c>
    </row>
    <row r="5338" spans="1:7">
      <c r="A5338" t="s">
        <v>11585</v>
      </c>
      <c r="B5338" t="s">
        <v>11586</v>
      </c>
      <c r="C5338" t="s">
        <v>4170</v>
      </c>
      <c r="D5338" t="s">
        <v>4171</v>
      </c>
      <c r="E5338">
        <v>6</v>
      </c>
      <c r="F5338" s="6">
        <v>750</v>
      </c>
      <c r="G5338" t="s">
        <v>11582</v>
      </c>
    </row>
    <row r="5339" spans="1:7">
      <c r="A5339" t="s">
        <v>11587</v>
      </c>
      <c r="B5339" t="s">
        <v>11588</v>
      </c>
      <c r="C5339" t="s">
        <v>4052</v>
      </c>
      <c r="D5339" t="s">
        <v>4053</v>
      </c>
      <c r="E5339">
        <v>6</v>
      </c>
      <c r="F5339" s="6">
        <v>750</v>
      </c>
      <c r="G5339" t="s">
        <v>11582</v>
      </c>
    </row>
    <row r="5340" spans="1:7">
      <c r="A5340" t="s">
        <v>11589</v>
      </c>
      <c r="B5340" t="s">
        <v>11590</v>
      </c>
      <c r="C5340" t="s">
        <v>6451</v>
      </c>
      <c r="D5340" t="s">
        <v>6452</v>
      </c>
      <c r="E5340">
        <v>12</v>
      </c>
      <c r="F5340" s="6">
        <v>750</v>
      </c>
      <c r="G5340" t="s">
        <v>4117</v>
      </c>
    </row>
    <row r="5341" spans="1:7">
      <c r="A5341" t="s">
        <v>1090</v>
      </c>
      <c r="B5341" t="s">
        <v>11591</v>
      </c>
      <c r="C5341" t="s">
        <v>6451</v>
      </c>
      <c r="D5341" t="s">
        <v>6452</v>
      </c>
      <c r="E5341">
        <v>6</v>
      </c>
      <c r="F5341" s="6">
        <v>750</v>
      </c>
      <c r="G5341" t="s">
        <v>4117</v>
      </c>
    </row>
    <row r="5342" spans="1:7">
      <c r="A5342" t="s">
        <v>272</v>
      </c>
      <c r="B5342" t="s">
        <v>11592</v>
      </c>
      <c r="C5342" t="s">
        <v>6451</v>
      </c>
      <c r="D5342" t="s">
        <v>6452</v>
      </c>
      <c r="E5342">
        <v>6</v>
      </c>
      <c r="F5342" s="6">
        <v>750</v>
      </c>
      <c r="G5342" t="s">
        <v>7497</v>
      </c>
    </row>
    <row r="5343" spans="1:7">
      <c r="A5343" t="s">
        <v>11593</v>
      </c>
      <c r="B5343" t="s">
        <v>11594</v>
      </c>
      <c r="C5343" t="s">
        <v>6442</v>
      </c>
      <c r="D5343" t="s">
        <v>6443</v>
      </c>
      <c r="E5343">
        <v>6</v>
      </c>
      <c r="F5343" s="6">
        <v>750</v>
      </c>
      <c r="G5343" t="s">
        <v>7497</v>
      </c>
    </row>
    <row r="5344" spans="1:7">
      <c r="A5344" t="s">
        <v>11595</v>
      </c>
      <c r="B5344" t="s">
        <v>11596</v>
      </c>
      <c r="C5344" t="s">
        <v>6424</v>
      </c>
      <c r="D5344" t="s">
        <v>6425</v>
      </c>
      <c r="E5344">
        <v>12</v>
      </c>
      <c r="F5344" s="6">
        <v>750</v>
      </c>
      <c r="G5344" t="s">
        <v>11597</v>
      </c>
    </row>
    <row r="5345" spans="1:7">
      <c r="A5345" t="s">
        <v>11598</v>
      </c>
      <c r="B5345" t="s">
        <v>11599</v>
      </c>
      <c r="C5345" t="s">
        <v>4190</v>
      </c>
      <c r="D5345" t="s">
        <v>4191</v>
      </c>
      <c r="E5345">
        <v>12</v>
      </c>
      <c r="F5345" s="6">
        <v>750</v>
      </c>
      <c r="G5345" t="s">
        <v>11597</v>
      </c>
    </row>
    <row r="5346" spans="1:7">
      <c r="A5346" t="s">
        <v>11600</v>
      </c>
      <c r="B5346" t="s">
        <v>11601</v>
      </c>
      <c r="C5346" t="s">
        <v>4190</v>
      </c>
      <c r="D5346" t="s">
        <v>4191</v>
      </c>
      <c r="E5346">
        <v>6</v>
      </c>
      <c r="F5346" s="6">
        <v>750</v>
      </c>
      <c r="G5346" t="s">
        <v>11597</v>
      </c>
    </row>
    <row r="5347" spans="1:7">
      <c r="A5347" t="s">
        <v>11602</v>
      </c>
      <c r="B5347" t="s">
        <v>11603</v>
      </c>
      <c r="C5347" t="s">
        <v>4190</v>
      </c>
      <c r="D5347" t="s">
        <v>4191</v>
      </c>
      <c r="E5347">
        <v>6</v>
      </c>
      <c r="F5347" s="6">
        <v>750</v>
      </c>
      <c r="G5347" t="s">
        <v>11597</v>
      </c>
    </row>
    <row r="5348" spans="1:7">
      <c r="A5348" t="s">
        <v>11604</v>
      </c>
      <c r="B5348" t="s">
        <v>11605</v>
      </c>
      <c r="C5348" t="s">
        <v>6451</v>
      </c>
      <c r="D5348" t="s">
        <v>6452</v>
      </c>
      <c r="E5348">
        <v>6</v>
      </c>
      <c r="F5348" s="6">
        <v>750</v>
      </c>
      <c r="G5348" t="s">
        <v>3705</v>
      </c>
    </row>
    <row r="5349" spans="1:7">
      <c r="A5349" t="s">
        <v>11606</v>
      </c>
      <c r="B5349" t="s">
        <v>11607</v>
      </c>
      <c r="C5349" t="s">
        <v>9319</v>
      </c>
      <c r="D5349" t="s">
        <v>9320</v>
      </c>
      <c r="E5349">
        <v>12</v>
      </c>
      <c r="F5349" s="6">
        <v>750</v>
      </c>
      <c r="G5349" t="s">
        <v>4117</v>
      </c>
    </row>
    <row r="5350" spans="1:7">
      <c r="A5350" t="s">
        <v>11608</v>
      </c>
      <c r="B5350" t="s">
        <v>11609</v>
      </c>
      <c r="C5350" t="s">
        <v>6424</v>
      </c>
      <c r="D5350" t="s">
        <v>6425</v>
      </c>
      <c r="E5350">
        <v>12</v>
      </c>
      <c r="F5350" s="6">
        <v>750</v>
      </c>
      <c r="G5350" t="s">
        <v>6746</v>
      </c>
    </row>
    <row r="5351" spans="1:7">
      <c r="A5351" t="s">
        <v>2272</v>
      </c>
      <c r="B5351" t="s">
        <v>11610</v>
      </c>
      <c r="C5351" t="s">
        <v>6451</v>
      </c>
      <c r="D5351" t="s">
        <v>6452</v>
      </c>
      <c r="E5351">
        <v>12</v>
      </c>
      <c r="F5351" s="6">
        <v>750</v>
      </c>
      <c r="G5351" t="s">
        <v>6746</v>
      </c>
    </row>
    <row r="5352" spans="1:7">
      <c r="A5352" t="s">
        <v>11611</v>
      </c>
      <c r="B5352" t="s">
        <v>11612</v>
      </c>
      <c r="C5352" t="s">
        <v>4190</v>
      </c>
      <c r="D5352" t="s">
        <v>4191</v>
      </c>
      <c r="E5352">
        <v>6</v>
      </c>
      <c r="F5352" s="6">
        <v>750</v>
      </c>
      <c r="G5352" t="s">
        <v>6746</v>
      </c>
    </row>
    <row r="5353" spans="1:7">
      <c r="A5353" t="s">
        <v>11613</v>
      </c>
      <c r="B5353" t="s">
        <v>11614</v>
      </c>
      <c r="C5353" t="s">
        <v>6451</v>
      </c>
      <c r="D5353" t="s">
        <v>6452</v>
      </c>
      <c r="E5353">
        <v>6</v>
      </c>
      <c r="F5353" s="6">
        <v>750</v>
      </c>
      <c r="G5353" t="s">
        <v>3686</v>
      </c>
    </row>
    <row r="5354" spans="1:7">
      <c r="A5354" t="s">
        <v>11615</v>
      </c>
      <c r="B5354" t="s">
        <v>11616</v>
      </c>
      <c r="C5354" t="s">
        <v>6451</v>
      </c>
      <c r="D5354" t="s">
        <v>6452</v>
      </c>
      <c r="E5354">
        <v>6</v>
      </c>
      <c r="F5354" s="6">
        <v>750</v>
      </c>
      <c r="G5354" t="s">
        <v>3686</v>
      </c>
    </row>
    <row r="5355" spans="1:7">
      <c r="A5355" t="s">
        <v>11617</v>
      </c>
      <c r="B5355" t="s">
        <v>11618</v>
      </c>
      <c r="C5355" t="s">
        <v>4190</v>
      </c>
      <c r="D5355" t="s">
        <v>4191</v>
      </c>
      <c r="E5355">
        <v>6</v>
      </c>
      <c r="F5355" s="6">
        <v>750</v>
      </c>
      <c r="G5355" t="s">
        <v>4182</v>
      </c>
    </row>
    <row r="5356" spans="1:7">
      <c r="A5356" t="s">
        <v>11619</v>
      </c>
      <c r="B5356" t="s">
        <v>11620</v>
      </c>
      <c r="C5356" t="s">
        <v>4084</v>
      </c>
      <c r="D5356" t="s">
        <v>4085</v>
      </c>
      <c r="E5356">
        <v>6</v>
      </c>
      <c r="F5356" s="6">
        <v>750</v>
      </c>
      <c r="G5356" t="s">
        <v>3713</v>
      </c>
    </row>
    <row r="5357" spans="1:7">
      <c r="A5357" t="s">
        <v>11621</v>
      </c>
      <c r="B5357" t="s">
        <v>11622</v>
      </c>
      <c r="C5357" t="s">
        <v>4190</v>
      </c>
      <c r="D5357" t="s">
        <v>4191</v>
      </c>
      <c r="E5357">
        <v>6</v>
      </c>
      <c r="F5357" s="6">
        <v>750</v>
      </c>
      <c r="G5357" t="s">
        <v>11597</v>
      </c>
    </row>
    <row r="5358" spans="1:7">
      <c r="A5358" t="s">
        <v>11623</v>
      </c>
      <c r="B5358" t="s">
        <v>11624</v>
      </c>
      <c r="C5358" t="s">
        <v>4190</v>
      </c>
      <c r="D5358" t="s">
        <v>4191</v>
      </c>
      <c r="E5358">
        <v>12</v>
      </c>
      <c r="F5358" s="6">
        <v>750</v>
      </c>
      <c r="G5358" t="s">
        <v>9715</v>
      </c>
    </row>
    <row r="5359" spans="1:7">
      <c r="A5359" t="s">
        <v>11625</v>
      </c>
      <c r="B5359" t="s">
        <v>11626</v>
      </c>
      <c r="C5359" t="s">
        <v>4190</v>
      </c>
      <c r="D5359" t="s">
        <v>4191</v>
      </c>
      <c r="E5359">
        <v>6</v>
      </c>
      <c r="F5359" s="6">
        <v>750</v>
      </c>
      <c r="G5359" t="s">
        <v>6446</v>
      </c>
    </row>
    <row r="5360" spans="1:7">
      <c r="A5360" t="s">
        <v>700</v>
      </c>
      <c r="B5360" t="s">
        <v>11627</v>
      </c>
      <c r="C5360" t="s">
        <v>6424</v>
      </c>
      <c r="D5360" t="s">
        <v>6425</v>
      </c>
      <c r="E5360">
        <v>12</v>
      </c>
      <c r="F5360" s="6">
        <v>750</v>
      </c>
      <c r="G5360" t="s">
        <v>3702</v>
      </c>
    </row>
    <row r="5361" spans="1:7">
      <c r="A5361" t="s">
        <v>11628</v>
      </c>
      <c r="B5361" t="s">
        <v>11629</v>
      </c>
      <c r="C5361" t="s">
        <v>9319</v>
      </c>
      <c r="D5361" t="s">
        <v>9320</v>
      </c>
      <c r="E5361">
        <v>6</v>
      </c>
      <c r="F5361" s="6">
        <v>750</v>
      </c>
      <c r="G5361" t="s">
        <v>3702</v>
      </c>
    </row>
    <row r="5362" spans="1:7">
      <c r="A5362" t="s">
        <v>11630</v>
      </c>
      <c r="B5362" t="s">
        <v>6450</v>
      </c>
      <c r="C5362" t="s">
        <v>6451</v>
      </c>
      <c r="D5362" t="s">
        <v>6452</v>
      </c>
      <c r="E5362">
        <v>6</v>
      </c>
      <c r="F5362" s="6">
        <v>1750</v>
      </c>
      <c r="G5362" t="s">
        <v>5698</v>
      </c>
    </row>
    <row r="5363" spans="1:7">
      <c r="A5363" t="s">
        <v>11631</v>
      </c>
      <c r="B5363" t="s">
        <v>11632</v>
      </c>
      <c r="C5363" t="s">
        <v>4170</v>
      </c>
      <c r="D5363" t="s">
        <v>4171</v>
      </c>
      <c r="E5363">
        <v>6</v>
      </c>
      <c r="F5363" s="6">
        <v>750</v>
      </c>
      <c r="G5363" t="s">
        <v>3686</v>
      </c>
    </row>
    <row r="5364" spans="1:7">
      <c r="A5364" t="s">
        <v>11633</v>
      </c>
      <c r="B5364" t="s">
        <v>11634</v>
      </c>
      <c r="C5364" t="s">
        <v>6424</v>
      </c>
      <c r="D5364" t="s">
        <v>6425</v>
      </c>
      <c r="E5364">
        <v>6</v>
      </c>
      <c r="F5364" s="6">
        <v>750</v>
      </c>
      <c r="G5364" t="s">
        <v>3686</v>
      </c>
    </row>
    <row r="5365" spans="1:7">
      <c r="A5365" t="s">
        <v>11635</v>
      </c>
      <c r="B5365" t="s">
        <v>11636</v>
      </c>
      <c r="C5365" t="s">
        <v>6451</v>
      </c>
      <c r="D5365" t="s">
        <v>6452</v>
      </c>
      <c r="E5365">
        <v>12</v>
      </c>
      <c r="F5365" s="6">
        <v>750</v>
      </c>
      <c r="G5365" t="s">
        <v>3702</v>
      </c>
    </row>
    <row r="5366" spans="1:7">
      <c r="A5366" t="s">
        <v>11637</v>
      </c>
      <c r="B5366" t="s">
        <v>11638</v>
      </c>
      <c r="C5366" t="s">
        <v>9319</v>
      </c>
      <c r="D5366" t="s">
        <v>9320</v>
      </c>
      <c r="E5366">
        <v>6</v>
      </c>
      <c r="F5366" s="6">
        <v>750</v>
      </c>
      <c r="G5366" t="s">
        <v>3730</v>
      </c>
    </row>
    <row r="5367" spans="1:7">
      <c r="A5367" t="s">
        <v>11639</v>
      </c>
      <c r="B5367" t="s">
        <v>11640</v>
      </c>
      <c r="C5367" t="s">
        <v>6424</v>
      </c>
      <c r="D5367" t="s">
        <v>6425</v>
      </c>
      <c r="E5367">
        <v>12</v>
      </c>
      <c r="F5367" s="6">
        <v>750</v>
      </c>
      <c r="G5367" t="s">
        <v>3702</v>
      </c>
    </row>
    <row r="5368" spans="1:7">
      <c r="A5368" t="s">
        <v>11641</v>
      </c>
      <c r="B5368" t="s">
        <v>11642</v>
      </c>
      <c r="C5368" t="s">
        <v>4190</v>
      </c>
      <c r="D5368" t="s">
        <v>4191</v>
      </c>
      <c r="E5368">
        <v>6</v>
      </c>
      <c r="F5368" s="6">
        <v>750</v>
      </c>
      <c r="G5368" t="s">
        <v>3802</v>
      </c>
    </row>
    <row r="5369" spans="1:7">
      <c r="A5369" t="s">
        <v>11643</v>
      </c>
      <c r="B5369" t="s">
        <v>11644</v>
      </c>
      <c r="C5369" t="s">
        <v>4052</v>
      </c>
      <c r="D5369" t="s">
        <v>4053</v>
      </c>
      <c r="E5369">
        <v>6</v>
      </c>
      <c r="F5369" s="6">
        <v>750</v>
      </c>
      <c r="G5369" t="s">
        <v>3802</v>
      </c>
    </row>
    <row r="5370" spans="1:7">
      <c r="A5370" t="s">
        <v>11645</v>
      </c>
      <c r="B5370" t="s">
        <v>11646</v>
      </c>
      <c r="C5370" t="s">
        <v>6451</v>
      </c>
      <c r="D5370" t="s">
        <v>6452</v>
      </c>
      <c r="E5370">
        <v>6</v>
      </c>
      <c r="F5370" s="6">
        <v>750</v>
      </c>
      <c r="G5370" t="s">
        <v>3802</v>
      </c>
    </row>
    <row r="5371" spans="1:7">
      <c r="A5371" t="s">
        <v>11647</v>
      </c>
      <c r="B5371" t="s">
        <v>11648</v>
      </c>
      <c r="C5371" t="s">
        <v>9319</v>
      </c>
      <c r="D5371" t="s">
        <v>9320</v>
      </c>
      <c r="E5371">
        <v>6</v>
      </c>
      <c r="F5371" s="6">
        <v>750</v>
      </c>
      <c r="G5371" t="s">
        <v>7497</v>
      </c>
    </row>
    <row r="5372" spans="1:7">
      <c r="A5372" t="s">
        <v>1306</v>
      </c>
      <c r="B5372" t="s">
        <v>11649</v>
      </c>
      <c r="C5372" t="s">
        <v>6451</v>
      </c>
      <c r="D5372" t="s">
        <v>6452</v>
      </c>
      <c r="E5372">
        <v>6</v>
      </c>
      <c r="F5372" s="6">
        <v>750</v>
      </c>
      <c r="G5372" t="s">
        <v>7497</v>
      </c>
    </row>
    <row r="5373" spans="1:7">
      <c r="A5373" t="s">
        <v>11650</v>
      </c>
      <c r="B5373" t="s">
        <v>11651</v>
      </c>
      <c r="C5373" t="s">
        <v>9319</v>
      </c>
      <c r="D5373" t="s">
        <v>9320</v>
      </c>
      <c r="E5373">
        <v>6</v>
      </c>
      <c r="F5373" s="6">
        <v>750</v>
      </c>
      <c r="G5373" t="s">
        <v>3730</v>
      </c>
    </row>
    <row r="5374" spans="1:7">
      <c r="A5374" t="s">
        <v>11652</v>
      </c>
      <c r="B5374" t="s">
        <v>11653</v>
      </c>
      <c r="C5374" t="s">
        <v>3684</v>
      </c>
      <c r="D5374" t="s">
        <v>3685</v>
      </c>
      <c r="E5374">
        <v>6</v>
      </c>
      <c r="F5374" s="6">
        <v>1750</v>
      </c>
      <c r="G5374" t="s">
        <v>3686</v>
      </c>
    </row>
    <row r="5375" spans="1:7">
      <c r="A5375" t="s">
        <v>11654</v>
      </c>
      <c r="B5375" t="s">
        <v>11655</v>
      </c>
      <c r="C5375" t="s">
        <v>4632</v>
      </c>
      <c r="D5375" t="s">
        <v>4633</v>
      </c>
      <c r="E5375">
        <v>6</v>
      </c>
      <c r="F5375" s="6">
        <v>1750</v>
      </c>
      <c r="G5375" t="s">
        <v>3730</v>
      </c>
    </row>
    <row r="5376" spans="1:7">
      <c r="A5376" t="s">
        <v>11656</v>
      </c>
      <c r="B5376" t="s">
        <v>11657</v>
      </c>
      <c r="C5376" t="s">
        <v>4632</v>
      </c>
      <c r="D5376" t="s">
        <v>4633</v>
      </c>
      <c r="E5376">
        <v>6</v>
      </c>
      <c r="F5376" s="6">
        <v>750</v>
      </c>
      <c r="G5376" t="s">
        <v>3802</v>
      </c>
    </row>
    <row r="5377" spans="1:7">
      <c r="A5377" t="s">
        <v>11658</v>
      </c>
      <c r="B5377" t="s">
        <v>11659</v>
      </c>
      <c r="C5377" t="s">
        <v>4190</v>
      </c>
      <c r="D5377" t="s">
        <v>4191</v>
      </c>
      <c r="E5377">
        <v>6</v>
      </c>
      <c r="F5377" s="6">
        <v>750</v>
      </c>
      <c r="G5377" t="s">
        <v>3730</v>
      </c>
    </row>
    <row r="5378" spans="1:7">
      <c r="A5378" t="s">
        <v>11660</v>
      </c>
      <c r="B5378" t="s">
        <v>11661</v>
      </c>
      <c r="C5378" t="s">
        <v>6451</v>
      </c>
      <c r="D5378" t="s">
        <v>6452</v>
      </c>
      <c r="E5378">
        <v>12</v>
      </c>
      <c r="F5378" s="6">
        <v>750</v>
      </c>
      <c r="G5378" t="s">
        <v>6513</v>
      </c>
    </row>
    <row r="5379" spans="1:7">
      <c r="A5379" t="s">
        <v>11662</v>
      </c>
      <c r="B5379" t="s">
        <v>11663</v>
      </c>
      <c r="C5379" t="s">
        <v>4052</v>
      </c>
      <c r="D5379" t="s">
        <v>4053</v>
      </c>
      <c r="E5379">
        <v>6</v>
      </c>
      <c r="F5379" s="6">
        <v>750</v>
      </c>
      <c r="G5379" t="s">
        <v>6513</v>
      </c>
    </row>
    <row r="5380" spans="1:7">
      <c r="A5380" t="s">
        <v>11664</v>
      </c>
      <c r="B5380" t="s">
        <v>11665</v>
      </c>
      <c r="C5380" t="s">
        <v>9319</v>
      </c>
      <c r="D5380" t="s">
        <v>9320</v>
      </c>
      <c r="E5380">
        <v>12</v>
      </c>
      <c r="F5380" s="6">
        <v>750</v>
      </c>
      <c r="G5380" t="s">
        <v>6513</v>
      </c>
    </row>
    <row r="5381" spans="1:7">
      <c r="A5381" t="s">
        <v>11666</v>
      </c>
      <c r="B5381" t="s">
        <v>11667</v>
      </c>
      <c r="C5381" t="s">
        <v>9319</v>
      </c>
      <c r="D5381" t="s">
        <v>9320</v>
      </c>
      <c r="E5381">
        <v>12</v>
      </c>
      <c r="F5381" s="6">
        <v>750</v>
      </c>
      <c r="G5381" t="s">
        <v>6513</v>
      </c>
    </row>
    <row r="5382" spans="1:7">
      <c r="A5382" t="s">
        <v>1609</v>
      </c>
      <c r="B5382" t="s">
        <v>11668</v>
      </c>
      <c r="C5382" t="s">
        <v>6451</v>
      </c>
      <c r="D5382" t="s">
        <v>6452</v>
      </c>
      <c r="E5382">
        <v>6</v>
      </c>
      <c r="F5382" s="6">
        <v>1000</v>
      </c>
      <c r="G5382" t="s">
        <v>7497</v>
      </c>
    </row>
    <row r="5383" spans="1:7">
      <c r="A5383" t="s">
        <v>11669</v>
      </c>
      <c r="B5383" t="s">
        <v>11670</v>
      </c>
      <c r="C5383" t="s">
        <v>6424</v>
      </c>
      <c r="D5383" t="s">
        <v>6425</v>
      </c>
      <c r="E5383">
        <v>12</v>
      </c>
      <c r="F5383" s="6">
        <v>750</v>
      </c>
      <c r="G5383" t="s">
        <v>6513</v>
      </c>
    </row>
    <row r="5384" spans="1:7">
      <c r="A5384" t="s">
        <v>11671</v>
      </c>
      <c r="B5384" t="s">
        <v>11672</v>
      </c>
      <c r="C5384" t="s">
        <v>4190</v>
      </c>
      <c r="D5384" t="s">
        <v>4191</v>
      </c>
      <c r="E5384">
        <v>6</v>
      </c>
      <c r="F5384" s="6">
        <v>750</v>
      </c>
      <c r="G5384" t="s">
        <v>3802</v>
      </c>
    </row>
    <row r="5385" spans="1:7">
      <c r="A5385" t="s">
        <v>11673</v>
      </c>
      <c r="B5385" t="s">
        <v>11674</v>
      </c>
      <c r="C5385" t="s">
        <v>4052</v>
      </c>
      <c r="D5385" t="s">
        <v>4053</v>
      </c>
      <c r="E5385">
        <v>12</v>
      </c>
      <c r="F5385" s="6">
        <v>750</v>
      </c>
      <c r="G5385" t="s">
        <v>6513</v>
      </c>
    </row>
    <row r="5386" spans="1:7">
      <c r="A5386" t="s">
        <v>11675</v>
      </c>
      <c r="B5386" t="s">
        <v>11676</v>
      </c>
      <c r="C5386" t="s">
        <v>6451</v>
      </c>
      <c r="D5386" t="s">
        <v>6452</v>
      </c>
      <c r="E5386">
        <v>12</v>
      </c>
      <c r="F5386" s="6">
        <v>750</v>
      </c>
      <c r="G5386" t="s">
        <v>3705</v>
      </c>
    </row>
    <row r="5387" spans="1:7">
      <c r="A5387" t="s">
        <v>11677</v>
      </c>
      <c r="B5387" t="s">
        <v>11678</v>
      </c>
      <c r="C5387" t="s">
        <v>6424</v>
      </c>
      <c r="D5387" t="s">
        <v>6425</v>
      </c>
      <c r="E5387">
        <v>6</v>
      </c>
      <c r="F5387" s="6">
        <v>750</v>
      </c>
      <c r="G5387" t="s">
        <v>3705</v>
      </c>
    </row>
    <row r="5388" spans="1:7">
      <c r="A5388" t="s">
        <v>11679</v>
      </c>
      <c r="B5388" t="s">
        <v>11680</v>
      </c>
      <c r="C5388" t="s">
        <v>4190</v>
      </c>
      <c r="D5388" t="s">
        <v>4191</v>
      </c>
      <c r="E5388">
        <v>4</v>
      </c>
      <c r="F5388" s="6">
        <v>750</v>
      </c>
      <c r="G5388" t="s">
        <v>3694</v>
      </c>
    </row>
    <row r="5389" spans="1:7">
      <c r="A5389" t="s">
        <v>11681</v>
      </c>
      <c r="B5389" t="s">
        <v>6525</v>
      </c>
      <c r="C5389" t="s">
        <v>6424</v>
      </c>
      <c r="D5389" t="s">
        <v>6425</v>
      </c>
      <c r="E5389">
        <v>6</v>
      </c>
      <c r="F5389" s="6">
        <v>750</v>
      </c>
      <c r="G5389" t="s">
        <v>3694</v>
      </c>
    </row>
    <row r="5390" spans="1:7">
      <c r="A5390" t="s">
        <v>11682</v>
      </c>
      <c r="B5390" t="s">
        <v>11683</v>
      </c>
      <c r="C5390" t="s">
        <v>6451</v>
      </c>
      <c r="D5390" t="s">
        <v>6452</v>
      </c>
      <c r="E5390">
        <v>6</v>
      </c>
      <c r="F5390" s="6">
        <v>750</v>
      </c>
      <c r="G5390" t="s">
        <v>3686</v>
      </c>
    </row>
    <row r="5391" spans="1:7">
      <c r="A5391" t="s">
        <v>11684</v>
      </c>
      <c r="B5391" t="s">
        <v>11685</v>
      </c>
      <c r="C5391" t="s">
        <v>6451</v>
      </c>
      <c r="D5391" t="s">
        <v>6452</v>
      </c>
      <c r="E5391">
        <v>6</v>
      </c>
      <c r="F5391" s="6">
        <v>750</v>
      </c>
      <c r="G5391" t="s">
        <v>3686</v>
      </c>
    </row>
    <row r="5392" spans="1:7">
      <c r="A5392" t="s">
        <v>11686</v>
      </c>
      <c r="B5392" t="s">
        <v>6529</v>
      </c>
      <c r="C5392" t="s">
        <v>6424</v>
      </c>
      <c r="D5392" t="s">
        <v>6425</v>
      </c>
      <c r="E5392">
        <v>6</v>
      </c>
      <c r="F5392" s="6">
        <v>750</v>
      </c>
      <c r="G5392" t="s">
        <v>3802</v>
      </c>
    </row>
    <row r="5393" spans="1:7">
      <c r="A5393" t="s">
        <v>11687</v>
      </c>
      <c r="B5393" t="s">
        <v>11688</v>
      </c>
      <c r="C5393" t="s">
        <v>4632</v>
      </c>
      <c r="D5393" t="s">
        <v>4633</v>
      </c>
      <c r="E5393">
        <v>12</v>
      </c>
      <c r="F5393" s="6">
        <v>750</v>
      </c>
      <c r="G5393" t="s">
        <v>9810</v>
      </c>
    </row>
    <row r="5394" spans="1:7">
      <c r="A5394" t="s">
        <v>11689</v>
      </c>
      <c r="B5394" t="s">
        <v>11690</v>
      </c>
      <c r="C5394" t="s">
        <v>4632</v>
      </c>
      <c r="D5394" t="s">
        <v>4633</v>
      </c>
      <c r="E5394">
        <v>12</v>
      </c>
      <c r="F5394" s="6">
        <v>750</v>
      </c>
      <c r="G5394" t="s">
        <v>9810</v>
      </c>
    </row>
    <row r="5395" spans="1:7">
      <c r="A5395" t="s">
        <v>11691</v>
      </c>
      <c r="B5395" t="s">
        <v>11692</v>
      </c>
      <c r="C5395" t="s">
        <v>6451</v>
      </c>
      <c r="D5395" t="s">
        <v>6452</v>
      </c>
      <c r="E5395">
        <v>6</v>
      </c>
      <c r="F5395" s="6">
        <v>750</v>
      </c>
      <c r="G5395" t="s">
        <v>11693</v>
      </c>
    </row>
    <row r="5396" spans="1:7">
      <c r="A5396" t="s">
        <v>11694</v>
      </c>
      <c r="B5396" t="s">
        <v>11695</v>
      </c>
      <c r="C5396" t="s">
        <v>6451</v>
      </c>
      <c r="D5396" t="s">
        <v>6452</v>
      </c>
      <c r="E5396">
        <v>6</v>
      </c>
      <c r="F5396" s="6">
        <v>750</v>
      </c>
      <c r="G5396" t="s">
        <v>11693</v>
      </c>
    </row>
    <row r="5397" spans="1:7">
      <c r="A5397" t="s">
        <v>11696</v>
      </c>
      <c r="B5397" t="s">
        <v>6534</v>
      </c>
      <c r="C5397" t="s">
        <v>6424</v>
      </c>
      <c r="D5397" t="s">
        <v>6425</v>
      </c>
      <c r="E5397">
        <v>6</v>
      </c>
      <c r="F5397" s="6">
        <v>750</v>
      </c>
      <c r="G5397" t="s">
        <v>4392</v>
      </c>
    </row>
    <row r="5398" spans="1:7">
      <c r="A5398" t="s">
        <v>11697</v>
      </c>
      <c r="B5398" t="s">
        <v>11698</v>
      </c>
      <c r="C5398" t="s">
        <v>6451</v>
      </c>
      <c r="D5398" t="s">
        <v>6452</v>
      </c>
      <c r="E5398">
        <v>6</v>
      </c>
      <c r="F5398" s="6">
        <v>750</v>
      </c>
      <c r="G5398" t="s">
        <v>4117</v>
      </c>
    </row>
    <row r="5399" spans="1:7">
      <c r="A5399" t="s">
        <v>11699</v>
      </c>
      <c r="B5399" t="s">
        <v>11700</v>
      </c>
      <c r="C5399" t="s">
        <v>6451</v>
      </c>
      <c r="D5399" t="s">
        <v>6452</v>
      </c>
      <c r="E5399">
        <v>6</v>
      </c>
      <c r="F5399" s="6">
        <v>750</v>
      </c>
      <c r="G5399" t="s">
        <v>4117</v>
      </c>
    </row>
    <row r="5400" spans="1:7">
      <c r="A5400" t="s">
        <v>11701</v>
      </c>
      <c r="B5400" t="s">
        <v>11702</v>
      </c>
      <c r="C5400" t="s">
        <v>6451</v>
      </c>
      <c r="D5400" t="s">
        <v>6452</v>
      </c>
      <c r="E5400">
        <v>6</v>
      </c>
      <c r="F5400" s="6">
        <v>750</v>
      </c>
      <c r="G5400" t="s">
        <v>3802</v>
      </c>
    </row>
    <row r="5401" spans="1:7">
      <c r="A5401" t="s">
        <v>11703</v>
      </c>
      <c r="B5401" t="s">
        <v>6542</v>
      </c>
      <c r="C5401" t="s">
        <v>6451</v>
      </c>
      <c r="D5401" t="s">
        <v>6452</v>
      </c>
      <c r="E5401">
        <v>6</v>
      </c>
      <c r="F5401" s="6">
        <v>750</v>
      </c>
      <c r="G5401" t="s">
        <v>5698</v>
      </c>
    </row>
    <row r="5402" spans="1:7">
      <c r="A5402" t="s">
        <v>11704</v>
      </c>
      <c r="B5402" t="s">
        <v>11705</v>
      </c>
      <c r="C5402" t="s">
        <v>4190</v>
      </c>
      <c r="D5402" t="s">
        <v>4191</v>
      </c>
      <c r="E5402">
        <v>6</v>
      </c>
      <c r="F5402" s="6">
        <v>750</v>
      </c>
      <c r="G5402" t="s">
        <v>6513</v>
      </c>
    </row>
    <row r="5403" spans="1:7">
      <c r="A5403" t="s">
        <v>11706</v>
      </c>
      <c r="B5403" t="s">
        <v>11707</v>
      </c>
      <c r="C5403" t="s">
        <v>4632</v>
      </c>
      <c r="D5403" t="s">
        <v>4633</v>
      </c>
      <c r="E5403">
        <v>2</v>
      </c>
      <c r="F5403" s="6">
        <v>750</v>
      </c>
      <c r="G5403" t="s">
        <v>3702</v>
      </c>
    </row>
    <row r="5404" spans="1:7">
      <c r="A5404" t="s">
        <v>11708</v>
      </c>
      <c r="B5404" t="s">
        <v>11709</v>
      </c>
      <c r="C5404" t="s">
        <v>4190</v>
      </c>
      <c r="D5404" t="s">
        <v>4191</v>
      </c>
      <c r="E5404">
        <v>6</v>
      </c>
      <c r="F5404" s="6">
        <v>750</v>
      </c>
      <c r="G5404" t="s">
        <v>3888</v>
      </c>
    </row>
    <row r="5405" spans="1:7">
      <c r="A5405" t="s">
        <v>3232</v>
      </c>
      <c r="B5405" t="s">
        <v>11710</v>
      </c>
      <c r="C5405" t="s">
        <v>4190</v>
      </c>
      <c r="D5405" t="s">
        <v>4191</v>
      </c>
      <c r="E5405">
        <v>6</v>
      </c>
      <c r="F5405" s="6">
        <v>750</v>
      </c>
      <c r="G5405" t="s">
        <v>3888</v>
      </c>
    </row>
    <row r="5406" spans="1:7">
      <c r="A5406" t="s">
        <v>11711</v>
      </c>
      <c r="B5406" t="s">
        <v>11712</v>
      </c>
      <c r="C5406" t="s">
        <v>4190</v>
      </c>
      <c r="D5406" t="s">
        <v>4191</v>
      </c>
      <c r="E5406">
        <v>6</v>
      </c>
      <c r="F5406" s="6">
        <v>750</v>
      </c>
      <c r="G5406" t="s">
        <v>9810</v>
      </c>
    </row>
    <row r="5407" spans="1:7">
      <c r="A5407" t="s">
        <v>11713</v>
      </c>
      <c r="B5407" t="s">
        <v>11714</v>
      </c>
      <c r="C5407" t="s">
        <v>4190</v>
      </c>
      <c r="D5407" t="s">
        <v>4191</v>
      </c>
      <c r="E5407">
        <v>6</v>
      </c>
      <c r="F5407" s="6">
        <v>750</v>
      </c>
      <c r="G5407" t="s">
        <v>6513</v>
      </c>
    </row>
    <row r="5408" spans="1:7">
      <c r="A5408" t="s">
        <v>11715</v>
      </c>
      <c r="B5408" t="s">
        <v>11716</v>
      </c>
      <c r="C5408" t="s">
        <v>4190</v>
      </c>
      <c r="D5408" t="s">
        <v>4191</v>
      </c>
      <c r="E5408">
        <v>6</v>
      </c>
      <c r="F5408" s="6">
        <v>750</v>
      </c>
      <c r="G5408" t="s">
        <v>6513</v>
      </c>
    </row>
    <row r="5409" spans="1:7">
      <c r="A5409" t="s">
        <v>11717</v>
      </c>
      <c r="B5409" t="s">
        <v>11718</v>
      </c>
      <c r="C5409" t="s">
        <v>4190</v>
      </c>
      <c r="D5409" t="s">
        <v>4191</v>
      </c>
      <c r="E5409">
        <v>6</v>
      </c>
      <c r="F5409" s="6">
        <v>750</v>
      </c>
      <c r="G5409" t="s">
        <v>7497</v>
      </c>
    </row>
    <row r="5410" spans="1:7">
      <c r="A5410" t="s">
        <v>11719</v>
      </c>
      <c r="B5410" t="s">
        <v>11720</v>
      </c>
      <c r="C5410" t="s">
        <v>4190</v>
      </c>
      <c r="D5410" t="s">
        <v>4191</v>
      </c>
      <c r="E5410">
        <v>6</v>
      </c>
      <c r="F5410" s="6">
        <v>750</v>
      </c>
      <c r="G5410" t="s">
        <v>5788</v>
      </c>
    </row>
    <row r="5411" spans="1:7">
      <c r="A5411" t="s">
        <v>11721</v>
      </c>
      <c r="B5411" t="s">
        <v>11722</v>
      </c>
      <c r="C5411" t="s">
        <v>4190</v>
      </c>
      <c r="D5411" t="s">
        <v>4191</v>
      </c>
      <c r="E5411">
        <v>6</v>
      </c>
      <c r="F5411" s="6">
        <v>750</v>
      </c>
      <c r="G5411" t="s">
        <v>5788</v>
      </c>
    </row>
    <row r="5412" spans="1:7">
      <c r="A5412" t="s">
        <v>11723</v>
      </c>
      <c r="B5412" t="s">
        <v>11724</v>
      </c>
      <c r="C5412" t="s">
        <v>4190</v>
      </c>
      <c r="D5412" t="s">
        <v>4191</v>
      </c>
      <c r="E5412">
        <v>6</v>
      </c>
      <c r="F5412" s="6">
        <v>750</v>
      </c>
      <c r="G5412" t="s">
        <v>5788</v>
      </c>
    </row>
    <row r="5413" spans="1:7">
      <c r="A5413" t="s">
        <v>11725</v>
      </c>
      <c r="B5413" t="s">
        <v>11726</v>
      </c>
      <c r="C5413" t="s">
        <v>4052</v>
      </c>
      <c r="D5413" t="s">
        <v>4053</v>
      </c>
      <c r="E5413">
        <v>6</v>
      </c>
      <c r="F5413" s="6">
        <v>750</v>
      </c>
      <c r="G5413" t="s">
        <v>3702</v>
      </c>
    </row>
    <row r="5414" spans="1:7">
      <c r="A5414" t="s">
        <v>11727</v>
      </c>
      <c r="B5414" t="s">
        <v>11728</v>
      </c>
      <c r="C5414" t="s">
        <v>4190</v>
      </c>
      <c r="D5414" t="s">
        <v>4191</v>
      </c>
      <c r="E5414">
        <v>6</v>
      </c>
      <c r="F5414" s="6">
        <v>750</v>
      </c>
      <c r="G5414" t="s">
        <v>3802</v>
      </c>
    </row>
    <row r="5415" spans="1:7">
      <c r="A5415" t="s">
        <v>11729</v>
      </c>
      <c r="B5415" t="s">
        <v>11730</v>
      </c>
      <c r="C5415" t="s">
        <v>4190</v>
      </c>
      <c r="D5415" t="s">
        <v>4191</v>
      </c>
      <c r="E5415">
        <v>6</v>
      </c>
      <c r="F5415" s="6">
        <v>750</v>
      </c>
      <c r="G5415" t="s">
        <v>3802</v>
      </c>
    </row>
    <row r="5416" spans="1:7">
      <c r="A5416" t="s">
        <v>11731</v>
      </c>
      <c r="B5416" t="s">
        <v>11732</v>
      </c>
      <c r="C5416" t="s">
        <v>4190</v>
      </c>
      <c r="D5416" t="s">
        <v>4191</v>
      </c>
      <c r="E5416">
        <v>12</v>
      </c>
      <c r="F5416" s="6">
        <v>750</v>
      </c>
      <c r="G5416" t="s">
        <v>3931</v>
      </c>
    </row>
    <row r="5417" spans="1:7">
      <c r="A5417" t="s">
        <v>11733</v>
      </c>
      <c r="B5417" t="s">
        <v>11734</v>
      </c>
      <c r="C5417" t="s">
        <v>6451</v>
      </c>
      <c r="D5417" t="s">
        <v>6452</v>
      </c>
      <c r="E5417">
        <v>6</v>
      </c>
      <c r="F5417" s="6">
        <v>750</v>
      </c>
      <c r="G5417" t="s">
        <v>3802</v>
      </c>
    </row>
    <row r="5418" spans="1:7">
      <c r="A5418" t="s">
        <v>11735</v>
      </c>
      <c r="B5418" t="s">
        <v>11736</v>
      </c>
      <c r="C5418" t="s">
        <v>6424</v>
      </c>
      <c r="D5418" t="s">
        <v>6425</v>
      </c>
      <c r="E5418">
        <v>12</v>
      </c>
      <c r="F5418" s="6">
        <v>750</v>
      </c>
      <c r="G5418" t="s">
        <v>11737</v>
      </c>
    </row>
    <row r="5419" spans="1:7">
      <c r="A5419" t="s">
        <v>11738</v>
      </c>
      <c r="B5419" t="s">
        <v>11739</v>
      </c>
      <c r="C5419" t="s">
        <v>6424</v>
      </c>
      <c r="D5419" t="s">
        <v>6425</v>
      </c>
      <c r="E5419">
        <v>12</v>
      </c>
      <c r="F5419" s="6">
        <v>750</v>
      </c>
      <c r="G5419" t="s">
        <v>11737</v>
      </c>
    </row>
    <row r="5420" spans="1:7">
      <c r="A5420" t="s">
        <v>11740</v>
      </c>
      <c r="B5420" t="s">
        <v>11741</v>
      </c>
      <c r="C5420" t="s">
        <v>6451</v>
      </c>
      <c r="D5420" t="s">
        <v>6452</v>
      </c>
      <c r="E5420">
        <v>12</v>
      </c>
      <c r="F5420" s="6">
        <v>750</v>
      </c>
      <c r="G5420" t="s">
        <v>3931</v>
      </c>
    </row>
    <row r="5421" spans="1:7">
      <c r="A5421" t="s">
        <v>11742</v>
      </c>
      <c r="B5421" t="s">
        <v>11743</v>
      </c>
      <c r="C5421" t="s">
        <v>4052</v>
      </c>
      <c r="D5421" t="s">
        <v>4053</v>
      </c>
      <c r="E5421">
        <v>12</v>
      </c>
      <c r="F5421" s="6">
        <v>750</v>
      </c>
      <c r="G5421" t="s">
        <v>3931</v>
      </c>
    </row>
    <row r="5422" spans="1:7">
      <c r="A5422" t="s">
        <v>11744</v>
      </c>
      <c r="B5422" t="s">
        <v>11745</v>
      </c>
      <c r="C5422" t="s">
        <v>4052</v>
      </c>
      <c r="D5422" t="s">
        <v>4053</v>
      </c>
      <c r="E5422">
        <v>12</v>
      </c>
      <c r="F5422" s="6">
        <v>750</v>
      </c>
      <c r="G5422" t="s">
        <v>3931</v>
      </c>
    </row>
    <row r="5423" spans="1:7">
      <c r="A5423" t="s">
        <v>11746</v>
      </c>
      <c r="B5423" t="s">
        <v>11747</v>
      </c>
      <c r="C5423" t="s">
        <v>4190</v>
      </c>
      <c r="D5423" t="s">
        <v>4191</v>
      </c>
      <c r="E5423">
        <v>6</v>
      </c>
      <c r="F5423" s="6">
        <v>750</v>
      </c>
      <c r="G5423" t="s">
        <v>9715</v>
      </c>
    </row>
    <row r="5424" spans="1:7">
      <c r="A5424" t="s">
        <v>11748</v>
      </c>
      <c r="B5424" t="s">
        <v>11749</v>
      </c>
      <c r="C5424" t="s">
        <v>6424</v>
      </c>
      <c r="D5424" t="s">
        <v>6425</v>
      </c>
      <c r="E5424">
        <v>12</v>
      </c>
      <c r="F5424" s="6">
        <v>750</v>
      </c>
      <c r="G5424" t="s">
        <v>11597</v>
      </c>
    </row>
    <row r="5425" spans="1:7">
      <c r="A5425" t="s">
        <v>11750</v>
      </c>
      <c r="B5425" t="s">
        <v>11751</v>
      </c>
      <c r="C5425" t="s">
        <v>6424</v>
      </c>
      <c r="D5425" t="s">
        <v>6425</v>
      </c>
      <c r="E5425">
        <v>6</v>
      </c>
      <c r="F5425" s="6">
        <v>750</v>
      </c>
      <c r="G5425" t="s">
        <v>3802</v>
      </c>
    </row>
    <row r="5426" spans="1:7">
      <c r="A5426" t="s">
        <v>11752</v>
      </c>
      <c r="B5426" t="s">
        <v>11753</v>
      </c>
      <c r="C5426" t="s">
        <v>6442</v>
      </c>
      <c r="D5426" t="s">
        <v>6443</v>
      </c>
      <c r="E5426">
        <v>12</v>
      </c>
      <c r="F5426" s="6">
        <v>750</v>
      </c>
      <c r="G5426" t="s">
        <v>3686</v>
      </c>
    </row>
    <row r="5427" spans="1:7">
      <c r="A5427" t="s">
        <v>11754</v>
      </c>
      <c r="B5427" t="s">
        <v>11755</v>
      </c>
      <c r="C5427" t="s">
        <v>6451</v>
      </c>
      <c r="D5427" t="s">
        <v>6452</v>
      </c>
      <c r="E5427">
        <v>6</v>
      </c>
      <c r="F5427" s="6">
        <v>750</v>
      </c>
      <c r="G5427" t="s">
        <v>3686</v>
      </c>
    </row>
    <row r="5428" spans="1:7">
      <c r="A5428" t="s">
        <v>11756</v>
      </c>
      <c r="B5428" t="s">
        <v>11757</v>
      </c>
      <c r="C5428" t="s">
        <v>6451</v>
      </c>
      <c r="D5428" t="s">
        <v>6452</v>
      </c>
      <c r="E5428">
        <v>6</v>
      </c>
      <c r="F5428" s="6">
        <v>750</v>
      </c>
      <c r="G5428" t="s">
        <v>3686</v>
      </c>
    </row>
    <row r="5429" spans="1:7">
      <c r="A5429" t="s">
        <v>11758</v>
      </c>
      <c r="B5429" t="s">
        <v>11759</v>
      </c>
      <c r="C5429" t="s">
        <v>6451</v>
      </c>
      <c r="D5429" t="s">
        <v>6452</v>
      </c>
      <c r="E5429">
        <v>6</v>
      </c>
      <c r="F5429" s="6">
        <v>750</v>
      </c>
      <c r="G5429" t="s">
        <v>3686</v>
      </c>
    </row>
    <row r="5430" spans="1:7">
      <c r="A5430" t="s">
        <v>11760</v>
      </c>
      <c r="B5430" t="s">
        <v>11761</v>
      </c>
      <c r="C5430" t="s">
        <v>4052</v>
      </c>
      <c r="D5430" t="s">
        <v>4053</v>
      </c>
      <c r="E5430">
        <v>6</v>
      </c>
      <c r="F5430" s="6">
        <v>750</v>
      </c>
      <c r="G5430" t="s">
        <v>3802</v>
      </c>
    </row>
    <row r="5431" spans="1:7">
      <c r="A5431" t="s">
        <v>11762</v>
      </c>
      <c r="B5431" t="s">
        <v>11763</v>
      </c>
      <c r="C5431" t="s">
        <v>4190</v>
      </c>
      <c r="D5431" t="s">
        <v>4191</v>
      </c>
      <c r="E5431">
        <v>12</v>
      </c>
      <c r="F5431" s="6">
        <v>750</v>
      </c>
      <c r="G5431" t="s">
        <v>11597</v>
      </c>
    </row>
    <row r="5432" spans="1:7">
      <c r="A5432" t="s">
        <v>11764</v>
      </c>
      <c r="B5432" t="s">
        <v>11765</v>
      </c>
      <c r="C5432" t="s">
        <v>4190</v>
      </c>
      <c r="D5432" t="s">
        <v>4191</v>
      </c>
      <c r="E5432">
        <v>6</v>
      </c>
      <c r="F5432" s="6">
        <v>700</v>
      </c>
      <c r="G5432" t="s">
        <v>11766</v>
      </c>
    </row>
    <row r="5433" spans="1:7">
      <c r="A5433" t="s">
        <v>11767</v>
      </c>
      <c r="B5433" t="s">
        <v>11567</v>
      </c>
      <c r="C5433" t="s">
        <v>6424</v>
      </c>
      <c r="D5433" t="s">
        <v>6425</v>
      </c>
      <c r="E5433">
        <v>6</v>
      </c>
      <c r="F5433" s="6">
        <v>700</v>
      </c>
      <c r="G5433" t="s">
        <v>3802</v>
      </c>
    </row>
    <row r="5434" spans="1:7">
      <c r="A5434" t="s">
        <v>11768</v>
      </c>
      <c r="B5434" t="s">
        <v>11769</v>
      </c>
      <c r="C5434" t="s">
        <v>6451</v>
      </c>
      <c r="D5434" t="s">
        <v>6452</v>
      </c>
      <c r="E5434">
        <v>6</v>
      </c>
      <c r="F5434" s="6">
        <v>750</v>
      </c>
      <c r="G5434" t="s">
        <v>4117</v>
      </c>
    </row>
    <row r="5435" spans="1:7">
      <c r="A5435" t="s">
        <v>11770</v>
      </c>
      <c r="B5435" t="s">
        <v>11771</v>
      </c>
      <c r="C5435" t="s">
        <v>6451</v>
      </c>
      <c r="D5435" t="s">
        <v>6452</v>
      </c>
      <c r="E5435">
        <v>6</v>
      </c>
      <c r="F5435" s="6">
        <v>750</v>
      </c>
      <c r="G5435" t="s">
        <v>4117</v>
      </c>
    </row>
    <row r="5436" spans="1:7">
      <c r="A5436" t="s">
        <v>11772</v>
      </c>
      <c r="B5436" t="s">
        <v>11773</v>
      </c>
      <c r="C5436" t="s">
        <v>4052</v>
      </c>
      <c r="D5436" t="s">
        <v>4053</v>
      </c>
      <c r="E5436">
        <v>12</v>
      </c>
      <c r="F5436" s="6">
        <v>750</v>
      </c>
      <c r="G5436" t="s">
        <v>3716</v>
      </c>
    </row>
    <row r="5437" spans="1:7">
      <c r="A5437" t="s">
        <v>11774</v>
      </c>
      <c r="B5437" t="s">
        <v>11657</v>
      </c>
      <c r="C5437" t="s">
        <v>4632</v>
      </c>
      <c r="D5437" t="s">
        <v>4633</v>
      </c>
      <c r="E5437">
        <v>6</v>
      </c>
      <c r="F5437" s="6">
        <v>700</v>
      </c>
      <c r="G5437" t="s">
        <v>3802</v>
      </c>
    </row>
    <row r="5438" spans="1:7">
      <c r="A5438" t="s">
        <v>11775</v>
      </c>
      <c r="B5438" t="s">
        <v>11776</v>
      </c>
      <c r="C5438" t="s">
        <v>4052</v>
      </c>
      <c r="D5438" t="s">
        <v>4053</v>
      </c>
      <c r="E5438">
        <v>6</v>
      </c>
      <c r="F5438" s="6">
        <v>1750</v>
      </c>
      <c r="G5438" t="s">
        <v>3716</v>
      </c>
    </row>
    <row r="5439" spans="1:7">
      <c r="A5439" t="s">
        <v>11777</v>
      </c>
      <c r="B5439" t="s">
        <v>11778</v>
      </c>
      <c r="C5439" t="s">
        <v>4052</v>
      </c>
      <c r="D5439" t="s">
        <v>4053</v>
      </c>
      <c r="E5439">
        <v>12</v>
      </c>
      <c r="F5439" s="6">
        <v>750</v>
      </c>
      <c r="G5439" t="s">
        <v>3716</v>
      </c>
    </row>
    <row r="5440" spans="1:7">
      <c r="A5440" t="s">
        <v>11779</v>
      </c>
      <c r="B5440" t="s">
        <v>11780</v>
      </c>
      <c r="C5440" t="s">
        <v>4190</v>
      </c>
      <c r="D5440" t="s">
        <v>4191</v>
      </c>
      <c r="E5440">
        <v>6</v>
      </c>
      <c r="F5440" s="6">
        <v>750</v>
      </c>
      <c r="G5440" t="s">
        <v>3802</v>
      </c>
    </row>
    <row r="5441" spans="1:7">
      <c r="A5441" t="s">
        <v>11781</v>
      </c>
      <c r="B5441" t="s">
        <v>11782</v>
      </c>
      <c r="C5441" t="s">
        <v>6451</v>
      </c>
      <c r="D5441" t="s">
        <v>6452</v>
      </c>
      <c r="E5441">
        <v>6</v>
      </c>
      <c r="F5441" s="6">
        <v>750</v>
      </c>
      <c r="G5441" t="s">
        <v>3802</v>
      </c>
    </row>
    <row r="5442" spans="1:7">
      <c r="A5442" t="s">
        <v>11783</v>
      </c>
      <c r="B5442" t="s">
        <v>11784</v>
      </c>
      <c r="C5442" t="s">
        <v>4190</v>
      </c>
      <c r="D5442" t="s">
        <v>4191</v>
      </c>
      <c r="E5442">
        <v>12</v>
      </c>
      <c r="F5442" s="6">
        <v>750</v>
      </c>
      <c r="G5442" t="s">
        <v>9962</v>
      </c>
    </row>
    <row r="5443" spans="1:7">
      <c r="A5443" t="s">
        <v>11785</v>
      </c>
      <c r="B5443" t="s">
        <v>11786</v>
      </c>
      <c r="C5443" t="s">
        <v>4190</v>
      </c>
      <c r="D5443" t="s">
        <v>4191</v>
      </c>
      <c r="E5443">
        <v>6</v>
      </c>
      <c r="F5443" s="6">
        <v>750</v>
      </c>
      <c r="G5443" t="s">
        <v>10000</v>
      </c>
    </row>
    <row r="5444" spans="1:7">
      <c r="A5444" t="s">
        <v>11787</v>
      </c>
      <c r="B5444" t="s">
        <v>11788</v>
      </c>
      <c r="C5444" t="s">
        <v>4190</v>
      </c>
      <c r="D5444" t="s">
        <v>4191</v>
      </c>
      <c r="E5444">
        <v>12</v>
      </c>
      <c r="F5444" s="6">
        <v>750</v>
      </c>
      <c r="G5444" t="s">
        <v>9803</v>
      </c>
    </row>
    <row r="5445" spans="1:7">
      <c r="A5445" t="s">
        <v>11789</v>
      </c>
      <c r="B5445" t="s">
        <v>11790</v>
      </c>
      <c r="C5445" t="s">
        <v>4190</v>
      </c>
      <c r="D5445" t="s">
        <v>4191</v>
      </c>
      <c r="E5445">
        <v>12</v>
      </c>
      <c r="F5445" s="6">
        <v>750</v>
      </c>
      <c r="G5445" t="s">
        <v>9803</v>
      </c>
    </row>
    <row r="5446" spans="1:7">
      <c r="A5446" t="s">
        <v>11791</v>
      </c>
      <c r="B5446" t="s">
        <v>11792</v>
      </c>
      <c r="C5446" t="s">
        <v>4190</v>
      </c>
      <c r="D5446" t="s">
        <v>4191</v>
      </c>
      <c r="E5446">
        <v>12</v>
      </c>
      <c r="F5446" s="6">
        <v>750</v>
      </c>
      <c r="G5446" t="s">
        <v>9803</v>
      </c>
    </row>
    <row r="5447" spans="1:7">
      <c r="A5447" t="s">
        <v>11793</v>
      </c>
      <c r="B5447" t="s">
        <v>11794</v>
      </c>
      <c r="C5447" t="s">
        <v>4632</v>
      </c>
      <c r="D5447" t="s">
        <v>4633</v>
      </c>
      <c r="E5447">
        <v>6</v>
      </c>
      <c r="F5447" s="6">
        <v>1750</v>
      </c>
      <c r="G5447" t="s">
        <v>3686</v>
      </c>
    </row>
    <row r="5448" spans="1:7">
      <c r="A5448" t="s">
        <v>11795</v>
      </c>
      <c r="B5448" t="s">
        <v>11796</v>
      </c>
      <c r="C5448" t="s">
        <v>4190</v>
      </c>
      <c r="D5448" t="s">
        <v>4191</v>
      </c>
      <c r="E5448">
        <v>6</v>
      </c>
      <c r="F5448" s="6">
        <v>750</v>
      </c>
      <c r="G5448" t="s">
        <v>10000</v>
      </c>
    </row>
    <row r="5449" spans="1:7">
      <c r="A5449" t="s">
        <v>11797</v>
      </c>
      <c r="B5449" t="s">
        <v>11798</v>
      </c>
      <c r="C5449" t="s">
        <v>4190</v>
      </c>
      <c r="D5449" t="s">
        <v>4191</v>
      </c>
      <c r="E5449">
        <v>12</v>
      </c>
      <c r="F5449" s="6">
        <v>750</v>
      </c>
      <c r="G5449" t="s">
        <v>11799</v>
      </c>
    </row>
    <row r="5450" spans="1:7">
      <c r="A5450" t="s">
        <v>11800</v>
      </c>
      <c r="B5450" t="s">
        <v>11801</v>
      </c>
      <c r="C5450" t="s">
        <v>4190</v>
      </c>
      <c r="D5450" t="s">
        <v>4191</v>
      </c>
      <c r="E5450">
        <v>6</v>
      </c>
      <c r="F5450" s="6">
        <v>700</v>
      </c>
      <c r="G5450" t="s">
        <v>3802</v>
      </c>
    </row>
    <row r="5451" spans="1:7">
      <c r="A5451" t="s">
        <v>11802</v>
      </c>
      <c r="B5451" t="s">
        <v>11803</v>
      </c>
      <c r="C5451" t="s">
        <v>4052</v>
      </c>
      <c r="D5451" t="s">
        <v>4053</v>
      </c>
      <c r="E5451">
        <v>6</v>
      </c>
      <c r="F5451" s="6">
        <v>700</v>
      </c>
      <c r="G5451" t="s">
        <v>3802</v>
      </c>
    </row>
    <row r="5452" spans="1:7">
      <c r="A5452" t="s">
        <v>11804</v>
      </c>
      <c r="B5452" t="s">
        <v>11805</v>
      </c>
      <c r="C5452" t="s">
        <v>6424</v>
      </c>
      <c r="D5452" t="s">
        <v>6425</v>
      </c>
      <c r="E5452">
        <v>12</v>
      </c>
      <c r="F5452" s="6">
        <v>750</v>
      </c>
      <c r="G5452" t="s">
        <v>3702</v>
      </c>
    </row>
    <row r="5453" spans="1:7">
      <c r="A5453" t="s">
        <v>11806</v>
      </c>
      <c r="B5453" t="s">
        <v>11807</v>
      </c>
      <c r="C5453" t="s">
        <v>6424</v>
      </c>
      <c r="D5453" t="s">
        <v>6425</v>
      </c>
      <c r="E5453">
        <v>6</v>
      </c>
      <c r="F5453" s="6">
        <v>700</v>
      </c>
      <c r="G5453" t="s">
        <v>3802</v>
      </c>
    </row>
    <row r="5454" spans="1:7">
      <c r="A5454" t="s">
        <v>11808</v>
      </c>
      <c r="B5454" t="s">
        <v>11809</v>
      </c>
      <c r="C5454" t="s">
        <v>4190</v>
      </c>
      <c r="D5454" t="s">
        <v>4191</v>
      </c>
      <c r="E5454">
        <v>6</v>
      </c>
      <c r="F5454" s="6">
        <v>700</v>
      </c>
      <c r="G5454" t="s">
        <v>3802</v>
      </c>
    </row>
    <row r="5455" spans="1:7">
      <c r="A5455" t="s">
        <v>11810</v>
      </c>
      <c r="B5455" t="s">
        <v>11811</v>
      </c>
      <c r="C5455" t="s">
        <v>4190</v>
      </c>
      <c r="D5455" t="s">
        <v>4191</v>
      </c>
      <c r="E5455">
        <v>6</v>
      </c>
      <c r="F5455" s="6">
        <v>700</v>
      </c>
      <c r="G5455" t="s">
        <v>3802</v>
      </c>
    </row>
    <row r="5456" spans="1:7">
      <c r="A5456" t="s">
        <v>11812</v>
      </c>
      <c r="B5456" t="s">
        <v>11813</v>
      </c>
      <c r="C5456" t="s">
        <v>6451</v>
      </c>
      <c r="D5456" t="s">
        <v>6452</v>
      </c>
      <c r="E5456">
        <v>6</v>
      </c>
      <c r="F5456" s="6">
        <v>700</v>
      </c>
      <c r="G5456" t="s">
        <v>3802</v>
      </c>
    </row>
    <row r="5457" spans="1:7">
      <c r="A5457" t="s">
        <v>11814</v>
      </c>
      <c r="B5457" t="s">
        <v>11815</v>
      </c>
      <c r="C5457" t="s">
        <v>6451</v>
      </c>
      <c r="D5457" t="s">
        <v>6452</v>
      </c>
      <c r="E5457">
        <v>6</v>
      </c>
      <c r="F5457" s="6">
        <v>750</v>
      </c>
      <c r="G5457" t="s">
        <v>3705</v>
      </c>
    </row>
    <row r="5458" spans="1:7">
      <c r="A5458" t="s">
        <v>11816</v>
      </c>
      <c r="B5458" t="s">
        <v>11817</v>
      </c>
      <c r="C5458" t="s">
        <v>4052</v>
      </c>
      <c r="D5458" t="s">
        <v>4053</v>
      </c>
      <c r="E5458">
        <v>12</v>
      </c>
      <c r="F5458" s="6">
        <v>750</v>
      </c>
      <c r="G5458" t="s">
        <v>3716</v>
      </c>
    </row>
    <row r="5459" spans="1:7">
      <c r="A5459" t="s">
        <v>11818</v>
      </c>
      <c r="B5459" t="s">
        <v>11819</v>
      </c>
      <c r="C5459" t="s">
        <v>6424</v>
      </c>
      <c r="D5459" t="s">
        <v>6425</v>
      </c>
      <c r="E5459">
        <v>6</v>
      </c>
      <c r="F5459" s="6">
        <v>750</v>
      </c>
      <c r="G5459" t="s">
        <v>3802</v>
      </c>
    </row>
    <row r="5460" spans="1:7">
      <c r="A5460" t="s">
        <v>11820</v>
      </c>
      <c r="B5460" t="s">
        <v>11821</v>
      </c>
      <c r="C5460" t="s">
        <v>6451</v>
      </c>
      <c r="D5460" t="s">
        <v>6452</v>
      </c>
      <c r="E5460">
        <v>6</v>
      </c>
      <c r="F5460" s="6">
        <v>750</v>
      </c>
      <c r="G5460" t="s">
        <v>3802</v>
      </c>
    </row>
    <row r="5461" spans="1:7">
      <c r="A5461" t="s">
        <v>11822</v>
      </c>
      <c r="B5461" t="s">
        <v>11823</v>
      </c>
      <c r="C5461" t="s">
        <v>4052</v>
      </c>
      <c r="D5461" t="s">
        <v>4053</v>
      </c>
      <c r="E5461">
        <v>12</v>
      </c>
      <c r="F5461" s="6">
        <v>750</v>
      </c>
      <c r="G5461" t="s">
        <v>3716</v>
      </c>
    </row>
    <row r="5462" spans="1:7">
      <c r="A5462" t="s">
        <v>11824</v>
      </c>
      <c r="B5462" t="s">
        <v>11825</v>
      </c>
      <c r="C5462" t="s">
        <v>4052</v>
      </c>
      <c r="D5462" t="s">
        <v>4053</v>
      </c>
      <c r="E5462">
        <v>12</v>
      </c>
      <c r="F5462" s="6">
        <v>750</v>
      </c>
      <c r="G5462" t="s">
        <v>3702</v>
      </c>
    </row>
    <row r="5463" spans="1:7">
      <c r="A5463" t="s">
        <v>11826</v>
      </c>
      <c r="B5463" t="s">
        <v>11827</v>
      </c>
      <c r="C5463" t="s">
        <v>4452</v>
      </c>
      <c r="D5463" t="s">
        <v>4453</v>
      </c>
      <c r="E5463">
        <v>3</v>
      </c>
      <c r="F5463" s="6">
        <v>750</v>
      </c>
      <c r="G5463" t="s">
        <v>3702</v>
      </c>
    </row>
    <row r="5464" spans="1:7">
      <c r="A5464" t="s">
        <v>11828</v>
      </c>
      <c r="B5464" t="s">
        <v>6640</v>
      </c>
      <c r="C5464" t="s">
        <v>4190</v>
      </c>
      <c r="D5464" t="s">
        <v>4191</v>
      </c>
      <c r="E5464">
        <v>6</v>
      </c>
      <c r="F5464" s="6">
        <v>750</v>
      </c>
      <c r="G5464" t="s">
        <v>4438</v>
      </c>
    </row>
    <row r="5465" spans="1:7">
      <c r="A5465" t="s">
        <v>11829</v>
      </c>
      <c r="B5465" t="s">
        <v>11830</v>
      </c>
      <c r="C5465" t="s">
        <v>6424</v>
      </c>
      <c r="D5465" t="s">
        <v>6425</v>
      </c>
      <c r="E5465">
        <v>12</v>
      </c>
      <c r="F5465" s="6">
        <v>1000</v>
      </c>
      <c r="G5465" t="s">
        <v>3802</v>
      </c>
    </row>
    <row r="5466" spans="1:7">
      <c r="A5466" t="s">
        <v>11831</v>
      </c>
      <c r="B5466" t="s">
        <v>11832</v>
      </c>
      <c r="C5466" t="s">
        <v>4632</v>
      </c>
      <c r="D5466" t="s">
        <v>4633</v>
      </c>
      <c r="E5466">
        <v>12</v>
      </c>
      <c r="F5466" s="6">
        <v>1000</v>
      </c>
      <c r="G5466" t="s">
        <v>3802</v>
      </c>
    </row>
    <row r="5467" spans="1:7">
      <c r="A5467" t="s">
        <v>11833</v>
      </c>
      <c r="B5467" t="s">
        <v>11834</v>
      </c>
      <c r="C5467" t="s">
        <v>6424</v>
      </c>
      <c r="D5467" t="s">
        <v>6425</v>
      </c>
      <c r="E5467">
        <v>12</v>
      </c>
      <c r="F5467" s="6">
        <v>750</v>
      </c>
      <c r="G5467" t="s">
        <v>5748</v>
      </c>
    </row>
    <row r="5468" spans="1:7">
      <c r="A5468" t="s">
        <v>11835</v>
      </c>
      <c r="B5468" t="s">
        <v>11836</v>
      </c>
      <c r="C5468" t="s">
        <v>4052</v>
      </c>
      <c r="D5468" t="s">
        <v>4053</v>
      </c>
      <c r="E5468">
        <v>6</v>
      </c>
      <c r="F5468" s="6">
        <v>750</v>
      </c>
      <c r="G5468" t="s">
        <v>9335</v>
      </c>
    </row>
    <row r="5469" spans="1:7">
      <c r="A5469" t="s">
        <v>11837</v>
      </c>
      <c r="B5469" t="s">
        <v>11838</v>
      </c>
      <c r="C5469" t="s">
        <v>4052</v>
      </c>
      <c r="D5469" t="s">
        <v>4053</v>
      </c>
      <c r="E5469">
        <v>6</v>
      </c>
      <c r="F5469" s="6">
        <v>750</v>
      </c>
      <c r="G5469" t="s">
        <v>9335</v>
      </c>
    </row>
    <row r="5470" spans="1:7">
      <c r="A5470" t="s">
        <v>11839</v>
      </c>
      <c r="B5470" t="s">
        <v>11840</v>
      </c>
      <c r="C5470" t="s">
        <v>6424</v>
      </c>
      <c r="D5470" t="s">
        <v>6425</v>
      </c>
      <c r="E5470">
        <v>6</v>
      </c>
      <c r="F5470" s="6">
        <v>750</v>
      </c>
      <c r="G5470" t="s">
        <v>9335</v>
      </c>
    </row>
    <row r="5471" spans="1:7">
      <c r="A5471" t="s">
        <v>11841</v>
      </c>
      <c r="B5471" t="s">
        <v>11842</v>
      </c>
      <c r="C5471" t="s">
        <v>4190</v>
      </c>
      <c r="D5471" t="s">
        <v>4191</v>
      </c>
      <c r="E5471">
        <v>6</v>
      </c>
      <c r="F5471" s="6">
        <v>750</v>
      </c>
      <c r="G5471" t="s">
        <v>9335</v>
      </c>
    </row>
    <row r="5472" spans="1:7">
      <c r="A5472" t="s">
        <v>11843</v>
      </c>
      <c r="B5472" t="s">
        <v>11844</v>
      </c>
      <c r="C5472" t="s">
        <v>6424</v>
      </c>
      <c r="D5472" t="s">
        <v>6425</v>
      </c>
      <c r="E5472">
        <v>6</v>
      </c>
      <c r="F5472" s="6">
        <v>750</v>
      </c>
      <c r="G5472" t="s">
        <v>5267</v>
      </c>
    </row>
    <row r="5473" spans="1:7">
      <c r="A5473" t="s">
        <v>11845</v>
      </c>
      <c r="B5473" t="s">
        <v>11846</v>
      </c>
      <c r="C5473" t="s">
        <v>6424</v>
      </c>
      <c r="D5473" t="s">
        <v>6425</v>
      </c>
      <c r="E5473">
        <v>6</v>
      </c>
      <c r="F5473" s="6">
        <v>750</v>
      </c>
      <c r="G5473" t="s">
        <v>11847</v>
      </c>
    </row>
    <row r="5474" spans="1:7">
      <c r="A5474" t="s">
        <v>11848</v>
      </c>
      <c r="B5474" t="s">
        <v>11849</v>
      </c>
      <c r="C5474" t="s">
        <v>4190</v>
      </c>
      <c r="D5474" t="s">
        <v>4191</v>
      </c>
      <c r="E5474">
        <v>6</v>
      </c>
      <c r="F5474" s="6">
        <v>750</v>
      </c>
      <c r="G5474" t="s">
        <v>5267</v>
      </c>
    </row>
    <row r="5475" spans="1:7">
      <c r="A5475" t="s">
        <v>11850</v>
      </c>
      <c r="B5475" t="s">
        <v>11851</v>
      </c>
      <c r="C5475" t="s">
        <v>4632</v>
      </c>
      <c r="D5475" t="s">
        <v>4633</v>
      </c>
      <c r="E5475">
        <v>6</v>
      </c>
      <c r="F5475" s="6">
        <v>1750</v>
      </c>
      <c r="G5475" t="s">
        <v>3686</v>
      </c>
    </row>
    <row r="5476" spans="1:7">
      <c r="A5476" t="s">
        <v>11852</v>
      </c>
      <c r="B5476" t="s">
        <v>11853</v>
      </c>
      <c r="C5476" t="s">
        <v>6424</v>
      </c>
      <c r="D5476" t="s">
        <v>6425</v>
      </c>
      <c r="E5476">
        <v>12</v>
      </c>
      <c r="F5476" s="6">
        <v>750</v>
      </c>
      <c r="G5476" t="s">
        <v>6663</v>
      </c>
    </row>
    <row r="5477" spans="1:7">
      <c r="A5477" t="s">
        <v>11854</v>
      </c>
      <c r="B5477" t="s">
        <v>6669</v>
      </c>
      <c r="C5477" t="s">
        <v>4190</v>
      </c>
      <c r="D5477" t="s">
        <v>4191</v>
      </c>
      <c r="E5477">
        <v>6</v>
      </c>
      <c r="F5477" s="6">
        <v>750</v>
      </c>
      <c r="G5477" t="s">
        <v>4291</v>
      </c>
    </row>
    <row r="5478" spans="1:7">
      <c r="A5478" t="s">
        <v>11855</v>
      </c>
      <c r="B5478" t="s">
        <v>11856</v>
      </c>
      <c r="C5478" t="s">
        <v>4190</v>
      </c>
      <c r="D5478" t="s">
        <v>4191</v>
      </c>
      <c r="E5478">
        <v>6</v>
      </c>
      <c r="F5478" s="6">
        <v>750</v>
      </c>
      <c r="G5478" t="s">
        <v>4117</v>
      </c>
    </row>
    <row r="5479" spans="1:7">
      <c r="A5479" t="s">
        <v>11857</v>
      </c>
      <c r="B5479" t="s">
        <v>6679</v>
      </c>
      <c r="C5479" t="s">
        <v>6451</v>
      </c>
      <c r="D5479" t="s">
        <v>6452</v>
      </c>
      <c r="E5479">
        <v>6</v>
      </c>
      <c r="F5479" s="6">
        <v>750</v>
      </c>
      <c r="G5479" t="s">
        <v>4117</v>
      </c>
    </row>
    <row r="5480" spans="1:7">
      <c r="A5480" t="s">
        <v>344</v>
      </c>
      <c r="B5480" t="s">
        <v>6681</v>
      </c>
      <c r="C5480" t="s">
        <v>4190</v>
      </c>
      <c r="D5480" t="s">
        <v>4191</v>
      </c>
      <c r="E5480">
        <v>6</v>
      </c>
      <c r="F5480" s="6">
        <v>750</v>
      </c>
      <c r="G5480" t="s">
        <v>4117</v>
      </c>
    </row>
    <row r="5481" spans="1:7">
      <c r="A5481" t="s">
        <v>11858</v>
      </c>
      <c r="B5481" t="s">
        <v>11859</v>
      </c>
      <c r="C5481" t="s">
        <v>4632</v>
      </c>
      <c r="D5481" t="s">
        <v>4633</v>
      </c>
      <c r="E5481">
        <v>6</v>
      </c>
      <c r="F5481" s="6">
        <v>750</v>
      </c>
      <c r="G5481" t="s">
        <v>11860</v>
      </c>
    </row>
    <row r="5482" spans="1:7">
      <c r="A5482" t="s">
        <v>11861</v>
      </c>
      <c r="B5482" t="s">
        <v>11862</v>
      </c>
      <c r="C5482" t="s">
        <v>6424</v>
      </c>
      <c r="D5482" t="s">
        <v>6425</v>
      </c>
      <c r="E5482">
        <v>6</v>
      </c>
      <c r="F5482" s="6">
        <v>750</v>
      </c>
      <c r="G5482" t="s">
        <v>3802</v>
      </c>
    </row>
    <row r="5483" spans="1:7">
      <c r="A5483" t="s">
        <v>11863</v>
      </c>
      <c r="B5483" t="s">
        <v>11864</v>
      </c>
      <c r="C5483" t="s">
        <v>4190</v>
      </c>
      <c r="D5483" t="s">
        <v>4191</v>
      </c>
      <c r="E5483">
        <v>6</v>
      </c>
      <c r="F5483" s="6">
        <v>750</v>
      </c>
      <c r="G5483" t="s">
        <v>3802</v>
      </c>
    </row>
    <row r="5484" spans="1:7">
      <c r="A5484" t="s">
        <v>11865</v>
      </c>
      <c r="B5484" t="s">
        <v>11866</v>
      </c>
      <c r="C5484" t="s">
        <v>4190</v>
      </c>
      <c r="D5484" t="s">
        <v>4191</v>
      </c>
      <c r="E5484">
        <v>12</v>
      </c>
      <c r="F5484" s="6">
        <v>750</v>
      </c>
      <c r="G5484" t="s">
        <v>5020</v>
      </c>
    </row>
    <row r="5485" spans="1:7">
      <c r="A5485" t="s">
        <v>11867</v>
      </c>
      <c r="B5485" t="s">
        <v>11868</v>
      </c>
      <c r="C5485" t="s">
        <v>4023</v>
      </c>
      <c r="D5485" t="s">
        <v>4024</v>
      </c>
      <c r="E5485">
        <v>6</v>
      </c>
      <c r="F5485" s="6">
        <v>750</v>
      </c>
      <c r="G5485" t="s">
        <v>3686</v>
      </c>
    </row>
    <row r="5486" spans="1:7">
      <c r="A5486" t="s">
        <v>11869</v>
      </c>
      <c r="B5486" t="s">
        <v>11870</v>
      </c>
      <c r="C5486" t="s">
        <v>4023</v>
      </c>
      <c r="D5486" t="s">
        <v>4024</v>
      </c>
      <c r="E5486">
        <v>12</v>
      </c>
      <c r="F5486" s="6">
        <v>750</v>
      </c>
      <c r="G5486" t="s">
        <v>3931</v>
      </c>
    </row>
    <row r="5487" spans="1:7">
      <c r="A5487" t="s">
        <v>11871</v>
      </c>
      <c r="B5487" t="s">
        <v>6690</v>
      </c>
      <c r="C5487" t="s">
        <v>4023</v>
      </c>
      <c r="D5487" t="s">
        <v>4024</v>
      </c>
      <c r="E5487">
        <v>6</v>
      </c>
      <c r="F5487" s="6">
        <v>750</v>
      </c>
      <c r="G5487" t="s">
        <v>4117</v>
      </c>
    </row>
    <row r="5488" spans="1:7">
      <c r="A5488" t="s">
        <v>11872</v>
      </c>
      <c r="B5488" t="s">
        <v>11873</v>
      </c>
      <c r="C5488" t="s">
        <v>4023</v>
      </c>
      <c r="D5488" t="s">
        <v>4024</v>
      </c>
      <c r="E5488">
        <v>6</v>
      </c>
      <c r="F5488" s="6">
        <v>1750</v>
      </c>
      <c r="G5488" t="s">
        <v>3888</v>
      </c>
    </row>
    <row r="5489" spans="1:7">
      <c r="A5489" t="s">
        <v>11874</v>
      </c>
      <c r="B5489" t="s">
        <v>11875</v>
      </c>
      <c r="C5489" t="s">
        <v>4023</v>
      </c>
      <c r="D5489" t="s">
        <v>4024</v>
      </c>
      <c r="E5489">
        <v>6</v>
      </c>
      <c r="F5489" s="6">
        <v>750</v>
      </c>
      <c r="G5489" t="s">
        <v>3716</v>
      </c>
    </row>
    <row r="5490" spans="1:7">
      <c r="A5490" t="s">
        <v>11876</v>
      </c>
      <c r="B5490" t="s">
        <v>11877</v>
      </c>
      <c r="C5490" t="s">
        <v>10161</v>
      </c>
      <c r="D5490" t="s">
        <v>6443</v>
      </c>
      <c r="E5490">
        <v>6</v>
      </c>
      <c r="F5490" s="6">
        <v>750</v>
      </c>
      <c r="G5490" t="s">
        <v>3802</v>
      </c>
    </row>
    <row r="5491" spans="1:7">
      <c r="A5491" t="s">
        <v>11878</v>
      </c>
      <c r="B5491" t="s">
        <v>11879</v>
      </c>
      <c r="C5491" t="s">
        <v>4023</v>
      </c>
      <c r="D5491" t="s">
        <v>4024</v>
      </c>
      <c r="E5491">
        <v>6</v>
      </c>
      <c r="F5491" s="6">
        <v>1750</v>
      </c>
      <c r="G5491" t="s">
        <v>3754</v>
      </c>
    </row>
    <row r="5492" spans="1:7">
      <c r="A5492" t="s">
        <v>11880</v>
      </c>
      <c r="B5492" t="s">
        <v>11881</v>
      </c>
      <c r="C5492" t="s">
        <v>4023</v>
      </c>
      <c r="D5492" t="s">
        <v>4024</v>
      </c>
      <c r="E5492">
        <v>6</v>
      </c>
      <c r="F5492" s="6">
        <v>750</v>
      </c>
      <c r="G5492" t="s">
        <v>3713</v>
      </c>
    </row>
    <row r="5493" spans="1:7">
      <c r="A5493" t="s">
        <v>11882</v>
      </c>
      <c r="B5493" t="s">
        <v>11883</v>
      </c>
      <c r="C5493" t="s">
        <v>4023</v>
      </c>
      <c r="D5493" t="s">
        <v>4024</v>
      </c>
      <c r="E5493">
        <v>6</v>
      </c>
      <c r="F5493" s="6">
        <v>1750</v>
      </c>
      <c r="G5493" t="s">
        <v>3754</v>
      </c>
    </row>
    <row r="5494" spans="1:7">
      <c r="A5494" t="s">
        <v>11884</v>
      </c>
      <c r="B5494" t="s">
        <v>11885</v>
      </c>
      <c r="C5494" t="s">
        <v>4023</v>
      </c>
      <c r="D5494" t="s">
        <v>4024</v>
      </c>
      <c r="E5494">
        <v>6</v>
      </c>
      <c r="F5494" s="6">
        <v>750</v>
      </c>
      <c r="G5494" t="s">
        <v>3802</v>
      </c>
    </row>
    <row r="5495" spans="1:7">
      <c r="A5495" t="s">
        <v>11886</v>
      </c>
      <c r="B5495" t="s">
        <v>11887</v>
      </c>
      <c r="C5495" t="s">
        <v>4023</v>
      </c>
      <c r="D5495" t="s">
        <v>4024</v>
      </c>
      <c r="E5495">
        <v>6</v>
      </c>
      <c r="F5495" s="6">
        <v>1750</v>
      </c>
      <c r="G5495" t="s">
        <v>9803</v>
      </c>
    </row>
    <row r="5496" spans="1:7">
      <c r="A5496" t="s">
        <v>11888</v>
      </c>
      <c r="B5496" t="s">
        <v>11889</v>
      </c>
      <c r="C5496" t="s">
        <v>4023</v>
      </c>
      <c r="D5496" t="s">
        <v>4024</v>
      </c>
      <c r="E5496">
        <v>6</v>
      </c>
      <c r="F5496" s="6">
        <v>700</v>
      </c>
      <c r="G5496" t="s">
        <v>3802</v>
      </c>
    </row>
    <row r="5497" spans="1:7">
      <c r="A5497" t="s">
        <v>11890</v>
      </c>
      <c r="B5497" t="s">
        <v>11891</v>
      </c>
      <c r="C5497" t="s">
        <v>4023</v>
      </c>
      <c r="D5497" t="s">
        <v>4024</v>
      </c>
      <c r="E5497">
        <v>12</v>
      </c>
      <c r="F5497" s="6">
        <v>750</v>
      </c>
      <c r="G5497" t="s">
        <v>3686</v>
      </c>
    </row>
    <row r="5498" spans="1:7">
      <c r="A5498" t="s">
        <v>2171</v>
      </c>
      <c r="B5498" t="s">
        <v>11892</v>
      </c>
      <c r="C5498" t="s">
        <v>4023</v>
      </c>
      <c r="D5498" t="s">
        <v>4024</v>
      </c>
      <c r="E5498">
        <v>12</v>
      </c>
      <c r="F5498" s="6">
        <v>1000</v>
      </c>
      <c r="G5498" t="s">
        <v>5698</v>
      </c>
    </row>
    <row r="5499" spans="1:7">
      <c r="A5499" t="s">
        <v>11893</v>
      </c>
      <c r="B5499" t="s">
        <v>11894</v>
      </c>
      <c r="C5499" t="s">
        <v>4591</v>
      </c>
      <c r="D5499" t="s">
        <v>4592</v>
      </c>
      <c r="E5499">
        <v>6</v>
      </c>
      <c r="F5499" s="6">
        <v>750</v>
      </c>
      <c r="G5499" t="s">
        <v>3686</v>
      </c>
    </row>
    <row r="5500" spans="1:7">
      <c r="A5500" t="s">
        <v>11895</v>
      </c>
      <c r="B5500" t="s">
        <v>11896</v>
      </c>
      <c r="C5500" t="s">
        <v>4023</v>
      </c>
      <c r="D5500" t="s">
        <v>4024</v>
      </c>
      <c r="E5500">
        <v>12</v>
      </c>
      <c r="F5500" s="6">
        <v>750</v>
      </c>
      <c r="G5500" t="s">
        <v>11897</v>
      </c>
    </row>
    <row r="5501" spans="1:7">
      <c r="A5501" t="s">
        <v>11898</v>
      </c>
      <c r="B5501" t="s">
        <v>11899</v>
      </c>
      <c r="C5501" t="s">
        <v>4023</v>
      </c>
      <c r="D5501" t="s">
        <v>4024</v>
      </c>
      <c r="E5501">
        <v>12</v>
      </c>
      <c r="F5501" s="6">
        <v>750</v>
      </c>
      <c r="G5501" t="s">
        <v>3713</v>
      </c>
    </row>
    <row r="5502" spans="1:7">
      <c r="A5502" t="s">
        <v>11900</v>
      </c>
      <c r="B5502" t="s">
        <v>11901</v>
      </c>
      <c r="C5502" t="s">
        <v>6442</v>
      </c>
      <c r="D5502" t="s">
        <v>6443</v>
      </c>
      <c r="E5502">
        <v>6</v>
      </c>
      <c r="F5502" s="6">
        <v>750</v>
      </c>
      <c r="G5502" t="s">
        <v>11902</v>
      </c>
    </row>
    <row r="5503" spans="1:7">
      <c r="A5503" t="s">
        <v>11903</v>
      </c>
      <c r="B5503" t="s">
        <v>11904</v>
      </c>
      <c r="C5503" t="s">
        <v>4023</v>
      </c>
      <c r="D5503" t="s">
        <v>4024</v>
      </c>
      <c r="E5503">
        <v>6</v>
      </c>
      <c r="F5503" s="6">
        <v>750</v>
      </c>
      <c r="G5503" t="s">
        <v>3686</v>
      </c>
    </row>
    <row r="5504" spans="1:7">
      <c r="A5504" t="s">
        <v>11905</v>
      </c>
      <c r="B5504" t="s">
        <v>11906</v>
      </c>
      <c r="C5504" t="s">
        <v>4023</v>
      </c>
      <c r="D5504" t="s">
        <v>4024</v>
      </c>
      <c r="E5504">
        <v>6</v>
      </c>
      <c r="F5504" s="6">
        <v>750</v>
      </c>
      <c r="G5504" t="s">
        <v>3686</v>
      </c>
    </row>
    <row r="5505" spans="1:7">
      <c r="A5505" t="s">
        <v>11907</v>
      </c>
      <c r="B5505" t="s">
        <v>11908</v>
      </c>
      <c r="C5505" t="s">
        <v>4023</v>
      </c>
      <c r="D5505" t="s">
        <v>4024</v>
      </c>
      <c r="E5505">
        <v>6</v>
      </c>
      <c r="F5505" s="6">
        <v>750</v>
      </c>
      <c r="G5505" t="s">
        <v>3686</v>
      </c>
    </row>
    <row r="5506" spans="1:7">
      <c r="A5506" t="s">
        <v>11909</v>
      </c>
      <c r="B5506" t="s">
        <v>11910</v>
      </c>
      <c r="C5506" t="s">
        <v>4023</v>
      </c>
      <c r="D5506" t="s">
        <v>4024</v>
      </c>
      <c r="E5506">
        <v>6</v>
      </c>
      <c r="F5506" s="6">
        <v>750</v>
      </c>
      <c r="G5506" t="s">
        <v>3686</v>
      </c>
    </row>
    <row r="5507" spans="1:7">
      <c r="A5507" t="s">
        <v>11911</v>
      </c>
      <c r="B5507" t="s">
        <v>11912</v>
      </c>
      <c r="C5507" t="s">
        <v>4023</v>
      </c>
      <c r="D5507" t="s">
        <v>4024</v>
      </c>
      <c r="E5507">
        <v>6</v>
      </c>
      <c r="F5507" s="6">
        <v>700</v>
      </c>
      <c r="G5507" t="s">
        <v>10131</v>
      </c>
    </row>
    <row r="5508" spans="1:7">
      <c r="A5508" t="s">
        <v>2704</v>
      </c>
      <c r="B5508" t="s">
        <v>11913</v>
      </c>
      <c r="C5508" t="s">
        <v>4023</v>
      </c>
      <c r="D5508" t="s">
        <v>4024</v>
      </c>
      <c r="E5508">
        <v>6</v>
      </c>
      <c r="F5508" s="6">
        <v>750</v>
      </c>
      <c r="G5508" t="s">
        <v>9312</v>
      </c>
    </row>
    <row r="5509" spans="1:7">
      <c r="A5509" t="s">
        <v>11914</v>
      </c>
      <c r="B5509" t="s">
        <v>11915</v>
      </c>
      <c r="C5509" t="s">
        <v>4023</v>
      </c>
      <c r="D5509" t="s">
        <v>4024</v>
      </c>
      <c r="E5509">
        <v>12</v>
      </c>
      <c r="F5509" s="6">
        <v>750</v>
      </c>
      <c r="G5509" t="s">
        <v>4032</v>
      </c>
    </row>
    <row r="5510" spans="1:7">
      <c r="A5510" t="s">
        <v>11916</v>
      </c>
      <c r="B5510" t="s">
        <v>11917</v>
      </c>
      <c r="C5510" t="s">
        <v>4023</v>
      </c>
      <c r="D5510" t="s">
        <v>4024</v>
      </c>
      <c r="E5510">
        <v>6</v>
      </c>
      <c r="F5510" s="6">
        <v>750</v>
      </c>
      <c r="G5510" t="s">
        <v>3713</v>
      </c>
    </row>
    <row r="5511" spans="1:7">
      <c r="A5511" t="s">
        <v>11918</v>
      </c>
      <c r="B5511" t="s">
        <v>11919</v>
      </c>
      <c r="C5511" t="s">
        <v>4023</v>
      </c>
      <c r="D5511" t="s">
        <v>4024</v>
      </c>
      <c r="E5511">
        <v>6</v>
      </c>
      <c r="F5511" s="6">
        <v>750</v>
      </c>
      <c r="G5511" t="s">
        <v>3713</v>
      </c>
    </row>
    <row r="5512" spans="1:7">
      <c r="A5512" t="s">
        <v>11920</v>
      </c>
      <c r="B5512" t="s">
        <v>11921</v>
      </c>
      <c r="C5512" t="s">
        <v>4023</v>
      </c>
      <c r="D5512" t="s">
        <v>4024</v>
      </c>
      <c r="E5512">
        <v>12</v>
      </c>
      <c r="F5512" s="6">
        <v>750</v>
      </c>
      <c r="G5512" t="s">
        <v>4032</v>
      </c>
    </row>
    <row r="5513" spans="1:7">
      <c r="A5513" t="s">
        <v>11922</v>
      </c>
      <c r="B5513" t="s">
        <v>11923</v>
      </c>
      <c r="C5513" t="s">
        <v>9319</v>
      </c>
      <c r="D5513" t="s">
        <v>9320</v>
      </c>
      <c r="E5513">
        <v>12</v>
      </c>
      <c r="F5513" s="6">
        <v>750</v>
      </c>
      <c r="G5513" t="s">
        <v>4032</v>
      </c>
    </row>
    <row r="5514" spans="1:7">
      <c r="A5514" t="s">
        <v>11924</v>
      </c>
      <c r="B5514" t="s">
        <v>11925</v>
      </c>
      <c r="C5514" t="s">
        <v>4023</v>
      </c>
      <c r="D5514" t="s">
        <v>4024</v>
      </c>
      <c r="E5514">
        <v>6</v>
      </c>
      <c r="F5514" s="6">
        <v>750</v>
      </c>
      <c r="G5514" t="s">
        <v>4117</v>
      </c>
    </row>
    <row r="5515" spans="1:7">
      <c r="A5515" t="s">
        <v>11926</v>
      </c>
      <c r="B5515" t="s">
        <v>11927</v>
      </c>
      <c r="C5515" t="s">
        <v>4023</v>
      </c>
      <c r="D5515" t="s">
        <v>4024</v>
      </c>
      <c r="E5515">
        <v>6</v>
      </c>
      <c r="F5515" s="6">
        <v>750</v>
      </c>
      <c r="G5515" t="s">
        <v>11928</v>
      </c>
    </row>
    <row r="5516" spans="1:7">
      <c r="A5516" t="s">
        <v>11929</v>
      </c>
      <c r="B5516" t="s">
        <v>11930</v>
      </c>
      <c r="C5516" t="s">
        <v>4023</v>
      </c>
      <c r="D5516" t="s">
        <v>4024</v>
      </c>
      <c r="E5516">
        <v>12</v>
      </c>
      <c r="F5516" s="6">
        <v>375</v>
      </c>
      <c r="G5516" t="s">
        <v>3702</v>
      </c>
    </row>
    <row r="5517" spans="1:7">
      <c r="A5517" t="s">
        <v>11931</v>
      </c>
      <c r="B5517" t="s">
        <v>11932</v>
      </c>
      <c r="C5517" t="s">
        <v>9909</v>
      </c>
      <c r="D5517" t="s">
        <v>4171</v>
      </c>
      <c r="E5517">
        <v>6</v>
      </c>
      <c r="F5517" s="6">
        <v>1000</v>
      </c>
      <c r="G5517" t="s">
        <v>3802</v>
      </c>
    </row>
    <row r="5518" spans="1:7">
      <c r="A5518" t="s">
        <v>11933</v>
      </c>
      <c r="B5518" t="s">
        <v>11934</v>
      </c>
      <c r="C5518" t="s">
        <v>4023</v>
      </c>
      <c r="D5518" t="s">
        <v>4024</v>
      </c>
      <c r="E5518">
        <v>6</v>
      </c>
      <c r="F5518" s="6">
        <v>750</v>
      </c>
      <c r="G5518" t="s">
        <v>6790</v>
      </c>
    </row>
    <row r="5519" spans="1:7">
      <c r="A5519" t="s">
        <v>11935</v>
      </c>
      <c r="B5519" t="s">
        <v>11936</v>
      </c>
      <c r="C5519" t="s">
        <v>4023</v>
      </c>
      <c r="D5519" t="s">
        <v>4024</v>
      </c>
      <c r="E5519">
        <v>6</v>
      </c>
      <c r="F5519" s="6">
        <v>750</v>
      </c>
      <c r="G5519" t="s">
        <v>6790</v>
      </c>
    </row>
    <row r="5520" spans="1:7">
      <c r="A5520" t="s">
        <v>11937</v>
      </c>
      <c r="B5520" t="s">
        <v>11938</v>
      </c>
      <c r="C5520" t="s">
        <v>4023</v>
      </c>
      <c r="D5520" t="s">
        <v>4024</v>
      </c>
      <c r="E5520">
        <v>6</v>
      </c>
      <c r="F5520" s="6">
        <v>750</v>
      </c>
      <c r="G5520" t="s">
        <v>6790</v>
      </c>
    </row>
    <row r="5521" spans="1:7">
      <c r="A5521" t="s">
        <v>11939</v>
      </c>
      <c r="B5521" t="s">
        <v>11940</v>
      </c>
      <c r="C5521" t="s">
        <v>4023</v>
      </c>
      <c r="D5521" t="s">
        <v>4024</v>
      </c>
      <c r="E5521">
        <v>3</v>
      </c>
      <c r="F5521" s="6">
        <v>750</v>
      </c>
      <c r="G5521" t="s">
        <v>4182</v>
      </c>
    </row>
    <row r="5522" spans="1:7">
      <c r="A5522" t="s">
        <v>11941</v>
      </c>
      <c r="B5522" t="s">
        <v>11942</v>
      </c>
      <c r="C5522" t="s">
        <v>4023</v>
      </c>
      <c r="D5522" t="s">
        <v>4024</v>
      </c>
      <c r="E5522">
        <v>6</v>
      </c>
      <c r="F5522" s="6">
        <v>750</v>
      </c>
      <c r="G5522" t="s">
        <v>3802</v>
      </c>
    </row>
    <row r="5523" spans="1:7">
      <c r="A5523" t="s">
        <v>11943</v>
      </c>
      <c r="B5523" t="s">
        <v>11944</v>
      </c>
      <c r="C5523" t="s">
        <v>4023</v>
      </c>
      <c r="D5523" t="s">
        <v>4024</v>
      </c>
      <c r="E5523">
        <v>6</v>
      </c>
      <c r="F5523" s="6">
        <v>750</v>
      </c>
      <c r="G5523" t="s">
        <v>6795</v>
      </c>
    </row>
    <row r="5524" spans="1:7">
      <c r="A5524" t="s">
        <v>11945</v>
      </c>
      <c r="B5524" t="s">
        <v>11946</v>
      </c>
      <c r="C5524" t="s">
        <v>4023</v>
      </c>
      <c r="D5524" t="s">
        <v>4024</v>
      </c>
      <c r="E5524">
        <v>6</v>
      </c>
      <c r="F5524" s="6">
        <v>750</v>
      </c>
      <c r="G5524" t="s">
        <v>3802</v>
      </c>
    </row>
    <row r="5525" spans="1:7">
      <c r="A5525" t="s">
        <v>11947</v>
      </c>
      <c r="B5525" t="s">
        <v>11942</v>
      </c>
      <c r="C5525" t="s">
        <v>4023</v>
      </c>
      <c r="D5525" t="s">
        <v>4024</v>
      </c>
      <c r="E5525">
        <v>12</v>
      </c>
      <c r="F5525" s="6">
        <v>750</v>
      </c>
      <c r="G5525" t="s">
        <v>3802</v>
      </c>
    </row>
    <row r="5526" spans="1:7">
      <c r="A5526" t="s">
        <v>11948</v>
      </c>
      <c r="B5526" t="s">
        <v>6794</v>
      </c>
      <c r="C5526" t="s">
        <v>4023</v>
      </c>
      <c r="D5526" t="s">
        <v>4024</v>
      </c>
      <c r="E5526">
        <v>6</v>
      </c>
      <c r="F5526" s="6">
        <v>750</v>
      </c>
      <c r="G5526" t="s">
        <v>6795</v>
      </c>
    </row>
    <row r="5527" spans="1:7">
      <c r="A5527" t="s">
        <v>11949</v>
      </c>
      <c r="B5527" t="s">
        <v>11950</v>
      </c>
      <c r="C5527" t="s">
        <v>4023</v>
      </c>
      <c r="D5527" t="s">
        <v>4024</v>
      </c>
      <c r="E5527">
        <v>6</v>
      </c>
      <c r="F5527" s="6">
        <v>750</v>
      </c>
      <c r="G5527" t="s">
        <v>11951</v>
      </c>
    </row>
    <row r="5528" spans="1:7">
      <c r="A5528" t="s">
        <v>11952</v>
      </c>
      <c r="B5528" t="s">
        <v>11953</v>
      </c>
      <c r="C5528" t="s">
        <v>9909</v>
      </c>
      <c r="D5528" t="s">
        <v>4171</v>
      </c>
      <c r="E5528">
        <v>6</v>
      </c>
      <c r="F5528" s="6">
        <v>750</v>
      </c>
      <c r="G5528" t="s">
        <v>5701</v>
      </c>
    </row>
    <row r="5529" spans="1:7">
      <c r="A5529" t="s">
        <v>11954</v>
      </c>
      <c r="B5529" t="s">
        <v>11955</v>
      </c>
      <c r="C5529" t="s">
        <v>4023</v>
      </c>
      <c r="D5529" t="s">
        <v>4024</v>
      </c>
      <c r="E5529">
        <v>6</v>
      </c>
      <c r="F5529" s="6">
        <v>750</v>
      </c>
      <c r="G5529" t="s">
        <v>3802</v>
      </c>
    </row>
    <row r="5530" spans="1:7">
      <c r="A5530" t="s">
        <v>11956</v>
      </c>
      <c r="B5530" t="s">
        <v>11957</v>
      </c>
      <c r="C5530" t="s">
        <v>6442</v>
      </c>
      <c r="D5530" t="s">
        <v>6443</v>
      </c>
      <c r="E5530">
        <v>6</v>
      </c>
      <c r="F5530" s="6">
        <v>750</v>
      </c>
      <c r="G5530" t="s">
        <v>3802</v>
      </c>
    </row>
    <row r="5531" spans="1:7">
      <c r="A5531" t="s">
        <v>11958</v>
      </c>
      <c r="B5531" t="s">
        <v>11946</v>
      </c>
      <c r="C5531" t="s">
        <v>4023</v>
      </c>
      <c r="D5531" t="s">
        <v>4024</v>
      </c>
      <c r="E5531">
        <v>12</v>
      </c>
      <c r="F5531" s="6">
        <v>750</v>
      </c>
      <c r="G5531" t="s">
        <v>3802</v>
      </c>
    </row>
    <row r="5532" spans="1:7">
      <c r="A5532" t="s">
        <v>11959</v>
      </c>
      <c r="B5532" t="s">
        <v>11957</v>
      </c>
      <c r="C5532" t="s">
        <v>4023</v>
      </c>
      <c r="D5532" t="s">
        <v>4024</v>
      </c>
      <c r="E5532">
        <v>12</v>
      </c>
      <c r="F5532" s="6">
        <v>750</v>
      </c>
      <c r="G5532" t="s">
        <v>3802</v>
      </c>
    </row>
    <row r="5533" spans="1:7">
      <c r="A5533" t="s">
        <v>11960</v>
      </c>
      <c r="B5533" t="s">
        <v>11961</v>
      </c>
      <c r="C5533" t="s">
        <v>4023</v>
      </c>
      <c r="D5533" t="s">
        <v>4024</v>
      </c>
      <c r="E5533">
        <v>12</v>
      </c>
      <c r="F5533" s="6">
        <v>700</v>
      </c>
      <c r="G5533" t="s">
        <v>3702</v>
      </c>
    </row>
    <row r="5534" spans="1:7">
      <c r="A5534" t="s">
        <v>11962</v>
      </c>
      <c r="B5534" t="s">
        <v>11963</v>
      </c>
      <c r="C5534" t="s">
        <v>9909</v>
      </c>
      <c r="D5534" t="s">
        <v>4171</v>
      </c>
      <c r="E5534">
        <v>6</v>
      </c>
      <c r="F5534" s="6">
        <v>700</v>
      </c>
      <c r="G5534" t="s">
        <v>3702</v>
      </c>
    </row>
    <row r="5535" spans="1:7">
      <c r="A5535" t="s">
        <v>11964</v>
      </c>
      <c r="B5535" t="s">
        <v>11965</v>
      </c>
      <c r="C5535" t="s">
        <v>4023</v>
      </c>
      <c r="D5535" t="s">
        <v>4024</v>
      </c>
      <c r="E5535">
        <v>12</v>
      </c>
      <c r="F5535" s="6">
        <v>700</v>
      </c>
      <c r="G5535" t="s">
        <v>3702</v>
      </c>
    </row>
    <row r="5536" spans="1:7">
      <c r="A5536" t="s">
        <v>11966</v>
      </c>
      <c r="B5536" t="s">
        <v>11967</v>
      </c>
      <c r="C5536" t="s">
        <v>4023</v>
      </c>
      <c r="D5536" t="s">
        <v>4024</v>
      </c>
      <c r="E5536">
        <v>6</v>
      </c>
      <c r="F5536" s="6">
        <v>700</v>
      </c>
      <c r="G5536" t="s">
        <v>3702</v>
      </c>
    </row>
    <row r="5537" spans="1:7">
      <c r="A5537" t="s">
        <v>11968</v>
      </c>
      <c r="B5537" t="s">
        <v>11969</v>
      </c>
      <c r="C5537" t="s">
        <v>4023</v>
      </c>
      <c r="D5537" t="s">
        <v>4024</v>
      </c>
      <c r="E5537">
        <v>6</v>
      </c>
      <c r="F5537" s="6">
        <v>700</v>
      </c>
      <c r="G5537" t="s">
        <v>3702</v>
      </c>
    </row>
    <row r="5538" spans="1:7">
      <c r="A5538" t="s">
        <v>1202</v>
      </c>
      <c r="B5538" t="s">
        <v>11970</v>
      </c>
      <c r="C5538" t="s">
        <v>4023</v>
      </c>
      <c r="D5538" t="s">
        <v>4024</v>
      </c>
      <c r="E5538">
        <v>6</v>
      </c>
      <c r="F5538" s="6">
        <v>700</v>
      </c>
      <c r="G5538" t="s">
        <v>3702</v>
      </c>
    </row>
    <row r="5539" spans="1:7">
      <c r="A5539" t="s">
        <v>11971</v>
      </c>
      <c r="B5539" t="s">
        <v>11972</v>
      </c>
      <c r="C5539" t="s">
        <v>4023</v>
      </c>
      <c r="D5539" t="s">
        <v>4024</v>
      </c>
      <c r="E5539">
        <v>6</v>
      </c>
      <c r="F5539" s="6">
        <v>750</v>
      </c>
      <c r="G5539" t="s">
        <v>6750</v>
      </c>
    </row>
    <row r="5540" spans="1:7">
      <c r="A5540" t="s">
        <v>11973</v>
      </c>
      <c r="B5540" t="s">
        <v>11974</v>
      </c>
      <c r="C5540" t="s">
        <v>4023</v>
      </c>
      <c r="D5540" t="s">
        <v>4024</v>
      </c>
      <c r="E5540">
        <v>6</v>
      </c>
      <c r="F5540" s="6">
        <v>750</v>
      </c>
      <c r="G5540" t="s">
        <v>6750</v>
      </c>
    </row>
    <row r="5541" spans="1:7">
      <c r="A5541" t="s">
        <v>11975</v>
      </c>
      <c r="B5541" t="s">
        <v>11976</v>
      </c>
      <c r="C5541" t="s">
        <v>4023</v>
      </c>
      <c r="D5541" t="s">
        <v>4024</v>
      </c>
      <c r="E5541">
        <v>6</v>
      </c>
      <c r="F5541" s="6">
        <v>750</v>
      </c>
      <c r="G5541" t="s">
        <v>6750</v>
      </c>
    </row>
    <row r="5542" spans="1:7">
      <c r="A5542" t="s">
        <v>11977</v>
      </c>
      <c r="B5542" t="s">
        <v>11978</v>
      </c>
      <c r="C5542" t="s">
        <v>4023</v>
      </c>
      <c r="D5542" t="s">
        <v>4024</v>
      </c>
      <c r="E5542">
        <v>6</v>
      </c>
      <c r="F5542" s="6">
        <v>750</v>
      </c>
      <c r="G5542" t="s">
        <v>6750</v>
      </c>
    </row>
    <row r="5543" spans="1:7">
      <c r="A5543" t="s">
        <v>11979</v>
      </c>
      <c r="B5543" t="s">
        <v>11980</v>
      </c>
      <c r="C5543" t="s">
        <v>4023</v>
      </c>
      <c r="D5543" t="s">
        <v>4024</v>
      </c>
      <c r="E5543">
        <v>6</v>
      </c>
      <c r="F5543" s="6">
        <v>750</v>
      </c>
      <c r="G5543" t="s">
        <v>6750</v>
      </c>
    </row>
    <row r="5544" spans="1:7">
      <c r="A5544" t="s">
        <v>11981</v>
      </c>
      <c r="B5544" t="s">
        <v>11982</v>
      </c>
      <c r="C5544" t="s">
        <v>4023</v>
      </c>
      <c r="D5544" t="s">
        <v>4024</v>
      </c>
      <c r="E5544">
        <v>12</v>
      </c>
      <c r="F5544" s="6">
        <v>750</v>
      </c>
      <c r="G5544" t="s">
        <v>9810</v>
      </c>
    </row>
    <row r="5545" spans="1:7">
      <c r="A5545" t="s">
        <v>11983</v>
      </c>
      <c r="B5545" t="s">
        <v>11984</v>
      </c>
      <c r="C5545" t="s">
        <v>4023</v>
      </c>
      <c r="D5545" t="s">
        <v>4024</v>
      </c>
      <c r="E5545">
        <v>6</v>
      </c>
      <c r="F5545" s="6">
        <v>1000</v>
      </c>
      <c r="G5545" t="s">
        <v>3802</v>
      </c>
    </row>
    <row r="5546" spans="1:7">
      <c r="A5546" t="s">
        <v>11985</v>
      </c>
      <c r="B5546" t="s">
        <v>11986</v>
      </c>
      <c r="C5546" t="s">
        <v>4023</v>
      </c>
      <c r="D5546" t="s">
        <v>4024</v>
      </c>
      <c r="E5546">
        <v>6</v>
      </c>
      <c r="F5546" s="6">
        <v>750</v>
      </c>
      <c r="G5546" t="s">
        <v>3735</v>
      </c>
    </row>
    <row r="5547" spans="1:7">
      <c r="A5547" t="s">
        <v>11987</v>
      </c>
      <c r="B5547" t="s">
        <v>11988</v>
      </c>
      <c r="C5547" t="s">
        <v>4023</v>
      </c>
      <c r="D5547" t="s">
        <v>4024</v>
      </c>
      <c r="E5547">
        <v>6</v>
      </c>
      <c r="F5547" s="6">
        <v>750</v>
      </c>
      <c r="G5547" t="s">
        <v>3735</v>
      </c>
    </row>
    <row r="5548" spans="1:7">
      <c r="A5548" t="s">
        <v>11989</v>
      </c>
      <c r="B5548" t="s">
        <v>11990</v>
      </c>
      <c r="C5548" t="s">
        <v>4023</v>
      </c>
      <c r="D5548" t="s">
        <v>4024</v>
      </c>
      <c r="E5548">
        <v>6</v>
      </c>
      <c r="F5548" s="6">
        <v>750</v>
      </c>
      <c r="G5548" t="s">
        <v>3735</v>
      </c>
    </row>
    <row r="5549" spans="1:7">
      <c r="A5549" t="s">
        <v>11991</v>
      </c>
      <c r="B5549" t="s">
        <v>11992</v>
      </c>
      <c r="C5549" t="s">
        <v>4190</v>
      </c>
      <c r="D5549" t="s">
        <v>4191</v>
      </c>
      <c r="E5549">
        <v>12</v>
      </c>
      <c r="F5549" s="6">
        <v>750</v>
      </c>
      <c r="G5549" t="s">
        <v>11799</v>
      </c>
    </row>
    <row r="5550" spans="1:7">
      <c r="A5550" t="s">
        <v>11993</v>
      </c>
      <c r="B5550" t="s">
        <v>11994</v>
      </c>
      <c r="C5550" t="s">
        <v>4591</v>
      </c>
      <c r="D5550" t="s">
        <v>4592</v>
      </c>
      <c r="E5550">
        <v>12</v>
      </c>
      <c r="F5550" s="6">
        <v>750</v>
      </c>
      <c r="G5550" t="s">
        <v>3931</v>
      </c>
    </row>
    <row r="5551" spans="1:7">
      <c r="A5551" t="s">
        <v>11995</v>
      </c>
      <c r="B5551" t="s">
        <v>11996</v>
      </c>
      <c r="C5551" t="s">
        <v>4591</v>
      </c>
      <c r="D5551" t="s">
        <v>4592</v>
      </c>
      <c r="E5551">
        <v>12</v>
      </c>
      <c r="F5551" s="6">
        <v>375</v>
      </c>
      <c r="G5551" t="s">
        <v>5932</v>
      </c>
    </row>
    <row r="5552" spans="1:7">
      <c r="A5552" t="s">
        <v>11997</v>
      </c>
      <c r="B5552" t="s">
        <v>11996</v>
      </c>
      <c r="C5552" t="s">
        <v>4591</v>
      </c>
      <c r="D5552" t="s">
        <v>4592</v>
      </c>
      <c r="E5552">
        <v>6</v>
      </c>
      <c r="F5552" s="6">
        <v>750</v>
      </c>
      <c r="G5552" t="s">
        <v>5932</v>
      </c>
    </row>
    <row r="5553" spans="1:7">
      <c r="A5553" t="s">
        <v>11998</v>
      </c>
      <c r="B5553" t="s">
        <v>11999</v>
      </c>
      <c r="C5553" t="s">
        <v>4591</v>
      </c>
      <c r="D5553" t="s">
        <v>4592</v>
      </c>
      <c r="E5553">
        <v>12</v>
      </c>
      <c r="F5553" s="6">
        <v>1000</v>
      </c>
      <c r="G5553" t="s">
        <v>3802</v>
      </c>
    </row>
    <row r="5554" spans="1:7">
      <c r="A5554" t="s">
        <v>12000</v>
      </c>
      <c r="B5554" t="s">
        <v>6824</v>
      </c>
      <c r="C5554" t="s">
        <v>4591</v>
      </c>
      <c r="D5554" t="s">
        <v>4592</v>
      </c>
      <c r="E5554">
        <v>6</v>
      </c>
      <c r="F5554" s="6">
        <v>1750</v>
      </c>
      <c r="G5554" t="s">
        <v>3763</v>
      </c>
    </row>
    <row r="5555" spans="1:7">
      <c r="A5555" t="s">
        <v>12001</v>
      </c>
      <c r="B5555" t="s">
        <v>12002</v>
      </c>
      <c r="C5555" t="s">
        <v>5653</v>
      </c>
      <c r="D5555" t="s">
        <v>5654</v>
      </c>
      <c r="E5555">
        <v>6</v>
      </c>
      <c r="F5555" s="6">
        <v>750</v>
      </c>
      <c r="G5555" t="s">
        <v>5421</v>
      </c>
    </row>
    <row r="5556" spans="1:7">
      <c r="A5556" t="s">
        <v>12003</v>
      </c>
      <c r="B5556" t="s">
        <v>12004</v>
      </c>
      <c r="C5556" t="s">
        <v>5668</v>
      </c>
      <c r="D5556" t="s">
        <v>5669</v>
      </c>
      <c r="E5556">
        <v>6</v>
      </c>
      <c r="F5556" s="6">
        <v>750</v>
      </c>
      <c r="G5556" t="s">
        <v>5421</v>
      </c>
    </row>
    <row r="5557" spans="1:7">
      <c r="A5557" t="s">
        <v>12005</v>
      </c>
      <c r="B5557" t="s">
        <v>12006</v>
      </c>
      <c r="C5557" t="s">
        <v>4071</v>
      </c>
      <c r="D5557" t="s">
        <v>4072</v>
      </c>
      <c r="E5557">
        <v>6</v>
      </c>
      <c r="F5557" s="6">
        <v>750</v>
      </c>
      <c r="G5557" t="s">
        <v>5421</v>
      </c>
    </row>
    <row r="5558" spans="1:7">
      <c r="A5558" t="s">
        <v>12007</v>
      </c>
      <c r="B5558" t="s">
        <v>12008</v>
      </c>
      <c r="C5558" t="s">
        <v>4591</v>
      </c>
      <c r="D5558" t="s">
        <v>4592</v>
      </c>
      <c r="E5558">
        <v>6</v>
      </c>
      <c r="F5558" s="6">
        <v>750</v>
      </c>
      <c r="G5558" t="s">
        <v>5932</v>
      </c>
    </row>
    <row r="5559" spans="1:7">
      <c r="A5559" t="s">
        <v>12009</v>
      </c>
      <c r="B5559" t="s">
        <v>12010</v>
      </c>
      <c r="C5559" t="s">
        <v>4591</v>
      </c>
      <c r="D5559" t="s">
        <v>4592</v>
      </c>
      <c r="E5559">
        <v>6</v>
      </c>
      <c r="F5559" s="6">
        <v>750</v>
      </c>
      <c r="G5559" t="s">
        <v>3951</v>
      </c>
    </row>
    <row r="5560" spans="1:7">
      <c r="A5560" t="s">
        <v>12011</v>
      </c>
      <c r="B5560" t="s">
        <v>12012</v>
      </c>
      <c r="C5560" t="s">
        <v>4591</v>
      </c>
      <c r="D5560" t="s">
        <v>4592</v>
      </c>
      <c r="E5560">
        <v>12</v>
      </c>
      <c r="F5560" s="6">
        <v>750</v>
      </c>
      <c r="G5560" t="s">
        <v>4344</v>
      </c>
    </row>
    <row r="5561" spans="1:7">
      <c r="A5561" t="s">
        <v>12013</v>
      </c>
      <c r="B5561" t="s">
        <v>12014</v>
      </c>
      <c r="C5561" t="s">
        <v>4591</v>
      </c>
      <c r="D5561" t="s">
        <v>4592</v>
      </c>
      <c r="E5561">
        <v>6</v>
      </c>
      <c r="F5561" s="6">
        <v>750</v>
      </c>
      <c r="G5561" t="s">
        <v>4344</v>
      </c>
    </row>
    <row r="5562" spans="1:7">
      <c r="A5562" t="s">
        <v>12015</v>
      </c>
      <c r="B5562" t="s">
        <v>12016</v>
      </c>
      <c r="C5562" t="s">
        <v>4591</v>
      </c>
      <c r="D5562" t="s">
        <v>4592</v>
      </c>
      <c r="E5562">
        <v>12</v>
      </c>
      <c r="F5562" s="6">
        <v>750</v>
      </c>
      <c r="G5562" t="s">
        <v>3686</v>
      </c>
    </row>
    <row r="5563" spans="1:7">
      <c r="A5563" t="s">
        <v>12017</v>
      </c>
      <c r="B5563" t="s">
        <v>12018</v>
      </c>
      <c r="C5563" t="s">
        <v>4190</v>
      </c>
      <c r="D5563" t="s">
        <v>4191</v>
      </c>
      <c r="E5563">
        <v>12</v>
      </c>
      <c r="F5563" s="6">
        <v>750</v>
      </c>
      <c r="G5563" t="s">
        <v>9715</v>
      </c>
    </row>
    <row r="5564" spans="1:7">
      <c r="A5564" t="s">
        <v>12019</v>
      </c>
      <c r="B5564" t="s">
        <v>12020</v>
      </c>
      <c r="C5564" t="s">
        <v>4591</v>
      </c>
      <c r="D5564" t="s">
        <v>4592</v>
      </c>
      <c r="E5564">
        <v>12</v>
      </c>
      <c r="F5564" s="6">
        <v>750</v>
      </c>
      <c r="G5564" t="s">
        <v>3686</v>
      </c>
    </row>
    <row r="5565" spans="1:7">
      <c r="A5565" t="s">
        <v>12021</v>
      </c>
      <c r="B5565" t="s">
        <v>12022</v>
      </c>
      <c r="C5565" t="s">
        <v>4023</v>
      </c>
      <c r="D5565" t="s">
        <v>4024</v>
      </c>
      <c r="E5565">
        <v>6</v>
      </c>
      <c r="F5565" s="6">
        <v>750</v>
      </c>
      <c r="G5565" t="s">
        <v>10131</v>
      </c>
    </row>
    <row r="5566" spans="1:7">
      <c r="A5566" t="s">
        <v>12023</v>
      </c>
      <c r="B5566" t="s">
        <v>12024</v>
      </c>
      <c r="C5566" t="s">
        <v>4591</v>
      </c>
      <c r="D5566" t="s">
        <v>4592</v>
      </c>
      <c r="E5566">
        <v>12</v>
      </c>
      <c r="F5566" s="6">
        <v>1000</v>
      </c>
      <c r="G5566" t="s">
        <v>4300</v>
      </c>
    </row>
    <row r="5567" spans="1:7">
      <c r="A5567" t="s">
        <v>12025</v>
      </c>
      <c r="B5567" t="s">
        <v>12026</v>
      </c>
      <c r="C5567" t="s">
        <v>4591</v>
      </c>
      <c r="D5567" t="s">
        <v>4592</v>
      </c>
      <c r="E5567">
        <v>6</v>
      </c>
      <c r="F5567" s="6">
        <v>1750</v>
      </c>
      <c r="G5567" t="s">
        <v>4300</v>
      </c>
    </row>
    <row r="5568" spans="1:7">
      <c r="A5568" t="s">
        <v>12027</v>
      </c>
      <c r="B5568" t="s">
        <v>12028</v>
      </c>
      <c r="C5568" t="s">
        <v>4591</v>
      </c>
      <c r="D5568" t="s">
        <v>4592</v>
      </c>
      <c r="E5568">
        <v>12</v>
      </c>
      <c r="F5568" s="6">
        <v>750</v>
      </c>
      <c r="G5568" t="s">
        <v>3686</v>
      </c>
    </row>
    <row r="5569" spans="1:7">
      <c r="A5569" t="s">
        <v>12029</v>
      </c>
      <c r="B5569" t="s">
        <v>12030</v>
      </c>
      <c r="C5569" t="s">
        <v>4591</v>
      </c>
      <c r="D5569" t="s">
        <v>4592</v>
      </c>
      <c r="E5569">
        <v>5</v>
      </c>
      <c r="F5569" s="6">
        <v>50</v>
      </c>
      <c r="G5569" t="s">
        <v>5932</v>
      </c>
    </row>
    <row r="5570" spans="1:7">
      <c r="A5570" t="s">
        <v>12031</v>
      </c>
      <c r="B5570" t="s">
        <v>12032</v>
      </c>
      <c r="C5570" t="s">
        <v>3700</v>
      </c>
      <c r="D5570" t="s">
        <v>3701</v>
      </c>
      <c r="E5570">
        <v>12</v>
      </c>
      <c r="F5570" s="6">
        <v>750</v>
      </c>
      <c r="G5570" t="s">
        <v>3730</v>
      </c>
    </row>
    <row r="5571" spans="1:7">
      <c r="A5571" t="s">
        <v>12033</v>
      </c>
      <c r="B5571" t="s">
        <v>12034</v>
      </c>
      <c r="C5571" t="s">
        <v>4591</v>
      </c>
      <c r="D5571" t="s">
        <v>4592</v>
      </c>
      <c r="E5571">
        <v>12</v>
      </c>
      <c r="F5571" s="6">
        <v>750</v>
      </c>
      <c r="G5571" t="s">
        <v>3686</v>
      </c>
    </row>
    <row r="5572" spans="1:7">
      <c r="A5572" t="s">
        <v>12035</v>
      </c>
      <c r="B5572" t="s">
        <v>12036</v>
      </c>
      <c r="C5572" t="s">
        <v>3700</v>
      </c>
      <c r="D5572" t="s">
        <v>3701</v>
      </c>
      <c r="E5572">
        <v>6</v>
      </c>
      <c r="F5572" s="6">
        <v>750</v>
      </c>
      <c r="G5572" t="s">
        <v>3871</v>
      </c>
    </row>
    <row r="5573" spans="1:7">
      <c r="A5573" t="s">
        <v>12037</v>
      </c>
      <c r="B5573" t="s">
        <v>12038</v>
      </c>
      <c r="C5573" t="s">
        <v>3700</v>
      </c>
      <c r="D5573" t="s">
        <v>3701</v>
      </c>
      <c r="E5573">
        <v>6</v>
      </c>
      <c r="F5573" s="6">
        <v>1750</v>
      </c>
      <c r="G5573" t="s">
        <v>3802</v>
      </c>
    </row>
    <row r="5574" spans="1:7">
      <c r="A5574" t="s">
        <v>12039</v>
      </c>
      <c r="B5574" t="s">
        <v>12040</v>
      </c>
      <c r="C5574" t="s">
        <v>3700</v>
      </c>
      <c r="D5574" t="s">
        <v>3701</v>
      </c>
      <c r="E5574">
        <v>12</v>
      </c>
      <c r="F5574" s="6">
        <v>375</v>
      </c>
      <c r="G5574" t="s">
        <v>3871</v>
      </c>
    </row>
    <row r="5575" spans="1:7">
      <c r="A5575" t="s">
        <v>12041</v>
      </c>
      <c r="B5575" t="s">
        <v>12042</v>
      </c>
      <c r="C5575" t="s">
        <v>4084</v>
      </c>
      <c r="D5575" t="s">
        <v>4085</v>
      </c>
      <c r="E5575">
        <v>6</v>
      </c>
      <c r="F5575" s="6">
        <v>750</v>
      </c>
      <c r="G5575" t="s">
        <v>5701</v>
      </c>
    </row>
    <row r="5576" spans="1:7">
      <c r="A5576" t="s">
        <v>12043</v>
      </c>
      <c r="B5576" t="s">
        <v>12044</v>
      </c>
      <c r="C5576" t="s">
        <v>3756</v>
      </c>
      <c r="D5576" t="s">
        <v>3757</v>
      </c>
      <c r="E5576">
        <v>6</v>
      </c>
      <c r="F5576" s="6">
        <v>750</v>
      </c>
      <c r="G5576" t="s">
        <v>5134</v>
      </c>
    </row>
    <row r="5577" spans="1:7">
      <c r="A5577" t="s">
        <v>12045</v>
      </c>
      <c r="B5577" t="s">
        <v>12046</v>
      </c>
      <c r="C5577" t="s">
        <v>3700</v>
      </c>
      <c r="D5577" t="s">
        <v>3701</v>
      </c>
      <c r="E5577">
        <v>6</v>
      </c>
      <c r="F5577" s="6">
        <v>750</v>
      </c>
      <c r="G5577" t="s">
        <v>3686</v>
      </c>
    </row>
    <row r="5578" spans="1:7">
      <c r="A5578" t="s">
        <v>12047</v>
      </c>
      <c r="B5578" t="s">
        <v>12048</v>
      </c>
      <c r="C5578" t="s">
        <v>3700</v>
      </c>
      <c r="D5578" t="s">
        <v>3701</v>
      </c>
      <c r="E5578">
        <v>6</v>
      </c>
      <c r="F5578" s="6">
        <v>750</v>
      </c>
      <c r="G5578" t="s">
        <v>3686</v>
      </c>
    </row>
    <row r="5579" spans="1:7">
      <c r="A5579" t="s">
        <v>12049</v>
      </c>
      <c r="B5579" t="s">
        <v>12050</v>
      </c>
      <c r="C5579" t="s">
        <v>4071</v>
      </c>
      <c r="D5579" t="s">
        <v>4072</v>
      </c>
      <c r="E5579">
        <v>6</v>
      </c>
      <c r="F5579" s="6">
        <v>750</v>
      </c>
      <c r="G5579" t="s">
        <v>6056</v>
      </c>
    </row>
    <row r="5580" spans="1:7">
      <c r="A5580" t="s">
        <v>12051</v>
      </c>
      <c r="B5580" t="s">
        <v>12052</v>
      </c>
      <c r="C5580" t="s">
        <v>4071</v>
      </c>
      <c r="D5580" t="s">
        <v>4072</v>
      </c>
      <c r="E5580">
        <v>6</v>
      </c>
      <c r="F5580" s="6">
        <v>750</v>
      </c>
      <c r="G5580" t="s">
        <v>6056</v>
      </c>
    </row>
    <row r="5581" spans="1:7">
      <c r="A5581" t="s">
        <v>12053</v>
      </c>
      <c r="B5581" t="s">
        <v>12054</v>
      </c>
      <c r="C5581" t="s">
        <v>4071</v>
      </c>
      <c r="D5581" t="s">
        <v>4072</v>
      </c>
      <c r="E5581">
        <v>6</v>
      </c>
      <c r="F5581" s="6">
        <v>750</v>
      </c>
      <c r="G5581" t="s">
        <v>6056</v>
      </c>
    </row>
    <row r="5582" spans="1:7">
      <c r="A5582" t="s">
        <v>12055</v>
      </c>
      <c r="B5582" t="s">
        <v>12056</v>
      </c>
      <c r="C5582" t="s">
        <v>4170</v>
      </c>
      <c r="D5582" t="s">
        <v>4171</v>
      </c>
      <c r="E5582">
        <v>6</v>
      </c>
      <c r="F5582" s="6">
        <v>1000</v>
      </c>
      <c r="G5582" t="s">
        <v>3888</v>
      </c>
    </row>
    <row r="5583" spans="1:7">
      <c r="A5583" t="s">
        <v>12057</v>
      </c>
      <c r="B5583" t="s">
        <v>12058</v>
      </c>
      <c r="C5583" t="s">
        <v>3700</v>
      </c>
      <c r="D5583" t="s">
        <v>3701</v>
      </c>
      <c r="E5583">
        <v>12</v>
      </c>
      <c r="F5583" s="6">
        <v>750</v>
      </c>
      <c r="G5583" t="s">
        <v>3730</v>
      </c>
    </row>
    <row r="5584" spans="1:7">
      <c r="A5584" t="s">
        <v>390</v>
      </c>
      <c r="B5584" t="s">
        <v>12059</v>
      </c>
      <c r="C5584" t="s">
        <v>3700</v>
      </c>
      <c r="D5584" t="s">
        <v>3701</v>
      </c>
      <c r="E5584">
        <v>6</v>
      </c>
      <c r="F5584" s="6">
        <v>1750</v>
      </c>
      <c r="G5584" t="s">
        <v>11394</v>
      </c>
    </row>
    <row r="5585" spans="1:7">
      <c r="A5585" t="s">
        <v>12060</v>
      </c>
      <c r="B5585" t="s">
        <v>12061</v>
      </c>
      <c r="C5585" t="s">
        <v>3977</v>
      </c>
      <c r="D5585" t="s">
        <v>3978</v>
      </c>
      <c r="E5585">
        <v>6</v>
      </c>
      <c r="F5585" s="6">
        <v>1750</v>
      </c>
      <c r="G5585" t="s">
        <v>11394</v>
      </c>
    </row>
    <row r="5586" spans="1:7">
      <c r="A5586" t="s">
        <v>12062</v>
      </c>
      <c r="B5586" t="s">
        <v>12063</v>
      </c>
      <c r="C5586" t="s">
        <v>3700</v>
      </c>
      <c r="D5586" t="s">
        <v>3701</v>
      </c>
      <c r="E5586">
        <v>12</v>
      </c>
      <c r="F5586" s="6">
        <v>1000</v>
      </c>
      <c r="G5586" t="s">
        <v>9335</v>
      </c>
    </row>
    <row r="5587" spans="1:7">
      <c r="A5587" t="s">
        <v>12064</v>
      </c>
      <c r="B5587" t="s">
        <v>12065</v>
      </c>
      <c r="C5587" t="s">
        <v>3700</v>
      </c>
      <c r="D5587" t="s">
        <v>3701</v>
      </c>
      <c r="E5587">
        <v>12</v>
      </c>
      <c r="F5587" s="6">
        <v>1000</v>
      </c>
      <c r="G5587" t="s">
        <v>9335</v>
      </c>
    </row>
    <row r="5588" spans="1:7">
      <c r="A5588" t="s">
        <v>12066</v>
      </c>
      <c r="B5588" t="s">
        <v>12067</v>
      </c>
      <c r="C5588" t="s">
        <v>3700</v>
      </c>
      <c r="D5588" t="s">
        <v>3701</v>
      </c>
      <c r="E5588">
        <v>6</v>
      </c>
      <c r="F5588" s="6">
        <v>1750</v>
      </c>
      <c r="G5588" t="s">
        <v>3686</v>
      </c>
    </row>
    <row r="5589" spans="1:7">
      <c r="A5589" t="s">
        <v>12068</v>
      </c>
      <c r="B5589" t="s">
        <v>12069</v>
      </c>
      <c r="C5589" t="s">
        <v>3700</v>
      </c>
      <c r="D5589" t="s">
        <v>3701</v>
      </c>
      <c r="E5589">
        <v>6</v>
      </c>
      <c r="F5589" s="6">
        <v>1750</v>
      </c>
      <c r="G5589" t="s">
        <v>3686</v>
      </c>
    </row>
    <row r="5590" spans="1:7">
      <c r="A5590" t="s">
        <v>12070</v>
      </c>
      <c r="B5590" t="s">
        <v>12071</v>
      </c>
      <c r="C5590" t="s">
        <v>3700</v>
      </c>
      <c r="D5590" t="s">
        <v>3701</v>
      </c>
      <c r="E5590">
        <v>6</v>
      </c>
      <c r="F5590" s="6">
        <v>1750</v>
      </c>
      <c r="G5590" t="s">
        <v>3686</v>
      </c>
    </row>
    <row r="5591" spans="1:7">
      <c r="A5591" t="s">
        <v>12072</v>
      </c>
      <c r="B5591" t="s">
        <v>12073</v>
      </c>
      <c r="C5591" t="s">
        <v>4084</v>
      </c>
      <c r="D5591" t="s">
        <v>4085</v>
      </c>
      <c r="E5591">
        <v>6</v>
      </c>
      <c r="F5591" s="6">
        <v>750</v>
      </c>
      <c r="G5591" t="s">
        <v>4331</v>
      </c>
    </row>
    <row r="5592" spans="1:7">
      <c r="A5592" t="s">
        <v>3302</v>
      </c>
      <c r="B5592" t="s">
        <v>12074</v>
      </c>
      <c r="C5592" t="s">
        <v>4170</v>
      </c>
      <c r="D5592" t="s">
        <v>4171</v>
      </c>
      <c r="E5592">
        <v>6</v>
      </c>
      <c r="F5592" s="6">
        <v>750</v>
      </c>
      <c r="G5592" t="s">
        <v>3686</v>
      </c>
    </row>
    <row r="5593" spans="1:7">
      <c r="A5593" t="s">
        <v>12075</v>
      </c>
      <c r="B5593" t="s">
        <v>12076</v>
      </c>
      <c r="C5593" t="s">
        <v>4170</v>
      </c>
      <c r="D5593" t="s">
        <v>4171</v>
      </c>
      <c r="E5593">
        <v>6</v>
      </c>
      <c r="F5593" s="6">
        <v>750</v>
      </c>
      <c r="G5593" t="s">
        <v>3686</v>
      </c>
    </row>
    <row r="5594" spans="1:7">
      <c r="A5594" t="s">
        <v>12077</v>
      </c>
      <c r="B5594" t="s">
        <v>12078</v>
      </c>
      <c r="C5594" t="s">
        <v>9319</v>
      </c>
      <c r="D5594" t="s">
        <v>9320</v>
      </c>
      <c r="E5594">
        <v>12</v>
      </c>
      <c r="F5594" s="6">
        <v>750</v>
      </c>
      <c r="G5594" t="s">
        <v>4117</v>
      </c>
    </row>
    <row r="5595" spans="1:7">
      <c r="A5595" t="s">
        <v>1999</v>
      </c>
      <c r="B5595" t="s">
        <v>12079</v>
      </c>
      <c r="C5595" t="s">
        <v>9319</v>
      </c>
      <c r="D5595" t="s">
        <v>9320</v>
      </c>
      <c r="E5595">
        <v>6</v>
      </c>
      <c r="F5595" s="6">
        <v>750</v>
      </c>
      <c r="G5595" t="s">
        <v>3689</v>
      </c>
    </row>
    <row r="5596" spans="1:7">
      <c r="A5596" t="s">
        <v>12080</v>
      </c>
      <c r="B5596" t="s">
        <v>7262</v>
      </c>
      <c r="C5596" t="s">
        <v>4170</v>
      </c>
      <c r="D5596" t="s">
        <v>4171</v>
      </c>
      <c r="E5596">
        <v>12</v>
      </c>
      <c r="F5596" s="6">
        <v>375</v>
      </c>
      <c r="G5596" t="s">
        <v>3888</v>
      </c>
    </row>
    <row r="5597" spans="1:7">
      <c r="A5597" t="s">
        <v>12081</v>
      </c>
      <c r="B5597" t="s">
        <v>12082</v>
      </c>
      <c r="C5597" t="s">
        <v>4170</v>
      </c>
      <c r="D5597" t="s">
        <v>4171</v>
      </c>
      <c r="E5597">
        <v>12</v>
      </c>
      <c r="F5597" s="6">
        <v>750</v>
      </c>
      <c r="G5597" t="s">
        <v>3702</v>
      </c>
    </row>
    <row r="5598" spans="1:7">
      <c r="A5598" t="s">
        <v>12083</v>
      </c>
      <c r="B5598" t="s">
        <v>12084</v>
      </c>
      <c r="C5598" t="s">
        <v>4170</v>
      </c>
      <c r="D5598" t="s">
        <v>4171</v>
      </c>
      <c r="E5598">
        <v>6</v>
      </c>
      <c r="F5598" s="6">
        <v>750</v>
      </c>
      <c r="G5598" t="s">
        <v>5701</v>
      </c>
    </row>
    <row r="5599" spans="1:7">
      <c r="A5599" t="s">
        <v>12085</v>
      </c>
      <c r="B5599" t="s">
        <v>12086</v>
      </c>
      <c r="C5599" t="s">
        <v>4170</v>
      </c>
      <c r="D5599" t="s">
        <v>4171</v>
      </c>
      <c r="E5599">
        <v>6</v>
      </c>
      <c r="F5599" s="6">
        <v>750</v>
      </c>
      <c r="G5599" t="s">
        <v>3888</v>
      </c>
    </row>
    <row r="5600" spans="1:7">
      <c r="A5600" t="s">
        <v>12087</v>
      </c>
      <c r="B5600" t="s">
        <v>12088</v>
      </c>
      <c r="C5600" t="s">
        <v>4170</v>
      </c>
      <c r="D5600" t="s">
        <v>4171</v>
      </c>
      <c r="E5600">
        <v>6</v>
      </c>
      <c r="F5600" s="6">
        <v>50</v>
      </c>
      <c r="G5600" t="s">
        <v>3787</v>
      </c>
    </row>
    <row r="5601" spans="1:7">
      <c r="A5601" t="s">
        <v>12089</v>
      </c>
      <c r="B5601" t="s">
        <v>12090</v>
      </c>
      <c r="C5601" t="s">
        <v>9909</v>
      </c>
      <c r="D5601" t="s">
        <v>4171</v>
      </c>
      <c r="E5601">
        <v>1</v>
      </c>
      <c r="F5601" s="6">
        <v>750</v>
      </c>
      <c r="G5601" t="s">
        <v>3787</v>
      </c>
    </row>
    <row r="5602" spans="1:7">
      <c r="A5602" t="s">
        <v>12091</v>
      </c>
      <c r="B5602" t="s">
        <v>7276</v>
      </c>
      <c r="C5602" t="s">
        <v>4170</v>
      </c>
      <c r="D5602" t="s">
        <v>4171</v>
      </c>
      <c r="E5602">
        <v>6</v>
      </c>
      <c r="F5602" s="6">
        <v>750</v>
      </c>
      <c r="G5602" t="s">
        <v>4344</v>
      </c>
    </row>
    <row r="5603" spans="1:7">
      <c r="A5603" t="s">
        <v>12092</v>
      </c>
      <c r="B5603" t="s">
        <v>12093</v>
      </c>
      <c r="C5603" t="s">
        <v>9909</v>
      </c>
      <c r="D5603" t="s">
        <v>4171</v>
      </c>
      <c r="E5603">
        <v>6</v>
      </c>
      <c r="F5603" s="6">
        <v>700</v>
      </c>
      <c r="G5603" t="s">
        <v>5698</v>
      </c>
    </row>
    <row r="5604" spans="1:7">
      <c r="A5604" t="s">
        <v>12094</v>
      </c>
      <c r="B5604" t="s">
        <v>12095</v>
      </c>
      <c r="C5604" t="s">
        <v>4052</v>
      </c>
      <c r="D5604" t="s">
        <v>4053</v>
      </c>
      <c r="E5604">
        <v>12</v>
      </c>
      <c r="F5604" s="6">
        <v>750</v>
      </c>
      <c r="G5604" t="s">
        <v>3705</v>
      </c>
    </row>
    <row r="5605" spans="1:7">
      <c r="A5605" t="s">
        <v>12096</v>
      </c>
      <c r="B5605" t="s">
        <v>7286</v>
      </c>
      <c r="C5605" t="s">
        <v>4170</v>
      </c>
      <c r="D5605" t="s">
        <v>4171</v>
      </c>
      <c r="E5605">
        <v>6</v>
      </c>
      <c r="F5605" s="6">
        <v>750</v>
      </c>
      <c r="G5605" t="s">
        <v>3802</v>
      </c>
    </row>
    <row r="5606" spans="1:7">
      <c r="A5606" t="s">
        <v>12097</v>
      </c>
      <c r="B5606" t="s">
        <v>12098</v>
      </c>
      <c r="C5606" t="s">
        <v>6442</v>
      </c>
      <c r="D5606" t="s">
        <v>6443</v>
      </c>
      <c r="E5606">
        <v>12</v>
      </c>
      <c r="F5606" s="6">
        <v>750</v>
      </c>
      <c r="G5606" t="s">
        <v>3702</v>
      </c>
    </row>
    <row r="5607" spans="1:7">
      <c r="A5607" t="s">
        <v>12099</v>
      </c>
      <c r="B5607" t="s">
        <v>12100</v>
      </c>
      <c r="C5607" t="s">
        <v>9909</v>
      </c>
      <c r="D5607" t="s">
        <v>4171</v>
      </c>
      <c r="E5607">
        <v>6</v>
      </c>
      <c r="F5607" s="6">
        <v>1000</v>
      </c>
      <c r="G5607" t="s">
        <v>3702</v>
      </c>
    </row>
    <row r="5608" spans="1:7">
      <c r="A5608" t="s">
        <v>12101</v>
      </c>
      <c r="B5608" t="s">
        <v>12102</v>
      </c>
      <c r="C5608" t="s">
        <v>9909</v>
      </c>
      <c r="D5608" t="s">
        <v>4171</v>
      </c>
      <c r="E5608">
        <v>6</v>
      </c>
      <c r="F5608" s="6">
        <v>750</v>
      </c>
      <c r="G5608" t="s">
        <v>4032</v>
      </c>
    </row>
    <row r="5609" spans="1:7">
      <c r="A5609" t="s">
        <v>12103</v>
      </c>
      <c r="B5609" t="s">
        <v>12104</v>
      </c>
      <c r="C5609" t="s">
        <v>4052</v>
      </c>
      <c r="D5609" t="s">
        <v>4053</v>
      </c>
      <c r="E5609">
        <v>6</v>
      </c>
      <c r="F5609" s="6">
        <v>750</v>
      </c>
      <c r="G5609" t="s">
        <v>3802</v>
      </c>
    </row>
    <row r="5610" spans="1:7">
      <c r="A5610" t="s">
        <v>12105</v>
      </c>
      <c r="B5610" t="s">
        <v>12106</v>
      </c>
      <c r="C5610" t="s">
        <v>4052</v>
      </c>
      <c r="D5610" t="s">
        <v>4053</v>
      </c>
      <c r="E5610">
        <v>6</v>
      </c>
      <c r="F5610" s="6">
        <v>750</v>
      </c>
      <c r="G5610" t="s">
        <v>3802</v>
      </c>
    </row>
    <row r="5611" spans="1:7">
      <c r="A5611" t="s">
        <v>12107</v>
      </c>
      <c r="B5611" t="s">
        <v>7300</v>
      </c>
      <c r="C5611" t="s">
        <v>7301</v>
      </c>
      <c r="D5611" t="s">
        <v>7302</v>
      </c>
      <c r="E5611">
        <v>12</v>
      </c>
      <c r="F5611" s="6">
        <v>750</v>
      </c>
      <c r="G5611" t="s">
        <v>4182</v>
      </c>
    </row>
    <row r="5612" spans="1:7">
      <c r="A5612" t="s">
        <v>12108</v>
      </c>
      <c r="B5612" t="s">
        <v>12109</v>
      </c>
      <c r="C5612" t="s">
        <v>9909</v>
      </c>
      <c r="D5612" t="s">
        <v>4171</v>
      </c>
      <c r="E5612">
        <v>6</v>
      </c>
      <c r="F5612" s="6">
        <v>750</v>
      </c>
      <c r="G5612" t="s">
        <v>3802</v>
      </c>
    </row>
    <row r="5613" spans="1:7">
      <c r="A5613" t="s">
        <v>12110</v>
      </c>
      <c r="B5613" t="s">
        <v>12111</v>
      </c>
      <c r="C5613" t="s">
        <v>5653</v>
      </c>
      <c r="D5613" t="s">
        <v>5654</v>
      </c>
      <c r="E5613">
        <v>6</v>
      </c>
      <c r="F5613" s="6">
        <v>750</v>
      </c>
      <c r="G5613" t="s">
        <v>3702</v>
      </c>
    </row>
    <row r="5614" spans="1:7">
      <c r="A5614" t="s">
        <v>3001</v>
      </c>
      <c r="B5614" t="s">
        <v>12112</v>
      </c>
      <c r="C5614" t="s">
        <v>4170</v>
      </c>
      <c r="D5614" t="s">
        <v>4171</v>
      </c>
      <c r="E5614">
        <v>6</v>
      </c>
      <c r="F5614" s="6">
        <v>750</v>
      </c>
      <c r="G5614" t="s">
        <v>9810</v>
      </c>
    </row>
    <row r="5615" spans="1:7">
      <c r="A5615" t="s">
        <v>12113</v>
      </c>
      <c r="B5615" t="s">
        <v>12114</v>
      </c>
      <c r="C5615" t="s">
        <v>9319</v>
      </c>
      <c r="D5615" t="s">
        <v>9320</v>
      </c>
      <c r="E5615">
        <v>6</v>
      </c>
      <c r="F5615" s="6">
        <v>750</v>
      </c>
      <c r="G5615" t="s">
        <v>9810</v>
      </c>
    </row>
    <row r="5616" spans="1:7">
      <c r="A5616" t="s">
        <v>12115</v>
      </c>
      <c r="B5616" t="s">
        <v>12116</v>
      </c>
      <c r="C5616" t="s">
        <v>4170</v>
      </c>
      <c r="D5616" t="s">
        <v>4171</v>
      </c>
      <c r="E5616">
        <v>12</v>
      </c>
      <c r="F5616" s="6">
        <v>750</v>
      </c>
      <c r="G5616" t="s">
        <v>3802</v>
      </c>
    </row>
    <row r="5617" spans="1:7">
      <c r="A5617" t="s">
        <v>12117</v>
      </c>
      <c r="B5617" t="s">
        <v>12118</v>
      </c>
      <c r="C5617" t="s">
        <v>9319</v>
      </c>
      <c r="D5617" t="s">
        <v>9320</v>
      </c>
      <c r="E5617">
        <v>6</v>
      </c>
      <c r="F5617" s="6">
        <v>1000</v>
      </c>
      <c r="G5617" t="s">
        <v>3702</v>
      </c>
    </row>
    <row r="5618" spans="1:7">
      <c r="A5618" t="s">
        <v>12119</v>
      </c>
      <c r="B5618" t="s">
        <v>12120</v>
      </c>
      <c r="C5618" t="s">
        <v>6411</v>
      </c>
      <c r="D5618" t="s">
        <v>6412</v>
      </c>
      <c r="E5618">
        <v>6</v>
      </c>
      <c r="F5618" s="6">
        <v>750</v>
      </c>
      <c r="G5618" t="s">
        <v>3702</v>
      </c>
    </row>
    <row r="5619" spans="1:7">
      <c r="A5619" t="s">
        <v>12121</v>
      </c>
      <c r="B5619" t="s">
        <v>12122</v>
      </c>
      <c r="C5619" t="s">
        <v>4170</v>
      </c>
      <c r="D5619" t="s">
        <v>4171</v>
      </c>
      <c r="E5619">
        <v>6</v>
      </c>
      <c r="F5619" s="6">
        <v>750</v>
      </c>
      <c r="G5619" t="s">
        <v>11928</v>
      </c>
    </row>
    <row r="5620" spans="1:7">
      <c r="A5620" t="s">
        <v>12123</v>
      </c>
      <c r="B5620" t="s">
        <v>12124</v>
      </c>
      <c r="C5620" t="s">
        <v>9319</v>
      </c>
      <c r="D5620" t="s">
        <v>9320</v>
      </c>
      <c r="E5620">
        <v>6</v>
      </c>
      <c r="F5620" s="6">
        <v>750</v>
      </c>
      <c r="G5620" t="s">
        <v>3802</v>
      </c>
    </row>
    <row r="5621" spans="1:7">
      <c r="A5621" t="s">
        <v>12125</v>
      </c>
      <c r="B5621" t="s">
        <v>12126</v>
      </c>
      <c r="C5621" t="s">
        <v>4170</v>
      </c>
      <c r="D5621" t="s">
        <v>4171</v>
      </c>
      <c r="E5621">
        <v>6</v>
      </c>
      <c r="F5621" s="6">
        <v>1000</v>
      </c>
      <c r="G5621" t="s">
        <v>3702</v>
      </c>
    </row>
    <row r="5622" spans="1:7">
      <c r="A5622" t="s">
        <v>12127</v>
      </c>
      <c r="B5622" t="s">
        <v>12128</v>
      </c>
      <c r="C5622" t="s">
        <v>4170</v>
      </c>
      <c r="D5622" t="s">
        <v>4171</v>
      </c>
      <c r="E5622">
        <v>6</v>
      </c>
      <c r="F5622" s="6">
        <v>750</v>
      </c>
      <c r="G5622" t="s">
        <v>3702</v>
      </c>
    </row>
    <row r="5623" spans="1:7">
      <c r="A5623" t="s">
        <v>12129</v>
      </c>
      <c r="B5623" t="s">
        <v>12130</v>
      </c>
      <c r="C5623" t="s">
        <v>9909</v>
      </c>
      <c r="D5623" t="s">
        <v>4171</v>
      </c>
      <c r="E5623">
        <v>6</v>
      </c>
      <c r="F5623" s="6">
        <v>750</v>
      </c>
      <c r="G5623" t="s">
        <v>3702</v>
      </c>
    </row>
    <row r="5624" spans="1:7">
      <c r="A5624" t="s">
        <v>12131</v>
      </c>
      <c r="B5624" t="s">
        <v>12132</v>
      </c>
      <c r="C5624" t="s">
        <v>9909</v>
      </c>
      <c r="D5624" t="s">
        <v>4171</v>
      </c>
      <c r="E5624">
        <v>6</v>
      </c>
      <c r="F5624" s="6">
        <v>750</v>
      </c>
      <c r="G5624" t="s">
        <v>4902</v>
      </c>
    </row>
    <row r="5625" spans="1:7">
      <c r="A5625" t="s">
        <v>12133</v>
      </c>
      <c r="B5625" t="s">
        <v>12134</v>
      </c>
      <c r="C5625" t="s">
        <v>4170</v>
      </c>
      <c r="D5625" t="s">
        <v>4171</v>
      </c>
      <c r="E5625">
        <v>6</v>
      </c>
      <c r="F5625" s="6">
        <v>750</v>
      </c>
      <c r="G5625" t="s">
        <v>4902</v>
      </c>
    </row>
    <row r="5626" spans="1:7">
      <c r="A5626" t="s">
        <v>12135</v>
      </c>
      <c r="B5626" t="s">
        <v>12136</v>
      </c>
      <c r="C5626" t="s">
        <v>4170</v>
      </c>
      <c r="D5626" t="s">
        <v>4171</v>
      </c>
      <c r="E5626">
        <v>6</v>
      </c>
      <c r="F5626" s="6">
        <v>750</v>
      </c>
      <c r="G5626" t="s">
        <v>4902</v>
      </c>
    </row>
    <row r="5627" spans="1:7">
      <c r="A5627" t="s">
        <v>2289</v>
      </c>
      <c r="B5627" t="s">
        <v>12137</v>
      </c>
      <c r="C5627" t="s">
        <v>6424</v>
      </c>
      <c r="D5627" t="s">
        <v>6425</v>
      </c>
      <c r="E5627">
        <v>12</v>
      </c>
      <c r="F5627" s="6">
        <v>1000</v>
      </c>
      <c r="G5627" t="s">
        <v>3686</v>
      </c>
    </row>
    <row r="5628" spans="1:7">
      <c r="A5628" t="s">
        <v>491</v>
      </c>
      <c r="B5628" t="s">
        <v>12138</v>
      </c>
      <c r="C5628" t="s">
        <v>6442</v>
      </c>
      <c r="D5628" t="s">
        <v>6443</v>
      </c>
      <c r="E5628">
        <v>12</v>
      </c>
      <c r="F5628" s="6">
        <v>750</v>
      </c>
      <c r="G5628" t="s">
        <v>4117</v>
      </c>
    </row>
    <row r="5629" spans="1:7">
      <c r="A5629" t="s">
        <v>12139</v>
      </c>
      <c r="B5629" t="s">
        <v>7318</v>
      </c>
      <c r="C5629" t="s">
        <v>9909</v>
      </c>
      <c r="D5629" t="s">
        <v>4171</v>
      </c>
      <c r="E5629">
        <v>12</v>
      </c>
      <c r="F5629" s="6">
        <v>375</v>
      </c>
      <c r="G5629" t="s">
        <v>3888</v>
      </c>
    </row>
    <row r="5630" spans="1:7">
      <c r="A5630" t="s">
        <v>12140</v>
      </c>
      <c r="B5630" t="s">
        <v>12141</v>
      </c>
      <c r="C5630" t="s">
        <v>5804</v>
      </c>
      <c r="D5630" t="s">
        <v>5805</v>
      </c>
      <c r="E5630">
        <v>12</v>
      </c>
      <c r="F5630" s="6">
        <v>750</v>
      </c>
      <c r="G5630" t="s">
        <v>3730</v>
      </c>
    </row>
    <row r="5631" spans="1:7">
      <c r="A5631" t="s">
        <v>12142</v>
      </c>
      <c r="B5631" t="s">
        <v>12143</v>
      </c>
      <c r="C5631" t="s">
        <v>4170</v>
      </c>
      <c r="D5631" t="s">
        <v>4171</v>
      </c>
      <c r="E5631">
        <v>10</v>
      </c>
      <c r="F5631" s="6">
        <v>50</v>
      </c>
      <c r="G5631" t="s">
        <v>5698</v>
      </c>
    </row>
    <row r="5632" spans="1:7">
      <c r="A5632" t="s">
        <v>12144</v>
      </c>
      <c r="B5632" t="s">
        <v>12145</v>
      </c>
      <c r="C5632" t="s">
        <v>4170</v>
      </c>
      <c r="D5632" t="s">
        <v>4171</v>
      </c>
      <c r="E5632">
        <v>12</v>
      </c>
      <c r="F5632" s="6">
        <v>750</v>
      </c>
      <c r="G5632" t="s">
        <v>3702</v>
      </c>
    </row>
    <row r="5633" spans="1:7">
      <c r="A5633" t="s">
        <v>12146</v>
      </c>
      <c r="B5633" t="s">
        <v>12147</v>
      </c>
      <c r="C5633" t="s">
        <v>6442</v>
      </c>
      <c r="D5633" t="s">
        <v>6443</v>
      </c>
      <c r="E5633">
        <v>6</v>
      </c>
      <c r="F5633" s="6">
        <v>750</v>
      </c>
      <c r="G5633" t="s">
        <v>5932</v>
      </c>
    </row>
    <row r="5634" spans="1:7">
      <c r="A5634" t="s">
        <v>12148</v>
      </c>
      <c r="B5634" t="s">
        <v>12149</v>
      </c>
      <c r="C5634" t="s">
        <v>4170</v>
      </c>
      <c r="D5634" t="s">
        <v>4171</v>
      </c>
      <c r="E5634">
        <v>6</v>
      </c>
      <c r="F5634" s="6">
        <v>750</v>
      </c>
      <c r="G5634" t="s">
        <v>3802</v>
      </c>
    </row>
    <row r="5635" spans="1:7">
      <c r="A5635" t="s">
        <v>12150</v>
      </c>
      <c r="B5635" t="s">
        <v>12151</v>
      </c>
      <c r="C5635" t="s">
        <v>9909</v>
      </c>
      <c r="D5635" t="s">
        <v>4171</v>
      </c>
      <c r="E5635">
        <v>6</v>
      </c>
      <c r="F5635" s="6">
        <v>750</v>
      </c>
      <c r="G5635" t="s">
        <v>3802</v>
      </c>
    </row>
    <row r="5636" spans="1:7">
      <c r="A5636" t="s">
        <v>12152</v>
      </c>
      <c r="B5636" t="s">
        <v>12153</v>
      </c>
      <c r="C5636" t="s">
        <v>4170</v>
      </c>
      <c r="D5636" t="s">
        <v>4171</v>
      </c>
      <c r="E5636">
        <v>6</v>
      </c>
      <c r="F5636" s="6">
        <v>750</v>
      </c>
      <c r="G5636" t="s">
        <v>3802</v>
      </c>
    </row>
    <row r="5637" spans="1:7">
      <c r="A5637" t="s">
        <v>12154</v>
      </c>
      <c r="B5637" t="s">
        <v>12155</v>
      </c>
      <c r="C5637" t="s">
        <v>4170</v>
      </c>
      <c r="D5637" t="s">
        <v>4171</v>
      </c>
      <c r="E5637">
        <v>6</v>
      </c>
      <c r="F5637" s="6">
        <v>750</v>
      </c>
      <c r="G5637" t="s">
        <v>3802</v>
      </c>
    </row>
    <row r="5638" spans="1:7">
      <c r="A5638" t="s">
        <v>12156</v>
      </c>
      <c r="B5638" t="s">
        <v>12157</v>
      </c>
      <c r="C5638" t="s">
        <v>4170</v>
      </c>
      <c r="D5638" t="s">
        <v>4171</v>
      </c>
      <c r="E5638">
        <v>6</v>
      </c>
      <c r="F5638" s="6">
        <v>750</v>
      </c>
      <c r="G5638" t="s">
        <v>3802</v>
      </c>
    </row>
    <row r="5639" spans="1:7">
      <c r="A5639" t="s">
        <v>12158</v>
      </c>
      <c r="B5639" t="s">
        <v>12159</v>
      </c>
      <c r="C5639" t="s">
        <v>9909</v>
      </c>
      <c r="D5639" t="s">
        <v>4171</v>
      </c>
      <c r="E5639">
        <v>6</v>
      </c>
      <c r="F5639" s="6">
        <v>750</v>
      </c>
      <c r="G5639" t="s">
        <v>3802</v>
      </c>
    </row>
    <row r="5640" spans="1:7">
      <c r="A5640" t="s">
        <v>12160</v>
      </c>
      <c r="B5640" t="s">
        <v>12161</v>
      </c>
      <c r="C5640" t="s">
        <v>4170</v>
      </c>
      <c r="D5640" t="s">
        <v>4171</v>
      </c>
      <c r="E5640">
        <v>6</v>
      </c>
      <c r="F5640" s="6">
        <v>750</v>
      </c>
      <c r="G5640" t="s">
        <v>3802</v>
      </c>
    </row>
    <row r="5641" spans="1:7">
      <c r="A5641" t="s">
        <v>12162</v>
      </c>
      <c r="B5641" t="s">
        <v>12163</v>
      </c>
      <c r="C5641" t="s">
        <v>4170</v>
      </c>
      <c r="D5641" t="s">
        <v>4171</v>
      </c>
      <c r="E5641">
        <v>6</v>
      </c>
      <c r="F5641" s="6">
        <v>750</v>
      </c>
      <c r="G5641" t="s">
        <v>3802</v>
      </c>
    </row>
    <row r="5642" spans="1:7">
      <c r="A5642" t="s">
        <v>12164</v>
      </c>
      <c r="B5642" t="s">
        <v>12165</v>
      </c>
      <c r="C5642" t="s">
        <v>4170</v>
      </c>
      <c r="D5642" t="s">
        <v>4171</v>
      </c>
      <c r="E5642">
        <v>6</v>
      </c>
      <c r="F5642" s="6">
        <v>750</v>
      </c>
      <c r="G5642" t="s">
        <v>3802</v>
      </c>
    </row>
    <row r="5643" spans="1:7">
      <c r="A5643" t="s">
        <v>12166</v>
      </c>
      <c r="B5643" t="s">
        <v>12167</v>
      </c>
      <c r="C5643" t="s">
        <v>4170</v>
      </c>
      <c r="D5643" t="s">
        <v>4171</v>
      </c>
      <c r="E5643">
        <v>6</v>
      </c>
      <c r="F5643" s="6">
        <v>750</v>
      </c>
      <c r="G5643" t="s">
        <v>3802</v>
      </c>
    </row>
    <row r="5644" spans="1:7">
      <c r="A5644" t="s">
        <v>12168</v>
      </c>
      <c r="B5644" t="s">
        <v>12169</v>
      </c>
      <c r="C5644" t="s">
        <v>4170</v>
      </c>
      <c r="D5644" t="s">
        <v>4171</v>
      </c>
      <c r="E5644">
        <v>6</v>
      </c>
      <c r="F5644" s="6">
        <v>750</v>
      </c>
      <c r="G5644" t="s">
        <v>3802</v>
      </c>
    </row>
    <row r="5645" spans="1:7">
      <c r="A5645" t="s">
        <v>12170</v>
      </c>
      <c r="B5645" t="s">
        <v>12171</v>
      </c>
      <c r="C5645" t="s">
        <v>4170</v>
      </c>
      <c r="D5645" t="s">
        <v>4171</v>
      </c>
      <c r="E5645">
        <v>6</v>
      </c>
      <c r="F5645" s="6">
        <v>1000</v>
      </c>
      <c r="G5645" t="s">
        <v>3802</v>
      </c>
    </row>
    <row r="5646" spans="1:7">
      <c r="A5646" t="s">
        <v>12172</v>
      </c>
      <c r="B5646" t="s">
        <v>12173</v>
      </c>
      <c r="C5646" t="s">
        <v>4170</v>
      </c>
      <c r="D5646" t="s">
        <v>4171</v>
      </c>
      <c r="E5646">
        <v>6</v>
      </c>
      <c r="F5646" s="6">
        <v>750</v>
      </c>
      <c r="G5646" t="s">
        <v>3802</v>
      </c>
    </row>
    <row r="5647" spans="1:7">
      <c r="A5647" t="s">
        <v>12174</v>
      </c>
      <c r="B5647" t="s">
        <v>12175</v>
      </c>
      <c r="C5647" t="s">
        <v>4170</v>
      </c>
      <c r="D5647" t="s">
        <v>4171</v>
      </c>
      <c r="E5647">
        <v>6</v>
      </c>
      <c r="F5647" s="6">
        <v>750</v>
      </c>
      <c r="G5647" t="s">
        <v>3802</v>
      </c>
    </row>
    <row r="5648" spans="1:7">
      <c r="A5648" t="s">
        <v>12176</v>
      </c>
      <c r="B5648" t="s">
        <v>12177</v>
      </c>
      <c r="C5648" t="s">
        <v>9909</v>
      </c>
      <c r="D5648" t="s">
        <v>4171</v>
      </c>
      <c r="E5648">
        <v>6</v>
      </c>
      <c r="F5648" s="6">
        <v>750</v>
      </c>
      <c r="G5648" t="s">
        <v>3802</v>
      </c>
    </row>
    <row r="5649" spans="1:7">
      <c r="A5649" t="s">
        <v>12178</v>
      </c>
      <c r="B5649" t="s">
        <v>12179</v>
      </c>
      <c r="C5649" t="s">
        <v>4170</v>
      </c>
      <c r="D5649" t="s">
        <v>4171</v>
      </c>
      <c r="E5649">
        <v>6</v>
      </c>
      <c r="F5649" s="6">
        <v>750</v>
      </c>
      <c r="G5649" t="s">
        <v>3888</v>
      </c>
    </row>
    <row r="5650" spans="1:7">
      <c r="A5650" t="s">
        <v>12180</v>
      </c>
      <c r="B5650" t="s">
        <v>12181</v>
      </c>
      <c r="C5650" t="s">
        <v>4170</v>
      </c>
      <c r="D5650" t="s">
        <v>4171</v>
      </c>
      <c r="E5650">
        <v>1</v>
      </c>
      <c r="F5650" s="6">
        <v>750</v>
      </c>
      <c r="G5650" t="s">
        <v>3888</v>
      </c>
    </row>
    <row r="5651" spans="1:7">
      <c r="A5651" t="s">
        <v>12182</v>
      </c>
      <c r="B5651" t="s">
        <v>7361</v>
      </c>
      <c r="C5651" t="s">
        <v>4170</v>
      </c>
      <c r="D5651" t="s">
        <v>4171</v>
      </c>
      <c r="E5651">
        <v>6</v>
      </c>
      <c r="F5651" s="6">
        <v>750</v>
      </c>
      <c r="G5651" t="s">
        <v>3702</v>
      </c>
    </row>
    <row r="5652" spans="1:7">
      <c r="A5652" t="s">
        <v>12183</v>
      </c>
      <c r="B5652" t="s">
        <v>12184</v>
      </c>
      <c r="C5652" t="s">
        <v>6442</v>
      </c>
      <c r="D5652" t="s">
        <v>6443</v>
      </c>
      <c r="E5652">
        <v>6</v>
      </c>
      <c r="F5652" s="6">
        <v>750</v>
      </c>
      <c r="G5652" t="s">
        <v>10000</v>
      </c>
    </row>
    <row r="5653" spans="1:7">
      <c r="A5653" t="s">
        <v>12185</v>
      </c>
      <c r="B5653" t="s">
        <v>12186</v>
      </c>
      <c r="C5653" t="s">
        <v>9319</v>
      </c>
      <c r="D5653" t="s">
        <v>9320</v>
      </c>
      <c r="E5653">
        <v>10</v>
      </c>
      <c r="F5653" s="6">
        <v>50</v>
      </c>
      <c r="G5653" t="s">
        <v>3888</v>
      </c>
    </row>
    <row r="5654" spans="1:7">
      <c r="A5654" t="s">
        <v>12187</v>
      </c>
      <c r="B5654" t="s">
        <v>12188</v>
      </c>
      <c r="C5654" t="s">
        <v>4170</v>
      </c>
      <c r="D5654" t="s">
        <v>4171</v>
      </c>
      <c r="E5654">
        <v>12</v>
      </c>
      <c r="F5654" s="6">
        <v>750</v>
      </c>
      <c r="G5654" t="s">
        <v>4117</v>
      </c>
    </row>
    <row r="5655" spans="1:7">
      <c r="A5655" t="s">
        <v>12189</v>
      </c>
      <c r="B5655" t="s">
        <v>12190</v>
      </c>
      <c r="C5655" t="s">
        <v>4170</v>
      </c>
      <c r="D5655" t="s">
        <v>4171</v>
      </c>
      <c r="E5655">
        <v>6</v>
      </c>
      <c r="F5655" s="6">
        <v>750</v>
      </c>
      <c r="G5655" t="s">
        <v>3931</v>
      </c>
    </row>
    <row r="5656" spans="1:7">
      <c r="A5656" t="s">
        <v>12191</v>
      </c>
      <c r="B5656" t="s">
        <v>12192</v>
      </c>
      <c r="C5656" t="s">
        <v>6442</v>
      </c>
      <c r="D5656" t="s">
        <v>6443</v>
      </c>
      <c r="E5656">
        <v>6</v>
      </c>
      <c r="F5656" s="6">
        <v>750</v>
      </c>
      <c r="G5656" t="s">
        <v>10000</v>
      </c>
    </row>
    <row r="5657" spans="1:7">
      <c r="A5657" t="s">
        <v>1015</v>
      </c>
      <c r="B5657" t="s">
        <v>12193</v>
      </c>
      <c r="C5657" t="s">
        <v>4170</v>
      </c>
      <c r="D5657" t="s">
        <v>4171</v>
      </c>
      <c r="E5657">
        <v>12</v>
      </c>
      <c r="F5657" s="6">
        <v>750</v>
      </c>
      <c r="G5657" t="s">
        <v>3702</v>
      </c>
    </row>
    <row r="5658" spans="1:7">
      <c r="A5658" t="s">
        <v>12194</v>
      </c>
      <c r="B5658" t="s">
        <v>12195</v>
      </c>
      <c r="C5658" t="s">
        <v>4170</v>
      </c>
      <c r="D5658" t="s">
        <v>4171</v>
      </c>
      <c r="E5658">
        <v>6</v>
      </c>
      <c r="F5658" s="6">
        <v>750</v>
      </c>
      <c r="G5658" t="s">
        <v>3702</v>
      </c>
    </row>
    <row r="5659" spans="1:7">
      <c r="A5659" t="s">
        <v>12196</v>
      </c>
      <c r="B5659" t="s">
        <v>12197</v>
      </c>
      <c r="C5659" t="s">
        <v>6442</v>
      </c>
      <c r="D5659" t="s">
        <v>6443</v>
      </c>
      <c r="E5659">
        <v>12</v>
      </c>
      <c r="F5659" s="6">
        <v>750</v>
      </c>
      <c r="G5659" t="s">
        <v>7383</v>
      </c>
    </row>
    <row r="5660" spans="1:7">
      <c r="A5660" t="s">
        <v>828</v>
      </c>
      <c r="B5660" t="s">
        <v>12198</v>
      </c>
      <c r="C5660" t="s">
        <v>4170</v>
      </c>
      <c r="D5660" t="s">
        <v>4171</v>
      </c>
      <c r="E5660">
        <v>6</v>
      </c>
      <c r="F5660" s="6">
        <v>750</v>
      </c>
      <c r="G5660" t="s">
        <v>3681</v>
      </c>
    </row>
    <row r="5661" spans="1:7">
      <c r="A5661" t="s">
        <v>3123</v>
      </c>
      <c r="B5661" t="s">
        <v>12199</v>
      </c>
      <c r="C5661" t="s">
        <v>6442</v>
      </c>
      <c r="D5661" t="s">
        <v>6443</v>
      </c>
      <c r="E5661">
        <v>12</v>
      </c>
      <c r="F5661" s="6">
        <v>750</v>
      </c>
      <c r="G5661" t="s">
        <v>7383</v>
      </c>
    </row>
    <row r="5662" spans="1:7">
      <c r="A5662" t="s">
        <v>12200</v>
      </c>
      <c r="B5662" t="s">
        <v>12201</v>
      </c>
      <c r="C5662" t="s">
        <v>6442</v>
      </c>
      <c r="D5662" t="s">
        <v>6443</v>
      </c>
      <c r="E5662">
        <v>20</v>
      </c>
      <c r="F5662" s="6">
        <v>375</v>
      </c>
      <c r="G5662" t="s">
        <v>7383</v>
      </c>
    </row>
    <row r="5663" spans="1:7">
      <c r="A5663" t="s">
        <v>2219</v>
      </c>
      <c r="B5663" t="s">
        <v>12202</v>
      </c>
      <c r="C5663" t="s">
        <v>6442</v>
      </c>
      <c r="D5663" t="s">
        <v>6443</v>
      </c>
      <c r="E5663">
        <v>20</v>
      </c>
      <c r="F5663" s="6">
        <v>375</v>
      </c>
      <c r="G5663" t="s">
        <v>7383</v>
      </c>
    </row>
    <row r="5664" spans="1:7">
      <c r="A5664" t="s">
        <v>960</v>
      </c>
      <c r="B5664" t="s">
        <v>12203</v>
      </c>
      <c r="C5664" t="s">
        <v>6442</v>
      </c>
      <c r="D5664" t="s">
        <v>6443</v>
      </c>
      <c r="E5664">
        <v>12</v>
      </c>
      <c r="F5664" s="6">
        <v>750</v>
      </c>
      <c r="G5664" t="s">
        <v>7383</v>
      </c>
    </row>
    <row r="5665" spans="1:7">
      <c r="A5665" t="s">
        <v>12204</v>
      </c>
      <c r="B5665" t="s">
        <v>12205</v>
      </c>
      <c r="C5665" t="s">
        <v>4052</v>
      </c>
      <c r="D5665" t="s">
        <v>4053</v>
      </c>
      <c r="E5665">
        <v>12</v>
      </c>
      <c r="F5665" s="6">
        <v>750</v>
      </c>
      <c r="G5665" t="s">
        <v>10017</v>
      </c>
    </row>
    <row r="5666" spans="1:7">
      <c r="A5666" t="s">
        <v>12206</v>
      </c>
      <c r="B5666" t="s">
        <v>12207</v>
      </c>
      <c r="C5666" t="s">
        <v>6442</v>
      </c>
      <c r="D5666" t="s">
        <v>6443</v>
      </c>
      <c r="E5666">
        <v>20</v>
      </c>
      <c r="F5666" s="6">
        <v>375</v>
      </c>
      <c r="G5666" t="s">
        <v>7383</v>
      </c>
    </row>
    <row r="5667" spans="1:7">
      <c r="A5667" t="s">
        <v>12208</v>
      </c>
      <c r="B5667" t="s">
        <v>12209</v>
      </c>
      <c r="C5667" t="s">
        <v>11437</v>
      </c>
      <c r="D5667" t="s">
        <v>3722</v>
      </c>
      <c r="E5667">
        <v>6</v>
      </c>
      <c r="F5667" s="6">
        <v>750</v>
      </c>
      <c r="G5667" t="s">
        <v>4358</v>
      </c>
    </row>
    <row r="5668" spans="1:7">
      <c r="A5668" t="s">
        <v>12210</v>
      </c>
      <c r="B5668" t="s">
        <v>12211</v>
      </c>
      <c r="C5668" t="s">
        <v>11437</v>
      </c>
      <c r="D5668" t="s">
        <v>3722</v>
      </c>
      <c r="E5668">
        <v>6</v>
      </c>
      <c r="F5668" s="6">
        <v>750</v>
      </c>
      <c r="G5668" t="s">
        <v>4358</v>
      </c>
    </row>
    <row r="5669" spans="1:7">
      <c r="A5669" t="s">
        <v>12212</v>
      </c>
      <c r="B5669" t="s">
        <v>12213</v>
      </c>
      <c r="C5669" t="s">
        <v>4170</v>
      </c>
      <c r="D5669" t="s">
        <v>4171</v>
      </c>
      <c r="E5669">
        <v>12</v>
      </c>
      <c r="F5669" s="6">
        <v>750</v>
      </c>
      <c r="G5669" t="s">
        <v>3702</v>
      </c>
    </row>
    <row r="5670" spans="1:7">
      <c r="A5670" t="s">
        <v>12214</v>
      </c>
      <c r="B5670" t="s">
        <v>12215</v>
      </c>
      <c r="C5670" t="s">
        <v>5804</v>
      </c>
      <c r="D5670" t="s">
        <v>5805</v>
      </c>
      <c r="E5670">
        <v>12</v>
      </c>
      <c r="F5670" s="6">
        <v>750</v>
      </c>
      <c r="G5670" t="s">
        <v>3730</v>
      </c>
    </row>
    <row r="5671" spans="1:7">
      <c r="A5671" t="s">
        <v>1312</v>
      </c>
      <c r="B5671" t="s">
        <v>12216</v>
      </c>
      <c r="C5671" t="s">
        <v>6442</v>
      </c>
      <c r="D5671" t="s">
        <v>6443</v>
      </c>
      <c r="E5671">
        <v>20</v>
      </c>
      <c r="F5671" s="6">
        <v>375</v>
      </c>
      <c r="G5671" t="s">
        <v>7383</v>
      </c>
    </row>
    <row r="5672" spans="1:7">
      <c r="A5672" t="s">
        <v>12217</v>
      </c>
      <c r="B5672" t="s">
        <v>12218</v>
      </c>
      <c r="C5672" t="s">
        <v>9909</v>
      </c>
      <c r="D5672" t="s">
        <v>4171</v>
      </c>
      <c r="E5672">
        <v>5</v>
      </c>
      <c r="F5672" s="6">
        <v>50</v>
      </c>
      <c r="G5672" t="s">
        <v>3992</v>
      </c>
    </row>
    <row r="5673" spans="1:7">
      <c r="A5673" t="s">
        <v>12219</v>
      </c>
      <c r="B5673" t="s">
        <v>12220</v>
      </c>
      <c r="C5673" t="s">
        <v>10161</v>
      </c>
      <c r="D5673" t="s">
        <v>6443</v>
      </c>
      <c r="E5673">
        <v>12</v>
      </c>
      <c r="F5673" s="6">
        <v>50</v>
      </c>
      <c r="G5673" t="s">
        <v>3802</v>
      </c>
    </row>
    <row r="5674" spans="1:7">
      <c r="A5674" t="s">
        <v>12221</v>
      </c>
      <c r="B5674" t="s">
        <v>12222</v>
      </c>
      <c r="C5674" t="s">
        <v>9909</v>
      </c>
      <c r="D5674" t="s">
        <v>4171</v>
      </c>
      <c r="E5674">
        <v>24</v>
      </c>
      <c r="F5674" s="6">
        <v>375</v>
      </c>
      <c r="G5674" t="s">
        <v>3686</v>
      </c>
    </row>
    <row r="5675" spans="1:7">
      <c r="A5675" t="s">
        <v>12223</v>
      </c>
      <c r="B5675" t="s">
        <v>7400</v>
      </c>
      <c r="C5675" t="s">
        <v>9909</v>
      </c>
      <c r="D5675" t="s">
        <v>4171</v>
      </c>
      <c r="E5675">
        <v>12</v>
      </c>
      <c r="F5675" s="6">
        <v>375</v>
      </c>
      <c r="G5675" t="s">
        <v>3802</v>
      </c>
    </row>
    <row r="5676" spans="1:7">
      <c r="A5676" t="s">
        <v>12224</v>
      </c>
      <c r="B5676" t="s">
        <v>7400</v>
      </c>
      <c r="C5676" t="s">
        <v>9909</v>
      </c>
      <c r="D5676" t="s">
        <v>4171</v>
      </c>
      <c r="E5676">
        <v>6</v>
      </c>
      <c r="F5676" s="6">
        <v>1750</v>
      </c>
      <c r="G5676" t="s">
        <v>3802</v>
      </c>
    </row>
    <row r="5677" spans="1:7">
      <c r="A5677" t="s">
        <v>12225</v>
      </c>
      <c r="B5677" t="s">
        <v>12226</v>
      </c>
      <c r="C5677" t="s">
        <v>10161</v>
      </c>
      <c r="D5677" t="s">
        <v>6443</v>
      </c>
      <c r="E5677">
        <v>6</v>
      </c>
      <c r="F5677" s="6">
        <v>750</v>
      </c>
      <c r="G5677" t="s">
        <v>4117</v>
      </c>
    </row>
    <row r="5678" spans="1:7">
      <c r="A5678" t="s">
        <v>12227</v>
      </c>
      <c r="B5678" t="s">
        <v>7404</v>
      </c>
      <c r="C5678" t="s">
        <v>4170</v>
      </c>
      <c r="D5678" t="s">
        <v>4171</v>
      </c>
      <c r="E5678">
        <v>6</v>
      </c>
      <c r="F5678" s="6">
        <v>1000</v>
      </c>
      <c r="G5678" t="s">
        <v>3802</v>
      </c>
    </row>
    <row r="5679" spans="1:7">
      <c r="A5679" t="s">
        <v>12228</v>
      </c>
      <c r="B5679" t="s">
        <v>12229</v>
      </c>
      <c r="C5679" t="s">
        <v>6442</v>
      </c>
      <c r="D5679" t="s">
        <v>6443</v>
      </c>
      <c r="E5679">
        <v>6</v>
      </c>
      <c r="F5679" s="6">
        <v>375</v>
      </c>
      <c r="G5679" t="s">
        <v>7383</v>
      </c>
    </row>
    <row r="5680" spans="1:7">
      <c r="A5680" t="s">
        <v>12230</v>
      </c>
      <c r="B5680" t="s">
        <v>12231</v>
      </c>
      <c r="C5680" t="s">
        <v>10161</v>
      </c>
      <c r="D5680" t="s">
        <v>6443</v>
      </c>
      <c r="E5680">
        <v>12</v>
      </c>
      <c r="F5680" s="6">
        <v>750</v>
      </c>
      <c r="G5680" t="s">
        <v>4445</v>
      </c>
    </row>
    <row r="5681" spans="1:7">
      <c r="A5681" t="s">
        <v>12232</v>
      </c>
      <c r="B5681" t="s">
        <v>12233</v>
      </c>
      <c r="C5681" t="s">
        <v>5626</v>
      </c>
      <c r="D5681" t="s">
        <v>5627</v>
      </c>
      <c r="E5681">
        <v>6</v>
      </c>
      <c r="F5681" s="6">
        <v>750</v>
      </c>
      <c r="G5681" t="s">
        <v>3686</v>
      </c>
    </row>
    <row r="5682" spans="1:7">
      <c r="A5682" t="s">
        <v>12234</v>
      </c>
      <c r="B5682" t="s">
        <v>12235</v>
      </c>
      <c r="C5682" t="s">
        <v>4170</v>
      </c>
      <c r="D5682" t="s">
        <v>4171</v>
      </c>
      <c r="E5682">
        <v>2</v>
      </c>
      <c r="F5682" s="6">
        <v>750</v>
      </c>
      <c r="G5682" t="s">
        <v>3888</v>
      </c>
    </row>
    <row r="5683" spans="1:7">
      <c r="A5683" t="s">
        <v>12236</v>
      </c>
      <c r="B5683" t="s">
        <v>12237</v>
      </c>
      <c r="C5683" t="s">
        <v>4170</v>
      </c>
      <c r="D5683" t="s">
        <v>4171</v>
      </c>
      <c r="E5683">
        <v>6</v>
      </c>
      <c r="F5683" s="6">
        <v>700</v>
      </c>
      <c r="G5683" t="s">
        <v>3713</v>
      </c>
    </row>
    <row r="5684" spans="1:7">
      <c r="A5684" t="s">
        <v>12238</v>
      </c>
      <c r="B5684" t="s">
        <v>12239</v>
      </c>
      <c r="C5684" t="s">
        <v>4170</v>
      </c>
      <c r="D5684" t="s">
        <v>4171</v>
      </c>
      <c r="E5684">
        <v>6</v>
      </c>
      <c r="F5684" s="6">
        <v>700</v>
      </c>
      <c r="G5684" t="s">
        <v>3802</v>
      </c>
    </row>
    <row r="5685" spans="1:7">
      <c r="A5685" t="s">
        <v>12240</v>
      </c>
      <c r="B5685" t="s">
        <v>12241</v>
      </c>
      <c r="C5685" t="s">
        <v>4170</v>
      </c>
      <c r="D5685" t="s">
        <v>4171</v>
      </c>
      <c r="E5685">
        <v>6</v>
      </c>
      <c r="F5685" s="6">
        <v>750</v>
      </c>
      <c r="G5685" t="s">
        <v>5932</v>
      </c>
    </row>
    <row r="5686" spans="1:7">
      <c r="A5686" t="s">
        <v>12242</v>
      </c>
      <c r="B5686" t="s">
        <v>12243</v>
      </c>
      <c r="C5686" t="s">
        <v>9909</v>
      </c>
      <c r="D5686" t="s">
        <v>4171</v>
      </c>
      <c r="E5686">
        <v>6</v>
      </c>
      <c r="F5686" s="6">
        <v>750</v>
      </c>
      <c r="G5686" t="s">
        <v>11095</v>
      </c>
    </row>
    <row r="5687" spans="1:7">
      <c r="A5687" t="s">
        <v>12244</v>
      </c>
      <c r="B5687" t="s">
        <v>12245</v>
      </c>
      <c r="C5687" t="s">
        <v>4170</v>
      </c>
      <c r="D5687" t="s">
        <v>4171</v>
      </c>
      <c r="E5687">
        <v>12</v>
      </c>
      <c r="F5687" s="6">
        <v>750</v>
      </c>
      <c r="G5687" t="s">
        <v>3713</v>
      </c>
    </row>
    <row r="5688" spans="1:7">
      <c r="A5688" t="s">
        <v>12246</v>
      </c>
      <c r="B5688" t="s">
        <v>7424</v>
      </c>
      <c r="C5688" t="s">
        <v>9909</v>
      </c>
      <c r="D5688" t="s">
        <v>4171</v>
      </c>
      <c r="E5688">
        <v>12</v>
      </c>
      <c r="F5688" s="6">
        <v>750</v>
      </c>
      <c r="G5688" t="s">
        <v>3713</v>
      </c>
    </row>
    <row r="5689" spans="1:7">
      <c r="A5689" t="s">
        <v>12247</v>
      </c>
      <c r="B5689" t="s">
        <v>12248</v>
      </c>
      <c r="C5689" t="s">
        <v>9319</v>
      </c>
      <c r="D5689" t="s">
        <v>9320</v>
      </c>
      <c r="E5689">
        <v>12</v>
      </c>
      <c r="F5689" s="6">
        <v>750</v>
      </c>
      <c r="G5689" t="s">
        <v>3713</v>
      </c>
    </row>
    <row r="5690" spans="1:7">
      <c r="A5690" t="s">
        <v>12249</v>
      </c>
      <c r="B5690" t="s">
        <v>7425</v>
      </c>
      <c r="C5690" t="s">
        <v>5626</v>
      </c>
      <c r="D5690" t="s">
        <v>5627</v>
      </c>
      <c r="E5690">
        <v>6</v>
      </c>
      <c r="F5690" s="6">
        <v>750</v>
      </c>
      <c r="G5690" t="s">
        <v>4182</v>
      </c>
    </row>
    <row r="5691" spans="1:7">
      <c r="A5691" t="s">
        <v>12250</v>
      </c>
      <c r="B5691" t="s">
        <v>12251</v>
      </c>
      <c r="C5691" t="s">
        <v>9909</v>
      </c>
      <c r="D5691" t="s">
        <v>4171</v>
      </c>
      <c r="E5691">
        <v>6</v>
      </c>
      <c r="F5691" s="6">
        <v>750</v>
      </c>
      <c r="G5691" t="s">
        <v>3686</v>
      </c>
    </row>
    <row r="5692" spans="1:7">
      <c r="A5692" t="s">
        <v>12252</v>
      </c>
      <c r="B5692" t="s">
        <v>12253</v>
      </c>
      <c r="C5692" t="s">
        <v>4170</v>
      </c>
      <c r="D5692" t="s">
        <v>4171</v>
      </c>
      <c r="E5692">
        <v>6</v>
      </c>
      <c r="F5692" s="6">
        <v>750</v>
      </c>
      <c r="G5692" t="s">
        <v>3802</v>
      </c>
    </row>
    <row r="5693" spans="1:7">
      <c r="A5693" t="s">
        <v>12254</v>
      </c>
      <c r="B5693" t="s">
        <v>12255</v>
      </c>
      <c r="C5693" t="s">
        <v>6411</v>
      </c>
      <c r="D5693" t="s">
        <v>6412</v>
      </c>
      <c r="E5693">
        <v>6</v>
      </c>
      <c r="F5693" s="6">
        <v>750</v>
      </c>
      <c r="G5693" t="s">
        <v>3702</v>
      </c>
    </row>
    <row r="5694" spans="1:7">
      <c r="A5694" t="s">
        <v>12256</v>
      </c>
      <c r="B5694" t="s">
        <v>12257</v>
      </c>
      <c r="C5694" t="s">
        <v>4170</v>
      </c>
      <c r="D5694" t="s">
        <v>4171</v>
      </c>
      <c r="E5694">
        <v>6</v>
      </c>
      <c r="F5694" s="6">
        <v>750</v>
      </c>
      <c r="G5694" t="s">
        <v>3686</v>
      </c>
    </row>
    <row r="5695" spans="1:7">
      <c r="A5695" t="s">
        <v>12258</v>
      </c>
      <c r="B5695" t="s">
        <v>12259</v>
      </c>
      <c r="C5695" t="s">
        <v>4170</v>
      </c>
      <c r="D5695" t="s">
        <v>4171</v>
      </c>
      <c r="E5695">
        <v>8</v>
      </c>
      <c r="F5695" s="6">
        <v>700</v>
      </c>
      <c r="G5695" t="s">
        <v>9803</v>
      </c>
    </row>
    <row r="5696" spans="1:7">
      <c r="A5696" t="s">
        <v>12260</v>
      </c>
      <c r="B5696" t="s">
        <v>7453</v>
      </c>
      <c r="C5696" t="s">
        <v>4052</v>
      </c>
      <c r="D5696" t="s">
        <v>4053</v>
      </c>
      <c r="E5696">
        <v>12</v>
      </c>
      <c r="F5696" s="6">
        <v>750</v>
      </c>
      <c r="G5696" t="s">
        <v>5748</v>
      </c>
    </row>
    <row r="5697" spans="1:7">
      <c r="A5697" t="s">
        <v>12261</v>
      </c>
      <c r="B5697" t="s">
        <v>12262</v>
      </c>
      <c r="C5697" t="s">
        <v>4071</v>
      </c>
      <c r="D5697" t="s">
        <v>4072</v>
      </c>
      <c r="E5697">
        <v>12</v>
      </c>
      <c r="F5697" s="6">
        <v>1000</v>
      </c>
      <c r="G5697" t="s">
        <v>7461</v>
      </c>
    </row>
    <row r="5698" spans="1:7">
      <c r="A5698" t="s">
        <v>12263</v>
      </c>
      <c r="B5698" t="s">
        <v>7460</v>
      </c>
      <c r="C5698" t="s">
        <v>6442</v>
      </c>
      <c r="D5698" t="s">
        <v>6443</v>
      </c>
      <c r="E5698">
        <v>12</v>
      </c>
      <c r="F5698" s="6">
        <v>1000</v>
      </c>
      <c r="G5698" t="s">
        <v>7461</v>
      </c>
    </row>
    <row r="5699" spans="1:7">
      <c r="A5699" t="s">
        <v>12264</v>
      </c>
      <c r="B5699" t="s">
        <v>12265</v>
      </c>
      <c r="C5699" t="s">
        <v>7442</v>
      </c>
      <c r="D5699" t="s">
        <v>7443</v>
      </c>
      <c r="E5699">
        <v>12</v>
      </c>
      <c r="F5699" s="6">
        <v>50</v>
      </c>
      <c r="G5699" t="s">
        <v>3689</v>
      </c>
    </row>
    <row r="5700" spans="1:7">
      <c r="A5700" t="s">
        <v>12266</v>
      </c>
      <c r="B5700" t="s">
        <v>12267</v>
      </c>
      <c r="C5700" t="s">
        <v>4170</v>
      </c>
      <c r="D5700" t="s">
        <v>4171</v>
      </c>
      <c r="E5700">
        <v>6</v>
      </c>
      <c r="F5700" s="6">
        <v>750</v>
      </c>
      <c r="G5700" t="s">
        <v>12268</v>
      </c>
    </row>
    <row r="5701" spans="1:7">
      <c r="A5701" t="s">
        <v>12269</v>
      </c>
      <c r="B5701" t="s">
        <v>12270</v>
      </c>
      <c r="C5701" t="s">
        <v>4170</v>
      </c>
      <c r="D5701" t="s">
        <v>4171</v>
      </c>
      <c r="E5701">
        <v>6</v>
      </c>
      <c r="F5701" s="6">
        <v>750</v>
      </c>
      <c r="G5701" t="s">
        <v>7497</v>
      </c>
    </row>
    <row r="5702" spans="1:7">
      <c r="A5702" t="s">
        <v>12271</v>
      </c>
      <c r="B5702" t="s">
        <v>12272</v>
      </c>
      <c r="C5702" t="s">
        <v>4170</v>
      </c>
      <c r="D5702" t="s">
        <v>4171</v>
      </c>
      <c r="E5702">
        <v>6</v>
      </c>
      <c r="F5702" s="6">
        <v>750</v>
      </c>
      <c r="G5702" t="s">
        <v>7497</v>
      </c>
    </row>
    <row r="5703" spans="1:7">
      <c r="A5703" t="s">
        <v>12273</v>
      </c>
      <c r="B5703" t="s">
        <v>12274</v>
      </c>
      <c r="C5703" t="s">
        <v>9319</v>
      </c>
      <c r="D5703" t="s">
        <v>9320</v>
      </c>
      <c r="E5703">
        <v>6</v>
      </c>
      <c r="F5703" s="6">
        <v>750</v>
      </c>
      <c r="G5703" t="s">
        <v>7497</v>
      </c>
    </row>
    <row r="5704" spans="1:7">
      <c r="A5704" t="s">
        <v>12275</v>
      </c>
      <c r="B5704" t="s">
        <v>12276</v>
      </c>
      <c r="C5704" t="s">
        <v>4170</v>
      </c>
      <c r="D5704" t="s">
        <v>4171</v>
      </c>
      <c r="E5704">
        <v>6</v>
      </c>
      <c r="F5704" s="6">
        <v>750</v>
      </c>
      <c r="G5704" t="s">
        <v>7497</v>
      </c>
    </row>
    <row r="5705" spans="1:7">
      <c r="A5705" t="s">
        <v>12277</v>
      </c>
      <c r="B5705" t="s">
        <v>12278</v>
      </c>
      <c r="C5705" t="s">
        <v>4170</v>
      </c>
      <c r="D5705" t="s">
        <v>4171</v>
      </c>
      <c r="E5705">
        <v>6</v>
      </c>
      <c r="F5705" s="6">
        <v>750</v>
      </c>
      <c r="G5705" t="s">
        <v>11951</v>
      </c>
    </row>
    <row r="5706" spans="1:7">
      <c r="A5706" t="s">
        <v>12279</v>
      </c>
      <c r="B5706" t="s">
        <v>12280</v>
      </c>
      <c r="C5706" t="s">
        <v>4023</v>
      </c>
      <c r="D5706" t="s">
        <v>4024</v>
      </c>
      <c r="E5706">
        <v>12</v>
      </c>
      <c r="F5706" s="6">
        <v>750</v>
      </c>
      <c r="G5706" t="s">
        <v>5698</v>
      </c>
    </row>
    <row r="5707" spans="1:7">
      <c r="A5707" t="s">
        <v>12281</v>
      </c>
      <c r="B5707" t="s">
        <v>12282</v>
      </c>
      <c r="C5707" t="s">
        <v>10161</v>
      </c>
      <c r="D5707" t="s">
        <v>6443</v>
      </c>
      <c r="E5707">
        <v>20</v>
      </c>
      <c r="F5707" s="6">
        <v>375</v>
      </c>
      <c r="G5707" t="s">
        <v>7383</v>
      </c>
    </row>
    <row r="5708" spans="1:7">
      <c r="A5708" t="s">
        <v>12283</v>
      </c>
      <c r="B5708" t="s">
        <v>12284</v>
      </c>
      <c r="C5708" t="s">
        <v>4170</v>
      </c>
      <c r="D5708" t="s">
        <v>4171</v>
      </c>
      <c r="E5708">
        <v>12</v>
      </c>
      <c r="F5708" s="6">
        <v>750</v>
      </c>
      <c r="G5708" t="s">
        <v>11582</v>
      </c>
    </row>
    <row r="5709" spans="1:7">
      <c r="A5709" t="s">
        <v>12285</v>
      </c>
      <c r="B5709" t="s">
        <v>12286</v>
      </c>
      <c r="C5709" t="s">
        <v>8664</v>
      </c>
      <c r="D5709" t="s">
        <v>8665</v>
      </c>
      <c r="E5709">
        <v>6</v>
      </c>
      <c r="F5709" s="6">
        <v>750</v>
      </c>
      <c r="G5709" t="s">
        <v>3888</v>
      </c>
    </row>
    <row r="5710" spans="1:7">
      <c r="A5710" t="s">
        <v>12287</v>
      </c>
      <c r="B5710" t="s">
        <v>12288</v>
      </c>
      <c r="C5710" t="s">
        <v>9909</v>
      </c>
      <c r="D5710" t="s">
        <v>4171</v>
      </c>
      <c r="E5710">
        <v>6</v>
      </c>
      <c r="F5710" s="6">
        <v>750</v>
      </c>
      <c r="G5710" t="s">
        <v>3686</v>
      </c>
    </row>
    <row r="5711" spans="1:7">
      <c r="A5711" t="s">
        <v>12289</v>
      </c>
      <c r="B5711" t="s">
        <v>12290</v>
      </c>
      <c r="C5711" t="s">
        <v>4170</v>
      </c>
      <c r="D5711" t="s">
        <v>4171</v>
      </c>
      <c r="E5711">
        <v>6</v>
      </c>
      <c r="F5711" s="6">
        <v>750</v>
      </c>
      <c r="G5711" t="s">
        <v>3686</v>
      </c>
    </row>
    <row r="5712" spans="1:7">
      <c r="A5712" t="s">
        <v>12291</v>
      </c>
      <c r="B5712" t="s">
        <v>12292</v>
      </c>
      <c r="C5712" t="s">
        <v>9909</v>
      </c>
      <c r="D5712" t="s">
        <v>4171</v>
      </c>
      <c r="E5712">
        <v>6</v>
      </c>
      <c r="F5712" s="6">
        <v>750</v>
      </c>
      <c r="G5712" t="s">
        <v>3686</v>
      </c>
    </row>
    <row r="5713" spans="1:7">
      <c r="A5713" t="s">
        <v>12293</v>
      </c>
      <c r="B5713" t="s">
        <v>12294</v>
      </c>
      <c r="C5713" t="s">
        <v>4170</v>
      </c>
      <c r="D5713" t="s">
        <v>4171</v>
      </c>
      <c r="E5713">
        <v>12</v>
      </c>
      <c r="F5713" s="6">
        <v>750</v>
      </c>
      <c r="G5713" t="s">
        <v>3702</v>
      </c>
    </row>
    <row r="5714" spans="1:7">
      <c r="A5714" t="s">
        <v>12295</v>
      </c>
      <c r="B5714" t="s">
        <v>7485</v>
      </c>
      <c r="C5714" t="s">
        <v>7486</v>
      </c>
      <c r="D5714" t="s">
        <v>7487</v>
      </c>
      <c r="E5714">
        <v>6</v>
      </c>
      <c r="F5714" s="6">
        <v>750</v>
      </c>
      <c r="G5714" t="s">
        <v>4032</v>
      </c>
    </row>
    <row r="5715" spans="1:7">
      <c r="A5715" t="s">
        <v>12296</v>
      </c>
      <c r="B5715" t="s">
        <v>12297</v>
      </c>
      <c r="C5715" t="s">
        <v>4170</v>
      </c>
      <c r="D5715" t="s">
        <v>4171</v>
      </c>
      <c r="E5715">
        <v>6</v>
      </c>
      <c r="F5715" s="6">
        <v>700</v>
      </c>
      <c r="G5715" t="s">
        <v>9810</v>
      </c>
    </row>
    <row r="5716" spans="1:7">
      <c r="A5716" t="s">
        <v>12298</v>
      </c>
      <c r="B5716" t="s">
        <v>12299</v>
      </c>
      <c r="C5716" t="s">
        <v>3756</v>
      </c>
      <c r="D5716" t="s">
        <v>3757</v>
      </c>
      <c r="E5716">
        <v>6</v>
      </c>
      <c r="F5716" s="6">
        <v>750</v>
      </c>
      <c r="G5716" t="s">
        <v>5701</v>
      </c>
    </row>
    <row r="5717" spans="1:7">
      <c r="A5717" t="s">
        <v>12300</v>
      </c>
      <c r="B5717" t="s">
        <v>12301</v>
      </c>
      <c r="C5717" t="s">
        <v>6442</v>
      </c>
      <c r="D5717" t="s">
        <v>6443</v>
      </c>
      <c r="E5717">
        <v>6</v>
      </c>
      <c r="F5717" s="6">
        <v>750</v>
      </c>
      <c r="G5717" t="s">
        <v>5932</v>
      </c>
    </row>
    <row r="5718" spans="1:7">
      <c r="A5718" t="s">
        <v>2349</v>
      </c>
      <c r="B5718" t="s">
        <v>12302</v>
      </c>
      <c r="C5718" t="s">
        <v>6442</v>
      </c>
      <c r="D5718" t="s">
        <v>6443</v>
      </c>
      <c r="E5718">
        <v>6</v>
      </c>
      <c r="F5718" s="6">
        <v>750</v>
      </c>
      <c r="G5718" t="s">
        <v>7497</v>
      </c>
    </row>
    <row r="5719" spans="1:7">
      <c r="A5719" t="s">
        <v>12303</v>
      </c>
      <c r="B5719" t="s">
        <v>12304</v>
      </c>
      <c r="C5719" t="s">
        <v>4170</v>
      </c>
      <c r="D5719" t="s">
        <v>4171</v>
      </c>
      <c r="E5719">
        <v>6</v>
      </c>
      <c r="F5719" s="6">
        <v>750</v>
      </c>
      <c r="G5719" t="s">
        <v>4344</v>
      </c>
    </row>
    <row r="5720" spans="1:7">
      <c r="A5720" t="s">
        <v>450</v>
      </c>
      <c r="B5720" t="s">
        <v>12305</v>
      </c>
      <c r="C5720" t="s">
        <v>4170</v>
      </c>
      <c r="D5720" t="s">
        <v>4171</v>
      </c>
      <c r="E5720">
        <v>12</v>
      </c>
      <c r="F5720" s="6">
        <v>750</v>
      </c>
      <c r="G5720" t="s">
        <v>3702</v>
      </c>
    </row>
    <row r="5721" spans="1:7">
      <c r="A5721" t="s">
        <v>12306</v>
      </c>
      <c r="B5721" t="s">
        <v>12307</v>
      </c>
      <c r="C5721" t="s">
        <v>4170</v>
      </c>
      <c r="D5721" t="s">
        <v>4171</v>
      </c>
      <c r="E5721">
        <v>6</v>
      </c>
      <c r="F5721" s="6">
        <v>750</v>
      </c>
      <c r="G5721" t="s">
        <v>3681</v>
      </c>
    </row>
    <row r="5722" spans="1:7">
      <c r="A5722" t="s">
        <v>12308</v>
      </c>
      <c r="B5722" t="s">
        <v>12309</v>
      </c>
      <c r="C5722" t="s">
        <v>4170</v>
      </c>
      <c r="D5722" t="s">
        <v>4171</v>
      </c>
      <c r="E5722">
        <v>6</v>
      </c>
      <c r="F5722" s="6">
        <v>750</v>
      </c>
      <c r="G5722" t="s">
        <v>3787</v>
      </c>
    </row>
    <row r="5723" spans="1:7">
      <c r="A5723" t="s">
        <v>12310</v>
      </c>
      <c r="B5723" t="s">
        <v>12311</v>
      </c>
      <c r="C5723" t="s">
        <v>9909</v>
      </c>
      <c r="D5723" t="s">
        <v>4171</v>
      </c>
      <c r="E5723">
        <v>12</v>
      </c>
      <c r="F5723" s="6">
        <v>750</v>
      </c>
      <c r="G5723" t="s">
        <v>3702</v>
      </c>
    </row>
    <row r="5724" spans="1:7">
      <c r="A5724" t="s">
        <v>12312</v>
      </c>
      <c r="B5724" t="s">
        <v>12313</v>
      </c>
      <c r="C5724" t="s">
        <v>6442</v>
      </c>
      <c r="D5724" t="s">
        <v>6443</v>
      </c>
      <c r="E5724">
        <v>6</v>
      </c>
      <c r="F5724" s="6">
        <v>750</v>
      </c>
      <c r="G5724" t="s">
        <v>5788</v>
      </c>
    </row>
    <row r="5725" spans="1:7">
      <c r="A5725" t="s">
        <v>12314</v>
      </c>
      <c r="B5725" t="s">
        <v>7505</v>
      </c>
      <c r="C5725" t="s">
        <v>4170</v>
      </c>
      <c r="D5725" t="s">
        <v>4171</v>
      </c>
      <c r="E5725">
        <v>6</v>
      </c>
      <c r="F5725" s="6">
        <v>750</v>
      </c>
      <c r="G5725" t="s">
        <v>4779</v>
      </c>
    </row>
    <row r="5726" spans="1:7">
      <c r="A5726" t="s">
        <v>12315</v>
      </c>
      <c r="B5726" t="s">
        <v>12316</v>
      </c>
      <c r="C5726" t="s">
        <v>4170</v>
      </c>
      <c r="D5726" t="s">
        <v>4171</v>
      </c>
      <c r="E5726">
        <v>6</v>
      </c>
      <c r="F5726" s="6">
        <v>750</v>
      </c>
      <c r="G5726" t="s">
        <v>3802</v>
      </c>
    </row>
    <row r="5727" spans="1:7">
      <c r="A5727" t="s">
        <v>12317</v>
      </c>
      <c r="B5727" t="s">
        <v>12318</v>
      </c>
      <c r="C5727" t="s">
        <v>4170</v>
      </c>
      <c r="D5727" t="s">
        <v>4171</v>
      </c>
      <c r="E5727">
        <v>6</v>
      </c>
      <c r="F5727" s="6">
        <v>750</v>
      </c>
      <c r="G5727" t="s">
        <v>3802</v>
      </c>
    </row>
    <row r="5728" spans="1:7">
      <c r="A5728" t="s">
        <v>12319</v>
      </c>
      <c r="B5728" t="s">
        <v>12320</v>
      </c>
      <c r="C5728" t="s">
        <v>4170</v>
      </c>
      <c r="D5728" t="s">
        <v>4171</v>
      </c>
      <c r="E5728">
        <v>6</v>
      </c>
      <c r="F5728" s="6">
        <v>750</v>
      </c>
      <c r="G5728" t="s">
        <v>3802</v>
      </c>
    </row>
    <row r="5729" spans="1:7">
      <c r="A5729" t="s">
        <v>12321</v>
      </c>
      <c r="B5729" t="s">
        <v>12322</v>
      </c>
      <c r="C5729" t="s">
        <v>4170</v>
      </c>
      <c r="D5729" t="s">
        <v>4171</v>
      </c>
      <c r="E5729">
        <v>6</v>
      </c>
      <c r="F5729" s="6">
        <v>750</v>
      </c>
      <c r="G5729" t="s">
        <v>3802</v>
      </c>
    </row>
    <row r="5730" spans="1:7">
      <c r="A5730" t="s">
        <v>12323</v>
      </c>
      <c r="B5730" t="s">
        <v>7508</v>
      </c>
      <c r="C5730" t="s">
        <v>9909</v>
      </c>
      <c r="D5730" t="s">
        <v>4171</v>
      </c>
      <c r="E5730">
        <v>6</v>
      </c>
      <c r="F5730" s="6">
        <v>750</v>
      </c>
      <c r="G5730" t="s">
        <v>4779</v>
      </c>
    </row>
    <row r="5731" spans="1:7">
      <c r="A5731" t="s">
        <v>12324</v>
      </c>
      <c r="B5731" t="s">
        <v>12325</v>
      </c>
      <c r="C5731" t="s">
        <v>9909</v>
      </c>
      <c r="D5731" t="s">
        <v>4171</v>
      </c>
      <c r="E5731">
        <v>12</v>
      </c>
      <c r="F5731" s="6">
        <v>700</v>
      </c>
      <c r="G5731" t="s">
        <v>3702</v>
      </c>
    </row>
    <row r="5732" spans="1:7">
      <c r="A5732" t="s">
        <v>12326</v>
      </c>
      <c r="B5732" t="s">
        <v>12327</v>
      </c>
      <c r="C5732" t="s">
        <v>4170</v>
      </c>
      <c r="D5732" t="s">
        <v>4171</v>
      </c>
      <c r="E5732">
        <v>6</v>
      </c>
      <c r="F5732" s="6">
        <v>750</v>
      </c>
      <c r="G5732" t="s">
        <v>3888</v>
      </c>
    </row>
    <row r="5733" spans="1:7">
      <c r="A5733" t="s">
        <v>12328</v>
      </c>
      <c r="B5733" t="s">
        <v>12329</v>
      </c>
      <c r="C5733" t="s">
        <v>4170</v>
      </c>
      <c r="D5733" t="s">
        <v>4171</v>
      </c>
      <c r="E5733">
        <v>6</v>
      </c>
      <c r="F5733" s="6">
        <v>700</v>
      </c>
      <c r="G5733" t="s">
        <v>3802</v>
      </c>
    </row>
    <row r="5734" spans="1:7">
      <c r="A5734" t="s">
        <v>12330</v>
      </c>
      <c r="B5734" t="s">
        <v>12331</v>
      </c>
      <c r="C5734" t="s">
        <v>9909</v>
      </c>
      <c r="D5734" t="s">
        <v>4171</v>
      </c>
      <c r="E5734">
        <v>12</v>
      </c>
      <c r="F5734" s="6">
        <v>700</v>
      </c>
      <c r="G5734" t="s">
        <v>3702</v>
      </c>
    </row>
    <row r="5735" spans="1:7">
      <c r="A5735" t="s">
        <v>12332</v>
      </c>
      <c r="B5735" t="s">
        <v>12333</v>
      </c>
      <c r="C5735" t="s">
        <v>4170</v>
      </c>
      <c r="D5735" t="s">
        <v>4171</v>
      </c>
      <c r="E5735">
        <v>6</v>
      </c>
      <c r="F5735" s="6">
        <v>1000</v>
      </c>
      <c r="G5735" t="s">
        <v>3802</v>
      </c>
    </row>
    <row r="5736" spans="1:7">
      <c r="A5736" t="s">
        <v>12334</v>
      </c>
      <c r="B5736" t="s">
        <v>12335</v>
      </c>
      <c r="C5736" t="s">
        <v>6442</v>
      </c>
      <c r="D5736" t="s">
        <v>6443</v>
      </c>
      <c r="E5736">
        <v>12</v>
      </c>
      <c r="F5736" s="6">
        <v>750</v>
      </c>
      <c r="G5736" t="s">
        <v>12336</v>
      </c>
    </row>
    <row r="5737" spans="1:7">
      <c r="A5737" t="s">
        <v>12337</v>
      </c>
      <c r="B5737" t="s">
        <v>12338</v>
      </c>
      <c r="C5737" t="s">
        <v>3692</v>
      </c>
      <c r="D5737" t="s">
        <v>3693</v>
      </c>
      <c r="E5737">
        <v>6</v>
      </c>
      <c r="F5737" s="6">
        <v>1000</v>
      </c>
      <c r="G5737" t="s">
        <v>3702</v>
      </c>
    </row>
    <row r="5738" spans="1:7">
      <c r="A5738" t="s">
        <v>12339</v>
      </c>
      <c r="B5738" t="s">
        <v>12340</v>
      </c>
      <c r="C5738" t="s">
        <v>4632</v>
      </c>
      <c r="D5738" t="s">
        <v>4633</v>
      </c>
      <c r="E5738">
        <v>12</v>
      </c>
      <c r="F5738" s="6">
        <v>750</v>
      </c>
      <c r="G5738" t="s">
        <v>11737</v>
      </c>
    </row>
    <row r="5739" spans="1:7">
      <c r="A5739" t="s">
        <v>12341</v>
      </c>
      <c r="B5739" t="s">
        <v>12342</v>
      </c>
      <c r="C5739" t="s">
        <v>6442</v>
      </c>
      <c r="D5739" t="s">
        <v>6443</v>
      </c>
      <c r="E5739">
        <v>12</v>
      </c>
      <c r="F5739" s="6">
        <v>750</v>
      </c>
      <c r="G5739" t="s">
        <v>10017</v>
      </c>
    </row>
    <row r="5740" spans="1:7">
      <c r="A5740" t="s">
        <v>12343</v>
      </c>
      <c r="B5740" t="s">
        <v>12344</v>
      </c>
      <c r="C5740" t="s">
        <v>4093</v>
      </c>
      <c r="D5740" t="s">
        <v>4094</v>
      </c>
      <c r="E5740">
        <v>12</v>
      </c>
      <c r="F5740" s="6">
        <v>1000</v>
      </c>
      <c r="G5740" t="s">
        <v>3686</v>
      </c>
    </row>
    <row r="5741" spans="1:7">
      <c r="A5741" t="s">
        <v>12345</v>
      </c>
      <c r="B5741" t="s">
        <v>12346</v>
      </c>
      <c r="C5741" t="s">
        <v>4093</v>
      </c>
      <c r="D5741" t="s">
        <v>4094</v>
      </c>
      <c r="E5741">
        <v>12</v>
      </c>
      <c r="F5741" s="6">
        <v>1000</v>
      </c>
      <c r="G5741" t="s">
        <v>3686</v>
      </c>
    </row>
    <row r="5742" spans="1:7">
      <c r="A5742" t="s">
        <v>12347</v>
      </c>
      <c r="B5742" t="s">
        <v>12348</v>
      </c>
      <c r="C5742" t="s">
        <v>9909</v>
      </c>
      <c r="D5742" t="s">
        <v>4171</v>
      </c>
      <c r="E5742">
        <v>12</v>
      </c>
      <c r="F5742" s="6">
        <v>750</v>
      </c>
      <c r="G5742" t="s">
        <v>3702</v>
      </c>
    </row>
    <row r="5743" spans="1:7">
      <c r="A5743" t="s">
        <v>12349</v>
      </c>
      <c r="B5743" t="s">
        <v>12350</v>
      </c>
      <c r="C5743" t="s">
        <v>9319</v>
      </c>
      <c r="D5743" t="s">
        <v>9320</v>
      </c>
      <c r="E5743">
        <v>6</v>
      </c>
      <c r="F5743" s="6">
        <v>1750</v>
      </c>
      <c r="G5743" t="s">
        <v>4163</v>
      </c>
    </row>
    <row r="5744" spans="1:7">
      <c r="A5744" t="s">
        <v>12351</v>
      </c>
      <c r="B5744" t="s">
        <v>7546</v>
      </c>
      <c r="C5744" t="s">
        <v>6442</v>
      </c>
      <c r="D5744" t="s">
        <v>6443</v>
      </c>
      <c r="E5744">
        <v>6</v>
      </c>
      <c r="F5744" s="6">
        <v>750</v>
      </c>
      <c r="G5744" t="s">
        <v>4117</v>
      </c>
    </row>
    <row r="5745" spans="1:7">
      <c r="A5745" t="s">
        <v>12352</v>
      </c>
      <c r="B5745" t="s">
        <v>7549</v>
      </c>
      <c r="C5745" t="s">
        <v>10161</v>
      </c>
      <c r="D5745" t="s">
        <v>6443</v>
      </c>
      <c r="E5745">
        <v>4</v>
      </c>
      <c r="F5745" s="6">
        <v>50</v>
      </c>
      <c r="G5745" t="s">
        <v>3802</v>
      </c>
    </row>
    <row r="5746" spans="1:7">
      <c r="A5746" t="s">
        <v>12353</v>
      </c>
      <c r="B5746" t="s">
        <v>12354</v>
      </c>
      <c r="C5746" t="s">
        <v>4170</v>
      </c>
      <c r="D5746" t="s">
        <v>4171</v>
      </c>
      <c r="E5746">
        <v>6</v>
      </c>
      <c r="F5746" s="6">
        <v>750</v>
      </c>
      <c r="G5746" t="s">
        <v>3763</v>
      </c>
    </row>
    <row r="5747" spans="1:7">
      <c r="A5747" t="s">
        <v>12355</v>
      </c>
      <c r="B5747" t="s">
        <v>7552</v>
      </c>
      <c r="C5747" t="s">
        <v>4052</v>
      </c>
      <c r="D5747" t="s">
        <v>4053</v>
      </c>
      <c r="E5747">
        <v>6</v>
      </c>
      <c r="F5747" s="6">
        <v>750</v>
      </c>
      <c r="G5747" t="s">
        <v>3802</v>
      </c>
    </row>
    <row r="5748" spans="1:7">
      <c r="A5748" t="s">
        <v>12356</v>
      </c>
      <c r="B5748" t="s">
        <v>7553</v>
      </c>
      <c r="C5748" t="s">
        <v>4052</v>
      </c>
      <c r="D5748" t="s">
        <v>4053</v>
      </c>
      <c r="E5748">
        <v>6</v>
      </c>
      <c r="F5748" s="6">
        <v>750</v>
      </c>
      <c r="G5748" t="s">
        <v>3802</v>
      </c>
    </row>
    <row r="5749" spans="1:7">
      <c r="A5749" t="s">
        <v>12357</v>
      </c>
      <c r="B5749" t="s">
        <v>12358</v>
      </c>
      <c r="C5749" t="s">
        <v>4170</v>
      </c>
      <c r="D5749" t="s">
        <v>4171</v>
      </c>
      <c r="E5749">
        <v>12</v>
      </c>
      <c r="F5749" s="6">
        <v>750</v>
      </c>
      <c r="G5749" t="s">
        <v>3702</v>
      </c>
    </row>
    <row r="5750" spans="1:7">
      <c r="A5750" t="s">
        <v>12359</v>
      </c>
      <c r="B5750" t="s">
        <v>12360</v>
      </c>
      <c r="C5750" t="s">
        <v>6442</v>
      </c>
      <c r="D5750" t="s">
        <v>6443</v>
      </c>
      <c r="E5750">
        <v>6</v>
      </c>
      <c r="F5750" s="6">
        <v>750</v>
      </c>
      <c r="G5750" t="s">
        <v>3686</v>
      </c>
    </row>
    <row r="5751" spans="1:7">
      <c r="A5751" t="s">
        <v>12361</v>
      </c>
      <c r="B5751" t="s">
        <v>12362</v>
      </c>
      <c r="C5751" t="s">
        <v>4170</v>
      </c>
      <c r="D5751" t="s">
        <v>4171</v>
      </c>
      <c r="E5751">
        <v>4</v>
      </c>
      <c r="F5751" s="6">
        <v>50</v>
      </c>
      <c r="G5751" t="s">
        <v>3705</v>
      </c>
    </row>
    <row r="5752" spans="1:7">
      <c r="A5752" t="s">
        <v>12363</v>
      </c>
      <c r="B5752" t="s">
        <v>12364</v>
      </c>
      <c r="C5752" t="s">
        <v>5653</v>
      </c>
      <c r="D5752" t="s">
        <v>5654</v>
      </c>
      <c r="E5752">
        <v>6</v>
      </c>
      <c r="F5752" s="6">
        <v>750</v>
      </c>
      <c r="G5752" t="s">
        <v>5451</v>
      </c>
    </row>
    <row r="5753" spans="1:7">
      <c r="A5753" t="s">
        <v>12365</v>
      </c>
      <c r="B5753" t="s">
        <v>12366</v>
      </c>
      <c r="C5753" t="s">
        <v>9319</v>
      </c>
      <c r="D5753" t="s">
        <v>9320</v>
      </c>
      <c r="E5753">
        <v>12</v>
      </c>
      <c r="F5753" s="6">
        <v>750</v>
      </c>
      <c r="G5753" t="s">
        <v>3686</v>
      </c>
    </row>
    <row r="5754" spans="1:7">
      <c r="A5754" t="s">
        <v>12367</v>
      </c>
      <c r="B5754" t="s">
        <v>12368</v>
      </c>
      <c r="C5754" t="s">
        <v>6442</v>
      </c>
      <c r="D5754" t="s">
        <v>6443</v>
      </c>
      <c r="E5754">
        <v>6</v>
      </c>
      <c r="F5754" s="6">
        <v>750</v>
      </c>
      <c r="G5754" t="s">
        <v>6750</v>
      </c>
    </row>
    <row r="5755" spans="1:7">
      <c r="A5755" t="s">
        <v>12369</v>
      </c>
      <c r="B5755" t="s">
        <v>12370</v>
      </c>
      <c r="C5755" t="s">
        <v>6442</v>
      </c>
      <c r="D5755" t="s">
        <v>6443</v>
      </c>
      <c r="E5755">
        <v>6</v>
      </c>
      <c r="F5755" s="6">
        <v>750</v>
      </c>
      <c r="G5755" t="s">
        <v>6750</v>
      </c>
    </row>
    <row r="5756" spans="1:7">
      <c r="A5756" t="s">
        <v>12371</v>
      </c>
      <c r="B5756" t="s">
        <v>12372</v>
      </c>
      <c r="C5756" t="s">
        <v>4170</v>
      </c>
      <c r="D5756" t="s">
        <v>4171</v>
      </c>
      <c r="E5756">
        <v>6</v>
      </c>
      <c r="F5756" s="6">
        <v>750</v>
      </c>
      <c r="G5756" t="s">
        <v>3702</v>
      </c>
    </row>
    <row r="5757" spans="1:7">
      <c r="A5757" t="s">
        <v>12373</v>
      </c>
      <c r="B5757" t="s">
        <v>12374</v>
      </c>
      <c r="C5757" t="s">
        <v>4170</v>
      </c>
      <c r="D5757" t="s">
        <v>4171</v>
      </c>
      <c r="E5757">
        <v>6</v>
      </c>
      <c r="F5757" s="6">
        <v>750</v>
      </c>
      <c r="G5757" t="s">
        <v>5701</v>
      </c>
    </row>
    <row r="5758" spans="1:7">
      <c r="A5758" t="s">
        <v>12375</v>
      </c>
      <c r="B5758" t="s">
        <v>7603</v>
      </c>
      <c r="C5758" t="s">
        <v>3692</v>
      </c>
      <c r="D5758" t="s">
        <v>3693</v>
      </c>
      <c r="E5758">
        <v>6</v>
      </c>
      <c r="F5758" s="6">
        <v>750</v>
      </c>
      <c r="G5758" t="s">
        <v>3802</v>
      </c>
    </row>
    <row r="5759" spans="1:7">
      <c r="A5759" t="s">
        <v>12376</v>
      </c>
      <c r="B5759" t="s">
        <v>12377</v>
      </c>
      <c r="C5759" t="s">
        <v>4170</v>
      </c>
      <c r="D5759" t="s">
        <v>4171</v>
      </c>
      <c r="E5759">
        <v>6</v>
      </c>
      <c r="F5759" s="6">
        <v>750</v>
      </c>
      <c r="G5759" t="s">
        <v>3888</v>
      </c>
    </row>
    <row r="5760" spans="1:7">
      <c r="A5760" t="s">
        <v>12378</v>
      </c>
      <c r="B5760" t="s">
        <v>12379</v>
      </c>
      <c r="C5760" t="s">
        <v>3977</v>
      </c>
      <c r="D5760" t="s">
        <v>3978</v>
      </c>
      <c r="E5760">
        <v>12</v>
      </c>
      <c r="F5760" s="6">
        <v>1000</v>
      </c>
      <c r="G5760" t="s">
        <v>4032</v>
      </c>
    </row>
    <row r="5761" spans="1:7">
      <c r="A5761" t="s">
        <v>12380</v>
      </c>
      <c r="B5761" t="s">
        <v>12381</v>
      </c>
      <c r="C5761" t="s">
        <v>3756</v>
      </c>
      <c r="D5761" t="s">
        <v>3757</v>
      </c>
      <c r="E5761">
        <v>12</v>
      </c>
      <c r="F5761" s="6">
        <v>750</v>
      </c>
      <c r="G5761" t="s">
        <v>3686</v>
      </c>
    </row>
    <row r="5762" spans="1:7">
      <c r="A5762" t="s">
        <v>12382</v>
      </c>
      <c r="B5762" t="s">
        <v>12383</v>
      </c>
      <c r="C5762" t="s">
        <v>9595</v>
      </c>
      <c r="D5762" t="s">
        <v>3757</v>
      </c>
      <c r="E5762">
        <v>10</v>
      </c>
      <c r="F5762" s="6">
        <v>50</v>
      </c>
      <c r="G5762" t="s">
        <v>3686</v>
      </c>
    </row>
    <row r="5763" spans="1:7">
      <c r="A5763" t="s">
        <v>12384</v>
      </c>
      <c r="B5763" t="s">
        <v>12385</v>
      </c>
      <c r="C5763" t="s">
        <v>3756</v>
      </c>
      <c r="D5763" t="s">
        <v>3757</v>
      </c>
      <c r="E5763">
        <v>12</v>
      </c>
      <c r="F5763" s="6">
        <v>750</v>
      </c>
      <c r="G5763" t="s">
        <v>3686</v>
      </c>
    </row>
    <row r="5764" spans="1:7">
      <c r="A5764" t="s">
        <v>12386</v>
      </c>
      <c r="B5764" t="s">
        <v>12387</v>
      </c>
      <c r="C5764" t="s">
        <v>4170</v>
      </c>
      <c r="D5764" t="s">
        <v>4171</v>
      </c>
      <c r="E5764">
        <v>12</v>
      </c>
      <c r="F5764" s="6">
        <v>750</v>
      </c>
      <c r="G5764" t="s">
        <v>3802</v>
      </c>
    </row>
    <row r="5765" spans="1:7">
      <c r="A5765" t="s">
        <v>12388</v>
      </c>
      <c r="B5765" t="s">
        <v>12389</v>
      </c>
      <c r="C5765" t="s">
        <v>9595</v>
      </c>
      <c r="D5765" t="s">
        <v>3757</v>
      </c>
      <c r="E5765">
        <v>10</v>
      </c>
      <c r="F5765" s="6">
        <v>50</v>
      </c>
      <c r="G5765" t="s">
        <v>3686</v>
      </c>
    </row>
    <row r="5766" spans="1:7">
      <c r="A5766" t="s">
        <v>12390</v>
      </c>
      <c r="B5766" t="s">
        <v>12391</v>
      </c>
      <c r="C5766" t="s">
        <v>4170</v>
      </c>
      <c r="D5766" t="s">
        <v>4171</v>
      </c>
      <c r="E5766">
        <v>12</v>
      </c>
      <c r="F5766" s="6">
        <v>750</v>
      </c>
      <c r="G5766" t="s">
        <v>3702</v>
      </c>
    </row>
    <row r="5767" spans="1:7">
      <c r="A5767" t="s">
        <v>12392</v>
      </c>
      <c r="B5767" t="s">
        <v>12393</v>
      </c>
      <c r="C5767" t="s">
        <v>5653</v>
      </c>
      <c r="D5767" t="s">
        <v>5654</v>
      </c>
      <c r="E5767">
        <v>6</v>
      </c>
      <c r="F5767" s="6">
        <v>750</v>
      </c>
      <c r="G5767" t="s">
        <v>3702</v>
      </c>
    </row>
    <row r="5768" spans="1:7">
      <c r="A5768" t="s">
        <v>12394</v>
      </c>
      <c r="B5768" t="s">
        <v>12395</v>
      </c>
      <c r="C5768" t="s">
        <v>5653</v>
      </c>
      <c r="D5768" t="s">
        <v>5654</v>
      </c>
      <c r="E5768">
        <v>6</v>
      </c>
      <c r="F5768" s="6">
        <v>750</v>
      </c>
      <c r="G5768" t="s">
        <v>3702</v>
      </c>
    </row>
    <row r="5769" spans="1:7">
      <c r="A5769" t="s">
        <v>12396</v>
      </c>
      <c r="B5769" t="s">
        <v>12397</v>
      </c>
      <c r="C5769" t="s">
        <v>9909</v>
      </c>
      <c r="D5769" t="s">
        <v>4171</v>
      </c>
      <c r="E5769">
        <v>6</v>
      </c>
      <c r="F5769" s="6">
        <v>750</v>
      </c>
      <c r="G5769" t="s">
        <v>3802</v>
      </c>
    </row>
    <row r="5770" spans="1:7">
      <c r="A5770" t="s">
        <v>12398</v>
      </c>
      <c r="B5770" t="s">
        <v>7623</v>
      </c>
      <c r="C5770" t="s">
        <v>7486</v>
      </c>
      <c r="D5770" t="s">
        <v>7487</v>
      </c>
      <c r="E5770">
        <v>6</v>
      </c>
      <c r="F5770" s="6">
        <v>750</v>
      </c>
      <c r="G5770" t="s">
        <v>4285</v>
      </c>
    </row>
    <row r="5771" spans="1:7">
      <c r="A5771" t="s">
        <v>2535</v>
      </c>
      <c r="B5771" t="s">
        <v>12399</v>
      </c>
      <c r="C5771" t="s">
        <v>7486</v>
      </c>
      <c r="D5771" t="s">
        <v>7487</v>
      </c>
      <c r="E5771">
        <v>12</v>
      </c>
      <c r="F5771" s="6">
        <v>750</v>
      </c>
      <c r="G5771" t="s">
        <v>10017</v>
      </c>
    </row>
    <row r="5772" spans="1:7">
      <c r="A5772" t="s">
        <v>12400</v>
      </c>
      <c r="B5772" t="s">
        <v>12401</v>
      </c>
      <c r="C5772" t="s">
        <v>7486</v>
      </c>
      <c r="D5772" t="s">
        <v>7487</v>
      </c>
      <c r="E5772">
        <v>12</v>
      </c>
      <c r="F5772" s="6">
        <v>750</v>
      </c>
      <c r="G5772" t="s">
        <v>10017</v>
      </c>
    </row>
    <row r="5773" spans="1:7">
      <c r="A5773" t="s">
        <v>12402</v>
      </c>
      <c r="B5773" t="s">
        <v>12403</v>
      </c>
      <c r="C5773" t="s">
        <v>9319</v>
      </c>
      <c r="D5773" t="s">
        <v>9320</v>
      </c>
      <c r="E5773">
        <v>12</v>
      </c>
      <c r="F5773" s="6">
        <v>750</v>
      </c>
      <c r="G5773" t="s">
        <v>3713</v>
      </c>
    </row>
    <row r="5774" spans="1:7">
      <c r="A5774" t="s">
        <v>12404</v>
      </c>
      <c r="B5774" t="s">
        <v>12405</v>
      </c>
      <c r="C5774" t="s">
        <v>4170</v>
      </c>
      <c r="D5774" t="s">
        <v>4171</v>
      </c>
      <c r="E5774">
        <v>6</v>
      </c>
      <c r="F5774" s="6">
        <v>750</v>
      </c>
      <c r="G5774" t="s">
        <v>3686</v>
      </c>
    </row>
    <row r="5775" spans="1:7">
      <c r="A5775" t="s">
        <v>12406</v>
      </c>
      <c r="B5775" t="s">
        <v>12407</v>
      </c>
      <c r="C5775" t="s">
        <v>9909</v>
      </c>
      <c r="D5775" t="s">
        <v>4171</v>
      </c>
      <c r="E5775">
        <v>6</v>
      </c>
      <c r="F5775" s="6">
        <v>750</v>
      </c>
      <c r="G5775" t="s">
        <v>3686</v>
      </c>
    </row>
    <row r="5776" spans="1:7">
      <c r="A5776" t="s">
        <v>12408</v>
      </c>
      <c r="B5776" t="s">
        <v>12409</v>
      </c>
      <c r="C5776" t="s">
        <v>4170</v>
      </c>
      <c r="D5776" t="s">
        <v>4171</v>
      </c>
      <c r="E5776">
        <v>6</v>
      </c>
      <c r="F5776" s="6">
        <v>750</v>
      </c>
      <c r="G5776" t="s">
        <v>3802</v>
      </c>
    </row>
    <row r="5777" spans="1:7">
      <c r="A5777" t="s">
        <v>12410</v>
      </c>
      <c r="B5777" t="s">
        <v>12411</v>
      </c>
      <c r="C5777" t="s">
        <v>9319</v>
      </c>
      <c r="D5777" t="s">
        <v>9320</v>
      </c>
      <c r="E5777">
        <v>12</v>
      </c>
      <c r="F5777" s="6">
        <v>750</v>
      </c>
      <c r="G5777" t="s">
        <v>3686</v>
      </c>
    </row>
    <row r="5778" spans="1:7">
      <c r="A5778" t="s">
        <v>12412</v>
      </c>
      <c r="B5778" t="s">
        <v>12413</v>
      </c>
      <c r="C5778" t="s">
        <v>3977</v>
      </c>
      <c r="D5778" t="s">
        <v>3978</v>
      </c>
      <c r="E5778">
        <v>6</v>
      </c>
      <c r="F5778" s="6">
        <v>700</v>
      </c>
      <c r="G5778" t="s">
        <v>4182</v>
      </c>
    </row>
    <row r="5779" spans="1:7">
      <c r="A5779" t="s">
        <v>12414</v>
      </c>
      <c r="B5779" t="s">
        <v>12415</v>
      </c>
      <c r="C5779" t="s">
        <v>3977</v>
      </c>
      <c r="D5779" t="s">
        <v>3978</v>
      </c>
      <c r="E5779">
        <v>6</v>
      </c>
      <c r="F5779" s="6">
        <v>700</v>
      </c>
      <c r="G5779" t="s">
        <v>3702</v>
      </c>
    </row>
    <row r="5780" spans="1:7">
      <c r="A5780" t="s">
        <v>12416</v>
      </c>
      <c r="B5780" t="s">
        <v>12417</v>
      </c>
      <c r="C5780" t="s">
        <v>3977</v>
      </c>
      <c r="D5780" t="s">
        <v>3978</v>
      </c>
      <c r="E5780">
        <v>12</v>
      </c>
      <c r="F5780" s="6">
        <v>750</v>
      </c>
      <c r="G5780" t="s">
        <v>11597</v>
      </c>
    </row>
    <row r="5781" spans="1:7">
      <c r="A5781" t="s">
        <v>12418</v>
      </c>
      <c r="B5781" t="s">
        <v>12419</v>
      </c>
      <c r="C5781" t="s">
        <v>3977</v>
      </c>
      <c r="D5781" t="s">
        <v>3978</v>
      </c>
      <c r="E5781">
        <v>1</v>
      </c>
      <c r="F5781" s="6">
        <v>50</v>
      </c>
      <c r="G5781" t="s">
        <v>3698</v>
      </c>
    </row>
    <row r="5782" spans="1:7">
      <c r="A5782" t="s">
        <v>12420</v>
      </c>
      <c r="B5782" t="s">
        <v>12421</v>
      </c>
      <c r="C5782" t="s">
        <v>9909</v>
      </c>
      <c r="D5782" t="s">
        <v>4171</v>
      </c>
      <c r="E5782">
        <v>6</v>
      </c>
      <c r="F5782" s="6">
        <v>750</v>
      </c>
      <c r="G5782" t="s">
        <v>3802</v>
      </c>
    </row>
    <row r="5783" spans="1:7">
      <c r="A5783" t="s">
        <v>12422</v>
      </c>
      <c r="B5783" t="s">
        <v>12423</v>
      </c>
      <c r="C5783" t="s">
        <v>3977</v>
      </c>
      <c r="D5783" t="s">
        <v>3978</v>
      </c>
      <c r="E5783">
        <v>12</v>
      </c>
      <c r="F5783" s="6">
        <v>1000</v>
      </c>
      <c r="G5783" t="s">
        <v>4300</v>
      </c>
    </row>
    <row r="5784" spans="1:7">
      <c r="A5784" t="s">
        <v>12424</v>
      </c>
      <c r="B5784" t="s">
        <v>12425</v>
      </c>
      <c r="C5784" t="s">
        <v>6442</v>
      </c>
      <c r="D5784" t="s">
        <v>6443</v>
      </c>
      <c r="E5784">
        <v>6</v>
      </c>
      <c r="F5784" s="6">
        <v>750</v>
      </c>
      <c r="G5784" t="s">
        <v>3686</v>
      </c>
    </row>
    <row r="5785" spans="1:7">
      <c r="A5785" t="s">
        <v>12426</v>
      </c>
      <c r="B5785" t="s">
        <v>12427</v>
      </c>
      <c r="C5785" t="s">
        <v>3977</v>
      </c>
      <c r="D5785" t="s">
        <v>3978</v>
      </c>
      <c r="E5785">
        <v>6</v>
      </c>
      <c r="F5785" s="6">
        <v>750</v>
      </c>
      <c r="G5785" t="s">
        <v>11951</v>
      </c>
    </row>
    <row r="5786" spans="1:7">
      <c r="A5786" t="s">
        <v>12428</v>
      </c>
      <c r="B5786" t="s">
        <v>12429</v>
      </c>
      <c r="C5786" t="s">
        <v>3977</v>
      </c>
      <c r="D5786" t="s">
        <v>3978</v>
      </c>
      <c r="E5786">
        <v>6</v>
      </c>
      <c r="F5786" s="6">
        <v>1750</v>
      </c>
      <c r="G5786" t="s">
        <v>9995</v>
      </c>
    </row>
    <row r="5787" spans="1:7">
      <c r="A5787" t="s">
        <v>12430</v>
      </c>
      <c r="B5787" t="s">
        <v>7701</v>
      </c>
      <c r="C5787" t="s">
        <v>3977</v>
      </c>
      <c r="D5787" t="s">
        <v>3978</v>
      </c>
      <c r="E5787">
        <v>6</v>
      </c>
      <c r="F5787" s="6">
        <v>1750</v>
      </c>
      <c r="G5787" t="s">
        <v>4163</v>
      </c>
    </row>
    <row r="5788" spans="1:7">
      <c r="A5788" t="s">
        <v>12431</v>
      </c>
      <c r="B5788" t="s">
        <v>12432</v>
      </c>
      <c r="C5788" t="s">
        <v>3977</v>
      </c>
      <c r="D5788" t="s">
        <v>3978</v>
      </c>
      <c r="E5788">
        <v>6</v>
      </c>
      <c r="F5788" s="6">
        <v>750</v>
      </c>
      <c r="G5788" t="s">
        <v>3802</v>
      </c>
    </row>
    <row r="5789" spans="1:7">
      <c r="A5789" t="s">
        <v>12433</v>
      </c>
      <c r="B5789" t="s">
        <v>12434</v>
      </c>
      <c r="C5789" t="s">
        <v>4170</v>
      </c>
      <c r="D5789" t="s">
        <v>4171</v>
      </c>
      <c r="E5789">
        <v>6</v>
      </c>
      <c r="F5789" s="6">
        <v>750</v>
      </c>
      <c r="G5789" t="s">
        <v>3802</v>
      </c>
    </row>
    <row r="5790" spans="1:7">
      <c r="A5790" t="s">
        <v>12435</v>
      </c>
      <c r="B5790" t="s">
        <v>12436</v>
      </c>
      <c r="C5790" t="s">
        <v>9909</v>
      </c>
      <c r="D5790" t="s">
        <v>4171</v>
      </c>
      <c r="E5790">
        <v>6</v>
      </c>
      <c r="F5790" s="6">
        <v>700</v>
      </c>
      <c r="G5790" t="s">
        <v>4182</v>
      </c>
    </row>
    <row r="5791" spans="1:7">
      <c r="A5791" t="s">
        <v>12437</v>
      </c>
      <c r="B5791" t="s">
        <v>12438</v>
      </c>
      <c r="C5791" t="s">
        <v>3756</v>
      </c>
      <c r="D5791" t="s">
        <v>3757</v>
      </c>
      <c r="E5791">
        <v>4</v>
      </c>
      <c r="F5791" s="6">
        <v>100</v>
      </c>
      <c r="G5791" t="s">
        <v>3686</v>
      </c>
    </row>
    <row r="5792" spans="1:7">
      <c r="A5792" t="s">
        <v>12439</v>
      </c>
      <c r="B5792" t="s">
        <v>7708</v>
      </c>
      <c r="C5792" t="s">
        <v>9319</v>
      </c>
      <c r="D5792" t="s">
        <v>9320</v>
      </c>
      <c r="E5792">
        <v>10</v>
      </c>
      <c r="F5792" s="6">
        <v>50</v>
      </c>
      <c r="G5792" t="s">
        <v>3686</v>
      </c>
    </row>
    <row r="5793" spans="1:7">
      <c r="A5793" t="s">
        <v>12440</v>
      </c>
      <c r="B5793" t="s">
        <v>7724</v>
      </c>
      <c r="C5793" t="s">
        <v>9319</v>
      </c>
      <c r="D5793" t="s">
        <v>9320</v>
      </c>
      <c r="E5793">
        <v>12</v>
      </c>
      <c r="F5793" s="6">
        <v>1000</v>
      </c>
      <c r="G5793" t="s">
        <v>3686</v>
      </c>
    </row>
    <row r="5794" spans="1:7">
      <c r="A5794" t="s">
        <v>12441</v>
      </c>
      <c r="B5794" t="s">
        <v>9525</v>
      </c>
      <c r="C5794" t="s">
        <v>9595</v>
      </c>
      <c r="D5794" t="s">
        <v>3757</v>
      </c>
      <c r="E5794">
        <v>12</v>
      </c>
      <c r="F5794" s="6">
        <v>750</v>
      </c>
      <c r="G5794" t="s">
        <v>4163</v>
      </c>
    </row>
    <row r="5795" spans="1:7">
      <c r="A5795" t="s">
        <v>12442</v>
      </c>
      <c r="B5795" t="s">
        <v>12443</v>
      </c>
      <c r="C5795" t="s">
        <v>3756</v>
      </c>
      <c r="D5795" t="s">
        <v>3757</v>
      </c>
      <c r="E5795">
        <v>6</v>
      </c>
      <c r="F5795" s="6">
        <v>375</v>
      </c>
      <c r="G5795" t="s">
        <v>3878</v>
      </c>
    </row>
    <row r="5796" spans="1:7">
      <c r="A5796" t="s">
        <v>12444</v>
      </c>
      <c r="B5796" t="s">
        <v>12445</v>
      </c>
      <c r="C5796" t="s">
        <v>5626</v>
      </c>
      <c r="D5796" t="s">
        <v>5627</v>
      </c>
      <c r="E5796">
        <v>6</v>
      </c>
      <c r="F5796" s="6">
        <v>750</v>
      </c>
      <c r="G5796" t="s">
        <v>3802</v>
      </c>
    </row>
    <row r="5797" spans="1:7">
      <c r="A5797" t="s">
        <v>12446</v>
      </c>
      <c r="B5797" t="s">
        <v>12447</v>
      </c>
      <c r="C5797" t="s">
        <v>4093</v>
      </c>
      <c r="D5797" t="s">
        <v>4094</v>
      </c>
      <c r="E5797">
        <v>6</v>
      </c>
      <c r="F5797" s="6">
        <v>750</v>
      </c>
      <c r="G5797" t="s">
        <v>4751</v>
      </c>
    </row>
    <row r="5798" spans="1:7">
      <c r="A5798" t="s">
        <v>12448</v>
      </c>
      <c r="B5798" t="s">
        <v>12449</v>
      </c>
      <c r="C5798" t="s">
        <v>4093</v>
      </c>
      <c r="D5798" t="s">
        <v>4094</v>
      </c>
      <c r="E5798">
        <v>6</v>
      </c>
      <c r="F5798" s="6">
        <v>750</v>
      </c>
      <c r="G5798" t="s">
        <v>4751</v>
      </c>
    </row>
    <row r="5799" spans="1:7">
      <c r="A5799" t="s">
        <v>12450</v>
      </c>
      <c r="B5799" t="s">
        <v>12451</v>
      </c>
      <c r="C5799" t="s">
        <v>10161</v>
      </c>
      <c r="D5799" t="s">
        <v>6443</v>
      </c>
      <c r="E5799">
        <v>12</v>
      </c>
      <c r="F5799" s="6">
        <v>700</v>
      </c>
      <c r="G5799" t="s">
        <v>3802</v>
      </c>
    </row>
    <row r="5800" spans="1:7">
      <c r="A5800" t="s">
        <v>12452</v>
      </c>
      <c r="B5800" t="s">
        <v>12453</v>
      </c>
      <c r="C5800" t="s">
        <v>4052</v>
      </c>
      <c r="D5800" t="s">
        <v>4053</v>
      </c>
      <c r="E5800">
        <v>6</v>
      </c>
      <c r="F5800" s="6">
        <v>750</v>
      </c>
      <c r="G5800" t="s">
        <v>3802</v>
      </c>
    </row>
    <row r="5801" spans="1:7">
      <c r="A5801" t="s">
        <v>12454</v>
      </c>
      <c r="B5801" t="s">
        <v>12455</v>
      </c>
      <c r="C5801" t="s">
        <v>3756</v>
      </c>
      <c r="D5801" t="s">
        <v>3757</v>
      </c>
      <c r="E5801">
        <v>6</v>
      </c>
      <c r="F5801" s="6">
        <v>750</v>
      </c>
      <c r="G5801" t="s">
        <v>12456</v>
      </c>
    </row>
    <row r="5802" spans="1:7">
      <c r="A5802" t="s">
        <v>12457</v>
      </c>
      <c r="B5802" t="s">
        <v>12458</v>
      </c>
      <c r="C5802" t="s">
        <v>3756</v>
      </c>
      <c r="D5802" t="s">
        <v>3757</v>
      </c>
      <c r="E5802">
        <v>6</v>
      </c>
      <c r="F5802" s="6">
        <v>750</v>
      </c>
      <c r="G5802" t="s">
        <v>12456</v>
      </c>
    </row>
    <row r="5803" spans="1:7">
      <c r="A5803" t="s">
        <v>12459</v>
      </c>
      <c r="B5803" t="s">
        <v>12460</v>
      </c>
      <c r="C5803" t="s">
        <v>3756</v>
      </c>
      <c r="D5803" t="s">
        <v>3757</v>
      </c>
      <c r="E5803">
        <v>6</v>
      </c>
      <c r="F5803" s="6">
        <v>750</v>
      </c>
      <c r="G5803" t="s">
        <v>12456</v>
      </c>
    </row>
    <row r="5804" spans="1:7">
      <c r="A5804" t="s">
        <v>12461</v>
      </c>
      <c r="B5804" t="s">
        <v>12462</v>
      </c>
      <c r="C5804" t="s">
        <v>3756</v>
      </c>
      <c r="D5804" t="s">
        <v>3757</v>
      </c>
      <c r="E5804">
        <v>6</v>
      </c>
      <c r="F5804" s="6">
        <v>750</v>
      </c>
      <c r="G5804" t="s">
        <v>12456</v>
      </c>
    </row>
    <row r="5805" spans="1:7">
      <c r="A5805" t="s">
        <v>12463</v>
      </c>
      <c r="B5805" t="s">
        <v>12464</v>
      </c>
      <c r="C5805" t="s">
        <v>3756</v>
      </c>
      <c r="D5805" t="s">
        <v>3757</v>
      </c>
      <c r="E5805">
        <v>12</v>
      </c>
      <c r="F5805" s="6">
        <v>750</v>
      </c>
      <c r="G5805" t="s">
        <v>3702</v>
      </c>
    </row>
    <row r="5806" spans="1:7">
      <c r="A5806" t="s">
        <v>12465</v>
      </c>
      <c r="B5806" t="s">
        <v>7755</v>
      </c>
      <c r="C5806" t="s">
        <v>4071</v>
      </c>
      <c r="D5806" t="s">
        <v>4072</v>
      </c>
      <c r="E5806">
        <v>12</v>
      </c>
      <c r="F5806" s="6">
        <v>750</v>
      </c>
      <c r="G5806" t="s">
        <v>7756</v>
      </c>
    </row>
    <row r="5807" spans="1:7">
      <c r="A5807" t="s">
        <v>12466</v>
      </c>
      <c r="B5807" t="s">
        <v>12467</v>
      </c>
      <c r="C5807" t="s">
        <v>3756</v>
      </c>
      <c r="D5807" t="s">
        <v>3757</v>
      </c>
      <c r="E5807">
        <v>6</v>
      </c>
      <c r="F5807" s="6">
        <v>750</v>
      </c>
      <c r="G5807" t="s">
        <v>3802</v>
      </c>
    </row>
    <row r="5808" spans="1:7">
      <c r="A5808" t="s">
        <v>12468</v>
      </c>
      <c r="B5808" t="s">
        <v>7774</v>
      </c>
      <c r="C5808" t="s">
        <v>4052</v>
      </c>
      <c r="D5808" t="s">
        <v>4053</v>
      </c>
      <c r="E5808">
        <v>12</v>
      </c>
      <c r="F5808" s="6">
        <v>750</v>
      </c>
      <c r="G5808" t="s">
        <v>3702</v>
      </c>
    </row>
    <row r="5809" spans="1:7">
      <c r="A5809" t="s">
        <v>12469</v>
      </c>
      <c r="B5809" t="s">
        <v>12470</v>
      </c>
      <c r="C5809" t="s">
        <v>3977</v>
      </c>
      <c r="D5809" t="s">
        <v>3978</v>
      </c>
      <c r="E5809">
        <v>12</v>
      </c>
      <c r="F5809" s="6">
        <v>750</v>
      </c>
      <c r="G5809" t="s">
        <v>3702</v>
      </c>
    </row>
    <row r="5810" spans="1:7">
      <c r="A5810" t="s">
        <v>12471</v>
      </c>
      <c r="B5810" t="s">
        <v>12472</v>
      </c>
      <c r="C5810" t="s">
        <v>3721</v>
      </c>
      <c r="D5810" t="s">
        <v>3722</v>
      </c>
      <c r="E5810">
        <v>12</v>
      </c>
      <c r="F5810" s="6">
        <v>750</v>
      </c>
      <c r="G5810" t="s">
        <v>10017</v>
      </c>
    </row>
    <row r="5811" spans="1:7">
      <c r="A5811" t="s">
        <v>12473</v>
      </c>
      <c r="B5811" t="s">
        <v>12474</v>
      </c>
      <c r="C5811" t="s">
        <v>3947</v>
      </c>
      <c r="D5811" t="s">
        <v>3948</v>
      </c>
      <c r="E5811">
        <v>6</v>
      </c>
      <c r="F5811" s="6">
        <v>750</v>
      </c>
      <c r="G5811" t="s">
        <v>5084</v>
      </c>
    </row>
    <row r="5812" spans="1:7">
      <c r="A5812" t="s">
        <v>12475</v>
      </c>
      <c r="B5812" t="s">
        <v>12476</v>
      </c>
      <c r="C5812" t="s">
        <v>4071</v>
      </c>
      <c r="D5812" t="s">
        <v>4072</v>
      </c>
      <c r="E5812">
        <v>6</v>
      </c>
      <c r="F5812" s="6">
        <v>750</v>
      </c>
      <c r="G5812" t="s">
        <v>5421</v>
      </c>
    </row>
    <row r="5813" spans="1:7">
      <c r="A5813" t="s">
        <v>12477</v>
      </c>
      <c r="B5813" t="s">
        <v>12478</v>
      </c>
      <c r="C5813" t="s">
        <v>3808</v>
      </c>
      <c r="D5813" t="s">
        <v>3809</v>
      </c>
      <c r="E5813">
        <v>6</v>
      </c>
      <c r="F5813" s="6">
        <v>750</v>
      </c>
      <c r="G5813" t="s">
        <v>4781</v>
      </c>
    </row>
    <row r="5814" spans="1:7">
      <c r="A5814" t="s">
        <v>12479</v>
      </c>
      <c r="B5814" t="s">
        <v>12480</v>
      </c>
      <c r="C5814" t="s">
        <v>4071</v>
      </c>
      <c r="D5814" t="s">
        <v>4072</v>
      </c>
      <c r="E5814">
        <v>4</v>
      </c>
      <c r="F5814" s="6">
        <v>50</v>
      </c>
      <c r="G5814" t="s">
        <v>5205</v>
      </c>
    </row>
    <row r="5815" spans="1:7">
      <c r="A5815" t="s">
        <v>12481</v>
      </c>
      <c r="B5815" t="s">
        <v>12482</v>
      </c>
      <c r="C5815" t="s">
        <v>4071</v>
      </c>
      <c r="D5815" t="s">
        <v>4072</v>
      </c>
      <c r="E5815">
        <v>6</v>
      </c>
      <c r="F5815" s="6">
        <v>750</v>
      </c>
      <c r="G5815" t="s">
        <v>5205</v>
      </c>
    </row>
    <row r="5816" spans="1:7">
      <c r="A5816" t="s">
        <v>3594</v>
      </c>
      <c r="B5816" t="s">
        <v>12483</v>
      </c>
      <c r="C5816" t="s">
        <v>4170</v>
      </c>
      <c r="D5816" t="s">
        <v>4171</v>
      </c>
      <c r="E5816">
        <v>12</v>
      </c>
      <c r="F5816" s="6">
        <v>700</v>
      </c>
      <c r="G5816" t="s">
        <v>4117</v>
      </c>
    </row>
    <row r="5817" spans="1:7">
      <c r="A5817" t="s">
        <v>12484</v>
      </c>
      <c r="B5817" t="s">
        <v>12485</v>
      </c>
      <c r="C5817" t="s">
        <v>4071</v>
      </c>
      <c r="D5817" t="s">
        <v>4072</v>
      </c>
      <c r="E5817">
        <v>6</v>
      </c>
      <c r="F5817" s="6">
        <v>750</v>
      </c>
      <c r="G5817" t="s">
        <v>4182</v>
      </c>
    </row>
    <row r="5818" spans="1:7">
      <c r="A5818" t="s">
        <v>12486</v>
      </c>
      <c r="B5818" t="s">
        <v>7792</v>
      </c>
      <c r="C5818" t="s">
        <v>4071</v>
      </c>
      <c r="D5818" t="s">
        <v>4072</v>
      </c>
      <c r="E5818">
        <v>6</v>
      </c>
      <c r="F5818" s="6">
        <v>750</v>
      </c>
      <c r="G5818" t="s">
        <v>4291</v>
      </c>
    </row>
    <row r="5819" spans="1:7">
      <c r="A5819" t="s">
        <v>12487</v>
      </c>
      <c r="B5819" t="s">
        <v>7796</v>
      </c>
      <c r="C5819" t="s">
        <v>4071</v>
      </c>
      <c r="D5819" t="s">
        <v>4072</v>
      </c>
      <c r="E5819">
        <v>12</v>
      </c>
      <c r="F5819" s="6">
        <v>1000</v>
      </c>
      <c r="G5819" t="s">
        <v>3871</v>
      </c>
    </row>
    <row r="5820" spans="1:7">
      <c r="A5820" t="s">
        <v>12488</v>
      </c>
      <c r="B5820" t="s">
        <v>12489</v>
      </c>
      <c r="C5820" t="s">
        <v>4052</v>
      </c>
      <c r="D5820" t="s">
        <v>4053</v>
      </c>
      <c r="E5820">
        <v>6</v>
      </c>
      <c r="F5820" s="6">
        <v>750</v>
      </c>
      <c r="G5820" t="s">
        <v>12490</v>
      </c>
    </row>
    <row r="5821" spans="1:7">
      <c r="A5821" t="s">
        <v>12491</v>
      </c>
      <c r="B5821" t="s">
        <v>12492</v>
      </c>
      <c r="C5821" t="s">
        <v>3977</v>
      </c>
      <c r="D5821" t="s">
        <v>3978</v>
      </c>
      <c r="E5821">
        <v>6</v>
      </c>
      <c r="F5821" s="6">
        <v>750</v>
      </c>
      <c r="G5821" t="s">
        <v>12493</v>
      </c>
    </row>
    <row r="5822" spans="1:7">
      <c r="A5822" t="s">
        <v>12494</v>
      </c>
      <c r="B5822" t="s">
        <v>12495</v>
      </c>
      <c r="C5822" t="s">
        <v>3977</v>
      </c>
      <c r="D5822" t="s">
        <v>3978</v>
      </c>
      <c r="E5822">
        <v>6</v>
      </c>
      <c r="F5822" s="6">
        <v>750</v>
      </c>
      <c r="G5822" t="s">
        <v>12493</v>
      </c>
    </row>
    <row r="5823" spans="1:7">
      <c r="A5823" t="s">
        <v>12496</v>
      </c>
      <c r="B5823" t="s">
        <v>12497</v>
      </c>
      <c r="C5823" t="s">
        <v>4632</v>
      </c>
      <c r="D5823" t="s">
        <v>4633</v>
      </c>
      <c r="E5823">
        <v>6</v>
      </c>
      <c r="F5823" s="6">
        <v>750</v>
      </c>
      <c r="G5823" t="s">
        <v>10637</v>
      </c>
    </row>
    <row r="5824" spans="1:7">
      <c r="A5824" t="s">
        <v>12498</v>
      </c>
      <c r="B5824" t="s">
        <v>12499</v>
      </c>
      <c r="C5824" t="s">
        <v>3756</v>
      </c>
      <c r="D5824" t="s">
        <v>3757</v>
      </c>
      <c r="E5824">
        <v>6</v>
      </c>
      <c r="F5824" s="6">
        <v>750</v>
      </c>
      <c r="G5824" t="s">
        <v>3802</v>
      </c>
    </row>
    <row r="5825" spans="1:7">
      <c r="A5825" t="s">
        <v>12500</v>
      </c>
      <c r="B5825" t="s">
        <v>12501</v>
      </c>
      <c r="C5825" t="s">
        <v>4093</v>
      </c>
      <c r="D5825" t="s">
        <v>4094</v>
      </c>
      <c r="E5825">
        <v>12</v>
      </c>
      <c r="F5825" s="6">
        <v>750</v>
      </c>
      <c r="G5825" t="s">
        <v>12502</v>
      </c>
    </row>
    <row r="5826" spans="1:7">
      <c r="A5826" t="s">
        <v>12503</v>
      </c>
      <c r="B5826" t="s">
        <v>7829</v>
      </c>
      <c r="C5826" t="s">
        <v>5804</v>
      </c>
      <c r="D5826" t="s">
        <v>5805</v>
      </c>
      <c r="E5826">
        <v>12</v>
      </c>
      <c r="F5826" s="6">
        <v>375</v>
      </c>
      <c r="G5826" t="s">
        <v>3730</v>
      </c>
    </row>
    <row r="5827" spans="1:7">
      <c r="A5827" t="s">
        <v>12504</v>
      </c>
      <c r="B5827" t="s">
        <v>12505</v>
      </c>
      <c r="C5827" t="s">
        <v>3708</v>
      </c>
      <c r="D5827" t="s">
        <v>3709</v>
      </c>
      <c r="E5827">
        <v>6</v>
      </c>
      <c r="F5827" s="6">
        <v>750</v>
      </c>
      <c r="G5827" t="s">
        <v>4781</v>
      </c>
    </row>
    <row r="5828" spans="1:7">
      <c r="A5828" t="s">
        <v>12506</v>
      </c>
      <c r="B5828" t="s">
        <v>12507</v>
      </c>
      <c r="C5828" t="s">
        <v>4071</v>
      </c>
      <c r="D5828" t="s">
        <v>4072</v>
      </c>
      <c r="E5828">
        <v>6</v>
      </c>
      <c r="F5828" s="6">
        <v>750</v>
      </c>
      <c r="G5828" t="s">
        <v>3851</v>
      </c>
    </row>
    <row r="5829" spans="1:7">
      <c r="A5829" t="s">
        <v>12508</v>
      </c>
      <c r="B5829" t="s">
        <v>12509</v>
      </c>
      <c r="C5829" t="s">
        <v>9595</v>
      </c>
      <c r="D5829" t="s">
        <v>3757</v>
      </c>
      <c r="E5829">
        <v>12</v>
      </c>
      <c r="F5829" s="6">
        <v>1000</v>
      </c>
      <c r="G5829" t="s">
        <v>3802</v>
      </c>
    </row>
    <row r="5830" spans="1:7">
      <c r="A5830" t="s">
        <v>12510</v>
      </c>
      <c r="B5830" t="s">
        <v>12511</v>
      </c>
      <c r="C5830" t="s">
        <v>4071</v>
      </c>
      <c r="D5830" t="s">
        <v>4072</v>
      </c>
      <c r="E5830">
        <v>12</v>
      </c>
      <c r="F5830" s="6">
        <v>1000</v>
      </c>
      <c r="G5830" t="s">
        <v>3802</v>
      </c>
    </row>
    <row r="5831" spans="1:7">
      <c r="A5831" t="s">
        <v>12512</v>
      </c>
      <c r="B5831" t="s">
        <v>12513</v>
      </c>
      <c r="C5831" t="s">
        <v>4632</v>
      </c>
      <c r="D5831" t="s">
        <v>4633</v>
      </c>
      <c r="E5831">
        <v>6</v>
      </c>
      <c r="F5831" s="6">
        <v>1750</v>
      </c>
      <c r="G5831" t="s">
        <v>9962</v>
      </c>
    </row>
    <row r="5832" spans="1:7">
      <c r="A5832" t="s">
        <v>12514</v>
      </c>
      <c r="B5832" t="s">
        <v>12387</v>
      </c>
      <c r="C5832" t="s">
        <v>4170</v>
      </c>
      <c r="D5832" t="s">
        <v>4171</v>
      </c>
      <c r="E5832">
        <v>12</v>
      </c>
      <c r="F5832" s="6">
        <v>700</v>
      </c>
      <c r="G5832" t="s">
        <v>3802</v>
      </c>
    </row>
    <row r="5833" spans="1:7">
      <c r="A5833" t="s">
        <v>12515</v>
      </c>
      <c r="B5833" t="s">
        <v>12213</v>
      </c>
      <c r="C5833" t="s">
        <v>6451</v>
      </c>
      <c r="D5833" t="s">
        <v>6452</v>
      </c>
      <c r="E5833">
        <v>12</v>
      </c>
      <c r="F5833" s="6">
        <v>700</v>
      </c>
      <c r="G5833" t="s">
        <v>3702</v>
      </c>
    </row>
    <row r="5834" spans="1:7">
      <c r="A5834" t="s">
        <v>12516</v>
      </c>
      <c r="B5834" t="s">
        <v>12517</v>
      </c>
      <c r="C5834" t="s">
        <v>3756</v>
      </c>
      <c r="D5834" t="s">
        <v>3757</v>
      </c>
      <c r="E5834">
        <v>12</v>
      </c>
      <c r="F5834" s="6">
        <v>750</v>
      </c>
      <c r="G5834" t="s">
        <v>3716</v>
      </c>
    </row>
    <row r="5835" spans="1:7">
      <c r="A5835" t="s">
        <v>12518</v>
      </c>
      <c r="B5835" t="s">
        <v>12519</v>
      </c>
      <c r="C5835" t="s">
        <v>4452</v>
      </c>
      <c r="D5835" t="s">
        <v>4453</v>
      </c>
      <c r="E5835">
        <v>6</v>
      </c>
      <c r="F5835" s="6">
        <v>750</v>
      </c>
      <c r="G5835" t="s">
        <v>5070</v>
      </c>
    </row>
    <row r="5836" spans="1:7">
      <c r="A5836" t="s">
        <v>12520</v>
      </c>
      <c r="B5836" t="s">
        <v>12521</v>
      </c>
      <c r="C5836" t="s">
        <v>4071</v>
      </c>
      <c r="D5836" t="s">
        <v>4072</v>
      </c>
      <c r="E5836">
        <v>6</v>
      </c>
      <c r="F5836" s="6">
        <v>700</v>
      </c>
      <c r="G5836" t="s">
        <v>5932</v>
      </c>
    </row>
    <row r="5837" spans="1:7">
      <c r="A5837" t="s">
        <v>12522</v>
      </c>
      <c r="B5837" t="s">
        <v>12523</v>
      </c>
      <c r="C5837" t="s">
        <v>4071</v>
      </c>
      <c r="D5837" t="s">
        <v>4072</v>
      </c>
      <c r="E5837">
        <v>6</v>
      </c>
      <c r="F5837" s="6">
        <v>700</v>
      </c>
      <c r="G5837" t="s">
        <v>5932</v>
      </c>
    </row>
    <row r="5838" spans="1:7">
      <c r="A5838" t="s">
        <v>2983</v>
      </c>
      <c r="B5838" t="s">
        <v>12524</v>
      </c>
      <c r="C5838" t="s">
        <v>3756</v>
      </c>
      <c r="D5838" t="s">
        <v>3757</v>
      </c>
      <c r="E5838">
        <v>12</v>
      </c>
      <c r="F5838" s="6">
        <v>1000</v>
      </c>
      <c r="G5838" t="s">
        <v>3686</v>
      </c>
    </row>
    <row r="5839" spans="1:7">
      <c r="A5839" t="s">
        <v>12525</v>
      </c>
      <c r="B5839" t="s">
        <v>12526</v>
      </c>
      <c r="C5839" t="s">
        <v>3756</v>
      </c>
      <c r="D5839" t="s">
        <v>3757</v>
      </c>
      <c r="E5839">
        <v>20</v>
      </c>
      <c r="F5839" s="6">
        <v>50</v>
      </c>
      <c r="G5839" t="s">
        <v>7925</v>
      </c>
    </row>
    <row r="5840" spans="1:7">
      <c r="A5840" t="s">
        <v>12527</v>
      </c>
      <c r="B5840" t="s">
        <v>12528</v>
      </c>
      <c r="C5840" t="s">
        <v>3756</v>
      </c>
      <c r="D5840" t="s">
        <v>3757</v>
      </c>
      <c r="E5840">
        <v>12</v>
      </c>
      <c r="F5840" s="6">
        <v>750</v>
      </c>
      <c r="G5840" t="s">
        <v>3931</v>
      </c>
    </row>
    <row r="5841" spans="1:7">
      <c r="A5841" t="s">
        <v>12529</v>
      </c>
      <c r="B5841" t="s">
        <v>12530</v>
      </c>
      <c r="C5841" t="s">
        <v>5668</v>
      </c>
      <c r="D5841" t="s">
        <v>5669</v>
      </c>
      <c r="E5841">
        <v>12</v>
      </c>
      <c r="F5841" s="6">
        <v>750</v>
      </c>
      <c r="G5841" t="s">
        <v>10682</v>
      </c>
    </row>
    <row r="5842" spans="1:7">
      <c r="A5842" t="s">
        <v>12531</v>
      </c>
      <c r="B5842" t="s">
        <v>7891</v>
      </c>
      <c r="C5842" t="s">
        <v>5653</v>
      </c>
      <c r="D5842" t="s">
        <v>5654</v>
      </c>
      <c r="E5842">
        <v>6</v>
      </c>
      <c r="F5842" s="6">
        <v>1000</v>
      </c>
      <c r="G5842" t="s">
        <v>4509</v>
      </c>
    </row>
    <row r="5843" spans="1:7">
      <c r="A5843" t="s">
        <v>12532</v>
      </c>
      <c r="B5843" t="s">
        <v>12533</v>
      </c>
      <c r="C5843" t="s">
        <v>4071</v>
      </c>
      <c r="D5843" t="s">
        <v>4072</v>
      </c>
      <c r="E5843">
        <v>6</v>
      </c>
      <c r="F5843" s="6">
        <v>750</v>
      </c>
      <c r="G5843" t="s">
        <v>12534</v>
      </c>
    </row>
    <row r="5844" spans="1:7">
      <c r="A5844" t="s">
        <v>12535</v>
      </c>
      <c r="B5844" t="s">
        <v>12536</v>
      </c>
      <c r="C5844" t="s">
        <v>6442</v>
      </c>
      <c r="D5844" t="s">
        <v>6443</v>
      </c>
      <c r="E5844">
        <v>6</v>
      </c>
      <c r="F5844" s="6">
        <v>750</v>
      </c>
      <c r="G5844" t="s">
        <v>12336</v>
      </c>
    </row>
    <row r="5845" spans="1:7">
      <c r="A5845" t="s">
        <v>12537</v>
      </c>
      <c r="B5845" t="s">
        <v>12538</v>
      </c>
      <c r="C5845" t="s">
        <v>4071</v>
      </c>
      <c r="D5845" t="s">
        <v>4072</v>
      </c>
      <c r="E5845">
        <v>6</v>
      </c>
      <c r="F5845" s="6">
        <v>750</v>
      </c>
      <c r="G5845" t="s">
        <v>12534</v>
      </c>
    </row>
    <row r="5846" spans="1:7">
      <c r="A5846" t="s">
        <v>12539</v>
      </c>
      <c r="B5846" t="s">
        <v>12540</v>
      </c>
      <c r="C5846" t="s">
        <v>3756</v>
      </c>
      <c r="D5846" t="s">
        <v>3757</v>
      </c>
      <c r="E5846">
        <v>12</v>
      </c>
      <c r="F5846" s="6">
        <v>750</v>
      </c>
      <c r="G5846" t="s">
        <v>8661</v>
      </c>
    </row>
    <row r="5847" spans="1:7">
      <c r="A5847" t="s">
        <v>12541</v>
      </c>
      <c r="B5847" t="s">
        <v>12542</v>
      </c>
      <c r="C5847" t="s">
        <v>3756</v>
      </c>
      <c r="D5847" t="s">
        <v>3757</v>
      </c>
      <c r="E5847">
        <v>12</v>
      </c>
      <c r="F5847" s="6">
        <v>750</v>
      </c>
      <c r="G5847" t="s">
        <v>8661</v>
      </c>
    </row>
    <row r="5848" spans="1:7">
      <c r="A5848" t="s">
        <v>12543</v>
      </c>
      <c r="B5848" t="s">
        <v>12544</v>
      </c>
      <c r="C5848" t="s">
        <v>3756</v>
      </c>
      <c r="D5848" t="s">
        <v>3757</v>
      </c>
      <c r="E5848">
        <v>12</v>
      </c>
      <c r="F5848" s="6">
        <v>750</v>
      </c>
      <c r="G5848" t="s">
        <v>8661</v>
      </c>
    </row>
    <row r="5849" spans="1:7">
      <c r="A5849" t="s">
        <v>12545</v>
      </c>
      <c r="B5849" t="s">
        <v>12546</v>
      </c>
      <c r="C5849" t="s">
        <v>4170</v>
      </c>
      <c r="D5849" t="s">
        <v>4171</v>
      </c>
      <c r="E5849">
        <v>6</v>
      </c>
      <c r="F5849" s="6">
        <v>700</v>
      </c>
      <c r="G5849" t="s">
        <v>8661</v>
      </c>
    </row>
    <row r="5850" spans="1:7">
      <c r="A5850" t="s">
        <v>12547</v>
      </c>
      <c r="B5850" t="s">
        <v>12548</v>
      </c>
      <c r="C5850" t="s">
        <v>4170</v>
      </c>
      <c r="D5850" t="s">
        <v>4171</v>
      </c>
      <c r="E5850">
        <v>6</v>
      </c>
      <c r="F5850" s="6">
        <v>700</v>
      </c>
      <c r="G5850" t="s">
        <v>8661</v>
      </c>
    </row>
    <row r="5851" spans="1:7">
      <c r="A5851" t="s">
        <v>12549</v>
      </c>
      <c r="B5851" t="s">
        <v>12550</v>
      </c>
      <c r="C5851" t="s">
        <v>4170</v>
      </c>
      <c r="D5851" t="s">
        <v>4171</v>
      </c>
      <c r="E5851">
        <v>6</v>
      </c>
      <c r="F5851" s="6">
        <v>700</v>
      </c>
      <c r="G5851" t="s">
        <v>8661</v>
      </c>
    </row>
    <row r="5852" spans="1:7">
      <c r="A5852" t="s">
        <v>12551</v>
      </c>
      <c r="B5852" t="s">
        <v>7901</v>
      </c>
      <c r="C5852" t="s">
        <v>3756</v>
      </c>
      <c r="D5852" t="s">
        <v>3757</v>
      </c>
      <c r="E5852">
        <v>12</v>
      </c>
      <c r="F5852" s="6">
        <v>750</v>
      </c>
      <c r="G5852" t="s">
        <v>3686</v>
      </c>
    </row>
    <row r="5853" spans="1:7">
      <c r="A5853" t="s">
        <v>12552</v>
      </c>
      <c r="B5853" t="s">
        <v>12553</v>
      </c>
      <c r="C5853" t="s">
        <v>3928</v>
      </c>
      <c r="D5853" t="s">
        <v>3929</v>
      </c>
      <c r="E5853">
        <v>6</v>
      </c>
      <c r="F5853" s="6">
        <v>750</v>
      </c>
      <c r="G5853" t="s">
        <v>5030</v>
      </c>
    </row>
    <row r="5854" spans="1:7">
      <c r="A5854" t="s">
        <v>12554</v>
      </c>
      <c r="B5854" t="s">
        <v>12555</v>
      </c>
      <c r="C5854" t="s">
        <v>9595</v>
      </c>
      <c r="D5854" t="s">
        <v>3757</v>
      </c>
      <c r="E5854">
        <v>12</v>
      </c>
      <c r="F5854" s="6">
        <v>750</v>
      </c>
      <c r="G5854" t="s">
        <v>3686</v>
      </c>
    </row>
    <row r="5855" spans="1:7">
      <c r="A5855" t="s">
        <v>12556</v>
      </c>
      <c r="B5855" t="s">
        <v>7907</v>
      </c>
      <c r="C5855" t="s">
        <v>4071</v>
      </c>
      <c r="D5855" t="s">
        <v>4072</v>
      </c>
      <c r="E5855">
        <v>12</v>
      </c>
      <c r="F5855" s="6">
        <v>750</v>
      </c>
      <c r="G5855" t="s">
        <v>7756</v>
      </c>
    </row>
    <row r="5856" spans="1:7">
      <c r="A5856" t="s">
        <v>12557</v>
      </c>
      <c r="B5856" t="s">
        <v>7923</v>
      </c>
      <c r="C5856" t="s">
        <v>7486</v>
      </c>
      <c r="D5856" t="s">
        <v>7487</v>
      </c>
      <c r="E5856">
        <v>12</v>
      </c>
      <c r="F5856" s="6">
        <v>375</v>
      </c>
      <c r="G5856" t="s">
        <v>3871</v>
      </c>
    </row>
    <row r="5857" spans="1:7">
      <c r="A5857" t="s">
        <v>12558</v>
      </c>
      <c r="B5857" t="s">
        <v>12559</v>
      </c>
      <c r="C5857" t="s">
        <v>4071</v>
      </c>
      <c r="D5857" t="s">
        <v>4072</v>
      </c>
      <c r="E5857">
        <v>6</v>
      </c>
      <c r="F5857" s="6">
        <v>750</v>
      </c>
      <c r="G5857" t="s">
        <v>6056</v>
      </c>
    </row>
    <row r="5858" spans="1:7">
      <c r="A5858" t="s">
        <v>12560</v>
      </c>
      <c r="B5858" t="s">
        <v>12561</v>
      </c>
      <c r="C5858" t="s">
        <v>4071</v>
      </c>
      <c r="D5858" t="s">
        <v>4072</v>
      </c>
      <c r="E5858">
        <v>6</v>
      </c>
      <c r="F5858" s="6">
        <v>750</v>
      </c>
      <c r="G5858" t="s">
        <v>6056</v>
      </c>
    </row>
    <row r="5859" spans="1:7">
      <c r="A5859" t="s">
        <v>12562</v>
      </c>
      <c r="B5859" t="s">
        <v>7920</v>
      </c>
      <c r="C5859" t="s">
        <v>7486</v>
      </c>
      <c r="D5859" t="s">
        <v>7487</v>
      </c>
      <c r="E5859">
        <v>6</v>
      </c>
      <c r="F5859" s="6">
        <v>750</v>
      </c>
      <c r="G5859" t="s">
        <v>5475</v>
      </c>
    </row>
    <row r="5860" spans="1:7">
      <c r="A5860" t="s">
        <v>12563</v>
      </c>
      <c r="B5860" t="s">
        <v>12564</v>
      </c>
      <c r="C5860" t="s">
        <v>4071</v>
      </c>
      <c r="D5860" t="s">
        <v>4072</v>
      </c>
      <c r="E5860">
        <v>6</v>
      </c>
      <c r="F5860" s="6">
        <v>750</v>
      </c>
      <c r="G5860" t="s">
        <v>6056</v>
      </c>
    </row>
    <row r="5861" spans="1:7">
      <c r="A5861" t="s">
        <v>12565</v>
      </c>
      <c r="B5861" t="s">
        <v>12566</v>
      </c>
      <c r="C5861" t="s">
        <v>4071</v>
      </c>
      <c r="D5861" t="s">
        <v>4072</v>
      </c>
      <c r="E5861">
        <v>6</v>
      </c>
      <c r="F5861" s="6">
        <v>750</v>
      </c>
      <c r="G5861" t="s">
        <v>6056</v>
      </c>
    </row>
    <row r="5862" spans="1:7">
      <c r="A5862" t="s">
        <v>12567</v>
      </c>
      <c r="B5862" t="s">
        <v>12568</v>
      </c>
      <c r="C5862" t="s">
        <v>3808</v>
      </c>
      <c r="D5862" t="s">
        <v>3809</v>
      </c>
      <c r="E5862">
        <v>6</v>
      </c>
      <c r="F5862" s="6">
        <v>750</v>
      </c>
      <c r="G5862" t="s">
        <v>7911</v>
      </c>
    </row>
    <row r="5863" spans="1:7">
      <c r="A5863" t="s">
        <v>12569</v>
      </c>
      <c r="B5863" t="s">
        <v>12570</v>
      </c>
      <c r="C5863" t="s">
        <v>4071</v>
      </c>
      <c r="D5863" t="s">
        <v>4072</v>
      </c>
      <c r="E5863">
        <v>6</v>
      </c>
      <c r="F5863" s="6">
        <v>750</v>
      </c>
      <c r="G5863" t="s">
        <v>6056</v>
      </c>
    </row>
    <row r="5864" spans="1:7">
      <c r="A5864" t="s">
        <v>12571</v>
      </c>
      <c r="B5864" t="s">
        <v>12572</v>
      </c>
      <c r="C5864" t="s">
        <v>4071</v>
      </c>
      <c r="D5864" t="s">
        <v>4072</v>
      </c>
      <c r="E5864">
        <v>6</v>
      </c>
      <c r="F5864" s="6">
        <v>750</v>
      </c>
      <c r="G5864" t="s">
        <v>6056</v>
      </c>
    </row>
    <row r="5865" spans="1:7">
      <c r="A5865" t="s">
        <v>1150</v>
      </c>
      <c r="B5865" t="s">
        <v>12573</v>
      </c>
      <c r="C5865" t="s">
        <v>9595</v>
      </c>
      <c r="D5865" t="s">
        <v>3757</v>
      </c>
      <c r="E5865">
        <v>12</v>
      </c>
      <c r="F5865" s="6">
        <v>750</v>
      </c>
      <c r="G5865" t="s">
        <v>7925</v>
      </c>
    </row>
    <row r="5866" spans="1:7">
      <c r="A5866" t="s">
        <v>12574</v>
      </c>
      <c r="B5866" t="s">
        <v>12575</v>
      </c>
      <c r="C5866" t="s">
        <v>4071</v>
      </c>
      <c r="D5866" t="s">
        <v>4072</v>
      </c>
      <c r="E5866">
        <v>6</v>
      </c>
      <c r="F5866" s="6">
        <v>750</v>
      </c>
      <c r="G5866" t="s">
        <v>5014</v>
      </c>
    </row>
    <row r="5867" spans="1:7">
      <c r="A5867" t="s">
        <v>12576</v>
      </c>
      <c r="B5867" t="s">
        <v>12577</v>
      </c>
      <c r="C5867" t="s">
        <v>3756</v>
      </c>
      <c r="D5867" t="s">
        <v>3757</v>
      </c>
      <c r="E5867">
        <v>6</v>
      </c>
      <c r="F5867" s="6">
        <v>750</v>
      </c>
      <c r="G5867" t="s">
        <v>5014</v>
      </c>
    </row>
    <row r="5868" spans="1:7">
      <c r="A5868" t="s">
        <v>12578</v>
      </c>
      <c r="B5868" t="s">
        <v>12579</v>
      </c>
      <c r="C5868" t="s">
        <v>3756</v>
      </c>
      <c r="D5868" t="s">
        <v>3757</v>
      </c>
      <c r="E5868">
        <v>6</v>
      </c>
      <c r="F5868" s="6">
        <v>750</v>
      </c>
      <c r="G5868" t="s">
        <v>5014</v>
      </c>
    </row>
    <row r="5869" spans="1:7">
      <c r="A5869" t="s">
        <v>12580</v>
      </c>
      <c r="B5869" t="s">
        <v>12581</v>
      </c>
      <c r="C5869" t="s">
        <v>6442</v>
      </c>
      <c r="D5869" t="s">
        <v>6443</v>
      </c>
      <c r="E5869">
        <v>6</v>
      </c>
      <c r="F5869" s="6">
        <v>750</v>
      </c>
      <c r="G5869" t="s">
        <v>3802</v>
      </c>
    </row>
    <row r="5870" spans="1:7">
      <c r="A5870" t="s">
        <v>12582</v>
      </c>
      <c r="B5870" t="s">
        <v>12583</v>
      </c>
      <c r="C5870" t="s">
        <v>3756</v>
      </c>
      <c r="D5870" t="s">
        <v>3757</v>
      </c>
      <c r="E5870">
        <v>12</v>
      </c>
      <c r="F5870" s="6">
        <v>375</v>
      </c>
      <c r="G5870" t="s">
        <v>4331</v>
      </c>
    </row>
    <row r="5871" spans="1:7">
      <c r="A5871" t="s">
        <v>12584</v>
      </c>
      <c r="B5871" t="s">
        <v>12585</v>
      </c>
      <c r="C5871" t="s">
        <v>4190</v>
      </c>
      <c r="D5871" t="s">
        <v>4191</v>
      </c>
      <c r="E5871">
        <v>6</v>
      </c>
      <c r="F5871" s="6">
        <v>750</v>
      </c>
      <c r="G5871" t="s">
        <v>5987</v>
      </c>
    </row>
    <row r="5872" spans="1:7">
      <c r="A5872" t="s">
        <v>12586</v>
      </c>
      <c r="B5872" t="s">
        <v>12587</v>
      </c>
      <c r="C5872" t="s">
        <v>4052</v>
      </c>
      <c r="D5872" t="s">
        <v>4053</v>
      </c>
      <c r="E5872">
        <v>6</v>
      </c>
      <c r="F5872" s="6">
        <v>750</v>
      </c>
      <c r="G5872" t="s">
        <v>5987</v>
      </c>
    </row>
    <row r="5873" spans="1:7">
      <c r="A5873" t="s">
        <v>12588</v>
      </c>
      <c r="B5873" t="s">
        <v>12589</v>
      </c>
      <c r="C5873" t="s">
        <v>3756</v>
      </c>
      <c r="D5873" t="s">
        <v>3757</v>
      </c>
      <c r="E5873">
        <v>6</v>
      </c>
      <c r="F5873" s="6">
        <v>750</v>
      </c>
      <c r="G5873" t="s">
        <v>3878</v>
      </c>
    </row>
    <row r="5874" spans="1:7">
      <c r="A5874" t="s">
        <v>12590</v>
      </c>
      <c r="B5874" t="s">
        <v>12591</v>
      </c>
      <c r="C5874" t="s">
        <v>4632</v>
      </c>
      <c r="D5874" t="s">
        <v>4633</v>
      </c>
      <c r="E5874">
        <v>6</v>
      </c>
      <c r="F5874" s="6">
        <v>750</v>
      </c>
      <c r="G5874" t="s">
        <v>9335</v>
      </c>
    </row>
    <row r="5875" spans="1:7">
      <c r="A5875" t="s">
        <v>12592</v>
      </c>
      <c r="B5875" t="s">
        <v>12593</v>
      </c>
      <c r="C5875" t="s">
        <v>4052</v>
      </c>
      <c r="D5875" t="s">
        <v>4053</v>
      </c>
      <c r="E5875">
        <v>6</v>
      </c>
      <c r="F5875" s="6">
        <v>750</v>
      </c>
      <c r="G5875" t="s">
        <v>9335</v>
      </c>
    </row>
    <row r="5876" spans="1:7">
      <c r="A5876" t="s">
        <v>12594</v>
      </c>
      <c r="B5876" t="s">
        <v>12595</v>
      </c>
      <c r="C5876" t="s">
        <v>3692</v>
      </c>
      <c r="D5876" t="s">
        <v>3693</v>
      </c>
      <c r="E5876">
        <v>6</v>
      </c>
      <c r="F5876" s="6">
        <v>750</v>
      </c>
      <c r="G5876" t="s">
        <v>12596</v>
      </c>
    </row>
    <row r="5877" spans="1:7">
      <c r="A5877" t="s">
        <v>12597</v>
      </c>
      <c r="B5877" t="s">
        <v>12598</v>
      </c>
      <c r="C5877" t="s">
        <v>9319</v>
      </c>
      <c r="D5877" t="s">
        <v>9320</v>
      </c>
      <c r="E5877">
        <v>6</v>
      </c>
      <c r="F5877" s="6">
        <v>750</v>
      </c>
      <c r="G5877" t="s">
        <v>3686</v>
      </c>
    </row>
    <row r="5878" spans="1:7">
      <c r="A5878" t="s">
        <v>12599</v>
      </c>
      <c r="B5878" t="s">
        <v>12600</v>
      </c>
      <c r="C5878" t="s">
        <v>3692</v>
      </c>
      <c r="D5878" t="s">
        <v>3693</v>
      </c>
      <c r="E5878">
        <v>6</v>
      </c>
      <c r="F5878" s="6">
        <v>750</v>
      </c>
      <c r="G5878" t="s">
        <v>12596</v>
      </c>
    </row>
    <row r="5879" spans="1:7">
      <c r="A5879" t="s">
        <v>12601</v>
      </c>
      <c r="B5879" t="s">
        <v>12602</v>
      </c>
      <c r="C5879" t="s">
        <v>3692</v>
      </c>
      <c r="D5879" t="s">
        <v>3693</v>
      </c>
      <c r="E5879">
        <v>6</v>
      </c>
      <c r="F5879" s="6">
        <v>750</v>
      </c>
      <c r="G5879" t="s">
        <v>12596</v>
      </c>
    </row>
    <row r="5880" spans="1:7">
      <c r="A5880" t="s">
        <v>12603</v>
      </c>
      <c r="B5880" t="s">
        <v>12604</v>
      </c>
      <c r="C5880" t="s">
        <v>9909</v>
      </c>
      <c r="D5880" t="s">
        <v>4171</v>
      </c>
      <c r="E5880">
        <v>6</v>
      </c>
      <c r="F5880" s="6">
        <v>750</v>
      </c>
      <c r="G5880" t="s">
        <v>12596</v>
      </c>
    </row>
    <row r="5881" spans="1:7">
      <c r="A5881" t="s">
        <v>12605</v>
      </c>
      <c r="B5881" t="s">
        <v>12606</v>
      </c>
      <c r="C5881" t="s">
        <v>9909</v>
      </c>
      <c r="D5881" t="s">
        <v>4171</v>
      </c>
      <c r="E5881">
        <v>6</v>
      </c>
      <c r="F5881" s="6">
        <v>750</v>
      </c>
      <c r="G5881" t="s">
        <v>12596</v>
      </c>
    </row>
    <row r="5882" spans="1:7">
      <c r="A5882" t="s">
        <v>12607</v>
      </c>
      <c r="B5882" t="s">
        <v>12608</v>
      </c>
      <c r="C5882" t="s">
        <v>9319</v>
      </c>
      <c r="D5882" t="s">
        <v>9320</v>
      </c>
      <c r="E5882">
        <v>12</v>
      </c>
      <c r="F5882" s="6">
        <v>750</v>
      </c>
      <c r="G5882" t="s">
        <v>3686</v>
      </c>
    </row>
    <row r="5883" spans="1:7">
      <c r="A5883" t="s">
        <v>12609</v>
      </c>
      <c r="B5883" t="s">
        <v>7991</v>
      </c>
      <c r="C5883" t="s">
        <v>7515</v>
      </c>
      <c r="D5883" t="s">
        <v>7516</v>
      </c>
      <c r="E5883">
        <v>6</v>
      </c>
      <c r="F5883" s="6">
        <v>750</v>
      </c>
      <c r="G5883" t="s">
        <v>3832</v>
      </c>
    </row>
    <row r="5884" spans="1:7">
      <c r="A5884" t="s">
        <v>12610</v>
      </c>
      <c r="B5884" t="s">
        <v>12611</v>
      </c>
      <c r="C5884" t="s">
        <v>7515</v>
      </c>
      <c r="D5884" t="s">
        <v>7516</v>
      </c>
      <c r="E5884">
        <v>6</v>
      </c>
      <c r="F5884" s="6">
        <v>750</v>
      </c>
      <c r="G5884" t="s">
        <v>3832</v>
      </c>
    </row>
    <row r="5885" spans="1:7">
      <c r="A5885" t="s">
        <v>12612</v>
      </c>
      <c r="B5885" t="s">
        <v>7993</v>
      </c>
      <c r="C5885" t="s">
        <v>7515</v>
      </c>
      <c r="D5885" t="s">
        <v>7516</v>
      </c>
      <c r="E5885">
        <v>6</v>
      </c>
      <c r="F5885" s="6">
        <v>750</v>
      </c>
      <c r="G5885" t="s">
        <v>3832</v>
      </c>
    </row>
    <row r="5886" spans="1:7">
      <c r="A5886" t="s">
        <v>12613</v>
      </c>
      <c r="B5886" t="s">
        <v>12614</v>
      </c>
      <c r="C5886" t="s">
        <v>7486</v>
      </c>
      <c r="D5886" t="s">
        <v>7487</v>
      </c>
      <c r="E5886">
        <v>6</v>
      </c>
      <c r="F5886" s="6">
        <v>375</v>
      </c>
      <c r="G5886" t="s">
        <v>3878</v>
      </c>
    </row>
    <row r="5887" spans="1:7">
      <c r="A5887" t="s">
        <v>12615</v>
      </c>
      <c r="B5887" t="s">
        <v>12616</v>
      </c>
      <c r="C5887" t="s">
        <v>4071</v>
      </c>
      <c r="D5887" t="s">
        <v>4072</v>
      </c>
      <c r="E5887">
        <v>6</v>
      </c>
      <c r="F5887" s="6">
        <v>750</v>
      </c>
      <c r="G5887" t="s">
        <v>3871</v>
      </c>
    </row>
    <row r="5888" spans="1:7">
      <c r="A5888" t="s">
        <v>12617</v>
      </c>
      <c r="B5888" t="s">
        <v>12618</v>
      </c>
      <c r="C5888" t="s">
        <v>3928</v>
      </c>
      <c r="D5888" t="s">
        <v>3929</v>
      </c>
      <c r="E5888">
        <v>6</v>
      </c>
      <c r="F5888" s="6">
        <v>750</v>
      </c>
      <c r="G5888" t="s">
        <v>4163</v>
      </c>
    </row>
    <row r="5889" spans="1:7">
      <c r="A5889" t="s">
        <v>12619</v>
      </c>
      <c r="B5889" t="s">
        <v>12620</v>
      </c>
      <c r="C5889" t="s">
        <v>4071</v>
      </c>
      <c r="D5889" t="s">
        <v>4072</v>
      </c>
      <c r="E5889">
        <v>6</v>
      </c>
      <c r="F5889" s="6">
        <v>750</v>
      </c>
      <c r="G5889" t="s">
        <v>4917</v>
      </c>
    </row>
    <row r="5890" spans="1:7">
      <c r="A5890" t="s">
        <v>12621</v>
      </c>
      <c r="B5890" t="s">
        <v>12622</v>
      </c>
      <c r="C5890" t="s">
        <v>4071</v>
      </c>
      <c r="D5890" t="s">
        <v>4072</v>
      </c>
      <c r="E5890">
        <v>6</v>
      </c>
      <c r="F5890" s="6">
        <v>750</v>
      </c>
      <c r="G5890" t="s">
        <v>4917</v>
      </c>
    </row>
    <row r="5891" spans="1:7">
      <c r="A5891" t="s">
        <v>12623</v>
      </c>
      <c r="B5891" t="s">
        <v>12624</v>
      </c>
      <c r="C5891" t="s">
        <v>4071</v>
      </c>
      <c r="D5891" t="s">
        <v>4072</v>
      </c>
      <c r="E5891">
        <v>6</v>
      </c>
      <c r="F5891" s="6">
        <v>750</v>
      </c>
      <c r="G5891" t="s">
        <v>4917</v>
      </c>
    </row>
    <row r="5892" spans="1:7">
      <c r="A5892" t="s">
        <v>12625</v>
      </c>
      <c r="B5892" t="s">
        <v>12626</v>
      </c>
      <c r="C5892" t="s">
        <v>4071</v>
      </c>
      <c r="D5892" t="s">
        <v>4072</v>
      </c>
      <c r="E5892">
        <v>6</v>
      </c>
      <c r="F5892" s="6">
        <v>750</v>
      </c>
      <c r="G5892" t="s">
        <v>4917</v>
      </c>
    </row>
    <row r="5893" spans="1:7">
      <c r="A5893" t="s">
        <v>12627</v>
      </c>
      <c r="B5893" t="s">
        <v>12628</v>
      </c>
      <c r="C5893" t="s">
        <v>4071</v>
      </c>
      <c r="D5893" t="s">
        <v>4072</v>
      </c>
      <c r="E5893">
        <v>6</v>
      </c>
      <c r="F5893" s="6">
        <v>750</v>
      </c>
      <c r="G5893" t="s">
        <v>4917</v>
      </c>
    </row>
    <row r="5894" spans="1:7">
      <c r="A5894" t="s">
        <v>12629</v>
      </c>
      <c r="B5894" t="s">
        <v>12626</v>
      </c>
      <c r="C5894" t="s">
        <v>4071</v>
      </c>
      <c r="D5894" t="s">
        <v>4072</v>
      </c>
      <c r="E5894">
        <v>6</v>
      </c>
      <c r="F5894" s="6">
        <v>750</v>
      </c>
      <c r="G5894" t="s">
        <v>4917</v>
      </c>
    </row>
    <row r="5895" spans="1:7">
      <c r="A5895" t="s">
        <v>12630</v>
      </c>
      <c r="B5895" t="s">
        <v>12631</v>
      </c>
      <c r="C5895" t="s">
        <v>4071</v>
      </c>
      <c r="D5895" t="s">
        <v>4072</v>
      </c>
      <c r="E5895">
        <v>6</v>
      </c>
      <c r="F5895" s="6">
        <v>750</v>
      </c>
      <c r="G5895" t="s">
        <v>4917</v>
      </c>
    </row>
    <row r="5896" spans="1:7">
      <c r="A5896" t="s">
        <v>12632</v>
      </c>
      <c r="B5896" t="s">
        <v>12633</v>
      </c>
      <c r="C5896" t="s">
        <v>4071</v>
      </c>
      <c r="D5896" t="s">
        <v>4072</v>
      </c>
      <c r="E5896">
        <v>6</v>
      </c>
      <c r="F5896" s="6">
        <v>750</v>
      </c>
      <c r="G5896" t="s">
        <v>4917</v>
      </c>
    </row>
    <row r="5897" spans="1:7">
      <c r="A5897" t="s">
        <v>12634</v>
      </c>
      <c r="B5897" t="s">
        <v>12635</v>
      </c>
      <c r="C5897" t="s">
        <v>4071</v>
      </c>
      <c r="D5897" t="s">
        <v>4072</v>
      </c>
      <c r="E5897">
        <v>6</v>
      </c>
      <c r="F5897" s="6">
        <v>750</v>
      </c>
      <c r="G5897" t="s">
        <v>4917</v>
      </c>
    </row>
    <row r="5898" spans="1:7">
      <c r="A5898" t="s">
        <v>12636</v>
      </c>
      <c r="B5898" t="s">
        <v>12637</v>
      </c>
      <c r="C5898" t="s">
        <v>4071</v>
      </c>
      <c r="D5898" t="s">
        <v>4072</v>
      </c>
      <c r="E5898">
        <v>6</v>
      </c>
      <c r="F5898" s="6">
        <v>750</v>
      </c>
      <c r="G5898" t="s">
        <v>4917</v>
      </c>
    </row>
    <row r="5899" spans="1:7">
      <c r="A5899" t="s">
        <v>12638</v>
      </c>
      <c r="B5899" t="s">
        <v>12639</v>
      </c>
      <c r="C5899" t="s">
        <v>3928</v>
      </c>
      <c r="D5899" t="s">
        <v>3929</v>
      </c>
      <c r="E5899">
        <v>6</v>
      </c>
      <c r="F5899" s="6">
        <v>750</v>
      </c>
      <c r="G5899" t="s">
        <v>5532</v>
      </c>
    </row>
    <row r="5900" spans="1:7">
      <c r="A5900" t="s">
        <v>12640</v>
      </c>
      <c r="B5900" t="s">
        <v>12641</v>
      </c>
      <c r="C5900" t="s">
        <v>3928</v>
      </c>
      <c r="D5900" t="s">
        <v>3929</v>
      </c>
      <c r="E5900">
        <v>6</v>
      </c>
      <c r="F5900" s="6">
        <v>700</v>
      </c>
      <c r="G5900" t="s">
        <v>3694</v>
      </c>
    </row>
    <row r="5901" spans="1:7">
      <c r="A5901" t="s">
        <v>12642</v>
      </c>
      <c r="B5901" t="s">
        <v>12643</v>
      </c>
      <c r="C5901" t="s">
        <v>3928</v>
      </c>
      <c r="D5901" t="s">
        <v>3929</v>
      </c>
      <c r="E5901">
        <v>6</v>
      </c>
      <c r="F5901" s="6">
        <v>750</v>
      </c>
      <c r="G5901" t="s">
        <v>5054</v>
      </c>
    </row>
    <row r="5902" spans="1:7">
      <c r="A5902" t="s">
        <v>12644</v>
      </c>
      <c r="B5902" t="s">
        <v>12645</v>
      </c>
      <c r="C5902" t="s">
        <v>4452</v>
      </c>
      <c r="D5902" t="s">
        <v>4453</v>
      </c>
      <c r="E5902">
        <v>6</v>
      </c>
      <c r="F5902" s="6">
        <v>750</v>
      </c>
      <c r="G5902" t="s">
        <v>10325</v>
      </c>
    </row>
    <row r="5903" spans="1:7">
      <c r="A5903" t="s">
        <v>12646</v>
      </c>
      <c r="B5903" t="s">
        <v>12647</v>
      </c>
      <c r="C5903" t="s">
        <v>4452</v>
      </c>
      <c r="D5903" t="s">
        <v>4453</v>
      </c>
      <c r="E5903">
        <v>6</v>
      </c>
      <c r="F5903" s="6">
        <v>750</v>
      </c>
      <c r="G5903" t="s">
        <v>10325</v>
      </c>
    </row>
    <row r="5904" spans="1:7">
      <c r="A5904" t="s">
        <v>12648</v>
      </c>
      <c r="B5904" t="s">
        <v>12649</v>
      </c>
      <c r="C5904" t="s">
        <v>4170</v>
      </c>
      <c r="D5904" t="s">
        <v>4171</v>
      </c>
      <c r="E5904">
        <v>6</v>
      </c>
      <c r="F5904" s="6">
        <v>700</v>
      </c>
      <c r="G5904" t="s">
        <v>3802</v>
      </c>
    </row>
    <row r="5905" spans="1:7">
      <c r="A5905" t="s">
        <v>12650</v>
      </c>
      <c r="B5905" t="s">
        <v>12651</v>
      </c>
      <c r="C5905" t="s">
        <v>4093</v>
      </c>
      <c r="D5905" t="s">
        <v>4094</v>
      </c>
      <c r="E5905">
        <v>6</v>
      </c>
      <c r="F5905" s="6">
        <v>750</v>
      </c>
      <c r="G5905" t="s">
        <v>6230</v>
      </c>
    </row>
    <row r="5906" spans="1:7">
      <c r="A5906" t="s">
        <v>12652</v>
      </c>
      <c r="B5906" t="s">
        <v>12653</v>
      </c>
      <c r="C5906" t="s">
        <v>4071</v>
      </c>
      <c r="D5906" t="s">
        <v>4072</v>
      </c>
      <c r="E5906">
        <v>6</v>
      </c>
      <c r="F5906" s="6">
        <v>750</v>
      </c>
      <c r="G5906" t="s">
        <v>4919</v>
      </c>
    </row>
    <row r="5907" spans="1:7">
      <c r="A5907" t="s">
        <v>12654</v>
      </c>
      <c r="B5907" t="s">
        <v>12655</v>
      </c>
      <c r="C5907" t="s">
        <v>3808</v>
      </c>
      <c r="D5907" t="s">
        <v>3809</v>
      </c>
      <c r="E5907">
        <v>6</v>
      </c>
      <c r="F5907" s="6">
        <v>750</v>
      </c>
      <c r="G5907" t="s">
        <v>3802</v>
      </c>
    </row>
    <row r="5908" spans="1:7">
      <c r="A5908" t="s">
        <v>12656</v>
      </c>
      <c r="B5908" t="s">
        <v>12657</v>
      </c>
      <c r="C5908" t="s">
        <v>3928</v>
      </c>
      <c r="D5908" t="s">
        <v>3929</v>
      </c>
      <c r="E5908">
        <v>6</v>
      </c>
      <c r="F5908" s="6">
        <v>750</v>
      </c>
      <c r="G5908" t="s">
        <v>10325</v>
      </c>
    </row>
    <row r="5909" spans="1:7">
      <c r="A5909" t="s">
        <v>12658</v>
      </c>
      <c r="B5909" t="s">
        <v>12659</v>
      </c>
      <c r="C5909" t="s">
        <v>3783</v>
      </c>
      <c r="D5909" t="s">
        <v>3784</v>
      </c>
      <c r="E5909">
        <v>1</v>
      </c>
      <c r="F5909" s="6">
        <v>50</v>
      </c>
      <c r="G5909" t="s">
        <v>3686</v>
      </c>
    </row>
    <row r="5910" spans="1:7">
      <c r="A5910" t="s">
        <v>12660</v>
      </c>
      <c r="B5910" t="s">
        <v>12661</v>
      </c>
      <c r="C5910" t="s">
        <v>3783</v>
      </c>
      <c r="D5910" t="s">
        <v>3784</v>
      </c>
      <c r="E5910">
        <v>1</v>
      </c>
      <c r="F5910" s="6">
        <v>50</v>
      </c>
      <c r="G5910" t="s">
        <v>3686</v>
      </c>
    </row>
    <row r="5911" spans="1:7">
      <c r="A5911" t="s">
        <v>12662</v>
      </c>
      <c r="B5911" t="s">
        <v>12663</v>
      </c>
      <c r="C5911" t="s">
        <v>3756</v>
      </c>
      <c r="D5911" t="s">
        <v>3757</v>
      </c>
      <c r="E5911">
        <v>1</v>
      </c>
      <c r="F5911" s="6">
        <v>50</v>
      </c>
      <c r="G5911" t="s">
        <v>3686</v>
      </c>
    </row>
    <row r="5912" spans="1:7">
      <c r="A5912" t="s">
        <v>12664</v>
      </c>
      <c r="B5912" t="s">
        <v>12665</v>
      </c>
      <c r="C5912" t="s">
        <v>4591</v>
      </c>
      <c r="D5912" t="s">
        <v>4592</v>
      </c>
      <c r="E5912">
        <v>12</v>
      </c>
      <c r="F5912" s="6">
        <v>750</v>
      </c>
      <c r="G5912" t="s">
        <v>3686</v>
      </c>
    </row>
    <row r="5913" spans="1:7">
      <c r="A5913" t="s">
        <v>12666</v>
      </c>
      <c r="B5913" t="s">
        <v>12667</v>
      </c>
      <c r="C5913" t="s">
        <v>3756</v>
      </c>
      <c r="D5913" t="s">
        <v>3757</v>
      </c>
      <c r="E5913">
        <v>6</v>
      </c>
      <c r="F5913" s="6">
        <v>750</v>
      </c>
      <c r="G5913" t="s">
        <v>12668</v>
      </c>
    </row>
    <row r="5914" spans="1:7">
      <c r="A5914" t="s">
        <v>12669</v>
      </c>
      <c r="B5914" t="s">
        <v>12670</v>
      </c>
      <c r="C5914" t="s">
        <v>3756</v>
      </c>
      <c r="D5914" t="s">
        <v>3757</v>
      </c>
      <c r="E5914">
        <v>6</v>
      </c>
      <c r="F5914" s="6">
        <v>750</v>
      </c>
      <c r="G5914" t="s">
        <v>12668</v>
      </c>
    </row>
    <row r="5915" spans="1:7">
      <c r="A5915" t="s">
        <v>12671</v>
      </c>
      <c r="B5915" t="s">
        <v>8053</v>
      </c>
      <c r="C5915" t="s">
        <v>4170</v>
      </c>
      <c r="D5915" t="s">
        <v>4171</v>
      </c>
      <c r="E5915">
        <v>6</v>
      </c>
      <c r="F5915" s="6">
        <v>750</v>
      </c>
      <c r="G5915" t="s">
        <v>3702</v>
      </c>
    </row>
    <row r="5916" spans="1:7">
      <c r="A5916" t="s">
        <v>12672</v>
      </c>
      <c r="B5916" t="s">
        <v>12673</v>
      </c>
      <c r="C5916" t="s">
        <v>9595</v>
      </c>
      <c r="D5916" t="s">
        <v>3757</v>
      </c>
      <c r="E5916">
        <v>12</v>
      </c>
      <c r="F5916" s="6">
        <v>1000</v>
      </c>
      <c r="G5916" t="s">
        <v>3686</v>
      </c>
    </row>
    <row r="5917" spans="1:7">
      <c r="A5917" t="s">
        <v>12674</v>
      </c>
      <c r="B5917" t="s">
        <v>12675</v>
      </c>
      <c r="C5917" t="s">
        <v>3708</v>
      </c>
      <c r="D5917" t="s">
        <v>3709</v>
      </c>
      <c r="E5917">
        <v>6</v>
      </c>
      <c r="F5917" s="6">
        <v>1750</v>
      </c>
      <c r="G5917" t="s">
        <v>4225</v>
      </c>
    </row>
    <row r="5918" spans="1:7">
      <c r="A5918" t="s">
        <v>12676</v>
      </c>
      <c r="B5918" t="s">
        <v>12677</v>
      </c>
      <c r="C5918" t="s">
        <v>3708</v>
      </c>
      <c r="D5918" t="s">
        <v>3709</v>
      </c>
      <c r="E5918">
        <v>6</v>
      </c>
      <c r="F5918" s="6">
        <v>1750</v>
      </c>
      <c r="G5918" t="s">
        <v>4225</v>
      </c>
    </row>
    <row r="5919" spans="1:7">
      <c r="A5919" t="s">
        <v>12678</v>
      </c>
      <c r="B5919" t="s">
        <v>12679</v>
      </c>
      <c r="C5919" t="s">
        <v>3708</v>
      </c>
      <c r="D5919" t="s">
        <v>3709</v>
      </c>
      <c r="E5919">
        <v>6</v>
      </c>
      <c r="F5919" s="6">
        <v>1750</v>
      </c>
      <c r="G5919" t="s">
        <v>4225</v>
      </c>
    </row>
    <row r="5920" spans="1:7">
      <c r="A5920" t="s">
        <v>12680</v>
      </c>
      <c r="B5920" t="s">
        <v>12681</v>
      </c>
      <c r="C5920" t="s">
        <v>5653</v>
      </c>
      <c r="D5920" t="s">
        <v>5654</v>
      </c>
      <c r="E5920">
        <v>6</v>
      </c>
      <c r="F5920" s="6">
        <v>750</v>
      </c>
      <c r="G5920" t="s">
        <v>4344</v>
      </c>
    </row>
    <row r="5921" spans="1:7">
      <c r="A5921" t="s">
        <v>12682</v>
      </c>
      <c r="B5921" t="s">
        <v>12683</v>
      </c>
      <c r="C5921" t="s">
        <v>5804</v>
      </c>
      <c r="D5921" t="s">
        <v>5805</v>
      </c>
      <c r="E5921">
        <v>12</v>
      </c>
      <c r="F5921" s="6">
        <v>750</v>
      </c>
      <c r="G5921" t="s">
        <v>10017</v>
      </c>
    </row>
    <row r="5922" spans="1:7">
      <c r="A5922" t="s">
        <v>12684</v>
      </c>
      <c r="B5922" t="s">
        <v>12685</v>
      </c>
      <c r="C5922" t="s">
        <v>9595</v>
      </c>
      <c r="D5922" t="s">
        <v>3757</v>
      </c>
      <c r="E5922">
        <v>6</v>
      </c>
      <c r="F5922" s="6">
        <v>750</v>
      </c>
      <c r="G5922" t="s">
        <v>11303</v>
      </c>
    </row>
    <row r="5923" spans="1:7">
      <c r="A5923" t="s">
        <v>12686</v>
      </c>
      <c r="B5923" t="s">
        <v>12687</v>
      </c>
      <c r="C5923" t="s">
        <v>3808</v>
      </c>
      <c r="D5923" t="s">
        <v>3809</v>
      </c>
      <c r="E5923">
        <v>6</v>
      </c>
      <c r="F5923" s="6">
        <v>750</v>
      </c>
      <c r="G5923" t="s">
        <v>7911</v>
      </c>
    </row>
    <row r="5924" spans="1:7">
      <c r="A5924" t="s">
        <v>12688</v>
      </c>
      <c r="B5924" t="s">
        <v>12689</v>
      </c>
      <c r="C5924" t="s">
        <v>3808</v>
      </c>
      <c r="D5924" t="s">
        <v>3809</v>
      </c>
      <c r="E5924">
        <v>6</v>
      </c>
      <c r="F5924" s="6">
        <v>750</v>
      </c>
      <c r="G5924" t="s">
        <v>10325</v>
      </c>
    </row>
    <row r="5925" spans="1:7">
      <c r="A5925" t="s">
        <v>12690</v>
      </c>
      <c r="B5925" t="s">
        <v>12691</v>
      </c>
      <c r="C5925" t="s">
        <v>3808</v>
      </c>
      <c r="D5925" t="s">
        <v>3809</v>
      </c>
      <c r="E5925">
        <v>6</v>
      </c>
      <c r="F5925" s="6">
        <v>750</v>
      </c>
      <c r="G5925" t="s">
        <v>10325</v>
      </c>
    </row>
    <row r="5926" spans="1:7">
      <c r="A5926" t="s">
        <v>12692</v>
      </c>
      <c r="B5926" t="s">
        <v>12693</v>
      </c>
      <c r="C5926" t="s">
        <v>4071</v>
      </c>
      <c r="D5926" t="s">
        <v>4072</v>
      </c>
      <c r="E5926">
        <v>6</v>
      </c>
      <c r="F5926" s="6">
        <v>750</v>
      </c>
      <c r="G5926" t="s">
        <v>12694</v>
      </c>
    </row>
    <row r="5927" spans="1:7">
      <c r="A5927" t="s">
        <v>12695</v>
      </c>
      <c r="B5927" t="s">
        <v>12696</v>
      </c>
      <c r="C5927" t="s">
        <v>3928</v>
      </c>
      <c r="D5927" t="s">
        <v>3929</v>
      </c>
      <c r="E5927">
        <v>6</v>
      </c>
      <c r="F5927" s="6">
        <v>750</v>
      </c>
      <c r="G5927" t="s">
        <v>4163</v>
      </c>
    </row>
    <row r="5928" spans="1:7">
      <c r="A5928" t="s">
        <v>12697</v>
      </c>
      <c r="B5928" t="s">
        <v>12698</v>
      </c>
      <c r="C5928" t="s">
        <v>3928</v>
      </c>
      <c r="D5928" t="s">
        <v>3929</v>
      </c>
      <c r="E5928">
        <v>6</v>
      </c>
      <c r="F5928" s="6">
        <v>750</v>
      </c>
      <c r="G5928" t="s">
        <v>4163</v>
      </c>
    </row>
    <row r="5929" spans="1:7">
      <c r="A5929" t="s">
        <v>12699</v>
      </c>
      <c r="B5929" t="s">
        <v>12700</v>
      </c>
      <c r="C5929" t="s">
        <v>3928</v>
      </c>
      <c r="D5929" t="s">
        <v>3929</v>
      </c>
      <c r="E5929">
        <v>6</v>
      </c>
      <c r="F5929" s="6">
        <v>750</v>
      </c>
      <c r="G5929" t="s">
        <v>4163</v>
      </c>
    </row>
    <row r="5930" spans="1:7">
      <c r="A5930" t="s">
        <v>12701</v>
      </c>
      <c r="B5930" t="s">
        <v>12702</v>
      </c>
      <c r="C5930" t="s">
        <v>3928</v>
      </c>
      <c r="D5930" t="s">
        <v>3929</v>
      </c>
      <c r="E5930">
        <v>6</v>
      </c>
      <c r="F5930" s="6">
        <v>750</v>
      </c>
      <c r="G5930" t="s">
        <v>4163</v>
      </c>
    </row>
    <row r="5931" spans="1:7">
      <c r="A5931" t="s">
        <v>12703</v>
      </c>
      <c r="B5931" t="s">
        <v>12704</v>
      </c>
      <c r="C5931" t="s">
        <v>3928</v>
      </c>
      <c r="D5931" t="s">
        <v>3929</v>
      </c>
      <c r="E5931">
        <v>6</v>
      </c>
      <c r="F5931" s="6">
        <v>750</v>
      </c>
      <c r="G5931" t="s">
        <v>4163</v>
      </c>
    </row>
    <row r="5932" spans="1:7">
      <c r="A5932" t="s">
        <v>787</v>
      </c>
      <c r="B5932" t="s">
        <v>12705</v>
      </c>
      <c r="C5932" t="s">
        <v>5626</v>
      </c>
      <c r="D5932" t="s">
        <v>5627</v>
      </c>
      <c r="E5932">
        <v>12</v>
      </c>
      <c r="F5932" s="6">
        <v>750</v>
      </c>
      <c r="G5932" t="s">
        <v>3702</v>
      </c>
    </row>
    <row r="5933" spans="1:7">
      <c r="A5933" t="s">
        <v>12706</v>
      </c>
      <c r="B5933" t="s">
        <v>12707</v>
      </c>
      <c r="C5933" t="s">
        <v>5668</v>
      </c>
      <c r="D5933" t="s">
        <v>5669</v>
      </c>
      <c r="E5933">
        <v>12</v>
      </c>
      <c r="F5933" s="6">
        <v>750</v>
      </c>
      <c r="G5933" t="s">
        <v>3702</v>
      </c>
    </row>
    <row r="5934" spans="1:7">
      <c r="A5934" t="s">
        <v>12708</v>
      </c>
      <c r="B5934" t="s">
        <v>12709</v>
      </c>
      <c r="C5934" t="s">
        <v>4071</v>
      </c>
      <c r="D5934" t="s">
        <v>4072</v>
      </c>
      <c r="E5934">
        <v>12</v>
      </c>
      <c r="F5934" s="6">
        <v>750</v>
      </c>
      <c r="G5934" t="s">
        <v>4163</v>
      </c>
    </row>
    <row r="5935" spans="1:7">
      <c r="A5935" t="s">
        <v>12710</v>
      </c>
      <c r="B5935" t="s">
        <v>8126</v>
      </c>
      <c r="C5935" t="s">
        <v>3756</v>
      </c>
      <c r="D5935" t="s">
        <v>3757</v>
      </c>
      <c r="E5935">
        <v>12</v>
      </c>
      <c r="F5935" s="6">
        <v>750</v>
      </c>
      <c r="G5935" t="s">
        <v>3686</v>
      </c>
    </row>
    <row r="5936" spans="1:7">
      <c r="A5936" t="s">
        <v>12711</v>
      </c>
      <c r="B5936" t="s">
        <v>12712</v>
      </c>
      <c r="C5936" t="s">
        <v>4071</v>
      </c>
      <c r="D5936" t="s">
        <v>4072</v>
      </c>
      <c r="E5936">
        <v>12</v>
      </c>
      <c r="F5936" s="6">
        <v>750</v>
      </c>
      <c r="G5936" t="s">
        <v>12713</v>
      </c>
    </row>
    <row r="5937" spans="1:7">
      <c r="A5937" t="s">
        <v>12714</v>
      </c>
      <c r="B5937" t="s">
        <v>12715</v>
      </c>
      <c r="C5937" t="s">
        <v>4093</v>
      </c>
      <c r="D5937" t="s">
        <v>4094</v>
      </c>
      <c r="E5937">
        <v>12</v>
      </c>
      <c r="F5937" s="6">
        <v>750</v>
      </c>
      <c r="G5937" t="s">
        <v>6187</v>
      </c>
    </row>
    <row r="5938" spans="1:7">
      <c r="A5938" t="s">
        <v>12716</v>
      </c>
      <c r="B5938" t="s">
        <v>12717</v>
      </c>
      <c r="C5938" t="s">
        <v>4093</v>
      </c>
      <c r="D5938" t="s">
        <v>4094</v>
      </c>
      <c r="E5938">
        <v>12</v>
      </c>
      <c r="F5938" s="6">
        <v>750</v>
      </c>
      <c r="G5938" t="s">
        <v>6187</v>
      </c>
    </row>
    <row r="5939" spans="1:7">
      <c r="A5939" t="s">
        <v>12718</v>
      </c>
      <c r="B5939" t="s">
        <v>12719</v>
      </c>
      <c r="C5939" t="s">
        <v>6411</v>
      </c>
      <c r="D5939" t="s">
        <v>6412</v>
      </c>
      <c r="E5939">
        <v>12</v>
      </c>
      <c r="F5939" s="6">
        <v>750</v>
      </c>
      <c r="G5939" t="s">
        <v>4163</v>
      </c>
    </row>
    <row r="5940" spans="1:7">
      <c r="A5940" t="s">
        <v>12720</v>
      </c>
      <c r="B5940" t="s">
        <v>12721</v>
      </c>
      <c r="C5940" t="s">
        <v>4452</v>
      </c>
      <c r="D5940" t="s">
        <v>4453</v>
      </c>
      <c r="E5940">
        <v>6</v>
      </c>
      <c r="F5940" s="6">
        <v>750</v>
      </c>
      <c r="G5940" t="s">
        <v>5134</v>
      </c>
    </row>
    <row r="5941" spans="1:7">
      <c r="A5941" t="s">
        <v>12722</v>
      </c>
      <c r="B5941" t="s">
        <v>12723</v>
      </c>
      <c r="C5941" t="s">
        <v>4071</v>
      </c>
      <c r="D5941" t="s">
        <v>4072</v>
      </c>
      <c r="E5941">
        <v>12</v>
      </c>
      <c r="F5941" s="6">
        <v>750</v>
      </c>
      <c r="G5941" t="s">
        <v>12713</v>
      </c>
    </row>
    <row r="5942" spans="1:7">
      <c r="A5942" t="s">
        <v>12724</v>
      </c>
      <c r="B5942" t="s">
        <v>12725</v>
      </c>
      <c r="C5942" t="s">
        <v>4071</v>
      </c>
      <c r="D5942" t="s">
        <v>4072</v>
      </c>
      <c r="E5942">
        <v>12</v>
      </c>
      <c r="F5942" s="6">
        <v>750</v>
      </c>
      <c r="G5942" t="s">
        <v>12713</v>
      </c>
    </row>
    <row r="5943" spans="1:7">
      <c r="A5943" t="s">
        <v>12726</v>
      </c>
      <c r="B5943" t="s">
        <v>12727</v>
      </c>
      <c r="C5943" t="s">
        <v>4071</v>
      </c>
      <c r="D5943" t="s">
        <v>4072</v>
      </c>
      <c r="E5943">
        <v>12</v>
      </c>
      <c r="F5943" s="6">
        <v>750</v>
      </c>
      <c r="G5943" t="s">
        <v>12713</v>
      </c>
    </row>
    <row r="5944" spans="1:7">
      <c r="A5944" t="s">
        <v>12728</v>
      </c>
      <c r="B5944" t="s">
        <v>12729</v>
      </c>
      <c r="C5944" t="s">
        <v>4071</v>
      </c>
      <c r="D5944" t="s">
        <v>4072</v>
      </c>
      <c r="E5944">
        <v>12</v>
      </c>
      <c r="F5944" s="6">
        <v>750</v>
      </c>
      <c r="G5944" t="s">
        <v>12713</v>
      </c>
    </row>
    <row r="5945" spans="1:7">
      <c r="A5945" t="s">
        <v>12730</v>
      </c>
      <c r="B5945" t="s">
        <v>12731</v>
      </c>
      <c r="C5945" t="s">
        <v>4071</v>
      </c>
      <c r="D5945" t="s">
        <v>4072</v>
      </c>
      <c r="E5945">
        <v>12</v>
      </c>
      <c r="F5945" s="6">
        <v>750</v>
      </c>
      <c r="G5945" t="s">
        <v>12713</v>
      </c>
    </row>
    <row r="5946" spans="1:7">
      <c r="A5946" t="s">
        <v>12732</v>
      </c>
      <c r="B5946" t="s">
        <v>12733</v>
      </c>
      <c r="C5946" t="s">
        <v>4071</v>
      </c>
      <c r="D5946" t="s">
        <v>4072</v>
      </c>
      <c r="E5946">
        <v>12</v>
      </c>
      <c r="F5946" s="6">
        <v>750</v>
      </c>
      <c r="G5946" t="s">
        <v>12713</v>
      </c>
    </row>
    <row r="5947" spans="1:7">
      <c r="A5947" t="s">
        <v>3185</v>
      </c>
      <c r="B5947" t="s">
        <v>12734</v>
      </c>
      <c r="C5947" t="s">
        <v>3928</v>
      </c>
      <c r="D5947" t="s">
        <v>3929</v>
      </c>
      <c r="E5947">
        <v>6</v>
      </c>
      <c r="F5947" s="6">
        <v>750</v>
      </c>
      <c r="G5947" t="s">
        <v>5215</v>
      </c>
    </row>
    <row r="5948" spans="1:7">
      <c r="A5948" t="s">
        <v>12735</v>
      </c>
      <c r="B5948" t="s">
        <v>12736</v>
      </c>
      <c r="C5948" t="s">
        <v>3928</v>
      </c>
      <c r="D5948" t="s">
        <v>3929</v>
      </c>
      <c r="E5948">
        <v>6</v>
      </c>
      <c r="F5948" s="6">
        <v>750</v>
      </c>
      <c r="G5948" t="s">
        <v>5215</v>
      </c>
    </row>
    <row r="5949" spans="1:7">
      <c r="A5949" t="s">
        <v>12737</v>
      </c>
      <c r="B5949" t="s">
        <v>12738</v>
      </c>
      <c r="C5949" t="s">
        <v>4071</v>
      </c>
      <c r="D5949" t="s">
        <v>4072</v>
      </c>
      <c r="E5949">
        <v>6</v>
      </c>
      <c r="F5949" s="6">
        <v>750</v>
      </c>
      <c r="G5949" t="s">
        <v>4919</v>
      </c>
    </row>
    <row r="5950" spans="1:7">
      <c r="A5950" t="s">
        <v>12739</v>
      </c>
      <c r="B5950" t="s">
        <v>8147</v>
      </c>
      <c r="C5950" t="s">
        <v>4093</v>
      </c>
      <c r="D5950" t="s">
        <v>4094</v>
      </c>
      <c r="E5950">
        <v>6</v>
      </c>
      <c r="F5950" s="6">
        <v>1750</v>
      </c>
      <c r="G5950" t="s">
        <v>3730</v>
      </c>
    </row>
    <row r="5951" spans="1:7">
      <c r="A5951" t="s">
        <v>12740</v>
      </c>
      <c r="B5951" t="s">
        <v>8147</v>
      </c>
      <c r="C5951" t="s">
        <v>4093</v>
      </c>
      <c r="D5951" t="s">
        <v>4094</v>
      </c>
      <c r="E5951">
        <v>12</v>
      </c>
      <c r="F5951" s="6">
        <v>750</v>
      </c>
      <c r="G5951" t="s">
        <v>3730</v>
      </c>
    </row>
    <row r="5952" spans="1:7">
      <c r="A5952" t="s">
        <v>12741</v>
      </c>
      <c r="B5952" t="s">
        <v>12742</v>
      </c>
      <c r="C5952" t="s">
        <v>4093</v>
      </c>
      <c r="D5952" t="s">
        <v>4094</v>
      </c>
      <c r="E5952">
        <v>12</v>
      </c>
      <c r="F5952" s="6">
        <v>50</v>
      </c>
      <c r="G5952" t="s">
        <v>3730</v>
      </c>
    </row>
    <row r="5953" spans="1:7">
      <c r="A5953" t="s">
        <v>12743</v>
      </c>
      <c r="B5953" t="s">
        <v>8156</v>
      </c>
      <c r="C5953" t="s">
        <v>4012</v>
      </c>
      <c r="D5953" t="s">
        <v>4013</v>
      </c>
      <c r="E5953">
        <v>6</v>
      </c>
      <c r="F5953" s="6">
        <v>750</v>
      </c>
      <c r="G5953" t="s">
        <v>3686</v>
      </c>
    </row>
    <row r="5954" spans="1:7">
      <c r="A5954" t="s">
        <v>12744</v>
      </c>
      <c r="B5954" t="s">
        <v>12745</v>
      </c>
      <c r="C5954" t="s">
        <v>3692</v>
      </c>
      <c r="D5954" t="s">
        <v>3693</v>
      </c>
      <c r="E5954">
        <v>6</v>
      </c>
      <c r="F5954" s="6">
        <v>750</v>
      </c>
      <c r="G5954" t="s">
        <v>4073</v>
      </c>
    </row>
    <row r="5955" spans="1:7">
      <c r="A5955" t="s">
        <v>12746</v>
      </c>
      <c r="B5955" t="s">
        <v>12747</v>
      </c>
      <c r="C5955" t="s">
        <v>3928</v>
      </c>
      <c r="D5955" t="s">
        <v>3929</v>
      </c>
      <c r="E5955">
        <v>6</v>
      </c>
      <c r="F5955" s="6">
        <v>700</v>
      </c>
      <c r="G5955" t="s">
        <v>3694</v>
      </c>
    </row>
    <row r="5956" spans="1:7">
      <c r="A5956" t="s">
        <v>12748</v>
      </c>
      <c r="B5956" t="s">
        <v>12749</v>
      </c>
      <c r="C5956" t="s">
        <v>4052</v>
      </c>
      <c r="D5956" t="s">
        <v>4053</v>
      </c>
      <c r="E5956">
        <v>6</v>
      </c>
      <c r="F5956" s="6">
        <v>750</v>
      </c>
      <c r="G5956" t="s">
        <v>7497</v>
      </c>
    </row>
    <row r="5957" spans="1:7">
      <c r="A5957" t="s">
        <v>12750</v>
      </c>
      <c r="B5957" t="s">
        <v>12751</v>
      </c>
      <c r="C5957" t="s">
        <v>9595</v>
      </c>
      <c r="D5957" t="s">
        <v>3757</v>
      </c>
      <c r="E5957">
        <v>12</v>
      </c>
      <c r="F5957" s="6">
        <v>375</v>
      </c>
      <c r="G5957" t="s">
        <v>12752</v>
      </c>
    </row>
    <row r="5958" spans="1:7">
      <c r="A5958" t="s">
        <v>12753</v>
      </c>
      <c r="B5958" t="s">
        <v>8167</v>
      </c>
      <c r="C5958" t="s">
        <v>4071</v>
      </c>
      <c r="D5958" t="s">
        <v>4072</v>
      </c>
      <c r="E5958">
        <v>6</v>
      </c>
      <c r="F5958" s="6">
        <v>750</v>
      </c>
      <c r="G5958" t="s">
        <v>5228</v>
      </c>
    </row>
    <row r="5959" spans="1:7">
      <c r="A5959" t="s">
        <v>12754</v>
      </c>
      <c r="B5959" t="s">
        <v>8170</v>
      </c>
      <c r="C5959" t="s">
        <v>4071</v>
      </c>
      <c r="D5959" t="s">
        <v>4072</v>
      </c>
      <c r="E5959">
        <v>12</v>
      </c>
      <c r="F5959" s="6">
        <v>750</v>
      </c>
      <c r="G5959" t="s">
        <v>5228</v>
      </c>
    </row>
    <row r="5960" spans="1:7">
      <c r="A5960" t="s">
        <v>12755</v>
      </c>
      <c r="B5960" t="s">
        <v>12756</v>
      </c>
      <c r="C5960" t="s">
        <v>4071</v>
      </c>
      <c r="D5960" t="s">
        <v>4072</v>
      </c>
      <c r="E5960">
        <v>6</v>
      </c>
      <c r="F5960" s="6">
        <v>750</v>
      </c>
      <c r="G5960" t="s">
        <v>5228</v>
      </c>
    </row>
    <row r="5961" spans="1:7">
      <c r="A5961" t="s">
        <v>12757</v>
      </c>
      <c r="B5961" t="s">
        <v>12758</v>
      </c>
      <c r="C5961" t="s">
        <v>9319</v>
      </c>
      <c r="D5961" t="s">
        <v>9320</v>
      </c>
      <c r="E5961">
        <v>12</v>
      </c>
      <c r="F5961" s="6">
        <v>750</v>
      </c>
      <c r="G5961" t="s">
        <v>3686</v>
      </c>
    </row>
    <row r="5962" spans="1:7">
      <c r="A5962" t="s">
        <v>12759</v>
      </c>
      <c r="B5962" t="s">
        <v>8199</v>
      </c>
      <c r="C5962" t="s">
        <v>3756</v>
      </c>
      <c r="D5962" t="s">
        <v>3757</v>
      </c>
      <c r="E5962">
        <v>6</v>
      </c>
      <c r="F5962" s="6">
        <v>200</v>
      </c>
      <c r="G5962" t="s">
        <v>5421</v>
      </c>
    </row>
    <row r="5963" spans="1:7">
      <c r="A5963" t="s">
        <v>12760</v>
      </c>
      <c r="B5963" t="s">
        <v>8177</v>
      </c>
      <c r="C5963" t="s">
        <v>4071</v>
      </c>
      <c r="D5963" t="s">
        <v>4072</v>
      </c>
      <c r="E5963">
        <v>6</v>
      </c>
      <c r="F5963" s="6">
        <v>200</v>
      </c>
      <c r="G5963" t="s">
        <v>5421</v>
      </c>
    </row>
    <row r="5964" spans="1:7">
      <c r="A5964" t="s">
        <v>12761</v>
      </c>
      <c r="B5964" t="s">
        <v>12762</v>
      </c>
      <c r="C5964" t="s">
        <v>4093</v>
      </c>
      <c r="D5964" t="s">
        <v>4094</v>
      </c>
      <c r="E5964">
        <v>12</v>
      </c>
      <c r="F5964" s="6">
        <v>750</v>
      </c>
      <c r="G5964" t="s">
        <v>3698</v>
      </c>
    </row>
    <row r="5965" spans="1:7">
      <c r="A5965" t="s">
        <v>12763</v>
      </c>
      <c r="B5965" t="s">
        <v>12764</v>
      </c>
      <c r="C5965" t="s">
        <v>4071</v>
      </c>
      <c r="D5965" t="s">
        <v>4072</v>
      </c>
      <c r="E5965">
        <v>6</v>
      </c>
      <c r="F5965" s="6">
        <v>750</v>
      </c>
      <c r="G5965" t="s">
        <v>3851</v>
      </c>
    </row>
    <row r="5966" spans="1:7">
      <c r="A5966" t="s">
        <v>12765</v>
      </c>
      <c r="B5966" t="s">
        <v>12766</v>
      </c>
      <c r="C5966" t="s">
        <v>4071</v>
      </c>
      <c r="D5966" t="s">
        <v>4072</v>
      </c>
      <c r="E5966">
        <v>6</v>
      </c>
      <c r="F5966" s="6">
        <v>750</v>
      </c>
      <c r="G5966" t="s">
        <v>3851</v>
      </c>
    </row>
    <row r="5967" spans="1:7">
      <c r="A5967" t="s">
        <v>12767</v>
      </c>
      <c r="B5967" t="s">
        <v>8184</v>
      </c>
      <c r="C5967" t="s">
        <v>4474</v>
      </c>
      <c r="D5967" t="s">
        <v>4475</v>
      </c>
      <c r="E5967">
        <v>6</v>
      </c>
      <c r="F5967" s="6">
        <v>750</v>
      </c>
      <c r="G5967" t="s">
        <v>3851</v>
      </c>
    </row>
    <row r="5968" spans="1:7">
      <c r="A5968" t="s">
        <v>12768</v>
      </c>
      <c r="B5968" t="s">
        <v>8186</v>
      </c>
      <c r="C5968" t="s">
        <v>4052</v>
      </c>
      <c r="D5968" t="s">
        <v>4053</v>
      </c>
      <c r="E5968">
        <v>6</v>
      </c>
      <c r="F5968" s="6">
        <v>750</v>
      </c>
      <c r="G5968" t="s">
        <v>3851</v>
      </c>
    </row>
    <row r="5969" spans="1:7">
      <c r="A5969" t="s">
        <v>12769</v>
      </c>
      <c r="B5969" t="s">
        <v>12770</v>
      </c>
      <c r="C5969" t="s">
        <v>4071</v>
      </c>
      <c r="D5969" t="s">
        <v>4072</v>
      </c>
      <c r="E5969">
        <v>6</v>
      </c>
      <c r="F5969" s="6">
        <v>750</v>
      </c>
      <c r="G5969" t="s">
        <v>3851</v>
      </c>
    </row>
    <row r="5970" spans="1:7">
      <c r="A5970" t="s">
        <v>12771</v>
      </c>
      <c r="B5970" t="s">
        <v>12772</v>
      </c>
      <c r="C5970" t="s">
        <v>4474</v>
      </c>
      <c r="D5970" t="s">
        <v>4475</v>
      </c>
      <c r="E5970">
        <v>6</v>
      </c>
      <c r="F5970" s="6">
        <v>750</v>
      </c>
      <c r="G5970" t="s">
        <v>3851</v>
      </c>
    </row>
    <row r="5971" spans="1:7">
      <c r="A5971" t="s">
        <v>12773</v>
      </c>
      <c r="B5971" t="s">
        <v>12774</v>
      </c>
      <c r="C5971" t="s">
        <v>4071</v>
      </c>
      <c r="D5971" t="s">
        <v>4072</v>
      </c>
      <c r="E5971">
        <v>1</v>
      </c>
      <c r="F5971" s="6">
        <v>50</v>
      </c>
      <c r="G5971" t="s">
        <v>3851</v>
      </c>
    </row>
    <row r="5972" spans="1:7">
      <c r="A5972" t="s">
        <v>12775</v>
      </c>
      <c r="B5972" t="s">
        <v>12776</v>
      </c>
      <c r="C5972" t="s">
        <v>4071</v>
      </c>
      <c r="D5972" t="s">
        <v>4072</v>
      </c>
      <c r="E5972">
        <v>1</v>
      </c>
      <c r="F5972" s="6">
        <v>50</v>
      </c>
      <c r="G5972" t="s">
        <v>3851</v>
      </c>
    </row>
    <row r="5973" spans="1:7">
      <c r="A5973" t="s">
        <v>12777</v>
      </c>
      <c r="B5973" t="s">
        <v>12778</v>
      </c>
      <c r="C5973" t="s">
        <v>4071</v>
      </c>
      <c r="D5973" t="s">
        <v>4072</v>
      </c>
      <c r="E5973">
        <v>1</v>
      </c>
      <c r="F5973" s="6">
        <v>50</v>
      </c>
      <c r="G5973" t="s">
        <v>3851</v>
      </c>
    </row>
    <row r="5974" spans="1:7">
      <c r="A5974" t="s">
        <v>12779</v>
      </c>
      <c r="B5974" t="s">
        <v>12780</v>
      </c>
      <c r="C5974" t="s">
        <v>3783</v>
      </c>
      <c r="D5974" t="s">
        <v>3784</v>
      </c>
      <c r="E5974">
        <v>12</v>
      </c>
      <c r="F5974" s="6">
        <v>750</v>
      </c>
      <c r="G5974" t="s">
        <v>3686</v>
      </c>
    </row>
    <row r="5975" spans="1:7">
      <c r="A5975" t="s">
        <v>12781</v>
      </c>
      <c r="B5975" t="s">
        <v>12782</v>
      </c>
      <c r="C5975" t="s">
        <v>4474</v>
      </c>
      <c r="D5975" t="s">
        <v>4475</v>
      </c>
      <c r="E5975">
        <v>6</v>
      </c>
      <c r="F5975" s="6">
        <v>750</v>
      </c>
      <c r="G5975" t="s">
        <v>3851</v>
      </c>
    </row>
    <row r="5976" spans="1:7">
      <c r="A5976" t="s">
        <v>12783</v>
      </c>
      <c r="B5976" t="s">
        <v>12784</v>
      </c>
      <c r="C5976" t="s">
        <v>4071</v>
      </c>
      <c r="D5976" t="s">
        <v>4072</v>
      </c>
      <c r="E5976">
        <v>6</v>
      </c>
      <c r="F5976" s="6">
        <v>750</v>
      </c>
      <c r="G5976" t="s">
        <v>3851</v>
      </c>
    </row>
    <row r="5977" spans="1:7">
      <c r="A5977" t="s">
        <v>12785</v>
      </c>
      <c r="B5977" t="s">
        <v>12786</v>
      </c>
      <c r="C5977" t="s">
        <v>4052</v>
      </c>
      <c r="D5977" t="s">
        <v>4053</v>
      </c>
      <c r="E5977">
        <v>12</v>
      </c>
      <c r="F5977" s="6">
        <v>750</v>
      </c>
      <c r="G5977" t="s">
        <v>4331</v>
      </c>
    </row>
    <row r="5978" spans="1:7">
      <c r="A5978" t="s">
        <v>12787</v>
      </c>
      <c r="B5978" t="s">
        <v>12788</v>
      </c>
      <c r="C5978" t="s">
        <v>4071</v>
      </c>
      <c r="D5978" t="s">
        <v>4072</v>
      </c>
      <c r="E5978">
        <v>6</v>
      </c>
      <c r="F5978" s="6">
        <v>750</v>
      </c>
      <c r="G5978" t="s">
        <v>3851</v>
      </c>
    </row>
    <row r="5979" spans="1:7">
      <c r="A5979" t="s">
        <v>12789</v>
      </c>
      <c r="B5979" t="s">
        <v>12790</v>
      </c>
      <c r="C5979" t="s">
        <v>4071</v>
      </c>
      <c r="D5979" t="s">
        <v>4072</v>
      </c>
      <c r="E5979">
        <v>6</v>
      </c>
      <c r="F5979" s="6">
        <v>750</v>
      </c>
      <c r="G5979" t="s">
        <v>3851</v>
      </c>
    </row>
    <row r="5980" spans="1:7">
      <c r="A5980" t="s">
        <v>12791</v>
      </c>
      <c r="B5980" t="s">
        <v>12792</v>
      </c>
      <c r="C5980" t="s">
        <v>4474</v>
      </c>
      <c r="D5980" t="s">
        <v>4475</v>
      </c>
      <c r="E5980">
        <v>6</v>
      </c>
      <c r="F5980" s="6">
        <v>750</v>
      </c>
      <c r="G5980" t="s">
        <v>3851</v>
      </c>
    </row>
    <row r="5981" spans="1:7">
      <c r="A5981" t="s">
        <v>12793</v>
      </c>
      <c r="B5981" t="s">
        <v>12794</v>
      </c>
      <c r="C5981" t="s">
        <v>3756</v>
      </c>
      <c r="D5981" t="s">
        <v>3757</v>
      </c>
      <c r="E5981">
        <v>6</v>
      </c>
      <c r="F5981" s="6">
        <v>750</v>
      </c>
      <c r="G5981" t="s">
        <v>5421</v>
      </c>
    </row>
    <row r="5982" spans="1:7">
      <c r="A5982" t="s">
        <v>2350</v>
      </c>
      <c r="B5982" t="s">
        <v>12795</v>
      </c>
      <c r="C5982" t="s">
        <v>3756</v>
      </c>
      <c r="D5982" t="s">
        <v>3757</v>
      </c>
      <c r="E5982">
        <v>6</v>
      </c>
      <c r="F5982" s="6">
        <v>750</v>
      </c>
      <c r="G5982" t="s">
        <v>5421</v>
      </c>
    </row>
    <row r="5983" spans="1:7">
      <c r="A5983" t="s">
        <v>12796</v>
      </c>
      <c r="B5983" t="s">
        <v>8204</v>
      </c>
      <c r="C5983" t="s">
        <v>9595</v>
      </c>
      <c r="D5983" t="s">
        <v>3757</v>
      </c>
      <c r="E5983">
        <v>6</v>
      </c>
      <c r="F5983" s="6">
        <v>750</v>
      </c>
      <c r="G5983" t="s">
        <v>4300</v>
      </c>
    </row>
    <row r="5984" spans="1:7">
      <c r="A5984" t="s">
        <v>12797</v>
      </c>
      <c r="B5984" t="s">
        <v>12798</v>
      </c>
      <c r="C5984" t="s">
        <v>4170</v>
      </c>
      <c r="D5984" t="s">
        <v>4171</v>
      </c>
      <c r="E5984">
        <v>6</v>
      </c>
      <c r="F5984" s="6">
        <v>750</v>
      </c>
      <c r="G5984" t="s">
        <v>3781</v>
      </c>
    </row>
    <row r="5985" spans="1:7">
      <c r="A5985" t="s">
        <v>12799</v>
      </c>
      <c r="B5985" t="s">
        <v>12800</v>
      </c>
      <c r="C5985" t="s">
        <v>4170</v>
      </c>
      <c r="D5985" t="s">
        <v>4171</v>
      </c>
      <c r="E5985">
        <v>6</v>
      </c>
      <c r="F5985" s="6">
        <v>750</v>
      </c>
      <c r="G5985" t="s">
        <v>3802</v>
      </c>
    </row>
    <row r="5986" spans="1:7">
      <c r="A5986" t="s">
        <v>12801</v>
      </c>
      <c r="B5986" t="s">
        <v>12802</v>
      </c>
      <c r="C5986" t="s">
        <v>4071</v>
      </c>
      <c r="D5986" t="s">
        <v>4072</v>
      </c>
      <c r="E5986">
        <v>6</v>
      </c>
      <c r="F5986" s="6">
        <v>750</v>
      </c>
      <c r="G5986" t="s">
        <v>3781</v>
      </c>
    </row>
    <row r="5987" spans="1:7">
      <c r="A5987" t="s">
        <v>12803</v>
      </c>
      <c r="B5987" t="s">
        <v>12804</v>
      </c>
      <c r="C5987" t="s">
        <v>9595</v>
      </c>
      <c r="D5987" t="s">
        <v>3757</v>
      </c>
      <c r="E5987">
        <v>6</v>
      </c>
      <c r="F5987" s="6">
        <v>750</v>
      </c>
      <c r="G5987" t="s">
        <v>3702</v>
      </c>
    </row>
    <row r="5988" spans="1:7">
      <c r="A5988" t="s">
        <v>12805</v>
      </c>
      <c r="B5988" t="s">
        <v>12806</v>
      </c>
      <c r="C5988" t="s">
        <v>9595</v>
      </c>
      <c r="D5988" t="s">
        <v>3757</v>
      </c>
      <c r="E5988">
        <v>6</v>
      </c>
      <c r="F5988" s="6">
        <v>750</v>
      </c>
      <c r="G5988" t="s">
        <v>3702</v>
      </c>
    </row>
    <row r="5989" spans="1:7">
      <c r="A5989" t="s">
        <v>12807</v>
      </c>
      <c r="B5989" t="s">
        <v>12808</v>
      </c>
      <c r="C5989" t="s">
        <v>4093</v>
      </c>
      <c r="D5989" t="s">
        <v>4094</v>
      </c>
      <c r="E5989">
        <v>12</v>
      </c>
      <c r="F5989" s="6">
        <v>50</v>
      </c>
      <c r="G5989" t="s">
        <v>3730</v>
      </c>
    </row>
    <row r="5990" spans="1:7">
      <c r="A5990" t="s">
        <v>12809</v>
      </c>
      <c r="B5990" t="s">
        <v>12810</v>
      </c>
      <c r="C5990" t="s">
        <v>4071</v>
      </c>
      <c r="D5990" t="s">
        <v>4072</v>
      </c>
      <c r="E5990">
        <v>6</v>
      </c>
      <c r="F5990" s="6">
        <v>750</v>
      </c>
      <c r="G5990" t="s">
        <v>3781</v>
      </c>
    </row>
    <row r="5991" spans="1:7">
      <c r="A5991" t="s">
        <v>12811</v>
      </c>
      <c r="B5991" t="s">
        <v>12812</v>
      </c>
      <c r="C5991" t="s">
        <v>4071</v>
      </c>
      <c r="D5991" t="s">
        <v>4072</v>
      </c>
      <c r="E5991">
        <v>6</v>
      </c>
      <c r="F5991" s="6">
        <v>750</v>
      </c>
      <c r="G5991" t="s">
        <v>5014</v>
      </c>
    </row>
    <row r="5992" spans="1:7">
      <c r="A5992" t="s">
        <v>12813</v>
      </c>
      <c r="B5992" t="s">
        <v>12814</v>
      </c>
      <c r="C5992" t="s">
        <v>3756</v>
      </c>
      <c r="D5992" t="s">
        <v>3757</v>
      </c>
      <c r="E5992">
        <v>6</v>
      </c>
      <c r="F5992" s="6">
        <v>750</v>
      </c>
      <c r="G5992" t="s">
        <v>5014</v>
      </c>
    </row>
    <row r="5993" spans="1:7">
      <c r="A5993" t="s">
        <v>12815</v>
      </c>
      <c r="B5993" t="s">
        <v>12816</v>
      </c>
      <c r="C5993" t="s">
        <v>3756</v>
      </c>
      <c r="D5993" t="s">
        <v>3757</v>
      </c>
      <c r="E5993">
        <v>12</v>
      </c>
      <c r="F5993" s="6">
        <v>750</v>
      </c>
      <c r="G5993" t="s">
        <v>4163</v>
      </c>
    </row>
    <row r="5994" spans="1:7">
      <c r="A5994" t="s">
        <v>12817</v>
      </c>
      <c r="B5994" t="s">
        <v>12818</v>
      </c>
      <c r="C5994" t="s">
        <v>4071</v>
      </c>
      <c r="D5994" t="s">
        <v>4072</v>
      </c>
      <c r="E5994">
        <v>6</v>
      </c>
      <c r="F5994" s="6">
        <v>750</v>
      </c>
      <c r="G5994" t="s">
        <v>5421</v>
      </c>
    </row>
    <row r="5995" spans="1:7">
      <c r="A5995" t="s">
        <v>12819</v>
      </c>
      <c r="B5995" t="s">
        <v>12820</v>
      </c>
      <c r="C5995" t="s">
        <v>4052</v>
      </c>
      <c r="D5995" t="s">
        <v>4053</v>
      </c>
      <c r="E5995">
        <v>6</v>
      </c>
      <c r="F5995" s="6">
        <v>750</v>
      </c>
      <c r="G5995" t="s">
        <v>11860</v>
      </c>
    </row>
    <row r="5996" spans="1:7">
      <c r="A5996" t="s">
        <v>12821</v>
      </c>
      <c r="B5996" t="s">
        <v>12822</v>
      </c>
      <c r="C5996" t="s">
        <v>4632</v>
      </c>
      <c r="D5996" t="s">
        <v>4633</v>
      </c>
      <c r="E5996">
        <v>6</v>
      </c>
      <c r="F5996" s="6">
        <v>750</v>
      </c>
      <c r="G5996" t="s">
        <v>11860</v>
      </c>
    </row>
    <row r="5997" spans="1:7">
      <c r="A5997" t="s">
        <v>12823</v>
      </c>
      <c r="B5997" t="s">
        <v>12824</v>
      </c>
      <c r="C5997" t="s">
        <v>4093</v>
      </c>
      <c r="D5997" t="s">
        <v>4094</v>
      </c>
      <c r="E5997">
        <v>12</v>
      </c>
      <c r="F5997" s="6">
        <v>750</v>
      </c>
      <c r="G5997" t="s">
        <v>3730</v>
      </c>
    </row>
    <row r="5998" spans="1:7">
      <c r="A5998" t="s">
        <v>12825</v>
      </c>
      <c r="B5998" t="s">
        <v>12826</v>
      </c>
      <c r="C5998" t="s">
        <v>4071</v>
      </c>
      <c r="D5998" t="s">
        <v>4072</v>
      </c>
      <c r="E5998">
        <v>6</v>
      </c>
      <c r="F5998" s="6">
        <v>750</v>
      </c>
      <c r="G5998" t="s">
        <v>3851</v>
      </c>
    </row>
    <row r="5999" spans="1:7">
      <c r="A5999" t="s">
        <v>12827</v>
      </c>
      <c r="B5999" t="s">
        <v>12828</v>
      </c>
      <c r="C5999" t="s">
        <v>3928</v>
      </c>
      <c r="D5999" t="s">
        <v>3929</v>
      </c>
      <c r="E5999">
        <v>6</v>
      </c>
      <c r="F5999" s="6">
        <v>750</v>
      </c>
      <c r="G5999" t="s">
        <v>5215</v>
      </c>
    </row>
    <row r="6000" spans="1:7">
      <c r="A6000" t="s">
        <v>12829</v>
      </c>
      <c r="B6000" t="s">
        <v>12830</v>
      </c>
      <c r="C6000" t="s">
        <v>3928</v>
      </c>
      <c r="D6000" t="s">
        <v>3929</v>
      </c>
      <c r="E6000">
        <v>6</v>
      </c>
      <c r="F6000" s="6">
        <v>750</v>
      </c>
      <c r="G6000" t="s">
        <v>3705</v>
      </c>
    </row>
    <row r="6001" spans="1:7">
      <c r="A6001" t="s">
        <v>12831</v>
      </c>
      <c r="B6001" t="s">
        <v>12832</v>
      </c>
      <c r="C6001" t="s">
        <v>3928</v>
      </c>
      <c r="D6001" t="s">
        <v>3929</v>
      </c>
      <c r="E6001">
        <v>6</v>
      </c>
      <c r="F6001" s="6">
        <v>750</v>
      </c>
      <c r="G6001" t="s">
        <v>3802</v>
      </c>
    </row>
    <row r="6002" spans="1:7">
      <c r="A6002" t="s">
        <v>12833</v>
      </c>
      <c r="B6002" t="s">
        <v>12834</v>
      </c>
      <c r="C6002" t="s">
        <v>9595</v>
      </c>
      <c r="D6002" t="s">
        <v>3757</v>
      </c>
      <c r="E6002">
        <v>6</v>
      </c>
      <c r="F6002" s="6">
        <v>750</v>
      </c>
      <c r="G6002" t="s">
        <v>3802</v>
      </c>
    </row>
    <row r="6003" spans="1:7">
      <c r="A6003" t="s">
        <v>12835</v>
      </c>
      <c r="B6003" t="s">
        <v>8262</v>
      </c>
      <c r="C6003" t="s">
        <v>4012</v>
      </c>
      <c r="D6003" t="s">
        <v>4013</v>
      </c>
      <c r="E6003">
        <v>12</v>
      </c>
      <c r="F6003" s="6">
        <v>750</v>
      </c>
      <c r="G6003" t="s">
        <v>4331</v>
      </c>
    </row>
    <row r="6004" spans="1:7">
      <c r="A6004" t="s">
        <v>12836</v>
      </c>
      <c r="B6004" t="s">
        <v>12837</v>
      </c>
      <c r="C6004" t="s">
        <v>3756</v>
      </c>
      <c r="D6004" t="s">
        <v>3757</v>
      </c>
      <c r="E6004">
        <v>12</v>
      </c>
      <c r="F6004" s="6">
        <v>700</v>
      </c>
      <c r="G6004" t="s">
        <v>12838</v>
      </c>
    </row>
    <row r="6005" spans="1:7">
      <c r="A6005" t="s">
        <v>12839</v>
      </c>
      <c r="B6005" t="s">
        <v>12840</v>
      </c>
      <c r="C6005" t="s">
        <v>4071</v>
      </c>
      <c r="D6005" t="s">
        <v>4072</v>
      </c>
      <c r="E6005">
        <v>6</v>
      </c>
      <c r="F6005" s="6">
        <v>750</v>
      </c>
      <c r="G6005" t="s">
        <v>12841</v>
      </c>
    </row>
    <row r="6006" spans="1:7">
      <c r="A6006" t="s">
        <v>12842</v>
      </c>
      <c r="B6006" t="s">
        <v>12843</v>
      </c>
      <c r="C6006" t="s">
        <v>4071</v>
      </c>
      <c r="D6006" t="s">
        <v>4072</v>
      </c>
      <c r="E6006">
        <v>6</v>
      </c>
      <c r="F6006" s="6">
        <v>750</v>
      </c>
      <c r="G6006" t="s">
        <v>12841</v>
      </c>
    </row>
    <row r="6007" spans="1:7">
      <c r="A6007" t="s">
        <v>12844</v>
      </c>
      <c r="B6007" t="s">
        <v>12845</v>
      </c>
      <c r="C6007" t="s">
        <v>4071</v>
      </c>
      <c r="D6007" t="s">
        <v>4072</v>
      </c>
      <c r="E6007">
        <v>12</v>
      </c>
      <c r="F6007" s="6">
        <v>750</v>
      </c>
      <c r="G6007" t="s">
        <v>12841</v>
      </c>
    </row>
    <row r="6008" spans="1:7">
      <c r="A6008" t="s">
        <v>12846</v>
      </c>
      <c r="B6008" t="s">
        <v>12847</v>
      </c>
      <c r="C6008" t="s">
        <v>4071</v>
      </c>
      <c r="D6008" t="s">
        <v>4072</v>
      </c>
      <c r="E6008">
        <v>12</v>
      </c>
      <c r="F6008" s="6">
        <v>750</v>
      </c>
      <c r="G6008" t="s">
        <v>12841</v>
      </c>
    </row>
    <row r="6009" spans="1:7">
      <c r="A6009" t="s">
        <v>12848</v>
      </c>
      <c r="B6009" t="s">
        <v>12849</v>
      </c>
      <c r="C6009" t="s">
        <v>4071</v>
      </c>
      <c r="D6009" t="s">
        <v>4072</v>
      </c>
      <c r="E6009">
        <v>12</v>
      </c>
      <c r="F6009" s="6">
        <v>750</v>
      </c>
      <c r="G6009" t="s">
        <v>12841</v>
      </c>
    </row>
    <row r="6010" spans="1:7">
      <c r="A6010" t="s">
        <v>12850</v>
      </c>
      <c r="B6010" t="s">
        <v>12851</v>
      </c>
      <c r="C6010" t="s">
        <v>4071</v>
      </c>
      <c r="D6010" t="s">
        <v>4072</v>
      </c>
      <c r="E6010">
        <v>6</v>
      </c>
      <c r="F6010" s="6">
        <v>750</v>
      </c>
      <c r="G6010" t="s">
        <v>3851</v>
      </c>
    </row>
    <row r="6011" spans="1:7">
      <c r="A6011" t="s">
        <v>12852</v>
      </c>
      <c r="B6011" t="s">
        <v>12853</v>
      </c>
      <c r="C6011" t="s">
        <v>4071</v>
      </c>
      <c r="D6011" t="s">
        <v>4072</v>
      </c>
      <c r="E6011">
        <v>6</v>
      </c>
      <c r="F6011" s="6">
        <v>750</v>
      </c>
      <c r="G6011" t="s">
        <v>3851</v>
      </c>
    </row>
    <row r="6012" spans="1:7">
      <c r="A6012" t="s">
        <v>12854</v>
      </c>
      <c r="B6012" t="s">
        <v>12855</v>
      </c>
      <c r="C6012" t="s">
        <v>4023</v>
      </c>
      <c r="D6012" t="s">
        <v>4024</v>
      </c>
      <c r="E6012">
        <v>12</v>
      </c>
      <c r="F6012" s="6">
        <v>700</v>
      </c>
      <c r="G6012" t="s">
        <v>4117</v>
      </c>
    </row>
    <row r="6013" spans="1:7">
      <c r="A6013" t="s">
        <v>12856</v>
      </c>
      <c r="B6013" t="s">
        <v>12857</v>
      </c>
      <c r="C6013" t="s">
        <v>3756</v>
      </c>
      <c r="D6013" t="s">
        <v>3757</v>
      </c>
      <c r="E6013">
        <v>12</v>
      </c>
      <c r="F6013" s="6">
        <v>750</v>
      </c>
      <c r="G6013" t="s">
        <v>8661</v>
      </c>
    </row>
    <row r="6014" spans="1:7">
      <c r="A6014" t="s">
        <v>12858</v>
      </c>
      <c r="B6014" t="s">
        <v>12859</v>
      </c>
      <c r="C6014" t="s">
        <v>3756</v>
      </c>
      <c r="D6014" t="s">
        <v>3757</v>
      </c>
      <c r="E6014">
        <v>12</v>
      </c>
      <c r="F6014" s="6">
        <v>750</v>
      </c>
      <c r="G6014" t="s">
        <v>8661</v>
      </c>
    </row>
    <row r="6015" spans="1:7">
      <c r="A6015" t="s">
        <v>12860</v>
      </c>
      <c r="B6015" t="s">
        <v>12861</v>
      </c>
      <c r="C6015" t="s">
        <v>6442</v>
      </c>
      <c r="D6015" t="s">
        <v>6443</v>
      </c>
      <c r="E6015">
        <v>6</v>
      </c>
      <c r="F6015" s="6">
        <v>700</v>
      </c>
      <c r="G6015" t="s">
        <v>9312</v>
      </c>
    </row>
    <row r="6016" spans="1:7">
      <c r="A6016" t="s">
        <v>12862</v>
      </c>
      <c r="B6016" t="s">
        <v>12863</v>
      </c>
      <c r="C6016" t="s">
        <v>4071</v>
      </c>
      <c r="D6016" t="s">
        <v>4072</v>
      </c>
      <c r="E6016">
        <v>12</v>
      </c>
      <c r="F6016" s="6">
        <v>50</v>
      </c>
      <c r="G6016" t="s">
        <v>6056</v>
      </c>
    </row>
    <row r="6017" spans="1:7">
      <c r="A6017" t="s">
        <v>12864</v>
      </c>
      <c r="B6017" t="s">
        <v>12865</v>
      </c>
      <c r="C6017" t="s">
        <v>3692</v>
      </c>
      <c r="D6017" t="s">
        <v>3693</v>
      </c>
      <c r="E6017">
        <v>6</v>
      </c>
      <c r="F6017" s="6">
        <v>750</v>
      </c>
      <c r="G6017" t="s">
        <v>11847</v>
      </c>
    </row>
    <row r="6018" spans="1:7">
      <c r="A6018" t="s">
        <v>12866</v>
      </c>
      <c r="B6018" t="s">
        <v>12074</v>
      </c>
      <c r="C6018" t="s">
        <v>4170</v>
      </c>
      <c r="D6018" t="s">
        <v>4171</v>
      </c>
      <c r="E6018">
        <v>6</v>
      </c>
      <c r="F6018" s="6">
        <v>700</v>
      </c>
      <c r="G6018" t="s">
        <v>3686</v>
      </c>
    </row>
    <row r="6019" spans="1:7">
      <c r="A6019" t="s">
        <v>12867</v>
      </c>
      <c r="B6019" t="s">
        <v>12868</v>
      </c>
      <c r="C6019" t="s">
        <v>3756</v>
      </c>
      <c r="D6019" t="s">
        <v>3757</v>
      </c>
      <c r="E6019">
        <v>12</v>
      </c>
      <c r="F6019" s="6">
        <v>750</v>
      </c>
      <c r="G6019" t="s">
        <v>4163</v>
      </c>
    </row>
    <row r="6020" spans="1:7">
      <c r="A6020" t="s">
        <v>12869</v>
      </c>
      <c r="B6020" t="s">
        <v>12870</v>
      </c>
      <c r="C6020" t="s">
        <v>3977</v>
      </c>
      <c r="D6020" t="s">
        <v>3978</v>
      </c>
      <c r="E6020">
        <v>12</v>
      </c>
      <c r="F6020" s="6">
        <v>750</v>
      </c>
      <c r="G6020" t="s">
        <v>4163</v>
      </c>
    </row>
    <row r="6021" spans="1:7">
      <c r="A6021" t="s">
        <v>12871</v>
      </c>
      <c r="B6021" t="s">
        <v>12872</v>
      </c>
      <c r="C6021" t="s">
        <v>4170</v>
      </c>
      <c r="D6021" t="s">
        <v>4171</v>
      </c>
      <c r="E6021">
        <v>6</v>
      </c>
      <c r="F6021" s="6">
        <v>750</v>
      </c>
      <c r="G6021" t="s">
        <v>11582</v>
      </c>
    </row>
    <row r="6022" spans="1:7">
      <c r="A6022" t="s">
        <v>12873</v>
      </c>
      <c r="B6022" t="s">
        <v>12874</v>
      </c>
      <c r="C6022" t="s">
        <v>3756</v>
      </c>
      <c r="D6022" t="s">
        <v>3757</v>
      </c>
      <c r="E6022">
        <v>6</v>
      </c>
      <c r="F6022" s="6">
        <v>750</v>
      </c>
      <c r="G6022" t="s">
        <v>4358</v>
      </c>
    </row>
    <row r="6023" spans="1:7">
      <c r="A6023" t="s">
        <v>12875</v>
      </c>
      <c r="B6023" t="s">
        <v>12876</v>
      </c>
      <c r="C6023" t="s">
        <v>3756</v>
      </c>
      <c r="D6023" t="s">
        <v>3757</v>
      </c>
      <c r="E6023">
        <v>12</v>
      </c>
      <c r="F6023" s="6">
        <v>375</v>
      </c>
      <c r="G6023" t="s">
        <v>3702</v>
      </c>
    </row>
    <row r="6024" spans="1:7">
      <c r="A6024" t="s">
        <v>12877</v>
      </c>
      <c r="B6024" t="s">
        <v>12878</v>
      </c>
      <c r="C6024" t="s">
        <v>3977</v>
      </c>
      <c r="D6024" t="s">
        <v>3978</v>
      </c>
      <c r="E6024">
        <v>6</v>
      </c>
      <c r="F6024" s="6">
        <v>50</v>
      </c>
      <c r="G6024" t="s">
        <v>12879</v>
      </c>
    </row>
    <row r="6025" spans="1:7">
      <c r="A6025" t="s">
        <v>12880</v>
      </c>
      <c r="B6025" t="s">
        <v>12881</v>
      </c>
      <c r="C6025" t="s">
        <v>3977</v>
      </c>
      <c r="D6025" t="s">
        <v>3978</v>
      </c>
      <c r="E6025">
        <v>6</v>
      </c>
      <c r="F6025" s="6">
        <v>750</v>
      </c>
      <c r="G6025" t="s">
        <v>12879</v>
      </c>
    </row>
    <row r="6026" spans="1:7">
      <c r="A6026" t="s">
        <v>12882</v>
      </c>
      <c r="B6026" t="s">
        <v>12883</v>
      </c>
      <c r="C6026" t="s">
        <v>3977</v>
      </c>
      <c r="D6026" t="s">
        <v>3978</v>
      </c>
      <c r="E6026">
        <v>6</v>
      </c>
      <c r="F6026" s="6">
        <v>50</v>
      </c>
      <c r="G6026" t="s">
        <v>12879</v>
      </c>
    </row>
    <row r="6027" spans="1:7">
      <c r="A6027" t="s">
        <v>12884</v>
      </c>
      <c r="B6027" t="s">
        <v>12885</v>
      </c>
      <c r="C6027" t="s">
        <v>3977</v>
      </c>
      <c r="D6027" t="s">
        <v>3978</v>
      </c>
      <c r="E6027">
        <v>6</v>
      </c>
      <c r="F6027" s="6">
        <v>750</v>
      </c>
      <c r="G6027" t="s">
        <v>12879</v>
      </c>
    </row>
    <row r="6028" spans="1:7">
      <c r="A6028" t="s">
        <v>12886</v>
      </c>
      <c r="B6028" t="s">
        <v>12887</v>
      </c>
      <c r="C6028" t="s">
        <v>3977</v>
      </c>
      <c r="D6028" t="s">
        <v>3978</v>
      </c>
      <c r="E6028">
        <v>6</v>
      </c>
      <c r="F6028" s="6">
        <v>750</v>
      </c>
      <c r="G6028" t="s">
        <v>12879</v>
      </c>
    </row>
    <row r="6029" spans="1:7">
      <c r="A6029" t="s">
        <v>12888</v>
      </c>
      <c r="B6029" t="s">
        <v>12889</v>
      </c>
      <c r="C6029" t="s">
        <v>3977</v>
      </c>
      <c r="D6029" t="s">
        <v>3978</v>
      </c>
      <c r="E6029">
        <v>6</v>
      </c>
      <c r="F6029" s="6">
        <v>750</v>
      </c>
      <c r="G6029" t="s">
        <v>12879</v>
      </c>
    </row>
    <row r="6030" spans="1:7">
      <c r="A6030" t="s">
        <v>12890</v>
      </c>
      <c r="B6030" t="s">
        <v>12891</v>
      </c>
      <c r="C6030" t="s">
        <v>3977</v>
      </c>
      <c r="D6030" t="s">
        <v>3978</v>
      </c>
      <c r="E6030">
        <v>6</v>
      </c>
      <c r="F6030" s="6">
        <v>50</v>
      </c>
      <c r="G6030" t="s">
        <v>12879</v>
      </c>
    </row>
    <row r="6031" spans="1:7">
      <c r="A6031" t="s">
        <v>12892</v>
      </c>
      <c r="B6031" t="s">
        <v>12893</v>
      </c>
      <c r="C6031" t="s">
        <v>3977</v>
      </c>
      <c r="D6031" t="s">
        <v>3978</v>
      </c>
      <c r="E6031">
        <v>6</v>
      </c>
      <c r="F6031" s="6">
        <v>750</v>
      </c>
      <c r="G6031" t="s">
        <v>12879</v>
      </c>
    </row>
    <row r="6032" spans="1:7">
      <c r="A6032" t="s">
        <v>12894</v>
      </c>
      <c r="B6032" t="s">
        <v>8359</v>
      </c>
      <c r="C6032" t="s">
        <v>3756</v>
      </c>
      <c r="D6032" t="s">
        <v>3757</v>
      </c>
      <c r="E6032">
        <v>12</v>
      </c>
      <c r="F6032" s="6">
        <v>1000</v>
      </c>
      <c r="G6032" t="s">
        <v>3686</v>
      </c>
    </row>
    <row r="6033" spans="1:7">
      <c r="A6033" t="s">
        <v>1812</v>
      </c>
      <c r="B6033" t="s">
        <v>12895</v>
      </c>
      <c r="C6033" t="s">
        <v>7515</v>
      </c>
      <c r="D6033" t="s">
        <v>7516</v>
      </c>
      <c r="E6033">
        <v>6</v>
      </c>
      <c r="F6033" s="6">
        <v>750</v>
      </c>
      <c r="G6033" t="s">
        <v>5139</v>
      </c>
    </row>
    <row r="6034" spans="1:7">
      <c r="A6034" t="s">
        <v>12896</v>
      </c>
      <c r="B6034" t="s">
        <v>12897</v>
      </c>
      <c r="C6034" t="s">
        <v>3977</v>
      </c>
      <c r="D6034" t="s">
        <v>3978</v>
      </c>
      <c r="E6034">
        <v>6</v>
      </c>
      <c r="F6034" s="6">
        <v>750</v>
      </c>
      <c r="G6034" t="s">
        <v>4358</v>
      </c>
    </row>
    <row r="6035" spans="1:7">
      <c r="A6035" t="s">
        <v>12898</v>
      </c>
      <c r="B6035" t="s">
        <v>12899</v>
      </c>
      <c r="C6035" t="s">
        <v>3977</v>
      </c>
      <c r="D6035" t="s">
        <v>3978</v>
      </c>
      <c r="E6035">
        <v>6</v>
      </c>
      <c r="F6035" s="6">
        <v>750</v>
      </c>
      <c r="G6035" t="s">
        <v>4358</v>
      </c>
    </row>
    <row r="6036" spans="1:7">
      <c r="A6036" t="s">
        <v>204</v>
      </c>
      <c r="B6036" t="s">
        <v>12900</v>
      </c>
      <c r="C6036" t="s">
        <v>3977</v>
      </c>
      <c r="D6036" t="s">
        <v>3978</v>
      </c>
      <c r="E6036">
        <v>6</v>
      </c>
      <c r="F6036" s="6">
        <v>750</v>
      </c>
      <c r="G6036" t="s">
        <v>4358</v>
      </c>
    </row>
    <row r="6037" spans="1:7">
      <c r="A6037" t="s">
        <v>12901</v>
      </c>
      <c r="B6037" t="s">
        <v>12902</v>
      </c>
      <c r="C6037" t="s">
        <v>3756</v>
      </c>
      <c r="D6037" t="s">
        <v>3757</v>
      </c>
      <c r="E6037">
        <v>6</v>
      </c>
      <c r="F6037" s="6">
        <v>750</v>
      </c>
      <c r="G6037" t="s">
        <v>5014</v>
      </c>
    </row>
    <row r="6038" spans="1:7">
      <c r="A6038" t="s">
        <v>12903</v>
      </c>
      <c r="B6038" t="s">
        <v>12904</v>
      </c>
      <c r="C6038" t="s">
        <v>3977</v>
      </c>
      <c r="D6038" t="s">
        <v>3978</v>
      </c>
      <c r="E6038">
        <v>6</v>
      </c>
      <c r="F6038" s="6">
        <v>750</v>
      </c>
      <c r="G6038" t="s">
        <v>3851</v>
      </c>
    </row>
    <row r="6039" spans="1:7">
      <c r="A6039" t="s">
        <v>12905</v>
      </c>
      <c r="B6039" t="s">
        <v>12906</v>
      </c>
      <c r="C6039" t="s">
        <v>3977</v>
      </c>
      <c r="D6039" t="s">
        <v>3978</v>
      </c>
      <c r="E6039">
        <v>6</v>
      </c>
      <c r="F6039" s="6">
        <v>750</v>
      </c>
      <c r="G6039" t="s">
        <v>3851</v>
      </c>
    </row>
    <row r="6040" spans="1:7">
      <c r="A6040" t="s">
        <v>12907</v>
      </c>
      <c r="B6040" t="s">
        <v>12908</v>
      </c>
      <c r="C6040" t="s">
        <v>9595</v>
      </c>
      <c r="D6040" t="s">
        <v>3757</v>
      </c>
      <c r="E6040">
        <v>1</v>
      </c>
      <c r="F6040" s="6">
        <v>50</v>
      </c>
      <c r="G6040" t="s">
        <v>3851</v>
      </c>
    </row>
    <row r="6041" spans="1:7">
      <c r="A6041" t="s">
        <v>12909</v>
      </c>
      <c r="B6041" t="s">
        <v>12910</v>
      </c>
      <c r="C6041" t="s">
        <v>3977</v>
      </c>
      <c r="D6041" t="s">
        <v>3978</v>
      </c>
      <c r="E6041">
        <v>6</v>
      </c>
      <c r="F6041" s="6">
        <v>750</v>
      </c>
      <c r="G6041" t="s">
        <v>3851</v>
      </c>
    </row>
    <row r="6042" spans="1:7">
      <c r="A6042" t="s">
        <v>12911</v>
      </c>
      <c r="B6042" t="s">
        <v>12912</v>
      </c>
      <c r="C6042" t="s">
        <v>9595</v>
      </c>
      <c r="D6042" t="s">
        <v>3757</v>
      </c>
      <c r="E6042">
        <v>1</v>
      </c>
      <c r="F6042" s="6">
        <v>50</v>
      </c>
      <c r="G6042" t="s">
        <v>3851</v>
      </c>
    </row>
    <row r="6043" spans="1:7">
      <c r="A6043" t="s">
        <v>12913</v>
      </c>
      <c r="B6043" t="s">
        <v>12914</v>
      </c>
      <c r="C6043" t="s">
        <v>9595</v>
      </c>
      <c r="D6043" t="s">
        <v>3757</v>
      </c>
      <c r="E6043">
        <v>6</v>
      </c>
      <c r="F6043" s="6">
        <v>750</v>
      </c>
      <c r="G6043" t="s">
        <v>3851</v>
      </c>
    </row>
    <row r="6044" spans="1:7">
      <c r="A6044" t="s">
        <v>12915</v>
      </c>
      <c r="B6044" t="s">
        <v>12916</v>
      </c>
      <c r="C6044" t="s">
        <v>9595</v>
      </c>
      <c r="D6044" t="s">
        <v>3757</v>
      </c>
      <c r="E6044">
        <v>1</v>
      </c>
      <c r="F6044" s="6">
        <v>50</v>
      </c>
      <c r="G6044" t="s">
        <v>3851</v>
      </c>
    </row>
    <row r="6045" spans="1:7">
      <c r="A6045" t="s">
        <v>12917</v>
      </c>
      <c r="B6045" t="s">
        <v>12918</v>
      </c>
      <c r="C6045" t="s">
        <v>9595</v>
      </c>
      <c r="D6045" t="s">
        <v>3757</v>
      </c>
      <c r="E6045">
        <v>6</v>
      </c>
      <c r="F6045" s="6">
        <v>750</v>
      </c>
      <c r="G6045" t="s">
        <v>3851</v>
      </c>
    </row>
    <row r="6046" spans="1:7">
      <c r="A6046" t="s">
        <v>12919</v>
      </c>
      <c r="B6046" t="s">
        <v>12920</v>
      </c>
      <c r="C6046" t="s">
        <v>3756</v>
      </c>
      <c r="D6046" t="s">
        <v>3757</v>
      </c>
      <c r="E6046">
        <v>6</v>
      </c>
      <c r="F6046" s="6">
        <v>750</v>
      </c>
      <c r="G6046" t="s">
        <v>3851</v>
      </c>
    </row>
    <row r="6047" spans="1:7">
      <c r="A6047" t="s">
        <v>12921</v>
      </c>
      <c r="B6047" t="s">
        <v>12922</v>
      </c>
      <c r="C6047" t="s">
        <v>3756</v>
      </c>
      <c r="D6047" t="s">
        <v>3757</v>
      </c>
      <c r="E6047">
        <v>6</v>
      </c>
      <c r="F6047" s="6">
        <v>750</v>
      </c>
      <c r="G6047" t="s">
        <v>3851</v>
      </c>
    </row>
    <row r="6048" spans="1:7">
      <c r="A6048" t="s">
        <v>12923</v>
      </c>
      <c r="B6048" t="s">
        <v>12924</v>
      </c>
      <c r="C6048" t="s">
        <v>9595</v>
      </c>
      <c r="D6048" t="s">
        <v>3757</v>
      </c>
      <c r="E6048">
        <v>1</v>
      </c>
      <c r="F6048" s="6">
        <v>50</v>
      </c>
      <c r="G6048" t="s">
        <v>3851</v>
      </c>
    </row>
    <row r="6049" spans="1:7">
      <c r="A6049" t="s">
        <v>12925</v>
      </c>
      <c r="B6049" t="s">
        <v>12926</v>
      </c>
      <c r="C6049" t="s">
        <v>3783</v>
      </c>
      <c r="D6049" t="s">
        <v>3784</v>
      </c>
      <c r="E6049">
        <v>12</v>
      </c>
      <c r="F6049" s="6">
        <v>1000</v>
      </c>
      <c r="G6049" t="s">
        <v>4300</v>
      </c>
    </row>
    <row r="6050" spans="1:7">
      <c r="A6050" t="s">
        <v>12927</v>
      </c>
      <c r="B6050" t="s">
        <v>12926</v>
      </c>
      <c r="C6050" t="s">
        <v>3783</v>
      </c>
      <c r="D6050" t="s">
        <v>3784</v>
      </c>
      <c r="E6050">
        <v>6</v>
      </c>
      <c r="F6050" s="6">
        <v>1750</v>
      </c>
      <c r="G6050" t="s">
        <v>4300</v>
      </c>
    </row>
    <row r="6051" spans="1:7">
      <c r="A6051" t="s">
        <v>12928</v>
      </c>
      <c r="B6051" t="s">
        <v>8426</v>
      </c>
      <c r="C6051" t="s">
        <v>9595</v>
      </c>
      <c r="D6051" t="s">
        <v>3757</v>
      </c>
      <c r="E6051">
        <v>12</v>
      </c>
      <c r="F6051" s="6">
        <v>750</v>
      </c>
      <c r="G6051" t="s">
        <v>4163</v>
      </c>
    </row>
    <row r="6052" spans="1:7">
      <c r="A6052" t="s">
        <v>12929</v>
      </c>
      <c r="B6052" t="s">
        <v>12930</v>
      </c>
      <c r="C6052" t="s">
        <v>9319</v>
      </c>
      <c r="D6052" t="s">
        <v>9320</v>
      </c>
      <c r="E6052">
        <v>12</v>
      </c>
      <c r="F6052" s="6">
        <v>750</v>
      </c>
      <c r="G6052" t="s">
        <v>3716</v>
      </c>
    </row>
    <row r="6053" spans="1:7">
      <c r="A6053" t="s">
        <v>12931</v>
      </c>
      <c r="B6053" t="s">
        <v>12932</v>
      </c>
      <c r="C6053" t="s">
        <v>3756</v>
      </c>
      <c r="D6053" t="s">
        <v>3757</v>
      </c>
      <c r="E6053">
        <v>12</v>
      </c>
      <c r="F6053" s="6">
        <v>50</v>
      </c>
      <c r="G6053" t="s">
        <v>3716</v>
      </c>
    </row>
    <row r="6054" spans="1:7">
      <c r="A6054" t="s">
        <v>3575</v>
      </c>
      <c r="B6054" t="s">
        <v>12933</v>
      </c>
      <c r="C6054" t="s">
        <v>3783</v>
      </c>
      <c r="D6054" t="s">
        <v>3784</v>
      </c>
      <c r="E6054">
        <v>12</v>
      </c>
      <c r="F6054" s="6">
        <v>1000</v>
      </c>
      <c r="G6054" t="s">
        <v>4300</v>
      </c>
    </row>
    <row r="6055" spans="1:7">
      <c r="A6055" t="s">
        <v>12934</v>
      </c>
      <c r="B6055" t="s">
        <v>12935</v>
      </c>
      <c r="C6055" t="s">
        <v>9319</v>
      </c>
      <c r="D6055" t="s">
        <v>9320</v>
      </c>
      <c r="E6055">
        <v>12</v>
      </c>
      <c r="F6055" s="6">
        <v>1000</v>
      </c>
      <c r="G6055" t="s">
        <v>3686</v>
      </c>
    </row>
    <row r="6056" spans="1:7">
      <c r="A6056" t="s">
        <v>12936</v>
      </c>
      <c r="B6056" t="s">
        <v>8418</v>
      </c>
      <c r="C6056" t="s">
        <v>3783</v>
      </c>
      <c r="D6056" t="s">
        <v>3784</v>
      </c>
      <c r="E6056">
        <v>24</v>
      </c>
      <c r="F6056" s="6">
        <v>375</v>
      </c>
      <c r="G6056" t="s">
        <v>3686</v>
      </c>
    </row>
    <row r="6057" spans="1:7">
      <c r="A6057" t="s">
        <v>12937</v>
      </c>
      <c r="B6057" t="s">
        <v>12938</v>
      </c>
      <c r="C6057" t="s">
        <v>3783</v>
      </c>
      <c r="D6057" t="s">
        <v>3784</v>
      </c>
      <c r="E6057">
        <v>48</v>
      </c>
      <c r="F6057" s="6">
        <v>100</v>
      </c>
      <c r="G6057" t="s">
        <v>3686</v>
      </c>
    </row>
    <row r="6058" spans="1:7">
      <c r="A6058" t="s">
        <v>12939</v>
      </c>
      <c r="B6058" t="s">
        <v>8460</v>
      </c>
      <c r="C6058" t="s">
        <v>3783</v>
      </c>
      <c r="D6058" t="s">
        <v>3784</v>
      </c>
      <c r="E6058">
        <v>48</v>
      </c>
      <c r="F6058" s="6">
        <v>100</v>
      </c>
      <c r="G6058" t="s">
        <v>3686</v>
      </c>
    </row>
    <row r="6059" spans="1:7">
      <c r="A6059" t="s">
        <v>12940</v>
      </c>
      <c r="B6059" t="s">
        <v>8460</v>
      </c>
      <c r="C6059" t="s">
        <v>3783</v>
      </c>
      <c r="D6059" t="s">
        <v>3784</v>
      </c>
      <c r="E6059">
        <v>24</v>
      </c>
      <c r="F6059" s="6">
        <v>375</v>
      </c>
      <c r="G6059" t="s">
        <v>3686</v>
      </c>
    </row>
    <row r="6060" spans="1:7">
      <c r="A6060" t="s">
        <v>12941</v>
      </c>
      <c r="B6060" t="s">
        <v>12942</v>
      </c>
      <c r="C6060" t="s">
        <v>3756</v>
      </c>
      <c r="D6060" t="s">
        <v>3757</v>
      </c>
      <c r="E6060">
        <v>12</v>
      </c>
      <c r="F6060" s="6">
        <v>750</v>
      </c>
      <c r="G6060" t="s">
        <v>3686</v>
      </c>
    </row>
    <row r="6061" spans="1:7">
      <c r="A6061" t="s">
        <v>12943</v>
      </c>
      <c r="B6061" t="s">
        <v>8474</v>
      </c>
      <c r="C6061" t="s">
        <v>3783</v>
      </c>
      <c r="D6061" t="s">
        <v>3784</v>
      </c>
      <c r="E6061">
        <v>12</v>
      </c>
      <c r="F6061" s="6">
        <v>750</v>
      </c>
      <c r="G6061" t="s">
        <v>3686</v>
      </c>
    </row>
    <row r="6062" spans="1:7">
      <c r="A6062" t="s">
        <v>1224</v>
      </c>
      <c r="B6062" t="s">
        <v>12944</v>
      </c>
      <c r="C6062" t="s">
        <v>3783</v>
      </c>
      <c r="D6062" t="s">
        <v>3784</v>
      </c>
      <c r="E6062">
        <v>1</v>
      </c>
      <c r="F6062" s="6">
        <v>50</v>
      </c>
      <c r="G6062" t="s">
        <v>3686</v>
      </c>
    </row>
    <row r="6063" spans="1:7">
      <c r="A6063" t="s">
        <v>12945</v>
      </c>
      <c r="B6063" t="s">
        <v>8467</v>
      </c>
      <c r="C6063" t="s">
        <v>3783</v>
      </c>
      <c r="D6063" t="s">
        <v>3784</v>
      </c>
      <c r="E6063">
        <v>24</v>
      </c>
      <c r="F6063" s="6">
        <v>375</v>
      </c>
      <c r="G6063" t="s">
        <v>3686</v>
      </c>
    </row>
    <row r="6064" spans="1:7">
      <c r="A6064" t="s">
        <v>12946</v>
      </c>
      <c r="B6064" t="s">
        <v>12947</v>
      </c>
      <c r="C6064" t="s">
        <v>3783</v>
      </c>
      <c r="D6064" t="s">
        <v>3784</v>
      </c>
      <c r="E6064">
        <v>1</v>
      </c>
      <c r="F6064" s="6">
        <v>50</v>
      </c>
      <c r="G6064" t="s">
        <v>3686</v>
      </c>
    </row>
    <row r="6065" spans="1:7">
      <c r="A6065" t="s">
        <v>12948</v>
      </c>
      <c r="B6065" t="s">
        <v>8472</v>
      </c>
      <c r="C6065" t="s">
        <v>3783</v>
      </c>
      <c r="D6065" t="s">
        <v>3784</v>
      </c>
      <c r="E6065">
        <v>24</v>
      </c>
      <c r="F6065" s="6">
        <v>375</v>
      </c>
      <c r="G6065" t="s">
        <v>3686</v>
      </c>
    </row>
    <row r="6066" spans="1:7">
      <c r="A6066" t="s">
        <v>2255</v>
      </c>
      <c r="B6066" t="s">
        <v>12949</v>
      </c>
      <c r="C6066" t="s">
        <v>3783</v>
      </c>
      <c r="D6066" t="s">
        <v>3784</v>
      </c>
      <c r="E6066">
        <v>1</v>
      </c>
      <c r="F6066" s="6">
        <v>50</v>
      </c>
      <c r="G6066" t="s">
        <v>3686</v>
      </c>
    </row>
    <row r="6067" spans="1:7">
      <c r="A6067" t="s">
        <v>12950</v>
      </c>
      <c r="B6067" t="s">
        <v>8476</v>
      </c>
      <c r="C6067" t="s">
        <v>3783</v>
      </c>
      <c r="D6067" t="s">
        <v>3784</v>
      </c>
      <c r="E6067">
        <v>24</v>
      </c>
      <c r="F6067" s="6">
        <v>375</v>
      </c>
      <c r="G6067" t="s">
        <v>3686</v>
      </c>
    </row>
    <row r="6068" spans="1:7">
      <c r="A6068" t="s">
        <v>12951</v>
      </c>
      <c r="B6068" t="s">
        <v>8476</v>
      </c>
      <c r="C6068" t="s">
        <v>3783</v>
      </c>
      <c r="D6068" t="s">
        <v>3784</v>
      </c>
      <c r="E6068">
        <v>12</v>
      </c>
      <c r="F6068" s="6">
        <v>750</v>
      </c>
      <c r="G6068" t="s">
        <v>3686</v>
      </c>
    </row>
    <row r="6069" spans="1:7">
      <c r="A6069" t="s">
        <v>12952</v>
      </c>
      <c r="B6069" t="s">
        <v>8478</v>
      </c>
      <c r="C6069" t="s">
        <v>3783</v>
      </c>
      <c r="D6069" t="s">
        <v>3784</v>
      </c>
      <c r="E6069">
        <v>24</v>
      </c>
      <c r="F6069" s="6">
        <v>375</v>
      </c>
      <c r="G6069" t="s">
        <v>3686</v>
      </c>
    </row>
    <row r="6070" spans="1:7">
      <c r="A6070" t="s">
        <v>12953</v>
      </c>
      <c r="B6070" t="s">
        <v>8480</v>
      </c>
      <c r="C6070" t="s">
        <v>3783</v>
      </c>
      <c r="D6070" t="s">
        <v>3784</v>
      </c>
      <c r="E6070">
        <v>24</v>
      </c>
      <c r="F6070" s="6">
        <v>375</v>
      </c>
      <c r="G6070" t="s">
        <v>3686</v>
      </c>
    </row>
    <row r="6071" spans="1:7">
      <c r="A6071" t="s">
        <v>12954</v>
      </c>
      <c r="B6071" t="s">
        <v>8481</v>
      </c>
      <c r="C6071" t="s">
        <v>9595</v>
      </c>
      <c r="D6071" t="s">
        <v>3757</v>
      </c>
      <c r="E6071">
        <v>4</v>
      </c>
      <c r="F6071" s="6">
        <v>100</v>
      </c>
      <c r="G6071" t="s">
        <v>3686</v>
      </c>
    </row>
    <row r="6072" spans="1:7">
      <c r="A6072" t="s">
        <v>12955</v>
      </c>
      <c r="B6072" t="s">
        <v>12956</v>
      </c>
      <c r="C6072" t="s">
        <v>3756</v>
      </c>
      <c r="D6072" t="s">
        <v>3757</v>
      </c>
      <c r="E6072">
        <v>48</v>
      </c>
      <c r="F6072" s="6">
        <v>100</v>
      </c>
      <c r="G6072" t="s">
        <v>3686</v>
      </c>
    </row>
    <row r="6073" spans="1:7">
      <c r="A6073" t="s">
        <v>12957</v>
      </c>
      <c r="B6073" t="s">
        <v>12958</v>
      </c>
      <c r="C6073" t="s">
        <v>3756</v>
      </c>
      <c r="D6073" t="s">
        <v>3757</v>
      </c>
      <c r="E6073">
        <v>1</v>
      </c>
      <c r="F6073" s="6">
        <v>50</v>
      </c>
      <c r="G6073" t="s">
        <v>3686</v>
      </c>
    </row>
    <row r="6074" spans="1:7">
      <c r="A6074" t="s">
        <v>12959</v>
      </c>
      <c r="B6074" t="s">
        <v>12960</v>
      </c>
      <c r="C6074" t="s">
        <v>3756</v>
      </c>
      <c r="D6074" t="s">
        <v>3757</v>
      </c>
      <c r="E6074">
        <v>1</v>
      </c>
      <c r="F6074" s="6">
        <v>50</v>
      </c>
      <c r="G6074" t="s">
        <v>3686</v>
      </c>
    </row>
    <row r="6075" spans="1:7">
      <c r="A6075" t="s">
        <v>12961</v>
      </c>
      <c r="B6075" t="s">
        <v>12962</v>
      </c>
      <c r="C6075" t="s">
        <v>9595</v>
      </c>
      <c r="D6075" t="s">
        <v>3757</v>
      </c>
      <c r="E6075">
        <v>1</v>
      </c>
      <c r="F6075" s="6">
        <v>50</v>
      </c>
      <c r="G6075" t="s">
        <v>3686</v>
      </c>
    </row>
    <row r="6076" spans="1:7">
      <c r="A6076" t="s">
        <v>12963</v>
      </c>
      <c r="B6076" t="s">
        <v>12964</v>
      </c>
      <c r="C6076" t="s">
        <v>3756</v>
      </c>
      <c r="D6076" t="s">
        <v>3757</v>
      </c>
      <c r="E6076">
        <v>48</v>
      </c>
      <c r="F6076" s="6">
        <v>100</v>
      </c>
      <c r="G6076" t="s">
        <v>3686</v>
      </c>
    </row>
    <row r="6077" spans="1:7">
      <c r="A6077" t="s">
        <v>12965</v>
      </c>
      <c r="B6077" t="s">
        <v>12966</v>
      </c>
      <c r="C6077" t="s">
        <v>9595</v>
      </c>
      <c r="D6077" t="s">
        <v>3757</v>
      </c>
      <c r="E6077">
        <v>10</v>
      </c>
      <c r="F6077" s="6">
        <v>50</v>
      </c>
      <c r="G6077" t="s">
        <v>3686</v>
      </c>
    </row>
    <row r="6078" spans="1:7">
      <c r="A6078" t="s">
        <v>12967</v>
      </c>
      <c r="B6078" t="s">
        <v>12968</v>
      </c>
      <c r="C6078" t="s">
        <v>4012</v>
      </c>
      <c r="D6078" t="s">
        <v>4013</v>
      </c>
      <c r="E6078">
        <v>6</v>
      </c>
      <c r="F6078" s="6">
        <v>1750</v>
      </c>
      <c r="G6078" t="s">
        <v>4331</v>
      </c>
    </row>
    <row r="6079" spans="1:7">
      <c r="A6079" t="s">
        <v>12969</v>
      </c>
      <c r="B6079" t="s">
        <v>12970</v>
      </c>
      <c r="C6079" t="s">
        <v>3756</v>
      </c>
      <c r="D6079" t="s">
        <v>3757</v>
      </c>
      <c r="E6079">
        <v>12</v>
      </c>
      <c r="F6079" s="6">
        <v>750</v>
      </c>
      <c r="G6079" t="s">
        <v>3686</v>
      </c>
    </row>
    <row r="6080" spans="1:7">
      <c r="A6080" t="s">
        <v>12971</v>
      </c>
      <c r="B6080" t="s">
        <v>8499</v>
      </c>
      <c r="C6080" t="s">
        <v>3756</v>
      </c>
      <c r="D6080" t="s">
        <v>3757</v>
      </c>
      <c r="E6080">
        <v>12</v>
      </c>
      <c r="F6080" s="6">
        <v>1000</v>
      </c>
      <c r="G6080" t="s">
        <v>3686</v>
      </c>
    </row>
    <row r="6081" spans="1:7">
      <c r="A6081" t="s">
        <v>12972</v>
      </c>
      <c r="B6081" t="s">
        <v>8463</v>
      </c>
      <c r="C6081" t="s">
        <v>3783</v>
      </c>
      <c r="D6081" t="s">
        <v>3784</v>
      </c>
      <c r="E6081">
        <v>24</v>
      </c>
      <c r="F6081" s="6">
        <v>375</v>
      </c>
      <c r="G6081" t="s">
        <v>3686</v>
      </c>
    </row>
    <row r="6082" spans="1:7">
      <c r="A6082" t="s">
        <v>12973</v>
      </c>
      <c r="B6082" t="s">
        <v>12974</v>
      </c>
      <c r="C6082" t="s">
        <v>3783</v>
      </c>
      <c r="D6082" t="s">
        <v>3784</v>
      </c>
      <c r="E6082">
        <v>24</v>
      </c>
      <c r="F6082" s="6">
        <v>375</v>
      </c>
      <c r="G6082" t="s">
        <v>3686</v>
      </c>
    </row>
    <row r="6083" spans="1:7">
      <c r="A6083" t="s">
        <v>12975</v>
      </c>
      <c r="B6083" t="s">
        <v>12938</v>
      </c>
      <c r="C6083" t="s">
        <v>3783</v>
      </c>
      <c r="D6083" t="s">
        <v>3784</v>
      </c>
      <c r="E6083">
        <v>12</v>
      </c>
      <c r="F6083" s="6">
        <v>750</v>
      </c>
      <c r="G6083" t="s">
        <v>3686</v>
      </c>
    </row>
    <row r="6084" spans="1:7">
      <c r="A6084" t="s">
        <v>12976</v>
      </c>
      <c r="B6084" t="s">
        <v>12977</v>
      </c>
      <c r="C6084" t="s">
        <v>3783</v>
      </c>
      <c r="D6084" t="s">
        <v>3784</v>
      </c>
      <c r="E6084">
        <v>1</v>
      </c>
      <c r="F6084" s="6">
        <v>50</v>
      </c>
      <c r="G6084" t="s">
        <v>3686</v>
      </c>
    </row>
    <row r="6085" spans="1:7">
      <c r="A6085" t="s">
        <v>12978</v>
      </c>
      <c r="B6085" t="s">
        <v>12956</v>
      </c>
      <c r="C6085" t="s">
        <v>3756</v>
      </c>
      <c r="D6085" t="s">
        <v>3757</v>
      </c>
      <c r="E6085">
        <v>12</v>
      </c>
      <c r="F6085" s="6">
        <v>750</v>
      </c>
      <c r="G6085" t="s">
        <v>3686</v>
      </c>
    </row>
    <row r="6086" spans="1:7">
      <c r="A6086" t="s">
        <v>12979</v>
      </c>
      <c r="B6086" t="s">
        <v>8506</v>
      </c>
      <c r="C6086" t="s">
        <v>3783</v>
      </c>
      <c r="D6086" t="s">
        <v>3784</v>
      </c>
      <c r="E6086">
        <v>12</v>
      </c>
      <c r="F6086" s="6">
        <v>750</v>
      </c>
      <c r="G6086" t="s">
        <v>3686</v>
      </c>
    </row>
    <row r="6087" spans="1:7">
      <c r="A6087" t="s">
        <v>12980</v>
      </c>
      <c r="B6087" t="s">
        <v>12981</v>
      </c>
      <c r="C6087" t="s">
        <v>3692</v>
      </c>
      <c r="D6087" t="s">
        <v>3693</v>
      </c>
      <c r="E6087">
        <v>6</v>
      </c>
      <c r="F6087" s="6">
        <v>750</v>
      </c>
      <c r="G6087" t="s">
        <v>12982</v>
      </c>
    </row>
    <row r="6088" spans="1:7">
      <c r="A6088" t="s">
        <v>12983</v>
      </c>
      <c r="B6088" t="s">
        <v>12984</v>
      </c>
      <c r="C6088" t="s">
        <v>3692</v>
      </c>
      <c r="D6088" t="s">
        <v>3693</v>
      </c>
      <c r="E6088">
        <v>6</v>
      </c>
      <c r="F6088" s="6">
        <v>750</v>
      </c>
      <c r="G6088" t="s">
        <v>12982</v>
      </c>
    </row>
    <row r="6089" spans="1:7">
      <c r="A6089" t="s">
        <v>12985</v>
      </c>
      <c r="B6089" t="s">
        <v>12986</v>
      </c>
      <c r="C6089" t="s">
        <v>3692</v>
      </c>
      <c r="D6089" t="s">
        <v>3693</v>
      </c>
      <c r="E6089">
        <v>12</v>
      </c>
      <c r="F6089" s="6">
        <v>750</v>
      </c>
      <c r="G6089" t="s">
        <v>9995</v>
      </c>
    </row>
    <row r="6090" spans="1:7">
      <c r="A6090" t="s">
        <v>12987</v>
      </c>
      <c r="B6090" t="s">
        <v>12988</v>
      </c>
      <c r="C6090" t="s">
        <v>3692</v>
      </c>
      <c r="D6090" t="s">
        <v>3693</v>
      </c>
      <c r="E6090">
        <v>4</v>
      </c>
      <c r="F6090" s="6">
        <v>1000</v>
      </c>
      <c r="G6090" t="s">
        <v>3802</v>
      </c>
    </row>
    <row r="6091" spans="1:7">
      <c r="A6091" t="s">
        <v>12989</v>
      </c>
      <c r="B6091" t="s">
        <v>12990</v>
      </c>
      <c r="C6091" t="s">
        <v>3692</v>
      </c>
      <c r="D6091" t="s">
        <v>3693</v>
      </c>
      <c r="E6091">
        <v>6</v>
      </c>
      <c r="F6091" s="6">
        <v>750</v>
      </c>
      <c r="G6091" t="s">
        <v>3802</v>
      </c>
    </row>
    <row r="6092" spans="1:7">
      <c r="A6092" t="s">
        <v>12991</v>
      </c>
      <c r="B6092" t="s">
        <v>12992</v>
      </c>
      <c r="C6092" t="s">
        <v>10161</v>
      </c>
      <c r="D6092" t="s">
        <v>6443</v>
      </c>
      <c r="E6092">
        <v>4</v>
      </c>
      <c r="F6092" s="6">
        <v>1000</v>
      </c>
      <c r="G6092" t="s">
        <v>3802</v>
      </c>
    </row>
    <row r="6093" spans="1:7">
      <c r="A6093" t="s">
        <v>12993</v>
      </c>
      <c r="B6093" t="s">
        <v>12994</v>
      </c>
      <c r="C6093" t="s">
        <v>3692</v>
      </c>
      <c r="D6093" t="s">
        <v>3693</v>
      </c>
      <c r="E6093">
        <v>4</v>
      </c>
      <c r="F6093" s="6">
        <v>1000</v>
      </c>
      <c r="G6093" t="s">
        <v>3802</v>
      </c>
    </row>
    <row r="6094" spans="1:7">
      <c r="A6094" t="s">
        <v>12995</v>
      </c>
      <c r="B6094" t="s">
        <v>12996</v>
      </c>
      <c r="C6094" t="s">
        <v>3692</v>
      </c>
      <c r="D6094" t="s">
        <v>3693</v>
      </c>
      <c r="E6094">
        <v>6</v>
      </c>
      <c r="F6094" s="6">
        <v>750</v>
      </c>
      <c r="G6094" t="s">
        <v>3702</v>
      </c>
    </row>
    <row r="6095" spans="1:7">
      <c r="A6095" t="s">
        <v>12997</v>
      </c>
      <c r="B6095" t="s">
        <v>12998</v>
      </c>
      <c r="C6095" t="s">
        <v>8664</v>
      </c>
      <c r="D6095" t="s">
        <v>8665</v>
      </c>
      <c r="E6095">
        <v>6</v>
      </c>
      <c r="F6095" s="6">
        <v>750</v>
      </c>
      <c r="G6095" t="s">
        <v>5788</v>
      </c>
    </row>
    <row r="6096" spans="1:7">
      <c r="A6096" t="s">
        <v>12999</v>
      </c>
      <c r="B6096" t="s">
        <v>13000</v>
      </c>
      <c r="C6096" t="s">
        <v>6442</v>
      </c>
      <c r="D6096" t="s">
        <v>6443</v>
      </c>
      <c r="E6096">
        <v>6</v>
      </c>
      <c r="F6096" s="6">
        <v>750</v>
      </c>
      <c r="G6096" t="s">
        <v>4358</v>
      </c>
    </row>
    <row r="6097" spans="1:7">
      <c r="A6097" t="s">
        <v>13001</v>
      </c>
      <c r="B6097" t="s">
        <v>13002</v>
      </c>
      <c r="C6097" t="s">
        <v>3692</v>
      </c>
      <c r="D6097" t="s">
        <v>3693</v>
      </c>
      <c r="E6097">
        <v>6</v>
      </c>
      <c r="F6097" s="6">
        <v>750</v>
      </c>
      <c r="G6097" t="s">
        <v>4163</v>
      </c>
    </row>
    <row r="6098" spans="1:7">
      <c r="A6098" t="s">
        <v>13003</v>
      </c>
      <c r="B6098" t="s">
        <v>13004</v>
      </c>
      <c r="C6098" t="s">
        <v>3756</v>
      </c>
      <c r="D6098" t="s">
        <v>3757</v>
      </c>
      <c r="E6098">
        <v>12</v>
      </c>
      <c r="F6098" s="6">
        <v>750</v>
      </c>
      <c r="G6098" t="s">
        <v>4163</v>
      </c>
    </row>
    <row r="6099" spans="1:7">
      <c r="A6099" t="s">
        <v>13005</v>
      </c>
      <c r="B6099" t="s">
        <v>13006</v>
      </c>
      <c r="C6099" t="s">
        <v>3692</v>
      </c>
      <c r="D6099" t="s">
        <v>3693</v>
      </c>
      <c r="E6099">
        <v>12</v>
      </c>
      <c r="F6099" s="6">
        <v>1000</v>
      </c>
      <c r="G6099" t="s">
        <v>4073</v>
      </c>
    </row>
    <row r="6100" spans="1:7">
      <c r="A6100" t="s">
        <v>13007</v>
      </c>
      <c r="B6100" t="s">
        <v>13008</v>
      </c>
      <c r="C6100" t="s">
        <v>3692</v>
      </c>
      <c r="D6100" t="s">
        <v>3693</v>
      </c>
      <c r="E6100">
        <v>6</v>
      </c>
      <c r="F6100" s="6">
        <v>750</v>
      </c>
      <c r="G6100" t="s">
        <v>4509</v>
      </c>
    </row>
    <row r="6101" spans="1:7">
      <c r="A6101" t="s">
        <v>13009</v>
      </c>
      <c r="B6101" t="s">
        <v>13010</v>
      </c>
      <c r="C6101" t="s">
        <v>3692</v>
      </c>
      <c r="D6101" t="s">
        <v>3693</v>
      </c>
      <c r="E6101">
        <v>6</v>
      </c>
      <c r="F6101" s="6">
        <v>750</v>
      </c>
      <c r="G6101" t="s">
        <v>4358</v>
      </c>
    </row>
    <row r="6102" spans="1:7">
      <c r="A6102" t="s">
        <v>13011</v>
      </c>
      <c r="B6102" t="s">
        <v>13012</v>
      </c>
      <c r="C6102" t="s">
        <v>8664</v>
      </c>
      <c r="D6102" t="s">
        <v>8665</v>
      </c>
      <c r="E6102">
        <v>6</v>
      </c>
      <c r="F6102" s="6">
        <v>750</v>
      </c>
      <c r="G6102" t="s">
        <v>3931</v>
      </c>
    </row>
    <row r="6103" spans="1:7">
      <c r="A6103" t="s">
        <v>13013</v>
      </c>
      <c r="B6103" t="s">
        <v>13014</v>
      </c>
      <c r="C6103" t="s">
        <v>9595</v>
      </c>
      <c r="D6103" t="s">
        <v>3757</v>
      </c>
      <c r="E6103">
        <v>12</v>
      </c>
      <c r="F6103" s="6">
        <v>750</v>
      </c>
      <c r="G6103" t="s">
        <v>4300</v>
      </c>
    </row>
    <row r="6104" spans="1:7">
      <c r="A6104" t="s">
        <v>13015</v>
      </c>
      <c r="B6104" t="s">
        <v>13016</v>
      </c>
      <c r="C6104" t="s">
        <v>8664</v>
      </c>
      <c r="D6104" t="s">
        <v>8665</v>
      </c>
      <c r="E6104">
        <v>6</v>
      </c>
      <c r="F6104" s="6">
        <v>750</v>
      </c>
      <c r="G6104" t="s">
        <v>13017</v>
      </c>
    </row>
    <row r="6105" spans="1:7">
      <c r="A6105" t="s">
        <v>13018</v>
      </c>
      <c r="B6105" t="s">
        <v>13019</v>
      </c>
      <c r="C6105" t="s">
        <v>3692</v>
      </c>
      <c r="D6105" t="s">
        <v>3693</v>
      </c>
      <c r="E6105">
        <v>3</v>
      </c>
      <c r="F6105" s="6">
        <v>750</v>
      </c>
      <c r="G6105" t="s">
        <v>4163</v>
      </c>
    </row>
    <row r="6106" spans="1:7">
      <c r="A6106" t="s">
        <v>13020</v>
      </c>
      <c r="B6106" t="s">
        <v>13021</v>
      </c>
      <c r="C6106" t="s">
        <v>3692</v>
      </c>
      <c r="D6106" t="s">
        <v>3693</v>
      </c>
      <c r="E6106">
        <v>6</v>
      </c>
      <c r="F6106" s="6">
        <v>750</v>
      </c>
      <c r="G6106" t="s">
        <v>8864</v>
      </c>
    </row>
    <row r="6107" spans="1:7">
      <c r="A6107" t="s">
        <v>13022</v>
      </c>
      <c r="B6107" t="s">
        <v>13023</v>
      </c>
      <c r="C6107" t="s">
        <v>3692</v>
      </c>
      <c r="D6107" t="s">
        <v>3693</v>
      </c>
      <c r="E6107">
        <v>6</v>
      </c>
      <c r="F6107" s="6">
        <v>750</v>
      </c>
      <c r="G6107" t="s">
        <v>8864</v>
      </c>
    </row>
    <row r="6108" spans="1:7">
      <c r="A6108" t="s">
        <v>13024</v>
      </c>
      <c r="B6108" t="s">
        <v>13025</v>
      </c>
      <c r="C6108" t="s">
        <v>3692</v>
      </c>
      <c r="D6108" t="s">
        <v>3693</v>
      </c>
      <c r="E6108">
        <v>6</v>
      </c>
      <c r="F6108" s="6">
        <v>750</v>
      </c>
      <c r="G6108" t="s">
        <v>8864</v>
      </c>
    </row>
    <row r="6109" spans="1:7">
      <c r="A6109" t="s">
        <v>13026</v>
      </c>
      <c r="B6109" t="s">
        <v>13027</v>
      </c>
      <c r="C6109" t="s">
        <v>3692</v>
      </c>
      <c r="D6109" t="s">
        <v>3693</v>
      </c>
      <c r="E6109">
        <v>4</v>
      </c>
      <c r="F6109" s="6">
        <v>1000</v>
      </c>
      <c r="G6109" t="s">
        <v>3802</v>
      </c>
    </row>
    <row r="6110" spans="1:7">
      <c r="A6110" t="s">
        <v>13028</v>
      </c>
      <c r="B6110" t="s">
        <v>13029</v>
      </c>
      <c r="C6110" t="s">
        <v>8664</v>
      </c>
      <c r="D6110" t="s">
        <v>8665</v>
      </c>
      <c r="E6110">
        <v>6</v>
      </c>
      <c r="F6110" s="6">
        <v>750</v>
      </c>
      <c r="G6110" t="s">
        <v>4182</v>
      </c>
    </row>
    <row r="6111" spans="1:7">
      <c r="A6111" t="s">
        <v>13030</v>
      </c>
      <c r="B6111" t="s">
        <v>13031</v>
      </c>
      <c r="C6111" t="s">
        <v>8664</v>
      </c>
      <c r="D6111" t="s">
        <v>8665</v>
      </c>
      <c r="E6111">
        <v>6</v>
      </c>
      <c r="F6111" s="6">
        <v>750</v>
      </c>
      <c r="G6111" t="s">
        <v>4182</v>
      </c>
    </row>
    <row r="6112" spans="1:7">
      <c r="A6112" t="s">
        <v>13032</v>
      </c>
      <c r="B6112" t="s">
        <v>13033</v>
      </c>
      <c r="C6112" t="s">
        <v>8664</v>
      </c>
      <c r="D6112" t="s">
        <v>8665</v>
      </c>
      <c r="E6112">
        <v>6</v>
      </c>
      <c r="F6112" s="6">
        <v>750</v>
      </c>
      <c r="G6112" t="s">
        <v>4182</v>
      </c>
    </row>
    <row r="6113" spans="1:7">
      <c r="A6113" t="s">
        <v>13034</v>
      </c>
      <c r="B6113" t="s">
        <v>13035</v>
      </c>
      <c r="C6113" t="s">
        <v>8664</v>
      </c>
      <c r="D6113" t="s">
        <v>8665</v>
      </c>
      <c r="E6113">
        <v>6</v>
      </c>
      <c r="F6113" s="6">
        <v>750</v>
      </c>
      <c r="G6113" t="s">
        <v>4182</v>
      </c>
    </row>
    <row r="6114" spans="1:7">
      <c r="A6114" t="s">
        <v>13036</v>
      </c>
      <c r="B6114" t="s">
        <v>13037</v>
      </c>
      <c r="C6114" t="s">
        <v>3692</v>
      </c>
      <c r="D6114" t="s">
        <v>3693</v>
      </c>
      <c r="E6114">
        <v>6</v>
      </c>
      <c r="F6114" s="6">
        <v>750</v>
      </c>
      <c r="G6114" t="s">
        <v>3681</v>
      </c>
    </row>
    <row r="6115" spans="1:7">
      <c r="A6115" t="s">
        <v>13038</v>
      </c>
      <c r="B6115" t="s">
        <v>13039</v>
      </c>
      <c r="C6115" t="s">
        <v>8664</v>
      </c>
      <c r="D6115" t="s">
        <v>8665</v>
      </c>
      <c r="E6115">
        <v>6</v>
      </c>
      <c r="F6115" s="6">
        <v>750</v>
      </c>
      <c r="G6115" t="s">
        <v>4781</v>
      </c>
    </row>
    <row r="6116" spans="1:7">
      <c r="A6116" t="s">
        <v>13040</v>
      </c>
      <c r="B6116" t="s">
        <v>13041</v>
      </c>
      <c r="C6116" t="s">
        <v>8664</v>
      </c>
      <c r="D6116" t="s">
        <v>8665</v>
      </c>
      <c r="E6116">
        <v>6</v>
      </c>
      <c r="F6116" s="6">
        <v>750</v>
      </c>
      <c r="G6116" t="s">
        <v>4781</v>
      </c>
    </row>
    <row r="6117" spans="1:7">
      <c r="A6117" t="s">
        <v>13042</v>
      </c>
      <c r="B6117" t="s">
        <v>13043</v>
      </c>
      <c r="C6117" t="s">
        <v>3692</v>
      </c>
      <c r="D6117" t="s">
        <v>3693</v>
      </c>
      <c r="E6117">
        <v>6</v>
      </c>
      <c r="F6117" s="6">
        <v>750</v>
      </c>
      <c r="G6117" t="s">
        <v>3802</v>
      </c>
    </row>
    <row r="6118" spans="1:7">
      <c r="A6118" t="s">
        <v>13044</v>
      </c>
      <c r="B6118" t="s">
        <v>13045</v>
      </c>
      <c r="C6118" t="s">
        <v>3692</v>
      </c>
      <c r="D6118" t="s">
        <v>3693</v>
      </c>
      <c r="E6118">
        <v>6</v>
      </c>
      <c r="F6118" s="6">
        <v>750</v>
      </c>
      <c r="G6118" t="s">
        <v>3802</v>
      </c>
    </row>
    <row r="6119" spans="1:7">
      <c r="A6119" t="s">
        <v>13046</v>
      </c>
      <c r="B6119" t="s">
        <v>13047</v>
      </c>
      <c r="C6119" t="s">
        <v>6442</v>
      </c>
      <c r="D6119" t="s">
        <v>6443</v>
      </c>
      <c r="E6119">
        <v>4</v>
      </c>
      <c r="F6119" s="6">
        <v>750</v>
      </c>
      <c r="G6119" t="s">
        <v>4358</v>
      </c>
    </row>
    <row r="6120" spans="1:7">
      <c r="A6120" t="s">
        <v>13048</v>
      </c>
      <c r="B6120" t="s">
        <v>13049</v>
      </c>
      <c r="C6120" t="s">
        <v>6442</v>
      </c>
      <c r="D6120" t="s">
        <v>6443</v>
      </c>
      <c r="E6120">
        <v>4</v>
      </c>
      <c r="F6120" s="6">
        <v>750</v>
      </c>
      <c r="G6120" t="s">
        <v>4358</v>
      </c>
    </row>
    <row r="6121" spans="1:7">
      <c r="A6121" t="s">
        <v>13050</v>
      </c>
      <c r="B6121" t="s">
        <v>13051</v>
      </c>
      <c r="C6121" t="s">
        <v>3692</v>
      </c>
      <c r="D6121" t="s">
        <v>3693</v>
      </c>
      <c r="E6121">
        <v>6</v>
      </c>
      <c r="F6121" s="6">
        <v>750</v>
      </c>
      <c r="G6121" t="s">
        <v>8661</v>
      </c>
    </row>
    <row r="6122" spans="1:7">
      <c r="A6122" t="s">
        <v>13052</v>
      </c>
      <c r="B6122" t="s">
        <v>13053</v>
      </c>
      <c r="C6122" t="s">
        <v>3692</v>
      </c>
      <c r="D6122" t="s">
        <v>3693</v>
      </c>
      <c r="E6122">
        <v>6</v>
      </c>
      <c r="F6122" s="6">
        <v>750</v>
      </c>
      <c r="G6122" t="s">
        <v>4331</v>
      </c>
    </row>
    <row r="6123" spans="1:7">
      <c r="A6123" t="s">
        <v>13054</v>
      </c>
      <c r="B6123" t="s">
        <v>13055</v>
      </c>
      <c r="C6123" t="s">
        <v>3692</v>
      </c>
      <c r="D6123" t="s">
        <v>3693</v>
      </c>
      <c r="E6123">
        <v>4</v>
      </c>
      <c r="F6123" s="6">
        <v>750</v>
      </c>
      <c r="G6123" t="s">
        <v>3802</v>
      </c>
    </row>
    <row r="6124" spans="1:7">
      <c r="A6124" t="s">
        <v>13056</v>
      </c>
      <c r="B6124" t="s">
        <v>13057</v>
      </c>
      <c r="C6124" t="s">
        <v>3692</v>
      </c>
      <c r="D6124" t="s">
        <v>3693</v>
      </c>
      <c r="E6124">
        <v>6</v>
      </c>
      <c r="F6124" s="6">
        <v>750</v>
      </c>
      <c r="G6124" t="s">
        <v>3802</v>
      </c>
    </row>
    <row r="6125" spans="1:7">
      <c r="A6125" t="s">
        <v>13058</v>
      </c>
      <c r="B6125" t="s">
        <v>13059</v>
      </c>
      <c r="C6125" t="s">
        <v>3756</v>
      </c>
      <c r="D6125" t="s">
        <v>3757</v>
      </c>
      <c r="E6125">
        <v>12</v>
      </c>
      <c r="F6125" s="6">
        <v>1000</v>
      </c>
      <c r="G6125" t="s">
        <v>3702</v>
      </c>
    </row>
    <row r="6126" spans="1:7">
      <c r="A6126" t="s">
        <v>13060</v>
      </c>
      <c r="B6126" t="s">
        <v>13061</v>
      </c>
      <c r="C6126" t="s">
        <v>3692</v>
      </c>
      <c r="D6126" t="s">
        <v>3693</v>
      </c>
      <c r="E6126">
        <v>6</v>
      </c>
      <c r="F6126" s="6">
        <v>1750</v>
      </c>
      <c r="G6126" t="s">
        <v>4073</v>
      </c>
    </row>
    <row r="6127" spans="1:7">
      <c r="A6127" t="s">
        <v>13062</v>
      </c>
      <c r="B6127" t="s">
        <v>13063</v>
      </c>
      <c r="C6127" t="s">
        <v>3692</v>
      </c>
      <c r="D6127" t="s">
        <v>3693</v>
      </c>
      <c r="E6127">
        <v>12</v>
      </c>
      <c r="F6127" s="6">
        <v>1000</v>
      </c>
      <c r="G6127" t="s">
        <v>4073</v>
      </c>
    </row>
    <row r="6128" spans="1:7">
      <c r="A6128" t="s">
        <v>13064</v>
      </c>
      <c r="B6128" t="s">
        <v>13065</v>
      </c>
      <c r="C6128" t="s">
        <v>4084</v>
      </c>
      <c r="D6128" t="s">
        <v>4085</v>
      </c>
      <c r="E6128">
        <v>3</v>
      </c>
      <c r="F6128" s="6">
        <v>750</v>
      </c>
      <c r="G6128" t="s">
        <v>6746</v>
      </c>
    </row>
    <row r="6129" spans="1:7">
      <c r="A6129" t="s">
        <v>13066</v>
      </c>
      <c r="B6129" t="s">
        <v>13067</v>
      </c>
      <c r="C6129" t="s">
        <v>4170</v>
      </c>
      <c r="D6129" t="s">
        <v>4171</v>
      </c>
      <c r="E6129">
        <v>12</v>
      </c>
      <c r="F6129" s="6">
        <v>1000</v>
      </c>
      <c r="G6129" t="s">
        <v>3681</v>
      </c>
    </row>
    <row r="6130" spans="1:7">
      <c r="A6130" t="s">
        <v>13068</v>
      </c>
      <c r="B6130" t="s">
        <v>13069</v>
      </c>
      <c r="C6130" t="s">
        <v>4071</v>
      </c>
      <c r="D6130" t="s">
        <v>4072</v>
      </c>
      <c r="E6130">
        <v>6</v>
      </c>
      <c r="F6130" s="6">
        <v>750</v>
      </c>
      <c r="G6130" t="s">
        <v>3878</v>
      </c>
    </row>
    <row r="6131" spans="1:7">
      <c r="A6131" t="s">
        <v>13070</v>
      </c>
      <c r="B6131" t="s">
        <v>13071</v>
      </c>
      <c r="C6131" t="s">
        <v>3808</v>
      </c>
      <c r="D6131" t="s">
        <v>3809</v>
      </c>
      <c r="E6131">
        <v>6</v>
      </c>
      <c r="F6131" s="6">
        <v>750</v>
      </c>
      <c r="G6131" t="s">
        <v>3878</v>
      </c>
    </row>
    <row r="6132" spans="1:7">
      <c r="A6132" t="s">
        <v>13072</v>
      </c>
      <c r="B6132" t="s">
        <v>13073</v>
      </c>
      <c r="C6132" t="s">
        <v>3808</v>
      </c>
      <c r="D6132" t="s">
        <v>3809</v>
      </c>
      <c r="E6132">
        <v>6</v>
      </c>
      <c r="F6132" s="6">
        <v>750</v>
      </c>
      <c r="G6132" t="s">
        <v>3878</v>
      </c>
    </row>
    <row r="6133" spans="1:7">
      <c r="A6133" t="s">
        <v>13074</v>
      </c>
      <c r="B6133" t="s">
        <v>13075</v>
      </c>
      <c r="C6133" t="s">
        <v>3808</v>
      </c>
      <c r="D6133" t="s">
        <v>3809</v>
      </c>
      <c r="E6133">
        <v>6</v>
      </c>
      <c r="F6133" s="6">
        <v>750</v>
      </c>
      <c r="G6133" t="s">
        <v>3878</v>
      </c>
    </row>
    <row r="6134" spans="1:7">
      <c r="A6134" t="s">
        <v>13076</v>
      </c>
      <c r="B6134" t="s">
        <v>13077</v>
      </c>
      <c r="C6134" t="s">
        <v>4244</v>
      </c>
      <c r="D6134" t="s">
        <v>4245</v>
      </c>
      <c r="E6134">
        <v>6</v>
      </c>
      <c r="F6134" s="6">
        <v>750</v>
      </c>
      <c r="G6134" t="s">
        <v>3878</v>
      </c>
    </row>
    <row r="6135" spans="1:7">
      <c r="A6135" t="s">
        <v>13078</v>
      </c>
      <c r="B6135" t="s">
        <v>13079</v>
      </c>
      <c r="C6135" t="s">
        <v>4244</v>
      </c>
      <c r="D6135" t="s">
        <v>4245</v>
      </c>
      <c r="E6135">
        <v>6</v>
      </c>
      <c r="F6135" s="6">
        <v>750</v>
      </c>
      <c r="G6135" t="s">
        <v>3878</v>
      </c>
    </row>
    <row r="6136" spans="1:7">
      <c r="A6136" t="s">
        <v>13080</v>
      </c>
      <c r="B6136" t="s">
        <v>13081</v>
      </c>
      <c r="C6136" t="s">
        <v>5668</v>
      </c>
      <c r="D6136" t="s">
        <v>5669</v>
      </c>
      <c r="E6136">
        <v>6</v>
      </c>
      <c r="F6136" s="6">
        <v>750</v>
      </c>
      <c r="G6136" t="s">
        <v>3878</v>
      </c>
    </row>
    <row r="6137" spans="1:7">
      <c r="A6137" t="s">
        <v>13082</v>
      </c>
      <c r="B6137" t="s">
        <v>13083</v>
      </c>
      <c r="C6137" t="s">
        <v>5668</v>
      </c>
      <c r="D6137" t="s">
        <v>5669</v>
      </c>
      <c r="E6137">
        <v>6</v>
      </c>
      <c r="F6137" s="6">
        <v>750</v>
      </c>
      <c r="G6137" t="s">
        <v>3878</v>
      </c>
    </row>
    <row r="6138" spans="1:7">
      <c r="A6138" t="s">
        <v>13084</v>
      </c>
      <c r="B6138" t="s">
        <v>8602</v>
      </c>
      <c r="C6138" t="s">
        <v>3692</v>
      </c>
      <c r="D6138" t="s">
        <v>3693</v>
      </c>
      <c r="E6138">
        <v>3</v>
      </c>
      <c r="F6138" s="6">
        <v>750</v>
      </c>
      <c r="G6138" t="s">
        <v>3702</v>
      </c>
    </row>
    <row r="6139" spans="1:7">
      <c r="A6139" t="s">
        <v>13085</v>
      </c>
      <c r="B6139" t="s">
        <v>13086</v>
      </c>
      <c r="C6139" t="s">
        <v>3928</v>
      </c>
      <c r="D6139" t="s">
        <v>3929</v>
      </c>
      <c r="E6139">
        <v>6</v>
      </c>
      <c r="F6139" s="6">
        <v>750</v>
      </c>
      <c r="G6139" t="s">
        <v>5532</v>
      </c>
    </row>
    <row r="6140" spans="1:7">
      <c r="A6140" t="s">
        <v>13087</v>
      </c>
      <c r="B6140" t="s">
        <v>13088</v>
      </c>
      <c r="C6140" t="s">
        <v>3928</v>
      </c>
      <c r="D6140" t="s">
        <v>3929</v>
      </c>
      <c r="E6140">
        <v>6</v>
      </c>
      <c r="F6140" s="6">
        <v>750</v>
      </c>
      <c r="G6140" t="s">
        <v>3802</v>
      </c>
    </row>
    <row r="6141" spans="1:7">
      <c r="A6141" t="s">
        <v>13089</v>
      </c>
      <c r="B6141" t="s">
        <v>13090</v>
      </c>
      <c r="C6141" t="s">
        <v>4071</v>
      </c>
      <c r="D6141" t="s">
        <v>4072</v>
      </c>
      <c r="E6141">
        <v>6</v>
      </c>
      <c r="F6141" s="6">
        <v>750</v>
      </c>
      <c r="G6141" t="s">
        <v>4919</v>
      </c>
    </row>
    <row r="6142" spans="1:7">
      <c r="A6142" t="s">
        <v>13091</v>
      </c>
      <c r="B6142" t="s">
        <v>13092</v>
      </c>
      <c r="C6142" t="s">
        <v>3928</v>
      </c>
      <c r="D6142" t="s">
        <v>3929</v>
      </c>
      <c r="E6142">
        <v>6</v>
      </c>
      <c r="F6142" s="6">
        <v>750</v>
      </c>
      <c r="G6142" t="s">
        <v>3702</v>
      </c>
    </row>
    <row r="6143" spans="1:7">
      <c r="A6143" t="s">
        <v>13093</v>
      </c>
      <c r="B6143" t="s">
        <v>13094</v>
      </c>
      <c r="C6143" t="s">
        <v>3928</v>
      </c>
      <c r="D6143" t="s">
        <v>3929</v>
      </c>
      <c r="E6143">
        <v>6</v>
      </c>
      <c r="F6143" s="6">
        <v>750</v>
      </c>
      <c r="G6143" t="s">
        <v>5054</v>
      </c>
    </row>
    <row r="6144" spans="1:7">
      <c r="A6144" t="s">
        <v>13095</v>
      </c>
      <c r="B6144" t="s">
        <v>13096</v>
      </c>
      <c r="C6144" t="s">
        <v>3928</v>
      </c>
      <c r="D6144" t="s">
        <v>3929</v>
      </c>
      <c r="E6144">
        <v>6</v>
      </c>
      <c r="F6144" s="6">
        <v>750</v>
      </c>
      <c r="G6144" t="s">
        <v>5054</v>
      </c>
    </row>
    <row r="6145" spans="1:7">
      <c r="A6145" t="s">
        <v>13097</v>
      </c>
      <c r="B6145" t="s">
        <v>13098</v>
      </c>
      <c r="C6145" t="s">
        <v>3928</v>
      </c>
      <c r="D6145" t="s">
        <v>3929</v>
      </c>
      <c r="E6145">
        <v>6</v>
      </c>
      <c r="F6145" s="6">
        <v>750</v>
      </c>
      <c r="G6145" t="s">
        <v>5054</v>
      </c>
    </row>
    <row r="6146" spans="1:7">
      <c r="A6146" t="s">
        <v>13099</v>
      </c>
      <c r="B6146" t="s">
        <v>13100</v>
      </c>
      <c r="C6146" t="s">
        <v>4244</v>
      </c>
      <c r="D6146" t="s">
        <v>4245</v>
      </c>
      <c r="E6146">
        <v>6</v>
      </c>
      <c r="F6146" s="6">
        <v>750</v>
      </c>
      <c r="G6146" t="s">
        <v>5054</v>
      </c>
    </row>
    <row r="6147" spans="1:7">
      <c r="A6147" t="s">
        <v>13101</v>
      </c>
      <c r="B6147" t="s">
        <v>8615</v>
      </c>
      <c r="C6147" t="s">
        <v>3808</v>
      </c>
      <c r="D6147" t="s">
        <v>3809</v>
      </c>
      <c r="E6147">
        <v>6</v>
      </c>
      <c r="F6147" s="6">
        <v>750</v>
      </c>
      <c r="G6147" t="s">
        <v>4291</v>
      </c>
    </row>
    <row r="6148" spans="1:7">
      <c r="A6148" t="s">
        <v>13102</v>
      </c>
      <c r="B6148" t="s">
        <v>13103</v>
      </c>
      <c r="C6148" t="s">
        <v>3808</v>
      </c>
      <c r="D6148" t="s">
        <v>3809</v>
      </c>
      <c r="E6148">
        <v>6</v>
      </c>
      <c r="F6148" s="6">
        <v>750</v>
      </c>
      <c r="G6148" t="s">
        <v>11303</v>
      </c>
    </row>
    <row r="6149" spans="1:7">
      <c r="A6149" t="s">
        <v>13104</v>
      </c>
      <c r="B6149" t="s">
        <v>13105</v>
      </c>
      <c r="C6149" t="s">
        <v>8664</v>
      </c>
      <c r="D6149" t="s">
        <v>8665</v>
      </c>
      <c r="E6149">
        <v>6</v>
      </c>
      <c r="F6149" s="6">
        <v>750</v>
      </c>
      <c r="G6149" t="s">
        <v>8661</v>
      </c>
    </row>
    <row r="6150" spans="1:7">
      <c r="A6150" t="s">
        <v>13106</v>
      </c>
      <c r="B6150" t="s">
        <v>13107</v>
      </c>
      <c r="C6150" t="s">
        <v>8664</v>
      </c>
      <c r="D6150" t="s">
        <v>8665</v>
      </c>
      <c r="E6150">
        <v>6</v>
      </c>
      <c r="F6150" s="6">
        <v>700</v>
      </c>
      <c r="G6150" t="s">
        <v>8661</v>
      </c>
    </row>
    <row r="6151" spans="1:7">
      <c r="A6151" t="s">
        <v>13108</v>
      </c>
      <c r="B6151" t="s">
        <v>13109</v>
      </c>
      <c r="C6151" t="s">
        <v>8664</v>
      </c>
      <c r="D6151" t="s">
        <v>8665</v>
      </c>
      <c r="E6151">
        <v>6</v>
      </c>
      <c r="F6151" s="6">
        <v>700</v>
      </c>
      <c r="G6151" t="s">
        <v>8661</v>
      </c>
    </row>
    <row r="6152" spans="1:7">
      <c r="A6152" t="s">
        <v>13110</v>
      </c>
      <c r="B6152" t="s">
        <v>13111</v>
      </c>
      <c r="C6152" t="s">
        <v>8664</v>
      </c>
      <c r="D6152" t="s">
        <v>8665</v>
      </c>
      <c r="E6152">
        <v>6</v>
      </c>
      <c r="F6152" s="6">
        <v>700</v>
      </c>
      <c r="G6152" t="s">
        <v>8661</v>
      </c>
    </row>
    <row r="6153" spans="1:7">
      <c r="A6153" t="s">
        <v>13112</v>
      </c>
      <c r="B6153" t="s">
        <v>13113</v>
      </c>
      <c r="C6153" t="s">
        <v>3692</v>
      </c>
      <c r="D6153" t="s">
        <v>3693</v>
      </c>
      <c r="E6153">
        <v>6</v>
      </c>
      <c r="F6153" s="6">
        <v>750</v>
      </c>
      <c r="G6153" t="s">
        <v>7911</v>
      </c>
    </row>
    <row r="6154" spans="1:7">
      <c r="A6154" t="s">
        <v>13114</v>
      </c>
      <c r="B6154" t="s">
        <v>13115</v>
      </c>
      <c r="C6154" t="s">
        <v>3692</v>
      </c>
      <c r="D6154" t="s">
        <v>3693</v>
      </c>
      <c r="E6154">
        <v>1</v>
      </c>
      <c r="F6154" s="6">
        <v>750</v>
      </c>
      <c r="G6154" t="s">
        <v>3681</v>
      </c>
    </row>
    <row r="6155" spans="1:7">
      <c r="A6155" t="s">
        <v>13116</v>
      </c>
      <c r="B6155" t="s">
        <v>13117</v>
      </c>
      <c r="C6155" t="s">
        <v>4071</v>
      </c>
      <c r="D6155" t="s">
        <v>4072</v>
      </c>
      <c r="E6155">
        <v>12</v>
      </c>
      <c r="F6155" s="6">
        <v>750</v>
      </c>
      <c r="G6155" t="s">
        <v>4300</v>
      </c>
    </row>
    <row r="6156" spans="1:7">
      <c r="A6156" t="s">
        <v>13118</v>
      </c>
      <c r="B6156" t="s">
        <v>8629</v>
      </c>
      <c r="C6156" t="s">
        <v>3692</v>
      </c>
      <c r="D6156" t="s">
        <v>3693</v>
      </c>
      <c r="E6156">
        <v>6</v>
      </c>
      <c r="F6156" s="6">
        <v>750</v>
      </c>
      <c r="G6156" t="s">
        <v>3730</v>
      </c>
    </row>
    <row r="6157" spans="1:7">
      <c r="A6157" t="s">
        <v>13119</v>
      </c>
      <c r="B6157" t="s">
        <v>13120</v>
      </c>
      <c r="C6157" t="s">
        <v>3692</v>
      </c>
      <c r="D6157" t="s">
        <v>3693</v>
      </c>
      <c r="E6157">
        <v>6</v>
      </c>
      <c r="F6157" s="6">
        <v>750</v>
      </c>
      <c r="G6157" t="s">
        <v>13121</v>
      </c>
    </row>
    <row r="6158" spans="1:7">
      <c r="A6158" t="s">
        <v>13122</v>
      </c>
      <c r="B6158" t="s">
        <v>13123</v>
      </c>
      <c r="C6158" t="s">
        <v>3692</v>
      </c>
      <c r="D6158" t="s">
        <v>3693</v>
      </c>
      <c r="E6158">
        <v>6</v>
      </c>
      <c r="F6158" s="6">
        <v>750</v>
      </c>
      <c r="G6158" t="s">
        <v>13121</v>
      </c>
    </row>
    <row r="6159" spans="1:7">
      <c r="A6159" t="s">
        <v>13124</v>
      </c>
      <c r="B6159" t="s">
        <v>13125</v>
      </c>
      <c r="C6159" t="s">
        <v>3692</v>
      </c>
      <c r="D6159" t="s">
        <v>3693</v>
      </c>
      <c r="E6159">
        <v>6</v>
      </c>
      <c r="F6159" s="6">
        <v>750</v>
      </c>
      <c r="G6159" t="s">
        <v>4358</v>
      </c>
    </row>
    <row r="6160" spans="1:7">
      <c r="A6160" t="s">
        <v>13126</v>
      </c>
      <c r="B6160" t="s">
        <v>13127</v>
      </c>
      <c r="C6160" t="s">
        <v>3692</v>
      </c>
      <c r="D6160" t="s">
        <v>3693</v>
      </c>
      <c r="E6160">
        <v>6</v>
      </c>
      <c r="F6160" s="6">
        <v>750</v>
      </c>
      <c r="G6160" t="s">
        <v>3802</v>
      </c>
    </row>
    <row r="6161" spans="1:7">
      <c r="A6161" t="s">
        <v>13128</v>
      </c>
      <c r="B6161" t="s">
        <v>13129</v>
      </c>
      <c r="C6161" t="s">
        <v>3692</v>
      </c>
      <c r="D6161" t="s">
        <v>3693</v>
      </c>
      <c r="E6161">
        <v>6</v>
      </c>
      <c r="F6161" s="6">
        <v>750</v>
      </c>
      <c r="G6161" t="s">
        <v>3802</v>
      </c>
    </row>
    <row r="6162" spans="1:7">
      <c r="A6162" t="s">
        <v>13130</v>
      </c>
      <c r="B6162" t="s">
        <v>9170</v>
      </c>
      <c r="C6162" t="s">
        <v>3692</v>
      </c>
      <c r="D6162" t="s">
        <v>3693</v>
      </c>
      <c r="E6162">
        <v>4</v>
      </c>
      <c r="F6162" s="6">
        <v>1750</v>
      </c>
      <c r="G6162" t="s">
        <v>6970</v>
      </c>
    </row>
    <row r="6163" spans="1:7">
      <c r="A6163" t="s">
        <v>13131</v>
      </c>
      <c r="B6163" t="s">
        <v>9085</v>
      </c>
      <c r="C6163" t="s">
        <v>3692</v>
      </c>
      <c r="D6163" t="s">
        <v>3693</v>
      </c>
      <c r="E6163">
        <v>4</v>
      </c>
      <c r="F6163" s="6">
        <v>1750</v>
      </c>
      <c r="G6163" t="s">
        <v>6970</v>
      </c>
    </row>
    <row r="6164" spans="1:7">
      <c r="A6164" t="s">
        <v>13132</v>
      </c>
      <c r="B6164" t="s">
        <v>13133</v>
      </c>
      <c r="C6164" t="s">
        <v>3692</v>
      </c>
      <c r="D6164" t="s">
        <v>3693</v>
      </c>
      <c r="E6164">
        <v>6</v>
      </c>
      <c r="F6164" s="6">
        <v>750</v>
      </c>
      <c r="G6164" t="s">
        <v>6970</v>
      </c>
    </row>
    <row r="6165" spans="1:7">
      <c r="A6165" t="s">
        <v>13134</v>
      </c>
      <c r="B6165" t="s">
        <v>9168</v>
      </c>
      <c r="C6165" t="s">
        <v>3692</v>
      </c>
      <c r="D6165" t="s">
        <v>3693</v>
      </c>
      <c r="E6165">
        <v>4</v>
      </c>
      <c r="F6165" s="6">
        <v>1750</v>
      </c>
      <c r="G6165" t="s">
        <v>6970</v>
      </c>
    </row>
    <row r="6166" spans="1:7">
      <c r="A6166" t="s">
        <v>13135</v>
      </c>
      <c r="B6166" t="s">
        <v>13136</v>
      </c>
      <c r="C6166" t="s">
        <v>10161</v>
      </c>
      <c r="D6166" t="s">
        <v>6443</v>
      </c>
      <c r="E6166">
        <v>4</v>
      </c>
      <c r="F6166" s="6">
        <v>1000</v>
      </c>
      <c r="G6166" t="s">
        <v>3802</v>
      </c>
    </row>
    <row r="6167" spans="1:7">
      <c r="A6167" t="s">
        <v>13137</v>
      </c>
      <c r="B6167" t="s">
        <v>13138</v>
      </c>
      <c r="C6167" t="s">
        <v>3692</v>
      </c>
      <c r="D6167" t="s">
        <v>3693</v>
      </c>
      <c r="E6167">
        <v>6</v>
      </c>
      <c r="F6167" s="6">
        <v>750</v>
      </c>
      <c r="G6167" t="s">
        <v>3681</v>
      </c>
    </row>
    <row r="6168" spans="1:7">
      <c r="A6168" t="s">
        <v>13139</v>
      </c>
      <c r="B6168" t="s">
        <v>13140</v>
      </c>
      <c r="C6168" t="s">
        <v>3692</v>
      </c>
      <c r="D6168" t="s">
        <v>3693</v>
      </c>
      <c r="E6168">
        <v>6</v>
      </c>
      <c r="F6168" s="6">
        <v>700</v>
      </c>
      <c r="G6168" t="s">
        <v>3686</v>
      </c>
    </row>
    <row r="6169" spans="1:7">
      <c r="A6169" t="s">
        <v>13141</v>
      </c>
      <c r="B6169" t="s">
        <v>13142</v>
      </c>
      <c r="C6169" t="s">
        <v>3692</v>
      </c>
      <c r="D6169" t="s">
        <v>3693</v>
      </c>
      <c r="E6169">
        <v>6</v>
      </c>
      <c r="F6169" s="6">
        <v>700</v>
      </c>
      <c r="G6169" t="s">
        <v>3713</v>
      </c>
    </row>
    <row r="6170" spans="1:7">
      <c r="A6170" t="s">
        <v>13143</v>
      </c>
      <c r="B6170" t="s">
        <v>13144</v>
      </c>
      <c r="C6170" t="s">
        <v>10161</v>
      </c>
      <c r="D6170" t="s">
        <v>6443</v>
      </c>
      <c r="E6170">
        <v>6</v>
      </c>
      <c r="F6170" s="6">
        <v>750</v>
      </c>
      <c r="G6170" t="s">
        <v>3702</v>
      </c>
    </row>
    <row r="6171" spans="1:7">
      <c r="A6171" t="s">
        <v>13145</v>
      </c>
      <c r="B6171" t="s">
        <v>13146</v>
      </c>
      <c r="C6171" t="s">
        <v>3692</v>
      </c>
      <c r="D6171" t="s">
        <v>3693</v>
      </c>
      <c r="E6171">
        <v>6</v>
      </c>
      <c r="F6171" s="6">
        <v>750</v>
      </c>
      <c r="G6171" t="s">
        <v>13147</v>
      </c>
    </row>
    <row r="6172" spans="1:7">
      <c r="A6172" t="s">
        <v>13148</v>
      </c>
      <c r="B6172" t="s">
        <v>13149</v>
      </c>
      <c r="C6172" t="s">
        <v>3692</v>
      </c>
      <c r="D6172" t="s">
        <v>3693</v>
      </c>
      <c r="E6172">
        <v>6</v>
      </c>
      <c r="F6172" s="6">
        <v>1000</v>
      </c>
      <c r="G6172" t="s">
        <v>3702</v>
      </c>
    </row>
    <row r="6173" spans="1:7">
      <c r="A6173" t="s">
        <v>13150</v>
      </c>
      <c r="B6173" t="s">
        <v>13151</v>
      </c>
      <c r="C6173" t="s">
        <v>3692</v>
      </c>
      <c r="D6173" t="s">
        <v>3693</v>
      </c>
      <c r="E6173">
        <v>6</v>
      </c>
      <c r="F6173" s="6">
        <v>1000</v>
      </c>
      <c r="G6173" t="s">
        <v>3702</v>
      </c>
    </row>
    <row r="6174" spans="1:7">
      <c r="A6174" t="s">
        <v>13152</v>
      </c>
      <c r="B6174" t="s">
        <v>13153</v>
      </c>
      <c r="C6174" t="s">
        <v>3692</v>
      </c>
      <c r="D6174" t="s">
        <v>3693</v>
      </c>
      <c r="E6174">
        <v>6</v>
      </c>
      <c r="F6174" s="6">
        <v>1000</v>
      </c>
      <c r="G6174" t="s">
        <v>3702</v>
      </c>
    </row>
    <row r="6175" spans="1:7">
      <c r="A6175" t="s">
        <v>13154</v>
      </c>
      <c r="B6175" t="s">
        <v>13155</v>
      </c>
      <c r="C6175" t="s">
        <v>8664</v>
      </c>
      <c r="D6175" t="s">
        <v>8665</v>
      </c>
      <c r="E6175">
        <v>6</v>
      </c>
      <c r="F6175" s="6">
        <v>750</v>
      </c>
      <c r="G6175" t="s">
        <v>3689</v>
      </c>
    </row>
    <row r="6176" spans="1:7">
      <c r="A6176" t="s">
        <v>13156</v>
      </c>
      <c r="B6176" t="s">
        <v>13157</v>
      </c>
      <c r="C6176" t="s">
        <v>3692</v>
      </c>
      <c r="D6176" t="s">
        <v>3693</v>
      </c>
      <c r="E6176">
        <v>6</v>
      </c>
      <c r="F6176" s="6">
        <v>750</v>
      </c>
      <c r="G6176" t="s">
        <v>8864</v>
      </c>
    </row>
    <row r="6177" spans="1:7">
      <c r="A6177" t="s">
        <v>13158</v>
      </c>
      <c r="B6177" t="s">
        <v>13159</v>
      </c>
      <c r="C6177" t="s">
        <v>3756</v>
      </c>
      <c r="D6177" t="s">
        <v>3757</v>
      </c>
      <c r="E6177">
        <v>12</v>
      </c>
      <c r="F6177" s="6">
        <v>750</v>
      </c>
      <c r="G6177" t="s">
        <v>3702</v>
      </c>
    </row>
    <row r="6178" spans="1:7">
      <c r="A6178" t="s">
        <v>13160</v>
      </c>
      <c r="B6178" t="s">
        <v>13159</v>
      </c>
      <c r="C6178" t="s">
        <v>3756</v>
      </c>
      <c r="D6178" t="s">
        <v>3757</v>
      </c>
      <c r="E6178">
        <v>12</v>
      </c>
      <c r="F6178" s="6">
        <v>1000</v>
      </c>
      <c r="G6178" t="s">
        <v>3702</v>
      </c>
    </row>
    <row r="6179" spans="1:7">
      <c r="A6179" t="s">
        <v>13161</v>
      </c>
      <c r="B6179" t="s">
        <v>13162</v>
      </c>
      <c r="C6179" t="s">
        <v>4452</v>
      </c>
      <c r="D6179" t="s">
        <v>4453</v>
      </c>
      <c r="E6179">
        <v>12</v>
      </c>
      <c r="F6179" s="6">
        <v>750</v>
      </c>
      <c r="G6179" t="s">
        <v>5932</v>
      </c>
    </row>
    <row r="6180" spans="1:7">
      <c r="A6180" t="s">
        <v>13163</v>
      </c>
      <c r="B6180" t="s">
        <v>13164</v>
      </c>
      <c r="C6180" t="s">
        <v>3928</v>
      </c>
      <c r="D6180" t="s">
        <v>3929</v>
      </c>
      <c r="E6180">
        <v>6</v>
      </c>
      <c r="F6180" s="6">
        <v>750</v>
      </c>
      <c r="G6180" t="s">
        <v>4163</v>
      </c>
    </row>
    <row r="6181" spans="1:7">
      <c r="A6181" t="s">
        <v>13165</v>
      </c>
      <c r="B6181" t="s">
        <v>13166</v>
      </c>
      <c r="C6181" t="s">
        <v>3928</v>
      </c>
      <c r="D6181" t="s">
        <v>3929</v>
      </c>
      <c r="E6181">
        <v>6</v>
      </c>
      <c r="F6181" s="6">
        <v>750</v>
      </c>
      <c r="G6181" t="s">
        <v>3686</v>
      </c>
    </row>
    <row r="6182" spans="1:7">
      <c r="A6182" t="s">
        <v>13167</v>
      </c>
      <c r="B6182" t="s">
        <v>13168</v>
      </c>
      <c r="C6182" t="s">
        <v>8664</v>
      </c>
      <c r="D6182" t="s">
        <v>8665</v>
      </c>
      <c r="E6182">
        <v>6</v>
      </c>
      <c r="F6182" s="6">
        <v>750</v>
      </c>
      <c r="G6182" t="s">
        <v>13017</v>
      </c>
    </row>
    <row r="6183" spans="1:7">
      <c r="A6183" t="s">
        <v>13169</v>
      </c>
      <c r="B6183" t="s">
        <v>13170</v>
      </c>
      <c r="C6183" t="s">
        <v>8664</v>
      </c>
      <c r="D6183" t="s">
        <v>8665</v>
      </c>
      <c r="E6183">
        <v>6</v>
      </c>
      <c r="F6183" s="6">
        <v>750</v>
      </c>
      <c r="G6183" t="s">
        <v>13017</v>
      </c>
    </row>
    <row r="6184" spans="1:7">
      <c r="A6184" t="s">
        <v>13171</v>
      </c>
      <c r="B6184" t="s">
        <v>13172</v>
      </c>
      <c r="C6184" t="s">
        <v>8664</v>
      </c>
      <c r="D6184" t="s">
        <v>8665</v>
      </c>
      <c r="E6184">
        <v>6</v>
      </c>
      <c r="F6184" s="6">
        <v>750</v>
      </c>
      <c r="G6184" t="s">
        <v>13017</v>
      </c>
    </row>
    <row r="6185" spans="1:7">
      <c r="A6185" t="s">
        <v>13173</v>
      </c>
      <c r="B6185" t="s">
        <v>13174</v>
      </c>
      <c r="C6185" t="s">
        <v>3692</v>
      </c>
      <c r="D6185" t="s">
        <v>3693</v>
      </c>
      <c r="E6185">
        <v>4</v>
      </c>
      <c r="F6185" s="6">
        <v>750</v>
      </c>
      <c r="G6185" t="s">
        <v>11095</v>
      </c>
    </row>
    <row r="6186" spans="1:7">
      <c r="A6186" t="s">
        <v>13175</v>
      </c>
      <c r="B6186" t="s">
        <v>13176</v>
      </c>
      <c r="C6186" t="s">
        <v>3692</v>
      </c>
      <c r="D6186" t="s">
        <v>3693</v>
      </c>
      <c r="E6186">
        <v>6</v>
      </c>
      <c r="F6186" s="6">
        <v>750</v>
      </c>
      <c r="G6186" t="s">
        <v>8661</v>
      </c>
    </row>
    <row r="6187" spans="1:7">
      <c r="A6187" t="s">
        <v>13177</v>
      </c>
      <c r="B6187" t="s">
        <v>13178</v>
      </c>
      <c r="C6187" t="s">
        <v>7301</v>
      </c>
      <c r="D6187" t="s">
        <v>7302</v>
      </c>
      <c r="E6187">
        <v>12</v>
      </c>
      <c r="F6187" s="6">
        <v>1000</v>
      </c>
      <c r="G6187" t="s">
        <v>3802</v>
      </c>
    </row>
    <row r="6188" spans="1:7">
      <c r="A6188" t="s">
        <v>13179</v>
      </c>
      <c r="B6188" t="s">
        <v>13180</v>
      </c>
      <c r="C6188" t="s">
        <v>4244</v>
      </c>
      <c r="D6188" t="s">
        <v>4245</v>
      </c>
      <c r="E6188">
        <v>6</v>
      </c>
      <c r="F6188" s="6">
        <v>750</v>
      </c>
      <c r="G6188" t="s">
        <v>3802</v>
      </c>
    </row>
    <row r="6189" spans="1:7">
      <c r="A6189" t="s">
        <v>13181</v>
      </c>
      <c r="B6189" t="s">
        <v>13182</v>
      </c>
      <c r="C6189" t="s">
        <v>3692</v>
      </c>
      <c r="D6189" t="s">
        <v>3693</v>
      </c>
      <c r="E6189">
        <v>12</v>
      </c>
      <c r="F6189" s="6">
        <v>750</v>
      </c>
      <c r="G6189" t="s">
        <v>9344</v>
      </c>
    </row>
    <row r="6190" spans="1:7">
      <c r="A6190" t="s">
        <v>13183</v>
      </c>
      <c r="B6190" t="s">
        <v>9343</v>
      </c>
      <c r="C6190" t="s">
        <v>3692</v>
      </c>
      <c r="D6190" t="s">
        <v>3693</v>
      </c>
      <c r="E6190">
        <v>12</v>
      </c>
      <c r="F6190" s="6">
        <v>750</v>
      </c>
      <c r="G6190" t="s">
        <v>9344</v>
      </c>
    </row>
    <row r="6191" spans="1:7">
      <c r="A6191" t="s">
        <v>13184</v>
      </c>
      <c r="B6191" t="s">
        <v>13185</v>
      </c>
      <c r="C6191" t="s">
        <v>3692</v>
      </c>
      <c r="D6191" t="s">
        <v>3693</v>
      </c>
      <c r="E6191">
        <v>12</v>
      </c>
      <c r="F6191" s="6">
        <v>750</v>
      </c>
      <c r="G6191" t="s">
        <v>9344</v>
      </c>
    </row>
    <row r="6192" spans="1:7">
      <c r="A6192" t="s">
        <v>13186</v>
      </c>
      <c r="B6192" t="s">
        <v>13187</v>
      </c>
      <c r="C6192" t="s">
        <v>3692</v>
      </c>
      <c r="D6192" t="s">
        <v>3693</v>
      </c>
      <c r="E6192">
        <v>12</v>
      </c>
      <c r="F6192" s="6">
        <v>750</v>
      </c>
      <c r="G6192" t="s">
        <v>9344</v>
      </c>
    </row>
    <row r="6193" spans="1:7">
      <c r="A6193" t="s">
        <v>427</v>
      </c>
      <c r="B6193" t="s">
        <v>13188</v>
      </c>
      <c r="C6193" t="s">
        <v>3692</v>
      </c>
      <c r="D6193" t="s">
        <v>3693</v>
      </c>
      <c r="E6193">
        <v>6</v>
      </c>
      <c r="F6193" s="6">
        <v>750</v>
      </c>
      <c r="G6193" t="s">
        <v>3681</v>
      </c>
    </row>
    <row r="6194" spans="1:7">
      <c r="A6194" t="s">
        <v>13189</v>
      </c>
      <c r="B6194" t="s">
        <v>13190</v>
      </c>
      <c r="C6194" t="s">
        <v>3692</v>
      </c>
      <c r="D6194" t="s">
        <v>3693</v>
      </c>
      <c r="E6194">
        <v>6</v>
      </c>
      <c r="F6194" s="6">
        <v>750</v>
      </c>
      <c r="G6194" t="s">
        <v>8661</v>
      </c>
    </row>
    <row r="6195" spans="1:7">
      <c r="A6195" t="s">
        <v>13191</v>
      </c>
      <c r="B6195" t="s">
        <v>13192</v>
      </c>
      <c r="C6195" t="s">
        <v>3692</v>
      </c>
      <c r="D6195" t="s">
        <v>3693</v>
      </c>
      <c r="E6195">
        <v>6</v>
      </c>
      <c r="F6195" s="6">
        <v>750</v>
      </c>
      <c r="G6195" t="s">
        <v>11095</v>
      </c>
    </row>
    <row r="6196" spans="1:7">
      <c r="A6196" t="s">
        <v>13193</v>
      </c>
      <c r="B6196" t="s">
        <v>13194</v>
      </c>
      <c r="C6196" t="s">
        <v>3692</v>
      </c>
      <c r="D6196" t="s">
        <v>3693</v>
      </c>
      <c r="E6196">
        <v>6</v>
      </c>
      <c r="F6196" s="6">
        <v>750</v>
      </c>
      <c r="G6196" t="s">
        <v>3686</v>
      </c>
    </row>
    <row r="6197" spans="1:7">
      <c r="A6197" t="s">
        <v>13195</v>
      </c>
      <c r="B6197" t="s">
        <v>8712</v>
      </c>
      <c r="C6197" t="s">
        <v>3928</v>
      </c>
      <c r="D6197" t="s">
        <v>3929</v>
      </c>
      <c r="E6197">
        <v>6</v>
      </c>
      <c r="F6197" s="6">
        <v>750</v>
      </c>
      <c r="G6197" t="s">
        <v>5215</v>
      </c>
    </row>
    <row r="6198" spans="1:7">
      <c r="A6198" t="s">
        <v>13196</v>
      </c>
      <c r="B6198" t="s">
        <v>8717</v>
      </c>
      <c r="C6198" t="s">
        <v>3928</v>
      </c>
      <c r="D6198" t="s">
        <v>3929</v>
      </c>
      <c r="E6198">
        <v>6</v>
      </c>
      <c r="F6198" s="6">
        <v>750</v>
      </c>
      <c r="G6198" t="s">
        <v>4285</v>
      </c>
    </row>
    <row r="6199" spans="1:7">
      <c r="A6199" t="s">
        <v>13197</v>
      </c>
      <c r="B6199" t="s">
        <v>13198</v>
      </c>
      <c r="C6199" t="s">
        <v>3692</v>
      </c>
      <c r="D6199" t="s">
        <v>3693</v>
      </c>
      <c r="E6199">
        <v>6</v>
      </c>
      <c r="F6199" s="6">
        <v>750</v>
      </c>
      <c r="G6199" t="s">
        <v>11095</v>
      </c>
    </row>
    <row r="6200" spans="1:7">
      <c r="A6200" t="s">
        <v>13199</v>
      </c>
      <c r="B6200" t="s">
        <v>13200</v>
      </c>
      <c r="C6200" t="s">
        <v>3692</v>
      </c>
      <c r="D6200" t="s">
        <v>3693</v>
      </c>
      <c r="E6200">
        <v>6</v>
      </c>
      <c r="F6200" s="6">
        <v>750</v>
      </c>
      <c r="G6200" t="s">
        <v>8661</v>
      </c>
    </row>
    <row r="6201" spans="1:7">
      <c r="A6201" t="s">
        <v>2731</v>
      </c>
      <c r="B6201" t="s">
        <v>8721</v>
      </c>
      <c r="C6201" t="s">
        <v>3928</v>
      </c>
      <c r="D6201" t="s">
        <v>3929</v>
      </c>
      <c r="E6201">
        <v>6</v>
      </c>
      <c r="F6201" s="6">
        <v>750</v>
      </c>
      <c r="G6201" t="s">
        <v>3686</v>
      </c>
    </row>
    <row r="6202" spans="1:7">
      <c r="A6202" t="s">
        <v>13201</v>
      </c>
      <c r="B6202" t="s">
        <v>13202</v>
      </c>
      <c r="C6202" t="s">
        <v>3692</v>
      </c>
      <c r="D6202" t="s">
        <v>3693</v>
      </c>
      <c r="E6202">
        <v>6</v>
      </c>
      <c r="F6202" s="6">
        <v>750</v>
      </c>
      <c r="G6202" t="s">
        <v>8661</v>
      </c>
    </row>
    <row r="6203" spans="1:7">
      <c r="A6203" t="s">
        <v>13203</v>
      </c>
      <c r="B6203" t="s">
        <v>13204</v>
      </c>
      <c r="C6203" t="s">
        <v>3928</v>
      </c>
      <c r="D6203" t="s">
        <v>3929</v>
      </c>
      <c r="E6203">
        <v>6</v>
      </c>
      <c r="F6203" s="6">
        <v>750</v>
      </c>
      <c r="G6203" t="s">
        <v>3931</v>
      </c>
    </row>
    <row r="6204" spans="1:7">
      <c r="A6204" t="s">
        <v>13205</v>
      </c>
      <c r="B6204" t="s">
        <v>13206</v>
      </c>
      <c r="C6204" t="s">
        <v>3928</v>
      </c>
      <c r="D6204" t="s">
        <v>3929</v>
      </c>
      <c r="E6204">
        <v>3</v>
      </c>
      <c r="F6204" s="6">
        <v>700</v>
      </c>
      <c r="G6204" t="s">
        <v>3694</v>
      </c>
    </row>
    <row r="6205" spans="1:7">
      <c r="A6205" t="s">
        <v>13207</v>
      </c>
      <c r="B6205" t="s">
        <v>13208</v>
      </c>
      <c r="C6205" t="s">
        <v>4455</v>
      </c>
      <c r="D6205" t="s">
        <v>4456</v>
      </c>
      <c r="E6205">
        <v>6</v>
      </c>
      <c r="F6205" s="6">
        <v>750</v>
      </c>
      <c r="G6205" t="s">
        <v>5139</v>
      </c>
    </row>
    <row r="6206" spans="1:7">
      <c r="A6206" t="s">
        <v>13209</v>
      </c>
      <c r="B6206" t="s">
        <v>13210</v>
      </c>
      <c r="C6206" t="s">
        <v>9909</v>
      </c>
      <c r="D6206" t="s">
        <v>4171</v>
      </c>
      <c r="E6206">
        <v>12</v>
      </c>
      <c r="F6206" s="6">
        <v>750</v>
      </c>
      <c r="G6206" t="s">
        <v>3686</v>
      </c>
    </row>
    <row r="6207" spans="1:7">
      <c r="A6207" t="s">
        <v>13211</v>
      </c>
      <c r="B6207" t="s">
        <v>13212</v>
      </c>
      <c r="C6207" t="s">
        <v>3977</v>
      </c>
      <c r="D6207" t="s">
        <v>3978</v>
      </c>
      <c r="E6207">
        <v>6</v>
      </c>
      <c r="F6207" s="6">
        <v>50</v>
      </c>
      <c r="G6207" t="s">
        <v>4899</v>
      </c>
    </row>
    <row r="6208" spans="1:7">
      <c r="A6208" t="s">
        <v>13213</v>
      </c>
      <c r="B6208" t="s">
        <v>13214</v>
      </c>
      <c r="C6208" t="s">
        <v>3928</v>
      </c>
      <c r="D6208" t="s">
        <v>3929</v>
      </c>
      <c r="E6208">
        <v>6</v>
      </c>
      <c r="F6208" s="6">
        <v>750</v>
      </c>
      <c r="G6208" t="s">
        <v>5215</v>
      </c>
    </row>
    <row r="6209" spans="1:7">
      <c r="A6209" t="s">
        <v>13215</v>
      </c>
      <c r="B6209" t="s">
        <v>8741</v>
      </c>
      <c r="C6209" t="s">
        <v>3808</v>
      </c>
      <c r="D6209" t="s">
        <v>3809</v>
      </c>
      <c r="E6209">
        <v>6</v>
      </c>
      <c r="F6209" s="6">
        <v>750</v>
      </c>
      <c r="G6209" t="s">
        <v>3802</v>
      </c>
    </row>
    <row r="6210" spans="1:7">
      <c r="A6210" t="s">
        <v>13216</v>
      </c>
      <c r="B6210" t="s">
        <v>13217</v>
      </c>
      <c r="C6210" t="s">
        <v>3808</v>
      </c>
      <c r="D6210" t="s">
        <v>3809</v>
      </c>
      <c r="E6210">
        <v>6</v>
      </c>
      <c r="F6210" s="6">
        <v>750</v>
      </c>
      <c r="G6210" t="s">
        <v>3702</v>
      </c>
    </row>
    <row r="6211" spans="1:7">
      <c r="A6211" t="s">
        <v>13218</v>
      </c>
      <c r="B6211" t="s">
        <v>13219</v>
      </c>
      <c r="C6211" t="s">
        <v>3808</v>
      </c>
      <c r="D6211" t="s">
        <v>3809</v>
      </c>
      <c r="E6211">
        <v>6</v>
      </c>
      <c r="F6211" s="6">
        <v>750</v>
      </c>
      <c r="G6211" t="s">
        <v>8748</v>
      </c>
    </row>
    <row r="6212" spans="1:7">
      <c r="A6212" t="s">
        <v>13220</v>
      </c>
      <c r="B6212" t="s">
        <v>13221</v>
      </c>
      <c r="C6212" t="s">
        <v>3708</v>
      </c>
      <c r="D6212" t="s">
        <v>3709</v>
      </c>
      <c r="E6212">
        <v>12</v>
      </c>
      <c r="F6212" s="6">
        <v>750</v>
      </c>
      <c r="G6212" t="s">
        <v>3702</v>
      </c>
    </row>
    <row r="6213" spans="1:7">
      <c r="A6213" t="s">
        <v>13222</v>
      </c>
      <c r="B6213" t="s">
        <v>13223</v>
      </c>
      <c r="C6213" t="s">
        <v>3808</v>
      </c>
      <c r="D6213" t="s">
        <v>3809</v>
      </c>
      <c r="E6213">
        <v>12</v>
      </c>
      <c r="F6213" s="6">
        <v>750</v>
      </c>
      <c r="G6213" t="s">
        <v>3702</v>
      </c>
    </row>
    <row r="6214" spans="1:7">
      <c r="A6214" t="s">
        <v>13224</v>
      </c>
      <c r="B6214" t="s">
        <v>13225</v>
      </c>
      <c r="C6214" t="s">
        <v>3928</v>
      </c>
      <c r="D6214" t="s">
        <v>3929</v>
      </c>
      <c r="E6214">
        <v>6</v>
      </c>
      <c r="F6214" s="6">
        <v>750</v>
      </c>
      <c r="G6214" t="s">
        <v>4163</v>
      </c>
    </row>
    <row r="6215" spans="1:7">
      <c r="A6215" t="s">
        <v>13226</v>
      </c>
      <c r="B6215" t="s">
        <v>13227</v>
      </c>
      <c r="C6215" t="s">
        <v>4071</v>
      </c>
      <c r="D6215" t="s">
        <v>4072</v>
      </c>
      <c r="E6215">
        <v>12</v>
      </c>
      <c r="F6215" s="6">
        <v>750</v>
      </c>
      <c r="G6215" t="s">
        <v>4581</v>
      </c>
    </row>
    <row r="6216" spans="1:7">
      <c r="A6216" t="s">
        <v>13228</v>
      </c>
      <c r="B6216" t="s">
        <v>13229</v>
      </c>
      <c r="C6216" t="s">
        <v>4071</v>
      </c>
      <c r="D6216" t="s">
        <v>4072</v>
      </c>
      <c r="E6216">
        <v>12</v>
      </c>
      <c r="F6216" s="6">
        <v>750</v>
      </c>
      <c r="G6216" t="s">
        <v>4581</v>
      </c>
    </row>
    <row r="6217" spans="1:7">
      <c r="A6217" t="s">
        <v>13230</v>
      </c>
      <c r="B6217" t="s">
        <v>13231</v>
      </c>
      <c r="C6217" t="s">
        <v>3808</v>
      </c>
      <c r="D6217" t="s">
        <v>3809</v>
      </c>
      <c r="E6217">
        <v>6</v>
      </c>
      <c r="F6217" s="6">
        <v>750</v>
      </c>
      <c r="G6217" t="s">
        <v>3702</v>
      </c>
    </row>
    <row r="6218" spans="1:7">
      <c r="A6218" t="s">
        <v>13232</v>
      </c>
      <c r="B6218" t="s">
        <v>13233</v>
      </c>
      <c r="C6218" t="s">
        <v>3808</v>
      </c>
      <c r="D6218" t="s">
        <v>3809</v>
      </c>
      <c r="E6218">
        <v>6</v>
      </c>
      <c r="F6218" s="6">
        <v>750</v>
      </c>
      <c r="G6218" t="s">
        <v>3802</v>
      </c>
    </row>
    <row r="6219" spans="1:7">
      <c r="A6219" t="s">
        <v>13234</v>
      </c>
      <c r="B6219" t="s">
        <v>8791</v>
      </c>
      <c r="C6219" t="s">
        <v>4052</v>
      </c>
      <c r="D6219" t="s">
        <v>4053</v>
      </c>
      <c r="E6219">
        <v>6</v>
      </c>
      <c r="F6219" s="6">
        <v>750</v>
      </c>
      <c r="G6219" t="s">
        <v>3802</v>
      </c>
    </row>
    <row r="6220" spans="1:7">
      <c r="A6220" t="s">
        <v>13235</v>
      </c>
      <c r="B6220" t="s">
        <v>8793</v>
      </c>
      <c r="C6220" t="s">
        <v>4052</v>
      </c>
      <c r="D6220" t="s">
        <v>4053</v>
      </c>
      <c r="E6220">
        <v>6</v>
      </c>
      <c r="F6220" s="6">
        <v>750</v>
      </c>
      <c r="G6220" t="s">
        <v>3802</v>
      </c>
    </row>
    <row r="6221" spans="1:7">
      <c r="A6221" t="s">
        <v>13236</v>
      </c>
      <c r="B6221" t="s">
        <v>13237</v>
      </c>
      <c r="C6221" t="s">
        <v>3928</v>
      </c>
      <c r="D6221" t="s">
        <v>3929</v>
      </c>
      <c r="E6221">
        <v>6</v>
      </c>
      <c r="F6221" s="6">
        <v>750</v>
      </c>
      <c r="G6221" t="s">
        <v>3686</v>
      </c>
    </row>
    <row r="6222" spans="1:7">
      <c r="A6222" t="s">
        <v>13238</v>
      </c>
      <c r="B6222" t="s">
        <v>13239</v>
      </c>
      <c r="C6222" t="s">
        <v>3756</v>
      </c>
      <c r="D6222" t="s">
        <v>3757</v>
      </c>
      <c r="E6222">
        <v>12</v>
      </c>
      <c r="F6222" s="6">
        <v>750</v>
      </c>
      <c r="G6222" t="s">
        <v>3686</v>
      </c>
    </row>
    <row r="6223" spans="1:7">
      <c r="A6223" t="s">
        <v>13240</v>
      </c>
      <c r="B6223" t="s">
        <v>13241</v>
      </c>
      <c r="C6223" t="s">
        <v>3928</v>
      </c>
      <c r="D6223" t="s">
        <v>3929</v>
      </c>
      <c r="E6223">
        <v>3</v>
      </c>
      <c r="F6223" s="6">
        <v>750</v>
      </c>
      <c r="G6223" t="s">
        <v>4781</v>
      </c>
    </row>
    <row r="6224" spans="1:7">
      <c r="A6224" t="s">
        <v>1129</v>
      </c>
      <c r="B6224" t="s">
        <v>13242</v>
      </c>
      <c r="C6224" t="s">
        <v>7515</v>
      </c>
      <c r="D6224" t="s">
        <v>7516</v>
      </c>
      <c r="E6224">
        <v>6</v>
      </c>
      <c r="F6224" s="6">
        <v>750</v>
      </c>
      <c r="G6224" t="s">
        <v>5139</v>
      </c>
    </row>
    <row r="6225" spans="1:7">
      <c r="A6225" t="s">
        <v>2111</v>
      </c>
      <c r="B6225" t="s">
        <v>13243</v>
      </c>
      <c r="C6225" t="s">
        <v>7515</v>
      </c>
      <c r="D6225" t="s">
        <v>7516</v>
      </c>
      <c r="E6225">
        <v>6</v>
      </c>
      <c r="F6225" s="6">
        <v>750</v>
      </c>
      <c r="G6225" t="s">
        <v>5139</v>
      </c>
    </row>
    <row r="6226" spans="1:7">
      <c r="A6226" t="s">
        <v>13244</v>
      </c>
      <c r="B6226" t="s">
        <v>13245</v>
      </c>
      <c r="C6226" t="s">
        <v>7515</v>
      </c>
      <c r="D6226" t="s">
        <v>7516</v>
      </c>
      <c r="E6226">
        <v>6</v>
      </c>
      <c r="F6226" s="6">
        <v>750</v>
      </c>
      <c r="G6226" t="s">
        <v>5139</v>
      </c>
    </row>
    <row r="6227" spans="1:7">
      <c r="A6227" t="s">
        <v>363</v>
      </c>
      <c r="B6227" t="s">
        <v>13246</v>
      </c>
      <c r="C6227" t="s">
        <v>7515</v>
      </c>
      <c r="D6227" t="s">
        <v>7516</v>
      </c>
      <c r="E6227">
        <v>8</v>
      </c>
      <c r="F6227" s="6">
        <v>50</v>
      </c>
      <c r="G6227" t="s">
        <v>5139</v>
      </c>
    </row>
    <row r="6228" spans="1:7">
      <c r="A6228" t="s">
        <v>13247</v>
      </c>
      <c r="B6228" t="s">
        <v>13248</v>
      </c>
      <c r="C6228" t="s">
        <v>6411</v>
      </c>
      <c r="D6228" t="s">
        <v>6412</v>
      </c>
      <c r="E6228">
        <v>6</v>
      </c>
      <c r="F6228" s="6">
        <v>750</v>
      </c>
      <c r="G6228" t="s">
        <v>5139</v>
      </c>
    </row>
    <row r="6229" spans="1:7">
      <c r="A6229" t="s">
        <v>13249</v>
      </c>
      <c r="B6229" t="s">
        <v>13250</v>
      </c>
      <c r="C6229" t="s">
        <v>3928</v>
      </c>
      <c r="D6229" t="s">
        <v>3929</v>
      </c>
      <c r="E6229">
        <v>6</v>
      </c>
      <c r="F6229" s="6">
        <v>750</v>
      </c>
      <c r="G6229" t="s">
        <v>6746</v>
      </c>
    </row>
    <row r="6230" spans="1:7">
      <c r="A6230" t="s">
        <v>13251</v>
      </c>
      <c r="B6230" t="s">
        <v>8835</v>
      </c>
      <c r="C6230" t="s">
        <v>7515</v>
      </c>
      <c r="D6230" t="s">
        <v>7516</v>
      </c>
      <c r="E6230">
        <v>6</v>
      </c>
      <c r="F6230" s="6">
        <v>750</v>
      </c>
      <c r="G6230" t="s">
        <v>5139</v>
      </c>
    </row>
    <row r="6231" spans="1:7">
      <c r="A6231" t="s">
        <v>13252</v>
      </c>
      <c r="B6231" t="s">
        <v>13253</v>
      </c>
      <c r="C6231" t="s">
        <v>4244</v>
      </c>
      <c r="D6231" t="s">
        <v>4245</v>
      </c>
      <c r="E6231">
        <v>6</v>
      </c>
      <c r="F6231" s="6">
        <v>750</v>
      </c>
      <c r="G6231" t="s">
        <v>6746</v>
      </c>
    </row>
    <row r="6232" spans="1:7">
      <c r="A6232" t="s">
        <v>13254</v>
      </c>
      <c r="B6232" t="s">
        <v>8840</v>
      </c>
      <c r="C6232" t="s">
        <v>3808</v>
      </c>
      <c r="D6232" t="s">
        <v>3809</v>
      </c>
      <c r="E6232">
        <v>1</v>
      </c>
      <c r="F6232" s="6">
        <v>750</v>
      </c>
      <c r="G6232" t="s">
        <v>4438</v>
      </c>
    </row>
    <row r="6233" spans="1:7">
      <c r="A6233" t="s">
        <v>13255</v>
      </c>
      <c r="B6233" t="s">
        <v>13256</v>
      </c>
      <c r="C6233" t="s">
        <v>4455</v>
      </c>
      <c r="D6233" t="s">
        <v>4456</v>
      </c>
      <c r="E6233">
        <v>6</v>
      </c>
      <c r="F6233" s="6">
        <v>750</v>
      </c>
      <c r="G6233" t="s">
        <v>5139</v>
      </c>
    </row>
    <row r="6234" spans="1:7">
      <c r="A6234" t="s">
        <v>13257</v>
      </c>
      <c r="B6234" t="s">
        <v>8848</v>
      </c>
      <c r="C6234" t="s">
        <v>3692</v>
      </c>
      <c r="D6234" t="s">
        <v>3693</v>
      </c>
      <c r="E6234">
        <v>6</v>
      </c>
      <c r="F6234" s="6">
        <v>750</v>
      </c>
      <c r="G6234" t="s">
        <v>4358</v>
      </c>
    </row>
    <row r="6235" spans="1:7">
      <c r="A6235" t="s">
        <v>13258</v>
      </c>
      <c r="B6235" t="s">
        <v>13259</v>
      </c>
      <c r="C6235" t="s">
        <v>3692</v>
      </c>
      <c r="D6235" t="s">
        <v>3693</v>
      </c>
      <c r="E6235">
        <v>6</v>
      </c>
      <c r="F6235" s="6">
        <v>750</v>
      </c>
      <c r="G6235" t="s">
        <v>4358</v>
      </c>
    </row>
    <row r="6236" spans="1:7">
      <c r="A6236" t="s">
        <v>13260</v>
      </c>
      <c r="B6236" t="s">
        <v>13261</v>
      </c>
      <c r="C6236" t="s">
        <v>10161</v>
      </c>
      <c r="D6236" t="s">
        <v>6443</v>
      </c>
      <c r="E6236">
        <v>6</v>
      </c>
      <c r="F6236" s="6">
        <v>750</v>
      </c>
      <c r="G6236" t="s">
        <v>3802</v>
      </c>
    </row>
    <row r="6237" spans="1:7">
      <c r="A6237" t="s">
        <v>13262</v>
      </c>
      <c r="B6237" t="s">
        <v>13263</v>
      </c>
      <c r="C6237" t="s">
        <v>3692</v>
      </c>
      <c r="D6237" t="s">
        <v>3693</v>
      </c>
      <c r="E6237">
        <v>6</v>
      </c>
      <c r="F6237" s="6">
        <v>750</v>
      </c>
      <c r="G6237" t="s">
        <v>4358</v>
      </c>
    </row>
    <row r="6238" spans="1:7">
      <c r="A6238" t="s">
        <v>13264</v>
      </c>
      <c r="B6238" t="s">
        <v>13265</v>
      </c>
      <c r="C6238" t="s">
        <v>4455</v>
      </c>
      <c r="D6238" t="s">
        <v>4456</v>
      </c>
      <c r="E6238">
        <v>6</v>
      </c>
      <c r="F6238" s="6">
        <v>750</v>
      </c>
      <c r="G6238" t="s">
        <v>5139</v>
      </c>
    </row>
    <row r="6239" spans="1:7">
      <c r="A6239" t="s">
        <v>13266</v>
      </c>
      <c r="B6239" t="s">
        <v>13267</v>
      </c>
      <c r="C6239" t="s">
        <v>4455</v>
      </c>
      <c r="D6239" t="s">
        <v>4456</v>
      </c>
      <c r="E6239">
        <v>6</v>
      </c>
      <c r="F6239" s="6">
        <v>750</v>
      </c>
      <c r="G6239" t="s">
        <v>4182</v>
      </c>
    </row>
    <row r="6240" spans="1:7">
      <c r="A6240" t="s">
        <v>1414</v>
      </c>
      <c r="B6240" t="s">
        <v>13268</v>
      </c>
      <c r="C6240" t="s">
        <v>4170</v>
      </c>
      <c r="D6240" t="s">
        <v>4171</v>
      </c>
      <c r="E6240">
        <v>6</v>
      </c>
      <c r="F6240" s="6">
        <v>750</v>
      </c>
      <c r="G6240" t="s">
        <v>3802</v>
      </c>
    </row>
    <row r="6241" spans="1:7">
      <c r="A6241" t="s">
        <v>13269</v>
      </c>
      <c r="B6241" t="s">
        <v>13270</v>
      </c>
      <c r="C6241" t="s">
        <v>3692</v>
      </c>
      <c r="D6241" t="s">
        <v>3693</v>
      </c>
      <c r="E6241">
        <v>6</v>
      </c>
      <c r="F6241" s="6">
        <v>750</v>
      </c>
      <c r="G6241" t="s">
        <v>11095</v>
      </c>
    </row>
    <row r="6242" spans="1:7">
      <c r="A6242" t="s">
        <v>13271</v>
      </c>
      <c r="B6242" t="s">
        <v>8876</v>
      </c>
      <c r="C6242" t="s">
        <v>3692</v>
      </c>
      <c r="D6242" t="s">
        <v>3693</v>
      </c>
      <c r="E6242">
        <v>6</v>
      </c>
      <c r="F6242" s="6">
        <v>750</v>
      </c>
      <c r="G6242" t="s">
        <v>4300</v>
      </c>
    </row>
    <row r="6243" spans="1:7">
      <c r="A6243" t="s">
        <v>13272</v>
      </c>
      <c r="B6243" t="s">
        <v>13273</v>
      </c>
      <c r="C6243" t="s">
        <v>3692</v>
      </c>
      <c r="D6243" t="s">
        <v>3693</v>
      </c>
      <c r="E6243">
        <v>6</v>
      </c>
      <c r="F6243" s="6">
        <v>750</v>
      </c>
      <c r="G6243" t="s">
        <v>11095</v>
      </c>
    </row>
    <row r="6244" spans="1:7">
      <c r="A6244" t="s">
        <v>13274</v>
      </c>
      <c r="B6244" t="s">
        <v>8880</v>
      </c>
      <c r="C6244" t="s">
        <v>3692</v>
      </c>
      <c r="D6244" t="s">
        <v>3693</v>
      </c>
      <c r="E6244">
        <v>6</v>
      </c>
      <c r="F6244" s="6">
        <v>750</v>
      </c>
      <c r="G6244" t="s">
        <v>7911</v>
      </c>
    </row>
    <row r="6245" spans="1:7">
      <c r="A6245" t="s">
        <v>13275</v>
      </c>
      <c r="B6245" t="s">
        <v>8886</v>
      </c>
      <c r="C6245" t="s">
        <v>3692</v>
      </c>
      <c r="D6245" t="s">
        <v>3693</v>
      </c>
      <c r="E6245">
        <v>6</v>
      </c>
      <c r="F6245" s="6">
        <v>1000</v>
      </c>
      <c r="G6245" t="s">
        <v>3681</v>
      </c>
    </row>
    <row r="6246" spans="1:7">
      <c r="A6246" t="s">
        <v>13276</v>
      </c>
      <c r="B6246" t="s">
        <v>13277</v>
      </c>
      <c r="C6246" t="s">
        <v>4093</v>
      </c>
      <c r="D6246" t="s">
        <v>4094</v>
      </c>
      <c r="E6246">
        <v>6</v>
      </c>
      <c r="F6246" s="6">
        <v>750</v>
      </c>
      <c r="G6246" t="s">
        <v>9579</v>
      </c>
    </row>
    <row r="6247" spans="1:7">
      <c r="A6247" t="s">
        <v>3535</v>
      </c>
      <c r="B6247" t="s">
        <v>13278</v>
      </c>
      <c r="C6247" t="s">
        <v>4023</v>
      </c>
      <c r="D6247" t="s">
        <v>4024</v>
      </c>
      <c r="E6247">
        <v>12</v>
      </c>
      <c r="F6247" s="6">
        <v>750</v>
      </c>
      <c r="G6247" t="s">
        <v>11897</v>
      </c>
    </row>
    <row r="6248" spans="1:7">
      <c r="A6248" t="s">
        <v>13279</v>
      </c>
      <c r="B6248" t="s">
        <v>13280</v>
      </c>
      <c r="C6248" t="s">
        <v>4023</v>
      </c>
      <c r="D6248" t="s">
        <v>4024</v>
      </c>
      <c r="E6248">
        <v>12</v>
      </c>
      <c r="F6248" s="6">
        <v>750</v>
      </c>
      <c r="G6248" t="s">
        <v>11897</v>
      </c>
    </row>
    <row r="6249" spans="1:7">
      <c r="A6249" t="s">
        <v>13281</v>
      </c>
      <c r="B6249" t="s">
        <v>13282</v>
      </c>
      <c r="C6249" t="s">
        <v>4023</v>
      </c>
      <c r="D6249" t="s">
        <v>4024</v>
      </c>
      <c r="E6249">
        <v>12</v>
      </c>
      <c r="F6249" s="6">
        <v>750</v>
      </c>
      <c r="G6249" t="s">
        <v>11897</v>
      </c>
    </row>
    <row r="6250" spans="1:7">
      <c r="A6250" t="s">
        <v>13283</v>
      </c>
      <c r="B6250" t="s">
        <v>13284</v>
      </c>
      <c r="C6250" t="s">
        <v>4023</v>
      </c>
      <c r="D6250" t="s">
        <v>4024</v>
      </c>
      <c r="E6250">
        <v>6</v>
      </c>
      <c r="F6250" s="6">
        <v>750</v>
      </c>
      <c r="G6250" t="s">
        <v>11897</v>
      </c>
    </row>
    <row r="6251" spans="1:7">
      <c r="A6251" t="s">
        <v>13285</v>
      </c>
      <c r="B6251" t="s">
        <v>13286</v>
      </c>
      <c r="C6251" t="s">
        <v>4023</v>
      </c>
      <c r="D6251" t="s">
        <v>4024</v>
      </c>
      <c r="E6251">
        <v>6</v>
      </c>
      <c r="F6251" s="6">
        <v>750</v>
      </c>
      <c r="G6251" t="s">
        <v>11897</v>
      </c>
    </row>
    <row r="6252" spans="1:7">
      <c r="A6252" t="s">
        <v>13287</v>
      </c>
      <c r="B6252" t="s">
        <v>13288</v>
      </c>
      <c r="C6252" t="s">
        <v>3692</v>
      </c>
      <c r="D6252" t="s">
        <v>3693</v>
      </c>
      <c r="E6252">
        <v>6</v>
      </c>
      <c r="F6252" s="6">
        <v>750</v>
      </c>
      <c r="G6252" t="s">
        <v>3802</v>
      </c>
    </row>
    <row r="6253" spans="1:7">
      <c r="A6253" t="s">
        <v>13289</v>
      </c>
      <c r="B6253" t="s">
        <v>8895</v>
      </c>
      <c r="C6253" t="s">
        <v>3692</v>
      </c>
      <c r="D6253" t="s">
        <v>3693</v>
      </c>
      <c r="E6253">
        <v>6</v>
      </c>
      <c r="F6253" s="6">
        <v>750</v>
      </c>
      <c r="G6253" t="s">
        <v>3702</v>
      </c>
    </row>
    <row r="6254" spans="1:7">
      <c r="A6254" t="s">
        <v>2385</v>
      </c>
      <c r="B6254" t="s">
        <v>13290</v>
      </c>
      <c r="C6254" t="s">
        <v>8664</v>
      </c>
      <c r="D6254" t="s">
        <v>8665</v>
      </c>
      <c r="E6254">
        <v>6</v>
      </c>
      <c r="F6254" s="6">
        <v>750</v>
      </c>
      <c r="G6254" t="s">
        <v>5788</v>
      </c>
    </row>
    <row r="6255" spans="1:7">
      <c r="A6255" t="s">
        <v>13291</v>
      </c>
      <c r="B6255" t="s">
        <v>13292</v>
      </c>
      <c r="C6255" t="s">
        <v>8664</v>
      </c>
      <c r="D6255" t="s">
        <v>8665</v>
      </c>
      <c r="E6255">
        <v>6</v>
      </c>
      <c r="F6255" s="6">
        <v>750</v>
      </c>
      <c r="G6255" t="s">
        <v>5788</v>
      </c>
    </row>
    <row r="6256" spans="1:7">
      <c r="A6256" t="s">
        <v>13293</v>
      </c>
      <c r="B6256" t="s">
        <v>13294</v>
      </c>
      <c r="C6256" t="s">
        <v>8664</v>
      </c>
      <c r="D6256" t="s">
        <v>8665</v>
      </c>
      <c r="E6256">
        <v>6</v>
      </c>
      <c r="F6256" s="6">
        <v>750</v>
      </c>
      <c r="G6256" t="s">
        <v>5788</v>
      </c>
    </row>
    <row r="6257" spans="1:7">
      <c r="A6257" t="s">
        <v>13295</v>
      </c>
      <c r="B6257" t="s">
        <v>13296</v>
      </c>
      <c r="C6257" t="s">
        <v>8664</v>
      </c>
      <c r="D6257" t="s">
        <v>8665</v>
      </c>
      <c r="E6257">
        <v>6</v>
      </c>
      <c r="F6257" s="6">
        <v>750</v>
      </c>
      <c r="G6257" t="s">
        <v>5788</v>
      </c>
    </row>
    <row r="6258" spans="1:7">
      <c r="A6258" t="s">
        <v>13297</v>
      </c>
      <c r="B6258" t="s">
        <v>13298</v>
      </c>
      <c r="C6258" t="s">
        <v>8664</v>
      </c>
      <c r="D6258" t="s">
        <v>8665</v>
      </c>
      <c r="E6258">
        <v>6</v>
      </c>
      <c r="F6258" s="6">
        <v>750</v>
      </c>
      <c r="G6258" t="s">
        <v>5788</v>
      </c>
    </row>
    <row r="6259" spans="1:7">
      <c r="A6259" t="s">
        <v>13299</v>
      </c>
      <c r="B6259" t="s">
        <v>13300</v>
      </c>
      <c r="C6259" t="s">
        <v>8664</v>
      </c>
      <c r="D6259" t="s">
        <v>8665</v>
      </c>
      <c r="E6259">
        <v>6</v>
      </c>
      <c r="F6259" s="6">
        <v>750</v>
      </c>
      <c r="G6259" t="s">
        <v>5788</v>
      </c>
    </row>
    <row r="6260" spans="1:7">
      <c r="A6260" t="s">
        <v>13301</v>
      </c>
      <c r="B6260" t="s">
        <v>13302</v>
      </c>
      <c r="C6260" t="s">
        <v>8664</v>
      </c>
      <c r="D6260" t="s">
        <v>8665</v>
      </c>
      <c r="E6260">
        <v>6</v>
      </c>
      <c r="F6260" s="6">
        <v>750</v>
      </c>
      <c r="G6260" t="s">
        <v>5788</v>
      </c>
    </row>
    <row r="6261" spans="1:7">
      <c r="A6261" t="s">
        <v>13303</v>
      </c>
      <c r="B6261" t="s">
        <v>13304</v>
      </c>
      <c r="C6261" t="s">
        <v>8664</v>
      </c>
      <c r="D6261" t="s">
        <v>8665</v>
      </c>
      <c r="E6261">
        <v>12</v>
      </c>
      <c r="F6261" s="6">
        <v>1000</v>
      </c>
      <c r="G6261" t="s">
        <v>11928</v>
      </c>
    </row>
    <row r="6262" spans="1:7">
      <c r="A6262" t="s">
        <v>13305</v>
      </c>
      <c r="B6262" t="s">
        <v>13306</v>
      </c>
      <c r="C6262" t="s">
        <v>8664</v>
      </c>
      <c r="D6262" t="s">
        <v>8665</v>
      </c>
      <c r="E6262">
        <v>6</v>
      </c>
      <c r="F6262" s="6">
        <v>750</v>
      </c>
      <c r="G6262" t="s">
        <v>5788</v>
      </c>
    </row>
    <row r="6263" spans="1:7">
      <c r="A6263" t="s">
        <v>13307</v>
      </c>
      <c r="B6263" t="s">
        <v>13308</v>
      </c>
      <c r="C6263" t="s">
        <v>8664</v>
      </c>
      <c r="D6263" t="s">
        <v>8665</v>
      </c>
      <c r="E6263">
        <v>6</v>
      </c>
      <c r="F6263" s="6">
        <v>750</v>
      </c>
      <c r="G6263" t="s">
        <v>5788</v>
      </c>
    </row>
    <row r="6264" spans="1:7">
      <c r="A6264" t="s">
        <v>13309</v>
      </c>
      <c r="B6264" t="s">
        <v>13310</v>
      </c>
      <c r="C6264" t="s">
        <v>8664</v>
      </c>
      <c r="D6264" t="s">
        <v>8665</v>
      </c>
      <c r="E6264">
        <v>6</v>
      </c>
      <c r="F6264" s="6">
        <v>750</v>
      </c>
      <c r="G6264" t="s">
        <v>5788</v>
      </c>
    </row>
    <row r="6265" spans="1:7">
      <c r="A6265" t="s">
        <v>13311</v>
      </c>
      <c r="B6265" t="s">
        <v>13312</v>
      </c>
      <c r="C6265" t="s">
        <v>8664</v>
      </c>
      <c r="D6265" t="s">
        <v>8665</v>
      </c>
      <c r="E6265">
        <v>6</v>
      </c>
      <c r="F6265" s="6">
        <v>750</v>
      </c>
      <c r="G6265" t="s">
        <v>5788</v>
      </c>
    </row>
    <row r="6266" spans="1:7">
      <c r="A6266" t="s">
        <v>13313</v>
      </c>
      <c r="B6266" t="s">
        <v>13314</v>
      </c>
      <c r="C6266" t="s">
        <v>8664</v>
      </c>
      <c r="D6266" t="s">
        <v>8665</v>
      </c>
      <c r="E6266">
        <v>6</v>
      </c>
      <c r="F6266" s="6">
        <v>750</v>
      </c>
      <c r="G6266" t="s">
        <v>5788</v>
      </c>
    </row>
    <row r="6267" spans="1:7">
      <c r="A6267" t="s">
        <v>13315</v>
      </c>
      <c r="B6267" t="s">
        <v>13316</v>
      </c>
      <c r="C6267" t="s">
        <v>3692</v>
      </c>
      <c r="D6267" t="s">
        <v>3693</v>
      </c>
      <c r="E6267">
        <v>3</v>
      </c>
      <c r="F6267" s="6">
        <v>750</v>
      </c>
      <c r="G6267" t="s">
        <v>3702</v>
      </c>
    </row>
    <row r="6268" spans="1:7">
      <c r="A6268" t="s">
        <v>13317</v>
      </c>
      <c r="B6268" t="s">
        <v>13318</v>
      </c>
      <c r="C6268" t="s">
        <v>3692</v>
      </c>
      <c r="D6268" t="s">
        <v>3693</v>
      </c>
      <c r="E6268">
        <v>6</v>
      </c>
      <c r="F6268" s="6">
        <v>750</v>
      </c>
      <c r="G6268" t="s">
        <v>4285</v>
      </c>
    </row>
    <row r="6269" spans="1:7">
      <c r="A6269" t="s">
        <v>13319</v>
      </c>
      <c r="B6269" t="s">
        <v>8908</v>
      </c>
      <c r="C6269" t="s">
        <v>3692</v>
      </c>
      <c r="D6269" t="s">
        <v>3693</v>
      </c>
      <c r="E6269">
        <v>6</v>
      </c>
      <c r="F6269" s="6">
        <v>750</v>
      </c>
      <c r="G6269" t="s">
        <v>3702</v>
      </c>
    </row>
    <row r="6270" spans="1:7">
      <c r="A6270" t="s">
        <v>13320</v>
      </c>
      <c r="B6270" t="s">
        <v>8910</v>
      </c>
      <c r="C6270" t="s">
        <v>3692</v>
      </c>
      <c r="D6270" t="s">
        <v>3693</v>
      </c>
      <c r="E6270">
        <v>5</v>
      </c>
      <c r="F6270" s="6">
        <v>50</v>
      </c>
      <c r="G6270" t="s">
        <v>3730</v>
      </c>
    </row>
    <row r="6271" spans="1:7">
      <c r="A6271" t="s">
        <v>13321</v>
      </c>
      <c r="B6271" t="s">
        <v>13322</v>
      </c>
      <c r="C6271" t="s">
        <v>3692</v>
      </c>
      <c r="D6271" t="s">
        <v>3693</v>
      </c>
      <c r="E6271">
        <v>6</v>
      </c>
      <c r="F6271" s="6">
        <v>750</v>
      </c>
      <c r="G6271" t="s">
        <v>4358</v>
      </c>
    </row>
    <row r="6272" spans="1:7">
      <c r="A6272" t="s">
        <v>557</v>
      </c>
      <c r="B6272" t="s">
        <v>13323</v>
      </c>
      <c r="C6272" t="s">
        <v>3692</v>
      </c>
      <c r="D6272" t="s">
        <v>3693</v>
      </c>
      <c r="E6272">
        <v>6</v>
      </c>
      <c r="F6272" s="6">
        <v>750</v>
      </c>
      <c r="G6272" t="s">
        <v>4358</v>
      </c>
    </row>
    <row r="6273" spans="1:7">
      <c r="A6273" t="s">
        <v>13324</v>
      </c>
      <c r="B6273" t="s">
        <v>13325</v>
      </c>
      <c r="C6273" t="s">
        <v>3692</v>
      </c>
      <c r="D6273" t="s">
        <v>3693</v>
      </c>
      <c r="E6273">
        <v>6</v>
      </c>
      <c r="F6273" s="6">
        <v>750</v>
      </c>
      <c r="G6273" t="s">
        <v>3802</v>
      </c>
    </row>
    <row r="6274" spans="1:7">
      <c r="A6274" t="s">
        <v>13326</v>
      </c>
      <c r="B6274" t="s">
        <v>13327</v>
      </c>
      <c r="C6274" t="s">
        <v>3692</v>
      </c>
      <c r="D6274" t="s">
        <v>3693</v>
      </c>
      <c r="E6274">
        <v>3</v>
      </c>
      <c r="F6274" s="6">
        <v>750</v>
      </c>
      <c r="G6274" t="s">
        <v>3802</v>
      </c>
    </row>
    <row r="6275" spans="1:7">
      <c r="A6275" t="s">
        <v>13328</v>
      </c>
      <c r="B6275" t="s">
        <v>13329</v>
      </c>
      <c r="C6275" t="s">
        <v>3692</v>
      </c>
      <c r="D6275" t="s">
        <v>3693</v>
      </c>
      <c r="E6275">
        <v>6</v>
      </c>
      <c r="F6275" s="6">
        <v>750</v>
      </c>
      <c r="G6275" t="s">
        <v>3802</v>
      </c>
    </row>
    <row r="6276" spans="1:7">
      <c r="A6276" t="s">
        <v>13330</v>
      </c>
      <c r="B6276" t="s">
        <v>13331</v>
      </c>
      <c r="C6276" t="s">
        <v>8664</v>
      </c>
      <c r="D6276" t="s">
        <v>8665</v>
      </c>
      <c r="E6276">
        <v>6</v>
      </c>
      <c r="F6276" s="6">
        <v>750</v>
      </c>
      <c r="G6276" t="s">
        <v>3713</v>
      </c>
    </row>
    <row r="6277" spans="1:7">
      <c r="A6277" t="s">
        <v>13332</v>
      </c>
      <c r="B6277" t="s">
        <v>13333</v>
      </c>
      <c r="C6277" t="s">
        <v>8664</v>
      </c>
      <c r="D6277" t="s">
        <v>8665</v>
      </c>
      <c r="E6277">
        <v>6</v>
      </c>
      <c r="F6277" s="6">
        <v>750</v>
      </c>
      <c r="G6277" t="s">
        <v>3681</v>
      </c>
    </row>
    <row r="6278" spans="1:7">
      <c r="A6278" t="s">
        <v>13334</v>
      </c>
      <c r="B6278" t="s">
        <v>13335</v>
      </c>
      <c r="C6278" t="s">
        <v>3692</v>
      </c>
      <c r="D6278" t="s">
        <v>3693</v>
      </c>
      <c r="E6278">
        <v>6</v>
      </c>
      <c r="F6278" s="6">
        <v>750</v>
      </c>
      <c r="G6278" t="s">
        <v>9138</v>
      </c>
    </row>
    <row r="6279" spans="1:7">
      <c r="A6279" t="s">
        <v>3350</v>
      </c>
      <c r="B6279" t="s">
        <v>13336</v>
      </c>
      <c r="C6279" t="s">
        <v>7442</v>
      </c>
      <c r="D6279" t="s">
        <v>7443</v>
      </c>
      <c r="E6279">
        <v>12</v>
      </c>
      <c r="F6279" s="6">
        <v>1000</v>
      </c>
      <c r="G6279" t="s">
        <v>3802</v>
      </c>
    </row>
    <row r="6280" spans="1:7">
      <c r="A6280" t="s">
        <v>13337</v>
      </c>
      <c r="B6280" t="s">
        <v>13338</v>
      </c>
      <c r="C6280" t="s">
        <v>8664</v>
      </c>
      <c r="D6280" t="s">
        <v>8665</v>
      </c>
      <c r="E6280">
        <v>6</v>
      </c>
      <c r="F6280" s="6">
        <v>750</v>
      </c>
      <c r="G6280" t="s">
        <v>3689</v>
      </c>
    </row>
    <row r="6281" spans="1:7">
      <c r="A6281" t="s">
        <v>13339</v>
      </c>
      <c r="B6281" t="s">
        <v>8933</v>
      </c>
      <c r="C6281" t="s">
        <v>3692</v>
      </c>
      <c r="D6281" t="s">
        <v>3693</v>
      </c>
      <c r="E6281">
        <v>6</v>
      </c>
      <c r="F6281" s="6">
        <v>750</v>
      </c>
      <c r="G6281" t="s">
        <v>3689</v>
      </c>
    </row>
    <row r="6282" spans="1:7">
      <c r="A6282" t="s">
        <v>13340</v>
      </c>
      <c r="B6282" t="s">
        <v>13341</v>
      </c>
      <c r="C6282" t="s">
        <v>3692</v>
      </c>
      <c r="D6282" t="s">
        <v>3693</v>
      </c>
      <c r="E6282">
        <v>48</v>
      </c>
      <c r="F6282" s="6">
        <v>100</v>
      </c>
      <c r="G6282" t="s">
        <v>3689</v>
      </c>
    </row>
    <row r="6283" spans="1:7">
      <c r="A6283" t="s">
        <v>13342</v>
      </c>
      <c r="B6283" t="s">
        <v>13343</v>
      </c>
      <c r="C6283" t="s">
        <v>3692</v>
      </c>
      <c r="D6283" t="s">
        <v>3693</v>
      </c>
      <c r="E6283">
        <v>12</v>
      </c>
      <c r="F6283" s="6">
        <v>750</v>
      </c>
      <c r="G6283" t="s">
        <v>3689</v>
      </c>
    </row>
    <row r="6284" spans="1:7">
      <c r="A6284" t="s">
        <v>13344</v>
      </c>
      <c r="B6284" t="s">
        <v>13345</v>
      </c>
      <c r="C6284" t="s">
        <v>8664</v>
      </c>
      <c r="D6284" t="s">
        <v>8665</v>
      </c>
      <c r="E6284">
        <v>6</v>
      </c>
      <c r="F6284" s="6">
        <v>750</v>
      </c>
      <c r="G6284" t="s">
        <v>3681</v>
      </c>
    </row>
    <row r="6285" spans="1:7">
      <c r="A6285" t="s">
        <v>13346</v>
      </c>
      <c r="B6285" t="s">
        <v>13347</v>
      </c>
      <c r="C6285" t="s">
        <v>8664</v>
      </c>
      <c r="D6285" t="s">
        <v>8665</v>
      </c>
      <c r="E6285">
        <v>6</v>
      </c>
      <c r="F6285" s="6">
        <v>750</v>
      </c>
      <c r="G6285" t="s">
        <v>3681</v>
      </c>
    </row>
    <row r="6286" spans="1:7">
      <c r="A6286" t="s">
        <v>13348</v>
      </c>
      <c r="B6286" t="s">
        <v>13349</v>
      </c>
      <c r="C6286" t="s">
        <v>8664</v>
      </c>
      <c r="D6286" t="s">
        <v>8665</v>
      </c>
      <c r="E6286">
        <v>6</v>
      </c>
      <c r="F6286" s="6">
        <v>750</v>
      </c>
      <c r="G6286" t="s">
        <v>3681</v>
      </c>
    </row>
    <row r="6287" spans="1:7">
      <c r="A6287" t="s">
        <v>13350</v>
      </c>
      <c r="B6287" t="s">
        <v>8936</v>
      </c>
      <c r="C6287" t="s">
        <v>3692</v>
      </c>
      <c r="D6287" t="s">
        <v>3693</v>
      </c>
      <c r="E6287">
        <v>6</v>
      </c>
      <c r="F6287" s="6">
        <v>50</v>
      </c>
      <c r="G6287" t="s">
        <v>3730</v>
      </c>
    </row>
    <row r="6288" spans="1:7">
      <c r="A6288" t="s">
        <v>13351</v>
      </c>
      <c r="B6288" t="s">
        <v>13352</v>
      </c>
      <c r="C6288" t="s">
        <v>3692</v>
      </c>
      <c r="D6288" t="s">
        <v>3693</v>
      </c>
      <c r="E6288">
        <v>3</v>
      </c>
      <c r="F6288" s="6">
        <v>1750</v>
      </c>
      <c r="G6288" t="s">
        <v>3730</v>
      </c>
    </row>
    <row r="6289" spans="1:7">
      <c r="A6289" t="s">
        <v>13353</v>
      </c>
      <c r="B6289" t="s">
        <v>13354</v>
      </c>
      <c r="C6289" t="s">
        <v>3692</v>
      </c>
      <c r="D6289" t="s">
        <v>3693</v>
      </c>
      <c r="E6289">
        <v>12</v>
      </c>
      <c r="F6289" s="6">
        <v>750</v>
      </c>
      <c r="G6289" t="s">
        <v>3689</v>
      </c>
    </row>
    <row r="6290" spans="1:7">
      <c r="A6290" t="s">
        <v>13355</v>
      </c>
      <c r="B6290" t="s">
        <v>13356</v>
      </c>
      <c r="C6290" t="s">
        <v>9319</v>
      </c>
      <c r="D6290" t="s">
        <v>9320</v>
      </c>
      <c r="E6290">
        <v>24</v>
      </c>
      <c r="F6290" s="6">
        <v>200</v>
      </c>
      <c r="G6290" t="s">
        <v>3689</v>
      </c>
    </row>
    <row r="6291" spans="1:7">
      <c r="A6291" t="s">
        <v>13357</v>
      </c>
      <c r="B6291" t="s">
        <v>13358</v>
      </c>
      <c r="C6291" t="s">
        <v>3721</v>
      </c>
      <c r="D6291" t="s">
        <v>3722</v>
      </c>
      <c r="E6291">
        <v>6</v>
      </c>
      <c r="F6291" s="6">
        <v>1750</v>
      </c>
      <c r="G6291" t="s">
        <v>9803</v>
      </c>
    </row>
    <row r="6292" spans="1:7">
      <c r="A6292" t="s">
        <v>13359</v>
      </c>
      <c r="B6292" t="s">
        <v>13360</v>
      </c>
      <c r="C6292" t="s">
        <v>6442</v>
      </c>
      <c r="D6292" t="s">
        <v>6443</v>
      </c>
      <c r="E6292">
        <v>6</v>
      </c>
      <c r="F6292" s="6">
        <v>750</v>
      </c>
      <c r="G6292" t="s">
        <v>3802</v>
      </c>
    </row>
    <row r="6293" spans="1:7">
      <c r="A6293" t="s">
        <v>13361</v>
      </c>
      <c r="B6293" t="s">
        <v>13362</v>
      </c>
      <c r="C6293" t="s">
        <v>3692</v>
      </c>
      <c r="D6293" t="s">
        <v>3693</v>
      </c>
      <c r="E6293">
        <v>6</v>
      </c>
      <c r="F6293" s="6">
        <v>750</v>
      </c>
      <c r="G6293" t="s">
        <v>3763</v>
      </c>
    </row>
    <row r="6294" spans="1:7">
      <c r="A6294" t="s">
        <v>13363</v>
      </c>
      <c r="B6294" t="s">
        <v>13364</v>
      </c>
      <c r="C6294" t="s">
        <v>3692</v>
      </c>
      <c r="D6294" t="s">
        <v>3693</v>
      </c>
      <c r="E6294">
        <v>6</v>
      </c>
      <c r="F6294" s="6">
        <v>750</v>
      </c>
      <c r="G6294" t="s">
        <v>3802</v>
      </c>
    </row>
    <row r="6295" spans="1:7">
      <c r="A6295" t="s">
        <v>13365</v>
      </c>
      <c r="B6295" t="s">
        <v>13366</v>
      </c>
      <c r="C6295" t="s">
        <v>3692</v>
      </c>
      <c r="D6295" t="s">
        <v>3693</v>
      </c>
      <c r="E6295">
        <v>6</v>
      </c>
      <c r="F6295" s="6">
        <v>750</v>
      </c>
      <c r="G6295" t="s">
        <v>10654</v>
      </c>
    </row>
    <row r="6296" spans="1:7">
      <c r="A6296" t="s">
        <v>13367</v>
      </c>
      <c r="B6296" t="s">
        <v>13368</v>
      </c>
      <c r="C6296" t="s">
        <v>3692</v>
      </c>
      <c r="D6296" t="s">
        <v>3693</v>
      </c>
      <c r="E6296">
        <v>6</v>
      </c>
      <c r="F6296" s="6">
        <v>750</v>
      </c>
      <c r="G6296" t="s">
        <v>3702</v>
      </c>
    </row>
    <row r="6297" spans="1:7">
      <c r="A6297" t="s">
        <v>13369</v>
      </c>
      <c r="B6297" t="s">
        <v>13370</v>
      </c>
      <c r="C6297" t="s">
        <v>8664</v>
      </c>
      <c r="D6297" t="s">
        <v>8665</v>
      </c>
      <c r="E6297">
        <v>3</v>
      </c>
      <c r="F6297" s="6">
        <v>750</v>
      </c>
      <c r="G6297" t="s">
        <v>3681</v>
      </c>
    </row>
    <row r="6298" spans="1:7">
      <c r="A6298" t="s">
        <v>13371</v>
      </c>
      <c r="B6298" t="s">
        <v>13372</v>
      </c>
      <c r="C6298" t="s">
        <v>8664</v>
      </c>
      <c r="D6298" t="s">
        <v>8665</v>
      </c>
      <c r="E6298">
        <v>6</v>
      </c>
      <c r="F6298" s="6">
        <v>750</v>
      </c>
      <c r="G6298" t="s">
        <v>3689</v>
      </c>
    </row>
    <row r="6299" spans="1:7">
      <c r="A6299" t="s">
        <v>13373</v>
      </c>
      <c r="B6299" t="s">
        <v>8978</v>
      </c>
      <c r="C6299" t="s">
        <v>8664</v>
      </c>
      <c r="D6299" t="s">
        <v>8665</v>
      </c>
      <c r="E6299">
        <v>6</v>
      </c>
      <c r="F6299" s="6">
        <v>750</v>
      </c>
      <c r="G6299" t="s">
        <v>3802</v>
      </c>
    </row>
    <row r="6300" spans="1:7">
      <c r="A6300" t="s">
        <v>13374</v>
      </c>
      <c r="B6300" t="s">
        <v>13375</v>
      </c>
      <c r="C6300" t="s">
        <v>3692</v>
      </c>
      <c r="D6300" t="s">
        <v>3693</v>
      </c>
      <c r="E6300">
        <v>4</v>
      </c>
      <c r="F6300" s="6">
        <v>750</v>
      </c>
      <c r="G6300" t="s">
        <v>11095</v>
      </c>
    </row>
    <row r="6301" spans="1:7">
      <c r="A6301" t="s">
        <v>13376</v>
      </c>
      <c r="B6301" t="s">
        <v>13377</v>
      </c>
      <c r="C6301" t="s">
        <v>8664</v>
      </c>
      <c r="D6301" t="s">
        <v>8665</v>
      </c>
      <c r="E6301">
        <v>6</v>
      </c>
      <c r="F6301" s="6">
        <v>750</v>
      </c>
      <c r="G6301" t="s">
        <v>3802</v>
      </c>
    </row>
    <row r="6302" spans="1:7">
      <c r="A6302" t="s">
        <v>2517</v>
      </c>
      <c r="B6302" t="s">
        <v>13378</v>
      </c>
      <c r="C6302" t="s">
        <v>3692</v>
      </c>
      <c r="D6302" t="s">
        <v>3693</v>
      </c>
      <c r="E6302">
        <v>3</v>
      </c>
      <c r="F6302" s="6">
        <v>750</v>
      </c>
      <c r="G6302" t="s">
        <v>9138</v>
      </c>
    </row>
    <row r="6303" spans="1:7">
      <c r="A6303" t="s">
        <v>13379</v>
      </c>
      <c r="B6303" t="s">
        <v>13380</v>
      </c>
      <c r="C6303" t="s">
        <v>8664</v>
      </c>
      <c r="D6303" t="s">
        <v>8665</v>
      </c>
      <c r="E6303">
        <v>6</v>
      </c>
      <c r="F6303" s="6">
        <v>750</v>
      </c>
      <c r="G6303" t="s">
        <v>4182</v>
      </c>
    </row>
    <row r="6304" spans="1:7">
      <c r="A6304" t="s">
        <v>13381</v>
      </c>
      <c r="B6304" t="s">
        <v>13382</v>
      </c>
      <c r="C6304" t="s">
        <v>8664</v>
      </c>
      <c r="D6304" t="s">
        <v>8665</v>
      </c>
      <c r="E6304">
        <v>6</v>
      </c>
      <c r="F6304" s="6">
        <v>750</v>
      </c>
      <c r="G6304" t="s">
        <v>4182</v>
      </c>
    </row>
    <row r="6305" spans="1:7">
      <c r="A6305" t="s">
        <v>13383</v>
      </c>
      <c r="B6305" t="s">
        <v>13384</v>
      </c>
      <c r="C6305" t="s">
        <v>8664</v>
      </c>
      <c r="D6305" t="s">
        <v>8665</v>
      </c>
      <c r="E6305">
        <v>6</v>
      </c>
      <c r="F6305" s="6">
        <v>750</v>
      </c>
      <c r="G6305" t="s">
        <v>4182</v>
      </c>
    </row>
    <row r="6306" spans="1:7">
      <c r="A6306" t="s">
        <v>13385</v>
      </c>
      <c r="B6306" t="s">
        <v>13386</v>
      </c>
      <c r="C6306" t="s">
        <v>8664</v>
      </c>
      <c r="D6306" t="s">
        <v>8665</v>
      </c>
      <c r="E6306">
        <v>6</v>
      </c>
      <c r="F6306" s="6">
        <v>750</v>
      </c>
      <c r="G6306" t="s">
        <v>4182</v>
      </c>
    </row>
    <row r="6307" spans="1:7">
      <c r="A6307" t="s">
        <v>13387</v>
      </c>
      <c r="B6307" t="s">
        <v>13388</v>
      </c>
      <c r="C6307" t="s">
        <v>8664</v>
      </c>
      <c r="D6307" t="s">
        <v>8665</v>
      </c>
      <c r="E6307">
        <v>6</v>
      </c>
      <c r="F6307" s="6">
        <v>750</v>
      </c>
      <c r="G6307" t="s">
        <v>4182</v>
      </c>
    </row>
    <row r="6308" spans="1:7">
      <c r="A6308" t="s">
        <v>13389</v>
      </c>
      <c r="B6308" t="s">
        <v>13390</v>
      </c>
      <c r="C6308" t="s">
        <v>8664</v>
      </c>
      <c r="D6308" t="s">
        <v>8665</v>
      </c>
      <c r="E6308">
        <v>6</v>
      </c>
      <c r="F6308" s="6">
        <v>750</v>
      </c>
      <c r="G6308" t="s">
        <v>4182</v>
      </c>
    </row>
    <row r="6309" spans="1:7">
      <c r="A6309" t="s">
        <v>13391</v>
      </c>
      <c r="B6309" t="s">
        <v>13392</v>
      </c>
      <c r="C6309" t="s">
        <v>3692</v>
      </c>
      <c r="D6309" t="s">
        <v>3693</v>
      </c>
      <c r="E6309">
        <v>6</v>
      </c>
      <c r="F6309" s="6">
        <v>750</v>
      </c>
      <c r="G6309" t="s">
        <v>3686</v>
      </c>
    </row>
    <row r="6310" spans="1:7">
      <c r="A6310" t="s">
        <v>13393</v>
      </c>
      <c r="B6310" t="s">
        <v>13394</v>
      </c>
      <c r="C6310" t="s">
        <v>3692</v>
      </c>
      <c r="D6310" t="s">
        <v>3693</v>
      </c>
      <c r="E6310">
        <v>5</v>
      </c>
      <c r="F6310" s="6">
        <v>50</v>
      </c>
      <c r="G6310" t="s">
        <v>3694</v>
      </c>
    </row>
    <row r="6311" spans="1:7">
      <c r="A6311" t="s">
        <v>13395</v>
      </c>
      <c r="B6311" t="s">
        <v>9214</v>
      </c>
      <c r="C6311" t="s">
        <v>3692</v>
      </c>
      <c r="D6311" t="s">
        <v>3693</v>
      </c>
      <c r="E6311">
        <v>12</v>
      </c>
      <c r="F6311" s="6">
        <v>375</v>
      </c>
      <c r="G6311" t="s">
        <v>3689</v>
      </c>
    </row>
    <row r="6312" spans="1:7">
      <c r="A6312" t="s">
        <v>13396</v>
      </c>
      <c r="B6312" t="s">
        <v>13397</v>
      </c>
      <c r="C6312" t="s">
        <v>3692</v>
      </c>
      <c r="D6312" t="s">
        <v>3693</v>
      </c>
      <c r="E6312">
        <v>6</v>
      </c>
      <c r="F6312" s="6">
        <v>750</v>
      </c>
      <c r="G6312" t="s">
        <v>3686</v>
      </c>
    </row>
    <row r="6313" spans="1:7">
      <c r="A6313" t="s">
        <v>13398</v>
      </c>
      <c r="B6313" t="s">
        <v>13399</v>
      </c>
      <c r="C6313" t="s">
        <v>3692</v>
      </c>
      <c r="D6313" t="s">
        <v>3693</v>
      </c>
      <c r="E6313">
        <v>3</v>
      </c>
      <c r="F6313" s="6">
        <v>750</v>
      </c>
      <c r="G6313" t="s">
        <v>3951</v>
      </c>
    </row>
    <row r="6314" spans="1:7">
      <c r="A6314" t="s">
        <v>13400</v>
      </c>
      <c r="B6314" t="s">
        <v>13401</v>
      </c>
      <c r="C6314" t="s">
        <v>4084</v>
      </c>
      <c r="D6314" t="s">
        <v>4085</v>
      </c>
      <c r="E6314">
        <v>6</v>
      </c>
      <c r="F6314" s="6">
        <v>750</v>
      </c>
      <c r="G6314" t="s">
        <v>3713</v>
      </c>
    </row>
    <row r="6315" spans="1:7">
      <c r="A6315" t="s">
        <v>13402</v>
      </c>
      <c r="B6315" t="s">
        <v>13403</v>
      </c>
      <c r="C6315" t="s">
        <v>3684</v>
      </c>
      <c r="D6315" t="s">
        <v>3685</v>
      </c>
      <c r="E6315">
        <v>6</v>
      </c>
      <c r="F6315" s="6">
        <v>750</v>
      </c>
      <c r="G6315" t="s">
        <v>3713</v>
      </c>
    </row>
    <row r="6316" spans="1:7">
      <c r="A6316" t="s">
        <v>13404</v>
      </c>
      <c r="B6316" t="s">
        <v>13405</v>
      </c>
      <c r="C6316" t="s">
        <v>3684</v>
      </c>
      <c r="D6316" t="s">
        <v>3685</v>
      </c>
      <c r="E6316">
        <v>6</v>
      </c>
      <c r="F6316" s="6">
        <v>750</v>
      </c>
      <c r="G6316" t="s">
        <v>3713</v>
      </c>
    </row>
    <row r="6317" spans="1:7">
      <c r="A6317" t="s">
        <v>13406</v>
      </c>
      <c r="B6317" t="s">
        <v>13407</v>
      </c>
      <c r="C6317" t="s">
        <v>3684</v>
      </c>
      <c r="D6317" t="s">
        <v>3685</v>
      </c>
      <c r="E6317">
        <v>6</v>
      </c>
      <c r="F6317" s="6">
        <v>750</v>
      </c>
      <c r="G6317" t="s">
        <v>3713</v>
      </c>
    </row>
    <row r="6318" spans="1:7">
      <c r="A6318" t="s">
        <v>13408</v>
      </c>
      <c r="B6318" t="s">
        <v>13409</v>
      </c>
      <c r="C6318" t="s">
        <v>4071</v>
      </c>
      <c r="D6318" t="s">
        <v>4072</v>
      </c>
      <c r="E6318">
        <v>6</v>
      </c>
      <c r="F6318" s="6">
        <v>750</v>
      </c>
      <c r="G6318" t="s">
        <v>5139</v>
      </c>
    </row>
    <row r="6319" spans="1:7">
      <c r="A6319" t="s">
        <v>13410</v>
      </c>
      <c r="B6319" t="s">
        <v>13411</v>
      </c>
      <c r="C6319" t="s">
        <v>3692</v>
      </c>
      <c r="D6319" t="s">
        <v>3693</v>
      </c>
      <c r="E6319">
        <v>6</v>
      </c>
      <c r="F6319" s="6">
        <v>750</v>
      </c>
      <c r="G6319" t="s">
        <v>3702</v>
      </c>
    </row>
    <row r="6320" spans="1:7">
      <c r="A6320" t="s">
        <v>13412</v>
      </c>
      <c r="B6320" t="s">
        <v>9022</v>
      </c>
      <c r="C6320" t="s">
        <v>3692</v>
      </c>
      <c r="D6320" t="s">
        <v>3693</v>
      </c>
      <c r="E6320">
        <v>6</v>
      </c>
      <c r="F6320" s="6">
        <v>1750</v>
      </c>
      <c r="G6320" t="s">
        <v>3931</v>
      </c>
    </row>
    <row r="6321" spans="1:7">
      <c r="A6321" t="s">
        <v>13413</v>
      </c>
      <c r="B6321" t="s">
        <v>13414</v>
      </c>
      <c r="C6321" t="s">
        <v>3692</v>
      </c>
      <c r="D6321" t="s">
        <v>3693</v>
      </c>
      <c r="E6321">
        <v>6</v>
      </c>
      <c r="F6321" s="6">
        <v>50</v>
      </c>
      <c r="G6321" t="s">
        <v>3931</v>
      </c>
    </row>
    <row r="6322" spans="1:7">
      <c r="A6322" t="s">
        <v>754</v>
      </c>
      <c r="B6322" t="s">
        <v>13415</v>
      </c>
      <c r="C6322" t="s">
        <v>3692</v>
      </c>
      <c r="D6322" t="s">
        <v>3693</v>
      </c>
      <c r="E6322">
        <v>6</v>
      </c>
      <c r="F6322" s="6">
        <v>1750</v>
      </c>
      <c r="G6322" t="s">
        <v>3686</v>
      </c>
    </row>
    <row r="6323" spans="1:7">
      <c r="A6323" t="s">
        <v>13416</v>
      </c>
      <c r="B6323" t="s">
        <v>13417</v>
      </c>
      <c r="C6323" t="s">
        <v>5626</v>
      </c>
      <c r="D6323" t="s">
        <v>5627</v>
      </c>
      <c r="E6323">
        <v>6</v>
      </c>
      <c r="F6323" s="6">
        <v>750</v>
      </c>
      <c r="G6323" t="s">
        <v>10182</v>
      </c>
    </row>
    <row r="6324" spans="1:7">
      <c r="A6324" t="s">
        <v>13418</v>
      </c>
      <c r="B6324" t="s">
        <v>13419</v>
      </c>
      <c r="C6324" t="s">
        <v>4084</v>
      </c>
      <c r="D6324" t="s">
        <v>4085</v>
      </c>
      <c r="E6324">
        <v>6</v>
      </c>
      <c r="F6324" s="6">
        <v>750</v>
      </c>
      <c r="G6324" t="s">
        <v>9715</v>
      </c>
    </row>
    <row r="6325" spans="1:7">
      <c r="A6325" t="s">
        <v>13420</v>
      </c>
      <c r="B6325" t="s">
        <v>13421</v>
      </c>
      <c r="C6325" t="s">
        <v>8664</v>
      </c>
      <c r="D6325" t="s">
        <v>8665</v>
      </c>
      <c r="E6325">
        <v>6</v>
      </c>
      <c r="F6325" s="6">
        <v>750</v>
      </c>
      <c r="G6325" t="s">
        <v>3931</v>
      </c>
    </row>
    <row r="6326" spans="1:7">
      <c r="A6326" t="s">
        <v>13422</v>
      </c>
      <c r="B6326" t="s">
        <v>13423</v>
      </c>
      <c r="C6326" t="s">
        <v>3692</v>
      </c>
      <c r="D6326" t="s">
        <v>3693</v>
      </c>
      <c r="E6326">
        <v>12</v>
      </c>
      <c r="F6326" s="6">
        <v>1000</v>
      </c>
      <c r="G6326" t="s">
        <v>3686</v>
      </c>
    </row>
    <row r="6327" spans="1:7">
      <c r="A6327" t="s">
        <v>13424</v>
      </c>
      <c r="B6327" t="s">
        <v>9038</v>
      </c>
      <c r="C6327" t="s">
        <v>3692</v>
      </c>
      <c r="D6327" t="s">
        <v>3693</v>
      </c>
      <c r="E6327">
        <v>6</v>
      </c>
      <c r="F6327" s="6">
        <v>750</v>
      </c>
      <c r="G6327" t="s">
        <v>4419</v>
      </c>
    </row>
    <row r="6328" spans="1:7">
      <c r="A6328" t="s">
        <v>13425</v>
      </c>
      <c r="B6328" t="s">
        <v>9039</v>
      </c>
      <c r="C6328" t="s">
        <v>3692</v>
      </c>
      <c r="D6328" t="s">
        <v>3693</v>
      </c>
      <c r="E6328">
        <v>12</v>
      </c>
      <c r="F6328" s="6">
        <v>750</v>
      </c>
      <c r="G6328" t="s">
        <v>4509</v>
      </c>
    </row>
    <row r="6329" spans="1:7">
      <c r="A6329" t="s">
        <v>13426</v>
      </c>
      <c r="B6329" t="s">
        <v>13427</v>
      </c>
      <c r="C6329" t="s">
        <v>8664</v>
      </c>
      <c r="D6329" t="s">
        <v>8665</v>
      </c>
      <c r="E6329">
        <v>6</v>
      </c>
      <c r="F6329" s="6">
        <v>750</v>
      </c>
      <c r="G6329" t="s">
        <v>3802</v>
      </c>
    </row>
    <row r="6330" spans="1:7">
      <c r="A6330" t="s">
        <v>13428</v>
      </c>
      <c r="B6330" t="s">
        <v>13429</v>
      </c>
      <c r="C6330" t="s">
        <v>3692</v>
      </c>
      <c r="D6330" t="s">
        <v>3693</v>
      </c>
      <c r="E6330">
        <v>6</v>
      </c>
      <c r="F6330" s="6">
        <v>750</v>
      </c>
      <c r="G6330" t="s">
        <v>3763</v>
      </c>
    </row>
    <row r="6331" spans="1:7">
      <c r="A6331" t="s">
        <v>13430</v>
      </c>
      <c r="B6331" t="s">
        <v>13431</v>
      </c>
      <c r="C6331" t="s">
        <v>3692</v>
      </c>
      <c r="D6331" t="s">
        <v>3693</v>
      </c>
      <c r="E6331">
        <v>6</v>
      </c>
      <c r="F6331" s="6">
        <v>750</v>
      </c>
      <c r="G6331" t="s">
        <v>3763</v>
      </c>
    </row>
    <row r="6332" spans="1:7">
      <c r="A6332" t="s">
        <v>13432</v>
      </c>
      <c r="B6332" t="s">
        <v>13433</v>
      </c>
      <c r="C6332" t="s">
        <v>3692</v>
      </c>
      <c r="D6332" t="s">
        <v>3693</v>
      </c>
      <c r="E6332">
        <v>3</v>
      </c>
      <c r="F6332" s="6">
        <v>750</v>
      </c>
      <c r="G6332" t="s">
        <v>3702</v>
      </c>
    </row>
    <row r="6333" spans="1:7">
      <c r="A6333" t="s">
        <v>13434</v>
      </c>
      <c r="B6333" t="s">
        <v>13435</v>
      </c>
      <c r="C6333" t="s">
        <v>8664</v>
      </c>
      <c r="D6333" t="s">
        <v>8665</v>
      </c>
      <c r="E6333">
        <v>6</v>
      </c>
      <c r="F6333" s="6">
        <v>750</v>
      </c>
      <c r="G6333" t="s">
        <v>4182</v>
      </c>
    </row>
    <row r="6334" spans="1:7">
      <c r="A6334" t="s">
        <v>13436</v>
      </c>
      <c r="B6334" t="s">
        <v>13437</v>
      </c>
      <c r="C6334" t="s">
        <v>3692</v>
      </c>
      <c r="D6334" t="s">
        <v>3693</v>
      </c>
      <c r="E6334">
        <v>6</v>
      </c>
      <c r="F6334" s="6">
        <v>750</v>
      </c>
      <c r="G6334" t="s">
        <v>4358</v>
      </c>
    </row>
    <row r="6335" spans="1:7">
      <c r="A6335" t="s">
        <v>13438</v>
      </c>
      <c r="B6335" t="s">
        <v>13439</v>
      </c>
      <c r="C6335" t="s">
        <v>3692</v>
      </c>
      <c r="D6335" t="s">
        <v>3693</v>
      </c>
      <c r="E6335">
        <v>6</v>
      </c>
      <c r="F6335" s="6">
        <v>750</v>
      </c>
      <c r="G6335" t="s">
        <v>4358</v>
      </c>
    </row>
    <row r="6336" spans="1:7">
      <c r="A6336" t="s">
        <v>13440</v>
      </c>
      <c r="B6336" t="s">
        <v>13441</v>
      </c>
      <c r="C6336" t="s">
        <v>3692</v>
      </c>
      <c r="D6336" t="s">
        <v>3693</v>
      </c>
      <c r="E6336">
        <v>6</v>
      </c>
      <c r="F6336" s="6">
        <v>750</v>
      </c>
      <c r="G6336" t="s">
        <v>4358</v>
      </c>
    </row>
    <row r="6337" spans="1:7">
      <c r="A6337" t="s">
        <v>13442</v>
      </c>
      <c r="B6337" t="s">
        <v>13443</v>
      </c>
      <c r="C6337" t="s">
        <v>3692</v>
      </c>
      <c r="D6337" t="s">
        <v>3693</v>
      </c>
      <c r="E6337">
        <v>6</v>
      </c>
      <c r="F6337" s="6">
        <v>750</v>
      </c>
      <c r="G6337" t="s">
        <v>5788</v>
      </c>
    </row>
    <row r="6338" spans="1:7">
      <c r="A6338" t="s">
        <v>13444</v>
      </c>
      <c r="B6338" t="s">
        <v>9073</v>
      </c>
      <c r="C6338" t="s">
        <v>3692</v>
      </c>
      <c r="D6338" t="s">
        <v>3693</v>
      </c>
      <c r="E6338">
        <v>6</v>
      </c>
      <c r="F6338" s="6">
        <v>750</v>
      </c>
      <c r="G6338" t="s">
        <v>3702</v>
      </c>
    </row>
    <row r="6339" spans="1:7">
      <c r="A6339" t="s">
        <v>13445</v>
      </c>
      <c r="B6339" t="s">
        <v>13446</v>
      </c>
      <c r="C6339" t="s">
        <v>3692</v>
      </c>
      <c r="D6339" t="s">
        <v>3693</v>
      </c>
      <c r="E6339">
        <v>4</v>
      </c>
      <c r="F6339" s="6">
        <v>750</v>
      </c>
      <c r="G6339" t="s">
        <v>3694</v>
      </c>
    </row>
    <row r="6340" spans="1:7">
      <c r="A6340" t="s">
        <v>13447</v>
      </c>
      <c r="B6340" t="s">
        <v>9343</v>
      </c>
      <c r="C6340" t="s">
        <v>3692</v>
      </c>
      <c r="D6340" t="s">
        <v>3693</v>
      </c>
      <c r="E6340">
        <v>12</v>
      </c>
      <c r="F6340" s="6">
        <v>1000</v>
      </c>
      <c r="G6340" t="s">
        <v>9344</v>
      </c>
    </row>
    <row r="6341" spans="1:7">
      <c r="A6341" t="s">
        <v>13448</v>
      </c>
      <c r="B6341" t="s">
        <v>13449</v>
      </c>
      <c r="C6341" t="s">
        <v>3692</v>
      </c>
      <c r="D6341" t="s">
        <v>3693</v>
      </c>
      <c r="E6341">
        <v>6</v>
      </c>
      <c r="F6341" s="6">
        <v>750</v>
      </c>
      <c r="G6341" t="s">
        <v>3702</v>
      </c>
    </row>
    <row r="6342" spans="1:7">
      <c r="A6342" t="s">
        <v>13450</v>
      </c>
      <c r="B6342" t="s">
        <v>13451</v>
      </c>
      <c r="C6342" t="s">
        <v>3692</v>
      </c>
      <c r="D6342" t="s">
        <v>3693</v>
      </c>
      <c r="E6342">
        <v>6</v>
      </c>
      <c r="F6342" s="6">
        <v>750</v>
      </c>
      <c r="G6342" t="s">
        <v>3802</v>
      </c>
    </row>
    <row r="6343" spans="1:7">
      <c r="A6343" t="s">
        <v>1338</v>
      </c>
      <c r="B6343" t="s">
        <v>13452</v>
      </c>
      <c r="C6343" t="s">
        <v>3692</v>
      </c>
      <c r="D6343" t="s">
        <v>3693</v>
      </c>
      <c r="E6343">
        <v>6</v>
      </c>
      <c r="F6343" s="6">
        <v>750</v>
      </c>
      <c r="G6343" t="s">
        <v>4163</v>
      </c>
    </row>
    <row r="6344" spans="1:7">
      <c r="A6344" t="s">
        <v>13453</v>
      </c>
      <c r="B6344" t="s">
        <v>13454</v>
      </c>
      <c r="C6344" t="s">
        <v>8664</v>
      </c>
      <c r="D6344" t="s">
        <v>8665</v>
      </c>
      <c r="E6344">
        <v>12</v>
      </c>
      <c r="F6344" s="6">
        <v>750</v>
      </c>
      <c r="G6344" t="s">
        <v>3802</v>
      </c>
    </row>
    <row r="6345" spans="1:7">
      <c r="A6345" t="s">
        <v>13455</v>
      </c>
      <c r="B6345" t="s">
        <v>13456</v>
      </c>
      <c r="C6345" t="s">
        <v>3692</v>
      </c>
      <c r="D6345" t="s">
        <v>3693</v>
      </c>
      <c r="E6345">
        <v>12</v>
      </c>
      <c r="F6345" s="6">
        <v>750</v>
      </c>
      <c r="G6345" t="s">
        <v>11928</v>
      </c>
    </row>
    <row r="6346" spans="1:7">
      <c r="A6346" t="s">
        <v>13457</v>
      </c>
      <c r="B6346" t="s">
        <v>13458</v>
      </c>
      <c r="C6346" t="s">
        <v>3692</v>
      </c>
      <c r="D6346" t="s">
        <v>3693</v>
      </c>
      <c r="E6346">
        <v>6</v>
      </c>
      <c r="F6346" s="6">
        <v>750</v>
      </c>
      <c r="G6346" t="s">
        <v>4285</v>
      </c>
    </row>
    <row r="6347" spans="1:7">
      <c r="A6347" t="s">
        <v>13459</v>
      </c>
      <c r="B6347" t="s">
        <v>13460</v>
      </c>
      <c r="C6347" t="s">
        <v>8664</v>
      </c>
      <c r="D6347" t="s">
        <v>8665</v>
      </c>
      <c r="E6347">
        <v>12</v>
      </c>
      <c r="F6347" s="6">
        <v>750</v>
      </c>
      <c r="G6347" t="s">
        <v>11928</v>
      </c>
    </row>
    <row r="6348" spans="1:7">
      <c r="A6348" t="s">
        <v>13461</v>
      </c>
      <c r="B6348" t="s">
        <v>13462</v>
      </c>
      <c r="C6348" t="s">
        <v>3692</v>
      </c>
      <c r="D6348" t="s">
        <v>3693</v>
      </c>
      <c r="E6348">
        <v>12</v>
      </c>
      <c r="F6348" s="6">
        <v>750</v>
      </c>
      <c r="G6348" t="s">
        <v>3802</v>
      </c>
    </row>
    <row r="6349" spans="1:7">
      <c r="A6349" t="s">
        <v>13463</v>
      </c>
      <c r="B6349" t="s">
        <v>13464</v>
      </c>
      <c r="C6349" t="s">
        <v>7442</v>
      </c>
      <c r="D6349" t="s">
        <v>7443</v>
      </c>
      <c r="E6349">
        <v>12</v>
      </c>
      <c r="F6349" s="6">
        <v>1000</v>
      </c>
      <c r="G6349" t="s">
        <v>3802</v>
      </c>
    </row>
    <row r="6350" spans="1:7">
      <c r="A6350" t="s">
        <v>13465</v>
      </c>
      <c r="B6350" t="s">
        <v>13466</v>
      </c>
      <c r="C6350" t="s">
        <v>3692</v>
      </c>
      <c r="D6350" t="s">
        <v>3693</v>
      </c>
      <c r="E6350">
        <v>6</v>
      </c>
      <c r="F6350" s="6">
        <v>750</v>
      </c>
      <c r="G6350" t="s">
        <v>3730</v>
      </c>
    </row>
    <row r="6351" spans="1:7">
      <c r="A6351" t="s">
        <v>13467</v>
      </c>
      <c r="B6351" t="s">
        <v>13468</v>
      </c>
      <c r="C6351" t="s">
        <v>3692</v>
      </c>
      <c r="D6351" t="s">
        <v>3693</v>
      </c>
      <c r="E6351">
        <v>6</v>
      </c>
      <c r="F6351" s="6">
        <v>750</v>
      </c>
      <c r="G6351" t="s">
        <v>3686</v>
      </c>
    </row>
    <row r="6352" spans="1:7">
      <c r="A6352" t="s">
        <v>13469</v>
      </c>
      <c r="B6352" t="s">
        <v>13470</v>
      </c>
      <c r="C6352" t="s">
        <v>3692</v>
      </c>
      <c r="D6352" t="s">
        <v>3693</v>
      </c>
      <c r="E6352">
        <v>12</v>
      </c>
      <c r="F6352" s="6">
        <v>750</v>
      </c>
      <c r="G6352" t="s">
        <v>3705</v>
      </c>
    </row>
    <row r="6353" spans="1:7">
      <c r="A6353" t="s">
        <v>13471</v>
      </c>
      <c r="B6353" t="s">
        <v>13472</v>
      </c>
      <c r="C6353" t="s">
        <v>3783</v>
      </c>
      <c r="D6353" t="s">
        <v>3784</v>
      </c>
      <c r="E6353">
        <v>1</v>
      </c>
      <c r="F6353" s="6">
        <v>50</v>
      </c>
      <c r="G6353" t="s">
        <v>3686</v>
      </c>
    </row>
    <row r="6354" spans="1:7">
      <c r="A6354" t="s">
        <v>13473</v>
      </c>
      <c r="B6354" t="s">
        <v>13474</v>
      </c>
      <c r="C6354" t="s">
        <v>3692</v>
      </c>
      <c r="D6354" t="s">
        <v>3693</v>
      </c>
      <c r="E6354">
        <v>6</v>
      </c>
      <c r="F6354" s="6">
        <v>1000</v>
      </c>
      <c r="G6354" t="s">
        <v>3735</v>
      </c>
    </row>
    <row r="6355" spans="1:7">
      <c r="A6355" t="s">
        <v>13475</v>
      </c>
      <c r="B6355" t="s">
        <v>3691</v>
      </c>
      <c r="C6355" t="s">
        <v>3692</v>
      </c>
      <c r="D6355" t="s">
        <v>3693</v>
      </c>
      <c r="E6355">
        <v>12</v>
      </c>
      <c r="F6355" s="6">
        <v>375</v>
      </c>
      <c r="G6355" t="s">
        <v>3694</v>
      </c>
    </row>
    <row r="6356" spans="1:7">
      <c r="A6356" t="s">
        <v>13476</v>
      </c>
      <c r="B6356" t="s">
        <v>13477</v>
      </c>
      <c r="C6356" t="s">
        <v>3692</v>
      </c>
      <c r="D6356" t="s">
        <v>3693</v>
      </c>
      <c r="E6356">
        <v>12</v>
      </c>
      <c r="F6356" s="6">
        <v>1000</v>
      </c>
      <c r="G6356" t="s">
        <v>3686</v>
      </c>
    </row>
    <row r="6357" spans="1:7">
      <c r="A6357" t="s">
        <v>13478</v>
      </c>
      <c r="B6357" t="s">
        <v>13479</v>
      </c>
      <c r="C6357" t="s">
        <v>3692</v>
      </c>
      <c r="D6357" t="s">
        <v>3693</v>
      </c>
      <c r="E6357">
        <v>6</v>
      </c>
      <c r="F6357" s="6">
        <v>750</v>
      </c>
      <c r="G6357" t="s">
        <v>8748</v>
      </c>
    </row>
    <row r="6358" spans="1:7">
      <c r="A6358" t="s">
        <v>13480</v>
      </c>
      <c r="B6358" t="s">
        <v>13481</v>
      </c>
      <c r="C6358" t="s">
        <v>3692</v>
      </c>
      <c r="D6358" t="s">
        <v>3693</v>
      </c>
      <c r="E6358">
        <v>6</v>
      </c>
      <c r="F6358" s="6">
        <v>750</v>
      </c>
      <c r="G6358" t="s">
        <v>3689</v>
      </c>
    </row>
    <row r="6359" spans="1:7">
      <c r="A6359" t="s">
        <v>13482</v>
      </c>
      <c r="B6359" t="s">
        <v>9151</v>
      </c>
      <c r="C6359" t="s">
        <v>3692</v>
      </c>
      <c r="D6359" t="s">
        <v>3693</v>
      </c>
      <c r="E6359">
        <v>5</v>
      </c>
      <c r="F6359" s="6">
        <v>50</v>
      </c>
      <c r="G6359" t="s">
        <v>3730</v>
      </c>
    </row>
    <row r="6360" spans="1:7">
      <c r="A6360" t="s">
        <v>13483</v>
      </c>
      <c r="B6360" t="s">
        <v>13484</v>
      </c>
      <c r="C6360" t="s">
        <v>3692</v>
      </c>
      <c r="D6360" t="s">
        <v>3693</v>
      </c>
      <c r="E6360">
        <v>12</v>
      </c>
      <c r="F6360" s="6">
        <v>375</v>
      </c>
      <c r="G6360" t="s">
        <v>3730</v>
      </c>
    </row>
    <row r="6361" spans="1:7">
      <c r="A6361" t="s">
        <v>13485</v>
      </c>
      <c r="B6361" t="s">
        <v>9153</v>
      </c>
      <c r="C6361" t="s">
        <v>3692</v>
      </c>
      <c r="D6361" t="s">
        <v>3693</v>
      </c>
      <c r="E6361">
        <v>5</v>
      </c>
      <c r="F6361" s="6">
        <v>50</v>
      </c>
      <c r="G6361" t="s">
        <v>3730</v>
      </c>
    </row>
    <row r="6362" spans="1:7">
      <c r="A6362" t="s">
        <v>13486</v>
      </c>
      <c r="B6362" t="s">
        <v>13487</v>
      </c>
      <c r="C6362" t="s">
        <v>8664</v>
      </c>
      <c r="D6362" t="s">
        <v>8665</v>
      </c>
      <c r="E6362">
        <v>6</v>
      </c>
      <c r="F6362" s="6">
        <v>750</v>
      </c>
      <c r="G6362" t="s">
        <v>3681</v>
      </c>
    </row>
    <row r="6363" spans="1:7">
      <c r="A6363" t="s">
        <v>1789</v>
      </c>
      <c r="B6363" t="s">
        <v>13488</v>
      </c>
      <c r="C6363" t="s">
        <v>3692</v>
      </c>
      <c r="D6363" t="s">
        <v>3693</v>
      </c>
      <c r="E6363">
        <v>48</v>
      </c>
      <c r="F6363" s="6">
        <v>100</v>
      </c>
      <c r="G6363" t="s">
        <v>3689</v>
      </c>
    </row>
    <row r="6364" spans="1:7">
      <c r="A6364" t="s">
        <v>13489</v>
      </c>
      <c r="B6364" t="s">
        <v>13490</v>
      </c>
      <c r="C6364" t="s">
        <v>10161</v>
      </c>
      <c r="D6364" t="s">
        <v>6443</v>
      </c>
      <c r="E6364">
        <v>6</v>
      </c>
      <c r="F6364" s="6">
        <v>750</v>
      </c>
      <c r="G6364" t="s">
        <v>3802</v>
      </c>
    </row>
    <row r="6365" spans="1:7">
      <c r="A6365" t="s">
        <v>13491</v>
      </c>
      <c r="B6365" t="s">
        <v>13492</v>
      </c>
      <c r="C6365" t="s">
        <v>10161</v>
      </c>
      <c r="D6365" t="s">
        <v>6443</v>
      </c>
      <c r="E6365">
        <v>6</v>
      </c>
      <c r="F6365" s="6">
        <v>750</v>
      </c>
      <c r="G6365" t="s">
        <v>3802</v>
      </c>
    </row>
    <row r="6366" spans="1:7">
      <c r="A6366" t="s">
        <v>13493</v>
      </c>
      <c r="B6366" t="s">
        <v>13494</v>
      </c>
      <c r="C6366" t="s">
        <v>3692</v>
      </c>
      <c r="D6366" t="s">
        <v>3693</v>
      </c>
      <c r="E6366">
        <v>3</v>
      </c>
      <c r="F6366" s="6">
        <v>750</v>
      </c>
      <c r="G6366" t="s">
        <v>3681</v>
      </c>
    </row>
    <row r="6367" spans="1:7">
      <c r="A6367" t="s">
        <v>13495</v>
      </c>
      <c r="B6367" t="s">
        <v>13496</v>
      </c>
      <c r="C6367" t="s">
        <v>3692</v>
      </c>
      <c r="D6367" t="s">
        <v>3693</v>
      </c>
      <c r="E6367">
        <v>3</v>
      </c>
      <c r="F6367" s="6">
        <v>750</v>
      </c>
      <c r="G6367" t="s">
        <v>3735</v>
      </c>
    </row>
    <row r="6368" spans="1:7">
      <c r="A6368" t="s">
        <v>13497</v>
      </c>
      <c r="B6368" t="s">
        <v>13498</v>
      </c>
      <c r="C6368" t="s">
        <v>3692</v>
      </c>
      <c r="D6368" t="s">
        <v>3693</v>
      </c>
      <c r="E6368">
        <v>6</v>
      </c>
      <c r="F6368" s="6">
        <v>750</v>
      </c>
      <c r="G6368" t="s">
        <v>4068</v>
      </c>
    </row>
    <row r="6369" spans="1:7">
      <c r="A6369" t="s">
        <v>13499</v>
      </c>
      <c r="B6369" t="s">
        <v>9165</v>
      </c>
      <c r="C6369" t="s">
        <v>3692</v>
      </c>
      <c r="D6369" t="s">
        <v>3693</v>
      </c>
      <c r="E6369">
        <v>6</v>
      </c>
      <c r="F6369" s="6">
        <v>750</v>
      </c>
      <c r="G6369" t="s">
        <v>3702</v>
      </c>
    </row>
    <row r="6370" spans="1:7">
      <c r="A6370" t="s">
        <v>13500</v>
      </c>
      <c r="B6370" t="s">
        <v>9167</v>
      </c>
      <c r="C6370" t="s">
        <v>3692</v>
      </c>
      <c r="D6370" t="s">
        <v>3693</v>
      </c>
      <c r="E6370">
        <v>6</v>
      </c>
      <c r="F6370" s="6">
        <v>750</v>
      </c>
      <c r="G6370" t="s">
        <v>3702</v>
      </c>
    </row>
    <row r="6371" spans="1:7">
      <c r="A6371" t="s">
        <v>774</v>
      </c>
      <c r="B6371" t="s">
        <v>13501</v>
      </c>
      <c r="C6371" t="s">
        <v>3692</v>
      </c>
      <c r="D6371" t="s">
        <v>3693</v>
      </c>
      <c r="E6371">
        <v>3</v>
      </c>
      <c r="F6371" s="6">
        <v>750</v>
      </c>
      <c r="G6371" t="s">
        <v>3689</v>
      </c>
    </row>
    <row r="6372" spans="1:7">
      <c r="A6372" t="s">
        <v>13502</v>
      </c>
      <c r="B6372" t="s">
        <v>9168</v>
      </c>
      <c r="C6372" t="s">
        <v>3692</v>
      </c>
      <c r="D6372" t="s">
        <v>3693</v>
      </c>
      <c r="E6372">
        <v>6</v>
      </c>
      <c r="F6372" s="6">
        <v>750</v>
      </c>
      <c r="G6372" t="s">
        <v>6970</v>
      </c>
    </row>
    <row r="6373" spans="1:7">
      <c r="A6373" t="s">
        <v>13503</v>
      </c>
      <c r="B6373" t="s">
        <v>9170</v>
      </c>
      <c r="C6373" t="s">
        <v>3692</v>
      </c>
      <c r="D6373" t="s">
        <v>3693</v>
      </c>
      <c r="E6373">
        <v>6</v>
      </c>
      <c r="F6373" s="6">
        <v>750</v>
      </c>
      <c r="G6373" t="s">
        <v>6970</v>
      </c>
    </row>
    <row r="6374" spans="1:7">
      <c r="A6374" t="s">
        <v>13504</v>
      </c>
      <c r="B6374" t="s">
        <v>13505</v>
      </c>
      <c r="C6374" t="s">
        <v>3692</v>
      </c>
      <c r="D6374" t="s">
        <v>3693</v>
      </c>
      <c r="E6374">
        <v>6</v>
      </c>
      <c r="F6374" s="6">
        <v>750</v>
      </c>
      <c r="G6374" t="s">
        <v>5788</v>
      </c>
    </row>
    <row r="6375" spans="1:7">
      <c r="A6375" t="s">
        <v>13506</v>
      </c>
      <c r="B6375" t="s">
        <v>13507</v>
      </c>
      <c r="C6375" t="s">
        <v>3692</v>
      </c>
      <c r="D6375" t="s">
        <v>3693</v>
      </c>
      <c r="E6375">
        <v>6</v>
      </c>
      <c r="F6375" s="6">
        <v>750</v>
      </c>
      <c r="G6375" t="s">
        <v>5788</v>
      </c>
    </row>
    <row r="6376" spans="1:7">
      <c r="A6376" t="s">
        <v>13508</v>
      </c>
      <c r="B6376" t="s">
        <v>9174</v>
      </c>
      <c r="C6376" t="s">
        <v>3692</v>
      </c>
      <c r="D6376" t="s">
        <v>3693</v>
      </c>
      <c r="E6376">
        <v>6</v>
      </c>
      <c r="F6376" s="6">
        <v>750</v>
      </c>
      <c r="G6376" t="s">
        <v>7911</v>
      </c>
    </row>
    <row r="6377" spans="1:7">
      <c r="A6377" t="s">
        <v>13509</v>
      </c>
      <c r="B6377" t="s">
        <v>9175</v>
      </c>
      <c r="C6377" t="s">
        <v>3692</v>
      </c>
      <c r="D6377" t="s">
        <v>3693</v>
      </c>
      <c r="E6377">
        <v>6</v>
      </c>
      <c r="F6377" s="6">
        <v>750</v>
      </c>
      <c r="G6377" t="s">
        <v>7911</v>
      </c>
    </row>
    <row r="6378" spans="1:7">
      <c r="A6378" t="s">
        <v>13510</v>
      </c>
      <c r="B6378" t="s">
        <v>13511</v>
      </c>
      <c r="C6378" t="s">
        <v>3692</v>
      </c>
      <c r="D6378" t="s">
        <v>3693</v>
      </c>
      <c r="E6378">
        <v>6</v>
      </c>
      <c r="F6378" s="6">
        <v>750</v>
      </c>
      <c r="G6378" t="s">
        <v>3802</v>
      </c>
    </row>
    <row r="6379" spans="1:7">
      <c r="A6379" t="s">
        <v>13512</v>
      </c>
      <c r="B6379" t="s">
        <v>9192</v>
      </c>
      <c r="C6379" t="s">
        <v>3692</v>
      </c>
      <c r="D6379" t="s">
        <v>3693</v>
      </c>
      <c r="E6379">
        <v>3</v>
      </c>
      <c r="F6379" s="6">
        <v>1750</v>
      </c>
      <c r="G6379" t="s">
        <v>3730</v>
      </c>
    </row>
    <row r="6380" spans="1:7">
      <c r="A6380" t="s">
        <v>13513</v>
      </c>
      <c r="B6380" t="s">
        <v>13514</v>
      </c>
      <c r="C6380" t="s">
        <v>3692</v>
      </c>
      <c r="D6380" t="s">
        <v>3693</v>
      </c>
      <c r="E6380">
        <v>3</v>
      </c>
      <c r="F6380" s="6">
        <v>750</v>
      </c>
      <c r="G6380" t="s">
        <v>4163</v>
      </c>
    </row>
    <row r="6381" spans="1:7">
      <c r="A6381" t="s">
        <v>13515</v>
      </c>
      <c r="B6381" t="s">
        <v>9196</v>
      </c>
      <c r="C6381" t="s">
        <v>7442</v>
      </c>
      <c r="D6381" t="s">
        <v>7443</v>
      </c>
      <c r="E6381">
        <v>6</v>
      </c>
      <c r="F6381" s="6">
        <v>750</v>
      </c>
      <c r="G6381" t="s">
        <v>3802</v>
      </c>
    </row>
    <row r="6382" spans="1:7">
      <c r="A6382" t="s">
        <v>13516</v>
      </c>
      <c r="B6382" t="s">
        <v>13517</v>
      </c>
      <c r="C6382" t="s">
        <v>8664</v>
      </c>
      <c r="D6382" t="s">
        <v>8665</v>
      </c>
      <c r="E6382">
        <v>6</v>
      </c>
      <c r="F6382" s="6">
        <v>750</v>
      </c>
      <c r="G6382" t="s">
        <v>3681</v>
      </c>
    </row>
    <row r="6383" spans="1:7">
      <c r="A6383" t="s">
        <v>2225</v>
      </c>
      <c r="B6383" t="s">
        <v>13518</v>
      </c>
      <c r="C6383" t="s">
        <v>9319</v>
      </c>
      <c r="D6383" t="s">
        <v>9320</v>
      </c>
      <c r="E6383">
        <v>3</v>
      </c>
      <c r="F6383" s="6">
        <v>750</v>
      </c>
      <c r="G6383" t="s">
        <v>3689</v>
      </c>
    </row>
    <row r="6384" spans="1:7">
      <c r="A6384" t="s">
        <v>3591</v>
      </c>
      <c r="B6384" t="s">
        <v>13519</v>
      </c>
      <c r="C6384" t="s">
        <v>6442</v>
      </c>
      <c r="D6384" t="s">
        <v>6443</v>
      </c>
      <c r="E6384">
        <v>20</v>
      </c>
      <c r="F6384" s="6">
        <v>375</v>
      </c>
      <c r="G6384" t="s">
        <v>7383</v>
      </c>
    </row>
    <row r="6385" spans="1:7">
      <c r="A6385" t="s">
        <v>13520</v>
      </c>
      <c r="B6385" t="s">
        <v>13521</v>
      </c>
      <c r="C6385" t="s">
        <v>3692</v>
      </c>
      <c r="D6385" t="s">
        <v>3693</v>
      </c>
      <c r="E6385">
        <v>6</v>
      </c>
      <c r="F6385" s="6">
        <v>750</v>
      </c>
      <c r="G6385" t="s">
        <v>3686</v>
      </c>
    </row>
    <row r="6386" spans="1:7">
      <c r="A6386" t="s">
        <v>13522</v>
      </c>
      <c r="B6386" t="s">
        <v>13523</v>
      </c>
      <c r="C6386" t="s">
        <v>3692</v>
      </c>
      <c r="D6386" t="s">
        <v>3693</v>
      </c>
      <c r="E6386">
        <v>6</v>
      </c>
      <c r="F6386" s="6">
        <v>750</v>
      </c>
      <c r="G6386" t="s">
        <v>3686</v>
      </c>
    </row>
    <row r="6387" spans="1:7">
      <c r="A6387" t="s">
        <v>13524</v>
      </c>
      <c r="B6387" t="s">
        <v>13525</v>
      </c>
      <c r="C6387" t="s">
        <v>4023</v>
      </c>
      <c r="D6387" t="s">
        <v>4024</v>
      </c>
      <c r="E6387">
        <v>6</v>
      </c>
      <c r="F6387" s="6">
        <v>750</v>
      </c>
      <c r="G6387" t="s">
        <v>9803</v>
      </c>
    </row>
    <row r="6388" spans="1:7">
      <c r="A6388" t="s">
        <v>13526</v>
      </c>
      <c r="B6388" t="s">
        <v>13527</v>
      </c>
      <c r="C6388" t="s">
        <v>3684</v>
      </c>
      <c r="D6388" t="s">
        <v>3685</v>
      </c>
      <c r="E6388">
        <v>6</v>
      </c>
      <c r="F6388" s="6">
        <v>1750</v>
      </c>
      <c r="G6388" t="s">
        <v>9803</v>
      </c>
    </row>
    <row r="6389" spans="1:7">
      <c r="A6389" t="s">
        <v>13528</v>
      </c>
      <c r="B6389" t="s">
        <v>13529</v>
      </c>
      <c r="C6389" t="s">
        <v>3692</v>
      </c>
      <c r="D6389" t="s">
        <v>3693</v>
      </c>
      <c r="E6389">
        <v>6</v>
      </c>
      <c r="F6389" s="6">
        <v>1750</v>
      </c>
      <c r="G6389" t="s">
        <v>3686</v>
      </c>
    </row>
    <row r="6390" spans="1:7">
      <c r="A6390" t="s">
        <v>13530</v>
      </c>
      <c r="B6390" t="s">
        <v>13531</v>
      </c>
      <c r="C6390" t="s">
        <v>3692</v>
      </c>
      <c r="D6390" t="s">
        <v>3693</v>
      </c>
      <c r="E6390">
        <v>12</v>
      </c>
      <c r="F6390" s="6">
        <v>1000</v>
      </c>
      <c r="G6390" t="s">
        <v>4073</v>
      </c>
    </row>
    <row r="6391" spans="1:7">
      <c r="A6391" t="s">
        <v>13532</v>
      </c>
      <c r="B6391" t="s">
        <v>13533</v>
      </c>
      <c r="C6391" t="s">
        <v>3977</v>
      </c>
      <c r="D6391" t="s">
        <v>3978</v>
      </c>
      <c r="E6391">
        <v>6</v>
      </c>
      <c r="F6391" s="6">
        <v>1750</v>
      </c>
      <c r="G6391" t="s">
        <v>9803</v>
      </c>
    </row>
    <row r="6392" spans="1:7">
      <c r="A6392" t="s">
        <v>13534</v>
      </c>
      <c r="B6392" t="s">
        <v>13535</v>
      </c>
      <c r="C6392" t="s">
        <v>3684</v>
      </c>
      <c r="D6392" t="s">
        <v>3685</v>
      </c>
      <c r="E6392">
        <v>6</v>
      </c>
      <c r="F6392" s="6">
        <v>1750</v>
      </c>
      <c r="G6392" t="s">
        <v>9803</v>
      </c>
    </row>
    <row r="6393" spans="1:7">
      <c r="A6393" t="s">
        <v>3220</v>
      </c>
      <c r="B6393" t="s">
        <v>13536</v>
      </c>
      <c r="C6393" t="s">
        <v>3692</v>
      </c>
      <c r="D6393" t="s">
        <v>3693</v>
      </c>
      <c r="E6393">
        <v>3</v>
      </c>
      <c r="F6393" s="6">
        <v>750</v>
      </c>
      <c r="G6393" t="s">
        <v>3689</v>
      </c>
    </row>
    <row r="6394" spans="1:7">
      <c r="A6394" t="s">
        <v>13537</v>
      </c>
      <c r="B6394" t="s">
        <v>13538</v>
      </c>
      <c r="C6394" t="s">
        <v>3692</v>
      </c>
      <c r="D6394" t="s">
        <v>3693</v>
      </c>
      <c r="E6394">
        <v>5</v>
      </c>
      <c r="F6394" s="6">
        <v>50</v>
      </c>
      <c r="G6394" t="s">
        <v>3694</v>
      </c>
    </row>
    <row r="6395" spans="1:7">
      <c r="A6395" t="s">
        <v>13539</v>
      </c>
      <c r="B6395" t="s">
        <v>13540</v>
      </c>
      <c r="C6395" t="s">
        <v>8664</v>
      </c>
      <c r="D6395" t="s">
        <v>8665</v>
      </c>
      <c r="E6395">
        <v>6</v>
      </c>
      <c r="F6395" s="6">
        <v>750</v>
      </c>
      <c r="G6395" t="s">
        <v>3681</v>
      </c>
    </row>
    <row r="6396" spans="1:7">
      <c r="A6396" t="s">
        <v>13541</v>
      </c>
      <c r="B6396" t="s">
        <v>13542</v>
      </c>
      <c r="C6396" t="s">
        <v>3692</v>
      </c>
      <c r="D6396" t="s">
        <v>3693</v>
      </c>
      <c r="E6396">
        <v>3</v>
      </c>
      <c r="F6396" s="6">
        <v>750</v>
      </c>
      <c r="G6396" t="s">
        <v>3694</v>
      </c>
    </row>
    <row r="6397" spans="1:7">
      <c r="A6397" t="s">
        <v>13543</v>
      </c>
      <c r="B6397" t="s">
        <v>13544</v>
      </c>
      <c r="C6397" t="s">
        <v>3692</v>
      </c>
      <c r="D6397" t="s">
        <v>3693</v>
      </c>
      <c r="E6397">
        <v>5</v>
      </c>
      <c r="F6397" s="6">
        <v>50</v>
      </c>
      <c r="G6397" t="s">
        <v>3694</v>
      </c>
    </row>
    <row r="6398" spans="1:7">
      <c r="A6398" t="s">
        <v>13545</v>
      </c>
      <c r="B6398" t="s">
        <v>13546</v>
      </c>
      <c r="C6398" t="s">
        <v>3692</v>
      </c>
      <c r="D6398" t="s">
        <v>3693</v>
      </c>
      <c r="E6398">
        <v>6</v>
      </c>
      <c r="F6398" s="6">
        <v>750</v>
      </c>
      <c r="G6398" t="s">
        <v>3698</v>
      </c>
    </row>
    <row r="6399" spans="1:7">
      <c r="A6399" t="s">
        <v>13547</v>
      </c>
      <c r="B6399" t="s">
        <v>9227</v>
      </c>
      <c r="C6399" t="s">
        <v>3692</v>
      </c>
      <c r="D6399" t="s">
        <v>3693</v>
      </c>
      <c r="E6399">
        <v>6</v>
      </c>
      <c r="F6399" s="6">
        <v>750</v>
      </c>
      <c r="G6399" t="s">
        <v>3735</v>
      </c>
    </row>
    <row r="6400" spans="1:7">
      <c r="A6400" t="s">
        <v>13548</v>
      </c>
      <c r="B6400" t="s">
        <v>13549</v>
      </c>
      <c r="C6400" t="s">
        <v>9319</v>
      </c>
      <c r="D6400" t="s">
        <v>9320</v>
      </c>
      <c r="E6400">
        <v>6</v>
      </c>
      <c r="F6400" s="6">
        <v>750</v>
      </c>
      <c r="G6400" t="s">
        <v>3681</v>
      </c>
    </row>
    <row r="6401" spans="1:7">
      <c r="A6401" t="s">
        <v>13550</v>
      </c>
      <c r="B6401" t="s">
        <v>13551</v>
      </c>
      <c r="C6401" t="s">
        <v>4190</v>
      </c>
      <c r="D6401" t="s">
        <v>4191</v>
      </c>
      <c r="E6401">
        <v>12</v>
      </c>
      <c r="F6401" s="6">
        <v>750</v>
      </c>
      <c r="G6401" t="s">
        <v>11799</v>
      </c>
    </row>
    <row r="6402" spans="1:7">
      <c r="A6402" t="s">
        <v>13552</v>
      </c>
      <c r="B6402" t="s">
        <v>13553</v>
      </c>
      <c r="C6402" t="s">
        <v>9319</v>
      </c>
      <c r="D6402" t="s">
        <v>9320</v>
      </c>
      <c r="E6402">
        <v>6</v>
      </c>
      <c r="F6402" s="6">
        <v>750</v>
      </c>
      <c r="G6402" t="s">
        <v>3689</v>
      </c>
    </row>
    <row r="6403" spans="1:7">
      <c r="A6403" t="s">
        <v>13554</v>
      </c>
      <c r="B6403" t="s">
        <v>13555</v>
      </c>
      <c r="C6403" t="s">
        <v>8664</v>
      </c>
      <c r="D6403" t="s">
        <v>8665</v>
      </c>
      <c r="E6403">
        <v>6</v>
      </c>
      <c r="F6403" s="6">
        <v>750</v>
      </c>
      <c r="G6403" t="s">
        <v>3802</v>
      </c>
    </row>
    <row r="6404" spans="1:7">
      <c r="A6404" t="s">
        <v>13556</v>
      </c>
      <c r="B6404" t="s">
        <v>13557</v>
      </c>
      <c r="C6404" t="s">
        <v>3692</v>
      </c>
      <c r="D6404" t="s">
        <v>3693</v>
      </c>
      <c r="E6404">
        <v>6</v>
      </c>
      <c r="F6404" s="6">
        <v>750</v>
      </c>
      <c r="G6404" t="s">
        <v>3802</v>
      </c>
    </row>
    <row r="6405" spans="1:7">
      <c r="A6405" t="s">
        <v>13558</v>
      </c>
      <c r="B6405" t="s">
        <v>13559</v>
      </c>
      <c r="C6405" t="s">
        <v>3692</v>
      </c>
      <c r="D6405" t="s">
        <v>3693</v>
      </c>
      <c r="E6405">
        <v>6</v>
      </c>
      <c r="F6405" s="6">
        <v>750</v>
      </c>
      <c r="G6405" t="s">
        <v>4419</v>
      </c>
    </row>
    <row r="6406" spans="1:7">
      <c r="A6406" t="s">
        <v>13560</v>
      </c>
      <c r="B6406" t="s">
        <v>13561</v>
      </c>
      <c r="C6406" t="s">
        <v>3692</v>
      </c>
      <c r="D6406" t="s">
        <v>3693</v>
      </c>
      <c r="E6406">
        <v>6</v>
      </c>
      <c r="F6406" s="6">
        <v>750</v>
      </c>
      <c r="G6406" t="s">
        <v>4419</v>
      </c>
    </row>
    <row r="6407" spans="1:7">
      <c r="A6407" t="s">
        <v>13562</v>
      </c>
      <c r="B6407" t="s">
        <v>13563</v>
      </c>
      <c r="C6407" t="s">
        <v>3692</v>
      </c>
      <c r="D6407" t="s">
        <v>3693</v>
      </c>
      <c r="E6407">
        <v>6</v>
      </c>
      <c r="F6407" s="6">
        <v>750</v>
      </c>
      <c r="G6407" t="s">
        <v>9659</v>
      </c>
    </row>
    <row r="6408" spans="1:7">
      <c r="A6408" t="s">
        <v>13564</v>
      </c>
      <c r="B6408" t="s">
        <v>13565</v>
      </c>
      <c r="C6408" t="s">
        <v>3692</v>
      </c>
      <c r="D6408" t="s">
        <v>3693</v>
      </c>
      <c r="E6408">
        <v>4</v>
      </c>
      <c r="F6408" s="6">
        <v>750</v>
      </c>
      <c r="G6408" t="s">
        <v>3705</v>
      </c>
    </row>
    <row r="6409" spans="1:7">
      <c r="A6409" t="s">
        <v>13566</v>
      </c>
      <c r="B6409" t="s">
        <v>13567</v>
      </c>
      <c r="C6409" t="s">
        <v>3692</v>
      </c>
      <c r="D6409" t="s">
        <v>3693</v>
      </c>
      <c r="E6409">
        <v>3</v>
      </c>
      <c r="F6409" s="6">
        <v>750</v>
      </c>
      <c r="G6409" t="s">
        <v>3705</v>
      </c>
    </row>
    <row r="6410" spans="1:7">
      <c r="A6410" t="s">
        <v>13568</v>
      </c>
      <c r="B6410" t="s">
        <v>13569</v>
      </c>
      <c r="C6410" t="s">
        <v>3692</v>
      </c>
      <c r="D6410" t="s">
        <v>3693</v>
      </c>
      <c r="E6410">
        <v>6</v>
      </c>
      <c r="F6410" s="6">
        <v>750</v>
      </c>
      <c r="G6410" t="s">
        <v>3702</v>
      </c>
    </row>
    <row r="6411" spans="1:7">
      <c r="A6411" t="s">
        <v>13570</v>
      </c>
      <c r="B6411" t="s">
        <v>13571</v>
      </c>
      <c r="C6411" t="s">
        <v>3692</v>
      </c>
      <c r="D6411" t="s">
        <v>3693</v>
      </c>
      <c r="E6411">
        <v>6</v>
      </c>
      <c r="F6411" s="6">
        <v>750</v>
      </c>
      <c r="G6411" t="s">
        <v>3702</v>
      </c>
    </row>
    <row r="6412" spans="1:7">
      <c r="A6412" t="s">
        <v>13572</v>
      </c>
      <c r="B6412" t="s">
        <v>13573</v>
      </c>
      <c r="C6412" t="s">
        <v>3692</v>
      </c>
      <c r="D6412" t="s">
        <v>3693</v>
      </c>
      <c r="E6412">
        <v>4</v>
      </c>
      <c r="F6412" s="6">
        <v>750</v>
      </c>
      <c r="G6412" t="s">
        <v>3686</v>
      </c>
    </row>
    <row r="6413" spans="1:7">
      <c r="A6413" t="s">
        <v>13574</v>
      </c>
      <c r="B6413" t="s">
        <v>13575</v>
      </c>
      <c r="C6413" t="s">
        <v>3692</v>
      </c>
      <c r="D6413" t="s">
        <v>3693</v>
      </c>
      <c r="E6413">
        <v>6</v>
      </c>
      <c r="F6413" s="6">
        <v>750</v>
      </c>
      <c r="G6413" t="s">
        <v>3702</v>
      </c>
    </row>
    <row r="6414" spans="1:7">
      <c r="A6414" t="s">
        <v>13576</v>
      </c>
      <c r="B6414" t="s">
        <v>13577</v>
      </c>
      <c r="C6414" t="s">
        <v>3928</v>
      </c>
      <c r="D6414" t="s">
        <v>3929</v>
      </c>
      <c r="E6414">
        <v>6</v>
      </c>
      <c r="F6414" s="6">
        <v>750</v>
      </c>
      <c r="G6414" t="s">
        <v>3689</v>
      </c>
    </row>
    <row r="6415" spans="1:7">
      <c r="A6415" t="s">
        <v>13578</v>
      </c>
      <c r="B6415" t="s">
        <v>13579</v>
      </c>
      <c r="C6415" t="s">
        <v>3692</v>
      </c>
      <c r="D6415" t="s">
        <v>3693</v>
      </c>
      <c r="E6415">
        <v>6</v>
      </c>
      <c r="F6415" s="6">
        <v>750</v>
      </c>
      <c r="G6415" t="s">
        <v>3702</v>
      </c>
    </row>
    <row r="6416" spans="1:7">
      <c r="A6416" t="s">
        <v>13580</v>
      </c>
      <c r="B6416" t="s">
        <v>13581</v>
      </c>
      <c r="C6416" t="s">
        <v>3692</v>
      </c>
      <c r="D6416" t="s">
        <v>3693</v>
      </c>
      <c r="E6416">
        <v>6</v>
      </c>
      <c r="F6416" s="6">
        <v>750</v>
      </c>
      <c r="G6416" t="s">
        <v>3686</v>
      </c>
    </row>
    <row r="6417" spans="1:7">
      <c r="A6417" t="s">
        <v>13582</v>
      </c>
      <c r="B6417" t="s">
        <v>13583</v>
      </c>
      <c r="C6417" t="s">
        <v>3692</v>
      </c>
      <c r="D6417" t="s">
        <v>3693</v>
      </c>
      <c r="E6417">
        <v>6</v>
      </c>
      <c r="F6417" s="6">
        <v>750</v>
      </c>
      <c r="G6417" t="s">
        <v>8748</v>
      </c>
    </row>
    <row r="6418" spans="1:7">
      <c r="A6418" t="s">
        <v>13584</v>
      </c>
      <c r="B6418" t="s">
        <v>13585</v>
      </c>
      <c r="C6418" t="s">
        <v>3692</v>
      </c>
      <c r="D6418" t="s">
        <v>3693</v>
      </c>
      <c r="E6418">
        <v>6</v>
      </c>
      <c r="F6418" s="6">
        <v>750</v>
      </c>
      <c r="G6418" t="s">
        <v>3931</v>
      </c>
    </row>
    <row r="6419" spans="1:7">
      <c r="A6419" t="s">
        <v>13586</v>
      </c>
      <c r="B6419" t="s">
        <v>9278</v>
      </c>
      <c r="C6419" t="s">
        <v>3692</v>
      </c>
      <c r="D6419" t="s">
        <v>3693</v>
      </c>
      <c r="E6419">
        <v>6</v>
      </c>
      <c r="F6419" s="6">
        <v>750</v>
      </c>
      <c r="G6419" t="s">
        <v>3802</v>
      </c>
    </row>
    <row r="6420" spans="1:7">
      <c r="A6420" t="s">
        <v>13587</v>
      </c>
      <c r="B6420" t="s">
        <v>13588</v>
      </c>
      <c r="C6420" t="s">
        <v>3692</v>
      </c>
      <c r="D6420" t="s">
        <v>3693</v>
      </c>
      <c r="E6420">
        <v>6</v>
      </c>
      <c r="F6420" s="6">
        <v>750</v>
      </c>
      <c r="G6420" t="s">
        <v>3705</v>
      </c>
    </row>
    <row r="6421" spans="1:7">
      <c r="A6421" t="s">
        <v>13589</v>
      </c>
      <c r="B6421" t="s">
        <v>13590</v>
      </c>
      <c r="C6421" t="s">
        <v>3692</v>
      </c>
      <c r="D6421" t="s">
        <v>3693</v>
      </c>
      <c r="E6421">
        <v>6</v>
      </c>
      <c r="F6421" s="6">
        <v>750</v>
      </c>
      <c r="G6421" t="s">
        <v>3705</v>
      </c>
    </row>
    <row r="6422" spans="1:7">
      <c r="A6422" t="s">
        <v>13591</v>
      </c>
      <c r="B6422" t="s">
        <v>13592</v>
      </c>
      <c r="C6422" t="s">
        <v>8664</v>
      </c>
      <c r="D6422" t="s">
        <v>8665</v>
      </c>
      <c r="E6422">
        <v>6</v>
      </c>
      <c r="F6422" s="6">
        <v>750</v>
      </c>
      <c r="G6422" t="s">
        <v>3681</v>
      </c>
    </row>
    <row r="6423" spans="1:7">
      <c r="A6423" t="s">
        <v>13593</v>
      </c>
      <c r="B6423" t="s">
        <v>9282</v>
      </c>
      <c r="C6423" t="s">
        <v>3692</v>
      </c>
      <c r="D6423" t="s">
        <v>3693</v>
      </c>
      <c r="E6423">
        <v>6</v>
      </c>
      <c r="F6423" s="6">
        <v>750</v>
      </c>
      <c r="G6423" t="s">
        <v>3802</v>
      </c>
    </row>
    <row r="6424" spans="1:7">
      <c r="A6424" t="s">
        <v>13594</v>
      </c>
      <c r="B6424" t="s">
        <v>13595</v>
      </c>
      <c r="C6424" t="s">
        <v>3692</v>
      </c>
      <c r="D6424" t="s">
        <v>3693</v>
      </c>
      <c r="E6424">
        <v>6</v>
      </c>
      <c r="F6424" s="6">
        <v>750</v>
      </c>
      <c r="G6424" t="s">
        <v>3802</v>
      </c>
    </row>
    <row r="6425" spans="1:7">
      <c r="A6425" t="s">
        <v>13596</v>
      </c>
      <c r="B6425" t="s">
        <v>9286</v>
      </c>
      <c r="C6425" t="s">
        <v>3692</v>
      </c>
      <c r="D6425" t="s">
        <v>3693</v>
      </c>
      <c r="E6425">
        <v>6</v>
      </c>
      <c r="F6425" s="6">
        <v>750</v>
      </c>
      <c r="G6425" t="s">
        <v>3802</v>
      </c>
    </row>
    <row r="6426" spans="1:7">
      <c r="A6426" t="s">
        <v>13597</v>
      </c>
      <c r="B6426" t="s">
        <v>13598</v>
      </c>
      <c r="C6426" t="s">
        <v>3692</v>
      </c>
      <c r="D6426" t="s">
        <v>3693</v>
      </c>
      <c r="E6426">
        <v>6</v>
      </c>
      <c r="F6426" s="6">
        <v>750</v>
      </c>
      <c r="G6426" t="s">
        <v>4358</v>
      </c>
    </row>
    <row r="6427" spans="1:7">
      <c r="A6427" t="s">
        <v>13599</v>
      </c>
      <c r="B6427" t="s">
        <v>13600</v>
      </c>
      <c r="C6427" t="s">
        <v>3692</v>
      </c>
      <c r="D6427" t="s">
        <v>3693</v>
      </c>
      <c r="E6427">
        <v>6</v>
      </c>
      <c r="F6427" s="6">
        <v>750</v>
      </c>
      <c r="G6427" t="s">
        <v>3689</v>
      </c>
    </row>
    <row r="6428" spans="1:7">
      <c r="A6428" t="s">
        <v>13601</v>
      </c>
      <c r="B6428" t="s">
        <v>9302</v>
      </c>
      <c r="C6428" t="s">
        <v>3692</v>
      </c>
      <c r="D6428" t="s">
        <v>3693</v>
      </c>
      <c r="E6428">
        <v>6</v>
      </c>
      <c r="F6428" s="6">
        <v>750</v>
      </c>
      <c r="G6428" t="s">
        <v>3888</v>
      </c>
    </row>
    <row r="6429" spans="1:7">
      <c r="A6429" t="s">
        <v>13602</v>
      </c>
      <c r="B6429" t="s">
        <v>13603</v>
      </c>
      <c r="C6429" t="s">
        <v>3692</v>
      </c>
      <c r="D6429" t="s">
        <v>3693</v>
      </c>
      <c r="E6429">
        <v>6</v>
      </c>
      <c r="F6429" s="6">
        <v>750</v>
      </c>
      <c r="G6429" t="s">
        <v>13604</v>
      </c>
    </row>
    <row r="6430" spans="1:7">
      <c r="A6430" t="s">
        <v>13605</v>
      </c>
      <c r="B6430" t="s">
        <v>13606</v>
      </c>
      <c r="C6430" t="s">
        <v>3692</v>
      </c>
      <c r="D6430" t="s">
        <v>3693</v>
      </c>
      <c r="E6430">
        <v>6</v>
      </c>
      <c r="F6430" s="6">
        <v>700</v>
      </c>
      <c r="G6430" t="s">
        <v>3686</v>
      </c>
    </row>
    <row r="6431" spans="1:7">
      <c r="A6431" t="s">
        <v>13607</v>
      </c>
      <c r="B6431" t="s">
        <v>13608</v>
      </c>
      <c r="C6431" t="s">
        <v>3692</v>
      </c>
      <c r="D6431" t="s">
        <v>3693</v>
      </c>
      <c r="E6431">
        <v>6</v>
      </c>
      <c r="F6431" s="6">
        <v>700</v>
      </c>
      <c r="G6431" t="s">
        <v>3686</v>
      </c>
    </row>
    <row r="6432" spans="1:7">
      <c r="A6432" t="s">
        <v>391</v>
      </c>
      <c r="B6432" t="s">
        <v>13609</v>
      </c>
      <c r="C6432" t="s">
        <v>3692</v>
      </c>
      <c r="D6432" t="s">
        <v>3693</v>
      </c>
      <c r="E6432">
        <v>6</v>
      </c>
      <c r="F6432" s="6">
        <v>700</v>
      </c>
      <c r="G6432" t="s">
        <v>3686</v>
      </c>
    </row>
    <row r="6433" spans="1:7">
      <c r="A6433" t="s">
        <v>13610</v>
      </c>
      <c r="B6433" t="s">
        <v>13611</v>
      </c>
      <c r="C6433" t="s">
        <v>5653</v>
      </c>
      <c r="D6433" t="s">
        <v>5654</v>
      </c>
      <c r="E6433">
        <v>6</v>
      </c>
      <c r="F6433" s="6">
        <v>750</v>
      </c>
      <c r="G6433" t="s">
        <v>5788</v>
      </c>
    </row>
    <row r="6434" spans="1:7">
      <c r="A6434" t="s">
        <v>13612</v>
      </c>
      <c r="B6434" t="s">
        <v>13613</v>
      </c>
      <c r="C6434" t="s">
        <v>4190</v>
      </c>
      <c r="D6434" t="s">
        <v>4191</v>
      </c>
      <c r="E6434">
        <v>6</v>
      </c>
      <c r="F6434" s="6">
        <v>750</v>
      </c>
      <c r="G6434" t="s">
        <v>11597</v>
      </c>
    </row>
    <row r="6435" spans="1:7">
      <c r="A6435" t="s">
        <v>13614</v>
      </c>
      <c r="B6435" t="s">
        <v>13615</v>
      </c>
      <c r="C6435" t="s">
        <v>4170</v>
      </c>
      <c r="D6435" t="s">
        <v>4171</v>
      </c>
      <c r="E6435">
        <v>12</v>
      </c>
      <c r="F6435" s="6">
        <v>750</v>
      </c>
      <c r="G6435" t="s">
        <v>13616</v>
      </c>
    </row>
    <row r="6436" spans="1:7">
      <c r="A6436" t="s">
        <v>13617</v>
      </c>
      <c r="B6436" t="s">
        <v>13618</v>
      </c>
      <c r="C6436" t="s">
        <v>3977</v>
      </c>
      <c r="D6436" t="s">
        <v>3978</v>
      </c>
      <c r="E6436">
        <v>1</v>
      </c>
      <c r="F6436" s="6">
        <v>50</v>
      </c>
      <c r="G6436" t="s">
        <v>3851</v>
      </c>
    </row>
    <row r="6437" spans="1:7">
      <c r="A6437" t="s">
        <v>13619</v>
      </c>
      <c r="B6437" t="s">
        <v>13620</v>
      </c>
      <c r="C6437" t="s">
        <v>6451</v>
      </c>
      <c r="D6437" t="s">
        <v>6452</v>
      </c>
      <c r="E6437">
        <v>12</v>
      </c>
      <c r="F6437" s="6">
        <v>750</v>
      </c>
      <c r="G6437" t="s">
        <v>11799</v>
      </c>
    </row>
    <row r="6438" spans="1:7">
      <c r="A6438" t="s">
        <v>13621</v>
      </c>
      <c r="B6438" t="s">
        <v>13622</v>
      </c>
      <c r="C6438" t="s">
        <v>6442</v>
      </c>
      <c r="D6438" t="s">
        <v>6443</v>
      </c>
      <c r="E6438">
        <v>6</v>
      </c>
      <c r="F6438" s="6">
        <v>750</v>
      </c>
      <c r="G6438" t="s">
        <v>13623</v>
      </c>
    </row>
    <row r="6439" spans="1:7">
      <c r="A6439" t="s">
        <v>13624</v>
      </c>
      <c r="B6439" t="s">
        <v>13625</v>
      </c>
      <c r="C6439" t="s">
        <v>4084</v>
      </c>
      <c r="D6439" t="s">
        <v>4085</v>
      </c>
      <c r="E6439">
        <v>6</v>
      </c>
      <c r="F6439" s="6">
        <v>750</v>
      </c>
      <c r="G6439" t="s">
        <v>3713</v>
      </c>
    </row>
    <row r="6440" spans="1:7">
      <c r="A6440" t="s">
        <v>13626</v>
      </c>
      <c r="B6440" t="s">
        <v>13627</v>
      </c>
      <c r="C6440" t="s">
        <v>4084</v>
      </c>
      <c r="D6440" t="s">
        <v>4085</v>
      </c>
      <c r="E6440">
        <v>6</v>
      </c>
      <c r="F6440" s="6">
        <v>750</v>
      </c>
      <c r="G6440" t="s">
        <v>3705</v>
      </c>
    </row>
    <row r="6441" spans="1:7">
      <c r="A6441" t="s">
        <v>13628</v>
      </c>
      <c r="B6441" t="s">
        <v>13629</v>
      </c>
      <c r="C6441" t="s">
        <v>3928</v>
      </c>
      <c r="D6441" t="s">
        <v>3929</v>
      </c>
      <c r="E6441">
        <v>12</v>
      </c>
      <c r="F6441" s="6">
        <v>750</v>
      </c>
      <c r="G6441" t="s">
        <v>10900</v>
      </c>
    </row>
    <row r="6442" spans="1:7">
      <c r="A6442" t="s">
        <v>13630</v>
      </c>
      <c r="B6442" t="s">
        <v>13631</v>
      </c>
      <c r="C6442" t="s">
        <v>3928</v>
      </c>
      <c r="D6442" t="s">
        <v>3929</v>
      </c>
      <c r="E6442">
        <v>6</v>
      </c>
      <c r="F6442" s="6">
        <v>750</v>
      </c>
      <c r="G6442" t="s">
        <v>3686</v>
      </c>
    </row>
    <row r="6443" spans="1:7">
      <c r="A6443" t="s">
        <v>13632</v>
      </c>
      <c r="B6443" t="s">
        <v>13633</v>
      </c>
      <c r="C6443" t="s">
        <v>4452</v>
      </c>
      <c r="D6443" t="s">
        <v>4453</v>
      </c>
      <c r="E6443">
        <v>12</v>
      </c>
      <c r="F6443" s="6">
        <v>750</v>
      </c>
      <c r="G6443" t="s">
        <v>3730</v>
      </c>
    </row>
    <row r="6444" spans="1:7">
      <c r="A6444" t="s">
        <v>13634</v>
      </c>
      <c r="B6444" t="s">
        <v>13635</v>
      </c>
      <c r="C6444" t="s">
        <v>4071</v>
      </c>
      <c r="D6444" t="s">
        <v>4072</v>
      </c>
      <c r="E6444">
        <v>10</v>
      </c>
      <c r="F6444" s="6">
        <v>50</v>
      </c>
      <c r="G6444" t="s">
        <v>3686</v>
      </c>
    </row>
    <row r="6445" spans="1:7">
      <c r="A6445" t="s">
        <v>13636</v>
      </c>
      <c r="B6445" t="s">
        <v>13637</v>
      </c>
      <c r="C6445" t="s">
        <v>3684</v>
      </c>
      <c r="D6445" t="s">
        <v>3685</v>
      </c>
      <c r="E6445">
        <v>1</v>
      </c>
      <c r="F6445" s="6">
        <v>750</v>
      </c>
      <c r="G6445" t="s">
        <v>3686</v>
      </c>
    </row>
    <row r="6446" spans="1:7">
      <c r="A6446" t="s">
        <v>13638</v>
      </c>
      <c r="B6446" t="s">
        <v>13639</v>
      </c>
      <c r="C6446" t="s">
        <v>3684</v>
      </c>
      <c r="D6446" t="s">
        <v>3685</v>
      </c>
      <c r="E6446">
        <v>1</v>
      </c>
      <c r="F6446" s="6">
        <v>750</v>
      </c>
      <c r="G6446" t="s">
        <v>3686</v>
      </c>
    </row>
    <row r="6447" spans="1:7">
      <c r="A6447" t="s">
        <v>13640</v>
      </c>
      <c r="B6447" t="s">
        <v>13641</v>
      </c>
      <c r="C6447" t="s">
        <v>3684</v>
      </c>
      <c r="D6447" t="s">
        <v>3685</v>
      </c>
      <c r="E6447">
        <v>1</v>
      </c>
      <c r="F6447" s="6">
        <v>800</v>
      </c>
      <c r="G6447" t="s">
        <v>9803</v>
      </c>
    </row>
    <row r="6448" spans="1:7">
      <c r="A6448" t="s">
        <v>13642</v>
      </c>
      <c r="B6448" t="s">
        <v>13643</v>
      </c>
      <c r="C6448" t="s">
        <v>3684</v>
      </c>
      <c r="D6448" t="s">
        <v>3685</v>
      </c>
      <c r="E6448">
        <v>1</v>
      </c>
      <c r="F6448" s="6">
        <v>750</v>
      </c>
      <c r="G6448" t="s">
        <v>3686</v>
      </c>
    </row>
    <row r="6449" spans="1:7">
      <c r="A6449" t="s">
        <v>13644</v>
      </c>
      <c r="B6449" t="s">
        <v>13645</v>
      </c>
      <c r="C6449" t="s">
        <v>4190</v>
      </c>
      <c r="D6449" t="s">
        <v>4191</v>
      </c>
      <c r="E6449">
        <v>6</v>
      </c>
      <c r="F6449" s="6">
        <v>750</v>
      </c>
      <c r="G6449" t="s">
        <v>12268</v>
      </c>
    </row>
    <row r="6450" spans="1:7">
      <c r="A6450" t="s">
        <v>13646</v>
      </c>
      <c r="B6450" t="s">
        <v>13647</v>
      </c>
      <c r="C6450" t="s">
        <v>4452</v>
      </c>
      <c r="D6450" t="s">
        <v>4453</v>
      </c>
      <c r="E6450">
        <v>3</v>
      </c>
      <c r="F6450" s="6">
        <v>750</v>
      </c>
      <c r="G6450" t="s">
        <v>3686</v>
      </c>
    </row>
    <row r="6451" spans="1:7">
      <c r="A6451" t="s">
        <v>13648</v>
      </c>
      <c r="B6451" t="s">
        <v>13649</v>
      </c>
      <c r="C6451" t="s">
        <v>6451</v>
      </c>
      <c r="D6451" t="s">
        <v>6452</v>
      </c>
      <c r="E6451">
        <v>6</v>
      </c>
      <c r="F6451" s="6">
        <v>750</v>
      </c>
      <c r="G6451" t="s">
        <v>4117</v>
      </c>
    </row>
    <row r="6452" spans="1:7">
      <c r="A6452" t="s">
        <v>13650</v>
      </c>
      <c r="B6452" t="s">
        <v>13651</v>
      </c>
      <c r="C6452" t="s">
        <v>4084</v>
      </c>
      <c r="D6452" t="s">
        <v>4085</v>
      </c>
      <c r="E6452">
        <v>6</v>
      </c>
      <c r="F6452" s="6">
        <v>750</v>
      </c>
      <c r="G6452" t="s">
        <v>3681</v>
      </c>
    </row>
    <row r="6453" spans="1:7">
      <c r="A6453" t="s">
        <v>13652</v>
      </c>
      <c r="B6453" t="s">
        <v>13653</v>
      </c>
      <c r="C6453" t="s">
        <v>4084</v>
      </c>
      <c r="D6453" t="s">
        <v>4085</v>
      </c>
      <c r="E6453">
        <v>6</v>
      </c>
      <c r="F6453" s="6">
        <v>750</v>
      </c>
      <c r="G6453" t="s">
        <v>3716</v>
      </c>
    </row>
    <row r="6454" spans="1:7">
      <c r="A6454" t="s">
        <v>13654</v>
      </c>
      <c r="B6454" t="s">
        <v>11912</v>
      </c>
      <c r="C6454" t="s">
        <v>4023</v>
      </c>
      <c r="D6454" t="s">
        <v>4024</v>
      </c>
      <c r="E6454">
        <v>6</v>
      </c>
      <c r="F6454" s="6">
        <v>750</v>
      </c>
      <c r="G6454" t="s">
        <v>10131</v>
      </c>
    </row>
    <row r="6455" spans="1:7">
      <c r="A6455" t="s">
        <v>13655</v>
      </c>
      <c r="B6455" t="s">
        <v>13656</v>
      </c>
      <c r="C6455" t="s">
        <v>3700</v>
      </c>
      <c r="D6455" t="s">
        <v>3701</v>
      </c>
      <c r="E6455">
        <v>12</v>
      </c>
      <c r="F6455" s="6">
        <v>1000</v>
      </c>
      <c r="G6455" t="s">
        <v>9335</v>
      </c>
    </row>
    <row r="6456" spans="1:7">
      <c r="A6456" t="s">
        <v>13657</v>
      </c>
      <c r="B6456" t="s">
        <v>13658</v>
      </c>
      <c r="C6456" t="s">
        <v>4084</v>
      </c>
      <c r="D6456" t="s">
        <v>4085</v>
      </c>
      <c r="E6456">
        <v>6</v>
      </c>
      <c r="F6456" s="6">
        <v>750</v>
      </c>
      <c r="G6456" t="s">
        <v>3681</v>
      </c>
    </row>
    <row r="6457" spans="1:7">
      <c r="A6457" t="s">
        <v>13659</v>
      </c>
      <c r="B6457" t="s">
        <v>13660</v>
      </c>
      <c r="C6457" t="s">
        <v>4084</v>
      </c>
      <c r="D6457" t="s">
        <v>4085</v>
      </c>
      <c r="E6457">
        <v>6</v>
      </c>
      <c r="F6457" s="6">
        <v>700</v>
      </c>
      <c r="G6457" t="s">
        <v>3713</v>
      </c>
    </row>
    <row r="6458" spans="1:7">
      <c r="A6458" t="s">
        <v>13661</v>
      </c>
      <c r="B6458" t="s">
        <v>6433</v>
      </c>
      <c r="C6458" t="s">
        <v>3684</v>
      </c>
      <c r="D6458" t="s">
        <v>3685</v>
      </c>
      <c r="E6458">
        <v>12</v>
      </c>
      <c r="F6458" s="6">
        <v>750</v>
      </c>
      <c r="G6458" t="s">
        <v>3681</v>
      </c>
    </row>
    <row r="6459" spans="1:7">
      <c r="A6459" t="s">
        <v>13662</v>
      </c>
      <c r="B6459" t="s">
        <v>13663</v>
      </c>
      <c r="C6459" t="s">
        <v>3684</v>
      </c>
      <c r="D6459" t="s">
        <v>3685</v>
      </c>
      <c r="E6459">
        <v>6</v>
      </c>
      <c r="F6459" s="6">
        <v>750</v>
      </c>
      <c r="G6459" t="s">
        <v>3681</v>
      </c>
    </row>
    <row r="6460" spans="1:7">
      <c r="A6460" t="s">
        <v>13664</v>
      </c>
      <c r="B6460" t="s">
        <v>13665</v>
      </c>
      <c r="C6460" t="s">
        <v>4084</v>
      </c>
      <c r="D6460" t="s">
        <v>4085</v>
      </c>
      <c r="E6460">
        <v>6</v>
      </c>
      <c r="F6460" s="6">
        <v>750</v>
      </c>
      <c r="G6460" t="s">
        <v>5698</v>
      </c>
    </row>
    <row r="6461" spans="1:7">
      <c r="A6461" t="s">
        <v>13666</v>
      </c>
      <c r="B6461" t="s">
        <v>13667</v>
      </c>
      <c r="C6461" t="s">
        <v>4084</v>
      </c>
      <c r="D6461" t="s">
        <v>4085</v>
      </c>
      <c r="E6461">
        <v>6</v>
      </c>
      <c r="F6461" s="6">
        <v>750</v>
      </c>
      <c r="G6461" t="s">
        <v>5698</v>
      </c>
    </row>
    <row r="6462" spans="1:7">
      <c r="A6462" t="s">
        <v>13668</v>
      </c>
      <c r="B6462" t="s">
        <v>13669</v>
      </c>
      <c r="C6462" t="s">
        <v>4084</v>
      </c>
      <c r="D6462" t="s">
        <v>4085</v>
      </c>
      <c r="E6462">
        <v>6</v>
      </c>
      <c r="F6462" s="6">
        <v>750</v>
      </c>
      <c r="G6462" t="s">
        <v>5698</v>
      </c>
    </row>
    <row r="6463" spans="1:7">
      <c r="A6463" t="s">
        <v>13670</v>
      </c>
      <c r="B6463" t="s">
        <v>13671</v>
      </c>
      <c r="C6463" t="s">
        <v>4084</v>
      </c>
      <c r="D6463" t="s">
        <v>4085</v>
      </c>
      <c r="E6463">
        <v>6</v>
      </c>
      <c r="F6463" s="6">
        <v>700</v>
      </c>
      <c r="G6463" t="s">
        <v>3694</v>
      </c>
    </row>
    <row r="6464" spans="1:7">
      <c r="A6464" t="s">
        <v>13672</v>
      </c>
      <c r="B6464" t="s">
        <v>13673</v>
      </c>
      <c r="C6464" t="s">
        <v>4084</v>
      </c>
      <c r="D6464" t="s">
        <v>4085</v>
      </c>
      <c r="E6464">
        <v>4</v>
      </c>
      <c r="F6464" s="6">
        <v>700</v>
      </c>
      <c r="G6464" t="s">
        <v>3694</v>
      </c>
    </row>
    <row r="6465" spans="1:7">
      <c r="A6465" t="s">
        <v>13674</v>
      </c>
      <c r="B6465" t="s">
        <v>13675</v>
      </c>
      <c r="C6465" t="s">
        <v>4084</v>
      </c>
      <c r="D6465" t="s">
        <v>4085</v>
      </c>
      <c r="E6465">
        <v>3</v>
      </c>
      <c r="F6465" s="6">
        <v>750</v>
      </c>
      <c r="G6465" t="s">
        <v>4419</v>
      </c>
    </row>
    <row r="6466" spans="1:7">
      <c r="A6466" t="s">
        <v>13676</v>
      </c>
      <c r="B6466" t="s">
        <v>13677</v>
      </c>
      <c r="C6466" t="s">
        <v>3692</v>
      </c>
      <c r="D6466" t="s">
        <v>3693</v>
      </c>
      <c r="E6466">
        <v>6</v>
      </c>
      <c r="F6466" s="6">
        <v>750</v>
      </c>
      <c r="G6466" t="s">
        <v>3987</v>
      </c>
    </row>
    <row r="6467" spans="1:7">
      <c r="A6467" t="s">
        <v>13678</v>
      </c>
      <c r="B6467" t="s">
        <v>13679</v>
      </c>
      <c r="C6467" t="s">
        <v>4084</v>
      </c>
      <c r="D6467" t="s">
        <v>4085</v>
      </c>
      <c r="E6467">
        <v>6</v>
      </c>
      <c r="F6467" s="6">
        <v>750</v>
      </c>
      <c r="G6467" t="s">
        <v>3694</v>
      </c>
    </row>
    <row r="6468" spans="1:7">
      <c r="A6468" t="s">
        <v>13680</v>
      </c>
      <c r="B6468" t="s">
        <v>13681</v>
      </c>
      <c r="C6468" t="s">
        <v>4084</v>
      </c>
      <c r="D6468" t="s">
        <v>4085</v>
      </c>
      <c r="E6468">
        <v>6</v>
      </c>
      <c r="F6468" s="6">
        <v>750</v>
      </c>
      <c r="G6468" t="s">
        <v>3694</v>
      </c>
    </row>
    <row r="6469" spans="1:7">
      <c r="A6469" t="s">
        <v>13682</v>
      </c>
      <c r="B6469" t="s">
        <v>13683</v>
      </c>
      <c r="C6469" t="s">
        <v>4084</v>
      </c>
      <c r="D6469" t="s">
        <v>4085</v>
      </c>
      <c r="E6469">
        <v>6</v>
      </c>
      <c r="F6469" s="6">
        <v>750</v>
      </c>
      <c r="G6469" t="s">
        <v>3694</v>
      </c>
    </row>
    <row r="6470" spans="1:7">
      <c r="A6470" t="s">
        <v>13684</v>
      </c>
      <c r="B6470" t="s">
        <v>13685</v>
      </c>
      <c r="C6470" t="s">
        <v>4084</v>
      </c>
      <c r="D6470" t="s">
        <v>4085</v>
      </c>
      <c r="E6470">
        <v>6</v>
      </c>
      <c r="F6470" s="6">
        <v>750</v>
      </c>
      <c r="G6470" t="s">
        <v>4419</v>
      </c>
    </row>
    <row r="6471" spans="1:7">
      <c r="A6471" t="s">
        <v>13686</v>
      </c>
      <c r="B6471" t="s">
        <v>13687</v>
      </c>
      <c r="C6471" t="s">
        <v>3684</v>
      </c>
      <c r="D6471" t="s">
        <v>3685</v>
      </c>
      <c r="E6471">
        <v>6</v>
      </c>
      <c r="F6471" s="6">
        <v>750</v>
      </c>
      <c r="G6471" t="s">
        <v>3702</v>
      </c>
    </row>
    <row r="6472" spans="1:7">
      <c r="A6472" t="s">
        <v>13688</v>
      </c>
      <c r="B6472" t="s">
        <v>13689</v>
      </c>
      <c r="C6472" t="s">
        <v>3684</v>
      </c>
      <c r="D6472" t="s">
        <v>3685</v>
      </c>
      <c r="E6472">
        <v>6</v>
      </c>
      <c r="F6472" s="6">
        <v>750</v>
      </c>
      <c r="G6472" t="s">
        <v>3702</v>
      </c>
    </row>
    <row r="6473" spans="1:7">
      <c r="A6473" t="s">
        <v>13690</v>
      </c>
      <c r="B6473" t="s">
        <v>13691</v>
      </c>
      <c r="C6473" t="s">
        <v>4084</v>
      </c>
      <c r="D6473" t="s">
        <v>4085</v>
      </c>
      <c r="E6473">
        <v>6</v>
      </c>
      <c r="F6473" s="6">
        <v>750</v>
      </c>
      <c r="G6473" t="s">
        <v>3730</v>
      </c>
    </row>
    <row r="6474" spans="1:7">
      <c r="A6474" t="s">
        <v>13692</v>
      </c>
      <c r="B6474" t="s">
        <v>13693</v>
      </c>
      <c r="C6474" t="s">
        <v>4084</v>
      </c>
      <c r="D6474" t="s">
        <v>4085</v>
      </c>
      <c r="E6474">
        <v>6</v>
      </c>
      <c r="F6474" s="6">
        <v>750</v>
      </c>
      <c r="G6474" t="s">
        <v>3694</v>
      </c>
    </row>
    <row r="6475" spans="1:7">
      <c r="A6475" t="s">
        <v>13694</v>
      </c>
      <c r="B6475" t="s">
        <v>13695</v>
      </c>
      <c r="C6475" t="s">
        <v>3684</v>
      </c>
      <c r="D6475" t="s">
        <v>3685</v>
      </c>
      <c r="E6475">
        <v>6</v>
      </c>
      <c r="F6475" s="6">
        <v>700</v>
      </c>
      <c r="G6475" t="s">
        <v>3802</v>
      </c>
    </row>
    <row r="6476" spans="1:7">
      <c r="A6476" t="s">
        <v>13696</v>
      </c>
      <c r="B6476" t="s">
        <v>13697</v>
      </c>
      <c r="C6476" t="s">
        <v>4084</v>
      </c>
      <c r="D6476" t="s">
        <v>4085</v>
      </c>
      <c r="E6476">
        <v>6</v>
      </c>
      <c r="F6476" s="6">
        <v>750</v>
      </c>
      <c r="G6476" t="s">
        <v>3763</v>
      </c>
    </row>
    <row r="6477" spans="1:7">
      <c r="A6477" t="s">
        <v>13698</v>
      </c>
      <c r="B6477" t="s">
        <v>6649</v>
      </c>
      <c r="C6477" t="s">
        <v>3684</v>
      </c>
      <c r="D6477" t="s">
        <v>3685</v>
      </c>
      <c r="E6477">
        <v>24</v>
      </c>
      <c r="F6477" s="6">
        <v>375</v>
      </c>
      <c r="G6477" t="s">
        <v>3730</v>
      </c>
    </row>
    <row r="6478" spans="1:7">
      <c r="A6478" t="s">
        <v>13699</v>
      </c>
      <c r="B6478" t="s">
        <v>13700</v>
      </c>
      <c r="C6478" t="s">
        <v>4084</v>
      </c>
      <c r="D6478" t="s">
        <v>4085</v>
      </c>
      <c r="E6478">
        <v>6</v>
      </c>
      <c r="F6478" s="6">
        <v>750</v>
      </c>
      <c r="G6478" t="s">
        <v>5701</v>
      </c>
    </row>
    <row r="6479" spans="1:7">
      <c r="A6479" t="s">
        <v>13701</v>
      </c>
      <c r="B6479" t="s">
        <v>13702</v>
      </c>
      <c r="C6479" t="s">
        <v>3684</v>
      </c>
      <c r="D6479" t="s">
        <v>3685</v>
      </c>
      <c r="E6479">
        <v>6</v>
      </c>
      <c r="F6479" s="6">
        <v>750</v>
      </c>
      <c r="G6479" t="s">
        <v>5698</v>
      </c>
    </row>
    <row r="6480" spans="1:7">
      <c r="A6480" t="s">
        <v>13703</v>
      </c>
      <c r="B6480" t="s">
        <v>13704</v>
      </c>
      <c r="C6480" t="s">
        <v>4084</v>
      </c>
      <c r="D6480" t="s">
        <v>4085</v>
      </c>
      <c r="E6480">
        <v>6</v>
      </c>
      <c r="F6480" s="6">
        <v>750</v>
      </c>
      <c r="G6480" t="s">
        <v>5698</v>
      </c>
    </row>
    <row r="6481" spans="1:7">
      <c r="A6481" t="s">
        <v>1195</v>
      </c>
      <c r="B6481" t="s">
        <v>13705</v>
      </c>
      <c r="C6481" t="s">
        <v>4084</v>
      </c>
      <c r="D6481" t="s">
        <v>4085</v>
      </c>
      <c r="E6481">
        <v>6</v>
      </c>
      <c r="F6481" s="6">
        <v>750</v>
      </c>
      <c r="G6481" t="s">
        <v>5698</v>
      </c>
    </row>
    <row r="6482" spans="1:7">
      <c r="A6482" t="s">
        <v>13706</v>
      </c>
      <c r="B6482" t="s">
        <v>13707</v>
      </c>
      <c r="C6482" t="s">
        <v>4071</v>
      </c>
      <c r="D6482" t="s">
        <v>4072</v>
      </c>
      <c r="E6482">
        <v>6</v>
      </c>
      <c r="F6482" s="6">
        <v>750</v>
      </c>
      <c r="G6482" t="s">
        <v>6056</v>
      </c>
    </row>
    <row r="6483" spans="1:7">
      <c r="A6483" t="s">
        <v>13708</v>
      </c>
      <c r="B6483" t="s">
        <v>13709</v>
      </c>
      <c r="C6483" t="s">
        <v>3684</v>
      </c>
      <c r="D6483" t="s">
        <v>3685</v>
      </c>
      <c r="E6483">
        <v>3</v>
      </c>
      <c r="F6483" s="6">
        <v>750</v>
      </c>
      <c r="G6483" t="s">
        <v>3681</v>
      </c>
    </row>
    <row r="6484" spans="1:7">
      <c r="A6484" t="s">
        <v>13710</v>
      </c>
      <c r="B6484" t="s">
        <v>13711</v>
      </c>
      <c r="C6484" t="s">
        <v>4190</v>
      </c>
      <c r="D6484" t="s">
        <v>4191</v>
      </c>
      <c r="E6484">
        <v>12</v>
      </c>
      <c r="F6484" s="6">
        <v>750</v>
      </c>
      <c r="G6484" t="s">
        <v>9774</v>
      </c>
    </row>
    <row r="6485" spans="1:7">
      <c r="A6485" t="s">
        <v>13712</v>
      </c>
      <c r="B6485" t="s">
        <v>13713</v>
      </c>
      <c r="C6485" t="s">
        <v>4084</v>
      </c>
      <c r="D6485" t="s">
        <v>4085</v>
      </c>
      <c r="E6485">
        <v>6</v>
      </c>
      <c r="F6485" s="6">
        <v>750</v>
      </c>
      <c r="G6485" t="s">
        <v>3730</v>
      </c>
    </row>
    <row r="6486" spans="1:7">
      <c r="A6486" t="s">
        <v>13714</v>
      </c>
      <c r="B6486" t="s">
        <v>6707</v>
      </c>
      <c r="C6486" t="s">
        <v>3684</v>
      </c>
      <c r="D6486" t="s">
        <v>3685</v>
      </c>
      <c r="E6486">
        <v>12</v>
      </c>
      <c r="F6486" s="6">
        <v>1000</v>
      </c>
      <c r="G6486" t="s">
        <v>3686</v>
      </c>
    </row>
    <row r="6487" spans="1:7">
      <c r="A6487" t="s">
        <v>13715</v>
      </c>
      <c r="B6487" t="s">
        <v>13716</v>
      </c>
      <c r="C6487" t="s">
        <v>4084</v>
      </c>
      <c r="D6487" t="s">
        <v>4085</v>
      </c>
      <c r="E6487">
        <v>1</v>
      </c>
      <c r="F6487" s="6">
        <v>750</v>
      </c>
      <c r="G6487" t="s">
        <v>3763</v>
      </c>
    </row>
    <row r="6488" spans="1:7">
      <c r="A6488" t="s">
        <v>13717</v>
      </c>
      <c r="B6488" t="s">
        <v>13718</v>
      </c>
      <c r="C6488" t="s">
        <v>4084</v>
      </c>
      <c r="D6488" t="s">
        <v>4085</v>
      </c>
      <c r="E6488">
        <v>1</v>
      </c>
      <c r="F6488" s="6">
        <v>750</v>
      </c>
      <c r="G6488" t="s">
        <v>3763</v>
      </c>
    </row>
    <row r="6489" spans="1:7">
      <c r="A6489" t="s">
        <v>13719</v>
      </c>
      <c r="B6489" t="s">
        <v>13720</v>
      </c>
      <c r="C6489" t="s">
        <v>3928</v>
      </c>
      <c r="D6489" t="s">
        <v>3929</v>
      </c>
      <c r="E6489">
        <v>6</v>
      </c>
      <c r="F6489" s="6">
        <v>750</v>
      </c>
      <c r="G6489" t="s">
        <v>5215</v>
      </c>
    </row>
    <row r="6490" spans="1:7">
      <c r="A6490" t="s">
        <v>13721</v>
      </c>
      <c r="B6490" t="s">
        <v>13722</v>
      </c>
      <c r="C6490" t="s">
        <v>4244</v>
      </c>
      <c r="D6490" t="s">
        <v>4245</v>
      </c>
      <c r="E6490">
        <v>6</v>
      </c>
      <c r="F6490" s="6">
        <v>750</v>
      </c>
      <c r="G6490" t="s">
        <v>5215</v>
      </c>
    </row>
    <row r="6491" spans="1:7">
      <c r="A6491" t="s">
        <v>13723</v>
      </c>
      <c r="B6491" t="s">
        <v>13724</v>
      </c>
      <c r="C6491" t="s">
        <v>3928</v>
      </c>
      <c r="D6491" t="s">
        <v>3929</v>
      </c>
      <c r="E6491">
        <v>6</v>
      </c>
      <c r="F6491" s="6">
        <v>750</v>
      </c>
      <c r="G6491" t="s">
        <v>5215</v>
      </c>
    </row>
    <row r="6492" spans="1:7">
      <c r="A6492" t="s">
        <v>13725</v>
      </c>
      <c r="B6492" t="s">
        <v>13726</v>
      </c>
      <c r="C6492" t="s">
        <v>4023</v>
      </c>
      <c r="D6492" t="s">
        <v>4024</v>
      </c>
      <c r="E6492">
        <v>12</v>
      </c>
      <c r="F6492" s="6">
        <v>750</v>
      </c>
      <c r="G6492" t="s">
        <v>11897</v>
      </c>
    </row>
    <row r="6493" spans="1:7">
      <c r="A6493" t="s">
        <v>13727</v>
      </c>
      <c r="B6493" t="s">
        <v>13728</v>
      </c>
      <c r="C6493" t="s">
        <v>4023</v>
      </c>
      <c r="D6493" t="s">
        <v>4024</v>
      </c>
      <c r="E6493">
        <v>12</v>
      </c>
      <c r="F6493" s="6">
        <v>750</v>
      </c>
      <c r="G6493" t="s">
        <v>11897</v>
      </c>
    </row>
    <row r="6494" spans="1:7">
      <c r="A6494" t="s">
        <v>13729</v>
      </c>
      <c r="B6494" t="s">
        <v>13730</v>
      </c>
      <c r="C6494" t="s">
        <v>4084</v>
      </c>
      <c r="D6494" t="s">
        <v>4085</v>
      </c>
      <c r="E6494">
        <v>6</v>
      </c>
      <c r="F6494" s="6">
        <v>750</v>
      </c>
      <c r="G6494" t="s">
        <v>9312</v>
      </c>
    </row>
    <row r="6495" spans="1:7">
      <c r="A6495" t="s">
        <v>2028</v>
      </c>
      <c r="B6495" t="s">
        <v>13731</v>
      </c>
      <c r="C6495" t="s">
        <v>3718</v>
      </c>
      <c r="D6495" t="s">
        <v>3719</v>
      </c>
      <c r="E6495">
        <v>6</v>
      </c>
      <c r="F6495" s="6">
        <v>1750</v>
      </c>
      <c r="G6495" t="s">
        <v>9803</v>
      </c>
    </row>
    <row r="6496" spans="1:7">
      <c r="A6496" t="s">
        <v>13732</v>
      </c>
      <c r="B6496" t="s">
        <v>13733</v>
      </c>
      <c r="C6496" t="s">
        <v>4084</v>
      </c>
      <c r="D6496" t="s">
        <v>4085</v>
      </c>
      <c r="E6496">
        <v>6</v>
      </c>
      <c r="F6496" s="6">
        <v>750</v>
      </c>
      <c r="G6496" t="s">
        <v>3694</v>
      </c>
    </row>
    <row r="6497" spans="1:7">
      <c r="A6497" t="s">
        <v>13734</v>
      </c>
      <c r="B6497" t="s">
        <v>13735</v>
      </c>
      <c r="C6497" t="s">
        <v>4084</v>
      </c>
      <c r="D6497" t="s">
        <v>4085</v>
      </c>
      <c r="E6497">
        <v>6</v>
      </c>
      <c r="F6497" s="6">
        <v>750</v>
      </c>
      <c r="G6497" t="s">
        <v>3694</v>
      </c>
    </row>
    <row r="6498" spans="1:7">
      <c r="A6498" t="s">
        <v>13736</v>
      </c>
      <c r="B6498" t="s">
        <v>13737</v>
      </c>
      <c r="C6498" t="s">
        <v>4084</v>
      </c>
      <c r="D6498" t="s">
        <v>4085</v>
      </c>
      <c r="E6498">
        <v>12</v>
      </c>
      <c r="F6498" s="6">
        <v>750</v>
      </c>
      <c r="G6498" t="s">
        <v>3730</v>
      </c>
    </row>
    <row r="6499" spans="1:7">
      <c r="A6499" t="s">
        <v>13738</v>
      </c>
      <c r="B6499" t="s">
        <v>13739</v>
      </c>
      <c r="C6499" t="s">
        <v>4084</v>
      </c>
      <c r="D6499" t="s">
        <v>4085</v>
      </c>
      <c r="E6499">
        <v>6</v>
      </c>
      <c r="F6499" s="6">
        <v>750</v>
      </c>
      <c r="G6499" t="s">
        <v>3730</v>
      </c>
    </row>
    <row r="6500" spans="1:7">
      <c r="A6500" t="s">
        <v>13740</v>
      </c>
      <c r="B6500" t="s">
        <v>13741</v>
      </c>
      <c r="C6500" t="s">
        <v>7515</v>
      </c>
      <c r="D6500" t="s">
        <v>7516</v>
      </c>
      <c r="E6500">
        <v>6</v>
      </c>
      <c r="F6500" s="6">
        <v>750</v>
      </c>
      <c r="G6500" t="s">
        <v>5139</v>
      </c>
    </row>
    <row r="6501" spans="1:7">
      <c r="A6501" t="s">
        <v>13742</v>
      </c>
      <c r="B6501" t="s">
        <v>13743</v>
      </c>
      <c r="C6501" t="s">
        <v>3684</v>
      </c>
      <c r="D6501" t="s">
        <v>3685</v>
      </c>
      <c r="E6501">
        <v>12</v>
      </c>
      <c r="F6501" s="6">
        <v>750</v>
      </c>
      <c r="G6501" t="s">
        <v>3730</v>
      </c>
    </row>
    <row r="6502" spans="1:7">
      <c r="A6502" t="s">
        <v>13744</v>
      </c>
      <c r="B6502" t="s">
        <v>13745</v>
      </c>
      <c r="C6502" t="s">
        <v>3684</v>
      </c>
      <c r="D6502" t="s">
        <v>3685</v>
      </c>
      <c r="E6502">
        <v>6</v>
      </c>
      <c r="F6502" s="6">
        <v>750</v>
      </c>
      <c r="G6502" t="s">
        <v>4796</v>
      </c>
    </row>
    <row r="6503" spans="1:7">
      <c r="A6503" t="s">
        <v>13746</v>
      </c>
      <c r="B6503" t="s">
        <v>13747</v>
      </c>
      <c r="C6503" t="s">
        <v>4084</v>
      </c>
      <c r="D6503" t="s">
        <v>4085</v>
      </c>
      <c r="E6503">
        <v>6</v>
      </c>
      <c r="F6503" s="6">
        <v>750</v>
      </c>
      <c r="G6503" t="s">
        <v>3694</v>
      </c>
    </row>
    <row r="6504" spans="1:7">
      <c r="A6504" t="s">
        <v>13748</v>
      </c>
      <c r="B6504" t="s">
        <v>13749</v>
      </c>
      <c r="C6504" t="s">
        <v>4244</v>
      </c>
      <c r="D6504" t="s">
        <v>4245</v>
      </c>
      <c r="E6504">
        <v>6</v>
      </c>
      <c r="F6504" s="6">
        <v>750</v>
      </c>
      <c r="G6504" t="s">
        <v>3854</v>
      </c>
    </row>
    <row r="6505" spans="1:7">
      <c r="A6505" t="s">
        <v>13750</v>
      </c>
      <c r="B6505" t="s">
        <v>13751</v>
      </c>
      <c r="C6505" t="s">
        <v>3684</v>
      </c>
      <c r="D6505" t="s">
        <v>3685</v>
      </c>
      <c r="E6505">
        <v>6</v>
      </c>
      <c r="F6505" s="6">
        <v>750</v>
      </c>
      <c r="G6505" t="s">
        <v>3702</v>
      </c>
    </row>
    <row r="6506" spans="1:7">
      <c r="A6506" t="s">
        <v>13752</v>
      </c>
      <c r="B6506" t="s">
        <v>13753</v>
      </c>
      <c r="C6506" t="s">
        <v>4244</v>
      </c>
      <c r="D6506" t="s">
        <v>4245</v>
      </c>
      <c r="E6506">
        <v>6</v>
      </c>
      <c r="F6506" s="6">
        <v>750</v>
      </c>
      <c r="G6506" t="s">
        <v>9366</v>
      </c>
    </row>
    <row r="6507" spans="1:7">
      <c r="A6507" t="s">
        <v>13754</v>
      </c>
      <c r="B6507" t="s">
        <v>9714</v>
      </c>
      <c r="C6507" t="s">
        <v>4084</v>
      </c>
      <c r="D6507" t="s">
        <v>4085</v>
      </c>
      <c r="E6507">
        <v>6</v>
      </c>
      <c r="F6507" s="6">
        <v>750</v>
      </c>
      <c r="G6507" t="s">
        <v>9715</v>
      </c>
    </row>
    <row r="6508" spans="1:7">
      <c r="A6508" t="s">
        <v>13755</v>
      </c>
      <c r="B6508" t="s">
        <v>13756</v>
      </c>
      <c r="C6508" t="s">
        <v>4084</v>
      </c>
      <c r="D6508" t="s">
        <v>4085</v>
      </c>
      <c r="E6508">
        <v>6</v>
      </c>
      <c r="F6508" s="6">
        <v>750</v>
      </c>
      <c r="G6508" t="s">
        <v>9715</v>
      </c>
    </row>
    <row r="6509" spans="1:7">
      <c r="A6509" t="s">
        <v>13757</v>
      </c>
      <c r="B6509" t="s">
        <v>13758</v>
      </c>
      <c r="C6509" t="s">
        <v>4084</v>
      </c>
      <c r="D6509" t="s">
        <v>4085</v>
      </c>
      <c r="E6509">
        <v>6</v>
      </c>
      <c r="F6509" s="6">
        <v>750</v>
      </c>
      <c r="G6509" t="s">
        <v>9715</v>
      </c>
    </row>
    <row r="6510" spans="1:7">
      <c r="A6510" t="s">
        <v>13759</v>
      </c>
      <c r="B6510" t="s">
        <v>13760</v>
      </c>
      <c r="C6510" t="s">
        <v>6442</v>
      </c>
      <c r="D6510" t="s">
        <v>6443</v>
      </c>
      <c r="E6510">
        <v>6</v>
      </c>
      <c r="F6510" s="6">
        <v>750</v>
      </c>
      <c r="G6510" t="s">
        <v>11303</v>
      </c>
    </row>
    <row r="6511" spans="1:7">
      <c r="A6511" t="s">
        <v>3379</v>
      </c>
      <c r="B6511" t="s">
        <v>13761</v>
      </c>
      <c r="C6511" t="s">
        <v>6442</v>
      </c>
      <c r="D6511" t="s">
        <v>6443</v>
      </c>
      <c r="E6511">
        <v>6</v>
      </c>
      <c r="F6511" s="6">
        <v>750</v>
      </c>
      <c r="G6511" t="s">
        <v>11303</v>
      </c>
    </row>
    <row r="6512" spans="1:7">
      <c r="A6512" t="s">
        <v>13762</v>
      </c>
      <c r="B6512" t="s">
        <v>13763</v>
      </c>
      <c r="C6512" t="s">
        <v>4071</v>
      </c>
      <c r="D6512" t="s">
        <v>4072</v>
      </c>
      <c r="E6512">
        <v>6</v>
      </c>
      <c r="F6512" s="6">
        <v>750</v>
      </c>
      <c r="G6512" t="s">
        <v>13764</v>
      </c>
    </row>
    <row r="6513" spans="1:7">
      <c r="A6513" t="s">
        <v>1788</v>
      </c>
      <c r="B6513" t="s">
        <v>13765</v>
      </c>
      <c r="C6513" t="s">
        <v>3783</v>
      </c>
      <c r="D6513" t="s">
        <v>3784</v>
      </c>
      <c r="E6513">
        <v>12</v>
      </c>
      <c r="F6513" s="6">
        <v>750</v>
      </c>
      <c r="G6513" t="s">
        <v>4300</v>
      </c>
    </row>
    <row r="6514" spans="1:7">
      <c r="A6514" t="s">
        <v>192</v>
      </c>
      <c r="B6514" t="s">
        <v>13766</v>
      </c>
      <c r="C6514" t="s">
        <v>4436</v>
      </c>
      <c r="D6514" t="s">
        <v>4437</v>
      </c>
      <c r="E6514">
        <v>12</v>
      </c>
      <c r="F6514" s="6">
        <v>750</v>
      </c>
      <c r="G6514" t="s">
        <v>3931</v>
      </c>
    </row>
    <row r="6515" spans="1:7">
      <c r="A6515" t="s">
        <v>13767</v>
      </c>
      <c r="B6515" t="s">
        <v>13768</v>
      </c>
      <c r="C6515" t="s">
        <v>4084</v>
      </c>
      <c r="D6515" t="s">
        <v>4085</v>
      </c>
      <c r="E6515">
        <v>6</v>
      </c>
      <c r="F6515" s="6">
        <v>750</v>
      </c>
      <c r="G6515" t="s">
        <v>4796</v>
      </c>
    </row>
    <row r="6516" spans="1:7">
      <c r="A6516" t="s">
        <v>13769</v>
      </c>
      <c r="B6516" t="s">
        <v>13770</v>
      </c>
      <c r="C6516" t="s">
        <v>4084</v>
      </c>
      <c r="D6516" t="s">
        <v>4085</v>
      </c>
      <c r="E6516">
        <v>6</v>
      </c>
      <c r="F6516" s="6">
        <v>750</v>
      </c>
      <c r="G6516" t="s">
        <v>4796</v>
      </c>
    </row>
    <row r="6517" spans="1:7">
      <c r="A6517" t="s">
        <v>13771</v>
      </c>
      <c r="B6517" t="s">
        <v>13772</v>
      </c>
      <c r="C6517" t="s">
        <v>4084</v>
      </c>
      <c r="D6517" t="s">
        <v>4085</v>
      </c>
      <c r="E6517">
        <v>6</v>
      </c>
      <c r="F6517" s="6">
        <v>750</v>
      </c>
      <c r="G6517" t="s">
        <v>4796</v>
      </c>
    </row>
    <row r="6518" spans="1:7">
      <c r="A6518" t="s">
        <v>13773</v>
      </c>
      <c r="B6518" t="s">
        <v>13774</v>
      </c>
      <c r="C6518" t="s">
        <v>3692</v>
      </c>
      <c r="D6518" t="s">
        <v>3693</v>
      </c>
      <c r="E6518">
        <v>12</v>
      </c>
      <c r="F6518" s="6">
        <v>1000</v>
      </c>
      <c r="G6518" t="s">
        <v>11095</v>
      </c>
    </row>
    <row r="6519" spans="1:7">
      <c r="A6519" t="s">
        <v>13775</v>
      </c>
      <c r="B6519" t="s">
        <v>13776</v>
      </c>
      <c r="C6519" t="s">
        <v>4190</v>
      </c>
      <c r="D6519" t="s">
        <v>4191</v>
      </c>
      <c r="E6519">
        <v>6</v>
      </c>
      <c r="F6519" s="6">
        <v>750</v>
      </c>
      <c r="G6519" t="s">
        <v>13777</v>
      </c>
    </row>
    <row r="6520" spans="1:7">
      <c r="A6520" t="s">
        <v>13778</v>
      </c>
      <c r="B6520" t="s">
        <v>13779</v>
      </c>
      <c r="C6520" t="s">
        <v>4084</v>
      </c>
      <c r="D6520" t="s">
        <v>4085</v>
      </c>
      <c r="E6520">
        <v>6</v>
      </c>
      <c r="F6520" s="6">
        <v>750</v>
      </c>
      <c r="G6520" t="s">
        <v>6746</v>
      </c>
    </row>
    <row r="6521" spans="1:7">
      <c r="A6521" t="s">
        <v>13780</v>
      </c>
      <c r="B6521" t="s">
        <v>13781</v>
      </c>
      <c r="C6521" t="s">
        <v>4084</v>
      </c>
      <c r="D6521" t="s">
        <v>4085</v>
      </c>
      <c r="E6521">
        <v>6</v>
      </c>
      <c r="F6521" s="6">
        <v>750</v>
      </c>
      <c r="G6521" t="s">
        <v>6746</v>
      </c>
    </row>
    <row r="6522" spans="1:7">
      <c r="A6522" t="s">
        <v>13782</v>
      </c>
      <c r="B6522" t="s">
        <v>13783</v>
      </c>
      <c r="C6522" t="s">
        <v>4084</v>
      </c>
      <c r="D6522" t="s">
        <v>4085</v>
      </c>
      <c r="E6522">
        <v>6</v>
      </c>
      <c r="F6522" s="6">
        <v>750</v>
      </c>
      <c r="G6522" t="s">
        <v>4796</v>
      </c>
    </row>
    <row r="6523" spans="1:7">
      <c r="A6523" t="s">
        <v>13784</v>
      </c>
      <c r="B6523" t="s">
        <v>13785</v>
      </c>
      <c r="C6523" t="s">
        <v>4084</v>
      </c>
      <c r="D6523" t="s">
        <v>4085</v>
      </c>
      <c r="E6523">
        <v>6</v>
      </c>
      <c r="F6523" s="6">
        <v>750</v>
      </c>
      <c r="G6523" t="s">
        <v>3730</v>
      </c>
    </row>
    <row r="6524" spans="1:7">
      <c r="A6524" t="s">
        <v>13786</v>
      </c>
      <c r="B6524" t="s">
        <v>13787</v>
      </c>
      <c r="C6524" t="s">
        <v>3684</v>
      </c>
      <c r="D6524" t="s">
        <v>3685</v>
      </c>
      <c r="E6524">
        <v>6</v>
      </c>
      <c r="F6524" s="6">
        <v>750</v>
      </c>
      <c r="G6524" t="s">
        <v>3730</v>
      </c>
    </row>
    <row r="6525" spans="1:7">
      <c r="A6525" t="s">
        <v>13788</v>
      </c>
      <c r="B6525" t="s">
        <v>13789</v>
      </c>
      <c r="C6525" t="s">
        <v>4084</v>
      </c>
      <c r="D6525" t="s">
        <v>4085</v>
      </c>
      <c r="E6525">
        <v>6</v>
      </c>
      <c r="F6525" s="6">
        <v>750</v>
      </c>
      <c r="G6525" t="s">
        <v>3694</v>
      </c>
    </row>
    <row r="6526" spans="1:7">
      <c r="A6526" t="s">
        <v>13790</v>
      </c>
      <c r="B6526" t="s">
        <v>13791</v>
      </c>
      <c r="C6526" t="s">
        <v>4084</v>
      </c>
      <c r="D6526" t="s">
        <v>4085</v>
      </c>
      <c r="E6526">
        <v>6</v>
      </c>
      <c r="F6526" s="6">
        <v>750</v>
      </c>
      <c r="G6526" t="s">
        <v>4117</v>
      </c>
    </row>
    <row r="6527" spans="1:7">
      <c r="A6527" t="s">
        <v>13792</v>
      </c>
      <c r="B6527" t="s">
        <v>13793</v>
      </c>
      <c r="C6527" t="s">
        <v>3718</v>
      </c>
      <c r="D6527" t="s">
        <v>3719</v>
      </c>
      <c r="E6527">
        <v>6</v>
      </c>
      <c r="F6527" s="6">
        <v>750</v>
      </c>
      <c r="G6527" t="s">
        <v>4419</v>
      </c>
    </row>
    <row r="6528" spans="1:7">
      <c r="A6528" t="s">
        <v>13794</v>
      </c>
      <c r="B6528" t="s">
        <v>13795</v>
      </c>
      <c r="C6528" t="s">
        <v>4084</v>
      </c>
      <c r="D6528" t="s">
        <v>4085</v>
      </c>
      <c r="E6528">
        <v>12</v>
      </c>
      <c r="F6528" s="6">
        <v>750</v>
      </c>
      <c r="G6528" t="s">
        <v>6746</v>
      </c>
    </row>
    <row r="6529" spans="1:7">
      <c r="A6529" t="s">
        <v>13796</v>
      </c>
      <c r="B6529" t="s">
        <v>13797</v>
      </c>
      <c r="C6529" t="s">
        <v>4084</v>
      </c>
      <c r="D6529" t="s">
        <v>4085</v>
      </c>
      <c r="E6529">
        <v>6</v>
      </c>
      <c r="F6529" s="6">
        <v>700</v>
      </c>
      <c r="G6529" t="s">
        <v>4796</v>
      </c>
    </row>
    <row r="6530" spans="1:7">
      <c r="A6530" t="s">
        <v>13798</v>
      </c>
      <c r="B6530" t="s">
        <v>13799</v>
      </c>
      <c r="C6530" t="s">
        <v>3684</v>
      </c>
      <c r="D6530" t="s">
        <v>3685</v>
      </c>
      <c r="E6530">
        <v>6</v>
      </c>
      <c r="F6530" s="6">
        <v>700</v>
      </c>
      <c r="G6530" t="s">
        <v>9715</v>
      </c>
    </row>
    <row r="6531" spans="1:7">
      <c r="A6531" t="s">
        <v>13800</v>
      </c>
      <c r="B6531" t="s">
        <v>13801</v>
      </c>
      <c r="C6531" t="s">
        <v>3684</v>
      </c>
      <c r="D6531" t="s">
        <v>3685</v>
      </c>
      <c r="E6531">
        <v>6</v>
      </c>
      <c r="F6531" s="6">
        <v>750</v>
      </c>
      <c r="G6531" t="s">
        <v>4117</v>
      </c>
    </row>
    <row r="6532" spans="1:7">
      <c r="A6532" t="s">
        <v>13802</v>
      </c>
      <c r="B6532" t="s">
        <v>13803</v>
      </c>
      <c r="C6532" t="s">
        <v>4084</v>
      </c>
      <c r="D6532" t="s">
        <v>4085</v>
      </c>
      <c r="E6532">
        <v>6</v>
      </c>
      <c r="F6532" s="6">
        <v>750</v>
      </c>
      <c r="G6532" t="s">
        <v>4117</v>
      </c>
    </row>
    <row r="6533" spans="1:7">
      <c r="A6533" t="s">
        <v>13804</v>
      </c>
      <c r="B6533" t="s">
        <v>13805</v>
      </c>
      <c r="C6533" t="s">
        <v>3684</v>
      </c>
      <c r="D6533" t="s">
        <v>3685</v>
      </c>
      <c r="E6533">
        <v>6</v>
      </c>
      <c r="F6533" s="6">
        <v>750</v>
      </c>
      <c r="G6533" t="s">
        <v>4117</v>
      </c>
    </row>
    <row r="6534" spans="1:7">
      <c r="A6534" t="s">
        <v>13806</v>
      </c>
      <c r="B6534" t="s">
        <v>13807</v>
      </c>
      <c r="C6534" t="s">
        <v>3684</v>
      </c>
      <c r="D6534" t="s">
        <v>3685</v>
      </c>
      <c r="E6534">
        <v>6</v>
      </c>
      <c r="F6534" s="6">
        <v>750</v>
      </c>
      <c r="G6534" t="s">
        <v>4117</v>
      </c>
    </row>
    <row r="6535" spans="1:7">
      <c r="A6535" t="s">
        <v>13808</v>
      </c>
      <c r="B6535" t="s">
        <v>13809</v>
      </c>
      <c r="C6535" t="s">
        <v>3684</v>
      </c>
      <c r="D6535" t="s">
        <v>3685</v>
      </c>
      <c r="E6535">
        <v>6</v>
      </c>
      <c r="F6535" s="6">
        <v>750</v>
      </c>
      <c r="G6535" t="s">
        <v>3702</v>
      </c>
    </row>
    <row r="6536" spans="1:7">
      <c r="A6536" t="s">
        <v>13810</v>
      </c>
      <c r="B6536" t="s">
        <v>13811</v>
      </c>
      <c r="C6536" t="s">
        <v>4084</v>
      </c>
      <c r="D6536" t="s">
        <v>4085</v>
      </c>
      <c r="E6536">
        <v>6</v>
      </c>
      <c r="F6536" s="6">
        <v>750</v>
      </c>
      <c r="G6536" t="s">
        <v>4331</v>
      </c>
    </row>
    <row r="6537" spans="1:7">
      <c r="A6537" t="s">
        <v>13812</v>
      </c>
      <c r="B6537" t="s">
        <v>13813</v>
      </c>
      <c r="C6537" t="s">
        <v>4170</v>
      </c>
      <c r="D6537" t="s">
        <v>4171</v>
      </c>
      <c r="E6537">
        <v>6</v>
      </c>
      <c r="F6537" s="6">
        <v>750</v>
      </c>
      <c r="G6537" t="s">
        <v>3888</v>
      </c>
    </row>
    <row r="6538" spans="1:7">
      <c r="A6538" t="s">
        <v>13814</v>
      </c>
      <c r="B6538" t="s">
        <v>13815</v>
      </c>
      <c r="C6538" t="s">
        <v>6424</v>
      </c>
      <c r="D6538" t="s">
        <v>6425</v>
      </c>
      <c r="E6538">
        <v>6</v>
      </c>
      <c r="F6538" s="6">
        <v>1000</v>
      </c>
      <c r="G6538" t="s">
        <v>13816</v>
      </c>
    </row>
    <row r="6539" spans="1:7">
      <c r="A6539" t="s">
        <v>13817</v>
      </c>
      <c r="B6539" t="s">
        <v>13818</v>
      </c>
      <c r="C6539" t="s">
        <v>3928</v>
      </c>
      <c r="D6539" t="s">
        <v>3929</v>
      </c>
      <c r="E6539">
        <v>6</v>
      </c>
      <c r="F6539" s="6">
        <v>750</v>
      </c>
      <c r="G6539" t="s">
        <v>10711</v>
      </c>
    </row>
    <row r="6540" spans="1:7">
      <c r="A6540" t="s">
        <v>13819</v>
      </c>
      <c r="B6540" t="s">
        <v>13820</v>
      </c>
      <c r="C6540" t="s">
        <v>3928</v>
      </c>
      <c r="D6540" t="s">
        <v>3929</v>
      </c>
      <c r="E6540">
        <v>6</v>
      </c>
      <c r="F6540" s="6">
        <v>750</v>
      </c>
      <c r="G6540" t="s">
        <v>10711</v>
      </c>
    </row>
    <row r="6541" spans="1:7">
      <c r="A6541" t="s">
        <v>13821</v>
      </c>
      <c r="B6541" t="s">
        <v>13822</v>
      </c>
      <c r="C6541" t="s">
        <v>3808</v>
      </c>
      <c r="D6541" t="s">
        <v>3809</v>
      </c>
      <c r="E6541">
        <v>6</v>
      </c>
      <c r="F6541" s="6">
        <v>750</v>
      </c>
      <c r="G6541" t="s">
        <v>11104</v>
      </c>
    </row>
    <row r="6542" spans="1:7">
      <c r="A6542" t="s">
        <v>13823</v>
      </c>
      <c r="B6542" t="s">
        <v>13824</v>
      </c>
      <c r="C6542" t="s">
        <v>3692</v>
      </c>
      <c r="D6542" t="s">
        <v>3693</v>
      </c>
      <c r="E6542">
        <v>6</v>
      </c>
      <c r="F6542" s="6">
        <v>750</v>
      </c>
      <c r="G6542" t="s">
        <v>3716</v>
      </c>
    </row>
    <row r="6543" spans="1:7">
      <c r="A6543" t="s">
        <v>13825</v>
      </c>
      <c r="B6543" t="s">
        <v>13826</v>
      </c>
      <c r="C6543" t="s">
        <v>4071</v>
      </c>
      <c r="D6543" t="s">
        <v>4072</v>
      </c>
      <c r="E6543">
        <v>6</v>
      </c>
      <c r="F6543" s="6">
        <v>750</v>
      </c>
      <c r="G6543" t="s">
        <v>13827</v>
      </c>
    </row>
    <row r="6544" spans="1:7">
      <c r="A6544" t="s">
        <v>13828</v>
      </c>
      <c r="B6544" t="s">
        <v>13829</v>
      </c>
      <c r="C6544" t="s">
        <v>3718</v>
      </c>
      <c r="D6544" t="s">
        <v>3719</v>
      </c>
      <c r="E6544">
        <v>6</v>
      </c>
      <c r="F6544" s="6">
        <v>750</v>
      </c>
      <c r="G6544" t="s">
        <v>4331</v>
      </c>
    </row>
    <row r="6545" spans="1:7">
      <c r="A6545" t="s">
        <v>13830</v>
      </c>
      <c r="B6545" t="s">
        <v>13831</v>
      </c>
      <c r="C6545" t="s">
        <v>3718</v>
      </c>
      <c r="D6545" t="s">
        <v>3719</v>
      </c>
      <c r="E6545">
        <v>6</v>
      </c>
      <c r="F6545" s="6">
        <v>750</v>
      </c>
      <c r="G6545" t="s">
        <v>4331</v>
      </c>
    </row>
    <row r="6546" spans="1:7">
      <c r="A6546" t="s">
        <v>13832</v>
      </c>
      <c r="B6546" t="s">
        <v>13833</v>
      </c>
      <c r="C6546" t="s">
        <v>8664</v>
      </c>
      <c r="D6546" t="s">
        <v>8665</v>
      </c>
      <c r="E6546">
        <v>6</v>
      </c>
      <c r="F6546" s="6">
        <v>750</v>
      </c>
      <c r="G6546" t="s">
        <v>9810</v>
      </c>
    </row>
    <row r="6547" spans="1:7">
      <c r="A6547" t="s">
        <v>13834</v>
      </c>
      <c r="B6547" t="s">
        <v>13835</v>
      </c>
      <c r="C6547" t="s">
        <v>8664</v>
      </c>
      <c r="D6547" t="s">
        <v>8665</v>
      </c>
      <c r="E6547">
        <v>6</v>
      </c>
      <c r="F6547" s="6">
        <v>750</v>
      </c>
      <c r="G6547" t="s">
        <v>9810</v>
      </c>
    </row>
    <row r="6548" spans="1:7">
      <c r="A6548" t="s">
        <v>13836</v>
      </c>
      <c r="B6548" t="s">
        <v>13837</v>
      </c>
      <c r="C6548" t="s">
        <v>4084</v>
      </c>
      <c r="D6548" t="s">
        <v>4085</v>
      </c>
      <c r="E6548">
        <v>6</v>
      </c>
      <c r="F6548" s="6">
        <v>700</v>
      </c>
      <c r="G6548" t="s">
        <v>9715</v>
      </c>
    </row>
    <row r="6549" spans="1:7">
      <c r="A6549" t="s">
        <v>13838</v>
      </c>
      <c r="B6549" t="s">
        <v>13839</v>
      </c>
      <c r="C6549" t="s">
        <v>4170</v>
      </c>
      <c r="D6549" t="s">
        <v>4171</v>
      </c>
      <c r="E6549">
        <v>6</v>
      </c>
      <c r="F6549" s="6">
        <v>750</v>
      </c>
      <c r="G6549" t="s">
        <v>3802</v>
      </c>
    </row>
    <row r="6550" spans="1:7">
      <c r="A6550" t="s">
        <v>13840</v>
      </c>
      <c r="B6550" t="s">
        <v>13841</v>
      </c>
      <c r="C6550" t="s">
        <v>3783</v>
      </c>
      <c r="D6550" t="s">
        <v>3784</v>
      </c>
      <c r="E6550">
        <v>12</v>
      </c>
      <c r="F6550" s="6">
        <v>1000</v>
      </c>
      <c r="G6550" t="s">
        <v>4300</v>
      </c>
    </row>
    <row r="6551" spans="1:7">
      <c r="A6551" t="s">
        <v>13842</v>
      </c>
      <c r="B6551" t="s">
        <v>13843</v>
      </c>
      <c r="C6551" t="s">
        <v>4084</v>
      </c>
      <c r="D6551" t="s">
        <v>4085</v>
      </c>
      <c r="E6551">
        <v>6</v>
      </c>
      <c r="F6551" s="6">
        <v>750</v>
      </c>
      <c r="G6551" t="s">
        <v>9366</v>
      </c>
    </row>
    <row r="6552" spans="1:7">
      <c r="A6552" t="s">
        <v>13844</v>
      </c>
      <c r="B6552" t="s">
        <v>13845</v>
      </c>
      <c r="C6552" t="s">
        <v>6451</v>
      </c>
      <c r="D6552" t="s">
        <v>6452</v>
      </c>
      <c r="E6552">
        <v>6</v>
      </c>
      <c r="F6552" s="6">
        <v>750</v>
      </c>
      <c r="G6552" t="s">
        <v>11693</v>
      </c>
    </row>
    <row r="6553" spans="1:7">
      <c r="A6553" t="s">
        <v>13846</v>
      </c>
      <c r="B6553" t="s">
        <v>13847</v>
      </c>
      <c r="C6553" t="s">
        <v>4023</v>
      </c>
      <c r="D6553" t="s">
        <v>4024</v>
      </c>
      <c r="E6553">
        <v>12</v>
      </c>
      <c r="F6553" s="6">
        <v>750</v>
      </c>
      <c r="G6553" t="s">
        <v>11897</v>
      </c>
    </row>
    <row r="6554" spans="1:7">
      <c r="A6554" t="s">
        <v>13848</v>
      </c>
      <c r="B6554" t="s">
        <v>13849</v>
      </c>
      <c r="C6554" t="s">
        <v>3928</v>
      </c>
      <c r="D6554" t="s">
        <v>3929</v>
      </c>
      <c r="E6554">
        <v>6</v>
      </c>
      <c r="F6554" s="6">
        <v>750</v>
      </c>
      <c r="G6554" t="s">
        <v>13850</v>
      </c>
    </row>
    <row r="6555" spans="1:7">
      <c r="A6555" t="s">
        <v>13851</v>
      </c>
      <c r="B6555" t="s">
        <v>13852</v>
      </c>
      <c r="C6555" t="s">
        <v>4190</v>
      </c>
      <c r="D6555" t="s">
        <v>4191</v>
      </c>
      <c r="E6555">
        <v>6</v>
      </c>
      <c r="F6555" s="6">
        <v>750</v>
      </c>
      <c r="G6555" t="s">
        <v>11095</v>
      </c>
    </row>
    <row r="6556" spans="1:7">
      <c r="A6556" t="s">
        <v>13853</v>
      </c>
      <c r="B6556" t="s">
        <v>13854</v>
      </c>
      <c r="C6556" t="s">
        <v>8664</v>
      </c>
      <c r="D6556" t="s">
        <v>8665</v>
      </c>
      <c r="E6556">
        <v>6</v>
      </c>
      <c r="F6556" s="6">
        <v>750</v>
      </c>
      <c r="G6556" t="s">
        <v>11095</v>
      </c>
    </row>
    <row r="6557" spans="1:7">
      <c r="A6557" t="s">
        <v>13855</v>
      </c>
      <c r="B6557" t="s">
        <v>13856</v>
      </c>
      <c r="C6557" t="s">
        <v>3808</v>
      </c>
      <c r="D6557" t="s">
        <v>3809</v>
      </c>
      <c r="E6557">
        <v>6</v>
      </c>
      <c r="F6557" s="6">
        <v>750</v>
      </c>
      <c r="G6557" t="s">
        <v>5084</v>
      </c>
    </row>
    <row r="6558" spans="1:7">
      <c r="A6558" t="s">
        <v>13857</v>
      </c>
      <c r="B6558" t="s">
        <v>13858</v>
      </c>
      <c r="C6558" t="s">
        <v>3808</v>
      </c>
      <c r="D6558" t="s">
        <v>3809</v>
      </c>
      <c r="E6558">
        <v>12</v>
      </c>
      <c r="F6558" s="6">
        <v>750</v>
      </c>
      <c r="G6558" t="s">
        <v>10000</v>
      </c>
    </row>
    <row r="6559" spans="1:7">
      <c r="A6559" t="s">
        <v>13859</v>
      </c>
      <c r="B6559" t="s">
        <v>13860</v>
      </c>
      <c r="C6559" t="s">
        <v>3808</v>
      </c>
      <c r="D6559" t="s">
        <v>3809</v>
      </c>
      <c r="E6559">
        <v>12</v>
      </c>
      <c r="F6559" s="6">
        <v>750</v>
      </c>
      <c r="G6559" t="s">
        <v>4581</v>
      </c>
    </row>
    <row r="6560" spans="1:7">
      <c r="A6560" t="s">
        <v>13861</v>
      </c>
      <c r="B6560" t="s">
        <v>13862</v>
      </c>
      <c r="C6560" t="s">
        <v>3808</v>
      </c>
      <c r="D6560" t="s">
        <v>3809</v>
      </c>
      <c r="E6560">
        <v>12</v>
      </c>
      <c r="F6560" s="6">
        <v>750</v>
      </c>
      <c r="G6560" t="s">
        <v>4581</v>
      </c>
    </row>
    <row r="6561" spans="1:7">
      <c r="A6561" t="s">
        <v>13863</v>
      </c>
      <c r="B6561" t="s">
        <v>13864</v>
      </c>
      <c r="C6561" t="s">
        <v>3756</v>
      </c>
      <c r="D6561" t="s">
        <v>3757</v>
      </c>
      <c r="E6561">
        <v>6</v>
      </c>
      <c r="F6561" s="6">
        <v>750</v>
      </c>
      <c r="G6561" t="s">
        <v>11303</v>
      </c>
    </row>
    <row r="6562" spans="1:7">
      <c r="A6562" t="s">
        <v>13865</v>
      </c>
      <c r="B6562" t="s">
        <v>13866</v>
      </c>
      <c r="C6562" t="s">
        <v>5668</v>
      </c>
      <c r="D6562" t="s">
        <v>5669</v>
      </c>
      <c r="E6562">
        <v>6</v>
      </c>
      <c r="F6562" s="6">
        <v>750</v>
      </c>
      <c r="G6562" t="s">
        <v>11303</v>
      </c>
    </row>
  </sheetData>
  <autoFilter ref="A1:G6562"/>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274"/>
  <sheetViews>
    <sheetView workbookViewId="0">
      <pane ySplit="1" topLeftCell="A2" activePane="bottomLeft" state="frozen"/>
      <selection pane="bottomLeft"/>
    </sheetView>
  </sheetViews>
  <sheetFormatPr defaultRowHeight="15"/>
  <cols>
    <col min="1" max="1" width="14.7109375" customWidth="1"/>
    <col min="2" max="2" width="42.7109375" customWidth="1"/>
    <col min="3" max="5" width="18.7109375" customWidth="1"/>
  </cols>
  <sheetData>
    <row r="1" spans="1:5">
      <c r="A1" s="7" t="s">
        <v>19</v>
      </c>
      <c r="B1" s="7" t="s">
        <v>13867</v>
      </c>
      <c r="C1" s="7" t="s">
        <v>23</v>
      </c>
      <c r="D1" s="7" t="s">
        <v>13868</v>
      </c>
      <c r="E1" s="7" t="s">
        <v>13869</v>
      </c>
    </row>
    <row r="2" spans="1:5">
      <c r="A2" t="s">
        <v>2076</v>
      </c>
      <c r="B2" t="s">
        <v>13870</v>
      </c>
      <c r="C2" t="s">
        <v>13871</v>
      </c>
      <c r="D2" t="s">
        <v>13872</v>
      </c>
      <c r="E2" t="s">
        <v>13873</v>
      </c>
    </row>
    <row r="3" spans="1:5">
      <c r="A3" t="s">
        <v>1023</v>
      </c>
      <c r="B3" t="s">
        <v>13874</v>
      </c>
      <c r="C3" t="s">
        <v>13875</v>
      </c>
      <c r="D3" t="s">
        <v>13876</v>
      </c>
      <c r="E3" t="s">
        <v>13877</v>
      </c>
    </row>
    <row r="4" spans="1:5">
      <c r="A4" t="s">
        <v>2083</v>
      </c>
      <c r="B4" t="s">
        <v>13878</v>
      </c>
      <c r="C4" t="s">
        <v>13871</v>
      </c>
      <c r="D4" t="s">
        <v>13872</v>
      </c>
      <c r="E4" t="s">
        <v>13873</v>
      </c>
    </row>
    <row r="5" spans="1:5">
      <c r="A5" t="s">
        <v>3395</v>
      </c>
      <c r="B5" t="s">
        <v>13879</v>
      </c>
      <c r="C5" t="s">
        <v>13880</v>
      </c>
      <c r="D5" t="s">
        <v>13881</v>
      </c>
      <c r="E5" t="s">
        <v>13882</v>
      </c>
    </row>
    <row r="6" spans="1:5">
      <c r="A6" t="s">
        <v>3343</v>
      </c>
      <c r="B6" t="s">
        <v>13883</v>
      </c>
      <c r="C6" t="s">
        <v>13884</v>
      </c>
      <c r="D6" t="s">
        <v>13885</v>
      </c>
      <c r="E6" t="s">
        <v>13886</v>
      </c>
    </row>
    <row r="7" spans="1:5">
      <c r="A7" t="s">
        <v>2054</v>
      </c>
      <c r="B7" t="s">
        <v>13887</v>
      </c>
      <c r="C7" t="s">
        <v>13888</v>
      </c>
      <c r="D7" t="s">
        <v>13889</v>
      </c>
      <c r="E7" t="s">
        <v>13890</v>
      </c>
    </row>
    <row r="8" spans="1:5">
      <c r="A8" t="s">
        <v>2205</v>
      </c>
      <c r="B8" t="s">
        <v>13891</v>
      </c>
      <c r="C8" t="s">
        <v>13892</v>
      </c>
      <c r="D8" t="s">
        <v>13893</v>
      </c>
      <c r="E8" t="s">
        <v>13894</v>
      </c>
    </row>
    <row r="9" spans="1:5">
      <c r="A9" t="s">
        <v>3613</v>
      </c>
      <c r="B9" t="s">
        <v>13895</v>
      </c>
      <c r="C9" t="s">
        <v>13896</v>
      </c>
      <c r="D9" t="s">
        <v>13897</v>
      </c>
      <c r="E9" t="s">
        <v>13898</v>
      </c>
    </row>
    <row r="10" spans="1:5">
      <c r="A10" t="s">
        <v>245</v>
      </c>
      <c r="B10" t="s">
        <v>13899</v>
      </c>
      <c r="C10" t="s">
        <v>13900</v>
      </c>
      <c r="D10" t="s">
        <v>13901</v>
      </c>
      <c r="E10" t="s">
        <v>13902</v>
      </c>
    </row>
    <row r="11" spans="1:5">
      <c r="A11" t="s">
        <v>13903</v>
      </c>
      <c r="B11" t="s">
        <v>13904</v>
      </c>
      <c r="C11" t="s">
        <v>13905</v>
      </c>
      <c r="D11" t="s">
        <v>13901</v>
      </c>
      <c r="E11" t="s">
        <v>13902</v>
      </c>
    </row>
    <row r="12" spans="1:5">
      <c r="A12" t="s">
        <v>277</v>
      </c>
      <c r="B12" t="s">
        <v>13906</v>
      </c>
      <c r="C12" t="s">
        <v>13905</v>
      </c>
      <c r="D12" t="s">
        <v>13901</v>
      </c>
      <c r="E12" t="s">
        <v>13902</v>
      </c>
    </row>
    <row r="13" spans="1:5">
      <c r="A13" t="s">
        <v>13907</v>
      </c>
      <c r="B13" t="s">
        <v>13908</v>
      </c>
      <c r="C13" t="s">
        <v>13909</v>
      </c>
      <c r="D13" t="s">
        <v>13901</v>
      </c>
      <c r="E13" t="s">
        <v>13902</v>
      </c>
    </row>
    <row r="14" spans="1:5">
      <c r="A14" t="s">
        <v>13910</v>
      </c>
      <c r="B14" t="s">
        <v>13911</v>
      </c>
      <c r="C14" t="s">
        <v>13912</v>
      </c>
      <c r="D14" t="s">
        <v>13913</v>
      </c>
      <c r="E14" t="s">
        <v>13914</v>
      </c>
    </row>
    <row r="15" spans="1:5">
      <c r="A15" t="s">
        <v>349</v>
      </c>
      <c r="B15" t="s">
        <v>13915</v>
      </c>
      <c r="C15" t="s">
        <v>13916</v>
      </c>
      <c r="D15" t="s">
        <v>13901</v>
      </c>
      <c r="E15" t="s">
        <v>13902</v>
      </c>
    </row>
    <row r="16" spans="1:5">
      <c r="A16" t="s">
        <v>13917</v>
      </c>
      <c r="B16" t="s">
        <v>13918</v>
      </c>
      <c r="C16" t="s">
        <v>13919</v>
      </c>
      <c r="D16" t="s">
        <v>13919</v>
      </c>
      <c r="E16" t="s">
        <v>13920</v>
      </c>
    </row>
    <row r="17" spans="1:5">
      <c r="A17" t="s">
        <v>3225</v>
      </c>
      <c r="B17" t="s">
        <v>13921</v>
      </c>
      <c r="C17" t="s">
        <v>13922</v>
      </c>
      <c r="D17" t="s">
        <v>13923</v>
      </c>
      <c r="E17" t="s">
        <v>13924</v>
      </c>
    </row>
    <row r="18" spans="1:5">
      <c r="A18" t="s">
        <v>1193</v>
      </c>
      <c r="B18" t="s">
        <v>13925</v>
      </c>
      <c r="C18" t="s">
        <v>13926</v>
      </c>
      <c r="D18" t="s">
        <v>13927</v>
      </c>
      <c r="E18" t="s">
        <v>13928</v>
      </c>
    </row>
    <row r="19" spans="1:5">
      <c r="A19" t="s">
        <v>13929</v>
      </c>
      <c r="B19" t="s">
        <v>13930</v>
      </c>
      <c r="C19" t="s">
        <v>13909</v>
      </c>
      <c r="D19" t="s">
        <v>13901</v>
      </c>
      <c r="E19" t="s">
        <v>13902</v>
      </c>
    </row>
    <row r="20" spans="1:5">
      <c r="A20" t="s">
        <v>2799</v>
      </c>
      <c r="B20" t="s">
        <v>13931</v>
      </c>
      <c r="C20" t="s">
        <v>13932</v>
      </c>
      <c r="D20" t="s">
        <v>13932</v>
      </c>
      <c r="E20" t="s">
        <v>13933</v>
      </c>
    </row>
    <row r="21" spans="1:5">
      <c r="A21" t="s">
        <v>3424</v>
      </c>
      <c r="B21" t="s">
        <v>13934</v>
      </c>
      <c r="C21" t="s">
        <v>13935</v>
      </c>
      <c r="D21" t="s">
        <v>13935</v>
      </c>
      <c r="E21" t="s">
        <v>13936</v>
      </c>
    </row>
    <row r="22" spans="1:5">
      <c r="A22" t="s">
        <v>2057</v>
      </c>
      <c r="B22" t="s">
        <v>13937</v>
      </c>
      <c r="C22" t="s">
        <v>13938</v>
      </c>
      <c r="D22" t="s">
        <v>13939</v>
      </c>
      <c r="E22" t="s">
        <v>13940</v>
      </c>
    </row>
    <row r="23" spans="1:5">
      <c r="A23" t="s">
        <v>3531</v>
      </c>
      <c r="B23" t="s">
        <v>13941</v>
      </c>
      <c r="C23" t="s">
        <v>13905</v>
      </c>
      <c r="D23" t="s">
        <v>13881</v>
      </c>
      <c r="E23" t="s">
        <v>13882</v>
      </c>
    </row>
    <row r="24" spans="1:5">
      <c r="A24" t="s">
        <v>355</v>
      </c>
      <c r="B24" t="s">
        <v>13942</v>
      </c>
      <c r="C24" t="s">
        <v>13943</v>
      </c>
      <c r="D24" t="s">
        <v>13901</v>
      </c>
      <c r="E24" t="s">
        <v>13902</v>
      </c>
    </row>
    <row r="25" spans="1:5">
      <c r="A25" t="s">
        <v>1883</v>
      </c>
      <c r="B25" t="s">
        <v>13944</v>
      </c>
      <c r="C25" t="s">
        <v>13945</v>
      </c>
      <c r="D25" t="s">
        <v>13946</v>
      </c>
      <c r="E25" t="s">
        <v>13947</v>
      </c>
    </row>
    <row r="26" spans="1:5">
      <c r="A26" t="s">
        <v>13948</v>
      </c>
      <c r="B26" t="s">
        <v>13949</v>
      </c>
      <c r="C26" t="s">
        <v>13950</v>
      </c>
      <c r="D26" t="s">
        <v>13951</v>
      </c>
      <c r="E26" t="s">
        <v>13952</v>
      </c>
    </row>
    <row r="27" spans="1:5">
      <c r="A27" t="s">
        <v>2142</v>
      </c>
      <c r="B27" t="s">
        <v>13953</v>
      </c>
      <c r="C27" t="s">
        <v>13954</v>
      </c>
      <c r="D27" t="s">
        <v>13955</v>
      </c>
      <c r="E27" t="s">
        <v>13956</v>
      </c>
    </row>
    <row r="28" spans="1:5">
      <c r="A28" t="s">
        <v>13957</v>
      </c>
      <c r="B28" t="s">
        <v>13958</v>
      </c>
      <c r="C28" t="s">
        <v>13959</v>
      </c>
      <c r="D28" t="s">
        <v>13955</v>
      </c>
      <c r="E28" t="s">
        <v>13956</v>
      </c>
    </row>
    <row r="29" spans="1:5">
      <c r="A29" t="s">
        <v>13960</v>
      </c>
      <c r="B29" t="s">
        <v>13961</v>
      </c>
      <c r="C29" t="s">
        <v>13954</v>
      </c>
      <c r="D29" t="s">
        <v>13955</v>
      </c>
      <c r="E29" t="s">
        <v>13956</v>
      </c>
    </row>
    <row r="30" spans="1:5">
      <c r="A30" t="s">
        <v>1767</v>
      </c>
      <c r="B30" t="s">
        <v>13962</v>
      </c>
      <c r="C30" t="s">
        <v>13963</v>
      </c>
      <c r="D30" t="s">
        <v>13964</v>
      </c>
      <c r="E30" t="s">
        <v>13965</v>
      </c>
    </row>
    <row r="31" spans="1:5">
      <c r="A31" t="s">
        <v>3092</v>
      </c>
      <c r="B31" t="s">
        <v>13966</v>
      </c>
      <c r="C31" t="s">
        <v>13967</v>
      </c>
      <c r="D31" t="s">
        <v>13968</v>
      </c>
      <c r="E31" t="s">
        <v>13969</v>
      </c>
    </row>
    <row r="32" spans="1:5">
      <c r="A32" t="s">
        <v>2149</v>
      </c>
      <c r="B32" t="s">
        <v>13970</v>
      </c>
      <c r="C32" t="s">
        <v>13892</v>
      </c>
      <c r="D32" t="s">
        <v>13893</v>
      </c>
      <c r="E32" t="s">
        <v>13894</v>
      </c>
    </row>
    <row r="33" spans="1:5">
      <c r="A33" t="s">
        <v>13971</v>
      </c>
      <c r="B33" t="s">
        <v>13972</v>
      </c>
      <c r="C33" t="s">
        <v>13973</v>
      </c>
      <c r="D33" t="s">
        <v>13974</v>
      </c>
      <c r="E33" t="s">
        <v>13975</v>
      </c>
    </row>
    <row r="34" spans="1:5">
      <c r="A34" t="s">
        <v>13976</v>
      </c>
      <c r="B34" t="s">
        <v>13977</v>
      </c>
      <c r="C34" t="s">
        <v>13943</v>
      </c>
      <c r="D34" t="s">
        <v>13901</v>
      </c>
      <c r="E34" t="s">
        <v>13902</v>
      </c>
    </row>
    <row r="35" spans="1:5">
      <c r="A35" t="s">
        <v>13978</v>
      </c>
      <c r="B35" t="s">
        <v>13979</v>
      </c>
      <c r="C35" t="s">
        <v>13951</v>
      </c>
      <c r="D35" t="s">
        <v>13927</v>
      </c>
      <c r="E35" t="s">
        <v>13928</v>
      </c>
    </row>
    <row r="36" spans="1:5">
      <c r="A36" t="s">
        <v>13980</v>
      </c>
      <c r="B36" t="s">
        <v>13981</v>
      </c>
      <c r="C36" t="s">
        <v>13909</v>
      </c>
      <c r="D36" t="s">
        <v>13901</v>
      </c>
      <c r="E36" t="s">
        <v>13902</v>
      </c>
    </row>
    <row r="37" spans="1:5">
      <c r="A37" t="s">
        <v>1272</v>
      </c>
      <c r="B37" t="s">
        <v>13982</v>
      </c>
      <c r="C37" t="s">
        <v>13983</v>
      </c>
      <c r="D37" t="s">
        <v>13927</v>
      </c>
      <c r="E37" t="s">
        <v>13928</v>
      </c>
    </row>
    <row r="38" spans="1:5">
      <c r="A38" t="s">
        <v>13984</v>
      </c>
      <c r="B38" t="s">
        <v>13985</v>
      </c>
      <c r="C38" t="s">
        <v>13986</v>
      </c>
      <c r="D38" t="s">
        <v>13901</v>
      </c>
      <c r="E38" t="s">
        <v>13902</v>
      </c>
    </row>
    <row r="39" spans="1:5">
      <c r="A39" t="s">
        <v>1740</v>
      </c>
      <c r="B39" t="s">
        <v>13987</v>
      </c>
      <c r="C39" t="s">
        <v>13988</v>
      </c>
      <c r="D39" t="s">
        <v>13989</v>
      </c>
      <c r="E39" t="s">
        <v>13990</v>
      </c>
    </row>
    <row r="40" spans="1:5">
      <c r="A40" t="s">
        <v>13991</v>
      </c>
      <c r="B40" t="s">
        <v>13992</v>
      </c>
      <c r="C40" t="s">
        <v>13993</v>
      </c>
      <c r="D40" t="s">
        <v>13994</v>
      </c>
      <c r="E40" t="s">
        <v>13995</v>
      </c>
    </row>
    <row r="41" spans="1:5">
      <c r="A41" t="s">
        <v>724</v>
      </c>
      <c r="B41" t="s">
        <v>13996</v>
      </c>
      <c r="C41" t="s">
        <v>13986</v>
      </c>
      <c r="D41" t="s">
        <v>13901</v>
      </c>
      <c r="E41" t="s">
        <v>13902</v>
      </c>
    </row>
    <row r="42" spans="1:5">
      <c r="A42" t="s">
        <v>1115</v>
      </c>
      <c r="B42" t="s">
        <v>13997</v>
      </c>
      <c r="C42" t="s">
        <v>13926</v>
      </c>
      <c r="D42" t="s">
        <v>13927</v>
      </c>
      <c r="E42" t="s">
        <v>13928</v>
      </c>
    </row>
    <row r="43" spans="1:5">
      <c r="A43" t="s">
        <v>2163</v>
      </c>
      <c r="B43" t="s">
        <v>13998</v>
      </c>
      <c r="C43" t="s">
        <v>13999</v>
      </c>
      <c r="D43" t="s">
        <v>13955</v>
      </c>
      <c r="E43" t="s">
        <v>13956</v>
      </c>
    </row>
    <row r="44" spans="1:5">
      <c r="A44" t="s">
        <v>2493</v>
      </c>
      <c r="B44" t="s">
        <v>14000</v>
      </c>
      <c r="C44" t="s">
        <v>14001</v>
      </c>
      <c r="D44" t="s">
        <v>14002</v>
      </c>
      <c r="E44" t="s">
        <v>14003</v>
      </c>
    </row>
    <row r="45" spans="1:5">
      <c r="A45" t="s">
        <v>2162</v>
      </c>
      <c r="B45" t="s">
        <v>14004</v>
      </c>
      <c r="C45" t="s">
        <v>14005</v>
      </c>
      <c r="D45" t="s">
        <v>13939</v>
      </c>
      <c r="E45" t="s">
        <v>13940</v>
      </c>
    </row>
    <row r="46" spans="1:5">
      <c r="A46" t="s">
        <v>1615</v>
      </c>
      <c r="B46" t="s">
        <v>14006</v>
      </c>
      <c r="C46" t="s">
        <v>14007</v>
      </c>
      <c r="D46" t="s">
        <v>13989</v>
      </c>
      <c r="E46" t="s">
        <v>13990</v>
      </c>
    </row>
    <row r="47" spans="1:5">
      <c r="A47" t="s">
        <v>14008</v>
      </c>
      <c r="B47" t="s">
        <v>14009</v>
      </c>
      <c r="C47" t="s">
        <v>13871</v>
      </c>
      <c r="D47" t="s">
        <v>13872</v>
      </c>
      <c r="E47" t="s">
        <v>13873</v>
      </c>
    </row>
    <row r="48" spans="1:5">
      <c r="A48" t="s">
        <v>14010</v>
      </c>
      <c r="B48" t="s">
        <v>14011</v>
      </c>
      <c r="C48" t="s">
        <v>14012</v>
      </c>
      <c r="D48" t="s">
        <v>13927</v>
      </c>
      <c r="E48" t="s">
        <v>13928</v>
      </c>
    </row>
    <row r="49" spans="1:5">
      <c r="A49" t="s">
        <v>2833</v>
      </c>
      <c r="B49" t="s">
        <v>14013</v>
      </c>
      <c r="C49" t="s">
        <v>13932</v>
      </c>
      <c r="D49" t="s">
        <v>13932</v>
      </c>
      <c r="E49" t="s">
        <v>13933</v>
      </c>
    </row>
    <row r="50" spans="1:5">
      <c r="A50" t="s">
        <v>1624</v>
      </c>
      <c r="B50" t="s">
        <v>14014</v>
      </c>
      <c r="C50" t="s">
        <v>14015</v>
      </c>
      <c r="D50" t="s">
        <v>13989</v>
      </c>
      <c r="E50" t="s">
        <v>13990</v>
      </c>
    </row>
    <row r="51" spans="1:5">
      <c r="A51" t="s">
        <v>3391</v>
      </c>
      <c r="B51" t="s">
        <v>14016</v>
      </c>
      <c r="C51" t="s">
        <v>14017</v>
      </c>
      <c r="D51" t="s">
        <v>14018</v>
      </c>
      <c r="E51" t="s">
        <v>14019</v>
      </c>
    </row>
    <row r="52" spans="1:5">
      <c r="A52" t="s">
        <v>2194</v>
      </c>
      <c r="B52" t="s">
        <v>14020</v>
      </c>
      <c r="C52" t="s">
        <v>14021</v>
      </c>
      <c r="D52" t="s">
        <v>14021</v>
      </c>
      <c r="E52" t="s">
        <v>14022</v>
      </c>
    </row>
    <row r="53" spans="1:5">
      <c r="A53" t="s">
        <v>2645</v>
      </c>
      <c r="B53" t="s">
        <v>14023</v>
      </c>
      <c r="C53" t="s">
        <v>14024</v>
      </c>
      <c r="D53" t="s">
        <v>14025</v>
      </c>
      <c r="E53" t="s">
        <v>14026</v>
      </c>
    </row>
    <row r="54" spans="1:5">
      <c r="A54" t="s">
        <v>389</v>
      </c>
      <c r="B54" t="s">
        <v>14027</v>
      </c>
      <c r="C54" t="s">
        <v>13943</v>
      </c>
      <c r="D54" t="s">
        <v>13901</v>
      </c>
      <c r="E54" t="s">
        <v>13902</v>
      </c>
    </row>
    <row r="55" spans="1:5">
      <c r="A55" t="s">
        <v>14028</v>
      </c>
      <c r="B55" t="s">
        <v>14029</v>
      </c>
      <c r="C55" t="s">
        <v>14012</v>
      </c>
      <c r="D55" t="s">
        <v>13927</v>
      </c>
      <c r="E55" t="s">
        <v>13928</v>
      </c>
    </row>
    <row r="56" spans="1:5">
      <c r="A56" t="s">
        <v>2183</v>
      </c>
      <c r="B56" t="s">
        <v>14030</v>
      </c>
      <c r="C56" t="s">
        <v>14031</v>
      </c>
      <c r="D56" t="s">
        <v>13872</v>
      </c>
      <c r="E56" t="s">
        <v>13873</v>
      </c>
    </row>
    <row r="57" spans="1:5">
      <c r="A57" t="s">
        <v>1109</v>
      </c>
      <c r="B57" t="s">
        <v>14032</v>
      </c>
      <c r="C57" t="s">
        <v>13951</v>
      </c>
      <c r="D57" t="s">
        <v>13927</v>
      </c>
      <c r="E57" t="s">
        <v>13928</v>
      </c>
    </row>
    <row r="58" spans="1:5">
      <c r="A58" t="s">
        <v>969</v>
      </c>
      <c r="B58" t="s">
        <v>14033</v>
      </c>
      <c r="C58" t="s">
        <v>14034</v>
      </c>
      <c r="D58" t="s">
        <v>13901</v>
      </c>
      <c r="E58" t="s">
        <v>13902</v>
      </c>
    </row>
    <row r="59" spans="1:5">
      <c r="A59" t="s">
        <v>2513</v>
      </c>
      <c r="B59" t="s">
        <v>14035</v>
      </c>
      <c r="C59" t="s">
        <v>14036</v>
      </c>
      <c r="D59" t="s">
        <v>14002</v>
      </c>
      <c r="E59" t="s">
        <v>14003</v>
      </c>
    </row>
    <row r="60" spans="1:5">
      <c r="A60" t="s">
        <v>14037</v>
      </c>
      <c r="B60" t="s">
        <v>14038</v>
      </c>
      <c r="C60" t="s">
        <v>14039</v>
      </c>
      <c r="D60" t="s">
        <v>14040</v>
      </c>
      <c r="E60" t="s">
        <v>14041</v>
      </c>
    </row>
    <row r="61" spans="1:5">
      <c r="A61" t="s">
        <v>234</v>
      </c>
      <c r="B61" t="s">
        <v>14042</v>
      </c>
      <c r="C61" t="s">
        <v>13943</v>
      </c>
      <c r="D61" t="s">
        <v>13901</v>
      </c>
      <c r="E61" t="s">
        <v>13902</v>
      </c>
    </row>
    <row r="62" spans="1:5">
      <c r="A62" t="s">
        <v>3392</v>
      </c>
      <c r="B62" t="s">
        <v>14043</v>
      </c>
      <c r="C62" t="s">
        <v>14044</v>
      </c>
      <c r="D62" t="s">
        <v>13881</v>
      </c>
      <c r="E62" t="s">
        <v>13882</v>
      </c>
    </row>
    <row r="63" spans="1:5">
      <c r="A63" t="s">
        <v>14045</v>
      </c>
      <c r="B63" t="s">
        <v>14046</v>
      </c>
      <c r="C63" t="s">
        <v>13871</v>
      </c>
      <c r="D63" t="s">
        <v>13872</v>
      </c>
      <c r="E63" t="s">
        <v>13873</v>
      </c>
    </row>
    <row r="64" spans="1:5">
      <c r="A64" t="s">
        <v>2814</v>
      </c>
      <c r="B64" t="s">
        <v>14047</v>
      </c>
      <c r="C64" t="s">
        <v>14048</v>
      </c>
      <c r="D64" t="s">
        <v>14049</v>
      </c>
      <c r="E64" t="s">
        <v>14050</v>
      </c>
    </row>
    <row r="65" spans="1:5">
      <c r="A65" t="s">
        <v>1588</v>
      </c>
      <c r="B65" t="s">
        <v>14051</v>
      </c>
      <c r="C65" t="s">
        <v>14052</v>
      </c>
      <c r="D65" t="s">
        <v>14053</v>
      </c>
      <c r="E65" t="s">
        <v>14054</v>
      </c>
    </row>
    <row r="66" spans="1:5">
      <c r="A66" t="s">
        <v>14055</v>
      </c>
      <c r="B66" t="s">
        <v>14056</v>
      </c>
      <c r="C66" t="s">
        <v>14057</v>
      </c>
      <c r="D66" t="s">
        <v>14058</v>
      </c>
      <c r="E66" t="s">
        <v>14059</v>
      </c>
    </row>
    <row r="67" spans="1:5">
      <c r="A67" t="s">
        <v>2754</v>
      </c>
      <c r="B67" t="s">
        <v>14060</v>
      </c>
      <c r="C67" t="s">
        <v>14061</v>
      </c>
      <c r="D67" t="s">
        <v>13913</v>
      </c>
      <c r="E67" t="s">
        <v>13914</v>
      </c>
    </row>
    <row r="68" spans="1:5">
      <c r="A68" t="s">
        <v>14062</v>
      </c>
      <c r="B68" t="s">
        <v>14063</v>
      </c>
      <c r="C68" t="s">
        <v>14061</v>
      </c>
      <c r="D68" t="s">
        <v>13913</v>
      </c>
      <c r="E68" t="s">
        <v>13914</v>
      </c>
    </row>
    <row r="69" spans="1:5">
      <c r="A69" t="s">
        <v>2869</v>
      </c>
      <c r="B69" t="s">
        <v>14064</v>
      </c>
      <c r="C69" t="s">
        <v>14061</v>
      </c>
      <c r="D69" t="s">
        <v>13913</v>
      </c>
      <c r="E69" t="s">
        <v>13914</v>
      </c>
    </row>
    <row r="70" spans="1:5">
      <c r="A70" t="s">
        <v>2920</v>
      </c>
      <c r="B70" t="s">
        <v>14065</v>
      </c>
      <c r="C70" t="s">
        <v>14061</v>
      </c>
      <c r="D70" t="s">
        <v>13913</v>
      </c>
      <c r="E70" t="s">
        <v>13914</v>
      </c>
    </row>
    <row r="71" spans="1:5">
      <c r="A71" t="s">
        <v>1716</v>
      </c>
      <c r="B71" t="s">
        <v>14066</v>
      </c>
      <c r="C71" t="s">
        <v>13988</v>
      </c>
      <c r="D71" t="s">
        <v>13989</v>
      </c>
      <c r="E71" t="s">
        <v>13990</v>
      </c>
    </row>
    <row r="72" spans="1:5">
      <c r="A72" t="s">
        <v>2784</v>
      </c>
      <c r="B72" t="s">
        <v>14067</v>
      </c>
      <c r="C72" t="s">
        <v>14061</v>
      </c>
      <c r="D72" t="s">
        <v>13913</v>
      </c>
      <c r="E72" t="s">
        <v>13914</v>
      </c>
    </row>
    <row r="73" spans="1:5">
      <c r="A73" t="s">
        <v>14068</v>
      </c>
      <c r="B73" t="s">
        <v>14069</v>
      </c>
      <c r="C73" t="s">
        <v>13893</v>
      </c>
      <c r="D73" t="s">
        <v>13893</v>
      </c>
      <c r="E73" t="s">
        <v>13894</v>
      </c>
    </row>
    <row r="74" spans="1:5">
      <c r="A74" t="s">
        <v>183</v>
      </c>
      <c r="B74" t="s">
        <v>14070</v>
      </c>
      <c r="C74" t="s">
        <v>13905</v>
      </c>
      <c r="D74" t="s">
        <v>13901</v>
      </c>
      <c r="E74" t="s">
        <v>13902</v>
      </c>
    </row>
    <row r="75" spans="1:5">
      <c r="A75" t="s">
        <v>3084</v>
      </c>
      <c r="B75" t="s">
        <v>14071</v>
      </c>
      <c r="C75" t="s">
        <v>14072</v>
      </c>
      <c r="D75" t="s">
        <v>14073</v>
      </c>
      <c r="E75" t="s">
        <v>14074</v>
      </c>
    </row>
    <row r="76" spans="1:5">
      <c r="A76" t="s">
        <v>14075</v>
      </c>
      <c r="B76" t="s">
        <v>14076</v>
      </c>
      <c r="C76" t="s">
        <v>14077</v>
      </c>
      <c r="D76" t="s">
        <v>14078</v>
      </c>
      <c r="E76" t="s">
        <v>14079</v>
      </c>
    </row>
    <row r="77" spans="1:5">
      <c r="A77" t="s">
        <v>3429</v>
      </c>
      <c r="B77" t="s">
        <v>14080</v>
      </c>
      <c r="C77" t="s">
        <v>14081</v>
      </c>
      <c r="D77" t="s">
        <v>14081</v>
      </c>
      <c r="E77" t="s">
        <v>14082</v>
      </c>
    </row>
    <row r="78" spans="1:5">
      <c r="A78" t="s">
        <v>1884</v>
      </c>
      <c r="B78" t="s">
        <v>14083</v>
      </c>
      <c r="C78" t="s">
        <v>13988</v>
      </c>
      <c r="D78" t="s">
        <v>13989</v>
      </c>
      <c r="E78" t="s">
        <v>13990</v>
      </c>
    </row>
    <row r="79" spans="1:5">
      <c r="A79" t="s">
        <v>1230</v>
      </c>
      <c r="B79" t="s">
        <v>14084</v>
      </c>
      <c r="C79" t="s">
        <v>13951</v>
      </c>
      <c r="D79" t="s">
        <v>13927</v>
      </c>
      <c r="E79" t="s">
        <v>13928</v>
      </c>
    </row>
    <row r="80" spans="1:5">
      <c r="A80" t="s">
        <v>2275</v>
      </c>
      <c r="B80" t="s">
        <v>14085</v>
      </c>
      <c r="C80" t="s">
        <v>13892</v>
      </c>
      <c r="D80" t="s">
        <v>13893</v>
      </c>
      <c r="E80" t="s">
        <v>13894</v>
      </c>
    </row>
    <row r="81" spans="1:5">
      <c r="A81" t="s">
        <v>14086</v>
      </c>
      <c r="B81" t="s">
        <v>14087</v>
      </c>
      <c r="C81" t="s">
        <v>14088</v>
      </c>
      <c r="D81" t="s">
        <v>14089</v>
      </c>
      <c r="E81" t="s">
        <v>14090</v>
      </c>
    </row>
    <row r="82" spans="1:5">
      <c r="A82" t="s">
        <v>3564</v>
      </c>
      <c r="B82" t="s">
        <v>14091</v>
      </c>
      <c r="C82" t="s">
        <v>14092</v>
      </c>
      <c r="D82" t="s">
        <v>13994</v>
      </c>
      <c r="E82" t="s">
        <v>13995</v>
      </c>
    </row>
    <row r="83" spans="1:5">
      <c r="A83" t="s">
        <v>2771</v>
      </c>
      <c r="B83" t="s">
        <v>14093</v>
      </c>
      <c r="C83" t="s">
        <v>14057</v>
      </c>
      <c r="D83" t="s">
        <v>14058</v>
      </c>
      <c r="E83" t="s">
        <v>14059</v>
      </c>
    </row>
    <row r="84" spans="1:5">
      <c r="A84" t="s">
        <v>14094</v>
      </c>
      <c r="B84" t="s">
        <v>14095</v>
      </c>
      <c r="C84" t="s">
        <v>13922</v>
      </c>
      <c r="D84" t="s">
        <v>13923</v>
      </c>
      <c r="E84" t="s">
        <v>13924</v>
      </c>
    </row>
    <row r="85" spans="1:5">
      <c r="A85" t="s">
        <v>14096</v>
      </c>
      <c r="B85" t="s">
        <v>14097</v>
      </c>
      <c r="C85" t="s">
        <v>13922</v>
      </c>
      <c r="D85" t="s">
        <v>13923</v>
      </c>
      <c r="E85" t="s">
        <v>13924</v>
      </c>
    </row>
    <row r="86" spans="1:5">
      <c r="A86" t="s">
        <v>14098</v>
      </c>
      <c r="B86" t="s">
        <v>14099</v>
      </c>
      <c r="C86" t="s">
        <v>14100</v>
      </c>
      <c r="D86" t="s">
        <v>13989</v>
      </c>
      <c r="E86" t="s">
        <v>13990</v>
      </c>
    </row>
    <row r="87" spans="1:5">
      <c r="A87" t="s">
        <v>14101</v>
      </c>
      <c r="B87" t="s">
        <v>14102</v>
      </c>
      <c r="C87" t="s">
        <v>13926</v>
      </c>
      <c r="D87" t="s">
        <v>13927</v>
      </c>
      <c r="E87" t="s">
        <v>13928</v>
      </c>
    </row>
    <row r="88" spans="1:5">
      <c r="A88" t="s">
        <v>616</v>
      </c>
      <c r="B88" t="s">
        <v>14103</v>
      </c>
      <c r="C88" t="s">
        <v>13900</v>
      </c>
      <c r="D88" t="s">
        <v>13901</v>
      </c>
      <c r="E88" t="s">
        <v>13902</v>
      </c>
    </row>
    <row r="89" spans="1:5">
      <c r="A89" t="s">
        <v>2508</v>
      </c>
      <c r="B89" t="s">
        <v>14104</v>
      </c>
      <c r="C89" t="s">
        <v>14088</v>
      </c>
      <c r="D89" t="s">
        <v>14089</v>
      </c>
      <c r="E89" t="s">
        <v>14090</v>
      </c>
    </row>
    <row r="90" spans="1:5">
      <c r="A90" t="s">
        <v>1621</v>
      </c>
      <c r="B90" t="s">
        <v>14105</v>
      </c>
      <c r="C90" t="s">
        <v>14106</v>
      </c>
      <c r="D90" t="s">
        <v>14107</v>
      </c>
      <c r="E90" t="s">
        <v>14108</v>
      </c>
    </row>
    <row r="91" spans="1:5">
      <c r="A91" t="s">
        <v>1284</v>
      </c>
      <c r="B91" t="s">
        <v>14109</v>
      </c>
      <c r="C91" t="s">
        <v>14110</v>
      </c>
      <c r="D91" t="s">
        <v>13876</v>
      </c>
      <c r="E91" t="s">
        <v>13877</v>
      </c>
    </row>
    <row r="92" spans="1:5">
      <c r="A92" t="s">
        <v>2773</v>
      </c>
      <c r="B92" t="s">
        <v>14111</v>
      </c>
      <c r="C92" t="s">
        <v>14112</v>
      </c>
      <c r="D92" t="s">
        <v>13932</v>
      </c>
      <c r="E92" t="s">
        <v>13933</v>
      </c>
    </row>
    <row r="93" spans="1:5">
      <c r="A93" t="s">
        <v>14113</v>
      </c>
      <c r="B93" t="s">
        <v>14114</v>
      </c>
      <c r="C93" t="s">
        <v>13988</v>
      </c>
      <c r="D93" t="s">
        <v>13989</v>
      </c>
      <c r="E93" t="s">
        <v>13990</v>
      </c>
    </row>
    <row r="94" spans="1:5">
      <c r="A94" t="s">
        <v>1750</v>
      </c>
      <c r="B94" t="s">
        <v>14115</v>
      </c>
      <c r="C94" t="s">
        <v>14116</v>
      </c>
      <c r="D94" t="s">
        <v>13964</v>
      </c>
      <c r="E94" t="s">
        <v>13965</v>
      </c>
    </row>
    <row r="95" spans="1:5">
      <c r="A95" t="s">
        <v>2976</v>
      </c>
      <c r="B95" t="s">
        <v>14117</v>
      </c>
      <c r="C95" t="s">
        <v>14053</v>
      </c>
      <c r="D95" t="s">
        <v>14118</v>
      </c>
      <c r="E95" t="s">
        <v>14119</v>
      </c>
    </row>
    <row r="96" spans="1:5">
      <c r="A96" t="s">
        <v>14120</v>
      </c>
      <c r="B96" t="s">
        <v>14121</v>
      </c>
      <c r="C96" t="s">
        <v>14012</v>
      </c>
      <c r="D96" t="s">
        <v>13927</v>
      </c>
      <c r="E96" t="s">
        <v>13928</v>
      </c>
    </row>
    <row r="97" spans="1:5">
      <c r="A97" t="s">
        <v>14122</v>
      </c>
      <c r="B97" t="s">
        <v>14123</v>
      </c>
      <c r="C97" t="s">
        <v>14012</v>
      </c>
      <c r="D97" t="s">
        <v>13927</v>
      </c>
      <c r="E97" t="s">
        <v>13928</v>
      </c>
    </row>
    <row r="98" spans="1:5">
      <c r="A98" t="s">
        <v>14124</v>
      </c>
      <c r="B98" t="s">
        <v>14125</v>
      </c>
      <c r="C98" t="s">
        <v>14012</v>
      </c>
      <c r="D98" t="s">
        <v>13927</v>
      </c>
      <c r="E98" t="s">
        <v>13928</v>
      </c>
    </row>
    <row r="99" spans="1:5">
      <c r="A99" t="s">
        <v>2325</v>
      </c>
      <c r="B99" t="s">
        <v>14126</v>
      </c>
      <c r="C99" t="s">
        <v>14021</v>
      </c>
      <c r="D99" t="s">
        <v>14021</v>
      </c>
      <c r="E99" t="s">
        <v>14022</v>
      </c>
    </row>
    <row r="100" spans="1:5">
      <c r="A100" t="s">
        <v>14127</v>
      </c>
      <c r="B100" t="s">
        <v>14128</v>
      </c>
      <c r="C100" t="s">
        <v>14129</v>
      </c>
      <c r="D100" t="s">
        <v>13927</v>
      </c>
      <c r="E100" t="s">
        <v>13928</v>
      </c>
    </row>
    <row r="101" spans="1:5">
      <c r="A101" t="s">
        <v>14130</v>
      </c>
      <c r="B101" t="s">
        <v>14131</v>
      </c>
      <c r="C101" t="s">
        <v>14132</v>
      </c>
      <c r="D101" t="s">
        <v>14133</v>
      </c>
      <c r="E101" t="s">
        <v>14134</v>
      </c>
    </row>
    <row r="102" spans="1:5">
      <c r="A102" t="s">
        <v>14135</v>
      </c>
      <c r="B102" t="s">
        <v>14136</v>
      </c>
      <c r="C102" t="s">
        <v>14012</v>
      </c>
      <c r="D102" t="s">
        <v>13927</v>
      </c>
      <c r="E102" t="s">
        <v>13928</v>
      </c>
    </row>
    <row r="103" spans="1:5">
      <c r="A103" t="s">
        <v>14137</v>
      </c>
      <c r="B103" t="s">
        <v>14138</v>
      </c>
      <c r="C103" t="s">
        <v>14139</v>
      </c>
      <c r="D103" t="s">
        <v>14140</v>
      </c>
      <c r="E103" t="s">
        <v>14141</v>
      </c>
    </row>
    <row r="104" spans="1:5">
      <c r="A104" t="s">
        <v>267</v>
      </c>
      <c r="B104" t="s">
        <v>14142</v>
      </c>
      <c r="C104" t="s">
        <v>13905</v>
      </c>
      <c r="D104" t="s">
        <v>13901</v>
      </c>
      <c r="E104" t="s">
        <v>13902</v>
      </c>
    </row>
    <row r="105" spans="1:5">
      <c r="A105" t="s">
        <v>14143</v>
      </c>
      <c r="B105" t="s">
        <v>14144</v>
      </c>
      <c r="C105" t="s">
        <v>14145</v>
      </c>
      <c r="D105" t="s">
        <v>13876</v>
      </c>
      <c r="E105" t="s">
        <v>13877</v>
      </c>
    </row>
    <row r="106" spans="1:5">
      <c r="A106" t="s">
        <v>3402</v>
      </c>
      <c r="B106" t="s">
        <v>14146</v>
      </c>
      <c r="C106" t="s">
        <v>14147</v>
      </c>
      <c r="D106" t="s">
        <v>13881</v>
      </c>
      <c r="E106" t="s">
        <v>13882</v>
      </c>
    </row>
    <row r="107" spans="1:5">
      <c r="A107" t="s">
        <v>14148</v>
      </c>
      <c r="B107" t="s">
        <v>14149</v>
      </c>
      <c r="C107" t="s">
        <v>13938</v>
      </c>
      <c r="D107" t="s">
        <v>13939</v>
      </c>
      <c r="E107" t="s">
        <v>13940</v>
      </c>
    </row>
    <row r="108" spans="1:5">
      <c r="A108" t="s">
        <v>1618</v>
      </c>
      <c r="B108" t="s">
        <v>14150</v>
      </c>
      <c r="C108" t="s">
        <v>13988</v>
      </c>
      <c r="D108" t="s">
        <v>13989</v>
      </c>
      <c r="E108" t="s">
        <v>13990</v>
      </c>
    </row>
    <row r="109" spans="1:5">
      <c r="A109" t="s">
        <v>2973</v>
      </c>
      <c r="B109" t="s">
        <v>14151</v>
      </c>
      <c r="C109" t="s">
        <v>14061</v>
      </c>
      <c r="D109" t="s">
        <v>13913</v>
      </c>
      <c r="E109" t="s">
        <v>13914</v>
      </c>
    </row>
    <row r="110" spans="1:5">
      <c r="A110" t="s">
        <v>3018</v>
      </c>
      <c r="B110" t="s">
        <v>14152</v>
      </c>
      <c r="C110" t="s">
        <v>14061</v>
      </c>
      <c r="D110" t="s">
        <v>13913</v>
      </c>
      <c r="E110" t="s">
        <v>13914</v>
      </c>
    </row>
    <row r="111" spans="1:5">
      <c r="A111" t="s">
        <v>3118</v>
      </c>
      <c r="B111" t="s">
        <v>14153</v>
      </c>
      <c r="C111" t="s">
        <v>14154</v>
      </c>
      <c r="D111" t="s">
        <v>14140</v>
      </c>
      <c r="E111" t="s">
        <v>14141</v>
      </c>
    </row>
    <row r="112" spans="1:5">
      <c r="A112" t="s">
        <v>14155</v>
      </c>
      <c r="B112" t="s">
        <v>14156</v>
      </c>
      <c r="C112" t="s">
        <v>13988</v>
      </c>
      <c r="D112" t="s">
        <v>13989</v>
      </c>
      <c r="E112" t="s">
        <v>13990</v>
      </c>
    </row>
    <row r="113" spans="1:5">
      <c r="A113" t="s">
        <v>14157</v>
      </c>
      <c r="B113" t="s">
        <v>14158</v>
      </c>
      <c r="C113" t="s">
        <v>13988</v>
      </c>
      <c r="D113" t="s">
        <v>13989</v>
      </c>
      <c r="E113" t="s">
        <v>13990</v>
      </c>
    </row>
    <row r="114" spans="1:5">
      <c r="A114" t="s">
        <v>1638</v>
      </c>
      <c r="B114" t="s">
        <v>14159</v>
      </c>
      <c r="C114" t="s">
        <v>13988</v>
      </c>
      <c r="D114" t="s">
        <v>13989</v>
      </c>
      <c r="E114" t="s">
        <v>13990</v>
      </c>
    </row>
    <row r="115" spans="1:5">
      <c r="A115" t="s">
        <v>14160</v>
      </c>
      <c r="B115" t="s">
        <v>14161</v>
      </c>
      <c r="C115" t="s">
        <v>14162</v>
      </c>
      <c r="D115" t="s">
        <v>13946</v>
      </c>
      <c r="E115" t="s">
        <v>13947</v>
      </c>
    </row>
    <row r="116" spans="1:5">
      <c r="A116" t="s">
        <v>2916</v>
      </c>
      <c r="B116" t="s">
        <v>14163</v>
      </c>
      <c r="C116" t="s">
        <v>14164</v>
      </c>
      <c r="D116" t="s">
        <v>14165</v>
      </c>
      <c r="E116" t="s">
        <v>14166</v>
      </c>
    </row>
    <row r="117" spans="1:5">
      <c r="A117" t="s">
        <v>14167</v>
      </c>
      <c r="B117" t="s">
        <v>14168</v>
      </c>
      <c r="C117" t="s">
        <v>14169</v>
      </c>
      <c r="D117" t="s">
        <v>13968</v>
      </c>
      <c r="E117" t="s">
        <v>13969</v>
      </c>
    </row>
    <row r="118" spans="1:5">
      <c r="A118" t="s">
        <v>14170</v>
      </c>
      <c r="B118" t="s">
        <v>14171</v>
      </c>
      <c r="C118" t="s">
        <v>14172</v>
      </c>
      <c r="D118" t="s">
        <v>14173</v>
      </c>
      <c r="E118" t="s">
        <v>14174</v>
      </c>
    </row>
    <row r="119" spans="1:5">
      <c r="A119" t="s">
        <v>14175</v>
      </c>
      <c r="B119" t="s">
        <v>14176</v>
      </c>
      <c r="C119" t="s">
        <v>14177</v>
      </c>
      <c r="D119" t="s">
        <v>13946</v>
      </c>
      <c r="E119" t="s">
        <v>13947</v>
      </c>
    </row>
    <row r="120" spans="1:5">
      <c r="A120" t="s">
        <v>14178</v>
      </c>
      <c r="B120" t="s">
        <v>14179</v>
      </c>
      <c r="C120" t="s">
        <v>14081</v>
      </c>
      <c r="D120" t="s">
        <v>14081</v>
      </c>
      <c r="E120" t="s">
        <v>14082</v>
      </c>
    </row>
    <row r="121" spans="1:5">
      <c r="A121" t="s">
        <v>14180</v>
      </c>
      <c r="B121" t="s">
        <v>14181</v>
      </c>
      <c r="C121" t="s">
        <v>14061</v>
      </c>
      <c r="D121" t="s">
        <v>13913</v>
      </c>
      <c r="E121" t="s">
        <v>13914</v>
      </c>
    </row>
    <row r="122" spans="1:5">
      <c r="A122" t="s">
        <v>2785</v>
      </c>
      <c r="B122" t="s">
        <v>14182</v>
      </c>
      <c r="C122" t="s">
        <v>14183</v>
      </c>
      <c r="D122" t="s">
        <v>13916</v>
      </c>
      <c r="E122" t="s">
        <v>14184</v>
      </c>
    </row>
    <row r="123" spans="1:5">
      <c r="A123" t="s">
        <v>2614</v>
      </c>
      <c r="B123" t="s">
        <v>14185</v>
      </c>
      <c r="C123" t="s">
        <v>14132</v>
      </c>
      <c r="D123" t="s">
        <v>14133</v>
      </c>
      <c r="E123" t="s">
        <v>14134</v>
      </c>
    </row>
    <row r="124" spans="1:5">
      <c r="A124" t="s">
        <v>14186</v>
      </c>
      <c r="B124" t="s">
        <v>14187</v>
      </c>
      <c r="C124" t="s">
        <v>14188</v>
      </c>
      <c r="D124" t="s">
        <v>13927</v>
      </c>
      <c r="E124" t="s">
        <v>13928</v>
      </c>
    </row>
    <row r="125" spans="1:5">
      <c r="A125" t="s">
        <v>2790</v>
      </c>
      <c r="B125" t="s">
        <v>14189</v>
      </c>
      <c r="C125" t="s">
        <v>13932</v>
      </c>
      <c r="D125" t="s">
        <v>13932</v>
      </c>
      <c r="E125" t="s">
        <v>13933</v>
      </c>
    </row>
    <row r="126" spans="1:5">
      <c r="A126" t="s">
        <v>2120</v>
      </c>
      <c r="B126" t="s">
        <v>14190</v>
      </c>
      <c r="C126" t="s">
        <v>14191</v>
      </c>
      <c r="D126" t="s">
        <v>13893</v>
      </c>
      <c r="E126" t="s">
        <v>13894</v>
      </c>
    </row>
    <row r="127" spans="1:5">
      <c r="A127" t="s">
        <v>14192</v>
      </c>
      <c r="B127" t="s">
        <v>14193</v>
      </c>
      <c r="C127" t="s">
        <v>14194</v>
      </c>
      <c r="D127" t="s">
        <v>14195</v>
      </c>
      <c r="E127" t="s">
        <v>14196</v>
      </c>
    </row>
    <row r="128" spans="1:5">
      <c r="A128" t="s">
        <v>3090</v>
      </c>
      <c r="B128" t="s">
        <v>14197</v>
      </c>
      <c r="C128" t="s">
        <v>13967</v>
      </c>
      <c r="D128" t="s">
        <v>13968</v>
      </c>
      <c r="E128" t="s">
        <v>13969</v>
      </c>
    </row>
    <row r="129" spans="1:5">
      <c r="A129" t="s">
        <v>3571</v>
      </c>
      <c r="B129" t="s">
        <v>14198</v>
      </c>
      <c r="C129" t="s">
        <v>14199</v>
      </c>
      <c r="D129" t="s">
        <v>14040</v>
      </c>
      <c r="E129" t="s">
        <v>14041</v>
      </c>
    </row>
    <row r="130" spans="1:5">
      <c r="A130" t="s">
        <v>3456</v>
      </c>
      <c r="B130" t="s">
        <v>14200</v>
      </c>
      <c r="C130" t="s">
        <v>14201</v>
      </c>
      <c r="D130" t="s">
        <v>14040</v>
      </c>
      <c r="E130" t="s">
        <v>14041</v>
      </c>
    </row>
    <row r="131" spans="1:5">
      <c r="A131" t="s">
        <v>1726</v>
      </c>
      <c r="B131" t="s">
        <v>14202</v>
      </c>
      <c r="C131" t="s">
        <v>14203</v>
      </c>
      <c r="D131" t="s">
        <v>13946</v>
      </c>
      <c r="E131" t="s">
        <v>13947</v>
      </c>
    </row>
    <row r="132" spans="1:5">
      <c r="A132" t="s">
        <v>1721</v>
      </c>
      <c r="B132" t="s">
        <v>14204</v>
      </c>
      <c r="C132" t="s">
        <v>13988</v>
      </c>
      <c r="D132" t="s">
        <v>13989</v>
      </c>
      <c r="E132" t="s">
        <v>13990</v>
      </c>
    </row>
    <row r="133" spans="1:5">
      <c r="A133" t="s">
        <v>1664</v>
      </c>
      <c r="B133" t="s">
        <v>14205</v>
      </c>
      <c r="C133" t="s">
        <v>14100</v>
      </c>
      <c r="D133" t="s">
        <v>13989</v>
      </c>
      <c r="E133" t="s">
        <v>13990</v>
      </c>
    </row>
    <row r="134" spans="1:5">
      <c r="A134" t="s">
        <v>1102</v>
      </c>
      <c r="B134" t="s">
        <v>14206</v>
      </c>
      <c r="C134" t="s">
        <v>14012</v>
      </c>
      <c r="D134" t="s">
        <v>13927</v>
      </c>
      <c r="E134" t="s">
        <v>13928</v>
      </c>
    </row>
    <row r="135" spans="1:5">
      <c r="A135" t="s">
        <v>2888</v>
      </c>
      <c r="B135" t="s">
        <v>14207</v>
      </c>
      <c r="C135" t="s">
        <v>14183</v>
      </c>
      <c r="D135" t="s">
        <v>13916</v>
      </c>
      <c r="E135" t="s">
        <v>14184</v>
      </c>
    </row>
    <row r="136" spans="1:5">
      <c r="A136" t="s">
        <v>2800</v>
      </c>
      <c r="B136" t="s">
        <v>14208</v>
      </c>
      <c r="C136" t="s">
        <v>14183</v>
      </c>
      <c r="D136" t="s">
        <v>13916</v>
      </c>
      <c r="E136" t="s">
        <v>14184</v>
      </c>
    </row>
    <row r="137" spans="1:5">
      <c r="A137" t="s">
        <v>2499</v>
      </c>
      <c r="B137" t="s">
        <v>14209</v>
      </c>
      <c r="C137" t="s">
        <v>14210</v>
      </c>
      <c r="D137" t="s">
        <v>14211</v>
      </c>
      <c r="E137" t="s">
        <v>14212</v>
      </c>
    </row>
    <row r="138" spans="1:5">
      <c r="A138" t="s">
        <v>14213</v>
      </c>
      <c r="B138" t="s">
        <v>14214</v>
      </c>
      <c r="C138" t="s">
        <v>14012</v>
      </c>
      <c r="D138" t="s">
        <v>13927</v>
      </c>
      <c r="E138" t="s">
        <v>13928</v>
      </c>
    </row>
    <row r="139" spans="1:5">
      <c r="A139" t="s">
        <v>14215</v>
      </c>
      <c r="B139" t="s">
        <v>14216</v>
      </c>
      <c r="C139" t="s">
        <v>14217</v>
      </c>
      <c r="D139" t="s">
        <v>14218</v>
      </c>
      <c r="E139" t="s">
        <v>14219</v>
      </c>
    </row>
    <row r="140" spans="1:5">
      <c r="A140" t="s">
        <v>14220</v>
      </c>
      <c r="B140" t="s">
        <v>14221</v>
      </c>
      <c r="C140" t="s">
        <v>14222</v>
      </c>
      <c r="D140" t="s">
        <v>13901</v>
      </c>
      <c r="E140" t="s">
        <v>13902</v>
      </c>
    </row>
    <row r="141" spans="1:5">
      <c r="A141" t="s">
        <v>2533</v>
      </c>
      <c r="B141" t="s">
        <v>14223</v>
      </c>
      <c r="C141" t="s">
        <v>14224</v>
      </c>
      <c r="D141" t="s">
        <v>14002</v>
      </c>
      <c r="E141" t="s">
        <v>14003</v>
      </c>
    </row>
    <row r="142" spans="1:5">
      <c r="A142" t="s">
        <v>14225</v>
      </c>
      <c r="B142" t="s">
        <v>14226</v>
      </c>
      <c r="C142" t="s">
        <v>14227</v>
      </c>
      <c r="D142" t="s">
        <v>13951</v>
      </c>
      <c r="E142" t="s">
        <v>13952</v>
      </c>
    </row>
    <row r="143" spans="1:5">
      <c r="A143" t="s">
        <v>2963</v>
      </c>
      <c r="B143" t="s">
        <v>14228</v>
      </c>
      <c r="C143" t="s">
        <v>14077</v>
      </c>
      <c r="D143" t="s">
        <v>14078</v>
      </c>
      <c r="E143" t="s">
        <v>14079</v>
      </c>
    </row>
    <row r="144" spans="1:5">
      <c r="A144" t="s">
        <v>14229</v>
      </c>
      <c r="B144" t="s">
        <v>14230</v>
      </c>
      <c r="C144" t="s">
        <v>14231</v>
      </c>
      <c r="D144" t="s">
        <v>13964</v>
      </c>
      <c r="E144" t="s">
        <v>13965</v>
      </c>
    </row>
    <row r="145" spans="1:5">
      <c r="A145" t="s">
        <v>14232</v>
      </c>
      <c r="B145" t="s">
        <v>14233</v>
      </c>
      <c r="C145" t="s">
        <v>14234</v>
      </c>
      <c r="D145" t="s">
        <v>13913</v>
      </c>
      <c r="E145" t="s">
        <v>13914</v>
      </c>
    </row>
    <row r="146" spans="1:5">
      <c r="A146" t="s">
        <v>2085</v>
      </c>
      <c r="B146" t="s">
        <v>14235</v>
      </c>
      <c r="C146" t="s">
        <v>13871</v>
      </c>
      <c r="D146" t="s">
        <v>13872</v>
      </c>
      <c r="E146" t="s">
        <v>13873</v>
      </c>
    </row>
    <row r="147" spans="1:5">
      <c r="A147" t="s">
        <v>14236</v>
      </c>
      <c r="B147" t="s">
        <v>14237</v>
      </c>
      <c r="C147" t="s">
        <v>13871</v>
      </c>
      <c r="D147" t="s">
        <v>13872</v>
      </c>
      <c r="E147" t="s">
        <v>13873</v>
      </c>
    </row>
    <row r="148" spans="1:5">
      <c r="A148" t="s">
        <v>2406</v>
      </c>
      <c r="B148" t="s">
        <v>14238</v>
      </c>
      <c r="C148" t="s">
        <v>13871</v>
      </c>
      <c r="D148" t="s">
        <v>13872</v>
      </c>
      <c r="E148" t="s">
        <v>13873</v>
      </c>
    </row>
    <row r="149" spans="1:5">
      <c r="A149" t="s">
        <v>2148</v>
      </c>
      <c r="B149" t="s">
        <v>14239</v>
      </c>
      <c r="C149" t="s">
        <v>14240</v>
      </c>
      <c r="D149" t="s">
        <v>13872</v>
      </c>
      <c r="E149" t="s">
        <v>13873</v>
      </c>
    </row>
    <row r="150" spans="1:5">
      <c r="A150" t="s">
        <v>1171</v>
      </c>
      <c r="B150" t="s">
        <v>14241</v>
      </c>
      <c r="C150" t="s">
        <v>14242</v>
      </c>
      <c r="D150" t="s">
        <v>14243</v>
      </c>
      <c r="E150" t="s">
        <v>14244</v>
      </c>
    </row>
    <row r="151" spans="1:5">
      <c r="A151" t="s">
        <v>14245</v>
      </c>
      <c r="B151" t="s">
        <v>14246</v>
      </c>
      <c r="C151" t="s">
        <v>14227</v>
      </c>
      <c r="D151" t="s">
        <v>13951</v>
      </c>
      <c r="E151" t="s">
        <v>13952</v>
      </c>
    </row>
    <row r="152" spans="1:5">
      <c r="A152" t="s">
        <v>3142</v>
      </c>
      <c r="B152" t="s">
        <v>14247</v>
      </c>
      <c r="C152" t="s">
        <v>13967</v>
      </c>
      <c r="D152" t="s">
        <v>13968</v>
      </c>
      <c r="E152" t="s">
        <v>13969</v>
      </c>
    </row>
    <row r="153" spans="1:5">
      <c r="A153" t="s">
        <v>3561</v>
      </c>
      <c r="B153" t="s">
        <v>14248</v>
      </c>
      <c r="C153" t="s">
        <v>14249</v>
      </c>
      <c r="D153" t="s">
        <v>14250</v>
      </c>
      <c r="E153" t="s">
        <v>14251</v>
      </c>
    </row>
    <row r="154" spans="1:5">
      <c r="A154" t="s">
        <v>14252</v>
      </c>
      <c r="B154" t="s">
        <v>14253</v>
      </c>
      <c r="C154" t="s">
        <v>14254</v>
      </c>
      <c r="D154" t="s">
        <v>14211</v>
      </c>
      <c r="E154" t="s">
        <v>14212</v>
      </c>
    </row>
    <row r="155" spans="1:5">
      <c r="A155" t="s">
        <v>3226</v>
      </c>
      <c r="B155" t="s">
        <v>14255</v>
      </c>
      <c r="C155" t="s">
        <v>13967</v>
      </c>
      <c r="D155" t="s">
        <v>13968</v>
      </c>
      <c r="E155" t="s">
        <v>13969</v>
      </c>
    </row>
    <row r="156" spans="1:5">
      <c r="A156" t="s">
        <v>14256</v>
      </c>
      <c r="B156" t="s">
        <v>14257</v>
      </c>
      <c r="C156" t="s">
        <v>14258</v>
      </c>
      <c r="D156" t="s">
        <v>14259</v>
      </c>
      <c r="E156" t="s">
        <v>14260</v>
      </c>
    </row>
    <row r="157" spans="1:5">
      <c r="A157" t="s">
        <v>14261</v>
      </c>
      <c r="B157" t="s">
        <v>14262</v>
      </c>
      <c r="C157" t="s">
        <v>14263</v>
      </c>
      <c r="D157" t="s">
        <v>14264</v>
      </c>
      <c r="E157" t="s">
        <v>14265</v>
      </c>
    </row>
    <row r="158" spans="1:5">
      <c r="A158" t="s">
        <v>14266</v>
      </c>
      <c r="B158" t="s">
        <v>14267</v>
      </c>
      <c r="C158" t="s">
        <v>14154</v>
      </c>
      <c r="D158" t="s">
        <v>14140</v>
      </c>
      <c r="E158" t="s">
        <v>14141</v>
      </c>
    </row>
    <row r="159" spans="1:5">
      <c r="A159" t="s">
        <v>14268</v>
      </c>
      <c r="B159" t="s">
        <v>14269</v>
      </c>
      <c r="C159" t="s">
        <v>14203</v>
      </c>
      <c r="D159" t="s">
        <v>13946</v>
      </c>
      <c r="E159" t="s">
        <v>13947</v>
      </c>
    </row>
    <row r="160" spans="1:5">
      <c r="A160" t="s">
        <v>3504</v>
      </c>
      <c r="B160" t="s">
        <v>14270</v>
      </c>
      <c r="C160" t="s">
        <v>14201</v>
      </c>
      <c r="D160" t="s">
        <v>14040</v>
      </c>
      <c r="E160" t="s">
        <v>14041</v>
      </c>
    </row>
    <row r="161" spans="1:5">
      <c r="A161" t="s">
        <v>14271</v>
      </c>
      <c r="B161" t="s">
        <v>14272</v>
      </c>
      <c r="C161" t="s">
        <v>13954</v>
      </c>
      <c r="D161" t="s">
        <v>13955</v>
      </c>
      <c r="E161" t="s">
        <v>13956</v>
      </c>
    </row>
    <row r="162" spans="1:5">
      <c r="A162" t="s">
        <v>2568</v>
      </c>
      <c r="B162" t="s">
        <v>14273</v>
      </c>
      <c r="C162" t="s">
        <v>14001</v>
      </c>
      <c r="D162" t="s">
        <v>14002</v>
      </c>
      <c r="E162" t="s">
        <v>14003</v>
      </c>
    </row>
    <row r="163" spans="1:5">
      <c r="A163" t="s">
        <v>3471</v>
      </c>
      <c r="B163" t="s">
        <v>14274</v>
      </c>
      <c r="C163" t="s">
        <v>14275</v>
      </c>
      <c r="D163" t="s">
        <v>13881</v>
      </c>
      <c r="E163" t="s">
        <v>13882</v>
      </c>
    </row>
    <row r="164" spans="1:5">
      <c r="A164" t="s">
        <v>14276</v>
      </c>
      <c r="B164" t="s">
        <v>14277</v>
      </c>
      <c r="C164" t="s">
        <v>14278</v>
      </c>
      <c r="D164" t="s">
        <v>13946</v>
      </c>
      <c r="E164" t="s">
        <v>13947</v>
      </c>
    </row>
    <row r="165" spans="1:5">
      <c r="A165" t="s">
        <v>1961</v>
      </c>
      <c r="B165" t="s">
        <v>14279</v>
      </c>
      <c r="C165" t="s">
        <v>14052</v>
      </c>
      <c r="D165" t="s">
        <v>14053</v>
      </c>
      <c r="E165" t="s">
        <v>14054</v>
      </c>
    </row>
    <row r="166" spans="1:5">
      <c r="A166" t="s">
        <v>14280</v>
      </c>
      <c r="B166" t="s">
        <v>14281</v>
      </c>
      <c r="C166" t="s">
        <v>14278</v>
      </c>
      <c r="D166" t="s">
        <v>13946</v>
      </c>
      <c r="E166" t="s">
        <v>13947</v>
      </c>
    </row>
    <row r="167" spans="1:5">
      <c r="A167" t="s">
        <v>1401</v>
      </c>
      <c r="B167" t="s">
        <v>14282</v>
      </c>
      <c r="C167" t="s">
        <v>14012</v>
      </c>
      <c r="D167" t="s">
        <v>13927</v>
      </c>
      <c r="E167" t="s">
        <v>13928</v>
      </c>
    </row>
    <row r="168" spans="1:5">
      <c r="A168" t="s">
        <v>3098</v>
      </c>
      <c r="B168" t="s">
        <v>14283</v>
      </c>
      <c r="C168" t="s">
        <v>14284</v>
      </c>
      <c r="D168" t="s">
        <v>14285</v>
      </c>
      <c r="E168" t="s">
        <v>14286</v>
      </c>
    </row>
    <row r="169" spans="1:5">
      <c r="A169" t="s">
        <v>14287</v>
      </c>
      <c r="B169" t="s">
        <v>14288</v>
      </c>
      <c r="C169" t="s">
        <v>14289</v>
      </c>
      <c r="D169" t="s">
        <v>14290</v>
      </c>
      <c r="E169" t="s">
        <v>14291</v>
      </c>
    </row>
    <row r="170" spans="1:5">
      <c r="A170" t="s">
        <v>1710</v>
      </c>
      <c r="B170" t="s">
        <v>14292</v>
      </c>
      <c r="C170" t="s">
        <v>14278</v>
      </c>
      <c r="D170" t="s">
        <v>13946</v>
      </c>
      <c r="E170" t="s">
        <v>13947</v>
      </c>
    </row>
    <row r="171" spans="1:5">
      <c r="A171" t="s">
        <v>1151</v>
      </c>
      <c r="B171" t="s">
        <v>14293</v>
      </c>
      <c r="C171" t="s">
        <v>14294</v>
      </c>
      <c r="D171" t="s">
        <v>14295</v>
      </c>
      <c r="E171" t="s">
        <v>14296</v>
      </c>
    </row>
    <row r="172" spans="1:5">
      <c r="A172" t="s">
        <v>438</v>
      </c>
      <c r="B172" t="s">
        <v>14297</v>
      </c>
      <c r="C172" t="s">
        <v>13905</v>
      </c>
      <c r="D172" t="s">
        <v>13901</v>
      </c>
      <c r="E172" t="s">
        <v>13902</v>
      </c>
    </row>
    <row r="173" spans="1:5">
      <c r="A173" t="s">
        <v>1366</v>
      </c>
      <c r="B173" t="s">
        <v>14298</v>
      </c>
      <c r="C173" t="s">
        <v>14012</v>
      </c>
      <c r="D173" t="s">
        <v>13927</v>
      </c>
      <c r="E173" t="s">
        <v>13928</v>
      </c>
    </row>
    <row r="174" spans="1:5">
      <c r="A174" t="s">
        <v>3529</v>
      </c>
      <c r="B174" t="s">
        <v>14299</v>
      </c>
      <c r="C174" t="s">
        <v>14300</v>
      </c>
      <c r="D174" t="s">
        <v>14301</v>
      </c>
      <c r="E174" t="s">
        <v>14302</v>
      </c>
    </row>
    <row r="175" spans="1:5">
      <c r="A175" t="s">
        <v>14303</v>
      </c>
      <c r="B175" t="s">
        <v>14304</v>
      </c>
      <c r="C175" t="s">
        <v>14305</v>
      </c>
      <c r="D175" t="s">
        <v>14306</v>
      </c>
      <c r="E175" t="s">
        <v>14307</v>
      </c>
    </row>
    <row r="176" spans="1:5">
      <c r="A176" t="s">
        <v>14308</v>
      </c>
      <c r="B176" t="s">
        <v>14309</v>
      </c>
      <c r="C176" t="s">
        <v>14278</v>
      </c>
      <c r="D176" t="s">
        <v>13946</v>
      </c>
      <c r="E176" t="s">
        <v>13947</v>
      </c>
    </row>
    <row r="177" spans="1:5">
      <c r="A177" t="s">
        <v>14310</v>
      </c>
      <c r="B177" t="s">
        <v>14311</v>
      </c>
      <c r="C177" t="s">
        <v>14061</v>
      </c>
      <c r="D177" t="s">
        <v>13913</v>
      </c>
      <c r="E177" t="s">
        <v>13914</v>
      </c>
    </row>
    <row r="178" spans="1:5">
      <c r="A178" t="s">
        <v>2335</v>
      </c>
      <c r="B178" t="s">
        <v>14312</v>
      </c>
      <c r="C178" t="s">
        <v>13889</v>
      </c>
      <c r="D178" t="s">
        <v>13889</v>
      </c>
      <c r="E178" t="s">
        <v>13890</v>
      </c>
    </row>
    <row r="179" spans="1:5">
      <c r="A179" t="s">
        <v>14313</v>
      </c>
      <c r="B179" t="s">
        <v>14314</v>
      </c>
      <c r="C179" t="s">
        <v>13935</v>
      </c>
      <c r="D179" t="s">
        <v>13935</v>
      </c>
      <c r="E179" t="s">
        <v>13936</v>
      </c>
    </row>
    <row r="180" spans="1:5">
      <c r="A180" t="s">
        <v>14315</v>
      </c>
      <c r="B180" t="s">
        <v>14316</v>
      </c>
      <c r="C180" t="s">
        <v>14317</v>
      </c>
      <c r="D180" t="s">
        <v>13968</v>
      </c>
      <c r="E180" t="s">
        <v>13969</v>
      </c>
    </row>
    <row r="181" spans="1:5">
      <c r="A181" t="s">
        <v>14318</v>
      </c>
      <c r="B181" t="s">
        <v>14319</v>
      </c>
      <c r="C181" t="s">
        <v>14263</v>
      </c>
      <c r="D181" t="s">
        <v>14264</v>
      </c>
      <c r="E181" t="s">
        <v>14265</v>
      </c>
    </row>
    <row r="182" spans="1:5">
      <c r="A182" t="s">
        <v>14320</v>
      </c>
      <c r="B182" t="s">
        <v>14321</v>
      </c>
      <c r="C182" t="s">
        <v>14017</v>
      </c>
      <c r="D182" t="s">
        <v>14018</v>
      </c>
      <c r="E182" t="s">
        <v>14019</v>
      </c>
    </row>
    <row r="183" spans="1:5">
      <c r="A183" t="s">
        <v>337</v>
      </c>
      <c r="B183" t="s">
        <v>14322</v>
      </c>
      <c r="C183" t="s">
        <v>14323</v>
      </c>
      <c r="D183" t="s">
        <v>13901</v>
      </c>
      <c r="E183" t="s">
        <v>13902</v>
      </c>
    </row>
    <row r="184" spans="1:5">
      <c r="A184" t="s">
        <v>14324</v>
      </c>
      <c r="B184" t="s">
        <v>14325</v>
      </c>
      <c r="C184" t="s">
        <v>14326</v>
      </c>
      <c r="D184" t="s">
        <v>14327</v>
      </c>
      <c r="E184" t="s">
        <v>14328</v>
      </c>
    </row>
    <row r="185" spans="1:5">
      <c r="A185" t="s">
        <v>14329</v>
      </c>
      <c r="B185" t="s">
        <v>14330</v>
      </c>
      <c r="C185" t="s">
        <v>14203</v>
      </c>
      <c r="D185" t="s">
        <v>13946</v>
      </c>
      <c r="E185" t="s">
        <v>13947</v>
      </c>
    </row>
    <row r="186" spans="1:5">
      <c r="A186" t="s">
        <v>1268</v>
      </c>
      <c r="B186" t="s">
        <v>14331</v>
      </c>
      <c r="C186" t="s">
        <v>14332</v>
      </c>
      <c r="D186" t="s">
        <v>13927</v>
      </c>
      <c r="E186" t="s">
        <v>13928</v>
      </c>
    </row>
    <row r="187" spans="1:5">
      <c r="A187" t="s">
        <v>3572</v>
      </c>
      <c r="B187" t="s">
        <v>14333</v>
      </c>
      <c r="C187" t="s">
        <v>14017</v>
      </c>
      <c r="D187" t="s">
        <v>14018</v>
      </c>
      <c r="E187" t="s">
        <v>14019</v>
      </c>
    </row>
    <row r="188" spans="1:5">
      <c r="A188" t="s">
        <v>14334</v>
      </c>
      <c r="B188" t="s">
        <v>14335</v>
      </c>
      <c r="C188" t="s">
        <v>13909</v>
      </c>
      <c r="D188" t="s">
        <v>13901</v>
      </c>
      <c r="E188" t="s">
        <v>13902</v>
      </c>
    </row>
    <row r="189" spans="1:5">
      <c r="A189" t="s">
        <v>1320</v>
      </c>
      <c r="B189" t="s">
        <v>14336</v>
      </c>
      <c r="C189" t="s">
        <v>14337</v>
      </c>
      <c r="D189" t="s">
        <v>13999</v>
      </c>
      <c r="E189" t="s">
        <v>14338</v>
      </c>
    </row>
    <row r="190" spans="1:5">
      <c r="A190" t="s">
        <v>14339</v>
      </c>
      <c r="B190" t="s">
        <v>14340</v>
      </c>
      <c r="C190" t="s">
        <v>13905</v>
      </c>
      <c r="D190" t="s">
        <v>13901</v>
      </c>
      <c r="E190" t="s">
        <v>13902</v>
      </c>
    </row>
    <row r="191" spans="1:5">
      <c r="A191" t="s">
        <v>2155</v>
      </c>
      <c r="B191" t="s">
        <v>14341</v>
      </c>
      <c r="C191" t="s">
        <v>14342</v>
      </c>
      <c r="D191" t="s">
        <v>14195</v>
      </c>
      <c r="E191" t="s">
        <v>14196</v>
      </c>
    </row>
    <row r="192" spans="1:5">
      <c r="A192" t="s">
        <v>1859</v>
      </c>
      <c r="B192" t="s">
        <v>14343</v>
      </c>
      <c r="C192" t="s">
        <v>14015</v>
      </c>
      <c r="D192" t="s">
        <v>13989</v>
      </c>
      <c r="E192" t="s">
        <v>13990</v>
      </c>
    </row>
    <row r="193" spans="1:5">
      <c r="A193" t="s">
        <v>14344</v>
      </c>
      <c r="B193" t="s">
        <v>14345</v>
      </c>
      <c r="C193" t="s">
        <v>14001</v>
      </c>
      <c r="D193" t="s">
        <v>14002</v>
      </c>
      <c r="E193" t="s">
        <v>14003</v>
      </c>
    </row>
    <row r="194" spans="1:5">
      <c r="A194" t="s">
        <v>14346</v>
      </c>
      <c r="B194" t="s">
        <v>14347</v>
      </c>
      <c r="C194" t="s">
        <v>14348</v>
      </c>
      <c r="D194" t="s">
        <v>14018</v>
      </c>
      <c r="E194" t="s">
        <v>14019</v>
      </c>
    </row>
    <row r="195" spans="1:5">
      <c r="A195" t="s">
        <v>2249</v>
      </c>
      <c r="B195" t="s">
        <v>14349</v>
      </c>
      <c r="C195" t="s">
        <v>14350</v>
      </c>
      <c r="D195" t="s">
        <v>14173</v>
      </c>
      <c r="E195" t="s">
        <v>14174</v>
      </c>
    </row>
    <row r="196" spans="1:5">
      <c r="A196" t="s">
        <v>2552</v>
      </c>
      <c r="B196" t="s">
        <v>14351</v>
      </c>
      <c r="C196" t="s">
        <v>14001</v>
      </c>
      <c r="D196" t="s">
        <v>14002</v>
      </c>
      <c r="E196" t="s">
        <v>14003</v>
      </c>
    </row>
    <row r="197" spans="1:5">
      <c r="A197" t="s">
        <v>14352</v>
      </c>
      <c r="B197" t="s">
        <v>14353</v>
      </c>
      <c r="C197" t="s">
        <v>14177</v>
      </c>
      <c r="D197" t="s">
        <v>13946</v>
      </c>
      <c r="E197" t="s">
        <v>13947</v>
      </c>
    </row>
    <row r="198" spans="1:5">
      <c r="A198" t="s">
        <v>3179</v>
      </c>
      <c r="B198" t="s">
        <v>14354</v>
      </c>
      <c r="C198" t="s">
        <v>14355</v>
      </c>
      <c r="D198" t="s">
        <v>14356</v>
      </c>
      <c r="E198" t="s">
        <v>14357</v>
      </c>
    </row>
    <row r="199" spans="1:5">
      <c r="A199" t="s">
        <v>2998</v>
      </c>
      <c r="B199" t="s">
        <v>14358</v>
      </c>
      <c r="C199" t="s">
        <v>14183</v>
      </c>
      <c r="D199" t="s">
        <v>13916</v>
      </c>
      <c r="E199" t="s">
        <v>14184</v>
      </c>
    </row>
    <row r="200" spans="1:5">
      <c r="A200" t="s">
        <v>2554</v>
      </c>
      <c r="B200" t="s">
        <v>14359</v>
      </c>
      <c r="C200" t="s">
        <v>14001</v>
      </c>
      <c r="D200" t="s">
        <v>14002</v>
      </c>
      <c r="E200" t="s">
        <v>14003</v>
      </c>
    </row>
    <row r="201" spans="1:5">
      <c r="A201" t="s">
        <v>3496</v>
      </c>
      <c r="B201" t="s">
        <v>14360</v>
      </c>
      <c r="C201" t="s">
        <v>14361</v>
      </c>
      <c r="D201" t="s">
        <v>13974</v>
      </c>
      <c r="E201" t="s">
        <v>13975</v>
      </c>
    </row>
    <row r="202" spans="1:5">
      <c r="A202" t="s">
        <v>14362</v>
      </c>
      <c r="B202" t="s">
        <v>14363</v>
      </c>
      <c r="C202" t="s">
        <v>14364</v>
      </c>
      <c r="D202" t="s">
        <v>14211</v>
      </c>
      <c r="E202" t="s">
        <v>14212</v>
      </c>
    </row>
    <row r="203" spans="1:5">
      <c r="A203" t="s">
        <v>14365</v>
      </c>
      <c r="B203" t="s">
        <v>14366</v>
      </c>
      <c r="C203" t="s">
        <v>13922</v>
      </c>
      <c r="D203" t="s">
        <v>13923</v>
      </c>
      <c r="E203" t="s">
        <v>13924</v>
      </c>
    </row>
    <row r="204" spans="1:5">
      <c r="A204" t="s">
        <v>14367</v>
      </c>
      <c r="B204" t="s">
        <v>14368</v>
      </c>
      <c r="C204" t="s">
        <v>14369</v>
      </c>
      <c r="D204" t="s">
        <v>13897</v>
      </c>
      <c r="E204" t="s">
        <v>13898</v>
      </c>
    </row>
    <row r="205" spans="1:5">
      <c r="A205" t="s">
        <v>2879</v>
      </c>
      <c r="B205" t="s">
        <v>14370</v>
      </c>
      <c r="C205" t="s">
        <v>14061</v>
      </c>
      <c r="D205" t="s">
        <v>13913</v>
      </c>
      <c r="E205" t="s">
        <v>13914</v>
      </c>
    </row>
    <row r="206" spans="1:5">
      <c r="A206" t="s">
        <v>14371</v>
      </c>
      <c r="B206" t="s">
        <v>14372</v>
      </c>
      <c r="C206" t="s">
        <v>14373</v>
      </c>
      <c r="D206" t="s">
        <v>14133</v>
      </c>
      <c r="E206" t="s">
        <v>14134</v>
      </c>
    </row>
    <row r="207" spans="1:5">
      <c r="A207" t="s">
        <v>14374</v>
      </c>
      <c r="B207" t="s">
        <v>14375</v>
      </c>
      <c r="C207" t="s">
        <v>14376</v>
      </c>
      <c r="D207" t="s">
        <v>14377</v>
      </c>
      <c r="E207" t="s">
        <v>14378</v>
      </c>
    </row>
    <row r="208" spans="1:5">
      <c r="A208" t="s">
        <v>2574</v>
      </c>
      <c r="B208" t="s">
        <v>14379</v>
      </c>
      <c r="C208" t="s">
        <v>14380</v>
      </c>
      <c r="D208" t="s">
        <v>14381</v>
      </c>
      <c r="E208" t="s">
        <v>14382</v>
      </c>
    </row>
    <row r="209" spans="1:5">
      <c r="A209" t="s">
        <v>1405</v>
      </c>
      <c r="B209" t="s">
        <v>14383</v>
      </c>
      <c r="C209" t="s">
        <v>14012</v>
      </c>
      <c r="D209" t="s">
        <v>13927</v>
      </c>
      <c r="E209" t="s">
        <v>13928</v>
      </c>
    </row>
    <row r="210" spans="1:5">
      <c r="A210" t="s">
        <v>14384</v>
      </c>
      <c r="B210" t="s">
        <v>14385</v>
      </c>
      <c r="C210" t="s">
        <v>14001</v>
      </c>
      <c r="D210" t="s">
        <v>14002</v>
      </c>
      <c r="E210" t="s">
        <v>14003</v>
      </c>
    </row>
    <row r="211" spans="1:5">
      <c r="A211" t="s">
        <v>495</v>
      </c>
      <c r="B211" t="s">
        <v>14386</v>
      </c>
      <c r="C211" t="s">
        <v>13943</v>
      </c>
      <c r="D211" t="s">
        <v>13901</v>
      </c>
      <c r="E211" t="s">
        <v>13902</v>
      </c>
    </row>
    <row r="212" spans="1:5">
      <c r="A212" t="s">
        <v>14387</v>
      </c>
      <c r="B212" t="s">
        <v>14388</v>
      </c>
      <c r="C212" t="s">
        <v>13988</v>
      </c>
      <c r="D212" t="s">
        <v>13989</v>
      </c>
      <c r="E212" t="s">
        <v>13990</v>
      </c>
    </row>
    <row r="213" spans="1:5">
      <c r="A213" t="s">
        <v>586</v>
      </c>
      <c r="B213" t="s">
        <v>14389</v>
      </c>
      <c r="C213" t="s">
        <v>13905</v>
      </c>
      <c r="D213" t="s">
        <v>13901</v>
      </c>
      <c r="E213" t="s">
        <v>13902</v>
      </c>
    </row>
    <row r="214" spans="1:5">
      <c r="A214" t="s">
        <v>412</v>
      </c>
      <c r="B214" t="s">
        <v>14390</v>
      </c>
      <c r="C214" t="s">
        <v>13916</v>
      </c>
      <c r="D214" t="s">
        <v>13901</v>
      </c>
      <c r="E214" t="s">
        <v>13902</v>
      </c>
    </row>
    <row r="215" spans="1:5">
      <c r="A215" t="s">
        <v>2694</v>
      </c>
      <c r="B215" t="s">
        <v>14391</v>
      </c>
      <c r="C215" t="s">
        <v>14001</v>
      </c>
      <c r="D215" t="s">
        <v>14002</v>
      </c>
      <c r="E215" t="s">
        <v>14003</v>
      </c>
    </row>
    <row r="216" spans="1:5">
      <c r="A216" t="s">
        <v>14392</v>
      </c>
      <c r="B216" t="s">
        <v>14393</v>
      </c>
      <c r="C216" t="s">
        <v>14394</v>
      </c>
      <c r="D216" t="s">
        <v>13964</v>
      </c>
      <c r="E216" t="s">
        <v>13965</v>
      </c>
    </row>
    <row r="217" spans="1:5">
      <c r="A217" t="s">
        <v>14395</v>
      </c>
      <c r="B217" t="s">
        <v>14396</v>
      </c>
      <c r="C217" t="s">
        <v>14397</v>
      </c>
      <c r="D217" t="s">
        <v>14397</v>
      </c>
      <c r="E217" t="s">
        <v>14398</v>
      </c>
    </row>
    <row r="218" spans="1:5">
      <c r="A218" t="s">
        <v>2579</v>
      </c>
      <c r="B218" t="s">
        <v>14399</v>
      </c>
      <c r="C218" t="s">
        <v>14400</v>
      </c>
      <c r="D218" t="s">
        <v>14381</v>
      </c>
      <c r="E218" t="s">
        <v>14382</v>
      </c>
    </row>
    <row r="219" spans="1:5">
      <c r="A219" t="s">
        <v>14401</v>
      </c>
      <c r="B219" t="s">
        <v>14402</v>
      </c>
      <c r="C219" t="s">
        <v>14403</v>
      </c>
      <c r="D219" t="s">
        <v>14404</v>
      </c>
      <c r="E219" t="s">
        <v>14405</v>
      </c>
    </row>
    <row r="220" spans="1:5">
      <c r="A220" t="s">
        <v>3252</v>
      </c>
      <c r="B220" t="s">
        <v>14406</v>
      </c>
      <c r="C220" t="s">
        <v>14407</v>
      </c>
      <c r="D220" t="s">
        <v>14408</v>
      </c>
      <c r="E220" t="s">
        <v>14409</v>
      </c>
    </row>
    <row r="221" spans="1:5">
      <c r="A221" t="s">
        <v>3265</v>
      </c>
      <c r="B221" t="s">
        <v>14410</v>
      </c>
      <c r="C221" t="s">
        <v>13967</v>
      </c>
      <c r="D221" t="s">
        <v>13968</v>
      </c>
      <c r="E221" t="s">
        <v>13969</v>
      </c>
    </row>
    <row r="222" spans="1:5">
      <c r="A222" t="s">
        <v>14411</v>
      </c>
      <c r="B222" t="s">
        <v>14412</v>
      </c>
      <c r="C222" t="s">
        <v>14413</v>
      </c>
      <c r="D222" t="s">
        <v>14002</v>
      </c>
      <c r="E222" t="s">
        <v>14003</v>
      </c>
    </row>
    <row r="223" spans="1:5">
      <c r="A223" t="s">
        <v>14414</v>
      </c>
      <c r="B223" t="s">
        <v>14415</v>
      </c>
      <c r="C223" t="s">
        <v>13988</v>
      </c>
      <c r="D223" t="s">
        <v>13989</v>
      </c>
      <c r="E223" t="s">
        <v>13990</v>
      </c>
    </row>
    <row r="224" spans="1:5">
      <c r="A224" t="s">
        <v>14416</v>
      </c>
      <c r="B224" t="s">
        <v>14417</v>
      </c>
      <c r="C224" t="s">
        <v>13905</v>
      </c>
      <c r="D224" t="s">
        <v>13901</v>
      </c>
      <c r="E224" t="s">
        <v>13902</v>
      </c>
    </row>
    <row r="225" spans="1:5">
      <c r="A225" t="s">
        <v>14418</v>
      </c>
      <c r="B225" t="s">
        <v>14419</v>
      </c>
      <c r="C225" t="s">
        <v>14420</v>
      </c>
      <c r="D225" t="s">
        <v>14073</v>
      </c>
      <c r="E225" t="s">
        <v>14074</v>
      </c>
    </row>
    <row r="226" spans="1:5">
      <c r="A226" t="s">
        <v>2661</v>
      </c>
      <c r="B226" t="s">
        <v>14421</v>
      </c>
      <c r="C226" t="s">
        <v>14001</v>
      </c>
      <c r="D226" t="s">
        <v>14002</v>
      </c>
      <c r="E226" t="s">
        <v>14003</v>
      </c>
    </row>
    <row r="227" spans="1:5">
      <c r="A227" t="s">
        <v>2585</v>
      </c>
      <c r="B227" t="s">
        <v>14422</v>
      </c>
      <c r="C227" t="s">
        <v>14001</v>
      </c>
      <c r="D227" t="s">
        <v>14002</v>
      </c>
      <c r="E227" t="s">
        <v>14003</v>
      </c>
    </row>
    <row r="228" spans="1:5">
      <c r="A228" t="s">
        <v>2593</v>
      </c>
      <c r="B228" t="s">
        <v>14423</v>
      </c>
      <c r="C228" t="s">
        <v>14224</v>
      </c>
      <c r="D228" t="s">
        <v>14002</v>
      </c>
      <c r="E228" t="s">
        <v>14003</v>
      </c>
    </row>
    <row r="229" spans="1:5">
      <c r="A229" t="s">
        <v>3234</v>
      </c>
      <c r="B229" t="s">
        <v>14424</v>
      </c>
      <c r="C229" t="s">
        <v>14425</v>
      </c>
      <c r="D229" t="s">
        <v>13923</v>
      </c>
      <c r="E229" t="s">
        <v>13924</v>
      </c>
    </row>
    <row r="230" spans="1:5">
      <c r="A230" t="s">
        <v>14426</v>
      </c>
      <c r="B230" t="s">
        <v>14427</v>
      </c>
      <c r="C230" t="s">
        <v>14428</v>
      </c>
      <c r="D230" t="s">
        <v>14429</v>
      </c>
      <c r="E230" t="s">
        <v>14430</v>
      </c>
    </row>
    <row r="231" spans="1:5">
      <c r="A231" t="s">
        <v>14431</v>
      </c>
      <c r="B231" t="s">
        <v>14432</v>
      </c>
      <c r="C231" t="s">
        <v>14057</v>
      </c>
      <c r="D231" t="s">
        <v>14058</v>
      </c>
      <c r="E231" t="s">
        <v>14059</v>
      </c>
    </row>
    <row r="232" spans="1:5">
      <c r="A232" t="s">
        <v>1869</v>
      </c>
      <c r="B232" t="s">
        <v>14433</v>
      </c>
      <c r="C232" t="s">
        <v>13988</v>
      </c>
      <c r="D232" t="s">
        <v>13989</v>
      </c>
      <c r="E232" t="s">
        <v>13990</v>
      </c>
    </row>
    <row r="233" spans="1:5">
      <c r="A233" t="s">
        <v>14434</v>
      </c>
      <c r="B233" t="s">
        <v>14435</v>
      </c>
      <c r="C233" t="s">
        <v>14294</v>
      </c>
      <c r="D233" t="s">
        <v>14295</v>
      </c>
      <c r="E233" t="s">
        <v>14296</v>
      </c>
    </row>
    <row r="234" spans="1:5">
      <c r="A234" t="s">
        <v>14436</v>
      </c>
      <c r="B234" t="s">
        <v>14437</v>
      </c>
      <c r="C234" t="s">
        <v>14039</v>
      </c>
      <c r="D234" t="s">
        <v>14040</v>
      </c>
      <c r="E234" t="s">
        <v>14041</v>
      </c>
    </row>
    <row r="235" spans="1:5">
      <c r="A235" t="s">
        <v>1299</v>
      </c>
      <c r="B235" t="s">
        <v>14438</v>
      </c>
      <c r="C235" t="s">
        <v>14012</v>
      </c>
      <c r="D235" t="s">
        <v>13927</v>
      </c>
      <c r="E235" t="s">
        <v>13928</v>
      </c>
    </row>
    <row r="236" spans="1:5">
      <c r="A236" t="s">
        <v>14439</v>
      </c>
      <c r="B236" t="s">
        <v>14440</v>
      </c>
      <c r="C236" t="s">
        <v>13967</v>
      </c>
      <c r="D236" t="s">
        <v>13968</v>
      </c>
      <c r="E236" t="s">
        <v>13969</v>
      </c>
    </row>
    <row r="237" spans="1:5">
      <c r="A237" t="s">
        <v>1906</v>
      </c>
      <c r="B237" t="s">
        <v>14441</v>
      </c>
      <c r="C237" t="s">
        <v>14162</v>
      </c>
      <c r="D237" t="s">
        <v>13946</v>
      </c>
      <c r="E237" t="s">
        <v>13947</v>
      </c>
    </row>
    <row r="238" spans="1:5">
      <c r="A238" t="s">
        <v>2612</v>
      </c>
      <c r="B238" t="s">
        <v>14442</v>
      </c>
      <c r="C238" t="s">
        <v>14364</v>
      </c>
      <c r="D238" t="s">
        <v>14211</v>
      </c>
      <c r="E238" t="s">
        <v>14212</v>
      </c>
    </row>
    <row r="239" spans="1:5">
      <c r="A239" t="s">
        <v>1798</v>
      </c>
      <c r="B239" t="s">
        <v>14443</v>
      </c>
      <c r="C239" t="s">
        <v>14116</v>
      </c>
      <c r="D239" t="s">
        <v>13964</v>
      </c>
      <c r="E239" t="s">
        <v>13965</v>
      </c>
    </row>
    <row r="240" spans="1:5">
      <c r="A240" t="s">
        <v>3224</v>
      </c>
      <c r="B240" t="s">
        <v>14444</v>
      </c>
      <c r="C240" t="s">
        <v>14445</v>
      </c>
      <c r="D240" t="s">
        <v>14446</v>
      </c>
      <c r="E240" t="s">
        <v>14447</v>
      </c>
    </row>
    <row r="241" spans="1:5">
      <c r="A241" t="s">
        <v>3255</v>
      </c>
      <c r="B241" t="s">
        <v>14448</v>
      </c>
      <c r="C241" t="s">
        <v>14227</v>
      </c>
      <c r="D241" t="s">
        <v>13951</v>
      </c>
      <c r="E241" t="s">
        <v>13952</v>
      </c>
    </row>
    <row r="242" spans="1:5">
      <c r="A242" t="s">
        <v>14449</v>
      </c>
      <c r="B242" t="s">
        <v>14450</v>
      </c>
      <c r="C242" t="s">
        <v>14451</v>
      </c>
      <c r="D242" t="s">
        <v>13994</v>
      </c>
      <c r="E242" t="s">
        <v>13995</v>
      </c>
    </row>
    <row r="243" spans="1:5">
      <c r="A243" t="s">
        <v>14452</v>
      </c>
      <c r="B243" t="s">
        <v>14453</v>
      </c>
      <c r="C243" t="s">
        <v>14454</v>
      </c>
      <c r="D243" t="s">
        <v>14455</v>
      </c>
      <c r="E243" t="s">
        <v>14456</v>
      </c>
    </row>
    <row r="244" spans="1:5">
      <c r="A244" t="s">
        <v>3602</v>
      </c>
      <c r="B244" t="s">
        <v>14457</v>
      </c>
      <c r="C244" t="s">
        <v>14458</v>
      </c>
      <c r="D244" t="s">
        <v>14459</v>
      </c>
      <c r="E244" t="s">
        <v>14460</v>
      </c>
    </row>
    <row r="245" spans="1:5">
      <c r="A245" t="s">
        <v>14461</v>
      </c>
      <c r="B245" t="s">
        <v>14462</v>
      </c>
      <c r="C245" t="s">
        <v>13943</v>
      </c>
      <c r="D245" t="s">
        <v>13901</v>
      </c>
      <c r="E245" t="s">
        <v>13902</v>
      </c>
    </row>
    <row r="246" spans="1:5">
      <c r="A246" t="s">
        <v>3245</v>
      </c>
      <c r="B246" t="s">
        <v>14463</v>
      </c>
      <c r="C246" t="s">
        <v>14154</v>
      </c>
      <c r="D246" t="s">
        <v>14140</v>
      </c>
      <c r="E246" t="s">
        <v>14141</v>
      </c>
    </row>
    <row r="247" spans="1:5">
      <c r="A247" t="s">
        <v>3620</v>
      </c>
      <c r="B247" t="s">
        <v>14464</v>
      </c>
      <c r="C247" t="s">
        <v>14465</v>
      </c>
      <c r="D247" t="s">
        <v>13935</v>
      </c>
      <c r="E247" t="s">
        <v>13936</v>
      </c>
    </row>
    <row r="248" spans="1:5">
      <c r="A248" t="s">
        <v>2981</v>
      </c>
      <c r="B248" t="s">
        <v>14466</v>
      </c>
      <c r="C248" t="s">
        <v>14467</v>
      </c>
      <c r="D248" t="s">
        <v>13932</v>
      </c>
      <c r="E248" t="s">
        <v>13933</v>
      </c>
    </row>
    <row r="249" spans="1:5">
      <c r="A249" t="s">
        <v>2273</v>
      </c>
      <c r="B249" t="s">
        <v>14468</v>
      </c>
      <c r="C249" t="s">
        <v>13892</v>
      </c>
      <c r="D249" t="s">
        <v>13893</v>
      </c>
      <c r="E249" t="s">
        <v>13894</v>
      </c>
    </row>
    <row r="250" spans="1:5">
      <c r="A250" t="s">
        <v>2004</v>
      </c>
      <c r="B250" t="s">
        <v>14469</v>
      </c>
      <c r="C250" t="s">
        <v>13988</v>
      </c>
      <c r="D250" t="s">
        <v>13989</v>
      </c>
      <c r="E250" t="s">
        <v>13990</v>
      </c>
    </row>
    <row r="251" spans="1:5">
      <c r="A251" t="s">
        <v>14470</v>
      </c>
      <c r="B251" t="s">
        <v>14471</v>
      </c>
      <c r="C251" t="s">
        <v>14472</v>
      </c>
      <c r="D251" t="s">
        <v>14264</v>
      </c>
      <c r="E251" t="s">
        <v>14265</v>
      </c>
    </row>
    <row r="252" spans="1:5">
      <c r="A252" t="s">
        <v>1814</v>
      </c>
      <c r="B252" t="s">
        <v>14473</v>
      </c>
      <c r="C252" t="s">
        <v>14162</v>
      </c>
      <c r="D252" t="s">
        <v>13946</v>
      </c>
      <c r="E252" t="s">
        <v>13947</v>
      </c>
    </row>
    <row r="253" spans="1:5">
      <c r="A253" t="s">
        <v>14474</v>
      </c>
      <c r="B253" t="s">
        <v>14475</v>
      </c>
      <c r="C253" t="s">
        <v>14305</v>
      </c>
      <c r="D253" t="s">
        <v>14306</v>
      </c>
      <c r="E253" t="s">
        <v>14307</v>
      </c>
    </row>
    <row r="254" spans="1:5">
      <c r="A254" t="s">
        <v>14476</v>
      </c>
      <c r="B254" t="s">
        <v>14477</v>
      </c>
      <c r="C254" t="s">
        <v>14478</v>
      </c>
      <c r="D254" t="s">
        <v>13919</v>
      </c>
      <c r="E254" t="s">
        <v>13920</v>
      </c>
    </row>
    <row r="255" spans="1:5">
      <c r="A255" t="s">
        <v>2622</v>
      </c>
      <c r="B255" t="s">
        <v>14479</v>
      </c>
      <c r="C255" t="s">
        <v>14224</v>
      </c>
      <c r="D255" t="s">
        <v>14002</v>
      </c>
      <c r="E255" t="s">
        <v>14003</v>
      </c>
    </row>
    <row r="256" spans="1:5">
      <c r="A256" t="s">
        <v>1831</v>
      </c>
      <c r="B256" t="s">
        <v>14480</v>
      </c>
      <c r="C256" t="s">
        <v>14481</v>
      </c>
      <c r="D256" t="s">
        <v>14482</v>
      </c>
      <c r="E256" t="s">
        <v>14483</v>
      </c>
    </row>
    <row r="257" spans="1:5">
      <c r="A257" t="s">
        <v>687</v>
      </c>
      <c r="B257" t="s">
        <v>14484</v>
      </c>
      <c r="C257" t="s">
        <v>14323</v>
      </c>
      <c r="D257" t="s">
        <v>13901</v>
      </c>
      <c r="E257" t="s">
        <v>13902</v>
      </c>
    </row>
    <row r="258" spans="1:5">
      <c r="A258" t="s">
        <v>3269</v>
      </c>
      <c r="B258" t="s">
        <v>14485</v>
      </c>
      <c r="C258" t="s">
        <v>14284</v>
      </c>
      <c r="D258" t="s">
        <v>14285</v>
      </c>
      <c r="E258" t="s">
        <v>14286</v>
      </c>
    </row>
    <row r="259" spans="1:5">
      <c r="A259" t="s">
        <v>14486</v>
      </c>
      <c r="B259" t="s">
        <v>14487</v>
      </c>
      <c r="C259" t="s">
        <v>14488</v>
      </c>
      <c r="D259" t="s">
        <v>14489</v>
      </c>
      <c r="E259" t="s">
        <v>14490</v>
      </c>
    </row>
    <row r="260" spans="1:5">
      <c r="A260" t="s">
        <v>14491</v>
      </c>
      <c r="B260" t="s">
        <v>14492</v>
      </c>
      <c r="C260" t="s">
        <v>14493</v>
      </c>
      <c r="D260" t="s">
        <v>14250</v>
      </c>
      <c r="E260" t="s">
        <v>14251</v>
      </c>
    </row>
    <row r="261" spans="1:5">
      <c r="A261" t="s">
        <v>14494</v>
      </c>
      <c r="B261" t="s">
        <v>14495</v>
      </c>
      <c r="C261" t="s">
        <v>14496</v>
      </c>
      <c r="D261" t="s">
        <v>14482</v>
      </c>
      <c r="E261" t="s">
        <v>14483</v>
      </c>
    </row>
    <row r="262" spans="1:5">
      <c r="A262" t="s">
        <v>14497</v>
      </c>
      <c r="B262" t="s">
        <v>14498</v>
      </c>
      <c r="C262" t="s">
        <v>14403</v>
      </c>
      <c r="D262" t="s">
        <v>14404</v>
      </c>
      <c r="E262" t="s">
        <v>14405</v>
      </c>
    </row>
    <row r="263" spans="1:5">
      <c r="A263" t="s">
        <v>14499</v>
      </c>
      <c r="B263" t="s">
        <v>14500</v>
      </c>
      <c r="C263" t="s">
        <v>14501</v>
      </c>
      <c r="D263" t="s">
        <v>13872</v>
      </c>
      <c r="E263" t="s">
        <v>13873</v>
      </c>
    </row>
    <row r="264" spans="1:5">
      <c r="A264" t="s">
        <v>14502</v>
      </c>
      <c r="B264" t="s">
        <v>14503</v>
      </c>
      <c r="C264" t="s">
        <v>14504</v>
      </c>
      <c r="D264" t="s">
        <v>14505</v>
      </c>
      <c r="E264" t="s">
        <v>14506</v>
      </c>
    </row>
    <row r="265" spans="1:5">
      <c r="A265" t="s">
        <v>14507</v>
      </c>
      <c r="B265" t="s">
        <v>14508</v>
      </c>
      <c r="C265" t="s">
        <v>14509</v>
      </c>
      <c r="D265" t="s">
        <v>14510</v>
      </c>
      <c r="E265" t="s">
        <v>14511</v>
      </c>
    </row>
    <row r="266" spans="1:5">
      <c r="A266" t="s">
        <v>3312</v>
      </c>
      <c r="B266" t="s">
        <v>14512</v>
      </c>
      <c r="C266" t="s">
        <v>14513</v>
      </c>
      <c r="D266" t="s">
        <v>13923</v>
      </c>
      <c r="E266" t="s">
        <v>13924</v>
      </c>
    </row>
    <row r="267" spans="1:5">
      <c r="A267" t="s">
        <v>14514</v>
      </c>
      <c r="B267" t="s">
        <v>14515</v>
      </c>
      <c r="C267" t="s">
        <v>14513</v>
      </c>
      <c r="D267" t="s">
        <v>13923</v>
      </c>
      <c r="E267" t="s">
        <v>13924</v>
      </c>
    </row>
    <row r="268" spans="1:5">
      <c r="A268" t="s">
        <v>1353</v>
      </c>
      <c r="B268" t="s">
        <v>14516</v>
      </c>
      <c r="C268" t="s">
        <v>14517</v>
      </c>
      <c r="D268" t="s">
        <v>14243</v>
      </c>
      <c r="E268" t="s">
        <v>14244</v>
      </c>
    </row>
    <row r="269" spans="1:5">
      <c r="A269" t="s">
        <v>1836</v>
      </c>
      <c r="B269" t="s">
        <v>14518</v>
      </c>
      <c r="C269" t="s">
        <v>14519</v>
      </c>
      <c r="D269" t="s">
        <v>14482</v>
      </c>
      <c r="E269" t="s">
        <v>14483</v>
      </c>
    </row>
    <row r="270" spans="1:5">
      <c r="A270" t="s">
        <v>2996</v>
      </c>
      <c r="B270" t="s">
        <v>14520</v>
      </c>
      <c r="C270" t="s">
        <v>14061</v>
      </c>
      <c r="D270" t="s">
        <v>13913</v>
      </c>
      <c r="E270" t="s">
        <v>13914</v>
      </c>
    </row>
    <row r="271" spans="1:5">
      <c r="A271" t="s">
        <v>2262</v>
      </c>
      <c r="B271" t="s">
        <v>14521</v>
      </c>
      <c r="C271" t="s">
        <v>14021</v>
      </c>
      <c r="D271" t="s">
        <v>14021</v>
      </c>
      <c r="E271" t="s">
        <v>14022</v>
      </c>
    </row>
    <row r="272" spans="1:5">
      <c r="A272" t="s">
        <v>3612</v>
      </c>
      <c r="B272" t="s">
        <v>14522</v>
      </c>
      <c r="C272" t="s">
        <v>13880</v>
      </c>
      <c r="D272" t="s">
        <v>13881</v>
      </c>
      <c r="E272" t="s">
        <v>13882</v>
      </c>
    </row>
    <row r="273" spans="1:5">
      <c r="A273" t="s">
        <v>14523</v>
      </c>
      <c r="B273" t="s">
        <v>14524</v>
      </c>
      <c r="C273" t="s">
        <v>14525</v>
      </c>
      <c r="D273" t="s">
        <v>14526</v>
      </c>
      <c r="E273" t="s">
        <v>14527</v>
      </c>
    </row>
    <row r="274" spans="1:5">
      <c r="A274" t="s">
        <v>14528</v>
      </c>
      <c r="B274" t="s">
        <v>14283</v>
      </c>
      <c r="C274" t="s">
        <v>14284</v>
      </c>
      <c r="D274" t="s">
        <v>14285</v>
      </c>
      <c r="E274" t="s">
        <v>14286</v>
      </c>
    </row>
    <row r="275" spans="1:5">
      <c r="A275" t="s">
        <v>1909</v>
      </c>
      <c r="B275" t="s">
        <v>14393</v>
      </c>
      <c r="C275" t="s">
        <v>14394</v>
      </c>
      <c r="D275" t="s">
        <v>13964</v>
      </c>
      <c r="E275" t="s">
        <v>13965</v>
      </c>
    </row>
    <row r="276" spans="1:5">
      <c r="A276" t="s">
        <v>14529</v>
      </c>
      <c r="B276" t="s">
        <v>14530</v>
      </c>
      <c r="C276" t="s">
        <v>14531</v>
      </c>
      <c r="D276" t="s">
        <v>14243</v>
      </c>
      <c r="E276" t="s">
        <v>14244</v>
      </c>
    </row>
    <row r="277" spans="1:5">
      <c r="A277" t="s">
        <v>14532</v>
      </c>
      <c r="B277" t="s">
        <v>14533</v>
      </c>
      <c r="C277" t="s">
        <v>14534</v>
      </c>
      <c r="D277" t="s">
        <v>14535</v>
      </c>
      <c r="E277" t="s">
        <v>14536</v>
      </c>
    </row>
    <row r="278" spans="1:5">
      <c r="A278" t="s">
        <v>14537</v>
      </c>
      <c r="B278" t="s">
        <v>14538</v>
      </c>
      <c r="C278" t="s">
        <v>14413</v>
      </c>
      <c r="D278" t="s">
        <v>14002</v>
      </c>
      <c r="E278" t="s">
        <v>14003</v>
      </c>
    </row>
    <row r="279" spans="1:5">
      <c r="A279" t="s">
        <v>2658</v>
      </c>
      <c r="B279" t="s">
        <v>14539</v>
      </c>
      <c r="C279" t="s">
        <v>14380</v>
      </c>
      <c r="D279" t="s">
        <v>14381</v>
      </c>
      <c r="E279" t="s">
        <v>14382</v>
      </c>
    </row>
    <row r="280" spans="1:5">
      <c r="A280" t="s">
        <v>2619</v>
      </c>
      <c r="B280" t="s">
        <v>14540</v>
      </c>
      <c r="C280" t="s">
        <v>14541</v>
      </c>
      <c r="D280" t="s">
        <v>14211</v>
      </c>
      <c r="E280" t="s">
        <v>14212</v>
      </c>
    </row>
    <row r="281" spans="1:5">
      <c r="A281" t="s">
        <v>14542</v>
      </c>
      <c r="B281" t="s">
        <v>14543</v>
      </c>
      <c r="C281" t="s">
        <v>14544</v>
      </c>
      <c r="D281" t="s">
        <v>14545</v>
      </c>
      <c r="E281" t="s">
        <v>14546</v>
      </c>
    </row>
    <row r="282" spans="1:5">
      <c r="A282" t="s">
        <v>14547</v>
      </c>
      <c r="B282" t="s">
        <v>14548</v>
      </c>
      <c r="C282" t="s">
        <v>14224</v>
      </c>
      <c r="D282" t="s">
        <v>14002</v>
      </c>
      <c r="E282" t="s">
        <v>14003</v>
      </c>
    </row>
    <row r="283" spans="1:5">
      <c r="A283" t="s">
        <v>1892</v>
      </c>
      <c r="B283" t="s">
        <v>14549</v>
      </c>
      <c r="C283" t="s">
        <v>14496</v>
      </c>
      <c r="D283" t="s">
        <v>14482</v>
      </c>
      <c r="E283" t="s">
        <v>14483</v>
      </c>
    </row>
    <row r="284" spans="1:5">
      <c r="A284" t="s">
        <v>2944</v>
      </c>
      <c r="B284" t="s">
        <v>14550</v>
      </c>
      <c r="C284" t="s">
        <v>14551</v>
      </c>
      <c r="D284" t="s">
        <v>14165</v>
      </c>
      <c r="E284" t="s">
        <v>14166</v>
      </c>
    </row>
    <row r="285" spans="1:5">
      <c r="A285" t="s">
        <v>14552</v>
      </c>
      <c r="B285" t="s">
        <v>14553</v>
      </c>
      <c r="C285" t="s">
        <v>14554</v>
      </c>
      <c r="D285" t="s">
        <v>13901</v>
      </c>
      <c r="E285" t="s">
        <v>13902</v>
      </c>
    </row>
    <row r="286" spans="1:5">
      <c r="A286" t="s">
        <v>14555</v>
      </c>
      <c r="B286" t="s">
        <v>14556</v>
      </c>
      <c r="C286" t="s">
        <v>14557</v>
      </c>
      <c r="D286" t="s">
        <v>14558</v>
      </c>
      <c r="E286" t="s">
        <v>14559</v>
      </c>
    </row>
    <row r="287" spans="1:5">
      <c r="A287" t="s">
        <v>2296</v>
      </c>
      <c r="B287" t="s">
        <v>14560</v>
      </c>
      <c r="C287" t="s">
        <v>14561</v>
      </c>
      <c r="D287" t="s">
        <v>14306</v>
      </c>
      <c r="E287" t="s">
        <v>14307</v>
      </c>
    </row>
    <row r="288" spans="1:5">
      <c r="A288" t="s">
        <v>14562</v>
      </c>
      <c r="B288" t="s">
        <v>14153</v>
      </c>
      <c r="C288" t="s">
        <v>14154</v>
      </c>
      <c r="D288" t="s">
        <v>14140</v>
      </c>
      <c r="E288" t="s">
        <v>14141</v>
      </c>
    </row>
    <row r="289" spans="1:5">
      <c r="A289" t="s">
        <v>14563</v>
      </c>
      <c r="B289" t="s">
        <v>14564</v>
      </c>
      <c r="C289" t="s">
        <v>14326</v>
      </c>
      <c r="D289" t="s">
        <v>14327</v>
      </c>
      <c r="E289" t="s">
        <v>14328</v>
      </c>
    </row>
    <row r="290" spans="1:5">
      <c r="A290" t="s">
        <v>1536</v>
      </c>
      <c r="B290" t="s">
        <v>14565</v>
      </c>
      <c r="C290" t="s">
        <v>14294</v>
      </c>
      <c r="D290" t="s">
        <v>14295</v>
      </c>
      <c r="E290" t="s">
        <v>14296</v>
      </c>
    </row>
    <row r="291" spans="1:5">
      <c r="A291" t="s">
        <v>14566</v>
      </c>
      <c r="B291" t="s">
        <v>14567</v>
      </c>
      <c r="C291" t="s">
        <v>14568</v>
      </c>
      <c r="D291" t="s">
        <v>13935</v>
      </c>
      <c r="E291" t="s">
        <v>13936</v>
      </c>
    </row>
    <row r="292" spans="1:5">
      <c r="A292" t="s">
        <v>14569</v>
      </c>
      <c r="B292" t="s">
        <v>14570</v>
      </c>
      <c r="C292" t="s">
        <v>13959</v>
      </c>
      <c r="D292" t="s">
        <v>13955</v>
      </c>
      <c r="E292" t="s">
        <v>13956</v>
      </c>
    </row>
    <row r="293" spans="1:5">
      <c r="A293" t="s">
        <v>3635</v>
      </c>
      <c r="B293" t="s">
        <v>14571</v>
      </c>
      <c r="C293" t="s">
        <v>13935</v>
      </c>
      <c r="D293" t="s">
        <v>13935</v>
      </c>
      <c r="E293" t="s">
        <v>13936</v>
      </c>
    </row>
    <row r="294" spans="1:5">
      <c r="A294" t="s">
        <v>14572</v>
      </c>
      <c r="B294" t="s">
        <v>14573</v>
      </c>
      <c r="C294" t="s">
        <v>13922</v>
      </c>
      <c r="D294" t="s">
        <v>13923</v>
      </c>
      <c r="E294" t="s">
        <v>13924</v>
      </c>
    </row>
    <row r="295" spans="1:5">
      <c r="A295" t="s">
        <v>2729</v>
      </c>
      <c r="B295" t="s">
        <v>14574</v>
      </c>
      <c r="C295" t="s">
        <v>14224</v>
      </c>
      <c r="D295" t="s">
        <v>14002</v>
      </c>
      <c r="E295" t="s">
        <v>14003</v>
      </c>
    </row>
    <row r="296" spans="1:5">
      <c r="A296" t="s">
        <v>3587</v>
      </c>
      <c r="B296" t="s">
        <v>14575</v>
      </c>
      <c r="C296" t="s">
        <v>14493</v>
      </c>
      <c r="D296" t="s">
        <v>14250</v>
      </c>
      <c r="E296" t="s">
        <v>14251</v>
      </c>
    </row>
    <row r="297" spans="1:5">
      <c r="A297" t="s">
        <v>14576</v>
      </c>
      <c r="B297" t="s">
        <v>14577</v>
      </c>
      <c r="C297" t="s">
        <v>14147</v>
      </c>
      <c r="D297" t="s">
        <v>13881</v>
      </c>
      <c r="E297" t="s">
        <v>13882</v>
      </c>
    </row>
    <row r="298" spans="1:5">
      <c r="A298" t="s">
        <v>14578</v>
      </c>
      <c r="B298" t="s">
        <v>14579</v>
      </c>
      <c r="C298" t="s">
        <v>14580</v>
      </c>
      <c r="D298" t="s">
        <v>14002</v>
      </c>
      <c r="E298" t="s">
        <v>14003</v>
      </c>
    </row>
    <row r="299" spans="1:5">
      <c r="A299" t="s">
        <v>2663</v>
      </c>
      <c r="B299" t="s">
        <v>14581</v>
      </c>
      <c r="C299" t="s">
        <v>14380</v>
      </c>
      <c r="D299" t="s">
        <v>14381</v>
      </c>
      <c r="E299" t="s">
        <v>14382</v>
      </c>
    </row>
    <row r="300" spans="1:5">
      <c r="A300" t="s">
        <v>2664</v>
      </c>
      <c r="B300" t="s">
        <v>14582</v>
      </c>
      <c r="C300" t="s">
        <v>14380</v>
      </c>
      <c r="D300" t="s">
        <v>14381</v>
      </c>
      <c r="E300" t="s">
        <v>14382</v>
      </c>
    </row>
    <row r="301" spans="1:5">
      <c r="A301" t="s">
        <v>2710</v>
      </c>
      <c r="B301" t="s">
        <v>14583</v>
      </c>
      <c r="C301" t="s">
        <v>14001</v>
      </c>
      <c r="D301" t="s">
        <v>14002</v>
      </c>
      <c r="E301" t="s">
        <v>14003</v>
      </c>
    </row>
    <row r="302" spans="1:5">
      <c r="A302" t="s">
        <v>14584</v>
      </c>
      <c r="B302" t="s">
        <v>14585</v>
      </c>
      <c r="C302" t="s">
        <v>14017</v>
      </c>
      <c r="D302" t="s">
        <v>14018</v>
      </c>
      <c r="E302" t="s">
        <v>14019</v>
      </c>
    </row>
    <row r="303" spans="1:5">
      <c r="A303" t="s">
        <v>14586</v>
      </c>
      <c r="B303" t="s">
        <v>14587</v>
      </c>
      <c r="C303" t="s">
        <v>14588</v>
      </c>
      <c r="D303" t="s">
        <v>13964</v>
      </c>
      <c r="E303" t="s">
        <v>13965</v>
      </c>
    </row>
    <row r="304" spans="1:5">
      <c r="A304" t="s">
        <v>14589</v>
      </c>
      <c r="B304" t="s">
        <v>14590</v>
      </c>
      <c r="C304" t="s">
        <v>14591</v>
      </c>
      <c r="D304" t="s">
        <v>13927</v>
      </c>
      <c r="E304" t="s">
        <v>13928</v>
      </c>
    </row>
    <row r="305" spans="1:5">
      <c r="A305" t="s">
        <v>14592</v>
      </c>
      <c r="B305" t="s">
        <v>14593</v>
      </c>
      <c r="C305" t="s">
        <v>14594</v>
      </c>
      <c r="D305" t="s">
        <v>14595</v>
      </c>
      <c r="E305" t="s">
        <v>14596</v>
      </c>
    </row>
    <row r="306" spans="1:5">
      <c r="A306" t="s">
        <v>14597</v>
      </c>
      <c r="B306" t="s">
        <v>14598</v>
      </c>
      <c r="C306" t="s">
        <v>14373</v>
      </c>
      <c r="D306" t="s">
        <v>14133</v>
      </c>
      <c r="E306" t="s">
        <v>14134</v>
      </c>
    </row>
    <row r="307" spans="1:5">
      <c r="A307" t="s">
        <v>3277</v>
      </c>
      <c r="B307" t="s">
        <v>14599</v>
      </c>
      <c r="C307" t="s">
        <v>14600</v>
      </c>
      <c r="D307" t="s">
        <v>14601</v>
      </c>
      <c r="E307" t="s">
        <v>14602</v>
      </c>
    </row>
    <row r="308" spans="1:5">
      <c r="A308" t="s">
        <v>1971</v>
      </c>
      <c r="B308" t="s">
        <v>14603</v>
      </c>
      <c r="C308" t="s">
        <v>13988</v>
      </c>
      <c r="D308" t="s">
        <v>13989</v>
      </c>
      <c r="E308" t="s">
        <v>13990</v>
      </c>
    </row>
    <row r="309" spans="1:5">
      <c r="A309" t="s">
        <v>14604</v>
      </c>
      <c r="B309" t="s">
        <v>13925</v>
      </c>
      <c r="C309" t="s">
        <v>13926</v>
      </c>
      <c r="D309" t="s">
        <v>13927</v>
      </c>
      <c r="E309" t="s">
        <v>13928</v>
      </c>
    </row>
    <row r="310" spans="1:5">
      <c r="A310" t="s">
        <v>1539</v>
      </c>
      <c r="B310" t="s">
        <v>14605</v>
      </c>
      <c r="C310" t="s">
        <v>14012</v>
      </c>
      <c r="D310" t="s">
        <v>13927</v>
      </c>
      <c r="E310" t="s">
        <v>13928</v>
      </c>
    </row>
    <row r="311" spans="1:5">
      <c r="A311" t="s">
        <v>14606</v>
      </c>
      <c r="B311" t="s">
        <v>14607</v>
      </c>
      <c r="C311" t="s">
        <v>13993</v>
      </c>
      <c r="D311" t="s">
        <v>13994</v>
      </c>
      <c r="E311" t="s">
        <v>13995</v>
      </c>
    </row>
    <row r="312" spans="1:5">
      <c r="A312" t="s">
        <v>14608</v>
      </c>
      <c r="B312" t="s">
        <v>14609</v>
      </c>
      <c r="C312" t="s">
        <v>14610</v>
      </c>
      <c r="D312" t="s">
        <v>14611</v>
      </c>
      <c r="E312" t="s">
        <v>14612</v>
      </c>
    </row>
    <row r="313" spans="1:5">
      <c r="A313" t="s">
        <v>739</v>
      </c>
      <c r="B313" t="s">
        <v>14613</v>
      </c>
      <c r="C313" t="s">
        <v>14323</v>
      </c>
      <c r="D313" t="s">
        <v>13901</v>
      </c>
      <c r="E313" t="s">
        <v>13902</v>
      </c>
    </row>
    <row r="314" spans="1:5">
      <c r="A314" t="s">
        <v>14614</v>
      </c>
      <c r="B314" t="s">
        <v>14615</v>
      </c>
      <c r="C314" t="s">
        <v>14616</v>
      </c>
      <c r="D314" t="s">
        <v>14018</v>
      </c>
      <c r="E314" t="s">
        <v>14019</v>
      </c>
    </row>
    <row r="315" spans="1:5">
      <c r="A315" t="s">
        <v>14617</v>
      </c>
      <c r="B315" t="s">
        <v>14618</v>
      </c>
      <c r="C315" t="s">
        <v>14619</v>
      </c>
      <c r="D315" t="s">
        <v>14620</v>
      </c>
      <c r="E315" t="s">
        <v>14621</v>
      </c>
    </row>
    <row r="316" spans="1:5">
      <c r="A316" t="s">
        <v>715</v>
      </c>
      <c r="B316" t="s">
        <v>14622</v>
      </c>
      <c r="C316" t="s">
        <v>13916</v>
      </c>
      <c r="D316" t="s">
        <v>13901</v>
      </c>
      <c r="E316" t="s">
        <v>13902</v>
      </c>
    </row>
    <row r="317" spans="1:5">
      <c r="A317" t="s">
        <v>14623</v>
      </c>
      <c r="B317" t="s">
        <v>14624</v>
      </c>
      <c r="C317" t="s">
        <v>14061</v>
      </c>
      <c r="D317" t="s">
        <v>13913</v>
      </c>
      <c r="E317" t="s">
        <v>13914</v>
      </c>
    </row>
    <row r="318" spans="1:5">
      <c r="A318" t="s">
        <v>1454</v>
      </c>
      <c r="B318" t="s">
        <v>14625</v>
      </c>
      <c r="C318" t="s">
        <v>14626</v>
      </c>
      <c r="D318" t="s">
        <v>14595</v>
      </c>
      <c r="E318" t="s">
        <v>14596</v>
      </c>
    </row>
    <row r="319" spans="1:5">
      <c r="A319" t="s">
        <v>2698</v>
      </c>
      <c r="B319" t="s">
        <v>14627</v>
      </c>
      <c r="C319" t="s">
        <v>14380</v>
      </c>
      <c r="D319" t="s">
        <v>14381</v>
      </c>
      <c r="E319" t="s">
        <v>14382</v>
      </c>
    </row>
    <row r="320" spans="1:5">
      <c r="A320" t="s">
        <v>14628</v>
      </c>
      <c r="B320" t="s">
        <v>14629</v>
      </c>
      <c r="C320" t="s">
        <v>14630</v>
      </c>
      <c r="D320" t="s">
        <v>13946</v>
      </c>
      <c r="E320" t="s">
        <v>13947</v>
      </c>
    </row>
    <row r="321" spans="1:5">
      <c r="A321" t="s">
        <v>14631</v>
      </c>
      <c r="B321" t="s">
        <v>14632</v>
      </c>
      <c r="C321" t="s">
        <v>14633</v>
      </c>
      <c r="D321" t="s">
        <v>13974</v>
      </c>
      <c r="E321" t="s">
        <v>13975</v>
      </c>
    </row>
    <row r="322" spans="1:5">
      <c r="A322" t="s">
        <v>14634</v>
      </c>
      <c r="B322" t="s">
        <v>14635</v>
      </c>
      <c r="C322" t="s">
        <v>14017</v>
      </c>
      <c r="D322" t="s">
        <v>14018</v>
      </c>
      <c r="E322" t="s">
        <v>14019</v>
      </c>
    </row>
    <row r="323" spans="1:5">
      <c r="A323" t="s">
        <v>14636</v>
      </c>
      <c r="B323" t="s">
        <v>14637</v>
      </c>
      <c r="C323" t="s">
        <v>14194</v>
      </c>
      <c r="D323" t="s">
        <v>14195</v>
      </c>
      <c r="E323" t="s">
        <v>14196</v>
      </c>
    </row>
    <row r="324" spans="1:5">
      <c r="A324" t="s">
        <v>14638</v>
      </c>
      <c r="B324" t="s">
        <v>14639</v>
      </c>
      <c r="C324" t="s">
        <v>13922</v>
      </c>
      <c r="D324" t="s">
        <v>13923</v>
      </c>
      <c r="E324" t="s">
        <v>13924</v>
      </c>
    </row>
    <row r="325" spans="1:5">
      <c r="A325" t="s">
        <v>2968</v>
      </c>
      <c r="B325" t="s">
        <v>14640</v>
      </c>
      <c r="C325" t="s">
        <v>14183</v>
      </c>
      <c r="D325" t="s">
        <v>13916</v>
      </c>
      <c r="E325" t="s">
        <v>14184</v>
      </c>
    </row>
    <row r="326" spans="1:5">
      <c r="A326" t="s">
        <v>3322</v>
      </c>
      <c r="B326" t="s">
        <v>14641</v>
      </c>
      <c r="C326" t="s">
        <v>14488</v>
      </c>
      <c r="D326" t="s">
        <v>14489</v>
      </c>
      <c r="E326" t="s">
        <v>14490</v>
      </c>
    </row>
    <row r="327" spans="1:5">
      <c r="A327" t="s">
        <v>14642</v>
      </c>
      <c r="B327" t="s">
        <v>14643</v>
      </c>
      <c r="C327" t="s">
        <v>14025</v>
      </c>
      <c r="D327" t="s">
        <v>14025</v>
      </c>
      <c r="E327" t="s">
        <v>14026</v>
      </c>
    </row>
    <row r="328" spans="1:5">
      <c r="A328" t="s">
        <v>3297</v>
      </c>
      <c r="B328" t="s">
        <v>14644</v>
      </c>
      <c r="C328" t="s">
        <v>13922</v>
      </c>
      <c r="D328" t="s">
        <v>13923</v>
      </c>
      <c r="E328" t="s">
        <v>13924</v>
      </c>
    </row>
    <row r="329" spans="1:5">
      <c r="A329" t="s">
        <v>14645</v>
      </c>
      <c r="B329" t="s">
        <v>14646</v>
      </c>
      <c r="C329" t="s">
        <v>14647</v>
      </c>
      <c r="D329" t="s">
        <v>14327</v>
      </c>
      <c r="E329" t="s">
        <v>14328</v>
      </c>
    </row>
    <row r="330" spans="1:5">
      <c r="A330" t="s">
        <v>14648</v>
      </c>
      <c r="B330" t="s">
        <v>14649</v>
      </c>
      <c r="C330" t="s">
        <v>14458</v>
      </c>
      <c r="D330" t="s">
        <v>14459</v>
      </c>
      <c r="E330" t="s">
        <v>14460</v>
      </c>
    </row>
    <row r="331" spans="1:5">
      <c r="A331" t="s">
        <v>14650</v>
      </c>
      <c r="B331" t="s">
        <v>14651</v>
      </c>
      <c r="C331" t="s">
        <v>13988</v>
      </c>
      <c r="D331" t="s">
        <v>13989</v>
      </c>
      <c r="E331" t="s">
        <v>13990</v>
      </c>
    </row>
    <row r="332" spans="1:5">
      <c r="A332" t="s">
        <v>1501</v>
      </c>
      <c r="B332" t="s">
        <v>14652</v>
      </c>
      <c r="C332" t="s">
        <v>14012</v>
      </c>
      <c r="D332" t="s">
        <v>13927</v>
      </c>
      <c r="E332" t="s">
        <v>13928</v>
      </c>
    </row>
    <row r="333" spans="1:5">
      <c r="A333" t="s">
        <v>14653</v>
      </c>
      <c r="B333" t="s">
        <v>14654</v>
      </c>
      <c r="C333" t="s">
        <v>14655</v>
      </c>
      <c r="D333" t="s">
        <v>13935</v>
      </c>
      <c r="E333" t="s">
        <v>13936</v>
      </c>
    </row>
    <row r="334" spans="1:5">
      <c r="A334" t="s">
        <v>14656</v>
      </c>
      <c r="B334" t="s">
        <v>14657</v>
      </c>
      <c r="C334" t="s">
        <v>14481</v>
      </c>
      <c r="D334" t="s">
        <v>14482</v>
      </c>
      <c r="E334" t="s">
        <v>14483</v>
      </c>
    </row>
    <row r="335" spans="1:5">
      <c r="A335" t="s">
        <v>14658</v>
      </c>
      <c r="B335" t="s">
        <v>14659</v>
      </c>
      <c r="C335" t="s">
        <v>14660</v>
      </c>
      <c r="D335" t="s">
        <v>13999</v>
      </c>
      <c r="E335" t="s">
        <v>14338</v>
      </c>
    </row>
    <row r="336" spans="1:5">
      <c r="A336" t="s">
        <v>14661</v>
      </c>
      <c r="B336" t="s">
        <v>14662</v>
      </c>
      <c r="C336" t="s">
        <v>14501</v>
      </c>
      <c r="D336" t="s">
        <v>13872</v>
      </c>
      <c r="E336" t="s">
        <v>13873</v>
      </c>
    </row>
    <row r="337" spans="1:5">
      <c r="A337" t="s">
        <v>14663</v>
      </c>
      <c r="B337" t="s">
        <v>14664</v>
      </c>
      <c r="C337" t="s">
        <v>14278</v>
      </c>
      <c r="D337" t="s">
        <v>13946</v>
      </c>
      <c r="E337" t="s">
        <v>13947</v>
      </c>
    </row>
    <row r="338" spans="1:5">
      <c r="A338" t="s">
        <v>14665</v>
      </c>
      <c r="B338" t="s">
        <v>14666</v>
      </c>
      <c r="C338" t="s">
        <v>13967</v>
      </c>
      <c r="D338" t="s">
        <v>13968</v>
      </c>
      <c r="E338" t="s">
        <v>13969</v>
      </c>
    </row>
    <row r="339" spans="1:5">
      <c r="A339" t="s">
        <v>923</v>
      </c>
      <c r="B339" t="s">
        <v>14667</v>
      </c>
      <c r="C339" t="s">
        <v>13943</v>
      </c>
      <c r="D339" t="s">
        <v>13901</v>
      </c>
      <c r="E339" t="s">
        <v>13902</v>
      </c>
    </row>
    <row r="340" spans="1:5">
      <c r="A340" t="s">
        <v>14668</v>
      </c>
      <c r="B340" t="s">
        <v>14669</v>
      </c>
      <c r="C340" t="s">
        <v>14670</v>
      </c>
      <c r="D340" t="s">
        <v>13968</v>
      </c>
      <c r="E340" t="s">
        <v>13969</v>
      </c>
    </row>
    <row r="341" spans="1:5">
      <c r="A341" t="s">
        <v>2974</v>
      </c>
      <c r="B341" t="s">
        <v>14671</v>
      </c>
      <c r="C341" t="s">
        <v>14672</v>
      </c>
      <c r="D341" t="s">
        <v>14673</v>
      </c>
      <c r="E341" t="s">
        <v>14674</v>
      </c>
    </row>
    <row r="342" spans="1:5">
      <c r="A342" t="s">
        <v>2333</v>
      </c>
      <c r="B342" t="s">
        <v>14675</v>
      </c>
      <c r="C342" t="s">
        <v>14397</v>
      </c>
      <c r="D342" t="s">
        <v>14397</v>
      </c>
      <c r="E342" t="s">
        <v>14398</v>
      </c>
    </row>
    <row r="343" spans="1:5">
      <c r="A343" t="s">
        <v>14676</v>
      </c>
      <c r="B343" t="s">
        <v>14677</v>
      </c>
      <c r="C343" t="s">
        <v>14454</v>
      </c>
      <c r="D343" t="s">
        <v>14455</v>
      </c>
      <c r="E343" t="s">
        <v>14456</v>
      </c>
    </row>
    <row r="344" spans="1:5">
      <c r="A344" t="s">
        <v>14678</v>
      </c>
      <c r="B344" t="s">
        <v>14679</v>
      </c>
      <c r="C344" t="s">
        <v>14655</v>
      </c>
      <c r="D344" t="s">
        <v>13935</v>
      </c>
      <c r="E344" t="s">
        <v>13936</v>
      </c>
    </row>
    <row r="345" spans="1:5">
      <c r="A345" t="s">
        <v>14680</v>
      </c>
      <c r="B345" t="s">
        <v>14681</v>
      </c>
      <c r="C345" t="s">
        <v>13943</v>
      </c>
      <c r="D345" t="s">
        <v>13901</v>
      </c>
      <c r="E345" t="s">
        <v>13902</v>
      </c>
    </row>
    <row r="346" spans="1:5">
      <c r="A346" t="s">
        <v>14682</v>
      </c>
      <c r="B346" t="s">
        <v>14683</v>
      </c>
      <c r="C346" t="s">
        <v>13954</v>
      </c>
      <c r="D346" t="s">
        <v>13955</v>
      </c>
      <c r="E346" t="s">
        <v>13956</v>
      </c>
    </row>
    <row r="347" spans="1:5">
      <c r="A347" t="s">
        <v>14684</v>
      </c>
      <c r="B347" t="s">
        <v>14685</v>
      </c>
      <c r="C347" t="s">
        <v>14100</v>
      </c>
      <c r="D347" t="s">
        <v>13989</v>
      </c>
      <c r="E347" t="s">
        <v>13990</v>
      </c>
    </row>
    <row r="348" spans="1:5">
      <c r="A348" t="s">
        <v>14686</v>
      </c>
      <c r="B348" t="s">
        <v>14687</v>
      </c>
      <c r="C348" t="s">
        <v>14100</v>
      </c>
      <c r="D348" t="s">
        <v>13989</v>
      </c>
      <c r="E348" t="s">
        <v>13990</v>
      </c>
    </row>
    <row r="349" spans="1:5">
      <c r="A349" t="s">
        <v>14688</v>
      </c>
      <c r="B349" t="s">
        <v>14689</v>
      </c>
      <c r="C349" t="s">
        <v>14690</v>
      </c>
      <c r="D349" t="s">
        <v>13876</v>
      </c>
      <c r="E349" t="s">
        <v>13877</v>
      </c>
    </row>
    <row r="350" spans="1:5">
      <c r="A350" t="s">
        <v>14691</v>
      </c>
      <c r="B350" t="s">
        <v>14692</v>
      </c>
      <c r="C350" t="s">
        <v>14693</v>
      </c>
      <c r="D350" t="s">
        <v>14446</v>
      </c>
      <c r="E350" t="s">
        <v>14447</v>
      </c>
    </row>
    <row r="351" spans="1:5">
      <c r="A351" t="s">
        <v>14694</v>
      </c>
      <c r="B351" t="s">
        <v>14695</v>
      </c>
      <c r="C351" t="s">
        <v>14696</v>
      </c>
      <c r="D351" t="s">
        <v>13964</v>
      </c>
      <c r="E351" t="s">
        <v>13965</v>
      </c>
    </row>
    <row r="352" spans="1:5">
      <c r="A352" t="s">
        <v>14697</v>
      </c>
      <c r="B352" t="s">
        <v>14698</v>
      </c>
      <c r="C352" t="s">
        <v>14183</v>
      </c>
      <c r="D352" t="s">
        <v>13916</v>
      </c>
      <c r="E352" t="s">
        <v>14184</v>
      </c>
    </row>
    <row r="353" spans="1:5">
      <c r="A353" t="s">
        <v>3639</v>
      </c>
      <c r="B353" t="s">
        <v>14699</v>
      </c>
      <c r="C353" t="s">
        <v>14147</v>
      </c>
      <c r="D353" t="s">
        <v>13881</v>
      </c>
      <c r="E353" t="s">
        <v>13882</v>
      </c>
    </row>
    <row r="354" spans="1:5">
      <c r="A354" t="s">
        <v>14700</v>
      </c>
      <c r="B354" t="s">
        <v>14701</v>
      </c>
      <c r="C354" t="s">
        <v>13871</v>
      </c>
      <c r="D354" t="s">
        <v>13872</v>
      </c>
      <c r="E354" t="s">
        <v>13873</v>
      </c>
    </row>
    <row r="355" spans="1:5">
      <c r="A355" t="s">
        <v>14702</v>
      </c>
      <c r="B355" t="s">
        <v>14703</v>
      </c>
      <c r="C355" t="s">
        <v>14704</v>
      </c>
      <c r="D355" t="s">
        <v>14301</v>
      </c>
      <c r="E355" t="s">
        <v>14302</v>
      </c>
    </row>
    <row r="356" spans="1:5">
      <c r="A356" t="s">
        <v>14705</v>
      </c>
      <c r="B356" t="s">
        <v>14706</v>
      </c>
      <c r="C356" t="s">
        <v>14707</v>
      </c>
      <c r="D356" t="s">
        <v>13916</v>
      </c>
      <c r="E356" t="s">
        <v>14184</v>
      </c>
    </row>
    <row r="357" spans="1:5">
      <c r="A357" t="s">
        <v>14708</v>
      </c>
      <c r="B357" t="s">
        <v>14709</v>
      </c>
      <c r="C357" t="s">
        <v>14710</v>
      </c>
      <c r="D357" t="s">
        <v>13916</v>
      </c>
      <c r="E357" t="s">
        <v>14184</v>
      </c>
    </row>
    <row r="358" spans="1:5">
      <c r="A358" t="s">
        <v>2696</v>
      </c>
      <c r="B358" t="s">
        <v>14711</v>
      </c>
      <c r="C358" t="s">
        <v>14712</v>
      </c>
      <c r="D358" t="s">
        <v>14558</v>
      </c>
      <c r="E358" t="s">
        <v>14559</v>
      </c>
    </row>
    <row r="359" spans="1:5">
      <c r="A359" t="s">
        <v>849</v>
      </c>
      <c r="B359" t="s">
        <v>14713</v>
      </c>
      <c r="C359" t="s">
        <v>14554</v>
      </c>
      <c r="D359" t="s">
        <v>13901</v>
      </c>
      <c r="E359" t="s">
        <v>13902</v>
      </c>
    </row>
    <row r="360" spans="1:5">
      <c r="A360" t="s">
        <v>14714</v>
      </c>
      <c r="B360" t="s">
        <v>14715</v>
      </c>
      <c r="C360" t="s">
        <v>14369</v>
      </c>
      <c r="D360" t="s">
        <v>13897</v>
      </c>
      <c r="E360" t="s">
        <v>13898</v>
      </c>
    </row>
    <row r="361" spans="1:5">
      <c r="A361" t="s">
        <v>14716</v>
      </c>
      <c r="B361" t="s">
        <v>14717</v>
      </c>
      <c r="C361" t="s">
        <v>14222</v>
      </c>
      <c r="D361" t="s">
        <v>13901</v>
      </c>
      <c r="E361" t="s">
        <v>13902</v>
      </c>
    </row>
    <row r="362" spans="1:5">
      <c r="A362" t="s">
        <v>14718</v>
      </c>
      <c r="B362" t="s">
        <v>14719</v>
      </c>
      <c r="C362" t="s">
        <v>14183</v>
      </c>
      <c r="D362" t="s">
        <v>13916</v>
      </c>
      <c r="E362" t="s">
        <v>14184</v>
      </c>
    </row>
    <row r="363" spans="1:5">
      <c r="A363" t="s">
        <v>14720</v>
      </c>
      <c r="B363" t="s">
        <v>14721</v>
      </c>
      <c r="C363" t="s">
        <v>13888</v>
      </c>
      <c r="D363" t="s">
        <v>13889</v>
      </c>
      <c r="E363" t="s">
        <v>13890</v>
      </c>
    </row>
    <row r="364" spans="1:5">
      <c r="A364" t="s">
        <v>14722</v>
      </c>
      <c r="B364" t="s">
        <v>14723</v>
      </c>
      <c r="C364" t="s">
        <v>14724</v>
      </c>
      <c r="D364" t="s">
        <v>14356</v>
      </c>
      <c r="E364" t="s">
        <v>14357</v>
      </c>
    </row>
    <row r="365" spans="1:5">
      <c r="A365" t="s">
        <v>14725</v>
      </c>
      <c r="B365" t="s">
        <v>14726</v>
      </c>
      <c r="C365" t="s">
        <v>13935</v>
      </c>
      <c r="D365" t="s">
        <v>13935</v>
      </c>
      <c r="E365" t="s">
        <v>13936</v>
      </c>
    </row>
    <row r="366" spans="1:5">
      <c r="A366" t="s">
        <v>14727</v>
      </c>
      <c r="B366" t="s">
        <v>14728</v>
      </c>
      <c r="C366" t="s">
        <v>14729</v>
      </c>
      <c r="D366" t="s">
        <v>14301</v>
      </c>
      <c r="E366" t="s">
        <v>14302</v>
      </c>
    </row>
    <row r="367" spans="1:5">
      <c r="A367" t="s">
        <v>14730</v>
      </c>
      <c r="B367" t="s">
        <v>14731</v>
      </c>
      <c r="C367" t="s">
        <v>14732</v>
      </c>
      <c r="D367" t="s">
        <v>14611</v>
      </c>
      <c r="E367" t="s">
        <v>14612</v>
      </c>
    </row>
    <row r="368" spans="1:5">
      <c r="A368" t="s">
        <v>865</v>
      </c>
      <c r="B368" t="s">
        <v>14733</v>
      </c>
      <c r="C368" t="s">
        <v>13909</v>
      </c>
      <c r="D368" t="s">
        <v>13901</v>
      </c>
      <c r="E368" t="s">
        <v>13902</v>
      </c>
    </row>
    <row r="369" spans="1:5">
      <c r="A369" t="s">
        <v>14734</v>
      </c>
      <c r="B369" t="s">
        <v>14735</v>
      </c>
      <c r="C369" t="s">
        <v>13922</v>
      </c>
      <c r="D369" t="s">
        <v>13923</v>
      </c>
      <c r="E369" t="s">
        <v>13924</v>
      </c>
    </row>
    <row r="370" spans="1:5">
      <c r="A370" t="s">
        <v>14736</v>
      </c>
      <c r="B370" t="s">
        <v>14737</v>
      </c>
      <c r="C370" t="s">
        <v>14132</v>
      </c>
      <c r="D370" t="s">
        <v>14133</v>
      </c>
      <c r="E370" t="s">
        <v>14134</v>
      </c>
    </row>
    <row r="371" spans="1:5">
      <c r="A371" t="s">
        <v>925</v>
      </c>
      <c r="B371" t="s">
        <v>14738</v>
      </c>
      <c r="C371" t="s">
        <v>13986</v>
      </c>
      <c r="D371" t="s">
        <v>13901</v>
      </c>
      <c r="E371" t="s">
        <v>13902</v>
      </c>
    </row>
    <row r="372" spans="1:5">
      <c r="A372" t="s">
        <v>14739</v>
      </c>
      <c r="B372" t="s">
        <v>14740</v>
      </c>
      <c r="C372" t="s">
        <v>14568</v>
      </c>
      <c r="D372" t="s">
        <v>13935</v>
      </c>
      <c r="E372" t="s">
        <v>13936</v>
      </c>
    </row>
    <row r="373" spans="1:5">
      <c r="A373" t="s">
        <v>14741</v>
      </c>
      <c r="B373" t="s">
        <v>14742</v>
      </c>
      <c r="C373" t="s">
        <v>13983</v>
      </c>
      <c r="D373" t="s">
        <v>13927</v>
      </c>
      <c r="E373" t="s">
        <v>13928</v>
      </c>
    </row>
    <row r="374" spans="1:5">
      <c r="A374" t="s">
        <v>906</v>
      </c>
      <c r="B374" t="s">
        <v>14743</v>
      </c>
      <c r="C374" t="s">
        <v>13909</v>
      </c>
      <c r="D374" t="s">
        <v>13901</v>
      </c>
      <c r="E374" t="s">
        <v>13902</v>
      </c>
    </row>
    <row r="375" spans="1:5">
      <c r="A375" t="s">
        <v>14744</v>
      </c>
      <c r="B375" t="s">
        <v>14745</v>
      </c>
      <c r="C375" t="s">
        <v>14425</v>
      </c>
      <c r="D375" t="s">
        <v>13923</v>
      </c>
      <c r="E375" t="s">
        <v>13924</v>
      </c>
    </row>
    <row r="376" spans="1:5">
      <c r="A376" t="s">
        <v>14746</v>
      </c>
      <c r="B376" t="s">
        <v>14747</v>
      </c>
      <c r="C376" t="s">
        <v>14748</v>
      </c>
      <c r="D376" t="s">
        <v>13913</v>
      </c>
      <c r="E376" t="s">
        <v>13914</v>
      </c>
    </row>
    <row r="377" spans="1:5">
      <c r="A377" t="s">
        <v>14749</v>
      </c>
      <c r="B377" t="s">
        <v>14750</v>
      </c>
      <c r="C377" t="s">
        <v>14007</v>
      </c>
      <c r="D377" t="s">
        <v>13989</v>
      </c>
      <c r="E377" t="s">
        <v>13990</v>
      </c>
    </row>
    <row r="378" spans="1:5">
      <c r="A378" t="s">
        <v>14751</v>
      </c>
      <c r="B378" t="s">
        <v>14752</v>
      </c>
      <c r="C378" t="s">
        <v>13986</v>
      </c>
      <c r="D378" t="s">
        <v>13901</v>
      </c>
      <c r="E378" t="s">
        <v>13902</v>
      </c>
    </row>
    <row r="379" spans="1:5">
      <c r="A379" t="s">
        <v>14753</v>
      </c>
      <c r="B379" t="s">
        <v>14754</v>
      </c>
      <c r="C379" t="s">
        <v>13951</v>
      </c>
      <c r="D379" t="s">
        <v>13927</v>
      </c>
      <c r="E379" t="s">
        <v>13928</v>
      </c>
    </row>
    <row r="380" spans="1:5">
      <c r="A380" t="s">
        <v>14755</v>
      </c>
      <c r="B380" t="s">
        <v>14756</v>
      </c>
      <c r="C380" t="s">
        <v>13922</v>
      </c>
      <c r="D380" t="s">
        <v>13923</v>
      </c>
      <c r="E380" t="s">
        <v>13924</v>
      </c>
    </row>
    <row r="381" spans="1:5">
      <c r="A381" t="s">
        <v>2741</v>
      </c>
      <c r="B381" t="s">
        <v>14757</v>
      </c>
      <c r="C381" t="s">
        <v>14758</v>
      </c>
      <c r="D381" t="s">
        <v>14759</v>
      </c>
      <c r="E381" t="s">
        <v>14760</v>
      </c>
    </row>
    <row r="382" spans="1:5">
      <c r="A382" t="s">
        <v>14761</v>
      </c>
      <c r="B382" t="s">
        <v>14762</v>
      </c>
      <c r="C382" t="s">
        <v>14342</v>
      </c>
      <c r="D382" t="s">
        <v>14195</v>
      </c>
      <c r="E382" t="s">
        <v>14196</v>
      </c>
    </row>
    <row r="383" spans="1:5">
      <c r="A383" t="s">
        <v>14763</v>
      </c>
      <c r="B383" t="s">
        <v>14764</v>
      </c>
      <c r="C383" t="s">
        <v>14765</v>
      </c>
      <c r="D383" t="s">
        <v>13901</v>
      </c>
      <c r="E383" t="s">
        <v>13902</v>
      </c>
    </row>
    <row r="384" spans="1:5">
      <c r="A384" t="s">
        <v>1561</v>
      </c>
      <c r="B384" t="s">
        <v>14766</v>
      </c>
      <c r="C384" t="s">
        <v>14767</v>
      </c>
      <c r="D384" t="s">
        <v>14768</v>
      </c>
      <c r="E384" t="s">
        <v>14769</v>
      </c>
    </row>
    <row r="385" spans="1:5">
      <c r="A385" t="s">
        <v>3011</v>
      </c>
      <c r="B385" t="s">
        <v>14770</v>
      </c>
      <c r="C385" t="s">
        <v>14061</v>
      </c>
      <c r="D385" t="s">
        <v>13913</v>
      </c>
      <c r="E385" t="s">
        <v>13914</v>
      </c>
    </row>
    <row r="386" spans="1:5">
      <c r="A386" t="s">
        <v>14771</v>
      </c>
      <c r="B386" t="s">
        <v>14772</v>
      </c>
      <c r="C386" t="s">
        <v>13943</v>
      </c>
      <c r="D386" t="s">
        <v>13901</v>
      </c>
      <c r="E386" t="s">
        <v>13902</v>
      </c>
    </row>
    <row r="387" spans="1:5">
      <c r="A387" t="s">
        <v>14773</v>
      </c>
      <c r="B387" t="s">
        <v>14774</v>
      </c>
      <c r="C387" t="s">
        <v>13922</v>
      </c>
      <c r="D387" t="s">
        <v>13923</v>
      </c>
      <c r="E387" t="s">
        <v>13924</v>
      </c>
    </row>
    <row r="388" spans="1:5">
      <c r="A388" t="s">
        <v>14775</v>
      </c>
      <c r="B388" t="s">
        <v>14776</v>
      </c>
      <c r="C388" t="s">
        <v>13909</v>
      </c>
      <c r="D388" t="s">
        <v>13901</v>
      </c>
      <c r="E388" t="s">
        <v>13902</v>
      </c>
    </row>
    <row r="389" spans="1:5">
      <c r="A389" t="s">
        <v>14777</v>
      </c>
      <c r="B389" t="s">
        <v>14778</v>
      </c>
      <c r="C389" t="s">
        <v>13938</v>
      </c>
      <c r="D389" t="s">
        <v>13939</v>
      </c>
      <c r="E389" t="s">
        <v>13940</v>
      </c>
    </row>
    <row r="390" spans="1:5">
      <c r="A390" t="s">
        <v>3348</v>
      </c>
      <c r="B390" t="s">
        <v>14779</v>
      </c>
      <c r="C390" t="s">
        <v>14780</v>
      </c>
      <c r="D390" t="s">
        <v>14781</v>
      </c>
      <c r="E390" t="s">
        <v>14782</v>
      </c>
    </row>
    <row r="391" spans="1:5">
      <c r="A391" t="s">
        <v>14783</v>
      </c>
      <c r="B391" t="s">
        <v>14784</v>
      </c>
      <c r="C391" t="s">
        <v>14284</v>
      </c>
      <c r="D391" t="s">
        <v>14285</v>
      </c>
      <c r="E391" t="s">
        <v>14286</v>
      </c>
    </row>
    <row r="392" spans="1:5">
      <c r="A392" t="s">
        <v>14785</v>
      </c>
      <c r="B392" t="s">
        <v>14786</v>
      </c>
      <c r="C392" t="s">
        <v>13900</v>
      </c>
      <c r="D392" t="s">
        <v>13901</v>
      </c>
      <c r="E392" t="s">
        <v>13902</v>
      </c>
    </row>
    <row r="393" spans="1:5">
      <c r="A393" t="s">
        <v>14787</v>
      </c>
      <c r="B393" t="s">
        <v>14788</v>
      </c>
      <c r="C393" t="s">
        <v>13943</v>
      </c>
      <c r="D393" t="s">
        <v>13901</v>
      </c>
      <c r="E393" t="s">
        <v>13902</v>
      </c>
    </row>
    <row r="394" spans="1:5">
      <c r="A394" t="s">
        <v>14789</v>
      </c>
      <c r="B394" t="s">
        <v>14790</v>
      </c>
      <c r="C394" t="s">
        <v>13967</v>
      </c>
      <c r="D394" t="s">
        <v>13968</v>
      </c>
      <c r="E394" t="s">
        <v>13969</v>
      </c>
    </row>
    <row r="395" spans="1:5">
      <c r="A395" t="s">
        <v>14791</v>
      </c>
      <c r="B395" t="s">
        <v>14792</v>
      </c>
      <c r="C395" t="s">
        <v>14012</v>
      </c>
      <c r="D395" t="s">
        <v>13927</v>
      </c>
      <c r="E395" t="s">
        <v>13928</v>
      </c>
    </row>
    <row r="396" spans="1:5">
      <c r="A396" t="s">
        <v>14793</v>
      </c>
      <c r="B396" t="s">
        <v>14794</v>
      </c>
      <c r="C396" t="s">
        <v>14780</v>
      </c>
      <c r="D396" t="s">
        <v>14781</v>
      </c>
      <c r="E396" t="s">
        <v>14782</v>
      </c>
    </row>
    <row r="397" spans="1:5">
      <c r="A397" t="s">
        <v>14795</v>
      </c>
      <c r="B397" t="s">
        <v>14796</v>
      </c>
      <c r="C397" t="s">
        <v>13988</v>
      </c>
      <c r="D397" t="s">
        <v>13989</v>
      </c>
      <c r="E397" t="s">
        <v>13990</v>
      </c>
    </row>
    <row r="398" spans="1:5">
      <c r="A398" t="s">
        <v>14797</v>
      </c>
      <c r="B398" t="s">
        <v>14798</v>
      </c>
      <c r="C398" t="s">
        <v>14799</v>
      </c>
      <c r="D398" t="s">
        <v>14526</v>
      </c>
      <c r="E398" t="s">
        <v>14527</v>
      </c>
    </row>
    <row r="399" spans="1:5">
      <c r="A399" t="s">
        <v>14800</v>
      </c>
      <c r="B399" t="s">
        <v>13962</v>
      </c>
      <c r="C399" t="s">
        <v>13963</v>
      </c>
      <c r="D399" t="s">
        <v>13964</v>
      </c>
      <c r="E399" t="s">
        <v>13965</v>
      </c>
    </row>
    <row r="400" spans="1:5">
      <c r="A400" t="s">
        <v>2457</v>
      </c>
      <c r="B400" t="s">
        <v>14801</v>
      </c>
      <c r="C400" t="s">
        <v>14224</v>
      </c>
      <c r="D400" t="s">
        <v>14002</v>
      </c>
      <c r="E400" t="s">
        <v>14003</v>
      </c>
    </row>
    <row r="401" spans="1:5">
      <c r="A401" t="s">
        <v>2418</v>
      </c>
      <c r="B401" t="s">
        <v>14802</v>
      </c>
      <c r="C401" t="s">
        <v>14001</v>
      </c>
      <c r="D401" t="s">
        <v>14002</v>
      </c>
      <c r="E401" t="s">
        <v>14003</v>
      </c>
    </row>
    <row r="402" spans="1:5">
      <c r="A402" t="s">
        <v>84</v>
      </c>
      <c r="B402" t="s">
        <v>14803</v>
      </c>
      <c r="C402" t="s">
        <v>13916</v>
      </c>
      <c r="D402" t="s">
        <v>13901</v>
      </c>
      <c r="E402" t="s">
        <v>13902</v>
      </c>
    </row>
    <row r="403" spans="1:5">
      <c r="A403" t="s">
        <v>3356</v>
      </c>
      <c r="B403" t="s">
        <v>14804</v>
      </c>
      <c r="C403" t="s">
        <v>14493</v>
      </c>
      <c r="D403" t="s">
        <v>14250</v>
      </c>
      <c r="E403" t="s">
        <v>14251</v>
      </c>
    </row>
    <row r="404" spans="1:5">
      <c r="A404" t="s">
        <v>2757</v>
      </c>
      <c r="B404" t="s">
        <v>14805</v>
      </c>
      <c r="C404" t="s">
        <v>14806</v>
      </c>
      <c r="D404" t="s">
        <v>14078</v>
      </c>
      <c r="E404" t="s">
        <v>14079</v>
      </c>
    </row>
    <row r="405" spans="1:5">
      <c r="A405" t="s">
        <v>2453</v>
      </c>
      <c r="B405" t="s">
        <v>14807</v>
      </c>
      <c r="C405" t="s">
        <v>14224</v>
      </c>
      <c r="D405" t="s">
        <v>14002</v>
      </c>
      <c r="E405" t="s">
        <v>14003</v>
      </c>
    </row>
    <row r="406" spans="1:5">
      <c r="A406" t="s">
        <v>14808</v>
      </c>
      <c r="B406" t="s">
        <v>14809</v>
      </c>
      <c r="C406" t="s">
        <v>14106</v>
      </c>
      <c r="D406" t="s">
        <v>14107</v>
      </c>
      <c r="E406" t="s">
        <v>14108</v>
      </c>
    </row>
    <row r="407" spans="1:5">
      <c r="A407" t="s">
        <v>2127</v>
      </c>
      <c r="B407" t="s">
        <v>14810</v>
      </c>
      <c r="C407" t="s">
        <v>14342</v>
      </c>
      <c r="D407" t="s">
        <v>14195</v>
      </c>
      <c r="E407" t="s">
        <v>14196</v>
      </c>
    </row>
    <row r="408" spans="1:5">
      <c r="A408" t="s">
        <v>128</v>
      </c>
      <c r="B408" t="s">
        <v>14811</v>
      </c>
      <c r="C408" t="s">
        <v>13916</v>
      </c>
      <c r="D408" t="s">
        <v>13901</v>
      </c>
      <c r="E408" t="s">
        <v>13902</v>
      </c>
    </row>
    <row r="409" spans="1:5">
      <c r="A409" t="s">
        <v>2027</v>
      </c>
      <c r="B409" t="s">
        <v>14812</v>
      </c>
      <c r="C409" t="s">
        <v>13871</v>
      </c>
      <c r="D409" t="s">
        <v>13872</v>
      </c>
      <c r="E409" t="s">
        <v>13873</v>
      </c>
    </row>
    <row r="410" spans="1:5">
      <c r="A410" t="s">
        <v>2826</v>
      </c>
      <c r="B410" t="s">
        <v>14813</v>
      </c>
      <c r="C410" t="s">
        <v>14748</v>
      </c>
      <c r="D410" t="s">
        <v>13913</v>
      </c>
      <c r="E410" t="s">
        <v>13914</v>
      </c>
    </row>
    <row r="411" spans="1:5">
      <c r="A411" t="s">
        <v>14814</v>
      </c>
      <c r="B411" t="s">
        <v>14815</v>
      </c>
      <c r="C411" t="s">
        <v>14816</v>
      </c>
      <c r="D411" t="s">
        <v>13897</v>
      </c>
      <c r="E411" t="s">
        <v>13898</v>
      </c>
    </row>
    <row r="412" spans="1:5">
      <c r="A412" t="s">
        <v>3377</v>
      </c>
      <c r="B412" t="s">
        <v>14817</v>
      </c>
      <c r="C412" t="s">
        <v>13935</v>
      </c>
      <c r="D412" t="s">
        <v>13935</v>
      </c>
      <c r="E412" t="s">
        <v>13936</v>
      </c>
    </row>
    <row r="413" spans="1:5">
      <c r="A413" t="s">
        <v>14818</v>
      </c>
      <c r="B413" t="s">
        <v>14819</v>
      </c>
      <c r="C413" t="s">
        <v>13986</v>
      </c>
      <c r="D413" t="s">
        <v>13901</v>
      </c>
      <c r="E413" t="s">
        <v>13902</v>
      </c>
    </row>
    <row r="414" spans="1:5">
      <c r="A414" t="s">
        <v>3031</v>
      </c>
      <c r="B414" t="s">
        <v>14820</v>
      </c>
      <c r="C414" t="s">
        <v>13922</v>
      </c>
      <c r="D414" t="s">
        <v>13923</v>
      </c>
      <c r="E414" t="s">
        <v>13924</v>
      </c>
    </row>
    <row r="415" spans="1:5">
      <c r="A415" t="s">
        <v>3039</v>
      </c>
      <c r="B415" t="s">
        <v>14821</v>
      </c>
      <c r="C415" t="s">
        <v>13922</v>
      </c>
      <c r="D415" t="s">
        <v>13923</v>
      </c>
      <c r="E415" t="s">
        <v>13924</v>
      </c>
    </row>
    <row r="416" spans="1:5">
      <c r="A416" t="s">
        <v>126</v>
      </c>
      <c r="B416" t="s">
        <v>14822</v>
      </c>
      <c r="C416" t="s">
        <v>13943</v>
      </c>
      <c r="D416" t="s">
        <v>13901</v>
      </c>
      <c r="E416" t="s">
        <v>13902</v>
      </c>
    </row>
    <row r="417" spans="1:5">
      <c r="A417" t="s">
        <v>2428</v>
      </c>
      <c r="B417" t="s">
        <v>14823</v>
      </c>
      <c r="C417" t="s">
        <v>14025</v>
      </c>
      <c r="D417" t="s">
        <v>14025</v>
      </c>
      <c r="E417" t="s">
        <v>14026</v>
      </c>
    </row>
    <row r="418" spans="1:5">
      <c r="A418" t="s">
        <v>2750</v>
      </c>
      <c r="B418" t="s">
        <v>14824</v>
      </c>
      <c r="C418" t="s">
        <v>14183</v>
      </c>
      <c r="D418" t="s">
        <v>13916</v>
      </c>
      <c r="E418" t="s">
        <v>14184</v>
      </c>
    </row>
    <row r="419" spans="1:5">
      <c r="A419" t="s">
        <v>2835</v>
      </c>
      <c r="B419" t="s">
        <v>14825</v>
      </c>
      <c r="C419" t="s">
        <v>14183</v>
      </c>
      <c r="D419" t="s">
        <v>13916</v>
      </c>
      <c r="E419" t="s">
        <v>14184</v>
      </c>
    </row>
    <row r="420" spans="1:5">
      <c r="A420" t="s">
        <v>1036</v>
      </c>
      <c r="B420" t="s">
        <v>14826</v>
      </c>
      <c r="C420" t="s">
        <v>14012</v>
      </c>
      <c r="D420" t="s">
        <v>13927</v>
      </c>
      <c r="E420" t="s">
        <v>13928</v>
      </c>
    </row>
    <row r="421" spans="1:5">
      <c r="A421" t="s">
        <v>1044</v>
      </c>
      <c r="B421" t="s">
        <v>14827</v>
      </c>
      <c r="C421" t="s">
        <v>14012</v>
      </c>
      <c r="D421" t="s">
        <v>13927</v>
      </c>
      <c r="E421" t="s">
        <v>13928</v>
      </c>
    </row>
    <row r="422" spans="1:5">
      <c r="A422" t="s">
        <v>2022</v>
      </c>
      <c r="B422" t="s">
        <v>14828</v>
      </c>
      <c r="C422" t="s">
        <v>13871</v>
      </c>
      <c r="D422" t="s">
        <v>13872</v>
      </c>
      <c r="E422" t="s">
        <v>13873</v>
      </c>
    </row>
    <row r="423" spans="1:5">
      <c r="A423" t="s">
        <v>2019</v>
      </c>
      <c r="B423" t="s">
        <v>14829</v>
      </c>
      <c r="C423" t="s">
        <v>13871</v>
      </c>
      <c r="D423" t="s">
        <v>13872</v>
      </c>
      <c r="E423" t="s">
        <v>13873</v>
      </c>
    </row>
    <row r="424" spans="1:5">
      <c r="A424" t="s">
        <v>2414</v>
      </c>
      <c r="B424" t="s">
        <v>14830</v>
      </c>
      <c r="C424" t="s">
        <v>14380</v>
      </c>
      <c r="D424" t="s">
        <v>14381</v>
      </c>
      <c r="E424" t="s">
        <v>14382</v>
      </c>
    </row>
    <row r="425" spans="1:5">
      <c r="A425" t="s">
        <v>3358</v>
      </c>
      <c r="B425" t="s">
        <v>14831</v>
      </c>
      <c r="C425" t="s">
        <v>14201</v>
      </c>
      <c r="D425" t="s">
        <v>14040</v>
      </c>
      <c r="E425" t="s">
        <v>14041</v>
      </c>
    </row>
    <row r="426" spans="1:5">
      <c r="A426" t="s">
        <v>1602</v>
      </c>
      <c r="B426" t="s">
        <v>14832</v>
      </c>
      <c r="C426" t="s">
        <v>14833</v>
      </c>
      <c r="D426" t="s">
        <v>14834</v>
      </c>
      <c r="E426" t="s">
        <v>14835</v>
      </c>
    </row>
    <row r="427" spans="1:5">
      <c r="A427" t="s">
        <v>209</v>
      </c>
      <c r="B427" t="s">
        <v>14836</v>
      </c>
      <c r="C427" t="s">
        <v>13905</v>
      </c>
      <c r="D427" t="s">
        <v>13901</v>
      </c>
      <c r="E427" t="s">
        <v>13902</v>
      </c>
    </row>
    <row r="428" spans="1:5">
      <c r="A428" t="s">
        <v>2035</v>
      </c>
      <c r="B428" t="s">
        <v>14837</v>
      </c>
      <c r="C428" t="s">
        <v>14342</v>
      </c>
      <c r="D428" t="s">
        <v>14195</v>
      </c>
      <c r="E428" t="s">
        <v>14196</v>
      </c>
    </row>
    <row r="429" spans="1:5">
      <c r="A429" t="s">
        <v>3477</v>
      </c>
      <c r="B429" t="s">
        <v>14838</v>
      </c>
      <c r="C429" t="s">
        <v>14458</v>
      </c>
      <c r="D429" t="s">
        <v>14459</v>
      </c>
      <c r="E429" t="s">
        <v>14460</v>
      </c>
    </row>
    <row r="430" spans="1:5">
      <c r="A430" t="s">
        <v>3357</v>
      </c>
      <c r="B430" t="s">
        <v>14839</v>
      </c>
      <c r="C430" t="s">
        <v>13935</v>
      </c>
      <c r="D430" t="s">
        <v>13935</v>
      </c>
      <c r="E430" t="s">
        <v>13936</v>
      </c>
    </row>
    <row r="431" spans="1:5">
      <c r="A431" t="s">
        <v>82</v>
      </c>
      <c r="B431" t="s">
        <v>14840</v>
      </c>
      <c r="C431" t="s">
        <v>13916</v>
      </c>
      <c r="D431" t="s">
        <v>13901</v>
      </c>
      <c r="E431" t="s">
        <v>13902</v>
      </c>
    </row>
    <row r="432" spans="1:5">
      <c r="A432" t="s">
        <v>59</v>
      </c>
      <c r="B432" t="s">
        <v>14841</v>
      </c>
      <c r="C432" t="s">
        <v>13916</v>
      </c>
      <c r="D432" t="s">
        <v>13901</v>
      </c>
      <c r="E432" t="s">
        <v>13902</v>
      </c>
    </row>
    <row r="433" spans="1:5">
      <c r="A433" t="s">
        <v>1059</v>
      </c>
      <c r="B433" t="s">
        <v>14842</v>
      </c>
      <c r="C433" t="s">
        <v>14012</v>
      </c>
      <c r="D433" t="s">
        <v>13927</v>
      </c>
      <c r="E433" t="s">
        <v>13928</v>
      </c>
    </row>
    <row r="434" spans="1:5">
      <c r="A434" t="s">
        <v>54</v>
      </c>
      <c r="B434" t="s">
        <v>14843</v>
      </c>
      <c r="C434" t="s">
        <v>13916</v>
      </c>
      <c r="D434" t="s">
        <v>13901</v>
      </c>
      <c r="E434" t="s">
        <v>13902</v>
      </c>
    </row>
    <row r="435" spans="1:5">
      <c r="A435" t="s">
        <v>502</v>
      </c>
      <c r="B435" t="s">
        <v>14844</v>
      </c>
      <c r="C435" t="s">
        <v>13905</v>
      </c>
      <c r="D435" t="s">
        <v>13901</v>
      </c>
      <c r="E435" t="s">
        <v>13902</v>
      </c>
    </row>
    <row r="436" spans="1:5">
      <c r="A436" t="s">
        <v>145</v>
      </c>
      <c r="B436" t="s">
        <v>14845</v>
      </c>
      <c r="C436" t="s">
        <v>14034</v>
      </c>
      <c r="D436" t="s">
        <v>13901</v>
      </c>
      <c r="E436" t="s">
        <v>13902</v>
      </c>
    </row>
    <row r="437" spans="1:5">
      <c r="A437" t="s">
        <v>2432</v>
      </c>
      <c r="B437" t="s">
        <v>14846</v>
      </c>
      <c r="C437" t="s">
        <v>14001</v>
      </c>
      <c r="D437" t="s">
        <v>14002</v>
      </c>
      <c r="E437" t="s">
        <v>14003</v>
      </c>
    </row>
    <row r="438" spans="1:5">
      <c r="A438" t="s">
        <v>1605</v>
      </c>
      <c r="B438" t="s">
        <v>14847</v>
      </c>
      <c r="C438" t="s">
        <v>14848</v>
      </c>
      <c r="D438" t="s">
        <v>14259</v>
      </c>
      <c r="E438" t="s">
        <v>14260</v>
      </c>
    </row>
    <row r="439" spans="1:5">
      <c r="A439" t="s">
        <v>2802</v>
      </c>
      <c r="B439" t="s">
        <v>14849</v>
      </c>
      <c r="C439" t="s">
        <v>14057</v>
      </c>
      <c r="D439" t="s">
        <v>14058</v>
      </c>
      <c r="E439" t="s">
        <v>14059</v>
      </c>
    </row>
    <row r="440" spans="1:5">
      <c r="A440" t="s">
        <v>3032</v>
      </c>
      <c r="B440" t="s">
        <v>14850</v>
      </c>
      <c r="C440" t="s">
        <v>14072</v>
      </c>
      <c r="D440" t="s">
        <v>14073</v>
      </c>
      <c r="E440" t="s">
        <v>14074</v>
      </c>
    </row>
    <row r="441" spans="1:5">
      <c r="A441" t="s">
        <v>2030</v>
      </c>
      <c r="B441" t="s">
        <v>14851</v>
      </c>
      <c r="C441" t="s">
        <v>13871</v>
      </c>
      <c r="D441" t="s">
        <v>13872</v>
      </c>
      <c r="E441" t="s">
        <v>13873</v>
      </c>
    </row>
    <row r="442" spans="1:5">
      <c r="A442" t="s">
        <v>43</v>
      </c>
      <c r="B442" t="s">
        <v>14852</v>
      </c>
      <c r="C442" t="s">
        <v>13986</v>
      </c>
      <c r="D442" t="s">
        <v>13901</v>
      </c>
      <c r="E442" t="s">
        <v>13902</v>
      </c>
    </row>
    <row r="443" spans="1:5">
      <c r="A443" t="s">
        <v>1580</v>
      </c>
      <c r="B443" t="s">
        <v>14853</v>
      </c>
      <c r="C443" t="s">
        <v>14519</v>
      </c>
      <c r="D443" t="s">
        <v>14482</v>
      </c>
      <c r="E443" t="s">
        <v>14483</v>
      </c>
    </row>
    <row r="444" spans="1:5">
      <c r="A444" t="s">
        <v>2793</v>
      </c>
      <c r="B444" t="s">
        <v>14854</v>
      </c>
      <c r="C444" t="s">
        <v>14672</v>
      </c>
      <c r="D444" t="s">
        <v>14673</v>
      </c>
      <c r="E444" t="s">
        <v>14674</v>
      </c>
    </row>
    <row r="445" spans="1:5">
      <c r="A445" t="s">
        <v>1082</v>
      </c>
      <c r="B445" t="s">
        <v>14855</v>
      </c>
      <c r="C445" t="s">
        <v>14294</v>
      </c>
      <c r="D445" t="s">
        <v>14295</v>
      </c>
      <c r="E445" t="s">
        <v>14296</v>
      </c>
    </row>
    <row r="446" spans="1:5">
      <c r="A446" t="s">
        <v>1024</v>
      </c>
      <c r="B446" t="s">
        <v>14856</v>
      </c>
      <c r="C446" t="s">
        <v>14012</v>
      </c>
      <c r="D446" t="s">
        <v>13927</v>
      </c>
      <c r="E446" t="s">
        <v>13928</v>
      </c>
    </row>
    <row r="447" spans="1:5">
      <c r="A447" t="s">
        <v>3310</v>
      </c>
      <c r="B447" t="s">
        <v>14857</v>
      </c>
      <c r="C447" t="s">
        <v>14284</v>
      </c>
      <c r="D447" t="s">
        <v>14285</v>
      </c>
      <c r="E447" t="s">
        <v>14286</v>
      </c>
    </row>
    <row r="448" spans="1:5">
      <c r="A448" t="s">
        <v>1747</v>
      </c>
      <c r="B448" t="s">
        <v>14858</v>
      </c>
      <c r="C448" t="s">
        <v>13988</v>
      </c>
      <c r="D448" t="s">
        <v>13989</v>
      </c>
      <c r="E448" t="s">
        <v>13990</v>
      </c>
    </row>
    <row r="449" spans="1:5">
      <c r="A449" t="s">
        <v>3414</v>
      </c>
      <c r="B449" t="s">
        <v>14859</v>
      </c>
      <c r="C449" t="s">
        <v>14493</v>
      </c>
      <c r="D449" t="s">
        <v>14250</v>
      </c>
      <c r="E449" t="s">
        <v>14251</v>
      </c>
    </row>
    <row r="450" spans="1:5">
      <c r="A450" t="s">
        <v>2503</v>
      </c>
      <c r="B450" t="s">
        <v>14860</v>
      </c>
      <c r="C450" t="s">
        <v>14861</v>
      </c>
      <c r="D450" t="s">
        <v>14862</v>
      </c>
      <c r="E450" t="s">
        <v>14863</v>
      </c>
    </row>
    <row r="451" spans="1:5">
      <c r="A451" t="s">
        <v>3355</v>
      </c>
      <c r="B451" t="s">
        <v>14864</v>
      </c>
      <c r="C451" t="s">
        <v>14865</v>
      </c>
      <c r="D451" t="s">
        <v>14301</v>
      </c>
      <c r="E451" t="s">
        <v>14302</v>
      </c>
    </row>
    <row r="452" spans="1:5">
      <c r="A452" t="s">
        <v>2746</v>
      </c>
      <c r="B452" t="s">
        <v>14866</v>
      </c>
      <c r="C452" t="s">
        <v>14867</v>
      </c>
      <c r="D452" t="s">
        <v>14868</v>
      </c>
      <c r="E452" t="s">
        <v>14869</v>
      </c>
    </row>
    <row r="453" spans="1:5">
      <c r="A453" t="s">
        <v>1053</v>
      </c>
      <c r="B453" t="s">
        <v>14870</v>
      </c>
      <c r="C453" t="s">
        <v>13951</v>
      </c>
      <c r="D453" t="s">
        <v>13927</v>
      </c>
      <c r="E453" t="s">
        <v>13928</v>
      </c>
    </row>
    <row r="454" spans="1:5">
      <c r="A454" t="s">
        <v>162</v>
      </c>
      <c r="B454" t="s">
        <v>14871</v>
      </c>
      <c r="C454" t="s">
        <v>13916</v>
      </c>
      <c r="D454" t="s">
        <v>13901</v>
      </c>
      <c r="E454" t="s">
        <v>13902</v>
      </c>
    </row>
    <row r="455" spans="1:5">
      <c r="A455" t="s">
        <v>3408</v>
      </c>
      <c r="B455" t="s">
        <v>14872</v>
      </c>
      <c r="C455" t="s">
        <v>14017</v>
      </c>
      <c r="D455" t="s">
        <v>14018</v>
      </c>
      <c r="E455" t="s">
        <v>14019</v>
      </c>
    </row>
    <row r="456" spans="1:5">
      <c r="A456" t="s">
        <v>1013</v>
      </c>
      <c r="B456" t="s">
        <v>14873</v>
      </c>
      <c r="C456" t="s">
        <v>14767</v>
      </c>
      <c r="D456" t="s">
        <v>14768</v>
      </c>
      <c r="E456" t="s">
        <v>14769</v>
      </c>
    </row>
    <row r="457" spans="1:5">
      <c r="A457" t="s">
        <v>3066</v>
      </c>
      <c r="B457" t="s">
        <v>14874</v>
      </c>
      <c r="C457" t="s">
        <v>14227</v>
      </c>
      <c r="D457" t="s">
        <v>13951</v>
      </c>
      <c r="E457" t="s">
        <v>13952</v>
      </c>
    </row>
    <row r="458" spans="1:5">
      <c r="A458" t="s">
        <v>1655</v>
      </c>
      <c r="B458" t="s">
        <v>14875</v>
      </c>
      <c r="C458" t="s">
        <v>13988</v>
      </c>
      <c r="D458" t="s">
        <v>13989</v>
      </c>
      <c r="E458" t="s">
        <v>13990</v>
      </c>
    </row>
    <row r="459" spans="1:5">
      <c r="A459" t="s">
        <v>1304</v>
      </c>
      <c r="B459" t="s">
        <v>14876</v>
      </c>
      <c r="C459" t="s">
        <v>14012</v>
      </c>
      <c r="D459" t="s">
        <v>13927</v>
      </c>
      <c r="E459" t="s">
        <v>13928</v>
      </c>
    </row>
    <row r="460" spans="1:5">
      <c r="A460" t="s">
        <v>2435</v>
      </c>
      <c r="B460" t="s">
        <v>14877</v>
      </c>
      <c r="C460" t="s">
        <v>14001</v>
      </c>
      <c r="D460" t="s">
        <v>14002</v>
      </c>
      <c r="E460" t="s">
        <v>14003</v>
      </c>
    </row>
    <row r="461" spans="1:5">
      <c r="A461" t="s">
        <v>2416</v>
      </c>
      <c r="B461" t="s">
        <v>14878</v>
      </c>
      <c r="C461" t="s">
        <v>14224</v>
      </c>
      <c r="D461" t="s">
        <v>14002</v>
      </c>
      <c r="E461" t="s">
        <v>14003</v>
      </c>
    </row>
    <row r="462" spans="1:5">
      <c r="A462" t="s">
        <v>2052</v>
      </c>
      <c r="B462" t="s">
        <v>14879</v>
      </c>
      <c r="C462" t="s">
        <v>14021</v>
      </c>
      <c r="D462" t="s">
        <v>14021</v>
      </c>
      <c r="E462" t="s">
        <v>14022</v>
      </c>
    </row>
    <row r="463" spans="1:5">
      <c r="A463" t="s">
        <v>2430</v>
      </c>
      <c r="B463" t="s">
        <v>14880</v>
      </c>
      <c r="C463" t="s">
        <v>14001</v>
      </c>
      <c r="D463" t="s">
        <v>14002</v>
      </c>
      <c r="E463" t="s">
        <v>14003</v>
      </c>
    </row>
    <row r="464" spans="1:5">
      <c r="A464" t="s">
        <v>3073</v>
      </c>
      <c r="B464" t="s">
        <v>14881</v>
      </c>
      <c r="C464" t="s">
        <v>14780</v>
      </c>
      <c r="D464" t="s">
        <v>14781</v>
      </c>
      <c r="E464" t="s">
        <v>14782</v>
      </c>
    </row>
    <row r="465" spans="1:5">
      <c r="A465" t="s">
        <v>2850</v>
      </c>
      <c r="B465" t="s">
        <v>14882</v>
      </c>
      <c r="C465" t="s">
        <v>14048</v>
      </c>
      <c r="D465" t="s">
        <v>14049</v>
      </c>
      <c r="E465" t="s">
        <v>14050</v>
      </c>
    </row>
    <row r="466" spans="1:5">
      <c r="A466" t="s">
        <v>2886</v>
      </c>
      <c r="B466" t="s">
        <v>14883</v>
      </c>
      <c r="C466" t="s">
        <v>14551</v>
      </c>
      <c r="D466" t="s">
        <v>14165</v>
      </c>
      <c r="E466" t="s">
        <v>14166</v>
      </c>
    </row>
    <row r="467" spans="1:5">
      <c r="A467" t="s">
        <v>2515</v>
      </c>
      <c r="B467" t="s">
        <v>14884</v>
      </c>
      <c r="C467" t="s">
        <v>14380</v>
      </c>
      <c r="D467" t="s">
        <v>14381</v>
      </c>
      <c r="E467" t="s">
        <v>14382</v>
      </c>
    </row>
    <row r="468" spans="1:5">
      <c r="A468" t="s">
        <v>3373</v>
      </c>
      <c r="B468" t="s">
        <v>14885</v>
      </c>
      <c r="C468" t="s">
        <v>14886</v>
      </c>
      <c r="D468" t="s">
        <v>14250</v>
      </c>
      <c r="E468" t="s">
        <v>14251</v>
      </c>
    </row>
    <row r="469" spans="1:5">
      <c r="A469" t="s">
        <v>1634</v>
      </c>
      <c r="B469" t="s">
        <v>14887</v>
      </c>
      <c r="C469" t="s">
        <v>14888</v>
      </c>
      <c r="D469" t="s">
        <v>14889</v>
      </c>
      <c r="E469" t="s">
        <v>14890</v>
      </c>
    </row>
    <row r="470" spans="1:5">
      <c r="A470" t="s">
        <v>56</v>
      </c>
      <c r="B470" t="s">
        <v>14891</v>
      </c>
      <c r="C470" t="s">
        <v>14554</v>
      </c>
      <c r="D470" t="s">
        <v>13901</v>
      </c>
      <c r="E470" t="s">
        <v>13902</v>
      </c>
    </row>
    <row r="471" spans="1:5">
      <c r="A471" t="s">
        <v>1034</v>
      </c>
      <c r="B471" t="s">
        <v>14892</v>
      </c>
      <c r="C471" t="s">
        <v>14012</v>
      </c>
      <c r="D471" t="s">
        <v>13927</v>
      </c>
      <c r="E471" t="s">
        <v>13928</v>
      </c>
    </row>
    <row r="472" spans="1:5">
      <c r="A472" t="s">
        <v>1018</v>
      </c>
      <c r="B472" t="s">
        <v>14893</v>
      </c>
      <c r="C472" t="s">
        <v>14012</v>
      </c>
      <c r="D472" t="s">
        <v>13927</v>
      </c>
      <c r="E472" t="s">
        <v>13928</v>
      </c>
    </row>
    <row r="473" spans="1:5">
      <c r="A473" t="s">
        <v>3059</v>
      </c>
      <c r="B473" t="s">
        <v>14894</v>
      </c>
      <c r="C473" t="s">
        <v>14445</v>
      </c>
      <c r="D473" t="s">
        <v>14446</v>
      </c>
      <c r="E473" t="s">
        <v>14447</v>
      </c>
    </row>
    <row r="474" spans="1:5">
      <c r="A474" t="s">
        <v>2490</v>
      </c>
      <c r="B474" t="s">
        <v>14895</v>
      </c>
      <c r="C474" t="s">
        <v>13919</v>
      </c>
      <c r="D474" t="s">
        <v>13919</v>
      </c>
      <c r="E474" t="s">
        <v>13920</v>
      </c>
    </row>
    <row r="475" spans="1:5">
      <c r="A475" t="s">
        <v>3054</v>
      </c>
      <c r="B475" t="s">
        <v>14896</v>
      </c>
      <c r="C475" t="s">
        <v>13967</v>
      </c>
      <c r="D475" t="s">
        <v>13968</v>
      </c>
      <c r="E475" t="s">
        <v>13969</v>
      </c>
    </row>
    <row r="476" spans="1:5">
      <c r="A476" t="s">
        <v>2786</v>
      </c>
      <c r="B476" t="s">
        <v>14897</v>
      </c>
      <c r="C476" t="s">
        <v>14263</v>
      </c>
      <c r="D476" t="s">
        <v>14264</v>
      </c>
      <c r="E476" t="s">
        <v>14265</v>
      </c>
    </row>
    <row r="477" spans="1:5">
      <c r="A477" t="s">
        <v>2788</v>
      </c>
      <c r="B477" t="s">
        <v>14898</v>
      </c>
      <c r="C477" t="s">
        <v>14057</v>
      </c>
      <c r="D477" t="s">
        <v>14058</v>
      </c>
      <c r="E477" t="s">
        <v>14059</v>
      </c>
    </row>
    <row r="478" spans="1:5">
      <c r="A478" t="s">
        <v>3442</v>
      </c>
      <c r="B478" t="s">
        <v>14899</v>
      </c>
      <c r="C478" t="s">
        <v>14081</v>
      </c>
      <c r="D478" t="s">
        <v>14081</v>
      </c>
      <c r="E478" t="s">
        <v>14082</v>
      </c>
    </row>
    <row r="479" spans="1:5">
      <c r="A479" t="s">
        <v>2081</v>
      </c>
      <c r="B479" t="s">
        <v>14900</v>
      </c>
      <c r="C479" t="s">
        <v>14305</v>
      </c>
      <c r="D479" t="s">
        <v>14306</v>
      </c>
      <c r="E479" t="s">
        <v>14307</v>
      </c>
    </row>
    <row r="480" spans="1:5">
      <c r="A480" t="s">
        <v>1658</v>
      </c>
      <c r="B480" t="s">
        <v>14901</v>
      </c>
      <c r="C480" t="s">
        <v>14052</v>
      </c>
      <c r="D480" t="s">
        <v>14053</v>
      </c>
      <c r="E480" t="s">
        <v>14054</v>
      </c>
    </row>
    <row r="481" spans="1:5">
      <c r="A481" t="s">
        <v>2477</v>
      </c>
      <c r="B481" t="s">
        <v>14902</v>
      </c>
      <c r="C481" t="s">
        <v>14132</v>
      </c>
      <c r="D481" t="s">
        <v>14133</v>
      </c>
      <c r="E481" t="s">
        <v>14134</v>
      </c>
    </row>
    <row r="482" spans="1:5">
      <c r="A482" t="s">
        <v>1612</v>
      </c>
      <c r="B482" t="s">
        <v>14903</v>
      </c>
      <c r="C482" t="s">
        <v>14007</v>
      </c>
      <c r="D482" t="s">
        <v>13989</v>
      </c>
      <c r="E482" t="s">
        <v>13990</v>
      </c>
    </row>
    <row r="483" spans="1:5">
      <c r="A483" t="s">
        <v>3448</v>
      </c>
      <c r="B483" t="s">
        <v>14904</v>
      </c>
      <c r="C483" t="s">
        <v>14633</v>
      </c>
      <c r="D483" t="s">
        <v>13974</v>
      </c>
      <c r="E483" t="s">
        <v>13975</v>
      </c>
    </row>
    <row r="484" spans="1:5">
      <c r="A484" t="s">
        <v>1112</v>
      </c>
      <c r="B484" t="s">
        <v>14905</v>
      </c>
      <c r="C484" t="s">
        <v>14012</v>
      </c>
      <c r="D484" t="s">
        <v>13927</v>
      </c>
      <c r="E484" t="s">
        <v>13928</v>
      </c>
    </row>
    <row r="485" spans="1:5">
      <c r="A485" t="s">
        <v>2075</v>
      </c>
      <c r="B485" t="s">
        <v>14906</v>
      </c>
      <c r="C485" t="s">
        <v>14620</v>
      </c>
      <c r="D485" t="s">
        <v>14620</v>
      </c>
      <c r="E485" t="s">
        <v>14621</v>
      </c>
    </row>
    <row r="486" spans="1:5">
      <c r="A486" t="s">
        <v>3420</v>
      </c>
      <c r="B486" t="s">
        <v>14907</v>
      </c>
      <c r="C486" t="s">
        <v>14908</v>
      </c>
      <c r="D486" t="s">
        <v>14909</v>
      </c>
      <c r="E486" t="s">
        <v>14910</v>
      </c>
    </row>
    <row r="487" spans="1:5">
      <c r="A487" t="s">
        <v>2766</v>
      </c>
      <c r="B487" t="s">
        <v>14911</v>
      </c>
      <c r="C487" t="s">
        <v>14057</v>
      </c>
      <c r="D487" t="s">
        <v>14058</v>
      </c>
      <c r="E487" t="s">
        <v>14059</v>
      </c>
    </row>
    <row r="488" spans="1:5">
      <c r="A488" t="s">
        <v>3359</v>
      </c>
      <c r="B488" t="s">
        <v>14912</v>
      </c>
      <c r="C488" t="s">
        <v>13880</v>
      </c>
      <c r="D488" t="s">
        <v>13881</v>
      </c>
      <c r="E488" t="s">
        <v>13882</v>
      </c>
    </row>
    <row r="489" spans="1:5">
      <c r="A489" t="s">
        <v>2760</v>
      </c>
      <c r="B489" t="s">
        <v>14913</v>
      </c>
      <c r="C489" t="s">
        <v>14061</v>
      </c>
      <c r="D489" t="s">
        <v>13913</v>
      </c>
      <c r="E489" t="s">
        <v>13914</v>
      </c>
    </row>
    <row r="490" spans="1:5">
      <c r="A490" t="s">
        <v>1576</v>
      </c>
      <c r="B490" t="s">
        <v>14914</v>
      </c>
      <c r="C490" t="s">
        <v>13988</v>
      </c>
      <c r="D490" t="s">
        <v>13989</v>
      </c>
      <c r="E490" t="s">
        <v>13990</v>
      </c>
    </row>
    <row r="491" spans="1:5">
      <c r="A491" t="s">
        <v>2778</v>
      </c>
      <c r="B491" t="s">
        <v>14915</v>
      </c>
      <c r="C491" t="s">
        <v>13932</v>
      </c>
      <c r="D491" t="s">
        <v>13932</v>
      </c>
      <c r="E491" t="s">
        <v>13933</v>
      </c>
    </row>
    <row r="492" spans="1:5">
      <c r="A492" t="s">
        <v>1350</v>
      </c>
      <c r="B492" t="s">
        <v>14916</v>
      </c>
      <c r="C492" t="s">
        <v>14012</v>
      </c>
      <c r="D492" t="s">
        <v>13927</v>
      </c>
      <c r="E492" t="s">
        <v>13928</v>
      </c>
    </row>
    <row r="493" spans="1:5">
      <c r="A493" t="s">
        <v>77</v>
      </c>
      <c r="B493" t="s">
        <v>14917</v>
      </c>
      <c r="C493" t="s">
        <v>13905</v>
      </c>
      <c r="D493" t="s">
        <v>13901</v>
      </c>
      <c r="E493" t="s">
        <v>13902</v>
      </c>
    </row>
    <row r="494" spans="1:5">
      <c r="A494" t="s">
        <v>34</v>
      </c>
      <c r="B494" t="s">
        <v>14918</v>
      </c>
      <c r="C494" t="s">
        <v>14919</v>
      </c>
      <c r="D494" t="s">
        <v>13901</v>
      </c>
      <c r="E494" t="s">
        <v>13902</v>
      </c>
    </row>
    <row r="495" spans="1:5">
      <c r="A495" t="s">
        <v>3021</v>
      </c>
      <c r="B495" t="s">
        <v>14920</v>
      </c>
      <c r="C495" t="s">
        <v>13967</v>
      </c>
      <c r="D495" t="s">
        <v>13968</v>
      </c>
      <c r="E495" t="s">
        <v>13969</v>
      </c>
    </row>
    <row r="496" spans="1:5">
      <c r="A496" t="s">
        <v>2116</v>
      </c>
      <c r="B496" t="s">
        <v>14921</v>
      </c>
      <c r="C496" t="s">
        <v>13871</v>
      </c>
      <c r="D496" t="s">
        <v>13872</v>
      </c>
      <c r="E496" t="s">
        <v>13873</v>
      </c>
    </row>
    <row r="497" spans="1:5">
      <c r="A497" t="s">
        <v>3029</v>
      </c>
      <c r="B497" t="s">
        <v>14922</v>
      </c>
      <c r="C497" t="s">
        <v>13967</v>
      </c>
      <c r="D497" t="s">
        <v>13968</v>
      </c>
      <c r="E497" t="s">
        <v>13969</v>
      </c>
    </row>
    <row r="498" spans="1:5">
      <c r="A498" t="s">
        <v>3449</v>
      </c>
      <c r="B498" t="s">
        <v>14923</v>
      </c>
      <c r="C498" t="s">
        <v>13935</v>
      </c>
      <c r="D498" t="s">
        <v>13935</v>
      </c>
      <c r="E498" t="s">
        <v>13936</v>
      </c>
    </row>
    <row r="499" spans="1:5">
      <c r="A499" t="s">
        <v>1586</v>
      </c>
      <c r="B499" t="s">
        <v>14924</v>
      </c>
      <c r="C499" t="s">
        <v>13988</v>
      </c>
      <c r="D499" t="s">
        <v>13989</v>
      </c>
      <c r="E499" t="s">
        <v>13990</v>
      </c>
    </row>
    <row r="500" spans="1:5">
      <c r="A500" t="s">
        <v>50</v>
      </c>
      <c r="B500" t="s">
        <v>14925</v>
      </c>
      <c r="C500" t="s">
        <v>13916</v>
      </c>
      <c r="D500" t="s">
        <v>13901</v>
      </c>
      <c r="E500" t="s">
        <v>13902</v>
      </c>
    </row>
    <row r="501" spans="1:5">
      <c r="A501" t="s">
        <v>768</v>
      </c>
      <c r="B501" t="s">
        <v>14926</v>
      </c>
      <c r="C501" t="s">
        <v>13916</v>
      </c>
      <c r="D501" t="s">
        <v>13901</v>
      </c>
      <c r="E501" t="s">
        <v>13902</v>
      </c>
    </row>
    <row r="502" spans="1:5">
      <c r="A502" t="s">
        <v>14927</v>
      </c>
      <c r="B502" t="s">
        <v>14928</v>
      </c>
      <c r="C502" t="s">
        <v>14258</v>
      </c>
      <c r="D502" t="s">
        <v>14259</v>
      </c>
      <c r="E502" t="s">
        <v>14260</v>
      </c>
    </row>
    <row r="503" spans="1:5">
      <c r="A503" t="s">
        <v>2767</v>
      </c>
      <c r="B503" t="s">
        <v>14929</v>
      </c>
      <c r="C503" t="s">
        <v>14061</v>
      </c>
      <c r="D503" t="s">
        <v>13913</v>
      </c>
      <c r="E503" t="s">
        <v>13914</v>
      </c>
    </row>
    <row r="504" spans="1:5">
      <c r="A504" t="s">
        <v>14930</v>
      </c>
      <c r="B504" t="s">
        <v>14931</v>
      </c>
      <c r="C504" t="s">
        <v>13905</v>
      </c>
      <c r="D504" t="s">
        <v>13901</v>
      </c>
      <c r="E504" t="s">
        <v>13902</v>
      </c>
    </row>
    <row r="505" spans="1:5">
      <c r="A505" t="s">
        <v>31</v>
      </c>
      <c r="B505" t="s">
        <v>14932</v>
      </c>
      <c r="C505" t="s">
        <v>13916</v>
      </c>
      <c r="D505" t="s">
        <v>13901</v>
      </c>
      <c r="E505" t="s">
        <v>13902</v>
      </c>
    </row>
    <row r="506" spans="1:5">
      <c r="A506" t="s">
        <v>1574</v>
      </c>
      <c r="B506" t="s">
        <v>14933</v>
      </c>
      <c r="C506" t="s">
        <v>13988</v>
      </c>
      <c r="D506" t="s">
        <v>13989</v>
      </c>
      <c r="E506" t="s">
        <v>13990</v>
      </c>
    </row>
    <row r="507" spans="1:5">
      <c r="A507" t="s">
        <v>346</v>
      </c>
      <c r="B507" t="s">
        <v>14934</v>
      </c>
      <c r="C507" t="s">
        <v>13916</v>
      </c>
      <c r="D507" t="s">
        <v>13901</v>
      </c>
      <c r="E507" t="s">
        <v>13902</v>
      </c>
    </row>
    <row r="508" spans="1:5">
      <c r="A508" t="s">
        <v>1782</v>
      </c>
      <c r="B508" t="s">
        <v>14935</v>
      </c>
      <c r="C508" t="s">
        <v>13988</v>
      </c>
      <c r="D508" t="s">
        <v>13989</v>
      </c>
      <c r="E508" t="s">
        <v>13990</v>
      </c>
    </row>
    <row r="509" spans="1:5">
      <c r="A509" t="s">
        <v>3023</v>
      </c>
      <c r="B509" t="s">
        <v>14936</v>
      </c>
      <c r="C509" t="s">
        <v>13950</v>
      </c>
      <c r="D509" t="s">
        <v>13951</v>
      </c>
      <c r="E509" t="s">
        <v>13952</v>
      </c>
    </row>
    <row r="510" spans="1:5">
      <c r="A510" t="s">
        <v>2412</v>
      </c>
      <c r="B510" t="s">
        <v>14937</v>
      </c>
      <c r="C510" t="s">
        <v>14001</v>
      </c>
      <c r="D510" t="s">
        <v>14002</v>
      </c>
      <c r="E510" t="s">
        <v>14003</v>
      </c>
    </row>
    <row r="511" spans="1:5">
      <c r="A511" t="s">
        <v>3393</v>
      </c>
      <c r="B511" t="s">
        <v>14938</v>
      </c>
      <c r="C511" t="s">
        <v>14017</v>
      </c>
      <c r="D511" t="s">
        <v>14018</v>
      </c>
      <c r="E511" t="s">
        <v>14019</v>
      </c>
    </row>
    <row r="512" spans="1:5">
      <c r="A512" t="s">
        <v>1041</v>
      </c>
      <c r="B512" t="s">
        <v>14939</v>
      </c>
      <c r="C512" t="s">
        <v>14012</v>
      </c>
      <c r="D512" t="s">
        <v>13927</v>
      </c>
      <c r="E512" t="s">
        <v>13928</v>
      </c>
    </row>
    <row r="513" spans="1:5">
      <c r="A513" t="s">
        <v>220</v>
      </c>
      <c r="B513" t="s">
        <v>14940</v>
      </c>
      <c r="C513" t="s">
        <v>13905</v>
      </c>
      <c r="D513" t="s">
        <v>13901</v>
      </c>
      <c r="E513" t="s">
        <v>13902</v>
      </c>
    </row>
    <row r="514" spans="1:5">
      <c r="A514" t="s">
        <v>3400</v>
      </c>
      <c r="B514" t="s">
        <v>14941</v>
      </c>
      <c r="C514" t="s">
        <v>13935</v>
      </c>
      <c r="D514" t="s">
        <v>13935</v>
      </c>
      <c r="E514" t="s">
        <v>13936</v>
      </c>
    </row>
    <row r="515" spans="1:5">
      <c r="A515" t="s">
        <v>2846</v>
      </c>
      <c r="B515" t="s">
        <v>14942</v>
      </c>
      <c r="C515" t="s">
        <v>14943</v>
      </c>
      <c r="D515" t="s">
        <v>14505</v>
      </c>
      <c r="E515" t="s">
        <v>14506</v>
      </c>
    </row>
    <row r="516" spans="1:5">
      <c r="A516" t="s">
        <v>2775</v>
      </c>
      <c r="B516" t="s">
        <v>14944</v>
      </c>
      <c r="C516" t="s">
        <v>14945</v>
      </c>
      <c r="D516" t="s">
        <v>14455</v>
      </c>
      <c r="E516" t="s">
        <v>14456</v>
      </c>
    </row>
    <row r="517" spans="1:5">
      <c r="A517" t="s">
        <v>2486</v>
      </c>
      <c r="B517" t="s">
        <v>14946</v>
      </c>
      <c r="C517" t="s">
        <v>14380</v>
      </c>
      <c r="D517" t="s">
        <v>14381</v>
      </c>
      <c r="E517" t="s">
        <v>14382</v>
      </c>
    </row>
    <row r="518" spans="1:5">
      <c r="A518" t="s">
        <v>2012</v>
      </c>
      <c r="B518" t="s">
        <v>14947</v>
      </c>
      <c r="C518" t="s">
        <v>14397</v>
      </c>
      <c r="D518" t="s">
        <v>14397</v>
      </c>
      <c r="E518" t="s">
        <v>14398</v>
      </c>
    </row>
    <row r="519" spans="1:5">
      <c r="A519" t="s">
        <v>3361</v>
      </c>
      <c r="B519" t="s">
        <v>14948</v>
      </c>
      <c r="C519" t="s">
        <v>14949</v>
      </c>
      <c r="D519" t="s">
        <v>14909</v>
      </c>
      <c r="E519" t="s">
        <v>14910</v>
      </c>
    </row>
    <row r="520" spans="1:5">
      <c r="A520" t="s">
        <v>2881</v>
      </c>
      <c r="B520" t="s">
        <v>14950</v>
      </c>
      <c r="C520" t="s">
        <v>14217</v>
      </c>
      <c r="D520" t="s">
        <v>14218</v>
      </c>
      <c r="E520" t="s">
        <v>14219</v>
      </c>
    </row>
    <row r="521" spans="1:5">
      <c r="A521" t="s">
        <v>2682</v>
      </c>
      <c r="B521" t="s">
        <v>14951</v>
      </c>
      <c r="C521" t="s">
        <v>14952</v>
      </c>
      <c r="D521" t="s">
        <v>14953</v>
      </c>
      <c r="E521" t="s">
        <v>14954</v>
      </c>
    </row>
    <row r="522" spans="1:5">
      <c r="A522" t="s">
        <v>3516</v>
      </c>
      <c r="B522" t="s">
        <v>14955</v>
      </c>
      <c r="C522" t="s">
        <v>14956</v>
      </c>
      <c r="D522" t="s">
        <v>14957</v>
      </c>
      <c r="E522" t="s">
        <v>14958</v>
      </c>
    </row>
    <row r="523" spans="1:5">
      <c r="A523" t="s">
        <v>1689</v>
      </c>
      <c r="B523" t="s">
        <v>14959</v>
      </c>
      <c r="C523" t="s">
        <v>14162</v>
      </c>
      <c r="D523" t="s">
        <v>13946</v>
      </c>
      <c r="E523" t="s">
        <v>13947</v>
      </c>
    </row>
    <row r="524" spans="1:5">
      <c r="A524" t="s">
        <v>1043</v>
      </c>
      <c r="B524" t="s">
        <v>14960</v>
      </c>
      <c r="C524" t="s">
        <v>14326</v>
      </c>
      <c r="D524" t="s">
        <v>14327</v>
      </c>
      <c r="E524" t="s">
        <v>14328</v>
      </c>
    </row>
    <row r="525" spans="1:5">
      <c r="A525" t="s">
        <v>2046</v>
      </c>
      <c r="B525" t="s">
        <v>14961</v>
      </c>
      <c r="C525" t="s">
        <v>14021</v>
      </c>
      <c r="D525" t="s">
        <v>14021</v>
      </c>
      <c r="E525" t="s">
        <v>14022</v>
      </c>
    </row>
    <row r="526" spans="1:5">
      <c r="A526" t="s">
        <v>93</v>
      </c>
      <c r="B526" t="s">
        <v>14962</v>
      </c>
      <c r="C526" t="s">
        <v>13909</v>
      </c>
      <c r="D526" t="s">
        <v>13901</v>
      </c>
      <c r="E526" t="s">
        <v>13902</v>
      </c>
    </row>
    <row r="527" spans="1:5">
      <c r="A527" t="s">
        <v>3369</v>
      </c>
      <c r="B527" t="s">
        <v>14963</v>
      </c>
      <c r="C527" t="s">
        <v>14147</v>
      </c>
      <c r="D527" t="s">
        <v>13881</v>
      </c>
      <c r="E527" t="s">
        <v>13882</v>
      </c>
    </row>
    <row r="528" spans="1:5">
      <c r="A528" t="s">
        <v>45</v>
      </c>
      <c r="B528" t="s">
        <v>14964</v>
      </c>
      <c r="C528" t="s">
        <v>13943</v>
      </c>
      <c r="D528" t="s">
        <v>13901</v>
      </c>
      <c r="E528" t="s">
        <v>13902</v>
      </c>
    </row>
    <row r="529" spans="1:5">
      <c r="A529" t="s">
        <v>3208</v>
      </c>
      <c r="B529" t="s">
        <v>14965</v>
      </c>
      <c r="C529" t="s">
        <v>13967</v>
      </c>
      <c r="D529" t="s">
        <v>13968</v>
      </c>
      <c r="E529" t="s">
        <v>13969</v>
      </c>
    </row>
    <row r="530" spans="1:5">
      <c r="A530" t="s">
        <v>1221</v>
      </c>
      <c r="B530" t="s">
        <v>14966</v>
      </c>
      <c r="C530" t="s">
        <v>14967</v>
      </c>
      <c r="D530" t="s">
        <v>14968</v>
      </c>
      <c r="E530" t="s">
        <v>14969</v>
      </c>
    </row>
    <row r="531" spans="1:5">
      <c r="A531" t="s">
        <v>2399</v>
      </c>
      <c r="B531" t="s">
        <v>14970</v>
      </c>
      <c r="C531" t="s">
        <v>14403</v>
      </c>
      <c r="D531" t="s">
        <v>14404</v>
      </c>
      <c r="E531" t="s">
        <v>14405</v>
      </c>
    </row>
    <row r="532" spans="1:5">
      <c r="A532" t="s">
        <v>2033</v>
      </c>
      <c r="B532" t="s">
        <v>14971</v>
      </c>
      <c r="C532" t="s">
        <v>14240</v>
      </c>
      <c r="D532" t="s">
        <v>13872</v>
      </c>
      <c r="E532" t="s">
        <v>13873</v>
      </c>
    </row>
    <row r="533" spans="1:5">
      <c r="A533" t="s">
        <v>2797</v>
      </c>
      <c r="B533" t="s">
        <v>14972</v>
      </c>
      <c r="C533" t="s">
        <v>14053</v>
      </c>
      <c r="D533" t="s">
        <v>14118</v>
      </c>
      <c r="E533" t="s">
        <v>14119</v>
      </c>
    </row>
    <row r="534" spans="1:5">
      <c r="A534" t="s">
        <v>1678</v>
      </c>
      <c r="B534" t="s">
        <v>14973</v>
      </c>
      <c r="C534" t="s">
        <v>14106</v>
      </c>
      <c r="D534" t="s">
        <v>14107</v>
      </c>
      <c r="E534" t="s">
        <v>14108</v>
      </c>
    </row>
    <row r="535" spans="1:5">
      <c r="A535" t="s">
        <v>186</v>
      </c>
      <c r="B535" t="s">
        <v>14974</v>
      </c>
      <c r="C535" t="s">
        <v>13916</v>
      </c>
      <c r="D535" t="s">
        <v>13901</v>
      </c>
      <c r="E535" t="s">
        <v>13902</v>
      </c>
    </row>
    <row r="536" spans="1:5">
      <c r="A536" t="s">
        <v>14975</v>
      </c>
      <c r="B536" t="s">
        <v>14976</v>
      </c>
      <c r="C536" t="s">
        <v>14977</v>
      </c>
      <c r="D536" t="s">
        <v>14968</v>
      </c>
      <c r="E536" t="s">
        <v>14969</v>
      </c>
    </row>
    <row r="537" spans="1:5">
      <c r="A537" t="s">
        <v>2013</v>
      </c>
      <c r="B537" t="s">
        <v>14978</v>
      </c>
      <c r="C537" t="s">
        <v>14240</v>
      </c>
      <c r="D537" t="s">
        <v>13872</v>
      </c>
      <c r="E537" t="s">
        <v>13873</v>
      </c>
    </row>
    <row r="538" spans="1:5">
      <c r="A538" t="s">
        <v>1700</v>
      </c>
      <c r="B538" t="s">
        <v>14979</v>
      </c>
      <c r="C538" t="s">
        <v>14519</v>
      </c>
      <c r="D538" t="s">
        <v>14482</v>
      </c>
      <c r="E538" t="s">
        <v>14483</v>
      </c>
    </row>
    <row r="539" spans="1:5">
      <c r="A539" t="s">
        <v>14980</v>
      </c>
      <c r="B539" t="s">
        <v>14981</v>
      </c>
      <c r="C539" t="s">
        <v>14458</v>
      </c>
      <c r="D539" t="s">
        <v>14459</v>
      </c>
      <c r="E539" t="s">
        <v>14460</v>
      </c>
    </row>
    <row r="540" spans="1:5">
      <c r="A540" t="s">
        <v>1988</v>
      </c>
      <c r="B540" t="s">
        <v>14982</v>
      </c>
      <c r="C540" t="s">
        <v>13988</v>
      </c>
      <c r="D540" t="s">
        <v>13989</v>
      </c>
      <c r="E540" t="s">
        <v>13990</v>
      </c>
    </row>
    <row r="541" spans="1:5">
      <c r="A541" t="s">
        <v>14983</v>
      </c>
      <c r="B541" t="s">
        <v>14984</v>
      </c>
      <c r="C541" t="s">
        <v>13986</v>
      </c>
      <c r="D541" t="s">
        <v>13901</v>
      </c>
      <c r="E541" t="s">
        <v>13902</v>
      </c>
    </row>
    <row r="542" spans="1:5">
      <c r="A542" t="s">
        <v>14985</v>
      </c>
      <c r="B542" t="s">
        <v>14986</v>
      </c>
      <c r="C542" t="s">
        <v>14052</v>
      </c>
      <c r="D542" t="s">
        <v>14053</v>
      </c>
      <c r="E542" t="s">
        <v>14054</v>
      </c>
    </row>
    <row r="543" spans="1:5">
      <c r="A543" t="s">
        <v>104</v>
      </c>
      <c r="B543" t="s">
        <v>14987</v>
      </c>
      <c r="C543" t="s">
        <v>13905</v>
      </c>
      <c r="D543" t="s">
        <v>13901</v>
      </c>
      <c r="E543" t="s">
        <v>13902</v>
      </c>
    </row>
    <row r="544" spans="1:5">
      <c r="A544" t="s">
        <v>2429</v>
      </c>
      <c r="B544" t="s">
        <v>14988</v>
      </c>
      <c r="C544" t="s">
        <v>14989</v>
      </c>
      <c r="D544" t="s">
        <v>14089</v>
      </c>
      <c r="E544" t="s">
        <v>14090</v>
      </c>
    </row>
    <row r="545" spans="1:5">
      <c r="A545" t="s">
        <v>1835</v>
      </c>
      <c r="B545" t="s">
        <v>14990</v>
      </c>
      <c r="C545" t="s">
        <v>14991</v>
      </c>
      <c r="D545" t="s">
        <v>14429</v>
      </c>
      <c r="E545" t="s">
        <v>14430</v>
      </c>
    </row>
    <row r="546" spans="1:5">
      <c r="A546" t="s">
        <v>14992</v>
      </c>
      <c r="B546" t="s">
        <v>14993</v>
      </c>
      <c r="C546" t="s">
        <v>14034</v>
      </c>
      <c r="D546" t="s">
        <v>13901</v>
      </c>
      <c r="E546" t="s">
        <v>13902</v>
      </c>
    </row>
    <row r="547" spans="1:5">
      <c r="A547" t="s">
        <v>14994</v>
      </c>
      <c r="B547" t="s">
        <v>14995</v>
      </c>
      <c r="C547" t="s">
        <v>14007</v>
      </c>
      <c r="D547" t="s">
        <v>13989</v>
      </c>
      <c r="E547" t="s">
        <v>13990</v>
      </c>
    </row>
    <row r="548" spans="1:5">
      <c r="A548" t="s">
        <v>3633</v>
      </c>
      <c r="B548" t="s">
        <v>14996</v>
      </c>
      <c r="C548" t="s">
        <v>14147</v>
      </c>
      <c r="D548" t="s">
        <v>13881</v>
      </c>
      <c r="E548" t="s">
        <v>13882</v>
      </c>
    </row>
    <row r="549" spans="1:5">
      <c r="A549" t="s">
        <v>14997</v>
      </c>
      <c r="B549" t="s">
        <v>14998</v>
      </c>
      <c r="C549" t="s">
        <v>13909</v>
      </c>
      <c r="D549" t="s">
        <v>13901</v>
      </c>
      <c r="E549" t="s">
        <v>13902</v>
      </c>
    </row>
    <row r="550" spans="1:5">
      <c r="A550" t="s">
        <v>14999</v>
      </c>
      <c r="B550" t="s">
        <v>15000</v>
      </c>
      <c r="C550" t="s">
        <v>14227</v>
      </c>
      <c r="D550" t="s">
        <v>13951</v>
      </c>
      <c r="E550" t="s">
        <v>13952</v>
      </c>
    </row>
    <row r="551" spans="1:5">
      <c r="A551" t="s">
        <v>15001</v>
      </c>
      <c r="B551" t="s">
        <v>15002</v>
      </c>
      <c r="C551" t="s">
        <v>13909</v>
      </c>
      <c r="D551" t="s">
        <v>13901</v>
      </c>
      <c r="E551" t="s">
        <v>13902</v>
      </c>
    </row>
    <row r="552" spans="1:5">
      <c r="A552" t="s">
        <v>15003</v>
      </c>
      <c r="B552" t="s">
        <v>15004</v>
      </c>
      <c r="C552" t="s">
        <v>14672</v>
      </c>
      <c r="D552" t="s">
        <v>14673</v>
      </c>
      <c r="E552" t="s">
        <v>14674</v>
      </c>
    </row>
    <row r="553" spans="1:5">
      <c r="A553" t="s">
        <v>15005</v>
      </c>
      <c r="B553" t="s">
        <v>15006</v>
      </c>
      <c r="C553" t="s">
        <v>14284</v>
      </c>
      <c r="D553" t="s">
        <v>14285</v>
      </c>
      <c r="E553" t="s">
        <v>14286</v>
      </c>
    </row>
    <row r="554" spans="1:5">
      <c r="A554" t="s">
        <v>15007</v>
      </c>
      <c r="B554" t="s">
        <v>15008</v>
      </c>
      <c r="C554" t="s">
        <v>13916</v>
      </c>
      <c r="D554" t="s">
        <v>13901</v>
      </c>
      <c r="E554" t="s">
        <v>13902</v>
      </c>
    </row>
    <row r="555" spans="1:5">
      <c r="A555" t="s">
        <v>98</v>
      </c>
      <c r="B555" t="s">
        <v>15009</v>
      </c>
      <c r="C555" t="s">
        <v>13916</v>
      </c>
      <c r="D555" t="s">
        <v>13901</v>
      </c>
      <c r="E555" t="s">
        <v>13902</v>
      </c>
    </row>
    <row r="556" spans="1:5">
      <c r="A556" t="s">
        <v>2240</v>
      </c>
      <c r="B556" t="s">
        <v>15010</v>
      </c>
      <c r="C556" t="s">
        <v>13888</v>
      </c>
      <c r="D556" t="s">
        <v>13889</v>
      </c>
      <c r="E556" t="s">
        <v>13890</v>
      </c>
    </row>
    <row r="557" spans="1:5">
      <c r="A557" t="s">
        <v>15011</v>
      </c>
      <c r="B557" t="s">
        <v>15012</v>
      </c>
      <c r="C557" t="s">
        <v>13905</v>
      </c>
      <c r="D557" t="s">
        <v>13901</v>
      </c>
      <c r="E557" t="s">
        <v>13902</v>
      </c>
    </row>
    <row r="558" spans="1:5">
      <c r="A558" t="s">
        <v>15013</v>
      </c>
      <c r="B558" t="s">
        <v>15014</v>
      </c>
      <c r="C558" t="s">
        <v>13943</v>
      </c>
      <c r="D558" t="s">
        <v>13901</v>
      </c>
      <c r="E558" t="s">
        <v>13902</v>
      </c>
    </row>
    <row r="559" spans="1:5">
      <c r="A559" t="s">
        <v>3043</v>
      </c>
      <c r="B559" t="s">
        <v>15015</v>
      </c>
      <c r="C559" t="s">
        <v>13884</v>
      </c>
      <c r="D559" t="s">
        <v>13885</v>
      </c>
      <c r="E559" t="s">
        <v>13886</v>
      </c>
    </row>
    <row r="560" spans="1:5">
      <c r="A560" t="s">
        <v>15016</v>
      </c>
      <c r="B560" t="s">
        <v>15017</v>
      </c>
      <c r="C560" t="s">
        <v>13943</v>
      </c>
      <c r="D560" t="s">
        <v>13901</v>
      </c>
      <c r="E560" t="s">
        <v>13902</v>
      </c>
    </row>
    <row r="561" spans="1:5">
      <c r="A561" t="s">
        <v>783</v>
      </c>
      <c r="B561" t="s">
        <v>15018</v>
      </c>
      <c r="C561" t="s">
        <v>14222</v>
      </c>
      <c r="D561" t="s">
        <v>13901</v>
      </c>
      <c r="E561" t="s">
        <v>13902</v>
      </c>
    </row>
    <row r="562" spans="1:5">
      <c r="A562" t="s">
        <v>15019</v>
      </c>
      <c r="B562" t="s">
        <v>15020</v>
      </c>
      <c r="C562" t="s">
        <v>13892</v>
      </c>
      <c r="D562" t="s">
        <v>13893</v>
      </c>
      <c r="E562" t="s">
        <v>13894</v>
      </c>
    </row>
    <row r="563" spans="1:5">
      <c r="A563" t="s">
        <v>3246</v>
      </c>
      <c r="B563" t="s">
        <v>15021</v>
      </c>
      <c r="C563" t="s">
        <v>15022</v>
      </c>
      <c r="D563" t="s">
        <v>14408</v>
      </c>
      <c r="E563" t="s">
        <v>14409</v>
      </c>
    </row>
    <row r="564" spans="1:5">
      <c r="A564" t="s">
        <v>15023</v>
      </c>
      <c r="B564" t="s">
        <v>15024</v>
      </c>
      <c r="C564" t="s">
        <v>14554</v>
      </c>
      <c r="D564" t="s">
        <v>13901</v>
      </c>
      <c r="E564" t="s">
        <v>13902</v>
      </c>
    </row>
    <row r="565" spans="1:5">
      <c r="A565" t="s">
        <v>565</v>
      </c>
      <c r="B565" t="s">
        <v>15025</v>
      </c>
      <c r="C565" t="s">
        <v>13909</v>
      </c>
      <c r="D565" t="s">
        <v>13901</v>
      </c>
      <c r="E565" t="s">
        <v>13902</v>
      </c>
    </row>
    <row r="566" spans="1:5">
      <c r="A566" t="s">
        <v>15026</v>
      </c>
      <c r="B566" t="s">
        <v>15027</v>
      </c>
      <c r="C566" t="s">
        <v>14919</v>
      </c>
      <c r="D566" t="s">
        <v>13901</v>
      </c>
      <c r="E566" t="s">
        <v>13902</v>
      </c>
    </row>
    <row r="567" spans="1:5">
      <c r="A567" t="s">
        <v>3484</v>
      </c>
      <c r="B567" t="s">
        <v>15028</v>
      </c>
      <c r="C567" t="s">
        <v>13935</v>
      </c>
      <c r="D567" t="s">
        <v>13935</v>
      </c>
      <c r="E567" t="s">
        <v>13936</v>
      </c>
    </row>
    <row r="568" spans="1:5">
      <c r="A568" t="s">
        <v>15029</v>
      </c>
      <c r="B568" t="s">
        <v>15030</v>
      </c>
      <c r="C568" t="s">
        <v>14057</v>
      </c>
      <c r="D568" t="s">
        <v>14058</v>
      </c>
      <c r="E568" t="s">
        <v>14059</v>
      </c>
    </row>
    <row r="569" spans="1:5">
      <c r="A569" t="s">
        <v>2987</v>
      </c>
      <c r="B569" t="s">
        <v>15031</v>
      </c>
      <c r="C569" t="s">
        <v>14057</v>
      </c>
      <c r="D569" t="s">
        <v>14058</v>
      </c>
      <c r="E569" t="s">
        <v>14059</v>
      </c>
    </row>
    <row r="570" spans="1:5">
      <c r="A570" t="s">
        <v>2480</v>
      </c>
      <c r="B570" t="s">
        <v>15032</v>
      </c>
      <c r="C570" t="s">
        <v>14364</v>
      </c>
      <c r="D570" t="s">
        <v>14211</v>
      </c>
      <c r="E570" t="s">
        <v>14212</v>
      </c>
    </row>
    <row r="571" spans="1:5">
      <c r="A571" t="s">
        <v>3367</v>
      </c>
      <c r="B571" t="s">
        <v>15033</v>
      </c>
      <c r="C571" t="s">
        <v>14568</v>
      </c>
      <c r="D571" t="s">
        <v>13935</v>
      </c>
      <c r="E571" t="s">
        <v>13936</v>
      </c>
    </row>
    <row r="572" spans="1:5">
      <c r="A572" t="s">
        <v>1682</v>
      </c>
      <c r="B572" t="s">
        <v>15034</v>
      </c>
      <c r="C572" t="s">
        <v>14116</v>
      </c>
      <c r="D572" t="s">
        <v>13964</v>
      </c>
      <c r="E572" t="s">
        <v>13965</v>
      </c>
    </row>
    <row r="573" spans="1:5">
      <c r="A573" t="s">
        <v>15035</v>
      </c>
      <c r="B573" t="s">
        <v>15036</v>
      </c>
      <c r="C573" t="s">
        <v>14263</v>
      </c>
      <c r="D573" t="s">
        <v>14264</v>
      </c>
      <c r="E573" t="s">
        <v>14265</v>
      </c>
    </row>
    <row r="574" spans="1:5">
      <c r="A574" t="s">
        <v>3209</v>
      </c>
      <c r="B574" t="s">
        <v>15037</v>
      </c>
      <c r="C574" t="s">
        <v>14154</v>
      </c>
      <c r="D574" t="s">
        <v>14140</v>
      </c>
      <c r="E574" t="s">
        <v>14141</v>
      </c>
    </row>
    <row r="575" spans="1:5">
      <c r="A575" t="s">
        <v>15038</v>
      </c>
      <c r="B575" t="s">
        <v>15039</v>
      </c>
      <c r="C575" t="s">
        <v>13922</v>
      </c>
      <c r="D575" t="s">
        <v>13923</v>
      </c>
      <c r="E575" t="s">
        <v>13924</v>
      </c>
    </row>
    <row r="576" spans="1:5">
      <c r="A576" t="s">
        <v>15040</v>
      </c>
      <c r="B576" t="s">
        <v>15041</v>
      </c>
      <c r="C576" t="s">
        <v>15042</v>
      </c>
      <c r="D576" t="s">
        <v>14595</v>
      </c>
      <c r="E576" t="s">
        <v>14596</v>
      </c>
    </row>
    <row r="577" spans="1:5">
      <c r="A577" t="s">
        <v>3508</v>
      </c>
      <c r="B577" t="s">
        <v>15043</v>
      </c>
      <c r="C577" t="s">
        <v>14147</v>
      </c>
      <c r="D577" t="s">
        <v>13881</v>
      </c>
      <c r="E577" t="s">
        <v>13882</v>
      </c>
    </row>
    <row r="578" spans="1:5">
      <c r="A578" t="s">
        <v>15044</v>
      </c>
      <c r="B578" t="s">
        <v>15045</v>
      </c>
      <c r="C578" t="s">
        <v>13905</v>
      </c>
      <c r="D578" t="s">
        <v>13881</v>
      </c>
      <c r="E578" t="s">
        <v>13882</v>
      </c>
    </row>
    <row r="579" spans="1:5">
      <c r="A579" t="s">
        <v>3465</v>
      </c>
      <c r="B579" t="s">
        <v>15046</v>
      </c>
      <c r="C579" t="s">
        <v>13935</v>
      </c>
      <c r="D579" t="s">
        <v>13935</v>
      </c>
      <c r="E579" t="s">
        <v>13936</v>
      </c>
    </row>
    <row r="580" spans="1:5">
      <c r="A580" t="s">
        <v>15047</v>
      </c>
      <c r="B580" t="s">
        <v>15048</v>
      </c>
      <c r="C580" t="s">
        <v>13988</v>
      </c>
      <c r="D580" t="s">
        <v>13989</v>
      </c>
      <c r="E580" t="s">
        <v>13990</v>
      </c>
    </row>
    <row r="581" spans="1:5">
      <c r="A581" t="s">
        <v>15049</v>
      </c>
      <c r="B581" t="s">
        <v>15050</v>
      </c>
      <c r="C581" t="s">
        <v>14554</v>
      </c>
      <c r="D581" t="s">
        <v>13901</v>
      </c>
      <c r="E581" t="s">
        <v>13902</v>
      </c>
    </row>
    <row r="582" spans="1:5">
      <c r="A582" t="s">
        <v>2898</v>
      </c>
      <c r="B582" t="s">
        <v>15051</v>
      </c>
      <c r="C582" t="s">
        <v>13932</v>
      </c>
      <c r="D582" t="s">
        <v>13932</v>
      </c>
      <c r="E582" t="s">
        <v>13933</v>
      </c>
    </row>
    <row r="583" spans="1:5">
      <c r="A583" t="s">
        <v>15052</v>
      </c>
      <c r="B583" t="s">
        <v>15053</v>
      </c>
      <c r="C583" t="s">
        <v>14224</v>
      </c>
      <c r="D583" t="s">
        <v>14002</v>
      </c>
      <c r="E583" t="s">
        <v>14003</v>
      </c>
    </row>
    <row r="584" spans="1:5">
      <c r="A584" t="s">
        <v>15054</v>
      </c>
      <c r="B584" t="s">
        <v>15055</v>
      </c>
      <c r="C584" t="s">
        <v>14001</v>
      </c>
      <c r="D584" t="s">
        <v>14002</v>
      </c>
      <c r="E584" t="s">
        <v>14003</v>
      </c>
    </row>
    <row r="585" spans="1:5">
      <c r="A585" t="s">
        <v>2695</v>
      </c>
      <c r="B585" t="s">
        <v>15056</v>
      </c>
      <c r="C585" t="s">
        <v>14001</v>
      </c>
      <c r="D585" t="s">
        <v>14002</v>
      </c>
      <c r="E585" t="s">
        <v>14003</v>
      </c>
    </row>
    <row r="586" spans="1:5">
      <c r="A586" t="s">
        <v>1781</v>
      </c>
      <c r="B586" t="s">
        <v>15057</v>
      </c>
      <c r="C586" t="s">
        <v>13988</v>
      </c>
      <c r="D586" t="s">
        <v>13989</v>
      </c>
      <c r="E586" t="s">
        <v>13990</v>
      </c>
    </row>
    <row r="587" spans="1:5">
      <c r="A587" t="s">
        <v>15058</v>
      </c>
      <c r="B587" t="s">
        <v>15059</v>
      </c>
      <c r="C587" t="s">
        <v>13988</v>
      </c>
      <c r="D587" t="s">
        <v>13989</v>
      </c>
      <c r="E587" t="s">
        <v>13990</v>
      </c>
    </row>
    <row r="588" spans="1:5">
      <c r="A588" t="s">
        <v>15060</v>
      </c>
      <c r="B588" t="s">
        <v>15061</v>
      </c>
      <c r="C588" t="s">
        <v>14007</v>
      </c>
      <c r="D588" t="s">
        <v>13989</v>
      </c>
      <c r="E588" t="s">
        <v>13990</v>
      </c>
    </row>
    <row r="589" spans="1:5">
      <c r="A589" t="s">
        <v>1357</v>
      </c>
      <c r="B589" t="s">
        <v>15062</v>
      </c>
      <c r="C589" t="s">
        <v>14012</v>
      </c>
      <c r="D589" t="s">
        <v>13927</v>
      </c>
      <c r="E589" t="s">
        <v>13928</v>
      </c>
    </row>
    <row r="590" spans="1:5">
      <c r="A590" t="s">
        <v>1347</v>
      </c>
      <c r="B590" t="s">
        <v>15063</v>
      </c>
      <c r="C590" t="s">
        <v>14012</v>
      </c>
      <c r="D590" t="s">
        <v>13927</v>
      </c>
      <c r="E590" t="s">
        <v>13928</v>
      </c>
    </row>
    <row r="591" spans="1:5">
      <c r="A591" t="s">
        <v>15064</v>
      </c>
      <c r="B591" t="s">
        <v>15065</v>
      </c>
      <c r="C591" t="s">
        <v>13871</v>
      </c>
      <c r="D591" t="s">
        <v>13872</v>
      </c>
      <c r="E591" t="s">
        <v>13873</v>
      </c>
    </row>
    <row r="592" spans="1:5">
      <c r="A592" t="s">
        <v>15066</v>
      </c>
      <c r="B592" t="s">
        <v>15067</v>
      </c>
      <c r="C592" t="s">
        <v>14061</v>
      </c>
      <c r="D592" t="s">
        <v>13913</v>
      </c>
      <c r="E592" t="s">
        <v>13914</v>
      </c>
    </row>
    <row r="593" spans="1:5">
      <c r="A593" t="s">
        <v>15068</v>
      </c>
      <c r="B593" t="s">
        <v>15069</v>
      </c>
      <c r="C593" t="s">
        <v>14012</v>
      </c>
      <c r="D593" t="s">
        <v>13927</v>
      </c>
      <c r="E593" t="s">
        <v>13928</v>
      </c>
    </row>
    <row r="594" spans="1:5">
      <c r="A594" t="s">
        <v>1070</v>
      </c>
      <c r="B594" t="s">
        <v>15070</v>
      </c>
      <c r="C594" t="s">
        <v>13951</v>
      </c>
      <c r="D594" t="s">
        <v>13927</v>
      </c>
      <c r="E594" t="s">
        <v>13928</v>
      </c>
    </row>
    <row r="595" spans="1:5">
      <c r="A595" t="s">
        <v>15071</v>
      </c>
      <c r="B595" t="s">
        <v>15072</v>
      </c>
      <c r="C595" t="s">
        <v>13943</v>
      </c>
      <c r="D595" t="s">
        <v>13901</v>
      </c>
      <c r="E595" t="s">
        <v>13902</v>
      </c>
    </row>
    <row r="596" spans="1:5">
      <c r="A596" t="s">
        <v>15073</v>
      </c>
      <c r="B596" t="s">
        <v>15074</v>
      </c>
      <c r="C596" t="s">
        <v>13916</v>
      </c>
      <c r="D596" t="s">
        <v>13901</v>
      </c>
      <c r="E596" t="s">
        <v>13902</v>
      </c>
    </row>
    <row r="597" spans="1:5">
      <c r="A597" t="s">
        <v>15075</v>
      </c>
      <c r="B597" t="s">
        <v>15076</v>
      </c>
      <c r="C597" t="s">
        <v>14017</v>
      </c>
      <c r="D597" t="s">
        <v>14018</v>
      </c>
      <c r="E597" t="s">
        <v>14019</v>
      </c>
    </row>
    <row r="598" spans="1:5">
      <c r="A598" t="s">
        <v>15077</v>
      </c>
      <c r="B598" t="s">
        <v>15078</v>
      </c>
      <c r="C598" t="s">
        <v>13916</v>
      </c>
      <c r="D598" t="s">
        <v>13901</v>
      </c>
      <c r="E598" t="s">
        <v>13902</v>
      </c>
    </row>
    <row r="599" spans="1:5">
      <c r="A599" t="s">
        <v>3197</v>
      </c>
      <c r="B599" t="s">
        <v>15079</v>
      </c>
      <c r="C599" t="s">
        <v>13922</v>
      </c>
      <c r="D599" t="s">
        <v>13923</v>
      </c>
      <c r="E599" t="s">
        <v>13924</v>
      </c>
    </row>
    <row r="600" spans="1:5">
      <c r="A600" t="s">
        <v>123</v>
      </c>
      <c r="B600" t="s">
        <v>15080</v>
      </c>
      <c r="C600" t="s">
        <v>13909</v>
      </c>
      <c r="D600" t="s">
        <v>13901</v>
      </c>
      <c r="E600" t="s">
        <v>13902</v>
      </c>
    </row>
    <row r="601" spans="1:5">
      <c r="A601" t="s">
        <v>1631</v>
      </c>
      <c r="B601" t="s">
        <v>15081</v>
      </c>
      <c r="C601" t="s">
        <v>15082</v>
      </c>
      <c r="D601" t="s">
        <v>14429</v>
      </c>
      <c r="E601" t="s">
        <v>14430</v>
      </c>
    </row>
    <row r="602" spans="1:5">
      <c r="A602" t="s">
        <v>2747</v>
      </c>
      <c r="B602" t="s">
        <v>15083</v>
      </c>
      <c r="C602" t="s">
        <v>14551</v>
      </c>
      <c r="D602" t="s">
        <v>14165</v>
      </c>
      <c r="E602" t="s">
        <v>14166</v>
      </c>
    </row>
    <row r="603" spans="1:5">
      <c r="A603" t="s">
        <v>2954</v>
      </c>
      <c r="B603" t="s">
        <v>15084</v>
      </c>
      <c r="C603" t="s">
        <v>15085</v>
      </c>
      <c r="D603" t="s">
        <v>14165</v>
      </c>
      <c r="E603" t="s">
        <v>14166</v>
      </c>
    </row>
    <row r="604" spans="1:5">
      <c r="A604" t="s">
        <v>1642</v>
      </c>
      <c r="B604" t="s">
        <v>15086</v>
      </c>
      <c r="C604" t="s">
        <v>13988</v>
      </c>
      <c r="D604" t="s">
        <v>13989</v>
      </c>
      <c r="E604" t="s">
        <v>13990</v>
      </c>
    </row>
    <row r="605" spans="1:5">
      <c r="A605" t="s">
        <v>1185</v>
      </c>
      <c r="B605" t="s">
        <v>15087</v>
      </c>
      <c r="C605" t="s">
        <v>14012</v>
      </c>
      <c r="D605" t="s">
        <v>13927</v>
      </c>
      <c r="E605" t="s">
        <v>13928</v>
      </c>
    </row>
    <row r="606" spans="1:5">
      <c r="A606" t="s">
        <v>2088</v>
      </c>
      <c r="B606" t="s">
        <v>15088</v>
      </c>
      <c r="C606" t="s">
        <v>14194</v>
      </c>
      <c r="D606" t="s">
        <v>14195</v>
      </c>
      <c r="E606" t="s">
        <v>14196</v>
      </c>
    </row>
    <row r="607" spans="1:5">
      <c r="A607" t="s">
        <v>2356</v>
      </c>
      <c r="B607" t="s">
        <v>15089</v>
      </c>
      <c r="C607" t="s">
        <v>14350</v>
      </c>
      <c r="D607" t="s">
        <v>14173</v>
      </c>
      <c r="E607" t="s">
        <v>14174</v>
      </c>
    </row>
    <row r="608" spans="1:5">
      <c r="A608" t="s">
        <v>2066</v>
      </c>
      <c r="B608" t="s">
        <v>15090</v>
      </c>
      <c r="C608" t="s">
        <v>15091</v>
      </c>
      <c r="D608" t="s">
        <v>15092</v>
      </c>
      <c r="E608" t="s">
        <v>15093</v>
      </c>
    </row>
    <row r="609" spans="1:5">
      <c r="A609" t="s">
        <v>135</v>
      </c>
      <c r="B609" t="s">
        <v>15094</v>
      </c>
      <c r="C609" t="s">
        <v>14919</v>
      </c>
      <c r="D609" t="s">
        <v>13901</v>
      </c>
      <c r="E609" t="s">
        <v>13902</v>
      </c>
    </row>
    <row r="610" spans="1:5">
      <c r="A610" t="s">
        <v>2763</v>
      </c>
      <c r="B610" t="s">
        <v>15095</v>
      </c>
      <c r="C610" t="s">
        <v>14061</v>
      </c>
      <c r="D610" t="s">
        <v>13913</v>
      </c>
      <c r="E610" t="s">
        <v>13914</v>
      </c>
    </row>
    <row r="611" spans="1:5">
      <c r="A611" t="s">
        <v>3079</v>
      </c>
      <c r="B611" t="s">
        <v>15096</v>
      </c>
      <c r="C611" t="s">
        <v>13967</v>
      </c>
      <c r="D611" t="s">
        <v>13968</v>
      </c>
      <c r="E611" t="s">
        <v>13969</v>
      </c>
    </row>
    <row r="612" spans="1:5">
      <c r="A612" t="s">
        <v>2511</v>
      </c>
      <c r="B612" t="s">
        <v>15097</v>
      </c>
      <c r="C612" t="s">
        <v>14400</v>
      </c>
      <c r="D612" t="s">
        <v>14381</v>
      </c>
      <c r="E612" t="s">
        <v>14382</v>
      </c>
    </row>
    <row r="613" spans="1:5">
      <c r="A613" t="s">
        <v>3524</v>
      </c>
      <c r="B613" t="s">
        <v>15098</v>
      </c>
      <c r="C613" t="s">
        <v>14369</v>
      </c>
      <c r="D613" t="s">
        <v>13897</v>
      </c>
      <c r="E613" t="s">
        <v>13898</v>
      </c>
    </row>
    <row r="614" spans="1:5">
      <c r="A614" t="s">
        <v>3621</v>
      </c>
      <c r="B614" t="s">
        <v>15099</v>
      </c>
      <c r="C614" t="s">
        <v>13896</v>
      </c>
      <c r="D614" t="s">
        <v>13897</v>
      </c>
      <c r="E614" t="s">
        <v>13898</v>
      </c>
    </row>
    <row r="615" spans="1:5">
      <c r="A615" t="s">
        <v>2874</v>
      </c>
      <c r="B615" t="s">
        <v>15100</v>
      </c>
      <c r="C615" t="s">
        <v>14061</v>
      </c>
      <c r="D615" t="s">
        <v>13913</v>
      </c>
      <c r="E615" t="s">
        <v>13914</v>
      </c>
    </row>
    <row r="616" spans="1:5">
      <c r="A616" t="s">
        <v>15101</v>
      </c>
      <c r="B616" t="s">
        <v>15102</v>
      </c>
      <c r="C616" t="s">
        <v>15103</v>
      </c>
      <c r="D616" t="s">
        <v>14081</v>
      </c>
      <c r="E616" t="s">
        <v>14082</v>
      </c>
    </row>
    <row r="617" spans="1:5">
      <c r="A617" t="s">
        <v>2474</v>
      </c>
      <c r="B617" t="s">
        <v>15104</v>
      </c>
      <c r="C617" t="s">
        <v>14799</v>
      </c>
      <c r="D617" t="s">
        <v>14526</v>
      </c>
      <c r="E617" t="s">
        <v>14527</v>
      </c>
    </row>
    <row r="618" spans="1:5">
      <c r="A618" t="s">
        <v>2447</v>
      </c>
      <c r="B618" t="s">
        <v>15105</v>
      </c>
      <c r="C618" t="s">
        <v>14001</v>
      </c>
      <c r="D618" t="s">
        <v>14002</v>
      </c>
      <c r="E618" t="s">
        <v>14003</v>
      </c>
    </row>
    <row r="619" spans="1:5">
      <c r="A619" t="s">
        <v>3450</v>
      </c>
      <c r="B619" t="s">
        <v>15106</v>
      </c>
      <c r="C619" t="s">
        <v>14017</v>
      </c>
      <c r="D619" t="s">
        <v>14018</v>
      </c>
      <c r="E619" t="s">
        <v>14019</v>
      </c>
    </row>
    <row r="620" spans="1:5">
      <c r="A620" t="s">
        <v>2791</v>
      </c>
      <c r="B620" t="s">
        <v>15107</v>
      </c>
      <c r="C620" t="s">
        <v>14061</v>
      </c>
      <c r="D620" t="s">
        <v>13913</v>
      </c>
      <c r="E620" t="s">
        <v>13914</v>
      </c>
    </row>
    <row r="621" spans="1:5">
      <c r="A621" t="s">
        <v>3094</v>
      </c>
      <c r="B621" t="s">
        <v>15108</v>
      </c>
      <c r="C621" t="s">
        <v>13922</v>
      </c>
      <c r="D621" t="s">
        <v>13923</v>
      </c>
      <c r="E621" t="s">
        <v>13924</v>
      </c>
    </row>
    <row r="622" spans="1:5">
      <c r="A622" t="s">
        <v>2058</v>
      </c>
      <c r="B622" t="s">
        <v>15109</v>
      </c>
      <c r="C622" t="s">
        <v>14397</v>
      </c>
      <c r="D622" t="s">
        <v>14397</v>
      </c>
      <c r="E622" t="s">
        <v>14398</v>
      </c>
    </row>
    <row r="623" spans="1:5">
      <c r="A623" t="s">
        <v>15110</v>
      </c>
      <c r="B623" t="s">
        <v>15111</v>
      </c>
      <c r="C623" t="s">
        <v>14380</v>
      </c>
      <c r="D623" t="s">
        <v>14381</v>
      </c>
      <c r="E623" t="s">
        <v>14382</v>
      </c>
    </row>
    <row r="624" spans="1:5">
      <c r="A624" t="s">
        <v>1762</v>
      </c>
      <c r="B624" t="s">
        <v>15112</v>
      </c>
      <c r="C624" t="s">
        <v>13988</v>
      </c>
      <c r="D624" t="s">
        <v>13989</v>
      </c>
      <c r="E624" t="s">
        <v>13990</v>
      </c>
    </row>
    <row r="625" spans="1:5">
      <c r="A625" t="s">
        <v>1035</v>
      </c>
      <c r="B625" t="s">
        <v>15113</v>
      </c>
      <c r="C625" t="s">
        <v>15114</v>
      </c>
      <c r="D625" t="s">
        <v>14545</v>
      </c>
      <c r="E625" t="s">
        <v>14546</v>
      </c>
    </row>
    <row r="626" spans="1:5">
      <c r="A626" t="s">
        <v>3387</v>
      </c>
      <c r="B626" t="s">
        <v>15115</v>
      </c>
      <c r="C626" t="s">
        <v>14886</v>
      </c>
      <c r="D626" t="s">
        <v>14250</v>
      </c>
      <c r="E626" t="s">
        <v>14251</v>
      </c>
    </row>
    <row r="627" spans="1:5">
      <c r="A627" t="s">
        <v>2803</v>
      </c>
      <c r="B627" t="s">
        <v>15116</v>
      </c>
      <c r="C627" t="s">
        <v>14707</v>
      </c>
      <c r="D627" t="s">
        <v>13916</v>
      </c>
      <c r="E627" t="s">
        <v>14184</v>
      </c>
    </row>
    <row r="628" spans="1:5">
      <c r="A628" t="s">
        <v>2343</v>
      </c>
      <c r="B628" t="s">
        <v>15117</v>
      </c>
      <c r="C628" t="s">
        <v>14021</v>
      </c>
      <c r="D628" t="s">
        <v>14021</v>
      </c>
      <c r="E628" t="s">
        <v>14022</v>
      </c>
    </row>
    <row r="629" spans="1:5">
      <c r="A629" t="s">
        <v>2381</v>
      </c>
      <c r="B629" t="s">
        <v>15118</v>
      </c>
      <c r="C629" t="s">
        <v>13871</v>
      </c>
      <c r="D629" t="s">
        <v>13872</v>
      </c>
      <c r="E629" t="s">
        <v>13873</v>
      </c>
    </row>
    <row r="630" spans="1:5">
      <c r="A630" t="s">
        <v>1661</v>
      </c>
      <c r="B630" t="s">
        <v>15119</v>
      </c>
      <c r="C630" t="s">
        <v>14017</v>
      </c>
      <c r="D630" t="s">
        <v>14259</v>
      </c>
      <c r="E630" t="s">
        <v>14260</v>
      </c>
    </row>
    <row r="631" spans="1:5">
      <c r="A631" t="s">
        <v>3077</v>
      </c>
      <c r="B631" t="s">
        <v>15120</v>
      </c>
      <c r="C631" t="s">
        <v>15121</v>
      </c>
      <c r="D631" t="s">
        <v>14510</v>
      </c>
      <c r="E631" t="s">
        <v>14511</v>
      </c>
    </row>
    <row r="632" spans="1:5">
      <c r="A632" t="s">
        <v>1183</v>
      </c>
      <c r="B632" t="s">
        <v>15122</v>
      </c>
      <c r="C632" t="s">
        <v>14012</v>
      </c>
      <c r="D632" t="s">
        <v>13927</v>
      </c>
      <c r="E632" t="s">
        <v>13928</v>
      </c>
    </row>
    <row r="633" spans="1:5">
      <c r="A633" t="s">
        <v>2174</v>
      </c>
      <c r="B633" t="s">
        <v>15123</v>
      </c>
      <c r="C633" t="s">
        <v>14342</v>
      </c>
      <c r="D633" t="s">
        <v>14195</v>
      </c>
      <c r="E633" t="s">
        <v>14196</v>
      </c>
    </row>
    <row r="634" spans="1:5">
      <c r="A634" t="s">
        <v>3628</v>
      </c>
      <c r="B634" t="s">
        <v>15124</v>
      </c>
      <c r="C634" t="s">
        <v>14201</v>
      </c>
      <c r="D634" t="s">
        <v>14040</v>
      </c>
      <c r="E634" t="s">
        <v>14041</v>
      </c>
    </row>
    <row r="635" spans="1:5">
      <c r="A635" t="s">
        <v>152</v>
      </c>
      <c r="B635" t="s">
        <v>15125</v>
      </c>
      <c r="C635" t="s">
        <v>13943</v>
      </c>
      <c r="D635" t="s">
        <v>13901</v>
      </c>
      <c r="E635" t="s">
        <v>13902</v>
      </c>
    </row>
    <row r="636" spans="1:5">
      <c r="A636" t="s">
        <v>1030</v>
      </c>
      <c r="B636" t="s">
        <v>15126</v>
      </c>
      <c r="C636" t="s">
        <v>14767</v>
      </c>
      <c r="D636" t="s">
        <v>14768</v>
      </c>
      <c r="E636" t="s">
        <v>14769</v>
      </c>
    </row>
    <row r="637" spans="1:5">
      <c r="A637" t="s">
        <v>1138</v>
      </c>
      <c r="B637" t="s">
        <v>15127</v>
      </c>
      <c r="C637" t="s">
        <v>14012</v>
      </c>
      <c r="D637" t="s">
        <v>13927</v>
      </c>
      <c r="E637" t="s">
        <v>13928</v>
      </c>
    </row>
    <row r="638" spans="1:5">
      <c r="A638" t="s">
        <v>2836</v>
      </c>
      <c r="B638" t="s">
        <v>15128</v>
      </c>
      <c r="C638" t="s">
        <v>14061</v>
      </c>
      <c r="D638" t="s">
        <v>13913</v>
      </c>
      <c r="E638" t="s">
        <v>13914</v>
      </c>
    </row>
    <row r="639" spans="1:5">
      <c r="A639" t="s">
        <v>3513</v>
      </c>
      <c r="B639" t="s">
        <v>15129</v>
      </c>
      <c r="C639" t="s">
        <v>13935</v>
      </c>
      <c r="D639" t="s">
        <v>13935</v>
      </c>
      <c r="E639" t="s">
        <v>13936</v>
      </c>
    </row>
    <row r="640" spans="1:5">
      <c r="A640" t="s">
        <v>706</v>
      </c>
      <c r="B640" t="s">
        <v>15130</v>
      </c>
      <c r="C640" t="s">
        <v>13986</v>
      </c>
      <c r="D640" t="s">
        <v>13901</v>
      </c>
      <c r="E640" t="s">
        <v>13902</v>
      </c>
    </row>
    <row r="641" spans="1:5">
      <c r="A641" t="s">
        <v>274</v>
      </c>
      <c r="B641" t="s">
        <v>15131</v>
      </c>
      <c r="C641" t="s">
        <v>14919</v>
      </c>
      <c r="D641" t="s">
        <v>13901</v>
      </c>
      <c r="E641" t="s">
        <v>13902</v>
      </c>
    </row>
    <row r="642" spans="1:5">
      <c r="A642" t="s">
        <v>2943</v>
      </c>
      <c r="B642" t="s">
        <v>15132</v>
      </c>
      <c r="C642" t="s">
        <v>13932</v>
      </c>
      <c r="D642" t="s">
        <v>13932</v>
      </c>
      <c r="E642" t="s">
        <v>13933</v>
      </c>
    </row>
    <row r="643" spans="1:5">
      <c r="A643" t="s">
        <v>2455</v>
      </c>
      <c r="B643" t="s">
        <v>15133</v>
      </c>
      <c r="C643" t="s">
        <v>15134</v>
      </c>
      <c r="D643" t="s">
        <v>15135</v>
      </c>
      <c r="E643" t="s">
        <v>15136</v>
      </c>
    </row>
    <row r="644" spans="1:5">
      <c r="A644" t="s">
        <v>1622</v>
      </c>
      <c r="B644" t="s">
        <v>15137</v>
      </c>
      <c r="C644" t="s">
        <v>14519</v>
      </c>
      <c r="D644" t="s">
        <v>14482</v>
      </c>
      <c r="E644" t="s">
        <v>14483</v>
      </c>
    </row>
    <row r="645" spans="1:5">
      <c r="A645" t="s">
        <v>15138</v>
      </c>
      <c r="B645" t="s">
        <v>15139</v>
      </c>
      <c r="C645" t="s">
        <v>15140</v>
      </c>
      <c r="D645" t="s">
        <v>15135</v>
      </c>
      <c r="E645" t="s">
        <v>15136</v>
      </c>
    </row>
    <row r="646" spans="1:5">
      <c r="A646" t="s">
        <v>3480</v>
      </c>
      <c r="B646" t="s">
        <v>15141</v>
      </c>
      <c r="C646" t="s">
        <v>15142</v>
      </c>
      <c r="D646" t="s">
        <v>13994</v>
      </c>
      <c r="E646" t="s">
        <v>13995</v>
      </c>
    </row>
    <row r="647" spans="1:5">
      <c r="A647" t="s">
        <v>15143</v>
      </c>
      <c r="B647" t="s">
        <v>15144</v>
      </c>
      <c r="C647" t="s">
        <v>13943</v>
      </c>
      <c r="D647" t="s">
        <v>13901</v>
      </c>
      <c r="E647" t="s">
        <v>13902</v>
      </c>
    </row>
    <row r="648" spans="1:5">
      <c r="A648" t="s">
        <v>3256</v>
      </c>
      <c r="B648" t="s">
        <v>15145</v>
      </c>
      <c r="C648" t="s">
        <v>14227</v>
      </c>
      <c r="D648" t="s">
        <v>13951</v>
      </c>
      <c r="E648" t="s">
        <v>13952</v>
      </c>
    </row>
    <row r="649" spans="1:5">
      <c r="A649" t="s">
        <v>2411</v>
      </c>
      <c r="B649" t="s">
        <v>15146</v>
      </c>
      <c r="C649" t="s">
        <v>14001</v>
      </c>
      <c r="D649" t="s">
        <v>14002</v>
      </c>
      <c r="E649" t="s">
        <v>14003</v>
      </c>
    </row>
    <row r="650" spans="1:5">
      <c r="A650" t="s">
        <v>2364</v>
      </c>
      <c r="B650" t="s">
        <v>15147</v>
      </c>
      <c r="C650" t="s">
        <v>14376</v>
      </c>
      <c r="D650" t="s">
        <v>14377</v>
      </c>
      <c r="E650" t="s">
        <v>14378</v>
      </c>
    </row>
    <row r="651" spans="1:5">
      <c r="A651" t="s">
        <v>1068</v>
      </c>
      <c r="B651" t="s">
        <v>15148</v>
      </c>
      <c r="C651" t="s">
        <v>14012</v>
      </c>
      <c r="D651" t="s">
        <v>13927</v>
      </c>
      <c r="E651" t="s">
        <v>13928</v>
      </c>
    </row>
    <row r="652" spans="1:5">
      <c r="A652" t="s">
        <v>2168</v>
      </c>
      <c r="B652" t="s">
        <v>15149</v>
      </c>
      <c r="C652" t="s">
        <v>14240</v>
      </c>
      <c r="D652" t="s">
        <v>13872</v>
      </c>
      <c r="E652" t="s">
        <v>13873</v>
      </c>
    </row>
    <row r="653" spans="1:5">
      <c r="A653" t="s">
        <v>195</v>
      </c>
      <c r="B653" t="s">
        <v>15150</v>
      </c>
      <c r="C653" t="s">
        <v>13916</v>
      </c>
      <c r="D653" t="s">
        <v>13901</v>
      </c>
      <c r="E653" t="s">
        <v>13902</v>
      </c>
    </row>
    <row r="654" spans="1:5">
      <c r="A654" t="s">
        <v>2123</v>
      </c>
      <c r="B654" t="s">
        <v>15151</v>
      </c>
      <c r="C654" t="s">
        <v>13999</v>
      </c>
      <c r="D654" t="s">
        <v>13955</v>
      </c>
      <c r="E654" t="s">
        <v>13956</v>
      </c>
    </row>
    <row r="655" spans="1:5">
      <c r="A655" t="s">
        <v>15152</v>
      </c>
      <c r="B655" t="s">
        <v>15153</v>
      </c>
      <c r="C655" t="s">
        <v>15154</v>
      </c>
      <c r="D655" t="s">
        <v>14889</v>
      </c>
      <c r="E655" t="s">
        <v>14890</v>
      </c>
    </row>
    <row r="656" spans="1:5">
      <c r="A656" t="s">
        <v>2540</v>
      </c>
      <c r="B656" t="s">
        <v>15155</v>
      </c>
      <c r="C656" t="s">
        <v>14001</v>
      </c>
      <c r="D656" t="s">
        <v>14002</v>
      </c>
      <c r="E656" t="s">
        <v>14003</v>
      </c>
    </row>
    <row r="657" spans="1:5">
      <c r="A657" t="s">
        <v>949</v>
      </c>
      <c r="B657" t="s">
        <v>15156</v>
      </c>
      <c r="C657" t="s">
        <v>13909</v>
      </c>
      <c r="D657" t="s">
        <v>13901</v>
      </c>
      <c r="E657" t="s">
        <v>13902</v>
      </c>
    </row>
    <row r="658" spans="1:5">
      <c r="A658" t="s">
        <v>3439</v>
      </c>
      <c r="B658" t="s">
        <v>15157</v>
      </c>
      <c r="C658" t="s">
        <v>13973</v>
      </c>
      <c r="D658" t="s">
        <v>13974</v>
      </c>
      <c r="E658" t="s">
        <v>13975</v>
      </c>
    </row>
    <row r="659" spans="1:5">
      <c r="A659" t="s">
        <v>15158</v>
      </c>
      <c r="B659" t="s">
        <v>15159</v>
      </c>
      <c r="C659" t="s">
        <v>13916</v>
      </c>
      <c r="D659" t="s">
        <v>13901</v>
      </c>
      <c r="E659" t="s">
        <v>13902</v>
      </c>
    </row>
    <row r="660" spans="1:5">
      <c r="A660" t="s">
        <v>191</v>
      </c>
      <c r="B660" t="s">
        <v>15160</v>
      </c>
      <c r="C660" t="s">
        <v>13905</v>
      </c>
      <c r="D660" t="s">
        <v>13901</v>
      </c>
      <c r="E660" t="s">
        <v>13902</v>
      </c>
    </row>
    <row r="661" spans="1:5">
      <c r="A661" t="s">
        <v>3078</v>
      </c>
      <c r="B661" t="s">
        <v>15161</v>
      </c>
      <c r="C661" t="s">
        <v>13884</v>
      </c>
      <c r="D661" t="s">
        <v>13885</v>
      </c>
      <c r="E661" t="s">
        <v>13886</v>
      </c>
    </row>
    <row r="662" spans="1:5">
      <c r="A662" t="s">
        <v>1577</v>
      </c>
      <c r="B662" t="s">
        <v>15162</v>
      </c>
      <c r="C662" t="s">
        <v>14534</v>
      </c>
      <c r="D662" t="s">
        <v>14535</v>
      </c>
      <c r="E662" t="s">
        <v>14536</v>
      </c>
    </row>
    <row r="663" spans="1:5">
      <c r="A663" t="s">
        <v>1241</v>
      </c>
      <c r="B663" t="s">
        <v>15163</v>
      </c>
      <c r="C663" t="s">
        <v>14012</v>
      </c>
      <c r="D663" t="s">
        <v>13927</v>
      </c>
      <c r="E663" t="s">
        <v>13928</v>
      </c>
    </row>
    <row r="664" spans="1:5">
      <c r="A664" t="s">
        <v>15164</v>
      </c>
      <c r="B664" t="s">
        <v>15165</v>
      </c>
      <c r="C664" t="s">
        <v>14350</v>
      </c>
      <c r="D664" t="s">
        <v>14173</v>
      </c>
      <c r="E664" t="s">
        <v>14174</v>
      </c>
    </row>
    <row r="665" spans="1:5">
      <c r="A665" t="s">
        <v>2759</v>
      </c>
      <c r="B665" t="s">
        <v>15166</v>
      </c>
      <c r="C665" t="s">
        <v>15085</v>
      </c>
      <c r="D665" t="s">
        <v>14165</v>
      </c>
      <c r="E665" t="s">
        <v>14166</v>
      </c>
    </row>
    <row r="666" spans="1:5">
      <c r="A666" t="s">
        <v>2498</v>
      </c>
      <c r="B666" t="s">
        <v>15167</v>
      </c>
      <c r="C666" t="s">
        <v>14380</v>
      </c>
      <c r="D666" t="s">
        <v>14381</v>
      </c>
      <c r="E666" t="s">
        <v>14382</v>
      </c>
    </row>
    <row r="667" spans="1:5">
      <c r="A667" t="s">
        <v>1733</v>
      </c>
      <c r="B667" t="s">
        <v>15168</v>
      </c>
      <c r="C667" t="s">
        <v>13988</v>
      </c>
      <c r="D667" t="s">
        <v>13989</v>
      </c>
      <c r="E667" t="s">
        <v>13990</v>
      </c>
    </row>
    <row r="668" spans="1:5">
      <c r="A668" t="s">
        <v>15169</v>
      </c>
      <c r="B668" t="s">
        <v>14453</v>
      </c>
      <c r="C668" t="s">
        <v>14454</v>
      </c>
      <c r="D668" t="s">
        <v>14455</v>
      </c>
      <c r="E668" t="s">
        <v>14456</v>
      </c>
    </row>
    <row r="669" spans="1:5">
      <c r="A669" t="s">
        <v>3174</v>
      </c>
      <c r="B669" t="s">
        <v>15170</v>
      </c>
      <c r="C669" t="s">
        <v>14072</v>
      </c>
      <c r="D669" t="s">
        <v>14073</v>
      </c>
      <c r="E669" t="s">
        <v>14074</v>
      </c>
    </row>
    <row r="670" spans="1:5">
      <c r="A670" t="s">
        <v>2488</v>
      </c>
      <c r="B670" t="s">
        <v>15171</v>
      </c>
      <c r="C670" t="s">
        <v>14364</v>
      </c>
      <c r="D670" t="s">
        <v>14211</v>
      </c>
      <c r="E670" t="s">
        <v>14212</v>
      </c>
    </row>
    <row r="671" spans="1:5">
      <c r="A671" t="s">
        <v>3122</v>
      </c>
      <c r="B671" t="s">
        <v>15172</v>
      </c>
      <c r="C671" t="s">
        <v>13967</v>
      </c>
      <c r="D671" t="s">
        <v>13968</v>
      </c>
      <c r="E671" t="s">
        <v>13969</v>
      </c>
    </row>
    <row r="672" spans="1:5">
      <c r="A672" t="s">
        <v>1078</v>
      </c>
      <c r="B672" t="s">
        <v>15173</v>
      </c>
      <c r="C672" t="s">
        <v>15174</v>
      </c>
      <c r="D672" t="s">
        <v>13999</v>
      </c>
      <c r="E672" t="s">
        <v>14338</v>
      </c>
    </row>
    <row r="673" spans="1:5">
      <c r="A673" t="s">
        <v>2824</v>
      </c>
      <c r="B673" t="s">
        <v>15175</v>
      </c>
      <c r="C673" t="s">
        <v>14057</v>
      </c>
      <c r="D673" t="s">
        <v>14058</v>
      </c>
      <c r="E673" t="s">
        <v>14059</v>
      </c>
    </row>
    <row r="674" spans="1:5">
      <c r="A674" t="s">
        <v>15176</v>
      </c>
      <c r="B674" t="s">
        <v>15177</v>
      </c>
      <c r="C674" t="s">
        <v>14061</v>
      </c>
      <c r="D674" t="s">
        <v>13913</v>
      </c>
      <c r="E674" t="s">
        <v>13914</v>
      </c>
    </row>
    <row r="675" spans="1:5">
      <c r="A675" t="s">
        <v>1639</v>
      </c>
      <c r="B675" t="s">
        <v>15178</v>
      </c>
      <c r="C675" t="s">
        <v>13988</v>
      </c>
      <c r="D675" t="s">
        <v>13989</v>
      </c>
      <c r="E675" t="s">
        <v>13990</v>
      </c>
    </row>
    <row r="676" spans="1:5">
      <c r="A676" t="s">
        <v>1599</v>
      </c>
      <c r="B676" t="s">
        <v>15179</v>
      </c>
      <c r="C676" t="s">
        <v>14100</v>
      </c>
      <c r="D676" t="s">
        <v>13989</v>
      </c>
      <c r="E676" t="s">
        <v>13990</v>
      </c>
    </row>
    <row r="677" spans="1:5">
      <c r="A677" t="s">
        <v>15180</v>
      </c>
      <c r="B677" t="s">
        <v>15181</v>
      </c>
      <c r="C677" t="s">
        <v>13935</v>
      </c>
      <c r="D677" t="s">
        <v>13935</v>
      </c>
      <c r="E677" t="s">
        <v>13936</v>
      </c>
    </row>
    <row r="678" spans="1:5">
      <c r="A678" t="s">
        <v>3411</v>
      </c>
      <c r="B678" t="s">
        <v>15182</v>
      </c>
      <c r="C678" t="s">
        <v>14633</v>
      </c>
      <c r="D678" t="s">
        <v>13974</v>
      </c>
      <c r="E678" t="s">
        <v>13975</v>
      </c>
    </row>
    <row r="679" spans="1:5">
      <c r="A679" t="s">
        <v>15183</v>
      </c>
      <c r="B679" t="s">
        <v>15184</v>
      </c>
      <c r="C679" t="s">
        <v>14568</v>
      </c>
      <c r="D679" t="s">
        <v>13935</v>
      </c>
      <c r="E679" t="s">
        <v>13936</v>
      </c>
    </row>
    <row r="680" spans="1:5">
      <c r="A680" t="s">
        <v>3161</v>
      </c>
      <c r="B680" t="s">
        <v>15185</v>
      </c>
      <c r="C680" t="s">
        <v>14780</v>
      </c>
      <c r="D680" t="s">
        <v>14781</v>
      </c>
      <c r="E680" t="s">
        <v>14782</v>
      </c>
    </row>
    <row r="681" spans="1:5">
      <c r="A681" t="s">
        <v>2439</v>
      </c>
      <c r="B681" t="s">
        <v>15186</v>
      </c>
      <c r="C681" t="s">
        <v>15187</v>
      </c>
      <c r="D681" t="s">
        <v>13919</v>
      </c>
      <c r="E681" t="s">
        <v>13920</v>
      </c>
    </row>
    <row r="682" spans="1:5">
      <c r="A682" t="s">
        <v>3056</v>
      </c>
      <c r="B682" t="s">
        <v>15188</v>
      </c>
      <c r="C682" t="s">
        <v>13967</v>
      </c>
      <c r="D682" t="s">
        <v>13968</v>
      </c>
      <c r="E682" t="s">
        <v>13969</v>
      </c>
    </row>
    <row r="683" spans="1:5">
      <c r="A683" t="s">
        <v>1840</v>
      </c>
      <c r="B683" t="s">
        <v>15189</v>
      </c>
      <c r="C683" t="s">
        <v>14203</v>
      </c>
      <c r="D683" t="s">
        <v>13946</v>
      </c>
      <c r="E683" t="s">
        <v>13947</v>
      </c>
    </row>
    <row r="684" spans="1:5">
      <c r="A684" t="s">
        <v>2543</v>
      </c>
      <c r="B684" t="s">
        <v>15190</v>
      </c>
      <c r="C684" t="s">
        <v>14224</v>
      </c>
      <c r="D684" t="s">
        <v>14002</v>
      </c>
      <c r="E684" t="s">
        <v>14003</v>
      </c>
    </row>
    <row r="685" spans="1:5">
      <c r="A685" t="s">
        <v>1010</v>
      </c>
      <c r="B685" t="s">
        <v>15191</v>
      </c>
      <c r="C685" t="s">
        <v>14012</v>
      </c>
      <c r="D685" t="s">
        <v>13927</v>
      </c>
      <c r="E685" t="s">
        <v>13928</v>
      </c>
    </row>
    <row r="686" spans="1:5">
      <c r="A686" t="s">
        <v>3382</v>
      </c>
      <c r="B686" t="s">
        <v>15192</v>
      </c>
      <c r="C686" t="s">
        <v>13935</v>
      </c>
      <c r="D686" t="s">
        <v>13935</v>
      </c>
      <c r="E686" t="s">
        <v>13936</v>
      </c>
    </row>
    <row r="687" spans="1:5">
      <c r="A687" t="s">
        <v>1608</v>
      </c>
      <c r="B687" t="s">
        <v>15193</v>
      </c>
      <c r="C687" t="s">
        <v>13988</v>
      </c>
      <c r="D687" t="s">
        <v>13989</v>
      </c>
      <c r="E687" t="s">
        <v>13990</v>
      </c>
    </row>
    <row r="688" spans="1:5">
      <c r="A688" t="s">
        <v>2164</v>
      </c>
      <c r="B688" t="s">
        <v>15194</v>
      </c>
      <c r="C688" t="s">
        <v>15195</v>
      </c>
      <c r="D688" t="s">
        <v>13955</v>
      </c>
      <c r="E688" t="s">
        <v>13956</v>
      </c>
    </row>
    <row r="689" spans="1:5">
      <c r="A689" t="s">
        <v>1093</v>
      </c>
      <c r="B689" t="s">
        <v>15196</v>
      </c>
      <c r="C689" t="s">
        <v>14517</v>
      </c>
      <c r="D689" t="s">
        <v>14243</v>
      </c>
      <c r="E689" t="s">
        <v>14244</v>
      </c>
    </row>
    <row r="690" spans="1:5">
      <c r="A690" t="s">
        <v>2301</v>
      </c>
      <c r="B690" t="s">
        <v>15197</v>
      </c>
      <c r="C690" t="s">
        <v>14305</v>
      </c>
      <c r="D690" t="s">
        <v>14306</v>
      </c>
      <c r="E690" t="s">
        <v>14307</v>
      </c>
    </row>
    <row r="691" spans="1:5">
      <c r="A691" t="s">
        <v>3470</v>
      </c>
      <c r="B691" t="s">
        <v>15198</v>
      </c>
      <c r="C691" t="s">
        <v>15199</v>
      </c>
      <c r="D691" t="s">
        <v>14301</v>
      </c>
      <c r="E691" t="s">
        <v>14302</v>
      </c>
    </row>
    <row r="692" spans="1:5">
      <c r="A692" t="s">
        <v>1705</v>
      </c>
      <c r="B692" t="s">
        <v>15200</v>
      </c>
      <c r="C692" t="s">
        <v>13988</v>
      </c>
      <c r="D692" t="s">
        <v>13989</v>
      </c>
      <c r="E692" t="s">
        <v>13990</v>
      </c>
    </row>
    <row r="693" spans="1:5">
      <c r="A693" t="s">
        <v>596</v>
      </c>
      <c r="B693" t="s">
        <v>15201</v>
      </c>
      <c r="C693" t="s">
        <v>13905</v>
      </c>
      <c r="D693" t="s">
        <v>13901</v>
      </c>
      <c r="E693" t="s">
        <v>13902</v>
      </c>
    </row>
    <row r="694" spans="1:5">
      <c r="A694" t="s">
        <v>3645</v>
      </c>
      <c r="B694" t="s">
        <v>15202</v>
      </c>
      <c r="C694" t="s">
        <v>14493</v>
      </c>
      <c r="D694" t="s">
        <v>14250</v>
      </c>
      <c r="E694" t="s">
        <v>14251</v>
      </c>
    </row>
    <row r="695" spans="1:5">
      <c r="A695" t="s">
        <v>3386</v>
      </c>
      <c r="B695" t="s">
        <v>15203</v>
      </c>
      <c r="C695" t="s">
        <v>13905</v>
      </c>
      <c r="D695" t="s">
        <v>13881</v>
      </c>
      <c r="E695" t="s">
        <v>13882</v>
      </c>
    </row>
    <row r="696" spans="1:5">
      <c r="A696" t="s">
        <v>3062</v>
      </c>
      <c r="B696" t="s">
        <v>15204</v>
      </c>
      <c r="C696" t="s">
        <v>13967</v>
      </c>
      <c r="D696" t="s">
        <v>13968</v>
      </c>
      <c r="E696" t="s">
        <v>13969</v>
      </c>
    </row>
    <row r="697" spans="1:5">
      <c r="A697" t="s">
        <v>15205</v>
      </c>
      <c r="B697" t="s">
        <v>15206</v>
      </c>
      <c r="C697" t="s">
        <v>15207</v>
      </c>
      <c r="D697" t="s">
        <v>13872</v>
      </c>
      <c r="E697" t="s">
        <v>13873</v>
      </c>
    </row>
    <row r="698" spans="1:5">
      <c r="A698" t="s">
        <v>15208</v>
      </c>
      <c r="B698" t="s">
        <v>15209</v>
      </c>
      <c r="C698" t="s">
        <v>13916</v>
      </c>
      <c r="D698" t="s">
        <v>13901</v>
      </c>
      <c r="E698" t="s">
        <v>13902</v>
      </c>
    </row>
    <row r="699" spans="1:5">
      <c r="A699" t="s">
        <v>15210</v>
      </c>
      <c r="B699" t="s">
        <v>15211</v>
      </c>
      <c r="C699" t="s">
        <v>14672</v>
      </c>
      <c r="D699" t="s">
        <v>14673</v>
      </c>
      <c r="E699" t="s">
        <v>14674</v>
      </c>
    </row>
    <row r="700" spans="1:5">
      <c r="A700" t="s">
        <v>1135</v>
      </c>
      <c r="B700" t="s">
        <v>15212</v>
      </c>
      <c r="C700" t="s">
        <v>15213</v>
      </c>
      <c r="D700" t="s">
        <v>13927</v>
      </c>
      <c r="E700" t="s">
        <v>13928</v>
      </c>
    </row>
    <row r="701" spans="1:5">
      <c r="A701" t="s">
        <v>15214</v>
      </c>
      <c r="B701" t="s">
        <v>15215</v>
      </c>
      <c r="C701" t="s">
        <v>14284</v>
      </c>
      <c r="D701" t="s">
        <v>14285</v>
      </c>
      <c r="E701" t="s">
        <v>14286</v>
      </c>
    </row>
    <row r="702" spans="1:5">
      <c r="A702" t="s">
        <v>2737</v>
      </c>
      <c r="B702" t="s">
        <v>15216</v>
      </c>
      <c r="C702" t="s">
        <v>15217</v>
      </c>
      <c r="D702" t="s">
        <v>14025</v>
      </c>
      <c r="E702" t="s">
        <v>14026</v>
      </c>
    </row>
    <row r="703" spans="1:5">
      <c r="A703" t="s">
        <v>3022</v>
      </c>
      <c r="B703" t="s">
        <v>15218</v>
      </c>
      <c r="C703" t="s">
        <v>14445</v>
      </c>
      <c r="D703" t="s">
        <v>14446</v>
      </c>
      <c r="E703" t="s">
        <v>14447</v>
      </c>
    </row>
    <row r="704" spans="1:5">
      <c r="A704" t="s">
        <v>15219</v>
      </c>
      <c r="B704" t="s">
        <v>15220</v>
      </c>
      <c r="C704" t="s">
        <v>13935</v>
      </c>
      <c r="D704" t="s">
        <v>13935</v>
      </c>
      <c r="E704" t="s">
        <v>13936</v>
      </c>
    </row>
    <row r="705" spans="1:5">
      <c r="A705" t="s">
        <v>1641</v>
      </c>
      <c r="B705" t="s">
        <v>15221</v>
      </c>
      <c r="C705" t="s">
        <v>15222</v>
      </c>
      <c r="D705" t="s">
        <v>14889</v>
      </c>
      <c r="E705" t="s">
        <v>14890</v>
      </c>
    </row>
    <row r="706" spans="1:5">
      <c r="A706" t="s">
        <v>3406</v>
      </c>
      <c r="B706" t="s">
        <v>15223</v>
      </c>
      <c r="C706" t="s">
        <v>14348</v>
      </c>
      <c r="D706" t="s">
        <v>14018</v>
      </c>
      <c r="E706" t="s">
        <v>14019</v>
      </c>
    </row>
    <row r="707" spans="1:5">
      <c r="A707" t="s">
        <v>15224</v>
      </c>
      <c r="B707" t="s">
        <v>15225</v>
      </c>
      <c r="C707" t="s">
        <v>14568</v>
      </c>
      <c r="D707" t="s">
        <v>13935</v>
      </c>
      <c r="E707" t="s">
        <v>13936</v>
      </c>
    </row>
    <row r="708" spans="1:5">
      <c r="A708" t="s">
        <v>1291</v>
      </c>
      <c r="B708" t="s">
        <v>15226</v>
      </c>
      <c r="C708" t="s">
        <v>15042</v>
      </c>
      <c r="D708" t="s">
        <v>14595</v>
      </c>
      <c r="E708" t="s">
        <v>14596</v>
      </c>
    </row>
    <row r="709" spans="1:5">
      <c r="A709" t="s">
        <v>15227</v>
      </c>
      <c r="B709" t="s">
        <v>15228</v>
      </c>
      <c r="C709" t="s">
        <v>14517</v>
      </c>
      <c r="D709" t="s">
        <v>14243</v>
      </c>
      <c r="E709" t="s">
        <v>14244</v>
      </c>
    </row>
    <row r="710" spans="1:5">
      <c r="A710" t="s">
        <v>15229</v>
      </c>
      <c r="B710" t="s">
        <v>15230</v>
      </c>
      <c r="C710" t="s">
        <v>13922</v>
      </c>
      <c r="D710" t="s">
        <v>13923</v>
      </c>
      <c r="E710" t="s">
        <v>13924</v>
      </c>
    </row>
    <row r="711" spans="1:5">
      <c r="A711" t="s">
        <v>1219</v>
      </c>
      <c r="B711" t="s">
        <v>15231</v>
      </c>
      <c r="C711" t="s">
        <v>13951</v>
      </c>
      <c r="D711" t="s">
        <v>13927</v>
      </c>
      <c r="E711" t="s">
        <v>13928</v>
      </c>
    </row>
    <row r="712" spans="1:5">
      <c r="A712" t="s">
        <v>15232</v>
      </c>
      <c r="B712" t="s">
        <v>15233</v>
      </c>
      <c r="C712" t="s">
        <v>13986</v>
      </c>
      <c r="D712" t="s">
        <v>13901</v>
      </c>
      <c r="E712" t="s">
        <v>13902</v>
      </c>
    </row>
    <row r="713" spans="1:5">
      <c r="A713" t="s">
        <v>15234</v>
      </c>
      <c r="B713" t="s">
        <v>15235</v>
      </c>
      <c r="C713" t="s">
        <v>13905</v>
      </c>
      <c r="D713" t="s">
        <v>13901</v>
      </c>
      <c r="E713" t="s">
        <v>13902</v>
      </c>
    </row>
    <row r="714" spans="1:5">
      <c r="A714" t="s">
        <v>15236</v>
      </c>
      <c r="B714" t="s">
        <v>15237</v>
      </c>
      <c r="C714" t="s">
        <v>13935</v>
      </c>
      <c r="D714" t="s">
        <v>13935</v>
      </c>
      <c r="E714" t="s">
        <v>13936</v>
      </c>
    </row>
    <row r="715" spans="1:5">
      <c r="A715" t="s">
        <v>2169</v>
      </c>
      <c r="B715" t="s">
        <v>15238</v>
      </c>
      <c r="C715" t="s">
        <v>14240</v>
      </c>
      <c r="D715" t="s">
        <v>13872</v>
      </c>
      <c r="E715" t="s">
        <v>13873</v>
      </c>
    </row>
    <row r="716" spans="1:5">
      <c r="A716" t="s">
        <v>15239</v>
      </c>
      <c r="B716" t="s">
        <v>15240</v>
      </c>
      <c r="C716" t="s">
        <v>13916</v>
      </c>
      <c r="D716" t="s">
        <v>13901</v>
      </c>
      <c r="E716" t="s">
        <v>13902</v>
      </c>
    </row>
    <row r="717" spans="1:5">
      <c r="A717" t="s">
        <v>3205</v>
      </c>
      <c r="B717" t="s">
        <v>15241</v>
      </c>
      <c r="C717" t="s">
        <v>13967</v>
      </c>
      <c r="D717" t="s">
        <v>13968</v>
      </c>
      <c r="E717" t="s">
        <v>13969</v>
      </c>
    </row>
    <row r="718" spans="1:5">
      <c r="A718" t="s">
        <v>2994</v>
      </c>
      <c r="B718" t="s">
        <v>15242</v>
      </c>
      <c r="C718" t="s">
        <v>14061</v>
      </c>
      <c r="D718" t="s">
        <v>13913</v>
      </c>
      <c r="E718" t="s">
        <v>13914</v>
      </c>
    </row>
    <row r="719" spans="1:5">
      <c r="A719" t="s">
        <v>3145</v>
      </c>
      <c r="B719" t="s">
        <v>15243</v>
      </c>
      <c r="C719" t="s">
        <v>14072</v>
      </c>
      <c r="D719" t="s">
        <v>14073</v>
      </c>
      <c r="E719" t="s">
        <v>14074</v>
      </c>
    </row>
    <row r="720" spans="1:5">
      <c r="A720" t="s">
        <v>3170</v>
      </c>
      <c r="B720" t="s">
        <v>15244</v>
      </c>
      <c r="C720" t="s">
        <v>15245</v>
      </c>
      <c r="D720" t="s">
        <v>14356</v>
      </c>
      <c r="E720" t="s">
        <v>14357</v>
      </c>
    </row>
    <row r="721" spans="1:5">
      <c r="A721" t="s">
        <v>2825</v>
      </c>
      <c r="B721" t="s">
        <v>15246</v>
      </c>
      <c r="C721" t="s">
        <v>14551</v>
      </c>
      <c r="D721" t="s">
        <v>14165</v>
      </c>
      <c r="E721" t="s">
        <v>14166</v>
      </c>
    </row>
    <row r="722" spans="1:5">
      <c r="A722" t="s">
        <v>2840</v>
      </c>
      <c r="B722" t="s">
        <v>15247</v>
      </c>
      <c r="C722" t="s">
        <v>14945</v>
      </c>
      <c r="D722" t="s">
        <v>14455</v>
      </c>
      <c r="E722" t="s">
        <v>14456</v>
      </c>
    </row>
    <row r="723" spans="1:5">
      <c r="A723" t="s">
        <v>1263</v>
      </c>
      <c r="B723" t="s">
        <v>15248</v>
      </c>
      <c r="C723" t="s">
        <v>14012</v>
      </c>
      <c r="D723" t="s">
        <v>13927</v>
      </c>
      <c r="E723" t="s">
        <v>13928</v>
      </c>
    </row>
    <row r="724" spans="1:5">
      <c r="A724" t="s">
        <v>108</v>
      </c>
      <c r="B724" t="s">
        <v>15249</v>
      </c>
      <c r="C724" t="s">
        <v>13905</v>
      </c>
      <c r="D724" t="s">
        <v>13901</v>
      </c>
      <c r="E724" t="s">
        <v>13902</v>
      </c>
    </row>
    <row r="725" spans="1:5">
      <c r="A725" t="s">
        <v>3643</v>
      </c>
      <c r="B725" t="s">
        <v>15250</v>
      </c>
      <c r="C725" t="s">
        <v>14017</v>
      </c>
      <c r="D725" t="s">
        <v>14018</v>
      </c>
      <c r="E725" t="s">
        <v>14019</v>
      </c>
    </row>
    <row r="726" spans="1:5">
      <c r="A726" t="s">
        <v>2060</v>
      </c>
      <c r="B726" t="s">
        <v>15251</v>
      </c>
      <c r="C726" t="s">
        <v>14021</v>
      </c>
      <c r="D726" t="s">
        <v>14021</v>
      </c>
      <c r="E726" t="s">
        <v>14022</v>
      </c>
    </row>
    <row r="727" spans="1:5">
      <c r="A727" t="s">
        <v>3027</v>
      </c>
      <c r="B727" t="s">
        <v>15252</v>
      </c>
      <c r="C727" t="s">
        <v>15253</v>
      </c>
      <c r="D727" t="s">
        <v>13951</v>
      </c>
      <c r="E727" t="s">
        <v>13952</v>
      </c>
    </row>
    <row r="728" spans="1:5">
      <c r="A728" t="s">
        <v>2226</v>
      </c>
      <c r="B728" t="s">
        <v>15254</v>
      </c>
      <c r="C728" t="s">
        <v>15255</v>
      </c>
      <c r="D728" t="s">
        <v>14397</v>
      </c>
      <c r="E728" t="s">
        <v>14398</v>
      </c>
    </row>
    <row r="729" spans="1:5">
      <c r="A729" t="s">
        <v>1307</v>
      </c>
      <c r="B729" t="s">
        <v>15256</v>
      </c>
      <c r="C729" t="s">
        <v>14012</v>
      </c>
      <c r="D729" t="s">
        <v>13927</v>
      </c>
      <c r="E729" t="s">
        <v>13928</v>
      </c>
    </row>
    <row r="730" spans="1:5">
      <c r="A730" t="s">
        <v>2827</v>
      </c>
      <c r="B730" t="s">
        <v>15257</v>
      </c>
      <c r="C730" t="s">
        <v>14057</v>
      </c>
      <c r="D730" t="s">
        <v>14058</v>
      </c>
      <c r="E730" t="s">
        <v>14059</v>
      </c>
    </row>
    <row r="731" spans="1:5">
      <c r="A731" t="s">
        <v>1674</v>
      </c>
      <c r="B731" t="s">
        <v>15258</v>
      </c>
      <c r="C731" t="s">
        <v>13988</v>
      </c>
      <c r="D731" t="s">
        <v>13989</v>
      </c>
      <c r="E731" t="s">
        <v>13990</v>
      </c>
    </row>
    <row r="732" spans="1:5">
      <c r="A732" t="s">
        <v>15259</v>
      </c>
      <c r="B732" t="s">
        <v>15260</v>
      </c>
      <c r="C732" t="s">
        <v>13988</v>
      </c>
      <c r="D732" t="s">
        <v>13989</v>
      </c>
      <c r="E732" t="s">
        <v>13990</v>
      </c>
    </row>
    <row r="733" spans="1:5">
      <c r="A733" t="s">
        <v>2919</v>
      </c>
      <c r="B733" t="s">
        <v>15261</v>
      </c>
      <c r="C733" t="s">
        <v>13932</v>
      </c>
      <c r="D733" t="s">
        <v>13932</v>
      </c>
      <c r="E733" t="s">
        <v>13933</v>
      </c>
    </row>
    <row r="734" spans="1:5">
      <c r="A734" t="s">
        <v>2073</v>
      </c>
      <c r="B734" t="s">
        <v>15262</v>
      </c>
      <c r="C734" t="s">
        <v>14501</v>
      </c>
      <c r="D734" t="s">
        <v>13872</v>
      </c>
      <c r="E734" t="s">
        <v>13873</v>
      </c>
    </row>
    <row r="735" spans="1:5">
      <c r="A735" t="s">
        <v>2090</v>
      </c>
      <c r="B735" t="s">
        <v>15263</v>
      </c>
      <c r="C735" t="s">
        <v>15264</v>
      </c>
      <c r="D735" t="s">
        <v>13893</v>
      </c>
      <c r="E735" t="s">
        <v>13894</v>
      </c>
    </row>
    <row r="736" spans="1:5">
      <c r="A736" t="s">
        <v>1027</v>
      </c>
      <c r="B736" t="s">
        <v>15265</v>
      </c>
      <c r="C736" t="s">
        <v>14337</v>
      </c>
      <c r="D736" t="s">
        <v>13999</v>
      </c>
      <c r="E736" t="s">
        <v>14338</v>
      </c>
    </row>
    <row r="737" spans="1:5">
      <c r="A737" t="s">
        <v>15266</v>
      </c>
      <c r="B737" t="s">
        <v>15267</v>
      </c>
      <c r="C737" t="s">
        <v>15268</v>
      </c>
      <c r="D737" t="s">
        <v>14526</v>
      </c>
      <c r="E737" t="s">
        <v>14527</v>
      </c>
    </row>
    <row r="738" spans="1:5">
      <c r="A738" t="s">
        <v>2139</v>
      </c>
      <c r="B738" t="s">
        <v>15269</v>
      </c>
      <c r="C738" t="s">
        <v>13888</v>
      </c>
      <c r="D738" t="s">
        <v>13889</v>
      </c>
      <c r="E738" t="s">
        <v>13890</v>
      </c>
    </row>
    <row r="739" spans="1:5">
      <c r="A739" t="s">
        <v>3165</v>
      </c>
      <c r="B739" t="s">
        <v>15270</v>
      </c>
      <c r="C739" t="s">
        <v>14513</v>
      </c>
      <c r="D739" t="s">
        <v>13923</v>
      </c>
      <c r="E739" t="s">
        <v>13924</v>
      </c>
    </row>
    <row r="740" spans="1:5">
      <c r="A740" t="s">
        <v>3383</v>
      </c>
      <c r="B740" t="s">
        <v>15271</v>
      </c>
      <c r="C740" t="s">
        <v>13935</v>
      </c>
      <c r="D740" t="s">
        <v>13935</v>
      </c>
      <c r="E740" t="s">
        <v>13936</v>
      </c>
    </row>
    <row r="741" spans="1:5">
      <c r="A741" t="s">
        <v>3104</v>
      </c>
      <c r="B741" t="s">
        <v>15272</v>
      </c>
      <c r="C741" t="s">
        <v>13950</v>
      </c>
      <c r="D741" t="s">
        <v>13951</v>
      </c>
      <c r="E741" t="s">
        <v>13952</v>
      </c>
    </row>
    <row r="742" spans="1:5">
      <c r="A742" t="s">
        <v>3388</v>
      </c>
      <c r="B742" t="s">
        <v>15273</v>
      </c>
      <c r="C742" t="s">
        <v>13935</v>
      </c>
      <c r="D742" t="s">
        <v>13935</v>
      </c>
      <c r="E742" t="s">
        <v>13936</v>
      </c>
    </row>
    <row r="743" spans="1:5">
      <c r="A743" t="s">
        <v>15274</v>
      </c>
      <c r="B743" t="s">
        <v>15275</v>
      </c>
      <c r="C743" t="s">
        <v>15276</v>
      </c>
      <c r="D743" t="s">
        <v>14781</v>
      </c>
      <c r="E743" t="s">
        <v>14782</v>
      </c>
    </row>
    <row r="744" spans="1:5">
      <c r="A744" t="s">
        <v>3317</v>
      </c>
      <c r="B744" t="s">
        <v>15277</v>
      </c>
      <c r="C744" t="s">
        <v>13922</v>
      </c>
      <c r="D744" t="s">
        <v>13923</v>
      </c>
      <c r="E744" t="s">
        <v>13924</v>
      </c>
    </row>
    <row r="745" spans="1:5">
      <c r="A745" t="s">
        <v>2023</v>
      </c>
      <c r="B745" t="s">
        <v>15278</v>
      </c>
      <c r="C745" t="s">
        <v>13871</v>
      </c>
      <c r="D745" t="s">
        <v>13872</v>
      </c>
      <c r="E745" t="s">
        <v>13873</v>
      </c>
    </row>
    <row r="746" spans="1:5">
      <c r="A746" t="s">
        <v>15279</v>
      </c>
      <c r="B746" t="s">
        <v>15280</v>
      </c>
      <c r="C746" t="s">
        <v>14162</v>
      </c>
      <c r="D746" t="s">
        <v>13946</v>
      </c>
      <c r="E746" t="s">
        <v>13947</v>
      </c>
    </row>
    <row r="747" spans="1:5">
      <c r="A747" t="s">
        <v>2041</v>
      </c>
      <c r="B747" t="s">
        <v>15281</v>
      </c>
      <c r="C747" t="s">
        <v>14305</v>
      </c>
      <c r="D747" t="s">
        <v>14306</v>
      </c>
      <c r="E747" t="s">
        <v>14307</v>
      </c>
    </row>
    <row r="748" spans="1:5">
      <c r="A748" t="s">
        <v>2479</v>
      </c>
      <c r="B748" t="s">
        <v>15282</v>
      </c>
      <c r="C748" t="s">
        <v>14001</v>
      </c>
      <c r="D748" t="s">
        <v>14002</v>
      </c>
      <c r="E748" t="s">
        <v>14003</v>
      </c>
    </row>
    <row r="749" spans="1:5">
      <c r="A749" t="s">
        <v>2815</v>
      </c>
      <c r="B749" t="s">
        <v>15283</v>
      </c>
      <c r="C749" t="s">
        <v>14672</v>
      </c>
      <c r="D749" t="s">
        <v>14673</v>
      </c>
      <c r="E749" t="s">
        <v>14674</v>
      </c>
    </row>
    <row r="750" spans="1:5">
      <c r="A750" t="s">
        <v>1799</v>
      </c>
      <c r="B750" t="s">
        <v>15284</v>
      </c>
      <c r="C750" t="s">
        <v>15285</v>
      </c>
      <c r="D750" t="s">
        <v>14510</v>
      </c>
      <c r="E750" t="s">
        <v>14511</v>
      </c>
    </row>
    <row r="751" spans="1:5">
      <c r="A751" t="s">
        <v>2473</v>
      </c>
      <c r="B751" t="s">
        <v>15286</v>
      </c>
      <c r="C751" t="s">
        <v>13919</v>
      </c>
      <c r="D751" t="s">
        <v>13919</v>
      </c>
      <c r="E751" t="s">
        <v>13920</v>
      </c>
    </row>
    <row r="752" spans="1:5">
      <c r="A752" t="s">
        <v>3143</v>
      </c>
      <c r="B752" t="s">
        <v>15287</v>
      </c>
      <c r="C752" t="s">
        <v>13922</v>
      </c>
      <c r="D752" t="s">
        <v>13923</v>
      </c>
      <c r="E752" t="s">
        <v>13924</v>
      </c>
    </row>
    <row r="753" spans="1:5">
      <c r="A753" t="s">
        <v>1717</v>
      </c>
      <c r="B753" t="s">
        <v>15288</v>
      </c>
      <c r="C753" t="s">
        <v>15289</v>
      </c>
      <c r="D753" t="s">
        <v>14535</v>
      </c>
      <c r="E753" t="s">
        <v>14536</v>
      </c>
    </row>
    <row r="754" spans="1:5">
      <c r="A754" t="s">
        <v>2839</v>
      </c>
      <c r="B754" t="s">
        <v>15290</v>
      </c>
      <c r="C754" t="s">
        <v>14867</v>
      </c>
      <c r="D754" t="s">
        <v>14868</v>
      </c>
      <c r="E754" t="s">
        <v>14869</v>
      </c>
    </row>
    <row r="755" spans="1:5">
      <c r="A755" t="s">
        <v>15291</v>
      </c>
      <c r="B755" t="s">
        <v>15292</v>
      </c>
      <c r="C755" t="s">
        <v>14110</v>
      </c>
      <c r="D755" t="s">
        <v>13876</v>
      </c>
      <c r="E755" t="s">
        <v>13877</v>
      </c>
    </row>
    <row r="756" spans="1:5">
      <c r="A756" t="s">
        <v>2883</v>
      </c>
      <c r="B756" t="s">
        <v>15293</v>
      </c>
      <c r="C756" t="s">
        <v>14263</v>
      </c>
      <c r="D756" t="s">
        <v>14264</v>
      </c>
      <c r="E756" t="s">
        <v>14265</v>
      </c>
    </row>
    <row r="757" spans="1:5">
      <c r="A757" t="s">
        <v>3058</v>
      </c>
      <c r="B757" t="s">
        <v>15294</v>
      </c>
      <c r="C757" t="s">
        <v>13922</v>
      </c>
      <c r="D757" t="s">
        <v>13923</v>
      </c>
      <c r="E757" t="s">
        <v>13924</v>
      </c>
    </row>
    <row r="758" spans="1:5">
      <c r="A758" t="s">
        <v>2431</v>
      </c>
      <c r="B758" t="s">
        <v>15295</v>
      </c>
      <c r="C758" t="s">
        <v>14712</v>
      </c>
      <c r="D758" t="s">
        <v>14558</v>
      </c>
      <c r="E758" t="s">
        <v>14559</v>
      </c>
    </row>
    <row r="759" spans="1:5">
      <c r="A759" t="s">
        <v>1867</v>
      </c>
      <c r="B759" t="s">
        <v>15296</v>
      </c>
      <c r="C759" t="s">
        <v>14052</v>
      </c>
      <c r="D759" t="s">
        <v>14053</v>
      </c>
      <c r="E759" t="s">
        <v>14054</v>
      </c>
    </row>
    <row r="760" spans="1:5">
      <c r="A760" t="s">
        <v>2501</v>
      </c>
      <c r="B760" t="s">
        <v>15297</v>
      </c>
      <c r="C760" t="s">
        <v>14025</v>
      </c>
      <c r="D760" t="s">
        <v>14025</v>
      </c>
      <c r="E760" t="s">
        <v>14026</v>
      </c>
    </row>
    <row r="761" spans="1:5">
      <c r="A761" t="s">
        <v>1927</v>
      </c>
      <c r="B761" t="s">
        <v>15298</v>
      </c>
      <c r="C761" t="s">
        <v>14848</v>
      </c>
      <c r="D761" t="s">
        <v>14259</v>
      </c>
      <c r="E761" t="s">
        <v>14260</v>
      </c>
    </row>
    <row r="762" spans="1:5">
      <c r="A762" t="s">
        <v>1924</v>
      </c>
      <c r="B762" t="s">
        <v>15299</v>
      </c>
      <c r="C762" t="s">
        <v>13963</v>
      </c>
      <c r="D762" t="s">
        <v>13964</v>
      </c>
      <c r="E762" t="s">
        <v>13965</v>
      </c>
    </row>
    <row r="763" spans="1:5">
      <c r="A763" t="s">
        <v>3545</v>
      </c>
      <c r="B763" t="s">
        <v>15300</v>
      </c>
      <c r="C763" t="s">
        <v>14458</v>
      </c>
      <c r="D763" t="s">
        <v>14459</v>
      </c>
      <c r="E763" t="s">
        <v>14460</v>
      </c>
    </row>
    <row r="764" spans="1:5">
      <c r="A764" t="s">
        <v>15301</v>
      </c>
      <c r="B764" t="s">
        <v>15302</v>
      </c>
      <c r="C764" t="s">
        <v>13938</v>
      </c>
      <c r="D764" t="s">
        <v>13939</v>
      </c>
      <c r="E764" t="s">
        <v>13940</v>
      </c>
    </row>
    <row r="765" spans="1:5">
      <c r="A765" t="s">
        <v>2644</v>
      </c>
      <c r="B765" t="s">
        <v>15303</v>
      </c>
      <c r="C765" t="s">
        <v>15268</v>
      </c>
      <c r="D765" t="s">
        <v>14526</v>
      </c>
      <c r="E765" t="s">
        <v>14527</v>
      </c>
    </row>
    <row r="766" spans="1:5">
      <c r="A766" t="s">
        <v>15304</v>
      </c>
      <c r="B766" t="s">
        <v>15305</v>
      </c>
      <c r="C766" t="s">
        <v>14707</v>
      </c>
      <c r="D766" t="s">
        <v>13916</v>
      </c>
      <c r="E766" t="s">
        <v>14184</v>
      </c>
    </row>
    <row r="767" spans="1:5">
      <c r="A767" t="s">
        <v>377</v>
      </c>
      <c r="B767" t="s">
        <v>15306</v>
      </c>
      <c r="C767" t="s">
        <v>13916</v>
      </c>
      <c r="D767" t="s">
        <v>13901</v>
      </c>
      <c r="E767" t="s">
        <v>13902</v>
      </c>
    </row>
    <row r="768" spans="1:5">
      <c r="A768" t="s">
        <v>2198</v>
      </c>
      <c r="B768" t="s">
        <v>15307</v>
      </c>
      <c r="C768" t="s">
        <v>15308</v>
      </c>
      <c r="D768" t="s">
        <v>14397</v>
      </c>
      <c r="E768" t="s">
        <v>14398</v>
      </c>
    </row>
    <row r="769" spans="1:5">
      <c r="A769" t="s">
        <v>15309</v>
      </c>
      <c r="B769" t="s">
        <v>15310</v>
      </c>
      <c r="C769" t="s">
        <v>13905</v>
      </c>
      <c r="D769" t="s">
        <v>13901</v>
      </c>
      <c r="E769" t="s">
        <v>13902</v>
      </c>
    </row>
    <row r="770" spans="1:5">
      <c r="A770" t="s">
        <v>2764</v>
      </c>
      <c r="B770" t="s">
        <v>15311</v>
      </c>
      <c r="C770" t="s">
        <v>14057</v>
      </c>
      <c r="D770" t="s">
        <v>14058</v>
      </c>
      <c r="E770" t="s">
        <v>14059</v>
      </c>
    </row>
    <row r="771" spans="1:5">
      <c r="A771" t="s">
        <v>1597</v>
      </c>
      <c r="B771" t="s">
        <v>15312</v>
      </c>
      <c r="C771" t="s">
        <v>13963</v>
      </c>
      <c r="D771" t="s">
        <v>13964</v>
      </c>
      <c r="E771" t="s">
        <v>13965</v>
      </c>
    </row>
    <row r="772" spans="1:5">
      <c r="A772" t="s">
        <v>2452</v>
      </c>
      <c r="B772" t="s">
        <v>15313</v>
      </c>
      <c r="C772" t="s">
        <v>14989</v>
      </c>
      <c r="D772" t="s">
        <v>14089</v>
      </c>
      <c r="E772" t="s">
        <v>14090</v>
      </c>
    </row>
    <row r="773" spans="1:5">
      <c r="A773" t="s">
        <v>15314</v>
      </c>
      <c r="B773" t="s">
        <v>15315</v>
      </c>
      <c r="C773" t="s">
        <v>13943</v>
      </c>
      <c r="D773" t="s">
        <v>13901</v>
      </c>
      <c r="E773" t="s">
        <v>13902</v>
      </c>
    </row>
    <row r="774" spans="1:5">
      <c r="A774" t="s">
        <v>256</v>
      </c>
      <c r="B774" t="s">
        <v>15316</v>
      </c>
      <c r="C774" t="s">
        <v>13943</v>
      </c>
      <c r="D774" t="s">
        <v>13901</v>
      </c>
      <c r="E774" t="s">
        <v>13902</v>
      </c>
    </row>
    <row r="775" spans="1:5">
      <c r="A775" t="s">
        <v>2441</v>
      </c>
      <c r="B775" t="s">
        <v>15317</v>
      </c>
      <c r="C775" t="s">
        <v>15318</v>
      </c>
      <c r="D775" t="s">
        <v>14381</v>
      </c>
      <c r="E775" t="s">
        <v>14382</v>
      </c>
    </row>
    <row r="776" spans="1:5">
      <c r="A776" t="s">
        <v>15319</v>
      </c>
      <c r="B776" t="s">
        <v>15320</v>
      </c>
      <c r="C776" t="s">
        <v>14481</v>
      </c>
      <c r="D776" t="s">
        <v>14482</v>
      </c>
      <c r="E776" t="s">
        <v>14483</v>
      </c>
    </row>
    <row r="777" spans="1:5">
      <c r="A777" t="s">
        <v>15321</v>
      </c>
      <c r="B777" t="s">
        <v>15322</v>
      </c>
      <c r="C777" t="s">
        <v>14397</v>
      </c>
      <c r="D777" t="s">
        <v>14397</v>
      </c>
      <c r="E777" t="s">
        <v>14398</v>
      </c>
    </row>
    <row r="778" spans="1:5">
      <c r="A778" t="s">
        <v>3151</v>
      </c>
      <c r="B778" t="s">
        <v>15323</v>
      </c>
      <c r="C778" t="s">
        <v>13922</v>
      </c>
      <c r="D778" t="s">
        <v>13923</v>
      </c>
      <c r="E778" t="s">
        <v>13924</v>
      </c>
    </row>
    <row r="779" spans="1:5">
      <c r="A779" t="s">
        <v>3025</v>
      </c>
      <c r="B779" t="s">
        <v>15324</v>
      </c>
      <c r="C779" t="s">
        <v>13922</v>
      </c>
      <c r="D779" t="s">
        <v>13923</v>
      </c>
      <c r="E779" t="s">
        <v>13924</v>
      </c>
    </row>
    <row r="780" spans="1:5">
      <c r="A780" t="s">
        <v>2721</v>
      </c>
      <c r="B780" t="s">
        <v>15325</v>
      </c>
      <c r="C780" t="s">
        <v>14380</v>
      </c>
      <c r="D780" t="s">
        <v>14381</v>
      </c>
      <c r="E780" t="s">
        <v>14382</v>
      </c>
    </row>
    <row r="781" spans="1:5">
      <c r="A781" t="s">
        <v>3102</v>
      </c>
      <c r="B781" t="s">
        <v>15326</v>
      </c>
      <c r="C781" t="s">
        <v>14513</v>
      </c>
      <c r="D781" t="s">
        <v>13923</v>
      </c>
      <c r="E781" t="s">
        <v>13924</v>
      </c>
    </row>
    <row r="782" spans="1:5">
      <c r="A782" t="s">
        <v>15327</v>
      </c>
      <c r="B782" t="s">
        <v>15328</v>
      </c>
      <c r="C782" t="s">
        <v>13935</v>
      </c>
      <c r="D782" t="s">
        <v>13935</v>
      </c>
      <c r="E782" t="s">
        <v>13936</v>
      </c>
    </row>
    <row r="783" spans="1:5">
      <c r="A783" t="s">
        <v>15329</v>
      </c>
      <c r="B783" t="s">
        <v>15330</v>
      </c>
      <c r="C783" t="s">
        <v>14025</v>
      </c>
      <c r="D783" t="s">
        <v>14025</v>
      </c>
      <c r="E783" t="s">
        <v>14026</v>
      </c>
    </row>
    <row r="784" spans="1:5">
      <c r="A784" t="s">
        <v>3478</v>
      </c>
      <c r="B784" t="s">
        <v>15331</v>
      </c>
      <c r="C784" t="s">
        <v>15332</v>
      </c>
      <c r="D784" t="s">
        <v>15333</v>
      </c>
      <c r="E784" t="s">
        <v>15334</v>
      </c>
    </row>
    <row r="785" spans="1:5">
      <c r="A785" t="s">
        <v>15335</v>
      </c>
      <c r="B785" t="s">
        <v>15336</v>
      </c>
      <c r="C785" t="s">
        <v>15337</v>
      </c>
      <c r="D785" t="s">
        <v>14078</v>
      </c>
      <c r="E785" t="s">
        <v>14079</v>
      </c>
    </row>
    <row r="786" spans="1:5">
      <c r="A786" t="s">
        <v>15338</v>
      </c>
      <c r="B786" t="s">
        <v>15339</v>
      </c>
      <c r="C786" t="s">
        <v>14224</v>
      </c>
      <c r="D786" t="s">
        <v>14002</v>
      </c>
      <c r="E786" t="s">
        <v>14003</v>
      </c>
    </row>
    <row r="787" spans="1:5">
      <c r="A787" t="s">
        <v>2181</v>
      </c>
      <c r="B787" t="s">
        <v>15340</v>
      </c>
      <c r="C787" t="s">
        <v>15341</v>
      </c>
      <c r="D787" t="s">
        <v>13872</v>
      </c>
      <c r="E787" t="s">
        <v>13873</v>
      </c>
    </row>
    <row r="788" spans="1:5">
      <c r="A788" t="s">
        <v>3089</v>
      </c>
      <c r="B788" t="s">
        <v>15342</v>
      </c>
      <c r="C788" t="s">
        <v>13922</v>
      </c>
      <c r="D788" t="s">
        <v>13923</v>
      </c>
      <c r="E788" t="s">
        <v>13924</v>
      </c>
    </row>
    <row r="789" spans="1:5">
      <c r="A789" t="s">
        <v>15343</v>
      </c>
      <c r="B789" t="s">
        <v>15344</v>
      </c>
      <c r="C789" t="s">
        <v>15345</v>
      </c>
      <c r="D789" t="s">
        <v>14290</v>
      </c>
      <c r="E789" t="s">
        <v>14291</v>
      </c>
    </row>
    <row r="790" spans="1:5">
      <c r="A790" t="s">
        <v>15346</v>
      </c>
      <c r="B790" t="s">
        <v>15347</v>
      </c>
      <c r="C790" t="s">
        <v>13909</v>
      </c>
      <c r="D790" t="s">
        <v>13901</v>
      </c>
      <c r="E790" t="s">
        <v>13902</v>
      </c>
    </row>
    <row r="791" spans="1:5">
      <c r="A791" t="s">
        <v>15348</v>
      </c>
      <c r="B791" t="s">
        <v>15349</v>
      </c>
      <c r="C791" t="s">
        <v>15350</v>
      </c>
      <c r="D791" t="s">
        <v>13932</v>
      </c>
      <c r="E791" t="s">
        <v>13933</v>
      </c>
    </row>
    <row r="792" spans="1:5">
      <c r="A792" t="s">
        <v>197</v>
      </c>
      <c r="B792" t="s">
        <v>15351</v>
      </c>
      <c r="C792" t="s">
        <v>13986</v>
      </c>
      <c r="D792" t="s">
        <v>13901</v>
      </c>
      <c r="E792" t="s">
        <v>13902</v>
      </c>
    </row>
    <row r="793" spans="1:5">
      <c r="A793" t="s">
        <v>247</v>
      </c>
      <c r="B793" t="s">
        <v>15352</v>
      </c>
      <c r="C793" t="s">
        <v>14323</v>
      </c>
      <c r="D793" t="s">
        <v>13901</v>
      </c>
      <c r="E793" t="s">
        <v>13902</v>
      </c>
    </row>
    <row r="794" spans="1:5">
      <c r="A794" t="s">
        <v>3404</v>
      </c>
      <c r="B794" t="s">
        <v>15353</v>
      </c>
      <c r="C794" t="s">
        <v>14147</v>
      </c>
      <c r="D794" t="s">
        <v>13881</v>
      </c>
      <c r="E794" t="s">
        <v>13882</v>
      </c>
    </row>
    <row r="795" spans="1:5">
      <c r="A795" t="s">
        <v>1680</v>
      </c>
      <c r="B795" t="s">
        <v>15354</v>
      </c>
      <c r="C795" t="s">
        <v>14519</v>
      </c>
      <c r="D795" t="s">
        <v>14482</v>
      </c>
      <c r="E795" t="s">
        <v>14483</v>
      </c>
    </row>
    <row r="796" spans="1:5">
      <c r="A796" t="s">
        <v>181</v>
      </c>
      <c r="B796" t="s">
        <v>15355</v>
      </c>
      <c r="C796" t="s">
        <v>13916</v>
      </c>
      <c r="D796" t="s">
        <v>13901</v>
      </c>
      <c r="E796" t="s">
        <v>13902</v>
      </c>
    </row>
    <row r="797" spans="1:5">
      <c r="A797" t="s">
        <v>3030</v>
      </c>
      <c r="B797" t="s">
        <v>15356</v>
      </c>
      <c r="C797" t="s">
        <v>15357</v>
      </c>
      <c r="D797" t="s">
        <v>14489</v>
      </c>
      <c r="E797" t="s">
        <v>14490</v>
      </c>
    </row>
    <row r="798" spans="1:5">
      <c r="A798" t="s">
        <v>2779</v>
      </c>
      <c r="B798" t="s">
        <v>15358</v>
      </c>
      <c r="C798" t="s">
        <v>14945</v>
      </c>
      <c r="D798" t="s">
        <v>14455</v>
      </c>
      <c r="E798" t="s">
        <v>14456</v>
      </c>
    </row>
    <row r="799" spans="1:5">
      <c r="A799" t="s">
        <v>2635</v>
      </c>
      <c r="B799" t="s">
        <v>15359</v>
      </c>
      <c r="C799" t="s">
        <v>14224</v>
      </c>
      <c r="D799" t="s">
        <v>14002</v>
      </c>
      <c r="E799" t="s">
        <v>14003</v>
      </c>
    </row>
    <row r="800" spans="1:5">
      <c r="A800" t="s">
        <v>1245</v>
      </c>
      <c r="B800" t="s">
        <v>15360</v>
      </c>
      <c r="C800" t="s">
        <v>14517</v>
      </c>
      <c r="D800" t="s">
        <v>14243</v>
      </c>
      <c r="E800" t="s">
        <v>14244</v>
      </c>
    </row>
    <row r="801" spans="1:5">
      <c r="A801" t="s">
        <v>2927</v>
      </c>
      <c r="B801" t="s">
        <v>15361</v>
      </c>
      <c r="C801" t="s">
        <v>14263</v>
      </c>
      <c r="D801" t="s">
        <v>14264</v>
      </c>
      <c r="E801" t="s">
        <v>14265</v>
      </c>
    </row>
    <row r="802" spans="1:5">
      <c r="A802" t="s">
        <v>2676</v>
      </c>
      <c r="B802" t="s">
        <v>15362</v>
      </c>
      <c r="C802" t="s">
        <v>14001</v>
      </c>
      <c r="D802" t="s">
        <v>14002</v>
      </c>
      <c r="E802" t="s">
        <v>14003</v>
      </c>
    </row>
    <row r="803" spans="1:5">
      <c r="A803" t="s">
        <v>3088</v>
      </c>
      <c r="B803" t="s">
        <v>15363</v>
      </c>
      <c r="C803" t="s">
        <v>14509</v>
      </c>
      <c r="D803" t="s">
        <v>14510</v>
      </c>
      <c r="E803" t="s">
        <v>14511</v>
      </c>
    </row>
    <row r="804" spans="1:5">
      <c r="A804" t="s">
        <v>2686</v>
      </c>
      <c r="B804" t="s">
        <v>15364</v>
      </c>
      <c r="C804" t="s">
        <v>14413</v>
      </c>
      <c r="D804" t="s">
        <v>14002</v>
      </c>
      <c r="E804" t="s">
        <v>14003</v>
      </c>
    </row>
    <row r="805" spans="1:5">
      <c r="A805" t="s">
        <v>15365</v>
      </c>
      <c r="B805" t="s">
        <v>15366</v>
      </c>
      <c r="C805" t="s">
        <v>13926</v>
      </c>
      <c r="D805" t="s">
        <v>13927</v>
      </c>
      <c r="E805" t="s">
        <v>13928</v>
      </c>
    </row>
    <row r="806" spans="1:5">
      <c r="A806" t="s">
        <v>1443</v>
      </c>
      <c r="B806" t="s">
        <v>15367</v>
      </c>
      <c r="C806" t="s">
        <v>13951</v>
      </c>
      <c r="D806" t="s">
        <v>13927</v>
      </c>
      <c r="E806" t="s">
        <v>13928</v>
      </c>
    </row>
    <row r="807" spans="1:5">
      <c r="A807" t="s">
        <v>2079</v>
      </c>
      <c r="B807" t="s">
        <v>15368</v>
      </c>
      <c r="C807" t="s">
        <v>13892</v>
      </c>
      <c r="D807" t="s">
        <v>13893</v>
      </c>
      <c r="E807" t="s">
        <v>13894</v>
      </c>
    </row>
    <row r="808" spans="1:5">
      <c r="A808" t="s">
        <v>15369</v>
      </c>
      <c r="B808" t="s">
        <v>15370</v>
      </c>
      <c r="C808" t="s">
        <v>14501</v>
      </c>
      <c r="D808" t="s">
        <v>13872</v>
      </c>
      <c r="E808" t="s">
        <v>13873</v>
      </c>
    </row>
    <row r="809" spans="1:5">
      <c r="A809" t="s">
        <v>2572</v>
      </c>
      <c r="B809" t="s">
        <v>15371</v>
      </c>
      <c r="C809" t="s">
        <v>13919</v>
      </c>
      <c r="D809" t="s">
        <v>13919</v>
      </c>
      <c r="E809" t="s">
        <v>13920</v>
      </c>
    </row>
    <row r="810" spans="1:5">
      <c r="A810" t="s">
        <v>2817</v>
      </c>
      <c r="B810" t="s">
        <v>15372</v>
      </c>
      <c r="C810" t="s">
        <v>14061</v>
      </c>
      <c r="D810" t="s">
        <v>13913</v>
      </c>
      <c r="E810" t="s">
        <v>13914</v>
      </c>
    </row>
    <row r="811" spans="1:5">
      <c r="A811" t="s">
        <v>15373</v>
      </c>
      <c r="B811" t="s">
        <v>15374</v>
      </c>
      <c r="C811" t="s">
        <v>13871</v>
      </c>
      <c r="D811" t="s">
        <v>13872</v>
      </c>
      <c r="E811" t="s">
        <v>13873</v>
      </c>
    </row>
    <row r="812" spans="1:5">
      <c r="A812" t="s">
        <v>2220</v>
      </c>
      <c r="B812" t="s">
        <v>15375</v>
      </c>
      <c r="C812" t="s">
        <v>13871</v>
      </c>
      <c r="D812" t="s">
        <v>13872</v>
      </c>
      <c r="E812" t="s">
        <v>13873</v>
      </c>
    </row>
    <row r="813" spans="1:5">
      <c r="A813" t="s">
        <v>1161</v>
      </c>
      <c r="B813" t="s">
        <v>15376</v>
      </c>
      <c r="C813" t="s">
        <v>14012</v>
      </c>
      <c r="D813" t="s">
        <v>13927</v>
      </c>
      <c r="E813" t="s">
        <v>13928</v>
      </c>
    </row>
    <row r="814" spans="1:5">
      <c r="A814" t="s">
        <v>15377</v>
      </c>
      <c r="B814" t="s">
        <v>15378</v>
      </c>
      <c r="C814" t="s">
        <v>14780</v>
      </c>
      <c r="D814" t="s">
        <v>14781</v>
      </c>
      <c r="E814" t="s">
        <v>14782</v>
      </c>
    </row>
    <row r="815" spans="1:5">
      <c r="A815" t="s">
        <v>262</v>
      </c>
      <c r="B815" t="s">
        <v>15379</v>
      </c>
      <c r="C815" t="s">
        <v>13916</v>
      </c>
      <c r="D815" t="s">
        <v>13901</v>
      </c>
      <c r="E815" t="s">
        <v>13902</v>
      </c>
    </row>
    <row r="816" spans="1:5">
      <c r="A816" t="s">
        <v>3601</v>
      </c>
      <c r="B816" t="s">
        <v>15380</v>
      </c>
      <c r="C816" t="s">
        <v>15381</v>
      </c>
      <c r="D816" t="s">
        <v>13935</v>
      </c>
      <c r="E816" t="s">
        <v>13936</v>
      </c>
    </row>
    <row r="817" spans="1:5">
      <c r="A817" t="s">
        <v>1743</v>
      </c>
      <c r="B817" t="s">
        <v>15382</v>
      </c>
      <c r="C817" t="s">
        <v>15383</v>
      </c>
      <c r="D817" t="s">
        <v>14259</v>
      </c>
      <c r="E817" t="s">
        <v>14260</v>
      </c>
    </row>
    <row r="818" spans="1:5">
      <c r="A818" t="s">
        <v>1293</v>
      </c>
      <c r="B818" t="s">
        <v>15384</v>
      </c>
      <c r="C818" t="s">
        <v>13951</v>
      </c>
      <c r="D818" t="s">
        <v>13927</v>
      </c>
      <c r="E818" t="s">
        <v>13928</v>
      </c>
    </row>
    <row r="819" spans="1:5">
      <c r="A819" t="s">
        <v>3578</v>
      </c>
      <c r="B819" t="s">
        <v>15385</v>
      </c>
      <c r="C819" t="s">
        <v>14568</v>
      </c>
      <c r="D819" t="s">
        <v>13935</v>
      </c>
      <c r="E819" t="s">
        <v>13936</v>
      </c>
    </row>
    <row r="820" spans="1:5">
      <c r="A820" t="s">
        <v>15386</v>
      </c>
      <c r="B820" t="s">
        <v>15387</v>
      </c>
      <c r="C820" t="s">
        <v>14364</v>
      </c>
      <c r="D820" t="s">
        <v>14211</v>
      </c>
      <c r="E820" t="s">
        <v>14212</v>
      </c>
    </row>
    <row r="821" spans="1:5">
      <c r="A821" t="s">
        <v>580</v>
      </c>
      <c r="B821" t="s">
        <v>15388</v>
      </c>
      <c r="C821" t="s">
        <v>14021</v>
      </c>
      <c r="D821" t="s">
        <v>14021</v>
      </c>
      <c r="E821" t="s">
        <v>14022</v>
      </c>
    </row>
    <row r="822" spans="1:5">
      <c r="A822" t="s">
        <v>2858</v>
      </c>
      <c r="B822" t="s">
        <v>15389</v>
      </c>
      <c r="C822" t="s">
        <v>14551</v>
      </c>
      <c r="D822" t="s">
        <v>14165</v>
      </c>
      <c r="E822" t="s">
        <v>14166</v>
      </c>
    </row>
    <row r="823" spans="1:5">
      <c r="A823" t="s">
        <v>15390</v>
      </c>
      <c r="B823" t="s">
        <v>15391</v>
      </c>
      <c r="C823" t="s">
        <v>13916</v>
      </c>
      <c r="D823" t="s">
        <v>13901</v>
      </c>
      <c r="E823" t="s">
        <v>13902</v>
      </c>
    </row>
    <row r="824" spans="1:5">
      <c r="A824" t="s">
        <v>2514</v>
      </c>
      <c r="B824" t="s">
        <v>15392</v>
      </c>
      <c r="C824" t="s">
        <v>14712</v>
      </c>
      <c r="D824" t="s">
        <v>14558</v>
      </c>
      <c r="E824" t="s">
        <v>14559</v>
      </c>
    </row>
    <row r="825" spans="1:5">
      <c r="A825" t="s">
        <v>2749</v>
      </c>
      <c r="B825" t="s">
        <v>15393</v>
      </c>
      <c r="C825" t="s">
        <v>14053</v>
      </c>
      <c r="D825" t="s">
        <v>14118</v>
      </c>
      <c r="E825" t="s">
        <v>14119</v>
      </c>
    </row>
    <row r="826" spans="1:5">
      <c r="A826" t="s">
        <v>15394</v>
      </c>
      <c r="B826" t="s">
        <v>15395</v>
      </c>
      <c r="C826" t="s">
        <v>13950</v>
      </c>
      <c r="D826" t="s">
        <v>13951</v>
      </c>
      <c r="E826" t="s">
        <v>13952</v>
      </c>
    </row>
    <row r="827" spans="1:5">
      <c r="A827" t="s">
        <v>1846</v>
      </c>
      <c r="B827" t="s">
        <v>15396</v>
      </c>
      <c r="C827" t="s">
        <v>14007</v>
      </c>
      <c r="D827" t="s">
        <v>13989</v>
      </c>
      <c r="E827" t="s">
        <v>13990</v>
      </c>
    </row>
    <row r="828" spans="1:5">
      <c r="A828" t="s">
        <v>3435</v>
      </c>
      <c r="B828" t="s">
        <v>15397</v>
      </c>
      <c r="C828" t="s">
        <v>14201</v>
      </c>
      <c r="D828" t="s">
        <v>14040</v>
      </c>
      <c r="E828" t="s">
        <v>14041</v>
      </c>
    </row>
    <row r="829" spans="1:5">
      <c r="A829" t="s">
        <v>15398</v>
      </c>
      <c r="B829" t="s">
        <v>15399</v>
      </c>
      <c r="C829" t="s">
        <v>13888</v>
      </c>
      <c r="D829" t="s">
        <v>13889</v>
      </c>
      <c r="E829" t="s">
        <v>13890</v>
      </c>
    </row>
    <row r="830" spans="1:5">
      <c r="A830" t="s">
        <v>1723</v>
      </c>
      <c r="B830" t="s">
        <v>15400</v>
      </c>
      <c r="C830" t="s">
        <v>13988</v>
      </c>
      <c r="D830" t="s">
        <v>13989</v>
      </c>
      <c r="E830" t="s">
        <v>13990</v>
      </c>
    </row>
    <row r="831" spans="1:5">
      <c r="A831" t="s">
        <v>3035</v>
      </c>
      <c r="B831" t="s">
        <v>15401</v>
      </c>
      <c r="C831" t="s">
        <v>14670</v>
      </c>
      <c r="D831" t="s">
        <v>13968</v>
      </c>
      <c r="E831" t="s">
        <v>13969</v>
      </c>
    </row>
    <row r="832" spans="1:5">
      <c r="A832" t="s">
        <v>15402</v>
      </c>
      <c r="B832" t="s">
        <v>15403</v>
      </c>
      <c r="C832" t="s">
        <v>13967</v>
      </c>
      <c r="D832" t="s">
        <v>13968</v>
      </c>
      <c r="E832" t="s">
        <v>13969</v>
      </c>
    </row>
    <row r="833" spans="1:5">
      <c r="A833" t="s">
        <v>3036</v>
      </c>
      <c r="B833" t="s">
        <v>15404</v>
      </c>
      <c r="C833" t="s">
        <v>13967</v>
      </c>
      <c r="D833" t="s">
        <v>13968</v>
      </c>
      <c r="E833" t="s">
        <v>13969</v>
      </c>
    </row>
    <row r="834" spans="1:5">
      <c r="A834" t="s">
        <v>3200</v>
      </c>
      <c r="B834" t="s">
        <v>15405</v>
      </c>
      <c r="C834" t="s">
        <v>13967</v>
      </c>
      <c r="D834" t="s">
        <v>13968</v>
      </c>
      <c r="E834" t="s">
        <v>13969</v>
      </c>
    </row>
    <row r="835" spans="1:5">
      <c r="A835" t="s">
        <v>2772</v>
      </c>
      <c r="B835" t="s">
        <v>15406</v>
      </c>
      <c r="C835" t="s">
        <v>14945</v>
      </c>
      <c r="D835" t="s">
        <v>14455</v>
      </c>
      <c r="E835" t="s">
        <v>14456</v>
      </c>
    </row>
    <row r="836" spans="1:5">
      <c r="A836" t="s">
        <v>2984</v>
      </c>
      <c r="B836" t="s">
        <v>15407</v>
      </c>
      <c r="C836" t="s">
        <v>13932</v>
      </c>
      <c r="D836" t="s">
        <v>13932</v>
      </c>
      <c r="E836" t="s">
        <v>13933</v>
      </c>
    </row>
    <row r="837" spans="1:5">
      <c r="A837" t="s">
        <v>3103</v>
      </c>
      <c r="B837" t="s">
        <v>15408</v>
      </c>
      <c r="C837" t="s">
        <v>14072</v>
      </c>
      <c r="D837" t="s">
        <v>14073</v>
      </c>
      <c r="E837" t="s">
        <v>14074</v>
      </c>
    </row>
    <row r="838" spans="1:5">
      <c r="A838" t="s">
        <v>115</v>
      </c>
      <c r="B838" t="s">
        <v>15409</v>
      </c>
      <c r="C838" t="s">
        <v>14323</v>
      </c>
      <c r="D838" t="s">
        <v>13901</v>
      </c>
      <c r="E838" t="s">
        <v>13902</v>
      </c>
    </row>
    <row r="839" spans="1:5">
      <c r="A839" t="s">
        <v>15410</v>
      </c>
      <c r="B839" t="s">
        <v>15411</v>
      </c>
      <c r="C839" t="s">
        <v>14780</v>
      </c>
      <c r="D839" t="s">
        <v>14781</v>
      </c>
      <c r="E839" t="s">
        <v>14782</v>
      </c>
    </row>
    <row r="840" spans="1:5">
      <c r="A840" t="s">
        <v>1849</v>
      </c>
      <c r="B840" t="s">
        <v>15412</v>
      </c>
      <c r="C840" t="s">
        <v>14116</v>
      </c>
      <c r="D840" t="s">
        <v>13964</v>
      </c>
      <c r="E840" t="s">
        <v>13965</v>
      </c>
    </row>
    <row r="841" spans="1:5">
      <c r="A841" t="s">
        <v>2862</v>
      </c>
      <c r="B841" t="s">
        <v>15413</v>
      </c>
      <c r="C841" t="s">
        <v>14943</v>
      </c>
      <c r="D841" t="s">
        <v>14505</v>
      </c>
      <c r="E841" t="s">
        <v>14506</v>
      </c>
    </row>
    <row r="842" spans="1:5">
      <c r="A842" t="s">
        <v>15414</v>
      </c>
      <c r="B842" t="s">
        <v>15415</v>
      </c>
      <c r="C842" t="s">
        <v>14222</v>
      </c>
      <c r="D842" t="s">
        <v>13901</v>
      </c>
      <c r="E842" t="s">
        <v>13902</v>
      </c>
    </row>
    <row r="843" spans="1:5">
      <c r="A843" t="s">
        <v>3427</v>
      </c>
      <c r="B843" t="s">
        <v>15416</v>
      </c>
      <c r="C843" t="s">
        <v>14633</v>
      </c>
      <c r="D843" t="s">
        <v>13974</v>
      </c>
      <c r="E843" t="s">
        <v>13975</v>
      </c>
    </row>
    <row r="844" spans="1:5">
      <c r="A844" t="s">
        <v>3428</v>
      </c>
      <c r="B844" t="s">
        <v>15417</v>
      </c>
      <c r="C844" t="s">
        <v>15418</v>
      </c>
      <c r="D844" t="s">
        <v>14459</v>
      </c>
      <c r="E844" t="s">
        <v>14460</v>
      </c>
    </row>
    <row r="845" spans="1:5">
      <c r="A845" t="s">
        <v>3323</v>
      </c>
      <c r="B845" t="s">
        <v>15419</v>
      </c>
      <c r="C845" t="s">
        <v>15022</v>
      </c>
      <c r="D845" t="s">
        <v>14408</v>
      </c>
      <c r="E845" t="s">
        <v>14409</v>
      </c>
    </row>
    <row r="846" spans="1:5">
      <c r="A846" t="s">
        <v>1403</v>
      </c>
      <c r="B846" t="s">
        <v>15420</v>
      </c>
      <c r="C846" t="s">
        <v>14767</v>
      </c>
      <c r="D846" t="s">
        <v>14768</v>
      </c>
      <c r="E846" t="s">
        <v>14769</v>
      </c>
    </row>
    <row r="847" spans="1:5">
      <c r="A847" t="s">
        <v>2649</v>
      </c>
      <c r="B847" t="s">
        <v>15421</v>
      </c>
      <c r="C847" t="s">
        <v>14132</v>
      </c>
      <c r="D847" t="s">
        <v>14133</v>
      </c>
      <c r="E847" t="s">
        <v>14134</v>
      </c>
    </row>
    <row r="848" spans="1:5">
      <c r="A848" t="s">
        <v>3525</v>
      </c>
      <c r="B848" t="s">
        <v>15422</v>
      </c>
      <c r="C848" t="s">
        <v>13993</v>
      </c>
      <c r="D848" t="s">
        <v>13994</v>
      </c>
      <c r="E848" t="s">
        <v>13995</v>
      </c>
    </row>
    <row r="849" spans="1:5">
      <c r="A849" t="s">
        <v>2269</v>
      </c>
      <c r="B849" t="s">
        <v>15423</v>
      </c>
      <c r="C849" t="s">
        <v>14342</v>
      </c>
      <c r="D849" t="s">
        <v>14195</v>
      </c>
      <c r="E849" t="s">
        <v>14196</v>
      </c>
    </row>
    <row r="850" spans="1:5">
      <c r="A850" t="s">
        <v>3590</v>
      </c>
      <c r="B850" t="s">
        <v>15424</v>
      </c>
      <c r="C850" t="s">
        <v>14908</v>
      </c>
      <c r="D850" t="s">
        <v>14909</v>
      </c>
      <c r="E850" t="s">
        <v>14910</v>
      </c>
    </row>
    <row r="851" spans="1:5">
      <c r="A851" t="s">
        <v>3515</v>
      </c>
      <c r="B851" t="s">
        <v>15425</v>
      </c>
      <c r="C851" t="s">
        <v>15142</v>
      </c>
      <c r="D851" t="s">
        <v>13994</v>
      </c>
      <c r="E851" t="s">
        <v>13995</v>
      </c>
    </row>
    <row r="852" spans="1:5">
      <c r="A852" t="s">
        <v>1491</v>
      </c>
      <c r="B852" t="s">
        <v>15426</v>
      </c>
      <c r="C852" t="s">
        <v>14326</v>
      </c>
      <c r="D852" t="s">
        <v>14327</v>
      </c>
      <c r="E852" t="s">
        <v>14328</v>
      </c>
    </row>
    <row r="853" spans="1:5">
      <c r="A853" t="s">
        <v>15427</v>
      </c>
      <c r="B853" t="s">
        <v>15428</v>
      </c>
      <c r="C853" t="s">
        <v>14949</v>
      </c>
      <c r="D853" t="s">
        <v>14909</v>
      </c>
      <c r="E853" t="s">
        <v>14910</v>
      </c>
    </row>
    <row r="854" spans="1:5">
      <c r="A854" t="s">
        <v>1945</v>
      </c>
      <c r="B854" t="s">
        <v>15429</v>
      </c>
      <c r="C854" t="s">
        <v>14258</v>
      </c>
      <c r="D854" t="s">
        <v>14259</v>
      </c>
      <c r="E854" t="s">
        <v>14260</v>
      </c>
    </row>
    <row r="855" spans="1:5">
      <c r="A855" t="s">
        <v>3097</v>
      </c>
      <c r="B855" t="s">
        <v>15430</v>
      </c>
      <c r="C855" t="s">
        <v>15431</v>
      </c>
      <c r="D855" t="s">
        <v>14356</v>
      </c>
      <c r="E855" t="s">
        <v>14357</v>
      </c>
    </row>
    <row r="856" spans="1:5">
      <c r="A856" t="s">
        <v>1755</v>
      </c>
      <c r="B856" t="s">
        <v>15432</v>
      </c>
      <c r="C856" t="s">
        <v>14106</v>
      </c>
      <c r="D856" t="s">
        <v>14107</v>
      </c>
      <c r="E856" t="s">
        <v>14108</v>
      </c>
    </row>
    <row r="857" spans="1:5">
      <c r="A857" t="s">
        <v>3128</v>
      </c>
      <c r="B857" t="s">
        <v>15433</v>
      </c>
      <c r="C857" t="s">
        <v>13884</v>
      </c>
      <c r="D857" t="s">
        <v>13885</v>
      </c>
      <c r="E857" t="s">
        <v>13886</v>
      </c>
    </row>
    <row r="858" spans="1:5">
      <c r="A858" t="s">
        <v>1626</v>
      </c>
      <c r="B858" t="s">
        <v>15434</v>
      </c>
      <c r="C858" t="s">
        <v>14177</v>
      </c>
      <c r="D858" t="s">
        <v>13946</v>
      </c>
      <c r="E858" t="s">
        <v>13947</v>
      </c>
    </row>
    <row r="859" spans="1:5">
      <c r="A859" t="s">
        <v>1694</v>
      </c>
      <c r="B859" t="s">
        <v>15435</v>
      </c>
      <c r="C859" t="s">
        <v>14162</v>
      </c>
      <c r="D859" t="s">
        <v>13946</v>
      </c>
      <c r="E859" t="s">
        <v>13947</v>
      </c>
    </row>
    <row r="860" spans="1:5">
      <c r="A860" t="s">
        <v>2753</v>
      </c>
      <c r="B860" t="s">
        <v>15436</v>
      </c>
      <c r="C860" t="s">
        <v>14183</v>
      </c>
      <c r="D860" t="s">
        <v>13916</v>
      </c>
      <c r="E860" t="s">
        <v>14184</v>
      </c>
    </row>
    <row r="861" spans="1:5">
      <c r="A861" t="s">
        <v>2829</v>
      </c>
      <c r="B861" t="s">
        <v>15437</v>
      </c>
      <c r="C861" t="s">
        <v>14672</v>
      </c>
      <c r="D861" t="s">
        <v>14673</v>
      </c>
      <c r="E861" t="s">
        <v>14674</v>
      </c>
    </row>
    <row r="862" spans="1:5">
      <c r="A862" t="s">
        <v>2548</v>
      </c>
      <c r="B862" t="s">
        <v>15438</v>
      </c>
      <c r="C862" t="s">
        <v>14001</v>
      </c>
      <c r="D862" t="s">
        <v>14002</v>
      </c>
      <c r="E862" t="s">
        <v>14003</v>
      </c>
    </row>
    <row r="863" spans="1:5">
      <c r="A863" t="s">
        <v>3631</v>
      </c>
      <c r="B863" t="s">
        <v>15439</v>
      </c>
      <c r="C863" t="s">
        <v>14908</v>
      </c>
      <c r="D863" t="s">
        <v>14909</v>
      </c>
      <c r="E863" t="s">
        <v>14910</v>
      </c>
    </row>
    <row r="864" spans="1:5">
      <c r="A864" t="s">
        <v>15440</v>
      </c>
      <c r="B864" t="s">
        <v>15441</v>
      </c>
      <c r="C864" t="s">
        <v>15442</v>
      </c>
      <c r="D864" t="s">
        <v>14446</v>
      </c>
      <c r="E864" t="s">
        <v>14447</v>
      </c>
    </row>
    <row r="865" spans="1:5">
      <c r="A865" t="s">
        <v>15443</v>
      </c>
      <c r="B865" t="s">
        <v>15444</v>
      </c>
      <c r="C865" t="s">
        <v>14888</v>
      </c>
      <c r="D865" t="s">
        <v>14889</v>
      </c>
      <c r="E865" t="s">
        <v>14890</v>
      </c>
    </row>
    <row r="866" spans="1:5">
      <c r="A866" t="s">
        <v>1087</v>
      </c>
      <c r="B866" t="s">
        <v>15445</v>
      </c>
      <c r="C866" t="s">
        <v>14110</v>
      </c>
      <c r="D866" t="s">
        <v>13876</v>
      </c>
      <c r="E866" t="s">
        <v>13877</v>
      </c>
    </row>
    <row r="867" spans="1:5">
      <c r="A867" t="s">
        <v>3490</v>
      </c>
      <c r="B867" t="s">
        <v>15446</v>
      </c>
      <c r="C867" t="s">
        <v>14458</v>
      </c>
      <c r="D867" t="s">
        <v>14459</v>
      </c>
      <c r="E867" t="s">
        <v>14460</v>
      </c>
    </row>
    <row r="868" spans="1:5">
      <c r="A868" t="s">
        <v>2565</v>
      </c>
      <c r="B868" t="s">
        <v>15447</v>
      </c>
      <c r="C868" t="s">
        <v>14861</v>
      </c>
      <c r="D868" t="s">
        <v>14862</v>
      </c>
      <c r="E868" t="s">
        <v>14863</v>
      </c>
    </row>
    <row r="869" spans="1:5">
      <c r="A869" t="s">
        <v>148</v>
      </c>
      <c r="B869" t="s">
        <v>15448</v>
      </c>
      <c r="C869" t="s">
        <v>13916</v>
      </c>
      <c r="D869" t="s">
        <v>13901</v>
      </c>
      <c r="E869" t="s">
        <v>13902</v>
      </c>
    </row>
    <row r="870" spans="1:5">
      <c r="A870" t="s">
        <v>3154</v>
      </c>
      <c r="B870" t="s">
        <v>15449</v>
      </c>
      <c r="C870" t="s">
        <v>14227</v>
      </c>
      <c r="D870" t="s">
        <v>13951</v>
      </c>
      <c r="E870" t="s">
        <v>13952</v>
      </c>
    </row>
    <row r="871" spans="1:5">
      <c r="A871" t="s">
        <v>3605</v>
      </c>
      <c r="B871" t="s">
        <v>15450</v>
      </c>
      <c r="C871" t="s">
        <v>14633</v>
      </c>
      <c r="D871" t="s">
        <v>13974</v>
      </c>
      <c r="E871" t="s">
        <v>13975</v>
      </c>
    </row>
    <row r="872" spans="1:5">
      <c r="A872" t="s">
        <v>1583</v>
      </c>
      <c r="B872" t="s">
        <v>15451</v>
      </c>
      <c r="C872" t="s">
        <v>15452</v>
      </c>
      <c r="D872" t="s">
        <v>14493</v>
      </c>
      <c r="E872" t="s">
        <v>15453</v>
      </c>
    </row>
    <row r="873" spans="1:5">
      <c r="A873" t="s">
        <v>15454</v>
      </c>
      <c r="B873" t="s">
        <v>15455</v>
      </c>
      <c r="C873" t="s">
        <v>14848</v>
      </c>
      <c r="D873" t="s">
        <v>14259</v>
      </c>
      <c r="E873" t="s">
        <v>14260</v>
      </c>
    </row>
    <row r="874" spans="1:5">
      <c r="A874" t="s">
        <v>3135</v>
      </c>
      <c r="B874" t="s">
        <v>15456</v>
      </c>
      <c r="C874" t="s">
        <v>14488</v>
      </c>
      <c r="D874" t="s">
        <v>14489</v>
      </c>
      <c r="E874" t="s">
        <v>14490</v>
      </c>
    </row>
    <row r="875" spans="1:5">
      <c r="A875" t="s">
        <v>15457</v>
      </c>
      <c r="B875" t="s">
        <v>15458</v>
      </c>
      <c r="C875" t="s">
        <v>15042</v>
      </c>
      <c r="D875" t="s">
        <v>14595</v>
      </c>
      <c r="E875" t="s">
        <v>14596</v>
      </c>
    </row>
    <row r="876" spans="1:5">
      <c r="A876" t="s">
        <v>3099</v>
      </c>
      <c r="B876" t="s">
        <v>15459</v>
      </c>
      <c r="C876" t="s">
        <v>14284</v>
      </c>
      <c r="D876" t="s">
        <v>14285</v>
      </c>
      <c r="E876" t="s">
        <v>14286</v>
      </c>
    </row>
    <row r="877" spans="1:5">
      <c r="A877" t="s">
        <v>3551</v>
      </c>
      <c r="B877" t="s">
        <v>15460</v>
      </c>
      <c r="C877" t="s">
        <v>15345</v>
      </c>
      <c r="D877" t="s">
        <v>14290</v>
      </c>
      <c r="E877" t="s">
        <v>14291</v>
      </c>
    </row>
    <row r="878" spans="1:5">
      <c r="A878" t="s">
        <v>15461</v>
      </c>
      <c r="B878" t="s">
        <v>14331</v>
      </c>
      <c r="C878" t="s">
        <v>14332</v>
      </c>
      <c r="D878" t="s">
        <v>13927</v>
      </c>
      <c r="E878" t="s">
        <v>13928</v>
      </c>
    </row>
    <row r="879" spans="1:5">
      <c r="A879" t="s">
        <v>2132</v>
      </c>
      <c r="B879" t="s">
        <v>15462</v>
      </c>
      <c r="C879" t="s">
        <v>14305</v>
      </c>
      <c r="D879" t="s">
        <v>14306</v>
      </c>
      <c r="E879" t="s">
        <v>14307</v>
      </c>
    </row>
    <row r="880" spans="1:5">
      <c r="A880" t="s">
        <v>257</v>
      </c>
      <c r="B880" t="s">
        <v>15463</v>
      </c>
      <c r="C880" t="s">
        <v>13916</v>
      </c>
      <c r="D880" t="s">
        <v>13901</v>
      </c>
      <c r="E880" t="s">
        <v>13902</v>
      </c>
    </row>
    <row r="881" spans="1:5">
      <c r="A881" t="s">
        <v>15464</v>
      </c>
      <c r="B881" t="s">
        <v>15465</v>
      </c>
      <c r="C881" t="s">
        <v>14154</v>
      </c>
      <c r="D881" t="s">
        <v>14140</v>
      </c>
      <c r="E881" t="s">
        <v>14141</v>
      </c>
    </row>
    <row r="882" spans="1:5">
      <c r="A882" t="s">
        <v>15466</v>
      </c>
      <c r="B882" t="s">
        <v>15467</v>
      </c>
      <c r="C882" t="s">
        <v>14081</v>
      </c>
      <c r="D882" t="s">
        <v>14081</v>
      </c>
      <c r="E882" t="s">
        <v>14082</v>
      </c>
    </row>
    <row r="883" spans="1:5">
      <c r="A883" t="s">
        <v>3421</v>
      </c>
      <c r="B883" t="s">
        <v>15468</v>
      </c>
      <c r="C883" t="s">
        <v>14017</v>
      </c>
      <c r="D883" t="s">
        <v>14018</v>
      </c>
      <c r="E883" t="s">
        <v>14019</v>
      </c>
    </row>
    <row r="884" spans="1:5">
      <c r="A884" t="s">
        <v>2756</v>
      </c>
      <c r="B884" t="s">
        <v>15469</v>
      </c>
      <c r="C884" t="s">
        <v>14061</v>
      </c>
      <c r="D884" t="s">
        <v>13913</v>
      </c>
      <c r="E884" t="s">
        <v>13914</v>
      </c>
    </row>
    <row r="885" spans="1:5">
      <c r="A885" t="s">
        <v>15470</v>
      </c>
      <c r="B885" t="s">
        <v>15471</v>
      </c>
      <c r="C885" t="s">
        <v>14445</v>
      </c>
      <c r="D885" t="s">
        <v>14446</v>
      </c>
      <c r="E885" t="s">
        <v>14447</v>
      </c>
    </row>
    <row r="886" spans="1:5">
      <c r="A886" t="s">
        <v>2065</v>
      </c>
      <c r="B886" t="s">
        <v>15472</v>
      </c>
      <c r="C886" t="s">
        <v>14397</v>
      </c>
      <c r="D886" t="s">
        <v>14397</v>
      </c>
      <c r="E886" t="s">
        <v>14398</v>
      </c>
    </row>
    <row r="887" spans="1:5">
      <c r="A887" t="s">
        <v>3274</v>
      </c>
      <c r="B887" t="s">
        <v>15473</v>
      </c>
      <c r="C887" t="s">
        <v>14600</v>
      </c>
      <c r="D887" t="s">
        <v>14601</v>
      </c>
      <c r="E887" t="s">
        <v>14602</v>
      </c>
    </row>
    <row r="888" spans="1:5">
      <c r="A888" t="s">
        <v>1595</v>
      </c>
      <c r="B888" t="s">
        <v>15474</v>
      </c>
      <c r="C888" t="s">
        <v>14833</v>
      </c>
      <c r="D888" t="s">
        <v>14834</v>
      </c>
      <c r="E888" t="s">
        <v>14835</v>
      </c>
    </row>
    <row r="889" spans="1:5">
      <c r="A889" t="s">
        <v>2055</v>
      </c>
      <c r="B889" t="s">
        <v>15475</v>
      </c>
      <c r="C889" t="s">
        <v>14620</v>
      </c>
      <c r="D889" t="s">
        <v>14620</v>
      </c>
      <c r="E889" t="s">
        <v>14621</v>
      </c>
    </row>
    <row r="890" spans="1:5">
      <c r="A890" t="s">
        <v>3493</v>
      </c>
      <c r="B890" t="s">
        <v>15476</v>
      </c>
      <c r="C890" t="s">
        <v>13880</v>
      </c>
      <c r="D890" t="s">
        <v>13881</v>
      </c>
      <c r="E890" t="s">
        <v>13882</v>
      </c>
    </row>
    <row r="891" spans="1:5">
      <c r="A891" t="s">
        <v>2970</v>
      </c>
      <c r="B891" t="s">
        <v>15477</v>
      </c>
      <c r="C891" t="s">
        <v>14048</v>
      </c>
      <c r="D891" t="s">
        <v>14049</v>
      </c>
      <c r="E891" t="s">
        <v>14050</v>
      </c>
    </row>
    <row r="892" spans="1:5">
      <c r="A892" t="s">
        <v>15478</v>
      </c>
      <c r="B892" t="s">
        <v>15479</v>
      </c>
      <c r="C892" t="s">
        <v>15480</v>
      </c>
      <c r="D892" t="s">
        <v>14018</v>
      </c>
      <c r="E892" t="s">
        <v>14019</v>
      </c>
    </row>
    <row r="893" spans="1:5">
      <c r="A893" t="s">
        <v>15481</v>
      </c>
      <c r="B893" t="s">
        <v>15482</v>
      </c>
      <c r="C893" t="s">
        <v>15483</v>
      </c>
      <c r="D893" t="s">
        <v>14133</v>
      </c>
      <c r="E893" t="s">
        <v>14134</v>
      </c>
    </row>
    <row r="894" spans="1:5">
      <c r="A894" t="s">
        <v>3354</v>
      </c>
      <c r="B894" t="s">
        <v>15484</v>
      </c>
      <c r="C894" t="s">
        <v>13935</v>
      </c>
      <c r="D894" t="s">
        <v>13935</v>
      </c>
      <c r="E894" t="s">
        <v>13936</v>
      </c>
    </row>
    <row r="895" spans="1:5">
      <c r="A895" t="s">
        <v>1975</v>
      </c>
      <c r="B895" t="s">
        <v>15485</v>
      </c>
      <c r="C895" t="s">
        <v>15486</v>
      </c>
      <c r="D895" t="s">
        <v>14535</v>
      </c>
      <c r="E895" t="s">
        <v>14536</v>
      </c>
    </row>
    <row r="896" spans="1:5">
      <c r="A896" t="s">
        <v>1967</v>
      </c>
      <c r="B896" t="s">
        <v>15487</v>
      </c>
      <c r="C896" t="s">
        <v>15289</v>
      </c>
      <c r="D896" t="s">
        <v>14535</v>
      </c>
      <c r="E896" t="s">
        <v>14536</v>
      </c>
    </row>
    <row r="897" spans="1:5">
      <c r="A897" t="s">
        <v>297</v>
      </c>
      <c r="B897" t="s">
        <v>15488</v>
      </c>
      <c r="C897" t="s">
        <v>13916</v>
      </c>
      <c r="D897" t="s">
        <v>13901</v>
      </c>
      <c r="E897" t="s">
        <v>13902</v>
      </c>
    </row>
    <row r="898" spans="1:5">
      <c r="A898" t="s">
        <v>1670</v>
      </c>
      <c r="B898" t="s">
        <v>15489</v>
      </c>
      <c r="C898" t="s">
        <v>14394</v>
      </c>
      <c r="D898" t="s">
        <v>13964</v>
      </c>
      <c r="E898" t="s">
        <v>13965</v>
      </c>
    </row>
    <row r="899" spans="1:5">
      <c r="A899" t="s">
        <v>2482</v>
      </c>
      <c r="B899" t="s">
        <v>15490</v>
      </c>
      <c r="C899" t="s">
        <v>15318</v>
      </c>
      <c r="D899" t="s">
        <v>14381</v>
      </c>
      <c r="E899" t="s">
        <v>14382</v>
      </c>
    </row>
    <row r="900" spans="1:5">
      <c r="A900" t="s">
        <v>15491</v>
      </c>
      <c r="B900" t="s">
        <v>15492</v>
      </c>
      <c r="C900" t="s">
        <v>15318</v>
      </c>
      <c r="D900" t="s">
        <v>14381</v>
      </c>
      <c r="E900" t="s">
        <v>14382</v>
      </c>
    </row>
    <row r="901" spans="1:5">
      <c r="A901" t="s">
        <v>3163</v>
      </c>
      <c r="B901" t="s">
        <v>15493</v>
      </c>
      <c r="C901" t="s">
        <v>14425</v>
      </c>
      <c r="D901" t="s">
        <v>13923</v>
      </c>
      <c r="E901" t="s">
        <v>13924</v>
      </c>
    </row>
    <row r="902" spans="1:5">
      <c r="A902" t="s">
        <v>15494</v>
      </c>
      <c r="B902" t="s">
        <v>15495</v>
      </c>
      <c r="C902" t="s">
        <v>14147</v>
      </c>
      <c r="D902" t="s">
        <v>13881</v>
      </c>
      <c r="E902" t="s">
        <v>13882</v>
      </c>
    </row>
    <row r="903" spans="1:5">
      <c r="A903" t="s">
        <v>15496</v>
      </c>
      <c r="B903" t="s">
        <v>15497</v>
      </c>
      <c r="C903" t="s">
        <v>13916</v>
      </c>
      <c r="D903" t="s">
        <v>13901</v>
      </c>
      <c r="E903" t="s">
        <v>13902</v>
      </c>
    </row>
    <row r="904" spans="1:5">
      <c r="A904" t="s">
        <v>15498</v>
      </c>
      <c r="B904" t="s">
        <v>15499</v>
      </c>
      <c r="C904" t="s">
        <v>15500</v>
      </c>
      <c r="D904" t="s">
        <v>13901</v>
      </c>
      <c r="E904" t="s">
        <v>13902</v>
      </c>
    </row>
    <row r="905" spans="1:5">
      <c r="A905" t="s">
        <v>15501</v>
      </c>
      <c r="B905" t="s">
        <v>15502</v>
      </c>
      <c r="C905" t="s">
        <v>14551</v>
      </c>
      <c r="D905" t="s">
        <v>14165</v>
      </c>
      <c r="E905" t="s">
        <v>14166</v>
      </c>
    </row>
    <row r="906" spans="1:5">
      <c r="A906" t="s">
        <v>15503</v>
      </c>
      <c r="B906" t="s">
        <v>15504</v>
      </c>
      <c r="C906" t="s">
        <v>14551</v>
      </c>
      <c r="D906" t="s">
        <v>14165</v>
      </c>
      <c r="E906" t="s">
        <v>14166</v>
      </c>
    </row>
    <row r="907" spans="1:5">
      <c r="A907" t="s">
        <v>15505</v>
      </c>
      <c r="B907" t="s">
        <v>15506</v>
      </c>
      <c r="C907" t="s">
        <v>14031</v>
      </c>
      <c r="D907" t="s">
        <v>13872</v>
      </c>
      <c r="E907" t="s">
        <v>13873</v>
      </c>
    </row>
    <row r="908" spans="1:5">
      <c r="A908" t="s">
        <v>15507</v>
      </c>
      <c r="B908" t="s">
        <v>15508</v>
      </c>
      <c r="C908" t="s">
        <v>14554</v>
      </c>
      <c r="D908" t="s">
        <v>13901</v>
      </c>
      <c r="E908" t="s">
        <v>13902</v>
      </c>
    </row>
    <row r="909" spans="1:5">
      <c r="A909" t="s">
        <v>15509</v>
      </c>
      <c r="B909" t="s">
        <v>15510</v>
      </c>
      <c r="C909" t="s">
        <v>14481</v>
      </c>
      <c r="D909" t="s">
        <v>14482</v>
      </c>
      <c r="E909" t="s">
        <v>14483</v>
      </c>
    </row>
    <row r="910" spans="1:5">
      <c r="A910" t="s">
        <v>15511</v>
      </c>
      <c r="B910" t="s">
        <v>15512</v>
      </c>
      <c r="C910" t="s">
        <v>14481</v>
      </c>
      <c r="D910" t="s">
        <v>14482</v>
      </c>
      <c r="E910" t="s">
        <v>14483</v>
      </c>
    </row>
    <row r="911" spans="1:5">
      <c r="A911" t="s">
        <v>15513</v>
      </c>
      <c r="B911" t="s">
        <v>15514</v>
      </c>
      <c r="C911" t="s">
        <v>13905</v>
      </c>
      <c r="D911" t="s">
        <v>13901</v>
      </c>
      <c r="E911" t="s">
        <v>13902</v>
      </c>
    </row>
    <row r="912" spans="1:5">
      <c r="A912" t="s">
        <v>15515</v>
      </c>
      <c r="B912" t="s">
        <v>15516</v>
      </c>
      <c r="C912" t="s">
        <v>14323</v>
      </c>
      <c r="D912" t="s">
        <v>13901</v>
      </c>
      <c r="E912" t="s">
        <v>13902</v>
      </c>
    </row>
    <row r="913" spans="1:5">
      <c r="A913" t="s">
        <v>15517</v>
      </c>
      <c r="B913" t="s">
        <v>15518</v>
      </c>
      <c r="C913" t="s">
        <v>14323</v>
      </c>
      <c r="D913" t="s">
        <v>13901</v>
      </c>
      <c r="E913" t="s">
        <v>13902</v>
      </c>
    </row>
    <row r="914" spans="1:5">
      <c r="A914" t="s">
        <v>15519</v>
      </c>
      <c r="B914" t="s">
        <v>15520</v>
      </c>
      <c r="C914" t="s">
        <v>13916</v>
      </c>
      <c r="D914" t="s">
        <v>13901</v>
      </c>
      <c r="E914" t="s">
        <v>13902</v>
      </c>
    </row>
    <row r="915" spans="1:5">
      <c r="A915" t="s">
        <v>15521</v>
      </c>
      <c r="B915" t="s">
        <v>15522</v>
      </c>
      <c r="C915" t="s">
        <v>14147</v>
      </c>
      <c r="D915" t="s">
        <v>13881</v>
      </c>
      <c r="E915" t="s">
        <v>13882</v>
      </c>
    </row>
    <row r="916" spans="1:5">
      <c r="A916" t="s">
        <v>536</v>
      </c>
      <c r="B916" t="s">
        <v>15523</v>
      </c>
      <c r="C916" t="s">
        <v>13905</v>
      </c>
      <c r="D916" t="s">
        <v>13901</v>
      </c>
      <c r="E916" t="s">
        <v>13902</v>
      </c>
    </row>
    <row r="917" spans="1:5">
      <c r="A917" t="s">
        <v>15524</v>
      </c>
      <c r="B917" t="s">
        <v>15525</v>
      </c>
      <c r="C917" t="s">
        <v>13875</v>
      </c>
      <c r="D917" t="s">
        <v>13876</v>
      </c>
      <c r="E917" t="s">
        <v>13877</v>
      </c>
    </row>
    <row r="918" spans="1:5">
      <c r="A918" t="s">
        <v>69</v>
      </c>
      <c r="B918" t="s">
        <v>15526</v>
      </c>
      <c r="C918" t="s">
        <v>13905</v>
      </c>
      <c r="D918" t="s">
        <v>13901</v>
      </c>
      <c r="E918" t="s">
        <v>13902</v>
      </c>
    </row>
    <row r="919" spans="1:5">
      <c r="A919" t="s">
        <v>15527</v>
      </c>
      <c r="B919" t="s">
        <v>15528</v>
      </c>
      <c r="C919" t="s">
        <v>14275</v>
      </c>
      <c r="D919" t="s">
        <v>13881</v>
      </c>
      <c r="E919" t="s">
        <v>13882</v>
      </c>
    </row>
    <row r="920" spans="1:5">
      <c r="A920" t="s">
        <v>15529</v>
      </c>
      <c r="B920" t="s">
        <v>15530</v>
      </c>
      <c r="C920" t="s">
        <v>15531</v>
      </c>
      <c r="D920" t="s">
        <v>14482</v>
      </c>
      <c r="E920" t="s">
        <v>14483</v>
      </c>
    </row>
    <row r="921" spans="1:5">
      <c r="A921" t="s">
        <v>15532</v>
      </c>
      <c r="B921" t="s">
        <v>15533</v>
      </c>
      <c r="C921" t="s">
        <v>14342</v>
      </c>
      <c r="D921" t="s">
        <v>14195</v>
      </c>
      <c r="E921" t="s">
        <v>14196</v>
      </c>
    </row>
    <row r="922" spans="1:5">
      <c r="A922" t="s">
        <v>15534</v>
      </c>
      <c r="B922" t="s">
        <v>15535</v>
      </c>
      <c r="C922" t="s">
        <v>14222</v>
      </c>
      <c r="D922" t="s">
        <v>13901</v>
      </c>
      <c r="E922" t="s">
        <v>13902</v>
      </c>
    </row>
    <row r="923" spans="1:5">
      <c r="A923" t="s">
        <v>2519</v>
      </c>
      <c r="B923" t="s">
        <v>15536</v>
      </c>
      <c r="C923" t="s">
        <v>15537</v>
      </c>
      <c r="D923" t="s">
        <v>14133</v>
      </c>
      <c r="E923" t="s">
        <v>14134</v>
      </c>
    </row>
    <row r="924" spans="1:5">
      <c r="A924" t="s">
        <v>1941</v>
      </c>
      <c r="B924" t="s">
        <v>15538</v>
      </c>
      <c r="C924" t="s">
        <v>14732</v>
      </c>
      <c r="D924" t="s">
        <v>14611</v>
      </c>
      <c r="E924" t="s">
        <v>14612</v>
      </c>
    </row>
    <row r="925" spans="1:5">
      <c r="A925" t="s">
        <v>15539</v>
      </c>
      <c r="B925" t="s">
        <v>15540</v>
      </c>
      <c r="C925" t="s">
        <v>13943</v>
      </c>
      <c r="D925" t="s">
        <v>13901</v>
      </c>
      <c r="E925" t="s">
        <v>13902</v>
      </c>
    </row>
    <row r="926" spans="1:5">
      <c r="A926" t="s">
        <v>1016</v>
      </c>
      <c r="B926" t="s">
        <v>15541</v>
      </c>
      <c r="C926" t="s">
        <v>13951</v>
      </c>
      <c r="D926" t="s">
        <v>13927</v>
      </c>
      <c r="E926" t="s">
        <v>13928</v>
      </c>
    </row>
    <row r="927" spans="1:5">
      <c r="A927" t="s">
        <v>15542</v>
      </c>
      <c r="B927" t="s">
        <v>15543</v>
      </c>
      <c r="C927" t="s">
        <v>15255</v>
      </c>
      <c r="D927" t="s">
        <v>14397</v>
      </c>
      <c r="E927" t="s">
        <v>14398</v>
      </c>
    </row>
    <row r="928" spans="1:5">
      <c r="A928" t="s">
        <v>15544</v>
      </c>
      <c r="B928" t="s">
        <v>15545</v>
      </c>
      <c r="C928" t="s">
        <v>13943</v>
      </c>
      <c r="D928" t="s">
        <v>13901</v>
      </c>
      <c r="E928" t="s">
        <v>13902</v>
      </c>
    </row>
    <row r="929" spans="1:5">
      <c r="A929" t="s">
        <v>15546</v>
      </c>
      <c r="B929" t="s">
        <v>15547</v>
      </c>
      <c r="C929" t="s">
        <v>13943</v>
      </c>
      <c r="D929" t="s">
        <v>13901</v>
      </c>
      <c r="E929" t="s">
        <v>13902</v>
      </c>
    </row>
    <row r="930" spans="1:5">
      <c r="A930" t="s">
        <v>15548</v>
      </c>
      <c r="B930" t="s">
        <v>15549</v>
      </c>
      <c r="C930" t="s">
        <v>13943</v>
      </c>
      <c r="D930" t="s">
        <v>13901</v>
      </c>
      <c r="E930" t="s">
        <v>13902</v>
      </c>
    </row>
    <row r="931" spans="1:5">
      <c r="A931" t="s">
        <v>15550</v>
      </c>
      <c r="B931" t="s">
        <v>15551</v>
      </c>
      <c r="C931" t="s">
        <v>14044</v>
      </c>
      <c r="D931" t="s">
        <v>13881</v>
      </c>
      <c r="E931" t="s">
        <v>13882</v>
      </c>
    </row>
    <row r="932" spans="1:5">
      <c r="A932" t="s">
        <v>15552</v>
      </c>
      <c r="B932" t="s">
        <v>15553</v>
      </c>
      <c r="C932" t="s">
        <v>14110</v>
      </c>
      <c r="D932" t="s">
        <v>13876</v>
      </c>
      <c r="E932" t="s">
        <v>13877</v>
      </c>
    </row>
    <row r="933" spans="1:5">
      <c r="A933" t="s">
        <v>15554</v>
      </c>
      <c r="B933" t="s">
        <v>15555</v>
      </c>
      <c r="C933" t="s">
        <v>15556</v>
      </c>
      <c r="D933" t="s">
        <v>13913</v>
      </c>
      <c r="E933" t="s">
        <v>13914</v>
      </c>
    </row>
    <row r="934" spans="1:5">
      <c r="A934" t="s">
        <v>3083</v>
      </c>
      <c r="B934" t="s">
        <v>15557</v>
      </c>
      <c r="C934" t="s">
        <v>14601</v>
      </c>
      <c r="D934" t="s">
        <v>14601</v>
      </c>
      <c r="E934" t="s">
        <v>14602</v>
      </c>
    </row>
    <row r="935" spans="1:5">
      <c r="A935" t="s">
        <v>15558</v>
      </c>
      <c r="B935" t="s">
        <v>15559</v>
      </c>
      <c r="C935" t="s">
        <v>15560</v>
      </c>
      <c r="D935" t="s">
        <v>13913</v>
      </c>
      <c r="E935" t="s">
        <v>13914</v>
      </c>
    </row>
    <row r="936" spans="1:5">
      <c r="A936" t="s">
        <v>15561</v>
      </c>
      <c r="B936" t="s">
        <v>15562</v>
      </c>
      <c r="C936" t="s">
        <v>14977</v>
      </c>
      <c r="D936" t="s">
        <v>14968</v>
      </c>
      <c r="E936" t="s">
        <v>14969</v>
      </c>
    </row>
    <row r="937" spans="1:5">
      <c r="A937" t="s">
        <v>15563</v>
      </c>
      <c r="B937" t="s">
        <v>15564</v>
      </c>
      <c r="C937" t="s">
        <v>14183</v>
      </c>
      <c r="D937" t="s">
        <v>13916</v>
      </c>
      <c r="E937" t="s">
        <v>14184</v>
      </c>
    </row>
    <row r="938" spans="1:5">
      <c r="A938" t="s">
        <v>15565</v>
      </c>
      <c r="B938" t="s">
        <v>15566</v>
      </c>
      <c r="C938" t="s">
        <v>14501</v>
      </c>
      <c r="D938" t="s">
        <v>13872</v>
      </c>
      <c r="E938" t="s">
        <v>13873</v>
      </c>
    </row>
    <row r="939" spans="1:5">
      <c r="A939" t="s">
        <v>15567</v>
      </c>
      <c r="B939" t="s">
        <v>15568</v>
      </c>
      <c r="C939" t="s">
        <v>13922</v>
      </c>
      <c r="D939" t="s">
        <v>13923</v>
      </c>
      <c r="E939" t="s">
        <v>13924</v>
      </c>
    </row>
    <row r="940" spans="1:5">
      <c r="A940" t="s">
        <v>15569</v>
      </c>
      <c r="B940" t="s">
        <v>15570</v>
      </c>
      <c r="C940" t="s">
        <v>14039</v>
      </c>
      <c r="D940" t="s">
        <v>14040</v>
      </c>
      <c r="E940" t="s">
        <v>14041</v>
      </c>
    </row>
    <row r="941" spans="1:5">
      <c r="A941" t="s">
        <v>15571</v>
      </c>
      <c r="B941" t="s">
        <v>15572</v>
      </c>
      <c r="C941" t="s">
        <v>14034</v>
      </c>
      <c r="D941" t="s">
        <v>13901</v>
      </c>
      <c r="E941" t="s">
        <v>13902</v>
      </c>
    </row>
    <row r="942" spans="1:5">
      <c r="A942" t="s">
        <v>6589</v>
      </c>
      <c r="B942" t="s">
        <v>15573</v>
      </c>
      <c r="C942" t="s">
        <v>13922</v>
      </c>
      <c r="D942" t="s">
        <v>13923</v>
      </c>
      <c r="E942" t="s">
        <v>13924</v>
      </c>
    </row>
    <row r="943" spans="1:5">
      <c r="A943" t="s">
        <v>1327</v>
      </c>
      <c r="B943" t="s">
        <v>15574</v>
      </c>
      <c r="C943" t="s">
        <v>15575</v>
      </c>
      <c r="D943" t="s">
        <v>13927</v>
      </c>
      <c r="E943" t="s">
        <v>13928</v>
      </c>
    </row>
    <row r="944" spans="1:5">
      <c r="A944" t="s">
        <v>15576</v>
      </c>
      <c r="B944" t="s">
        <v>15577</v>
      </c>
      <c r="C944" t="s">
        <v>14188</v>
      </c>
      <c r="D944" t="s">
        <v>13927</v>
      </c>
      <c r="E944" t="s">
        <v>13928</v>
      </c>
    </row>
    <row r="945" spans="1:5">
      <c r="A945" t="s">
        <v>15578</v>
      </c>
      <c r="B945" t="s">
        <v>15579</v>
      </c>
      <c r="C945" t="s">
        <v>14169</v>
      </c>
      <c r="D945" t="s">
        <v>13968</v>
      </c>
      <c r="E945" t="s">
        <v>13969</v>
      </c>
    </row>
    <row r="946" spans="1:5">
      <c r="A946" t="s">
        <v>15580</v>
      </c>
      <c r="B946" t="s">
        <v>15581</v>
      </c>
      <c r="C946" t="s">
        <v>13909</v>
      </c>
      <c r="D946" t="s">
        <v>13901</v>
      </c>
      <c r="E946" t="s">
        <v>13902</v>
      </c>
    </row>
    <row r="947" spans="1:5">
      <c r="A947" t="s">
        <v>15582</v>
      </c>
      <c r="B947" t="s">
        <v>15583</v>
      </c>
      <c r="C947" t="s">
        <v>13909</v>
      </c>
      <c r="D947" t="s">
        <v>13901</v>
      </c>
      <c r="E947" t="s">
        <v>13902</v>
      </c>
    </row>
    <row r="948" spans="1:5">
      <c r="A948" t="s">
        <v>15584</v>
      </c>
      <c r="B948" t="s">
        <v>15585</v>
      </c>
      <c r="C948" t="s">
        <v>13909</v>
      </c>
      <c r="D948" t="s">
        <v>13901</v>
      </c>
      <c r="E948" t="s">
        <v>13902</v>
      </c>
    </row>
    <row r="949" spans="1:5">
      <c r="A949" t="s">
        <v>15586</v>
      </c>
      <c r="B949" t="s">
        <v>15587</v>
      </c>
      <c r="C949" t="s">
        <v>13909</v>
      </c>
      <c r="D949" t="s">
        <v>13901</v>
      </c>
      <c r="E949" t="s">
        <v>13902</v>
      </c>
    </row>
    <row r="950" spans="1:5">
      <c r="A950" t="s">
        <v>3127</v>
      </c>
      <c r="B950" t="s">
        <v>15588</v>
      </c>
      <c r="C950" t="s">
        <v>13967</v>
      </c>
      <c r="D950" t="s">
        <v>13968</v>
      </c>
      <c r="E950" t="s">
        <v>13969</v>
      </c>
    </row>
    <row r="951" spans="1:5">
      <c r="A951" t="s">
        <v>15589</v>
      </c>
      <c r="B951" t="s">
        <v>15590</v>
      </c>
      <c r="C951" t="s">
        <v>14989</v>
      </c>
      <c r="D951" t="s">
        <v>14089</v>
      </c>
      <c r="E951" t="s">
        <v>14090</v>
      </c>
    </row>
    <row r="952" spans="1:5">
      <c r="A952" t="s">
        <v>2051</v>
      </c>
      <c r="B952" t="s">
        <v>15591</v>
      </c>
      <c r="C952" t="s">
        <v>13871</v>
      </c>
      <c r="D952" t="s">
        <v>13872</v>
      </c>
      <c r="E952" t="s">
        <v>13873</v>
      </c>
    </row>
    <row r="953" spans="1:5">
      <c r="A953" t="s">
        <v>6606</v>
      </c>
      <c r="B953" t="s">
        <v>15592</v>
      </c>
      <c r="C953" t="s">
        <v>13871</v>
      </c>
      <c r="D953" t="s">
        <v>13872</v>
      </c>
      <c r="E953" t="s">
        <v>13873</v>
      </c>
    </row>
    <row r="954" spans="1:5">
      <c r="A954" t="s">
        <v>15593</v>
      </c>
      <c r="B954" t="s">
        <v>15594</v>
      </c>
      <c r="C954" t="s">
        <v>13993</v>
      </c>
      <c r="D954" t="s">
        <v>13994</v>
      </c>
      <c r="E954" t="s">
        <v>13995</v>
      </c>
    </row>
    <row r="955" spans="1:5">
      <c r="A955" t="s">
        <v>1735</v>
      </c>
      <c r="B955" t="s">
        <v>15595</v>
      </c>
      <c r="C955" t="s">
        <v>14991</v>
      </c>
      <c r="D955" t="s">
        <v>14429</v>
      </c>
      <c r="E955" t="s">
        <v>14430</v>
      </c>
    </row>
    <row r="956" spans="1:5">
      <c r="A956" t="s">
        <v>1969</v>
      </c>
      <c r="B956" t="s">
        <v>15596</v>
      </c>
      <c r="C956" t="s">
        <v>14100</v>
      </c>
      <c r="D956" t="s">
        <v>13989</v>
      </c>
      <c r="E956" t="s">
        <v>13990</v>
      </c>
    </row>
    <row r="957" spans="1:5">
      <c r="A957" t="s">
        <v>15597</v>
      </c>
      <c r="B957" t="s">
        <v>15598</v>
      </c>
      <c r="C957" t="s">
        <v>14021</v>
      </c>
      <c r="D957" t="s">
        <v>14021</v>
      </c>
      <c r="E957" t="s">
        <v>14022</v>
      </c>
    </row>
    <row r="958" spans="1:5">
      <c r="A958" t="s">
        <v>15599</v>
      </c>
      <c r="B958" t="s">
        <v>15600</v>
      </c>
      <c r="C958" t="s">
        <v>14021</v>
      </c>
      <c r="D958" t="s">
        <v>14021</v>
      </c>
      <c r="E958" t="s">
        <v>14022</v>
      </c>
    </row>
    <row r="959" spans="1:5">
      <c r="A959" t="s">
        <v>3432</v>
      </c>
      <c r="B959" t="s">
        <v>15601</v>
      </c>
      <c r="C959" t="s">
        <v>14458</v>
      </c>
      <c r="D959" t="s">
        <v>14459</v>
      </c>
      <c r="E959" t="s">
        <v>14460</v>
      </c>
    </row>
    <row r="960" spans="1:5">
      <c r="A960" t="s">
        <v>15602</v>
      </c>
      <c r="B960" t="s">
        <v>15603</v>
      </c>
      <c r="C960" t="s">
        <v>13896</v>
      </c>
      <c r="D960" t="s">
        <v>13897</v>
      </c>
      <c r="E960" t="s">
        <v>13898</v>
      </c>
    </row>
    <row r="961" spans="1:5">
      <c r="A961" t="s">
        <v>15604</v>
      </c>
      <c r="B961" t="s">
        <v>15605</v>
      </c>
      <c r="C961" t="s">
        <v>13932</v>
      </c>
      <c r="D961" t="s">
        <v>13932</v>
      </c>
      <c r="E961" t="s">
        <v>13933</v>
      </c>
    </row>
    <row r="962" spans="1:5">
      <c r="A962" t="s">
        <v>1757</v>
      </c>
      <c r="B962" t="s">
        <v>15606</v>
      </c>
      <c r="C962" t="s">
        <v>14519</v>
      </c>
      <c r="D962" t="s">
        <v>14482</v>
      </c>
      <c r="E962" t="s">
        <v>14483</v>
      </c>
    </row>
    <row r="963" spans="1:5">
      <c r="A963" t="s">
        <v>1228</v>
      </c>
      <c r="B963" t="s">
        <v>15607</v>
      </c>
      <c r="C963" t="s">
        <v>14012</v>
      </c>
      <c r="D963" t="s">
        <v>13927</v>
      </c>
      <c r="E963" t="s">
        <v>13928</v>
      </c>
    </row>
    <row r="964" spans="1:5">
      <c r="A964" t="s">
        <v>1204</v>
      </c>
      <c r="B964" t="s">
        <v>15608</v>
      </c>
      <c r="C964" t="s">
        <v>14012</v>
      </c>
      <c r="D964" t="s">
        <v>13927</v>
      </c>
      <c r="E964" t="s">
        <v>13928</v>
      </c>
    </row>
    <row r="965" spans="1:5">
      <c r="A965" t="s">
        <v>1309</v>
      </c>
      <c r="B965" t="s">
        <v>15609</v>
      </c>
      <c r="C965" t="s">
        <v>14012</v>
      </c>
      <c r="D965" t="s">
        <v>13927</v>
      </c>
      <c r="E965" t="s">
        <v>13928</v>
      </c>
    </row>
    <row r="966" spans="1:5">
      <c r="A966" t="s">
        <v>1397</v>
      </c>
      <c r="B966" t="s">
        <v>15610</v>
      </c>
      <c r="C966" t="s">
        <v>14012</v>
      </c>
      <c r="D966" t="s">
        <v>13927</v>
      </c>
      <c r="E966" t="s">
        <v>13928</v>
      </c>
    </row>
    <row r="967" spans="1:5">
      <c r="A967" t="s">
        <v>1048</v>
      </c>
      <c r="B967" t="s">
        <v>15611</v>
      </c>
      <c r="C967" t="s">
        <v>14012</v>
      </c>
      <c r="D967" t="s">
        <v>13927</v>
      </c>
      <c r="E967" t="s">
        <v>13928</v>
      </c>
    </row>
    <row r="968" spans="1:5">
      <c r="A968" t="s">
        <v>15612</v>
      </c>
      <c r="B968" t="s">
        <v>15613</v>
      </c>
      <c r="C968" t="s">
        <v>14012</v>
      </c>
      <c r="D968" t="s">
        <v>13927</v>
      </c>
      <c r="E968" t="s">
        <v>13928</v>
      </c>
    </row>
    <row r="969" spans="1:5">
      <c r="A969" t="s">
        <v>15614</v>
      </c>
      <c r="B969" t="s">
        <v>15615</v>
      </c>
      <c r="C969" t="s">
        <v>15616</v>
      </c>
      <c r="D969" t="s">
        <v>14611</v>
      </c>
      <c r="E969" t="s">
        <v>14612</v>
      </c>
    </row>
    <row r="970" spans="1:5">
      <c r="A970" t="s">
        <v>15617</v>
      </c>
      <c r="B970" t="s">
        <v>15618</v>
      </c>
      <c r="C970" t="s">
        <v>14012</v>
      </c>
      <c r="D970" t="s">
        <v>13927</v>
      </c>
      <c r="E970" t="s">
        <v>13928</v>
      </c>
    </row>
    <row r="971" spans="1:5">
      <c r="A971" t="s">
        <v>1952</v>
      </c>
      <c r="B971" t="s">
        <v>15619</v>
      </c>
      <c r="C971" t="s">
        <v>15383</v>
      </c>
      <c r="D971" t="s">
        <v>14259</v>
      </c>
      <c r="E971" t="s">
        <v>14260</v>
      </c>
    </row>
    <row r="972" spans="1:5">
      <c r="A972" t="s">
        <v>1511</v>
      </c>
      <c r="B972" t="s">
        <v>15620</v>
      </c>
      <c r="C972" t="s">
        <v>14242</v>
      </c>
      <c r="D972" t="s">
        <v>14243</v>
      </c>
      <c r="E972" t="s">
        <v>14244</v>
      </c>
    </row>
    <row r="973" spans="1:5">
      <c r="A973" t="s">
        <v>15621</v>
      </c>
      <c r="B973" t="s">
        <v>15622</v>
      </c>
      <c r="C973" t="s">
        <v>14194</v>
      </c>
      <c r="D973" t="s">
        <v>14195</v>
      </c>
      <c r="E973" t="s">
        <v>14196</v>
      </c>
    </row>
    <row r="974" spans="1:5">
      <c r="A974" t="s">
        <v>2167</v>
      </c>
      <c r="B974" t="s">
        <v>15623</v>
      </c>
      <c r="C974" t="s">
        <v>14501</v>
      </c>
      <c r="D974" t="s">
        <v>13872</v>
      </c>
      <c r="E974" t="s">
        <v>13873</v>
      </c>
    </row>
    <row r="975" spans="1:5">
      <c r="A975" t="s">
        <v>15624</v>
      </c>
      <c r="B975" t="s">
        <v>15625</v>
      </c>
      <c r="C975" t="s">
        <v>15626</v>
      </c>
      <c r="D975" t="s">
        <v>13913</v>
      </c>
      <c r="E975" t="s">
        <v>13914</v>
      </c>
    </row>
    <row r="976" spans="1:5">
      <c r="A976" t="s">
        <v>15627</v>
      </c>
      <c r="B976" t="s">
        <v>15628</v>
      </c>
      <c r="C976" t="s">
        <v>14519</v>
      </c>
      <c r="D976" t="s">
        <v>14482</v>
      </c>
      <c r="E976" t="s">
        <v>14483</v>
      </c>
    </row>
    <row r="977" spans="1:5">
      <c r="A977" t="s">
        <v>15629</v>
      </c>
      <c r="B977" t="s">
        <v>15630</v>
      </c>
      <c r="C977" t="s">
        <v>14554</v>
      </c>
      <c r="D977" t="s">
        <v>13901</v>
      </c>
      <c r="E977" t="s">
        <v>13902</v>
      </c>
    </row>
    <row r="978" spans="1:5">
      <c r="A978" t="s">
        <v>15631</v>
      </c>
      <c r="B978" t="s">
        <v>15632</v>
      </c>
      <c r="C978" t="s">
        <v>14031</v>
      </c>
      <c r="D978" t="s">
        <v>13872</v>
      </c>
      <c r="E978" t="s">
        <v>13873</v>
      </c>
    </row>
    <row r="979" spans="1:5">
      <c r="A979" t="s">
        <v>1085</v>
      </c>
      <c r="B979" t="s">
        <v>15633</v>
      </c>
      <c r="C979" t="s">
        <v>14767</v>
      </c>
      <c r="D979" t="s">
        <v>14768</v>
      </c>
      <c r="E979" t="s">
        <v>14769</v>
      </c>
    </row>
    <row r="980" spans="1:5">
      <c r="A980" t="s">
        <v>15634</v>
      </c>
      <c r="B980" t="s">
        <v>15635</v>
      </c>
      <c r="C980" t="s">
        <v>14767</v>
      </c>
      <c r="D980" t="s">
        <v>14768</v>
      </c>
      <c r="E980" t="s">
        <v>14769</v>
      </c>
    </row>
    <row r="981" spans="1:5">
      <c r="A981" t="s">
        <v>3140</v>
      </c>
      <c r="B981" t="s">
        <v>15636</v>
      </c>
      <c r="C981" t="s">
        <v>13922</v>
      </c>
      <c r="D981" t="s">
        <v>13923</v>
      </c>
      <c r="E981" t="s">
        <v>13924</v>
      </c>
    </row>
    <row r="982" spans="1:5">
      <c r="A982" t="s">
        <v>15637</v>
      </c>
      <c r="B982" t="s">
        <v>15638</v>
      </c>
      <c r="C982" t="s">
        <v>15639</v>
      </c>
      <c r="D982" t="s">
        <v>13939</v>
      </c>
      <c r="E982" t="s">
        <v>13940</v>
      </c>
    </row>
    <row r="983" spans="1:5">
      <c r="A983" t="s">
        <v>505</v>
      </c>
      <c r="B983" t="s">
        <v>15640</v>
      </c>
      <c r="C983" t="s">
        <v>13916</v>
      </c>
      <c r="D983" t="s">
        <v>13901</v>
      </c>
      <c r="E983" t="s">
        <v>13902</v>
      </c>
    </row>
    <row r="984" spans="1:5">
      <c r="A984" t="s">
        <v>15641</v>
      </c>
      <c r="B984" t="s">
        <v>15642</v>
      </c>
      <c r="C984" t="s">
        <v>14001</v>
      </c>
      <c r="D984" t="s">
        <v>14002</v>
      </c>
      <c r="E984" t="s">
        <v>14003</v>
      </c>
    </row>
    <row r="985" spans="1:5">
      <c r="A985" t="s">
        <v>286</v>
      </c>
      <c r="B985" t="s">
        <v>15643</v>
      </c>
      <c r="C985" t="s">
        <v>15500</v>
      </c>
      <c r="D985" t="s">
        <v>13901</v>
      </c>
      <c r="E985" t="s">
        <v>13902</v>
      </c>
    </row>
    <row r="986" spans="1:5">
      <c r="A986" t="s">
        <v>3419</v>
      </c>
      <c r="B986" t="s">
        <v>15644</v>
      </c>
      <c r="C986" t="s">
        <v>14017</v>
      </c>
      <c r="D986" t="s">
        <v>14018</v>
      </c>
      <c r="E986" t="s">
        <v>14019</v>
      </c>
    </row>
    <row r="987" spans="1:5">
      <c r="A987" t="s">
        <v>3376</v>
      </c>
      <c r="B987" t="s">
        <v>15645</v>
      </c>
      <c r="C987" t="s">
        <v>14451</v>
      </c>
      <c r="D987" t="s">
        <v>13994</v>
      </c>
      <c r="E987" t="s">
        <v>13995</v>
      </c>
    </row>
    <row r="988" spans="1:5">
      <c r="A988" t="s">
        <v>2870</v>
      </c>
      <c r="B988" t="s">
        <v>15646</v>
      </c>
      <c r="C988" t="s">
        <v>14748</v>
      </c>
      <c r="D988" t="s">
        <v>13913</v>
      </c>
      <c r="E988" t="s">
        <v>13914</v>
      </c>
    </row>
    <row r="989" spans="1:5">
      <c r="A989" t="s">
        <v>15647</v>
      </c>
      <c r="B989" t="s">
        <v>15648</v>
      </c>
      <c r="C989" t="s">
        <v>14012</v>
      </c>
      <c r="D989" t="s">
        <v>13927</v>
      </c>
      <c r="E989" t="s">
        <v>13928</v>
      </c>
    </row>
    <row r="990" spans="1:5">
      <c r="A990" t="s">
        <v>15649</v>
      </c>
      <c r="B990" t="s">
        <v>15650</v>
      </c>
      <c r="C990" t="s">
        <v>13905</v>
      </c>
      <c r="D990" t="s">
        <v>13901</v>
      </c>
      <c r="E990" t="s">
        <v>13902</v>
      </c>
    </row>
    <row r="991" spans="1:5">
      <c r="A991" t="s">
        <v>384</v>
      </c>
      <c r="B991" t="s">
        <v>15651</v>
      </c>
      <c r="C991" t="s">
        <v>13905</v>
      </c>
      <c r="D991" t="s">
        <v>13901</v>
      </c>
      <c r="E991" t="s">
        <v>13902</v>
      </c>
    </row>
    <row r="992" spans="1:5">
      <c r="A992" t="s">
        <v>15652</v>
      </c>
      <c r="B992" t="s">
        <v>15653</v>
      </c>
      <c r="C992" t="s">
        <v>15654</v>
      </c>
      <c r="D992" t="s">
        <v>13923</v>
      </c>
      <c r="E992" t="s">
        <v>13924</v>
      </c>
    </row>
    <row r="993" spans="1:5">
      <c r="A993" t="s">
        <v>15655</v>
      </c>
      <c r="B993" t="s">
        <v>15656</v>
      </c>
      <c r="C993" t="s">
        <v>15657</v>
      </c>
      <c r="D993" t="s">
        <v>14118</v>
      </c>
      <c r="E993" t="s">
        <v>14119</v>
      </c>
    </row>
    <row r="994" spans="1:5">
      <c r="A994" t="s">
        <v>3625</v>
      </c>
      <c r="B994" t="s">
        <v>15658</v>
      </c>
      <c r="C994" t="s">
        <v>14868</v>
      </c>
      <c r="D994" t="s">
        <v>14040</v>
      </c>
      <c r="E994" t="s">
        <v>14041</v>
      </c>
    </row>
    <row r="995" spans="1:5">
      <c r="A995" t="s">
        <v>15659</v>
      </c>
      <c r="B995" t="s">
        <v>15660</v>
      </c>
      <c r="C995" t="s">
        <v>15661</v>
      </c>
      <c r="D995" t="s">
        <v>15662</v>
      </c>
      <c r="E995" t="s">
        <v>15663</v>
      </c>
    </row>
    <row r="996" spans="1:5">
      <c r="A996" t="s">
        <v>15664</v>
      </c>
      <c r="B996" t="s">
        <v>15665</v>
      </c>
      <c r="C996" t="s">
        <v>15666</v>
      </c>
      <c r="D996" t="s">
        <v>14049</v>
      </c>
      <c r="E996" t="s">
        <v>14050</v>
      </c>
    </row>
    <row r="997" spans="1:5">
      <c r="A997" t="s">
        <v>2119</v>
      </c>
      <c r="B997" t="s">
        <v>15667</v>
      </c>
      <c r="C997" t="s">
        <v>15668</v>
      </c>
      <c r="D997" t="s">
        <v>14620</v>
      </c>
      <c r="E997" t="s">
        <v>14621</v>
      </c>
    </row>
    <row r="998" spans="1:5">
      <c r="A998" t="s">
        <v>15669</v>
      </c>
      <c r="B998" t="s">
        <v>15670</v>
      </c>
      <c r="C998" t="s">
        <v>15671</v>
      </c>
      <c r="D998" t="s">
        <v>14089</v>
      </c>
      <c r="E998" t="s">
        <v>14090</v>
      </c>
    </row>
    <row r="999" spans="1:5">
      <c r="A999" t="s">
        <v>15672</v>
      </c>
      <c r="B999" t="s">
        <v>15673</v>
      </c>
      <c r="C999" t="s">
        <v>15674</v>
      </c>
      <c r="D999" t="s">
        <v>13927</v>
      </c>
      <c r="E999" t="s">
        <v>13928</v>
      </c>
    </row>
    <row r="1000" spans="1:5">
      <c r="A1000" t="s">
        <v>3061</v>
      </c>
      <c r="B1000" t="s">
        <v>15675</v>
      </c>
      <c r="C1000" t="s">
        <v>15676</v>
      </c>
      <c r="D1000" t="s">
        <v>14285</v>
      </c>
      <c r="E1000" t="s">
        <v>14286</v>
      </c>
    </row>
    <row r="1001" spans="1:5">
      <c r="A1001" t="s">
        <v>6624</v>
      </c>
      <c r="B1001" t="s">
        <v>15677</v>
      </c>
      <c r="C1001" t="s">
        <v>15276</v>
      </c>
      <c r="D1001" t="s">
        <v>14781</v>
      </c>
      <c r="E1001" t="s">
        <v>14782</v>
      </c>
    </row>
    <row r="1002" spans="1:5">
      <c r="A1002" t="s">
        <v>15678</v>
      </c>
      <c r="B1002" t="s">
        <v>15679</v>
      </c>
      <c r="C1002" t="s">
        <v>15114</v>
      </c>
      <c r="D1002" t="s">
        <v>14545</v>
      </c>
      <c r="E1002" t="s">
        <v>14546</v>
      </c>
    </row>
    <row r="1003" spans="1:5">
      <c r="A1003" t="s">
        <v>3521</v>
      </c>
      <c r="B1003" t="s">
        <v>15680</v>
      </c>
      <c r="C1003" t="s">
        <v>13935</v>
      </c>
      <c r="D1003" t="s">
        <v>13935</v>
      </c>
      <c r="E1003" t="s">
        <v>13936</v>
      </c>
    </row>
    <row r="1004" spans="1:5">
      <c r="A1004" t="s">
        <v>15681</v>
      </c>
      <c r="B1004" t="s">
        <v>15682</v>
      </c>
      <c r="C1004" t="s">
        <v>13935</v>
      </c>
      <c r="D1004" t="s">
        <v>13935</v>
      </c>
      <c r="E1004" t="s">
        <v>13936</v>
      </c>
    </row>
    <row r="1005" spans="1:5">
      <c r="A1005" t="s">
        <v>15683</v>
      </c>
      <c r="B1005" t="s">
        <v>15684</v>
      </c>
      <c r="C1005" t="s">
        <v>14967</v>
      </c>
      <c r="D1005" t="s">
        <v>14968</v>
      </c>
      <c r="E1005" t="s">
        <v>14969</v>
      </c>
    </row>
    <row r="1006" spans="1:5">
      <c r="A1006" t="s">
        <v>15685</v>
      </c>
      <c r="B1006" t="s">
        <v>15686</v>
      </c>
      <c r="C1006" t="s">
        <v>15687</v>
      </c>
      <c r="D1006" t="s">
        <v>14118</v>
      </c>
      <c r="E1006" t="s">
        <v>14119</v>
      </c>
    </row>
    <row r="1007" spans="1:5">
      <c r="A1007" t="s">
        <v>2674</v>
      </c>
      <c r="B1007" t="s">
        <v>15688</v>
      </c>
      <c r="C1007" t="s">
        <v>14799</v>
      </c>
      <c r="D1007" t="s">
        <v>14526</v>
      </c>
      <c r="E1007" t="s">
        <v>14527</v>
      </c>
    </row>
    <row r="1008" spans="1:5">
      <c r="A1008" t="s">
        <v>15689</v>
      </c>
      <c r="B1008" t="s">
        <v>15690</v>
      </c>
      <c r="C1008" t="s">
        <v>15691</v>
      </c>
      <c r="D1008" t="s">
        <v>13932</v>
      </c>
      <c r="E1008" t="s">
        <v>13933</v>
      </c>
    </row>
    <row r="1009" spans="1:5">
      <c r="A1009" t="s">
        <v>15692</v>
      </c>
      <c r="B1009" t="s">
        <v>15693</v>
      </c>
      <c r="C1009" t="s">
        <v>15694</v>
      </c>
      <c r="D1009" t="s">
        <v>15695</v>
      </c>
      <c r="E1009" t="s">
        <v>15696</v>
      </c>
    </row>
    <row r="1010" spans="1:5">
      <c r="A1010" t="s">
        <v>15697</v>
      </c>
      <c r="B1010" t="s">
        <v>15698</v>
      </c>
      <c r="C1010" t="s">
        <v>13951</v>
      </c>
      <c r="D1010" t="s">
        <v>13927</v>
      </c>
      <c r="E1010" t="s">
        <v>13928</v>
      </c>
    </row>
    <row r="1011" spans="1:5">
      <c r="A1011" t="s">
        <v>15699</v>
      </c>
      <c r="B1011" t="s">
        <v>15700</v>
      </c>
      <c r="C1011" t="s">
        <v>14672</v>
      </c>
      <c r="D1011" t="s">
        <v>14673</v>
      </c>
      <c r="E1011" t="s">
        <v>14674</v>
      </c>
    </row>
    <row r="1012" spans="1:5">
      <c r="A1012" t="s">
        <v>15701</v>
      </c>
      <c r="B1012" t="s">
        <v>15702</v>
      </c>
      <c r="C1012" t="s">
        <v>15703</v>
      </c>
      <c r="D1012" t="s">
        <v>13919</v>
      </c>
      <c r="E1012" t="s">
        <v>13920</v>
      </c>
    </row>
    <row r="1013" spans="1:5">
      <c r="A1013" t="s">
        <v>3236</v>
      </c>
      <c r="B1013" t="s">
        <v>15704</v>
      </c>
      <c r="C1013" t="s">
        <v>14154</v>
      </c>
      <c r="D1013" t="s">
        <v>14140</v>
      </c>
      <c r="E1013" t="s">
        <v>14141</v>
      </c>
    </row>
    <row r="1014" spans="1:5">
      <c r="A1014" t="s">
        <v>15705</v>
      </c>
      <c r="B1014" t="s">
        <v>15706</v>
      </c>
      <c r="C1014" t="s">
        <v>15707</v>
      </c>
      <c r="D1014" t="s">
        <v>13927</v>
      </c>
      <c r="E1014" t="s">
        <v>13928</v>
      </c>
    </row>
    <row r="1015" spans="1:5">
      <c r="A1015" t="s">
        <v>15708</v>
      </c>
      <c r="B1015" t="s">
        <v>15709</v>
      </c>
      <c r="C1015" t="s">
        <v>15710</v>
      </c>
      <c r="D1015" t="s">
        <v>13923</v>
      </c>
      <c r="E1015" t="s">
        <v>13924</v>
      </c>
    </row>
    <row r="1016" spans="1:5">
      <c r="A1016" t="s">
        <v>1936</v>
      </c>
      <c r="B1016" t="s">
        <v>15711</v>
      </c>
      <c r="C1016" t="s">
        <v>15712</v>
      </c>
      <c r="D1016" t="s">
        <v>13964</v>
      </c>
      <c r="E1016" t="s">
        <v>13965</v>
      </c>
    </row>
    <row r="1017" spans="1:5">
      <c r="A1017" t="s">
        <v>15713</v>
      </c>
      <c r="B1017" t="s">
        <v>15714</v>
      </c>
      <c r="C1017" t="s">
        <v>15715</v>
      </c>
      <c r="D1017" t="s">
        <v>13989</v>
      </c>
      <c r="E1017" t="s">
        <v>13990</v>
      </c>
    </row>
    <row r="1018" spans="1:5">
      <c r="A1018" t="s">
        <v>15716</v>
      </c>
      <c r="B1018" t="s">
        <v>15717</v>
      </c>
      <c r="C1018" t="s">
        <v>15718</v>
      </c>
      <c r="D1018" t="s">
        <v>14140</v>
      </c>
      <c r="E1018" t="s">
        <v>14141</v>
      </c>
    </row>
    <row r="1019" spans="1:5">
      <c r="A1019" t="s">
        <v>15719</v>
      </c>
      <c r="B1019" t="s">
        <v>15720</v>
      </c>
      <c r="C1019" t="s">
        <v>13967</v>
      </c>
      <c r="D1019" t="s">
        <v>13968</v>
      </c>
      <c r="E1019" t="s">
        <v>13969</v>
      </c>
    </row>
    <row r="1020" spans="1:5">
      <c r="A1020" t="s">
        <v>15721</v>
      </c>
      <c r="B1020" t="s">
        <v>15722</v>
      </c>
      <c r="C1020" t="s">
        <v>15723</v>
      </c>
      <c r="D1020" t="s">
        <v>14250</v>
      </c>
      <c r="E1020" t="s">
        <v>14251</v>
      </c>
    </row>
    <row r="1021" spans="1:5">
      <c r="A1021" t="s">
        <v>15724</v>
      </c>
      <c r="B1021" t="s">
        <v>15725</v>
      </c>
      <c r="C1021" t="s">
        <v>15726</v>
      </c>
      <c r="D1021" t="s">
        <v>13994</v>
      </c>
      <c r="E1021" t="s">
        <v>13995</v>
      </c>
    </row>
    <row r="1022" spans="1:5">
      <c r="A1022" t="s">
        <v>3117</v>
      </c>
      <c r="B1022" t="s">
        <v>15727</v>
      </c>
      <c r="C1022" t="s">
        <v>13967</v>
      </c>
      <c r="D1022" t="s">
        <v>13968</v>
      </c>
      <c r="E1022" t="s">
        <v>13969</v>
      </c>
    </row>
    <row r="1023" spans="1:5">
      <c r="A1023" t="s">
        <v>1029</v>
      </c>
      <c r="B1023" t="s">
        <v>15728</v>
      </c>
      <c r="C1023" t="s">
        <v>15729</v>
      </c>
      <c r="D1023" t="s">
        <v>14545</v>
      </c>
      <c r="E1023" t="s">
        <v>14546</v>
      </c>
    </row>
    <row r="1024" spans="1:5">
      <c r="A1024" t="s">
        <v>15730</v>
      </c>
      <c r="B1024" t="s">
        <v>15731</v>
      </c>
      <c r="C1024" t="s">
        <v>14943</v>
      </c>
      <c r="D1024" t="s">
        <v>14505</v>
      </c>
      <c r="E1024" t="s">
        <v>14506</v>
      </c>
    </row>
    <row r="1025" spans="1:5">
      <c r="A1025" t="s">
        <v>1265</v>
      </c>
      <c r="B1025" t="s">
        <v>15732</v>
      </c>
      <c r="C1025" t="s">
        <v>15733</v>
      </c>
      <c r="D1025" t="s">
        <v>13876</v>
      </c>
      <c r="E1025" t="s">
        <v>13877</v>
      </c>
    </row>
    <row r="1026" spans="1:5">
      <c r="A1026" t="s">
        <v>15734</v>
      </c>
      <c r="B1026" t="s">
        <v>15735</v>
      </c>
      <c r="C1026" t="s">
        <v>13967</v>
      </c>
      <c r="D1026" t="s">
        <v>13968</v>
      </c>
      <c r="E1026" t="s">
        <v>13969</v>
      </c>
    </row>
    <row r="1027" spans="1:5">
      <c r="A1027" t="s">
        <v>15736</v>
      </c>
      <c r="B1027" t="s">
        <v>15737</v>
      </c>
      <c r="C1027" t="s">
        <v>14012</v>
      </c>
      <c r="D1027" t="s">
        <v>13927</v>
      </c>
      <c r="E1027" t="s">
        <v>13928</v>
      </c>
    </row>
    <row r="1028" spans="1:5">
      <c r="A1028" t="s">
        <v>3108</v>
      </c>
      <c r="B1028" t="s">
        <v>15738</v>
      </c>
      <c r="C1028" t="s">
        <v>13967</v>
      </c>
      <c r="D1028" t="s">
        <v>13968</v>
      </c>
      <c r="E1028" t="s">
        <v>13969</v>
      </c>
    </row>
    <row r="1029" spans="1:5">
      <c r="A1029" t="s">
        <v>15739</v>
      </c>
      <c r="B1029" t="s">
        <v>15740</v>
      </c>
      <c r="C1029" t="s">
        <v>15741</v>
      </c>
      <c r="D1029" t="s">
        <v>14327</v>
      </c>
      <c r="E1029" t="s">
        <v>14328</v>
      </c>
    </row>
    <row r="1030" spans="1:5">
      <c r="A1030" t="s">
        <v>15742</v>
      </c>
      <c r="B1030" t="s">
        <v>15743</v>
      </c>
      <c r="C1030" t="s">
        <v>15744</v>
      </c>
      <c r="D1030" t="s">
        <v>15333</v>
      </c>
      <c r="E1030" t="s">
        <v>15334</v>
      </c>
    </row>
    <row r="1031" spans="1:5">
      <c r="A1031" t="s">
        <v>1861</v>
      </c>
      <c r="B1031" t="s">
        <v>15745</v>
      </c>
      <c r="C1031" t="s">
        <v>15746</v>
      </c>
      <c r="D1031" t="s">
        <v>15747</v>
      </c>
      <c r="E1031" t="s">
        <v>15748</v>
      </c>
    </row>
    <row r="1032" spans="1:5">
      <c r="A1032" t="s">
        <v>3259</v>
      </c>
      <c r="B1032" t="s">
        <v>15749</v>
      </c>
      <c r="C1032" t="s">
        <v>15750</v>
      </c>
      <c r="D1032" t="s">
        <v>13923</v>
      </c>
      <c r="E1032" t="s">
        <v>13924</v>
      </c>
    </row>
    <row r="1033" spans="1:5">
      <c r="A1033" t="s">
        <v>15751</v>
      </c>
      <c r="B1033" t="s">
        <v>15752</v>
      </c>
      <c r="C1033" t="s">
        <v>15753</v>
      </c>
      <c r="D1033" t="s">
        <v>13881</v>
      </c>
      <c r="E1033" t="s">
        <v>13882</v>
      </c>
    </row>
    <row r="1034" spans="1:5">
      <c r="A1034" t="s">
        <v>15754</v>
      </c>
      <c r="B1034" t="s">
        <v>15755</v>
      </c>
      <c r="C1034" t="s">
        <v>15756</v>
      </c>
      <c r="D1034" t="s">
        <v>14290</v>
      </c>
      <c r="E1034" t="s">
        <v>14291</v>
      </c>
    </row>
    <row r="1035" spans="1:5">
      <c r="A1035" t="s">
        <v>2188</v>
      </c>
      <c r="B1035" t="s">
        <v>15757</v>
      </c>
      <c r="C1035" t="s">
        <v>14342</v>
      </c>
      <c r="D1035" t="s">
        <v>14195</v>
      </c>
      <c r="E1035" t="s">
        <v>14196</v>
      </c>
    </row>
    <row r="1036" spans="1:5">
      <c r="A1036" t="s">
        <v>3570</v>
      </c>
      <c r="B1036" t="s">
        <v>15758</v>
      </c>
      <c r="C1036" t="s">
        <v>15759</v>
      </c>
      <c r="D1036" t="s">
        <v>15333</v>
      </c>
      <c r="E1036" t="s">
        <v>15334</v>
      </c>
    </row>
    <row r="1037" spans="1:5">
      <c r="A1037" t="s">
        <v>15760</v>
      </c>
      <c r="B1037" t="s">
        <v>15761</v>
      </c>
      <c r="C1037" t="s">
        <v>15762</v>
      </c>
      <c r="D1037" t="s">
        <v>13935</v>
      </c>
      <c r="E1037" t="s">
        <v>13936</v>
      </c>
    </row>
    <row r="1038" spans="1:5">
      <c r="A1038" t="s">
        <v>3045</v>
      </c>
      <c r="B1038" t="s">
        <v>15763</v>
      </c>
      <c r="C1038" t="s">
        <v>13967</v>
      </c>
      <c r="D1038" t="s">
        <v>13968</v>
      </c>
      <c r="E1038" t="s">
        <v>13969</v>
      </c>
    </row>
    <row r="1039" spans="1:5">
      <c r="A1039" t="s">
        <v>2512</v>
      </c>
      <c r="B1039" t="s">
        <v>15764</v>
      </c>
      <c r="C1039" t="s">
        <v>14224</v>
      </c>
      <c r="D1039" t="s">
        <v>14002</v>
      </c>
      <c r="E1039" t="s">
        <v>14003</v>
      </c>
    </row>
    <row r="1040" spans="1:5">
      <c r="A1040" t="s">
        <v>15765</v>
      </c>
      <c r="B1040" t="s">
        <v>15766</v>
      </c>
      <c r="C1040" t="s">
        <v>14092</v>
      </c>
      <c r="D1040" t="s">
        <v>13994</v>
      </c>
      <c r="E1040" t="s">
        <v>13995</v>
      </c>
    </row>
    <row r="1041" spans="1:5">
      <c r="A1041" t="s">
        <v>15767</v>
      </c>
      <c r="B1041" t="s">
        <v>15768</v>
      </c>
      <c r="C1041" t="s">
        <v>13916</v>
      </c>
      <c r="D1041" t="s">
        <v>13901</v>
      </c>
      <c r="E1041" t="s">
        <v>13902</v>
      </c>
    </row>
    <row r="1042" spans="1:5">
      <c r="A1042" t="s">
        <v>15769</v>
      </c>
      <c r="B1042" t="s">
        <v>15770</v>
      </c>
      <c r="C1042" t="s">
        <v>13916</v>
      </c>
      <c r="D1042" t="s">
        <v>13901</v>
      </c>
      <c r="E1042" t="s">
        <v>13902</v>
      </c>
    </row>
    <row r="1043" spans="1:5">
      <c r="A1043" t="s">
        <v>15771</v>
      </c>
      <c r="B1043" t="s">
        <v>15772</v>
      </c>
      <c r="C1043" t="s">
        <v>13916</v>
      </c>
      <c r="D1043" t="s">
        <v>13901</v>
      </c>
      <c r="E1043" t="s">
        <v>13902</v>
      </c>
    </row>
    <row r="1044" spans="1:5">
      <c r="A1044" t="s">
        <v>15773</v>
      </c>
      <c r="B1044" t="s">
        <v>15774</v>
      </c>
      <c r="C1044" t="s">
        <v>13916</v>
      </c>
      <c r="D1044" t="s">
        <v>13901</v>
      </c>
      <c r="E1044" t="s">
        <v>13902</v>
      </c>
    </row>
    <row r="1045" spans="1:5">
      <c r="A1045" t="s">
        <v>3431</v>
      </c>
      <c r="B1045" t="s">
        <v>15775</v>
      </c>
      <c r="C1045" t="s">
        <v>14201</v>
      </c>
      <c r="D1045" t="s">
        <v>14040</v>
      </c>
      <c r="E1045" t="s">
        <v>14041</v>
      </c>
    </row>
    <row r="1046" spans="1:5">
      <c r="A1046" t="s">
        <v>15776</v>
      </c>
      <c r="B1046" t="s">
        <v>15777</v>
      </c>
      <c r="C1046" t="s">
        <v>13951</v>
      </c>
      <c r="D1046" t="s">
        <v>13927</v>
      </c>
      <c r="E1046" t="s">
        <v>13928</v>
      </c>
    </row>
    <row r="1047" spans="1:5">
      <c r="A1047" t="s">
        <v>15778</v>
      </c>
      <c r="B1047" t="s">
        <v>15779</v>
      </c>
      <c r="C1047" t="s">
        <v>15195</v>
      </c>
      <c r="D1047" t="s">
        <v>13955</v>
      </c>
      <c r="E1047" t="s">
        <v>13956</v>
      </c>
    </row>
    <row r="1048" spans="1:5">
      <c r="A1048" t="s">
        <v>15780</v>
      </c>
      <c r="B1048" t="s">
        <v>15781</v>
      </c>
      <c r="C1048" t="s">
        <v>14061</v>
      </c>
      <c r="D1048" t="s">
        <v>13913</v>
      </c>
      <c r="E1048" t="s">
        <v>13914</v>
      </c>
    </row>
    <row r="1049" spans="1:5">
      <c r="A1049" t="s">
        <v>15782</v>
      </c>
      <c r="B1049" t="s">
        <v>15783</v>
      </c>
      <c r="C1049" t="s">
        <v>13943</v>
      </c>
      <c r="D1049" t="s">
        <v>13901</v>
      </c>
      <c r="E1049" t="s">
        <v>13902</v>
      </c>
    </row>
    <row r="1050" spans="1:5">
      <c r="A1050" t="s">
        <v>6634</v>
      </c>
      <c r="B1050" t="s">
        <v>15784</v>
      </c>
      <c r="C1050" t="s">
        <v>15785</v>
      </c>
      <c r="D1050" t="s">
        <v>15695</v>
      </c>
      <c r="E1050" t="s">
        <v>15696</v>
      </c>
    </row>
    <row r="1051" spans="1:5">
      <c r="A1051" t="s">
        <v>15786</v>
      </c>
      <c r="B1051" t="s">
        <v>15787</v>
      </c>
      <c r="C1051" t="s">
        <v>13919</v>
      </c>
      <c r="D1051" t="s">
        <v>13919</v>
      </c>
      <c r="E1051" t="s">
        <v>13920</v>
      </c>
    </row>
    <row r="1052" spans="1:5">
      <c r="A1052" t="s">
        <v>375</v>
      </c>
      <c r="B1052" t="s">
        <v>15788</v>
      </c>
      <c r="C1052" t="s">
        <v>13916</v>
      </c>
      <c r="D1052" t="s">
        <v>13901</v>
      </c>
      <c r="E1052" t="s">
        <v>13902</v>
      </c>
    </row>
    <row r="1053" spans="1:5">
      <c r="A1053" t="s">
        <v>15789</v>
      </c>
      <c r="B1053" t="s">
        <v>15790</v>
      </c>
      <c r="C1053" t="s">
        <v>13916</v>
      </c>
      <c r="D1053" t="s">
        <v>13901</v>
      </c>
      <c r="E1053" t="s">
        <v>13902</v>
      </c>
    </row>
    <row r="1054" spans="1:5">
      <c r="A1054" t="s">
        <v>15791</v>
      </c>
      <c r="B1054" t="s">
        <v>15792</v>
      </c>
      <c r="C1054" t="s">
        <v>15793</v>
      </c>
      <c r="D1054" t="s">
        <v>13881</v>
      </c>
      <c r="E1054" t="s">
        <v>13882</v>
      </c>
    </row>
    <row r="1055" spans="1:5">
      <c r="A1055" t="s">
        <v>1042</v>
      </c>
      <c r="B1055" t="s">
        <v>15794</v>
      </c>
      <c r="C1055" t="s">
        <v>14061</v>
      </c>
      <c r="D1055" t="s">
        <v>13913</v>
      </c>
      <c r="E1055" t="s">
        <v>13914</v>
      </c>
    </row>
    <row r="1056" spans="1:5">
      <c r="A1056" t="s">
        <v>15795</v>
      </c>
      <c r="B1056" t="s">
        <v>15796</v>
      </c>
      <c r="C1056" t="s">
        <v>15797</v>
      </c>
      <c r="D1056" t="s">
        <v>14040</v>
      </c>
      <c r="E1056" t="s">
        <v>14041</v>
      </c>
    </row>
    <row r="1057" spans="1:5">
      <c r="A1057" t="s">
        <v>2200</v>
      </c>
      <c r="B1057" t="s">
        <v>15798</v>
      </c>
      <c r="C1057" t="s">
        <v>13938</v>
      </c>
      <c r="D1057" t="s">
        <v>13939</v>
      </c>
      <c r="E1057" t="s">
        <v>13940</v>
      </c>
    </row>
    <row r="1058" spans="1:5">
      <c r="A1058" t="s">
        <v>15799</v>
      </c>
      <c r="B1058" t="s">
        <v>15800</v>
      </c>
      <c r="C1058" t="s">
        <v>13988</v>
      </c>
      <c r="D1058" t="s">
        <v>13989</v>
      </c>
      <c r="E1058" t="s">
        <v>13990</v>
      </c>
    </row>
    <row r="1059" spans="1:5">
      <c r="A1059" t="s">
        <v>2581</v>
      </c>
      <c r="B1059" t="s">
        <v>15801</v>
      </c>
      <c r="C1059" t="s">
        <v>14224</v>
      </c>
      <c r="D1059" t="s">
        <v>14002</v>
      </c>
      <c r="E1059" t="s">
        <v>14003</v>
      </c>
    </row>
    <row r="1060" spans="1:5">
      <c r="A1060" t="s">
        <v>15802</v>
      </c>
      <c r="B1060" t="s">
        <v>15803</v>
      </c>
      <c r="C1060" t="s">
        <v>13912</v>
      </c>
      <c r="D1060" t="s">
        <v>13913</v>
      </c>
      <c r="E1060" t="s">
        <v>13914</v>
      </c>
    </row>
    <row r="1061" spans="1:5">
      <c r="A1061" t="s">
        <v>1617</v>
      </c>
      <c r="B1061" t="s">
        <v>15804</v>
      </c>
      <c r="C1061" t="s">
        <v>13988</v>
      </c>
      <c r="D1061" t="s">
        <v>13989</v>
      </c>
      <c r="E1061" t="s">
        <v>13990</v>
      </c>
    </row>
    <row r="1062" spans="1:5">
      <c r="A1062" t="s">
        <v>1852</v>
      </c>
      <c r="B1062" t="s">
        <v>15805</v>
      </c>
      <c r="C1062" t="s">
        <v>13988</v>
      </c>
      <c r="D1062" t="s">
        <v>13989</v>
      </c>
      <c r="E1062" t="s">
        <v>13990</v>
      </c>
    </row>
    <row r="1063" spans="1:5">
      <c r="A1063" t="s">
        <v>15806</v>
      </c>
      <c r="B1063" t="s">
        <v>15807</v>
      </c>
      <c r="C1063" t="s">
        <v>13916</v>
      </c>
      <c r="D1063" t="s">
        <v>13901</v>
      </c>
      <c r="E1063" t="s">
        <v>13902</v>
      </c>
    </row>
    <row r="1064" spans="1:5">
      <c r="A1064" t="s">
        <v>15808</v>
      </c>
      <c r="B1064" t="s">
        <v>15809</v>
      </c>
      <c r="C1064" t="s">
        <v>14001</v>
      </c>
      <c r="D1064" t="s">
        <v>14002</v>
      </c>
      <c r="E1064" t="s">
        <v>14003</v>
      </c>
    </row>
    <row r="1065" spans="1:5">
      <c r="A1065" t="s">
        <v>1949</v>
      </c>
      <c r="B1065" t="s">
        <v>15810</v>
      </c>
      <c r="C1065" t="s">
        <v>14833</v>
      </c>
      <c r="D1065" t="s">
        <v>14834</v>
      </c>
      <c r="E1065" t="s">
        <v>14835</v>
      </c>
    </row>
    <row r="1066" spans="1:5">
      <c r="A1066" t="s">
        <v>2706</v>
      </c>
      <c r="B1066" t="s">
        <v>15811</v>
      </c>
      <c r="C1066" t="s">
        <v>15812</v>
      </c>
      <c r="D1066" t="s">
        <v>14133</v>
      </c>
      <c r="E1066" t="s">
        <v>14134</v>
      </c>
    </row>
    <row r="1067" spans="1:5">
      <c r="A1067" t="s">
        <v>15813</v>
      </c>
      <c r="B1067" t="s">
        <v>15814</v>
      </c>
      <c r="C1067" t="s">
        <v>13988</v>
      </c>
      <c r="D1067" t="s">
        <v>13989</v>
      </c>
      <c r="E1067" t="s">
        <v>13990</v>
      </c>
    </row>
    <row r="1068" spans="1:5">
      <c r="A1068" t="s">
        <v>15815</v>
      </c>
      <c r="B1068" t="s">
        <v>15816</v>
      </c>
      <c r="C1068" t="s">
        <v>14053</v>
      </c>
      <c r="D1068" t="s">
        <v>14118</v>
      </c>
      <c r="E1068" t="s">
        <v>14119</v>
      </c>
    </row>
    <row r="1069" spans="1:5">
      <c r="A1069" t="s">
        <v>15817</v>
      </c>
      <c r="B1069" t="s">
        <v>15818</v>
      </c>
      <c r="C1069" t="s">
        <v>14369</v>
      </c>
      <c r="D1069" t="s">
        <v>14601</v>
      </c>
      <c r="E1069" t="s">
        <v>14602</v>
      </c>
    </row>
    <row r="1070" spans="1:5">
      <c r="A1070" t="s">
        <v>15819</v>
      </c>
      <c r="B1070" t="s">
        <v>15820</v>
      </c>
      <c r="C1070" t="s">
        <v>15821</v>
      </c>
      <c r="D1070" t="s">
        <v>14040</v>
      </c>
      <c r="E1070" t="s">
        <v>14041</v>
      </c>
    </row>
    <row r="1071" spans="1:5">
      <c r="A1071" t="s">
        <v>6659</v>
      </c>
      <c r="B1071" t="s">
        <v>15822</v>
      </c>
      <c r="C1071" t="s">
        <v>13922</v>
      </c>
      <c r="D1071" t="s">
        <v>13923</v>
      </c>
      <c r="E1071" t="s">
        <v>13924</v>
      </c>
    </row>
    <row r="1072" spans="1:5">
      <c r="A1072" t="s">
        <v>15823</v>
      </c>
      <c r="B1072" t="s">
        <v>15824</v>
      </c>
      <c r="C1072" t="s">
        <v>15825</v>
      </c>
      <c r="D1072" t="s">
        <v>14611</v>
      </c>
      <c r="E1072" t="s">
        <v>14612</v>
      </c>
    </row>
    <row r="1073" spans="1:5">
      <c r="A1073" t="s">
        <v>15826</v>
      </c>
      <c r="B1073" t="s">
        <v>15827</v>
      </c>
      <c r="C1073" t="s">
        <v>14848</v>
      </c>
      <c r="D1073" t="s">
        <v>14259</v>
      </c>
      <c r="E1073" t="s">
        <v>14260</v>
      </c>
    </row>
    <row r="1074" spans="1:5">
      <c r="A1074" t="s">
        <v>15828</v>
      </c>
      <c r="B1074" t="s">
        <v>15829</v>
      </c>
      <c r="C1074" t="s">
        <v>14610</v>
      </c>
      <c r="D1074" t="s">
        <v>14611</v>
      </c>
      <c r="E1074" t="s">
        <v>14612</v>
      </c>
    </row>
    <row r="1075" spans="1:5">
      <c r="A1075" t="s">
        <v>15830</v>
      </c>
      <c r="B1075" t="s">
        <v>15831</v>
      </c>
      <c r="C1075" t="s">
        <v>14012</v>
      </c>
      <c r="D1075" t="s">
        <v>13927</v>
      </c>
      <c r="E1075" t="s">
        <v>13928</v>
      </c>
    </row>
    <row r="1076" spans="1:5">
      <c r="A1076" t="s">
        <v>15832</v>
      </c>
      <c r="B1076" t="s">
        <v>15833</v>
      </c>
      <c r="C1076" t="s">
        <v>14323</v>
      </c>
      <c r="D1076" t="s">
        <v>13901</v>
      </c>
      <c r="E1076" t="s">
        <v>13902</v>
      </c>
    </row>
    <row r="1077" spans="1:5">
      <c r="A1077" t="s">
        <v>15834</v>
      </c>
      <c r="B1077" t="s">
        <v>15835</v>
      </c>
      <c r="C1077" t="s">
        <v>15836</v>
      </c>
      <c r="D1077" t="s">
        <v>13935</v>
      </c>
      <c r="E1077" t="s">
        <v>13936</v>
      </c>
    </row>
    <row r="1078" spans="1:5">
      <c r="A1078" t="s">
        <v>2730</v>
      </c>
      <c r="B1078" t="s">
        <v>15837</v>
      </c>
      <c r="C1078" t="s">
        <v>14025</v>
      </c>
      <c r="D1078" t="s">
        <v>14025</v>
      </c>
      <c r="E1078" t="s">
        <v>14026</v>
      </c>
    </row>
    <row r="1079" spans="1:5">
      <c r="A1079" t="s">
        <v>15838</v>
      </c>
      <c r="B1079" t="s">
        <v>15839</v>
      </c>
      <c r="C1079" t="s">
        <v>13943</v>
      </c>
      <c r="D1079" t="s">
        <v>13901</v>
      </c>
      <c r="E1079" t="s">
        <v>13902</v>
      </c>
    </row>
    <row r="1080" spans="1:5">
      <c r="A1080" t="s">
        <v>15840</v>
      </c>
      <c r="B1080" t="s">
        <v>15841</v>
      </c>
      <c r="C1080" t="s">
        <v>14400</v>
      </c>
      <c r="D1080" t="s">
        <v>14381</v>
      </c>
      <c r="E1080" t="s">
        <v>14382</v>
      </c>
    </row>
    <row r="1081" spans="1:5">
      <c r="A1081" t="s">
        <v>3523</v>
      </c>
      <c r="B1081" t="s">
        <v>15842</v>
      </c>
      <c r="C1081" t="s">
        <v>15843</v>
      </c>
      <c r="D1081" t="s">
        <v>14250</v>
      </c>
      <c r="E1081" t="s">
        <v>14251</v>
      </c>
    </row>
    <row r="1082" spans="1:5">
      <c r="A1082" t="s">
        <v>15844</v>
      </c>
      <c r="B1082" t="s">
        <v>15845</v>
      </c>
      <c r="C1082" t="s">
        <v>13922</v>
      </c>
      <c r="D1082" t="s">
        <v>13923</v>
      </c>
      <c r="E1082" t="s">
        <v>13924</v>
      </c>
    </row>
    <row r="1083" spans="1:5">
      <c r="A1083" t="s">
        <v>15846</v>
      </c>
      <c r="B1083" t="s">
        <v>15847</v>
      </c>
      <c r="C1083" t="s">
        <v>13922</v>
      </c>
      <c r="D1083" t="s">
        <v>13923</v>
      </c>
      <c r="E1083" t="s">
        <v>13924</v>
      </c>
    </row>
    <row r="1084" spans="1:5">
      <c r="A1084" t="s">
        <v>2026</v>
      </c>
      <c r="B1084" t="s">
        <v>15848</v>
      </c>
      <c r="C1084" t="s">
        <v>14240</v>
      </c>
      <c r="D1084" t="s">
        <v>13872</v>
      </c>
      <c r="E1084" t="s">
        <v>13873</v>
      </c>
    </row>
    <row r="1085" spans="1:5">
      <c r="A1085" t="s">
        <v>15849</v>
      </c>
      <c r="B1085" t="s">
        <v>15850</v>
      </c>
      <c r="C1085" t="s">
        <v>14275</v>
      </c>
      <c r="D1085" t="s">
        <v>13881</v>
      </c>
      <c r="E1085" t="s">
        <v>13882</v>
      </c>
    </row>
    <row r="1086" spans="1:5">
      <c r="A1086" t="s">
        <v>15851</v>
      </c>
      <c r="B1086" t="s">
        <v>15852</v>
      </c>
      <c r="C1086" t="s">
        <v>14012</v>
      </c>
      <c r="D1086" t="s">
        <v>13927</v>
      </c>
      <c r="E1086" t="s">
        <v>13928</v>
      </c>
    </row>
    <row r="1087" spans="1:5">
      <c r="A1087" t="s">
        <v>1858</v>
      </c>
      <c r="B1087" t="s">
        <v>15853</v>
      </c>
      <c r="C1087" t="s">
        <v>14519</v>
      </c>
      <c r="D1087" t="s">
        <v>14482</v>
      </c>
      <c r="E1087" t="s">
        <v>14483</v>
      </c>
    </row>
    <row r="1088" spans="1:5">
      <c r="A1088" t="s">
        <v>15854</v>
      </c>
      <c r="B1088" t="s">
        <v>15855</v>
      </c>
      <c r="C1088" t="s">
        <v>13935</v>
      </c>
      <c r="D1088" t="s">
        <v>13935</v>
      </c>
      <c r="E1088" t="s">
        <v>13936</v>
      </c>
    </row>
    <row r="1089" spans="1:5">
      <c r="A1089" t="s">
        <v>15856</v>
      </c>
      <c r="B1089" t="s">
        <v>15857</v>
      </c>
      <c r="C1089" t="s">
        <v>14012</v>
      </c>
      <c r="D1089" t="s">
        <v>13927</v>
      </c>
      <c r="E1089" t="s">
        <v>13928</v>
      </c>
    </row>
    <row r="1090" spans="1:5">
      <c r="A1090" t="s">
        <v>15858</v>
      </c>
      <c r="B1090" t="s">
        <v>15859</v>
      </c>
      <c r="C1090" t="s">
        <v>13919</v>
      </c>
      <c r="D1090" t="s">
        <v>13919</v>
      </c>
      <c r="E1090" t="s">
        <v>13920</v>
      </c>
    </row>
    <row r="1091" spans="1:5">
      <c r="A1091" t="s">
        <v>3522</v>
      </c>
      <c r="B1091" t="s">
        <v>15860</v>
      </c>
      <c r="C1091" t="s">
        <v>14886</v>
      </c>
      <c r="D1091" t="s">
        <v>14250</v>
      </c>
      <c r="E1091" t="s">
        <v>14251</v>
      </c>
    </row>
    <row r="1092" spans="1:5">
      <c r="A1092" t="s">
        <v>15861</v>
      </c>
      <c r="B1092" t="s">
        <v>15862</v>
      </c>
      <c r="C1092" t="s">
        <v>14493</v>
      </c>
      <c r="D1092" t="s">
        <v>14250</v>
      </c>
      <c r="E1092" t="s">
        <v>14251</v>
      </c>
    </row>
    <row r="1093" spans="1:5">
      <c r="A1093" t="s">
        <v>1646</v>
      </c>
      <c r="B1093" t="s">
        <v>15863</v>
      </c>
      <c r="C1093" t="s">
        <v>13988</v>
      </c>
      <c r="D1093" t="s">
        <v>13989</v>
      </c>
      <c r="E1093" t="s">
        <v>13990</v>
      </c>
    </row>
    <row r="1094" spans="1:5">
      <c r="A1094" t="s">
        <v>15864</v>
      </c>
      <c r="B1094" t="s">
        <v>15865</v>
      </c>
      <c r="C1094" t="s">
        <v>13986</v>
      </c>
      <c r="D1094" t="s">
        <v>13901</v>
      </c>
      <c r="E1094" t="s">
        <v>13902</v>
      </c>
    </row>
    <row r="1095" spans="1:5">
      <c r="A1095" t="s">
        <v>15866</v>
      </c>
      <c r="B1095" t="s">
        <v>15867</v>
      </c>
      <c r="C1095" t="s">
        <v>13905</v>
      </c>
      <c r="D1095" t="s">
        <v>13901</v>
      </c>
      <c r="E1095" t="s">
        <v>13902</v>
      </c>
    </row>
    <row r="1096" spans="1:5">
      <c r="A1096" t="s">
        <v>2018</v>
      </c>
      <c r="B1096" t="s">
        <v>15868</v>
      </c>
      <c r="C1096" t="s">
        <v>13871</v>
      </c>
      <c r="D1096" t="s">
        <v>13872</v>
      </c>
      <c r="E1096" t="s">
        <v>13873</v>
      </c>
    </row>
    <row r="1097" spans="1:5">
      <c r="A1097" t="s">
        <v>1959</v>
      </c>
      <c r="B1097" t="s">
        <v>15869</v>
      </c>
      <c r="C1097" t="s">
        <v>14052</v>
      </c>
      <c r="D1097" t="s">
        <v>14053</v>
      </c>
      <c r="E1097" t="s">
        <v>14054</v>
      </c>
    </row>
    <row r="1098" spans="1:5">
      <c r="A1098" t="s">
        <v>15870</v>
      </c>
      <c r="B1098" t="s">
        <v>15871</v>
      </c>
      <c r="C1098" t="s">
        <v>14007</v>
      </c>
      <c r="D1098" t="s">
        <v>13989</v>
      </c>
      <c r="E1098" t="s">
        <v>13990</v>
      </c>
    </row>
    <row r="1099" spans="1:5">
      <c r="A1099" t="s">
        <v>15872</v>
      </c>
      <c r="B1099" t="s">
        <v>15873</v>
      </c>
      <c r="C1099" t="s">
        <v>15744</v>
      </c>
      <c r="D1099" t="s">
        <v>15333</v>
      </c>
      <c r="E1099" t="s">
        <v>15334</v>
      </c>
    </row>
    <row r="1100" spans="1:5">
      <c r="A1100" t="s">
        <v>15874</v>
      </c>
      <c r="B1100" t="s">
        <v>15875</v>
      </c>
      <c r="C1100" t="s">
        <v>14025</v>
      </c>
      <c r="D1100" t="s">
        <v>14025</v>
      </c>
      <c r="E1100" t="s">
        <v>14026</v>
      </c>
    </row>
    <row r="1101" spans="1:5">
      <c r="A1101" t="s">
        <v>15876</v>
      </c>
      <c r="B1101" t="s">
        <v>15877</v>
      </c>
      <c r="C1101" t="s">
        <v>14017</v>
      </c>
      <c r="D1101" t="s">
        <v>14018</v>
      </c>
      <c r="E1101" t="s">
        <v>14019</v>
      </c>
    </row>
    <row r="1102" spans="1:5">
      <c r="A1102" t="s">
        <v>15878</v>
      </c>
      <c r="B1102" t="s">
        <v>15879</v>
      </c>
      <c r="C1102" t="s">
        <v>13967</v>
      </c>
      <c r="D1102" t="s">
        <v>13968</v>
      </c>
      <c r="E1102" t="s">
        <v>13969</v>
      </c>
    </row>
    <row r="1103" spans="1:5">
      <c r="A1103" t="s">
        <v>2277</v>
      </c>
      <c r="B1103" t="s">
        <v>15880</v>
      </c>
      <c r="C1103" t="s">
        <v>14240</v>
      </c>
      <c r="D1103" t="s">
        <v>13872</v>
      </c>
      <c r="E1103" t="s">
        <v>13873</v>
      </c>
    </row>
    <row r="1104" spans="1:5">
      <c r="A1104" t="s">
        <v>15881</v>
      </c>
      <c r="B1104" t="s">
        <v>15882</v>
      </c>
      <c r="C1104" t="s">
        <v>13932</v>
      </c>
      <c r="D1104" t="s">
        <v>13932</v>
      </c>
      <c r="E1104" t="s">
        <v>13933</v>
      </c>
    </row>
    <row r="1105" spans="1:5">
      <c r="A1105" t="s">
        <v>15883</v>
      </c>
      <c r="B1105" t="s">
        <v>15884</v>
      </c>
      <c r="C1105" t="s">
        <v>13932</v>
      </c>
      <c r="D1105" t="s">
        <v>13932</v>
      </c>
      <c r="E1105" t="s">
        <v>13933</v>
      </c>
    </row>
    <row r="1106" spans="1:5">
      <c r="A1106" t="s">
        <v>15885</v>
      </c>
      <c r="B1106" t="s">
        <v>15886</v>
      </c>
      <c r="C1106" t="s">
        <v>13938</v>
      </c>
      <c r="D1106" t="s">
        <v>13939</v>
      </c>
      <c r="E1106" t="s">
        <v>13940</v>
      </c>
    </row>
    <row r="1107" spans="1:5">
      <c r="A1107" t="s">
        <v>15887</v>
      </c>
      <c r="B1107" t="s">
        <v>15888</v>
      </c>
      <c r="C1107" t="s">
        <v>13922</v>
      </c>
      <c r="D1107" t="s">
        <v>13923</v>
      </c>
      <c r="E1107" t="s">
        <v>13924</v>
      </c>
    </row>
    <row r="1108" spans="1:5">
      <c r="A1108" t="s">
        <v>15889</v>
      </c>
      <c r="B1108" t="s">
        <v>15890</v>
      </c>
      <c r="C1108" t="s">
        <v>13935</v>
      </c>
      <c r="D1108" t="s">
        <v>13935</v>
      </c>
      <c r="E1108" t="s">
        <v>13936</v>
      </c>
    </row>
    <row r="1109" spans="1:5">
      <c r="A1109" t="s">
        <v>15891</v>
      </c>
      <c r="B1109" t="s">
        <v>15892</v>
      </c>
      <c r="C1109" t="s">
        <v>13935</v>
      </c>
      <c r="D1109" t="s">
        <v>13935</v>
      </c>
      <c r="E1109" t="s">
        <v>13936</v>
      </c>
    </row>
    <row r="1110" spans="1:5">
      <c r="A1110" t="s">
        <v>3467</v>
      </c>
      <c r="B1110" t="s">
        <v>15893</v>
      </c>
      <c r="C1110" t="s">
        <v>13935</v>
      </c>
      <c r="D1110" t="s">
        <v>13935</v>
      </c>
      <c r="E1110" t="s">
        <v>13936</v>
      </c>
    </row>
    <row r="1111" spans="1:5">
      <c r="A1111" t="s">
        <v>15894</v>
      </c>
      <c r="B1111" t="s">
        <v>15895</v>
      </c>
      <c r="C1111" t="s">
        <v>14240</v>
      </c>
      <c r="D1111" t="s">
        <v>13872</v>
      </c>
      <c r="E1111" t="s">
        <v>13873</v>
      </c>
    </row>
    <row r="1112" spans="1:5">
      <c r="A1112" t="s">
        <v>15896</v>
      </c>
      <c r="B1112" t="s">
        <v>15897</v>
      </c>
      <c r="C1112" t="s">
        <v>14519</v>
      </c>
      <c r="D1112" t="s">
        <v>14482</v>
      </c>
      <c r="E1112" t="s">
        <v>14483</v>
      </c>
    </row>
    <row r="1113" spans="1:5">
      <c r="A1113" t="s">
        <v>15898</v>
      </c>
      <c r="B1113" t="s">
        <v>15899</v>
      </c>
      <c r="C1113" t="s">
        <v>13905</v>
      </c>
      <c r="D1113" t="s">
        <v>13901</v>
      </c>
      <c r="E1113" t="s">
        <v>13902</v>
      </c>
    </row>
    <row r="1114" spans="1:5">
      <c r="A1114" t="s">
        <v>1607</v>
      </c>
      <c r="B1114" t="s">
        <v>15900</v>
      </c>
      <c r="C1114" t="s">
        <v>14767</v>
      </c>
      <c r="D1114" t="s">
        <v>14768</v>
      </c>
      <c r="E1114" t="s">
        <v>14769</v>
      </c>
    </row>
    <row r="1115" spans="1:5">
      <c r="A1115" t="s">
        <v>2566</v>
      </c>
      <c r="B1115" t="s">
        <v>15901</v>
      </c>
      <c r="C1115" t="s">
        <v>14007</v>
      </c>
      <c r="D1115" t="s">
        <v>13989</v>
      </c>
      <c r="E1115" t="s">
        <v>13990</v>
      </c>
    </row>
    <row r="1116" spans="1:5">
      <c r="A1116" t="s">
        <v>80</v>
      </c>
      <c r="B1116" t="s">
        <v>15902</v>
      </c>
      <c r="C1116" t="s">
        <v>13905</v>
      </c>
      <c r="D1116" t="s">
        <v>13901</v>
      </c>
      <c r="E1116" t="s">
        <v>13902</v>
      </c>
    </row>
    <row r="1117" spans="1:5">
      <c r="A1117" t="s">
        <v>15903</v>
      </c>
      <c r="B1117" t="s">
        <v>15904</v>
      </c>
      <c r="C1117" t="s">
        <v>13905</v>
      </c>
      <c r="D1117" t="s">
        <v>13901</v>
      </c>
      <c r="E1117" t="s">
        <v>13902</v>
      </c>
    </row>
    <row r="1118" spans="1:5">
      <c r="A1118" t="s">
        <v>15905</v>
      </c>
      <c r="B1118" t="s">
        <v>15906</v>
      </c>
      <c r="C1118" t="s">
        <v>14294</v>
      </c>
      <c r="D1118" t="s">
        <v>14295</v>
      </c>
      <c r="E1118" t="s">
        <v>14296</v>
      </c>
    </row>
    <row r="1119" spans="1:5">
      <c r="A1119" t="s">
        <v>15907</v>
      </c>
      <c r="B1119" t="s">
        <v>15908</v>
      </c>
      <c r="C1119" t="s">
        <v>14183</v>
      </c>
      <c r="D1119" t="s">
        <v>13916</v>
      </c>
      <c r="E1119" t="s">
        <v>14184</v>
      </c>
    </row>
    <row r="1120" spans="1:5">
      <c r="A1120" t="s">
        <v>15909</v>
      </c>
      <c r="B1120" t="s">
        <v>15910</v>
      </c>
      <c r="C1120" t="s">
        <v>14183</v>
      </c>
      <c r="D1120" t="s">
        <v>13916</v>
      </c>
      <c r="E1120" t="s">
        <v>14184</v>
      </c>
    </row>
    <row r="1121" spans="1:5">
      <c r="A1121" t="s">
        <v>15911</v>
      </c>
      <c r="B1121" t="s">
        <v>15912</v>
      </c>
      <c r="C1121" t="s">
        <v>14224</v>
      </c>
      <c r="D1121" t="s">
        <v>14002</v>
      </c>
      <c r="E1121" t="s">
        <v>14003</v>
      </c>
    </row>
    <row r="1122" spans="1:5">
      <c r="A1122" t="s">
        <v>15913</v>
      </c>
      <c r="B1122" t="s">
        <v>15914</v>
      </c>
      <c r="C1122" t="s">
        <v>14201</v>
      </c>
      <c r="D1122" t="s">
        <v>14040</v>
      </c>
      <c r="E1122" t="s">
        <v>14041</v>
      </c>
    </row>
    <row r="1123" spans="1:5">
      <c r="A1123" t="s">
        <v>229</v>
      </c>
      <c r="B1123" t="s">
        <v>15915</v>
      </c>
      <c r="C1123" t="s">
        <v>13943</v>
      </c>
      <c r="D1123" t="s">
        <v>13901</v>
      </c>
      <c r="E1123" t="s">
        <v>13902</v>
      </c>
    </row>
    <row r="1124" spans="1:5">
      <c r="A1124" t="s">
        <v>15916</v>
      </c>
      <c r="B1124" t="s">
        <v>15917</v>
      </c>
      <c r="C1124" t="s">
        <v>13943</v>
      </c>
      <c r="D1124" t="s">
        <v>13901</v>
      </c>
      <c r="E1124" t="s">
        <v>13902</v>
      </c>
    </row>
    <row r="1125" spans="1:5">
      <c r="A1125" t="s">
        <v>15918</v>
      </c>
      <c r="B1125" t="s">
        <v>15919</v>
      </c>
      <c r="C1125" t="s">
        <v>13943</v>
      </c>
      <c r="D1125" t="s">
        <v>13901</v>
      </c>
      <c r="E1125" t="s">
        <v>13902</v>
      </c>
    </row>
    <row r="1126" spans="1:5">
      <c r="A1126" t="s">
        <v>15920</v>
      </c>
      <c r="B1126" t="s">
        <v>15921</v>
      </c>
      <c r="C1126" t="s">
        <v>13871</v>
      </c>
      <c r="D1126" t="s">
        <v>13872</v>
      </c>
      <c r="E1126" t="s">
        <v>13873</v>
      </c>
    </row>
    <row r="1127" spans="1:5">
      <c r="A1127" t="s">
        <v>885</v>
      </c>
      <c r="B1127" t="s">
        <v>15922</v>
      </c>
      <c r="C1127" t="s">
        <v>14554</v>
      </c>
      <c r="D1127" t="s">
        <v>13901</v>
      </c>
      <c r="E1127" t="s">
        <v>13902</v>
      </c>
    </row>
    <row r="1128" spans="1:5">
      <c r="A1128" t="s">
        <v>15923</v>
      </c>
      <c r="B1128" t="s">
        <v>15924</v>
      </c>
      <c r="C1128" t="s">
        <v>14222</v>
      </c>
      <c r="D1128" t="s">
        <v>13901</v>
      </c>
      <c r="E1128" t="s">
        <v>13902</v>
      </c>
    </row>
    <row r="1129" spans="1:5">
      <c r="A1129" t="s">
        <v>15925</v>
      </c>
      <c r="B1129" t="s">
        <v>15926</v>
      </c>
      <c r="C1129" t="s">
        <v>14222</v>
      </c>
      <c r="D1129" t="s">
        <v>13901</v>
      </c>
      <c r="E1129" t="s">
        <v>13902</v>
      </c>
    </row>
    <row r="1130" spans="1:5">
      <c r="A1130" t="s">
        <v>15927</v>
      </c>
      <c r="B1130" t="s">
        <v>15928</v>
      </c>
      <c r="C1130" t="s">
        <v>13909</v>
      </c>
      <c r="D1130" t="s">
        <v>13901</v>
      </c>
      <c r="E1130" t="s">
        <v>13902</v>
      </c>
    </row>
    <row r="1131" spans="1:5">
      <c r="A1131" t="s">
        <v>15929</v>
      </c>
      <c r="B1131" t="s">
        <v>15930</v>
      </c>
      <c r="C1131" t="s">
        <v>13909</v>
      </c>
      <c r="D1131" t="s">
        <v>13901</v>
      </c>
      <c r="E1131" t="s">
        <v>13902</v>
      </c>
    </row>
    <row r="1132" spans="1:5">
      <c r="A1132" t="s">
        <v>15931</v>
      </c>
      <c r="B1132" t="s">
        <v>15932</v>
      </c>
      <c r="C1132" t="s">
        <v>14057</v>
      </c>
      <c r="D1132" t="s">
        <v>14058</v>
      </c>
      <c r="E1132" t="s">
        <v>14059</v>
      </c>
    </row>
    <row r="1133" spans="1:5">
      <c r="A1133" t="s">
        <v>15933</v>
      </c>
      <c r="B1133" t="s">
        <v>15934</v>
      </c>
      <c r="C1133" t="s">
        <v>13951</v>
      </c>
      <c r="D1133" t="s">
        <v>13927</v>
      </c>
      <c r="E1133" t="s">
        <v>13928</v>
      </c>
    </row>
    <row r="1134" spans="1:5">
      <c r="A1134" t="s">
        <v>15935</v>
      </c>
      <c r="B1134" t="s">
        <v>15936</v>
      </c>
      <c r="C1134" t="s">
        <v>14780</v>
      </c>
      <c r="D1134" t="s">
        <v>14781</v>
      </c>
      <c r="E1134" t="s">
        <v>14782</v>
      </c>
    </row>
    <row r="1135" spans="1:5">
      <c r="A1135" t="s">
        <v>15937</v>
      </c>
      <c r="B1135" t="s">
        <v>15938</v>
      </c>
      <c r="C1135" t="s">
        <v>14061</v>
      </c>
      <c r="D1135" t="s">
        <v>13913</v>
      </c>
      <c r="E1135" t="s">
        <v>13914</v>
      </c>
    </row>
    <row r="1136" spans="1:5">
      <c r="A1136" t="s">
        <v>15939</v>
      </c>
      <c r="B1136" t="s">
        <v>15940</v>
      </c>
      <c r="C1136" t="s">
        <v>14061</v>
      </c>
      <c r="D1136" t="s">
        <v>13913</v>
      </c>
      <c r="E1136" t="s">
        <v>13914</v>
      </c>
    </row>
    <row r="1137" spans="1:5">
      <c r="A1137" t="s">
        <v>15941</v>
      </c>
      <c r="B1137" t="s">
        <v>15942</v>
      </c>
      <c r="C1137" t="s">
        <v>14061</v>
      </c>
      <c r="D1137" t="s">
        <v>13913</v>
      </c>
      <c r="E1137" t="s">
        <v>13914</v>
      </c>
    </row>
    <row r="1138" spans="1:5">
      <c r="A1138" t="s">
        <v>15943</v>
      </c>
      <c r="B1138" t="s">
        <v>15944</v>
      </c>
      <c r="C1138" t="s">
        <v>14061</v>
      </c>
      <c r="D1138" t="s">
        <v>13913</v>
      </c>
      <c r="E1138" t="s">
        <v>13914</v>
      </c>
    </row>
    <row r="1139" spans="1:5">
      <c r="A1139" t="s">
        <v>15945</v>
      </c>
      <c r="B1139" t="s">
        <v>15946</v>
      </c>
      <c r="C1139" t="s">
        <v>14061</v>
      </c>
      <c r="D1139" t="s">
        <v>13913</v>
      </c>
      <c r="E1139" t="s">
        <v>13914</v>
      </c>
    </row>
    <row r="1140" spans="1:5">
      <c r="A1140" t="s">
        <v>15947</v>
      </c>
      <c r="B1140" t="s">
        <v>15948</v>
      </c>
      <c r="C1140" t="s">
        <v>14012</v>
      </c>
      <c r="D1140" t="s">
        <v>13927</v>
      </c>
      <c r="E1140" t="s">
        <v>13928</v>
      </c>
    </row>
    <row r="1141" spans="1:5">
      <c r="A1141" t="s">
        <v>1233</v>
      </c>
      <c r="B1141" t="s">
        <v>15949</v>
      </c>
      <c r="C1141" t="s">
        <v>14012</v>
      </c>
      <c r="D1141" t="s">
        <v>13927</v>
      </c>
      <c r="E1141" t="s">
        <v>13928</v>
      </c>
    </row>
    <row r="1142" spans="1:5">
      <c r="A1142" t="s">
        <v>15950</v>
      </c>
      <c r="B1142" t="s">
        <v>15951</v>
      </c>
      <c r="C1142" t="s">
        <v>14021</v>
      </c>
      <c r="D1142" t="s">
        <v>14021</v>
      </c>
      <c r="E1142" t="s">
        <v>14022</v>
      </c>
    </row>
    <row r="1143" spans="1:5">
      <c r="A1143" t="s">
        <v>15952</v>
      </c>
      <c r="B1143" t="s">
        <v>15953</v>
      </c>
      <c r="C1143" t="s">
        <v>13988</v>
      </c>
      <c r="D1143" t="s">
        <v>13989</v>
      </c>
      <c r="E1143" t="s">
        <v>13990</v>
      </c>
    </row>
    <row r="1144" spans="1:5">
      <c r="A1144" t="s">
        <v>1956</v>
      </c>
      <c r="B1144" t="s">
        <v>15954</v>
      </c>
      <c r="C1144" t="s">
        <v>13988</v>
      </c>
      <c r="D1144" t="s">
        <v>13989</v>
      </c>
      <c r="E1144" t="s">
        <v>13990</v>
      </c>
    </row>
    <row r="1145" spans="1:5">
      <c r="A1145" t="s">
        <v>2009</v>
      </c>
      <c r="B1145" t="s">
        <v>15955</v>
      </c>
      <c r="C1145" t="s">
        <v>13988</v>
      </c>
      <c r="D1145" t="s">
        <v>13989</v>
      </c>
      <c r="E1145" t="s">
        <v>13990</v>
      </c>
    </row>
    <row r="1146" spans="1:5">
      <c r="A1146" t="s">
        <v>15956</v>
      </c>
      <c r="B1146" t="s">
        <v>15957</v>
      </c>
      <c r="C1146" t="s">
        <v>13988</v>
      </c>
      <c r="D1146" t="s">
        <v>13989</v>
      </c>
      <c r="E1146" t="s">
        <v>13990</v>
      </c>
    </row>
    <row r="1147" spans="1:5">
      <c r="A1147" t="s">
        <v>15958</v>
      </c>
      <c r="B1147" t="s">
        <v>15959</v>
      </c>
      <c r="C1147" t="s">
        <v>13988</v>
      </c>
      <c r="D1147" t="s">
        <v>13989</v>
      </c>
      <c r="E1147" t="s">
        <v>13990</v>
      </c>
    </row>
    <row r="1148" spans="1:5">
      <c r="A1148" t="s">
        <v>2999</v>
      </c>
      <c r="B1148" t="s">
        <v>15960</v>
      </c>
      <c r="C1148" t="s">
        <v>14183</v>
      </c>
      <c r="D1148" t="s">
        <v>13916</v>
      </c>
      <c r="E1148" t="s">
        <v>14184</v>
      </c>
    </row>
    <row r="1149" spans="1:5">
      <c r="A1149" t="s">
        <v>15961</v>
      </c>
      <c r="B1149" t="s">
        <v>15962</v>
      </c>
      <c r="C1149" t="s">
        <v>14601</v>
      </c>
      <c r="D1149" t="s">
        <v>14601</v>
      </c>
      <c r="E1149" t="s">
        <v>14602</v>
      </c>
    </row>
    <row r="1150" spans="1:5">
      <c r="A1150" t="s">
        <v>15963</v>
      </c>
      <c r="B1150" t="s">
        <v>15964</v>
      </c>
      <c r="C1150" t="s">
        <v>14945</v>
      </c>
      <c r="D1150" t="s">
        <v>14455</v>
      </c>
      <c r="E1150" t="s">
        <v>14456</v>
      </c>
    </row>
    <row r="1151" spans="1:5">
      <c r="A1151" t="s">
        <v>2620</v>
      </c>
      <c r="B1151" t="s">
        <v>15965</v>
      </c>
      <c r="C1151" t="s">
        <v>14380</v>
      </c>
      <c r="D1151" t="s">
        <v>14381</v>
      </c>
      <c r="E1151" t="s">
        <v>14382</v>
      </c>
    </row>
    <row r="1152" spans="1:5">
      <c r="A1152" t="s">
        <v>15966</v>
      </c>
      <c r="B1152" t="s">
        <v>15967</v>
      </c>
      <c r="C1152" t="s">
        <v>14072</v>
      </c>
      <c r="D1152" t="s">
        <v>14073</v>
      </c>
      <c r="E1152" t="s">
        <v>14074</v>
      </c>
    </row>
    <row r="1153" spans="1:5">
      <c r="A1153" t="s">
        <v>15968</v>
      </c>
      <c r="B1153" t="s">
        <v>15969</v>
      </c>
      <c r="C1153" t="s">
        <v>13900</v>
      </c>
      <c r="D1153" t="s">
        <v>13901</v>
      </c>
      <c r="E1153" t="s">
        <v>13902</v>
      </c>
    </row>
    <row r="1154" spans="1:5">
      <c r="A1154" t="s">
        <v>15970</v>
      </c>
      <c r="B1154" t="s">
        <v>15971</v>
      </c>
      <c r="C1154" t="s">
        <v>14001</v>
      </c>
      <c r="D1154" t="s">
        <v>14002</v>
      </c>
      <c r="E1154" t="s">
        <v>14003</v>
      </c>
    </row>
    <row r="1155" spans="1:5">
      <c r="A1155" t="s">
        <v>15972</v>
      </c>
      <c r="B1155" t="s">
        <v>15973</v>
      </c>
      <c r="C1155" t="s">
        <v>14001</v>
      </c>
      <c r="D1155" t="s">
        <v>14002</v>
      </c>
      <c r="E1155" t="s">
        <v>14003</v>
      </c>
    </row>
    <row r="1156" spans="1:5">
      <c r="A1156" t="s">
        <v>15974</v>
      </c>
      <c r="B1156" t="s">
        <v>15975</v>
      </c>
      <c r="C1156" t="s">
        <v>14001</v>
      </c>
      <c r="D1156" t="s">
        <v>14002</v>
      </c>
      <c r="E1156" t="s">
        <v>14003</v>
      </c>
    </row>
    <row r="1157" spans="1:5">
      <c r="A1157" t="s">
        <v>15976</v>
      </c>
      <c r="B1157" t="s">
        <v>15977</v>
      </c>
      <c r="C1157" t="s">
        <v>13935</v>
      </c>
      <c r="D1157" t="s">
        <v>13935</v>
      </c>
      <c r="E1157" t="s">
        <v>13936</v>
      </c>
    </row>
    <row r="1158" spans="1:5">
      <c r="A1158" t="s">
        <v>15978</v>
      </c>
      <c r="B1158" t="s">
        <v>15979</v>
      </c>
      <c r="C1158" t="s">
        <v>13935</v>
      </c>
      <c r="D1158" t="s">
        <v>13935</v>
      </c>
      <c r="E1158" t="s">
        <v>13936</v>
      </c>
    </row>
    <row r="1159" spans="1:5">
      <c r="A1159" t="s">
        <v>15980</v>
      </c>
      <c r="B1159" t="s">
        <v>15981</v>
      </c>
      <c r="C1159" t="s">
        <v>13943</v>
      </c>
      <c r="D1159" t="s">
        <v>13901</v>
      </c>
      <c r="E1159" t="s">
        <v>13902</v>
      </c>
    </row>
    <row r="1160" spans="1:5">
      <c r="A1160" t="s">
        <v>3189</v>
      </c>
      <c r="B1160" t="s">
        <v>15982</v>
      </c>
      <c r="C1160" t="s">
        <v>15983</v>
      </c>
      <c r="D1160" t="s">
        <v>14408</v>
      </c>
      <c r="E1160" t="s">
        <v>14409</v>
      </c>
    </row>
    <row r="1161" spans="1:5">
      <c r="A1161" t="s">
        <v>15984</v>
      </c>
      <c r="B1161" t="s">
        <v>15985</v>
      </c>
      <c r="C1161" t="s">
        <v>14580</v>
      </c>
      <c r="D1161" t="s">
        <v>14002</v>
      </c>
      <c r="E1161" t="s">
        <v>14003</v>
      </c>
    </row>
    <row r="1162" spans="1:5">
      <c r="A1162" t="s">
        <v>15986</v>
      </c>
      <c r="B1162" t="s">
        <v>15987</v>
      </c>
      <c r="C1162" t="s">
        <v>14861</v>
      </c>
      <c r="D1162" t="s">
        <v>14862</v>
      </c>
      <c r="E1162" t="s">
        <v>14863</v>
      </c>
    </row>
    <row r="1163" spans="1:5">
      <c r="A1163" t="s">
        <v>15988</v>
      </c>
      <c r="B1163" t="s">
        <v>15989</v>
      </c>
      <c r="C1163" t="s">
        <v>15990</v>
      </c>
      <c r="D1163" t="s">
        <v>14620</v>
      </c>
      <c r="E1163" t="s">
        <v>14621</v>
      </c>
    </row>
    <row r="1164" spans="1:5">
      <c r="A1164" t="s">
        <v>15991</v>
      </c>
      <c r="B1164" t="s">
        <v>15992</v>
      </c>
      <c r="C1164" t="s">
        <v>15993</v>
      </c>
      <c r="D1164" t="s">
        <v>14327</v>
      </c>
      <c r="E1164" t="s">
        <v>14328</v>
      </c>
    </row>
    <row r="1165" spans="1:5">
      <c r="A1165" t="s">
        <v>15994</v>
      </c>
      <c r="B1165" t="s">
        <v>15995</v>
      </c>
      <c r="C1165" t="s">
        <v>14956</v>
      </c>
      <c r="D1165" t="s">
        <v>14957</v>
      </c>
      <c r="E1165" t="s">
        <v>14958</v>
      </c>
    </row>
    <row r="1166" spans="1:5">
      <c r="A1166" t="s">
        <v>1857</v>
      </c>
      <c r="B1166" t="s">
        <v>15996</v>
      </c>
      <c r="C1166" t="s">
        <v>15082</v>
      </c>
      <c r="D1166" t="s">
        <v>14429</v>
      </c>
      <c r="E1166" t="s">
        <v>14430</v>
      </c>
    </row>
    <row r="1167" spans="1:5">
      <c r="A1167" t="s">
        <v>15997</v>
      </c>
      <c r="B1167" t="s">
        <v>15998</v>
      </c>
      <c r="C1167" t="s">
        <v>15999</v>
      </c>
      <c r="D1167" t="s">
        <v>14078</v>
      </c>
      <c r="E1167" t="s">
        <v>14079</v>
      </c>
    </row>
    <row r="1168" spans="1:5">
      <c r="A1168" t="s">
        <v>16000</v>
      </c>
      <c r="B1168" t="s">
        <v>16001</v>
      </c>
      <c r="C1168" t="s">
        <v>14977</v>
      </c>
      <c r="D1168" t="s">
        <v>14968</v>
      </c>
      <c r="E1168" t="s">
        <v>14969</v>
      </c>
    </row>
    <row r="1169" spans="1:5">
      <c r="A1169" t="s">
        <v>16002</v>
      </c>
      <c r="B1169" t="s">
        <v>16003</v>
      </c>
      <c r="C1169" t="s">
        <v>13884</v>
      </c>
      <c r="D1169" t="s">
        <v>13885</v>
      </c>
      <c r="E1169" t="s">
        <v>13886</v>
      </c>
    </row>
    <row r="1170" spans="1:5">
      <c r="A1170" t="s">
        <v>16004</v>
      </c>
      <c r="B1170" t="s">
        <v>16005</v>
      </c>
      <c r="C1170" t="s">
        <v>16006</v>
      </c>
      <c r="D1170" t="s">
        <v>13913</v>
      </c>
      <c r="E1170" t="s">
        <v>13914</v>
      </c>
    </row>
    <row r="1171" spans="1:5">
      <c r="A1171" t="s">
        <v>1986</v>
      </c>
      <c r="B1171" t="s">
        <v>16007</v>
      </c>
      <c r="C1171" t="s">
        <v>14106</v>
      </c>
      <c r="D1171" t="s">
        <v>14107</v>
      </c>
      <c r="E1171" t="s">
        <v>14108</v>
      </c>
    </row>
    <row r="1172" spans="1:5">
      <c r="A1172" t="s">
        <v>16008</v>
      </c>
      <c r="B1172" t="s">
        <v>16009</v>
      </c>
      <c r="C1172" t="s">
        <v>16010</v>
      </c>
      <c r="D1172" t="s">
        <v>13872</v>
      </c>
      <c r="E1172" t="s">
        <v>13873</v>
      </c>
    </row>
    <row r="1173" spans="1:5">
      <c r="A1173" t="s">
        <v>16011</v>
      </c>
      <c r="B1173" t="s">
        <v>16012</v>
      </c>
      <c r="C1173" t="s">
        <v>14012</v>
      </c>
      <c r="D1173" t="s">
        <v>13927</v>
      </c>
      <c r="E1173" t="s">
        <v>13928</v>
      </c>
    </row>
    <row r="1174" spans="1:5">
      <c r="A1174" t="s">
        <v>16013</v>
      </c>
      <c r="B1174" t="s">
        <v>16014</v>
      </c>
      <c r="C1174" t="s">
        <v>16015</v>
      </c>
      <c r="D1174" t="s">
        <v>13916</v>
      </c>
      <c r="E1174" t="s">
        <v>14184</v>
      </c>
    </row>
    <row r="1175" spans="1:5">
      <c r="A1175" t="s">
        <v>16016</v>
      </c>
      <c r="B1175" t="s">
        <v>16017</v>
      </c>
      <c r="C1175" t="s">
        <v>13967</v>
      </c>
      <c r="D1175" t="s">
        <v>13968</v>
      </c>
      <c r="E1175" t="s">
        <v>13969</v>
      </c>
    </row>
    <row r="1176" spans="1:5">
      <c r="A1176" t="s">
        <v>16018</v>
      </c>
      <c r="B1176" t="s">
        <v>16019</v>
      </c>
      <c r="C1176" t="s">
        <v>14044</v>
      </c>
      <c r="D1176" t="s">
        <v>13881</v>
      </c>
      <c r="E1176" t="s">
        <v>13882</v>
      </c>
    </row>
    <row r="1177" spans="1:5">
      <c r="A1177" t="s">
        <v>3589</v>
      </c>
      <c r="B1177" t="s">
        <v>16020</v>
      </c>
      <c r="C1177" t="s">
        <v>14886</v>
      </c>
      <c r="D1177" t="s">
        <v>14250</v>
      </c>
      <c r="E1177" t="s">
        <v>14251</v>
      </c>
    </row>
    <row r="1178" spans="1:5">
      <c r="A1178" t="s">
        <v>2818</v>
      </c>
      <c r="B1178" t="s">
        <v>16021</v>
      </c>
      <c r="C1178" t="s">
        <v>14183</v>
      </c>
      <c r="D1178" t="s">
        <v>13916</v>
      </c>
      <c r="E1178" t="s">
        <v>14184</v>
      </c>
    </row>
    <row r="1179" spans="1:5">
      <c r="A1179" t="s">
        <v>16022</v>
      </c>
      <c r="B1179" t="s">
        <v>16023</v>
      </c>
      <c r="C1179" t="s">
        <v>13916</v>
      </c>
      <c r="D1179" t="s">
        <v>13901</v>
      </c>
      <c r="E1179" t="s">
        <v>13902</v>
      </c>
    </row>
    <row r="1180" spans="1:5">
      <c r="A1180" t="s">
        <v>2576</v>
      </c>
      <c r="B1180" t="s">
        <v>16024</v>
      </c>
      <c r="C1180" t="s">
        <v>13916</v>
      </c>
      <c r="D1180" t="s">
        <v>13901</v>
      </c>
      <c r="E1180" t="s">
        <v>13902</v>
      </c>
    </row>
    <row r="1181" spans="1:5">
      <c r="A1181" t="s">
        <v>6708</v>
      </c>
      <c r="B1181" t="s">
        <v>16025</v>
      </c>
      <c r="C1181" t="s">
        <v>13916</v>
      </c>
      <c r="D1181" t="s">
        <v>13901</v>
      </c>
      <c r="E1181" t="s">
        <v>13902</v>
      </c>
    </row>
    <row r="1182" spans="1:5">
      <c r="A1182" t="s">
        <v>6709</v>
      </c>
      <c r="B1182" t="s">
        <v>16026</v>
      </c>
      <c r="C1182" t="s">
        <v>13916</v>
      </c>
      <c r="D1182" t="s">
        <v>13901</v>
      </c>
      <c r="E1182" t="s">
        <v>13902</v>
      </c>
    </row>
    <row r="1183" spans="1:5">
      <c r="A1183" t="s">
        <v>16027</v>
      </c>
      <c r="B1183" t="s">
        <v>16028</v>
      </c>
      <c r="C1183" t="s">
        <v>13916</v>
      </c>
      <c r="D1183" t="s">
        <v>13901</v>
      </c>
      <c r="E1183" t="s">
        <v>13902</v>
      </c>
    </row>
    <row r="1184" spans="1:5">
      <c r="A1184" t="s">
        <v>6710</v>
      </c>
      <c r="B1184" t="s">
        <v>16029</v>
      </c>
      <c r="C1184" t="s">
        <v>13916</v>
      </c>
      <c r="D1184" t="s">
        <v>13901</v>
      </c>
      <c r="E1184" t="s">
        <v>13902</v>
      </c>
    </row>
    <row r="1185" spans="1:5">
      <c r="A1185" t="s">
        <v>16030</v>
      </c>
      <c r="B1185" t="s">
        <v>16031</v>
      </c>
      <c r="C1185" t="s">
        <v>13916</v>
      </c>
      <c r="D1185" t="s">
        <v>13901</v>
      </c>
      <c r="E1185" t="s">
        <v>13902</v>
      </c>
    </row>
    <row r="1186" spans="1:5">
      <c r="A1186" t="s">
        <v>16032</v>
      </c>
      <c r="B1186" t="s">
        <v>16033</v>
      </c>
      <c r="C1186" t="s">
        <v>13916</v>
      </c>
      <c r="D1186" t="s">
        <v>13901</v>
      </c>
      <c r="E1186" t="s">
        <v>13902</v>
      </c>
    </row>
    <row r="1187" spans="1:5">
      <c r="A1187" t="s">
        <v>16034</v>
      </c>
      <c r="B1187" t="s">
        <v>16035</v>
      </c>
      <c r="C1187" t="s">
        <v>13916</v>
      </c>
      <c r="D1187" t="s">
        <v>13901</v>
      </c>
      <c r="E1187" t="s">
        <v>13902</v>
      </c>
    </row>
    <row r="1188" spans="1:5">
      <c r="A1188" t="s">
        <v>16036</v>
      </c>
      <c r="B1188" t="s">
        <v>16037</v>
      </c>
      <c r="C1188" t="s">
        <v>13916</v>
      </c>
      <c r="D1188" t="s">
        <v>13901</v>
      </c>
      <c r="E1188" t="s">
        <v>13902</v>
      </c>
    </row>
    <row r="1189" spans="1:5">
      <c r="A1189" t="s">
        <v>2182</v>
      </c>
      <c r="B1189" t="s">
        <v>16038</v>
      </c>
      <c r="C1189" t="s">
        <v>16039</v>
      </c>
      <c r="D1189" t="s">
        <v>14021</v>
      </c>
      <c r="E1189" t="s">
        <v>14022</v>
      </c>
    </row>
    <row r="1190" spans="1:5">
      <c r="A1190" t="s">
        <v>2868</v>
      </c>
      <c r="B1190" t="s">
        <v>16040</v>
      </c>
      <c r="C1190" t="s">
        <v>14061</v>
      </c>
      <c r="D1190" t="s">
        <v>13913</v>
      </c>
      <c r="E1190" t="s">
        <v>13914</v>
      </c>
    </row>
    <row r="1191" spans="1:5">
      <c r="A1191" t="s">
        <v>6713</v>
      </c>
      <c r="B1191" t="s">
        <v>16041</v>
      </c>
      <c r="C1191" t="s">
        <v>13943</v>
      </c>
      <c r="D1191" t="s">
        <v>13901</v>
      </c>
      <c r="E1191" t="s">
        <v>13902</v>
      </c>
    </row>
    <row r="1192" spans="1:5">
      <c r="A1192" t="s">
        <v>16042</v>
      </c>
      <c r="B1192" t="s">
        <v>16043</v>
      </c>
      <c r="C1192" t="s">
        <v>16044</v>
      </c>
      <c r="D1192" t="s">
        <v>14868</v>
      </c>
      <c r="E1192" t="s">
        <v>14869</v>
      </c>
    </row>
    <row r="1193" spans="1:5">
      <c r="A1193" t="s">
        <v>16045</v>
      </c>
      <c r="B1193" t="s">
        <v>16046</v>
      </c>
      <c r="C1193" t="s">
        <v>14227</v>
      </c>
      <c r="D1193" t="s">
        <v>13951</v>
      </c>
      <c r="E1193" t="s">
        <v>13952</v>
      </c>
    </row>
    <row r="1194" spans="1:5">
      <c r="A1194" t="s">
        <v>2495</v>
      </c>
      <c r="B1194" t="s">
        <v>16047</v>
      </c>
      <c r="C1194" t="s">
        <v>14364</v>
      </c>
      <c r="D1194" t="s">
        <v>14211</v>
      </c>
      <c r="E1194" t="s">
        <v>14212</v>
      </c>
    </row>
    <row r="1195" spans="1:5">
      <c r="A1195" t="s">
        <v>16048</v>
      </c>
      <c r="B1195" t="s">
        <v>16049</v>
      </c>
      <c r="C1195" t="s">
        <v>14305</v>
      </c>
      <c r="D1195" t="s">
        <v>14306</v>
      </c>
      <c r="E1195" t="s">
        <v>14307</v>
      </c>
    </row>
    <row r="1196" spans="1:5">
      <c r="A1196" t="s">
        <v>3086</v>
      </c>
      <c r="B1196" t="s">
        <v>16050</v>
      </c>
      <c r="C1196" t="s">
        <v>14284</v>
      </c>
      <c r="D1196" t="s">
        <v>14285</v>
      </c>
      <c r="E1196" t="s">
        <v>14286</v>
      </c>
    </row>
    <row r="1197" spans="1:5">
      <c r="A1197" t="s">
        <v>16051</v>
      </c>
      <c r="B1197" t="s">
        <v>16052</v>
      </c>
      <c r="C1197" t="s">
        <v>14284</v>
      </c>
      <c r="D1197" t="s">
        <v>14285</v>
      </c>
      <c r="E1197" t="s">
        <v>14286</v>
      </c>
    </row>
    <row r="1198" spans="1:5">
      <c r="A1198" t="s">
        <v>2607</v>
      </c>
      <c r="B1198" t="s">
        <v>16053</v>
      </c>
      <c r="C1198" t="s">
        <v>14672</v>
      </c>
      <c r="D1198" t="s">
        <v>14673</v>
      </c>
      <c r="E1198" t="s">
        <v>14674</v>
      </c>
    </row>
    <row r="1199" spans="1:5">
      <c r="A1199" t="s">
        <v>3076</v>
      </c>
      <c r="B1199" t="s">
        <v>16054</v>
      </c>
      <c r="C1199" t="s">
        <v>14072</v>
      </c>
      <c r="D1199" t="s">
        <v>14073</v>
      </c>
      <c r="E1199" t="s">
        <v>14074</v>
      </c>
    </row>
    <row r="1200" spans="1:5">
      <c r="A1200" t="s">
        <v>110</v>
      </c>
      <c r="B1200" t="s">
        <v>16055</v>
      </c>
      <c r="C1200" t="s">
        <v>13916</v>
      </c>
      <c r="D1200" t="s">
        <v>13901</v>
      </c>
      <c r="E1200" t="s">
        <v>13902</v>
      </c>
    </row>
    <row r="1201" spans="1:5">
      <c r="A1201" t="s">
        <v>16056</v>
      </c>
      <c r="B1201" t="s">
        <v>16057</v>
      </c>
      <c r="C1201" t="s">
        <v>14025</v>
      </c>
      <c r="D1201" t="s">
        <v>14025</v>
      </c>
      <c r="E1201" t="s">
        <v>14026</v>
      </c>
    </row>
    <row r="1202" spans="1:5">
      <c r="A1202" t="s">
        <v>16058</v>
      </c>
      <c r="B1202" t="s">
        <v>16059</v>
      </c>
      <c r="C1202" t="s">
        <v>13871</v>
      </c>
      <c r="D1202" t="s">
        <v>13872</v>
      </c>
      <c r="E1202" t="s">
        <v>13873</v>
      </c>
    </row>
    <row r="1203" spans="1:5">
      <c r="A1203" t="s">
        <v>2308</v>
      </c>
      <c r="B1203" t="s">
        <v>16060</v>
      </c>
      <c r="C1203" t="s">
        <v>13871</v>
      </c>
      <c r="D1203" t="s">
        <v>13872</v>
      </c>
      <c r="E1203" t="s">
        <v>13873</v>
      </c>
    </row>
    <row r="1204" spans="1:5">
      <c r="A1204" t="s">
        <v>2655</v>
      </c>
      <c r="B1204" t="s">
        <v>16061</v>
      </c>
      <c r="C1204" t="s">
        <v>14024</v>
      </c>
      <c r="D1204" t="s">
        <v>14025</v>
      </c>
      <c r="E1204" t="s">
        <v>14026</v>
      </c>
    </row>
    <row r="1205" spans="1:5">
      <c r="A1205" t="s">
        <v>16062</v>
      </c>
      <c r="B1205" t="s">
        <v>16063</v>
      </c>
      <c r="C1205" t="s">
        <v>14021</v>
      </c>
      <c r="D1205" t="s">
        <v>14021</v>
      </c>
      <c r="E1205" t="s">
        <v>14022</v>
      </c>
    </row>
    <row r="1206" spans="1:5">
      <c r="A1206" t="s">
        <v>16064</v>
      </c>
      <c r="B1206" t="s">
        <v>16065</v>
      </c>
      <c r="C1206" t="s">
        <v>13871</v>
      </c>
      <c r="D1206" t="s">
        <v>13872</v>
      </c>
      <c r="E1206" t="s">
        <v>13873</v>
      </c>
    </row>
    <row r="1207" spans="1:5">
      <c r="A1207" t="s">
        <v>16066</v>
      </c>
      <c r="B1207" t="s">
        <v>16067</v>
      </c>
      <c r="C1207" t="s">
        <v>14106</v>
      </c>
      <c r="D1207" t="s">
        <v>14107</v>
      </c>
      <c r="E1207" t="s">
        <v>14108</v>
      </c>
    </row>
    <row r="1208" spans="1:5">
      <c r="A1208" t="s">
        <v>113</v>
      </c>
      <c r="B1208" t="s">
        <v>16068</v>
      </c>
      <c r="C1208" t="s">
        <v>13916</v>
      </c>
      <c r="D1208" t="s">
        <v>13901</v>
      </c>
      <c r="E1208" t="s">
        <v>13902</v>
      </c>
    </row>
    <row r="1209" spans="1:5">
      <c r="A1209" t="s">
        <v>16069</v>
      </c>
      <c r="B1209" t="s">
        <v>16070</v>
      </c>
      <c r="C1209" t="s">
        <v>14012</v>
      </c>
      <c r="D1209" t="s">
        <v>13927</v>
      </c>
      <c r="E1209" t="s">
        <v>13928</v>
      </c>
    </row>
    <row r="1210" spans="1:5">
      <c r="A1210" t="s">
        <v>16071</v>
      </c>
      <c r="B1210" t="s">
        <v>16072</v>
      </c>
      <c r="C1210" t="s">
        <v>14554</v>
      </c>
      <c r="D1210" t="s">
        <v>13901</v>
      </c>
      <c r="E1210" t="s">
        <v>13902</v>
      </c>
    </row>
    <row r="1211" spans="1:5">
      <c r="A1211" t="s">
        <v>16073</v>
      </c>
      <c r="B1211" t="s">
        <v>16074</v>
      </c>
      <c r="C1211" t="s">
        <v>16075</v>
      </c>
      <c r="D1211" t="s">
        <v>14862</v>
      </c>
      <c r="E1211" t="s">
        <v>14863</v>
      </c>
    </row>
    <row r="1212" spans="1:5">
      <c r="A1212" t="s">
        <v>16076</v>
      </c>
      <c r="B1212" t="s">
        <v>16077</v>
      </c>
      <c r="C1212" t="s">
        <v>16078</v>
      </c>
      <c r="D1212" t="s">
        <v>13955</v>
      </c>
      <c r="E1212" t="s">
        <v>13956</v>
      </c>
    </row>
    <row r="1213" spans="1:5">
      <c r="A1213" t="s">
        <v>16079</v>
      </c>
      <c r="B1213" t="s">
        <v>16080</v>
      </c>
      <c r="C1213" t="s">
        <v>16081</v>
      </c>
      <c r="D1213" t="s">
        <v>13927</v>
      </c>
      <c r="E1213" t="s">
        <v>13928</v>
      </c>
    </row>
    <row r="1214" spans="1:5">
      <c r="A1214" t="s">
        <v>16082</v>
      </c>
      <c r="B1214" t="s">
        <v>16083</v>
      </c>
      <c r="C1214" t="s">
        <v>14707</v>
      </c>
      <c r="D1214" t="s">
        <v>13916</v>
      </c>
      <c r="E1214" t="s">
        <v>14184</v>
      </c>
    </row>
    <row r="1215" spans="1:5">
      <c r="A1215" t="s">
        <v>16084</v>
      </c>
      <c r="B1215" t="s">
        <v>16085</v>
      </c>
      <c r="C1215" t="s">
        <v>14707</v>
      </c>
      <c r="D1215" t="s">
        <v>13916</v>
      </c>
      <c r="E1215" t="s">
        <v>14184</v>
      </c>
    </row>
    <row r="1216" spans="1:5">
      <c r="A1216" t="s">
        <v>16086</v>
      </c>
      <c r="B1216" t="s">
        <v>16087</v>
      </c>
      <c r="C1216" t="s">
        <v>14183</v>
      </c>
      <c r="D1216" t="s">
        <v>13916</v>
      </c>
      <c r="E1216" t="s">
        <v>14184</v>
      </c>
    </row>
    <row r="1217" spans="1:5">
      <c r="A1217" t="s">
        <v>16088</v>
      </c>
      <c r="B1217" t="s">
        <v>16089</v>
      </c>
      <c r="C1217" t="s">
        <v>14012</v>
      </c>
      <c r="D1217" t="s">
        <v>13927</v>
      </c>
      <c r="E1217" t="s">
        <v>13928</v>
      </c>
    </row>
    <row r="1218" spans="1:5">
      <c r="A1218" t="s">
        <v>1954</v>
      </c>
      <c r="B1218" t="s">
        <v>16090</v>
      </c>
      <c r="C1218" t="s">
        <v>14061</v>
      </c>
      <c r="D1218" t="s">
        <v>13913</v>
      </c>
      <c r="E1218" t="s">
        <v>13914</v>
      </c>
    </row>
    <row r="1219" spans="1:5">
      <c r="A1219" t="s">
        <v>2633</v>
      </c>
      <c r="B1219" t="s">
        <v>16091</v>
      </c>
      <c r="C1219" t="s">
        <v>14061</v>
      </c>
      <c r="D1219" t="s">
        <v>13913</v>
      </c>
      <c r="E1219" t="s">
        <v>13914</v>
      </c>
    </row>
    <row r="1220" spans="1:5">
      <c r="A1220" t="s">
        <v>370</v>
      </c>
      <c r="B1220" t="s">
        <v>16092</v>
      </c>
      <c r="C1220" t="s">
        <v>14147</v>
      </c>
      <c r="D1220" t="s">
        <v>13881</v>
      </c>
      <c r="E1220" t="s">
        <v>13882</v>
      </c>
    </row>
    <row r="1221" spans="1:5">
      <c r="A1221" t="s">
        <v>16093</v>
      </c>
      <c r="B1221" t="s">
        <v>16094</v>
      </c>
      <c r="C1221" t="s">
        <v>16095</v>
      </c>
      <c r="D1221" t="s">
        <v>14107</v>
      </c>
      <c r="E1221" t="s">
        <v>14108</v>
      </c>
    </row>
    <row r="1222" spans="1:5">
      <c r="A1222" t="s">
        <v>16096</v>
      </c>
      <c r="B1222" t="s">
        <v>16097</v>
      </c>
      <c r="C1222" t="s">
        <v>16098</v>
      </c>
      <c r="D1222" t="s">
        <v>13881</v>
      </c>
      <c r="E1222" t="s">
        <v>13882</v>
      </c>
    </row>
    <row r="1223" spans="1:5">
      <c r="A1223" t="s">
        <v>1981</v>
      </c>
      <c r="B1223" t="s">
        <v>16099</v>
      </c>
      <c r="C1223" t="s">
        <v>13926</v>
      </c>
      <c r="D1223" t="s">
        <v>13927</v>
      </c>
      <c r="E1223" t="s">
        <v>13928</v>
      </c>
    </row>
    <row r="1224" spans="1:5">
      <c r="A1224" t="s">
        <v>37</v>
      </c>
      <c r="B1224" t="s">
        <v>16100</v>
      </c>
      <c r="C1224" t="s">
        <v>14222</v>
      </c>
      <c r="D1224" t="s">
        <v>13901</v>
      </c>
      <c r="E1224" t="s">
        <v>13902</v>
      </c>
    </row>
    <row r="1225" spans="1:5">
      <c r="A1225" t="s">
        <v>16101</v>
      </c>
      <c r="B1225" t="s">
        <v>16102</v>
      </c>
      <c r="C1225" t="s">
        <v>15442</v>
      </c>
      <c r="D1225" t="s">
        <v>14446</v>
      </c>
      <c r="E1225" t="s">
        <v>14447</v>
      </c>
    </row>
    <row r="1226" spans="1:5">
      <c r="A1226" t="s">
        <v>16103</v>
      </c>
      <c r="B1226" t="s">
        <v>16104</v>
      </c>
      <c r="C1226" t="s">
        <v>16105</v>
      </c>
      <c r="D1226" t="s">
        <v>14107</v>
      </c>
      <c r="E1226" t="s">
        <v>14108</v>
      </c>
    </row>
    <row r="1227" spans="1:5">
      <c r="A1227" t="s">
        <v>3040</v>
      </c>
      <c r="B1227" t="s">
        <v>16106</v>
      </c>
      <c r="C1227" t="s">
        <v>13967</v>
      </c>
      <c r="D1227" t="s">
        <v>13968</v>
      </c>
      <c r="E1227" t="s">
        <v>13969</v>
      </c>
    </row>
    <row r="1228" spans="1:5">
      <c r="A1228" t="s">
        <v>2642</v>
      </c>
      <c r="B1228" t="s">
        <v>16107</v>
      </c>
      <c r="C1228" t="s">
        <v>16108</v>
      </c>
      <c r="D1228" t="s">
        <v>14526</v>
      </c>
      <c r="E1228" t="s">
        <v>14527</v>
      </c>
    </row>
    <row r="1229" spans="1:5">
      <c r="A1229" t="s">
        <v>16109</v>
      </c>
      <c r="B1229" t="s">
        <v>16110</v>
      </c>
      <c r="C1229" t="s">
        <v>13905</v>
      </c>
      <c r="D1229" t="s">
        <v>13901</v>
      </c>
      <c r="E1229" t="s">
        <v>13902</v>
      </c>
    </row>
    <row r="1230" spans="1:5">
      <c r="A1230" t="s">
        <v>16111</v>
      </c>
      <c r="B1230" t="s">
        <v>16112</v>
      </c>
      <c r="C1230" t="s">
        <v>14670</v>
      </c>
      <c r="D1230" t="s">
        <v>13968</v>
      </c>
      <c r="E1230" t="s">
        <v>13969</v>
      </c>
    </row>
    <row r="1231" spans="1:5">
      <c r="A1231" t="s">
        <v>16113</v>
      </c>
      <c r="B1231" t="s">
        <v>16114</v>
      </c>
      <c r="C1231" t="s">
        <v>13909</v>
      </c>
      <c r="D1231" t="s">
        <v>13901</v>
      </c>
      <c r="E1231" t="s">
        <v>13902</v>
      </c>
    </row>
    <row r="1232" spans="1:5">
      <c r="A1232" t="s">
        <v>16115</v>
      </c>
      <c r="B1232" t="s">
        <v>16116</v>
      </c>
      <c r="C1232" t="s">
        <v>16117</v>
      </c>
      <c r="D1232" t="s">
        <v>14672</v>
      </c>
      <c r="E1232" t="s">
        <v>16118</v>
      </c>
    </row>
    <row r="1233" spans="1:5">
      <c r="A1233" t="s">
        <v>16119</v>
      </c>
      <c r="B1233" t="s">
        <v>16120</v>
      </c>
      <c r="C1233" t="s">
        <v>13905</v>
      </c>
      <c r="D1233" t="s">
        <v>13901</v>
      </c>
      <c r="E1233" t="s">
        <v>13902</v>
      </c>
    </row>
    <row r="1234" spans="1:5">
      <c r="A1234" t="s">
        <v>1177</v>
      </c>
      <c r="B1234" t="s">
        <v>16121</v>
      </c>
      <c r="C1234" t="s">
        <v>16122</v>
      </c>
      <c r="D1234" t="s">
        <v>14595</v>
      </c>
      <c r="E1234" t="s">
        <v>14596</v>
      </c>
    </row>
    <row r="1235" spans="1:5">
      <c r="A1235" t="s">
        <v>16123</v>
      </c>
      <c r="B1235" t="s">
        <v>16124</v>
      </c>
      <c r="C1235" t="s">
        <v>14183</v>
      </c>
      <c r="D1235" t="s">
        <v>13916</v>
      </c>
      <c r="E1235" t="s">
        <v>14184</v>
      </c>
    </row>
    <row r="1236" spans="1:5">
      <c r="A1236" t="s">
        <v>16125</v>
      </c>
      <c r="B1236" t="s">
        <v>16126</v>
      </c>
      <c r="C1236" t="s">
        <v>14183</v>
      </c>
      <c r="D1236" t="s">
        <v>13916</v>
      </c>
      <c r="E1236" t="s">
        <v>14184</v>
      </c>
    </row>
    <row r="1237" spans="1:5">
      <c r="A1237" t="s">
        <v>3212</v>
      </c>
      <c r="B1237" t="s">
        <v>16127</v>
      </c>
      <c r="C1237" t="s">
        <v>16128</v>
      </c>
      <c r="D1237" t="s">
        <v>13885</v>
      </c>
      <c r="E1237" t="s">
        <v>13886</v>
      </c>
    </row>
    <row r="1238" spans="1:5">
      <c r="A1238" t="s">
        <v>177</v>
      </c>
      <c r="B1238" t="s">
        <v>16129</v>
      </c>
      <c r="C1238" t="s">
        <v>15500</v>
      </c>
      <c r="D1238" t="s">
        <v>13901</v>
      </c>
      <c r="E1238" t="s">
        <v>13902</v>
      </c>
    </row>
    <row r="1239" spans="1:5">
      <c r="A1239" t="s">
        <v>2634</v>
      </c>
      <c r="B1239" t="s">
        <v>16130</v>
      </c>
      <c r="C1239" t="s">
        <v>14001</v>
      </c>
      <c r="D1239" t="s">
        <v>14002</v>
      </c>
      <c r="E1239" t="s">
        <v>14003</v>
      </c>
    </row>
    <row r="1240" spans="1:5">
      <c r="A1240" t="s">
        <v>2468</v>
      </c>
      <c r="B1240" t="s">
        <v>14423</v>
      </c>
      <c r="C1240" t="s">
        <v>14224</v>
      </c>
      <c r="D1240" t="s">
        <v>14002</v>
      </c>
      <c r="E1240" t="s">
        <v>14003</v>
      </c>
    </row>
    <row r="1241" spans="1:5">
      <c r="A1241" t="s">
        <v>2491</v>
      </c>
      <c r="B1241" t="s">
        <v>16131</v>
      </c>
      <c r="C1241" t="s">
        <v>14001</v>
      </c>
      <c r="D1241" t="s">
        <v>14002</v>
      </c>
      <c r="E1241" t="s">
        <v>14003</v>
      </c>
    </row>
    <row r="1242" spans="1:5">
      <c r="A1242" t="s">
        <v>16132</v>
      </c>
      <c r="B1242" t="s">
        <v>16133</v>
      </c>
      <c r="C1242" t="s">
        <v>16134</v>
      </c>
      <c r="D1242" t="s">
        <v>13989</v>
      </c>
      <c r="E1242" t="s">
        <v>13990</v>
      </c>
    </row>
    <row r="1243" spans="1:5">
      <c r="A1243" t="s">
        <v>1714</v>
      </c>
      <c r="B1243" t="s">
        <v>16135</v>
      </c>
      <c r="C1243" t="s">
        <v>14100</v>
      </c>
      <c r="D1243" t="s">
        <v>13989</v>
      </c>
      <c r="E1243" t="s">
        <v>13990</v>
      </c>
    </row>
    <row r="1244" spans="1:5">
      <c r="A1244" t="s">
        <v>16136</v>
      </c>
      <c r="B1244" t="s">
        <v>16137</v>
      </c>
      <c r="C1244" t="s">
        <v>14007</v>
      </c>
      <c r="D1244" t="s">
        <v>13989</v>
      </c>
      <c r="E1244" t="s">
        <v>13990</v>
      </c>
    </row>
    <row r="1245" spans="1:5">
      <c r="A1245" t="s">
        <v>16138</v>
      </c>
      <c r="B1245" t="s">
        <v>16139</v>
      </c>
      <c r="C1245" t="s">
        <v>14012</v>
      </c>
      <c r="D1245" t="s">
        <v>13927</v>
      </c>
      <c r="E1245" t="s">
        <v>13928</v>
      </c>
    </row>
    <row r="1246" spans="1:5">
      <c r="A1246" t="s">
        <v>16140</v>
      </c>
      <c r="B1246" t="s">
        <v>16141</v>
      </c>
      <c r="C1246" t="s">
        <v>16142</v>
      </c>
      <c r="D1246" t="s">
        <v>14081</v>
      </c>
      <c r="E1246" t="s">
        <v>14082</v>
      </c>
    </row>
    <row r="1247" spans="1:5">
      <c r="A1247" t="s">
        <v>16143</v>
      </c>
      <c r="B1247" t="s">
        <v>16144</v>
      </c>
      <c r="C1247" t="s">
        <v>14275</v>
      </c>
      <c r="D1247" t="s">
        <v>13881</v>
      </c>
      <c r="E1247" t="s">
        <v>13882</v>
      </c>
    </row>
    <row r="1248" spans="1:5">
      <c r="A1248" t="s">
        <v>2602</v>
      </c>
      <c r="B1248" t="s">
        <v>16145</v>
      </c>
      <c r="C1248" t="s">
        <v>14025</v>
      </c>
      <c r="D1248" t="s">
        <v>14025</v>
      </c>
      <c r="E1248" t="s">
        <v>14026</v>
      </c>
    </row>
    <row r="1249" spans="1:5">
      <c r="A1249" t="s">
        <v>16146</v>
      </c>
      <c r="B1249" t="s">
        <v>16147</v>
      </c>
      <c r="C1249" t="s">
        <v>14224</v>
      </c>
      <c r="D1249" t="s">
        <v>14002</v>
      </c>
      <c r="E1249" t="s">
        <v>14003</v>
      </c>
    </row>
    <row r="1250" spans="1:5">
      <c r="A1250" t="s">
        <v>16148</v>
      </c>
      <c r="B1250" t="s">
        <v>16149</v>
      </c>
      <c r="C1250" t="s">
        <v>14183</v>
      </c>
      <c r="D1250" t="s">
        <v>13916</v>
      </c>
      <c r="E1250" t="s">
        <v>14184</v>
      </c>
    </row>
    <row r="1251" spans="1:5">
      <c r="A1251" t="s">
        <v>16150</v>
      </c>
      <c r="B1251" t="s">
        <v>16151</v>
      </c>
      <c r="C1251" t="s">
        <v>13983</v>
      </c>
      <c r="D1251" t="s">
        <v>13927</v>
      </c>
      <c r="E1251" t="s">
        <v>13928</v>
      </c>
    </row>
    <row r="1252" spans="1:5">
      <c r="A1252" t="s">
        <v>16152</v>
      </c>
      <c r="B1252" t="s">
        <v>16153</v>
      </c>
      <c r="C1252" t="s">
        <v>14908</v>
      </c>
      <c r="D1252" t="s">
        <v>14909</v>
      </c>
      <c r="E1252" t="s">
        <v>14910</v>
      </c>
    </row>
    <row r="1253" spans="1:5">
      <c r="A1253" t="s">
        <v>1328</v>
      </c>
      <c r="B1253" t="s">
        <v>16154</v>
      </c>
      <c r="C1253" t="s">
        <v>16155</v>
      </c>
      <c r="D1253" t="s">
        <v>14243</v>
      </c>
      <c r="E1253" t="s">
        <v>14244</v>
      </c>
    </row>
    <row r="1254" spans="1:5">
      <c r="A1254" t="s">
        <v>16156</v>
      </c>
      <c r="B1254" t="s">
        <v>16157</v>
      </c>
      <c r="C1254" t="s">
        <v>13909</v>
      </c>
      <c r="D1254" t="s">
        <v>13901</v>
      </c>
      <c r="E1254" t="s">
        <v>13902</v>
      </c>
    </row>
    <row r="1255" spans="1:5">
      <c r="A1255" t="s">
        <v>16158</v>
      </c>
      <c r="B1255" t="s">
        <v>16159</v>
      </c>
      <c r="C1255" t="s">
        <v>13916</v>
      </c>
      <c r="D1255" t="s">
        <v>13901</v>
      </c>
      <c r="E1255" t="s">
        <v>13902</v>
      </c>
    </row>
    <row r="1256" spans="1:5">
      <c r="A1256" t="s">
        <v>16160</v>
      </c>
      <c r="B1256" t="s">
        <v>16161</v>
      </c>
      <c r="C1256" t="s">
        <v>16162</v>
      </c>
      <c r="D1256" t="s">
        <v>14073</v>
      </c>
      <c r="E1256" t="s">
        <v>14074</v>
      </c>
    </row>
    <row r="1257" spans="1:5">
      <c r="A1257" t="s">
        <v>16163</v>
      </c>
      <c r="B1257" t="s">
        <v>16164</v>
      </c>
      <c r="C1257" t="s">
        <v>13988</v>
      </c>
      <c r="D1257" t="s">
        <v>13989</v>
      </c>
      <c r="E1257" t="s">
        <v>13990</v>
      </c>
    </row>
    <row r="1258" spans="1:5">
      <c r="A1258" t="s">
        <v>1225</v>
      </c>
      <c r="B1258" t="s">
        <v>16165</v>
      </c>
      <c r="C1258" t="s">
        <v>14012</v>
      </c>
      <c r="D1258" t="s">
        <v>13927</v>
      </c>
      <c r="E1258" t="s">
        <v>13928</v>
      </c>
    </row>
    <row r="1259" spans="1:5">
      <c r="A1259" t="s">
        <v>16166</v>
      </c>
      <c r="B1259" t="s">
        <v>16167</v>
      </c>
      <c r="C1259" t="s">
        <v>16168</v>
      </c>
      <c r="D1259" t="s">
        <v>13932</v>
      </c>
      <c r="E1259" t="s">
        <v>13933</v>
      </c>
    </row>
    <row r="1260" spans="1:5">
      <c r="A1260" t="s">
        <v>1437</v>
      </c>
      <c r="B1260" t="s">
        <v>16169</v>
      </c>
      <c r="C1260" t="s">
        <v>14012</v>
      </c>
      <c r="D1260" t="s">
        <v>13927</v>
      </c>
      <c r="E1260" t="s">
        <v>13928</v>
      </c>
    </row>
    <row r="1261" spans="1:5">
      <c r="A1261" t="s">
        <v>3194</v>
      </c>
      <c r="B1261" t="s">
        <v>16170</v>
      </c>
      <c r="C1261" t="s">
        <v>13922</v>
      </c>
      <c r="D1261" t="s">
        <v>13923</v>
      </c>
      <c r="E1261" t="s">
        <v>13924</v>
      </c>
    </row>
    <row r="1262" spans="1:5">
      <c r="A1262" t="s">
        <v>1594</v>
      </c>
      <c r="B1262" t="s">
        <v>16171</v>
      </c>
      <c r="C1262" t="s">
        <v>13988</v>
      </c>
      <c r="D1262" t="s">
        <v>13989</v>
      </c>
      <c r="E1262" t="s">
        <v>13990</v>
      </c>
    </row>
    <row r="1263" spans="1:5">
      <c r="A1263" t="s">
        <v>1978</v>
      </c>
      <c r="B1263" t="s">
        <v>16172</v>
      </c>
      <c r="C1263" t="s">
        <v>16173</v>
      </c>
      <c r="D1263" t="s">
        <v>13989</v>
      </c>
      <c r="E1263" t="s">
        <v>13990</v>
      </c>
    </row>
    <row r="1264" spans="1:5">
      <c r="A1264" t="s">
        <v>16174</v>
      </c>
      <c r="B1264" t="s">
        <v>16175</v>
      </c>
      <c r="C1264" t="s">
        <v>14164</v>
      </c>
      <c r="D1264" t="s">
        <v>14165</v>
      </c>
      <c r="E1264" t="s">
        <v>14166</v>
      </c>
    </row>
    <row r="1265" spans="1:5">
      <c r="A1265" t="s">
        <v>2443</v>
      </c>
      <c r="B1265" t="s">
        <v>16176</v>
      </c>
      <c r="C1265" t="s">
        <v>15318</v>
      </c>
      <c r="D1265" t="s">
        <v>14381</v>
      </c>
      <c r="E1265" t="s">
        <v>14382</v>
      </c>
    </row>
    <row r="1266" spans="1:5">
      <c r="A1266" t="s">
        <v>16177</v>
      </c>
      <c r="B1266" t="s">
        <v>16178</v>
      </c>
      <c r="C1266" t="s">
        <v>16039</v>
      </c>
      <c r="D1266" t="s">
        <v>14021</v>
      </c>
      <c r="E1266" t="s">
        <v>14022</v>
      </c>
    </row>
    <row r="1267" spans="1:5">
      <c r="A1267" t="s">
        <v>476</v>
      </c>
      <c r="B1267" t="s">
        <v>16179</v>
      </c>
      <c r="C1267" t="s">
        <v>14034</v>
      </c>
      <c r="D1267" t="s">
        <v>13901</v>
      </c>
      <c r="E1267" t="s">
        <v>13902</v>
      </c>
    </row>
    <row r="1268" spans="1:5">
      <c r="A1268" t="s">
        <v>16180</v>
      </c>
      <c r="B1268" t="s">
        <v>16181</v>
      </c>
      <c r="C1268" t="s">
        <v>13999</v>
      </c>
      <c r="D1268" t="s">
        <v>13955</v>
      </c>
      <c r="E1268" t="s">
        <v>13956</v>
      </c>
    </row>
    <row r="1269" spans="1:5">
      <c r="A1269" t="s">
        <v>2037</v>
      </c>
      <c r="B1269" t="s">
        <v>16182</v>
      </c>
      <c r="C1269" t="s">
        <v>14191</v>
      </c>
      <c r="D1269" t="s">
        <v>13893</v>
      </c>
      <c r="E1269" t="s">
        <v>13894</v>
      </c>
    </row>
    <row r="1270" spans="1:5">
      <c r="A1270" t="s">
        <v>16183</v>
      </c>
      <c r="B1270" t="s">
        <v>16184</v>
      </c>
      <c r="C1270" t="s">
        <v>13967</v>
      </c>
      <c r="D1270" t="s">
        <v>13968</v>
      </c>
      <c r="E1270" t="s">
        <v>13969</v>
      </c>
    </row>
    <row r="1271" spans="1:5">
      <c r="A1271" t="s">
        <v>2557</v>
      </c>
      <c r="B1271" t="s">
        <v>16185</v>
      </c>
      <c r="C1271" t="s">
        <v>14001</v>
      </c>
      <c r="D1271" t="s">
        <v>14002</v>
      </c>
      <c r="E1271" t="s">
        <v>14003</v>
      </c>
    </row>
    <row r="1272" spans="1:5">
      <c r="A1272" t="s">
        <v>2518</v>
      </c>
      <c r="B1272" t="s">
        <v>16186</v>
      </c>
      <c r="C1272" t="s">
        <v>16187</v>
      </c>
      <c r="D1272" t="s">
        <v>14002</v>
      </c>
      <c r="E1272" t="s">
        <v>14003</v>
      </c>
    </row>
    <row r="1273" spans="1:5">
      <c r="A1273" t="s">
        <v>16188</v>
      </c>
      <c r="B1273" t="s">
        <v>16189</v>
      </c>
      <c r="C1273" t="s">
        <v>16190</v>
      </c>
      <c r="D1273" t="s">
        <v>13889</v>
      </c>
      <c r="E1273" t="s">
        <v>13890</v>
      </c>
    </row>
    <row r="1274" spans="1:5">
      <c r="A1274" t="s">
        <v>16191</v>
      </c>
      <c r="B1274" t="s">
        <v>16192</v>
      </c>
      <c r="C1274" t="s">
        <v>16193</v>
      </c>
      <c r="D1274" t="s">
        <v>14781</v>
      </c>
      <c r="E1274" t="s">
        <v>14782</v>
      </c>
    </row>
    <row r="1275" spans="1:5">
      <c r="A1275" t="s">
        <v>16194</v>
      </c>
      <c r="B1275" t="s">
        <v>16149</v>
      </c>
      <c r="C1275" t="s">
        <v>14707</v>
      </c>
      <c r="D1275" t="s">
        <v>13916</v>
      </c>
      <c r="E1275" t="s">
        <v>14184</v>
      </c>
    </row>
    <row r="1276" spans="1:5">
      <c r="A1276" t="s">
        <v>16195</v>
      </c>
      <c r="B1276" t="s">
        <v>16196</v>
      </c>
      <c r="C1276" t="s">
        <v>16197</v>
      </c>
      <c r="D1276" t="s">
        <v>13974</v>
      </c>
      <c r="E1276" t="s">
        <v>13975</v>
      </c>
    </row>
    <row r="1277" spans="1:5">
      <c r="A1277" t="s">
        <v>2410</v>
      </c>
      <c r="B1277" t="s">
        <v>16198</v>
      </c>
      <c r="C1277" t="s">
        <v>14224</v>
      </c>
      <c r="D1277" t="s">
        <v>14002</v>
      </c>
      <c r="E1277" t="s">
        <v>14003</v>
      </c>
    </row>
    <row r="1278" spans="1:5">
      <c r="A1278" t="s">
        <v>16199</v>
      </c>
      <c r="B1278" t="s">
        <v>16200</v>
      </c>
      <c r="C1278" t="s">
        <v>13871</v>
      </c>
      <c r="D1278" t="s">
        <v>13872</v>
      </c>
      <c r="E1278" t="s">
        <v>13873</v>
      </c>
    </row>
    <row r="1279" spans="1:5">
      <c r="A1279" t="s">
        <v>3397</v>
      </c>
      <c r="B1279" t="s">
        <v>16201</v>
      </c>
      <c r="C1279" t="s">
        <v>14493</v>
      </c>
      <c r="D1279" t="s">
        <v>14250</v>
      </c>
      <c r="E1279" t="s">
        <v>14251</v>
      </c>
    </row>
    <row r="1280" spans="1:5">
      <c r="A1280" t="s">
        <v>241</v>
      </c>
      <c r="B1280" t="s">
        <v>16202</v>
      </c>
      <c r="C1280" t="s">
        <v>13916</v>
      </c>
      <c r="D1280" t="s">
        <v>13901</v>
      </c>
      <c r="E1280" t="s">
        <v>13902</v>
      </c>
    </row>
    <row r="1281" spans="1:5">
      <c r="A1281" t="s">
        <v>2679</v>
      </c>
      <c r="B1281" t="s">
        <v>16203</v>
      </c>
      <c r="C1281" t="s">
        <v>16204</v>
      </c>
      <c r="D1281" t="s">
        <v>14759</v>
      </c>
      <c r="E1281" t="s">
        <v>14760</v>
      </c>
    </row>
    <row r="1282" spans="1:5">
      <c r="A1282" t="s">
        <v>16205</v>
      </c>
      <c r="B1282" t="s">
        <v>16206</v>
      </c>
      <c r="C1282" t="s">
        <v>16207</v>
      </c>
      <c r="D1282" t="s">
        <v>15333</v>
      </c>
      <c r="E1282" t="s">
        <v>15334</v>
      </c>
    </row>
    <row r="1283" spans="1:5">
      <c r="A1283" t="s">
        <v>3247</v>
      </c>
      <c r="B1283" t="s">
        <v>16208</v>
      </c>
      <c r="C1283" t="s">
        <v>14513</v>
      </c>
      <c r="D1283" t="s">
        <v>13923</v>
      </c>
      <c r="E1283" t="s">
        <v>13924</v>
      </c>
    </row>
    <row r="1284" spans="1:5">
      <c r="A1284" t="s">
        <v>1632</v>
      </c>
      <c r="B1284" t="s">
        <v>16209</v>
      </c>
      <c r="C1284" t="s">
        <v>13988</v>
      </c>
      <c r="D1284" t="s">
        <v>13989</v>
      </c>
      <c r="E1284" t="s">
        <v>13990</v>
      </c>
    </row>
    <row r="1285" spans="1:5">
      <c r="A1285" t="s">
        <v>16210</v>
      </c>
      <c r="B1285" t="s">
        <v>16211</v>
      </c>
      <c r="C1285" t="s">
        <v>15140</v>
      </c>
      <c r="D1285" t="s">
        <v>15135</v>
      </c>
      <c r="E1285" t="s">
        <v>15136</v>
      </c>
    </row>
    <row r="1286" spans="1:5">
      <c r="A1286" t="s">
        <v>16212</v>
      </c>
      <c r="B1286" t="s">
        <v>16213</v>
      </c>
      <c r="C1286" t="s">
        <v>15694</v>
      </c>
      <c r="D1286" t="s">
        <v>15695</v>
      </c>
      <c r="E1286" t="s">
        <v>15696</v>
      </c>
    </row>
    <row r="1287" spans="1:5">
      <c r="A1287" t="s">
        <v>742</v>
      </c>
      <c r="B1287" t="s">
        <v>16214</v>
      </c>
      <c r="C1287" t="s">
        <v>13935</v>
      </c>
      <c r="D1287" t="s">
        <v>13935</v>
      </c>
      <c r="E1287" t="s">
        <v>13936</v>
      </c>
    </row>
    <row r="1288" spans="1:5">
      <c r="A1288" t="s">
        <v>2910</v>
      </c>
      <c r="B1288" t="s">
        <v>16215</v>
      </c>
      <c r="C1288" t="s">
        <v>16216</v>
      </c>
      <c r="D1288" t="s">
        <v>14455</v>
      </c>
      <c r="E1288" t="s">
        <v>14456</v>
      </c>
    </row>
    <row r="1289" spans="1:5">
      <c r="A1289" t="s">
        <v>2897</v>
      </c>
      <c r="B1289" t="s">
        <v>16217</v>
      </c>
      <c r="C1289" t="s">
        <v>14806</v>
      </c>
      <c r="D1289" t="s">
        <v>14078</v>
      </c>
      <c r="E1289" t="s">
        <v>14079</v>
      </c>
    </row>
    <row r="1290" spans="1:5">
      <c r="A1290" t="s">
        <v>16218</v>
      </c>
      <c r="B1290" t="s">
        <v>16219</v>
      </c>
      <c r="C1290" t="s">
        <v>14626</v>
      </c>
      <c r="D1290" t="s">
        <v>14595</v>
      </c>
      <c r="E1290" t="s">
        <v>14596</v>
      </c>
    </row>
    <row r="1291" spans="1:5">
      <c r="A1291" t="s">
        <v>16220</v>
      </c>
      <c r="B1291" t="s">
        <v>16221</v>
      </c>
      <c r="C1291" t="s">
        <v>16222</v>
      </c>
      <c r="D1291" t="s">
        <v>14195</v>
      </c>
      <c r="E1291" t="s">
        <v>14196</v>
      </c>
    </row>
    <row r="1292" spans="1:5">
      <c r="A1292" t="s">
        <v>3349</v>
      </c>
      <c r="B1292" t="s">
        <v>16223</v>
      </c>
      <c r="C1292" t="s">
        <v>13967</v>
      </c>
      <c r="D1292" t="s">
        <v>13968</v>
      </c>
      <c r="E1292" t="s">
        <v>13969</v>
      </c>
    </row>
    <row r="1293" spans="1:5">
      <c r="A1293" t="s">
        <v>16224</v>
      </c>
      <c r="B1293" t="s">
        <v>16225</v>
      </c>
      <c r="C1293" t="s">
        <v>14780</v>
      </c>
      <c r="D1293" t="s">
        <v>14781</v>
      </c>
      <c r="E1293" t="s">
        <v>14782</v>
      </c>
    </row>
    <row r="1294" spans="1:5">
      <c r="A1294" t="s">
        <v>1592</v>
      </c>
      <c r="B1294" t="s">
        <v>16226</v>
      </c>
      <c r="C1294" t="s">
        <v>13988</v>
      </c>
      <c r="D1294" t="s">
        <v>13989</v>
      </c>
      <c r="E1294" t="s">
        <v>13990</v>
      </c>
    </row>
    <row r="1295" spans="1:5">
      <c r="A1295" t="s">
        <v>16227</v>
      </c>
      <c r="B1295" t="s">
        <v>16228</v>
      </c>
      <c r="C1295" t="s">
        <v>14061</v>
      </c>
      <c r="D1295" t="s">
        <v>13913</v>
      </c>
      <c r="E1295" t="s">
        <v>13914</v>
      </c>
    </row>
    <row r="1296" spans="1:5">
      <c r="A1296" t="s">
        <v>16229</v>
      </c>
      <c r="B1296" t="s">
        <v>16230</v>
      </c>
      <c r="C1296" t="s">
        <v>15341</v>
      </c>
      <c r="D1296" t="s">
        <v>13872</v>
      </c>
      <c r="E1296" t="s">
        <v>13873</v>
      </c>
    </row>
    <row r="1297" spans="1:5">
      <c r="A1297" t="s">
        <v>16231</v>
      </c>
      <c r="B1297" t="s">
        <v>16232</v>
      </c>
      <c r="C1297" t="s">
        <v>15085</v>
      </c>
      <c r="D1297" t="s">
        <v>14165</v>
      </c>
      <c r="E1297" t="s">
        <v>14166</v>
      </c>
    </row>
    <row r="1298" spans="1:5">
      <c r="A1298" t="s">
        <v>16233</v>
      </c>
      <c r="B1298" t="s">
        <v>16234</v>
      </c>
      <c r="C1298" t="s">
        <v>16235</v>
      </c>
      <c r="D1298" t="s">
        <v>13913</v>
      </c>
      <c r="E1298" t="s">
        <v>13914</v>
      </c>
    </row>
    <row r="1299" spans="1:5">
      <c r="A1299" t="s">
        <v>1667</v>
      </c>
      <c r="B1299" t="s">
        <v>16236</v>
      </c>
      <c r="C1299" t="s">
        <v>16237</v>
      </c>
      <c r="D1299" t="s">
        <v>14482</v>
      </c>
      <c r="E1299" t="s">
        <v>14483</v>
      </c>
    </row>
    <row r="1300" spans="1:5">
      <c r="A1300" t="s">
        <v>16238</v>
      </c>
      <c r="B1300" t="s">
        <v>16239</v>
      </c>
      <c r="C1300" t="s">
        <v>13916</v>
      </c>
      <c r="D1300" t="s">
        <v>13901</v>
      </c>
      <c r="E1300" t="s">
        <v>13902</v>
      </c>
    </row>
    <row r="1301" spans="1:5">
      <c r="A1301" t="s">
        <v>16240</v>
      </c>
      <c r="B1301" t="s">
        <v>16241</v>
      </c>
      <c r="C1301" t="s">
        <v>14600</v>
      </c>
      <c r="D1301" t="s">
        <v>14601</v>
      </c>
      <c r="E1301" t="s">
        <v>14602</v>
      </c>
    </row>
    <row r="1302" spans="1:5">
      <c r="A1302" t="s">
        <v>2472</v>
      </c>
      <c r="B1302" t="s">
        <v>16242</v>
      </c>
      <c r="C1302" t="s">
        <v>14712</v>
      </c>
      <c r="D1302" t="s">
        <v>14558</v>
      </c>
      <c r="E1302" t="s">
        <v>14559</v>
      </c>
    </row>
    <row r="1303" spans="1:5">
      <c r="A1303" t="s">
        <v>16243</v>
      </c>
      <c r="B1303" t="s">
        <v>16244</v>
      </c>
      <c r="C1303" t="s">
        <v>14139</v>
      </c>
      <c r="D1303" t="s">
        <v>14140</v>
      </c>
      <c r="E1303" t="s">
        <v>14141</v>
      </c>
    </row>
    <row r="1304" spans="1:5">
      <c r="A1304" t="s">
        <v>16245</v>
      </c>
      <c r="B1304" t="s">
        <v>16246</v>
      </c>
      <c r="C1304" t="s">
        <v>14061</v>
      </c>
      <c r="D1304" t="s">
        <v>13913</v>
      </c>
      <c r="E1304" t="s">
        <v>13914</v>
      </c>
    </row>
    <row r="1305" spans="1:5">
      <c r="A1305" t="s">
        <v>189</v>
      </c>
      <c r="B1305" t="s">
        <v>16247</v>
      </c>
      <c r="C1305" t="s">
        <v>13916</v>
      </c>
      <c r="D1305" t="s">
        <v>13901</v>
      </c>
      <c r="E1305" t="s">
        <v>13902</v>
      </c>
    </row>
    <row r="1306" spans="1:5">
      <c r="A1306" t="s">
        <v>16248</v>
      </c>
      <c r="B1306" t="s">
        <v>16249</v>
      </c>
      <c r="C1306" t="s">
        <v>13909</v>
      </c>
      <c r="D1306" t="s">
        <v>13901</v>
      </c>
      <c r="E1306" t="s">
        <v>13902</v>
      </c>
    </row>
    <row r="1307" spans="1:5">
      <c r="A1307" t="s">
        <v>16250</v>
      </c>
      <c r="B1307" t="s">
        <v>16251</v>
      </c>
      <c r="C1307" t="s">
        <v>16252</v>
      </c>
      <c r="D1307" t="s">
        <v>14404</v>
      </c>
      <c r="E1307" t="s">
        <v>14405</v>
      </c>
    </row>
    <row r="1308" spans="1:5">
      <c r="A1308" t="s">
        <v>2039</v>
      </c>
      <c r="B1308" t="s">
        <v>16253</v>
      </c>
      <c r="C1308" t="s">
        <v>13871</v>
      </c>
      <c r="D1308" t="s">
        <v>13872</v>
      </c>
      <c r="E1308" t="s">
        <v>13873</v>
      </c>
    </row>
    <row r="1309" spans="1:5">
      <c r="A1309" t="s">
        <v>1191</v>
      </c>
      <c r="B1309" t="s">
        <v>16254</v>
      </c>
      <c r="C1309" t="s">
        <v>14012</v>
      </c>
      <c r="D1309" t="s">
        <v>13927</v>
      </c>
      <c r="E1309" t="s">
        <v>13928</v>
      </c>
    </row>
    <row r="1310" spans="1:5">
      <c r="A1310" t="s">
        <v>16255</v>
      </c>
      <c r="B1310" t="s">
        <v>16256</v>
      </c>
      <c r="C1310" t="s">
        <v>16257</v>
      </c>
      <c r="D1310" t="s">
        <v>14250</v>
      </c>
      <c r="E1310" t="s">
        <v>14251</v>
      </c>
    </row>
    <row r="1311" spans="1:5">
      <c r="A1311" t="s">
        <v>1330</v>
      </c>
      <c r="B1311" t="s">
        <v>16258</v>
      </c>
      <c r="C1311" t="s">
        <v>16259</v>
      </c>
      <c r="D1311" t="s">
        <v>13927</v>
      </c>
      <c r="E1311" t="s">
        <v>13928</v>
      </c>
    </row>
    <row r="1312" spans="1:5">
      <c r="A1312" t="s">
        <v>16260</v>
      </c>
      <c r="B1312" t="s">
        <v>16261</v>
      </c>
      <c r="C1312" t="s">
        <v>13967</v>
      </c>
      <c r="D1312" t="s">
        <v>13968</v>
      </c>
      <c r="E1312" t="s">
        <v>13969</v>
      </c>
    </row>
    <row r="1313" spans="1:5">
      <c r="A1313" t="s">
        <v>2029</v>
      </c>
      <c r="B1313" t="s">
        <v>16262</v>
      </c>
      <c r="C1313" t="s">
        <v>16263</v>
      </c>
      <c r="D1313" t="s">
        <v>14195</v>
      </c>
      <c r="E1313" t="s">
        <v>14196</v>
      </c>
    </row>
    <row r="1314" spans="1:5">
      <c r="A1314" t="s">
        <v>2537</v>
      </c>
      <c r="B1314" t="s">
        <v>16264</v>
      </c>
      <c r="C1314" t="s">
        <v>14088</v>
      </c>
      <c r="D1314" t="s">
        <v>14089</v>
      </c>
      <c r="E1314" t="s">
        <v>14090</v>
      </c>
    </row>
    <row r="1315" spans="1:5">
      <c r="A1315" t="s">
        <v>2384</v>
      </c>
      <c r="B1315" t="s">
        <v>16265</v>
      </c>
      <c r="C1315" t="s">
        <v>16266</v>
      </c>
      <c r="D1315" t="s">
        <v>14021</v>
      </c>
      <c r="E1315" t="s">
        <v>14022</v>
      </c>
    </row>
    <row r="1316" spans="1:5">
      <c r="A1316" t="s">
        <v>1259</v>
      </c>
      <c r="B1316" t="s">
        <v>16267</v>
      </c>
      <c r="C1316" t="s">
        <v>16268</v>
      </c>
      <c r="D1316" t="s">
        <v>13876</v>
      </c>
      <c r="E1316" t="s">
        <v>13877</v>
      </c>
    </row>
    <row r="1317" spans="1:5">
      <c r="A1317" t="s">
        <v>3579</v>
      </c>
      <c r="B1317" t="s">
        <v>16269</v>
      </c>
      <c r="C1317" t="s">
        <v>14865</v>
      </c>
      <c r="D1317" t="s">
        <v>14301</v>
      </c>
      <c r="E1317" t="s">
        <v>14302</v>
      </c>
    </row>
    <row r="1318" spans="1:5">
      <c r="A1318" t="s">
        <v>1380</v>
      </c>
      <c r="B1318" t="s">
        <v>16270</v>
      </c>
      <c r="C1318" t="s">
        <v>14012</v>
      </c>
      <c r="D1318" t="s">
        <v>13927</v>
      </c>
      <c r="E1318" t="s">
        <v>13928</v>
      </c>
    </row>
    <row r="1319" spans="1:5">
      <c r="A1319" t="s">
        <v>2751</v>
      </c>
      <c r="B1319" t="s">
        <v>16271</v>
      </c>
      <c r="C1319" t="s">
        <v>14061</v>
      </c>
      <c r="D1319" t="s">
        <v>13913</v>
      </c>
      <c r="E1319" t="s">
        <v>13914</v>
      </c>
    </row>
    <row r="1320" spans="1:5">
      <c r="A1320" t="s">
        <v>16272</v>
      </c>
      <c r="B1320" t="s">
        <v>16273</v>
      </c>
      <c r="C1320" t="s">
        <v>14263</v>
      </c>
      <c r="D1320" t="s">
        <v>14264</v>
      </c>
      <c r="E1320" t="s">
        <v>14265</v>
      </c>
    </row>
    <row r="1321" spans="1:5">
      <c r="A1321" t="s">
        <v>1121</v>
      </c>
      <c r="B1321" t="s">
        <v>16274</v>
      </c>
      <c r="C1321" t="s">
        <v>14767</v>
      </c>
      <c r="D1321" t="s">
        <v>14768</v>
      </c>
      <c r="E1321" t="s">
        <v>14769</v>
      </c>
    </row>
    <row r="1322" spans="1:5">
      <c r="A1322" t="s">
        <v>16275</v>
      </c>
      <c r="B1322" t="s">
        <v>16276</v>
      </c>
      <c r="C1322" t="s">
        <v>14445</v>
      </c>
      <c r="D1322" t="s">
        <v>14446</v>
      </c>
      <c r="E1322" t="s">
        <v>14447</v>
      </c>
    </row>
    <row r="1323" spans="1:5">
      <c r="A1323" t="s">
        <v>16277</v>
      </c>
      <c r="B1323" t="s">
        <v>16278</v>
      </c>
      <c r="C1323" t="s">
        <v>14445</v>
      </c>
      <c r="D1323" t="s">
        <v>14446</v>
      </c>
      <c r="E1323" t="s">
        <v>14447</v>
      </c>
    </row>
    <row r="1324" spans="1:5">
      <c r="A1324" t="s">
        <v>16279</v>
      </c>
      <c r="B1324" t="s">
        <v>16280</v>
      </c>
      <c r="C1324" t="s">
        <v>13967</v>
      </c>
      <c r="D1324" t="s">
        <v>13968</v>
      </c>
      <c r="E1324" t="s">
        <v>13969</v>
      </c>
    </row>
    <row r="1325" spans="1:5">
      <c r="A1325" t="s">
        <v>3273</v>
      </c>
      <c r="B1325" t="s">
        <v>16281</v>
      </c>
      <c r="C1325" t="s">
        <v>14509</v>
      </c>
      <c r="D1325" t="s">
        <v>14510</v>
      </c>
      <c r="E1325" t="s">
        <v>14511</v>
      </c>
    </row>
    <row r="1326" spans="1:5">
      <c r="A1326" t="s">
        <v>16282</v>
      </c>
      <c r="B1326" t="s">
        <v>16283</v>
      </c>
      <c r="C1326" t="s">
        <v>14021</v>
      </c>
      <c r="D1326" t="s">
        <v>14021</v>
      </c>
      <c r="E1326" t="s">
        <v>14022</v>
      </c>
    </row>
    <row r="1327" spans="1:5">
      <c r="A1327" t="s">
        <v>16284</v>
      </c>
      <c r="B1327" t="s">
        <v>16285</v>
      </c>
      <c r="C1327" t="s">
        <v>13905</v>
      </c>
      <c r="D1327" t="s">
        <v>13901</v>
      </c>
      <c r="E1327" t="s">
        <v>13902</v>
      </c>
    </row>
    <row r="1328" spans="1:5">
      <c r="A1328" t="s">
        <v>1369</v>
      </c>
      <c r="B1328" t="s">
        <v>16286</v>
      </c>
      <c r="C1328" t="s">
        <v>14012</v>
      </c>
      <c r="D1328" t="s">
        <v>13927</v>
      </c>
      <c r="E1328" t="s">
        <v>13928</v>
      </c>
    </row>
    <row r="1329" spans="1:5">
      <c r="A1329" t="s">
        <v>16287</v>
      </c>
      <c r="B1329" t="s">
        <v>16288</v>
      </c>
      <c r="C1329" t="s">
        <v>14501</v>
      </c>
      <c r="D1329" t="s">
        <v>13872</v>
      </c>
      <c r="E1329" t="s">
        <v>13873</v>
      </c>
    </row>
    <row r="1330" spans="1:5">
      <c r="A1330" t="s">
        <v>1168</v>
      </c>
      <c r="B1330" t="s">
        <v>16289</v>
      </c>
      <c r="C1330" t="s">
        <v>14012</v>
      </c>
      <c r="D1330" t="s">
        <v>13927</v>
      </c>
      <c r="E1330" t="s">
        <v>13928</v>
      </c>
    </row>
    <row r="1331" spans="1:5">
      <c r="A1331" t="s">
        <v>317</v>
      </c>
      <c r="B1331" t="s">
        <v>16290</v>
      </c>
      <c r="C1331" t="s">
        <v>13916</v>
      </c>
      <c r="D1331" t="s">
        <v>13901</v>
      </c>
      <c r="E1331" t="s">
        <v>13902</v>
      </c>
    </row>
    <row r="1332" spans="1:5">
      <c r="A1332" t="s">
        <v>16291</v>
      </c>
      <c r="B1332" t="s">
        <v>16292</v>
      </c>
      <c r="C1332" t="s">
        <v>13943</v>
      </c>
      <c r="D1332" t="s">
        <v>13901</v>
      </c>
      <c r="E1332" t="s">
        <v>13902</v>
      </c>
    </row>
    <row r="1333" spans="1:5">
      <c r="A1333" t="s">
        <v>1746</v>
      </c>
      <c r="B1333" t="s">
        <v>16293</v>
      </c>
      <c r="C1333" t="s">
        <v>13988</v>
      </c>
      <c r="D1333" t="s">
        <v>13989</v>
      </c>
      <c r="E1333" t="s">
        <v>13990</v>
      </c>
    </row>
    <row r="1334" spans="1:5">
      <c r="A1334" t="s">
        <v>1032</v>
      </c>
      <c r="B1334" t="s">
        <v>16294</v>
      </c>
      <c r="C1334" t="s">
        <v>15213</v>
      </c>
      <c r="D1334" t="s">
        <v>13927</v>
      </c>
      <c r="E1334" t="s">
        <v>13928</v>
      </c>
    </row>
    <row r="1335" spans="1:5">
      <c r="A1335" t="s">
        <v>1154</v>
      </c>
      <c r="B1335" t="s">
        <v>16295</v>
      </c>
      <c r="C1335" t="s">
        <v>16296</v>
      </c>
      <c r="D1335" t="s">
        <v>13932</v>
      </c>
      <c r="E1335" t="s">
        <v>13933</v>
      </c>
    </row>
    <row r="1336" spans="1:5">
      <c r="A1336" t="s">
        <v>16297</v>
      </c>
      <c r="B1336" t="s">
        <v>16298</v>
      </c>
      <c r="C1336" t="s">
        <v>14919</v>
      </c>
      <c r="D1336" t="s">
        <v>13901</v>
      </c>
      <c r="E1336" t="s">
        <v>13902</v>
      </c>
    </row>
    <row r="1337" spans="1:5">
      <c r="A1337" t="s">
        <v>16299</v>
      </c>
      <c r="B1337" t="s">
        <v>16300</v>
      </c>
      <c r="C1337" t="s">
        <v>14007</v>
      </c>
      <c r="D1337" t="s">
        <v>13989</v>
      </c>
      <c r="E1337" t="s">
        <v>13990</v>
      </c>
    </row>
    <row r="1338" spans="1:5">
      <c r="A1338" t="s">
        <v>16301</v>
      </c>
      <c r="B1338" t="s">
        <v>16302</v>
      </c>
      <c r="C1338" t="s">
        <v>16237</v>
      </c>
      <c r="D1338" t="s">
        <v>14482</v>
      </c>
      <c r="E1338" t="s">
        <v>14483</v>
      </c>
    </row>
    <row r="1339" spans="1:5">
      <c r="A1339" t="s">
        <v>2623</v>
      </c>
      <c r="B1339" t="s">
        <v>16303</v>
      </c>
      <c r="C1339" t="s">
        <v>16304</v>
      </c>
      <c r="D1339" t="s">
        <v>14953</v>
      </c>
      <c r="E1339" t="s">
        <v>14954</v>
      </c>
    </row>
    <row r="1340" spans="1:5">
      <c r="A1340" t="s">
        <v>2476</v>
      </c>
      <c r="B1340" t="s">
        <v>16305</v>
      </c>
      <c r="C1340" t="s">
        <v>14001</v>
      </c>
      <c r="D1340" t="s">
        <v>14002</v>
      </c>
      <c r="E1340" t="s">
        <v>14003</v>
      </c>
    </row>
    <row r="1341" spans="1:5">
      <c r="A1341" t="s">
        <v>3207</v>
      </c>
      <c r="B1341" t="s">
        <v>16306</v>
      </c>
      <c r="C1341" t="s">
        <v>14509</v>
      </c>
      <c r="D1341" t="s">
        <v>14510</v>
      </c>
      <c r="E1341" t="s">
        <v>14511</v>
      </c>
    </row>
    <row r="1342" spans="1:5">
      <c r="A1342" t="s">
        <v>3405</v>
      </c>
      <c r="B1342" t="s">
        <v>16307</v>
      </c>
      <c r="C1342" t="s">
        <v>14201</v>
      </c>
      <c r="D1342" t="s">
        <v>14018</v>
      </c>
      <c r="E1342" t="s">
        <v>14019</v>
      </c>
    </row>
    <row r="1343" spans="1:5">
      <c r="A1343" t="s">
        <v>16308</v>
      </c>
      <c r="B1343" t="s">
        <v>16309</v>
      </c>
      <c r="C1343" t="s">
        <v>14072</v>
      </c>
      <c r="D1343" t="s">
        <v>14073</v>
      </c>
      <c r="E1343" t="s">
        <v>14074</v>
      </c>
    </row>
    <row r="1344" spans="1:5">
      <c r="A1344" t="s">
        <v>16310</v>
      </c>
      <c r="B1344" t="s">
        <v>16311</v>
      </c>
      <c r="C1344" t="s">
        <v>15836</v>
      </c>
      <c r="D1344" t="s">
        <v>13935</v>
      </c>
      <c r="E1344" t="s">
        <v>13936</v>
      </c>
    </row>
    <row r="1345" spans="1:5">
      <c r="A1345" t="s">
        <v>1276</v>
      </c>
      <c r="B1345" t="s">
        <v>16312</v>
      </c>
      <c r="C1345" t="s">
        <v>14337</v>
      </c>
      <c r="D1345" t="s">
        <v>13999</v>
      </c>
      <c r="E1345" t="s">
        <v>14338</v>
      </c>
    </row>
    <row r="1346" spans="1:5">
      <c r="A1346" t="s">
        <v>328</v>
      </c>
      <c r="B1346" t="s">
        <v>16313</v>
      </c>
      <c r="C1346" t="s">
        <v>13916</v>
      </c>
      <c r="D1346" t="s">
        <v>13901</v>
      </c>
      <c r="E1346" t="s">
        <v>13902</v>
      </c>
    </row>
    <row r="1347" spans="1:5">
      <c r="A1347" t="s">
        <v>16314</v>
      </c>
      <c r="B1347" t="s">
        <v>16315</v>
      </c>
      <c r="C1347" t="s">
        <v>13916</v>
      </c>
      <c r="D1347" t="s">
        <v>13901</v>
      </c>
      <c r="E1347" t="s">
        <v>13902</v>
      </c>
    </row>
    <row r="1348" spans="1:5">
      <c r="A1348" t="s">
        <v>894</v>
      </c>
      <c r="B1348" t="s">
        <v>16239</v>
      </c>
      <c r="C1348" t="s">
        <v>13916</v>
      </c>
      <c r="D1348" t="s">
        <v>13901</v>
      </c>
      <c r="E1348" t="s">
        <v>13902</v>
      </c>
    </row>
    <row r="1349" spans="1:5">
      <c r="A1349" t="s">
        <v>441</v>
      </c>
      <c r="B1349" t="s">
        <v>16316</v>
      </c>
      <c r="C1349" t="s">
        <v>14177</v>
      </c>
      <c r="D1349" t="s">
        <v>13946</v>
      </c>
      <c r="E1349" t="s">
        <v>13947</v>
      </c>
    </row>
    <row r="1350" spans="1:5">
      <c r="A1350" t="s">
        <v>3149</v>
      </c>
      <c r="B1350" t="s">
        <v>16317</v>
      </c>
      <c r="C1350" t="s">
        <v>15654</v>
      </c>
      <c r="D1350" t="s">
        <v>13923</v>
      </c>
      <c r="E1350" t="s">
        <v>13924</v>
      </c>
    </row>
    <row r="1351" spans="1:5">
      <c r="A1351" t="s">
        <v>3462</v>
      </c>
      <c r="B1351" t="s">
        <v>16318</v>
      </c>
      <c r="C1351" t="s">
        <v>16319</v>
      </c>
      <c r="D1351" t="s">
        <v>14040</v>
      </c>
      <c r="E1351" t="s">
        <v>14041</v>
      </c>
    </row>
    <row r="1352" spans="1:5">
      <c r="A1352" t="s">
        <v>16320</v>
      </c>
      <c r="B1352" t="s">
        <v>16321</v>
      </c>
      <c r="C1352" t="s">
        <v>16322</v>
      </c>
      <c r="D1352" t="s">
        <v>14018</v>
      </c>
      <c r="E1352" t="s">
        <v>14019</v>
      </c>
    </row>
    <row r="1353" spans="1:5">
      <c r="A1353" t="s">
        <v>16323</v>
      </c>
      <c r="B1353" t="s">
        <v>16324</v>
      </c>
      <c r="C1353" t="s">
        <v>14012</v>
      </c>
      <c r="D1353" t="s">
        <v>13927</v>
      </c>
      <c r="E1353" t="s">
        <v>13928</v>
      </c>
    </row>
    <row r="1354" spans="1:5">
      <c r="A1354" t="s">
        <v>320</v>
      </c>
      <c r="B1354" t="s">
        <v>16325</v>
      </c>
      <c r="C1354" t="s">
        <v>13943</v>
      </c>
      <c r="D1354" t="s">
        <v>13901</v>
      </c>
      <c r="E1354" t="s">
        <v>13902</v>
      </c>
    </row>
    <row r="1355" spans="1:5">
      <c r="A1355" t="s">
        <v>52</v>
      </c>
      <c r="B1355" t="s">
        <v>16326</v>
      </c>
      <c r="C1355" t="s">
        <v>13916</v>
      </c>
      <c r="D1355" t="s">
        <v>13901</v>
      </c>
      <c r="E1355" t="s">
        <v>13902</v>
      </c>
    </row>
    <row r="1356" spans="1:5">
      <c r="A1356" t="s">
        <v>16327</v>
      </c>
      <c r="B1356" t="s">
        <v>16328</v>
      </c>
      <c r="C1356" t="s">
        <v>13905</v>
      </c>
      <c r="D1356" t="s">
        <v>13901</v>
      </c>
      <c r="E1356" t="s">
        <v>13902</v>
      </c>
    </row>
    <row r="1357" spans="1:5">
      <c r="A1357" t="s">
        <v>16329</v>
      </c>
      <c r="B1357" t="s">
        <v>16330</v>
      </c>
      <c r="C1357" t="s">
        <v>16331</v>
      </c>
      <c r="D1357" t="s">
        <v>14165</v>
      </c>
      <c r="E1357" t="s">
        <v>14166</v>
      </c>
    </row>
    <row r="1358" spans="1:5">
      <c r="A1358" t="s">
        <v>2941</v>
      </c>
      <c r="B1358" t="s">
        <v>16332</v>
      </c>
      <c r="C1358" t="s">
        <v>14183</v>
      </c>
      <c r="D1358" t="s">
        <v>13916</v>
      </c>
      <c r="E1358" t="s">
        <v>14184</v>
      </c>
    </row>
    <row r="1359" spans="1:5">
      <c r="A1359" t="s">
        <v>2860</v>
      </c>
      <c r="B1359" t="s">
        <v>16333</v>
      </c>
      <c r="C1359" t="s">
        <v>16331</v>
      </c>
      <c r="D1359" t="s">
        <v>14165</v>
      </c>
      <c r="E1359" t="s">
        <v>14166</v>
      </c>
    </row>
    <row r="1360" spans="1:5">
      <c r="A1360" t="s">
        <v>2445</v>
      </c>
      <c r="B1360" t="s">
        <v>16334</v>
      </c>
      <c r="C1360" t="s">
        <v>15140</v>
      </c>
      <c r="D1360" t="s">
        <v>15135</v>
      </c>
      <c r="E1360" t="s">
        <v>15136</v>
      </c>
    </row>
    <row r="1361" spans="1:5">
      <c r="A1361" t="s">
        <v>1359</v>
      </c>
      <c r="B1361" t="s">
        <v>16335</v>
      </c>
      <c r="C1361" t="s">
        <v>16336</v>
      </c>
      <c r="D1361" t="s">
        <v>14535</v>
      </c>
      <c r="E1361" t="s">
        <v>14536</v>
      </c>
    </row>
    <row r="1362" spans="1:5">
      <c r="A1362" t="s">
        <v>1901</v>
      </c>
      <c r="B1362" t="s">
        <v>16337</v>
      </c>
      <c r="C1362" t="s">
        <v>14015</v>
      </c>
      <c r="D1362" t="s">
        <v>13989</v>
      </c>
      <c r="E1362" t="s">
        <v>13990</v>
      </c>
    </row>
    <row r="1363" spans="1:5">
      <c r="A1363" t="s">
        <v>602</v>
      </c>
      <c r="B1363" t="s">
        <v>16338</v>
      </c>
      <c r="C1363" t="s">
        <v>14758</v>
      </c>
      <c r="D1363" t="s">
        <v>14759</v>
      </c>
      <c r="E1363" t="s">
        <v>14760</v>
      </c>
    </row>
    <row r="1364" spans="1:5">
      <c r="A1364" t="s">
        <v>3588</v>
      </c>
      <c r="B1364" t="s">
        <v>16339</v>
      </c>
      <c r="C1364" t="s">
        <v>16340</v>
      </c>
      <c r="D1364" t="s">
        <v>14759</v>
      </c>
      <c r="E1364" t="s">
        <v>14760</v>
      </c>
    </row>
    <row r="1365" spans="1:5">
      <c r="A1365" t="s">
        <v>16341</v>
      </c>
      <c r="B1365" t="s">
        <v>16342</v>
      </c>
      <c r="C1365" t="s">
        <v>14420</v>
      </c>
      <c r="D1365" t="s">
        <v>14073</v>
      </c>
      <c r="E1365" t="s">
        <v>14074</v>
      </c>
    </row>
    <row r="1366" spans="1:5">
      <c r="A1366" t="s">
        <v>16343</v>
      </c>
      <c r="B1366" t="s">
        <v>16344</v>
      </c>
      <c r="C1366" t="s">
        <v>14558</v>
      </c>
      <c r="D1366" t="s">
        <v>14558</v>
      </c>
      <c r="E1366" t="s">
        <v>14559</v>
      </c>
    </row>
    <row r="1367" spans="1:5">
      <c r="A1367" t="s">
        <v>16345</v>
      </c>
      <c r="B1367" t="s">
        <v>16346</v>
      </c>
      <c r="C1367" t="s">
        <v>15662</v>
      </c>
      <c r="D1367" t="s">
        <v>15662</v>
      </c>
      <c r="E1367" t="s">
        <v>15663</v>
      </c>
    </row>
    <row r="1368" spans="1:5">
      <c r="A1368" t="s">
        <v>16347</v>
      </c>
      <c r="B1368" t="s">
        <v>16348</v>
      </c>
      <c r="C1368" t="s">
        <v>16349</v>
      </c>
      <c r="D1368" t="s">
        <v>14558</v>
      </c>
      <c r="E1368" t="s">
        <v>14559</v>
      </c>
    </row>
    <row r="1369" spans="1:5">
      <c r="A1369" t="s">
        <v>1046</v>
      </c>
      <c r="B1369" t="s">
        <v>16350</v>
      </c>
      <c r="C1369" t="s">
        <v>14012</v>
      </c>
      <c r="D1369" t="s">
        <v>13927</v>
      </c>
      <c r="E1369" t="s">
        <v>13928</v>
      </c>
    </row>
    <row r="1370" spans="1:5">
      <c r="A1370" t="s">
        <v>16351</v>
      </c>
      <c r="B1370" t="s">
        <v>16352</v>
      </c>
      <c r="C1370" t="s">
        <v>16353</v>
      </c>
      <c r="D1370" t="s">
        <v>13913</v>
      </c>
      <c r="E1370" t="s">
        <v>13914</v>
      </c>
    </row>
    <row r="1371" spans="1:5">
      <c r="A1371" t="s">
        <v>16354</v>
      </c>
      <c r="B1371" t="s">
        <v>16355</v>
      </c>
      <c r="C1371" t="s">
        <v>14199</v>
      </c>
      <c r="D1371" t="s">
        <v>14040</v>
      </c>
      <c r="E1371" t="s">
        <v>14041</v>
      </c>
    </row>
    <row r="1372" spans="1:5">
      <c r="A1372" t="s">
        <v>16356</v>
      </c>
      <c r="B1372" t="s">
        <v>16357</v>
      </c>
      <c r="C1372" t="s">
        <v>16216</v>
      </c>
      <c r="D1372" t="s">
        <v>14455</v>
      </c>
      <c r="E1372" t="s">
        <v>14456</v>
      </c>
    </row>
    <row r="1373" spans="1:5">
      <c r="A1373" t="s">
        <v>16358</v>
      </c>
      <c r="B1373" t="s">
        <v>16359</v>
      </c>
      <c r="C1373" t="s">
        <v>14061</v>
      </c>
      <c r="D1373" t="s">
        <v>13913</v>
      </c>
      <c r="E1373" t="s">
        <v>13914</v>
      </c>
    </row>
    <row r="1374" spans="1:5">
      <c r="A1374" t="s">
        <v>16360</v>
      </c>
      <c r="B1374" t="s">
        <v>16361</v>
      </c>
      <c r="C1374" t="s">
        <v>15381</v>
      </c>
      <c r="D1374" t="s">
        <v>13935</v>
      </c>
      <c r="E1374" t="s">
        <v>13936</v>
      </c>
    </row>
    <row r="1375" spans="1:5">
      <c r="A1375" t="s">
        <v>2896</v>
      </c>
      <c r="B1375" t="s">
        <v>16362</v>
      </c>
      <c r="C1375" t="s">
        <v>15350</v>
      </c>
      <c r="D1375" t="s">
        <v>13932</v>
      </c>
      <c r="E1375" t="s">
        <v>13933</v>
      </c>
    </row>
    <row r="1376" spans="1:5">
      <c r="A1376" t="s">
        <v>16363</v>
      </c>
      <c r="B1376" t="s">
        <v>16364</v>
      </c>
      <c r="C1376" t="s">
        <v>14240</v>
      </c>
      <c r="D1376" t="s">
        <v>13872</v>
      </c>
      <c r="E1376" t="s">
        <v>13873</v>
      </c>
    </row>
    <row r="1377" spans="1:5">
      <c r="A1377" t="s">
        <v>2126</v>
      </c>
      <c r="B1377" t="s">
        <v>16365</v>
      </c>
      <c r="C1377" t="s">
        <v>14191</v>
      </c>
      <c r="D1377" t="s">
        <v>13893</v>
      </c>
      <c r="E1377" t="s">
        <v>13894</v>
      </c>
    </row>
    <row r="1378" spans="1:5">
      <c r="A1378" t="s">
        <v>3190</v>
      </c>
      <c r="B1378" t="s">
        <v>16366</v>
      </c>
      <c r="C1378" t="s">
        <v>13922</v>
      </c>
      <c r="D1378" t="s">
        <v>13923</v>
      </c>
      <c r="E1378" t="s">
        <v>13924</v>
      </c>
    </row>
    <row r="1379" spans="1:5">
      <c r="A1379" t="s">
        <v>3346</v>
      </c>
      <c r="B1379" t="s">
        <v>16367</v>
      </c>
      <c r="C1379" t="s">
        <v>13967</v>
      </c>
      <c r="D1379" t="s">
        <v>13968</v>
      </c>
      <c r="E1379" t="s">
        <v>13969</v>
      </c>
    </row>
    <row r="1380" spans="1:5">
      <c r="A1380" t="s">
        <v>16368</v>
      </c>
      <c r="B1380" t="s">
        <v>16369</v>
      </c>
      <c r="C1380" t="s">
        <v>14588</v>
      </c>
      <c r="D1380" t="s">
        <v>13927</v>
      </c>
      <c r="E1380" t="s">
        <v>13928</v>
      </c>
    </row>
    <row r="1381" spans="1:5">
      <c r="A1381" t="s">
        <v>3655</v>
      </c>
      <c r="B1381" t="s">
        <v>16370</v>
      </c>
      <c r="C1381" t="s">
        <v>14816</v>
      </c>
      <c r="D1381" t="s">
        <v>13897</v>
      </c>
      <c r="E1381" t="s">
        <v>13898</v>
      </c>
    </row>
    <row r="1382" spans="1:5">
      <c r="A1382" t="s">
        <v>16371</v>
      </c>
      <c r="B1382" t="s">
        <v>16372</v>
      </c>
      <c r="C1382" t="s">
        <v>16373</v>
      </c>
      <c r="D1382" t="s">
        <v>14759</v>
      </c>
      <c r="E1382" t="s">
        <v>14760</v>
      </c>
    </row>
    <row r="1383" spans="1:5">
      <c r="A1383" t="s">
        <v>16374</v>
      </c>
      <c r="B1383" t="s">
        <v>16375</v>
      </c>
      <c r="C1383" t="s">
        <v>14061</v>
      </c>
      <c r="D1383" t="s">
        <v>13913</v>
      </c>
      <c r="E1383" t="s">
        <v>13914</v>
      </c>
    </row>
    <row r="1384" spans="1:5">
      <c r="A1384" t="s">
        <v>16376</v>
      </c>
      <c r="B1384" t="s">
        <v>16377</v>
      </c>
      <c r="C1384" t="s">
        <v>14240</v>
      </c>
      <c r="D1384" t="s">
        <v>13872</v>
      </c>
      <c r="E1384" t="s">
        <v>13873</v>
      </c>
    </row>
    <row r="1385" spans="1:5">
      <c r="A1385" t="s">
        <v>16378</v>
      </c>
      <c r="B1385" t="s">
        <v>16379</v>
      </c>
      <c r="C1385" t="s">
        <v>14240</v>
      </c>
      <c r="D1385" t="s">
        <v>13872</v>
      </c>
      <c r="E1385" t="s">
        <v>13873</v>
      </c>
    </row>
    <row r="1386" spans="1:5">
      <c r="A1386" t="s">
        <v>1824</v>
      </c>
      <c r="B1386" t="s">
        <v>16380</v>
      </c>
      <c r="C1386" t="s">
        <v>13988</v>
      </c>
      <c r="D1386" t="s">
        <v>13989</v>
      </c>
      <c r="E1386" t="s">
        <v>13990</v>
      </c>
    </row>
    <row r="1387" spans="1:5">
      <c r="A1387" t="s">
        <v>16381</v>
      </c>
      <c r="B1387" t="s">
        <v>16382</v>
      </c>
      <c r="C1387" t="s">
        <v>16383</v>
      </c>
      <c r="D1387" t="s">
        <v>13927</v>
      </c>
      <c r="E1387" t="s">
        <v>13928</v>
      </c>
    </row>
    <row r="1388" spans="1:5">
      <c r="A1388" t="s">
        <v>16384</v>
      </c>
      <c r="B1388" t="s">
        <v>16385</v>
      </c>
      <c r="C1388" t="s">
        <v>16386</v>
      </c>
      <c r="D1388" t="s">
        <v>14002</v>
      </c>
      <c r="E1388" t="s">
        <v>14003</v>
      </c>
    </row>
    <row r="1389" spans="1:5">
      <c r="A1389" t="s">
        <v>16387</v>
      </c>
      <c r="B1389" t="s">
        <v>16388</v>
      </c>
      <c r="C1389" t="s">
        <v>16389</v>
      </c>
      <c r="D1389" t="s">
        <v>13919</v>
      </c>
      <c r="E1389" t="s">
        <v>13920</v>
      </c>
    </row>
    <row r="1390" spans="1:5">
      <c r="A1390" t="s">
        <v>2989</v>
      </c>
      <c r="B1390" t="s">
        <v>16390</v>
      </c>
      <c r="C1390" t="s">
        <v>14183</v>
      </c>
      <c r="D1390" t="s">
        <v>13916</v>
      </c>
      <c r="E1390" t="s">
        <v>14184</v>
      </c>
    </row>
    <row r="1391" spans="1:5">
      <c r="A1391" t="s">
        <v>2702</v>
      </c>
      <c r="B1391" t="s">
        <v>16391</v>
      </c>
      <c r="C1391" t="s">
        <v>15703</v>
      </c>
      <c r="D1391" t="s">
        <v>13919</v>
      </c>
      <c r="E1391" t="s">
        <v>13920</v>
      </c>
    </row>
    <row r="1392" spans="1:5">
      <c r="A1392" t="s">
        <v>1590</v>
      </c>
      <c r="B1392" t="s">
        <v>16392</v>
      </c>
      <c r="C1392" t="s">
        <v>15616</v>
      </c>
      <c r="D1392" t="s">
        <v>14611</v>
      </c>
      <c r="E1392" t="s">
        <v>14612</v>
      </c>
    </row>
    <row r="1393" spans="1:5">
      <c r="A1393" t="s">
        <v>1022</v>
      </c>
      <c r="B1393" t="s">
        <v>16393</v>
      </c>
      <c r="C1393" t="s">
        <v>14012</v>
      </c>
      <c r="D1393" t="s">
        <v>13927</v>
      </c>
      <c r="E1393" t="s">
        <v>13928</v>
      </c>
    </row>
    <row r="1394" spans="1:5">
      <c r="A1394" t="s">
        <v>16394</v>
      </c>
      <c r="B1394" t="s">
        <v>16395</v>
      </c>
      <c r="C1394" t="s">
        <v>14445</v>
      </c>
      <c r="D1394" t="s">
        <v>14446</v>
      </c>
      <c r="E1394" t="s">
        <v>14447</v>
      </c>
    </row>
    <row r="1395" spans="1:5">
      <c r="A1395" t="s">
        <v>16396</v>
      </c>
      <c r="B1395" t="s">
        <v>16397</v>
      </c>
      <c r="C1395" t="s">
        <v>13935</v>
      </c>
      <c r="D1395" t="s">
        <v>13935</v>
      </c>
      <c r="E1395" t="s">
        <v>13936</v>
      </c>
    </row>
    <row r="1396" spans="1:5">
      <c r="A1396" t="s">
        <v>3381</v>
      </c>
      <c r="B1396" t="s">
        <v>16398</v>
      </c>
      <c r="C1396" t="s">
        <v>14949</v>
      </c>
      <c r="D1396" t="s">
        <v>14909</v>
      </c>
      <c r="E1396" t="s">
        <v>14910</v>
      </c>
    </row>
    <row r="1397" spans="1:5">
      <c r="A1397" t="s">
        <v>16399</v>
      </c>
      <c r="B1397" t="s">
        <v>16400</v>
      </c>
      <c r="C1397" t="s">
        <v>14554</v>
      </c>
      <c r="D1397" t="s">
        <v>13901</v>
      </c>
      <c r="E1397" t="s">
        <v>13902</v>
      </c>
    </row>
    <row r="1398" spans="1:5">
      <c r="A1398" t="s">
        <v>16401</v>
      </c>
      <c r="B1398" t="s">
        <v>16402</v>
      </c>
      <c r="C1398" t="s">
        <v>16257</v>
      </c>
      <c r="D1398" t="s">
        <v>14250</v>
      </c>
      <c r="E1398" t="s">
        <v>14251</v>
      </c>
    </row>
    <row r="1399" spans="1:5">
      <c r="A1399" t="s">
        <v>16403</v>
      </c>
      <c r="B1399" t="s">
        <v>16404</v>
      </c>
      <c r="C1399" t="s">
        <v>14012</v>
      </c>
      <c r="D1399" t="s">
        <v>13927</v>
      </c>
      <c r="E1399" t="s">
        <v>13928</v>
      </c>
    </row>
    <row r="1400" spans="1:5">
      <c r="A1400" t="s">
        <v>16405</v>
      </c>
      <c r="B1400" t="s">
        <v>16406</v>
      </c>
      <c r="C1400" t="s">
        <v>16407</v>
      </c>
      <c r="D1400" t="s">
        <v>13901</v>
      </c>
      <c r="E1400" t="s">
        <v>13902</v>
      </c>
    </row>
    <row r="1401" spans="1:5">
      <c r="A1401" t="s">
        <v>16408</v>
      </c>
      <c r="B1401" t="s">
        <v>16409</v>
      </c>
      <c r="C1401" t="s">
        <v>16410</v>
      </c>
      <c r="D1401" t="s">
        <v>14404</v>
      </c>
      <c r="E1401" t="s">
        <v>14405</v>
      </c>
    </row>
    <row r="1402" spans="1:5">
      <c r="A1402" t="s">
        <v>1122</v>
      </c>
      <c r="B1402" t="s">
        <v>16411</v>
      </c>
      <c r="C1402" t="s">
        <v>14012</v>
      </c>
      <c r="D1402" t="s">
        <v>13927</v>
      </c>
      <c r="E1402" t="s">
        <v>13928</v>
      </c>
    </row>
    <row r="1403" spans="1:5">
      <c r="A1403" t="s">
        <v>16412</v>
      </c>
      <c r="B1403" t="s">
        <v>16413</v>
      </c>
      <c r="C1403" t="s">
        <v>16414</v>
      </c>
      <c r="D1403" t="s">
        <v>15747</v>
      </c>
      <c r="E1403" t="s">
        <v>15748</v>
      </c>
    </row>
    <row r="1404" spans="1:5">
      <c r="A1404" t="s">
        <v>16415</v>
      </c>
      <c r="B1404" t="s">
        <v>16416</v>
      </c>
      <c r="C1404" t="s">
        <v>14501</v>
      </c>
      <c r="D1404" t="s">
        <v>13872</v>
      </c>
      <c r="E1404" t="s">
        <v>13873</v>
      </c>
    </row>
    <row r="1405" spans="1:5">
      <c r="A1405" t="s">
        <v>16417</v>
      </c>
      <c r="B1405" t="s">
        <v>16418</v>
      </c>
      <c r="C1405" t="s">
        <v>13988</v>
      </c>
      <c r="D1405" t="s">
        <v>13989</v>
      </c>
      <c r="E1405" t="s">
        <v>13990</v>
      </c>
    </row>
    <row r="1406" spans="1:5">
      <c r="A1406" t="s">
        <v>3070</v>
      </c>
      <c r="B1406" t="s">
        <v>16419</v>
      </c>
      <c r="C1406" t="s">
        <v>16420</v>
      </c>
      <c r="D1406" t="s">
        <v>13968</v>
      </c>
      <c r="E1406" t="s">
        <v>13969</v>
      </c>
    </row>
    <row r="1407" spans="1:5">
      <c r="A1407" t="s">
        <v>16421</v>
      </c>
      <c r="B1407" t="s">
        <v>16422</v>
      </c>
      <c r="C1407" t="s">
        <v>14481</v>
      </c>
      <c r="D1407" t="s">
        <v>14482</v>
      </c>
      <c r="E1407" t="s">
        <v>14483</v>
      </c>
    </row>
    <row r="1408" spans="1:5">
      <c r="A1408" t="s">
        <v>1296</v>
      </c>
      <c r="B1408" t="s">
        <v>16423</v>
      </c>
      <c r="C1408" t="s">
        <v>14012</v>
      </c>
      <c r="D1408" t="s">
        <v>13927</v>
      </c>
      <c r="E1408" t="s">
        <v>13928</v>
      </c>
    </row>
    <row r="1409" spans="1:5">
      <c r="A1409" t="s">
        <v>16424</v>
      </c>
      <c r="B1409" t="s">
        <v>16425</v>
      </c>
      <c r="C1409" t="s">
        <v>15662</v>
      </c>
      <c r="D1409" t="s">
        <v>15662</v>
      </c>
      <c r="E1409" t="s">
        <v>15663</v>
      </c>
    </row>
    <row r="1410" spans="1:5">
      <c r="A1410" t="s">
        <v>16426</v>
      </c>
      <c r="B1410" t="s">
        <v>16427</v>
      </c>
      <c r="C1410" t="s">
        <v>16428</v>
      </c>
      <c r="D1410" t="s">
        <v>13951</v>
      </c>
      <c r="E1410" t="s">
        <v>13952</v>
      </c>
    </row>
    <row r="1411" spans="1:5">
      <c r="A1411" t="s">
        <v>16429</v>
      </c>
      <c r="B1411" t="s">
        <v>16430</v>
      </c>
      <c r="C1411" t="s">
        <v>13935</v>
      </c>
      <c r="D1411" t="s">
        <v>13935</v>
      </c>
      <c r="E1411" t="s">
        <v>13936</v>
      </c>
    </row>
    <row r="1412" spans="1:5">
      <c r="A1412" t="s">
        <v>3554</v>
      </c>
      <c r="B1412" t="s">
        <v>16431</v>
      </c>
      <c r="C1412" t="s">
        <v>14147</v>
      </c>
      <c r="D1412" t="s">
        <v>13881</v>
      </c>
      <c r="E1412" t="s">
        <v>13882</v>
      </c>
    </row>
    <row r="1413" spans="1:5">
      <c r="A1413" t="s">
        <v>3024</v>
      </c>
      <c r="B1413" t="s">
        <v>16432</v>
      </c>
      <c r="C1413" t="s">
        <v>15245</v>
      </c>
      <c r="D1413" t="s">
        <v>14356</v>
      </c>
      <c r="E1413" t="s">
        <v>14357</v>
      </c>
    </row>
    <row r="1414" spans="1:5">
      <c r="A1414" t="s">
        <v>2233</v>
      </c>
      <c r="B1414" t="s">
        <v>16433</v>
      </c>
      <c r="C1414" t="s">
        <v>14017</v>
      </c>
      <c r="D1414" t="s">
        <v>15092</v>
      </c>
      <c r="E1414" t="s">
        <v>15093</v>
      </c>
    </row>
    <row r="1415" spans="1:5">
      <c r="A1415" t="s">
        <v>1517</v>
      </c>
      <c r="B1415" t="s">
        <v>16434</v>
      </c>
      <c r="C1415" t="s">
        <v>14332</v>
      </c>
      <c r="D1415" t="s">
        <v>13927</v>
      </c>
      <c r="E1415" t="s">
        <v>13928</v>
      </c>
    </row>
    <row r="1416" spans="1:5">
      <c r="A1416" t="s">
        <v>16435</v>
      </c>
      <c r="B1416" t="s">
        <v>16436</v>
      </c>
      <c r="C1416" t="s">
        <v>13875</v>
      </c>
      <c r="D1416" t="s">
        <v>13876</v>
      </c>
      <c r="E1416" t="s">
        <v>13877</v>
      </c>
    </row>
    <row r="1417" spans="1:5">
      <c r="A1417" t="s">
        <v>2299</v>
      </c>
      <c r="B1417" t="s">
        <v>16437</v>
      </c>
      <c r="C1417" t="s">
        <v>13871</v>
      </c>
      <c r="D1417" t="s">
        <v>13872</v>
      </c>
      <c r="E1417" t="s">
        <v>13873</v>
      </c>
    </row>
    <row r="1418" spans="1:5">
      <c r="A1418" t="s">
        <v>3071</v>
      </c>
      <c r="B1418" t="s">
        <v>16438</v>
      </c>
      <c r="C1418" t="s">
        <v>15022</v>
      </c>
      <c r="D1418" t="s">
        <v>14408</v>
      </c>
      <c r="E1418" t="s">
        <v>14409</v>
      </c>
    </row>
    <row r="1419" spans="1:5">
      <c r="A1419" t="s">
        <v>175</v>
      </c>
      <c r="B1419" t="s">
        <v>16439</v>
      </c>
      <c r="C1419" t="s">
        <v>13916</v>
      </c>
      <c r="D1419" t="s">
        <v>13901</v>
      </c>
      <c r="E1419" t="s">
        <v>13902</v>
      </c>
    </row>
    <row r="1420" spans="1:5">
      <c r="A1420" t="s">
        <v>16440</v>
      </c>
      <c r="B1420" t="s">
        <v>16441</v>
      </c>
      <c r="C1420" t="s">
        <v>14989</v>
      </c>
      <c r="D1420" t="s">
        <v>14429</v>
      </c>
      <c r="E1420" t="s">
        <v>14430</v>
      </c>
    </row>
    <row r="1421" spans="1:5">
      <c r="A1421" t="s">
        <v>16442</v>
      </c>
      <c r="B1421" t="s">
        <v>16443</v>
      </c>
      <c r="C1421" t="s">
        <v>16444</v>
      </c>
      <c r="D1421" t="s">
        <v>15092</v>
      </c>
      <c r="E1421" t="s">
        <v>15093</v>
      </c>
    </row>
    <row r="1422" spans="1:5">
      <c r="A1422" t="s">
        <v>1243</v>
      </c>
      <c r="B1422" t="s">
        <v>16445</v>
      </c>
      <c r="C1422" t="s">
        <v>15575</v>
      </c>
      <c r="D1422" t="s">
        <v>13927</v>
      </c>
      <c r="E1422" t="s">
        <v>13928</v>
      </c>
    </row>
    <row r="1423" spans="1:5">
      <c r="A1423" t="s">
        <v>1063</v>
      </c>
      <c r="B1423" t="s">
        <v>16446</v>
      </c>
      <c r="C1423" t="s">
        <v>14012</v>
      </c>
      <c r="D1423" t="s">
        <v>13927</v>
      </c>
      <c r="E1423" t="s">
        <v>13928</v>
      </c>
    </row>
    <row r="1424" spans="1:5">
      <c r="A1424" t="s">
        <v>140</v>
      </c>
      <c r="B1424" t="s">
        <v>16447</v>
      </c>
      <c r="C1424" t="s">
        <v>13905</v>
      </c>
      <c r="D1424" t="s">
        <v>13901</v>
      </c>
      <c r="E1424" t="s">
        <v>13902</v>
      </c>
    </row>
    <row r="1425" spans="1:5">
      <c r="A1425" t="s">
        <v>16448</v>
      </c>
      <c r="B1425" t="s">
        <v>16449</v>
      </c>
      <c r="C1425" t="s">
        <v>14806</v>
      </c>
      <c r="D1425" t="s">
        <v>14078</v>
      </c>
      <c r="E1425" t="s">
        <v>14079</v>
      </c>
    </row>
    <row r="1426" spans="1:5">
      <c r="A1426" t="s">
        <v>2796</v>
      </c>
      <c r="B1426" t="s">
        <v>16450</v>
      </c>
      <c r="C1426" t="s">
        <v>14057</v>
      </c>
      <c r="D1426" t="s">
        <v>14058</v>
      </c>
      <c r="E1426" t="s">
        <v>14059</v>
      </c>
    </row>
    <row r="1427" spans="1:5">
      <c r="A1427" t="s">
        <v>1647</v>
      </c>
      <c r="B1427" t="s">
        <v>16451</v>
      </c>
      <c r="C1427" t="s">
        <v>14278</v>
      </c>
      <c r="D1427" t="s">
        <v>13946</v>
      </c>
      <c r="E1427" t="s">
        <v>13947</v>
      </c>
    </row>
    <row r="1428" spans="1:5">
      <c r="A1428" t="s">
        <v>398</v>
      </c>
      <c r="B1428" t="s">
        <v>16452</v>
      </c>
      <c r="C1428" t="s">
        <v>14765</v>
      </c>
      <c r="D1428" t="s">
        <v>13901</v>
      </c>
      <c r="E1428" t="s">
        <v>13902</v>
      </c>
    </row>
    <row r="1429" spans="1:5">
      <c r="A1429" t="s">
        <v>16453</v>
      </c>
      <c r="B1429" t="s">
        <v>16454</v>
      </c>
      <c r="C1429" t="s">
        <v>14017</v>
      </c>
      <c r="D1429" t="s">
        <v>14018</v>
      </c>
      <c r="E1429" t="s">
        <v>14019</v>
      </c>
    </row>
    <row r="1430" spans="1:5">
      <c r="A1430" t="s">
        <v>16455</v>
      </c>
      <c r="B1430" t="s">
        <v>16456</v>
      </c>
      <c r="C1430" t="s">
        <v>16457</v>
      </c>
      <c r="D1430" t="s">
        <v>13964</v>
      </c>
      <c r="E1430" t="s">
        <v>13965</v>
      </c>
    </row>
    <row r="1431" spans="1:5">
      <c r="A1431" t="s">
        <v>16458</v>
      </c>
      <c r="B1431" t="s">
        <v>16459</v>
      </c>
      <c r="C1431" t="s">
        <v>14591</v>
      </c>
      <c r="D1431" t="s">
        <v>13927</v>
      </c>
      <c r="E1431" t="s">
        <v>13928</v>
      </c>
    </row>
    <row r="1432" spans="1:5">
      <c r="A1432" t="s">
        <v>16460</v>
      </c>
      <c r="B1432" t="s">
        <v>16461</v>
      </c>
      <c r="C1432" t="s">
        <v>13909</v>
      </c>
      <c r="D1432" t="s">
        <v>13901</v>
      </c>
      <c r="E1432" t="s">
        <v>13902</v>
      </c>
    </row>
    <row r="1433" spans="1:5">
      <c r="A1433" t="s">
        <v>16462</v>
      </c>
      <c r="B1433" t="s">
        <v>16463</v>
      </c>
      <c r="C1433" t="s">
        <v>13950</v>
      </c>
      <c r="D1433" t="s">
        <v>13951</v>
      </c>
      <c r="E1433" t="s">
        <v>13952</v>
      </c>
    </row>
    <row r="1434" spans="1:5">
      <c r="A1434" t="s">
        <v>3434</v>
      </c>
      <c r="B1434" t="s">
        <v>16464</v>
      </c>
      <c r="C1434" t="s">
        <v>14201</v>
      </c>
      <c r="D1434" t="s">
        <v>14040</v>
      </c>
      <c r="E1434" t="s">
        <v>14041</v>
      </c>
    </row>
    <row r="1435" spans="1:5">
      <c r="A1435" t="s">
        <v>16465</v>
      </c>
      <c r="B1435" t="s">
        <v>16466</v>
      </c>
      <c r="C1435" t="s">
        <v>16467</v>
      </c>
      <c r="D1435" t="s">
        <v>14834</v>
      </c>
      <c r="E1435" t="s">
        <v>14835</v>
      </c>
    </row>
    <row r="1436" spans="1:5">
      <c r="A1436" t="s">
        <v>16468</v>
      </c>
      <c r="B1436" t="s">
        <v>16469</v>
      </c>
      <c r="C1436" t="s">
        <v>15174</v>
      </c>
      <c r="D1436" t="s">
        <v>13999</v>
      </c>
      <c r="E1436" t="s">
        <v>14338</v>
      </c>
    </row>
    <row r="1437" spans="1:5">
      <c r="A1437" t="s">
        <v>3172</v>
      </c>
      <c r="B1437" t="s">
        <v>16470</v>
      </c>
      <c r="C1437" t="s">
        <v>13922</v>
      </c>
      <c r="D1437" t="s">
        <v>13923</v>
      </c>
      <c r="E1437" t="s">
        <v>13924</v>
      </c>
    </row>
    <row r="1438" spans="1:5">
      <c r="A1438" t="s">
        <v>16471</v>
      </c>
      <c r="B1438" t="s">
        <v>16472</v>
      </c>
      <c r="C1438" t="s">
        <v>14380</v>
      </c>
      <c r="D1438" t="s">
        <v>14381</v>
      </c>
      <c r="E1438" t="s">
        <v>14382</v>
      </c>
    </row>
    <row r="1439" spans="1:5">
      <c r="A1439" t="s">
        <v>16473</v>
      </c>
      <c r="B1439" t="s">
        <v>16474</v>
      </c>
      <c r="C1439" t="s">
        <v>14380</v>
      </c>
      <c r="D1439" t="s">
        <v>14381</v>
      </c>
      <c r="E1439" t="s">
        <v>14382</v>
      </c>
    </row>
    <row r="1440" spans="1:5">
      <c r="A1440" t="s">
        <v>16475</v>
      </c>
      <c r="B1440" t="s">
        <v>16476</v>
      </c>
      <c r="C1440" t="s">
        <v>14380</v>
      </c>
      <c r="D1440" t="s">
        <v>14381</v>
      </c>
      <c r="E1440" t="s">
        <v>14382</v>
      </c>
    </row>
    <row r="1441" spans="1:5">
      <c r="A1441" t="s">
        <v>16477</v>
      </c>
      <c r="B1441" t="s">
        <v>16478</v>
      </c>
      <c r="C1441" t="s">
        <v>14092</v>
      </c>
      <c r="D1441" t="s">
        <v>13994</v>
      </c>
      <c r="E1441" t="s">
        <v>13995</v>
      </c>
    </row>
    <row r="1442" spans="1:5">
      <c r="A1442" t="s">
        <v>628</v>
      </c>
      <c r="B1442" t="s">
        <v>16479</v>
      </c>
      <c r="C1442" t="s">
        <v>14425</v>
      </c>
      <c r="D1442" t="s">
        <v>13923</v>
      </c>
      <c r="E1442" t="s">
        <v>13924</v>
      </c>
    </row>
    <row r="1443" spans="1:5">
      <c r="A1443" t="s">
        <v>2082</v>
      </c>
      <c r="B1443" t="s">
        <v>16480</v>
      </c>
      <c r="C1443" t="s">
        <v>16263</v>
      </c>
      <c r="D1443" t="s">
        <v>14195</v>
      </c>
      <c r="E1443" t="s">
        <v>14196</v>
      </c>
    </row>
    <row r="1444" spans="1:5">
      <c r="A1444" t="s">
        <v>16481</v>
      </c>
      <c r="B1444" t="s">
        <v>16482</v>
      </c>
      <c r="C1444" t="s">
        <v>14001</v>
      </c>
      <c r="D1444" t="s">
        <v>14002</v>
      </c>
      <c r="E1444" t="s">
        <v>14003</v>
      </c>
    </row>
    <row r="1445" spans="1:5">
      <c r="A1445" t="s">
        <v>16483</v>
      </c>
      <c r="B1445" t="s">
        <v>16484</v>
      </c>
      <c r="C1445" t="s">
        <v>14001</v>
      </c>
      <c r="D1445" t="s">
        <v>14002</v>
      </c>
      <c r="E1445" t="s">
        <v>14003</v>
      </c>
    </row>
    <row r="1446" spans="1:5">
      <c r="A1446" t="s">
        <v>16485</v>
      </c>
      <c r="B1446" t="s">
        <v>16486</v>
      </c>
      <c r="C1446" t="s">
        <v>14132</v>
      </c>
      <c r="D1446" t="s">
        <v>14133</v>
      </c>
      <c r="E1446" t="s">
        <v>14134</v>
      </c>
    </row>
    <row r="1447" spans="1:5">
      <c r="A1447" t="s">
        <v>16487</v>
      </c>
      <c r="B1447" t="s">
        <v>16488</v>
      </c>
      <c r="C1447" t="s">
        <v>14132</v>
      </c>
      <c r="D1447" t="s">
        <v>14133</v>
      </c>
      <c r="E1447" t="s">
        <v>14134</v>
      </c>
    </row>
    <row r="1448" spans="1:5">
      <c r="A1448" t="s">
        <v>2926</v>
      </c>
      <c r="B1448" t="s">
        <v>16489</v>
      </c>
      <c r="C1448" t="s">
        <v>16296</v>
      </c>
      <c r="D1448" t="s">
        <v>13932</v>
      </c>
      <c r="E1448" t="s">
        <v>13933</v>
      </c>
    </row>
    <row r="1449" spans="1:5">
      <c r="A1449" t="s">
        <v>16490</v>
      </c>
      <c r="B1449" t="s">
        <v>16491</v>
      </c>
      <c r="C1449" t="s">
        <v>14057</v>
      </c>
      <c r="D1449" t="s">
        <v>14058</v>
      </c>
      <c r="E1449" t="s">
        <v>14059</v>
      </c>
    </row>
    <row r="1450" spans="1:5">
      <c r="A1450" t="s">
        <v>16492</v>
      </c>
      <c r="B1450" t="s">
        <v>16493</v>
      </c>
      <c r="C1450" t="s">
        <v>14057</v>
      </c>
      <c r="D1450" t="s">
        <v>14058</v>
      </c>
      <c r="E1450" t="s">
        <v>14059</v>
      </c>
    </row>
    <row r="1451" spans="1:5">
      <c r="A1451" t="s">
        <v>16494</v>
      </c>
      <c r="B1451" t="s">
        <v>16495</v>
      </c>
      <c r="C1451" t="s">
        <v>15142</v>
      </c>
      <c r="D1451" t="s">
        <v>13994</v>
      </c>
      <c r="E1451" t="s">
        <v>13995</v>
      </c>
    </row>
    <row r="1452" spans="1:5">
      <c r="A1452" t="s">
        <v>16496</v>
      </c>
      <c r="B1452" t="s">
        <v>16497</v>
      </c>
      <c r="C1452" t="s">
        <v>14072</v>
      </c>
      <c r="D1452" t="s">
        <v>14073</v>
      </c>
      <c r="E1452" t="s">
        <v>14074</v>
      </c>
    </row>
    <row r="1453" spans="1:5">
      <c r="A1453" t="s">
        <v>16498</v>
      </c>
      <c r="B1453" t="s">
        <v>16499</v>
      </c>
      <c r="C1453" t="s">
        <v>13935</v>
      </c>
      <c r="D1453" t="s">
        <v>13935</v>
      </c>
      <c r="E1453" t="s">
        <v>13936</v>
      </c>
    </row>
    <row r="1454" spans="1:5">
      <c r="A1454" t="s">
        <v>601</v>
      </c>
      <c r="B1454" t="s">
        <v>16500</v>
      </c>
      <c r="C1454" t="s">
        <v>14554</v>
      </c>
      <c r="D1454" t="s">
        <v>13901</v>
      </c>
      <c r="E1454" t="s">
        <v>13902</v>
      </c>
    </row>
    <row r="1455" spans="1:5">
      <c r="A1455" t="s">
        <v>2834</v>
      </c>
      <c r="B1455" t="s">
        <v>16501</v>
      </c>
      <c r="C1455" t="s">
        <v>14061</v>
      </c>
      <c r="D1455" t="s">
        <v>13913</v>
      </c>
      <c r="E1455" t="s">
        <v>13914</v>
      </c>
    </row>
    <row r="1456" spans="1:5">
      <c r="A1456" t="s">
        <v>1687</v>
      </c>
      <c r="B1456" t="s">
        <v>16502</v>
      </c>
      <c r="C1456" t="s">
        <v>16503</v>
      </c>
      <c r="D1456" t="s">
        <v>14493</v>
      </c>
      <c r="E1456" t="s">
        <v>15453</v>
      </c>
    </row>
    <row r="1457" spans="1:5">
      <c r="A1457" t="s">
        <v>1685</v>
      </c>
      <c r="B1457" t="s">
        <v>16504</v>
      </c>
      <c r="C1457" t="s">
        <v>16503</v>
      </c>
      <c r="D1457" t="s">
        <v>14493</v>
      </c>
      <c r="E1457" t="s">
        <v>15453</v>
      </c>
    </row>
    <row r="1458" spans="1:5">
      <c r="A1458" t="s">
        <v>16505</v>
      </c>
      <c r="B1458" t="s">
        <v>16506</v>
      </c>
      <c r="C1458" t="s">
        <v>13888</v>
      </c>
      <c r="D1458" t="s">
        <v>13889</v>
      </c>
      <c r="E1458" t="s">
        <v>13890</v>
      </c>
    </row>
    <row r="1459" spans="1:5">
      <c r="A1459" t="s">
        <v>16507</v>
      </c>
      <c r="B1459" t="s">
        <v>16508</v>
      </c>
      <c r="C1459" t="s">
        <v>13963</v>
      </c>
      <c r="D1459" t="s">
        <v>13964</v>
      </c>
      <c r="E1459" t="s">
        <v>13965</v>
      </c>
    </row>
    <row r="1460" spans="1:5">
      <c r="A1460" t="s">
        <v>2812</v>
      </c>
      <c r="B1460" t="s">
        <v>16509</v>
      </c>
      <c r="C1460" t="s">
        <v>16006</v>
      </c>
      <c r="D1460" t="s">
        <v>13913</v>
      </c>
      <c r="E1460" t="s">
        <v>13914</v>
      </c>
    </row>
    <row r="1461" spans="1:5">
      <c r="A1461" t="s">
        <v>1893</v>
      </c>
      <c r="B1461" t="s">
        <v>16510</v>
      </c>
      <c r="C1461" t="s">
        <v>14780</v>
      </c>
      <c r="D1461" t="s">
        <v>14781</v>
      </c>
      <c r="E1461" t="s">
        <v>14782</v>
      </c>
    </row>
    <row r="1462" spans="1:5">
      <c r="A1462" t="s">
        <v>518</v>
      </c>
      <c r="B1462" t="s">
        <v>14520</v>
      </c>
      <c r="C1462" t="s">
        <v>14061</v>
      </c>
      <c r="D1462" t="s">
        <v>13913</v>
      </c>
      <c r="E1462" t="s">
        <v>13914</v>
      </c>
    </row>
    <row r="1463" spans="1:5">
      <c r="A1463" t="s">
        <v>16511</v>
      </c>
      <c r="B1463" t="s">
        <v>16512</v>
      </c>
      <c r="C1463" t="s">
        <v>16513</v>
      </c>
      <c r="D1463" t="s">
        <v>13964</v>
      </c>
      <c r="E1463" t="s">
        <v>13965</v>
      </c>
    </row>
    <row r="1464" spans="1:5">
      <c r="A1464" t="s">
        <v>1252</v>
      </c>
      <c r="B1464" t="s">
        <v>16514</v>
      </c>
      <c r="C1464" t="s">
        <v>16515</v>
      </c>
      <c r="D1464" t="s">
        <v>13932</v>
      </c>
      <c r="E1464" t="s">
        <v>13933</v>
      </c>
    </row>
    <row r="1465" spans="1:5">
      <c r="A1465" t="s">
        <v>16516</v>
      </c>
      <c r="B1465" t="s">
        <v>16517</v>
      </c>
      <c r="C1465" t="s">
        <v>15486</v>
      </c>
      <c r="D1465" t="s">
        <v>14535</v>
      </c>
      <c r="E1465" t="s">
        <v>14536</v>
      </c>
    </row>
    <row r="1466" spans="1:5">
      <c r="A1466" t="s">
        <v>16518</v>
      </c>
      <c r="B1466" t="s">
        <v>16519</v>
      </c>
      <c r="C1466" t="s">
        <v>14323</v>
      </c>
      <c r="D1466" t="s">
        <v>13901</v>
      </c>
      <c r="E1466" t="s">
        <v>13902</v>
      </c>
    </row>
    <row r="1467" spans="1:5">
      <c r="A1467" t="s">
        <v>16520</v>
      </c>
      <c r="B1467" t="s">
        <v>16521</v>
      </c>
      <c r="C1467" t="s">
        <v>15245</v>
      </c>
      <c r="D1467" t="s">
        <v>14356</v>
      </c>
      <c r="E1467" t="s">
        <v>14357</v>
      </c>
    </row>
    <row r="1468" spans="1:5">
      <c r="A1468" t="s">
        <v>1610</v>
      </c>
      <c r="B1468" t="s">
        <v>16522</v>
      </c>
      <c r="C1468" t="s">
        <v>14007</v>
      </c>
      <c r="D1468" t="s">
        <v>13989</v>
      </c>
      <c r="E1468" t="s">
        <v>13990</v>
      </c>
    </row>
    <row r="1469" spans="1:5">
      <c r="A1469" t="s">
        <v>421</v>
      </c>
      <c r="B1469" t="s">
        <v>16523</v>
      </c>
      <c r="C1469" t="s">
        <v>13916</v>
      </c>
      <c r="D1469" t="s">
        <v>13901</v>
      </c>
      <c r="E1469" t="s">
        <v>13902</v>
      </c>
    </row>
    <row r="1470" spans="1:5">
      <c r="A1470" t="s">
        <v>16524</v>
      </c>
      <c r="B1470" t="s">
        <v>16525</v>
      </c>
      <c r="C1470" t="s">
        <v>13905</v>
      </c>
      <c r="D1470" t="s">
        <v>13901</v>
      </c>
      <c r="E1470" t="s">
        <v>13902</v>
      </c>
    </row>
    <row r="1471" spans="1:5">
      <c r="A1471" t="s">
        <v>2939</v>
      </c>
      <c r="B1471" t="s">
        <v>16526</v>
      </c>
      <c r="C1471" t="s">
        <v>13912</v>
      </c>
      <c r="D1471" t="s">
        <v>13913</v>
      </c>
      <c r="E1471" t="s">
        <v>13914</v>
      </c>
    </row>
    <row r="1472" spans="1:5">
      <c r="A1472" t="s">
        <v>2691</v>
      </c>
      <c r="B1472" t="s">
        <v>16527</v>
      </c>
      <c r="C1472" t="s">
        <v>16389</v>
      </c>
      <c r="D1472" t="s">
        <v>13919</v>
      </c>
      <c r="E1472" t="s">
        <v>13920</v>
      </c>
    </row>
    <row r="1473" spans="1:5">
      <c r="A1473" t="s">
        <v>16528</v>
      </c>
      <c r="B1473" t="s">
        <v>16529</v>
      </c>
      <c r="C1473" t="s">
        <v>13967</v>
      </c>
      <c r="D1473" t="s">
        <v>13968</v>
      </c>
      <c r="E1473" t="s">
        <v>13969</v>
      </c>
    </row>
    <row r="1474" spans="1:5">
      <c r="A1474" t="s">
        <v>1237</v>
      </c>
      <c r="B1474" t="s">
        <v>16530</v>
      </c>
      <c r="C1474" t="s">
        <v>13905</v>
      </c>
      <c r="D1474" t="s">
        <v>13901</v>
      </c>
      <c r="E1474" t="s">
        <v>13902</v>
      </c>
    </row>
    <row r="1475" spans="1:5">
      <c r="A1475" t="s">
        <v>351</v>
      </c>
      <c r="B1475" t="s">
        <v>16531</v>
      </c>
      <c r="C1475" t="s">
        <v>16383</v>
      </c>
      <c r="D1475" t="s">
        <v>13927</v>
      </c>
      <c r="E1475" t="s">
        <v>13928</v>
      </c>
    </row>
    <row r="1476" spans="1:5">
      <c r="A1476" t="s">
        <v>2768</v>
      </c>
      <c r="B1476" t="s">
        <v>16532</v>
      </c>
      <c r="C1476" t="s">
        <v>13951</v>
      </c>
      <c r="D1476" t="s">
        <v>13927</v>
      </c>
      <c r="E1476" t="s">
        <v>13928</v>
      </c>
    </row>
    <row r="1477" spans="1:5">
      <c r="A1477" t="s">
        <v>3106</v>
      </c>
      <c r="B1477" t="s">
        <v>16533</v>
      </c>
      <c r="C1477" t="s">
        <v>13967</v>
      </c>
      <c r="D1477" t="s">
        <v>13968</v>
      </c>
      <c r="E1477" t="s">
        <v>13969</v>
      </c>
    </row>
    <row r="1478" spans="1:5">
      <c r="A1478" t="s">
        <v>2783</v>
      </c>
      <c r="B1478" t="s">
        <v>16534</v>
      </c>
      <c r="C1478" t="s">
        <v>16535</v>
      </c>
      <c r="D1478" t="s">
        <v>14455</v>
      </c>
      <c r="E1478" t="s">
        <v>14456</v>
      </c>
    </row>
    <row r="1479" spans="1:5">
      <c r="A1479" t="s">
        <v>3113</v>
      </c>
      <c r="B1479" t="s">
        <v>16536</v>
      </c>
      <c r="C1479" t="s">
        <v>13950</v>
      </c>
      <c r="D1479" t="s">
        <v>13951</v>
      </c>
      <c r="E1479" t="s">
        <v>13952</v>
      </c>
    </row>
    <row r="1480" spans="1:5">
      <c r="A1480" t="s">
        <v>16537</v>
      </c>
      <c r="B1480" t="s">
        <v>16538</v>
      </c>
      <c r="C1480" t="s">
        <v>16539</v>
      </c>
      <c r="D1480" t="s">
        <v>14078</v>
      </c>
      <c r="E1480" t="s">
        <v>14079</v>
      </c>
    </row>
    <row r="1481" spans="1:5">
      <c r="A1481" t="s">
        <v>16540</v>
      </c>
      <c r="B1481" t="s">
        <v>16541</v>
      </c>
      <c r="C1481" t="s">
        <v>14100</v>
      </c>
      <c r="D1481" t="s">
        <v>13989</v>
      </c>
      <c r="E1481" t="s">
        <v>13990</v>
      </c>
    </row>
    <row r="1482" spans="1:5">
      <c r="A1482" t="s">
        <v>16542</v>
      </c>
      <c r="B1482" t="s">
        <v>16543</v>
      </c>
      <c r="C1482" t="s">
        <v>14012</v>
      </c>
      <c r="D1482" t="s">
        <v>13927</v>
      </c>
      <c r="E1482" t="s">
        <v>13928</v>
      </c>
    </row>
    <row r="1483" spans="1:5">
      <c r="A1483" t="s">
        <v>16544</v>
      </c>
      <c r="B1483" t="s">
        <v>16545</v>
      </c>
      <c r="C1483" t="s">
        <v>16546</v>
      </c>
      <c r="D1483" t="s">
        <v>14482</v>
      </c>
      <c r="E1483" t="s">
        <v>14483</v>
      </c>
    </row>
    <row r="1484" spans="1:5">
      <c r="A1484" t="s">
        <v>16547</v>
      </c>
      <c r="B1484" t="s">
        <v>16548</v>
      </c>
      <c r="C1484" t="s">
        <v>15836</v>
      </c>
      <c r="D1484" t="s">
        <v>13935</v>
      </c>
      <c r="E1484" t="s">
        <v>13936</v>
      </c>
    </row>
    <row r="1485" spans="1:5">
      <c r="A1485" t="s">
        <v>2972</v>
      </c>
      <c r="B1485" t="s">
        <v>16549</v>
      </c>
      <c r="C1485" t="s">
        <v>14183</v>
      </c>
      <c r="D1485" t="s">
        <v>13916</v>
      </c>
      <c r="E1485" t="s">
        <v>14184</v>
      </c>
    </row>
    <row r="1486" spans="1:5">
      <c r="A1486" t="s">
        <v>1481</v>
      </c>
      <c r="B1486" t="s">
        <v>16550</v>
      </c>
      <c r="C1486" t="s">
        <v>16551</v>
      </c>
      <c r="D1486" t="s">
        <v>14510</v>
      </c>
      <c r="E1486" t="s">
        <v>14511</v>
      </c>
    </row>
    <row r="1487" spans="1:5">
      <c r="A1487" t="s">
        <v>16552</v>
      </c>
      <c r="B1487" t="s">
        <v>16553</v>
      </c>
      <c r="C1487" t="s">
        <v>14222</v>
      </c>
      <c r="D1487" t="s">
        <v>13901</v>
      </c>
      <c r="E1487" t="s">
        <v>13902</v>
      </c>
    </row>
    <row r="1488" spans="1:5">
      <c r="A1488" t="s">
        <v>2872</v>
      </c>
      <c r="B1488" t="s">
        <v>16554</v>
      </c>
      <c r="C1488" t="s">
        <v>14048</v>
      </c>
      <c r="D1488" t="s">
        <v>14049</v>
      </c>
      <c r="E1488" t="s">
        <v>14050</v>
      </c>
    </row>
    <row r="1489" spans="1:5">
      <c r="A1489" t="s">
        <v>16555</v>
      </c>
      <c r="B1489" t="s">
        <v>16556</v>
      </c>
      <c r="C1489" t="s">
        <v>16557</v>
      </c>
      <c r="D1489" t="s">
        <v>14489</v>
      </c>
      <c r="E1489" t="s">
        <v>14490</v>
      </c>
    </row>
    <row r="1490" spans="1:5">
      <c r="A1490" t="s">
        <v>16558</v>
      </c>
      <c r="B1490" t="s">
        <v>16559</v>
      </c>
      <c r="C1490" t="s">
        <v>14517</v>
      </c>
      <c r="D1490" t="s">
        <v>14243</v>
      </c>
      <c r="E1490" t="s">
        <v>14244</v>
      </c>
    </row>
    <row r="1491" spans="1:5">
      <c r="A1491" t="s">
        <v>2575</v>
      </c>
      <c r="B1491" t="s">
        <v>16560</v>
      </c>
      <c r="C1491" t="s">
        <v>14799</v>
      </c>
      <c r="D1491" t="s">
        <v>14526</v>
      </c>
      <c r="E1491" t="s">
        <v>14527</v>
      </c>
    </row>
    <row r="1492" spans="1:5">
      <c r="A1492" t="s">
        <v>1780</v>
      </c>
      <c r="B1492" t="s">
        <v>16561</v>
      </c>
      <c r="C1492" t="s">
        <v>14007</v>
      </c>
      <c r="D1492" t="s">
        <v>13989</v>
      </c>
      <c r="E1492" t="s">
        <v>13990</v>
      </c>
    </row>
    <row r="1493" spans="1:5">
      <c r="A1493" t="s">
        <v>2346</v>
      </c>
      <c r="B1493" t="s">
        <v>16562</v>
      </c>
      <c r="C1493" t="s">
        <v>15195</v>
      </c>
      <c r="D1493" t="s">
        <v>13955</v>
      </c>
      <c r="E1493" t="s">
        <v>13956</v>
      </c>
    </row>
    <row r="1494" spans="1:5">
      <c r="A1494" t="s">
        <v>2810</v>
      </c>
      <c r="B1494" t="s">
        <v>16563</v>
      </c>
      <c r="C1494" t="s">
        <v>14057</v>
      </c>
      <c r="D1494" t="s">
        <v>14058</v>
      </c>
      <c r="E1494" t="s">
        <v>14059</v>
      </c>
    </row>
    <row r="1495" spans="1:5">
      <c r="A1495" t="s">
        <v>659</v>
      </c>
      <c r="B1495" t="s">
        <v>16564</v>
      </c>
      <c r="C1495" t="s">
        <v>13916</v>
      </c>
      <c r="D1495" t="s">
        <v>13901</v>
      </c>
      <c r="E1495" t="s">
        <v>13902</v>
      </c>
    </row>
    <row r="1496" spans="1:5">
      <c r="A1496" t="s">
        <v>16565</v>
      </c>
      <c r="B1496" t="s">
        <v>16566</v>
      </c>
      <c r="C1496" t="s">
        <v>14203</v>
      </c>
      <c r="D1496" t="s">
        <v>13946</v>
      </c>
      <c r="E1496" t="s">
        <v>13947</v>
      </c>
    </row>
    <row r="1497" spans="1:5">
      <c r="A1497" t="s">
        <v>16567</v>
      </c>
      <c r="B1497" t="s">
        <v>16568</v>
      </c>
      <c r="C1497" t="s">
        <v>16340</v>
      </c>
      <c r="D1497" t="s">
        <v>14759</v>
      </c>
      <c r="E1497" t="s">
        <v>14760</v>
      </c>
    </row>
    <row r="1498" spans="1:5">
      <c r="A1498" t="s">
        <v>16569</v>
      </c>
      <c r="B1498" t="s">
        <v>16570</v>
      </c>
      <c r="C1498" t="s">
        <v>16571</v>
      </c>
      <c r="D1498" t="s">
        <v>14073</v>
      </c>
      <c r="E1498" t="s">
        <v>14074</v>
      </c>
    </row>
    <row r="1499" spans="1:5">
      <c r="A1499" t="s">
        <v>16572</v>
      </c>
      <c r="B1499" t="s">
        <v>16573</v>
      </c>
      <c r="C1499" t="s">
        <v>16574</v>
      </c>
      <c r="D1499" t="s">
        <v>14429</v>
      </c>
      <c r="E1499" t="s">
        <v>14430</v>
      </c>
    </row>
    <row r="1500" spans="1:5">
      <c r="A1500" t="s">
        <v>16575</v>
      </c>
      <c r="B1500" t="s">
        <v>16576</v>
      </c>
      <c r="C1500" t="s">
        <v>13999</v>
      </c>
      <c r="D1500" t="s">
        <v>13955</v>
      </c>
      <c r="E1500" t="s">
        <v>13956</v>
      </c>
    </row>
    <row r="1501" spans="1:5">
      <c r="A1501" t="s">
        <v>16577</v>
      </c>
      <c r="B1501" t="s">
        <v>16578</v>
      </c>
      <c r="C1501" t="s">
        <v>13986</v>
      </c>
      <c r="D1501" t="s">
        <v>13901</v>
      </c>
      <c r="E1501" t="s">
        <v>13902</v>
      </c>
    </row>
    <row r="1502" spans="1:5">
      <c r="A1502" t="s">
        <v>16579</v>
      </c>
      <c r="B1502" t="s">
        <v>16580</v>
      </c>
      <c r="C1502" t="s">
        <v>14376</v>
      </c>
      <c r="D1502" t="s">
        <v>14377</v>
      </c>
      <c r="E1502" t="s">
        <v>14378</v>
      </c>
    </row>
    <row r="1503" spans="1:5">
      <c r="A1503" t="s">
        <v>16581</v>
      </c>
      <c r="B1503" t="s">
        <v>16582</v>
      </c>
      <c r="C1503" t="s">
        <v>13880</v>
      </c>
      <c r="D1503" t="s">
        <v>13881</v>
      </c>
      <c r="E1503" t="s">
        <v>13882</v>
      </c>
    </row>
    <row r="1504" spans="1:5">
      <c r="A1504" t="s">
        <v>16583</v>
      </c>
      <c r="B1504" t="s">
        <v>16584</v>
      </c>
      <c r="C1504" t="s">
        <v>13993</v>
      </c>
      <c r="D1504" t="s">
        <v>13994</v>
      </c>
      <c r="E1504" t="s">
        <v>13995</v>
      </c>
    </row>
    <row r="1505" spans="1:5">
      <c r="A1505" t="s">
        <v>16585</v>
      </c>
      <c r="B1505" t="s">
        <v>16586</v>
      </c>
      <c r="C1505" t="s">
        <v>14132</v>
      </c>
      <c r="D1505" t="s">
        <v>14133</v>
      </c>
      <c r="E1505" t="s">
        <v>14134</v>
      </c>
    </row>
    <row r="1506" spans="1:5">
      <c r="A1506" t="s">
        <v>16587</v>
      </c>
      <c r="B1506" t="s">
        <v>16588</v>
      </c>
      <c r="C1506" t="s">
        <v>14376</v>
      </c>
      <c r="D1506" t="s">
        <v>14377</v>
      </c>
      <c r="E1506" t="s">
        <v>14378</v>
      </c>
    </row>
    <row r="1507" spans="1:5">
      <c r="A1507" t="s">
        <v>16589</v>
      </c>
      <c r="B1507" t="s">
        <v>16590</v>
      </c>
      <c r="C1507" t="s">
        <v>15022</v>
      </c>
      <c r="D1507" t="s">
        <v>14408</v>
      </c>
      <c r="E1507" t="s">
        <v>14409</v>
      </c>
    </row>
    <row r="1508" spans="1:5">
      <c r="A1508" t="s">
        <v>16591</v>
      </c>
      <c r="B1508" t="s">
        <v>16592</v>
      </c>
      <c r="C1508" t="s">
        <v>13967</v>
      </c>
      <c r="D1508" t="s">
        <v>13968</v>
      </c>
      <c r="E1508" t="s">
        <v>13969</v>
      </c>
    </row>
    <row r="1509" spans="1:5">
      <c r="A1509" t="s">
        <v>16593</v>
      </c>
      <c r="B1509" t="s">
        <v>16594</v>
      </c>
      <c r="C1509" t="s">
        <v>14400</v>
      </c>
      <c r="D1509" t="s">
        <v>14381</v>
      </c>
      <c r="E1509" t="s">
        <v>14382</v>
      </c>
    </row>
    <row r="1510" spans="1:5">
      <c r="A1510" t="s">
        <v>249</v>
      </c>
      <c r="B1510" t="s">
        <v>16595</v>
      </c>
      <c r="C1510" t="s">
        <v>13900</v>
      </c>
      <c r="D1510" t="s">
        <v>13901</v>
      </c>
      <c r="E1510" t="s">
        <v>13902</v>
      </c>
    </row>
    <row r="1511" spans="1:5">
      <c r="A1511" t="s">
        <v>1423</v>
      </c>
      <c r="B1511" t="s">
        <v>16596</v>
      </c>
      <c r="C1511" t="s">
        <v>15729</v>
      </c>
      <c r="D1511" t="s">
        <v>14545</v>
      </c>
      <c r="E1511" t="s">
        <v>14546</v>
      </c>
    </row>
    <row r="1512" spans="1:5">
      <c r="A1512" t="s">
        <v>16597</v>
      </c>
      <c r="B1512" t="s">
        <v>16598</v>
      </c>
      <c r="C1512" t="s">
        <v>14364</v>
      </c>
      <c r="D1512" t="s">
        <v>14211</v>
      </c>
      <c r="E1512" t="s">
        <v>14212</v>
      </c>
    </row>
    <row r="1513" spans="1:5">
      <c r="A1513" t="s">
        <v>372</v>
      </c>
      <c r="B1513" t="s">
        <v>16599</v>
      </c>
      <c r="C1513" t="s">
        <v>14323</v>
      </c>
      <c r="D1513" t="s">
        <v>13901</v>
      </c>
      <c r="E1513" t="s">
        <v>13902</v>
      </c>
    </row>
    <row r="1514" spans="1:5">
      <c r="A1514" t="s">
        <v>16600</v>
      </c>
      <c r="B1514" t="s">
        <v>16601</v>
      </c>
      <c r="C1514" t="s">
        <v>14519</v>
      </c>
      <c r="D1514" t="s">
        <v>14482</v>
      </c>
      <c r="E1514" t="s">
        <v>14483</v>
      </c>
    </row>
    <row r="1515" spans="1:5">
      <c r="A1515" t="s">
        <v>2266</v>
      </c>
      <c r="B1515" t="s">
        <v>16602</v>
      </c>
      <c r="C1515" t="s">
        <v>16603</v>
      </c>
      <c r="D1515" t="s">
        <v>15092</v>
      </c>
      <c r="E1515" t="s">
        <v>15093</v>
      </c>
    </row>
    <row r="1516" spans="1:5">
      <c r="A1516" t="s">
        <v>3482</v>
      </c>
      <c r="B1516" t="s">
        <v>16604</v>
      </c>
      <c r="C1516" t="s">
        <v>14039</v>
      </c>
      <c r="D1516" t="s">
        <v>14040</v>
      </c>
      <c r="E1516" t="s">
        <v>14041</v>
      </c>
    </row>
    <row r="1517" spans="1:5">
      <c r="A1517" t="s">
        <v>16605</v>
      </c>
      <c r="B1517" t="s">
        <v>16606</v>
      </c>
      <c r="C1517" t="s">
        <v>16607</v>
      </c>
      <c r="D1517" t="s">
        <v>14377</v>
      </c>
      <c r="E1517" t="s">
        <v>14378</v>
      </c>
    </row>
    <row r="1518" spans="1:5">
      <c r="A1518" t="s">
        <v>16608</v>
      </c>
      <c r="B1518" t="s">
        <v>16609</v>
      </c>
      <c r="C1518" t="s">
        <v>14478</v>
      </c>
      <c r="D1518" t="s">
        <v>13919</v>
      </c>
      <c r="E1518" t="s">
        <v>13920</v>
      </c>
    </row>
    <row r="1519" spans="1:5">
      <c r="A1519" t="s">
        <v>16610</v>
      </c>
      <c r="B1519" t="s">
        <v>16611</v>
      </c>
      <c r="C1519" t="s">
        <v>13988</v>
      </c>
      <c r="D1519" t="s">
        <v>13989</v>
      </c>
      <c r="E1519" t="s">
        <v>13990</v>
      </c>
    </row>
    <row r="1520" spans="1:5">
      <c r="A1520" t="s">
        <v>6854</v>
      </c>
      <c r="B1520" t="s">
        <v>16612</v>
      </c>
      <c r="C1520" t="s">
        <v>16613</v>
      </c>
      <c r="D1520" t="s">
        <v>13872</v>
      </c>
      <c r="E1520" t="s">
        <v>13873</v>
      </c>
    </row>
    <row r="1521" spans="1:5">
      <c r="A1521" t="s">
        <v>2363</v>
      </c>
      <c r="B1521" t="s">
        <v>16614</v>
      </c>
      <c r="C1521" t="s">
        <v>14240</v>
      </c>
      <c r="D1521" t="s">
        <v>13872</v>
      </c>
      <c r="E1521" t="s">
        <v>13873</v>
      </c>
    </row>
    <row r="1522" spans="1:5">
      <c r="A1522" t="s">
        <v>2213</v>
      </c>
      <c r="B1522" t="s">
        <v>16615</v>
      </c>
      <c r="C1522" t="s">
        <v>14240</v>
      </c>
      <c r="D1522" t="s">
        <v>13872</v>
      </c>
      <c r="E1522" t="s">
        <v>13873</v>
      </c>
    </row>
    <row r="1523" spans="1:5">
      <c r="A1523" t="s">
        <v>16616</v>
      </c>
      <c r="B1523" t="s">
        <v>16617</v>
      </c>
      <c r="C1523" t="s">
        <v>16618</v>
      </c>
      <c r="D1523" t="s">
        <v>15092</v>
      </c>
      <c r="E1523" t="s">
        <v>15093</v>
      </c>
    </row>
    <row r="1524" spans="1:5">
      <c r="A1524" t="s">
        <v>16619</v>
      </c>
      <c r="B1524" t="s">
        <v>16620</v>
      </c>
      <c r="C1524" t="s">
        <v>14072</v>
      </c>
      <c r="D1524" t="s">
        <v>14073</v>
      </c>
      <c r="E1524" t="s">
        <v>14074</v>
      </c>
    </row>
    <row r="1525" spans="1:5">
      <c r="A1525" t="s">
        <v>16621</v>
      </c>
      <c r="B1525" t="s">
        <v>16622</v>
      </c>
      <c r="C1525" t="s">
        <v>14147</v>
      </c>
      <c r="D1525" t="s">
        <v>13881</v>
      </c>
      <c r="E1525" t="s">
        <v>13882</v>
      </c>
    </row>
    <row r="1526" spans="1:5">
      <c r="A1526" t="s">
        <v>16623</v>
      </c>
      <c r="B1526" t="s">
        <v>16624</v>
      </c>
      <c r="C1526" t="s">
        <v>16625</v>
      </c>
      <c r="D1526" t="s">
        <v>14107</v>
      </c>
      <c r="E1526" t="s">
        <v>14108</v>
      </c>
    </row>
    <row r="1527" spans="1:5">
      <c r="A1527" t="s">
        <v>3568</v>
      </c>
      <c r="B1527" t="s">
        <v>16626</v>
      </c>
      <c r="C1527" t="s">
        <v>13880</v>
      </c>
      <c r="D1527" t="s">
        <v>13881</v>
      </c>
      <c r="E1527" t="s">
        <v>13882</v>
      </c>
    </row>
    <row r="1528" spans="1:5">
      <c r="A1528" t="s">
        <v>16627</v>
      </c>
      <c r="B1528" t="s">
        <v>16628</v>
      </c>
      <c r="C1528" t="s">
        <v>13889</v>
      </c>
      <c r="D1528" t="s">
        <v>13889</v>
      </c>
      <c r="E1528" t="s">
        <v>13890</v>
      </c>
    </row>
    <row r="1529" spans="1:5">
      <c r="A1529" t="s">
        <v>16629</v>
      </c>
      <c r="B1529" t="s">
        <v>16630</v>
      </c>
      <c r="C1529" t="s">
        <v>16336</v>
      </c>
      <c r="D1529" t="s">
        <v>14535</v>
      </c>
      <c r="E1529" t="s">
        <v>14536</v>
      </c>
    </row>
    <row r="1530" spans="1:5">
      <c r="A1530" t="s">
        <v>16631</v>
      </c>
      <c r="B1530" t="s">
        <v>16632</v>
      </c>
      <c r="C1530" t="s">
        <v>14001</v>
      </c>
      <c r="D1530" t="s">
        <v>14002</v>
      </c>
      <c r="E1530" t="s">
        <v>14003</v>
      </c>
    </row>
    <row r="1531" spans="1:5">
      <c r="A1531" t="s">
        <v>1565</v>
      </c>
      <c r="B1531" t="s">
        <v>16633</v>
      </c>
      <c r="C1531" t="s">
        <v>14012</v>
      </c>
      <c r="D1531" t="s">
        <v>13927</v>
      </c>
      <c r="E1531" t="s">
        <v>13928</v>
      </c>
    </row>
    <row r="1532" spans="1:5">
      <c r="A1532" t="s">
        <v>1039</v>
      </c>
      <c r="B1532" t="s">
        <v>16634</v>
      </c>
      <c r="C1532" t="s">
        <v>14012</v>
      </c>
      <c r="D1532" t="s">
        <v>13927</v>
      </c>
      <c r="E1532" t="s">
        <v>13928</v>
      </c>
    </row>
    <row r="1533" spans="1:5">
      <c r="A1533" t="s">
        <v>16635</v>
      </c>
      <c r="B1533" t="s">
        <v>16636</v>
      </c>
      <c r="C1533" t="s">
        <v>16637</v>
      </c>
      <c r="D1533" t="s">
        <v>13974</v>
      </c>
      <c r="E1533" t="s">
        <v>13975</v>
      </c>
    </row>
    <row r="1534" spans="1:5">
      <c r="A1534" t="s">
        <v>16638</v>
      </c>
      <c r="B1534" t="s">
        <v>16639</v>
      </c>
      <c r="C1534" t="s">
        <v>14012</v>
      </c>
      <c r="D1534" t="s">
        <v>13927</v>
      </c>
      <c r="E1534" t="s">
        <v>13928</v>
      </c>
    </row>
    <row r="1535" spans="1:5">
      <c r="A1535" t="s">
        <v>16640</v>
      </c>
      <c r="B1535" t="s">
        <v>16641</v>
      </c>
      <c r="C1535" t="s">
        <v>14943</v>
      </c>
      <c r="D1535" t="s">
        <v>14505</v>
      </c>
      <c r="E1535" t="s">
        <v>14506</v>
      </c>
    </row>
    <row r="1536" spans="1:5">
      <c r="A1536" t="s">
        <v>2890</v>
      </c>
      <c r="B1536" t="s">
        <v>16642</v>
      </c>
      <c r="C1536" t="s">
        <v>15085</v>
      </c>
      <c r="D1536" t="s">
        <v>14165</v>
      </c>
      <c r="E1536" t="s">
        <v>14166</v>
      </c>
    </row>
    <row r="1537" spans="1:5">
      <c r="A1537" t="s">
        <v>1072</v>
      </c>
      <c r="B1537" t="s">
        <v>16643</v>
      </c>
      <c r="C1537" t="s">
        <v>14326</v>
      </c>
      <c r="D1537" t="s">
        <v>14327</v>
      </c>
      <c r="E1537" t="s">
        <v>14328</v>
      </c>
    </row>
    <row r="1538" spans="1:5">
      <c r="A1538" t="s">
        <v>67</v>
      </c>
      <c r="B1538" t="s">
        <v>16644</v>
      </c>
      <c r="C1538" t="s">
        <v>14323</v>
      </c>
      <c r="D1538" t="s">
        <v>13901</v>
      </c>
      <c r="E1538" t="s">
        <v>13902</v>
      </c>
    </row>
    <row r="1539" spans="1:5">
      <c r="A1539" t="s">
        <v>16645</v>
      </c>
      <c r="B1539" t="s">
        <v>16646</v>
      </c>
      <c r="C1539" t="s">
        <v>14012</v>
      </c>
      <c r="D1539" t="s">
        <v>13927</v>
      </c>
      <c r="E1539" t="s">
        <v>13928</v>
      </c>
    </row>
    <row r="1540" spans="1:5">
      <c r="A1540" t="s">
        <v>3440</v>
      </c>
      <c r="B1540" t="s">
        <v>16647</v>
      </c>
      <c r="C1540" t="s">
        <v>14633</v>
      </c>
      <c r="D1540" t="s">
        <v>13974</v>
      </c>
      <c r="E1540" t="s">
        <v>13975</v>
      </c>
    </row>
    <row r="1541" spans="1:5">
      <c r="A1541" t="s">
        <v>2761</v>
      </c>
      <c r="B1541" t="s">
        <v>16648</v>
      </c>
      <c r="C1541" t="s">
        <v>14707</v>
      </c>
      <c r="D1541" t="s">
        <v>13916</v>
      </c>
      <c r="E1541" t="s">
        <v>14184</v>
      </c>
    </row>
    <row r="1542" spans="1:5">
      <c r="A1542" t="s">
        <v>1472</v>
      </c>
      <c r="B1542" t="s">
        <v>16649</v>
      </c>
      <c r="C1542" t="s">
        <v>14647</v>
      </c>
      <c r="D1542" t="s">
        <v>14327</v>
      </c>
      <c r="E1542" t="s">
        <v>14328</v>
      </c>
    </row>
    <row r="1543" spans="1:5">
      <c r="A1543" t="s">
        <v>1794</v>
      </c>
      <c r="B1543" t="s">
        <v>16650</v>
      </c>
      <c r="C1543" t="s">
        <v>13988</v>
      </c>
      <c r="D1543" t="s">
        <v>13989</v>
      </c>
      <c r="E1543" t="s">
        <v>13990</v>
      </c>
    </row>
    <row r="1544" spans="1:5">
      <c r="A1544" t="s">
        <v>16651</v>
      </c>
      <c r="B1544" t="s">
        <v>16652</v>
      </c>
      <c r="C1544" t="s">
        <v>15431</v>
      </c>
      <c r="D1544" t="s">
        <v>14356</v>
      </c>
      <c r="E1544" t="s">
        <v>14357</v>
      </c>
    </row>
    <row r="1545" spans="1:5">
      <c r="A1545" t="s">
        <v>3537</v>
      </c>
      <c r="B1545" t="s">
        <v>16653</v>
      </c>
      <c r="C1545" t="s">
        <v>14865</v>
      </c>
      <c r="D1545" t="s">
        <v>14301</v>
      </c>
      <c r="E1545" t="s">
        <v>14302</v>
      </c>
    </row>
    <row r="1546" spans="1:5">
      <c r="A1546" t="s">
        <v>3363</v>
      </c>
      <c r="B1546" t="s">
        <v>16654</v>
      </c>
      <c r="C1546" t="s">
        <v>14081</v>
      </c>
      <c r="D1546" t="s">
        <v>14081</v>
      </c>
      <c r="E1546" t="s">
        <v>14082</v>
      </c>
    </row>
    <row r="1547" spans="1:5">
      <c r="A1547" t="s">
        <v>41</v>
      </c>
      <c r="B1547" t="s">
        <v>16655</v>
      </c>
      <c r="C1547" t="s">
        <v>13916</v>
      </c>
      <c r="D1547" t="s">
        <v>13901</v>
      </c>
      <c r="E1547" t="s">
        <v>13902</v>
      </c>
    </row>
    <row r="1548" spans="1:5">
      <c r="A1548" t="s">
        <v>3041</v>
      </c>
      <c r="B1548" t="s">
        <v>16656</v>
      </c>
      <c r="C1548" t="s">
        <v>14072</v>
      </c>
      <c r="D1548" t="s">
        <v>14073</v>
      </c>
      <c r="E1548" t="s">
        <v>14074</v>
      </c>
    </row>
    <row r="1549" spans="1:5">
      <c r="A1549" t="s">
        <v>2102</v>
      </c>
      <c r="B1549" t="s">
        <v>16657</v>
      </c>
      <c r="C1549" t="s">
        <v>13871</v>
      </c>
      <c r="D1549" t="s">
        <v>13872</v>
      </c>
      <c r="E1549" t="s">
        <v>13873</v>
      </c>
    </row>
    <row r="1550" spans="1:5">
      <c r="A1550" t="s">
        <v>3510</v>
      </c>
      <c r="B1550" t="s">
        <v>16658</v>
      </c>
      <c r="C1550" t="s">
        <v>14886</v>
      </c>
      <c r="D1550" t="s">
        <v>14250</v>
      </c>
      <c r="E1550" t="s">
        <v>14251</v>
      </c>
    </row>
    <row r="1551" spans="1:5">
      <c r="A1551" t="s">
        <v>16659</v>
      </c>
      <c r="B1551" t="s">
        <v>16660</v>
      </c>
      <c r="C1551" t="s">
        <v>14017</v>
      </c>
      <c r="D1551" t="s">
        <v>14018</v>
      </c>
      <c r="E1551" t="s">
        <v>14019</v>
      </c>
    </row>
    <row r="1552" spans="1:5">
      <c r="A1552" t="s">
        <v>16661</v>
      </c>
      <c r="B1552" t="s">
        <v>16662</v>
      </c>
      <c r="C1552" t="s">
        <v>14364</v>
      </c>
      <c r="D1552" t="s">
        <v>14211</v>
      </c>
      <c r="E1552" t="s">
        <v>14212</v>
      </c>
    </row>
    <row r="1553" spans="1:5">
      <c r="A1553" t="s">
        <v>16663</v>
      </c>
      <c r="B1553" t="s">
        <v>16664</v>
      </c>
      <c r="C1553" t="s">
        <v>14693</v>
      </c>
      <c r="D1553" t="s">
        <v>14446</v>
      </c>
      <c r="E1553" t="s">
        <v>14447</v>
      </c>
    </row>
    <row r="1554" spans="1:5">
      <c r="A1554" t="s">
        <v>1628</v>
      </c>
      <c r="B1554" t="s">
        <v>16665</v>
      </c>
      <c r="C1554" t="s">
        <v>16666</v>
      </c>
      <c r="D1554" t="s">
        <v>14535</v>
      </c>
      <c r="E1554" t="s">
        <v>14536</v>
      </c>
    </row>
    <row r="1555" spans="1:5">
      <c r="A1555" t="s">
        <v>2842</v>
      </c>
      <c r="B1555" t="s">
        <v>16667</v>
      </c>
      <c r="C1555" t="s">
        <v>14217</v>
      </c>
      <c r="D1555" t="s">
        <v>14218</v>
      </c>
      <c r="E1555" t="s">
        <v>14219</v>
      </c>
    </row>
    <row r="1556" spans="1:5">
      <c r="A1556" t="s">
        <v>16668</v>
      </c>
      <c r="B1556" t="s">
        <v>16669</v>
      </c>
      <c r="C1556" t="s">
        <v>14240</v>
      </c>
      <c r="D1556" t="s">
        <v>13872</v>
      </c>
      <c r="E1556" t="s">
        <v>13873</v>
      </c>
    </row>
    <row r="1557" spans="1:5">
      <c r="A1557" t="s">
        <v>1261</v>
      </c>
      <c r="B1557" t="s">
        <v>16670</v>
      </c>
      <c r="C1557" t="s">
        <v>14012</v>
      </c>
      <c r="D1557" t="s">
        <v>13927</v>
      </c>
      <c r="E1557" t="s">
        <v>13928</v>
      </c>
    </row>
    <row r="1558" spans="1:5">
      <c r="A1558" t="s">
        <v>2434</v>
      </c>
      <c r="B1558" t="s">
        <v>16671</v>
      </c>
      <c r="C1558" t="s">
        <v>14364</v>
      </c>
      <c r="D1558" t="s">
        <v>14211</v>
      </c>
      <c r="E1558" t="s">
        <v>14212</v>
      </c>
    </row>
    <row r="1559" spans="1:5">
      <c r="A1559" t="s">
        <v>3345</v>
      </c>
      <c r="B1559" t="s">
        <v>16672</v>
      </c>
      <c r="C1559" t="s">
        <v>13922</v>
      </c>
      <c r="D1559" t="s">
        <v>13923</v>
      </c>
      <c r="E1559" t="s">
        <v>13924</v>
      </c>
    </row>
    <row r="1560" spans="1:5">
      <c r="A1560" t="s">
        <v>637</v>
      </c>
      <c r="B1560" t="s">
        <v>16673</v>
      </c>
      <c r="C1560" t="s">
        <v>13916</v>
      </c>
      <c r="D1560" t="s">
        <v>13901</v>
      </c>
      <c r="E1560" t="s">
        <v>13902</v>
      </c>
    </row>
    <row r="1561" spans="1:5">
      <c r="A1561" t="s">
        <v>16674</v>
      </c>
      <c r="B1561" t="s">
        <v>16675</v>
      </c>
      <c r="C1561" t="s">
        <v>16676</v>
      </c>
      <c r="D1561" t="s">
        <v>13881</v>
      </c>
      <c r="E1561" t="s">
        <v>13882</v>
      </c>
    </row>
    <row r="1562" spans="1:5">
      <c r="A1562" t="s">
        <v>16677</v>
      </c>
      <c r="B1562" t="s">
        <v>16678</v>
      </c>
      <c r="C1562" t="s">
        <v>14888</v>
      </c>
      <c r="D1562" t="s">
        <v>14889</v>
      </c>
      <c r="E1562" t="s">
        <v>14890</v>
      </c>
    </row>
    <row r="1563" spans="1:5">
      <c r="A1563" t="s">
        <v>2449</v>
      </c>
      <c r="B1563" t="s">
        <v>16679</v>
      </c>
      <c r="C1563" t="s">
        <v>14025</v>
      </c>
      <c r="D1563" t="s">
        <v>14025</v>
      </c>
      <c r="E1563" t="s">
        <v>14026</v>
      </c>
    </row>
    <row r="1564" spans="1:5">
      <c r="A1564" t="s">
        <v>16680</v>
      </c>
      <c r="B1564" t="s">
        <v>16681</v>
      </c>
      <c r="C1564" t="s">
        <v>16682</v>
      </c>
      <c r="D1564" t="s">
        <v>13955</v>
      </c>
      <c r="E1564" t="s">
        <v>13956</v>
      </c>
    </row>
    <row r="1565" spans="1:5">
      <c r="A1565" t="s">
        <v>16683</v>
      </c>
      <c r="B1565" t="s">
        <v>16684</v>
      </c>
      <c r="C1565" t="s">
        <v>14183</v>
      </c>
      <c r="D1565" t="s">
        <v>13916</v>
      </c>
      <c r="E1565" t="s">
        <v>14184</v>
      </c>
    </row>
    <row r="1566" spans="1:5">
      <c r="A1566" t="s">
        <v>16685</v>
      </c>
      <c r="B1566" t="s">
        <v>16686</v>
      </c>
      <c r="C1566" t="s">
        <v>16687</v>
      </c>
      <c r="D1566" t="s">
        <v>13893</v>
      </c>
      <c r="E1566" t="s">
        <v>13894</v>
      </c>
    </row>
    <row r="1567" spans="1:5">
      <c r="A1567" t="s">
        <v>1727</v>
      </c>
      <c r="B1567" t="s">
        <v>16688</v>
      </c>
      <c r="C1567" t="s">
        <v>14177</v>
      </c>
      <c r="D1567" t="s">
        <v>13946</v>
      </c>
      <c r="E1567" t="s">
        <v>13947</v>
      </c>
    </row>
    <row r="1568" spans="1:5">
      <c r="A1568" t="s">
        <v>1164</v>
      </c>
      <c r="B1568" t="s">
        <v>16689</v>
      </c>
      <c r="C1568" t="s">
        <v>14012</v>
      </c>
      <c r="D1568" t="s">
        <v>13927</v>
      </c>
      <c r="E1568" t="s">
        <v>13928</v>
      </c>
    </row>
    <row r="1569" spans="1:5">
      <c r="A1569" t="s">
        <v>1703</v>
      </c>
      <c r="B1569" t="s">
        <v>16690</v>
      </c>
      <c r="C1569" t="s">
        <v>13988</v>
      </c>
      <c r="D1569" t="s">
        <v>13989</v>
      </c>
      <c r="E1569" t="s">
        <v>13990</v>
      </c>
    </row>
    <row r="1570" spans="1:5">
      <c r="A1570" t="s">
        <v>16691</v>
      </c>
      <c r="B1570" t="s">
        <v>16692</v>
      </c>
      <c r="C1570" t="s">
        <v>14693</v>
      </c>
      <c r="D1570" t="s">
        <v>14446</v>
      </c>
      <c r="E1570" t="s">
        <v>14447</v>
      </c>
    </row>
    <row r="1571" spans="1:5">
      <c r="A1571" t="s">
        <v>2484</v>
      </c>
      <c r="B1571" t="s">
        <v>16693</v>
      </c>
      <c r="C1571" t="s">
        <v>14224</v>
      </c>
      <c r="D1571" t="s">
        <v>14002</v>
      </c>
      <c r="E1571" t="s">
        <v>14003</v>
      </c>
    </row>
    <row r="1572" spans="1:5">
      <c r="A1572" t="s">
        <v>3020</v>
      </c>
      <c r="B1572" t="s">
        <v>16694</v>
      </c>
      <c r="C1572" t="s">
        <v>16695</v>
      </c>
      <c r="D1572" t="s">
        <v>14049</v>
      </c>
      <c r="E1572" t="s">
        <v>14050</v>
      </c>
    </row>
    <row r="1573" spans="1:5">
      <c r="A1573" t="s">
        <v>16696</v>
      </c>
      <c r="B1573" t="s">
        <v>16697</v>
      </c>
      <c r="C1573" t="s">
        <v>16698</v>
      </c>
      <c r="D1573" t="s">
        <v>14301</v>
      </c>
      <c r="E1573" t="s">
        <v>14302</v>
      </c>
    </row>
    <row r="1574" spans="1:5">
      <c r="A1574" t="s">
        <v>16699</v>
      </c>
      <c r="B1574" t="s">
        <v>16700</v>
      </c>
      <c r="C1574" t="s">
        <v>13988</v>
      </c>
      <c r="D1574" t="s">
        <v>13989</v>
      </c>
      <c r="E1574" t="s">
        <v>13990</v>
      </c>
    </row>
    <row r="1575" spans="1:5">
      <c r="A1575" t="s">
        <v>16701</v>
      </c>
      <c r="B1575" t="s">
        <v>16702</v>
      </c>
      <c r="C1575" t="s">
        <v>14551</v>
      </c>
      <c r="D1575" t="s">
        <v>14165</v>
      </c>
      <c r="E1575" t="s">
        <v>14166</v>
      </c>
    </row>
    <row r="1576" spans="1:5">
      <c r="A1576" t="s">
        <v>16703</v>
      </c>
      <c r="B1576" t="s">
        <v>16704</v>
      </c>
      <c r="C1576" t="s">
        <v>16705</v>
      </c>
      <c r="D1576" t="s">
        <v>13893</v>
      </c>
      <c r="E1576" t="s">
        <v>13894</v>
      </c>
    </row>
    <row r="1577" spans="1:5">
      <c r="A1577" t="s">
        <v>16706</v>
      </c>
      <c r="B1577" t="s">
        <v>16707</v>
      </c>
      <c r="C1577" t="s">
        <v>13986</v>
      </c>
      <c r="D1577" t="s">
        <v>13901</v>
      </c>
      <c r="E1577" t="s">
        <v>13902</v>
      </c>
    </row>
    <row r="1578" spans="1:5">
      <c r="A1578" t="s">
        <v>16708</v>
      </c>
      <c r="B1578" t="s">
        <v>16709</v>
      </c>
      <c r="C1578" t="s">
        <v>13916</v>
      </c>
      <c r="D1578" t="s">
        <v>13901</v>
      </c>
      <c r="E1578" t="s">
        <v>13902</v>
      </c>
    </row>
    <row r="1579" spans="1:5">
      <c r="A1579" t="s">
        <v>16710</v>
      </c>
      <c r="B1579" t="s">
        <v>16711</v>
      </c>
      <c r="C1579" t="s">
        <v>13950</v>
      </c>
      <c r="D1579" t="s">
        <v>13951</v>
      </c>
      <c r="E1579" t="s">
        <v>13952</v>
      </c>
    </row>
    <row r="1580" spans="1:5">
      <c r="A1580" t="s">
        <v>2636</v>
      </c>
      <c r="B1580" t="s">
        <v>16712</v>
      </c>
      <c r="C1580" t="s">
        <v>14001</v>
      </c>
      <c r="D1580" t="s">
        <v>14002</v>
      </c>
      <c r="E1580" t="s">
        <v>14003</v>
      </c>
    </row>
    <row r="1581" spans="1:5">
      <c r="A1581" t="s">
        <v>1759</v>
      </c>
      <c r="B1581" t="s">
        <v>16713</v>
      </c>
      <c r="C1581" t="s">
        <v>13988</v>
      </c>
      <c r="D1581" t="s">
        <v>13989</v>
      </c>
      <c r="E1581" t="s">
        <v>13990</v>
      </c>
    </row>
    <row r="1582" spans="1:5">
      <c r="A1582" t="s">
        <v>929</v>
      </c>
      <c r="B1582" t="s">
        <v>16714</v>
      </c>
      <c r="C1582" t="s">
        <v>13916</v>
      </c>
      <c r="D1582" t="s">
        <v>13901</v>
      </c>
      <c r="E1582" t="s">
        <v>13902</v>
      </c>
    </row>
    <row r="1583" spans="1:5">
      <c r="A1583" t="s">
        <v>16715</v>
      </c>
      <c r="B1583" t="s">
        <v>16716</v>
      </c>
      <c r="C1583" t="s">
        <v>16618</v>
      </c>
      <c r="D1583" t="s">
        <v>15092</v>
      </c>
      <c r="E1583" t="s">
        <v>15093</v>
      </c>
    </row>
    <row r="1584" spans="1:5">
      <c r="A1584" t="s">
        <v>16717</v>
      </c>
      <c r="B1584" t="s">
        <v>16718</v>
      </c>
      <c r="C1584" t="s">
        <v>14501</v>
      </c>
      <c r="D1584" t="s">
        <v>13872</v>
      </c>
      <c r="E1584" t="s">
        <v>13873</v>
      </c>
    </row>
    <row r="1585" spans="1:5">
      <c r="A1585" t="s">
        <v>16719</v>
      </c>
      <c r="B1585" t="s">
        <v>16720</v>
      </c>
      <c r="C1585" t="s">
        <v>14594</v>
      </c>
      <c r="D1585" t="s">
        <v>14595</v>
      </c>
      <c r="E1585" t="s">
        <v>14596</v>
      </c>
    </row>
    <row r="1586" spans="1:5">
      <c r="A1586" t="s">
        <v>2946</v>
      </c>
      <c r="B1586" t="s">
        <v>16721</v>
      </c>
      <c r="C1586" t="s">
        <v>14057</v>
      </c>
      <c r="D1586" t="s">
        <v>14058</v>
      </c>
      <c r="E1586" t="s">
        <v>14059</v>
      </c>
    </row>
    <row r="1587" spans="1:5">
      <c r="A1587" t="s">
        <v>2130</v>
      </c>
      <c r="B1587" t="s">
        <v>16722</v>
      </c>
      <c r="C1587" t="s">
        <v>14501</v>
      </c>
      <c r="D1587" t="s">
        <v>13872</v>
      </c>
      <c r="E1587" t="s">
        <v>13873</v>
      </c>
    </row>
    <row r="1588" spans="1:5">
      <c r="A1588" t="s">
        <v>3004</v>
      </c>
      <c r="B1588" t="s">
        <v>16723</v>
      </c>
      <c r="C1588" t="s">
        <v>14057</v>
      </c>
      <c r="D1588" t="s">
        <v>14058</v>
      </c>
      <c r="E1588" t="s">
        <v>14059</v>
      </c>
    </row>
    <row r="1589" spans="1:5">
      <c r="A1589" t="s">
        <v>16724</v>
      </c>
      <c r="B1589" t="s">
        <v>16725</v>
      </c>
      <c r="C1589" t="s">
        <v>16726</v>
      </c>
      <c r="D1589" t="s">
        <v>14243</v>
      </c>
      <c r="E1589" t="s">
        <v>14244</v>
      </c>
    </row>
    <row r="1590" spans="1:5">
      <c r="A1590" t="s">
        <v>2911</v>
      </c>
      <c r="B1590" t="s">
        <v>16727</v>
      </c>
      <c r="C1590" t="s">
        <v>16015</v>
      </c>
      <c r="D1590" t="s">
        <v>13916</v>
      </c>
      <c r="E1590" t="s">
        <v>14184</v>
      </c>
    </row>
    <row r="1591" spans="1:5">
      <c r="A1591" t="s">
        <v>3463</v>
      </c>
      <c r="B1591" t="s">
        <v>16728</v>
      </c>
      <c r="C1591" t="s">
        <v>14361</v>
      </c>
      <c r="D1591" t="s">
        <v>13974</v>
      </c>
      <c r="E1591" t="s">
        <v>13975</v>
      </c>
    </row>
    <row r="1592" spans="1:5">
      <c r="A1592" t="s">
        <v>16729</v>
      </c>
      <c r="B1592" t="s">
        <v>16730</v>
      </c>
      <c r="C1592" t="s">
        <v>14147</v>
      </c>
      <c r="D1592" t="s">
        <v>13881</v>
      </c>
      <c r="E1592" t="s">
        <v>13882</v>
      </c>
    </row>
    <row r="1593" spans="1:5">
      <c r="A1593" t="s">
        <v>16731</v>
      </c>
      <c r="B1593" t="s">
        <v>16732</v>
      </c>
      <c r="C1593" t="s">
        <v>14118</v>
      </c>
      <c r="D1593" t="s">
        <v>15333</v>
      </c>
      <c r="E1593" t="s">
        <v>15334</v>
      </c>
    </row>
    <row r="1594" spans="1:5">
      <c r="A1594" t="s">
        <v>2421</v>
      </c>
      <c r="B1594" t="s">
        <v>16733</v>
      </c>
      <c r="C1594" t="s">
        <v>14580</v>
      </c>
      <c r="D1594" t="s">
        <v>14002</v>
      </c>
      <c r="E1594" t="s">
        <v>14003</v>
      </c>
    </row>
    <row r="1595" spans="1:5">
      <c r="A1595" t="s">
        <v>16734</v>
      </c>
      <c r="B1595" t="s">
        <v>16735</v>
      </c>
      <c r="C1595" t="s">
        <v>13935</v>
      </c>
      <c r="D1595" t="s">
        <v>13935</v>
      </c>
      <c r="E1595" t="s">
        <v>13936</v>
      </c>
    </row>
    <row r="1596" spans="1:5">
      <c r="A1596" t="s">
        <v>16736</v>
      </c>
      <c r="B1596" t="s">
        <v>16737</v>
      </c>
      <c r="C1596" t="s">
        <v>14072</v>
      </c>
      <c r="D1596" t="s">
        <v>14073</v>
      </c>
      <c r="E1596" t="s">
        <v>14074</v>
      </c>
    </row>
    <row r="1597" spans="1:5">
      <c r="A1597" t="s">
        <v>16738</v>
      </c>
      <c r="B1597" t="s">
        <v>16739</v>
      </c>
      <c r="C1597" t="s">
        <v>15381</v>
      </c>
      <c r="D1597" t="s">
        <v>13935</v>
      </c>
      <c r="E1597" t="s">
        <v>13936</v>
      </c>
    </row>
    <row r="1598" spans="1:5">
      <c r="A1598" t="s">
        <v>16740</v>
      </c>
      <c r="B1598" t="s">
        <v>16741</v>
      </c>
      <c r="C1598" t="s">
        <v>16742</v>
      </c>
      <c r="D1598" t="s">
        <v>14545</v>
      </c>
      <c r="E1598" t="s">
        <v>14546</v>
      </c>
    </row>
    <row r="1599" spans="1:5">
      <c r="A1599" t="s">
        <v>224</v>
      </c>
      <c r="B1599" t="s">
        <v>16743</v>
      </c>
      <c r="C1599" t="s">
        <v>13916</v>
      </c>
      <c r="D1599" t="s">
        <v>13901</v>
      </c>
      <c r="E1599" t="s">
        <v>13902</v>
      </c>
    </row>
    <row r="1600" spans="1:5">
      <c r="A1600" t="s">
        <v>3275</v>
      </c>
      <c r="B1600" t="s">
        <v>16744</v>
      </c>
      <c r="C1600" t="s">
        <v>13967</v>
      </c>
      <c r="D1600" t="s">
        <v>13968</v>
      </c>
      <c r="E1600" t="s">
        <v>13969</v>
      </c>
    </row>
    <row r="1601" spans="1:5">
      <c r="A1601" t="s">
        <v>1810</v>
      </c>
      <c r="B1601" t="s">
        <v>16745</v>
      </c>
      <c r="C1601" t="s">
        <v>14519</v>
      </c>
      <c r="D1601" t="s">
        <v>14482</v>
      </c>
      <c r="E1601" t="s">
        <v>14483</v>
      </c>
    </row>
    <row r="1602" spans="1:5">
      <c r="A1602" t="s">
        <v>16746</v>
      </c>
      <c r="B1602" t="s">
        <v>16747</v>
      </c>
      <c r="C1602" t="s">
        <v>13922</v>
      </c>
      <c r="D1602" t="s">
        <v>13923</v>
      </c>
      <c r="E1602" t="s">
        <v>13924</v>
      </c>
    </row>
    <row r="1603" spans="1:5">
      <c r="A1603" t="s">
        <v>2952</v>
      </c>
      <c r="B1603" t="s">
        <v>16748</v>
      </c>
      <c r="C1603" t="s">
        <v>14454</v>
      </c>
      <c r="D1603" t="s">
        <v>14455</v>
      </c>
      <c r="E1603" t="s">
        <v>14456</v>
      </c>
    </row>
    <row r="1604" spans="1:5">
      <c r="A1604" t="s">
        <v>16749</v>
      </c>
      <c r="B1604" t="s">
        <v>16750</v>
      </c>
      <c r="C1604" t="s">
        <v>14425</v>
      </c>
      <c r="D1604" t="s">
        <v>13923</v>
      </c>
      <c r="E1604" t="s">
        <v>13924</v>
      </c>
    </row>
    <row r="1605" spans="1:5">
      <c r="A1605" t="s">
        <v>16751</v>
      </c>
      <c r="B1605" t="s">
        <v>16752</v>
      </c>
      <c r="C1605" t="s">
        <v>13916</v>
      </c>
      <c r="D1605" t="s">
        <v>13901</v>
      </c>
      <c r="E1605" t="s">
        <v>13902</v>
      </c>
    </row>
    <row r="1606" spans="1:5">
      <c r="A1606" t="s">
        <v>16753</v>
      </c>
      <c r="B1606" t="s">
        <v>16754</v>
      </c>
      <c r="C1606" t="s">
        <v>14670</v>
      </c>
      <c r="D1606" t="s">
        <v>13968</v>
      </c>
      <c r="E1606" t="s">
        <v>13969</v>
      </c>
    </row>
    <row r="1607" spans="1:5">
      <c r="A1607" t="s">
        <v>16755</v>
      </c>
      <c r="B1607" t="s">
        <v>16756</v>
      </c>
      <c r="C1607" t="s">
        <v>14672</v>
      </c>
      <c r="D1607" t="s">
        <v>14673</v>
      </c>
      <c r="E1607" t="s">
        <v>14674</v>
      </c>
    </row>
    <row r="1608" spans="1:5">
      <c r="A1608" t="s">
        <v>16757</v>
      </c>
      <c r="B1608" t="s">
        <v>16758</v>
      </c>
      <c r="C1608" t="s">
        <v>15268</v>
      </c>
      <c r="D1608" t="s">
        <v>14526</v>
      </c>
      <c r="E1608" t="s">
        <v>14527</v>
      </c>
    </row>
    <row r="1609" spans="1:5">
      <c r="A1609" t="s">
        <v>16759</v>
      </c>
      <c r="B1609" t="s">
        <v>16760</v>
      </c>
      <c r="C1609" t="s">
        <v>14952</v>
      </c>
      <c r="D1609" t="s">
        <v>14953</v>
      </c>
      <c r="E1609" t="s">
        <v>14954</v>
      </c>
    </row>
    <row r="1610" spans="1:5">
      <c r="A1610" t="s">
        <v>16761</v>
      </c>
      <c r="B1610" t="s">
        <v>16762</v>
      </c>
      <c r="C1610" t="s">
        <v>16304</v>
      </c>
      <c r="D1610" t="s">
        <v>14953</v>
      </c>
      <c r="E1610" t="s">
        <v>14954</v>
      </c>
    </row>
    <row r="1611" spans="1:5">
      <c r="A1611" t="s">
        <v>16763</v>
      </c>
      <c r="B1611" t="s">
        <v>16764</v>
      </c>
      <c r="C1611" t="s">
        <v>16765</v>
      </c>
      <c r="D1611" t="s">
        <v>13881</v>
      </c>
      <c r="E1611" t="s">
        <v>13882</v>
      </c>
    </row>
    <row r="1612" spans="1:5">
      <c r="A1612" t="s">
        <v>16766</v>
      </c>
      <c r="B1612" t="s">
        <v>16767</v>
      </c>
      <c r="C1612" t="s">
        <v>14201</v>
      </c>
      <c r="D1612" t="s">
        <v>14040</v>
      </c>
      <c r="E1612" t="s">
        <v>14041</v>
      </c>
    </row>
    <row r="1613" spans="1:5">
      <c r="A1613" t="s">
        <v>16768</v>
      </c>
      <c r="B1613" t="s">
        <v>16769</v>
      </c>
      <c r="C1613" t="s">
        <v>16015</v>
      </c>
      <c r="D1613" t="s">
        <v>13916</v>
      </c>
      <c r="E1613" t="s">
        <v>14184</v>
      </c>
    </row>
    <row r="1614" spans="1:5">
      <c r="A1614" t="s">
        <v>16770</v>
      </c>
      <c r="B1614" t="s">
        <v>16771</v>
      </c>
      <c r="C1614" t="s">
        <v>16204</v>
      </c>
      <c r="D1614" t="s">
        <v>14759</v>
      </c>
      <c r="E1614" t="s">
        <v>14760</v>
      </c>
    </row>
    <row r="1615" spans="1:5">
      <c r="A1615" t="s">
        <v>16772</v>
      </c>
      <c r="B1615" t="s">
        <v>16773</v>
      </c>
      <c r="C1615" t="s">
        <v>15480</v>
      </c>
      <c r="D1615" t="s">
        <v>14018</v>
      </c>
      <c r="E1615" t="s">
        <v>14019</v>
      </c>
    </row>
    <row r="1616" spans="1:5">
      <c r="A1616" t="s">
        <v>16774</v>
      </c>
      <c r="B1616" t="s">
        <v>16775</v>
      </c>
      <c r="C1616" t="s">
        <v>13926</v>
      </c>
      <c r="D1616" t="s">
        <v>13927</v>
      </c>
      <c r="E1616" t="s">
        <v>13928</v>
      </c>
    </row>
    <row r="1617" spans="1:5">
      <c r="A1617" t="s">
        <v>16776</v>
      </c>
      <c r="B1617" t="s">
        <v>16777</v>
      </c>
      <c r="C1617" t="s">
        <v>16618</v>
      </c>
      <c r="D1617" t="s">
        <v>15092</v>
      </c>
      <c r="E1617" t="s">
        <v>15093</v>
      </c>
    </row>
    <row r="1618" spans="1:5">
      <c r="A1618" t="s">
        <v>3199</v>
      </c>
      <c r="B1618" t="s">
        <v>16778</v>
      </c>
      <c r="C1618" t="s">
        <v>13922</v>
      </c>
      <c r="D1618" t="s">
        <v>13923</v>
      </c>
      <c r="E1618" t="s">
        <v>13924</v>
      </c>
    </row>
    <row r="1619" spans="1:5">
      <c r="A1619" t="s">
        <v>16779</v>
      </c>
      <c r="B1619" t="s">
        <v>16780</v>
      </c>
      <c r="C1619" t="s">
        <v>13932</v>
      </c>
      <c r="D1619" t="s">
        <v>13932</v>
      </c>
      <c r="E1619" t="s">
        <v>13933</v>
      </c>
    </row>
    <row r="1620" spans="1:5">
      <c r="A1620" t="s">
        <v>16781</v>
      </c>
      <c r="B1620" t="s">
        <v>16782</v>
      </c>
      <c r="C1620" t="s">
        <v>14231</v>
      </c>
      <c r="D1620" t="s">
        <v>13964</v>
      </c>
      <c r="E1620" t="s">
        <v>13965</v>
      </c>
    </row>
    <row r="1621" spans="1:5">
      <c r="A1621" t="s">
        <v>1696</v>
      </c>
      <c r="B1621" t="s">
        <v>16783</v>
      </c>
      <c r="C1621" t="s">
        <v>13988</v>
      </c>
      <c r="D1621" t="s">
        <v>13989</v>
      </c>
      <c r="E1621" t="s">
        <v>13990</v>
      </c>
    </row>
    <row r="1622" spans="1:5">
      <c r="A1622" t="s">
        <v>16784</v>
      </c>
      <c r="B1622" t="s">
        <v>16785</v>
      </c>
      <c r="C1622" t="s">
        <v>14017</v>
      </c>
      <c r="D1622" t="s">
        <v>14018</v>
      </c>
      <c r="E1622" t="s">
        <v>14019</v>
      </c>
    </row>
    <row r="1623" spans="1:5">
      <c r="A1623" t="s">
        <v>16786</v>
      </c>
      <c r="B1623" t="s">
        <v>16787</v>
      </c>
      <c r="C1623" t="s">
        <v>14017</v>
      </c>
      <c r="D1623" t="s">
        <v>14018</v>
      </c>
      <c r="E1623" t="s">
        <v>14019</v>
      </c>
    </row>
    <row r="1624" spans="1:5">
      <c r="A1624" t="s">
        <v>16788</v>
      </c>
      <c r="B1624" t="s">
        <v>16789</v>
      </c>
      <c r="C1624" t="s">
        <v>14017</v>
      </c>
      <c r="D1624" t="s">
        <v>14018</v>
      </c>
      <c r="E1624" t="s">
        <v>14019</v>
      </c>
    </row>
    <row r="1625" spans="1:5">
      <c r="A1625" t="s">
        <v>16790</v>
      </c>
      <c r="B1625" t="s">
        <v>16791</v>
      </c>
      <c r="C1625" t="s">
        <v>15217</v>
      </c>
      <c r="D1625" t="s">
        <v>14025</v>
      </c>
      <c r="E1625" t="s">
        <v>14026</v>
      </c>
    </row>
    <row r="1626" spans="1:5">
      <c r="A1626" t="s">
        <v>16792</v>
      </c>
      <c r="B1626" t="s">
        <v>16793</v>
      </c>
      <c r="C1626" t="s">
        <v>16794</v>
      </c>
      <c r="D1626" t="s">
        <v>13881</v>
      </c>
      <c r="E1626" t="s">
        <v>13882</v>
      </c>
    </row>
    <row r="1627" spans="1:5">
      <c r="A1627" t="s">
        <v>16795</v>
      </c>
      <c r="B1627" t="s">
        <v>16796</v>
      </c>
      <c r="C1627" t="s">
        <v>13919</v>
      </c>
      <c r="D1627" t="s">
        <v>13919</v>
      </c>
      <c r="E1627" t="s">
        <v>13920</v>
      </c>
    </row>
    <row r="1628" spans="1:5">
      <c r="A1628" t="s">
        <v>16797</v>
      </c>
      <c r="B1628" t="s">
        <v>16798</v>
      </c>
      <c r="C1628" t="s">
        <v>13943</v>
      </c>
      <c r="D1628" t="s">
        <v>13901</v>
      </c>
      <c r="E1628" t="s">
        <v>13902</v>
      </c>
    </row>
    <row r="1629" spans="1:5">
      <c r="A1629" t="s">
        <v>465</v>
      </c>
      <c r="B1629" t="s">
        <v>16799</v>
      </c>
      <c r="C1629" t="s">
        <v>13943</v>
      </c>
      <c r="D1629" t="s">
        <v>13901</v>
      </c>
      <c r="E1629" t="s">
        <v>13902</v>
      </c>
    </row>
    <row r="1630" spans="1:5">
      <c r="A1630" t="s">
        <v>2189</v>
      </c>
      <c r="B1630" t="s">
        <v>16800</v>
      </c>
      <c r="C1630" t="s">
        <v>13871</v>
      </c>
      <c r="D1630" t="s">
        <v>13872</v>
      </c>
      <c r="E1630" t="s">
        <v>13873</v>
      </c>
    </row>
    <row r="1631" spans="1:5">
      <c r="A1631" t="s">
        <v>16801</v>
      </c>
      <c r="B1631" t="s">
        <v>16802</v>
      </c>
      <c r="C1631" t="s">
        <v>14561</v>
      </c>
      <c r="D1631" t="s">
        <v>14306</v>
      </c>
      <c r="E1631" t="s">
        <v>14307</v>
      </c>
    </row>
    <row r="1632" spans="1:5">
      <c r="A1632" t="s">
        <v>16803</v>
      </c>
      <c r="B1632" t="s">
        <v>16804</v>
      </c>
      <c r="C1632" t="s">
        <v>14012</v>
      </c>
      <c r="D1632" t="s">
        <v>13927</v>
      </c>
      <c r="E1632" t="s">
        <v>13928</v>
      </c>
    </row>
    <row r="1633" spans="1:5">
      <c r="A1633" t="s">
        <v>1270</v>
      </c>
      <c r="B1633" t="s">
        <v>16805</v>
      </c>
      <c r="C1633" t="s">
        <v>14012</v>
      </c>
      <c r="D1633" t="s">
        <v>13927</v>
      </c>
      <c r="E1633" t="s">
        <v>13928</v>
      </c>
    </row>
    <row r="1634" spans="1:5">
      <c r="A1634" t="s">
        <v>16806</v>
      </c>
      <c r="B1634" t="s">
        <v>16807</v>
      </c>
      <c r="C1634" t="s">
        <v>14012</v>
      </c>
      <c r="D1634" t="s">
        <v>13927</v>
      </c>
      <c r="E1634" t="s">
        <v>13928</v>
      </c>
    </row>
    <row r="1635" spans="1:5">
      <c r="A1635" t="s">
        <v>16808</v>
      </c>
      <c r="B1635" t="s">
        <v>16809</v>
      </c>
      <c r="C1635" t="s">
        <v>14012</v>
      </c>
      <c r="D1635" t="s">
        <v>13927</v>
      </c>
      <c r="E1635" t="s">
        <v>13928</v>
      </c>
    </row>
    <row r="1636" spans="1:5">
      <c r="A1636" t="s">
        <v>16810</v>
      </c>
      <c r="B1636" t="s">
        <v>16811</v>
      </c>
      <c r="C1636" t="s">
        <v>14012</v>
      </c>
      <c r="D1636" t="s">
        <v>13927</v>
      </c>
      <c r="E1636" t="s">
        <v>13928</v>
      </c>
    </row>
    <row r="1637" spans="1:5">
      <c r="A1637" t="s">
        <v>1125</v>
      </c>
      <c r="B1637" t="s">
        <v>16812</v>
      </c>
      <c r="C1637" t="s">
        <v>13951</v>
      </c>
      <c r="D1637" t="s">
        <v>13927</v>
      </c>
      <c r="E1637" t="s">
        <v>13928</v>
      </c>
    </row>
    <row r="1638" spans="1:5">
      <c r="A1638" t="s">
        <v>16813</v>
      </c>
      <c r="B1638" t="s">
        <v>16814</v>
      </c>
      <c r="C1638" t="s">
        <v>13951</v>
      </c>
      <c r="D1638" t="s">
        <v>13927</v>
      </c>
      <c r="E1638" t="s">
        <v>13928</v>
      </c>
    </row>
    <row r="1639" spans="1:5">
      <c r="A1639" t="s">
        <v>16815</v>
      </c>
      <c r="B1639" t="s">
        <v>16816</v>
      </c>
      <c r="C1639" t="s">
        <v>14058</v>
      </c>
      <c r="D1639" t="s">
        <v>14173</v>
      </c>
      <c r="E1639" t="s">
        <v>14174</v>
      </c>
    </row>
    <row r="1640" spans="1:5">
      <c r="A1640" t="s">
        <v>16817</v>
      </c>
      <c r="B1640" t="s">
        <v>16818</v>
      </c>
      <c r="C1640" t="s">
        <v>14025</v>
      </c>
      <c r="D1640" t="s">
        <v>14025</v>
      </c>
      <c r="E1640" t="s">
        <v>14026</v>
      </c>
    </row>
    <row r="1641" spans="1:5">
      <c r="A1641" t="s">
        <v>16819</v>
      </c>
      <c r="B1641" t="s">
        <v>16820</v>
      </c>
      <c r="C1641" t="s">
        <v>16444</v>
      </c>
      <c r="D1641" t="s">
        <v>15092</v>
      </c>
      <c r="E1641" t="s">
        <v>15093</v>
      </c>
    </row>
    <row r="1642" spans="1:5">
      <c r="A1642" t="s">
        <v>16821</v>
      </c>
      <c r="B1642" t="s">
        <v>16822</v>
      </c>
      <c r="C1642" t="s">
        <v>16823</v>
      </c>
      <c r="D1642" t="s">
        <v>13923</v>
      </c>
      <c r="E1642" t="s">
        <v>13924</v>
      </c>
    </row>
    <row r="1643" spans="1:5">
      <c r="A1643" t="s">
        <v>2315</v>
      </c>
      <c r="B1643" t="s">
        <v>16824</v>
      </c>
      <c r="C1643" t="s">
        <v>14058</v>
      </c>
      <c r="D1643" t="s">
        <v>14173</v>
      </c>
      <c r="E1643" t="s">
        <v>14174</v>
      </c>
    </row>
    <row r="1644" spans="1:5">
      <c r="A1644" t="s">
        <v>16825</v>
      </c>
      <c r="B1644" t="s">
        <v>16826</v>
      </c>
      <c r="C1644" t="s">
        <v>16827</v>
      </c>
      <c r="D1644" t="s">
        <v>14301</v>
      </c>
      <c r="E1644" t="s">
        <v>14302</v>
      </c>
    </row>
    <row r="1645" spans="1:5">
      <c r="A1645" t="s">
        <v>16828</v>
      </c>
      <c r="B1645" t="s">
        <v>16829</v>
      </c>
      <c r="C1645" t="s">
        <v>15091</v>
      </c>
      <c r="D1645" t="s">
        <v>15092</v>
      </c>
      <c r="E1645" t="s">
        <v>15093</v>
      </c>
    </row>
    <row r="1646" spans="1:5">
      <c r="A1646" t="s">
        <v>16830</v>
      </c>
      <c r="B1646" t="s">
        <v>16831</v>
      </c>
      <c r="C1646" t="s">
        <v>13943</v>
      </c>
      <c r="D1646" t="s">
        <v>13901</v>
      </c>
      <c r="E1646" t="s">
        <v>13902</v>
      </c>
    </row>
    <row r="1647" spans="1:5">
      <c r="A1647" t="s">
        <v>16832</v>
      </c>
      <c r="B1647" t="s">
        <v>16833</v>
      </c>
      <c r="C1647" t="s">
        <v>14305</v>
      </c>
      <c r="D1647" t="s">
        <v>14306</v>
      </c>
      <c r="E1647" t="s">
        <v>14307</v>
      </c>
    </row>
    <row r="1648" spans="1:5">
      <c r="A1648" t="s">
        <v>16834</v>
      </c>
      <c r="B1648" t="s">
        <v>16835</v>
      </c>
      <c r="C1648" t="s">
        <v>14210</v>
      </c>
      <c r="D1648" t="s">
        <v>14211</v>
      </c>
      <c r="E1648" t="s">
        <v>14212</v>
      </c>
    </row>
    <row r="1649" spans="1:5">
      <c r="A1649" t="s">
        <v>2145</v>
      </c>
      <c r="B1649" t="s">
        <v>16836</v>
      </c>
      <c r="C1649" t="s">
        <v>14021</v>
      </c>
      <c r="D1649" t="s">
        <v>14021</v>
      </c>
      <c r="E1649" t="s">
        <v>14022</v>
      </c>
    </row>
    <row r="1650" spans="1:5">
      <c r="A1650" t="s">
        <v>16837</v>
      </c>
      <c r="B1650" t="s">
        <v>16838</v>
      </c>
      <c r="C1650" t="s">
        <v>16839</v>
      </c>
      <c r="D1650" t="s">
        <v>13964</v>
      </c>
      <c r="E1650" t="s">
        <v>13965</v>
      </c>
    </row>
    <row r="1651" spans="1:5">
      <c r="A1651" t="s">
        <v>16840</v>
      </c>
      <c r="B1651" t="s">
        <v>16841</v>
      </c>
      <c r="C1651" t="s">
        <v>13986</v>
      </c>
      <c r="D1651" t="s">
        <v>13901</v>
      </c>
      <c r="E1651" t="s">
        <v>13902</v>
      </c>
    </row>
    <row r="1652" spans="1:5">
      <c r="A1652" t="s">
        <v>3413</v>
      </c>
      <c r="B1652" t="s">
        <v>16842</v>
      </c>
      <c r="C1652" t="s">
        <v>13935</v>
      </c>
      <c r="D1652" t="s">
        <v>13935</v>
      </c>
      <c r="E1652" t="s">
        <v>13936</v>
      </c>
    </row>
    <row r="1653" spans="1:5">
      <c r="A1653" t="s">
        <v>2467</v>
      </c>
      <c r="B1653" t="s">
        <v>16843</v>
      </c>
      <c r="C1653" t="s">
        <v>14001</v>
      </c>
      <c r="D1653" t="s">
        <v>14002</v>
      </c>
      <c r="E1653" t="s">
        <v>14003</v>
      </c>
    </row>
    <row r="1654" spans="1:5">
      <c r="A1654" t="s">
        <v>64</v>
      </c>
      <c r="B1654" t="s">
        <v>16844</v>
      </c>
      <c r="C1654" t="s">
        <v>13916</v>
      </c>
      <c r="D1654" t="s">
        <v>13901</v>
      </c>
      <c r="E1654" t="s">
        <v>13902</v>
      </c>
    </row>
    <row r="1655" spans="1:5">
      <c r="A1655" t="s">
        <v>16845</v>
      </c>
      <c r="B1655" t="s">
        <v>16846</v>
      </c>
      <c r="C1655" t="s">
        <v>15431</v>
      </c>
      <c r="D1655" t="s">
        <v>14356</v>
      </c>
      <c r="E1655" t="s">
        <v>14357</v>
      </c>
    </row>
    <row r="1656" spans="1:5">
      <c r="A1656" t="s">
        <v>16847</v>
      </c>
      <c r="B1656" t="s">
        <v>16848</v>
      </c>
      <c r="C1656" t="s">
        <v>14568</v>
      </c>
      <c r="D1656" t="s">
        <v>13935</v>
      </c>
      <c r="E1656" t="s">
        <v>13936</v>
      </c>
    </row>
    <row r="1657" spans="1:5">
      <c r="A1657" t="s">
        <v>16849</v>
      </c>
      <c r="B1657" t="s">
        <v>16850</v>
      </c>
      <c r="C1657" t="s">
        <v>14048</v>
      </c>
      <c r="D1657" t="s">
        <v>14049</v>
      </c>
      <c r="E1657" t="s">
        <v>14050</v>
      </c>
    </row>
    <row r="1658" spans="1:5">
      <c r="A1658" t="s">
        <v>16851</v>
      </c>
      <c r="B1658" t="s">
        <v>16852</v>
      </c>
      <c r="C1658" t="s">
        <v>15213</v>
      </c>
      <c r="D1658" t="s">
        <v>13927</v>
      </c>
      <c r="E1658" t="s">
        <v>13928</v>
      </c>
    </row>
    <row r="1659" spans="1:5">
      <c r="A1659" t="s">
        <v>16853</v>
      </c>
      <c r="B1659" t="s">
        <v>16854</v>
      </c>
      <c r="C1659" t="s">
        <v>14488</v>
      </c>
      <c r="D1659" t="s">
        <v>14489</v>
      </c>
      <c r="E1659" t="s">
        <v>14490</v>
      </c>
    </row>
    <row r="1660" spans="1:5">
      <c r="A1660" t="s">
        <v>16855</v>
      </c>
      <c r="B1660" t="s">
        <v>16856</v>
      </c>
      <c r="C1660" t="s">
        <v>13932</v>
      </c>
      <c r="D1660" t="s">
        <v>13932</v>
      </c>
      <c r="E1660" t="s">
        <v>13933</v>
      </c>
    </row>
    <row r="1661" spans="1:5">
      <c r="A1661" t="s">
        <v>16857</v>
      </c>
      <c r="B1661" t="s">
        <v>16858</v>
      </c>
      <c r="C1661" t="s">
        <v>15712</v>
      </c>
      <c r="D1661" t="s">
        <v>13964</v>
      </c>
      <c r="E1661" t="s">
        <v>13965</v>
      </c>
    </row>
    <row r="1662" spans="1:5">
      <c r="A1662" t="s">
        <v>16859</v>
      </c>
      <c r="B1662" t="s">
        <v>16860</v>
      </c>
      <c r="C1662" t="s">
        <v>16861</v>
      </c>
      <c r="D1662" t="s">
        <v>13955</v>
      </c>
      <c r="E1662" t="s">
        <v>13956</v>
      </c>
    </row>
    <row r="1663" spans="1:5">
      <c r="A1663" t="s">
        <v>16862</v>
      </c>
      <c r="B1663" t="s">
        <v>16863</v>
      </c>
      <c r="C1663" t="s">
        <v>13892</v>
      </c>
      <c r="D1663" t="s">
        <v>13893</v>
      </c>
      <c r="E1663" t="s">
        <v>13894</v>
      </c>
    </row>
    <row r="1664" spans="1:5">
      <c r="A1664" t="s">
        <v>16864</v>
      </c>
      <c r="B1664" t="s">
        <v>16865</v>
      </c>
      <c r="C1664" t="s">
        <v>15245</v>
      </c>
      <c r="D1664" t="s">
        <v>14356</v>
      </c>
      <c r="E1664" t="s">
        <v>14357</v>
      </c>
    </row>
    <row r="1665" spans="1:5">
      <c r="A1665" t="s">
        <v>16866</v>
      </c>
      <c r="B1665" t="s">
        <v>16867</v>
      </c>
      <c r="C1665" t="s">
        <v>15245</v>
      </c>
      <c r="D1665" t="s">
        <v>14356</v>
      </c>
      <c r="E1665" t="s">
        <v>14357</v>
      </c>
    </row>
    <row r="1666" spans="1:5">
      <c r="A1666" t="s">
        <v>16868</v>
      </c>
      <c r="B1666" t="s">
        <v>16869</v>
      </c>
      <c r="C1666" t="s">
        <v>16870</v>
      </c>
      <c r="D1666" t="s">
        <v>14002</v>
      </c>
      <c r="E1666" t="s">
        <v>14003</v>
      </c>
    </row>
    <row r="1667" spans="1:5">
      <c r="A1667" t="s">
        <v>16871</v>
      </c>
      <c r="B1667" t="s">
        <v>16872</v>
      </c>
      <c r="C1667" t="s">
        <v>14712</v>
      </c>
      <c r="D1667" t="s">
        <v>14558</v>
      </c>
      <c r="E1667" t="s">
        <v>14559</v>
      </c>
    </row>
    <row r="1668" spans="1:5">
      <c r="A1668" t="s">
        <v>16873</v>
      </c>
      <c r="B1668" t="s">
        <v>16874</v>
      </c>
      <c r="C1668" t="s">
        <v>14323</v>
      </c>
      <c r="D1668" t="s">
        <v>13901</v>
      </c>
      <c r="E1668" t="s">
        <v>13902</v>
      </c>
    </row>
    <row r="1669" spans="1:5">
      <c r="A1669" t="s">
        <v>16875</v>
      </c>
      <c r="B1669" t="s">
        <v>16876</v>
      </c>
      <c r="C1669" t="s">
        <v>14531</v>
      </c>
      <c r="D1669" t="s">
        <v>14243</v>
      </c>
      <c r="E1669" t="s">
        <v>14244</v>
      </c>
    </row>
    <row r="1670" spans="1:5">
      <c r="A1670" t="s">
        <v>16877</v>
      </c>
      <c r="B1670" t="s">
        <v>16878</v>
      </c>
      <c r="C1670" t="s">
        <v>16879</v>
      </c>
      <c r="D1670" t="s">
        <v>14489</v>
      </c>
      <c r="E1670" t="s">
        <v>14490</v>
      </c>
    </row>
    <row r="1671" spans="1:5">
      <c r="A1671" t="s">
        <v>1111</v>
      </c>
      <c r="B1671" t="s">
        <v>16880</v>
      </c>
      <c r="C1671" t="s">
        <v>16081</v>
      </c>
      <c r="D1671" t="s">
        <v>13927</v>
      </c>
      <c r="E1671" t="s">
        <v>13928</v>
      </c>
    </row>
    <row r="1672" spans="1:5">
      <c r="A1672" t="s">
        <v>2446</v>
      </c>
      <c r="B1672" t="s">
        <v>16881</v>
      </c>
      <c r="C1672" t="s">
        <v>16882</v>
      </c>
      <c r="D1672" t="s">
        <v>14002</v>
      </c>
      <c r="E1672" t="s">
        <v>14003</v>
      </c>
    </row>
    <row r="1673" spans="1:5">
      <c r="A1673" t="s">
        <v>3292</v>
      </c>
      <c r="B1673" t="s">
        <v>16883</v>
      </c>
      <c r="C1673" t="s">
        <v>14407</v>
      </c>
      <c r="D1673" t="s">
        <v>14408</v>
      </c>
      <c r="E1673" t="s">
        <v>14409</v>
      </c>
    </row>
    <row r="1674" spans="1:5">
      <c r="A1674" t="s">
        <v>1772</v>
      </c>
      <c r="B1674" t="s">
        <v>16884</v>
      </c>
      <c r="C1674" t="s">
        <v>13988</v>
      </c>
      <c r="D1674" t="s">
        <v>13989</v>
      </c>
      <c r="E1674" t="s">
        <v>13990</v>
      </c>
    </row>
    <row r="1675" spans="1:5">
      <c r="A1675" t="s">
        <v>16885</v>
      </c>
      <c r="B1675" t="s">
        <v>16886</v>
      </c>
      <c r="C1675" t="s">
        <v>14326</v>
      </c>
      <c r="D1675" t="s">
        <v>14327</v>
      </c>
      <c r="E1675" t="s">
        <v>14328</v>
      </c>
    </row>
    <row r="1676" spans="1:5">
      <c r="A1676" t="s">
        <v>212</v>
      </c>
      <c r="B1676" t="s">
        <v>16887</v>
      </c>
      <c r="C1676" t="s">
        <v>13916</v>
      </c>
      <c r="D1676" t="s">
        <v>13901</v>
      </c>
      <c r="E1676" t="s">
        <v>13902</v>
      </c>
    </row>
    <row r="1677" spans="1:5">
      <c r="A1677" t="s">
        <v>16888</v>
      </c>
      <c r="B1677" t="s">
        <v>16889</v>
      </c>
      <c r="C1677" t="s">
        <v>13935</v>
      </c>
      <c r="D1677" t="s">
        <v>13935</v>
      </c>
      <c r="E1677" t="s">
        <v>13936</v>
      </c>
    </row>
    <row r="1678" spans="1:5">
      <c r="A1678" t="s">
        <v>937</v>
      </c>
      <c r="B1678" t="s">
        <v>16890</v>
      </c>
      <c r="C1678" t="s">
        <v>13916</v>
      </c>
      <c r="D1678" t="s">
        <v>13901</v>
      </c>
      <c r="E1678" t="s">
        <v>13902</v>
      </c>
    </row>
    <row r="1679" spans="1:5">
      <c r="A1679" t="s">
        <v>16891</v>
      </c>
      <c r="B1679" t="s">
        <v>16892</v>
      </c>
      <c r="C1679" t="s">
        <v>14428</v>
      </c>
      <c r="D1679" t="s">
        <v>14429</v>
      </c>
      <c r="E1679" t="s">
        <v>14430</v>
      </c>
    </row>
    <row r="1680" spans="1:5">
      <c r="A1680" t="s">
        <v>3119</v>
      </c>
      <c r="B1680" t="s">
        <v>16893</v>
      </c>
      <c r="C1680" t="s">
        <v>13967</v>
      </c>
      <c r="D1680" t="s">
        <v>13968</v>
      </c>
      <c r="E1680" t="s">
        <v>13969</v>
      </c>
    </row>
    <row r="1681" spans="1:5">
      <c r="A1681" t="s">
        <v>2882</v>
      </c>
      <c r="B1681" t="s">
        <v>16894</v>
      </c>
      <c r="C1681" t="s">
        <v>14061</v>
      </c>
      <c r="D1681" t="s">
        <v>13913</v>
      </c>
      <c r="E1681" t="s">
        <v>13914</v>
      </c>
    </row>
    <row r="1682" spans="1:5">
      <c r="A1682" t="s">
        <v>3183</v>
      </c>
      <c r="B1682" t="s">
        <v>16895</v>
      </c>
      <c r="C1682" t="s">
        <v>13967</v>
      </c>
      <c r="D1682" t="s">
        <v>13968</v>
      </c>
      <c r="E1682" t="s">
        <v>13969</v>
      </c>
    </row>
    <row r="1683" spans="1:5">
      <c r="A1683" t="s">
        <v>16896</v>
      </c>
      <c r="B1683" t="s">
        <v>16897</v>
      </c>
      <c r="C1683" t="s">
        <v>13951</v>
      </c>
      <c r="D1683" t="s">
        <v>13927</v>
      </c>
      <c r="E1683" t="s">
        <v>13928</v>
      </c>
    </row>
    <row r="1684" spans="1:5">
      <c r="A1684" t="s">
        <v>16898</v>
      </c>
      <c r="B1684" t="s">
        <v>16899</v>
      </c>
      <c r="C1684" t="s">
        <v>15695</v>
      </c>
      <c r="D1684" t="s">
        <v>15695</v>
      </c>
      <c r="E1684" t="s">
        <v>15696</v>
      </c>
    </row>
    <row r="1685" spans="1:5">
      <c r="A1685" t="s">
        <v>449</v>
      </c>
      <c r="B1685" t="s">
        <v>16900</v>
      </c>
      <c r="C1685" t="s">
        <v>16901</v>
      </c>
      <c r="D1685" t="s">
        <v>13968</v>
      </c>
      <c r="E1685" t="s">
        <v>13969</v>
      </c>
    </row>
    <row r="1686" spans="1:5">
      <c r="A1686" t="s">
        <v>1144</v>
      </c>
      <c r="B1686" t="s">
        <v>16902</v>
      </c>
      <c r="C1686" t="s">
        <v>14012</v>
      </c>
      <c r="D1686" t="s">
        <v>13927</v>
      </c>
      <c r="E1686" t="s">
        <v>13928</v>
      </c>
    </row>
    <row r="1687" spans="1:5">
      <c r="A1687" t="s">
        <v>16903</v>
      </c>
      <c r="B1687" t="s">
        <v>16904</v>
      </c>
      <c r="C1687" t="s">
        <v>13935</v>
      </c>
      <c r="D1687" t="s">
        <v>13935</v>
      </c>
      <c r="E1687" t="s">
        <v>13936</v>
      </c>
    </row>
    <row r="1688" spans="1:5">
      <c r="A1688" t="s">
        <v>16905</v>
      </c>
      <c r="B1688" t="s">
        <v>16906</v>
      </c>
      <c r="C1688" t="s">
        <v>15140</v>
      </c>
      <c r="D1688" t="s">
        <v>15135</v>
      </c>
      <c r="E1688" t="s">
        <v>15136</v>
      </c>
    </row>
    <row r="1689" spans="1:5">
      <c r="A1689" t="s">
        <v>16907</v>
      </c>
      <c r="B1689" t="s">
        <v>16908</v>
      </c>
      <c r="C1689" t="s">
        <v>16909</v>
      </c>
      <c r="D1689" t="s">
        <v>13946</v>
      </c>
      <c r="E1689" t="s">
        <v>13947</v>
      </c>
    </row>
    <row r="1690" spans="1:5">
      <c r="A1690" t="s">
        <v>3577</v>
      </c>
      <c r="B1690" t="s">
        <v>16910</v>
      </c>
      <c r="C1690" t="s">
        <v>16911</v>
      </c>
      <c r="D1690" t="s">
        <v>15333</v>
      </c>
      <c r="E1690" t="s">
        <v>15334</v>
      </c>
    </row>
    <row r="1691" spans="1:5">
      <c r="A1691" t="s">
        <v>3627</v>
      </c>
      <c r="B1691" t="s">
        <v>16912</v>
      </c>
      <c r="C1691" t="s">
        <v>16913</v>
      </c>
      <c r="D1691" t="s">
        <v>15333</v>
      </c>
      <c r="E1691" t="s">
        <v>15334</v>
      </c>
    </row>
    <row r="1692" spans="1:5">
      <c r="A1692" t="s">
        <v>2853</v>
      </c>
      <c r="B1692" t="s">
        <v>16609</v>
      </c>
      <c r="C1692" t="s">
        <v>15662</v>
      </c>
      <c r="D1692" t="s">
        <v>15662</v>
      </c>
      <c r="E1692" t="s">
        <v>15663</v>
      </c>
    </row>
    <row r="1693" spans="1:5">
      <c r="A1693" t="s">
        <v>3223</v>
      </c>
      <c r="B1693" t="s">
        <v>16914</v>
      </c>
      <c r="C1693" t="s">
        <v>16915</v>
      </c>
      <c r="D1693" t="s">
        <v>14073</v>
      </c>
      <c r="E1693" t="s">
        <v>14074</v>
      </c>
    </row>
    <row r="1694" spans="1:5">
      <c r="A1694" t="s">
        <v>2849</v>
      </c>
      <c r="B1694" t="s">
        <v>16916</v>
      </c>
      <c r="C1694" t="s">
        <v>14551</v>
      </c>
      <c r="D1694" t="s">
        <v>14165</v>
      </c>
      <c r="E1694" t="s">
        <v>14166</v>
      </c>
    </row>
    <row r="1695" spans="1:5">
      <c r="A1695" t="s">
        <v>1288</v>
      </c>
      <c r="B1695" t="s">
        <v>16917</v>
      </c>
      <c r="C1695" t="s">
        <v>14012</v>
      </c>
      <c r="D1695" t="s">
        <v>13927</v>
      </c>
      <c r="E1695" t="s">
        <v>13928</v>
      </c>
    </row>
    <row r="1696" spans="1:5">
      <c r="A1696" t="s">
        <v>16918</v>
      </c>
      <c r="B1696" t="s">
        <v>16919</v>
      </c>
      <c r="C1696" t="s">
        <v>14780</v>
      </c>
      <c r="D1696" t="s">
        <v>14781</v>
      </c>
      <c r="E1696" t="s">
        <v>14782</v>
      </c>
    </row>
    <row r="1697" spans="1:5">
      <c r="A1697" t="s">
        <v>16920</v>
      </c>
      <c r="B1697" t="s">
        <v>16921</v>
      </c>
      <c r="C1697" t="s">
        <v>13922</v>
      </c>
      <c r="D1697" t="s">
        <v>13923</v>
      </c>
      <c r="E1697" t="s">
        <v>13924</v>
      </c>
    </row>
    <row r="1698" spans="1:5">
      <c r="A1698" t="s">
        <v>16922</v>
      </c>
      <c r="B1698" t="s">
        <v>16923</v>
      </c>
      <c r="C1698" t="s">
        <v>14031</v>
      </c>
      <c r="D1698" t="s">
        <v>13872</v>
      </c>
      <c r="E1698" t="s">
        <v>13873</v>
      </c>
    </row>
    <row r="1699" spans="1:5">
      <c r="A1699" t="s">
        <v>16924</v>
      </c>
      <c r="B1699" t="s">
        <v>16925</v>
      </c>
      <c r="C1699" t="s">
        <v>16618</v>
      </c>
      <c r="D1699" t="s">
        <v>15092</v>
      </c>
      <c r="E1699" t="s">
        <v>15093</v>
      </c>
    </row>
    <row r="1700" spans="1:5">
      <c r="A1700" t="s">
        <v>48</v>
      </c>
      <c r="B1700" t="s">
        <v>16926</v>
      </c>
      <c r="C1700" t="s">
        <v>14919</v>
      </c>
      <c r="D1700" t="s">
        <v>13901</v>
      </c>
      <c r="E1700" t="s">
        <v>13902</v>
      </c>
    </row>
    <row r="1701" spans="1:5">
      <c r="A1701" t="s">
        <v>16927</v>
      </c>
      <c r="B1701" t="s">
        <v>14370</v>
      </c>
      <c r="C1701" t="s">
        <v>14061</v>
      </c>
      <c r="D1701" t="s">
        <v>13913</v>
      </c>
      <c r="E1701" t="s">
        <v>13914</v>
      </c>
    </row>
    <row r="1702" spans="1:5">
      <c r="A1702" t="s">
        <v>2109</v>
      </c>
      <c r="B1702" t="s">
        <v>16928</v>
      </c>
      <c r="C1702" t="s">
        <v>16929</v>
      </c>
      <c r="D1702" t="s">
        <v>14397</v>
      </c>
      <c r="E1702" t="s">
        <v>14398</v>
      </c>
    </row>
    <row r="1703" spans="1:5">
      <c r="A1703" t="s">
        <v>16930</v>
      </c>
      <c r="B1703" t="s">
        <v>16931</v>
      </c>
      <c r="C1703" t="s">
        <v>14888</v>
      </c>
      <c r="D1703" t="s">
        <v>14889</v>
      </c>
      <c r="E1703" t="s">
        <v>14890</v>
      </c>
    </row>
    <row r="1704" spans="1:5">
      <c r="A1704" t="s">
        <v>16932</v>
      </c>
      <c r="B1704" t="s">
        <v>16933</v>
      </c>
      <c r="C1704" t="s">
        <v>14015</v>
      </c>
      <c r="D1704" t="s">
        <v>13989</v>
      </c>
      <c r="E1704" t="s">
        <v>13990</v>
      </c>
    </row>
    <row r="1705" spans="1:5">
      <c r="A1705" t="s">
        <v>1957</v>
      </c>
      <c r="B1705" t="s">
        <v>16934</v>
      </c>
      <c r="C1705" t="s">
        <v>14116</v>
      </c>
      <c r="D1705" t="s">
        <v>13964</v>
      </c>
      <c r="E1705" t="s">
        <v>13965</v>
      </c>
    </row>
    <row r="1706" spans="1:5">
      <c r="A1706" t="s">
        <v>16935</v>
      </c>
      <c r="B1706" t="s">
        <v>16936</v>
      </c>
      <c r="C1706" t="s">
        <v>14780</v>
      </c>
      <c r="D1706" t="s">
        <v>14781</v>
      </c>
      <c r="E1706" t="s">
        <v>14782</v>
      </c>
    </row>
    <row r="1707" spans="1:5">
      <c r="A1707" t="s">
        <v>3461</v>
      </c>
      <c r="B1707" t="s">
        <v>16937</v>
      </c>
      <c r="C1707" t="s">
        <v>13935</v>
      </c>
      <c r="D1707" t="s">
        <v>13935</v>
      </c>
      <c r="E1707" t="s">
        <v>13936</v>
      </c>
    </row>
    <row r="1708" spans="1:5">
      <c r="A1708" t="s">
        <v>1775</v>
      </c>
      <c r="B1708" t="s">
        <v>16938</v>
      </c>
      <c r="C1708" t="s">
        <v>13988</v>
      </c>
      <c r="D1708" t="s">
        <v>13989</v>
      </c>
      <c r="E1708" t="s">
        <v>13990</v>
      </c>
    </row>
    <row r="1709" spans="1:5">
      <c r="A1709" t="s">
        <v>2904</v>
      </c>
      <c r="B1709" t="s">
        <v>16939</v>
      </c>
      <c r="C1709" t="s">
        <v>15337</v>
      </c>
      <c r="D1709" t="s">
        <v>14078</v>
      </c>
      <c r="E1709" t="s">
        <v>14079</v>
      </c>
    </row>
    <row r="1710" spans="1:5">
      <c r="A1710" t="s">
        <v>911</v>
      </c>
      <c r="B1710" t="s">
        <v>16940</v>
      </c>
      <c r="C1710" t="s">
        <v>13916</v>
      </c>
      <c r="D1710" t="s">
        <v>13901</v>
      </c>
      <c r="E1710" t="s">
        <v>13902</v>
      </c>
    </row>
    <row r="1711" spans="1:5">
      <c r="A1711" t="s">
        <v>16941</v>
      </c>
      <c r="B1711" t="s">
        <v>16942</v>
      </c>
      <c r="C1711" t="s">
        <v>14017</v>
      </c>
      <c r="D1711" t="s">
        <v>14018</v>
      </c>
      <c r="E1711" t="s">
        <v>14019</v>
      </c>
    </row>
    <row r="1712" spans="1:5">
      <c r="A1712" t="s">
        <v>1601</v>
      </c>
      <c r="B1712" t="s">
        <v>16943</v>
      </c>
      <c r="C1712" t="s">
        <v>13988</v>
      </c>
      <c r="D1712" t="s">
        <v>13989</v>
      </c>
      <c r="E1712" t="s">
        <v>13990</v>
      </c>
    </row>
    <row r="1713" spans="1:5">
      <c r="A1713" t="s">
        <v>16944</v>
      </c>
      <c r="B1713" t="s">
        <v>16945</v>
      </c>
      <c r="C1713" t="s">
        <v>14145</v>
      </c>
      <c r="D1713" t="s">
        <v>13876</v>
      </c>
      <c r="E1713" t="s">
        <v>13877</v>
      </c>
    </row>
    <row r="1714" spans="1:5">
      <c r="A1714" t="s">
        <v>6898</v>
      </c>
      <c r="B1714" t="s">
        <v>16946</v>
      </c>
      <c r="C1714" t="s">
        <v>14001</v>
      </c>
      <c r="D1714" t="s">
        <v>14002</v>
      </c>
      <c r="E1714" t="s">
        <v>14003</v>
      </c>
    </row>
    <row r="1715" spans="1:5">
      <c r="A1715" t="s">
        <v>16947</v>
      </c>
      <c r="B1715" t="s">
        <v>16948</v>
      </c>
      <c r="C1715" t="s">
        <v>16949</v>
      </c>
      <c r="D1715" t="s">
        <v>14381</v>
      </c>
      <c r="E1715" t="s">
        <v>14382</v>
      </c>
    </row>
    <row r="1716" spans="1:5">
      <c r="A1716" t="s">
        <v>2298</v>
      </c>
      <c r="B1716" t="s">
        <v>16950</v>
      </c>
      <c r="C1716" t="s">
        <v>13938</v>
      </c>
      <c r="D1716" t="s">
        <v>13939</v>
      </c>
      <c r="E1716" t="s">
        <v>13940</v>
      </c>
    </row>
    <row r="1717" spans="1:5">
      <c r="A1717" t="s">
        <v>16951</v>
      </c>
      <c r="B1717" t="s">
        <v>16952</v>
      </c>
      <c r="C1717" t="s">
        <v>16953</v>
      </c>
      <c r="D1717" t="s">
        <v>13889</v>
      </c>
      <c r="E1717" t="s">
        <v>13890</v>
      </c>
    </row>
    <row r="1718" spans="1:5">
      <c r="A1718" t="s">
        <v>16954</v>
      </c>
      <c r="B1718" t="s">
        <v>16955</v>
      </c>
      <c r="C1718" t="s">
        <v>14407</v>
      </c>
      <c r="D1718" t="s">
        <v>14408</v>
      </c>
      <c r="E1718" t="s">
        <v>14409</v>
      </c>
    </row>
    <row r="1719" spans="1:5">
      <c r="A1719" t="s">
        <v>16956</v>
      </c>
      <c r="B1719" t="s">
        <v>16957</v>
      </c>
      <c r="C1719" t="s">
        <v>13916</v>
      </c>
      <c r="D1719" t="s">
        <v>13901</v>
      </c>
      <c r="E1719" t="s">
        <v>13902</v>
      </c>
    </row>
    <row r="1720" spans="1:5">
      <c r="A1720" t="s">
        <v>16958</v>
      </c>
      <c r="B1720" t="s">
        <v>16959</v>
      </c>
      <c r="C1720" t="s">
        <v>16960</v>
      </c>
      <c r="D1720" t="s">
        <v>14889</v>
      </c>
      <c r="E1720" t="s">
        <v>14890</v>
      </c>
    </row>
    <row r="1721" spans="1:5">
      <c r="A1721" t="s">
        <v>1603</v>
      </c>
      <c r="B1721" t="s">
        <v>16961</v>
      </c>
      <c r="C1721" t="s">
        <v>13988</v>
      </c>
      <c r="D1721" t="s">
        <v>13989</v>
      </c>
      <c r="E1721" t="s">
        <v>13990</v>
      </c>
    </row>
    <row r="1722" spans="1:5">
      <c r="A1722" t="s">
        <v>16962</v>
      </c>
      <c r="B1722" t="s">
        <v>16963</v>
      </c>
      <c r="C1722" t="s">
        <v>14183</v>
      </c>
      <c r="D1722" t="s">
        <v>13916</v>
      </c>
      <c r="E1722" t="s">
        <v>14184</v>
      </c>
    </row>
    <row r="1723" spans="1:5">
      <c r="A1723" t="s">
        <v>1724</v>
      </c>
      <c r="B1723" t="s">
        <v>16964</v>
      </c>
      <c r="C1723" t="s">
        <v>14203</v>
      </c>
      <c r="D1723" t="s">
        <v>13946</v>
      </c>
      <c r="E1723" t="s">
        <v>13947</v>
      </c>
    </row>
    <row r="1724" spans="1:5">
      <c r="A1724" t="s">
        <v>3007</v>
      </c>
      <c r="B1724" t="s">
        <v>16965</v>
      </c>
      <c r="C1724" t="s">
        <v>13932</v>
      </c>
      <c r="D1724" t="s">
        <v>13932</v>
      </c>
      <c r="E1724" t="s">
        <v>13933</v>
      </c>
    </row>
    <row r="1725" spans="1:5">
      <c r="A1725" t="s">
        <v>6919</v>
      </c>
      <c r="B1725" t="s">
        <v>16966</v>
      </c>
      <c r="C1725" t="s">
        <v>15174</v>
      </c>
      <c r="D1725" t="s">
        <v>13999</v>
      </c>
      <c r="E1725" t="s">
        <v>14338</v>
      </c>
    </row>
    <row r="1726" spans="1:5">
      <c r="A1726" t="s">
        <v>2688</v>
      </c>
      <c r="B1726" t="s">
        <v>16967</v>
      </c>
      <c r="C1726" t="s">
        <v>14224</v>
      </c>
      <c r="D1726" t="s">
        <v>14002</v>
      </c>
      <c r="E1726" t="s">
        <v>14003</v>
      </c>
    </row>
    <row r="1727" spans="1:5">
      <c r="A1727" t="s">
        <v>2600</v>
      </c>
      <c r="B1727" t="s">
        <v>16968</v>
      </c>
      <c r="C1727" t="s">
        <v>14224</v>
      </c>
      <c r="D1727" t="s">
        <v>14002</v>
      </c>
      <c r="E1727" t="s">
        <v>14003</v>
      </c>
    </row>
    <row r="1728" spans="1:5">
      <c r="A1728" t="s">
        <v>16969</v>
      </c>
      <c r="B1728" t="s">
        <v>16970</v>
      </c>
      <c r="C1728" t="s">
        <v>14012</v>
      </c>
      <c r="D1728" t="s">
        <v>13927</v>
      </c>
      <c r="E1728" t="s">
        <v>13928</v>
      </c>
    </row>
    <row r="1729" spans="1:5">
      <c r="A1729" t="s">
        <v>16971</v>
      </c>
      <c r="B1729" t="s">
        <v>16972</v>
      </c>
      <c r="C1729" t="s">
        <v>14001</v>
      </c>
      <c r="D1729" t="s">
        <v>14002</v>
      </c>
      <c r="E1729" t="s">
        <v>14003</v>
      </c>
    </row>
    <row r="1730" spans="1:5">
      <c r="A1730" t="s">
        <v>1896</v>
      </c>
      <c r="B1730" t="s">
        <v>16973</v>
      </c>
      <c r="C1730" t="s">
        <v>13988</v>
      </c>
      <c r="D1730" t="s">
        <v>13989</v>
      </c>
      <c r="E1730" t="s">
        <v>13990</v>
      </c>
    </row>
    <row r="1731" spans="1:5">
      <c r="A1731" t="s">
        <v>2135</v>
      </c>
      <c r="B1731" t="s">
        <v>16974</v>
      </c>
      <c r="C1731" t="s">
        <v>16929</v>
      </c>
      <c r="D1731" t="s">
        <v>14397</v>
      </c>
      <c r="E1731" t="s">
        <v>14398</v>
      </c>
    </row>
    <row r="1732" spans="1:5">
      <c r="A1732" t="s">
        <v>2098</v>
      </c>
      <c r="B1732" t="s">
        <v>16975</v>
      </c>
      <c r="C1732" t="s">
        <v>13938</v>
      </c>
      <c r="D1732" t="s">
        <v>13939</v>
      </c>
      <c r="E1732" t="s">
        <v>13940</v>
      </c>
    </row>
    <row r="1733" spans="1:5">
      <c r="A1733" t="s">
        <v>694</v>
      </c>
      <c r="B1733" t="s">
        <v>16976</v>
      </c>
      <c r="C1733" t="s">
        <v>14323</v>
      </c>
      <c r="D1733" t="s">
        <v>13901</v>
      </c>
      <c r="E1733" t="s">
        <v>13902</v>
      </c>
    </row>
    <row r="1734" spans="1:5">
      <c r="A1734" t="s">
        <v>1117</v>
      </c>
      <c r="B1734" t="s">
        <v>16977</v>
      </c>
      <c r="C1734" t="s">
        <v>15174</v>
      </c>
      <c r="D1734" t="s">
        <v>13999</v>
      </c>
      <c r="E1734" t="s">
        <v>14338</v>
      </c>
    </row>
    <row r="1735" spans="1:5">
      <c r="A1735" t="s">
        <v>6932</v>
      </c>
      <c r="B1735" t="s">
        <v>16978</v>
      </c>
      <c r="C1735" t="s">
        <v>16929</v>
      </c>
      <c r="D1735" t="s">
        <v>14397</v>
      </c>
      <c r="E1735" t="s">
        <v>14398</v>
      </c>
    </row>
    <row r="1736" spans="1:5">
      <c r="A1736" t="s">
        <v>2481</v>
      </c>
      <c r="B1736" t="s">
        <v>16979</v>
      </c>
      <c r="C1736" t="s">
        <v>14001</v>
      </c>
      <c r="D1736" t="s">
        <v>14002</v>
      </c>
      <c r="E1736" t="s">
        <v>14003</v>
      </c>
    </row>
    <row r="1737" spans="1:5">
      <c r="A1737" t="s">
        <v>2106</v>
      </c>
      <c r="B1737" t="s">
        <v>16980</v>
      </c>
      <c r="C1737" t="s">
        <v>16618</v>
      </c>
      <c r="D1737" t="s">
        <v>15092</v>
      </c>
      <c r="E1737" t="s">
        <v>15093</v>
      </c>
    </row>
    <row r="1738" spans="1:5">
      <c r="A1738" t="s">
        <v>2978</v>
      </c>
      <c r="B1738" t="s">
        <v>16981</v>
      </c>
      <c r="C1738" t="s">
        <v>14945</v>
      </c>
      <c r="D1738" t="s">
        <v>14455</v>
      </c>
      <c r="E1738" t="s">
        <v>14456</v>
      </c>
    </row>
    <row r="1739" spans="1:5">
      <c r="A1739" t="s">
        <v>16982</v>
      </c>
      <c r="B1739" t="s">
        <v>16983</v>
      </c>
      <c r="C1739" t="s">
        <v>14413</v>
      </c>
      <c r="D1739" t="s">
        <v>14002</v>
      </c>
      <c r="E1739" t="s">
        <v>14003</v>
      </c>
    </row>
    <row r="1740" spans="1:5">
      <c r="A1740" t="s">
        <v>16984</v>
      </c>
      <c r="B1740" t="s">
        <v>16985</v>
      </c>
      <c r="C1740" t="s">
        <v>14001</v>
      </c>
      <c r="D1740" t="s">
        <v>14002</v>
      </c>
      <c r="E1740" t="s">
        <v>14003</v>
      </c>
    </row>
    <row r="1741" spans="1:5">
      <c r="A1741" t="s">
        <v>16986</v>
      </c>
      <c r="B1741" t="s">
        <v>16987</v>
      </c>
      <c r="C1741" t="s">
        <v>14458</v>
      </c>
      <c r="D1741" t="s">
        <v>14459</v>
      </c>
      <c r="E1741" t="s">
        <v>14460</v>
      </c>
    </row>
    <row r="1742" spans="1:5">
      <c r="A1742" t="s">
        <v>16988</v>
      </c>
      <c r="B1742" t="s">
        <v>16989</v>
      </c>
      <c r="C1742" t="s">
        <v>14413</v>
      </c>
      <c r="D1742" t="s">
        <v>14002</v>
      </c>
      <c r="E1742" t="s">
        <v>14003</v>
      </c>
    </row>
    <row r="1743" spans="1:5">
      <c r="A1743" t="s">
        <v>16990</v>
      </c>
      <c r="B1743" t="s">
        <v>16991</v>
      </c>
      <c r="C1743" t="s">
        <v>14007</v>
      </c>
      <c r="D1743" t="s">
        <v>13989</v>
      </c>
      <c r="E1743" t="s">
        <v>13990</v>
      </c>
    </row>
    <row r="1744" spans="1:5">
      <c r="A1744" t="s">
        <v>16992</v>
      </c>
      <c r="B1744" t="s">
        <v>16993</v>
      </c>
      <c r="C1744" t="s">
        <v>13986</v>
      </c>
      <c r="D1744" t="s">
        <v>13901</v>
      </c>
      <c r="E1744" t="s">
        <v>13902</v>
      </c>
    </row>
    <row r="1745" spans="1:5">
      <c r="A1745" t="s">
        <v>3352</v>
      </c>
      <c r="B1745" t="s">
        <v>16994</v>
      </c>
      <c r="C1745" t="s">
        <v>14072</v>
      </c>
      <c r="D1745" t="s">
        <v>14073</v>
      </c>
      <c r="E1745" t="s">
        <v>14074</v>
      </c>
    </row>
    <row r="1746" spans="1:5">
      <c r="A1746" t="s">
        <v>16995</v>
      </c>
      <c r="B1746" t="s">
        <v>16996</v>
      </c>
      <c r="C1746" t="s">
        <v>16997</v>
      </c>
      <c r="D1746" t="s">
        <v>14259</v>
      </c>
      <c r="E1746" t="s">
        <v>14260</v>
      </c>
    </row>
    <row r="1747" spans="1:5">
      <c r="A1747" t="s">
        <v>16998</v>
      </c>
      <c r="B1747" t="s">
        <v>16999</v>
      </c>
      <c r="C1747" t="s">
        <v>14541</v>
      </c>
      <c r="D1747" t="s">
        <v>14211</v>
      </c>
      <c r="E1747" t="s">
        <v>14212</v>
      </c>
    </row>
    <row r="1748" spans="1:5">
      <c r="A1748" t="s">
        <v>17000</v>
      </c>
      <c r="B1748" t="s">
        <v>17001</v>
      </c>
      <c r="C1748" t="s">
        <v>14147</v>
      </c>
      <c r="D1748" t="s">
        <v>13881</v>
      </c>
      <c r="E1748" t="s">
        <v>13882</v>
      </c>
    </row>
    <row r="1749" spans="1:5">
      <c r="A1749" t="s">
        <v>17002</v>
      </c>
      <c r="B1749" t="s">
        <v>17003</v>
      </c>
      <c r="C1749" t="s">
        <v>14458</v>
      </c>
      <c r="D1749" t="s">
        <v>14459</v>
      </c>
      <c r="E1749" t="s">
        <v>14460</v>
      </c>
    </row>
    <row r="1750" spans="1:5">
      <c r="A1750" t="s">
        <v>1650</v>
      </c>
      <c r="B1750" t="s">
        <v>17004</v>
      </c>
      <c r="C1750" t="s">
        <v>17005</v>
      </c>
      <c r="D1750" t="s">
        <v>13989</v>
      </c>
      <c r="E1750" t="s">
        <v>13990</v>
      </c>
    </row>
    <row r="1751" spans="1:5">
      <c r="A1751" t="s">
        <v>1821</v>
      </c>
      <c r="B1751" t="s">
        <v>17006</v>
      </c>
      <c r="C1751" t="s">
        <v>14116</v>
      </c>
      <c r="D1751" t="s">
        <v>13964</v>
      </c>
      <c r="E1751" t="s">
        <v>13965</v>
      </c>
    </row>
    <row r="1752" spans="1:5">
      <c r="A1752" t="s">
        <v>2781</v>
      </c>
      <c r="B1752" t="s">
        <v>17007</v>
      </c>
      <c r="C1752" t="s">
        <v>14263</v>
      </c>
      <c r="D1752" t="s">
        <v>14264</v>
      </c>
      <c r="E1752" t="s">
        <v>14265</v>
      </c>
    </row>
    <row r="1753" spans="1:5">
      <c r="A1753" t="s">
        <v>2765</v>
      </c>
      <c r="B1753" t="s">
        <v>17008</v>
      </c>
      <c r="C1753" t="s">
        <v>14263</v>
      </c>
      <c r="D1753" t="s">
        <v>14264</v>
      </c>
      <c r="E1753" t="s">
        <v>14265</v>
      </c>
    </row>
    <row r="1754" spans="1:5">
      <c r="A1754" t="s">
        <v>2521</v>
      </c>
      <c r="B1754" t="s">
        <v>17009</v>
      </c>
      <c r="C1754" t="s">
        <v>14001</v>
      </c>
      <c r="D1754" t="s">
        <v>14002</v>
      </c>
      <c r="E1754" t="s">
        <v>14003</v>
      </c>
    </row>
    <row r="1755" spans="1:5">
      <c r="A1755" t="s">
        <v>2494</v>
      </c>
      <c r="B1755" t="s">
        <v>17010</v>
      </c>
      <c r="C1755" t="s">
        <v>14001</v>
      </c>
      <c r="D1755" t="s">
        <v>14002</v>
      </c>
      <c r="E1755" t="s">
        <v>14003</v>
      </c>
    </row>
    <row r="1756" spans="1:5">
      <c r="A1756" t="s">
        <v>2175</v>
      </c>
      <c r="B1756" t="s">
        <v>17011</v>
      </c>
      <c r="C1756" t="s">
        <v>14031</v>
      </c>
      <c r="D1756" t="s">
        <v>13872</v>
      </c>
      <c r="E1756" t="s">
        <v>13873</v>
      </c>
    </row>
    <row r="1757" spans="1:5">
      <c r="A1757" t="s">
        <v>2020</v>
      </c>
      <c r="B1757" t="s">
        <v>17012</v>
      </c>
      <c r="C1757" t="s">
        <v>14021</v>
      </c>
      <c r="D1757" t="s">
        <v>14021</v>
      </c>
      <c r="E1757" t="s">
        <v>14022</v>
      </c>
    </row>
    <row r="1758" spans="1:5">
      <c r="A1758" t="s">
        <v>2894</v>
      </c>
      <c r="B1758" t="s">
        <v>17013</v>
      </c>
      <c r="C1758" t="s">
        <v>14049</v>
      </c>
      <c r="D1758" t="s">
        <v>14049</v>
      </c>
      <c r="E1758" t="s">
        <v>14050</v>
      </c>
    </row>
    <row r="1759" spans="1:5">
      <c r="A1759" t="s">
        <v>17014</v>
      </c>
      <c r="B1759" t="s">
        <v>17015</v>
      </c>
      <c r="C1759" t="s">
        <v>17016</v>
      </c>
      <c r="D1759" t="s">
        <v>14526</v>
      </c>
      <c r="E1759" t="s">
        <v>14527</v>
      </c>
    </row>
    <row r="1760" spans="1:5">
      <c r="A1760" t="s">
        <v>17017</v>
      </c>
      <c r="B1760" t="s">
        <v>17018</v>
      </c>
      <c r="C1760" t="s">
        <v>17019</v>
      </c>
      <c r="D1760" t="s">
        <v>13927</v>
      </c>
      <c r="E1760" t="s">
        <v>13928</v>
      </c>
    </row>
    <row r="1761" spans="1:5">
      <c r="A1761" t="s">
        <v>17020</v>
      </c>
      <c r="B1761" t="s">
        <v>17021</v>
      </c>
      <c r="C1761" t="s">
        <v>17022</v>
      </c>
      <c r="D1761" t="s">
        <v>14259</v>
      </c>
      <c r="E1761" t="s">
        <v>14260</v>
      </c>
    </row>
    <row r="1762" spans="1:5">
      <c r="A1762" t="s">
        <v>3266</v>
      </c>
      <c r="B1762" t="s">
        <v>17023</v>
      </c>
      <c r="C1762" t="s">
        <v>14227</v>
      </c>
      <c r="D1762" t="s">
        <v>13951</v>
      </c>
      <c r="E1762" t="s">
        <v>13952</v>
      </c>
    </row>
    <row r="1763" spans="1:5">
      <c r="A1763" t="s">
        <v>17024</v>
      </c>
      <c r="B1763" t="s">
        <v>17025</v>
      </c>
      <c r="C1763" t="s">
        <v>14052</v>
      </c>
      <c r="D1763" t="s">
        <v>14053</v>
      </c>
      <c r="E1763" t="s">
        <v>14054</v>
      </c>
    </row>
    <row r="1764" spans="1:5">
      <c r="A1764" t="s">
        <v>17026</v>
      </c>
      <c r="B1764" t="s">
        <v>17027</v>
      </c>
      <c r="C1764" t="s">
        <v>14397</v>
      </c>
      <c r="D1764" t="s">
        <v>14397</v>
      </c>
      <c r="E1764" t="s">
        <v>14398</v>
      </c>
    </row>
    <row r="1765" spans="1:5">
      <c r="A1765" t="s">
        <v>17028</v>
      </c>
      <c r="B1765" t="s">
        <v>17029</v>
      </c>
      <c r="C1765" t="s">
        <v>14517</v>
      </c>
      <c r="D1765" t="s">
        <v>14243</v>
      </c>
      <c r="E1765" t="s">
        <v>14244</v>
      </c>
    </row>
    <row r="1766" spans="1:5">
      <c r="A1766" t="s">
        <v>17030</v>
      </c>
      <c r="B1766" t="s">
        <v>17031</v>
      </c>
      <c r="C1766" t="s">
        <v>14081</v>
      </c>
      <c r="D1766" t="s">
        <v>14081</v>
      </c>
      <c r="E1766" t="s">
        <v>14082</v>
      </c>
    </row>
    <row r="1767" spans="1:5">
      <c r="A1767" t="s">
        <v>17032</v>
      </c>
      <c r="B1767" t="s">
        <v>17033</v>
      </c>
      <c r="C1767" t="s">
        <v>14061</v>
      </c>
      <c r="D1767" t="s">
        <v>13913</v>
      </c>
      <c r="E1767" t="s">
        <v>13914</v>
      </c>
    </row>
    <row r="1768" spans="1:5">
      <c r="A1768" t="s">
        <v>17034</v>
      </c>
      <c r="B1768" t="s">
        <v>17035</v>
      </c>
      <c r="C1768" t="s">
        <v>14224</v>
      </c>
      <c r="D1768" t="s">
        <v>14002</v>
      </c>
      <c r="E1768" t="s">
        <v>14003</v>
      </c>
    </row>
    <row r="1769" spans="1:5">
      <c r="A1769" t="s">
        <v>17036</v>
      </c>
      <c r="B1769" t="s">
        <v>17037</v>
      </c>
      <c r="C1769" t="s">
        <v>13919</v>
      </c>
      <c r="D1769" t="s">
        <v>13919</v>
      </c>
      <c r="E1769" t="s">
        <v>13920</v>
      </c>
    </row>
    <row r="1770" spans="1:5">
      <c r="A1770" t="s">
        <v>17038</v>
      </c>
      <c r="B1770" t="s">
        <v>17039</v>
      </c>
      <c r="C1770" t="s">
        <v>13943</v>
      </c>
      <c r="D1770" t="s">
        <v>13901</v>
      </c>
      <c r="E1770" t="s">
        <v>13902</v>
      </c>
    </row>
    <row r="1771" spans="1:5">
      <c r="A1771" t="s">
        <v>17040</v>
      </c>
      <c r="B1771" t="s">
        <v>17041</v>
      </c>
      <c r="C1771" t="s">
        <v>14183</v>
      </c>
      <c r="D1771" t="s">
        <v>13916</v>
      </c>
      <c r="E1771" t="s">
        <v>14184</v>
      </c>
    </row>
    <row r="1772" spans="1:5">
      <c r="A1772" t="s">
        <v>17042</v>
      </c>
      <c r="B1772" t="s">
        <v>17043</v>
      </c>
      <c r="C1772" t="s">
        <v>17044</v>
      </c>
      <c r="D1772" t="s">
        <v>17045</v>
      </c>
      <c r="E1772" t="s">
        <v>17046</v>
      </c>
    </row>
    <row r="1773" spans="1:5">
      <c r="A1773" t="s">
        <v>470</v>
      </c>
      <c r="B1773" t="s">
        <v>17047</v>
      </c>
      <c r="C1773" t="s">
        <v>17048</v>
      </c>
      <c r="D1773" t="s">
        <v>13893</v>
      </c>
      <c r="E1773" t="s">
        <v>13894</v>
      </c>
    </row>
    <row r="1774" spans="1:5">
      <c r="A1774" t="s">
        <v>17049</v>
      </c>
      <c r="B1774" t="s">
        <v>17050</v>
      </c>
      <c r="C1774" t="s">
        <v>14183</v>
      </c>
      <c r="D1774" t="s">
        <v>13916</v>
      </c>
      <c r="E1774" t="s">
        <v>14184</v>
      </c>
    </row>
    <row r="1775" spans="1:5">
      <c r="A1775" t="s">
        <v>17051</v>
      </c>
      <c r="B1775" t="s">
        <v>17052</v>
      </c>
      <c r="C1775" t="s">
        <v>14057</v>
      </c>
      <c r="D1775" t="s">
        <v>14058</v>
      </c>
      <c r="E1775" t="s">
        <v>14059</v>
      </c>
    </row>
    <row r="1776" spans="1:5">
      <c r="A1776" t="s">
        <v>17053</v>
      </c>
      <c r="B1776" t="s">
        <v>17054</v>
      </c>
      <c r="C1776" t="s">
        <v>14867</v>
      </c>
      <c r="D1776" t="s">
        <v>14868</v>
      </c>
      <c r="E1776" t="s">
        <v>14869</v>
      </c>
    </row>
    <row r="1777" spans="1:5">
      <c r="A1777" t="s">
        <v>17055</v>
      </c>
      <c r="B1777" t="s">
        <v>17056</v>
      </c>
      <c r="C1777" t="s">
        <v>14867</v>
      </c>
      <c r="D1777" t="s">
        <v>14868</v>
      </c>
      <c r="E1777" t="s">
        <v>14869</v>
      </c>
    </row>
    <row r="1778" spans="1:5">
      <c r="A1778" t="s">
        <v>17057</v>
      </c>
      <c r="B1778" t="s">
        <v>17058</v>
      </c>
      <c r="C1778" t="s">
        <v>14620</v>
      </c>
      <c r="D1778" t="s">
        <v>14620</v>
      </c>
      <c r="E1778" t="s">
        <v>14621</v>
      </c>
    </row>
    <row r="1779" spans="1:5">
      <c r="A1779" t="s">
        <v>17059</v>
      </c>
      <c r="B1779" t="s">
        <v>17060</v>
      </c>
      <c r="C1779" t="s">
        <v>15308</v>
      </c>
      <c r="D1779" t="s">
        <v>14397</v>
      </c>
      <c r="E1779" t="s">
        <v>14398</v>
      </c>
    </row>
    <row r="1780" spans="1:5">
      <c r="A1780" t="s">
        <v>17061</v>
      </c>
      <c r="B1780" t="s">
        <v>17062</v>
      </c>
      <c r="C1780" t="s">
        <v>14110</v>
      </c>
      <c r="D1780" t="s">
        <v>13876</v>
      </c>
      <c r="E1780" t="s">
        <v>13877</v>
      </c>
    </row>
    <row r="1781" spans="1:5">
      <c r="A1781" t="s">
        <v>17063</v>
      </c>
      <c r="B1781" t="s">
        <v>17064</v>
      </c>
      <c r="C1781" t="s">
        <v>16263</v>
      </c>
      <c r="D1781" t="s">
        <v>14195</v>
      </c>
      <c r="E1781" t="s">
        <v>14196</v>
      </c>
    </row>
    <row r="1782" spans="1:5">
      <c r="A1782" t="s">
        <v>17065</v>
      </c>
      <c r="B1782" t="s">
        <v>17066</v>
      </c>
      <c r="C1782" t="s">
        <v>14861</v>
      </c>
      <c r="D1782" t="s">
        <v>14862</v>
      </c>
      <c r="E1782" t="s">
        <v>14863</v>
      </c>
    </row>
    <row r="1783" spans="1:5">
      <c r="A1783" t="s">
        <v>3451</v>
      </c>
      <c r="B1783" t="s">
        <v>17067</v>
      </c>
      <c r="C1783" t="s">
        <v>14039</v>
      </c>
      <c r="D1783" t="s">
        <v>14040</v>
      </c>
      <c r="E1783" t="s">
        <v>14041</v>
      </c>
    </row>
    <row r="1784" spans="1:5">
      <c r="A1784" t="s">
        <v>17068</v>
      </c>
      <c r="B1784" t="s">
        <v>17069</v>
      </c>
      <c r="C1784" t="s">
        <v>14021</v>
      </c>
      <c r="D1784" t="s">
        <v>14021</v>
      </c>
      <c r="E1784" t="s">
        <v>14022</v>
      </c>
    </row>
    <row r="1785" spans="1:5">
      <c r="A1785" t="s">
        <v>17070</v>
      </c>
      <c r="B1785" t="s">
        <v>17071</v>
      </c>
      <c r="C1785" t="s">
        <v>14021</v>
      </c>
      <c r="D1785" t="s">
        <v>14021</v>
      </c>
      <c r="E1785" t="s">
        <v>14022</v>
      </c>
    </row>
    <row r="1786" spans="1:5">
      <c r="A1786" t="s">
        <v>2313</v>
      </c>
      <c r="B1786" t="s">
        <v>17072</v>
      </c>
      <c r="C1786" t="s">
        <v>14021</v>
      </c>
      <c r="D1786" t="s">
        <v>14021</v>
      </c>
      <c r="E1786" t="s">
        <v>14022</v>
      </c>
    </row>
    <row r="1787" spans="1:5">
      <c r="A1787" t="s">
        <v>17073</v>
      </c>
      <c r="B1787" t="s">
        <v>17074</v>
      </c>
      <c r="C1787" t="s">
        <v>14057</v>
      </c>
      <c r="D1787" t="s">
        <v>14058</v>
      </c>
      <c r="E1787" t="s">
        <v>14059</v>
      </c>
    </row>
    <row r="1788" spans="1:5">
      <c r="A1788" t="s">
        <v>17075</v>
      </c>
      <c r="B1788" t="s">
        <v>17076</v>
      </c>
      <c r="C1788" t="s">
        <v>14057</v>
      </c>
      <c r="D1788" t="s">
        <v>14058</v>
      </c>
      <c r="E1788" t="s">
        <v>14059</v>
      </c>
    </row>
    <row r="1789" spans="1:5">
      <c r="A1789" t="s">
        <v>17077</v>
      </c>
      <c r="B1789" t="s">
        <v>17078</v>
      </c>
      <c r="C1789" t="s">
        <v>14057</v>
      </c>
      <c r="D1789" t="s">
        <v>14058</v>
      </c>
      <c r="E1789" t="s">
        <v>14059</v>
      </c>
    </row>
    <row r="1790" spans="1:5">
      <c r="A1790" t="s">
        <v>17079</v>
      </c>
      <c r="B1790" t="s">
        <v>17080</v>
      </c>
      <c r="C1790" t="s">
        <v>14001</v>
      </c>
      <c r="D1790" t="s">
        <v>14002</v>
      </c>
      <c r="E1790" t="s">
        <v>14003</v>
      </c>
    </row>
    <row r="1791" spans="1:5">
      <c r="A1791" t="s">
        <v>2529</v>
      </c>
      <c r="B1791" t="s">
        <v>17081</v>
      </c>
      <c r="C1791" t="s">
        <v>14001</v>
      </c>
      <c r="D1791" t="s">
        <v>14002</v>
      </c>
      <c r="E1791" t="s">
        <v>14003</v>
      </c>
    </row>
    <row r="1792" spans="1:5">
      <c r="A1792" t="s">
        <v>17082</v>
      </c>
      <c r="B1792" t="s">
        <v>17083</v>
      </c>
      <c r="C1792" t="s">
        <v>14106</v>
      </c>
      <c r="D1792" t="s">
        <v>14107</v>
      </c>
      <c r="E1792" t="s">
        <v>14108</v>
      </c>
    </row>
    <row r="1793" spans="1:5">
      <c r="A1793" t="s">
        <v>17084</v>
      </c>
      <c r="B1793" t="s">
        <v>17085</v>
      </c>
      <c r="C1793" t="s">
        <v>14517</v>
      </c>
      <c r="D1793" t="s">
        <v>14243</v>
      </c>
      <c r="E1793" t="s">
        <v>14244</v>
      </c>
    </row>
    <row r="1794" spans="1:5">
      <c r="A1794" t="s">
        <v>17086</v>
      </c>
      <c r="B1794" t="s">
        <v>17087</v>
      </c>
      <c r="C1794" t="s">
        <v>14712</v>
      </c>
      <c r="D1794" t="s">
        <v>14558</v>
      </c>
      <c r="E1794" t="s">
        <v>14559</v>
      </c>
    </row>
    <row r="1795" spans="1:5">
      <c r="A1795" t="s">
        <v>17088</v>
      </c>
      <c r="B1795" t="s">
        <v>17089</v>
      </c>
      <c r="C1795" t="s">
        <v>17090</v>
      </c>
      <c r="D1795" t="s">
        <v>14243</v>
      </c>
      <c r="E1795" t="s">
        <v>14244</v>
      </c>
    </row>
    <row r="1796" spans="1:5">
      <c r="A1796" t="s">
        <v>17091</v>
      </c>
      <c r="B1796" t="s">
        <v>17092</v>
      </c>
      <c r="C1796" t="s">
        <v>16039</v>
      </c>
      <c r="D1796" t="s">
        <v>14021</v>
      </c>
      <c r="E1796" t="s">
        <v>14022</v>
      </c>
    </row>
    <row r="1797" spans="1:5">
      <c r="A1797" t="s">
        <v>17093</v>
      </c>
      <c r="B1797" t="s">
        <v>17094</v>
      </c>
      <c r="C1797" t="s">
        <v>14445</v>
      </c>
      <c r="D1797" t="s">
        <v>14446</v>
      </c>
      <c r="E1797" t="s">
        <v>14447</v>
      </c>
    </row>
    <row r="1798" spans="1:5">
      <c r="A1798" t="s">
        <v>17095</v>
      </c>
      <c r="B1798" t="s">
        <v>17096</v>
      </c>
      <c r="C1798" t="s">
        <v>15654</v>
      </c>
      <c r="D1798" t="s">
        <v>13923</v>
      </c>
      <c r="E1798" t="s">
        <v>13924</v>
      </c>
    </row>
    <row r="1799" spans="1:5">
      <c r="A1799" t="s">
        <v>2855</v>
      </c>
      <c r="B1799" t="s">
        <v>17097</v>
      </c>
      <c r="C1799" t="s">
        <v>17098</v>
      </c>
      <c r="D1799" t="s">
        <v>14058</v>
      </c>
      <c r="E1799" t="s">
        <v>14059</v>
      </c>
    </row>
    <row r="1800" spans="1:5">
      <c r="A1800" t="s">
        <v>17099</v>
      </c>
      <c r="B1800" t="s">
        <v>17100</v>
      </c>
      <c r="C1800" t="s">
        <v>14224</v>
      </c>
      <c r="D1800" t="s">
        <v>14002</v>
      </c>
      <c r="E1800" t="s">
        <v>14003</v>
      </c>
    </row>
    <row r="1801" spans="1:5">
      <c r="A1801" t="s">
        <v>17101</v>
      </c>
      <c r="B1801" t="s">
        <v>17102</v>
      </c>
      <c r="C1801" t="s">
        <v>17103</v>
      </c>
      <c r="D1801" t="s">
        <v>13876</v>
      </c>
      <c r="E1801" t="s">
        <v>13877</v>
      </c>
    </row>
    <row r="1802" spans="1:5">
      <c r="A1802" t="s">
        <v>989</v>
      </c>
      <c r="B1802" t="s">
        <v>17104</v>
      </c>
      <c r="C1802" t="s">
        <v>13909</v>
      </c>
      <c r="D1802" t="s">
        <v>13901</v>
      </c>
      <c r="E1802" t="s">
        <v>13902</v>
      </c>
    </row>
    <row r="1803" spans="1:5">
      <c r="A1803" t="s">
        <v>17105</v>
      </c>
      <c r="B1803" t="s">
        <v>17106</v>
      </c>
      <c r="C1803" t="s">
        <v>14886</v>
      </c>
      <c r="D1803" t="s">
        <v>14250</v>
      </c>
      <c r="E1803" t="s">
        <v>14251</v>
      </c>
    </row>
    <row r="1804" spans="1:5">
      <c r="A1804" t="s">
        <v>17107</v>
      </c>
      <c r="B1804" t="s">
        <v>17108</v>
      </c>
      <c r="C1804" t="s">
        <v>14886</v>
      </c>
      <c r="D1804" t="s">
        <v>14250</v>
      </c>
      <c r="E1804" t="s">
        <v>14251</v>
      </c>
    </row>
    <row r="1805" spans="1:5">
      <c r="A1805" t="s">
        <v>17109</v>
      </c>
      <c r="B1805" t="s">
        <v>17110</v>
      </c>
      <c r="C1805" t="s">
        <v>14949</v>
      </c>
      <c r="D1805" t="s">
        <v>14909</v>
      </c>
      <c r="E1805" t="s">
        <v>14910</v>
      </c>
    </row>
    <row r="1806" spans="1:5">
      <c r="A1806" t="s">
        <v>2158</v>
      </c>
      <c r="B1806" t="s">
        <v>17111</v>
      </c>
      <c r="C1806" t="s">
        <v>14240</v>
      </c>
      <c r="D1806" t="s">
        <v>13872</v>
      </c>
      <c r="E1806" t="s">
        <v>13873</v>
      </c>
    </row>
    <row r="1807" spans="1:5">
      <c r="A1807" t="s">
        <v>17112</v>
      </c>
      <c r="B1807" t="s">
        <v>17113</v>
      </c>
      <c r="C1807" t="s">
        <v>17114</v>
      </c>
      <c r="D1807" t="s">
        <v>14909</v>
      </c>
      <c r="E1807" t="s">
        <v>14910</v>
      </c>
    </row>
    <row r="1808" spans="1:5">
      <c r="A1808" t="s">
        <v>17115</v>
      </c>
      <c r="B1808" t="s">
        <v>17116</v>
      </c>
      <c r="C1808" t="s">
        <v>17117</v>
      </c>
      <c r="D1808" t="s">
        <v>13872</v>
      </c>
      <c r="E1808" t="s">
        <v>13873</v>
      </c>
    </row>
    <row r="1809" spans="1:5">
      <c r="A1809" t="s">
        <v>17118</v>
      </c>
      <c r="B1809" t="s">
        <v>17119</v>
      </c>
      <c r="C1809" t="s">
        <v>14630</v>
      </c>
      <c r="D1809" t="s">
        <v>13946</v>
      </c>
      <c r="E1809" t="s">
        <v>13947</v>
      </c>
    </row>
    <row r="1810" spans="1:5">
      <c r="A1810" t="s">
        <v>17120</v>
      </c>
      <c r="B1810" t="s">
        <v>17121</v>
      </c>
      <c r="C1810" t="s">
        <v>15695</v>
      </c>
      <c r="D1810" t="s">
        <v>15695</v>
      </c>
      <c r="E1810" t="s">
        <v>15696</v>
      </c>
    </row>
    <row r="1811" spans="1:5">
      <c r="A1811" t="s">
        <v>17122</v>
      </c>
      <c r="B1811" t="s">
        <v>17123</v>
      </c>
      <c r="C1811" t="s">
        <v>17124</v>
      </c>
      <c r="D1811" t="s">
        <v>14327</v>
      </c>
      <c r="E1811" t="s">
        <v>14328</v>
      </c>
    </row>
    <row r="1812" spans="1:5">
      <c r="A1812" t="s">
        <v>17125</v>
      </c>
      <c r="B1812" t="s">
        <v>17126</v>
      </c>
      <c r="C1812" t="s">
        <v>16117</v>
      </c>
      <c r="D1812" t="s">
        <v>14672</v>
      </c>
      <c r="E1812" t="s">
        <v>16118</v>
      </c>
    </row>
    <row r="1813" spans="1:5">
      <c r="A1813" t="s">
        <v>17127</v>
      </c>
      <c r="B1813" t="s">
        <v>17128</v>
      </c>
      <c r="C1813" t="s">
        <v>17129</v>
      </c>
      <c r="D1813" t="s">
        <v>13989</v>
      </c>
      <c r="E1813" t="s">
        <v>13990</v>
      </c>
    </row>
    <row r="1814" spans="1:5">
      <c r="A1814" t="s">
        <v>17130</v>
      </c>
      <c r="B1814" t="s">
        <v>17131</v>
      </c>
      <c r="C1814" t="s">
        <v>16266</v>
      </c>
      <c r="D1814" t="s">
        <v>14021</v>
      </c>
      <c r="E1814" t="s">
        <v>14022</v>
      </c>
    </row>
    <row r="1815" spans="1:5">
      <c r="A1815" t="s">
        <v>17132</v>
      </c>
      <c r="B1815" t="s">
        <v>17133</v>
      </c>
      <c r="C1815" t="s">
        <v>17134</v>
      </c>
      <c r="D1815" t="s">
        <v>13885</v>
      </c>
      <c r="E1815" t="s">
        <v>13886</v>
      </c>
    </row>
    <row r="1816" spans="1:5">
      <c r="A1816" t="s">
        <v>3019</v>
      </c>
      <c r="B1816" t="s">
        <v>17135</v>
      </c>
      <c r="C1816" t="s">
        <v>14945</v>
      </c>
      <c r="D1816" t="s">
        <v>14455</v>
      </c>
      <c r="E1816" t="s">
        <v>14456</v>
      </c>
    </row>
    <row r="1817" spans="1:5">
      <c r="A1817" t="s">
        <v>17136</v>
      </c>
      <c r="B1817" t="s">
        <v>17137</v>
      </c>
      <c r="C1817" t="s">
        <v>14397</v>
      </c>
      <c r="D1817" t="s">
        <v>14397</v>
      </c>
      <c r="E1817" t="s">
        <v>14398</v>
      </c>
    </row>
    <row r="1818" spans="1:5">
      <c r="A1818" t="s">
        <v>17138</v>
      </c>
      <c r="B1818" t="s">
        <v>17139</v>
      </c>
      <c r="C1818" t="s">
        <v>17140</v>
      </c>
      <c r="D1818" t="s">
        <v>14021</v>
      </c>
      <c r="E1818" t="s">
        <v>14022</v>
      </c>
    </row>
    <row r="1819" spans="1:5">
      <c r="A1819" t="s">
        <v>17141</v>
      </c>
      <c r="B1819" t="s">
        <v>17142</v>
      </c>
      <c r="C1819" t="s">
        <v>13967</v>
      </c>
      <c r="D1819" t="s">
        <v>13968</v>
      </c>
      <c r="E1819" t="s">
        <v>13969</v>
      </c>
    </row>
    <row r="1820" spans="1:5">
      <c r="A1820" t="s">
        <v>17143</v>
      </c>
      <c r="B1820" t="s">
        <v>17144</v>
      </c>
      <c r="C1820" t="s">
        <v>15575</v>
      </c>
      <c r="D1820" t="s">
        <v>13927</v>
      </c>
      <c r="E1820" t="s">
        <v>13928</v>
      </c>
    </row>
    <row r="1821" spans="1:5">
      <c r="A1821" t="s">
        <v>542</v>
      </c>
      <c r="B1821" t="s">
        <v>17145</v>
      </c>
      <c r="C1821" t="s">
        <v>14034</v>
      </c>
      <c r="D1821" t="s">
        <v>13901</v>
      </c>
      <c r="E1821" t="s">
        <v>13902</v>
      </c>
    </row>
    <row r="1822" spans="1:5">
      <c r="A1822" t="s">
        <v>214</v>
      </c>
      <c r="B1822" t="s">
        <v>17146</v>
      </c>
      <c r="C1822" t="s">
        <v>14034</v>
      </c>
      <c r="D1822" t="s">
        <v>13901</v>
      </c>
      <c r="E1822" t="s">
        <v>13902</v>
      </c>
    </row>
    <row r="1823" spans="1:5">
      <c r="A1823" t="s">
        <v>17147</v>
      </c>
      <c r="B1823" t="s">
        <v>17148</v>
      </c>
      <c r="C1823" t="s">
        <v>13932</v>
      </c>
      <c r="D1823" t="s">
        <v>13932</v>
      </c>
      <c r="E1823" t="s">
        <v>13933</v>
      </c>
    </row>
    <row r="1824" spans="1:5">
      <c r="A1824" t="s">
        <v>17149</v>
      </c>
      <c r="B1824" t="s">
        <v>17150</v>
      </c>
      <c r="C1824" t="s">
        <v>15729</v>
      </c>
      <c r="D1824" t="s">
        <v>14545</v>
      </c>
      <c r="E1824" t="s">
        <v>14546</v>
      </c>
    </row>
    <row r="1825" spans="1:5">
      <c r="A1825" t="s">
        <v>17151</v>
      </c>
      <c r="B1825" t="s">
        <v>17152</v>
      </c>
      <c r="C1825" t="s">
        <v>16901</v>
      </c>
      <c r="D1825" t="s">
        <v>13968</v>
      </c>
      <c r="E1825" t="s">
        <v>13969</v>
      </c>
    </row>
    <row r="1826" spans="1:5">
      <c r="A1826" t="s">
        <v>17153</v>
      </c>
      <c r="B1826" t="s">
        <v>17154</v>
      </c>
      <c r="C1826" t="s">
        <v>17155</v>
      </c>
      <c r="D1826" t="s">
        <v>13916</v>
      </c>
      <c r="E1826" t="s">
        <v>14184</v>
      </c>
    </row>
    <row r="1827" spans="1:5">
      <c r="A1827" t="s">
        <v>17156</v>
      </c>
      <c r="B1827" t="s">
        <v>17157</v>
      </c>
      <c r="C1827" t="s">
        <v>13900</v>
      </c>
      <c r="D1827" t="s">
        <v>13901</v>
      </c>
      <c r="E1827" t="s">
        <v>13902</v>
      </c>
    </row>
    <row r="1828" spans="1:5">
      <c r="A1828" t="s">
        <v>17158</v>
      </c>
      <c r="B1828" t="s">
        <v>17159</v>
      </c>
      <c r="C1828" t="s">
        <v>13880</v>
      </c>
      <c r="D1828" t="s">
        <v>13881</v>
      </c>
      <c r="E1828" t="s">
        <v>13882</v>
      </c>
    </row>
    <row r="1829" spans="1:5">
      <c r="A1829" t="s">
        <v>17160</v>
      </c>
      <c r="B1829" t="s">
        <v>17161</v>
      </c>
      <c r="C1829" t="s">
        <v>17162</v>
      </c>
      <c r="D1829" t="s">
        <v>14493</v>
      </c>
      <c r="E1829" t="s">
        <v>15453</v>
      </c>
    </row>
    <row r="1830" spans="1:5">
      <c r="A1830" t="s">
        <v>2247</v>
      </c>
      <c r="B1830" t="s">
        <v>17163</v>
      </c>
      <c r="C1830" t="s">
        <v>15255</v>
      </c>
      <c r="D1830" t="s">
        <v>14397</v>
      </c>
      <c r="E1830" t="s">
        <v>14398</v>
      </c>
    </row>
    <row r="1831" spans="1:5">
      <c r="A1831" t="s">
        <v>17164</v>
      </c>
      <c r="B1831" t="s">
        <v>17165</v>
      </c>
      <c r="C1831" t="s">
        <v>14342</v>
      </c>
      <c r="D1831" t="s">
        <v>14195</v>
      </c>
      <c r="E1831" t="s">
        <v>14196</v>
      </c>
    </row>
    <row r="1832" spans="1:5">
      <c r="A1832" t="s">
        <v>17166</v>
      </c>
      <c r="B1832" t="s">
        <v>17167</v>
      </c>
      <c r="C1832" t="s">
        <v>14012</v>
      </c>
      <c r="D1832" t="s">
        <v>13927</v>
      </c>
      <c r="E1832" t="s">
        <v>13928</v>
      </c>
    </row>
    <row r="1833" spans="1:5">
      <c r="A1833" t="s">
        <v>3498</v>
      </c>
      <c r="B1833" t="s">
        <v>17168</v>
      </c>
      <c r="C1833" t="s">
        <v>17169</v>
      </c>
      <c r="D1833" t="s">
        <v>13935</v>
      </c>
      <c r="E1833" t="s">
        <v>13936</v>
      </c>
    </row>
    <row r="1834" spans="1:5">
      <c r="A1834" t="s">
        <v>3567</v>
      </c>
      <c r="B1834" t="s">
        <v>17170</v>
      </c>
      <c r="C1834" t="s">
        <v>13935</v>
      </c>
      <c r="D1834" t="s">
        <v>13935</v>
      </c>
      <c r="E1834" t="s">
        <v>13936</v>
      </c>
    </row>
    <row r="1835" spans="1:5">
      <c r="A1835" t="s">
        <v>682</v>
      </c>
      <c r="B1835" t="s">
        <v>17171</v>
      </c>
      <c r="C1835" t="s">
        <v>13986</v>
      </c>
      <c r="D1835" t="s">
        <v>13901</v>
      </c>
      <c r="E1835" t="s">
        <v>13902</v>
      </c>
    </row>
    <row r="1836" spans="1:5">
      <c r="A1836" t="s">
        <v>17172</v>
      </c>
      <c r="B1836" t="s">
        <v>17173</v>
      </c>
      <c r="C1836" t="s">
        <v>14551</v>
      </c>
      <c r="D1836" t="s">
        <v>14165</v>
      </c>
      <c r="E1836" t="s">
        <v>14166</v>
      </c>
    </row>
    <row r="1837" spans="1:5">
      <c r="A1837" t="s">
        <v>17174</v>
      </c>
      <c r="B1837" t="s">
        <v>17175</v>
      </c>
      <c r="C1837" t="s">
        <v>14519</v>
      </c>
      <c r="D1837" t="s">
        <v>14482</v>
      </c>
      <c r="E1837" t="s">
        <v>14483</v>
      </c>
    </row>
    <row r="1838" spans="1:5">
      <c r="A1838" t="s">
        <v>17176</v>
      </c>
      <c r="B1838" t="s">
        <v>17177</v>
      </c>
      <c r="C1838" t="s">
        <v>16193</v>
      </c>
      <c r="D1838" t="s">
        <v>14781</v>
      </c>
      <c r="E1838" t="s">
        <v>14782</v>
      </c>
    </row>
    <row r="1839" spans="1:5">
      <c r="A1839" t="s">
        <v>17178</v>
      </c>
      <c r="B1839" t="s">
        <v>17179</v>
      </c>
      <c r="C1839" t="s">
        <v>17180</v>
      </c>
      <c r="D1839" t="s">
        <v>14058</v>
      </c>
      <c r="E1839" t="s">
        <v>14059</v>
      </c>
    </row>
    <row r="1840" spans="1:5">
      <c r="A1840" t="s">
        <v>17181</v>
      </c>
      <c r="B1840" t="s">
        <v>17182</v>
      </c>
      <c r="C1840" t="s">
        <v>17183</v>
      </c>
      <c r="D1840" t="s">
        <v>13872</v>
      </c>
      <c r="E1840" t="s">
        <v>13873</v>
      </c>
    </row>
    <row r="1841" spans="1:5">
      <c r="A1841" t="s">
        <v>17184</v>
      </c>
      <c r="B1841" t="s">
        <v>17185</v>
      </c>
      <c r="C1841" t="s">
        <v>14868</v>
      </c>
      <c r="D1841" t="s">
        <v>14040</v>
      </c>
      <c r="E1841" t="s">
        <v>14041</v>
      </c>
    </row>
    <row r="1842" spans="1:5">
      <c r="A1842" t="s">
        <v>17186</v>
      </c>
      <c r="B1842" t="s">
        <v>17187</v>
      </c>
      <c r="C1842" t="s">
        <v>14162</v>
      </c>
      <c r="D1842" t="s">
        <v>13946</v>
      </c>
      <c r="E1842" t="s">
        <v>13947</v>
      </c>
    </row>
    <row r="1843" spans="1:5">
      <c r="A1843" t="s">
        <v>17188</v>
      </c>
      <c r="B1843" t="s">
        <v>17189</v>
      </c>
      <c r="C1843" t="s">
        <v>15341</v>
      </c>
      <c r="D1843" t="s">
        <v>13872</v>
      </c>
      <c r="E1843" t="s">
        <v>13873</v>
      </c>
    </row>
    <row r="1844" spans="1:5">
      <c r="A1844" t="s">
        <v>2887</v>
      </c>
      <c r="B1844" t="s">
        <v>17190</v>
      </c>
      <c r="C1844" t="s">
        <v>14707</v>
      </c>
      <c r="D1844" t="s">
        <v>13916</v>
      </c>
      <c r="E1844" t="s">
        <v>14184</v>
      </c>
    </row>
    <row r="1845" spans="1:5">
      <c r="A1845" t="s">
        <v>17191</v>
      </c>
      <c r="B1845" t="s">
        <v>17192</v>
      </c>
      <c r="C1845" t="s">
        <v>14493</v>
      </c>
      <c r="D1845" t="s">
        <v>14250</v>
      </c>
      <c r="E1845" t="s">
        <v>14251</v>
      </c>
    </row>
    <row r="1846" spans="1:5">
      <c r="A1846" t="s">
        <v>17193</v>
      </c>
      <c r="B1846" t="s">
        <v>17194</v>
      </c>
      <c r="C1846" t="s">
        <v>14493</v>
      </c>
      <c r="D1846" t="s">
        <v>14250</v>
      </c>
      <c r="E1846" t="s">
        <v>14251</v>
      </c>
    </row>
    <row r="1847" spans="1:5">
      <c r="A1847" t="s">
        <v>17195</v>
      </c>
      <c r="B1847" t="s">
        <v>17196</v>
      </c>
      <c r="C1847" t="s">
        <v>13871</v>
      </c>
      <c r="D1847" t="s">
        <v>13872</v>
      </c>
      <c r="E1847" t="s">
        <v>13873</v>
      </c>
    </row>
    <row r="1848" spans="1:5">
      <c r="A1848" t="s">
        <v>17197</v>
      </c>
      <c r="B1848" t="s">
        <v>17198</v>
      </c>
      <c r="C1848" t="s">
        <v>14201</v>
      </c>
      <c r="D1848" t="s">
        <v>14040</v>
      </c>
      <c r="E1848" t="s">
        <v>14041</v>
      </c>
    </row>
    <row r="1849" spans="1:5">
      <c r="A1849" t="s">
        <v>17199</v>
      </c>
      <c r="B1849" t="s">
        <v>17200</v>
      </c>
      <c r="C1849" t="s">
        <v>14132</v>
      </c>
      <c r="D1849" t="s">
        <v>14133</v>
      </c>
      <c r="E1849" t="s">
        <v>14134</v>
      </c>
    </row>
    <row r="1850" spans="1:5">
      <c r="A1850" t="s">
        <v>17201</v>
      </c>
      <c r="B1850" t="s">
        <v>17202</v>
      </c>
      <c r="C1850" t="s">
        <v>14154</v>
      </c>
      <c r="D1850" t="s">
        <v>14140</v>
      </c>
      <c r="E1850" t="s">
        <v>14141</v>
      </c>
    </row>
    <row r="1851" spans="1:5">
      <c r="A1851" t="s">
        <v>17203</v>
      </c>
      <c r="B1851" t="s">
        <v>17204</v>
      </c>
      <c r="C1851" t="s">
        <v>15747</v>
      </c>
      <c r="D1851" t="s">
        <v>14306</v>
      </c>
      <c r="E1851" t="s">
        <v>14307</v>
      </c>
    </row>
    <row r="1852" spans="1:5">
      <c r="A1852" t="s">
        <v>17205</v>
      </c>
      <c r="B1852" t="s">
        <v>17206</v>
      </c>
      <c r="C1852" t="s">
        <v>14848</v>
      </c>
      <c r="D1852" t="s">
        <v>14259</v>
      </c>
      <c r="E1852" t="s">
        <v>14260</v>
      </c>
    </row>
    <row r="1853" spans="1:5">
      <c r="A1853" t="s">
        <v>17207</v>
      </c>
      <c r="B1853" t="s">
        <v>17208</v>
      </c>
      <c r="C1853" t="s">
        <v>15103</v>
      </c>
      <c r="D1853" t="s">
        <v>14081</v>
      </c>
      <c r="E1853" t="s">
        <v>14082</v>
      </c>
    </row>
    <row r="1854" spans="1:5">
      <c r="A1854" t="s">
        <v>17209</v>
      </c>
      <c r="B1854" t="s">
        <v>17210</v>
      </c>
      <c r="C1854" t="s">
        <v>14865</v>
      </c>
      <c r="D1854" t="s">
        <v>14301</v>
      </c>
      <c r="E1854" t="s">
        <v>14302</v>
      </c>
    </row>
    <row r="1855" spans="1:5">
      <c r="A1855" t="s">
        <v>17211</v>
      </c>
      <c r="B1855" t="s">
        <v>17212</v>
      </c>
      <c r="C1855" t="s">
        <v>16222</v>
      </c>
      <c r="D1855" t="s">
        <v>14195</v>
      </c>
      <c r="E1855" t="s">
        <v>14196</v>
      </c>
    </row>
    <row r="1856" spans="1:5">
      <c r="A1856" t="s">
        <v>17213</v>
      </c>
      <c r="B1856" t="s">
        <v>17214</v>
      </c>
      <c r="C1856" t="s">
        <v>14513</v>
      </c>
      <c r="D1856" t="s">
        <v>13923</v>
      </c>
      <c r="E1856" t="s">
        <v>13924</v>
      </c>
    </row>
    <row r="1857" spans="1:5">
      <c r="A1857" t="s">
        <v>3494</v>
      </c>
      <c r="B1857" t="s">
        <v>17215</v>
      </c>
      <c r="C1857" t="s">
        <v>14092</v>
      </c>
      <c r="D1857" t="s">
        <v>13994</v>
      </c>
      <c r="E1857" t="s">
        <v>13995</v>
      </c>
    </row>
    <row r="1858" spans="1:5">
      <c r="A1858" t="s">
        <v>17216</v>
      </c>
      <c r="B1858" t="s">
        <v>17217</v>
      </c>
      <c r="C1858" t="s">
        <v>17218</v>
      </c>
      <c r="D1858" t="s">
        <v>14620</v>
      </c>
      <c r="E1858" t="s">
        <v>14621</v>
      </c>
    </row>
    <row r="1859" spans="1:5">
      <c r="A1859" t="s">
        <v>3540</v>
      </c>
      <c r="B1859" t="s">
        <v>17219</v>
      </c>
      <c r="C1859" t="s">
        <v>14275</v>
      </c>
      <c r="D1859" t="s">
        <v>13881</v>
      </c>
      <c r="E1859" t="s">
        <v>13882</v>
      </c>
    </row>
    <row r="1860" spans="1:5">
      <c r="A1860" t="s">
        <v>17220</v>
      </c>
      <c r="B1860" t="s">
        <v>17221</v>
      </c>
      <c r="C1860" t="s">
        <v>13943</v>
      </c>
      <c r="D1860" t="s">
        <v>13901</v>
      </c>
      <c r="E1860" t="s">
        <v>13902</v>
      </c>
    </row>
    <row r="1861" spans="1:5">
      <c r="A1861" t="s">
        <v>17222</v>
      </c>
      <c r="B1861" t="s">
        <v>17223</v>
      </c>
      <c r="C1861" t="s">
        <v>13988</v>
      </c>
      <c r="D1861" t="s">
        <v>13989</v>
      </c>
      <c r="E1861" t="s">
        <v>13990</v>
      </c>
    </row>
    <row r="1862" spans="1:5">
      <c r="A1862" t="s">
        <v>17224</v>
      </c>
      <c r="B1862" t="s">
        <v>17225</v>
      </c>
      <c r="C1862" t="s">
        <v>13988</v>
      </c>
      <c r="D1862" t="s">
        <v>13989</v>
      </c>
      <c r="E1862" t="s">
        <v>13990</v>
      </c>
    </row>
    <row r="1863" spans="1:5">
      <c r="A1863" t="s">
        <v>17226</v>
      </c>
      <c r="B1863" t="s">
        <v>17227</v>
      </c>
      <c r="C1863" t="s">
        <v>14118</v>
      </c>
      <c r="D1863" t="s">
        <v>15333</v>
      </c>
      <c r="E1863" t="s">
        <v>15334</v>
      </c>
    </row>
    <row r="1864" spans="1:5">
      <c r="A1864" t="s">
        <v>17228</v>
      </c>
      <c r="B1864" t="s">
        <v>17229</v>
      </c>
      <c r="C1864" t="s">
        <v>14061</v>
      </c>
      <c r="D1864" t="s">
        <v>13913</v>
      </c>
      <c r="E1864" t="s">
        <v>13914</v>
      </c>
    </row>
    <row r="1865" spans="1:5">
      <c r="A1865" t="s">
        <v>17230</v>
      </c>
      <c r="B1865" t="s">
        <v>17231</v>
      </c>
      <c r="C1865" t="s">
        <v>16268</v>
      </c>
      <c r="D1865" t="s">
        <v>13876</v>
      </c>
      <c r="E1865" t="s">
        <v>13877</v>
      </c>
    </row>
    <row r="1866" spans="1:5">
      <c r="A1866" t="s">
        <v>17232</v>
      </c>
      <c r="B1866" t="s">
        <v>17233</v>
      </c>
      <c r="C1866" t="s">
        <v>17234</v>
      </c>
      <c r="D1866" t="s">
        <v>14173</v>
      </c>
      <c r="E1866" t="s">
        <v>14174</v>
      </c>
    </row>
    <row r="1867" spans="1:5">
      <c r="A1867" t="s">
        <v>2777</v>
      </c>
      <c r="B1867" t="s">
        <v>17235</v>
      </c>
      <c r="C1867" t="s">
        <v>16296</v>
      </c>
      <c r="D1867" t="s">
        <v>13932</v>
      </c>
      <c r="E1867" t="s">
        <v>13933</v>
      </c>
    </row>
    <row r="1868" spans="1:5">
      <c r="A1868" t="s">
        <v>17236</v>
      </c>
      <c r="B1868" t="s">
        <v>17237</v>
      </c>
      <c r="C1868" t="s">
        <v>13988</v>
      </c>
      <c r="D1868" t="s">
        <v>13989</v>
      </c>
      <c r="E1868" t="s">
        <v>13990</v>
      </c>
    </row>
    <row r="1869" spans="1:5">
      <c r="A1869" t="s">
        <v>17238</v>
      </c>
      <c r="B1869" t="s">
        <v>17239</v>
      </c>
      <c r="C1869" t="s">
        <v>14943</v>
      </c>
      <c r="D1869" t="s">
        <v>14505</v>
      </c>
      <c r="E1869" t="s">
        <v>14506</v>
      </c>
    </row>
    <row r="1870" spans="1:5">
      <c r="A1870" t="s">
        <v>2641</v>
      </c>
      <c r="B1870" t="s">
        <v>17240</v>
      </c>
      <c r="C1870" t="s">
        <v>14413</v>
      </c>
      <c r="D1870" t="s">
        <v>14002</v>
      </c>
      <c r="E1870" t="s">
        <v>14003</v>
      </c>
    </row>
    <row r="1871" spans="1:5">
      <c r="A1871" t="s">
        <v>3362</v>
      </c>
      <c r="B1871" t="s">
        <v>17241</v>
      </c>
      <c r="C1871" t="s">
        <v>13935</v>
      </c>
      <c r="D1871" t="s">
        <v>13935</v>
      </c>
      <c r="E1871" t="s">
        <v>13936</v>
      </c>
    </row>
    <row r="1872" spans="1:5">
      <c r="A1872" t="s">
        <v>2986</v>
      </c>
      <c r="B1872" t="s">
        <v>17242</v>
      </c>
      <c r="C1872" t="s">
        <v>14505</v>
      </c>
      <c r="D1872" t="s">
        <v>13913</v>
      </c>
      <c r="E1872" t="s">
        <v>13914</v>
      </c>
    </row>
    <row r="1873" spans="1:5">
      <c r="A1873" t="s">
        <v>2433</v>
      </c>
      <c r="B1873" t="s">
        <v>17243</v>
      </c>
      <c r="C1873" t="s">
        <v>14380</v>
      </c>
      <c r="D1873" t="s">
        <v>14381</v>
      </c>
      <c r="E1873" t="s">
        <v>14382</v>
      </c>
    </row>
    <row r="1874" spans="1:5">
      <c r="A1874" t="s">
        <v>3307</v>
      </c>
      <c r="B1874" t="s">
        <v>17244</v>
      </c>
      <c r="C1874" t="s">
        <v>13922</v>
      </c>
      <c r="D1874" t="s">
        <v>13923</v>
      </c>
      <c r="E1874" t="s">
        <v>13924</v>
      </c>
    </row>
    <row r="1875" spans="1:5">
      <c r="A1875" t="s">
        <v>17245</v>
      </c>
      <c r="B1875" t="s">
        <v>17246</v>
      </c>
      <c r="C1875" t="s">
        <v>14061</v>
      </c>
      <c r="D1875" t="s">
        <v>13913</v>
      </c>
      <c r="E1875" t="s">
        <v>13914</v>
      </c>
    </row>
    <row r="1876" spans="1:5">
      <c r="A1876" t="s">
        <v>17247</v>
      </c>
      <c r="B1876" t="s">
        <v>17248</v>
      </c>
      <c r="C1876" t="s">
        <v>14001</v>
      </c>
      <c r="D1876" t="s">
        <v>14002</v>
      </c>
      <c r="E1876" t="s">
        <v>14003</v>
      </c>
    </row>
    <row r="1877" spans="1:5">
      <c r="A1877" t="s">
        <v>17249</v>
      </c>
      <c r="B1877" t="s">
        <v>17250</v>
      </c>
      <c r="C1877" t="s">
        <v>17251</v>
      </c>
      <c r="D1877" t="s">
        <v>14834</v>
      </c>
      <c r="E1877" t="s">
        <v>14835</v>
      </c>
    </row>
    <row r="1878" spans="1:5">
      <c r="A1878" t="s">
        <v>17252</v>
      </c>
      <c r="B1878" t="s">
        <v>17253</v>
      </c>
      <c r="C1878" t="s">
        <v>16953</v>
      </c>
      <c r="D1878" t="s">
        <v>13889</v>
      </c>
      <c r="E1878" t="s">
        <v>13890</v>
      </c>
    </row>
    <row r="1879" spans="1:5">
      <c r="A1879" t="s">
        <v>3048</v>
      </c>
      <c r="B1879" t="s">
        <v>17254</v>
      </c>
      <c r="C1879" t="s">
        <v>17044</v>
      </c>
      <c r="D1879" t="s">
        <v>17045</v>
      </c>
      <c r="E1879" t="s">
        <v>17046</v>
      </c>
    </row>
    <row r="1880" spans="1:5">
      <c r="A1880" t="s">
        <v>17255</v>
      </c>
      <c r="B1880" t="s">
        <v>17256</v>
      </c>
      <c r="C1880" t="s">
        <v>13909</v>
      </c>
      <c r="D1880" t="s">
        <v>13901</v>
      </c>
      <c r="E1880" t="s">
        <v>13902</v>
      </c>
    </row>
    <row r="1881" spans="1:5">
      <c r="A1881" t="s">
        <v>2070</v>
      </c>
      <c r="B1881" t="s">
        <v>17257</v>
      </c>
      <c r="C1881" t="s">
        <v>14240</v>
      </c>
      <c r="D1881" t="s">
        <v>13872</v>
      </c>
      <c r="E1881" t="s">
        <v>13873</v>
      </c>
    </row>
    <row r="1882" spans="1:5">
      <c r="A1882" t="s">
        <v>2063</v>
      </c>
      <c r="B1882" t="s">
        <v>17258</v>
      </c>
      <c r="C1882" t="s">
        <v>13871</v>
      </c>
      <c r="D1882" t="s">
        <v>13872</v>
      </c>
      <c r="E1882" t="s">
        <v>13873</v>
      </c>
    </row>
    <row r="1883" spans="1:5">
      <c r="A1883" t="s">
        <v>17259</v>
      </c>
      <c r="B1883" t="s">
        <v>17260</v>
      </c>
      <c r="C1883" t="s">
        <v>14001</v>
      </c>
      <c r="D1883" t="s">
        <v>14002</v>
      </c>
      <c r="E1883" t="s">
        <v>14003</v>
      </c>
    </row>
    <row r="1884" spans="1:5">
      <c r="A1884" t="s">
        <v>101</v>
      </c>
      <c r="B1884" t="s">
        <v>17261</v>
      </c>
      <c r="C1884" t="s">
        <v>13905</v>
      </c>
      <c r="D1884" t="s">
        <v>13901</v>
      </c>
      <c r="E1884" t="s">
        <v>13902</v>
      </c>
    </row>
    <row r="1885" spans="1:5">
      <c r="A1885" t="s">
        <v>17262</v>
      </c>
      <c r="B1885" t="s">
        <v>17263</v>
      </c>
      <c r="C1885" t="s">
        <v>13935</v>
      </c>
      <c r="D1885" t="s">
        <v>13935</v>
      </c>
      <c r="E1885" t="s">
        <v>13936</v>
      </c>
    </row>
    <row r="1886" spans="1:5">
      <c r="A1886" t="s">
        <v>17264</v>
      </c>
      <c r="B1886" t="s">
        <v>14530</v>
      </c>
      <c r="C1886" t="s">
        <v>14531</v>
      </c>
      <c r="D1886" t="s">
        <v>14243</v>
      </c>
      <c r="E1886" t="s">
        <v>14244</v>
      </c>
    </row>
    <row r="1887" spans="1:5">
      <c r="A1887" t="s">
        <v>17265</v>
      </c>
      <c r="B1887" t="s">
        <v>17266</v>
      </c>
      <c r="C1887" t="s">
        <v>17134</v>
      </c>
      <c r="D1887" t="s">
        <v>13885</v>
      </c>
      <c r="E1887" t="s">
        <v>13886</v>
      </c>
    </row>
    <row r="1888" spans="1:5">
      <c r="A1888" t="s">
        <v>17267</v>
      </c>
      <c r="B1888" t="s">
        <v>17268</v>
      </c>
      <c r="C1888" t="s">
        <v>13943</v>
      </c>
      <c r="D1888" t="s">
        <v>13901</v>
      </c>
      <c r="E1888" t="s">
        <v>13902</v>
      </c>
    </row>
    <row r="1889" spans="1:5">
      <c r="A1889" t="s">
        <v>1833</v>
      </c>
      <c r="B1889" t="s">
        <v>17269</v>
      </c>
      <c r="C1889" t="s">
        <v>17022</v>
      </c>
      <c r="D1889" t="s">
        <v>14259</v>
      </c>
      <c r="E1889" t="s">
        <v>14260</v>
      </c>
    </row>
    <row r="1890" spans="1:5">
      <c r="A1890" t="s">
        <v>17270</v>
      </c>
      <c r="B1890" t="s">
        <v>17271</v>
      </c>
      <c r="C1890" t="s">
        <v>14610</v>
      </c>
      <c r="D1890" t="s">
        <v>13897</v>
      </c>
      <c r="E1890" t="s">
        <v>13898</v>
      </c>
    </row>
    <row r="1891" spans="1:5">
      <c r="A1891" t="s">
        <v>3166</v>
      </c>
      <c r="B1891" t="s">
        <v>17272</v>
      </c>
      <c r="C1891" t="s">
        <v>14420</v>
      </c>
      <c r="D1891" t="s">
        <v>14073</v>
      </c>
      <c r="E1891" t="s">
        <v>14074</v>
      </c>
    </row>
    <row r="1892" spans="1:5">
      <c r="A1892" t="s">
        <v>17273</v>
      </c>
      <c r="B1892" t="s">
        <v>17274</v>
      </c>
      <c r="C1892" t="s">
        <v>14620</v>
      </c>
      <c r="D1892" t="s">
        <v>14620</v>
      </c>
      <c r="E1892" t="s">
        <v>14621</v>
      </c>
    </row>
    <row r="1893" spans="1:5">
      <c r="A1893" t="s">
        <v>17275</v>
      </c>
      <c r="B1893" t="s">
        <v>17276</v>
      </c>
      <c r="C1893" t="s">
        <v>17277</v>
      </c>
      <c r="D1893" t="s">
        <v>14408</v>
      </c>
      <c r="E1893" t="s">
        <v>14409</v>
      </c>
    </row>
    <row r="1894" spans="1:5">
      <c r="A1894" t="s">
        <v>61</v>
      </c>
      <c r="B1894" t="s">
        <v>17278</v>
      </c>
      <c r="C1894" t="s">
        <v>14454</v>
      </c>
      <c r="D1894" t="s">
        <v>14455</v>
      </c>
      <c r="E1894" t="s">
        <v>14456</v>
      </c>
    </row>
    <row r="1895" spans="1:5">
      <c r="A1895" t="s">
        <v>3378</v>
      </c>
      <c r="B1895" t="s">
        <v>17279</v>
      </c>
      <c r="C1895" t="s">
        <v>13935</v>
      </c>
      <c r="D1895" t="s">
        <v>13935</v>
      </c>
      <c r="E1895" t="s">
        <v>13936</v>
      </c>
    </row>
    <row r="1896" spans="1:5">
      <c r="A1896" t="s">
        <v>17280</v>
      </c>
      <c r="B1896" t="s">
        <v>17281</v>
      </c>
      <c r="C1896" t="s">
        <v>14554</v>
      </c>
      <c r="D1896" t="s">
        <v>13901</v>
      </c>
      <c r="E1896" t="s">
        <v>13902</v>
      </c>
    </row>
    <row r="1897" spans="1:5">
      <c r="A1897" t="s">
        <v>17282</v>
      </c>
      <c r="B1897" t="s">
        <v>17283</v>
      </c>
      <c r="C1897" t="s">
        <v>14007</v>
      </c>
      <c r="D1897" t="s">
        <v>13989</v>
      </c>
      <c r="E1897" t="s">
        <v>13990</v>
      </c>
    </row>
    <row r="1898" spans="1:5">
      <c r="A1898" t="s">
        <v>304</v>
      </c>
      <c r="B1898" t="s">
        <v>17284</v>
      </c>
      <c r="C1898" t="s">
        <v>13905</v>
      </c>
      <c r="D1898" t="s">
        <v>13901</v>
      </c>
      <c r="E1898" t="s">
        <v>13902</v>
      </c>
    </row>
    <row r="1899" spans="1:5">
      <c r="A1899" t="s">
        <v>17285</v>
      </c>
      <c r="B1899" t="s">
        <v>17286</v>
      </c>
      <c r="C1899" t="s">
        <v>14021</v>
      </c>
      <c r="D1899" t="s">
        <v>14021</v>
      </c>
      <c r="E1899" t="s">
        <v>14022</v>
      </c>
    </row>
    <row r="1900" spans="1:5">
      <c r="A1900" t="s">
        <v>17287</v>
      </c>
      <c r="B1900" t="s">
        <v>17288</v>
      </c>
      <c r="C1900" t="s">
        <v>13916</v>
      </c>
      <c r="D1900" t="s">
        <v>13901</v>
      </c>
      <c r="E1900" t="s">
        <v>13902</v>
      </c>
    </row>
    <row r="1901" spans="1:5">
      <c r="A1901" t="s">
        <v>17289</v>
      </c>
      <c r="B1901" t="s">
        <v>17290</v>
      </c>
      <c r="C1901" t="s">
        <v>14886</v>
      </c>
      <c r="D1901" t="s">
        <v>14250</v>
      </c>
      <c r="E1901" t="s">
        <v>14251</v>
      </c>
    </row>
    <row r="1902" spans="1:5">
      <c r="A1902" t="s">
        <v>2561</v>
      </c>
      <c r="B1902" t="s">
        <v>17291</v>
      </c>
      <c r="C1902" t="s">
        <v>14001</v>
      </c>
      <c r="D1902" t="s">
        <v>14002</v>
      </c>
      <c r="E1902" t="s">
        <v>14003</v>
      </c>
    </row>
    <row r="1903" spans="1:5">
      <c r="A1903" t="s">
        <v>2190</v>
      </c>
      <c r="B1903" t="s">
        <v>17292</v>
      </c>
      <c r="C1903" t="s">
        <v>17293</v>
      </c>
      <c r="D1903" t="s">
        <v>14404</v>
      </c>
      <c r="E1903" t="s">
        <v>14405</v>
      </c>
    </row>
    <row r="1904" spans="1:5">
      <c r="A1904" t="s">
        <v>17294</v>
      </c>
      <c r="B1904" t="s">
        <v>17295</v>
      </c>
      <c r="C1904" t="s">
        <v>17296</v>
      </c>
      <c r="D1904" t="s">
        <v>15695</v>
      </c>
      <c r="E1904" t="s">
        <v>15696</v>
      </c>
    </row>
    <row r="1905" spans="1:5">
      <c r="A1905" t="s">
        <v>3093</v>
      </c>
      <c r="B1905" t="s">
        <v>17297</v>
      </c>
      <c r="C1905" t="s">
        <v>17298</v>
      </c>
      <c r="D1905" t="s">
        <v>14356</v>
      </c>
      <c r="E1905" t="s">
        <v>14357</v>
      </c>
    </row>
    <row r="1906" spans="1:5">
      <c r="A1906" t="s">
        <v>17299</v>
      </c>
      <c r="B1906" t="s">
        <v>17300</v>
      </c>
      <c r="C1906" t="s">
        <v>14501</v>
      </c>
      <c r="D1906" t="s">
        <v>13872</v>
      </c>
      <c r="E1906" t="s">
        <v>13873</v>
      </c>
    </row>
    <row r="1907" spans="1:5">
      <c r="A1907" t="s">
        <v>17301</v>
      </c>
      <c r="B1907" t="s">
        <v>17302</v>
      </c>
      <c r="C1907" t="s">
        <v>14001</v>
      </c>
      <c r="D1907" t="s">
        <v>14002</v>
      </c>
      <c r="E1907" t="s">
        <v>14003</v>
      </c>
    </row>
    <row r="1908" spans="1:5">
      <c r="A1908" t="s">
        <v>2324</v>
      </c>
      <c r="B1908" t="s">
        <v>17303</v>
      </c>
      <c r="C1908" t="s">
        <v>14021</v>
      </c>
      <c r="D1908" t="s">
        <v>14021</v>
      </c>
      <c r="E1908" t="s">
        <v>14022</v>
      </c>
    </row>
    <row r="1909" spans="1:5">
      <c r="A1909" t="s">
        <v>3394</v>
      </c>
      <c r="B1909" t="s">
        <v>17304</v>
      </c>
      <c r="C1909" t="s">
        <v>13935</v>
      </c>
      <c r="D1909" t="s">
        <v>13935</v>
      </c>
      <c r="E1909" t="s">
        <v>13936</v>
      </c>
    </row>
    <row r="1910" spans="1:5">
      <c r="A1910" t="s">
        <v>1826</v>
      </c>
      <c r="B1910" t="s">
        <v>17305</v>
      </c>
      <c r="C1910" t="s">
        <v>14100</v>
      </c>
      <c r="D1910" t="s">
        <v>13989</v>
      </c>
      <c r="E1910" t="s">
        <v>13990</v>
      </c>
    </row>
    <row r="1911" spans="1:5">
      <c r="A1911" t="s">
        <v>17306</v>
      </c>
      <c r="B1911" t="s">
        <v>17307</v>
      </c>
      <c r="C1911" t="s">
        <v>15671</v>
      </c>
      <c r="D1911" t="s">
        <v>14089</v>
      </c>
      <c r="E1911" t="s">
        <v>14090</v>
      </c>
    </row>
    <row r="1912" spans="1:5">
      <c r="A1912" t="s">
        <v>3433</v>
      </c>
      <c r="B1912" t="s">
        <v>17308</v>
      </c>
      <c r="C1912" t="s">
        <v>13880</v>
      </c>
      <c r="D1912" t="s">
        <v>13881</v>
      </c>
      <c r="E1912" t="s">
        <v>13882</v>
      </c>
    </row>
    <row r="1913" spans="1:5">
      <c r="A1913" t="s">
        <v>17309</v>
      </c>
      <c r="B1913" t="s">
        <v>17310</v>
      </c>
      <c r="C1913" t="s">
        <v>15318</v>
      </c>
      <c r="D1913" t="s">
        <v>14381</v>
      </c>
      <c r="E1913" t="s">
        <v>14382</v>
      </c>
    </row>
    <row r="1914" spans="1:5">
      <c r="A1914" t="s">
        <v>2497</v>
      </c>
      <c r="B1914" t="s">
        <v>17311</v>
      </c>
      <c r="C1914" t="s">
        <v>14001</v>
      </c>
      <c r="D1914" t="s">
        <v>14002</v>
      </c>
      <c r="E1914" t="s">
        <v>14003</v>
      </c>
    </row>
    <row r="1915" spans="1:5">
      <c r="A1915" t="s">
        <v>2921</v>
      </c>
      <c r="B1915" t="s">
        <v>17312</v>
      </c>
      <c r="C1915" t="s">
        <v>14061</v>
      </c>
      <c r="D1915" t="s">
        <v>13913</v>
      </c>
      <c r="E1915" t="s">
        <v>13914</v>
      </c>
    </row>
    <row r="1916" spans="1:5">
      <c r="A1916" t="s">
        <v>2769</v>
      </c>
      <c r="B1916" t="s">
        <v>17313</v>
      </c>
      <c r="C1916" t="s">
        <v>16296</v>
      </c>
      <c r="D1916" t="s">
        <v>13932</v>
      </c>
      <c r="E1916" t="s">
        <v>13933</v>
      </c>
    </row>
    <row r="1917" spans="1:5">
      <c r="A1917" t="s">
        <v>227</v>
      </c>
      <c r="B1917" t="s">
        <v>17314</v>
      </c>
      <c r="C1917" t="s">
        <v>13909</v>
      </c>
      <c r="D1917" t="s">
        <v>13901</v>
      </c>
      <c r="E1917" t="s">
        <v>13902</v>
      </c>
    </row>
    <row r="1918" spans="1:5">
      <c r="A1918" t="s">
        <v>17315</v>
      </c>
      <c r="B1918" t="s">
        <v>17316</v>
      </c>
      <c r="C1918" t="s">
        <v>17317</v>
      </c>
      <c r="D1918" t="s">
        <v>14211</v>
      </c>
      <c r="E1918" t="s">
        <v>14212</v>
      </c>
    </row>
    <row r="1919" spans="1:5">
      <c r="A1919" t="s">
        <v>17318</v>
      </c>
      <c r="B1919" t="s">
        <v>17319</v>
      </c>
      <c r="C1919" t="s">
        <v>15654</v>
      </c>
      <c r="D1919" t="s">
        <v>13923</v>
      </c>
      <c r="E1919" t="s">
        <v>13924</v>
      </c>
    </row>
    <row r="1920" spans="1:5">
      <c r="A1920" t="s">
        <v>17320</v>
      </c>
      <c r="B1920" t="s">
        <v>17321</v>
      </c>
      <c r="C1920" t="s">
        <v>14222</v>
      </c>
      <c r="D1920" t="s">
        <v>13901</v>
      </c>
      <c r="E1920" t="s">
        <v>13902</v>
      </c>
    </row>
    <row r="1921" spans="1:5">
      <c r="A1921" t="s">
        <v>17322</v>
      </c>
      <c r="B1921" t="s">
        <v>17323</v>
      </c>
      <c r="C1921" t="s">
        <v>15575</v>
      </c>
      <c r="D1921" t="s">
        <v>13927</v>
      </c>
      <c r="E1921" t="s">
        <v>13928</v>
      </c>
    </row>
    <row r="1922" spans="1:5">
      <c r="A1922" t="s">
        <v>17324</v>
      </c>
      <c r="B1922" t="s">
        <v>17325</v>
      </c>
      <c r="C1922" t="s">
        <v>13950</v>
      </c>
      <c r="D1922" t="s">
        <v>13951</v>
      </c>
      <c r="E1922" t="s">
        <v>13952</v>
      </c>
    </row>
    <row r="1923" spans="1:5">
      <c r="A1923" t="s">
        <v>17326</v>
      </c>
      <c r="B1923" t="s">
        <v>17327</v>
      </c>
      <c r="C1923" t="s">
        <v>16557</v>
      </c>
      <c r="D1923" t="s">
        <v>14489</v>
      </c>
      <c r="E1923" t="s">
        <v>14490</v>
      </c>
    </row>
    <row r="1924" spans="1:5">
      <c r="A1924" t="s">
        <v>2067</v>
      </c>
      <c r="B1924" t="s">
        <v>17328</v>
      </c>
      <c r="C1924" t="s">
        <v>13871</v>
      </c>
      <c r="D1924" t="s">
        <v>13872</v>
      </c>
      <c r="E1924" t="s">
        <v>13873</v>
      </c>
    </row>
    <row r="1925" spans="1:5">
      <c r="A1925" t="s">
        <v>17329</v>
      </c>
      <c r="B1925" t="s">
        <v>17330</v>
      </c>
      <c r="C1925" t="s">
        <v>14888</v>
      </c>
      <c r="D1925" t="s">
        <v>14889</v>
      </c>
      <c r="E1925" t="s">
        <v>14890</v>
      </c>
    </row>
    <row r="1926" spans="1:5">
      <c r="A1926" t="s">
        <v>2569</v>
      </c>
      <c r="B1926" t="s">
        <v>17331</v>
      </c>
      <c r="C1926" t="s">
        <v>16870</v>
      </c>
      <c r="D1926" t="s">
        <v>14002</v>
      </c>
      <c r="E1926" t="s">
        <v>14003</v>
      </c>
    </row>
    <row r="1927" spans="1:5">
      <c r="A1927" t="s">
        <v>2100</v>
      </c>
      <c r="B1927" t="s">
        <v>17332</v>
      </c>
      <c r="C1927" t="s">
        <v>14001</v>
      </c>
      <c r="D1927" t="s">
        <v>15092</v>
      </c>
      <c r="E1927" t="s">
        <v>15093</v>
      </c>
    </row>
    <row r="1928" spans="1:5">
      <c r="A1928" t="s">
        <v>17333</v>
      </c>
      <c r="B1928" t="s">
        <v>17334</v>
      </c>
      <c r="C1928" t="s">
        <v>13871</v>
      </c>
      <c r="D1928" t="s">
        <v>13872</v>
      </c>
      <c r="E1928" t="s">
        <v>13873</v>
      </c>
    </row>
    <row r="1929" spans="1:5">
      <c r="A1929" t="s">
        <v>17335</v>
      </c>
      <c r="B1929" t="s">
        <v>17336</v>
      </c>
      <c r="C1929" t="s">
        <v>13909</v>
      </c>
      <c r="D1929" t="s">
        <v>13901</v>
      </c>
      <c r="E1929" t="s">
        <v>13902</v>
      </c>
    </row>
    <row r="1930" spans="1:5">
      <c r="A1930" t="s">
        <v>2374</v>
      </c>
      <c r="B1930" t="s">
        <v>17337</v>
      </c>
      <c r="C1930" t="s">
        <v>17338</v>
      </c>
      <c r="D1930" t="s">
        <v>14195</v>
      </c>
      <c r="E1930" t="s">
        <v>14196</v>
      </c>
    </row>
    <row r="1931" spans="1:5">
      <c r="A1931" t="s">
        <v>17339</v>
      </c>
      <c r="B1931" t="s">
        <v>17340</v>
      </c>
      <c r="C1931" t="s">
        <v>17341</v>
      </c>
      <c r="D1931" t="s">
        <v>13885</v>
      </c>
      <c r="E1931" t="s">
        <v>13886</v>
      </c>
    </row>
    <row r="1932" spans="1:5">
      <c r="A1932" t="s">
        <v>2425</v>
      </c>
      <c r="B1932" t="s">
        <v>17342</v>
      </c>
      <c r="C1932" t="s">
        <v>14224</v>
      </c>
      <c r="D1932" t="s">
        <v>14002</v>
      </c>
      <c r="E1932" t="s">
        <v>14003</v>
      </c>
    </row>
    <row r="1933" spans="1:5">
      <c r="A1933" t="s">
        <v>1458</v>
      </c>
      <c r="B1933" t="s">
        <v>17343</v>
      </c>
      <c r="C1933" t="s">
        <v>14012</v>
      </c>
      <c r="D1933" t="s">
        <v>13927</v>
      </c>
      <c r="E1933" t="s">
        <v>13928</v>
      </c>
    </row>
    <row r="1934" spans="1:5">
      <c r="A1934" t="s">
        <v>3196</v>
      </c>
      <c r="B1934" t="s">
        <v>17344</v>
      </c>
      <c r="C1934" t="s">
        <v>13922</v>
      </c>
      <c r="D1934" t="s">
        <v>13923</v>
      </c>
      <c r="E1934" t="s">
        <v>13924</v>
      </c>
    </row>
    <row r="1935" spans="1:5">
      <c r="A1935" t="s">
        <v>1345</v>
      </c>
      <c r="B1935" t="s">
        <v>14792</v>
      </c>
      <c r="C1935" t="s">
        <v>14012</v>
      </c>
      <c r="D1935" t="s">
        <v>13927</v>
      </c>
      <c r="E1935" t="s">
        <v>13928</v>
      </c>
    </row>
    <row r="1936" spans="1:5">
      <c r="A1936" t="s">
        <v>17345</v>
      </c>
      <c r="B1936" t="s">
        <v>17346</v>
      </c>
      <c r="C1936" t="s">
        <v>15245</v>
      </c>
      <c r="D1936" t="s">
        <v>14356</v>
      </c>
      <c r="E1936" t="s">
        <v>14357</v>
      </c>
    </row>
    <row r="1937" spans="1:5">
      <c r="A1937" t="s">
        <v>17347</v>
      </c>
      <c r="B1937" t="s">
        <v>17348</v>
      </c>
      <c r="C1937" t="s">
        <v>15255</v>
      </c>
      <c r="D1937" t="s">
        <v>14397</v>
      </c>
      <c r="E1937" t="s">
        <v>14398</v>
      </c>
    </row>
    <row r="1938" spans="1:5">
      <c r="A1938" t="s">
        <v>2215</v>
      </c>
      <c r="B1938" t="s">
        <v>17349</v>
      </c>
      <c r="C1938" t="s">
        <v>13871</v>
      </c>
      <c r="D1938" t="s">
        <v>13872</v>
      </c>
      <c r="E1938" t="s">
        <v>13873</v>
      </c>
    </row>
    <row r="1939" spans="1:5">
      <c r="A1939" t="s">
        <v>17350</v>
      </c>
      <c r="B1939" t="s">
        <v>14709</v>
      </c>
      <c r="C1939" t="s">
        <v>14710</v>
      </c>
      <c r="D1939" t="s">
        <v>13916</v>
      </c>
      <c r="E1939" t="s">
        <v>14184</v>
      </c>
    </row>
    <row r="1940" spans="1:5">
      <c r="A1940" t="s">
        <v>3412</v>
      </c>
      <c r="B1940" t="s">
        <v>17351</v>
      </c>
      <c r="C1940" t="s">
        <v>16322</v>
      </c>
      <c r="D1940" t="s">
        <v>14018</v>
      </c>
      <c r="E1940" t="s">
        <v>14019</v>
      </c>
    </row>
    <row r="1941" spans="1:5">
      <c r="A1941" t="s">
        <v>3532</v>
      </c>
      <c r="B1941" t="s">
        <v>17352</v>
      </c>
      <c r="C1941" t="s">
        <v>13935</v>
      </c>
      <c r="D1941" t="s">
        <v>13935</v>
      </c>
      <c r="E1941" t="s">
        <v>13936</v>
      </c>
    </row>
    <row r="1942" spans="1:5">
      <c r="A1942" t="s">
        <v>3607</v>
      </c>
      <c r="B1942" t="s">
        <v>17353</v>
      </c>
      <c r="C1942" t="s">
        <v>13935</v>
      </c>
      <c r="D1942" t="s">
        <v>13935</v>
      </c>
      <c r="E1942" t="s">
        <v>13936</v>
      </c>
    </row>
    <row r="1943" spans="1:5">
      <c r="A1943" t="s">
        <v>17354</v>
      </c>
      <c r="B1943" t="s">
        <v>17355</v>
      </c>
      <c r="C1943" t="s">
        <v>13909</v>
      </c>
      <c r="D1943" t="s">
        <v>13901</v>
      </c>
      <c r="E1943" t="s">
        <v>13902</v>
      </c>
    </row>
    <row r="1944" spans="1:5">
      <c r="A1944" t="s">
        <v>17356</v>
      </c>
      <c r="B1944" t="s">
        <v>17357</v>
      </c>
      <c r="C1944" t="s">
        <v>13986</v>
      </c>
      <c r="D1944" t="s">
        <v>13901</v>
      </c>
      <c r="E1944" t="s">
        <v>13902</v>
      </c>
    </row>
    <row r="1945" spans="1:5">
      <c r="A1945" t="s">
        <v>17358</v>
      </c>
      <c r="B1945" t="s">
        <v>17359</v>
      </c>
      <c r="C1945" t="s">
        <v>14534</v>
      </c>
      <c r="D1945" t="s">
        <v>14535</v>
      </c>
      <c r="E1945" t="s">
        <v>14536</v>
      </c>
    </row>
    <row r="1946" spans="1:5">
      <c r="A1946" t="s">
        <v>17360</v>
      </c>
      <c r="B1946" t="s">
        <v>17361</v>
      </c>
      <c r="C1946" t="s">
        <v>17362</v>
      </c>
      <c r="D1946" t="s">
        <v>14759</v>
      </c>
      <c r="E1946" t="s">
        <v>14760</v>
      </c>
    </row>
    <row r="1947" spans="1:5">
      <c r="A1947" t="s">
        <v>17363</v>
      </c>
      <c r="B1947" t="s">
        <v>17364</v>
      </c>
      <c r="C1947" t="s">
        <v>14989</v>
      </c>
      <c r="D1947" t="s">
        <v>14089</v>
      </c>
      <c r="E1947" t="s">
        <v>14090</v>
      </c>
    </row>
    <row r="1948" spans="1:5">
      <c r="A1948" t="s">
        <v>17365</v>
      </c>
      <c r="B1948" t="s">
        <v>17366</v>
      </c>
      <c r="C1948" t="s">
        <v>14294</v>
      </c>
      <c r="D1948" t="s">
        <v>14295</v>
      </c>
      <c r="E1948" t="s">
        <v>14296</v>
      </c>
    </row>
    <row r="1949" spans="1:5">
      <c r="A1949" t="s">
        <v>17367</v>
      </c>
      <c r="B1949" t="s">
        <v>17368</v>
      </c>
      <c r="C1949" t="s">
        <v>14294</v>
      </c>
      <c r="D1949" t="s">
        <v>14295</v>
      </c>
      <c r="E1949" t="s">
        <v>14296</v>
      </c>
    </row>
    <row r="1950" spans="1:5">
      <c r="A1950" t="s">
        <v>17369</v>
      </c>
      <c r="B1950" t="s">
        <v>17370</v>
      </c>
      <c r="C1950" t="s">
        <v>14294</v>
      </c>
      <c r="D1950" t="s">
        <v>14295</v>
      </c>
      <c r="E1950" t="s">
        <v>14296</v>
      </c>
    </row>
    <row r="1951" spans="1:5">
      <c r="A1951" t="s">
        <v>17371</v>
      </c>
      <c r="B1951" t="s">
        <v>17372</v>
      </c>
      <c r="C1951" t="s">
        <v>14833</v>
      </c>
      <c r="D1951" t="s">
        <v>14834</v>
      </c>
      <c r="E1951" t="s">
        <v>14835</v>
      </c>
    </row>
    <row r="1952" spans="1:5">
      <c r="A1952" t="s">
        <v>17373</v>
      </c>
      <c r="B1952" t="s">
        <v>17374</v>
      </c>
      <c r="C1952" t="s">
        <v>14833</v>
      </c>
      <c r="D1952" t="s">
        <v>14834</v>
      </c>
      <c r="E1952" t="s">
        <v>14835</v>
      </c>
    </row>
    <row r="1953" spans="1:5">
      <c r="A1953" t="s">
        <v>17375</v>
      </c>
      <c r="B1953" t="s">
        <v>17376</v>
      </c>
      <c r="C1953" t="s">
        <v>16173</v>
      </c>
      <c r="D1953" t="s">
        <v>13989</v>
      </c>
      <c r="E1953" t="s">
        <v>13990</v>
      </c>
    </row>
    <row r="1954" spans="1:5">
      <c r="A1954" t="s">
        <v>17377</v>
      </c>
      <c r="B1954" t="s">
        <v>17378</v>
      </c>
      <c r="C1954" t="s">
        <v>13916</v>
      </c>
      <c r="D1954" t="s">
        <v>13901</v>
      </c>
      <c r="E1954" t="s">
        <v>13902</v>
      </c>
    </row>
    <row r="1955" spans="1:5">
      <c r="A1955" t="s">
        <v>17379</v>
      </c>
      <c r="B1955" t="s">
        <v>17380</v>
      </c>
      <c r="C1955" t="s">
        <v>14519</v>
      </c>
      <c r="D1955" t="s">
        <v>14482</v>
      </c>
      <c r="E1955" t="s">
        <v>14483</v>
      </c>
    </row>
    <row r="1956" spans="1:5">
      <c r="A1956" t="s">
        <v>7109</v>
      </c>
      <c r="B1956" t="s">
        <v>17381</v>
      </c>
      <c r="C1956" t="s">
        <v>14519</v>
      </c>
      <c r="D1956" t="s">
        <v>14482</v>
      </c>
      <c r="E1956" t="s">
        <v>14483</v>
      </c>
    </row>
    <row r="1957" spans="1:5">
      <c r="A1957" t="s">
        <v>17382</v>
      </c>
      <c r="B1957" t="s">
        <v>17383</v>
      </c>
      <c r="C1957" t="s">
        <v>16237</v>
      </c>
      <c r="D1957" t="s">
        <v>14482</v>
      </c>
      <c r="E1957" t="s">
        <v>14483</v>
      </c>
    </row>
    <row r="1958" spans="1:5">
      <c r="A1958" t="s">
        <v>17384</v>
      </c>
      <c r="B1958" t="s">
        <v>17385</v>
      </c>
      <c r="C1958" t="s">
        <v>16237</v>
      </c>
      <c r="D1958" t="s">
        <v>14482</v>
      </c>
      <c r="E1958" t="s">
        <v>14483</v>
      </c>
    </row>
    <row r="1959" spans="1:5">
      <c r="A1959" t="s">
        <v>17386</v>
      </c>
      <c r="B1959" t="s">
        <v>17387</v>
      </c>
      <c r="C1959" t="s">
        <v>14284</v>
      </c>
      <c r="D1959" t="s">
        <v>14285</v>
      </c>
      <c r="E1959" t="s">
        <v>14286</v>
      </c>
    </row>
    <row r="1960" spans="1:5">
      <c r="A1960" t="s">
        <v>17388</v>
      </c>
      <c r="B1960" t="s">
        <v>17389</v>
      </c>
      <c r="C1960" t="s">
        <v>15142</v>
      </c>
      <c r="D1960" t="s">
        <v>13994</v>
      </c>
      <c r="E1960" t="s">
        <v>13995</v>
      </c>
    </row>
    <row r="1961" spans="1:5">
      <c r="A1961" t="s">
        <v>17390</v>
      </c>
      <c r="B1961" t="s">
        <v>17391</v>
      </c>
      <c r="C1961" t="s">
        <v>14888</v>
      </c>
      <c r="D1961" t="s">
        <v>14889</v>
      </c>
      <c r="E1961" t="s">
        <v>14890</v>
      </c>
    </row>
    <row r="1962" spans="1:5">
      <c r="A1962" t="s">
        <v>17392</v>
      </c>
      <c r="B1962" t="s">
        <v>17393</v>
      </c>
      <c r="C1962" t="s">
        <v>15285</v>
      </c>
      <c r="D1962" t="s">
        <v>14510</v>
      </c>
      <c r="E1962" t="s">
        <v>14511</v>
      </c>
    </row>
    <row r="1963" spans="1:5">
      <c r="A1963" t="s">
        <v>17394</v>
      </c>
      <c r="B1963" t="s">
        <v>17395</v>
      </c>
      <c r="C1963" t="s">
        <v>14326</v>
      </c>
      <c r="D1963" t="s">
        <v>14327</v>
      </c>
      <c r="E1963" t="s">
        <v>14328</v>
      </c>
    </row>
    <row r="1964" spans="1:5">
      <c r="A1964" t="s">
        <v>17396</v>
      </c>
      <c r="B1964" t="s">
        <v>17397</v>
      </c>
      <c r="C1964" t="s">
        <v>13909</v>
      </c>
      <c r="D1964" t="s">
        <v>13901</v>
      </c>
      <c r="E1964" t="s">
        <v>13902</v>
      </c>
    </row>
    <row r="1965" spans="1:5">
      <c r="A1965" t="s">
        <v>17398</v>
      </c>
      <c r="B1965" t="s">
        <v>17399</v>
      </c>
      <c r="C1965" t="s">
        <v>13986</v>
      </c>
      <c r="D1965" t="s">
        <v>13901</v>
      </c>
      <c r="E1965" t="s">
        <v>13902</v>
      </c>
    </row>
    <row r="1966" spans="1:5">
      <c r="A1966" t="s">
        <v>17400</v>
      </c>
      <c r="B1966" t="s">
        <v>17401</v>
      </c>
      <c r="C1966" t="s">
        <v>15042</v>
      </c>
      <c r="D1966" t="s">
        <v>14595</v>
      </c>
      <c r="E1966" t="s">
        <v>14596</v>
      </c>
    </row>
    <row r="1967" spans="1:5">
      <c r="A1967" t="s">
        <v>2278</v>
      </c>
      <c r="B1967" t="s">
        <v>17402</v>
      </c>
      <c r="C1967" t="s">
        <v>14305</v>
      </c>
      <c r="D1967" t="s">
        <v>14306</v>
      </c>
      <c r="E1967" t="s">
        <v>14307</v>
      </c>
    </row>
    <row r="1968" spans="1:5">
      <c r="A1968" t="s">
        <v>17403</v>
      </c>
      <c r="B1968" t="s">
        <v>17404</v>
      </c>
      <c r="C1968" t="s">
        <v>14305</v>
      </c>
      <c r="D1968" t="s">
        <v>14306</v>
      </c>
      <c r="E1968" t="s">
        <v>14307</v>
      </c>
    </row>
    <row r="1969" spans="1:5">
      <c r="A1969" t="s">
        <v>2080</v>
      </c>
      <c r="B1969" t="s">
        <v>17405</v>
      </c>
      <c r="C1969" t="s">
        <v>14305</v>
      </c>
      <c r="D1969" t="s">
        <v>14306</v>
      </c>
      <c r="E1969" t="s">
        <v>14307</v>
      </c>
    </row>
    <row r="1970" spans="1:5">
      <c r="A1970" t="s">
        <v>17406</v>
      </c>
      <c r="B1970" t="s">
        <v>17407</v>
      </c>
      <c r="C1970" t="s">
        <v>14501</v>
      </c>
      <c r="D1970" t="s">
        <v>13872</v>
      </c>
      <c r="E1970" t="s">
        <v>13873</v>
      </c>
    </row>
    <row r="1971" spans="1:5">
      <c r="A1971" t="s">
        <v>2864</v>
      </c>
      <c r="B1971" t="s">
        <v>17408</v>
      </c>
      <c r="C1971" t="s">
        <v>14551</v>
      </c>
      <c r="D1971" t="s">
        <v>14165</v>
      </c>
      <c r="E1971" t="s">
        <v>14166</v>
      </c>
    </row>
    <row r="1972" spans="1:5">
      <c r="A1972" t="s">
        <v>17409</v>
      </c>
      <c r="B1972" t="s">
        <v>17410</v>
      </c>
      <c r="C1972" t="s">
        <v>14551</v>
      </c>
      <c r="D1972" t="s">
        <v>14165</v>
      </c>
      <c r="E1972" t="s">
        <v>14166</v>
      </c>
    </row>
    <row r="1973" spans="1:5">
      <c r="A1973" t="s">
        <v>3267</v>
      </c>
      <c r="B1973" t="s">
        <v>17411</v>
      </c>
      <c r="C1973" t="s">
        <v>14227</v>
      </c>
      <c r="D1973" t="s">
        <v>13951</v>
      </c>
      <c r="E1973" t="s">
        <v>13952</v>
      </c>
    </row>
    <row r="1974" spans="1:5">
      <c r="A1974" t="s">
        <v>17412</v>
      </c>
      <c r="B1974" t="s">
        <v>17413</v>
      </c>
      <c r="C1974" t="s">
        <v>14227</v>
      </c>
      <c r="D1974" t="s">
        <v>13951</v>
      </c>
      <c r="E1974" t="s">
        <v>13952</v>
      </c>
    </row>
    <row r="1975" spans="1:5">
      <c r="A1975" t="s">
        <v>17414</v>
      </c>
      <c r="B1975" t="s">
        <v>17415</v>
      </c>
      <c r="C1975" t="s">
        <v>14767</v>
      </c>
      <c r="D1975" t="s">
        <v>14768</v>
      </c>
      <c r="E1975" t="s">
        <v>14769</v>
      </c>
    </row>
    <row r="1976" spans="1:5">
      <c r="A1976" t="s">
        <v>17416</v>
      </c>
      <c r="B1976" t="s">
        <v>17417</v>
      </c>
      <c r="C1976" t="s">
        <v>16503</v>
      </c>
      <c r="D1976" t="s">
        <v>14493</v>
      </c>
      <c r="E1976" t="s">
        <v>15453</v>
      </c>
    </row>
    <row r="1977" spans="1:5">
      <c r="A1977" t="s">
        <v>17418</v>
      </c>
      <c r="B1977" t="s">
        <v>17419</v>
      </c>
      <c r="C1977" t="s">
        <v>13871</v>
      </c>
      <c r="D1977" t="s">
        <v>13872</v>
      </c>
      <c r="E1977" t="s">
        <v>13873</v>
      </c>
    </row>
    <row r="1978" spans="1:5">
      <c r="A1978" t="s">
        <v>17420</v>
      </c>
      <c r="B1978" t="s">
        <v>17421</v>
      </c>
      <c r="C1978" t="s">
        <v>14861</v>
      </c>
      <c r="D1978" t="s">
        <v>14862</v>
      </c>
      <c r="E1978" t="s">
        <v>14863</v>
      </c>
    </row>
    <row r="1979" spans="1:5">
      <c r="A1979" t="s">
        <v>2140</v>
      </c>
      <c r="B1979" t="s">
        <v>17422</v>
      </c>
      <c r="C1979" t="s">
        <v>16266</v>
      </c>
      <c r="D1979" t="s">
        <v>15092</v>
      </c>
      <c r="E1979" t="s">
        <v>15093</v>
      </c>
    </row>
    <row r="1980" spans="1:5">
      <c r="A1980" t="s">
        <v>17423</v>
      </c>
      <c r="B1980" t="s">
        <v>17424</v>
      </c>
      <c r="C1980" t="s">
        <v>14012</v>
      </c>
      <c r="D1980" t="s">
        <v>13927</v>
      </c>
      <c r="E1980" t="s">
        <v>13928</v>
      </c>
    </row>
    <row r="1981" spans="1:5">
      <c r="A1981" t="s">
        <v>17425</v>
      </c>
      <c r="B1981" t="s">
        <v>17426</v>
      </c>
      <c r="C1981" t="s">
        <v>13932</v>
      </c>
      <c r="D1981" t="s">
        <v>13932</v>
      </c>
      <c r="E1981" t="s">
        <v>13933</v>
      </c>
    </row>
    <row r="1982" spans="1:5">
      <c r="A1982" t="s">
        <v>17427</v>
      </c>
      <c r="B1982" t="s">
        <v>17428</v>
      </c>
      <c r="C1982" t="s">
        <v>17429</v>
      </c>
      <c r="D1982" t="s">
        <v>13889</v>
      </c>
      <c r="E1982" t="s">
        <v>13890</v>
      </c>
    </row>
    <row r="1983" spans="1:5">
      <c r="A1983" t="s">
        <v>17430</v>
      </c>
      <c r="B1983" t="s">
        <v>17431</v>
      </c>
      <c r="C1983" t="s">
        <v>14169</v>
      </c>
      <c r="D1983" t="s">
        <v>13968</v>
      </c>
      <c r="E1983" t="s">
        <v>13969</v>
      </c>
    </row>
    <row r="1984" spans="1:5">
      <c r="A1984" t="s">
        <v>17432</v>
      </c>
      <c r="B1984" t="s">
        <v>17433</v>
      </c>
      <c r="C1984" t="s">
        <v>13922</v>
      </c>
      <c r="D1984" t="s">
        <v>13923</v>
      </c>
      <c r="E1984" t="s">
        <v>13924</v>
      </c>
    </row>
    <row r="1985" spans="1:5">
      <c r="A1985" t="s">
        <v>17434</v>
      </c>
      <c r="B1985" t="s">
        <v>17435</v>
      </c>
      <c r="C1985" t="s">
        <v>14350</v>
      </c>
      <c r="D1985" t="s">
        <v>14002</v>
      </c>
      <c r="E1985" t="s">
        <v>14003</v>
      </c>
    </row>
    <row r="1986" spans="1:5">
      <c r="A1986" t="s">
        <v>17436</v>
      </c>
      <c r="B1986" t="s">
        <v>17437</v>
      </c>
      <c r="C1986" t="s">
        <v>14224</v>
      </c>
      <c r="D1986" t="s">
        <v>14002</v>
      </c>
      <c r="E1986" t="s">
        <v>14003</v>
      </c>
    </row>
    <row r="1987" spans="1:5">
      <c r="A1987" t="s">
        <v>17438</v>
      </c>
      <c r="B1987" t="s">
        <v>17439</v>
      </c>
      <c r="C1987" t="s">
        <v>14554</v>
      </c>
      <c r="D1987" t="s">
        <v>13901</v>
      </c>
      <c r="E1987" t="s">
        <v>13902</v>
      </c>
    </row>
    <row r="1988" spans="1:5">
      <c r="A1988" t="s">
        <v>17440</v>
      </c>
      <c r="B1988" t="s">
        <v>17441</v>
      </c>
      <c r="C1988" t="s">
        <v>14554</v>
      </c>
      <c r="D1988" t="s">
        <v>13901</v>
      </c>
      <c r="E1988" t="s">
        <v>13902</v>
      </c>
    </row>
    <row r="1989" spans="1:5">
      <c r="A1989" t="s">
        <v>2355</v>
      </c>
      <c r="B1989" t="s">
        <v>17442</v>
      </c>
      <c r="C1989" t="s">
        <v>13871</v>
      </c>
      <c r="D1989" t="s">
        <v>13872</v>
      </c>
      <c r="E1989" t="s">
        <v>13873</v>
      </c>
    </row>
    <row r="1990" spans="1:5">
      <c r="A1990" t="s">
        <v>17443</v>
      </c>
      <c r="B1990" t="s">
        <v>17444</v>
      </c>
      <c r="C1990" t="s">
        <v>17445</v>
      </c>
      <c r="D1990" t="s">
        <v>14601</v>
      </c>
      <c r="E1990" t="s">
        <v>14602</v>
      </c>
    </row>
    <row r="1991" spans="1:5">
      <c r="A1991" t="s">
        <v>17446</v>
      </c>
      <c r="B1991" t="s">
        <v>17447</v>
      </c>
      <c r="C1991" t="s">
        <v>14413</v>
      </c>
      <c r="D1991" t="s">
        <v>14002</v>
      </c>
      <c r="E1991" t="s">
        <v>14003</v>
      </c>
    </row>
    <row r="1992" spans="1:5">
      <c r="A1992" t="s">
        <v>7111</v>
      </c>
      <c r="B1992" t="s">
        <v>17448</v>
      </c>
      <c r="C1992" t="s">
        <v>14380</v>
      </c>
      <c r="D1992" t="s">
        <v>14381</v>
      </c>
      <c r="E1992" t="s">
        <v>14382</v>
      </c>
    </row>
    <row r="1993" spans="1:5">
      <c r="A1993" t="s">
        <v>2577</v>
      </c>
      <c r="B1993" t="s">
        <v>17449</v>
      </c>
      <c r="C1993" t="s">
        <v>14380</v>
      </c>
      <c r="D1993" t="s">
        <v>14381</v>
      </c>
      <c r="E1993" t="s">
        <v>14382</v>
      </c>
    </row>
    <row r="1994" spans="1:5">
      <c r="A1994" t="s">
        <v>17450</v>
      </c>
      <c r="B1994" t="s">
        <v>17451</v>
      </c>
      <c r="C1994" t="s">
        <v>14380</v>
      </c>
      <c r="D1994" t="s">
        <v>14381</v>
      </c>
      <c r="E1994" t="s">
        <v>14382</v>
      </c>
    </row>
    <row r="1995" spans="1:5">
      <c r="A1995" t="s">
        <v>17452</v>
      </c>
      <c r="B1995" t="s">
        <v>17453</v>
      </c>
      <c r="C1995" t="s">
        <v>14380</v>
      </c>
      <c r="D1995" t="s">
        <v>14381</v>
      </c>
      <c r="E1995" t="s">
        <v>14382</v>
      </c>
    </row>
    <row r="1996" spans="1:5">
      <c r="A1996" t="s">
        <v>17454</v>
      </c>
      <c r="B1996" t="s">
        <v>17455</v>
      </c>
      <c r="C1996" t="s">
        <v>14949</v>
      </c>
      <c r="D1996" t="s">
        <v>14909</v>
      </c>
      <c r="E1996" t="s">
        <v>14910</v>
      </c>
    </row>
    <row r="1997" spans="1:5">
      <c r="A1997" t="s">
        <v>17456</v>
      </c>
      <c r="B1997" t="s">
        <v>17457</v>
      </c>
      <c r="C1997" t="s">
        <v>14380</v>
      </c>
      <c r="D1997" t="s">
        <v>14381</v>
      </c>
      <c r="E1997" t="s">
        <v>14382</v>
      </c>
    </row>
    <row r="1998" spans="1:5">
      <c r="A1998" t="s">
        <v>17458</v>
      </c>
      <c r="B1998" t="s">
        <v>17459</v>
      </c>
      <c r="C1998" t="s">
        <v>14258</v>
      </c>
      <c r="D1998" t="s">
        <v>14259</v>
      </c>
      <c r="E1998" t="s">
        <v>14260</v>
      </c>
    </row>
    <row r="1999" spans="1:5">
      <c r="A1999" t="s">
        <v>17460</v>
      </c>
      <c r="B1999" t="s">
        <v>17461</v>
      </c>
      <c r="C1999" t="s">
        <v>13943</v>
      </c>
      <c r="D1999" t="s">
        <v>13901</v>
      </c>
      <c r="E1999" t="s">
        <v>13902</v>
      </c>
    </row>
    <row r="2000" spans="1:5">
      <c r="A2000" t="s">
        <v>17462</v>
      </c>
      <c r="B2000" t="s">
        <v>17463</v>
      </c>
      <c r="C2000" t="s">
        <v>14519</v>
      </c>
      <c r="D2000" t="s">
        <v>14482</v>
      </c>
      <c r="E2000" t="s">
        <v>14483</v>
      </c>
    </row>
    <row r="2001" spans="1:5">
      <c r="A2001" t="s">
        <v>17464</v>
      </c>
      <c r="B2001" t="s">
        <v>17465</v>
      </c>
      <c r="C2001" t="s">
        <v>14403</v>
      </c>
      <c r="D2001" t="s">
        <v>14404</v>
      </c>
      <c r="E2001" t="s">
        <v>14405</v>
      </c>
    </row>
    <row r="2002" spans="1:5">
      <c r="A2002" t="s">
        <v>17466</v>
      </c>
      <c r="B2002" t="s">
        <v>17467</v>
      </c>
      <c r="C2002" t="s">
        <v>17429</v>
      </c>
      <c r="D2002" t="s">
        <v>13889</v>
      </c>
      <c r="E2002" t="s">
        <v>13890</v>
      </c>
    </row>
    <row r="2003" spans="1:5">
      <c r="A2003" t="s">
        <v>17468</v>
      </c>
      <c r="B2003" t="s">
        <v>17469</v>
      </c>
      <c r="C2003" t="s">
        <v>13905</v>
      </c>
      <c r="D2003" t="s">
        <v>13901</v>
      </c>
      <c r="E2003" t="s">
        <v>13902</v>
      </c>
    </row>
    <row r="2004" spans="1:5">
      <c r="A2004" t="s">
        <v>17470</v>
      </c>
      <c r="B2004" t="s">
        <v>17471</v>
      </c>
      <c r="C2004" t="s">
        <v>15616</v>
      </c>
      <c r="D2004" t="s">
        <v>14611</v>
      </c>
      <c r="E2004" t="s">
        <v>14612</v>
      </c>
    </row>
    <row r="2005" spans="1:5">
      <c r="A2005" t="s">
        <v>17472</v>
      </c>
      <c r="B2005" t="s">
        <v>17473</v>
      </c>
      <c r="C2005" t="s">
        <v>14780</v>
      </c>
      <c r="D2005" t="s">
        <v>14781</v>
      </c>
      <c r="E2005" t="s">
        <v>14782</v>
      </c>
    </row>
    <row r="2006" spans="1:5">
      <c r="A2006" t="s">
        <v>3585</v>
      </c>
      <c r="B2006" t="s">
        <v>17474</v>
      </c>
      <c r="C2006" t="s">
        <v>14493</v>
      </c>
      <c r="D2006" t="s">
        <v>14250</v>
      </c>
      <c r="E2006" t="s">
        <v>14251</v>
      </c>
    </row>
    <row r="2007" spans="1:5">
      <c r="A2007" t="s">
        <v>17475</v>
      </c>
      <c r="B2007" t="s">
        <v>17476</v>
      </c>
      <c r="C2007" t="s">
        <v>17180</v>
      </c>
      <c r="D2007" t="s">
        <v>14058</v>
      </c>
      <c r="E2007" t="s">
        <v>14059</v>
      </c>
    </row>
    <row r="2008" spans="1:5">
      <c r="A2008" t="s">
        <v>17477</v>
      </c>
      <c r="B2008" t="s">
        <v>17478</v>
      </c>
      <c r="C2008" t="s">
        <v>14017</v>
      </c>
      <c r="D2008" t="s">
        <v>14018</v>
      </c>
      <c r="E2008" t="s">
        <v>14019</v>
      </c>
    </row>
    <row r="2009" spans="1:5">
      <c r="A2009" t="s">
        <v>3049</v>
      </c>
      <c r="B2009" t="s">
        <v>17479</v>
      </c>
      <c r="C2009" t="s">
        <v>14317</v>
      </c>
      <c r="D2009" t="s">
        <v>13968</v>
      </c>
      <c r="E2009" t="s">
        <v>13969</v>
      </c>
    </row>
    <row r="2010" spans="1:5">
      <c r="A2010" t="s">
        <v>17480</v>
      </c>
      <c r="B2010" t="s">
        <v>17481</v>
      </c>
      <c r="C2010" t="s">
        <v>14072</v>
      </c>
      <c r="D2010" t="s">
        <v>14073</v>
      </c>
      <c r="E2010" t="s">
        <v>14074</v>
      </c>
    </row>
    <row r="2011" spans="1:5">
      <c r="A2011" t="s">
        <v>17482</v>
      </c>
      <c r="B2011" t="s">
        <v>17483</v>
      </c>
      <c r="C2011" t="s">
        <v>15268</v>
      </c>
      <c r="D2011" t="s">
        <v>14526</v>
      </c>
      <c r="E2011" t="s">
        <v>14527</v>
      </c>
    </row>
    <row r="2012" spans="1:5">
      <c r="A2012" t="s">
        <v>17484</v>
      </c>
      <c r="B2012" t="s">
        <v>17485</v>
      </c>
      <c r="C2012" t="s">
        <v>15134</v>
      </c>
      <c r="D2012" t="s">
        <v>15135</v>
      </c>
      <c r="E2012" t="s">
        <v>15136</v>
      </c>
    </row>
    <row r="2013" spans="1:5">
      <c r="A2013" t="s">
        <v>3624</v>
      </c>
      <c r="B2013" t="s">
        <v>17486</v>
      </c>
      <c r="C2013" t="s">
        <v>14633</v>
      </c>
      <c r="D2013" t="s">
        <v>13974</v>
      </c>
      <c r="E2013" t="s">
        <v>13975</v>
      </c>
    </row>
    <row r="2014" spans="1:5">
      <c r="A2014" t="s">
        <v>1842</v>
      </c>
      <c r="B2014" t="s">
        <v>17487</v>
      </c>
      <c r="C2014" t="s">
        <v>17488</v>
      </c>
      <c r="D2014" t="s">
        <v>14889</v>
      </c>
      <c r="E2014" t="s">
        <v>14890</v>
      </c>
    </row>
    <row r="2015" spans="1:5">
      <c r="A2015" t="s">
        <v>2096</v>
      </c>
      <c r="B2015" t="s">
        <v>17489</v>
      </c>
      <c r="C2015" t="s">
        <v>14240</v>
      </c>
      <c r="D2015" t="s">
        <v>13872</v>
      </c>
      <c r="E2015" t="s">
        <v>13873</v>
      </c>
    </row>
    <row r="2016" spans="1:5">
      <c r="A2016" t="s">
        <v>17490</v>
      </c>
      <c r="B2016" t="s">
        <v>17491</v>
      </c>
      <c r="C2016" t="s">
        <v>17492</v>
      </c>
      <c r="D2016" t="s">
        <v>14673</v>
      </c>
      <c r="E2016" t="s">
        <v>14674</v>
      </c>
    </row>
    <row r="2017" spans="1:5">
      <c r="A2017" t="s">
        <v>17493</v>
      </c>
      <c r="B2017" t="s">
        <v>17494</v>
      </c>
      <c r="C2017" t="s">
        <v>14001</v>
      </c>
      <c r="D2017" t="s">
        <v>14002</v>
      </c>
      <c r="E2017" t="s">
        <v>14003</v>
      </c>
    </row>
    <row r="2018" spans="1:5">
      <c r="A2018" t="s">
        <v>17495</v>
      </c>
      <c r="B2018" t="s">
        <v>17496</v>
      </c>
      <c r="C2018" t="s">
        <v>14001</v>
      </c>
      <c r="D2018" t="s">
        <v>14002</v>
      </c>
      <c r="E2018" t="s">
        <v>14003</v>
      </c>
    </row>
    <row r="2019" spans="1:5">
      <c r="A2019" t="s">
        <v>2331</v>
      </c>
      <c r="B2019" t="s">
        <v>17497</v>
      </c>
      <c r="C2019" t="s">
        <v>16190</v>
      </c>
      <c r="D2019" t="s">
        <v>15092</v>
      </c>
      <c r="E2019" t="s">
        <v>15093</v>
      </c>
    </row>
    <row r="2020" spans="1:5">
      <c r="A2020" t="s">
        <v>1837</v>
      </c>
      <c r="B2020" t="s">
        <v>17498</v>
      </c>
      <c r="C2020" t="s">
        <v>13871</v>
      </c>
      <c r="D2020" t="s">
        <v>13872</v>
      </c>
      <c r="E2020" t="s">
        <v>13873</v>
      </c>
    </row>
    <row r="2021" spans="1:5">
      <c r="A2021" t="s">
        <v>17499</v>
      </c>
      <c r="B2021" t="s">
        <v>17500</v>
      </c>
      <c r="C2021" t="s">
        <v>16353</v>
      </c>
      <c r="D2021" t="s">
        <v>13913</v>
      </c>
      <c r="E2021" t="s">
        <v>13914</v>
      </c>
    </row>
    <row r="2022" spans="1:5">
      <c r="A2022" t="s">
        <v>17501</v>
      </c>
      <c r="B2022" t="s">
        <v>17502</v>
      </c>
      <c r="C2022" t="s">
        <v>15187</v>
      </c>
      <c r="D2022" t="s">
        <v>13919</v>
      </c>
      <c r="E2022" t="s">
        <v>13920</v>
      </c>
    </row>
    <row r="2023" spans="1:5">
      <c r="A2023" t="s">
        <v>17503</v>
      </c>
      <c r="B2023" t="s">
        <v>17504</v>
      </c>
      <c r="C2023" t="s">
        <v>13905</v>
      </c>
      <c r="D2023" t="s">
        <v>13901</v>
      </c>
      <c r="E2023" t="s">
        <v>13902</v>
      </c>
    </row>
    <row r="2024" spans="1:5">
      <c r="A2024" t="s">
        <v>17505</v>
      </c>
      <c r="B2024" t="s">
        <v>17506</v>
      </c>
      <c r="C2024" t="s">
        <v>14222</v>
      </c>
      <c r="D2024" t="s">
        <v>13901</v>
      </c>
      <c r="E2024" t="s">
        <v>13902</v>
      </c>
    </row>
    <row r="2025" spans="1:5">
      <c r="A2025" t="s">
        <v>17507</v>
      </c>
      <c r="B2025" t="s">
        <v>17508</v>
      </c>
      <c r="C2025" t="s">
        <v>13905</v>
      </c>
      <c r="D2025" t="s">
        <v>13901</v>
      </c>
      <c r="E2025" t="s">
        <v>13902</v>
      </c>
    </row>
    <row r="2026" spans="1:5">
      <c r="A2026" t="s">
        <v>2263</v>
      </c>
      <c r="B2026" t="s">
        <v>17509</v>
      </c>
      <c r="C2026" t="s">
        <v>14397</v>
      </c>
      <c r="D2026" t="s">
        <v>14397</v>
      </c>
      <c r="E2026" t="s">
        <v>14398</v>
      </c>
    </row>
    <row r="2027" spans="1:5">
      <c r="A2027" t="s">
        <v>17510</v>
      </c>
      <c r="B2027" t="s">
        <v>17511</v>
      </c>
      <c r="C2027" t="s">
        <v>14886</v>
      </c>
      <c r="D2027" t="s">
        <v>14250</v>
      </c>
      <c r="E2027" t="s">
        <v>14251</v>
      </c>
    </row>
    <row r="2028" spans="1:5">
      <c r="A2028" t="s">
        <v>17512</v>
      </c>
      <c r="B2028" t="s">
        <v>17513</v>
      </c>
      <c r="C2028" t="s">
        <v>14732</v>
      </c>
      <c r="D2028" t="s">
        <v>14611</v>
      </c>
      <c r="E2028" t="s">
        <v>14612</v>
      </c>
    </row>
    <row r="2029" spans="1:5">
      <c r="A2029" t="s">
        <v>3399</v>
      </c>
      <c r="B2029" t="s">
        <v>17514</v>
      </c>
      <c r="C2029" t="s">
        <v>14908</v>
      </c>
      <c r="D2029" t="s">
        <v>14909</v>
      </c>
      <c r="E2029" t="s">
        <v>14910</v>
      </c>
    </row>
    <row r="2030" spans="1:5">
      <c r="A2030" t="s">
        <v>17515</v>
      </c>
      <c r="B2030" t="s">
        <v>17516</v>
      </c>
      <c r="C2030" t="s">
        <v>14908</v>
      </c>
      <c r="D2030" t="s">
        <v>14909</v>
      </c>
      <c r="E2030" t="s">
        <v>14910</v>
      </c>
    </row>
    <row r="2031" spans="1:5">
      <c r="A2031" t="s">
        <v>7117</v>
      </c>
      <c r="B2031" t="s">
        <v>17517</v>
      </c>
      <c r="C2031" t="s">
        <v>14481</v>
      </c>
      <c r="D2031" t="s">
        <v>14482</v>
      </c>
      <c r="E2031" t="s">
        <v>14483</v>
      </c>
    </row>
    <row r="2032" spans="1:5">
      <c r="A2032" t="s">
        <v>17518</v>
      </c>
      <c r="B2032" t="s">
        <v>17519</v>
      </c>
      <c r="C2032" t="s">
        <v>15253</v>
      </c>
      <c r="D2032" t="s">
        <v>13951</v>
      </c>
      <c r="E2032" t="s">
        <v>13952</v>
      </c>
    </row>
    <row r="2033" spans="1:5">
      <c r="A2033" t="s">
        <v>2153</v>
      </c>
      <c r="B2033" t="s">
        <v>17520</v>
      </c>
      <c r="C2033" t="s">
        <v>14501</v>
      </c>
      <c r="D2033" t="s">
        <v>13872</v>
      </c>
      <c r="E2033" t="s">
        <v>13873</v>
      </c>
    </row>
    <row r="2034" spans="1:5">
      <c r="A2034" t="s">
        <v>17521</v>
      </c>
      <c r="B2034" t="s">
        <v>17522</v>
      </c>
      <c r="C2034" t="s">
        <v>17523</v>
      </c>
      <c r="D2034" t="s">
        <v>14482</v>
      </c>
      <c r="E2034" t="s">
        <v>14483</v>
      </c>
    </row>
    <row r="2035" spans="1:5">
      <c r="A2035" t="s">
        <v>17524</v>
      </c>
      <c r="B2035" t="s">
        <v>17525</v>
      </c>
      <c r="C2035" t="s">
        <v>13951</v>
      </c>
      <c r="D2035" t="s">
        <v>13927</v>
      </c>
      <c r="E2035" t="s">
        <v>13928</v>
      </c>
    </row>
    <row r="2036" spans="1:5">
      <c r="A2036" t="s">
        <v>17526</v>
      </c>
      <c r="B2036" t="s">
        <v>17527</v>
      </c>
      <c r="C2036" t="s">
        <v>13916</v>
      </c>
      <c r="D2036" t="s">
        <v>13901</v>
      </c>
      <c r="E2036" t="s">
        <v>13902</v>
      </c>
    </row>
    <row r="2037" spans="1:5">
      <c r="A2037" t="s">
        <v>17528</v>
      </c>
      <c r="B2037" t="s">
        <v>17529</v>
      </c>
      <c r="C2037" t="s">
        <v>14224</v>
      </c>
      <c r="D2037" t="s">
        <v>14002</v>
      </c>
      <c r="E2037" t="s">
        <v>14003</v>
      </c>
    </row>
    <row r="2038" spans="1:5">
      <c r="A2038" t="s">
        <v>17530</v>
      </c>
      <c r="B2038" t="s">
        <v>17531</v>
      </c>
      <c r="C2038" t="s">
        <v>14848</v>
      </c>
      <c r="D2038" t="s">
        <v>14259</v>
      </c>
      <c r="E2038" t="s">
        <v>14260</v>
      </c>
    </row>
    <row r="2039" spans="1:5">
      <c r="A2039" t="s">
        <v>17532</v>
      </c>
      <c r="B2039" t="s">
        <v>17533</v>
      </c>
      <c r="C2039" t="s">
        <v>14164</v>
      </c>
      <c r="D2039" t="s">
        <v>14165</v>
      </c>
      <c r="E2039" t="s">
        <v>14166</v>
      </c>
    </row>
    <row r="2040" spans="1:5">
      <c r="A2040" t="s">
        <v>17534</v>
      </c>
      <c r="B2040" t="s">
        <v>17535</v>
      </c>
      <c r="C2040" t="s">
        <v>16861</v>
      </c>
      <c r="D2040" t="s">
        <v>15092</v>
      </c>
      <c r="E2040" t="s">
        <v>15093</v>
      </c>
    </row>
    <row r="2041" spans="1:5">
      <c r="A2041" t="s">
        <v>17536</v>
      </c>
      <c r="B2041" t="s">
        <v>17537</v>
      </c>
      <c r="C2041" t="s">
        <v>14034</v>
      </c>
      <c r="D2041" t="s">
        <v>13901</v>
      </c>
      <c r="E2041" t="s">
        <v>13902</v>
      </c>
    </row>
    <row r="2042" spans="1:5">
      <c r="A2042" t="s">
        <v>17538</v>
      </c>
      <c r="B2042" t="s">
        <v>17539</v>
      </c>
      <c r="C2042" t="s">
        <v>13916</v>
      </c>
      <c r="D2042" t="s">
        <v>13901</v>
      </c>
      <c r="E2042" t="s">
        <v>13902</v>
      </c>
    </row>
    <row r="2043" spans="1:5">
      <c r="A2043" t="s">
        <v>2193</v>
      </c>
      <c r="B2043" t="s">
        <v>17540</v>
      </c>
      <c r="C2043" t="s">
        <v>14021</v>
      </c>
      <c r="D2043" t="s">
        <v>14021</v>
      </c>
      <c r="E2043" t="s">
        <v>14022</v>
      </c>
    </row>
    <row r="2044" spans="1:5">
      <c r="A2044" t="s">
        <v>17541</v>
      </c>
      <c r="B2044" t="s">
        <v>17542</v>
      </c>
      <c r="C2044" t="s">
        <v>14017</v>
      </c>
      <c r="D2044" t="s">
        <v>14018</v>
      </c>
      <c r="E2044" t="s">
        <v>14019</v>
      </c>
    </row>
    <row r="2045" spans="1:5">
      <c r="A2045" t="s">
        <v>3425</v>
      </c>
      <c r="B2045" t="s">
        <v>17543</v>
      </c>
      <c r="C2045" t="s">
        <v>13935</v>
      </c>
      <c r="D2045" t="s">
        <v>13935</v>
      </c>
      <c r="E2045" t="s">
        <v>13936</v>
      </c>
    </row>
    <row r="2046" spans="1:5">
      <c r="A2046" t="s">
        <v>17544</v>
      </c>
      <c r="B2046" t="s">
        <v>17545</v>
      </c>
      <c r="C2046" t="s">
        <v>13935</v>
      </c>
      <c r="D2046" t="s">
        <v>13935</v>
      </c>
      <c r="E2046" t="s">
        <v>13936</v>
      </c>
    </row>
    <row r="2047" spans="1:5">
      <c r="A2047" t="s">
        <v>17546</v>
      </c>
      <c r="B2047" t="s">
        <v>17547</v>
      </c>
      <c r="C2047" t="s">
        <v>14154</v>
      </c>
      <c r="D2047" t="s">
        <v>14140</v>
      </c>
      <c r="E2047" t="s">
        <v>14141</v>
      </c>
    </row>
    <row r="2048" spans="1:5">
      <c r="A2048" t="s">
        <v>17548</v>
      </c>
      <c r="B2048" t="s">
        <v>17549</v>
      </c>
      <c r="C2048" t="s">
        <v>14021</v>
      </c>
      <c r="D2048" t="s">
        <v>14021</v>
      </c>
      <c r="E2048" t="s">
        <v>14022</v>
      </c>
    </row>
    <row r="2049" spans="1:5">
      <c r="A2049" t="s">
        <v>1061</v>
      </c>
      <c r="B2049" t="s">
        <v>17550</v>
      </c>
      <c r="C2049" t="s">
        <v>14012</v>
      </c>
      <c r="D2049" t="s">
        <v>13927</v>
      </c>
      <c r="E2049" t="s">
        <v>13928</v>
      </c>
    </row>
    <row r="2050" spans="1:5">
      <c r="A2050" t="s">
        <v>2587</v>
      </c>
      <c r="B2050" t="s">
        <v>17551</v>
      </c>
      <c r="C2050" t="s">
        <v>17552</v>
      </c>
      <c r="D2050" t="s">
        <v>14558</v>
      </c>
      <c r="E2050" t="s">
        <v>14559</v>
      </c>
    </row>
    <row r="2051" spans="1:5">
      <c r="A2051" t="s">
        <v>38</v>
      </c>
      <c r="B2051" t="s">
        <v>17553</v>
      </c>
      <c r="C2051" t="s">
        <v>14201</v>
      </c>
      <c r="D2051" t="s">
        <v>14040</v>
      </c>
      <c r="E2051" t="s">
        <v>14041</v>
      </c>
    </row>
    <row r="2052" spans="1:5">
      <c r="A2052" t="s">
        <v>17554</v>
      </c>
      <c r="B2052" t="s">
        <v>17555</v>
      </c>
      <c r="C2052" t="s">
        <v>13900</v>
      </c>
      <c r="D2052" t="s">
        <v>13901</v>
      </c>
      <c r="E2052" t="s">
        <v>13902</v>
      </c>
    </row>
    <row r="2053" spans="1:5">
      <c r="A2053" t="s">
        <v>17556</v>
      </c>
      <c r="B2053" t="s">
        <v>17557</v>
      </c>
      <c r="C2053" t="s">
        <v>13905</v>
      </c>
      <c r="D2053" t="s">
        <v>13901</v>
      </c>
      <c r="E2053" t="s">
        <v>13902</v>
      </c>
    </row>
    <row r="2054" spans="1:5">
      <c r="A2054" t="s">
        <v>17558</v>
      </c>
      <c r="B2054" t="s">
        <v>17559</v>
      </c>
      <c r="C2054" t="s">
        <v>14369</v>
      </c>
      <c r="D2054" t="s">
        <v>14601</v>
      </c>
      <c r="E2054" t="s">
        <v>14602</v>
      </c>
    </row>
    <row r="2055" spans="1:5">
      <c r="A2055" t="s">
        <v>3114</v>
      </c>
      <c r="B2055" t="s">
        <v>17560</v>
      </c>
      <c r="C2055" t="s">
        <v>13922</v>
      </c>
      <c r="D2055" t="s">
        <v>13923</v>
      </c>
      <c r="E2055" t="s">
        <v>13924</v>
      </c>
    </row>
    <row r="2056" spans="1:5">
      <c r="A2056" t="s">
        <v>17561</v>
      </c>
      <c r="B2056" t="s">
        <v>17562</v>
      </c>
      <c r="C2056" t="s">
        <v>14025</v>
      </c>
      <c r="D2056" t="s">
        <v>14025</v>
      </c>
      <c r="E2056" t="s">
        <v>14026</v>
      </c>
    </row>
    <row r="2057" spans="1:5">
      <c r="A2057" t="s">
        <v>17563</v>
      </c>
      <c r="B2057" t="s">
        <v>17564</v>
      </c>
      <c r="C2057" t="s">
        <v>14025</v>
      </c>
      <c r="D2057" t="s">
        <v>14025</v>
      </c>
      <c r="E2057" t="s">
        <v>14026</v>
      </c>
    </row>
    <row r="2058" spans="1:5">
      <c r="A2058" t="s">
        <v>17565</v>
      </c>
      <c r="B2058" t="s">
        <v>17566</v>
      </c>
      <c r="C2058" t="s">
        <v>13880</v>
      </c>
      <c r="D2058" t="s">
        <v>13881</v>
      </c>
      <c r="E2058" t="s">
        <v>13882</v>
      </c>
    </row>
    <row r="2059" spans="1:5">
      <c r="A2059" t="s">
        <v>17567</v>
      </c>
      <c r="B2059" t="s">
        <v>17568</v>
      </c>
      <c r="C2059" t="s">
        <v>13880</v>
      </c>
      <c r="D2059" t="s">
        <v>13881</v>
      </c>
      <c r="E2059" t="s">
        <v>13882</v>
      </c>
    </row>
    <row r="2060" spans="1:5">
      <c r="A2060" t="s">
        <v>2038</v>
      </c>
      <c r="B2060" t="s">
        <v>17569</v>
      </c>
      <c r="C2060" t="s">
        <v>13871</v>
      </c>
      <c r="D2060" t="s">
        <v>13872</v>
      </c>
      <c r="E2060" t="s">
        <v>13873</v>
      </c>
    </row>
    <row r="2061" spans="1:5">
      <c r="A2061" t="s">
        <v>17570</v>
      </c>
      <c r="B2061" t="s">
        <v>17571</v>
      </c>
      <c r="C2061" t="s">
        <v>13988</v>
      </c>
      <c r="D2061" t="s">
        <v>13989</v>
      </c>
      <c r="E2061" t="s">
        <v>13990</v>
      </c>
    </row>
    <row r="2062" spans="1:5">
      <c r="A2062" t="s">
        <v>17572</v>
      </c>
      <c r="B2062" t="s">
        <v>17573</v>
      </c>
      <c r="C2062" t="s">
        <v>17574</v>
      </c>
      <c r="D2062" t="s">
        <v>15747</v>
      </c>
      <c r="E2062" t="s">
        <v>15748</v>
      </c>
    </row>
    <row r="2063" spans="1:5">
      <c r="A2063" t="s">
        <v>3616</v>
      </c>
      <c r="B2063" t="s">
        <v>17575</v>
      </c>
      <c r="C2063" t="s">
        <v>14017</v>
      </c>
      <c r="D2063" t="s">
        <v>14018</v>
      </c>
      <c r="E2063" t="s">
        <v>14019</v>
      </c>
    </row>
    <row r="2064" spans="1:5">
      <c r="A2064" t="s">
        <v>17576</v>
      </c>
      <c r="B2064" t="s">
        <v>17577</v>
      </c>
      <c r="C2064" t="s">
        <v>17578</v>
      </c>
      <c r="D2064" t="s">
        <v>14781</v>
      </c>
      <c r="E2064" t="s">
        <v>14782</v>
      </c>
    </row>
    <row r="2065" spans="1:5">
      <c r="A2065" t="s">
        <v>1239</v>
      </c>
      <c r="B2065" t="s">
        <v>17579</v>
      </c>
      <c r="C2065" t="s">
        <v>17124</v>
      </c>
      <c r="D2065" t="s">
        <v>14327</v>
      </c>
      <c r="E2065" t="s">
        <v>14328</v>
      </c>
    </row>
    <row r="2066" spans="1:5">
      <c r="A2066" t="s">
        <v>1173</v>
      </c>
      <c r="B2066" t="s">
        <v>17580</v>
      </c>
      <c r="C2066" t="s">
        <v>14767</v>
      </c>
      <c r="D2066" t="s">
        <v>14768</v>
      </c>
      <c r="E2066" t="s">
        <v>14769</v>
      </c>
    </row>
    <row r="2067" spans="1:5">
      <c r="A2067" t="s">
        <v>17581</v>
      </c>
      <c r="B2067" t="s">
        <v>17582</v>
      </c>
      <c r="C2067" t="s">
        <v>13884</v>
      </c>
      <c r="D2067" t="s">
        <v>13885</v>
      </c>
      <c r="E2067" t="s">
        <v>13886</v>
      </c>
    </row>
    <row r="2068" spans="1:5">
      <c r="A2068" t="s">
        <v>2847</v>
      </c>
      <c r="B2068" t="s">
        <v>17583</v>
      </c>
      <c r="C2068" t="s">
        <v>14061</v>
      </c>
      <c r="D2068" t="s">
        <v>13913</v>
      </c>
      <c r="E2068" t="s">
        <v>13914</v>
      </c>
    </row>
    <row r="2069" spans="1:5">
      <c r="A2069" t="s">
        <v>2715</v>
      </c>
      <c r="B2069" t="s">
        <v>17584</v>
      </c>
      <c r="C2069" t="s">
        <v>15695</v>
      </c>
      <c r="D2069" t="s">
        <v>15695</v>
      </c>
      <c r="E2069" t="s">
        <v>15696</v>
      </c>
    </row>
    <row r="2070" spans="1:5">
      <c r="A2070" t="s">
        <v>17585</v>
      </c>
      <c r="B2070" t="s">
        <v>17586</v>
      </c>
      <c r="C2070" t="s">
        <v>16117</v>
      </c>
      <c r="D2070" t="s">
        <v>14672</v>
      </c>
      <c r="E2070" t="s">
        <v>16118</v>
      </c>
    </row>
    <row r="2071" spans="1:5">
      <c r="A2071" t="s">
        <v>1143</v>
      </c>
      <c r="B2071" t="s">
        <v>17587</v>
      </c>
      <c r="C2071" t="s">
        <v>14647</v>
      </c>
      <c r="D2071" t="s">
        <v>14327</v>
      </c>
      <c r="E2071" t="s">
        <v>14328</v>
      </c>
    </row>
    <row r="2072" spans="1:5">
      <c r="A2072" t="s">
        <v>3304</v>
      </c>
      <c r="B2072" t="s">
        <v>17588</v>
      </c>
      <c r="C2072" t="s">
        <v>14780</v>
      </c>
      <c r="D2072" t="s">
        <v>14781</v>
      </c>
      <c r="E2072" t="s">
        <v>14782</v>
      </c>
    </row>
    <row r="2073" spans="1:5">
      <c r="A2073" t="s">
        <v>7123</v>
      </c>
      <c r="B2073" t="s">
        <v>17589</v>
      </c>
      <c r="C2073" t="s">
        <v>14806</v>
      </c>
      <c r="D2073" t="s">
        <v>14078</v>
      </c>
      <c r="E2073" t="s">
        <v>14079</v>
      </c>
    </row>
    <row r="2074" spans="1:5">
      <c r="A2074" t="s">
        <v>17590</v>
      </c>
      <c r="B2074" t="s">
        <v>17591</v>
      </c>
      <c r="C2074" t="s">
        <v>14061</v>
      </c>
      <c r="D2074" t="s">
        <v>13913</v>
      </c>
      <c r="E2074" t="s">
        <v>13914</v>
      </c>
    </row>
    <row r="2075" spans="1:5">
      <c r="A2075" t="s">
        <v>1315</v>
      </c>
      <c r="B2075" t="s">
        <v>17592</v>
      </c>
      <c r="C2075" t="s">
        <v>15042</v>
      </c>
      <c r="D2075" t="s">
        <v>14595</v>
      </c>
      <c r="E2075" t="s">
        <v>14596</v>
      </c>
    </row>
    <row r="2076" spans="1:5">
      <c r="A2076" t="s">
        <v>17593</v>
      </c>
      <c r="B2076" t="s">
        <v>17594</v>
      </c>
      <c r="C2076" t="s">
        <v>17595</v>
      </c>
      <c r="D2076" t="s">
        <v>13897</v>
      </c>
      <c r="E2076" t="s">
        <v>13898</v>
      </c>
    </row>
    <row r="2077" spans="1:5">
      <c r="A2077" t="s">
        <v>17596</v>
      </c>
      <c r="B2077" t="s">
        <v>17597</v>
      </c>
      <c r="C2077" t="s">
        <v>17338</v>
      </c>
      <c r="D2077" t="s">
        <v>14195</v>
      </c>
      <c r="E2077" t="s">
        <v>14196</v>
      </c>
    </row>
    <row r="2078" spans="1:5">
      <c r="A2078" t="s">
        <v>17598</v>
      </c>
      <c r="B2078" t="s">
        <v>17599</v>
      </c>
      <c r="C2078" t="s">
        <v>14865</v>
      </c>
      <c r="D2078" t="s">
        <v>14301</v>
      </c>
      <c r="E2078" t="s">
        <v>14302</v>
      </c>
    </row>
    <row r="2079" spans="1:5">
      <c r="A2079" t="s">
        <v>2448</v>
      </c>
      <c r="B2079" t="s">
        <v>17600</v>
      </c>
      <c r="C2079" t="s">
        <v>14224</v>
      </c>
      <c r="D2079" t="s">
        <v>14002</v>
      </c>
      <c r="E2079" t="s">
        <v>14003</v>
      </c>
    </row>
    <row r="2080" spans="1:5">
      <c r="A2080" t="s">
        <v>3652</v>
      </c>
      <c r="B2080" t="s">
        <v>17601</v>
      </c>
      <c r="C2080" t="s">
        <v>14039</v>
      </c>
      <c r="D2080" t="s">
        <v>14040</v>
      </c>
      <c r="E2080" t="s">
        <v>14041</v>
      </c>
    </row>
    <row r="2081" spans="1:5">
      <c r="A2081" t="s">
        <v>117</v>
      </c>
      <c r="B2081" t="s">
        <v>17602</v>
      </c>
      <c r="C2081" t="s">
        <v>13916</v>
      </c>
      <c r="D2081" t="s">
        <v>13901</v>
      </c>
      <c r="E2081" t="s">
        <v>13902</v>
      </c>
    </row>
    <row r="2082" spans="1:5">
      <c r="A2082" t="s">
        <v>95</v>
      </c>
      <c r="B2082" t="s">
        <v>17603</v>
      </c>
      <c r="C2082" t="s">
        <v>13905</v>
      </c>
      <c r="D2082" t="s">
        <v>13901</v>
      </c>
      <c r="E2082" t="s">
        <v>13902</v>
      </c>
    </row>
    <row r="2083" spans="1:5">
      <c r="A2083" t="s">
        <v>3308</v>
      </c>
      <c r="B2083" t="s">
        <v>17604</v>
      </c>
      <c r="C2083" t="s">
        <v>15022</v>
      </c>
      <c r="D2083" t="s">
        <v>14408</v>
      </c>
      <c r="E2083" t="s">
        <v>14409</v>
      </c>
    </row>
    <row r="2084" spans="1:5">
      <c r="A2084" t="s">
        <v>2470</v>
      </c>
      <c r="B2084" t="s">
        <v>17605</v>
      </c>
      <c r="C2084" t="s">
        <v>14712</v>
      </c>
      <c r="D2084" t="s">
        <v>14558</v>
      </c>
      <c r="E2084" t="s">
        <v>14559</v>
      </c>
    </row>
    <row r="2085" spans="1:5">
      <c r="A2085" t="s">
        <v>2670</v>
      </c>
      <c r="B2085" t="s">
        <v>17606</v>
      </c>
      <c r="C2085" t="s">
        <v>17607</v>
      </c>
      <c r="D2085" t="s">
        <v>14526</v>
      </c>
      <c r="E2085" t="s">
        <v>14527</v>
      </c>
    </row>
    <row r="2086" spans="1:5">
      <c r="A2086" t="s">
        <v>2856</v>
      </c>
      <c r="B2086" t="s">
        <v>17608</v>
      </c>
      <c r="C2086" t="s">
        <v>13932</v>
      </c>
      <c r="D2086" t="s">
        <v>13932</v>
      </c>
      <c r="E2086" t="s">
        <v>13933</v>
      </c>
    </row>
    <row r="2087" spans="1:5">
      <c r="A2087" t="s">
        <v>444</v>
      </c>
      <c r="B2087" t="s">
        <v>17609</v>
      </c>
      <c r="C2087" t="s">
        <v>13916</v>
      </c>
      <c r="D2087" t="s">
        <v>13901</v>
      </c>
      <c r="E2087" t="s">
        <v>13902</v>
      </c>
    </row>
    <row r="2088" spans="1:5">
      <c r="A2088" t="s">
        <v>17610</v>
      </c>
      <c r="B2088" t="s">
        <v>17611</v>
      </c>
      <c r="C2088" t="s">
        <v>13951</v>
      </c>
      <c r="D2088" t="s">
        <v>13927</v>
      </c>
      <c r="E2088" t="s">
        <v>13928</v>
      </c>
    </row>
    <row r="2089" spans="1:5">
      <c r="A2089" t="s">
        <v>91</v>
      </c>
      <c r="B2089" t="s">
        <v>17612</v>
      </c>
      <c r="C2089" t="s">
        <v>13916</v>
      </c>
      <c r="D2089" t="s">
        <v>13901</v>
      </c>
      <c r="E2089" t="s">
        <v>13902</v>
      </c>
    </row>
    <row r="2090" spans="1:5">
      <c r="A2090" t="s">
        <v>3370</v>
      </c>
      <c r="B2090" t="s">
        <v>14016</v>
      </c>
      <c r="C2090" t="s">
        <v>14017</v>
      </c>
      <c r="D2090" t="s">
        <v>14018</v>
      </c>
      <c r="E2090" t="s">
        <v>14019</v>
      </c>
    </row>
    <row r="2091" spans="1:5">
      <c r="A2091" t="s">
        <v>17613</v>
      </c>
      <c r="B2091" t="s">
        <v>17614</v>
      </c>
      <c r="C2091" t="s">
        <v>13967</v>
      </c>
      <c r="D2091" t="s">
        <v>13968</v>
      </c>
      <c r="E2091" t="s">
        <v>13969</v>
      </c>
    </row>
    <row r="2092" spans="1:5">
      <c r="A2092" t="s">
        <v>3446</v>
      </c>
      <c r="B2092" t="s">
        <v>17615</v>
      </c>
      <c r="C2092" t="s">
        <v>13935</v>
      </c>
      <c r="D2092" t="s">
        <v>13935</v>
      </c>
      <c r="E2092" t="s">
        <v>13936</v>
      </c>
    </row>
    <row r="2093" spans="1:5">
      <c r="A2093" t="s">
        <v>17616</v>
      </c>
      <c r="B2093" t="s">
        <v>17617</v>
      </c>
      <c r="C2093" t="s">
        <v>14005</v>
      </c>
      <c r="D2093" t="s">
        <v>13939</v>
      </c>
      <c r="E2093" t="s">
        <v>13940</v>
      </c>
    </row>
    <row r="2094" spans="1:5">
      <c r="A2094" t="s">
        <v>17618</v>
      </c>
      <c r="B2094" t="s">
        <v>17619</v>
      </c>
      <c r="C2094" t="s">
        <v>14888</v>
      </c>
      <c r="D2094" t="s">
        <v>14889</v>
      </c>
      <c r="E2094" t="s">
        <v>14890</v>
      </c>
    </row>
    <row r="2095" spans="1:5">
      <c r="A2095" t="s">
        <v>2179</v>
      </c>
      <c r="B2095" t="s">
        <v>17620</v>
      </c>
      <c r="C2095" t="s">
        <v>13871</v>
      </c>
      <c r="D2095" t="s">
        <v>13872</v>
      </c>
      <c r="E2095" t="s">
        <v>13873</v>
      </c>
    </row>
    <row r="2096" spans="1:5">
      <c r="A2096" t="s">
        <v>3012</v>
      </c>
      <c r="B2096" t="s">
        <v>17621</v>
      </c>
      <c r="C2096" t="s">
        <v>14048</v>
      </c>
      <c r="D2096" t="s">
        <v>14049</v>
      </c>
      <c r="E2096" t="s">
        <v>14050</v>
      </c>
    </row>
    <row r="2097" spans="1:5">
      <c r="A2097" t="s">
        <v>3364</v>
      </c>
      <c r="B2097" t="s">
        <v>17542</v>
      </c>
      <c r="C2097" t="s">
        <v>14017</v>
      </c>
      <c r="D2097" t="s">
        <v>14018</v>
      </c>
      <c r="E2097" t="s">
        <v>14019</v>
      </c>
    </row>
    <row r="2098" spans="1:5">
      <c r="A2098" t="s">
        <v>17622</v>
      </c>
      <c r="B2098" t="s">
        <v>17623</v>
      </c>
      <c r="C2098" t="s">
        <v>13871</v>
      </c>
      <c r="D2098" t="s">
        <v>13872</v>
      </c>
      <c r="E2098" t="s">
        <v>13873</v>
      </c>
    </row>
    <row r="2099" spans="1:5">
      <c r="A2099" t="s">
        <v>1877</v>
      </c>
      <c r="B2099" t="s">
        <v>17624</v>
      </c>
      <c r="C2099" t="s">
        <v>13988</v>
      </c>
      <c r="D2099" t="s">
        <v>13989</v>
      </c>
      <c r="E2099" t="s">
        <v>13990</v>
      </c>
    </row>
    <row r="2100" spans="1:5">
      <c r="A2100" t="s">
        <v>79</v>
      </c>
      <c r="B2100" t="s">
        <v>17625</v>
      </c>
      <c r="C2100" t="s">
        <v>13916</v>
      </c>
      <c r="D2100" t="s">
        <v>13901</v>
      </c>
      <c r="E2100" t="s">
        <v>13902</v>
      </c>
    </row>
    <row r="2101" spans="1:5">
      <c r="A2101" t="s">
        <v>2631</v>
      </c>
      <c r="B2101" t="s">
        <v>17626</v>
      </c>
      <c r="C2101" t="s">
        <v>15268</v>
      </c>
      <c r="D2101" t="s">
        <v>14526</v>
      </c>
      <c r="E2101" t="s">
        <v>14527</v>
      </c>
    </row>
    <row r="2102" spans="1:5">
      <c r="A2102" t="s">
        <v>2015</v>
      </c>
      <c r="B2102" t="s">
        <v>17627</v>
      </c>
      <c r="C2102" t="s">
        <v>14305</v>
      </c>
      <c r="D2102" t="s">
        <v>14306</v>
      </c>
      <c r="E2102" t="s">
        <v>14307</v>
      </c>
    </row>
    <row r="2103" spans="1:5">
      <c r="A2103" t="s">
        <v>2436</v>
      </c>
      <c r="B2103" t="s">
        <v>17628</v>
      </c>
      <c r="C2103" t="s">
        <v>14380</v>
      </c>
      <c r="D2103" t="s">
        <v>14381</v>
      </c>
      <c r="E2103" t="s">
        <v>14382</v>
      </c>
    </row>
    <row r="2104" spans="1:5">
      <c r="A2104" t="s">
        <v>17629</v>
      </c>
      <c r="B2104" t="s">
        <v>17630</v>
      </c>
      <c r="C2104" t="s">
        <v>16513</v>
      </c>
      <c r="D2104" t="s">
        <v>13964</v>
      </c>
      <c r="E2104" t="s">
        <v>13965</v>
      </c>
    </row>
    <row r="2105" spans="1:5">
      <c r="A2105" t="s">
        <v>17631</v>
      </c>
      <c r="B2105" t="s">
        <v>17632</v>
      </c>
      <c r="C2105" t="s">
        <v>14132</v>
      </c>
      <c r="D2105" t="s">
        <v>14133</v>
      </c>
      <c r="E2105" t="s">
        <v>14134</v>
      </c>
    </row>
    <row r="2106" spans="1:5">
      <c r="A2106" t="s">
        <v>17633</v>
      </c>
      <c r="B2106" t="s">
        <v>14223</v>
      </c>
      <c r="C2106" t="s">
        <v>14224</v>
      </c>
      <c r="D2106" t="s">
        <v>14002</v>
      </c>
      <c r="E2106" t="s">
        <v>14003</v>
      </c>
    </row>
    <row r="2107" spans="1:5">
      <c r="A2107" t="s">
        <v>3034</v>
      </c>
      <c r="B2107" t="s">
        <v>14255</v>
      </c>
      <c r="C2107" t="s">
        <v>13967</v>
      </c>
      <c r="D2107" t="s">
        <v>13968</v>
      </c>
      <c r="E2107" t="s">
        <v>13969</v>
      </c>
    </row>
    <row r="2108" spans="1:5">
      <c r="A2108" t="s">
        <v>3069</v>
      </c>
      <c r="B2108" t="s">
        <v>17634</v>
      </c>
      <c r="C2108" t="s">
        <v>17635</v>
      </c>
      <c r="D2108" t="s">
        <v>14073</v>
      </c>
      <c r="E2108" t="s">
        <v>14074</v>
      </c>
    </row>
    <row r="2109" spans="1:5">
      <c r="A2109" t="s">
        <v>138</v>
      </c>
      <c r="B2109" t="s">
        <v>17636</v>
      </c>
      <c r="C2109" t="s">
        <v>13905</v>
      </c>
      <c r="D2109" t="s">
        <v>13901</v>
      </c>
      <c r="E2109" t="s">
        <v>13902</v>
      </c>
    </row>
    <row r="2110" spans="1:5">
      <c r="A2110" t="s">
        <v>1606</v>
      </c>
      <c r="B2110" t="s">
        <v>14279</v>
      </c>
      <c r="C2110" t="s">
        <v>14052</v>
      </c>
      <c r="D2110" t="s">
        <v>14053</v>
      </c>
      <c r="E2110" t="s">
        <v>14054</v>
      </c>
    </row>
    <row r="2111" spans="1:5">
      <c r="A2111" t="s">
        <v>3528</v>
      </c>
      <c r="B2111" t="s">
        <v>17637</v>
      </c>
      <c r="C2111" t="s">
        <v>14465</v>
      </c>
      <c r="D2111" t="s">
        <v>13935</v>
      </c>
      <c r="E2111" t="s">
        <v>13936</v>
      </c>
    </row>
    <row r="2112" spans="1:5">
      <c r="A2112" t="s">
        <v>2314</v>
      </c>
      <c r="B2112" t="s">
        <v>17638</v>
      </c>
      <c r="C2112" t="s">
        <v>14194</v>
      </c>
      <c r="D2112" t="s">
        <v>14195</v>
      </c>
      <c r="E2112" t="s">
        <v>14196</v>
      </c>
    </row>
    <row r="2113" spans="1:5">
      <c r="A2113" t="s">
        <v>17639</v>
      </c>
      <c r="B2113" t="s">
        <v>17640</v>
      </c>
      <c r="C2113" t="s">
        <v>16078</v>
      </c>
      <c r="D2113" t="s">
        <v>13955</v>
      </c>
      <c r="E2113" t="s">
        <v>13956</v>
      </c>
    </row>
    <row r="2114" spans="1:5">
      <c r="A2114" t="s">
        <v>17641</v>
      </c>
      <c r="B2114" t="s">
        <v>17642</v>
      </c>
      <c r="C2114" t="s">
        <v>14061</v>
      </c>
      <c r="D2114" t="s">
        <v>13913</v>
      </c>
      <c r="E2114" t="s">
        <v>13914</v>
      </c>
    </row>
    <row r="2115" spans="1:5">
      <c r="A2115" t="s">
        <v>1158</v>
      </c>
      <c r="B2115" t="s">
        <v>17643</v>
      </c>
      <c r="C2115" t="s">
        <v>14767</v>
      </c>
      <c r="D2115" t="s">
        <v>14768</v>
      </c>
      <c r="E2115" t="s">
        <v>14769</v>
      </c>
    </row>
    <row r="2116" spans="1:5">
      <c r="A2116" t="s">
        <v>17644</v>
      </c>
      <c r="B2116" t="s">
        <v>17645</v>
      </c>
      <c r="C2116" t="s">
        <v>13916</v>
      </c>
      <c r="D2116" t="s">
        <v>13901</v>
      </c>
      <c r="E2116" t="s">
        <v>13902</v>
      </c>
    </row>
    <row r="2117" spans="1:5">
      <c r="A2117" t="s">
        <v>1065</v>
      </c>
      <c r="B2117" t="s">
        <v>17646</v>
      </c>
      <c r="C2117" t="s">
        <v>14517</v>
      </c>
      <c r="D2117" t="s">
        <v>14243</v>
      </c>
      <c r="E2117" t="s">
        <v>14244</v>
      </c>
    </row>
    <row r="2118" spans="1:5">
      <c r="A2118" t="s">
        <v>17647</v>
      </c>
      <c r="B2118" t="s">
        <v>17648</v>
      </c>
      <c r="C2118" t="s">
        <v>17649</v>
      </c>
      <c r="D2118" t="s">
        <v>14165</v>
      </c>
      <c r="E2118" t="s">
        <v>14166</v>
      </c>
    </row>
    <row r="2119" spans="1:5">
      <c r="A2119" t="s">
        <v>2450</v>
      </c>
      <c r="B2119" t="s">
        <v>17650</v>
      </c>
      <c r="C2119" t="s">
        <v>14224</v>
      </c>
      <c r="D2119" t="s">
        <v>14002</v>
      </c>
      <c r="E2119" t="s">
        <v>14003</v>
      </c>
    </row>
    <row r="2120" spans="1:5">
      <c r="A2120" t="s">
        <v>2598</v>
      </c>
      <c r="B2120" t="s">
        <v>17651</v>
      </c>
      <c r="C2120" t="s">
        <v>15268</v>
      </c>
      <c r="D2120" t="s">
        <v>14526</v>
      </c>
      <c r="E2120" t="s">
        <v>14527</v>
      </c>
    </row>
    <row r="2121" spans="1:5">
      <c r="A2121" t="s">
        <v>1581</v>
      </c>
      <c r="B2121" t="s">
        <v>17652</v>
      </c>
      <c r="C2121" t="s">
        <v>17653</v>
      </c>
      <c r="D2121" t="s">
        <v>13946</v>
      </c>
      <c r="E2121" t="s">
        <v>13947</v>
      </c>
    </row>
    <row r="2122" spans="1:5">
      <c r="A2122" t="s">
        <v>2113</v>
      </c>
      <c r="B2122" t="s">
        <v>17654</v>
      </c>
      <c r="C2122" t="s">
        <v>14240</v>
      </c>
      <c r="D2122" t="s">
        <v>13872</v>
      </c>
      <c r="E2122" t="s">
        <v>13873</v>
      </c>
    </row>
    <row r="2123" spans="1:5">
      <c r="A2123" t="s">
        <v>17655</v>
      </c>
      <c r="B2123" t="s">
        <v>17656</v>
      </c>
      <c r="C2123" t="s">
        <v>13988</v>
      </c>
      <c r="D2123" t="s">
        <v>13989</v>
      </c>
      <c r="E2123" t="s">
        <v>13990</v>
      </c>
    </row>
    <row r="2124" spans="1:5">
      <c r="A2124" t="s">
        <v>17657</v>
      </c>
      <c r="B2124" t="s">
        <v>17658</v>
      </c>
      <c r="C2124" t="s">
        <v>15993</v>
      </c>
      <c r="D2124" t="s">
        <v>14327</v>
      </c>
      <c r="E2124" t="s">
        <v>14328</v>
      </c>
    </row>
    <row r="2125" spans="1:5">
      <c r="A2125" t="s">
        <v>17659</v>
      </c>
      <c r="B2125" t="s">
        <v>17660</v>
      </c>
      <c r="C2125" t="s">
        <v>15337</v>
      </c>
      <c r="D2125" t="s">
        <v>14078</v>
      </c>
      <c r="E2125" t="s">
        <v>14079</v>
      </c>
    </row>
    <row r="2126" spans="1:5">
      <c r="A2126" t="s">
        <v>17661</v>
      </c>
      <c r="B2126" t="s">
        <v>17662</v>
      </c>
      <c r="C2126" t="s">
        <v>14712</v>
      </c>
      <c r="D2126" t="s">
        <v>14558</v>
      </c>
      <c r="E2126" t="s">
        <v>14559</v>
      </c>
    </row>
    <row r="2127" spans="1:5">
      <c r="A2127" t="s">
        <v>2245</v>
      </c>
      <c r="B2127" t="s">
        <v>17663</v>
      </c>
      <c r="C2127" t="s">
        <v>14240</v>
      </c>
      <c r="D2127" t="s">
        <v>13872</v>
      </c>
      <c r="E2127" t="s">
        <v>13873</v>
      </c>
    </row>
    <row r="2128" spans="1:5">
      <c r="A2128" t="s">
        <v>17664</v>
      </c>
      <c r="B2128" t="s">
        <v>17665</v>
      </c>
      <c r="C2128" t="s">
        <v>14147</v>
      </c>
      <c r="D2128" t="s">
        <v>13881</v>
      </c>
      <c r="E2128" t="s">
        <v>13882</v>
      </c>
    </row>
    <row r="2129" spans="1:5">
      <c r="A2129" t="s">
        <v>17666</v>
      </c>
      <c r="B2129" t="s">
        <v>17667</v>
      </c>
      <c r="C2129" t="s">
        <v>14012</v>
      </c>
      <c r="D2129" t="s">
        <v>13927</v>
      </c>
      <c r="E2129" t="s">
        <v>13928</v>
      </c>
    </row>
    <row r="2130" spans="1:5">
      <c r="A2130" t="s">
        <v>3168</v>
      </c>
      <c r="B2130" t="s">
        <v>17668</v>
      </c>
      <c r="C2130" t="s">
        <v>14513</v>
      </c>
      <c r="D2130" t="s">
        <v>13923</v>
      </c>
      <c r="E2130" t="s">
        <v>13924</v>
      </c>
    </row>
    <row r="2131" spans="1:5">
      <c r="A2131" t="s">
        <v>2801</v>
      </c>
      <c r="B2131" t="s">
        <v>17669</v>
      </c>
      <c r="C2131" t="s">
        <v>16296</v>
      </c>
      <c r="D2131" t="s">
        <v>13932</v>
      </c>
      <c r="E2131" t="s">
        <v>13933</v>
      </c>
    </row>
    <row r="2132" spans="1:5">
      <c r="A2132" t="s">
        <v>3481</v>
      </c>
      <c r="B2132" t="s">
        <v>17670</v>
      </c>
      <c r="C2132" t="s">
        <v>15199</v>
      </c>
      <c r="D2132" t="s">
        <v>14301</v>
      </c>
      <c r="E2132" t="s">
        <v>14302</v>
      </c>
    </row>
    <row r="2133" spans="1:5">
      <c r="A2133" t="s">
        <v>87</v>
      </c>
      <c r="B2133" t="s">
        <v>17671</v>
      </c>
      <c r="C2133" t="s">
        <v>13905</v>
      </c>
      <c r="D2133" t="s">
        <v>13901</v>
      </c>
      <c r="E2133" t="s">
        <v>13902</v>
      </c>
    </row>
    <row r="2134" spans="1:5">
      <c r="A2134" t="s">
        <v>17672</v>
      </c>
      <c r="B2134" t="s">
        <v>17673</v>
      </c>
      <c r="C2134" t="s">
        <v>14865</v>
      </c>
      <c r="D2134" t="s">
        <v>14301</v>
      </c>
      <c r="E2134" t="s">
        <v>14302</v>
      </c>
    </row>
    <row r="2135" spans="1:5">
      <c r="A2135" t="s">
        <v>1076</v>
      </c>
      <c r="B2135" t="s">
        <v>17674</v>
      </c>
      <c r="C2135" t="s">
        <v>13951</v>
      </c>
      <c r="D2135" t="s">
        <v>13927</v>
      </c>
      <c r="E2135" t="s">
        <v>13928</v>
      </c>
    </row>
    <row r="2136" spans="1:5">
      <c r="A2136" t="s">
        <v>2426</v>
      </c>
      <c r="B2136" t="s">
        <v>17675</v>
      </c>
      <c r="C2136" t="s">
        <v>14001</v>
      </c>
      <c r="D2136" t="s">
        <v>14002</v>
      </c>
      <c r="E2136" t="s">
        <v>14003</v>
      </c>
    </row>
    <row r="2137" spans="1:5">
      <c r="A2137" t="s">
        <v>17676</v>
      </c>
      <c r="B2137" t="s">
        <v>17677</v>
      </c>
      <c r="C2137" t="s">
        <v>14147</v>
      </c>
      <c r="D2137" t="s">
        <v>13881</v>
      </c>
      <c r="E2137" t="s">
        <v>13882</v>
      </c>
    </row>
    <row r="2138" spans="1:5">
      <c r="A2138" t="s">
        <v>3121</v>
      </c>
      <c r="B2138" t="s">
        <v>17678</v>
      </c>
      <c r="C2138" t="s">
        <v>14072</v>
      </c>
      <c r="D2138" t="s">
        <v>14073</v>
      </c>
      <c r="E2138" t="s">
        <v>14074</v>
      </c>
    </row>
    <row r="2139" spans="1:5">
      <c r="A2139" t="s">
        <v>2752</v>
      </c>
      <c r="B2139" t="s">
        <v>14520</v>
      </c>
      <c r="C2139" t="s">
        <v>14061</v>
      </c>
      <c r="D2139" t="s">
        <v>13913</v>
      </c>
      <c r="E2139" t="s">
        <v>13914</v>
      </c>
    </row>
    <row r="2140" spans="1:5">
      <c r="A2140" t="s">
        <v>17679</v>
      </c>
      <c r="B2140" t="s">
        <v>17680</v>
      </c>
      <c r="C2140" t="s">
        <v>14323</v>
      </c>
      <c r="D2140" t="s">
        <v>13901</v>
      </c>
      <c r="E2140" t="s">
        <v>13902</v>
      </c>
    </row>
    <row r="2141" spans="1:5">
      <c r="A2141" t="s">
        <v>440</v>
      </c>
      <c r="B2141" t="s">
        <v>17681</v>
      </c>
      <c r="C2141" t="s">
        <v>14323</v>
      </c>
      <c r="D2141" t="s">
        <v>13901</v>
      </c>
      <c r="E2141" t="s">
        <v>13902</v>
      </c>
    </row>
    <row r="2142" spans="1:5">
      <c r="A2142" t="s">
        <v>3152</v>
      </c>
      <c r="B2142" t="s">
        <v>17682</v>
      </c>
      <c r="C2142" t="s">
        <v>13967</v>
      </c>
      <c r="D2142" t="s">
        <v>13968</v>
      </c>
      <c r="E2142" t="s">
        <v>13969</v>
      </c>
    </row>
    <row r="2143" spans="1:5">
      <c r="A2143" t="s">
        <v>17683</v>
      </c>
      <c r="B2143" t="s">
        <v>17684</v>
      </c>
      <c r="C2143" t="s">
        <v>14154</v>
      </c>
      <c r="D2143" t="s">
        <v>14140</v>
      </c>
      <c r="E2143" t="s">
        <v>14141</v>
      </c>
    </row>
    <row r="2144" spans="1:5">
      <c r="A2144" t="s">
        <v>479</v>
      </c>
      <c r="B2144" t="s">
        <v>17685</v>
      </c>
      <c r="C2144" t="s">
        <v>13943</v>
      </c>
      <c r="D2144" t="s">
        <v>13901</v>
      </c>
      <c r="E2144" t="s">
        <v>13902</v>
      </c>
    </row>
    <row r="2145" spans="1:5">
      <c r="A2145" t="s">
        <v>106</v>
      </c>
      <c r="B2145" t="s">
        <v>17686</v>
      </c>
      <c r="C2145" t="s">
        <v>13916</v>
      </c>
      <c r="D2145" t="s">
        <v>13901</v>
      </c>
      <c r="E2145" t="s">
        <v>13902</v>
      </c>
    </row>
    <row r="2146" spans="1:5">
      <c r="A2146" t="s">
        <v>17687</v>
      </c>
      <c r="B2146" t="s">
        <v>17688</v>
      </c>
      <c r="C2146" t="s">
        <v>14012</v>
      </c>
      <c r="D2146" t="s">
        <v>13927</v>
      </c>
      <c r="E2146" t="s">
        <v>13928</v>
      </c>
    </row>
    <row r="2147" spans="1:5">
      <c r="A2147" t="s">
        <v>1910</v>
      </c>
      <c r="B2147" t="s">
        <v>17689</v>
      </c>
      <c r="C2147" t="s">
        <v>14534</v>
      </c>
      <c r="D2147" t="s">
        <v>14535</v>
      </c>
      <c r="E2147" t="s">
        <v>14536</v>
      </c>
    </row>
    <row r="2148" spans="1:5">
      <c r="A2148" t="s">
        <v>17690</v>
      </c>
      <c r="B2148" t="s">
        <v>17691</v>
      </c>
      <c r="C2148" t="s">
        <v>14194</v>
      </c>
      <c r="D2148" t="s">
        <v>14195</v>
      </c>
      <c r="E2148" t="s">
        <v>14196</v>
      </c>
    </row>
    <row r="2149" spans="1:5">
      <c r="A2149" t="s">
        <v>17692</v>
      </c>
      <c r="B2149" t="s">
        <v>17693</v>
      </c>
      <c r="C2149" t="s">
        <v>14021</v>
      </c>
      <c r="D2149" t="s">
        <v>14021</v>
      </c>
      <c r="E2149" t="s">
        <v>14022</v>
      </c>
    </row>
    <row r="2150" spans="1:5">
      <c r="A2150" t="s">
        <v>2423</v>
      </c>
      <c r="B2150" t="s">
        <v>17694</v>
      </c>
      <c r="C2150" t="s">
        <v>14380</v>
      </c>
      <c r="D2150" t="s">
        <v>14381</v>
      </c>
      <c r="E2150" t="s">
        <v>14382</v>
      </c>
    </row>
    <row r="2151" spans="1:5">
      <c r="A2151" t="s">
        <v>1786</v>
      </c>
      <c r="B2151" t="s">
        <v>17695</v>
      </c>
      <c r="C2151" t="s">
        <v>14177</v>
      </c>
      <c r="D2151" t="s">
        <v>13946</v>
      </c>
      <c r="E2151" t="s">
        <v>13947</v>
      </c>
    </row>
    <row r="2152" spans="1:5">
      <c r="A2152" t="s">
        <v>2531</v>
      </c>
      <c r="B2152" t="s">
        <v>16185</v>
      </c>
      <c r="C2152" t="s">
        <v>14001</v>
      </c>
      <c r="D2152" t="s">
        <v>14002</v>
      </c>
      <c r="E2152" t="s">
        <v>14003</v>
      </c>
    </row>
    <row r="2153" spans="1:5">
      <c r="A2153" t="s">
        <v>2547</v>
      </c>
      <c r="B2153" t="s">
        <v>17696</v>
      </c>
      <c r="C2153" t="s">
        <v>14380</v>
      </c>
      <c r="D2153" t="s">
        <v>14381</v>
      </c>
      <c r="E2153" t="s">
        <v>14382</v>
      </c>
    </row>
    <row r="2154" spans="1:5">
      <c r="A2154" t="s">
        <v>17697</v>
      </c>
      <c r="B2154" t="s">
        <v>17698</v>
      </c>
      <c r="C2154" t="s">
        <v>17699</v>
      </c>
      <c r="D2154" t="s">
        <v>13932</v>
      </c>
      <c r="E2154" t="s">
        <v>13933</v>
      </c>
    </row>
    <row r="2155" spans="1:5">
      <c r="A2155" t="s">
        <v>1644</v>
      </c>
      <c r="B2155" t="s">
        <v>17700</v>
      </c>
      <c r="C2155" t="s">
        <v>14848</v>
      </c>
      <c r="D2155" t="s">
        <v>14259</v>
      </c>
      <c r="E2155" t="s">
        <v>14260</v>
      </c>
    </row>
    <row r="2156" spans="1:5">
      <c r="A2156" t="s">
        <v>3046</v>
      </c>
      <c r="B2156" t="s">
        <v>17701</v>
      </c>
      <c r="C2156" t="s">
        <v>14780</v>
      </c>
      <c r="D2156" t="s">
        <v>14781</v>
      </c>
      <c r="E2156" t="s">
        <v>14782</v>
      </c>
    </row>
    <row r="2157" spans="1:5">
      <c r="A2157" t="s">
        <v>17702</v>
      </c>
      <c r="B2157" t="s">
        <v>17703</v>
      </c>
      <c r="C2157" t="s">
        <v>14780</v>
      </c>
      <c r="D2157" t="s">
        <v>14781</v>
      </c>
      <c r="E2157" t="s">
        <v>14782</v>
      </c>
    </row>
    <row r="2158" spans="1:5">
      <c r="A2158" t="s">
        <v>17704</v>
      </c>
      <c r="B2158" t="s">
        <v>17705</v>
      </c>
      <c r="C2158" t="s">
        <v>16190</v>
      </c>
      <c r="D2158" t="s">
        <v>13889</v>
      </c>
      <c r="E2158" t="s">
        <v>13890</v>
      </c>
    </row>
    <row r="2159" spans="1:5">
      <c r="A2159" t="s">
        <v>17706</v>
      </c>
      <c r="B2159" t="s">
        <v>17707</v>
      </c>
      <c r="C2159" t="s">
        <v>14326</v>
      </c>
      <c r="D2159" t="s">
        <v>14327</v>
      </c>
      <c r="E2159" t="s">
        <v>14328</v>
      </c>
    </row>
    <row r="2160" spans="1:5">
      <c r="A2160" t="s">
        <v>17708</v>
      </c>
      <c r="B2160" t="s">
        <v>17709</v>
      </c>
      <c r="C2160" t="s">
        <v>14012</v>
      </c>
      <c r="D2160" t="s">
        <v>13927</v>
      </c>
      <c r="E2160" t="s">
        <v>13928</v>
      </c>
    </row>
    <row r="2161" spans="1:5">
      <c r="A2161" t="s">
        <v>17710</v>
      </c>
      <c r="B2161" t="s">
        <v>17711</v>
      </c>
      <c r="C2161" t="s">
        <v>13993</v>
      </c>
      <c r="D2161" t="s">
        <v>13994</v>
      </c>
      <c r="E2161" t="s">
        <v>13995</v>
      </c>
    </row>
    <row r="2162" spans="1:5">
      <c r="A2162" t="s">
        <v>17712</v>
      </c>
      <c r="B2162" t="s">
        <v>17713</v>
      </c>
      <c r="C2162" t="s">
        <v>14275</v>
      </c>
      <c r="D2162" t="s">
        <v>13881</v>
      </c>
      <c r="E2162" t="s">
        <v>13882</v>
      </c>
    </row>
    <row r="2163" spans="1:5">
      <c r="A2163" t="s">
        <v>1019</v>
      </c>
      <c r="B2163" t="s">
        <v>17714</v>
      </c>
      <c r="C2163" t="s">
        <v>14012</v>
      </c>
      <c r="D2163" t="s">
        <v>13927</v>
      </c>
      <c r="E2163" t="s">
        <v>13928</v>
      </c>
    </row>
    <row r="2164" spans="1:5">
      <c r="A2164" t="s">
        <v>2891</v>
      </c>
      <c r="B2164" t="s">
        <v>17715</v>
      </c>
      <c r="C2164" t="s">
        <v>13932</v>
      </c>
      <c r="D2164" t="s">
        <v>13932</v>
      </c>
      <c r="E2164" t="s">
        <v>13933</v>
      </c>
    </row>
    <row r="2165" spans="1:5">
      <c r="A2165" t="s">
        <v>2367</v>
      </c>
      <c r="B2165" t="s">
        <v>17716</v>
      </c>
      <c r="C2165" t="s">
        <v>14397</v>
      </c>
      <c r="D2165" t="s">
        <v>14397</v>
      </c>
      <c r="E2165" t="s">
        <v>14398</v>
      </c>
    </row>
    <row r="2166" spans="1:5">
      <c r="A2166" t="s">
        <v>1935</v>
      </c>
      <c r="B2166" t="s">
        <v>17717</v>
      </c>
      <c r="C2166" t="s">
        <v>15289</v>
      </c>
      <c r="D2166" t="s">
        <v>14535</v>
      </c>
      <c r="E2166" t="s">
        <v>14536</v>
      </c>
    </row>
    <row r="2167" spans="1:5">
      <c r="A2167" t="s">
        <v>3473</v>
      </c>
      <c r="B2167" t="s">
        <v>17718</v>
      </c>
      <c r="C2167" t="s">
        <v>14201</v>
      </c>
      <c r="D2167" t="s">
        <v>14040</v>
      </c>
      <c r="E2167" t="s">
        <v>14041</v>
      </c>
    </row>
    <row r="2168" spans="1:5">
      <c r="A2168" t="s">
        <v>17719</v>
      </c>
      <c r="B2168" t="s">
        <v>17720</v>
      </c>
      <c r="C2168" t="s">
        <v>17721</v>
      </c>
      <c r="D2168" t="s">
        <v>13889</v>
      </c>
      <c r="E2168" t="s">
        <v>13890</v>
      </c>
    </row>
    <row r="2169" spans="1:5">
      <c r="A2169" t="s">
        <v>3368</v>
      </c>
      <c r="B2169" t="s">
        <v>17722</v>
      </c>
      <c r="C2169" t="s">
        <v>13905</v>
      </c>
      <c r="D2169" t="s">
        <v>13881</v>
      </c>
      <c r="E2169" t="s">
        <v>13882</v>
      </c>
    </row>
    <row r="2170" spans="1:5">
      <c r="A2170" t="s">
        <v>17723</v>
      </c>
      <c r="B2170" t="s">
        <v>17724</v>
      </c>
      <c r="C2170" t="s">
        <v>14517</v>
      </c>
      <c r="D2170" t="s">
        <v>14243</v>
      </c>
      <c r="E2170" t="s">
        <v>14244</v>
      </c>
    </row>
    <row r="2171" spans="1:5">
      <c r="A2171" t="s">
        <v>1513</v>
      </c>
      <c r="B2171" t="s">
        <v>17725</v>
      </c>
      <c r="C2171" t="s">
        <v>14012</v>
      </c>
      <c r="D2171" t="s">
        <v>13927</v>
      </c>
      <c r="E2171" t="s">
        <v>13928</v>
      </c>
    </row>
    <row r="2172" spans="1:5">
      <c r="A2172" t="s">
        <v>486</v>
      </c>
      <c r="B2172" t="s">
        <v>17726</v>
      </c>
      <c r="C2172" t="s">
        <v>13943</v>
      </c>
      <c r="D2172" t="s">
        <v>13901</v>
      </c>
      <c r="E2172" t="s">
        <v>13902</v>
      </c>
    </row>
    <row r="2173" spans="1:5">
      <c r="A2173" t="s">
        <v>2071</v>
      </c>
      <c r="B2173" t="s">
        <v>17727</v>
      </c>
      <c r="C2173" t="s">
        <v>13871</v>
      </c>
      <c r="D2173" t="s">
        <v>13872</v>
      </c>
      <c r="E2173" t="s">
        <v>13873</v>
      </c>
    </row>
    <row r="2174" spans="1:5">
      <c r="A2174" t="s">
        <v>17728</v>
      </c>
      <c r="B2174" t="s">
        <v>17729</v>
      </c>
      <c r="C2174" t="s">
        <v>14048</v>
      </c>
      <c r="D2174" t="s">
        <v>14049</v>
      </c>
      <c r="E2174" t="s">
        <v>14050</v>
      </c>
    </row>
    <row r="2175" spans="1:5">
      <c r="A2175" t="s">
        <v>1367</v>
      </c>
      <c r="B2175" t="s">
        <v>17709</v>
      </c>
      <c r="C2175" t="s">
        <v>14012</v>
      </c>
      <c r="D2175" t="s">
        <v>13927</v>
      </c>
      <c r="E2175" t="s">
        <v>13928</v>
      </c>
    </row>
    <row r="2176" spans="1:5">
      <c r="A2176" t="s">
        <v>3187</v>
      </c>
      <c r="B2176" t="s">
        <v>17730</v>
      </c>
      <c r="C2176" t="s">
        <v>15431</v>
      </c>
      <c r="D2176" t="s">
        <v>14356</v>
      </c>
      <c r="E2176" t="s">
        <v>14357</v>
      </c>
    </row>
    <row r="2177" spans="1:5">
      <c r="A2177" t="s">
        <v>3398</v>
      </c>
      <c r="B2177" t="s">
        <v>17731</v>
      </c>
      <c r="C2177" t="s">
        <v>14017</v>
      </c>
      <c r="D2177" t="s">
        <v>14018</v>
      </c>
      <c r="E2177" t="s">
        <v>14019</v>
      </c>
    </row>
    <row r="2178" spans="1:5">
      <c r="A2178" t="s">
        <v>17732</v>
      </c>
      <c r="B2178" t="s">
        <v>17733</v>
      </c>
      <c r="C2178" t="s">
        <v>16122</v>
      </c>
      <c r="D2178" t="s">
        <v>14595</v>
      </c>
      <c r="E2178" t="s">
        <v>14596</v>
      </c>
    </row>
    <row r="2179" spans="1:5">
      <c r="A2179" t="s">
        <v>17734</v>
      </c>
      <c r="B2179" t="s">
        <v>17735</v>
      </c>
      <c r="C2179" t="s">
        <v>13951</v>
      </c>
      <c r="D2179" t="s">
        <v>13927</v>
      </c>
      <c r="E2179" t="s">
        <v>13928</v>
      </c>
    </row>
    <row r="2180" spans="1:5">
      <c r="A2180" t="s">
        <v>17736</v>
      </c>
      <c r="B2180" t="s">
        <v>17737</v>
      </c>
      <c r="C2180" t="s">
        <v>16117</v>
      </c>
      <c r="D2180" t="s">
        <v>14672</v>
      </c>
      <c r="E2180" t="s">
        <v>16118</v>
      </c>
    </row>
    <row r="2181" spans="1:5">
      <c r="A2181" t="s">
        <v>750</v>
      </c>
      <c r="B2181" t="s">
        <v>17738</v>
      </c>
      <c r="C2181" t="s">
        <v>13916</v>
      </c>
      <c r="D2181" t="s">
        <v>13901</v>
      </c>
      <c r="E2181" t="s">
        <v>13902</v>
      </c>
    </row>
    <row r="2182" spans="1:5">
      <c r="A2182" t="s">
        <v>2562</v>
      </c>
      <c r="B2182" t="s">
        <v>17739</v>
      </c>
      <c r="C2182" t="s">
        <v>14413</v>
      </c>
      <c r="D2182" t="s">
        <v>14002</v>
      </c>
      <c r="E2182" t="s">
        <v>14003</v>
      </c>
    </row>
    <row r="2183" spans="1:5">
      <c r="A2183" t="s">
        <v>17740</v>
      </c>
      <c r="B2183" t="s">
        <v>17741</v>
      </c>
      <c r="C2183" t="s">
        <v>14886</v>
      </c>
      <c r="D2183" t="s">
        <v>14250</v>
      </c>
      <c r="E2183" t="s">
        <v>14251</v>
      </c>
    </row>
    <row r="2184" spans="1:5">
      <c r="A2184" t="s">
        <v>17742</v>
      </c>
      <c r="B2184" t="s">
        <v>17743</v>
      </c>
      <c r="C2184" t="s">
        <v>13871</v>
      </c>
      <c r="D2184" t="s">
        <v>13872</v>
      </c>
      <c r="E2184" t="s">
        <v>13873</v>
      </c>
    </row>
    <row r="2185" spans="1:5">
      <c r="A2185" t="s">
        <v>72</v>
      </c>
      <c r="B2185" t="s">
        <v>17744</v>
      </c>
      <c r="C2185" t="s">
        <v>13905</v>
      </c>
      <c r="D2185" t="s">
        <v>13901</v>
      </c>
      <c r="E2185" t="s">
        <v>13902</v>
      </c>
    </row>
    <row r="2186" spans="1:5">
      <c r="A2186" t="s">
        <v>3632</v>
      </c>
      <c r="B2186" t="s">
        <v>17745</v>
      </c>
      <c r="C2186" t="s">
        <v>14147</v>
      </c>
      <c r="D2186" t="s">
        <v>13881</v>
      </c>
      <c r="E2186" t="s">
        <v>13882</v>
      </c>
    </row>
    <row r="2187" spans="1:5">
      <c r="A2187" t="s">
        <v>2646</v>
      </c>
      <c r="B2187" t="s">
        <v>17746</v>
      </c>
      <c r="C2187" t="s">
        <v>16340</v>
      </c>
      <c r="D2187" t="s">
        <v>14759</v>
      </c>
      <c r="E2187" t="s">
        <v>14760</v>
      </c>
    </row>
    <row r="2188" spans="1:5">
      <c r="A2188" t="s">
        <v>1679</v>
      </c>
      <c r="B2188" t="s">
        <v>17747</v>
      </c>
      <c r="C2188" t="s">
        <v>14278</v>
      </c>
      <c r="D2188" t="s">
        <v>13946</v>
      </c>
      <c r="E2188" t="s">
        <v>13947</v>
      </c>
    </row>
    <row r="2189" spans="1:5">
      <c r="A2189" t="s">
        <v>516</v>
      </c>
      <c r="B2189" t="s">
        <v>17748</v>
      </c>
      <c r="C2189" t="s">
        <v>13916</v>
      </c>
      <c r="D2189" t="s">
        <v>13901</v>
      </c>
      <c r="E2189" t="s">
        <v>13902</v>
      </c>
    </row>
    <row r="2190" spans="1:5">
      <c r="A2190" t="s">
        <v>2419</v>
      </c>
      <c r="B2190" t="s">
        <v>17749</v>
      </c>
      <c r="C2190" t="s">
        <v>15483</v>
      </c>
      <c r="D2190" t="s">
        <v>14133</v>
      </c>
      <c r="E2190" t="s">
        <v>14134</v>
      </c>
    </row>
    <row r="2191" spans="1:5">
      <c r="A2191" t="s">
        <v>17750</v>
      </c>
      <c r="B2191" t="s">
        <v>17751</v>
      </c>
      <c r="C2191" t="s">
        <v>14072</v>
      </c>
      <c r="D2191" t="s">
        <v>14073</v>
      </c>
      <c r="E2191" t="s">
        <v>14074</v>
      </c>
    </row>
    <row r="2192" spans="1:5">
      <c r="A2192" t="s">
        <v>713</v>
      </c>
      <c r="B2192" t="s">
        <v>17752</v>
      </c>
      <c r="C2192" t="s">
        <v>15500</v>
      </c>
      <c r="D2192" t="s">
        <v>13901</v>
      </c>
      <c r="E2192" t="s">
        <v>13902</v>
      </c>
    </row>
    <row r="2193" spans="1:5">
      <c r="A2193" t="s">
        <v>2202</v>
      </c>
      <c r="B2193" t="s">
        <v>14468</v>
      </c>
      <c r="C2193" t="s">
        <v>13892</v>
      </c>
      <c r="D2193" t="s">
        <v>13893</v>
      </c>
      <c r="E2193" t="s">
        <v>13894</v>
      </c>
    </row>
    <row r="2194" spans="1:5">
      <c r="A2194" t="s">
        <v>1186</v>
      </c>
      <c r="B2194" t="s">
        <v>17753</v>
      </c>
      <c r="C2194" t="s">
        <v>14012</v>
      </c>
      <c r="D2194" t="s">
        <v>13927</v>
      </c>
      <c r="E2194" t="s">
        <v>13928</v>
      </c>
    </row>
    <row r="2195" spans="1:5">
      <c r="A2195" t="s">
        <v>17754</v>
      </c>
      <c r="B2195" t="s">
        <v>17755</v>
      </c>
      <c r="C2195" t="s">
        <v>17756</v>
      </c>
      <c r="D2195" t="s">
        <v>14356</v>
      </c>
      <c r="E2195" t="s">
        <v>14357</v>
      </c>
    </row>
    <row r="2196" spans="1:5">
      <c r="A2196" t="s">
        <v>17757</v>
      </c>
      <c r="B2196" t="s">
        <v>17758</v>
      </c>
      <c r="C2196" t="s">
        <v>17759</v>
      </c>
      <c r="D2196" t="s">
        <v>13974</v>
      </c>
      <c r="E2196" t="s">
        <v>13975</v>
      </c>
    </row>
    <row r="2197" spans="1:5">
      <c r="A2197" t="s">
        <v>17760</v>
      </c>
      <c r="B2197" t="s">
        <v>17761</v>
      </c>
      <c r="C2197" t="s">
        <v>17103</v>
      </c>
      <c r="D2197" t="s">
        <v>13876</v>
      </c>
      <c r="E2197" t="s">
        <v>13877</v>
      </c>
    </row>
    <row r="2198" spans="1:5">
      <c r="A2198" t="s">
        <v>17762</v>
      </c>
      <c r="B2198" t="s">
        <v>17763</v>
      </c>
      <c r="C2198" t="s">
        <v>14183</v>
      </c>
      <c r="D2198" t="s">
        <v>13916</v>
      </c>
      <c r="E2198" t="s">
        <v>14184</v>
      </c>
    </row>
    <row r="2199" spans="1:5">
      <c r="A2199" t="s">
        <v>2104</v>
      </c>
      <c r="B2199" t="s">
        <v>17764</v>
      </c>
      <c r="C2199" t="s">
        <v>14305</v>
      </c>
      <c r="D2199" t="s">
        <v>14306</v>
      </c>
      <c r="E2199" t="s">
        <v>14307</v>
      </c>
    </row>
    <row r="2200" spans="1:5">
      <c r="A2200" t="s">
        <v>1008</v>
      </c>
      <c r="B2200" t="s">
        <v>17765</v>
      </c>
      <c r="C2200" t="s">
        <v>14012</v>
      </c>
      <c r="D2200" t="s">
        <v>13927</v>
      </c>
      <c r="E2200" t="s">
        <v>13928</v>
      </c>
    </row>
    <row r="2201" spans="1:5">
      <c r="A2201" t="s">
        <v>3476</v>
      </c>
      <c r="B2201" t="s">
        <v>17766</v>
      </c>
      <c r="C2201" t="s">
        <v>14633</v>
      </c>
      <c r="D2201" t="s">
        <v>13974</v>
      </c>
      <c r="E2201" t="s">
        <v>13975</v>
      </c>
    </row>
    <row r="2202" spans="1:5">
      <c r="A2202" t="s">
        <v>1153</v>
      </c>
      <c r="B2202" t="s">
        <v>17767</v>
      </c>
      <c r="C2202" t="s">
        <v>13926</v>
      </c>
      <c r="D2202" t="s">
        <v>13927</v>
      </c>
      <c r="E2202" t="s">
        <v>13928</v>
      </c>
    </row>
    <row r="2203" spans="1:5">
      <c r="A2203" t="s">
        <v>17768</v>
      </c>
      <c r="B2203" t="s">
        <v>17769</v>
      </c>
      <c r="C2203" t="s">
        <v>13986</v>
      </c>
      <c r="D2203" t="s">
        <v>13901</v>
      </c>
      <c r="E2203" t="s">
        <v>13902</v>
      </c>
    </row>
    <row r="2204" spans="1:5">
      <c r="A2204" t="s">
        <v>1514</v>
      </c>
      <c r="B2204" t="s">
        <v>17770</v>
      </c>
      <c r="C2204" t="s">
        <v>14012</v>
      </c>
      <c r="D2204" t="s">
        <v>13927</v>
      </c>
      <c r="E2204" t="s">
        <v>13928</v>
      </c>
    </row>
    <row r="2205" spans="1:5">
      <c r="A2205" t="s">
        <v>1054</v>
      </c>
      <c r="B2205" t="s">
        <v>17771</v>
      </c>
      <c r="C2205" t="s">
        <v>14012</v>
      </c>
      <c r="D2205" t="s">
        <v>13927</v>
      </c>
      <c r="E2205" t="s">
        <v>13928</v>
      </c>
    </row>
    <row r="2206" spans="1:5">
      <c r="A2206" t="s">
        <v>7181</v>
      </c>
      <c r="B2206" t="s">
        <v>14723</v>
      </c>
      <c r="C2206" t="s">
        <v>14724</v>
      </c>
      <c r="D2206" t="s">
        <v>14356</v>
      </c>
      <c r="E2206" t="s">
        <v>14357</v>
      </c>
    </row>
    <row r="2207" spans="1:5">
      <c r="A2207" t="s">
        <v>17772</v>
      </c>
      <c r="B2207" t="s">
        <v>17773</v>
      </c>
      <c r="C2207" t="s">
        <v>16827</v>
      </c>
      <c r="D2207" t="s">
        <v>14301</v>
      </c>
      <c r="E2207" t="s">
        <v>14302</v>
      </c>
    </row>
    <row r="2208" spans="1:5">
      <c r="A2208" t="s">
        <v>2659</v>
      </c>
      <c r="B2208" t="s">
        <v>17774</v>
      </c>
      <c r="C2208" t="s">
        <v>13919</v>
      </c>
      <c r="D2208" t="s">
        <v>13919</v>
      </c>
      <c r="E2208" t="s">
        <v>13920</v>
      </c>
    </row>
    <row r="2209" spans="1:5">
      <c r="A2209" t="s">
        <v>17775</v>
      </c>
      <c r="B2209" t="s">
        <v>17776</v>
      </c>
      <c r="C2209" t="s">
        <v>13967</v>
      </c>
      <c r="D2209" t="s">
        <v>13968</v>
      </c>
      <c r="E2209" t="s">
        <v>13969</v>
      </c>
    </row>
    <row r="2210" spans="1:5">
      <c r="A2210" t="s">
        <v>3410</v>
      </c>
      <c r="B2210" t="s">
        <v>17777</v>
      </c>
      <c r="C2210" t="s">
        <v>14201</v>
      </c>
      <c r="D2210" t="s">
        <v>14040</v>
      </c>
      <c r="E2210" t="s">
        <v>14041</v>
      </c>
    </row>
    <row r="2211" spans="1:5">
      <c r="A2211" t="s">
        <v>17778</v>
      </c>
      <c r="B2211" t="s">
        <v>14126</v>
      </c>
      <c r="C2211" t="s">
        <v>14021</v>
      </c>
      <c r="D2211" t="s">
        <v>14021</v>
      </c>
      <c r="E2211" t="s">
        <v>14022</v>
      </c>
    </row>
    <row r="2212" spans="1:5">
      <c r="A2212" t="s">
        <v>1578</v>
      </c>
      <c r="B2212" t="s">
        <v>17779</v>
      </c>
      <c r="C2212" t="s">
        <v>14007</v>
      </c>
      <c r="D2212" t="s">
        <v>13989</v>
      </c>
      <c r="E2212" t="s">
        <v>13990</v>
      </c>
    </row>
    <row r="2213" spans="1:5">
      <c r="A2213" t="s">
        <v>643</v>
      </c>
      <c r="B2213" t="s">
        <v>17780</v>
      </c>
      <c r="C2213" t="s">
        <v>14034</v>
      </c>
      <c r="D2213" t="s">
        <v>13901</v>
      </c>
      <c r="E2213" t="s">
        <v>13902</v>
      </c>
    </row>
    <row r="2214" spans="1:5">
      <c r="A2214" t="s">
        <v>17781</v>
      </c>
      <c r="B2214" t="s">
        <v>17782</v>
      </c>
      <c r="C2214" t="s">
        <v>13909</v>
      </c>
      <c r="D2214" t="s">
        <v>13901</v>
      </c>
      <c r="E2214" t="s">
        <v>13902</v>
      </c>
    </row>
    <row r="2215" spans="1:5">
      <c r="A2215" t="s">
        <v>1128</v>
      </c>
      <c r="B2215" t="s">
        <v>17783</v>
      </c>
      <c r="C2215" t="s">
        <v>15729</v>
      </c>
      <c r="D2215" t="s">
        <v>14545</v>
      </c>
      <c r="E2215" t="s">
        <v>14546</v>
      </c>
    </row>
    <row r="2216" spans="1:5">
      <c r="A2216" t="s">
        <v>2924</v>
      </c>
      <c r="B2216" t="s">
        <v>17784</v>
      </c>
      <c r="C2216" t="s">
        <v>14183</v>
      </c>
      <c r="D2216" t="s">
        <v>13916</v>
      </c>
      <c r="E2216" t="s">
        <v>14184</v>
      </c>
    </row>
    <row r="2217" spans="1:5">
      <c r="A2217" t="s">
        <v>3538</v>
      </c>
      <c r="B2217" t="s">
        <v>17785</v>
      </c>
      <c r="C2217" t="s">
        <v>17786</v>
      </c>
      <c r="D2217" t="s">
        <v>14250</v>
      </c>
      <c r="E2217" t="s">
        <v>14251</v>
      </c>
    </row>
    <row r="2218" spans="1:5">
      <c r="A2218" t="s">
        <v>3488</v>
      </c>
      <c r="B2218" t="s">
        <v>17787</v>
      </c>
      <c r="C2218" t="s">
        <v>15843</v>
      </c>
      <c r="D2218" t="s">
        <v>14250</v>
      </c>
      <c r="E2218" t="s">
        <v>14251</v>
      </c>
    </row>
    <row r="2219" spans="1:5">
      <c r="A2219" t="s">
        <v>1872</v>
      </c>
      <c r="B2219" t="s">
        <v>17788</v>
      </c>
      <c r="C2219" t="s">
        <v>17789</v>
      </c>
      <c r="D2219" t="s">
        <v>14053</v>
      </c>
      <c r="E2219" t="s">
        <v>14054</v>
      </c>
    </row>
    <row r="2220" spans="1:5">
      <c r="A2220" t="s">
        <v>1313</v>
      </c>
      <c r="B2220" t="s">
        <v>17790</v>
      </c>
      <c r="C2220" t="s">
        <v>17791</v>
      </c>
      <c r="D2220" t="s">
        <v>14327</v>
      </c>
      <c r="E2220" t="s">
        <v>14328</v>
      </c>
    </row>
    <row r="2221" spans="1:5">
      <c r="A2221" t="s">
        <v>1889</v>
      </c>
      <c r="B2221" t="s">
        <v>17792</v>
      </c>
      <c r="C2221" t="s">
        <v>14052</v>
      </c>
      <c r="D2221" t="s">
        <v>14053</v>
      </c>
      <c r="E2221" t="s">
        <v>14054</v>
      </c>
    </row>
    <row r="2222" spans="1:5">
      <c r="A2222" t="s">
        <v>17793</v>
      </c>
      <c r="B2222" t="s">
        <v>17794</v>
      </c>
      <c r="C2222" t="s">
        <v>14183</v>
      </c>
      <c r="D2222" t="s">
        <v>13916</v>
      </c>
      <c r="E2222" t="s">
        <v>14184</v>
      </c>
    </row>
    <row r="2223" spans="1:5">
      <c r="A2223" t="s">
        <v>17795</v>
      </c>
      <c r="B2223" t="s">
        <v>17796</v>
      </c>
      <c r="C2223" t="s">
        <v>13951</v>
      </c>
      <c r="D2223" t="s">
        <v>13927</v>
      </c>
      <c r="E2223" t="s">
        <v>13928</v>
      </c>
    </row>
    <row r="2224" spans="1:5">
      <c r="A2224" t="s">
        <v>17797</v>
      </c>
      <c r="B2224" t="s">
        <v>17798</v>
      </c>
      <c r="C2224" t="s">
        <v>13916</v>
      </c>
      <c r="D2224" t="s">
        <v>13901</v>
      </c>
      <c r="E2224" t="s">
        <v>13902</v>
      </c>
    </row>
    <row r="2225" spans="1:5">
      <c r="A2225" t="s">
        <v>17799</v>
      </c>
      <c r="B2225" t="s">
        <v>17800</v>
      </c>
      <c r="C2225" t="s">
        <v>13922</v>
      </c>
      <c r="D2225" t="s">
        <v>13923</v>
      </c>
      <c r="E2225" t="s">
        <v>13924</v>
      </c>
    </row>
    <row r="2226" spans="1:5">
      <c r="A2226" t="s">
        <v>17801</v>
      </c>
      <c r="B2226" t="s">
        <v>17802</v>
      </c>
      <c r="C2226" t="s">
        <v>17803</v>
      </c>
      <c r="D2226" t="s">
        <v>14290</v>
      </c>
      <c r="E2226" t="s">
        <v>14291</v>
      </c>
    </row>
    <row r="2227" spans="1:5">
      <c r="A2227" t="s">
        <v>17804</v>
      </c>
      <c r="B2227" t="s">
        <v>17805</v>
      </c>
      <c r="C2227" t="s">
        <v>14300</v>
      </c>
      <c r="D2227" t="s">
        <v>14301</v>
      </c>
      <c r="E2227" t="s">
        <v>14302</v>
      </c>
    </row>
    <row r="2228" spans="1:5">
      <c r="A2228" t="s">
        <v>7201</v>
      </c>
      <c r="B2228" t="s">
        <v>17806</v>
      </c>
      <c r="C2228" t="s">
        <v>13916</v>
      </c>
      <c r="D2228" t="s">
        <v>13901</v>
      </c>
      <c r="E2228" t="s">
        <v>13902</v>
      </c>
    </row>
    <row r="2229" spans="1:5">
      <c r="A2229" t="s">
        <v>3344</v>
      </c>
      <c r="B2229" t="s">
        <v>17807</v>
      </c>
      <c r="C2229" t="s">
        <v>13922</v>
      </c>
      <c r="D2229" t="s">
        <v>13923</v>
      </c>
      <c r="E2229" t="s">
        <v>13924</v>
      </c>
    </row>
    <row r="2230" spans="1:5">
      <c r="A2230" t="s">
        <v>17808</v>
      </c>
      <c r="B2230" t="s">
        <v>17809</v>
      </c>
      <c r="C2230" t="s">
        <v>17810</v>
      </c>
      <c r="D2230" t="s">
        <v>14250</v>
      </c>
      <c r="E2230" t="s">
        <v>14251</v>
      </c>
    </row>
    <row r="2231" spans="1:5">
      <c r="A2231" t="s">
        <v>17811</v>
      </c>
      <c r="B2231" t="s">
        <v>17812</v>
      </c>
      <c r="C2231" t="s">
        <v>14888</v>
      </c>
      <c r="D2231" t="s">
        <v>14889</v>
      </c>
      <c r="E2231" t="s">
        <v>14890</v>
      </c>
    </row>
    <row r="2232" spans="1:5">
      <c r="A2232" t="s">
        <v>3064</v>
      </c>
      <c r="B2232" t="s">
        <v>17813</v>
      </c>
      <c r="C2232" t="s">
        <v>13922</v>
      </c>
      <c r="D2232" t="s">
        <v>13923</v>
      </c>
      <c r="E2232" t="s">
        <v>13924</v>
      </c>
    </row>
    <row r="2233" spans="1:5">
      <c r="A2233" t="s">
        <v>1738</v>
      </c>
      <c r="B2233" t="s">
        <v>17814</v>
      </c>
      <c r="C2233" t="s">
        <v>14696</v>
      </c>
      <c r="D2233" t="s">
        <v>13964</v>
      </c>
      <c r="E2233" t="s">
        <v>13965</v>
      </c>
    </row>
    <row r="2234" spans="1:5">
      <c r="A2234" t="s">
        <v>17815</v>
      </c>
      <c r="B2234" t="s">
        <v>17816</v>
      </c>
      <c r="C2234" t="s">
        <v>17817</v>
      </c>
      <c r="D2234" t="s">
        <v>14290</v>
      </c>
      <c r="E2234" t="s">
        <v>14291</v>
      </c>
    </row>
    <row r="2235" spans="1:5">
      <c r="A2235" t="s">
        <v>2821</v>
      </c>
      <c r="B2235" t="s">
        <v>17818</v>
      </c>
      <c r="C2235" t="s">
        <v>14183</v>
      </c>
      <c r="D2235" t="s">
        <v>13916</v>
      </c>
      <c r="E2235" t="s">
        <v>14184</v>
      </c>
    </row>
    <row r="2236" spans="1:5">
      <c r="A2236" t="s">
        <v>17819</v>
      </c>
      <c r="B2236" t="s">
        <v>17820</v>
      </c>
      <c r="C2236" t="s">
        <v>14012</v>
      </c>
      <c r="D2236" t="s">
        <v>13927</v>
      </c>
      <c r="E2236" t="s">
        <v>13928</v>
      </c>
    </row>
    <row r="2237" spans="1:5">
      <c r="A2237" t="s">
        <v>2152</v>
      </c>
      <c r="B2237" t="s">
        <v>17821</v>
      </c>
      <c r="C2237" t="s">
        <v>15195</v>
      </c>
      <c r="D2237" t="s">
        <v>13955</v>
      </c>
      <c r="E2237" t="s">
        <v>13956</v>
      </c>
    </row>
    <row r="2238" spans="1:5">
      <c r="A2238" t="s">
        <v>17822</v>
      </c>
      <c r="B2238" t="s">
        <v>17823</v>
      </c>
      <c r="C2238" t="s">
        <v>17824</v>
      </c>
      <c r="D2238" t="s">
        <v>14290</v>
      </c>
      <c r="E2238" t="s">
        <v>14291</v>
      </c>
    </row>
    <row r="2239" spans="1:5">
      <c r="A2239" t="s">
        <v>2110</v>
      </c>
      <c r="B2239" t="s">
        <v>17825</v>
      </c>
      <c r="C2239" t="s">
        <v>15091</v>
      </c>
      <c r="D2239" t="s">
        <v>15092</v>
      </c>
      <c r="E2239" t="s">
        <v>15093</v>
      </c>
    </row>
    <row r="2240" spans="1:5">
      <c r="A2240" t="s">
        <v>2462</v>
      </c>
      <c r="B2240" t="s">
        <v>17826</v>
      </c>
      <c r="C2240" t="s">
        <v>13919</v>
      </c>
      <c r="D2240" t="s">
        <v>13919</v>
      </c>
      <c r="E2240" t="s">
        <v>13920</v>
      </c>
    </row>
    <row r="2241" spans="1:5">
      <c r="A2241" t="s">
        <v>17827</v>
      </c>
      <c r="B2241" t="s">
        <v>17828</v>
      </c>
      <c r="C2241" t="s">
        <v>14323</v>
      </c>
      <c r="D2241" t="s">
        <v>13901</v>
      </c>
      <c r="E2241" t="s">
        <v>13902</v>
      </c>
    </row>
    <row r="2242" spans="1:5">
      <c r="A2242" t="s">
        <v>3329</v>
      </c>
      <c r="B2242" t="s">
        <v>17829</v>
      </c>
      <c r="C2242" t="s">
        <v>17830</v>
      </c>
      <c r="D2242" t="s">
        <v>14073</v>
      </c>
      <c r="E2242" t="s">
        <v>14074</v>
      </c>
    </row>
    <row r="2243" spans="1:5">
      <c r="A2243" t="s">
        <v>17831</v>
      </c>
      <c r="B2243" t="s">
        <v>17832</v>
      </c>
      <c r="C2243" t="s">
        <v>14670</v>
      </c>
      <c r="D2243" t="s">
        <v>13968</v>
      </c>
      <c r="E2243" t="s">
        <v>13969</v>
      </c>
    </row>
    <row r="2244" spans="1:5">
      <c r="A2244" t="s">
        <v>17833</v>
      </c>
      <c r="B2244" t="s">
        <v>17834</v>
      </c>
      <c r="C2244" t="s">
        <v>16618</v>
      </c>
      <c r="D2244" t="s">
        <v>15092</v>
      </c>
      <c r="E2244" t="s">
        <v>15093</v>
      </c>
    </row>
    <row r="2245" spans="1:5">
      <c r="A2245" t="s">
        <v>17835</v>
      </c>
      <c r="B2245" t="s">
        <v>17836</v>
      </c>
      <c r="C2245" t="s">
        <v>13916</v>
      </c>
      <c r="D2245" t="s">
        <v>13901</v>
      </c>
      <c r="E2245" t="s">
        <v>13902</v>
      </c>
    </row>
    <row r="2246" spans="1:5">
      <c r="A2246" t="s">
        <v>17837</v>
      </c>
      <c r="B2246" t="s">
        <v>17838</v>
      </c>
      <c r="C2246" t="s">
        <v>14201</v>
      </c>
      <c r="D2246" t="s">
        <v>14040</v>
      </c>
      <c r="E2246" t="s">
        <v>14041</v>
      </c>
    </row>
    <row r="2247" spans="1:5">
      <c r="A2247" t="s">
        <v>2510</v>
      </c>
      <c r="B2247" t="s">
        <v>17839</v>
      </c>
      <c r="C2247" t="s">
        <v>14001</v>
      </c>
      <c r="D2247" t="s">
        <v>14002</v>
      </c>
      <c r="E2247" t="s">
        <v>14003</v>
      </c>
    </row>
    <row r="2248" spans="1:5">
      <c r="A2248" t="s">
        <v>17840</v>
      </c>
      <c r="B2248" t="s">
        <v>17841</v>
      </c>
      <c r="C2248" t="s">
        <v>15091</v>
      </c>
      <c r="D2248" t="s">
        <v>15092</v>
      </c>
      <c r="E2248" t="s">
        <v>15093</v>
      </c>
    </row>
    <row r="2249" spans="1:5">
      <c r="A2249" t="s">
        <v>1778</v>
      </c>
      <c r="B2249" t="s">
        <v>17842</v>
      </c>
      <c r="C2249" t="s">
        <v>17574</v>
      </c>
      <c r="D2249" t="s">
        <v>15747</v>
      </c>
      <c r="E2249" t="s">
        <v>15748</v>
      </c>
    </row>
    <row r="2250" spans="1:5">
      <c r="A2250" t="s">
        <v>17843</v>
      </c>
      <c r="B2250" t="s">
        <v>17844</v>
      </c>
      <c r="C2250" t="s">
        <v>13916</v>
      </c>
      <c r="D2250" t="s">
        <v>13901</v>
      </c>
      <c r="E2250" t="s">
        <v>13902</v>
      </c>
    </row>
    <row r="2251" spans="1:5">
      <c r="A2251" t="s">
        <v>17845</v>
      </c>
      <c r="B2251" t="s">
        <v>17846</v>
      </c>
      <c r="C2251" t="s">
        <v>15268</v>
      </c>
      <c r="D2251" t="s">
        <v>14526</v>
      </c>
      <c r="E2251" t="s">
        <v>14527</v>
      </c>
    </row>
    <row r="2252" spans="1:5">
      <c r="A2252" t="s">
        <v>1012</v>
      </c>
      <c r="B2252" t="s">
        <v>17847</v>
      </c>
      <c r="C2252" t="s">
        <v>14012</v>
      </c>
      <c r="D2252" t="s">
        <v>13927</v>
      </c>
      <c r="E2252" t="s">
        <v>13928</v>
      </c>
    </row>
    <row r="2253" spans="1:5">
      <c r="A2253" t="s">
        <v>1005</v>
      </c>
      <c r="B2253" t="s">
        <v>17848</v>
      </c>
      <c r="C2253" t="s">
        <v>13916</v>
      </c>
      <c r="D2253" t="s">
        <v>13901</v>
      </c>
      <c r="E2253" t="s">
        <v>13902</v>
      </c>
    </row>
    <row r="2254" spans="1:5">
      <c r="A2254" t="s">
        <v>7243</v>
      </c>
      <c r="B2254" t="s">
        <v>17849</v>
      </c>
      <c r="C2254" t="s">
        <v>17850</v>
      </c>
      <c r="D2254" t="s">
        <v>14397</v>
      </c>
      <c r="E2254" t="s">
        <v>14398</v>
      </c>
    </row>
    <row r="2255" spans="1:5">
      <c r="A2255" t="s">
        <v>17851</v>
      </c>
      <c r="B2255" t="s">
        <v>17852</v>
      </c>
      <c r="C2255" t="s">
        <v>13909</v>
      </c>
      <c r="D2255" t="s">
        <v>13901</v>
      </c>
      <c r="E2255" t="s">
        <v>13902</v>
      </c>
    </row>
    <row r="2256" spans="1:5">
      <c r="A2256" t="s">
        <v>647</v>
      </c>
      <c r="B2256" t="s">
        <v>17853</v>
      </c>
      <c r="C2256" t="s">
        <v>13909</v>
      </c>
      <c r="D2256" t="s">
        <v>13901</v>
      </c>
      <c r="E2256" t="s">
        <v>13902</v>
      </c>
    </row>
    <row r="2257" spans="1:5">
      <c r="A2257" t="s">
        <v>3271</v>
      </c>
      <c r="B2257" t="s">
        <v>17854</v>
      </c>
      <c r="C2257" t="s">
        <v>13967</v>
      </c>
      <c r="D2257" t="s">
        <v>13968</v>
      </c>
      <c r="E2257" t="s">
        <v>13969</v>
      </c>
    </row>
    <row r="2258" spans="1:5">
      <c r="A2258" t="s">
        <v>3109</v>
      </c>
      <c r="B2258" t="s">
        <v>17855</v>
      </c>
      <c r="C2258" t="s">
        <v>14227</v>
      </c>
      <c r="D2258" t="s">
        <v>13951</v>
      </c>
      <c r="E2258" t="s">
        <v>13952</v>
      </c>
    </row>
    <row r="2259" spans="1:5">
      <c r="A2259" t="s">
        <v>17856</v>
      </c>
      <c r="B2259" t="s">
        <v>17857</v>
      </c>
      <c r="C2259" t="s">
        <v>14886</v>
      </c>
      <c r="D2259" t="s">
        <v>14250</v>
      </c>
      <c r="E2259" t="s">
        <v>14251</v>
      </c>
    </row>
    <row r="2260" spans="1:5">
      <c r="A2260" t="s">
        <v>2129</v>
      </c>
      <c r="B2260" t="s">
        <v>17858</v>
      </c>
      <c r="C2260" t="s">
        <v>16010</v>
      </c>
      <c r="D2260" t="s">
        <v>13872</v>
      </c>
      <c r="E2260" t="s">
        <v>13873</v>
      </c>
    </row>
    <row r="2261" spans="1:5">
      <c r="A2261" t="s">
        <v>17859</v>
      </c>
      <c r="B2261" t="s">
        <v>17860</v>
      </c>
      <c r="C2261" t="s">
        <v>17861</v>
      </c>
      <c r="D2261" t="s">
        <v>13989</v>
      </c>
      <c r="E2261" t="s">
        <v>13990</v>
      </c>
    </row>
    <row r="2262" spans="1:5">
      <c r="A2262" t="s">
        <v>17862</v>
      </c>
      <c r="B2262" t="s">
        <v>17863</v>
      </c>
      <c r="C2262" t="s">
        <v>14496</v>
      </c>
      <c r="D2262" t="s">
        <v>14482</v>
      </c>
      <c r="E2262" t="s">
        <v>14483</v>
      </c>
    </row>
    <row r="2263" spans="1:5">
      <c r="A2263" t="s">
        <v>17864</v>
      </c>
      <c r="B2263" t="s">
        <v>17865</v>
      </c>
      <c r="C2263" t="s">
        <v>17866</v>
      </c>
      <c r="D2263" t="s">
        <v>14505</v>
      </c>
      <c r="E2263" t="s">
        <v>14506</v>
      </c>
    </row>
    <row r="2264" spans="1:5">
      <c r="A2264" t="s">
        <v>17867</v>
      </c>
      <c r="B2264" t="s">
        <v>17868</v>
      </c>
      <c r="C2264" t="s">
        <v>14493</v>
      </c>
      <c r="D2264" t="s">
        <v>14250</v>
      </c>
      <c r="E2264" t="s">
        <v>14251</v>
      </c>
    </row>
    <row r="2265" spans="1:5">
      <c r="A2265" t="s">
        <v>17869</v>
      </c>
      <c r="B2265" t="s">
        <v>17870</v>
      </c>
      <c r="C2265" t="s">
        <v>14478</v>
      </c>
      <c r="D2265" t="s">
        <v>13919</v>
      </c>
      <c r="E2265" t="s">
        <v>13920</v>
      </c>
    </row>
    <row r="2266" spans="1:5">
      <c r="A2266" t="s">
        <v>17871</v>
      </c>
      <c r="B2266" t="s">
        <v>17872</v>
      </c>
      <c r="C2266" t="s">
        <v>13905</v>
      </c>
      <c r="D2266" t="s">
        <v>13901</v>
      </c>
      <c r="E2266" t="s">
        <v>13902</v>
      </c>
    </row>
    <row r="2267" spans="1:5">
      <c r="A2267" t="s">
        <v>1995</v>
      </c>
      <c r="B2267" t="s">
        <v>17873</v>
      </c>
      <c r="C2267" t="s">
        <v>15222</v>
      </c>
      <c r="D2267" t="s">
        <v>14889</v>
      </c>
      <c r="E2267" t="s">
        <v>14890</v>
      </c>
    </row>
    <row r="2268" spans="1:5">
      <c r="A2268" t="s">
        <v>17874</v>
      </c>
      <c r="B2268" t="s">
        <v>17875</v>
      </c>
      <c r="C2268" t="s">
        <v>14767</v>
      </c>
      <c r="D2268" t="s">
        <v>14768</v>
      </c>
      <c r="E2268" t="s">
        <v>14769</v>
      </c>
    </row>
    <row r="2269" spans="1:5">
      <c r="A2269" t="s">
        <v>17876</v>
      </c>
      <c r="B2269" t="s">
        <v>17877</v>
      </c>
      <c r="C2269" t="s">
        <v>14534</v>
      </c>
      <c r="D2269" t="s">
        <v>14535</v>
      </c>
      <c r="E2269" t="s">
        <v>14536</v>
      </c>
    </row>
    <row r="2270" spans="1:5">
      <c r="A2270" t="s">
        <v>2966</v>
      </c>
      <c r="B2270" t="s">
        <v>17878</v>
      </c>
      <c r="C2270" t="s">
        <v>14672</v>
      </c>
      <c r="D2270" t="s">
        <v>14673</v>
      </c>
      <c r="E2270" t="s">
        <v>14674</v>
      </c>
    </row>
    <row r="2271" spans="1:5">
      <c r="A2271" t="s">
        <v>17879</v>
      </c>
      <c r="B2271" t="s">
        <v>17880</v>
      </c>
      <c r="C2271" t="s">
        <v>16296</v>
      </c>
      <c r="D2271" t="s">
        <v>13932</v>
      </c>
      <c r="E2271" t="s">
        <v>13933</v>
      </c>
    </row>
    <row r="2272" spans="1:5">
      <c r="A2272" t="s">
        <v>17881</v>
      </c>
      <c r="B2272" t="s">
        <v>17882</v>
      </c>
      <c r="C2272" t="s">
        <v>17883</v>
      </c>
      <c r="D2272" t="s">
        <v>14018</v>
      </c>
      <c r="E2272" t="s">
        <v>14019</v>
      </c>
    </row>
    <row r="2273" spans="1:5">
      <c r="A2273" t="s">
        <v>2651</v>
      </c>
      <c r="B2273" t="s">
        <v>17884</v>
      </c>
      <c r="C2273" t="s">
        <v>15318</v>
      </c>
      <c r="D2273" t="s">
        <v>14381</v>
      </c>
      <c r="E2273" t="s">
        <v>14382</v>
      </c>
    </row>
    <row r="2274" spans="1:5">
      <c r="A2274" t="s">
        <v>17885</v>
      </c>
      <c r="B2274" t="s">
        <v>17886</v>
      </c>
      <c r="C2274" t="s">
        <v>14323</v>
      </c>
      <c r="D2274" t="s">
        <v>13901</v>
      </c>
      <c r="E2274" t="s">
        <v>13902</v>
      </c>
    </row>
  </sheetData>
  <autoFilter ref="A1:E2274"/>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12"/>
  <sheetViews>
    <sheetView workbookViewId="0"/>
  </sheetViews>
  <sheetFormatPr defaultRowHeight="15"/>
  <cols>
    <col min="1" max="1" width="120.7109375" customWidth="1"/>
  </cols>
  <sheetData>
    <row r="1" spans="1:1">
      <c r="A1" s="1" t="s">
        <v>17887</v>
      </c>
    </row>
    <row r="2" spans="1:1" ht="36" customHeight="1">
      <c r="A2" s="4"/>
    </row>
    <row r="3" spans="1:1" ht="36" customHeight="1">
      <c r="A3" s="4" t="s">
        <v>17888</v>
      </c>
    </row>
    <row r="4" spans="1:1" ht="36" customHeight="1">
      <c r="A4" s="4"/>
    </row>
    <row r="5" spans="1:1" ht="36" customHeight="1">
      <c r="A5" s="4" t="s">
        <v>17889</v>
      </c>
    </row>
    <row r="6" spans="1:1" ht="36" customHeight="1">
      <c r="A6" s="4" t="s">
        <v>17890</v>
      </c>
    </row>
    <row r="7" spans="1:1" ht="36" customHeight="1">
      <c r="A7" s="4" t="s">
        <v>17891</v>
      </c>
    </row>
    <row r="8" spans="1:1" ht="36" customHeight="1">
      <c r="A8" s="4" t="s">
        <v>17892</v>
      </c>
    </row>
    <row r="9" spans="1:1" ht="36" customHeight="1">
      <c r="A9" s="4" t="s">
        <v>17893</v>
      </c>
    </row>
    <row r="10" spans="1:1" ht="36" customHeight="1">
      <c r="A10" s="4" t="s">
        <v>17894</v>
      </c>
    </row>
    <row r="11" spans="1:1" ht="36" customHeight="1">
      <c r="A11" s="4" t="s">
        <v>17895</v>
      </c>
    </row>
    <row r="12" spans="1:1" ht="36" customHeight="1">
      <c r="A12" s="4" t="s">
        <v>17896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Summary</vt:lpstr>
      <vt:lpstr>Weekly_Compare</vt:lpstr>
      <vt:lpstr>Pivot_Ready</vt:lpstr>
      <vt:lpstr>Top_Discrepancies</vt:lpstr>
      <vt:lpstr>SKU_Master</vt:lpstr>
      <vt:lpstr>Account_Master</vt:lpstr>
      <vt:lpstr>README</vt:lpstr>
      <vt:lpstr>DistributorList</vt:lpstr>
      <vt:lpstr>VarianceThreshold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2026-10-14T19:10:26Z</dcterms:created>
  <dcterms:modified xsi:type="dcterms:W3CDTF">2026-10-14T19:10:26Z</dcterms:modified>
</cp:coreProperties>
</file>